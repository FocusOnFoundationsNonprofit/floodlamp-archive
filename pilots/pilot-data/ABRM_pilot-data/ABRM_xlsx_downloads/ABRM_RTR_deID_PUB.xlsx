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al Tests by Person" sheetId="1" r:id="rId5"/>
    <sheet state="visible" name="Referral Test Data" sheetId="2" r:id="rId6"/>
    <sheet state="visible" name="ALL Pos and Incl IMPORT" sheetId="3" r:id="rId7"/>
    <sheet state="visible" name="Pos and Incl IMPORT" sheetId="4" r:id="rId8"/>
    <sheet state="visible" name="Referral Source Info PHI" sheetId="5" r:id="rId9"/>
    <sheet state="visible" name="Proces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absolute row number
</t>
      </text>
    </comment>
    <comment authorId="0" ref="M4">
      <text>
        <t xml:space="preserve">see comment - initial same day antigen test was negative but turned positive 3 days later</t>
      </text>
    </comment>
    <comment authorId="0" ref="T4">
      <text>
        <t xml:space="preserve">more than 3 referral results so used the last one  - see Eval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=IF(EXACT(H2,"DELETED"),"DELETED", VLOOKUP(H2,IMPORTRANGE('Pos and Incl IMPORT'!$A$2,"Person!C$2:E"),3,FALSE))</t>
      </text>
    </comment>
    <comment authorId="0" ref="I1">
      <text>
        <t xml:space="preserve">Rapid Antigen
PCR
LAMP
Other (Specify in Notes)</t>
      </text>
    </comment>
    <comment authorId="0" ref="J1">
      <text>
        <t xml:space="preserve">Model/Brand of Rapid Antigen, PCR, other test used</t>
      </text>
    </comment>
    <comment authorId="0" ref="K1">
      <text>
        <t xml:space="preserve">Positive
Negative
Inconclusive
Other (Specify in Notes)</t>
      </text>
    </comment>
    <comment authorId="0" ref="M1">
      <text>
        <t xml:space="preserve">Is the person experiencing symptoms at the time of Referral Test collection?</t>
      </text>
    </comment>
    <comment authorId="0" ref="N1">
      <text>
        <t xml:space="preserve">Has the person received at least one dose of any Covid19 vaccine?  Use Notes to provide further detail.</t>
      </text>
    </comment>
    <comment authorId="0" ref="O1">
      <text>
        <t xml:space="preserve">Notes related to the Referral Test entry itself</t>
      </text>
    </comment>
    <comment authorId="0" ref="P1">
      <text>
        <t xml:space="preserve">Use Source Notes field to provide any additional information necessary to connect the Referral table entry to the data in the Processed Info or Source Data tabs (for traceability)</t>
      </text>
    </comment>
    <comment authorId="0" ref="Q1">
      <text>
        <t xml:space="preserve">Initial FL Pos Tube ID for corresponding Case Cluster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Lookup
</t>
      </text>
    </comment>
    <comment authorId="0" ref="Q2">
      <text>
        <t xml:space="preserve">RT: 2026-03-23 swapped with cell on right because the order of these rows was reversed in preDel (not sure why)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Lookup
</t>
      </text>
    </comment>
  </commentList>
</comments>
</file>

<file path=xl/sharedStrings.xml><?xml version="1.0" encoding="utf-8"?>
<sst xmlns="http://schemas.openxmlformats.org/spreadsheetml/2006/main" count="125" uniqueCount="81">
  <si>
    <t>PARTICIPANT FIRSTNAME</t>
  </si>
  <si>
    <t>PARTICIPANT LASTNAME</t>
  </si>
  <si>
    <t>PARTICIPANT FULLNAME</t>
  </si>
  <si>
    <t>PARTICIPANT ID</t>
  </si>
  <si>
    <t>Referral Match Row</t>
  </si>
  <si>
    <t>Num FloodLAMP Results Pos or Incl</t>
  </si>
  <si>
    <t>FloodLAMP Match Row</t>
  </si>
  <si>
    <t>FloodLAMP Tube ID</t>
  </si>
  <si>
    <t>FloodLAMP Test Result</t>
  </si>
  <si>
    <t>FloodLAMP Test Date</t>
  </si>
  <si>
    <t>1st Referral Test Date</t>
  </si>
  <si>
    <t>Antigen Neg with Other Positive</t>
  </si>
  <si>
    <t>Referral Overall Result</t>
  </si>
  <si>
    <t>1st Referral Test Type</t>
  </si>
  <si>
    <t>1st Referral Test Result</t>
  </si>
  <si>
    <t>2nd Referral Test Type</t>
  </si>
  <si>
    <t>2nd Referral Test Result</t>
  </si>
  <si>
    <t>3rd Referral Test Type</t>
  </si>
  <si>
    <t>3rd Referral Test Result</t>
  </si>
  <si>
    <t>Tube ID for Initial Case of Cluster</t>
  </si>
  <si>
    <t>Same Tube ID</t>
  </si>
  <si>
    <t>Referral Eval</t>
  </si>
  <si>
    <t>AG173</t>
  </si>
  <si>
    <t>Only same day positive from pool but other people in pool became pos in next few days</t>
  </si>
  <si>
    <t>Not same day positive but other person in pool was - became referral test positive in following days (no indiv FL deconv)</t>
  </si>
  <si>
    <t>Antigen</t>
  </si>
  <si>
    <t>Negative</t>
  </si>
  <si>
    <t>Positive</t>
  </si>
  <si>
    <t>Person in Referral Test Data Antigen Pos on 12-11 did FL test with Neg result on 12-6, 12-7, and 12-8 but they nested neg by Rapid PCR (Mesa) on 12-8, and Antigen Neg on 12-9 and 12-10 before becoming Antigen pos on 12-11</t>
  </si>
  <si>
    <t>MANUAL is used when the person's name appears more than once in the Positives and Inconclusives list</t>
  </si>
  <si>
    <t>Fill in the TubeID manually by matching the date and make cell white</t>
  </si>
  <si>
    <t>Change col I and J formula to use VLOOKUP</t>
  </si>
  <si>
    <t>MUST CLEAR EXTRA ROWS AT BOTTOM</t>
  </si>
  <si>
    <t>REFERRAL TEST COLLECTION DATE</t>
  </si>
  <si>
    <t>REFERRAL TEST COLLECTION TIME</t>
  </si>
  <si>
    <t>REFERRAL TEST RESULT DATE</t>
  </si>
  <si>
    <t>REFERRAL TEST RESULT TIME</t>
  </si>
  <si>
    <t>REFERRAL TEST TYPE</t>
  </si>
  <si>
    <t>REFERRAL TEST MODEL</t>
  </si>
  <si>
    <t>REFERRAL TEST RESULT</t>
  </si>
  <si>
    <t>REFERRAL TEST CT (IF PCR)</t>
  </si>
  <si>
    <t>SYMPTOMS?</t>
  </si>
  <si>
    <t>VACCINATED?</t>
  </si>
  <si>
    <t>NOTES</t>
  </si>
  <si>
    <t>SOURCE NOTES</t>
  </si>
  <si>
    <t>INIT FL POS TUBE ID FROM CASE CLUSTER</t>
  </si>
  <si>
    <t>ABRM805764</t>
  </si>
  <si>
    <t>Rapid PCR</t>
  </si>
  <si>
    <t>Mesa BioTech Accula SARS-CoV-2 RT PCR Test</t>
  </si>
  <si>
    <t>Program Admin email, phone messages, and manuscript draft</t>
  </si>
  <si>
    <t>ABRM582390</t>
  </si>
  <si>
    <t>LAMP Device</t>
  </si>
  <si>
    <t>Lucira</t>
  </si>
  <si>
    <t>ABRM771013</t>
  </si>
  <si>
    <t>Interesting last case - finally turned Antigen positive 3 days after FloodLAMP positive, with a same day rapid PCR (Mesa) false negative.</t>
  </si>
  <si>
    <t>Since the person developed symptoms the day after the FloodLAMP test, it's likely the FloodLAMP test was a true positive that detected the case when both rapid PCR and antigen failed.</t>
  </si>
  <si>
    <t>IMPORTS &gt;&gt;
URL link below</t>
  </si>
  <si>
    <t>Sample Person1 ID</t>
  </si>
  <si>
    <t>Sample Person2 ID</t>
  </si>
  <si>
    <t>Sample Person3 ID</t>
  </si>
  <si>
    <t>Sample Person4 ID</t>
  </si>
  <si>
    <t>Num Instances Name</t>
  </si>
  <si>
    <t>ABRM_RFR_deID_PUB</t>
  </si>
  <si>
    <t>ABRM_APS_deID_PUB</t>
  </si>
  <si>
    <t>Links</t>
  </si>
  <si>
    <t>gdoc in Abrome PHI:</t>
  </si>
  <si>
    <t>Copy of Case study: Abrome positive case detection v3 (for FloodlAMP review)</t>
  </si>
  <si>
    <t>See Notes in this tab in PHI version - copied into the gdoc: Positive Case Notes - from Referral Source Info PHI tab of RFR</t>
  </si>
  <si>
    <t>Step</t>
  </si>
  <si>
    <t>Gather primary information / sources in the deployment Raw data folder on the PHI drive</t>
  </si>
  <si>
    <t>Copy RTR Correction Template into deployment folder on PHI drive, name according to Prog4Chars_RTR_PHI_vN.N</t>
  </si>
  <si>
    <r>
      <rPr>
        <rFont val="Arial"/>
        <color theme="1"/>
        <sz val="11.0"/>
      </rPr>
      <t xml:space="preserve">Copy primary / source information into the </t>
    </r>
    <r>
      <rPr>
        <rFont val="Arial"/>
        <b/>
        <color theme="1"/>
        <sz val="11.0"/>
      </rPr>
      <t>Source Data</t>
    </r>
    <r>
      <rPr>
        <rFont val="Arial"/>
        <color theme="1"/>
        <sz val="11.0"/>
      </rPr>
      <t xml:space="preserve"> tabs and/or use these tabs to provide links to external source files, give these tabs short descriptive names</t>
    </r>
  </si>
  <si>
    <r>
      <rPr>
        <rFont val="Arial"/>
        <color theme="1"/>
        <sz val="11.0"/>
      </rPr>
      <t xml:space="preserve">Use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tab to perform any process, resolution, and organization steps needed to prepare the data to be entered into the table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</t>
    </r>
  </si>
  <si>
    <r>
      <rPr>
        <rFont val="Arial"/>
        <color theme="1"/>
        <sz val="11.0"/>
      </rPr>
      <t xml:space="preserve">Organize and label the data so that traceability between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tab and the </t>
    </r>
    <r>
      <rPr>
        <rFont val="Arial"/>
        <b/>
        <color theme="1"/>
        <sz val="11.0"/>
      </rPr>
      <t xml:space="preserve">Referral </t>
    </r>
    <r>
      <rPr>
        <rFont val="Arial"/>
        <color theme="1"/>
        <sz val="11.0"/>
      </rPr>
      <t xml:space="preserve">tab can be made clear (use Source Notes column on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 to establish this connection where needed)</t>
    </r>
  </si>
  <si>
    <r>
      <rPr>
        <rFont val="Arial"/>
        <color theme="1"/>
        <sz val="11.0"/>
      </rPr>
      <t xml:space="preserve">List and describe the </t>
    </r>
    <r>
      <rPr>
        <rFont val="Arial"/>
        <b/>
        <color rgb="FF0000FF"/>
        <sz val="11.0"/>
      </rPr>
      <t>Process Substeps</t>
    </r>
    <r>
      <rPr>
        <rFont val="Arial"/>
        <color theme="1"/>
        <sz val="11.0"/>
      </rPr>
      <t xml:space="preserve"> used during this step below</t>
    </r>
  </si>
  <si>
    <r>
      <rPr>
        <rFont val="Arial"/>
        <color theme="1"/>
        <sz val="11.0"/>
      </rPr>
      <t xml:space="preserve">Use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and/or </t>
    </r>
    <r>
      <rPr>
        <rFont val="Arial"/>
        <b/>
        <color theme="1"/>
        <sz val="11.0"/>
      </rPr>
      <t>Source Data</t>
    </r>
    <r>
      <rPr>
        <rFont val="Arial"/>
        <color theme="1"/>
        <sz val="11.0"/>
      </rPr>
      <t xml:space="preserve"> to fill out the columns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</t>
    </r>
  </si>
  <si>
    <r>
      <rPr>
        <rFont val="Arial"/>
        <color theme="1"/>
        <sz val="11.0"/>
      </rPr>
      <t>Fill out the</t>
    </r>
    <r>
      <rPr>
        <rFont val="Arial"/>
        <b/>
        <color theme="1"/>
        <sz val="11.0"/>
      </rPr>
      <t xml:space="preserve"> Person ID</t>
    </r>
    <r>
      <rPr>
        <rFont val="Arial"/>
        <color theme="1"/>
        <sz val="11.0"/>
      </rPr>
      <t xml:space="preserve"> column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 using the </t>
    </r>
    <r>
      <rPr>
        <rFont val="Arial"/>
        <b/>
        <color theme="1"/>
        <sz val="11.0"/>
      </rPr>
      <t>DeID Key</t>
    </r>
    <r>
      <rPr>
        <rFont val="Arial"/>
        <color theme="1"/>
        <sz val="11.0"/>
      </rPr>
      <t xml:space="preserve"> in the APS file for this deployment</t>
    </r>
  </si>
  <si>
    <t>Copy the non-PHI column data into the columns on the CD RTR tab</t>
  </si>
  <si>
    <t>Move CD RTR to Main &gt; Data drive</t>
  </si>
  <si>
    <t>Process Substeps</t>
  </si>
  <si>
    <t>Referral table filled out directly from Source Data Notes (Hamilton/Bowers case tab) - no processing or organizational steps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</si>
</sst>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u/>
      <color theme="1"/>
      <name val="Arial"/>
      <scheme val="minor"/>
    </font>
    <font>
      <b/>
      <color rgb="FF222222"/>
      <name val="Arial"/>
    </font>
    <font>
      <i/>
      <color theme="1"/>
      <name val="Arial"/>
      <scheme val="minor"/>
    </font>
    <font>
      <i/>
      <color theme="1"/>
      <name val="Arial"/>
    </font>
    <font>
      <i/>
      <color rgb="FF222222"/>
      <name val="Arial"/>
    </font>
    <font>
      <color rgb="FF000000"/>
      <name val="Arial"/>
    </font>
    <font>
      <color rgb="FF000000"/>
      <name val="Arial"/>
      <scheme val="minor"/>
    </font>
    <font>
      <color rgb="FF222222"/>
      <name val="Arial"/>
    </font>
    <font>
      <b/>
      <u/>
      <sz val="14.0"/>
      <color theme="1"/>
      <name val="Arial"/>
    </font>
    <font>
      <sz val="11.0"/>
      <color theme="1"/>
      <name val="Arial"/>
    </font>
    <font>
      <b/>
      <u/>
      <sz val="14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2" fontId="4" numFmtId="164" xfId="0" applyFill="1" applyFont="1" applyNumberFormat="1"/>
    <xf borderId="0" fillId="3" fontId="4" numFmtId="0" xfId="0" applyAlignment="1" applyFill="1" applyFont="1">
      <alignment horizontal="center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4" fontId="4" numFmtId="164" xfId="0" applyFill="1" applyFont="1" applyNumberFormat="1"/>
    <xf borderId="0" fillId="4" fontId="4" numFmtId="0" xfId="0" applyFont="1"/>
    <xf borderId="0" fillId="0" fontId="3" numFmtId="0" xfId="0" applyAlignment="1" applyFont="1">
      <alignment horizontal="center" vertical="bottom"/>
    </xf>
    <xf borderId="0" fillId="5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6" fontId="4" numFmtId="164" xfId="0" applyFill="1" applyFont="1" applyNumberFormat="1"/>
    <xf borderId="0" fillId="4" fontId="4" numFmtId="0" xfId="0" applyAlignment="1" applyFont="1">
      <alignment horizontal="center"/>
    </xf>
    <xf borderId="0" fillId="4" fontId="3" numFmtId="0" xfId="0" applyAlignment="1" applyFont="1">
      <alignment horizontal="center" vertical="bottom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right"/>
    </xf>
    <xf borderId="0" fillId="4" fontId="4" numFmtId="164" xfId="0" applyAlignment="1" applyFont="1" applyNumberFormat="1">
      <alignment horizontal="right"/>
    </xf>
    <xf borderId="0" fillId="7" fontId="4" numFmtId="0" xfId="0" applyAlignment="1" applyFill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8" fontId="1" numFmtId="0" xfId="0" applyAlignment="1" applyFill="1" applyFont="1">
      <alignment shrinkToFit="0" vertical="bottom" wrapText="1"/>
    </xf>
    <xf borderId="0" fillId="9" fontId="1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horizontal="left"/>
    </xf>
    <xf borderId="0" fillId="4" fontId="3" numFmtId="164" xfId="0" applyAlignment="1" applyFont="1" applyNumberFormat="1">
      <alignment vertical="bottom"/>
    </xf>
    <xf borderId="0" fillId="0" fontId="4" numFmtId="164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0" fillId="9" fontId="4" numFmtId="0" xfId="0" applyAlignment="1" applyFont="1">
      <alignment readingOrder="0"/>
    </xf>
    <xf borderId="0" fillId="10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1"/>
    </xf>
    <xf borderId="0" fillId="6" fontId="2" numFmtId="0" xfId="0" applyAlignment="1" applyFont="1">
      <alignment shrinkToFit="0" wrapText="1"/>
    </xf>
    <xf borderId="0" fillId="4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2" fontId="3" numFmtId="0" xfId="0" applyAlignment="1" applyFont="1">
      <alignment vertical="bottom"/>
    </xf>
    <xf borderId="0" fillId="6" fontId="4" numFmtId="0" xfId="0" applyFont="1"/>
    <xf borderId="0" fillId="6" fontId="4" numFmtId="21" xfId="0" applyFont="1" applyNumberFormat="1"/>
    <xf borderId="0" fillId="4" fontId="3" numFmtId="0" xfId="0" applyAlignment="1" applyFont="1">
      <alignment vertical="bottom"/>
    </xf>
    <xf borderId="0" fillId="11" fontId="3" numFmtId="0" xfId="0" applyAlignment="1" applyFill="1" applyFont="1">
      <alignment vertical="bottom"/>
    </xf>
    <xf borderId="0" fillId="2" fontId="2" numFmtId="0" xfId="0" applyAlignment="1" applyFont="1">
      <alignment shrinkToFit="0" wrapText="1"/>
    </xf>
    <xf borderId="0" fillId="6" fontId="2" numFmtId="0" xfId="0" applyAlignment="1" applyFont="1">
      <alignment horizontal="left" shrinkToFit="0" wrapText="1"/>
    </xf>
    <xf borderId="0" fillId="6" fontId="4" numFmtId="0" xfId="0" applyAlignment="1" applyFont="1">
      <alignment horizontal="center"/>
    </xf>
    <xf borderId="0" fillId="6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 shrinkToFit="0" vertical="bottom" wrapText="0"/>
    </xf>
    <xf borderId="0" fillId="8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vertical="bottom"/>
    </xf>
    <xf borderId="0" fillId="8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1" numFmtId="0" xfId="0" applyFont="1"/>
    <xf borderId="0" fillId="8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zddUuVUJJRU2gSW45EBK2qlD8uYIW8B5jm-kziiklHU/edit?usp=sharing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40IAw1sI2nPQztTAXY9-XJxd4lPpOhpeXb-IXXnWUZk/edit?usp=sharing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5.88"/>
    <col customWidth="1" min="3" max="4" width="20.5"/>
    <col customWidth="1" min="5" max="5" width="9.38"/>
    <col customWidth="1" min="6" max="6" width="15.25"/>
    <col customWidth="1" min="7" max="7" width="16.88"/>
    <col customWidth="1" min="8" max="8" width="10.5"/>
    <col customWidth="1" min="9" max="10" width="13.88"/>
    <col customWidth="1" min="23" max="23" width="13.38"/>
    <col customWidth="1" min="24" max="24" width="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tr">
        <f>CONCATENATE(SUM(F2:F1000), " Num Sequential Referral Tests")</f>
        <v>7 Num Sequential Referral Tests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1" t="str">
        <f>CONCATENATE(COUNTIF(W2:W1000,TRUE), " Included in APS Pos and Incl?")</f>
        <v>3 Included in APS Pos and Incl?</v>
      </c>
      <c r="X1" s="5">
        <f>COUNTIF(X2:X14,TRUE)</f>
        <v>0</v>
      </c>
      <c r="Y1" s="4" t="s">
        <v>21</v>
      </c>
    </row>
    <row r="2">
      <c r="A2" s="6" t="str">
        <f t="array" ref="A2">INDEX('Referral Test Data'!$A$1:$B1000,$E2,1)</f>
        <v/>
      </c>
      <c r="B2" s="6" t="str">
        <f t="array" ref="B2">INDEX('Referral Test Data'!$A$1:$B1000,$E2,2)</f>
        <v/>
      </c>
      <c r="C2" s="7" t="str">
        <f>IFERROR(__xludf.DUMMYFUNCTION("FILTER('Referral Test Data'!C2:C100, ('Referral Test Data'!C2:C100 &lt;&gt; 'Referral Test Data'!C1:C99))
"),"")</f>
        <v/>
      </c>
      <c r="D2" s="8" t="str">
        <f>IFERROR(__xludf.DUMMYFUNCTION("FILTER('Referral Test Data'!D2:D100, ('Referral Test Data'!D2:D100 &lt;&gt; 'Referral Test Data'!D1:D99))
"),"ABRM805764")</f>
        <v>ABRM805764</v>
      </c>
      <c r="E2" s="9">
        <f>MATCH(D2,'Referral Test Data'!D$1:D1000,0)</f>
        <v>2</v>
      </c>
      <c r="F2" s="10">
        <f>IF(ISBLANK(E3),COUNTA('Referral Test Data'!D$2:D1000)-SUM(F1:F$2),E3-E2)</f>
        <v>1</v>
      </c>
      <c r="G2" s="11">
        <f>IFERROR(VLOOKUP(D2,'ALL Pos and Incl IMPORT'!Q$2:U1000,5,FALSE),0)</f>
        <v>2</v>
      </c>
      <c r="H2" s="11" t="str">
        <f>IF(G2=1, 
 IFERROR(MATCH(D2, 'ALL Pos and Incl IMPORT'!Q$1:Q1000, 0), 
 IFERROR(MATCH(D2, 'ALL Pos and Incl IMPORT'!R$1:R1000, 0), 
 IFERROR(MATCH(D2, 'ALL Pos and Incl IMPORT'!S$1:S1000, 0), 
 IFERROR(MATCH(D2, 'ALL Pos and Incl IMPORT'!T$1:T1000, 0), 
  "error - 1 but not found"
 )))), 
 IF(G2&gt;=2,"MANUAL","not found")
)</f>
        <v>MANUAL</v>
      </c>
      <c r="I2" s="12" t="s">
        <v>22</v>
      </c>
      <c r="J2" s="13" t="str">
        <f t="array" ref="J2">IFERROR(INDEX('ALL Pos and Incl IMPORT'!$B$1:$U1000,$H2,6),VLOOKUP(I2,'ALL Pos and Incl IMPORT'!B$2:G1000,6,FALSE))</f>
        <v>Positive</v>
      </c>
      <c r="K2" s="14">
        <f t="array" ref="K2">IFERROR(INDEX('ALL Pos and Incl IMPORT'!$B$1:$U1000,$H2,6),VLOOKUP(I2,'ALL Pos and Incl IMPORT'!B$2:G1000,3,FALSE))</f>
        <v>44903</v>
      </c>
      <c r="L2" s="15">
        <f t="array" ref="L2">INDEX('Referral Test Data'!$C$1:$P1000,$E2,3)</f>
        <v>44903</v>
      </c>
      <c r="M2" s="16" t="b">
        <f t="shared" ref="M2:M3" si="1">IF(AND(EXACT(O2,"Antigen"),EXACT(P2,"Negative"),OR(EXACT(R2,"Positive"),EXACT(T2,"Positive"))),TRUE,FALSE)</f>
        <v>0</v>
      </c>
      <c r="N2" s="16" t="str">
        <f t="shared" ref="N2:N4" si="2">IF(AND(ISBLANK(T2),ISBLANK(R2)),P2,IF(ISBLANK(T2),R2,T2))</f>
        <v>Positive</v>
      </c>
      <c r="O2" s="7" t="str">
        <f t="array" ref="O2">INDEX('Referral Test Data'!$C$1:$P1000,$E2,7)</f>
        <v>Rapid PCR</v>
      </c>
      <c r="P2" s="7" t="str">
        <f t="array" ref="P2">INDEX('Referral Test Data'!$C$1:$P1000,$E2,9)</f>
        <v>Positive</v>
      </c>
      <c r="Q2" s="7" t="str">
        <f t="array" ref="Q2">IF(OR($E2+1&lt;$E3, AND(ISBLANK($E3), ($E2-1)&lt;COUNT(#REF!))), INDEX('Referral Test Data'!$C$1:$P1000,$E2+1,7), IFERROR(0/0,""))
</f>
        <v/>
      </c>
      <c r="R2" s="7" t="str">
        <f t="array" ref="R2">IF(OR($E2+1&lt;$E3, AND(ISBLANK($E3), ($E2-1)&lt;COUNT(#REF!))), INDEX('Referral Test Data'!$C$1:$P1000,$E2+1,9),IFERROR(0/0,""))</f>
        <v/>
      </c>
      <c r="S2" s="7" t="str">
        <f t="array" ref="S2">IF(OR($E2+2&lt;$E3, AND(ISBLANK($E3), ($E2-1)&lt;COUNT(#REF!))), INDEX('Referral Test Data'!$C$1:$P1000,$E2+2,7),IFERROR(0/0,""))</f>
        <v/>
      </c>
      <c r="T2" s="7" t="str">
        <f t="array" ref="T2">IF(OR($E2+2&lt;$E3, AND(ISBLANK($E3), ($E2-1)&lt;COUNT(#REF!))), INDEX('Referral Test Data'!$C$1:$P1000,$E2+2,9),IFERROR(0/0,""))</f>
        <v/>
      </c>
      <c r="U2" s="6" t="str">
        <f t="array" ref="U2">INDEX('Referral Test Data'!$C$1:$Q1000,$E2,15)</f>
        <v>AG173</v>
      </c>
      <c r="V2" s="17" t="b">
        <f t="shared" ref="V2:V4" si="3">EXACT(U2,I2)</f>
        <v>1</v>
      </c>
      <c r="W2" s="18" t="b">
        <v>1</v>
      </c>
      <c r="Y2" s="19" t="s">
        <v>23</v>
      </c>
    </row>
    <row r="3">
      <c r="A3" s="6"/>
      <c r="B3" s="6"/>
      <c r="D3" s="20" t="str">
        <f>IFERROR(__xludf.DUMMYFUNCTION("""COMPUTED_VALUE"""),"ABRM582390")</f>
        <v>ABRM582390</v>
      </c>
      <c r="E3" s="21">
        <f t="array" ref="E3">IFERROR(
  MATCH(D3, INDIRECT("'Referral Test Data'!D" &amp; E2 + 1 &amp; ":D"), 0) + E2, 
  MATCH(D3, 'Referral Test Data'!D3:D1000, 0)
)</f>
        <v>3</v>
      </c>
      <c r="F3" s="22">
        <f>IF(ISBLANK(E4),COUNTA('Referral Test Data'!D$2:D1000)-SUM(F2:F$2),E4-E3)</f>
        <v>2</v>
      </c>
      <c r="G3" s="11">
        <f>IFERROR(VLOOKUP(D3,'ALL Pos and Incl IMPORT'!Q$2:U1000,5,FALSE),0)</f>
        <v>2</v>
      </c>
      <c r="H3" s="11" t="str">
        <f>IF(G3=1, 
 IFERROR(MATCH(D3, 'ALL Pos and Incl IMPORT'!Q$1:Q1000, 0), 
 IFERROR(MATCH(D3, 'ALL Pos and Incl IMPORT'!R$1:R1000, 0), 
 IFERROR(MATCH(D3, 'ALL Pos and Incl IMPORT'!S$1:S1000, 0), 
 IFERROR(MATCH(D3, 'ALL Pos and Incl IMPORT'!T$1:T1000, 0), 
  "error - 1 but not found"
 )))), 
 IF(G3&gt;=2,"MANUAL","not found")
)</f>
        <v>MANUAL</v>
      </c>
      <c r="I3" s="12" t="s">
        <v>22</v>
      </c>
      <c r="J3" s="13" t="str">
        <f t="array" ref="J3">IFERROR(INDEX('ALL Pos and Incl IMPORT'!$B$1:$U1000,$H3,6),VLOOKUP(I3,'ALL Pos and Incl IMPORT'!B$2:G1000,6,FALSE))</f>
        <v>Positive</v>
      </c>
      <c r="K3" s="14">
        <f t="array" ref="K3">IFERROR(INDEX('ALL Pos and Incl IMPORT'!$B$1:$U1000,$H3,6),VLOOKUP(I3,'ALL Pos and Incl IMPORT'!B$2:G1000,3,FALSE))</f>
        <v>44903</v>
      </c>
      <c r="L3" s="15">
        <f t="array" ref="L3">INDEX('Referral Test Data'!$C$1:$P1000,$E3,3)</f>
        <v>44903</v>
      </c>
      <c r="M3" s="16" t="b">
        <f t="shared" si="1"/>
        <v>0</v>
      </c>
      <c r="N3" s="23" t="str">
        <f t="shared" si="2"/>
        <v>Positive</v>
      </c>
      <c r="O3" s="7" t="str">
        <f t="array" ref="O3">INDEX('Referral Test Data'!$C$1:$P1000,$E3,7)</f>
        <v>LAMP Device</v>
      </c>
      <c r="P3" s="7" t="str">
        <f t="array" ref="P3">INDEX('Referral Test Data'!$C$1:$P1000,$E3,9)</f>
        <v>Negative</v>
      </c>
      <c r="Q3" s="7" t="str">
        <f t="array" ref="Q3">IF(OR($E3+1&lt;$E4, AND(ISBLANK($E4), ($E3-1)&lt;COUNT(#REF!))), INDEX('Referral Test Data'!$C$1:$P1000,$E3+1,7), IFERROR(0/0,""))
</f>
        <v>LAMP Device</v>
      </c>
      <c r="R3" s="7" t="str">
        <f t="array" ref="R3">IF(OR($E3+1&lt;$E4, AND(ISBLANK($E4), ($E3-1)&lt;COUNT(#REF!))), INDEX('Referral Test Data'!$C$1:$P1000,$E3+1,9),IFERROR(0/0,""))</f>
        <v>Positive</v>
      </c>
      <c r="S3" s="7" t="str">
        <f t="array" ref="S3">IF(OR($E3+2&lt;$E4, AND(ISBLANK($E4), ($E3-1)&lt;COUNT(#REF!))), INDEX('Referral Test Data'!$C$1:$P1000,$E3+2,7),IFERROR(0/0,""))</f>
        <v/>
      </c>
      <c r="T3" s="7" t="str">
        <f t="array" ref="T3">IF(OR($E3+2&lt;$E4, AND(ISBLANK($E4), ($E3-1)&lt;COUNT(#REF!))), INDEX('Referral Test Data'!$C$1:$P1000,$E3+2,9),IFERROR(0/0,""))</f>
        <v/>
      </c>
      <c r="U3" s="6" t="str">
        <f t="array" ref="U3">INDEX('Referral Test Data'!$C$1:$Q1000,$E3,15)</f>
        <v>AG173</v>
      </c>
      <c r="V3" s="17" t="b">
        <f t="shared" si="3"/>
        <v>1</v>
      </c>
      <c r="W3" s="18" t="b">
        <v>1</v>
      </c>
      <c r="Y3" s="19" t="s">
        <v>24</v>
      </c>
    </row>
    <row r="4">
      <c r="A4" s="6" t="str">
        <f t="array" ref="A4">INDEX('Referral Test Data'!$A$1:$B1000,$E4,1)</f>
        <v/>
      </c>
      <c r="B4" s="6" t="str">
        <f t="array" ref="B4">INDEX('Referral Test Data'!$A$1:$B1000,$E4,2)</f>
        <v/>
      </c>
      <c r="D4" s="20" t="str">
        <f>IFERROR(__xludf.DUMMYFUNCTION("""COMPUTED_VALUE"""),"ABRM771013")</f>
        <v>ABRM771013</v>
      </c>
      <c r="E4" s="21">
        <f t="array" ref="E4">IFERROR(
  MATCH(D4, INDIRECT("'Referral Test Data'!D" &amp; E3 + 1 &amp; ":D"), 0) + E3, 
  MATCH(D4, 'Referral Test Data'!D4:D1000, 0)
)</f>
        <v>5</v>
      </c>
      <c r="F4" s="22">
        <f>IF(ISBLANK(E5),COUNTA('Referral Test Data'!D$2:D1000)-SUM(F$2:F3),E5-E4)</f>
        <v>4</v>
      </c>
      <c r="G4" s="11">
        <f>IFERROR(VLOOKUP(D4,'ALL Pos and Incl IMPORT'!Q$2:U1000,5,FALSE),0)</f>
        <v>1</v>
      </c>
      <c r="H4" s="21">
        <f>IF(G4=1, 
 IFERROR(MATCH(D4, 'ALL Pos and Incl IMPORT'!Q$1:Q1000, 0), 
 IFERROR(MATCH(D4, 'ALL Pos and Incl IMPORT'!R$1:R1000, 0), 
 IFERROR(MATCH(D4, 'ALL Pos and Incl IMPORT'!S$1:S1000, 0), 
 IFERROR(MATCH(D4, 'ALL Pos and Incl IMPORT'!T$1:T1000, 0), 
  "error - 1 but not found"
 )))), 
 IF(G4&gt;=2,"MANUAL","not found")
)</f>
        <v>2</v>
      </c>
      <c r="I4" s="24" t="str">
        <f t="array" ref="I4">IFERROR(INDEX('ALL Pos and Incl IMPORT'!$B$1:$U1000,$H4,1),$H4)</f>
        <v>AG173</v>
      </c>
      <c r="J4" s="24" t="str">
        <f t="array" ref="J4">IFERROR(INDEX('ALL Pos and Incl IMPORT'!$B$1:$U1000,$H4,6),$H4)</f>
        <v>Positive</v>
      </c>
      <c r="K4" s="25">
        <f t="array" ref="K4">IFERROR(INDEX('ALL Pos and Incl IMPORT'!$B$1:$U1000,$H4,3),$H4)</f>
        <v>44903</v>
      </c>
      <c r="L4" s="15">
        <f t="array" ref="L4">INDEX('Referral Test Data'!$C$1:$P1000,$E4,3)</f>
        <v>44903</v>
      </c>
      <c r="M4" s="23" t="b">
        <v>1</v>
      </c>
      <c r="N4" s="23" t="str">
        <f t="shared" si="2"/>
        <v>Positive</v>
      </c>
      <c r="O4" s="7" t="str">
        <f t="array" ref="O4">INDEX('Referral Test Data'!$C$1:$P1000,$E4,7)</f>
        <v>Rapid PCR</v>
      </c>
      <c r="P4" s="7" t="str">
        <f t="array" ref="P4">INDEX('Referral Test Data'!$C$1:$P1000,$E4,9)</f>
        <v>Negative</v>
      </c>
      <c r="Q4" s="19" t="s">
        <v>25</v>
      </c>
      <c r="R4" s="19" t="s">
        <v>26</v>
      </c>
      <c r="S4" s="26" t="s">
        <v>25</v>
      </c>
      <c r="T4" s="26" t="s">
        <v>27</v>
      </c>
      <c r="U4" s="6" t="str">
        <f t="array" ref="U4">INDEX('Referral Test Data'!$C$1:$Q1000,$E4,15)</f>
        <v>AG173</v>
      </c>
      <c r="V4" s="17" t="b">
        <f t="shared" si="3"/>
        <v>1</v>
      </c>
      <c r="W4" s="18" t="b">
        <v>1</v>
      </c>
      <c r="Y4" s="19" t="s">
        <v>28</v>
      </c>
    </row>
    <row r="5">
      <c r="D5" s="27"/>
      <c r="E5" s="11"/>
      <c r="F5" s="11"/>
      <c r="G5" s="11"/>
      <c r="H5" s="11"/>
      <c r="I5" s="12"/>
      <c r="J5" s="12"/>
      <c r="K5" s="28"/>
    </row>
    <row r="6">
      <c r="E6" s="11"/>
      <c r="F6" s="11"/>
      <c r="G6" s="11"/>
      <c r="H6" s="11"/>
      <c r="I6" s="12"/>
      <c r="J6" s="12"/>
      <c r="K6" s="28"/>
    </row>
    <row r="7">
      <c r="E7" s="11"/>
      <c r="F7" s="11"/>
      <c r="G7" s="11"/>
      <c r="H7" s="11"/>
      <c r="I7" s="12"/>
      <c r="J7" s="12"/>
      <c r="K7" s="28"/>
    </row>
    <row r="8">
      <c r="E8" s="11"/>
      <c r="F8" s="11"/>
      <c r="G8" s="11"/>
      <c r="H8" s="11"/>
      <c r="I8" s="12"/>
      <c r="J8" s="12"/>
      <c r="K8" s="28"/>
    </row>
    <row r="9">
      <c r="E9" s="11"/>
      <c r="F9" s="11"/>
      <c r="G9" s="11"/>
      <c r="H9" s="6" t="s">
        <v>29</v>
      </c>
      <c r="I9" s="6"/>
      <c r="J9" s="6"/>
      <c r="K9" s="29"/>
    </row>
    <row r="10">
      <c r="E10" s="11"/>
      <c r="F10" s="11"/>
      <c r="G10" s="11"/>
      <c r="H10" s="6" t="s">
        <v>30</v>
      </c>
      <c r="I10" s="6"/>
      <c r="J10" s="6"/>
      <c r="K10" s="29"/>
    </row>
    <row r="11">
      <c r="E11" s="11"/>
      <c r="F11" s="11"/>
      <c r="G11" s="11"/>
      <c r="H11" s="6" t="s">
        <v>31</v>
      </c>
      <c r="I11" s="6"/>
      <c r="J11" s="6"/>
      <c r="K11" s="29"/>
    </row>
    <row r="12">
      <c r="E12" s="11"/>
      <c r="F12" s="11"/>
      <c r="G12" s="11"/>
      <c r="H12" s="11"/>
      <c r="I12" s="12"/>
      <c r="J12" s="12"/>
      <c r="K12" s="28"/>
    </row>
    <row r="13">
      <c r="E13" s="11"/>
      <c r="F13" s="11"/>
      <c r="G13" s="11"/>
      <c r="H13" s="11"/>
      <c r="I13" s="12"/>
      <c r="J13" s="12"/>
      <c r="K13" s="28"/>
    </row>
    <row r="14">
      <c r="E14" s="11"/>
      <c r="F14" s="11"/>
      <c r="G14" s="11"/>
      <c r="H14" s="11"/>
      <c r="I14" s="12"/>
      <c r="J14" s="12"/>
      <c r="K14" s="28"/>
    </row>
    <row r="15">
      <c r="E15" s="11"/>
      <c r="F15" s="11"/>
      <c r="G15" s="11"/>
      <c r="H15" s="11"/>
      <c r="I15" s="12"/>
      <c r="J15" s="12"/>
      <c r="K15" s="28"/>
    </row>
    <row r="16">
      <c r="F16" s="11"/>
      <c r="G16" s="11"/>
    </row>
    <row r="17">
      <c r="G17" s="11"/>
    </row>
    <row r="21">
      <c r="C21" s="30" t="s">
        <v>32</v>
      </c>
      <c r="D21" s="30"/>
      <c r="J21" s="7" t="str">
        <f>IF(G2=1, IFERROR(VLOOKUP(C2, #REF!, 6, FALSE), IFERROR(VLOOKUP(C2, #REF!, 5, FALSE), IFERROR(VLOOKUP(C2, #REF!, 4, FALSE), IFERROR(VLOOKUP(C2, #REF!, 3, FALSE), "error - 1 but not found")))),"LOOKUP")</f>
        <v>LOOKUP</v>
      </c>
    </row>
  </sheetData>
  <conditionalFormatting sqref="G1:G1000">
    <cfRule type="cellIs" dxfId="0" priority="1" operator="greaterThanOrEqual">
      <formula>2</formula>
    </cfRule>
  </conditionalFormatting>
  <conditionalFormatting sqref="G1:G1000">
    <cfRule type="cellIs" dxfId="1" priority="2" operator="equal">
      <formula>0</formula>
    </cfRule>
  </conditionalFormatting>
  <conditionalFormatting sqref="M2:M1000">
    <cfRule type="cellIs" dxfId="2" priority="3" operator="equal">
      <formula>"TRUE"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3" max="3" width="13.88"/>
    <col customWidth="1" min="5" max="5" width="17.13"/>
    <col customWidth="1" min="6" max="6" width="16.88"/>
    <col customWidth="1" min="7" max="7" width="15.13"/>
    <col customWidth="1" min="8" max="8" width="16.13"/>
    <col customWidth="1" min="9" max="9" width="12.75"/>
    <col customWidth="1" min="12" max="12" width="15.25"/>
    <col customWidth="1" min="13" max="13" width="15.63"/>
    <col customWidth="1" min="16" max="16" width="44.0"/>
    <col customWidth="1" min="17" max="17" width="15.38"/>
  </cols>
  <sheetData>
    <row r="1">
      <c r="A1" s="1" t="s">
        <v>0</v>
      </c>
      <c r="B1" s="31" t="s">
        <v>1</v>
      </c>
      <c r="C1" s="2" t="s">
        <v>2</v>
      </c>
      <c r="D1" s="31" t="s">
        <v>3</v>
      </c>
      <c r="E1" s="31" t="s">
        <v>33</v>
      </c>
      <c r="F1" s="31" t="s">
        <v>34</v>
      </c>
      <c r="G1" s="31" t="s">
        <v>35</v>
      </c>
      <c r="H1" s="31" t="s">
        <v>36</v>
      </c>
      <c r="I1" s="31" t="s">
        <v>37</v>
      </c>
      <c r="J1" s="31" t="s">
        <v>38</v>
      </c>
      <c r="K1" s="31" t="s">
        <v>39</v>
      </c>
      <c r="L1" s="31" t="s">
        <v>40</v>
      </c>
      <c r="M1" s="31" t="s">
        <v>41</v>
      </c>
      <c r="N1" s="32" t="s">
        <v>42</v>
      </c>
      <c r="O1" s="4" t="s">
        <v>43</v>
      </c>
      <c r="P1" s="31" t="s">
        <v>44</v>
      </c>
      <c r="Q1" s="33" t="s">
        <v>45</v>
      </c>
    </row>
    <row r="2">
      <c r="C2" s="34"/>
      <c r="D2" s="35" t="s">
        <v>46</v>
      </c>
      <c r="E2" s="36">
        <v>44903.0</v>
      </c>
      <c r="F2" s="37">
        <v>0.5416666666666666</v>
      </c>
      <c r="G2" s="36">
        <v>44903.0</v>
      </c>
      <c r="H2" s="37">
        <v>0.625</v>
      </c>
      <c r="I2" s="19" t="s">
        <v>47</v>
      </c>
      <c r="J2" s="19" t="s">
        <v>48</v>
      </c>
      <c r="K2" s="19" t="s">
        <v>27</v>
      </c>
      <c r="M2" s="19" t="b">
        <v>0</v>
      </c>
      <c r="P2" s="19" t="s">
        <v>49</v>
      </c>
      <c r="Q2" s="38" t="s">
        <v>22</v>
      </c>
    </row>
    <row r="3">
      <c r="A3" s="6"/>
      <c r="B3" s="6"/>
      <c r="C3" s="34"/>
      <c r="D3" s="35" t="s">
        <v>50</v>
      </c>
      <c r="E3" s="36">
        <v>44903.0</v>
      </c>
      <c r="F3" s="37">
        <v>0.5208333333333334</v>
      </c>
      <c r="G3" s="36">
        <v>44903.0</v>
      </c>
      <c r="H3" s="37">
        <v>0.5465277777777777</v>
      </c>
      <c r="I3" s="19" t="s">
        <v>51</v>
      </c>
      <c r="J3" s="19" t="s">
        <v>52</v>
      </c>
      <c r="K3" s="19" t="s">
        <v>26</v>
      </c>
      <c r="M3" s="19" t="b">
        <v>0</v>
      </c>
      <c r="P3" s="19" t="s">
        <v>49</v>
      </c>
      <c r="Q3" s="38" t="s">
        <v>22</v>
      </c>
    </row>
    <row r="4">
      <c r="A4" s="6"/>
      <c r="B4" s="6"/>
      <c r="C4" s="34"/>
      <c r="D4" s="35" t="s">
        <v>50</v>
      </c>
      <c r="E4" s="36">
        <v>44905.0</v>
      </c>
      <c r="I4" s="19" t="s">
        <v>51</v>
      </c>
      <c r="J4" s="19" t="s">
        <v>52</v>
      </c>
      <c r="K4" s="19" t="s">
        <v>27</v>
      </c>
      <c r="M4" s="19" t="b">
        <v>1</v>
      </c>
      <c r="P4" s="19" t="s">
        <v>49</v>
      </c>
      <c r="Q4" s="38" t="s">
        <v>22</v>
      </c>
    </row>
    <row r="5">
      <c r="C5" s="34"/>
      <c r="D5" s="35" t="s">
        <v>53</v>
      </c>
      <c r="E5" s="36">
        <v>44903.0</v>
      </c>
      <c r="F5" s="37">
        <v>0.5416666666666666</v>
      </c>
      <c r="G5" s="36">
        <v>44903.0</v>
      </c>
      <c r="H5" s="37">
        <v>0.625</v>
      </c>
      <c r="I5" s="19" t="s">
        <v>47</v>
      </c>
      <c r="J5" s="19" t="s">
        <v>48</v>
      </c>
      <c r="K5" s="19" t="s">
        <v>26</v>
      </c>
      <c r="M5" s="19" t="b">
        <v>0</v>
      </c>
      <c r="P5" s="19" t="s">
        <v>49</v>
      </c>
      <c r="Q5" s="38" t="s">
        <v>22</v>
      </c>
    </row>
    <row r="6">
      <c r="C6" s="34"/>
      <c r="D6" s="35" t="s">
        <v>53</v>
      </c>
      <c r="E6" s="36">
        <v>44904.0</v>
      </c>
      <c r="I6" s="19" t="s">
        <v>25</v>
      </c>
      <c r="K6" s="19" t="s">
        <v>26</v>
      </c>
      <c r="M6" s="19" t="b">
        <v>1</v>
      </c>
      <c r="P6" s="19" t="s">
        <v>49</v>
      </c>
      <c r="Q6" s="38" t="s">
        <v>22</v>
      </c>
    </row>
    <row r="7">
      <c r="C7" s="34"/>
      <c r="D7" s="35" t="s">
        <v>53</v>
      </c>
      <c r="E7" s="36">
        <v>44905.0</v>
      </c>
      <c r="I7" s="19" t="s">
        <v>25</v>
      </c>
      <c r="K7" s="19" t="s">
        <v>26</v>
      </c>
      <c r="M7" s="19" t="b">
        <v>1</v>
      </c>
      <c r="P7" s="19" t="s">
        <v>49</v>
      </c>
      <c r="Q7" s="38" t="s">
        <v>22</v>
      </c>
    </row>
    <row r="8">
      <c r="C8" s="34"/>
      <c r="D8" s="35" t="s">
        <v>53</v>
      </c>
      <c r="E8" s="36">
        <v>44906.0</v>
      </c>
      <c r="I8" s="19" t="s">
        <v>25</v>
      </c>
      <c r="K8" s="19" t="s">
        <v>27</v>
      </c>
      <c r="P8" s="19" t="s">
        <v>49</v>
      </c>
      <c r="Q8" s="38" t="s">
        <v>22</v>
      </c>
    </row>
    <row r="9">
      <c r="D9" s="36"/>
      <c r="E9" s="36"/>
      <c r="Q9" s="38"/>
    </row>
    <row r="10">
      <c r="D10" s="36"/>
      <c r="E10" s="36"/>
      <c r="I10" s="19" t="s">
        <v>54</v>
      </c>
      <c r="Q10" s="38"/>
    </row>
    <row r="11">
      <c r="D11" s="36"/>
      <c r="E11" s="36"/>
      <c r="I11" s="19" t="s">
        <v>55</v>
      </c>
      <c r="Q11" s="38"/>
    </row>
    <row r="12">
      <c r="D12" s="36"/>
      <c r="E12" s="36"/>
      <c r="Q12" s="38"/>
    </row>
    <row r="13">
      <c r="D13" s="36"/>
      <c r="E13" s="36"/>
      <c r="Q13" s="38"/>
    </row>
    <row r="14">
      <c r="D14" s="36"/>
      <c r="E14" s="36"/>
      <c r="Q14" s="38"/>
    </row>
    <row r="15">
      <c r="D15" s="36"/>
      <c r="E15" s="36"/>
      <c r="Q15" s="38"/>
    </row>
    <row r="16">
      <c r="D16" s="36"/>
      <c r="E16" s="36"/>
      <c r="Q16" s="38"/>
    </row>
    <row r="17">
      <c r="D17" s="36"/>
      <c r="E17" s="36"/>
      <c r="Q17" s="38"/>
    </row>
    <row r="18">
      <c r="D18" s="36"/>
      <c r="E18" s="36"/>
      <c r="Q18" s="38"/>
    </row>
    <row r="19">
      <c r="D19" s="36"/>
      <c r="E19" s="36"/>
      <c r="Q19" s="38"/>
    </row>
    <row r="20">
      <c r="D20" s="36"/>
      <c r="E20" s="36"/>
      <c r="Q20" s="38"/>
    </row>
    <row r="21">
      <c r="D21" s="36"/>
      <c r="E21" s="36"/>
      <c r="Q21" s="38"/>
    </row>
    <row r="22">
      <c r="D22" s="36"/>
      <c r="E22" s="36"/>
      <c r="Q22" s="38"/>
    </row>
    <row r="23">
      <c r="D23" s="36"/>
      <c r="E23" s="36"/>
      <c r="Q23" s="38"/>
    </row>
    <row r="24">
      <c r="D24" s="36"/>
      <c r="E24" s="36"/>
      <c r="Q24" s="38"/>
    </row>
    <row r="25">
      <c r="D25" s="36"/>
      <c r="E25" s="36"/>
      <c r="Q25" s="38"/>
    </row>
    <row r="26">
      <c r="D26" s="36"/>
      <c r="E26" s="36"/>
      <c r="Q26" s="38"/>
    </row>
    <row r="27">
      <c r="D27" s="36"/>
      <c r="E27" s="36"/>
      <c r="Q27" s="38"/>
    </row>
    <row r="28">
      <c r="D28" s="36"/>
      <c r="E28" s="36"/>
      <c r="Q28" s="38"/>
    </row>
    <row r="29">
      <c r="D29" s="36"/>
      <c r="E29" s="36"/>
      <c r="Q29" s="38"/>
    </row>
    <row r="30">
      <c r="D30" s="36"/>
      <c r="E30" s="36"/>
      <c r="Q30" s="38"/>
    </row>
    <row r="31">
      <c r="D31" s="36"/>
      <c r="E31" s="36"/>
      <c r="Q31" s="38"/>
    </row>
    <row r="32">
      <c r="D32" s="36"/>
      <c r="E32" s="36"/>
      <c r="Q32" s="38"/>
    </row>
    <row r="33">
      <c r="D33" s="36"/>
      <c r="E33" s="36"/>
      <c r="Q33" s="38"/>
    </row>
    <row r="34">
      <c r="D34" s="36"/>
      <c r="E34" s="36"/>
      <c r="Q34" s="38"/>
    </row>
    <row r="35">
      <c r="D35" s="36"/>
      <c r="E35" s="36"/>
      <c r="Q35" s="38"/>
    </row>
    <row r="36">
      <c r="D36" s="36"/>
      <c r="E36" s="36"/>
      <c r="Q36" s="38"/>
    </row>
    <row r="37">
      <c r="D37" s="36"/>
      <c r="E37" s="36"/>
      <c r="Q37" s="38"/>
    </row>
    <row r="38">
      <c r="D38" s="36"/>
      <c r="E38" s="36"/>
      <c r="Q38" s="38"/>
    </row>
    <row r="39">
      <c r="D39" s="36"/>
      <c r="E39" s="36"/>
      <c r="Q39" s="38"/>
    </row>
    <row r="40">
      <c r="D40" s="36"/>
      <c r="E40" s="36"/>
      <c r="Q40" s="38"/>
    </row>
    <row r="41">
      <c r="D41" s="36"/>
      <c r="E41" s="36"/>
      <c r="Q41" s="38"/>
    </row>
    <row r="42">
      <c r="D42" s="36"/>
      <c r="E42" s="36"/>
      <c r="Q42" s="38"/>
    </row>
    <row r="43">
      <c r="D43" s="36"/>
      <c r="E43" s="36"/>
      <c r="Q43" s="38"/>
    </row>
    <row r="44">
      <c r="D44" s="36"/>
      <c r="E44" s="36"/>
      <c r="Q44" s="38"/>
    </row>
    <row r="45">
      <c r="D45" s="36"/>
      <c r="E45" s="36"/>
      <c r="Q45" s="38"/>
    </row>
    <row r="46">
      <c r="D46" s="36"/>
      <c r="E46" s="36"/>
      <c r="Q46" s="38"/>
    </row>
    <row r="47">
      <c r="D47" s="36"/>
      <c r="E47" s="36"/>
      <c r="Q47" s="38"/>
    </row>
    <row r="48">
      <c r="D48" s="36"/>
      <c r="E48" s="36"/>
      <c r="Q48" s="38"/>
    </row>
    <row r="49">
      <c r="D49" s="36"/>
      <c r="E49" s="36"/>
      <c r="Q49" s="38"/>
    </row>
    <row r="50">
      <c r="D50" s="36"/>
      <c r="E50" s="36"/>
      <c r="Q50" s="38"/>
    </row>
    <row r="51">
      <c r="D51" s="36"/>
      <c r="E51" s="36"/>
      <c r="Q51" s="38"/>
    </row>
    <row r="52">
      <c r="D52" s="36"/>
      <c r="E52" s="36"/>
      <c r="Q52" s="38"/>
    </row>
    <row r="53">
      <c r="D53" s="36"/>
      <c r="E53" s="36"/>
      <c r="Q53" s="38"/>
    </row>
    <row r="54">
      <c r="D54" s="36"/>
      <c r="E54" s="36"/>
      <c r="Q54" s="38"/>
    </row>
    <row r="55">
      <c r="D55" s="36"/>
      <c r="E55" s="36"/>
      <c r="Q55" s="38"/>
    </row>
    <row r="56">
      <c r="D56" s="36"/>
      <c r="E56" s="36"/>
      <c r="Q56" s="38"/>
    </row>
    <row r="57">
      <c r="D57" s="36"/>
      <c r="E57" s="36"/>
      <c r="Q57" s="38"/>
    </row>
    <row r="58">
      <c r="D58" s="36"/>
      <c r="E58" s="36"/>
      <c r="Q58" s="38"/>
    </row>
    <row r="59">
      <c r="D59" s="36"/>
      <c r="E59" s="36"/>
      <c r="Q59" s="38"/>
    </row>
    <row r="60">
      <c r="D60" s="36"/>
      <c r="E60" s="36"/>
      <c r="Q60" s="38"/>
    </row>
    <row r="61">
      <c r="D61" s="36"/>
      <c r="E61" s="36"/>
      <c r="Q61" s="38"/>
    </row>
    <row r="62">
      <c r="D62" s="36"/>
      <c r="E62" s="36"/>
      <c r="Q62" s="38"/>
    </row>
    <row r="63">
      <c r="D63" s="36"/>
      <c r="E63" s="36"/>
      <c r="Q63" s="38"/>
    </row>
    <row r="64">
      <c r="D64" s="36"/>
      <c r="E64" s="36"/>
      <c r="Q64" s="38"/>
    </row>
    <row r="65">
      <c r="D65" s="36"/>
      <c r="E65" s="36"/>
      <c r="Q65" s="38"/>
    </row>
    <row r="66">
      <c r="D66" s="36"/>
      <c r="E66" s="36"/>
      <c r="Q66" s="38"/>
    </row>
    <row r="67">
      <c r="D67" s="36"/>
      <c r="E67" s="36"/>
      <c r="Q67" s="38"/>
    </row>
    <row r="68">
      <c r="D68" s="36"/>
      <c r="E68" s="36"/>
      <c r="Q68" s="38"/>
    </row>
    <row r="69">
      <c r="D69" s="36"/>
      <c r="E69" s="36"/>
      <c r="Q69" s="38"/>
    </row>
    <row r="70">
      <c r="D70" s="36"/>
      <c r="E70" s="36"/>
      <c r="Q70" s="38"/>
    </row>
    <row r="71">
      <c r="D71" s="36"/>
      <c r="E71" s="36"/>
      <c r="Q71" s="38"/>
    </row>
    <row r="72">
      <c r="D72" s="36"/>
      <c r="E72" s="36"/>
      <c r="Q72" s="38"/>
    </row>
    <row r="73">
      <c r="D73" s="36"/>
      <c r="E73" s="36"/>
      <c r="Q73" s="38"/>
    </row>
    <row r="74">
      <c r="D74" s="36"/>
      <c r="E74" s="36"/>
      <c r="Q74" s="38"/>
    </row>
    <row r="75">
      <c r="D75" s="36"/>
      <c r="E75" s="36"/>
      <c r="Q75" s="38"/>
    </row>
    <row r="76">
      <c r="D76" s="36"/>
      <c r="E76" s="36"/>
      <c r="Q76" s="38"/>
    </row>
    <row r="77">
      <c r="D77" s="36"/>
      <c r="E77" s="36"/>
      <c r="Q77" s="38"/>
    </row>
    <row r="78">
      <c r="D78" s="36"/>
      <c r="E78" s="36"/>
      <c r="Q78" s="38"/>
    </row>
    <row r="79">
      <c r="D79" s="36"/>
      <c r="E79" s="36"/>
      <c r="Q79" s="38"/>
    </row>
    <row r="80">
      <c r="D80" s="36"/>
      <c r="E80" s="36"/>
      <c r="Q80" s="38"/>
    </row>
    <row r="81">
      <c r="D81" s="36"/>
      <c r="E81" s="36"/>
      <c r="Q81" s="38"/>
    </row>
    <row r="82">
      <c r="D82" s="36"/>
      <c r="E82" s="36"/>
      <c r="Q82" s="38"/>
    </row>
    <row r="83">
      <c r="D83" s="36"/>
      <c r="E83" s="36"/>
      <c r="Q83" s="38"/>
    </row>
    <row r="84">
      <c r="D84" s="36"/>
      <c r="E84" s="36"/>
      <c r="Q84" s="38"/>
    </row>
    <row r="85">
      <c r="D85" s="36"/>
      <c r="E85" s="36"/>
      <c r="Q85" s="38"/>
    </row>
    <row r="86">
      <c r="D86" s="36"/>
      <c r="E86" s="36"/>
      <c r="Q86" s="38"/>
    </row>
    <row r="87">
      <c r="D87" s="36"/>
      <c r="E87" s="36"/>
      <c r="Q87" s="38"/>
    </row>
    <row r="88">
      <c r="D88" s="36"/>
      <c r="E88" s="36"/>
      <c r="Q88" s="38"/>
    </row>
    <row r="89">
      <c r="D89" s="36"/>
      <c r="E89" s="36"/>
      <c r="Q89" s="38"/>
    </row>
    <row r="90">
      <c r="D90" s="36"/>
      <c r="E90" s="36"/>
      <c r="Q90" s="38"/>
    </row>
    <row r="91">
      <c r="D91" s="36"/>
      <c r="E91" s="36"/>
      <c r="Q91" s="38"/>
    </row>
    <row r="92">
      <c r="D92" s="36"/>
      <c r="E92" s="36"/>
      <c r="Q92" s="38"/>
    </row>
    <row r="93">
      <c r="D93" s="36"/>
      <c r="E93" s="36"/>
      <c r="Q93" s="38"/>
    </row>
    <row r="94">
      <c r="D94" s="36"/>
      <c r="E94" s="36"/>
      <c r="Q94" s="38"/>
    </row>
    <row r="95">
      <c r="D95" s="36"/>
      <c r="E95" s="36"/>
      <c r="Q95" s="38"/>
    </row>
    <row r="96">
      <c r="D96" s="36"/>
      <c r="E96" s="36"/>
      <c r="Q96" s="38"/>
    </row>
    <row r="97">
      <c r="D97" s="36"/>
      <c r="E97" s="36"/>
      <c r="Q97" s="38"/>
    </row>
    <row r="98">
      <c r="D98" s="36"/>
      <c r="E98" s="36"/>
      <c r="Q98" s="38"/>
    </row>
    <row r="99">
      <c r="D99" s="36"/>
      <c r="E99" s="36"/>
      <c r="Q99" s="38"/>
    </row>
    <row r="100">
      <c r="D100" s="36"/>
      <c r="E100" s="36"/>
      <c r="Q100" s="38"/>
    </row>
    <row r="101">
      <c r="D101" s="36"/>
      <c r="E101" s="36"/>
      <c r="Q101" s="38"/>
    </row>
    <row r="102">
      <c r="D102" s="36"/>
      <c r="E102" s="36"/>
      <c r="Q102" s="38"/>
    </row>
    <row r="103">
      <c r="D103" s="36"/>
      <c r="E103" s="36"/>
      <c r="Q103" s="38"/>
    </row>
    <row r="104">
      <c r="D104" s="36"/>
      <c r="E104" s="36"/>
      <c r="Q104" s="38"/>
    </row>
    <row r="105">
      <c r="D105" s="36"/>
      <c r="E105" s="36"/>
      <c r="Q105" s="38"/>
    </row>
    <row r="106">
      <c r="D106" s="36"/>
      <c r="E106" s="36"/>
      <c r="Q106" s="38"/>
    </row>
    <row r="107">
      <c r="D107" s="36"/>
      <c r="E107" s="36"/>
      <c r="Q107" s="38"/>
    </row>
    <row r="108">
      <c r="D108" s="36"/>
      <c r="E108" s="36"/>
      <c r="Q108" s="38"/>
    </row>
    <row r="109">
      <c r="D109" s="36"/>
      <c r="E109" s="36"/>
      <c r="Q109" s="38"/>
    </row>
    <row r="110">
      <c r="D110" s="36"/>
      <c r="E110" s="36"/>
      <c r="Q110" s="38"/>
    </row>
    <row r="111">
      <c r="D111" s="36"/>
      <c r="E111" s="36"/>
      <c r="Q111" s="38"/>
    </row>
    <row r="112">
      <c r="D112" s="36"/>
      <c r="E112" s="36"/>
      <c r="Q112" s="38"/>
    </row>
    <row r="113">
      <c r="D113" s="36"/>
      <c r="E113" s="36"/>
      <c r="Q113" s="38"/>
    </row>
    <row r="114">
      <c r="D114" s="36"/>
      <c r="E114" s="36"/>
      <c r="Q114" s="38"/>
    </row>
    <row r="115">
      <c r="D115" s="36"/>
      <c r="E115" s="36"/>
      <c r="Q115" s="38"/>
    </row>
    <row r="116">
      <c r="D116" s="36"/>
      <c r="E116" s="36"/>
      <c r="Q116" s="38"/>
    </row>
    <row r="117">
      <c r="D117" s="36"/>
      <c r="E117" s="36"/>
      <c r="Q117" s="38"/>
    </row>
    <row r="118">
      <c r="D118" s="36"/>
      <c r="E118" s="36"/>
      <c r="Q118" s="38"/>
    </row>
    <row r="119">
      <c r="D119" s="36"/>
      <c r="E119" s="36"/>
      <c r="Q119" s="38"/>
    </row>
    <row r="120">
      <c r="D120" s="36"/>
      <c r="E120" s="36"/>
      <c r="Q120" s="38"/>
    </row>
    <row r="121">
      <c r="D121" s="36"/>
      <c r="E121" s="36"/>
      <c r="Q121" s="38"/>
    </row>
    <row r="122">
      <c r="D122" s="36"/>
      <c r="E122" s="36"/>
      <c r="Q122" s="38"/>
    </row>
    <row r="123">
      <c r="D123" s="36"/>
      <c r="E123" s="36"/>
      <c r="Q123" s="38"/>
    </row>
    <row r="124">
      <c r="D124" s="36"/>
      <c r="E124" s="36"/>
      <c r="Q124" s="38"/>
    </row>
    <row r="125">
      <c r="D125" s="36"/>
      <c r="E125" s="36"/>
      <c r="Q125" s="38"/>
    </row>
    <row r="126">
      <c r="D126" s="36"/>
      <c r="E126" s="36"/>
      <c r="Q126" s="38"/>
    </row>
    <row r="127">
      <c r="D127" s="36"/>
      <c r="E127" s="36"/>
      <c r="Q127" s="38"/>
    </row>
    <row r="128">
      <c r="D128" s="36"/>
      <c r="E128" s="36"/>
      <c r="Q128" s="38"/>
    </row>
    <row r="129">
      <c r="D129" s="36"/>
      <c r="E129" s="36"/>
      <c r="Q129" s="38"/>
    </row>
    <row r="130">
      <c r="D130" s="36"/>
      <c r="E130" s="36"/>
      <c r="Q130" s="38"/>
    </row>
    <row r="131">
      <c r="D131" s="36"/>
      <c r="E131" s="36"/>
      <c r="Q131" s="38"/>
    </row>
    <row r="132">
      <c r="D132" s="36"/>
      <c r="E132" s="36"/>
      <c r="Q132" s="38"/>
    </row>
    <row r="133">
      <c r="D133" s="36"/>
      <c r="E133" s="36"/>
      <c r="Q133" s="38"/>
    </row>
    <row r="134">
      <c r="D134" s="36"/>
      <c r="E134" s="36"/>
      <c r="Q134" s="38"/>
    </row>
    <row r="135">
      <c r="D135" s="36"/>
      <c r="E135" s="36"/>
      <c r="Q135" s="38"/>
    </row>
    <row r="136">
      <c r="D136" s="36"/>
      <c r="E136" s="36"/>
      <c r="Q136" s="38"/>
    </row>
    <row r="137">
      <c r="D137" s="36"/>
      <c r="E137" s="36"/>
      <c r="Q137" s="38"/>
    </row>
    <row r="138">
      <c r="D138" s="36"/>
      <c r="E138" s="36"/>
      <c r="Q138" s="3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3.75"/>
    <col customWidth="1" min="3" max="3" width="29.38"/>
    <col customWidth="1" min="8" max="8" width="15.5"/>
    <col customWidth="1" min="11" max="11" width="11.0"/>
    <col customWidth="1" min="17" max="17" width="19.88"/>
    <col customWidth="1" min="18" max="18" width="20.13"/>
    <col customWidth="1" min="19" max="19" width="19.38"/>
    <col customWidth="1" min="20" max="20" width="20.13"/>
    <col customWidth="1" min="21" max="21" width="8.88"/>
  </cols>
  <sheetData>
    <row r="1">
      <c r="A1" s="39" t="s">
        <v>56</v>
      </c>
      <c r="B1" s="40" t="str">
        <f>IFERROR(__xludf.DUMMYFUNCTION("IMPORTRANGE(A2,""ALL Tube Results!A1:F1"")"),"TUBE ID")</f>
        <v>TUBE ID</v>
      </c>
      <c r="C1" s="41" t="str">
        <f>IFERROR(__xludf.DUMMYFUNCTION("""COMPUTED_VALUE"""),"FINAL
ASSIGNED RUN ID")</f>
        <v>FINAL
ASSIGNED RUN ID</v>
      </c>
      <c r="D1" s="41" t="str">
        <f>IFERROR(__xludf.DUMMYFUNCTION("""COMPUTED_VALUE"""),"RUN DATE")</f>
        <v>RUN DATE</v>
      </c>
      <c r="E1" s="41" t="str">
        <f>IFERROR(__xludf.DUMMYFUNCTION("""COMPUTED_VALUE"""),"COLLECTION DATE")</f>
        <v>COLLECTION DATE</v>
      </c>
      <c r="F1" s="41" t="str">
        <f>IFERROR(__xludf.DUMMYFUNCTION("""COMPUTED_VALUE"""),"COLLECTION TIME")</f>
        <v>COLLECTION TIME</v>
      </c>
      <c r="G1" s="41" t="str">
        <f>IFERROR(__xludf.DUMMYFUNCTION("""COMPUTED_VALUE"""),"FINAL RESULT")</f>
        <v>FINAL RESULT</v>
      </c>
      <c r="H1" s="42" t="str">
        <f>'Pos and Incl IMPORT'!E1</f>
        <v>SPONSOR PERSON ID</v>
      </c>
      <c r="I1" s="42" t="str">
        <f>'Pos and Incl IMPORT'!F1</f>
        <v>SPONSOR FIRSTNAME</v>
      </c>
      <c r="J1" s="42" t="str">
        <f>'Pos and Incl IMPORT'!G1</f>
        <v>SPONSOR LASTNAME</v>
      </c>
      <c r="K1" s="42" t="str">
        <f>'Pos and Incl IMPORT'!H1</f>
        <v>APP
RESULT</v>
      </c>
      <c r="L1" s="42" t="str">
        <f>'Pos and Incl IMPORT'!L1</f>
        <v>Result Correct Code</v>
      </c>
      <c r="M1" s="42" t="str">
        <f>'Pos and Incl IMPORT'!M1</f>
        <v>Correction Notes</v>
      </c>
      <c r="N1" s="42" t="str">
        <f>'Pos and Incl IMPORT'!N1</f>
        <v>NOTE</v>
      </c>
      <c r="O1" s="42" t="str">
        <f>'Pos and Incl IMPORT'!O1</f>
        <v>NUM SAMPLES (Pool Level)</v>
      </c>
      <c r="P1" s="42" t="str">
        <f>'Pos and Incl IMPORT'!P1</f>
        <v>Match Row in APS Data PHI - postDEL</v>
      </c>
      <c r="Q1" s="2" t="s">
        <v>57</v>
      </c>
      <c r="R1" s="2" t="s">
        <v>58</v>
      </c>
      <c r="S1" s="2" t="s">
        <v>59</v>
      </c>
      <c r="T1" s="2" t="s">
        <v>60</v>
      </c>
      <c r="U1" s="31" t="s">
        <v>61</v>
      </c>
      <c r="V1" s="31" t="s">
        <v>57</v>
      </c>
      <c r="W1" s="31" t="s">
        <v>58</v>
      </c>
      <c r="X1" s="31" t="s">
        <v>59</v>
      </c>
      <c r="Y1" s="31" t="s">
        <v>60</v>
      </c>
      <c r="Z1" s="43"/>
      <c r="AA1" s="43"/>
    </row>
    <row r="2">
      <c r="A2" s="44" t="s">
        <v>62</v>
      </c>
      <c r="B2" s="45" t="str">
        <f>IFERROR(__xludf.DUMMYFUNCTION("QUERY(IMPORTRANGE(A2,""ALL Tube Results!A2:F""), ""SELECT * WHERE Col6 = 'Positive' OR Col6 = 'Inconclusive'"", 0)
"),"AG173")</f>
        <v>AG173</v>
      </c>
      <c r="C2" s="46" t="str">
        <f>IFERROR(__xludf.DUMMYFUNCTION("""COMPUTED_VALUE"""),"RUN-ABRM_2022-12-08_RFR-101")</f>
        <v>RUN-ABRM_2022-12-08_RFR-101</v>
      </c>
      <c r="D2" s="20">
        <f>IFERROR(__xludf.DUMMYFUNCTION("""COMPUTED_VALUE"""),44903.0)</f>
        <v>44903</v>
      </c>
      <c r="E2" s="20">
        <f>IFERROR(__xludf.DUMMYFUNCTION("""COMPUTED_VALUE"""),44903.0)</f>
        <v>44903</v>
      </c>
      <c r="F2" s="47">
        <f>IFERROR(__xludf.DUMMYFUNCTION("""COMPUTED_VALUE"""),0.29630787036876427)</f>
        <v>0.2963078704</v>
      </c>
      <c r="G2" s="46" t="str">
        <f>IFERROR(__xludf.DUMMYFUNCTION("""COMPUTED_VALUE"""),"Positive")</f>
        <v>Positive</v>
      </c>
      <c r="H2" s="48" t="str">
        <f>IFERROR(VLOOKUP($B3,'Pos and Incl IMPORT'!$B$2:$X2686,4,FALSE),IFERROR(0/0,""))</f>
        <v>SpABRM655136</v>
      </c>
      <c r="I2" s="48"/>
      <c r="J2" s="48"/>
      <c r="K2" s="48"/>
      <c r="L2" s="48" t="str">
        <f>IFERROR(VLOOKUP($B2,'Pos and Incl IMPORT'!$B$2:$P2686,11,FALSE),IFERROR(0/0,""))</f>
        <v/>
      </c>
      <c r="M2" s="48" t="str">
        <f>IFERROR(VLOOKUP($B2,'Pos and Incl IMPORT'!$B$2:$P2686,12,FALSE),IFERROR(0/0,""))</f>
        <v/>
      </c>
      <c r="N2" s="48" t="str">
        <f>IFERROR(VLOOKUP($B2,'Pos and Incl IMPORT'!$B$2:$P2686,13,FALSE),IFERROR(0/0,""))</f>
        <v/>
      </c>
      <c r="O2" s="22">
        <f>IFERROR(VLOOKUP($B2,'Pos and Incl IMPORT'!$B$2:$P2686,14,FALSE),IFERROR(0/0,""))</f>
        <v>3</v>
      </c>
      <c r="P2" s="22">
        <f>IFERROR(VLOOKUP($B2,'Pos and Incl IMPORT'!$B$2:$P2686,15,FALSE),IFERROR(0/0,""))</f>
        <v>1393</v>
      </c>
      <c r="Q2" s="49" t="s">
        <v>53</v>
      </c>
      <c r="R2" s="49" t="s">
        <v>46</v>
      </c>
      <c r="S2" s="48" t="str">
        <f>IFERROR(VLOOKUP($B2,'Pos and Incl IMPORT'!$B$2:$S2686,18,FALSE),IFERROR(0/0,""))</f>
        <v>ABRM582390</v>
      </c>
      <c r="T2" s="48" t="str">
        <f>IFERROR(VLOOKUP($B2,'Pos and Incl IMPORT'!$B$2:$S2686,19,FALSE),IFERROR(0/0,""))</f>
        <v/>
      </c>
      <c r="U2" s="22">
        <f t="shared" ref="U2:U16" si="1">IF(ISBLANK(Q2),IFERROR(0/0,""),COUNTIF(Q$2:T2686,Q2))</f>
        <v>1</v>
      </c>
    </row>
    <row r="3">
      <c r="B3" s="46" t="str">
        <f>IFERROR(__xludf.DUMMYFUNCTION("""COMPUTED_VALUE"""),"AH112")</f>
        <v>AH112</v>
      </c>
      <c r="C3" s="46" t="str">
        <f>IFERROR(__xludf.DUMMYFUNCTION("""COMPUTED_VALUE"""),"RUN-ABRM_2022-12-20_RFR-112")</f>
        <v>RUN-ABRM_2022-12-20_RFR-112</v>
      </c>
      <c r="D3" s="20">
        <f>IFERROR(__xludf.DUMMYFUNCTION("""COMPUTED_VALUE"""),44915.0)</f>
        <v>44915</v>
      </c>
      <c r="E3" s="20">
        <f>IFERROR(__xludf.DUMMYFUNCTION("""COMPUTED_VALUE"""),44915.0)</f>
        <v>44915</v>
      </c>
      <c r="F3" s="47">
        <f>IFERROR(__xludf.DUMMYFUNCTION("""COMPUTED_VALUE"""),0.3224189814827696)</f>
        <v>0.3224189815</v>
      </c>
      <c r="G3" s="46" t="str">
        <f>IFERROR(__xludf.DUMMYFUNCTION("""COMPUTED_VALUE"""),"Positive")</f>
        <v>Positive</v>
      </c>
      <c r="H3" s="48" t="str">
        <f>IFERROR(VLOOKUP($B4,'Pos and Incl IMPORT'!$B$2:$X2686,4,FALSE),IFERROR(0/0,""))</f>
        <v>SpABRM655136</v>
      </c>
      <c r="I3" s="48"/>
      <c r="J3" s="48"/>
      <c r="K3" s="48"/>
      <c r="L3" s="48" t="str">
        <f>IFERROR(VLOOKUP($B3,'Pos and Incl IMPORT'!$B$2:$P2686,11,FALSE),IFERROR(0/0,""))</f>
        <v/>
      </c>
      <c r="M3" s="48" t="str">
        <f>IFERROR(VLOOKUP($B3,'Pos and Incl IMPORT'!$B$2:$P2686,12,FALSE),IFERROR(0/0,""))</f>
        <v/>
      </c>
      <c r="N3" s="48" t="str">
        <f>IFERROR(VLOOKUP($B3,'Pos and Incl IMPORT'!$B$2:$P2686,13,FALSE),IFERROR(0/0,""))</f>
        <v/>
      </c>
      <c r="O3" s="22">
        <f>IFERROR(VLOOKUP($B3,'Pos and Incl IMPORT'!$B$2:$P2686,14,FALSE),IFERROR(0/0,""))</f>
        <v>1</v>
      </c>
      <c r="P3" s="22">
        <f>IFERROR(VLOOKUP($B3,'Pos and Incl IMPORT'!$B$2:$P2686,15,FALSE),IFERROR(0/0,""))</f>
        <v>1465</v>
      </c>
      <c r="Q3" s="48" t="str">
        <f>IFERROR(VLOOKUP($B3,'Pos and Incl IMPORT'!$B$2:$S2686,16,FALSE),IFERROR(0/0,""))</f>
        <v>ABRM805764</v>
      </c>
      <c r="R3" s="48" t="str">
        <f>IFERROR(VLOOKUP($B3,'Pos and Incl IMPORT'!$B$2:$S2686,17,FALSE),IFERROR(0/0,""))</f>
        <v/>
      </c>
      <c r="S3" s="48" t="str">
        <f>IFERROR(VLOOKUP($B3,'Pos and Incl IMPORT'!$B$2:$S2686,18,FALSE),IFERROR(0/0,""))</f>
        <v/>
      </c>
      <c r="T3" s="48" t="str">
        <f>IFERROR(VLOOKUP($B3,'Pos and Incl IMPORT'!$B$2:$S2686,19,FALSE),IFERROR(0/0,""))</f>
        <v/>
      </c>
      <c r="U3" s="22">
        <f t="shared" si="1"/>
        <v>2</v>
      </c>
    </row>
    <row r="4">
      <c r="B4" s="46" t="str">
        <f>IFERROR(__xludf.DUMMYFUNCTION("""COMPUTED_VALUE"""),"AJ9480")</f>
        <v>AJ9480</v>
      </c>
      <c r="C4" s="46" t="str">
        <f>IFERROR(__xludf.DUMMYFUNCTION("""COMPUTED_VALUE"""),"RUN-ABRM_2022-12-20_RFR-112")</f>
        <v>RUN-ABRM_2022-12-20_RFR-112</v>
      </c>
      <c r="D4" s="20">
        <f>IFERROR(__xludf.DUMMYFUNCTION("""COMPUTED_VALUE"""),44915.0)</f>
        <v>44915</v>
      </c>
      <c r="E4" s="20">
        <f>IFERROR(__xludf.DUMMYFUNCTION("""COMPUTED_VALUE"""),44915.0)</f>
        <v>44915</v>
      </c>
      <c r="F4" s="47">
        <f>IFERROR(__xludf.DUMMYFUNCTION("""COMPUTED_VALUE"""),0.3227083333331393)</f>
        <v>0.3227083333</v>
      </c>
      <c r="G4" s="46" t="str">
        <f>IFERROR(__xludf.DUMMYFUNCTION("""COMPUTED_VALUE"""),"Positive")</f>
        <v>Positive</v>
      </c>
      <c r="H4" s="48" t="str">
        <f>IFERROR(VLOOKUP($B5,'Pos and Incl IMPORT'!$B$2:$X2686,4,FALSE),IFERROR(0/0,""))</f>
        <v>SpABRM297307</v>
      </c>
      <c r="I4" s="48"/>
      <c r="J4" s="48"/>
      <c r="K4" s="48"/>
      <c r="L4" s="48" t="str">
        <f>IFERROR(VLOOKUP($B4,'Pos and Incl IMPORT'!$B$2:$P2686,11,FALSE),IFERROR(0/0,""))</f>
        <v/>
      </c>
      <c r="M4" s="48" t="str">
        <f>IFERROR(VLOOKUP($B4,'Pos and Incl IMPORT'!$B$2:$P2686,12,FALSE),IFERROR(0/0,""))</f>
        <v/>
      </c>
      <c r="N4" s="48" t="str">
        <f>IFERROR(VLOOKUP($B4,'Pos and Incl IMPORT'!$B$2:$P2686,13,FALSE),IFERROR(0/0,""))</f>
        <v/>
      </c>
      <c r="O4" s="22">
        <f>IFERROR(VLOOKUP($B4,'Pos and Incl IMPORT'!$B$2:$P2686,14,FALSE),IFERROR(0/0,""))</f>
        <v>1</v>
      </c>
      <c r="P4" s="22">
        <f>IFERROR(VLOOKUP($B4,'Pos and Incl IMPORT'!$B$2:$P2686,15,FALSE),IFERROR(0/0,""))</f>
        <v>1466</v>
      </c>
      <c r="Q4" s="48" t="str">
        <f>IFERROR(VLOOKUP($B4,'Pos and Incl IMPORT'!$B$2:$S2686,16,FALSE),IFERROR(0/0,""))</f>
        <v>ABRM582390</v>
      </c>
      <c r="R4" s="48" t="str">
        <f>IFERROR(VLOOKUP($B4,'Pos and Incl IMPORT'!$B$2:$S2686,17,FALSE),IFERROR(0/0,""))</f>
        <v/>
      </c>
      <c r="S4" s="48" t="str">
        <f>IFERROR(VLOOKUP($B4,'Pos and Incl IMPORT'!$B$2:$S2686,18,FALSE),IFERROR(0/0,""))</f>
        <v/>
      </c>
      <c r="T4" s="48" t="str">
        <f>IFERROR(VLOOKUP($B4,'Pos and Incl IMPORT'!$B$2:$S2686,19,FALSE),IFERROR(0/0,""))</f>
        <v/>
      </c>
      <c r="U4" s="22">
        <f t="shared" si="1"/>
        <v>2</v>
      </c>
    </row>
    <row r="5">
      <c r="B5" s="46" t="str">
        <f>IFERROR(__xludf.DUMMYFUNCTION("""COMPUTED_VALUE"""),"AG1417")</f>
        <v>AG1417</v>
      </c>
      <c r="C5" s="46" t="str">
        <f>IFERROR(__xludf.DUMMYFUNCTION("""COMPUTED_VALUE"""),"RUN-ABRM_2023-01-12_RFR-129")</f>
        <v>RUN-ABRM_2023-01-12_RFR-129</v>
      </c>
      <c r="D5" s="20">
        <f>IFERROR(__xludf.DUMMYFUNCTION("""COMPUTED_VALUE"""),44938.0)</f>
        <v>44938</v>
      </c>
      <c r="E5" s="20">
        <f>IFERROR(__xludf.DUMMYFUNCTION("""COMPUTED_VALUE"""),44938.0)</f>
        <v>44938</v>
      </c>
      <c r="F5" s="47">
        <f>IFERROR(__xludf.DUMMYFUNCTION("""COMPUTED_VALUE"""),0.25288194444510737)</f>
        <v>0.2528819444</v>
      </c>
      <c r="G5" s="46" t="str">
        <f>IFERROR(__xludf.DUMMYFUNCTION("""COMPUTED_VALUE"""),"Inconclusive")</f>
        <v>Inconclusive</v>
      </c>
      <c r="H5" s="48" t="str">
        <f>IFERROR(VLOOKUP($B6,'Pos and Incl IMPORT'!$B$2:$X2686,4,FALSE),IFERROR(0/0,""))</f>
        <v>SpABRM814022</v>
      </c>
      <c r="I5" s="48"/>
      <c r="J5" s="48"/>
      <c r="K5" s="48"/>
      <c r="L5" s="48" t="str">
        <f>IFERROR(VLOOKUP($B5,'Pos and Incl IMPORT'!$B$2:$P2686,11,FALSE),IFERROR(0/0,""))</f>
        <v/>
      </c>
      <c r="M5" s="48" t="str">
        <f>IFERROR(VLOOKUP($B5,'Pos and Incl IMPORT'!$B$2:$P2686,12,FALSE),IFERROR(0/0,""))</f>
        <v/>
      </c>
      <c r="N5" s="48" t="str">
        <f>IFERROR(VLOOKUP($B5,'Pos and Incl IMPORT'!$B$2:$P2686,13,FALSE),IFERROR(0/0,""))</f>
        <v/>
      </c>
      <c r="O5" s="22">
        <f>IFERROR(VLOOKUP($B5,'Pos and Incl IMPORT'!$B$2:$P2686,14,FALSE),IFERROR(0/0,""))</f>
        <v>3</v>
      </c>
      <c r="P5" s="22">
        <f>IFERROR(VLOOKUP($B5,'Pos and Incl IMPORT'!$B$2:$P2686,15,FALSE),IFERROR(0/0,""))</f>
        <v>1637</v>
      </c>
      <c r="Q5" s="48" t="str">
        <f>IFERROR(VLOOKUP($B5,'Pos and Incl IMPORT'!$B$2:$S2686,16,FALSE),IFERROR(0/0,""))</f>
        <v>ABRM947679</v>
      </c>
      <c r="R5" s="48" t="str">
        <f>IFERROR(VLOOKUP($B5,'Pos and Incl IMPORT'!$B$2:$S2686,17,FALSE),IFERROR(0/0,""))</f>
        <v>ABRM303158</v>
      </c>
      <c r="S5" s="48" t="str">
        <f>IFERROR(VLOOKUP($B5,'Pos and Incl IMPORT'!$B$2:$S2686,18,FALSE),IFERROR(0/0,""))</f>
        <v>ABRM958852</v>
      </c>
      <c r="T5" s="48" t="str">
        <f>IFERROR(VLOOKUP($B5,'Pos and Incl IMPORT'!$B$2:$S2686,19,FALSE),IFERROR(0/0,""))</f>
        <v/>
      </c>
      <c r="U5" s="22">
        <f t="shared" si="1"/>
        <v>1</v>
      </c>
    </row>
    <row r="6">
      <c r="B6" s="46" t="str">
        <f>IFERROR(__xludf.DUMMYFUNCTION("""COMPUTED_VALUE"""),"AG1625")</f>
        <v>AG1625</v>
      </c>
      <c r="C6" s="46" t="str">
        <f>IFERROR(__xludf.DUMMYFUNCTION("""COMPUTED_VALUE"""),"RUN-ABRM_2023-01-13_RFR-131")</f>
        <v>RUN-ABRM_2023-01-13_RFR-131</v>
      </c>
      <c r="D6" s="20">
        <f>IFERROR(__xludf.DUMMYFUNCTION("""COMPUTED_VALUE"""),44939.0)</f>
        <v>44939</v>
      </c>
      <c r="E6" s="20">
        <f>IFERROR(__xludf.DUMMYFUNCTION("""COMPUTED_VALUE"""),44939.0)</f>
        <v>44939</v>
      </c>
      <c r="F6" s="47">
        <f>IFERROR(__xludf.DUMMYFUNCTION("""COMPUTED_VALUE"""),0.32319444444510737)</f>
        <v>0.3231944444</v>
      </c>
      <c r="G6" s="46" t="str">
        <f>IFERROR(__xludf.DUMMYFUNCTION("""COMPUTED_VALUE"""),"Inconclusive")</f>
        <v>Inconclusive</v>
      </c>
      <c r="H6" s="48" t="str">
        <f>IFERROR(VLOOKUP($B7,'Pos and Incl IMPORT'!$B$2:$X2686,4,FALSE),IFERROR(0/0,""))</f>
        <v>SpABRM655136</v>
      </c>
      <c r="I6" s="48"/>
      <c r="J6" s="48"/>
      <c r="K6" s="48"/>
      <c r="L6" s="48" t="str">
        <f>IFERROR(VLOOKUP($B6,'Pos and Incl IMPORT'!$B$2:$P2686,11,FALSE),IFERROR(0/0,""))</f>
        <v/>
      </c>
      <c r="M6" s="48" t="str">
        <f>IFERROR(VLOOKUP($B6,'Pos and Incl IMPORT'!$B$2:$P2686,12,FALSE),IFERROR(0/0,""))</f>
        <v/>
      </c>
      <c r="N6" s="48" t="str">
        <f>IFERROR(VLOOKUP($B6,'Pos and Incl IMPORT'!$B$2:$P2686,13,FALSE),IFERROR(0/0,""))</f>
        <v/>
      </c>
      <c r="O6" s="22">
        <f>IFERROR(VLOOKUP($B6,'Pos and Incl IMPORT'!$B$2:$P2686,14,FALSE),IFERROR(0/0,""))</f>
        <v>1</v>
      </c>
      <c r="P6" s="22">
        <f>IFERROR(VLOOKUP($B6,'Pos and Incl IMPORT'!$B$2:$P2686,15,FALSE),IFERROR(0/0,""))</f>
        <v>1655</v>
      </c>
      <c r="Q6" s="48" t="str">
        <f>IFERROR(VLOOKUP($B6,'Pos and Incl IMPORT'!$B$2:$S2686,16,FALSE),IFERROR(0/0,""))</f>
        <v>ABRM515295</v>
      </c>
      <c r="R6" s="48" t="str">
        <f>IFERROR(VLOOKUP($B6,'Pos and Incl IMPORT'!$B$2:$S2686,17,FALSE),IFERROR(0/0,""))</f>
        <v/>
      </c>
      <c r="S6" s="48" t="str">
        <f>IFERROR(VLOOKUP($B6,'Pos and Incl IMPORT'!$B$2:$S2686,18,FALSE),IFERROR(0/0,""))</f>
        <v/>
      </c>
      <c r="T6" s="48" t="str">
        <f>IFERROR(VLOOKUP($B6,'Pos and Incl IMPORT'!$B$2:$S2686,19,FALSE),IFERROR(0/0,""))</f>
        <v/>
      </c>
      <c r="U6" s="22">
        <f t="shared" si="1"/>
        <v>1</v>
      </c>
    </row>
    <row r="7">
      <c r="B7" s="46" t="str">
        <f>IFERROR(__xludf.DUMMYFUNCTION("""COMPUTED_VALUE"""),"AJ8942")</f>
        <v>AJ8942</v>
      </c>
      <c r="C7" s="46" t="str">
        <f>IFERROR(__xludf.DUMMYFUNCTION("""COMPUTED_VALUE"""),"RUN-ABRM_2023-01-20_RFR-139")</f>
        <v>RUN-ABRM_2023-01-20_RFR-139</v>
      </c>
      <c r="D7" s="20">
        <f>IFERROR(__xludf.DUMMYFUNCTION("""COMPUTED_VALUE"""),44946.0)</f>
        <v>44946</v>
      </c>
      <c r="E7" s="20">
        <f>IFERROR(__xludf.DUMMYFUNCTION("""COMPUTED_VALUE"""),44946.0)</f>
        <v>44946</v>
      </c>
      <c r="F7" s="47">
        <f>IFERROR(__xludf.DUMMYFUNCTION("""COMPUTED_VALUE"""),0.31164351851839456)</f>
        <v>0.3116435185</v>
      </c>
      <c r="G7" s="46" t="str">
        <f>IFERROR(__xludf.DUMMYFUNCTION("""COMPUTED_VALUE"""),"Inconclusive")</f>
        <v>Inconclusive</v>
      </c>
      <c r="H7" s="48" t="str">
        <f>IFERROR(VLOOKUP($B8,'Pos and Incl IMPORT'!$B$2:$X2686,4,FALSE),IFERROR(0/0,""))</f>
        <v>SpABRM297307</v>
      </c>
      <c r="I7" s="48"/>
      <c r="J7" s="48"/>
      <c r="K7" s="48"/>
      <c r="L7" s="48">
        <f>IFERROR(VLOOKUP($B7,'Pos and Incl IMPORT'!$B$2:$P2686,11,FALSE),IFERROR(0/0,""))</f>
        <v>4.1</v>
      </c>
      <c r="M7" s="48" t="str">
        <f>IFERROR(VLOOKUP($B7,'Pos and Incl IMPORT'!$B$2:$P2686,12,FALSE),IFERROR(0/0,""))</f>
        <v>RT Jan26 - photo and LUM show Incl call</v>
      </c>
      <c r="N7" s="48" t="str">
        <f>IFERROR(VLOOKUP($B7,'Pos and Incl IMPORT'!$B$2:$P2686,13,FALSE),IFERROR(0/0,""))</f>
        <v/>
      </c>
      <c r="O7" s="22">
        <f>IFERROR(VLOOKUP($B7,'Pos and Incl IMPORT'!$B$2:$P2686,14,FALSE),IFERROR(0/0,""))</f>
        <v>2</v>
      </c>
      <c r="P7" s="22">
        <f>IFERROR(VLOOKUP($B7,'Pos and Incl IMPORT'!$B$2:$P2686,15,FALSE),IFERROR(0/0,""))</f>
        <v>1743</v>
      </c>
      <c r="Q7" s="48" t="str">
        <f>IFERROR(VLOOKUP($B7,'Pos and Incl IMPORT'!$B$2:$S2686,16,FALSE),IFERROR(0/0,""))</f>
        <v>ABRM396076</v>
      </c>
      <c r="R7" s="48" t="str">
        <f>IFERROR(VLOOKUP($B7,'Pos and Incl IMPORT'!$B$2:$S2686,17,FALSE),IFERROR(0/0,""))</f>
        <v>ABRM492658</v>
      </c>
      <c r="S7" s="48" t="str">
        <f>IFERROR(VLOOKUP($B7,'Pos and Incl IMPORT'!$B$2:$S2686,18,FALSE),IFERROR(0/0,""))</f>
        <v/>
      </c>
      <c r="T7" s="48" t="str">
        <f>IFERROR(VLOOKUP($B7,'Pos and Incl IMPORT'!$B$2:$S2686,19,FALSE),IFERROR(0/0,""))</f>
        <v/>
      </c>
      <c r="U7" s="22">
        <f t="shared" si="1"/>
        <v>1</v>
      </c>
    </row>
    <row r="8">
      <c r="B8" s="46" t="str">
        <f>IFERROR(__xludf.DUMMYFUNCTION("""COMPUTED_VALUE"""),"AK9881")</f>
        <v>AK9881</v>
      </c>
      <c r="C8" s="46" t="str">
        <f>IFERROR(__xludf.DUMMYFUNCTION("""COMPUTED_VALUE"""),"RUN-ABRM_2023-03-30_RFR-197")</f>
        <v>RUN-ABRM_2023-03-30_RFR-197</v>
      </c>
      <c r="D8" s="20">
        <f>IFERROR(__xludf.DUMMYFUNCTION("""COMPUTED_VALUE"""),45015.0)</f>
        <v>45015</v>
      </c>
      <c r="E8" s="20">
        <f>IFERROR(__xludf.DUMMYFUNCTION("""COMPUTED_VALUE"""),45015.0)</f>
        <v>45015</v>
      </c>
      <c r="F8" s="47">
        <f>IFERROR(__xludf.DUMMYFUNCTION("""COMPUTED_VALUE"""),0.25310185185298906)</f>
        <v>0.2531018519</v>
      </c>
      <c r="G8" s="46" t="str">
        <f>IFERROR(__xludf.DUMMYFUNCTION("""COMPUTED_VALUE"""),"Positive")</f>
        <v>Positive</v>
      </c>
      <c r="H8" s="48" t="str">
        <f>IFERROR(VLOOKUP($B9,'Pos and Incl IMPORT'!$B$2:$X2686,4,FALSE),IFERROR(0/0,""))</f>
        <v>SpABRM128250</v>
      </c>
      <c r="I8" s="48"/>
      <c r="J8" s="48"/>
      <c r="K8" s="48"/>
      <c r="L8" s="48" t="str">
        <f>IFERROR(VLOOKUP($B8,'Pos and Incl IMPORT'!$B$2:$P2686,11,FALSE),IFERROR(0/0,""))</f>
        <v/>
      </c>
      <c r="M8" s="48" t="str">
        <f>IFERROR(VLOOKUP($B8,'Pos and Incl IMPORT'!$B$2:$P2686,12,FALSE),IFERROR(0/0,""))</f>
        <v/>
      </c>
      <c r="N8" s="48" t="str">
        <f>IFERROR(VLOOKUP($B8,'Pos and Incl IMPORT'!$B$2:$P2686,13,FALSE),IFERROR(0/0,""))</f>
        <v/>
      </c>
      <c r="O8" s="22">
        <f>IFERROR(VLOOKUP($B8,'Pos and Incl IMPORT'!$B$2:$P2686,14,FALSE),IFERROR(0/0,""))</f>
        <v>4</v>
      </c>
      <c r="P8" s="22">
        <f>IFERROR(VLOOKUP($B8,'Pos and Incl IMPORT'!$B$2:$P2686,15,FALSE),IFERROR(0/0,""))</f>
        <v>2419</v>
      </c>
      <c r="Q8" s="48" t="str">
        <f>IFERROR(VLOOKUP($B8,'Pos and Incl IMPORT'!$B$2:$S2686,16,FALSE),IFERROR(0/0,""))</f>
        <v>ABRM624478</v>
      </c>
      <c r="R8" s="48" t="str">
        <f>IFERROR(VLOOKUP($B8,'Pos and Incl IMPORT'!$B$2:$S2686,17,FALSE),IFERROR(0/0,""))</f>
        <v>ABRM739674</v>
      </c>
      <c r="S8" s="48" t="str">
        <f>IFERROR(VLOOKUP($B8,'Pos and Incl IMPORT'!$B$2:$S2686,18,FALSE),IFERROR(0/0,""))</f>
        <v>ABRM303158</v>
      </c>
      <c r="T8" s="48" t="str">
        <f>IFERROR(VLOOKUP($B8,'Pos and Incl IMPORT'!$B$2:$S2686,19,FALSE),IFERROR(0/0,""))</f>
        <v/>
      </c>
      <c r="U8" s="22">
        <f t="shared" si="1"/>
        <v>1</v>
      </c>
    </row>
    <row r="9">
      <c r="B9" s="46" t="str">
        <f>IFERROR(__xludf.DUMMYFUNCTION("""COMPUTED_VALUE"""),"AB9291")</f>
        <v>AB9291</v>
      </c>
      <c r="C9" s="46" t="str">
        <f>IFERROR(__xludf.DUMMYFUNCTION("""COMPUTED_VALUE"""),"RUN-ABRM_2023-05-23_RFR-231")</f>
        <v>RUN-ABRM_2023-05-23_RFR-231</v>
      </c>
      <c r="D9" s="20">
        <f>IFERROR(__xludf.DUMMYFUNCTION("""COMPUTED_VALUE"""),45069.0)</f>
        <v>45069</v>
      </c>
      <c r="E9" s="20">
        <f>IFERROR(__xludf.DUMMYFUNCTION("""COMPUTED_VALUE"""),45069.0)</f>
        <v>45069</v>
      </c>
      <c r="F9" s="47">
        <f>IFERROR(__xludf.DUMMYFUNCTION("""COMPUTED_VALUE"""),0.3019560185202863)</f>
        <v>0.3019560185</v>
      </c>
      <c r="G9" s="46" t="str">
        <f>IFERROR(__xludf.DUMMYFUNCTION("""COMPUTED_VALUE"""),"Positive")</f>
        <v>Positive</v>
      </c>
      <c r="H9" s="48" t="str">
        <f>IFERROR(VLOOKUP($B10,'Pos and Incl IMPORT'!$B$2:$X2686,4,FALSE),IFERROR(0/0,""))</f>
        <v>SpABRM655136</v>
      </c>
      <c r="I9" s="48"/>
      <c r="J9" s="48"/>
      <c r="K9" s="48"/>
      <c r="L9" s="48" t="str">
        <f>IFERROR(VLOOKUP($B9,'Pos and Incl IMPORT'!$B$2:$P2686,11,FALSE),IFERROR(0/0,""))</f>
        <v/>
      </c>
      <c r="M9" s="48" t="str">
        <f>IFERROR(VLOOKUP($B9,'Pos and Incl IMPORT'!$B$2:$P2686,12,FALSE),IFERROR(0/0,""))</f>
        <v/>
      </c>
      <c r="N9" s="48" t="str">
        <f>IFERROR(VLOOKUP($B9,'Pos and Incl IMPORT'!$B$2:$P2686,13,FALSE),IFERROR(0/0,""))</f>
        <v/>
      </c>
      <c r="O9" s="22">
        <f>IFERROR(VLOOKUP($B9,'Pos and Incl IMPORT'!$B$2:$P2686,14,FALSE),IFERROR(0/0,""))</f>
        <v>3</v>
      </c>
      <c r="P9" s="22">
        <f>IFERROR(VLOOKUP($B9,'Pos and Incl IMPORT'!$B$2:$P2686,15,FALSE),IFERROR(0/0,""))</f>
        <v>2880</v>
      </c>
      <c r="Q9" s="48" t="str">
        <f>IFERROR(VLOOKUP($B9,'Pos and Incl IMPORT'!$B$2:$S2686,16,FALSE),IFERROR(0/0,""))</f>
        <v>ABRM362882</v>
      </c>
      <c r="R9" s="48" t="str">
        <f>IFERROR(VLOOKUP($B9,'Pos and Incl IMPORT'!$B$2:$S2686,17,FALSE),IFERROR(0/0,""))</f>
        <v>ABRM165120</v>
      </c>
      <c r="S9" s="48" t="str">
        <f>IFERROR(VLOOKUP($B9,'Pos and Incl IMPORT'!$B$2:$S2686,18,FALSE),IFERROR(0/0,""))</f>
        <v>ABRM735457</v>
      </c>
      <c r="T9" s="48" t="str">
        <f>IFERROR(VLOOKUP($B9,'Pos and Incl IMPORT'!$B$2:$S2686,19,FALSE),IFERROR(0/0,""))</f>
        <v/>
      </c>
      <c r="U9" s="22">
        <f t="shared" si="1"/>
        <v>2</v>
      </c>
    </row>
    <row r="10">
      <c r="B10" s="46" t="str">
        <f>IFERROR(__xludf.DUMMYFUNCTION("""COMPUTED_VALUE"""),"AR1265")</f>
        <v>AR1265</v>
      </c>
      <c r="C10" s="46" t="str">
        <f>IFERROR(__xludf.DUMMYFUNCTION("""COMPUTED_VALUE"""),"RUN-ABRM_2023-05-23_RFR-231")</f>
        <v>RUN-ABRM_2023-05-23_RFR-231</v>
      </c>
      <c r="D10" s="20">
        <f>IFERROR(__xludf.DUMMYFUNCTION("""COMPUTED_VALUE"""),45069.0)</f>
        <v>45069</v>
      </c>
      <c r="E10" s="20">
        <f>IFERROR(__xludf.DUMMYFUNCTION("""COMPUTED_VALUE"""),45069.0)</f>
        <v>45069</v>
      </c>
      <c r="F10" s="47">
        <f>IFERROR(__xludf.DUMMYFUNCTION("""COMPUTED_VALUE"""),0.33762731481328956)</f>
        <v>0.3376273148</v>
      </c>
      <c r="G10" s="46" t="str">
        <f>IFERROR(__xludf.DUMMYFUNCTION("""COMPUTED_VALUE"""),"Positive")</f>
        <v>Positive</v>
      </c>
      <c r="H10" s="48" t="str">
        <f>IFERROR(VLOOKUP($B11,'Pos and Incl IMPORT'!$B$2:$X2686,4,FALSE),IFERROR(0/0,""))</f>
        <v>SpABRM655136</v>
      </c>
      <c r="I10" s="48"/>
      <c r="J10" s="48"/>
      <c r="K10" s="48"/>
      <c r="L10" s="48" t="str">
        <f>IFERROR(VLOOKUP($B10,'Pos and Incl IMPORT'!$B$2:$P2686,11,FALSE),IFERROR(0/0,""))</f>
        <v/>
      </c>
      <c r="M10" s="48" t="str">
        <f>IFERROR(VLOOKUP($B10,'Pos and Incl IMPORT'!$B$2:$P2686,12,FALSE),IFERROR(0/0,""))</f>
        <v/>
      </c>
      <c r="N10" s="48" t="str">
        <f>IFERROR(VLOOKUP($B10,'Pos and Incl IMPORT'!$B$2:$P2686,13,FALSE),IFERROR(0/0,""))</f>
        <v/>
      </c>
      <c r="O10" s="22">
        <f>IFERROR(VLOOKUP($B10,'Pos and Incl IMPORT'!$B$2:$P2686,14,FALSE),IFERROR(0/0,""))</f>
        <v>1</v>
      </c>
      <c r="P10" s="22">
        <f>IFERROR(VLOOKUP($B10,'Pos and Incl IMPORT'!$B$2:$P2686,15,FALSE),IFERROR(0/0,""))</f>
        <v>2887</v>
      </c>
      <c r="Q10" s="48" t="str">
        <f>IFERROR(VLOOKUP($B10,'Pos and Incl IMPORT'!$B$2:$S2686,16,FALSE),IFERROR(0/0,""))</f>
        <v>ABRM362882</v>
      </c>
      <c r="R10" s="48" t="str">
        <f>IFERROR(VLOOKUP($B10,'Pos and Incl IMPORT'!$B$2:$S2686,17,FALSE),IFERROR(0/0,""))</f>
        <v/>
      </c>
      <c r="S10" s="48" t="str">
        <f>IFERROR(VLOOKUP($B10,'Pos and Incl IMPORT'!$B$2:$S2686,18,FALSE),IFERROR(0/0,""))</f>
        <v/>
      </c>
      <c r="T10" s="48" t="str">
        <f>IFERROR(VLOOKUP($B10,'Pos and Incl IMPORT'!$B$2:$S2686,19,FALSE),IFERROR(0/0,""))</f>
        <v/>
      </c>
      <c r="U10" s="22">
        <f t="shared" si="1"/>
        <v>2</v>
      </c>
    </row>
    <row r="11">
      <c r="B11" s="46" t="str">
        <f>IFERROR(__xludf.DUMMYFUNCTION("""COMPUTED_VALUE"""),"AR15")</f>
        <v>AR15</v>
      </c>
      <c r="C11" s="46" t="str">
        <f>IFERROR(__xludf.DUMMYFUNCTION("""COMPUTED_VALUE"""),"RUN-ABRM_2023-05-23_RFR-231")</f>
        <v>RUN-ABRM_2023-05-23_RFR-231</v>
      </c>
      <c r="D11" s="20">
        <f>IFERROR(__xludf.DUMMYFUNCTION("""COMPUTED_VALUE"""),45069.0)</f>
        <v>45069</v>
      </c>
      <c r="E11" s="20">
        <f>IFERROR(__xludf.DUMMYFUNCTION("""COMPUTED_VALUE"""),45069.0)</f>
        <v>45069</v>
      </c>
      <c r="F11" s="47">
        <f>IFERROR(__xludf.DUMMYFUNCTION("""COMPUTED_VALUE"""),0.33835648148306063)</f>
        <v>0.3383564815</v>
      </c>
      <c r="G11" s="46" t="str">
        <f>IFERROR(__xludf.DUMMYFUNCTION("""COMPUTED_VALUE"""),"Positive")</f>
        <v>Positive</v>
      </c>
      <c r="H11" s="48" t="str">
        <f>IFERROR(VLOOKUP($B12,'Pos and Incl IMPORT'!$B$2:$X2686,4,FALSE),IFERROR(0/0,""))</f>
        <v>SpABRM655136</v>
      </c>
      <c r="I11" s="48"/>
      <c r="J11" s="48"/>
      <c r="K11" s="48"/>
      <c r="L11" s="48" t="str">
        <f>IFERROR(VLOOKUP($B11,'Pos and Incl IMPORT'!$B$2:$P2686,11,FALSE),IFERROR(0/0,""))</f>
        <v/>
      </c>
      <c r="M11" s="48" t="str">
        <f>IFERROR(VLOOKUP($B11,'Pos and Incl IMPORT'!$B$2:$P2686,12,FALSE),IFERROR(0/0,""))</f>
        <v/>
      </c>
      <c r="N11" s="48" t="str">
        <f>IFERROR(VLOOKUP($B11,'Pos and Incl IMPORT'!$B$2:$P2686,13,FALSE),IFERROR(0/0,""))</f>
        <v/>
      </c>
      <c r="O11" s="22">
        <f>IFERROR(VLOOKUP($B11,'Pos and Incl IMPORT'!$B$2:$P2686,14,FALSE),IFERROR(0/0,""))</f>
        <v>1</v>
      </c>
      <c r="P11" s="22">
        <f>IFERROR(VLOOKUP($B11,'Pos and Incl IMPORT'!$B$2:$P2686,15,FALSE),IFERROR(0/0,""))</f>
        <v>2888</v>
      </c>
      <c r="Q11" s="48" t="str">
        <f>IFERROR(VLOOKUP($B11,'Pos and Incl IMPORT'!$B$2:$S2686,16,FALSE),IFERROR(0/0,""))</f>
        <v>ABRM165120</v>
      </c>
      <c r="R11" s="48" t="str">
        <f>IFERROR(VLOOKUP($B11,'Pos and Incl IMPORT'!$B$2:$S2686,17,FALSE),IFERROR(0/0,""))</f>
        <v/>
      </c>
      <c r="S11" s="48" t="str">
        <f>IFERROR(VLOOKUP($B11,'Pos and Incl IMPORT'!$B$2:$S2686,18,FALSE),IFERROR(0/0,""))</f>
        <v/>
      </c>
      <c r="T11" s="48" t="str">
        <f>IFERROR(VLOOKUP($B11,'Pos and Incl IMPORT'!$B$2:$S2686,19,FALSE),IFERROR(0/0,""))</f>
        <v/>
      </c>
      <c r="U11" s="22">
        <f t="shared" si="1"/>
        <v>2</v>
      </c>
    </row>
    <row r="12">
      <c r="B12" s="46" t="str">
        <f>IFERROR(__xludf.DUMMYFUNCTION("""COMPUTED_VALUE"""),"AK9590")</f>
        <v>AK9590</v>
      </c>
      <c r="C12" s="46" t="str">
        <f>IFERROR(__xludf.DUMMYFUNCTION("""COMPUTED_VALUE"""),"RUN-ABRM_2023-05-23_RFR-231")</f>
        <v>RUN-ABRM_2023-05-23_RFR-231</v>
      </c>
      <c r="D12" s="20">
        <f>IFERROR(__xludf.DUMMYFUNCTION("""COMPUTED_VALUE"""),45069.0)</f>
        <v>45069</v>
      </c>
      <c r="E12" s="20">
        <f>IFERROR(__xludf.DUMMYFUNCTION("""COMPUTED_VALUE"""),45069.0)</f>
        <v>45069</v>
      </c>
      <c r="F12" s="47">
        <f>IFERROR(__xludf.DUMMYFUNCTION("""COMPUTED_VALUE"""),0.338761574075761)</f>
        <v>0.3387615741</v>
      </c>
      <c r="G12" s="46" t="str">
        <f>IFERROR(__xludf.DUMMYFUNCTION("""COMPUTED_VALUE"""),"Positive")</f>
        <v>Positive</v>
      </c>
      <c r="H12" s="48" t="str">
        <f>IFERROR(VLOOKUP($B13,'Pos and Incl IMPORT'!$B$2:$X2686,4,FALSE),IFERROR(0/0,""))</f>
        <v/>
      </c>
      <c r="I12" s="48"/>
      <c r="J12" s="48"/>
      <c r="K12" s="48"/>
      <c r="L12" s="48" t="str">
        <f>IFERROR(VLOOKUP($B12,'Pos and Incl IMPORT'!$B$2:$P2686,11,FALSE),IFERROR(0/0,""))</f>
        <v/>
      </c>
      <c r="M12" s="48" t="str">
        <f>IFERROR(VLOOKUP($B12,'Pos and Incl IMPORT'!$B$2:$P2686,12,FALSE),IFERROR(0/0,""))</f>
        <v/>
      </c>
      <c r="N12" s="48" t="str">
        <f>IFERROR(VLOOKUP($B12,'Pos and Incl IMPORT'!$B$2:$P2686,13,FALSE),IFERROR(0/0,""))</f>
        <v/>
      </c>
      <c r="O12" s="22">
        <f>IFERROR(VLOOKUP($B12,'Pos and Incl IMPORT'!$B$2:$P2686,14,FALSE),IFERROR(0/0,""))</f>
        <v>1</v>
      </c>
      <c r="P12" s="22">
        <f>IFERROR(VLOOKUP($B12,'Pos and Incl IMPORT'!$B$2:$P2686,15,FALSE),IFERROR(0/0,""))</f>
        <v>2889</v>
      </c>
      <c r="Q12" s="48" t="str">
        <f>IFERROR(VLOOKUP($B12,'Pos and Incl IMPORT'!$B$2:$S2686,16,FALSE),IFERROR(0/0,""))</f>
        <v>ABRM735457</v>
      </c>
      <c r="R12" s="48" t="str">
        <f>IFERROR(VLOOKUP($B12,'Pos and Incl IMPORT'!$B$2:$S2686,17,FALSE),IFERROR(0/0,""))</f>
        <v/>
      </c>
      <c r="S12" s="48" t="str">
        <f>IFERROR(VLOOKUP($B12,'Pos and Incl IMPORT'!$B$2:$S2686,18,FALSE),IFERROR(0/0,""))</f>
        <v/>
      </c>
      <c r="T12" s="48" t="str">
        <f>IFERROR(VLOOKUP($B12,'Pos and Incl IMPORT'!$B$2:$S2686,19,FALSE),IFERROR(0/0,""))</f>
        <v/>
      </c>
      <c r="U12" s="22">
        <f t="shared" si="1"/>
        <v>2</v>
      </c>
    </row>
    <row r="13">
      <c r="B13" s="46" t="str">
        <f>IFERROR(__xludf.DUMMYFUNCTION("""COMPUTED_VALUE"""),"ARFABRM013")</f>
        <v>ARFABRM013</v>
      </c>
      <c r="C13" s="46" t="str">
        <f>IFERROR(__xludf.DUMMYFUNCTION("""COMPUTED_VALUE"""),"RUN-ABRM_2023-05-19_RFR-227")</f>
        <v>RUN-ABRM_2023-05-19_RFR-227</v>
      </c>
      <c r="D13" s="20">
        <f>IFERROR(__xludf.DUMMYFUNCTION("""COMPUTED_VALUE"""),45065.0)</f>
        <v>45065</v>
      </c>
      <c r="E13" s="20"/>
      <c r="F13" s="47"/>
      <c r="G13" s="46" t="str">
        <f>IFERROR(__xludf.DUMMYFUNCTION("""COMPUTED_VALUE"""),"Positive")</f>
        <v>Positive</v>
      </c>
      <c r="H13" s="48" t="str">
        <f>IFERROR(VLOOKUP($B14,'Pos and Incl IMPORT'!$B$2:$X2686,4,FALSE),IFERROR(0/0,""))</f>
        <v/>
      </c>
      <c r="I13" s="48"/>
      <c r="J13" s="48"/>
      <c r="K13" s="48"/>
      <c r="L13" s="48" t="str">
        <f>IFERROR(VLOOKUP($B13,'Pos and Incl IMPORT'!$B$2:$P2686,11,FALSE),IFERROR(0/0,""))</f>
        <v/>
      </c>
      <c r="M13" s="48" t="str">
        <f>IFERROR(VLOOKUP($B13,'Pos and Incl IMPORT'!$B$2:$P2686,12,FALSE),IFERROR(0/0,""))</f>
        <v/>
      </c>
      <c r="N13" s="48" t="str">
        <f>IFERROR(VLOOKUP($B13,'Pos and Incl IMPORT'!$B$2:$P2686,13,FALSE),IFERROR(0/0,""))</f>
        <v/>
      </c>
      <c r="O13" s="22" t="str">
        <f>IFERROR(VLOOKUP($B13,'Pos and Incl IMPORT'!$B$2:$P2686,14,FALSE),IFERROR(0/0,""))</f>
        <v/>
      </c>
      <c r="P13" s="22" t="str">
        <f>IFERROR(VLOOKUP($B13,'Pos and Incl IMPORT'!$B$2:$P2686,15,FALSE),IFERROR(0/0,""))</f>
        <v/>
      </c>
      <c r="Q13" s="48" t="str">
        <f>IFERROR(VLOOKUP($B13,'Pos and Incl IMPORT'!$B$2:$S2686,16,FALSE),IFERROR(0/0,""))</f>
        <v/>
      </c>
      <c r="R13" s="48" t="str">
        <f>IFERROR(VLOOKUP($B13,'Pos and Incl IMPORT'!$B$2:$S2686,17,FALSE),IFERROR(0/0,""))</f>
        <v/>
      </c>
      <c r="S13" s="48" t="str">
        <f>IFERROR(VLOOKUP($B13,'Pos and Incl IMPORT'!$B$2:$S2686,18,FALSE),IFERROR(0/0,""))</f>
        <v/>
      </c>
      <c r="T13" s="48" t="str">
        <f>IFERROR(VLOOKUP($B13,'Pos and Incl IMPORT'!$B$2:$S2686,19,FALSE),IFERROR(0/0,""))</f>
        <v/>
      </c>
      <c r="U13" s="22" t="str">
        <f t="shared" si="1"/>
        <v/>
      </c>
    </row>
    <row r="14">
      <c r="H14" s="6" t="str">
        <f>IFERROR(VLOOKUP($B15,'Pos and Incl IMPORT'!$B$2:$X2686,4,FALSE),IFERROR(0/0,""))</f>
        <v/>
      </c>
      <c r="I14" s="6"/>
      <c r="J14" s="6"/>
      <c r="K14" s="6"/>
      <c r="L14" s="6" t="str">
        <f>IFERROR(VLOOKUP($B14,'Pos and Incl IMPORT'!$B$2:$P2686,11,FALSE),IFERROR(0/0,""))</f>
        <v/>
      </c>
      <c r="M14" s="6" t="str">
        <f>IFERROR(VLOOKUP($B14,'Pos and Incl IMPORT'!$B$2:$P2686,12,FALSE),IFERROR(0/0,""))</f>
        <v/>
      </c>
      <c r="N14" s="6" t="str">
        <f>IFERROR(VLOOKUP($B14,'Pos and Incl IMPORT'!$B$2:$P2686,13,FALSE),IFERROR(0/0,""))</f>
        <v/>
      </c>
      <c r="O14" s="17" t="str">
        <f>IFERROR(VLOOKUP($B14,'Pos and Incl IMPORT'!$B$2:$P2686,14,FALSE),IFERROR(0/0,""))</f>
        <v/>
      </c>
      <c r="P14" s="17" t="str">
        <f>IFERROR(VLOOKUP($B14,'Pos and Incl IMPORT'!$B$2:$P2686,15,FALSE),IFERROR(0/0,""))</f>
        <v/>
      </c>
      <c r="Q14" s="6" t="str">
        <f>IFERROR(VLOOKUP($B14,'Pos and Incl IMPORT'!$B$2:$S2686,16,FALSE),IFERROR(0/0,""))</f>
        <v/>
      </c>
      <c r="R14" s="6" t="str">
        <f>IFERROR(VLOOKUP($B14,'Pos and Incl IMPORT'!$B$2:$S2686,17,FALSE),IFERROR(0/0,""))</f>
        <v/>
      </c>
      <c r="S14" s="6" t="str">
        <f>IFERROR(VLOOKUP($B14,'Pos and Incl IMPORT'!$B$2:$S2686,18,FALSE),IFERROR(0/0,""))</f>
        <v/>
      </c>
      <c r="T14" s="6" t="str">
        <f>IFERROR(VLOOKUP($B14,'Pos and Incl IMPORT'!$B$2:$S2686,19,FALSE),IFERROR(0/0,""))</f>
        <v/>
      </c>
      <c r="U14" s="17" t="str">
        <f t="shared" si="1"/>
        <v/>
      </c>
    </row>
    <row r="15">
      <c r="H15" s="6" t="str">
        <f>IFERROR(VLOOKUP($B16,'Pos and Incl IMPORT'!$B$2:$X2686,4,FALSE),IFERROR(0/0,""))</f>
        <v/>
      </c>
      <c r="I15" s="6"/>
      <c r="J15" s="6"/>
      <c r="K15" s="6"/>
      <c r="L15" s="6" t="str">
        <f>IFERROR(VLOOKUP($B15,'Pos and Incl IMPORT'!$B$2:$P2686,11,FALSE),IFERROR(0/0,""))</f>
        <v/>
      </c>
      <c r="M15" s="6" t="str">
        <f>IFERROR(VLOOKUP($B15,'Pos and Incl IMPORT'!$B$2:$P2686,12,FALSE),IFERROR(0/0,""))</f>
        <v/>
      </c>
      <c r="N15" s="6" t="str">
        <f>IFERROR(VLOOKUP($B15,'Pos and Incl IMPORT'!$B$2:$P2686,13,FALSE),IFERROR(0/0,""))</f>
        <v/>
      </c>
      <c r="O15" s="17" t="str">
        <f>IFERROR(VLOOKUP($B15,'Pos and Incl IMPORT'!$B$2:$P2686,14,FALSE),IFERROR(0/0,""))</f>
        <v/>
      </c>
      <c r="P15" s="17" t="str">
        <f>IFERROR(VLOOKUP($B15,'Pos and Incl IMPORT'!$B$2:$P2686,15,FALSE),IFERROR(0/0,""))</f>
        <v/>
      </c>
      <c r="Q15" s="6" t="str">
        <f>IFERROR(VLOOKUP($B15,'Pos and Incl IMPORT'!$B$2:$S2686,16,FALSE),IFERROR(0/0,""))</f>
        <v/>
      </c>
      <c r="R15" s="6" t="str">
        <f>IFERROR(VLOOKUP($B15,'Pos and Incl IMPORT'!$B$2:$S2686,17,FALSE),IFERROR(0/0,""))</f>
        <v/>
      </c>
      <c r="S15" s="6" t="str">
        <f>IFERROR(VLOOKUP($B15,'Pos and Incl IMPORT'!$B$2:$S2686,18,FALSE),IFERROR(0/0,""))</f>
        <v/>
      </c>
      <c r="T15" s="6" t="str">
        <f>IFERROR(VLOOKUP($B15,'Pos and Incl IMPORT'!$B$2:$S2686,19,FALSE),IFERROR(0/0,""))</f>
        <v/>
      </c>
      <c r="U15" s="17" t="str">
        <f t="shared" si="1"/>
        <v/>
      </c>
    </row>
    <row r="16">
      <c r="H16" s="6" t="str">
        <f>IFERROR(VLOOKUP($B17,'Pos and Incl IMPORT'!$B$2:$X2686,4,FALSE),IFERROR(0/0,""))</f>
        <v/>
      </c>
      <c r="I16" s="6"/>
      <c r="J16" s="6"/>
      <c r="K16" s="6"/>
      <c r="L16" s="6" t="str">
        <f>IFERROR(VLOOKUP($B16,'Pos and Incl IMPORT'!$B$2:$P2686,11,FALSE),IFERROR(0/0,""))</f>
        <v/>
      </c>
      <c r="M16" s="6" t="str">
        <f>IFERROR(VLOOKUP($B16,'Pos and Incl IMPORT'!$B$2:$P2686,12,FALSE),IFERROR(0/0,""))</f>
        <v/>
      </c>
      <c r="N16" s="6" t="str">
        <f>IFERROR(VLOOKUP($B16,'Pos and Incl IMPORT'!$B$2:$P2686,13,FALSE),IFERROR(0/0,""))</f>
        <v/>
      </c>
      <c r="O16" s="17" t="str">
        <f>IFERROR(VLOOKUP($B16,'Pos and Incl IMPORT'!$B$2:$P2686,14,FALSE),IFERROR(0/0,""))</f>
        <v/>
      </c>
      <c r="P16" s="17" t="str">
        <f>IFERROR(VLOOKUP($B16,'Pos and Incl IMPORT'!$B$2:$P2686,15,FALSE),IFERROR(0/0,""))</f>
        <v/>
      </c>
      <c r="Q16" s="6" t="str">
        <f>IFERROR(VLOOKUP($B16,'Pos and Incl IMPORT'!$B$2:$S2686,16,FALSE),IFERROR(0/0,""))</f>
        <v/>
      </c>
      <c r="R16" s="6" t="str">
        <f>IFERROR(VLOOKUP($B16,'Pos and Incl IMPORT'!$B$2:$S2686,17,FALSE),IFERROR(0/0,""))</f>
        <v/>
      </c>
      <c r="S16" s="6" t="str">
        <f>IFERROR(VLOOKUP($B16,'Pos and Incl IMPORT'!$B$2:$S2686,18,FALSE),IFERROR(0/0,""))</f>
        <v/>
      </c>
      <c r="T16" s="6" t="str">
        <f>IFERROR(VLOOKUP($B16,'Pos and Incl IMPORT'!$B$2:$S2686,19,FALSE),IFERROR(0/0,""))</f>
        <v/>
      </c>
      <c r="U16" s="17" t="str">
        <f t="shared" si="1"/>
        <v/>
      </c>
    </row>
    <row r="17">
      <c r="K17" s="11"/>
      <c r="L17" s="11"/>
      <c r="M17" s="11"/>
      <c r="N17" s="11"/>
    </row>
    <row r="18">
      <c r="K18" s="11"/>
      <c r="L18" s="11"/>
      <c r="M18" s="11"/>
      <c r="N18" s="11"/>
    </row>
    <row r="19">
      <c r="K19" s="11"/>
      <c r="L19" s="11"/>
      <c r="M19" s="11"/>
      <c r="N19" s="11"/>
    </row>
  </sheetData>
  <hyperlinks>
    <hyperlink r:id="rId2" ref="A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5" max="5" width="16.25"/>
    <col customWidth="1" min="12" max="12" width="11.0"/>
    <col customWidth="1" min="20" max="20" width="22.63"/>
  </cols>
  <sheetData>
    <row r="1">
      <c r="A1" s="39" t="s">
        <v>56</v>
      </c>
      <c r="B1" s="50" t="str">
        <f>IFERROR(__xludf.DUMMYFUNCTION("IMPORTRANGE(A2,""Pos and Incl!A:Z"")"),"TUBE ID")</f>
        <v>TUBE ID</v>
      </c>
      <c r="C1" s="41" t="str">
        <f>IFERROR(__xludf.DUMMYFUNCTION("""COMPUTED_VALUE"""),"COLLECTION DATE")</f>
        <v>COLLECTION DATE</v>
      </c>
      <c r="D1" s="41" t="str">
        <f>IFERROR(__xludf.DUMMYFUNCTION("""COMPUTED_VALUE"""),"COLLECTION TIME")</f>
        <v>COLLECTION TIME</v>
      </c>
      <c r="E1" s="41" t="str">
        <f>IFERROR(__xludf.DUMMYFUNCTION("""COMPUTED_VALUE"""),"SPONSOR PERSON ID")</f>
        <v>SPONSOR PERSON ID</v>
      </c>
      <c r="F1" s="41" t="str">
        <f>IFERROR(__xludf.DUMMYFUNCTION("""COMPUTED_VALUE"""),"SPONSOR FIRSTNAME")</f>
        <v>SPONSOR FIRSTNAME</v>
      </c>
      <c r="G1" s="41" t="str">
        <f>IFERROR(__xludf.DUMMYFUNCTION("""COMPUTED_VALUE"""),"SPONSOR LASTNAME")</f>
        <v>SPONSOR LASTNAME</v>
      </c>
      <c r="H1" s="41" t="str">
        <f>IFERROR(__xludf.DUMMYFUNCTION("""COMPUTED_VALUE"""),"APP
RESULT")</f>
        <v>APP
RESULT</v>
      </c>
      <c r="I1" s="41" t="str">
        <f>IFERROR(__xludf.DUMMYFUNCTION("""COMPUTED_VALUE"""),"FINAL RESULT")</f>
        <v>FINAL RESULT</v>
      </c>
      <c r="J1" s="41" t="str">
        <f>IFERROR(__xludf.DUMMYFUNCTION("""COMPUTED_VALUE"""),"RESULT DATE")</f>
        <v>RESULT DATE</v>
      </c>
      <c r="K1" s="41" t="str">
        <f>IFERROR(__xludf.DUMMYFUNCTION("""COMPUTED_VALUE"""),"RESULT TIME")</f>
        <v>RESULT TIME</v>
      </c>
      <c r="L1" s="41" t="str">
        <f>IFERROR(__xludf.DUMMYFUNCTION("""COMPUTED_VALUE"""),"Result Correct Code")</f>
        <v>Result Correct Code</v>
      </c>
      <c r="M1" s="51" t="str">
        <f>IFERROR(__xludf.DUMMYFUNCTION("""COMPUTED_VALUE"""),"Correction Notes")</f>
        <v>Correction Notes</v>
      </c>
      <c r="N1" s="41" t="str">
        <f>IFERROR(__xludf.DUMMYFUNCTION("""COMPUTED_VALUE"""),"NOTE")</f>
        <v>NOTE</v>
      </c>
      <c r="O1" s="41" t="str">
        <f>IFERROR(__xludf.DUMMYFUNCTION("""COMPUTED_VALUE"""),"NUM SAMPLES (Pool Level)")</f>
        <v>NUM SAMPLES (Pool Level)</v>
      </c>
      <c r="P1" s="41" t="str">
        <f>IFERROR(__xludf.DUMMYFUNCTION("""COMPUTED_VALUE"""),"Match Row in APS Data PHI - postDEL")</f>
        <v>Match Row in APS Data PHI - postDEL</v>
      </c>
      <c r="Q1" s="41" t="str">
        <f>IFERROR(__xludf.DUMMYFUNCTION("""COMPUTED_VALUE"""),"Sample Person1")</f>
        <v>Sample Person1</v>
      </c>
      <c r="R1" s="41" t="str">
        <f>IFERROR(__xludf.DUMMYFUNCTION("""COMPUTED_VALUE"""),"Sample Person2")</f>
        <v>Sample Person2</v>
      </c>
      <c r="S1" s="41" t="str">
        <f>IFERROR(__xludf.DUMMYFUNCTION("""COMPUTED_VALUE"""),"Sample Person3")</f>
        <v>Sample Person3</v>
      </c>
      <c r="T1" s="41" t="str">
        <f>IFERROR(__xludf.DUMMYFUNCTION("""COMPUTED_VALUE"""),"Sample Person4")</f>
        <v>Sample Person4</v>
      </c>
      <c r="U1" s="41" t="str">
        <f>IFERROR(__xludf.DUMMYFUNCTION("""COMPUTED_VALUE"""),"Case Culster ID")</f>
        <v>Case Culster ID</v>
      </c>
      <c r="V1" s="41" t="str">
        <f>IFERROR(__xludf.DUMMYFUNCTION("""COMPUTED_VALUE"""),"Index Tube - First FL Pos/Incl of Case?")</f>
        <v>Index Tube - First FL Pos/Incl of Case?</v>
      </c>
      <c r="W1" s="41" t="str">
        <f>IFERROR(__xludf.DUMMYFUNCTION("""COMPUTED_VALUE"""),"Referral Test Result")</f>
        <v>Referral Test Result</v>
      </c>
      <c r="X1" s="41" t="str">
        <f>IFERROR(__xludf.DUMMYFUNCTION("""COMPUTED_VALUE"""),"Referral Eval Notes")</f>
        <v>Referral Eval Notes</v>
      </c>
      <c r="Y1" s="41" t="str">
        <f>IFERROR(__xludf.DUMMYFUNCTION("""COMPUTED_VALUE"""),"3 ACCOUNTED FOR IN RTR?")</f>
        <v>3 ACCOUNTED FOR IN RTR?</v>
      </c>
      <c r="Z1" s="43" t="str">
        <f>IFERROR(__xludf.DUMMYFUNCTION("""COMPUTED_VALUE"""),"Re-test?")</f>
        <v>Re-test?</v>
      </c>
      <c r="AA1" s="43" t="str">
        <f>IFERROR(__xludf.DUMMYFUNCTION("""COMPUTED_VALUE"""),"Pool Deconvolution Indiv Test?")</f>
        <v>Pool Deconvolution Indiv Test?</v>
      </c>
    </row>
    <row r="2">
      <c r="A2" s="44" t="s">
        <v>63</v>
      </c>
      <c r="B2" s="46" t="str">
        <f>IFERROR(__xludf.DUMMYFUNCTION("""COMPUTED_VALUE"""),"AG173")</f>
        <v>AG173</v>
      </c>
      <c r="C2" s="20">
        <f>IFERROR(__xludf.DUMMYFUNCTION("""COMPUTED_VALUE"""),44903.0)</f>
        <v>44903</v>
      </c>
      <c r="D2" s="47">
        <f>IFERROR(__xludf.DUMMYFUNCTION("""COMPUTED_VALUE"""),0.2963078703703704)</f>
        <v>0.2963078704</v>
      </c>
      <c r="E2" s="46" t="str">
        <f>IFERROR(__xludf.DUMMYFUNCTION("""COMPUTED_VALUE"""),"SpABRM367540")</f>
        <v>SpABRM367540</v>
      </c>
      <c r="F2" s="46"/>
      <c r="G2" s="46"/>
      <c r="H2" s="46" t="str">
        <f>IFERROR(__xludf.DUMMYFUNCTION("""COMPUTED_VALUE"""),"Positive")</f>
        <v>Positive</v>
      </c>
      <c r="I2" s="46" t="str">
        <f>IFERROR(__xludf.DUMMYFUNCTION("""COMPUTED_VALUE"""),"Positive")</f>
        <v>Positive</v>
      </c>
      <c r="J2" s="20">
        <f>IFERROR(__xludf.DUMMYFUNCTION("""COMPUTED_VALUE"""),44903.0)</f>
        <v>44903</v>
      </c>
      <c r="K2" s="47">
        <f>IFERROR(__xludf.DUMMYFUNCTION("""COMPUTED_VALUE"""),0.4659027777777778)</f>
        <v>0.4659027778</v>
      </c>
      <c r="L2" s="52"/>
      <c r="M2" s="53"/>
      <c r="N2" s="52"/>
      <c r="O2" s="52">
        <f>IFERROR(__xludf.DUMMYFUNCTION("""COMPUTED_VALUE"""),3.0)</f>
        <v>3</v>
      </c>
      <c r="P2" s="46">
        <f>IFERROR(__xludf.DUMMYFUNCTION("""COMPUTED_VALUE"""),1393.0)</f>
        <v>1393</v>
      </c>
      <c r="Q2" s="46" t="str">
        <f>IFERROR(__xludf.DUMMYFUNCTION("""COMPUTED_VALUE"""),"ABRM805764")</f>
        <v>ABRM805764</v>
      </c>
      <c r="R2" s="46" t="str">
        <f>IFERROR(__xludf.DUMMYFUNCTION("""COMPUTED_VALUE"""),"ABRM771013")</f>
        <v>ABRM771013</v>
      </c>
      <c r="S2" s="46" t="str">
        <f>IFERROR(__xludf.DUMMYFUNCTION("""COMPUTED_VALUE"""),"ABRM582390")</f>
        <v>ABRM582390</v>
      </c>
      <c r="T2" s="46"/>
      <c r="U2" s="46">
        <f>IFERROR(__xludf.DUMMYFUNCTION("""COMPUTED_VALUE"""),1.0)</f>
        <v>1</v>
      </c>
      <c r="V2" s="46" t="b">
        <f>IFERROR(__xludf.DUMMYFUNCTION("""COMPUTED_VALUE"""),TRUE)</f>
        <v>1</v>
      </c>
      <c r="W2" s="46" t="str">
        <f>IFERROR(__xludf.DUMMYFUNCTION("""COMPUTED_VALUE"""),"Positive")</f>
        <v>Positive</v>
      </c>
      <c r="X2" s="46"/>
      <c r="Y2" s="46" t="b">
        <f>IFERROR(__xludf.DUMMYFUNCTION("""COMPUTED_VALUE"""),TRUE)</f>
        <v>1</v>
      </c>
      <c r="Z2" s="7"/>
      <c r="AA2" s="7"/>
    </row>
    <row r="3">
      <c r="B3" s="46" t="str">
        <f>IFERROR(__xludf.DUMMYFUNCTION("""COMPUTED_VALUE"""),"AH112")</f>
        <v>AH112</v>
      </c>
      <c r="C3" s="20">
        <f>IFERROR(__xludf.DUMMYFUNCTION("""COMPUTED_VALUE"""),44915.0)</f>
        <v>44915</v>
      </c>
      <c r="D3" s="47">
        <f>IFERROR(__xludf.DUMMYFUNCTION("""COMPUTED_VALUE"""),0.32241898148148146)</f>
        <v>0.3224189815</v>
      </c>
      <c r="E3" s="46" t="str">
        <f>IFERROR(__xludf.DUMMYFUNCTION("""COMPUTED_VALUE"""),"SpABRM655136")</f>
        <v>SpABRM655136</v>
      </c>
      <c r="F3" s="46"/>
      <c r="G3" s="46"/>
      <c r="H3" s="46" t="str">
        <f>IFERROR(__xludf.DUMMYFUNCTION("""COMPUTED_VALUE"""),"Positive")</f>
        <v>Positive</v>
      </c>
      <c r="I3" s="46" t="str">
        <f>IFERROR(__xludf.DUMMYFUNCTION("""COMPUTED_VALUE"""),"Positive")</f>
        <v>Positive</v>
      </c>
      <c r="J3" s="20">
        <f>IFERROR(__xludf.DUMMYFUNCTION("""COMPUTED_VALUE"""),44915.0)</f>
        <v>44915</v>
      </c>
      <c r="K3" s="47">
        <f>IFERROR(__xludf.DUMMYFUNCTION("""COMPUTED_VALUE"""),0.42900462962962965)</f>
        <v>0.4290046296</v>
      </c>
      <c r="L3" s="52"/>
      <c r="M3" s="53"/>
      <c r="N3" s="52"/>
      <c r="O3" s="52">
        <f>IFERROR(__xludf.DUMMYFUNCTION("""COMPUTED_VALUE"""),1.0)</f>
        <v>1</v>
      </c>
      <c r="P3" s="46">
        <f>IFERROR(__xludf.DUMMYFUNCTION("""COMPUTED_VALUE"""),1465.0)</f>
        <v>1465</v>
      </c>
      <c r="Q3" s="46" t="str">
        <f>IFERROR(__xludf.DUMMYFUNCTION("""COMPUTED_VALUE"""),"ABRM805764")</f>
        <v>ABRM805764</v>
      </c>
      <c r="R3" s="46"/>
      <c r="S3" s="46"/>
      <c r="T3" s="46"/>
      <c r="U3" s="46">
        <f>IFERROR(__xludf.DUMMYFUNCTION("""COMPUTED_VALUE"""),1.0)</f>
        <v>1</v>
      </c>
      <c r="V3" s="46"/>
      <c r="W3" s="46" t="str">
        <f>IFERROR(__xludf.DUMMYFUNCTION("""COMPUTED_VALUE"""),"Positive")</f>
        <v>Positive</v>
      </c>
      <c r="X3" s="46"/>
      <c r="Y3" s="46" t="b">
        <f>IFERROR(__xludf.DUMMYFUNCTION("""COMPUTED_VALUE"""),TRUE)</f>
        <v>1</v>
      </c>
      <c r="Z3" s="7" t="b">
        <f>IFERROR(__xludf.DUMMYFUNCTION("""COMPUTED_VALUE"""),TRUE)</f>
        <v>1</v>
      </c>
      <c r="AA3" s="7"/>
    </row>
    <row r="4">
      <c r="B4" s="46" t="str">
        <f>IFERROR(__xludf.DUMMYFUNCTION("""COMPUTED_VALUE"""),"AJ9480")</f>
        <v>AJ9480</v>
      </c>
      <c r="C4" s="20">
        <f>IFERROR(__xludf.DUMMYFUNCTION("""COMPUTED_VALUE"""),44915.0)</f>
        <v>44915</v>
      </c>
      <c r="D4" s="47">
        <f>IFERROR(__xludf.DUMMYFUNCTION("""COMPUTED_VALUE"""),0.3227083333333333)</f>
        <v>0.3227083333</v>
      </c>
      <c r="E4" s="46" t="str">
        <f>IFERROR(__xludf.DUMMYFUNCTION("""COMPUTED_VALUE"""),"SpABRM655136")</f>
        <v>SpABRM655136</v>
      </c>
      <c r="F4" s="46"/>
      <c r="G4" s="46"/>
      <c r="H4" s="46" t="str">
        <f>IFERROR(__xludf.DUMMYFUNCTION("""COMPUTED_VALUE"""),"Positive")</f>
        <v>Positive</v>
      </c>
      <c r="I4" s="46" t="str">
        <f>IFERROR(__xludf.DUMMYFUNCTION("""COMPUTED_VALUE"""),"Positive")</f>
        <v>Positive</v>
      </c>
      <c r="J4" s="20">
        <f>IFERROR(__xludf.DUMMYFUNCTION("""COMPUTED_VALUE"""),44915.0)</f>
        <v>44915</v>
      </c>
      <c r="K4" s="47">
        <f>IFERROR(__xludf.DUMMYFUNCTION("""COMPUTED_VALUE"""),0.4290162037037037)</f>
        <v>0.4290162037</v>
      </c>
      <c r="L4" s="52"/>
      <c r="M4" s="53"/>
      <c r="N4" s="52"/>
      <c r="O4" s="52">
        <f>IFERROR(__xludf.DUMMYFUNCTION("""COMPUTED_VALUE"""),1.0)</f>
        <v>1</v>
      </c>
      <c r="P4" s="46">
        <f>IFERROR(__xludf.DUMMYFUNCTION("""COMPUTED_VALUE"""),1466.0)</f>
        <v>1466</v>
      </c>
      <c r="Q4" s="46" t="str">
        <f>IFERROR(__xludf.DUMMYFUNCTION("""COMPUTED_VALUE"""),"ABRM582390")</f>
        <v>ABRM582390</v>
      </c>
      <c r="R4" s="46"/>
      <c r="S4" s="46"/>
      <c r="T4" s="46"/>
      <c r="U4" s="46">
        <f>IFERROR(__xludf.DUMMYFUNCTION("""COMPUTED_VALUE"""),1.0)</f>
        <v>1</v>
      </c>
      <c r="V4" s="46"/>
      <c r="W4" s="46" t="str">
        <f>IFERROR(__xludf.DUMMYFUNCTION("""COMPUTED_VALUE"""),"Positive")</f>
        <v>Positive</v>
      </c>
      <c r="X4" s="46"/>
      <c r="Y4" s="46" t="b">
        <f>IFERROR(__xludf.DUMMYFUNCTION("""COMPUTED_VALUE"""),TRUE)</f>
        <v>1</v>
      </c>
      <c r="Z4" s="7" t="b">
        <f>IFERROR(__xludf.DUMMYFUNCTION("""COMPUTED_VALUE"""),TRUE)</f>
        <v>1</v>
      </c>
      <c r="AA4" s="7"/>
    </row>
    <row r="5">
      <c r="B5" s="46" t="str">
        <f>IFERROR(__xludf.DUMMYFUNCTION("""COMPUTED_VALUE"""),"AK9881")</f>
        <v>AK9881</v>
      </c>
      <c r="C5" s="20">
        <f>IFERROR(__xludf.DUMMYFUNCTION("""COMPUTED_VALUE"""),45015.0)</f>
        <v>45015</v>
      </c>
      <c r="D5" s="47">
        <f>IFERROR(__xludf.DUMMYFUNCTION("""COMPUTED_VALUE"""),0.25310185185185186)</f>
        <v>0.2531018519</v>
      </c>
      <c r="E5" s="46" t="str">
        <f>IFERROR(__xludf.DUMMYFUNCTION("""COMPUTED_VALUE"""),"SpABRM297307")</f>
        <v>SpABRM297307</v>
      </c>
      <c r="F5" s="46"/>
      <c r="G5" s="46"/>
      <c r="H5" s="46" t="str">
        <f>IFERROR(__xludf.DUMMYFUNCTION("""COMPUTED_VALUE"""),"Positive")</f>
        <v>Positive</v>
      </c>
      <c r="I5" s="46" t="str">
        <f>IFERROR(__xludf.DUMMYFUNCTION("""COMPUTED_VALUE"""),"Positive")</f>
        <v>Positive</v>
      </c>
      <c r="J5" s="20">
        <f>IFERROR(__xludf.DUMMYFUNCTION("""COMPUTED_VALUE"""),45015.0)</f>
        <v>45015</v>
      </c>
      <c r="K5" s="47">
        <f>IFERROR(__xludf.DUMMYFUNCTION("""COMPUTED_VALUE"""),0.4371412037037037)</f>
        <v>0.4371412037</v>
      </c>
      <c r="L5" s="52"/>
      <c r="M5" s="53"/>
      <c r="N5" s="52"/>
      <c r="O5" s="52">
        <f>IFERROR(__xludf.DUMMYFUNCTION("""COMPUTED_VALUE"""),4.0)</f>
        <v>4</v>
      </c>
      <c r="P5" s="46">
        <f>IFERROR(__xludf.DUMMYFUNCTION("""COMPUTED_VALUE"""),2419.0)</f>
        <v>2419</v>
      </c>
      <c r="Q5" s="46" t="str">
        <f>IFERROR(__xludf.DUMMYFUNCTION("""COMPUTED_VALUE"""),"ABRM624478")</f>
        <v>ABRM624478</v>
      </c>
      <c r="R5" s="46" t="str">
        <f>IFERROR(__xludf.DUMMYFUNCTION("""COMPUTED_VALUE"""),"ABRM739674")</f>
        <v>ABRM739674</v>
      </c>
      <c r="S5" s="46" t="str">
        <f>IFERROR(__xludf.DUMMYFUNCTION("""COMPUTED_VALUE"""),"ABRM303158")</f>
        <v>ABRM303158</v>
      </c>
      <c r="T5" s="46" t="str">
        <f>IFERROR(__xludf.DUMMYFUNCTION("""COMPUTED_VALUE"""),"ABRM958852")</f>
        <v>ABRM958852</v>
      </c>
      <c r="U5" s="46">
        <f>IFERROR(__xludf.DUMMYFUNCTION("""COMPUTED_VALUE"""),2.0)</f>
        <v>2</v>
      </c>
      <c r="V5" s="46"/>
      <c r="W5" s="46" t="str">
        <f>IFERROR(__xludf.DUMMYFUNCTION("""COMPUTED_VALUE"""),"NONE")</f>
        <v>NONE</v>
      </c>
      <c r="X5" s="46"/>
      <c r="Y5" s="46" t="b">
        <f>IFERROR(__xludf.DUMMYFUNCTION("""COMPUTED_VALUE"""),FALSE)</f>
        <v>0</v>
      </c>
      <c r="Z5" s="7"/>
      <c r="AA5" s="7"/>
    </row>
    <row r="6">
      <c r="B6" s="46" t="str">
        <f>IFERROR(__xludf.DUMMYFUNCTION("""COMPUTED_VALUE"""),"AB9291")</f>
        <v>AB9291</v>
      </c>
      <c r="C6" s="20">
        <f>IFERROR(__xludf.DUMMYFUNCTION("""COMPUTED_VALUE"""),45069.0)</f>
        <v>45069</v>
      </c>
      <c r="D6" s="47">
        <f>IFERROR(__xludf.DUMMYFUNCTION("""COMPUTED_VALUE"""),0.3019560185185185)</f>
        <v>0.3019560185</v>
      </c>
      <c r="E6" s="46" t="str">
        <f>IFERROR(__xludf.DUMMYFUNCTION("""COMPUTED_VALUE"""),"SpABRM128250")</f>
        <v>SpABRM128250</v>
      </c>
      <c r="F6" s="46"/>
      <c r="G6" s="46"/>
      <c r="H6" s="46" t="str">
        <f>IFERROR(__xludf.DUMMYFUNCTION("""COMPUTED_VALUE"""),"Positive")</f>
        <v>Positive</v>
      </c>
      <c r="I6" s="46" t="str">
        <f>IFERROR(__xludf.DUMMYFUNCTION("""COMPUTED_VALUE"""),"Positive")</f>
        <v>Positive</v>
      </c>
      <c r="J6" s="20">
        <f>IFERROR(__xludf.DUMMYFUNCTION("""COMPUTED_VALUE"""),45069.0)</f>
        <v>45069</v>
      </c>
      <c r="K6" s="47">
        <f>IFERROR(__xludf.DUMMYFUNCTION("""COMPUTED_VALUE"""),0.40076388888888886)</f>
        <v>0.4007638889</v>
      </c>
      <c r="L6" s="52"/>
      <c r="M6" s="53"/>
      <c r="N6" s="52"/>
      <c r="O6" s="52">
        <f>IFERROR(__xludf.DUMMYFUNCTION("""COMPUTED_VALUE"""),3.0)</f>
        <v>3</v>
      </c>
      <c r="P6" s="46">
        <f>IFERROR(__xludf.DUMMYFUNCTION("""COMPUTED_VALUE"""),2880.0)</f>
        <v>2880</v>
      </c>
      <c r="Q6" s="46" t="str">
        <f>IFERROR(__xludf.DUMMYFUNCTION("""COMPUTED_VALUE"""),"ABRM362882")</f>
        <v>ABRM362882</v>
      </c>
      <c r="R6" s="46" t="str">
        <f>IFERROR(__xludf.DUMMYFUNCTION("""COMPUTED_VALUE"""),"ABRM165120")</f>
        <v>ABRM165120</v>
      </c>
      <c r="S6" s="46" t="str">
        <f>IFERROR(__xludf.DUMMYFUNCTION("""COMPUTED_VALUE"""),"ABRM735457")</f>
        <v>ABRM735457</v>
      </c>
      <c r="T6" s="46"/>
      <c r="U6" s="46">
        <f>IFERROR(__xludf.DUMMYFUNCTION("""COMPUTED_VALUE"""),3.0)</f>
        <v>3</v>
      </c>
      <c r="V6" s="46"/>
      <c r="W6" s="46" t="str">
        <f>IFERROR(__xludf.DUMMYFUNCTION("""COMPUTED_VALUE"""),"NONE")</f>
        <v>NONE</v>
      </c>
      <c r="X6" s="46"/>
      <c r="Y6" s="46" t="b">
        <f>IFERROR(__xludf.DUMMYFUNCTION("""COMPUTED_VALUE"""),FALSE)</f>
        <v>0</v>
      </c>
      <c r="Z6" s="7"/>
      <c r="AA6" s="7"/>
    </row>
    <row r="7">
      <c r="B7" s="46" t="str">
        <f>IFERROR(__xludf.DUMMYFUNCTION("""COMPUTED_VALUE"""),"AR1265")</f>
        <v>AR1265</v>
      </c>
      <c r="C7" s="20">
        <f>IFERROR(__xludf.DUMMYFUNCTION("""COMPUTED_VALUE"""),45069.0)</f>
        <v>45069</v>
      </c>
      <c r="D7" s="47">
        <f>IFERROR(__xludf.DUMMYFUNCTION("""COMPUTED_VALUE"""),0.33762731481481484)</f>
        <v>0.3376273148</v>
      </c>
      <c r="E7" s="46" t="str">
        <f>IFERROR(__xludf.DUMMYFUNCTION("""COMPUTED_VALUE"""),"SpABRM655136")</f>
        <v>SpABRM655136</v>
      </c>
      <c r="F7" s="46"/>
      <c r="G7" s="46"/>
      <c r="H7" s="46" t="str">
        <f>IFERROR(__xludf.DUMMYFUNCTION("""COMPUTED_VALUE"""),"Positive")</f>
        <v>Positive</v>
      </c>
      <c r="I7" s="46" t="str">
        <f>IFERROR(__xludf.DUMMYFUNCTION("""COMPUTED_VALUE"""),"Positive")</f>
        <v>Positive</v>
      </c>
      <c r="J7" s="20">
        <f>IFERROR(__xludf.DUMMYFUNCTION("""COMPUTED_VALUE"""),45069.0)</f>
        <v>45069</v>
      </c>
      <c r="K7" s="47">
        <f>IFERROR(__xludf.DUMMYFUNCTION("""COMPUTED_VALUE"""),0.40074074074074073)</f>
        <v>0.4007407407</v>
      </c>
      <c r="L7" s="52"/>
      <c r="M7" s="53"/>
      <c r="N7" s="52"/>
      <c r="O7" s="52">
        <f>IFERROR(__xludf.DUMMYFUNCTION("""COMPUTED_VALUE"""),1.0)</f>
        <v>1</v>
      </c>
      <c r="P7" s="46">
        <f>IFERROR(__xludf.DUMMYFUNCTION("""COMPUTED_VALUE"""),2887.0)</f>
        <v>2887</v>
      </c>
      <c r="Q7" s="46" t="str">
        <f>IFERROR(__xludf.DUMMYFUNCTION("""COMPUTED_VALUE"""),"ABRM362882")</f>
        <v>ABRM362882</v>
      </c>
      <c r="R7" s="46"/>
      <c r="S7" s="46"/>
      <c r="T7" s="46"/>
      <c r="U7" s="46">
        <f>IFERROR(__xludf.DUMMYFUNCTION("""COMPUTED_VALUE"""),3.0)</f>
        <v>3</v>
      </c>
      <c r="V7" s="46"/>
      <c r="W7" s="46" t="str">
        <f>IFERROR(__xludf.DUMMYFUNCTION("""COMPUTED_VALUE"""),"NONE")</f>
        <v>NONE</v>
      </c>
      <c r="X7" s="46"/>
      <c r="Y7" s="46" t="b">
        <f>IFERROR(__xludf.DUMMYFUNCTION("""COMPUTED_VALUE"""),FALSE)</f>
        <v>0</v>
      </c>
      <c r="Z7" s="7"/>
      <c r="AA7" s="7" t="b">
        <f>IFERROR(__xludf.DUMMYFUNCTION("""COMPUTED_VALUE"""),TRUE)</f>
        <v>1</v>
      </c>
    </row>
    <row r="8">
      <c r="B8" s="46" t="str">
        <f>IFERROR(__xludf.DUMMYFUNCTION("""COMPUTED_VALUE"""),"AR15")</f>
        <v>AR15</v>
      </c>
      <c r="C8" s="20">
        <f>IFERROR(__xludf.DUMMYFUNCTION("""COMPUTED_VALUE"""),45069.0)</f>
        <v>45069</v>
      </c>
      <c r="D8" s="47">
        <f>IFERROR(__xludf.DUMMYFUNCTION("""COMPUTED_VALUE"""),0.3383564814814815)</f>
        <v>0.3383564815</v>
      </c>
      <c r="E8" s="46" t="str">
        <f>IFERROR(__xludf.DUMMYFUNCTION("""COMPUTED_VALUE"""),"SpABRM655136")</f>
        <v>SpABRM655136</v>
      </c>
      <c r="F8" s="46"/>
      <c r="G8" s="46"/>
      <c r="H8" s="46" t="str">
        <f>IFERROR(__xludf.DUMMYFUNCTION("""COMPUTED_VALUE"""),"Positive")</f>
        <v>Positive</v>
      </c>
      <c r="I8" s="46" t="str">
        <f>IFERROR(__xludf.DUMMYFUNCTION("""COMPUTED_VALUE"""),"Positive")</f>
        <v>Positive</v>
      </c>
      <c r="J8" s="20">
        <f>IFERROR(__xludf.DUMMYFUNCTION("""COMPUTED_VALUE"""),45069.0)</f>
        <v>45069</v>
      </c>
      <c r="K8" s="47">
        <f>IFERROR(__xludf.DUMMYFUNCTION("""COMPUTED_VALUE"""),0.4007291666666667)</f>
        <v>0.4007291667</v>
      </c>
      <c r="L8" s="52"/>
      <c r="M8" s="53"/>
      <c r="N8" s="52"/>
      <c r="O8" s="52">
        <f>IFERROR(__xludf.DUMMYFUNCTION("""COMPUTED_VALUE"""),1.0)</f>
        <v>1</v>
      </c>
      <c r="P8" s="46">
        <f>IFERROR(__xludf.DUMMYFUNCTION("""COMPUTED_VALUE"""),2888.0)</f>
        <v>2888</v>
      </c>
      <c r="Q8" s="46" t="str">
        <f>IFERROR(__xludf.DUMMYFUNCTION("""COMPUTED_VALUE"""),"ABRM165120")</f>
        <v>ABRM165120</v>
      </c>
      <c r="R8" s="46"/>
      <c r="S8" s="46"/>
      <c r="T8" s="46"/>
      <c r="U8" s="46">
        <f>IFERROR(__xludf.DUMMYFUNCTION("""COMPUTED_VALUE"""),3.0)</f>
        <v>3</v>
      </c>
      <c r="V8" s="46"/>
      <c r="W8" s="46" t="str">
        <f>IFERROR(__xludf.DUMMYFUNCTION("""COMPUTED_VALUE"""),"NONE")</f>
        <v>NONE</v>
      </c>
      <c r="X8" s="46"/>
      <c r="Y8" s="46" t="b">
        <f>IFERROR(__xludf.DUMMYFUNCTION("""COMPUTED_VALUE"""),FALSE)</f>
        <v>0</v>
      </c>
      <c r="Z8" s="7"/>
      <c r="AA8" s="7" t="b">
        <f>IFERROR(__xludf.DUMMYFUNCTION("""COMPUTED_VALUE"""),TRUE)</f>
        <v>1</v>
      </c>
    </row>
    <row r="9">
      <c r="B9" s="46" t="str">
        <f>IFERROR(__xludf.DUMMYFUNCTION("""COMPUTED_VALUE"""),"AK9590")</f>
        <v>AK9590</v>
      </c>
      <c r="C9" s="20">
        <f>IFERROR(__xludf.DUMMYFUNCTION("""COMPUTED_VALUE"""),45069.0)</f>
        <v>45069</v>
      </c>
      <c r="D9" s="47">
        <f>IFERROR(__xludf.DUMMYFUNCTION("""COMPUTED_VALUE"""),0.3387615740740741)</f>
        <v>0.3387615741</v>
      </c>
      <c r="E9" s="46" t="str">
        <f>IFERROR(__xludf.DUMMYFUNCTION("""COMPUTED_VALUE"""),"SpABRM655136")</f>
        <v>SpABRM655136</v>
      </c>
      <c r="F9" s="46"/>
      <c r="G9" s="46"/>
      <c r="H9" s="46" t="str">
        <f>IFERROR(__xludf.DUMMYFUNCTION("""COMPUTED_VALUE"""),"Positive")</f>
        <v>Positive</v>
      </c>
      <c r="I9" s="46" t="str">
        <f>IFERROR(__xludf.DUMMYFUNCTION("""COMPUTED_VALUE"""),"Positive")</f>
        <v>Positive</v>
      </c>
      <c r="J9" s="20">
        <f>IFERROR(__xludf.DUMMYFUNCTION("""COMPUTED_VALUE"""),45069.0)</f>
        <v>45069</v>
      </c>
      <c r="K9" s="47">
        <f>IFERROR(__xludf.DUMMYFUNCTION("""COMPUTED_VALUE"""),0.4007060185185185)</f>
        <v>0.4007060185</v>
      </c>
      <c r="L9" s="52"/>
      <c r="M9" s="53"/>
      <c r="N9" s="52"/>
      <c r="O9" s="52">
        <f>IFERROR(__xludf.DUMMYFUNCTION("""COMPUTED_VALUE"""),1.0)</f>
        <v>1</v>
      </c>
      <c r="P9" s="46">
        <f>IFERROR(__xludf.DUMMYFUNCTION("""COMPUTED_VALUE"""),2889.0)</f>
        <v>2889</v>
      </c>
      <c r="Q9" s="46" t="str">
        <f>IFERROR(__xludf.DUMMYFUNCTION("""COMPUTED_VALUE"""),"ABRM735457")</f>
        <v>ABRM735457</v>
      </c>
      <c r="R9" s="46"/>
      <c r="S9" s="46"/>
      <c r="T9" s="46"/>
      <c r="U9" s="46">
        <f>IFERROR(__xludf.DUMMYFUNCTION("""COMPUTED_VALUE"""),3.0)</f>
        <v>3</v>
      </c>
      <c r="V9" s="46"/>
      <c r="W9" s="46" t="str">
        <f>IFERROR(__xludf.DUMMYFUNCTION("""COMPUTED_VALUE"""),"NONE")</f>
        <v>NONE</v>
      </c>
      <c r="X9" s="46"/>
      <c r="Y9" s="46" t="b">
        <f>IFERROR(__xludf.DUMMYFUNCTION("""COMPUTED_VALUE"""),FALSE)</f>
        <v>0</v>
      </c>
      <c r="Z9" s="7"/>
      <c r="AA9" s="7" t="b">
        <f>IFERROR(__xludf.DUMMYFUNCTION("""COMPUTED_VALUE"""),TRUE)</f>
        <v>1</v>
      </c>
    </row>
    <row r="10">
      <c r="B10" s="46" t="str">
        <f>IFERROR(__xludf.DUMMYFUNCTION("""COMPUTED_VALUE"""),"AG1417")</f>
        <v>AG1417</v>
      </c>
      <c r="C10" s="20">
        <f>IFERROR(__xludf.DUMMYFUNCTION("""COMPUTED_VALUE"""),44938.0)</f>
        <v>44938</v>
      </c>
      <c r="D10" s="47">
        <f>IFERROR(__xludf.DUMMYFUNCTION("""COMPUTED_VALUE"""),0.25288194444444445)</f>
        <v>0.2528819444</v>
      </c>
      <c r="E10" s="46" t="str">
        <f>IFERROR(__xludf.DUMMYFUNCTION("""COMPUTED_VALUE"""),"SpABRM297307")</f>
        <v>SpABRM297307</v>
      </c>
      <c r="F10" s="46"/>
      <c r="G10" s="46"/>
      <c r="H10" s="46" t="str">
        <f>IFERROR(__xludf.DUMMYFUNCTION("""COMPUTED_VALUE"""),"Inconclusive")</f>
        <v>Inconclusive</v>
      </c>
      <c r="I10" s="46" t="str">
        <f>IFERROR(__xludf.DUMMYFUNCTION("""COMPUTED_VALUE"""),"Inconclusive")</f>
        <v>Inconclusive</v>
      </c>
      <c r="J10" s="20">
        <f>IFERROR(__xludf.DUMMYFUNCTION("""COMPUTED_VALUE"""),44938.0)</f>
        <v>44938</v>
      </c>
      <c r="K10" s="47">
        <f>IFERROR(__xludf.DUMMYFUNCTION("""COMPUTED_VALUE"""),0.5979282407407407)</f>
        <v>0.5979282407</v>
      </c>
      <c r="L10" s="52"/>
      <c r="M10" s="53"/>
      <c r="N10" s="52"/>
      <c r="O10" s="52">
        <f>IFERROR(__xludf.DUMMYFUNCTION("""COMPUTED_VALUE"""),3.0)</f>
        <v>3</v>
      </c>
      <c r="P10" s="46">
        <f>IFERROR(__xludf.DUMMYFUNCTION("""COMPUTED_VALUE"""),1637.0)</f>
        <v>1637</v>
      </c>
      <c r="Q10" s="46" t="str">
        <f>IFERROR(__xludf.DUMMYFUNCTION("""COMPUTED_VALUE"""),"ABRM947679")</f>
        <v>ABRM947679</v>
      </c>
      <c r="R10" s="46" t="str">
        <f>IFERROR(__xludf.DUMMYFUNCTION("""COMPUTED_VALUE"""),"ABRM303158")</f>
        <v>ABRM303158</v>
      </c>
      <c r="S10" s="46" t="str">
        <f>IFERROR(__xludf.DUMMYFUNCTION("""COMPUTED_VALUE"""),"ABRM958852")</f>
        <v>ABRM958852</v>
      </c>
      <c r="T10" s="46"/>
      <c r="U10" s="46">
        <f>IFERROR(__xludf.DUMMYFUNCTION("""COMPUTED_VALUE"""),4.0)</f>
        <v>4</v>
      </c>
      <c r="V10" s="46"/>
      <c r="W10" s="46" t="str">
        <f>IFERROR(__xludf.DUMMYFUNCTION("""COMPUTED_VALUE"""),"NONE")</f>
        <v>NONE</v>
      </c>
      <c r="X10" s="46"/>
      <c r="Y10" s="46" t="b">
        <f>IFERROR(__xludf.DUMMYFUNCTION("""COMPUTED_VALUE"""),FALSE)</f>
        <v>0</v>
      </c>
      <c r="Z10" s="7"/>
      <c r="AA10" s="7"/>
    </row>
    <row r="11">
      <c r="B11" s="46" t="str">
        <f>IFERROR(__xludf.DUMMYFUNCTION("""COMPUTED_VALUE"""),"AG1625")</f>
        <v>AG1625</v>
      </c>
      <c r="C11" s="20">
        <f>IFERROR(__xludf.DUMMYFUNCTION("""COMPUTED_VALUE"""),44939.0)</f>
        <v>44939</v>
      </c>
      <c r="D11" s="47">
        <f>IFERROR(__xludf.DUMMYFUNCTION("""COMPUTED_VALUE"""),0.32319444444444445)</f>
        <v>0.3231944444</v>
      </c>
      <c r="E11" s="46" t="str">
        <f>IFERROR(__xludf.DUMMYFUNCTION("""COMPUTED_VALUE"""),"SpABRM814022")</f>
        <v>SpABRM814022</v>
      </c>
      <c r="F11" s="46"/>
      <c r="G11" s="46"/>
      <c r="H11" s="46" t="str">
        <f>IFERROR(__xludf.DUMMYFUNCTION("""COMPUTED_VALUE"""),"Inconclusive")</f>
        <v>Inconclusive</v>
      </c>
      <c r="I11" s="46" t="str">
        <f>IFERROR(__xludf.DUMMYFUNCTION("""COMPUTED_VALUE"""),"Inconclusive")</f>
        <v>Inconclusive</v>
      </c>
      <c r="J11" s="20">
        <f>IFERROR(__xludf.DUMMYFUNCTION("""COMPUTED_VALUE"""),44939.0)</f>
        <v>44939</v>
      </c>
      <c r="K11" s="47">
        <f>IFERROR(__xludf.DUMMYFUNCTION("""COMPUTED_VALUE"""),0.5109722222222223)</f>
        <v>0.5109722222</v>
      </c>
      <c r="L11" s="52"/>
      <c r="M11" s="53"/>
      <c r="N11" s="52"/>
      <c r="O11" s="52">
        <f>IFERROR(__xludf.DUMMYFUNCTION("""COMPUTED_VALUE"""),1.0)</f>
        <v>1</v>
      </c>
      <c r="P11" s="46">
        <f>IFERROR(__xludf.DUMMYFUNCTION("""COMPUTED_VALUE"""),1655.0)</f>
        <v>1655</v>
      </c>
      <c r="Q11" s="46" t="str">
        <f>IFERROR(__xludf.DUMMYFUNCTION("""COMPUTED_VALUE"""),"ABRM515295")</f>
        <v>ABRM515295</v>
      </c>
      <c r="R11" s="46"/>
      <c r="S11" s="46"/>
      <c r="T11" s="46"/>
      <c r="U11" s="46">
        <f>IFERROR(__xludf.DUMMYFUNCTION("""COMPUTED_VALUE"""),5.0)</f>
        <v>5</v>
      </c>
      <c r="V11" s="46"/>
      <c r="W11" s="46" t="str">
        <f>IFERROR(__xludf.DUMMYFUNCTION("""COMPUTED_VALUE"""),"NONE")</f>
        <v>NONE</v>
      </c>
      <c r="X11" s="46"/>
      <c r="Y11" s="46" t="b">
        <f>IFERROR(__xludf.DUMMYFUNCTION("""COMPUTED_VALUE"""),FALSE)</f>
        <v>0</v>
      </c>
      <c r="Z11" s="7"/>
      <c r="AA11" s="7"/>
    </row>
    <row r="12">
      <c r="B12" s="46" t="str">
        <f>IFERROR(__xludf.DUMMYFUNCTION("""COMPUTED_VALUE"""),"AJ8942")</f>
        <v>AJ8942</v>
      </c>
      <c r="C12" s="20">
        <f>IFERROR(__xludf.DUMMYFUNCTION("""COMPUTED_VALUE"""),44946.0)</f>
        <v>44946</v>
      </c>
      <c r="D12" s="47">
        <f>IFERROR(__xludf.DUMMYFUNCTION("""COMPUTED_VALUE"""),0.3116435185185185)</f>
        <v>0.3116435185</v>
      </c>
      <c r="E12" s="46" t="str">
        <f>IFERROR(__xludf.DUMMYFUNCTION("""COMPUTED_VALUE"""),"SpABRM655136")</f>
        <v>SpABRM655136</v>
      </c>
      <c r="F12" s="46"/>
      <c r="G12" s="46"/>
      <c r="H12" s="46" t="str">
        <f>IFERROR(__xludf.DUMMYFUNCTION("""COMPUTED_VALUE"""),"Negative")</f>
        <v>Negative</v>
      </c>
      <c r="I12" s="46" t="str">
        <f>IFERROR(__xludf.DUMMYFUNCTION("""COMPUTED_VALUE"""),"Inconclusive")</f>
        <v>Inconclusive</v>
      </c>
      <c r="J12" s="20">
        <f>IFERROR(__xludf.DUMMYFUNCTION("""COMPUTED_VALUE"""),44946.0)</f>
        <v>44946</v>
      </c>
      <c r="K12" s="47">
        <f>IFERROR(__xludf.DUMMYFUNCTION("""COMPUTED_VALUE"""),0.4196064814814815)</f>
        <v>0.4196064815</v>
      </c>
      <c r="L12" s="52">
        <f>IFERROR(__xludf.DUMMYFUNCTION("""COMPUTED_VALUE"""),4.1)</f>
        <v>4.1</v>
      </c>
      <c r="M12" s="53" t="str">
        <f>IFERROR(__xludf.DUMMYFUNCTION("""COMPUTED_VALUE"""),"RT Jan26 - photo and LUM show Incl call")</f>
        <v>RT Jan26 - photo and LUM show Incl call</v>
      </c>
      <c r="N12" s="52"/>
      <c r="O12" s="52">
        <f>IFERROR(__xludf.DUMMYFUNCTION("""COMPUTED_VALUE"""),2.0)</f>
        <v>2</v>
      </c>
      <c r="P12" s="46">
        <f>IFERROR(__xludf.DUMMYFUNCTION("""COMPUTED_VALUE"""),1743.0)</f>
        <v>1743</v>
      </c>
      <c r="Q12" s="46" t="str">
        <f>IFERROR(__xludf.DUMMYFUNCTION("""COMPUTED_VALUE"""),"ABRM396076")</f>
        <v>ABRM396076</v>
      </c>
      <c r="R12" s="46" t="str">
        <f>IFERROR(__xludf.DUMMYFUNCTION("""COMPUTED_VALUE"""),"ABRM492658")</f>
        <v>ABRM492658</v>
      </c>
      <c r="S12" s="46"/>
      <c r="T12" s="46"/>
      <c r="U12" s="46">
        <f>IFERROR(__xludf.DUMMYFUNCTION("""COMPUTED_VALUE"""),6.0)</f>
        <v>6</v>
      </c>
      <c r="V12" s="46"/>
      <c r="W12" s="46" t="str">
        <f>IFERROR(__xludf.DUMMYFUNCTION("""COMPUTED_VALUE"""),"NONE")</f>
        <v>NONE</v>
      </c>
      <c r="X12" s="46"/>
      <c r="Y12" s="46" t="b">
        <f>IFERROR(__xludf.DUMMYFUNCTION("""COMPUTED_VALUE"""),FALSE)</f>
        <v>0</v>
      </c>
      <c r="Z12" s="7"/>
      <c r="AA12" s="7"/>
    </row>
    <row r="13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52"/>
      <c r="M13" s="53"/>
      <c r="N13" s="52"/>
      <c r="O13" s="52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7"/>
      <c r="AA13" s="7"/>
    </row>
    <row r="14"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52"/>
      <c r="M14" s="53"/>
      <c r="N14" s="52"/>
      <c r="O14" s="52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7"/>
      <c r="AA14" s="7"/>
    </row>
    <row r="15"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52"/>
      <c r="M15" s="53"/>
      <c r="N15" s="52"/>
      <c r="O15" s="52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7"/>
      <c r="AA15" s="7"/>
    </row>
    <row r="16">
      <c r="B16" s="7"/>
      <c r="C16" s="7"/>
      <c r="D16" s="7"/>
      <c r="E16" s="7"/>
      <c r="F16" s="7"/>
      <c r="G16" s="7"/>
      <c r="H16" s="7"/>
      <c r="I16" s="7"/>
      <c r="J16" s="7"/>
      <c r="K16" s="7"/>
      <c r="L16" s="11"/>
      <c r="M16" s="54"/>
      <c r="N16" s="11"/>
      <c r="O16" s="11"/>
      <c r="P16" s="7"/>
      <c r="Q16" s="7">
        <f>IFERROR(__xludf.DUMMYFUNCTION("""COMPUTED_VALUE"""),5.0)</f>
        <v>5</v>
      </c>
      <c r="R16" s="7" t="str">
        <f>IFERROR(__xludf.DUMMYFUNCTION("""COMPUTED_VALUE"""),"Unique Names Above with Indiv Pos Tests")</f>
        <v>Unique Names Above with Indiv Pos Tests</v>
      </c>
      <c r="S16" s="7"/>
      <c r="T16" s="7"/>
      <c r="U16" s="7"/>
      <c r="V16" s="7"/>
      <c r="W16" s="7"/>
      <c r="X16" s="7"/>
      <c r="Y16" s="7"/>
      <c r="Z16" s="7"/>
      <c r="AA16" s="7"/>
    </row>
    <row r="17">
      <c r="B17" s="7"/>
      <c r="C17" s="7"/>
      <c r="D17" s="7"/>
      <c r="E17" s="7"/>
      <c r="F17" s="7"/>
      <c r="G17" s="7"/>
      <c r="H17" s="7"/>
      <c r="I17" s="7"/>
      <c r="J17" s="7"/>
      <c r="K17" s="7"/>
      <c r="L17" s="11"/>
      <c r="M17" s="54"/>
      <c r="N17" s="11"/>
      <c r="O17" s="11"/>
      <c r="P17" s="7"/>
      <c r="Q17" s="7">
        <f>IFERROR(__xludf.DUMMYFUNCTION("""COMPUTED_VALUE"""),0.0)</f>
        <v>0</v>
      </c>
      <c r="R17" s="7" t="str">
        <f>IFERROR(__xludf.DUMMYFUNCTION("""COMPUTED_VALUE"""),"Add Confirmed Inconclusives")</f>
        <v>Add Confirmed Inconclusives</v>
      </c>
      <c r="S17" s="7"/>
      <c r="T17" s="7"/>
      <c r="U17" s="7"/>
      <c r="V17" s="7"/>
      <c r="W17" s="7"/>
      <c r="X17" s="7"/>
      <c r="Y17" s="7"/>
      <c r="Z17" s="7"/>
      <c r="AA17" s="7"/>
    </row>
    <row r="18">
      <c r="B18" s="7"/>
      <c r="C18" s="7"/>
      <c r="D18" s="7"/>
      <c r="E18" s="7"/>
      <c r="F18" s="7"/>
      <c r="G18" s="7"/>
      <c r="H18" s="7"/>
      <c r="I18" s="7"/>
      <c r="J18" s="7"/>
      <c r="K18" s="7"/>
      <c r="L18" s="11"/>
      <c r="M18" s="54"/>
      <c r="N18" s="11"/>
      <c r="O18" s="11"/>
      <c r="P18" s="7"/>
      <c r="Q18" s="7">
        <f>IFERROR(__xludf.DUMMYFUNCTION("""COMPUTED_VALUE"""),0.0)</f>
        <v>0</v>
      </c>
      <c r="R18" s="7" t="str">
        <f>IFERROR(__xludf.DUMMYFUNCTION("""COMPUTED_VALUE"""),"Subtract False Positives")</f>
        <v>Subtract False Positives</v>
      </c>
      <c r="S18" s="7"/>
      <c r="T18" s="7"/>
      <c r="U18" s="7"/>
      <c r="V18" s="7"/>
      <c r="W18" s="7"/>
      <c r="X18" s="7"/>
      <c r="Y18" s="7"/>
      <c r="Z18" s="7"/>
      <c r="AA18" s="7"/>
    </row>
    <row r="19">
      <c r="B19" s="7"/>
      <c r="C19" s="7"/>
      <c r="D19" s="7"/>
      <c r="E19" s="7"/>
      <c r="F19" s="7"/>
      <c r="G19" s="7"/>
      <c r="H19" s="7"/>
      <c r="I19" s="7"/>
      <c r="J19" s="7"/>
      <c r="K19" s="7"/>
      <c r="L19" s="11"/>
      <c r="M19" s="54"/>
      <c r="N19" s="11"/>
      <c r="O19" s="11"/>
      <c r="P19" s="7"/>
      <c r="Q19" s="7">
        <f>IFERROR(__xludf.DUMMYFUNCTION("""COMPUTED_VALUE"""),5.0)</f>
        <v>5</v>
      </c>
      <c r="R19" s="7" t="str">
        <f>IFERROR(__xludf.DUMMYFUNCTION("""COMPUTED_VALUE"""),"Unique Positives")</f>
        <v>Unique Positives</v>
      </c>
      <c r="S19" s="7"/>
      <c r="T19" s="7"/>
      <c r="U19" s="7"/>
      <c r="V19" s="7"/>
      <c r="W19" s="7"/>
      <c r="X19" s="7"/>
      <c r="Y19" s="7"/>
      <c r="Z19" s="7"/>
      <c r="AA19" s="7"/>
    </row>
    <row r="20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5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4"/>
      <c r="N21" s="7"/>
      <c r="O21" s="7"/>
      <c r="P21" s="7"/>
      <c r="Q21" s="7">
        <f>IFERROR(__xludf.DUMMYFUNCTION("""COMPUTED_VALUE"""),10.0)</f>
        <v>10</v>
      </c>
      <c r="R21" s="7" t="str">
        <f>IFERROR(__xludf.DUMMYFUNCTION("""COMPUTED_VALUE"""),"Unique Names Above including all in Pools")</f>
        <v>Unique Names Above including all in Pools</v>
      </c>
      <c r="S21" s="7"/>
      <c r="T21" s="7"/>
      <c r="U21" s="7"/>
      <c r="V21" s="7"/>
      <c r="W21" s="7"/>
      <c r="X21" s="7"/>
      <c r="Y21" s="7"/>
      <c r="Z21" s="7"/>
      <c r="AA21" s="7"/>
    </row>
    <row r="2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54"/>
      <c r="N22" s="7"/>
      <c r="O22" s="7"/>
      <c r="P22" s="7"/>
      <c r="Q22" s="7">
        <f>IFERROR(__xludf.DUMMYFUNCTION("""COMPUTED_VALUE"""),0.0)</f>
        <v>0</v>
      </c>
      <c r="R22" s="7" t="str">
        <f>IFERROR(__xludf.DUMMYFUNCTION("""COMPUTED_VALUE"""),"Add Confirmed Inconclusives")</f>
        <v>Add Confirmed Inconclusives</v>
      </c>
      <c r="S22" s="7"/>
      <c r="T22" s="7"/>
      <c r="U22" s="7"/>
      <c r="V22" s="7"/>
      <c r="W22" s="7"/>
      <c r="X22" s="7"/>
      <c r="Y22" s="7"/>
      <c r="Z22" s="7"/>
      <c r="AA22" s="7"/>
    </row>
    <row r="2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54"/>
      <c r="N23" s="7"/>
      <c r="O23" s="7"/>
      <c r="P23" s="7"/>
      <c r="Q23" s="7">
        <f>IFERROR(__xludf.DUMMYFUNCTION("""COMPUTED_VALUE"""),0.0)</f>
        <v>0</v>
      </c>
      <c r="R23" s="7" t="str">
        <f>IFERROR(__xludf.DUMMYFUNCTION("""COMPUTED_VALUE"""),"Subtract False Positives")</f>
        <v>Subtract False Positives</v>
      </c>
      <c r="S23" s="7"/>
      <c r="T23" s="7"/>
      <c r="U23" s="7"/>
      <c r="V23" s="7"/>
      <c r="W23" s="7"/>
      <c r="X23" s="7"/>
      <c r="Y23" s="7"/>
      <c r="Z23" s="7"/>
      <c r="AA23" s="7"/>
    </row>
    <row r="2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54"/>
      <c r="N24" s="7"/>
      <c r="O24" s="7"/>
      <c r="P24" s="7"/>
      <c r="Q24" s="7">
        <f>IFERROR(__xludf.DUMMYFUNCTION("""COMPUTED_VALUE"""),10.0)</f>
        <v>10</v>
      </c>
      <c r="R24" s="7" t="str">
        <f>IFERROR(__xludf.DUMMYFUNCTION("""COMPUTED_VALUE"""),"Unique Positives including all in Pools")</f>
        <v>Unique Positives including all in Pools</v>
      </c>
      <c r="S24" s="7"/>
      <c r="T24" s="7"/>
      <c r="U24" s="7"/>
      <c r="V24" s="7"/>
      <c r="W24" s="7"/>
      <c r="X24" s="7"/>
      <c r="Y24" s="7"/>
      <c r="Z24" s="7"/>
      <c r="AA24" s="7"/>
    </row>
    <row r="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5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5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5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5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5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5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5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5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5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5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5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</sheetData>
  <hyperlinks>
    <hyperlink r:id="rId2" ref="A2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5.25"/>
    <col customWidth="1" min="12" max="12" width="32.63"/>
  </cols>
  <sheetData>
    <row r="1">
      <c r="A1" s="4" t="s">
        <v>64</v>
      </c>
    </row>
    <row r="2">
      <c r="A2" s="55" t="s">
        <v>65</v>
      </c>
      <c r="B2" s="55"/>
      <c r="C2" s="55" t="s">
        <v>66</v>
      </c>
      <c r="D2" s="55"/>
      <c r="E2" s="55"/>
      <c r="F2" s="55"/>
      <c r="G2" s="55"/>
      <c r="H2" s="55"/>
      <c r="I2" s="55"/>
    </row>
    <row r="3">
      <c r="A3" s="6"/>
    </row>
    <row r="5">
      <c r="A5" s="56"/>
    </row>
    <row r="6">
      <c r="A6" s="57"/>
      <c r="B6" s="58"/>
      <c r="C6" s="58"/>
    </row>
    <row r="7">
      <c r="A7" s="57" t="s">
        <v>67</v>
      </c>
      <c r="B7" s="58"/>
      <c r="C7" s="58"/>
    </row>
    <row r="8">
      <c r="A8" s="57"/>
      <c r="B8" s="58"/>
      <c r="C8" s="58"/>
    </row>
    <row r="9">
      <c r="A9" s="57"/>
      <c r="B9" s="58"/>
      <c r="C9" s="58"/>
    </row>
    <row r="10">
      <c r="A10" s="59"/>
      <c r="B10" s="59"/>
      <c r="C10" s="57"/>
      <c r="E10" s="6"/>
      <c r="F10" s="6"/>
    </row>
    <row r="11">
      <c r="A11" s="59"/>
      <c r="B11" s="59"/>
      <c r="C11" s="57"/>
    </row>
    <row r="12">
      <c r="A12" s="59"/>
      <c r="B12" s="59"/>
      <c r="C12" s="57"/>
    </row>
    <row r="13">
      <c r="A13" s="56"/>
    </row>
    <row r="14">
      <c r="A14" s="56"/>
    </row>
    <row r="15">
      <c r="A15" s="60"/>
    </row>
    <row r="16">
      <c r="A16" s="61"/>
      <c r="B16" s="62"/>
      <c r="C16" s="62"/>
      <c r="E16" s="62"/>
      <c r="F16" s="62"/>
      <c r="G16" s="62"/>
      <c r="H16" s="62"/>
      <c r="I16" s="62"/>
      <c r="J16" s="62"/>
    </row>
    <row r="17">
      <c r="A17" s="62"/>
      <c r="B17" s="61"/>
      <c r="C17" s="62"/>
      <c r="E17" s="62"/>
      <c r="F17" s="62"/>
      <c r="G17" s="62"/>
      <c r="H17" s="62"/>
      <c r="I17" s="62"/>
      <c r="J17" s="62"/>
    </row>
    <row r="18">
      <c r="A18" s="62"/>
      <c r="B18" s="61"/>
      <c r="C18" s="62"/>
      <c r="E18" s="62"/>
      <c r="F18" s="62"/>
      <c r="G18" s="62"/>
      <c r="H18" s="62"/>
      <c r="I18" s="62"/>
      <c r="J18" s="62"/>
    </row>
    <row r="19">
      <c r="A19" s="62"/>
      <c r="B19" s="61"/>
      <c r="C19" s="62"/>
      <c r="E19" s="62"/>
      <c r="F19" s="62"/>
      <c r="G19" s="62"/>
      <c r="H19" s="62"/>
      <c r="I19" s="62"/>
      <c r="J19" s="62"/>
    </row>
    <row r="20">
      <c r="A20" s="62"/>
      <c r="B20" s="62"/>
      <c r="C20" s="62"/>
      <c r="E20" s="62"/>
      <c r="F20" s="62"/>
      <c r="G20" s="62"/>
      <c r="H20" s="62"/>
      <c r="I20" s="62"/>
      <c r="J20" s="62"/>
    </row>
    <row r="21">
      <c r="A21" s="61"/>
      <c r="B21" s="62"/>
      <c r="C21" s="62"/>
      <c r="E21" s="62"/>
      <c r="F21" s="62"/>
      <c r="G21" s="62"/>
      <c r="H21" s="62"/>
      <c r="I21" s="62"/>
      <c r="J21" s="62"/>
    </row>
    <row r="22">
      <c r="A22" s="62"/>
      <c r="B22" s="61"/>
      <c r="C22" s="62"/>
      <c r="E22" s="62"/>
      <c r="F22" s="62"/>
      <c r="G22" s="62"/>
      <c r="H22" s="62"/>
      <c r="I22" s="62"/>
      <c r="J22" s="62"/>
    </row>
    <row r="23">
      <c r="A23" s="62"/>
      <c r="B23" s="61"/>
      <c r="C23" s="62"/>
      <c r="E23" s="62"/>
      <c r="F23" s="62"/>
      <c r="G23" s="62"/>
      <c r="H23" s="62"/>
      <c r="I23" s="62"/>
      <c r="J23" s="62"/>
    </row>
    <row r="24">
      <c r="A24" s="62"/>
      <c r="B24" s="63"/>
      <c r="C24" s="62"/>
      <c r="E24" s="62"/>
      <c r="F24" s="62"/>
      <c r="G24" s="62"/>
      <c r="H24" s="62"/>
      <c r="I24" s="62"/>
      <c r="J24" s="62"/>
    </row>
    <row r="25">
      <c r="A25" s="61"/>
      <c r="B25" s="62"/>
      <c r="C25" s="62"/>
      <c r="E25" s="62"/>
      <c r="F25" s="62"/>
      <c r="G25" s="62"/>
      <c r="H25" s="62"/>
      <c r="I25" s="62"/>
      <c r="J25" s="62"/>
    </row>
    <row r="26">
      <c r="A26" s="62"/>
      <c r="B26" s="61"/>
      <c r="C26" s="62"/>
      <c r="E26" s="62"/>
      <c r="F26" s="62"/>
      <c r="G26" s="62"/>
      <c r="H26" s="62"/>
      <c r="I26" s="62"/>
      <c r="J26" s="62"/>
    </row>
    <row r="27">
      <c r="A27" s="62"/>
      <c r="B27" s="61"/>
      <c r="C27" s="62"/>
      <c r="E27" s="62"/>
      <c r="F27" s="62"/>
      <c r="G27" s="62"/>
      <c r="H27" s="62"/>
      <c r="I27" s="62"/>
      <c r="J27" s="62"/>
    </row>
    <row r="28">
      <c r="A28" s="62"/>
      <c r="B28" s="63"/>
      <c r="C28" s="62"/>
      <c r="E28" s="62"/>
      <c r="F28" s="62"/>
      <c r="G28" s="62"/>
      <c r="H28" s="62"/>
      <c r="I28" s="62"/>
      <c r="J28" s="62"/>
    </row>
    <row r="29">
      <c r="A29" s="61"/>
      <c r="B29" s="62"/>
      <c r="C29" s="62"/>
      <c r="E29" s="62"/>
      <c r="F29" s="62"/>
      <c r="G29" s="62"/>
      <c r="H29" s="62"/>
      <c r="I29" s="62"/>
      <c r="J29" s="62"/>
    </row>
    <row r="30">
      <c r="A30" s="62"/>
      <c r="B30" s="61"/>
      <c r="C30" s="62"/>
      <c r="E30" s="62"/>
      <c r="F30" s="62"/>
      <c r="G30" s="62"/>
      <c r="H30" s="62"/>
      <c r="I30" s="62"/>
      <c r="J30" s="62"/>
    </row>
    <row r="32">
      <c r="A32" s="6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5" t="s">
        <v>68</v>
      </c>
      <c r="D1" s="6"/>
    </row>
    <row r="2">
      <c r="A2" s="6"/>
      <c r="B2" s="6"/>
      <c r="C2" s="6"/>
      <c r="D2" s="6"/>
    </row>
    <row r="3">
      <c r="A3" s="6"/>
      <c r="B3" s="66" t="b">
        <v>1</v>
      </c>
      <c r="C3" s="67" t="s">
        <v>69</v>
      </c>
      <c r="D3" s="6"/>
    </row>
    <row r="4">
      <c r="A4" s="6"/>
      <c r="B4" s="66" t="b">
        <v>1</v>
      </c>
      <c r="C4" s="67" t="s">
        <v>70</v>
      </c>
      <c r="D4" s="6"/>
    </row>
    <row r="5">
      <c r="A5" s="6"/>
      <c r="B5" s="66" t="b">
        <v>1</v>
      </c>
      <c r="C5" s="67" t="s">
        <v>71</v>
      </c>
      <c r="D5" s="6"/>
    </row>
    <row r="6">
      <c r="A6" s="6"/>
      <c r="B6" s="66" t="b">
        <v>1</v>
      </c>
      <c r="C6" s="67" t="s">
        <v>72</v>
      </c>
      <c r="D6" s="6"/>
    </row>
    <row r="7">
      <c r="A7" s="6"/>
      <c r="B7" s="66" t="b">
        <v>1</v>
      </c>
      <c r="C7" s="6"/>
      <c r="D7" s="67" t="s">
        <v>73</v>
      </c>
    </row>
    <row r="8">
      <c r="A8" s="6"/>
      <c r="B8" s="66" t="b">
        <v>1</v>
      </c>
      <c r="C8" s="6"/>
      <c r="D8" s="67" t="s">
        <v>74</v>
      </c>
    </row>
    <row r="9">
      <c r="A9" s="6"/>
      <c r="B9" s="66" t="b">
        <v>1</v>
      </c>
      <c r="C9" s="67" t="s">
        <v>75</v>
      </c>
      <c r="D9" s="6"/>
    </row>
    <row r="10">
      <c r="A10" s="6"/>
      <c r="B10" s="66" t="b">
        <v>1</v>
      </c>
      <c r="C10" s="67" t="s">
        <v>76</v>
      </c>
      <c r="D10" s="6"/>
    </row>
    <row r="11">
      <c r="A11" s="6"/>
      <c r="B11" s="66" t="b">
        <v>1</v>
      </c>
      <c r="C11" s="67" t="s">
        <v>77</v>
      </c>
      <c r="D11" s="6"/>
    </row>
    <row r="12">
      <c r="A12" s="6"/>
      <c r="B12" s="66" t="b">
        <v>1</v>
      </c>
      <c r="C12" s="67" t="s">
        <v>78</v>
      </c>
      <c r="D12" s="6"/>
    </row>
    <row r="13">
      <c r="A13" s="6"/>
      <c r="B13" s="6"/>
      <c r="C13" s="68"/>
      <c r="D13" s="6"/>
    </row>
    <row r="14">
      <c r="A14" s="6"/>
      <c r="B14" s="6"/>
      <c r="C14" s="68"/>
      <c r="D14" s="6"/>
    </row>
    <row r="15">
      <c r="A15" s="6"/>
      <c r="B15" s="6"/>
      <c r="C15" s="69" t="s">
        <v>79</v>
      </c>
      <c r="D15" s="6"/>
    </row>
    <row r="17">
      <c r="B17" s="66" t="b">
        <v>1</v>
      </c>
      <c r="C17" s="70" t="s">
        <v>80</v>
      </c>
    </row>
  </sheetData>
  <drawing r:id="rId1"/>
</worksheet>
</file>