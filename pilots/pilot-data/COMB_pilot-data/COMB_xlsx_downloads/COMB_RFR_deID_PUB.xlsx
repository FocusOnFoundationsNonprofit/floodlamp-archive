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Runs Compare" sheetId="3" r:id="rId6"/>
    <sheet state="visible" name="Run Reconcile" sheetId="4" r:id="rId7"/>
    <sheet state="visible" name="RFR Data - preExcl" sheetId="5" r:id="rId8"/>
    <sheet state="visible" name="APS Tubes Import" sheetId="6" r:id="rId9"/>
    <sheet state="visible" name="APS Tubes by Date Import" sheetId="7" r:id="rId10"/>
    <sheet state="visible" name="ARF Tubes" sheetId="8" r:id="rId11"/>
    <sheet state="visible" name="Tube Reactions" sheetId="9" r:id="rId12"/>
    <sheet state="visible" name="Process Ref" sheetId="10" r:id="rId13"/>
  </sheets>
  <definedNames>
    <definedName hidden="1" localSheetId="4" name="Z_4584C169_EC47_454F_A4C7_F4A5FB33BBFF_.wvu.FilterData">'RFR Data - preExcl'!$A$1:$BC$96</definedName>
  </definedNames>
  <calcPr/>
  <customWorkbookViews>
    <customWorkbookView activeSheetId="0" maximized="1" windowHeight="0" windowWidth="0" guid="{4584C169-EC47-454F-A4C7-F4A5FB33BBF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 but not RFR Audit (preExcl) 
- num means Inconclusive in RFR Audit (preExcl) but not ALL Results (Appivo Final + ARF)</t>
      </text>
    </comment>
    <comment authorId="0" ref="P2">
      <text>
        <t xml:space="preserve">should only be positive and sum should be equal to number of ARF tubes
</t>
      </text>
    </comment>
    <comment authorId="0" ref="AE2">
      <text>
        <t xml:space="preserve">used for lookup in column A (RUN ID INTERNAL)
FORMULA:
=IFNA(MATCH(A9,'RFR Data - preExcl'!A$2:A,0))</t>
      </text>
    </comment>
    <comment authorId="0" ref="L8">
      <text>
        <t xml:space="preserve">-4 conclude RFR audit was incorrect and only 2 tubes were run
</t>
      </text>
    </comment>
    <comment authorId="0" ref="N55">
      <text>
        <t xml:space="preserve">see Note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I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M1">
      <text>
        <t xml:space="preserve">=IF(ISBLANK(BN2),IFERROR(0/0),BG2)
final starts as RFR Audit Num Collect Tubes
changes in yellow, usually when 2 initial runs in one day</t>
      </text>
    </comment>
    <comment authorId="0" ref="O1">
      <text>
        <t xml:space="preserve">0   Same Audit RFR: APS Collect = APS Result = RFR
0.1 same as above except Null &gt; Neg
0.2 All same with APS Collect on previous days
0.3 same as above except Null &gt; Neg and Pos
1 Same Audit RFR: APS Collect = RFR (disregard Result Count)
1.1 same as above except Null &gt; Neg
2 Same Audit RFR: Extra tubes in RFR not in Appivo
2.1 same as above except Null &gt; Neg
3 Same Audit RFR : Delete Null Tube
4 Same Audit RFR: extra tube in Appivo not in LUM marked for delete
4.5 Run with No RFR
4.6 RFR Raw Num Samples Gform = APS Collect
4.9 Tube(s) in RFR not in Appivo - Run ID assignment Auto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8 Tube(s) in Appivo not in RFR
9 Tube(s) in RFR not in Appivo
10 Other Reason - see note
highlighting shows which rows need entries in delta col
blue gets + num
red gets - num
green gets +/- num depending</t>
      </text>
    </comment>
    <comment authorId="0" ref="P1">
      <text>
        <t xml:space="preserve">=IF(ISBLANK(BO2),IFERROR(0/0),IF($BN2&lt;=3,TRUE,IFERROR(0/0)))</t>
      </text>
    </comment>
    <comment authorId="0" ref="W1">
      <text>
        <t xml:space="preserve">Starts with hardcoded 1 in blue cell and increments below</t>
      </text>
    </comment>
    <comment authorId="0" ref="E2">
      <text>
        <t xml:space="preserve">conclude was error and 20 includes 2 controls</t>
      </text>
    </comment>
    <comment authorId="0" ref="P2">
      <text>
        <t xml:space="preserve">increase code limit for auto assign to 10 so all except repeat dates get RunID auto assign in APS Tubes PHI Import
</t>
      </text>
    </comment>
    <comment authorId="0" ref="E6">
      <text>
        <t xml:space="preserve">conclude error</t>
      </text>
    </comment>
    <comment authorId="0" ref="H7">
      <text>
        <t xml:space="preserve">conclude incorrect</t>
      </text>
    </comment>
    <comment authorId="0" ref="J18">
      <text>
        <t xml:space="preserve">manually split the 36 into 32 and 4
</t>
      </text>
    </comment>
    <comment authorId="0" ref="AH33">
      <text>
        <t xml:space="preserve">changed these 2 for new values
</t>
      </text>
    </comment>
    <comment authorId="0" ref="D36">
      <text>
        <t xml:space="preserve">conclude incorrect</t>
      </text>
    </comment>
    <comment authorId="0" ref="E36">
      <text>
        <t xml:space="preserve">conclude incorrect</t>
      </text>
    </comment>
    <comment authorId="0" ref="E37">
      <text>
        <t xml:space="preserve">conclude incorrect</t>
      </text>
    </comment>
    <comment authorId="0" ref="D53">
      <text>
        <t xml:space="preserve">6-10 has 25
added at end</t>
      </text>
    </comment>
    <comment authorId="0" ref="D54">
      <text>
        <t xml:space="preserve">conclude incorrect</t>
      </text>
    </comment>
    <comment authorId="0" ref="E54">
      <text>
        <t xml:space="preserve">conclude incorrect</t>
      </text>
    </comment>
    <comment authorId="0" ref="D78">
      <text>
        <t xml:space="preserve">conclude incorrect</t>
      </text>
    </comment>
    <comment authorId="0" ref="D79">
      <text>
        <t xml:space="preserve">conclude incorrect</t>
      </text>
    </comment>
    <comment authorId="0" ref="D80">
      <text>
        <t xml:space="preserve">conclude incorrect</t>
      </text>
    </comment>
    <comment authorId="0" ref="A82">
      <text>
        <t xml:space="preserve">must leave empty for spill over formula in A2 to not give error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=IF(ISDATE(B81),CONCATENATE("R_",Process!$D$8,"-",AR81),)
USE ABOVE TO START THEN BELOW WHEN DONE
=CONCATENATE("R_XXXX-",TEXT(AR2,"000"))</t>
      </text>
    </commen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exclusion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=IF(ISBLANK(Z2),IFERROR(0/0),Z2-E2)</t>
      </text>
    </comment>
    <comment authorId="0" ref="AB1">
      <text>
        <t xml:space="preserve">IF(AA2 = 2,FALSE,TRUE)</t>
      </text>
    </comment>
    <comment authorId="0" ref="AF1">
      <text>
        <t xml:space="preserve">Resulting Decision Chart https://docs.google.com/spreadsheets/d/1hSqrQPAmpFeEcgxNxtFhQyBI904lUhvz1yx7GcAbefo
</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P1">
      <text>
        <t xml:space="preserve">Absent
Initials/First Letters
First Names
Full Names
Tube ID's
Results Included
Tube ID's and Results</t>
      </text>
    </comment>
    <comment authorId="0" ref="AR1">
      <text>
        <t xml:space="preserve">=ROW(AR2)-1</t>
      </text>
    </comment>
    <comment authorId="0" ref="AT1">
      <text>
        <t xml:space="preserve">replace PII with initials, names, firstname, lastname</t>
      </text>
    </comment>
    <comment authorId="0" ref="AW1">
      <text>
        <t xml:space="preserve">=IF(OR(AND(AL2=0,AW2),AND(AL2&lt;&gt;0,NOT(AW2))),TRUE,FALSE)</t>
      </text>
    </comment>
    <comment authorId="0" ref="AX1">
      <text>
        <t xml:space="preserve">=IF(OR(AND(AL2=0,AW2),AND(AL2&lt;&gt;0,NOT(AW2))),TRUE,FALSE)</t>
      </text>
    </comment>
    <comment authorId="0" ref="BA1">
      <text>
        <t xml:space="preserve">=IF(AND(U2&lt;&gt;U3,U2&lt;&gt;U1),TRUE,FALSE)
MUST BE SORTED BY Run Date
PASTE AS VALUES after so can sort again</t>
      </text>
    </comment>
    <comment authorId="0" ref="BB1">
      <text>
        <t xml:space="preserve">0	no rxns add to rxn table for that run
1	is/has rerun, no corrected call
2	initial run (w/ no rerun) call that is pos, inconcl, invalid (not corrected)
3	has corrected call - have corrected code</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P1">
      <text>
        <t xml:space="preserve">=IF(ISBLANK(BN2),IFERROR(0/0),BG2)
final starts as RFR Audit Num Collect Tubes
changes in yellow, usually when 2 initial runs in one day</t>
      </text>
    </comment>
    <comment authorId="0" ref="BR1">
      <text>
        <t xml:space="preserve">0   Same Audit RFR: APS Collect = APS Result = RFR
0.1 same as above except Null &gt; Neg
1 Same Audit RFR: APS Collect = RFR (disregard Result Count)
1.1 same as above except Null &gt; Neg
2 Same Audit RFR - Extra tubes in RFR not in Appivo
2.1 same as above except Null &gt; Neg
3 Same Audit RFR - Delete Null Tube
4 Same Audit RFR - extra tube in Appivo not in LUM marked for delete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highlighting shows which rows need entries in delta col
blue gets + num
red gets - num
green gets +/- num depending</t>
      </text>
    </comment>
    <comment authorId="0" ref="BS1">
      <text>
        <t xml:space="preserve">=IF(ISBLANK(BO2),IFERROR(0/0),IF($BN2&lt;=3,TRUE,IFERROR(0/0)))</t>
      </text>
    </comment>
    <comment authorId="0" ref="BL2">
      <text>
        <t xml:space="preserve">1st row is different formula</t>
      </text>
    </comment>
    <comment authorId="0" ref="AF69">
      <text>
        <t xml:space="preserve">RT 12-24-2025 leave as 1 because of rerun
</t>
      </text>
    </comment>
    <comment authorId="0" ref="AI69">
      <text>
        <t xml:space="preserve">RT 12-24-2025 leave 0 because tester called as inconclusive after rerun with only 1/3 inconclusive and 2/3 neg</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FORMULA:
=IF(COUNTIF(U$2:U, $A2) &gt; 0,TRUE,IFERROR(0/0))
This way you can paste the tubes as values into column U and then even if you delete ones later, they won't line up anymore but the boolean values in this column Q will be correct.</t>
      </text>
    </comment>
    <comment authorId="0" ref="T1">
      <text>
        <t xml:space="preserve">FORMULA:
=IF(COUNTIF(V$2:V, $A2) &gt; 0,TRUE,IFERROR(0/0))
This way you can paste the tubes as values into column U and then even if you delete ones later, they won't line up anymore but the boolean values in this column Q will be correct.</t>
      </text>
    </comment>
    <comment authorId="0" ref="U1">
      <text>
        <t xml:space="preserve">this is an older formula that works for 2nd Run of Same Day but not for Day After - Combate has no day after so leave it instead of updating to better Bend version</t>
      </text>
    </comment>
    <comment authorId="0" ref="V1">
      <text>
        <t xml:space="preserve">=CONCATENATE(P2,Q2)</t>
      </text>
    </comment>
    <comment authorId="0" ref="W1">
      <text>
        <t xml:space="preserve">paste as values for tubes run next day, see note in col Q - SO ITS OK IF THESE TUBE IDS DON'T LINE UP WITH THEIR MATCHES IN COLUMN A - that's because after they were pasted in as values, additional tubes were deleted or undeleted in APS preDel
</t>
      </text>
    </comment>
    <comment authorId="0" ref="X1">
      <text>
        <t xml:space="preserve">paste as values for tubes run next day, see note in col Q - SO ITS OK IF THESE TUBE IDS DON'T LINE UP WITH THEIR MATCHES IN COLUMN A - that's because after they were pasted in as values, additional tubes were deleted or undeleted in APS preDel
</t>
      </text>
    </comment>
    <comment authorId="0" ref="Q2">
      <text>
        <t xml:space="preserve">Fromula has $B2:P,15 instead of $B2:O,14 because Run Reoncile has extra column from Accounting spreadsheet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is so large becuase many neg tubes were never resulted by staff in the App</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=CONCATENATE("TUNKPROG",TEXT(G2,"000"))
Replace PROG above with 4CHAR</t>
      </text>
    </comment>
    <comment authorId="0" ref="C1">
      <text>
        <t xml:space="preserve">Has to be a reference
Use $ for the row so the cell can be cut and pasted</t>
      </text>
    </comment>
    <comment authorId="0" ref="D1">
      <text>
        <t xml:space="preserve">1	APS
2.1	RForm LUM
2.2	RForm Notes
2.3	GForm Notes
3	RTR
4	Unknown - assigned</t>
      </text>
    </comment>
    <comment authorId="0" ref="E1">
      <text>
        <t xml:space="preserve">Tube Result Codes	Initial	Session	Rerun 1			Rerun 2		
  Initial Session  Rerun 1 Rerun 2								
1	N	N	no rerun					
1.1	N	N	N	N	N	initially call I but corrected to N		
1.2	N	N	I/N/P	N	N	rerun even though initial N		
2	I	N	N	N	N			
2.1	I	N	I	N	N			
2.2	I	N	I/N/P	I/N/P	I/N/P	N	N	N
2.3	INN	N	no rerun					
2.4	I	N	non-triplicate I/N/P rerun					
3	I	I	no rerun					
3.1	I	I	I/N	I/N	I/N			
3.2	I	I	I/N/P	I/N/P	I/N/P			
3.3	I	I	I/N/P	I/N/P	I/N/P	I/N/P	I/N/P	I/N/P
4	I	P	I/N/P	I/N/P	I/N/P			
4.1	I	P	I/N/P	I/N/P	I/N/P	I/N/P	I/N/P	I/N/P
5	P	N	N	N	N			
5.1	P	N	N	rerun singlet				
5.2	P	N	N	N	N	N	N	N
6.1	P	I	I/N/P	I/N/P	I/N/P	I/N/P	I/N/P	I/N/P
7	P	P	no rerun					
7.1	P	P	P	P	P			
7.2	P	P	P	P	I			
7.3	P	P	P	P	N			
7.4	P	P	I/N/P	I/N/P	I/N/P			
7.5	PPP	P	no rerun					
7.7	P	P	non-3 replicates all P					
7.8	P	P	P	Rerun Singlet				
7.9	P	P	non-triplicate I/N/P rerun					
8	P	N	non-triplicate I/N/P rerun					
9	specify in Tube Result Notes												
								</t>
      </text>
    </comment>
    <comment authorId="0" ref="H1">
      <text>
        <t xml:space="preserve">=IF(MAX(G2:G)=COUNTUNIQUE(G2:G),MAX(G2:G)+1,"ERROR")
TUNK Index (for Unknown Tubes)
insert new rows
numbers must be consecutive and values (not formulas)
If ERROR - past all nums as vals in new col and sort to find error</t>
      </text>
    </comment>
    <comment authorId="0" ref="I1">
      <text>
        <t xml:space="preserve">=VALUE(MID(B2,8,3))</t>
      </text>
    </comment>
    <comment authorId="0" ref="J1">
      <text>
        <t xml:space="preserve">=IF(B2&lt;&gt;B1,B2,"")</t>
      </text>
    </comment>
    <comment authorId="0" ref="K1">
      <text>
        <t xml:space="preserve">=COUNTIF($B$2:$B,$I2)</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8">
      <text>
        <t xml:space="preserve">Only apply to initial run and classifies the whole sequence (session for tube)</t>
      </text>
    </comment>
  </commentList>
</comments>
</file>

<file path=xl/sharedStrings.xml><?xml version="1.0" encoding="utf-8"?>
<sst xmlns="http://schemas.openxmlformats.org/spreadsheetml/2006/main" count="2267" uniqueCount="1118">
  <si>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</si>
  <si>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</si>
  <si>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</si>
  <si>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</si>
  <si>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</si>
  <si>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</si>
  <si>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</si>
  <si>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</si>
  <si>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</si>
  <si>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</si>
  <si>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</si>
  <si>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</si>
  <si>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</si>
  <si>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</si>
  <si>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</si>
  <si>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</si>
  <si>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</si>
  <si>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</si>
  <si>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</si>
  <si>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</si>
  <si>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</si>
  <si>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</si>
  <si>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</si>
  <si>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Exact Run ID Match to ALL Tube Results (Col A)</t>
  </si>
  <si>
    <t>Run ID - RFR Initial Only</t>
  </si>
  <si>
    <t>Calculated Negs</t>
  </si>
  <si>
    <t>preExcl Match Row</t>
  </si>
  <si>
    <t>Final Assigned Run ID</t>
  </si>
  <si>
    <t>Null</t>
  </si>
  <si>
    <t>RUN-COMB_2022-03-21_RFR-002</t>
  </si>
  <si>
    <t>RUN-COMB_2022-03-22_RFR-004</t>
  </si>
  <si>
    <t>RUN-COMB_2022-03-23_RFR-006</t>
  </si>
  <si>
    <t>RUN-COMB_2022-03-24_RFR-007</t>
  </si>
  <si>
    <t>RUN-COMB_2022-04-02_RFR-008</t>
  </si>
  <si>
    <t>RUN-COMB_2022-04-04_RFR-009</t>
  </si>
  <si>
    <t>RUN-COMB_2022-04-05_RFR-010</t>
  </si>
  <si>
    <t>RUN-COMB_2022-04-06_RFR-011</t>
  </si>
  <si>
    <t>RUN-COMB_2022-04-07_RFR-012</t>
  </si>
  <si>
    <t>RUN-COMB_2022-04-08_RFR-013</t>
  </si>
  <si>
    <t>RUN-COMB_2022-04-11_RFR-014</t>
  </si>
  <si>
    <t>RUN-COMB_2022-04-12_RFR-015</t>
  </si>
  <si>
    <t>RUN-COMB_2022-04-13_RFR-016</t>
  </si>
  <si>
    <t>RUN-COMB_2022-04-14_RFR-017</t>
  </si>
  <si>
    <t>RUN-COMB_2022-04-15_RFR-018</t>
  </si>
  <si>
    <t>RUN-COMB_2022-04-18_RFR-020</t>
  </si>
  <si>
    <t>RUN-COMB_2022-04-18_RFR-021</t>
  </si>
  <si>
    <t>RUN-COMB_2022-04-19_RFR-022</t>
  </si>
  <si>
    <t>RUN-COMB_2022-04-20_RFR-024</t>
  </si>
  <si>
    <t>RUN-COMB_2022-04-21_RFR-025</t>
  </si>
  <si>
    <t>RUN-COMB_2022-04-22_RFR-027</t>
  </si>
  <si>
    <t>RUN-COMB_2022-04-25_RFR-028</t>
  </si>
  <si>
    <t>RUN-COMB_2022-04-26_RFR-030</t>
  </si>
  <si>
    <t>RUN-COMB_2022-04-27_RFR-031</t>
  </si>
  <si>
    <t>RUN-COMB_2022-04-28_RFR-032</t>
  </si>
  <si>
    <t>RUN-COMB_2022-04-29_RFR-034</t>
  </si>
  <si>
    <t>RUN-COMB_2022-05-09_RFR-035</t>
  </si>
  <si>
    <t>RUN-COMB_2022-05-10_RFR-036</t>
  </si>
  <si>
    <t>RUN-COMB_2022-05-11_RFR-037</t>
  </si>
  <si>
    <t>RUN-COMB_2022-05-12_RFR-038</t>
  </si>
  <si>
    <t>RUN-COMB_2022-05-13_RFR-039</t>
  </si>
  <si>
    <t>RUN-COMB_2022-05-16_RFR-040</t>
  </si>
  <si>
    <t>RUN-COMB_2022-05-17_RFR-041</t>
  </si>
  <si>
    <t>RUN-COMB_2022-05-18_RFR-042</t>
  </si>
  <si>
    <t>RUN-COMB_2022-05-19_RFR-043</t>
  </si>
  <si>
    <t>RUN-COMB_2022-05-20_RFR-044</t>
  </si>
  <si>
    <t>RUN-COMB_2022-05-25_RFR-045</t>
  </si>
  <si>
    <t>RUN-COMB_2022-05-26_RFR-047</t>
  </si>
  <si>
    <t>RUN-COMB_2022-05-27_RFR-048</t>
  </si>
  <si>
    <t>RUN-COMB_2022-05-28_RFR-049</t>
  </si>
  <si>
    <t>RUN-COMB_2022-05-29_RFR-050</t>
  </si>
  <si>
    <t>RUN-COMB_2022-05-30_RFR-051</t>
  </si>
  <si>
    <t>RUN-COMB_2022-05-31_RFR-052</t>
  </si>
  <si>
    <t>RUN-COMB_2022-06-01_RFR-053</t>
  </si>
  <si>
    <t>RUN-COMB_2022-06-02_RFR-054</t>
  </si>
  <si>
    <t>RUN-COMB_2022-06-03_RFR-055</t>
  </si>
  <si>
    <t>RUN-COMB_2022-06-06_RFR-056</t>
  </si>
  <si>
    <t>RUN-COMB_2022-06-07_RFR-058</t>
  </si>
  <si>
    <t>RUN-COMB_2022-06-08_RFR-059</t>
  </si>
  <si>
    <t>RUN-COMB_2022-06-09_RFR-060</t>
  </si>
  <si>
    <t>RUN-COMB_2022-06-10_ACC-001</t>
  </si>
  <si>
    <t>RUN-COMB_2022-06-27_RFR-061</t>
  </si>
  <si>
    <t>RUN-COMB_2022-06-28_RFR-063</t>
  </si>
  <si>
    <t>RUN-COMB_2022-06-29_RFR-065</t>
  </si>
  <si>
    <t>RUN-COMB_2022-07-01_RFR-068</t>
  </si>
  <si>
    <t>RUN-COMB_2022-06-30_RFR-066</t>
  </si>
  <si>
    <t>RUN-COMB_2022-07-04_RFR-070</t>
  </si>
  <si>
    <t>RUN-COMB_2022-07-05_RFR-071</t>
  </si>
  <si>
    <t>RUN-COMB_2022-07-06_RFR-072</t>
  </si>
  <si>
    <t>RUN-COMB_2022-07-07_APS-001</t>
  </si>
  <si>
    <t>RUN-COMB_2022-07-08_RFR-074</t>
  </si>
  <si>
    <t>RUN-COMB_2022-07-11_RFR-075</t>
  </si>
  <si>
    <t>RUN-COMB_2022-07-12_RFR-076</t>
  </si>
  <si>
    <t>RUN-COMB_2022-07-13_RFR-077</t>
  </si>
  <si>
    <t>RUN-COMB_2022-07-14_RFR-078</t>
  </si>
  <si>
    <t>RUN-COMB_2022-07-15_RFR-079</t>
  </si>
  <si>
    <t>RUN-COMB_2022-07-19_RFR-082</t>
  </si>
  <si>
    <t>RUN-COMB_2022-07-20_RFR-084</t>
  </si>
  <si>
    <t>RUN-COMB_2022-07-18_RFR-080</t>
  </si>
  <si>
    <t>RUN-COMB_2022-07-22_RFR-085</t>
  </si>
  <si>
    <t>RUN-COMB_2022-08-01_RFR-088</t>
  </si>
  <si>
    <t>RUN-COMB_2022-08-02_RFR-090</t>
  </si>
  <si>
    <t>RUN-COMB_2022-07-21_RFR-086</t>
  </si>
  <si>
    <t>RUN-COMB_2022-08-03_APS-002</t>
  </si>
  <si>
    <t>RUN-COMB_2022-08-08_RFR-092</t>
  </si>
  <si>
    <t>RUN-COMB_2022-08-09_RFR-094</t>
  </si>
  <si>
    <t>RUN-COMB_2022-08-10_APS-003</t>
  </si>
  <si>
    <t>RUN-COMB_2022-08-04_RFR-091</t>
  </si>
  <si>
    <t>RUN-COMB_2022-08-15_RFR-095</t>
  </si>
  <si>
    <t>RUN ID</t>
  </si>
  <si>
    <t>RUN DATE</t>
  </si>
  <si>
    <t>Run with No RFR?</t>
  </si>
  <si>
    <t>Accounting Spreadsheet Num Samples</t>
  </si>
  <si>
    <t>PHOTO RESULTS Num rxn  
(excl ctrls)</t>
  </si>
  <si>
    <t>Run Code</t>
  </si>
  <si>
    <t>APS
NUM COLLECT
TUBES</t>
  </si>
  <si>
    <t>Final Tube Run Count</t>
  </si>
  <si>
    <t>Final Num - APS Num Tubes</t>
  </si>
  <si>
    <t>Tube Run Count Reconcile Code</t>
  </si>
  <si>
    <t>Assign Run ID by Collect Date</t>
  </si>
  <si>
    <t>Count Reconcile Notes</t>
  </si>
  <si>
    <t>Stacked Run ID Internal</t>
  </si>
  <si>
    <t>STACKED RFR AND COLLECT RUN DATE</t>
  </si>
  <si>
    <t>APS Tubes Collection Date</t>
  </si>
  <si>
    <t>APS Run Number</t>
  </si>
  <si>
    <t>Run ID - Reruns</t>
  </si>
  <si>
    <t>Num rxn  
(excl ctrls)</t>
  </si>
  <si>
    <t>RFR Audit
Num
Run Tubes</t>
  </si>
  <si>
    <t>APS Only Runs</t>
  </si>
  <si>
    <t>Fixed what conclude were wrong pooled tubes by process of elimination</t>
  </si>
  <si>
    <t>1 extra tube in RFR not in App after 9 Null &gt; Neg corrections</t>
  </si>
  <si>
    <t>Conclude Appivo collect is correct and tubes run in triplicate (was off day so no entry in accounting spreadsheet)</t>
  </si>
  <si>
    <t>NULL &gt; NEG, Conclude RFR correct</t>
  </si>
  <si>
    <t>manually split the 36 into 32 and 4</t>
  </si>
  <si>
    <t>NULL &gt; NEG, accounting spdsh and gform discrepant</t>
  </si>
  <si>
    <t>NULL &gt; NEG, del one with status Collected</t>
  </si>
  <si>
    <t>NULL &gt; NEG and POS</t>
  </si>
  <si>
    <t>NULL &gt; NEG</t>
  </si>
  <si>
    <t>entire run not in App</t>
  </si>
  <si>
    <t>one Pos person not in App at all, need to ask admin - see RFR preExcl for inconclusive session call after rerun, Null&gt;Neg</t>
  </si>
  <si>
    <t>Run only in Accounting Spreadsheet</t>
  </si>
  <si>
    <t>Manually copy blank white cells over numbers to remove APS run</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</si>
  <si>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</si>
  <si>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</si>
  <si>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</si>
  <si>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</si>
  <si>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</si>
  <si>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</si>
  <si>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</si>
  <si>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</si>
  <si>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</si>
  <si>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</si>
  <si>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</si>
  <si>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</si>
  <si>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</si>
  <si>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</si>
  <si>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</si>
  <si>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</si>
  <si>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</si>
  <si>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</si>
  <si>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</si>
  <si>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</si>
  <si>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</si>
  <si>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</si>
  <si>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</si>
  <si>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</si>
  <si>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</si>
  <si>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</si>
  <si>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</si>
  <si>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</si>
  <si>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</si>
  <si>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</si>
  <si>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</si>
  <si>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</si>
  <si>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</si>
  <si>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</si>
  <si>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</si>
  <si>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</si>
  <si>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</si>
  <si>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</si>
  <si>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</si>
  <si>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</si>
  <si>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</si>
  <si>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</si>
  <si>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</si>
  <si>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</si>
  <si>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</si>
  <si>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</si>
  <si>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</si>
  <si>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</si>
  <si>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</si>
  <si>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</si>
  <si>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</si>
  <si>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</si>
  <si>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</si>
  <si>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</si>
  <si>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APS
COLLECT DATE</t>
  </si>
  <si>
    <t>APS Collect Num = Result Num?</t>
  </si>
  <si>
    <t>Final Num - APS Collect Num Tubes</t>
  </si>
  <si>
    <t>Assign Run ID by Collection Date</t>
  </si>
  <si>
    <t>Embassy</t>
  </si>
  <si>
    <t>220320_1</t>
  </si>
  <si>
    <t>https://drive.google.com/open?id=1HTXLo_8pS878zh8UrIy1K-Z-IC2Ks7ER</t>
  </si>
  <si>
    <t>https://drive.google.com/open?id=1ZPvz4EjpYA5tvz3DZxl2eiuIMBfaB1Fc</t>
  </si>
  <si>
    <t>Initial</t>
  </si>
  <si>
    <t>BS 12/21</t>
  </si>
  <si>
    <t>220321_1</t>
  </si>
  <si>
    <t>https://drive.google.com/open?id=1eqJwXq-TeaEV2u036Hk7JKnv2VG-VSMA</t>
  </si>
  <si>
    <t>https://drive.google.com/open?id=1fIhwR_xpjbUsfPXyGlDGfl1UEPyCcGYL</t>
  </si>
  <si>
    <t>No</t>
  </si>
  <si>
    <t>1 positive  - suspected false positive!</t>
  </si>
  <si>
    <t>1 Positive</t>
  </si>
  <si>
    <t>220320_2</t>
  </si>
  <si>
    <t>https://drive.google.com/open?id=1dfB8vKWwKYrDyk6-G8lRD1irecPHMHAH</t>
  </si>
  <si>
    <t>https://drive.google.com/open?id=11fnPNhGPFqx0jn2KdkeSoCxV1GgC8J32</t>
  </si>
  <si>
    <t>Non</t>
  </si>
  <si>
    <t>Two sample from previous batch that was inconclusive, It was run in triplets</t>
  </si>
  <si>
    <t>Re-run</t>
  </si>
  <si>
    <t>220322_1</t>
  </si>
  <si>
    <t>https://drive.google.com/open?id=1E4K6yZvpKIB_5cVgv4R-HCPCSmC_9m4R</t>
  </si>
  <si>
    <t>https://drive.google.com/open?id=1uxxZzyZCvDHe-GezILPDIV4KCUsnODST</t>
  </si>
  <si>
    <t>Person that came positive yesterday today was wrong in triplets swab from nose and throat</t>
  </si>
  <si>
    <t>Go with Gform for Audit num collection tubes, 3 replicate reactions from Note and conclude empty rxns</t>
  </si>
  <si>
    <t>220322_2</t>
  </si>
  <si>
    <t>https://drive.google.com/open?id=13ouyZXN0ljTN_zvS8GkNg0D3Ji62jakj</t>
  </si>
  <si>
    <t>https://drive.google.com/open?id=1G2IsBZ8gvriEzxGSOFoijHrP6hays-8b</t>
  </si>
  <si>
    <t>To initial inconclusive from previous run in triplets</t>
  </si>
  <si>
    <t>220323_1</t>
  </si>
  <si>
    <t>https://drive.google.com/open?id=10txk8P5vtpVSgcl1JPmZD-eBd7gII5C0</t>
  </si>
  <si>
    <t>https://drive.google.com/open?id=13HYWpdQGNXO-JNSIf4AjTazCNvniGT1b</t>
  </si>
  <si>
    <t>220324-1</t>
  </si>
  <si>
    <t>https://drive.google.com/open?id=1FJCGjOd178AJC91AsF9ihl81bGu7w0vO</t>
  </si>
  <si>
    <t>https://drive.google.com/open?id=1gphWSJ5rv-UFFNom16tT5SJb0rZKxR4z</t>
  </si>
  <si>
    <t>220402-1</t>
  </si>
  <si>
    <t>https://drive.google.com/open?id=1f1gOXLPhalGG3sYUFA4Kjdqy33snZIIZ</t>
  </si>
  <si>
    <t>https://drive.google.com/open?id=12dyFdEtmg3OmsnzPaA6AQlhnvhmrR6KU</t>
  </si>
  <si>
    <t>220404-1</t>
  </si>
  <si>
    <t>https://drive.google.com/open?id=1yRJvR30f8yBf2EWfJsEQlbqfHtKBgKYa</t>
  </si>
  <si>
    <t>https://drive.google.com/open?id=10zhwUIKK_VAGsrw7gCvgft87NHLSzuCw</t>
  </si>
  <si>
    <t>220405-1</t>
  </si>
  <si>
    <t>https://drive.google.com/open?id=17iwBZ2s_nekL7pBYO5UjMj7hLZLDmGJt</t>
  </si>
  <si>
    <t>https://drive.google.com/open?id=1j3hA5qxgRJ9f2MBxv1Naum19EknyApBg</t>
  </si>
  <si>
    <t>220406-1</t>
  </si>
  <si>
    <t>https://drive.google.com/open?id=1JjXPklAHDXvqHY-gPk5ZXZaP6impKdYh</t>
  </si>
  <si>
    <t>https://drive.google.com/open?id=1aM-kZjZ2tXLTVK1JdINEqJh88HnzCCwO</t>
  </si>
  <si>
    <t>220407-1</t>
  </si>
  <si>
    <t>https://drive.google.com/open?id=1g5vHl6EJwnhl_Rh7o7qLZ2Zjvs7o3TLl</t>
  </si>
  <si>
    <t>https://drive.google.com/open?id=13HFtCG_b61-lhSD1EX5Z5ZOulmonlGHC</t>
  </si>
  <si>
    <t>220408_1</t>
  </si>
  <si>
    <t>https://drive.google.com/open?id=1qLMGxILdJzCtcl5xCzoIdzb3I4hBtssN</t>
  </si>
  <si>
    <t>https://drive.google.com/open?id=1daQYV6_SjWDOJQW2v0BpUJtbrTAMjgQy</t>
  </si>
  <si>
    <t>220411_1</t>
  </si>
  <si>
    <t>https://drive.google.com/open?id=1DzvoWYyTei32wqpynogCKY1EgJFxGFBE</t>
  </si>
  <si>
    <t>https://drive.google.com/open?id=1Hvhxx5ZJGrpMjtephPf8-51uqwG4HX4f</t>
  </si>
  <si>
    <t>220412_1</t>
  </si>
  <si>
    <t>https://drive.google.com/open?id=19BlVwsVZSXvIOzuiuxdR7gUJASZFmrKl</t>
  </si>
  <si>
    <t>https://drive.google.com/open?id=16SUpFIFES7kySWhJW6n7Wx13RrGxBzih</t>
  </si>
  <si>
    <t>220413_1</t>
  </si>
  <si>
    <t>https://drive.google.com/open?id=18joCZtORiUvEUhsKYLyK4uQlDiAhc5sW</t>
  </si>
  <si>
    <t>https://drive.google.com/open?id=1Ub6X5ggfyB-i8un9cl0-iYEYO6diK-_A</t>
  </si>
  <si>
    <t>220414_1</t>
  </si>
  <si>
    <t>https://drive.google.com/open?id=1UZEZlUu1Ip_rZwWorzpNeXkLW5u1pnuF</t>
  </si>
  <si>
    <t>https://drive.google.com/open?id=1NlMxAervj8iWbgUR7uphvsClcG8lOb7v</t>
  </si>
  <si>
    <t>220415_1</t>
  </si>
  <si>
    <t>https://drive.google.com/open?id=1PCbWVOgPuwPIugn654D28mkqBTrZV9QR</t>
  </si>
  <si>
    <t>https://drive.google.com/open?id=1Vvv12LDe3BsF0FB-GpDv6P2TsrBkQ6U-</t>
  </si>
  <si>
    <t>Color between orange and yellow, so I will rerun the same sample in two triplets.</t>
  </si>
  <si>
    <t>220415_2</t>
  </si>
  <si>
    <t>https://drive.google.com/open?id=1szhpRtBkzuGmFdoh23JlItL6XYSQdqkT</t>
  </si>
  <si>
    <t>https://drive.google.com/open?id=1cQhflejHisostpQ6D1t95qUcD3BF5kHM</t>
  </si>
  <si>
    <t>220418-1</t>
  </si>
  <si>
    <t>https://drive.google.com/open?id=1qToPFuV8yGkOAq8isIMmCQ_CwA5dOLcN</t>
  </si>
  <si>
    <t>https://drive.google.com/open?id=1VG1bhYYIGZTXuz66MU0KrrZt8GzNRnHA</t>
  </si>
  <si>
    <t>220418_2</t>
  </si>
  <si>
    <t>https://drive.google.com/open?id=1GZXmeV9JfATotiEKpeMzPxkHjLGZ0obd</t>
  </si>
  <si>
    <t>https://drive.google.com/open?id=1UAXg6gr7TeCzw3xv3NEYWssHUZxjVSK4</t>
  </si>
  <si>
    <t>220419_1</t>
  </si>
  <si>
    <t>https://drive.google.com/open?id=1t4MrCgi8fBw8nC88oxqT-LwSpcoiA6Jl</t>
  </si>
  <si>
    <t>https://drive.google.com/open?id=1qg2BZOpsRPW--_nq7U1JUKyMx__Mav1P</t>
  </si>
  <si>
    <t>220419_2</t>
  </si>
  <si>
    <t>https://drive.google.com/open?id=1waalXI2KMmcpPDbbsrJdimOp7jyHssTJ</t>
  </si>
  <si>
    <t>https://drive.google.com/open?id=1ujAjQ5aRljD81iqin-LTLa_2gTz7Sa5i</t>
  </si>
  <si>
    <t>Re-ran inc from previous batch</t>
  </si>
  <si>
    <t>220420-1</t>
  </si>
  <si>
    <t>https://drive.google.com/open?id=1MdC5O9ggY1b1qeboo629YWRID0qMGPuE</t>
  </si>
  <si>
    <t>https://drive.google.com/open?id=1M8rLm7k-60hBvqDGqAn4jUpEGYKkclPj</t>
  </si>
  <si>
    <t>220421-1</t>
  </si>
  <si>
    <t>https://drive.google.com/open?id=1NzGe8XiIQpOBDfsPIgyXjYPVZw_2k69B</t>
  </si>
  <si>
    <t>https://drive.google.com/open?id=1gnOvL4nbYdYLgsYv9zEmMchfXEzwNqWx</t>
  </si>
  <si>
    <t>220421-2</t>
  </si>
  <si>
    <t>https://drive.google.com/open?id=1dU3PVQ3vBokh4O5SqwtAJ-RE6tRtpPm3</t>
  </si>
  <si>
    <t>https://drive.google.com/open?id=1t-smzR2Z_-EM6nLOTuo_7tVPVYIysdXz</t>
  </si>
  <si>
    <t>One positive result</t>
  </si>
  <si>
    <t>One Pos result</t>
  </si>
  <si>
    <t>220422-1</t>
  </si>
  <si>
    <t>https://drive.google.com/open?id=1F5xQD4wl2clrFt8imYu8TyEmdIJTyVMo</t>
  </si>
  <si>
    <t>https://drive.google.com/open?id=1dStSwAP6cMNtBOpFlD7M8Vm6X9T3C1bs</t>
  </si>
  <si>
    <t>220425-1</t>
  </si>
  <si>
    <t>https://drive.google.com/open?id=1F-vZAcDLwsvO_y3EHD34eJRAwFADep70</t>
  </si>
  <si>
    <t>https://drive.google.com/open?id=1fRKsRU4n1gR1BFH1x0Nn0Hi1rBLmKvO_</t>
  </si>
  <si>
    <t>220425-2</t>
  </si>
  <si>
    <t>https://drive.google.com/open?id=1ooZ9rK5RoqTMjAHFo6VyZAnB-p7e75oB</t>
  </si>
  <si>
    <t>https://drive.google.com/open?id=1KOj8cNJsVzk_sx5N9VMT0WI7aeSP2mq2</t>
  </si>
  <si>
    <t>One Pos Confirmed, 2 samples ran in triplicate</t>
  </si>
  <si>
    <t>220426-1</t>
  </si>
  <si>
    <t>https://drive.google.com/open?id=1EG3qWWvaUZXYYUiiqIUq5avT8cbGq7-C</t>
  </si>
  <si>
    <t>https://drive.google.com/open?id=18m-L6iKMs-rKV2nlQefcuDPIAk1KWugR</t>
  </si>
  <si>
    <t>220427_1</t>
  </si>
  <si>
    <t>https://drive.google.com/open?id=1qpu5kblbB-cr2pXS0UKh6zg1-7wWtfvE</t>
  </si>
  <si>
    <t>https://drive.google.com/open?id=17FCK4GeITnzu85mZBx8fDbnxLgJWQ_T5</t>
  </si>
  <si>
    <t>220428-1</t>
  </si>
  <si>
    <t>https://drive.google.com/open?id=1-NJ1EFlDiVYiXIymy9oofmFtnzIUXITq</t>
  </si>
  <si>
    <t>https://drive.google.com/open?id=1GqR1VxZGXkHRmmTJhOGZlGfeyEeBh6-f</t>
  </si>
  <si>
    <t>220428-2</t>
  </si>
  <si>
    <t>https://drive.google.com/open?id=1oeSnJqqVREmYyneOQjGA7yytrHmR3pJZ</t>
  </si>
  <si>
    <t>https://drive.google.com/open?id=18m6kcFBkU81B5KJvTlsFqxTKq0g82Lnw</t>
  </si>
  <si>
    <t>2 samples in triplicate</t>
  </si>
  <si>
    <t>220429-1</t>
  </si>
  <si>
    <t>https://drive.google.com/open?id=115UY_6BhiBhHwGvecNWXTFTd4S3k9-KC</t>
  </si>
  <si>
    <t>https://drive.google.com/open?id=13IYavlqkUqh1p45il0yQ5VLIUpfI7OsE</t>
  </si>
  <si>
    <t>Was asked to retest someone who was positive earlier in the week. He is still showing as a positive result.</t>
  </si>
  <si>
    <t>Retesting someone from ealier inweek. he is still positive</t>
  </si>
  <si>
    <t>220509-1</t>
  </si>
  <si>
    <t>https://drive.google.com/open?id=1H4KxiElsboTRQU6BqyefUw_NIFoy_7WZ</t>
  </si>
  <si>
    <t>https://drive.google.com/open?id=1l4ObItHwFXPOwVYwLjuIw41pwYUwY5Pa</t>
  </si>
  <si>
    <t>220510-1</t>
  </si>
  <si>
    <t>https://drive.google.com/open?id=14y_pcVrhnsfax5J_waESCu7yckSgqMk1</t>
  </si>
  <si>
    <t>https://drive.google.com/open?id=1YGcW4GhSkEVGvJjy3Ia9qWNOpy62mWp4</t>
  </si>
  <si>
    <t>220511-1</t>
  </si>
  <si>
    <t>https://drive.google.com/open?id=1g7lI1kG2cZp066CldnM2rMbCHEniyfKQ</t>
  </si>
  <si>
    <t>https://drive.google.com/open?id=193amDgQIZ0yzvr8-qwMY-jS3_ovegmBz</t>
  </si>
  <si>
    <t>220512-1</t>
  </si>
  <si>
    <t>https://drive.google.com/open?id=1tzpORsVhBT9bmdLo9Qxe7R2IoqEuYw5h</t>
  </si>
  <si>
    <t>https://drive.google.com/open?id=1ZxBQuwyCon6MBYL0HMDSnvM6vZBTlDrE</t>
  </si>
  <si>
    <t>220513-1</t>
  </si>
  <si>
    <t>https://drive.google.com/open?id=1Pa5cGmp28ra3y1U2-lQrHubmxwWzQEmK</t>
  </si>
  <si>
    <t>https://drive.google.com/open?id=1jqiwIp7bNfDc9NDE6lPdVaKai3daO4Yt</t>
  </si>
  <si>
    <t>220516-1</t>
  </si>
  <si>
    <t>https://drive.google.com/open?id=1aZlo-uK88NEHehOxD_jlh9GgC31ql8zG</t>
  </si>
  <si>
    <t>https://drive.google.com/open?id=1S4l3tGLt8V8mIONpfJlXzGnJUwNVETqL</t>
  </si>
  <si>
    <t>220517-1</t>
  </si>
  <si>
    <t>https://drive.google.com/open?id=1iYQDuEF2J8aolpUyxSLujFdsA2IvlwIg</t>
  </si>
  <si>
    <t>https://drive.google.com/open?id=1-DCCHplIc-91VChfWLH5_DCMo8y6UaZ4</t>
  </si>
  <si>
    <t>220518-1</t>
  </si>
  <si>
    <t>https://drive.google.com/open?id=1kiRq7oTN-hU37HT5PA1hfswfoOoP3XSh</t>
  </si>
  <si>
    <t>https://drive.google.com/open?id=1WPgqlVIadiGd9ekDAVwi6--BlwBySi-6</t>
  </si>
  <si>
    <t>220519-1</t>
  </si>
  <si>
    <t>https://drive.google.com/open?id=19f7oNihHTBU6Ev8BM_vOEK91MH8faBdA</t>
  </si>
  <si>
    <t>https://drive.google.com/open?id=1BTimHLMebnPUSfpZd8odKVRTUGoZ6IN4</t>
  </si>
  <si>
    <t>220520-1</t>
  </si>
  <si>
    <t>https://drive.google.com/open?id=1Dy4vvZ1SH8HzS7Te0xDJrsj_S3ggTLdi</t>
  </si>
  <si>
    <t>https://drive.google.com/open?id=1-UUxGRQLkkHCyIgNyZhXOf5QlgWlaFKI</t>
  </si>
  <si>
    <t>220525-1</t>
  </si>
  <si>
    <t>https://drive.google.com/open?id=1m5smgxhRWtulEs0OktzRhQyCwngjdwN3</t>
  </si>
  <si>
    <t>https://drive.google.com/open?id=1LqP70exwc3fG9LtZ925wb8SPG6MEFFfd</t>
  </si>
  <si>
    <t>Hard to tell in the photo but there is an inconclusive on number six in the third row. Also pardon the two numbers on the first row. Got the strip turned around after removing the lid and caught it after finishing the strip. So I just added the top number again.</t>
  </si>
  <si>
    <t>220525-2</t>
  </si>
  <si>
    <t>https://drive.google.com/open?id=1fP9rFPLR7-VadxYTEr_aPBWAO97FVP1R</t>
  </si>
  <si>
    <t>https://drive.google.com/open?id=1C-OElHeXXIvt6f4omdphSl8GHLyirIwh</t>
  </si>
  <si>
    <t>220526-1</t>
  </si>
  <si>
    <t>https://drive.google.com/open?id=126iL_mjdZ3eO133xZo3cI5tHJhPmhMmG</t>
  </si>
  <si>
    <t>https://drive.google.com/open?id=1xYD7x59jEquR4GYnFbQ0bk5pxjV1mMbu</t>
  </si>
  <si>
    <t>220527-1</t>
  </si>
  <si>
    <t>https://drive.google.com/open?id=1Mp8FmpoadYeG4blX0JIewIkc2R1iKnje</t>
  </si>
  <si>
    <t>https://drive.google.com/open?id=11tG_s5wGISMvsIOUYeAGWMdfS4xSB93s</t>
  </si>
  <si>
    <t>220528-1</t>
  </si>
  <si>
    <t>https://drive.google.com/open?id=1UYXMMqxoKxcwFYvE8X2Xq9U7JcLtEWrS</t>
  </si>
  <si>
    <t>https://drive.google.com/open?id=1cEu6kppHlbgYW2FFDyoPJ9YCzxMulTEZ</t>
  </si>
  <si>
    <t>220529_1</t>
  </si>
  <si>
    <t>https://drive.google.com/open?id=15RcgtXKnkd__zdQHJ5Cu04tdWA96j9PI</t>
  </si>
  <si>
    <t>https://drive.google.com/open?id=1CblEHKVV1JYy20yUs3LPdjgxULbwHTsq</t>
  </si>
  <si>
    <t>220530-1</t>
  </si>
  <si>
    <t>https://drive.google.com/open?id=1EhsZaYkvyzje4yLgpN32xR6KuUDoLQWN</t>
  </si>
  <si>
    <t>https://drive.google.com/open?id=1-0jBRgtSWUqHnNa-deFAbIWMQ6J3gDyC</t>
  </si>
  <si>
    <t>220531-1</t>
  </si>
  <si>
    <t>https://drive.google.com/open?id=1btD5k_K6ndvkHM4zfmnFJkJ5SE7Omni3</t>
  </si>
  <si>
    <t>https://drive.google.com/open?id=1Yus4xtCq83KreejPuDMCQPPb8IeNTJlD</t>
  </si>
  <si>
    <t>This person is 7 days positive already,  NAME told him to come and get retest today but he still positive,  We are not going to repeat antigen or PCR confirmation, he’s known positive</t>
  </si>
  <si>
    <t>220601-1</t>
  </si>
  <si>
    <t>https://drive.google.com/open?id=1eoFRSBfJZ9y9oz6NGH7DmdxzdFGTOcbh</t>
  </si>
  <si>
    <t>https://drive.google.com/open?id=1HNtwX5nn5ImBYwi4WzDbc-wqk5wxunEZ</t>
  </si>
  <si>
    <t>220602-1</t>
  </si>
  <si>
    <t>https://drive.google.com/open?id=1VMX_kCZKuxxSb2sHXAR0i2L6ySSFzigU</t>
  </si>
  <si>
    <t>https://drive.google.com/open?id=1PnbVYYZvS9jtBD_yguoPET5-DQ2FMq0Y</t>
  </si>
  <si>
    <t>220603-1</t>
  </si>
  <si>
    <t>https://drive.google.com/open?id=18uiY4LuxHEwDxQ5PDPDeuoFme3Rpu2p5</t>
  </si>
  <si>
    <t>https://drive.google.com/open?id=1Dm98UUuGq7ZextkmFntDCmNX6pUmhG2C</t>
  </si>
  <si>
    <t>220606-1</t>
  </si>
  <si>
    <t>https://drive.google.com/open?id=18QLWyZqYrMXWZwptHx28jTLEA0MnRkR-</t>
  </si>
  <si>
    <t>https://drive.google.com/open?id=17NXxcLzJFo7wUZWJAIjdG3iZy03qrzpQ</t>
  </si>
  <si>
    <t>1 Possible pos, will re run</t>
  </si>
  <si>
    <t>220606-2</t>
  </si>
  <si>
    <t>https://drive.google.com/open?id=1yZ6zZNMlvx5cE5AAWem7H0XE0lBgLb5V</t>
  </si>
  <si>
    <t>https://drive.google.com/open?id=1yS8gpUwqDjc3aP8cMJNIhwbA3x53xLhZ</t>
  </si>
  <si>
    <t>Positive test confirmed</t>
  </si>
  <si>
    <t>Single test, triple run, pos confirmed</t>
  </si>
  <si>
    <t>220607-1</t>
  </si>
  <si>
    <t>https://drive.google.com/open?id=15KyUCqwCYO_cDLgXu3dCGbkC5-x69lbQ</t>
  </si>
  <si>
    <t>https://drive.google.com/open?id=1GttSUBebaNedlFTE1FzvT6x0OsYv6gZg</t>
  </si>
  <si>
    <t>https://drive.google.com/open?id=1AlBFW3B5Um_xz4iohuvmwEdBle8SDnnJ</t>
  </si>
  <si>
    <t>https://drive.google.com/open?id=1diltxcJBwHd_cA_Qv2h2JiKxe4Y1NOEy</t>
  </si>
  <si>
    <t>220609-1</t>
  </si>
  <si>
    <t>https://drive.google.com/open?id=17Iicn2pkD8lmutvm7Yk5TEXQdKLbU44o</t>
  </si>
  <si>
    <t>https://drive.google.com/open?id=15AhY6vtcglGavreWAS5UBvngNBMPOdtr</t>
  </si>
  <si>
    <t xml:space="preserve">Two positive results will not be clarify that’s Combate people there are positive since last week. Also noticing slightly different in “pink brightness “ color between first 4 frozen strip and fresh one made right before run, But all good </t>
  </si>
  <si>
    <t>220627-1</t>
  </si>
  <si>
    <t>https://drive.google.com/open?id=1GLn4-ZKXh5gs4qxM4AFxpU6Y0BRanQuG</t>
  </si>
  <si>
    <t>https://drive.google.com/open?id=1bbUBvVFm8aRexemkqQTpJtOUldj31qKc</t>
  </si>
  <si>
    <t>4 possible positive tests and one inconclusive. Will rerun tests In triplets next batch</t>
  </si>
  <si>
    <t>1 inc, 4 possible positives. WIll Rerun</t>
  </si>
  <si>
    <t>There is an RFR audited inconclusive that was also explicitly described in the Run Form Notes that was never resulted as Inconclusive in the App (all App results that day Null), so chose the first tube and made Final Result Inconclusive.</t>
  </si>
  <si>
    <t>220627-2</t>
  </si>
  <si>
    <t>https://drive.google.com/open?id=1j_2UWngEkBlLKLAdwTIp-u-E3Iq4tmYD</t>
  </si>
  <si>
    <t>https://drive.google.com/open?id=1_dfAShFT3i49Olz2_-ItgmlRA6AISHet</t>
  </si>
  <si>
    <t>3 positive results</t>
  </si>
  <si>
    <t>3 pos confirmed</t>
  </si>
  <si>
    <t>220628-1</t>
  </si>
  <si>
    <t>https://drive.google.com/open?id=1BimxgfxyG351HmLRw6bSQ9B4lHhp6j_f</t>
  </si>
  <si>
    <t>https://drive.google.com/open?id=1XgxPegRS0fRVXS-rXN8cXqSB6FHPdoH8</t>
  </si>
  <si>
    <t>Same person who came up positive in initial test yesterday.</t>
  </si>
  <si>
    <t>220628-2</t>
  </si>
  <si>
    <t>https://drive.google.com/open?id=1PKfw7_7ARECpx3PfpX4LmlHai7BXLqln</t>
  </si>
  <si>
    <t>https://drive.google.com/open?id=1G35yQ6bK3oaZCB1RIk9e1PBDN1EDUNk7</t>
  </si>
  <si>
    <t>Inconclusive after rerun</t>
  </si>
  <si>
    <t>220629-1</t>
  </si>
  <si>
    <t>https://drive.google.com/open?id=1j1pmLYu2Wv5Z496lyR_cnQVkPvQ5xu8_</t>
  </si>
  <si>
    <t>https://drive.google.com/open?id=1gKJNzFElCc__9AUwuCtiVeSj9Q3K_aUU</t>
  </si>
  <si>
    <t>220630-1</t>
  </si>
  <si>
    <t>https://drive.google.com/open?id=1DXoLI6YM2jaU2eAxa66EsGzzeA9X-VRS</t>
  </si>
  <si>
    <t>https://drive.google.com/open?id=1wl_wXZI5g4irEFPfxhV9RGZmXv-I-FDZ</t>
  </si>
  <si>
    <t>1 possible positive result</t>
  </si>
  <si>
    <t>220630-2</t>
  </si>
  <si>
    <t>https://drive.google.com/open?id=1_V3NtyLTwzD1obt5lJaWCldUTbDuAwD_</t>
  </si>
  <si>
    <t>https://drive.google.com/open?id=1TAF1_dZf1soagk0nlgCD5-KV3T5g7vy3</t>
  </si>
  <si>
    <t>Pos Confirmed</t>
  </si>
  <si>
    <t>220701-1</t>
  </si>
  <si>
    <t>https://drive.google.com/open?id=1jVIIO7h4VD7eHYy-hPsPvlSuxW9BSO82</t>
  </si>
  <si>
    <t>https://drive.google.com/open?id=1zYjCWz2lf8MEQC2lClg_ci_91ImbijX3</t>
  </si>
  <si>
    <t>initial pos but called as session inconclusive after rerun with only 1/3 inconclusive and 2/3 neg</t>
  </si>
  <si>
    <t>220701-2</t>
  </si>
  <si>
    <t>https://drive.google.com/open?id=1XURugugrmwigqlS_ZE_mnJu_g6Vn3agU</t>
  </si>
  <si>
    <t>https://drive.google.com/open?id=17nw1hQ724iOqG49tDc4ODtKvX4K2p6u3</t>
  </si>
  <si>
    <t>Inc will clear with antigen</t>
  </si>
  <si>
    <t>220704-1</t>
  </si>
  <si>
    <t>https://drive.google.com/open?id=1AeVTo5SIa30QmzYLeP6E6DM5yBCnLD6O</t>
  </si>
  <si>
    <t>https://drive.google.com/open?id=15jVSg5xUQwnbprGcDLyRvmZlrfs3WqQa</t>
  </si>
  <si>
    <t>Known positive from last week. Recheck</t>
  </si>
  <si>
    <t>220705-1</t>
  </si>
  <si>
    <t>https://drive.google.com/open?id=15ZsPgyu8SJ6sDv14FaEMN-6aDaaK3O-U</t>
  </si>
  <si>
    <t>https://drive.google.com/open?id=1ytzQkGqM1QBv3Jy73fvTdwfD5vAjTGQ9</t>
  </si>
  <si>
    <t>220706-1</t>
  </si>
  <si>
    <t>https://drive.google.com/open?id=1Lj__LJaTvs_AAFIVleh-cnU_ttZuKiLc</t>
  </si>
  <si>
    <t>https://drive.google.com/open?id=19aqsCXWeT5B7v-QSZehiRcTmNS28OM1q</t>
  </si>
  <si>
    <t>Will rerun in next batch</t>
  </si>
  <si>
    <t>220706-2</t>
  </si>
  <si>
    <t>https://drive.google.com/open?id=1aMRLUpibnYphUZheX3jhf9C68OsZCFpG</t>
  </si>
  <si>
    <t>https://drive.google.com/open?id=1Xa2nBbftQw446EUdfvhWsx35k0w1E3YT</t>
  </si>
  <si>
    <t>220708-1</t>
  </si>
  <si>
    <t>https://drive.google.com/open?id=1aS9eoBA5QILZTLXEsPQsDYOn6jsudXfS</t>
  </si>
  <si>
    <t>https://drive.google.com/open?id=1hdytJjny5IMZLndiW9W77ALXWLmVHejp</t>
  </si>
  <si>
    <t>220711-1</t>
  </si>
  <si>
    <t>https://drive.google.com/open?id=1OF6GUFA6rsveNTnIhURNQRAxiUDS9LWR</t>
  </si>
  <si>
    <t>https://drive.google.com/open?id=1g5drjmx2GkEq0_gbolS5mMd3OLJJ7IwL</t>
  </si>
  <si>
    <t>220712-1</t>
  </si>
  <si>
    <t>https://drive.google.com/open?id=1AKqxQDnHGE1wwXMogAOrPh45QnDysAmY</t>
  </si>
  <si>
    <t>https://drive.google.com/open?id=1BQ7xdtXLl4LvLLHkafjeR2cWax4bxSft</t>
  </si>
  <si>
    <t>220713-1</t>
  </si>
  <si>
    <t>https://drive.google.com/open?id=1tr3r4wb_EZiOXD4ykA29DRsq76VodplI</t>
  </si>
  <si>
    <t>https://drive.google.com/open?id=1ip5Tv6a-nSKUKEr8pizh5oaoxmuZR6IW</t>
  </si>
  <si>
    <t>220714-1</t>
  </si>
  <si>
    <t>https://drive.google.com/open?id=1vVuDG-s4G-7HGbY7Z-aVGyFiEZ77vI3J</t>
  </si>
  <si>
    <t>https://drive.google.com/open?id=1sS0pNq3fp3slTuwhNNtRcY2TwsZrZ1nr</t>
  </si>
  <si>
    <t>220715-1</t>
  </si>
  <si>
    <t>https://drive.google.com/open?id=1QNywWb4lEhi9Bx_aoxo4_BYKOVSfbLNe</t>
  </si>
  <si>
    <t>https://drive.google.com/open?id=1xLQj562GePI7pZ-HYhXfqo5mh36UIxLQ</t>
  </si>
  <si>
    <t>220718-1</t>
  </si>
  <si>
    <t>https://drive.google.com/open?id=1znpIIwSdNZU32plnmwdlGvHYVPcfejX4</t>
  </si>
  <si>
    <t>https://drive.google.com/open?id=1Cz61SR7X1kHnSXI5FzIPHRlaaEAWjlJz</t>
  </si>
  <si>
    <t>220718-2</t>
  </si>
  <si>
    <t>https://drive.google.com/open?id=1Gq-2H2mesGajCrn51jXmWdMu3V_QH7nu</t>
  </si>
  <si>
    <t>https://drive.google.com/open?id=1IH_w8rTslYKEnFfB56KLOGFppj3ZluiJ</t>
  </si>
  <si>
    <t>220719-1</t>
  </si>
  <si>
    <t>https://drive.google.com/open?id=1wTP5WX7uEhH58mTWTKQcrZXE2rcZZ0r1</t>
  </si>
  <si>
    <t>https://drive.google.com/open?id=14j7aeETLyYY3ffyndAjgUB7dlGzi-KPk</t>
  </si>
  <si>
    <t>Rerun next batch</t>
  </si>
  <si>
    <t>220719-2</t>
  </si>
  <si>
    <t>https://drive.google.com/open?id=1HfKcuT9jEeO5wJnpkASQLeKSvpTPcKk7</t>
  </si>
  <si>
    <t>https://drive.google.com/open?id=1XjisKyT0LTnNITRrw6_rrWMccX0zTKO4</t>
  </si>
  <si>
    <t>220720-1</t>
  </si>
  <si>
    <t>https://drive.google.com/open?id=10mGUvzkvFtTTqzsx7SrzSdq8PN_Kyxze</t>
  </si>
  <si>
    <t>https://drive.google.com/open?id=1vY8BgwZjSfVoegJlBee-kwjmp1ZEIVA9</t>
  </si>
  <si>
    <t>220722-1</t>
  </si>
  <si>
    <t>https://drive.google.com/open?id=1Dmm4MbT7-g9_kYl6KJGlK5IfvHZEiqKc</t>
  </si>
  <si>
    <t>https://drive.google.com/open?id=1zfj8HYrkjkR-Dg9XWdBD736pImj_AUX5</t>
  </si>
  <si>
    <t>Rerun in next batch</t>
  </si>
  <si>
    <t>220721-1</t>
  </si>
  <si>
    <t>https://drive.google.com/open?id=1Tlg-FquaGWQ7rpz2-yLS-ddMLdrhHEDJ</t>
  </si>
  <si>
    <t>https://drive.google.com/open?id=1VhDPFDKtCoquZNGuW-zH2Sr5DaLdHZ7F</t>
  </si>
  <si>
    <t>220722-2</t>
  </si>
  <si>
    <t>https://drive.google.com/open?id=1PthsCA9CiDO5nbHx7Dkq-kwFTihbmc28</t>
  </si>
  <si>
    <t>https://drive.google.com/open?id=15t2_qtHg7Wl8D6WF543QFyf4lSXIXCoE</t>
  </si>
  <si>
    <t>220801-1</t>
  </si>
  <si>
    <t>https://drive.google.com/open?id=1829qrIoF9egRSSL4Zpl-38rYGombxVRe</t>
  </si>
  <si>
    <t>https://drive.google.com/open?id=1HCXUx5ZvwZqDJwUHjCC8F7YArMrULmJ2</t>
  </si>
  <si>
    <t>1 inconclusive</t>
  </si>
  <si>
    <t>220801-2</t>
  </si>
  <si>
    <t>https://drive.google.com/open?id=1o48Dc-G9hFzX6UFBIAcoFNZggJNQSgQJ</t>
  </si>
  <si>
    <t>https://drive.google.com/open?id=1iRZv0jXhD7x-PxBOFl3euGrJ7qFQQJsC</t>
  </si>
  <si>
    <t>220802-1</t>
  </si>
  <si>
    <t>https://drive.google.com/open?id=1zo1yJxn7elnL8BvMbodW8U2FpeHRXg4Z</t>
  </si>
  <si>
    <t>https://drive.google.com/open?id=1Giksn6S0udxrXvVgQWlh7tUIlyW3okrm</t>
  </si>
  <si>
    <t>220804-1</t>
  </si>
  <si>
    <t>https://drive.google.com/open?id=1p4XhT3aXGWVKiaIfzpVwqS17HjkCO4cq</t>
  </si>
  <si>
    <t>https://drive.google.com/open?id=12TagdJ_dUz3B1OkeA3hhkKjCPkXBGMeJ</t>
  </si>
  <si>
    <t>/</t>
  </si>
  <si>
    <t>220808-1</t>
  </si>
  <si>
    <t>https://drive.google.com/open?id=1K3fVAedOsP979j9uEwb_mW5nFRnhM9Pf</t>
  </si>
  <si>
    <t>https://drive.google.com/open?id=1kOs5UvCmxQPi4XK6Ov8Te61VhrkqpFha</t>
  </si>
  <si>
    <t>220808-2</t>
  </si>
  <si>
    <t>https://drive.google.com/open?id=1lJWNvlc99D8x1hGAsRZe5wfnrX6oWX3C</t>
  </si>
  <si>
    <t>https://drive.google.com/open?id=1OxrawQw-HRSC5CPp977i4qwEEHu2dwqe</t>
  </si>
  <si>
    <t>220809-1</t>
  </si>
  <si>
    <t>https://drive.google.com/open?id=1fUSgflTPC_Y1rY23AKWTqvl4hSFJSvAh</t>
  </si>
  <si>
    <t>https://drive.google.com/open?id=1Ycqcm2u9UKxTDlcf6Bj34obqiaT3bASD</t>
  </si>
  <si>
    <t>220815-1</t>
  </si>
  <si>
    <t>https://drive.google.com/open?id=15-3r6qGiX0Y2E1fyEtOMzq0rIR6JdNol</t>
  </si>
  <si>
    <t>https://drive.google.com/open?id=1XCkKxH5tvbAjLplTwhL37hLAMafFYCza</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</si>
  <si>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</si>
  <si>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</si>
  <si>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</si>
  <si>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</si>
  <si>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</si>
  <si>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</si>
  <si>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</si>
  <si>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</si>
  <si>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</si>
  <si>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FM4301</t>
  </si>
  <si>
    <t>FM4307</t>
  </si>
  <si>
    <t>FM4331</t>
  </si>
  <si>
    <t>FM4326</t>
  </si>
  <si>
    <t>FM4290</t>
  </si>
  <si>
    <t>FM4296</t>
  </si>
  <si>
    <t>FM4328</t>
  </si>
  <si>
    <t>FM4079</t>
  </si>
  <si>
    <t>FM3988</t>
  </si>
  <si>
    <t>FM4066</t>
  </si>
  <si>
    <t>FM4074</t>
  </si>
  <si>
    <t>FM4292</t>
  </si>
  <si>
    <t>FM4315</t>
  </si>
  <si>
    <t>FM4286</t>
  </si>
  <si>
    <t>FM4297</t>
  </si>
  <si>
    <t>FM4337</t>
  </si>
  <si>
    <t>FM4305</t>
  </si>
  <si>
    <t>FM4338</t>
  </si>
  <si>
    <t>FM4397</t>
  </si>
  <si>
    <t>FM4064</t>
  </si>
  <si>
    <t>FM4406</t>
  </si>
  <si>
    <t>FM4291</t>
  </si>
  <si>
    <t>FM4263</t>
  </si>
  <si>
    <t>FM4073</t>
  </si>
  <si>
    <t>FM4399</t>
  </si>
  <si>
    <t>FM4289</t>
  </si>
  <si>
    <t>FM4390</t>
  </si>
  <si>
    <t>FM4063</t>
  </si>
  <si>
    <t>FM4309</t>
  </si>
  <si>
    <t>FM4340</t>
  </si>
  <si>
    <t>FM4300</t>
  </si>
  <si>
    <t>FM4282</t>
  </si>
  <si>
    <t>IMPORTS &gt;&gt;
URL link below</t>
  </si>
  <si>
    <t>Manually Reassign Result Date</t>
  </si>
  <si>
    <t>COMB_APS_deID_PUB</t>
  </si>
  <si>
    <t>RUN ID INTERNAL</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</si>
  <si>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</si>
  <si>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</si>
  <si>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</si>
  <si>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</si>
  <si>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</si>
  <si>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</si>
  <si>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</si>
  <si>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</si>
  <si>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</si>
  <si>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</si>
  <si>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</si>
  <si>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</si>
  <si>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</si>
  <si>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ARFCOMB002</t>
  </si>
  <si>
    <t>ARFCOMB003</t>
  </si>
  <si>
    <t>ARFCOMB004</t>
  </si>
  <si>
    <t>ARFCOMB005</t>
  </si>
  <si>
    <t>ARFCOMB006</t>
  </si>
  <si>
    <t>ARFCOMB007</t>
  </si>
  <si>
    <t>ARFCOMB008</t>
  </si>
  <si>
    <t>ARFCOMB009</t>
  </si>
  <si>
    <t>ARFCOMB010</t>
  </si>
  <si>
    <t>ARFCOMB011</t>
  </si>
  <si>
    <t>ARFCOMB012</t>
  </si>
  <si>
    <t>ARFCOMB013</t>
  </si>
  <si>
    <t>ARFCOMB014</t>
  </si>
  <si>
    <t>ARFCOMB015</t>
  </si>
  <si>
    <t>ARFCOMB016</t>
  </si>
  <si>
    <t>ARFCOMB017</t>
  </si>
  <si>
    <t>ARFCOMB018</t>
  </si>
  <si>
    <t>ARFCOMB019</t>
  </si>
  <si>
    <t>ARFCOMB020</t>
  </si>
  <si>
    <t>ARFCOMB021</t>
  </si>
  <si>
    <t>ARFCOMB022</t>
  </si>
  <si>
    <t>ARFCOMB023</t>
  </si>
  <si>
    <t>ARFCOMB024</t>
  </si>
  <si>
    <t>ARFCOMB025</t>
  </si>
  <si>
    <t>ARFCOMB026</t>
  </si>
  <si>
    <t>ARFCOMB027</t>
  </si>
  <si>
    <t>ARFCOMB028</t>
  </si>
  <si>
    <t>ARFCOMB029</t>
  </si>
  <si>
    <t>ARFCOMB030</t>
  </si>
  <si>
    <t>ARFCOMB031</t>
  </si>
  <si>
    <t>ARFCOMB032</t>
  </si>
  <si>
    <t>ARFCOMB033</t>
  </si>
  <si>
    <t>ARFCOMB034</t>
  </si>
  <si>
    <t>ARFCOMB035</t>
  </si>
  <si>
    <t>ARFCOMB036</t>
  </si>
  <si>
    <t>ARFCOMB037</t>
  </si>
  <si>
    <t>ARFCOMB038</t>
  </si>
  <si>
    <t>ARFCOMB039</t>
  </si>
  <si>
    <t>ARFCOMB040</t>
  </si>
  <si>
    <t>ARFCOMB041</t>
  </si>
  <si>
    <t>ARFCOMB042</t>
  </si>
  <si>
    <t>ARFCOMB043</t>
  </si>
  <si>
    <t>ARFCOMB044</t>
  </si>
  <si>
    <t>ARFCOMB045</t>
  </si>
  <si>
    <t>ARFCOMB046</t>
  </si>
  <si>
    <t>ARFCOMB047</t>
  </si>
  <si>
    <t>ARFCOMB048</t>
  </si>
  <si>
    <t>ARFCOMB049</t>
  </si>
  <si>
    <t>ARFCOMB050</t>
  </si>
  <si>
    <t>ARFCOMB051</t>
  </si>
  <si>
    <t>ARFCOMB052</t>
  </si>
  <si>
    <t>ARFCOMB053</t>
  </si>
  <si>
    <t>ARFCOMB054</t>
  </si>
  <si>
    <t>ARFCOMB055</t>
  </si>
  <si>
    <t>ARFCOMB056</t>
  </si>
  <si>
    <t>ARFCOMB057</t>
  </si>
  <si>
    <t>ARFCOMB058</t>
  </si>
  <si>
    <t>ARFCOMB059</t>
  </si>
  <si>
    <t>ARFCOMB060</t>
  </si>
  <si>
    <t>ARFCOMB061</t>
  </si>
  <si>
    <t>ARFCOMB062</t>
  </si>
  <si>
    <t>ARFCOMB063</t>
  </si>
  <si>
    <t>ARFCOMB064</t>
  </si>
  <si>
    <t>ARFCOMB065</t>
  </si>
  <si>
    <t>ARFCOMB066</t>
  </si>
  <si>
    <t>ARFCOMB067</t>
  </si>
  <si>
    <t>ARFCOMB068</t>
  </si>
  <si>
    <t>ARFCOMB069</t>
  </si>
  <si>
    <t>ARFCOMB070</t>
  </si>
  <si>
    <t>Manually assign 2 positives for this set of ARF tubes</t>
  </si>
  <si>
    <t>ARFCOMB071</t>
  </si>
  <si>
    <t>ARFCOMB072</t>
  </si>
  <si>
    <t>ARFCOMB073</t>
  </si>
  <si>
    <t>ARFCOMB074</t>
  </si>
  <si>
    <t>ARFCOMB075</t>
  </si>
  <si>
    <t>ARFCOMB076</t>
  </si>
  <si>
    <t>ARFCOMB077</t>
  </si>
  <si>
    <t>ARFCOMB078</t>
  </si>
  <si>
    <t>ARFCOMB079</t>
  </si>
  <si>
    <t>ARFCOMB080</t>
  </si>
  <si>
    <t>ARFCOMB081</t>
  </si>
  <si>
    <t>ARFCOMB082</t>
  </si>
  <si>
    <t>ARFCOMB083</t>
  </si>
  <si>
    <t>ARFCOMB084</t>
  </si>
  <si>
    <t>ARFCOMB085</t>
  </si>
  <si>
    <t>ARFCOMB086</t>
  </si>
  <si>
    <t>ARFCOMB087</t>
  </si>
  <si>
    <t>ARFCOMB088</t>
  </si>
  <si>
    <t>ARFCOMB089</t>
  </si>
  <si>
    <t>ARFCOMB090</t>
  </si>
  <si>
    <t>ARFCOMB091</t>
  </si>
  <si>
    <t>ARFCOMB092</t>
  </si>
  <si>
    <t>Assume all these from Accounting spreadsheet are negative</t>
  </si>
  <si>
    <t>ARFCOMB093</t>
  </si>
  <si>
    <t>ARFCOMB094</t>
  </si>
  <si>
    <t>ARFCOMB095</t>
  </si>
  <si>
    <t>ARFCOMB096</t>
  </si>
  <si>
    <t>ARFCOMB097</t>
  </si>
  <si>
    <t>ARFCOMB098</t>
  </si>
  <si>
    <t>ARFCOMB099</t>
  </si>
  <si>
    <t>ARFCOMB100</t>
  </si>
  <si>
    <t>ARFCOMB101</t>
  </si>
  <si>
    <t>ARFCOMB102</t>
  </si>
  <si>
    <t>ARFCOMB103</t>
  </si>
  <si>
    <t>ARFCOMB104</t>
  </si>
  <si>
    <t>ARFCOMB105</t>
  </si>
  <si>
    <t>ARFCOMB106</t>
  </si>
  <si>
    <t>ARFCOMB107</t>
  </si>
  <si>
    <t>ARFCOMB108</t>
  </si>
  <si>
    <t>ARFCOMB109</t>
  </si>
  <si>
    <t>ARFCOMB110</t>
  </si>
  <si>
    <t>ARFCOMB111</t>
  </si>
  <si>
    <t>ARFCOMB112</t>
  </si>
  <si>
    <t>ARFCOMB113</t>
  </si>
  <si>
    <t>ARFCOMB114</t>
  </si>
  <si>
    <t>ARFCOMB115</t>
  </si>
  <si>
    <t>ARFCOMB116</t>
  </si>
  <si>
    <t>ARFCOMB117</t>
  </si>
  <si>
    <t>Manually assign 1 positive for this set of ARF tubes</t>
  </si>
  <si>
    <t>ARFCOMB118</t>
  </si>
  <si>
    <t>ARFCOMB119</t>
  </si>
  <si>
    <t>ARFCOMB120</t>
  </si>
  <si>
    <t>ARFCOMB121</t>
  </si>
  <si>
    <t>ARFCOMB122</t>
  </si>
  <si>
    <t>ARFCOMB123</t>
  </si>
  <si>
    <t>ARFCOMB124</t>
  </si>
  <si>
    <t>ARFCOMB125</t>
  </si>
  <si>
    <t>ARFCOMB126</t>
  </si>
  <si>
    <t>ARFCOMB127</t>
  </si>
  <si>
    <t>ARFCOMB128</t>
  </si>
  <si>
    <t>ARFCOMB129</t>
  </si>
  <si>
    <t>ARFCOMB130</t>
  </si>
  <si>
    <t>ARFCOMB131</t>
  </si>
  <si>
    <t>ARFCOMB132</t>
  </si>
  <si>
    <t>ARFCOMB133</t>
  </si>
  <si>
    <t>ARFCOMB134</t>
  </si>
  <si>
    <t>ARFCOMB135</t>
  </si>
  <si>
    <t>ARFCOMB136</t>
  </si>
  <si>
    <t>ARFCOMB137</t>
  </si>
  <si>
    <t>ARFCOMB138</t>
  </si>
  <si>
    <t>ARFCOMB139</t>
  </si>
  <si>
    <t>ARFCOMB140</t>
  </si>
  <si>
    <t>ARFCOMB141</t>
  </si>
  <si>
    <t>ARFCOMB142</t>
  </si>
  <si>
    <t>ARFCOMB143</t>
  </si>
  <si>
    <t>ARFCOMB144</t>
  </si>
  <si>
    <t>ARFCOMB145</t>
  </si>
  <si>
    <t>ARFCOMB146</t>
  </si>
  <si>
    <t>ARFCOMB147</t>
  </si>
  <si>
    <t>ARFCOMB148</t>
  </si>
  <si>
    <t>ARFCOMB149</t>
  </si>
  <si>
    <t>ARFCOMB150</t>
  </si>
  <si>
    <t>ARFCOMB151</t>
  </si>
  <si>
    <t>ARFCOMB152</t>
  </si>
  <si>
    <t>ARFCOMB153</t>
  </si>
  <si>
    <t>ARFCOMB154</t>
  </si>
  <si>
    <t>ARFCOMB155</t>
  </si>
  <si>
    <t>ARFCOMB156</t>
  </si>
  <si>
    <t>ARFCOMB157</t>
  </si>
  <si>
    <t>ARFCOMB158</t>
  </si>
  <si>
    <t>ARFCOMB159</t>
  </si>
  <si>
    <t>ARFCOMB160</t>
  </si>
  <si>
    <t>ARFCOMB161</t>
  </si>
  <si>
    <t>ARFCOMB162</t>
  </si>
  <si>
    <t>ARFCOMB163</t>
  </si>
  <si>
    <t>ARFCOMB164</t>
  </si>
  <si>
    <t>ARFCOMB165</t>
  </si>
  <si>
    <t>ARFCOMB166</t>
  </si>
  <si>
    <t>ARFCOMB167</t>
  </si>
  <si>
    <t>ARFCOMB168</t>
  </si>
  <si>
    <t>ARFCOMB169</t>
  </si>
  <si>
    <t>ARFCOMB170</t>
  </si>
  <si>
    <t>ARFCOMB171</t>
  </si>
  <si>
    <t>ARFCOMB172</t>
  </si>
  <si>
    <t>ARFCOMB173</t>
  </si>
  <si>
    <t>ARFCOMB174</t>
  </si>
  <si>
    <t>ARFCOMB175</t>
  </si>
  <si>
    <t>ARFCOMB176</t>
  </si>
  <si>
    <t>ARFCOMB177</t>
  </si>
  <si>
    <t>ARFCOMB178</t>
  </si>
  <si>
    <t>ARFCOMB179</t>
  </si>
  <si>
    <t>ARFCOMB180</t>
  </si>
  <si>
    <t>ARFCOMB181</t>
  </si>
  <si>
    <t>ARFCOMB182</t>
  </si>
  <si>
    <t>ARFCOMB183</t>
  </si>
  <si>
    <t>ARFCOMB184</t>
  </si>
  <si>
    <t>ARFCOMB185</t>
  </si>
  <si>
    <t>ARFCOMB186</t>
  </si>
  <si>
    <t>ARFCOMB187</t>
  </si>
  <si>
    <t>ARFCOMB188</t>
  </si>
  <si>
    <t>ARFCOMB189</t>
  </si>
  <si>
    <t>ARFCOMB190</t>
  </si>
  <si>
    <t>ARFCOMB191</t>
  </si>
  <si>
    <t>ARFCOMB192</t>
  </si>
  <si>
    <t>ARFCOMB193</t>
  </si>
  <si>
    <t>ARFCOMB194</t>
  </si>
  <si>
    <t>ARFCOMB195</t>
  </si>
  <si>
    <t>ARFCOMB196</t>
  </si>
  <si>
    <t>ARFCOMB197</t>
  </si>
  <si>
    <t>ARFCOMB198</t>
  </si>
  <si>
    <t>ARFCOMB199</t>
  </si>
  <si>
    <t>ARFCOMB200</t>
  </si>
  <si>
    <t>ARFCOMB201</t>
  </si>
  <si>
    <t>ARFCOMB202</t>
  </si>
  <si>
    <t>ARFCOMB203</t>
  </si>
  <si>
    <t>ARFCOMB204</t>
  </si>
  <si>
    <t>ARFCOMB205</t>
  </si>
  <si>
    <t>ARFCOMB206</t>
  </si>
  <si>
    <t>ARFCOMB207</t>
  </si>
  <si>
    <t>ARFCOMB208</t>
  </si>
  <si>
    <t>ARFCOMB209</t>
  </si>
  <si>
    <t>ARFCOMB210</t>
  </si>
  <si>
    <t>ARFCOMB211</t>
  </si>
  <si>
    <t>ARFCOMB212</t>
  </si>
  <si>
    <t>ARFCOMB213</t>
  </si>
  <si>
    <t>ARFCOMB214</t>
  </si>
  <si>
    <t>ARFCOMB215</t>
  </si>
  <si>
    <t>ARFCOMB216</t>
  </si>
  <si>
    <t>ARFCOMB217</t>
  </si>
  <si>
    <t>ARFCOMB218</t>
  </si>
  <si>
    <t>ARFCOMB219</t>
  </si>
  <si>
    <t>ARFCOMB220</t>
  </si>
  <si>
    <t>ARFCOMB221</t>
  </si>
  <si>
    <t>ARFCOMB222</t>
  </si>
  <si>
    <t>ARFCOMB223</t>
  </si>
  <si>
    <t>ARFCOMB224</t>
  </si>
  <si>
    <t>ARFCOMB225</t>
  </si>
  <si>
    <t>ARFCOMB226</t>
  </si>
  <si>
    <t>ARFCOMB227</t>
  </si>
  <si>
    <t>ARFCOMB228</t>
  </si>
  <si>
    <t>ARFCOMB229</t>
  </si>
  <si>
    <t>ARFCOMB230</t>
  </si>
  <si>
    <t>ARFCOMB231</t>
  </si>
  <si>
    <t>ARFCOMB232</t>
  </si>
  <si>
    <t>ARFCOMB233</t>
  </si>
  <si>
    <t>ARFCOMB234</t>
  </si>
  <si>
    <t>ARFCOMB235</t>
  </si>
  <si>
    <t>ARFCOMB236</t>
  </si>
  <si>
    <t>ARFCOMB237</t>
  </si>
  <si>
    <t>ARFCOMB238</t>
  </si>
  <si>
    <t>ARFCOMB239</t>
  </si>
  <si>
    <t>ARFCOMB240</t>
  </si>
  <si>
    <t>ARFCOMB241</t>
  </si>
  <si>
    <t>ARFCOMB242</t>
  </si>
  <si>
    <t>ARFCOMB243</t>
  </si>
  <si>
    <t>ARFCOMB244</t>
  </si>
  <si>
    <t>ARFCOMB245</t>
  </si>
  <si>
    <t>ARFCOMB246</t>
  </si>
  <si>
    <t>ARFCOMB247</t>
  </si>
  <si>
    <t>ARFCOMB248</t>
  </si>
  <si>
    <t>ARFCOMB249</t>
  </si>
  <si>
    <t>ARFCOMB250</t>
  </si>
  <si>
    <t>ARFCOMB251</t>
  </si>
  <si>
    <t>ARFCOMB252</t>
  </si>
  <si>
    <t>ARFCOMB253</t>
  </si>
  <si>
    <t>ARFCOMB254</t>
  </si>
  <si>
    <t>ARFCOMB255</t>
  </si>
  <si>
    <t>ARFCOMB256</t>
  </si>
  <si>
    <t>ARFCOMB257</t>
  </si>
  <si>
    <t>ARFCOMB258</t>
  </si>
  <si>
    <t>ARFCOMB259</t>
  </si>
  <si>
    <t>ARFCOMB260</t>
  </si>
  <si>
    <t>ARFCOMB261</t>
  </si>
  <si>
    <t>ARFCOMB262</t>
  </si>
  <si>
    <t>ARFCOMB263</t>
  </si>
  <si>
    <t>ARFCOMB264</t>
  </si>
  <si>
    <t>ARFCOMB265</t>
  </si>
  <si>
    <t>ARFCOMB266</t>
  </si>
  <si>
    <t>ARFCOMB267</t>
  </si>
  <si>
    <t>ARFCOMB268</t>
  </si>
  <si>
    <t>ARFCOMB269</t>
  </si>
  <si>
    <t>ARFCOMB270</t>
  </si>
  <si>
    <t>ARFCOMB271</t>
  </si>
  <si>
    <t>ARFCOMB272</t>
  </si>
  <si>
    <t>ARFCOMB273</t>
  </si>
  <si>
    <t>ARFCOMB274</t>
  </si>
  <si>
    <t>ARFCOMB275</t>
  </si>
  <si>
    <t>ARFCOMB276</t>
  </si>
  <si>
    <t>ARFCOMB277</t>
  </si>
  <si>
    <t>ARFCOMB278</t>
  </si>
  <si>
    <t>ARFCOMB279</t>
  </si>
  <si>
    <t>ARFCOMB280</t>
  </si>
  <si>
    <t>ARFCOMB281</t>
  </si>
  <si>
    <t>ARFCOMB282</t>
  </si>
  <si>
    <t>ARFCOMB283</t>
  </si>
  <si>
    <t>ARFCOMB284</t>
  </si>
  <si>
    <t>ARFCOMB285</t>
  </si>
  <si>
    <t>ARFCOMB286</t>
  </si>
  <si>
    <t>ARFCOMB287</t>
  </si>
  <si>
    <t>ARFCOMB288</t>
  </si>
  <si>
    <t>ARFCOMB289</t>
  </si>
  <si>
    <t>ARFCOMB290</t>
  </si>
  <si>
    <t>ARFCOMB291</t>
  </si>
  <si>
    <t>ARFCOMB292</t>
  </si>
  <si>
    <t>ARFCOMB293</t>
  </si>
  <si>
    <t>ARFCOMB294</t>
  </si>
  <si>
    <t>ARFCOMB295</t>
  </si>
  <si>
    <t>ARFCOMB296</t>
  </si>
  <si>
    <t>ARFCOMB297</t>
  </si>
  <si>
    <t>ARFCOMB298</t>
  </si>
  <si>
    <t>ARFCOMB299</t>
  </si>
  <si>
    <t>ARFCOMB300</t>
  </si>
  <si>
    <t>ARFCOMB301</t>
  </si>
  <si>
    <t>ARFCOMB302</t>
  </si>
  <si>
    <t>ARFCOMB303</t>
  </si>
  <si>
    <t>ARFCOMB304</t>
  </si>
  <si>
    <t>ARFCOMB305</t>
  </si>
  <si>
    <t>ARFCOMB306</t>
  </si>
  <si>
    <t>ARFCOMB307</t>
  </si>
  <si>
    <t>ARFCOMB308</t>
  </si>
  <si>
    <t>ARFCOMB309</t>
  </si>
  <si>
    <t>TUBE ID</t>
  </si>
  <si>
    <t>NEW RUN ID</t>
  </si>
  <si>
    <t>OLD INITIAL RUN ID</t>
  </si>
  <si>
    <t>TUBE ID SOURCE CODE</t>
  </si>
  <si>
    <t>TUBE RESULT CODE</t>
  </si>
  <si>
    <t>NUM RXNS (for tube in complete session)</t>
  </si>
  <si>
    <t>TUBE RESULT NOTES</t>
  </si>
  <si>
    <t>RUN INDEX</t>
  </si>
  <si>
    <t>UNIQUE RUN ID</t>
  </si>
  <si>
    <t>COUNT CHECK</t>
  </si>
  <si>
    <t>WHOLE TAB MUST BE SORTED BY INITIAL RUN ID FOR THIS TO WORK MUST REMEMBER TO PASTE RUN IDS AS VALUES FIRST</t>
  </si>
  <si>
    <t>R_COMB-001</t>
  </si>
  <si>
    <t>Appivo has no positives. Will need to clear up in reconcilliation</t>
  </si>
  <si>
    <t>R_COMB-002</t>
  </si>
  <si>
    <t>R_COMB-004</t>
  </si>
  <si>
    <t>R_COMB-018</t>
  </si>
  <si>
    <t>re ran in hex</t>
  </si>
  <si>
    <t>R_COMB-022</t>
  </si>
  <si>
    <t>FM4056</t>
  </si>
  <si>
    <t>R_COMB-025</t>
  </si>
  <si>
    <t>FM4123</t>
  </si>
  <si>
    <t>R_COMB-028</t>
  </si>
  <si>
    <t>R_COMB-032</t>
  </si>
  <si>
    <t>FM4141</t>
  </si>
  <si>
    <t>R_COMB-034</t>
  </si>
  <si>
    <t>R_COMB-045</t>
  </si>
  <si>
    <t>R_COMB-052</t>
  </si>
  <si>
    <t>R_COMB-056</t>
  </si>
  <si>
    <t>R_COMB-060</t>
  </si>
  <si>
    <t>R_COMB-061</t>
  </si>
  <si>
    <t>R_COMB-063</t>
  </si>
  <si>
    <t>R_COMB-066</t>
  </si>
  <si>
    <t>R_COMB-068</t>
  </si>
  <si>
    <t>R_COMB-070</t>
  </si>
  <si>
    <t>R_COMB-072</t>
  </si>
  <si>
    <t>R_COMB-080</t>
  </si>
  <si>
    <t>R_COMB-082</t>
  </si>
  <si>
    <t>R_COMB-085</t>
  </si>
  <si>
    <t>R_COMB-088</t>
  </si>
  <si>
    <t>R_COMB-092</t>
  </si>
  <si>
    <t>COMB</t>
  </si>
  <si>
    <t>SETUP</t>
  </si>
  <si>
    <t>Loom Video Link</t>
  </si>
  <si>
    <t>Run Types</t>
  </si>
  <si>
    <t>Results</t>
  </si>
  <si>
    <t>Tube Result Codes</t>
  </si>
  <si>
    <t>Session</t>
  </si>
  <si>
    <t>Rerun 1</t>
  </si>
  <si>
    <t>Rerun 2</t>
  </si>
  <si>
    <t>Make a copy of the RFR audit Template and name it the appropriate file name in the deployment folder: &lt;PRGMCODE&gt;_RFR_&lt;YYYY_MM_DD&gt;_CDwPHI_WIP</t>
  </si>
  <si>
    <t>Absent</t>
  </si>
  <si>
    <t>Pos</t>
  </si>
  <si>
    <t>N</t>
  </si>
  <si>
    <t>no rerun</t>
  </si>
  <si>
    <t>N N - no rerun</t>
  </si>
  <si>
    <t xml:space="preserve">Copy and paste the raw data into the template. </t>
  </si>
  <si>
    <t>Initials/First Letters</t>
  </si>
  <si>
    <t>Neg</t>
  </si>
  <si>
    <t>N - all reruns N (initial miscalled I, audited to N)</t>
  </si>
  <si>
    <t>Only paste the from the first entry down, preserving the headers in the template</t>
  </si>
  <si>
    <t>First Names</t>
  </si>
  <si>
    <t>Inc</t>
  </si>
  <si>
    <t>I N - all reruns N</t>
  </si>
  <si>
    <t>Update below with the 4 character program label (for run ID generation)</t>
  </si>
  <si>
    <t>Full Names</t>
  </si>
  <si>
    <t>Invalid</t>
  </si>
  <si>
    <t>I N - one I</t>
  </si>
  <si>
    <t>Program Code:</t>
  </si>
  <si>
    <t>Tube ID's</t>
  </si>
  <si>
    <t>I/N/P</t>
  </si>
  <si>
    <t>I N -1st rerun any, 2nd rerun all N</t>
  </si>
  <si>
    <t>Results Included</t>
  </si>
  <si>
    <t>I N N</t>
  </si>
  <si>
    <t>FOR EACH ROW</t>
  </si>
  <si>
    <t>Tube ID's and Results</t>
  </si>
  <si>
    <t>non-triplicate I/N/P rerun</t>
  </si>
  <si>
    <t>Open the Run Form Image and eval for combined entries needing splitting</t>
  </si>
  <si>
    <t>I I - no rerun</t>
  </si>
  <si>
    <t>If rerun is mentioned in notes but subsequent runs are not logged, split the run</t>
  </si>
  <si>
    <t>no interact w new tube code</t>
  </si>
  <si>
    <t>I/N</t>
  </si>
  <si>
    <t>I I -  any mix of I/N</t>
  </si>
  <si>
    <t>Eval for any apparent required flags (Invalid Run, Split Run, Is/Has Rerun)</t>
  </si>
  <si>
    <t>Previous</t>
  </si>
  <si>
    <t>RFR Exclude Code</t>
  </si>
  <si>
    <t>Reason</t>
  </si>
  <si>
    <t>Gform - Num Samples incorrect or missing</t>
  </si>
  <si>
    <t>I I - any P</t>
  </si>
  <si>
    <t>Complete Run Form section with information from the image</t>
  </si>
  <si>
    <t>Date Not In Range</t>
  </si>
  <si>
    <t>RunForm - Num Rxns incl cntrl incorrect or missing</t>
  </si>
  <si>
    <t>I I - any 2 reruns</t>
  </si>
  <si>
    <t>If Tube IDs written in RForm Notes, then check to see if it exists in APS and matches date</t>
  </si>
  <si>
    <t>Note Indicates Test</t>
  </si>
  <si>
    <t>Gform - Incorrect Date or missing</t>
  </si>
  <si>
    <t>I P - any</t>
  </si>
  <si>
    <t>If it's not then enter it in Tube Result Table Draft and assign Tube ID Source Code 2.2</t>
  </si>
  <si>
    <t>Email Indicates Test</t>
  </si>
  <si>
    <t>RunForm - Incorrect Date or missing</t>
  </si>
  <si>
    <t>I P - any 2 reruns</t>
  </si>
  <si>
    <t xml:space="preserve">Open the Results Image and fill in the Results section </t>
  </si>
  <si>
    <t>Duplicate Entry</t>
  </si>
  <si>
    <t>Extra pink rxn in image, conclude empty</t>
  </si>
  <si>
    <t>P N - all N</t>
  </si>
  <si>
    <t>If the calculated results from the inc run calls is a non integer, or is marked as needing correction, rectify using results image</t>
  </si>
  <si>
    <t>Development Run</t>
  </si>
  <si>
    <t>Tubes from GForm or RunForm not in Appivo</t>
  </si>
  <si>
    <t>P I - any</t>
  </si>
  <si>
    <t>Eval for any apparent required flags (RFR Misc Correct Code, RFR Results Correct Code, RFR Correct Notes)</t>
  </si>
  <si>
    <t>Contrived Positive / Validation Run</t>
  </si>
  <si>
    <t>Number of control rxns not definitive</t>
  </si>
  <si>
    <t>P I - any 2 reruns</t>
  </si>
  <si>
    <t>Eval for needed splits</t>
  </si>
  <si>
    <t>Non standard run (add note)</t>
  </si>
  <si>
    <t>Combination of multiple, use RFR Correct Notes</t>
  </si>
  <si>
    <t>P P - no rerun</t>
  </si>
  <si>
    <t>Extra reactions off to side are a red flag for a combined entry</t>
  </si>
  <si>
    <t>Invalid run from control fail (add note)</t>
  </si>
  <si>
    <t>No Run Form Photo or no Result Photo</t>
  </si>
  <si>
    <t>P P - all P</t>
  </si>
  <si>
    <t>Situations with improper reruns are common, use best judgement to asess what took place</t>
  </si>
  <si>
    <t>Other (add note)</t>
  </si>
  <si>
    <t>1.X</t>
  </si>
  <si>
    <t>add for any others</t>
  </si>
  <si>
    <t>non-3 replicates all P</t>
  </si>
  <si>
    <t>Assign Run Code based on info from Run Form Image and Results Image (and accompanying initial/rerun, if applicable)</t>
  </si>
  <si>
    <t>P P - one I</t>
  </si>
  <si>
    <t>Open the Lookup map if not absent, mark as "Complete" if completely filled in with tube ID's, otherwise mark as "Incomplete"</t>
  </si>
  <si>
    <t>GForm InitIncl I -&gt; N</t>
  </si>
  <si>
    <t>P P - one N</t>
  </si>
  <si>
    <t>Refer below for Data Table creation instructions</t>
  </si>
  <si>
    <t>GForm InitIncl I -&gt; P</t>
  </si>
  <si>
    <t>P P - any other</t>
  </si>
  <si>
    <t>GForm InitIncl N -&gt; I</t>
  </si>
  <si>
    <t>Trip P</t>
  </si>
  <si>
    <t>SPLITTING A RUN</t>
  </si>
  <si>
    <t>GForm InitIncl P -&gt; I</t>
  </si>
  <si>
    <t>Insert a row below and copy/paste its parent row</t>
  </si>
  <si>
    <t>RFR Run Code</t>
  </si>
  <si>
    <t>Definition (Auditied unless says otherwise)</t>
  </si>
  <si>
    <t>GForm InitIncl N -&gt; P</t>
  </si>
  <si>
    <t>OTHER</t>
  </si>
  <si>
    <t xml:space="preserve">Fix Images, Note, Initial inconclusives, and Number of Samples </t>
  </si>
  <si>
    <t>All Neg</t>
  </si>
  <si>
    <t>GForm InitIncl P -&gt; N</t>
  </si>
  <si>
    <t>Mark as a split run, select Run Type = Re-run (if case)</t>
  </si>
  <si>
    <t>Initial Inconcl, No rerun</t>
  </si>
  <si>
    <t>Notes ...</t>
  </si>
  <si>
    <t>Audit each row as a separate run, splitting according to the available information and your best judgement
(Increment rerun time by 1 hour)</t>
  </si>
  <si>
    <t>Initial Inconcl, All rerun rxn are neg</t>
  </si>
  <si>
    <t>Both ...</t>
  </si>
  <si>
    <t>Verify that parent and child rows have independent, correct data</t>
  </si>
  <si>
    <t>Initial Inconcl, one or more rerun rxn inconcl but no pos</t>
  </si>
  <si>
    <t xml:space="preserve">Invalid - Control Fail </t>
  </si>
  <si>
    <t>Initial Inconcl, one or more rerun rxn pos</t>
  </si>
  <si>
    <t>Invalid - specify in RFR Audit Notes</t>
  </si>
  <si>
    <t>TUBE RESULT TABLE DRAFT CREATION (add to table with each row in RFR audit)</t>
  </si>
  <si>
    <t>Only initial run in triplicate, 1 I 2N</t>
  </si>
  <si>
    <t>Other - enter notes</t>
  </si>
  <si>
    <t>Tube ID Source Code</t>
  </si>
  <si>
    <t>Add one entry for each tube that matches the criteria for inclusion in the Reaction Table Draft (for more detailed criteria see Data Notes)</t>
  </si>
  <si>
    <t>Inconclusive session call</t>
  </si>
  <si>
    <r>
      <rPr>
        <rFont val="Arial"/>
        <b/>
        <color theme="1"/>
        <sz val="11.0"/>
      </rPr>
      <t xml:space="preserve">RFR Audit Code Notes </t>
    </r>
    <r>
      <rPr>
        <rFont val="Arial"/>
        <b val="0"/>
        <color theme="1"/>
        <sz val="11.0"/>
      </rPr>
      <t>(a col used for both)</t>
    </r>
  </si>
  <si>
    <t>APS</t>
  </si>
  <si>
    <r>
      <rPr>
        <rFont val="Arial"/>
        <color theme="1"/>
      </rPr>
      <t xml:space="preserve">Enter </t>
    </r>
    <r>
      <rPr>
        <rFont val="Arial"/>
        <b/>
        <color theme="1"/>
      </rPr>
      <t>Tube ID, Initial Run ID, Tube ID Source Code, Tube Result Code, Num Rxns (for that tube in that session), Tube Result Notes</t>
    </r>
  </si>
  <si>
    <t>Positive run call (anywhere in session)</t>
  </si>
  <si>
    <t>RForm LUM</t>
  </si>
  <si>
    <t xml:space="preserve">Invalid </t>
  </si>
  <si>
    <t>RForm Notes</t>
  </si>
  <si>
    <t>REACTION TABLE DRAFT CREATION (either with each row or after RFR audit is complete)</t>
  </si>
  <si>
    <t>Highest non 5 (invalid) code is assigned</t>
  </si>
  <si>
    <t>GForm Notes</t>
  </si>
  <si>
    <t>Add one entry for each reaction for which anywhere in the re-run chain exists a valid positive or inconclusive result by the original call or audit call (for more detailed criteria see Data Notes)</t>
  </si>
  <si>
    <t>Give all Code Types unique names</t>
  </si>
  <si>
    <t>RTR</t>
  </si>
  <si>
    <t>PREVIOUS</t>
  </si>
  <si>
    <t>Unknown - assigned</t>
  </si>
  <si>
    <r>
      <rPr>
        <rFont val="Arial"/>
        <color theme="1"/>
        <sz val="11.0"/>
      </rPr>
      <t xml:space="preserve">Copy and paste the </t>
    </r>
    <r>
      <rPr>
        <rFont val="Arial"/>
        <b/>
        <color theme="1"/>
        <sz val="11.0"/>
      </rPr>
      <t>Run ID</t>
    </r>
  </si>
  <si>
    <t>Run Code (only assign for initial run) all audited</t>
  </si>
  <si>
    <t>Rxn Table Code</t>
  </si>
  <si>
    <t>Definition</t>
  </si>
  <si>
    <r>
      <rPr>
        <rFont val="Arial"/>
        <b/>
        <color theme="1"/>
        <sz val="11.0"/>
      </rPr>
      <t>Reaction ID</t>
    </r>
    <r>
      <rPr>
        <rFont val="Arial"/>
        <b/>
        <color theme="1"/>
        <sz val="11.0"/>
      </rPr>
      <t xml:space="preserve"> is generated automatically, </t>
    </r>
    <r>
      <rPr>
        <rFont val="Arial"/>
        <b/>
        <color theme="1"/>
        <sz val="11.0"/>
      </rPr>
      <t>Run Type</t>
    </r>
    <r>
      <rPr>
        <rFont val="Arial"/>
        <b/>
        <color theme="1"/>
        <sz val="11.0"/>
      </rPr>
      <t xml:space="preserve"> is matched from RFR</t>
    </r>
  </si>
  <si>
    <t>All Negative</t>
  </si>
  <si>
    <t>no rxns added to rxn table for that run</t>
  </si>
  <si>
    <r>
      <rPr>
        <rFont val="Arial"/>
        <color theme="1"/>
        <sz val="11.0"/>
      </rPr>
      <t>Enter or verify the</t>
    </r>
    <r>
      <rPr>
        <rFont val="Arial"/>
        <b/>
        <color theme="1"/>
        <sz val="11.0"/>
      </rPr>
      <t xml:space="preserve"> Audit Reaction Result</t>
    </r>
    <r>
      <rPr>
        <rFont val="Arial"/>
        <color theme="1"/>
        <sz val="11.0"/>
      </rPr>
      <t xml:space="preserve">, </t>
    </r>
    <r>
      <rPr>
        <rFont val="Arial"/>
        <b/>
        <color theme="1"/>
        <sz val="11.0"/>
      </rPr>
      <t>Audit Run Call Result</t>
    </r>
    <r>
      <rPr>
        <rFont val="Arial"/>
        <color theme="1"/>
        <sz val="11.0"/>
      </rPr>
      <t xml:space="preserve">, and </t>
    </r>
    <r>
      <rPr>
        <rFont val="Arial"/>
        <b/>
        <color theme="1"/>
        <sz val="11.0"/>
      </rPr>
      <t>Audit Session Call Result</t>
    </r>
    <r>
      <rPr>
        <rFont val="Arial"/>
        <color theme="1"/>
        <sz val="11.0"/>
      </rPr>
      <t xml:space="preserve"> as follows: </t>
    </r>
  </si>
  <si>
    <t>Initial Inconclusive, Negative after rerun(s)</t>
  </si>
  <si>
    <t>is/has rerun, no corrected call</t>
  </si>
  <si>
    <t>Reaction Result is made on the individual-tube basis and is judged from the final color of the reaction in that tube</t>
  </si>
  <si>
    <t>one or more rerun rxn inconcl but no pos</t>
  </si>
  <si>
    <r>
      <rPr>
        <rFont val="Arial"/>
        <b/>
        <color theme="1"/>
        <sz val="11.0"/>
      </rPr>
      <t>Run Call Result</t>
    </r>
    <r>
      <rPr>
        <rFont val="Arial"/>
        <b/>
        <color theme="1"/>
        <sz val="11.0"/>
      </rPr>
      <t xml:space="preserve"> for a reaction = </t>
    </r>
    <r>
      <rPr>
        <rFont val="Arial"/>
        <b/>
        <color theme="1"/>
        <sz val="11.0"/>
      </rPr>
      <t xml:space="preserve">Run Call Result </t>
    </r>
    <r>
      <rPr>
        <rFont val="Arial"/>
        <b/>
        <color theme="1"/>
        <sz val="11.0"/>
      </rPr>
      <t>for its respective tube in that run - This value is auto-generated and should be verified</t>
    </r>
  </si>
  <si>
    <t>Incorrect date</t>
  </si>
  <si>
    <t>initial run (with no rerun) call that is pos, inconcl, invalid (not corrected)</t>
  </si>
  <si>
    <r>
      <rPr>
        <rFont val="Arial"/>
        <b/>
        <color theme="1"/>
        <sz val="11.0"/>
      </rPr>
      <t>Session Call Result</t>
    </r>
    <r>
      <rPr>
        <rFont val="Arial"/>
        <b/>
        <color theme="1"/>
        <sz val="11.0"/>
      </rPr>
      <t xml:space="preserve"> for a reaction  = </t>
    </r>
    <r>
      <rPr>
        <rFont val="Arial"/>
        <b/>
        <color theme="1"/>
        <sz val="11.0"/>
      </rPr>
      <t>Session Call Result</t>
    </r>
    <r>
      <rPr>
        <rFont val="Arial"/>
        <b/>
        <color theme="1"/>
        <sz val="11.0"/>
      </rPr>
      <t xml:space="preserve"> for its respective tube in that session</t>
    </r>
  </si>
  <si>
    <t>Inconclusive run call</t>
  </si>
  <si>
    <t>has corrected call - have corrected code</t>
  </si>
  <si>
    <r>
      <rPr>
        <rFont val="Arial"/>
        <color theme="1"/>
        <sz val="11.0"/>
      </rPr>
      <t xml:space="preserve">For any runs with </t>
    </r>
    <r>
      <rPr>
        <rFont val="Arial"/>
        <b/>
        <color theme="1"/>
        <sz val="11.0"/>
      </rPr>
      <t>Enter Tube ID from LUM?</t>
    </r>
    <r>
      <rPr>
        <rFont val="Arial"/>
        <color theme="1"/>
        <sz val="11.0"/>
      </rPr>
      <t xml:space="preserve"> = TRUE, read the file and add the </t>
    </r>
    <r>
      <rPr>
        <rFont val="Arial"/>
        <b/>
        <color theme="1"/>
        <sz val="11.0"/>
      </rPr>
      <t>Tube IDs</t>
    </r>
    <r>
      <rPr>
        <rFont val="Arial"/>
        <color theme="1"/>
        <sz val="11.0"/>
      </rPr>
      <t xml:space="preserve"> to their respective reactions</t>
    </r>
  </si>
  <si>
    <r>
      <rPr>
        <rFont val="Arial"/>
        <color theme="1"/>
        <sz val="11.0"/>
      </rPr>
      <t xml:space="preserve">Positive call in any individual reaction </t>
    </r>
    <r>
      <rPr>
        <rFont val="Arial"/>
        <color rgb="FF980000"/>
        <sz val="11.0"/>
      </rPr>
      <t>but no positive run call</t>
    </r>
  </si>
  <si>
    <r>
      <rPr>
        <rFont val="Arial"/>
        <color theme="1"/>
        <sz val="11.0"/>
      </rPr>
      <t xml:space="preserve">If LUM is incomplete, use </t>
    </r>
    <r>
      <rPr>
        <rFont val="Arial"/>
        <b/>
        <color theme="1"/>
        <sz val="11.0"/>
      </rPr>
      <t>Note</t>
    </r>
    <r>
      <rPr>
        <rFont val="Arial"/>
        <color theme="1"/>
        <sz val="11.0"/>
      </rPr>
      <t xml:space="preserve"> field to add whatever identifying information is avalible </t>
    </r>
  </si>
  <si>
    <t>Positive run call, audited</t>
  </si>
  <si>
    <t>For Unknown Tube IDs w reruns, apply the same Unknown Tube ID to rerun rxns as initial rxns by referencing the rerun rxn cells in “Index Unknown Tube ID”</t>
  </si>
  <si>
    <t>OLD VERSION _ KEEP FOR BIT FOR REF</t>
  </si>
  <si>
    <t>CREATE CD RFR, MOVE COPY TO MAIN &gt; DATA</t>
  </si>
  <si>
    <t>Duplicate the "Corrected RFR Data - preDel" tab, name as "Corrected RFR Data - postDel", delete marked rows</t>
  </si>
  <si>
    <t>Copy/paste column data AS VALUES from the "Corrected RFR Data - postDel" tab to the respective columns of the "CD RFR" tab</t>
  </si>
  <si>
    <t>De-identify any PHI from the Notes columns using the DeID Key from the APS/APT CD files from the same deployment</t>
  </si>
  <si>
    <r>
      <rPr>
        <rFont val="Arial"/>
        <color theme="1"/>
        <sz val="11.0"/>
      </rPr>
      <t xml:space="preserve">Check Notes Collumns for PII, Replace with </t>
    </r>
    <r>
      <rPr>
        <rFont val="Arial"/>
        <b/>
        <color theme="1"/>
        <sz val="11.0"/>
      </rPr>
      <t xml:space="preserve">Person ID </t>
    </r>
    <r>
      <rPr>
        <rFont val="Arial"/>
        <color theme="1"/>
        <sz val="11.0"/>
      </rPr>
      <t>from the APS DEID key. For "Johns family", us "Person ID Family"</t>
    </r>
  </si>
  <si>
    <t>Move a copy of the CD RFR tab to a new Gsheet in the deployment's deidentified Data folder</t>
  </si>
  <si>
    <r>
      <rPr>
        <rFont val="Arial"/>
        <color theme="1"/>
        <sz val="11.0"/>
      </rPr>
      <t xml:space="preserve">Copy/paste the Reaction Table Draft into a second tab of the CD RFR file in the Data folder - paste </t>
    </r>
    <r>
      <rPr>
        <rFont val="Arial"/>
        <i/>
        <color theme="1"/>
        <sz val="11.0"/>
      </rPr>
      <t>AS VALUES</t>
    </r>
  </si>
  <si>
    <t>RFR Back Propogation v2 from v1</t>
  </si>
  <si>
    <t>Setup</t>
  </si>
  <si>
    <t>Make a new copy of the template and add “-V2” at the end of the copy as you move it next to the old version.</t>
  </si>
  <si>
    <t>Copy and paste the only data in segments that are unseperated by new or deleted columns</t>
  </si>
  <si>
    <t>Paste the run code into the run code header (Even though it’s ben redefined)</t>
  </si>
  <si>
    <t>Paste the old correction codes into the correction notes, where you can extract and re assign them later.</t>
  </si>
  <si>
    <t>Set the timestamps of all the rows as pale blue</t>
  </si>
  <si>
    <t>Per Row</t>
  </si>
  <si>
    <t>Assign new correction codes and notes from old codes located in the notes field</t>
  </si>
  <si>
    <t>Assign the new run code according to the updated definitions</t>
  </si>
  <si>
    <t>Determine and assign the # of Tubes added to Tube Result Table for each row with “Audit” in that column</t>
  </si>
  <si>
    <t>Create the required Tube Result Table rows</t>
  </si>
  <si>
    <t>Mark the row as pale green once complete.</t>
  </si>
  <si>
    <t>Add initials and date to far right column</t>
  </si>
  <si>
    <t>DO NOT USE LOOKUP AS WITH BEND - use codes in Run Reconcile Tab - column Tube Run Count Reconcile Code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</si>
</sst>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0.0%"/>
    <numFmt numFmtId="166" formatCode="h:mm am/pm"/>
    <numFmt numFmtId="167" formatCode="m/d/yyyy h:mm:ss"/>
    <numFmt numFmtId="168" formatCode="0.0"/>
    <numFmt numFmtId="169" formatCode="mm&quot;/&quot;dd&quot;/&quot;yyyy"/>
  </numFmts>
  <fonts count="27">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b/>
      <color rgb="FFFFFFFF"/>
      <name val="Arial"/>
    </font>
    <font>
      <u/>
      <color rgb="FF1155CC"/>
      <name val="Arial"/>
    </font>
    <font>
      <u/>
      <color rgb="FF1155CC"/>
      <name val="Arial"/>
    </font>
    <font>
      <sz val="10.0"/>
      <color theme="1"/>
      <name val="Arial"/>
    </font>
    <font>
      <u/>
      <color rgb="FF0000FF"/>
      <name val="Arial"/>
    </font>
    <font>
      <b/>
      <i/>
      <color theme="1"/>
      <name val="Arial"/>
    </font>
    <font>
      <u/>
      <color rgb="FF1155CC"/>
      <name val="Arial"/>
    </font>
    <font>
      <b/>
      <sz val="14.0"/>
      <color rgb="FFFFFFFF"/>
      <name val="Arial"/>
    </font>
    <font>
      <b/>
      <color rgb="FFFF0000"/>
      <name val="Arial"/>
      <scheme val="minor"/>
    </font>
    <font>
      <b/>
      <sz val="14.0"/>
      <color theme="1"/>
      <name val="Arial"/>
    </font>
    <font>
      <color rgb="FF000000"/>
      <name val="Arial"/>
    </font>
    <font>
      <b/>
      <sz val="11.0"/>
      <color theme="1"/>
      <name val="Arial"/>
    </font>
    <font/>
    <font>
      <sz val="11.0"/>
      <color theme="1"/>
      <name val="Arial"/>
    </font>
    <font>
      <sz val="11.0"/>
      <color theme="1"/>
      <name val="Arial"/>
      <scheme val="minor"/>
    </font>
    <font>
      <i/>
      <sz val="11.0"/>
      <color theme="1"/>
      <name val="Arial"/>
    </font>
    <font>
      <sz val="11.0"/>
      <color rgb="FF000000"/>
      <name val="Arial"/>
    </font>
    <font>
      <color rgb="FFFF0000"/>
      <name val="Arial"/>
    </font>
    <font>
      <b/>
      <sz val="14.0"/>
      <color rgb="FFFF0000"/>
      <name val="Arial"/>
    </font>
    <font>
      <b/>
      <u/>
      <sz val="12.0"/>
      <color rgb="FF000000"/>
      <name val="Arial"/>
    </font>
    <font>
      <b/>
      <sz val="11.0"/>
      <color rgb="FF000000"/>
      <name val="Arial"/>
    </font>
  </fonts>
  <fills count="32">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C27BA0"/>
        <bgColor rgb="FFC27BA0"/>
      </patternFill>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
      <patternFill patternType="solid">
        <fgColor rgb="FFFF0000"/>
        <bgColor rgb="FFFF0000"/>
      </patternFill>
    </fill>
    <fill>
      <patternFill patternType="solid">
        <fgColor rgb="FFFF00FF"/>
        <bgColor rgb="FFFF00FF"/>
      </patternFill>
    </fill>
    <fill>
      <patternFill patternType="solid">
        <fgColor rgb="FFE06666"/>
        <bgColor rgb="FFE06666"/>
      </patternFill>
    </fill>
    <fill>
      <patternFill patternType="solid">
        <fgColor rgb="FF00FFFF"/>
        <bgColor rgb="FF00FFFF"/>
      </patternFill>
    </fill>
    <fill>
      <patternFill patternType="solid">
        <fgColor theme="8"/>
        <bgColor theme="8"/>
      </patternFill>
    </fill>
    <fill>
      <patternFill patternType="solid">
        <fgColor rgb="FF4A86E8"/>
        <bgColor rgb="FF4A86E8"/>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FF9900"/>
        <bgColor rgb="FFFF9900"/>
      </patternFill>
    </fill>
    <fill>
      <patternFill patternType="solid">
        <fgColor rgb="FF9900FF"/>
        <bgColor rgb="FF9900FF"/>
      </patternFill>
    </fill>
    <fill>
      <patternFill patternType="solid">
        <fgColor rgb="FF6D9EEB"/>
        <bgColor rgb="FF6D9EEB"/>
      </patternFill>
    </fill>
    <fill>
      <patternFill patternType="solid">
        <fgColor rgb="FFFFF2CC"/>
        <bgColor rgb="FFFFF2CC"/>
      </patternFill>
    </fill>
    <fill>
      <patternFill patternType="solid">
        <fgColor rgb="FFD9D9D9"/>
        <bgColor rgb="FFD9D9D9"/>
      </patternFill>
    </fill>
  </fills>
  <borders count="2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ck">
        <color rgb="FF000000"/>
      </top>
    </border>
    <border>
      <right style="medium">
        <color rgb="FF000000"/>
      </right>
    </border>
    <border>
      <right style="thick">
        <color rgb="FF000000"/>
      </right>
    </border>
    <border>
      <left style="thick">
        <color rgb="FF000000"/>
      </left>
    </border>
    <border>
      <bottom style="thin">
        <color rgb="FF000000"/>
      </bottom>
    </border>
    <border>
      <right style="thin">
        <color rgb="FF000000"/>
      </right>
    </border>
    <border>
      <right style="thin">
        <color rgb="FF000000"/>
      </right>
      <bottom style="thin">
        <color rgb="FF000000"/>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right style="thin">
        <color rgb="FF999999"/>
      </right>
    </border>
    <border>
      <right style="thin">
        <color rgb="FF999999"/>
      </right>
      <bottom style="thin">
        <color rgb="FF999999"/>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top style="thin">
        <color rgb="FF000000"/>
      </top>
      <bottom style="thin">
        <color rgb="FF000000"/>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0" fillId="3" fontId="2" numFmtId="0" xfId="0" applyAlignment="1" applyFont="1">
      <alignment shrinkToFit="0" vertical="bottom" wrapText="1"/>
    </xf>
    <xf borderId="0" fillId="0" fontId="1" numFmtId="0" xfId="0" applyAlignment="1" applyFont="1">
      <alignment shrinkToFit="0" wrapText="1"/>
    </xf>
    <xf borderId="0" fillId="0" fontId="3" numFmtId="0" xfId="0" applyFont="1"/>
    <xf borderId="0" fillId="3" fontId="3" numFmtId="164" xfId="0" applyFont="1" applyNumberFormat="1"/>
    <xf borderId="0" fillId="2" fontId="3" numFmtId="164" xfId="0" applyFont="1" applyNumberFormat="1"/>
    <xf borderId="0" fillId="2" fontId="3" numFmtId="21" xfId="0" applyFont="1" applyNumberFormat="1"/>
    <xf borderId="0" fillId="2" fontId="4" numFmtId="0" xfId="0" applyAlignment="1" applyFont="1">
      <alignment horizontal="right" vertical="bottom"/>
    </xf>
    <xf borderId="0" fillId="0" fontId="3" numFmtId="164" xfId="0" applyFont="1" applyNumberFormat="1"/>
    <xf borderId="0" fillId="0" fontId="3" numFmtId="21" xfId="0" applyFont="1" applyNumberFormat="1"/>
    <xf borderId="0" fillId="4" fontId="3" numFmtId="0" xfId="0" applyFont="1"/>
    <xf borderId="0" fillId="0" fontId="1" numFmtId="0" xfId="0" applyAlignment="1" applyFont="1">
      <alignment readingOrder="0" shrinkToFit="0" wrapText="1"/>
    </xf>
    <xf borderId="0" fillId="0" fontId="2" numFmtId="0" xfId="0" applyAlignment="1" applyFont="1">
      <alignment shrinkToFit="0" vertical="bottom" wrapText="1"/>
    </xf>
    <xf borderId="0" fillId="5" fontId="3" numFmtId="164" xfId="0" applyFill="1" applyFont="1" applyNumberFormat="1"/>
    <xf borderId="0" fillId="6" fontId="3" numFmtId="164" xfId="0" applyFill="1" applyFont="1" applyNumberFormat="1"/>
    <xf borderId="0" fillId="3" fontId="4" numFmtId="0" xfId="0" applyAlignment="1" applyFont="1">
      <alignment horizontal="right" vertical="bottom"/>
    </xf>
    <xf borderId="0" fillId="3" fontId="3" numFmtId="0" xfId="0" applyFont="1"/>
    <xf borderId="0" fillId="3" fontId="3" numFmtId="165" xfId="0" applyFont="1" applyNumberFormat="1"/>
    <xf borderId="0" fillId="7" fontId="3" numFmtId="164" xfId="0" applyFill="1" applyFont="1" applyNumberFormat="1"/>
    <xf borderId="0" fillId="8" fontId="1" numFmtId="0" xfId="0" applyAlignment="1" applyFill="1" applyFont="1">
      <alignment readingOrder="0" shrinkToFit="0" wrapText="1"/>
    </xf>
    <xf borderId="0" fillId="8" fontId="1" numFmtId="0" xfId="0" applyAlignment="1" applyFont="1">
      <alignment horizontal="center"/>
    </xf>
    <xf borderId="0" fillId="9" fontId="1" numFmtId="0" xfId="0" applyAlignment="1" applyFill="1" applyFont="1">
      <alignment readingOrder="0"/>
    </xf>
    <xf borderId="0" fillId="10" fontId="1" numFmtId="0" xfId="0" applyAlignment="1" applyFill="1" applyFont="1">
      <alignment readingOrder="0"/>
    </xf>
    <xf borderId="0" fillId="10" fontId="1" numFmtId="0" xfId="0" applyAlignment="1" applyFont="1">
      <alignment readingOrder="0" shrinkToFit="0" wrapText="1"/>
    </xf>
    <xf borderId="0" fillId="10" fontId="1" numFmtId="0" xfId="0" applyAlignment="1" applyFont="1">
      <alignment horizontal="center"/>
    </xf>
    <xf borderId="0" fillId="10" fontId="2" numFmtId="0" xfId="0" applyAlignment="1" applyFont="1">
      <alignment horizontal="center" vertical="bottom"/>
    </xf>
    <xf borderId="0" fillId="9" fontId="5" numFmtId="0" xfId="0" applyAlignment="1" applyFont="1">
      <alignment horizontal="left" readingOrder="0" shrinkToFit="0" vertical="bottom" wrapText="1"/>
    </xf>
    <xf borderId="0" fillId="11" fontId="1" numFmtId="0" xfId="0" applyAlignment="1" applyFill="1" applyFont="1">
      <alignment readingOrder="0"/>
    </xf>
    <xf borderId="0" fillId="11"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2" fontId="1" numFmtId="0" xfId="0" applyAlignment="1" applyFill="1" applyFont="1">
      <alignment readingOrder="0" shrinkToFit="0" wrapText="1"/>
    </xf>
    <xf borderId="0" fillId="12" fontId="1" numFmtId="0" xfId="0" applyAlignment="1" applyFont="1">
      <alignment horizontal="center"/>
    </xf>
    <xf borderId="0" fillId="0" fontId="2" numFmtId="0" xfId="0" applyAlignment="1" applyFont="1">
      <alignment readingOrder="0" shrinkToFit="0" vertical="bottom" wrapText="1"/>
    </xf>
    <xf borderId="0" fillId="8" fontId="2" numFmtId="0" xfId="0" applyAlignment="1" applyFont="1">
      <alignment readingOrder="0" shrinkToFit="0" vertical="bottom" wrapText="1"/>
    </xf>
    <xf borderId="0" fillId="11" fontId="1" numFmtId="0" xfId="0" applyAlignment="1" applyFont="1">
      <alignment readingOrder="0" shrinkToFit="0" wrapText="1"/>
    </xf>
    <xf borderId="0" fillId="9" fontId="1" numFmtId="0" xfId="0" applyAlignment="1" applyFont="1">
      <alignment readingOrder="0" shrinkToFit="0" wrapText="1"/>
    </xf>
    <xf borderId="0" fillId="9" fontId="3" numFmtId="0" xfId="0" applyFont="1"/>
    <xf borderId="0" fillId="13" fontId="1" numFmtId="0" xfId="0" applyAlignment="1" applyFill="1" applyFont="1">
      <alignment readingOrder="0" shrinkToFit="0" wrapText="1"/>
    </xf>
    <xf borderId="0" fillId="2" fontId="3" numFmtId="0" xfId="0" applyFont="1"/>
    <xf borderId="0" fillId="3" fontId="3" numFmtId="164" xfId="0" applyAlignment="1" applyFont="1" applyNumberFormat="1">
      <alignment horizontal="center"/>
    </xf>
    <xf borderId="0" fillId="8" fontId="3" numFmtId="0" xfId="0" applyAlignment="1" applyFont="1">
      <alignment horizontal="center"/>
    </xf>
    <xf borderId="0" fillId="3" fontId="3" numFmtId="0" xfId="0" applyAlignment="1" applyFont="1">
      <alignment horizontal="center"/>
    </xf>
    <xf borderId="0" fillId="10" fontId="3" numFmtId="0" xfId="0" applyAlignment="1" applyFont="1">
      <alignment horizontal="center"/>
    </xf>
    <xf borderId="0" fillId="11" fontId="3" numFmtId="0" xfId="0" applyAlignment="1" applyFont="1">
      <alignment horizontal="center"/>
    </xf>
    <xf borderId="0" fillId="4" fontId="3" numFmtId="0" xfId="0" applyAlignment="1" applyFont="1">
      <alignment horizontal="center" readingOrder="0" shrinkToFit="0" wrapText="1"/>
    </xf>
    <xf borderId="0" fillId="14" fontId="3" numFmtId="0" xfId="0" applyFill="1" applyFont="1"/>
    <xf borderId="0" fillId="0" fontId="3" numFmtId="0" xfId="0" applyAlignment="1" applyFont="1">
      <alignment horizontal="center"/>
    </xf>
    <xf borderId="0" fillId="0" fontId="4" numFmtId="0" xfId="0" applyAlignment="1" applyFont="1">
      <alignment vertical="bottom"/>
    </xf>
    <xf borderId="0" fillId="13" fontId="0" numFmtId="0" xfId="0" applyAlignment="1" applyFont="1">
      <alignment horizontal="center" readingOrder="0"/>
    </xf>
    <xf borderId="0" fillId="14" fontId="4" numFmtId="166" xfId="0" applyAlignment="1" applyFont="1" applyNumberFormat="1">
      <alignment vertical="bottom"/>
    </xf>
    <xf borderId="0" fillId="0" fontId="4" numFmtId="164" xfId="0" applyAlignment="1" applyFont="1" applyNumberFormat="1">
      <alignment horizontal="center" vertical="bottom"/>
    </xf>
    <xf borderId="0" fillId="0" fontId="4" numFmtId="0" xfId="0" applyAlignment="1" applyFont="1">
      <alignment horizontal="center" vertical="bottom"/>
    </xf>
    <xf borderId="0" fillId="0" fontId="3" numFmtId="166" xfId="0" applyFont="1" applyNumberFormat="1"/>
    <xf borderId="0" fillId="0" fontId="3" numFmtId="0" xfId="0" applyAlignment="1" applyFont="1">
      <alignment horizontal="center" readingOrder="0" shrinkToFit="0" wrapText="1"/>
    </xf>
    <xf borderId="0" fillId="0" fontId="3" numFmtId="0" xfId="0" applyAlignment="1" applyFont="1">
      <alignment horizontal="left"/>
    </xf>
    <xf borderId="0" fillId="3" fontId="5" numFmtId="0" xfId="0" applyAlignment="1" applyFont="1">
      <alignment horizontal="left" readingOrder="0" shrinkToFit="0" vertical="bottom" wrapText="1"/>
    </xf>
    <xf borderId="0" fillId="3" fontId="2" numFmtId="0" xfId="0" applyAlignment="1" applyFont="1">
      <alignment readingOrder="0" shrinkToFit="0" vertical="bottom" wrapText="1"/>
    </xf>
    <xf borderId="0" fillId="15" fontId="2" numFmtId="0" xfId="0" applyAlignment="1" applyFill="1" applyFont="1">
      <alignment readingOrder="0" shrinkToFit="0" vertical="bottom" wrapText="1"/>
    </xf>
    <xf borderId="0" fillId="3" fontId="2" numFmtId="0" xfId="0" applyAlignment="1" applyFont="1">
      <alignment shrinkToFit="0" vertical="bottom" wrapText="1"/>
    </xf>
    <xf borderId="0" fillId="0" fontId="5" numFmtId="0" xfId="0" applyAlignment="1" applyFont="1">
      <alignment horizontal="left" readingOrder="0" shrinkToFit="0" vertical="bottom" wrapText="1"/>
    </xf>
    <xf borderId="0" fillId="5" fontId="5" numFmtId="0" xfId="0" applyAlignment="1" applyFont="1">
      <alignment horizontal="center" readingOrder="0" shrinkToFit="0" vertical="bottom" wrapText="1"/>
    </xf>
    <xf borderId="0" fillId="5" fontId="5" numFmtId="0" xfId="0" applyAlignment="1" applyFont="1">
      <alignment horizontal="left" readingOrder="0" shrinkToFit="0" vertical="bottom" wrapText="1"/>
    </xf>
    <xf borderId="0" fillId="14" fontId="1" numFmtId="0" xfId="0" applyAlignment="1" applyFont="1">
      <alignment readingOrder="0" shrinkToFit="0" wrapText="1"/>
    </xf>
    <xf borderId="0" fillId="5" fontId="1" numFmtId="0" xfId="0" applyAlignment="1" applyFont="1">
      <alignment readingOrder="0" shrinkToFit="0" wrapText="1"/>
    </xf>
    <xf borderId="0" fillId="9" fontId="1" numFmtId="0" xfId="0" applyAlignment="1" applyFont="1">
      <alignment shrinkToFit="0" wrapText="1"/>
    </xf>
    <xf borderId="0" fillId="0" fontId="1" numFmtId="0" xfId="0" applyAlignment="1" applyFont="1">
      <alignment readingOrder="0"/>
    </xf>
    <xf borderId="0" fillId="0" fontId="1" numFmtId="0" xfId="0" applyAlignment="1" applyFont="1">
      <alignment horizontal="center" readingOrder="0" shrinkToFit="0" wrapText="1"/>
    </xf>
    <xf borderId="0" fillId="3" fontId="1" numFmtId="0" xfId="0" applyAlignment="1" applyFont="1">
      <alignment horizontal="center" readingOrder="0" shrinkToFit="0" wrapText="1"/>
    </xf>
    <xf borderId="0" fillId="0" fontId="3" numFmtId="0" xfId="0" applyAlignment="1" applyFont="1">
      <alignment horizontal="center" readingOrder="0"/>
    </xf>
    <xf borderId="0" fillId="5" fontId="3" numFmtId="0" xfId="0" applyAlignment="1" applyFont="1">
      <alignment horizontal="center"/>
    </xf>
    <xf borderId="0" fillId="0" fontId="4" numFmtId="0" xfId="0" applyAlignment="1" applyFont="1">
      <alignment horizontal="center" readingOrder="0" vertical="bottom"/>
    </xf>
    <xf borderId="0" fillId="3" fontId="4" numFmtId="164" xfId="0" applyAlignment="1" applyFont="1" applyNumberFormat="1">
      <alignment horizontal="center" vertical="bottom"/>
    </xf>
    <xf borderId="0" fillId="5" fontId="4" numFmtId="0" xfId="0" applyAlignment="1" applyFont="1">
      <alignment readingOrder="0" vertical="bottom"/>
    </xf>
    <xf borderId="0" fillId="16" fontId="0" numFmtId="0" xfId="0" applyAlignment="1" applyFill="1" applyFont="1">
      <alignment horizontal="center" readingOrder="0"/>
    </xf>
    <xf borderId="0" fillId="17" fontId="3" numFmtId="167" xfId="0" applyAlignment="1" applyFill="1" applyFont="1" applyNumberFormat="1">
      <alignment horizontal="left"/>
    </xf>
    <xf borderId="0" fillId="9" fontId="3" numFmtId="0" xfId="0" applyAlignment="1" applyFont="1">
      <alignment horizontal="center"/>
    </xf>
    <xf borderId="0" fillId="17" fontId="3" numFmtId="0" xfId="0" applyFont="1"/>
    <xf borderId="0" fillId="17" fontId="3" numFmtId="0" xfId="0" applyAlignment="1" applyFont="1">
      <alignment horizontal="left"/>
    </xf>
    <xf borderId="1" fillId="0" fontId="3" numFmtId="0" xfId="0" applyAlignment="1" applyBorder="1" applyFont="1">
      <alignment horizontal="center"/>
    </xf>
    <xf borderId="1" fillId="5" fontId="3" numFmtId="0" xfId="0" applyAlignment="1" applyBorder="1" applyFont="1">
      <alignment horizontal="center"/>
    </xf>
    <xf borderId="0" fillId="5" fontId="4" numFmtId="164" xfId="0" applyAlignment="1" applyFont="1" applyNumberFormat="1">
      <alignment vertical="bottom"/>
    </xf>
    <xf borderId="0" fillId="18" fontId="3" numFmtId="0" xfId="0" applyAlignment="1" applyFill="1" applyFont="1">
      <alignment horizontal="center"/>
    </xf>
    <xf borderId="1" fillId="0" fontId="3" numFmtId="0" xfId="0" applyAlignment="1" applyBorder="1" applyFont="1">
      <alignment horizontal="center" readingOrder="0"/>
    </xf>
    <xf borderId="2" fillId="0" fontId="3" numFmtId="0" xfId="0" applyAlignment="1" applyBorder="1" applyFont="1">
      <alignment horizontal="center"/>
    </xf>
    <xf borderId="0" fillId="19" fontId="3" numFmtId="0" xfId="0" applyFill="1" applyFont="1"/>
    <xf borderId="0" fillId="19" fontId="3" numFmtId="164" xfId="0" applyFont="1" applyNumberFormat="1"/>
    <xf borderId="3" fillId="19" fontId="3" numFmtId="0" xfId="0" applyAlignment="1" applyBorder="1" applyFont="1">
      <alignment horizontal="center"/>
    </xf>
    <xf borderId="0" fillId="20" fontId="3" numFmtId="0" xfId="0" applyFill="1" applyFont="1"/>
    <xf borderId="0" fillId="20" fontId="3" numFmtId="164" xfId="0" applyFont="1" applyNumberFormat="1"/>
    <xf borderId="0" fillId="15" fontId="3" numFmtId="0" xfId="0" applyFont="1"/>
    <xf borderId="0" fillId="15" fontId="3" numFmtId="164" xfId="0" applyFont="1" applyNumberFormat="1"/>
    <xf borderId="0" fillId="15" fontId="3" numFmtId="0" xfId="0" applyAlignment="1" applyFont="1">
      <alignment horizontal="center"/>
    </xf>
    <xf borderId="0" fillId="15" fontId="3" numFmtId="0" xfId="0" applyAlignment="1" applyFont="1">
      <alignment horizontal="center" readingOrder="0"/>
    </xf>
    <xf borderId="0" fillId="21" fontId="4" numFmtId="0" xfId="0" applyAlignment="1" applyFill="1" applyFont="1">
      <alignment horizontal="center" readingOrder="0" vertical="bottom"/>
    </xf>
    <xf borderId="4" fillId="0" fontId="3" numFmtId="0" xfId="0" applyAlignment="1" applyBorder="1" applyFont="1">
      <alignment horizontal="center" readingOrder="0"/>
    </xf>
    <xf borderId="5" fillId="15" fontId="4" numFmtId="0" xfId="0" applyAlignment="1" applyBorder="1" applyFont="1">
      <alignment horizontal="center" readingOrder="0" vertical="bottom"/>
    </xf>
    <xf borderId="0" fillId="0" fontId="4" numFmtId="0" xfId="0" applyFont="1"/>
    <xf borderId="0" fillId="20" fontId="4" numFmtId="0" xfId="0" applyAlignment="1" applyFont="1">
      <alignment horizontal="center" readingOrder="0" vertical="bottom"/>
    </xf>
    <xf borderId="0" fillId="0" fontId="4" numFmtId="0" xfId="0" applyAlignment="1" applyFont="1">
      <alignment readingOrder="0" vertical="bottom"/>
    </xf>
    <xf borderId="0" fillId="17" fontId="4" numFmtId="0" xfId="0" applyAlignment="1" applyFont="1">
      <alignment horizontal="center" readingOrder="0" vertical="bottom"/>
    </xf>
    <xf borderId="0" fillId="17" fontId="3" numFmtId="164" xfId="0" applyFont="1" applyNumberFormat="1"/>
    <xf borderId="0" fillId="0" fontId="4" numFmtId="164" xfId="0" applyAlignment="1" applyFont="1" applyNumberFormat="1">
      <alignment readingOrder="0" vertical="bottom"/>
    </xf>
    <xf borderId="0" fillId="15" fontId="4" numFmtId="0" xfId="0" applyAlignment="1" applyFont="1">
      <alignment readingOrder="0" vertical="bottom"/>
    </xf>
    <xf borderId="0" fillId="21" fontId="3" numFmtId="0" xfId="0" applyAlignment="1" applyFont="1">
      <alignment horizontal="center" readingOrder="0"/>
    </xf>
    <xf borderId="0" fillId="21" fontId="3" numFmtId="0" xfId="0" applyAlignment="1" applyFont="1">
      <alignment horizontal="center"/>
    </xf>
    <xf borderId="0" fillId="0" fontId="4" numFmtId="164" xfId="0" applyAlignment="1" applyFont="1" applyNumberFormat="1">
      <alignment vertical="bottom"/>
    </xf>
    <xf borderId="0" fillId="15" fontId="4" numFmtId="0" xfId="0" applyAlignment="1" applyFont="1">
      <alignment horizontal="center" readingOrder="0" vertical="bottom"/>
    </xf>
    <xf borderId="0" fillId="22" fontId="3" numFmtId="0" xfId="0" applyFill="1" applyFont="1"/>
    <xf borderId="0" fillId="22" fontId="3" numFmtId="164" xfId="0" applyFont="1" applyNumberFormat="1"/>
    <xf borderId="0" fillId="22" fontId="3" numFmtId="0" xfId="0" applyAlignment="1" applyFont="1">
      <alignment horizontal="center"/>
    </xf>
    <xf borderId="0" fillId="22" fontId="4" numFmtId="0" xfId="0" applyAlignment="1" applyFont="1">
      <alignment horizontal="center" vertical="bottom"/>
    </xf>
    <xf borderId="0" fillId="22" fontId="4" numFmtId="164" xfId="0" applyAlignment="1" applyFont="1" applyNumberFormat="1">
      <alignment horizontal="center" vertical="bottom"/>
    </xf>
    <xf borderId="0" fillId="22" fontId="4" numFmtId="164" xfId="0" applyAlignment="1" applyFont="1" applyNumberFormat="1">
      <alignment vertical="bottom"/>
    </xf>
    <xf borderId="0" fillId="22" fontId="0" numFmtId="0" xfId="0" applyAlignment="1" applyFont="1">
      <alignment horizontal="center" readingOrder="0"/>
    </xf>
    <xf borderId="0" fillId="21" fontId="3" numFmtId="0" xfId="0" applyAlignment="1" applyFont="1">
      <alignment readingOrder="0"/>
    </xf>
    <xf borderId="0" fillId="21" fontId="3" numFmtId="164" xfId="0" applyFont="1" applyNumberFormat="1"/>
    <xf borderId="0" fillId="21" fontId="4" numFmtId="0" xfId="0" applyAlignment="1" applyFont="1">
      <alignment readingOrder="0" vertical="bottom"/>
    </xf>
    <xf borderId="0" fillId="0" fontId="4" numFmtId="0" xfId="0" applyAlignment="1" applyFont="1">
      <alignment horizontal="center" vertical="bottom"/>
    </xf>
    <xf borderId="0" fillId="0" fontId="0" numFmtId="0" xfId="0" applyAlignment="1" applyFont="1">
      <alignment horizontal="center" readingOrder="0"/>
    </xf>
    <xf borderId="0" fillId="23" fontId="4" numFmtId="0" xfId="0" applyAlignment="1" applyFill="1" applyFont="1">
      <alignment horizontal="center" vertical="bottom"/>
    </xf>
    <xf borderId="6" fillId="3" fontId="3" numFmtId="0" xfId="0" applyBorder="1" applyFont="1"/>
    <xf borderId="6" fillId="14" fontId="3" numFmtId="164" xfId="0" applyBorder="1" applyFont="1" applyNumberFormat="1"/>
    <xf borderId="6" fillId="5" fontId="4" numFmtId="0" xfId="0" applyAlignment="1" applyBorder="1" applyFont="1">
      <alignment horizontal="center" vertical="bottom"/>
    </xf>
    <xf borderId="0" fillId="5" fontId="4" numFmtId="0" xfId="0" applyAlignment="1" applyFont="1">
      <alignment horizontal="center" vertical="bottom"/>
    </xf>
    <xf borderId="0" fillId="0" fontId="4" numFmtId="164" xfId="0" applyFont="1" applyNumberFormat="1"/>
    <xf borderId="0" fillId="0" fontId="2" numFmtId="0" xfId="0" applyAlignment="1" applyFont="1">
      <alignment shrinkToFit="0" vertical="bottom" wrapText="1"/>
    </xf>
    <xf borderId="7" fillId="0" fontId="2" numFmtId="0" xfId="0" applyAlignment="1" applyBorder="1" applyFont="1">
      <alignment vertical="bottom"/>
    </xf>
    <xf borderId="0" fillId="5" fontId="2" numFmtId="0" xfId="0" applyAlignment="1" applyFont="1">
      <alignment shrinkToFit="0" vertical="bottom" wrapText="1"/>
    </xf>
    <xf borderId="7" fillId="0" fontId="2" numFmtId="0" xfId="0" applyAlignment="1" applyBorder="1" applyFont="1">
      <alignment shrinkToFit="0" vertical="bottom" wrapText="1"/>
    </xf>
    <xf borderId="7" fillId="3" fontId="2" numFmtId="0" xfId="0" applyAlignment="1" applyBorder="1" applyFont="1">
      <alignment shrinkToFit="0" vertical="bottom" wrapText="1"/>
    </xf>
    <xf borderId="0" fillId="24" fontId="2" numFmtId="0" xfId="0" applyAlignment="1" applyFill="1" applyFont="1">
      <alignment shrinkToFit="0" vertical="bottom" wrapText="1"/>
    </xf>
    <xf borderId="0" fillId="12" fontId="2" numFmtId="0" xfId="0" applyAlignment="1" applyFont="1">
      <alignment shrinkToFit="0" vertical="bottom" wrapText="1"/>
    </xf>
    <xf borderId="0" fillId="6" fontId="2" numFmtId="0" xfId="0" applyAlignment="1" applyFont="1">
      <alignment shrinkToFit="0" vertical="bottom" wrapText="1"/>
    </xf>
    <xf borderId="0" fillId="25" fontId="2" numFmtId="0" xfId="0" applyAlignment="1" applyFill="1" applyFont="1">
      <alignment shrinkToFit="0" vertical="bottom" wrapText="1"/>
    </xf>
    <xf borderId="7" fillId="0" fontId="5" numFmtId="0" xfId="0" applyAlignment="1" applyBorder="1" applyFont="1">
      <alignment readingOrder="0" shrinkToFit="0" vertical="bottom" wrapText="1"/>
    </xf>
    <xf borderId="0" fillId="26" fontId="2" numFmtId="0" xfId="0" applyAlignment="1" applyFill="1" applyFont="1">
      <alignment shrinkToFit="0" vertical="bottom" wrapText="1"/>
    </xf>
    <xf borderId="0" fillId="11" fontId="2" numFmtId="0" xfId="0" applyAlignment="1" applyFont="1">
      <alignment vertical="bottom"/>
    </xf>
    <xf borderId="8" fillId="0" fontId="2" numFmtId="0" xfId="0" applyAlignment="1" applyBorder="1" applyFont="1">
      <alignment shrinkToFit="0" vertical="bottom" wrapText="1"/>
    </xf>
    <xf borderId="0" fillId="27" fontId="2" numFmtId="0" xfId="0" applyAlignment="1" applyFill="1" applyFont="1">
      <alignment shrinkToFit="0" vertical="bottom" wrapText="1"/>
    </xf>
    <xf borderId="0" fillId="28" fontId="6" numFmtId="0" xfId="0" applyAlignment="1" applyFill="1" applyFont="1">
      <alignment shrinkToFit="0" vertical="bottom" wrapText="1"/>
    </xf>
    <xf borderId="0" fillId="8" fontId="2" numFmtId="0" xfId="0" applyAlignment="1" applyFont="1">
      <alignment shrinkToFit="0" vertical="bottom" wrapText="1"/>
    </xf>
    <xf borderId="0" fillId="9" fontId="2" numFmtId="0" xfId="0" applyAlignment="1" applyFont="1">
      <alignment shrinkToFit="0" vertical="bottom" wrapText="1"/>
    </xf>
    <xf borderId="0" fillId="0" fontId="2" numFmtId="0" xfId="0" applyAlignment="1" applyFont="1">
      <alignment horizontal="center" shrinkToFit="0" vertical="bottom" wrapText="1"/>
    </xf>
    <xf borderId="0" fillId="3" fontId="4" numFmtId="0" xfId="0" applyAlignment="1" applyFont="1">
      <alignment vertical="bottom"/>
    </xf>
    <xf borderId="0" fillId="0" fontId="4" numFmtId="167" xfId="0" applyAlignment="1" applyFont="1" applyNumberFormat="1">
      <alignment horizontal="right" vertical="bottom"/>
    </xf>
    <xf borderId="0" fillId="0" fontId="4" numFmtId="0" xfId="0" applyAlignment="1" applyFont="1">
      <alignment vertical="bottom"/>
    </xf>
    <xf borderId="0" fillId="0" fontId="7" numFmtId="0" xfId="0" applyAlignment="1" applyFont="1">
      <alignment horizontal="right" shrinkToFit="0" vertical="bottom" wrapText="0"/>
    </xf>
    <xf borderId="0" fillId="0" fontId="8" numFmtId="0" xfId="0" applyAlignment="1" applyFont="1">
      <alignment shrinkToFit="0" vertical="bottom" wrapText="0"/>
    </xf>
    <xf borderId="8" fillId="0" fontId="4" numFmtId="0" xfId="0" applyAlignment="1" applyBorder="1" applyFont="1">
      <alignment shrinkToFit="0" vertical="bottom" wrapText="0"/>
    </xf>
    <xf borderId="0" fillId="0" fontId="4" numFmtId="168" xfId="0" applyAlignment="1" applyFont="1" applyNumberFormat="1">
      <alignment horizontal="center" vertical="bottom"/>
    </xf>
    <xf borderId="0" fillId="0" fontId="4" numFmtId="168" xfId="0" applyAlignment="1" applyFont="1" applyNumberFormat="1">
      <alignment vertical="bottom"/>
    </xf>
    <xf borderId="0" fillId="0" fontId="4" numFmtId="0" xfId="0" applyFont="1"/>
    <xf borderId="7" fillId="0" fontId="4" numFmtId="0" xfId="0" applyBorder="1" applyFont="1"/>
    <xf borderId="0" fillId="0" fontId="4" numFmtId="169" xfId="0" applyAlignment="1" applyFont="1" applyNumberFormat="1">
      <alignment horizontal="right" vertical="bottom"/>
    </xf>
    <xf borderId="0" fillId="0" fontId="4" numFmtId="166" xfId="0" applyAlignment="1" applyFont="1" applyNumberFormat="1">
      <alignment horizontal="right" vertical="bottom"/>
    </xf>
    <xf borderId="0" fillId="3" fontId="4" numFmtId="0" xfId="0" applyAlignment="1" applyFont="1">
      <alignment horizontal="center" vertical="bottom"/>
    </xf>
    <xf borderId="7" fillId="3" fontId="4" numFmtId="0" xfId="0" applyAlignment="1" applyBorder="1" applyFont="1">
      <alignment horizontal="center" vertical="bottom"/>
    </xf>
    <xf borderId="0" fillId="12" fontId="4" numFmtId="0" xfId="0" applyAlignment="1" applyFont="1">
      <alignment horizontal="center" vertical="bottom"/>
    </xf>
    <xf borderId="0" fillId="6" fontId="4" numFmtId="0" xfId="0" applyAlignment="1" applyFont="1">
      <alignment horizontal="center" vertical="bottom"/>
    </xf>
    <xf borderId="0" fillId="25" fontId="4" numFmtId="0" xfId="0" applyAlignment="1" applyFont="1">
      <alignment horizontal="center" vertical="bottom"/>
    </xf>
    <xf borderId="7" fillId="0" fontId="4" numFmtId="0" xfId="0" applyAlignment="1" applyBorder="1" applyFont="1">
      <alignment horizontal="center" vertical="bottom"/>
    </xf>
    <xf borderId="0" fillId="3" fontId="4" numFmtId="0" xfId="0" applyAlignment="1" applyFont="1">
      <alignment vertical="bottom"/>
    </xf>
    <xf borderId="0" fillId="5" fontId="4" numFmtId="0" xfId="0" applyAlignment="1" applyFont="1">
      <alignment vertical="bottom"/>
    </xf>
    <xf borderId="0" fillId="3" fontId="4" numFmtId="0" xfId="0" applyAlignment="1" applyFont="1">
      <alignment horizontal="center" vertical="bottom"/>
    </xf>
    <xf borderId="0" fillId="26" fontId="4" numFmtId="0" xfId="0" applyAlignment="1" applyFont="1">
      <alignment horizontal="center" readingOrder="0" vertical="bottom"/>
    </xf>
    <xf borderId="0" fillId="11" fontId="4" numFmtId="0" xfId="0" applyAlignment="1" applyFont="1">
      <alignment vertical="bottom"/>
    </xf>
    <xf borderId="0" fillId="0" fontId="4" numFmtId="0" xfId="0" applyAlignment="1" applyFont="1">
      <alignment horizontal="center"/>
    </xf>
    <xf borderId="0" fillId="5" fontId="3" numFmtId="0" xfId="0" applyFont="1"/>
    <xf borderId="8" fillId="0" fontId="4" numFmtId="0" xfId="0" applyAlignment="1" applyBorder="1" applyFont="1">
      <alignment vertical="bottom"/>
    </xf>
    <xf borderId="9" fillId="27" fontId="4" numFmtId="0" xfId="0" applyAlignment="1" applyBorder="1" applyFont="1">
      <alignment vertical="bottom"/>
    </xf>
    <xf borderId="0" fillId="28" fontId="4" numFmtId="0" xfId="0" applyAlignment="1" applyFont="1">
      <alignment vertical="bottom"/>
    </xf>
    <xf borderId="0" fillId="3" fontId="4" numFmtId="164" xfId="0" applyAlignment="1" applyFont="1" applyNumberFormat="1">
      <alignment vertical="bottom"/>
    </xf>
    <xf borderId="0" fillId="3" fontId="3" numFmtId="0" xfId="0" applyAlignment="1" applyFont="1">
      <alignment horizontal="center"/>
    </xf>
    <xf borderId="0" fillId="29" fontId="4" numFmtId="0" xfId="0" applyAlignment="1" applyFill="1" applyFont="1">
      <alignment horizontal="center" vertical="bottom"/>
    </xf>
    <xf borderId="0" fillId="5" fontId="9" numFmtId="164" xfId="0" applyAlignment="1" applyFont="1" applyNumberFormat="1">
      <alignment vertical="bottom"/>
    </xf>
    <xf borderId="0" fillId="9" fontId="9" numFmtId="164" xfId="0" applyAlignment="1" applyFont="1" applyNumberFormat="1">
      <alignment vertical="bottom"/>
    </xf>
    <xf borderId="0" fillId="0" fontId="9" numFmtId="0" xfId="0" applyAlignment="1" applyFont="1">
      <alignment horizontal="center" vertical="bottom"/>
    </xf>
    <xf borderId="0" fillId="0" fontId="9" numFmtId="164" xfId="0" applyAlignment="1" applyFont="1" applyNumberFormat="1">
      <alignment vertical="bottom"/>
    </xf>
    <xf borderId="8" fillId="0" fontId="4" numFmtId="0" xfId="0" applyAlignment="1" applyBorder="1" applyFont="1">
      <alignment shrinkToFit="0" vertical="bottom" wrapText="0"/>
    </xf>
    <xf borderId="0" fillId="3" fontId="4" numFmtId="164" xfId="0" applyAlignment="1" applyFont="1" applyNumberFormat="1">
      <alignment horizontal="right" vertical="bottom"/>
    </xf>
    <xf borderId="0" fillId="0" fontId="3" numFmtId="0" xfId="0" applyAlignment="1" applyFont="1">
      <alignment horizontal="center"/>
    </xf>
    <xf borderId="0" fillId="26" fontId="4" numFmtId="0" xfId="0" applyAlignment="1" applyFont="1">
      <alignment horizontal="center" vertical="bottom"/>
    </xf>
    <xf borderId="8" fillId="15" fontId="4" numFmtId="0" xfId="0" applyAlignment="1" applyBorder="1" applyFont="1">
      <alignment shrinkToFit="0" vertical="bottom" wrapText="0"/>
    </xf>
    <xf borderId="7" fillId="0" fontId="4" numFmtId="0" xfId="0" applyAlignment="1" applyBorder="1" applyFont="1">
      <alignment horizontal="center" readingOrder="0" vertical="bottom"/>
    </xf>
    <xf borderId="0" fillId="11" fontId="4" numFmtId="0" xfId="0" applyAlignment="1" applyFont="1">
      <alignment readingOrder="0" vertical="bottom"/>
    </xf>
    <xf borderId="0" fillId="0" fontId="4" numFmtId="0" xfId="0" applyAlignment="1" applyFont="1">
      <alignment shrinkToFit="0" vertical="bottom" wrapText="0"/>
    </xf>
    <xf borderId="0" fillId="0" fontId="10" numFmtId="0" xfId="0" applyAlignment="1" applyFont="1">
      <alignment shrinkToFit="0" vertical="bottom" wrapText="0"/>
    </xf>
    <xf borderId="8" fillId="15" fontId="4" numFmtId="0" xfId="0" applyAlignment="1" applyBorder="1" applyFont="1">
      <alignment shrinkToFit="0" vertical="bottom" wrapText="0"/>
    </xf>
    <xf borderId="0" fillId="0" fontId="4" numFmtId="169" xfId="0" applyAlignment="1" applyFont="1" applyNumberFormat="1">
      <alignment horizontal="right" readingOrder="0" vertical="bottom"/>
    </xf>
    <xf borderId="0" fillId="11" fontId="4" numFmtId="0" xfId="0" applyAlignment="1" applyFont="1">
      <alignment shrinkToFit="0" vertical="bottom" wrapText="1"/>
    </xf>
    <xf borderId="8" fillId="0" fontId="4" numFmtId="0" xfId="0" applyAlignment="1" applyBorder="1" applyFont="1">
      <alignment readingOrder="0" shrinkToFit="0" vertical="bottom" wrapText="0"/>
    </xf>
    <xf borderId="0" fillId="12" fontId="4" numFmtId="0" xfId="0" applyAlignment="1" applyFont="1">
      <alignment horizontal="center" readingOrder="0" vertical="bottom"/>
    </xf>
    <xf borderId="0" fillId="25" fontId="4" numFmtId="0" xfId="0" applyAlignment="1" applyFont="1">
      <alignment horizontal="center" readingOrder="0" vertical="bottom"/>
    </xf>
    <xf borderId="0" fillId="0" fontId="4" numFmtId="0" xfId="0" applyAlignment="1" applyFont="1">
      <alignment horizontal="center"/>
    </xf>
    <xf borderId="0" fillId="0" fontId="4" numFmtId="164" xfId="0" applyAlignment="1" applyFont="1" applyNumberFormat="1">
      <alignment horizontal="right" vertical="bottom"/>
    </xf>
    <xf borderId="0" fillId="9" fontId="4" numFmtId="164" xfId="0" applyAlignment="1" applyFont="1" applyNumberFormat="1">
      <alignment vertical="bottom"/>
    </xf>
    <xf borderId="0" fillId="17" fontId="4" numFmtId="0" xfId="0" applyAlignment="1" applyFont="1">
      <alignment horizontal="center" vertical="bottom"/>
    </xf>
    <xf borderId="0" fillId="14" fontId="2" numFmtId="0" xfId="0" applyAlignment="1" applyFont="1">
      <alignment readingOrder="0" shrinkToFit="0" vertical="bottom" wrapText="1"/>
    </xf>
    <xf borderId="0" fillId="14" fontId="2" numFmtId="0" xfId="0" applyAlignment="1" applyFont="1">
      <alignment horizontal="left" readingOrder="0" shrinkToFit="0" vertical="bottom" wrapText="1"/>
    </xf>
    <xf borderId="0" fillId="0" fontId="2" numFmtId="0" xfId="0" applyAlignment="1" applyFont="1">
      <alignment horizontal="left" shrinkToFit="0" vertical="bottom" wrapText="1"/>
    </xf>
    <xf borderId="0" fillId="8" fontId="11" numFmtId="0" xfId="0" applyAlignment="1" applyFont="1">
      <alignment horizontal="center" shrinkToFit="0" wrapText="1"/>
    </xf>
    <xf borderId="0" fillId="0" fontId="4" numFmtId="164" xfId="0" applyAlignment="1" applyFont="1" applyNumberFormat="1">
      <alignment horizontal="left" vertical="bottom"/>
    </xf>
    <xf borderId="0" fillId="0" fontId="3" numFmtId="164" xfId="0" applyAlignment="1" applyFont="1" applyNumberFormat="1">
      <alignment horizontal="right"/>
    </xf>
    <xf borderId="0" fillId="0" fontId="3" numFmtId="21" xfId="0" applyAlignment="1" applyFont="1" applyNumberFormat="1">
      <alignment horizontal="right"/>
    </xf>
    <xf borderId="0" fillId="0" fontId="3" numFmtId="21" xfId="0" applyAlignment="1" applyFont="1" applyNumberFormat="1">
      <alignment horizontal="center"/>
    </xf>
    <xf borderId="0" fillId="3" fontId="4" numFmtId="3" xfId="0" applyAlignment="1" applyFont="1" applyNumberFormat="1">
      <alignment horizontal="center" vertical="bottom"/>
    </xf>
    <xf borderId="0" fillId="15" fontId="4" numFmtId="164" xfId="0" applyAlignment="1" applyFont="1" applyNumberFormat="1">
      <alignment horizontal="center" vertical="bottom"/>
    </xf>
    <xf borderId="0" fillId="3" fontId="4" numFmtId="164" xfId="0" applyAlignment="1" applyFont="1" applyNumberFormat="1">
      <alignment horizontal="left" vertical="bottom"/>
    </xf>
    <xf borderId="0" fillId="3" fontId="4" numFmtId="166" xfId="0" applyAlignment="1" applyFont="1" applyNumberFormat="1">
      <alignment horizontal="left" vertical="bottom"/>
    </xf>
    <xf borderId="0" fillId="0" fontId="3" numFmtId="0" xfId="0" applyAlignment="1" applyFont="1">
      <alignment horizontal="right"/>
    </xf>
    <xf borderId="0" fillId="3" fontId="4" numFmtId="166" xfId="0" applyAlignment="1" applyFont="1" applyNumberFormat="1">
      <alignment horizontal="center" vertical="bottom"/>
    </xf>
    <xf borderId="0" fillId="24" fontId="2" numFmtId="0" xfId="0" applyAlignment="1" applyFont="1">
      <alignment vertical="bottom"/>
    </xf>
    <xf borderId="0" fillId="2" fontId="2" numFmtId="0" xfId="0" applyAlignment="1" applyFont="1">
      <alignment readingOrder="0" shrinkToFit="0" vertical="bottom" wrapText="1"/>
    </xf>
    <xf borderId="0" fillId="21" fontId="2" numFmtId="0" xfId="0" applyAlignment="1" applyFont="1">
      <alignment readingOrder="0" shrinkToFit="0" vertical="bottom" wrapText="1"/>
    </xf>
    <xf borderId="0" fillId="17" fontId="2" numFmtId="0" xfId="0" applyAlignment="1" applyFont="1">
      <alignment readingOrder="0" shrinkToFit="0" vertical="bottom" wrapText="1"/>
    </xf>
    <xf borderId="0" fillId="2" fontId="2" numFmtId="0" xfId="0" applyAlignment="1" applyFont="1">
      <alignment shrinkToFit="0" vertical="bottom" wrapText="1"/>
    </xf>
    <xf borderId="0" fillId="19" fontId="2" numFmtId="0" xfId="0" applyAlignment="1" applyFont="1">
      <alignment shrinkToFit="0" vertical="bottom" wrapText="1"/>
    </xf>
    <xf borderId="0" fillId="17" fontId="2" numFmtId="0" xfId="0" applyAlignment="1" applyFont="1">
      <alignment shrinkToFit="0" vertical="bottom" wrapText="1"/>
    </xf>
    <xf borderId="0" fillId="17" fontId="2" numFmtId="0" xfId="0" applyAlignment="1" applyFont="1">
      <alignment shrinkToFit="0" vertical="bottom" wrapText="1"/>
    </xf>
    <xf borderId="0" fillId="15" fontId="2" numFmtId="0" xfId="0" applyAlignment="1" applyFont="1">
      <alignment shrinkToFit="0" vertical="bottom" wrapText="1"/>
    </xf>
    <xf borderId="0" fillId="9" fontId="4" numFmtId="0" xfId="0" applyAlignment="1" applyFont="1">
      <alignment vertical="bottom"/>
    </xf>
    <xf borderId="0" fillId="19" fontId="2" numFmtId="0" xfId="0" applyAlignment="1" applyFont="1">
      <alignment shrinkToFit="0" vertical="bottom" wrapText="1"/>
    </xf>
    <xf borderId="0" fillId="0" fontId="2" numFmtId="0" xfId="0" applyAlignment="1" applyFont="1">
      <alignment vertical="bottom"/>
    </xf>
    <xf borderId="0" fillId="21" fontId="12" numFmtId="0" xfId="0" applyAlignment="1" applyFont="1">
      <alignment readingOrder="0" vertical="bottom"/>
    </xf>
    <xf borderId="0" fillId="0" fontId="3" numFmtId="4" xfId="0" applyFont="1" applyNumberFormat="1"/>
    <xf borderId="0" fillId="0" fontId="1" numFmtId="0" xfId="0" applyAlignment="1" applyFont="1">
      <alignment horizontal="left" readingOrder="0" shrinkToFit="0" wrapText="1"/>
    </xf>
    <xf borderId="0" fillId="3" fontId="1" numFmtId="0" xfId="0" applyAlignment="1" applyFont="1">
      <alignment readingOrder="0" shrinkToFit="0" wrapText="1"/>
    </xf>
    <xf borderId="0" fillId="0" fontId="2" numFmtId="0" xfId="0" applyAlignment="1" applyFont="1">
      <alignment horizontal="center" vertical="bottom"/>
    </xf>
    <xf borderId="0" fillId="0" fontId="3" numFmtId="0" xfId="0" applyAlignment="1" applyFont="1">
      <alignment readingOrder="0"/>
    </xf>
    <xf borderId="0" fillId="10" fontId="3" numFmtId="0" xfId="0" applyFont="1"/>
    <xf borderId="0" fillId="10" fontId="4" numFmtId="164" xfId="0" applyAlignment="1" applyFont="1" applyNumberFormat="1">
      <alignment horizontal="right" vertical="bottom"/>
    </xf>
    <xf borderId="0" fillId="3" fontId="3" numFmtId="0" xfId="0" applyAlignment="1" applyFont="1">
      <alignment readingOrder="0"/>
    </xf>
    <xf borderId="0" fillId="0" fontId="4" numFmtId="0" xfId="0" applyAlignment="1" applyFont="1">
      <alignment horizontal="right" vertical="bottom"/>
    </xf>
    <xf borderId="0" fillId="27" fontId="3" numFmtId="0" xfId="0" applyAlignment="1" applyFont="1">
      <alignment horizontal="center"/>
    </xf>
    <xf borderId="0" fillId="27" fontId="3" numFmtId="0" xfId="0" applyAlignment="1" applyFont="1">
      <alignment readingOrder="0"/>
    </xf>
    <xf borderId="0" fillId="21" fontId="4" numFmtId="0" xfId="0" applyAlignment="1" applyFont="1">
      <alignment vertical="bottom"/>
    </xf>
    <xf borderId="0" fillId="21" fontId="4" numFmtId="164" xfId="0" applyAlignment="1" applyFont="1" applyNumberFormat="1">
      <alignment horizontal="right" vertical="bottom"/>
    </xf>
    <xf borderId="0" fillId="15" fontId="4" numFmtId="0" xfId="0" applyAlignment="1" applyFont="1">
      <alignment vertical="bottom"/>
    </xf>
    <xf borderId="0" fillId="15" fontId="4" numFmtId="164" xfId="0" applyAlignment="1" applyFont="1" applyNumberFormat="1">
      <alignment horizontal="right" vertical="bottom"/>
    </xf>
    <xf borderId="0" fillId="15" fontId="3" numFmtId="0" xfId="0" applyAlignment="1" applyFont="1">
      <alignment readingOrder="0"/>
    </xf>
    <xf borderId="0" fillId="28" fontId="13" numFmtId="0" xfId="0" applyAlignment="1" applyFont="1">
      <alignment horizontal="center" vertical="bottom"/>
    </xf>
    <xf borderId="0" fillId="0" fontId="14" numFmtId="0" xfId="0" applyAlignment="1" applyFont="1">
      <alignment readingOrder="0"/>
    </xf>
    <xf borderId="0" fillId="0" fontId="4" numFmtId="0" xfId="0" applyAlignment="1" applyFont="1">
      <alignment readingOrder="0" shrinkToFit="0" vertical="bottom" wrapText="0"/>
    </xf>
    <xf borderId="0" fillId="17" fontId="3" numFmtId="0" xfId="0" applyAlignment="1" applyFont="1">
      <alignment horizontal="center" readingOrder="0"/>
    </xf>
    <xf borderId="0" fillId="5" fontId="4" numFmtId="0" xfId="0" applyAlignment="1" applyFont="1">
      <alignment horizontal="center" vertical="bottom"/>
    </xf>
    <xf borderId="0" fillId="30" fontId="3" numFmtId="0" xfId="0" applyAlignment="1" applyFill="1" applyFont="1">
      <alignment horizontal="center" readingOrder="0"/>
    </xf>
    <xf borderId="10" fillId="0" fontId="4" numFmtId="0" xfId="0" applyAlignment="1" applyBorder="1" applyFont="1">
      <alignment vertical="bottom"/>
    </xf>
    <xf borderId="0" fillId="0" fontId="15" numFmtId="0" xfId="0" applyAlignment="1" applyFont="1">
      <alignment vertical="bottom"/>
    </xf>
    <xf borderId="0" fillId="0" fontId="16" numFmtId="0" xfId="0" applyAlignment="1" applyFont="1">
      <alignment readingOrder="0" vertical="bottom"/>
    </xf>
    <xf borderId="11" fillId="0" fontId="4" numFmtId="0" xfId="0" applyAlignment="1" applyBorder="1" applyFont="1">
      <alignment vertical="bottom"/>
    </xf>
    <xf borderId="12" fillId="31" fontId="17" numFmtId="0" xfId="0" applyAlignment="1" applyBorder="1" applyFill="1" applyFont="1">
      <alignment vertical="bottom"/>
    </xf>
    <xf borderId="12" fillId="31" fontId="17" numFmtId="0" xfId="0" applyAlignment="1" applyBorder="1" applyFont="1">
      <alignment shrinkToFit="0" vertical="bottom" wrapText="1"/>
    </xf>
    <xf borderId="13" fillId="0" fontId="17" numFmtId="0" xfId="0" applyAlignment="1" applyBorder="1" applyFont="1">
      <alignment horizontal="center" readingOrder="0" shrinkToFit="0" vertical="bottom" wrapText="0"/>
    </xf>
    <xf borderId="14" fillId="31" fontId="17" numFmtId="0" xfId="0" applyAlignment="1" applyBorder="1" applyFont="1">
      <alignment vertical="bottom"/>
    </xf>
    <xf borderId="15" fillId="31" fontId="17" numFmtId="0" xfId="0" applyAlignment="1" applyBorder="1" applyFont="1">
      <alignment vertical="bottom"/>
    </xf>
    <xf borderId="15" fillId="0" fontId="18" numFmtId="0" xfId="0" applyBorder="1" applyFont="1"/>
    <xf borderId="14" fillId="0" fontId="18" numFmtId="0" xfId="0" applyBorder="1" applyFont="1"/>
    <xf borderId="0" fillId="0" fontId="19" numFmtId="0" xfId="0" applyAlignment="1" applyFont="1">
      <alignment readingOrder="0" shrinkToFit="0" vertical="bottom" wrapText="0"/>
    </xf>
    <xf borderId="0" fillId="0" fontId="19" numFmtId="0" xfId="0" applyAlignment="1" applyFont="1">
      <alignment vertical="bottom"/>
    </xf>
    <xf borderId="11" fillId="0" fontId="19" numFmtId="0" xfId="0" applyAlignment="1" applyBorder="1" applyFont="1">
      <alignment vertical="bottom"/>
    </xf>
    <xf borderId="11" fillId="0" fontId="19" numFmtId="0" xfId="0" applyAlignment="1" applyBorder="1" applyFont="1">
      <alignment shrinkToFit="0" vertical="bottom" wrapText="1"/>
    </xf>
    <xf borderId="16" fillId="0" fontId="19" numFmtId="0" xfId="0" applyAlignment="1" applyBorder="1" applyFont="1">
      <alignment horizontal="right" vertical="bottom"/>
    </xf>
    <xf borderId="17" fillId="0" fontId="19" numFmtId="0" xfId="0" applyAlignment="1" applyBorder="1" applyFont="1">
      <alignment horizontal="center" vertical="bottom"/>
    </xf>
    <xf borderId="17" fillId="0" fontId="4" numFmtId="0" xfId="0" applyAlignment="1" applyBorder="1" applyFont="1">
      <alignment vertical="bottom"/>
    </xf>
    <xf borderId="0" fillId="0" fontId="19" numFmtId="0" xfId="0" applyAlignment="1" applyFont="1">
      <alignment shrinkToFit="0" vertical="bottom" wrapText="0"/>
    </xf>
    <xf borderId="0" fillId="0" fontId="19" numFmtId="0" xfId="0" applyAlignment="1" applyFont="1">
      <alignment shrinkToFit="0" vertical="bottom" wrapText="0"/>
    </xf>
    <xf borderId="16" fillId="0" fontId="19" numFmtId="0" xfId="0" applyAlignment="1" applyBorder="1" applyFont="1">
      <alignment horizontal="right" readingOrder="0" vertical="bottom"/>
    </xf>
    <xf borderId="17" fillId="0" fontId="19" numFmtId="0" xfId="0" applyAlignment="1" applyBorder="1" applyFont="1">
      <alignment horizontal="center" readingOrder="0" vertical="bottom"/>
    </xf>
    <xf borderId="0" fillId="0" fontId="19" numFmtId="0" xfId="0" applyAlignment="1" applyFont="1">
      <alignment vertical="bottom"/>
    </xf>
    <xf borderId="11" fillId="0" fontId="19" numFmtId="0" xfId="0" applyAlignment="1" applyBorder="1" applyFont="1">
      <alignment vertical="bottom"/>
    </xf>
    <xf borderId="11" fillId="0" fontId="19" numFmtId="0" xfId="0" applyAlignment="1" applyBorder="1" applyFont="1">
      <alignment shrinkToFit="0" vertical="bottom" wrapText="1"/>
    </xf>
    <xf borderId="0" fillId="17" fontId="19" numFmtId="0" xfId="0" applyAlignment="1" applyFont="1">
      <alignment readingOrder="0" vertical="bottom"/>
    </xf>
    <xf borderId="17" fillId="0" fontId="4" numFmtId="0" xfId="0" applyAlignment="1" applyBorder="1" applyFont="1">
      <alignment horizontal="center" vertical="bottom"/>
    </xf>
    <xf borderId="12" fillId="0" fontId="4" numFmtId="0" xfId="0" applyAlignment="1" applyBorder="1" applyFont="1">
      <alignment vertical="bottom"/>
    </xf>
    <xf borderId="12" fillId="0" fontId="19" numFmtId="0" xfId="0" applyAlignment="1" applyBorder="1" applyFont="1">
      <alignment shrinkToFit="0" vertical="bottom" wrapText="1"/>
    </xf>
    <xf borderId="0" fillId="0" fontId="15" numFmtId="0" xfId="0" applyAlignment="1" applyFont="1">
      <alignment shrinkToFit="0" vertical="bottom" wrapText="0"/>
    </xf>
    <xf borderId="17" fillId="0" fontId="19" numFmtId="0" xfId="0" applyAlignment="1" applyBorder="1" applyFont="1">
      <alignment horizontal="left" readingOrder="0" vertical="bottom"/>
    </xf>
    <xf borderId="0" fillId="0" fontId="4" numFmtId="0" xfId="0" applyAlignment="1" applyFont="1">
      <alignment readingOrder="0"/>
    </xf>
    <xf borderId="10" fillId="0" fontId="4" numFmtId="0" xfId="0" applyAlignment="1" applyBorder="1" applyFont="1">
      <alignment readingOrder="0" vertical="bottom"/>
    </xf>
    <xf borderId="18" fillId="31" fontId="17" numFmtId="168" xfId="0" applyAlignment="1" applyBorder="1" applyFont="1" applyNumberFormat="1">
      <alignment horizontal="left" readingOrder="0" shrinkToFit="0" vertical="bottom" wrapText="1"/>
    </xf>
    <xf borderId="19" fillId="0" fontId="18" numFmtId="0" xfId="0" applyBorder="1" applyFont="1"/>
    <xf borderId="11" fillId="0" fontId="4" numFmtId="0" xfId="0" applyAlignment="1" applyBorder="1" applyFont="1">
      <alignment readingOrder="0" vertical="bottom"/>
    </xf>
    <xf borderId="1" fillId="31" fontId="17" numFmtId="0" xfId="0" applyAlignment="1" applyBorder="1" applyFont="1">
      <alignment readingOrder="0"/>
    </xf>
    <xf borderId="5" fillId="31" fontId="17" numFmtId="0" xfId="0" applyBorder="1" applyFont="1"/>
    <xf borderId="2" fillId="0" fontId="19" numFmtId="168" xfId="0" applyAlignment="1" applyBorder="1" applyFont="1" applyNumberFormat="1">
      <alignment horizontal="center" readingOrder="0" shrinkToFit="0" vertical="bottom" wrapText="1"/>
    </xf>
    <xf borderId="2" fillId="0" fontId="19" numFmtId="0" xfId="0" applyAlignment="1" applyBorder="1" applyFont="1">
      <alignment readingOrder="0" shrinkToFit="0" vertical="bottom" wrapText="0"/>
    </xf>
    <xf borderId="11" fillId="0" fontId="19" numFmtId="168" xfId="0" applyAlignment="1" applyBorder="1" applyFont="1" applyNumberFormat="1">
      <alignment horizontal="center"/>
    </xf>
    <xf borderId="20" fillId="0" fontId="4" numFmtId="0" xfId="0" applyAlignment="1" applyBorder="1" applyFont="1">
      <alignment vertical="bottom"/>
    </xf>
    <xf borderId="0" fillId="0" fontId="20" numFmtId="0" xfId="0" applyAlignment="1" applyFont="1">
      <alignment horizontal="right" readingOrder="0"/>
    </xf>
    <xf borderId="0" fillId="0" fontId="19" numFmtId="0" xfId="0" applyAlignment="1" applyFont="1">
      <alignment readingOrder="0" vertical="bottom"/>
    </xf>
    <xf borderId="2" fillId="0" fontId="19" numFmtId="0" xfId="0" applyAlignment="1" applyBorder="1" applyFont="1">
      <alignment readingOrder="0" shrinkToFit="0" vertical="bottom" wrapText="0"/>
    </xf>
    <xf borderId="2" fillId="0" fontId="21" numFmtId="0" xfId="0" applyAlignment="1" applyBorder="1" applyFont="1">
      <alignment readingOrder="0" shrinkToFit="0" vertical="bottom" wrapText="0"/>
    </xf>
    <xf borderId="21" fillId="0" fontId="19" numFmtId="168" xfId="0" applyAlignment="1" applyBorder="1" applyFont="1" applyNumberFormat="1">
      <alignment horizontal="center"/>
    </xf>
    <xf borderId="3" fillId="0" fontId="19" numFmtId="168" xfId="0" applyAlignment="1" applyBorder="1" applyFont="1" applyNumberFormat="1">
      <alignment horizontal="center"/>
    </xf>
    <xf borderId="0" fillId="0" fontId="4" numFmtId="168" xfId="0" applyFont="1" applyNumberFormat="1"/>
    <xf borderId="10" fillId="0" fontId="4" numFmtId="168" xfId="0" applyBorder="1" applyFont="1" applyNumberFormat="1"/>
    <xf borderId="0" fillId="15" fontId="19" numFmtId="0" xfId="0" applyAlignment="1" applyFont="1">
      <alignment readingOrder="0" vertical="bottom"/>
    </xf>
    <xf borderId="1" fillId="31" fontId="17" numFmtId="168" xfId="0" applyAlignment="1" applyBorder="1" applyFont="1" applyNumberFormat="1">
      <alignment horizontal="center" readingOrder="0"/>
    </xf>
    <xf borderId="10" fillId="31" fontId="17" numFmtId="0" xfId="0" applyAlignment="1" applyBorder="1" applyFont="1">
      <alignment readingOrder="0"/>
    </xf>
    <xf borderId="0" fillId="0" fontId="22" numFmtId="0" xfId="0" applyAlignment="1" applyFont="1">
      <alignment readingOrder="0" shrinkToFit="0" vertical="bottom" wrapText="0"/>
    </xf>
    <xf borderId="21" fillId="0" fontId="19" numFmtId="1" xfId="0" applyAlignment="1" applyBorder="1" applyFont="1" applyNumberFormat="1">
      <alignment horizontal="center"/>
    </xf>
    <xf borderId="18" fillId="0" fontId="19" numFmtId="0" xfId="0" applyAlignment="1" applyBorder="1" applyFont="1">
      <alignment readingOrder="0" shrinkToFit="0" vertical="bottom" wrapText="1"/>
    </xf>
    <xf borderId="20" fillId="0" fontId="19" numFmtId="0" xfId="0" applyAlignment="1" applyBorder="1" applyFont="1">
      <alignment shrinkToFit="0" vertical="bottom" wrapText="1"/>
    </xf>
    <xf borderId="21" fillId="0" fontId="19" numFmtId="0" xfId="0" applyAlignment="1" applyBorder="1" applyFont="1">
      <alignment horizontal="center"/>
    </xf>
    <xf borderId="20" fillId="0" fontId="19" numFmtId="0" xfId="0" applyAlignment="1" applyBorder="1" applyFont="1">
      <alignment readingOrder="0" shrinkToFit="0" vertical="bottom" wrapText="1"/>
    </xf>
    <xf borderId="21" fillId="0" fontId="20" numFmtId="0" xfId="0" applyAlignment="1" applyBorder="1" applyFont="1">
      <alignment horizontal="center" readingOrder="0"/>
    </xf>
    <xf borderId="21" fillId="0" fontId="19" numFmtId="0" xfId="0" applyAlignment="1" applyBorder="1" applyFont="1">
      <alignment readingOrder="0" shrinkToFit="0" vertical="bottom" wrapText="1"/>
    </xf>
    <xf borderId="0" fillId="0" fontId="19" numFmtId="0" xfId="0" applyAlignment="1" applyFont="1">
      <alignment shrinkToFit="0" vertical="bottom" wrapText="1"/>
    </xf>
    <xf borderId="1" fillId="0" fontId="19" numFmtId="1" xfId="0" applyAlignment="1" applyBorder="1" applyFont="1" applyNumberFormat="1">
      <alignment horizontal="center" readingOrder="0" shrinkToFit="0" vertical="bottom" wrapText="1"/>
    </xf>
    <xf borderId="1" fillId="0" fontId="19" numFmtId="0" xfId="0" applyAlignment="1" applyBorder="1" applyFont="1">
      <alignment readingOrder="0" shrinkToFit="0" vertical="bottom" wrapText="0"/>
    </xf>
    <xf borderId="21" fillId="15" fontId="19" numFmtId="0" xfId="0" applyAlignment="1" applyBorder="1" applyFont="1">
      <alignment horizontal="center" readingOrder="0"/>
    </xf>
    <xf borderId="21" fillId="15" fontId="19" numFmtId="0" xfId="0" applyAlignment="1" applyBorder="1" applyFont="1">
      <alignment readingOrder="0" shrinkToFit="0" vertical="bottom" wrapText="1"/>
    </xf>
    <xf borderId="0" fillId="0" fontId="15" numFmtId="0" xfId="0" applyAlignment="1" applyFont="1">
      <alignment readingOrder="0" shrinkToFit="0" vertical="bottom" wrapText="0"/>
    </xf>
    <xf borderId="21" fillId="0" fontId="19" numFmtId="0" xfId="0" applyAlignment="1" applyBorder="1" applyFont="1">
      <alignment horizontal="center" readingOrder="0"/>
    </xf>
    <xf borderId="4" fillId="31" fontId="17" numFmtId="0" xfId="0" applyAlignment="1" applyBorder="1" applyFont="1">
      <alignment vertical="bottom"/>
    </xf>
    <xf borderId="22" fillId="0" fontId="18" numFmtId="0" xfId="0" applyBorder="1" applyFont="1"/>
    <xf borderId="5" fillId="0" fontId="18" numFmtId="0" xfId="0" applyBorder="1" applyFont="1"/>
    <xf borderId="0" fillId="0" fontId="22" numFmtId="0" xfId="0" applyAlignment="1" applyFont="1">
      <alignment readingOrder="0"/>
    </xf>
    <xf borderId="4" fillId="31" fontId="17" numFmtId="168" xfId="0" applyAlignment="1" applyBorder="1" applyFont="1" applyNumberFormat="1">
      <alignment horizontal="left" readingOrder="0" shrinkToFit="0" vertical="bottom" wrapText="1"/>
    </xf>
    <xf borderId="1" fillId="0" fontId="19" numFmtId="0" xfId="0" applyAlignment="1" applyBorder="1" applyFont="1">
      <alignment horizontal="right" vertical="bottom"/>
    </xf>
    <xf borderId="4" fillId="0" fontId="19" numFmtId="0" xfId="0" applyAlignment="1" applyBorder="1" applyFont="1">
      <alignment vertical="bottom"/>
    </xf>
    <xf borderId="1" fillId="0" fontId="19" numFmtId="0" xfId="0" applyAlignment="1" applyBorder="1" applyFont="1">
      <alignment horizontal="right" readingOrder="0" vertical="bottom"/>
    </xf>
    <xf borderId="21" fillId="0" fontId="19" numFmtId="0" xfId="0" applyAlignment="1" applyBorder="1" applyFont="1">
      <alignment shrinkToFit="0" vertical="bottom" wrapText="1"/>
    </xf>
    <xf borderId="1" fillId="0" fontId="19" numFmtId="0" xfId="0" applyAlignment="1" applyBorder="1" applyFont="1">
      <alignment readingOrder="0" vertical="bottom"/>
    </xf>
    <xf borderId="3" fillId="0" fontId="19" numFmtId="0" xfId="0" applyAlignment="1" applyBorder="1" applyFont="1">
      <alignment readingOrder="0" vertical="bottom"/>
    </xf>
    <xf borderId="3" fillId="0" fontId="4" numFmtId="0" xfId="0" applyAlignment="1" applyBorder="1" applyFont="1">
      <alignment vertical="bottom"/>
    </xf>
    <xf borderId="0" fillId="0" fontId="19" numFmtId="0" xfId="0" applyAlignment="1" applyFont="1">
      <alignment readingOrder="0" shrinkToFit="0" vertical="bottom" wrapText="1"/>
    </xf>
    <xf borderId="0" fillId="0" fontId="23" numFmtId="0" xfId="0" applyAlignment="1" applyFont="1">
      <alignment readingOrder="0" vertical="bottom"/>
    </xf>
    <xf borderId="0" fillId="0" fontId="20" numFmtId="0" xfId="0" applyFont="1"/>
    <xf borderId="1" fillId="0" fontId="19" numFmtId="0" xfId="0" applyAlignment="1" applyBorder="1" applyFont="1">
      <alignment vertical="bottom"/>
    </xf>
    <xf borderId="0" fillId="13" fontId="4" numFmtId="0" xfId="0" applyAlignment="1" applyFont="1">
      <alignment readingOrder="0" vertical="bottom"/>
    </xf>
    <xf borderId="0" fillId="13" fontId="4" numFmtId="0" xfId="0" applyAlignment="1" applyFont="1">
      <alignment vertical="bottom"/>
    </xf>
    <xf borderId="1" fillId="13" fontId="17" numFmtId="168" xfId="0" applyAlignment="1" applyBorder="1" applyFont="1" applyNumberFormat="1">
      <alignment horizontal="left" readingOrder="0" vertical="bottom"/>
    </xf>
    <xf borderId="5" fillId="13" fontId="17" numFmtId="0" xfId="0" applyAlignment="1" applyBorder="1" applyFont="1">
      <alignment horizontal="left" vertical="bottom"/>
    </xf>
    <xf borderId="1" fillId="31" fontId="17" numFmtId="0" xfId="0" applyAlignment="1" applyBorder="1" applyFont="1">
      <alignment shrinkToFit="0" vertical="bottom" wrapText="1"/>
    </xf>
    <xf borderId="5" fillId="31" fontId="17" numFmtId="0" xfId="0" applyAlignment="1" applyBorder="1" applyFont="1">
      <alignment vertical="bottom"/>
    </xf>
    <xf borderId="0" fillId="0" fontId="19" numFmtId="0" xfId="0" applyAlignment="1" applyFont="1">
      <alignment horizontal="right" vertical="bottom"/>
    </xf>
    <xf borderId="0" fillId="0" fontId="17" numFmtId="0" xfId="0" applyAlignment="1" applyFont="1">
      <alignment shrinkToFit="0" vertical="bottom" wrapText="0"/>
    </xf>
    <xf borderId="21" fillId="13" fontId="19" numFmtId="1" xfId="0" applyAlignment="1" applyBorder="1" applyFont="1" applyNumberFormat="1">
      <alignment horizontal="center" vertical="bottom"/>
    </xf>
    <xf borderId="11" fillId="13" fontId="19" numFmtId="0" xfId="0" applyAlignment="1" applyBorder="1" applyFont="1">
      <alignment readingOrder="0" shrinkToFit="0" vertical="bottom" wrapText="1"/>
    </xf>
    <xf borderId="21" fillId="0" fontId="4" numFmtId="1" xfId="0" applyAlignment="1" applyBorder="1" applyFont="1" applyNumberFormat="1">
      <alignment horizontal="center" shrinkToFit="0" vertical="bottom" wrapText="1"/>
    </xf>
    <xf borderId="21" fillId="13" fontId="19" numFmtId="0" xfId="0" applyAlignment="1" applyBorder="1" applyFont="1">
      <alignment horizontal="center" vertical="bottom"/>
    </xf>
    <xf borderId="11" fillId="0" fontId="19" numFmtId="0" xfId="0" applyAlignment="1" applyBorder="1" applyFont="1">
      <alignment readingOrder="0" shrinkToFit="0" vertical="bottom" wrapText="1"/>
    </xf>
    <xf borderId="0" fillId="0" fontId="17" numFmtId="0" xfId="0" applyAlignment="1" applyFont="1">
      <alignment readingOrder="0" shrinkToFit="0" vertical="bottom" wrapText="0"/>
    </xf>
    <xf borderId="21" fillId="13" fontId="4" numFmtId="0" xfId="0" applyAlignment="1" applyBorder="1" applyFont="1">
      <alignment horizontal="center" vertical="bottom"/>
    </xf>
    <xf borderId="11" fillId="13" fontId="19" numFmtId="0" xfId="0" applyAlignment="1" applyBorder="1" applyFont="1">
      <alignment vertical="bottom"/>
    </xf>
    <xf borderId="21" fillId="0" fontId="4" numFmtId="0" xfId="0" applyAlignment="1" applyBorder="1" applyFont="1">
      <alignment horizontal="center" shrinkToFit="0" vertical="bottom" wrapText="1"/>
    </xf>
    <xf borderId="0" fillId="13" fontId="3" numFmtId="0" xfId="0" applyAlignment="1" applyFont="1">
      <alignment readingOrder="0"/>
    </xf>
    <xf borderId="3" fillId="0" fontId="4" numFmtId="0" xfId="0" applyAlignment="1" applyBorder="1" applyFont="1">
      <alignment horizontal="center" shrinkToFit="0" vertical="bottom" wrapText="1"/>
    </xf>
    <xf borderId="12" fillId="0" fontId="19" numFmtId="0" xfId="0" applyAlignment="1" applyBorder="1" applyFont="1">
      <alignment readingOrder="0" shrinkToFit="0" vertical="bottom" wrapText="1"/>
    </xf>
    <xf borderId="11" fillId="13" fontId="19" numFmtId="0" xfId="0" applyAlignment="1" applyBorder="1" applyFont="1">
      <alignment shrinkToFit="0" vertical="bottom" wrapText="1"/>
    </xf>
    <xf borderId="0" fillId="0" fontId="17" numFmtId="168" xfId="0" applyAlignment="1" applyFont="1" applyNumberFormat="1">
      <alignment horizontal="left" readingOrder="0" shrinkToFit="0" vertical="bottom" wrapText="1"/>
    </xf>
    <xf borderId="0" fillId="0" fontId="19" numFmtId="168" xfId="0" applyAlignment="1" applyFont="1" applyNumberFormat="1">
      <alignment horizontal="center" readingOrder="0" shrinkToFit="0" vertical="bottom" wrapText="1"/>
    </xf>
    <xf borderId="3" fillId="13" fontId="19" numFmtId="0" xfId="0" applyAlignment="1" applyBorder="1" applyFont="1">
      <alignment horizontal="center" vertical="bottom"/>
    </xf>
    <xf borderId="12" fillId="13" fontId="19" numFmtId="0" xfId="0" applyAlignment="1" applyBorder="1" applyFont="1">
      <alignment shrinkToFit="0" vertical="bottom" wrapText="1"/>
    </xf>
    <xf borderId="0" fillId="0" fontId="19" numFmtId="1" xfId="0" applyAlignment="1" applyFont="1" applyNumberFormat="1">
      <alignment horizontal="center" shrinkToFit="0" vertical="bottom" wrapText="1"/>
    </xf>
    <xf borderId="0" fillId="0" fontId="19" numFmtId="168" xfId="0" applyAlignment="1" applyFont="1" applyNumberFormat="1">
      <alignment horizontal="center" shrinkToFit="0" vertical="bottom" wrapText="1"/>
    </xf>
    <xf borderId="0" fillId="0" fontId="21" numFmtId="0" xfId="0" applyAlignment="1" applyFont="1">
      <alignment readingOrder="0" shrinkToFit="0" vertical="bottom" wrapText="0"/>
    </xf>
    <xf borderId="0" fillId="0" fontId="4" numFmtId="0" xfId="0" applyAlignment="1" applyFont="1">
      <alignment shrinkToFit="0" vertical="bottom" wrapText="0"/>
    </xf>
    <xf borderId="0" fillId="0" fontId="4" numFmtId="168" xfId="0" applyAlignment="1" applyFont="1" applyNumberFormat="1">
      <alignment horizontal="center" readingOrder="0" vertical="bottom"/>
    </xf>
    <xf borderId="0" fillId="0" fontId="24" numFmtId="168" xfId="0" applyAlignment="1" applyFont="1" applyNumberFormat="1">
      <alignment horizontal="left" readingOrder="0" vertical="bottom"/>
    </xf>
    <xf borderId="0" fillId="0" fontId="24" numFmtId="0" xfId="0" applyAlignment="1" applyFont="1">
      <alignment vertical="bottom"/>
    </xf>
    <xf borderId="0" fillId="0" fontId="25" numFmtId="0" xfId="0" applyAlignment="1" applyFont="1">
      <alignment readingOrder="0"/>
    </xf>
    <xf borderId="0" fillId="0" fontId="26" numFmtId="0" xfId="0" applyAlignment="1" applyFont="1">
      <alignment readingOrder="0"/>
    </xf>
    <xf borderId="0" fillId="0" fontId="19" numFmtId="1" xfId="0" applyAlignment="1" applyFont="1" applyNumberFormat="1">
      <alignment horizontal="center" readingOrder="0" shrinkToFit="0" vertical="bottom" wrapText="1"/>
    </xf>
    <xf borderId="0" fillId="0" fontId="22" numFmtId="0" xfId="0" applyFont="1"/>
    <xf borderId="0" fillId="0" fontId="2" numFmtId="0" xfId="0" applyAlignment="1" applyFont="1">
      <alignment readingOrder="0" vertical="bottom"/>
    </xf>
  </cellXfs>
  <cellStyles count="1">
    <cellStyle xfId="0" name="Normal" builtinId="0"/>
  </cellStyles>
  <dxfs count="18">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fill>
        <patternFill patternType="solid">
          <fgColor rgb="FF00FFFF"/>
          <bgColor rgb="FF00FFFF"/>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E06666"/>
          <bgColor rgb="FFE06666"/>
        </patternFill>
      </fill>
      <border/>
    </dxf>
    <dxf>
      <font/>
      <fill>
        <patternFill patternType="solid">
          <fgColor rgb="FFCFE2F3"/>
          <bgColor rgb="FFCFE2F3"/>
        </patternFill>
      </fill>
      <border/>
    </dxf>
    <dxf>
      <font/>
      <fill>
        <patternFill patternType="solid">
          <fgColor rgb="FFEA9999"/>
          <bgColor rgb="FFEA9999"/>
        </patternFill>
      </fill>
      <border/>
    </dxf>
    <dxf>
      <font/>
      <fill>
        <patternFill patternType="solid">
          <fgColor rgb="FFC9DAF8"/>
          <bgColor rgb="FFC9DAF8"/>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9FC5E8"/>
          <bgColor rgb="FF9FC5E8"/>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847725</xdr:colOff>
      <xdr:row>46</xdr:row>
      <xdr:rowOff>38100</xdr:rowOff>
    </xdr:from>
    <xdr:ext cx="4953000" cy="5467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qToPFuV8yGkOAq8isIMmCQ_CwA5dOLcN" TargetMode="External"/><Relationship Id="rId190" Type="http://schemas.openxmlformats.org/officeDocument/2006/relationships/hyperlink" Target="https://drive.google.com/open?id=15-3r6qGiX0Y2E1fyEtOMzq0rIR6JdNol" TargetMode="External"/><Relationship Id="rId42" Type="http://schemas.openxmlformats.org/officeDocument/2006/relationships/hyperlink" Target="https://drive.google.com/open?id=1GZXmeV9JfATotiEKpeMzPxkHjLGZ0obd" TargetMode="External"/><Relationship Id="rId41" Type="http://schemas.openxmlformats.org/officeDocument/2006/relationships/hyperlink" Target="https://drive.google.com/open?id=1VG1bhYYIGZTXuz66MU0KrrZt8GzNRnHA" TargetMode="External"/><Relationship Id="rId44" Type="http://schemas.openxmlformats.org/officeDocument/2006/relationships/hyperlink" Target="https://drive.google.com/open?id=1t4MrCgi8fBw8nC88oxqT-LwSpcoiA6Jl" TargetMode="External"/><Relationship Id="rId43" Type="http://schemas.openxmlformats.org/officeDocument/2006/relationships/hyperlink" Target="https://drive.google.com/open?id=1UAXg6gr7TeCzw3xv3NEYWssHUZxjVSK4" TargetMode="External"/><Relationship Id="rId193" Type="http://schemas.openxmlformats.org/officeDocument/2006/relationships/vmlDrawing" Target="../drawings/vmlDrawing3.vml"/><Relationship Id="rId46" Type="http://schemas.openxmlformats.org/officeDocument/2006/relationships/hyperlink" Target="https://drive.google.com/open?id=1waalXI2KMmcpPDbbsrJdimOp7jyHssTJ" TargetMode="External"/><Relationship Id="rId192" Type="http://schemas.openxmlformats.org/officeDocument/2006/relationships/drawing" Target="../drawings/drawing5.xml"/><Relationship Id="rId45" Type="http://schemas.openxmlformats.org/officeDocument/2006/relationships/hyperlink" Target="https://drive.google.com/open?id=1qg2BZOpsRPW--_nq7U1JUKyMx__Mav1P" TargetMode="External"/><Relationship Id="rId191" Type="http://schemas.openxmlformats.org/officeDocument/2006/relationships/hyperlink" Target="https://drive.google.com/open?id=1XCkKxH5tvbAjLplTwhL37hLAMafFYCza" TargetMode="External"/><Relationship Id="rId48" Type="http://schemas.openxmlformats.org/officeDocument/2006/relationships/hyperlink" Target="https://drive.google.com/open?id=1MdC5O9ggY1b1qeboo629YWRID0qMGPuE" TargetMode="External"/><Relationship Id="rId187" Type="http://schemas.openxmlformats.org/officeDocument/2006/relationships/hyperlink" Target="https://drive.google.com/open?id=1OxrawQw-HRSC5CPp977i4qwEEHu2dwqe" TargetMode="External"/><Relationship Id="rId47" Type="http://schemas.openxmlformats.org/officeDocument/2006/relationships/hyperlink" Target="https://drive.google.com/open?id=1ujAjQ5aRljD81iqin-LTLa_2gTz7Sa5i" TargetMode="External"/><Relationship Id="rId186" Type="http://schemas.openxmlformats.org/officeDocument/2006/relationships/hyperlink" Target="https://drive.google.com/open?id=1lJWNvlc99D8x1hGAsRZe5wfnrX6oWX3C" TargetMode="External"/><Relationship Id="rId185" Type="http://schemas.openxmlformats.org/officeDocument/2006/relationships/hyperlink" Target="https://drive.google.com/open?id=1kOs5UvCmxQPi4XK6Ov8Te61VhrkqpFha" TargetMode="External"/><Relationship Id="rId49" Type="http://schemas.openxmlformats.org/officeDocument/2006/relationships/hyperlink" Target="https://drive.google.com/open?id=1M8rLm7k-60hBvqDGqAn4jUpEGYKkclPj" TargetMode="External"/><Relationship Id="rId184" Type="http://schemas.openxmlformats.org/officeDocument/2006/relationships/hyperlink" Target="https://drive.google.com/open?id=1K3fVAedOsP979j9uEwb_mW5nFRnhM9Pf" TargetMode="External"/><Relationship Id="rId189" Type="http://schemas.openxmlformats.org/officeDocument/2006/relationships/hyperlink" Target="https://drive.google.com/open?id=1Ycqcm2u9UKxTDlcf6Bj34obqiaT3bASD" TargetMode="External"/><Relationship Id="rId188" Type="http://schemas.openxmlformats.org/officeDocument/2006/relationships/hyperlink" Target="https://drive.google.com/open?id=1fUSgflTPC_Y1rY23AKWTqvl4hSFJSvAh" TargetMode="External"/><Relationship Id="rId31" Type="http://schemas.openxmlformats.org/officeDocument/2006/relationships/hyperlink" Target="https://drive.google.com/open?id=16SUpFIFES7kySWhJW6n7Wx13RrGxBzih" TargetMode="External"/><Relationship Id="rId30" Type="http://schemas.openxmlformats.org/officeDocument/2006/relationships/hyperlink" Target="https://drive.google.com/open?id=19BlVwsVZSXvIOzuiuxdR7gUJASZFmrKl" TargetMode="External"/><Relationship Id="rId33" Type="http://schemas.openxmlformats.org/officeDocument/2006/relationships/hyperlink" Target="https://drive.google.com/open?id=1Ub6X5ggfyB-i8un9cl0-iYEYO6diK-_A" TargetMode="External"/><Relationship Id="rId183" Type="http://schemas.openxmlformats.org/officeDocument/2006/relationships/hyperlink" Target="https://drive.google.com/open?id=12TagdJ_dUz3B1OkeA3hhkKjCPkXBGMeJ" TargetMode="External"/><Relationship Id="rId32" Type="http://schemas.openxmlformats.org/officeDocument/2006/relationships/hyperlink" Target="https://drive.google.com/open?id=18joCZtORiUvEUhsKYLyK4uQlDiAhc5sW" TargetMode="External"/><Relationship Id="rId182" Type="http://schemas.openxmlformats.org/officeDocument/2006/relationships/hyperlink" Target="https://drive.google.com/open?id=1p4XhT3aXGWVKiaIfzpVwqS17HjkCO4cq" TargetMode="External"/><Relationship Id="rId35" Type="http://schemas.openxmlformats.org/officeDocument/2006/relationships/hyperlink" Target="https://drive.google.com/open?id=1NlMxAervj8iWbgUR7uphvsClcG8lOb7v" TargetMode="External"/><Relationship Id="rId181" Type="http://schemas.openxmlformats.org/officeDocument/2006/relationships/hyperlink" Target="https://drive.google.com/open?id=1Giksn6S0udxrXvVgQWlh7tUIlyW3okrm" TargetMode="External"/><Relationship Id="rId34" Type="http://schemas.openxmlformats.org/officeDocument/2006/relationships/hyperlink" Target="https://drive.google.com/open?id=1UZEZlUu1Ip_rZwWorzpNeXkLW5u1pnuF" TargetMode="External"/><Relationship Id="rId180" Type="http://schemas.openxmlformats.org/officeDocument/2006/relationships/hyperlink" Target="https://drive.google.com/open?id=1zo1yJxn7elnL8BvMbodW8U2FpeHRXg4Z" TargetMode="External"/><Relationship Id="rId37" Type="http://schemas.openxmlformats.org/officeDocument/2006/relationships/hyperlink" Target="https://drive.google.com/open?id=1Vvv12LDe3BsF0FB-GpDv6P2TsrBkQ6U-" TargetMode="External"/><Relationship Id="rId176" Type="http://schemas.openxmlformats.org/officeDocument/2006/relationships/hyperlink" Target="https://drive.google.com/open?id=1829qrIoF9egRSSL4Zpl-38rYGombxVRe" TargetMode="External"/><Relationship Id="rId36" Type="http://schemas.openxmlformats.org/officeDocument/2006/relationships/hyperlink" Target="https://drive.google.com/open?id=1PCbWVOgPuwPIugn654D28mkqBTrZV9QR" TargetMode="External"/><Relationship Id="rId175" Type="http://schemas.openxmlformats.org/officeDocument/2006/relationships/hyperlink" Target="https://drive.google.com/open?id=15t2_qtHg7Wl8D6WF543QFyf4lSXIXCoE" TargetMode="External"/><Relationship Id="rId39" Type="http://schemas.openxmlformats.org/officeDocument/2006/relationships/hyperlink" Target="https://drive.google.com/open?id=1cQhflejHisostpQ6D1t95qUcD3BF5kHM" TargetMode="External"/><Relationship Id="rId174" Type="http://schemas.openxmlformats.org/officeDocument/2006/relationships/hyperlink" Target="https://drive.google.com/open?id=1PthsCA9CiDO5nbHx7Dkq-kwFTihbmc28" TargetMode="External"/><Relationship Id="rId38" Type="http://schemas.openxmlformats.org/officeDocument/2006/relationships/hyperlink" Target="https://drive.google.com/open?id=1szhpRtBkzuGmFdoh23JlItL6XYSQdqkT" TargetMode="External"/><Relationship Id="rId173" Type="http://schemas.openxmlformats.org/officeDocument/2006/relationships/hyperlink" Target="https://drive.google.com/open?id=1VhDPFDKtCoquZNGuW-zH2Sr5DaLdHZ7F" TargetMode="External"/><Relationship Id="rId179" Type="http://schemas.openxmlformats.org/officeDocument/2006/relationships/hyperlink" Target="https://drive.google.com/open?id=1iRZv0jXhD7x-PxBOFl3euGrJ7qFQQJsC" TargetMode="External"/><Relationship Id="rId178" Type="http://schemas.openxmlformats.org/officeDocument/2006/relationships/hyperlink" Target="https://drive.google.com/open?id=1o48Dc-G9hFzX6UFBIAcoFNZggJNQSgQJ" TargetMode="External"/><Relationship Id="rId177" Type="http://schemas.openxmlformats.org/officeDocument/2006/relationships/hyperlink" Target="https://drive.google.com/open?id=1HCXUx5ZvwZqDJwUHjCC8F7YArMrULmJ2" TargetMode="External"/><Relationship Id="rId20" Type="http://schemas.openxmlformats.org/officeDocument/2006/relationships/hyperlink" Target="https://drive.google.com/open?id=17iwBZ2s_nekL7pBYO5UjMj7hLZLDmGJt" TargetMode="External"/><Relationship Id="rId22" Type="http://schemas.openxmlformats.org/officeDocument/2006/relationships/hyperlink" Target="https://drive.google.com/open?id=1JjXPklAHDXvqHY-gPk5ZXZaP6impKdYh" TargetMode="External"/><Relationship Id="rId21" Type="http://schemas.openxmlformats.org/officeDocument/2006/relationships/hyperlink" Target="https://drive.google.com/open?id=1j3hA5qxgRJ9f2MBxv1Naum19EknyApBg" TargetMode="External"/><Relationship Id="rId24" Type="http://schemas.openxmlformats.org/officeDocument/2006/relationships/hyperlink" Target="https://drive.google.com/open?id=1g5vHl6EJwnhl_Rh7o7qLZ2Zjvs7o3TLl" TargetMode="External"/><Relationship Id="rId23" Type="http://schemas.openxmlformats.org/officeDocument/2006/relationships/hyperlink" Target="https://drive.google.com/open?id=1aM-kZjZ2tXLTVK1JdINEqJh88HnzCCwO" TargetMode="External"/><Relationship Id="rId26" Type="http://schemas.openxmlformats.org/officeDocument/2006/relationships/hyperlink" Target="https://drive.google.com/open?id=1qLMGxILdJzCtcl5xCzoIdzb3I4hBtssN" TargetMode="External"/><Relationship Id="rId25" Type="http://schemas.openxmlformats.org/officeDocument/2006/relationships/hyperlink" Target="https://drive.google.com/open?id=13HFtCG_b61-lhSD1EX5Z5ZOulmonlGHC" TargetMode="External"/><Relationship Id="rId28" Type="http://schemas.openxmlformats.org/officeDocument/2006/relationships/hyperlink" Target="https://drive.google.com/open?id=1DzvoWYyTei32wqpynogCKY1EgJFxGFBE" TargetMode="External"/><Relationship Id="rId27" Type="http://schemas.openxmlformats.org/officeDocument/2006/relationships/hyperlink" Target="https://drive.google.com/open?id=1daQYV6_SjWDOJQW2v0BpUJtbrTAMjgQy" TargetMode="External"/><Relationship Id="rId29" Type="http://schemas.openxmlformats.org/officeDocument/2006/relationships/hyperlink" Target="https://drive.google.com/open?id=1Hvhxx5ZJGrpMjtephPf8-51uqwG4HX4f" TargetMode="External"/><Relationship Id="rId11" Type="http://schemas.openxmlformats.org/officeDocument/2006/relationships/hyperlink" Target="https://drive.google.com/open?id=1G2IsBZ8gvriEzxGSOFoijHrP6hays-8b" TargetMode="External"/><Relationship Id="rId10" Type="http://schemas.openxmlformats.org/officeDocument/2006/relationships/hyperlink" Target="https://drive.google.com/open?id=13ouyZXN0ljTN_zvS8GkNg0D3Ji62jakj" TargetMode="External"/><Relationship Id="rId13" Type="http://schemas.openxmlformats.org/officeDocument/2006/relationships/hyperlink" Target="https://drive.google.com/open?id=13HYWpdQGNXO-JNSIf4AjTazCNvniGT1b" TargetMode="External"/><Relationship Id="rId12" Type="http://schemas.openxmlformats.org/officeDocument/2006/relationships/hyperlink" Target="https://drive.google.com/open?id=10txk8P5vtpVSgcl1JPmZD-eBd7gII5C0" TargetMode="External"/><Relationship Id="rId15" Type="http://schemas.openxmlformats.org/officeDocument/2006/relationships/hyperlink" Target="https://drive.google.com/open?id=1gphWSJ5rv-UFFNom16tT5SJb0rZKxR4z" TargetMode="External"/><Relationship Id="rId14" Type="http://schemas.openxmlformats.org/officeDocument/2006/relationships/hyperlink" Target="https://drive.google.com/open?id=1FJCGjOd178AJC91AsF9ihl81bGu7w0vO" TargetMode="External"/><Relationship Id="rId17" Type="http://schemas.openxmlformats.org/officeDocument/2006/relationships/hyperlink" Target="https://drive.google.com/open?id=12dyFdEtmg3OmsnzPaA6AQlhnvhmrR6KU" TargetMode="External"/><Relationship Id="rId16" Type="http://schemas.openxmlformats.org/officeDocument/2006/relationships/hyperlink" Target="https://drive.google.com/open?id=1f1gOXLPhalGG3sYUFA4Kjdqy33snZIIZ" TargetMode="External"/><Relationship Id="rId19" Type="http://schemas.openxmlformats.org/officeDocument/2006/relationships/hyperlink" Target="https://drive.google.com/open?id=10zhwUIKK_VAGsrw7gCvgft87NHLSzuCw" TargetMode="External"/><Relationship Id="rId18" Type="http://schemas.openxmlformats.org/officeDocument/2006/relationships/hyperlink" Target="https://drive.google.com/open?id=1yRJvR30f8yBf2EWfJsEQlbqfHtKBgKYa" TargetMode="External"/><Relationship Id="rId84" Type="http://schemas.openxmlformats.org/officeDocument/2006/relationships/hyperlink" Target="https://drive.google.com/open?id=1kiRq7oTN-hU37HT5PA1hfswfoOoP3XSh" TargetMode="External"/><Relationship Id="rId83" Type="http://schemas.openxmlformats.org/officeDocument/2006/relationships/hyperlink" Target="https://drive.google.com/open?id=1-DCCHplIc-91VChfWLH5_DCMo8y6UaZ4" TargetMode="External"/><Relationship Id="rId86" Type="http://schemas.openxmlformats.org/officeDocument/2006/relationships/hyperlink" Target="https://drive.google.com/open?id=19f7oNihHTBU6Ev8BM_vOEK91MH8faBdA" TargetMode="External"/><Relationship Id="rId85" Type="http://schemas.openxmlformats.org/officeDocument/2006/relationships/hyperlink" Target="https://drive.google.com/open?id=1WPgqlVIadiGd9ekDAVwi6--BlwBySi-6" TargetMode="External"/><Relationship Id="rId88" Type="http://schemas.openxmlformats.org/officeDocument/2006/relationships/hyperlink" Target="https://drive.google.com/open?id=1Dy4vvZ1SH8HzS7Te0xDJrsj_S3ggTLdi" TargetMode="External"/><Relationship Id="rId150" Type="http://schemas.openxmlformats.org/officeDocument/2006/relationships/hyperlink" Target="https://drive.google.com/open?id=1OF6GUFA6rsveNTnIhURNQRAxiUDS9LWR" TargetMode="External"/><Relationship Id="rId87" Type="http://schemas.openxmlformats.org/officeDocument/2006/relationships/hyperlink" Target="https://drive.google.com/open?id=1BTimHLMebnPUSfpZd8odKVRTUGoZ6IN4" TargetMode="External"/><Relationship Id="rId89" Type="http://schemas.openxmlformats.org/officeDocument/2006/relationships/hyperlink" Target="https://drive.google.com/open?id=1-UUxGRQLkkHCyIgNyZhXOf5QlgWlaFKI" TargetMode="External"/><Relationship Id="rId80" Type="http://schemas.openxmlformats.org/officeDocument/2006/relationships/hyperlink" Target="https://drive.google.com/open?id=1aZlo-uK88NEHehOxD_jlh9GgC31ql8zG" TargetMode="External"/><Relationship Id="rId82" Type="http://schemas.openxmlformats.org/officeDocument/2006/relationships/hyperlink" Target="https://drive.google.com/open?id=1iYQDuEF2J8aolpUyxSLujFdsA2IvlwIg" TargetMode="External"/><Relationship Id="rId81" Type="http://schemas.openxmlformats.org/officeDocument/2006/relationships/hyperlink" Target="https://drive.google.com/open?id=1S4l3tGLt8V8mIONpfJlXzGnJUwNVETqL" TargetMode="External"/><Relationship Id="rId1" Type="http://schemas.openxmlformats.org/officeDocument/2006/relationships/comments" Target="../comments3.xml"/><Relationship Id="rId2" Type="http://schemas.openxmlformats.org/officeDocument/2006/relationships/hyperlink" Target="https://drive.google.com/open?id=1HTXLo_8pS878zh8UrIy1K-Z-IC2Ks7ER" TargetMode="External"/><Relationship Id="rId3" Type="http://schemas.openxmlformats.org/officeDocument/2006/relationships/hyperlink" Target="https://drive.google.com/open?id=1ZPvz4EjpYA5tvz3DZxl2eiuIMBfaB1Fc" TargetMode="External"/><Relationship Id="rId149" Type="http://schemas.openxmlformats.org/officeDocument/2006/relationships/hyperlink" Target="https://drive.google.com/open?id=1hdytJjny5IMZLndiW9W77ALXWLmVHejp" TargetMode="External"/><Relationship Id="rId4" Type="http://schemas.openxmlformats.org/officeDocument/2006/relationships/hyperlink" Target="https://drive.google.com/open?id=1eqJwXq-TeaEV2u036Hk7JKnv2VG-VSMA" TargetMode="External"/><Relationship Id="rId148" Type="http://schemas.openxmlformats.org/officeDocument/2006/relationships/hyperlink" Target="https://drive.google.com/open?id=1aS9eoBA5QILZTLXEsPQsDYOn6jsudXfS" TargetMode="External"/><Relationship Id="rId9" Type="http://schemas.openxmlformats.org/officeDocument/2006/relationships/hyperlink" Target="https://drive.google.com/open?id=1uxxZzyZCvDHe-GezILPDIV4KCUsnODST" TargetMode="External"/><Relationship Id="rId143" Type="http://schemas.openxmlformats.org/officeDocument/2006/relationships/hyperlink" Target="https://drive.google.com/open?id=1ytzQkGqM1QBv3Jy73fvTdwfD5vAjTGQ9" TargetMode="External"/><Relationship Id="rId142" Type="http://schemas.openxmlformats.org/officeDocument/2006/relationships/hyperlink" Target="https://drive.google.com/open?id=15ZsPgyu8SJ6sDv14FaEMN-6aDaaK3O-U" TargetMode="External"/><Relationship Id="rId141" Type="http://schemas.openxmlformats.org/officeDocument/2006/relationships/hyperlink" Target="https://drive.google.com/open?id=15jVSg5xUQwnbprGcDLyRvmZlrfs3WqQa" TargetMode="External"/><Relationship Id="rId140" Type="http://schemas.openxmlformats.org/officeDocument/2006/relationships/hyperlink" Target="https://drive.google.com/open?id=1AeVTo5SIa30QmzYLeP6E6DM5yBCnLD6O" TargetMode="External"/><Relationship Id="rId5" Type="http://schemas.openxmlformats.org/officeDocument/2006/relationships/hyperlink" Target="https://drive.google.com/open?id=1fIhwR_xpjbUsfPXyGlDGfl1UEPyCcGYL" TargetMode="External"/><Relationship Id="rId147" Type="http://schemas.openxmlformats.org/officeDocument/2006/relationships/hyperlink" Target="https://drive.google.com/open?id=1Xa2nBbftQw446EUdfvhWsx35k0w1E3YT" TargetMode="External"/><Relationship Id="rId6" Type="http://schemas.openxmlformats.org/officeDocument/2006/relationships/hyperlink" Target="https://drive.google.com/open?id=1dfB8vKWwKYrDyk6-G8lRD1irecPHMHAH" TargetMode="External"/><Relationship Id="rId146" Type="http://schemas.openxmlformats.org/officeDocument/2006/relationships/hyperlink" Target="https://drive.google.com/open?id=1aMRLUpibnYphUZheX3jhf9C68OsZCFpG" TargetMode="External"/><Relationship Id="rId7" Type="http://schemas.openxmlformats.org/officeDocument/2006/relationships/hyperlink" Target="https://drive.google.com/open?id=11fnPNhGPFqx0jn2KdkeSoCxV1GgC8J32" TargetMode="External"/><Relationship Id="rId145" Type="http://schemas.openxmlformats.org/officeDocument/2006/relationships/hyperlink" Target="https://drive.google.com/open?id=19aqsCXWeT5B7v-QSZehiRcTmNS28OM1q" TargetMode="External"/><Relationship Id="rId8" Type="http://schemas.openxmlformats.org/officeDocument/2006/relationships/hyperlink" Target="https://drive.google.com/open?id=1E4K6yZvpKIB_5cVgv4R-HCPCSmC_9m4R" TargetMode="External"/><Relationship Id="rId144" Type="http://schemas.openxmlformats.org/officeDocument/2006/relationships/hyperlink" Target="https://drive.google.com/open?id=1Lj__LJaTvs_AAFIVleh-cnU_ttZuKiLc" TargetMode="External"/><Relationship Id="rId73" Type="http://schemas.openxmlformats.org/officeDocument/2006/relationships/hyperlink" Target="https://drive.google.com/open?id=1YGcW4GhSkEVGvJjy3Ia9qWNOpy62mWp4" TargetMode="External"/><Relationship Id="rId72" Type="http://schemas.openxmlformats.org/officeDocument/2006/relationships/hyperlink" Target="https://drive.google.com/open?id=14y_pcVrhnsfax5J_waESCu7yckSgqMk1" TargetMode="External"/><Relationship Id="rId75" Type="http://schemas.openxmlformats.org/officeDocument/2006/relationships/hyperlink" Target="https://drive.google.com/open?id=193amDgQIZ0yzvr8-qwMY-jS3_ovegmBz" TargetMode="External"/><Relationship Id="rId74" Type="http://schemas.openxmlformats.org/officeDocument/2006/relationships/hyperlink" Target="https://drive.google.com/open?id=1g7lI1kG2cZp066CldnM2rMbCHEniyfKQ" TargetMode="External"/><Relationship Id="rId77" Type="http://schemas.openxmlformats.org/officeDocument/2006/relationships/hyperlink" Target="https://drive.google.com/open?id=1ZxBQuwyCon6MBYL0HMDSnvM6vZBTlDrE" TargetMode="External"/><Relationship Id="rId76" Type="http://schemas.openxmlformats.org/officeDocument/2006/relationships/hyperlink" Target="https://drive.google.com/open?id=1tzpORsVhBT9bmdLo9Qxe7R2IoqEuYw5h" TargetMode="External"/><Relationship Id="rId79" Type="http://schemas.openxmlformats.org/officeDocument/2006/relationships/hyperlink" Target="https://drive.google.com/open?id=1jqiwIp7bNfDc9NDE6lPdVaKai3daO4Yt" TargetMode="External"/><Relationship Id="rId78" Type="http://schemas.openxmlformats.org/officeDocument/2006/relationships/hyperlink" Target="https://drive.google.com/open?id=1Pa5cGmp28ra3y1U2-lQrHubmxwWzQEmK" TargetMode="External"/><Relationship Id="rId71" Type="http://schemas.openxmlformats.org/officeDocument/2006/relationships/hyperlink" Target="https://drive.google.com/open?id=1l4ObItHwFXPOwVYwLjuIw41pwYUwY5Pa" TargetMode="External"/><Relationship Id="rId70" Type="http://schemas.openxmlformats.org/officeDocument/2006/relationships/hyperlink" Target="https://drive.google.com/open?id=1H4KxiElsboTRQU6BqyefUw_NIFoy_7WZ" TargetMode="External"/><Relationship Id="rId139" Type="http://schemas.openxmlformats.org/officeDocument/2006/relationships/hyperlink" Target="https://drive.google.com/open?id=17nw1hQ724iOqG49tDc4ODtKvX4K2p6u3" TargetMode="External"/><Relationship Id="rId138" Type="http://schemas.openxmlformats.org/officeDocument/2006/relationships/hyperlink" Target="https://drive.google.com/open?id=1XURugugrmwigqlS_ZE_mnJu_g6Vn3agU" TargetMode="External"/><Relationship Id="rId137" Type="http://schemas.openxmlformats.org/officeDocument/2006/relationships/hyperlink" Target="https://drive.google.com/open?id=1zYjCWz2lf8MEQC2lClg_ci_91ImbijX3" TargetMode="External"/><Relationship Id="rId132" Type="http://schemas.openxmlformats.org/officeDocument/2006/relationships/hyperlink" Target="https://drive.google.com/open?id=1DXoLI6YM2jaU2eAxa66EsGzzeA9X-VRS" TargetMode="External"/><Relationship Id="rId131" Type="http://schemas.openxmlformats.org/officeDocument/2006/relationships/hyperlink" Target="https://drive.google.com/open?id=1gKJNzFElCc__9AUwuCtiVeSj9Q3K_aUU" TargetMode="External"/><Relationship Id="rId130" Type="http://schemas.openxmlformats.org/officeDocument/2006/relationships/hyperlink" Target="https://drive.google.com/open?id=1j1pmLYu2Wv5Z496lyR_cnQVkPvQ5xu8_" TargetMode="External"/><Relationship Id="rId136" Type="http://schemas.openxmlformats.org/officeDocument/2006/relationships/hyperlink" Target="https://drive.google.com/open?id=1jVIIO7h4VD7eHYy-hPsPvlSuxW9BSO82" TargetMode="External"/><Relationship Id="rId135" Type="http://schemas.openxmlformats.org/officeDocument/2006/relationships/hyperlink" Target="https://drive.google.com/open?id=1TAF1_dZf1soagk0nlgCD5-KV3T5g7vy3" TargetMode="External"/><Relationship Id="rId134" Type="http://schemas.openxmlformats.org/officeDocument/2006/relationships/hyperlink" Target="https://drive.google.com/open?id=1_V3NtyLTwzD1obt5lJaWCldUTbDuAwD_" TargetMode="External"/><Relationship Id="rId133" Type="http://schemas.openxmlformats.org/officeDocument/2006/relationships/hyperlink" Target="https://drive.google.com/open?id=1wl_wXZI5g4irEFPfxhV9RGZmXv-I-FDZ" TargetMode="External"/><Relationship Id="rId62" Type="http://schemas.openxmlformats.org/officeDocument/2006/relationships/hyperlink" Target="https://drive.google.com/open?id=1qpu5kblbB-cr2pXS0UKh6zg1-7wWtfvE" TargetMode="External"/><Relationship Id="rId61" Type="http://schemas.openxmlformats.org/officeDocument/2006/relationships/hyperlink" Target="https://drive.google.com/open?id=18m-L6iKMs-rKV2nlQefcuDPIAk1KWugR" TargetMode="External"/><Relationship Id="rId64" Type="http://schemas.openxmlformats.org/officeDocument/2006/relationships/hyperlink" Target="https://drive.google.com/open?id=1-NJ1EFlDiVYiXIymy9oofmFtnzIUXITq" TargetMode="External"/><Relationship Id="rId63" Type="http://schemas.openxmlformats.org/officeDocument/2006/relationships/hyperlink" Target="https://drive.google.com/open?id=17FCK4GeITnzu85mZBx8fDbnxLgJWQ_T5" TargetMode="External"/><Relationship Id="rId66" Type="http://schemas.openxmlformats.org/officeDocument/2006/relationships/hyperlink" Target="https://drive.google.com/open?id=1oeSnJqqVREmYyneOQjGA7yytrHmR3pJZ" TargetMode="External"/><Relationship Id="rId172" Type="http://schemas.openxmlformats.org/officeDocument/2006/relationships/hyperlink" Target="https://drive.google.com/open?id=1Tlg-FquaGWQ7rpz2-yLS-ddMLdrhHEDJ" TargetMode="External"/><Relationship Id="rId65" Type="http://schemas.openxmlformats.org/officeDocument/2006/relationships/hyperlink" Target="https://drive.google.com/open?id=1GqR1VxZGXkHRmmTJhOGZlGfeyEeBh6-f" TargetMode="External"/><Relationship Id="rId171" Type="http://schemas.openxmlformats.org/officeDocument/2006/relationships/hyperlink" Target="https://drive.google.com/open?id=1zfj8HYrkjkR-Dg9XWdBD736pImj_AUX5" TargetMode="External"/><Relationship Id="rId68" Type="http://schemas.openxmlformats.org/officeDocument/2006/relationships/hyperlink" Target="https://drive.google.com/open?id=115UY_6BhiBhHwGvecNWXTFTd4S3k9-KC" TargetMode="External"/><Relationship Id="rId170" Type="http://schemas.openxmlformats.org/officeDocument/2006/relationships/hyperlink" Target="https://drive.google.com/open?id=1Dmm4MbT7-g9_kYl6KJGlK5IfvHZEiqKc" TargetMode="External"/><Relationship Id="rId67" Type="http://schemas.openxmlformats.org/officeDocument/2006/relationships/hyperlink" Target="https://drive.google.com/open?id=18m6kcFBkU81B5KJvTlsFqxTKq0g82Lnw" TargetMode="External"/><Relationship Id="rId60" Type="http://schemas.openxmlformats.org/officeDocument/2006/relationships/hyperlink" Target="https://drive.google.com/open?id=1EG3qWWvaUZXYYUiiqIUq5avT8cbGq7-C" TargetMode="External"/><Relationship Id="rId165" Type="http://schemas.openxmlformats.org/officeDocument/2006/relationships/hyperlink" Target="https://drive.google.com/open?id=14j7aeETLyYY3ffyndAjgUB7dlGzi-KPk" TargetMode="External"/><Relationship Id="rId69" Type="http://schemas.openxmlformats.org/officeDocument/2006/relationships/hyperlink" Target="https://drive.google.com/open?id=13IYavlqkUqh1p45il0yQ5VLIUpfI7OsE" TargetMode="External"/><Relationship Id="rId164" Type="http://schemas.openxmlformats.org/officeDocument/2006/relationships/hyperlink" Target="https://drive.google.com/open?id=1wTP5WX7uEhH58mTWTKQcrZXE2rcZZ0r1" TargetMode="External"/><Relationship Id="rId163" Type="http://schemas.openxmlformats.org/officeDocument/2006/relationships/hyperlink" Target="https://drive.google.com/open?id=1IH_w8rTslYKEnFfB56KLOGFppj3ZluiJ" TargetMode="External"/><Relationship Id="rId162" Type="http://schemas.openxmlformats.org/officeDocument/2006/relationships/hyperlink" Target="https://drive.google.com/open?id=1Gq-2H2mesGajCrn51jXmWdMu3V_QH7nu" TargetMode="External"/><Relationship Id="rId169" Type="http://schemas.openxmlformats.org/officeDocument/2006/relationships/hyperlink" Target="https://drive.google.com/open?id=1vY8BgwZjSfVoegJlBee-kwjmp1ZEIVA9" TargetMode="External"/><Relationship Id="rId168" Type="http://schemas.openxmlformats.org/officeDocument/2006/relationships/hyperlink" Target="https://drive.google.com/open?id=10mGUvzkvFtTTqzsx7SrzSdq8PN_Kyxze" TargetMode="External"/><Relationship Id="rId167" Type="http://schemas.openxmlformats.org/officeDocument/2006/relationships/hyperlink" Target="https://drive.google.com/open?id=1XjisKyT0LTnNITRrw6_rrWMccX0zTKO4" TargetMode="External"/><Relationship Id="rId166" Type="http://schemas.openxmlformats.org/officeDocument/2006/relationships/hyperlink" Target="https://drive.google.com/open?id=1HfKcuT9jEeO5wJnpkASQLeKSvpTPcKk7" TargetMode="External"/><Relationship Id="rId51" Type="http://schemas.openxmlformats.org/officeDocument/2006/relationships/hyperlink" Target="https://drive.google.com/open?id=1gnOvL4nbYdYLgsYv9zEmMchfXEzwNqWx" TargetMode="External"/><Relationship Id="rId50" Type="http://schemas.openxmlformats.org/officeDocument/2006/relationships/hyperlink" Target="https://drive.google.com/open?id=1NzGe8XiIQpOBDfsPIgyXjYPVZw_2k69B" TargetMode="External"/><Relationship Id="rId53" Type="http://schemas.openxmlformats.org/officeDocument/2006/relationships/hyperlink" Target="https://drive.google.com/open?id=1t-smzR2Z_-EM6nLOTuo_7tVPVYIysdXz" TargetMode="External"/><Relationship Id="rId52" Type="http://schemas.openxmlformats.org/officeDocument/2006/relationships/hyperlink" Target="https://drive.google.com/open?id=1dU3PVQ3vBokh4O5SqwtAJ-RE6tRtpPm3" TargetMode="External"/><Relationship Id="rId55" Type="http://schemas.openxmlformats.org/officeDocument/2006/relationships/hyperlink" Target="https://drive.google.com/open?id=1dStSwAP6cMNtBOpFlD7M8Vm6X9T3C1bs" TargetMode="External"/><Relationship Id="rId161" Type="http://schemas.openxmlformats.org/officeDocument/2006/relationships/hyperlink" Target="https://drive.google.com/open?id=1Cz61SR7X1kHnSXI5FzIPHRlaaEAWjlJz" TargetMode="External"/><Relationship Id="rId54" Type="http://schemas.openxmlformats.org/officeDocument/2006/relationships/hyperlink" Target="https://drive.google.com/open?id=1F5xQD4wl2clrFt8imYu8TyEmdIJTyVMo" TargetMode="External"/><Relationship Id="rId160" Type="http://schemas.openxmlformats.org/officeDocument/2006/relationships/hyperlink" Target="https://drive.google.com/open?id=1znpIIwSdNZU32plnmwdlGvHYVPcfejX4" TargetMode="External"/><Relationship Id="rId57" Type="http://schemas.openxmlformats.org/officeDocument/2006/relationships/hyperlink" Target="https://drive.google.com/open?id=1fRKsRU4n1gR1BFH1x0Nn0Hi1rBLmKvO_" TargetMode="External"/><Relationship Id="rId56" Type="http://schemas.openxmlformats.org/officeDocument/2006/relationships/hyperlink" Target="https://drive.google.com/open?id=1F-vZAcDLwsvO_y3EHD34eJRAwFADep70" TargetMode="External"/><Relationship Id="rId159" Type="http://schemas.openxmlformats.org/officeDocument/2006/relationships/hyperlink" Target="https://drive.google.com/open?id=1xLQj562GePI7pZ-HYhXfqo5mh36UIxLQ" TargetMode="External"/><Relationship Id="rId59" Type="http://schemas.openxmlformats.org/officeDocument/2006/relationships/hyperlink" Target="https://drive.google.com/open?id=1KOj8cNJsVzk_sx5N9VMT0WI7aeSP2mq2" TargetMode="External"/><Relationship Id="rId154" Type="http://schemas.openxmlformats.org/officeDocument/2006/relationships/hyperlink" Target="https://drive.google.com/open?id=1tr3r4wb_EZiOXD4ykA29DRsq76VodplI" TargetMode="External"/><Relationship Id="rId58" Type="http://schemas.openxmlformats.org/officeDocument/2006/relationships/hyperlink" Target="https://drive.google.com/open?id=1ooZ9rK5RoqTMjAHFo6VyZAnB-p7e75oB" TargetMode="External"/><Relationship Id="rId153" Type="http://schemas.openxmlformats.org/officeDocument/2006/relationships/hyperlink" Target="https://drive.google.com/open?id=1BQ7xdtXLl4LvLLHkafjeR2cWax4bxSft" TargetMode="External"/><Relationship Id="rId152" Type="http://schemas.openxmlformats.org/officeDocument/2006/relationships/hyperlink" Target="https://drive.google.com/open?id=1AKqxQDnHGE1wwXMogAOrPh45QnDysAmY" TargetMode="External"/><Relationship Id="rId151" Type="http://schemas.openxmlformats.org/officeDocument/2006/relationships/hyperlink" Target="https://drive.google.com/open?id=1g5drjmx2GkEq0_gbolS5mMd3OLJJ7IwL" TargetMode="External"/><Relationship Id="rId158" Type="http://schemas.openxmlformats.org/officeDocument/2006/relationships/hyperlink" Target="https://drive.google.com/open?id=1QNywWb4lEhi9Bx_aoxo4_BYKOVSfbLNe" TargetMode="External"/><Relationship Id="rId157" Type="http://schemas.openxmlformats.org/officeDocument/2006/relationships/hyperlink" Target="https://drive.google.com/open?id=1sS0pNq3fp3slTuwhNNtRcY2TwsZrZ1nr" TargetMode="External"/><Relationship Id="rId156" Type="http://schemas.openxmlformats.org/officeDocument/2006/relationships/hyperlink" Target="https://drive.google.com/open?id=1vVuDG-s4G-7HGbY7Z-aVGyFiEZ77vI3J" TargetMode="External"/><Relationship Id="rId155" Type="http://schemas.openxmlformats.org/officeDocument/2006/relationships/hyperlink" Target="https://drive.google.com/open?id=1ip5Tv6a-nSKUKEr8pizh5oaoxmuZR6IW" TargetMode="External"/><Relationship Id="rId107" Type="http://schemas.openxmlformats.org/officeDocument/2006/relationships/hyperlink" Target="https://drive.google.com/open?id=1HNtwX5nn5ImBYwi4WzDbc-wqk5wxunEZ" TargetMode="External"/><Relationship Id="rId106" Type="http://schemas.openxmlformats.org/officeDocument/2006/relationships/hyperlink" Target="https://drive.google.com/open?id=1eoFRSBfJZ9y9oz6NGH7DmdxzdFGTOcbh" TargetMode="External"/><Relationship Id="rId105" Type="http://schemas.openxmlformats.org/officeDocument/2006/relationships/hyperlink" Target="https://drive.google.com/open?id=1Yus4xtCq83KreejPuDMCQPPb8IeNTJlD" TargetMode="External"/><Relationship Id="rId104" Type="http://schemas.openxmlformats.org/officeDocument/2006/relationships/hyperlink" Target="https://drive.google.com/open?id=1btD5k_K6ndvkHM4zfmnFJkJ5SE7Omni3" TargetMode="External"/><Relationship Id="rId109" Type="http://schemas.openxmlformats.org/officeDocument/2006/relationships/hyperlink" Target="https://drive.google.com/open?id=1PnbVYYZvS9jtBD_yguoPET5-DQ2FMq0Y" TargetMode="External"/><Relationship Id="rId108" Type="http://schemas.openxmlformats.org/officeDocument/2006/relationships/hyperlink" Target="https://drive.google.com/open?id=1VMX_kCZKuxxSb2sHXAR0i2L6ySSFzigU" TargetMode="External"/><Relationship Id="rId103" Type="http://schemas.openxmlformats.org/officeDocument/2006/relationships/hyperlink" Target="https://drive.google.com/open?id=1-0jBRgtSWUqHnNa-deFAbIWMQ6J3gDyC" TargetMode="External"/><Relationship Id="rId102" Type="http://schemas.openxmlformats.org/officeDocument/2006/relationships/hyperlink" Target="https://drive.google.com/open?id=1EhsZaYkvyzje4yLgpN32xR6KuUDoLQWN" TargetMode="External"/><Relationship Id="rId101" Type="http://schemas.openxmlformats.org/officeDocument/2006/relationships/hyperlink" Target="https://drive.google.com/open?id=1CblEHKVV1JYy20yUs3LPdjgxULbwHTsq" TargetMode="External"/><Relationship Id="rId100" Type="http://schemas.openxmlformats.org/officeDocument/2006/relationships/hyperlink" Target="https://drive.google.com/open?id=15RcgtXKnkd__zdQHJ5Cu04tdWA96j9PI" TargetMode="External"/><Relationship Id="rId129" Type="http://schemas.openxmlformats.org/officeDocument/2006/relationships/hyperlink" Target="https://drive.google.com/open?id=1G35yQ6bK3oaZCB1RIk9e1PBDN1EDUNk7" TargetMode="External"/><Relationship Id="rId128" Type="http://schemas.openxmlformats.org/officeDocument/2006/relationships/hyperlink" Target="https://drive.google.com/open?id=1PKfw7_7ARECpx3PfpX4LmlHai7BXLqln" TargetMode="External"/><Relationship Id="rId127" Type="http://schemas.openxmlformats.org/officeDocument/2006/relationships/hyperlink" Target="https://drive.google.com/open?id=1XgxPegRS0fRVXS-rXN8cXqSB6FHPdoH8" TargetMode="External"/><Relationship Id="rId126" Type="http://schemas.openxmlformats.org/officeDocument/2006/relationships/hyperlink" Target="https://drive.google.com/open?id=1BimxgfxyG351HmLRw6bSQ9B4lHhp6j_f" TargetMode="External"/><Relationship Id="rId121" Type="http://schemas.openxmlformats.org/officeDocument/2006/relationships/hyperlink" Target="https://drive.google.com/open?id=15AhY6vtcglGavreWAS5UBvngNBMPOdtr" TargetMode="External"/><Relationship Id="rId120" Type="http://schemas.openxmlformats.org/officeDocument/2006/relationships/hyperlink" Target="https://drive.google.com/open?id=17Iicn2pkD8lmutvm7Yk5TEXQdKLbU44o" TargetMode="External"/><Relationship Id="rId125" Type="http://schemas.openxmlformats.org/officeDocument/2006/relationships/hyperlink" Target="https://drive.google.com/open?id=1_dfAShFT3i49Olz2_-ItgmlRA6AISHet" TargetMode="External"/><Relationship Id="rId124" Type="http://schemas.openxmlformats.org/officeDocument/2006/relationships/hyperlink" Target="https://drive.google.com/open?id=1j_2UWngEkBlLKLAdwTIp-u-E3Iq4tmYD" TargetMode="External"/><Relationship Id="rId123" Type="http://schemas.openxmlformats.org/officeDocument/2006/relationships/hyperlink" Target="https://drive.google.com/open?id=1bbUBvVFm8aRexemkqQTpJtOUldj31qKc" TargetMode="External"/><Relationship Id="rId122" Type="http://schemas.openxmlformats.org/officeDocument/2006/relationships/hyperlink" Target="https://drive.google.com/open?id=1GLn4-ZKXh5gs4qxM4AFxpU6Y0BRanQuG" TargetMode="External"/><Relationship Id="rId95" Type="http://schemas.openxmlformats.org/officeDocument/2006/relationships/hyperlink" Target="https://drive.google.com/open?id=1xYD7x59jEquR4GYnFbQ0bk5pxjV1mMbu" TargetMode="External"/><Relationship Id="rId94" Type="http://schemas.openxmlformats.org/officeDocument/2006/relationships/hyperlink" Target="https://drive.google.com/open?id=126iL_mjdZ3eO133xZo3cI5tHJhPmhMmG" TargetMode="External"/><Relationship Id="rId97" Type="http://schemas.openxmlformats.org/officeDocument/2006/relationships/hyperlink" Target="https://drive.google.com/open?id=11tG_s5wGISMvsIOUYeAGWMdfS4xSB93s" TargetMode="External"/><Relationship Id="rId96" Type="http://schemas.openxmlformats.org/officeDocument/2006/relationships/hyperlink" Target="https://drive.google.com/open?id=1Mp8FmpoadYeG4blX0JIewIkc2R1iKnje" TargetMode="External"/><Relationship Id="rId99" Type="http://schemas.openxmlformats.org/officeDocument/2006/relationships/hyperlink" Target="https://drive.google.com/open?id=1cEu6kppHlbgYW2FFDyoPJ9YCzxMulTEZ" TargetMode="External"/><Relationship Id="rId98" Type="http://schemas.openxmlformats.org/officeDocument/2006/relationships/hyperlink" Target="https://drive.google.com/open?id=1UYXMMqxoKxcwFYvE8X2Xq9U7JcLtEWrS" TargetMode="External"/><Relationship Id="rId91" Type="http://schemas.openxmlformats.org/officeDocument/2006/relationships/hyperlink" Target="https://drive.google.com/open?id=1LqP70exwc3fG9LtZ925wb8SPG6MEFFfd" TargetMode="External"/><Relationship Id="rId90" Type="http://schemas.openxmlformats.org/officeDocument/2006/relationships/hyperlink" Target="https://drive.google.com/open?id=1m5smgxhRWtulEs0OktzRhQyCwngjdwN3" TargetMode="External"/><Relationship Id="rId93" Type="http://schemas.openxmlformats.org/officeDocument/2006/relationships/hyperlink" Target="https://drive.google.com/open?id=1C-OElHeXXIvt6f4omdphSl8GHLyirIwh" TargetMode="External"/><Relationship Id="rId92" Type="http://schemas.openxmlformats.org/officeDocument/2006/relationships/hyperlink" Target="https://drive.google.com/open?id=1fP9rFPLR7-VadxYTEr_aPBWAO97FVP1R" TargetMode="External"/><Relationship Id="rId118" Type="http://schemas.openxmlformats.org/officeDocument/2006/relationships/hyperlink" Target="https://drive.google.com/open?id=1AlBFW3B5Um_xz4iohuvmwEdBle8SDnnJ" TargetMode="External"/><Relationship Id="rId117" Type="http://schemas.openxmlformats.org/officeDocument/2006/relationships/hyperlink" Target="https://drive.google.com/open?id=1GttSUBebaNedlFTE1FzvT6x0OsYv6gZg" TargetMode="External"/><Relationship Id="rId116" Type="http://schemas.openxmlformats.org/officeDocument/2006/relationships/hyperlink" Target="https://drive.google.com/open?id=15KyUCqwCYO_cDLgXu3dCGbkC5-x69lbQ" TargetMode="External"/><Relationship Id="rId115" Type="http://schemas.openxmlformats.org/officeDocument/2006/relationships/hyperlink" Target="https://drive.google.com/open?id=1yS8gpUwqDjc3aP8cMJNIhwbA3x53xLhZ" TargetMode="External"/><Relationship Id="rId119" Type="http://schemas.openxmlformats.org/officeDocument/2006/relationships/hyperlink" Target="https://drive.google.com/open?id=1diltxcJBwHd_cA_Qv2h2JiKxe4Y1NOEy" TargetMode="External"/><Relationship Id="rId110" Type="http://schemas.openxmlformats.org/officeDocument/2006/relationships/hyperlink" Target="https://drive.google.com/open?id=18uiY4LuxHEwDxQ5PDPDeuoFme3Rpu2p5" TargetMode="External"/><Relationship Id="rId114" Type="http://schemas.openxmlformats.org/officeDocument/2006/relationships/hyperlink" Target="https://drive.google.com/open?id=1yZ6zZNMlvx5cE5AAWem7H0XE0lBgLb5V" TargetMode="External"/><Relationship Id="rId113" Type="http://schemas.openxmlformats.org/officeDocument/2006/relationships/hyperlink" Target="https://drive.google.com/open?id=17NXxcLzJFo7wUZWJAIjdG3iZy03qrzpQ" TargetMode="External"/><Relationship Id="rId112" Type="http://schemas.openxmlformats.org/officeDocument/2006/relationships/hyperlink" Target="https://drive.google.com/open?id=18QLWyZqYrMXWZwptHx28jTLEA0MnRkR-" TargetMode="External"/><Relationship Id="rId111" Type="http://schemas.openxmlformats.org/officeDocument/2006/relationships/hyperlink" Target="https://drive.google.com/open?id=1Dm98UUuGq7ZextkmFntDCmNX6pUmhG2C"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LFbt-1PJ6c9qoDfwMx2pw9f39i21yZvpYWuzSxg0nhk/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5"/>
  </cols>
  <sheetData>
    <row r="1" ht="41.25" customHeight="1">
      <c r="A1" s="1" t="str">
        <f>IFERROR(__xludf.DUMMYFUNCTION("QUERY({
  'APS Tubes Import'!A1:A3090; 
  'ARF Tubes'!M2:M3090
}, 
""SELECT Col1 WHERE Col1 IS NOT NULL"", 0)"),"TUBE ID")</f>
        <v>TUBE ID</v>
      </c>
      <c r="B1" s="1" t="str">
        <f>IFERROR(__xludf.DUMMYFUNCTION("QUERY({
  'APS Tubes Import'!V1:V3090; 
  'ARF Tubes'!N2:N3090
}, 
""SELECT Col1 WHERE Col1 IS NOT NULL"", 0)"),"FINAL
ASSIGNED RUN ID")</f>
        <v>FINAL
ASSIGNED RUN ID</v>
      </c>
      <c r="C1" s="2" t="str">
        <f>'Run Reconcile'!B1</f>
        <v>RUN DATE</v>
      </c>
      <c r="D1" s="3" t="str">
        <f>'APS Tubes Import'!B1</f>
        <v>COLLECTION DATE</v>
      </c>
      <c r="E1" s="3" t="str">
        <f>'APS Tubes Import'!C1</f>
        <v>COLLECTION TIME</v>
      </c>
      <c r="F1" s="1" t="str">
        <f>IFERROR(__xludf.DUMMYFUNCTION("QUERY({
  'APS Tubes Import'!H1:H3090; 
  'ARF Tubes'!P2:P3090
}, 
""SELECT Col1 WHERE Col1 IS NOT NULL"", 0)"),"FINAL RESULT")</f>
        <v>FINAL RESULT</v>
      </c>
      <c r="G1" s="4" t="str">
        <f>'APS Tubes Import'!N1</f>
        <v>NUM SAMPLES (Pool Level)</v>
      </c>
      <c r="H1" s="5"/>
      <c r="I1" s="5"/>
      <c r="J1" s="5"/>
      <c r="K1" s="5"/>
      <c r="L1" s="5"/>
      <c r="M1" s="5"/>
      <c r="N1" s="5"/>
      <c r="O1" s="5"/>
      <c r="P1" s="5"/>
      <c r="Q1" s="5"/>
      <c r="R1" s="5"/>
      <c r="S1" s="5"/>
      <c r="T1" s="5"/>
      <c r="U1" s="5"/>
      <c r="V1" s="5"/>
      <c r="W1" s="5"/>
      <c r="X1" s="5"/>
      <c r="Y1" s="5"/>
    </row>
    <row r="2">
      <c r="A2" s="6" t="str">
        <f>IFERROR(__xludf.DUMMYFUNCTION("""COMPUTED_VALUE"""),"MA124")</f>
        <v>MA124</v>
      </c>
      <c r="B2" s="6" t="str">
        <f>IFERROR(__xludf.DUMMYFUNCTION("""COMPUTED_VALUE"""),"RUN-COMB_2022-03-20_RFR-001")</f>
        <v>RUN-COMB_2022-03-20_RFR-001</v>
      </c>
      <c r="C2" s="7">
        <f>VLOOKUP(B2,'Run Reconcile'!A$2:B3090,2,FALSE)</f>
        <v>44640</v>
      </c>
      <c r="D2" s="8">
        <f>IFERROR(__xludf.DUMMYFUNCTION("QUERY({
  'APS Tubes Import'!B2:B3090
}, 
""SELECT Col1 WHERE Col1 IS NOT NULL"", 0)"),44640.0)</f>
        <v>44640</v>
      </c>
      <c r="E2" s="9">
        <f>IFERROR(__xludf.DUMMYFUNCTION("QUERY({
  'APS Tubes Import'!C2:C3090; 
  'ARF Tubes'!P2:P3090
}, 
""SELECT Col1 WHERE Col1 IS NOT NULL"", 0)"),0.669537037036207)</f>
        <v>0.669537037</v>
      </c>
      <c r="F2" s="6" t="str">
        <f>IFERROR(__xludf.DUMMYFUNCTION("""COMPUTED_VALUE"""),"Negative")</f>
        <v>Negative</v>
      </c>
      <c r="G2" s="10">
        <f>IFERROR(__xludf.DUMMYFUNCTION("QUERY({
  'APS Tubes Import'!N2:N3090
}, 
""SELECT Col1 WHERE Col1 IS NOT NULL"", 0)"),1.0)</f>
        <v>1</v>
      </c>
    </row>
    <row r="3">
      <c r="A3" s="6" t="str">
        <f>IFERROR(__xludf.DUMMYFUNCTION("""COMPUTED_VALUE"""),"MA212")</f>
        <v>MA212</v>
      </c>
      <c r="B3" s="6" t="str">
        <f>IFERROR(__xludf.DUMMYFUNCTION("""COMPUTED_VALUE"""),"RUN-COMB_2022-03-20_RFR-001")</f>
        <v>RUN-COMB_2022-03-20_RFR-001</v>
      </c>
      <c r="C3" s="7">
        <f>VLOOKUP(B3,'Run Reconcile'!A$2:B3090,2,FALSE)</f>
        <v>44640</v>
      </c>
      <c r="D3" s="11">
        <f>IFERROR(__xludf.DUMMYFUNCTION("""COMPUTED_VALUE"""),44640.0)</f>
        <v>44640</v>
      </c>
      <c r="E3" s="12">
        <f>IFERROR(__xludf.DUMMYFUNCTION("""COMPUTED_VALUE"""),0.6711689814801503)</f>
        <v>0.6711689815</v>
      </c>
      <c r="F3" s="6" t="str">
        <f>IFERROR(__xludf.DUMMYFUNCTION("""COMPUTED_VALUE"""),"Negative")</f>
        <v>Negative</v>
      </c>
      <c r="G3" s="6">
        <f>IFERROR(__xludf.DUMMYFUNCTION("""COMPUTED_VALUE"""),1.0)</f>
        <v>1</v>
      </c>
    </row>
    <row r="4">
      <c r="A4" s="6" t="str">
        <f>IFERROR(__xludf.DUMMYFUNCTION("""COMPUTED_VALUE"""),"MA145")</f>
        <v>MA145</v>
      </c>
      <c r="B4" s="6" t="str">
        <f>IFERROR(__xludf.DUMMYFUNCTION("""COMPUTED_VALUE"""),"RUN-COMB_2022-03-20_RFR-001")</f>
        <v>RUN-COMB_2022-03-20_RFR-001</v>
      </c>
      <c r="C4" s="7">
        <f>VLOOKUP(B4,'Run Reconcile'!A$2:B3090,2,FALSE)</f>
        <v>44640</v>
      </c>
      <c r="D4" s="11">
        <f>IFERROR(__xludf.DUMMYFUNCTION("""COMPUTED_VALUE"""),44640.0)</f>
        <v>44640</v>
      </c>
      <c r="E4" s="12">
        <f>IFERROR(__xludf.DUMMYFUNCTION("""COMPUTED_VALUE"""),0.677280092593719)</f>
        <v>0.6772800926</v>
      </c>
      <c r="F4" s="6" t="str">
        <f>IFERROR(__xludf.DUMMYFUNCTION("""COMPUTED_VALUE"""),"Negative")</f>
        <v>Negative</v>
      </c>
      <c r="G4" s="6">
        <f>IFERROR(__xludf.DUMMYFUNCTION("""COMPUTED_VALUE"""),1.0)</f>
        <v>1</v>
      </c>
    </row>
    <row r="5">
      <c r="A5" s="6" t="str">
        <f>IFERROR(__xludf.DUMMYFUNCTION("""COMPUTED_VALUE"""),"MA61")</f>
        <v>MA61</v>
      </c>
      <c r="B5" s="6" t="str">
        <f>IFERROR(__xludf.DUMMYFUNCTION("""COMPUTED_VALUE"""),"RUN-COMB_2022-03-20_RFR-001")</f>
        <v>RUN-COMB_2022-03-20_RFR-001</v>
      </c>
      <c r="C5" s="7">
        <f>VLOOKUP(B5,'Run Reconcile'!A$2:B3090,2,FALSE)</f>
        <v>44640</v>
      </c>
      <c r="D5" s="11">
        <f>IFERROR(__xludf.DUMMYFUNCTION("""COMPUTED_VALUE"""),44640.0)</f>
        <v>44640</v>
      </c>
      <c r="E5" s="12">
        <f>IFERROR(__xludf.DUMMYFUNCTION("""COMPUTED_VALUE"""),0.6777893518519704)</f>
        <v>0.6777893519</v>
      </c>
      <c r="F5" s="6" t="str">
        <f>IFERROR(__xludf.DUMMYFUNCTION("""COMPUTED_VALUE"""),"Negative")</f>
        <v>Negative</v>
      </c>
      <c r="G5" s="6">
        <f>IFERROR(__xludf.DUMMYFUNCTION("""COMPUTED_VALUE"""),1.0)</f>
        <v>1</v>
      </c>
    </row>
    <row r="6">
      <c r="A6" s="6" t="str">
        <f>IFERROR(__xludf.DUMMYFUNCTION("""COMPUTED_VALUE"""),"MA236")</f>
        <v>MA236</v>
      </c>
      <c r="B6" s="6" t="str">
        <f>IFERROR(__xludf.DUMMYFUNCTION("""COMPUTED_VALUE"""),"RUN-COMB_2022-03-20_RFR-001")</f>
        <v>RUN-COMB_2022-03-20_RFR-001</v>
      </c>
      <c r="C6" s="7">
        <f>VLOOKUP(B6,'Run Reconcile'!A$2:B3090,2,FALSE)</f>
        <v>44640</v>
      </c>
      <c r="D6" s="11">
        <f>IFERROR(__xludf.DUMMYFUNCTION("""COMPUTED_VALUE"""),44640.0)</f>
        <v>44640</v>
      </c>
      <c r="E6" s="12">
        <f>IFERROR(__xludf.DUMMYFUNCTION("""COMPUTED_VALUE"""),0.6791898148148903)</f>
        <v>0.6791898148</v>
      </c>
      <c r="F6" s="6" t="str">
        <f>IFERROR(__xludf.DUMMYFUNCTION("""COMPUTED_VALUE"""),"Negative")</f>
        <v>Negative</v>
      </c>
      <c r="G6" s="6">
        <f>IFERROR(__xludf.DUMMYFUNCTION("""COMPUTED_VALUE"""),1.0)</f>
        <v>1</v>
      </c>
    </row>
    <row r="7">
      <c r="A7" s="6" t="str">
        <f>IFERROR(__xludf.DUMMYFUNCTION("""COMPUTED_VALUE"""),"MA232")</f>
        <v>MA232</v>
      </c>
      <c r="B7" s="6" t="str">
        <f>IFERROR(__xludf.DUMMYFUNCTION("""COMPUTED_VALUE"""),"RUN-COMB_2022-03-20_RFR-001")</f>
        <v>RUN-COMB_2022-03-20_RFR-001</v>
      </c>
      <c r="C7" s="7">
        <f>VLOOKUP(B7,'Run Reconcile'!A$2:B3090,2,FALSE)</f>
        <v>44640</v>
      </c>
      <c r="D7" s="11">
        <f>IFERROR(__xludf.DUMMYFUNCTION("""COMPUTED_VALUE"""),44640.0)</f>
        <v>44640</v>
      </c>
      <c r="E7" s="12">
        <f>IFERROR(__xludf.DUMMYFUNCTION("""COMPUTED_VALUE"""),0.6806250000008731)</f>
        <v>0.680625</v>
      </c>
      <c r="F7" s="6" t="str">
        <f>IFERROR(__xludf.DUMMYFUNCTION("""COMPUTED_VALUE"""),"Negative")</f>
        <v>Negative</v>
      </c>
      <c r="G7" s="6">
        <f>IFERROR(__xludf.DUMMYFUNCTION("""COMPUTED_VALUE"""),1.0)</f>
        <v>1</v>
      </c>
    </row>
    <row r="8">
      <c r="A8" s="6" t="str">
        <f>IFERROR(__xludf.DUMMYFUNCTION("""COMPUTED_VALUE"""),"MA138")</f>
        <v>MA138</v>
      </c>
      <c r="B8" s="6" t="str">
        <f>IFERROR(__xludf.DUMMYFUNCTION("""COMPUTED_VALUE"""),"RUN-COMB_2022-03-20_RFR-001")</f>
        <v>RUN-COMB_2022-03-20_RFR-001</v>
      </c>
      <c r="C8" s="7">
        <f>VLOOKUP(B8,'Run Reconcile'!A$2:B3090,2,FALSE)</f>
        <v>44640</v>
      </c>
      <c r="D8" s="11">
        <f>IFERROR(__xludf.DUMMYFUNCTION("""COMPUTED_VALUE"""),44640.0)</f>
        <v>44640</v>
      </c>
      <c r="E8" s="12">
        <f>IFERROR(__xludf.DUMMYFUNCTION("""COMPUTED_VALUE"""),0.682129629629344)</f>
        <v>0.6821296296</v>
      </c>
      <c r="F8" s="6" t="str">
        <f>IFERROR(__xludf.DUMMYFUNCTION("""COMPUTED_VALUE"""),"Negative")</f>
        <v>Negative</v>
      </c>
      <c r="G8" s="6">
        <f>IFERROR(__xludf.DUMMYFUNCTION("""COMPUTED_VALUE"""),1.0)</f>
        <v>1</v>
      </c>
      <c r="L8" s="13"/>
    </row>
    <row r="9">
      <c r="A9" s="6" t="str">
        <f>IFERROR(__xludf.DUMMYFUNCTION("""COMPUTED_VALUE"""),"MA73")</f>
        <v>MA73</v>
      </c>
      <c r="B9" s="6" t="str">
        <f>IFERROR(__xludf.DUMMYFUNCTION("""COMPUTED_VALUE"""),"RUN-COMB_2022-03-20_RFR-001")</f>
        <v>RUN-COMB_2022-03-20_RFR-001</v>
      </c>
      <c r="C9" s="7">
        <f>VLOOKUP(B9,'Run Reconcile'!A$2:B3090,2,FALSE)</f>
        <v>44640</v>
      </c>
      <c r="D9" s="11">
        <f>IFERROR(__xludf.DUMMYFUNCTION("""COMPUTED_VALUE"""),44640.0)</f>
        <v>44640</v>
      </c>
      <c r="E9" s="12">
        <f>IFERROR(__xludf.DUMMYFUNCTION("""COMPUTED_VALUE"""),0.684953703705105)</f>
        <v>0.6849537037</v>
      </c>
      <c r="F9" s="6" t="str">
        <f>IFERROR(__xludf.DUMMYFUNCTION("""COMPUTED_VALUE"""),"Negative")</f>
        <v>Negative</v>
      </c>
      <c r="G9" s="6">
        <f>IFERROR(__xludf.DUMMYFUNCTION("""COMPUTED_VALUE"""),1.0)</f>
        <v>1</v>
      </c>
    </row>
    <row r="10">
      <c r="A10" s="6" t="str">
        <f>IFERROR(__xludf.DUMMYFUNCTION("""COMPUTED_VALUE"""),"MA147")</f>
        <v>MA147</v>
      </c>
      <c r="B10" s="6" t="str">
        <f>IFERROR(__xludf.DUMMYFUNCTION("""COMPUTED_VALUE"""),"RUN-COMB_2022-03-20_RFR-001")</f>
        <v>RUN-COMB_2022-03-20_RFR-001</v>
      </c>
      <c r="C10" s="7">
        <f>VLOOKUP(B10,'Run Reconcile'!A$2:B3090,2,FALSE)</f>
        <v>44640</v>
      </c>
      <c r="D10" s="11">
        <f>IFERROR(__xludf.DUMMYFUNCTION("""COMPUTED_VALUE"""),44640.0)</f>
        <v>44640</v>
      </c>
      <c r="E10" s="12">
        <f>IFERROR(__xludf.DUMMYFUNCTION("""COMPUTED_VALUE"""),0.6864004629642295)</f>
        <v>0.686400463</v>
      </c>
      <c r="F10" s="6" t="str">
        <f>IFERROR(__xludf.DUMMYFUNCTION("""COMPUTED_VALUE"""),"Negative")</f>
        <v>Negative</v>
      </c>
      <c r="G10" s="6">
        <f>IFERROR(__xludf.DUMMYFUNCTION("""COMPUTED_VALUE"""),1.0)</f>
        <v>1</v>
      </c>
    </row>
    <row r="11">
      <c r="A11" s="6" t="str">
        <f>IFERROR(__xludf.DUMMYFUNCTION("""COMPUTED_VALUE"""),"MA160")</f>
        <v>MA160</v>
      </c>
      <c r="B11" s="6" t="str">
        <f>IFERROR(__xludf.DUMMYFUNCTION("""COMPUTED_VALUE"""),"RUN-COMB_2022-03-20_RFR-001")</f>
        <v>RUN-COMB_2022-03-20_RFR-001</v>
      </c>
      <c r="C11" s="7">
        <f>VLOOKUP(B11,'Run Reconcile'!A$2:B3090,2,FALSE)</f>
        <v>44640</v>
      </c>
      <c r="D11" s="11">
        <f>IFERROR(__xludf.DUMMYFUNCTION("""COMPUTED_VALUE"""),44640.0)</f>
        <v>44640</v>
      </c>
      <c r="E11" s="12">
        <f>IFERROR(__xludf.DUMMYFUNCTION("""COMPUTED_VALUE"""),0.6880208333350311)</f>
        <v>0.6880208333</v>
      </c>
      <c r="F11" s="6" t="str">
        <f>IFERROR(__xludf.DUMMYFUNCTION("""COMPUTED_VALUE"""),"Negative")</f>
        <v>Negative</v>
      </c>
      <c r="G11" s="6">
        <f>IFERROR(__xludf.DUMMYFUNCTION("""COMPUTED_VALUE"""),1.0)</f>
        <v>1</v>
      </c>
    </row>
    <row r="12">
      <c r="A12" s="6" t="str">
        <f>IFERROR(__xludf.DUMMYFUNCTION("""COMPUTED_VALUE"""),"MA179")</f>
        <v>MA179</v>
      </c>
      <c r="B12" s="6" t="str">
        <f>IFERROR(__xludf.DUMMYFUNCTION("""COMPUTED_VALUE"""),"RUN-COMB_2022-03-20_RFR-001")</f>
        <v>RUN-COMB_2022-03-20_RFR-001</v>
      </c>
      <c r="C12" s="7">
        <f>VLOOKUP(B12,'Run Reconcile'!A$2:B3090,2,FALSE)</f>
        <v>44640</v>
      </c>
      <c r="D12" s="11">
        <f>IFERROR(__xludf.DUMMYFUNCTION("""COMPUTED_VALUE"""),44640.0)</f>
        <v>44640</v>
      </c>
      <c r="E12" s="12">
        <f>IFERROR(__xludf.DUMMYFUNCTION("""COMPUTED_VALUE"""),0.6901273148141627)</f>
        <v>0.6901273148</v>
      </c>
      <c r="F12" s="6" t="str">
        <f>IFERROR(__xludf.DUMMYFUNCTION("""COMPUTED_VALUE"""),"Negative")</f>
        <v>Negative</v>
      </c>
      <c r="G12" s="6">
        <f>IFERROR(__xludf.DUMMYFUNCTION("""COMPUTED_VALUE"""),1.0)</f>
        <v>1</v>
      </c>
    </row>
    <row r="13">
      <c r="A13" s="6" t="str">
        <f>IFERROR(__xludf.DUMMYFUNCTION("""COMPUTED_VALUE"""),"MA149")</f>
        <v>MA149</v>
      </c>
      <c r="B13" s="6" t="str">
        <f>IFERROR(__xludf.DUMMYFUNCTION("""COMPUTED_VALUE"""),"RUN-COMB_2022-03-20_RFR-001")</f>
        <v>RUN-COMB_2022-03-20_RFR-001</v>
      </c>
      <c r="C13" s="7">
        <f>VLOOKUP(B13,'Run Reconcile'!A$2:B3090,2,FALSE)</f>
        <v>44640</v>
      </c>
      <c r="D13" s="11">
        <f>IFERROR(__xludf.DUMMYFUNCTION("""COMPUTED_VALUE"""),44640.0)</f>
        <v>44640</v>
      </c>
      <c r="E13" s="12">
        <f>IFERROR(__xludf.DUMMYFUNCTION("""COMPUTED_VALUE"""),0.6930671296286164)</f>
        <v>0.6930671296</v>
      </c>
      <c r="F13" s="6" t="str">
        <f>IFERROR(__xludf.DUMMYFUNCTION("""COMPUTED_VALUE"""),"Negative")</f>
        <v>Negative</v>
      </c>
      <c r="G13" s="6">
        <f>IFERROR(__xludf.DUMMYFUNCTION("""COMPUTED_VALUE"""),1.0)</f>
        <v>1</v>
      </c>
    </row>
    <row r="14">
      <c r="A14" s="6" t="str">
        <f>IFERROR(__xludf.DUMMYFUNCTION("""COMPUTED_VALUE"""),"MA126")</f>
        <v>MA126</v>
      </c>
      <c r="B14" s="6" t="str">
        <f>IFERROR(__xludf.DUMMYFUNCTION("""COMPUTED_VALUE"""),"RUN-COMB_2022-03-20_RFR-001")</f>
        <v>RUN-COMB_2022-03-20_RFR-001</v>
      </c>
      <c r="C14" s="7">
        <f>VLOOKUP(B14,'Run Reconcile'!A$2:B3090,2,FALSE)</f>
        <v>44640</v>
      </c>
      <c r="D14" s="11">
        <f>IFERROR(__xludf.DUMMYFUNCTION("""COMPUTED_VALUE"""),44640.0)</f>
        <v>44640</v>
      </c>
      <c r="E14" s="12">
        <f>IFERROR(__xludf.DUMMYFUNCTION("""COMPUTED_VALUE"""),0.6937962962947495)</f>
        <v>0.6937962963</v>
      </c>
      <c r="F14" s="6" t="str">
        <f>IFERROR(__xludf.DUMMYFUNCTION("""COMPUTED_VALUE"""),"Negative")</f>
        <v>Negative</v>
      </c>
      <c r="G14" s="6">
        <f>IFERROR(__xludf.DUMMYFUNCTION("""COMPUTED_VALUE"""),1.0)</f>
        <v>1</v>
      </c>
    </row>
    <row r="15">
      <c r="A15" s="6" t="str">
        <f>IFERROR(__xludf.DUMMYFUNCTION("""COMPUTED_VALUE"""),"MA137")</f>
        <v>MA137</v>
      </c>
      <c r="B15" s="6" t="str">
        <f>IFERROR(__xludf.DUMMYFUNCTION("""COMPUTED_VALUE"""),"RUN-COMB_2022-03-20_RFR-001")</f>
        <v>RUN-COMB_2022-03-20_RFR-001</v>
      </c>
      <c r="C15" s="7">
        <f>VLOOKUP(B15,'Run Reconcile'!A$2:B3090,2,FALSE)</f>
        <v>44640</v>
      </c>
      <c r="D15" s="11">
        <f>IFERROR(__xludf.DUMMYFUNCTION("""COMPUTED_VALUE"""),44640.0)</f>
        <v>44640</v>
      </c>
      <c r="E15" s="12">
        <f>IFERROR(__xludf.DUMMYFUNCTION("""COMPUTED_VALUE"""),0.695243055553874)</f>
        <v>0.6952430556</v>
      </c>
      <c r="F15" s="6" t="str">
        <f>IFERROR(__xludf.DUMMYFUNCTION("""COMPUTED_VALUE"""),"Negative")</f>
        <v>Negative</v>
      </c>
      <c r="G15" s="6">
        <f>IFERROR(__xludf.DUMMYFUNCTION("""COMPUTED_VALUE"""),1.0)</f>
        <v>1</v>
      </c>
    </row>
    <row r="16">
      <c r="A16" s="6" t="str">
        <f>IFERROR(__xludf.DUMMYFUNCTION("""COMPUTED_VALUE"""),"MA161")</f>
        <v>MA161</v>
      </c>
      <c r="B16" s="6" t="str">
        <f>IFERROR(__xludf.DUMMYFUNCTION("""COMPUTED_VALUE"""),"RUN-COMB_2022-03-20_RFR-001")</f>
        <v>RUN-COMB_2022-03-20_RFR-001</v>
      </c>
      <c r="C16" s="7">
        <f>VLOOKUP(B16,'Run Reconcile'!A$2:B3090,2,FALSE)</f>
        <v>44640</v>
      </c>
      <c r="D16" s="11">
        <f>IFERROR(__xludf.DUMMYFUNCTION("""COMPUTED_VALUE"""),44640.0)</f>
        <v>44640</v>
      </c>
      <c r="E16" s="12">
        <f>IFERROR(__xludf.DUMMYFUNCTION("""COMPUTED_VALUE"""),0.6975115740751789)</f>
        <v>0.6975115741</v>
      </c>
      <c r="F16" s="6" t="str">
        <f>IFERROR(__xludf.DUMMYFUNCTION("""COMPUTED_VALUE"""),"Negative")</f>
        <v>Negative</v>
      </c>
      <c r="G16" s="6">
        <f>IFERROR(__xludf.DUMMYFUNCTION("""COMPUTED_VALUE"""),1.0)</f>
        <v>1</v>
      </c>
    </row>
    <row r="17">
      <c r="A17" s="6" t="str">
        <f>IFERROR(__xludf.DUMMYFUNCTION("""COMPUTED_VALUE"""),"MA121")</f>
        <v>MA121</v>
      </c>
      <c r="B17" s="6" t="str">
        <f>IFERROR(__xludf.DUMMYFUNCTION("""COMPUTED_VALUE"""),"RUN-COMB_2022-03-20_RFR-001")</f>
        <v>RUN-COMB_2022-03-20_RFR-001</v>
      </c>
      <c r="C17" s="7">
        <f>VLOOKUP(B17,'Run Reconcile'!A$2:B3090,2,FALSE)</f>
        <v>44640</v>
      </c>
      <c r="D17" s="11">
        <f>IFERROR(__xludf.DUMMYFUNCTION("""COMPUTED_VALUE"""),44640.0)</f>
        <v>44640</v>
      </c>
      <c r="E17" s="12">
        <f>IFERROR(__xludf.DUMMYFUNCTION("""COMPUTED_VALUE"""),0.7017476851870015)</f>
        <v>0.7017476852</v>
      </c>
      <c r="F17" s="6" t="str">
        <f>IFERROR(__xludf.DUMMYFUNCTION("""COMPUTED_VALUE"""),"Negative")</f>
        <v>Negative</v>
      </c>
      <c r="G17" s="6">
        <f>IFERROR(__xludf.DUMMYFUNCTION("""COMPUTED_VALUE"""),1.0)</f>
        <v>1</v>
      </c>
    </row>
    <row r="18">
      <c r="A18" s="6" t="str">
        <f>IFERROR(__xludf.DUMMYFUNCTION("""COMPUTED_VALUE"""),"MA188")</f>
        <v>MA188</v>
      </c>
      <c r="B18" s="6" t="str">
        <f>IFERROR(__xludf.DUMMYFUNCTION("""COMPUTED_VALUE"""),"RUN-COMB_2022-03-20_RFR-001")</f>
        <v>RUN-COMB_2022-03-20_RFR-001</v>
      </c>
      <c r="C18" s="7">
        <f>VLOOKUP(B18,'Run Reconcile'!A$2:B3090,2,FALSE)</f>
        <v>44640</v>
      </c>
      <c r="D18" s="11">
        <f>IFERROR(__xludf.DUMMYFUNCTION("""COMPUTED_VALUE"""),44640.0)</f>
        <v>44640</v>
      </c>
      <c r="E18" s="12">
        <f>IFERROR(__xludf.DUMMYFUNCTION("""COMPUTED_VALUE"""),0.7490277777760639)</f>
        <v>0.7490277778</v>
      </c>
      <c r="F18" s="6" t="str">
        <f>IFERROR(__xludf.DUMMYFUNCTION("""COMPUTED_VALUE"""),"Negative")</f>
        <v>Negative</v>
      </c>
      <c r="G18" s="6">
        <f>IFERROR(__xludf.DUMMYFUNCTION("""COMPUTED_VALUE"""),1.0)</f>
        <v>1</v>
      </c>
    </row>
    <row r="19">
      <c r="A19" s="6" t="str">
        <f>IFERROR(__xludf.DUMMYFUNCTION("""COMPUTED_VALUE"""),"MA127")</f>
        <v>MA127</v>
      </c>
      <c r="B19" s="6" t="str">
        <f>IFERROR(__xludf.DUMMYFUNCTION("""COMPUTED_VALUE"""),"RUN-COMB_2022-03-20_RFR-001")</f>
        <v>RUN-COMB_2022-03-20_RFR-001</v>
      </c>
      <c r="C19" s="7">
        <f>VLOOKUP(B19,'Run Reconcile'!A$2:B3090,2,FALSE)</f>
        <v>44640</v>
      </c>
      <c r="D19" s="11">
        <f>IFERROR(__xludf.DUMMYFUNCTION("""COMPUTED_VALUE"""),44640.0)</f>
        <v>44640</v>
      </c>
      <c r="E19" s="12">
        <f>IFERROR(__xludf.DUMMYFUNCTION("""COMPUTED_VALUE"""),0.7511921296281798)</f>
        <v>0.7511921296</v>
      </c>
      <c r="F19" s="6" t="str">
        <f>IFERROR(__xludf.DUMMYFUNCTION("""COMPUTED_VALUE"""),"Negative")</f>
        <v>Negative</v>
      </c>
      <c r="G19" s="6">
        <f>IFERROR(__xludf.DUMMYFUNCTION("""COMPUTED_VALUE"""),1.0)</f>
        <v>1</v>
      </c>
    </row>
    <row r="20">
      <c r="A20" s="6" t="str">
        <f>IFERROR(__xludf.DUMMYFUNCTION("""COMPUTED_VALUE"""),"MA220A")</f>
        <v>MA220A</v>
      </c>
      <c r="B20" s="6" t="str">
        <f>IFERROR(__xludf.DUMMYFUNCTION("""COMPUTED_VALUE"""),"RUN-COMB_2022-03-21_RFR-002")</f>
        <v>RUN-COMB_2022-03-21_RFR-002</v>
      </c>
      <c r="C20" s="7">
        <f>VLOOKUP(B20,'Run Reconcile'!A$2:B3090,2,FALSE)</f>
        <v>44641</v>
      </c>
      <c r="D20" s="11">
        <f>IFERROR(__xludf.DUMMYFUNCTION("""COMPUTED_VALUE"""),44641.0)</f>
        <v>44641</v>
      </c>
      <c r="E20" s="12">
        <f>IFERROR(__xludf.DUMMYFUNCTION("""COMPUTED_VALUE"""),0.2567939814798592)</f>
        <v>0.2567939815</v>
      </c>
      <c r="F20" s="6" t="str">
        <f>IFERROR(__xludf.DUMMYFUNCTION("""COMPUTED_VALUE"""),"Negative")</f>
        <v>Negative</v>
      </c>
      <c r="G20" s="6">
        <f>IFERROR(__xludf.DUMMYFUNCTION("""COMPUTED_VALUE"""),1.0)</f>
        <v>1</v>
      </c>
    </row>
    <row r="21">
      <c r="A21" s="6" t="str">
        <f>IFERROR(__xludf.DUMMYFUNCTION("""COMPUTED_VALUE"""),"MA220")</f>
        <v>MA220</v>
      </c>
      <c r="B21" s="6" t="str">
        <f>IFERROR(__xludf.DUMMYFUNCTION("""COMPUTED_VALUE"""),"RUN-COMB_2022-03-21_RFR-002")</f>
        <v>RUN-COMB_2022-03-21_RFR-002</v>
      </c>
      <c r="C21" s="7">
        <f>VLOOKUP(B21,'Run Reconcile'!A$2:B3090,2,FALSE)</f>
        <v>44641</v>
      </c>
      <c r="D21" s="11">
        <f>IFERROR(__xludf.DUMMYFUNCTION("""COMPUTED_VALUE"""),44641.0)</f>
        <v>44641</v>
      </c>
      <c r="E21" s="12">
        <f>IFERROR(__xludf.DUMMYFUNCTION("""COMPUTED_VALUE"""),0.2574884259265673)</f>
        <v>0.2574884259</v>
      </c>
      <c r="F21" s="6" t="str">
        <f>IFERROR(__xludf.DUMMYFUNCTION("""COMPUTED_VALUE"""),"Negative")</f>
        <v>Negative</v>
      </c>
      <c r="G21" s="6">
        <f>IFERROR(__xludf.DUMMYFUNCTION("""COMPUTED_VALUE"""),1.0)</f>
        <v>1</v>
      </c>
    </row>
    <row r="22">
      <c r="A22" s="6" t="str">
        <f>IFERROR(__xludf.DUMMYFUNCTION("""COMPUTED_VALUE"""),"MA208")</f>
        <v>MA208</v>
      </c>
      <c r="B22" s="6" t="str">
        <f>IFERROR(__xludf.DUMMYFUNCTION("""COMPUTED_VALUE"""),"RUN-COMB_2022-03-21_RFR-002")</f>
        <v>RUN-COMB_2022-03-21_RFR-002</v>
      </c>
      <c r="C22" s="7">
        <f>VLOOKUP(B22,'Run Reconcile'!A$2:B3090,2,FALSE)</f>
        <v>44641</v>
      </c>
      <c r="D22" s="11">
        <f>IFERROR(__xludf.DUMMYFUNCTION("""COMPUTED_VALUE"""),44641.0)</f>
        <v>44641</v>
      </c>
      <c r="E22" s="12">
        <f>IFERROR(__xludf.DUMMYFUNCTION("""COMPUTED_VALUE"""),0.25802083333474)</f>
        <v>0.2580208333</v>
      </c>
      <c r="F22" s="6" t="str">
        <f>IFERROR(__xludf.DUMMYFUNCTION("""COMPUTED_VALUE"""),"Negative")</f>
        <v>Negative</v>
      </c>
      <c r="G22" s="6">
        <f>IFERROR(__xludf.DUMMYFUNCTION("""COMPUTED_VALUE"""),1.0)</f>
        <v>1</v>
      </c>
    </row>
    <row r="23">
      <c r="A23" s="6" t="str">
        <f>IFERROR(__xludf.DUMMYFUNCTION("""COMPUTED_VALUE"""),"MA89")</f>
        <v>MA89</v>
      </c>
      <c r="B23" s="6" t="str">
        <f>IFERROR(__xludf.DUMMYFUNCTION("""COMPUTED_VALUE"""),"RUN-COMB_2022-03-21_RFR-002")</f>
        <v>RUN-COMB_2022-03-21_RFR-002</v>
      </c>
      <c r="C23" s="7">
        <f>VLOOKUP(B23,'Run Reconcile'!A$2:B3090,2,FALSE)</f>
        <v>44641</v>
      </c>
      <c r="D23" s="11">
        <f>IFERROR(__xludf.DUMMYFUNCTION("""COMPUTED_VALUE"""),44641.0)</f>
        <v>44641</v>
      </c>
      <c r="E23" s="12">
        <f>IFERROR(__xludf.DUMMYFUNCTION("""COMPUTED_VALUE"""),0.26012731481387164)</f>
        <v>0.2601273148</v>
      </c>
      <c r="F23" s="6" t="str">
        <f>IFERROR(__xludf.DUMMYFUNCTION("""COMPUTED_VALUE"""),"Negative")</f>
        <v>Negative</v>
      </c>
      <c r="G23" s="6">
        <f>IFERROR(__xludf.DUMMYFUNCTION("""COMPUTED_VALUE"""),1.0)</f>
        <v>1</v>
      </c>
    </row>
    <row r="24">
      <c r="A24" s="6" t="str">
        <f>IFERROR(__xludf.DUMMYFUNCTION("""COMPUTED_VALUE"""),"MA26")</f>
        <v>MA26</v>
      </c>
      <c r="B24" s="6" t="str">
        <f>IFERROR(__xludf.DUMMYFUNCTION("""COMPUTED_VALUE"""),"RUN-COMB_2022-03-21_RFR-002")</f>
        <v>RUN-COMB_2022-03-21_RFR-002</v>
      </c>
      <c r="C24" s="7">
        <f>VLOOKUP(B24,'Run Reconcile'!A$2:B3090,2,FALSE)</f>
        <v>44641</v>
      </c>
      <c r="D24" s="11">
        <f>IFERROR(__xludf.DUMMYFUNCTION("""COMPUTED_VALUE"""),44641.0)</f>
        <v>44641</v>
      </c>
      <c r="E24" s="12">
        <f>IFERROR(__xludf.DUMMYFUNCTION("""COMPUTED_VALUE"""),0.26103009259168175)</f>
        <v>0.2610300926</v>
      </c>
      <c r="F24" s="6" t="str">
        <f>IFERROR(__xludf.DUMMYFUNCTION("""COMPUTED_VALUE"""),"Negative")</f>
        <v>Negative</v>
      </c>
      <c r="G24" s="6">
        <f>IFERROR(__xludf.DUMMYFUNCTION("""COMPUTED_VALUE"""),1.0)</f>
        <v>1</v>
      </c>
    </row>
    <row r="25">
      <c r="A25" s="6" t="str">
        <f>IFERROR(__xludf.DUMMYFUNCTION("""COMPUTED_VALUE"""),"MA109")</f>
        <v>MA109</v>
      </c>
      <c r="B25" s="6" t="str">
        <f>IFERROR(__xludf.DUMMYFUNCTION("""COMPUTED_VALUE"""),"RUN-COMB_2022-03-21_RFR-002")</f>
        <v>RUN-COMB_2022-03-21_RFR-002</v>
      </c>
      <c r="C25" s="7">
        <f>VLOOKUP(B25,'Run Reconcile'!A$2:B3090,2,FALSE)</f>
        <v>44641</v>
      </c>
      <c r="D25" s="11">
        <f>IFERROR(__xludf.DUMMYFUNCTION("""COMPUTED_VALUE"""),44641.0)</f>
        <v>44641</v>
      </c>
      <c r="E25" s="12">
        <f>IFERROR(__xludf.DUMMYFUNCTION("""COMPUTED_VALUE"""),0.263043981482042)</f>
        <v>0.2630439815</v>
      </c>
      <c r="F25" s="6" t="str">
        <f>IFERROR(__xludf.DUMMYFUNCTION("""COMPUTED_VALUE"""),"Negative")</f>
        <v>Negative</v>
      </c>
      <c r="G25" s="6">
        <f>IFERROR(__xludf.DUMMYFUNCTION("""COMPUTED_VALUE"""),1.0)</f>
        <v>1</v>
      </c>
    </row>
    <row r="26">
      <c r="A26" s="6" t="str">
        <f>IFERROR(__xludf.DUMMYFUNCTION("""COMPUTED_VALUE"""),"MA134")</f>
        <v>MA134</v>
      </c>
      <c r="B26" s="6" t="str">
        <f>IFERROR(__xludf.DUMMYFUNCTION("""COMPUTED_VALUE"""),"RUN-COMB_2022-03-21_RFR-002")</f>
        <v>RUN-COMB_2022-03-21_RFR-002</v>
      </c>
      <c r="C26" s="7">
        <f>VLOOKUP(B26,'Run Reconcile'!A$2:B3090,2,FALSE)</f>
        <v>44641</v>
      </c>
      <c r="D26" s="11">
        <f>IFERROR(__xludf.DUMMYFUNCTION("""COMPUTED_VALUE"""),44641.0)</f>
        <v>44641</v>
      </c>
      <c r="E26" s="12">
        <f>IFERROR(__xludf.DUMMYFUNCTION("""COMPUTED_VALUE"""),0.2639814814829151)</f>
        <v>0.2639814815</v>
      </c>
      <c r="F26" s="6" t="str">
        <f>IFERROR(__xludf.DUMMYFUNCTION("""COMPUTED_VALUE"""),"Negative")</f>
        <v>Negative</v>
      </c>
      <c r="G26" s="6">
        <f>IFERROR(__xludf.DUMMYFUNCTION("""COMPUTED_VALUE"""),1.0)</f>
        <v>1</v>
      </c>
    </row>
    <row r="27">
      <c r="A27" s="6" t="str">
        <f>IFERROR(__xludf.DUMMYFUNCTION("""COMPUTED_VALUE"""),"MA168")</f>
        <v>MA168</v>
      </c>
      <c r="B27" s="6" t="str">
        <f>IFERROR(__xludf.DUMMYFUNCTION("""COMPUTED_VALUE"""),"RUN-COMB_2022-03-21_RFR-002")</f>
        <v>RUN-COMB_2022-03-21_RFR-002</v>
      </c>
      <c r="C27" s="7">
        <f>VLOOKUP(B27,'Run Reconcile'!A$2:B3090,2,FALSE)</f>
        <v>44641</v>
      </c>
      <c r="D27" s="11">
        <f>IFERROR(__xludf.DUMMYFUNCTION("""COMPUTED_VALUE"""),44641.0)</f>
        <v>44641</v>
      </c>
      <c r="E27" s="12">
        <f>IFERROR(__xludf.DUMMYFUNCTION("""COMPUTED_VALUE"""),0.2649421296300716)</f>
        <v>0.2649421296</v>
      </c>
      <c r="F27" s="6" t="str">
        <f>IFERROR(__xludf.DUMMYFUNCTION("""COMPUTED_VALUE"""),"Negative")</f>
        <v>Negative</v>
      </c>
      <c r="G27" s="6">
        <f>IFERROR(__xludf.DUMMYFUNCTION("""COMPUTED_VALUE"""),1.0)</f>
        <v>1</v>
      </c>
    </row>
    <row r="28">
      <c r="A28" s="6" t="str">
        <f>IFERROR(__xludf.DUMMYFUNCTION("""COMPUTED_VALUE"""),"MA148")</f>
        <v>MA148</v>
      </c>
      <c r="B28" s="6" t="str">
        <f>IFERROR(__xludf.DUMMYFUNCTION("""COMPUTED_VALUE"""),"RUN-COMB_2022-03-21_RFR-002")</f>
        <v>RUN-COMB_2022-03-21_RFR-002</v>
      </c>
      <c r="C28" s="7">
        <f>VLOOKUP(B28,'Run Reconcile'!A$2:B3090,2,FALSE)</f>
        <v>44641</v>
      </c>
      <c r="D28" s="11">
        <f>IFERROR(__xludf.DUMMYFUNCTION("""COMPUTED_VALUE"""),44641.0)</f>
        <v>44641</v>
      </c>
      <c r="E28" s="12">
        <f>IFERROR(__xludf.DUMMYFUNCTION("""COMPUTED_VALUE"""),0.2669097222205892)</f>
        <v>0.2669097222</v>
      </c>
      <c r="F28" s="6" t="str">
        <f>IFERROR(__xludf.DUMMYFUNCTION("""COMPUTED_VALUE"""),"Negative")</f>
        <v>Negative</v>
      </c>
      <c r="G28" s="6">
        <f>IFERROR(__xludf.DUMMYFUNCTION("""COMPUTED_VALUE"""),1.0)</f>
        <v>1</v>
      </c>
    </row>
    <row r="29">
      <c r="A29" s="6" t="str">
        <f>IFERROR(__xludf.DUMMYFUNCTION("""COMPUTED_VALUE"""),"MA140")</f>
        <v>MA140</v>
      </c>
      <c r="B29" s="6" t="str">
        <f>IFERROR(__xludf.DUMMYFUNCTION("""COMPUTED_VALUE"""),"RUN-COMB_2022-03-21_RFR-002")</f>
        <v>RUN-COMB_2022-03-21_RFR-002</v>
      </c>
      <c r="C29" s="7">
        <f>VLOOKUP(B29,'Run Reconcile'!A$2:B3090,2,FALSE)</f>
        <v>44641</v>
      </c>
      <c r="D29" s="11">
        <f>IFERROR(__xludf.DUMMYFUNCTION("""COMPUTED_VALUE"""),44641.0)</f>
        <v>44641</v>
      </c>
      <c r="E29" s="12">
        <f>IFERROR(__xludf.DUMMYFUNCTION("""COMPUTED_VALUE"""),0.26829861111036735)</f>
        <v>0.2682986111</v>
      </c>
      <c r="F29" s="6" t="str">
        <f>IFERROR(__xludf.DUMMYFUNCTION("""COMPUTED_VALUE"""),"Negative")</f>
        <v>Negative</v>
      </c>
      <c r="G29" s="6">
        <f>IFERROR(__xludf.DUMMYFUNCTION("""COMPUTED_VALUE"""),1.0)</f>
        <v>1</v>
      </c>
    </row>
    <row r="30">
      <c r="A30" s="6" t="str">
        <f>IFERROR(__xludf.DUMMYFUNCTION("""COMPUTED_VALUE"""),"MA183")</f>
        <v>MA183</v>
      </c>
      <c r="B30" s="6" t="str">
        <f>IFERROR(__xludf.DUMMYFUNCTION("""COMPUTED_VALUE"""),"RUN-COMB_2022-03-21_RFR-002")</f>
        <v>RUN-COMB_2022-03-21_RFR-002</v>
      </c>
      <c r="C30" s="7">
        <f>VLOOKUP(B30,'Run Reconcile'!A$2:B3090,2,FALSE)</f>
        <v>44641</v>
      </c>
      <c r="D30" s="11">
        <f>IFERROR(__xludf.DUMMYFUNCTION("""COMPUTED_VALUE"""),44641.0)</f>
        <v>44641</v>
      </c>
      <c r="E30" s="12">
        <f>IFERROR(__xludf.DUMMYFUNCTION("""COMPUTED_VALUE"""),0.26921296296131914)</f>
        <v>0.269212963</v>
      </c>
      <c r="F30" s="6" t="str">
        <f>IFERROR(__xludf.DUMMYFUNCTION("""COMPUTED_VALUE"""),"Negative")</f>
        <v>Negative</v>
      </c>
      <c r="G30" s="6">
        <f>IFERROR(__xludf.DUMMYFUNCTION("""COMPUTED_VALUE"""),1.0)</f>
        <v>1</v>
      </c>
    </row>
    <row r="31">
      <c r="A31" s="6" t="str">
        <f>IFERROR(__xludf.DUMMYFUNCTION("""COMPUTED_VALUE"""),"MA81")</f>
        <v>MA81</v>
      </c>
      <c r="B31" s="6" t="str">
        <f>IFERROR(__xludf.DUMMYFUNCTION("""COMPUTED_VALUE"""),"RUN-COMB_2022-03-21_RFR-002")</f>
        <v>RUN-COMB_2022-03-21_RFR-002</v>
      </c>
      <c r="C31" s="7">
        <f>VLOOKUP(B31,'Run Reconcile'!A$2:B3090,2,FALSE)</f>
        <v>44641</v>
      </c>
      <c r="D31" s="11">
        <f>IFERROR(__xludf.DUMMYFUNCTION("""COMPUTED_VALUE"""),44641.0)</f>
        <v>44641</v>
      </c>
      <c r="E31" s="12">
        <f>IFERROR(__xludf.DUMMYFUNCTION("""COMPUTED_VALUE"""),0.27039351851999527)</f>
        <v>0.2703935185</v>
      </c>
      <c r="F31" s="6" t="str">
        <f>IFERROR(__xludf.DUMMYFUNCTION("""COMPUTED_VALUE"""),"Negative")</f>
        <v>Negative</v>
      </c>
      <c r="G31" s="6">
        <f>IFERROR(__xludf.DUMMYFUNCTION("""COMPUTED_VALUE"""),1.0)</f>
        <v>1</v>
      </c>
    </row>
    <row r="32">
      <c r="A32" s="6" t="str">
        <f>IFERROR(__xludf.DUMMYFUNCTION("""COMPUTED_VALUE"""),"MA159")</f>
        <v>MA159</v>
      </c>
      <c r="B32" s="6" t="str">
        <f>IFERROR(__xludf.DUMMYFUNCTION("""COMPUTED_VALUE"""),"RUN-COMB_2022-03-21_RFR-002")</f>
        <v>RUN-COMB_2022-03-21_RFR-002</v>
      </c>
      <c r="C32" s="7">
        <f>VLOOKUP(B32,'Run Reconcile'!A$2:B3090,2,FALSE)</f>
        <v>44641</v>
      </c>
      <c r="D32" s="11">
        <f>IFERROR(__xludf.DUMMYFUNCTION("""COMPUTED_VALUE"""),44641.0)</f>
        <v>44641</v>
      </c>
      <c r="E32" s="12">
        <f>IFERROR(__xludf.DUMMYFUNCTION("""COMPUTED_VALUE"""),0.2714351851864194)</f>
        <v>0.2714351852</v>
      </c>
      <c r="F32" s="6" t="str">
        <f>IFERROR(__xludf.DUMMYFUNCTION("""COMPUTED_VALUE"""),"Negative")</f>
        <v>Negative</v>
      </c>
      <c r="G32" s="6">
        <f>IFERROR(__xludf.DUMMYFUNCTION("""COMPUTED_VALUE"""),1.0)</f>
        <v>1</v>
      </c>
    </row>
    <row r="33">
      <c r="A33" s="6" t="str">
        <f>IFERROR(__xludf.DUMMYFUNCTION("""COMPUTED_VALUE"""),"MA93")</f>
        <v>MA93</v>
      </c>
      <c r="B33" s="6" t="str">
        <f>IFERROR(__xludf.DUMMYFUNCTION("""COMPUTED_VALUE"""),"RUN-COMB_2022-03-21_RFR-002")</f>
        <v>RUN-COMB_2022-03-21_RFR-002</v>
      </c>
      <c r="C33" s="7">
        <f>VLOOKUP(B33,'Run Reconcile'!A$2:B3090,2,FALSE)</f>
        <v>44641</v>
      </c>
      <c r="D33" s="11">
        <f>IFERROR(__xludf.DUMMYFUNCTION("""COMPUTED_VALUE"""),44641.0)</f>
        <v>44641</v>
      </c>
      <c r="E33" s="12">
        <f>IFERROR(__xludf.DUMMYFUNCTION("""COMPUTED_VALUE"""),0.2725578703721112)</f>
        <v>0.2725578704</v>
      </c>
      <c r="F33" s="6" t="str">
        <f>IFERROR(__xludf.DUMMYFUNCTION("""COMPUTED_VALUE"""),"Negative")</f>
        <v>Negative</v>
      </c>
      <c r="G33" s="6">
        <f>IFERROR(__xludf.DUMMYFUNCTION("""COMPUTED_VALUE"""),1.0)</f>
        <v>1</v>
      </c>
    </row>
    <row r="34">
      <c r="A34" s="6" t="str">
        <f>IFERROR(__xludf.DUMMYFUNCTION("""COMPUTED_VALUE"""),"MA153")</f>
        <v>MA153</v>
      </c>
      <c r="B34" s="6" t="str">
        <f>IFERROR(__xludf.DUMMYFUNCTION("""COMPUTED_VALUE"""),"RUN-COMB_2022-03-21_RFR-002")</f>
        <v>RUN-COMB_2022-03-21_RFR-002</v>
      </c>
      <c r="C34" s="7">
        <f>VLOOKUP(B34,'Run Reconcile'!A$2:B3090,2,FALSE)</f>
        <v>44641</v>
      </c>
      <c r="D34" s="11">
        <f>IFERROR(__xludf.DUMMYFUNCTION("""COMPUTED_VALUE"""),44641.0)</f>
        <v>44641</v>
      </c>
      <c r="E34" s="12">
        <f>IFERROR(__xludf.DUMMYFUNCTION("""COMPUTED_VALUE"""),0.27534722222117125)</f>
        <v>0.2753472222</v>
      </c>
      <c r="F34" s="6" t="str">
        <f>IFERROR(__xludf.DUMMYFUNCTION("""COMPUTED_VALUE"""),"Negative")</f>
        <v>Negative</v>
      </c>
      <c r="G34" s="6">
        <f>IFERROR(__xludf.DUMMYFUNCTION("""COMPUTED_VALUE"""),1.0)</f>
        <v>1</v>
      </c>
    </row>
    <row r="35">
      <c r="A35" s="6" t="str">
        <f>IFERROR(__xludf.DUMMYFUNCTION("""COMPUTED_VALUE"""),"MA105")</f>
        <v>MA105</v>
      </c>
      <c r="B35" s="6" t="str">
        <f>IFERROR(__xludf.DUMMYFUNCTION("""COMPUTED_VALUE"""),"RUN-COMB_2022-03-21_RFR-002")</f>
        <v>RUN-COMB_2022-03-21_RFR-002</v>
      </c>
      <c r="C35" s="7">
        <f>VLOOKUP(B35,'Run Reconcile'!A$2:B3090,2,FALSE)</f>
        <v>44641</v>
      </c>
      <c r="D35" s="11">
        <f>IFERROR(__xludf.DUMMYFUNCTION("""COMPUTED_VALUE"""),44641.0)</f>
        <v>44641</v>
      </c>
      <c r="E35" s="12">
        <f>IFERROR(__xludf.DUMMYFUNCTION("""COMPUTED_VALUE"""),0.2763078703719657)</f>
        <v>0.2763078704</v>
      </c>
      <c r="F35" s="6" t="str">
        <f>IFERROR(__xludf.DUMMYFUNCTION("""COMPUTED_VALUE"""),"Negative")</f>
        <v>Negative</v>
      </c>
      <c r="G35" s="6">
        <f>IFERROR(__xludf.DUMMYFUNCTION("""COMPUTED_VALUE"""),1.0)</f>
        <v>1</v>
      </c>
    </row>
    <row r="36">
      <c r="A36" s="6" t="str">
        <f>IFERROR(__xludf.DUMMYFUNCTION("""COMPUTED_VALUE"""),"MA200")</f>
        <v>MA200</v>
      </c>
      <c r="B36" s="6" t="str">
        <f>IFERROR(__xludf.DUMMYFUNCTION("""COMPUTED_VALUE"""),"RUN-COMB_2022-03-21_RFR-002")</f>
        <v>RUN-COMB_2022-03-21_RFR-002</v>
      </c>
      <c r="C36" s="7">
        <f>VLOOKUP(B36,'Run Reconcile'!A$2:B3090,2,FALSE)</f>
        <v>44641</v>
      </c>
      <c r="D36" s="11">
        <f>IFERROR(__xludf.DUMMYFUNCTION("""COMPUTED_VALUE"""),44641.0)</f>
        <v>44641</v>
      </c>
      <c r="E36" s="12">
        <f>IFERROR(__xludf.DUMMYFUNCTION("""COMPUTED_VALUE"""),0.2772800925922638)</f>
        <v>0.2772800926</v>
      </c>
      <c r="F36" s="6" t="str">
        <f>IFERROR(__xludf.DUMMYFUNCTION("""COMPUTED_VALUE"""),"Negative")</f>
        <v>Negative</v>
      </c>
      <c r="G36" s="6">
        <f>IFERROR(__xludf.DUMMYFUNCTION("""COMPUTED_VALUE"""),1.0)</f>
        <v>1</v>
      </c>
    </row>
    <row r="37">
      <c r="A37" s="6" t="str">
        <f>IFERROR(__xludf.DUMMYFUNCTION("""COMPUTED_VALUE"""),"MA199")</f>
        <v>MA199</v>
      </c>
      <c r="B37" s="6" t="str">
        <f>IFERROR(__xludf.DUMMYFUNCTION("""COMPUTED_VALUE"""),"RUN-COMB_2022-03-21_RFR-002")</f>
        <v>RUN-COMB_2022-03-21_RFR-002</v>
      </c>
      <c r="C37" s="7">
        <f>VLOOKUP(B37,'Run Reconcile'!A$2:B3090,2,FALSE)</f>
        <v>44641</v>
      </c>
      <c r="D37" s="11">
        <f>IFERROR(__xludf.DUMMYFUNCTION("""COMPUTED_VALUE"""),44641.0)</f>
        <v>44641</v>
      </c>
      <c r="E37" s="12">
        <f>IFERROR(__xludf.DUMMYFUNCTION("""COMPUTED_VALUE"""),0.27901620370539604)</f>
        <v>0.2790162037</v>
      </c>
      <c r="F37" s="6" t="str">
        <f>IFERROR(__xludf.DUMMYFUNCTION("""COMPUTED_VALUE"""),"Positive")</f>
        <v>Positive</v>
      </c>
      <c r="G37" s="6">
        <f>IFERROR(__xludf.DUMMYFUNCTION("""COMPUTED_VALUE"""),1.0)</f>
        <v>1</v>
      </c>
    </row>
    <row r="38">
      <c r="A38" s="6" t="str">
        <f>IFERROR(__xludf.DUMMYFUNCTION("""COMPUTED_VALUE"""),"MA131")</f>
        <v>MA131</v>
      </c>
      <c r="B38" s="6" t="str">
        <f>IFERROR(__xludf.DUMMYFUNCTION("""COMPUTED_VALUE"""),"RUN-COMB_2022-03-21_RFR-002")</f>
        <v>RUN-COMB_2022-03-21_RFR-002</v>
      </c>
      <c r="C38" s="7">
        <f>VLOOKUP(B38,'Run Reconcile'!A$2:B3090,2,FALSE)</f>
        <v>44641</v>
      </c>
      <c r="D38" s="11">
        <f>IFERROR(__xludf.DUMMYFUNCTION("""COMPUTED_VALUE"""),44641.0)</f>
        <v>44641</v>
      </c>
      <c r="E38" s="12">
        <f>IFERROR(__xludf.DUMMYFUNCTION("""COMPUTED_VALUE"""),0.2806018518531346)</f>
        <v>0.2806018519</v>
      </c>
      <c r="F38" s="6" t="str">
        <f>IFERROR(__xludf.DUMMYFUNCTION("""COMPUTED_VALUE"""),"Negative")</f>
        <v>Negative</v>
      </c>
      <c r="G38" s="6">
        <f>IFERROR(__xludf.DUMMYFUNCTION("""COMPUTED_VALUE"""),1.0)</f>
        <v>1</v>
      </c>
    </row>
    <row r="39">
      <c r="A39" s="6" t="str">
        <f>IFERROR(__xludf.DUMMYFUNCTION("""COMPUTED_VALUE"""),"MA133")</f>
        <v>MA133</v>
      </c>
      <c r="B39" s="6" t="str">
        <f>IFERROR(__xludf.DUMMYFUNCTION("""COMPUTED_VALUE"""),"RUN-COMB_2022-03-21_RFR-002")</f>
        <v>RUN-COMB_2022-03-21_RFR-002</v>
      </c>
      <c r="C39" s="7">
        <f>VLOOKUP(B39,'Run Reconcile'!A$2:B3090,2,FALSE)</f>
        <v>44641</v>
      </c>
      <c r="D39" s="11">
        <f>IFERROR(__xludf.DUMMYFUNCTION("""COMPUTED_VALUE"""),44641.0)</f>
        <v>44641</v>
      </c>
      <c r="E39" s="12">
        <f>IFERROR(__xludf.DUMMYFUNCTION("""COMPUTED_VALUE"""),0.2829282407401479)</f>
        <v>0.2829282407</v>
      </c>
      <c r="F39" s="6" t="str">
        <f>IFERROR(__xludf.DUMMYFUNCTION("""COMPUTED_VALUE"""),"Negative")</f>
        <v>Negative</v>
      </c>
      <c r="G39" s="6">
        <f>IFERROR(__xludf.DUMMYFUNCTION("""COMPUTED_VALUE"""),1.0)</f>
        <v>1</v>
      </c>
    </row>
    <row r="40">
      <c r="A40" s="6" t="str">
        <f>IFERROR(__xludf.DUMMYFUNCTION("""COMPUTED_VALUE"""),"MA167")</f>
        <v>MA167</v>
      </c>
      <c r="B40" s="6" t="str">
        <f>IFERROR(__xludf.DUMMYFUNCTION("""COMPUTED_VALUE"""),"RUN-COMB_2022-03-21_RFR-002")</f>
        <v>RUN-COMB_2022-03-21_RFR-002</v>
      </c>
      <c r="C40" s="7">
        <f>VLOOKUP(B40,'Run Reconcile'!A$2:B3090,2,FALSE)</f>
        <v>44641</v>
      </c>
      <c r="D40" s="11">
        <f>IFERROR(__xludf.DUMMYFUNCTION("""COMPUTED_VALUE"""),44641.0)</f>
        <v>44641</v>
      </c>
      <c r="E40" s="12">
        <f>IFERROR(__xludf.DUMMYFUNCTION("""COMPUTED_VALUE"""),0.28432870370306773)</f>
        <v>0.2843287037</v>
      </c>
      <c r="F40" s="6" t="str">
        <f>IFERROR(__xludf.DUMMYFUNCTION("""COMPUTED_VALUE"""),"Negative")</f>
        <v>Negative</v>
      </c>
      <c r="G40" s="6">
        <f>IFERROR(__xludf.DUMMYFUNCTION("""COMPUTED_VALUE"""),1.0)</f>
        <v>1</v>
      </c>
    </row>
    <row r="41">
      <c r="A41" s="6" t="str">
        <f>IFERROR(__xludf.DUMMYFUNCTION("""COMPUTED_VALUE"""),"MA106")</f>
        <v>MA106</v>
      </c>
      <c r="B41" s="6" t="str">
        <f>IFERROR(__xludf.DUMMYFUNCTION("""COMPUTED_VALUE"""),"RUN-COMB_2022-03-21_RFR-002")</f>
        <v>RUN-COMB_2022-03-21_RFR-002</v>
      </c>
      <c r="C41" s="7">
        <f>VLOOKUP(B41,'Run Reconcile'!A$2:B3090,2,FALSE)</f>
        <v>44641</v>
      </c>
      <c r="D41" s="11">
        <f>IFERROR(__xludf.DUMMYFUNCTION("""COMPUTED_VALUE"""),44641.0)</f>
        <v>44641</v>
      </c>
      <c r="E41" s="12">
        <f>IFERROR(__xludf.DUMMYFUNCTION("""COMPUTED_VALUE"""),0.4123842592598521)</f>
        <v>0.4123842593</v>
      </c>
      <c r="F41" s="6" t="str">
        <f>IFERROR(__xludf.DUMMYFUNCTION("""COMPUTED_VALUE"""),"Negative")</f>
        <v>Negative</v>
      </c>
      <c r="G41" s="6">
        <f>IFERROR(__xludf.DUMMYFUNCTION("""COMPUTED_VALUE"""),1.0)</f>
        <v>1</v>
      </c>
    </row>
    <row r="42">
      <c r="A42" s="6" t="str">
        <f>IFERROR(__xludf.DUMMYFUNCTION("""COMPUTED_VALUE"""),"MA157")</f>
        <v>MA157</v>
      </c>
      <c r="B42" s="6" t="str">
        <f>IFERROR(__xludf.DUMMYFUNCTION("""COMPUTED_VALUE"""),"RUN-COMB_2022-03-21_RFR-002")</f>
        <v>RUN-COMB_2022-03-21_RFR-002</v>
      </c>
      <c r="C42" s="7">
        <f>VLOOKUP(B42,'Run Reconcile'!A$2:B3090,2,FALSE)</f>
        <v>44641</v>
      </c>
      <c r="D42" s="11">
        <f>IFERROR(__xludf.DUMMYFUNCTION("""COMPUTED_VALUE"""),44641.0)</f>
        <v>44641</v>
      </c>
      <c r="E42" s="12">
        <f>IFERROR(__xludf.DUMMYFUNCTION("""COMPUTED_VALUE"""),0.4129282407411665)</f>
        <v>0.4129282407</v>
      </c>
      <c r="F42" s="6" t="str">
        <f>IFERROR(__xludf.DUMMYFUNCTION("""COMPUTED_VALUE"""),"Negative")</f>
        <v>Negative</v>
      </c>
      <c r="G42" s="6">
        <f>IFERROR(__xludf.DUMMYFUNCTION("""COMPUTED_VALUE"""),1.0)</f>
        <v>1</v>
      </c>
    </row>
    <row r="43">
      <c r="A43" s="6" t="str">
        <f>IFERROR(__xludf.DUMMYFUNCTION("""COMPUTED_VALUE"""),"MA191")</f>
        <v>MA191</v>
      </c>
      <c r="B43" s="6" t="str">
        <f>IFERROR(__xludf.DUMMYFUNCTION("""COMPUTED_VALUE"""),"RUN-COMB_2022-03-21_RFR-002")</f>
        <v>RUN-COMB_2022-03-21_RFR-002</v>
      </c>
      <c r="C43" s="7">
        <f>VLOOKUP(B43,'Run Reconcile'!A$2:B3090,2,FALSE)</f>
        <v>44641</v>
      </c>
      <c r="D43" s="11">
        <f>IFERROR(__xludf.DUMMYFUNCTION("""COMPUTED_VALUE"""),44641.0)</f>
        <v>44641</v>
      </c>
      <c r="E43" s="12">
        <f>IFERROR(__xludf.DUMMYFUNCTION("""COMPUTED_VALUE"""),0.4133101851839456)</f>
        <v>0.4133101852</v>
      </c>
      <c r="F43" s="6" t="str">
        <f>IFERROR(__xludf.DUMMYFUNCTION("""COMPUTED_VALUE"""),"Negative")</f>
        <v>Negative</v>
      </c>
      <c r="G43" s="6">
        <f>IFERROR(__xludf.DUMMYFUNCTION("""COMPUTED_VALUE"""),1.0)</f>
        <v>1</v>
      </c>
    </row>
    <row r="44">
      <c r="A44" s="6" t="str">
        <f>IFERROR(__xludf.DUMMYFUNCTION("""COMPUTED_VALUE"""),"MA142")</f>
        <v>MA142</v>
      </c>
      <c r="B44" s="6" t="str">
        <f>IFERROR(__xludf.DUMMYFUNCTION("""COMPUTED_VALUE"""),"RUN-COMB_2022-03-21_RFR-002")</f>
        <v>RUN-COMB_2022-03-21_RFR-002</v>
      </c>
      <c r="C44" s="7">
        <f>VLOOKUP(B44,'Run Reconcile'!A$2:B3090,2,FALSE)</f>
        <v>44641</v>
      </c>
      <c r="D44" s="11">
        <f>IFERROR(__xludf.DUMMYFUNCTION("""COMPUTED_VALUE"""),44641.0)</f>
        <v>44641</v>
      </c>
      <c r="E44" s="12">
        <f>IFERROR(__xludf.DUMMYFUNCTION("""COMPUTED_VALUE"""),0.41469907407372375)</f>
        <v>0.4146990741</v>
      </c>
      <c r="F44" s="6" t="str">
        <f>IFERROR(__xludf.DUMMYFUNCTION("""COMPUTED_VALUE"""),"Negative")</f>
        <v>Negative</v>
      </c>
      <c r="G44" s="6">
        <f>IFERROR(__xludf.DUMMYFUNCTION("""COMPUTED_VALUE"""),1.0)</f>
        <v>1</v>
      </c>
    </row>
    <row r="45">
      <c r="A45" s="6" t="str">
        <f>IFERROR(__xludf.DUMMYFUNCTION("""COMPUTED_VALUE"""),"MA65")</f>
        <v>MA65</v>
      </c>
      <c r="B45" s="6" t="str">
        <f>IFERROR(__xludf.DUMMYFUNCTION("""COMPUTED_VALUE"""),"RUN-COMB_2022-03-21_RFR-002")</f>
        <v>RUN-COMB_2022-03-21_RFR-002</v>
      </c>
      <c r="C45" s="7">
        <f>VLOOKUP(B45,'Run Reconcile'!A$2:B3090,2,FALSE)</f>
        <v>44641</v>
      </c>
      <c r="D45" s="11">
        <f>IFERROR(__xludf.DUMMYFUNCTION("""COMPUTED_VALUE"""),44641.0)</f>
        <v>44641</v>
      </c>
      <c r="E45" s="12">
        <f>IFERROR(__xludf.DUMMYFUNCTION("""COMPUTED_VALUE"""),0.4154745370360615)</f>
        <v>0.415474537</v>
      </c>
      <c r="F45" s="6" t="str">
        <f>IFERROR(__xludf.DUMMYFUNCTION("""COMPUTED_VALUE"""),"Negative")</f>
        <v>Negative</v>
      </c>
      <c r="G45" s="6">
        <f>IFERROR(__xludf.DUMMYFUNCTION("""COMPUTED_VALUE"""),1.0)</f>
        <v>1</v>
      </c>
    </row>
    <row r="46">
      <c r="A46" s="6" t="str">
        <f>IFERROR(__xludf.DUMMYFUNCTION("""COMPUTED_VALUE"""),"MA172")</f>
        <v>MA172</v>
      </c>
      <c r="B46" s="6" t="str">
        <f>IFERROR(__xludf.DUMMYFUNCTION("""COMPUTED_VALUE"""),"RUN-COMB_2022-03-22_RFR-004")</f>
        <v>RUN-COMB_2022-03-22_RFR-004</v>
      </c>
      <c r="C46" s="7">
        <f>VLOOKUP(B46,'Run Reconcile'!A$2:B3090,2,FALSE)</f>
        <v>44642</v>
      </c>
      <c r="D46" s="11">
        <f>IFERROR(__xludf.DUMMYFUNCTION("""COMPUTED_VALUE"""),44642.0)</f>
        <v>44642</v>
      </c>
      <c r="E46" s="12">
        <f>IFERROR(__xludf.DUMMYFUNCTION("""COMPUTED_VALUE"""),0.24952546296117362)</f>
        <v>0.249525463</v>
      </c>
      <c r="F46" s="6" t="str">
        <f>IFERROR(__xludf.DUMMYFUNCTION("""COMPUTED_VALUE"""),"Negative")</f>
        <v>Negative</v>
      </c>
      <c r="G46" s="6">
        <f>IFERROR(__xludf.DUMMYFUNCTION("""COMPUTED_VALUE"""),1.0)</f>
        <v>1</v>
      </c>
    </row>
    <row r="47">
      <c r="A47" s="6" t="str">
        <f>IFERROR(__xludf.DUMMYFUNCTION("""COMPUTED_VALUE"""),"MA224")</f>
        <v>MA224</v>
      </c>
      <c r="B47" s="6" t="str">
        <f>IFERROR(__xludf.DUMMYFUNCTION("""COMPUTED_VALUE"""),"RUN-COMB_2022-03-22_RFR-004")</f>
        <v>RUN-COMB_2022-03-22_RFR-004</v>
      </c>
      <c r="C47" s="7">
        <f>VLOOKUP(B47,'Run Reconcile'!A$2:B3090,2,FALSE)</f>
        <v>44642</v>
      </c>
      <c r="D47" s="11">
        <f>IFERROR(__xludf.DUMMYFUNCTION("""COMPUTED_VALUE"""),44642.0)</f>
        <v>44642</v>
      </c>
      <c r="E47" s="12">
        <f>IFERROR(__xludf.DUMMYFUNCTION("""COMPUTED_VALUE"""),0.25082175925854244)</f>
        <v>0.2508217593</v>
      </c>
      <c r="F47" s="6" t="str">
        <f>IFERROR(__xludf.DUMMYFUNCTION("""COMPUTED_VALUE"""),"Negative")</f>
        <v>Negative</v>
      </c>
      <c r="G47" s="6">
        <f>IFERROR(__xludf.DUMMYFUNCTION("""COMPUTED_VALUE"""),1.0)</f>
        <v>1</v>
      </c>
    </row>
    <row r="48">
      <c r="A48" s="6" t="str">
        <f>IFERROR(__xludf.DUMMYFUNCTION("""COMPUTED_VALUE"""),"MA151")</f>
        <v>MA151</v>
      </c>
      <c r="B48" s="6" t="str">
        <f>IFERROR(__xludf.DUMMYFUNCTION("""COMPUTED_VALUE"""),"RUN-COMB_2022-03-22_RFR-004")</f>
        <v>RUN-COMB_2022-03-22_RFR-004</v>
      </c>
      <c r="C48" s="7">
        <f>VLOOKUP(B48,'Run Reconcile'!A$2:B3090,2,FALSE)</f>
        <v>44642</v>
      </c>
      <c r="D48" s="11">
        <f>IFERROR(__xludf.DUMMYFUNCTION("""COMPUTED_VALUE"""),44642.0)</f>
        <v>44642</v>
      </c>
      <c r="E48" s="12">
        <f>IFERROR(__xludf.DUMMYFUNCTION("""COMPUTED_VALUE"""),0.25173611110949423)</f>
        <v>0.2517361111</v>
      </c>
      <c r="F48" s="6" t="str">
        <f>IFERROR(__xludf.DUMMYFUNCTION("""COMPUTED_VALUE"""),"Negative")</f>
        <v>Negative</v>
      </c>
      <c r="G48" s="6">
        <f>IFERROR(__xludf.DUMMYFUNCTION("""COMPUTED_VALUE"""),1.0)</f>
        <v>1</v>
      </c>
    </row>
    <row r="49">
      <c r="A49" s="6" t="str">
        <f>IFERROR(__xludf.DUMMYFUNCTION("""COMPUTED_VALUE"""),"MA216")</f>
        <v>MA216</v>
      </c>
      <c r="B49" s="6" t="str">
        <f>IFERROR(__xludf.DUMMYFUNCTION("""COMPUTED_VALUE"""),"RUN-COMB_2022-03-22_RFR-004")</f>
        <v>RUN-COMB_2022-03-22_RFR-004</v>
      </c>
      <c r="C49" s="7">
        <f>VLOOKUP(B49,'Run Reconcile'!A$2:B3090,2,FALSE)</f>
        <v>44642</v>
      </c>
      <c r="D49" s="11">
        <f>IFERROR(__xludf.DUMMYFUNCTION("""COMPUTED_VALUE"""),44642.0)</f>
        <v>44642</v>
      </c>
      <c r="E49" s="12">
        <f>IFERROR(__xludf.DUMMYFUNCTION("""COMPUTED_VALUE"""),0.2537152777767915)</f>
        <v>0.2537152778</v>
      </c>
      <c r="F49" s="6" t="str">
        <f>IFERROR(__xludf.DUMMYFUNCTION("""COMPUTED_VALUE"""),"Negative")</f>
        <v>Negative</v>
      </c>
      <c r="G49" s="6">
        <f>IFERROR(__xludf.DUMMYFUNCTION("""COMPUTED_VALUE"""),1.0)</f>
        <v>1</v>
      </c>
    </row>
    <row r="50">
      <c r="A50" s="6" t="str">
        <f>IFERROR(__xludf.DUMMYFUNCTION("""COMPUTED_VALUE"""),"MA187")</f>
        <v>MA187</v>
      </c>
      <c r="B50" s="6" t="str">
        <f>IFERROR(__xludf.DUMMYFUNCTION("""COMPUTED_VALUE"""),"RUN-COMB_2022-03-22_RFR-004")</f>
        <v>RUN-COMB_2022-03-22_RFR-004</v>
      </c>
      <c r="C50" s="7">
        <f>VLOOKUP(B50,'Run Reconcile'!A$2:B3090,2,FALSE)</f>
        <v>44642</v>
      </c>
      <c r="D50" s="11">
        <f>IFERROR(__xludf.DUMMYFUNCTION("""COMPUTED_VALUE"""),44642.0)</f>
        <v>44642</v>
      </c>
      <c r="E50" s="12">
        <f>IFERROR(__xludf.DUMMYFUNCTION("""COMPUTED_VALUE"""),0.25408564814642887)</f>
        <v>0.2540856481</v>
      </c>
      <c r="F50" s="6" t="str">
        <f>IFERROR(__xludf.DUMMYFUNCTION("""COMPUTED_VALUE"""),"Negative")</f>
        <v>Negative</v>
      </c>
      <c r="G50" s="6">
        <f>IFERROR(__xludf.DUMMYFUNCTION("""COMPUTED_VALUE"""),1.0)</f>
        <v>1</v>
      </c>
    </row>
    <row r="51">
      <c r="A51" s="6" t="str">
        <f>IFERROR(__xludf.DUMMYFUNCTION("""COMPUTED_VALUE"""),"MA102")</f>
        <v>MA102</v>
      </c>
      <c r="B51" s="6" t="str">
        <f>IFERROR(__xludf.DUMMYFUNCTION("""COMPUTED_VALUE"""),"RUN-COMB_2022-03-22_RFR-004")</f>
        <v>RUN-COMB_2022-03-22_RFR-004</v>
      </c>
      <c r="C51" s="7">
        <f>VLOOKUP(B51,'Run Reconcile'!A$2:B3090,2,FALSE)</f>
        <v>44642</v>
      </c>
      <c r="D51" s="11">
        <f>IFERROR(__xludf.DUMMYFUNCTION("""COMPUTED_VALUE"""),44642.0)</f>
        <v>44642</v>
      </c>
      <c r="E51" s="12">
        <f>IFERROR(__xludf.DUMMYFUNCTION("""COMPUTED_VALUE"""),0.2552777777782467)</f>
        <v>0.2552777778</v>
      </c>
      <c r="F51" s="6" t="str">
        <f>IFERROR(__xludf.DUMMYFUNCTION("""COMPUTED_VALUE"""),"Negative")</f>
        <v>Negative</v>
      </c>
      <c r="G51" s="6">
        <f>IFERROR(__xludf.DUMMYFUNCTION("""COMPUTED_VALUE"""),1.0)</f>
        <v>1</v>
      </c>
    </row>
    <row r="52">
      <c r="A52" s="6" t="str">
        <f>IFERROR(__xludf.DUMMYFUNCTION("""COMPUTED_VALUE"""),"MA129")</f>
        <v>MA129</v>
      </c>
      <c r="B52" s="6" t="str">
        <f>IFERROR(__xludf.DUMMYFUNCTION("""COMPUTED_VALUE"""),"RUN-COMB_2022-03-22_RFR-004")</f>
        <v>RUN-COMB_2022-03-22_RFR-004</v>
      </c>
      <c r="C52" s="7">
        <f>VLOOKUP(B52,'Run Reconcile'!A$2:B3090,2,FALSE)</f>
        <v>44642</v>
      </c>
      <c r="D52" s="11">
        <f>IFERROR(__xludf.DUMMYFUNCTION("""COMPUTED_VALUE"""),44642.0)</f>
        <v>44642</v>
      </c>
      <c r="E52" s="12">
        <f>IFERROR(__xludf.DUMMYFUNCTION("""COMPUTED_VALUE"""),0.25771990740759065)</f>
        <v>0.2577199074</v>
      </c>
      <c r="F52" s="6" t="str">
        <f>IFERROR(__xludf.DUMMYFUNCTION("""COMPUTED_VALUE"""),"Negative")</f>
        <v>Negative</v>
      </c>
      <c r="G52" s="6">
        <f>IFERROR(__xludf.DUMMYFUNCTION("""COMPUTED_VALUE"""),1.0)</f>
        <v>1</v>
      </c>
    </row>
    <row r="53">
      <c r="A53" s="6" t="str">
        <f>IFERROR(__xludf.DUMMYFUNCTION("""COMPUTED_VALUE"""),"MA204")</f>
        <v>MA204</v>
      </c>
      <c r="B53" s="6" t="str">
        <f>IFERROR(__xludf.DUMMYFUNCTION("""COMPUTED_VALUE"""),"RUN-COMB_2022-03-22_RFR-004")</f>
        <v>RUN-COMB_2022-03-22_RFR-004</v>
      </c>
      <c r="C53" s="7">
        <f>VLOOKUP(B53,'Run Reconcile'!A$2:B3090,2,FALSE)</f>
        <v>44642</v>
      </c>
      <c r="D53" s="11">
        <f>IFERROR(__xludf.DUMMYFUNCTION("""COMPUTED_VALUE"""),44642.0)</f>
        <v>44642</v>
      </c>
      <c r="E53" s="12">
        <f>IFERROR(__xludf.DUMMYFUNCTION("""COMPUTED_VALUE"""),0.2590740740743058)</f>
        <v>0.2590740741</v>
      </c>
      <c r="F53" s="6" t="str">
        <f>IFERROR(__xludf.DUMMYFUNCTION("""COMPUTED_VALUE"""),"Negative")</f>
        <v>Negative</v>
      </c>
      <c r="G53" s="6">
        <f>IFERROR(__xludf.DUMMYFUNCTION("""COMPUTED_VALUE"""),1.0)</f>
        <v>1</v>
      </c>
    </row>
    <row r="54">
      <c r="A54" s="6" t="str">
        <f>IFERROR(__xludf.DUMMYFUNCTION("""COMPUTED_VALUE"""),"MA97")</f>
        <v>MA97</v>
      </c>
      <c r="B54" s="6" t="str">
        <f>IFERROR(__xludf.DUMMYFUNCTION("""COMPUTED_VALUE"""),"RUN-COMB_2022-03-22_RFR-004")</f>
        <v>RUN-COMB_2022-03-22_RFR-004</v>
      </c>
      <c r="C54" s="7">
        <f>VLOOKUP(B54,'Run Reconcile'!A$2:B3090,2,FALSE)</f>
        <v>44642</v>
      </c>
      <c r="D54" s="11">
        <f>IFERROR(__xludf.DUMMYFUNCTION("""COMPUTED_VALUE"""),44642.0)</f>
        <v>44642</v>
      </c>
      <c r="E54" s="12">
        <f>IFERROR(__xludf.DUMMYFUNCTION("""COMPUTED_VALUE"""),0.26001157407517894)</f>
        <v>0.2600115741</v>
      </c>
      <c r="F54" s="6" t="str">
        <f>IFERROR(__xludf.DUMMYFUNCTION("""COMPUTED_VALUE"""),"Negative")</f>
        <v>Negative</v>
      </c>
      <c r="G54" s="6">
        <f>IFERROR(__xludf.DUMMYFUNCTION("""COMPUTED_VALUE"""),1.0)</f>
        <v>1</v>
      </c>
    </row>
    <row r="55">
      <c r="A55" s="6" t="str">
        <f>IFERROR(__xludf.DUMMYFUNCTION("""COMPUTED_VALUE"""),"MA155")</f>
        <v>MA155</v>
      </c>
      <c r="B55" s="6" t="str">
        <f>IFERROR(__xludf.DUMMYFUNCTION("""COMPUTED_VALUE"""),"RUN-COMB_2022-03-22_RFR-004")</f>
        <v>RUN-COMB_2022-03-22_RFR-004</v>
      </c>
      <c r="C55" s="7">
        <f>VLOOKUP(B55,'Run Reconcile'!A$2:B3090,2,FALSE)</f>
        <v>44642</v>
      </c>
      <c r="D55" s="11">
        <f>IFERROR(__xludf.DUMMYFUNCTION("""COMPUTED_VALUE"""),44642.0)</f>
        <v>44642</v>
      </c>
      <c r="E55" s="12">
        <f>IFERROR(__xludf.DUMMYFUNCTION("""COMPUTED_VALUE"""),0.2608333333337214)</f>
        <v>0.2608333333</v>
      </c>
      <c r="F55" s="6" t="str">
        <f>IFERROR(__xludf.DUMMYFUNCTION("""COMPUTED_VALUE"""),"Negative")</f>
        <v>Negative</v>
      </c>
      <c r="G55" s="6">
        <f>IFERROR(__xludf.DUMMYFUNCTION("""COMPUTED_VALUE"""),1.0)</f>
        <v>1</v>
      </c>
    </row>
    <row r="56">
      <c r="A56" s="6" t="str">
        <f>IFERROR(__xludf.DUMMYFUNCTION("""COMPUTED_VALUE"""),"MA117")</f>
        <v>MA117</v>
      </c>
      <c r="B56" s="6" t="str">
        <f>IFERROR(__xludf.DUMMYFUNCTION("""COMPUTED_VALUE"""),"RUN-COMB_2022-03-22_RFR-004")</f>
        <v>RUN-COMB_2022-03-22_RFR-004</v>
      </c>
      <c r="C56" s="7">
        <f>VLOOKUP(B56,'Run Reconcile'!A$2:B3090,2,FALSE)</f>
        <v>44642</v>
      </c>
      <c r="D56" s="11">
        <f>IFERROR(__xludf.DUMMYFUNCTION("""COMPUTED_VALUE"""),44642.0)</f>
        <v>44642</v>
      </c>
      <c r="E56" s="12">
        <f>IFERROR(__xludf.DUMMYFUNCTION("""COMPUTED_VALUE"""),0.26160879629605915)</f>
        <v>0.2616087963</v>
      </c>
      <c r="F56" s="6" t="str">
        <f>IFERROR(__xludf.DUMMYFUNCTION("""COMPUTED_VALUE"""),"Negative")</f>
        <v>Negative</v>
      </c>
      <c r="G56" s="6">
        <f>IFERROR(__xludf.DUMMYFUNCTION("""COMPUTED_VALUE"""),1.0)</f>
        <v>1</v>
      </c>
    </row>
    <row r="57">
      <c r="A57" s="6" t="str">
        <f>IFERROR(__xludf.DUMMYFUNCTION("""COMPUTED_VALUE"""),"MA139")</f>
        <v>MA139</v>
      </c>
      <c r="B57" s="6" t="str">
        <f>IFERROR(__xludf.DUMMYFUNCTION("""COMPUTED_VALUE"""),"RUN-COMB_2022-03-22_RFR-004")</f>
        <v>RUN-COMB_2022-03-22_RFR-004</v>
      </c>
      <c r="C57" s="7">
        <f>VLOOKUP(B57,'Run Reconcile'!A$2:B3090,2,FALSE)</f>
        <v>44642</v>
      </c>
      <c r="D57" s="11">
        <f>IFERROR(__xludf.DUMMYFUNCTION("""COMPUTED_VALUE"""),44642.0)</f>
        <v>44642</v>
      </c>
      <c r="E57" s="12">
        <f>IFERROR(__xludf.DUMMYFUNCTION("""COMPUTED_VALUE"""),0.26403935185226146)</f>
        <v>0.2640393519</v>
      </c>
      <c r="F57" s="6" t="str">
        <f>IFERROR(__xludf.DUMMYFUNCTION("""COMPUTED_VALUE"""),"Negative")</f>
        <v>Negative</v>
      </c>
      <c r="G57" s="6">
        <f>IFERROR(__xludf.DUMMYFUNCTION("""COMPUTED_VALUE"""),1.0)</f>
        <v>1</v>
      </c>
    </row>
    <row r="58">
      <c r="A58" s="6" t="str">
        <f>IFERROR(__xludf.DUMMYFUNCTION("""COMPUTED_VALUE"""),"MA152")</f>
        <v>MA152</v>
      </c>
      <c r="B58" s="6" t="str">
        <f>IFERROR(__xludf.DUMMYFUNCTION("""COMPUTED_VALUE"""),"RUN-COMB_2022-03-22_RFR-004")</f>
        <v>RUN-COMB_2022-03-22_RFR-004</v>
      </c>
      <c r="C58" s="7">
        <f>VLOOKUP(B58,'Run Reconcile'!A$2:B3090,2,FALSE)</f>
        <v>44642</v>
      </c>
      <c r="D58" s="11">
        <f>IFERROR(__xludf.DUMMYFUNCTION("""COMPUTED_VALUE"""),44642.0)</f>
        <v>44642</v>
      </c>
      <c r="E58" s="12">
        <f>IFERROR(__xludf.DUMMYFUNCTION("""COMPUTED_VALUE"""),0.2650115740725596)</f>
        <v>0.2650115741</v>
      </c>
      <c r="F58" s="6" t="str">
        <f>IFERROR(__xludf.DUMMYFUNCTION("""COMPUTED_VALUE"""),"Negative")</f>
        <v>Negative</v>
      </c>
      <c r="G58" s="6">
        <f>IFERROR(__xludf.DUMMYFUNCTION("""COMPUTED_VALUE"""),1.0)</f>
        <v>1</v>
      </c>
    </row>
    <row r="59">
      <c r="A59" s="6" t="str">
        <f>IFERROR(__xludf.DUMMYFUNCTION("""COMPUTED_VALUE"""),"MA174")</f>
        <v>MA174</v>
      </c>
      <c r="B59" s="6" t="str">
        <f>IFERROR(__xludf.DUMMYFUNCTION("""COMPUTED_VALUE"""),"RUN-COMB_2022-03-22_RFR-004")</f>
        <v>RUN-COMB_2022-03-22_RFR-004</v>
      </c>
      <c r="C59" s="7">
        <f>VLOOKUP(B59,'Run Reconcile'!A$2:B3090,2,FALSE)</f>
        <v>44642</v>
      </c>
      <c r="D59" s="11">
        <f>IFERROR(__xludf.DUMMYFUNCTION("""COMPUTED_VALUE"""),44642.0)</f>
        <v>44642</v>
      </c>
      <c r="E59" s="12">
        <f>IFERROR(__xludf.DUMMYFUNCTION("""COMPUTED_VALUE"""),0.2667245370357705)</f>
        <v>0.266724537</v>
      </c>
      <c r="F59" s="6" t="str">
        <f>IFERROR(__xludf.DUMMYFUNCTION("""COMPUTED_VALUE"""),"Negative")</f>
        <v>Negative</v>
      </c>
      <c r="G59" s="6">
        <f>IFERROR(__xludf.DUMMYFUNCTION("""COMPUTED_VALUE"""),1.0)</f>
        <v>1</v>
      </c>
    </row>
    <row r="60">
      <c r="A60" s="6" t="str">
        <f>IFERROR(__xludf.DUMMYFUNCTION("""COMPUTED_VALUE"""),"MA143")</f>
        <v>MA143</v>
      </c>
      <c r="B60" s="6" t="str">
        <f>IFERROR(__xludf.DUMMYFUNCTION("""COMPUTED_VALUE"""),"RUN-COMB_2022-03-22_RFR-004")</f>
        <v>RUN-COMB_2022-03-22_RFR-004</v>
      </c>
      <c r="C60" s="7">
        <f>VLOOKUP(B60,'Run Reconcile'!A$2:B3090,2,FALSE)</f>
        <v>44642</v>
      </c>
      <c r="D60" s="11">
        <f>IFERROR(__xludf.DUMMYFUNCTION("""COMPUTED_VALUE"""),44642.0)</f>
        <v>44642</v>
      </c>
      <c r="E60" s="12">
        <f>IFERROR(__xludf.DUMMYFUNCTION("""COMPUTED_VALUE"""),0.2671412037052505)</f>
        <v>0.2671412037</v>
      </c>
      <c r="F60" s="6" t="str">
        <f>IFERROR(__xludf.DUMMYFUNCTION("""COMPUTED_VALUE"""),"Negative")</f>
        <v>Negative</v>
      </c>
      <c r="G60" s="6">
        <f>IFERROR(__xludf.DUMMYFUNCTION("""COMPUTED_VALUE"""),1.0)</f>
        <v>1</v>
      </c>
    </row>
    <row r="61">
      <c r="A61" s="6" t="str">
        <f>IFERROR(__xludf.DUMMYFUNCTION("""COMPUTED_VALUE"""),"MA228")</f>
        <v>MA228</v>
      </c>
      <c r="B61" s="6" t="str">
        <f>IFERROR(__xludf.DUMMYFUNCTION("""COMPUTED_VALUE"""),"RUN-COMB_2022-03-22_RFR-004")</f>
        <v>RUN-COMB_2022-03-22_RFR-004</v>
      </c>
      <c r="C61" s="7">
        <f>VLOOKUP(B61,'Run Reconcile'!A$2:B3090,2,FALSE)</f>
        <v>44642</v>
      </c>
      <c r="D61" s="11">
        <f>IFERROR(__xludf.DUMMYFUNCTION("""COMPUTED_VALUE"""),44642.0)</f>
        <v>44642</v>
      </c>
      <c r="E61" s="12">
        <f>IFERROR(__xludf.DUMMYFUNCTION("""COMPUTED_VALUE"""),0.2673726851862739)</f>
        <v>0.2673726852</v>
      </c>
      <c r="F61" s="6" t="str">
        <f>IFERROR(__xludf.DUMMYFUNCTION("""COMPUTED_VALUE"""),"Negative")</f>
        <v>Negative</v>
      </c>
      <c r="G61" s="6">
        <f>IFERROR(__xludf.DUMMYFUNCTION("""COMPUTED_VALUE"""),1.0)</f>
        <v>1</v>
      </c>
    </row>
    <row r="62">
      <c r="A62" s="6" t="str">
        <f>IFERROR(__xludf.DUMMYFUNCTION("""COMPUTED_VALUE"""),"MA180")</f>
        <v>MA180</v>
      </c>
      <c r="B62" s="6" t="str">
        <f>IFERROR(__xludf.DUMMYFUNCTION("""COMPUTED_VALUE"""),"RUN-COMB_2022-03-22_RFR-004")</f>
        <v>RUN-COMB_2022-03-22_RFR-004</v>
      </c>
      <c r="C62" s="7">
        <f>VLOOKUP(B62,'Run Reconcile'!A$2:B3090,2,FALSE)</f>
        <v>44642</v>
      </c>
      <c r="D62" s="11">
        <f>IFERROR(__xludf.DUMMYFUNCTION("""COMPUTED_VALUE"""),44642.0)</f>
        <v>44642</v>
      </c>
      <c r="E62" s="12">
        <f>IFERROR(__xludf.DUMMYFUNCTION("""COMPUTED_VALUE"""),0.268449074075761)</f>
        <v>0.2684490741</v>
      </c>
      <c r="F62" s="6" t="str">
        <f>IFERROR(__xludf.DUMMYFUNCTION("""COMPUTED_VALUE"""),"Negative")</f>
        <v>Negative</v>
      </c>
      <c r="G62" s="6">
        <f>IFERROR(__xludf.DUMMYFUNCTION("""COMPUTED_VALUE"""),1.0)</f>
        <v>1</v>
      </c>
    </row>
    <row r="63">
      <c r="A63" s="6" t="str">
        <f>IFERROR(__xludf.DUMMYFUNCTION("""COMPUTED_VALUE"""),"MA110")</f>
        <v>MA110</v>
      </c>
      <c r="B63" s="6" t="str">
        <f>IFERROR(__xludf.DUMMYFUNCTION("""COMPUTED_VALUE"""),"RUN-COMB_2022-03-22_RFR-004")</f>
        <v>RUN-COMB_2022-03-22_RFR-004</v>
      </c>
      <c r="C63" s="7">
        <f>VLOOKUP(B63,'Run Reconcile'!A$2:B3090,2,FALSE)</f>
        <v>44642</v>
      </c>
      <c r="D63" s="11">
        <f>IFERROR(__xludf.DUMMYFUNCTION("""COMPUTED_VALUE"""),44642.0)</f>
        <v>44642</v>
      </c>
      <c r="E63" s="12">
        <f>IFERROR(__xludf.DUMMYFUNCTION("""COMPUTED_VALUE"""),0.3457523148135806)</f>
        <v>0.3457523148</v>
      </c>
      <c r="F63" s="6" t="str">
        <f>IFERROR(__xludf.DUMMYFUNCTION("""COMPUTED_VALUE"""),"Negative")</f>
        <v>Negative</v>
      </c>
      <c r="G63" s="6">
        <f>IFERROR(__xludf.DUMMYFUNCTION("""COMPUTED_VALUE"""),1.0)</f>
        <v>1</v>
      </c>
    </row>
    <row r="64">
      <c r="A64" s="6" t="str">
        <f>IFERROR(__xludf.DUMMYFUNCTION("""COMPUTED_VALUE"""),"FM3406")</f>
        <v>FM3406</v>
      </c>
      <c r="B64" s="6" t="str">
        <f>IFERROR(__xludf.DUMMYFUNCTION("""COMPUTED_VALUE"""),"RUN-COMB_2022-03-23_RFR-006")</f>
        <v>RUN-COMB_2022-03-23_RFR-006</v>
      </c>
      <c r="C64" s="7">
        <f>VLOOKUP(B64,'Run Reconcile'!A$2:B3090,2,FALSE)</f>
        <v>44643</v>
      </c>
      <c r="D64" s="11">
        <f>IFERROR(__xludf.DUMMYFUNCTION("""COMPUTED_VALUE"""),44643.0)</f>
        <v>44643</v>
      </c>
      <c r="E64" s="12">
        <f>IFERROR(__xludf.DUMMYFUNCTION("""COMPUTED_VALUE"""),0.2957060185181035)</f>
        <v>0.2957060185</v>
      </c>
      <c r="F64" s="6" t="str">
        <f>IFERROR(__xludf.DUMMYFUNCTION("""COMPUTED_VALUE"""),"Negative")</f>
        <v>Negative</v>
      </c>
      <c r="G64" s="6">
        <f>IFERROR(__xludf.DUMMYFUNCTION("""COMPUTED_VALUE"""),1.0)</f>
        <v>1</v>
      </c>
    </row>
    <row r="65">
      <c r="A65" s="6" t="str">
        <f>IFERROR(__xludf.DUMMYFUNCTION("""COMPUTED_VALUE"""),"FM3453")</f>
        <v>FM3453</v>
      </c>
      <c r="B65" s="6" t="str">
        <f>IFERROR(__xludf.DUMMYFUNCTION("""COMPUTED_VALUE"""),"RUN-COMB_2022-03-23_RFR-006")</f>
        <v>RUN-COMB_2022-03-23_RFR-006</v>
      </c>
      <c r="C65" s="7">
        <f>VLOOKUP(B65,'Run Reconcile'!A$2:B3090,2,FALSE)</f>
        <v>44643</v>
      </c>
      <c r="D65" s="11">
        <f>IFERROR(__xludf.DUMMYFUNCTION("""COMPUTED_VALUE"""),44643.0)</f>
        <v>44643</v>
      </c>
      <c r="E65" s="12">
        <f>IFERROR(__xludf.DUMMYFUNCTION("""COMPUTED_VALUE"""),0.29652777777664596)</f>
        <v>0.2965277778</v>
      </c>
      <c r="F65" s="6" t="str">
        <f>IFERROR(__xludf.DUMMYFUNCTION("""COMPUTED_VALUE"""),"Negative")</f>
        <v>Negative</v>
      </c>
      <c r="G65" s="6">
        <f>IFERROR(__xludf.DUMMYFUNCTION("""COMPUTED_VALUE"""),1.0)</f>
        <v>1</v>
      </c>
    </row>
    <row r="66">
      <c r="A66" s="6" t="str">
        <f>IFERROR(__xludf.DUMMYFUNCTION("""COMPUTED_VALUE"""),"FM3419")</f>
        <v>FM3419</v>
      </c>
      <c r="B66" s="6" t="str">
        <f>IFERROR(__xludf.DUMMYFUNCTION("""COMPUTED_VALUE"""),"RUN-COMB_2022-03-23_RFR-006")</f>
        <v>RUN-COMB_2022-03-23_RFR-006</v>
      </c>
      <c r="C66" s="7">
        <f>VLOOKUP(B66,'Run Reconcile'!A$2:B3090,2,FALSE)</f>
        <v>44643</v>
      </c>
      <c r="D66" s="11">
        <f>IFERROR(__xludf.DUMMYFUNCTION("""COMPUTED_VALUE"""),44643.0)</f>
        <v>44643</v>
      </c>
      <c r="E66" s="12">
        <f>IFERROR(__xludf.DUMMYFUNCTION("""COMPUTED_VALUE"""),0.2968981481499213)</f>
        <v>0.2968981481</v>
      </c>
      <c r="F66" s="6" t="str">
        <f>IFERROR(__xludf.DUMMYFUNCTION("""COMPUTED_VALUE"""),"Negative")</f>
        <v>Negative</v>
      </c>
      <c r="G66" s="6">
        <f>IFERROR(__xludf.DUMMYFUNCTION("""COMPUTED_VALUE"""),1.0)</f>
        <v>1</v>
      </c>
    </row>
    <row r="67">
      <c r="A67" s="6" t="str">
        <f>IFERROR(__xludf.DUMMYFUNCTION("""COMPUTED_VALUE"""),"FM3425")</f>
        <v>FM3425</v>
      </c>
      <c r="B67" s="6" t="str">
        <f>IFERROR(__xludf.DUMMYFUNCTION("""COMPUTED_VALUE"""),"RUN-COMB_2022-03-23_RFR-006")</f>
        <v>RUN-COMB_2022-03-23_RFR-006</v>
      </c>
      <c r="C67" s="7">
        <f>VLOOKUP(B67,'Run Reconcile'!A$2:B3090,2,FALSE)</f>
        <v>44643</v>
      </c>
      <c r="D67" s="11">
        <f>IFERROR(__xludf.DUMMYFUNCTION("""COMPUTED_VALUE"""),44643.0)</f>
        <v>44643</v>
      </c>
      <c r="E67" s="12">
        <f>IFERROR(__xludf.DUMMYFUNCTION("""COMPUTED_VALUE"""),0.2993402777792653)</f>
        <v>0.2993402778</v>
      </c>
      <c r="F67" s="6" t="str">
        <f>IFERROR(__xludf.DUMMYFUNCTION("""COMPUTED_VALUE"""),"Negative")</f>
        <v>Negative</v>
      </c>
      <c r="G67" s="6">
        <f>IFERROR(__xludf.DUMMYFUNCTION("""COMPUTED_VALUE"""),1.0)</f>
        <v>1</v>
      </c>
    </row>
    <row r="68">
      <c r="A68" s="6" t="str">
        <f>IFERROR(__xludf.DUMMYFUNCTION("""COMPUTED_VALUE"""),"FM3433")</f>
        <v>FM3433</v>
      </c>
      <c r="B68" s="6" t="str">
        <f>IFERROR(__xludf.DUMMYFUNCTION("""COMPUTED_VALUE"""),"RUN-COMB_2022-03-23_RFR-006")</f>
        <v>RUN-COMB_2022-03-23_RFR-006</v>
      </c>
      <c r="C68" s="7">
        <f>VLOOKUP(B68,'Run Reconcile'!A$2:B3090,2,FALSE)</f>
        <v>44643</v>
      </c>
      <c r="D68" s="11">
        <f>IFERROR(__xludf.DUMMYFUNCTION("""COMPUTED_VALUE"""),44643.0)</f>
        <v>44643</v>
      </c>
      <c r="E68" s="12">
        <f>IFERROR(__xludf.DUMMYFUNCTION("""COMPUTED_VALUE"""),0.29968749999898137)</f>
        <v>0.2996875</v>
      </c>
      <c r="F68" s="6" t="str">
        <f>IFERROR(__xludf.DUMMYFUNCTION("""COMPUTED_VALUE"""),"Negative")</f>
        <v>Negative</v>
      </c>
      <c r="G68" s="6">
        <f>IFERROR(__xludf.DUMMYFUNCTION("""COMPUTED_VALUE"""),1.0)</f>
        <v>1</v>
      </c>
    </row>
    <row r="69">
      <c r="A69" s="6" t="str">
        <f>IFERROR(__xludf.DUMMYFUNCTION("""COMPUTED_VALUE"""),"FM3423")</f>
        <v>FM3423</v>
      </c>
      <c r="B69" s="6" t="str">
        <f>IFERROR(__xludf.DUMMYFUNCTION("""COMPUTED_VALUE"""),"RUN-COMB_2022-03-23_RFR-006")</f>
        <v>RUN-COMB_2022-03-23_RFR-006</v>
      </c>
      <c r="C69" s="7">
        <f>VLOOKUP(B69,'Run Reconcile'!A$2:B3090,2,FALSE)</f>
        <v>44643</v>
      </c>
      <c r="D69" s="11">
        <f>IFERROR(__xludf.DUMMYFUNCTION("""COMPUTED_VALUE"""),44643.0)</f>
        <v>44643</v>
      </c>
      <c r="E69" s="12">
        <f>IFERROR(__xludf.DUMMYFUNCTION("""COMPUTED_VALUE"""),0.30165509259313694)</f>
        <v>0.3016550926</v>
      </c>
      <c r="F69" s="6" t="str">
        <f>IFERROR(__xludf.DUMMYFUNCTION("""COMPUTED_VALUE"""),"Negative")</f>
        <v>Negative</v>
      </c>
      <c r="G69" s="6">
        <f>IFERROR(__xludf.DUMMYFUNCTION("""COMPUTED_VALUE"""),1.0)</f>
        <v>1</v>
      </c>
    </row>
    <row r="70">
      <c r="A70" s="6" t="str">
        <f>IFERROR(__xludf.DUMMYFUNCTION("""COMPUTED_VALUE"""),"FM3678")</f>
        <v>FM3678</v>
      </c>
      <c r="B70" s="6" t="str">
        <f>IFERROR(__xludf.DUMMYFUNCTION("""COMPUTED_VALUE"""),"RUN-COMB_2022-03-23_RFR-006")</f>
        <v>RUN-COMB_2022-03-23_RFR-006</v>
      </c>
      <c r="C70" s="7">
        <f>VLOOKUP(B70,'Run Reconcile'!A$2:B3090,2,FALSE)</f>
        <v>44643</v>
      </c>
      <c r="D70" s="11">
        <f>IFERROR(__xludf.DUMMYFUNCTION("""COMPUTED_VALUE"""),44643.0)</f>
        <v>44643</v>
      </c>
      <c r="E70" s="12">
        <f>IFERROR(__xludf.DUMMYFUNCTION("""COMPUTED_VALUE"""),0.3020254629627743)</f>
        <v>0.302025463</v>
      </c>
      <c r="F70" s="6" t="str">
        <f>IFERROR(__xludf.DUMMYFUNCTION("""COMPUTED_VALUE"""),"Negative")</f>
        <v>Negative</v>
      </c>
      <c r="G70" s="6">
        <f>IFERROR(__xludf.DUMMYFUNCTION("""COMPUTED_VALUE"""),1.0)</f>
        <v>1</v>
      </c>
    </row>
    <row r="71">
      <c r="A71" s="6" t="str">
        <f>IFERROR(__xludf.DUMMYFUNCTION("""COMPUTED_VALUE"""),"FM3445")</f>
        <v>FM3445</v>
      </c>
      <c r="B71" s="6" t="str">
        <f>IFERROR(__xludf.DUMMYFUNCTION("""COMPUTED_VALUE"""),"RUN-COMB_2022-03-23_RFR-006")</f>
        <v>RUN-COMB_2022-03-23_RFR-006</v>
      </c>
      <c r="C71" s="7">
        <f>VLOOKUP(B71,'Run Reconcile'!A$2:B3090,2,FALSE)</f>
        <v>44643</v>
      </c>
      <c r="D71" s="11">
        <f>IFERROR(__xludf.DUMMYFUNCTION("""COMPUTED_VALUE"""),44643.0)</f>
        <v>44643</v>
      </c>
      <c r="E71" s="12">
        <f>IFERROR(__xludf.DUMMYFUNCTION("""COMPUTED_VALUE"""),0.3024652777785377)</f>
        <v>0.3024652778</v>
      </c>
      <c r="F71" s="6" t="str">
        <f>IFERROR(__xludf.DUMMYFUNCTION("""COMPUTED_VALUE"""),"Negative")</f>
        <v>Negative</v>
      </c>
      <c r="G71" s="6">
        <f>IFERROR(__xludf.DUMMYFUNCTION("""COMPUTED_VALUE"""),1.0)</f>
        <v>1</v>
      </c>
    </row>
    <row r="72">
      <c r="A72" s="6" t="str">
        <f>IFERROR(__xludf.DUMMYFUNCTION("""COMPUTED_VALUE"""),"FM3410")</f>
        <v>FM3410</v>
      </c>
      <c r="B72" s="6" t="str">
        <f>IFERROR(__xludf.DUMMYFUNCTION("""COMPUTED_VALUE"""),"RUN-COMB_2022-03-23_RFR-006")</f>
        <v>RUN-COMB_2022-03-23_RFR-006</v>
      </c>
      <c r="C72" s="7">
        <f>VLOOKUP(B72,'Run Reconcile'!A$2:B3090,2,FALSE)</f>
        <v>44643</v>
      </c>
      <c r="D72" s="11">
        <f>IFERROR(__xludf.DUMMYFUNCTION("""COMPUTED_VALUE"""),44643.0)</f>
        <v>44643</v>
      </c>
      <c r="E72" s="12">
        <f>IFERROR(__xludf.DUMMYFUNCTION("""COMPUTED_VALUE"""),0.3029050925943011)</f>
        <v>0.3029050926</v>
      </c>
      <c r="F72" s="6" t="str">
        <f>IFERROR(__xludf.DUMMYFUNCTION("""COMPUTED_VALUE"""),"Negative")</f>
        <v>Negative</v>
      </c>
      <c r="G72" s="6">
        <f>IFERROR(__xludf.DUMMYFUNCTION("""COMPUTED_VALUE"""),1.0)</f>
        <v>1</v>
      </c>
    </row>
    <row r="73">
      <c r="A73" s="6" t="str">
        <f>IFERROR(__xludf.DUMMYFUNCTION("""COMPUTED_VALUE"""),"FM3415")</f>
        <v>FM3415</v>
      </c>
      <c r="B73" s="6" t="str">
        <f>IFERROR(__xludf.DUMMYFUNCTION("""COMPUTED_VALUE"""),"RUN-COMB_2022-03-23_RFR-006")</f>
        <v>RUN-COMB_2022-03-23_RFR-006</v>
      </c>
      <c r="C73" s="7">
        <f>VLOOKUP(B73,'Run Reconcile'!A$2:B3090,2,FALSE)</f>
        <v>44643</v>
      </c>
      <c r="D73" s="11">
        <f>IFERROR(__xludf.DUMMYFUNCTION("""COMPUTED_VALUE"""),44643.0)</f>
        <v>44643</v>
      </c>
      <c r="E73" s="12">
        <f>IFERROR(__xludf.DUMMYFUNCTION("""COMPUTED_VALUE"""),0.3033449074064265)</f>
        <v>0.3033449074</v>
      </c>
      <c r="F73" s="6" t="str">
        <f>IFERROR(__xludf.DUMMYFUNCTION("""COMPUTED_VALUE"""),"Negative")</f>
        <v>Negative</v>
      </c>
      <c r="G73" s="6">
        <f>IFERROR(__xludf.DUMMYFUNCTION("""COMPUTED_VALUE"""),1.0)</f>
        <v>1</v>
      </c>
    </row>
    <row r="74">
      <c r="A74" s="6" t="str">
        <f>IFERROR(__xludf.DUMMYFUNCTION("""COMPUTED_VALUE"""),"FM3455")</f>
        <v>FM3455</v>
      </c>
      <c r="B74" s="6" t="str">
        <f>IFERROR(__xludf.DUMMYFUNCTION("""COMPUTED_VALUE"""),"RUN-COMB_2022-03-23_RFR-006")</f>
        <v>RUN-COMB_2022-03-23_RFR-006</v>
      </c>
      <c r="C74" s="7">
        <f>VLOOKUP(B74,'Run Reconcile'!A$2:B3090,2,FALSE)</f>
        <v>44643</v>
      </c>
      <c r="D74" s="11">
        <f>IFERROR(__xludf.DUMMYFUNCTION("""COMPUTED_VALUE"""),44643.0)</f>
        <v>44643</v>
      </c>
      <c r="E74" s="12">
        <f>IFERROR(__xludf.DUMMYFUNCTION("""COMPUTED_VALUE"""),0.30369212962978054)</f>
        <v>0.3036921296</v>
      </c>
      <c r="F74" s="6" t="str">
        <f>IFERROR(__xludf.DUMMYFUNCTION("""COMPUTED_VALUE"""),"Negative")</f>
        <v>Negative</v>
      </c>
      <c r="G74" s="6">
        <f>IFERROR(__xludf.DUMMYFUNCTION("""COMPUTED_VALUE"""),1.0)</f>
        <v>1</v>
      </c>
    </row>
    <row r="75">
      <c r="A75" s="6" t="str">
        <f>IFERROR(__xludf.DUMMYFUNCTION("""COMPUTED_VALUE"""),"FM3450")</f>
        <v>FM3450</v>
      </c>
      <c r="B75" s="6" t="str">
        <f>IFERROR(__xludf.DUMMYFUNCTION("""COMPUTED_VALUE"""),"RUN-COMB_2022-03-23_RFR-006")</f>
        <v>RUN-COMB_2022-03-23_RFR-006</v>
      </c>
      <c r="C75" s="7">
        <f>VLOOKUP(B75,'Run Reconcile'!A$2:B3090,2,FALSE)</f>
        <v>44643</v>
      </c>
      <c r="D75" s="11">
        <f>IFERROR(__xludf.DUMMYFUNCTION("""COMPUTED_VALUE"""),44643.0)</f>
        <v>44643</v>
      </c>
      <c r="E75" s="12">
        <f>IFERROR(__xludf.DUMMYFUNCTION("""COMPUTED_VALUE"""),0.30425925926101627)</f>
        <v>0.3042592593</v>
      </c>
      <c r="F75" s="6" t="str">
        <f>IFERROR(__xludf.DUMMYFUNCTION("""COMPUTED_VALUE"""),"Negative")</f>
        <v>Negative</v>
      </c>
      <c r="G75" s="6">
        <f>IFERROR(__xludf.DUMMYFUNCTION("""COMPUTED_VALUE"""),1.0)</f>
        <v>1</v>
      </c>
    </row>
    <row r="76">
      <c r="A76" s="6" t="str">
        <f>IFERROR(__xludf.DUMMYFUNCTION("""COMPUTED_VALUE"""),"FM3463")</f>
        <v>FM3463</v>
      </c>
      <c r="B76" s="6" t="str">
        <f>IFERROR(__xludf.DUMMYFUNCTION("""COMPUTED_VALUE"""),"RUN-COMB_2022-03-23_RFR-006")</f>
        <v>RUN-COMB_2022-03-23_RFR-006</v>
      </c>
      <c r="C76" s="7">
        <f>VLOOKUP(B76,'Run Reconcile'!A$2:B3090,2,FALSE)</f>
        <v>44643</v>
      </c>
      <c r="D76" s="11">
        <f>IFERROR(__xludf.DUMMYFUNCTION("""COMPUTED_VALUE"""),44643.0)</f>
        <v>44643</v>
      </c>
      <c r="E76" s="12">
        <f>IFERROR(__xludf.DUMMYFUNCTION("""COMPUTED_VALUE"""),0.3047106481499213)</f>
        <v>0.3047106481</v>
      </c>
      <c r="F76" s="6" t="str">
        <f>IFERROR(__xludf.DUMMYFUNCTION("""COMPUTED_VALUE"""),"Negative")</f>
        <v>Negative</v>
      </c>
      <c r="G76" s="6">
        <f>IFERROR(__xludf.DUMMYFUNCTION("""COMPUTED_VALUE"""),1.0)</f>
        <v>1</v>
      </c>
    </row>
    <row r="77">
      <c r="A77" s="6" t="str">
        <f>IFERROR(__xludf.DUMMYFUNCTION("""COMPUTED_VALUE"""),"FM3677")</f>
        <v>FM3677</v>
      </c>
      <c r="B77" s="6" t="str">
        <f>IFERROR(__xludf.DUMMYFUNCTION("""COMPUTED_VALUE"""),"RUN-COMB_2022-03-23_RFR-006")</f>
        <v>RUN-COMB_2022-03-23_RFR-006</v>
      </c>
      <c r="C77" s="7">
        <f>VLOOKUP(B77,'Run Reconcile'!A$2:B3090,2,FALSE)</f>
        <v>44643</v>
      </c>
      <c r="D77" s="11">
        <f>IFERROR(__xludf.DUMMYFUNCTION("""COMPUTED_VALUE"""),44643.0)</f>
        <v>44643</v>
      </c>
      <c r="E77" s="12">
        <f>IFERROR(__xludf.DUMMYFUNCTION("""COMPUTED_VALUE"""),0.30688657407517894)</f>
        <v>0.3068865741</v>
      </c>
      <c r="F77" s="6" t="str">
        <f>IFERROR(__xludf.DUMMYFUNCTION("""COMPUTED_VALUE"""),"Negative")</f>
        <v>Negative</v>
      </c>
      <c r="G77" s="6">
        <f>IFERROR(__xludf.DUMMYFUNCTION("""COMPUTED_VALUE"""),1.0)</f>
        <v>1</v>
      </c>
    </row>
    <row r="78">
      <c r="A78" s="6" t="str">
        <f>IFERROR(__xludf.DUMMYFUNCTION("""COMPUTED_VALUE"""),"FM3444")</f>
        <v>FM3444</v>
      </c>
      <c r="B78" s="6" t="str">
        <f>IFERROR(__xludf.DUMMYFUNCTION("""COMPUTED_VALUE"""),"RUN-COMB_2022-03-23_RFR-006")</f>
        <v>RUN-COMB_2022-03-23_RFR-006</v>
      </c>
      <c r="C78" s="7">
        <f>VLOOKUP(B78,'Run Reconcile'!A$2:B3090,2,FALSE)</f>
        <v>44643</v>
      </c>
      <c r="D78" s="11">
        <f>IFERROR(__xludf.DUMMYFUNCTION("""COMPUTED_VALUE"""),44643.0)</f>
        <v>44643</v>
      </c>
      <c r="E78" s="12">
        <f>IFERROR(__xludf.DUMMYFUNCTION("""COMPUTED_VALUE"""),0.307268518517958)</f>
        <v>0.3072685185</v>
      </c>
      <c r="F78" s="6" t="str">
        <f>IFERROR(__xludf.DUMMYFUNCTION("""COMPUTED_VALUE"""),"Negative")</f>
        <v>Negative</v>
      </c>
      <c r="G78" s="6">
        <f>IFERROR(__xludf.DUMMYFUNCTION("""COMPUTED_VALUE"""),1.0)</f>
        <v>1</v>
      </c>
    </row>
    <row r="79">
      <c r="A79" s="6" t="str">
        <f>IFERROR(__xludf.DUMMYFUNCTION("""COMPUTED_VALUE"""),"FM3430")</f>
        <v>FM3430</v>
      </c>
      <c r="B79" s="6" t="str">
        <f>IFERROR(__xludf.DUMMYFUNCTION("""COMPUTED_VALUE"""),"RUN-COMB_2022-03-23_RFR-006")</f>
        <v>RUN-COMB_2022-03-23_RFR-006</v>
      </c>
      <c r="C79" s="7">
        <f>VLOOKUP(B79,'Run Reconcile'!A$2:B3090,2,FALSE)</f>
        <v>44643</v>
      </c>
      <c r="D79" s="11">
        <f>IFERROR(__xludf.DUMMYFUNCTION("""COMPUTED_VALUE"""),44643.0)</f>
        <v>44643</v>
      </c>
      <c r="E79" s="12">
        <f>IFERROR(__xludf.DUMMYFUNCTION("""COMPUTED_VALUE"""),0.30787037036861875)</f>
        <v>0.3078703704</v>
      </c>
      <c r="F79" s="6" t="str">
        <f>IFERROR(__xludf.DUMMYFUNCTION("""COMPUTED_VALUE"""),"Negative")</f>
        <v>Negative</v>
      </c>
      <c r="G79" s="6">
        <f>IFERROR(__xludf.DUMMYFUNCTION("""COMPUTED_VALUE"""),1.0)</f>
        <v>1</v>
      </c>
    </row>
    <row r="80">
      <c r="A80" s="6" t="str">
        <f>IFERROR(__xludf.DUMMYFUNCTION("""COMPUTED_VALUE"""),"FM3418")</f>
        <v>FM3418</v>
      </c>
      <c r="B80" s="6" t="str">
        <f>IFERROR(__xludf.DUMMYFUNCTION("""COMPUTED_VALUE"""),"RUN-COMB_2022-03-23_RFR-006")</f>
        <v>RUN-COMB_2022-03-23_RFR-006</v>
      </c>
      <c r="C80" s="7">
        <f>VLOOKUP(B80,'Run Reconcile'!A$2:B3090,2,FALSE)</f>
        <v>44643</v>
      </c>
      <c r="D80" s="11">
        <f>IFERROR(__xludf.DUMMYFUNCTION("""COMPUTED_VALUE"""),44643.0)</f>
        <v>44643</v>
      </c>
      <c r="E80" s="12">
        <f>IFERROR(__xludf.DUMMYFUNCTION("""COMPUTED_VALUE"""),0.3083217592575238)</f>
        <v>0.3083217593</v>
      </c>
      <c r="F80" s="6" t="str">
        <f>IFERROR(__xludf.DUMMYFUNCTION("""COMPUTED_VALUE"""),"Negative")</f>
        <v>Negative</v>
      </c>
      <c r="G80" s="6">
        <f>IFERROR(__xludf.DUMMYFUNCTION("""COMPUTED_VALUE"""),1.0)</f>
        <v>1</v>
      </c>
    </row>
    <row r="81">
      <c r="A81" s="6" t="str">
        <f>IFERROR(__xludf.DUMMYFUNCTION("""COMPUTED_VALUE"""),"FM3469")</f>
        <v>FM3469</v>
      </c>
      <c r="B81" s="6" t="str">
        <f>IFERROR(__xludf.DUMMYFUNCTION("""COMPUTED_VALUE"""),"RUN-COMB_2022-03-23_RFR-006")</f>
        <v>RUN-COMB_2022-03-23_RFR-006</v>
      </c>
      <c r="C81" s="7">
        <f>VLOOKUP(B81,'Run Reconcile'!A$2:B3090,2,FALSE)</f>
        <v>44643</v>
      </c>
      <c r="D81" s="11">
        <f>IFERROR(__xludf.DUMMYFUNCTION("""COMPUTED_VALUE"""),44643.0)</f>
        <v>44643</v>
      </c>
      <c r="E81" s="12">
        <f>IFERROR(__xludf.DUMMYFUNCTION("""COMPUTED_VALUE"""),0.3087268518502242)</f>
        <v>0.3087268519</v>
      </c>
      <c r="F81" s="6" t="str">
        <f>IFERROR(__xludf.DUMMYFUNCTION("""COMPUTED_VALUE"""),"Negative")</f>
        <v>Negative</v>
      </c>
      <c r="G81" s="6">
        <f>IFERROR(__xludf.DUMMYFUNCTION("""COMPUTED_VALUE"""),1.0)</f>
        <v>1</v>
      </c>
    </row>
    <row r="82">
      <c r="A82" s="6" t="str">
        <f>IFERROR(__xludf.DUMMYFUNCTION("""COMPUTED_VALUE"""),"FM3667")</f>
        <v>FM3667</v>
      </c>
      <c r="B82" s="6" t="str">
        <f>IFERROR(__xludf.DUMMYFUNCTION("""COMPUTED_VALUE"""),"RUN-COMB_2022-03-23_RFR-006")</f>
        <v>RUN-COMB_2022-03-23_RFR-006</v>
      </c>
      <c r="C82" s="7">
        <f>VLOOKUP(B82,'Run Reconcile'!A$2:B3090,2,FALSE)</f>
        <v>44643</v>
      </c>
      <c r="D82" s="11">
        <f>IFERROR(__xludf.DUMMYFUNCTION("""COMPUTED_VALUE"""),44643.0)</f>
        <v>44643</v>
      </c>
      <c r="E82" s="12">
        <f>IFERROR(__xludf.DUMMYFUNCTION("""COMPUTED_VALUE"""),0.3091203703697829)</f>
        <v>0.3091203704</v>
      </c>
      <c r="F82" s="6" t="str">
        <f>IFERROR(__xludf.DUMMYFUNCTION("""COMPUTED_VALUE"""),"Negative")</f>
        <v>Negative</v>
      </c>
      <c r="G82" s="6">
        <f>IFERROR(__xludf.DUMMYFUNCTION("""COMPUTED_VALUE"""),1.0)</f>
        <v>1</v>
      </c>
    </row>
    <row r="83">
      <c r="A83" s="6" t="str">
        <f>IFERROR(__xludf.DUMMYFUNCTION("""COMPUTED_VALUE"""),"FM3429")</f>
        <v>FM3429</v>
      </c>
      <c r="B83" s="6" t="str">
        <f>IFERROR(__xludf.DUMMYFUNCTION("""COMPUTED_VALUE"""),"RUN-COMB_2022-03-23_RFR-006")</f>
        <v>RUN-COMB_2022-03-23_RFR-006</v>
      </c>
      <c r="C83" s="7">
        <f>VLOOKUP(B83,'Run Reconcile'!A$2:B3090,2,FALSE)</f>
        <v>44643</v>
      </c>
      <c r="D83" s="11">
        <f>IFERROR(__xludf.DUMMYFUNCTION("""COMPUTED_VALUE"""),44643.0)</f>
        <v>44643</v>
      </c>
      <c r="E83" s="12">
        <f>IFERROR(__xludf.DUMMYFUNCTION("""COMPUTED_VALUE"""),0.3094907407394203)</f>
        <v>0.3094907407</v>
      </c>
      <c r="F83" s="6" t="str">
        <f>IFERROR(__xludf.DUMMYFUNCTION("""COMPUTED_VALUE"""),"Negative")</f>
        <v>Negative</v>
      </c>
      <c r="G83" s="6">
        <f>IFERROR(__xludf.DUMMYFUNCTION("""COMPUTED_VALUE"""),1.0)</f>
        <v>1</v>
      </c>
    </row>
    <row r="84">
      <c r="A84" s="6" t="str">
        <f>IFERROR(__xludf.DUMMYFUNCTION("""COMPUTED_VALUE"""),"FM3665")</f>
        <v>FM3665</v>
      </c>
      <c r="B84" s="6" t="str">
        <f>IFERROR(__xludf.DUMMYFUNCTION("""COMPUTED_VALUE"""),"RUN-COMB_2022-03-23_RFR-006")</f>
        <v>RUN-COMB_2022-03-23_RFR-006</v>
      </c>
      <c r="C84" s="7">
        <f>VLOOKUP(B84,'Run Reconcile'!A$2:B3090,2,FALSE)</f>
        <v>44643</v>
      </c>
      <c r="D84" s="11">
        <f>IFERROR(__xludf.DUMMYFUNCTION("""COMPUTED_VALUE"""),44643.0)</f>
        <v>44643</v>
      </c>
      <c r="E84" s="12">
        <f>IFERROR(__xludf.DUMMYFUNCTION("""COMPUTED_VALUE"""),0.3101041666668607)</f>
        <v>0.3101041667</v>
      </c>
      <c r="F84" s="6" t="str">
        <f>IFERROR(__xludf.DUMMYFUNCTION("""COMPUTED_VALUE"""),"Negative")</f>
        <v>Negative</v>
      </c>
      <c r="G84" s="6">
        <f>IFERROR(__xludf.DUMMYFUNCTION("""COMPUTED_VALUE"""),1.0)</f>
        <v>1</v>
      </c>
    </row>
    <row r="85">
      <c r="A85" s="6" t="str">
        <f>IFERROR(__xludf.DUMMYFUNCTION("""COMPUTED_VALUE"""),"FM3404")</f>
        <v>FM3404</v>
      </c>
      <c r="B85" s="6" t="str">
        <f>IFERROR(__xludf.DUMMYFUNCTION("""COMPUTED_VALUE"""),"RUN-COMB_2022-03-23_RFR-006")</f>
        <v>RUN-COMB_2022-03-23_RFR-006</v>
      </c>
      <c r="C85" s="7">
        <f>VLOOKUP(B85,'Run Reconcile'!A$2:B3090,2,FALSE)</f>
        <v>44643</v>
      </c>
      <c r="D85" s="11">
        <f>IFERROR(__xludf.DUMMYFUNCTION("""COMPUTED_VALUE"""),44643.0)</f>
        <v>44643</v>
      </c>
      <c r="E85" s="12">
        <f>IFERROR(__xludf.DUMMYFUNCTION("""COMPUTED_VALUE"""),0.3106712962980964)</f>
        <v>0.3106712963</v>
      </c>
      <c r="F85" s="6" t="str">
        <f>IFERROR(__xludf.DUMMYFUNCTION("""COMPUTED_VALUE"""),"Negative")</f>
        <v>Negative</v>
      </c>
      <c r="G85" s="6">
        <f>IFERROR(__xludf.DUMMYFUNCTION("""COMPUTED_VALUE"""),1.0)</f>
        <v>1</v>
      </c>
    </row>
    <row r="86">
      <c r="A86" s="6" t="str">
        <f>IFERROR(__xludf.DUMMYFUNCTION("""COMPUTED_VALUE"""),"FM3435")</f>
        <v>FM3435</v>
      </c>
      <c r="B86" s="6" t="str">
        <f>IFERROR(__xludf.DUMMYFUNCTION("""COMPUTED_VALUE"""),"RUN-COMB_2022-03-23_RFR-006")</f>
        <v>RUN-COMB_2022-03-23_RFR-006</v>
      </c>
      <c r="C86" s="7">
        <f>VLOOKUP(B86,'Run Reconcile'!A$2:B3090,2,FALSE)</f>
        <v>44643</v>
      </c>
      <c r="D86" s="11">
        <f>IFERROR(__xludf.DUMMYFUNCTION("""COMPUTED_VALUE"""),44643.0)</f>
        <v>44643</v>
      </c>
      <c r="E86" s="12">
        <f>IFERROR(__xludf.DUMMYFUNCTION("""COMPUTED_VALUE"""),0.3111921296294895)</f>
        <v>0.3111921296</v>
      </c>
      <c r="F86" s="6" t="str">
        <f>IFERROR(__xludf.DUMMYFUNCTION("""COMPUTED_VALUE"""),"Negative")</f>
        <v>Negative</v>
      </c>
      <c r="G86" s="6">
        <f>IFERROR(__xludf.DUMMYFUNCTION("""COMPUTED_VALUE"""),1.0)</f>
        <v>1</v>
      </c>
    </row>
    <row r="87">
      <c r="A87" s="6" t="str">
        <f>IFERROR(__xludf.DUMMYFUNCTION("""COMPUTED_VALUE"""),"FM3472")</f>
        <v>FM3472</v>
      </c>
      <c r="B87" s="6" t="str">
        <f>IFERROR(__xludf.DUMMYFUNCTION("""COMPUTED_VALUE"""),"RUN-COMB_2022-03-23_RFR-006")</f>
        <v>RUN-COMB_2022-03-23_RFR-006</v>
      </c>
      <c r="C87" s="7">
        <f>VLOOKUP(B87,'Run Reconcile'!A$2:B3090,2,FALSE)</f>
        <v>44643</v>
      </c>
      <c r="D87" s="11">
        <f>IFERROR(__xludf.DUMMYFUNCTION("""COMPUTED_VALUE"""),44643.0)</f>
        <v>44643</v>
      </c>
      <c r="E87" s="12">
        <f>IFERROR(__xludf.DUMMYFUNCTION("""COMPUTED_VALUE"""),0.3117476851839456)</f>
        <v>0.3117476852</v>
      </c>
      <c r="F87" s="6" t="str">
        <f>IFERROR(__xludf.DUMMYFUNCTION("""COMPUTED_VALUE"""),"Negative")</f>
        <v>Negative</v>
      </c>
      <c r="G87" s="6">
        <f>IFERROR(__xludf.DUMMYFUNCTION("""COMPUTED_VALUE"""),1.0)</f>
        <v>1</v>
      </c>
    </row>
    <row r="88">
      <c r="A88" s="6" t="str">
        <f>IFERROR(__xludf.DUMMYFUNCTION("""COMPUTED_VALUE"""),"FM3408")</f>
        <v>FM3408</v>
      </c>
      <c r="B88" s="6" t="str">
        <f>IFERROR(__xludf.DUMMYFUNCTION("""COMPUTED_VALUE"""),"RUN-COMB_2022-03-23_RFR-006")</f>
        <v>RUN-COMB_2022-03-23_RFR-006</v>
      </c>
      <c r="C88" s="7">
        <f>VLOOKUP(B88,'Run Reconcile'!A$2:B3090,2,FALSE)</f>
        <v>44643</v>
      </c>
      <c r="D88" s="11">
        <f>IFERROR(__xludf.DUMMYFUNCTION("""COMPUTED_VALUE"""),44643.0)</f>
        <v>44643</v>
      </c>
      <c r="E88" s="12">
        <f>IFERROR(__xludf.DUMMYFUNCTION("""COMPUTED_VALUE"""),0.31223379629591363)</f>
        <v>0.3122337963</v>
      </c>
      <c r="F88" s="6" t="str">
        <f>IFERROR(__xludf.DUMMYFUNCTION("""COMPUTED_VALUE"""),"Negative")</f>
        <v>Negative</v>
      </c>
      <c r="G88" s="6">
        <f>IFERROR(__xludf.DUMMYFUNCTION("""COMPUTED_VALUE"""),1.0)</f>
        <v>1</v>
      </c>
    </row>
    <row r="89">
      <c r="A89" s="6" t="str">
        <f>IFERROR(__xludf.DUMMYFUNCTION("""COMPUTED_VALUE"""),"FM3666")</f>
        <v>FM3666</v>
      </c>
      <c r="B89" s="6" t="str">
        <f>IFERROR(__xludf.DUMMYFUNCTION("""COMPUTED_VALUE"""),"RUN-COMB_2022-03-23_RFR-006")</f>
        <v>RUN-COMB_2022-03-23_RFR-006</v>
      </c>
      <c r="C89" s="7">
        <f>VLOOKUP(B89,'Run Reconcile'!A$2:B3090,2,FALSE)</f>
        <v>44643</v>
      </c>
      <c r="D89" s="11">
        <f>IFERROR(__xludf.DUMMYFUNCTION("""COMPUTED_VALUE"""),44643.0)</f>
        <v>44643</v>
      </c>
      <c r="E89" s="12">
        <f>IFERROR(__xludf.DUMMYFUNCTION("""COMPUTED_VALUE"""),0.3128356481465744)</f>
        <v>0.3128356481</v>
      </c>
      <c r="F89" s="6" t="str">
        <f>IFERROR(__xludf.DUMMYFUNCTION("""COMPUTED_VALUE"""),"Negative")</f>
        <v>Negative</v>
      </c>
      <c r="G89" s="6">
        <f>IFERROR(__xludf.DUMMYFUNCTION("""COMPUTED_VALUE"""),1.0)</f>
        <v>1</v>
      </c>
    </row>
    <row r="90">
      <c r="A90" s="6" t="str">
        <f>IFERROR(__xludf.DUMMYFUNCTION("""COMPUTED_VALUE"""),"FM3414")</f>
        <v>FM3414</v>
      </c>
      <c r="B90" s="6" t="str">
        <f>IFERROR(__xludf.DUMMYFUNCTION("""COMPUTED_VALUE"""),"RUN-COMB_2022-03-23_RFR-006")</f>
        <v>RUN-COMB_2022-03-23_RFR-006</v>
      </c>
      <c r="C90" s="7">
        <f>VLOOKUP(B90,'Run Reconcile'!A$2:B3090,2,FALSE)</f>
        <v>44643</v>
      </c>
      <c r="D90" s="11">
        <f>IFERROR(__xludf.DUMMYFUNCTION("""COMPUTED_VALUE"""),44643.0)</f>
        <v>44643</v>
      </c>
      <c r="E90" s="12">
        <f>IFERROR(__xludf.DUMMYFUNCTION("""COMPUTED_VALUE"""),0.3132986111122591)</f>
        <v>0.3132986111</v>
      </c>
      <c r="F90" s="6" t="str">
        <f>IFERROR(__xludf.DUMMYFUNCTION("""COMPUTED_VALUE"""),"Negative")</f>
        <v>Negative</v>
      </c>
      <c r="G90" s="6">
        <f>IFERROR(__xludf.DUMMYFUNCTION("""COMPUTED_VALUE"""),1.0)</f>
        <v>1</v>
      </c>
    </row>
    <row r="91">
      <c r="A91" s="6" t="str">
        <f>IFERROR(__xludf.DUMMYFUNCTION("""COMPUTED_VALUE"""),"FM3468")</f>
        <v>FM3468</v>
      </c>
      <c r="B91" s="6" t="str">
        <f>IFERROR(__xludf.DUMMYFUNCTION("""COMPUTED_VALUE"""),"RUN-COMB_2022-03-23_RFR-006")</f>
        <v>RUN-COMB_2022-03-23_RFR-006</v>
      </c>
      <c r="C91" s="7">
        <f>VLOOKUP(B91,'Run Reconcile'!A$2:B3090,2,FALSE)</f>
        <v>44643</v>
      </c>
      <c r="D91" s="11">
        <f>IFERROR(__xludf.DUMMYFUNCTION("""COMPUTED_VALUE"""),44643.0)</f>
        <v>44643</v>
      </c>
      <c r="E91" s="12">
        <f>IFERROR(__xludf.DUMMYFUNCTION("""COMPUTED_VALUE"""),0.3137615740743058)</f>
        <v>0.3137615741</v>
      </c>
      <c r="F91" s="6" t="str">
        <f>IFERROR(__xludf.DUMMYFUNCTION("""COMPUTED_VALUE"""),"Negative")</f>
        <v>Negative</v>
      </c>
      <c r="G91" s="6">
        <f>IFERROR(__xludf.DUMMYFUNCTION("""COMPUTED_VALUE"""),1.0)</f>
        <v>1</v>
      </c>
    </row>
    <row r="92">
      <c r="A92" s="6" t="str">
        <f>IFERROR(__xludf.DUMMYFUNCTION("""COMPUTED_VALUE"""),"FM3412")</f>
        <v>FM3412</v>
      </c>
      <c r="B92" s="6" t="str">
        <f>IFERROR(__xludf.DUMMYFUNCTION("""COMPUTED_VALUE"""),"RUN-COMB_2022-03-23_RFR-006")</f>
        <v>RUN-COMB_2022-03-23_RFR-006</v>
      </c>
      <c r="C92" s="7">
        <f>VLOOKUP(B92,'Run Reconcile'!A$2:B3090,2,FALSE)</f>
        <v>44643</v>
      </c>
      <c r="D92" s="11">
        <f>IFERROR(__xludf.DUMMYFUNCTION("""COMPUTED_VALUE"""),44643.0)</f>
        <v>44643</v>
      </c>
      <c r="E92" s="12">
        <f>IFERROR(__xludf.DUMMYFUNCTION("""COMPUTED_VALUE"""),0.31422453703635256)</f>
        <v>0.314224537</v>
      </c>
      <c r="F92" s="6" t="str">
        <f>IFERROR(__xludf.DUMMYFUNCTION("""COMPUTED_VALUE"""),"Negative")</f>
        <v>Negative</v>
      </c>
      <c r="G92" s="6">
        <f>IFERROR(__xludf.DUMMYFUNCTION("""COMPUTED_VALUE"""),1.0)</f>
        <v>1</v>
      </c>
    </row>
    <row r="93">
      <c r="A93" s="6" t="str">
        <f>IFERROR(__xludf.DUMMYFUNCTION("""COMPUTED_VALUE"""),"FM3473")</f>
        <v>FM3473</v>
      </c>
      <c r="B93" s="6" t="str">
        <f>IFERROR(__xludf.DUMMYFUNCTION("""COMPUTED_VALUE"""),"RUN-COMB_2022-03-23_RFR-006")</f>
        <v>RUN-COMB_2022-03-23_RFR-006</v>
      </c>
      <c r="C93" s="7">
        <f>VLOOKUP(B93,'Run Reconcile'!A$2:B3090,2,FALSE)</f>
        <v>44643</v>
      </c>
      <c r="D93" s="11">
        <f>IFERROR(__xludf.DUMMYFUNCTION("""COMPUTED_VALUE"""),44643.0)</f>
        <v>44643</v>
      </c>
      <c r="E93" s="12">
        <f>IFERROR(__xludf.DUMMYFUNCTION("""COMPUTED_VALUE"""),0.3144907407404389)</f>
        <v>0.3144907407</v>
      </c>
      <c r="F93" s="6" t="str">
        <f>IFERROR(__xludf.DUMMYFUNCTION("""COMPUTED_VALUE"""),"Negative")</f>
        <v>Negative</v>
      </c>
      <c r="G93" s="6">
        <f>IFERROR(__xludf.DUMMYFUNCTION("""COMPUTED_VALUE"""),1.0)</f>
        <v>1</v>
      </c>
    </row>
    <row r="94">
      <c r="A94" s="6" t="str">
        <f>IFERROR(__xludf.DUMMYFUNCTION("""COMPUTED_VALUE"""),"FM3427")</f>
        <v>FM3427</v>
      </c>
      <c r="B94" s="6" t="str">
        <f>IFERROR(__xludf.DUMMYFUNCTION("""COMPUTED_VALUE"""),"RUN-COMB_2022-03-23_RFR-006")</f>
        <v>RUN-COMB_2022-03-23_RFR-006</v>
      </c>
      <c r="C94" s="7">
        <f>VLOOKUP(B94,'Run Reconcile'!A$2:B3090,2,FALSE)</f>
        <v>44643</v>
      </c>
      <c r="D94" s="11">
        <f>IFERROR(__xludf.DUMMYFUNCTION("""COMPUTED_VALUE"""),44643.0)</f>
        <v>44643</v>
      </c>
      <c r="E94" s="12">
        <f>IFERROR(__xludf.DUMMYFUNCTION("""COMPUTED_VALUE"""),0.3215393518512428)</f>
        <v>0.3215393519</v>
      </c>
      <c r="F94" s="6" t="str">
        <f>IFERROR(__xludf.DUMMYFUNCTION("""COMPUTED_VALUE"""),"Negative")</f>
        <v>Negative</v>
      </c>
      <c r="G94" s="6">
        <f>IFERROR(__xludf.DUMMYFUNCTION("""COMPUTED_VALUE"""),1.0)</f>
        <v>1</v>
      </c>
    </row>
    <row r="95">
      <c r="A95" s="6" t="str">
        <f>IFERROR(__xludf.DUMMYFUNCTION("""COMPUTED_VALUE"""),"FM3674")</f>
        <v>FM3674</v>
      </c>
      <c r="B95" s="6" t="str">
        <f>IFERROR(__xludf.DUMMYFUNCTION("""COMPUTED_VALUE"""),"RUN-COMB_2022-03-23_RFR-006")</f>
        <v>RUN-COMB_2022-03-23_RFR-006</v>
      </c>
      <c r="C95" s="7">
        <f>VLOOKUP(B95,'Run Reconcile'!A$2:B3090,2,FALSE)</f>
        <v>44643</v>
      </c>
      <c r="D95" s="11">
        <f>IFERROR(__xludf.DUMMYFUNCTION("""COMPUTED_VALUE"""),44643.0)</f>
        <v>44643</v>
      </c>
      <c r="E95" s="12">
        <f>IFERROR(__xludf.DUMMYFUNCTION("""COMPUTED_VALUE"""),0.39100694444277906)</f>
        <v>0.3910069444</v>
      </c>
      <c r="F95" s="6" t="str">
        <f>IFERROR(__xludf.DUMMYFUNCTION("""COMPUTED_VALUE"""),"Negative")</f>
        <v>Negative</v>
      </c>
      <c r="G95" s="6">
        <f>IFERROR(__xludf.DUMMYFUNCTION("""COMPUTED_VALUE"""),1.0)</f>
        <v>1</v>
      </c>
    </row>
    <row r="96">
      <c r="A96" s="6" t="str">
        <f>IFERROR(__xludf.DUMMYFUNCTION("""COMPUTED_VALUE"""),"FM3446")</f>
        <v>FM3446</v>
      </c>
      <c r="B96" s="6" t="str">
        <f>IFERROR(__xludf.DUMMYFUNCTION("""COMPUTED_VALUE"""),"RUN-COMB_2022-03-24_RFR-007")</f>
        <v>RUN-COMB_2022-03-24_RFR-007</v>
      </c>
      <c r="C96" s="7">
        <f>VLOOKUP(B96,'Run Reconcile'!A$2:B3090,2,FALSE)</f>
        <v>44644</v>
      </c>
      <c r="D96" s="11">
        <f>IFERROR(__xludf.DUMMYFUNCTION("""COMPUTED_VALUE"""),44644.0)</f>
        <v>44644</v>
      </c>
      <c r="E96" s="12">
        <f>IFERROR(__xludf.DUMMYFUNCTION("""COMPUTED_VALUE"""),0.32730324074145756)</f>
        <v>0.3273032407</v>
      </c>
      <c r="F96" s="6" t="str">
        <f>IFERROR(__xludf.DUMMYFUNCTION("""COMPUTED_VALUE"""),"Negative")</f>
        <v>Negative</v>
      </c>
      <c r="G96" s="6">
        <f>IFERROR(__xludf.DUMMYFUNCTION("""COMPUTED_VALUE"""),1.0)</f>
        <v>1</v>
      </c>
    </row>
    <row r="97">
      <c r="A97" s="6" t="str">
        <f>IFERROR(__xludf.DUMMYFUNCTION("""COMPUTED_VALUE"""),"FM3480")</f>
        <v>FM3480</v>
      </c>
      <c r="B97" s="6" t="str">
        <f>IFERROR(__xludf.DUMMYFUNCTION("""COMPUTED_VALUE"""),"RUN-COMB_2022-03-24_RFR-007")</f>
        <v>RUN-COMB_2022-03-24_RFR-007</v>
      </c>
      <c r="C97" s="7">
        <f>VLOOKUP(B97,'Run Reconcile'!A$2:B3090,2,FALSE)</f>
        <v>44644</v>
      </c>
      <c r="D97" s="11">
        <f>IFERROR(__xludf.DUMMYFUNCTION("""COMPUTED_VALUE"""),44644.0)</f>
        <v>44644</v>
      </c>
      <c r="E97" s="12">
        <f>IFERROR(__xludf.DUMMYFUNCTION("""COMPUTED_VALUE"""),0.32836805555416504)</f>
        <v>0.3283680556</v>
      </c>
      <c r="F97" s="6" t="str">
        <f>IFERROR(__xludf.DUMMYFUNCTION("""COMPUTED_VALUE"""),"Negative")</f>
        <v>Negative</v>
      </c>
      <c r="G97" s="6">
        <f>IFERROR(__xludf.DUMMYFUNCTION("""COMPUTED_VALUE"""),1.0)</f>
        <v>1</v>
      </c>
    </row>
    <row r="98">
      <c r="A98" s="6" t="str">
        <f>IFERROR(__xludf.DUMMYFUNCTION("""COMPUTED_VALUE"""),"FM3466")</f>
        <v>FM3466</v>
      </c>
      <c r="B98" s="6" t="str">
        <f>IFERROR(__xludf.DUMMYFUNCTION("""COMPUTED_VALUE"""),"RUN-COMB_2022-03-24_RFR-007")</f>
        <v>RUN-COMB_2022-03-24_RFR-007</v>
      </c>
      <c r="C98" s="7">
        <f>VLOOKUP(B98,'Run Reconcile'!A$2:B3090,2,FALSE)</f>
        <v>44644</v>
      </c>
      <c r="D98" s="11">
        <f>IFERROR(__xludf.DUMMYFUNCTION("""COMPUTED_VALUE"""),44644.0)</f>
        <v>44644</v>
      </c>
      <c r="E98" s="12">
        <f>IFERROR(__xludf.DUMMYFUNCTION("""COMPUTED_VALUE"""),0.32984953703635256)</f>
        <v>0.329849537</v>
      </c>
      <c r="F98" s="6" t="str">
        <f>IFERROR(__xludf.DUMMYFUNCTION("""COMPUTED_VALUE"""),"Negative")</f>
        <v>Negative</v>
      </c>
      <c r="G98" s="6">
        <f>IFERROR(__xludf.DUMMYFUNCTION("""COMPUTED_VALUE"""),1.0)</f>
        <v>1</v>
      </c>
    </row>
    <row r="99">
      <c r="A99" s="6" t="str">
        <f>IFERROR(__xludf.DUMMYFUNCTION("""COMPUTED_VALUE"""),"FM3458")</f>
        <v>FM3458</v>
      </c>
      <c r="B99" s="6" t="str">
        <f>IFERROR(__xludf.DUMMYFUNCTION("""COMPUTED_VALUE"""),"RUN-COMB_2022-03-24_RFR-007")</f>
        <v>RUN-COMB_2022-03-24_RFR-007</v>
      </c>
      <c r="C99" s="7">
        <f>VLOOKUP(B99,'Run Reconcile'!A$2:B3090,2,FALSE)</f>
        <v>44644</v>
      </c>
      <c r="D99" s="11">
        <f>IFERROR(__xludf.DUMMYFUNCTION("""COMPUTED_VALUE"""),44644.0)</f>
        <v>44644</v>
      </c>
      <c r="E99" s="12">
        <f>IFERROR(__xludf.DUMMYFUNCTION("""COMPUTED_VALUE"""),0.3305208333331393)</f>
        <v>0.3305208333</v>
      </c>
      <c r="F99" s="6" t="str">
        <f>IFERROR(__xludf.DUMMYFUNCTION("""COMPUTED_VALUE"""),"Negative")</f>
        <v>Negative</v>
      </c>
      <c r="G99" s="6">
        <f>IFERROR(__xludf.DUMMYFUNCTION("""COMPUTED_VALUE"""),1.0)</f>
        <v>1</v>
      </c>
    </row>
    <row r="100">
      <c r="A100" s="6" t="str">
        <f>IFERROR(__xludf.DUMMYFUNCTION("""COMPUTED_VALUE"""),"FM3441")</f>
        <v>FM3441</v>
      </c>
      <c r="B100" s="6" t="str">
        <f>IFERROR(__xludf.DUMMYFUNCTION("""COMPUTED_VALUE"""),"RUN-COMB_2022-03-24_RFR-007")</f>
        <v>RUN-COMB_2022-03-24_RFR-007</v>
      </c>
      <c r="C100" s="7">
        <f>VLOOKUP(B100,'Run Reconcile'!A$2:B3090,2,FALSE)</f>
        <v>44644</v>
      </c>
      <c r="D100" s="11">
        <f>IFERROR(__xludf.DUMMYFUNCTION("""COMPUTED_VALUE"""),44644.0)</f>
        <v>44644</v>
      </c>
      <c r="E100" s="12">
        <f>IFERROR(__xludf.DUMMYFUNCTION("""COMPUTED_VALUE"""),0.3309606481489027)</f>
        <v>0.3309606481</v>
      </c>
      <c r="F100" s="6" t="str">
        <f>IFERROR(__xludf.DUMMYFUNCTION("""COMPUTED_VALUE"""),"Negative")</f>
        <v>Negative</v>
      </c>
      <c r="G100" s="6">
        <f>IFERROR(__xludf.DUMMYFUNCTION("""COMPUTED_VALUE"""),1.0)</f>
        <v>1</v>
      </c>
    </row>
    <row r="101">
      <c r="A101" s="6" t="str">
        <f>IFERROR(__xludf.DUMMYFUNCTION("""COMPUTED_VALUE"""),"FM3464")</f>
        <v>FM3464</v>
      </c>
      <c r="B101" s="6" t="str">
        <f>IFERROR(__xludf.DUMMYFUNCTION("""COMPUTED_VALUE"""),"RUN-COMB_2022-03-24_RFR-007")</f>
        <v>RUN-COMB_2022-03-24_RFR-007</v>
      </c>
      <c r="C101" s="7">
        <f>VLOOKUP(B101,'Run Reconcile'!A$2:B3090,2,FALSE)</f>
        <v>44644</v>
      </c>
      <c r="D101" s="11">
        <f>IFERROR(__xludf.DUMMYFUNCTION("""COMPUTED_VALUE"""),44644.0)</f>
        <v>44644</v>
      </c>
      <c r="E101" s="12">
        <f>IFERROR(__xludf.DUMMYFUNCTION("""COMPUTED_VALUE"""),0.33253472222349956)</f>
        <v>0.3325347222</v>
      </c>
      <c r="F101" s="6" t="str">
        <f>IFERROR(__xludf.DUMMYFUNCTION("""COMPUTED_VALUE"""),"Negative")</f>
        <v>Negative</v>
      </c>
      <c r="G101" s="6">
        <f>IFERROR(__xludf.DUMMYFUNCTION("""COMPUTED_VALUE"""),1.0)</f>
        <v>1</v>
      </c>
    </row>
    <row r="102">
      <c r="A102" s="6" t="str">
        <f>IFERROR(__xludf.DUMMYFUNCTION("""COMPUTED_VALUE"""),"FM3673")</f>
        <v>FM3673</v>
      </c>
      <c r="B102" s="6" t="str">
        <f>IFERROR(__xludf.DUMMYFUNCTION("""COMPUTED_VALUE"""),"RUN-COMB_2022-03-24_RFR-007")</f>
        <v>RUN-COMB_2022-03-24_RFR-007</v>
      </c>
      <c r="C102" s="7">
        <f>VLOOKUP(B102,'Run Reconcile'!A$2:B3090,2,FALSE)</f>
        <v>44644</v>
      </c>
      <c r="D102" s="11">
        <f>IFERROR(__xludf.DUMMYFUNCTION("""COMPUTED_VALUE"""),44644.0)</f>
        <v>44644</v>
      </c>
      <c r="E102" s="12">
        <f>IFERROR(__xludf.DUMMYFUNCTION("""COMPUTED_VALUE"""),0.33362268518612836)</f>
        <v>0.3336226852</v>
      </c>
      <c r="F102" s="6" t="str">
        <f>IFERROR(__xludf.DUMMYFUNCTION("""COMPUTED_VALUE"""),"Negative")</f>
        <v>Negative</v>
      </c>
      <c r="G102" s="6">
        <f>IFERROR(__xludf.DUMMYFUNCTION("""COMPUTED_VALUE"""),1.0)</f>
        <v>1</v>
      </c>
    </row>
    <row r="103">
      <c r="A103" s="6" t="str">
        <f>IFERROR(__xludf.DUMMYFUNCTION("""COMPUTED_VALUE"""),"FM3479")</f>
        <v>FM3479</v>
      </c>
      <c r="B103" s="6" t="str">
        <f>IFERROR(__xludf.DUMMYFUNCTION("""COMPUTED_VALUE"""),"RUN-COMB_2022-03-24_RFR-007")</f>
        <v>RUN-COMB_2022-03-24_RFR-007</v>
      </c>
      <c r="C103" s="7">
        <f>VLOOKUP(B103,'Run Reconcile'!A$2:B3090,2,FALSE)</f>
        <v>44644</v>
      </c>
      <c r="D103" s="11">
        <f>IFERROR(__xludf.DUMMYFUNCTION("""COMPUTED_VALUE"""),44644.0)</f>
        <v>44644</v>
      </c>
      <c r="E103" s="12">
        <f>IFERROR(__xludf.DUMMYFUNCTION("""COMPUTED_VALUE"""),0.3342245370367891)</f>
        <v>0.334224537</v>
      </c>
      <c r="F103" s="6" t="str">
        <f>IFERROR(__xludf.DUMMYFUNCTION("""COMPUTED_VALUE"""),"Negative")</f>
        <v>Negative</v>
      </c>
      <c r="G103" s="6">
        <f>IFERROR(__xludf.DUMMYFUNCTION("""COMPUTED_VALUE"""),1.0)</f>
        <v>1</v>
      </c>
    </row>
    <row r="104">
      <c r="A104" s="6" t="str">
        <f>IFERROR(__xludf.DUMMYFUNCTION("""COMPUTED_VALUE"""),"FM3436")</f>
        <v>FM3436</v>
      </c>
      <c r="B104" s="6" t="str">
        <f>IFERROR(__xludf.DUMMYFUNCTION("""COMPUTED_VALUE"""),"RUN-COMB_2022-03-24_RFR-007")</f>
        <v>RUN-COMB_2022-03-24_RFR-007</v>
      </c>
      <c r="C104" s="7">
        <f>VLOOKUP(B104,'Run Reconcile'!A$2:B3090,2,FALSE)</f>
        <v>44644</v>
      </c>
      <c r="D104" s="11">
        <f>IFERROR(__xludf.DUMMYFUNCTION("""COMPUTED_VALUE"""),44644.0)</f>
        <v>44644</v>
      </c>
      <c r="E104" s="12">
        <f>IFERROR(__xludf.DUMMYFUNCTION("""COMPUTED_VALUE"""),0.3346296296294895)</f>
        <v>0.3346296296</v>
      </c>
      <c r="F104" s="6" t="str">
        <f>IFERROR(__xludf.DUMMYFUNCTION("""COMPUTED_VALUE"""),"Negative")</f>
        <v>Negative</v>
      </c>
      <c r="G104" s="6">
        <f>IFERROR(__xludf.DUMMYFUNCTION("""COMPUTED_VALUE"""),1.0)</f>
        <v>1</v>
      </c>
    </row>
    <row r="105">
      <c r="A105" s="6" t="str">
        <f>IFERROR(__xludf.DUMMYFUNCTION("""COMPUTED_VALUE"""),"FM3675")</f>
        <v>FM3675</v>
      </c>
      <c r="B105" s="6" t="str">
        <f>IFERROR(__xludf.DUMMYFUNCTION("""COMPUTED_VALUE"""),"RUN-COMB_2022-03-24_RFR-007")</f>
        <v>RUN-COMB_2022-03-24_RFR-007</v>
      </c>
      <c r="C105" s="7">
        <f>VLOOKUP(B105,'Run Reconcile'!A$2:B3090,2,FALSE)</f>
        <v>44644</v>
      </c>
      <c r="D105" s="11">
        <f>IFERROR(__xludf.DUMMYFUNCTION("""COMPUTED_VALUE"""),44644.0)</f>
        <v>44644</v>
      </c>
      <c r="E105" s="12">
        <f>IFERROR(__xludf.DUMMYFUNCTION("""COMPUTED_VALUE"""),0.3353935185186856)</f>
        <v>0.3353935185</v>
      </c>
      <c r="F105" s="6" t="str">
        <f>IFERROR(__xludf.DUMMYFUNCTION("""COMPUTED_VALUE"""),"Negative")</f>
        <v>Negative</v>
      </c>
      <c r="G105" s="6">
        <f>IFERROR(__xludf.DUMMYFUNCTION("""COMPUTED_VALUE"""),1.0)</f>
        <v>1</v>
      </c>
    </row>
    <row r="106">
      <c r="A106" s="6" t="str">
        <f>IFERROR(__xludf.DUMMYFUNCTION("""COMPUTED_VALUE"""),"FM3449")</f>
        <v>FM3449</v>
      </c>
      <c r="B106" s="6" t="str">
        <f>IFERROR(__xludf.DUMMYFUNCTION("""COMPUTED_VALUE"""),"RUN-COMB_2022-03-24_RFR-007")</f>
        <v>RUN-COMB_2022-03-24_RFR-007</v>
      </c>
      <c r="C106" s="7">
        <f>VLOOKUP(B106,'Run Reconcile'!A$2:B3090,2,FALSE)</f>
        <v>44644</v>
      </c>
      <c r="D106" s="11">
        <f>IFERROR(__xludf.DUMMYFUNCTION("""COMPUTED_VALUE"""),44644.0)</f>
        <v>44644</v>
      </c>
      <c r="E106" s="12">
        <f>IFERROR(__xludf.DUMMYFUNCTION("""COMPUTED_VALUE"""),0.33581018518452765)</f>
        <v>0.3358101852</v>
      </c>
      <c r="F106" s="6" t="str">
        <f>IFERROR(__xludf.DUMMYFUNCTION("""COMPUTED_VALUE"""),"Negative")</f>
        <v>Negative</v>
      </c>
      <c r="G106" s="6">
        <f>IFERROR(__xludf.DUMMYFUNCTION("""COMPUTED_VALUE"""),1.0)</f>
        <v>1</v>
      </c>
    </row>
    <row r="107">
      <c r="A107" s="6" t="str">
        <f>IFERROR(__xludf.DUMMYFUNCTION("""COMPUTED_VALUE"""),"FM3663")</f>
        <v>FM3663</v>
      </c>
      <c r="B107" s="6" t="str">
        <f>IFERROR(__xludf.DUMMYFUNCTION("""COMPUTED_VALUE"""),"RUN-COMB_2022-03-24_RFR-007")</f>
        <v>RUN-COMB_2022-03-24_RFR-007</v>
      </c>
      <c r="C107" s="7">
        <f>VLOOKUP(B107,'Run Reconcile'!A$2:B3090,2,FALSE)</f>
        <v>44644</v>
      </c>
      <c r="D107" s="11">
        <f>IFERROR(__xludf.DUMMYFUNCTION("""COMPUTED_VALUE"""),44644.0)</f>
        <v>44644</v>
      </c>
      <c r="E107" s="12">
        <f>IFERROR(__xludf.DUMMYFUNCTION("""COMPUTED_VALUE"""),0.33640046296204673)</f>
        <v>0.336400463</v>
      </c>
      <c r="F107" s="6" t="str">
        <f>IFERROR(__xludf.DUMMYFUNCTION("""COMPUTED_VALUE"""),"Negative")</f>
        <v>Negative</v>
      </c>
      <c r="G107" s="6">
        <f>IFERROR(__xludf.DUMMYFUNCTION("""COMPUTED_VALUE"""),1.0)</f>
        <v>1</v>
      </c>
    </row>
    <row r="108">
      <c r="A108" s="6" t="str">
        <f>IFERROR(__xludf.DUMMYFUNCTION("""COMPUTED_VALUE"""),"FM3426")</f>
        <v>FM3426</v>
      </c>
      <c r="B108" s="6" t="str">
        <f>IFERROR(__xludf.DUMMYFUNCTION("""COMPUTED_VALUE"""),"RUN-COMB_2022-03-24_RFR-007")</f>
        <v>RUN-COMB_2022-03-24_RFR-007</v>
      </c>
      <c r="C108" s="7">
        <f>VLOOKUP(B108,'Run Reconcile'!A$2:B3090,2,FALSE)</f>
        <v>44644</v>
      </c>
      <c r="D108" s="11">
        <f>IFERROR(__xludf.DUMMYFUNCTION("""COMPUTED_VALUE"""),44644.0)</f>
        <v>44644</v>
      </c>
      <c r="E108" s="12">
        <f>IFERROR(__xludf.DUMMYFUNCTION("""COMPUTED_VALUE"""),0.33689814814715646)</f>
        <v>0.3368981481</v>
      </c>
      <c r="F108" s="6" t="str">
        <f>IFERROR(__xludf.DUMMYFUNCTION("""COMPUTED_VALUE"""),"Negative")</f>
        <v>Negative</v>
      </c>
      <c r="G108" s="6">
        <f>IFERROR(__xludf.DUMMYFUNCTION("""COMPUTED_VALUE"""),1.0)</f>
        <v>1</v>
      </c>
    </row>
    <row r="109">
      <c r="A109" s="6" t="str">
        <f>IFERROR(__xludf.DUMMYFUNCTION("""COMPUTED_VALUE"""),"FM3434")</f>
        <v>FM3434</v>
      </c>
      <c r="B109" s="6" t="str">
        <f>IFERROR(__xludf.DUMMYFUNCTION("""COMPUTED_VALUE"""),"RUN-COMB_2022-03-24_RFR-007")</f>
        <v>RUN-COMB_2022-03-24_RFR-007</v>
      </c>
      <c r="C109" s="7">
        <f>VLOOKUP(B109,'Run Reconcile'!A$2:B3090,2,FALSE)</f>
        <v>44644</v>
      </c>
      <c r="D109" s="11">
        <f>IFERROR(__xludf.DUMMYFUNCTION("""COMPUTED_VALUE"""),44644.0)</f>
        <v>44644</v>
      </c>
      <c r="E109" s="12">
        <f>IFERROR(__xludf.DUMMYFUNCTION("""COMPUTED_VALUE"""),0.33726851851679385)</f>
        <v>0.3372685185</v>
      </c>
      <c r="F109" s="6" t="str">
        <f>IFERROR(__xludf.DUMMYFUNCTION("""COMPUTED_VALUE"""),"Negative")</f>
        <v>Negative</v>
      </c>
      <c r="G109" s="6">
        <f>IFERROR(__xludf.DUMMYFUNCTION("""COMPUTED_VALUE"""),1.0)</f>
        <v>1</v>
      </c>
    </row>
    <row r="110">
      <c r="A110" s="6" t="str">
        <f>IFERROR(__xludf.DUMMYFUNCTION("""COMPUTED_VALUE"""),"FM3454")</f>
        <v>FM3454</v>
      </c>
      <c r="B110" s="6" t="str">
        <f>IFERROR(__xludf.DUMMYFUNCTION("""COMPUTED_VALUE"""),"RUN-COMB_2022-03-24_RFR-007")</f>
        <v>RUN-COMB_2022-03-24_RFR-007</v>
      </c>
      <c r="C110" s="7">
        <f>VLOOKUP(B110,'Run Reconcile'!A$2:B3090,2,FALSE)</f>
        <v>44644</v>
      </c>
      <c r="D110" s="11">
        <f>IFERROR(__xludf.DUMMYFUNCTION("""COMPUTED_VALUE"""),44644.0)</f>
        <v>44644</v>
      </c>
      <c r="E110" s="12">
        <f>IFERROR(__xludf.DUMMYFUNCTION("""COMPUTED_VALUE"""),0.3376157407401479)</f>
        <v>0.3376157407</v>
      </c>
      <c r="F110" s="6" t="str">
        <f>IFERROR(__xludf.DUMMYFUNCTION("""COMPUTED_VALUE"""),"Negative")</f>
        <v>Negative</v>
      </c>
      <c r="G110" s="6">
        <f>IFERROR(__xludf.DUMMYFUNCTION("""COMPUTED_VALUE"""),1.0)</f>
        <v>1</v>
      </c>
    </row>
    <row r="111">
      <c r="A111" s="6" t="str">
        <f>IFERROR(__xludf.DUMMYFUNCTION("""COMPUTED_VALUE"""),"FM3456")</f>
        <v>FM3456</v>
      </c>
      <c r="B111" s="6" t="str">
        <f>IFERROR(__xludf.DUMMYFUNCTION("""COMPUTED_VALUE"""),"RUN-COMB_2022-03-24_RFR-007")</f>
        <v>RUN-COMB_2022-03-24_RFR-007</v>
      </c>
      <c r="C111" s="7">
        <f>VLOOKUP(B111,'Run Reconcile'!A$2:B3090,2,FALSE)</f>
        <v>44644</v>
      </c>
      <c r="D111" s="11">
        <f>IFERROR(__xludf.DUMMYFUNCTION("""COMPUTED_VALUE"""),44644.0)</f>
        <v>44644</v>
      </c>
      <c r="E111" s="12">
        <f>IFERROR(__xludf.DUMMYFUNCTION("""COMPUTED_VALUE"""),0.33798611110978527)</f>
        <v>0.3379861111</v>
      </c>
      <c r="F111" s="6" t="str">
        <f>IFERROR(__xludf.DUMMYFUNCTION("""COMPUTED_VALUE"""),"Negative")</f>
        <v>Negative</v>
      </c>
      <c r="G111" s="6">
        <f>IFERROR(__xludf.DUMMYFUNCTION("""COMPUTED_VALUE"""),1.0)</f>
        <v>1</v>
      </c>
    </row>
    <row r="112">
      <c r="A112" s="6" t="str">
        <f>IFERROR(__xludf.DUMMYFUNCTION("""COMPUTED_VALUE"""),"FM3471")</f>
        <v>FM3471</v>
      </c>
      <c r="B112" s="6" t="str">
        <f>IFERROR(__xludf.DUMMYFUNCTION("""COMPUTED_VALUE"""),"RUN-COMB_2022-03-24_RFR-007")</f>
        <v>RUN-COMB_2022-03-24_RFR-007</v>
      </c>
      <c r="C112" s="7">
        <f>VLOOKUP(B112,'Run Reconcile'!A$2:B3090,2,FALSE)</f>
        <v>44644</v>
      </c>
      <c r="D112" s="11">
        <f>IFERROR(__xludf.DUMMYFUNCTION("""COMPUTED_VALUE"""),44644.0)</f>
        <v>44644</v>
      </c>
      <c r="E112" s="12">
        <f>IFERROR(__xludf.DUMMYFUNCTION("""COMPUTED_VALUE"""),0.338587962964084)</f>
        <v>0.338587963</v>
      </c>
      <c r="F112" s="6" t="str">
        <f>IFERROR(__xludf.DUMMYFUNCTION("""COMPUTED_VALUE"""),"Negative")</f>
        <v>Negative</v>
      </c>
      <c r="G112" s="6">
        <f>IFERROR(__xludf.DUMMYFUNCTION("""COMPUTED_VALUE"""),1.0)</f>
        <v>1</v>
      </c>
    </row>
    <row r="113">
      <c r="A113" s="6" t="str">
        <f>IFERROR(__xludf.DUMMYFUNCTION("""COMPUTED_VALUE"""),"FM3452")</f>
        <v>FM3452</v>
      </c>
      <c r="B113" s="6" t="str">
        <f>IFERROR(__xludf.DUMMYFUNCTION("""COMPUTED_VALUE"""),"RUN-COMB_2022-03-24_RFR-007")</f>
        <v>RUN-COMB_2022-03-24_RFR-007</v>
      </c>
      <c r="C113" s="7">
        <f>VLOOKUP(B113,'Run Reconcile'!A$2:B3090,2,FALSE)</f>
        <v>44644</v>
      </c>
      <c r="D113" s="11">
        <f>IFERROR(__xludf.DUMMYFUNCTION("""COMPUTED_VALUE"""),44644.0)</f>
        <v>44644</v>
      </c>
      <c r="E113" s="12">
        <f>IFERROR(__xludf.DUMMYFUNCTION("""COMPUTED_VALUE"""),0.33900462962992606)</f>
        <v>0.3390046296</v>
      </c>
      <c r="F113" s="6" t="str">
        <f>IFERROR(__xludf.DUMMYFUNCTION("""COMPUTED_VALUE"""),"Negative")</f>
        <v>Negative</v>
      </c>
      <c r="G113" s="6">
        <f>IFERROR(__xludf.DUMMYFUNCTION("""COMPUTED_VALUE"""),1.0)</f>
        <v>1</v>
      </c>
    </row>
    <row r="114">
      <c r="A114" s="6" t="str">
        <f>IFERROR(__xludf.DUMMYFUNCTION("""COMPUTED_VALUE"""),"FM3405")</f>
        <v>FM3405</v>
      </c>
      <c r="B114" s="6" t="str">
        <f>IFERROR(__xludf.DUMMYFUNCTION("""COMPUTED_VALUE"""),"RUN-COMB_2022-03-24_RFR-007")</f>
        <v>RUN-COMB_2022-03-24_RFR-007</v>
      </c>
      <c r="C114" s="7">
        <f>VLOOKUP(B114,'Run Reconcile'!A$2:B3090,2,FALSE)</f>
        <v>44644</v>
      </c>
      <c r="D114" s="11">
        <f>IFERROR(__xludf.DUMMYFUNCTION("""COMPUTED_VALUE"""),44644.0)</f>
        <v>44644</v>
      </c>
      <c r="E114" s="12">
        <f>IFERROR(__xludf.DUMMYFUNCTION("""COMPUTED_VALUE"""),0.33980324074218515)</f>
        <v>0.3398032407</v>
      </c>
      <c r="F114" s="6" t="str">
        <f>IFERROR(__xludf.DUMMYFUNCTION("""COMPUTED_VALUE"""),"Negative")</f>
        <v>Negative</v>
      </c>
      <c r="G114" s="6">
        <f>IFERROR(__xludf.DUMMYFUNCTION("""COMPUTED_VALUE"""),1.0)</f>
        <v>1</v>
      </c>
    </row>
    <row r="115">
      <c r="A115" s="6" t="str">
        <f>IFERROR(__xludf.DUMMYFUNCTION("""COMPUTED_VALUE"""),"FM3661")</f>
        <v>FM3661</v>
      </c>
      <c r="B115" s="6" t="str">
        <f>IFERROR(__xludf.DUMMYFUNCTION("""COMPUTED_VALUE"""),"RUN-COMB_2022-03-24_RFR-007")</f>
        <v>RUN-COMB_2022-03-24_RFR-007</v>
      </c>
      <c r="C115" s="7">
        <f>VLOOKUP(B115,'Run Reconcile'!A$2:B3090,2,FALSE)</f>
        <v>44644</v>
      </c>
      <c r="D115" s="11">
        <f>IFERROR(__xludf.DUMMYFUNCTION("""COMPUTED_VALUE"""),44644.0)</f>
        <v>44644</v>
      </c>
      <c r="E115" s="12">
        <f>IFERROR(__xludf.DUMMYFUNCTION("""COMPUTED_VALUE"""),0.34070601851999527)</f>
        <v>0.3407060185</v>
      </c>
      <c r="F115" s="6" t="str">
        <f>IFERROR(__xludf.DUMMYFUNCTION("""COMPUTED_VALUE"""),"Negative")</f>
        <v>Negative</v>
      </c>
      <c r="G115" s="6">
        <f>IFERROR(__xludf.DUMMYFUNCTION("""COMPUTED_VALUE"""),1.0)</f>
        <v>1</v>
      </c>
    </row>
    <row r="116">
      <c r="A116" s="6" t="str">
        <f>IFERROR(__xludf.DUMMYFUNCTION("""COMPUTED_VALUE"""),"FM3413")</f>
        <v>FM3413</v>
      </c>
      <c r="B116" s="6" t="str">
        <f>IFERROR(__xludf.DUMMYFUNCTION("""COMPUTED_VALUE"""),"RUN-COMB_2022-03-24_RFR-007")</f>
        <v>RUN-COMB_2022-03-24_RFR-007</v>
      </c>
      <c r="C116" s="7">
        <f>VLOOKUP(B116,'Run Reconcile'!A$2:B3090,2,FALSE)</f>
        <v>44644</v>
      </c>
      <c r="D116" s="11">
        <f>IFERROR(__xludf.DUMMYFUNCTION("""COMPUTED_VALUE"""),44644.0)</f>
        <v>44644</v>
      </c>
      <c r="E116" s="12">
        <f>IFERROR(__xludf.DUMMYFUNCTION("""COMPUTED_VALUE"""),0.34184027777882875)</f>
        <v>0.3418402778</v>
      </c>
      <c r="F116" s="6" t="str">
        <f>IFERROR(__xludf.DUMMYFUNCTION("""COMPUTED_VALUE"""),"Negative")</f>
        <v>Negative</v>
      </c>
      <c r="G116" s="6">
        <f>IFERROR(__xludf.DUMMYFUNCTION("""COMPUTED_VALUE"""),1.0)</f>
        <v>1</v>
      </c>
    </row>
    <row r="117">
      <c r="A117" s="6" t="str">
        <f>IFERROR(__xludf.DUMMYFUNCTION("""COMPUTED_VALUE"""),"FM3420")</f>
        <v>FM3420</v>
      </c>
      <c r="B117" s="6" t="str">
        <f>IFERROR(__xludf.DUMMYFUNCTION("""COMPUTED_VALUE"""),"RUN-COMB_2022-03-24_RFR-007")</f>
        <v>RUN-COMB_2022-03-24_RFR-007</v>
      </c>
      <c r="C117" s="7">
        <f>VLOOKUP(B117,'Run Reconcile'!A$2:B3090,2,FALSE)</f>
        <v>44644</v>
      </c>
      <c r="D117" s="11">
        <f>IFERROR(__xludf.DUMMYFUNCTION("""COMPUTED_VALUE"""),44644.0)</f>
        <v>44644</v>
      </c>
      <c r="E117" s="12">
        <f>IFERROR(__xludf.DUMMYFUNCTION("""COMPUTED_VALUE"""),0.343819444446126)</f>
        <v>0.3438194444</v>
      </c>
      <c r="F117" s="6" t="str">
        <f>IFERROR(__xludf.DUMMYFUNCTION("""COMPUTED_VALUE"""),"Negative")</f>
        <v>Negative</v>
      </c>
      <c r="G117" s="6">
        <f>IFERROR(__xludf.DUMMYFUNCTION("""COMPUTED_VALUE"""),1.0)</f>
        <v>1</v>
      </c>
    </row>
    <row r="118">
      <c r="A118" s="6" t="str">
        <f>IFERROR(__xludf.DUMMYFUNCTION("""COMPUTED_VALUE"""),"FM3448")</f>
        <v>FM3448</v>
      </c>
      <c r="B118" s="6" t="str">
        <f>IFERROR(__xludf.DUMMYFUNCTION("""COMPUTED_VALUE"""),"RUN-COMB_2022-03-24_RFR-007")</f>
        <v>RUN-COMB_2022-03-24_RFR-007</v>
      </c>
      <c r="C118" s="7">
        <f>VLOOKUP(B118,'Run Reconcile'!A$2:B3090,2,FALSE)</f>
        <v>44644</v>
      </c>
      <c r="D118" s="11">
        <f>IFERROR(__xludf.DUMMYFUNCTION("""COMPUTED_VALUE"""),44644.0)</f>
        <v>44644</v>
      </c>
      <c r="E118" s="12">
        <f>IFERROR(__xludf.DUMMYFUNCTION("""COMPUTED_VALUE"""),0.34815972222349956)</f>
        <v>0.3481597222</v>
      </c>
      <c r="F118" s="6" t="str">
        <f>IFERROR(__xludf.DUMMYFUNCTION("""COMPUTED_VALUE"""),"Negative")</f>
        <v>Negative</v>
      </c>
      <c r="G118" s="6">
        <f>IFERROR(__xludf.DUMMYFUNCTION("""COMPUTED_VALUE"""),1.0)</f>
        <v>1</v>
      </c>
    </row>
    <row r="119">
      <c r="A119" s="6" t="str">
        <f>IFERROR(__xludf.DUMMYFUNCTION("""COMPUTED_VALUE"""),"FM3451")</f>
        <v>FM3451</v>
      </c>
      <c r="B119" s="6" t="str">
        <f>IFERROR(__xludf.DUMMYFUNCTION("""COMPUTED_VALUE"""),"RUN-COMB_2022-04-02_RFR-008")</f>
        <v>RUN-COMB_2022-04-02_RFR-008</v>
      </c>
      <c r="C119" s="7">
        <f>VLOOKUP(B119,'Run Reconcile'!A$2:B3090,2,FALSE)</f>
        <v>44653</v>
      </c>
      <c r="D119" s="11">
        <f>IFERROR(__xludf.DUMMYFUNCTION("""COMPUTED_VALUE"""),44653.0)</f>
        <v>44653</v>
      </c>
      <c r="E119" s="12">
        <f>IFERROR(__xludf.DUMMYFUNCTION("""COMPUTED_VALUE"""),0.5713194444433611)</f>
        <v>0.5713194444</v>
      </c>
      <c r="F119" s="6" t="str">
        <f>IFERROR(__xludf.DUMMYFUNCTION("""COMPUTED_VALUE"""),"Negative")</f>
        <v>Negative</v>
      </c>
      <c r="G119" s="6">
        <f>IFERROR(__xludf.DUMMYFUNCTION("""COMPUTED_VALUE"""),1.0)</f>
        <v>1</v>
      </c>
    </row>
    <row r="120">
      <c r="A120" s="6" t="str">
        <f>IFERROR(__xludf.DUMMYFUNCTION("""COMPUTED_VALUE"""),"FM3457")</f>
        <v>FM3457</v>
      </c>
      <c r="B120" s="6" t="str">
        <f>IFERROR(__xludf.DUMMYFUNCTION("""COMPUTED_VALUE"""),"RUN-COMB_2022-04-02_RFR-008")</f>
        <v>RUN-COMB_2022-04-02_RFR-008</v>
      </c>
      <c r="C120" s="7">
        <f>VLOOKUP(B120,'Run Reconcile'!A$2:B3090,2,FALSE)</f>
        <v>44653</v>
      </c>
      <c r="D120" s="11">
        <f>IFERROR(__xludf.DUMMYFUNCTION("""COMPUTED_VALUE"""),44653.0)</f>
        <v>44653</v>
      </c>
      <c r="E120" s="12">
        <f>IFERROR(__xludf.DUMMYFUNCTION("""COMPUTED_VALUE"""),0.5717245370360615)</f>
        <v>0.571724537</v>
      </c>
      <c r="F120" s="6" t="str">
        <f>IFERROR(__xludf.DUMMYFUNCTION("""COMPUTED_VALUE"""),"Negative")</f>
        <v>Negative</v>
      </c>
      <c r="G120" s="6">
        <f>IFERROR(__xludf.DUMMYFUNCTION("""COMPUTED_VALUE"""),1.0)</f>
        <v>1</v>
      </c>
    </row>
    <row r="121">
      <c r="A121" s="6" t="str">
        <f>IFERROR(__xludf.DUMMYFUNCTION("""COMPUTED_VALUE"""),"FM3401")</f>
        <v>FM3401</v>
      </c>
      <c r="B121" s="6" t="str">
        <f>IFERROR(__xludf.DUMMYFUNCTION("""COMPUTED_VALUE"""),"RUN-COMB_2022-04-04_RFR-009")</f>
        <v>RUN-COMB_2022-04-04_RFR-009</v>
      </c>
      <c r="C121" s="7">
        <f>VLOOKUP(B121,'Run Reconcile'!A$2:B3090,2,FALSE)</f>
        <v>44655</v>
      </c>
      <c r="D121" s="11">
        <f>IFERROR(__xludf.DUMMYFUNCTION("""COMPUTED_VALUE"""),44655.0)</f>
        <v>44655</v>
      </c>
      <c r="E121" s="12">
        <f>IFERROR(__xludf.DUMMYFUNCTION("""COMPUTED_VALUE"""),0.7013310185175214)</f>
        <v>0.7013310185</v>
      </c>
      <c r="F121" s="6" t="str">
        <f>IFERROR(__xludf.DUMMYFUNCTION("""COMPUTED_VALUE"""),"Negative")</f>
        <v>Negative</v>
      </c>
      <c r="G121" s="6">
        <f>IFERROR(__xludf.DUMMYFUNCTION("""COMPUTED_VALUE"""),1.0)</f>
        <v>1</v>
      </c>
    </row>
    <row r="122">
      <c r="A122" s="6" t="str">
        <f>IFERROR(__xludf.DUMMYFUNCTION("""COMPUTED_VALUE"""),"FM3437")</f>
        <v>FM3437</v>
      </c>
      <c r="B122" s="6" t="str">
        <f>IFERROR(__xludf.DUMMYFUNCTION("""COMPUTED_VALUE"""),"RUN-COMB_2022-04-04_RFR-009")</f>
        <v>RUN-COMB_2022-04-04_RFR-009</v>
      </c>
      <c r="C122" s="7">
        <f>VLOOKUP(B122,'Run Reconcile'!A$2:B3090,2,FALSE)</f>
        <v>44655</v>
      </c>
      <c r="D122" s="11">
        <f>IFERROR(__xludf.DUMMYFUNCTION("""COMPUTED_VALUE"""),44655.0)</f>
        <v>44655</v>
      </c>
      <c r="E122" s="12">
        <f>IFERROR(__xludf.DUMMYFUNCTION("""COMPUTED_VALUE"""),0.7022453703721112)</f>
        <v>0.7022453704</v>
      </c>
      <c r="F122" s="6" t="str">
        <f>IFERROR(__xludf.DUMMYFUNCTION("""COMPUTED_VALUE"""),"Negative")</f>
        <v>Negative</v>
      </c>
      <c r="G122" s="6">
        <f>IFERROR(__xludf.DUMMYFUNCTION("""COMPUTED_VALUE"""),1.0)</f>
        <v>1</v>
      </c>
    </row>
    <row r="123">
      <c r="A123" s="6" t="str">
        <f>IFERROR(__xludf.DUMMYFUNCTION("""COMPUTED_VALUE"""),"FM3459")</f>
        <v>FM3459</v>
      </c>
      <c r="B123" s="6" t="str">
        <f>IFERROR(__xludf.DUMMYFUNCTION("""COMPUTED_VALUE"""),"RUN-COMB_2022-04-04_RFR-009")</f>
        <v>RUN-COMB_2022-04-04_RFR-009</v>
      </c>
      <c r="C123" s="7">
        <f>VLOOKUP(B123,'Run Reconcile'!A$2:B3090,2,FALSE)</f>
        <v>44655</v>
      </c>
      <c r="D123" s="11">
        <f>IFERROR(__xludf.DUMMYFUNCTION("""COMPUTED_VALUE"""),44655.0)</f>
        <v>44655</v>
      </c>
      <c r="E123" s="12">
        <f>IFERROR(__xludf.DUMMYFUNCTION("""COMPUTED_VALUE"""),0.7028356481496303)</f>
        <v>0.7028356481</v>
      </c>
      <c r="F123" s="6" t="str">
        <f>IFERROR(__xludf.DUMMYFUNCTION("""COMPUTED_VALUE"""),"Negative")</f>
        <v>Negative</v>
      </c>
      <c r="G123" s="6">
        <f>IFERROR(__xludf.DUMMYFUNCTION("""COMPUTED_VALUE"""),1.0)</f>
        <v>1</v>
      </c>
    </row>
    <row r="124">
      <c r="A124" s="6" t="str">
        <f>IFERROR(__xludf.DUMMYFUNCTION("""COMPUTED_VALUE"""),"FM3680")</f>
        <v>FM3680</v>
      </c>
      <c r="B124" s="6" t="str">
        <f>IFERROR(__xludf.DUMMYFUNCTION("""COMPUTED_VALUE"""),"RUN-COMB_2022-04-04_RFR-009")</f>
        <v>RUN-COMB_2022-04-04_RFR-009</v>
      </c>
      <c r="C124" s="7">
        <f>VLOOKUP(B124,'Run Reconcile'!A$2:B3090,2,FALSE)</f>
        <v>44655</v>
      </c>
      <c r="D124" s="11">
        <f>IFERROR(__xludf.DUMMYFUNCTION("""COMPUTED_VALUE"""),44655.0)</f>
        <v>44655</v>
      </c>
      <c r="E124" s="12">
        <f>IFERROR(__xludf.DUMMYFUNCTION("""COMPUTED_VALUE"""),0.7033217592579604)</f>
        <v>0.7033217593</v>
      </c>
      <c r="F124" s="6" t="str">
        <f>IFERROR(__xludf.DUMMYFUNCTION("""COMPUTED_VALUE"""),"Negative")</f>
        <v>Negative</v>
      </c>
      <c r="G124" s="6">
        <f>IFERROR(__xludf.DUMMYFUNCTION("""COMPUTED_VALUE"""),1.0)</f>
        <v>1</v>
      </c>
    </row>
    <row r="125">
      <c r="A125" s="6" t="str">
        <f>IFERROR(__xludf.DUMMYFUNCTION("""COMPUTED_VALUE"""),"FM3467")</f>
        <v>FM3467</v>
      </c>
      <c r="B125" s="6" t="str">
        <f>IFERROR(__xludf.DUMMYFUNCTION("""COMPUTED_VALUE"""),"RUN-COMB_2022-04-04_RFR-009")</f>
        <v>RUN-COMB_2022-04-04_RFR-009</v>
      </c>
      <c r="C125" s="7">
        <f>VLOOKUP(B125,'Run Reconcile'!A$2:B3090,2,FALSE)</f>
        <v>44655</v>
      </c>
      <c r="D125" s="11">
        <f>IFERROR(__xludf.DUMMYFUNCTION("""COMPUTED_VALUE"""),44655.0)</f>
        <v>44655</v>
      </c>
      <c r="E125" s="12">
        <f>IFERROR(__xludf.DUMMYFUNCTION("""COMPUTED_VALUE"""),0.7044212962973688)</f>
        <v>0.7044212963</v>
      </c>
      <c r="F125" s="6" t="str">
        <f>IFERROR(__xludf.DUMMYFUNCTION("""COMPUTED_VALUE"""),"Negative")</f>
        <v>Negative</v>
      </c>
      <c r="G125" s="6">
        <f>IFERROR(__xludf.DUMMYFUNCTION("""COMPUTED_VALUE"""),1.0)</f>
        <v>1</v>
      </c>
    </row>
    <row r="126">
      <c r="A126" s="6" t="str">
        <f>IFERROR(__xludf.DUMMYFUNCTION("""COMPUTED_VALUE"""),"FM3439")</f>
        <v>FM3439</v>
      </c>
      <c r="B126" s="6" t="str">
        <f>IFERROR(__xludf.DUMMYFUNCTION("""COMPUTED_VALUE"""),"RUN-COMB_2022-04-04_RFR-009")</f>
        <v>RUN-COMB_2022-04-04_RFR-009</v>
      </c>
      <c r="C126" s="7">
        <f>VLOOKUP(B126,'Run Reconcile'!A$2:B3090,2,FALSE)</f>
        <v>44655</v>
      </c>
      <c r="D126" s="11">
        <f>IFERROR(__xludf.DUMMYFUNCTION("""COMPUTED_VALUE"""),44655.0)</f>
        <v>44655</v>
      </c>
      <c r="E126" s="12">
        <f>IFERROR(__xludf.DUMMYFUNCTION("""COMPUTED_VALUE"""),0.7048842592594156)</f>
        <v>0.7048842593</v>
      </c>
      <c r="F126" s="6" t="str">
        <f>IFERROR(__xludf.DUMMYFUNCTION("""COMPUTED_VALUE"""),"Negative")</f>
        <v>Negative</v>
      </c>
      <c r="G126" s="6">
        <f>IFERROR(__xludf.DUMMYFUNCTION("""COMPUTED_VALUE"""),1.0)</f>
        <v>1</v>
      </c>
    </row>
    <row r="127">
      <c r="A127" s="6" t="str">
        <f>IFERROR(__xludf.DUMMYFUNCTION("""COMPUTED_VALUE"""),"FM3440")</f>
        <v>FM3440</v>
      </c>
      <c r="B127" s="6" t="str">
        <f>IFERROR(__xludf.DUMMYFUNCTION("""COMPUTED_VALUE"""),"RUN-COMB_2022-04-04_RFR-009")</f>
        <v>RUN-COMB_2022-04-04_RFR-009</v>
      </c>
      <c r="C127" s="7">
        <f>VLOOKUP(B127,'Run Reconcile'!A$2:B3090,2,FALSE)</f>
        <v>44655</v>
      </c>
      <c r="D127" s="11">
        <f>IFERROR(__xludf.DUMMYFUNCTION("""COMPUTED_VALUE"""),44655.0)</f>
        <v>44655</v>
      </c>
      <c r="E127" s="12">
        <f>IFERROR(__xludf.DUMMYFUNCTION("""COMPUTED_VALUE"""),0.7059027777795563)</f>
        <v>0.7059027778</v>
      </c>
      <c r="F127" s="6" t="str">
        <f>IFERROR(__xludf.DUMMYFUNCTION("""COMPUTED_VALUE"""),"Negative")</f>
        <v>Negative</v>
      </c>
      <c r="G127" s="6">
        <f>IFERROR(__xludf.DUMMYFUNCTION("""COMPUTED_VALUE"""),1.0)</f>
        <v>1</v>
      </c>
    </row>
    <row r="128">
      <c r="A128" s="6" t="str">
        <f>IFERROR(__xludf.DUMMYFUNCTION("""COMPUTED_VALUE"""),"FM3442")</f>
        <v>FM3442</v>
      </c>
      <c r="B128" s="6" t="str">
        <f>IFERROR(__xludf.DUMMYFUNCTION("""COMPUTED_VALUE"""),"RUN-COMB_2022-04-04_RFR-009")</f>
        <v>RUN-COMB_2022-04-04_RFR-009</v>
      </c>
      <c r="C128" s="7">
        <f>VLOOKUP(B128,'Run Reconcile'!A$2:B3090,2,FALSE)</f>
        <v>44655</v>
      </c>
      <c r="D128" s="11">
        <f>IFERROR(__xludf.DUMMYFUNCTION("""COMPUTED_VALUE"""),44655.0)</f>
        <v>44655</v>
      </c>
      <c r="E128" s="12">
        <f>IFERROR(__xludf.DUMMYFUNCTION("""COMPUTED_VALUE"""),0.7064120370378077)</f>
        <v>0.706412037</v>
      </c>
      <c r="F128" s="6" t="str">
        <f>IFERROR(__xludf.DUMMYFUNCTION("""COMPUTED_VALUE"""),"Negative")</f>
        <v>Negative</v>
      </c>
      <c r="G128" s="6">
        <f>IFERROR(__xludf.DUMMYFUNCTION("""COMPUTED_VALUE"""),1.0)</f>
        <v>1</v>
      </c>
    </row>
    <row r="129">
      <c r="A129" s="6" t="str">
        <f>IFERROR(__xludf.DUMMYFUNCTION("""COMPUTED_VALUE"""),"FM3465")</f>
        <v>FM3465</v>
      </c>
      <c r="B129" s="6" t="str">
        <f>IFERROR(__xludf.DUMMYFUNCTION("""COMPUTED_VALUE"""),"RUN-COMB_2022-04-04_RFR-009")</f>
        <v>RUN-COMB_2022-04-04_RFR-009</v>
      </c>
      <c r="C129" s="7">
        <f>VLOOKUP(B129,'Run Reconcile'!A$2:B3090,2,FALSE)</f>
        <v>44655</v>
      </c>
      <c r="D129" s="11">
        <f>IFERROR(__xludf.DUMMYFUNCTION("""COMPUTED_VALUE"""),44655.0)</f>
        <v>44655</v>
      </c>
      <c r="E129" s="12">
        <f>IFERROR(__xludf.DUMMYFUNCTION("""COMPUTED_VALUE"""),0.7079861111124046)</f>
        <v>0.7079861111</v>
      </c>
      <c r="F129" s="6" t="str">
        <f>IFERROR(__xludf.DUMMYFUNCTION("""COMPUTED_VALUE"""),"Negative")</f>
        <v>Negative</v>
      </c>
      <c r="G129" s="6">
        <f>IFERROR(__xludf.DUMMYFUNCTION("""COMPUTED_VALUE"""),1.0)</f>
        <v>1</v>
      </c>
    </row>
    <row r="130">
      <c r="A130" s="6" t="str">
        <f>IFERROR(__xludf.DUMMYFUNCTION("""COMPUTED_VALUE"""),"FM3411")</f>
        <v>FM3411</v>
      </c>
      <c r="B130" s="6" t="str">
        <f>IFERROR(__xludf.DUMMYFUNCTION("""COMPUTED_VALUE"""),"RUN-COMB_2022-04-04_RFR-009")</f>
        <v>RUN-COMB_2022-04-04_RFR-009</v>
      </c>
      <c r="C130" s="7">
        <f>VLOOKUP(B130,'Run Reconcile'!A$2:B3090,2,FALSE)</f>
        <v>44655</v>
      </c>
      <c r="D130" s="11">
        <f>IFERROR(__xludf.DUMMYFUNCTION("""COMPUTED_VALUE"""),44655.0)</f>
        <v>44655</v>
      </c>
      <c r="E130" s="12">
        <f>IFERROR(__xludf.DUMMYFUNCTION("""COMPUTED_VALUE"""),0.7088425925940101)</f>
        <v>0.7088425926</v>
      </c>
      <c r="F130" s="6" t="str">
        <f>IFERROR(__xludf.DUMMYFUNCTION("""COMPUTED_VALUE"""),"Negative")</f>
        <v>Negative</v>
      </c>
      <c r="G130" s="6">
        <f>IFERROR(__xludf.DUMMYFUNCTION("""COMPUTED_VALUE"""),1.0)</f>
        <v>1</v>
      </c>
    </row>
    <row r="131">
      <c r="A131" s="6" t="str">
        <f>IFERROR(__xludf.DUMMYFUNCTION("""COMPUTED_VALUE"""),"FM3432")</f>
        <v>FM3432</v>
      </c>
      <c r="B131" s="6" t="str">
        <f>IFERROR(__xludf.DUMMYFUNCTION("""COMPUTED_VALUE"""),"RUN-COMB_2022-04-04_RFR-009")</f>
        <v>RUN-COMB_2022-04-04_RFR-009</v>
      </c>
      <c r="C131" s="7">
        <f>VLOOKUP(B131,'Run Reconcile'!A$2:B3090,2,FALSE)</f>
        <v>44655</v>
      </c>
      <c r="D131" s="11">
        <f>IFERROR(__xludf.DUMMYFUNCTION("""COMPUTED_VALUE"""),44655.0)</f>
        <v>44655</v>
      </c>
      <c r="E131" s="12">
        <f>IFERROR(__xludf.DUMMYFUNCTION("""COMPUTED_VALUE"""),0.7099768518528435)</f>
        <v>0.7099768519</v>
      </c>
      <c r="F131" s="6" t="str">
        <f>IFERROR(__xludf.DUMMYFUNCTION("""COMPUTED_VALUE"""),"Negative")</f>
        <v>Negative</v>
      </c>
      <c r="G131" s="6">
        <f>IFERROR(__xludf.DUMMYFUNCTION("""COMPUTED_VALUE"""),1.0)</f>
        <v>1</v>
      </c>
    </row>
    <row r="132">
      <c r="A132" s="6" t="str">
        <f>IFERROR(__xludf.DUMMYFUNCTION("""COMPUTED_VALUE"""),"FM3474")</f>
        <v>FM3474</v>
      </c>
      <c r="B132" s="6" t="str">
        <f>IFERROR(__xludf.DUMMYFUNCTION("""COMPUTED_VALUE"""),"RUN-COMB_2022-04-04_RFR-009")</f>
        <v>RUN-COMB_2022-04-04_RFR-009</v>
      </c>
      <c r="C132" s="7">
        <f>VLOOKUP(B132,'Run Reconcile'!A$2:B3090,2,FALSE)</f>
        <v>44655</v>
      </c>
      <c r="D132" s="11">
        <f>IFERROR(__xludf.DUMMYFUNCTION("""COMPUTED_VALUE"""),44655.0)</f>
        <v>44655</v>
      </c>
      <c r="E132" s="12">
        <f>IFERROR(__xludf.DUMMYFUNCTION("""COMPUTED_VALUE"""),0.710763888888323)</f>
        <v>0.7107638889</v>
      </c>
      <c r="F132" s="6" t="str">
        <f>IFERROR(__xludf.DUMMYFUNCTION("""COMPUTED_VALUE"""),"Negative")</f>
        <v>Negative</v>
      </c>
      <c r="G132" s="6">
        <f>IFERROR(__xludf.DUMMYFUNCTION("""COMPUTED_VALUE"""),1.0)</f>
        <v>1</v>
      </c>
    </row>
    <row r="133">
      <c r="A133" s="6" t="str">
        <f>IFERROR(__xludf.DUMMYFUNCTION("""COMPUTED_VALUE"""),"FM3475")</f>
        <v>FM3475</v>
      </c>
      <c r="B133" s="6" t="str">
        <f>IFERROR(__xludf.DUMMYFUNCTION("""COMPUTED_VALUE"""),"RUN-COMB_2022-04-04_RFR-009")</f>
        <v>RUN-COMB_2022-04-04_RFR-009</v>
      </c>
      <c r="C133" s="7">
        <f>VLOOKUP(B133,'Run Reconcile'!A$2:B3090,2,FALSE)</f>
        <v>44655</v>
      </c>
      <c r="D133" s="11">
        <f>IFERROR(__xludf.DUMMYFUNCTION("""COMPUTED_VALUE"""),44655.0)</f>
        <v>44655</v>
      </c>
      <c r="E133" s="12">
        <f>IFERROR(__xludf.DUMMYFUNCTION("""COMPUTED_VALUE"""),0.7112268518503697)</f>
        <v>0.7112268519</v>
      </c>
      <c r="F133" s="6" t="str">
        <f>IFERROR(__xludf.DUMMYFUNCTION("""COMPUTED_VALUE"""),"Negative")</f>
        <v>Negative</v>
      </c>
      <c r="G133" s="6">
        <f>IFERROR(__xludf.DUMMYFUNCTION("""COMPUTED_VALUE"""),1.0)</f>
        <v>1</v>
      </c>
    </row>
    <row r="134">
      <c r="A134" s="6" t="str">
        <f>IFERROR(__xludf.DUMMYFUNCTION("""COMPUTED_VALUE"""),"FM3462")</f>
        <v>FM3462</v>
      </c>
      <c r="B134" s="6" t="str">
        <f>IFERROR(__xludf.DUMMYFUNCTION("""COMPUTED_VALUE"""),"RUN-COMB_2022-04-04_RFR-009")</f>
        <v>RUN-COMB_2022-04-04_RFR-009</v>
      </c>
      <c r="C134" s="7">
        <f>VLOOKUP(B134,'Run Reconcile'!A$2:B3090,2,FALSE)</f>
        <v>44655</v>
      </c>
      <c r="D134" s="11">
        <f>IFERROR(__xludf.DUMMYFUNCTION("""COMPUTED_VALUE"""),44655.0)</f>
        <v>44655</v>
      </c>
      <c r="E134" s="12">
        <f>IFERROR(__xludf.DUMMYFUNCTION("""COMPUTED_VALUE"""),0.7118634259277314)</f>
        <v>0.7118634259</v>
      </c>
      <c r="F134" s="6" t="str">
        <f>IFERROR(__xludf.DUMMYFUNCTION("""COMPUTED_VALUE"""),"Negative")</f>
        <v>Negative</v>
      </c>
      <c r="G134" s="6">
        <f>IFERROR(__xludf.DUMMYFUNCTION("""COMPUTED_VALUE"""),1.0)</f>
        <v>1</v>
      </c>
    </row>
    <row r="135">
      <c r="A135" s="6" t="str">
        <f>IFERROR(__xludf.DUMMYFUNCTION("""COMPUTED_VALUE"""),"FM3407")</f>
        <v>FM3407</v>
      </c>
      <c r="B135" s="6" t="str">
        <f>IFERROR(__xludf.DUMMYFUNCTION("""COMPUTED_VALUE"""),"RUN-COMB_2022-04-04_RFR-009")</f>
        <v>RUN-COMB_2022-04-04_RFR-009</v>
      </c>
      <c r="C135" s="7">
        <f>VLOOKUP(B135,'Run Reconcile'!A$2:B3090,2,FALSE)</f>
        <v>44655</v>
      </c>
      <c r="D135" s="11">
        <f>IFERROR(__xludf.DUMMYFUNCTION("""COMPUTED_VALUE"""),44655.0)</f>
        <v>44655</v>
      </c>
      <c r="E135" s="12">
        <f>IFERROR(__xludf.DUMMYFUNCTION("""COMPUTED_VALUE"""),0.7124305555553292)</f>
        <v>0.7124305556</v>
      </c>
      <c r="F135" s="6" t="str">
        <f>IFERROR(__xludf.DUMMYFUNCTION("""COMPUTED_VALUE"""),"Negative")</f>
        <v>Negative</v>
      </c>
      <c r="G135" s="6">
        <f>IFERROR(__xludf.DUMMYFUNCTION("""COMPUTED_VALUE"""),1.0)</f>
        <v>1</v>
      </c>
    </row>
    <row r="136">
      <c r="A136" s="6" t="str">
        <f>IFERROR(__xludf.DUMMYFUNCTION("""COMPUTED_VALUE"""),"FM3679")</f>
        <v>FM3679</v>
      </c>
      <c r="B136" s="6" t="str">
        <f>IFERROR(__xludf.DUMMYFUNCTION("""COMPUTED_VALUE"""),"RUN-COMB_2022-04-04_RFR-009")</f>
        <v>RUN-COMB_2022-04-04_RFR-009</v>
      </c>
      <c r="C136" s="7">
        <f>VLOOKUP(B136,'Run Reconcile'!A$2:B3090,2,FALSE)</f>
        <v>44655</v>
      </c>
      <c r="D136" s="11">
        <f>IFERROR(__xludf.DUMMYFUNCTION("""COMPUTED_VALUE"""),44655.0)</f>
        <v>44655</v>
      </c>
      <c r="E136" s="12">
        <f>IFERROR(__xludf.DUMMYFUNCTION("""COMPUTED_VALUE"""),0.7130324074059899)</f>
        <v>0.7130324074</v>
      </c>
      <c r="F136" s="6" t="str">
        <f>IFERROR(__xludf.DUMMYFUNCTION("""COMPUTED_VALUE"""),"Negative")</f>
        <v>Negative</v>
      </c>
      <c r="G136" s="6">
        <f>IFERROR(__xludf.DUMMYFUNCTION("""COMPUTED_VALUE"""),1.0)</f>
        <v>1</v>
      </c>
    </row>
    <row r="137">
      <c r="A137" s="6" t="str">
        <f>IFERROR(__xludf.DUMMYFUNCTION("""COMPUTED_VALUE"""),"FM3664")</f>
        <v>FM3664</v>
      </c>
      <c r="B137" s="6" t="str">
        <f>IFERROR(__xludf.DUMMYFUNCTION("""COMPUTED_VALUE"""),"RUN-COMB_2022-04-04_RFR-009")</f>
        <v>RUN-COMB_2022-04-04_RFR-009</v>
      </c>
      <c r="C137" s="7">
        <f>VLOOKUP(B137,'Run Reconcile'!A$2:B3090,2,FALSE)</f>
        <v>44655</v>
      </c>
      <c r="D137" s="11">
        <f>IFERROR(__xludf.DUMMYFUNCTION("""COMPUTED_VALUE"""),44655.0)</f>
        <v>44655</v>
      </c>
      <c r="E137" s="12">
        <f>IFERROR(__xludf.DUMMYFUNCTION("""COMPUTED_VALUE"""),0.7134953703716747)</f>
        <v>0.7134953704</v>
      </c>
      <c r="F137" s="6" t="str">
        <f>IFERROR(__xludf.DUMMYFUNCTION("""COMPUTED_VALUE"""),"Negative")</f>
        <v>Negative</v>
      </c>
      <c r="G137" s="6">
        <f>IFERROR(__xludf.DUMMYFUNCTION("""COMPUTED_VALUE"""),1.0)</f>
        <v>1</v>
      </c>
    </row>
    <row r="138">
      <c r="A138" s="6" t="str">
        <f>IFERROR(__xludf.DUMMYFUNCTION("""COMPUTED_VALUE"""),"FM3906")</f>
        <v>FM3906</v>
      </c>
      <c r="B138" s="6" t="str">
        <f>IFERROR(__xludf.DUMMYFUNCTION("""COMPUTED_VALUE"""),"RUN-COMB_2022-04-04_RFR-009")</f>
        <v>RUN-COMB_2022-04-04_RFR-009</v>
      </c>
      <c r="C138" s="7">
        <f>VLOOKUP(B138,'Run Reconcile'!A$2:B3090,2,FALSE)</f>
        <v>44655</v>
      </c>
      <c r="D138" s="11">
        <f>IFERROR(__xludf.DUMMYFUNCTION("""COMPUTED_VALUE"""),44655.0)</f>
        <v>44655</v>
      </c>
      <c r="E138" s="12">
        <f>IFERROR(__xludf.DUMMYFUNCTION("""COMPUTED_VALUE"""),0.7150810185194132)</f>
        <v>0.7150810185</v>
      </c>
      <c r="F138" s="6" t="str">
        <f>IFERROR(__xludf.DUMMYFUNCTION("""COMPUTED_VALUE"""),"Negative")</f>
        <v>Negative</v>
      </c>
      <c r="G138" s="6">
        <f>IFERROR(__xludf.DUMMYFUNCTION("""COMPUTED_VALUE"""),1.0)</f>
        <v>1</v>
      </c>
    </row>
    <row r="139">
      <c r="A139" s="6" t="str">
        <f>IFERROR(__xludf.DUMMYFUNCTION("""COMPUTED_VALUE"""),"FM3668")</f>
        <v>FM3668</v>
      </c>
      <c r="B139" s="6" t="str">
        <f>IFERROR(__xludf.DUMMYFUNCTION("""COMPUTED_VALUE"""),"RUN-COMB_2022-04-04_RFR-009")</f>
        <v>RUN-COMB_2022-04-04_RFR-009</v>
      </c>
      <c r="C139" s="7">
        <f>VLOOKUP(B139,'Run Reconcile'!A$2:B3090,2,FALSE)</f>
        <v>44655</v>
      </c>
      <c r="D139" s="11">
        <f>IFERROR(__xludf.DUMMYFUNCTION("""COMPUTED_VALUE"""),44655.0)</f>
        <v>44655</v>
      </c>
      <c r="E139" s="12">
        <f>IFERROR(__xludf.DUMMYFUNCTION("""COMPUTED_VALUE"""),0.7158680555548926)</f>
        <v>0.7158680556</v>
      </c>
      <c r="F139" s="6" t="str">
        <f>IFERROR(__xludf.DUMMYFUNCTION("""COMPUTED_VALUE"""),"Negative")</f>
        <v>Negative</v>
      </c>
      <c r="G139" s="6">
        <f>IFERROR(__xludf.DUMMYFUNCTION("""COMPUTED_VALUE"""),1.0)</f>
        <v>1</v>
      </c>
    </row>
    <row r="140">
      <c r="A140" s="6" t="str">
        <f>IFERROR(__xludf.DUMMYFUNCTION("""COMPUTED_VALUE"""),"FM3976")</f>
        <v>FM3976</v>
      </c>
      <c r="B140" s="6" t="str">
        <f>IFERROR(__xludf.DUMMYFUNCTION("""COMPUTED_VALUE"""),"RUN-COMB_2022-04-04_RFR-009")</f>
        <v>RUN-COMB_2022-04-04_RFR-009</v>
      </c>
      <c r="C140" s="7">
        <f>VLOOKUP(B140,'Run Reconcile'!A$2:B3090,2,FALSE)</f>
        <v>44655</v>
      </c>
      <c r="D140" s="11">
        <f>IFERROR(__xludf.DUMMYFUNCTION("""COMPUTED_VALUE"""),44655.0)</f>
        <v>44655</v>
      </c>
      <c r="E140" s="12">
        <f>IFERROR(__xludf.DUMMYFUNCTION("""COMPUTED_VALUE"""),0.7170138888905058)</f>
        <v>0.7170138889</v>
      </c>
      <c r="F140" s="6" t="str">
        <f>IFERROR(__xludf.DUMMYFUNCTION("""COMPUTED_VALUE"""),"Negative")</f>
        <v>Negative</v>
      </c>
      <c r="G140" s="6">
        <f>IFERROR(__xludf.DUMMYFUNCTION("""COMPUTED_VALUE"""),1.0)</f>
        <v>1</v>
      </c>
    </row>
    <row r="141">
      <c r="A141" s="6" t="str">
        <f>IFERROR(__xludf.DUMMYFUNCTION("""COMPUTED_VALUE"""),"FM3922")</f>
        <v>FM3922</v>
      </c>
      <c r="B141" s="6" t="str">
        <f>IFERROR(__xludf.DUMMYFUNCTION("""COMPUTED_VALUE"""),"RUN-COMB_2022-04-04_RFR-009")</f>
        <v>RUN-COMB_2022-04-04_RFR-009</v>
      </c>
      <c r="C141" s="7">
        <f>VLOOKUP(B141,'Run Reconcile'!A$2:B3090,2,FALSE)</f>
        <v>44655</v>
      </c>
      <c r="D141" s="11">
        <f>IFERROR(__xludf.DUMMYFUNCTION("""COMPUTED_VALUE"""),44655.0)</f>
        <v>44655</v>
      </c>
      <c r="E141" s="12">
        <f>IFERROR(__xludf.DUMMYFUNCTION("""COMPUTED_VALUE"""),0.7175115740756155)</f>
        <v>0.7175115741</v>
      </c>
      <c r="F141" s="6" t="str">
        <f>IFERROR(__xludf.DUMMYFUNCTION("""COMPUTED_VALUE"""),"Negative")</f>
        <v>Negative</v>
      </c>
      <c r="G141" s="6">
        <f>IFERROR(__xludf.DUMMYFUNCTION("""COMPUTED_VALUE"""),1.0)</f>
        <v>1</v>
      </c>
    </row>
    <row r="142">
      <c r="A142" s="6" t="str">
        <f>IFERROR(__xludf.DUMMYFUNCTION("""COMPUTED_VALUE"""),"FM3477")</f>
        <v>FM3477</v>
      </c>
      <c r="B142" s="6" t="str">
        <f>IFERROR(__xludf.DUMMYFUNCTION("""COMPUTED_VALUE"""),"RUN-COMB_2022-04-04_RFR-009")</f>
        <v>RUN-COMB_2022-04-04_RFR-009</v>
      </c>
      <c r="C142" s="7">
        <f>VLOOKUP(B142,'Run Reconcile'!A$2:B3090,2,FALSE)</f>
        <v>44655</v>
      </c>
      <c r="D142" s="11">
        <f>IFERROR(__xludf.DUMMYFUNCTION("""COMPUTED_VALUE"""),44655.0)</f>
        <v>44655</v>
      </c>
      <c r="E142" s="12">
        <f>IFERROR(__xludf.DUMMYFUNCTION("""COMPUTED_VALUE"""),0.7179861111108039)</f>
        <v>0.7179861111</v>
      </c>
      <c r="F142" s="6" t="str">
        <f>IFERROR(__xludf.DUMMYFUNCTION("""COMPUTED_VALUE"""),"Negative")</f>
        <v>Negative</v>
      </c>
      <c r="G142" s="6">
        <f>IFERROR(__xludf.DUMMYFUNCTION("""COMPUTED_VALUE"""),1.0)</f>
        <v>1</v>
      </c>
    </row>
    <row r="143">
      <c r="A143" s="6" t="str">
        <f>IFERROR(__xludf.DUMMYFUNCTION("""COMPUTED_VALUE"""),"FM3478")</f>
        <v>FM3478</v>
      </c>
      <c r="B143" s="6" t="str">
        <f>IFERROR(__xludf.DUMMYFUNCTION("""COMPUTED_VALUE"""),"RUN-COMB_2022-04-04_RFR-009")</f>
        <v>RUN-COMB_2022-04-04_RFR-009</v>
      </c>
      <c r="C143" s="7">
        <f>VLOOKUP(B143,'Run Reconcile'!A$2:B3090,2,FALSE)</f>
        <v>44655</v>
      </c>
      <c r="D143" s="11">
        <f>IFERROR(__xludf.DUMMYFUNCTION("""COMPUTED_VALUE"""),44655.0)</f>
        <v>44655</v>
      </c>
      <c r="E143" s="12">
        <f>IFERROR(__xludf.DUMMYFUNCTION("""COMPUTED_VALUE"""),0.7322800925940101)</f>
        <v>0.7322800926</v>
      </c>
      <c r="F143" s="6" t="str">
        <f>IFERROR(__xludf.DUMMYFUNCTION("""COMPUTED_VALUE"""),"Negative")</f>
        <v>Negative</v>
      </c>
      <c r="G143" s="6">
        <f>IFERROR(__xludf.DUMMYFUNCTION("""COMPUTED_VALUE"""),1.0)</f>
        <v>1</v>
      </c>
    </row>
    <row r="144">
      <c r="A144" s="6" t="str">
        <f>IFERROR(__xludf.DUMMYFUNCTION("""COMPUTED_VALUE"""),"FM3417")</f>
        <v>FM3417</v>
      </c>
      <c r="B144" s="6" t="str">
        <f>IFERROR(__xludf.DUMMYFUNCTION("""COMPUTED_VALUE"""),"RUN-COMB_2022-04-04_RFR-009")</f>
        <v>RUN-COMB_2022-04-04_RFR-009</v>
      </c>
      <c r="C144" s="7">
        <f>VLOOKUP(B144,'Run Reconcile'!A$2:B3090,2,FALSE)</f>
        <v>44655</v>
      </c>
      <c r="D144" s="11">
        <f>IFERROR(__xludf.DUMMYFUNCTION("""COMPUTED_VALUE"""),44655.0)</f>
        <v>44655</v>
      </c>
      <c r="E144" s="12">
        <f>IFERROR(__xludf.DUMMYFUNCTION("""COMPUTED_VALUE"""),0.7337615740725596)</f>
        <v>0.7337615741</v>
      </c>
      <c r="F144" s="6" t="str">
        <f>IFERROR(__xludf.DUMMYFUNCTION("""COMPUTED_VALUE"""),"Negative")</f>
        <v>Negative</v>
      </c>
      <c r="G144" s="6">
        <f>IFERROR(__xludf.DUMMYFUNCTION("""COMPUTED_VALUE"""),1.0)</f>
        <v>1</v>
      </c>
    </row>
    <row r="145">
      <c r="A145" s="6" t="str">
        <f>IFERROR(__xludf.DUMMYFUNCTION("""COMPUTED_VALUE"""),"FM3971")</f>
        <v>FM3971</v>
      </c>
      <c r="B145" s="6" t="str">
        <f>IFERROR(__xludf.DUMMYFUNCTION("""COMPUTED_VALUE"""),"RUN-COMB_2022-04-05_RFR-010")</f>
        <v>RUN-COMB_2022-04-05_RFR-010</v>
      </c>
      <c r="C145" s="7">
        <f>VLOOKUP(B145,'Run Reconcile'!A$2:B3090,2,FALSE)</f>
        <v>44656</v>
      </c>
      <c r="D145" s="11">
        <f>IFERROR(__xludf.DUMMYFUNCTION("""COMPUTED_VALUE"""),44656.0)</f>
        <v>44656</v>
      </c>
      <c r="E145" s="12">
        <f>IFERROR(__xludf.DUMMYFUNCTION("""COMPUTED_VALUE"""),0.2663425925929914)</f>
        <v>0.2663425926</v>
      </c>
      <c r="F145" s="6" t="str">
        <f>IFERROR(__xludf.DUMMYFUNCTION("""COMPUTED_VALUE"""),"Negative")</f>
        <v>Negative</v>
      </c>
      <c r="G145" s="6">
        <f>IFERROR(__xludf.DUMMYFUNCTION("""COMPUTED_VALUE"""),1.0)</f>
        <v>1</v>
      </c>
    </row>
    <row r="146">
      <c r="A146" s="6" t="str">
        <f>IFERROR(__xludf.DUMMYFUNCTION("""COMPUTED_VALUE"""),"FM3982")</f>
        <v>FM3982</v>
      </c>
      <c r="B146" s="6" t="str">
        <f>IFERROR(__xludf.DUMMYFUNCTION("""COMPUTED_VALUE"""),"RUN-COMB_2022-04-05_RFR-010")</f>
        <v>RUN-COMB_2022-04-05_RFR-010</v>
      </c>
      <c r="C146" s="7">
        <f>VLOOKUP(B146,'Run Reconcile'!A$2:B3090,2,FALSE)</f>
        <v>44656</v>
      </c>
      <c r="D146" s="11">
        <f>IFERROR(__xludf.DUMMYFUNCTION("""COMPUTED_VALUE"""),44656.0)</f>
        <v>44656</v>
      </c>
      <c r="E146" s="12">
        <f>IFERROR(__xludf.DUMMYFUNCTION("""COMPUTED_VALUE"""),0.2669675925935735)</f>
        <v>0.2669675926</v>
      </c>
      <c r="F146" s="6" t="str">
        <f>IFERROR(__xludf.DUMMYFUNCTION("""COMPUTED_VALUE"""),"Negative")</f>
        <v>Negative</v>
      </c>
      <c r="G146" s="6">
        <f>IFERROR(__xludf.DUMMYFUNCTION("""COMPUTED_VALUE"""),1.0)</f>
        <v>1</v>
      </c>
    </row>
    <row r="147">
      <c r="A147" s="6" t="str">
        <f>IFERROR(__xludf.DUMMYFUNCTION("""COMPUTED_VALUE"""),"FM3917")</f>
        <v>FM3917</v>
      </c>
      <c r="B147" s="6" t="str">
        <f>IFERROR(__xludf.DUMMYFUNCTION("""COMPUTED_VALUE"""),"RUN-COMB_2022-04-05_RFR-010")</f>
        <v>RUN-COMB_2022-04-05_RFR-010</v>
      </c>
      <c r="C147" s="7">
        <f>VLOOKUP(B147,'Run Reconcile'!A$2:B3090,2,FALSE)</f>
        <v>44656</v>
      </c>
      <c r="D147" s="11">
        <f>IFERROR(__xludf.DUMMYFUNCTION("""COMPUTED_VALUE"""),44656.0)</f>
        <v>44656</v>
      </c>
      <c r="E147" s="12">
        <f>IFERROR(__xludf.DUMMYFUNCTION("""COMPUTED_VALUE"""),0.2675462962979509)</f>
        <v>0.2675462963</v>
      </c>
      <c r="F147" s="6" t="str">
        <f>IFERROR(__xludf.DUMMYFUNCTION("""COMPUTED_VALUE"""),"Negative")</f>
        <v>Negative</v>
      </c>
      <c r="G147" s="6">
        <f>IFERROR(__xludf.DUMMYFUNCTION("""COMPUTED_VALUE"""),1.0)</f>
        <v>1</v>
      </c>
    </row>
    <row r="148">
      <c r="A148" s="6" t="str">
        <f>IFERROR(__xludf.DUMMYFUNCTION("""COMPUTED_VALUE"""),"FM3979")</f>
        <v>FM3979</v>
      </c>
      <c r="B148" s="6" t="str">
        <f>IFERROR(__xludf.DUMMYFUNCTION("""COMPUTED_VALUE"""),"RUN-COMB_2022-04-05_RFR-010")</f>
        <v>RUN-COMB_2022-04-05_RFR-010</v>
      </c>
      <c r="C148" s="7">
        <f>VLOOKUP(B148,'Run Reconcile'!A$2:B3090,2,FALSE)</f>
        <v>44656</v>
      </c>
      <c r="D148" s="11">
        <f>IFERROR(__xludf.DUMMYFUNCTION("""COMPUTED_VALUE"""),44656.0)</f>
        <v>44656</v>
      </c>
      <c r="E148" s="12">
        <f>IFERROR(__xludf.DUMMYFUNCTION("""COMPUTED_VALUE"""),0.2746412037049595)</f>
        <v>0.2746412037</v>
      </c>
      <c r="F148" s="6" t="str">
        <f>IFERROR(__xludf.DUMMYFUNCTION("""COMPUTED_VALUE"""),"Negative")</f>
        <v>Negative</v>
      </c>
      <c r="G148" s="6">
        <f>IFERROR(__xludf.DUMMYFUNCTION("""COMPUTED_VALUE"""),1.0)</f>
        <v>1</v>
      </c>
    </row>
    <row r="149">
      <c r="A149" s="6" t="str">
        <f>IFERROR(__xludf.DUMMYFUNCTION("""COMPUTED_VALUE"""),"FM3907")</f>
        <v>FM3907</v>
      </c>
      <c r="B149" s="6" t="str">
        <f>IFERROR(__xludf.DUMMYFUNCTION("""COMPUTED_VALUE"""),"RUN-COMB_2022-04-05_RFR-010")</f>
        <v>RUN-COMB_2022-04-05_RFR-010</v>
      </c>
      <c r="C149" s="7">
        <f>VLOOKUP(B149,'Run Reconcile'!A$2:B3090,2,FALSE)</f>
        <v>44656</v>
      </c>
      <c r="D149" s="11">
        <f>IFERROR(__xludf.DUMMYFUNCTION("""COMPUTED_VALUE"""),44656.0)</f>
        <v>44656</v>
      </c>
      <c r="E149" s="12">
        <f>IFERROR(__xludf.DUMMYFUNCTION("""COMPUTED_VALUE"""),0.2751388888900692)</f>
        <v>0.2751388889</v>
      </c>
      <c r="F149" s="6" t="str">
        <f>IFERROR(__xludf.DUMMYFUNCTION("""COMPUTED_VALUE"""),"Negative")</f>
        <v>Negative</v>
      </c>
      <c r="G149" s="6">
        <f>IFERROR(__xludf.DUMMYFUNCTION("""COMPUTED_VALUE"""),1.0)</f>
        <v>1</v>
      </c>
    </row>
    <row r="150">
      <c r="A150" s="6" t="str">
        <f>IFERROR(__xludf.DUMMYFUNCTION("""COMPUTED_VALUE"""),"FM3980")</f>
        <v>FM3980</v>
      </c>
      <c r="B150" s="6" t="str">
        <f>IFERROR(__xludf.DUMMYFUNCTION("""COMPUTED_VALUE"""),"RUN-COMB_2022-04-05_RFR-010")</f>
        <v>RUN-COMB_2022-04-05_RFR-010</v>
      </c>
      <c r="C150" s="7">
        <f>VLOOKUP(B150,'Run Reconcile'!A$2:B3090,2,FALSE)</f>
        <v>44656</v>
      </c>
      <c r="D150" s="11">
        <f>IFERROR(__xludf.DUMMYFUNCTION("""COMPUTED_VALUE"""),44656.0)</f>
        <v>44656</v>
      </c>
      <c r="E150" s="12">
        <f>IFERROR(__xludf.DUMMYFUNCTION("""COMPUTED_VALUE"""),0.276157407406572)</f>
        <v>0.2761574074</v>
      </c>
      <c r="F150" s="6" t="str">
        <f>IFERROR(__xludf.DUMMYFUNCTION("""COMPUTED_VALUE"""),"Negative")</f>
        <v>Negative</v>
      </c>
      <c r="G150" s="6">
        <f>IFERROR(__xludf.DUMMYFUNCTION("""COMPUTED_VALUE"""),1.0)</f>
        <v>1</v>
      </c>
    </row>
    <row r="151">
      <c r="A151" s="6" t="str">
        <f>IFERROR(__xludf.DUMMYFUNCTION("""COMPUTED_VALUE"""),"FM3939")</f>
        <v>FM3939</v>
      </c>
      <c r="B151" s="6" t="str">
        <f>IFERROR(__xludf.DUMMYFUNCTION("""COMPUTED_VALUE"""),"RUN-COMB_2022-04-05_RFR-010")</f>
        <v>RUN-COMB_2022-04-05_RFR-010</v>
      </c>
      <c r="C151" s="7">
        <f>VLOOKUP(B151,'Run Reconcile'!A$2:B3090,2,FALSE)</f>
        <v>44656</v>
      </c>
      <c r="D151" s="11">
        <f>IFERROR(__xludf.DUMMYFUNCTION("""COMPUTED_VALUE"""),44656.0)</f>
        <v>44656</v>
      </c>
      <c r="E151" s="12">
        <f>IFERROR(__xludf.DUMMYFUNCTION("""COMPUTED_VALUE"""),0.27890046296306537)</f>
        <v>0.278900463</v>
      </c>
      <c r="F151" s="6" t="str">
        <f>IFERROR(__xludf.DUMMYFUNCTION("""COMPUTED_VALUE"""),"Negative")</f>
        <v>Negative</v>
      </c>
      <c r="G151" s="6">
        <f>IFERROR(__xludf.DUMMYFUNCTION("""COMPUTED_VALUE"""),1.0)</f>
        <v>1</v>
      </c>
    </row>
    <row r="152">
      <c r="A152" s="6" t="str">
        <f>IFERROR(__xludf.DUMMYFUNCTION("""COMPUTED_VALUE"""),"FM3964")</f>
        <v>FM3964</v>
      </c>
      <c r="B152" s="6" t="str">
        <f>IFERROR(__xludf.DUMMYFUNCTION("""COMPUTED_VALUE"""),"RUN-COMB_2022-04-05_RFR-010")</f>
        <v>RUN-COMB_2022-04-05_RFR-010</v>
      </c>
      <c r="C152" s="7">
        <f>VLOOKUP(B152,'Run Reconcile'!A$2:B3090,2,FALSE)</f>
        <v>44656</v>
      </c>
      <c r="D152" s="11">
        <f>IFERROR(__xludf.DUMMYFUNCTION("""COMPUTED_VALUE"""),44656.0)</f>
        <v>44656</v>
      </c>
      <c r="E152" s="12">
        <f>IFERROR(__xludf.DUMMYFUNCTION("""COMPUTED_VALUE"""),0.2810995370382443)</f>
        <v>0.281099537</v>
      </c>
      <c r="F152" s="6" t="str">
        <f>IFERROR(__xludf.DUMMYFUNCTION("""COMPUTED_VALUE"""),"Negative")</f>
        <v>Negative</v>
      </c>
      <c r="G152" s="6">
        <f>IFERROR(__xludf.DUMMYFUNCTION("""COMPUTED_VALUE"""),1.0)</f>
        <v>1</v>
      </c>
    </row>
    <row r="153">
      <c r="A153" s="6" t="str">
        <f>IFERROR(__xludf.DUMMYFUNCTION("""COMPUTED_VALUE"""),"FM3972")</f>
        <v>FM3972</v>
      </c>
      <c r="B153" s="6" t="str">
        <f>IFERROR(__xludf.DUMMYFUNCTION("""COMPUTED_VALUE"""),"RUN-COMB_2022-04-05_RFR-010")</f>
        <v>RUN-COMB_2022-04-05_RFR-010</v>
      </c>
      <c r="C153" s="7">
        <f>VLOOKUP(B153,'Run Reconcile'!A$2:B3090,2,FALSE)</f>
        <v>44656</v>
      </c>
      <c r="D153" s="11">
        <f>IFERROR(__xludf.DUMMYFUNCTION("""COMPUTED_VALUE"""),44656.0)</f>
        <v>44656</v>
      </c>
      <c r="E153" s="12">
        <f>IFERROR(__xludf.DUMMYFUNCTION("""COMPUTED_VALUE"""),0.28178240740817273)</f>
        <v>0.2817824074</v>
      </c>
      <c r="F153" s="6" t="str">
        <f>IFERROR(__xludf.DUMMYFUNCTION("""COMPUTED_VALUE"""),"Negative")</f>
        <v>Negative</v>
      </c>
      <c r="G153" s="6">
        <f>IFERROR(__xludf.DUMMYFUNCTION("""COMPUTED_VALUE"""),1.0)</f>
        <v>1</v>
      </c>
    </row>
    <row r="154">
      <c r="A154" s="6" t="str">
        <f>IFERROR(__xludf.DUMMYFUNCTION("""COMPUTED_VALUE"""),"FM3443")</f>
        <v>FM3443</v>
      </c>
      <c r="B154" s="6" t="str">
        <f>IFERROR(__xludf.DUMMYFUNCTION("""COMPUTED_VALUE"""),"RUN-COMB_2022-04-05_RFR-010")</f>
        <v>RUN-COMB_2022-04-05_RFR-010</v>
      </c>
      <c r="C154" s="7">
        <f>VLOOKUP(B154,'Run Reconcile'!A$2:B3090,2,FALSE)</f>
        <v>44656</v>
      </c>
      <c r="D154" s="11">
        <f>IFERROR(__xludf.DUMMYFUNCTION("""COMPUTED_VALUE"""),44656.0)</f>
        <v>44656</v>
      </c>
      <c r="E154" s="12">
        <f>IFERROR(__xludf.DUMMYFUNCTION("""COMPUTED_VALUE"""),0.28239583333197515)</f>
        <v>0.2823958333</v>
      </c>
      <c r="F154" s="6" t="str">
        <f>IFERROR(__xludf.DUMMYFUNCTION("""COMPUTED_VALUE"""),"Negative")</f>
        <v>Negative</v>
      </c>
      <c r="G154" s="6">
        <f>IFERROR(__xludf.DUMMYFUNCTION("""COMPUTED_VALUE"""),1.0)</f>
        <v>1</v>
      </c>
    </row>
    <row r="155">
      <c r="A155" s="6" t="str">
        <f>IFERROR(__xludf.DUMMYFUNCTION("""COMPUTED_VALUE"""),"FM3934")</f>
        <v>FM3934</v>
      </c>
      <c r="B155" s="6" t="str">
        <f>IFERROR(__xludf.DUMMYFUNCTION("""COMPUTED_VALUE"""),"RUN-COMB_2022-04-05_RFR-010")</f>
        <v>RUN-COMB_2022-04-05_RFR-010</v>
      </c>
      <c r="C155" s="7">
        <f>VLOOKUP(B155,'Run Reconcile'!A$2:B3090,2,FALSE)</f>
        <v>44656</v>
      </c>
      <c r="D155" s="11">
        <f>IFERROR(__xludf.DUMMYFUNCTION("""COMPUTED_VALUE"""),44656.0)</f>
        <v>44656</v>
      </c>
      <c r="E155" s="12">
        <f>IFERROR(__xludf.DUMMYFUNCTION("""COMPUTED_VALUE"""),0.28298611110949423)</f>
        <v>0.2829861111</v>
      </c>
      <c r="F155" s="6" t="str">
        <f>IFERROR(__xludf.DUMMYFUNCTION("""COMPUTED_VALUE"""),"Negative")</f>
        <v>Negative</v>
      </c>
      <c r="G155" s="6">
        <f>IFERROR(__xludf.DUMMYFUNCTION("""COMPUTED_VALUE"""),1.0)</f>
        <v>1</v>
      </c>
    </row>
    <row r="156">
      <c r="A156" s="6" t="str">
        <f>IFERROR(__xludf.DUMMYFUNCTION("""COMPUTED_VALUE"""),"FM3672")</f>
        <v>FM3672</v>
      </c>
      <c r="B156" s="6" t="str">
        <f>IFERROR(__xludf.DUMMYFUNCTION("""COMPUTED_VALUE"""),"RUN-COMB_2022-04-05_RFR-010")</f>
        <v>RUN-COMB_2022-04-05_RFR-010</v>
      </c>
      <c r="C156" s="7">
        <f>VLOOKUP(B156,'Run Reconcile'!A$2:B3090,2,FALSE)</f>
        <v>44656</v>
      </c>
      <c r="D156" s="11">
        <f>IFERROR(__xludf.DUMMYFUNCTION("""COMPUTED_VALUE"""),44656.0)</f>
        <v>44656</v>
      </c>
      <c r="E156" s="12">
        <f>IFERROR(__xludf.DUMMYFUNCTION("""COMPUTED_VALUE"""),0.2837152777792653)</f>
        <v>0.2837152778</v>
      </c>
      <c r="F156" s="6" t="str">
        <f>IFERROR(__xludf.DUMMYFUNCTION("""COMPUTED_VALUE"""),"Negative")</f>
        <v>Negative</v>
      </c>
      <c r="G156" s="6">
        <f>IFERROR(__xludf.DUMMYFUNCTION("""COMPUTED_VALUE"""),1.0)</f>
        <v>1</v>
      </c>
    </row>
    <row r="157">
      <c r="A157" s="6" t="str">
        <f>IFERROR(__xludf.DUMMYFUNCTION("""COMPUTED_VALUE"""),"FM3920")</f>
        <v>FM3920</v>
      </c>
      <c r="B157" s="6" t="str">
        <f>IFERROR(__xludf.DUMMYFUNCTION("""COMPUTED_VALUE"""),"RUN-COMB_2022-04-05_RFR-010")</f>
        <v>RUN-COMB_2022-04-05_RFR-010</v>
      </c>
      <c r="C157" s="7">
        <f>VLOOKUP(B157,'Run Reconcile'!A$2:B3090,2,FALSE)</f>
        <v>44656</v>
      </c>
      <c r="D157" s="11">
        <f>IFERROR(__xludf.DUMMYFUNCTION("""COMPUTED_VALUE"""),44656.0)</f>
        <v>44656</v>
      </c>
      <c r="E157" s="12">
        <f>IFERROR(__xludf.DUMMYFUNCTION("""COMPUTED_VALUE"""),0.28424768518380006)</f>
        <v>0.2842476852</v>
      </c>
      <c r="F157" s="6" t="str">
        <f>IFERROR(__xludf.DUMMYFUNCTION("""COMPUTED_VALUE"""),"Negative")</f>
        <v>Negative</v>
      </c>
      <c r="G157" s="6">
        <f>IFERROR(__xludf.DUMMYFUNCTION("""COMPUTED_VALUE"""),1.0)</f>
        <v>1</v>
      </c>
    </row>
    <row r="158">
      <c r="A158" s="6" t="str">
        <f>IFERROR(__xludf.DUMMYFUNCTION("""COMPUTED_VALUE"""),"FM4009")</f>
        <v>FM4009</v>
      </c>
      <c r="B158" s="6" t="str">
        <f>IFERROR(__xludf.DUMMYFUNCTION("""COMPUTED_VALUE"""),"RUN-COMB_2022-04-05_RFR-010")</f>
        <v>RUN-COMB_2022-04-05_RFR-010</v>
      </c>
      <c r="C158" s="7">
        <f>VLOOKUP(B158,'Run Reconcile'!A$2:B3090,2,FALSE)</f>
        <v>44656</v>
      </c>
      <c r="D158" s="11">
        <f>IFERROR(__xludf.DUMMYFUNCTION("""COMPUTED_VALUE"""),44656.0)</f>
        <v>44656</v>
      </c>
      <c r="E158" s="12">
        <f>IFERROR(__xludf.DUMMYFUNCTION("""COMPUTED_VALUE"""),0.2853125000001455)</f>
        <v>0.2853125</v>
      </c>
      <c r="F158" s="6" t="str">
        <f>IFERROR(__xludf.DUMMYFUNCTION("""COMPUTED_VALUE"""),"Negative")</f>
        <v>Negative</v>
      </c>
      <c r="G158" s="6">
        <f>IFERROR(__xludf.DUMMYFUNCTION("""COMPUTED_VALUE"""),1.0)</f>
        <v>1</v>
      </c>
    </row>
    <row r="159">
      <c r="A159" s="6" t="str">
        <f>IFERROR(__xludf.DUMMYFUNCTION("""COMPUTED_VALUE"""),"MA158")</f>
        <v>MA158</v>
      </c>
      <c r="B159" s="6" t="str">
        <f>IFERROR(__xludf.DUMMYFUNCTION("""COMPUTED_VALUE"""),"RUN-COMB_2022-04-05_RFR-010")</f>
        <v>RUN-COMB_2022-04-05_RFR-010</v>
      </c>
      <c r="C159" s="7">
        <f>VLOOKUP(B159,'Run Reconcile'!A$2:B3090,2,FALSE)</f>
        <v>44656</v>
      </c>
      <c r="D159" s="11">
        <f>IFERROR(__xludf.DUMMYFUNCTION("""COMPUTED_VALUE"""),44656.0)</f>
        <v>44656</v>
      </c>
      <c r="E159" s="12">
        <f>IFERROR(__xludf.DUMMYFUNCTION("""COMPUTED_VALUE"""),0.28587962963138125)</f>
        <v>0.2858796296</v>
      </c>
      <c r="F159" s="6" t="str">
        <f>IFERROR(__xludf.DUMMYFUNCTION("""COMPUTED_VALUE"""),"Negative")</f>
        <v>Negative</v>
      </c>
      <c r="G159" s="6">
        <f>IFERROR(__xludf.DUMMYFUNCTION("""COMPUTED_VALUE"""),1.0)</f>
        <v>1</v>
      </c>
    </row>
    <row r="160">
      <c r="A160" s="6" t="str">
        <f>IFERROR(__xludf.DUMMYFUNCTION("""COMPUTED_VALUE"""),"FM3921")</f>
        <v>FM3921</v>
      </c>
      <c r="B160" s="6" t="str">
        <f>IFERROR(__xludf.DUMMYFUNCTION("""COMPUTED_VALUE"""),"RUN-COMB_2022-04-05_RFR-010")</f>
        <v>RUN-COMB_2022-04-05_RFR-010</v>
      </c>
      <c r="C160" s="7">
        <f>VLOOKUP(B160,'Run Reconcile'!A$2:B3090,2,FALSE)</f>
        <v>44656</v>
      </c>
      <c r="D160" s="11">
        <f>IFERROR(__xludf.DUMMYFUNCTION("""COMPUTED_VALUE"""),44656.0)</f>
        <v>44656</v>
      </c>
      <c r="E160" s="12">
        <f>IFERROR(__xludf.DUMMYFUNCTION("""COMPUTED_VALUE"""),0.286377314816491)</f>
        <v>0.2863773148</v>
      </c>
      <c r="F160" s="6" t="str">
        <f>IFERROR(__xludf.DUMMYFUNCTION("""COMPUTED_VALUE"""),"Negative")</f>
        <v>Negative</v>
      </c>
      <c r="G160" s="6">
        <f>IFERROR(__xludf.DUMMYFUNCTION("""COMPUTED_VALUE"""),1.0)</f>
        <v>1</v>
      </c>
    </row>
    <row r="161">
      <c r="A161" s="6" t="str">
        <f>IFERROR(__xludf.DUMMYFUNCTION("""COMPUTED_VALUE"""),"FM3912")</f>
        <v>FM3912</v>
      </c>
      <c r="B161" s="6" t="str">
        <f>IFERROR(__xludf.DUMMYFUNCTION("""COMPUTED_VALUE"""),"RUN-COMB_2022-04-05_RFR-010")</f>
        <v>RUN-COMB_2022-04-05_RFR-010</v>
      </c>
      <c r="C161" s="7">
        <f>VLOOKUP(B161,'Run Reconcile'!A$2:B3090,2,FALSE)</f>
        <v>44656</v>
      </c>
      <c r="D161" s="11">
        <f>IFERROR(__xludf.DUMMYFUNCTION("""COMPUTED_VALUE"""),44656.0)</f>
        <v>44656</v>
      </c>
      <c r="E161" s="12">
        <f>IFERROR(__xludf.DUMMYFUNCTION("""COMPUTED_VALUE"""),0.28697916666715173)</f>
        <v>0.2869791667</v>
      </c>
      <c r="F161" s="6" t="str">
        <f>IFERROR(__xludf.DUMMYFUNCTION("""COMPUTED_VALUE"""),"Negative")</f>
        <v>Negative</v>
      </c>
      <c r="G161" s="6">
        <f>IFERROR(__xludf.DUMMYFUNCTION("""COMPUTED_VALUE"""),1.0)</f>
        <v>1</v>
      </c>
    </row>
    <row r="162">
      <c r="A162" s="6" t="str">
        <f>IFERROR(__xludf.DUMMYFUNCTION("""COMPUTED_VALUE"""),"FM3671")</f>
        <v>FM3671</v>
      </c>
      <c r="B162" s="6" t="str">
        <f>IFERROR(__xludf.DUMMYFUNCTION("""COMPUTED_VALUE"""),"RUN-COMB_2022-04-05_RFR-010")</f>
        <v>RUN-COMB_2022-04-05_RFR-010</v>
      </c>
      <c r="C162" s="7">
        <f>VLOOKUP(B162,'Run Reconcile'!A$2:B3090,2,FALSE)</f>
        <v>44656</v>
      </c>
      <c r="D162" s="11">
        <f>IFERROR(__xludf.DUMMYFUNCTION("""COMPUTED_VALUE"""),44656.0)</f>
        <v>44656</v>
      </c>
      <c r="E162" s="12">
        <f>IFERROR(__xludf.DUMMYFUNCTION("""COMPUTED_VALUE"""),0.2944444444437977)</f>
        <v>0.2944444444</v>
      </c>
      <c r="F162" s="6" t="str">
        <f>IFERROR(__xludf.DUMMYFUNCTION("""COMPUTED_VALUE"""),"Negative")</f>
        <v>Negative</v>
      </c>
      <c r="G162" s="6">
        <f>IFERROR(__xludf.DUMMYFUNCTION("""COMPUTED_VALUE"""),1.0)</f>
        <v>1</v>
      </c>
    </row>
    <row r="163">
      <c r="A163" s="6" t="str">
        <f>IFERROR(__xludf.DUMMYFUNCTION("""COMPUTED_VALUE"""),"FM3402")</f>
        <v>FM3402</v>
      </c>
      <c r="B163" s="6" t="str">
        <f>IFERROR(__xludf.DUMMYFUNCTION("""COMPUTED_VALUE"""),"RUN-COMB_2022-04-05_RFR-010")</f>
        <v>RUN-COMB_2022-04-05_RFR-010</v>
      </c>
      <c r="C163" s="7">
        <f>VLOOKUP(B163,'Run Reconcile'!A$2:B3090,2,FALSE)</f>
        <v>44656</v>
      </c>
      <c r="D163" s="11">
        <f>IFERROR(__xludf.DUMMYFUNCTION("""COMPUTED_VALUE"""),44656.0)</f>
        <v>44656</v>
      </c>
      <c r="E163" s="12">
        <f>IFERROR(__xludf.DUMMYFUNCTION("""COMPUTED_VALUE"""),0.29493055555576575)</f>
        <v>0.2949305556</v>
      </c>
      <c r="F163" s="6" t="str">
        <f>IFERROR(__xludf.DUMMYFUNCTION("""COMPUTED_VALUE"""),"Negative")</f>
        <v>Negative</v>
      </c>
      <c r="G163" s="6">
        <f>IFERROR(__xludf.DUMMYFUNCTION("""COMPUTED_VALUE"""),1.0)</f>
        <v>1</v>
      </c>
    </row>
    <row r="164">
      <c r="A164" s="6" t="str">
        <f>IFERROR(__xludf.DUMMYFUNCTION("""COMPUTED_VALUE"""),"FM3911")</f>
        <v>FM3911</v>
      </c>
      <c r="B164" s="6" t="str">
        <f>IFERROR(__xludf.DUMMYFUNCTION("""COMPUTED_VALUE"""),"RUN-COMB_2022-04-05_RFR-010")</f>
        <v>RUN-COMB_2022-04-05_RFR-010</v>
      </c>
      <c r="C164" s="7">
        <f>VLOOKUP(B164,'Run Reconcile'!A$2:B3090,2,FALSE)</f>
        <v>44656</v>
      </c>
      <c r="D164" s="11">
        <f>IFERROR(__xludf.DUMMYFUNCTION("""COMPUTED_VALUE"""),44656.0)</f>
        <v>44656</v>
      </c>
      <c r="E164" s="12">
        <f>IFERROR(__xludf.DUMMYFUNCTION("""COMPUTED_VALUE"""),0.3059953703705105)</f>
        <v>0.3059953704</v>
      </c>
      <c r="F164" s="6" t="str">
        <f>IFERROR(__xludf.DUMMYFUNCTION("""COMPUTED_VALUE"""),"Negative")</f>
        <v>Negative</v>
      </c>
      <c r="G164" s="6">
        <f>IFERROR(__xludf.DUMMYFUNCTION("""COMPUTED_VALUE"""),1.0)</f>
        <v>1</v>
      </c>
    </row>
    <row r="165">
      <c r="A165" s="6" t="str">
        <f>IFERROR(__xludf.DUMMYFUNCTION("""COMPUTED_VALUE"""),"MA85")</f>
        <v>MA85</v>
      </c>
      <c r="B165" s="6" t="str">
        <f>IFERROR(__xludf.DUMMYFUNCTION("""COMPUTED_VALUE"""),"RUN-COMB_2022-04-06_RFR-011")</f>
        <v>RUN-COMB_2022-04-06_RFR-011</v>
      </c>
      <c r="C165" s="7">
        <f>VLOOKUP(B165,'Run Reconcile'!A$2:B3090,2,FALSE)</f>
        <v>44657</v>
      </c>
      <c r="D165" s="11">
        <f>IFERROR(__xludf.DUMMYFUNCTION("""COMPUTED_VALUE"""),44657.0)</f>
        <v>44657</v>
      </c>
      <c r="E165" s="12">
        <f>IFERROR(__xludf.DUMMYFUNCTION("""COMPUTED_VALUE"""),0.3190277777794108)</f>
        <v>0.3190277778</v>
      </c>
      <c r="F165" s="6" t="str">
        <f>IFERROR(__xludf.DUMMYFUNCTION("""COMPUTED_VALUE"""),"Negative")</f>
        <v>Negative</v>
      </c>
      <c r="G165" s="6">
        <f>IFERROR(__xludf.DUMMYFUNCTION("""COMPUTED_VALUE"""),1.0)</f>
        <v>1</v>
      </c>
    </row>
    <row r="166">
      <c r="A166" s="6" t="str">
        <f>IFERROR(__xludf.DUMMYFUNCTION("""COMPUTED_VALUE"""),"FM3991")</f>
        <v>FM3991</v>
      </c>
      <c r="B166" s="6" t="str">
        <f>IFERROR(__xludf.DUMMYFUNCTION("""COMPUTED_VALUE"""),"RUN-COMB_2022-04-06_RFR-011")</f>
        <v>RUN-COMB_2022-04-06_RFR-011</v>
      </c>
      <c r="C166" s="7">
        <f>VLOOKUP(B166,'Run Reconcile'!A$2:B3090,2,FALSE)</f>
        <v>44657</v>
      </c>
      <c r="D166" s="11">
        <f>IFERROR(__xludf.DUMMYFUNCTION("""COMPUTED_VALUE"""),44657.0)</f>
        <v>44657</v>
      </c>
      <c r="E166" s="12">
        <f>IFERROR(__xludf.DUMMYFUNCTION("""COMPUTED_VALUE"""),0.320451388888614)</f>
        <v>0.3204513889</v>
      </c>
      <c r="F166" s="6" t="str">
        <f>IFERROR(__xludf.DUMMYFUNCTION("""COMPUTED_VALUE"""),"Negative")</f>
        <v>Negative</v>
      </c>
      <c r="G166" s="6">
        <f>IFERROR(__xludf.DUMMYFUNCTION("""COMPUTED_VALUE"""),1.0)</f>
        <v>1</v>
      </c>
    </row>
    <row r="167">
      <c r="A167" s="6" t="str">
        <f>IFERROR(__xludf.DUMMYFUNCTION("""COMPUTED_VALUE"""),"FM3403")</f>
        <v>FM3403</v>
      </c>
      <c r="B167" s="6" t="str">
        <f>IFERROR(__xludf.DUMMYFUNCTION("""COMPUTED_VALUE"""),"RUN-COMB_2022-04-06_RFR-011")</f>
        <v>RUN-COMB_2022-04-06_RFR-011</v>
      </c>
      <c r="C167" s="7">
        <f>VLOOKUP(B167,'Run Reconcile'!A$2:B3090,2,FALSE)</f>
        <v>44657</v>
      </c>
      <c r="D167" s="11">
        <f>IFERROR(__xludf.DUMMYFUNCTION("""COMPUTED_VALUE"""),44657.0)</f>
        <v>44657</v>
      </c>
      <c r="E167" s="12">
        <f>IFERROR(__xludf.DUMMYFUNCTION("""COMPUTED_VALUE"""),0.3211805555547471)</f>
        <v>0.3211805556</v>
      </c>
      <c r="F167" s="6" t="str">
        <f>IFERROR(__xludf.DUMMYFUNCTION("""COMPUTED_VALUE"""),"Negative")</f>
        <v>Negative</v>
      </c>
      <c r="G167" s="6">
        <f>IFERROR(__xludf.DUMMYFUNCTION("""COMPUTED_VALUE"""),1.0)</f>
        <v>1</v>
      </c>
    </row>
    <row r="168">
      <c r="A168" s="6" t="str">
        <f>IFERROR(__xludf.DUMMYFUNCTION("""COMPUTED_VALUE"""),"FM4012")</f>
        <v>FM4012</v>
      </c>
      <c r="B168" s="6" t="str">
        <f>IFERROR(__xludf.DUMMYFUNCTION("""COMPUTED_VALUE"""),"RUN-COMB_2022-04-06_RFR-011")</f>
        <v>RUN-COMB_2022-04-06_RFR-011</v>
      </c>
      <c r="C168" s="7">
        <f>VLOOKUP(B168,'Run Reconcile'!A$2:B3090,2,FALSE)</f>
        <v>44657</v>
      </c>
      <c r="D168" s="11">
        <f>IFERROR(__xludf.DUMMYFUNCTION("""COMPUTED_VALUE"""),44657.0)</f>
        <v>44657</v>
      </c>
      <c r="E168" s="12">
        <f>IFERROR(__xludf.DUMMYFUNCTION("""COMPUTED_VALUE"""),0.32173611111284117)</f>
        <v>0.3217361111</v>
      </c>
      <c r="F168" s="6" t="str">
        <f>IFERROR(__xludf.DUMMYFUNCTION("""COMPUTED_VALUE"""),"Negative")</f>
        <v>Negative</v>
      </c>
      <c r="G168" s="6">
        <f>IFERROR(__xludf.DUMMYFUNCTION("""COMPUTED_VALUE"""),1.0)</f>
        <v>1</v>
      </c>
    </row>
    <row r="169">
      <c r="A169" s="6" t="str">
        <f>IFERROR(__xludf.DUMMYFUNCTION("""COMPUTED_VALUE"""),"FM4017")</f>
        <v>FM4017</v>
      </c>
      <c r="B169" s="6" t="str">
        <f>IFERROR(__xludf.DUMMYFUNCTION("""COMPUTED_VALUE"""),"RUN-COMB_2022-04-06_RFR-011")</f>
        <v>RUN-COMB_2022-04-06_RFR-011</v>
      </c>
      <c r="C169" s="7">
        <f>VLOOKUP(B169,'Run Reconcile'!A$2:B3090,2,FALSE)</f>
        <v>44657</v>
      </c>
      <c r="D169" s="11">
        <f>IFERROR(__xludf.DUMMYFUNCTION("""COMPUTED_VALUE"""),44657.0)</f>
        <v>44657</v>
      </c>
      <c r="E169" s="12">
        <f>IFERROR(__xludf.DUMMYFUNCTION("""COMPUTED_VALUE"""),0.32327546296437504)</f>
        <v>0.323275463</v>
      </c>
      <c r="F169" s="6" t="str">
        <f>IFERROR(__xludf.DUMMYFUNCTION("""COMPUTED_VALUE"""),"Negative")</f>
        <v>Negative</v>
      </c>
      <c r="G169" s="6">
        <f>IFERROR(__xludf.DUMMYFUNCTION("""COMPUTED_VALUE"""),1.0)</f>
        <v>1</v>
      </c>
    </row>
    <row r="170">
      <c r="A170" s="6" t="str">
        <f>IFERROR(__xludf.DUMMYFUNCTION("""COMPUTED_VALUE"""),"FM4020")</f>
        <v>FM4020</v>
      </c>
      <c r="B170" s="6" t="str">
        <f>IFERROR(__xludf.DUMMYFUNCTION("""COMPUTED_VALUE"""),"RUN-COMB_2022-04-06_RFR-011")</f>
        <v>RUN-COMB_2022-04-06_RFR-011</v>
      </c>
      <c r="C170" s="7">
        <f>VLOOKUP(B170,'Run Reconcile'!A$2:B3090,2,FALSE)</f>
        <v>44657</v>
      </c>
      <c r="D170" s="11">
        <f>IFERROR(__xludf.DUMMYFUNCTION("""COMPUTED_VALUE"""),44657.0)</f>
        <v>44657</v>
      </c>
      <c r="E170" s="12">
        <f>IFERROR(__xludf.DUMMYFUNCTION("""COMPUTED_VALUE"""),0.3238310185188311)</f>
        <v>0.3238310185</v>
      </c>
      <c r="F170" s="6" t="str">
        <f>IFERROR(__xludf.DUMMYFUNCTION("""COMPUTED_VALUE"""),"Negative")</f>
        <v>Negative</v>
      </c>
      <c r="G170" s="6">
        <f>IFERROR(__xludf.DUMMYFUNCTION("""COMPUTED_VALUE"""),1.0)</f>
        <v>1</v>
      </c>
    </row>
    <row r="171">
      <c r="A171" s="6" t="str">
        <f>IFERROR(__xludf.DUMMYFUNCTION("""COMPUTED_VALUE"""),"FM4013")</f>
        <v>FM4013</v>
      </c>
      <c r="B171" s="6" t="str">
        <f>IFERROR(__xludf.DUMMYFUNCTION("""COMPUTED_VALUE"""),"RUN-COMB_2022-04-06_RFR-011")</f>
        <v>RUN-COMB_2022-04-06_RFR-011</v>
      </c>
      <c r="C171" s="7">
        <f>VLOOKUP(B171,'Run Reconcile'!A$2:B3090,2,FALSE)</f>
        <v>44657</v>
      </c>
      <c r="D171" s="11">
        <f>IFERROR(__xludf.DUMMYFUNCTION("""COMPUTED_VALUE"""),44657.0)</f>
        <v>44657</v>
      </c>
      <c r="E171" s="12">
        <f>IFERROR(__xludf.DUMMYFUNCTION("""COMPUTED_VALUE"""),0.3243865740732872)</f>
        <v>0.3243865741</v>
      </c>
      <c r="F171" s="6" t="str">
        <f>IFERROR(__xludf.DUMMYFUNCTION("""COMPUTED_VALUE"""),"Negative")</f>
        <v>Negative</v>
      </c>
      <c r="G171" s="6">
        <f>IFERROR(__xludf.DUMMYFUNCTION("""COMPUTED_VALUE"""),1.0)</f>
        <v>1</v>
      </c>
    </row>
    <row r="172">
      <c r="A172" s="6" t="str">
        <f>IFERROR(__xludf.DUMMYFUNCTION("""COMPUTED_VALUE"""),"MA154")</f>
        <v>MA154</v>
      </c>
      <c r="B172" s="6" t="str">
        <f>IFERROR(__xludf.DUMMYFUNCTION("""COMPUTED_VALUE"""),"RUN-COMB_2022-04-06_RFR-011")</f>
        <v>RUN-COMB_2022-04-06_RFR-011</v>
      </c>
      <c r="C172" s="7">
        <f>VLOOKUP(B172,'Run Reconcile'!A$2:B3090,2,FALSE)</f>
        <v>44657</v>
      </c>
      <c r="D172" s="11">
        <f>IFERROR(__xludf.DUMMYFUNCTION("""COMPUTED_VALUE"""),44657.0)</f>
        <v>44657</v>
      </c>
      <c r="E172" s="12">
        <f>IFERROR(__xludf.DUMMYFUNCTION("""COMPUTED_VALUE"""),0.3249537037045229)</f>
        <v>0.3249537037</v>
      </c>
      <c r="F172" s="6" t="str">
        <f>IFERROR(__xludf.DUMMYFUNCTION("""COMPUTED_VALUE"""),"Negative")</f>
        <v>Negative</v>
      </c>
      <c r="G172" s="6">
        <f>IFERROR(__xludf.DUMMYFUNCTION("""COMPUTED_VALUE"""),1.0)</f>
        <v>1</v>
      </c>
    </row>
    <row r="173">
      <c r="A173" s="6" t="str">
        <f>IFERROR(__xludf.DUMMYFUNCTION("""COMPUTED_VALUE"""),"FM3963")</f>
        <v>FM3963</v>
      </c>
      <c r="B173" s="6" t="str">
        <f>IFERROR(__xludf.DUMMYFUNCTION("""COMPUTED_VALUE"""),"RUN-COMB_2022-04-06_RFR-011")</f>
        <v>RUN-COMB_2022-04-06_RFR-011</v>
      </c>
      <c r="C173" s="7">
        <f>VLOOKUP(B173,'Run Reconcile'!A$2:B3090,2,FALSE)</f>
        <v>44657</v>
      </c>
      <c r="D173" s="11">
        <f>IFERROR(__xludf.DUMMYFUNCTION("""COMPUTED_VALUE"""),44657.0)</f>
        <v>44657</v>
      </c>
      <c r="E173" s="12">
        <f>IFERROR(__xludf.DUMMYFUNCTION("""COMPUTED_VALUE"""),0.32638888889050577)</f>
        <v>0.3263888889</v>
      </c>
      <c r="F173" s="6" t="str">
        <f>IFERROR(__xludf.DUMMYFUNCTION("""COMPUTED_VALUE"""),"Negative")</f>
        <v>Negative</v>
      </c>
      <c r="G173" s="6">
        <f>IFERROR(__xludf.DUMMYFUNCTION("""COMPUTED_VALUE"""),1.0)</f>
        <v>1</v>
      </c>
    </row>
    <row r="174">
      <c r="A174" s="6" t="str">
        <f>IFERROR(__xludf.DUMMYFUNCTION("""COMPUTED_VALUE"""),"FM4001")</f>
        <v>FM4001</v>
      </c>
      <c r="B174" s="6" t="str">
        <f>IFERROR(__xludf.DUMMYFUNCTION("""COMPUTED_VALUE"""),"RUN-COMB_2022-04-06_RFR-011")</f>
        <v>RUN-COMB_2022-04-06_RFR-011</v>
      </c>
      <c r="C174" s="7">
        <f>VLOOKUP(B174,'Run Reconcile'!A$2:B3090,2,FALSE)</f>
        <v>44657</v>
      </c>
      <c r="D174" s="11">
        <f>IFERROR(__xludf.DUMMYFUNCTION("""COMPUTED_VALUE"""),44657.0)</f>
        <v>44657</v>
      </c>
      <c r="E174" s="12">
        <f>IFERROR(__xludf.DUMMYFUNCTION("""COMPUTED_VALUE"""),0.3269328703718202)</f>
        <v>0.3269328704</v>
      </c>
      <c r="F174" s="6" t="str">
        <f>IFERROR(__xludf.DUMMYFUNCTION("""COMPUTED_VALUE"""),"Negative")</f>
        <v>Negative</v>
      </c>
      <c r="G174" s="6">
        <f>IFERROR(__xludf.DUMMYFUNCTION("""COMPUTED_VALUE"""),1.0)</f>
        <v>1</v>
      </c>
    </row>
    <row r="175">
      <c r="A175" s="6" t="str">
        <f>IFERROR(__xludf.DUMMYFUNCTION("""COMPUTED_VALUE"""),"FM3901")</f>
        <v>FM3901</v>
      </c>
      <c r="B175" s="6" t="str">
        <f>IFERROR(__xludf.DUMMYFUNCTION("""COMPUTED_VALUE"""),"RUN-COMB_2022-04-06_RFR-011")</f>
        <v>RUN-COMB_2022-04-06_RFR-011</v>
      </c>
      <c r="C175" s="7">
        <f>VLOOKUP(B175,'Run Reconcile'!A$2:B3090,2,FALSE)</f>
        <v>44657</v>
      </c>
      <c r="D175" s="11">
        <f>IFERROR(__xludf.DUMMYFUNCTION("""COMPUTED_VALUE"""),44657.0)</f>
        <v>44657</v>
      </c>
      <c r="E175" s="12">
        <f>IFERROR(__xludf.DUMMYFUNCTION("""COMPUTED_VALUE"""),0.32759259259182727)</f>
        <v>0.3275925926</v>
      </c>
      <c r="F175" s="6" t="str">
        <f>IFERROR(__xludf.DUMMYFUNCTION("""COMPUTED_VALUE"""),"Negative")</f>
        <v>Negative</v>
      </c>
      <c r="G175" s="6">
        <f>IFERROR(__xludf.DUMMYFUNCTION("""COMPUTED_VALUE"""),1.0)</f>
        <v>1</v>
      </c>
    </row>
    <row r="176">
      <c r="A176" s="6" t="str">
        <f>IFERROR(__xludf.DUMMYFUNCTION("""COMPUTED_VALUE"""),"FM3970")</f>
        <v>FM3970</v>
      </c>
      <c r="B176" s="6" t="str">
        <f>IFERROR(__xludf.DUMMYFUNCTION("""COMPUTED_VALUE"""),"RUN-COMB_2022-04-06_RFR-011")</f>
        <v>RUN-COMB_2022-04-06_RFR-011</v>
      </c>
      <c r="C176" s="7">
        <f>VLOOKUP(B176,'Run Reconcile'!A$2:B3090,2,FALSE)</f>
        <v>44657</v>
      </c>
      <c r="D176" s="11">
        <f>IFERROR(__xludf.DUMMYFUNCTION("""COMPUTED_VALUE"""),44657.0)</f>
        <v>44657</v>
      </c>
      <c r="E176" s="12">
        <f>IFERROR(__xludf.DUMMYFUNCTION("""COMPUTED_VALUE"""),0.32821759259240935)</f>
        <v>0.3282175926</v>
      </c>
      <c r="F176" s="6" t="str">
        <f>IFERROR(__xludf.DUMMYFUNCTION("""COMPUTED_VALUE"""),"Negative")</f>
        <v>Negative</v>
      </c>
      <c r="G176" s="6">
        <f>IFERROR(__xludf.DUMMYFUNCTION("""COMPUTED_VALUE"""),1.0)</f>
        <v>1</v>
      </c>
    </row>
    <row r="177">
      <c r="A177" s="6" t="str">
        <f>IFERROR(__xludf.DUMMYFUNCTION("""COMPUTED_VALUE"""),"FM4018")</f>
        <v>FM4018</v>
      </c>
      <c r="B177" s="6" t="str">
        <f>IFERROR(__xludf.DUMMYFUNCTION("""COMPUTED_VALUE"""),"RUN-COMB_2022-04-06_RFR-011")</f>
        <v>RUN-COMB_2022-04-06_RFR-011</v>
      </c>
      <c r="C177" s="7">
        <f>VLOOKUP(B177,'Run Reconcile'!A$2:B3090,2,FALSE)</f>
        <v>44657</v>
      </c>
      <c r="D177" s="11">
        <f>IFERROR(__xludf.DUMMYFUNCTION("""COMPUTED_VALUE"""),44657.0)</f>
        <v>44657</v>
      </c>
      <c r="E177" s="12">
        <f>IFERROR(__xludf.DUMMYFUNCTION("""COMPUTED_VALUE"""),0.32973379629765986)</f>
        <v>0.3297337963</v>
      </c>
      <c r="F177" s="6" t="str">
        <f>IFERROR(__xludf.DUMMYFUNCTION("""COMPUTED_VALUE"""),"Negative")</f>
        <v>Negative</v>
      </c>
      <c r="G177" s="6">
        <f>IFERROR(__xludf.DUMMYFUNCTION("""COMPUTED_VALUE"""),1.0)</f>
        <v>1</v>
      </c>
    </row>
    <row r="178">
      <c r="A178" s="6" t="str">
        <f>IFERROR(__xludf.DUMMYFUNCTION("""COMPUTED_VALUE"""),"FM3998")</f>
        <v>FM3998</v>
      </c>
      <c r="B178" s="6" t="str">
        <f>IFERROR(__xludf.DUMMYFUNCTION("""COMPUTED_VALUE"""),"RUN-COMB_2022-04-06_RFR-011")</f>
        <v>RUN-COMB_2022-04-06_RFR-011</v>
      </c>
      <c r="C178" s="7">
        <f>VLOOKUP(B178,'Run Reconcile'!A$2:B3090,2,FALSE)</f>
        <v>44657</v>
      </c>
      <c r="D178" s="11">
        <f>IFERROR(__xludf.DUMMYFUNCTION("""COMPUTED_VALUE"""),44657.0)</f>
        <v>44657</v>
      </c>
      <c r="E178" s="12">
        <f>IFERROR(__xludf.DUMMYFUNCTION("""COMPUTED_VALUE"""),0.33027777777897427)</f>
        <v>0.3302777778</v>
      </c>
      <c r="F178" s="6" t="str">
        <f>IFERROR(__xludf.DUMMYFUNCTION("""COMPUTED_VALUE"""),"Negative")</f>
        <v>Negative</v>
      </c>
      <c r="G178" s="6">
        <f>IFERROR(__xludf.DUMMYFUNCTION("""COMPUTED_VALUE"""),1.0)</f>
        <v>1</v>
      </c>
    </row>
    <row r="179">
      <c r="A179" s="6" t="str">
        <f>IFERROR(__xludf.DUMMYFUNCTION("""COMPUTED_VALUE"""),"MA175")</f>
        <v>MA175</v>
      </c>
      <c r="B179" s="6" t="str">
        <f>IFERROR(__xludf.DUMMYFUNCTION("""COMPUTED_VALUE"""),"RUN-COMB_2022-04-06_RFR-011")</f>
        <v>RUN-COMB_2022-04-06_RFR-011</v>
      </c>
      <c r="C179" s="7">
        <f>VLOOKUP(B179,'Run Reconcile'!A$2:B3090,2,FALSE)</f>
        <v>44657</v>
      </c>
      <c r="D179" s="11">
        <f>IFERROR(__xludf.DUMMYFUNCTION("""COMPUTED_VALUE"""),44657.0)</f>
        <v>44657</v>
      </c>
      <c r="E179" s="12">
        <f>IFERROR(__xludf.DUMMYFUNCTION("""COMPUTED_VALUE"""),0.330879629629635)</f>
        <v>0.3308796296</v>
      </c>
      <c r="F179" s="6" t="str">
        <f>IFERROR(__xludf.DUMMYFUNCTION("""COMPUTED_VALUE"""),"Negative")</f>
        <v>Negative</v>
      </c>
      <c r="G179" s="6">
        <f>IFERROR(__xludf.DUMMYFUNCTION("""COMPUTED_VALUE"""),1.0)</f>
        <v>1</v>
      </c>
    </row>
    <row r="180">
      <c r="A180" s="6" t="str">
        <f>IFERROR(__xludf.DUMMYFUNCTION("""COMPUTED_VALUE"""),"FM3416")</f>
        <v>FM3416</v>
      </c>
      <c r="B180" s="6" t="str">
        <f>IFERROR(__xludf.DUMMYFUNCTION("""COMPUTED_VALUE"""),"RUN-COMB_2022-04-06_RFR-011")</f>
        <v>RUN-COMB_2022-04-06_RFR-011</v>
      </c>
      <c r="C180" s="7">
        <f>VLOOKUP(B180,'Run Reconcile'!A$2:B3090,2,FALSE)</f>
        <v>44657</v>
      </c>
      <c r="D180" s="11">
        <f>IFERROR(__xludf.DUMMYFUNCTION("""COMPUTED_VALUE"""),44657.0)</f>
        <v>44657</v>
      </c>
      <c r="E180" s="12">
        <f>IFERROR(__xludf.DUMMYFUNCTION("""COMPUTED_VALUE"""),0.3314583333340124)</f>
        <v>0.3314583333</v>
      </c>
      <c r="F180" s="6" t="str">
        <f>IFERROR(__xludf.DUMMYFUNCTION("""COMPUTED_VALUE"""),"Negative")</f>
        <v>Negative</v>
      </c>
      <c r="G180" s="6">
        <f>IFERROR(__xludf.DUMMYFUNCTION("""COMPUTED_VALUE"""),1.0)</f>
        <v>1</v>
      </c>
    </row>
    <row r="181">
      <c r="A181" s="6" t="str">
        <f>IFERROR(__xludf.DUMMYFUNCTION("""COMPUTED_VALUE"""),"FM3936")</f>
        <v>FM3936</v>
      </c>
      <c r="B181" s="6" t="str">
        <f>IFERROR(__xludf.DUMMYFUNCTION("""COMPUTED_VALUE"""),"RUN-COMB_2022-04-06_RFR-011")</f>
        <v>RUN-COMB_2022-04-06_RFR-011</v>
      </c>
      <c r="C181" s="7">
        <f>VLOOKUP(B181,'Run Reconcile'!A$2:B3090,2,FALSE)</f>
        <v>44657</v>
      </c>
      <c r="D181" s="11">
        <f>IFERROR(__xludf.DUMMYFUNCTION("""COMPUTED_VALUE"""),44657.0)</f>
        <v>44657</v>
      </c>
      <c r="E181" s="12">
        <f>IFERROR(__xludf.DUMMYFUNCTION("""COMPUTED_VALUE"""),0.3321527777770825)</f>
        <v>0.3321527778</v>
      </c>
      <c r="F181" s="6" t="str">
        <f>IFERROR(__xludf.DUMMYFUNCTION("""COMPUTED_VALUE"""),"Negative")</f>
        <v>Negative</v>
      </c>
      <c r="G181" s="6">
        <f>IFERROR(__xludf.DUMMYFUNCTION("""COMPUTED_VALUE"""),1.0)</f>
        <v>1</v>
      </c>
    </row>
    <row r="182">
      <c r="A182" s="6" t="str">
        <f>IFERROR(__xludf.DUMMYFUNCTION("""COMPUTED_VALUE"""),"FM3935")</f>
        <v>FM3935</v>
      </c>
      <c r="B182" s="6" t="str">
        <f>IFERROR(__xludf.DUMMYFUNCTION("""COMPUTED_VALUE"""),"RUN-COMB_2022-04-06_RFR-011")</f>
        <v>RUN-COMB_2022-04-06_RFR-011</v>
      </c>
      <c r="C182" s="7">
        <f>VLOOKUP(B182,'Run Reconcile'!A$2:B3090,2,FALSE)</f>
        <v>44657</v>
      </c>
      <c r="D182" s="11">
        <f>IFERROR(__xludf.DUMMYFUNCTION("""COMPUTED_VALUE"""),44657.0)</f>
        <v>44657</v>
      </c>
      <c r="E182" s="12">
        <f>IFERROR(__xludf.DUMMYFUNCTION("""COMPUTED_VALUE"""),0.33297453703562496)</f>
        <v>0.332974537</v>
      </c>
      <c r="F182" s="6" t="str">
        <f>IFERROR(__xludf.DUMMYFUNCTION("""COMPUTED_VALUE"""),"Negative")</f>
        <v>Negative</v>
      </c>
      <c r="G182" s="6">
        <f>IFERROR(__xludf.DUMMYFUNCTION("""COMPUTED_VALUE"""),1.0)</f>
        <v>1</v>
      </c>
    </row>
    <row r="183">
      <c r="A183" s="6" t="str">
        <f>IFERROR(__xludf.DUMMYFUNCTION("""COMPUTED_VALUE"""),"FM3903")</f>
        <v>FM3903</v>
      </c>
      <c r="B183" s="6" t="str">
        <f>IFERROR(__xludf.DUMMYFUNCTION("""COMPUTED_VALUE"""),"RUN-COMB_2022-04-07_RFR-012")</f>
        <v>RUN-COMB_2022-04-07_RFR-012</v>
      </c>
      <c r="C183" s="7">
        <f>VLOOKUP(B183,'Run Reconcile'!A$2:B3090,2,FALSE)</f>
        <v>44658</v>
      </c>
      <c r="D183" s="11">
        <f>IFERROR(__xludf.DUMMYFUNCTION("""COMPUTED_VALUE"""),44658.0)</f>
        <v>44658</v>
      </c>
      <c r="E183" s="12">
        <f>IFERROR(__xludf.DUMMYFUNCTION("""COMPUTED_VALUE"""),0.3215393518512428)</f>
        <v>0.3215393519</v>
      </c>
      <c r="F183" s="6" t="str">
        <f>IFERROR(__xludf.DUMMYFUNCTION("""COMPUTED_VALUE"""),"Negative")</f>
        <v>Negative</v>
      </c>
      <c r="G183" s="6">
        <f>IFERROR(__xludf.DUMMYFUNCTION("""COMPUTED_VALUE"""),1.0)</f>
        <v>1</v>
      </c>
    </row>
    <row r="184">
      <c r="A184" s="6" t="str">
        <f>IFERROR(__xludf.DUMMYFUNCTION("""COMPUTED_VALUE"""),"MA171")</f>
        <v>MA171</v>
      </c>
      <c r="B184" s="6" t="str">
        <f>IFERROR(__xludf.DUMMYFUNCTION("""COMPUTED_VALUE"""),"RUN-COMB_2022-04-07_RFR-012")</f>
        <v>RUN-COMB_2022-04-07_RFR-012</v>
      </c>
      <c r="C184" s="7">
        <f>VLOOKUP(B184,'Run Reconcile'!A$2:B3090,2,FALSE)</f>
        <v>44658</v>
      </c>
      <c r="D184" s="11">
        <f>IFERROR(__xludf.DUMMYFUNCTION("""COMPUTED_VALUE"""),44658.0)</f>
        <v>44658</v>
      </c>
      <c r="E184" s="12">
        <f>IFERROR(__xludf.DUMMYFUNCTION("""COMPUTED_VALUE"""),0.3217245370360615)</f>
        <v>0.321724537</v>
      </c>
      <c r="F184" s="6" t="str">
        <f>IFERROR(__xludf.DUMMYFUNCTION("""COMPUTED_VALUE"""),"Negative")</f>
        <v>Negative</v>
      </c>
      <c r="G184" s="6">
        <f>IFERROR(__xludf.DUMMYFUNCTION("""COMPUTED_VALUE"""),1.0)</f>
        <v>1</v>
      </c>
    </row>
    <row r="185">
      <c r="A185" s="6" t="str">
        <f>IFERROR(__xludf.DUMMYFUNCTION("""COMPUTED_VALUE"""),"MA136")</f>
        <v>MA136</v>
      </c>
      <c r="B185" s="6" t="str">
        <f>IFERROR(__xludf.DUMMYFUNCTION("""COMPUTED_VALUE"""),"RUN-COMB_2022-04-07_RFR-012")</f>
        <v>RUN-COMB_2022-04-07_RFR-012</v>
      </c>
      <c r="C185" s="7">
        <f>VLOOKUP(B185,'Run Reconcile'!A$2:B3090,2,FALSE)</f>
        <v>44658</v>
      </c>
      <c r="D185" s="11">
        <f>IFERROR(__xludf.DUMMYFUNCTION("""COMPUTED_VALUE"""),44658.0)</f>
        <v>44658</v>
      </c>
      <c r="E185" s="12">
        <f>IFERROR(__xludf.DUMMYFUNCTION("""COMPUTED_VALUE"""),0.32266203703693463)</f>
        <v>0.322662037</v>
      </c>
      <c r="F185" s="6" t="str">
        <f>IFERROR(__xludf.DUMMYFUNCTION("""COMPUTED_VALUE"""),"Negative")</f>
        <v>Negative</v>
      </c>
      <c r="G185" s="6">
        <f>IFERROR(__xludf.DUMMYFUNCTION("""COMPUTED_VALUE"""),1.0)</f>
        <v>1</v>
      </c>
    </row>
    <row r="186">
      <c r="A186" s="6" t="str">
        <f>IFERROR(__xludf.DUMMYFUNCTION("""COMPUTED_VALUE"""),"MA176")</f>
        <v>MA176</v>
      </c>
      <c r="B186" s="6" t="str">
        <f>IFERROR(__xludf.DUMMYFUNCTION("""COMPUTED_VALUE"""),"RUN-COMB_2022-04-07_RFR-012")</f>
        <v>RUN-COMB_2022-04-07_RFR-012</v>
      </c>
      <c r="C186" s="7">
        <f>VLOOKUP(B186,'Run Reconcile'!A$2:B3090,2,FALSE)</f>
        <v>44658</v>
      </c>
      <c r="D186" s="11">
        <f>IFERROR(__xludf.DUMMYFUNCTION("""COMPUTED_VALUE"""),44658.0)</f>
        <v>44658</v>
      </c>
      <c r="E186" s="12">
        <f>IFERROR(__xludf.DUMMYFUNCTION("""COMPUTED_VALUE"""),0.3235069444453984)</f>
        <v>0.3235069444</v>
      </c>
      <c r="F186" s="6" t="str">
        <f>IFERROR(__xludf.DUMMYFUNCTION("""COMPUTED_VALUE"""),"Negative")</f>
        <v>Negative</v>
      </c>
      <c r="G186" s="6">
        <f>IFERROR(__xludf.DUMMYFUNCTION("""COMPUTED_VALUE"""),1.0)</f>
        <v>1</v>
      </c>
    </row>
    <row r="187">
      <c r="A187" s="6" t="str">
        <f>IFERROR(__xludf.DUMMYFUNCTION("""COMPUTED_VALUE"""),"FM4006")</f>
        <v>FM4006</v>
      </c>
      <c r="B187" s="6" t="str">
        <f>IFERROR(__xludf.DUMMYFUNCTION("""COMPUTED_VALUE"""),"RUN-COMB_2022-04-07_RFR-012")</f>
        <v>RUN-COMB_2022-04-07_RFR-012</v>
      </c>
      <c r="C187" s="7">
        <f>VLOOKUP(B187,'Run Reconcile'!A$2:B3090,2,FALSE)</f>
        <v>44658</v>
      </c>
      <c r="D187" s="11">
        <f>IFERROR(__xludf.DUMMYFUNCTION("""COMPUTED_VALUE"""),44658.0)</f>
        <v>44658</v>
      </c>
      <c r="E187" s="12">
        <f>IFERROR(__xludf.DUMMYFUNCTION("""COMPUTED_VALUE"""),0.32407407407299615)</f>
        <v>0.3240740741</v>
      </c>
      <c r="F187" s="6" t="str">
        <f>IFERROR(__xludf.DUMMYFUNCTION("""COMPUTED_VALUE"""),"Negative")</f>
        <v>Negative</v>
      </c>
      <c r="G187" s="6">
        <f>IFERROR(__xludf.DUMMYFUNCTION("""COMPUTED_VALUE"""),1.0)</f>
        <v>1</v>
      </c>
    </row>
    <row r="188">
      <c r="A188" s="6" t="str">
        <f>IFERROR(__xludf.DUMMYFUNCTION("""COMPUTED_VALUE"""),"MA125")</f>
        <v>MA125</v>
      </c>
      <c r="B188" s="6" t="str">
        <f>IFERROR(__xludf.DUMMYFUNCTION("""COMPUTED_VALUE"""),"RUN-COMB_2022-04-07_RFR-012")</f>
        <v>RUN-COMB_2022-04-07_RFR-012</v>
      </c>
      <c r="C188" s="7">
        <f>VLOOKUP(B188,'Run Reconcile'!A$2:B3090,2,FALSE)</f>
        <v>44658</v>
      </c>
      <c r="D188" s="11">
        <f>IFERROR(__xludf.DUMMYFUNCTION("""COMPUTED_VALUE"""),44658.0)</f>
        <v>44658</v>
      </c>
      <c r="E188" s="12">
        <f>IFERROR(__xludf.DUMMYFUNCTION("""COMPUTED_VALUE"""),0.3248611111121136)</f>
        <v>0.3248611111</v>
      </c>
      <c r="F188" s="6" t="str">
        <f>IFERROR(__xludf.DUMMYFUNCTION("""COMPUTED_VALUE"""),"Negative")</f>
        <v>Negative</v>
      </c>
      <c r="G188" s="6">
        <f>IFERROR(__xludf.DUMMYFUNCTION("""COMPUTED_VALUE"""),1.0)</f>
        <v>1</v>
      </c>
    </row>
    <row r="189">
      <c r="A189" s="6" t="str">
        <f>IFERROR(__xludf.DUMMYFUNCTION("""COMPUTED_VALUE"""),"FM3923")</f>
        <v>FM3923</v>
      </c>
      <c r="B189" s="6" t="str">
        <f>IFERROR(__xludf.DUMMYFUNCTION("""COMPUTED_VALUE"""),"RUN-COMB_2022-04-07_RFR-012")</f>
        <v>RUN-COMB_2022-04-07_RFR-012</v>
      </c>
      <c r="C189" s="7">
        <f>VLOOKUP(B189,'Run Reconcile'!A$2:B3090,2,FALSE)</f>
        <v>44658</v>
      </c>
      <c r="D189" s="11">
        <f>IFERROR(__xludf.DUMMYFUNCTION("""COMPUTED_VALUE"""),44658.0)</f>
        <v>44658</v>
      </c>
      <c r="E189" s="12">
        <f>IFERROR(__xludf.DUMMYFUNCTION("""COMPUTED_VALUE"""),0.32524305555489263)</f>
        <v>0.3252430556</v>
      </c>
      <c r="F189" s="6" t="str">
        <f>IFERROR(__xludf.DUMMYFUNCTION("""COMPUTED_VALUE"""),"Negative")</f>
        <v>Negative</v>
      </c>
      <c r="G189" s="6">
        <f>IFERROR(__xludf.DUMMYFUNCTION("""COMPUTED_VALUE"""),1.0)</f>
        <v>1</v>
      </c>
    </row>
    <row r="190">
      <c r="A190" s="6" t="str">
        <f>IFERROR(__xludf.DUMMYFUNCTION("""COMPUTED_VALUE"""),"FM4008")</f>
        <v>FM4008</v>
      </c>
      <c r="B190" s="6" t="str">
        <f>IFERROR(__xludf.DUMMYFUNCTION("""COMPUTED_VALUE"""),"RUN-COMB_2022-04-07_RFR-012")</f>
        <v>RUN-COMB_2022-04-07_RFR-012</v>
      </c>
      <c r="C190" s="7">
        <f>VLOOKUP(B190,'Run Reconcile'!A$2:B3090,2,FALSE)</f>
        <v>44658</v>
      </c>
      <c r="D190" s="11">
        <f>IFERROR(__xludf.DUMMYFUNCTION("""COMPUTED_VALUE"""),44658.0)</f>
        <v>44658</v>
      </c>
      <c r="E190" s="12">
        <f>IFERROR(__xludf.DUMMYFUNCTION("""COMPUTED_VALUE"""),0.3260879629633564)</f>
        <v>0.326087963</v>
      </c>
      <c r="F190" s="6" t="str">
        <f>IFERROR(__xludf.DUMMYFUNCTION("""COMPUTED_VALUE"""),"Negative")</f>
        <v>Negative</v>
      </c>
      <c r="G190" s="6">
        <f>IFERROR(__xludf.DUMMYFUNCTION("""COMPUTED_VALUE"""),1.0)</f>
        <v>1</v>
      </c>
    </row>
    <row r="191">
      <c r="A191" s="6" t="str">
        <f>IFERROR(__xludf.DUMMYFUNCTION("""COMPUTED_VALUE"""),"FM3908")</f>
        <v>FM3908</v>
      </c>
      <c r="B191" s="6" t="str">
        <f>IFERROR(__xludf.DUMMYFUNCTION("""COMPUTED_VALUE"""),"RUN-COMB_2022-04-07_RFR-012")</f>
        <v>RUN-COMB_2022-04-07_RFR-012</v>
      </c>
      <c r="C191" s="7">
        <f>VLOOKUP(B191,'Run Reconcile'!A$2:B3090,2,FALSE)</f>
        <v>44658</v>
      </c>
      <c r="D191" s="11">
        <f>IFERROR(__xludf.DUMMYFUNCTION("""COMPUTED_VALUE"""),44658.0)</f>
        <v>44658</v>
      </c>
      <c r="E191" s="12">
        <f>IFERROR(__xludf.DUMMYFUNCTION("""COMPUTED_VALUE"""),0.32726851851839456)</f>
        <v>0.3272685185</v>
      </c>
      <c r="F191" s="6" t="str">
        <f>IFERROR(__xludf.DUMMYFUNCTION("""COMPUTED_VALUE"""),"Negative")</f>
        <v>Negative</v>
      </c>
      <c r="G191" s="6">
        <f>IFERROR(__xludf.DUMMYFUNCTION("""COMPUTED_VALUE"""),1.0)</f>
        <v>1</v>
      </c>
    </row>
    <row r="192">
      <c r="A192" s="6" t="str">
        <f>IFERROR(__xludf.DUMMYFUNCTION("""COMPUTED_VALUE"""),"FM3933")</f>
        <v>FM3933</v>
      </c>
      <c r="B192" s="6" t="str">
        <f>IFERROR(__xludf.DUMMYFUNCTION("""COMPUTED_VALUE"""),"RUN-COMB_2022-04-07_RFR-012")</f>
        <v>RUN-COMB_2022-04-07_RFR-012</v>
      </c>
      <c r="C192" s="7">
        <f>VLOOKUP(B192,'Run Reconcile'!A$2:B3090,2,FALSE)</f>
        <v>44658</v>
      </c>
      <c r="D192" s="11">
        <f>IFERROR(__xludf.DUMMYFUNCTION("""COMPUTED_VALUE"""),44658.0)</f>
        <v>44658</v>
      </c>
      <c r="E192" s="12">
        <f>IFERROR(__xludf.DUMMYFUNCTION("""COMPUTED_VALUE"""),0.32763888888803194)</f>
        <v>0.3276388889</v>
      </c>
      <c r="F192" s="6" t="str">
        <f>IFERROR(__xludf.DUMMYFUNCTION("""COMPUTED_VALUE"""),"Negative")</f>
        <v>Negative</v>
      </c>
      <c r="G192" s="6">
        <f>IFERROR(__xludf.DUMMYFUNCTION("""COMPUTED_VALUE"""),1.0)</f>
        <v>1</v>
      </c>
    </row>
    <row r="193">
      <c r="A193" s="6" t="str">
        <f>IFERROR(__xludf.DUMMYFUNCTION("""COMPUTED_VALUE"""),"FM3931")</f>
        <v>FM3931</v>
      </c>
      <c r="B193" s="6" t="str">
        <f>IFERROR(__xludf.DUMMYFUNCTION("""COMPUTED_VALUE"""),"RUN-COMB_2022-04-07_RFR-012")</f>
        <v>RUN-COMB_2022-04-07_RFR-012</v>
      </c>
      <c r="C193" s="7">
        <f>VLOOKUP(B193,'Run Reconcile'!A$2:B3090,2,FALSE)</f>
        <v>44658</v>
      </c>
      <c r="D193" s="11">
        <f>IFERROR(__xludf.DUMMYFUNCTION("""COMPUTED_VALUE"""),44658.0)</f>
        <v>44658</v>
      </c>
      <c r="E193" s="12">
        <f>IFERROR(__xludf.DUMMYFUNCTION("""COMPUTED_VALUE"""),0.3279745370382443)</f>
        <v>0.327974537</v>
      </c>
      <c r="F193" s="6" t="str">
        <f>IFERROR(__xludf.DUMMYFUNCTION("""COMPUTED_VALUE"""),"Negative")</f>
        <v>Negative</v>
      </c>
      <c r="G193" s="6">
        <f>IFERROR(__xludf.DUMMYFUNCTION("""COMPUTED_VALUE"""),1.0)</f>
        <v>1</v>
      </c>
    </row>
    <row r="194">
      <c r="A194" s="6" t="str">
        <f>IFERROR(__xludf.DUMMYFUNCTION("""COMPUTED_VALUE"""),"FM3918")</f>
        <v>FM3918</v>
      </c>
      <c r="B194" s="6" t="str">
        <f>IFERROR(__xludf.DUMMYFUNCTION("""COMPUTED_VALUE"""),"RUN-COMB_2022-04-07_RFR-012")</f>
        <v>RUN-COMB_2022-04-07_RFR-012</v>
      </c>
      <c r="C194" s="7">
        <f>VLOOKUP(B194,'Run Reconcile'!A$2:B3090,2,FALSE)</f>
        <v>44658</v>
      </c>
      <c r="D194" s="11">
        <f>IFERROR(__xludf.DUMMYFUNCTION("""COMPUTED_VALUE"""),44658.0)</f>
        <v>44658</v>
      </c>
      <c r="E194" s="12">
        <f>IFERROR(__xludf.DUMMYFUNCTION("""COMPUTED_VALUE"""),0.3300462962979509)</f>
        <v>0.3300462963</v>
      </c>
      <c r="F194" s="6" t="str">
        <f>IFERROR(__xludf.DUMMYFUNCTION("""COMPUTED_VALUE"""),"Negative")</f>
        <v>Negative</v>
      </c>
      <c r="G194" s="6">
        <f>IFERROR(__xludf.DUMMYFUNCTION("""COMPUTED_VALUE"""),1.0)</f>
        <v>1</v>
      </c>
    </row>
    <row r="195">
      <c r="A195" s="6" t="str">
        <f>IFERROR(__xludf.DUMMYFUNCTION("""COMPUTED_VALUE"""),"FM4010")</f>
        <v>FM4010</v>
      </c>
      <c r="B195" s="6" t="str">
        <f>IFERROR(__xludf.DUMMYFUNCTION("""COMPUTED_VALUE"""),"RUN-COMB_2022-04-07_RFR-012")</f>
        <v>RUN-COMB_2022-04-07_RFR-012</v>
      </c>
      <c r="C195" s="7">
        <f>VLOOKUP(B195,'Run Reconcile'!A$2:B3090,2,FALSE)</f>
        <v>44658</v>
      </c>
      <c r="D195" s="11">
        <f>IFERROR(__xludf.DUMMYFUNCTION("""COMPUTED_VALUE"""),44658.0)</f>
        <v>44658</v>
      </c>
      <c r="E195" s="12">
        <f>IFERROR(__xludf.DUMMYFUNCTION("""COMPUTED_VALUE"""),0.33115740740686306)</f>
        <v>0.3311574074</v>
      </c>
      <c r="F195" s="6" t="str">
        <f>IFERROR(__xludf.DUMMYFUNCTION("""COMPUTED_VALUE"""),"Negative")</f>
        <v>Negative</v>
      </c>
      <c r="G195" s="6">
        <f>IFERROR(__xludf.DUMMYFUNCTION("""COMPUTED_VALUE"""),1.0)</f>
        <v>1</v>
      </c>
    </row>
    <row r="196">
      <c r="A196" s="6" t="str">
        <f>IFERROR(__xludf.DUMMYFUNCTION("""COMPUTED_VALUE"""),"FM3421")</f>
        <v>FM3421</v>
      </c>
      <c r="B196" s="6" t="str">
        <f>IFERROR(__xludf.DUMMYFUNCTION("""COMPUTED_VALUE"""),"RUN-COMB_2022-04-07_RFR-012")</f>
        <v>RUN-COMB_2022-04-07_RFR-012</v>
      </c>
      <c r="C196" s="7">
        <f>VLOOKUP(B196,'Run Reconcile'!A$2:B3090,2,FALSE)</f>
        <v>44658</v>
      </c>
      <c r="D196" s="11">
        <f>IFERROR(__xludf.DUMMYFUNCTION("""COMPUTED_VALUE"""),44658.0)</f>
        <v>44658</v>
      </c>
      <c r="E196" s="12">
        <f>IFERROR(__xludf.DUMMYFUNCTION("""COMPUTED_VALUE"""),0.33224537036949187)</f>
        <v>0.3322453704</v>
      </c>
      <c r="F196" s="6" t="str">
        <f>IFERROR(__xludf.DUMMYFUNCTION("""COMPUTED_VALUE"""),"Negative")</f>
        <v>Negative</v>
      </c>
      <c r="G196" s="6">
        <f>IFERROR(__xludf.DUMMYFUNCTION("""COMPUTED_VALUE"""),1.0)</f>
        <v>1</v>
      </c>
    </row>
    <row r="197">
      <c r="A197" s="6" t="str">
        <f>IFERROR(__xludf.DUMMYFUNCTION("""COMPUTED_VALUE"""),"FM3966")</f>
        <v>FM3966</v>
      </c>
      <c r="B197" s="6" t="str">
        <f>IFERROR(__xludf.DUMMYFUNCTION("""COMPUTED_VALUE"""),"RUN-COMB_2022-04-07_RFR-012")</f>
        <v>RUN-COMB_2022-04-07_RFR-012</v>
      </c>
      <c r="C197" s="7">
        <f>VLOOKUP(B197,'Run Reconcile'!A$2:B3090,2,FALSE)</f>
        <v>44658</v>
      </c>
      <c r="D197" s="11">
        <f>IFERROR(__xludf.DUMMYFUNCTION("""COMPUTED_VALUE"""),44658.0)</f>
        <v>44658</v>
      </c>
      <c r="E197" s="12">
        <f>IFERROR(__xludf.DUMMYFUNCTION("""COMPUTED_VALUE"""),0.3359143518500787)</f>
        <v>0.3359143519</v>
      </c>
      <c r="F197" s="6" t="str">
        <f>IFERROR(__xludf.DUMMYFUNCTION("""COMPUTED_VALUE"""),"Negative")</f>
        <v>Negative</v>
      </c>
      <c r="G197" s="6">
        <f>IFERROR(__xludf.DUMMYFUNCTION("""COMPUTED_VALUE"""),1.0)</f>
        <v>1</v>
      </c>
    </row>
    <row r="198">
      <c r="A198" s="6" t="str">
        <f>IFERROR(__xludf.DUMMYFUNCTION("""COMPUTED_VALUE"""),"FM3962")</f>
        <v>FM3962</v>
      </c>
      <c r="B198" s="6" t="str">
        <f>IFERROR(__xludf.DUMMYFUNCTION("""COMPUTED_VALUE"""),"RUN-COMB_2022-04-07_RFR-012")</f>
        <v>RUN-COMB_2022-04-07_RFR-012</v>
      </c>
      <c r="C198" s="7">
        <f>VLOOKUP(B198,'Run Reconcile'!A$2:B3090,2,FALSE)</f>
        <v>44658</v>
      </c>
      <c r="D198" s="11">
        <f>IFERROR(__xludf.DUMMYFUNCTION("""COMPUTED_VALUE"""),44658.0)</f>
        <v>44658</v>
      </c>
      <c r="E198" s="12">
        <f>IFERROR(__xludf.DUMMYFUNCTION("""COMPUTED_VALUE"""),0.33631944444277906)</f>
        <v>0.3363194444</v>
      </c>
      <c r="F198" s="6" t="str">
        <f>IFERROR(__xludf.DUMMYFUNCTION("""COMPUTED_VALUE"""),"Negative")</f>
        <v>Negative</v>
      </c>
      <c r="G198" s="6">
        <f>IFERROR(__xludf.DUMMYFUNCTION("""COMPUTED_VALUE"""),1.0)</f>
        <v>1</v>
      </c>
    </row>
    <row r="199">
      <c r="A199" s="6" t="str">
        <f>IFERROR(__xludf.DUMMYFUNCTION("""COMPUTED_VALUE"""),"FM3930")</f>
        <v>FM3930</v>
      </c>
      <c r="B199" s="6" t="str">
        <f>IFERROR(__xludf.DUMMYFUNCTION("""COMPUTED_VALUE"""),"RUN-COMB_2022-04-07_RFR-012")</f>
        <v>RUN-COMB_2022-04-07_RFR-012</v>
      </c>
      <c r="C199" s="7">
        <f>VLOOKUP(B199,'Run Reconcile'!A$2:B3090,2,FALSE)</f>
        <v>44658</v>
      </c>
      <c r="D199" s="11">
        <f>IFERROR(__xludf.DUMMYFUNCTION("""COMPUTED_VALUE"""),44658.0)</f>
        <v>44658</v>
      </c>
      <c r="E199" s="12">
        <f>IFERROR(__xludf.DUMMYFUNCTION("""COMPUTED_VALUE"""),0.33675925925854244)</f>
        <v>0.3367592593</v>
      </c>
      <c r="F199" s="6" t="str">
        <f>IFERROR(__xludf.DUMMYFUNCTION("""COMPUTED_VALUE"""),"Negative")</f>
        <v>Negative</v>
      </c>
      <c r="G199" s="6">
        <f>IFERROR(__xludf.DUMMYFUNCTION("""COMPUTED_VALUE"""),1.0)</f>
        <v>1</v>
      </c>
    </row>
    <row r="200">
      <c r="A200" s="6" t="str">
        <f>IFERROR(__xludf.DUMMYFUNCTION("""COMPUTED_VALUE"""),"FM3924")</f>
        <v>FM3924</v>
      </c>
      <c r="B200" s="6" t="str">
        <f>IFERROR(__xludf.DUMMYFUNCTION("""COMPUTED_VALUE"""),"RUN-COMB_2022-04-07_RFR-012")</f>
        <v>RUN-COMB_2022-04-07_RFR-012</v>
      </c>
      <c r="C200" s="7">
        <f>VLOOKUP(B200,'Run Reconcile'!A$2:B3090,2,FALSE)</f>
        <v>44658</v>
      </c>
      <c r="D200" s="11">
        <f>IFERROR(__xludf.DUMMYFUNCTION("""COMPUTED_VALUE"""),44658.0)</f>
        <v>44658</v>
      </c>
      <c r="E200" s="12">
        <f>IFERROR(__xludf.DUMMYFUNCTION("""COMPUTED_VALUE"""),0.3388425925913907)</f>
        <v>0.3388425926</v>
      </c>
      <c r="F200" s="6" t="str">
        <f>IFERROR(__xludf.DUMMYFUNCTION("""COMPUTED_VALUE"""),"Negative")</f>
        <v>Negative</v>
      </c>
      <c r="G200" s="6">
        <f>IFERROR(__xludf.DUMMYFUNCTION("""COMPUTED_VALUE"""),1.0)</f>
        <v>1</v>
      </c>
    </row>
    <row r="201">
      <c r="A201" s="6" t="str">
        <f>IFERROR(__xludf.DUMMYFUNCTION("""COMPUTED_VALUE"""),"FM3927")</f>
        <v>FM3927</v>
      </c>
      <c r="B201" s="6" t="str">
        <f>IFERROR(__xludf.DUMMYFUNCTION("""COMPUTED_VALUE"""),"RUN-COMB_2022-04-07_RFR-012")</f>
        <v>RUN-COMB_2022-04-07_RFR-012</v>
      </c>
      <c r="C201" s="7">
        <f>VLOOKUP(B201,'Run Reconcile'!A$2:B3090,2,FALSE)</f>
        <v>44658</v>
      </c>
      <c r="D201" s="11">
        <f>IFERROR(__xludf.DUMMYFUNCTION("""COMPUTED_VALUE"""),44658.0)</f>
        <v>44658</v>
      </c>
      <c r="E201" s="12">
        <f>IFERROR(__xludf.DUMMYFUNCTION("""COMPUTED_VALUE"""),0.3392708333340124)</f>
        <v>0.3392708333</v>
      </c>
      <c r="F201" s="6" t="str">
        <f>IFERROR(__xludf.DUMMYFUNCTION("""COMPUTED_VALUE"""),"Negative")</f>
        <v>Negative</v>
      </c>
      <c r="G201" s="6">
        <f>IFERROR(__xludf.DUMMYFUNCTION("""COMPUTED_VALUE"""),1.0)</f>
        <v>1</v>
      </c>
    </row>
    <row r="202">
      <c r="A202" s="6" t="str">
        <f>IFERROR(__xludf.DUMMYFUNCTION("""COMPUTED_VALUE"""),"FM4016")</f>
        <v>FM4016</v>
      </c>
      <c r="B202" s="6" t="str">
        <f>IFERROR(__xludf.DUMMYFUNCTION("""COMPUTED_VALUE"""),"RUN-COMB_2022-04-07_RFR-012")</f>
        <v>RUN-COMB_2022-04-07_RFR-012</v>
      </c>
      <c r="C202" s="7">
        <f>VLOOKUP(B202,'Run Reconcile'!A$2:B3090,2,FALSE)</f>
        <v>44658</v>
      </c>
      <c r="D202" s="11">
        <f>IFERROR(__xludf.DUMMYFUNCTION("""COMPUTED_VALUE"""),44658.0)</f>
        <v>44658</v>
      </c>
      <c r="E202" s="12">
        <f>IFERROR(__xludf.DUMMYFUNCTION("""COMPUTED_VALUE"""),0.3397106481497758)</f>
        <v>0.3397106481</v>
      </c>
      <c r="F202" s="6" t="str">
        <f>IFERROR(__xludf.DUMMYFUNCTION("""COMPUTED_VALUE"""),"Negative")</f>
        <v>Negative</v>
      </c>
      <c r="G202" s="6">
        <f>IFERROR(__xludf.DUMMYFUNCTION("""COMPUTED_VALUE"""),1.0)</f>
        <v>1</v>
      </c>
    </row>
    <row r="203">
      <c r="A203" s="6" t="str">
        <f>IFERROR(__xludf.DUMMYFUNCTION("""COMPUTED_VALUE"""),"FM3967")</f>
        <v>FM3967</v>
      </c>
      <c r="B203" s="6" t="str">
        <f>IFERROR(__xludf.DUMMYFUNCTION("""COMPUTED_VALUE"""),"RUN-COMB_2022-04-07_RFR-012")</f>
        <v>RUN-COMB_2022-04-07_RFR-012</v>
      </c>
      <c r="C203" s="7">
        <f>VLOOKUP(B203,'Run Reconcile'!A$2:B3090,2,FALSE)</f>
        <v>44658</v>
      </c>
      <c r="D203" s="11">
        <f>IFERROR(__xludf.DUMMYFUNCTION("""COMPUTED_VALUE"""),44658.0)</f>
        <v>44658</v>
      </c>
      <c r="E203" s="12">
        <f>IFERROR(__xludf.DUMMYFUNCTION("""COMPUTED_VALUE"""),0.34133101851693937)</f>
        <v>0.3413310185</v>
      </c>
      <c r="F203" s="6" t="str">
        <f>IFERROR(__xludf.DUMMYFUNCTION("""COMPUTED_VALUE"""),"Negative")</f>
        <v>Negative</v>
      </c>
      <c r="G203" s="6">
        <f>IFERROR(__xludf.DUMMYFUNCTION("""COMPUTED_VALUE"""),1.0)</f>
        <v>1</v>
      </c>
    </row>
    <row r="204">
      <c r="A204" s="6" t="str">
        <f>IFERROR(__xludf.DUMMYFUNCTION("""COMPUTED_VALUE"""),"FM4007")</f>
        <v>FM4007</v>
      </c>
      <c r="B204" s="6" t="str">
        <f>IFERROR(__xludf.DUMMYFUNCTION("""COMPUTED_VALUE"""),"RUN-COMB_2022-04-07_RFR-012")</f>
        <v>RUN-COMB_2022-04-07_RFR-012</v>
      </c>
      <c r="C204" s="7">
        <f>VLOOKUP(B204,'Run Reconcile'!A$2:B3090,2,FALSE)</f>
        <v>44658</v>
      </c>
      <c r="D204" s="11">
        <f>IFERROR(__xludf.DUMMYFUNCTION("""COMPUTED_VALUE"""),44658.0)</f>
        <v>44658</v>
      </c>
      <c r="E204" s="12">
        <f>IFERROR(__xludf.DUMMYFUNCTION("""COMPUTED_VALUE"""),0.3416898148134351)</f>
        <v>0.3416898148</v>
      </c>
      <c r="F204" s="6" t="str">
        <f>IFERROR(__xludf.DUMMYFUNCTION("""COMPUTED_VALUE"""),"Negative")</f>
        <v>Negative</v>
      </c>
      <c r="G204" s="6">
        <f>IFERROR(__xludf.DUMMYFUNCTION("""COMPUTED_VALUE"""),1.0)</f>
        <v>1</v>
      </c>
    </row>
    <row r="205">
      <c r="A205" s="6" t="str">
        <f>IFERROR(__xludf.DUMMYFUNCTION("""COMPUTED_VALUE"""),"FM3431")</f>
        <v>FM3431</v>
      </c>
      <c r="B205" s="6" t="str">
        <f>IFERROR(__xludf.DUMMYFUNCTION("""COMPUTED_VALUE"""),"RUN-COMB_2022-04-07_RFR-012")</f>
        <v>RUN-COMB_2022-04-07_RFR-012</v>
      </c>
      <c r="C205" s="7">
        <f>VLOOKUP(B205,'Run Reconcile'!A$2:B3090,2,FALSE)</f>
        <v>44658</v>
      </c>
      <c r="D205" s="11">
        <f>IFERROR(__xludf.DUMMYFUNCTION("""COMPUTED_VALUE"""),44658.0)</f>
        <v>44658</v>
      </c>
      <c r="E205" s="12">
        <f>IFERROR(__xludf.DUMMYFUNCTION("""COMPUTED_VALUE"""),0.3420833333329938)</f>
        <v>0.3420833333</v>
      </c>
      <c r="F205" s="6" t="str">
        <f>IFERROR(__xludf.DUMMYFUNCTION("""COMPUTED_VALUE"""),"Negative")</f>
        <v>Negative</v>
      </c>
      <c r="G205" s="6">
        <f>IFERROR(__xludf.DUMMYFUNCTION("""COMPUTED_VALUE"""),1.0)</f>
        <v>1</v>
      </c>
    </row>
    <row r="206">
      <c r="A206" s="6" t="str">
        <f>IFERROR(__xludf.DUMMYFUNCTION("""COMPUTED_VALUE"""),"MA169")</f>
        <v>MA169</v>
      </c>
      <c r="B206" s="6" t="str">
        <f>IFERROR(__xludf.DUMMYFUNCTION("""COMPUTED_VALUE"""),"RUN-COMB_2022-04-07_RFR-012")</f>
        <v>RUN-COMB_2022-04-07_RFR-012</v>
      </c>
      <c r="C206" s="7">
        <f>VLOOKUP(B206,'Run Reconcile'!A$2:B3090,2,FALSE)</f>
        <v>44658</v>
      </c>
      <c r="D206" s="11">
        <f>IFERROR(__xludf.DUMMYFUNCTION("""COMPUTED_VALUE"""),44658.0)</f>
        <v>44658</v>
      </c>
      <c r="E206" s="12">
        <f>IFERROR(__xludf.DUMMYFUNCTION("""COMPUTED_VALUE"""),0.3422569444446708)</f>
        <v>0.3422569444</v>
      </c>
      <c r="F206" s="6" t="str">
        <f>IFERROR(__xludf.DUMMYFUNCTION("""COMPUTED_VALUE"""),"Negative")</f>
        <v>Negative</v>
      </c>
      <c r="G206" s="6">
        <f>IFERROR(__xludf.DUMMYFUNCTION("""COMPUTED_VALUE"""),1.0)</f>
        <v>1</v>
      </c>
    </row>
    <row r="207">
      <c r="A207" s="6" t="str">
        <f>IFERROR(__xludf.DUMMYFUNCTION("""COMPUTED_VALUE"""),"FM3994")</f>
        <v>FM3994</v>
      </c>
      <c r="B207" s="6" t="str">
        <f>IFERROR(__xludf.DUMMYFUNCTION("""COMPUTED_VALUE"""),"RUN-COMB_2022-04-07_RFR-012")</f>
        <v>RUN-COMB_2022-04-07_RFR-012</v>
      </c>
      <c r="C207" s="7">
        <f>VLOOKUP(B207,'Run Reconcile'!A$2:B3090,2,FALSE)</f>
        <v>44658</v>
      </c>
      <c r="D207" s="11">
        <f>IFERROR(__xludf.DUMMYFUNCTION("""COMPUTED_VALUE"""),44658.0)</f>
        <v>44658</v>
      </c>
      <c r="E207" s="12">
        <f>IFERROR(__xludf.DUMMYFUNCTION("""COMPUTED_VALUE"""),0.34386574074233067)</f>
        <v>0.3438657407</v>
      </c>
      <c r="F207" s="6" t="str">
        <f>IFERROR(__xludf.DUMMYFUNCTION("""COMPUTED_VALUE"""),"Negative")</f>
        <v>Negative</v>
      </c>
      <c r="G207" s="6">
        <f>IFERROR(__xludf.DUMMYFUNCTION("""COMPUTED_VALUE"""),1.0)</f>
        <v>1</v>
      </c>
    </row>
    <row r="208">
      <c r="A208" s="6" t="str">
        <f>IFERROR(__xludf.DUMMYFUNCTION("""COMPUTED_VALUE"""),"FM3928")</f>
        <v>FM3928</v>
      </c>
      <c r="B208" s="6" t="str">
        <f>IFERROR(__xludf.DUMMYFUNCTION("""COMPUTED_VALUE"""),"RUN-COMB_2022-04-07_RFR-012")</f>
        <v>RUN-COMB_2022-04-07_RFR-012</v>
      </c>
      <c r="C208" s="7">
        <f>VLOOKUP(B208,'Run Reconcile'!A$2:B3090,2,FALSE)</f>
        <v>44658</v>
      </c>
      <c r="D208" s="11">
        <f>IFERROR(__xludf.DUMMYFUNCTION("""COMPUTED_VALUE"""),44658.0)</f>
        <v>44658</v>
      </c>
      <c r="E208" s="12">
        <f>IFERROR(__xludf.DUMMYFUNCTION("""COMPUTED_VALUE"""),0.3442939814813144)</f>
        <v>0.3442939815</v>
      </c>
      <c r="F208" s="6" t="str">
        <f>IFERROR(__xludf.DUMMYFUNCTION("""COMPUTED_VALUE"""),"Negative")</f>
        <v>Negative</v>
      </c>
      <c r="G208" s="6">
        <f>IFERROR(__xludf.DUMMYFUNCTION("""COMPUTED_VALUE"""),1.0)</f>
        <v>1</v>
      </c>
    </row>
    <row r="209">
      <c r="A209" s="6" t="str">
        <f>IFERROR(__xludf.DUMMYFUNCTION("""COMPUTED_VALUE"""),"FM3916")</f>
        <v>FM3916</v>
      </c>
      <c r="B209" s="6" t="str">
        <f>IFERROR(__xludf.DUMMYFUNCTION("""COMPUTED_VALUE"""),"RUN-COMB_2022-04-07_RFR-012")</f>
        <v>RUN-COMB_2022-04-07_RFR-012</v>
      </c>
      <c r="C209" s="7">
        <f>VLOOKUP(B209,'Run Reconcile'!A$2:B3090,2,FALSE)</f>
        <v>44658</v>
      </c>
      <c r="D209" s="11">
        <f>IFERROR(__xludf.DUMMYFUNCTION("""COMPUTED_VALUE"""),44658.0)</f>
        <v>44658</v>
      </c>
      <c r="E209" s="12">
        <f>IFERROR(__xludf.DUMMYFUNCTION("""COMPUTED_VALUE"""),0.3458564814827696)</f>
        <v>0.3458564815</v>
      </c>
      <c r="F209" s="6" t="str">
        <f>IFERROR(__xludf.DUMMYFUNCTION("""COMPUTED_VALUE"""),"Negative")</f>
        <v>Negative</v>
      </c>
      <c r="G209" s="6">
        <f>IFERROR(__xludf.DUMMYFUNCTION("""COMPUTED_VALUE"""),1.0)</f>
        <v>1</v>
      </c>
    </row>
    <row r="210">
      <c r="A210" s="6" t="str">
        <f>IFERROR(__xludf.DUMMYFUNCTION("""COMPUTED_VALUE"""),"FM3974")</f>
        <v>FM3974</v>
      </c>
      <c r="B210" s="6" t="str">
        <f>IFERROR(__xludf.DUMMYFUNCTION("""COMPUTED_VALUE"""),"RUN-COMB_2022-04-07_RFR-012")</f>
        <v>RUN-COMB_2022-04-07_RFR-012</v>
      </c>
      <c r="C210" s="7">
        <f>VLOOKUP(B210,'Run Reconcile'!A$2:B3090,2,FALSE)</f>
        <v>44658</v>
      </c>
      <c r="D210" s="11">
        <f>IFERROR(__xludf.DUMMYFUNCTION("""COMPUTED_VALUE"""),44658.0)</f>
        <v>44658</v>
      </c>
      <c r="E210" s="12">
        <f>IFERROR(__xludf.DUMMYFUNCTION("""COMPUTED_VALUE"""),0.346296296294895)</f>
        <v>0.3462962963</v>
      </c>
      <c r="F210" s="6" t="str">
        <f>IFERROR(__xludf.DUMMYFUNCTION("""COMPUTED_VALUE"""),"Negative")</f>
        <v>Negative</v>
      </c>
      <c r="G210" s="6">
        <f>IFERROR(__xludf.DUMMYFUNCTION("""COMPUTED_VALUE"""),1.0)</f>
        <v>1</v>
      </c>
    </row>
    <row r="211">
      <c r="A211" s="6" t="str">
        <f>IFERROR(__xludf.DUMMYFUNCTION("""COMPUTED_VALUE"""),"FM3981")</f>
        <v>FM3981</v>
      </c>
      <c r="B211" s="6" t="str">
        <f>IFERROR(__xludf.DUMMYFUNCTION("""COMPUTED_VALUE"""),"RUN-COMB_2022-04-07_RFR-012")</f>
        <v>RUN-COMB_2022-04-07_RFR-012</v>
      </c>
      <c r="C211" s="7">
        <f>VLOOKUP(B211,'Run Reconcile'!A$2:B3090,2,FALSE)</f>
        <v>44658</v>
      </c>
      <c r="D211" s="11">
        <f>IFERROR(__xludf.DUMMYFUNCTION("""COMPUTED_VALUE"""),44658.0)</f>
        <v>44658</v>
      </c>
      <c r="E211" s="12">
        <f>IFERROR(__xludf.DUMMYFUNCTION("""COMPUTED_VALUE"""),0.34725694444568944)</f>
        <v>0.3472569444</v>
      </c>
      <c r="F211" s="6" t="str">
        <f>IFERROR(__xludf.DUMMYFUNCTION("""COMPUTED_VALUE"""),"Negative")</f>
        <v>Negative</v>
      </c>
      <c r="G211" s="6">
        <f>IFERROR(__xludf.DUMMYFUNCTION("""COMPUTED_VALUE"""),1.0)</f>
        <v>1</v>
      </c>
    </row>
    <row r="212">
      <c r="A212" s="6" t="str">
        <f>IFERROR(__xludf.DUMMYFUNCTION("""COMPUTED_VALUE"""),"FM3662")</f>
        <v>FM3662</v>
      </c>
      <c r="B212" s="6" t="str">
        <f>IFERROR(__xludf.DUMMYFUNCTION("""COMPUTED_VALUE"""),"RUN-COMB_2022-04-07_RFR-012")</f>
        <v>RUN-COMB_2022-04-07_RFR-012</v>
      </c>
      <c r="C212" s="7">
        <f>VLOOKUP(B212,'Run Reconcile'!A$2:B3090,2,FALSE)</f>
        <v>44658</v>
      </c>
      <c r="D212" s="11">
        <f>IFERROR(__xludf.DUMMYFUNCTION("""COMPUTED_VALUE"""),44658.0)</f>
        <v>44658</v>
      </c>
      <c r="E212" s="12">
        <f>IFERROR(__xludf.DUMMYFUNCTION("""COMPUTED_VALUE"""),0.3476388888884685)</f>
        <v>0.3476388889</v>
      </c>
      <c r="F212" s="6" t="str">
        <f>IFERROR(__xludf.DUMMYFUNCTION("""COMPUTED_VALUE"""),"Negative")</f>
        <v>Negative</v>
      </c>
      <c r="G212" s="6">
        <f>IFERROR(__xludf.DUMMYFUNCTION("""COMPUTED_VALUE"""),1.0)</f>
        <v>1</v>
      </c>
    </row>
    <row r="213">
      <c r="A213" s="6" t="str">
        <f>IFERROR(__xludf.DUMMYFUNCTION("""COMPUTED_VALUE"""),"FM3965")</f>
        <v>FM3965</v>
      </c>
      <c r="B213" s="6" t="str">
        <f>IFERROR(__xludf.DUMMYFUNCTION("""COMPUTED_VALUE"""),"RUN-COMB_2022-04-07_RFR-012")</f>
        <v>RUN-COMB_2022-04-07_RFR-012</v>
      </c>
      <c r="C213" s="7">
        <f>VLOOKUP(B213,'Run Reconcile'!A$2:B3090,2,FALSE)</f>
        <v>44658</v>
      </c>
      <c r="D213" s="11">
        <f>IFERROR(__xludf.DUMMYFUNCTION("""COMPUTED_VALUE"""),44658.0)</f>
        <v>44658</v>
      </c>
      <c r="E213" s="12">
        <f>IFERROR(__xludf.DUMMYFUNCTION("""COMPUTED_VALUE"""),0.3491666666668607)</f>
        <v>0.3491666667</v>
      </c>
      <c r="F213" s="6" t="str">
        <f>IFERROR(__xludf.DUMMYFUNCTION("""COMPUTED_VALUE"""),"Negative")</f>
        <v>Negative</v>
      </c>
      <c r="G213" s="6">
        <f>IFERROR(__xludf.DUMMYFUNCTION("""COMPUTED_VALUE"""),1.0)</f>
        <v>1</v>
      </c>
    </row>
    <row r="214">
      <c r="A214" s="6" t="str">
        <f>IFERROR(__xludf.DUMMYFUNCTION("""COMPUTED_VALUE"""),"FM4005")</f>
        <v>FM4005</v>
      </c>
      <c r="B214" s="6" t="str">
        <f>IFERROR(__xludf.DUMMYFUNCTION("""COMPUTED_VALUE"""),"RUN-COMB_2022-04-07_RFR-012")</f>
        <v>RUN-COMB_2022-04-07_RFR-012</v>
      </c>
      <c r="C214" s="7">
        <f>VLOOKUP(B214,'Run Reconcile'!A$2:B3090,2,FALSE)</f>
        <v>44658</v>
      </c>
      <c r="D214" s="11">
        <f>IFERROR(__xludf.DUMMYFUNCTION("""COMPUTED_VALUE"""),44658.0)</f>
        <v>44658</v>
      </c>
      <c r="E214" s="12">
        <f>IFERROR(__xludf.DUMMYFUNCTION("""COMPUTED_VALUE"""),0.34968749999825377)</f>
        <v>0.3496875</v>
      </c>
      <c r="F214" s="6" t="str">
        <f>IFERROR(__xludf.DUMMYFUNCTION("""COMPUTED_VALUE"""),"Negative")</f>
        <v>Negative</v>
      </c>
      <c r="G214" s="6">
        <f>IFERROR(__xludf.DUMMYFUNCTION("""COMPUTED_VALUE"""),1.0)</f>
        <v>1</v>
      </c>
    </row>
    <row r="215">
      <c r="A215" s="6" t="str">
        <f>IFERROR(__xludf.DUMMYFUNCTION("""COMPUTED_VALUE"""),"MA164")</f>
        <v>MA164</v>
      </c>
      <c r="B215" s="6" t="str">
        <f>IFERROR(__xludf.DUMMYFUNCTION("""COMPUTED_VALUE"""),"RUN-COMB_2022-04-07_RFR-012")</f>
        <v>RUN-COMB_2022-04-07_RFR-012</v>
      </c>
      <c r="C215" s="7">
        <f>VLOOKUP(B215,'Run Reconcile'!A$2:B3090,2,FALSE)</f>
        <v>44658</v>
      </c>
      <c r="D215" s="11">
        <f>IFERROR(__xludf.DUMMYFUNCTION("""COMPUTED_VALUE"""),44658.0)</f>
        <v>44658</v>
      </c>
      <c r="E215" s="12">
        <f>IFERROR(__xludf.DUMMYFUNCTION("""COMPUTED_VALUE"""),0.3500347222216078)</f>
        <v>0.3500347222</v>
      </c>
      <c r="F215" s="6" t="str">
        <f>IFERROR(__xludf.DUMMYFUNCTION("""COMPUTED_VALUE"""),"Negative")</f>
        <v>Negative</v>
      </c>
      <c r="G215" s="6">
        <f>IFERROR(__xludf.DUMMYFUNCTION("""COMPUTED_VALUE"""),1.0)</f>
        <v>1</v>
      </c>
    </row>
    <row r="216">
      <c r="A216" s="6" t="str">
        <f>IFERROR(__xludf.DUMMYFUNCTION("""COMPUTED_VALUE"""),"FM3460")</f>
        <v>FM3460</v>
      </c>
      <c r="B216" s="6" t="str">
        <f>IFERROR(__xludf.DUMMYFUNCTION("""COMPUTED_VALUE"""),"RUN-COMB_2022-04-07_RFR-012")</f>
        <v>RUN-COMB_2022-04-07_RFR-012</v>
      </c>
      <c r="C216" s="7">
        <f>VLOOKUP(B216,'Run Reconcile'!A$2:B3090,2,FALSE)</f>
        <v>44658</v>
      </c>
      <c r="D216" s="11">
        <f>IFERROR(__xludf.DUMMYFUNCTION("""COMPUTED_VALUE"""),44658.0)</f>
        <v>44658</v>
      </c>
      <c r="E216" s="12">
        <f>IFERROR(__xludf.DUMMYFUNCTION("""COMPUTED_VALUE"""),0.3504745370373712)</f>
        <v>0.350474537</v>
      </c>
      <c r="F216" s="6" t="str">
        <f>IFERROR(__xludf.DUMMYFUNCTION("""COMPUTED_VALUE"""),"Negative")</f>
        <v>Negative</v>
      </c>
      <c r="G216" s="6">
        <f>IFERROR(__xludf.DUMMYFUNCTION("""COMPUTED_VALUE"""),1.0)</f>
        <v>1</v>
      </c>
    </row>
    <row r="217">
      <c r="A217" s="6" t="str">
        <f>IFERROR(__xludf.DUMMYFUNCTION("""COMPUTED_VALUE"""),"FM3919")</f>
        <v>FM3919</v>
      </c>
      <c r="B217" s="6" t="str">
        <f>IFERROR(__xludf.DUMMYFUNCTION("""COMPUTED_VALUE"""),"RUN-COMB_2022-04-07_RFR-012")</f>
        <v>RUN-COMB_2022-04-07_RFR-012</v>
      </c>
      <c r="C217" s="7">
        <f>VLOOKUP(B217,'Run Reconcile'!A$2:B3090,2,FALSE)</f>
        <v>44658</v>
      </c>
      <c r="D217" s="11">
        <f>IFERROR(__xludf.DUMMYFUNCTION("""COMPUTED_VALUE"""),44658.0)</f>
        <v>44658</v>
      </c>
      <c r="E217" s="12">
        <f>IFERROR(__xludf.DUMMYFUNCTION("""COMPUTED_VALUE"""),0.35721064814788406)</f>
        <v>0.3572106481</v>
      </c>
      <c r="F217" s="6" t="str">
        <f>IFERROR(__xludf.DUMMYFUNCTION("""COMPUTED_VALUE"""),"Negative")</f>
        <v>Negative</v>
      </c>
      <c r="G217" s="6">
        <f>IFERROR(__xludf.DUMMYFUNCTION("""COMPUTED_VALUE"""),1.0)</f>
        <v>1</v>
      </c>
    </row>
    <row r="218">
      <c r="A218" s="6" t="str">
        <f>IFERROR(__xludf.DUMMYFUNCTION("""COMPUTED_VALUE"""),"FM3973")</f>
        <v>FM3973</v>
      </c>
      <c r="B218" s="6" t="str">
        <f>IFERROR(__xludf.DUMMYFUNCTION("""COMPUTED_VALUE"""),"RUN-COMB_2022-04-08_RFR-013")</f>
        <v>RUN-COMB_2022-04-08_RFR-013</v>
      </c>
      <c r="C218" s="7">
        <f>VLOOKUP(B218,'Run Reconcile'!A$2:B3090,2,FALSE)</f>
        <v>44659</v>
      </c>
      <c r="D218" s="11">
        <f>IFERROR(__xludf.DUMMYFUNCTION("""COMPUTED_VALUE"""),44659.0)</f>
        <v>44659</v>
      </c>
      <c r="E218" s="12">
        <f>IFERROR(__xludf.DUMMYFUNCTION("""COMPUTED_VALUE"""),0.31065972222131677)</f>
        <v>0.3106597222</v>
      </c>
      <c r="F218" s="6" t="str">
        <f>IFERROR(__xludf.DUMMYFUNCTION("""COMPUTED_VALUE"""),"Negative")</f>
        <v>Negative</v>
      </c>
      <c r="G218" s="6">
        <f>IFERROR(__xludf.DUMMYFUNCTION("""COMPUTED_VALUE"""),1.0)</f>
        <v>1</v>
      </c>
    </row>
    <row r="219">
      <c r="A219" s="6" t="str">
        <f>IFERROR(__xludf.DUMMYFUNCTION("""COMPUTED_VALUE"""),"FM4002")</f>
        <v>FM4002</v>
      </c>
      <c r="B219" s="6" t="str">
        <f>IFERROR(__xludf.DUMMYFUNCTION("""COMPUTED_VALUE"""),"RUN-COMB_2022-04-08_RFR-013")</f>
        <v>RUN-COMB_2022-04-08_RFR-013</v>
      </c>
      <c r="C219" s="7">
        <f>VLOOKUP(B219,'Run Reconcile'!A$2:B3090,2,FALSE)</f>
        <v>44659</v>
      </c>
      <c r="D219" s="11">
        <f>IFERROR(__xludf.DUMMYFUNCTION("""COMPUTED_VALUE"""),44659.0)</f>
        <v>44659</v>
      </c>
      <c r="E219" s="12">
        <f>IFERROR(__xludf.DUMMYFUNCTION("""COMPUTED_VALUE"""),0.3112152777794108)</f>
        <v>0.3112152778</v>
      </c>
      <c r="F219" s="6" t="str">
        <f>IFERROR(__xludf.DUMMYFUNCTION("""COMPUTED_VALUE"""),"Negative")</f>
        <v>Negative</v>
      </c>
      <c r="G219" s="6">
        <f>IFERROR(__xludf.DUMMYFUNCTION("""COMPUTED_VALUE"""),1.0)</f>
        <v>1</v>
      </c>
    </row>
    <row r="220">
      <c r="A220" s="6" t="str">
        <f>IFERROR(__xludf.DUMMYFUNCTION("""COMPUTED_VALUE"""),"FM3968")</f>
        <v>FM3968</v>
      </c>
      <c r="B220" s="6" t="str">
        <f>IFERROR(__xludf.DUMMYFUNCTION("""COMPUTED_VALUE"""),"RUN-COMB_2022-04-08_RFR-013")</f>
        <v>RUN-COMB_2022-04-08_RFR-013</v>
      </c>
      <c r="C220" s="7">
        <f>VLOOKUP(B220,'Run Reconcile'!A$2:B3090,2,FALSE)</f>
        <v>44659</v>
      </c>
      <c r="D220" s="11">
        <f>IFERROR(__xludf.DUMMYFUNCTION("""COMPUTED_VALUE"""),44659.0)</f>
        <v>44659</v>
      </c>
      <c r="E220" s="12">
        <f>IFERROR(__xludf.DUMMYFUNCTION("""COMPUTED_VALUE"""),0.31164351851839456)</f>
        <v>0.3116435185</v>
      </c>
      <c r="F220" s="6" t="str">
        <f>IFERROR(__xludf.DUMMYFUNCTION("""COMPUTED_VALUE"""),"Negative")</f>
        <v>Negative</v>
      </c>
      <c r="G220" s="6">
        <f>IFERROR(__xludf.DUMMYFUNCTION("""COMPUTED_VALUE"""),1.0)</f>
        <v>1</v>
      </c>
    </row>
    <row r="221">
      <c r="A221" s="6" t="str">
        <f>IFERROR(__xludf.DUMMYFUNCTION("""COMPUTED_VALUE"""),"FM3422")</f>
        <v>FM3422</v>
      </c>
      <c r="B221" s="6" t="str">
        <f>IFERROR(__xludf.DUMMYFUNCTION("""COMPUTED_VALUE"""),"RUN-COMB_2022-04-08_RFR-013")</f>
        <v>RUN-COMB_2022-04-08_RFR-013</v>
      </c>
      <c r="C221" s="7">
        <f>VLOOKUP(B221,'Run Reconcile'!A$2:B3090,2,FALSE)</f>
        <v>44659</v>
      </c>
      <c r="D221" s="11">
        <f>IFERROR(__xludf.DUMMYFUNCTION("""COMPUTED_VALUE"""),44659.0)</f>
        <v>44659</v>
      </c>
      <c r="E221" s="12">
        <f>IFERROR(__xludf.DUMMYFUNCTION("""COMPUTED_VALUE"""),0.314942129629344)</f>
        <v>0.3149421296</v>
      </c>
      <c r="F221" s="6" t="str">
        <f>IFERROR(__xludf.DUMMYFUNCTION("""COMPUTED_VALUE"""),"Negative")</f>
        <v>Negative</v>
      </c>
      <c r="G221" s="6">
        <f>IFERROR(__xludf.DUMMYFUNCTION("""COMPUTED_VALUE"""),1.0)</f>
        <v>1</v>
      </c>
    </row>
    <row r="222">
      <c r="A222" s="6" t="str">
        <f>IFERROR(__xludf.DUMMYFUNCTION("""COMPUTED_VALUE"""),"FM3940")</f>
        <v>FM3940</v>
      </c>
      <c r="B222" s="6" t="str">
        <f>IFERROR(__xludf.DUMMYFUNCTION("""COMPUTED_VALUE"""),"RUN-COMB_2022-04-08_RFR-013")</f>
        <v>RUN-COMB_2022-04-08_RFR-013</v>
      </c>
      <c r="C222" s="7">
        <f>VLOOKUP(B222,'Run Reconcile'!A$2:B3090,2,FALSE)</f>
        <v>44659</v>
      </c>
      <c r="D222" s="11">
        <f>IFERROR(__xludf.DUMMYFUNCTION("""COMPUTED_VALUE"""),44659.0)</f>
        <v>44659</v>
      </c>
      <c r="E222" s="12">
        <f>IFERROR(__xludf.DUMMYFUNCTION("""COMPUTED_VALUE"""),0.31554398148000473)</f>
        <v>0.3155439815</v>
      </c>
      <c r="F222" s="6" t="str">
        <f>IFERROR(__xludf.DUMMYFUNCTION("""COMPUTED_VALUE"""),"Negative")</f>
        <v>Negative</v>
      </c>
      <c r="G222" s="6">
        <f>IFERROR(__xludf.DUMMYFUNCTION("""COMPUTED_VALUE"""),1.0)</f>
        <v>1</v>
      </c>
    </row>
    <row r="223">
      <c r="A223" s="6" t="str">
        <f>IFERROR(__xludf.DUMMYFUNCTION("""COMPUTED_VALUE"""),"FM3985")</f>
        <v>FM3985</v>
      </c>
      <c r="B223" s="6" t="str">
        <f>IFERROR(__xludf.DUMMYFUNCTION("""COMPUTED_VALUE"""),"RUN-COMB_2022-04-08_RFR-013")</f>
        <v>RUN-COMB_2022-04-08_RFR-013</v>
      </c>
      <c r="C223" s="7">
        <f>VLOOKUP(B223,'Run Reconcile'!A$2:B3090,2,FALSE)</f>
        <v>44659</v>
      </c>
      <c r="D223" s="11">
        <f>IFERROR(__xludf.DUMMYFUNCTION("""COMPUTED_VALUE"""),44659.0)</f>
        <v>44659</v>
      </c>
      <c r="E223" s="12">
        <f>IFERROR(__xludf.DUMMYFUNCTION("""COMPUTED_VALUE"""),0.3163078703692008)</f>
        <v>0.3163078704</v>
      </c>
      <c r="F223" s="6" t="str">
        <f>IFERROR(__xludf.DUMMYFUNCTION("""COMPUTED_VALUE"""),"Negative")</f>
        <v>Negative</v>
      </c>
      <c r="G223" s="6">
        <f>IFERROR(__xludf.DUMMYFUNCTION("""COMPUTED_VALUE"""),1.0)</f>
        <v>1</v>
      </c>
    </row>
    <row r="224">
      <c r="A224" s="6" t="str">
        <f>IFERROR(__xludf.DUMMYFUNCTION("""COMPUTED_VALUE"""),"MA122")</f>
        <v>MA122</v>
      </c>
      <c r="B224" s="6" t="str">
        <f>IFERROR(__xludf.DUMMYFUNCTION("""COMPUTED_VALUE"""),"RUN-COMB_2022-04-08_RFR-013")</f>
        <v>RUN-COMB_2022-04-08_RFR-013</v>
      </c>
      <c r="C224" s="7">
        <f>VLOOKUP(B224,'Run Reconcile'!A$2:B3090,2,FALSE)</f>
        <v>44659</v>
      </c>
      <c r="D224" s="11">
        <f>IFERROR(__xludf.DUMMYFUNCTION("""COMPUTED_VALUE"""),44659.0)</f>
        <v>44659</v>
      </c>
      <c r="E224" s="12">
        <f>IFERROR(__xludf.DUMMYFUNCTION("""COMPUTED_VALUE"""),0.3166782407424762)</f>
        <v>0.3166782407</v>
      </c>
      <c r="F224" s="6" t="str">
        <f>IFERROR(__xludf.DUMMYFUNCTION("""COMPUTED_VALUE"""),"Negative")</f>
        <v>Negative</v>
      </c>
      <c r="G224" s="6">
        <f>IFERROR(__xludf.DUMMYFUNCTION("""COMPUTED_VALUE"""),1.0)</f>
        <v>1</v>
      </c>
    </row>
    <row r="225">
      <c r="A225" s="6" t="str">
        <f>IFERROR(__xludf.DUMMYFUNCTION("""COMPUTED_VALUE"""),"FM3996")</f>
        <v>FM3996</v>
      </c>
      <c r="B225" s="6" t="str">
        <f>IFERROR(__xludf.DUMMYFUNCTION("""COMPUTED_VALUE"""),"RUN-COMB_2022-04-08_RFR-013")</f>
        <v>RUN-COMB_2022-04-08_RFR-013</v>
      </c>
      <c r="C225" s="7">
        <f>VLOOKUP(B225,'Run Reconcile'!A$2:B3090,2,FALSE)</f>
        <v>44659</v>
      </c>
      <c r="D225" s="11">
        <f>IFERROR(__xludf.DUMMYFUNCTION("""COMPUTED_VALUE"""),44659.0)</f>
        <v>44659</v>
      </c>
      <c r="E225" s="12">
        <f>IFERROR(__xludf.DUMMYFUNCTION("""COMPUTED_VALUE"""),0.3170486111121136)</f>
        <v>0.3170486111</v>
      </c>
      <c r="F225" s="6" t="str">
        <f>IFERROR(__xludf.DUMMYFUNCTION("""COMPUTED_VALUE"""),"Negative")</f>
        <v>Negative</v>
      </c>
      <c r="G225" s="6">
        <f>IFERROR(__xludf.DUMMYFUNCTION("""COMPUTED_VALUE"""),1.0)</f>
        <v>1</v>
      </c>
    </row>
    <row r="226">
      <c r="A226" s="6" t="str">
        <f>IFERROR(__xludf.DUMMYFUNCTION("""COMPUTED_VALUE"""),"FM3997")</f>
        <v>FM3997</v>
      </c>
      <c r="B226" s="6" t="str">
        <f>IFERROR(__xludf.DUMMYFUNCTION("""COMPUTED_VALUE"""),"RUN-COMB_2022-04-08_RFR-013")</f>
        <v>RUN-COMB_2022-04-08_RFR-013</v>
      </c>
      <c r="C226" s="7">
        <f>VLOOKUP(B226,'Run Reconcile'!A$2:B3090,2,FALSE)</f>
        <v>44659</v>
      </c>
      <c r="D226" s="11">
        <f>IFERROR(__xludf.DUMMYFUNCTION("""COMPUTED_VALUE"""),44659.0)</f>
        <v>44659</v>
      </c>
      <c r="E226" s="12">
        <f>IFERROR(__xludf.DUMMYFUNCTION("""COMPUTED_VALUE"""),0.31767361111269565)</f>
        <v>0.3176736111</v>
      </c>
      <c r="F226" s="6" t="str">
        <f>IFERROR(__xludf.DUMMYFUNCTION("""COMPUTED_VALUE"""),"Negative")</f>
        <v>Negative</v>
      </c>
      <c r="G226" s="6">
        <f>IFERROR(__xludf.DUMMYFUNCTION("""COMPUTED_VALUE"""),1.0)</f>
        <v>1</v>
      </c>
    </row>
    <row r="227">
      <c r="A227" s="6" t="str">
        <f>IFERROR(__xludf.DUMMYFUNCTION("""COMPUTED_VALUE"""),"FM3409")</f>
        <v>FM3409</v>
      </c>
      <c r="B227" s="6" t="str">
        <f>IFERROR(__xludf.DUMMYFUNCTION("""COMPUTED_VALUE"""),"RUN-COMB_2022-04-08_RFR-013")</f>
        <v>RUN-COMB_2022-04-08_RFR-013</v>
      </c>
      <c r="C227" s="7">
        <f>VLOOKUP(B227,'Run Reconcile'!A$2:B3090,2,FALSE)</f>
        <v>44659</v>
      </c>
      <c r="D227" s="11">
        <f>IFERROR(__xludf.DUMMYFUNCTION("""COMPUTED_VALUE"""),44659.0)</f>
        <v>44659</v>
      </c>
      <c r="E227" s="12">
        <f>IFERROR(__xludf.DUMMYFUNCTION("""COMPUTED_VALUE"""),0.3201620370382443)</f>
        <v>0.320162037</v>
      </c>
      <c r="F227" s="6" t="str">
        <f>IFERROR(__xludf.DUMMYFUNCTION("""COMPUTED_VALUE"""),"Negative")</f>
        <v>Negative</v>
      </c>
      <c r="G227" s="6">
        <f>IFERROR(__xludf.DUMMYFUNCTION("""COMPUTED_VALUE"""),1.0)</f>
        <v>1</v>
      </c>
    </row>
    <row r="228">
      <c r="A228" s="6" t="str">
        <f>IFERROR(__xludf.DUMMYFUNCTION("""COMPUTED_VALUE"""),"FM3989")</f>
        <v>FM3989</v>
      </c>
      <c r="B228" s="6" t="str">
        <f>IFERROR(__xludf.DUMMYFUNCTION("""COMPUTED_VALUE"""),"RUN-COMB_2022-04-08_RFR-013")</f>
        <v>RUN-COMB_2022-04-08_RFR-013</v>
      </c>
      <c r="C228" s="7">
        <f>VLOOKUP(B228,'Run Reconcile'!A$2:B3090,2,FALSE)</f>
        <v>44659</v>
      </c>
      <c r="D228" s="11">
        <f>IFERROR(__xludf.DUMMYFUNCTION("""COMPUTED_VALUE"""),44659.0)</f>
        <v>44659</v>
      </c>
      <c r="E228" s="12">
        <f>IFERROR(__xludf.DUMMYFUNCTION("""COMPUTED_VALUE"""),0.3214699074087548)</f>
        <v>0.3214699074</v>
      </c>
      <c r="F228" s="6" t="str">
        <f>IFERROR(__xludf.DUMMYFUNCTION("""COMPUTED_VALUE"""),"Negative")</f>
        <v>Negative</v>
      </c>
      <c r="G228" s="6">
        <f>IFERROR(__xludf.DUMMYFUNCTION("""COMPUTED_VALUE"""),1.0)</f>
        <v>1</v>
      </c>
    </row>
    <row r="229">
      <c r="A229" s="6" t="str">
        <f>IFERROR(__xludf.DUMMYFUNCTION("""COMPUTED_VALUE"""),"FM3999")</f>
        <v>FM3999</v>
      </c>
      <c r="B229" s="6" t="str">
        <f>IFERROR(__xludf.DUMMYFUNCTION("""COMPUTED_VALUE"""),"RUN-COMB_2022-04-08_RFR-013")</f>
        <v>RUN-COMB_2022-04-08_RFR-013</v>
      </c>
      <c r="C229" s="7">
        <f>VLOOKUP(B229,'Run Reconcile'!A$2:B3090,2,FALSE)</f>
        <v>44659</v>
      </c>
      <c r="D229" s="11">
        <f>IFERROR(__xludf.DUMMYFUNCTION("""COMPUTED_VALUE"""),44659.0)</f>
        <v>44659</v>
      </c>
      <c r="E229" s="12">
        <f>IFERROR(__xludf.DUMMYFUNCTION("""COMPUTED_VALUE"""),0.3239120370380988)</f>
        <v>0.323912037</v>
      </c>
      <c r="F229" s="6" t="str">
        <f>IFERROR(__xludf.DUMMYFUNCTION("""COMPUTED_VALUE"""),"Negative")</f>
        <v>Negative</v>
      </c>
      <c r="G229" s="6">
        <f>IFERROR(__xludf.DUMMYFUNCTION("""COMPUTED_VALUE"""),1.0)</f>
        <v>1</v>
      </c>
    </row>
    <row r="230">
      <c r="A230" s="6" t="str">
        <f>IFERROR(__xludf.DUMMYFUNCTION("""COMPUTED_VALUE"""),"FM3914")</f>
        <v>FM3914</v>
      </c>
      <c r="B230" s="6" t="str">
        <f>IFERROR(__xludf.DUMMYFUNCTION("""COMPUTED_VALUE"""),"RUN-COMB_2022-04-08_RFR-013")</f>
        <v>RUN-COMB_2022-04-08_RFR-013</v>
      </c>
      <c r="C230" s="7">
        <f>VLOOKUP(B230,'Run Reconcile'!A$2:B3090,2,FALSE)</f>
        <v>44659</v>
      </c>
      <c r="D230" s="11">
        <f>IFERROR(__xludf.DUMMYFUNCTION("""COMPUTED_VALUE"""),44659.0)</f>
        <v>44659</v>
      </c>
      <c r="E230" s="12">
        <f>IFERROR(__xludf.DUMMYFUNCTION("""COMPUTED_VALUE"""),0.32454861111182254)</f>
        <v>0.3245486111</v>
      </c>
      <c r="F230" s="6" t="str">
        <f>IFERROR(__xludf.DUMMYFUNCTION("""COMPUTED_VALUE"""),"Negative")</f>
        <v>Negative</v>
      </c>
      <c r="G230" s="6">
        <f>IFERROR(__xludf.DUMMYFUNCTION("""COMPUTED_VALUE"""),1.0)</f>
        <v>1</v>
      </c>
    </row>
    <row r="231">
      <c r="A231" s="6" t="str">
        <f>IFERROR(__xludf.DUMMYFUNCTION("""COMPUTED_VALUE"""),"FM3926")</f>
        <v>FM3926</v>
      </c>
      <c r="B231" s="6" t="str">
        <f>IFERROR(__xludf.DUMMYFUNCTION("""COMPUTED_VALUE"""),"RUN-COMB_2022-04-08_RFR-013")</f>
        <v>RUN-COMB_2022-04-08_RFR-013</v>
      </c>
      <c r="C231" s="7">
        <f>VLOOKUP(B231,'Run Reconcile'!A$2:B3090,2,FALSE)</f>
        <v>44659</v>
      </c>
      <c r="D231" s="11">
        <f>IFERROR(__xludf.DUMMYFUNCTION("""COMPUTED_VALUE"""),44659.0)</f>
        <v>44659</v>
      </c>
      <c r="E231" s="12">
        <f>IFERROR(__xludf.DUMMYFUNCTION("""COMPUTED_VALUE"""),0.32556712962832535)</f>
        <v>0.3255671296</v>
      </c>
      <c r="F231" s="6" t="str">
        <f>IFERROR(__xludf.DUMMYFUNCTION("""COMPUTED_VALUE"""),"Negative")</f>
        <v>Negative</v>
      </c>
      <c r="G231" s="6">
        <f>IFERROR(__xludf.DUMMYFUNCTION("""COMPUTED_VALUE"""),1.0)</f>
        <v>1</v>
      </c>
    </row>
    <row r="232">
      <c r="A232" s="6" t="str">
        <f>IFERROR(__xludf.DUMMYFUNCTION("""COMPUTED_VALUE"""),"MA173")</f>
        <v>MA173</v>
      </c>
      <c r="B232" s="6" t="str">
        <f>IFERROR(__xludf.DUMMYFUNCTION("""COMPUTED_VALUE"""),"RUN-COMB_2022-04-08_RFR-013")</f>
        <v>RUN-COMB_2022-04-08_RFR-013</v>
      </c>
      <c r="C232" s="7">
        <f>VLOOKUP(B232,'Run Reconcile'!A$2:B3090,2,FALSE)</f>
        <v>44659</v>
      </c>
      <c r="D232" s="11">
        <f>IFERROR(__xludf.DUMMYFUNCTION("""COMPUTED_VALUE"""),44659.0)</f>
        <v>44659</v>
      </c>
      <c r="E232" s="12">
        <f>IFERROR(__xludf.DUMMYFUNCTION("""COMPUTED_VALUE"""),0.32843750000029104)</f>
        <v>0.3284375</v>
      </c>
      <c r="F232" s="6" t="str">
        <f>IFERROR(__xludf.DUMMYFUNCTION("""COMPUTED_VALUE"""),"Negative")</f>
        <v>Negative</v>
      </c>
      <c r="G232" s="6">
        <f>IFERROR(__xludf.DUMMYFUNCTION("""COMPUTED_VALUE"""),1.0)</f>
        <v>1</v>
      </c>
    </row>
    <row r="233">
      <c r="A233" s="6" t="str">
        <f>IFERROR(__xludf.DUMMYFUNCTION("""COMPUTED_VALUE"""),"MA146")</f>
        <v>MA146</v>
      </c>
      <c r="B233" s="6" t="str">
        <f>IFERROR(__xludf.DUMMYFUNCTION("""COMPUTED_VALUE"""),"RUN-COMB_2022-04-08_RFR-013")</f>
        <v>RUN-COMB_2022-04-08_RFR-013</v>
      </c>
      <c r="C233" s="7">
        <f>VLOOKUP(B233,'Run Reconcile'!A$2:B3090,2,FALSE)</f>
        <v>44659</v>
      </c>
      <c r="D233" s="11">
        <f>IFERROR(__xludf.DUMMYFUNCTION("""COMPUTED_VALUE"""),44659.0)</f>
        <v>44659</v>
      </c>
      <c r="E233" s="12">
        <f>IFERROR(__xludf.DUMMYFUNCTION("""COMPUTED_VALUE"""),0.3288541666661331)</f>
        <v>0.3288541667</v>
      </c>
      <c r="F233" s="6" t="str">
        <f>IFERROR(__xludf.DUMMYFUNCTION("""COMPUTED_VALUE"""),"Negative")</f>
        <v>Negative</v>
      </c>
      <c r="G233" s="6">
        <f>IFERROR(__xludf.DUMMYFUNCTION("""COMPUTED_VALUE"""),1.0)</f>
        <v>1</v>
      </c>
    </row>
    <row r="234">
      <c r="A234" s="6" t="str">
        <f>IFERROR(__xludf.DUMMYFUNCTION("""COMPUTED_VALUE"""),"FM3977")</f>
        <v>FM3977</v>
      </c>
      <c r="B234" s="6" t="str">
        <f>IFERROR(__xludf.DUMMYFUNCTION("""COMPUTED_VALUE"""),"RUN-COMB_2022-04-08_RFR-013")</f>
        <v>RUN-COMB_2022-04-08_RFR-013</v>
      </c>
      <c r="C234" s="7">
        <f>VLOOKUP(B234,'Run Reconcile'!A$2:B3090,2,FALSE)</f>
        <v>44659</v>
      </c>
      <c r="D234" s="11">
        <f>IFERROR(__xludf.DUMMYFUNCTION("""COMPUTED_VALUE"""),44659.0)</f>
        <v>44659</v>
      </c>
      <c r="E234" s="12">
        <f>IFERROR(__xludf.DUMMYFUNCTION("""COMPUTED_VALUE"""),0.3292592592588335)</f>
        <v>0.3292592593</v>
      </c>
      <c r="F234" s="6" t="str">
        <f>IFERROR(__xludf.DUMMYFUNCTION("""COMPUTED_VALUE"""),"Negative")</f>
        <v>Negative</v>
      </c>
      <c r="G234" s="6">
        <f>IFERROR(__xludf.DUMMYFUNCTION("""COMPUTED_VALUE"""),1.0)</f>
        <v>1</v>
      </c>
    </row>
    <row r="235">
      <c r="A235" s="6" t="str">
        <f>IFERROR(__xludf.DUMMYFUNCTION("""COMPUTED_VALUE"""),"FM3992")</f>
        <v>FM3992</v>
      </c>
      <c r="B235" s="6" t="str">
        <f>IFERROR(__xludf.DUMMYFUNCTION("""COMPUTED_VALUE"""),"RUN-COMB_2022-04-08_RFR-013")</f>
        <v>RUN-COMB_2022-04-08_RFR-013</v>
      </c>
      <c r="C235" s="7">
        <f>VLOOKUP(B235,'Run Reconcile'!A$2:B3090,2,FALSE)</f>
        <v>44659</v>
      </c>
      <c r="D235" s="11">
        <f>IFERROR(__xludf.DUMMYFUNCTION("""COMPUTED_VALUE"""),44659.0)</f>
        <v>44659</v>
      </c>
      <c r="E235" s="12">
        <f>IFERROR(__xludf.DUMMYFUNCTION("""COMPUTED_VALUE"""),0.33025462962905294)</f>
        <v>0.3302546296</v>
      </c>
      <c r="F235" s="6" t="str">
        <f>IFERROR(__xludf.DUMMYFUNCTION("""COMPUTED_VALUE"""),"Negative")</f>
        <v>Negative</v>
      </c>
      <c r="G235" s="6">
        <f>IFERROR(__xludf.DUMMYFUNCTION("""COMPUTED_VALUE"""),1.0)</f>
        <v>1</v>
      </c>
    </row>
    <row r="236">
      <c r="A236" s="6" t="str">
        <f>IFERROR(__xludf.DUMMYFUNCTION("""COMPUTED_VALUE"""),"FM3915")</f>
        <v>FM3915</v>
      </c>
      <c r="B236" s="6" t="str">
        <f>IFERROR(__xludf.DUMMYFUNCTION("""COMPUTED_VALUE"""),"RUN-COMB_2022-04-08_RFR-013")</f>
        <v>RUN-COMB_2022-04-08_RFR-013</v>
      </c>
      <c r="C236" s="7">
        <f>VLOOKUP(B236,'Run Reconcile'!A$2:B3090,2,FALSE)</f>
        <v>44659</v>
      </c>
      <c r="D236" s="11">
        <f>IFERROR(__xludf.DUMMYFUNCTION("""COMPUTED_VALUE"""),44659.0)</f>
        <v>44659</v>
      </c>
      <c r="E236" s="12">
        <f>IFERROR(__xludf.DUMMYFUNCTION("""COMPUTED_VALUE"""),0.33104166666817036)</f>
        <v>0.3310416667</v>
      </c>
      <c r="F236" s="6" t="str">
        <f>IFERROR(__xludf.DUMMYFUNCTION("""COMPUTED_VALUE"""),"Negative")</f>
        <v>Negative</v>
      </c>
      <c r="G236" s="6">
        <f>IFERROR(__xludf.DUMMYFUNCTION("""COMPUTED_VALUE"""),1.0)</f>
        <v>1</v>
      </c>
    </row>
    <row r="237">
      <c r="A237" s="6" t="str">
        <f>IFERROR(__xludf.DUMMYFUNCTION("""COMPUTED_VALUE"""),"FM3902")</f>
        <v>FM3902</v>
      </c>
      <c r="B237" s="6" t="str">
        <f>IFERROR(__xludf.DUMMYFUNCTION("""COMPUTED_VALUE"""),"RUN-COMB_2022-04-08_RFR-013")</f>
        <v>RUN-COMB_2022-04-08_RFR-013</v>
      </c>
      <c r="C237" s="7">
        <f>VLOOKUP(B237,'Run Reconcile'!A$2:B3090,2,FALSE)</f>
        <v>44659</v>
      </c>
      <c r="D237" s="11">
        <f>IFERROR(__xludf.DUMMYFUNCTION("""COMPUTED_VALUE"""),44659.0)</f>
        <v>44659</v>
      </c>
      <c r="E237" s="12">
        <f>IFERROR(__xludf.DUMMYFUNCTION("""COMPUTED_VALUE"""),0.33159722222262644)</f>
        <v>0.3315972222</v>
      </c>
      <c r="F237" s="6" t="str">
        <f>IFERROR(__xludf.DUMMYFUNCTION("""COMPUTED_VALUE"""),"Negative")</f>
        <v>Negative</v>
      </c>
      <c r="G237" s="6">
        <f>IFERROR(__xludf.DUMMYFUNCTION("""COMPUTED_VALUE"""),1.0)</f>
        <v>1</v>
      </c>
    </row>
    <row r="238">
      <c r="A238" s="6" t="str">
        <f>IFERROR(__xludf.DUMMYFUNCTION("""COMPUTED_VALUE"""),"MA128")</f>
        <v>MA128</v>
      </c>
      <c r="B238" s="6" t="str">
        <f>IFERROR(__xludf.DUMMYFUNCTION("""COMPUTED_VALUE"""),"RUN-COMB_2022-04-08_RFR-013")</f>
        <v>RUN-COMB_2022-04-08_RFR-013</v>
      </c>
      <c r="C238" s="7">
        <f>VLOOKUP(B238,'Run Reconcile'!A$2:B3090,2,FALSE)</f>
        <v>44659</v>
      </c>
      <c r="D238" s="11">
        <f>IFERROR(__xludf.DUMMYFUNCTION("""COMPUTED_VALUE"""),44659.0)</f>
        <v>44659</v>
      </c>
      <c r="E238" s="12">
        <f>IFERROR(__xludf.DUMMYFUNCTION("""COMPUTED_VALUE"""),0.33487268518365454)</f>
        <v>0.3348726852</v>
      </c>
      <c r="F238" s="6" t="str">
        <f>IFERROR(__xludf.DUMMYFUNCTION("""COMPUTED_VALUE"""),"Negative")</f>
        <v>Negative</v>
      </c>
      <c r="G238" s="6">
        <f>IFERROR(__xludf.DUMMYFUNCTION("""COMPUTED_VALUE"""),1.0)</f>
        <v>1</v>
      </c>
    </row>
    <row r="239">
      <c r="A239" s="6" t="str">
        <f>IFERROR(__xludf.DUMMYFUNCTION("""COMPUTED_VALUE"""),"FM4014")</f>
        <v>FM4014</v>
      </c>
      <c r="B239" s="6" t="str">
        <f>IFERROR(__xludf.DUMMYFUNCTION("""COMPUTED_VALUE"""),"RUN-COMB_2022-04-08_RFR-013")</f>
        <v>RUN-COMB_2022-04-08_RFR-013</v>
      </c>
      <c r="C239" s="7">
        <f>VLOOKUP(B239,'Run Reconcile'!A$2:B3090,2,FALSE)</f>
        <v>44659</v>
      </c>
      <c r="D239" s="11">
        <f>IFERROR(__xludf.DUMMYFUNCTION("""COMPUTED_VALUE"""),44659.0)</f>
        <v>44659</v>
      </c>
      <c r="E239" s="12">
        <f>IFERROR(__xludf.DUMMYFUNCTION("""COMPUTED_VALUE"""),0.3354629629611736)</f>
        <v>0.335462963</v>
      </c>
      <c r="F239" s="6" t="str">
        <f>IFERROR(__xludf.DUMMYFUNCTION("""COMPUTED_VALUE"""),"Negative")</f>
        <v>Negative</v>
      </c>
      <c r="G239" s="6">
        <f>IFERROR(__xludf.DUMMYFUNCTION("""COMPUTED_VALUE"""),1.0)</f>
        <v>1</v>
      </c>
    </row>
    <row r="240">
      <c r="A240" s="6" t="str">
        <f>IFERROR(__xludf.DUMMYFUNCTION("""COMPUTED_VALUE"""),"FM3909")</f>
        <v>FM3909</v>
      </c>
      <c r="B240" s="6" t="str">
        <f>IFERROR(__xludf.DUMMYFUNCTION("""COMPUTED_VALUE"""),"RUN-COMB_2022-04-08_RFR-013")</f>
        <v>RUN-COMB_2022-04-08_RFR-013</v>
      </c>
      <c r="C240" s="7">
        <f>VLOOKUP(B240,'Run Reconcile'!A$2:B3090,2,FALSE)</f>
        <v>44659</v>
      </c>
      <c r="D240" s="11">
        <f>IFERROR(__xludf.DUMMYFUNCTION("""COMPUTED_VALUE"""),44659.0)</f>
        <v>44659</v>
      </c>
      <c r="E240" s="12">
        <f>IFERROR(__xludf.DUMMYFUNCTION("""COMPUTED_VALUE"""),0.33623842592714936)</f>
        <v>0.3362384259</v>
      </c>
      <c r="F240" s="6" t="str">
        <f>IFERROR(__xludf.DUMMYFUNCTION("""COMPUTED_VALUE"""),"Negative")</f>
        <v>Negative</v>
      </c>
      <c r="G240" s="6">
        <f>IFERROR(__xludf.DUMMYFUNCTION("""COMPUTED_VALUE"""),1.0)</f>
        <v>1</v>
      </c>
    </row>
    <row r="241">
      <c r="A241" s="6" t="str">
        <f>IFERROR(__xludf.DUMMYFUNCTION("""COMPUTED_VALUE"""),"FM3438")</f>
        <v>FM3438</v>
      </c>
      <c r="B241" s="6" t="str">
        <f>IFERROR(__xludf.DUMMYFUNCTION("""COMPUTED_VALUE"""),"RUN-COMB_2022-04-08_RFR-013")</f>
        <v>RUN-COMB_2022-04-08_RFR-013</v>
      </c>
      <c r="C241" s="7">
        <f>VLOOKUP(B241,'Run Reconcile'!A$2:B3090,2,FALSE)</f>
        <v>44659</v>
      </c>
      <c r="D241" s="11">
        <f>IFERROR(__xludf.DUMMYFUNCTION("""COMPUTED_VALUE"""),44659.0)</f>
        <v>44659</v>
      </c>
      <c r="E241" s="12">
        <f>IFERROR(__xludf.DUMMYFUNCTION("""COMPUTED_VALUE"""),0.3366666666661331)</f>
        <v>0.3366666667</v>
      </c>
      <c r="F241" s="6" t="str">
        <f>IFERROR(__xludf.DUMMYFUNCTION("""COMPUTED_VALUE"""),"Negative")</f>
        <v>Negative</v>
      </c>
      <c r="G241" s="6">
        <f>IFERROR(__xludf.DUMMYFUNCTION("""COMPUTED_VALUE"""),1.0)</f>
        <v>1</v>
      </c>
    </row>
    <row r="242">
      <c r="A242" s="6" t="str">
        <f>IFERROR(__xludf.DUMMYFUNCTION("""COMPUTED_VALUE"""),"FM3961")</f>
        <v>FM3961</v>
      </c>
      <c r="B242" s="6" t="str">
        <f>IFERROR(__xludf.DUMMYFUNCTION("""COMPUTED_VALUE"""),"RUN-COMB_2022-04-08_RFR-013")</f>
        <v>RUN-COMB_2022-04-08_RFR-013</v>
      </c>
      <c r="C242" s="7">
        <f>VLOOKUP(B242,'Run Reconcile'!A$2:B3090,2,FALSE)</f>
        <v>44659</v>
      </c>
      <c r="D242" s="11">
        <f>IFERROR(__xludf.DUMMYFUNCTION("""COMPUTED_VALUE"""),44659.0)</f>
        <v>44659</v>
      </c>
      <c r="E242" s="12">
        <f>IFERROR(__xludf.DUMMYFUNCTION("""COMPUTED_VALUE"""),0.33769675925941556)</f>
        <v>0.3376967593</v>
      </c>
      <c r="F242" s="6" t="str">
        <f>IFERROR(__xludf.DUMMYFUNCTION("""COMPUTED_VALUE"""),"Negative")</f>
        <v>Negative</v>
      </c>
      <c r="G242" s="6">
        <f>IFERROR(__xludf.DUMMYFUNCTION("""COMPUTED_VALUE"""),1.0)</f>
        <v>1</v>
      </c>
    </row>
    <row r="243">
      <c r="A243" s="6" t="str">
        <f>IFERROR(__xludf.DUMMYFUNCTION("""COMPUTED_VALUE"""),"FM3904")</f>
        <v>FM3904</v>
      </c>
      <c r="B243" s="6" t="str">
        <f>IFERROR(__xludf.DUMMYFUNCTION("""COMPUTED_VALUE"""),"RUN-COMB_2022-04-08_RFR-013")</f>
        <v>RUN-COMB_2022-04-08_RFR-013</v>
      </c>
      <c r="C243" s="7">
        <f>VLOOKUP(B243,'Run Reconcile'!A$2:B3090,2,FALSE)</f>
        <v>44659</v>
      </c>
      <c r="D243" s="11">
        <f>IFERROR(__xludf.DUMMYFUNCTION("""COMPUTED_VALUE"""),44659.0)</f>
        <v>44659</v>
      </c>
      <c r="E243" s="12">
        <f>IFERROR(__xludf.DUMMYFUNCTION("""COMPUTED_VALUE"""),0.3390972222223354)</f>
        <v>0.3390972222</v>
      </c>
      <c r="F243" s="6" t="str">
        <f>IFERROR(__xludf.DUMMYFUNCTION("""COMPUTED_VALUE"""),"Negative")</f>
        <v>Negative</v>
      </c>
      <c r="G243" s="6">
        <f>IFERROR(__xludf.DUMMYFUNCTION("""COMPUTED_VALUE"""),1.0)</f>
        <v>1</v>
      </c>
    </row>
    <row r="244">
      <c r="A244" s="6" t="str">
        <f>IFERROR(__xludf.DUMMYFUNCTION("""COMPUTED_VALUE"""),"FM4015")</f>
        <v>FM4015</v>
      </c>
      <c r="B244" s="6" t="str">
        <f>IFERROR(__xludf.DUMMYFUNCTION("""COMPUTED_VALUE"""),"RUN-COMB_2022-04-08_RFR-013")</f>
        <v>RUN-COMB_2022-04-08_RFR-013</v>
      </c>
      <c r="C244" s="7">
        <f>VLOOKUP(B244,'Run Reconcile'!A$2:B3090,2,FALSE)</f>
        <v>44659</v>
      </c>
      <c r="D244" s="11">
        <f>IFERROR(__xludf.DUMMYFUNCTION("""COMPUTED_VALUE"""),44659.0)</f>
        <v>44659</v>
      </c>
      <c r="E244" s="12">
        <f>IFERROR(__xludf.DUMMYFUNCTION("""COMPUTED_VALUE"""),0.3397569444459805)</f>
        <v>0.3397569444</v>
      </c>
      <c r="F244" s="6" t="str">
        <f>IFERROR(__xludf.DUMMYFUNCTION("""COMPUTED_VALUE"""),"Negative")</f>
        <v>Negative</v>
      </c>
      <c r="G244" s="6">
        <f>IFERROR(__xludf.DUMMYFUNCTION("""COMPUTED_VALUE"""),1.0)</f>
        <v>1</v>
      </c>
    </row>
    <row r="245">
      <c r="A245" s="6" t="str">
        <f>IFERROR(__xludf.DUMMYFUNCTION("""COMPUTED_VALUE"""),"FM4011")</f>
        <v>FM4011</v>
      </c>
      <c r="B245" s="6" t="str">
        <f>IFERROR(__xludf.DUMMYFUNCTION("""COMPUTED_VALUE"""),"RUN-COMB_2022-04-08_RFR-013")</f>
        <v>RUN-COMB_2022-04-08_RFR-013</v>
      </c>
      <c r="C245" s="7">
        <f>VLOOKUP(B245,'Run Reconcile'!A$2:B3090,2,FALSE)</f>
        <v>44659</v>
      </c>
      <c r="D245" s="11">
        <f>IFERROR(__xludf.DUMMYFUNCTION("""COMPUTED_VALUE"""),44659.0)</f>
        <v>44659</v>
      </c>
      <c r="E245" s="12">
        <f>IFERROR(__xludf.DUMMYFUNCTION("""COMPUTED_VALUE"""),0.3404398148159089)</f>
        <v>0.3404398148</v>
      </c>
      <c r="F245" s="6" t="str">
        <f>IFERROR(__xludf.DUMMYFUNCTION("""COMPUTED_VALUE"""),"Negative")</f>
        <v>Negative</v>
      </c>
      <c r="G245" s="6">
        <f>IFERROR(__xludf.DUMMYFUNCTION("""COMPUTED_VALUE"""),1.0)</f>
        <v>1</v>
      </c>
    </row>
    <row r="246">
      <c r="A246" s="6" t="str">
        <f>IFERROR(__xludf.DUMMYFUNCTION("""COMPUTED_VALUE"""),"FM3990")</f>
        <v>FM3990</v>
      </c>
      <c r="B246" s="6" t="str">
        <f>IFERROR(__xludf.DUMMYFUNCTION("""COMPUTED_VALUE"""),"RUN-COMB_2022-04-08_RFR-013")</f>
        <v>RUN-COMB_2022-04-08_RFR-013</v>
      </c>
      <c r="C246" s="7">
        <f>VLOOKUP(B246,'Run Reconcile'!A$2:B3090,2,FALSE)</f>
        <v>44659</v>
      </c>
      <c r="D246" s="11">
        <f>IFERROR(__xludf.DUMMYFUNCTION("""COMPUTED_VALUE"""),44659.0)</f>
        <v>44659</v>
      </c>
      <c r="E246" s="12">
        <f>IFERROR(__xludf.DUMMYFUNCTION("""COMPUTED_VALUE"""),0.341030092593428)</f>
        <v>0.3410300926</v>
      </c>
      <c r="F246" s="6" t="str">
        <f>IFERROR(__xludf.DUMMYFUNCTION("""COMPUTED_VALUE"""),"Negative")</f>
        <v>Negative</v>
      </c>
      <c r="G246" s="6">
        <f>IFERROR(__xludf.DUMMYFUNCTION("""COMPUTED_VALUE"""),1.0)</f>
        <v>1</v>
      </c>
    </row>
    <row r="247">
      <c r="A247" s="6" t="str">
        <f>IFERROR(__xludf.DUMMYFUNCTION("""COMPUTED_VALUE"""),"FM3983")</f>
        <v>FM3983</v>
      </c>
      <c r="B247" s="6" t="str">
        <f>IFERROR(__xludf.DUMMYFUNCTION("""COMPUTED_VALUE"""),"RUN-COMB_2022-04-08_RFR-013")</f>
        <v>RUN-COMB_2022-04-08_RFR-013</v>
      </c>
      <c r="C247" s="7">
        <f>VLOOKUP(B247,'Run Reconcile'!A$2:B3090,2,FALSE)</f>
        <v>44659</v>
      </c>
      <c r="D247" s="11">
        <f>IFERROR(__xludf.DUMMYFUNCTION("""COMPUTED_VALUE"""),44659.0)</f>
        <v>44659</v>
      </c>
      <c r="E247" s="12">
        <f>IFERROR(__xludf.DUMMYFUNCTION("""COMPUTED_VALUE"""),0.3437962962962047)</f>
        <v>0.3437962963</v>
      </c>
      <c r="F247" s="6" t="str">
        <f>IFERROR(__xludf.DUMMYFUNCTION("""COMPUTED_VALUE"""),"Negative")</f>
        <v>Negative</v>
      </c>
      <c r="G247" s="6">
        <f>IFERROR(__xludf.DUMMYFUNCTION("""COMPUTED_VALUE"""),1.0)</f>
        <v>1</v>
      </c>
    </row>
    <row r="248">
      <c r="A248" s="6" t="str">
        <f>IFERROR(__xludf.DUMMYFUNCTION("""COMPUTED_VALUE"""),"FM4414")</f>
        <v>FM4414</v>
      </c>
      <c r="B248" s="6" t="str">
        <f>IFERROR(__xludf.DUMMYFUNCTION("""COMPUTED_VALUE"""),"RUN-COMB_2022-04-11_RFR-014")</f>
        <v>RUN-COMB_2022-04-11_RFR-014</v>
      </c>
      <c r="C248" s="7">
        <f>VLOOKUP(B248,'Run Reconcile'!A$2:B3090,2,FALSE)</f>
        <v>44662</v>
      </c>
      <c r="D248" s="11">
        <f>IFERROR(__xludf.DUMMYFUNCTION("""COMPUTED_VALUE"""),44662.0)</f>
        <v>44662</v>
      </c>
      <c r="E248" s="12">
        <f>IFERROR(__xludf.DUMMYFUNCTION("""COMPUTED_VALUE"""),0.7122569444436522)</f>
        <v>0.7122569444</v>
      </c>
      <c r="F248" s="6" t="str">
        <f>IFERROR(__xludf.DUMMYFUNCTION("""COMPUTED_VALUE"""),"Negative")</f>
        <v>Negative</v>
      </c>
      <c r="G248" s="6">
        <f>IFERROR(__xludf.DUMMYFUNCTION("""COMPUTED_VALUE"""),1.0)</f>
        <v>1</v>
      </c>
    </row>
    <row r="249">
      <c r="A249" s="6" t="str">
        <f>IFERROR(__xludf.DUMMYFUNCTION("""COMPUTED_VALUE"""),"FM4403")</f>
        <v>FM4403</v>
      </c>
      <c r="B249" s="6" t="str">
        <f>IFERROR(__xludf.DUMMYFUNCTION("""COMPUTED_VALUE"""),"RUN-COMB_2022-04-11_RFR-014")</f>
        <v>RUN-COMB_2022-04-11_RFR-014</v>
      </c>
      <c r="C249" s="7">
        <f>VLOOKUP(B249,'Run Reconcile'!A$2:B3090,2,FALSE)</f>
        <v>44662</v>
      </c>
      <c r="D249" s="11">
        <f>IFERROR(__xludf.DUMMYFUNCTION("""COMPUTED_VALUE"""),44662.0)</f>
        <v>44662</v>
      </c>
      <c r="E249" s="12">
        <f>IFERROR(__xludf.DUMMYFUNCTION("""COMPUTED_VALUE"""),0.7166319444440887)</f>
        <v>0.7166319444</v>
      </c>
      <c r="F249" s="6" t="str">
        <f>IFERROR(__xludf.DUMMYFUNCTION("""COMPUTED_VALUE"""),"Negative")</f>
        <v>Negative</v>
      </c>
      <c r="G249" s="6">
        <f>IFERROR(__xludf.DUMMYFUNCTION("""COMPUTED_VALUE"""),1.0)</f>
        <v>1</v>
      </c>
    </row>
    <row r="250">
      <c r="A250" s="6" t="str">
        <f>IFERROR(__xludf.DUMMYFUNCTION("""COMPUTED_VALUE"""),"FM4256")</f>
        <v>FM4256</v>
      </c>
      <c r="B250" s="6" t="str">
        <f>IFERROR(__xludf.DUMMYFUNCTION("""COMPUTED_VALUE"""),"RUN-COMB_2022-04-11_RFR-014")</f>
        <v>RUN-COMB_2022-04-11_RFR-014</v>
      </c>
      <c r="C250" s="7">
        <f>VLOOKUP(B250,'Run Reconcile'!A$2:B3090,2,FALSE)</f>
        <v>44662</v>
      </c>
      <c r="D250" s="11">
        <f>IFERROR(__xludf.DUMMYFUNCTION("""COMPUTED_VALUE"""),44662.0)</f>
        <v>44662</v>
      </c>
      <c r="E250" s="12">
        <f>IFERROR(__xludf.DUMMYFUNCTION("""COMPUTED_VALUE"""),0.7173032407408755)</f>
        <v>0.7173032407</v>
      </c>
      <c r="F250" s="6" t="str">
        <f>IFERROR(__xludf.DUMMYFUNCTION("""COMPUTED_VALUE"""),"Negative")</f>
        <v>Negative</v>
      </c>
      <c r="G250" s="6">
        <f>IFERROR(__xludf.DUMMYFUNCTION("""COMPUTED_VALUE"""),1.0)</f>
        <v>1</v>
      </c>
    </row>
    <row r="251">
      <c r="A251" s="6" t="str">
        <f>IFERROR(__xludf.DUMMYFUNCTION("""COMPUTED_VALUE"""),"FM4440")</f>
        <v>FM4440</v>
      </c>
      <c r="B251" s="6" t="str">
        <f>IFERROR(__xludf.DUMMYFUNCTION("""COMPUTED_VALUE"""),"RUN-COMB_2022-04-11_RFR-014")</f>
        <v>RUN-COMB_2022-04-11_RFR-014</v>
      </c>
      <c r="C251" s="7">
        <f>VLOOKUP(B251,'Run Reconcile'!A$2:B3090,2,FALSE)</f>
        <v>44662</v>
      </c>
      <c r="D251" s="11">
        <f>IFERROR(__xludf.DUMMYFUNCTION("""COMPUTED_VALUE"""),44662.0)</f>
        <v>44662</v>
      </c>
      <c r="E251" s="12">
        <f>IFERROR(__xludf.DUMMYFUNCTION("""COMPUTED_VALUE"""),0.7178703703721112)</f>
        <v>0.7178703704</v>
      </c>
      <c r="F251" s="6" t="str">
        <f>IFERROR(__xludf.DUMMYFUNCTION("""COMPUTED_VALUE"""),"Negative")</f>
        <v>Negative</v>
      </c>
      <c r="G251" s="6">
        <f>IFERROR(__xludf.DUMMYFUNCTION("""COMPUTED_VALUE"""),1.0)</f>
        <v>1</v>
      </c>
    </row>
    <row r="252">
      <c r="A252" s="6" t="str">
        <f>IFERROR(__xludf.DUMMYFUNCTION("""COMPUTED_VALUE"""),"FM4260")</f>
        <v>FM4260</v>
      </c>
      <c r="B252" s="6" t="str">
        <f>IFERROR(__xludf.DUMMYFUNCTION("""COMPUTED_VALUE"""),"RUN-COMB_2022-04-11_RFR-014")</f>
        <v>RUN-COMB_2022-04-11_RFR-014</v>
      </c>
      <c r="C252" s="7">
        <f>VLOOKUP(B252,'Run Reconcile'!A$2:B3090,2,FALSE)</f>
        <v>44662</v>
      </c>
      <c r="D252" s="11">
        <f>IFERROR(__xludf.DUMMYFUNCTION("""COMPUTED_VALUE"""),44662.0)</f>
        <v>44662</v>
      </c>
      <c r="E252" s="12">
        <f>IFERROR(__xludf.DUMMYFUNCTION("""COMPUTED_VALUE"""),0.7252314814832062)</f>
        <v>0.7252314815</v>
      </c>
      <c r="F252" s="6" t="str">
        <f>IFERROR(__xludf.DUMMYFUNCTION("""COMPUTED_VALUE"""),"Negative")</f>
        <v>Negative</v>
      </c>
      <c r="G252" s="6">
        <f>IFERROR(__xludf.DUMMYFUNCTION("""COMPUTED_VALUE"""),1.0)</f>
        <v>1</v>
      </c>
    </row>
    <row r="253">
      <c r="A253" s="6" t="str">
        <f>IFERROR(__xludf.DUMMYFUNCTION("""COMPUTED_VALUE"""),"FM4253")</f>
        <v>FM4253</v>
      </c>
      <c r="B253" s="6" t="str">
        <f>IFERROR(__xludf.DUMMYFUNCTION("""COMPUTED_VALUE"""),"RUN-COMB_2022-04-11_RFR-014")</f>
        <v>RUN-COMB_2022-04-11_RFR-014</v>
      </c>
      <c r="C253" s="7">
        <f>VLOOKUP(B253,'Run Reconcile'!A$2:B3090,2,FALSE)</f>
        <v>44662</v>
      </c>
      <c r="D253" s="11">
        <f>IFERROR(__xludf.DUMMYFUNCTION("""COMPUTED_VALUE"""),44662.0)</f>
        <v>44662</v>
      </c>
      <c r="E253" s="12">
        <f>IFERROR(__xludf.DUMMYFUNCTION("""COMPUTED_VALUE"""),0.7257638888877409)</f>
        <v>0.7257638889</v>
      </c>
      <c r="F253" s="6" t="str">
        <f>IFERROR(__xludf.DUMMYFUNCTION("""COMPUTED_VALUE"""),"Negative")</f>
        <v>Negative</v>
      </c>
      <c r="G253" s="6">
        <f>IFERROR(__xludf.DUMMYFUNCTION("""COMPUTED_VALUE"""),1.0)</f>
        <v>1</v>
      </c>
    </row>
    <row r="254">
      <c r="A254" s="6" t="str">
        <f>IFERROR(__xludf.DUMMYFUNCTION("""COMPUTED_VALUE"""),"FM4412")</f>
        <v>FM4412</v>
      </c>
      <c r="B254" s="6" t="str">
        <f>IFERROR(__xludf.DUMMYFUNCTION("""COMPUTED_VALUE"""),"RUN-COMB_2022-04-11_RFR-014")</f>
        <v>RUN-COMB_2022-04-11_RFR-014</v>
      </c>
      <c r="C254" s="7">
        <f>VLOOKUP(B254,'Run Reconcile'!A$2:B3090,2,FALSE)</f>
        <v>44662</v>
      </c>
      <c r="D254" s="11">
        <f>IFERROR(__xludf.DUMMYFUNCTION("""COMPUTED_VALUE"""),44662.0)</f>
        <v>44662</v>
      </c>
      <c r="E254" s="12">
        <f>IFERROR(__xludf.DUMMYFUNCTION("""COMPUTED_VALUE"""),0.7275462962970778)</f>
        <v>0.7275462963</v>
      </c>
      <c r="F254" s="6" t="str">
        <f>IFERROR(__xludf.DUMMYFUNCTION("""COMPUTED_VALUE"""),"Negative")</f>
        <v>Negative</v>
      </c>
      <c r="G254" s="6">
        <f>IFERROR(__xludf.DUMMYFUNCTION("""COMPUTED_VALUE"""),1.0)</f>
        <v>1</v>
      </c>
    </row>
    <row r="255">
      <c r="A255" s="6" t="str">
        <f>IFERROR(__xludf.DUMMYFUNCTION("""COMPUTED_VALUE"""),"FM4422")</f>
        <v>FM4422</v>
      </c>
      <c r="B255" s="6" t="str">
        <f>IFERROR(__xludf.DUMMYFUNCTION("""COMPUTED_VALUE"""),"RUN-COMB_2022-04-11_RFR-014")</f>
        <v>RUN-COMB_2022-04-11_RFR-014</v>
      </c>
      <c r="C255" s="7">
        <f>VLOOKUP(B255,'Run Reconcile'!A$2:B3090,2,FALSE)</f>
        <v>44662</v>
      </c>
      <c r="D255" s="11">
        <f>IFERROR(__xludf.DUMMYFUNCTION("""COMPUTED_VALUE"""),44662.0)</f>
        <v>44662</v>
      </c>
      <c r="E255" s="12">
        <f>IFERROR(__xludf.DUMMYFUNCTION("""COMPUTED_VALUE"""),0.7280787037052505)</f>
        <v>0.7280787037</v>
      </c>
      <c r="F255" s="6" t="str">
        <f>IFERROR(__xludf.DUMMYFUNCTION("""COMPUTED_VALUE"""),"Negative")</f>
        <v>Negative</v>
      </c>
      <c r="G255" s="6">
        <f>IFERROR(__xludf.DUMMYFUNCTION("""COMPUTED_VALUE"""),1.0)</f>
        <v>1</v>
      </c>
    </row>
    <row r="256">
      <c r="A256" s="6" t="str">
        <f>IFERROR(__xludf.DUMMYFUNCTION("""COMPUTED_VALUE"""),"FM4252")</f>
        <v>FM4252</v>
      </c>
      <c r="B256" s="6" t="str">
        <f>IFERROR(__xludf.DUMMYFUNCTION("""COMPUTED_VALUE"""),"RUN-COMB_2022-04-11_RFR-014")</f>
        <v>RUN-COMB_2022-04-11_RFR-014</v>
      </c>
      <c r="C256" s="7">
        <f>VLOOKUP(B256,'Run Reconcile'!A$2:B3090,2,FALSE)</f>
        <v>44662</v>
      </c>
      <c r="D256" s="11">
        <f>IFERROR(__xludf.DUMMYFUNCTION("""COMPUTED_VALUE"""),44662.0)</f>
        <v>44662</v>
      </c>
      <c r="E256" s="12">
        <f>IFERROR(__xludf.DUMMYFUNCTION("""COMPUTED_VALUE"""),0.7286805555559113)</f>
        <v>0.7286805556</v>
      </c>
      <c r="F256" s="6" t="str">
        <f>IFERROR(__xludf.DUMMYFUNCTION("""COMPUTED_VALUE"""),"Negative")</f>
        <v>Negative</v>
      </c>
      <c r="G256" s="6">
        <f>IFERROR(__xludf.DUMMYFUNCTION("""COMPUTED_VALUE"""),1.0)</f>
        <v>1</v>
      </c>
    </row>
    <row r="257">
      <c r="A257" s="6" t="str">
        <f>IFERROR(__xludf.DUMMYFUNCTION("""COMPUTED_VALUE"""),"FM4439")</f>
        <v>FM4439</v>
      </c>
      <c r="B257" s="6" t="str">
        <f>IFERROR(__xludf.DUMMYFUNCTION("""COMPUTED_VALUE"""),"RUN-COMB_2022-04-11_RFR-014")</f>
        <v>RUN-COMB_2022-04-11_RFR-014</v>
      </c>
      <c r="C257" s="7">
        <f>VLOOKUP(B257,'Run Reconcile'!A$2:B3090,2,FALSE)</f>
        <v>44662</v>
      </c>
      <c r="D257" s="11">
        <f>IFERROR(__xludf.DUMMYFUNCTION("""COMPUTED_VALUE"""),44662.0)</f>
        <v>44662</v>
      </c>
      <c r="E257" s="12">
        <f>IFERROR(__xludf.DUMMYFUNCTION("""COMPUTED_VALUE"""),0.7332407407411665)</f>
        <v>0.7332407407</v>
      </c>
      <c r="F257" s="6" t="str">
        <f>IFERROR(__xludf.DUMMYFUNCTION("""COMPUTED_VALUE"""),"Negative")</f>
        <v>Negative</v>
      </c>
      <c r="G257" s="6">
        <f>IFERROR(__xludf.DUMMYFUNCTION("""COMPUTED_VALUE"""),1.0)</f>
        <v>1</v>
      </c>
    </row>
    <row r="258">
      <c r="A258" s="6" t="str">
        <f>IFERROR(__xludf.DUMMYFUNCTION("""COMPUTED_VALUE"""),"FM4407")</f>
        <v>FM4407</v>
      </c>
      <c r="B258" s="6" t="str">
        <f>IFERROR(__xludf.DUMMYFUNCTION("""COMPUTED_VALUE"""),"RUN-COMB_2022-04-11_RFR-014")</f>
        <v>RUN-COMB_2022-04-11_RFR-014</v>
      </c>
      <c r="C258" s="7">
        <f>VLOOKUP(B258,'Run Reconcile'!A$2:B3090,2,FALSE)</f>
        <v>44662</v>
      </c>
      <c r="D258" s="11">
        <f>IFERROR(__xludf.DUMMYFUNCTION("""COMPUTED_VALUE"""),44662.0)</f>
        <v>44662</v>
      </c>
      <c r="E258" s="12">
        <f>IFERROR(__xludf.DUMMYFUNCTION("""COMPUTED_VALUE"""),0.7337615740725596)</f>
        <v>0.7337615741</v>
      </c>
      <c r="F258" s="6" t="str">
        <f>IFERROR(__xludf.DUMMYFUNCTION("""COMPUTED_VALUE"""),"Negative")</f>
        <v>Negative</v>
      </c>
      <c r="G258" s="6">
        <f>IFERROR(__xludf.DUMMYFUNCTION("""COMPUTED_VALUE"""),1.0)</f>
        <v>1</v>
      </c>
    </row>
    <row r="259">
      <c r="A259" s="6" t="str">
        <f>IFERROR(__xludf.DUMMYFUNCTION("""COMPUTED_VALUE"""),"FM4383")</f>
        <v>FM4383</v>
      </c>
      <c r="B259" s="6" t="str">
        <f>IFERROR(__xludf.DUMMYFUNCTION("""COMPUTED_VALUE"""),"RUN-COMB_2022-04-11_RFR-014")</f>
        <v>RUN-COMB_2022-04-11_RFR-014</v>
      </c>
      <c r="C259" s="7">
        <f>VLOOKUP(B259,'Run Reconcile'!A$2:B3090,2,FALSE)</f>
        <v>44662</v>
      </c>
      <c r="D259" s="11">
        <f>IFERROR(__xludf.DUMMYFUNCTION("""COMPUTED_VALUE"""),44662.0)</f>
        <v>44662</v>
      </c>
      <c r="E259" s="12">
        <f>IFERROR(__xludf.DUMMYFUNCTION("""COMPUTED_VALUE"""),0.734375)</f>
        <v>0.734375</v>
      </c>
      <c r="F259" s="6" t="str">
        <f>IFERROR(__xludf.DUMMYFUNCTION("""COMPUTED_VALUE"""),"Negative")</f>
        <v>Negative</v>
      </c>
      <c r="G259" s="6">
        <f>IFERROR(__xludf.DUMMYFUNCTION("""COMPUTED_VALUE"""),1.0)</f>
        <v>1</v>
      </c>
    </row>
    <row r="260">
      <c r="A260" s="6" t="str">
        <f>IFERROR(__xludf.DUMMYFUNCTION("""COMPUTED_VALUE"""),"FM4425")</f>
        <v>FM4425</v>
      </c>
      <c r="B260" s="6" t="str">
        <f>IFERROR(__xludf.DUMMYFUNCTION("""COMPUTED_VALUE"""),"RUN-COMB_2022-04-11_RFR-014")</f>
        <v>RUN-COMB_2022-04-11_RFR-014</v>
      </c>
      <c r="C260" s="7">
        <f>VLOOKUP(B260,'Run Reconcile'!A$2:B3090,2,FALSE)</f>
        <v>44662</v>
      </c>
      <c r="D260" s="11">
        <f>IFERROR(__xludf.DUMMYFUNCTION("""COMPUTED_VALUE"""),44662.0)</f>
        <v>44662</v>
      </c>
      <c r="E260" s="12">
        <f>IFERROR(__xludf.DUMMYFUNCTION("""COMPUTED_VALUE"""),0.7356250000011642)</f>
        <v>0.735625</v>
      </c>
      <c r="F260" s="6" t="str">
        <f>IFERROR(__xludf.DUMMYFUNCTION("""COMPUTED_VALUE"""),"Negative")</f>
        <v>Negative</v>
      </c>
      <c r="G260" s="6">
        <f>IFERROR(__xludf.DUMMYFUNCTION("""COMPUTED_VALUE"""),1.0)</f>
        <v>1</v>
      </c>
    </row>
    <row r="261">
      <c r="A261" s="6" t="str">
        <f>IFERROR(__xludf.DUMMYFUNCTION("""COMPUTED_VALUE"""),"FM4428")</f>
        <v>FM4428</v>
      </c>
      <c r="B261" s="6" t="str">
        <f>IFERROR(__xludf.DUMMYFUNCTION("""COMPUTED_VALUE"""),"RUN-COMB_2022-04-11_RFR-014")</f>
        <v>RUN-COMB_2022-04-11_RFR-014</v>
      </c>
      <c r="C261" s="7">
        <f>VLOOKUP(B261,'Run Reconcile'!A$2:B3090,2,FALSE)</f>
        <v>44662</v>
      </c>
      <c r="D261" s="11">
        <f>IFERROR(__xludf.DUMMYFUNCTION("""COMPUTED_VALUE"""),44662.0)</f>
        <v>44662</v>
      </c>
      <c r="E261" s="12">
        <f>IFERROR(__xludf.DUMMYFUNCTION("""COMPUTED_VALUE"""),0.7376273148147448)</f>
        <v>0.7376273148</v>
      </c>
      <c r="F261" s="6" t="str">
        <f>IFERROR(__xludf.DUMMYFUNCTION("""COMPUTED_VALUE"""),"Negative")</f>
        <v>Negative</v>
      </c>
      <c r="G261" s="6">
        <f>IFERROR(__xludf.DUMMYFUNCTION("""COMPUTED_VALUE"""),1.0)</f>
        <v>1</v>
      </c>
    </row>
    <row r="262">
      <c r="A262" s="6" t="str">
        <f>IFERROR(__xludf.DUMMYFUNCTION("""COMPUTED_VALUE"""),"FM4456")</f>
        <v>FM4456</v>
      </c>
      <c r="B262" s="6" t="str">
        <f>IFERROR(__xludf.DUMMYFUNCTION("""COMPUTED_VALUE"""),"RUN-COMB_2022-04-11_RFR-014")</f>
        <v>RUN-COMB_2022-04-11_RFR-014</v>
      </c>
      <c r="C262" s="7">
        <f>VLOOKUP(B262,'Run Reconcile'!A$2:B3090,2,FALSE)</f>
        <v>44662</v>
      </c>
      <c r="D262" s="11">
        <f>IFERROR(__xludf.DUMMYFUNCTION("""COMPUTED_VALUE"""),44662.0)</f>
        <v>44662</v>
      </c>
      <c r="E262" s="12">
        <f>IFERROR(__xludf.DUMMYFUNCTION("""COMPUTED_VALUE"""),0.7410995370373712)</f>
        <v>0.741099537</v>
      </c>
      <c r="F262" s="6" t="str">
        <f>IFERROR(__xludf.DUMMYFUNCTION("""COMPUTED_VALUE"""),"Negative")</f>
        <v>Negative</v>
      </c>
      <c r="G262" s="6">
        <f>IFERROR(__xludf.DUMMYFUNCTION("""COMPUTED_VALUE"""),1.0)</f>
        <v>1</v>
      </c>
    </row>
    <row r="263">
      <c r="A263" s="6" t="str">
        <f>IFERROR(__xludf.DUMMYFUNCTION("""COMPUTED_VALUE"""),"FM4393")</f>
        <v>FM4393</v>
      </c>
      <c r="B263" s="6" t="str">
        <f>IFERROR(__xludf.DUMMYFUNCTION("""COMPUTED_VALUE"""),"RUN-COMB_2022-04-11_RFR-014")</f>
        <v>RUN-COMB_2022-04-11_RFR-014</v>
      </c>
      <c r="C263" s="7">
        <f>VLOOKUP(B263,'Run Reconcile'!A$2:B3090,2,FALSE)</f>
        <v>44662</v>
      </c>
      <c r="D263" s="11">
        <f>IFERROR(__xludf.DUMMYFUNCTION("""COMPUTED_VALUE"""),44662.0)</f>
        <v>44662</v>
      </c>
      <c r="E263" s="12">
        <f>IFERROR(__xludf.DUMMYFUNCTION("""COMPUTED_VALUE"""),0.7416666666649689)</f>
        <v>0.7416666667</v>
      </c>
      <c r="F263" s="6" t="str">
        <f>IFERROR(__xludf.DUMMYFUNCTION("""COMPUTED_VALUE"""),"Negative")</f>
        <v>Negative</v>
      </c>
      <c r="G263" s="6">
        <f>IFERROR(__xludf.DUMMYFUNCTION("""COMPUTED_VALUE"""),1.0)</f>
        <v>1</v>
      </c>
    </row>
    <row r="264">
      <c r="A264" s="6" t="str">
        <f>IFERROR(__xludf.DUMMYFUNCTION("""COMPUTED_VALUE"""),"FM4257")</f>
        <v>FM4257</v>
      </c>
      <c r="B264" s="6" t="str">
        <f>IFERROR(__xludf.DUMMYFUNCTION("""COMPUTED_VALUE"""),"RUN-COMB_2022-04-11_RFR-014")</f>
        <v>RUN-COMB_2022-04-11_RFR-014</v>
      </c>
      <c r="C264" s="7">
        <f>VLOOKUP(B264,'Run Reconcile'!A$2:B3090,2,FALSE)</f>
        <v>44662</v>
      </c>
      <c r="D264" s="11">
        <f>IFERROR(__xludf.DUMMYFUNCTION("""COMPUTED_VALUE"""),44662.0)</f>
        <v>44662</v>
      </c>
      <c r="E264" s="12">
        <f>IFERROR(__xludf.DUMMYFUNCTION("""COMPUTED_VALUE"""),0.7490393518528435)</f>
        <v>0.7490393519</v>
      </c>
      <c r="F264" s="6" t="str">
        <f>IFERROR(__xludf.DUMMYFUNCTION("""COMPUTED_VALUE"""),"Negative")</f>
        <v>Negative</v>
      </c>
      <c r="G264" s="6">
        <f>IFERROR(__xludf.DUMMYFUNCTION("""COMPUTED_VALUE"""),1.0)</f>
        <v>1</v>
      </c>
    </row>
    <row r="265">
      <c r="A265" s="6" t="str">
        <f>IFERROR(__xludf.DUMMYFUNCTION("""COMPUTED_VALUE"""),"FM4468")</f>
        <v>FM4468</v>
      </c>
      <c r="B265" s="6" t="str">
        <f>IFERROR(__xludf.DUMMYFUNCTION("""COMPUTED_VALUE"""),"RUN-COMB_2022-04-11_RFR-014")</f>
        <v>RUN-COMB_2022-04-11_RFR-014</v>
      </c>
      <c r="C265" s="7">
        <f>VLOOKUP(B265,'Run Reconcile'!A$2:B3090,2,FALSE)</f>
        <v>44662</v>
      </c>
      <c r="D265" s="11">
        <f>IFERROR(__xludf.DUMMYFUNCTION("""COMPUTED_VALUE"""),44662.0)</f>
        <v>44662</v>
      </c>
      <c r="E265" s="12">
        <f>IFERROR(__xludf.DUMMYFUNCTION("""COMPUTED_VALUE"""),0.749722222222772)</f>
        <v>0.7497222222</v>
      </c>
      <c r="F265" s="6" t="str">
        <f>IFERROR(__xludf.DUMMYFUNCTION("""COMPUTED_VALUE"""),"Negative")</f>
        <v>Negative</v>
      </c>
      <c r="G265" s="6">
        <f>IFERROR(__xludf.DUMMYFUNCTION("""COMPUTED_VALUE"""),1.0)</f>
        <v>1</v>
      </c>
    </row>
    <row r="266">
      <c r="A266" s="6" t="str">
        <f>IFERROR(__xludf.DUMMYFUNCTION("""COMPUTED_VALUE"""),"FM4496")</f>
        <v>FM4496</v>
      </c>
      <c r="B266" s="6" t="str">
        <f>IFERROR(__xludf.DUMMYFUNCTION("""COMPUTED_VALUE"""),"RUN-COMB_2022-04-11_RFR-014")</f>
        <v>RUN-COMB_2022-04-11_RFR-014</v>
      </c>
      <c r="C266" s="7">
        <f>VLOOKUP(B266,'Run Reconcile'!A$2:B3090,2,FALSE)</f>
        <v>44662</v>
      </c>
      <c r="D266" s="11">
        <f>IFERROR(__xludf.DUMMYFUNCTION("""COMPUTED_VALUE"""),44662.0)</f>
        <v>44662</v>
      </c>
      <c r="E266" s="12">
        <f>IFERROR(__xludf.DUMMYFUNCTION("""COMPUTED_VALUE"""),0.7503819444427791)</f>
        <v>0.7503819444</v>
      </c>
      <c r="F266" s="6" t="str">
        <f>IFERROR(__xludf.DUMMYFUNCTION("""COMPUTED_VALUE"""),"Negative")</f>
        <v>Negative</v>
      </c>
      <c r="G266" s="6">
        <f>IFERROR(__xludf.DUMMYFUNCTION("""COMPUTED_VALUE"""),1.0)</f>
        <v>1</v>
      </c>
    </row>
    <row r="267">
      <c r="A267" s="6" t="str">
        <f>IFERROR(__xludf.DUMMYFUNCTION("""COMPUTED_VALUE"""),"FM4259")</f>
        <v>FM4259</v>
      </c>
      <c r="B267" s="6" t="str">
        <f>IFERROR(__xludf.DUMMYFUNCTION("""COMPUTED_VALUE"""),"RUN-COMB_2022-04-11_RFR-014")</f>
        <v>RUN-COMB_2022-04-11_RFR-014</v>
      </c>
      <c r="C267" s="7">
        <f>VLOOKUP(B267,'Run Reconcile'!A$2:B3090,2,FALSE)</f>
        <v>44662</v>
      </c>
      <c r="D267" s="11">
        <f>IFERROR(__xludf.DUMMYFUNCTION("""COMPUTED_VALUE"""),44662.0)</f>
        <v>44662</v>
      </c>
      <c r="E267" s="12">
        <f>IFERROR(__xludf.DUMMYFUNCTION("""COMPUTED_VALUE"""),0.7509375000008731)</f>
        <v>0.7509375</v>
      </c>
      <c r="F267" s="6" t="str">
        <f>IFERROR(__xludf.DUMMYFUNCTION("""COMPUTED_VALUE"""),"Negative")</f>
        <v>Negative</v>
      </c>
      <c r="G267" s="6">
        <f>IFERROR(__xludf.DUMMYFUNCTION("""COMPUTED_VALUE"""),1.0)</f>
        <v>1</v>
      </c>
    </row>
    <row r="268">
      <c r="A268" s="6" t="str">
        <f>IFERROR(__xludf.DUMMYFUNCTION("""COMPUTED_VALUE"""),"FM4460")</f>
        <v>FM4460</v>
      </c>
      <c r="B268" s="6" t="str">
        <f>IFERROR(__xludf.DUMMYFUNCTION("""COMPUTED_VALUE"""),"RUN-COMB_2022-04-11_RFR-014")</f>
        <v>RUN-COMB_2022-04-11_RFR-014</v>
      </c>
      <c r="C268" s="7">
        <f>VLOOKUP(B268,'Run Reconcile'!A$2:B3090,2,FALSE)</f>
        <v>44662</v>
      </c>
      <c r="D268" s="11">
        <f>IFERROR(__xludf.DUMMYFUNCTION("""COMPUTED_VALUE"""),44662.0)</f>
        <v>44662</v>
      </c>
      <c r="E268" s="12">
        <f>IFERROR(__xludf.DUMMYFUNCTION("""COMPUTED_VALUE"""),0.7514699074090458)</f>
        <v>0.7514699074</v>
      </c>
      <c r="F268" s="6" t="str">
        <f>IFERROR(__xludf.DUMMYFUNCTION("""COMPUTED_VALUE"""),"Negative")</f>
        <v>Negative</v>
      </c>
      <c r="G268" s="6">
        <f>IFERROR(__xludf.DUMMYFUNCTION("""COMPUTED_VALUE"""),1.0)</f>
        <v>1</v>
      </c>
    </row>
    <row r="269">
      <c r="A269" s="6" t="str">
        <f>IFERROR(__xludf.DUMMYFUNCTION("""COMPUTED_VALUE"""),"FM4420")</f>
        <v>FM4420</v>
      </c>
      <c r="B269" s="6" t="str">
        <f>IFERROR(__xludf.DUMMYFUNCTION("""COMPUTED_VALUE"""),"RUN-COMB_2022-04-11_RFR-014")</f>
        <v>RUN-COMB_2022-04-11_RFR-014</v>
      </c>
      <c r="C269" s="7">
        <f>VLOOKUP(B269,'Run Reconcile'!A$2:B3090,2,FALSE)</f>
        <v>44662</v>
      </c>
      <c r="D269" s="11">
        <f>IFERROR(__xludf.DUMMYFUNCTION("""COMPUTED_VALUE"""),44662.0)</f>
        <v>44662</v>
      </c>
      <c r="E269" s="12">
        <f>IFERROR(__xludf.DUMMYFUNCTION("""COMPUTED_VALUE"""),0.7520370370366436)</f>
        <v>0.752037037</v>
      </c>
      <c r="F269" s="6" t="str">
        <f>IFERROR(__xludf.DUMMYFUNCTION("""COMPUTED_VALUE"""),"Negative")</f>
        <v>Negative</v>
      </c>
      <c r="G269" s="6">
        <f>IFERROR(__xludf.DUMMYFUNCTION("""COMPUTED_VALUE"""),1.0)</f>
        <v>1</v>
      </c>
    </row>
    <row r="270">
      <c r="A270" s="6" t="str">
        <f>IFERROR(__xludf.DUMMYFUNCTION("""COMPUTED_VALUE"""),"FM4479")</f>
        <v>FM4479</v>
      </c>
      <c r="B270" s="6" t="str">
        <f>IFERROR(__xludf.DUMMYFUNCTION("""COMPUTED_VALUE"""),"RUN-COMB_2022-04-11_RFR-014")</f>
        <v>RUN-COMB_2022-04-11_RFR-014</v>
      </c>
      <c r="C270" s="7">
        <f>VLOOKUP(B270,'Run Reconcile'!A$2:B3090,2,FALSE)</f>
        <v>44662</v>
      </c>
      <c r="D270" s="11">
        <f>IFERROR(__xludf.DUMMYFUNCTION("""COMPUTED_VALUE"""),44662.0)</f>
        <v>44662</v>
      </c>
      <c r="E270" s="12">
        <f>IFERROR(__xludf.DUMMYFUNCTION("""COMPUTED_VALUE"""),0.7526736111103673)</f>
        <v>0.7526736111</v>
      </c>
      <c r="F270" s="6" t="str">
        <f>IFERROR(__xludf.DUMMYFUNCTION("""COMPUTED_VALUE"""),"Negative")</f>
        <v>Negative</v>
      </c>
      <c r="G270" s="6">
        <f>IFERROR(__xludf.DUMMYFUNCTION("""COMPUTED_VALUE"""),1.0)</f>
        <v>1</v>
      </c>
    </row>
    <row r="271">
      <c r="A271" s="6" t="str">
        <f>IFERROR(__xludf.DUMMYFUNCTION("""COMPUTED_VALUE"""),"FM4385")</f>
        <v>FM4385</v>
      </c>
      <c r="B271" s="6" t="str">
        <f>IFERROR(__xludf.DUMMYFUNCTION("""COMPUTED_VALUE"""),"RUN-COMB_2022-04-11_RFR-014")</f>
        <v>RUN-COMB_2022-04-11_RFR-014</v>
      </c>
      <c r="C271" s="7">
        <f>VLOOKUP(B271,'Run Reconcile'!A$2:B3090,2,FALSE)</f>
        <v>44662</v>
      </c>
      <c r="D271" s="11">
        <f>IFERROR(__xludf.DUMMYFUNCTION("""COMPUTED_VALUE"""),44662.0)</f>
        <v>44662</v>
      </c>
      <c r="E271" s="12">
        <f>IFERROR(__xludf.DUMMYFUNCTION("""COMPUTED_VALUE"""),0.7930092592578148)</f>
        <v>0.7930092593</v>
      </c>
      <c r="F271" s="6" t="str">
        <f>IFERROR(__xludf.DUMMYFUNCTION("""COMPUTED_VALUE"""),"Negative")</f>
        <v>Negative</v>
      </c>
      <c r="G271" s="6">
        <f>IFERROR(__xludf.DUMMYFUNCTION("""COMPUTED_VALUE"""),1.0)</f>
        <v>1</v>
      </c>
    </row>
    <row r="272">
      <c r="A272" s="6" t="str">
        <f>IFERROR(__xludf.DUMMYFUNCTION("""COMPUTED_VALUE"""),"FM4452")</f>
        <v>FM4452</v>
      </c>
      <c r="B272" s="6" t="str">
        <f>IFERROR(__xludf.DUMMYFUNCTION("""COMPUTED_VALUE"""),"RUN-COMB_2022-04-12_RFR-015")</f>
        <v>RUN-COMB_2022-04-12_RFR-015</v>
      </c>
      <c r="C272" s="7">
        <f>VLOOKUP(B272,'Run Reconcile'!A$2:B3090,2,FALSE)</f>
        <v>44663</v>
      </c>
      <c r="D272" s="11">
        <f>IFERROR(__xludf.DUMMYFUNCTION("""COMPUTED_VALUE"""),44663.0)</f>
        <v>44663</v>
      </c>
      <c r="E272" s="12">
        <f>IFERROR(__xludf.DUMMYFUNCTION("""COMPUTED_VALUE"""),0.2619907407424762)</f>
        <v>0.2619907407</v>
      </c>
      <c r="F272" s="6" t="str">
        <f>IFERROR(__xludf.DUMMYFUNCTION("""COMPUTED_VALUE"""),"Negative")</f>
        <v>Negative</v>
      </c>
      <c r="G272" s="6">
        <f>IFERROR(__xludf.DUMMYFUNCTION("""COMPUTED_VALUE"""),1.0)</f>
        <v>1</v>
      </c>
    </row>
    <row r="273">
      <c r="A273" s="6" t="str">
        <f>IFERROR(__xludf.DUMMYFUNCTION("""COMPUTED_VALUE"""),"FM4464")</f>
        <v>FM4464</v>
      </c>
      <c r="B273" s="6" t="str">
        <f>IFERROR(__xludf.DUMMYFUNCTION("""COMPUTED_VALUE"""),"RUN-COMB_2022-04-12_RFR-015")</f>
        <v>RUN-COMB_2022-04-12_RFR-015</v>
      </c>
      <c r="C273" s="7">
        <f>VLOOKUP(B273,'Run Reconcile'!A$2:B3090,2,FALSE)</f>
        <v>44663</v>
      </c>
      <c r="D273" s="11">
        <f>IFERROR(__xludf.DUMMYFUNCTION("""COMPUTED_VALUE"""),44663.0)</f>
        <v>44663</v>
      </c>
      <c r="E273" s="12">
        <f>IFERROR(__xludf.DUMMYFUNCTION("""COMPUTED_VALUE"""),0.2626157407394203)</f>
        <v>0.2626157407</v>
      </c>
      <c r="F273" s="6" t="str">
        <f>IFERROR(__xludf.DUMMYFUNCTION("""COMPUTED_VALUE"""),"Negative")</f>
        <v>Negative</v>
      </c>
      <c r="G273" s="6">
        <f>IFERROR(__xludf.DUMMYFUNCTION("""COMPUTED_VALUE"""),1.0)</f>
        <v>1</v>
      </c>
    </row>
    <row r="274">
      <c r="A274" s="6" t="str">
        <f>IFERROR(__xludf.DUMMYFUNCTION("""COMPUTED_VALUE"""),"FM4447")</f>
        <v>FM4447</v>
      </c>
      <c r="B274" s="6" t="str">
        <f>IFERROR(__xludf.DUMMYFUNCTION("""COMPUTED_VALUE"""),"RUN-COMB_2022-04-12_RFR-015")</f>
        <v>RUN-COMB_2022-04-12_RFR-015</v>
      </c>
      <c r="C274" s="7">
        <f>VLOOKUP(B274,'Run Reconcile'!A$2:B3090,2,FALSE)</f>
        <v>44663</v>
      </c>
      <c r="D274" s="11">
        <f>IFERROR(__xludf.DUMMYFUNCTION("""COMPUTED_VALUE"""),44663.0)</f>
        <v>44663</v>
      </c>
      <c r="E274" s="12">
        <f>IFERROR(__xludf.DUMMYFUNCTION("""COMPUTED_VALUE"""),0.26310185185138835)</f>
        <v>0.2631018519</v>
      </c>
      <c r="F274" s="6" t="str">
        <f>IFERROR(__xludf.DUMMYFUNCTION("""COMPUTED_VALUE"""),"Negative")</f>
        <v>Negative</v>
      </c>
      <c r="G274" s="6">
        <f>IFERROR(__xludf.DUMMYFUNCTION("""COMPUTED_VALUE"""),1.0)</f>
        <v>1</v>
      </c>
    </row>
    <row r="275">
      <c r="A275" s="6" t="str">
        <f>IFERROR(__xludf.DUMMYFUNCTION("""COMPUTED_VALUE"""),"FM4241")</f>
        <v>FM4241</v>
      </c>
      <c r="B275" s="6" t="str">
        <f>IFERROR(__xludf.DUMMYFUNCTION("""COMPUTED_VALUE"""),"RUN-COMB_2022-04-12_RFR-015")</f>
        <v>RUN-COMB_2022-04-12_RFR-015</v>
      </c>
      <c r="C275" s="7">
        <f>VLOOKUP(B275,'Run Reconcile'!A$2:B3090,2,FALSE)</f>
        <v>44663</v>
      </c>
      <c r="D275" s="11">
        <f>IFERROR(__xludf.DUMMYFUNCTION("""COMPUTED_VALUE"""),44663.0)</f>
        <v>44663</v>
      </c>
      <c r="E275" s="12">
        <f>IFERROR(__xludf.DUMMYFUNCTION("""COMPUTED_VALUE"""),0.2657754629617557)</f>
        <v>0.265775463</v>
      </c>
      <c r="F275" s="6" t="str">
        <f>IFERROR(__xludf.DUMMYFUNCTION("""COMPUTED_VALUE"""),"Negative")</f>
        <v>Negative</v>
      </c>
      <c r="G275" s="6">
        <f>IFERROR(__xludf.DUMMYFUNCTION("""COMPUTED_VALUE"""),1.0)</f>
        <v>1</v>
      </c>
    </row>
    <row r="276">
      <c r="A276" s="6" t="str">
        <f>IFERROR(__xludf.DUMMYFUNCTION("""COMPUTED_VALUE"""),"FM4472")</f>
        <v>FM4472</v>
      </c>
      <c r="B276" s="6" t="str">
        <f>IFERROR(__xludf.DUMMYFUNCTION("""COMPUTED_VALUE"""),"RUN-COMB_2022-04-12_RFR-015")</f>
        <v>RUN-COMB_2022-04-12_RFR-015</v>
      </c>
      <c r="C276" s="7">
        <f>VLOOKUP(B276,'Run Reconcile'!A$2:B3090,2,FALSE)</f>
        <v>44663</v>
      </c>
      <c r="D276" s="11">
        <f>IFERROR(__xludf.DUMMYFUNCTION("""COMPUTED_VALUE"""),44663.0)</f>
        <v>44663</v>
      </c>
      <c r="E276" s="12">
        <f>IFERROR(__xludf.DUMMYFUNCTION("""COMPUTED_VALUE"""),0.2661689814813144)</f>
        <v>0.2661689815</v>
      </c>
      <c r="F276" s="6" t="str">
        <f>IFERROR(__xludf.DUMMYFUNCTION("""COMPUTED_VALUE"""),"Negative")</f>
        <v>Negative</v>
      </c>
      <c r="G276" s="6">
        <f>IFERROR(__xludf.DUMMYFUNCTION("""COMPUTED_VALUE"""),1.0)</f>
        <v>1</v>
      </c>
    </row>
    <row r="277">
      <c r="A277" s="6" t="str">
        <f>IFERROR(__xludf.DUMMYFUNCTION("""COMPUTED_VALUE"""),"FM4382")</f>
        <v>FM4382</v>
      </c>
      <c r="B277" s="6" t="str">
        <f>IFERROR(__xludf.DUMMYFUNCTION("""COMPUTED_VALUE"""),"RUN-COMB_2022-04-12_RFR-015")</f>
        <v>RUN-COMB_2022-04-12_RFR-015</v>
      </c>
      <c r="C277" s="7">
        <f>VLOOKUP(B277,'Run Reconcile'!A$2:B3090,2,FALSE)</f>
        <v>44663</v>
      </c>
      <c r="D277" s="11">
        <f>IFERROR(__xludf.DUMMYFUNCTION("""COMPUTED_VALUE"""),44663.0)</f>
        <v>44663</v>
      </c>
      <c r="E277" s="12">
        <f>IFERROR(__xludf.DUMMYFUNCTION("""COMPUTED_VALUE"""),0.2666782407395658)</f>
        <v>0.2666782407</v>
      </c>
      <c r="F277" s="6" t="str">
        <f>IFERROR(__xludf.DUMMYFUNCTION("""COMPUTED_VALUE"""),"Negative")</f>
        <v>Negative</v>
      </c>
      <c r="G277" s="6">
        <f>IFERROR(__xludf.DUMMYFUNCTION("""COMPUTED_VALUE"""),1.0)</f>
        <v>1</v>
      </c>
    </row>
    <row r="278">
      <c r="A278" s="6" t="str">
        <f>IFERROR(__xludf.DUMMYFUNCTION("""COMPUTED_VALUE"""),"FM4398")</f>
        <v>FM4398</v>
      </c>
      <c r="B278" s="6" t="str">
        <f>IFERROR(__xludf.DUMMYFUNCTION("""COMPUTED_VALUE"""),"RUN-COMB_2022-04-12_RFR-015")</f>
        <v>RUN-COMB_2022-04-12_RFR-015</v>
      </c>
      <c r="C278" s="7">
        <f>VLOOKUP(B278,'Run Reconcile'!A$2:B3090,2,FALSE)</f>
        <v>44663</v>
      </c>
      <c r="D278" s="11">
        <f>IFERROR(__xludf.DUMMYFUNCTION("""COMPUTED_VALUE"""),44663.0)</f>
        <v>44663</v>
      </c>
      <c r="E278" s="12">
        <f>IFERROR(__xludf.DUMMYFUNCTION("""COMPUTED_VALUE"""),0.26741898148247856)</f>
        <v>0.2674189815</v>
      </c>
      <c r="F278" s="6" t="str">
        <f>IFERROR(__xludf.DUMMYFUNCTION("""COMPUTED_VALUE"""),"Negative")</f>
        <v>Negative</v>
      </c>
      <c r="G278" s="6">
        <f>IFERROR(__xludf.DUMMYFUNCTION("""COMPUTED_VALUE"""),1.0)</f>
        <v>1</v>
      </c>
    </row>
    <row r="279">
      <c r="A279" s="6" t="str">
        <f>IFERROR(__xludf.DUMMYFUNCTION("""COMPUTED_VALUE"""),"FM4019")</f>
        <v>FM4019</v>
      </c>
      <c r="B279" s="6" t="str">
        <f>IFERROR(__xludf.DUMMYFUNCTION("""COMPUTED_VALUE"""),"RUN-COMB_2022-04-12_RFR-015")</f>
        <v>RUN-COMB_2022-04-12_RFR-015</v>
      </c>
      <c r="C279" s="7">
        <f>VLOOKUP(B279,'Run Reconcile'!A$2:B3090,2,FALSE)</f>
        <v>44663</v>
      </c>
      <c r="D279" s="11">
        <f>IFERROR(__xludf.DUMMYFUNCTION("""COMPUTED_VALUE"""),44663.0)</f>
        <v>44663</v>
      </c>
      <c r="E279" s="12">
        <f>IFERROR(__xludf.DUMMYFUNCTION("""COMPUTED_VALUE"""),0.2678819444445253)</f>
        <v>0.2678819444</v>
      </c>
      <c r="F279" s="6" t="str">
        <f>IFERROR(__xludf.DUMMYFUNCTION("""COMPUTED_VALUE"""),"Negative")</f>
        <v>Negative</v>
      </c>
      <c r="G279" s="6">
        <f>IFERROR(__xludf.DUMMYFUNCTION("""COMPUTED_VALUE"""),1.0)</f>
        <v>1</v>
      </c>
    </row>
    <row r="280">
      <c r="A280" s="6" t="str">
        <f>IFERROR(__xludf.DUMMYFUNCTION("""COMPUTED_VALUE"""),"FM4410")</f>
        <v>FM4410</v>
      </c>
      <c r="B280" s="6" t="str">
        <f>IFERROR(__xludf.DUMMYFUNCTION("""COMPUTED_VALUE"""),"RUN-COMB_2022-04-12_RFR-015")</f>
        <v>RUN-COMB_2022-04-12_RFR-015</v>
      </c>
      <c r="C280" s="7">
        <f>VLOOKUP(B280,'Run Reconcile'!A$2:B3090,2,FALSE)</f>
        <v>44663</v>
      </c>
      <c r="D280" s="11">
        <f>IFERROR(__xludf.DUMMYFUNCTION("""COMPUTED_VALUE"""),44663.0)</f>
        <v>44663</v>
      </c>
      <c r="E280" s="12">
        <f>IFERROR(__xludf.DUMMYFUNCTION("""COMPUTED_VALUE"""),0.268310185183509)</f>
        <v>0.2683101852</v>
      </c>
      <c r="F280" s="6" t="str">
        <f>IFERROR(__xludf.DUMMYFUNCTION("""COMPUTED_VALUE"""),"Negative")</f>
        <v>Negative</v>
      </c>
      <c r="G280" s="6">
        <f>IFERROR(__xludf.DUMMYFUNCTION("""COMPUTED_VALUE"""),1.0)</f>
        <v>1</v>
      </c>
    </row>
    <row r="281">
      <c r="A281" s="6" t="str">
        <f>IFERROR(__xludf.DUMMYFUNCTION("""COMPUTED_VALUE"""),"FM4426")</f>
        <v>FM4426</v>
      </c>
      <c r="B281" s="6" t="str">
        <f>IFERROR(__xludf.DUMMYFUNCTION("""COMPUTED_VALUE"""),"RUN-COMB_2022-04-12_RFR-015")</f>
        <v>RUN-COMB_2022-04-12_RFR-015</v>
      </c>
      <c r="C281" s="7">
        <f>VLOOKUP(B281,'Run Reconcile'!A$2:B3090,2,FALSE)</f>
        <v>44663</v>
      </c>
      <c r="D281" s="11">
        <f>IFERROR(__xludf.DUMMYFUNCTION("""COMPUTED_VALUE"""),44663.0)</f>
        <v>44663</v>
      </c>
      <c r="E281" s="12">
        <f>IFERROR(__xludf.DUMMYFUNCTION("""COMPUTED_VALUE"""),0.2687615740724141)</f>
        <v>0.2687615741</v>
      </c>
      <c r="F281" s="6" t="str">
        <f>IFERROR(__xludf.DUMMYFUNCTION("""COMPUTED_VALUE"""),"Negative")</f>
        <v>Negative</v>
      </c>
      <c r="G281" s="6">
        <f>IFERROR(__xludf.DUMMYFUNCTION("""COMPUTED_VALUE"""),1.0)</f>
        <v>1</v>
      </c>
    </row>
    <row r="282">
      <c r="A282" s="6" t="str">
        <f>IFERROR(__xludf.DUMMYFUNCTION("""COMPUTED_VALUE"""),"FM4242")</f>
        <v>FM4242</v>
      </c>
      <c r="B282" s="6" t="str">
        <f>IFERROR(__xludf.DUMMYFUNCTION("""COMPUTED_VALUE"""),"RUN-COMB_2022-04-12_RFR-015")</f>
        <v>RUN-COMB_2022-04-12_RFR-015</v>
      </c>
      <c r="C282" s="7">
        <f>VLOOKUP(B282,'Run Reconcile'!A$2:B3090,2,FALSE)</f>
        <v>44663</v>
      </c>
      <c r="D282" s="11">
        <f>IFERROR(__xludf.DUMMYFUNCTION("""COMPUTED_VALUE"""),44663.0)</f>
        <v>44663</v>
      </c>
      <c r="E282" s="12">
        <f>IFERROR(__xludf.DUMMYFUNCTION("""COMPUTED_VALUE"""),0.26921296296131914)</f>
        <v>0.269212963</v>
      </c>
      <c r="F282" s="6" t="str">
        <f>IFERROR(__xludf.DUMMYFUNCTION("""COMPUTED_VALUE"""),"Negative")</f>
        <v>Negative</v>
      </c>
      <c r="G282" s="6">
        <f>IFERROR(__xludf.DUMMYFUNCTION("""COMPUTED_VALUE"""),1.0)</f>
        <v>1</v>
      </c>
    </row>
    <row r="283">
      <c r="A283" s="6" t="str">
        <f>IFERROR(__xludf.DUMMYFUNCTION("""COMPUTED_VALUE"""),"FM4415")</f>
        <v>FM4415</v>
      </c>
      <c r="B283" s="6" t="str">
        <f>IFERROR(__xludf.DUMMYFUNCTION("""COMPUTED_VALUE"""),"RUN-COMB_2022-04-12_RFR-015")</f>
        <v>RUN-COMB_2022-04-12_RFR-015</v>
      </c>
      <c r="C283" s="7">
        <f>VLOOKUP(B283,'Run Reconcile'!A$2:B3090,2,FALSE)</f>
        <v>44663</v>
      </c>
      <c r="D283" s="11">
        <f>IFERROR(__xludf.DUMMYFUNCTION("""COMPUTED_VALUE"""),44663.0)</f>
        <v>44663</v>
      </c>
      <c r="E283" s="12">
        <f>IFERROR(__xludf.DUMMYFUNCTION("""COMPUTED_VALUE"""),0.2697685185194132)</f>
        <v>0.2697685185</v>
      </c>
      <c r="F283" s="6" t="str">
        <f>IFERROR(__xludf.DUMMYFUNCTION("""COMPUTED_VALUE"""),"Negative")</f>
        <v>Negative</v>
      </c>
      <c r="G283" s="6">
        <f>IFERROR(__xludf.DUMMYFUNCTION("""COMPUTED_VALUE"""),1.0)</f>
        <v>1</v>
      </c>
    </row>
    <row r="284">
      <c r="A284" s="6" t="str">
        <f>IFERROR(__xludf.DUMMYFUNCTION("""COMPUTED_VALUE"""),"FM4411")</f>
        <v>FM4411</v>
      </c>
      <c r="B284" s="6" t="str">
        <f>IFERROR(__xludf.DUMMYFUNCTION("""COMPUTED_VALUE"""),"RUN-COMB_2022-04-12_RFR-015")</f>
        <v>RUN-COMB_2022-04-12_RFR-015</v>
      </c>
      <c r="C284" s="7">
        <f>VLOOKUP(B284,'Run Reconcile'!A$2:B3090,2,FALSE)</f>
        <v>44663</v>
      </c>
      <c r="D284" s="11">
        <f>IFERROR(__xludf.DUMMYFUNCTION("""COMPUTED_VALUE"""),44663.0)</f>
        <v>44663</v>
      </c>
      <c r="E284" s="12">
        <f>IFERROR(__xludf.DUMMYFUNCTION("""COMPUTED_VALUE"""),0.2702083333315386)</f>
        <v>0.2702083333</v>
      </c>
      <c r="F284" s="6" t="str">
        <f>IFERROR(__xludf.DUMMYFUNCTION("""COMPUTED_VALUE"""),"Negative")</f>
        <v>Negative</v>
      </c>
      <c r="G284" s="6">
        <f>IFERROR(__xludf.DUMMYFUNCTION("""COMPUTED_VALUE"""),1.0)</f>
        <v>1</v>
      </c>
    </row>
    <row r="285">
      <c r="A285" s="6" t="str">
        <f>IFERROR(__xludf.DUMMYFUNCTION("""COMPUTED_VALUE"""),"FM4421")</f>
        <v>FM4421</v>
      </c>
      <c r="B285" s="6" t="str">
        <f>IFERROR(__xludf.DUMMYFUNCTION("""COMPUTED_VALUE"""),"RUN-COMB_2022-04-12_RFR-015")</f>
        <v>RUN-COMB_2022-04-12_RFR-015</v>
      </c>
      <c r="C285" s="7">
        <f>VLOOKUP(B285,'Run Reconcile'!A$2:B3090,2,FALSE)</f>
        <v>44663</v>
      </c>
      <c r="D285" s="11">
        <f>IFERROR(__xludf.DUMMYFUNCTION("""COMPUTED_VALUE"""),44663.0)</f>
        <v>44663</v>
      </c>
      <c r="E285" s="12">
        <f>IFERROR(__xludf.DUMMYFUNCTION("""COMPUTED_VALUE"""),0.2718402777791198)</f>
        <v>0.2718402778</v>
      </c>
      <c r="F285" s="6" t="str">
        <f>IFERROR(__xludf.DUMMYFUNCTION("""COMPUTED_VALUE"""),"Negative")</f>
        <v>Negative</v>
      </c>
      <c r="G285" s="6">
        <f>IFERROR(__xludf.DUMMYFUNCTION("""COMPUTED_VALUE"""),1.0)</f>
        <v>1</v>
      </c>
    </row>
    <row r="286">
      <c r="A286" s="6" t="str">
        <f>IFERROR(__xludf.DUMMYFUNCTION("""COMPUTED_VALUE"""),"FM4243")</f>
        <v>FM4243</v>
      </c>
      <c r="B286" s="6" t="str">
        <f>IFERROR(__xludf.DUMMYFUNCTION("""COMPUTED_VALUE"""),"RUN-COMB_2022-04-12_RFR-015")</f>
        <v>RUN-COMB_2022-04-12_RFR-015</v>
      </c>
      <c r="C286" s="7">
        <f>VLOOKUP(B286,'Run Reconcile'!A$2:B3090,2,FALSE)</f>
        <v>44663</v>
      </c>
      <c r="D286" s="11">
        <f>IFERROR(__xludf.DUMMYFUNCTION("""COMPUTED_VALUE"""),44663.0)</f>
        <v>44663</v>
      </c>
      <c r="E286" s="12">
        <f>IFERROR(__xludf.DUMMYFUNCTION("""COMPUTED_VALUE"""),0.2739930555544561)</f>
        <v>0.2739930556</v>
      </c>
      <c r="F286" s="6" t="str">
        <f>IFERROR(__xludf.DUMMYFUNCTION("""COMPUTED_VALUE"""),"Negative")</f>
        <v>Negative</v>
      </c>
      <c r="G286" s="6">
        <f>IFERROR(__xludf.DUMMYFUNCTION("""COMPUTED_VALUE"""),1.0)</f>
        <v>1</v>
      </c>
    </row>
    <row r="287">
      <c r="A287" s="6" t="str">
        <f>IFERROR(__xludf.DUMMYFUNCTION("""COMPUTED_VALUE"""),"FM4484")</f>
        <v>FM4484</v>
      </c>
      <c r="B287" s="6" t="str">
        <f>IFERROR(__xludf.DUMMYFUNCTION("""COMPUTED_VALUE"""),"RUN-COMB_2022-04-12_RFR-015")</f>
        <v>RUN-COMB_2022-04-12_RFR-015</v>
      </c>
      <c r="C287" s="7">
        <f>VLOOKUP(B287,'Run Reconcile'!A$2:B3090,2,FALSE)</f>
        <v>44663</v>
      </c>
      <c r="D287" s="11">
        <f>IFERROR(__xludf.DUMMYFUNCTION("""COMPUTED_VALUE"""),44663.0)</f>
        <v>44663</v>
      </c>
      <c r="E287" s="12">
        <f>IFERROR(__xludf.DUMMYFUNCTION("""COMPUTED_VALUE"""),0.27443287037021946)</f>
        <v>0.2744328704</v>
      </c>
      <c r="F287" s="6" t="str">
        <f>IFERROR(__xludf.DUMMYFUNCTION("""COMPUTED_VALUE"""),"Negative")</f>
        <v>Negative</v>
      </c>
      <c r="G287" s="6">
        <f>IFERROR(__xludf.DUMMYFUNCTION("""COMPUTED_VALUE"""),1.0)</f>
        <v>1</v>
      </c>
    </row>
    <row r="288">
      <c r="A288" s="6" t="str">
        <f>IFERROR(__xludf.DUMMYFUNCTION("""COMPUTED_VALUE"""),"FM4392")</f>
        <v>FM4392</v>
      </c>
      <c r="B288" s="6" t="str">
        <f>IFERROR(__xludf.DUMMYFUNCTION("""COMPUTED_VALUE"""),"RUN-COMB_2022-04-12_RFR-015")</f>
        <v>RUN-COMB_2022-04-12_RFR-015</v>
      </c>
      <c r="C288" s="7">
        <f>VLOOKUP(B288,'Run Reconcile'!A$2:B3090,2,FALSE)</f>
        <v>44663</v>
      </c>
      <c r="D288" s="11">
        <f>IFERROR(__xludf.DUMMYFUNCTION("""COMPUTED_VALUE"""),44663.0)</f>
        <v>44663</v>
      </c>
      <c r="E288" s="12">
        <f>IFERROR(__xludf.DUMMYFUNCTION("""COMPUTED_VALUE"""),0.27483796296291985)</f>
        <v>0.274837963</v>
      </c>
      <c r="F288" s="6" t="str">
        <f>IFERROR(__xludf.DUMMYFUNCTION("""COMPUTED_VALUE"""),"Negative")</f>
        <v>Negative</v>
      </c>
      <c r="G288" s="6">
        <f>IFERROR(__xludf.DUMMYFUNCTION("""COMPUTED_VALUE"""),1.0)</f>
        <v>1</v>
      </c>
    </row>
    <row r="289">
      <c r="A289" s="6" t="str">
        <f>IFERROR(__xludf.DUMMYFUNCTION("""COMPUTED_VALUE"""),"FM4492")</f>
        <v>FM4492</v>
      </c>
      <c r="B289" s="6" t="str">
        <f>IFERROR(__xludf.DUMMYFUNCTION("""COMPUTED_VALUE"""),"RUN-COMB_2022-04-12_RFR-015")</f>
        <v>RUN-COMB_2022-04-12_RFR-015</v>
      </c>
      <c r="C289" s="7">
        <f>VLOOKUP(B289,'Run Reconcile'!A$2:B3090,2,FALSE)</f>
        <v>44663</v>
      </c>
      <c r="D289" s="11">
        <f>IFERROR(__xludf.DUMMYFUNCTION("""COMPUTED_VALUE"""),44663.0)</f>
        <v>44663</v>
      </c>
      <c r="E289" s="12">
        <f>IFERROR(__xludf.DUMMYFUNCTION("""COMPUTED_VALUE"""),0.2767824074071541)</f>
        <v>0.2767824074</v>
      </c>
      <c r="F289" s="6" t="str">
        <f>IFERROR(__xludf.DUMMYFUNCTION("""COMPUTED_VALUE"""),"Negative")</f>
        <v>Negative</v>
      </c>
      <c r="G289" s="6">
        <f>IFERROR(__xludf.DUMMYFUNCTION("""COMPUTED_VALUE"""),1.0)</f>
        <v>1</v>
      </c>
    </row>
    <row r="290">
      <c r="A290" s="6" t="str">
        <f>IFERROR(__xludf.DUMMYFUNCTION("""COMPUTED_VALUE"""),"MA192")</f>
        <v>MA192</v>
      </c>
      <c r="B290" s="6" t="str">
        <f>IFERROR(__xludf.DUMMYFUNCTION("""COMPUTED_VALUE"""),"RUN-COMB_2022-04-12_RFR-015")</f>
        <v>RUN-COMB_2022-04-12_RFR-015</v>
      </c>
      <c r="C290" s="7">
        <f>VLOOKUP(B290,'Run Reconcile'!A$2:B3090,2,FALSE)</f>
        <v>44663</v>
      </c>
      <c r="D290" s="11">
        <f>IFERROR(__xludf.DUMMYFUNCTION("""COMPUTED_VALUE"""),44663.0)</f>
        <v>44663</v>
      </c>
      <c r="E290" s="12">
        <f>IFERROR(__xludf.DUMMYFUNCTION("""COMPUTED_VALUE"""),0.2773148148153268)</f>
        <v>0.2773148148</v>
      </c>
      <c r="F290" s="6" t="str">
        <f>IFERROR(__xludf.DUMMYFUNCTION("""COMPUTED_VALUE"""),"Negative")</f>
        <v>Negative</v>
      </c>
      <c r="G290" s="6">
        <f>IFERROR(__xludf.DUMMYFUNCTION("""COMPUTED_VALUE"""),1.0)</f>
        <v>1</v>
      </c>
    </row>
    <row r="291">
      <c r="A291" s="6" t="str">
        <f>IFERROR(__xludf.DUMMYFUNCTION("""COMPUTED_VALUE"""),"FM4418")</f>
        <v>FM4418</v>
      </c>
      <c r="B291" s="6" t="str">
        <f>IFERROR(__xludf.DUMMYFUNCTION("""COMPUTED_VALUE"""),"RUN-COMB_2022-04-12_RFR-015")</f>
        <v>RUN-COMB_2022-04-12_RFR-015</v>
      </c>
      <c r="C291" s="7">
        <f>VLOOKUP(B291,'Run Reconcile'!A$2:B3090,2,FALSE)</f>
        <v>44663</v>
      </c>
      <c r="D291" s="11">
        <f>IFERROR(__xludf.DUMMYFUNCTION("""COMPUTED_VALUE"""),44663.0)</f>
        <v>44663</v>
      </c>
      <c r="E291" s="12">
        <f>IFERROR(__xludf.DUMMYFUNCTION("""COMPUTED_VALUE"""),0.28290509259386454)</f>
        <v>0.2829050926</v>
      </c>
      <c r="F291" s="6" t="str">
        <f>IFERROR(__xludf.DUMMYFUNCTION("""COMPUTED_VALUE"""),"Negative")</f>
        <v>Negative</v>
      </c>
      <c r="G291" s="6">
        <f>IFERROR(__xludf.DUMMYFUNCTION("""COMPUTED_VALUE"""),1.0)</f>
        <v>1</v>
      </c>
    </row>
    <row r="292">
      <c r="A292" s="6" t="str">
        <f>IFERROR(__xludf.DUMMYFUNCTION("""COMPUTED_VALUE"""),"FM4003")</f>
        <v>FM4003</v>
      </c>
      <c r="B292" s="6" t="str">
        <f>IFERROR(__xludf.DUMMYFUNCTION("""COMPUTED_VALUE"""),"RUN-COMB_2022-04-12_RFR-015")</f>
        <v>RUN-COMB_2022-04-12_RFR-015</v>
      </c>
      <c r="C292" s="7">
        <f>VLOOKUP(B292,'Run Reconcile'!A$2:B3090,2,FALSE)</f>
        <v>44663</v>
      </c>
      <c r="D292" s="11">
        <f>IFERROR(__xludf.DUMMYFUNCTION("""COMPUTED_VALUE"""),44663.0)</f>
        <v>44663</v>
      </c>
      <c r="E292" s="12">
        <f>IFERROR(__xludf.DUMMYFUNCTION("""COMPUTED_VALUE"""),0.28348379629460396)</f>
        <v>0.2834837963</v>
      </c>
      <c r="F292" s="6" t="str">
        <f>IFERROR(__xludf.DUMMYFUNCTION("""COMPUTED_VALUE"""),"Negative")</f>
        <v>Negative</v>
      </c>
      <c r="G292" s="6">
        <f>IFERROR(__xludf.DUMMYFUNCTION("""COMPUTED_VALUE"""),1.0)</f>
        <v>1</v>
      </c>
    </row>
    <row r="293">
      <c r="A293" s="6" t="str">
        <f>IFERROR(__xludf.DUMMYFUNCTION("""COMPUTED_VALUE"""),"FM4451")</f>
        <v>FM4451</v>
      </c>
      <c r="B293" s="6" t="str">
        <f>IFERROR(__xludf.DUMMYFUNCTION("""COMPUTED_VALUE"""),"RUN-COMB_2022-04-12_RFR-015")</f>
        <v>RUN-COMB_2022-04-12_RFR-015</v>
      </c>
      <c r="C293" s="7">
        <f>VLOOKUP(B293,'Run Reconcile'!A$2:B3090,2,FALSE)</f>
        <v>44663</v>
      </c>
      <c r="D293" s="11">
        <f>IFERROR(__xludf.DUMMYFUNCTION("""COMPUTED_VALUE"""),44663.0)</f>
        <v>44663</v>
      </c>
      <c r="E293" s="12">
        <f>IFERROR(__xludf.DUMMYFUNCTION("""COMPUTED_VALUE"""),0.28424768518380006)</f>
        <v>0.2842476852</v>
      </c>
      <c r="F293" s="6" t="str">
        <f>IFERROR(__xludf.DUMMYFUNCTION("""COMPUTED_VALUE"""),"Negative")</f>
        <v>Negative</v>
      </c>
      <c r="G293" s="6">
        <f>IFERROR(__xludf.DUMMYFUNCTION("""COMPUTED_VALUE"""),1.0)</f>
        <v>1</v>
      </c>
    </row>
    <row r="294">
      <c r="A294" s="6" t="str">
        <f>IFERROR(__xludf.DUMMYFUNCTION("""COMPUTED_VALUE"""),"FM4438")</f>
        <v>FM4438</v>
      </c>
      <c r="B294" s="6" t="str">
        <f>IFERROR(__xludf.DUMMYFUNCTION("""COMPUTED_VALUE"""),"RUN-COMB_2022-04-12_RFR-015")</f>
        <v>RUN-COMB_2022-04-12_RFR-015</v>
      </c>
      <c r="C294" s="7">
        <f>VLOOKUP(B294,'Run Reconcile'!A$2:B3090,2,FALSE)</f>
        <v>44663</v>
      </c>
      <c r="D294" s="11">
        <f>IFERROR(__xludf.DUMMYFUNCTION("""COMPUTED_VALUE"""),44663.0)</f>
        <v>44663</v>
      </c>
      <c r="E294" s="12">
        <f>IFERROR(__xludf.DUMMYFUNCTION("""COMPUTED_VALUE"""),0.33802083333284827)</f>
        <v>0.3380208333</v>
      </c>
      <c r="F294" s="6" t="str">
        <f>IFERROR(__xludf.DUMMYFUNCTION("""COMPUTED_VALUE"""),"Negative")</f>
        <v>Negative</v>
      </c>
      <c r="G294" s="6">
        <f>IFERROR(__xludf.DUMMYFUNCTION("""COMPUTED_VALUE"""),1.0)</f>
        <v>1</v>
      </c>
    </row>
    <row r="295">
      <c r="A295" s="6" t="str">
        <f>IFERROR(__xludf.DUMMYFUNCTION("""COMPUTED_VALUE"""),"FM4437")</f>
        <v>FM4437</v>
      </c>
      <c r="B295" s="6" t="str">
        <f>IFERROR(__xludf.DUMMYFUNCTION("""COMPUTED_VALUE"""),"RUN-COMB_2022-04-13_RFR-016")</f>
        <v>RUN-COMB_2022-04-13_RFR-016</v>
      </c>
      <c r="C295" s="7">
        <f>VLOOKUP(B295,'Run Reconcile'!A$2:B3090,2,FALSE)</f>
        <v>44664</v>
      </c>
      <c r="D295" s="11">
        <f>IFERROR(__xludf.DUMMYFUNCTION("""COMPUTED_VALUE"""),44664.0)</f>
        <v>44664</v>
      </c>
      <c r="E295" s="12">
        <f>IFERROR(__xludf.DUMMYFUNCTION("""COMPUTED_VALUE"""),0.2626041666662786)</f>
        <v>0.2626041667</v>
      </c>
      <c r="F295" s="6" t="str">
        <f>IFERROR(__xludf.DUMMYFUNCTION("""COMPUTED_VALUE"""),"Negative")</f>
        <v>Negative</v>
      </c>
      <c r="G295" s="6">
        <f>IFERROR(__xludf.DUMMYFUNCTION("""COMPUTED_VALUE"""),1.0)</f>
        <v>1</v>
      </c>
    </row>
    <row r="296">
      <c r="A296" s="6" t="str">
        <f>IFERROR(__xludf.DUMMYFUNCTION("""COMPUTED_VALUE"""),"FM4433")</f>
        <v>FM4433</v>
      </c>
      <c r="B296" s="6" t="str">
        <f>IFERROR(__xludf.DUMMYFUNCTION("""COMPUTED_VALUE"""),"RUN-COMB_2022-04-13_RFR-016")</f>
        <v>RUN-COMB_2022-04-13_RFR-016</v>
      </c>
      <c r="C296" s="7">
        <f>VLOOKUP(B296,'Run Reconcile'!A$2:B3090,2,FALSE)</f>
        <v>44664</v>
      </c>
      <c r="D296" s="11">
        <f>IFERROR(__xludf.DUMMYFUNCTION("""COMPUTED_VALUE"""),44664.0)</f>
        <v>44664</v>
      </c>
      <c r="E296" s="12">
        <f>IFERROR(__xludf.DUMMYFUNCTION("""COMPUTED_VALUE"""),0.26364583333270275)</f>
        <v>0.2636458333</v>
      </c>
      <c r="F296" s="6" t="str">
        <f>IFERROR(__xludf.DUMMYFUNCTION("""COMPUTED_VALUE"""),"Negative")</f>
        <v>Negative</v>
      </c>
      <c r="G296" s="6">
        <f>IFERROR(__xludf.DUMMYFUNCTION("""COMPUTED_VALUE"""),1.0)</f>
        <v>1</v>
      </c>
    </row>
    <row r="297">
      <c r="A297" s="6" t="str">
        <f>IFERROR(__xludf.DUMMYFUNCTION("""COMPUTED_VALUE"""),"FM4429")</f>
        <v>FM4429</v>
      </c>
      <c r="B297" s="6" t="str">
        <f>IFERROR(__xludf.DUMMYFUNCTION("""COMPUTED_VALUE"""),"RUN-COMB_2022-04-13_RFR-016")</f>
        <v>RUN-COMB_2022-04-13_RFR-016</v>
      </c>
      <c r="C297" s="7">
        <f>VLOOKUP(B297,'Run Reconcile'!A$2:B3090,2,FALSE)</f>
        <v>44664</v>
      </c>
      <c r="D297" s="11">
        <f>IFERROR(__xludf.DUMMYFUNCTION("""COMPUTED_VALUE"""),44664.0)</f>
        <v>44664</v>
      </c>
      <c r="E297" s="12">
        <f>IFERROR(__xludf.DUMMYFUNCTION("""COMPUTED_VALUE"""),0.26420138888715883)</f>
        <v>0.2642013889</v>
      </c>
      <c r="F297" s="6" t="str">
        <f>IFERROR(__xludf.DUMMYFUNCTION("""COMPUTED_VALUE"""),"Negative")</f>
        <v>Negative</v>
      </c>
      <c r="G297" s="6">
        <f>IFERROR(__xludf.DUMMYFUNCTION("""COMPUTED_VALUE"""),1.0)</f>
        <v>1</v>
      </c>
    </row>
    <row r="298">
      <c r="A298" s="6" t="str">
        <f>IFERROR(__xludf.DUMMYFUNCTION("""COMPUTED_VALUE"""),"FM4251")</f>
        <v>FM4251</v>
      </c>
      <c r="B298" s="6" t="str">
        <f>IFERROR(__xludf.DUMMYFUNCTION("""COMPUTED_VALUE"""),"RUN-COMB_2022-04-13_RFR-016")</f>
        <v>RUN-COMB_2022-04-13_RFR-016</v>
      </c>
      <c r="C298" s="7">
        <f>VLOOKUP(B298,'Run Reconcile'!A$2:B3090,2,FALSE)</f>
        <v>44664</v>
      </c>
      <c r="D298" s="11">
        <f>IFERROR(__xludf.DUMMYFUNCTION("""COMPUTED_VALUE"""),44664.0)</f>
        <v>44664</v>
      </c>
      <c r="E298" s="12">
        <f>IFERROR(__xludf.DUMMYFUNCTION("""COMPUTED_VALUE"""),0.26502314814933925)</f>
        <v>0.2650231481</v>
      </c>
      <c r="F298" s="6" t="str">
        <f>IFERROR(__xludf.DUMMYFUNCTION("""COMPUTED_VALUE"""),"Negative")</f>
        <v>Negative</v>
      </c>
      <c r="G298" s="6">
        <f>IFERROR(__xludf.DUMMYFUNCTION("""COMPUTED_VALUE"""),1.0)</f>
        <v>1</v>
      </c>
    </row>
    <row r="299">
      <c r="A299" s="6" t="str">
        <f>IFERROR(__xludf.DUMMYFUNCTION("""COMPUTED_VALUE"""),"FM4247")</f>
        <v>FM4247</v>
      </c>
      <c r="B299" s="6" t="str">
        <f>IFERROR(__xludf.DUMMYFUNCTION("""COMPUTED_VALUE"""),"RUN-COMB_2022-04-13_RFR-016")</f>
        <v>RUN-COMB_2022-04-13_RFR-016</v>
      </c>
      <c r="C299" s="7">
        <f>VLOOKUP(B299,'Run Reconcile'!A$2:B3090,2,FALSE)</f>
        <v>44664</v>
      </c>
      <c r="D299" s="11">
        <f>IFERROR(__xludf.DUMMYFUNCTION("""COMPUTED_VALUE"""),44664.0)</f>
        <v>44664</v>
      </c>
      <c r="E299" s="12">
        <f>IFERROR(__xludf.DUMMYFUNCTION("""COMPUTED_VALUE"""),0.26590277777722804)</f>
        <v>0.2659027778</v>
      </c>
      <c r="F299" s="6" t="str">
        <f>IFERROR(__xludf.DUMMYFUNCTION("""COMPUTED_VALUE"""),"Negative")</f>
        <v>Negative</v>
      </c>
      <c r="G299" s="6">
        <f>IFERROR(__xludf.DUMMYFUNCTION("""COMPUTED_VALUE"""),1.0)</f>
        <v>1</v>
      </c>
    </row>
    <row r="300">
      <c r="A300" s="6" t="str">
        <f>IFERROR(__xludf.DUMMYFUNCTION("""COMPUTED_VALUE"""),"FM4387")</f>
        <v>FM4387</v>
      </c>
      <c r="B300" s="6" t="str">
        <f>IFERROR(__xludf.DUMMYFUNCTION("""COMPUTED_VALUE"""),"RUN-COMB_2022-04-13_RFR-016")</f>
        <v>RUN-COMB_2022-04-13_RFR-016</v>
      </c>
      <c r="C300" s="7">
        <f>VLOOKUP(B300,'Run Reconcile'!A$2:B3090,2,FALSE)</f>
        <v>44664</v>
      </c>
      <c r="D300" s="11">
        <f>IFERROR(__xludf.DUMMYFUNCTION("""COMPUTED_VALUE"""),44664.0)</f>
        <v>44664</v>
      </c>
      <c r="E300" s="12">
        <f>IFERROR(__xludf.DUMMYFUNCTION("""COMPUTED_VALUE"""),0.26641203703547944)</f>
        <v>0.266412037</v>
      </c>
      <c r="F300" s="6" t="str">
        <f>IFERROR(__xludf.DUMMYFUNCTION("""COMPUTED_VALUE"""),"Negative")</f>
        <v>Negative</v>
      </c>
      <c r="G300" s="6">
        <f>IFERROR(__xludf.DUMMYFUNCTION("""COMPUTED_VALUE"""),1.0)</f>
        <v>1</v>
      </c>
    </row>
    <row r="301">
      <c r="A301" s="6" t="str">
        <f>IFERROR(__xludf.DUMMYFUNCTION("""COMPUTED_VALUE"""),"FM4394")</f>
        <v>FM4394</v>
      </c>
      <c r="B301" s="6" t="str">
        <f>IFERROR(__xludf.DUMMYFUNCTION("""COMPUTED_VALUE"""),"RUN-COMB_2022-04-13_RFR-016")</f>
        <v>RUN-COMB_2022-04-13_RFR-016</v>
      </c>
      <c r="C301" s="7">
        <f>VLOOKUP(B301,'Run Reconcile'!A$2:B3090,2,FALSE)</f>
        <v>44664</v>
      </c>
      <c r="D301" s="11">
        <f>IFERROR(__xludf.DUMMYFUNCTION("""COMPUTED_VALUE"""),44664.0)</f>
        <v>44664</v>
      </c>
      <c r="E301" s="12">
        <f>IFERROR(__xludf.DUMMYFUNCTION("""COMPUTED_VALUE"""),0.26724537037080154)</f>
        <v>0.2672453704</v>
      </c>
      <c r="F301" s="6" t="str">
        <f>IFERROR(__xludf.DUMMYFUNCTION("""COMPUTED_VALUE"""),"Negative")</f>
        <v>Negative</v>
      </c>
      <c r="G301" s="6">
        <f>IFERROR(__xludf.DUMMYFUNCTION("""COMPUTED_VALUE"""),1.0)</f>
        <v>1</v>
      </c>
    </row>
    <row r="302">
      <c r="A302" s="6" t="str">
        <f>IFERROR(__xludf.DUMMYFUNCTION("""COMPUTED_VALUE"""),"FM3993")</f>
        <v>FM3993</v>
      </c>
      <c r="B302" s="6" t="str">
        <f>IFERROR(__xludf.DUMMYFUNCTION("""COMPUTED_VALUE"""),"RUN-COMB_2022-04-13_RFR-016")</f>
        <v>RUN-COMB_2022-04-13_RFR-016</v>
      </c>
      <c r="C302" s="7">
        <f>VLOOKUP(B302,'Run Reconcile'!A$2:B3090,2,FALSE)</f>
        <v>44664</v>
      </c>
      <c r="D302" s="11">
        <f>IFERROR(__xludf.DUMMYFUNCTION("""COMPUTED_VALUE"""),44664.0)</f>
        <v>44664</v>
      </c>
      <c r="E302" s="12">
        <f>IFERROR(__xludf.DUMMYFUNCTION("""COMPUTED_VALUE"""),0.2691782407418941)</f>
        <v>0.2691782407</v>
      </c>
      <c r="F302" s="6" t="str">
        <f>IFERROR(__xludf.DUMMYFUNCTION("""COMPUTED_VALUE"""),"Negative")</f>
        <v>Negative</v>
      </c>
      <c r="G302" s="6">
        <f>IFERROR(__xludf.DUMMYFUNCTION("""COMPUTED_VALUE"""),1.0)</f>
        <v>1</v>
      </c>
    </row>
    <row r="303">
      <c r="A303" s="6" t="str">
        <f>IFERROR(__xludf.DUMMYFUNCTION("""COMPUTED_VALUE"""),"FM4434")</f>
        <v>FM4434</v>
      </c>
      <c r="B303" s="6" t="str">
        <f>IFERROR(__xludf.DUMMYFUNCTION("""COMPUTED_VALUE"""),"RUN-COMB_2022-04-13_RFR-016")</f>
        <v>RUN-COMB_2022-04-13_RFR-016</v>
      </c>
      <c r="C303" s="7">
        <f>VLOOKUP(B303,'Run Reconcile'!A$2:B3090,2,FALSE)</f>
        <v>44664</v>
      </c>
      <c r="D303" s="11">
        <f>IFERROR(__xludf.DUMMYFUNCTION("""COMPUTED_VALUE"""),44664.0)</f>
        <v>44664</v>
      </c>
      <c r="E303" s="12">
        <f>IFERROR(__xludf.DUMMYFUNCTION("""COMPUTED_VALUE"""),0.2697685185194132)</f>
        <v>0.2697685185</v>
      </c>
      <c r="F303" s="6" t="str">
        <f>IFERROR(__xludf.DUMMYFUNCTION("""COMPUTED_VALUE"""),"Negative")</f>
        <v>Negative</v>
      </c>
      <c r="G303" s="6">
        <f>IFERROR(__xludf.DUMMYFUNCTION("""COMPUTED_VALUE"""),1.0)</f>
        <v>1</v>
      </c>
    </row>
    <row r="304">
      <c r="A304" s="6" t="str">
        <f>IFERROR(__xludf.DUMMYFUNCTION("""COMPUTED_VALUE"""),"FM4396")</f>
        <v>FM4396</v>
      </c>
      <c r="B304" s="6" t="str">
        <f>IFERROR(__xludf.DUMMYFUNCTION("""COMPUTED_VALUE"""),"RUN-COMB_2022-04-13_RFR-016")</f>
        <v>RUN-COMB_2022-04-13_RFR-016</v>
      </c>
      <c r="C304" s="7">
        <f>VLOOKUP(B304,'Run Reconcile'!A$2:B3090,2,FALSE)</f>
        <v>44664</v>
      </c>
      <c r="D304" s="11">
        <f>IFERROR(__xludf.DUMMYFUNCTION("""COMPUTED_VALUE"""),44664.0)</f>
        <v>44664</v>
      </c>
      <c r="E304" s="12">
        <f>IFERROR(__xludf.DUMMYFUNCTION("""COMPUTED_VALUE"""),0.2707754629627743)</f>
        <v>0.270775463</v>
      </c>
      <c r="F304" s="6" t="str">
        <f>IFERROR(__xludf.DUMMYFUNCTION("""COMPUTED_VALUE"""),"Negative")</f>
        <v>Negative</v>
      </c>
      <c r="G304" s="6">
        <f>IFERROR(__xludf.DUMMYFUNCTION("""COMPUTED_VALUE"""),1.0)</f>
        <v>1</v>
      </c>
    </row>
    <row r="305">
      <c r="A305" s="6" t="str">
        <f>IFERROR(__xludf.DUMMYFUNCTION("""COMPUTED_VALUE"""),"FM4254")</f>
        <v>FM4254</v>
      </c>
      <c r="B305" s="6" t="str">
        <f>IFERROR(__xludf.DUMMYFUNCTION("""COMPUTED_VALUE"""),"RUN-COMB_2022-04-13_RFR-016")</f>
        <v>RUN-COMB_2022-04-13_RFR-016</v>
      </c>
      <c r="C305" s="7">
        <f>VLOOKUP(B305,'Run Reconcile'!A$2:B3090,2,FALSE)</f>
        <v>44664</v>
      </c>
      <c r="D305" s="11">
        <f>IFERROR(__xludf.DUMMYFUNCTION("""COMPUTED_VALUE"""),44664.0)</f>
        <v>44664</v>
      </c>
      <c r="E305" s="12">
        <f>IFERROR(__xludf.DUMMYFUNCTION("""COMPUTED_VALUE"""),0.27135416666715173)</f>
        <v>0.2713541667</v>
      </c>
      <c r="F305" s="6" t="str">
        <f>IFERROR(__xludf.DUMMYFUNCTION("""COMPUTED_VALUE"""),"Negative")</f>
        <v>Negative</v>
      </c>
      <c r="G305" s="6">
        <f>IFERROR(__xludf.DUMMYFUNCTION("""COMPUTED_VALUE"""),1.0)</f>
        <v>1</v>
      </c>
    </row>
    <row r="306">
      <c r="A306" s="6" t="str">
        <f>IFERROR(__xludf.DUMMYFUNCTION("""COMPUTED_VALUE"""),"FM4245")</f>
        <v>FM4245</v>
      </c>
      <c r="B306" s="6" t="str">
        <f>IFERROR(__xludf.DUMMYFUNCTION("""COMPUTED_VALUE"""),"RUN-COMB_2022-04-13_RFR-016")</f>
        <v>RUN-COMB_2022-04-13_RFR-016</v>
      </c>
      <c r="C306" s="7">
        <f>VLOOKUP(B306,'Run Reconcile'!A$2:B3090,2,FALSE)</f>
        <v>44664</v>
      </c>
      <c r="D306" s="11">
        <f>IFERROR(__xludf.DUMMYFUNCTION("""COMPUTED_VALUE"""),44664.0)</f>
        <v>44664</v>
      </c>
      <c r="E306" s="12">
        <f>IFERROR(__xludf.DUMMYFUNCTION("""COMPUTED_VALUE"""),0.27189814814846613)</f>
        <v>0.2718981481</v>
      </c>
      <c r="F306" s="6" t="str">
        <f>IFERROR(__xludf.DUMMYFUNCTION("""COMPUTED_VALUE"""),"Negative")</f>
        <v>Negative</v>
      </c>
      <c r="G306" s="6">
        <f>IFERROR(__xludf.DUMMYFUNCTION("""COMPUTED_VALUE"""),1.0)</f>
        <v>1</v>
      </c>
    </row>
    <row r="307">
      <c r="A307" s="6" t="str">
        <f>IFERROR(__xludf.DUMMYFUNCTION("""COMPUTED_VALUE"""),"FM3905")</f>
        <v>FM3905</v>
      </c>
      <c r="B307" s="6" t="str">
        <f>IFERROR(__xludf.DUMMYFUNCTION("""COMPUTED_VALUE"""),"RUN-COMB_2022-04-13_RFR-016")</f>
        <v>RUN-COMB_2022-04-13_RFR-016</v>
      </c>
      <c r="C307" s="7">
        <f>VLOOKUP(B307,'Run Reconcile'!A$2:B3090,2,FALSE)</f>
        <v>44664</v>
      </c>
      <c r="D307" s="11">
        <f>IFERROR(__xludf.DUMMYFUNCTION("""COMPUTED_VALUE"""),44664.0)</f>
        <v>44664</v>
      </c>
      <c r="E307" s="12">
        <f>IFERROR(__xludf.DUMMYFUNCTION("""COMPUTED_VALUE"""),0.2723379629642295)</f>
        <v>0.272337963</v>
      </c>
      <c r="F307" s="6" t="str">
        <f>IFERROR(__xludf.DUMMYFUNCTION("""COMPUTED_VALUE"""),"Negative")</f>
        <v>Negative</v>
      </c>
      <c r="G307" s="6">
        <f>IFERROR(__xludf.DUMMYFUNCTION("""COMPUTED_VALUE"""),1.0)</f>
        <v>1</v>
      </c>
    </row>
    <row r="308">
      <c r="A308" s="6" t="str">
        <f>IFERROR(__xludf.DUMMYFUNCTION("""COMPUTED_VALUE"""),"FM3676")</f>
        <v>FM3676</v>
      </c>
      <c r="B308" s="6" t="str">
        <f>IFERROR(__xludf.DUMMYFUNCTION("""COMPUTED_VALUE"""),"RUN-COMB_2022-04-13_RFR-016")</f>
        <v>RUN-COMB_2022-04-13_RFR-016</v>
      </c>
      <c r="C308" s="7">
        <f>VLOOKUP(B308,'Run Reconcile'!A$2:B3090,2,FALSE)</f>
        <v>44664</v>
      </c>
      <c r="D308" s="11">
        <f>IFERROR(__xludf.DUMMYFUNCTION("""COMPUTED_VALUE"""),44664.0)</f>
        <v>44664</v>
      </c>
      <c r="E308" s="12">
        <f>IFERROR(__xludf.DUMMYFUNCTION("""COMPUTED_VALUE"""),0.2794675925943011)</f>
        <v>0.2794675926</v>
      </c>
      <c r="F308" s="6" t="str">
        <f>IFERROR(__xludf.DUMMYFUNCTION("""COMPUTED_VALUE"""),"Negative")</f>
        <v>Negative</v>
      </c>
      <c r="G308" s="6">
        <f>IFERROR(__xludf.DUMMYFUNCTION("""COMPUTED_VALUE"""),1.0)</f>
        <v>1</v>
      </c>
    </row>
    <row r="309">
      <c r="A309" s="6" t="str">
        <f>IFERROR(__xludf.DUMMYFUNCTION("""COMPUTED_VALUE"""),"FM4416")</f>
        <v>FM4416</v>
      </c>
      <c r="B309" s="6" t="str">
        <f>IFERROR(__xludf.DUMMYFUNCTION("""COMPUTED_VALUE"""),"RUN-COMB_2022-04-13_RFR-016")</f>
        <v>RUN-COMB_2022-04-13_RFR-016</v>
      </c>
      <c r="C309" s="7">
        <f>VLOOKUP(B309,'Run Reconcile'!A$2:B3090,2,FALSE)</f>
        <v>44664</v>
      </c>
      <c r="D309" s="11">
        <f>IFERROR(__xludf.DUMMYFUNCTION("""COMPUTED_VALUE"""),44664.0)</f>
        <v>44664</v>
      </c>
      <c r="E309" s="12">
        <f>IFERROR(__xludf.DUMMYFUNCTION("""COMPUTED_VALUE"""),0.28130787036934635)</f>
        <v>0.2813078704</v>
      </c>
      <c r="F309" s="6" t="str">
        <f>IFERROR(__xludf.DUMMYFUNCTION("""COMPUTED_VALUE"""),"Negative")</f>
        <v>Negative</v>
      </c>
      <c r="G309" s="6">
        <f>IFERROR(__xludf.DUMMYFUNCTION("""COMPUTED_VALUE"""),1.0)</f>
        <v>1</v>
      </c>
    </row>
    <row r="310">
      <c r="A310" s="6" t="str">
        <f>IFERROR(__xludf.DUMMYFUNCTION("""COMPUTED_VALUE"""),"FM4413")</f>
        <v>FM4413</v>
      </c>
      <c r="B310" s="6" t="str">
        <f>IFERROR(__xludf.DUMMYFUNCTION("""COMPUTED_VALUE"""),"RUN-COMB_2022-04-13_RFR-016")</f>
        <v>RUN-COMB_2022-04-13_RFR-016</v>
      </c>
      <c r="C310" s="7">
        <f>VLOOKUP(B310,'Run Reconcile'!A$2:B3090,2,FALSE)</f>
        <v>44664</v>
      </c>
      <c r="D310" s="11">
        <f>IFERROR(__xludf.DUMMYFUNCTION("""COMPUTED_VALUE"""),44664.0)</f>
        <v>44664</v>
      </c>
      <c r="E310" s="12">
        <f>IFERROR(__xludf.DUMMYFUNCTION("""COMPUTED_VALUE"""),0.2818402777775191)</f>
        <v>0.2818402778</v>
      </c>
      <c r="F310" s="6" t="str">
        <f>IFERROR(__xludf.DUMMYFUNCTION("""COMPUTED_VALUE"""),"Negative")</f>
        <v>Negative</v>
      </c>
      <c r="G310" s="6">
        <f>IFERROR(__xludf.DUMMYFUNCTION("""COMPUTED_VALUE"""),1.0)</f>
        <v>1</v>
      </c>
    </row>
    <row r="311">
      <c r="A311" s="6" t="str">
        <f>IFERROR(__xludf.DUMMYFUNCTION("""COMPUTED_VALUE"""),"FM3987")</f>
        <v>FM3987</v>
      </c>
      <c r="B311" s="6" t="str">
        <f>IFERROR(__xludf.DUMMYFUNCTION("""COMPUTED_VALUE"""),"RUN-COMB_2022-04-13_RFR-016")</f>
        <v>RUN-COMB_2022-04-13_RFR-016</v>
      </c>
      <c r="C311" s="7">
        <f>VLOOKUP(B311,'Run Reconcile'!A$2:B3090,2,FALSE)</f>
        <v>44664</v>
      </c>
      <c r="D311" s="11">
        <f>IFERROR(__xludf.DUMMYFUNCTION("""COMPUTED_VALUE"""),44664.0)</f>
        <v>44664</v>
      </c>
      <c r="E311" s="12">
        <f>IFERROR(__xludf.DUMMYFUNCTION("""COMPUTED_VALUE"""),0.2843055555567844)</f>
        <v>0.2843055556</v>
      </c>
      <c r="F311" s="6" t="str">
        <f>IFERROR(__xludf.DUMMYFUNCTION("""COMPUTED_VALUE"""),"Negative")</f>
        <v>Negative</v>
      </c>
      <c r="G311" s="6">
        <f>IFERROR(__xludf.DUMMYFUNCTION("""COMPUTED_VALUE"""),1.0)</f>
        <v>1</v>
      </c>
    </row>
    <row r="312">
      <c r="A312" s="6" t="str">
        <f>IFERROR(__xludf.DUMMYFUNCTION("""COMPUTED_VALUE"""),"FM4401")</f>
        <v>FM4401</v>
      </c>
      <c r="B312" s="6" t="str">
        <f>IFERROR(__xludf.DUMMYFUNCTION("""COMPUTED_VALUE"""),"RUN-COMB_2022-04-13_RFR-016")</f>
        <v>RUN-COMB_2022-04-13_RFR-016</v>
      </c>
      <c r="C312" s="7">
        <f>VLOOKUP(B312,'Run Reconcile'!A$2:B3090,2,FALSE)</f>
        <v>44664</v>
      </c>
      <c r="D312" s="11">
        <f>IFERROR(__xludf.DUMMYFUNCTION("""COMPUTED_VALUE"""),44664.0)</f>
        <v>44664</v>
      </c>
      <c r="E312" s="12">
        <f>IFERROR(__xludf.DUMMYFUNCTION("""COMPUTED_VALUE"""),0.3007986111115315)</f>
        <v>0.3007986111</v>
      </c>
      <c r="F312" s="6" t="str">
        <f>IFERROR(__xludf.DUMMYFUNCTION("""COMPUTED_VALUE"""),"Negative")</f>
        <v>Negative</v>
      </c>
      <c r="G312" s="6">
        <f>IFERROR(__xludf.DUMMYFUNCTION("""COMPUTED_VALUE"""),1.0)</f>
        <v>1</v>
      </c>
    </row>
    <row r="313">
      <c r="A313" s="6" t="str">
        <f>IFERROR(__xludf.DUMMYFUNCTION("""COMPUTED_VALUE"""),"FM4408")</f>
        <v>FM4408</v>
      </c>
      <c r="B313" s="6" t="str">
        <f>IFERROR(__xludf.DUMMYFUNCTION("""COMPUTED_VALUE"""),"RUN-COMB_2022-04-13_RFR-016")</f>
        <v>RUN-COMB_2022-04-13_RFR-016</v>
      </c>
      <c r="C313" s="7">
        <f>VLOOKUP(B313,'Run Reconcile'!A$2:B3090,2,FALSE)</f>
        <v>44664</v>
      </c>
      <c r="D313" s="11">
        <f>IFERROR(__xludf.DUMMYFUNCTION("""COMPUTED_VALUE"""),44664.0)</f>
        <v>44664</v>
      </c>
      <c r="E313" s="12">
        <f>IFERROR(__xludf.DUMMYFUNCTION("""COMPUTED_VALUE"""),0.3013078703697829)</f>
        <v>0.3013078704</v>
      </c>
      <c r="F313" s="6" t="str">
        <f>IFERROR(__xludf.DUMMYFUNCTION("""COMPUTED_VALUE"""),"Negative")</f>
        <v>Negative</v>
      </c>
      <c r="G313" s="6">
        <f>IFERROR(__xludf.DUMMYFUNCTION("""COMPUTED_VALUE"""),1.0)</f>
        <v>1</v>
      </c>
    </row>
    <row r="314">
      <c r="A314" s="6" t="str">
        <f>IFERROR(__xludf.DUMMYFUNCTION("""COMPUTED_VALUE"""),"FM4417")</f>
        <v>FM4417</v>
      </c>
      <c r="B314" s="6" t="str">
        <f>IFERROR(__xludf.DUMMYFUNCTION("""COMPUTED_VALUE"""),"RUN-COMB_2022-04-13_RFR-016")</f>
        <v>RUN-COMB_2022-04-13_RFR-016</v>
      </c>
      <c r="C314" s="7">
        <f>VLOOKUP(B314,'Run Reconcile'!A$2:B3090,2,FALSE)</f>
        <v>44664</v>
      </c>
      <c r="D314" s="11">
        <f>IFERROR(__xludf.DUMMYFUNCTION("""COMPUTED_VALUE"""),44664.0)</f>
        <v>44664</v>
      </c>
      <c r="E314" s="12">
        <f>IFERROR(__xludf.DUMMYFUNCTION("""COMPUTED_VALUE"""),0.3018171296280343)</f>
        <v>0.3018171296</v>
      </c>
      <c r="F314" s="6" t="str">
        <f>IFERROR(__xludf.DUMMYFUNCTION("""COMPUTED_VALUE"""),"Negative")</f>
        <v>Negative</v>
      </c>
      <c r="G314" s="6">
        <f>IFERROR(__xludf.DUMMYFUNCTION("""COMPUTED_VALUE"""),1.0)</f>
        <v>1</v>
      </c>
    </row>
    <row r="315">
      <c r="A315" s="6" t="str">
        <f>IFERROR(__xludf.DUMMYFUNCTION("""COMPUTED_VALUE"""),"FM4402")</f>
        <v>FM4402</v>
      </c>
      <c r="B315" s="6" t="str">
        <f>IFERROR(__xludf.DUMMYFUNCTION("""COMPUTED_VALUE"""),"RUN-COMB_2022-04-13_RFR-016")</f>
        <v>RUN-COMB_2022-04-13_RFR-016</v>
      </c>
      <c r="C315" s="7">
        <f>VLOOKUP(B315,'Run Reconcile'!A$2:B3090,2,FALSE)</f>
        <v>44664</v>
      </c>
      <c r="D315" s="11">
        <f>IFERROR(__xludf.DUMMYFUNCTION("""COMPUTED_VALUE"""),44664.0)</f>
        <v>44664</v>
      </c>
      <c r="E315" s="12">
        <f>IFERROR(__xludf.DUMMYFUNCTION("""COMPUTED_VALUE"""),0.30364583333357587)</f>
        <v>0.3036458333</v>
      </c>
      <c r="F315" s="6" t="str">
        <f>IFERROR(__xludf.DUMMYFUNCTION("""COMPUTED_VALUE"""),"Negative")</f>
        <v>Negative</v>
      </c>
      <c r="G315" s="6">
        <f>IFERROR(__xludf.DUMMYFUNCTION("""COMPUTED_VALUE"""),1.0)</f>
        <v>1</v>
      </c>
    </row>
    <row r="316">
      <c r="A316" s="6" t="str">
        <f>IFERROR(__xludf.DUMMYFUNCTION("""COMPUTED_VALUE"""),"FM4488")</f>
        <v>FM4488</v>
      </c>
      <c r="B316" s="6" t="str">
        <f>IFERROR(__xludf.DUMMYFUNCTION("""COMPUTED_VALUE"""),"RUN-COMB_2022-04-14_RFR-017")</f>
        <v>RUN-COMB_2022-04-14_RFR-017</v>
      </c>
      <c r="C316" s="7">
        <f>VLOOKUP(B316,'Run Reconcile'!A$2:B3090,2,FALSE)</f>
        <v>44665</v>
      </c>
      <c r="D316" s="11">
        <f>IFERROR(__xludf.DUMMYFUNCTION("""COMPUTED_VALUE"""),44665.0)</f>
        <v>44665</v>
      </c>
      <c r="E316" s="12">
        <f>IFERROR(__xludf.DUMMYFUNCTION("""COMPUTED_VALUE"""),0.265625)</f>
        <v>0.265625</v>
      </c>
      <c r="F316" s="6" t="str">
        <f>IFERROR(__xludf.DUMMYFUNCTION("""COMPUTED_VALUE"""),"Negative")</f>
        <v>Negative</v>
      </c>
      <c r="G316" s="6">
        <f>IFERROR(__xludf.DUMMYFUNCTION("""COMPUTED_VALUE"""),1.0)</f>
        <v>1</v>
      </c>
    </row>
    <row r="317">
      <c r="A317" s="6" t="str">
        <f>IFERROR(__xludf.DUMMYFUNCTION("""COMPUTED_VALUE"""),"FM4471")</f>
        <v>FM4471</v>
      </c>
      <c r="B317" s="6" t="str">
        <f>IFERROR(__xludf.DUMMYFUNCTION("""COMPUTED_VALUE"""),"RUN-COMB_2022-04-14_RFR-017")</f>
        <v>RUN-COMB_2022-04-14_RFR-017</v>
      </c>
      <c r="C317" s="7">
        <f>VLOOKUP(B317,'Run Reconcile'!A$2:B3090,2,FALSE)</f>
        <v>44665</v>
      </c>
      <c r="D317" s="11">
        <f>IFERROR(__xludf.DUMMYFUNCTION("""COMPUTED_VALUE"""),44665.0)</f>
        <v>44665</v>
      </c>
      <c r="E317" s="12">
        <f>IFERROR(__xludf.DUMMYFUNCTION("""COMPUTED_VALUE"""),0.2661342592582514)</f>
        <v>0.2661342593</v>
      </c>
      <c r="F317" s="6" t="str">
        <f>IFERROR(__xludf.DUMMYFUNCTION("""COMPUTED_VALUE"""),"Negative")</f>
        <v>Negative</v>
      </c>
      <c r="G317" s="6">
        <f>IFERROR(__xludf.DUMMYFUNCTION("""COMPUTED_VALUE"""),1.0)</f>
        <v>1</v>
      </c>
    </row>
    <row r="318">
      <c r="A318" s="6" t="str">
        <f>IFERROR(__xludf.DUMMYFUNCTION("""COMPUTED_VALUE"""),"FM4431")</f>
        <v>FM4431</v>
      </c>
      <c r="B318" s="6" t="str">
        <f>IFERROR(__xludf.DUMMYFUNCTION("""COMPUTED_VALUE"""),"RUN-COMB_2022-04-14_RFR-017")</f>
        <v>RUN-COMB_2022-04-14_RFR-017</v>
      </c>
      <c r="C318" s="7">
        <f>VLOOKUP(B318,'Run Reconcile'!A$2:B3090,2,FALSE)</f>
        <v>44665</v>
      </c>
      <c r="D318" s="11">
        <f>IFERROR(__xludf.DUMMYFUNCTION("""COMPUTED_VALUE"""),44665.0)</f>
        <v>44665</v>
      </c>
      <c r="E318" s="12">
        <f>IFERROR(__xludf.DUMMYFUNCTION("""COMPUTED_VALUE"""),0.26655092592773144)</f>
        <v>0.2665509259</v>
      </c>
      <c r="F318" s="6" t="str">
        <f>IFERROR(__xludf.DUMMYFUNCTION("""COMPUTED_VALUE"""),"Negative")</f>
        <v>Negative</v>
      </c>
      <c r="G318" s="6">
        <f>IFERROR(__xludf.DUMMYFUNCTION("""COMPUTED_VALUE"""),1.0)</f>
        <v>1</v>
      </c>
    </row>
    <row r="319">
      <c r="A319" s="6" t="str">
        <f>IFERROR(__xludf.DUMMYFUNCTION("""COMPUTED_VALUE"""),"FM4395")</f>
        <v>FM4395</v>
      </c>
      <c r="B319" s="6" t="str">
        <f>IFERROR(__xludf.DUMMYFUNCTION("""COMPUTED_VALUE"""),"RUN-COMB_2022-04-14_RFR-017")</f>
        <v>RUN-COMB_2022-04-14_RFR-017</v>
      </c>
      <c r="C319" s="7">
        <f>VLOOKUP(B319,'Run Reconcile'!A$2:B3090,2,FALSE)</f>
        <v>44665</v>
      </c>
      <c r="D319" s="11">
        <f>IFERROR(__xludf.DUMMYFUNCTION("""COMPUTED_VALUE"""),44665.0)</f>
        <v>44665</v>
      </c>
      <c r="E319" s="12">
        <f>IFERROR(__xludf.DUMMYFUNCTION("""COMPUTED_VALUE"""),0.2668518518512428)</f>
        <v>0.2668518519</v>
      </c>
      <c r="F319" s="6" t="str">
        <f>IFERROR(__xludf.DUMMYFUNCTION("""COMPUTED_VALUE"""),"Negative")</f>
        <v>Negative</v>
      </c>
      <c r="G319" s="6">
        <f>IFERROR(__xludf.DUMMYFUNCTION("""COMPUTED_VALUE"""),1.0)</f>
        <v>1</v>
      </c>
    </row>
    <row r="320">
      <c r="A320" s="6" t="str">
        <f>IFERROR(__xludf.DUMMYFUNCTION("""COMPUTED_VALUE"""),"FM4388")</f>
        <v>FM4388</v>
      </c>
      <c r="B320" s="6" t="str">
        <f>IFERROR(__xludf.DUMMYFUNCTION("""COMPUTED_VALUE"""),"RUN-COMB_2022-04-14_RFR-017")</f>
        <v>RUN-COMB_2022-04-14_RFR-017</v>
      </c>
      <c r="C320" s="7">
        <f>VLOOKUP(B320,'Run Reconcile'!A$2:B3090,2,FALSE)</f>
        <v>44665</v>
      </c>
      <c r="D320" s="11">
        <f>IFERROR(__xludf.DUMMYFUNCTION("""COMPUTED_VALUE"""),44665.0)</f>
        <v>44665</v>
      </c>
      <c r="E320" s="12">
        <f>IFERROR(__xludf.DUMMYFUNCTION("""COMPUTED_VALUE"""),0.26866898148000473)</f>
        <v>0.2686689815</v>
      </c>
      <c r="F320" s="6" t="str">
        <f>IFERROR(__xludf.DUMMYFUNCTION("""COMPUTED_VALUE"""),"Negative")</f>
        <v>Negative</v>
      </c>
      <c r="G320" s="6">
        <f>IFERROR(__xludf.DUMMYFUNCTION("""COMPUTED_VALUE"""),1.0)</f>
        <v>1</v>
      </c>
    </row>
    <row r="321">
      <c r="A321" s="6" t="str">
        <f>IFERROR(__xludf.DUMMYFUNCTION("""COMPUTED_VALUE"""),"FM4404")</f>
        <v>FM4404</v>
      </c>
      <c r="B321" s="6" t="str">
        <f>IFERROR(__xludf.DUMMYFUNCTION("""COMPUTED_VALUE"""),"RUN-COMB_2022-04-14_RFR-017")</f>
        <v>RUN-COMB_2022-04-14_RFR-017</v>
      </c>
      <c r="C321" s="7">
        <f>VLOOKUP(B321,'Run Reconcile'!A$2:B3090,2,FALSE)</f>
        <v>44665</v>
      </c>
      <c r="D321" s="11">
        <f>IFERROR(__xludf.DUMMYFUNCTION("""COMPUTED_VALUE"""),44665.0)</f>
        <v>44665</v>
      </c>
      <c r="E321" s="12">
        <f>IFERROR(__xludf.DUMMYFUNCTION("""COMPUTED_VALUE"""),0.2691550925919728)</f>
        <v>0.2691550926</v>
      </c>
      <c r="F321" s="6" t="str">
        <f>IFERROR(__xludf.DUMMYFUNCTION("""COMPUTED_VALUE"""),"Negative")</f>
        <v>Negative</v>
      </c>
      <c r="G321" s="6">
        <f>IFERROR(__xludf.DUMMYFUNCTION("""COMPUTED_VALUE"""),1.0)</f>
        <v>1</v>
      </c>
    </row>
    <row r="322">
      <c r="A322" s="6" t="str">
        <f>IFERROR(__xludf.DUMMYFUNCTION("""COMPUTED_VALUE"""),"FM4400")</f>
        <v>FM4400</v>
      </c>
      <c r="B322" s="6" t="str">
        <f>IFERROR(__xludf.DUMMYFUNCTION("""COMPUTED_VALUE"""),"RUN-COMB_2022-04-14_RFR-017")</f>
        <v>RUN-COMB_2022-04-14_RFR-017</v>
      </c>
      <c r="C322" s="7">
        <f>VLOOKUP(B322,'Run Reconcile'!A$2:B3090,2,FALSE)</f>
        <v>44665</v>
      </c>
      <c r="D322" s="11">
        <f>IFERROR(__xludf.DUMMYFUNCTION("""COMPUTED_VALUE"""),44665.0)</f>
        <v>44665</v>
      </c>
      <c r="E322" s="12">
        <f>IFERROR(__xludf.DUMMYFUNCTION("""COMPUTED_VALUE"""),0.26957175925781485)</f>
        <v>0.2695717593</v>
      </c>
      <c r="F322" s="6" t="str">
        <f>IFERROR(__xludf.DUMMYFUNCTION("""COMPUTED_VALUE"""),"Negative")</f>
        <v>Negative</v>
      </c>
      <c r="G322" s="6">
        <f>IFERROR(__xludf.DUMMYFUNCTION("""COMPUTED_VALUE"""),1.0)</f>
        <v>1</v>
      </c>
    </row>
    <row r="323">
      <c r="A323" s="6" t="str">
        <f>IFERROR(__xludf.DUMMYFUNCTION("""COMPUTED_VALUE"""),"FM4500")</f>
        <v>FM4500</v>
      </c>
      <c r="B323" s="6" t="str">
        <f>IFERROR(__xludf.DUMMYFUNCTION("""COMPUTED_VALUE"""),"RUN-COMB_2022-04-14_RFR-017")</f>
        <v>RUN-COMB_2022-04-14_RFR-017</v>
      </c>
      <c r="C323" s="7">
        <f>VLOOKUP(B323,'Run Reconcile'!A$2:B3090,2,FALSE)</f>
        <v>44665</v>
      </c>
      <c r="D323" s="11">
        <f>IFERROR(__xludf.DUMMYFUNCTION("""COMPUTED_VALUE"""),44665.0)</f>
        <v>44665</v>
      </c>
      <c r="E323" s="12">
        <f>IFERROR(__xludf.DUMMYFUNCTION("""COMPUTED_VALUE"""),0.2699074074080272)</f>
        <v>0.2699074074</v>
      </c>
      <c r="F323" s="6" t="str">
        <f>IFERROR(__xludf.DUMMYFUNCTION("""COMPUTED_VALUE"""),"Negative")</f>
        <v>Negative</v>
      </c>
      <c r="G323" s="6">
        <f>IFERROR(__xludf.DUMMYFUNCTION("""COMPUTED_VALUE"""),1.0)</f>
        <v>1</v>
      </c>
    </row>
    <row r="324">
      <c r="A324" s="6" t="str">
        <f>IFERROR(__xludf.DUMMYFUNCTION("""COMPUTED_VALUE"""),"FM4000")</f>
        <v>FM4000</v>
      </c>
      <c r="B324" s="6" t="str">
        <f>IFERROR(__xludf.DUMMYFUNCTION("""COMPUTED_VALUE"""),"RUN-COMB_2022-04-14_RFR-017")</f>
        <v>RUN-COMB_2022-04-14_RFR-017</v>
      </c>
      <c r="C324" s="7">
        <f>VLOOKUP(B324,'Run Reconcile'!A$2:B3090,2,FALSE)</f>
        <v>44665</v>
      </c>
      <c r="D324" s="11">
        <f>IFERROR(__xludf.DUMMYFUNCTION("""COMPUTED_VALUE"""),44665.0)</f>
        <v>44665</v>
      </c>
      <c r="E324" s="12">
        <f>IFERROR(__xludf.DUMMYFUNCTION("""COMPUTED_VALUE"""),0.27028935185080627)</f>
        <v>0.2702893519</v>
      </c>
      <c r="F324" s="6" t="str">
        <f>IFERROR(__xludf.DUMMYFUNCTION("""COMPUTED_VALUE"""),"Negative")</f>
        <v>Negative</v>
      </c>
      <c r="G324" s="6">
        <f>IFERROR(__xludf.DUMMYFUNCTION("""COMPUTED_VALUE"""),1.0)</f>
        <v>1</v>
      </c>
    </row>
    <row r="325">
      <c r="A325" s="6" t="str">
        <f>IFERROR(__xludf.DUMMYFUNCTION("""COMPUTED_VALUE"""),"FM4386")</f>
        <v>FM4386</v>
      </c>
      <c r="B325" s="6" t="str">
        <f>IFERROR(__xludf.DUMMYFUNCTION("""COMPUTED_VALUE"""),"RUN-COMB_2022-04-14_RFR-017")</f>
        <v>RUN-COMB_2022-04-14_RFR-017</v>
      </c>
      <c r="C325" s="7">
        <f>VLOOKUP(B325,'Run Reconcile'!A$2:B3090,2,FALSE)</f>
        <v>44665</v>
      </c>
      <c r="D325" s="11">
        <f>IFERROR(__xludf.DUMMYFUNCTION("""COMPUTED_VALUE"""),44665.0)</f>
        <v>44665</v>
      </c>
      <c r="E325" s="12">
        <f>IFERROR(__xludf.DUMMYFUNCTION("""COMPUTED_VALUE"""),0.2706712962972233)</f>
        <v>0.2706712963</v>
      </c>
      <c r="F325" s="6" t="str">
        <f>IFERROR(__xludf.DUMMYFUNCTION("""COMPUTED_VALUE"""),"Negative")</f>
        <v>Negative</v>
      </c>
      <c r="G325" s="6">
        <f>IFERROR(__xludf.DUMMYFUNCTION("""COMPUTED_VALUE"""),1.0)</f>
        <v>1</v>
      </c>
    </row>
    <row r="326">
      <c r="A326" s="6" t="str">
        <f>IFERROR(__xludf.DUMMYFUNCTION("""COMPUTED_VALUE"""),"FM4248")</f>
        <v>FM4248</v>
      </c>
      <c r="B326" s="6" t="str">
        <f>IFERROR(__xludf.DUMMYFUNCTION("""COMPUTED_VALUE"""),"RUN-COMB_2022-04-14_RFR-017")</f>
        <v>RUN-COMB_2022-04-14_RFR-017</v>
      </c>
      <c r="C326" s="7">
        <f>VLOOKUP(B326,'Run Reconcile'!A$2:B3090,2,FALSE)</f>
        <v>44665</v>
      </c>
      <c r="D326" s="11">
        <f>IFERROR(__xludf.DUMMYFUNCTION("""COMPUTED_VALUE"""),44665.0)</f>
        <v>44665</v>
      </c>
      <c r="E326" s="12">
        <f>IFERROR(__xludf.DUMMYFUNCTION("""COMPUTED_VALUE"""),0.2711111111093487)</f>
        <v>0.2711111111</v>
      </c>
      <c r="F326" s="6" t="str">
        <f>IFERROR(__xludf.DUMMYFUNCTION("""COMPUTED_VALUE"""),"Negative")</f>
        <v>Negative</v>
      </c>
      <c r="G326" s="6">
        <f>IFERROR(__xludf.DUMMYFUNCTION("""COMPUTED_VALUE"""),1.0)</f>
        <v>1</v>
      </c>
    </row>
    <row r="327">
      <c r="A327" s="6" t="str">
        <f>IFERROR(__xludf.DUMMYFUNCTION("""COMPUTED_VALUE"""),"FM4430")</f>
        <v>FM4430</v>
      </c>
      <c r="B327" s="6" t="str">
        <f>IFERROR(__xludf.DUMMYFUNCTION("""COMPUTED_VALUE"""),"RUN-COMB_2022-04-14_RFR-017")</f>
        <v>RUN-COMB_2022-04-14_RFR-017</v>
      </c>
      <c r="C327" s="7">
        <f>VLOOKUP(B327,'Run Reconcile'!A$2:B3090,2,FALSE)</f>
        <v>44665</v>
      </c>
      <c r="D327" s="11">
        <f>IFERROR(__xludf.DUMMYFUNCTION("""COMPUTED_VALUE"""),44665.0)</f>
        <v>44665</v>
      </c>
      <c r="E327" s="12">
        <f>IFERROR(__xludf.DUMMYFUNCTION("""COMPUTED_VALUE"""),0.2714699074058444)</f>
        <v>0.2714699074</v>
      </c>
      <c r="F327" s="6" t="str">
        <f>IFERROR(__xludf.DUMMYFUNCTION("""COMPUTED_VALUE"""),"Negative")</f>
        <v>Negative</v>
      </c>
      <c r="G327" s="6">
        <f>IFERROR(__xludf.DUMMYFUNCTION("""COMPUTED_VALUE"""),1.0)</f>
        <v>1</v>
      </c>
    </row>
    <row r="328">
      <c r="A328" s="6" t="str">
        <f>IFERROR(__xludf.DUMMYFUNCTION("""COMPUTED_VALUE"""),"FM4255")</f>
        <v>FM4255</v>
      </c>
      <c r="B328" s="6" t="str">
        <f>IFERROR(__xludf.DUMMYFUNCTION("""COMPUTED_VALUE"""),"RUN-COMB_2022-04-14_RFR-017")</f>
        <v>RUN-COMB_2022-04-14_RFR-017</v>
      </c>
      <c r="C328" s="7">
        <f>VLOOKUP(B328,'Run Reconcile'!A$2:B3090,2,FALSE)</f>
        <v>44665</v>
      </c>
      <c r="D328" s="11">
        <f>IFERROR(__xludf.DUMMYFUNCTION("""COMPUTED_VALUE"""),44665.0)</f>
        <v>44665</v>
      </c>
      <c r="E328" s="12">
        <f>IFERROR(__xludf.DUMMYFUNCTION("""COMPUTED_VALUE"""),0.27210648148320615)</f>
        <v>0.2721064815</v>
      </c>
      <c r="F328" s="6" t="str">
        <f>IFERROR(__xludf.DUMMYFUNCTION("""COMPUTED_VALUE"""),"Negative")</f>
        <v>Negative</v>
      </c>
      <c r="G328" s="6">
        <f>IFERROR(__xludf.DUMMYFUNCTION("""COMPUTED_VALUE"""),1.0)</f>
        <v>1</v>
      </c>
    </row>
    <row r="329">
      <c r="A329" s="6" t="str">
        <f>IFERROR(__xludf.DUMMYFUNCTION("""COMPUTED_VALUE"""),"FM4448")</f>
        <v>FM4448</v>
      </c>
      <c r="B329" s="6" t="str">
        <f>IFERROR(__xludf.DUMMYFUNCTION("""COMPUTED_VALUE"""),"RUN-COMB_2022-04-14_RFR-017")</f>
        <v>RUN-COMB_2022-04-14_RFR-017</v>
      </c>
      <c r="C329" s="7">
        <f>VLOOKUP(B329,'Run Reconcile'!A$2:B3090,2,FALSE)</f>
        <v>44665</v>
      </c>
      <c r="D329" s="11">
        <f>IFERROR(__xludf.DUMMYFUNCTION("""COMPUTED_VALUE"""),44665.0)</f>
        <v>44665</v>
      </c>
      <c r="E329" s="12">
        <f>IFERROR(__xludf.DUMMYFUNCTION("""COMPUTED_VALUE"""),0.27265046296452056)</f>
        <v>0.272650463</v>
      </c>
      <c r="F329" s="6" t="str">
        <f>IFERROR(__xludf.DUMMYFUNCTION("""COMPUTED_VALUE"""),"Negative")</f>
        <v>Negative</v>
      </c>
      <c r="G329" s="6">
        <f>IFERROR(__xludf.DUMMYFUNCTION("""COMPUTED_VALUE"""),1.0)</f>
        <v>1</v>
      </c>
    </row>
    <row r="330">
      <c r="A330" s="6" t="str">
        <f>IFERROR(__xludf.DUMMYFUNCTION("""COMPUTED_VALUE"""),"FM4258")</f>
        <v>FM4258</v>
      </c>
      <c r="B330" s="6" t="str">
        <f>IFERROR(__xludf.DUMMYFUNCTION("""COMPUTED_VALUE"""),"RUN-COMB_2022-04-14_RFR-017")</f>
        <v>RUN-COMB_2022-04-14_RFR-017</v>
      </c>
      <c r="C330" s="7">
        <f>VLOOKUP(B330,'Run Reconcile'!A$2:B3090,2,FALSE)</f>
        <v>44665</v>
      </c>
      <c r="D330" s="11">
        <f>IFERROR(__xludf.DUMMYFUNCTION("""COMPUTED_VALUE"""),44665.0)</f>
        <v>44665</v>
      </c>
      <c r="E330" s="12">
        <f>IFERROR(__xludf.DUMMYFUNCTION("""COMPUTED_VALUE"""),0.2779513888890506)</f>
        <v>0.2779513889</v>
      </c>
      <c r="F330" s="6" t="str">
        <f>IFERROR(__xludf.DUMMYFUNCTION("""COMPUTED_VALUE"""),"Negative")</f>
        <v>Negative</v>
      </c>
      <c r="G330" s="6">
        <f>IFERROR(__xludf.DUMMYFUNCTION("""COMPUTED_VALUE"""),1.0)</f>
        <v>1</v>
      </c>
    </row>
    <row r="331">
      <c r="A331" s="6" t="str">
        <f>IFERROR(__xludf.DUMMYFUNCTION("""COMPUTED_VALUE"""),"FM4409")</f>
        <v>FM4409</v>
      </c>
      <c r="B331" s="6" t="str">
        <f>IFERROR(__xludf.DUMMYFUNCTION("""COMPUTED_VALUE"""),"RUN-COMB_2022-04-14_RFR-017")</f>
        <v>RUN-COMB_2022-04-14_RFR-017</v>
      </c>
      <c r="C331" s="7">
        <f>VLOOKUP(B331,'Run Reconcile'!A$2:B3090,2,FALSE)</f>
        <v>44665</v>
      </c>
      <c r="D331" s="11">
        <f>IFERROR(__xludf.DUMMYFUNCTION("""COMPUTED_VALUE"""),44665.0)</f>
        <v>44665</v>
      </c>
      <c r="E331" s="12">
        <f>IFERROR(__xludf.DUMMYFUNCTION("""COMPUTED_VALUE"""),0.278564814816491)</f>
        <v>0.2785648148</v>
      </c>
      <c r="F331" s="6" t="str">
        <f>IFERROR(__xludf.DUMMYFUNCTION("""COMPUTED_VALUE"""),"Negative")</f>
        <v>Negative</v>
      </c>
      <c r="G331" s="6">
        <f>IFERROR(__xludf.DUMMYFUNCTION("""COMPUTED_VALUE"""),1.0)</f>
        <v>1</v>
      </c>
    </row>
    <row r="332">
      <c r="A332" s="6" t="str">
        <f>IFERROR(__xludf.DUMMYFUNCTION("""COMPUTED_VALUE"""),"FM4384")</f>
        <v>FM4384</v>
      </c>
      <c r="B332" s="6" t="str">
        <f>IFERROR(__xludf.DUMMYFUNCTION("""COMPUTED_VALUE"""),"RUN-COMB_2022-04-14_RFR-017")</f>
        <v>RUN-COMB_2022-04-14_RFR-017</v>
      </c>
      <c r="C332" s="7">
        <f>VLOOKUP(B332,'Run Reconcile'!A$2:B3090,2,FALSE)</f>
        <v>44665</v>
      </c>
      <c r="D332" s="11">
        <f>IFERROR(__xludf.DUMMYFUNCTION("""COMPUTED_VALUE"""),44665.0)</f>
        <v>44665</v>
      </c>
      <c r="E332" s="12">
        <f>IFERROR(__xludf.DUMMYFUNCTION("""COMPUTED_VALUE"""),0.27969907407532446)</f>
        <v>0.2796990741</v>
      </c>
      <c r="F332" s="6" t="str">
        <f>IFERROR(__xludf.DUMMYFUNCTION("""COMPUTED_VALUE"""),"Negative")</f>
        <v>Negative</v>
      </c>
      <c r="G332" s="6">
        <f>IFERROR(__xludf.DUMMYFUNCTION("""COMPUTED_VALUE"""),1.0)</f>
        <v>1</v>
      </c>
    </row>
    <row r="333">
      <c r="A333" s="6" t="str">
        <f>IFERROR(__xludf.DUMMYFUNCTION("""COMPUTED_VALUE"""),"FM4423")</f>
        <v>FM4423</v>
      </c>
      <c r="B333" s="6" t="str">
        <f>IFERROR(__xludf.DUMMYFUNCTION("""COMPUTED_VALUE"""),"RUN-COMB_2022-04-14_RFR-017")</f>
        <v>RUN-COMB_2022-04-14_RFR-017</v>
      </c>
      <c r="C333" s="7">
        <f>VLOOKUP(B333,'Run Reconcile'!A$2:B3090,2,FALSE)</f>
        <v>44665</v>
      </c>
      <c r="D333" s="11">
        <f>IFERROR(__xludf.DUMMYFUNCTION("""COMPUTED_VALUE"""),44665.0)</f>
        <v>44665</v>
      </c>
      <c r="E333" s="12">
        <f>IFERROR(__xludf.DUMMYFUNCTION("""COMPUTED_VALUE"""),0.2800462962950405)</f>
        <v>0.2800462963</v>
      </c>
      <c r="F333" s="6" t="str">
        <f>IFERROR(__xludf.DUMMYFUNCTION("""COMPUTED_VALUE"""),"Negative")</f>
        <v>Negative</v>
      </c>
      <c r="G333" s="6">
        <f>IFERROR(__xludf.DUMMYFUNCTION("""COMPUTED_VALUE"""),1.0)</f>
        <v>1</v>
      </c>
    </row>
    <row r="334">
      <c r="A334" s="6" t="str">
        <f>IFERROR(__xludf.DUMMYFUNCTION("""COMPUTED_VALUE"""),"MA165")</f>
        <v>MA165</v>
      </c>
      <c r="B334" s="6" t="str">
        <f>IFERROR(__xludf.DUMMYFUNCTION("""COMPUTED_VALUE"""),"RUN-COMB_2022-04-14_RFR-017")</f>
        <v>RUN-COMB_2022-04-14_RFR-017</v>
      </c>
      <c r="C334" s="7">
        <f>VLOOKUP(B334,'Run Reconcile'!A$2:B3090,2,FALSE)</f>
        <v>44665</v>
      </c>
      <c r="D334" s="11">
        <f>IFERROR(__xludf.DUMMYFUNCTION("""COMPUTED_VALUE"""),44665.0)</f>
        <v>44665</v>
      </c>
      <c r="E334" s="12">
        <f>IFERROR(__xludf.DUMMYFUNCTION("""COMPUTED_VALUE"""),0.28101851851897663)</f>
        <v>0.2810185185</v>
      </c>
      <c r="F334" s="6" t="str">
        <f>IFERROR(__xludf.DUMMYFUNCTION("""COMPUTED_VALUE"""),"Negative")</f>
        <v>Negative</v>
      </c>
      <c r="G334" s="6">
        <f>IFERROR(__xludf.DUMMYFUNCTION("""COMPUTED_VALUE"""),1.0)</f>
        <v>1</v>
      </c>
    </row>
    <row r="335">
      <c r="A335" s="6" t="str">
        <f>IFERROR(__xludf.DUMMYFUNCTION("""COMPUTED_VALUE"""),"FM4391")</f>
        <v>FM4391</v>
      </c>
      <c r="B335" s="6" t="str">
        <f>IFERROR(__xludf.DUMMYFUNCTION("""COMPUTED_VALUE"""),"RUN-COMB_2022-04-14_RFR-017")</f>
        <v>RUN-COMB_2022-04-14_RFR-017</v>
      </c>
      <c r="C335" s="7">
        <f>VLOOKUP(B335,'Run Reconcile'!A$2:B3090,2,FALSE)</f>
        <v>44665</v>
      </c>
      <c r="D335" s="11">
        <f>IFERROR(__xludf.DUMMYFUNCTION("""COMPUTED_VALUE"""),44665.0)</f>
        <v>44665</v>
      </c>
      <c r="E335" s="12">
        <f>IFERROR(__xludf.DUMMYFUNCTION("""COMPUTED_VALUE"""),0.28145833333474)</f>
        <v>0.2814583333</v>
      </c>
      <c r="F335" s="6" t="str">
        <f>IFERROR(__xludf.DUMMYFUNCTION("""COMPUTED_VALUE"""),"Negative")</f>
        <v>Negative</v>
      </c>
      <c r="G335" s="6">
        <f>IFERROR(__xludf.DUMMYFUNCTION("""COMPUTED_VALUE"""),1.0)</f>
        <v>1</v>
      </c>
    </row>
    <row r="336">
      <c r="A336" s="6" t="str">
        <f>IFERROR(__xludf.DUMMYFUNCTION("""COMPUTED_VALUE"""),"FM4419")</f>
        <v>FM4419</v>
      </c>
      <c r="B336" s="6" t="str">
        <f>IFERROR(__xludf.DUMMYFUNCTION("""COMPUTED_VALUE"""),"RUN-COMB_2022-04-14_RFR-017")</f>
        <v>RUN-COMB_2022-04-14_RFR-017</v>
      </c>
      <c r="C336" s="7">
        <f>VLOOKUP(B336,'Run Reconcile'!A$2:B3090,2,FALSE)</f>
        <v>44665</v>
      </c>
      <c r="D336" s="11">
        <f>IFERROR(__xludf.DUMMYFUNCTION("""COMPUTED_VALUE"""),44665.0)</f>
        <v>44665</v>
      </c>
      <c r="E336" s="12">
        <f>IFERROR(__xludf.DUMMYFUNCTION("""COMPUTED_VALUE"""),0.2818750000005821)</f>
        <v>0.281875</v>
      </c>
      <c r="F336" s="6" t="str">
        <f>IFERROR(__xludf.DUMMYFUNCTION("""COMPUTED_VALUE"""),"Negative")</f>
        <v>Negative</v>
      </c>
      <c r="G336" s="6">
        <f>IFERROR(__xludf.DUMMYFUNCTION("""COMPUTED_VALUE"""),1.0)</f>
        <v>1</v>
      </c>
    </row>
    <row r="337">
      <c r="A337" s="6" t="str">
        <f>IFERROR(__xludf.DUMMYFUNCTION("""COMPUTED_VALUE"""),"FM4246")</f>
        <v>FM4246</v>
      </c>
      <c r="B337" s="6" t="str">
        <f>IFERROR(__xludf.DUMMYFUNCTION("""COMPUTED_VALUE"""),"RUN-COMB_2022-04-14_RFR-017")</f>
        <v>RUN-COMB_2022-04-14_RFR-017</v>
      </c>
      <c r="C337" s="7">
        <f>VLOOKUP(B337,'Run Reconcile'!A$2:B3090,2,FALSE)</f>
        <v>44665</v>
      </c>
      <c r="D337" s="11">
        <f>IFERROR(__xludf.DUMMYFUNCTION("""COMPUTED_VALUE"""),44665.0)</f>
        <v>44665</v>
      </c>
      <c r="E337" s="12">
        <f>IFERROR(__xludf.DUMMYFUNCTION("""COMPUTED_VALUE"""),0.2831018518518249)</f>
        <v>0.2831018519</v>
      </c>
      <c r="F337" s="6" t="str">
        <f>IFERROR(__xludf.DUMMYFUNCTION("""COMPUTED_VALUE"""),"Negative")</f>
        <v>Negative</v>
      </c>
      <c r="G337" s="6">
        <f>IFERROR(__xludf.DUMMYFUNCTION("""COMPUTED_VALUE"""),1.0)</f>
        <v>1</v>
      </c>
    </row>
    <row r="338">
      <c r="A338" s="6" t="str">
        <f>IFERROR(__xludf.DUMMYFUNCTION("""COMPUTED_VALUE"""),"FM4405")</f>
        <v>FM4405</v>
      </c>
      <c r="B338" s="6" t="str">
        <f>IFERROR(__xludf.DUMMYFUNCTION("""COMPUTED_VALUE"""),"RUN-COMB_2022-04-14_RFR-017")</f>
        <v>RUN-COMB_2022-04-14_RFR-017</v>
      </c>
      <c r="C338" s="7">
        <f>VLOOKUP(B338,'Run Reconcile'!A$2:B3090,2,FALSE)</f>
        <v>44665</v>
      </c>
      <c r="D338" s="11">
        <f>IFERROR(__xludf.DUMMYFUNCTION("""COMPUTED_VALUE"""),44665.0)</f>
        <v>44665</v>
      </c>
      <c r="E338" s="12">
        <f>IFERROR(__xludf.DUMMYFUNCTION("""COMPUTED_VALUE"""),0.28356481481387164)</f>
        <v>0.2835648148</v>
      </c>
      <c r="F338" s="6" t="str">
        <f>IFERROR(__xludf.DUMMYFUNCTION("""COMPUTED_VALUE"""),"Negative")</f>
        <v>Negative</v>
      </c>
      <c r="G338" s="6">
        <f>IFERROR(__xludf.DUMMYFUNCTION("""COMPUTED_VALUE"""),1.0)</f>
        <v>1</v>
      </c>
    </row>
    <row r="339">
      <c r="A339" s="6" t="str">
        <f>IFERROR(__xludf.DUMMYFUNCTION("""COMPUTED_VALUE"""),"FM4480")</f>
        <v>FM4480</v>
      </c>
      <c r="B339" s="6" t="str">
        <f>IFERROR(__xludf.DUMMYFUNCTION("""COMPUTED_VALUE"""),"RUN-COMB_2022-04-14_RFR-017")</f>
        <v>RUN-COMB_2022-04-14_RFR-017</v>
      </c>
      <c r="C339" s="7">
        <f>VLOOKUP(B339,'Run Reconcile'!A$2:B3090,2,FALSE)</f>
        <v>44665</v>
      </c>
      <c r="D339" s="11">
        <f>IFERROR(__xludf.DUMMYFUNCTION("""COMPUTED_VALUE"""),44665.0)</f>
        <v>44665</v>
      </c>
      <c r="E339" s="12">
        <f>IFERROR(__xludf.DUMMYFUNCTION("""COMPUTED_VALUE"""),0.28402777777955635)</f>
        <v>0.2840277778</v>
      </c>
      <c r="F339" s="6" t="str">
        <f>IFERROR(__xludf.DUMMYFUNCTION("""COMPUTED_VALUE"""),"Negative")</f>
        <v>Negative</v>
      </c>
      <c r="G339" s="6">
        <f>IFERROR(__xludf.DUMMYFUNCTION("""COMPUTED_VALUE"""),1.0)</f>
        <v>1</v>
      </c>
    </row>
    <row r="340">
      <c r="A340" s="6" t="str">
        <f>IFERROR(__xludf.DUMMYFUNCTION("""COMPUTED_VALUE"""),"FM4427")</f>
        <v>FM4427</v>
      </c>
      <c r="B340" s="6" t="str">
        <f>IFERROR(__xludf.DUMMYFUNCTION("""COMPUTED_VALUE"""),"RUN-COMB_2022-04-14_RFR-017")</f>
        <v>RUN-COMB_2022-04-14_RFR-017</v>
      </c>
      <c r="C340" s="7">
        <f>VLOOKUP(B340,'Run Reconcile'!A$2:B3090,2,FALSE)</f>
        <v>44665</v>
      </c>
      <c r="D340" s="11">
        <f>IFERROR(__xludf.DUMMYFUNCTION("""COMPUTED_VALUE"""),44665.0)</f>
        <v>44665</v>
      </c>
      <c r="E340" s="12">
        <f>IFERROR(__xludf.DUMMYFUNCTION("""COMPUTED_VALUE"""),0.2845601851840911)</f>
        <v>0.2845601852</v>
      </c>
      <c r="F340" s="6" t="str">
        <f>IFERROR(__xludf.DUMMYFUNCTION("""COMPUTED_VALUE"""),"Negative")</f>
        <v>Negative</v>
      </c>
      <c r="G340" s="6">
        <f>IFERROR(__xludf.DUMMYFUNCTION("""COMPUTED_VALUE"""),1.0)</f>
        <v>1</v>
      </c>
    </row>
    <row r="341">
      <c r="A341" s="6" t="str">
        <f>IFERROR(__xludf.DUMMYFUNCTION("""COMPUTED_VALUE"""),"FM4435")</f>
        <v>FM4435</v>
      </c>
      <c r="B341" s="6" t="str">
        <f>IFERROR(__xludf.DUMMYFUNCTION("""COMPUTED_VALUE"""),"RUN-COMB_2022-04-14_RFR-017")</f>
        <v>RUN-COMB_2022-04-14_RFR-017</v>
      </c>
      <c r="C341" s="7">
        <f>VLOOKUP(B341,'Run Reconcile'!A$2:B3090,2,FALSE)</f>
        <v>44665</v>
      </c>
      <c r="D341" s="11">
        <f>IFERROR(__xludf.DUMMYFUNCTION("""COMPUTED_VALUE"""),44665.0)</f>
        <v>44665</v>
      </c>
      <c r="E341" s="12">
        <f>IFERROR(__xludf.DUMMYFUNCTION("""COMPUTED_VALUE"""),0.28508101851912215)</f>
        <v>0.2850810185</v>
      </c>
      <c r="F341" s="6" t="str">
        <f>IFERROR(__xludf.DUMMYFUNCTION("""COMPUTED_VALUE"""),"Negative")</f>
        <v>Negative</v>
      </c>
      <c r="G341" s="6">
        <f>IFERROR(__xludf.DUMMYFUNCTION("""COMPUTED_VALUE"""),1.0)</f>
        <v>1</v>
      </c>
    </row>
    <row r="342">
      <c r="A342" s="6" t="str">
        <f>IFERROR(__xludf.DUMMYFUNCTION("""COMPUTED_VALUE"""),"FM4244")</f>
        <v>FM4244</v>
      </c>
      <c r="B342" s="6" t="str">
        <f>IFERROR(__xludf.DUMMYFUNCTION("""COMPUTED_VALUE"""),"RUN-COMB_2022-04-14_RFR-017")</f>
        <v>RUN-COMB_2022-04-14_RFR-017</v>
      </c>
      <c r="C342" s="7">
        <f>VLOOKUP(B342,'Run Reconcile'!A$2:B3090,2,FALSE)</f>
        <v>44665</v>
      </c>
      <c r="D342" s="11">
        <f>IFERROR(__xludf.DUMMYFUNCTION("""COMPUTED_VALUE"""),44665.0)</f>
        <v>44665</v>
      </c>
      <c r="E342" s="12">
        <f>IFERROR(__xludf.DUMMYFUNCTION("""COMPUTED_VALUE"""),0.2868518518516794)</f>
        <v>0.2868518519</v>
      </c>
      <c r="F342" s="6" t="str">
        <f>IFERROR(__xludf.DUMMYFUNCTION("""COMPUTED_VALUE"""),"Negative")</f>
        <v>Negative</v>
      </c>
      <c r="G342" s="6">
        <f>IFERROR(__xludf.DUMMYFUNCTION("""COMPUTED_VALUE"""),1.0)</f>
        <v>1</v>
      </c>
    </row>
    <row r="343">
      <c r="A343" s="6" t="str">
        <f>IFERROR(__xludf.DUMMYFUNCTION("""COMPUTED_VALUE"""),"FM3447")</f>
        <v>FM3447</v>
      </c>
      <c r="B343" s="6" t="str">
        <f>IFERROR(__xludf.DUMMYFUNCTION("""COMPUTED_VALUE"""),"RUN-COMB_2022-04-14_RFR-017")</f>
        <v>RUN-COMB_2022-04-14_RFR-017</v>
      </c>
      <c r="C343" s="7">
        <f>VLOOKUP(B343,'Run Reconcile'!A$2:B3090,2,FALSE)</f>
        <v>44665</v>
      </c>
      <c r="D343" s="11">
        <f>IFERROR(__xludf.DUMMYFUNCTION("""COMPUTED_VALUE"""),44665.0)</f>
        <v>44665</v>
      </c>
      <c r="E343" s="12">
        <f>IFERROR(__xludf.DUMMYFUNCTION("""COMPUTED_VALUE"""),0.2873495370367891)</f>
        <v>0.287349537</v>
      </c>
      <c r="F343" s="6" t="str">
        <f>IFERROR(__xludf.DUMMYFUNCTION("""COMPUTED_VALUE"""),"Negative")</f>
        <v>Negative</v>
      </c>
      <c r="G343" s="6">
        <f>IFERROR(__xludf.DUMMYFUNCTION("""COMPUTED_VALUE"""),1.0)</f>
        <v>1</v>
      </c>
    </row>
    <row r="344">
      <c r="A344" s="6" t="str">
        <f>IFERROR(__xludf.DUMMYFUNCTION("""COMPUTED_VALUE"""),"FM4475")</f>
        <v>FM4475</v>
      </c>
      <c r="B344" s="6" t="str">
        <f>IFERROR(__xludf.DUMMYFUNCTION("""COMPUTED_VALUE"""),"RUN-COMB_2022-04-14_RFR-017")</f>
        <v>RUN-COMB_2022-04-14_RFR-017</v>
      </c>
      <c r="C344" s="7">
        <f>VLOOKUP(B344,'Run Reconcile'!A$2:B3090,2,FALSE)</f>
        <v>44665</v>
      </c>
      <c r="D344" s="11">
        <f>IFERROR(__xludf.DUMMYFUNCTION("""COMPUTED_VALUE"""),44665.0)</f>
        <v>44665</v>
      </c>
      <c r="E344" s="12">
        <f>IFERROR(__xludf.DUMMYFUNCTION("""COMPUTED_VALUE"""),0.29754629629678675)</f>
        <v>0.2975462963</v>
      </c>
      <c r="F344" s="6" t="str">
        <f>IFERROR(__xludf.DUMMYFUNCTION("""COMPUTED_VALUE"""),"Negative")</f>
        <v>Negative</v>
      </c>
      <c r="G344" s="6">
        <f>IFERROR(__xludf.DUMMYFUNCTION("""COMPUTED_VALUE"""),1.0)</f>
        <v>1</v>
      </c>
    </row>
    <row r="345">
      <c r="A345" s="6" t="str">
        <f>IFERROR(__xludf.DUMMYFUNCTION("""COMPUTED_VALUE"""),"FM4080")</f>
        <v>FM4080</v>
      </c>
      <c r="B345" s="6" t="str">
        <f>IFERROR(__xludf.DUMMYFUNCTION("""COMPUTED_VALUE"""),"RUN-COMB_2022-04-15_RFR-018")</f>
        <v>RUN-COMB_2022-04-15_RFR-018</v>
      </c>
      <c r="C345" s="7">
        <f>VLOOKUP(B345,'Run Reconcile'!A$2:B3090,2,FALSE)</f>
        <v>44666</v>
      </c>
      <c r="D345" s="11">
        <f>IFERROR(__xludf.DUMMYFUNCTION("""COMPUTED_VALUE"""),44666.0)</f>
        <v>44666</v>
      </c>
      <c r="E345" s="12">
        <f>IFERROR(__xludf.DUMMYFUNCTION("""COMPUTED_VALUE"""),0.2561111111099308)</f>
        <v>0.2561111111</v>
      </c>
      <c r="F345" s="6" t="str">
        <f>IFERROR(__xludf.DUMMYFUNCTION("""COMPUTED_VALUE"""),"Negative")</f>
        <v>Negative</v>
      </c>
      <c r="G345" s="6">
        <f>IFERROR(__xludf.DUMMYFUNCTION("""COMPUTED_VALUE"""),1.0)</f>
        <v>1</v>
      </c>
    </row>
    <row r="346">
      <c r="A346" s="6" t="str">
        <f>IFERROR(__xludf.DUMMYFUNCTION("""COMPUTED_VALUE"""),"FM4317")</f>
        <v>FM4317</v>
      </c>
      <c r="B346" s="6" t="str">
        <f>IFERROR(__xludf.DUMMYFUNCTION("""COMPUTED_VALUE"""),"RUN-COMB_2022-04-15_RFR-018")</f>
        <v>RUN-COMB_2022-04-15_RFR-018</v>
      </c>
      <c r="C346" s="7">
        <f>VLOOKUP(B346,'Run Reconcile'!A$2:B3090,2,FALSE)</f>
        <v>44666</v>
      </c>
      <c r="D346" s="11">
        <f>IFERROR(__xludf.DUMMYFUNCTION("""COMPUTED_VALUE"""),44666.0)</f>
        <v>44666</v>
      </c>
      <c r="E346" s="12">
        <f>IFERROR(__xludf.DUMMYFUNCTION("""COMPUTED_VALUE"""),0.2565393518525525)</f>
        <v>0.2565393519</v>
      </c>
      <c r="F346" s="6" t="str">
        <f>IFERROR(__xludf.DUMMYFUNCTION("""COMPUTED_VALUE"""),"Negative")</f>
        <v>Negative</v>
      </c>
      <c r="G346" s="6">
        <f>IFERROR(__xludf.DUMMYFUNCTION("""COMPUTED_VALUE"""),1.0)</f>
        <v>1</v>
      </c>
    </row>
    <row r="347">
      <c r="A347" s="6" t="str">
        <f>IFERROR(__xludf.DUMMYFUNCTION("""COMPUTED_VALUE"""),"FM4272")</f>
        <v>FM4272</v>
      </c>
      <c r="B347" s="6" t="str">
        <f>IFERROR(__xludf.DUMMYFUNCTION("""COMPUTED_VALUE"""),"RUN-COMB_2022-04-15_RFR-018")</f>
        <v>RUN-COMB_2022-04-15_RFR-018</v>
      </c>
      <c r="C347" s="7">
        <f>VLOOKUP(B347,'Run Reconcile'!A$2:B3090,2,FALSE)</f>
        <v>44666</v>
      </c>
      <c r="D347" s="11">
        <f>IFERROR(__xludf.DUMMYFUNCTION("""COMPUTED_VALUE"""),44666.0)</f>
        <v>44666</v>
      </c>
      <c r="E347" s="12">
        <f>IFERROR(__xludf.DUMMYFUNCTION("""COMPUTED_VALUE"""),0.25692129629533156)</f>
        <v>0.2569212963</v>
      </c>
      <c r="F347" s="6" t="str">
        <f>IFERROR(__xludf.DUMMYFUNCTION("""COMPUTED_VALUE"""),"Negative")</f>
        <v>Negative</v>
      </c>
      <c r="G347" s="6">
        <f>IFERROR(__xludf.DUMMYFUNCTION("""COMPUTED_VALUE"""),1.0)</f>
        <v>1</v>
      </c>
    </row>
    <row r="348">
      <c r="A348" s="6" t="str">
        <f>IFERROR(__xludf.DUMMYFUNCTION("""COMPUTED_VALUE"""),"FM4311")</f>
        <v>FM4311</v>
      </c>
      <c r="B348" s="6" t="str">
        <f>IFERROR(__xludf.DUMMYFUNCTION("""COMPUTED_VALUE"""),"RUN-COMB_2022-04-15_RFR-018")</f>
        <v>RUN-COMB_2022-04-15_RFR-018</v>
      </c>
      <c r="C348" s="7">
        <f>VLOOKUP(B348,'Run Reconcile'!A$2:B3090,2,FALSE)</f>
        <v>44666</v>
      </c>
      <c r="D348" s="11">
        <f>IFERROR(__xludf.DUMMYFUNCTION("""COMPUTED_VALUE"""),44666.0)</f>
        <v>44666</v>
      </c>
      <c r="E348" s="12">
        <f>IFERROR(__xludf.DUMMYFUNCTION("""COMPUTED_VALUE"""),0.25739583333415794)</f>
        <v>0.2573958333</v>
      </c>
      <c r="F348" s="6" t="str">
        <f>IFERROR(__xludf.DUMMYFUNCTION("""COMPUTED_VALUE"""),"Negative")</f>
        <v>Negative</v>
      </c>
      <c r="G348" s="6">
        <f>IFERROR(__xludf.DUMMYFUNCTION("""COMPUTED_VALUE"""),1.0)</f>
        <v>1</v>
      </c>
    </row>
    <row r="349">
      <c r="A349" s="6" t="str">
        <f>IFERROR(__xludf.DUMMYFUNCTION("""COMPUTED_VALUE"""),"FM4269")</f>
        <v>FM4269</v>
      </c>
      <c r="B349" s="6" t="str">
        <f>IFERROR(__xludf.DUMMYFUNCTION("""COMPUTED_VALUE"""),"RUN-COMB_2022-04-15_RFR-018")</f>
        <v>RUN-COMB_2022-04-15_RFR-018</v>
      </c>
      <c r="C349" s="7">
        <f>VLOOKUP(B349,'Run Reconcile'!A$2:B3090,2,FALSE)</f>
        <v>44666</v>
      </c>
      <c r="D349" s="11">
        <f>IFERROR(__xludf.DUMMYFUNCTION("""COMPUTED_VALUE"""),44666.0)</f>
        <v>44666</v>
      </c>
      <c r="E349" s="12">
        <f>IFERROR(__xludf.DUMMYFUNCTION("""COMPUTED_VALUE"""),0.2577314814807323)</f>
        <v>0.2577314815</v>
      </c>
      <c r="F349" s="6" t="str">
        <f>IFERROR(__xludf.DUMMYFUNCTION("""COMPUTED_VALUE"""),"Negative")</f>
        <v>Negative</v>
      </c>
      <c r="G349" s="6">
        <f>IFERROR(__xludf.DUMMYFUNCTION("""COMPUTED_VALUE"""),1.0)</f>
        <v>1</v>
      </c>
    </row>
    <row r="350">
      <c r="A350" s="6" t="str">
        <f>IFERROR(__xludf.DUMMYFUNCTION("""COMPUTED_VALUE"""),"FM4318")</f>
        <v>FM4318</v>
      </c>
      <c r="B350" s="6" t="str">
        <f>IFERROR(__xludf.DUMMYFUNCTION("""COMPUTED_VALUE"""),"RUN-COMB_2022-04-15_RFR-018")</f>
        <v>RUN-COMB_2022-04-15_RFR-018</v>
      </c>
      <c r="C350" s="7">
        <f>VLOOKUP(B350,'Run Reconcile'!A$2:B3090,2,FALSE)</f>
        <v>44666</v>
      </c>
      <c r="D350" s="11">
        <f>IFERROR(__xludf.DUMMYFUNCTION("""COMPUTED_VALUE"""),44666.0)</f>
        <v>44666</v>
      </c>
      <c r="E350" s="12">
        <f>IFERROR(__xludf.DUMMYFUNCTION("""COMPUTED_VALUE"""),0.2581365740734327)</f>
        <v>0.2581365741</v>
      </c>
      <c r="F350" s="6" t="str">
        <f>IFERROR(__xludf.DUMMYFUNCTION("""COMPUTED_VALUE"""),"Negative")</f>
        <v>Negative</v>
      </c>
      <c r="G350" s="6">
        <f>IFERROR(__xludf.DUMMYFUNCTION("""COMPUTED_VALUE"""),1.0)</f>
        <v>1</v>
      </c>
    </row>
    <row r="351">
      <c r="A351" s="6" t="str">
        <f>IFERROR(__xludf.DUMMYFUNCTION("""COMPUTED_VALUE"""),"FM4069")</f>
        <v>FM4069</v>
      </c>
      <c r="B351" s="6" t="str">
        <f>IFERROR(__xludf.DUMMYFUNCTION("""COMPUTED_VALUE"""),"RUN-COMB_2022-04-15_RFR-018")</f>
        <v>RUN-COMB_2022-04-15_RFR-018</v>
      </c>
      <c r="C351" s="7">
        <f>VLOOKUP(B351,'Run Reconcile'!A$2:B3090,2,FALSE)</f>
        <v>44666</v>
      </c>
      <c r="D351" s="11">
        <f>IFERROR(__xludf.DUMMYFUNCTION("""COMPUTED_VALUE"""),44666.0)</f>
        <v>44666</v>
      </c>
      <c r="E351" s="12">
        <f>IFERROR(__xludf.DUMMYFUNCTION("""COMPUTED_VALUE"""),0.2643287037026312)</f>
        <v>0.2643287037</v>
      </c>
      <c r="F351" s="6" t="str">
        <f>IFERROR(__xludf.DUMMYFUNCTION("""COMPUTED_VALUE"""),"Negative")</f>
        <v>Negative</v>
      </c>
      <c r="G351" s="6">
        <f>IFERROR(__xludf.DUMMYFUNCTION("""COMPUTED_VALUE"""),1.0)</f>
        <v>1</v>
      </c>
    </row>
    <row r="352">
      <c r="A352" s="6" t="str">
        <f>IFERROR(__xludf.DUMMYFUNCTION("""COMPUTED_VALUE"""),"FM4280")</f>
        <v>FM4280</v>
      </c>
      <c r="B352" s="6" t="str">
        <f>IFERROR(__xludf.DUMMYFUNCTION("""COMPUTED_VALUE"""),"RUN-COMB_2022-04-15_RFR-018")</f>
        <v>RUN-COMB_2022-04-15_RFR-018</v>
      </c>
      <c r="C352" s="7">
        <f>VLOOKUP(B352,'Run Reconcile'!A$2:B3090,2,FALSE)</f>
        <v>44666</v>
      </c>
      <c r="D352" s="11">
        <f>IFERROR(__xludf.DUMMYFUNCTION("""COMPUTED_VALUE"""),44666.0)</f>
        <v>44666</v>
      </c>
      <c r="E352" s="12">
        <f>IFERROR(__xludf.DUMMYFUNCTION("""COMPUTED_VALUE"""),0.2646874999991269)</f>
        <v>0.2646875</v>
      </c>
      <c r="F352" s="6" t="str">
        <f>IFERROR(__xludf.DUMMYFUNCTION("""COMPUTED_VALUE"""),"Negative")</f>
        <v>Negative</v>
      </c>
      <c r="G352" s="6">
        <f>IFERROR(__xludf.DUMMYFUNCTION("""COMPUTED_VALUE"""),1.0)</f>
        <v>1</v>
      </c>
    </row>
    <row r="353">
      <c r="A353" s="6" t="str">
        <f>IFERROR(__xludf.DUMMYFUNCTION("""COMPUTED_VALUE"""),"FM4324")</f>
        <v>FM4324</v>
      </c>
      <c r="B353" s="6" t="str">
        <f>IFERROR(__xludf.DUMMYFUNCTION("""COMPUTED_VALUE"""),"RUN-COMB_2022-04-15_RFR-018")</f>
        <v>RUN-COMB_2022-04-15_RFR-018</v>
      </c>
      <c r="C353" s="7">
        <f>VLOOKUP(B353,'Run Reconcile'!A$2:B3090,2,FALSE)</f>
        <v>44666</v>
      </c>
      <c r="D353" s="11">
        <f>IFERROR(__xludf.DUMMYFUNCTION("""COMPUTED_VALUE"""),44666.0)</f>
        <v>44666</v>
      </c>
      <c r="E353" s="12">
        <f>IFERROR(__xludf.DUMMYFUNCTION("""COMPUTED_VALUE"""),0.2650694444455439)</f>
        <v>0.2650694444</v>
      </c>
      <c r="F353" s="6" t="str">
        <f>IFERROR(__xludf.DUMMYFUNCTION("""COMPUTED_VALUE"""),"Negative")</f>
        <v>Negative</v>
      </c>
      <c r="G353" s="6">
        <f>IFERROR(__xludf.DUMMYFUNCTION("""COMPUTED_VALUE"""),1.0)</f>
        <v>1</v>
      </c>
    </row>
    <row r="354">
      <c r="A354" s="6" t="str">
        <f>IFERROR(__xludf.DUMMYFUNCTION("""COMPUTED_VALUE"""),"FM4281")</f>
        <v>FM4281</v>
      </c>
      <c r="B354" s="6" t="str">
        <f>IFERROR(__xludf.DUMMYFUNCTION("""COMPUTED_VALUE"""),"RUN-COMB_2022-04-15_RFR-018")</f>
        <v>RUN-COMB_2022-04-15_RFR-018</v>
      </c>
      <c r="C354" s="7">
        <f>VLOOKUP(B354,'Run Reconcile'!A$2:B3090,2,FALSE)</f>
        <v>44666</v>
      </c>
      <c r="D354" s="11">
        <f>IFERROR(__xludf.DUMMYFUNCTION("""COMPUTED_VALUE"""),44666.0)</f>
        <v>44666</v>
      </c>
      <c r="E354" s="12">
        <f>IFERROR(__xludf.DUMMYFUNCTION("""COMPUTED_VALUE"""),0.265486111111386)</f>
        <v>0.2654861111</v>
      </c>
      <c r="F354" s="6" t="str">
        <f>IFERROR(__xludf.DUMMYFUNCTION("""COMPUTED_VALUE"""),"Negative")</f>
        <v>Negative</v>
      </c>
      <c r="G354" s="6">
        <f>IFERROR(__xludf.DUMMYFUNCTION("""COMPUTED_VALUE"""),1.0)</f>
        <v>1</v>
      </c>
    </row>
    <row r="355">
      <c r="A355" s="6" t="str">
        <f>IFERROR(__xludf.DUMMYFUNCTION("""COMPUTED_VALUE"""),"FM4299")</f>
        <v>FM4299</v>
      </c>
      <c r="B355" s="6" t="str">
        <f>IFERROR(__xludf.DUMMYFUNCTION("""COMPUTED_VALUE"""),"RUN-COMB_2022-04-15_RFR-018")</f>
        <v>RUN-COMB_2022-04-15_RFR-018</v>
      </c>
      <c r="C355" s="7">
        <f>VLOOKUP(B355,'Run Reconcile'!A$2:B3090,2,FALSE)</f>
        <v>44666</v>
      </c>
      <c r="D355" s="11">
        <f>IFERROR(__xludf.DUMMYFUNCTION("""COMPUTED_VALUE"""),44666.0)</f>
        <v>44666</v>
      </c>
      <c r="E355" s="12">
        <f>IFERROR(__xludf.DUMMYFUNCTION("""COMPUTED_VALUE"""),0.26583333333474)</f>
        <v>0.2658333333</v>
      </c>
      <c r="F355" s="6" t="str">
        <f>IFERROR(__xludf.DUMMYFUNCTION("""COMPUTED_VALUE"""),"Negative")</f>
        <v>Negative</v>
      </c>
      <c r="G355" s="6">
        <f>IFERROR(__xludf.DUMMYFUNCTION("""COMPUTED_VALUE"""),1.0)</f>
        <v>1</v>
      </c>
    </row>
    <row r="356">
      <c r="A356" s="6" t="str">
        <f>IFERROR(__xludf.DUMMYFUNCTION("""COMPUTED_VALUE"""),"FM4332")</f>
        <v>FM4332</v>
      </c>
      <c r="B356" s="6" t="str">
        <f>IFERROR(__xludf.DUMMYFUNCTION("""COMPUTED_VALUE"""),"RUN-COMB_2022-04-15_RFR-018")</f>
        <v>RUN-COMB_2022-04-15_RFR-018</v>
      </c>
      <c r="C356" s="7">
        <f>VLOOKUP(B356,'Run Reconcile'!A$2:B3090,2,FALSE)</f>
        <v>44666</v>
      </c>
      <c r="D356" s="11">
        <f>IFERROR(__xludf.DUMMYFUNCTION("""COMPUTED_VALUE"""),44666.0)</f>
        <v>44666</v>
      </c>
      <c r="E356" s="12">
        <f>IFERROR(__xludf.DUMMYFUNCTION("""COMPUTED_VALUE"""),0.2662037037043774)</f>
        <v>0.2662037037</v>
      </c>
      <c r="F356" s="6" t="str">
        <f>IFERROR(__xludf.DUMMYFUNCTION("""COMPUTED_VALUE"""),"Negative")</f>
        <v>Negative</v>
      </c>
      <c r="G356" s="6">
        <f>IFERROR(__xludf.DUMMYFUNCTION("""COMPUTED_VALUE"""),1.0)</f>
        <v>1</v>
      </c>
    </row>
    <row r="357">
      <c r="A357" s="6" t="str">
        <f>IFERROR(__xludf.DUMMYFUNCTION("""COMPUTED_VALUE"""),"FM4284")</f>
        <v>FM4284</v>
      </c>
      <c r="B357" s="6" t="str">
        <f>IFERROR(__xludf.DUMMYFUNCTION("""COMPUTED_VALUE"""),"RUN-COMB_2022-04-15_RFR-018")</f>
        <v>RUN-COMB_2022-04-15_RFR-018</v>
      </c>
      <c r="C357" s="7">
        <f>VLOOKUP(B357,'Run Reconcile'!A$2:B3090,2,FALSE)</f>
        <v>44666</v>
      </c>
      <c r="D357" s="11">
        <f>IFERROR(__xludf.DUMMYFUNCTION("""COMPUTED_VALUE"""),44666.0)</f>
        <v>44666</v>
      </c>
      <c r="E357" s="12">
        <f>IFERROR(__xludf.DUMMYFUNCTION("""COMPUTED_VALUE"""),0.2664930555547471)</f>
        <v>0.2664930556</v>
      </c>
      <c r="F357" s="6" t="str">
        <f>IFERROR(__xludf.DUMMYFUNCTION("""COMPUTED_VALUE"""),"Negative")</f>
        <v>Negative</v>
      </c>
      <c r="G357" s="6">
        <f>IFERROR(__xludf.DUMMYFUNCTION("""COMPUTED_VALUE"""),1.0)</f>
        <v>1</v>
      </c>
    </row>
    <row r="358">
      <c r="A358" s="6" t="str">
        <f>IFERROR(__xludf.DUMMYFUNCTION("""COMPUTED_VALUE"""),"FM4336")</f>
        <v>FM4336</v>
      </c>
      <c r="B358" s="6" t="str">
        <f>IFERROR(__xludf.DUMMYFUNCTION("""COMPUTED_VALUE"""),"RUN-COMB_2022-04-15_RFR-018")</f>
        <v>RUN-COMB_2022-04-15_RFR-018</v>
      </c>
      <c r="C358" s="7">
        <f>VLOOKUP(B358,'Run Reconcile'!A$2:B3090,2,FALSE)</f>
        <v>44666</v>
      </c>
      <c r="D358" s="11">
        <f>IFERROR(__xludf.DUMMYFUNCTION("""COMPUTED_VALUE"""),44666.0)</f>
        <v>44666</v>
      </c>
      <c r="E358" s="12">
        <f>IFERROR(__xludf.DUMMYFUNCTION("""COMPUTED_VALUE"""),0.26665509259328246)</f>
        <v>0.2666550926</v>
      </c>
      <c r="F358" s="6" t="str">
        <f>IFERROR(__xludf.DUMMYFUNCTION("""COMPUTED_VALUE"""),"Negative")</f>
        <v>Negative</v>
      </c>
      <c r="G358" s="6">
        <f>IFERROR(__xludf.DUMMYFUNCTION("""COMPUTED_VALUE"""),1.0)</f>
        <v>1</v>
      </c>
    </row>
    <row r="359">
      <c r="A359" s="6" t="str">
        <f>IFERROR(__xludf.DUMMYFUNCTION("""COMPUTED_VALUE"""),"FM4267")</f>
        <v>FM4267</v>
      </c>
      <c r="B359" s="6" t="str">
        <f>IFERROR(__xludf.DUMMYFUNCTION("""COMPUTED_VALUE"""),"RUN-COMB_2022-04-15_RFR-018")</f>
        <v>RUN-COMB_2022-04-15_RFR-018</v>
      </c>
      <c r="C359" s="7">
        <f>VLOOKUP(B359,'Run Reconcile'!A$2:B3090,2,FALSE)</f>
        <v>44666</v>
      </c>
      <c r="D359" s="11">
        <f>IFERROR(__xludf.DUMMYFUNCTION("""COMPUTED_VALUE"""),44666.0)</f>
        <v>44666</v>
      </c>
      <c r="E359" s="12">
        <f>IFERROR(__xludf.DUMMYFUNCTION("""COMPUTED_VALUE"""),0.27782407407357823)</f>
        <v>0.2778240741</v>
      </c>
      <c r="F359" s="6" t="str">
        <f>IFERROR(__xludf.DUMMYFUNCTION("""COMPUTED_VALUE"""),"Negative")</f>
        <v>Negative</v>
      </c>
      <c r="G359" s="6">
        <f>IFERROR(__xludf.DUMMYFUNCTION("""COMPUTED_VALUE"""),1.0)</f>
        <v>1</v>
      </c>
    </row>
    <row r="360">
      <c r="A360" s="6" t="str">
        <f>IFERROR(__xludf.DUMMYFUNCTION("""COMPUTED_VALUE"""),"FM4308")</f>
        <v>FM4308</v>
      </c>
      <c r="B360" s="6" t="str">
        <f>IFERROR(__xludf.DUMMYFUNCTION("""COMPUTED_VALUE"""),"RUN-COMB_2022-04-15_RFR-018")</f>
        <v>RUN-COMB_2022-04-15_RFR-018</v>
      </c>
      <c r="C360" s="7">
        <f>VLOOKUP(B360,'Run Reconcile'!A$2:B3090,2,FALSE)</f>
        <v>44666</v>
      </c>
      <c r="D360" s="11">
        <f>IFERROR(__xludf.DUMMYFUNCTION("""COMPUTED_VALUE"""),44666.0)</f>
        <v>44666</v>
      </c>
      <c r="E360" s="12">
        <f>IFERROR(__xludf.DUMMYFUNCTION("""COMPUTED_VALUE"""),0.2782638888893416)</f>
        <v>0.2782638889</v>
      </c>
      <c r="F360" s="6" t="str">
        <f>IFERROR(__xludf.DUMMYFUNCTION("""COMPUTED_VALUE"""),"Negative")</f>
        <v>Negative</v>
      </c>
      <c r="G360" s="6">
        <f>IFERROR(__xludf.DUMMYFUNCTION("""COMPUTED_VALUE"""),1.0)</f>
        <v>1</v>
      </c>
    </row>
    <row r="361">
      <c r="A361" s="6" t="str">
        <f>IFERROR(__xludf.DUMMYFUNCTION("""COMPUTED_VALUE"""),"FM4062")</f>
        <v>FM4062</v>
      </c>
      <c r="B361" s="6" t="str">
        <f>IFERROR(__xludf.DUMMYFUNCTION("""COMPUTED_VALUE"""),"RUN-COMB_2022-04-15_RFR-018")</f>
        <v>RUN-COMB_2022-04-15_RFR-018</v>
      </c>
      <c r="C361" s="7">
        <f>VLOOKUP(B361,'Run Reconcile'!A$2:B3090,2,FALSE)</f>
        <v>44666</v>
      </c>
      <c r="D361" s="11">
        <f>IFERROR(__xludf.DUMMYFUNCTION("""COMPUTED_VALUE"""),44666.0)</f>
        <v>44666</v>
      </c>
      <c r="E361" s="12">
        <f>IFERROR(__xludf.DUMMYFUNCTION("""COMPUTED_VALUE"""),0.27876157407445135)</f>
        <v>0.2787615741</v>
      </c>
      <c r="F361" s="6" t="str">
        <f>IFERROR(__xludf.DUMMYFUNCTION("""COMPUTED_VALUE"""),"Negative")</f>
        <v>Negative</v>
      </c>
      <c r="G361" s="6">
        <f>IFERROR(__xludf.DUMMYFUNCTION("""COMPUTED_VALUE"""),1.0)</f>
        <v>1</v>
      </c>
    </row>
    <row r="362">
      <c r="A362" s="6" t="str">
        <f>IFERROR(__xludf.DUMMYFUNCTION("""COMPUTED_VALUE"""),"FM4067")</f>
        <v>FM4067</v>
      </c>
      <c r="B362" s="6" t="str">
        <f>IFERROR(__xludf.DUMMYFUNCTION("""COMPUTED_VALUE"""),"RUN-COMB_2022-04-15_RFR-018")</f>
        <v>RUN-COMB_2022-04-15_RFR-018</v>
      </c>
      <c r="C362" s="7">
        <f>VLOOKUP(B362,'Run Reconcile'!A$2:B3090,2,FALSE)</f>
        <v>44666</v>
      </c>
      <c r="D362" s="11">
        <f>IFERROR(__xludf.DUMMYFUNCTION("""COMPUTED_VALUE"""),44666.0)</f>
        <v>44666</v>
      </c>
      <c r="E362" s="12">
        <f>IFERROR(__xludf.DUMMYFUNCTION("""COMPUTED_VALUE"""),0.2791782407402934)</f>
        <v>0.2791782407</v>
      </c>
      <c r="F362" s="6" t="str">
        <f>IFERROR(__xludf.DUMMYFUNCTION("""COMPUTED_VALUE"""),"Negative")</f>
        <v>Negative</v>
      </c>
      <c r="G362" s="6">
        <f>IFERROR(__xludf.DUMMYFUNCTION("""COMPUTED_VALUE"""),1.0)</f>
        <v>1</v>
      </c>
    </row>
    <row r="363">
      <c r="A363" s="6" t="str">
        <f>IFERROR(__xludf.DUMMYFUNCTION("""COMPUTED_VALUE"""),"FM4316")</f>
        <v>FM4316</v>
      </c>
      <c r="B363" s="6" t="str">
        <f>IFERROR(__xludf.DUMMYFUNCTION("""COMPUTED_VALUE"""),"RUN-COMB_2022-04-15_RFR-018")</f>
        <v>RUN-COMB_2022-04-15_RFR-018</v>
      </c>
      <c r="C363" s="7">
        <f>VLOOKUP(B363,'Run Reconcile'!A$2:B3090,2,FALSE)</f>
        <v>44666</v>
      </c>
      <c r="D363" s="11">
        <f>IFERROR(__xludf.DUMMYFUNCTION("""COMPUTED_VALUE"""),44666.0)</f>
        <v>44666</v>
      </c>
      <c r="E363" s="12">
        <f>IFERROR(__xludf.DUMMYFUNCTION("""COMPUTED_VALUE"""),0.2795370370367891)</f>
        <v>0.279537037</v>
      </c>
      <c r="F363" s="6" t="str">
        <f>IFERROR(__xludf.DUMMYFUNCTION("""COMPUTED_VALUE"""),"Negative")</f>
        <v>Negative</v>
      </c>
      <c r="G363" s="6">
        <f>IFERROR(__xludf.DUMMYFUNCTION("""COMPUTED_VALUE"""),1.0)</f>
        <v>1</v>
      </c>
    </row>
    <row r="364">
      <c r="A364" s="6" t="str">
        <f>IFERROR(__xludf.DUMMYFUNCTION("""COMPUTED_VALUE"""),"FM4271")</f>
        <v>FM4271</v>
      </c>
      <c r="B364" s="6" t="str">
        <f>IFERROR(__xludf.DUMMYFUNCTION("""COMPUTED_VALUE"""),"RUN-COMB_2022-04-15_RFR-018")</f>
        <v>RUN-COMB_2022-04-15_RFR-018</v>
      </c>
      <c r="C364" s="7">
        <f>VLOOKUP(B364,'Run Reconcile'!A$2:B3090,2,FALSE)</f>
        <v>44666</v>
      </c>
      <c r="D364" s="11">
        <f>IFERROR(__xludf.DUMMYFUNCTION("""COMPUTED_VALUE"""),44666.0)</f>
        <v>44666</v>
      </c>
      <c r="E364" s="12">
        <f>IFERROR(__xludf.DUMMYFUNCTION("""COMPUTED_VALUE"""),0.2799305555563478)</f>
        <v>0.2799305556</v>
      </c>
      <c r="F364" s="6" t="str">
        <f>IFERROR(__xludf.DUMMYFUNCTION("""COMPUTED_VALUE"""),"Negative")</f>
        <v>Negative</v>
      </c>
      <c r="G364" s="6">
        <f>IFERROR(__xludf.DUMMYFUNCTION("""COMPUTED_VALUE"""),1.0)</f>
        <v>1</v>
      </c>
    </row>
    <row r="365">
      <c r="A365" s="6" t="str">
        <f>IFERROR(__xludf.DUMMYFUNCTION("""COMPUTED_VALUE"""),"FM4322")</f>
        <v>FM4322</v>
      </c>
      <c r="B365" s="6" t="str">
        <f>IFERROR(__xludf.DUMMYFUNCTION("""COMPUTED_VALUE"""),"RUN-COMB_2022-04-15_RFR-018")</f>
        <v>RUN-COMB_2022-04-15_RFR-018</v>
      </c>
      <c r="C365" s="7">
        <f>VLOOKUP(B365,'Run Reconcile'!A$2:B3090,2,FALSE)</f>
        <v>44666</v>
      </c>
      <c r="D365" s="11">
        <f>IFERROR(__xludf.DUMMYFUNCTION("""COMPUTED_VALUE"""),44666.0)</f>
        <v>44666</v>
      </c>
      <c r="E365" s="12">
        <f>IFERROR(__xludf.DUMMYFUNCTION("""COMPUTED_VALUE"""),0.28028935185284354)</f>
        <v>0.2802893519</v>
      </c>
      <c r="F365" s="6" t="str">
        <f>IFERROR(__xludf.DUMMYFUNCTION("""COMPUTED_VALUE"""),"Negative")</f>
        <v>Negative</v>
      </c>
      <c r="G365" s="6">
        <f>IFERROR(__xludf.DUMMYFUNCTION("""COMPUTED_VALUE"""),1.0)</f>
        <v>1</v>
      </c>
    </row>
    <row r="366">
      <c r="A366" s="6" t="str">
        <f>IFERROR(__xludf.DUMMYFUNCTION("""COMPUTED_VALUE"""),"FM4288")</f>
        <v>FM4288</v>
      </c>
      <c r="B366" s="6" t="str">
        <f>IFERROR(__xludf.DUMMYFUNCTION("""COMPUTED_VALUE"""),"RUN-COMB_2022-04-15_RFR-018")</f>
        <v>RUN-COMB_2022-04-15_RFR-018</v>
      </c>
      <c r="C366" s="7">
        <f>VLOOKUP(B366,'Run Reconcile'!A$2:B3090,2,FALSE)</f>
        <v>44666</v>
      </c>
      <c r="D366" s="11">
        <f>IFERROR(__xludf.DUMMYFUNCTION("""COMPUTED_VALUE"""),44666.0)</f>
        <v>44666</v>
      </c>
      <c r="E366" s="12">
        <f>IFERROR(__xludf.DUMMYFUNCTION("""COMPUTED_VALUE"""),0.2806944444455439)</f>
        <v>0.2806944444</v>
      </c>
      <c r="F366" s="6" t="str">
        <f>IFERROR(__xludf.DUMMYFUNCTION("""COMPUTED_VALUE"""),"Negative")</f>
        <v>Negative</v>
      </c>
      <c r="G366" s="6">
        <f>IFERROR(__xludf.DUMMYFUNCTION("""COMPUTED_VALUE"""),1.0)</f>
        <v>1</v>
      </c>
    </row>
    <row r="367">
      <c r="A367" s="6" t="str">
        <f>IFERROR(__xludf.DUMMYFUNCTION("""COMPUTED_VALUE"""),"FM4068")</f>
        <v>FM4068</v>
      </c>
      <c r="B367" s="6" t="str">
        <f>IFERROR(__xludf.DUMMYFUNCTION("""COMPUTED_VALUE"""),"RUN-COMB_2022-04-15_RFR-018")</f>
        <v>RUN-COMB_2022-04-15_RFR-018</v>
      </c>
      <c r="C367" s="7">
        <f>VLOOKUP(B367,'Run Reconcile'!A$2:B3090,2,FALSE)</f>
        <v>44666</v>
      </c>
      <c r="D367" s="11">
        <f>IFERROR(__xludf.DUMMYFUNCTION("""COMPUTED_VALUE"""),44666.0)</f>
        <v>44666</v>
      </c>
      <c r="E367" s="12">
        <f>IFERROR(__xludf.DUMMYFUNCTION("""COMPUTED_VALUE"""),0.28221064814715646)</f>
        <v>0.2822106481</v>
      </c>
      <c r="F367" s="6" t="str">
        <f>IFERROR(__xludf.DUMMYFUNCTION("""COMPUTED_VALUE"""),"Negative")</f>
        <v>Negative</v>
      </c>
      <c r="G367" s="6">
        <f>IFERROR(__xludf.DUMMYFUNCTION("""COMPUTED_VALUE"""),1.0)</f>
        <v>1</v>
      </c>
    </row>
    <row r="368">
      <c r="A368" s="6" t="str">
        <f>IFERROR(__xludf.DUMMYFUNCTION("""COMPUTED_VALUE"""),"FM4262")</f>
        <v>FM4262</v>
      </c>
      <c r="B368" s="6" t="str">
        <f>IFERROR(__xludf.DUMMYFUNCTION("""COMPUTED_VALUE"""),"RUN-COMB_2022-04-18_RFR-020")</f>
        <v>RUN-COMB_2022-04-18_RFR-020</v>
      </c>
      <c r="C368" s="7">
        <f>VLOOKUP(B368,'Run Reconcile'!A$2:B3090,2,FALSE)</f>
        <v>44669</v>
      </c>
      <c r="D368" s="11">
        <f>IFERROR(__xludf.DUMMYFUNCTION("""COMPUTED_VALUE"""),44669.0)</f>
        <v>44669</v>
      </c>
      <c r="E368" s="12">
        <f>IFERROR(__xludf.DUMMYFUNCTION("""COMPUTED_VALUE"""),0.6807754629626288)</f>
        <v>0.680775463</v>
      </c>
      <c r="F368" s="6" t="str">
        <f>IFERROR(__xludf.DUMMYFUNCTION("""COMPUTED_VALUE"""),"Negative")</f>
        <v>Negative</v>
      </c>
      <c r="G368" s="6">
        <f>IFERROR(__xludf.DUMMYFUNCTION("""COMPUTED_VALUE"""),1.0)</f>
        <v>1</v>
      </c>
    </row>
    <row r="369">
      <c r="A369" s="6" t="str">
        <f>IFERROR(__xludf.DUMMYFUNCTION("""COMPUTED_VALUE"""),"FM4285")</f>
        <v>FM4285</v>
      </c>
      <c r="B369" s="6" t="str">
        <f>IFERROR(__xludf.DUMMYFUNCTION("""COMPUTED_VALUE"""),"RUN-COMB_2022-04-18_RFR-020")</f>
        <v>RUN-COMB_2022-04-18_RFR-020</v>
      </c>
      <c r="C369" s="7">
        <f>VLOOKUP(B369,'Run Reconcile'!A$2:B3090,2,FALSE)</f>
        <v>44669</v>
      </c>
      <c r="D369" s="11">
        <f>IFERROR(__xludf.DUMMYFUNCTION("""COMPUTED_VALUE"""),44669.0)</f>
        <v>44669</v>
      </c>
      <c r="E369" s="12">
        <f>IFERROR(__xludf.DUMMYFUNCTION("""COMPUTED_VALUE"""),0.6812037037052505)</f>
        <v>0.6812037037</v>
      </c>
      <c r="F369" s="6" t="str">
        <f>IFERROR(__xludf.DUMMYFUNCTION("""COMPUTED_VALUE"""),"Negative")</f>
        <v>Negative</v>
      </c>
      <c r="G369" s="6">
        <f>IFERROR(__xludf.DUMMYFUNCTION("""COMPUTED_VALUE"""),1.0)</f>
        <v>1</v>
      </c>
    </row>
    <row r="370">
      <c r="A370" s="6" t="str">
        <f>IFERROR(__xludf.DUMMYFUNCTION("""COMPUTED_VALUE"""),"FM4304")</f>
        <v>FM4304</v>
      </c>
      <c r="B370" s="6" t="str">
        <f>IFERROR(__xludf.DUMMYFUNCTION("""COMPUTED_VALUE"""),"RUN-COMB_2022-04-18_RFR-020")</f>
        <v>RUN-COMB_2022-04-18_RFR-020</v>
      </c>
      <c r="C370" s="7">
        <f>VLOOKUP(B370,'Run Reconcile'!A$2:B3090,2,FALSE)</f>
        <v>44669</v>
      </c>
      <c r="D370" s="11">
        <f>IFERROR(__xludf.DUMMYFUNCTION("""COMPUTED_VALUE"""),44669.0)</f>
        <v>44669</v>
      </c>
      <c r="E370" s="12">
        <f>IFERROR(__xludf.DUMMYFUNCTION("""COMPUTED_VALUE"""),0.6816435185173759)</f>
        <v>0.6816435185</v>
      </c>
      <c r="F370" s="6" t="str">
        <f>IFERROR(__xludf.DUMMYFUNCTION("""COMPUTED_VALUE"""),"Negative")</f>
        <v>Negative</v>
      </c>
      <c r="G370" s="6">
        <f>IFERROR(__xludf.DUMMYFUNCTION("""COMPUTED_VALUE"""),1.0)</f>
        <v>1</v>
      </c>
    </row>
    <row r="371">
      <c r="A371" s="6" t="str">
        <f>IFERROR(__xludf.DUMMYFUNCTION("""COMPUTED_VALUE"""),"FM4275")</f>
        <v>FM4275</v>
      </c>
      <c r="B371" s="6" t="str">
        <f>IFERROR(__xludf.DUMMYFUNCTION("""COMPUTED_VALUE"""),"RUN-COMB_2022-04-18_RFR-020")</f>
        <v>RUN-COMB_2022-04-18_RFR-020</v>
      </c>
      <c r="C371" s="7">
        <f>VLOOKUP(B371,'Run Reconcile'!A$2:B3090,2,FALSE)</f>
        <v>44669</v>
      </c>
      <c r="D371" s="11">
        <f>IFERROR(__xludf.DUMMYFUNCTION("""COMPUTED_VALUE"""),44669.0)</f>
        <v>44669</v>
      </c>
      <c r="E371" s="12">
        <f>IFERROR(__xludf.DUMMYFUNCTION("""COMPUTED_VALUE"""),0.6820717592599976)</f>
        <v>0.6820717593</v>
      </c>
      <c r="F371" s="6" t="str">
        <f>IFERROR(__xludf.DUMMYFUNCTION("""COMPUTED_VALUE"""),"Negative")</f>
        <v>Negative</v>
      </c>
      <c r="G371" s="6">
        <f>IFERROR(__xludf.DUMMYFUNCTION("""COMPUTED_VALUE"""),1.0)</f>
        <v>1</v>
      </c>
    </row>
    <row r="372">
      <c r="A372" s="6" t="str">
        <f>IFERROR(__xludf.DUMMYFUNCTION("""COMPUTED_VALUE"""),"FM4301")</f>
        <v>FM4301</v>
      </c>
      <c r="B372" s="6" t="str">
        <f>IFERROR(__xludf.DUMMYFUNCTION("""COMPUTED_VALUE"""),"RUN-COMB_2022-04-18_RFR-021")</f>
        <v>RUN-COMB_2022-04-18_RFR-021</v>
      </c>
      <c r="C372" s="7">
        <f>VLOOKUP(B372,'Run Reconcile'!A$2:B3090,2,FALSE)</f>
        <v>44669</v>
      </c>
      <c r="D372" s="11">
        <f>IFERROR(__xludf.DUMMYFUNCTION("""COMPUTED_VALUE"""),44669.0)</f>
        <v>44669</v>
      </c>
      <c r="E372" s="12">
        <f>IFERROR(__xludf.DUMMYFUNCTION("""COMPUTED_VALUE"""),0.7142129629646661)</f>
        <v>0.714212963</v>
      </c>
      <c r="F372" s="6" t="str">
        <f>IFERROR(__xludf.DUMMYFUNCTION("""COMPUTED_VALUE"""),"Negative")</f>
        <v>Negative</v>
      </c>
      <c r="G372" s="6">
        <f>IFERROR(__xludf.DUMMYFUNCTION("""COMPUTED_VALUE"""),1.0)</f>
        <v>1</v>
      </c>
    </row>
    <row r="373">
      <c r="A373" s="6" t="str">
        <f>IFERROR(__xludf.DUMMYFUNCTION("""COMPUTED_VALUE"""),"FM4307")</f>
        <v>FM4307</v>
      </c>
      <c r="B373" s="6" t="str">
        <f>IFERROR(__xludf.DUMMYFUNCTION("""COMPUTED_VALUE"""),"RUN-COMB_2022-04-18_RFR-021")</f>
        <v>RUN-COMB_2022-04-18_RFR-021</v>
      </c>
      <c r="C373" s="7">
        <f>VLOOKUP(B373,'Run Reconcile'!A$2:B3090,2,FALSE)</f>
        <v>44669</v>
      </c>
      <c r="D373" s="11">
        <f>IFERROR(__xludf.DUMMYFUNCTION("""COMPUTED_VALUE"""),44669.0)</f>
        <v>44669</v>
      </c>
      <c r="E373" s="12">
        <f>IFERROR(__xludf.DUMMYFUNCTION("""COMPUTED_VALUE"""),0.7163657407400024)</f>
        <v>0.7163657407</v>
      </c>
      <c r="F373" s="6" t="str">
        <f>IFERROR(__xludf.DUMMYFUNCTION("""COMPUTED_VALUE"""),"Negative")</f>
        <v>Negative</v>
      </c>
      <c r="G373" s="6">
        <f>IFERROR(__xludf.DUMMYFUNCTION("""COMPUTED_VALUE"""),1.0)</f>
        <v>1</v>
      </c>
    </row>
    <row r="374">
      <c r="A374" s="6" t="str">
        <f>IFERROR(__xludf.DUMMYFUNCTION("""COMPUTED_VALUE"""),"FM4331")</f>
        <v>FM4331</v>
      </c>
      <c r="B374" s="6" t="str">
        <f>IFERROR(__xludf.DUMMYFUNCTION("""COMPUTED_VALUE"""),"RUN-COMB_2022-04-18_RFR-021")</f>
        <v>RUN-COMB_2022-04-18_RFR-021</v>
      </c>
      <c r="C374" s="7">
        <f>VLOOKUP(B374,'Run Reconcile'!A$2:B3090,2,FALSE)</f>
        <v>44669</v>
      </c>
      <c r="D374" s="11">
        <f>IFERROR(__xludf.DUMMYFUNCTION("""COMPUTED_VALUE"""),44669.0)</f>
        <v>44669</v>
      </c>
      <c r="E374" s="12">
        <f>IFERROR(__xludf.DUMMYFUNCTION("""COMPUTED_VALUE"""),0.7170833333329938)</f>
        <v>0.7170833333</v>
      </c>
      <c r="F374" s="6" t="str">
        <f>IFERROR(__xludf.DUMMYFUNCTION("""COMPUTED_VALUE"""),"Negative")</f>
        <v>Negative</v>
      </c>
      <c r="G374" s="6">
        <f>IFERROR(__xludf.DUMMYFUNCTION("""COMPUTED_VALUE"""),1.0)</f>
        <v>1</v>
      </c>
    </row>
    <row r="375">
      <c r="A375" s="6" t="str">
        <f>IFERROR(__xludf.DUMMYFUNCTION("""COMPUTED_VALUE"""),"FM4326")</f>
        <v>FM4326</v>
      </c>
      <c r="B375" s="6" t="str">
        <f>IFERROR(__xludf.DUMMYFUNCTION("""COMPUTED_VALUE"""),"RUN-COMB_2022-04-18_RFR-021")</f>
        <v>RUN-COMB_2022-04-18_RFR-021</v>
      </c>
      <c r="C375" s="7">
        <f>VLOOKUP(B375,'Run Reconcile'!A$2:B3090,2,FALSE)</f>
        <v>44669</v>
      </c>
      <c r="D375" s="11">
        <f>IFERROR(__xludf.DUMMYFUNCTION("""COMPUTED_VALUE"""),44669.0)</f>
        <v>44669</v>
      </c>
      <c r="E375" s="12">
        <f>IFERROR(__xludf.DUMMYFUNCTION("""COMPUTED_VALUE"""),0.7175231481487572)</f>
        <v>0.7175231481</v>
      </c>
      <c r="F375" s="6" t="str">
        <f>IFERROR(__xludf.DUMMYFUNCTION("""COMPUTED_VALUE"""),"Negative")</f>
        <v>Negative</v>
      </c>
      <c r="G375" s="6">
        <f>IFERROR(__xludf.DUMMYFUNCTION("""COMPUTED_VALUE"""),1.0)</f>
        <v>1</v>
      </c>
    </row>
    <row r="376">
      <c r="A376" s="6" t="str">
        <f>IFERROR(__xludf.DUMMYFUNCTION("""COMPUTED_VALUE"""),"FM4290")</f>
        <v>FM4290</v>
      </c>
      <c r="B376" s="6" t="str">
        <f>IFERROR(__xludf.DUMMYFUNCTION("""COMPUTED_VALUE"""),"RUN-COMB_2022-04-18_RFR-021")</f>
        <v>RUN-COMB_2022-04-18_RFR-021</v>
      </c>
      <c r="C376" s="7">
        <f>VLOOKUP(B376,'Run Reconcile'!A$2:B3090,2,FALSE)</f>
        <v>44669</v>
      </c>
      <c r="D376" s="11">
        <f>IFERROR(__xludf.DUMMYFUNCTION("""COMPUTED_VALUE"""),44669.0)</f>
        <v>44669</v>
      </c>
      <c r="E376" s="12">
        <f>IFERROR(__xludf.DUMMYFUNCTION("""COMPUTED_VALUE"""),0.7201041666667152)</f>
        <v>0.7201041667</v>
      </c>
      <c r="F376" s="6" t="str">
        <f>IFERROR(__xludf.DUMMYFUNCTION("""COMPUTED_VALUE"""),"Negative")</f>
        <v>Negative</v>
      </c>
      <c r="G376" s="6">
        <f>IFERROR(__xludf.DUMMYFUNCTION("""COMPUTED_VALUE"""),1.0)</f>
        <v>1</v>
      </c>
    </row>
    <row r="377">
      <c r="A377" s="6" t="str">
        <f>IFERROR(__xludf.DUMMYFUNCTION("""COMPUTED_VALUE"""),"FM4296")</f>
        <v>FM4296</v>
      </c>
      <c r="B377" s="6" t="str">
        <f>IFERROR(__xludf.DUMMYFUNCTION("""COMPUTED_VALUE"""),"RUN-COMB_2022-04-18_RFR-021")</f>
        <v>RUN-COMB_2022-04-18_RFR-021</v>
      </c>
      <c r="C377" s="7">
        <f>VLOOKUP(B377,'Run Reconcile'!A$2:B3090,2,FALSE)</f>
        <v>44669</v>
      </c>
      <c r="D377" s="11">
        <f>IFERROR(__xludf.DUMMYFUNCTION("""COMPUTED_VALUE"""),44669.0)</f>
        <v>44669</v>
      </c>
      <c r="E377" s="12">
        <f>IFERROR(__xludf.DUMMYFUNCTION("""COMPUTED_VALUE"""),0.7206018518518249)</f>
        <v>0.7206018519</v>
      </c>
      <c r="F377" s="6" t="str">
        <f>IFERROR(__xludf.DUMMYFUNCTION("""COMPUTED_VALUE"""),"Negative")</f>
        <v>Negative</v>
      </c>
      <c r="G377" s="6">
        <f>IFERROR(__xludf.DUMMYFUNCTION("""COMPUTED_VALUE"""),1.0)</f>
        <v>1</v>
      </c>
    </row>
    <row r="378">
      <c r="A378" s="6" t="str">
        <f>IFERROR(__xludf.DUMMYFUNCTION("""COMPUTED_VALUE"""),"FM4328")</f>
        <v>FM4328</v>
      </c>
      <c r="B378" s="6" t="str">
        <f>IFERROR(__xludf.DUMMYFUNCTION("""COMPUTED_VALUE"""),"RUN-COMB_2022-04-18_RFR-021")</f>
        <v>RUN-COMB_2022-04-18_RFR-021</v>
      </c>
      <c r="C378" s="7">
        <f>VLOOKUP(B378,'Run Reconcile'!A$2:B3090,2,FALSE)</f>
        <v>44669</v>
      </c>
      <c r="D378" s="11">
        <f>IFERROR(__xludf.DUMMYFUNCTION("""COMPUTED_VALUE"""),44669.0)</f>
        <v>44669</v>
      </c>
      <c r="E378" s="12">
        <f>IFERROR(__xludf.DUMMYFUNCTION("""COMPUTED_VALUE"""),0.7212152777792653)</f>
        <v>0.7212152778</v>
      </c>
      <c r="F378" s="6" t="str">
        <f>IFERROR(__xludf.DUMMYFUNCTION("""COMPUTED_VALUE"""),"Negative")</f>
        <v>Negative</v>
      </c>
      <c r="G378" s="6">
        <f>IFERROR(__xludf.DUMMYFUNCTION("""COMPUTED_VALUE"""),1.0)</f>
        <v>1</v>
      </c>
    </row>
    <row r="379">
      <c r="A379" s="6" t="str">
        <f>IFERROR(__xludf.DUMMYFUNCTION("""COMPUTED_VALUE"""),"FM4079")</f>
        <v>FM4079</v>
      </c>
      <c r="B379" s="6" t="str">
        <f>IFERROR(__xludf.DUMMYFUNCTION("""COMPUTED_VALUE"""),"RUN-COMB_2022-04-18_RFR-021")</f>
        <v>RUN-COMB_2022-04-18_RFR-021</v>
      </c>
      <c r="C379" s="7">
        <f>VLOOKUP(B379,'Run Reconcile'!A$2:B3090,2,FALSE)</f>
        <v>44669</v>
      </c>
      <c r="D379" s="11">
        <f>IFERROR(__xludf.DUMMYFUNCTION("""COMPUTED_VALUE"""),44669.0)</f>
        <v>44669</v>
      </c>
      <c r="E379" s="12">
        <f>IFERROR(__xludf.DUMMYFUNCTION("""COMPUTED_VALUE"""),0.7218171296299261)</f>
        <v>0.7218171296</v>
      </c>
      <c r="F379" s="6" t="str">
        <f>IFERROR(__xludf.DUMMYFUNCTION("""COMPUTED_VALUE"""),"Negative")</f>
        <v>Negative</v>
      </c>
      <c r="G379" s="6">
        <f>IFERROR(__xludf.DUMMYFUNCTION("""COMPUTED_VALUE"""),1.0)</f>
        <v>1</v>
      </c>
    </row>
    <row r="380">
      <c r="A380" s="6" t="str">
        <f>IFERROR(__xludf.DUMMYFUNCTION("""COMPUTED_VALUE"""),"FM3988")</f>
        <v>FM3988</v>
      </c>
      <c r="B380" s="6" t="str">
        <f>IFERROR(__xludf.DUMMYFUNCTION("""COMPUTED_VALUE"""),"RUN-COMB_2022-04-18_RFR-021")</f>
        <v>RUN-COMB_2022-04-18_RFR-021</v>
      </c>
      <c r="C380" s="7">
        <f>VLOOKUP(B380,'Run Reconcile'!A$2:B3090,2,FALSE)</f>
        <v>44669</v>
      </c>
      <c r="D380" s="11">
        <f>IFERROR(__xludf.DUMMYFUNCTION("""COMPUTED_VALUE"""),44669.0)</f>
        <v>44669</v>
      </c>
      <c r="E380" s="12">
        <f>IFERROR(__xludf.DUMMYFUNCTION("""COMPUTED_VALUE"""),0.7222916666651145)</f>
        <v>0.7222916667</v>
      </c>
      <c r="F380" s="6" t="str">
        <f>IFERROR(__xludf.DUMMYFUNCTION("""COMPUTED_VALUE"""),"Negative")</f>
        <v>Negative</v>
      </c>
      <c r="G380" s="6">
        <f>IFERROR(__xludf.DUMMYFUNCTION("""COMPUTED_VALUE"""),1.0)</f>
        <v>1</v>
      </c>
    </row>
    <row r="381">
      <c r="A381" s="6" t="str">
        <f>IFERROR(__xludf.DUMMYFUNCTION("""COMPUTED_VALUE"""),"FM4066")</f>
        <v>FM4066</v>
      </c>
      <c r="B381" s="6" t="str">
        <f>IFERROR(__xludf.DUMMYFUNCTION("""COMPUTED_VALUE"""),"RUN-COMB_2022-04-18_RFR-021")</f>
        <v>RUN-COMB_2022-04-18_RFR-021</v>
      </c>
      <c r="C381" s="7">
        <f>VLOOKUP(B381,'Run Reconcile'!A$2:B3090,2,FALSE)</f>
        <v>44669</v>
      </c>
      <c r="D381" s="11">
        <f>IFERROR(__xludf.DUMMYFUNCTION("""COMPUTED_VALUE"""),44669.0)</f>
        <v>44669</v>
      </c>
      <c r="E381" s="12">
        <f>IFERROR(__xludf.DUMMYFUNCTION("""COMPUTED_VALUE"""),0.7228819444426335)</f>
        <v>0.7228819444</v>
      </c>
      <c r="F381" s="6" t="str">
        <f>IFERROR(__xludf.DUMMYFUNCTION("""COMPUTED_VALUE"""),"Negative")</f>
        <v>Negative</v>
      </c>
      <c r="G381" s="6">
        <f>IFERROR(__xludf.DUMMYFUNCTION("""COMPUTED_VALUE"""),1.0)</f>
        <v>1</v>
      </c>
    </row>
    <row r="382">
      <c r="A382" s="6" t="str">
        <f>IFERROR(__xludf.DUMMYFUNCTION("""COMPUTED_VALUE"""),"FM4074")</f>
        <v>FM4074</v>
      </c>
      <c r="B382" s="6" t="str">
        <f>IFERROR(__xludf.DUMMYFUNCTION("""COMPUTED_VALUE"""),"RUN-COMB_2022-04-18_RFR-021")</f>
        <v>RUN-COMB_2022-04-18_RFR-021</v>
      </c>
      <c r="C382" s="7">
        <f>VLOOKUP(B382,'Run Reconcile'!A$2:B3090,2,FALSE)</f>
        <v>44669</v>
      </c>
      <c r="D382" s="11">
        <f>IFERROR(__xludf.DUMMYFUNCTION("""COMPUTED_VALUE"""),44669.0)</f>
        <v>44669</v>
      </c>
      <c r="E382" s="12">
        <f>IFERROR(__xludf.DUMMYFUNCTION("""COMPUTED_VALUE"""),0.723703703704814)</f>
        <v>0.7237037037</v>
      </c>
      <c r="F382" s="6" t="str">
        <f>IFERROR(__xludf.DUMMYFUNCTION("""COMPUTED_VALUE"""),"Negative")</f>
        <v>Negative</v>
      </c>
      <c r="G382" s="6">
        <f>IFERROR(__xludf.DUMMYFUNCTION("""COMPUTED_VALUE"""),1.0)</f>
        <v>1</v>
      </c>
    </row>
    <row r="383">
      <c r="A383" s="6" t="str">
        <f>IFERROR(__xludf.DUMMYFUNCTION("""COMPUTED_VALUE"""),"FM4292")</f>
        <v>FM4292</v>
      </c>
      <c r="B383" s="6" t="str">
        <f>IFERROR(__xludf.DUMMYFUNCTION("""COMPUTED_VALUE"""),"RUN-COMB_2022-04-18_RFR-021")</f>
        <v>RUN-COMB_2022-04-18_RFR-021</v>
      </c>
      <c r="C383" s="7">
        <f>VLOOKUP(B383,'Run Reconcile'!A$2:B3090,2,FALSE)</f>
        <v>44669</v>
      </c>
      <c r="D383" s="11">
        <f>IFERROR(__xludf.DUMMYFUNCTION("""COMPUTED_VALUE"""),44669.0)</f>
        <v>44669</v>
      </c>
      <c r="E383" s="12">
        <f>IFERROR(__xludf.DUMMYFUNCTION("""COMPUTED_VALUE"""),0.724293981482333)</f>
        <v>0.7242939815</v>
      </c>
      <c r="F383" s="6" t="str">
        <f>IFERROR(__xludf.DUMMYFUNCTION("""COMPUTED_VALUE"""),"Negative")</f>
        <v>Negative</v>
      </c>
      <c r="G383" s="6">
        <f>IFERROR(__xludf.DUMMYFUNCTION("""COMPUTED_VALUE"""),1.0)</f>
        <v>1</v>
      </c>
    </row>
    <row r="384">
      <c r="A384" s="6" t="str">
        <f>IFERROR(__xludf.DUMMYFUNCTION("""COMPUTED_VALUE"""),"FM4315")</f>
        <v>FM4315</v>
      </c>
      <c r="B384" s="6" t="str">
        <f>IFERROR(__xludf.DUMMYFUNCTION("""COMPUTED_VALUE"""),"RUN-COMB_2022-04-18_RFR-021")</f>
        <v>RUN-COMB_2022-04-18_RFR-021</v>
      </c>
      <c r="C384" s="7">
        <f>VLOOKUP(B384,'Run Reconcile'!A$2:B3090,2,FALSE)</f>
        <v>44669</v>
      </c>
      <c r="D384" s="11">
        <f>IFERROR(__xludf.DUMMYFUNCTION("""COMPUTED_VALUE"""),44669.0)</f>
        <v>44669</v>
      </c>
      <c r="E384" s="12">
        <f>IFERROR(__xludf.DUMMYFUNCTION("""COMPUTED_VALUE"""),0.7248611111099308)</f>
        <v>0.7248611111</v>
      </c>
      <c r="F384" s="6" t="str">
        <f>IFERROR(__xludf.DUMMYFUNCTION("""COMPUTED_VALUE"""),"Negative")</f>
        <v>Negative</v>
      </c>
      <c r="G384" s="6">
        <f>IFERROR(__xludf.DUMMYFUNCTION("""COMPUTED_VALUE"""),1.0)</f>
        <v>1</v>
      </c>
    </row>
    <row r="385">
      <c r="A385" s="6" t="str">
        <f>IFERROR(__xludf.DUMMYFUNCTION("""COMPUTED_VALUE"""),"FM4286")</f>
        <v>FM4286</v>
      </c>
      <c r="B385" s="6" t="str">
        <f>IFERROR(__xludf.DUMMYFUNCTION("""COMPUTED_VALUE"""),"RUN-COMB_2022-04-18_RFR-021")</f>
        <v>RUN-COMB_2022-04-18_RFR-021</v>
      </c>
      <c r="C385" s="7">
        <f>VLOOKUP(B385,'Run Reconcile'!A$2:B3090,2,FALSE)</f>
        <v>44669</v>
      </c>
      <c r="D385" s="11">
        <f>IFERROR(__xludf.DUMMYFUNCTION("""COMPUTED_VALUE"""),44669.0)</f>
        <v>44669</v>
      </c>
      <c r="E385" s="12">
        <f>IFERROR(__xludf.DUMMYFUNCTION("""COMPUTED_VALUE"""),0.7268981481465744)</f>
        <v>0.7268981481</v>
      </c>
      <c r="F385" s="6" t="str">
        <f>IFERROR(__xludf.DUMMYFUNCTION("""COMPUTED_VALUE"""),"Negative")</f>
        <v>Negative</v>
      </c>
      <c r="G385" s="6">
        <f>IFERROR(__xludf.DUMMYFUNCTION("""COMPUTED_VALUE"""),1.0)</f>
        <v>1</v>
      </c>
    </row>
    <row r="386">
      <c r="A386" s="6" t="str">
        <f>IFERROR(__xludf.DUMMYFUNCTION("""COMPUTED_VALUE"""),"FM4297")</f>
        <v>FM4297</v>
      </c>
      <c r="B386" s="6" t="str">
        <f>IFERROR(__xludf.DUMMYFUNCTION("""COMPUTED_VALUE"""),"RUN-COMB_2022-04-18_RFR-021")</f>
        <v>RUN-COMB_2022-04-18_RFR-021</v>
      </c>
      <c r="C386" s="7">
        <f>VLOOKUP(B386,'Run Reconcile'!A$2:B3090,2,FALSE)</f>
        <v>44669</v>
      </c>
      <c r="D386" s="11">
        <f>IFERROR(__xludf.DUMMYFUNCTION("""COMPUTED_VALUE"""),44669.0)</f>
        <v>44669</v>
      </c>
      <c r="E386" s="12">
        <f>IFERROR(__xludf.DUMMYFUNCTION("""COMPUTED_VALUE"""),0.729317129629635)</f>
        <v>0.7293171296</v>
      </c>
      <c r="F386" s="6" t="str">
        <f>IFERROR(__xludf.DUMMYFUNCTION("""COMPUTED_VALUE"""),"Negative")</f>
        <v>Negative</v>
      </c>
      <c r="G386" s="6">
        <f>IFERROR(__xludf.DUMMYFUNCTION("""COMPUTED_VALUE"""),1.0)</f>
        <v>1</v>
      </c>
    </row>
    <row r="387">
      <c r="A387" s="6" t="str">
        <f>IFERROR(__xludf.DUMMYFUNCTION("""COMPUTED_VALUE"""),"FM4337")</f>
        <v>FM4337</v>
      </c>
      <c r="B387" s="6" t="str">
        <f>IFERROR(__xludf.DUMMYFUNCTION("""COMPUTED_VALUE"""),"RUN-COMB_2022-04-18_RFR-021")</f>
        <v>RUN-COMB_2022-04-18_RFR-021</v>
      </c>
      <c r="C387" s="7">
        <f>VLOOKUP(B387,'Run Reconcile'!A$2:B3090,2,FALSE)</f>
        <v>44669</v>
      </c>
      <c r="D387" s="11">
        <f>IFERROR(__xludf.DUMMYFUNCTION("""COMPUTED_VALUE"""),44669.0)</f>
        <v>44669</v>
      </c>
      <c r="E387" s="12">
        <f>IFERROR(__xludf.DUMMYFUNCTION("""COMPUTED_VALUE"""),0.7329050925909542)</f>
        <v>0.7329050926</v>
      </c>
      <c r="F387" s="6" t="str">
        <f>IFERROR(__xludf.DUMMYFUNCTION("""COMPUTED_VALUE"""),"Negative")</f>
        <v>Negative</v>
      </c>
      <c r="G387" s="6">
        <f>IFERROR(__xludf.DUMMYFUNCTION("""COMPUTED_VALUE"""),1.0)</f>
        <v>1</v>
      </c>
    </row>
    <row r="388">
      <c r="A388" s="6" t="str">
        <f>IFERROR(__xludf.DUMMYFUNCTION("""COMPUTED_VALUE"""),"FM4305")</f>
        <v>FM4305</v>
      </c>
      <c r="B388" s="6" t="str">
        <f>IFERROR(__xludf.DUMMYFUNCTION("""COMPUTED_VALUE"""),"RUN-COMB_2022-04-18_RFR-021")</f>
        <v>RUN-COMB_2022-04-18_RFR-021</v>
      </c>
      <c r="C388" s="7">
        <f>VLOOKUP(B388,'Run Reconcile'!A$2:B3090,2,FALSE)</f>
        <v>44669</v>
      </c>
      <c r="D388" s="11">
        <f>IFERROR(__xludf.DUMMYFUNCTION("""COMPUTED_VALUE"""),44669.0)</f>
        <v>44669</v>
      </c>
      <c r="E388" s="12">
        <f>IFERROR(__xludf.DUMMYFUNCTION("""COMPUTED_VALUE"""),0.7334953703721112)</f>
        <v>0.7334953704</v>
      </c>
      <c r="F388" s="6" t="str">
        <f>IFERROR(__xludf.DUMMYFUNCTION("""COMPUTED_VALUE"""),"Negative")</f>
        <v>Negative</v>
      </c>
      <c r="G388" s="6">
        <f>IFERROR(__xludf.DUMMYFUNCTION("""COMPUTED_VALUE"""),1.0)</f>
        <v>1</v>
      </c>
    </row>
    <row r="389">
      <c r="A389" s="6" t="str">
        <f>IFERROR(__xludf.DUMMYFUNCTION("""COMPUTED_VALUE"""),"FM4338")</f>
        <v>FM4338</v>
      </c>
      <c r="B389" s="6" t="str">
        <f>IFERROR(__xludf.DUMMYFUNCTION("""COMPUTED_VALUE"""),"RUN-COMB_2022-04-18_RFR-021")</f>
        <v>RUN-COMB_2022-04-18_RFR-021</v>
      </c>
      <c r="C389" s="7">
        <f>VLOOKUP(B389,'Run Reconcile'!A$2:B3090,2,FALSE)</f>
        <v>44669</v>
      </c>
      <c r="D389" s="11">
        <f>IFERROR(__xludf.DUMMYFUNCTION("""COMPUTED_VALUE"""),44669.0)</f>
        <v>44669</v>
      </c>
      <c r="E389" s="12">
        <f>IFERROR(__xludf.DUMMYFUNCTION("""COMPUTED_VALUE"""),0.739467592593428)</f>
        <v>0.7394675926</v>
      </c>
      <c r="F389" s="6" t="str">
        <f>IFERROR(__xludf.DUMMYFUNCTION("""COMPUTED_VALUE"""),"Negative")</f>
        <v>Negative</v>
      </c>
      <c r="G389" s="6">
        <f>IFERROR(__xludf.DUMMYFUNCTION("""COMPUTED_VALUE"""),1.0)</f>
        <v>1</v>
      </c>
    </row>
    <row r="390">
      <c r="A390" s="6" t="str">
        <f>IFERROR(__xludf.DUMMYFUNCTION("""COMPUTED_VALUE"""),"FM4397")</f>
        <v>FM4397</v>
      </c>
      <c r="B390" s="6" t="str">
        <f>IFERROR(__xludf.DUMMYFUNCTION("""COMPUTED_VALUE"""),"RUN-COMB_2022-04-18_RFR-021")</f>
        <v>RUN-COMB_2022-04-18_RFR-021</v>
      </c>
      <c r="C390" s="7">
        <f>VLOOKUP(B390,'Run Reconcile'!A$2:B3090,2,FALSE)</f>
        <v>44669</v>
      </c>
      <c r="D390" s="11">
        <f>IFERROR(__xludf.DUMMYFUNCTION("""COMPUTED_VALUE"""),44669.0)</f>
        <v>44669</v>
      </c>
      <c r="E390" s="12">
        <f>IFERROR(__xludf.DUMMYFUNCTION("""COMPUTED_VALUE"""),0.7400115740747424)</f>
        <v>0.7400115741</v>
      </c>
      <c r="F390" s="6" t="str">
        <f>IFERROR(__xludf.DUMMYFUNCTION("""COMPUTED_VALUE"""),"Negative")</f>
        <v>Negative</v>
      </c>
      <c r="G390" s="6">
        <f>IFERROR(__xludf.DUMMYFUNCTION("""COMPUTED_VALUE"""),1.0)</f>
        <v>1</v>
      </c>
    </row>
    <row r="391">
      <c r="A391" s="6" t="str">
        <f>IFERROR(__xludf.DUMMYFUNCTION("""COMPUTED_VALUE"""),"FM4064")</f>
        <v>FM4064</v>
      </c>
      <c r="B391" s="6" t="str">
        <f>IFERROR(__xludf.DUMMYFUNCTION("""COMPUTED_VALUE"""),"RUN-COMB_2022-04-18_RFR-021")</f>
        <v>RUN-COMB_2022-04-18_RFR-021</v>
      </c>
      <c r="C391" s="7">
        <f>VLOOKUP(B391,'Run Reconcile'!A$2:B3090,2,FALSE)</f>
        <v>44669</v>
      </c>
      <c r="D391" s="11">
        <f>IFERROR(__xludf.DUMMYFUNCTION("""COMPUTED_VALUE"""),44669.0)</f>
        <v>44669</v>
      </c>
      <c r="E391" s="12">
        <f>IFERROR(__xludf.DUMMYFUNCTION("""COMPUTED_VALUE"""),0.7405671296291985)</f>
        <v>0.7405671296</v>
      </c>
      <c r="F391" s="6" t="str">
        <f>IFERROR(__xludf.DUMMYFUNCTION("""COMPUTED_VALUE"""),"Negative")</f>
        <v>Negative</v>
      </c>
      <c r="G391" s="6">
        <f>IFERROR(__xludf.DUMMYFUNCTION("""COMPUTED_VALUE"""),1.0)</f>
        <v>1</v>
      </c>
    </row>
    <row r="392">
      <c r="A392" s="6" t="str">
        <f>IFERROR(__xludf.DUMMYFUNCTION("""COMPUTED_VALUE"""),"FM4406")</f>
        <v>FM4406</v>
      </c>
      <c r="B392" s="6" t="str">
        <f>IFERROR(__xludf.DUMMYFUNCTION("""COMPUTED_VALUE"""),"RUN-COMB_2022-04-18_RFR-021")</f>
        <v>RUN-COMB_2022-04-18_RFR-021</v>
      </c>
      <c r="C392" s="7">
        <f>VLOOKUP(B392,'Run Reconcile'!A$2:B3090,2,FALSE)</f>
        <v>44669</v>
      </c>
      <c r="D392" s="11">
        <f>IFERROR(__xludf.DUMMYFUNCTION("""COMPUTED_VALUE"""),44669.0)</f>
        <v>44669</v>
      </c>
      <c r="E392" s="12">
        <f>IFERROR(__xludf.DUMMYFUNCTION("""COMPUTED_VALUE"""),0.7411574074067175)</f>
        <v>0.7411574074</v>
      </c>
      <c r="F392" s="6" t="str">
        <f>IFERROR(__xludf.DUMMYFUNCTION("""COMPUTED_VALUE"""),"Negative")</f>
        <v>Negative</v>
      </c>
      <c r="G392" s="6">
        <f>IFERROR(__xludf.DUMMYFUNCTION("""COMPUTED_VALUE"""),1.0)</f>
        <v>1</v>
      </c>
    </row>
    <row r="393">
      <c r="A393" s="6" t="str">
        <f>IFERROR(__xludf.DUMMYFUNCTION("""COMPUTED_VALUE"""),"FM4291")</f>
        <v>FM4291</v>
      </c>
      <c r="B393" s="6" t="str">
        <f>IFERROR(__xludf.DUMMYFUNCTION("""COMPUTED_VALUE"""),"RUN-COMB_2022-04-18_RFR-021")</f>
        <v>RUN-COMB_2022-04-18_RFR-021</v>
      </c>
      <c r="C393" s="7">
        <f>VLOOKUP(B393,'Run Reconcile'!A$2:B3090,2,FALSE)</f>
        <v>44669</v>
      </c>
      <c r="D393" s="11">
        <f>IFERROR(__xludf.DUMMYFUNCTION("""COMPUTED_VALUE"""),44669.0)</f>
        <v>44669</v>
      </c>
      <c r="E393" s="12">
        <f>IFERROR(__xludf.DUMMYFUNCTION("""COMPUTED_VALUE"""),0.7417361111110949)</f>
        <v>0.7417361111</v>
      </c>
      <c r="F393" s="6" t="str">
        <f>IFERROR(__xludf.DUMMYFUNCTION("""COMPUTED_VALUE"""),"Negative")</f>
        <v>Negative</v>
      </c>
      <c r="G393" s="6">
        <f>IFERROR(__xludf.DUMMYFUNCTION("""COMPUTED_VALUE"""),1.0)</f>
        <v>1</v>
      </c>
    </row>
    <row r="394">
      <c r="A394" s="6" t="str">
        <f>IFERROR(__xludf.DUMMYFUNCTION("""COMPUTED_VALUE"""),"FM4263")</f>
        <v>FM4263</v>
      </c>
      <c r="B394" s="6" t="str">
        <f>IFERROR(__xludf.DUMMYFUNCTION("""COMPUTED_VALUE"""),"RUN-COMB_2022-04-18_RFR-021")</f>
        <v>RUN-COMB_2022-04-18_RFR-021</v>
      </c>
      <c r="C394" s="7">
        <f>VLOOKUP(B394,'Run Reconcile'!A$2:B3090,2,FALSE)</f>
        <v>44669</v>
      </c>
      <c r="D394" s="11">
        <f>IFERROR(__xludf.DUMMYFUNCTION("""COMPUTED_VALUE"""),44669.0)</f>
        <v>44669</v>
      </c>
      <c r="E394" s="12">
        <f>IFERROR(__xludf.DUMMYFUNCTION("""COMPUTED_VALUE"""),0.7424421296309447)</f>
        <v>0.7424421296</v>
      </c>
      <c r="F394" s="6" t="str">
        <f>IFERROR(__xludf.DUMMYFUNCTION("""COMPUTED_VALUE"""),"Negative")</f>
        <v>Negative</v>
      </c>
      <c r="G394" s="6">
        <f>IFERROR(__xludf.DUMMYFUNCTION("""COMPUTED_VALUE"""),1.0)</f>
        <v>1</v>
      </c>
    </row>
    <row r="395">
      <c r="A395" s="6" t="str">
        <f>IFERROR(__xludf.DUMMYFUNCTION("""COMPUTED_VALUE"""),"FM4073")</f>
        <v>FM4073</v>
      </c>
      <c r="B395" s="6" t="str">
        <f>IFERROR(__xludf.DUMMYFUNCTION("""COMPUTED_VALUE"""),"RUN-COMB_2022-04-18_RFR-021")</f>
        <v>RUN-COMB_2022-04-18_RFR-021</v>
      </c>
      <c r="C395" s="7">
        <f>VLOOKUP(B395,'Run Reconcile'!A$2:B3090,2,FALSE)</f>
        <v>44669</v>
      </c>
      <c r="D395" s="11">
        <f>IFERROR(__xludf.DUMMYFUNCTION("""COMPUTED_VALUE"""),44669.0)</f>
        <v>44669</v>
      </c>
      <c r="E395" s="12">
        <f>IFERROR(__xludf.DUMMYFUNCTION("""COMPUTED_VALUE"""),0.7429398148160544)</f>
        <v>0.7429398148</v>
      </c>
      <c r="F395" s="6" t="str">
        <f>IFERROR(__xludf.DUMMYFUNCTION("""COMPUTED_VALUE"""),"Negative")</f>
        <v>Negative</v>
      </c>
      <c r="G395" s="6">
        <f>IFERROR(__xludf.DUMMYFUNCTION("""COMPUTED_VALUE"""),1.0)</f>
        <v>1</v>
      </c>
    </row>
    <row r="396">
      <c r="A396" s="6" t="str">
        <f>IFERROR(__xludf.DUMMYFUNCTION("""COMPUTED_VALUE"""),"FM4399")</f>
        <v>FM4399</v>
      </c>
      <c r="B396" s="6" t="str">
        <f>IFERROR(__xludf.DUMMYFUNCTION("""COMPUTED_VALUE"""),"RUN-COMB_2022-04-18_RFR-021")</f>
        <v>RUN-COMB_2022-04-18_RFR-021</v>
      </c>
      <c r="C396" s="7">
        <f>VLOOKUP(B396,'Run Reconcile'!A$2:B3090,2,FALSE)</f>
        <v>44669</v>
      </c>
      <c r="D396" s="11">
        <f>IFERROR(__xludf.DUMMYFUNCTION("""COMPUTED_VALUE"""),44669.0)</f>
        <v>44669</v>
      </c>
      <c r="E396" s="12">
        <f>IFERROR(__xludf.DUMMYFUNCTION("""COMPUTED_VALUE"""),0.7435416666667152)</f>
        <v>0.7435416667</v>
      </c>
      <c r="F396" s="6" t="str">
        <f>IFERROR(__xludf.DUMMYFUNCTION("""COMPUTED_VALUE"""),"Negative")</f>
        <v>Negative</v>
      </c>
      <c r="G396" s="6">
        <f>IFERROR(__xludf.DUMMYFUNCTION("""COMPUTED_VALUE"""),1.0)</f>
        <v>1</v>
      </c>
    </row>
    <row r="397">
      <c r="A397" s="6" t="str">
        <f>IFERROR(__xludf.DUMMYFUNCTION("""COMPUTED_VALUE"""),"FM4289")</f>
        <v>FM4289</v>
      </c>
      <c r="B397" s="6" t="str">
        <f>IFERROR(__xludf.DUMMYFUNCTION("""COMPUTED_VALUE"""),"RUN-COMB_2022-04-18_RFR-021")</f>
        <v>RUN-COMB_2022-04-18_RFR-021</v>
      </c>
      <c r="C397" s="7">
        <f>VLOOKUP(B397,'Run Reconcile'!A$2:B3090,2,FALSE)</f>
        <v>44669</v>
      </c>
      <c r="D397" s="11">
        <f>IFERROR(__xludf.DUMMYFUNCTION("""COMPUTED_VALUE"""),44669.0)</f>
        <v>44669</v>
      </c>
      <c r="E397" s="12">
        <f>IFERROR(__xludf.DUMMYFUNCTION("""COMPUTED_VALUE"""),0.7442013888903602)</f>
        <v>0.7442013889</v>
      </c>
      <c r="F397" s="6" t="str">
        <f>IFERROR(__xludf.DUMMYFUNCTION("""COMPUTED_VALUE"""),"Negative")</f>
        <v>Negative</v>
      </c>
      <c r="G397" s="6">
        <f>IFERROR(__xludf.DUMMYFUNCTION("""COMPUTED_VALUE"""),1.0)</f>
        <v>1</v>
      </c>
    </row>
    <row r="398">
      <c r="A398" s="6" t="str">
        <f>IFERROR(__xludf.DUMMYFUNCTION("""COMPUTED_VALUE"""),"FM4390")</f>
        <v>FM4390</v>
      </c>
      <c r="B398" s="6" t="str">
        <f>IFERROR(__xludf.DUMMYFUNCTION("""COMPUTED_VALUE"""),"RUN-COMB_2022-04-18_RFR-021")</f>
        <v>RUN-COMB_2022-04-18_RFR-021</v>
      </c>
      <c r="C398" s="7">
        <f>VLOOKUP(B398,'Run Reconcile'!A$2:B3090,2,FALSE)</f>
        <v>44669</v>
      </c>
      <c r="D398" s="11">
        <f>IFERROR(__xludf.DUMMYFUNCTION("""COMPUTED_VALUE"""),44669.0)</f>
        <v>44669</v>
      </c>
      <c r="E398" s="12">
        <f>IFERROR(__xludf.DUMMYFUNCTION("""COMPUTED_VALUE"""),0.744942129629635)</f>
        <v>0.7449421296</v>
      </c>
      <c r="F398" s="6" t="str">
        <f>IFERROR(__xludf.DUMMYFUNCTION("""COMPUTED_VALUE"""),"Negative")</f>
        <v>Negative</v>
      </c>
      <c r="G398" s="6">
        <f>IFERROR(__xludf.DUMMYFUNCTION("""COMPUTED_VALUE"""),1.0)</f>
        <v>1</v>
      </c>
    </row>
    <row r="399">
      <c r="A399" s="6" t="str">
        <f>IFERROR(__xludf.DUMMYFUNCTION("""COMPUTED_VALUE"""),"FM4063")</f>
        <v>FM4063</v>
      </c>
      <c r="B399" s="6" t="str">
        <f>IFERROR(__xludf.DUMMYFUNCTION("""COMPUTED_VALUE"""),"RUN-COMB_2022-04-18_RFR-021")</f>
        <v>RUN-COMB_2022-04-18_RFR-021</v>
      </c>
      <c r="C399" s="7">
        <f>VLOOKUP(B399,'Run Reconcile'!A$2:B3090,2,FALSE)</f>
        <v>44669</v>
      </c>
      <c r="D399" s="11">
        <f>IFERROR(__xludf.DUMMYFUNCTION("""COMPUTED_VALUE"""),44669.0)</f>
        <v>44669</v>
      </c>
      <c r="E399" s="12">
        <f>IFERROR(__xludf.DUMMYFUNCTION("""COMPUTED_VALUE"""),0.7456018518532801)</f>
        <v>0.7456018519</v>
      </c>
      <c r="F399" s="6" t="str">
        <f>IFERROR(__xludf.DUMMYFUNCTION("""COMPUTED_VALUE"""),"Negative")</f>
        <v>Negative</v>
      </c>
      <c r="G399" s="6">
        <f>IFERROR(__xludf.DUMMYFUNCTION("""COMPUTED_VALUE"""),1.0)</f>
        <v>1</v>
      </c>
    </row>
    <row r="400">
      <c r="A400" s="6" t="str">
        <f>IFERROR(__xludf.DUMMYFUNCTION("""COMPUTED_VALUE"""),"FM4309")</f>
        <v>FM4309</v>
      </c>
      <c r="B400" s="6" t="str">
        <f>IFERROR(__xludf.DUMMYFUNCTION("""COMPUTED_VALUE"""),"RUN-COMB_2022-04-18_RFR-021")</f>
        <v>RUN-COMB_2022-04-18_RFR-021</v>
      </c>
      <c r="C400" s="7">
        <f>VLOOKUP(B400,'Run Reconcile'!A$2:B3090,2,FALSE)</f>
        <v>44669</v>
      </c>
      <c r="D400" s="11">
        <f>IFERROR(__xludf.DUMMYFUNCTION("""COMPUTED_VALUE"""),44669.0)</f>
        <v>44669</v>
      </c>
      <c r="E400" s="12">
        <f>IFERROR(__xludf.DUMMYFUNCTION("""COMPUTED_VALUE"""),0.7463425925925549)</f>
        <v>0.7463425926</v>
      </c>
      <c r="F400" s="6" t="str">
        <f>IFERROR(__xludf.DUMMYFUNCTION("""COMPUTED_VALUE"""),"Negative")</f>
        <v>Negative</v>
      </c>
      <c r="G400" s="6">
        <f>IFERROR(__xludf.DUMMYFUNCTION("""COMPUTED_VALUE"""),1.0)</f>
        <v>1</v>
      </c>
    </row>
    <row r="401">
      <c r="A401" s="6" t="str">
        <f>IFERROR(__xludf.DUMMYFUNCTION("""COMPUTED_VALUE"""),"FM4340")</f>
        <v>FM4340</v>
      </c>
      <c r="B401" s="6" t="str">
        <f>IFERROR(__xludf.DUMMYFUNCTION("""COMPUTED_VALUE"""),"RUN-COMB_2022-04-18_RFR-021")</f>
        <v>RUN-COMB_2022-04-18_RFR-021</v>
      </c>
      <c r="C401" s="7">
        <f>VLOOKUP(B401,'Run Reconcile'!A$2:B3090,2,FALSE)</f>
        <v>44669</v>
      </c>
      <c r="D401" s="11">
        <f>IFERROR(__xludf.DUMMYFUNCTION("""COMPUTED_VALUE"""),44669.0)</f>
        <v>44669</v>
      </c>
      <c r="E401" s="12">
        <f>IFERROR(__xludf.DUMMYFUNCTION("""COMPUTED_VALUE"""),0.7470138888893416)</f>
        <v>0.7470138889</v>
      </c>
      <c r="F401" s="6" t="str">
        <f>IFERROR(__xludf.DUMMYFUNCTION("""COMPUTED_VALUE"""),"Negative")</f>
        <v>Negative</v>
      </c>
      <c r="G401" s="6">
        <f>IFERROR(__xludf.DUMMYFUNCTION("""COMPUTED_VALUE"""),1.0)</f>
        <v>1</v>
      </c>
    </row>
    <row r="402">
      <c r="A402" s="6" t="str">
        <f>IFERROR(__xludf.DUMMYFUNCTION("""COMPUTED_VALUE"""),"FM4300")</f>
        <v>FM4300</v>
      </c>
      <c r="B402" s="6" t="str">
        <f>IFERROR(__xludf.DUMMYFUNCTION("""COMPUTED_VALUE"""),"RUN-COMB_2022-04-18_RFR-021")</f>
        <v>RUN-COMB_2022-04-18_RFR-021</v>
      </c>
      <c r="C402" s="7">
        <f>VLOOKUP(B402,'Run Reconcile'!A$2:B3090,2,FALSE)</f>
        <v>44669</v>
      </c>
      <c r="D402" s="11">
        <f>IFERROR(__xludf.DUMMYFUNCTION("""COMPUTED_VALUE"""),44669.0)</f>
        <v>44669</v>
      </c>
      <c r="E402" s="12">
        <f>IFERROR(__xludf.DUMMYFUNCTION("""COMPUTED_VALUE"""),0.7584375000005821)</f>
        <v>0.7584375</v>
      </c>
      <c r="F402" s="6" t="str">
        <f>IFERROR(__xludf.DUMMYFUNCTION("""COMPUTED_VALUE"""),"Negative")</f>
        <v>Negative</v>
      </c>
      <c r="G402" s="6">
        <f>IFERROR(__xludf.DUMMYFUNCTION("""COMPUTED_VALUE"""),1.0)</f>
        <v>1</v>
      </c>
    </row>
    <row r="403">
      <c r="A403" s="6" t="str">
        <f>IFERROR(__xludf.DUMMYFUNCTION("""COMPUTED_VALUE"""),"FM4282")</f>
        <v>FM4282</v>
      </c>
      <c r="B403" s="6" t="str">
        <f>IFERROR(__xludf.DUMMYFUNCTION("""COMPUTED_VALUE"""),"RUN-COMB_2022-04-18_RFR-021")</f>
        <v>RUN-COMB_2022-04-18_RFR-021</v>
      </c>
      <c r="C403" s="7">
        <f>VLOOKUP(B403,'Run Reconcile'!A$2:B3090,2,FALSE)</f>
        <v>44669</v>
      </c>
      <c r="D403" s="11">
        <f>IFERROR(__xludf.DUMMYFUNCTION("""COMPUTED_VALUE"""),44669.0)</f>
        <v>44669</v>
      </c>
      <c r="E403" s="12">
        <f>IFERROR(__xludf.DUMMYFUNCTION("""COMPUTED_VALUE"""),0.7939699074086093)</f>
        <v>0.7939699074</v>
      </c>
      <c r="F403" s="6" t="str">
        <f>IFERROR(__xludf.DUMMYFUNCTION("""COMPUTED_VALUE"""),"Negative")</f>
        <v>Negative</v>
      </c>
      <c r="G403" s="6">
        <f>IFERROR(__xludf.DUMMYFUNCTION("""COMPUTED_VALUE"""),1.0)</f>
        <v>1</v>
      </c>
    </row>
    <row r="404">
      <c r="A404" s="6" t="str">
        <f>IFERROR(__xludf.DUMMYFUNCTION("""COMPUTED_VALUE"""),"FM4302")</f>
        <v>FM4302</v>
      </c>
      <c r="B404" s="6" t="str">
        <f>IFERROR(__xludf.DUMMYFUNCTION("""COMPUTED_VALUE"""),"RUN-COMB_2022-04-19_RFR-022")</f>
        <v>RUN-COMB_2022-04-19_RFR-022</v>
      </c>
      <c r="C404" s="7">
        <f>VLOOKUP(B404,'Run Reconcile'!A$2:B3090,2,FALSE)</f>
        <v>44670</v>
      </c>
      <c r="D404" s="11">
        <f>IFERROR(__xludf.DUMMYFUNCTION("""COMPUTED_VALUE"""),44670.0)</f>
        <v>44670</v>
      </c>
      <c r="E404" s="12">
        <f>IFERROR(__xludf.DUMMYFUNCTION("""COMPUTED_VALUE"""),0.2908796296287619)</f>
        <v>0.2908796296</v>
      </c>
      <c r="F404" s="6" t="str">
        <f>IFERROR(__xludf.DUMMYFUNCTION("""COMPUTED_VALUE"""),"Negative")</f>
        <v>Negative</v>
      </c>
      <c r="G404" s="6">
        <f>IFERROR(__xludf.DUMMYFUNCTION("""COMPUTED_VALUE"""),1.0)</f>
        <v>1</v>
      </c>
    </row>
    <row r="405">
      <c r="A405" s="6" t="str">
        <f>IFERROR(__xludf.DUMMYFUNCTION("""COMPUTED_VALUE"""),"FM4077")</f>
        <v>FM4077</v>
      </c>
      <c r="B405" s="6" t="str">
        <f>IFERROR(__xludf.DUMMYFUNCTION("""COMPUTED_VALUE"""),"RUN-COMB_2022-04-19_RFR-022")</f>
        <v>RUN-COMB_2022-04-19_RFR-022</v>
      </c>
      <c r="C405" s="7">
        <f>VLOOKUP(B405,'Run Reconcile'!A$2:B3090,2,FALSE)</f>
        <v>44670</v>
      </c>
      <c r="D405" s="11">
        <f>IFERROR(__xludf.DUMMYFUNCTION("""COMPUTED_VALUE"""),44670.0)</f>
        <v>44670</v>
      </c>
      <c r="E405" s="12">
        <f>IFERROR(__xludf.DUMMYFUNCTION("""COMPUTED_VALUE"""),0.2912847222214623)</f>
        <v>0.2912847222</v>
      </c>
      <c r="F405" s="6" t="str">
        <f>IFERROR(__xludf.DUMMYFUNCTION("""COMPUTED_VALUE"""),"Negative")</f>
        <v>Negative</v>
      </c>
      <c r="G405" s="6">
        <f>IFERROR(__xludf.DUMMYFUNCTION("""COMPUTED_VALUE"""),1.0)</f>
        <v>1</v>
      </c>
    </row>
    <row r="406">
      <c r="A406" s="6" t="str">
        <f>IFERROR(__xludf.DUMMYFUNCTION("""COMPUTED_VALUE"""),"FM4261")</f>
        <v>FM4261</v>
      </c>
      <c r="B406" s="6" t="str">
        <f>IFERROR(__xludf.DUMMYFUNCTION("""COMPUTED_VALUE"""),"RUN-COMB_2022-04-19_RFR-022")</f>
        <v>RUN-COMB_2022-04-19_RFR-022</v>
      </c>
      <c r="C406" s="7">
        <f>VLOOKUP(B406,'Run Reconcile'!A$2:B3090,2,FALSE)</f>
        <v>44670</v>
      </c>
      <c r="D406" s="11">
        <f>IFERROR(__xludf.DUMMYFUNCTION("""COMPUTED_VALUE"""),44670.0)</f>
        <v>44670</v>
      </c>
      <c r="E406" s="12">
        <f>IFERROR(__xludf.DUMMYFUNCTION("""COMPUTED_VALUE"""),0.2916319444448163)</f>
        <v>0.2916319444</v>
      </c>
      <c r="F406" s="6" t="str">
        <f>IFERROR(__xludf.DUMMYFUNCTION("""COMPUTED_VALUE"""),"Negative")</f>
        <v>Negative</v>
      </c>
      <c r="G406" s="6">
        <f>IFERROR(__xludf.DUMMYFUNCTION("""COMPUTED_VALUE"""),1.0)</f>
        <v>1</v>
      </c>
    </row>
    <row r="407">
      <c r="A407" s="6" t="str">
        <f>IFERROR(__xludf.DUMMYFUNCTION("""COMPUTED_VALUE"""),"FM4287")</f>
        <v>FM4287</v>
      </c>
      <c r="B407" s="6" t="str">
        <f>IFERROR(__xludf.DUMMYFUNCTION("""COMPUTED_VALUE"""),"RUN-COMB_2022-04-19_RFR-022")</f>
        <v>RUN-COMB_2022-04-19_RFR-022</v>
      </c>
      <c r="C407" s="7">
        <f>VLOOKUP(B407,'Run Reconcile'!A$2:B3090,2,FALSE)</f>
        <v>44670</v>
      </c>
      <c r="D407" s="11">
        <f>IFERROR(__xludf.DUMMYFUNCTION("""COMPUTED_VALUE"""),44670.0)</f>
        <v>44670</v>
      </c>
      <c r="E407" s="12">
        <f>IFERROR(__xludf.DUMMYFUNCTION("""COMPUTED_VALUE"""),0.2922685185185401)</f>
        <v>0.2922685185</v>
      </c>
      <c r="F407" s="6" t="str">
        <f>IFERROR(__xludf.DUMMYFUNCTION("""COMPUTED_VALUE"""),"Negative")</f>
        <v>Negative</v>
      </c>
      <c r="G407" s="6">
        <f>IFERROR(__xludf.DUMMYFUNCTION("""COMPUTED_VALUE"""),1.0)</f>
        <v>1</v>
      </c>
    </row>
    <row r="408">
      <c r="A408" s="6" t="str">
        <f>IFERROR(__xludf.DUMMYFUNCTION("""COMPUTED_VALUE"""),"FM4319")</f>
        <v>FM4319</v>
      </c>
      <c r="B408" s="6" t="str">
        <f>IFERROR(__xludf.DUMMYFUNCTION("""COMPUTED_VALUE"""),"RUN-COMB_2022-04-19_RFR-022")</f>
        <v>RUN-COMB_2022-04-19_RFR-022</v>
      </c>
      <c r="C408" s="7">
        <f>VLOOKUP(B408,'Run Reconcile'!A$2:B3090,2,FALSE)</f>
        <v>44670</v>
      </c>
      <c r="D408" s="11">
        <f>IFERROR(__xludf.DUMMYFUNCTION("""COMPUTED_VALUE"""),44670.0)</f>
        <v>44670</v>
      </c>
      <c r="E408" s="12">
        <f>IFERROR(__xludf.DUMMYFUNCTION("""COMPUTED_VALUE"""),0.2928472222229175)</f>
        <v>0.2928472222</v>
      </c>
      <c r="F408" s="6" t="str">
        <f>IFERROR(__xludf.DUMMYFUNCTION("""COMPUTED_VALUE"""),"Negative")</f>
        <v>Negative</v>
      </c>
      <c r="G408" s="6">
        <f>IFERROR(__xludf.DUMMYFUNCTION("""COMPUTED_VALUE"""),1.0)</f>
        <v>1</v>
      </c>
    </row>
    <row r="409">
      <c r="A409" s="6" t="str">
        <f>IFERROR(__xludf.DUMMYFUNCTION("""COMPUTED_VALUE"""),"FM4313")</f>
        <v>FM4313</v>
      </c>
      <c r="B409" s="6" t="str">
        <f>IFERROR(__xludf.DUMMYFUNCTION("""COMPUTED_VALUE"""),"RUN-COMB_2022-04-19_RFR-022")</f>
        <v>RUN-COMB_2022-04-19_RFR-022</v>
      </c>
      <c r="C409" s="7">
        <f>VLOOKUP(B409,'Run Reconcile'!A$2:B3090,2,FALSE)</f>
        <v>44670</v>
      </c>
      <c r="D409" s="11">
        <f>IFERROR(__xludf.DUMMYFUNCTION("""COMPUTED_VALUE"""),44670.0)</f>
        <v>44670</v>
      </c>
      <c r="E409" s="12">
        <f>IFERROR(__xludf.DUMMYFUNCTION("""COMPUTED_VALUE"""),0.29319444444263354)</f>
        <v>0.2931944444</v>
      </c>
      <c r="F409" s="6" t="str">
        <f>IFERROR(__xludf.DUMMYFUNCTION("""COMPUTED_VALUE"""),"Negative")</f>
        <v>Negative</v>
      </c>
      <c r="G409" s="6">
        <f>IFERROR(__xludf.DUMMYFUNCTION("""COMPUTED_VALUE"""),1.0)</f>
        <v>1</v>
      </c>
    </row>
    <row r="410">
      <c r="A410" s="6" t="str">
        <f>IFERROR(__xludf.DUMMYFUNCTION("""COMPUTED_VALUE"""),"FM4065")</f>
        <v>FM4065</v>
      </c>
      <c r="B410" s="6" t="str">
        <f>IFERROR(__xludf.DUMMYFUNCTION("""COMPUTED_VALUE"""),"RUN-COMB_2022-04-19_RFR-022")</f>
        <v>RUN-COMB_2022-04-19_RFR-022</v>
      </c>
      <c r="C410" s="7">
        <f>VLOOKUP(B410,'Run Reconcile'!A$2:B3090,2,FALSE)</f>
        <v>44670</v>
      </c>
      <c r="D410" s="11">
        <f>IFERROR(__xludf.DUMMYFUNCTION("""COMPUTED_VALUE"""),44670.0)</f>
        <v>44670</v>
      </c>
      <c r="E410" s="12">
        <f>IFERROR(__xludf.DUMMYFUNCTION("""COMPUTED_VALUE"""),0.2936458333315386)</f>
        <v>0.2936458333</v>
      </c>
      <c r="F410" s="6" t="str">
        <f>IFERROR(__xludf.DUMMYFUNCTION("""COMPUTED_VALUE"""),"Negative")</f>
        <v>Negative</v>
      </c>
      <c r="G410" s="6">
        <f>IFERROR(__xludf.DUMMYFUNCTION("""COMPUTED_VALUE"""),1.0)</f>
        <v>1</v>
      </c>
    </row>
    <row r="411">
      <c r="A411" s="6" t="str">
        <f>IFERROR(__xludf.DUMMYFUNCTION("""COMPUTED_VALUE"""),"FM4327")</f>
        <v>FM4327</v>
      </c>
      <c r="B411" s="6" t="str">
        <f>IFERROR(__xludf.DUMMYFUNCTION("""COMPUTED_VALUE"""),"RUN-COMB_2022-04-19_RFR-022")</f>
        <v>RUN-COMB_2022-04-19_RFR-022</v>
      </c>
      <c r="C411" s="7">
        <f>VLOOKUP(B411,'Run Reconcile'!A$2:B3090,2,FALSE)</f>
        <v>44670</v>
      </c>
      <c r="D411" s="11">
        <f>IFERROR(__xludf.DUMMYFUNCTION("""COMPUTED_VALUE"""),44670.0)</f>
        <v>44670</v>
      </c>
      <c r="E411" s="12">
        <f>IFERROR(__xludf.DUMMYFUNCTION("""COMPUTED_VALUE"""),0.2940740740741603)</f>
        <v>0.2940740741</v>
      </c>
      <c r="F411" s="6" t="str">
        <f>IFERROR(__xludf.DUMMYFUNCTION("""COMPUTED_VALUE"""),"Negative")</f>
        <v>Negative</v>
      </c>
      <c r="G411" s="6">
        <f>IFERROR(__xludf.DUMMYFUNCTION("""COMPUTED_VALUE"""),1.0)</f>
        <v>1</v>
      </c>
    </row>
    <row r="412">
      <c r="A412" s="6" t="str">
        <f>IFERROR(__xludf.DUMMYFUNCTION("""COMPUTED_VALUE"""),"FM4323")</f>
        <v>FM4323</v>
      </c>
      <c r="B412" s="6" t="str">
        <f>IFERROR(__xludf.DUMMYFUNCTION("""COMPUTED_VALUE"""),"RUN-COMB_2022-04-19_RFR-022")</f>
        <v>RUN-COMB_2022-04-19_RFR-022</v>
      </c>
      <c r="C412" s="7">
        <f>VLOOKUP(B412,'Run Reconcile'!A$2:B3090,2,FALSE)</f>
        <v>44670</v>
      </c>
      <c r="D412" s="11">
        <f>IFERROR(__xludf.DUMMYFUNCTION("""COMPUTED_VALUE"""),44670.0)</f>
        <v>44670</v>
      </c>
      <c r="E412" s="12">
        <f>IFERROR(__xludf.DUMMYFUNCTION("""COMPUTED_VALUE"""),0.29453703703620704)</f>
        <v>0.294537037</v>
      </c>
      <c r="F412" s="6" t="str">
        <f>IFERROR(__xludf.DUMMYFUNCTION("""COMPUTED_VALUE"""),"Negative")</f>
        <v>Negative</v>
      </c>
      <c r="G412" s="6">
        <f>IFERROR(__xludf.DUMMYFUNCTION("""COMPUTED_VALUE"""),1.0)</f>
        <v>1</v>
      </c>
    </row>
    <row r="413">
      <c r="A413" s="6" t="str">
        <f>IFERROR(__xludf.DUMMYFUNCTION("""COMPUTED_VALUE"""),"FM4264")</f>
        <v>FM4264</v>
      </c>
      <c r="B413" s="6" t="str">
        <f>IFERROR(__xludf.DUMMYFUNCTION("""COMPUTED_VALUE"""),"RUN-COMB_2022-04-19_RFR-022")</f>
        <v>RUN-COMB_2022-04-19_RFR-022</v>
      </c>
      <c r="C413" s="7">
        <f>VLOOKUP(B413,'Run Reconcile'!A$2:B3090,2,FALSE)</f>
        <v>44670</v>
      </c>
      <c r="D413" s="11">
        <f>IFERROR(__xludf.DUMMYFUNCTION("""COMPUTED_VALUE"""),44670.0)</f>
        <v>44670</v>
      </c>
      <c r="E413" s="12">
        <f>IFERROR(__xludf.DUMMYFUNCTION("""COMPUTED_VALUE"""),0.29493055555576575)</f>
        <v>0.2949305556</v>
      </c>
      <c r="F413" s="6" t="str">
        <f>IFERROR(__xludf.DUMMYFUNCTION("""COMPUTED_VALUE"""),"Negative")</f>
        <v>Negative</v>
      </c>
      <c r="G413" s="6">
        <f>IFERROR(__xludf.DUMMYFUNCTION("""COMPUTED_VALUE"""),1.0)</f>
        <v>1</v>
      </c>
    </row>
    <row r="414">
      <c r="A414" s="6" t="str">
        <f>IFERROR(__xludf.DUMMYFUNCTION("""COMPUTED_VALUE"""),"FM4078")</f>
        <v>FM4078</v>
      </c>
      <c r="B414" s="6" t="str">
        <f>IFERROR(__xludf.DUMMYFUNCTION("""COMPUTED_VALUE"""),"RUN-COMB_2022-04-19_RFR-022")</f>
        <v>RUN-COMB_2022-04-19_RFR-022</v>
      </c>
      <c r="C414" s="7">
        <f>VLOOKUP(B414,'Run Reconcile'!A$2:B3090,2,FALSE)</f>
        <v>44670</v>
      </c>
      <c r="D414" s="11">
        <f>IFERROR(__xludf.DUMMYFUNCTION("""COMPUTED_VALUE"""),44670.0)</f>
        <v>44670</v>
      </c>
      <c r="E414" s="12">
        <f>IFERROR(__xludf.DUMMYFUNCTION("""COMPUTED_VALUE"""),0.2953472222216078)</f>
        <v>0.2953472222</v>
      </c>
      <c r="F414" s="6" t="str">
        <f>IFERROR(__xludf.DUMMYFUNCTION("""COMPUTED_VALUE"""),"Negative")</f>
        <v>Negative</v>
      </c>
      <c r="G414" s="6">
        <f>IFERROR(__xludf.DUMMYFUNCTION("""COMPUTED_VALUE"""),1.0)</f>
        <v>1</v>
      </c>
    </row>
    <row r="415">
      <c r="A415" s="6" t="str">
        <f>IFERROR(__xludf.DUMMYFUNCTION("""COMPUTED_VALUE"""),"FM4389")</f>
        <v>FM4389</v>
      </c>
      <c r="B415" s="6" t="str">
        <f>IFERROR(__xludf.DUMMYFUNCTION("""COMPUTED_VALUE"""),"RUN-COMB_2022-04-19_RFR-022")</f>
        <v>RUN-COMB_2022-04-19_RFR-022</v>
      </c>
      <c r="C415" s="7">
        <f>VLOOKUP(B415,'Run Reconcile'!A$2:B3090,2,FALSE)</f>
        <v>44670</v>
      </c>
      <c r="D415" s="11">
        <f>IFERROR(__xludf.DUMMYFUNCTION("""COMPUTED_VALUE"""),44670.0)</f>
        <v>44670</v>
      </c>
      <c r="E415" s="12">
        <f>IFERROR(__xludf.DUMMYFUNCTION("""COMPUTED_VALUE"""),0.29554398148320615)</f>
        <v>0.2955439815</v>
      </c>
      <c r="F415" s="6" t="str">
        <f>IFERROR(__xludf.DUMMYFUNCTION("""COMPUTED_VALUE"""),"Negative")</f>
        <v>Negative</v>
      </c>
      <c r="G415" s="6">
        <f>IFERROR(__xludf.DUMMYFUNCTION("""COMPUTED_VALUE"""),1.0)</f>
        <v>1</v>
      </c>
    </row>
    <row r="416">
      <c r="A416" s="6" t="str">
        <f>IFERROR(__xludf.DUMMYFUNCTION("""COMPUTED_VALUE"""),"FM4436")</f>
        <v>FM4436</v>
      </c>
      <c r="B416" s="6" t="str">
        <f>IFERROR(__xludf.DUMMYFUNCTION("""COMPUTED_VALUE"""),"RUN-COMB_2022-04-19_RFR-022")</f>
        <v>RUN-COMB_2022-04-19_RFR-022</v>
      </c>
      <c r="C416" s="7">
        <f>VLOOKUP(B416,'Run Reconcile'!A$2:B3090,2,FALSE)</f>
        <v>44670</v>
      </c>
      <c r="D416" s="11">
        <f>IFERROR(__xludf.DUMMYFUNCTION("""COMPUTED_VALUE"""),44670.0)</f>
        <v>44670</v>
      </c>
      <c r="E416" s="12">
        <f>IFERROR(__xludf.DUMMYFUNCTION("""COMPUTED_VALUE"""),0.2961805555569299)</f>
        <v>0.2961805556</v>
      </c>
      <c r="F416" s="6" t="str">
        <f>IFERROR(__xludf.DUMMYFUNCTION("""COMPUTED_VALUE"""),"Negative")</f>
        <v>Negative</v>
      </c>
      <c r="G416" s="6">
        <f>IFERROR(__xludf.DUMMYFUNCTION("""COMPUTED_VALUE"""),1.0)</f>
        <v>1</v>
      </c>
    </row>
    <row r="417">
      <c r="A417" s="6" t="str">
        <f>IFERROR(__xludf.DUMMYFUNCTION("""COMPUTED_VALUE"""),"MA150")</f>
        <v>MA150</v>
      </c>
      <c r="B417" s="6" t="str">
        <f>IFERROR(__xludf.DUMMYFUNCTION("""COMPUTED_VALUE"""),"RUN-COMB_2022-04-19_RFR-022")</f>
        <v>RUN-COMB_2022-04-19_RFR-022</v>
      </c>
      <c r="C417" s="7">
        <f>VLOOKUP(B417,'Run Reconcile'!A$2:B3090,2,FALSE)</f>
        <v>44670</v>
      </c>
      <c r="D417" s="11">
        <f>IFERROR(__xludf.DUMMYFUNCTION("""COMPUTED_VALUE"""),44670.0)</f>
        <v>44670</v>
      </c>
      <c r="E417" s="12">
        <f>IFERROR(__xludf.DUMMYFUNCTION("""COMPUTED_VALUE"""),0.29652777777664596)</f>
        <v>0.2965277778</v>
      </c>
      <c r="F417" s="6" t="str">
        <f>IFERROR(__xludf.DUMMYFUNCTION("""COMPUTED_VALUE"""),"Negative")</f>
        <v>Negative</v>
      </c>
      <c r="G417" s="6">
        <f>IFERROR(__xludf.DUMMYFUNCTION("""COMPUTED_VALUE"""),1.0)</f>
        <v>1</v>
      </c>
    </row>
    <row r="418">
      <c r="A418" s="6" t="str">
        <f>IFERROR(__xludf.DUMMYFUNCTION("""COMPUTED_VALUE"""),"FM4270")</f>
        <v>FM4270</v>
      </c>
      <c r="B418" s="6" t="str">
        <f>IFERROR(__xludf.DUMMYFUNCTION("""COMPUTED_VALUE"""),"RUN-COMB_2022-04-19_RFR-022")</f>
        <v>RUN-COMB_2022-04-19_RFR-022</v>
      </c>
      <c r="C418" s="7">
        <f>VLOOKUP(B418,'Run Reconcile'!A$2:B3090,2,FALSE)</f>
        <v>44670</v>
      </c>
      <c r="D418" s="11">
        <f>IFERROR(__xludf.DUMMYFUNCTION("""COMPUTED_VALUE"""),44670.0)</f>
        <v>44670</v>
      </c>
      <c r="E418" s="12">
        <f>IFERROR(__xludf.DUMMYFUNCTION("""COMPUTED_VALUE"""),0.2968865740731417)</f>
        <v>0.2968865741</v>
      </c>
      <c r="F418" s="6" t="str">
        <f>IFERROR(__xludf.DUMMYFUNCTION("""COMPUTED_VALUE"""),"Negative")</f>
        <v>Negative</v>
      </c>
      <c r="G418" s="6">
        <f>IFERROR(__xludf.DUMMYFUNCTION("""COMPUTED_VALUE"""),1.0)</f>
        <v>1</v>
      </c>
    </row>
    <row r="419">
      <c r="A419" s="6" t="str">
        <f>IFERROR(__xludf.DUMMYFUNCTION("""COMPUTED_VALUE"""),"FM4276")</f>
        <v>FM4276</v>
      </c>
      <c r="B419" s="6" t="str">
        <f>IFERROR(__xludf.DUMMYFUNCTION("""COMPUTED_VALUE"""),"RUN-COMB_2022-04-19_RFR-022")</f>
        <v>RUN-COMB_2022-04-19_RFR-022</v>
      </c>
      <c r="C419" s="7">
        <f>VLOOKUP(B419,'Run Reconcile'!A$2:B3090,2,FALSE)</f>
        <v>44670</v>
      </c>
      <c r="D419" s="11">
        <f>IFERROR(__xludf.DUMMYFUNCTION("""COMPUTED_VALUE"""),44670.0)</f>
        <v>44670</v>
      </c>
      <c r="E419" s="12">
        <f>IFERROR(__xludf.DUMMYFUNCTION("""COMPUTED_VALUE"""),0.2972800925927004)</f>
        <v>0.2972800926</v>
      </c>
      <c r="F419" s="6" t="str">
        <f>IFERROR(__xludf.DUMMYFUNCTION("""COMPUTED_VALUE"""),"Negative")</f>
        <v>Negative</v>
      </c>
      <c r="G419" s="6">
        <f>IFERROR(__xludf.DUMMYFUNCTION("""COMPUTED_VALUE"""),1.0)</f>
        <v>1</v>
      </c>
    </row>
    <row r="420">
      <c r="A420" s="6" t="str">
        <f>IFERROR(__xludf.DUMMYFUNCTION("""COMPUTED_VALUE"""),"FM4072")</f>
        <v>FM4072</v>
      </c>
      <c r="B420" s="6" t="str">
        <f>IFERROR(__xludf.DUMMYFUNCTION("""COMPUTED_VALUE"""),"RUN-COMB_2022-04-19_RFR-022")</f>
        <v>RUN-COMB_2022-04-19_RFR-022</v>
      </c>
      <c r="C420" s="7">
        <f>VLOOKUP(B420,'Run Reconcile'!A$2:B3090,2,FALSE)</f>
        <v>44670</v>
      </c>
      <c r="D420" s="11">
        <f>IFERROR(__xludf.DUMMYFUNCTION("""COMPUTED_VALUE"""),44670.0)</f>
        <v>44670</v>
      </c>
      <c r="E420" s="12">
        <f>IFERROR(__xludf.DUMMYFUNCTION("""COMPUTED_VALUE"""),0.29751157407372375)</f>
        <v>0.2975115741</v>
      </c>
      <c r="F420" s="6" t="str">
        <f>IFERROR(__xludf.DUMMYFUNCTION("""COMPUTED_VALUE"""),"Negative")</f>
        <v>Negative</v>
      </c>
      <c r="G420" s="6">
        <f>IFERROR(__xludf.DUMMYFUNCTION("""COMPUTED_VALUE"""),1.0)</f>
        <v>1</v>
      </c>
    </row>
    <row r="421">
      <c r="A421" s="6" t="str">
        <f>IFERROR(__xludf.DUMMYFUNCTION("""COMPUTED_VALUE"""),"FM3910")</f>
        <v>FM3910</v>
      </c>
      <c r="B421" s="6" t="str">
        <f>IFERROR(__xludf.DUMMYFUNCTION("""COMPUTED_VALUE"""),"RUN-COMB_2022-04-19_RFR-022")</f>
        <v>RUN-COMB_2022-04-19_RFR-022</v>
      </c>
      <c r="C421" s="7">
        <f>VLOOKUP(B421,'Run Reconcile'!A$2:B3090,2,FALSE)</f>
        <v>44670</v>
      </c>
      <c r="D421" s="11">
        <f>IFERROR(__xludf.DUMMYFUNCTION("""COMPUTED_VALUE"""),44670.0)</f>
        <v>44670</v>
      </c>
      <c r="E421" s="12">
        <f>IFERROR(__xludf.DUMMYFUNCTION("""COMPUTED_VALUE"""),0.3010879629619012)</f>
        <v>0.301087963</v>
      </c>
      <c r="F421" s="6" t="str">
        <f>IFERROR(__xludf.DUMMYFUNCTION("""COMPUTED_VALUE"""),"Negative")</f>
        <v>Negative</v>
      </c>
      <c r="G421" s="6">
        <f>IFERROR(__xludf.DUMMYFUNCTION("""COMPUTED_VALUE"""),1.0)</f>
        <v>1</v>
      </c>
    </row>
    <row r="422">
      <c r="A422" s="6" t="str">
        <f>IFERROR(__xludf.DUMMYFUNCTION("""COMPUTED_VALUE"""),"FM4298")</f>
        <v>FM4298</v>
      </c>
      <c r="B422" s="6" t="str">
        <f>IFERROR(__xludf.DUMMYFUNCTION("""COMPUTED_VALUE"""),"RUN-COMB_2022-04-20_RFR-024")</f>
        <v>RUN-COMB_2022-04-20_RFR-024</v>
      </c>
      <c r="C422" s="7">
        <f>VLOOKUP(B422,'Run Reconcile'!A$2:B3090,2,FALSE)</f>
        <v>44671</v>
      </c>
      <c r="D422" s="11">
        <f>IFERROR(__xludf.DUMMYFUNCTION("""COMPUTED_VALUE"""),44671.0)</f>
        <v>44671</v>
      </c>
      <c r="E422" s="12">
        <f>IFERROR(__xludf.DUMMYFUNCTION("""COMPUTED_VALUE"""),0.3002199074071541)</f>
        <v>0.3002199074</v>
      </c>
      <c r="F422" s="6" t="str">
        <f>IFERROR(__xludf.DUMMYFUNCTION("""COMPUTED_VALUE"""),"Negative")</f>
        <v>Negative</v>
      </c>
      <c r="G422" s="6">
        <f>IFERROR(__xludf.DUMMYFUNCTION("""COMPUTED_VALUE"""),1.0)</f>
        <v>1</v>
      </c>
    </row>
    <row r="423">
      <c r="A423" s="6" t="str">
        <f>IFERROR(__xludf.DUMMYFUNCTION("""COMPUTED_VALUE"""),"FM4295")</f>
        <v>FM4295</v>
      </c>
      <c r="B423" s="6" t="str">
        <f>IFERROR(__xludf.DUMMYFUNCTION("""COMPUTED_VALUE"""),"RUN-COMB_2022-04-20_RFR-024")</f>
        <v>RUN-COMB_2022-04-20_RFR-024</v>
      </c>
      <c r="C423" s="7">
        <f>VLOOKUP(B423,'Run Reconcile'!A$2:B3090,2,FALSE)</f>
        <v>44671</v>
      </c>
      <c r="D423" s="11">
        <f>IFERROR(__xludf.DUMMYFUNCTION("""COMPUTED_VALUE"""),44671.0)</f>
        <v>44671</v>
      </c>
      <c r="E423" s="12">
        <f>IFERROR(__xludf.DUMMYFUNCTION("""COMPUTED_VALUE"""),0.30109953703868086)</f>
        <v>0.301099537</v>
      </c>
      <c r="F423" s="6" t="str">
        <f>IFERROR(__xludf.DUMMYFUNCTION("""COMPUTED_VALUE"""),"Negative")</f>
        <v>Negative</v>
      </c>
      <c r="G423" s="6">
        <f>IFERROR(__xludf.DUMMYFUNCTION("""COMPUTED_VALUE"""),1.0)</f>
        <v>1</v>
      </c>
    </row>
    <row r="424">
      <c r="A424" s="6" t="str">
        <f>IFERROR(__xludf.DUMMYFUNCTION("""COMPUTED_VALUE"""),"FM4265")</f>
        <v>FM4265</v>
      </c>
      <c r="B424" s="6" t="str">
        <f>IFERROR(__xludf.DUMMYFUNCTION("""COMPUTED_VALUE"""),"RUN-COMB_2022-04-20_RFR-024")</f>
        <v>RUN-COMB_2022-04-20_RFR-024</v>
      </c>
      <c r="C424" s="7">
        <f>VLOOKUP(B424,'Run Reconcile'!A$2:B3090,2,FALSE)</f>
        <v>44671</v>
      </c>
      <c r="D424" s="11">
        <f>IFERROR(__xludf.DUMMYFUNCTION("""COMPUTED_VALUE"""),44671.0)</f>
        <v>44671</v>
      </c>
      <c r="E424" s="12">
        <f>IFERROR(__xludf.DUMMYFUNCTION("""COMPUTED_VALUE"""),0.3111458333332848)</f>
        <v>0.3111458333</v>
      </c>
      <c r="F424" s="6" t="str">
        <f>IFERROR(__xludf.DUMMYFUNCTION("""COMPUTED_VALUE"""),"Negative")</f>
        <v>Negative</v>
      </c>
      <c r="G424" s="6">
        <f>IFERROR(__xludf.DUMMYFUNCTION("""COMPUTED_VALUE"""),1.0)</f>
        <v>1</v>
      </c>
    </row>
    <row r="425">
      <c r="A425" s="6" t="str">
        <f>IFERROR(__xludf.DUMMYFUNCTION("""COMPUTED_VALUE"""),"FM4303")</f>
        <v>FM4303</v>
      </c>
      <c r="B425" s="6" t="str">
        <f>IFERROR(__xludf.DUMMYFUNCTION("""COMPUTED_VALUE"""),"RUN-COMB_2022-04-20_RFR-024")</f>
        <v>RUN-COMB_2022-04-20_RFR-024</v>
      </c>
      <c r="C425" s="7">
        <f>VLOOKUP(B425,'Run Reconcile'!A$2:B3090,2,FALSE)</f>
        <v>44671</v>
      </c>
      <c r="D425" s="11">
        <f>IFERROR(__xludf.DUMMYFUNCTION("""COMPUTED_VALUE"""),44671.0)</f>
        <v>44671</v>
      </c>
      <c r="E425" s="12">
        <f>IFERROR(__xludf.DUMMYFUNCTION("""COMPUTED_VALUE"""),0.3140277777783922)</f>
        <v>0.3140277778</v>
      </c>
      <c r="F425" s="6" t="str">
        <f>IFERROR(__xludf.DUMMYFUNCTION("""COMPUTED_VALUE"""),"Negative")</f>
        <v>Negative</v>
      </c>
      <c r="G425" s="6">
        <f>IFERROR(__xludf.DUMMYFUNCTION("""COMPUTED_VALUE"""),1.0)</f>
        <v>1</v>
      </c>
    </row>
    <row r="426">
      <c r="A426" s="6" t="str">
        <f>IFERROR(__xludf.DUMMYFUNCTION("""COMPUTED_VALUE"""),"FM4432")</f>
        <v>FM4432</v>
      </c>
      <c r="B426" s="6" t="str">
        <f>IFERROR(__xludf.DUMMYFUNCTION("""COMPUTED_VALUE"""),"RUN-COMB_2022-04-20_RFR-024")</f>
        <v>RUN-COMB_2022-04-20_RFR-024</v>
      </c>
      <c r="C426" s="7">
        <f>VLOOKUP(B426,'Run Reconcile'!A$2:B3090,2,FALSE)</f>
        <v>44671</v>
      </c>
      <c r="D426" s="11">
        <f>IFERROR(__xludf.DUMMYFUNCTION("""COMPUTED_VALUE"""),44671.0)</f>
        <v>44671</v>
      </c>
      <c r="E426" s="12">
        <f>IFERROR(__xludf.DUMMYFUNCTION("""COMPUTED_VALUE"""),0.3143171296287619)</f>
        <v>0.3143171296</v>
      </c>
      <c r="F426" s="6" t="str">
        <f>IFERROR(__xludf.DUMMYFUNCTION("""COMPUTED_VALUE"""),"Negative")</f>
        <v>Negative</v>
      </c>
      <c r="G426" s="6">
        <f>IFERROR(__xludf.DUMMYFUNCTION("""COMPUTED_VALUE"""),1.0)</f>
        <v>1</v>
      </c>
    </row>
    <row r="427">
      <c r="A427" s="6" t="str">
        <f>IFERROR(__xludf.DUMMYFUNCTION("""COMPUTED_VALUE"""),"FM4268")</f>
        <v>FM4268</v>
      </c>
      <c r="B427" s="6" t="str">
        <f>IFERROR(__xludf.DUMMYFUNCTION("""COMPUTED_VALUE"""),"RUN-COMB_2022-04-20_RFR-024")</f>
        <v>RUN-COMB_2022-04-20_RFR-024</v>
      </c>
      <c r="C427" s="7">
        <f>VLOOKUP(B427,'Run Reconcile'!A$2:B3090,2,FALSE)</f>
        <v>44671</v>
      </c>
      <c r="D427" s="11">
        <f>IFERROR(__xludf.DUMMYFUNCTION("""COMPUTED_VALUE"""),44671.0)</f>
        <v>44671</v>
      </c>
      <c r="E427" s="12">
        <f>IFERROR(__xludf.DUMMYFUNCTION("""COMPUTED_VALUE"""),0.31483796296379296)</f>
        <v>0.314837963</v>
      </c>
      <c r="F427" s="6" t="str">
        <f>IFERROR(__xludf.DUMMYFUNCTION("""COMPUTED_VALUE"""),"Negative")</f>
        <v>Negative</v>
      </c>
      <c r="G427" s="6">
        <f>IFERROR(__xludf.DUMMYFUNCTION("""COMPUTED_VALUE"""),1.0)</f>
        <v>1</v>
      </c>
    </row>
    <row r="428">
      <c r="A428" s="6" t="str">
        <f>IFERROR(__xludf.DUMMYFUNCTION("""COMPUTED_VALUE"""),"FM3975")</f>
        <v>FM3975</v>
      </c>
      <c r="B428" s="6" t="str">
        <f>IFERROR(__xludf.DUMMYFUNCTION("""COMPUTED_VALUE"""),"RUN-COMB_2022-04-20_RFR-024")</f>
        <v>RUN-COMB_2022-04-20_RFR-024</v>
      </c>
      <c r="C428" s="7">
        <f>VLOOKUP(B428,'Run Reconcile'!A$2:B3090,2,FALSE)</f>
        <v>44671</v>
      </c>
      <c r="D428" s="11">
        <f>IFERROR(__xludf.DUMMYFUNCTION("""COMPUTED_VALUE"""),44671.0)</f>
        <v>44671</v>
      </c>
      <c r="E428" s="12">
        <f>IFERROR(__xludf.DUMMYFUNCTION("""COMPUTED_VALUE"""),0.3160185185188311)</f>
        <v>0.3160185185</v>
      </c>
      <c r="F428" s="6" t="str">
        <f>IFERROR(__xludf.DUMMYFUNCTION("""COMPUTED_VALUE"""),"Negative")</f>
        <v>Negative</v>
      </c>
      <c r="G428" s="6">
        <f>IFERROR(__xludf.DUMMYFUNCTION("""COMPUTED_VALUE"""),1.0)</f>
        <v>1</v>
      </c>
    </row>
    <row r="429">
      <c r="A429" s="6" t="str">
        <f>IFERROR(__xludf.DUMMYFUNCTION("""COMPUTED_VALUE"""),"FM4310")</f>
        <v>FM4310</v>
      </c>
      <c r="B429" s="6" t="str">
        <f>IFERROR(__xludf.DUMMYFUNCTION("""COMPUTED_VALUE"""),"RUN-COMB_2022-04-20_RFR-024")</f>
        <v>RUN-COMB_2022-04-20_RFR-024</v>
      </c>
      <c r="C429" s="7">
        <f>VLOOKUP(B429,'Run Reconcile'!A$2:B3090,2,FALSE)</f>
        <v>44671</v>
      </c>
      <c r="D429" s="11">
        <f>IFERROR(__xludf.DUMMYFUNCTION("""COMPUTED_VALUE"""),44671.0)</f>
        <v>44671</v>
      </c>
      <c r="E429" s="12">
        <f>IFERROR(__xludf.DUMMYFUNCTION("""COMPUTED_VALUE"""),0.31677083333488554)</f>
        <v>0.3167708333</v>
      </c>
      <c r="F429" s="6" t="str">
        <f>IFERROR(__xludf.DUMMYFUNCTION("""COMPUTED_VALUE"""),"Negative")</f>
        <v>Negative</v>
      </c>
      <c r="G429" s="6">
        <f>IFERROR(__xludf.DUMMYFUNCTION("""COMPUTED_VALUE"""),1.0)</f>
        <v>1</v>
      </c>
    </row>
    <row r="430">
      <c r="A430" s="6" t="str">
        <f>IFERROR(__xludf.DUMMYFUNCTION("""COMPUTED_VALUE"""),"FM4274")</f>
        <v>FM4274</v>
      </c>
      <c r="B430" s="6" t="str">
        <f>IFERROR(__xludf.DUMMYFUNCTION("""COMPUTED_VALUE"""),"RUN-COMB_2022-04-20_RFR-024")</f>
        <v>RUN-COMB_2022-04-20_RFR-024</v>
      </c>
      <c r="C430" s="7">
        <f>VLOOKUP(B430,'Run Reconcile'!A$2:B3090,2,FALSE)</f>
        <v>44671</v>
      </c>
      <c r="D430" s="11">
        <f>IFERROR(__xludf.DUMMYFUNCTION("""COMPUTED_VALUE"""),44671.0)</f>
        <v>44671</v>
      </c>
      <c r="E430" s="12">
        <f>IFERROR(__xludf.DUMMYFUNCTION("""COMPUTED_VALUE"""),0.317592592593428)</f>
        <v>0.3175925926</v>
      </c>
      <c r="F430" s="6" t="str">
        <f>IFERROR(__xludf.DUMMYFUNCTION("""COMPUTED_VALUE"""),"Negative")</f>
        <v>Negative</v>
      </c>
      <c r="G430" s="6">
        <f>IFERROR(__xludf.DUMMYFUNCTION("""COMPUTED_VALUE"""),1.0)</f>
        <v>1</v>
      </c>
    </row>
    <row r="431">
      <c r="A431" s="6" t="str">
        <f>IFERROR(__xludf.DUMMYFUNCTION("""COMPUTED_VALUE"""),"FM4278")</f>
        <v>FM4278</v>
      </c>
      <c r="B431" s="6" t="str">
        <f>IFERROR(__xludf.DUMMYFUNCTION("""COMPUTED_VALUE"""),"RUN-COMB_2022-04-20_RFR-024")</f>
        <v>RUN-COMB_2022-04-20_RFR-024</v>
      </c>
      <c r="C431" s="7">
        <f>VLOOKUP(B431,'Run Reconcile'!A$2:B3090,2,FALSE)</f>
        <v>44671</v>
      </c>
      <c r="D431" s="11">
        <f>IFERROR(__xludf.DUMMYFUNCTION("""COMPUTED_VALUE"""),44671.0)</f>
        <v>44671</v>
      </c>
      <c r="E431" s="12">
        <f>IFERROR(__xludf.DUMMYFUNCTION("""COMPUTED_VALUE"""),0.31923611111051287)</f>
        <v>0.3192361111</v>
      </c>
      <c r="F431" s="6" t="str">
        <f>IFERROR(__xludf.DUMMYFUNCTION("""COMPUTED_VALUE"""),"Negative")</f>
        <v>Negative</v>
      </c>
      <c r="G431" s="6">
        <f>IFERROR(__xludf.DUMMYFUNCTION("""COMPUTED_VALUE"""),1.0)</f>
        <v>1</v>
      </c>
    </row>
    <row r="432">
      <c r="A432" s="6" t="str">
        <f>IFERROR(__xludf.DUMMYFUNCTION("""COMPUTED_VALUE"""),"FM4279")</f>
        <v>FM4279</v>
      </c>
      <c r="B432" s="6" t="str">
        <f>IFERROR(__xludf.DUMMYFUNCTION("""COMPUTED_VALUE"""),"RUN-COMB_2022-04-20_RFR-024")</f>
        <v>RUN-COMB_2022-04-20_RFR-024</v>
      </c>
      <c r="C432" s="7">
        <f>VLOOKUP(B432,'Run Reconcile'!A$2:B3090,2,FALSE)</f>
        <v>44671</v>
      </c>
      <c r="D432" s="11">
        <f>IFERROR(__xludf.DUMMYFUNCTION("""COMPUTED_VALUE"""),44671.0)</f>
        <v>44671</v>
      </c>
      <c r="E432" s="12">
        <f>IFERROR(__xludf.DUMMYFUNCTION("""COMPUTED_VALUE"""),0.32127314814715646)</f>
        <v>0.3212731481</v>
      </c>
      <c r="F432" s="6" t="str">
        <f>IFERROR(__xludf.DUMMYFUNCTION("""COMPUTED_VALUE"""),"Negative")</f>
        <v>Negative</v>
      </c>
      <c r="G432" s="6">
        <f>IFERROR(__xludf.DUMMYFUNCTION("""COMPUTED_VALUE"""),1.0)</f>
        <v>1</v>
      </c>
    </row>
    <row r="433">
      <c r="A433" s="6" t="str">
        <f>IFERROR(__xludf.DUMMYFUNCTION("""COMPUTED_VALUE"""),"FM4004")</f>
        <v>FM4004</v>
      </c>
      <c r="B433" s="6" t="str">
        <f>IFERROR(__xludf.DUMMYFUNCTION("""COMPUTED_VALUE"""),"RUN-COMB_2022-04-20_RFR-024")</f>
        <v>RUN-COMB_2022-04-20_RFR-024</v>
      </c>
      <c r="C433" s="7">
        <f>VLOOKUP(B433,'Run Reconcile'!A$2:B3090,2,FALSE)</f>
        <v>44671</v>
      </c>
      <c r="D433" s="11">
        <f>IFERROR(__xludf.DUMMYFUNCTION("""COMPUTED_VALUE"""),44671.0)</f>
        <v>44671</v>
      </c>
      <c r="E433" s="12">
        <f>IFERROR(__xludf.DUMMYFUNCTION("""COMPUTED_VALUE"""),0.3220601851862739)</f>
        <v>0.3220601852</v>
      </c>
      <c r="F433" s="6" t="str">
        <f>IFERROR(__xludf.DUMMYFUNCTION("""COMPUTED_VALUE"""),"Negative")</f>
        <v>Negative</v>
      </c>
      <c r="G433" s="6">
        <f>IFERROR(__xludf.DUMMYFUNCTION("""COMPUTED_VALUE"""),1.0)</f>
        <v>1</v>
      </c>
    </row>
    <row r="434">
      <c r="A434" s="6" t="str">
        <f>IFERROR(__xludf.DUMMYFUNCTION("""COMPUTED_VALUE"""),"FM4325")</f>
        <v>FM4325</v>
      </c>
      <c r="B434" s="6" t="str">
        <f>IFERROR(__xludf.DUMMYFUNCTION("""COMPUTED_VALUE"""),"RUN-COMB_2022-04-20_RFR-024")</f>
        <v>RUN-COMB_2022-04-20_RFR-024</v>
      </c>
      <c r="C434" s="7">
        <f>VLOOKUP(B434,'Run Reconcile'!A$2:B3090,2,FALSE)</f>
        <v>44671</v>
      </c>
      <c r="D434" s="11">
        <f>IFERROR(__xludf.DUMMYFUNCTION("""COMPUTED_VALUE"""),44671.0)</f>
        <v>44671</v>
      </c>
      <c r="E434" s="12">
        <f>IFERROR(__xludf.DUMMYFUNCTION("""COMPUTED_VALUE"""),0.3225231481483206)</f>
        <v>0.3225231481</v>
      </c>
      <c r="F434" s="6" t="str">
        <f>IFERROR(__xludf.DUMMYFUNCTION("""COMPUTED_VALUE"""),"Negative")</f>
        <v>Negative</v>
      </c>
      <c r="G434" s="6">
        <f>IFERROR(__xludf.DUMMYFUNCTION("""COMPUTED_VALUE"""),1.0)</f>
        <v>1</v>
      </c>
    </row>
    <row r="435">
      <c r="A435" s="6" t="str">
        <f>IFERROR(__xludf.DUMMYFUNCTION("""COMPUTED_VALUE"""),"FM4075")</f>
        <v>FM4075</v>
      </c>
      <c r="B435" s="6" t="str">
        <f>IFERROR(__xludf.DUMMYFUNCTION("""COMPUTED_VALUE"""),"RUN-COMB_2022-04-20_RFR-024")</f>
        <v>RUN-COMB_2022-04-20_RFR-024</v>
      </c>
      <c r="C435" s="7">
        <f>VLOOKUP(B435,'Run Reconcile'!A$2:B3090,2,FALSE)</f>
        <v>44671</v>
      </c>
      <c r="D435" s="11">
        <f>IFERROR(__xludf.DUMMYFUNCTION("""COMPUTED_VALUE"""),44671.0)</f>
        <v>44671</v>
      </c>
      <c r="E435" s="12">
        <f>IFERROR(__xludf.DUMMYFUNCTION("""COMPUTED_VALUE"""),0.3230787037027767)</f>
        <v>0.3230787037</v>
      </c>
      <c r="F435" s="6" t="str">
        <f>IFERROR(__xludf.DUMMYFUNCTION("""COMPUTED_VALUE"""),"Negative")</f>
        <v>Negative</v>
      </c>
      <c r="G435" s="6">
        <f>IFERROR(__xludf.DUMMYFUNCTION("""COMPUTED_VALUE"""),1.0)</f>
        <v>1</v>
      </c>
    </row>
    <row r="436">
      <c r="A436" s="6" t="str">
        <f>IFERROR(__xludf.DUMMYFUNCTION("""COMPUTED_VALUE"""),"FM4476")</f>
        <v>FM4476</v>
      </c>
      <c r="B436" s="6" t="str">
        <f>IFERROR(__xludf.DUMMYFUNCTION("""COMPUTED_VALUE"""),"RUN-COMB_2022-04-21_RFR-025")</f>
        <v>RUN-COMB_2022-04-21_RFR-025</v>
      </c>
      <c r="C436" s="7">
        <f>VLOOKUP(B436,'Run Reconcile'!A$2:B3090,2,FALSE)</f>
        <v>44672</v>
      </c>
      <c r="D436" s="11">
        <f>IFERROR(__xludf.DUMMYFUNCTION("""COMPUTED_VALUE"""),44672.0)</f>
        <v>44672</v>
      </c>
      <c r="E436" s="12">
        <f>IFERROR(__xludf.DUMMYFUNCTION("""COMPUTED_VALUE"""),0.2834259259252576)</f>
        <v>0.2834259259</v>
      </c>
      <c r="F436" s="6" t="str">
        <f>IFERROR(__xludf.DUMMYFUNCTION("""COMPUTED_VALUE"""),"Negative")</f>
        <v>Negative</v>
      </c>
      <c r="G436" s="6">
        <f>IFERROR(__xludf.DUMMYFUNCTION("""COMPUTED_VALUE"""),1.0)</f>
        <v>1</v>
      </c>
    </row>
    <row r="437">
      <c r="A437" s="6" t="str">
        <f>IFERROR(__xludf.DUMMYFUNCTION("""COMPUTED_VALUE"""),"FM4306")</f>
        <v>FM4306</v>
      </c>
      <c r="B437" s="6" t="str">
        <f>IFERROR(__xludf.DUMMYFUNCTION("""COMPUTED_VALUE"""),"RUN-COMB_2022-04-21_RFR-025")</f>
        <v>RUN-COMB_2022-04-21_RFR-025</v>
      </c>
      <c r="C437" s="7">
        <f>VLOOKUP(B437,'Run Reconcile'!A$2:B3090,2,FALSE)</f>
        <v>44672</v>
      </c>
      <c r="D437" s="11">
        <f>IFERROR(__xludf.DUMMYFUNCTION("""COMPUTED_VALUE"""),44672.0)</f>
        <v>44672</v>
      </c>
      <c r="E437" s="12">
        <f>IFERROR(__xludf.DUMMYFUNCTION("""COMPUTED_VALUE"""),0.283831018517958)</f>
        <v>0.2838310185</v>
      </c>
      <c r="F437" s="6" t="str">
        <f>IFERROR(__xludf.DUMMYFUNCTION("""COMPUTED_VALUE"""),"Negative")</f>
        <v>Negative</v>
      </c>
      <c r="G437" s="6">
        <f>IFERROR(__xludf.DUMMYFUNCTION("""COMPUTED_VALUE"""),1.0)</f>
        <v>1</v>
      </c>
    </row>
    <row r="438">
      <c r="A438" s="6" t="str">
        <f>IFERROR(__xludf.DUMMYFUNCTION("""COMPUTED_VALUE"""),"FM4314")</f>
        <v>FM4314</v>
      </c>
      <c r="B438" s="6" t="str">
        <f>IFERROR(__xludf.DUMMYFUNCTION("""COMPUTED_VALUE"""),"RUN-COMB_2022-04-21_RFR-025")</f>
        <v>RUN-COMB_2022-04-21_RFR-025</v>
      </c>
      <c r="C438" s="7">
        <f>VLOOKUP(B438,'Run Reconcile'!A$2:B3090,2,FALSE)</f>
        <v>44672</v>
      </c>
      <c r="D438" s="11">
        <f>IFERROR(__xludf.DUMMYFUNCTION("""COMPUTED_VALUE"""),44672.0)</f>
        <v>44672</v>
      </c>
      <c r="E438" s="12">
        <f>IFERROR(__xludf.DUMMYFUNCTION("""COMPUTED_VALUE"""),0.2842361111106584)</f>
        <v>0.2842361111</v>
      </c>
      <c r="F438" s="6" t="str">
        <f>IFERROR(__xludf.DUMMYFUNCTION("""COMPUTED_VALUE"""),"Negative")</f>
        <v>Negative</v>
      </c>
      <c r="G438" s="6">
        <f>IFERROR(__xludf.DUMMYFUNCTION("""COMPUTED_VALUE"""),1.0)</f>
        <v>1</v>
      </c>
    </row>
    <row r="439">
      <c r="A439" s="6" t="str">
        <f>IFERROR(__xludf.DUMMYFUNCTION("""COMPUTED_VALUE"""),"FM3937")</f>
        <v>FM3937</v>
      </c>
      <c r="B439" s="6" t="str">
        <f>IFERROR(__xludf.DUMMYFUNCTION("""COMPUTED_VALUE"""),"RUN-COMB_2022-04-21_RFR-025")</f>
        <v>RUN-COMB_2022-04-21_RFR-025</v>
      </c>
      <c r="C439" s="7">
        <f>VLOOKUP(B439,'Run Reconcile'!A$2:B3090,2,FALSE)</f>
        <v>44672</v>
      </c>
      <c r="D439" s="11">
        <f>IFERROR(__xludf.DUMMYFUNCTION("""COMPUTED_VALUE"""),44672.0)</f>
        <v>44672</v>
      </c>
      <c r="E439" s="12">
        <f>IFERROR(__xludf.DUMMYFUNCTION("""COMPUTED_VALUE"""),0.2890509259268583)</f>
        <v>0.2890509259</v>
      </c>
      <c r="F439" s="6" t="str">
        <f>IFERROR(__xludf.DUMMYFUNCTION("""COMPUTED_VALUE"""),"Negative")</f>
        <v>Negative</v>
      </c>
      <c r="G439" s="6">
        <f>IFERROR(__xludf.DUMMYFUNCTION("""COMPUTED_VALUE"""),1.0)</f>
        <v>1</v>
      </c>
    </row>
    <row r="440">
      <c r="A440" s="6" t="str">
        <f>IFERROR(__xludf.DUMMYFUNCTION("""COMPUTED_VALUE"""),"FM4455")</f>
        <v>FM4455</v>
      </c>
      <c r="B440" s="6" t="str">
        <f>IFERROR(__xludf.DUMMYFUNCTION("""COMPUTED_VALUE"""),"RUN-COMB_2022-04-21_RFR-025")</f>
        <v>RUN-COMB_2022-04-21_RFR-025</v>
      </c>
      <c r="C440" s="7">
        <f>VLOOKUP(B440,'Run Reconcile'!A$2:B3090,2,FALSE)</f>
        <v>44672</v>
      </c>
      <c r="D440" s="11">
        <f>IFERROR(__xludf.DUMMYFUNCTION("""COMPUTED_VALUE"""),44672.0)</f>
        <v>44672</v>
      </c>
      <c r="E440" s="12">
        <f>IFERROR(__xludf.DUMMYFUNCTION("""COMPUTED_VALUE"""),0.28962962963123573)</f>
        <v>0.2896296296</v>
      </c>
      <c r="F440" s="6" t="str">
        <f>IFERROR(__xludf.DUMMYFUNCTION("""COMPUTED_VALUE"""),"Negative")</f>
        <v>Negative</v>
      </c>
      <c r="G440" s="6">
        <f>IFERROR(__xludf.DUMMYFUNCTION("""COMPUTED_VALUE"""),1.0)</f>
        <v>1</v>
      </c>
    </row>
    <row r="441">
      <c r="A441" s="6" t="str">
        <f>IFERROR(__xludf.DUMMYFUNCTION("""COMPUTED_VALUE"""),"FM4277")</f>
        <v>FM4277</v>
      </c>
      <c r="B441" s="6" t="str">
        <f>IFERROR(__xludf.DUMMYFUNCTION("""COMPUTED_VALUE"""),"RUN-COMB_2022-04-21_RFR-025")</f>
        <v>RUN-COMB_2022-04-21_RFR-025</v>
      </c>
      <c r="C441" s="7">
        <f>VLOOKUP(B441,'Run Reconcile'!A$2:B3090,2,FALSE)</f>
        <v>44672</v>
      </c>
      <c r="D441" s="11">
        <f>IFERROR(__xludf.DUMMYFUNCTION("""COMPUTED_VALUE"""),44672.0)</f>
        <v>44672</v>
      </c>
      <c r="E441" s="12">
        <f>IFERROR(__xludf.DUMMYFUNCTION("""COMPUTED_VALUE"""),0.29100694444423425)</f>
        <v>0.2910069444</v>
      </c>
      <c r="F441" s="6" t="str">
        <f>IFERROR(__xludf.DUMMYFUNCTION("""COMPUTED_VALUE"""),"Negative")</f>
        <v>Negative</v>
      </c>
      <c r="G441" s="6">
        <f>IFERROR(__xludf.DUMMYFUNCTION("""COMPUTED_VALUE"""),1.0)</f>
        <v>1</v>
      </c>
    </row>
    <row r="442">
      <c r="A442" s="6" t="str">
        <f>IFERROR(__xludf.DUMMYFUNCTION("""COMPUTED_VALUE"""),"FM4266")</f>
        <v>FM4266</v>
      </c>
      <c r="B442" s="6" t="str">
        <f>IFERROR(__xludf.DUMMYFUNCTION("""COMPUTED_VALUE"""),"RUN-COMB_2022-04-21_RFR-025")</f>
        <v>RUN-COMB_2022-04-21_RFR-025</v>
      </c>
      <c r="C442" s="7">
        <f>VLOOKUP(B442,'Run Reconcile'!A$2:B3090,2,FALSE)</f>
        <v>44672</v>
      </c>
      <c r="D442" s="11">
        <f>IFERROR(__xludf.DUMMYFUNCTION("""COMPUTED_VALUE"""),44672.0)</f>
        <v>44672</v>
      </c>
      <c r="E442" s="12">
        <f>IFERROR(__xludf.DUMMYFUNCTION("""COMPUTED_VALUE"""),0.2913888888906513)</f>
        <v>0.2913888889</v>
      </c>
      <c r="F442" s="6" t="str">
        <f>IFERROR(__xludf.DUMMYFUNCTION("""COMPUTED_VALUE"""),"Negative")</f>
        <v>Negative</v>
      </c>
      <c r="G442" s="6">
        <f>IFERROR(__xludf.DUMMYFUNCTION("""COMPUTED_VALUE"""),1.0)</f>
        <v>1</v>
      </c>
    </row>
    <row r="443">
      <c r="A443" s="6" t="str">
        <f>IFERROR(__xludf.DUMMYFUNCTION("""COMPUTED_VALUE"""),"FM4329")</f>
        <v>FM4329</v>
      </c>
      <c r="B443" s="6" t="str">
        <f>IFERROR(__xludf.DUMMYFUNCTION("""COMPUTED_VALUE"""),"RUN-COMB_2022-04-21_RFR-025")</f>
        <v>RUN-COMB_2022-04-21_RFR-025</v>
      </c>
      <c r="C443" s="7">
        <f>VLOOKUP(B443,'Run Reconcile'!A$2:B3090,2,FALSE)</f>
        <v>44672</v>
      </c>
      <c r="D443" s="11">
        <f>IFERROR(__xludf.DUMMYFUNCTION("""COMPUTED_VALUE"""),44672.0)</f>
        <v>44672</v>
      </c>
      <c r="E443" s="12">
        <f>IFERROR(__xludf.DUMMYFUNCTION("""COMPUTED_VALUE"""),0.2918287037027767)</f>
        <v>0.2918287037</v>
      </c>
      <c r="F443" s="6" t="str">
        <f>IFERROR(__xludf.DUMMYFUNCTION("""COMPUTED_VALUE"""),"Negative")</f>
        <v>Negative</v>
      </c>
      <c r="G443" s="6">
        <f>IFERROR(__xludf.DUMMYFUNCTION("""COMPUTED_VALUE"""),1.0)</f>
        <v>1</v>
      </c>
    </row>
    <row r="444">
      <c r="A444" s="6" t="str">
        <f>IFERROR(__xludf.DUMMYFUNCTION("""COMPUTED_VALUE"""),"FM4321")</f>
        <v>FM4321</v>
      </c>
      <c r="B444" s="6" t="str">
        <f>IFERROR(__xludf.DUMMYFUNCTION("""COMPUTED_VALUE"""),"RUN-COMB_2022-04-21_RFR-025")</f>
        <v>RUN-COMB_2022-04-21_RFR-025</v>
      </c>
      <c r="C444" s="7">
        <f>VLOOKUP(B444,'Run Reconcile'!A$2:B3090,2,FALSE)</f>
        <v>44672</v>
      </c>
      <c r="D444" s="11">
        <f>IFERROR(__xludf.DUMMYFUNCTION("""COMPUTED_VALUE"""),44672.0)</f>
        <v>44672</v>
      </c>
      <c r="E444" s="12">
        <f>IFERROR(__xludf.DUMMYFUNCTION("""COMPUTED_VALUE"""),0.29265046296131914)</f>
        <v>0.292650463</v>
      </c>
      <c r="F444" s="6" t="str">
        <f>IFERROR(__xludf.DUMMYFUNCTION("""COMPUTED_VALUE"""),"Negative")</f>
        <v>Negative</v>
      </c>
      <c r="G444" s="6">
        <f>IFERROR(__xludf.DUMMYFUNCTION("""COMPUTED_VALUE"""),1.0)</f>
        <v>1</v>
      </c>
    </row>
    <row r="445">
      <c r="A445" s="6" t="str">
        <f>IFERROR(__xludf.DUMMYFUNCTION("""COMPUTED_VALUE"""),"FM4061")</f>
        <v>FM4061</v>
      </c>
      <c r="B445" s="6" t="str">
        <f>IFERROR(__xludf.DUMMYFUNCTION("""COMPUTED_VALUE"""),"RUN-COMB_2022-04-21_RFR-025")</f>
        <v>RUN-COMB_2022-04-21_RFR-025</v>
      </c>
      <c r="C445" s="7">
        <f>VLOOKUP(B445,'Run Reconcile'!A$2:B3090,2,FALSE)</f>
        <v>44672</v>
      </c>
      <c r="D445" s="11">
        <f>IFERROR(__xludf.DUMMYFUNCTION("""COMPUTED_VALUE"""),44672.0)</f>
        <v>44672</v>
      </c>
      <c r="E445" s="12">
        <f>IFERROR(__xludf.DUMMYFUNCTION("""COMPUTED_VALUE"""),0.2930555555540195)</f>
        <v>0.2930555556</v>
      </c>
      <c r="F445" s="6" t="str">
        <f>IFERROR(__xludf.DUMMYFUNCTION("""COMPUTED_VALUE"""),"Negative")</f>
        <v>Negative</v>
      </c>
      <c r="G445" s="6">
        <f>IFERROR(__xludf.DUMMYFUNCTION("""COMPUTED_VALUE"""),1.0)</f>
        <v>1</v>
      </c>
    </row>
    <row r="446">
      <c r="A446" s="6" t="str">
        <f>IFERROR(__xludf.DUMMYFUNCTION("""COMPUTED_VALUE"""),"FM4333")</f>
        <v>FM4333</v>
      </c>
      <c r="B446" s="6" t="str">
        <f>IFERROR(__xludf.DUMMYFUNCTION("""COMPUTED_VALUE"""),"RUN-COMB_2022-04-21_RFR-025")</f>
        <v>RUN-COMB_2022-04-21_RFR-025</v>
      </c>
      <c r="C446" s="7">
        <f>VLOOKUP(B446,'Run Reconcile'!A$2:B3090,2,FALSE)</f>
        <v>44672</v>
      </c>
      <c r="D446" s="11">
        <f>IFERROR(__xludf.DUMMYFUNCTION("""COMPUTED_VALUE"""),44672.0)</f>
        <v>44672</v>
      </c>
      <c r="E446" s="12">
        <f>IFERROR(__xludf.DUMMYFUNCTION("""COMPUTED_VALUE"""),0.29351851851970423)</f>
        <v>0.2935185185</v>
      </c>
      <c r="F446" s="6" t="str">
        <f>IFERROR(__xludf.DUMMYFUNCTION("""COMPUTED_VALUE"""),"Negative")</f>
        <v>Negative</v>
      </c>
      <c r="G446" s="6">
        <f>IFERROR(__xludf.DUMMYFUNCTION("""COMPUTED_VALUE"""),1.0)</f>
        <v>1</v>
      </c>
    </row>
    <row r="447">
      <c r="A447" s="6" t="str">
        <f>IFERROR(__xludf.DUMMYFUNCTION("""COMPUTED_VALUE"""),"FM4339")</f>
        <v>FM4339</v>
      </c>
      <c r="B447" s="6" t="str">
        <f>IFERROR(__xludf.DUMMYFUNCTION("""COMPUTED_VALUE"""),"RUN-COMB_2022-04-21_RFR-025")</f>
        <v>RUN-COMB_2022-04-21_RFR-025</v>
      </c>
      <c r="C447" s="7">
        <f>VLOOKUP(B447,'Run Reconcile'!A$2:B3090,2,FALSE)</f>
        <v>44672</v>
      </c>
      <c r="D447" s="11">
        <f>IFERROR(__xludf.DUMMYFUNCTION("""COMPUTED_VALUE"""),44672.0)</f>
        <v>44672</v>
      </c>
      <c r="E447" s="12">
        <f>IFERROR(__xludf.DUMMYFUNCTION("""COMPUTED_VALUE"""),0.2938541666662786)</f>
        <v>0.2938541667</v>
      </c>
      <c r="F447" s="6" t="str">
        <f>IFERROR(__xludf.DUMMYFUNCTION("""COMPUTED_VALUE"""),"Negative")</f>
        <v>Negative</v>
      </c>
      <c r="G447" s="6">
        <f>IFERROR(__xludf.DUMMYFUNCTION("""COMPUTED_VALUE"""),1.0)</f>
        <v>1</v>
      </c>
    </row>
    <row r="448">
      <c r="A448" s="6" t="str">
        <f>IFERROR(__xludf.DUMMYFUNCTION("""COMPUTED_VALUE"""),"FM4312")</f>
        <v>FM4312</v>
      </c>
      <c r="B448" s="6" t="str">
        <f>IFERROR(__xludf.DUMMYFUNCTION("""COMPUTED_VALUE"""),"RUN-COMB_2022-04-21_RFR-025")</f>
        <v>RUN-COMB_2022-04-21_RFR-025</v>
      </c>
      <c r="C448" s="7">
        <f>VLOOKUP(B448,'Run Reconcile'!A$2:B3090,2,FALSE)</f>
        <v>44672</v>
      </c>
      <c r="D448" s="11">
        <f>IFERROR(__xludf.DUMMYFUNCTION("""COMPUTED_VALUE"""),44672.0)</f>
        <v>44672</v>
      </c>
      <c r="E448" s="12">
        <f>IFERROR(__xludf.DUMMYFUNCTION("""COMPUTED_VALUE"""),0.2949768518519704)</f>
        <v>0.2949768519</v>
      </c>
      <c r="F448" s="6" t="str">
        <f>IFERROR(__xludf.DUMMYFUNCTION("""COMPUTED_VALUE"""),"Negative")</f>
        <v>Negative</v>
      </c>
      <c r="G448" s="6">
        <f>IFERROR(__xludf.DUMMYFUNCTION("""COMPUTED_VALUE"""),1.0)</f>
        <v>1</v>
      </c>
    </row>
    <row r="449">
      <c r="A449" s="6" t="str">
        <f>IFERROR(__xludf.DUMMYFUNCTION("""COMPUTED_VALUE"""),"FM4320")</f>
        <v>FM4320</v>
      </c>
      <c r="B449" s="6" t="str">
        <f>IFERROR(__xludf.DUMMYFUNCTION("""COMPUTED_VALUE"""),"RUN-COMB_2022-04-21_RFR-025")</f>
        <v>RUN-COMB_2022-04-21_RFR-025</v>
      </c>
      <c r="C449" s="7">
        <f>VLOOKUP(B449,'Run Reconcile'!A$2:B3090,2,FALSE)</f>
        <v>44672</v>
      </c>
      <c r="D449" s="11">
        <f>IFERROR(__xludf.DUMMYFUNCTION("""COMPUTED_VALUE"""),44672.0)</f>
        <v>44672</v>
      </c>
      <c r="E449" s="12">
        <f>IFERROR(__xludf.DUMMYFUNCTION("""COMPUTED_VALUE"""),0.2964351851842366)</f>
        <v>0.2964351852</v>
      </c>
      <c r="F449" s="6" t="str">
        <f>IFERROR(__xludf.DUMMYFUNCTION("""COMPUTED_VALUE"""),"Negative")</f>
        <v>Negative</v>
      </c>
      <c r="G449" s="6">
        <f>IFERROR(__xludf.DUMMYFUNCTION("""COMPUTED_VALUE"""),1.0)</f>
        <v>1</v>
      </c>
    </row>
    <row r="450">
      <c r="A450" s="6" t="str">
        <f>IFERROR(__xludf.DUMMYFUNCTION("""COMPUTED_VALUE"""),"FM4293")</f>
        <v>FM4293</v>
      </c>
      <c r="B450" s="6" t="str">
        <f>IFERROR(__xludf.DUMMYFUNCTION("""COMPUTED_VALUE"""),"RUN-COMB_2022-04-21_RFR-025")</f>
        <v>RUN-COMB_2022-04-21_RFR-025</v>
      </c>
      <c r="C450" s="7">
        <f>VLOOKUP(B450,'Run Reconcile'!A$2:B3090,2,FALSE)</f>
        <v>44672</v>
      </c>
      <c r="D450" s="11">
        <f>IFERROR(__xludf.DUMMYFUNCTION("""COMPUTED_VALUE"""),44672.0)</f>
        <v>44672</v>
      </c>
      <c r="E450" s="12">
        <f>IFERROR(__xludf.DUMMYFUNCTION("""COMPUTED_VALUE"""),0.2969212962962047)</f>
        <v>0.2969212963</v>
      </c>
      <c r="F450" s="6" t="str">
        <f>IFERROR(__xludf.DUMMYFUNCTION("""COMPUTED_VALUE"""),"Negative")</f>
        <v>Negative</v>
      </c>
      <c r="G450" s="6">
        <f>IFERROR(__xludf.DUMMYFUNCTION("""COMPUTED_VALUE"""),1.0)</f>
        <v>1</v>
      </c>
    </row>
    <row r="451">
      <c r="A451" s="6" t="str">
        <f>IFERROR(__xludf.DUMMYFUNCTION("""COMPUTED_VALUE"""),"FM4283")</f>
        <v>FM4283</v>
      </c>
      <c r="B451" s="6" t="str">
        <f>IFERROR(__xludf.DUMMYFUNCTION("""COMPUTED_VALUE"""),"RUN-COMB_2022-04-21_RFR-025")</f>
        <v>RUN-COMB_2022-04-21_RFR-025</v>
      </c>
      <c r="C451" s="7">
        <f>VLOOKUP(B451,'Run Reconcile'!A$2:B3090,2,FALSE)</f>
        <v>44672</v>
      </c>
      <c r="D451" s="11">
        <f>IFERROR(__xludf.DUMMYFUNCTION("""COMPUTED_VALUE"""),44672.0)</f>
        <v>44672</v>
      </c>
      <c r="E451" s="12">
        <f>IFERROR(__xludf.DUMMYFUNCTION("""COMPUTED_VALUE"""),0.2973148148157634)</f>
        <v>0.2973148148</v>
      </c>
      <c r="F451" s="6" t="str">
        <f>IFERROR(__xludf.DUMMYFUNCTION("""COMPUTED_VALUE"""),"Negative")</f>
        <v>Negative</v>
      </c>
      <c r="G451" s="6">
        <f>IFERROR(__xludf.DUMMYFUNCTION("""COMPUTED_VALUE"""),1.0)</f>
        <v>1</v>
      </c>
    </row>
    <row r="452">
      <c r="A452" s="6" t="str">
        <f>IFERROR(__xludf.DUMMYFUNCTION("""COMPUTED_VALUE"""),"FM4334")</f>
        <v>FM4334</v>
      </c>
      <c r="B452" s="6" t="str">
        <f>IFERROR(__xludf.DUMMYFUNCTION("""COMPUTED_VALUE"""),"RUN-COMB_2022-04-21_RFR-025")</f>
        <v>RUN-COMB_2022-04-21_RFR-025</v>
      </c>
      <c r="C452" s="7">
        <f>VLOOKUP(B452,'Run Reconcile'!A$2:B3090,2,FALSE)</f>
        <v>44672</v>
      </c>
      <c r="D452" s="11">
        <f>IFERROR(__xludf.DUMMYFUNCTION("""COMPUTED_VALUE"""),44672.0)</f>
        <v>44672</v>
      </c>
      <c r="E452" s="12">
        <f>IFERROR(__xludf.DUMMYFUNCTION("""COMPUTED_VALUE"""),0.29783564814715646)</f>
        <v>0.2978356481</v>
      </c>
      <c r="F452" s="6" t="str">
        <f>IFERROR(__xludf.DUMMYFUNCTION("""COMPUTED_VALUE"""),"Negative")</f>
        <v>Negative</v>
      </c>
      <c r="G452" s="6">
        <f>IFERROR(__xludf.DUMMYFUNCTION("""COMPUTED_VALUE"""),1.0)</f>
        <v>1</v>
      </c>
    </row>
    <row r="453">
      <c r="A453" s="6" t="str">
        <f>IFERROR(__xludf.DUMMYFUNCTION("""COMPUTED_VALUE"""),"FM4113")</f>
        <v>FM4113</v>
      </c>
      <c r="B453" s="6" t="str">
        <f>IFERROR(__xludf.DUMMYFUNCTION("""COMPUTED_VALUE"""),"RUN-COMB_2022-04-21_RFR-025")</f>
        <v>RUN-COMB_2022-04-21_RFR-025</v>
      </c>
      <c r="C453" s="7">
        <f>VLOOKUP(B453,'Run Reconcile'!A$2:B3090,2,FALSE)</f>
        <v>44672</v>
      </c>
      <c r="D453" s="11">
        <f>IFERROR(__xludf.DUMMYFUNCTION("""COMPUTED_VALUE"""),44672.0)</f>
        <v>44672</v>
      </c>
      <c r="E453" s="12">
        <f>IFERROR(__xludf.DUMMYFUNCTION("""COMPUTED_VALUE"""),0.29881944444423425)</f>
        <v>0.2988194444</v>
      </c>
      <c r="F453" s="6" t="str">
        <f>IFERROR(__xludf.DUMMYFUNCTION("""COMPUTED_VALUE"""),"Negative")</f>
        <v>Negative</v>
      </c>
      <c r="G453" s="6">
        <f>IFERROR(__xludf.DUMMYFUNCTION("""COMPUTED_VALUE"""),1.0)</f>
        <v>1</v>
      </c>
    </row>
    <row r="454">
      <c r="A454" s="6" t="str">
        <f>IFERROR(__xludf.DUMMYFUNCTION("""COMPUTED_VALUE"""),"FM4121")</f>
        <v>FM4121</v>
      </c>
      <c r="B454" s="6" t="str">
        <f>IFERROR(__xludf.DUMMYFUNCTION("""COMPUTED_VALUE"""),"RUN-COMB_2022-04-21_RFR-025")</f>
        <v>RUN-COMB_2022-04-21_RFR-025</v>
      </c>
      <c r="C454" s="7">
        <f>VLOOKUP(B454,'Run Reconcile'!A$2:B3090,2,FALSE)</f>
        <v>44672</v>
      </c>
      <c r="D454" s="11">
        <f>IFERROR(__xludf.DUMMYFUNCTION("""COMPUTED_VALUE"""),44672.0)</f>
        <v>44672</v>
      </c>
      <c r="E454" s="12">
        <f>IFERROR(__xludf.DUMMYFUNCTION("""COMPUTED_VALUE"""),0.299282407406281)</f>
        <v>0.2992824074</v>
      </c>
      <c r="F454" s="6" t="str">
        <f>IFERROR(__xludf.DUMMYFUNCTION("""COMPUTED_VALUE"""),"Negative")</f>
        <v>Negative</v>
      </c>
      <c r="G454" s="6">
        <f>IFERROR(__xludf.DUMMYFUNCTION("""COMPUTED_VALUE"""),1.0)</f>
        <v>1</v>
      </c>
    </row>
    <row r="455">
      <c r="A455" s="6" t="str">
        <f>IFERROR(__xludf.DUMMYFUNCTION("""COMPUTED_VALUE"""),"FM4089")</f>
        <v>FM4089</v>
      </c>
      <c r="B455" s="6" t="str">
        <f>IFERROR(__xludf.DUMMYFUNCTION("""COMPUTED_VALUE"""),"RUN-COMB_2022-04-21_RFR-025")</f>
        <v>RUN-COMB_2022-04-21_RFR-025</v>
      </c>
      <c r="C455" s="7">
        <f>VLOOKUP(B455,'Run Reconcile'!A$2:B3090,2,FALSE)</f>
        <v>44672</v>
      </c>
      <c r="D455" s="11">
        <f>IFERROR(__xludf.DUMMYFUNCTION("""COMPUTED_VALUE"""),44672.0)</f>
        <v>44672</v>
      </c>
      <c r="E455" s="12">
        <f>IFERROR(__xludf.DUMMYFUNCTION("""COMPUTED_VALUE"""),0.2997800925913907)</f>
        <v>0.2997800926</v>
      </c>
      <c r="F455" s="6" t="str">
        <f>IFERROR(__xludf.DUMMYFUNCTION("""COMPUTED_VALUE"""),"Negative")</f>
        <v>Negative</v>
      </c>
      <c r="G455" s="6">
        <f>IFERROR(__xludf.DUMMYFUNCTION("""COMPUTED_VALUE"""),1.0)</f>
        <v>1</v>
      </c>
    </row>
    <row r="456">
      <c r="A456" s="6" t="str">
        <f>IFERROR(__xludf.DUMMYFUNCTION("""COMPUTED_VALUE"""),"FM4107")</f>
        <v>FM4107</v>
      </c>
      <c r="B456" s="6" t="str">
        <f>IFERROR(__xludf.DUMMYFUNCTION("""COMPUTED_VALUE"""),"RUN-COMB_2022-04-21_RFR-025")</f>
        <v>RUN-COMB_2022-04-21_RFR-025</v>
      </c>
      <c r="C456" s="7">
        <f>VLOOKUP(B456,'Run Reconcile'!A$2:B3090,2,FALSE)</f>
        <v>44672</v>
      </c>
      <c r="D456" s="11">
        <f>IFERROR(__xludf.DUMMYFUNCTION("""COMPUTED_VALUE"""),44672.0)</f>
        <v>44672</v>
      </c>
      <c r="E456" s="12">
        <f>IFERROR(__xludf.DUMMYFUNCTION("""COMPUTED_VALUE"""),0.30033564814948477)</f>
        <v>0.3003356481</v>
      </c>
      <c r="F456" s="6" t="str">
        <f>IFERROR(__xludf.DUMMYFUNCTION("""COMPUTED_VALUE"""),"Negative")</f>
        <v>Negative</v>
      </c>
      <c r="G456" s="6">
        <f>IFERROR(__xludf.DUMMYFUNCTION("""COMPUTED_VALUE"""),1.0)</f>
        <v>1</v>
      </c>
    </row>
    <row r="457">
      <c r="A457" s="6" t="str">
        <f>IFERROR(__xludf.DUMMYFUNCTION("""COMPUTED_VALUE"""),"FM4054")</f>
        <v>FM4054</v>
      </c>
      <c r="B457" s="6" t="str">
        <f>IFERROR(__xludf.DUMMYFUNCTION("""COMPUTED_VALUE"""),"RUN-COMB_2022-04-21_RFR-025")</f>
        <v>RUN-COMB_2022-04-21_RFR-025</v>
      </c>
      <c r="C457" s="7">
        <f>VLOOKUP(B457,'Run Reconcile'!A$2:B3090,2,FALSE)</f>
        <v>44672</v>
      </c>
      <c r="D457" s="11">
        <f>IFERROR(__xludf.DUMMYFUNCTION("""COMPUTED_VALUE"""),44672.0)</f>
        <v>44672</v>
      </c>
      <c r="E457" s="12">
        <f>IFERROR(__xludf.DUMMYFUNCTION("""COMPUTED_VALUE"""),0.3007870370383898)</f>
        <v>0.300787037</v>
      </c>
      <c r="F457" s="6" t="str">
        <f>IFERROR(__xludf.DUMMYFUNCTION("""COMPUTED_VALUE"""),"Negative")</f>
        <v>Negative</v>
      </c>
      <c r="G457" s="6">
        <f>IFERROR(__xludf.DUMMYFUNCTION("""COMPUTED_VALUE"""),1.0)</f>
        <v>1</v>
      </c>
    </row>
    <row r="458">
      <c r="A458" s="6" t="str">
        <f>IFERROR(__xludf.DUMMYFUNCTION("""COMPUTED_VALUE"""),"FM4119")</f>
        <v>FM4119</v>
      </c>
      <c r="B458" s="6" t="str">
        <f>IFERROR(__xludf.DUMMYFUNCTION("""COMPUTED_VALUE"""),"RUN-COMB_2022-04-21_RFR-025")</f>
        <v>RUN-COMB_2022-04-21_RFR-025</v>
      </c>
      <c r="C458" s="7">
        <f>VLOOKUP(B458,'Run Reconcile'!A$2:B3090,2,FALSE)</f>
        <v>44672</v>
      </c>
      <c r="D458" s="11">
        <f>IFERROR(__xludf.DUMMYFUNCTION("""COMPUTED_VALUE"""),44672.0)</f>
        <v>44672</v>
      </c>
      <c r="E458" s="12">
        <f>IFERROR(__xludf.DUMMYFUNCTION("""COMPUTED_VALUE"""),0.30238425925927004)</f>
        <v>0.3023842593</v>
      </c>
      <c r="F458" s="6" t="str">
        <f>IFERROR(__xludf.DUMMYFUNCTION("""COMPUTED_VALUE"""),"Negative")</f>
        <v>Negative</v>
      </c>
      <c r="G458" s="6">
        <f>IFERROR(__xludf.DUMMYFUNCTION("""COMPUTED_VALUE"""),1.0)</f>
        <v>1</v>
      </c>
    </row>
    <row r="459">
      <c r="A459" s="6" t="str">
        <f>IFERROR(__xludf.DUMMYFUNCTION("""COMPUTED_VALUE"""),"FM4098")</f>
        <v>FM4098</v>
      </c>
      <c r="B459" s="6" t="str">
        <f>IFERROR(__xludf.DUMMYFUNCTION("""COMPUTED_VALUE"""),"RUN-COMB_2022-04-21_RFR-025")</f>
        <v>RUN-COMB_2022-04-21_RFR-025</v>
      </c>
      <c r="C459" s="7">
        <f>VLOOKUP(B459,'Run Reconcile'!A$2:B3090,2,FALSE)</f>
        <v>44672</v>
      </c>
      <c r="D459" s="11">
        <f>IFERROR(__xludf.DUMMYFUNCTION("""COMPUTED_VALUE"""),44672.0)</f>
        <v>44672</v>
      </c>
      <c r="E459" s="12">
        <f>IFERROR(__xludf.DUMMYFUNCTION("""COMPUTED_VALUE"""),0.3034606481487572)</f>
        <v>0.3034606481</v>
      </c>
      <c r="F459" s="6" t="str">
        <f>IFERROR(__xludf.DUMMYFUNCTION("""COMPUTED_VALUE"""),"Negative")</f>
        <v>Negative</v>
      </c>
      <c r="G459" s="6">
        <f>IFERROR(__xludf.DUMMYFUNCTION("""COMPUTED_VALUE"""),1.0)</f>
        <v>1</v>
      </c>
    </row>
    <row r="460">
      <c r="A460" s="6" t="str">
        <f>IFERROR(__xludf.DUMMYFUNCTION("""COMPUTED_VALUE"""),"FM4117")</f>
        <v>FM4117</v>
      </c>
      <c r="B460" s="6" t="str">
        <f>IFERROR(__xludf.DUMMYFUNCTION("""COMPUTED_VALUE"""),"RUN-COMB_2022-04-21_RFR-025")</f>
        <v>RUN-COMB_2022-04-21_RFR-025</v>
      </c>
      <c r="C460" s="7">
        <f>VLOOKUP(B460,'Run Reconcile'!A$2:B3090,2,FALSE)</f>
        <v>44672</v>
      </c>
      <c r="D460" s="11">
        <f>IFERROR(__xludf.DUMMYFUNCTION("""COMPUTED_VALUE"""),44672.0)</f>
        <v>44672</v>
      </c>
      <c r="E460" s="12">
        <f>IFERROR(__xludf.DUMMYFUNCTION("""COMPUTED_VALUE"""),0.30391203703766223)</f>
        <v>0.303912037</v>
      </c>
      <c r="F460" s="6" t="str">
        <f>IFERROR(__xludf.DUMMYFUNCTION("""COMPUTED_VALUE"""),"Negative")</f>
        <v>Negative</v>
      </c>
      <c r="G460" s="6">
        <f>IFERROR(__xludf.DUMMYFUNCTION("""COMPUTED_VALUE"""),1.0)</f>
        <v>1</v>
      </c>
    </row>
    <row r="461">
      <c r="A461" s="6" t="str">
        <f>IFERROR(__xludf.DUMMYFUNCTION("""COMPUTED_VALUE"""),"FM4057")</f>
        <v>FM4057</v>
      </c>
      <c r="B461" s="6" t="str">
        <f>IFERROR(__xludf.DUMMYFUNCTION("""COMPUTED_VALUE"""),"RUN-COMB_2022-04-21_RFR-025")</f>
        <v>RUN-COMB_2022-04-21_RFR-025</v>
      </c>
      <c r="C461" s="7">
        <f>VLOOKUP(B461,'Run Reconcile'!A$2:B3090,2,FALSE)</f>
        <v>44672</v>
      </c>
      <c r="D461" s="11">
        <f>IFERROR(__xludf.DUMMYFUNCTION("""COMPUTED_VALUE"""),44672.0)</f>
        <v>44672</v>
      </c>
      <c r="E461" s="12">
        <f>IFERROR(__xludf.DUMMYFUNCTION("""COMPUTED_VALUE"""),0.30430555555722094)</f>
        <v>0.3043055556</v>
      </c>
      <c r="F461" s="6" t="str">
        <f>IFERROR(__xludf.DUMMYFUNCTION("""COMPUTED_VALUE"""),"Negative")</f>
        <v>Negative</v>
      </c>
      <c r="G461" s="6">
        <f>IFERROR(__xludf.DUMMYFUNCTION("""COMPUTED_VALUE"""),1.0)</f>
        <v>1</v>
      </c>
    </row>
    <row r="462">
      <c r="A462" s="6" t="str">
        <f>IFERROR(__xludf.DUMMYFUNCTION("""COMPUTED_VALUE"""),"FM4027")</f>
        <v>FM4027</v>
      </c>
      <c r="B462" s="6" t="str">
        <f>IFERROR(__xludf.DUMMYFUNCTION("""COMPUTED_VALUE"""),"RUN-COMB_2022-04-21_RFR-025")</f>
        <v>RUN-COMB_2022-04-21_RFR-025</v>
      </c>
      <c r="C462" s="7">
        <f>VLOOKUP(B462,'Run Reconcile'!A$2:B3090,2,FALSE)</f>
        <v>44672</v>
      </c>
      <c r="D462" s="11">
        <f>IFERROR(__xludf.DUMMYFUNCTION("""COMPUTED_VALUE"""),44672.0)</f>
        <v>44672</v>
      </c>
      <c r="E462" s="12">
        <f>IFERROR(__xludf.DUMMYFUNCTION("""COMPUTED_VALUE"""),0.30478009259240935)</f>
        <v>0.3047800926</v>
      </c>
      <c r="F462" s="6" t="str">
        <f>IFERROR(__xludf.DUMMYFUNCTION("""COMPUTED_VALUE"""),"Negative")</f>
        <v>Negative</v>
      </c>
      <c r="G462" s="6">
        <f>IFERROR(__xludf.DUMMYFUNCTION("""COMPUTED_VALUE"""),1.0)</f>
        <v>1</v>
      </c>
    </row>
    <row r="463">
      <c r="A463" s="6" t="str">
        <f>IFERROR(__xludf.DUMMYFUNCTION("""COMPUTED_VALUE"""),"FM4139")</f>
        <v>FM4139</v>
      </c>
      <c r="B463" s="6" t="str">
        <f>IFERROR(__xludf.DUMMYFUNCTION("""COMPUTED_VALUE"""),"RUN-COMB_2022-04-21_RFR-025")</f>
        <v>RUN-COMB_2022-04-21_RFR-025</v>
      </c>
      <c r="C463" s="7">
        <f>VLOOKUP(B463,'Run Reconcile'!A$2:B3090,2,FALSE)</f>
        <v>44672</v>
      </c>
      <c r="D463" s="11">
        <f>IFERROR(__xludf.DUMMYFUNCTION("""COMPUTED_VALUE"""),44672.0)</f>
        <v>44672</v>
      </c>
      <c r="E463" s="12">
        <f>IFERROR(__xludf.DUMMYFUNCTION("""COMPUTED_VALUE"""),0.30601851851679385)</f>
        <v>0.3060185185</v>
      </c>
      <c r="F463" s="6" t="str">
        <f>IFERROR(__xludf.DUMMYFUNCTION("""COMPUTED_VALUE"""),"Negative")</f>
        <v>Negative</v>
      </c>
      <c r="G463" s="6">
        <f>IFERROR(__xludf.DUMMYFUNCTION("""COMPUTED_VALUE"""),1.0)</f>
        <v>1</v>
      </c>
    </row>
    <row r="464">
      <c r="A464" s="6" t="str">
        <f>IFERROR(__xludf.DUMMYFUNCTION("""COMPUTED_VALUE"""),"FM4043")</f>
        <v>FM4043</v>
      </c>
      <c r="B464" s="6" t="str">
        <f>IFERROR(__xludf.DUMMYFUNCTION("""COMPUTED_VALUE"""),"RUN-COMB_2022-04-21_RFR-025")</f>
        <v>RUN-COMB_2022-04-21_RFR-025</v>
      </c>
      <c r="C464" s="7">
        <f>VLOOKUP(B464,'Run Reconcile'!A$2:B3090,2,FALSE)</f>
        <v>44672</v>
      </c>
      <c r="D464" s="11">
        <f>IFERROR(__xludf.DUMMYFUNCTION("""COMPUTED_VALUE"""),44672.0)</f>
        <v>44672</v>
      </c>
      <c r="E464" s="12">
        <f>IFERROR(__xludf.DUMMYFUNCTION("""COMPUTED_VALUE"""),0.30649305555562023)</f>
        <v>0.3064930556</v>
      </c>
      <c r="F464" s="6" t="str">
        <f>IFERROR(__xludf.DUMMYFUNCTION("""COMPUTED_VALUE"""),"Negative")</f>
        <v>Negative</v>
      </c>
      <c r="G464" s="6">
        <f>IFERROR(__xludf.DUMMYFUNCTION("""COMPUTED_VALUE"""),1.0)</f>
        <v>1</v>
      </c>
    </row>
    <row r="465">
      <c r="A465" s="6" t="str">
        <f>IFERROR(__xludf.DUMMYFUNCTION("""COMPUTED_VALUE"""),"FM4055")</f>
        <v>FM4055</v>
      </c>
      <c r="B465" s="6" t="str">
        <f>IFERROR(__xludf.DUMMYFUNCTION("""COMPUTED_VALUE"""),"RUN-COMB_2022-04-21_RFR-025")</f>
        <v>RUN-COMB_2022-04-21_RFR-025</v>
      </c>
      <c r="C465" s="7">
        <f>VLOOKUP(B465,'Run Reconcile'!A$2:B3090,2,FALSE)</f>
        <v>44672</v>
      </c>
      <c r="D465" s="11">
        <f>IFERROR(__xludf.DUMMYFUNCTION("""COMPUTED_VALUE"""),44672.0)</f>
        <v>44672</v>
      </c>
      <c r="E465" s="12">
        <f>IFERROR(__xludf.DUMMYFUNCTION("""COMPUTED_VALUE"""),0.3069791666675883)</f>
        <v>0.3069791667</v>
      </c>
      <c r="F465" s="6" t="str">
        <f>IFERROR(__xludf.DUMMYFUNCTION("""COMPUTED_VALUE"""),"Negative")</f>
        <v>Negative</v>
      </c>
      <c r="G465" s="6">
        <f>IFERROR(__xludf.DUMMYFUNCTION("""COMPUTED_VALUE"""),1.0)</f>
        <v>1</v>
      </c>
    </row>
    <row r="466">
      <c r="A466" s="6" t="str">
        <f>IFERROR(__xludf.DUMMYFUNCTION("""COMPUTED_VALUE"""),"FM4030")</f>
        <v>FM4030</v>
      </c>
      <c r="B466" s="6" t="str">
        <f>IFERROR(__xludf.DUMMYFUNCTION("""COMPUTED_VALUE"""),"RUN-COMB_2022-04-21_RFR-025")</f>
        <v>RUN-COMB_2022-04-21_RFR-025</v>
      </c>
      <c r="C466" s="7">
        <f>VLOOKUP(B466,'Run Reconcile'!A$2:B3090,2,FALSE)</f>
        <v>44672</v>
      </c>
      <c r="D466" s="11">
        <f>IFERROR(__xludf.DUMMYFUNCTION("""COMPUTED_VALUE"""),44672.0)</f>
        <v>44672</v>
      </c>
      <c r="E466" s="12">
        <f>IFERROR(__xludf.DUMMYFUNCTION("""COMPUTED_VALUE"""),0.307511574075761)</f>
        <v>0.3075115741</v>
      </c>
      <c r="F466" s="6" t="str">
        <f>IFERROR(__xludf.DUMMYFUNCTION("""COMPUTED_VALUE"""),"Negative")</f>
        <v>Negative</v>
      </c>
      <c r="G466" s="6">
        <f>IFERROR(__xludf.DUMMYFUNCTION("""COMPUTED_VALUE"""),1.0)</f>
        <v>1</v>
      </c>
    </row>
    <row r="467">
      <c r="A467" s="6" t="str">
        <f>IFERROR(__xludf.DUMMYFUNCTION("""COMPUTED_VALUE"""),"FM4076")</f>
        <v>FM4076</v>
      </c>
      <c r="B467" s="6" t="str">
        <f>IFERROR(__xludf.DUMMYFUNCTION("""COMPUTED_VALUE"""),"RUN-COMB_2022-04-21_RFR-025")</f>
        <v>RUN-COMB_2022-04-21_RFR-025</v>
      </c>
      <c r="C467" s="7">
        <f>VLOOKUP(B467,'Run Reconcile'!A$2:B3090,2,FALSE)</f>
        <v>44672</v>
      </c>
      <c r="D467" s="11">
        <f>IFERROR(__xludf.DUMMYFUNCTION("""COMPUTED_VALUE"""),44672.0)</f>
        <v>44672</v>
      </c>
      <c r="E467" s="12">
        <f>IFERROR(__xludf.DUMMYFUNCTION("""COMPUTED_VALUE"""),0.3080324074071541)</f>
        <v>0.3080324074</v>
      </c>
      <c r="F467" s="6" t="str">
        <f>IFERROR(__xludf.DUMMYFUNCTION("""COMPUTED_VALUE"""),"Negative")</f>
        <v>Negative</v>
      </c>
      <c r="G467" s="6">
        <f>IFERROR(__xludf.DUMMYFUNCTION("""COMPUTED_VALUE"""),1.0)</f>
        <v>1</v>
      </c>
    </row>
    <row r="468">
      <c r="A468" s="6" t="str">
        <f>IFERROR(__xludf.DUMMYFUNCTION("""COMPUTED_VALUE"""),"FM4082")</f>
        <v>FM4082</v>
      </c>
      <c r="B468" s="6" t="str">
        <f>IFERROR(__xludf.DUMMYFUNCTION("""COMPUTED_VALUE"""),"RUN-COMB_2022-04-21_RFR-025")</f>
        <v>RUN-COMB_2022-04-21_RFR-025</v>
      </c>
      <c r="C468" s="7">
        <f>VLOOKUP(B468,'Run Reconcile'!A$2:B3090,2,FALSE)</f>
        <v>44672</v>
      </c>
      <c r="D468" s="11">
        <f>IFERROR(__xludf.DUMMYFUNCTION("""COMPUTED_VALUE"""),44672.0)</f>
        <v>44672</v>
      </c>
      <c r="E468" s="12">
        <f>IFERROR(__xludf.DUMMYFUNCTION("""COMPUTED_VALUE"""),0.3085879629616102)</f>
        <v>0.308587963</v>
      </c>
      <c r="F468" s="6" t="str">
        <f>IFERROR(__xludf.DUMMYFUNCTION("""COMPUTED_VALUE"""),"Negative")</f>
        <v>Negative</v>
      </c>
      <c r="G468" s="6">
        <f>IFERROR(__xludf.DUMMYFUNCTION("""COMPUTED_VALUE"""),1.0)</f>
        <v>1</v>
      </c>
    </row>
    <row r="469">
      <c r="A469" s="6" t="str">
        <f>IFERROR(__xludf.DUMMYFUNCTION("""COMPUTED_VALUE"""),"FM4120")</f>
        <v>FM4120</v>
      </c>
      <c r="B469" s="6" t="str">
        <f>IFERROR(__xludf.DUMMYFUNCTION("""COMPUTED_VALUE"""),"RUN-COMB_2022-04-21_RFR-025")</f>
        <v>RUN-COMB_2022-04-21_RFR-025</v>
      </c>
      <c r="C469" s="7">
        <f>VLOOKUP(B469,'Run Reconcile'!A$2:B3090,2,FALSE)</f>
        <v>44672</v>
      </c>
      <c r="D469" s="11">
        <f>IFERROR(__xludf.DUMMYFUNCTION("""COMPUTED_VALUE"""),44672.0)</f>
        <v>44672</v>
      </c>
      <c r="E469" s="12">
        <f>IFERROR(__xludf.DUMMYFUNCTION("""COMPUTED_VALUE"""),0.30914351851970423)</f>
        <v>0.3091435185</v>
      </c>
      <c r="F469" s="6" t="str">
        <f>IFERROR(__xludf.DUMMYFUNCTION("""COMPUTED_VALUE"""),"Negative")</f>
        <v>Negative</v>
      </c>
      <c r="G469" s="6">
        <f>IFERROR(__xludf.DUMMYFUNCTION("""COMPUTED_VALUE"""),1.0)</f>
        <v>1</v>
      </c>
    </row>
    <row r="470">
      <c r="A470" s="6" t="str">
        <f>IFERROR(__xludf.DUMMYFUNCTION("""COMPUTED_VALUE"""),"FM4122")</f>
        <v>FM4122</v>
      </c>
      <c r="B470" s="6" t="str">
        <f>IFERROR(__xludf.DUMMYFUNCTION("""COMPUTED_VALUE"""),"RUN-COMB_2022-04-21_RFR-025")</f>
        <v>RUN-COMB_2022-04-21_RFR-025</v>
      </c>
      <c r="C470" s="7">
        <f>VLOOKUP(B470,'Run Reconcile'!A$2:B3090,2,FALSE)</f>
        <v>44672</v>
      </c>
      <c r="D470" s="11">
        <f>IFERROR(__xludf.DUMMYFUNCTION("""COMPUTED_VALUE"""),44672.0)</f>
        <v>44672</v>
      </c>
      <c r="E470" s="12">
        <f>IFERROR(__xludf.DUMMYFUNCTION("""COMPUTED_VALUE"""),0.309780092593428)</f>
        <v>0.3097800926</v>
      </c>
      <c r="F470" s="6" t="str">
        <f>IFERROR(__xludf.DUMMYFUNCTION("""COMPUTED_VALUE"""),"Negative")</f>
        <v>Negative</v>
      </c>
      <c r="G470" s="6">
        <f>IFERROR(__xludf.DUMMYFUNCTION("""COMPUTED_VALUE"""),1.0)</f>
        <v>1</v>
      </c>
    </row>
    <row r="471">
      <c r="A471" s="6" t="str">
        <f>IFERROR(__xludf.DUMMYFUNCTION("""COMPUTED_VALUE"""),"FM4056")</f>
        <v>FM4056</v>
      </c>
      <c r="B471" s="6" t="str">
        <f>IFERROR(__xludf.DUMMYFUNCTION("""COMPUTED_VALUE"""),"RUN-COMB_2022-04-21_RFR-025")</f>
        <v>RUN-COMB_2022-04-21_RFR-025</v>
      </c>
      <c r="C471" s="7">
        <f>VLOOKUP(B471,'Run Reconcile'!A$2:B3090,2,FALSE)</f>
        <v>44672</v>
      </c>
      <c r="D471" s="11">
        <f>IFERROR(__xludf.DUMMYFUNCTION("""COMPUTED_VALUE"""),44672.0)</f>
        <v>44672</v>
      </c>
      <c r="E471" s="12">
        <f>IFERROR(__xludf.DUMMYFUNCTION("""COMPUTED_VALUE"""),0.3102430555554747)</f>
        <v>0.3102430556</v>
      </c>
      <c r="F471" s="6" t="str">
        <f>IFERROR(__xludf.DUMMYFUNCTION("""COMPUTED_VALUE"""),"Positive")</f>
        <v>Positive</v>
      </c>
      <c r="G471" s="6">
        <f>IFERROR(__xludf.DUMMYFUNCTION("""COMPUTED_VALUE"""),1.0)</f>
        <v>1</v>
      </c>
    </row>
    <row r="472">
      <c r="A472" s="6" t="str">
        <f>IFERROR(__xludf.DUMMYFUNCTION("""COMPUTED_VALUE"""),"FM4111")</f>
        <v>FM4111</v>
      </c>
      <c r="B472" s="6" t="str">
        <f>IFERROR(__xludf.DUMMYFUNCTION("""COMPUTED_VALUE"""),"RUN-COMB_2022-04-21_RFR-025")</f>
        <v>RUN-COMB_2022-04-21_RFR-025</v>
      </c>
      <c r="C472" s="7">
        <f>VLOOKUP(B472,'Run Reconcile'!A$2:B3090,2,FALSE)</f>
        <v>44672</v>
      </c>
      <c r="D472" s="11">
        <f>IFERROR(__xludf.DUMMYFUNCTION("""COMPUTED_VALUE"""),44672.0)</f>
        <v>44672</v>
      </c>
      <c r="E472" s="12">
        <f>IFERROR(__xludf.DUMMYFUNCTION("""COMPUTED_VALUE"""),0.3107175925943011)</f>
        <v>0.3107175926</v>
      </c>
      <c r="F472" s="6" t="str">
        <f>IFERROR(__xludf.DUMMYFUNCTION("""COMPUTED_VALUE"""),"Negative")</f>
        <v>Negative</v>
      </c>
      <c r="G472" s="6">
        <f>IFERROR(__xludf.DUMMYFUNCTION("""COMPUTED_VALUE"""),1.0)</f>
        <v>1</v>
      </c>
    </row>
    <row r="473">
      <c r="A473" s="6" t="str">
        <f>IFERROR(__xludf.DUMMYFUNCTION("""COMPUTED_VALUE"""),"FM4103")</f>
        <v>FM4103</v>
      </c>
      <c r="B473" s="6" t="str">
        <f>IFERROR(__xludf.DUMMYFUNCTION("""COMPUTED_VALUE"""),"RUN-COMB_2022-04-21_RFR-025")</f>
        <v>RUN-COMB_2022-04-21_RFR-025</v>
      </c>
      <c r="C473" s="7">
        <f>VLOOKUP(B473,'Run Reconcile'!A$2:B3090,2,FALSE)</f>
        <v>44672</v>
      </c>
      <c r="D473" s="11">
        <f>IFERROR(__xludf.DUMMYFUNCTION("""COMPUTED_VALUE"""),44672.0)</f>
        <v>44672</v>
      </c>
      <c r="E473" s="12">
        <f>IFERROR(__xludf.DUMMYFUNCTION("""COMPUTED_VALUE"""),0.3112037037026312)</f>
        <v>0.3112037037</v>
      </c>
      <c r="F473" s="6" t="str">
        <f>IFERROR(__xludf.DUMMYFUNCTION("""COMPUTED_VALUE"""),"Negative")</f>
        <v>Negative</v>
      </c>
      <c r="G473" s="6">
        <f>IFERROR(__xludf.DUMMYFUNCTION("""COMPUTED_VALUE"""),1.0)</f>
        <v>1</v>
      </c>
    </row>
    <row r="474">
      <c r="A474" s="6" t="str">
        <f>IFERROR(__xludf.DUMMYFUNCTION("""COMPUTED_VALUE"""),"FM4029")</f>
        <v>FM4029</v>
      </c>
      <c r="B474" s="6" t="str">
        <f>IFERROR(__xludf.DUMMYFUNCTION("""COMPUTED_VALUE"""),"RUN-COMB_2022-04-21_RFR-025")</f>
        <v>RUN-COMB_2022-04-21_RFR-025</v>
      </c>
      <c r="C474" s="7">
        <f>VLOOKUP(B474,'Run Reconcile'!A$2:B3090,2,FALSE)</f>
        <v>44672</v>
      </c>
      <c r="D474" s="11">
        <f>IFERROR(__xludf.DUMMYFUNCTION("""COMPUTED_VALUE"""),44672.0)</f>
        <v>44672</v>
      </c>
      <c r="E474" s="12">
        <f>IFERROR(__xludf.DUMMYFUNCTION("""COMPUTED_VALUE"""),0.3137268518512428)</f>
        <v>0.3137268519</v>
      </c>
      <c r="F474" s="6" t="str">
        <f>IFERROR(__xludf.DUMMYFUNCTION("""COMPUTED_VALUE"""),"Negative")</f>
        <v>Negative</v>
      </c>
      <c r="G474" s="6">
        <f>IFERROR(__xludf.DUMMYFUNCTION("""COMPUTED_VALUE"""),1.0)</f>
        <v>1</v>
      </c>
    </row>
    <row r="475">
      <c r="A475" s="6" t="str">
        <f>IFERROR(__xludf.DUMMYFUNCTION("""COMPUTED_VALUE"""),"FM4097")</f>
        <v>FM4097</v>
      </c>
      <c r="B475" s="6" t="str">
        <f>IFERROR(__xludf.DUMMYFUNCTION("""COMPUTED_VALUE"""),"RUN-COMB_2022-04-21_RFR-025")</f>
        <v>RUN-COMB_2022-04-21_RFR-025</v>
      </c>
      <c r="C475" s="7">
        <f>VLOOKUP(B475,'Run Reconcile'!A$2:B3090,2,FALSE)</f>
        <v>44672</v>
      </c>
      <c r="D475" s="11">
        <f>IFERROR(__xludf.DUMMYFUNCTION("""COMPUTED_VALUE"""),44672.0)</f>
        <v>44672</v>
      </c>
      <c r="E475" s="12">
        <f>IFERROR(__xludf.DUMMYFUNCTION("""COMPUTED_VALUE"""),0.31408564814773854)</f>
        <v>0.3140856481</v>
      </c>
      <c r="F475" s="6" t="str">
        <f>IFERROR(__xludf.DUMMYFUNCTION("""COMPUTED_VALUE"""),"Negative")</f>
        <v>Negative</v>
      </c>
      <c r="G475" s="6">
        <f>IFERROR(__xludf.DUMMYFUNCTION("""COMPUTED_VALUE"""),1.0)</f>
        <v>1</v>
      </c>
    </row>
    <row r="476">
      <c r="A476" s="6" t="str">
        <f>IFERROR(__xludf.DUMMYFUNCTION("""COMPUTED_VALUE"""),"FM4118")</f>
        <v>FM4118</v>
      </c>
      <c r="B476" s="6" t="str">
        <f>IFERROR(__xludf.DUMMYFUNCTION("""COMPUTED_VALUE"""),"RUN-COMB_2022-04-22_RFR-027")</f>
        <v>RUN-COMB_2022-04-22_RFR-027</v>
      </c>
      <c r="C476" s="7">
        <f>VLOOKUP(B476,'Run Reconcile'!A$2:B3090,2,FALSE)</f>
        <v>44673</v>
      </c>
      <c r="D476" s="11">
        <f>IFERROR(__xludf.DUMMYFUNCTION("""COMPUTED_VALUE"""),44673.0)</f>
        <v>44673</v>
      </c>
      <c r="E476" s="12">
        <f>IFERROR(__xludf.DUMMYFUNCTION("""COMPUTED_VALUE"""),0.2918287037027767)</f>
        <v>0.2918287037</v>
      </c>
      <c r="F476" s="6" t="str">
        <f>IFERROR(__xludf.DUMMYFUNCTION("""COMPUTED_VALUE"""),"Negative")</f>
        <v>Negative</v>
      </c>
      <c r="G476" s="6">
        <f>IFERROR(__xludf.DUMMYFUNCTION("""COMPUTED_VALUE"""),1.0)</f>
        <v>1</v>
      </c>
    </row>
    <row r="477">
      <c r="A477" s="6" t="str">
        <f>IFERROR(__xludf.DUMMYFUNCTION("""COMPUTED_VALUE"""),"FM4022")</f>
        <v>FM4022</v>
      </c>
      <c r="B477" s="6" t="str">
        <f>IFERROR(__xludf.DUMMYFUNCTION("""COMPUTED_VALUE"""),"RUN-COMB_2022-04-22_RFR-027")</f>
        <v>RUN-COMB_2022-04-22_RFR-027</v>
      </c>
      <c r="C477" s="7">
        <f>VLOOKUP(B477,'Run Reconcile'!A$2:B3090,2,FALSE)</f>
        <v>44673</v>
      </c>
      <c r="D477" s="11">
        <f>IFERROR(__xludf.DUMMYFUNCTION("""COMPUTED_VALUE"""),44673.0)</f>
        <v>44673</v>
      </c>
      <c r="E477" s="12">
        <f>IFERROR(__xludf.DUMMYFUNCTION("""COMPUTED_VALUE"""),0.2921990740724141)</f>
        <v>0.2921990741</v>
      </c>
      <c r="F477" s="6" t="str">
        <f>IFERROR(__xludf.DUMMYFUNCTION("""COMPUTED_VALUE"""),"Negative")</f>
        <v>Negative</v>
      </c>
      <c r="G477" s="6">
        <f>IFERROR(__xludf.DUMMYFUNCTION("""COMPUTED_VALUE"""),1.0)</f>
        <v>1</v>
      </c>
    </row>
    <row r="478">
      <c r="A478" s="6" t="str">
        <f>IFERROR(__xludf.DUMMYFUNCTION("""COMPUTED_VALUE"""),"FM4125")</f>
        <v>FM4125</v>
      </c>
      <c r="B478" s="6" t="str">
        <f>IFERROR(__xludf.DUMMYFUNCTION("""COMPUTED_VALUE"""),"RUN-COMB_2022-04-22_RFR-027")</f>
        <v>RUN-COMB_2022-04-22_RFR-027</v>
      </c>
      <c r="C478" s="7">
        <f>VLOOKUP(B478,'Run Reconcile'!A$2:B3090,2,FALSE)</f>
        <v>44673</v>
      </c>
      <c r="D478" s="11">
        <f>IFERROR(__xludf.DUMMYFUNCTION("""COMPUTED_VALUE"""),44673.0)</f>
        <v>44673</v>
      </c>
      <c r="E478" s="12">
        <f>IFERROR(__xludf.DUMMYFUNCTION("""COMPUTED_VALUE"""),0.2926157407418941)</f>
        <v>0.2926157407</v>
      </c>
      <c r="F478" s="6" t="str">
        <f>IFERROR(__xludf.DUMMYFUNCTION("""COMPUTED_VALUE"""),"Negative")</f>
        <v>Negative</v>
      </c>
      <c r="G478" s="6">
        <f>IFERROR(__xludf.DUMMYFUNCTION("""COMPUTED_VALUE"""),1.0)</f>
        <v>1</v>
      </c>
    </row>
    <row r="479">
      <c r="A479" s="6" t="str">
        <f>IFERROR(__xludf.DUMMYFUNCTION("""COMPUTED_VALUE"""),"FM4091")</f>
        <v>FM4091</v>
      </c>
      <c r="B479" s="6" t="str">
        <f>IFERROR(__xludf.DUMMYFUNCTION("""COMPUTED_VALUE"""),"RUN-COMB_2022-04-22_RFR-027")</f>
        <v>RUN-COMB_2022-04-22_RFR-027</v>
      </c>
      <c r="C479" s="7">
        <f>VLOOKUP(B479,'Run Reconcile'!A$2:B3090,2,FALSE)</f>
        <v>44673</v>
      </c>
      <c r="D479" s="11">
        <f>IFERROR(__xludf.DUMMYFUNCTION("""COMPUTED_VALUE"""),44673.0)</f>
        <v>44673</v>
      </c>
      <c r="E479" s="12">
        <f>IFERROR(__xludf.DUMMYFUNCTION("""COMPUTED_VALUE"""),0.2930324074077362)</f>
        <v>0.2930324074</v>
      </c>
      <c r="F479" s="6" t="str">
        <f>IFERROR(__xludf.DUMMYFUNCTION("""COMPUTED_VALUE"""),"Negative")</f>
        <v>Negative</v>
      </c>
      <c r="G479" s="6">
        <f>IFERROR(__xludf.DUMMYFUNCTION("""COMPUTED_VALUE"""),1.0)</f>
        <v>1</v>
      </c>
    </row>
    <row r="480">
      <c r="A480" s="6" t="str">
        <f>IFERROR(__xludf.DUMMYFUNCTION("""COMPUTED_VALUE"""),"FM4095")</f>
        <v>FM4095</v>
      </c>
      <c r="B480" s="6" t="str">
        <f>IFERROR(__xludf.DUMMYFUNCTION("""COMPUTED_VALUE"""),"RUN-COMB_2022-04-22_RFR-027")</f>
        <v>RUN-COMB_2022-04-22_RFR-027</v>
      </c>
      <c r="C480" s="7">
        <f>VLOOKUP(B480,'Run Reconcile'!A$2:B3090,2,FALSE)</f>
        <v>44673</v>
      </c>
      <c r="D480" s="11">
        <f>IFERROR(__xludf.DUMMYFUNCTION("""COMPUTED_VALUE"""),44673.0)</f>
        <v>44673</v>
      </c>
      <c r="E480" s="12">
        <f>IFERROR(__xludf.DUMMYFUNCTION("""COMPUTED_VALUE"""),0.29333333333488554)</f>
        <v>0.2933333333</v>
      </c>
      <c r="F480" s="6" t="str">
        <f>IFERROR(__xludf.DUMMYFUNCTION("""COMPUTED_VALUE"""),"Negative")</f>
        <v>Negative</v>
      </c>
      <c r="G480" s="6">
        <f>IFERROR(__xludf.DUMMYFUNCTION("""COMPUTED_VALUE"""),1.0)</f>
        <v>1</v>
      </c>
    </row>
    <row r="481">
      <c r="A481" s="6" t="str">
        <f>IFERROR(__xludf.DUMMYFUNCTION("""COMPUTED_VALUE"""),"FM4116")</f>
        <v>FM4116</v>
      </c>
      <c r="B481" s="6" t="str">
        <f>IFERROR(__xludf.DUMMYFUNCTION("""COMPUTED_VALUE"""),"RUN-COMB_2022-04-22_RFR-027")</f>
        <v>RUN-COMB_2022-04-22_RFR-027</v>
      </c>
      <c r="C481" s="7">
        <f>VLOOKUP(B481,'Run Reconcile'!A$2:B3090,2,FALSE)</f>
        <v>44673</v>
      </c>
      <c r="D481" s="11">
        <f>IFERROR(__xludf.DUMMYFUNCTION("""COMPUTED_VALUE"""),44673.0)</f>
        <v>44673</v>
      </c>
      <c r="E481" s="12">
        <f>IFERROR(__xludf.DUMMYFUNCTION("""COMPUTED_VALUE"""),0.2937152777776646)</f>
        <v>0.2937152778</v>
      </c>
      <c r="F481" s="6" t="str">
        <f>IFERROR(__xludf.DUMMYFUNCTION("""COMPUTED_VALUE"""),"Negative")</f>
        <v>Negative</v>
      </c>
      <c r="G481" s="6">
        <f>IFERROR(__xludf.DUMMYFUNCTION("""COMPUTED_VALUE"""),1.0)</f>
        <v>1</v>
      </c>
    </row>
    <row r="482">
      <c r="A482" s="6" t="str">
        <f>IFERROR(__xludf.DUMMYFUNCTION("""COMPUTED_VALUE"""),"FM4045")</f>
        <v>FM4045</v>
      </c>
      <c r="B482" s="6" t="str">
        <f>IFERROR(__xludf.DUMMYFUNCTION("""COMPUTED_VALUE"""),"RUN-COMB_2022-04-22_RFR-027")</f>
        <v>RUN-COMB_2022-04-22_RFR-027</v>
      </c>
      <c r="C482" s="7">
        <f>VLOOKUP(B482,'Run Reconcile'!A$2:B3090,2,FALSE)</f>
        <v>44673</v>
      </c>
      <c r="D482" s="11">
        <f>IFERROR(__xludf.DUMMYFUNCTION("""COMPUTED_VALUE"""),44673.0)</f>
        <v>44673</v>
      </c>
      <c r="E482" s="12">
        <f>IFERROR(__xludf.DUMMYFUNCTION("""COMPUTED_VALUE"""),0.294085648147302)</f>
        <v>0.2940856481</v>
      </c>
      <c r="F482" s="6" t="str">
        <f>IFERROR(__xludf.DUMMYFUNCTION("""COMPUTED_VALUE"""),"Negative")</f>
        <v>Negative</v>
      </c>
      <c r="G482" s="6">
        <f>IFERROR(__xludf.DUMMYFUNCTION("""COMPUTED_VALUE"""),1.0)</f>
        <v>1</v>
      </c>
    </row>
    <row r="483">
      <c r="A483" s="6" t="str">
        <f>IFERROR(__xludf.DUMMYFUNCTION("""COMPUTED_VALUE"""),"FM4060")</f>
        <v>FM4060</v>
      </c>
      <c r="B483" s="6" t="str">
        <f>IFERROR(__xludf.DUMMYFUNCTION("""COMPUTED_VALUE"""),"RUN-COMB_2022-04-22_RFR-027")</f>
        <v>RUN-COMB_2022-04-22_RFR-027</v>
      </c>
      <c r="C483" s="7">
        <f>VLOOKUP(B483,'Run Reconcile'!A$2:B3090,2,FALSE)</f>
        <v>44673</v>
      </c>
      <c r="D483" s="11">
        <f>IFERROR(__xludf.DUMMYFUNCTION("""COMPUTED_VALUE"""),44673.0)</f>
        <v>44673</v>
      </c>
      <c r="E483" s="12">
        <f>IFERROR(__xludf.DUMMYFUNCTION("""COMPUTED_VALUE"""),0.29471064814788406)</f>
        <v>0.2947106481</v>
      </c>
      <c r="F483" s="6" t="str">
        <f>IFERROR(__xludf.DUMMYFUNCTION("""COMPUTED_VALUE"""),"Negative")</f>
        <v>Negative</v>
      </c>
      <c r="G483" s="6">
        <f>IFERROR(__xludf.DUMMYFUNCTION("""COMPUTED_VALUE"""),1.0)</f>
        <v>1</v>
      </c>
    </row>
    <row r="484">
      <c r="A484" s="6" t="str">
        <f>IFERROR(__xludf.DUMMYFUNCTION("""COMPUTED_VALUE"""),"FM4100")</f>
        <v>FM4100</v>
      </c>
      <c r="B484" s="6" t="str">
        <f>IFERROR(__xludf.DUMMYFUNCTION("""COMPUTED_VALUE"""),"RUN-COMB_2022-04-22_RFR-027")</f>
        <v>RUN-COMB_2022-04-22_RFR-027</v>
      </c>
      <c r="C484" s="7">
        <f>VLOOKUP(B484,'Run Reconcile'!A$2:B3090,2,FALSE)</f>
        <v>44673</v>
      </c>
      <c r="D484" s="11">
        <f>IFERROR(__xludf.DUMMYFUNCTION("""COMPUTED_VALUE"""),44673.0)</f>
        <v>44673</v>
      </c>
      <c r="E484" s="12">
        <f>IFERROR(__xludf.DUMMYFUNCTION("""COMPUTED_VALUE"""),0.2951967592598521)</f>
        <v>0.2951967593</v>
      </c>
      <c r="F484" s="6" t="str">
        <f>IFERROR(__xludf.DUMMYFUNCTION("""COMPUTED_VALUE"""),"Negative")</f>
        <v>Negative</v>
      </c>
      <c r="G484" s="6">
        <f>IFERROR(__xludf.DUMMYFUNCTION("""COMPUTED_VALUE"""),1.0)</f>
        <v>1</v>
      </c>
    </row>
    <row r="485">
      <c r="A485" s="6" t="str">
        <f>IFERROR(__xludf.DUMMYFUNCTION("""COMPUTED_VALUE"""),"FM4051")</f>
        <v>FM4051</v>
      </c>
      <c r="B485" s="6" t="str">
        <f>IFERROR(__xludf.DUMMYFUNCTION("""COMPUTED_VALUE"""),"RUN-COMB_2022-04-22_RFR-027")</f>
        <v>RUN-COMB_2022-04-22_RFR-027</v>
      </c>
      <c r="C485" s="7">
        <f>VLOOKUP(B485,'Run Reconcile'!A$2:B3090,2,FALSE)</f>
        <v>44673</v>
      </c>
      <c r="D485" s="11">
        <f>IFERROR(__xludf.DUMMYFUNCTION("""COMPUTED_VALUE"""),44673.0)</f>
        <v>44673</v>
      </c>
      <c r="E485" s="12">
        <f>IFERROR(__xludf.DUMMYFUNCTION("""COMPUTED_VALUE"""),0.2961226851839456)</f>
        <v>0.2961226852</v>
      </c>
      <c r="F485" s="6" t="str">
        <f>IFERROR(__xludf.DUMMYFUNCTION("""COMPUTED_VALUE"""),"Negative")</f>
        <v>Negative</v>
      </c>
      <c r="G485" s="6">
        <f>IFERROR(__xludf.DUMMYFUNCTION("""COMPUTED_VALUE"""),1.0)</f>
        <v>1</v>
      </c>
    </row>
    <row r="486">
      <c r="A486" s="6" t="str">
        <f>IFERROR(__xludf.DUMMYFUNCTION("""COMPUTED_VALUE"""),"FM4041")</f>
        <v>FM4041</v>
      </c>
      <c r="B486" s="6" t="str">
        <f>IFERROR(__xludf.DUMMYFUNCTION("""COMPUTED_VALUE"""),"RUN-COMB_2022-04-22_RFR-027")</f>
        <v>RUN-COMB_2022-04-22_RFR-027</v>
      </c>
      <c r="C486" s="7">
        <f>VLOOKUP(B486,'Run Reconcile'!A$2:B3090,2,FALSE)</f>
        <v>44673</v>
      </c>
      <c r="D486" s="11">
        <f>IFERROR(__xludf.DUMMYFUNCTION("""COMPUTED_VALUE"""),44673.0)</f>
        <v>44673</v>
      </c>
      <c r="E486" s="12">
        <f>IFERROR(__xludf.DUMMYFUNCTION("""COMPUTED_VALUE"""),0.2965046296303626)</f>
        <v>0.2965046296</v>
      </c>
      <c r="F486" s="6" t="str">
        <f>IFERROR(__xludf.DUMMYFUNCTION("""COMPUTED_VALUE"""),"Negative")</f>
        <v>Negative</v>
      </c>
      <c r="G486" s="6">
        <f>IFERROR(__xludf.DUMMYFUNCTION("""COMPUTED_VALUE"""),1.0)</f>
        <v>1</v>
      </c>
    </row>
    <row r="487">
      <c r="A487" s="6" t="str">
        <f>IFERROR(__xludf.DUMMYFUNCTION("""COMPUTED_VALUE"""),"FM4133")</f>
        <v>FM4133</v>
      </c>
      <c r="B487" s="6" t="str">
        <f>IFERROR(__xludf.DUMMYFUNCTION("""COMPUTED_VALUE"""),"RUN-COMB_2022-04-22_RFR-027")</f>
        <v>RUN-COMB_2022-04-22_RFR-027</v>
      </c>
      <c r="C487" s="7">
        <f>VLOOKUP(B487,'Run Reconcile'!A$2:B3090,2,FALSE)</f>
        <v>44673</v>
      </c>
      <c r="D487" s="11">
        <f>IFERROR(__xludf.DUMMYFUNCTION("""COMPUTED_VALUE"""),44673.0)</f>
        <v>44673</v>
      </c>
      <c r="E487" s="12">
        <f>IFERROR(__xludf.DUMMYFUNCTION("""COMPUTED_VALUE"""),0.3000810185185401)</f>
        <v>0.3000810185</v>
      </c>
      <c r="F487" s="6" t="str">
        <f>IFERROR(__xludf.DUMMYFUNCTION("""COMPUTED_VALUE"""),"Negative")</f>
        <v>Negative</v>
      </c>
      <c r="G487" s="6">
        <f>IFERROR(__xludf.DUMMYFUNCTION("""COMPUTED_VALUE"""),1.0)</f>
        <v>1</v>
      </c>
    </row>
    <row r="488">
      <c r="A488" s="6" t="str">
        <f>IFERROR(__xludf.DUMMYFUNCTION("""COMPUTED_VALUE"""),"FM4037")</f>
        <v>FM4037</v>
      </c>
      <c r="B488" s="6" t="str">
        <f>IFERROR(__xludf.DUMMYFUNCTION("""COMPUTED_VALUE"""),"RUN-COMB_2022-04-22_RFR-027")</f>
        <v>RUN-COMB_2022-04-22_RFR-027</v>
      </c>
      <c r="C488" s="7">
        <f>VLOOKUP(B488,'Run Reconcile'!A$2:B3090,2,FALSE)</f>
        <v>44673</v>
      </c>
      <c r="D488" s="11">
        <f>IFERROR(__xludf.DUMMYFUNCTION("""COMPUTED_VALUE"""),44673.0)</f>
        <v>44673</v>
      </c>
      <c r="E488" s="12">
        <f>IFERROR(__xludf.DUMMYFUNCTION("""COMPUTED_VALUE"""),0.3004398148150358)</f>
        <v>0.3004398148</v>
      </c>
      <c r="F488" s="6" t="str">
        <f>IFERROR(__xludf.DUMMYFUNCTION("""COMPUTED_VALUE"""),"Negative")</f>
        <v>Negative</v>
      </c>
      <c r="G488" s="6">
        <f>IFERROR(__xludf.DUMMYFUNCTION("""COMPUTED_VALUE"""),1.0)</f>
        <v>1</v>
      </c>
    </row>
    <row r="489">
      <c r="A489" s="6" t="str">
        <f>IFERROR(__xludf.DUMMYFUNCTION("""COMPUTED_VALUE"""),"FM4130")</f>
        <v>FM4130</v>
      </c>
      <c r="B489" s="6" t="str">
        <f>IFERROR(__xludf.DUMMYFUNCTION("""COMPUTED_VALUE"""),"RUN-COMB_2022-04-22_RFR-027")</f>
        <v>RUN-COMB_2022-04-22_RFR-027</v>
      </c>
      <c r="C489" s="7">
        <f>VLOOKUP(B489,'Run Reconcile'!A$2:B3090,2,FALSE)</f>
        <v>44673</v>
      </c>
      <c r="D489" s="11">
        <f>IFERROR(__xludf.DUMMYFUNCTION("""COMPUTED_VALUE"""),44673.0)</f>
        <v>44673</v>
      </c>
      <c r="E489" s="12">
        <f>IFERROR(__xludf.DUMMYFUNCTION("""COMPUTED_VALUE"""),0.3009490740732872)</f>
        <v>0.3009490741</v>
      </c>
      <c r="F489" s="6" t="str">
        <f>IFERROR(__xludf.DUMMYFUNCTION("""COMPUTED_VALUE"""),"Negative")</f>
        <v>Negative</v>
      </c>
      <c r="G489" s="6">
        <f>IFERROR(__xludf.DUMMYFUNCTION("""COMPUTED_VALUE"""),1.0)</f>
        <v>1</v>
      </c>
    </row>
    <row r="490">
      <c r="A490" s="6" t="str">
        <f>IFERROR(__xludf.DUMMYFUNCTION("""COMPUTED_VALUE"""),"FM4044")</f>
        <v>FM4044</v>
      </c>
      <c r="B490" s="6" t="str">
        <f>IFERROR(__xludf.DUMMYFUNCTION("""COMPUTED_VALUE"""),"RUN-COMB_2022-04-22_RFR-027")</f>
        <v>RUN-COMB_2022-04-22_RFR-027</v>
      </c>
      <c r="C490" s="7">
        <f>VLOOKUP(B490,'Run Reconcile'!A$2:B3090,2,FALSE)</f>
        <v>44673</v>
      </c>
      <c r="D490" s="11">
        <f>IFERROR(__xludf.DUMMYFUNCTION("""COMPUTED_VALUE"""),44673.0)</f>
        <v>44673</v>
      </c>
      <c r="E490" s="12">
        <f>IFERROR(__xludf.DUMMYFUNCTION("""COMPUTED_VALUE"""),0.30129629629664123)</f>
        <v>0.3012962963</v>
      </c>
      <c r="F490" s="6" t="str">
        <f>IFERROR(__xludf.DUMMYFUNCTION("""COMPUTED_VALUE"""),"Negative")</f>
        <v>Negative</v>
      </c>
      <c r="G490" s="6">
        <f>IFERROR(__xludf.DUMMYFUNCTION("""COMPUTED_VALUE"""),1.0)</f>
        <v>1</v>
      </c>
    </row>
    <row r="491">
      <c r="A491" s="6" t="str">
        <f>IFERROR(__xludf.DUMMYFUNCTION("""COMPUTED_VALUE"""),"FM4090")</f>
        <v>FM4090</v>
      </c>
      <c r="B491" s="6" t="str">
        <f>IFERROR(__xludf.DUMMYFUNCTION("""COMPUTED_VALUE"""),"RUN-COMB_2022-04-22_RFR-027")</f>
        <v>RUN-COMB_2022-04-22_RFR-027</v>
      </c>
      <c r="C491" s="7">
        <f>VLOOKUP(B491,'Run Reconcile'!A$2:B3090,2,FALSE)</f>
        <v>44673</v>
      </c>
      <c r="D491" s="11">
        <f>IFERROR(__xludf.DUMMYFUNCTION("""COMPUTED_VALUE"""),44673.0)</f>
        <v>44673</v>
      </c>
      <c r="E491" s="12">
        <f>IFERROR(__xludf.DUMMYFUNCTION("""COMPUTED_VALUE"""),0.3017361111124046)</f>
        <v>0.3017361111</v>
      </c>
      <c r="F491" s="6" t="str">
        <f>IFERROR(__xludf.DUMMYFUNCTION("""COMPUTED_VALUE"""),"Negative")</f>
        <v>Negative</v>
      </c>
      <c r="G491" s="6">
        <f>IFERROR(__xludf.DUMMYFUNCTION("""COMPUTED_VALUE"""),1.0)</f>
        <v>1</v>
      </c>
    </row>
    <row r="492">
      <c r="A492" s="6" t="str">
        <f>IFERROR(__xludf.DUMMYFUNCTION("""COMPUTED_VALUE"""),"FM4099")</f>
        <v>FM4099</v>
      </c>
      <c r="B492" s="6" t="str">
        <f>IFERROR(__xludf.DUMMYFUNCTION("""COMPUTED_VALUE"""),"RUN-COMB_2022-04-22_RFR-027")</f>
        <v>RUN-COMB_2022-04-22_RFR-027</v>
      </c>
      <c r="C492" s="7">
        <f>VLOOKUP(B492,'Run Reconcile'!A$2:B3090,2,FALSE)</f>
        <v>44673</v>
      </c>
      <c r="D492" s="11">
        <f>IFERROR(__xludf.DUMMYFUNCTION("""COMPUTED_VALUE"""),44673.0)</f>
        <v>44673</v>
      </c>
      <c r="E492" s="12">
        <f>IFERROR(__xludf.DUMMYFUNCTION("""COMPUTED_VALUE"""),0.3021180555551837)</f>
        <v>0.3021180556</v>
      </c>
      <c r="F492" s="6" t="str">
        <f>IFERROR(__xludf.DUMMYFUNCTION("""COMPUTED_VALUE"""),"Negative")</f>
        <v>Negative</v>
      </c>
      <c r="G492" s="6">
        <f>IFERROR(__xludf.DUMMYFUNCTION("""COMPUTED_VALUE"""),1.0)</f>
        <v>1</v>
      </c>
    </row>
    <row r="493">
      <c r="A493" s="6" t="str">
        <f>IFERROR(__xludf.DUMMYFUNCTION("""COMPUTED_VALUE"""),"FM4025")</f>
        <v>FM4025</v>
      </c>
      <c r="B493" s="6" t="str">
        <f>IFERROR(__xludf.DUMMYFUNCTION("""COMPUTED_VALUE"""),"RUN-COMB_2022-04-22_RFR-027")</f>
        <v>RUN-COMB_2022-04-22_RFR-027</v>
      </c>
      <c r="C493" s="7">
        <f>VLOOKUP(B493,'Run Reconcile'!A$2:B3090,2,FALSE)</f>
        <v>44673</v>
      </c>
      <c r="D493" s="11">
        <f>IFERROR(__xludf.DUMMYFUNCTION("""COMPUTED_VALUE"""),44673.0)</f>
        <v>44673</v>
      </c>
      <c r="E493" s="12">
        <f>IFERROR(__xludf.DUMMYFUNCTION("""COMPUTED_VALUE"""),0.30260416666715173)</f>
        <v>0.3026041667</v>
      </c>
      <c r="F493" s="6" t="str">
        <f>IFERROR(__xludf.DUMMYFUNCTION("""COMPUTED_VALUE"""),"Negative")</f>
        <v>Negative</v>
      </c>
      <c r="G493" s="6">
        <f>IFERROR(__xludf.DUMMYFUNCTION("""COMPUTED_VALUE"""),1.0)</f>
        <v>1</v>
      </c>
    </row>
    <row r="494">
      <c r="A494" s="6" t="str">
        <f>IFERROR(__xludf.DUMMYFUNCTION("""COMPUTED_VALUE"""),"FM4021")</f>
        <v>FM4021</v>
      </c>
      <c r="B494" s="6" t="str">
        <f>IFERROR(__xludf.DUMMYFUNCTION("""COMPUTED_VALUE"""),"RUN-COMB_2022-04-22_RFR-027")</f>
        <v>RUN-COMB_2022-04-22_RFR-027</v>
      </c>
      <c r="C494" s="7">
        <f>VLOOKUP(B494,'Run Reconcile'!A$2:B3090,2,FALSE)</f>
        <v>44673</v>
      </c>
      <c r="D494" s="11">
        <f>IFERROR(__xludf.DUMMYFUNCTION("""COMPUTED_VALUE"""),44673.0)</f>
        <v>44673</v>
      </c>
      <c r="E494" s="12">
        <f>IFERROR(__xludf.DUMMYFUNCTION("""COMPUTED_VALUE"""),0.3031249999985448)</f>
        <v>0.303125</v>
      </c>
      <c r="F494" s="6" t="str">
        <f>IFERROR(__xludf.DUMMYFUNCTION("""COMPUTED_VALUE"""),"Negative")</f>
        <v>Negative</v>
      </c>
      <c r="G494" s="6">
        <f>IFERROR(__xludf.DUMMYFUNCTION("""COMPUTED_VALUE"""),1.0)</f>
        <v>1</v>
      </c>
    </row>
    <row r="495">
      <c r="A495" s="6" t="str">
        <f>IFERROR(__xludf.DUMMYFUNCTION("""COMPUTED_VALUE"""),"FM4048")</f>
        <v>FM4048</v>
      </c>
      <c r="B495" s="6" t="str">
        <f>IFERROR(__xludf.DUMMYFUNCTION("""COMPUTED_VALUE"""),"RUN-COMB_2022-04-22_RFR-027")</f>
        <v>RUN-COMB_2022-04-22_RFR-027</v>
      </c>
      <c r="C495" s="7">
        <f>VLOOKUP(B495,'Run Reconcile'!A$2:B3090,2,FALSE)</f>
        <v>44673</v>
      </c>
      <c r="D495" s="11">
        <f>IFERROR(__xludf.DUMMYFUNCTION("""COMPUTED_VALUE"""),44673.0)</f>
        <v>44673</v>
      </c>
      <c r="E495" s="12">
        <f>IFERROR(__xludf.DUMMYFUNCTION("""COMPUTED_VALUE"""),0.3037499999991269)</f>
        <v>0.30375</v>
      </c>
      <c r="F495" s="6" t="str">
        <f>IFERROR(__xludf.DUMMYFUNCTION("""COMPUTED_VALUE"""),"Negative")</f>
        <v>Negative</v>
      </c>
      <c r="G495" s="6">
        <f>IFERROR(__xludf.DUMMYFUNCTION("""COMPUTED_VALUE"""),1.0)</f>
        <v>1</v>
      </c>
    </row>
    <row r="496">
      <c r="A496" s="6" t="str">
        <f>IFERROR(__xludf.DUMMYFUNCTION("""COMPUTED_VALUE"""),"FM4087")</f>
        <v>FM4087</v>
      </c>
      <c r="B496" s="6" t="str">
        <f>IFERROR(__xludf.DUMMYFUNCTION("""COMPUTED_VALUE"""),"RUN-COMB_2022-04-22_RFR-027")</f>
        <v>RUN-COMB_2022-04-22_RFR-027</v>
      </c>
      <c r="C496" s="7">
        <f>VLOOKUP(B496,'Run Reconcile'!A$2:B3090,2,FALSE)</f>
        <v>44673</v>
      </c>
      <c r="D496" s="11">
        <f>IFERROR(__xludf.DUMMYFUNCTION("""COMPUTED_VALUE"""),44673.0)</f>
        <v>44673</v>
      </c>
      <c r="E496" s="12">
        <f>IFERROR(__xludf.DUMMYFUNCTION("""COMPUTED_VALUE"""),0.30412037036876427)</f>
        <v>0.3041203704</v>
      </c>
      <c r="F496" s="6" t="str">
        <f>IFERROR(__xludf.DUMMYFUNCTION("""COMPUTED_VALUE"""),"Negative")</f>
        <v>Negative</v>
      </c>
      <c r="G496" s="6">
        <f>IFERROR(__xludf.DUMMYFUNCTION("""COMPUTED_VALUE"""),1.0)</f>
        <v>1</v>
      </c>
    </row>
    <row r="497">
      <c r="A497" s="6" t="str">
        <f>IFERROR(__xludf.DUMMYFUNCTION("""COMPUTED_VALUE"""),"FM4039")</f>
        <v>FM4039</v>
      </c>
      <c r="B497" s="6" t="str">
        <f>IFERROR(__xludf.DUMMYFUNCTION("""COMPUTED_VALUE"""),"RUN-COMB_2022-04-22_RFR-027")</f>
        <v>RUN-COMB_2022-04-22_RFR-027</v>
      </c>
      <c r="C497" s="7">
        <f>VLOOKUP(B497,'Run Reconcile'!A$2:B3090,2,FALSE)</f>
        <v>44673</v>
      </c>
      <c r="D497" s="11">
        <f>IFERROR(__xludf.DUMMYFUNCTION("""COMPUTED_VALUE"""),44673.0)</f>
        <v>44673</v>
      </c>
      <c r="E497" s="12">
        <f>IFERROR(__xludf.DUMMYFUNCTION("""COMPUTED_VALUE"""),0.30452546296146465)</f>
        <v>0.304525463</v>
      </c>
      <c r="F497" s="6" t="str">
        <f>IFERROR(__xludf.DUMMYFUNCTION("""COMPUTED_VALUE"""),"Negative")</f>
        <v>Negative</v>
      </c>
      <c r="G497" s="6">
        <f>IFERROR(__xludf.DUMMYFUNCTION("""COMPUTED_VALUE"""),1.0)</f>
        <v>1</v>
      </c>
    </row>
    <row r="498">
      <c r="A498" s="6" t="str">
        <f>IFERROR(__xludf.DUMMYFUNCTION("""COMPUTED_VALUE"""),"FM4127")</f>
        <v>FM4127</v>
      </c>
      <c r="B498" s="6" t="str">
        <f>IFERROR(__xludf.DUMMYFUNCTION("""COMPUTED_VALUE"""),"RUN-COMB_2022-04-22_RFR-027")</f>
        <v>RUN-COMB_2022-04-22_RFR-027</v>
      </c>
      <c r="C498" s="7">
        <f>VLOOKUP(B498,'Run Reconcile'!A$2:B3090,2,FALSE)</f>
        <v>44673</v>
      </c>
      <c r="D498" s="11">
        <f>IFERROR(__xludf.DUMMYFUNCTION("""COMPUTED_VALUE"""),44673.0)</f>
        <v>44673</v>
      </c>
      <c r="E498" s="12">
        <f>IFERROR(__xludf.DUMMYFUNCTION("""COMPUTED_VALUE"""),0.30489583333474)</f>
        <v>0.3048958333</v>
      </c>
      <c r="F498" s="6" t="str">
        <f>IFERROR(__xludf.DUMMYFUNCTION("""COMPUTED_VALUE"""),"Negative")</f>
        <v>Negative</v>
      </c>
      <c r="G498" s="6">
        <f>IFERROR(__xludf.DUMMYFUNCTION("""COMPUTED_VALUE"""),1.0)</f>
        <v>1</v>
      </c>
    </row>
    <row r="499">
      <c r="A499" s="6" t="str">
        <f>IFERROR(__xludf.DUMMYFUNCTION("""COMPUTED_VALUE"""),"FM4040")</f>
        <v>FM4040</v>
      </c>
      <c r="B499" s="6" t="str">
        <f>IFERROR(__xludf.DUMMYFUNCTION("""COMPUTED_VALUE"""),"RUN-COMB_2022-04-22_RFR-027")</f>
        <v>RUN-COMB_2022-04-22_RFR-027</v>
      </c>
      <c r="C499" s="7">
        <f>VLOOKUP(B499,'Run Reconcile'!A$2:B3090,2,FALSE)</f>
        <v>44673</v>
      </c>
      <c r="D499" s="11">
        <f>IFERROR(__xludf.DUMMYFUNCTION("""COMPUTED_VALUE"""),44673.0)</f>
        <v>44673</v>
      </c>
      <c r="E499" s="12">
        <f>IFERROR(__xludf.DUMMYFUNCTION("""COMPUTED_VALUE"""),0.3052777777775191)</f>
        <v>0.3052777778</v>
      </c>
      <c r="F499" s="6" t="str">
        <f>IFERROR(__xludf.DUMMYFUNCTION("""COMPUTED_VALUE"""),"Negative")</f>
        <v>Negative</v>
      </c>
      <c r="G499" s="6">
        <f>IFERROR(__xludf.DUMMYFUNCTION("""COMPUTED_VALUE"""),1.0)</f>
        <v>1</v>
      </c>
    </row>
    <row r="500">
      <c r="A500" s="6" t="str">
        <f>IFERROR(__xludf.DUMMYFUNCTION("""COMPUTED_VALUE"""),"FM4124")</f>
        <v>FM4124</v>
      </c>
      <c r="B500" s="6" t="str">
        <f>IFERROR(__xludf.DUMMYFUNCTION("""COMPUTED_VALUE"""),"RUN-COMB_2022-04-22_RFR-027")</f>
        <v>RUN-COMB_2022-04-22_RFR-027</v>
      </c>
      <c r="C500" s="7">
        <f>VLOOKUP(B500,'Run Reconcile'!A$2:B3090,2,FALSE)</f>
        <v>44673</v>
      </c>
      <c r="D500" s="11">
        <f>IFERROR(__xludf.DUMMYFUNCTION("""COMPUTED_VALUE"""),44673.0)</f>
        <v>44673</v>
      </c>
      <c r="E500" s="12">
        <f>IFERROR(__xludf.DUMMYFUNCTION("""COMPUTED_VALUE"""),0.30572916666642413)</f>
        <v>0.3057291667</v>
      </c>
      <c r="F500" s="6" t="str">
        <f>IFERROR(__xludf.DUMMYFUNCTION("""COMPUTED_VALUE"""),"Negative")</f>
        <v>Negative</v>
      </c>
      <c r="G500" s="6">
        <f>IFERROR(__xludf.DUMMYFUNCTION("""COMPUTED_VALUE"""),1.0)</f>
        <v>1</v>
      </c>
    </row>
    <row r="501">
      <c r="A501" s="6" t="str">
        <f>IFERROR(__xludf.DUMMYFUNCTION("""COMPUTED_VALUE"""),"FM4104")</f>
        <v>FM4104</v>
      </c>
      <c r="B501" s="6" t="str">
        <f>IFERROR(__xludf.DUMMYFUNCTION("""COMPUTED_VALUE"""),"RUN-COMB_2022-04-22_RFR-027")</f>
        <v>RUN-COMB_2022-04-22_RFR-027</v>
      </c>
      <c r="C501" s="7">
        <f>VLOOKUP(B501,'Run Reconcile'!A$2:B3090,2,FALSE)</f>
        <v>44673</v>
      </c>
      <c r="D501" s="11">
        <f>IFERROR(__xludf.DUMMYFUNCTION("""COMPUTED_VALUE"""),44673.0)</f>
        <v>44673</v>
      </c>
      <c r="E501" s="12">
        <f>IFERROR(__xludf.DUMMYFUNCTION("""COMPUTED_VALUE"""),0.3060763888897782)</f>
        <v>0.3060763889</v>
      </c>
      <c r="F501" s="6" t="str">
        <f>IFERROR(__xludf.DUMMYFUNCTION("""COMPUTED_VALUE"""),"Negative")</f>
        <v>Negative</v>
      </c>
      <c r="G501" s="6">
        <f>IFERROR(__xludf.DUMMYFUNCTION("""COMPUTED_VALUE"""),1.0)</f>
        <v>1</v>
      </c>
    </row>
    <row r="502">
      <c r="A502" s="6" t="str">
        <f>IFERROR(__xludf.DUMMYFUNCTION("""COMPUTED_VALUE"""),"FM4132")</f>
        <v>FM4132</v>
      </c>
      <c r="B502" s="6" t="str">
        <f>IFERROR(__xludf.DUMMYFUNCTION("""COMPUTED_VALUE"""),"RUN-COMB_2022-04-25_RFR-028")</f>
        <v>RUN-COMB_2022-04-25_RFR-028</v>
      </c>
      <c r="C502" s="7">
        <f>VLOOKUP(B502,'Run Reconcile'!A$2:B3090,2,FALSE)</f>
        <v>44676</v>
      </c>
      <c r="D502" s="11">
        <f>IFERROR(__xludf.DUMMYFUNCTION("""COMPUTED_VALUE"""),44676.0)</f>
        <v>44676</v>
      </c>
      <c r="E502" s="12">
        <f>IFERROR(__xludf.DUMMYFUNCTION("""COMPUTED_VALUE"""),0.6787152777760639)</f>
        <v>0.6787152778</v>
      </c>
      <c r="F502" s="6" t="str">
        <f>IFERROR(__xludf.DUMMYFUNCTION("""COMPUTED_VALUE"""),"Negative")</f>
        <v>Negative</v>
      </c>
      <c r="G502" s="6">
        <f>IFERROR(__xludf.DUMMYFUNCTION("""COMPUTED_VALUE"""),1.0)</f>
        <v>1</v>
      </c>
    </row>
    <row r="503">
      <c r="A503" s="6" t="str">
        <f>IFERROR(__xludf.DUMMYFUNCTION("""COMPUTED_VALUE"""),"FM4101")</f>
        <v>FM4101</v>
      </c>
      <c r="B503" s="6" t="str">
        <f>IFERROR(__xludf.DUMMYFUNCTION("""COMPUTED_VALUE"""),"RUN-COMB_2022-04-25_RFR-028")</f>
        <v>RUN-COMB_2022-04-25_RFR-028</v>
      </c>
      <c r="C503" s="7">
        <f>VLOOKUP(B503,'Run Reconcile'!A$2:B3090,2,FALSE)</f>
        <v>44676</v>
      </c>
      <c r="D503" s="11">
        <f>IFERROR(__xludf.DUMMYFUNCTION("""COMPUTED_VALUE"""),44676.0)</f>
        <v>44676</v>
      </c>
      <c r="E503" s="12">
        <f>IFERROR(__xludf.DUMMYFUNCTION("""COMPUTED_VALUE"""),0.6790856481493392)</f>
        <v>0.6790856481</v>
      </c>
      <c r="F503" s="6" t="str">
        <f>IFERROR(__xludf.DUMMYFUNCTION("""COMPUTED_VALUE"""),"Negative")</f>
        <v>Negative</v>
      </c>
      <c r="G503" s="6">
        <f>IFERROR(__xludf.DUMMYFUNCTION("""COMPUTED_VALUE"""),1.0)</f>
        <v>1</v>
      </c>
    </row>
    <row r="504">
      <c r="A504" s="6" t="str">
        <f>IFERROR(__xludf.DUMMYFUNCTION("""COMPUTED_VALUE"""),"FM4109")</f>
        <v>FM4109</v>
      </c>
      <c r="B504" s="6" t="str">
        <f>IFERROR(__xludf.DUMMYFUNCTION("""COMPUTED_VALUE"""),"RUN-COMB_2022-04-25_RFR-028")</f>
        <v>RUN-COMB_2022-04-25_RFR-028</v>
      </c>
      <c r="C504" s="7">
        <f>VLOOKUP(B504,'Run Reconcile'!A$2:B3090,2,FALSE)</f>
        <v>44676</v>
      </c>
      <c r="D504" s="11">
        <f>IFERROR(__xludf.DUMMYFUNCTION("""COMPUTED_VALUE"""),44676.0)</f>
        <v>44676</v>
      </c>
      <c r="E504" s="12">
        <f>IFERROR(__xludf.DUMMYFUNCTION("""COMPUTED_VALUE"""),0.6801736111119681)</f>
        <v>0.6801736111</v>
      </c>
      <c r="F504" s="6" t="str">
        <f>IFERROR(__xludf.DUMMYFUNCTION("""COMPUTED_VALUE"""),"Negative")</f>
        <v>Negative</v>
      </c>
      <c r="G504" s="6">
        <f>IFERROR(__xludf.DUMMYFUNCTION("""COMPUTED_VALUE"""),1.0)</f>
        <v>1</v>
      </c>
    </row>
    <row r="505">
      <c r="A505" s="6" t="str">
        <f>IFERROR(__xludf.DUMMYFUNCTION("""COMPUTED_VALUE"""),"FM4114")</f>
        <v>FM4114</v>
      </c>
      <c r="B505" s="6" t="str">
        <f>IFERROR(__xludf.DUMMYFUNCTION("""COMPUTED_VALUE"""),"RUN-COMB_2022-04-25_RFR-028")</f>
        <v>RUN-COMB_2022-04-25_RFR-028</v>
      </c>
      <c r="C505" s="7">
        <f>VLOOKUP(B505,'Run Reconcile'!A$2:B3090,2,FALSE)</f>
        <v>44676</v>
      </c>
      <c r="D505" s="11">
        <f>IFERROR(__xludf.DUMMYFUNCTION("""COMPUTED_VALUE"""),44676.0)</f>
        <v>44676</v>
      </c>
      <c r="E505" s="12">
        <f>IFERROR(__xludf.DUMMYFUNCTION("""COMPUTED_VALUE"""),0.6884143518509518)</f>
        <v>0.6884143519</v>
      </c>
      <c r="F505" s="6" t="str">
        <f>IFERROR(__xludf.DUMMYFUNCTION("""COMPUTED_VALUE"""),"Negative")</f>
        <v>Negative</v>
      </c>
      <c r="G505" s="6">
        <f>IFERROR(__xludf.DUMMYFUNCTION("""COMPUTED_VALUE"""),1.0)</f>
        <v>1</v>
      </c>
    </row>
    <row r="506">
      <c r="A506" s="6" t="str">
        <f>IFERROR(__xludf.DUMMYFUNCTION("""COMPUTED_VALUE"""),"FM4140")</f>
        <v>FM4140</v>
      </c>
      <c r="B506" s="6" t="str">
        <f>IFERROR(__xludf.DUMMYFUNCTION("""COMPUTED_VALUE"""),"RUN-COMB_2022-04-25_RFR-028")</f>
        <v>RUN-COMB_2022-04-25_RFR-028</v>
      </c>
      <c r="C506" s="7">
        <f>VLOOKUP(B506,'Run Reconcile'!A$2:B3090,2,FALSE)</f>
        <v>44676</v>
      </c>
      <c r="D506" s="11">
        <f>IFERROR(__xludf.DUMMYFUNCTION("""COMPUTED_VALUE"""),44676.0)</f>
        <v>44676</v>
      </c>
      <c r="E506" s="12">
        <f>IFERROR(__xludf.DUMMYFUNCTION("""COMPUTED_VALUE"""),0.6905324074068631)</f>
        <v>0.6905324074</v>
      </c>
      <c r="F506" s="6" t="str">
        <f>IFERROR(__xludf.DUMMYFUNCTION("""COMPUTED_VALUE"""),"Negative")</f>
        <v>Negative</v>
      </c>
      <c r="G506" s="6">
        <f>IFERROR(__xludf.DUMMYFUNCTION("""COMPUTED_VALUE"""),1.0)</f>
        <v>1</v>
      </c>
    </row>
    <row r="507">
      <c r="A507" s="6" t="str">
        <f>IFERROR(__xludf.DUMMYFUNCTION("""COMPUTED_VALUE"""),"FM4137")</f>
        <v>FM4137</v>
      </c>
      <c r="B507" s="6" t="str">
        <f>IFERROR(__xludf.DUMMYFUNCTION("""COMPUTED_VALUE"""),"RUN-COMB_2022-04-25_RFR-028")</f>
        <v>RUN-COMB_2022-04-25_RFR-028</v>
      </c>
      <c r="C507" s="7">
        <f>VLOOKUP(B507,'Run Reconcile'!A$2:B3090,2,FALSE)</f>
        <v>44676</v>
      </c>
      <c r="D507" s="11">
        <f>IFERROR(__xludf.DUMMYFUNCTION("""COMPUTED_VALUE"""),44676.0)</f>
        <v>44676</v>
      </c>
      <c r="E507" s="12">
        <f>IFERROR(__xludf.DUMMYFUNCTION("""COMPUTED_VALUE"""),0.6912962962960592)</f>
        <v>0.6912962963</v>
      </c>
      <c r="F507" s="6" t="str">
        <f>IFERROR(__xludf.DUMMYFUNCTION("""COMPUTED_VALUE"""),"Negative")</f>
        <v>Negative</v>
      </c>
      <c r="G507" s="6">
        <f>IFERROR(__xludf.DUMMYFUNCTION("""COMPUTED_VALUE"""),1.0)</f>
        <v>1</v>
      </c>
    </row>
    <row r="508">
      <c r="A508" s="6" t="str">
        <f>IFERROR(__xludf.DUMMYFUNCTION("""COMPUTED_VALUE"""),"FM4050")</f>
        <v>FM4050</v>
      </c>
      <c r="B508" s="6" t="str">
        <f>IFERROR(__xludf.DUMMYFUNCTION("""COMPUTED_VALUE"""),"RUN-COMB_2022-04-25_RFR-028")</f>
        <v>RUN-COMB_2022-04-25_RFR-028</v>
      </c>
      <c r="C508" s="7">
        <f>VLOOKUP(B508,'Run Reconcile'!A$2:B3090,2,FALSE)</f>
        <v>44676</v>
      </c>
      <c r="D508" s="11">
        <f>IFERROR(__xludf.DUMMYFUNCTION("""COMPUTED_VALUE"""),44676.0)</f>
        <v>44676</v>
      </c>
      <c r="E508" s="12">
        <f>IFERROR(__xludf.DUMMYFUNCTION("""COMPUTED_VALUE"""),0.6918402777773736)</f>
        <v>0.6918402778</v>
      </c>
      <c r="F508" s="6" t="str">
        <f>IFERROR(__xludf.DUMMYFUNCTION("""COMPUTED_VALUE"""),"Negative")</f>
        <v>Negative</v>
      </c>
      <c r="G508" s="6">
        <f>IFERROR(__xludf.DUMMYFUNCTION("""COMPUTED_VALUE"""),1.0)</f>
        <v>1</v>
      </c>
    </row>
    <row r="509">
      <c r="A509" s="6" t="str">
        <f>IFERROR(__xludf.DUMMYFUNCTION("""COMPUTED_VALUE"""),"FM4052")</f>
        <v>FM4052</v>
      </c>
      <c r="B509" s="6" t="str">
        <f>IFERROR(__xludf.DUMMYFUNCTION("""COMPUTED_VALUE"""),"RUN-COMB_2022-04-25_RFR-028")</f>
        <v>RUN-COMB_2022-04-25_RFR-028</v>
      </c>
      <c r="C509" s="7">
        <f>VLOOKUP(B509,'Run Reconcile'!A$2:B3090,2,FALSE)</f>
        <v>44676</v>
      </c>
      <c r="D509" s="11">
        <f>IFERROR(__xludf.DUMMYFUNCTION("""COMPUTED_VALUE"""),44676.0)</f>
        <v>44676</v>
      </c>
      <c r="E509" s="12">
        <f>IFERROR(__xludf.DUMMYFUNCTION("""COMPUTED_VALUE"""),0.6932060185172304)</f>
        <v>0.6932060185</v>
      </c>
      <c r="F509" s="6" t="str">
        <f>IFERROR(__xludf.DUMMYFUNCTION("""COMPUTED_VALUE"""),"Negative")</f>
        <v>Negative</v>
      </c>
      <c r="G509" s="6">
        <f>IFERROR(__xludf.DUMMYFUNCTION("""COMPUTED_VALUE"""),1.0)</f>
        <v>1</v>
      </c>
    </row>
    <row r="510">
      <c r="A510" s="6" t="str">
        <f>IFERROR(__xludf.DUMMYFUNCTION("""COMPUTED_VALUE"""),"FM4023")</f>
        <v>FM4023</v>
      </c>
      <c r="B510" s="6" t="str">
        <f>IFERROR(__xludf.DUMMYFUNCTION("""COMPUTED_VALUE"""),"RUN-COMB_2022-04-25_RFR-028")</f>
        <v>RUN-COMB_2022-04-25_RFR-028</v>
      </c>
      <c r="C510" s="7">
        <f>VLOOKUP(B510,'Run Reconcile'!A$2:B3090,2,FALSE)</f>
        <v>44676</v>
      </c>
      <c r="D510" s="11">
        <f>IFERROR(__xludf.DUMMYFUNCTION("""COMPUTED_VALUE"""),44676.0)</f>
        <v>44676</v>
      </c>
      <c r="E510" s="12">
        <f>IFERROR(__xludf.DUMMYFUNCTION("""COMPUTED_VALUE"""),0.6940393518525525)</f>
        <v>0.6940393519</v>
      </c>
      <c r="F510" s="6" t="str">
        <f>IFERROR(__xludf.DUMMYFUNCTION("""COMPUTED_VALUE"""),"Negative")</f>
        <v>Negative</v>
      </c>
      <c r="G510" s="6">
        <f>IFERROR(__xludf.DUMMYFUNCTION("""COMPUTED_VALUE"""),1.0)</f>
        <v>1</v>
      </c>
    </row>
    <row r="511">
      <c r="A511" s="6" t="str">
        <f>IFERROR(__xludf.DUMMYFUNCTION("""COMPUTED_VALUE"""),"FM4038")</f>
        <v>FM4038</v>
      </c>
      <c r="B511" s="6" t="str">
        <f>IFERROR(__xludf.DUMMYFUNCTION("""COMPUTED_VALUE"""),"RUN-COMB_2022-04-25_RFR-028")</f>
        <v>RUN-COMB_2022-04-25_RFR-028</v>
      </c>
      <c r="C511" s="7">
        <f>VLOOKUP(B511,'Run Reconcile'!A$2:B3090,2,FALSE)</f>
        <v>44676</v>
      </c>
      <c r="D511" s="11">
        <f>IFERROR(__xludf.DUMMYFUNCTION("""COMPUTED_VALUE"""),44676.0)</f>
        <v>44676</v>
      </c>
      <c r="E511" s="12">
        <f>IFERROR(__xludf.DUMMYFUNCTION("""COMPUTED_VALUE"""),0.6947106481493392)</f>
        <v>0.6947106481</v>
      </c>
      <c r="F511" s="6" t="str">
        <f>IFERROR(__xludf.DUMMYFUNCTION("""COMPUTED_VALUE"""),"Negative")</f>
        <v>Negative</v>
      </c>
      <c r="G511" s="6">
        <f>IFERROR(__xludf.DUMMYFUNCTION("""COMPUTED_VALUE"""),1.0)</f>
        <v>1</v>
      </c>
    </row>
    <row r="512">
      <c r="A512" s="6" t="str">
        <f>IFERROR(__xludf.DUMMYFUNCTION("""COMPUTED_VALUE"""),"FM4102")</f>
        <v>FM4102</v>
      </c>
      <c r="B512" s="6" t="str">
        <f>IFERROR(__xludf.DUMMYFUNCTION("""COMPUTED_VALUE"""),"RUN-COMB_2022-04-25_RFR-028")</f>
        <v>RUN-COMB_2022-04-25_RFR-028</v>
      </c>
      <c r="C512" s="7">
        <f>VLOOKUP(B512,'Run Reconcile'!A$2:B3090,2,FALSE)</f>
        <v>44676</v>
      </c>
      <c r="D512" s="11">
        <f>IFERROR(__xludf.DUMMYFUNCTION("""COMPUTED_VALUE"""),44676.0)</f>
        <v>44676</v>
      </c>
      <c r="E512" s="12">
        <f>IFERROR(__xludf.DUMMYFUNCTION("""COMPUTED_VALUE"""),0.6951620370382443)</f>
        <v>0.695162037</v>
      </c>
      <c r="F512" s="6" t="str">
        <f>IFERROR(__xludf.DUMMYFUNCTION("""COMPUTED_VALUE"""),"Negative")</f>
        <v>Negative</v>
      </c>
      <c r="G512" s="6">
        <f>IFERROR(__xludf.DUMMYFUNCTION("""COMPUTED_VALUE"""),1.0)</f>
        <v>1</v>
      </c>
    </row>
    <row r="513">
      <c r="A513" s="6" t="str">
        <f>IFERROR(__xludf.DUMMYFUNCTION("""COMPUTED_VALUE"""),"FM4053")</f>
        <v>FM4053</v>
      </c>
      <c r="B513" s="6" t="str">
        <f>IFERROR(__xludf.DUMMYFUNCTION("""COMPUTED_VALUE"""),"RUN-COMB_2022-04-25_RFR-028")</f>
        <v>RUN-COMB_2022-04-25_RFR-028</v>
      </c>
      <c r="C513" s="7">
        <f>VLOOKUP(B513,'Run Reconcile'!A$2:B3090,2,FALSE)</f>
        <v>44676</v>
      </c>
      <c r="D513" s="11">
        <f>IFERROR(__xludf.DUMMYFUNCTION("""COMPUTED_VALUE"""),44676.0)</f>
        <v>44676</v>
      </c>
      <c r="E513" s="12">
        <f>IFERROR(__xludf.DUMMYFUNCTION("""COMPUTED_VALUE"""),0.6958101851851097)</f>
        <v>0.6958101852</v>
      </c>
      <c r="F513" s="6" t="str">
        <f>IFERROR(__xludf.DUMMYFUNCTION("""COMPUTED_VALUE"""),"Negative")</f>
        <v>Negative</v>
      </c>
      <c r="G513" s="6">
        <f>IFERROR(__xludf.DUMMYFUNCTION("""COMPUTED_VALUE"""),1.0)</f>
        <v>1</v>
      </c>
    </row>
    <row r="514">
      <c r="A514" s="6" t="str">
        <f>IFERROR(__xludf.DUMMYFUNCTION("""COMPUTED_VALUE"""),"FM4123")</f>
        <v>FM4123</v>
      </c>
      <c r="B514" s="6" t="str">
        <f>IFERROR(__xludf.DUMMYFUNCTION("""COMPUTED_VALUE"""),"RUN-COMB_2022-04-25_RFR-028")</f>
        <v>RUN-COMB_2022-04-25_RFR-028</v>
      </c>
      <c r="C514" s="7">
        <f>VLOOKUP(B514,'Run Reconcile'!A$2:B3090,2,FALSE)</f>
        <v>44676</v>
      </c>
      <c r="D514" s="11">
        <f>IFERROR(__xludf.DUMMYFUNCTION("""COMPUTED_VALUE"""),44676.0)</f>
        <v>44676</v>
      </c>
      <c r="E514" s="12">
        <f>IFERROR(__xludf.DUMMYFUNCTION("""COMPUTED_VALUE"""),0.6968634259246755)</f>
        <v>0.6968634259</v>
      </c>
      <c r="F514" s="6" t="str">
        <f>IFERROR(__xludf.DUMMYFUNCTION("""COMPUTED_VALUE"""),"Positive")</f>
        <v>Positive</v>
      </c>
      <c r="G514" s="6">
        <f>IFERROR(__xludf.DUMMYFUNCTION("""COMPUTED_VALUE"""),1.0)</f>
        <v>1</v>
      </c>
    </row>
    <row r="515">
      <c r="A515" s="6" t="str">
        <f>IFERROR(__xludf.DUMMYFUNCTION("""COMPUTED_VALUE"""),"FM4112")</f>
        <v>FM4112</v>
      </c>
      <c r="B515" s="6" t="str">
        <f>IFERROR(__xludf.DUMMYFUNCTION("""COMPUTED_VALUE"""),"RUN-COMB_2022-04-25_RFR-028")</f>
        <v>RUN-COMB_2022-04-25_RFR-028</v>
      </c>
      <c r="C515" s="7">
        <f>VLOOKUP(B515,'Run Reconcile'!A$2:B3090,2,FALSE)</f>
        <v>44676</v>
      </c>
      <c r="D515" s="11">
        <f>IFERROR(__xludf.DUMMYFUNCTION("""COMPUTED_VALUE"""),44676.0)</f>
        <v>44676</v>
      </c>
      <c r="E515" s="12">
        <f>IFERROR(__xludf.DUMMYFUNCTION("""COMPUTED_VALUE"""),0.7025231481493392)</f>
        <v>0.7025231481</v>
      </c>
      <c r="F515" s="6" t="str">
        <f>IFERROR(__xludf.DUMMYFUNCTION("""COMPUTED_VALUE"""),"Negative")</f>
        <v>Negative</v>
      </c>
      <c r="G515" s="6">
        <f>IFERROR(__xludf.DUMMYFUNCTION("""COMPUTED_VALUE"""),1.0)</f>
        <v>1</v>
      </c>
    </row>
    <row r="516">
      <c r="A516" s="6" t="str">
        <f>IFERROR(__xludf.DUMMYFUNCTION("""COMPUTED_VALUE"""),"FM4088")</f>
        <v>FM4088</v>
      </c>
      <c r="B516" s="6" t="str">
        <f>IFERROR(__xludf.DUMMYFUNCTION("""COMPUTED_VALUE"""),"RUN-COMB_2022-04-25_RFR-028")</f>
        <v>RUN-COMB_2022-04-25_RFR-028</v>
      </c>
      <c r="C516" s="7">
        <f>VLOOKUP(B516,'Run Reconcile'!A$2:B3090,2,FALSE)</f>
        <v>44676</v>
      </c>
      <c r="D516" s="11">
        <f>IFERROR(__xludf.DUMMYFUNCTION("""COMPUTED_VALUE"""),44676.0)</f>
        <v>44676</v>
      </c>
      <c r="E516" s="12">
        <f>IFERROR(__xludf.DUMMYFUNCTION("""COMPUTED_VALUE"""),0.7030671296306537)</f>
        <v>0.7030671296</v>
      </c>
      <c r="F516" s="6" t="str">
        <f>IFERROR(__xludf.DUMMYFUNCTION("""COMPUTED_VALUE"""),"Negative")</f>
        <v>Negative</v>
      </c>
      <c r="G516" s="6">
        <f>IFERROR(__xludf.DUMMYFUNCTION("""COMPUTED_VALUE"""),1.0)</f>
        <v>1</v>
      </c>
    </row>
    <row r="517">
      <c r="A517" s="6" t="str">
        <f>IFERROR(__xludf.DUMMYFUNCTION("""COMPUTED_VALUE"""),"FM4031")</f>
        <v>FM4031</v>
      </c>
      <c r="B517" s="6" t="str">
        <f>IFERROR(__xludf.DUMMYFUNCTION("""COMPUTED_VALUE"""),"RUN-COMB_2022-04-25_RFR-028")</f>
        <v>RUN-COMB_2022-04-25_RFR-028</v>
      </c>
      <c r="C517" s="7">
        <f>VLOOKUP(B517,'Run Reconcile'!A$2:B3090,2,FALSE)</f>
        <v>44676</v>
      </c>
      <c r="D517" s="11">
        <f>IFERROR(__xludf.DUMMYFUNCTION("""COMPUTED_VALUE"""),44676.0)</f>
        <v>44676</v>
      </c>
      <c r="E517" s="12">
        <f>IFERROR(__xludf.DUMMYFUNCTION("""COMPUTED_VALUE"""),0.7035648148157634)</f>
        <v>0.7035648148</v>
      </c>
      <c r="F517" s="6" t="str">
        <f>IFERROR(__xludf.DUMMYFUNCTION("""COMPUTED_VALUE"""),"Negative")</f>
        <v>Negative</v>
      </c>
      <c r="G517" s="6">
        <f>IFERROR(__xludf.DUMMYFUNCTION("""COMPUTED_VALUE"""),1.0)</f>
        <v>1</v>
      </c>
    </row>
    <row r="518">
      <c r="A518" s="6" t="str">
        <f>IFERROR(__xludf.DUMMYFUNCTION("""COMPUTED_VALUE"""),"FM4083")</f>
        <v>FM4083</v>
      </c>
      <c r="B518" s="6" t="str">
        <f>IFERROR(__xludf.DUMMYFUNCTION("""COMPUTED_VALUE"""),"RUN-COMB_2022-04-25_RFR-028")</f>
        <v>RUN-COMB_2022-04-25_RFR-028</v>
      </c>
      <c r="C518" s="7">
        <f>VLOOKUP(B518,'Run Reconcile'!A$2:B3090,2,FALSE)</f>
        <v>44676</v>
      </c>
      <c r="D518" s="11">
        <f>IFERROR(__xludf.DUMMYFUNCTION("""COMPUTED_VALUE"""),44676.0)</f>
        <v>44676</v>
      </c>
      <c r="E518" s="12">
        <f>IFERROR(__xludf.DUMMYFUNCTION("""COMPUTED_VALUE"""),0.7045949074090458)</f>
        <v>0.7045949074</v>
      </c>
      <c r="F518" s="6" t="str">
        <f>IFERROR(__xludf.DUMMYFUNCTION("""COMPUTED_VALUE"""),"Negative")</f>
        <v>Negative</v>
      </c>
      <c r="G518" s="6">
        <f>IFERROR(__xludf.DUMMYFUNCTION("""COMPUTED_VALUE"""),1.0)</f>
        <v>1</v>
      </c>
    </row>
    <row r="519">
      <c r="A519" s="6" t="str">
        <f>IFERROR(__xludf.DUMMYFUNCTION("""COMPUTED_VALUE"""),"FM4110")</f>
        <v>FM4110</v>
      </c>
      <c r="B519" s="6" t="str">
        <f>IFERROR(__xludf.DUMMYFUNCTION("""COMPUTED_VALUE"""),"RUN-COMB_2022-04-25_RFR-028")</f>
        <v>RUN-COMB_2022-04-25_RFR-028</v>
      </c>
      <c r="C519" s="7">
        <f>VLOOKUP(B519,'Run Reconcile'!A$2:B3090,2,FALSE)</f>
        <v>44676</v>
      </c>
      <c r="D519" s="11">
        <f>IFERROR(__xludf.DUMMYFUNCTION("""COMPUTED_VALUE"""),44676.0)</f>
        <v>44676</v>
      </c>
      <c r="E519" s="12">
        <f>IFERROR(__xludf.DUMMYFUNCTION("""COMPUTED_VALUE"""),0.7050578703710926)</f>
        <v>0.7050578704</v>
      </c>
      <c r="F519" s="6" t="str">
        <f>IFERROR(__xludf.DUMMYFUNCTION("""COMPUTED_VALUE"""),"Negative")</f>
        <v>Negative</v>
      </c>
      <c r="G519" s="6">
        <f>IFERROR(__xludf.DUMMYFUNCTION("""COMPUTED_VALUE"""),1.0)</f>
        <v>1</v>
      </c>
    </row>
    <row r="520">
      <c r="A520" s="6" t="str">
        <f>IFERROR(__xludf.DUMMYFUNCTION("""COMPUTED_VALUE"""),"FM4108")</f>
        <v>FM4108</v>
      </c>
      <c r="B520" s="6" t="str">
        <f>IFERROR(__xludf.DUMMYFUNCTION("""COMPUTED_VALUE"""),"RUN-COMB_2022-04-25_RFR-028")</f>
        <v>RUN-COMB_2022-04-25_RFR-028</v>
      </c>
      <c r="C520" s="7">
        <f>VLOOKUP(B520,'Run Reconcile'!A$2:B3090,2,FALSE)</f>
        <v>44676</v>
      </c>
      <c r="D520" s="11">
        <f>IFERROR(__xludf.DUMMYFUNCTION("""COMPUTED_VALUE"""),44676.0)</f>
        <v>44676</v>
      </c>
      <c r="E520" s="12">
        <f>IFERROR(__xludf.DUMMYFUNCTION("""COMPUTED_VALUE"""),0.7149305555540195)</f>
        <v>0.7149305556</v>
      </c>
      <c r="F520" s="6" t="str">
        <f>IFERROR(__xludf.DUMMYFUNCTION("""COMPUTED_VALUE"""),"Negative")</f>
        <v>Negative</v>
      </c>
      <c r="G520" s="6">
        <f>IFERROR(__xludf.DUMMYFUNCTION("""COMPUTED_VALUE"""),1.0)</f>
        <v>1</v>
      </c>
    </row>
    <row r="521">
      <c r="A521" s="6" t="str">
        <f>IFERROR(__xludf.DUMMYFUNCTION("""COMPUTED_VALUE"""),"FM4047")</f>
        <v>FM4047</v>
      </c>
      <c r="B521" s="6" t="str">
        <f>IFERROR(__xludf.DUMMYFUNCTION("""COMPUTED_VALUE"""),"RUN-COMB_2022-04-25_RFR-028")</f>
        <v>RUN-COMB_2022-04-25_RFR-028</v>
      </c>
      <c r="C521" s="7">
        <f>VLOOKUP(B521,'Run Reconcile'!A$2:B3090,2,FALSE)</f>
        <v>44676</v>
      </c>
      <c r="D521" s="11">
        <f>IFERROR(__xludf.DUMMYFUNCTION("""COMPUTED_VALUE"""),44676.0)</f>
        <v>44676</v>
      </c>
      <c r="E521" s="12">
        <f>IFERROR(__xludf.DUMMYFUNCTION("""COMPUTED_VALUE"""),0.7156134259275859)</f>
        <v>0.7156134259</v>
      </c>
      <c r="F521" s="6" t="str">
        <f>IFERROR(__xludf.DUMMYFUNCTION("""COMPUTED_VALUE"""),"Negative")</f>
        <v>Negative</v>
      </c>
      <c r="G521" s="6">
        <f>IFERROR(__xludf.DUMMYFUNCTION("""COMPUTED_VALUE"""),1.0)</f>
        <v>1</v>
      </c>
    </row>
    <row r="522">
      <c r="A522" s="6" t="str">
        <f>IFERROR(__xludf.DUMMYFUNCTION("""COMPUTED_VALUE"""),"FM4024")</f>
        <v>FM4024</v>
      </c>
      <c r="B522" s="6" t="str">
        <f>IFERROR(__xludf.DUMMYFUNCTION("""COMPUTED_VALUE"""),"RUN-COMB_2022-04-25_RFR-028")</f>
        <v>RUN-COMB_2022-04-25_RFR-028</v>
      </c>
      <c r="C522" s="7">
        <f>VLOOKUP(B522,'Run Reconcile'!A$2:B3090,2,FALSE)</f>
        <v>44676</v>
      </c>
      <c r="D522" s="11">
        <f>IFERROR(__xludf.DUMMYFUNCTION("""COMPUTED_VALUE"""),44676.0)</f>
        <v>44676</v>
      </c>
      <c r="E522" s="12">
        <f>IFERROR(__xludf.DUMMYFUNCTION("""COMPUTED_VALUE"""),0.7208449074059899)</f>
        <v>0.7208449074</v>
      </c>
      <c r="F522" s="6" t="str">
        <f>IFERROR(__xludf.DUMMYFUNCTION("""COMPUTED_VALUE"""),"Negative")</f>
        <v>Negative</v>
      </c>
      <c r="G522" s="6">
        <f>IFERROR(__xludf.DUMMYFUNCTION("""COMPUTED_VALUE"""),1.0)</f>
        <v>1</v>
      </c>
    </row>
    <row r="523">
      <c r="A523" s="6" t="str">
        <f>IFERROR(__xludf.DUMMYFUNCTION("""COMPUTED_VALUE"""),"FM4034")</f>
        <v>FM4034</v>
      </c>
      <c r="B523" s="6" t="str">
        <f>IFERROR(__xludf.DUMMYFUNCTION("""COMPUTED_VALUE"""),"RUN-COMB_2022-04-25_RFR-028")</f>
        <v>RUN-COMB_2022-04-25_RFR-028</v>
      </c>
      <c r="C523" s="7">
        <f>VLOOKUP(B523,'Run Reconcile'!A$2:B3090,2,FALSE)</f>
        <v>44676</v>
      </c>
      <c r="D523" s="11">
        <f>IFERROR(__xludf.DUMMYFUNCTION("""COMPUTED_VALUE"""),44676.0)</f>
        <v>44676</v>
      </c>
      <c r="E523" s="12">
        <f>IFERROR(__xludf.DUMMYFUNCTION("""COMPUTED_VALUE"""),0.7257870370376622)</f>
        <v>0.725787037</v>
      </c>
      <c r="F523" s="6" t="str">
        <f>IFERROR(__xludf.DUMMYFUNCTION("""COMPUTED_VALUE"""),"Negative")</f>
        <v>Negative</v>
      </c>
      <c r="G523" s="6">
        <f>IFERROR(__xludf.DUMMYFUNCTION("""COMPUTED_VALUE"""),1.0)</f>
        <v>1</v>
      </c>
    </row>
    <row r="524">
      <c r="A524" s="6" t="str">
        <f>IFERROR(__xludf.DUMMYFUNCTION("""COMPUTED_VALUE"""),"FM4096")</f>
        <v>FM4096</v>
      </c>
      <c r="B524" s="6" t="str">
        <f>IFERROR(__xludf.DUMMYFUNCTION("""COMPUTED_VALUE"""),"RUN-COMB_2022-04-25_RFR-028")</f>
        <v>RUN-COMB_2022-04-25_RFR-028</v>
      </c>
      <c r="C524" s="7">
        <f>VLOOKUP(B524,'Run Reconcile'!A$2:B3090,2,FALSE)</f>
        <v>44676</v>
      </c>
      <c r="D524" s="11">
        <f>IFERROR(__xludf.DUMMYFUNCTION("""COMPUTED_VALUE"""),44676.0)</f>
        <v>44676</v>
      </c>
      <c r="E524" s="12">
        <f>IFERROR(__xludf.DUMMYFUNCTION("""COMPUTED_VALUE"""),0.7263078703690553)</f>
        <v>0.7263078704</v>
      </c>
      <c r="F524" s="6" t="str">
        <f>IFERROR(__xludf.DUMMYFUNCTION("""COMPUTED_VALUE"""),"Negative")</f>
        <v>Negative</v>
      </c>
      <c r="G524" s="6">
        <f>IFERROR(__xludf.DUMMYFUNCTION("""COMPUTED_VALUE"""),1.0)</f>
        <v>1</v>
      </c>
    </row>
    <row r="525">
      <c r="A525" s="6" t="str">
        <f>IFERROR(__xludf.DUMMYFUNCTION("""COMPUTED_VALUE"""),"FM4058")</f>
        <v>FM4058</v>
      </c>
      <c r="B525" s="6" t="str">
        <f>IFERROR(__xludf.DUMMYFUNCTION("""COMPUTED_VALUE"""),"RUN-COMB_2022-04-25_RFR-028")</f>
        <v>RUN-COMB_2022-04-25_RFR-028</v>
      </c>
      <c r="C525" s="7">
        <f>VLOOKUP(B525,'Run Reconcile'!A$2:B3090,2,FALSE)</f>
        <v>44676</v>
      </c>
      <c r="D525" s="11">
        <f>IFERROR(__xludf.DUMMYFUNCTION("""COMPUTED_VALUE"""),44676.0)</f>
        <v>44676</v>
      </c>
      <c r="E525" s="12">
        <f>IFERROR(__xludf.DUMMYFUNCTION("""COMPUTED_VALUE"""),0.7267939814810234)</f>
        <v>0.7267939815</v>
      </c>
      <c r="F525" s="6" t="str">
        <f>IFERROR(__xludf.DUMMYFUNCTION("""COMPUTED_VALUE"""),"Negative")</f>
        <v>Negative</v>
      </c>
      <c r="G525" s="6">
        <f>IFERROR(__xludf.DUMMYFUNCTION("""COMPUTED_VALUE"""),1.0)</f>
        <v>1</v>
      </c>
    </row>
    <row r="526">
      <c r="A526" s="6" t="str">
        <f>IFERROR(__xludf.DUMMYFUNCTION("""COMPUTED_VALUE"""),"FM4094")</f>
        <v>FM4094</v>
      </c>
      <c r="B526" s="6" t="str">
        <f>IFERROR(__xludf.DUMMYFUNCTION("""COMPUTED_VALUE"""),"RUN-COMB_2022-04-25_RFR-028")</f>
        <v>RUN-COMB_2022-04-25_RFR-028</v>
      </c>
      <c r="C526" s="7">
        <f>VLOOKUP(B526,'Run Reconcile'!A$2:B3090,2,FALSE)</f>
        <v>44676</v>
      </c>
      <c r="D526" s="11">
        <f>IFERROR(__xludf.DUMMYFUNCTION("""COMPUTED_VALUE"""),44676.0)</f>
        <v>44676</v>
      </c>
      <c r="E526" s="12">
        <f>IFERROR(__xludf.DUMMYFUNCTION("""COMPUTED_VALUE"""),0.7295370370375167)</f>
        <v>0.729537037</v>
      </c>
      <c r="F526" s="6" t="str">
        <f>IFERROR(__xludf.DUMMYFUNCTION("""COMPUTED_VALUE"""),"Negative")</f>
        <v>Negative</v>
      </c>
      <c r="G526" s="6">
        <f>IFERROR(__xludf.DUMMYFUNCTION("""COMPUTED_VALUE"""),1.0)</f>
        <v>1</v>
      </c>
    </row>
    <row r="527">
      <c r="A527" s="6" t="str">
        <f>IFERROR(__xludf.DUMMYFUNCTION("""COMPUTED_VALUE"""),"FM4084")</f>
        <v>FM4084</v>
      </c>
      <c r="B527" s="6" t="str">
        <f>IFERROR(__xludf.DUMMYFUNCTION("""COMPUTED_VALUE"""),"RUN-COMB_2022-04-25_RFR-028")</f>
        <v>RUN-COMB_2022-04-25_RFR-028</v>
      </c>
      <c r="C527" s="7">
        <f>VLOOKUP(B527,'Run Reconcile'!A$2:B3090,2,FALSE)</f>
        <v>44676</v>
      </c>
      <c r="D527" s="11">
        <f>IFERROR(__xludf.DUMMYFUNCTION("""COMPUTED_VALUE"""),44676.0)</f>
        <v>44676</v>
      </c>
      <c r="E527" s="12">
        <f>IFERROR(__xludf.DUMMYFUNCTION("""COMPUTED_VALUE"""),0.7299652777765004)</f>
        <v>0.7299652778</v>
      </c>
      <c r="F527" s="6" t="str">
        <f>IFERROR(__xludf.DUMMYFUNCTION("""COMPUTED_VALUE"""),"Negative")</f>
        <v>Negative</v>
      </c>
      <c r="G527" s="6">
        <f>IFERROR(__xludf.DUMMYFUNCTION("""COMPUTED_VALUE"""),1.0)</f>
        <v>1</v>
      </c>
    </row>
    <row r="528">
      <c r="A528" s="6" t="str">
        <f>IFERROR(__xludf.DUMMYFUNCTION("""COMPUTED_VALUE"""),"FM4105")</f>
        <v>FM4105</v>
      </c>
      <c r="B528" s="6" t="str">
        <f>IFERROR(__xludf.DUMMYFUNCTION("""COMPUTED_VALUE"""),"RUN-COMB_2022-04-26_RFR-030")</f>
        <v>RUN-COMB_2022-04-26_RFR-030</v>
      </c>
      <c r="C528" s="7">
        <f>VLOOKUP(B528,'Run Reconcile'!A$2:B3090,2,FALSE)</f>
        <v>44677</v>
      </c>
      <c r="D528" s="11">
        <f>IFERROR(__xludf.DUMMYFUNCTION("""COMPUTED_VALUE"""),44677.0)</f>
        <v>44677</v>
      </c>
      <c r="E528" s="12">
        <f>IFERROR(__xludf.DUMMYFUNCTION("""COMPUTED_VALUE"""),0.2584027777775191)</f>
        <v>0.2584027778</v>
      </c>
      <c r="F528" s="6" t="str">
        <f>IFERROR(__xludf.DUMMYFUNCTION("""COMPUTED_VALUE"""),"Negative")</f>
        <v>Negative</v>
      </c>
      <c r="G528" s="6">
        <f>IFERROR(__xludf.DUMMYFUNCTION("""COMPUTED_VALUE"""),1.0)</f>
        <v>1</v>
      </c>
    </row>
    <row r="529">
      <c r="A529" s="6" t="str">
        <f>IFERROR(__xludf.DUMMYFUNCTION("""COMPUTED_VALUE"""),"FM4035")</f>
        <v>FM4035</v>
      </c>
      <c r="B529" s="6" t="str">
        <f>IFERROR(__xludf.DUMMYFUNCTION("""COMPUTED_VALUE"""),"RUN-COMB_2022-04-26_RFR-030")</f>
        <v>RUN-COMB_2022-04-26_RFR-030</v>
      </c>
      <c r="C529" s="7">
        <f>VLOOKUP(B529,'Run Reconcile'!A$2:B3090,2,FALSE)</f>
        <v>44677</v>
      </c>
      <c r="D529" s="11">
        <f>IFERROR(__xludf.DUMMYFUNCTION("""COMPUTED_VALUE"""),44677.0)</f>
        <v>44677</v>
      </c>
      <c r="E529" s="12">
        <f>IFERROR(__xludf.DUMMYFUNCTION("""COMPUTED_VALUE"""),0.25892361111255013)</f>
        <v>0.2589236111</v>
      </c>
      <c r="F529" s="6" t="str">
        <f>IFERROR(__xludf.DUMMYFUNCTION("""COMPUTED_VALUE"""),"Negative")</f>
        <v>Negative</v>
      </c>
      <c r="G529" s="6">
        <f>IFERROR(__xludf.DUMMYFUNCTION("""COMPUTED_VALUE"""),1.0)</f>
        <v>1</v>
      </c>
    </row>
    <row r="530">
      <c r="A530" s="6" t="str">
        <f>IFERROR(__xludf.DUMMYFUNCTION("""COMPUTED_VALUE"""),"FM4135")</f>
        <v>FM4135</v>
      </c>
      <c r="B530" s="6" t="str">
        <f>IFERROR(__xludf.DUMMYFUNCTION("""COMPUTED_VALUE"""),"RUN-COMB_2022-04-26_RFR-030")</f>
        <v>RUN-COMB_2022-04-26_RFR-030</v>
      </c>
      <c r="C530" s="7">
        <f>VLOOKUP(B530,'Run Reconcile'!A$2:B3090,2,FALSE)</f>
        <v>44677</v>
      </c>
      <c r="D530" s="11">
        <f>IFERROR(__xludf.DUMMYFUNCTION("""COMPUTED_VALUE"""),44677.0)</f>
        <v>44677</v>
      </c>
      <c r="E530" s="12">
        <f>IFERROR(__xludf.DUMMYFUNCTION("""COMPUTED_VALUE"""),0.2594907407401479)</f>
        <v>0.2594907407</v>
      </c>
      <c r="F530" s="6" t="str">
        <f>IFERROR(__xludf.DUMMYFUNCTION("""COMPUTED_VALUE"""),"Negative")</f>
        <v>Negative</v>
      </c>
      <c r="G530" s="6">
        <f>IFERROR(__xludf.DUMMYFUNCTION("""COMPUTED_VALUE"""),1.0)</f>
        <v>1</v>
      </c>
    </row>
    <row r="531">
      <c r="A531" s="6" t="str">
        <f>IFERROR(__xludf.DUMMYFUNCTION("""COMPUTED_VALUE"""),"FM4138")</f>
        <v>FM4138</v>
      </c>
      <c r="B531" s="6" t="str">
        <f>IFERROR(__xludf.DUMMYFUNCTION("""COMPUTED_VALUE"""),"RUN-COMB_2022-04-26_RFR-030")</f>
        <v>RUN-COMB_2022-04-26_RFR-030</v>
      </c>
      <c r="C531" s="7">
        <f>VLOOKUP(B531,'Run Reconcile'!A$2:B3090,2,FALSE)</f>
        <v>44677</v>
      </c>
      <c r="D531" s="11">
        <f>IFERROR(__xludf.DUMMYFUNCTION("""COMPUTED_VALUE"""),44677.0)</f>
        <v>44677</v>
      </c>
      <c r="E531" s="12">
        <f>IFERROR(__xludf.DUMMYFUNCTION("""COMPUTED_VALUE"""),0.2611574074071541)</f>
        <v>0.2611574074</v>
      </c>
      <c r="F531" s="6" t="str">
        <f>IFERROR(__xludf.DUMMYFUNCTION("""COMPUTED_VALUE"""),"Negative")</f>
        <v>Negative</v>
      </c>
      <c r="G531" s="6">
        <f>IFERROR(__xludf.DUMMYFUNCTION("""COMPUTED_VALUE"""),1.0)</f>
        <v>1</v>
      </c>
    </row>
    <row r="532">
      <c r="A532" s="6" t="str">
        <f>IFERROR(__xludf.DUMMYFUNCTION("""COMPUTED_VALUE"""),"FM4085")</f>
        <v>FM4085</v>
      </c>
      <c r="B532" s="6" t="str">
        <f>IFERROR(__xludf.DUMMYFUNCTION("""COMPUTED_VALUE"""),"RUN-COMB_2022-04-26_RFR-030")</f>
        <v>RUN-COMB_2022-04-26_RFR-030</v>
      </c>
      <c r="C532" s="7">
        <f>VLOOKUP(B532,'Run Reconcile'!A$2:B3090,2,FALSE)</f>
        <v>44677</v>
      </c>
      <c r="D532" s="11">
        <f>IFERROR(__xludf.DUMMYFUNCTION("""COMPUTED_VALUE"""),44677.0)</f>
        <v>44677</v>
      </c>
      <c r="E532" s="12">
        <f>IFERROR(__xludf.DUMMYFUNCTION("""COMPUTED_VALUE"""),0.2615856481497758)</f>
        <v>0.2615856481</v>
      </c>
      <c r="F532" s="6" t="str">
        <f>IFERROR(__xludf.DUMMYFUNCTION("""COMPUTED_VALUE"""),"Negative")</f>
        <v>Negative</v>
      </c>
      <c r="G532" s="6">
        <f>IFERROR(__xludf.DUMMYFUNCTION("""COMPUTED_VALUE"""),1.0)</f>
        <v>1</v>
      </c>
    </row>
    <row r="533">
      <c r="A533" s="6" t="str">
        <f>IFERROR(__xludf.DUMMYFUNCTION("""COMPUTED_VALUE"""),"FM4049")</f>
        <v>FM4049</v>
      </c>
      <c r="B533" s="6" t="str">
        <f>IFERROR(__xludf.DUMMYFUNCTION("""COMPUTED_VALUE"""),"RUN-COMB_2022-04-26_RFR-030")</f>
        <v>RUN-COMB_2022-04-26_RFR-030</v>
      </c>
      <c r="C533" s="7">
        <f>VLOOKUP(B533,'Run Reconcile'!A$2:B3090,2,FALSE)</f>
        <v>44677</v>
      </c>
      <c r="D533" s="11">
        <f>IFERROR(__xludf.DUMMYFUNCTION("""COMPUTED_VALUE"""),44677.0)</f>
        <v>44677</v>
      </c>
      <c r="E533" s="12">
        <f>IFERROR(__xludf.DUMMYFUNCTION("""COMPUTED_VALUE"""),0.26203703703868086)</f>
        <v>0.262037037</v>
      </c>
      <c r="F533" s="6" t="str">
        <f>IFERROR(__xludf.DUMMYFUNCTION("""COMPUTED_VALUE"""),"Negative")</f>
        <v>Negative</v>
      </c>
      <c r="G533" s="6">
        <f>IFERROR(__xludf.DUMMYFUNCTION("""COMPUTED_VALUE"""),1.0)</f>
        <v>1</v>
      </c>
    </row>
    <row r="534">
      <c r="A534" s="6" t="str">
        <f>IFERROR(__xludf.DUMMYFUNCTION("""COMPUTED_VALUE"""),"FM4081")</f>
        <v>FM4081</v>
      </c>
      <c r="B534" s="6" t="str">
        <f>IFERROR(__xludf.DUMMYFUNCTION("""COMPUTED_VALUE"""),"RUN-COMB_2022-04-26_RFR-030")</f>
        <v>RUN-COMB_2022-04-26_RFR-030</v>
      </c>
      <c r="C534" s="7">
        <f>VLOOKUP(B534,'Run Reconcile'!A$2:B3090,2,FALSE)</f>
        <v>44677</v>
      </c>
      <c r="D534" s="11">
        <f>IFERROR(__xludf.DUMMYFUNCTION("""COMPUTED_VALUE"""),44677.0)</f>
        <v>44677</v>
      </c>
      <c r="E534" s="12">
        <f>IFERROR(__xludf.DUMMYFUNCTION("""COMPUTED_VALUE"""),0.2624305555546016)</f>
        <v>0.2624305556</v>
      </c>
      <c r="F534" s="6" t="str">
        <f>IFERROR(__xludf.DUMMYFUNCTION("""COMPUTED_VALUE"""),"Negative")</f>
        <v>Negative</v>
      </c>
      <c r="G534" s="6">
        <f>IFERROR(__xludf.DUMMYFUNCTION("""COMPUTED_VALUE"""),1.0)</f>
        <v>1</v>
      </c>
    </row>
    <row r="535">
      <c r="A535" s="6" t="str">
        <f>IFERROR(__xludf.DUMMYFUNCTION("""COMPUTED_VALUE"""),"FM4134")</f>
        <v>FM4134</v>
      </c>
      <c r="B535" s="6" t="str">
        <f>IFERROR(__xludf.DUMMYFUNCTION("""COMPUTED_VALUE"""),"RUN-COMB_2022-04-26_RFR-030")</f>
        <v>RUN-COMB_2022-04-26_RFR-030</v>
      </c>
      <c r="C535" s="7">
        <f>VLOOKUP(B535,'Run Reconcile'!A$2:B3090,2,FALSE)</f>
        <v>44677</v>
      </c>
      <c r="D535" s="11">
        <f>IFERROR(__xludf.DUMMYFUNCTION("""COMPUTED_VALUE"""),44677.0)</f>
        <v>44677</v>
      </c>
      <c r="E535" s="12">
        <f>IFERROR(__xludf.DUMMYFUNCTION("""COMPUTED_VALUE"""),0.262870370370365)</f>
        <v>0.2628703704</v>
      </c>
      <c r="F535" s="6" t="str">
        <f>IFERROR(__xludf.DUMMYFUNCTION("""COMPUTED_VALUE"""),"Negative")</f>
        <v>Negative</v>
      </c>
      <c r="G535" s="6">
        <f>IFERROR(__xludf.DUMMYFUNCTION("""COMPUTED_VALUE"""),1.0)</f>
        <v>1</v>
      </c>
    </row>
    <row r="536">
      <c r="A536" s="6" t="str">
        <f>IFERROR(__xludf.DUMMYFUNCTION("""COMPUTED_VALUE"""),"FM4026")</f>
        <v>FM4026</v>
      </c>
      <c r="B536" s="6" t="str">
        <f>IFERROR(__xludf.DUMMYFUNCTION("""COMPUTED_VALUE"""),"RUN-COMB_2022-04-26_RFR-030")</f>
        <v>RUN-COMB_2022-04-26_RFR-030</v>
      </c>
      <c r="C536" s="7">
        <f>VLOOKUP(B536,'Run Reconcile'!A$2:B3090,2,FALSE)</f>
        <v>44677</v>
      </c>
      <c r="D536" s="11">
        <f>IFERROR(__xludf.DUMMYFUNCTION("""COMPUTED_VALUE"""),44677.0)</f>
        <v>44677</v>
      </c>
      <c r="E536" s="12">
        <f>IFERROR(__xludf.DUMMYFUNCTION("""COMPUTED_VALUE"""),0.2632638888899237)</f>
        <v>0.2632638889</v>
      </c>
      <c r="F536" s="6" t="str">
        <f>IFERROR(__xludf.DUMMYFUNCTION("""COMPUTED_VALUE"""),"Negative")</f>
        <v>Negative</v>
      </c>
      <c r="G536" s="6">
        <f>IFERROR(__xludf.DUMMYFUNCTION("""COMPUTED_VALUE"""),1.0)</f>
        <v>1</v>
      </c>
    </row>
    <row r="537">
      <c r="A537" s="6" t="str">
        <f>IFERROR(__xludf.DUMMYFUNCTION("""COMPUTED_VALUE"""),"FM4032")</f>
        <v>FM4032</v>
      </c>
      <c r="B537" s="6" t="str">
        <f>IFERROR(__xludf.DUMMYFUNCTION("""COMPUTED_VALUE"""),"RUN-COMB_2022-04-26_RFR-030")</f>
        <v>RUN-COMB_2022-04-26_RFR-030</v>
      </c>
      <c r="C537" s="7">
        <f>VLOOKUP(B537,'Run Reconcile'!A$2:B3090,2,FALSE)</f>
        <v>44677</v>
      </c>
      <c r="D537" s="11">
        <f>IFERROR(__xludf.DUMMYFUNCTION("""COMPUTED_VALUE"""),44677.0)</f>
        <v>44677</v>
      </c>
      <c r="E537" s="12">
        <f>IFERROR(__xludf.DUMMYFUNCTION("""COMPUTED_VALUE"""),0.2636574074058444)</f>
        <v>0.2636574074</v>
      </c>
      <c r="F537" s="6" t="str">
        <f>IFERROR(__xludf.DUMMYFUNCTION("""COMPUTED_VALUE"""),"Negative")</f>
        <v>Negative</v>
      </c>
      <c r="G537" s="6">
        <f>IFERROR(__xludf.DUMMYFUNCTION("""COMPUTED_VALUE"""),1.0)</f>
        <v>1</v>
      </c>
    </row>
    <row r="538">
      <c r="A538" s="6" t="str">
        <f>IFERROR(__xludf.DUMMYFUNCTION("""COMPUTED_VALUE"""),"FM4093")</f>
        <v>FM4093</v>
      </c>
      <c r="B538" s="6" t="str">
        <f>IFERROR(__xludf.DUMMYFUNCTION("""COMPUTED_VALUE"""),"RUN-COMB_2022-04-26_RFR-030")</f>
        <v>RUN-COMB_2022-04-26_RFR-030</v>
      </c>
      <c r="C538" s="7">
        <f>VLOOKUP(B538,'Run Reconcile'!A$2:B3090,2,FALSE)</f>
        <v>44677</v>
      </c>
      <c r="D538" s="11">
        <f>IFERROR(__xludf.DUMMYFUNCTION("""COMPUTED_VALUE"""),44677.0)</f>
        <v>44677</v>
      </c>
      <c r="E538" s="12">
        <f>IFERROR(__xludf.DUMMYFUNCTION("""COMPUTED_VALUE"""),0.26401620370234014)</f>
        <v>0.2640162037</v>
      </c>
      <c r="F538" s="6" t="str">
        <f>IFERROR(__xludf.DUMMYFUNCTION("""COMPUTED_VALUE"""),"Negative")</f>
        <v>Negative</v>
      </c>
      <c r="G538" s="6">
        <f>IFERROR(__xludf.DUMMYFUNCTION("""COMPUTED_VALUE"""),1.0)</f>
        <v>1</v>
      </c>
    </row>
    <row r="539">
      <c r="A539" s="6" t="str">
        <f>IFERROR(__xludf.DUMMYFUNCTION("""COMPUTED_VALUE"""),"FM4106")</f>
        <v>FM4106</v>
      </c>
      <c r="B539" s="6" t="str">
        <f>IFERROR(__xludf.DUMMYFUNCTION("""COMPUTED_VALUE"""),"RUN-COMB_2022-04-26_RFR-030")</f>
        <v>RUN-COMB_2022-04-26_RFR-030</v>
      </c>
      <c r="C539" s="7">
        <f>VLOOKUP(B539,'Run Reconcile'!A$2:B3090,2,FALSE)</f>
        <v>44677</v>
      </c>
      <c r="D539" s="11">
        <f>IFERROR(__xludf.DUMMYFUNCTION("""COMPUTED_VALUE"""),44677.0)</f>
        <v>44677</v>
      </c>
      <c r="E539" s="12">
        <f>IFERROR(__xludf.DUMMYFUNCTION("""COMPUTED_VALUE"""),0.2663078703699284)</f>
        <v>0.2663078704</v>
      </c>
      <c r="F539" s="6" t="str">
        <f>IFERROR(__xludf.DUMMYFUNCTION("""COMPUTED_VALUE"""),"Negative")</f>
        <v>Negative</v>
      </c>
      <c r="G539" s="6">
        <f>IFERROR(__xludf.DUMMYFUNCTION("""COMPUTED_VALUE"""),1.0)</f>
        <v>1</v>
      </c>
    </row>
    <row r="540">
      <c r="A540" s="6" t="str">
        <f>IFERROR(__xludf.DUMMYFUNCTION("""COMPUTED_VALUE"""),"FM4092")</f>
        <v>FM4092</v>
      </c>
      <c r="B540" s="6" t="str">
        <f>IFERROR(__xludf.DUMMYFUNCTION("""COMPUTED_VALUE"""),"RUN-COMB_2022-04-26_RFR-030")</f>
        <v>RUN-COMB_2022-04-26_RFR-030</v>
      </c>
      <c r="C540" s="7">
        <f>VLOOKUP(B540,'Run Reconcile'!A$2:B3090,2,FALSE)</f>
        <v>44677</v>
      </c>
      <c r="D540" s="11">
        <f>IFERROR(__xludf.DUMMYFUNCTION("""COMPUTED_VALUE"""),44677.0)</f>
        <v>44677</v>
      </c>
      <c r="E540" s="12">
        <f>IFERROR(__xludf.DUMMYFUNCTION("""COMPUTED_VALUE"""),0.3240972222229175)</f>
        <v>0.3240972222</v>
      </c>
      <c r="F540" s="6" t="str">
        <f>IFERROR(__xludf.DUMMYFUNCTION("""COMPUTED_VALUE"""),"Negative")</f>
        <v>Negative</v>
      </c>
      <c r="G540" s="6">
        <f>IFERROR(__xludf.DUMMYFUNCTION("""COMPUTED_VALUE"""),1.0)</f>
        <v>1</v>
      </c>
    </row>
    <row r="541">
      <c r="A541" s="6" t="str">
        <f>IFERROR(__xludf.DUMMYFUNCTION("""COMPUTED_VALUE"""),"FM4129")</f>
        <v>FM4129</v>
      </c>
      <c r="B541" s="6" t="str">
        <f>IFERROR(__xludf.DUMMYFUNCTION("""COMPUTED_VALUE"""),"RUN-COMB_2022-04-27_RFR-031")</f>
        <v>RUN-COMB_2022-04-27_RFR-031</v>
      </c>
      <c r="C541" s="7">
        <f>VLOOKUP(B541,'Run Reconcile'!A$2:B3090,2,FALSE)</f>
        <v>44678</v>
      </c>
      <c r="D541" s="11">
        <f>IFERROR(__xludf.DUMMYFUNCTION("""COMPUTED_VALUE"""),44678.0)</f>
        <v>44678</v>
      </c>
      <c r="E541" s="12">
        <f>IFERROR(__xludf.DUMMYFUNCTION("""COMPUTED_VALUE"""),0.2767361111109494)</f>
        <v>0.2767361111</v>
      </c>
      <c r="F541" s="6" t="str">
        <f>IFERROR(__xludf.DUMMYFUNCTION("""COMPUTED_VALUE"""),"Negative")</f>
        <v>Negative</v>
      </c>
      <c r="G541" s="6">
        <f>IFERROR(__xludf.DUMMYFUNCTION("""COMPUTED_VALUE"""),1.0)</f>
        <v>1</v>
      </c>
    </row>
    <row r="542">
      <c r="A542" s="6" t="str">
        <f>IFERROR(__xludf.DUMMYFUNCTION("""COMPUTED_VALUE"""),"FM4046")</f>
        <v>FM4046</v>
      </c>
      <c r="B542" s="6" t="str">
        <f>IFERROR(__xludf.DUMMYFUNCTION("""COMPUTED_VALUE"""),"RUN-COMB_2022-04-27_RFR-031")</f>
        <v>RUN-COMB_2022-04-27_RFR-031</v>
      </c>
      <c r="C542" s="7">
        <f>VLOOKUP(B542,'Run Reconcile'!A$2:B3090,2,FALSE)</f>
        <v>44678</v>
      </c>
      <c r="D542" s="11">
        <f>IFERROR(__xludf.DUMMYFUNCTION("""COMPUTED_VALUE"""),44678.0)</f>
        <v>44678</v>
      </c>
      <c r="E542" s="12">
        <f>IFERROR(__xludf.DUMMYFUNCTION("""COMPUTED_VALUE"""),0.2771759259267128)</f>
        <v>0.2771759259</v>
      </c>
      <c r="F542" s="6" t="str">
        <f>IFERROR(__xludf.DUMMYFUNCTION("""COMPUTED_VALUE"""),"Negative")</f>
        <v>Negative</v>
      </c>
      <c r="G542" s="6">
        <f>IFERROR(__xludf.DUMMYFUNCTION("""COMPUTED_VALUE"""),1.0)</f>
        <v>1</v>
      </c>
    </row>
    <row r="543">
      <c r="A543" s="6" t="str">
        <f>IFERROR(__xludf.DUMMYFUNCTION("""COMPUTED_VALUE"""),"FM4126")</f>
        <v>FM4126</v>
      </c>
      <c r="B543" s="6" t="str">
        <f>IFERROR(__xludf.DUMMYFUNCTION("""COMPUTED_VALUE"""),"RUN-COMB_2022-04-27_RFR-031")</f>
        <v>RUN-COMB_2022-04-27_RFR-031</v>
      </c>
      <c r="C543" s="7">
        <f>VLOOKUP(B543,'Run Reconcile'!A$2:B3090,2,FALSE)</f>
        <v>44678</v>
      </c>
      <c r="D543" s="11">
        <f>IFERROR(__xludf.DUMMYFUNCTION("""COMPUTED_VALUE"""),44678.0)</f>
        <v>44678</v>
      </c>
      <c r="E543" s="12">
        <f>IFERROR(__xludf.DUMMYFUNCTION("""COMPUTED_VALUE"""),0.27763888888875954)</f>
        <v>0.2776388889</v>
      </c>
      <c r="F543" s="6" t="str">
        <f>IFERROR(__xludf.DUMMYFUNCTION("""COMPUTED_VALUE"""),"Negative")</f>
        <v>Negative</v>
      </c>
      <c r="G543" s="6">
        <f>IFERROR(__xludf.DUMMYFUNCTION("""COMPUTED_VALUE"""),1.0)</f>
        <v>1</v>
      </c>
    </row>
    <row r="544">
      <c r="A544" s="6" t="str">
        <f>IFERROR(__xludf.DUMMYFUNCTION("""COMPUTED_VALUE"""),"FM4028")</f>
        <v>FM4028</v>
      </c>
      <c r="B544" s="6" t="str">
        <f>IFERROR(__xludf.DUMMYFUNCTION("""COMPUTED_VALUE"""),"RUN-COMB_2022-04-27_RFR-031")</f>
        <v>RUN-COMB_2022-04-27_RFR-031</v>
      </c>
      <c r="C544" s="7">
        <f>VLOOKUP(B544,'Run Reconcile'!A$2:B3090,2,FALSE)</f>
        <v>44678</v>
      </c>
      <c r="D544" s="11">
        <f>IFERROR(__xludf.DUMMYFUNCTION("""COMPUTED_VALUE"""),44678.0)</f>
        <v>44678</v>
      </c>
      <c r="E544" s="12">
        <f>IFERROR(__xludf.DUMMYFUNCTION("""COMPUTED_VALUE"""),0.27806712963138125)</f>
        <v>0.2780671296</v>
      </c>
      <c r="F544" s="6" t="str">
        <f>IFERROR(__xludf.DUMMYFUNCTION("""COMPUTED_VALUE"""),"Negative")</f>
        <v>Negative</v>
      </c>
      <c r="G544" s="6">
        <f>IFERROR(__xludf.DUMMYFUNCTION("""COMPUTED_VALUE"""),1.0)</f>
        <v>1</v>
      </c>
    </row>
    <row r="545">
      <c r="A545" s="6" t="str">
        <f>IFERROR(__xludf.DUMMYFUNCTION("""COMPUTED_VALUE"""),"FM4115")</f>
        <v>FM4115</v>
      </c>
      <c r="B545" s="6" t="str">
        <f>IFERROR(__xludf.DUMMYFUNCTION("""COMPUTED_VALUE"""),"RUN-COMB_2022-04-27_RFR-031")</f>
        <v>RUN-COMB_2022-04-27_RFR-031</v>
      </c>
      <c r="C545" s="7">
        <f>VLOOKUP(B545,'Run Reconcile'!A$2:B3090,2,FALSE)</f>
        <v>44678</v>
      </c>
      <c r="D545" s="11">
        <f>IFERROR(__xludf.DUMMYFUNCTION("""COMPUTED_VALUE"""),44678.0)</f>
        <v>44678</v>
      </c>
      <c r="E545" s="12">
        <f>IFERROR(__xludf.DUMMYFUNCTION("""COMPUTED_VALUE"""),0.27847222222044365)</f>
        <v>0.2784722222</v>
      </c>
      <c r="F545" s="6" t="str">
        <f>IFERROR(__xludf.DUMMYFUNCTION("""COMPUTED_VALUE"""),"Negative")</f>
        <v>Negative</v>
      </c>
      <c r="G545" s="6">
        <f>IFERROR(__xludf.DUMMYFUNCTION("""COMPUTED_VALUE"""),1.0)</f>
        <v>1</v>
      </c>
    </row>
    <row r="546">
      <c r="A546" s="6" t="str">
        <f>IFERROR(__xludf.DUMMYFUNCTION("""COMPUTED_VALUE"""),"FM4036")</f>
        <v>FM4036</v>
      </c>
      <c r="B546" s="6" t="str">
        <f>IFERROR(__xludf.DUMMYFUNCTION("""COMPUTED_VALUE"""),"RUN-COMB_2022-04-27_RFR-031")</f>
        <v>RUN-COMB_2022-04-27_RFR-031</v>
      </c>
      <c r="C546" s="7">
        <f>VLOOKUP(B546,'Run Reconcile'!A$2:B3090,2,FALSE)</f>
        <v>44678</v>
      </c>
      <c r="D546" s="11">
        <f>IFERROR(__xludf.DUMMYFUNCTION("""COMPUTED_VALUE"""),44678.0)</f>
        <v>44678</v>
      </c>
      <c r="E546" s="12">
        <f>IFERROR(__xludf.DUMMYFUNCTION("""COMPUTED_VALUE"""),0.28097222222277196)</f>
        <v>0.2809722222</v>
      </c>
      <c r="F546" s="6" t="str">
        <f>IFERROR(__xludf.DUMMYFUNCTION("""COMPUTED_VALUE"""),"Negative")</f>
        <v>Negative</v>
      </c>
      <c r="G546" s="6">
        <f>IFERROR(__xludf.DUMMYFUNCTION("""COMPUTED_VALUE"""),1.0)</f>
        <v>1</v>
      </c>
    </row>
    <row r="547">
      <c r="A547" s="6" t="str">
        <f>IFERROR(__xludf.DUMMYFUNCTION("""COMPUTED_VALUE"""),"FM4086")</f>
        <v>FM4086</v>
      </c>
      <c r="B547" s="6" t="str">
        <f>IFERROR(__xludf.DUMMYFUNCTION("""COMPUTED_VALUE"""),"RUN-COMB_2022-04-27_RFR-031")</f>
        <v>RUN-COMB_2022-04-27_RFR-031</v>
      </c>
      <c r="C547" s="7">
        <f>VLOOKUP(B547,'Run Reconcile'!A$2:B3090,2,FALSE)</f>
        <v>44678</v>
      </c>
      <c r="D547" s="11">
        <f>IFERROR(__xludf.DUMMYFUNCTION("""COMPUTED_VALUE"""),44678.0)</f>
        <v>44678</v>
      </c>
      <c r="E547" s="12">
        <f>IFERROR(__xludf.DUMMYFUNCTION("""COMPUTED_VALUE"""),0.2814004629617557)</f>
        <v>0.281400463</v>
      </c>
      <c r="F547" s="6" t="str">
        <f>IFERROR(__xludf.DUMMYFUNCTION("""COMPUTED_VALUE"""),"Negative")</f>
        <v>Negative</v>
      </c>
      <c r="G547" s="6">
        <f>IFERROR(__xludf.DUMMYFUNCTION("""COMPUTED_VALUE"""),1.0)</f>
        <v>1</v>
      </c>
    </row>
    <row r="548">
      <c r="A548" s="6" t="str">
        <f>IFERROR(__xludf.DUMMYFUNCTION("""COMPUTED_VALUE"""),"FM4059")</f>
        <v>FM4059</v>
      </c>
      <c r="B548" s="6" t="str">
        <f>IFERROR(__xludf.DUMMYFUNCTION("""COMPUTED_VALUE"""),"RUN-COMB_2022-04-27_RFR-031")</f>
        <v>RUN-COMB_2022-04-27_RFR-031</v>
      </c>
      <c r="C548" s="7">
        <f>VLOOKUP(B548,'Run Reconcile'!A$2:B3090,2,FALSE)</f>
        <v>44678</v>
      </c>
      <c r="D548" s="11">
        <f>IFERROR(__xludf.DUMMYFUNCTION("""COMPUTED_VALUE"""),44678.0)</f>
        <v>44678</v>
      </c>
      <c r="E548" s="12">
        <f>IFERROR(__xludf.DUMMYFUNCTION("""COMPUTED_VALUE"""),0.2819097222236451)</f>
        <v>0.2819097222</v>
      </c>
      <c r="F548" s="6" t="str">
        <f>IFERROR(__xludf.DUMMYFUNCTION("""COMPUTED_VALUE"""),"Negative")</f>
        <v>Negative</v>
      </c>
      <c r="G548" s="6">
        <f>IFERROR(__xludf.DUMMYFUNCTION("""COMPUTED_VALUE"""),1.0)</f>
        <v>1</v>
      </c>
    </row>
    <row r="549">
      <c r="A549" s="6" t="str">
        <f>IFERROR(__xludf.DUMMYFUNCTION("""COMPUTED_VALUE"""),"FM4042")</f>
        <v>FM4042</v>
      </c>
      <c r="B549" s="6" t="str">
        <f>IFERROR(__xludf.DUMMYFUNCTION("""COMPUTED_VALUE"""),"RUN-COMB_2022-04-27_RFR-031")</f>
        <v>RUN-COMB_2022-04-27_RFR-031</v>
      </c>
      <c r="C549" s="7">
        <f>VLOOKUP(B549,'Run Reconcile'!A$2:B3090,2,FALSE)</f>
        <v>44678</v>
      </c>
      <c r="D549" s="11">
        <f>IFERROR(__xludf.DUMMYFUNCTION("""COMPUTED_VALUE"""),44678.0)</f>
        <v>44678</v>
      </c>
      <c r="E549" s="12">
        <f>IFERROR(__xludf.DUMMYFUNCTION("""COMPUTED_VALUE"""),0.28236111111255013)</f>
        <v>0.2823611111</v>
      </c>
      <c r="F549" s="6" t="str">
        <f>IFERROR(__xludf.DUMMYFUNCTION("""COMPUTED_VALUE"""),"Negative")</f>
        <v>Negative</v>
      </c>
      <c r="G549" s="6">
        <f>IFERROR(__xludf.DUMMYFUNCTION("""COMPUTED_VALUE"""),1.0)</f>
        <v>1</v>
      </c>
    </row>
    <row r="550">
      <c r="A550" s="6" t="str">
        <f>IFERROR(__xludf.DUMMYFUNCTION("""COMPUTED_VALUE"""),"FM4033")</f>
        <v>FM4033</v>
      </c>
      <c r="B550" s="6" t="str">
        <f>IFERROR(__xludf.DUMMYFUNCTION("""COMPUTED_VALUE"""),"RUN-COMB_2022-04-27_RFR-031")</f>
        <v>RUN-COMB_2022-04-27_RFR-031</v>
      </c>
      <c r="C550" s="7">
        <f>VLOOKUP(B550,'Run Reconcile'!A$2:B3090,2,FALSE)</f>
        <v>44678</v>
      </c>
      <c r="D550" s="11">
        <f>IFERROR(__xludf.DUMMYFUNCTION("""COMPUTED_VALUE"""),44678.0)</f>
        <v>44678</v>
      </c>
      <c r="E550" s="12">
        <f>IFERROR(__xludf.DUMMYFUNCTION("""COMPUTED_VALUE"""),0.28322916666729725)</f>
        <v>0.2832291667</v>
      </c>
      <c r="F550" s="6" t="str">
        <f>IFERROR(__xludf.DUMMYFUNCTION("""COMPUTED_VALUE"""),"Negative")</f>
        <v>Negative</v>
      </c>
      <c r="G550" s="6">
        <f>IFERROR(__xludf.DUMMYFUNCTION("""COMPUTED_VALUE"""),1.0)</f>
        <v>1</v>
      </c>
    </row>
    <row r="551">
      <c r="A551" s="6" t="str">
        <f>IFERROR(__xludf.DUMMYFUNCTION("""COMPUTED_VALUE"""),"FM4128")</f>
        <v>FM4128</v>
      </c>
      <c r="B551" s="6" t="str">
        <f>IFERROR(__xludf.DUMMYFUNCTION("""COMPUTED_VALUE"""),"RUN-COMB_2022-04-27_RFR-031")</f>
        <v>RUN-COMB_2022-04-27_RFR-031</v>
      </c>
      <c r="C551" s="7">
        <f>VLOOKUP(B551,'Run Reconcile'!A$2:B3090,2,FALSE)</f>
        <v>44678</v>
      </c>
      <c r="D551" s="11">
        <f>IFERROR(__xludf.DUMMYFUNCTION("""COMPUTED_VALUE"""),44678.0)</f>
        <v>44678</v>
      </c>
      <c r="E551" s="12">
        <f>IFERROR(__xludf.DUMMYFUNCTION("""COMPUTED_VALUE"""),0.283726851852407)</f>
        <v>0.2837268519</v>
      </c>
      <c r="F551" s="6" t="str">
        <f>IFERROR(__xludf.DUMMYFUNCTION("""COMPUTED_VALUE"""),"Negative")</f>
        <v>Negative</v>
      </c>
      <c r="G551" s="6">
        <f>IFERROR(__xludf.DUMMYFUNCTION("""COMPUTED_VALUE"""),1.0)</f>
        <v>1</v>
      </c>
    </row>
    <row r="552">
      <c r="A552" s="6" t="str">
        <f>IFERROR(__xludf.DUMMYFUNCTION("""COMPUTED_VALUE"""),"FM4136")</f>
        <v>FM4136</v>
      </c>
      <c r="B552" s="6" t="str">
        <f>IFERROR(__xludf.DUMMYFUNCTION("""COMPUTED_VALUE"""),"RUN-COMB_2022-04-27_RFR-031")</f>
        <v>RUN-COMB_2022-04-27_RFR-031</v>
      </c>
      <c r="C552" s="7">
        <f>VLOOKUP(B552,'Run Reconcile'!A$2:B3090,2,FALSE)</f>
        <v>44678</v>
      </c>
      <c r="D552" s="11">
        <f>IFERROR(__xludf.DUMMYFUNCTION("""COMPUTED_VALUE"""),44678.0)</f>
        <v>44678</v>
      </c>
      <c r="E552" s="12">
        <f>IFERROR(__xludf.DUMMYFUNCTION("""COMPUTED_VALUE"""),0.2847800925919728)</f>
        <v>0.2847800926</v>
      </c>
      <c r="F552" s="6" t="str">
        <f>IFERROR(__xludf.DUMMYFUNCTION("""COMPUTED_VALUE"""),"Negative")</f>
        <v>Negative</v>
      </c>
      <c r="G552" s="6">
        <f>IFERROR(__xludf.DUMMYFUNCTION("""COMPUTED_VALUE"""),1.0)</f>
        <v>1</v>
      </c>
    </row>
    <row r="553">
      <c r="A553" s="6" t="str">
        <f>IFERROR(__xludf.DUMMYFUNCTION("""COMPUTED_VALUE"""),"FM4131")</f>
        <v>FM4131</v>
      </c>
      <c r="B553" s="6" t="str">
        <f>IFERROR(__xludf.DUMMYFUNCTION("""COMPUTED_VALUE"""),"RUN-COMB_2022-04-27_RFR-031")</f>
        <v>RUN-COMB_2022-04-27_RFR-031</v>
      </c>
      <c r="C553" s="7">
        <f>VLOOKUP(B553,'Run Reconcile'!A$2:B3090,2,FALSE)</f>
        <v>44678</v>
      </c>
      <c r="D553" s="11">
        <f>IFERROR(__xludf.DUMMYFUNCTION("""COMPUTED_VALUE"""),44678.0)</f>
        <v>44678</v>
      </c>
      <c r="E553" s="12">
        <f>IFERROR(__xludf.DUMMYFUNCTION("""COMPUTED_VALUE"""),0.2853240740732872)</f>
        <v>0.2853240741</v>
      </c>
      <c r="F553" s="6" t="str">
        <f>IFERROR(__xludf.DUMMYFUNCTION("""COMPUTED_VALUE"""),"Negative")</f>
        <v>Negative</v>
      </c>
      <c r="G553" s="6">
        <f>IFERROR(__xludf.DUMMYFUNCTION("""COMPUTED_VALUE"""),1.0)</f>
        <v>1</v>
      </c>
    </row>
    <row r="554">
      <c r="A554" s="6" t="str">
        <f>IFERROR(__xludf.DUMMYFUNCTION("""COMPUTED_VALUE"""),"FM4228")</f>
        <v>FM4228</v>
      </c>
      <c r="B554" s="6" t="str">
        <f>IFERROR(__xludf.DUMMYFUNCTION("""COMPUTED_VALUE"""),"RUN-COMB_2022-04-27_RFR-031")</f>
        <v>RUN-COMB_2022-04-27_RFR-031</v>
      </c>
      <c r="C554" s="7">
        <f>VLOOKUP(B554,'Run Reconcile'!A$2:B3090,2,FALSE)</f>
        <v>44678</v>
      </c>
      <c r="D554" s="11">
        <f>IFERROR(__xludf.DUMMYFUNCTION("""COMPUTED_VALUE"""),44678.0)</f>
        <v>44678</v>
      </c>
      <c r="E554" s="12">
        <f>IFERROR(__xludf.DUMMYFUNCTION("""COMPUTED_VALUE"""),0.28594907407386927)</f>
        <v>0.2859490741</v>
      </c>
      <c r="F554" s="6" t="str">
        <f>IFERROR(__xludf.DUMMYFUNCTION("""COMPUTED_VALUE"""),"Negative")</f>
        <v>Negative</v>
      </c>
      <c r="G554" s="6">
        <f>IFERROR(__xludf.DUMMYFUNCTION("""COMPUTED_VALUE"""),1.0)</f>
        <v>1</v>
      </c>
    </row>
    <row r="555">
      <c r="A555" s="6" t="str">
        <f>IFERROR(__xludf.DUMMYFUNCTION("""COMPUTED_VALUE"""),"FM4164")</f>
        <v>FM4164</v>
      </c>
      <c r="B555" s="6" t="str">
        <f>IFERROR(__xludf.DUMMYFUNCTION("""COMPUTED_VALUE"""),"RUN-COMB_2022-04-27_RFR-031")</f>
        <v>RUN-COMB_2022-04-27_RFR-031</v>
      </c>
      <c r="C555" s="7">
        <f>VLOOKUP(B555,'Run Reconcile'!A$2:B3090,2,FALSE)</f>
        <v>44678</v>
      </c>
      <c r="D555" s="11">
        <f>IFERROR(__xludf.DUMMYFUNCTION("""COMPUTED_VALUE"""),44678.0)</f>
        <v>44678</v>
      </c>
      <c r="E555" s="12">
        <f>IFERROR(__xludf.DUMMYFUNCTION("""COMPUTED_VALUE"""),0.28748842592540313)</f>
        <v>0.2874884259</v>
      </c>
      <c r="F555" s="6" t="str">
        <f>IFERROR(__xludf.DUMMYFUNCTION("""COMPUTED_VALUE"""),"Negative")</f>
        <v>Negative</v>
      </c>
      <c r="G555" s="6">
        <f>IFERROR(__xludf.DUMMYFUNCTION("""COMPUTED_VALUE"""),1.0)</f>
        <v>1</v>
      </c>
    </row>
    <row r="556">
      <c r="A556" s="6" t="str">
        <f>IFERROR(__xludf.DUMMYFUNCTION("""COMPUTED_VALUE"""),"FM4220")</f>
        <v>FM4220</v>
      </c>
      <c r="B556" s="6" t="str">
        <f>IFERROR(__xludf.DUMMYFUNCTION("""COMPUTED_VALUE"""),"RUN-COMB_2022-04-28_RFR-032")</f>
        <v>RUN-COMB_2022-04-28_RFR-032</v>
      </c>
      <c r="C556" s="7">
        <f>VLOOKUP(B556,'Run Reconcile'!A$2:B3090,2,FALSE)</f>
        <v>44679</v>
      </c>
      <c r="D556" s="11">
        <f>IFERROR(__xludf.DUMMYFUNCTION("""COMPUTED_VALUE"""),44679.0)</f>
        <v>44679</v>
      </c>
      <c r="E556" s="12">
        <f>IFERROR(__xludf.DUMMYFUNCTION("""COMPUTED_VALUE"""),0.2616550925922638)</f>
        <v>0.2616550926</v>
      </c>
      <c r="F556" s="6" t="str">
        <f>IFERROR(__xludf.DUMMYFUNCTION("""COMPUTED_VALUE"""),"Negative")</f>
        <v>Negative</v>
      </c>
      <c r="G556" s="6">
        <f>IFERROR(__xludf.DUMMYFUNCTION("""COMPUTED_VALUE"""),1.0)</f>
        <v>1</v>
      </c>
    </row>
    <row r="557">
      <c r="A557" s="6" t="str">
        <f>IFERROR(__xludf.DUMMYFUNCTION("""COMPUTED_VALUE"""),"FM4176")</f>
        <v>FM4176</v>
      </c>
      <c r="B557" s="6" t="str">
        <f>IFERROR(__xludf.DUMMYFUNCTION("""COMPUTED_VALUE"""),"RUN-COMB_2022-04-28_RFR-032")</f>
        <v>RUN-COMB_2022-04-28_RFR-032</v>
      </c>
      <c r="C557" s="7">
        <f>VLOOKUP(B557,'Run Reconcile'!A$2:B3090,2,FALSE)</f>
        <v>44679</v>
      </c>
      <c r="D557" s="11">
        <f>IFERROR(__xludf.DUMMYFUNCTION("""COMPUTED_VALUE"""),44679.0)</f>
        <v>44679</v>
      </c>
      <c r="E557" s="12">
        <f>IFERROR(__xludf.DUMMYFUNCTION("""COMPUTED_VALUE"""),0.2621412037042319)</f>
        <v>0.2621412037</v>
      </c>
      <c r="F557" s="6" t="str">
        <f>IFERROR(__xludf.DUMMYFUNCTION("""COMPUTED_VALUE"""),"Negative")</f>
        <v>Negative</v>
      </c>
      <c r="G557" s="6">
        <f>IFERROR(__xludf.DUMMYFUNCTION("""COMPUTED_VALUE"""),1.0)</f>
        <v>1</v>
      </c>
    </row>
    <row r="558">
      <c r="A558" s="6" t="str">
        <f>IFERROR(__xludf.DUMMYFUNCTION("""COMPUTED_VALUE"""),"FM4186")</f>
        <v>FM4186</v>
      </c>
      <c r="B558" s="6" t="str">
        <f>IFERROR(__xludf.DUMMYFUNCTION("""COMPUTED_VALUE"""),"RUN-COMB_2022-04-28_RFR-032")</f>
        <v>RUN-COMB_2022-04-28_RFR-032</v>
      </c>
      <c r="C558" s="7">
        <f>VLOOKUP(B558,'Run Reconcile'!A$2:B3090,2,FALSE)</f>
        <v>44679</v>
      </c>
      <c r="D558" s="11">
        <f>IFERROR(__xludf.DUMMYFUNCTION("""COMPUTED_VALUE"""),44679.0)</f>
        <v>44679</v>
      </c>
      <c r="E558" s="12">
        <f>IFERROR(__xludf.DUMMYFUNCTION("""COMPUTED_VALUE"""),0.2625000000007276)</f>
        <v>0.2625</v>
      </c>
      <c r="F558" s="6" t="str">
        <f>IFERROR(__xludf.DUMMYFUNCTION("""COMPUTED_VALUE"""),"Negative")</f>
        <v>Negative</v>
      </c>
      <c r="G558" s="6">
        <f>IFERROR(__xludf.DUMMYFUNCTION("""COMPUTED_VALUE"""),1.0)</f>
        <v>1</v>
      </c>
    </row>
    <row r="559">
      <c r="A559" s="6" t="str">
        <f>IFERROR(__xludf.DUMMYFUNCTION("""COMPUTED_VALUE"""),"FM4151")</f>
        <v>FM4151</v>
      </c>
      <c r="B559" s="6" t="str">
        <f>IFERROR(__xludf.DUMMYFUNCTION("""COMPUTED_VALUE"""),"RUN-COMB_2022-04-28_RFR-032")</f>
        <v>RUN-COMB_2022-04-28_RFR-032</v>
      </c>
      <c r="C559" s="7">
        <f>VLOOKUP(B559,'Run Reconcile'!A$2:B3090,2,FALSE)</f>
        <v>44679</v>
      </c>
      <c r="D559" s="11">
        <f>IFERROR(__xludf.DUMMYFUNCTION("""COMPUTED_VALUE"""),44679.0)</f>
        <v>44679</v>
      </c>
      <c r="E559" s="12">
        <f>IFERROR(__xludf.DUMMYFUNCTION("""COMPUTED_VALUE"""),0.26298611111269565)</f>
        <v>0.2629861111</v>
      </c>
      <c r="F559" s="6" t="str">
        <f>IFERROR(__xludf.DUMMYFUNCTION("""COMPUTED_VALUE"""),"Negative")</f>
        <v>Negative</v>
      </c>
      <c r="G559" s="6">
        <f>IFERROR(__xludf.DUMMYFUNCTION("""COMPUTED_VALUE"""),1.0)</f>
        <v>1</v>
      </c>
    </row>
    <row r="560">
      <c r="A560" s="6" t="str">
        <f>IFERROR(__xludf.DUMMYFUNCTION("""COMPUTED_VALUE"""),"FM4159")</f>
        <v>FM4159</v>
      </c>
      <c r="B560" s="6" t="str">
        <f>IFERROR(__xludf.DUMMYFUNCTION("""COMPUTED_VALUE"""),"RUN-COMB_2022-04-28_RFR-032")</f>
        <v>RUN-COMB_2022-04-28_RFR-032</v>
      </c>
      <c r="C560" s="7">
        <f>VLOOKUP(B560,'Run Reconcile'!A$2:B3090,2,FALSE)</f>
        <v>44679</v>
      </c>
      <c r="D560" s="11">
        <f>IFERROR(__xludf.DUMMYFUNCTION("""COMPUTED_VALUE"""),44679.0)</f>
        <v>44679</v>
      </c>
      <c r="E560" s="12">
        <f>IFERROR(__xludf.DUMMYFUNCTION("""COMPUTED_VALUE"""),0.26756944444423425)</f>
        <v>0.2675694444</v>
      </c>
      <c r="F560" s="6" t="str">
        <f>IFERROR(__xludf.DUMMYFUNCTION("""COMPUTED_VALUE"""),"Negative")</f>
        <v>Negative</v>
      </c>
      <c r="G560" s="6">
        <f>IFERROR(__xludf.DUMMYFUNCTION("""COMPUTED_VALUE"""),1.0)</f>
        <v>1</v>
      </c>
    </row>
    <row r="561">
      <c r="A561" s="6" t="str">
        <f>IFERROR(__xludf.DUMMYFUNCTION("""COMPUTED_VALUE"""),"FM4214")</f>
        <v>FM4214</v>
      </c>
      <c r="B561" s="6" t="str">
        <f>IFERROR(__xludf.DUMMYFUNCTION("""COMPUTED_VALUE"""),"RUN-COMB_2022-04-28_RFR-032")</f>
        <v>RUN-COMB_2022-04-28_RFR-032</v>
      </c>
      <c r="C561" s="7">
        <f>VLOOKUP(B561,'Run Reconcile'!A$2:B3090,2,FALSE)</f>
        <v>44679</v>
      </c>
      <c r="D561" s="11">
        <f>IFERROR(__xludf.DUMMYFUNCTION("""COMPUTED_VALUE"""),44679.0)</f>
        <v>44679</v>
      </c>
      <c r="E561" s="12">
        <f>IFERROR(__xludf.DUMMYFUNCTION("""COMPUTED_VALUE"""),0.26813657407547)</f>
        <v>0.2681365741</v>
      </c>
      <c r="F561" s="6" t="str">
        <f>IFERROR(__xludf.DUMMYFUNCTION("""COMPUTED_VALUE"""),"Negative")</f>
        <v>Negative</v>
      </c>
      <c r="G561" s="6">
        <f>IFERROR(__xludf.DUMMYFUNCTION("""COMPUTED_VALUE"""),1.0)</f>
        <v>1</v>
      </c>
    </row>
    <row r="562">
      <c r="A562" s="6" t="str">
        <f>IFERROR(__xludf.DUMMYFUNCTION("""COMPUTED_VALUE"""),"FM4165")</f>
        <v>FM4165</v>
      </c>
      <c r="B562" s="6" t="str">
        <f>IFERROR(__xludf.DUMMYFUNCTION("""COMPUTED_VALUE"""),"RUN-COMB_2022-04-28_RFR-032")</f>
        <v>RUN-COMB_2022-04-28_RFR-032</v>
      </c>
      <c r="C562" s="7">
        <f>VLOOKUP(B562,'Run Reconcile'!A$2:B3090,2,FALSE)</f>
        <v>44679</v>
      </c>
      <c r="D562" s="11">
        <f>IFERROR(__xludf.DUMMYFUNCTION("""COMPUTED_VALUE"""),44679.0)</f>
        <v>44679</v>
      </c>
      <c r="E562" s="12">
        <f>IFERROR(__xludf.DUMMYFUNCTION("""COMPUTED_VALUE"""),0.2684953703719657)</f>
        <v>0.2684953704</v>
      </c>
      <c r="F562" s="6" t="str">
        <f>IFERROR(__xludf.DUMMYFUNCTION("""COMPUTED_VALUE"""),"Negative")</f>
        <v>Negative</v>
      </c>
      <c r="G562" s="6">
        <f>IFERROR(__xludf.DUMMYFUNCTION("""COMPUTED_VALUE"""),1.0)</f>
        <v>1</v>
      </c>
    </row>
    <row r="563">
      <c r="A563" s="6" t="str">
        <f>IFERROR(__xludf.DUMMYFUNCTION("""COMPUTED_VALUE"""),"FM4143")</f>
        <v>FM4143</v>
      </c>
      <c r="B563" s="6" t="str">
        <f>IFERROR(__xludf.DUMMYFUNCTION("""COMPUTED_VALUE"""),"RUN-COMB_2022-04-28_RFR-032")</f>
        <v>RUN-COMB_2022-04-28_RFR-032</v>
      </c>
      <c r="C563" s="7">
        <f>VLOOKUP(B563,'Run Reconcile'!A$2:B3090,2,FALSE)</f>
        <v>44679</v>
      </c>
      <c r="D563" s="11">
        <f>IFERROR(__xludf.DUMMYFUNCTION("""COMPUTED_VALUE"""),44679.0)</f>
        <v>44679</v>
      </c>
      <c r="E563" s="12">
        <f>IFERROR(__xludf.DUMMYFUNCTION("""COMPUTED_VALUE"""),0.2688194444453984)</f>
        <v>0.2688194444</v>
      </c>
      <c r="F563" s="6" t="str">
        <f>IFERROR(__xludf.DUMMYFUNCTION("""COMPUTED_VALUE"""),"Negative")</f>
        <v>Negative</v>
      </c>
      <c r="G563" s="6">
        <f>IFERROR(__xludf.DUMMYFUNCTION("""COMPUTED_VALUE"""),1.0)</f>
        <v>1</v>
      </c>
    </row>
    <row r="564">
      <c r="A564" s="6" t="str">
        <f>IFERROR(__xludf.DUMMYFUNCTION("""COMPUTED_VALUE"""),"FM4144")</f>
        <v>FM4144</v>
      </c>
      <c r="B564" s="6" t="str">
        <f>IFERROR(__xludf.DUMMYFUNCTION("""COMPUTED_VALUE"""),"RUN-COMB_2022-04-28_RFR-032")</f>
        <v>RUN-COMB_2022-04-28_RFR-032</v>
      </c>
      <c r="C564" s="7">
        <f>VLOOKUP(B564,'Run Reconcile'!A$2:B3090,2,FALSE)</f>
        <v>44679</v>
      </c>
      <c r="D564" s="11">
        <f>IFERROR(__xludf.DUMMYFUNCTION("""COMPUTED_VALUE"""),44679.0)</f>
        <v>44679</v>
      </c>
      <c r="E564" s="12">
        <f>IFERROR(__xludf.DUMMYFUNCTION("""COMPUTED_VALUE"""),0.26923611111124046)</f>
        <v>0.2692361111</v>
      </c>
      <c r="F564" s="6" t="str">
        <f>IFERROR(__xludf.DUMMYFUNCTION("""COMPUTED_VALUE"""),"Negative")</f>
        <v>Negative</v>
      </c>
      <c r="G564" s="6">
        <f>IFERROR(__xludf.DUMMYFUNCTION("""COMPUTED_VALUE"""),1.0)</f>
        <v>1</v>
      </c>
    </row>
    <row r="565">
      <c r="A565" s="6" t="str">
        <f>IFERROR(__xludf.DUMMYFUNCTION("""COMPUTED_VALUE"""),"FM4224")</f>
        <v>FM4224</v>
      </c>
      <c r="B565" s="6" t="str">
        <f>IFERROR(__xludf.DUMMYFUNCTION("""COMPUTED_VALUE"""),"RUN-COMB_2022-04-28_RFR-032")</f>
        <v>RUN-COMB_2022-04-28_RFR-032</v>
      </c>
      <c r="C565" s="7">
        <f>VLOOKUP(B565,'Run Reconcile'!A$2:B3090,2,FALSE)</f>
        <v>44679</v>
      </c>
      <c r="D565" s="11">
        <f>IFERROR(__xludf.DUMMYFUNCTION("""COMPUTED_VALUE"""),44679.0)</f>
        <v>44679</v>
      </c>
      <c r="E565" s="12">
        <f>IFERROR(__xludf.DUMMYFUNCTION("""COMPUTED_VALUE"""),0.2742361111122591)</f>
        <v>0.2742361111</v>
      </c>
      <c r="F565" s="6" t="str">
        <f>IFERROR(__xludf.DUMMYFUNCTION("""COMPUTED_VALUE"""),"Negative")</f>
        <v>Negative</v>
      </c>
      <c r="G565" s="6">
        <f>IFERROR(__xludf.DUMMYFUNCTION("""COMPUTED_VALUE"""),1.0)</f>
        <v>1</v>
      </c>
    </row>
    <row r="566">
      <c r="A566" s="6" t="str">
        <f>IFERROR(__xludf.DUMMYFUNCTION("""COMPUTED_VALUE"""),"FM4227")</f>
        <v>FM4227</v>
      </c>
      <c r="B566" s="6" t="str">
        <f>IFERROR(__xludf.DUMMYFUNCTION("""COMPUTED_VALUE"""),"RUN-COMB_2022-04-28_RFR-032")</f>
        <v>RUN-COMB_2022-04-28_RFR-032</v>
      </c>
      <c r="C566" s="7">
        <f>VLOOKUP(B566,'Run Reconcile'!A$2:B3090,2,FALSE)</f>
        <v>44679</v>
      </c>
      <c r="D566" s="11">
        <f>IFERROR(__xludf.DUMMYFUNCTION("""COMPUTED_VALUE"""),44679.0)</f>
        <v>44679</v>
      </c>
      <c r="E566" s="12">
        <f>IFERROR(__xludf.DUMMYFUNCTION("""COMPUTED_VALUE"""),0.2745949074087548)</f>
        <v>0.2745949074</v>
      </c>
      <c r="F566" s="6" t="str">
        <f>IFERROR(__xludf.DUMMYFUNCTION("""COMPUTED_VALUE"""),"Negative")</f>
        <v>Negative</v>
      </c>
      <c r="G566" s="6">
        <f>IFERROR(__xludf.DUMMYFUNCTION("""COMPUTED_VALUE"""),1.0)</f>
        <v>1</v>
      </c>
    </row>
    <row r="567">
      <c r="A567" s="6" t="str">
        <f>IFERROR(__xludf.DUMMYFUNCTION("""COMPUTED_VALUE"""),"FM4177")</f>
        <v>FM4177</v>
      </c>
      <c r="B567" s="6" t="str">
        <f>IFERROR(__xludf.DUMMYFUNCTION("""COMPUTED_VALUE"""),"RUN-COMB_2022-04-28_RFR-032")</f>
        <v>RUN-COMB_2022-04-28_RFR-032</v>
      </c>
      <c r="C567" s="7">
        <f>VLOOKUP(B567,'Run Reconcile'!A$2:B3090,2,FALSE)</f>
        <v>44679</v>
      </c>
      <c r="D567" s="11">
        <f>IFERROR(__xludf.DUMMYFUNCTION("""COMPUTED_VALUE"""),44679.0)</f>
        <v>44679</v>
      </c>
      <c r="E567" s="12">
        <f>IFERROR(__xludf.DUMMYFUNCTION("""COMPUTED_VALUE"""),0.2749305555553292)</f>
        <v>0.2749305556</v>
      </c>
      <c r="F567" s="6" t="str">
        <f>IFERROR(__xludf.DUMMYFUNCTION("""COMPUTED_VALUE"""),"Negative")</f>
        <v>Negative</v>
      </c>
      <c r="G567" s="6">
        <f>IFERROR(__xludf.DUMMYFUNCTION("""COMPUTED_VALUE"""),1.0)</f>
        <v>1</v>
      </c>
    </row>
    <row r="568">
      <c r="A568" s="6" t="str">
        <f>IFERROR(__xludf.DUMMYFUNCTION("""COMPUTED_VALUE"""),"FM4161")</f>
        <v>FM4161</v>
      </c>
      <c r="B568" s="6" t="str">
        <f>IFERROR(__xludf.DUMMYFUNCTION("""COMPUTED_VALUE"""),"RUN-COMB_2022-04-28_RFR-032")</f>
        <v>RUN-COMB_2022-04-28_RFR-032</v>
      </c>
      <c r="C568" s="7">
        <f>VLOOKUP(B568,'Run Reconcile'!A$2:B3090,2,FALSE)</f>
        <v>44679</v>
      </c>
      <c r="D568" s="11">
        <f>IFERROR(__xludf.DUMMYFUNCTION("""COMPUTED_VALUE"""),44679.0)</f>
        <v>44679</v>
      </c>
      <c r="E568" s="12">
        <f>IFERROR(__xludf.DUMMYFUNCTION("""COMPUTED_VALUE"""),0.2752893518518249)</f>
        <v>0.2752893519</v>
      </c>
      <c r="F568" s="6" t="str">
        <f>IFERROR(__xludf.DUMMYFUNCTION("""COMPUTED_VALUE"""),"Negative")</f>
        <v>Negative</v>
      </c>
      <c r="G568" s="6">
        <f>IFERROR(__xludf.DUMMYFUNCTION("""COMPUTED_VALUE"""),1.0)</f>
        <v>1</v>
      </c>
    </row>
    <row r="569">
      <c r="A569" s="6" t="str">
        <f>IFERROR(__xludf.DUMMYFUNCTION("""COMPUTED_VALUE"""),"FM4207")</f>
        <v>FM4207</v>
      </c>
      <c r="B569" s="6" t="str">
        <f>IFERROR(__xludf.DUMMYFUNCTION("""COMPUTED_VALUE"""),"RUN-COMB_2022-04-28_RFR-032")</f>
        <v>RUN-COMB_2022-04-28_RFR-032</v>
      </c>
      <c r="C569" s="7">
        <f>VLOOKUP(B569,'Run Reconcile'!A$2:B3090,2,FALSE)</f>
        <v>44679</v>
      </c>
      <c r="D569" s="11">
        <f>IFERROR(__xludf.DUMMYFUNCTION("""COMPUTED_VALUE"""),44679.0)</f>
        <v>44679</v>
      </c>
      <c r="E569" s="12">
        <f>IFERROR(__xludf.DUMMYFUNCTION("""COMPUTED_VALUE"""),0.2757291666675883)</f>
        <v>0.2757291667</v>
      </c>
      <c r="F569" s="6" t="str">
        <f>IFERROR(__xludf.DUMMYFUNCTION("""COMPUTED_VALUE"""),"Negative")</f>
        <v>Negative</v>
      </c>
      <c r="G569" s="6">
        <f>IFERROR(__xludf.DUMMYFUNCTION("""COMPUTED_VALUE"""),1.0)</f>
        <v>1</v>
      </c>
    </row>
    <row r="570">
      <c r="A570" s="6" t="str">
        <f>IFERROR(__xludf.DUMMYFUNCTION("""COMPUTED_VALUE"""),"FM4182")</f>
        <v>FM4182</v>
      </c>
      <c r="B570" s="6" t="str">
        <f>IFERROR(__xludf.DUMMYFUNCTION("""COMPUTED_VALUE"""),"RUN-COMB_2022-04-28_RFR-032")</f>
        <v>RUN-COMB_2022-04-28_RFR-032</v>
      </c>
      <c r="C570" s="7">
        <f>VLOOKUP(B570,'Run Reconcile'!A$2:B3090,2,FALSE)</f>
        <v>44679</v>
      </c>
      <c r="D570" s="11">
        <f>IFERROR(__xludf.DUMMYFUNCTION("""COMPUTED_VALUE"""),44679.0)</f>
        <v>44679</v>
      </c>
      <c r="E570" s="12">
        <f>IFERROR(__xludf.DUMMYFUNCTION("""COMPUTED_VALUE"""),0.2760648148141627)</f>
        <v>0.2760648148</v>
      </c>
      <c r="F570" s="6" t="str">
        <f>IFERROR(__xludf.DUMMYFUNCTION("""COMPUTED_VALUE"""),"Negative")</f>
        <v>Negative</v>
      </c>
      <c r="G570" s="6">
        <f>IFERROR(__xludf.DUMMYFUNCTION("""COMPUTED_VALUE"""),1.0)</f>
        <v>1</v>
      </c>
    </row>
    <row r="571">
      <c r="A571" s="6" t="str">
        <f>IFERROR(__xludf.DUMMYFUNCTION("""COMPUTED_VALUE"""),"FM4181")</f>
        <v>FM4181</v>
      </c>
      <c r="B571" s="6" t="str">
        <f>IFERROR(__xludf.DUMMYFUNCTION("""COMPUTED_VALUE"""),"RUN-COMB_2022-04-28_RFR-032")</f>
        <v>RUN-COMB_2022-04-28_RFR-032</v>
      </c>
      <c r="C571" s="7">
        <f>VLOOKUP(B571,'Run Reconcile'!A$2:B3090,2,FALSE)</f>
        <v>44679</v>
      </c>
      <c r="D571" s="11">
        <f>IFERROR(__xludf.DUMMYFUNCTION("""COMPUTED_VALUE"""),44679.0)</f>
        <v>44679</v>
      </c>
      <c r="E571" s="12">
        <f>IFERROR(__xludf.DUMMYFUNCTION("""COMPUTED_VALUE"""),0.27646990740686306)</f>
        <v>0.2764699074</v>
      </c>
      <c r="F571" s="6" t="str">
        <f>IFERROR(__xludf.DUMMYFUNCTION("""COMPUTED_VALUE"""),"Negative")</f>
        <v>Negative</v>
      </c>
      <c r="G571" s="6">
        <f>IFERROR(__xludf.DUMMYFUNCTION("""COMPUTED_VALUE"""),1.0)</f>
        <v>1</v>
      </c>
    </row>
    <row r="572">
      <c r="A572" s="6" t="str">
        <f>IFERROR(__xludf.DUMMYFUNCTION("""COMPUTED_VALUE"""),"FM4189")</f>
        <v>FM4189</v>
      </c>
      <c r="B572" s="6" t="str">
        <f>IFERROR(__xludf.DUMMYFUNCTION("""COMPUTED_VALUE"""),"RUN-COMB_2022-04-28_RFR-032")</f>
        <v>RUN-COMB_2022-04-28_RFR-032</v>
      </c>
      <c r="C572" s="7">
        <f>VLOOKUP(B572,'Run Reconcile'!A$2:B3090,2,FALSE)</f>
        <v>44679</v>
      </c>
      <c r="D572" s="11">
        <f>IFERROR(__xludf.DUMMYFUNCTION("""COMPUTED_VALUE"""),44679.0)</f>
        <v>44679</v>
      </c>
      <c r="E572" s="12">
        <f>IFERROR(__xludf.DUMMYFUNCTION("""COMPUTED_VALUE"""),0.2769212962957681)</f>
        <v>0.2769212963</v>
      </c>
      <c r="F572" s="6" t="str">
        <f>IFERROR(__xludf.DUMMYFUNCTION("""COMPUTED_VALUE"""),"Negative")</f>
        <v>Negative</v>
      </c>
      <c r="G572" s="6">
        <f>IFERROR(__xludf.DUMMYFUNCTION("""COMPUTED_VALUE"""),1.0)</f>
        <v>1</v>
      </c>
    </row>
    <row r="573">
      <c r="A573" s="6" t="str">
        <f>IFERROR(__xludf.DUMMYFUNCTION("""COMPUTED_VALUE"""),"FM4223")</f>
        <v>FM4223</v>
      </c>
      <c r="B573" s="6" t="str">
        <f>IFERROR(__xludf.DUMMYFUNCTION("""COMPUTED_VALUE"""),"RUN-COMB_2022-04-28_RFR-032")</f>
        <v>RUN-COMB_2022-04-28_RFR-032</v>
      </c>
      <c r="C573" s="7">
        <f>VLOOKUP(B573,'Run Reconcile'!A$2:B3090,2,FALSE)</f>
        <v>44679</v>
      </c>
      <c r="D573" s="11">
        <f>IFERROR(__xludf.DUMMYFUNCTION("""COMPUTED_VALUE"""),44679.0)</f>
        <v>44679</v>
      </c>
      <c r="E573" s="12">
        <f>IFERROR(__xludf.DUMMYFUNCTION("""COMPUTED_VALUE"""),0.27778935185051523)</f>
        <v>0.2777893519</v>
      </c>
      <c r="F573" s="6" t="str">
        <f>IFERROR(__xludf.DUMMYFUNCTION("""COMPUTED_VALUE"""),"Negative")</f>
        <v>Negative</v>
      </c>
      <c r="G573" s="6">
        <f>IFERROR(__xludf.DUMMYFUNCTION("""COMPUTED_VALUE"""),1.0)</f>
        <v>1</v>
      </c>
    </row>
    <row r="574">
      <c r="A574" s="6" t="str">
        <f>IFERROR(__xludf.DUMMYFUNCTION("""COMPUTED_VALUE"""),"FM4185")</f>
        <v>FM4185</v>
      </c>
      <c r="B574" s="6" t="str">
        <f>IFERROR(__xludf.DUMMYFUNCTION("""COMPUTED_VALUE"""),"RUN-COMB_2022-04-28_RFR-032")</f>
        <v>RUN-COMB_2022-04-28_RFR-032</v>
      </c>
      <c r="C574" s="7">
        <f>VLOOKUP(B574,'Run Reconcile'!A$2:B3090,2,FALSE)</f>
        <v>44679</v>
      </c>
      <c r="D574" s="11">
        <f>IFERROR(__xludf.DUMMYFUNCTION("""COMPUTED_VALUE"""),44679.0)</f>
        <v>44679</v>
      </c>
      <c r="E574" s="12">
        <f>IFERROR(__xludf.DUMMYFUNCTION("""COMPUTED_VALUE"""),0.2788541666668607)</f>
        <v>0.2788541667</v>
      </c>
      <c r="F574" s="6" t="str">
        <f>IFERROR(__xludf.DUMMYFUNCTION("""COMPUTED_VALUE"""),"Negative")</f>
        <v>Negative</v>
      </c>
      <c r="G574" s="6">
        <f>IFERROR(__xludf.DUMMYFUNCTION("""COMPUTED_VALUE"""),1.0)</f>
        <v>1</v>
      </c>
    </row>
    <row r="575">
      <c r="A575" s="6" t="str">
        <f>IFERROR(__xludf.DUMMYFUNCTION("""COMPUTED_VALUE"""),"FM4235")</f>
        <v>FM4235</v>
      </c>
      <c r="B575" s="6" t="str">
        <f>IFERROR(__xludf.DUMMYFUNCTION("""COMPUTED_VALUE"""),"RUN-COMB_2022-04-28_RFR-032")</f>
        <v>RUN-COMB_2022-04-28_RFR-032</v>
      </c>
      <c r="C575" s="7">
        <f>VLOOKUP(B575,'Run Reconcile'!A$2:B3090,2,FALSE)</f>
        <v>44679</v>
      </c>
      <c r="D575" s="11">
        <f>IFERROR(__xludf.DUMMYFUNCTION("""COMPUTED_VALUE"""),44679.0)</f>
        <v>44679</v>
      </c>
      <c r="E575" s="12">
        <f>IFERROR(__xludf.DUMMYFUNCTION("""COMPUTED_VALUE"""),0.27923611110963975)</f>
        <v>0.2792361111</v>
      </c>
      <c r="F575" s="6" t="str">
        <f>IFERROR(__xludf.DUMMYFUNCTION("""COMPUTED_VALUE"""),"Negative")</f>
        <v>Negative</v>
      </c>
      <c r="G575" s="6">
        <f>IFERROR(__xludf.DUMMYFUNCTION("""COMPUTED_VALUE"""),1.0)</f>
        <v>1</v>
      </c>
    </row>
    <row r="576">
      <c r="A576" s="6" t="str">
        <f>IFERROR(__xludf.DUMMYFUNCTION("""COMPUTED_VALUE"""),"FM4230")</f>
        <v>FM4230</v>
      </c>
      <c r="B576" s="6" t="str">
        <f>IFERROR(__xludf.DUMMYFUNCTION("""COMPUTED_VALUE"""),"RUN-COMB_2022-04-28_RFR-032")</f>
        <v>RUN-COMB_2022-04-28_RFR-032</v>
      </c>
      <c r="C576" s="7">
        <f>VLOOKUP(B576,'Run Reconcile'!A$2:B3090,2,FALSE)</f>
        <v>44679</v>
      </c>
      <c r="D576" s="11">
        <f>IFERROR(__xludf.DUMMYFUNCTION("""COMPUTED_VALUE"""),44679.0)</f>
        <v>44679</v>
      </c>
      <c r="E576" s="12">
        <f>IFERROR(__xludf.DUMMYFUNCTION("""COMPUTED_VALUE"""),0.27966435185226146)</f>
        <v>0.2796643519</v>
      </c>
      <c r="F576" s="6" t="str">
        <f>IFERROR(__xludf.DUMMYFUNCTION("""COMPUTED_VALUE"""),"Negative")</f>
        <v>Negative</v>
      </c>
      <c r="G576" s="6">
        <f>IFERROR(__xludf.DUMMYFUNCTION("""COMPUTED_VALUE"""),1.0)</f>
        <v>1</v>
      </c>
    </row>
    <row r="577">
      <c r="A577" s="6" t="str">
        <f>IFERROR(__xludf.DUMMYFUNCTION("""COMPUTED_VALUE"""),"FM4204")</f>
        <v>FM4204</v>
      </c>
      <c r="B577" s="6" t="str">
        <f>IFERROR(__xludf.DUMMYFUNCTION("""COMPUTED_VALUE"""),"RUN-COMB_2022-04-28_RFR-032")</f>
        <v>RUN-COMB_2022-04-28_RFR-032</v>
      </c>
      <c r="C577" s="7">
        <f>VLOOKUP(B577,'Run Reconcile'!A$2:B3090,2,FALSE)</f>
        <v>44679</v>
      </c>
      <c r="D577" s="11">
        <f>IFERROR(__xludf.DUMMYFUNCTION("""COMPUTED_VALUE"""),44679.0)</f>
        <v>44679</v>
      </c>
      <c r="E577" s="12">
        <f>IFERROR(__xludf.DUMMYFUNCTION("""COMPUTED_VALUE"""),0.2800578703718202)</f>
        <v>0.2800578704</v>
      </c>
      <c r="F577" s="6" t="str">
        <f>IFERROR(__xludf.DUMMYFUNCTION("""COMPUTED_VALUE"""),"Negative")</f>
        <v>Negative</v>
      </c>
      <c r="G577" s="6">
        <f>IFERROR(__xludf.DUMMYFUNCTION("""COMPUTED_VALUE"""),1.0)</f>
        <v>1</v>
      </c>
    </row>
    <row r="578">
      <c r="A578" s="6" t="str">
        <f>IFERROR(__xludf.DUMMYFUNCTION("""COMPUTED_VALUE"""),"FM4167")</f>
        <v>FM4167</v>
      </c>
      <c r="B578" s="6" t="str">
        <f>IFERROR(__xludf.DUMMYFUNCTION("""COMPUTED_VALUE"""),"RUN-COMB_2022-04-28_RFR-032")</f>
        <v>RUN-COMB_2022-04-28_RFR-032</v>
      </c>
      <c r="C578" s="7">
        <f>VLOOKUP(B578,'Run Reconcile'!A$2:B3090,2,FALSE)</f>
        <v>44679</v>
      </c>
      <c r="D578" s="11">
        <f>IFERROR(__xludf.DUMMYFUNCTION("""COMPUTED_VALUE"""),44679.0)</f>
        <v>44679</v>
      </c>
      <c r="E578" s="12">
        <f>IFERROR(__xludf.DUMMYFUNCTION("""COMPUTED_VALUE"""),0.281145833334449)</f>
        <v>0.2811458333</v>
      </c>
      <c r="F578" s="6" t="str">
        <f>IFERROR(__xludf.DUMMYFUNCTION("""COMPUTED_VALUE"""),"Negative")</f>
        <v>Negative</v>
      </c>
      <c r="G578" s="6">
        <f>IFERROR(__xludf.DUMMYFUNCTION("""COMPUTED_VALUE"""),1.0)</f>
        <v>1</v>
      </c>
    </row>
    <row r="579">
      <c r="A579" s="6" t="str">
        <f>IFERROR(__xludf.DUMMYFUNCTION("""COMPUTED_VALUE"""),"FM4232")</f>
        <v>FM4232</v>
      </c>
      <c r="B579" s="6" t="str">
        <f>IFERROR(__xludf.DUMMYFUNCTION("""COMPUTED_VALUE"""),"RUN-COMB_2022-04-28_RFR-032")</f>
        <v>RUN-COMB_2022-04-28_RFR-032</v>
      </c>
      <c r="C579" s="7">
        <f>VLOOKUP(B579,'Run Reconcile'!A$2:B3090,2,FALSE)</f>
        <v>44679</v>
      </c>
      <c r="D579" s="11">
        <f>IFERROR(__xludf.DUMMYFUNCTION("""COMPUTED_VALUE"""),44679.0)</f>
        <v>44679</v>
      </c>
      <c r="E579" s="12">
        <f>IFERROR(__xludf.DUMMYFUNCTION("""COMPUTED_VALUE"""),0.2815046296309447)</f>
        <v>0.2815046296</v>
      </c>
      <c r="F579" s="6" t="str">
        <f>IFERROR(__xludf.DUMMYFUNCTION("""COMPUTED_VALUE"""),"Negative")</f>
        <v>Negative</v>
      </c>
      <c r="G579" s="6">
        <f>IFERROR(__xludf.DUMMYFUNCTION("""COMPUTED_VALUE"""),1.0)</f>
        <v>1</v>
      </c>
    </row>
    <row r="580">
      <c r="A580" s="6" t="str">
        <f>IFERROR(__xludf.DUMMYFUNCTION("""COMPUTED_VALUE"""),"FM4193")</f>
        <v>FM4193</v>
      </c>
      <c r="B580" s="6" t="str">
        <f>IFERROR(__xludf.DUMMYFUNCTION("""COMPUTED_VALUE"""),"RUN-COMB_2022-04-28_RFR-032")</f>
        <v>RUN-COMB_2022-04-28_RFR-032</v>
      </c>
      <c r="C580" s="7">
        <f>VLOOKUP(B580,'Run Reconcile'!A$2:B3090,2,FALSE)</f>
        <v>44679</v>
      </c>
      <c r="D580" s="11">
        <f>IFERROR(__xludf.DUMMYFUNCTION("""COMPUTED_VALUE"""),44679.0)</f>
        <v>44679</v>
      </c>
      <c r="E580" s="12">
        <f>IFERROR(__xludf.DUMMYFUNCTION("""COMPUTED_VALUE"""),0.28192129629678675)</f>
        <v>0.2819212963</v>
      </c>
      <c r="F580" s="6" t="str">
        <f>IFERROR(__xludf.DUMMYFUNCTION("""COMPUTED_VALUE"""),"Negative")</f>
        <v>Negative</v>
      </c>
      <c r="G580" s="6">
        <f>IFERROR(__xludf.DUMMYFUNCTION("""COMPUTED_VALUE"""),1.0)</f>
        <v>1</v>
      </c>
    </row>
    <row r="581">
      <c r="A581" s="6" t="str">
        <f>IFERROR(__xludf.DUMMYFUNCTION("""COMPUTED_VALUE"""),"FM4170")</f>
        <v>FM4170</v>
      </c>
      <c r="B581" s="6" t="str">
        <f>IFERROR(__xludf.DUMMYFUNCTION("""COMPUTED_VALUE"""),"RUN-COMB_2022-04-28_RFR-032")</f>
        <v>RUN-COMB_2022-04-28_RFR-032</v>
      </c>
      <c r="C581" s="7">
        <f>VLOOKUP(B581,'Run Reconcile'!A$2:B3090,2,FALSE)</f>
        <v>44679</v>
      </c>
      <c r="D581" s="11">
        <f>IFERROR(__xludf.DUMMYFUNCTION("""COMPUTED_VALUE"""),44679.0)</f>
        <v>44679</v>
      </c>
      <c r="E581" s="12">
        <f>IFERROR(__xludf.DUMMYFUNCTION("""COMPUTED_VALUE"""),0.28229166666642413)</f>
        <v>0.2822916667</v>
      </c>
      <c r="F581" s="6" t="str">
        <f>IFERROR(__xludf.DUMMYFUNCTION("""COMPUTED_VALUE"""),"Negative")</f>
        <v>Negative</v>
      </c>
      <c r="G581" s="6">
        <f>IFERROR(__xludf.DUMMYFUNCTION("""COMPUTED_VALUE"""),1.0)</f>
        <v>1</v>
      </c>
    </row>
    <row r="582">
      <c r="A582" s="6" t="str">
        <f>IFERROR(__xludf.DUMMYFUNCTION("""COMPUTED_VALUE"""),"FM4142")</f>
        <v>FM4142</v>
      </c>
      <c r="B582" s="6" t="str">
        <f>IFERROR(__xludf.DUMMYFUNCTION("""COMPUTED_VALUE"""),"RUN-COMB_2022-04-28_RFR-032")</f>
        <v>RUN-COMB_2022-04-28_RFR-032</v>
      </c>
      <c r="C582" s="7">
        <f>VLOOKUP(B582,'Run Reconcile'!A$2:B3090,2,FALSE)</f>
        <v>44679</v>
      </c>
      <c r="D582" s="11">
        <f>IFERROR(__xludf.DUMMYFUNCTION("""COMPUTED_VALUE"""),44679.0)</f>
        <v>44679</v>
      </c>
      <c r="E582" s="12">
        <f>IFERROR(__xludf.DUMMYFUNCTION("""COMPUTED_VALUE"""),0.2826388888897782)</f>
        <v>0.2826388889</v>
      </c>
      <c r="F582" s="6" t="str">
        <f>IFERROR(__xludf.DUMMYFUNCTION("""COMPUTED_VALUE"""),"Negative")</f>
        <v>Negative</v>
      </c>
      <c r="G582" s="6">
        <f>IFERROR(__xludf.DUMMYFUNCTION("""COMPUTED_VALUE"""),1.0)</f>
        <v>1</v>
      </c>
    </row>
    <row r="583">
      <c r="A583" s="6" t="str">
        <f>IFERROR(__xludf.DUMMYFUNCTION("""COMPUTED_VALUE"""),"FM4196")</f>
        <v>FM4196</v>
      </c>
      <c r="B583" s="6" t="str">
        <f>IFERROR(__xludf.DUMMYFUNCTION("""COMPUTED_VALUE"""),"RUN-COMB_2022-04-28_RFR-032")</f>
        <v>RUN-COMB_2022-04-28_RFR-032</v>
      </c>
      <c r="C583" s="7">
        <f>VLOOKUP(B583,'Run Reconcile'!A$2:B3090,2,FALSE)</f>
        <v>44679</v>
      </c>
      <c r="D583" s="11">
        <f>IFERROR(__xludf.DUMMYFUNCTION("""COMPUTED_VALUE"""),44679.0)</f>
        <v>44679</v>
      </c>
      <c r="E583" s="12">
        <f>IFERROR(__xludf.DUMMYFUNCTION("""COMPUTED_VALUE"""),0.2830787037019036)</f>
        <v>0.2830787037</v>
      </c>
      <c r="F583" s="6" t="str">
        <f>IFERROR(__xludf.DUMMYFUNCTION("""COMPUTED_VALUE"""),"Negative")</f>
        <v>Negative</v>
      </c>
      <c r="G583" s="6">
        <f>IFERROR(__xludf.DUMMYFUNCTION("""COMPUTED_VALUE"""),1.0)</f>
        <v>1</v>
      </c>
    </row>
    <row r="584">
      <c r="A584" s="6" t="str">
        <f>IFERROR(__xludf.DUMMYFUNCTION("""COMPUTED_VALUE"""),"FM4217")</f>
        <v>FM4217</v>
      </c>
      <c r="B584" s="6" t="str">
        <f>IFERROR(__xludf.DUMMYFUNCTION("""COMPUTED_VALUE"""),"RUN-COMB_2022-04-28_RFR-032")</f>
        <v>RUN-COMB_2022-04-28_RFR-032</v>
      </c>
      <c r="C584" s="7">
        <f>VLOOKUP(B584,'Run Reconcile'!A$2:B3090,2,FALSE)</f>
        <v>44679</v>
      </c>
      <c r="D584" s="11">
        <f>IFERROR(__xludf.DUMMYFUNCTION("""COMPUTED_VALUE"""),44679.0)</f>
        <v>44679</v>
      </c>
      <c r="E584" s="12">
        <f>IFERROR(__xludf.DUMMYFUNCTION("""COMPUTED_VALUE"""),0.2834374999983993)</f>
        <v>0.2834375</v>
      </c>
      <c r="F584" s="6" t="str">
        <f>IFERROR(__xludf.DUMMYFUNCTION("""COMPUTED_VALUE"""),"Negative")</f>
        <v>Negative</v>
      </c>
      <c r="G584" s="6">
        <f>IFERROR(__xludf.DUMMYFUNCTION("""COMPUTED_VALUE"""),1.0)</f>
        <v>1</v>
      </c>
    </row>
    <row r="585">
      <c r="A585" s="6" t="str">
        <f>IFERROR(__xludf.DUMMYFUNCTION("""COMPUTED_VALUE"""),"FM4240")</f>
        <v>FM4240</v>
      </c>
      <c r="B585" s="6" t="str">
        <f>IFERROR(__xludf.DUMMYFUNCTION("""COMPUTED_VALUE"""),"RUN-COMB_2022-04-28_RFR-032")</f>
        <v>RUN-COMB_2022-04-28_RFR-032</v>
      </c>
      <c r="C585" s="7">
        <f>VLOOKUP(B585,'Run Reconcile'!A$2:B3090,2,FALSE)</f>
        <v>44679</v>
      </c>
      <c r="D585" s="11">
        <f>IFERROR(__xludf.DUMMYFUNCTION("""COMPUTED_VALUE"""),44679.0)</f>
        <v>44679</v>
      </c>
      <c r="E585" s="12">
        <f>IFERROR(__xludf.DUMMYFUNCTION("""COMPUTED_VALUE"""),0.2838773148141627)</f>
        <v>0.2838773148</v>
      </c>
      <c r="F585" s="6" t="str">
        <f>IFERROR(__xludf.DUMMYFUNCTION("""COMPUTED_VALUE"""),"Negative")</f>
        <v>Negative</v>
      </c>
      <c r="G585" s="6">
        <f>IFERROR(__xludf.DUMMYFUNCTION("""COMPUTED_VALUE"""),1.0)</f>
        <v>1</v>
      </c>
    </row>
    <row r="586">
      <c r="A586" s="6" t="str">
        <f>IFERROR(__xludf.DUMMYFUNCTION("""COMPUTED_VALUE"""),"FM4190")</f>
        <v>FM4190</v>
      </c>
      <c r="B586" s="6" t="str">
        <f>IFERROR(__xludf.DUMMYFUNCTION("""COMPUTED_VALUE"""),"RUN-COMB_2022-04-28_RFR-032")</f>
        <v>RUN-COMB_2022-04-28_RFR-032</v>
      </c>
      <c r="C586" s="7">
        <f>VLOOKUP(B586,'Run Reconcile'!A$2:B3090,2,FALSE)</f>
        <v>44679</v>
      </c>
      <c r="D586" s="11">
        <f>IFERROR(__xludf.DUMMYFUNCTION("""COMPUTED_VALUE"""),44679.0)</f>
        <v>44679</v>
      </c>
      <c r="E586" s="12">
        <f>IFERROR(__xludf.DUMMYFUNCTION("""COMPUTED_VALUE"""),0.2842708333337214)</f>
        <v>0.2842708333</v>
      </c>
      <c r="F586" s="6" t="str">
        <f>IFERROR(__xludf.DUMMYFUNCTION("""COMPUTED_VALUE"""),"Negative")</f>
        <v>Negative</v>
      </c>
      <c r="G586" s="6">
        <f>IFERROR(__xludf.DUMMYFUNCTION("""COMPUTED_VALUE"""),1.0)</f>
        <v>1</v>
      </c>
    </row>
    <row r="587">
      <c r="A587" s="6" t="str">
        <f>IFERROR(__xludf.DUMMYFUNCTION("""COMPUTED_VALUE"""),"FM4202")</f>
        <v>FM4202</v>
      </c>
      <c r="B587" s="6" t="str">
        <f>IFERROR(__xludf.DUMMYFUNCTION("""COMPUTED_VALUE"""),"RUN-COMB_2022-04-28_RFR-032")</f>
        <v>RUN-COMB_2022-04-28_RFR-032</v>
      </c>
      <c r="C587" s="7">
        <f>VLOOKUP(B587,'Run Reconcile'!A$2:B3090,2,FALSE)</f>
        <v>44679</v>
      </c>
      <c r="D587" s="11">
        <f>IFERROR(__xludf.DUMMYFUNCTION("""COMPUTED_VALUE"""),44679.0)</f>
        <v>44679</v>
      </c>
      <c r="E587" s="12">
        <f>IFERROR(__xludf.DUMMYFUNCTION("""COMPUTED_VALUE"""),0.28468749999956344)</f>
        <v>0.2846875</v>
      </c>
      <c r="F587" s="6" t="str">
        <f>IFERROR(__xludf.DUMMYFUNCTION("""COMPUTED_VALUE"""),"Negative")</f>
        <v>Negative</v>
      </c>
      <c r="G587" s="6">
        <f>IFERROR(__xludf.DUMMYFUNCTION("""COMPUTED_VALUE"""),1.0)</f>
        <v>1</v>
      </c>
    </row>
    <row r="588">
      <c r="A588" s="6" t="str">
        <f>IFERROR(__xludf.DUMMYFUNCTION("""COMPUTED_VALUE"""),"FM4157")</f>
        <v>FM4157</v>
      </c>
      <c r="B588" s="6" t="str">
        <f>IFERROR(__xludf.DUMMYFUNCTION("""COMPUTED_VALUE"""),"RUN-COMB_2022-04-28_RFR-032")</f>
        <v>RUN-COMB_2022-04-28_RFR-032</v>
      </c>
      <c r="C588" s="7">
        <f>VLOOKUP(B588,'Run Reconcile'!A$2:B3090,2,FALSE)</f>
        <v>44679</v>
      </c>
      <c r="D588" s="11">
        <f>IFERROR(__xludf.DUMMYFUNCTION("""COMPUTED_VALUE"""),44679.0)</f>
        <v>44679</v>
      </c>
      <c r="E588" s="12">
        <f>IFERROR(__xludf.DUMMYFUNCTION("""COMPUTED_VALUE"""),0.3365856481468654)</f>
        <v>0.3365856481</v>
      </c>
      <c r="F588" s="6" t="str">
        <f>IFERROR(__xludf.DUMMYFUNCTION("""COMPUTED_VALUE"""),"Negative")</f>
        <v>Negative</v>
      </c>
      <c r="G588" s="6">
        <f>IFERROR(__xludf.DUMMYFUNCTION("""COMPUTED_VALUE"""),1.0)</f>
        <v>1</v>
      </c>
    </row>
    <row r="589">
      <c r="A589" s="6" t="str">
        <f>IFERROR(__xludf.DUMMYFUNCTION("""COMPUTED_VALUE"""),"FM4211")</f>
        <v>FM4211</v>
      </c>
      <c r="B589" s="6" t="str">
        <f>IFERROR(__xludf.DUMMYFUNCTION("""COMPUTED_VALUE"""),"RUN-COMB_2022-04-29_RFR-034")</f>
        <v>RUN-COMB_2022-04-29_RFR-034</v>
      </c>
      <c r="C589" s="7">
        <f>VLOOKUP(B589,'Run Reconcile'!A$2:B3090,2,FALSE)</f>
        <v>44680</v>
      </c>
      <c r="D589" s="11">
        <f>IFERROR(__xludf.DUMMYFUNCTION("""COMPUTED_VALUE"""),44680.0)</f>
        <v>44680</v>
      </c>
      <c r="E589" s="12">
        <f>IFERROR(__xludf.DUMMYFUNCTION("""COMPUTED_VALUE"""),0.25865740740846377)</f>
        <v>0.2586574074</v>
      </c>
      <c r="F589" s="6" t="str">
        <f>IFERROR(__xludf.DUMMYFUNCTION("""COMPUTED_VALUE"""),"Negative")</f>
        <v>Negative</v>
      </c>
      <c r="G589" s="6">
        <f>IFERROR(__xludf.DUMMYFUNCTION("""COMPUTED_VALUE"""),1.0)</f>
        <v>1</v>
      </c>
    </row>
    <row r="590">
      <c r="A590" s="6" t="str">
        <f>IFERROR(__xludf.DUMMYFUNCTION("""COMPUTED_VALUE"""),"FM4147")</f>
        <v>FM4147</v>
      </c>
      <c r="B590" s="6" t="str">
        <f>IFERROR(__xludf.DUMMYFUNCTION("""COMPUTED_VALUE"""),"RUN-COMB_2022-04-29_RFR-034")</f>
        <v>RUN-COMB_2022-04-29_RFR-034</v>
      </c>
      <c r="C590" s="7">
        <f>VLOOKUP(B590,'Run Reconcile'!A$2:B3090,2,FALSE)</f>
        <v>44680</v>
      </c>
      <c r="D590" s="11">
        <f>IFERROR(__xludf.DUMMYFUNCTION("""COMPUTED_VALUE"""),44680.0)</f>
        <v>44680</v>
      </c>
      <c r="E590" s="12">
        <f>IFERROR(__xludf.DUMMYFUNCTION("""COMPUTED_VALUE"""),0.2589814814818965)</f>
        <v>0.2589814815</v>
      </c>
      <c r="F590" s="6" t="str">
        <f>IFERROR(__xludf.DUMMYFUNCTION("""COMPUTED_VALUE"""),"Negative")</f>
        <v>Negative</v>
      </c>
      <c r="G590" s="6">
        <f>IFERROR(__xludf.DUMMYFUNCTION("""COMPUTED_VALUE"""),1.0)</f>
        <v>1</v>
      </c>
    </row>
    <row r="591">
      <c r="A591" s="6" t="str">
        <f>IFERROR(__xludf.DUMMYFUNCTION("""COMPUTED_VALUE"""),"FM4236")</f>
        <v>FM4236</v>
      </c>
      <c r="B591" s="6" t="str">
        <f>IFERROR(__xludf.DUMMYFUNCTION("""COMPUTED_VALUE"""),"RUN-COMB_2022-04-29_RFR-034")</f>
        <v>RUN-COMB_2022-04-29_RFR-034</v>
      </c>
      <c r="C591" s="7">
        <f>VLOOKUP(B591,'Run Reconcile'!A$2:B3090,2,FALSE)</f>
        <v>44680</v>
      </c>
      <c r="D591" s="11">
        <f>IFERROR(__xludf.DUMMYFUNCTION("""COMPUTED_VALUE"""),44680.0)</f>
        <v>44680</v>
      </c>
      <c r="E591" s="12">
        <f>IFERROR(__xludf.DUMMYFUNCTION("""COMPUTED_VALUE"""),0.25938657407459687)</f>
        <v>0.2593865741</v>
      </c>
      <c r="F591" s="6" t="str">
        <f>IFERROR(__xludf.DUMMYFUNCTION("""COMPUTED_VALUE"""),"Negative")</f>
        <v>Negative</v>
      </c>
      <c r="G591" s="6">
        <f>IFERROR(__xludf.DUMMYFUNCTION("""COMPUTED_VALUE"""),1.0)</f>
        <v>1</v>
      </c>
    </row>
    <row r="592">
      <c r="A592" s="6" t="str">
        <f>IFERROR(__xludf.DUMMYFUNCTION("""COMPUTED_VALUE"""),"FM4168")</f>
        <v>FM4168</v>
      </c>
      <c r="B592" s="6" t="str">
        <f>IFERROR(__xludf.DUMMYFUNCTION("""COMPUTED_VALUE"""),"RUN-COMB_2022-04-29_RFR-034")</f>
        <v>RUN-COMB_2022-04-29_RFR-034</v>
      </c>
      <c r="C592" s="7">
        <f>VLOOKUP(B592,'Run Reconcile'!A$2:B3090,2,FALSE)</f>
        <v>44680</v>
      </c>
      <c r="D592" s="11">
        <f>IFERROR(__xludf.DUMMYFUNCTION("""COMPUTED_VALUE"""),44680.0)</f>
        <v>44680</v>
      </c>
      <c r="E592" s="12">
        <f>IFERROR(__xludf.DUMMYFUNCTION("""COMPUTED_VALUE"""),0.25979166666729725)</f>
        <v>0.2597916667</v>
      </c>
      <c r="F592" s="6" t="str">
        <f>IFERROR(__xludf.DUMMYFUNCTION("""COMPUTED_VALUE"""),"Negative")</f>
        <v>Negative</v>
      </c>
      <c r="G592" s="6">
        <f>IFERROR(__xludf.DUMMYFUNCTION("""COMPUTED_VALUE"""),1.0)</f>
        <v>1</v>
      </c>
    </row>
    <row r="593">
      <c r="A593" s="6" t="str">
        <f>IFERROR(__xludf.DUMMYFUNCTION("""COMPUTED_VALUE"""),"FM4194")</f>
        <v>FM4194</v>
      </c>
      <c r="B593" s="6" t="str">
        <f>IFERROR(__xludf.DUMMYFUNCTION("""COMPUTED_VALUE"""),"RUN-COMB_2022-04-29_RFR-034")</f>
        <v>RUN-COMB_2022-04-29_RFR-034</v>
      </c>
      <c r="C593" s="7">
        <f>VLOOKUP(B593,'Run Reconcile'!A$2:B3090,2,FALSE)</f>
        <v>44680</v>
      </c>
      <c r="D593" s="11">
        <f>IFERROR(__xludf.DUMMYFUNCTION("""COMPUTED_VALUE"""),44680.0)</f>
        <v>44680</v>
      </c>
      <c r="E593" s="12">
        <f>IFERROR(__xludf.DUMMYFUNCTION("""COMPUTED_VALUE"""),0.26826388888730435)</f>
        <v>0.2682638889</v>
      </c>
      <c r="F593" s="6" t="str">
        <f>IFERROR(__xludf.DUMMYFUNCTION("""COMPUTED_VALUE"""),"Negative")</f>
        <v>Negative</v>
      </c>
      <c r="G593" s="6">
        <f>IFERROR(__xludf.DUMMYFUNCTION("""COMPUTED_VALUE"""),1.0)</f>
        <v>1</v>
      </c>
    </row>
    <row r="594">
      <c r="A594" s="6" t="str">
        <f>IFERROR(__xludf.DUMMYFUNCTION("""COMPUTED_VALUE"""),"FM4173")</f>
        <v>FM4173</v>
      </c>
      <c r="B594" s="6" t="str">
        <f>IFERROR(__xludf.DUMMYFUNCTION("""COMPUTED_VALUE"""),"RUN-COMB_2022-04-29_RFR-034")</f>
        <v>RUN-COMB_2022-04-29_RFR-034</v>
      </c>
      <c r="C594" s="7">
        <f>VLOOKUP(B594,'Run Reconcile'!A$2:B3090,2,FALSE)</f>
        <v>44680</v>
      </c>
      <c r="D594" s="11">
        <f>IFERROR(__xludf.DUMMYFUNCTION("""COMPUTED_VALUE"""),44680.0)</f>
        <v>44680</v>
      </c>
      <c r="E594" s="12">
        <f>IFERROR(__xludf.DUMMYFUNCTION("""COMPUTED_VALUE"""),0.26865740740686306)</f>
        <v>0.2686574074</v>
      </c>
      <c r="F594" s="6" t="str">
        <f>IFERROR(__xludf.DUMMYFUNCTION("""COMPUTED_VALUE"""),"Negative")</f>
        <v>Negative</v>
      </c>
      <c r="G594" s="6">
        <f>IFERROR(__xludf.DUMMYFUNCTION("""COMPUTED_VALUE"""),1.0)</f>
        <v>1</v>
      </c>
    </row>
    <row r="595">
      <c r="A595" s="6" t="str">
        <f>IFERROR(__xludf.DUMMYFUNCTION("""COMPUTED_VALUE"""),"FM4153")</f>
        <v>FM4153</v>
      </c>
      <c r="B595" s="6" t="str">
        <f>IFERROR(__xludf.DUMMYFUNCTION("""COMPUTED_VALUE"""),"RUN-COMB_2022-04-29_RFR-034")</f>
        <v>RUN-COMB_2022-04-29_RFR-034</v>
      </c>
      <c r="C595" s="7">
        <f>VLOOKUP(B595,'Run Reconcile'!A$2:B3090,2,FALSE)</f>
        <v>44680</v>
      </c>
      <c r="D595" s="11">
        <f>IFERROR(__xludf.DUMMYFUNCTION("""COMPUTED_VALUE"""),44680.0)</f>
        <v>44680</v>
      </c>
      <c r="E595" s="12">
        <f>IFERROR(__xludf.DUMMYFUNCTION("""COMPUTED_VALUE"""),0.2691203703689098)</f>
        <v>0.2691203704</v>
      </c>
      <c r="F595" s="6" t="str">
        <f>IFERROR(__xludf.DUMMYFUNCTION("""COMPUTED_VALUE"""),"Negative")</f>
        <v>Negative</v>
      </c>
      <c r="G595" s="6">
        <f>IFERROR(__xludf.DUMMYFUNCTION("""COMPUTED_VALUE"""),1.0)</f>
        <v>1</v>
      </c>
    </row>
    <row r="596">
      <c r="A596" s="6" t="str">
        <f>IFERROR(__xludf.DUMMYFUNCTION("""COMPUTED_VALUE"""),"FM4219")</f>
        <v>FM4219</v>
      </c>
      <c r="B596" s="6" t="str">
        <f>IFERROR(__xludf.DUMMYFUNCTION("""COMPUTED_VALUE"""),"RUN-COMB_2022-04-29_RFR-034")</f>
        <v>RUN-COMB_2022-04-29_RFR-034</v>
      </c>
      <c r="C596" s="7">
        <f>VLOOKUP(B596,'Run Reconcile'!A$2:B3090,2,FALSE)</f>
        <v>44680</v>
      </c>
      <c r="D596" s="11">
        <f>IFERROR(__xludf.DUMMYFUNCTION("""COMPUTED_VALUE"""),44680.0)</f>
        <v>44680</v>
      </c>
      <c r="E596" s="12">
        <f>IFERROR(__xludf.DUMMYFUNCTION("""COMPUTED_VALUE"""),0.2695254629616102)</f>
        <v>0.269525463</v>
      </c>
      <c r="F596" s="6" t="str">
        <f>IFERROR(__xludf.DUMMYFUNCTION("""COMPUTED_VALUE"""),"Negative")</f>
        <v>Negative</v>
      </c>
      <c r="G596" s="6">
        <f>IFERROR(__xludf.DUMMYFUNCTION("""COMPUTED_VALUE"""),1.0)</f>
        <v>1</v>
      </c>
    </row>
    <row r="597">
      <c r="A597" s="6" t="str">
        <f>IFERROR(__xludf.DUMMYFUNCTION("""COMPUTED_VALUE"""),"FM4158")</f>
        <v>FM4158</v>
      </c>
      <c r="B597" s="6" t="str">
        <f>IFERROR(__xludf.DUMMYFUNCTION("""COMPUTED_VALUE"""),"RUN-COMB_2022-04-29_RFR-034")</f>
        <v>RUN-COMB_2022-04-29_RFR-034</v>
      </c>
      <c r="C597" s="7">
        <f>VLOOKUP(B597,'Run Reconcile'!A$2:B3090,2,FALSE)</f>
        <v>44680</v>
      </c>
      <c r="D597" s="11">
        <f>IFERROR(__xludf.DUMMYFUNCTION("""COMPUTED_VALUE"""),44680.0)</f>
        <v>44680</v>
      </c>
      <c r="E597" s="12">
        <f>IFERROR(__xludf.DUMMYFUNCTION("""COMPUTED_VALUE"""),0.26997685185051523)</f>
        <v>0.2699768519</v>
      </c>
      <c r="F597" s="6" t="str">
        <f>IFERROR(__xludf.DUMMYFUNCTION("""COMPUTED_VALUE"""),"Negative")</f>
        <v>Negative</v>
      </c>
      <c r="G597" s="6">
        <f>IFERROR(__xludf.DUMMYFUNCTION("""COMPUTED_VALUE"""),1.0)</f>
        <v>1</v>
      </c>
    </row>
    <row r="598">
      <c r="A598" s="6" t="str">
        <f>IFERROR(__xludf.DUMMYFUNCTION("""COMPUTED_VALUE"""),"FM4210")</f>
        <v>FM4210</v>
      </c>
      <c r="B598" s="6" t="str">
        <f>IFERROR(__xludf.DUMMYFUNCTION("""COMPUTED_VALUE"""),"RUN-COMB_2022-04-29_RFR-034")</f>
        <v>RUN-COMB_2022-04-29_RFR-034</v>
      </c>
      <c r="C598" s="7">
        <f>VLOOKUP(B598,'Run Reconcile'!A$2:B3090,2,FALSE)</f>
        <v>44680</v>
      </c>
      <c r="D598" s="11">
        <f>IFERROR(__xludf.DUMMYFUNCTION("""COMPUTED_VALUE"""),44680.0)</f>
        <v>44680</v>
      </c>
      <c r="E598" s="12">
        <f>IFERROR(__xludf.DUMMYFUNCTION("""COMPUTED_VALUE"""),0.2703472222237906)</f>
        <v>0.2703472222</v>
      </c>
      <c r="F598" s="6" t="str">
        <f>IFERROR(__xludf.DUMMYFUNCTION("""COMPUTED_VALUE"""),"Negative")</f>
        <v>Negative</v>
      </c>
      <c r="G598" s="6">
        <f>IFERROR(__xludf.DUMMYFUNCTION("""COMPUTED_VALUE"""),1.0)</f>
        <v>1</v>
      </c>
    </row>
    <row r="599">
      <c r="A599" s="6" t="str">
        <f>IFERROR(__xludf.DUMMYFUNCTION("""COMPUTED_VALUE"""),"FM4154")</f>
        <v>FM4154</v>
      </c>
      <c r="B599" s="6" t="str">
        <f>IFERROR(__xludf.DUMMYFUNCTION("""COMPUTED_VALUE"""),"RUN-COMB_2022-04-29_RFR-034")</f>
        <v>RUN-COMB_2022-04-29_RFR-034</v>
      </c>
      <c r="C599" s="7">
        <f>VLOOKUP(B599,'Run Reconcile'!A$2:B3090,2,FALSE)</f>
        <v>44680</v>
      </c>
      <c r="D599" s="11">
        <f>IFERROR(__xludf.DUMMYFUNCTION("""COMPUTED_VALUE"""),44680.0)</f>
        <v>44680</v>
      </c>
      <c r="E599" s="12">
        <f>IFERROR(__xludf.DUMMYFUNCTION("""COMPUTED_VALUE"""),0.2710763888899237)</f>
        <v>0.2710763889</v>
      </c>
      <c r="F599" s="6" t="str">
        <f>IFERROR(__xludf.DUMMYFUNCTION("""COMPUTED_VALUE"""),"Negative")</f>
        <v>Negative</v>
      </c>
      <c r="G599" s="6">
        <f>IFERROR(__xludf.DUMMYFUNCTION("""COMPUTED_VALUE"""),1.0)</f>
        <v>1</v>
      </c>
    </row>
    <row r="600">
      <c r="A600" s="6" t="str">
        <f>IFERROR(__xludf.DUMMYFUNCTION("""COMPUTED_VALUE"""),"FM4184")</f>
        <v>FM4184</v>
      </c>
      <c r="B600" s="6" t="str">
        <f>IFERROR(__xludf.DUMMYFUNCTION("""COMPUTED_VALUE"""),"RUN-COMB_2022-04-29_RFR-034")</f>
        <v>RUN-COMB_2022-04-29_RFR-034</v>
      </c>
      <c r="C600" s="7">
        <f>VLOOKUP(B600,'Run Reconcile'!A$2:B3090,2,FALSE)</f>
        <v>44680</v>
      </c>
      <c r="D600" s="11">
        <f>IFERROR(__xludf.DUMMYFUNCTION("""COMPUTED_VALUE"""),44680.0)</f>
        <v>44680</v>
      </c>
      <c r="E600" s="12">
        <f>IFERROR(__xludf.DUMMYFUNCTION("""COMPUTED_VALUE"""),0.2714351851864194)</f>
        <v>0.2714351852</v>
      </c>
      <c r="F600" s="6" t="str">
        <f>IFERROR(__xludf.DUMMYFUNCTION("""COMPUTED_VALUE"""),"Negative")</f>
        <v>Negative</v>
      </c>
      <c r="G600" s="6">
        <f>IFERROR(__xludf.DUMMYFUNCTION("""COMPUTED_VALUE"""),1.0)</f>
        <v>1</v>
      </c>
    </row>
    <row r="601">
      <c r="A601" s="6" t="str">
        <f>IFERROR(__xludf.DUMMYFUNCTION("""COMPUTED_VALUE"""),"FM4156")</f>
        <v>FM4156</v>
      </c>
      <c r="B601" s="6" t="str">
        <f>IFERROR(__xludf.DUMMYFUNCTION("""COMPUTED_VALUE"""),"RUN-COMB_2022-04-29_RFR-034")</f>
        <v>RUN-COMB_2022-04-29_RFR-034</v>
      </c>
      <c r="C601" s="7">
        <f>VLOOKUP(B601,'Run Reconcile'!A$2:B3090,2,FALSE)</f>
        <v>44680</v>
      </c>
      <c r="D601" s="11">
        <f>IFERROR(__xludf.DUMMYFUNCTION("""COMPUTED_VALUE"""),44680.0)</f>
        <v>44680</v>
      </c>
      <c r="E601" s="12">
        <f>IFERROR(__xludf.DUMMYFUNCTION("""COMPUTED_VALUE"""),0.27181712962919846)</f>
        <v>0.2718171296</v>
      </c>
      <c r="F601" s="6" t="str">
        <f>IFERROR(__xludf.DUMMYFUNCTION("""COMPUTED_VALUE"""),"Negative")</f>
        <v>Negative</v>
      </c>
      <c r="G601" s="6">
        <f>IFERROR(__xludf.DUMMYFUNCTION("""COMPUTED_VALUE"""),1.0)</f>
        <v>1</v>
      </c>
    </row>
    <row r="602">
      <c r="A602" s="6" t="str">
        <f>IFERROR(__xludf.DUMMYFUNCTION("""COMPUTED_VALUE"""),"FM4160")</f>
        <v>FM4160</v>
      </c>
      <c r="B602" s="6" t="str">
        <f>IFERROR(__xludf.DUMMYFUNCTION("""COMPUTED_VALUE"""),"RUN-COMB_2022-04-29_RFR-034")</f>
        <v>RUN-COMB_2022-04-29_RFR-034</v>
      </c>
      <c r="C602" s="7">
        <f>VLOOKUP(B602,'Run Reconcile'!A$2:B3090,2,FALSE)</f>
        <v>44680</v>
      </c>
      <c r="D602" s="11">
        <f>IFERROR(__xludf.DUMMYFUNCTION("""COMPUTED_VALUE"""),44680.0)</f>
        <v>44680</v>
      </c>
      <c r="E602" s="12">
        <f>IFERROR(__xludf.DUMMYFUNCTION("""COMPUTED_VALUE"""),0.2723148148143082)</f>
        <v>0.2723148148</v>
      </c>
      <c r="F602" s="6" t="str">
        <f>IFERROR(__xludf.DUMMYFUNCTION("""COMPUTED_VALUE"""),"Negative")</f>
        <v>Negative</v>
      </c>
      <c r="G602" s="6">
        <f>IFERROR(__xludf.DUMMYFUNCTION("""COMPUTED_VALUE"""),1.0)</f>
        <v>1</v>
      </c>
    </row>
    <row r="603">
      <c r="A603" s="6" t="str">
        <f>IFERROR(__xludf.DUMMYFUNCTION("""COMPUTED_VALUE"""),"FM4163")</f>
        <v>FM4163</v>
      </c>
      <c r="B603" s="6" t="str">
        <f>IFERROR(__xludf.DUMMYFUNCTION("""COMPUTED_VALUE"""),"RUN-COMB_2022-04-29_RFR-034")</f>
        <v>RUN-COMB_2022-04-29_RFR-034</v>
      </c>
      <c r="C603" s="7">
        <f>VLOOKUP(B603,'Run Reconcile'!A$2:B3090,2,FALSE)</f>
        <v>44680</v>
      </c>
      <c r="D603" s="11">
        <f>IFERROR(__xludf.DUMMYFUNCTION("""COMPUTED_VALUE"""),44680.0)</f>
        <v>44680</v>
      </c>
      <c r="E603" s="12">
        <f>IFERROR(__xludf.DUMMYFUNCTION("""COMPUTED_VALUE"""),0.2728124999994179)</f>
        <v>0.2728125</v>
      </c>
      <c r="F603" s="6" t="str">
        <f>IFERROR(__xludf.DUMMYFUNCTION("""COMPUTED_VALUE"""),"Negative")</f>
        <v>Negative</v>
      </c>
      <c r="G603" s="6">
        <f>IFERROR(__xludf.DUMMYFUNCTION("""COMPUTED_VALUE"""),1.0)</f>
        <v>1</v>
      </c>
    </row>
    <row r="604">
      <c r="A604" s="6" t="str">
        <f>IFERROR(__xludf.DUMMYFUNCTION("""COMPUTED_VALUE"""),"FM4148")</f>
        <v>FM4148</v>
      </c>
      <c r="B604" s="6" t="str">
        <f>IFERROR(__xludf.DUMMYFUNCTION("""COMPUTED_VALUE"""),"RUN-COMB_2022-04-29_RFR-034")</f>
        <v>RUN-COMB_2022-04-29_RFR-034</v>
      </c>
      <c r="C604" s="7">
        <f>VLOOKUP(B604,'Run Reconcile'!A$2:B3090,2,FALSE)</f>
        <v>44680</v>
      </c>
      <c r="D604" s="11">
        <f>IFERROR(__xludf.DUMMYFUNCTION("""COMPUTED_VALUE"""),44680.0)</f>
        <v>44680</v>
      </c>
      <c r="E604" s="12">
        <f>IFERROR(__xludf.DUMMYFUNCTION("""COMPUTED_VALUE"""),0.2732870370382443)</f>
        <v>0.273287037</v>
      </c>
      <c r="F604" s="6" t="str">
        <f>IFERROR(__xludf.DUMMYFUNCTION("""COMPUTED_VALUE"""),"Negative")</f>
        <v>Negative</v>
      </c>
      <c r="G604" s="6">
        <f>IFERROR(__xludf.DUMMYFUNCTION("""COMPUTED_VALUE"""),1.0)</f>
        <v>1</v>
      </c>
    </row>
    <row r="605">
      <c r="A605" s="6" t="str">
        <f>IFERROR(__xludf.DUMMYFUNCTION("""COMPUTED_VALUE"""),"FM4141")</f>
        <v>FM4141</v>
      </c>
      <c r="B605" s="6" t="str">
        <f>IFERROR(__xludf.DUMMYFUNCTION("""COMPUTED_VALUE"""),"RUN-COMB_2022-04-29_RFR-034")</f>
        <v>RUN-COMB_2022-04-29_RFR-034</v>
      </c>
      <c r="C605" s="7">
        <f>VLOOKUP(B605,'Run Reconcile'!A$2:B3090,2,FALSE)</f>
        <v>44680</v>
      </c>
      <c r="D605" s="11">
        <f>IFERROR(__xludf.DUMMYFUNCTION("""COMPUTED_VALUE"""),44680.0)</f>
        <v>44680</v>
      </c>
      <c r="E605" s="12">
        <f>IFERROR(__xludf.DUMMYFUNCTION("""COMPUTED_VALUE"""),0.2737731481465744)</f>
        <v>0.2737731481</v>
      </c>
      <c r="F605" s="6" t="str">
        <f>IFERROR(__xludf.DUMMYFUNCTION("""COMPUTED_VALUE"""),"Positive")</f>
        <v>Positive</v>
      </c>
      <c r="G605" s="6">
        <f>IFERROR(__xludf.DUMMYFUNCTION("""COMPUTED_VALUE"""),1.0)</f>
        <v>1</v>
      </c>
    </row>
    <row r="606">
      <c r="A606" s="6" t="str">
        <f>IFERROR(__xludf.DUMMYFUNCTION("""COMPUTED_VALUE"""),"FM4174")</f>
        <v>FM4174</v>
      </c>
      <c r="B606" s="6" t="str">
        <f>IFERROR(__xludf.DUMMYFUNCTION("""COMPUTED_VALUE"""),"RUN-COMB_2022-04-29_RFR-034")</f>
        <v>RUN-COMB_2022-04-29_RFR-034</v>
      </c>
      <c r="C606" s="7">
        <f>VLOOKUP(B606,'Run Reconcile'!A$2:B3090,2,FALSE)</f>
        <v>44680</v>
      </c>
      <c r="D606" s="11">
        <f>IFERROR(__xludf.DUMMYFUNCTION("""COMPUTED_VALUE"""),44680.0)</f>
        <v>44680</v>
      </c>
      <c r="E606" s="12">
        <f>IFERROR(__xludf.DUMMYFUNCTION("""COMPUTED_VALUE"""),0.2741666666661331)</f>
        <v>0.2741666667</v>
      </c>
      <c r="F606" s="6" t="str">
        <f>IFERROR(__xludf.DUMMYFUNCTION("""COMPUTED_VALUE"""),"Negative")</f>
        <v>Negative</v>
      </c>
      <c r="G606" s="6">
        <f>IFERROR(__xludf.DUMMYFUNCTION("""COMPUTED_VALUE"""),1.0)</f>
        <v>1</v>
      </c>
    </row>
    <row r="607">
      <c r="A607" s="6" t="str">
        <f>IFERROR(__xludf.DUMMYFUNCTION("""COMPUTED_VALUE"""),"FM4155")</f>
        <v>FM4155</v>
      </c>
      <c r="B607" s="6" t="str">
        <f>IFERROR(__xludf.DUMMYFUNCTION("""COMPUTED_VALUE"""),"RUN-COMB_2022-04-29_RFR-034")</f>
        <v>RUN-COMB_2022-04-29_RFR-034</v>
      </c>
      <c r="C607" s="7">
        <f>VLOOKUP(B607,'Run Reconcile'!A$2:B3090,2,FALSE)</f>
        <v>44680</v>
      </c>
      <c r="D607" s="11">
        <f>IFERROR(__xludf.DUMMYFUNCTION("""COMPUTED_VALUE"""),44680.0)</f>
        <v>44680</v>
      </c>
      <c r="E607" s="12">
        <f>IFERROR(__xludf.DUMMYFUNCTION("""COMPUTED_VALUE"""),0.2779745370353339)</f>
        <v>0.277974537</v>
      </c>
      <c r="F607" s="6" t="str">
        <f>IFERROR(__xludf.DUMMYFUNCTION("""COMPUTED_VALUE"""),"Negative")</f>
        <v>Negative</v>
      </c>
      <c r="G607" s="6">
        <f>IFERROR(__xludf.DUMMYFUNCTION("""COMPUTED_VALUE"""),1.0)</f>
        <v>1</v>
      </c>
    </row>
    <row r="608">
      <c r="A608" s="6" t="str">
        <f>IFERROR(__xludf.DUMMYFUNCTION("""COMPUTED_VALUE"""),"FM4180")</f>
        <v>FM4180</v>
      </c>
      <c r="B608" s="6" t="str">
        <f>IFERROR(__xludf.DUMMYFUNCTION("""COMPUTED_VALUE"""),"RUN-COMB_2022-04-29_RFR-034")</f>
        <v>RUN-COMB_2022-04-29_RFR-034</v>
      </c>
      <c r="C608" s="7">
        <f>VLOOKUP(B608,'Run Reconcile'!A$2:B3090,2,FALSE)</f>
        <v>44680</v>
      </c>
      <c r="D608" s="11">
        <f>IFERROR(__xludf.DUMMYFUNCTION("""COMPUTED_VALUE"""),44680.0)</f>
        <v>44680</v>
      </c>
      <c r="E608" s="12">
        <f>IFERROR(__xludf.DUMMYFUNCTION("""COMPUTED_VALUE"""),0.29474537037094706)</f>
        <v>0.2947453704</v>
      </c>
      <c r="F608" s="6" t="str">
        <f>IFERROR(__xludf.DUMMYFUNCTION("""COMPUTED_VALUE"""),"Negative")</f>
        <v>Negative</v>
      </c>
      <c r="G608" s="6">
        <f>IFERROR(__xludf.DUMMYFUNCTION("""COMPUTED_VALUE"""),1.0)</f>
        <v>1</v>
      </c>
    </row>
    <row r="609">
      <c r="A609" s="6" t="str">
        <f>IFERROR(__xludf.DUMMYFUNCTION("""COMPUTED_VALUE"""),"FM4218")</f>
        <v>FM4218</v>
      </c>
      <c r="B609" s="6" t="str">
        <f>IFERROR(__xludf.DUMMYFUNCTION("""COMPUTED_VALUE"""),"RUN-COMB_2022-04-29_RFR-034")</f>
        <v>RUN-COMB_2022-04-29_RFR-034</v>
      </c>
      <c r="C609" s="7">
        <f>VLOOKUP(B609,'Run Reconcile'!A$2:B3090,2,FALSE)</f>
        <v>44680</v>
      </c>
      <c r="D609" s="11">
        <f>IFERROR(__xludf.DUMMYFUNCTION("""COMPUTED_VALUE"""),44680.0)</f>
        <v>44680</v>
      </c>
      <c r="E609" s="12">
        <f>IFERROR(__xludf.DUMMYFUNCTION("""COMPUTED_VALUE"""),0.29513888889050577)</f>
        <v>0.2951388889</v>
      </c>
      <c r="F609" s="6" t="str">
        <f>IFERROR(__xludf.DUMMYFUNCTION("""COMPUTED_VALUE"""),"Negative")</f>
        <v>Negative</v>
      </c>
      <c r="G609" s="6">
        <f>IFERROR(__xludf.DUMMYFUNCTION("""COMPUTED_VALUE"""),1.0)</f>
        <v>1</v>
      </c>
    </row>
    <row r="610">
      <c r="A610" s="6" t="str">
        <f>IFERROR(__xludf.DUMMYFUNCTION("""COMPUTED_VALUE"""),"FM4216")</f>
        <v>FM4216</v>
      </c>
      <c r="B610" s="6" t="str">
        <f>IFERROR(__xludf.DUMMYFUNCTION("""COMPUTED_VALUE"""),"RUN-COMB_2022-05-09_RFR-035")</f>
        <v>RUN-COMB_2022-05-09_RFR-035</v>
      </c>
      <c r="C610" s="7">
        <f>VLOOKUP(B610,'Run Reconcile'!A$2:B3090,2,FALSE)</f>
        <v>44690</v>
      </c>
      <c r="D610" s="11">
        <f>IFERROR(__xludf.DUMMYFUNCTION("""COMPUTED_VALUE"""),44690.0)</f>
        <v>44690</v>
      </c>
      <c r="E610" s="12">
        <f>IFERROR(__xludf.DUMMYFUNCTION("""COMPUTED_VALUE"""),0.69001157407547)</f>
        <v>0.6900115741</v>
      </c>
      <c r="F610" s="6" t="str">
        <f>IFERROR(__xludf.DUMMYFUNCTION("""COMPUTED_VALUE"""),"Negative")</f>
        <v>Negative</v>
      </c>
      <c r="G610" s="6">
        <f>IFERROR(__xludf.DUMMYFUNCTION("""COMPUTED_VALUE"""),1.0)</f>
        <v>1</v>
      </c>
    </row>
    <row r="611">
      <c r="A611" s="6" t="str">
        <f>IFERROR(__xludf.DUMMYFUNCTION("""COMPUTED_VALUE"""),"FM4238")</f>
        <v>FM4238</v>
      </c>
      <c r="B611" s="6" t="str">
        <f>IFERROR(__xludf.DUMMYFUNCTION("""COMPUTED_VALUE"""),"RUN-COMB_2022-05-09_RFR-035")</f>
        <v>RUN-COMB_2022-05-09_RFR-035</v>
      </c>
      <c r="C611" s="7">
        <f>VLOOKUP(B611,'Run Reconcile'!A$2:B3090,2,FALSE)</f>
        <v>44690</v>
      </c>
      <c r="D611" s="11">
        <f>IFERROR(__xludf.DUMMYFUNCTION("""COMPUTED_VALUE"""),44690.0)</f>
        <v>44690</v>
      </c>
      <c r="E611" s="12">
        <f>IFERROR(__xludf.DUMMYFUNCTION("""COMPUTED_VALUE"""),0.6915856481464289)</f>
        <v>0.6915856481</v>
      </c>
      <c r="F611" s="6" t="str">
        <f>IFERROR(__xludf.DUMMYFUNCTION("""COMPUTED_VALUE"""),"Negative")</f>
        <v>Negative</v>
      </c>
      <c r="G611" s="6">
        <f>IFERROR(__xludf.DUMMYFUNCTION("""COMPUTED_VALUE"""),1.0)</f>
        <v>1</v>
      </c>
    </row>
    <row r="612">
      <c r="A612" s="6" t="str">
        <f>IFERROR(__xludf.DUMMYFUNCTION("""COMPUTED_VALUE"""),"FM4225")</f>
        <v>FM4225</v>
      </c>
      <c r="B612" s="6" t="str">
        <f>IFERROR(__xludf.DUMMYFUNCTION("""COMPUTED_VALUE"""),"RUN-COMB_2022-05-09_RFR-035")</f>
        <v>RUN-COMB_2022-05-09_RFR-035</v>
      </c>
      <c r="C612" s="7">
        <f>VLOOKUP(B612,'Run Reconcile'!A$2:B3090,2,FALSE)</f>
        <v>44690</v>
      </c>
      <c r="D612" s="11">
        <f>IFERROR(__xludf.DUMMYFUNCTION("""COMPUTED_VALUE"""),44690.0)</f>
        <v>44690</v>
      </c>
      <c r="E612" s="12">
        <f>IFERROR(__xludf.DUMMYFUNCTION("""COMPUTED_VALUE"""),0.6920833333315386)</f>
        <v>0.6920833333</v>
      </c>
      <c r="F612" s="6" t="str">
        <f>IFERROR(__xludf.DUMMYFUNCTION("""COMPUTED_VALUE"""),"Negative")</f>
        <v>Negative</v>
      </c>
      <c r="G612" s="6">
        <f>IFERROR(__xludf.DUMMYFUNCTION("""COMPUTED_VALUE"""),1.0)</f>
        <v>1</v>
      </c>
    </row>
    <row r="613">
      <c r="A613" s="6" t="str">
        <f>IFERROR(__xludf.DUMMYFUNCTION("""COMPUTED_VALUE"""),"FM4215")</f>
        <v>FM4215</v>
      </c>
      <c r="B613" s="6" t="str">
        <f>IFERROR(__xludf.DUMMYFUNCTION("""COMPUTED_VALUE"""),"RUN-COMB_2022-05-09_RFR-035")</f>
        <v>RUN-COMB_2022-05-09_RFR-035</v>
      </c>
      <c r="C613" s="7">
        <f>VLOOKUP(B613,'Run Reconcile'!A$2:B3090,2,FALSE)</f>
        <v>44690</v>
      </c>
      <c r="D613" s="11">
        <f>IFERROR(__xludf.DUMMYFUNCTION("""COMPUTED_VALUE"""),44690.0)</f>
        <v>44690</v>
      </c>
      <c r="E613" s="12">
        <f>IFERROR(__xludf.DUMMYFUNCTION("""COMPUTED_VALUE"""),0.6936574074061355)</f>
        <v>0.6936574074</v>
      </c>
      <c r="F613" s="6" t="str">
        <f>IFERROR(__xludf.DUMMYFUNCTION("""COMPUTED_VALUE"""),"Negative")</f>
        <v>Negative</v>
      </c>
      <c r="G613" s="6">
        <f>IFERROR(__xludf.DUMMYFUNCTION("""COMPUTED_VALUE"""),1.0)</f>
        <v>1</v>
      </c>
    </row>
    <row r="614">
      <c r="A614" s="6" t="str">
        <f>IFERROR(__xludf.DUMMYFUNCTION("""COMPUTED_VALUE"""),"FM4187")</f>
        <v>FM4187</v>
      </c>
      <c r="B614" s="6" t="str">
        <f>IFERROR(__xludf.DUMMYFUNCTION("""COMPUTED_VALUE"""),"RUN-COMB_2022-05-09_RFR-035")</f>
        <v>RUN-COMB_2022-05-09_RFR-035</v>
      </c>
      <c r="C614" s="7">
        <f>VLOOKUP(B614,'Run Reconcile'!A$2:B3090,2,FALSE)</f>
        <v>44690</v>
      </c>
      <c r="D614" s="11">
        <f>IFERROR(__xludf.DUMMYFUNCTION("""COMPUTED_VALUE"""),44690.0)</f>
        <v>44690</v>
      </c>
      <c r="E614" s="12">
        <f>IFERROR(__xludf.DUMMYFUNCTION("""COMPUTED_VALUE"""),0.6942245370373712)</f>
        <v>0.694224537</v>
      </c>
      <c r="F614" s="6" t="str">
        <f>IFERROR(__xludf.DUMMYFUNCTION("""COMPUTED_VALUE"""),"Negative")</f>
        <v>Negative</v>
      </c>
      <c r="G614" s="6">
        <f>IFERROR(__xludf.DUMMYFUNCTION("""COMPUTED_VALUE"""),1.0)</f>
        <v>1</v>
      </c>
    </row>
    <row r="615">
      <c r="A615" s="6" t="str">
        <f>IFERROR(__xludf.DUMMYFUNCTION("""COMPUTED_VALUE"""),"FM4229")</f>
        <v>FM4229</v>
      </c>
      <c r="B615" s="6" t="str">
        <f>IFERROR(__xludf.DUMMYFUNCTION("""COMPUTED_VALUE"""),"RUN-COMB_2022-05-09_RFR-035")</f>
        <v>RUN-COMB_2022-05-09_RFR-035</v>
      </c>
      <c r="C615" s="7">
        <f>VLOOKUP(B615,'Run Reconcile'!A$2:B3090,2,FALSE)</f>
        <v>44690</v>
      </c>
      <c r="D615" s="11">
        <f>IFERROR(__xludf.DUMMYFUNCTION("""COMPUTED_VALUE"""),44690.0)</f>
        <v>44690</v>
      </c>
      <c r="E615" s="12">
        <f>IFERROR(__xludf.DUMMYFUNCTION("""COMPUTED_VALUE"""),0.6954050925924093)</f>
        <v>0.6954050926</v>
      </c>
      <c r="F615" s="6" t="str">
        <f>IFERROR(__xludf.DUMMYFUNCTION("""COMPUTED_VALUE"""),"Negative")</f>
        <v>Negative</v>
      </c>
      <c r="G615" s="6">
        <f>IFERROR(__xludf.DUMMYFUNCTION("""COMPUTED_VALUE"""),1.0)</f>
        <v>1</v>
      </c>
    </row>
    <row r="616">
      <c r="A616" s="6" t="str">
        <f>IFERROR(__xludf.DUMMYFUNCTION("""COMPUTED_VALUE"""),"FM4213")</f>
        <v>FM4213</v>
      </c>
      <c r="B616" s="6" t="str">
        <f>IFERROR(__xludf.DUMMYFUNCTION("""COMPUTED_VALUE"""),"RUN-COMB_2022-05-09_RFR-035")</f>
        <v>RUN-COMB_2022-05-09_RFR-035</v>
      </c>
      <c r="C616" s="7">
        <f>VLOOKUP(B616,'Run Reconcile'!A$2:B3090,2,FALSE)</f>
        <v>44690</v>
      </c>
      <c r="D616" s="11">
        <f>IFERROR(__xludf.DUMMYFUNCTION("""COMPUTED_VALUE"""),44690.0)</f>
        <v>44690</v>
      </c>
      <c r="E616" s="12">
        <f>IFERROR(__xludf.DUMMYFUNCTION("""COMPUTED_VALUE"""),0.6958564814813144)</f>
        <v>0.6958564815</v>
      </c>
      <c r="F616" s="6" t="str">
        <f>IFERROR(__xludf.DUMMYFUNCTION("""COMPUTED_VALUE"""),"Negative")</f>
        <v>Negative</v>
      </c>
      <c r="G616" s="6">
        <f>IFERROR(__xludf.DUMMYFUNCTION("""COMPUTED_VALUE"""),1.0)</f>
        <v>1</v>
      </c>
    </row>
    <row r="617">
      <c r="A617" s="6" t="str">
        <f>IFERROR(__xludf.DUMMYFUNCTION("""COMPUTED_VALUE"""),"FM4145")</f>
        <v>FM4145</v>
      </c>
      <c r="B617" s="6" t="str">
        <f>IFERROR(__xludf.DUMMYFUNCTION("""COMPUTED_VALUE"""),"RUN-COMB_2022-05-09_RFR-035")</f>
        <v>RUN-COMB_2022-05-09_RFR-035</v>
      </c>
      <c r="C617" s="7">
        <f>VLOOKUP(B617,'Run Reconcile'!A$2:B3090,2,FALSE)</f>
        <v>44690</v>
      </c>
      <c r="D617" s="11">
        <f>IFERROR(__xludf.DUMMYFUNCTION("""COMPUTED_VALUE"""),44690.0)</f>
        <v>44690</v>
      </c>
      <c r="E617" s="12">
        <f>IFERROR(__xludf.DUMMYFUNCTION("""COMPUTED_VALUE"""),0.6962731481471565)</f>
        <v>0.6962731481</v>
      </c>
      <c r="F617" s="6" t="str">
        <f>IFERROR(__xludf.DUMMYFUNCTION("""COMPUTED_VALUE"""),"Negative")</f>
        <v>Negative</v>
      </c>
      <c r="G617" s="6">
        <f>IFERROR(__xludf.DUMMYFUNCTION("""COMPUTED_VALUE"""),1.0)</f>
        <v>1</v>
      </c>
    </row>
    <row r="618">
      <c r="A618" s="6" t="str">
        <f>IFERROR(__xludf.DUMMYFUNCTION("""COMPUTED_VALUE"""),"FM4234")</f>
        <v>FM4234</v>
      </c>
      <c r="B618" s="6" t="str">
        <f>IFERROR(__xludf.DUMMYFUNCTION("""COMPUTED_VALUE"""),"RUN-COMB_2022-05-09_RFR-035")</f>
        <v>RUN-COMB_2022-05-09_RFR-035</v>
      </c>
      <c r="C618" s="7">
        <f>VLOOKUP(B618,'Run Reconcile'!A$2:B3090,2,FALSE)</f>
        <v>44690</v>
      </c>
      <c r="D618" s="11">
        <f>IFERROR(__xludf.DUMMYFUNCTION("""COMPUTED_VALUE"""),44690.0)</f>
        <v>44690</v>
      </c>
      <c r="E618" s="12">
        <f>IFERROR(__xludf.DUMMYFUNCTION("""COMPUTED_VALUE"""),0.6976967592599976)</f>
        <v>0.6976967593</v>
      </c>
      <c r="F618" s="6" t="str">
        <f>IFERROR(__xludf.DUMMYFUNCTION("""COMPUTED_VALUE"""),"Negative")</f>
        <v>Negative</v>
      </c>
      <c r="G618" s="6">
        <f>IFERROR(__xludf.DUMMYFUNCTION("""COMPUTED_VALUE"""),1.0)</f>
        <v>1</v>
      </c>
    </row>
    <row r="619">
      <c r="A619" s="6" t="str">
        <f>IFERROR(__xludf.DUMMYFUNCTION("""COMPUTED_VALUE"""),"FM4198")</f>
        <v>FM4198</v>
      </c>
      <c r="B619" s="6" t="str">
        <f>IFERROR(__xludf.DUMMYFUNCTION("""COMPUTED_VALUE"""),"RUN-COMB_2022-05-09_RFR-035")</f>
        <v>RUN-COMB_2022-05-09_RFR-035</v>
      </c>
      <c r="C619" s="7">
        <f>VLOOKUP(B619,'Run Reconcile'!A$2:B3090,2,FALSE)</f>
        <v>44690</v>
      </c>
      <c r="D619" s="11">
        <f>IFERROR(__xludf.DUMMYFUNCTION("""COMPUTED_VALUE"""),44690.0)</f>
        <v>44690</v>
      </c>
      <c r="E619" s="12">
        <f>IFERROR(__xludf.DUMMYFUNCTION("""COMPUTED_VALUE"""),0.698032407406572)</f>
        <v>0.6980324074</v>
      </c>
      <c r="F619" s="6" t="str">
        <f>IFERROR(__xludf.DUMMYFUNCTION("""COMPUTED_VALUE"""),"Negative")</f>
        <v>Negative</v>
      </c>
      <c r="G619" s="6">
        <f>IFERROR(__xludf.DUMMYFUNCTION("""COMPUTED_VALUE"""),1.0)</f>
        <v>1</v>
      </c>
    </row>
    <row r="620">
      <c r="A620" s="6" t="str">
        <f>IFERROR(__xludf.DUMMYFUNCTION("""COMPUTED_VALUE"""),"FM4199")</f>
        <v>FM4199</v>
      </c>
      <c r="B620" s="6" t="str">
        <f>IFERROR(__xludf.DUMMYFUNCTION("""COMPUTED_VALUE"""),"RUN-COMB_2022-05-09_RFR-035")</f>
        <v>RUN-COMB_2022-05-09_RFR-035</v>
      </c>
      <c r="C620" s="7">
        <f>VLOOKUP(B620,'Run Reconcile'!A$2:B3090,2,FALSE)</f>
        <v>44690</v>
      </c>
      <c r="D620" s="11">
        <f>IFERROR(__xludf.DUMMYFUNCTION("""COMPUTED_VALUE"""),44690.0)</f>
        <v>44690</v>
      </c>
      <c r="E620" s="12">
        <f>IFERROR(__xludf.DUMMYFUNCTION("""COMPUTED_VALUE"""),0.7028009259265673)</f>
        <v>0.7028009259</v>
      </c>
      <c r="F620" s="6" t="str">
        <f>IFERROR(__xludf.DUMMYFUNCTION("""COMPUTED_VALUE"""),"Negative")</f>
        <v>Negative</v>
      </c>
      <c r="G620" s="6">
        <f>IFERROR(__xludf.DUMMYFUNCTION("""COMPUTED_VALUE"""),1.0)</f>
        <v>1</v>
      </c>
    </row>
    <row r="621">
      <c r="A621" s="6" t="str">
        <f>IFERROR(__xludf.DUMMYFUNCTION("""COMPUTED_VALUE"""),"FM4146")</f>
        <v>FM4146</v>
      </c>
      <c r="B621" s="6" t="str">
        <f>IFERROR(__xludf.DUMMYFUNCTION("""COMPUTED_VALUE"""),"RUN-COMB_2022-05-09_RFR-035")</f>
        <v>RUN-COMB_2022-05-09_RFR-035</v>
      </c>
      <c r="C621" s="7">
        <f>VLOOKUP(B621,'Run Reconcile'!A$2:B3090,2,FALSE)</f>
        <v>44690</v>
      </c>
      <c r="D621" s="11">
        <f>IFERROR(__xludf.DUMMYFUNCTION("""COMPUTED_VALUE"""),44690.0)</f>
        <v>44690</v>
      </c>
      <c r="E621" s="12">
        <f>IFERROR(__xludf.DUMMYFUNCTION("""COMPUTED_VALUE"""),0.703229166665551)</f>
        <v>0.7032291667</v>
      </c>
      <c r="F621" s="6" t="str">
        <f>IFERROR(__xludf.DUMMYFUNCTION("""COMPUTED_VALUE"""),"Negative")</f>
        <v>Negative</v>
      </c>
      <c r="G621" s="6">
        <f>IFERROR(__xludf.DUMMYFUNCTION("""COMPUTED_VALUE"""),1.0)</f>
        <v>1</v>
      </c>
    </row>
    <row r="622">
      <c r="A622" s="6" t="str">
        <f>IFERROR(__xludf.DUMMYFUNCTION("""COMPUTED_VALUE"""),"FM4150")</f>
        <v>FM4150</v>
      </c>
      <c r="B622" s="6" t="str">
        <f>IFERROR(__xludf.DUMMYFUNCTION("""COMPUTED_VALUE"""),"RUN-COMB_2022-05-09_RFR-035")</f>
        <v>RUN-COMB_2022-05-09_RFR-035</v>
      </c>
      <c r="C622" s="7">
        <f>VLOOKUP(B622,'Run Reconcile'!A$2:B3090,2,FALSE)</f>
        <v>44690</v>
      </c>
      <c r="D622" s="11">
        <f>IFERROR(__xludf.DUMMYFUNCTION("""COMPUTED_VALUE"""),44690.0)</f>
        <v>44690</v>
      </c>
      <c r="E622" s="12">
        <f>IFERROR(__xludf.DUMMYFUNCTION("""COMPUTED_VALUE"""),0.7066203703689098)</f>
        <v>0.7066203704</v>
      </c>
      <c r="F622" s="6" t="str">
        <f>IFERROR(__xludf.DUMMYFUNCTION("""COMPUTED_VALUE"""),"Negative")</f>
        <v>Negative</v>
      </c>
      <c r="G622" s="6">
        <f>IFERROR(__xludf.DUMMYFUNCTION("""COMPUTED_VALUE"""),1.0)</f>
        <v>1</v>
      </c>
    </row>
    <row r="623">
      <c r="A623" s="6" t="str">
        <f>IFERROR(__xludf.DUMMYFUNCTION("""COMPUTED_VALUE"""),"FM4195")</f>
        <v>FM4195</v>
      </c>
      <c r="B623" s="6" t="str">
        <f>IFERROR(__xludf.DUMMYFUNCTION("""COMPUTED_VALUE"""),"RUN-COMB_2022-05-09_RFR-035")</f>
        <v>RUN-COMB_2022-05-09_RFR-035</v>
      </c>
      <c r="C623" s="7">
        <f>VLOOKUP(B623,'Run Reconcile'!A$2:B3090,2,FALSE)</f>
        <v>44690</v>
      </c>
      <c r="D623" s="11">
        <f>IFERROR(__xludf.DUMMYFUNCTION("""COMPUTED_VALUE"""),44690.0)</f>
        <v>44690</v>
      </c>
      <c r="E623" s="12">
        <f>IFERROR(__xludf.DUMMYFUNCTION("""COMPUTED_VALUE"""),0.7078472222237906)</f>
        <v>0.7078472222</v>
      </c>
      <c r="F623" s="6" t="str">
        <f>IFERROR(__xludf.DUMMYFUNCTION("""COMPUTED_VALUE"""),"Negative")</f>
        <v>Negative</v>
      </c>
      <c r="G623" s="6">
        <f>IFERROR(__xludf.DUMMYFUNCTION("""COMPUTED_VALUE"""),1.0)</f>
        <v>1</v>
      </c>
    </row>
    <row r="624">
      <c r="A624" s="6" t="str">
        <f>IFERROR(__xludf.DUMMYFUNCTION("""COMPUTED_VALUE"""),"FM4206")</f>
        <v>FM4206</v>
      </c>
      <c r="B624" s="6" t="str">
        <f>IFERROR(__xludf.DUMMYFUNCTION("""COMPUTED_VALUE"""),"RUN-COMB_2022-05-09_RFR-035")</f>
        <v>RUN-COMB_2022-05-09_RFR-035</v>
      </c>
      <c r="C624" s="7">
        <f>VLOOKUP(B624,'Run Reconcile'!A$2:B3090,2,FALSE)</f>
        <v>44690</v>
      </c>
      <c r="D624" s="11">
        <f>IFERROR(__xludf.DUMMYFUNCTION("""COMPUTED_VALUE"""),44690.0)</f>
        <v>44690</v>
      </c>
      <c r="E624" s="12">
        <f>IFERROR(__xludf.DUMMYFUNCTION("""COMPUTED_VALUE"""),0.7090046296289074)</f>
        <v>0.7090046296</v>
      </c>
      <c r="F624" s="6" t="str">
        <f>IFERROR(__xludf.DUMMYFUNCTION("""COMPUTED_VALUE"""),"Negative")</f>
        <v>Negative</v>
      </c>
      <c r="G624" s="6">
        <f>IFERROR(__xludf.DUMMYFUNCTION("""COMPUTED_VALUE"""),1.0)</f>
        <v>1</v>
      </c>
    </row>
    <row r="625">
      <c r="A625" s="6" t="str">
        <f>IFERROR(__xludf.DUMMYFUNCTION("""COMPUTED_VALUE"""),"FM4221")</f>
        <v>FM4221</v>
      </c>
      <c r="B625" s="6" t="str">
        <f>IFERROR(__xludf.DUMMYFUNCTION("""COMPUTED_VALUE"""),"RUN-COMB_2022-05-09_RFR-035")</f>
        <v>RUN-COMB_2022-05-09_RFR-035</v>
      </c>
      <c r="C625" s="7">
        <f>VLOOKUP(B625,'Run Reconcile'!A$2:B3090,2,FALSE)</f>
        <v>44690</v>
      </c>
      <c r="D625" s="11">
        <f>IFERROR(__xludf.DUMMYFUNCTION("""COMPUTED_VALUE"""),44690.0)</f>
        <v>44690</v>
      </c>
      <c r="E625" s="12">
        <f>IFERROR(__xludf.DUMMYFUNCTION("""COMPUTED_VALUE"""),0.7195949074084638)</f>
        <v>0.7195949074</v>
      </c>
      <c r="F625" s="6" t="str">
        <f>IFERROR(__xludf.DUMMYFUNCTION("""COMPUTED_VALUE"""),"Negative")</f>
        <v>Negative</v>
      </c>
      <c r="G625" s="6">
        <f>IFERROR(__xludf.DUMMYFUNCTION("""COMPUTED_VALUE"""),1.0)</f>
        <v>1</v>
      </c>
    </row>
    <row r="626">
      <c r="A626" s="6" t="str">
        <f>IFERROR(__xludf.DUMMYFUNCTION("""COMPUTED_VALUE"""),"FM4162")</f>
        <v>FM4162</v>
      </c>
      <c r="B626" s="6" t="str">
        <f>IFERROR(__xludf.DUMMYFUNCTION("""COMPUTED_VALUE"""),"RUN-COMB_2022-05-09_RFR-035")</f>
        <v>RUN-COMB_2022-05-09_RFR-035</v>
      </c>
      <c r="C626" s="7">
        <f>VLOOKUP(B626,'Run Reconcile'!A$2:B3090,2,FALSE)</f>
        <v>44690</v>
      </c>
      <c r="D626" s="11">
        <f>IFERROR(__xludf.DUMMYFUNCTION("""COMPUTED_VALUE"""),44690.0)</f>
        <v>44690</v>
      </c>
      <c r="E626" s="12">
        <f>IFERROR(__xludf.DUMMYFUNCTION("""COMPUTED_VALUE"""),0.7202314814821875)</f>
        <v>0.7202314815</v>
      </c>
      <c r="F626" s="6" t="str">
        <f>IFERROR(__xludf.DUMMYFUNCTION("""COMPUTED_VALUE"""),"Negative")</f>
        <v>Negative</v>
      </c>
      <c r="G626" s="6">
        <f>IFERROR(__xludf.DUMMYFUNCTION("""COMPUTED_VALUE"""),1.0)</f>
        <v>1</v>
      </c>
    </row>
    <row r="627">
      <c r="A627" s="6" t="str">
        <f>IFERROR(__xludf.DUMMYFUNCTION("""COMPUTED_VALUE"""),"FM4183")</f>
        <v>FM4183</v>
      </c>
      <c r="B627" s="6" t="str">
        <f>IFERROR(__xludf.DUMMYFUNCTION("""COMPUTED_VALUE"""),"RUN-COMB_2022-05-09_RFR-035")</f>
        <v>RUN-COMB_2022-05-09_RFR-035</v>
      </c>
      <c r="C627" s="7">
        <f>VLOOKUP(B627,'Run Reconcile'!A$2:B3090,2,FALSE)</f>
        <v>44690</v>
      </c>
      <c r="D627" s="11">
        <f>IFERROR(__xludf.DUMMYFUNCTION("""COMPUTED_VALUE"""),44690.0)</f>
        <v>44690</v>
      </c>
      <c r="E627" s="12">
        <f>IFERROR(__xludf.DUMMYFUNCTION("""COMPUTED_VALUE"""),0.721226851852407)</f>
        <v>0.7212268519</v>
      </c>
      <c r="F627" s="6" t="str">
        <f>IFERROR(__xludf.DUMMYFUNCTION("""COMPUTED_VALUE"""),"Negative")</f>
        <v>Negative</v>
      </c>
      <c r="G627" s="6">
        <f>IFERROR(__xludf.DUMMYFUNCTION("""COMPUTED_VALUE"""),1.0)</f>
        <v>1</v>
      </c>
    </row>
    <row r="628">
      <c r="A628" s="6" t="str">
        <f>IFERROR(__xludf.DUMMYFUNCTION("""COMPUTED_VALUE"""),"FM4209")</f>
        <v>FM4209</v>
      </c>
      <c r="B628" s="6" t="str">
        <f>IFERROR(__xludf.DUMMYFUNCTION("""COMPUTED_VALUE"""),"RUN-COMB_2022-05-09_RFR-035")</f>
        <v>RUN-COMB_2022-05-09_RFR-035</v>
      </c>
      <c r="C628" s="7">
        <f>VLOOKUP(B628,'Run Reconcile'!A$2:B3090,2,FALSE)</f>
        <v>44690</v>
      </c>
      <c r="D628" s="11">
        <f>IFERROR(__xludf.DUMMYFUNCTION("""COMPUTED_VALUE"""),44690.0)</f>
        <v>44690</v>
      </c>
      <c r="E628" s="12">
        <f>IFERROR(__xludf.DUMMYFUNCTION("""COMPUTED_VALUE"""),0.7220138888878864)</f>
        <v>0.7220138889</v>
      </c>
      <c r="F628" s="6" t="str">
        <f>IFERROR(__xludf.DUMMYFUNCTION("""COMPUTED_VALUE"""),"Negative")</f>
        <v>Negative</v>
      </c>
      <c r="G628" s="6">
        <f>IFERROR(__xludf.DUMMYFUNCTION("""COMPUTED_VALUE"""),1.0)</f>
        <v>1</v>
      </c>
    </row>
    <row r="629">
      <c r="A629" s="6" t="str">
        <f>IFERROR(__xludf.DUMMYFUNCTION("""COMPUTED_VALUE"""),"FM4201")</f>
        <v>FM4201</v>
      </c>
      <c r="B629" s="6" t="str">
        <f>IFERROR(__xludf.DUMMYFUNCTION("""COMPUTED_VALUE"""),"RUN-COMB_2022-05-09_RFR-035")</f>
        <v>RUN-COMB_2022-05-09_RFR-035</v>
      </c>
      <c r="C629" s="7">
        <f>VLOOKUP(B629,'Run Reconcile'!A$2:B3090,2,FALSE)</f>
        <v>44690</v>
      </c>
      <c r="D629" s="11">
        <f>IFERROR(__xludf.DUMMYFUNCTION("""COMPUTED_VALUE"""),44690.0)</f>
        <v>44690</v>
      </c>
      <c r="E629" s="12">
        <f>IFERROR(__xludf.DUMMYFUNCTION("""COMPUTED_VALUE"""),0.7227777777770825)</f>
        <v>0.7227777778</v>
      </c>
      <c r="F629" s="6" t="str">
        <f>IFERROR(__xludf.DUMMYFUNCTION("""COMPUTED_VALUE"""),"Negative")</f>
        <v>Negative</v>
      </c>
      <c r="G629" s="6">
        <f>IFERROR(__xludf.DUMMYFUNCTION("""COMPUTED_VALUE"""),1.0)</f>
        <v>1</v>
      </c>
    </row>
    <row r="630">
      <c r="A630" s="6" t="str">
        <f>IFERROR(__xludf.DUMMYFUNCTION("""COMPUTED_VALUE"""),"FM4172")</f>
        <v>FM4172</v>
      </c>
      <c r="B630" s="6" t="str">
        <f>IFERROR(__xludf.DUMMYFUNCTION("""COMPUTED_VALUE"""),"RUN-COMB_2022-05-09_RFR-035")</f>
        <v>RUN-COMB_2022-05-09_RFR-035</v>
      </c>
      <c r="C630" s="7">
        <f>VLOOKUP(B630,'Run Reconcile'!A$2:B3090,2,FALSE)</f>
        <v>44690</v>
      </c>
      <c r="D630" s="11">
        <f>IFERROR(__xludf.DUMMYFUNCTION("""COMPUTED_VALUE"""),44690.0)</f>
        <v>44690</v>
      </c>
      <c r="E630" s="12">
        <f>IFERROR(__xludf.DUMMYFUNCTION("""COMPUTED_VALUE"""),0.7233912037045229)</f>
        <v>0.7233912037</v>
      </c>
      <c r="F630" s="6" t="str">
        <f>IFERROR(__xludf.DUMMYFUNCTION("""COMPUTED_VALUE"""),"Negative")</f>
        <v>Negative</v>
      </c>
      <c r="G630" s="6">
        <f>IFERROR(__xludf.DUMMYFUNCTION("""COMPUTED_VALUE"""),1.0)</f>
        <v>1</v>
      </c>
    </row>
    <row r="631">
      <c r="A631" s="6" t="str">
        <f>IFERROR(__xludf.DUMMYFUNCTION("""COMPUTED_VALUE"""),"FM4169")</f>
        <v>FM4169</v>
      </c>
      <c r="B631" s="6" t="str">
        <f>IFERROR(__xludf.DUMMYFUNCTION("""COMPUTED_VALUE"""),"RUN-COMB_2022-05-09_RFR-035")</f>
        <v>RUN-COMB_2022-05-09_RFR-035</v>
      </c>
      <c r="C631" s="7">
        <f>VLOOKUP(B631,'Run Reconcile'!A$2:B3090,2,FALSE)</f>
        <v>44690</v>
      </c>
      <c r="D631" s="11">
        <f>IFERROR(__xludf.DUMMYFUNCTION("""COMPUTED_VALUE"""),44690.0)</f>
        <v>44690</v>
      </c>
      <c r="E631" s="12">
        <f>IFERROR(__xludf.DUMMYFUNCTION("""COMPUTED_VALUE"""),0.7240393518513883)</f>
        <v>0.7240393519</v>
      </c>
      <c r="F631" s="6" t="str">
        <f>IFERROR(__xludf.DUMMYFUNCTION("""COMPUTED_VALUE"""),"Negative")</f>
        <v>Negative</v>
      </c>
      <c r="G631" s="6">
        <f>IFERROR(__xludf.DUMMYFUNCTION("""COMPUTED_VALUE"""),1.0)</f>
        <v>1</v>
      </c>
    </row>
    <row r="632">
      <c r="A632" s="6" t="str">
        <f>IFERROR(__xludf.DUMMYFUNCTION("""COMPUTED_VALUE"""),"FM4226")</f>
        <v>FM4226</v>
      </c>
      <c r="B632" s="6" t="str">
        <f>IFERROR(__xludf.DUMMYFUNCTION("""COMPUTED_VALUE"""),"RUN-COMB_2022-05-09_RFR-035")</f>
        <v>RUN-COMB_2022-05-09_RFR-035</v>
      </c>
      <c r="C632" s="7">
        <f>VLOOKUP(B632,'Run Reconcile'!A$2:B3090,2,FALSE)</f>
        <v>44690</v>
      </c>
      <c r="D632" s="11">
        <f>IFERROR(__xludf.DUMMYFUNCTION("""COMPUTED_VALUE"""),44690.0)</f>
        <v>44690</v>
      </c>
      <c r="E632" s="12">
        <f>IFERROR(__xludf.DUMMYFUNCTION("""COMPUTED_VALUE"""),0.7246296296289074)</f>
        <v>0.7246296296</v>
      </c>
      <c r="F632" s="6" t="str">
        <f>IFERROR(__xludf.DUMMYFUNCTION("""COMPUTED_VALUE"""),"Negative")</f>
        <v>Negative</v>
      </c>
      <c r="G632" s="6">
        <f>IFERROR(__xludf.DUMMYFUNCTION("""COMPUTED_VALUE"""),1.0)</f>
        <v>1</v>
      </c>
    </row>
    <row r="633">
      <c r="A633" s="6" t="str">
        <f>IFERROR(__xludf.DUMMYFUNCTION("""COMPUTED_VALUE"""),"FM4197")</f>
        <v>FM4197</v>
      </c>
      <c r="B633" s="6" t="str">
        <f>IFERROR(__xludf.DUMMYFUNCTION("""COMPUTED_VALUE"""),"RUN-COMB_2022-05-09_RFR-035")</f>
        <v>RUN-COMB_2022-05-09_RFR-035</v>
      </c>
      <c r="C633" s="7">
        <f>VLOOKUP(B633,'Run Reconcile'!A$2:B3090,2,FALSE)</f>
        <v>44690</v>
      </c>
      <c r="D633" s="11">
        <f>IFERROR(__xludf.DUMMYFUNCTION("""COMPUTED_VALUE"""),44690.0)</f>
        <v>44690</v>
      </c>
      <c r="E633" s="12">
        <f>IFERROR(__xludf.DUMMYFUNCTION("""COMPUTED_VALUE"""),0.7326620370367891)</f>
        <v>0.732662037</v>
      </c>
      <c r="F633" s="6" t="str">
        <f>IFERROR(__xludf.DUMMYFUNCTION("""COMPUTED_VALUE"""),"Negative")</f>
        <v>Negative</v>
      </c>
      <c r="G633" s="6">
        <f>IFERROR(__xludf.DUMMYFUNCTION("""COMPUTED_VALUE"""),1.0)</f>
        <v>1</v>
      </c>
    </row>
    <row r="634">
      <c r="A634" s="6" t="str">
        <f>IFERROR(__xludf.DUMMYFUNCTION("""COMPUTED_VALUE"""),"FM4191")</f>
        <v>FM4191</v>
      </c>
      <c r="B634" s="6" t="str">
        <f>IFERROR(__xludf.DUMMYFUNCTION("""COMPUTED_VALUE"""),"RUN-COMB_2022-05-09_RFR-035")</f>
        <v>RUN-COMB_2022-05-09_RFR-035</v>
      </c>
      <c r="C634" s="7">
        <f>VLOOKUP(B634,'Run Reconcile'!A$2:B3090,2,FALSE)</f>
        <v>44690</v>
      </c>
      <c r="D634" s="11">
        <f>IFERROR(__xludf.DUMMYFUNCTION("""COMPUTED_VALUE"""),44690.0)</f>
        <v>44690</v>
      </c>
      <c r="E634" s="12">
        <f>IFERROR(__xludf.DUMMYFUNCTION("""COMPUTED_VALUE"""),0.7389004629621923)</f>
        <v>0.738900463</v>
      </c>
      <c r="F634" s="6" t="str">
        <f>IFERROR(__xludf.DUMMYFUNCTION("""COMPUTED_VALUE"""),"Negative")</f>
        <v>Negative</v>
      </c>
      <c r="G634" s="6">
        <f>IFERROR(__xludf.DUMMYFUNCTION("""COMPUTED_VALUE"""),1.0)</f>
        <v>1</v>
      </c>
    </row>
    <row r="635">
      <c r="A635" s="6" t="str">
        <f>IFERROR(__xludf.DUMMYFUNCTION("""COMPUTED_VALUE"""),"FM4208")</f>
        <v>FM4208</v>
      </c>
      <c r="B635" s="6" t="str">
        <f>IFERROR(__xludf.DUMMYFUNCTION("""COMPUTED_VALUE"""),"RUN-COMB_2022-05-09_RFR-035")</f>
        <v>RUN-COMB_2022-05-09_RFR-035</v>
      </c>
      <c r="C635" s="7">
        <f>VLOOKUP(B635,'Run Reconcile'!A$2:B3090,2,FALSE)</f>
        <v>44690</v>
      </c>
      <c r="D635" s="11">
        <f>IFERROR(__xludf.DUMMYFUNCTION("""COMPUTED_VALUE"""),44690.0)</f>
        <v>44690</v>
      </c>
      <c r="E635" s="12">
        <f>IFERROR(__xludf.DUMMYFUNCTION("""COMPUTED_VALUE"""),0.7451736111106584)</f>
        <v>0.7451736111</v>
      </c>
      <c r="F635" s="6" t="str">
        <f>IFERROR(__xludf.DUMMYFUNCTION("""COMPUTED_VALUE"""),"Negative")</f>
        <v>Negative</v>
      </c>
      <c r="G635" s="6">
        <f>IFERROR(__xludf.DUMMYFUNCTION("""COMPUTED_VALUE"""),1.0)</f>
        <v>1</v>
      </c>
    </row>
    <row r="636">
      <c r="A636" s="6" t="str">
        <f>IFERROR(__xludf.DUMMYFUNCTION("""COMPUTED_VALUE"""),"FM4203")</f>
        <v>FM4203</v>
      </c>
      <c r="B636" s="6" t="str">
        <f>IFERROR(__xludf.DUMMYFUNCTION("""COMPUTED_VALUE"""),"RUN-COMB_2022-05-09_RFR-035")</f>
        <v>RUN-COMB_2022-05-09_RFR-035</v>
      </c>
      <c r="C636" s="7">
        <f>VLOOKUP(B636,'Run Reconcile'!A$2:B3090,2,FALSE)</f>
        <v>44690</v>
      </c>
      <c r="D636" s="11">
        <f>IFERROR(__xludf.DUMMYFUNCTION("""COMPUTED_VALUE"""),44690.0)</f>
        <v>44690</v>
      </c>
      <c r="E636" s="12">
        <f>IFERROR(__xludf.DUMMYFUNCTION("""COMPUTED_VALUE"""),0.7592129629629198)</f>
        <v>0.759212963</v>
      </c>
      <c r="F636" s="6" t="str">
        <f>IFERROR(__xludf.DUMMYFUNCTION("""COMPUTED_VALUE"""),"Negative")</f>
        <v>Negative</v>
      </c>
      <c r="G636" s="6">
        <f>IFERROR(__xludf.DUMMYFUNCTION("""COMPUTED_VALUE"""),1.0)</f>
        <v>1</v>
      </c>
    </row>
    <row r="637">
      <c r="A637" s="6" t="str">
        <f>IFERROR(__xludf.DUMMYFUNCTION("""COMPUTED_VALUE"""),"FM4166")</f>
        <v>FM4166</v>
      </c>
      <c r="B637" s="6" t="str">
        <f>IFERROR(__xludf.DUMMYFUNCTION("""COMPUTED_VALUE"""),"RUN-COMB_2022-05-09_RFR-035")</f>
        <v>RUN-COMB_2022-05-09_RFR-035</v>
      </c>
      <c r="C637" s="7">
        <f>VLOOKUP(B637,'Run Reconcile'!A$2:B3090,2,FALSE)</f>
        <v>44690</v>
      </c>
      <c r="D637" s="11">
        <f>IFERROR(__xludf.DUMMYFUNCTION("""COMPUTED_VALUE"""),44690.0)</f>
        <v>44690</v>
      </c>
      <c r="E637" s="12">
        <f>IFERROR(__xludf.DUMMYFUNCTION("""COMPUTED_VALUE"""),0.7607638888875954)</f>
        <v>0.7607638889</v>
      </c>
      <c r="F637" s="6" t="str">
        <f>IFERROR(__xludf.DUMMYFUNCTION("""COMPUTED_VALUE"""),"Negative")</f>
        <v>Negative</v>
      </c>
      <c r="G637" s="6">
        <f>IFERROR(__xludf.DUMMYFUNCTION("""COMPUTED_VALUE"""),1.0)</f>
        <v>1</v>
      </c>
    </row>
    <row r="638">
      <c r="A638" s="6" t="str">
        <f>IFERROR(__xludf.DUMMYFUNCTION("""COMPUTED_VALUE"""),"FM4200")</f>
        <v>FM4200</v>
      </c>
      <c r="B638" s="6" t="str">
        <f>IFERROR(__xludf.DUMMYFUNCTION("""COMPUTED_VALUE"""),"RUN-COMB_2022-05-09_RFR-035")</f>
        <v>RUN-COMB_2022-05-09_RFR-035</v>
      </c>
      <c r="C638" s="7">
        <f>VLOOKUP(B638,'Run Reconcile'!A$2:B3090,2,FALSE)</f>
        <v>44690</v>
      </c>
      <c r="D638" s="11">
        <f>IFERROR(__xludf.DUMMYFUNCTION("""COMPUTED_VALUE"""),44690.0)</f>
        <v>44690</v>
      </c>
      <c r="E638" s="12">
        <f>IFERROR(__xludf.DUMMYFUNCTION("""COMPUTED_VALUE"""),0.7772569444459805)</f>
        <v>0.7772569444</v>
      </c>
      <c r="F638" s="6" t="str">
        <f>IFERROR(__xludf.DUMMYFUNCTION("""COMPUTED_VALUE"""),"Negative")</f>
        <v>Negative</v>
      </c>
      <c r="G638" s="6">
        <f>IFERROR(__xludf.DUMMYFUNCTION("""COMPUTED_VALUE"""),1.0)</f>
        <v>1</v>
      </c>
    </row>
    <row r="639">
      <c r="A639" s="6" t="str">
        <f>IFERROR(__xludf.DUMMYFUNCTION("""COMPUTED_VALUE"""),"FM4149")</f>
        <v>FM4149</v>
      </c>
      <c r="B639" s="6" t="str">
        <f>IFERROR(__xludf.DUMMYFUNCTION("""COMPUTED_VALUE"""),"RUN-COMB_2022-05-09_RFR-035")</f>
        <v>RUN-COMB_2022-05-09_RFR-035</v>
      </c>
      <c r="C639" s="7">
        <f>VLOOKUP(B639,'Run Reconcile'!A$2:B3090,2,FALSE)</f>
        <v>44690</v>
      </c>
      <c r="D639" s="11">
        <f>IFERROR(__xludf.DUMMYFUNCTION("""COMPUTED_VALUE"""),44690.0)</f>
        <v>44690</v>
      </c>
      <c r="E639" s="12">
        <f>IFERROR(__xludf.DUMMYFUNCTION("""COMPUTED_VALUE"""),0.7777430555543106)</f>
        <v>0.7777430556</v>
      </c>
      <c r="F639" s="6" t="str">
        <f>IFERROR(__xludf.DUMMYFUNCTION("""COMPUTED_VALUE"""),"Negative")</f>
        <v>Negative</v>
      </c>
      <c r="G639" s="6">
        <f>IFERROR(__xludf.DUMMYFUNCTION("""COMPUTED_VALUE"""),1.0)</f>
        <v>1</v>
      </c>
    </row>
    <row r="640">
      <c r="A640" s="6" t="str">
        <f>IFERROR(__xludf.DUMMYFUNCTION("""COMPUTED_VALUE"""),"FM2329")</f>
        <v>FM2329</v>
      </c>
      <c r="B640" s="6" t="str">
        <f>IFERROR(__xludf.DUMMYFUNCTION("""COMPUTED_VALUE"""),"RUN-COMB_2022-05-10_RFR-036")</f>
        <v>RUN-COMB_2022-05-10_RFR-036</v>
      </c>
      <c r="C640" s="7">
        <f>VLOOKUP(B640,'Run Reconcile'!A$2:B3090,2,FALSE)</f>
        <v>44691</v>
      </c>
      <c r="D640" s="11">
        <f>IFERROR(__xludf.DUMMYFUNCTION("""COMPUTED_VALUE"""),44691.0)</f>
        <v>44691</v>
      </c>
      <c r="E640" s="12">
        <f>IFERROR(__xludf.DUMMYFUNCTION("""COMPUTED_VALUE"""),0.2585300925929914)</f>
        <v>0.2585300926</v>
      </c>
      <c r="F640" s="6" t="str">
        <f>IFERROR(__xludf.DUMMYFUNCTION("""COMPUTED_VALUE"""),"Negative")</f>
        <v>Negative</v>
      </c>
      <c r="G640" s="6">
        <f>IFERROR(__xludf.DUMMYFUNCTION("""COMPUTED_VALUE"""),1.0)</f>
        <v>1</v>
      </c>
    </row>
    <row r="641">
      <c r="A641" s="6" t="str">
        <f>IFERROR(__xludf.DUMMYFUNCTION("""COMPUTED_VALUE"""),"FM4192")</f>
        <v>FM4192</v>
      </c>
      <c r="B641" s="6" t="str">
        <f>IFERROR(__xludf.DUMMYFUNCTION("""COMPUTED_VALUE"""),"RUN-COMB_2022-05-10_RFR-036")</f>
        <v>RUN-COMB_2022-05-10_RFR-036</v>
      </c>
      <c r="C641" s="7">
        <f>VLOOKUP(B641,'Run Reconcile'!A$2:B3090,2,FALSE)</f>
        <v>44691</v>
      </c>
      <c r="D641" s="11">
        <f>IFERROR(__xludf.DUMMYFUNCTION("""COMPUTED_VALUE"""),44691.0)</f>
        <v>44691</v>
      </c>
      <c r="E641" s="12">
        <f>IFERROR(__xludf.DUMMYFUNCTION("""COMPUTED_VALUE"""),0.25957175925941556)</f>
        <v>0.2595717593</v>
      </c>
      <c r="F641" s="6" t="str">
        <f>IFERROR(__xludf.DUMMYFUNCTION("""COMPUTED_VALUE"""),"Negative")</f>
        <v>Negative</v>
      </c>
      <c r="G641" s="6">
        <f>IFERROR(__xludf.DUMMYFUNCTION("""COMPUTED_VALUE"""),1.0)</f>
        <v>1</v>
      </c>
    </row>
    <row r="642">
      <c r="A642" s="6" t="str">
        <f>IFERROR(__xludf.DUMMYFUNCTION("""COMPUTED_VALUE"""),"FM4205")</f>
        <v>FM4205</v>
      </c>
      <c r="B642" s="6" t="str">
        <f>IFERROR(__xludf.DUMMYFUNCTION("""COMPUTED_VALUE"""),"RUN-COMB_2022-05-10_RFR-036")</f>
        <v>RUN-COMB_2022-05-10_RFR-036</v>
      </c>
      <c r="C642" s="7">
        <f>VLOOKUP(B642,'Run Reconcile'!A$2:B3090,2,FALSE)</f>
        <v>44691</v>
      </c>
      <c r="D642" s="11">
        <f>IFERROR(__xludf.DUMMYFUNCTION("""COMPUTED_VALUE"""),44691.0)</f>
        <v>44691</v>
      </c>
      <c r="E642" s="12">
        <f>IFERROR(__xludf.DUMMYFUNCTION("""COMPUTED_VALUE"""),0.2598842592597066)</f>
        <v>0.2598842593</v>
      </c>
      <c r="F642" s="6" t="str">
        <f>IFERROR(__xludf.DUMMYFUNCTION("""COMPUTED_VALUE"""),"Negative")</f>
        <v>Negative</v>
      </c>
      <c r="G642" s="6">
        <f>IFERROR(__xludf.DUMMYFUNCTION("""COMPUTED_VALUE"""),1.0)</f>
        <v>1</v>
      </c>
    </row>
    <row r="643">
      <c r="A643" s="6" t="str">
        <f>IFERROR(__xludf.DUMMYFUNCTION("""COMPUTED_VALUE"""),"FM2164")</f>
        <v>FM2164</v>
      </c>
      <c r="B643" s="6" t="str">
        <f>IFERROR(__xludf.DUMMYFUNCTION("""COMPUTED_VALUE"""),"RUN-COMB_2022-05-10_RFR-036")</f>
        <v>RUN-COMB_2022-05-10_RFR-036</v>
      </c>
      <c r="C643" s="7">
        <f>VLOOKUP(B643,'Run Reconcile'!A$2:B3090,2,FALSE)</f>
        <v>44691</v>
      </c>
      <c r="D643" s="11">
        <f>IFERROR(__xludf.DUMMYFUNCTION("""COMPUTED_VALUE"""),44691.0)</f>
        <v>44691</v>
      </c>
      <c r="E643" s="12">
        <f>IFERROR(__xludf.DUMMYFUNCTION("""COMPUTED_VALUE"""),0.26019675925999763)</f>
        <v>0.2601967593</v>
      </c>
      <c r="F643" s="6" t="str">
        <f>IFERROR(__xludf.DUMMYFUNCTION("""COMPUTED_VALUE"""),"Negative")</f>
        <v>Negative</v>
      </c>
      <c r="G643" s="6">
        <f>IFERROR(__xludf.DUMMYFUNCTION("""COMPUTED_VALUE"""),1.0)</f>
        <v>1</v>
      </c>
    </row>
    <row r="644">
      <c r="A644" s="6" t="str">
        <f>IFERROR(__xludf.DUMMYFUNCTION("""COMPUTED_VALUE"""),"FM2333")</f>
        <v>FM2333</v>
      </c>
      <c r="B644" s="6" t="str">
        <f>IFERROR(__xludf.DUMMYFUNCTION("""COMPUTED_VALUE"""),"RUN-COMB_2022-05-10_RFR-036")</f>
        <v>RUN-COMB_2022-05-10_RFR-036</v>
      </c>
      <c r="C644" s="7">
        <f>VLOOKUP(B644,'Run Reconcile'!A$2:B3090,2,FALSE)</f>
        <v>44691</v>
      </c>
      <c r="D644" s="11">
        <f>IFERROR(__xludf.DUMMYFUNCTION("""COMPUTED_VALUE"""),44691.0)</f>
        <v>44691</v>
      </c>
      <c r="E644" s="12">
        <f>IFERROR(__xludf.DUMMYFUNCTION("""COMPUTED_VALUE"""),0.26048611111036735)</f>
        <v>0.2604861111</v>
      </c>
      <c r="F644" s="6" t="str">
        <f>IFERROR(__xludf.DUMMYFUNCTION("""COMPUTED_VALUE"""),"Negative")</f>
        <v>Negative</v>
      </c>
      <c r="G644" s="6">
        <f>IFERROR(__xludf.DUMMYFUNCTION("""COMPUTED_VALUE"""),1.0)</f>
        <v>1</v>
      </c>
    </row>
    <row r="645">
      <c r="A645" s="6" t="str">
        <f>IFERROR(__xludf.DUMMYFUNCTION("""COMPUTED_VALUE"""),"FM2221")</f>
        <v>FM2221</v>
      </c>
      <c r="B645" s="6" t="str">
        <f>IFERROR(__xludf.DUMMYFUNCTION("""COMPUTED_VALUE"""),"RUN-COMB_2022-05-10_RFR-036")</f>
        <v>RUN-COMB_2022-05-10_RFR-036</v>
      </c>
      <c r="C645" s="7">
        <f>VLOOKUP(B645,'Run Reconcile'!A$2:B3090,2,FALSE)</f>
        <v>44691</v>
      </c>
      <c r="D645" s="11">
        <f>IFERROR(__xludf.DUMMYFUNCTION("""COMPUTED_VALUE"""),44691.0)</f>
        <v>44691</v>
      </c>
      <c r="E645" s="12">
        <f>IFERROR(__xludf.DUMMYFUNCTION("""COMPUTED_VALUE"""),0.26085648148000473)</f>
        <v>0.2608564815</v>
      </c>
      <c r="F645" s="6" t="str">
        <f>IFERROR(__xludf.DUMMYFUNCTION("""COMPUTED_VALUE"""),"Negative")</f>
        <v>Negative</v>
      </c>
      <c r="G645" s="6">
        <f>IFERROR(__xludf.DUMMYFUNCTION("""COMPUTED_VALUE"""),1.0)</f>
        <v>1</v>
      </c>
    </row>
    <row r="646">
      <c r="A646" s="6" t="str">
        <f>IFERROR(__xludf.DUMMYFUNCTION("""COMPUTED_VALUE"""),"FM4178")</f>
        <v>FM4178</v>
      </c>
      <c r="B646" s="6" t="str">
        <f>IFERROR(__xludf.DUMMYFUNCTION("""COMPUTED_VALUE"""),"RUN-COMB_2022-05-10_RFR-036")</f>
        <v>RUN-COMB_2022-05-10_RFR-036</v>
      </c>
      <c r="C646" s="7">
        <f>VLOOKUP(B646,'Run Reconcile'!A$2:B3090,2,FALSE)</f>
        <v>44691</v>
      </c>
      <c r="D646" s="11">
        <f>IFERROR(__xludf.DUMMYFUNCTION("""COMPUTED_VALUE"""),44691.0)</f>
        <v>44691</v>
      </c>
      <c r="E646" s="12">
        <f>IFERROR(__xludf.DUMMYFUNCTION("""COMPUTED_VALUE"""),0.26120370370335877)</f>
        <v>0.2612037037</v>
      </c>
      <c r="F646" s="6" t="str">
        <f>IFERROR(__xludf.DUMMYFUNCTION("""COMPUTED_VALUE"""),"Negative")</f>
        <v>Negative</v>
      </c>
      <c r="G646" s="6">
        <f>IFERROR(__xludf.DUMMYFUNCTION("""COMPUTED_VALUE"""),1.0)</f>
        <v>1</v>
      </c>
    </row>
    <row r="647">
      <c r="A647" s="6" t="str">
        <f>IFERROR(__xludf.DUMMYFUNCTION("""COMPUTED_VALUE"""),"FM4175")</f>
        <v>FM4175</v>
      </c>
      <c r="B647" s="6" t="str">
        <f>IFERROR(__xludf.DUMMYFUNCTION("""COMPUTED_VALUE"""),"RUN-COMB_2022-05-10_RFR-036")</f>
        <v>RUN-COMB_2022-05-10_RFR-036</v>
      </c>
      <c r="C647" s="7">
        <f>VLOOKUP(B647,'Run Reconcile'!A$2:B3090,2,FALSE)</f>
        <v>44691</v>
      </c>
      <c r="D647" s="11">
        <f>IFERROR(__xludf.DUMMYFUNCTION("""COMPUTED_VALUE"""),44691.0)</f>
        <v>44691</v>
      </c>
      <c r="E647" s="12">
        <f>IFERROR(__xludf.DUMMYFUNCTION("""COMPUTED_VALUE"""),0.2643518518525525)</f>
        <v>0.2643518519</v>
      </c>
      <c r="F647" s="6" t="str">
        <f>IFERROR(__xludf.DUMMYFUNCTION("""COMPUTED_VALUE"""),"Negative")</f>
        <v>Negative</v>
      </c>
      <c r="G647" s="6">
        <f>IFERROR(__xludf.DUMMYFUNCTION("""COMPUTED_VALUE"""),1.0)</f>
        <v>1</v>
      </c>
    </row>
    <row r="648">
      <c r="A648" s="6" t="str">
        <f>IFERROR(__xludf.DUMMYFUNCTION("""COMPUTED_VALUE"""),"FM4222")</f>
        <v>FM4222</v>
      </c>
      <c r="B648" s="6" t="str">
        <f>IFERROR(__xludf.DUMMYFUNCTION("""COMPUTED_VALUE"""),"RUN-COMB_2022-05-10_RFR-036")</f>
        <v>RUN-COMB_2022-05-10_RFR-036</v>
      </c>
      <c r="C648" s="7">
        <f>VLOOKUP(B648,'Run Reconcile'!A$2:B3090,2,FALSE)</f>
        <v>44691</v>
      </c>
      <c r="D648" s="11">
        <f>IFERROR(__xludf.DUMMYFUNCTION("""COMPUTED_VALUE"""),44691.0)</f>
        <v>44691</v>
      </c>
      <c r="E648" s="12">
        <f>IFERROR(__xludf.DUMMYFUNCTION("""COMPUTED_VALUE"""),0.2646527777760639)</f>
        <v>0.2646527778</v>
      </c>
      <c r="F648" s="6" t="str">
        <f>IFERROR(__xludf.DUMMYFUNCTION("""COMPUTED_VALUE"""),"Negative")</f>
        <v>Negative</v>
      </c>
      <c r="G648" s="6">
        <f>IFERROR(__xludf.DUMMYFUNCTION("""COMPUTED_VALUE"""),1.0)</f>
        <v>1</v>
      </c>
    </row>
    <row r="649">
      <c r="A649" s="6" t="str">
        <f>IFERROR(__xludf.DUMMYFUNCTION("""COMPUTED_VALUE"""),"FM4239")</f>
        <v>FM4239</v>
      </c>
      <c r="B649" s="6" t="str">
        <f>IFERROR(__xludf.DUMMYFUNCTION("""COMPUTED_VALUE"""),"RUN-COMB_2022-05-10_RFR-036")</f>
        <v>RUN-COMB_2022-05-10_RFR-036</v>
      </c>
      <c r="C649" s="7">
        <f>VLOOKUP(B649,'Run Reconcile'!A$2:B3090,2,FALSE)</f>
        <v>44691</v>
      </c>
      <c r="D649" s="11">
        <f>IFERROR(__xludf.DUMMYFUNCTION("""COMPUTED_VALUE"""),44691.0)</f>
        <v>44691</v>
      </c>
      <c r="E649" s="12">
        <f>IFERROR(__xludf.DUMMYFUNCTION("""COMPUTED_VALUE"""),0.27835648148175096)</f>
        <v>0.2783564815</v>
      </c>
      <c r="F649" s="6" t="str">
        <f>IFERROR(__xludf.DUMMYFUNCTION("""COMPUTED_VALUE"""),"Negative")</f>
        <v>Negative</v>
      </c>
      <c r="G649" s="6">
        <f>IFERROR(__xludf.DUMMYFUNCTION("""COMPUTED_VALUE"""),1.0)</f>
        <v>1</v>
      </c>
    </row>
    <row r="650">
      <c r="A650" s="6" t="str">
        <f>IFERROR(__xludf.DUMMYFUNCTION("""COMPUTED_VALUE"""),"FM2277")</f>
        <v>FM2277</v>
      </c>
      <c r="B650" s="6" t="str">
        <f>IFERROR(__xludf.DUMMYFUNCTION("""COMPUTED_VALUE"""),"RUN-COMB_2022-05-10_RFR-036")</f>
        <v>RUN-COMB_2022-05-10_RFR-036</v>
      </c>
      <c r="C650" s="7">
        <f>VLOOKUP(B650,'Run Reconcile'!A$2:B3090,2,FALSE)</f>
        <v>44691</v>
      </c>
      <c r="D650" s="11">
        <f>IFERROR(__xludf.DUMMYFUNCTION("""COMPUTED_VALUE"""),44691.0)</f>
        <v>44691</v>
      </c>
      <c r="E650" s="12">
        <f>IFERROR(__xludf.DUMMYFUNCTION("""COMPUTED_VALUE"""),0.2788194444437977)</f>
        <v>0.2788194444</v>
      </c>
      <c r="F650" s="6" t="str">
        <f>IFERROR(__xludf.DUMMYFUNCTION("""COMPUTED_VALUE"""),"Negative")</f>
        <v>Negative</v>
      </c>
      <c r="G650" s="6">
        <f>IFERROR(__xludf.DUMMYFUNCTION("""COMPUTED_VALUE"""),1.0)</f>
        <v>1</v>
      </c>
    </row>
    <row r="651">
      <c r="A651" s="6" t="str">
        <f>IFERROR(__xludf.DUMMYFUNCTION("""COMPUTED_VALUE"""),"FM2227")</f>
        <v>FM2227</v>
      </c>
      <c r="B651" s="6" t="str">
        <f>IFERROR(__xludf.DUMMYFUNCTION("""COMPUTED_VALUE"""),"RUN-COMB_2022-05-10_RFR-036")</f>
        <v>RUN-COMB_2022-05-10_RFR-036</v>
      </c>
      <c r="C651" s="7">
        <f>VLOOKUP(B651,'Run Reconcile'!A$2:B3090,2,FALSE)</f>
        <v>44691</v>
      </c>
      <c r="D651" s="11">
        <f>IFERROR(__xludf.DUMMYFUNCTION("""COMPUTED_VALUE"""),44691.0)</f>
        <v>44691</v>
      </c>
      <c r="E651" s="12">
        <f>IFERROR(__xludf.DUMMYFUNCTION("""COMPUTED_VALUE"""),0.27920138889021473)</f>
        <v>0.2792013889</v>
      </c>
      <c r="F651" s="6" t="str">
        <f>IFERROR(__xludf.DUMMYFUNCTION("""COMPUTED_VALUE"""),"Negative")</f>
        <v>Negative</v>
      </c>
      <c r="G651" s="6">
        <f>IFERROR(__xludf.DUMMYFUNCTION("""COMPUTED_VALUE"""),1.0)</f>
        <v>1</v>
      </c>
    </row>
    <row r="652">
      <c r="A652" s="6" t="str">
        <f>IFERROR(__xludf.DUMMYFUNCTION("""COMPUTED_VALUE"""),"FM4188")</f>
        <v>FM4188</v>
      </c>
      <c r="B652" s="6" t="str">
        <f>IFERROR(__xludf.DUMMYFUNCTION("""COMPUTED_VALUE"""),"RUN-COMB_2022-05-10_RFR-036")</f>
        <v>RUN-COMB_2022-05-10_RFR-036</v>
      </c>
      <c r="C652" s="7">
        <f>VLOOKUP(B652,'Run Reconcile'!A$2:B3090,2,FALSE)</f>
        <v>44691</v>
      </c>
      <c r="D652" s="11">
        <f>IFERROR(__xludf.DUMMYFUNCTION("""COMPUTED_VALUE"""),44691.0)</f>
        <v>44691</v>
      </c>
      <c r="E652" s="12">
        <f>IFERROR(__xludf.DUMMYFUNCTION("""COMPUTED_VALUE"""),0.2795833333329938)</f>
        <v>0.2795833333</v>
      </c>
      <c r="F652" s="6" t="str">
        <f>IFERROR(__xludf.DUMMYFUNCTION("""COMPUTED_VALUE"""),"Negative")</f>
        <v>Negative</v>
      </c>
      <c r="G652" s="6">
        <f>IFERROR(__xludf.DUMMYFUNCTION("""COMPUTED_VALUE"""),1.0)</f>
        <v>1</v>
      </c>
    </row>
    <row r="653">
      <c r="A653" s="6" t="str">
        <f>IFERROR(__xludf.DUMMYFUNCTION("""COMPUTED_VALUE"""),"FM4212")</f>
        <v>FM4212</v>
      </c>
      <c r="B653" s="6" t="str">
        <f>IFERROR(__xludf.DUMMYFUNCTION("""COMPUTED_VALUE"""),"RUN-COMB_2022-05-10_RFR-036")</f>
        <v>RUN-COMB_2022-05-10_RFR-036</v>
      </c>
      <c r="C653" s="7">
        <f>VLOOKUP(B653,'Run Reconcile'!A$2:B3090,2,FALSE)</f>
        <v>44691</v>
      </c>
      <c r="D653" s="11">
        <f>IFERROR(__xludf.DUMMYFUNCTION("""COMPUTED_VALUE"""),44691.0)</f>
        <v>44691</v>
      </c>
      <c r="E653" s="12">
        <f>IFERROR(__xludf.DUMMYFUNCTION("""COMPUTED_VALUE"""),0.2799421296294895)</f>
        <v>0.2799421296</v>
      </c>
      <c r="F653" s="6" t="str">
        <f>IFERROR(__xludf.DUMMYFUNCTION("""COMPUTED_VALUE"""),"Negative")</f>
        <v>Negative</v>
      </c>
      <c r="G653" s="6">
        <f>IFERROR(__xludf.DUMMYFUNCTION("""COMPUTED_VALUE"""),1.0)</f>
        <v>1</v>
      </c>
    </row>
    <row r="654">
      <c r="A654" s="6" t="str">
        <f>IFERROR(__xludf.DUMMYFUNCTION("""COMPUTED_VALUE"""),"FM2172")</f>
        <v>FM2172</v>
      </c>
      <c r="B654" s="6" t="str">
        <f>IFERROR(__xludf.DUMMYFUNCTION("""COMPUTED_VALUE"""),"RUN-COMB_2022-05-11_RFR-037")</f>
        <v>RUN-COMB_2022-05-11_RFR-037</v>
      </c>
      <c r="C654" s="7">
        <f>VLOOKUP(B654,'Run Reconcile'!A$2:B3090,2,FALSE)</f>
        <v>44692</v>
      </c>
      <c r="D654" s="11">
        <f>IFERROR(__xludf.DUMMYFUNCTION("""COMPUTED_VALUE"""),44692.0)</f>
        <v>44692</v>
      </c>
      <c r="E654" s="12">
        <f>IFERROR(__xludf.DUMMYFUNCTION("""COMPUTED_VALUE"""),0.2536689814805868)</f>
        <v>0.2536689815</v>
      </c>
      <c r="F654" s="6" t="str">
        <f>IFERROR(__xludf.DUMMYFUNCTION("""COMPUTED_VALUE"""),"Negative")</f>
        <v>Negative</v>
      </c>
      <c r="G654" s="6">
        <f>IFERROR(__xludf.DUMMYFUNCTION("""COMPUTED_VALUE"""),1.0)</f>
        <v>1</v>
      </c>
    </row>
    <row r="655">
      <c r="A655" s="6" t="str">
        <f>IFERROR(__xludf.DUMMYFUNCTION("""COMPUTED_VALUE"""),"FM2279")</f>
        <v>FM2279</v>
      </c>
      <c r="B655" s="6" t="str">
        <f>IFERROR(__xludf.DUMMYFUNCTION("""COMPUTED_VALUE"""),"RUN-COMB_2022-05-11_RFR-037")</f>
        <v>RUN-COMB_2022-05-11_RFR-037</v>
      </c>
      <c r="C655" s="7">
        <f>VLOOKUP(B655,'Run Reconcile'!A$2:B3090,2,FALSE)</f>
        <v>44692</v>
      </c>
      <c r="D655" s="11">
        <f>IFERROR(__xludf.DUMMYFUNCTION("""COMPUTED_VALUE"""),44692.0)</f>
        <v>44692</v>
      </c>
      <c r="E655" s="12">
        <f>IFERROR(__xludf.DUMMYFUNCTION("""COMPUTED_VALUE"""),0.25401620370394085)</f>
        <v>0.2540162037</v>
      </c>
      <c r="F655" s="6" t="str">
        <f>IFERROR(__xludf.DUMMYFUNCTION("""COMPUTED_VALUE"""),"Negative")</f>
        <v>Negative</v>
      </c>
      <c r="G655" s="6">
        <f>IFERROR(__xludf.DUMMYFUNCTION("""COMPUTED_VALUE"""),1.0)</f>
        <v>1</v>
      </c>
    </row>
    <row r="656">
      <c r="A656" s="6" t="str">
        <f>IFERROR(__xludf.DUMMYFUNCTION("""COMPUTED_VALUE"""),"FM2229")</f>
        <v>FM2229</v>
      </c>
      <c r="B656" s="6" t="str">
        <f>IFERROR(__xludf.DUMMYFUNCTION("""COMPUTED_VALUE"""),"RUN-COMB_2022-05-11_RFR-037")</f>
        <v>RUN-COMB_2022-05-11_RFR-037</v>
      </c>
      <c r="C656" s="7">
        <f>VLOOKUP(B656,'Run Reconcile'!A$2:B3090,2,FALSE)</f>
        <v>44692</v>
      </c>
      <c r="D656" s="11">
        <f>IFERROR(__xludf.DUMMYFUNCTION("""COMPUTED_VALUE"""),44692.0)</f>
        <v>44692</v>
      </c>
      <c r="E656" s="12">
        <f>IFERROR(__xludf.DUMMYFUNCTION("""COMPUTED_VALUE"""),0.25442129629664123)</f>
        <v>0.2544212963</v>
      </c>
      <c r="F656" s="6" t="str">
        <f>IFERROR(__xludf.DUMMYFUNCTION("""COMPUTED_VALUE"""),"Negative")</f>
        <v>Negative</v>
      </c>
      <c r="G656" s="6">
        <f>IFERROR(__xludf.DUMMYFUNCTION("""COMPUTED_VALUE"""),1.0)</f>
        <v>1</v>
      </c>
    </row>
    <row r="657">
      <c r="A657" s="6" t="str">
        <f>IFERROR(__xludf.DUMMYFUNCTION("""COMPUTED_VALUE"""),"FM2211")</f>
        <v>FM2211</v>
      </c>
      <c r="B657" s="6" t="str">
        <f>IFERROR(__xludf.DUMMYFUNCTION("""COMPUTED_VALUE"""),"RUN-COMB_2022-05-11_RFR-037")</f>
        <v>RUN-COMB_2022-05-11_RFR-037</v>
      </c>
      <c r="C657" s="7">
        <f>VLOOKUP(B657,'Run Reconcile'!A$2:B3090,2,FALSE)</f>
        <v>44692</v>
      </c>
      <c r="D657" s="11">
        <f>IFERROR(__xludf.DUMMYFUNCTION("""COMPUTED_VALUE"""),44692.0)</f>
        <v>44692</v>
      </c>
      <c r="E657" s="12">
        <f>IFERROR(__xludf.DUMMYFUNCTION("""COMPUTED_VALUE"""),0.2547222222237906)</f>
        <v>0.2547222222</v>
      </c>
      <c r="F657" s="6" t="str">
        <f>IFERROR(__xludf.DUMMYFUNCTION("""COMPUTED_VALUE"""),"Negative")</f>
        <v>Negative</v>
      </c>
      <c r="G657" s="6">
        <f>IFERROR(__xludf.DUMMYFUNCTION("""COMPUTED_VALUE"""),1.0)</f>
        <v>1</v>
      </c>
    </row>
    <row r="658">
      <c r="A658" s="6" t="str">
        <f>IFERROR(__xludf.DUMMYFUNCTION("""COMPUTED_VALUE"""),"FM2278")</f>
        <v>FM2278</v>
      </c>
      <c r="B658" s="6" t="str">
        <f>IFERROR(__xludf.DUMMYFUNCTION("""COMPUTED_VALUE"""),"RUN-COMB_2022-05-11_RFR-037")</f>
        <v>RUN-COMB_2022-05-11_RFR-037</v>
      </c>
      <c r="C658" s="7">
        <f>VLOOKUP(B658,'Run Reconcile'!A$2:B3090,2,FALSE)</f>
        <v>44692</v>
      </c>
      <c r="D658" s="11">
        <f>IFERROR(__xludf.DUMMYFUNCTION("""COMPUTED_VALUE"""),44692.0)</f>
        <v>44692</v>
      </c>
      <c r="E658" s="12">
        <f>IFERROR(__xludf.DUMMYFUNCTION("""COMPUTED_VALUE"""),0.2550462962972233)</f>
        <v>0.2550462963</v>
      </c>
      <c r="F658" s="6" t="str">
        <f>IFERROR(__xludf.DUMMYFUNCTION("""COMPUTED_VALUE"""),"Negative")</f>
        <v>Negative</v>
      </c>
      <c r="G658" s="6">
        <f>IFERROR(__xludf.DUMMYFUNCTION("""COMPUTED_VALUE"""),1.0)</f>
        <v>1</v>
      </c>
    </row>
    <row r="659">
      <c r="A659" s="6" t="str">
        <f>IFERROR(__xludf.DUMMYFUNCTION("""COMPUTED_VALUE"""),"FM2230")</f>
        <v>FM2230</v>
      </c>
      <c r="B659" s="6" t="str">
        <f>IFERROR(__xludf.DUMMYFUNCTION("""COMPUTED_VALUE"""),"RUN-COMB_2022-05-11_RFR-037")</f>
        <v>RUN-COMB_2022-05-11_RFR-037</v>
      </c>
      <c r="C659" s="7">
        <f>VLOOKUP(B659,'Run Reconcile'!A$2:B3090,2,FALSE)</f>
        <v>44692</v>
      </c>
      <c r="D659" s="11">
        <f>IFERROR(__xludf.DUMMYFUNCTION("""COMPUTED_VALUE"""),44692.0)</f>
        <v>44692</v>
      </c>
      <c r="E659" s="12">
        <f>IFERROR(__xludf.DUMMYFUNCTION("""COMPUTED_VALUE"""),0.25615740740613546)</f>
        <v>0.2561574074</v>
      </c>
      <c r="F659" s="6" t="str">
        <f>IFERROR(__xludf.DUMMYFUNCTION("""COMPUTED_VALUE"""),"Negative")</f>
        <v>Negative</v>
      </c>
      <c r="G659" s="6">
        <f>IFERROR(__xludf.DUMMYFUNCTION("""COMPUTED_VALUE"""),1.0)</f>
        <v>1</v>
      </c>
    </row>
    <row r="660">
      <c r="A660" s="6" t="str">
        <f>IFERROR(__xludf.DUMMYFUNCTION("""COMPUTED_VALUE"""),"FM2176")</f>
        <v>FM2176</v>
      </c>
      <c r="B660" s="6" t="str">
        <f>IFERROR(__xludf.DUMMYFUNCTION("""COMPUTED_VALUE"""),"RUN-COMB_2022-05-11_RFR-037")</f>
        <v>RUN-COMB_2022-05-11_RFR-037</v>
      </c>
      <c r="C660" s="7">
        <f>VLOOKUP(B660,'Run Reconcile'!A$2:B3090,2,FALSE)</f>
        <v>44692</v>
      </c>
      <c r="D660" s="11">
        <f>IFERROR(__xludf.DUMMYFUNCTION("""COMPUTED_VALUE"""),44692.0)</f>
        <v>44692</v>
      </c>
      <c r="E660" s="12">
        <f>IFERROR(__xludf.DUMMYFUNCTION("""COMPUTED_VALUE"""),0.2726851851839456)</f>
        <v>0.2726851852</v>
      </c>
      <c r="F660" s="6" t="str">
        <f>IFERROR(__xludf.DUMMYFUNCTION("""COMPUTED_VALUE"""),"Negative")</f>
        <v>Negative</v>
      </c>
      <c r="G660" s="6">
        <f>IFERROR(__xludf.DUMMYFUNCTION("""COMPUTED_VALUE"""),1.0)</f>
        <v>1</v>
      </c>
    </row>
    <row r="661">
      <c r="A661" s="6" t="str">
        <f>IFERROR(__xludf.DUMMYFUNCTION("""COMPUTED_VALUE"""),"FM2243")</f>
        <v>FM2243</v>
      </c>
      <c r="B661" s="6" t="str">
        <f>IFERROR(__xludf.DUMMYFUNCTION("""COMPUTED_VALUE"""),"RUN-COMB_2022-05-11_RFR-037")</f>
        <v>RUN-COMB_2022-05-11_RFR-037</v>
      </c>
      <c r="C661" s="7">
        <f>VLOOKUP(B661,'Run Reconcile'!A$2:B3090,2,FALSE)</f>
        <v>44692</v>
      </c>
      <c r="D661" s="11">
        <f>IFERROR(__xludf.DUMMYFUNCTION("""COMPUTED_VALUE"""),44692.0)</f>
        <v>44692</v>
      </c>
      <c r="E661" s="12">
        <f>IFERROR(__xludf.DUMMYFUNCTION("""COMPUTED_VALUE"""),0.2730671296303626)</f>
        <v>0.2730671296</v>
      </c>
      <c r="F661" s="6" t="str">
        <f>IFERROR(__xludf.DUMMYFUNCTION("""COMPUTED_VALUE"""),"Negative")</f>
        <v>Negative</v>
      </c>
      <c r="G661" s="6">
        <f>IFERROR(__xludf.DUMMYFUNCTION("""COMPUTED_VALUE"""),1.0)</f>
        <v>1</v>
      </c>
    </row>
    <row r="662">
      <c r="A662" s="6" t="str">
        <f>IFERROR(__xludf.DUMMYFUNCTION("""COMPUTED_VALUE"""),"FM2285")</f>
        <v>FM2285</v>
      </c>
      <c r="B662" s="6" t="str">
        <f>IFERROR(__xludf.DUMMYFUNCTION("""COMPUTED_VALUE"""),"RUN-COMB_2022-05-11_RFR-037")</f>
        <v>RUN-COMB_2022-05-11_RFR-037</v>
      </c>
      <c r="C662" s="7">
        <f>VLOOKUP(B662,'Run Reconcile'!A$2:B3090,2,FALSE)</f>
        <v>44692</v>
      </c>
      <c r="D662" s="11">
        <f>IFERROR(__xludf.DUMMYFUNCTION("""COMPUTED_VALUE"""),44692.0)</f>
        <v>44692</v>
      </c>
      <c r="E662" s="12">
        <f>IFERROR(__xludf.DUMMYFUNCTION("""COMPUTED_VALUE"""),0.27366898148102337)</f>
        <v>0.2736689815</v>
      </c>
      <c r="F662" s="6" t="str">
        <f>IFERROR(__xludf.DUMMYFUNCTION("""COMPUTED_VALUE"""),"Negative")</f>
        <v>Negative</v>
      </c>
      <c r="G662" s="6">
        <f>IFERROR(__xludf.DUMMYFUNCTION("""COMPUTED_VALUE"""),1.0)</f>
        <v>1</v>
      </c>
    </row>
    <row r="663">
      <c r="A663" s="6" t="str">
        <f>IFERROR(__xludf.DUMMYFUNCTION("""COMPUTED_VALUE"""),"FM2309")</f>
        <v>FM2309</v>
      </c>
      <c r="B663" s="6" t="str">
        <f>IFERROR(__xludf.DUMMYFUNCTION("""COMPUTED_VALUE"""),"RUN-COMB_2022-05-11_RFR-037")</f>
        <v>RUN-COMB_2022-05-11_RFR-037</v>
      </c>
      <c r="C663" s="7">
        <f>VLOOKUP(B663,'Run Reconcile'!A$2:B3090,2,FALSE)</f>
        <v>44692</v>
      </c>
      <c r="D663" s="11">
        <f>IFERROR(__xludf.DUMMYFUNCTION("""COMPUTED_VALUE"""),44692.0)</f>
        <v>44692</v>
      </c>
      <c r="E663" s="12">
        <f>IFERROR(__xludf.DUMMYFUNCTION("""COMPUTED_VALUE"""),0.2743865740740148)</f>
        <v>0.2743865741</v>
      </c>
      <c r="F663" s="6" t="str">
        <f>IFERROR(__xludf.DUMMYFUNCTION("""COMPUTED_VALUE"""),"Negative")</f>
        <v>Negative</v>
      </c>
      <c r="G663" s="6">
        <f>IFERROR(__xludf.DUMMYFUNCTION("""COMPUTED_VALUE"""),1.0)</f>
        <v>1</v>
      </c>
    </row>
    <row r="664">
      <c r="A664" s="6" t="str">
        <f>IFERROR(__xludf.DUMMYFUNCTION("""COMPUTED_VALUE"""),"FM2255")</f>
        <v>FM2255</v>
      </c>
      <c r="B664" s="6" t="str">
        <f>IFERROR(__xludf.DUMMYFUNCTION("""COMPUTED_VALUE"""),"RUN-COMB_2022-05-11_RFR-037")</f>
        <v>RUN-COMB_2022-05-11_RFR-037</v>
      </c>
      <c r="C664" s="7">
        <f>VLOOKUP(B664,'Run Reconcile'!A$2:B3090,2,FALSE)</f>
        <v>44692</v>
      </c>
      <c r="D664" s="11">
        <f>IFERROR(__xludf.DUMMYFUNCTION("""COMPUTED_VALUE"""),44692.0)</f>
        <v>44692</v>
      </c>
      <c r="E664" s="12">
        <f>IFERROR(__xludf.DUMMYFUNCTION("""COMPUTED_VALUE"""),0.27483796296291985)</f>
        <v>0.274837963</v>
      </c>
      <c r="F664" s="6" t="str">
        <f>IFERROR(__xludf.DUMMYFUNCTION("""COMPUTED_VALUE"""),"Negative")</f>
        <v>Negative</v>
      </c>
      <c r="G664" s="6">
        <f>IFERROR(__xludf.DUMMYFUNCTION("""COMPUTED_VALUE"""),1.0)</f>
        <v>1</v>
      </c>
    </row>
    <row r="665">
      <c r="A665" s="6" t="str">
        <f>IFERROR(__xludf.DUMMYFUNCTION("""COMPUTED_VALUE"""),"FM2180")</f>
        <v>FM2180</v>
      </c>
      <c r="B665" s="6" t="str">
        <f>IFERROR(__xludf.DUMMYFUNCTION("""COMPUTED_VALUE"""),"RUN-COMB_2022-05-11_RFR-037")</f>
        <v>RUN-COMB_2022-05-11_RFR-037</v>
      </c>
      <c r="C665" s="7">
        <f>VLOOKUP(B665,'Run Reconcile'!A$2:B3090,2,FALSE)</f>
        <v>44692</v>
      </c>
      <c r="D665" s="11">
        <f>IFERROR(__xludf.DUMMYFUNCTION("""COMPUTED_VALUE"""),44692.0)</f>
        <v>44692</v>
      </c>
      <c r="E665" s="12">
        <f>IFERROR(__xludf.DUMMYFUNCTION("""COMPUTED_VALUE"""),0.2758680555562023)</f>
        <v>0.2758680556</v>
      </c>
      <c r="F665" s="6" t="str">
        <f>IFERROR(__xludf.DUMMYFUNCTION("""COMPUTED_VALUE"""),"Negative")</f>
        <v>Negative</v>
      </c>
      <c r="G665" s="6">
        <f>IFERROR(__xludf.DUMMYFUNCTION("""COMPUTED_VALUE"""),1.0)</f>
        <v>1</v>
      </c>
    </row>
    <row r="666">
      <c r="A666" s="6" t="str">
        <f>IFERROR(__xludf.DUMMYFUNCTION("""COMPUTED_VALUE"""),"FM2244")</f>
        <v>FM2244</v>
      </c>
      <c r="B666" s="6" t="str">
        <f>IFERROR(__xludf.DUMMYFUNCTION("""COMPUTED_VALUE"""),"RUN-COMB_2022-05-11_RFR-037")</f>
        <v>RUN-COMB_2022-05-11_RFR-037</v>
      </c>
      <c r="C666" s="7">
        <f>VLOOKUP(B666,'Run Reconcile'!A$2:B3090,2,FALSE)</f>
        <v>44692</v>
      </c>
      <c r="D666" s="11">
        <f>IFERROR(__xludf.DUMMYFUNCTION("""COMPUTED_VALUE"""),44692.0)</f>
        <v>44692</v>
      </c>
      <c r="E666" s="12">
        <f>IFERROR(__xludf.DUMMYFUNCTION("""COMPUTED_VALUE"""),0.2762037037027767)</f>
        <v>0.2762037037</v>
      </c>
      <c r="F666" s="6" t="str">
        <f>IFERROR(__xludf.DUMMYFUNCTION("""COMPUTED_VALUE"""),"Negative")</f>
        <v>Negative</v>
      </c>
      <c r="G666" s="6">
        <f>IFERROR(__xludf.DUMMYFUNCTION("""COMPUTED_VALUE"""),1.0)</f>
        <v>1</v>
      </c>
    </row>
    <row r="667">
      <c r="A667" s="6" t="str">
        <f>IFERROR(__xludf.DUMMYFUNCTION("""COMPUTED_VALUE"""),"FM2270")</f>
        <v>FM2270</v>
      </c>
      <c r="B667" s="6" t="str">
        <f>IFERROR(__xludf.DUMMYFUNCTION("""COMPUTED_VALUE"""),"RUN-COMB_2022-05-11_RFR-037")</f>
        <v>RUN-COMB_2022-05-11_RFR-037</v>
      </c>
      <c r="C667" s="7">
        <f>VLOOKUP(B667,'Run Reconcile'!A$2:B3090,2,FALSE)</f>
        <v>44692</v>
      </c>
      <c r="D667" s="11">
        <f>IFERROR(__xludf.DUMMYFUNCTION("""COMPUTED_VALUE"""),44692.0)</f>
        <v>44692</v>
      </c>
      <c r="E667" s="12">
        <f>IFERROR(__xludf.DUMMYFUNCTION("""COMPUTED_VALUE"""),0.2765740740724141)</f>
        <v>0.2765740741</v>
      </c>
      <c r="F667" s="6" t="str">
        <f>IFERROR(__xludf.DUMMYFUNCTION("""COMPUTED_VALUE"""),"Negative")</f>
        <v>Negative</v>
      </c>
      <c r="G667" s="6">
        <f>IFERROR(__xludf.DUMMYFUNCTION("""COMPUTED_VALUE"""),1.0)</f>
        <v>1</v>
      </c>
    </row>
    <row r="668">
      <c r="A668" s="6" t="str">
        <f>IFERROR(__xludf.DUMMYFUNCTION("""COMPUTED_VALUE"""),"FM4237")</f>
        <v>FM4237</v>
      </c>
      <c r="B668" s="6" t="str">
        <f>IFERROR(__xludf.DUMMYFUNCTION("""COMPUTED_VALUE"""),"RUN-COMB_2022-05-11_RFR-037")</f>
        <v>RUN-COMB_2022-05-11_RFR-037</v>
      </c>
      <c r="C668" s="7">
        <f>VLOOKUP(B668,'Run Reconcile'!A$2:B3090,2,FALSE)</f>
        <v>44692</v>
      </c>
      <c r="D668" s="11">
        <f>IFERROR(__xludf.DUMMYFUNCTION("""COMPUTED_VALUE"""),44692.0)</f>
        <v>44692</v>
      </c>
      <c r="E668" s="12">
        <f>IFERROR(__xludf.DUMMYFUNCTION("""COMPUTED_VALUE"""),0.27704861111124046)</f>
        <v>0.2770486111</v>
      </c>
      <c r="F668" s="6" t="str">
        <f>IFERROR(__xludf.DUMMYFUNCTION("""COMPUTED_VALUE"""),"Negative")</f>
        <v>Negative</v>
      </c>
      <c r="G668" s="6">
        <f>IFERROR(__xludf.DUMMYFUNCTION("""COMPUTED_VALUE"""),1.0)</f>
        <v>1</v>
      </c>
    </row>
    <row r="669">
      <c r="A669" s="6" t="str">
        <f>IFERROR(__xludf.DUMMYFUNCTION("""COMPUTED_VALUE"""),"FM2245")</f>
        <v>FM2245</v>
      </c>
      <c r="B669" s="6" t="str">
        <f>IFERROR(__xludf.DUMMYFUNCTION("""COMPUTED_VALUE"""),"RUN-COMB_2022-05-11_RFR-037")</f>
        <v>RUN-COMB_2022-05-11_RFR-037</v>
      </c>
      <c r="C669" s="7">
        <f>VLOOKUP(B669,'Run Reconcile'!A$2:B3090,2,FALSE)</f>
        <v>44692</v>
      </c>
      <c r="D669" s="11">
        <f>IFERROR(__xludf.DUMMYFUNCTION("""COMPUTED_VALUE"""),44692.0)</f>
        <v>44692</v>
      </c>
      <c r="E669" s="12">
        <f>IFERROR(__xludf.DUMMYFUNCTION("""COMPUTED_VALUE"""),0.27741898148087785)</f>
        <v>0.2774189815</v>
      </c>
      <c r="F669" s="6" t="str">
        <f>IFERROR(__xludf.DUMMYFUNCTION("""COMPUTED_VALUE"""),"Negative")</f>
        <v>Negative</v>
      </c>
      <c r="G669" s="6">
        <f>IFERROR(__xludf.DUMMYFUNCTION("""COMPUTED_VALUE"""),1.0)</f>
        <v>1</v>
      </c>
    </row>
    <row r="670">
      <c r="A670" s="6" t="str">
        <f>IFERROR(__xludf.DUMMYFUNCTION("""COMPUTED_VALUE"""),"FM4231")</f>
        <v>FM4231</v>
      </c>
      <c r="B670" s="6" t="str">
        <f>IFERROR(__xludf.DUMMYFUNCTION("""COMPUTED_VALUE"""),"RUN-COMB_2022-05-11_RFR-037")</f>
        <v>RUN-COMB_2022-05-11_RFR-037</v>
      </c>
      <c r="C670" s="7">
        <f>VLOOKUP(B670,'Run Reconcile'!A$2:B3090,2,FALSE)</f>
        <v>44692</v>
      </c>
      <c r="D670" s="11">
        <f>IFERROR(__xludf.DUMMYFUNCTION("""COMPUTED_VALUE"""),44692.0)</f>
        <v>44692</v>
      </c>
      <c r="E670" s="12">
        <f>IFERROR(__xludf.DUMMYFUNCTION("""COMPUTED_VALUE"""),0.286446759258979)</f>
        <v>0.2864467593</v>
      </c>
      <c r="F670" s="6" t="str">
        <f>IFERROR(__xludf.DUMMYFUNCTION("""COMPUTED_VALUE"""),"Negative")</f>
        <v>Negative</v>
      </c>
      <c r="G670" s="6">
        <f>IFERROR(__xludf.DUMMYFUNCTION("""COMPUTED_VALUE"""),1.0)</f>
        <v>1</v>
      </c>
    </row>
    <row r="671">
      <c r="A671" s="6" t="str">
        <f>IFERROR(__xludf.DUMMYFUNCTION("""COMPUTED_VALUE"""),"FM2266")</f>
        <v>FM2266</v>
      </c>
      <c r="B671" s="6" t="str">
        <f>IFERROR(__xludf.DUMMYFUNCTION("""COMPUTED_VALUE"""),"RUN-COMB_2022-05-11_RFR-037")</f>
        <v>RUN-COMB_2022-05-11_RFR-037</v>
      </c>
      <c r="C671" s="7">
        <f>VLOOKUP(B671,'Run Reconcile'!A$2:B3090,2,FALSE)</f>
        <v>44692</v>
      </c>
      <c r="D671" s="11">
        <f>IFERROR(__xludf.DUMMYFUNCTION("""COMPUTED_VALUE"""),44692.0)</f>
        <v>44692</v>
      </c>
      <c r="E671" s="12">
        <f>IFERROR(__xludf.DUMMYFUNCTION("""COMPUTED_VALUE"""),0.2884722222224809)</f>
        <v>0.2884722222</v>
      </c>
      <c r="F671" s="6" t="str">
        <f>IFERROR(__xludf.DUMMYFUNCTION("""COMPUTED_VALUE"""),"Negative")</f>
        <v>Negative</v>
      </c>
      <c r="G671" s="6">
        <f>IFERROR(__xludf.DUMMYFUNCTION("""COMPUTED_VALUE"""),1.0)</f>
        <v>1</v>
      </c>
    </row>
    <row r="672">
      <c r="A672" s="6" t="str">
        <f>IFERROR(__xludf.DUMMYFUNCTION("""COMPUTED_VALUE"""),"FM2225")</f>
        <v>FM2225</v>
      </c>
      <c r="B672" s="6" t="str">
        <f>IFERROR(__xludf.DUMMYFUNCTION("""COMPUTED_VALUE"""),"RUN-COMB_2022-05-12_RFR-038")</f>
        <v>RUN-COMB_2022-05-12_RFR-038</v>
      </c>
      <c r="C672" s="7">
        <f>VLOOKUP(B672,'Run Reconcile'!A$2:B3090,2,FALSE)</f>
        <v>44693</v>
      </c>
      <c r="D672" s="11">
        <f>IFERROR(__xludf.DUMMYFUNCTION("""COMPUTED_VALUE"""),44693.0)</f>
        <v>44693</v>
      </c>
      <c r="E672" s="12">
        <f>IFERROR(__xludf.DUMMYFUNCTION("""COMPUTED_VALUE"""),0.2593287037052505)</f>
        <v>0.2593287037</v>
      </c>
      <c r="F672" s="6" t="str">
        <f>IFERROR(__xludf.DUMMYFUNCTION("""COMPUTED_VALUE"""),"Negative")</f>
        <v>Negative</v>
      </c>
      <c r="G672" s="6">
        <f>IFERROR(__xludf.DUMMYFUNCTION("""COMPUTED_VALUE"""),1.0)</f>
        <v>1</v>
      </c>
    </row>
    <row r="673">
      <c r="A673" s="6" t="str">
        <f>IFERROR(__xludf.DUMMYFUNCTION("""COMPUTED_VALUE"""),"FM2237")</f>
        <v>FM2237</v>
      </c>
      <c r="B673" s="6" t="str">
        <f>IFERROR(__xludf.DUMMYFUNCTION("""COMPUTED_VALUE"""),"RUN-COMB_2022-05-12_RFR-038")</f>
        <v>RUN-COMB_2022-05-12_RFR-038</v>
      </c>
      <c r="C673" s="7">
        <f>VLOOKUP(B673,'Run Reconcile'!A$2:B3090,2,FALSE)</f>
        <v>44693</v>
      </c>
      <c r="D673" s="11">
        <f>IFERROR(__xludf.DUMMYFUNCTION("""COMPUTED_VALUE"""),44693.0)</f>
        <v>44693</v>
      </c>
      <c r="E673" s="12">
        <f>IFERROR(__xludf.DUMMYFUNCTION("""COMPUTED_VALUE"""),0.25972222222117125)</f>
        <v>0.2597222222</v>
      </c>
      <c r="F673" s="6" t="str">
        <f>IFERROR(__xludf.DUMMYFUNCTION("""COMPUTED_VALUE"""),"Negative")</f>
        <v>Negative</v>
      </c>
      <c r="G673" s="6">
        <f>IFERROR(__xludf.DUMMYFUNCTION("""COMPUTED_VALUE"""),1.0)</f>
        <v>1</v>
      </c>
    </row>
    <row r="674">
      <c r="A674" s="6" t="str">
        <f>IFERROR(__xludf.DUMMYFUNCTION("""COMPUTED_VALUE"""),"FM2224")</f>
        <v>FM2224</v>
      </c>
      <c r="B674" s="6" t="str">
        <f>IFERROR(__xludf.DUMMYFUNCTION("""COMPUTED_VALUE"""),"RUN-COMB_2022-05-12_RFR-038")</f>
        <v>RUN-COMB_2022-05-12_RFR-038</v>
      </c>
      <c r="C674" s="7">
        <f>VLOOKUP(B674,'Run Reconcile'!A$2:B3090,2,FALSE)</f>
        <v>44693</v>
      </c>
      <c r="D674" s="11">
        <f>IFERROR(__xludf.DUMMYFUNCTION("""COMPUTED_VALUE"""),44693.0)</f>
        <v>44693</v>
      </c>
      <c r="E674" s="12">
        <f>IFERROR(__xludf.DUMMYFUNCTION("""COMPUTED_VALUE"""),0.26008101851766696)</f>
        <v>0.2600810185</v>
      </c>
      <c r="F674" s="6" t="str">
        <f>IFERROR(__xludf.DUMMYFUNCTION("""COMPUTED_VALUE"""),"Negative")</f>
        <v>Negative</v>
      </c>
      <c r="G674" s="6">
        <f>IFERROR(__xludf.DUMMYFUNCTION("""COMPUTED_VALUE"""),1.0)</f>
        <v>1</v>
      </c>
    </row>
    <row r="675">
      <c r="A675" s="6" t="str">
        <f>IFERROR(__xludf.DUMMYFUNCTION("""COMPUTED_VALUE"""),"FM4171")</f>
        <v>FM4171</v>
      </c>
      <c r="B675" s="6" t="str">
        <f>IFERROR(__xludf.DUMMYFUNCTION("""COMPUTED_VALUE"""),"RUN-COMB_2022-05-12_RFR-038")</f>
        <v>RUN-COMB_2022-05-12_RFR-038</v>
      </c>
      <c r="C675" s="7">
        <f>VLOOKUP(B675,'Run Reconcile'!A$2:B3090,2,FALSE)</f>
        <v>44693</v>
      </c>
      <c r="D675" s="11">
        <f>IFERROR(__xludf.DUMMYFUNCTION("""COMPUTED_VALUE"""),44693.0)</f>
        <v>44693</v>
      </c>
      <c r="E675" s="12">
        <f>IFERROR(__xludf.DUMMYFUNCTION("""COMPUTED_VALUE"""),0.2604166666678793)</f>
        <v>0.2604166667</v>
      </c>
      <c r="F675" s="6" t="str">
        <f>IFERROR(__xludf.DUMMYFUNCTION("""COMPUTED_VALUE"""),"Negative")</f>
        <v>Negative</v>
      </c>
      <c r="G675" s="6">
        <f>IFERROR(__xludf.DUMMYFUNCTION("""COMPUTED_VALUE"""),1.0)</f>
        <v>1</v>
      </c>
    </row>
    <row r="676">
      <c r="A676" s="6" t="str">
        <f>IFERROR(__xludf.DUMMYFUNCTION("""COMPUTED_VALUE"""),"FM2203")</f>
        <v>FM2203</v>
      </c>
      <c r="B676" s="6" t="str">
        <f>IFERROR(__xludf.DUMMYFUNCTION("""COMPUTED_VALUE"""),"RUN-COMB_2022-05-12_RFR-038")</f>
        <v>RUN-COMB_2022-05-12_RFR-038</v>
      </c>
      <c r="C676" s="7">
        <f>VLOOKUP(B676,'Run Reconcile'!A$2:B3090,2,FALSE)</f>
        <v>44693</v>
      </c>
      <c r="D676" s="11">
        <f>IFERROR(__xludf.DUMMYFUNCTION("""COMPUTED_VALUE"""),44693.0)</f>
        <v>44693</v>
      </c>
      <c r="E676" s="12">
        <f>IFERROR(__xludf.DUMMYFUNCTION("""COMPUTED_VALUE"""),0.26077546296437504)</f>
        <v>0.260775463</v>
      </c>
      <c r="F676" s="6" t="str">
        <f>IFERROR(__xludf.DUMMYFUNCTION("""COMPUTED_VALUE"""),"Negative")</f>
        <v>Negative</v>
      </c>
      <c r="G676" s="6">
        <f>IFERROR(__xludf.DUMMYFUNCTION("""COMPUTED_VALUE"""),1.0)</f>
        <v>1</v>
      </c>
    </row>
    <row r="677">
      <c r="A677" s="6" t="str">
        <f>IFERROR(__xludf.DUMMYFUNCTION("""COMPUTED_VALUE"""),"FM2249")</f>
        <v>FM2249</v>
      </c>
      <c r="B677" s="6" t="str">
        <f>IFERROR(__xludf.DUMMYFUNCTION("""COMPUTED_VALUE"""),"RUN-COMB_2022-05-12_RFR-038")</f>
        <v>RUN-COMB_2022-05-12_RFR-038</v>
      </c>
      <c r="C677" s="7">
        <f>VLOOKUP(B677,'Run Reconcile'!A$2:B3090,2,FALSE)</f>
        <v>44693</v>
      </c>
      <c r="D677" s="11">
        <f>IFERROR(__xludf.DUMMYFUNCTION("""COMPUTED_VALUE"""),44693.0)</f>
        <v>44693</v>
      </c>
      <c r="E677" s="12">
        <f>IFERROR(__xludf.DUMMYFUNCTION("""COMPUTED_VALUE"""),0.2668287037049595)</f>
        <v>0.2668287037</v>
      </c>
      <c r="F677" s="6" t="str">
        <f>IFERROR(__xludf.DUMMYFUNCTION("""COMPUTED_VALUE"""),"Negative")</f>
        <v>Negative</v>
      </c>
      <c r="G677" s="6">
        <f>IFERROR(__xludf.DUMMYFUNCTION("""COMPUTED_VALUE"""),1.0)</f>
        <v>1</v>
      </c>
    </row>
    <row r="678">
      <c r="A678" s="6" t="str">
        <f>IFERROR(__xludf.DUMMYFUNCTION("""COMPUTED_VALUE"""),"FM2253")</f>
        <v>FM2253</v>
      </c>
      <c r="B678" s="6" t="str">
        <f>IFERROR(__xludf.DUMMYFUNCTION("""COMPUTED_VALUE"""),"RUN-COMB_2022-05-12_RFR-038")</f>
        <v>RUN-COMB_2022-05-12_RFR-038</v>
      </c>
      <c r="C678" s="7">
        <f>VLOOKUP(B678,'Run Reconcile'!A$2:B3090,2,FALSE)</f>
        <v>44693</v>
      </c>
      <c r="D678" s="11">
        <f>IFERROR(__xludf.DUMMYFUNCTION("""COMPUTED_VALUE"""),44693.0)</f>
        <v>44693</v>
      </c>
      <c r="E678" s="12">
        <f>IFERROR(__xludf.DUMMYFUNCTION("""COMPUTED_VALUE"""),0.2671527777783922)</f>
        <v>0.2671527778</v>
      </c>
      <c r="F678" s="6" t="str">
        <f>IFERROR(__xludf.DUMMYFUNCTION("""COMPUTED_VALUE"""),"Negative")</f>
        <v>Negative</v>
      </c>
      <c r="G678" s="6">
        <f>IFERROR(__xludf.DUMMYFUNCTION("""COMPUTED_VALUE"""),1.0)</f>
        <v>1</v>
      </c>
    </row>
    <row r="679">
      <c r="A679" s="6" t="str">
        <f>IFERROR(__xludf.DUMMYFUNCTION("""COMPUTED_VALUE"""),"FM2168")</f>
        <v>FM2168</v>
      </c>
      <c r="B679" s="6" t="str">
        <f>IFERROR(__xludf.DUMMYFUNCTION("""COMPUTED_VALUE"""),"RUN-COMB_2022-05-12_RFR-038")</f>
        <v>RUN-COMB_2022-05-12_RFR-038</v>
      </c>
      <c r="C679" s="7">
        <f>VLOOKUP(B679,'Run Reconcile'!A$2:B3090,2,FALSE)</f>
        <v>44693</v>
      </c>
      <c r="D679" s="11">
        <f>IFERROR(__xludf.DUMMYFUNCTION("""COMPUTED_VALUE"""),44693.0)</f>
        <v>44693</v>
      </c>
      <c r="E679" s="12">
        <f>IFERROR(__xludf.DUMMYFUNCTION("""COMPUTED_VALUE"""),0.26753472222117125)</f>
        <v>0.2675347222</v>
      </c>
      <c r="F679" s="6" t="str">
        <f>IFERROR(__xludf.DUMMYFUNCTION("""COMPUTED_VALUE"""),"Negative")</f>
        <v>Negative</v>
      </c>
      <c r="G679" s="6">
        <f>IFERROR(__xludf.DUMMYFUNCTION("""COMPUTED_VALUE"""),1.0)</f>
        <v>1</v>
      </c>
    </row>
    <row r="680">
      <c r="A680" s="6" t="str">
        <f>IFERROR(__xludf.DUMMYFUNCTION("""COMPUTED_VALUE"""),"FM2241")</f>
        <v>FM2241</v>
      </c>
      <c r="B680" s="6" t="str">
        <f>IFERROR(__xludf.DUMMYFUNCTION("""COMPUTED_VALUE"""),"RUN-COMB_2022-05-12_RFR-038")</f>
        <v>RUN-COMB_2022-05-12_RFR-038</v>
      </c>
      <c r="C680" s="7">
        <f>VLOOKUP(B680,'Run Reconcile'!A$2:B3090,2,FALSE)</f>
        <v>44693</v>
      </c>
      <c r="D680" s="11">
        <f>IFERROR(__xludf.DUMMYFUNCTION("""COMPUTED_VALUE"""),44693.0)</f>
        <v>44693</v>
      </c>
      <c r="E680" s="12">
        <f>IFERROR(__xludf.DUMMYFUNCTION("""COMPUTED_VALUE"""),0.2699884259272949)</f>
        <v>0.2699884259</v>
      </c>
      <c r="F680" s="6" t="str">
        <f>IFERROR(__xludf.DUMMYFUNCTION("""COMPUTED_VALUE"""),"Negative")</f>
        <v>Negative</v>
      </c>
      <c r="G680" s="6">
        <f>IFERROR(__xludf.DUMMYFUNCTION("""COMPUTED_VALUE"""),1.0)</f>
        <v>1</v>
      </c>
    </row>
    <row r="681">
      <c r="A681" s="6" t="str">
        <f>IFERROR(__xludf.DUMMYFUNCTION("""COMPUTED_VALUE"""),"FM2337")</f>
        <v>FM2337</v>
      </c>
      <c r="B681" s="6" t="str">
        <f>IFERROR(__xludf.DUMMYFUNCTION("""COMPUTED_VALUE"""),"RUN-COMB_2022-05-12_RFR-038")</f>
        <v>RUN-COMB_2022-05-12_RFR-038</v>
      </c>
      <c r="C681" s="7">
        <f>VLOOKUP(B681,'Run Reconcile'!A$2:B3090,2,FALSE)</f>
        <v>44693</v>
      </c>
      <c r="D681" s="11">
        <f>IFERROR(__xludf.DUMMYFUNCTION("""COMPUTED_VALUE"""),44693.0)</f>
        <v>44693</v>
      </c>
      <c r="E681" s="12">
        <f>IFERROR(__xludf.DUMMYFUNCTION("""COMPUTED_VALUE"""),0.2744097222239361)</f>
        <v>0.2744097222</v>
      </c>
      <c r="F681" s="6" t="str">
        <f>IFERROR(__xludf.DUMMYFUNCTION("""COMPUTED_VALUE"""),"Negative")</f>
        <v>Negative</v>
      </c>
      <c r="G681" s="6">
        <f>IFERROR(__xludf.DUMMYFUNCTION("""COMPUTED_VALUE"""),1.0)</f>
        <v>1</v>
      </c>
    </row>
    <row r="682">
      <c r="A682" s="6" t="str">
        <f>IFERROR(__xludf.DUMMYFUNCTION("""COMPUTED_VALUE"""),"FM2226")</f>
        <v>FM2226</v>
      </c>
      <c r="B682" s="6" t="str">
        <f>IFERROR(__xludf.DUMMYFUNCTION("""COMPUTED_VALUE"""),"RUN-COMB_2022-05-12_RFR-038")</f>
        <v>RUN-COMB_2022-05-12_RFR-038</v>
      </c>
      <c r="C682" s="7">
        <f>VLOOKUP(B682,'Run Reconcile'!A$2:B3090,2,FALSE)</f>
        <v>44693</v>
      </c>
      <c r="D682" s="11">
        <f>IFERROR(__xludf.DUMMYFUNCTION("""COMPUTED_VALUE"""),44693.0)</f>
        <v>44693</v>
      </c>
      <c r="E682" s="12">
        <f>IFERROR(__xludf.DUMMYFUNCTION("""COMPUTED_VALUE"""),0.2747569444436522)</f>
        <v>0.2747569444</v>
      </c>
      <c r="F682" s="6" t="str">
        <f>IFERROR(__xludf.DUMMYFUNCTION("""COMPUTED_VALUE"""),"Negative")</f>
        <v>Negative</v>
      </c>
      <c r="G682" s="6">
        <f>IFERROR(__xludf.DUMMYFUNCTION("""COMPUTED_VALUE"""),1.0)</f>
        <v>1</v>
      </c>
    </row>
    <row r="683">
      <c r="A683" s="6" t="str">
        <f>IFERROR(__xludf.DUMMYFUNCTION("""COMPUTED_VALUE"""),"FM2234")</f>
        <v>FM2234</v>
      </c>
      <c r="B683" s="6" t="str">
        <f>IFERROR(__xludf.DUMMYFUNCTION("""COMPUTED_VALUE"""),"RUN-COMB_2022-05-12_RFR-038")</f>
        <v>RUN-COMB_2022-05-12_RFR-038</v>
      </c>
      <c r="C683" s="7">
        <f>VLOOKUP(B683,'Run Reconcile'!A$2:B3090,2,FALSE)</f>
        <v>44693</v>
      </c>
      <c r="D683" s="11">
        <f>IFERROR(__xludf.DUMMYFUNCTION("""COMPUTED_VALUE"""),44693.0)</f>
        <v>44693</v>
      </c>
      <c r="E683" s="12">
        <f>IFERROR(__xludf.DUMMYFUNCTION("""COMPUTED_VALUE"""),0.27519675925941556)</f>
        <v>0.2751967593</v>
      </c>
      <c r="F683" s="6" t="str">
        <f>IFERROR(__xludf.DUMMYFUNCTION("""COMPUTED_VALUE"""),"Negative")</f>
        <v>Negative</v>
      </c>
      <c r="G683" s="6">
        <f>IFERROR(__xludf.DUMMYFUNCTION("""COMPUTED_VALUE"""),1.0)</f>
        <v>1</v>
      </c>
    </row>
    <row r="684">
      <c r="A684" s="6" t="str">
        <f>IFERROR(__xludf.DUMMYFUNCTION("""COMPUTED_VALUE"""),"FM2228")</f>
        <v>FM2228</v>
      </c>
      <c r="B684" s="6" t="str">
        <f>IFERROR(__xludf.DUMMYFUNCTION("""COMPUTED_VALUE"""),"RUN-COMB_2022-05-12_RFR-038")</f>
        <v>RUN-COMB_2022-05-12_RFR-038</v>
      </c>
      <c r="C684" s="7">
        <f>VLOOKUP(B684,'Run Reconcile'!A$2:B3090,2,FALSE)</f>
        <v>44693</v>
      </c>
      <c r="D684" s="11">
        <f>IFERROR(__xludf.DUMMYFUNCTION("""COMPUTED_VALUE"""),44693.0)</f>
        <v>44693</v>
      </c>
      <c r="E684" s="12">
        <f>IFERROR(__xludf.DUMMYFUNCTION("""COMPUTED_VALUE"""),0.2756481481483206)</f>
        <v>0.2756481481</v>
      </c>
      <c r="F684" s="6" t="str">
        <f>IFERROR(__xludf.DUMMYFUNCTION("""COMPUTED_VALUE"""),"Negative")</f>
        <v>Negative</v>
      </c>
      <c r="G684" s="6">
        <f>IFERROR(__xludf.DUMMYFUNCTION("""COMPUTED_VALUE"""),1.0)</f>
        <v>1</v>
      </c>
    </row>
    <row r="685">
      <c r="A685" s="6" t="str">
        <f>IFERROR(__xludf.DUMMYFUNCTION("""COMPUTED_VALUE"""),"FM2223")</f>
        <v>FM2223</v>
      </c>
      <c r="B685" s="6" t="str">
        <f>IFERROR(__xludf.DUMMYFUNCTION("""COMPUTED_VALUE"""),"RUN-COMB_2022-05-12_RFR-038")</f>
        <v>RUN-COMB_2022-05-12_RFR-038</v>
      </c>
      <c r="C685" s="7">
        <f>VLOOKUP(B685,'Run Reconcile'!A$2:B3090,2,FALSE)</f>
        <v>44693</v>
      </c>
      <c r="D685" s="11">
        <f>IFERROR(__xludf.DUMMYFUNCTION("""COMPUTED_VALUE"""),44693.0)</f>
        <v>44693</v>
      </c>
      <c r="E685" s="12">
        <f>IFERROR(__xludf.DUMMYFUNCTION("""COMPUTED_VALUE"""),0.27592592592554865)</f>
        <v>0.2759259259</v>
      </c>
      <c r="F685" s="6" t="str">
        <f>IFERROR(__xludf.DUMMYFUNCTION("""COMPUTED_VALUE"""),"Negative")</f>
        <v>Negative</v>
      </c>
      <c r="G685" s="6">
        <f>IFERROR(__xludf.DUMMYFUNCTION("""COMPUTED_VALUE"""),1.0)</f>
        <v>1</v>
      </c>
    </row>
    <row r="686">
      <c r="A686" s="6" t="str">
        <f>IFERROR(__xludf.DUMMYFUNCTION("""COMPUTED_VALUE"""),"FM2264")</f>
        <v>FM2264</v>
      </c>
      <c r="B686" s="6" t="str">
        <f>IFERROR(__xludf.DUMMYFUNCTION("""COMPUTED_VALUE"""),"RUN-COMB_2022-05-12_RFR-038")</f>
        <v>RUN-COMB_2022-05-12_RFR-038</v>
      </c>
      <c r="C686" s="7">
        <f>VLOOKUP(B686,'Run Reconcile'!A$2:B3090,2,FALSE)</f>
        <v>44693</v>
      </c>
      <c r="D686" s="11">
        <f>IFERROR(__xludf.DUMMYFUNCTION("""COMPUTED_VALUE"""),44693.0)</f>
        <v>44693</v>
      </c>
      <c r="E686" s="12">
        <f>IFERROR(__xludf.DUMMYFUNCTION("""COMPUTED_VALUE"""),0.2774421296307992)</f>
        <v>0.2774421296</v>
      </c>
      <c r="F686" s="6" t="str">
        <f>IFERROR(__xludf.DUMMYFUNCTION("""COMPUTED_VALUE"""),"Negative")</f>
        <v>Negative</v>
      </c>
      <c r="G686" s="6">
        <f>IFERROR(__xludf.DUMMYFUNCTION("""COMPUTED_VALUE"""),1.0)</f>
        <v>1</v>
      </c>
    </row>
    <row r="687">
      <c r="A687" s="6" t="str">
        <f>IFERROR(__xludf.DUMMYFUNCTION("""COMPUTED_VALUE"""),"FM4179")</f>
        <v>FM4179</v>
      </c>
      <c r="B687" s="6" t="str">
        <f>IFERROR(__xludf.DUMMYFUNCTION("""COMPUTED_VALUE"""),"RUN-COMB_2022-05-12_RFR-038")</f>
        <v>RUN-COMB_2022-05-12_RFR-038</v>
      </c>
      <c r="C687" s="7">
        <f>VLOOKUP(B687,'Run Reconcile'!A$2:B3090,2,FALSE)</f>
        <v>44693</v>
      </c>
      <c r="D687" s="11">
        <f>IFERROR(__xludf.DUMMYFUNCTION("""COMPUTED_VALUE"""),44693.0)</f>
        <v>44693</v>
      </c>
      <c r="E687" s="12">
        <f>IFERROR(__xludf.DUMMYFUNCTION("""COMPUTED_VALUE"""),0.2779861111121136)</f>
        <v>0.2779861111</v>
      </c>
      <c r="F687" s="6" t="str">
        <f>IFERROR(__xludf.DUMMYFUNCTION("""COMPUTED_VALUE"""),"Negative")</f>
        <v>Negative</v>
      </c>
      <c r="G687" s="6">
        <f>IFERROR(__xludf.DUMMYFUNCTION("""COMPUTED_VALUE"""),1.0)</f>
        <v>1</v>
      </c>
    </row>
    <row r="688">
      <c r="A688" s="6" t="str">
        <f>IFERROR(__xludf.DUMMYFUNCTION("""COMPUTED_VALUE"""),"FM2184")</f>
        <v>FM2184</v>
      </c>
      <c r="B688" s="6" t="str">
        <f>IFERROR(__xludf.DUMMYFUNCTION("""COMPUTED_VALUE"""),"RUN-COMB_2022-05-12_RFR-038")</f>
        <v>RUN-COMB_2022-05-12_RFR-038</v>
      </c>
      <c r="C688" s="7">
        <f>VLOOKUP(B688,'Run Reconcile'!A$2:B3090,2,FALSE)</f>
        <v>44693</v>
      </c>
      <c r="D688" s="11">
        <f>IFERROR(__xludf.DUMMYFUNCTION("""COMPUTED_VALUE"""),44693.0)</f>
        <v>44693</v>
      </c>
      <c r="E688" s="12">
        <f>IFERROR(__xludf.DUMMYFUNCTION("""COMPUTED_VALUE"""),0.2789583333324117)</f>
        <v>0.2789583333</v>
      </c>
      <c r="F688" s="6" t="str">
        <f>IFERROR(__xludf.DUMMYFUNCTION("""COMPUTED_VALUE"""),"Negative")</f>
        <v>Negative</v>
      </c>
      <c r="G688" s="6">
        <f>IFERROR(__xludf.DUMMYFUNCTION("""COMPUTED_VALUE"""),1.0)</f>
        <v>1</v>
      </c>
    </row>
    <row r="689">
      <c r="A689" s="6" t="str">
        <f>IFERROR(__xludf.DUMMYFUNCTION("""COMPUTED_VALUE"""),"FM2259")</f>
        <v>FM2259</v>
      </c>
      <c r="B689" s="6" t="str">
        <f>IFERROR(__xludf.DUMMYFUNCTION("""COMPUTED_VALUE"""),"RUN-COMB_2022-05-12_RFR-038")</f>
        <v>RUN-COMB_2022-05-12_RFR-038</v>
      </c>
      <c r="C689" s="7">
        <f>VLOOKUP(B689,'Run Reconcile'!A$2:B3090,2,FALSE)</f>
        <v>44693</v>
      </c>
      <c r="D689" s="11">
        <f>IFERROR(__xludf.DUMMYFUNCTION("""COMPUTED_VALUE"""),44693.0)</f>
        <v>44693</v>
      </c>
      <c r="E689" s="12">
        <f>IFERROR(__xludf.DUMMYFUNCTION("""COMPUTED_VALUE"""),0.2792939814826241)</f>
        <v>0.2792939815</v>
      </c>
      <c r="F689" s="6" t="str">
        <f>IFERROR(__xludf.DUMMYFUNCTION("""COMPUTED_VALUE"""),"Negative")</f>
        <v>Negative</v>
      </c>
      <c r="G689" s="6">
        <f>IFERROR(__xludf.DUMMYFUNCTION("""COMPUTED_VALUE"""),1.0)</f>
        <v>1</v>
      </c>
    </row>
    <row r="690">
      <c r="A690" s="6" t="str">
        <f>IFERROR(__xludf.DUMMYFUNCTION("""COMPUTED_VALUE"""),"FM2216")</f>
        <v>FM2216</v>
      </c>
      <c r="B690" s="6" t="str">
        <f>IFERROR(__xludf.DUMMYFUNCTION("""COMPUTED_VALUE"""),"RUN-COMB_2022-05-12_RFR-038")</f>
        <v>RUN-COMB_2022-05-12_RFR-038</v>
      </c>
      <c r="C690" s="7">
        <f>VLOOKUP(B690,'Run Reconcile'!A$2:B3090,2,FALSE)</f>
        <v>44693</v>
      </c>
      <c r="D690" s="11">
        <f>IFERROR(__xludf.DUMMYFUNCTION("""COMPUTED_VALUE"""),44693.0)</f>
        <v>44693</v>
      </c>
      <c r="E690" s="12">
        <f>IFERROR(__xludf.DUMMYFUNCTION("""COMPUTED_VALUE"""),0.2796064814829151)</f>
        <v>0.2796064815</v>
      </c>
      <c r="F690" s="6" t="str">
        <f>IFERROR(__xludf.DUMMYFUNCTION("""COMPUTED_VALUE"""),"Negative")</f>
        <v>Negative</v>
      </c>
      <c r="G690" s="6">
        <f>IFERROR(__xludf.DUMMYFUNCTION("""COMPUTED_VALUE"""),1.0)</f>
        <v>1</v>
      </c>
    </row>
    <row r="691">
      <c r="A691" s="6" t="str">
        <f>IFERROR(__xludf.DUMMYFUNCTION("""COMPUTED_VALUE"""),"FM2258")</f>
        <v>FM2258</v>
      </c>
      <c r="B691" s="6" t="str">
        <f>IFERROR(__xludf.DUMMYFUNCTION("""COMPUTED_VALUE"""),"RUN-COMB_2022-05-12_RFR-038")</f>
        <v>RUN-COMB_2022-05-12_RFR-038</v>
      </c>
      <c r="C691" s="7">
        <f>VLOOKUP(B691,'Run Reconcile'!A$2:B3090,2,FALSE)</f>
        <v>44693</v>
      </c>
      <c r="D691" s="11">
        <f>IFERROR(__xludf.DUMMYFUNCTION("""COMPUTED_VALUE"""),44693.0)</f>
        <v>44693</v>
      </c>
      <c r="E691" s="12">
        <f>IFERROR(__xludf.DUMMYFUNCTION("""COMPUTED_VALUE"""),0.2821643518509518)</f>
        <v>0.2821643519</v>
      </c>
      <c r="F691" s="6" t="str">
        <f>IFERROR(__xludf.DUMMYFUNCTION("""COMPUTED_VALUE"""),"Negative")</f>
        <v>Negative</v>
      </c>
      <c r="G691" s="6">
        <f>IFERROR(__xludf.DUMMYFUNCTION("""COMPUTED_VALUE"""),1.0)</f>
        <v>1</v>
      </c>
    </row>
    <row r="692">
      <c r="A692" s="6" t="str">
        <f>IFERROR(__xludf.DUMMYFUNCTION("""COMPUTED_VALUE"""),"FM2208")</f>
        <v>FM2208</v>
      </c>
      <c r="B692" s="6" t="str">
        <f>IFERROR(__xludf.DUMMYFUNCTION("""COMPUTED_VALUE"""),"RUN-COMB_2022-05-12_RFR-038")</f>
        <v>RUN-COMB_2022-05-12_RFR-038</v>
      </c>
      <c r="C692" s="7">
        <f>VLOOKUP(B692,'Run Reconcile'!A$2:B3090,2,FALSE)</f>
        <v>44693</v>
      </c>
      <c r="D692" s="11">
        <f>IFERROR(__xludf.DUMMYFUNCTION("""COMPUTED_VALUE"""),44693.0)</f>
        <v>44693</v>
      </c>
      <c r="E692" s="12">
        <f>IFERROR(__xludf.DUMMYFUNCTION("""COMPUTED_VALUE"""),0.2825347222205892)</f>
        <v>0.2825347222</v>
      </c>
      <c r="F692" s="6" t="str">
        <f>IFERROR(__xludf.DUMMYFUNCTION("""COMPUTED_VALUE"""),"Negative")</f>
        <v>Negative</v>
      </c>
      <c r="G692" s="6">
        <f>IFERROR(__xludf.DUMMYFUNCTION("""COMPUTED_VALUE"""),1.0)</f>
        <v>1</v>
      </c>
    </row>
    <row r="693">
      <c r="A693" s="6" t="str">
        <f>IFERROR(__xludf.DUMMYFUNCTION("""COMPUTED_VALUE"""),"FM2290")</f>
        <v>FM2290</v>
      </c>
      <c r="B693" s="6" t="str">
        <f>IFERROR(__xludf.DUMMYFUNCTION("""COMPUTED_VALUE"""),"RUN-COMB_2022-05-12_RFR-038")</f>
        <v>RUN-COMB_2022-05-12_RFR-038</v>
      </c>
      <c r="C693" s="7">
        <f>VLOOKUP(B693,'Run Reconcile'!A$2:B3090,2,FALSE)</f>
        <v>44693</v>
      </c>
      <c r="D693" s="11">
        <f>IFERROR(__xludf.DUMMYFUNCTION("""COMPUTED_VALUE"""),44693.0)</f>
        <v>44693</v>
      </c>
      <c r="E693" s="12">
        <f>IFERROR(__xludf.DUMMYFUNCTION("""COMPUTED_VALUE"""),0.28280092592467554)</f>
        <v>0.2828009259</v>
      </c>
      <c r="F693" s="6" t="str">
        <f>IFERROR(__xludf.DUMMYFUNCTION("""COMPUTED_VALUE"""),"Negative")</f>
        <v>Negative</v>
      </c>
      <c r="G693" s="6">
        <f>IFERROR(__xludf.DUMMYFUNCTION("""COMPUTED_VALUE"""),1.0)</f>
        <v>1</v>
      </c>
    </row>
    <row r="694">
      <c r="A694" s="6" t="str">
        <f>IFERROR(__xludf.DUMMYFUNCTION("""COMPUTED_VALUE"""),"FM2257")</f>
        <v>FM2257</v>
      </c>
      <c r="B694" s="6" t="str">
        <f>IFERROR(__xludf.DUMMYFUNCTION("""COMPUTED_VALUE"""),"RUN-COMB_2022-05-12_RFR-038")</f>
        <v>RUN-COMB_2022-05-12_RFR-038</v>
      </c>
      <c r="C694" s="7">
        <f>VLOOKUP(B694,'Run Reconcile'!A$2:B3090,2,FALSE)</f>
        <v>44693</v>
      </c>
      <c r="D694" s="11">
        <f>IFERROR(__xludf.DUMMYFUNCTION("""COMPUTED_VALUE"""),44693.0)</f>
        <v>44693</v>
      </c>
      <c r="E694" s="12">
        <f>IFERROR(__xludf.DUMMYFUNCTION("""COMPUTED_VALUE"""),0.2829282407401479)</f>
        <v>0.2829282407</v>
      </c>
      <c r="F694" s="6" t="str">
        <f>IFERROR(__xludf.DUMMYFUNCTION("""COMPUTED_VALUE"""),"Negative")</f>
        <v>Negative</v>
      </c>
      <c r="G694" s="6">
        <f>IFERROR(__xludf.DUMMYFUNCTION("""COMPUTED_VALUE"""),1.0)</f>
        <v>1</v>
      </c>
    </row>
    <row r="695">
      <c r="A695" s="6" t="str">
        <f>IFERROR(__xludf.DUMMYFUNCTION("""COMPUTED_VALUE"""),"FM2265")</f>
        <v>FM2265</v>
      </c>
      <c r="B695" s="6" t="str">
        <f>IFERROR(__xludf.DUMMYFUNCTION("""COMPUTED_VALUE"""),"RUN-COMB_2022-05-12_RFR-038")</f>
        <v>RUN-COMB_2022-05-12_RFR-038</v>
      </c>
      <c r="C695" s="7">
        <f>VLOOKUP(B695,'Run Reconcile'!A$2:B3090,2,FALSE)</f>
        <v>44693</v>
      </c>
      <c r="D695" s="11">
        <f>IFERROR(__xludf.DUMMYFUNCTION("""COMPUTED_VALUE"""),44693.0)</f>
        <v>44693</v>
      </c>
      <c r="E695" s="12">
        <f>IFERROR(__xludf.DUMMYFUNCTION("""COMPUTED_VALUE"""),0.28336805555591127)</f>
        <v>0.2833680556</v>
      </c>
      <c r="F695" s="6" t="str">
        <f>IFERROR(__xludf.DUMMYFUNCTION("""COMPUTED_VALUE"""),"Negative")</f>
        <v>Negative</v>
      </c>
      <c r="G695" s="6">
        <f>IFERROR(__xludf.DUMMYFUNCTION("""COMPUTED_VALUE"""),1.0)</f>
        <v>1</v>
      </c>
    </row>
    <row r="696">
      <c r="A696" s="6" t="str">
        <f>IFERROR(__xludf.DUMMYFUNCTION("""COMPUTED_VALUE"""),"FM2215")</f>
        <v>FM2215</v>
      </c>
      <c r="B696" s="6" t="str">
        <f>IFERROR(__xludf.DUMMYFUNCTION("""COMPUTED_VALUE"""),"RUN-COMB_2022-05-12_RFR-038")</f>
        <v>RUN-COMB_2022-05-12_RFR-038</v>
      </c>
      <c r="C696" s="7">
        <f>VLOOKUP(B696,'Run Reconcile'!A$2:B3090,2,FALSE)</f>
        <v>44693</v>
      </c>
      <c r="D696" s="11">
        <f>IFERROR(__xludf.DUMMYFUNCTION("""COMPUTED_VALUE"""),44693.0)</f>
        <v>44693</v>
      </c>
      <c r="E696" s="12">
        <f>IFERROR(__xludf.DUMMYFUNCTION("""COMPUTED_VALUE"""),0.28344907407517894)</f>
        <v>0.2834490741</v>
      </c>
      <c r="F696" s="6" t="str">
        <f>IFERROR(__xludf.DUMMYFUNCTION("""COMPUTED_VALUE"""),"Negative")</f>
        <v>Negative</v>
      </c>
      <c r="G696" s="6">
        <f>IFERROR(__xludf.DUMMYFUNCTION("""COMPUTED_VALUE"""),1.0)</f>
        <v>1</v>
      </c>
    </row>
    <row r="697">
      <c r="A697" s="6" t="str">
        <f>IFERROR(__xludf.DUMMYFUNCTION("""COMPUTED_VALUE"""),"FM2231")</f>
        <v>FM2231</v>
      </c>
      <c r="B697" s="6" t="str">
        <f>IFERROR(__xludf.DUMMYFUNCTION("""COMPUTED_VALUE"""),"RUN-COMB_2022-05-12_RFR-038")</f>
        <v>RUN-COMB_2022-05-12_RFR-038</v>
      </c>
      <c r="C697" s="7">
        <f>VLOOKUP(B697,'Run Reconcile'!A$2:B3090,2,FALSE)</f>
        <v>44693</v>
      </c>
      <c r="D697" s="11">
        <f>IFERROR(__xludf.DUMMYFUNCTION("""COMPUTED_VALUE"""),44693.0)</f>
        <v>44693</v>
      </c>
      <c r="E697" s="12">
        <f>IFERROR(__xludf.DUMMYFUNCTION("""COMPUTED_VALUE"""),0.28380787037167465)</f>
        <v>0.2838078704</v>
      </c>
      <c r="F697" s="6" t="str">
        <f>IFERROR(__xludf.DUMMYFUNCTION("""COMPUTED_VALUE"""),"Negative")</f>
        <v>Negative</v>
      </c>
      <c r="G697" s="6">
        <f>IFERROR(__xludf.DUMMYFUNCTION("""COMPUTED_VALUE"""),1.0)</f>
        <v>1</v>
      </c>
    </row>
    <row r="698">
      <c r="A698" s="6" t="str">
        <f>IFERROR(__xludf.DUMMYFUNCTION("""COMPUTED_VALUE"""),"FM2262")</f>
        <v>FM2262</v>
      </c>
      <c r="B698" s="6" t="str">
        <f>IFERROR(__xludf.DUMMYFUNCTION("""COMPUTED_VALUE"""),"RUN-COMB_2022-05-12_RFR-038")</f>
        <v>RUN-COMB_2022-05-12_RFR-038</v>
      </c>
      <c r="C698" s="7">
        <f>VLOOKUP(B698,'Run Reconcile'!A$2:B3090,2,FALSE)</f>
        <v>44693</v>
      </c>
      <c r="D698" s="11">
        <f>IFERROR(__xludf.DUMMYFUNCTION("""COMPUTED_VALUE"""),44693.0)</f>
        <v>44693</v>
      </c>
      <c r="E698" s="12">
        <f>IFERROR(__xludf.DUMMYFUNCTION("""COMPUTED_VALUE"""),0.283865740741021)</f>
        <v>0.2838657407</v>
      </c>
      <c r="F698" s="6" t="str">
        <f>IFERROR(__xludf.DUMMYFUNCTION("""COMPUTED_VALUE"""),"Negative")</f>
        <v>Negative</v>
      </c>
      <c r="G698" s="6">
        <f>IFERROR(__xludf.DUMMYFUNCTION("""COMPUTED_VALUE"""),1.0)</f>
        <v>1</v>
      </c>
    </row>
    <row r="699">
      <c r="A699" s="6" t="str">
        <f>IFERROR(__xludf.DUMMYFUNCTION("""COMPUTED_VALUE"""),"FM2246")</f>
        <v>FM2246</v>
      </c>
      <c r="B699" s="6" t="str">
        <f>IFERROR(__xludf.DUMMYFUNCTION("""COMPUTED_VALUE"""),"RUN-COMB_2022-05-12_RFR-038")</f>
        <v>RUN-COMB_2022-05-12_RFR-038</v>
      </c>
      <c r="C699" s="7">
        <f>VLOOKUP(B699,'Run Reconcile'!A$2:B3090,2,FALSE)</f>
        <v>44693</v>
      </c>
      <c r="D699" s="11">
        <f>IFERROR(__xludf.DUMMYFUNCTION("""COMPUTED_VALUE"""),44693.0)</f>
        <v>44693</v>
      </c>
      <c r="E699" s="12">
        <f>IFERROR(__xludf.DUMMYFUNCTION("""COMPUTED_VALUE"""),0.28443287036861875)</f>
        <v>0.2844328704</v>
      </c>
      <c r="F699" s="6" t="str">
        <f>IFERROR(__xludf.DUMMYFUNCTION("""COMPUTED_VALUE"""),"Negative")</f>
        <v>Negative</v>
      </c>
      <c r="G699" s="6">
        <f>IFERROR(__xludf.DUMMYFUNCTION("""COMPUTED_VALUE"""),1.0)</f>
        <v>1</v>
      </c>
    </row>
    <row r="700">
      <c r="A700" s="6" t="str">
        <f>IFERROR(__xludf.DUMMYFUNCTION("""COMPUTED_VALUE"""),"FM2239")</f>
        <v>FM2239</v>
      </c>
      <c r="B700" s="6" t="str">
        <f>IFERROR(__xludf.DUMMYFUNCTION("""COMPUTED_VALUE"""),"RUN-COMB_2022-05-12_RFR-038")</f>
        <v>RUN-COMB_2022-05-12_RFR-038</v>
      </c>
      <c r="C700" s="7">
        <f>VLOOKUP(B700,'Run Reconcile'!A$2:B3090,2,FALSE)</f>
        <v>44693</v>
      </c>
      <c r="D700" s="11">
        <f>IFERROR(__xludf.DUMMYFUNCTION("""COMPUTED_VALUE"""),44693.0)</f>
        <v>44693</v>
      </c>
      <c r="E700" s="12">
        <f>IFERROR(__xludf.DUMMYFUNCTION("""COMPUTED_VALUE"""),0.2844907407416031)</f>
        <v>0.2844907407</v>
      </c>
      <c r="F700" s="6" t="str">
        <f>IFERROR(__xludf.DUMMYFUNCTION("""COMPUTED_VALUE"""),"Negative")</f>
        <v>Negative</v>
      </c>
      <c r="G700" s="6">
        <f>IFERROR(__xludf.DUMMYFUNCTION("""COMPUTED_VALUE"""),1.0)</f>
        <v>1</v>
      </c>
    </row>
    <row r="701">
      <c r="A701" s="6" t="str">
        <f>IFERROR(__xludf.DUMMYFUNCTION("""COMPUTED_VALUE"""),"FM2289")</f>
        <v>FM2289</v>
      </c>
      <c r="B701" s="6" t="str">
        <f>IFERROR(__xludf.DUMMYFUNCTION("""COMPUTED_VALUE"""),"RUN-COMB_2022-05-12_RFR-038")</f>
        <v>RUN-COMB_2022-05-12_RFR-038</v>
      </c>
      <c r="C701" s="7">
        <f>VLOOKUP(B701,'Run Reconcile'!A$2:B3090,2,FALSE)</f>
        <v>44693</v>
      </c>
      <c r="D701" s="11">
        <f>IFERROR(__xludf.DUMMYFUNCTION("""COMPUTED_VALUE"""),44693.0)</f>
        <v>44693</v>
      </c>
      <c r="E701" s="12">
        <f>IFERROR(__xludf.DUMMYFUNCTION("""COMPUTED_VALUE"""),0.2850925925922638)</f>
        <v>0.2850925926</v>
      </c>
      <c r="F701" s="6" t="str">
        <f>IFERROR(__xludf.DUMMYFUNCTION("""COMPUTED_VALUE"""),"Negative")</f>
        <v>Negative</v>
      </c>
      <c r="G701" s="6">
        <f>IFERROR(__xludf.DUMMYFUNCTION("""COMPUTED_VALUE"""),1.0)</f>
        <v>1</v>
      </c>
    </row>
    <row r="702">
      <c r="A702" s="6" t="str">
        <f>IFERROR(__xludf.DUMMYFUNCTION("""COMPUTED_VALUE"""),"FM2271")</f>
        <v>FM2271</v>
      </c>
      <c r="B702" s="6" t="str">
        <f>IFERROR(__xludf.DUMMYFUNCTION("""COMPUTED_VALUE"""),"RUN-COMB_2022-05-12_RFR-038")</f>
        <v>RUN-COMB_2022-05-12_RFR-038</v>
      </c>
      <c r="C702" s="7">
        <f>VLOOKUP(B702,'Run Reconcile'!A$2:B3090,2,FALSE)</f>
        <v>44693</v>
      </c>
      <c r="D702" s="11">
        <f>IFERROR(__xludf.DUMMYFUNCTION("""COMPUTED_VALUE"""),44693.0)</f>
        <v>44693</v>
      </c>
      <c r="E702" s="12">
        <f>IFERROR(__xludf.DUMMYFUNCTION("""COMPUTED_VALUE"""),0.2855439814811689)</f>
        <v>0.2855439815</v>
      </c>
      <c r="F702" s="6" t="str">
        <f>IFERROR(__xludf.DUMMYFUNCTION("""COMPUTED_VALUE"""),"Negative")</f>
        <v>Negative</v>
      </c>
      <c r="G702" s="6">
        <f>IFERROR(__xludf.DUMMYFUNCTION("""COMPUTED_VALUE"""),1.0)</f>
        <v>1</v>
      </c>
    </row>
    <row r="703">
      <c r="A703" s="6" t="str">
        <f>IFERROR(__xludf.DUMMYFUNCTION("""COMPUTED_VALUE"""),"FM2276")</f>
        <v>FM2276</v>
      </c>
      <c r="B703" s="6" t="str">
        <f>IFERROR(__xludf.DUMMYFUNCTION("""COMPUTED_VALUE"""),"RUN-COMB_2022-05-12_RFR-038")</f>
        <v>RUN-COMB_2022-05-12_RFR-038</v>
      </c>
      <c r="C703" s="7">
        <f>VLOOKUP(B703,'Run Reconcile'!A$2:B3090,2,FALSE)</f>
        <v>44693</v>
      </c>
      <c r="D703" s="11">
        <f>IFERROR(__xludf.DUMMYFUNCTION("""COMPUTED_VALUE"""),44693.0)</f>
        <v>44693</v>
      </c>
      <c r="E703" s="12">
        <f>IFERROR(__xludf.DUMMYFUNCTION("""COMPUTED_VALUE"""),0.2862268518510973)</f>
        <v>0.2862268519</v>
      </c>
      <c r="F703" s="6" t="str">
        <f>IFERROR(__xludf.DUMMYFUNCTION("""COMPUTED_VALUE"""),"Negative")</f>
        <v>Negative</v>
      </c>
      <c r="G703" s="6">
        <f>IFERROR(__xludf.DUMMYFUNCTION("""COMPUTED_VALUE"""),1.0)</f>
        <v>1</v>
      </c>
    </row>
    <row r="704">
      <c r="A704" s="6" t="str">
        <f>IFERROR(__xludf.DUMMYFUNCTION("""COMPUTED_VALUE"""),"FM2247")</f>
        <v>FM2247</v>
      </c>
      <c r="B704" s="6" t="str">
        <f>IFERROR(__xludf.DUMMYFUNCTION("""COMPUTED_VALUE"""),"RUN-COMB_2022-05-12_RFR-038")</f>
        <v>RUN-COMB_2022-05-12_RFR-038</v>
      </c>
      <c r="C704" s="7">
        <f>VLOOKUP(B704,'Run Reconcile'!A$2:B3090,2,FALSE)</f>
        <v>44693</v>
      </c>
      <c r="D704" s="11">
        <f>IFERROR(__xludf.DUMMYFUNCTION("""COMPUTED_VALUE"""),44693.0)</f>
        <v>44693</v>
      </c>
      <c r="E704" s="12">
        <f>IFERROR(__xludf.DUMMYFUNCTION("""COMPUTED_VALUE"""),0.2867013888899237)</f>
        <v>0.2867013889</v>
      </c>
      <c r="F704" s="6" t="str">
        <f>IFERROR(__xludf.DUMMYFUNCTION("""COMPUTED_VALUE"""),"Negative")</f>
        <v>Negative</v>
      </c>
      <c r="G704" s="6">
        <f>IFERROR(__xludf.DUMMYFUNCTION("""COMPUTED_VALUE"""),1.0)</f>
        <v>1</v>
      </c>
    </row>
    <row r="705">
      <c r="A705" s="6" t="str">
        <f>IFERROR(__xludf.DUMMYFUNCTION("""COMPUTED_VALUE"""),"FM2219")</f>
        <v>FM2219</v>
      </c>
      <c r="B705" s="6" t="str">
        <f>IFERROR(__xludf.DUMMYFUNCTION("""COMPUTED_VALUE"""),"RUN-COMB_2022-05-13_RFR-039")</f>
        <v>RUN-COMB_2022-05-13_RFR-039</v>
      </c>
      <c r="C705" s="7">
        <f>VLOOKUP(B705,'Run Reconcile'!A$2:B3090,2,FALSE)</f>
        <v>44694</v>
      </c>
      <c r="D705" s="11">
        <f>IFERROR(__xludf.DUMMYFUNCTION("""COMPUTED_VALUE"""),44694.0)</f>
        <v>44694</v>
      </c>
      <c r="E705" s="12">
        <f>IFERROR(__xludf.DUMMYFUNCTION("""COMPUTED_VALUE"""),0.27200231481401715)</f>
        <v>0.2720023148</v>
      </c>
      <c r="F705" s="6" t="str">
        <f>IFERROR(__xludf.DUMMYFUNCTION("""COMPUTED_VALUE"""),"Negative")</f>
        <v>Negative</v>
      </c>
      <c r="G705" s="6">
        <f>IFERROR(__xludf.DUMMYFUNCTION("""COMPUTED_VALUE"""),1.0)</f>
        <v>1</v>
      </c>
    </row>
    <row r="706">
      <c r="A706" s="6" t="str">
        <f>IFERROR(__xludf.DUMMYFUNCTION("""COMPUTED_VALUE"""),"FM2220")</f>
        <v>FM2220</v>
      </c>
      <c r="B706" s="6" t="str">
        <f>IFERROR(__xludf.DUMMYFUNCTION("""COMPUTED_VALUE"""),"RUN-COMB_2022-05-13_RFR-039")</f>
        <v>RUN-COMB_2022-05-13_RFR-039</v>
      </c>
      <c r="C706" s="7">
        <f>VLOOKUP(B706,'Run Reconcile'!A$2:B3090,2,FALSE)</f>
        <v>44694</v>
      </c>
      <c r="D706" s="11">
        <f>IFERROR(__xludf.DUMMYFUNCTION("""COMPUTED_VALUE"""),44694.0)</f>
        <v>44694</v>
      </c>
      <c r="E706" s="12">
        <f>IFERROR(__xludf.DUMMYFUNCTION("""COMPUTED_VALUE"""),0.27262731481459923)</f>
        <v>0.2726273148</v>
      </c>
      <c r="F706" s="6" t="str">
        <f>IFERROR(__xludf.DUMMYFUNCTION("""COMPUTED_VALUE"""),"Negative")</f>
        <v>Negative</v>
      </c>
      <c r="G706" s="6">
        <f>IFERROR(__xludf.DUMMYFUNCTION("""COMPUTED_VALUE"""),1.0)</f>
        <v>1</v>
      </c>
    </row>
    <row r="707">
      <c r="A707" s="6" t="str">
        <f>IFERROR(__xludf.DUMMYFUNCTION("""COMPUTED_VALUE"""),"FM2248")</f>
        <v>FM2248</v>
      </c>
      <c r="B707" s="6" t="str">
        <f>IFERROR(__xludf.DUMMYFUNCTION("""COMPUTED_VALUE"""),"RUN-COMB_2022-05-13_RFR-039")</f>
        <v>RUN-COMB_2022-05-13_RFR-039</v>
      </c>
      <c r="C707" s="7">
        <f>VLOOKUP(B707,'Run Reconcile'!A$2:B3090,2,FALSE)</f>
        <v>44694</v>
      </c>
      <c r="D707" s="11">
        <f>IFERROR(__xludf.DUMMYFUNCTION("""COMPUTED_VALUE"""),44694.0)</f>
        <v>44694</v>
      </c>
      <c r="E707" s="12">
        <f>IFERROR(__xludf.DUMMYFUNCTION("""COMPUTED_VALUE"""),0.27295138888803194)</f>
        <v>0.2729513889</v>
      </c>
      <c r="F707" s="6" t="str">
        <f>IFERROR(__xludf.DUMMYFUNCTION("""COMPUTED_VALUE"""),"Negative")</f>
        <v>Negative</v>
      </c>
      <c r="G707" s="6">
        <f>IFERROR(__xludf.DUMMYFUNCTION("""COMPUTED_VALUE"""),1.0)</f>
        <v>1</v>
      </c>
    </row>
    <row r="708">
      <c r="A708" s="6" t="str">
        <f>IFERROR(__xludf.DUMMYFUNCTION("""COMPUTED_VALUE"""),"FM2274")</f>
        <v>FM2274</v>
      </c>
      <c r="B708" s="6" t="str">
        <f>IFERROR(__xludf.DUMMYFUNCTION("""COMPUTED_VALUE"""),"RUN-COMB_2022-05-13_RFR-039")</f>
        <v>RUN-COMB_2022-05-13_RFR-039</v>
      </c>
      <c r="C708" s="7">
        <f>VLOOKUP(B708,'Run Reconcile'!A$2:B3090,2,FALSE)</f>
        <v>44694</v>
      </c>
      <c r="D708" s="11">
        <f>IFERROR(__xludf.DUMMYFUNCTION("""COMPUTED_VALUE"""),44694.0)</f>
        <v>44694</v>
      </c>
      <c r="E708" s="12">
        <f>IFERROR(__xludf.DUMMYFUNCTION("""COMPUTED_VALUE"""),0.27324074074203963)</f>
        <v>0.2732407407</v>
      </c>
      <c r="F708" s="6" t="str">
        <f>IFERROR(__xludf.DUMMYFUNCTION("""COMPUTED_VALUE"""),"Negative")</f>
        <v>Negative</v>
      </c>
      <c r="G708" s="6">
        <f>IFERROR(__xludf.DUMMYFUNCTION("""COMPUTED_VALUE"""),1.0)</f>
        <v>1</v>
      </c>
    </row>
    <row r="709">
      <c r="A709" s="6" t="str">
        <f>IFERROR(__xludf.DUMMYFUNCTION("""COMPUTED_VALUE"""),"FM2196")</f>
        <v>FM2196</v>
      </c>
      <c r="B709" s="6" t="str">
        <f>IFERROR(__xludf.DUMMYFUNCTION("""COMPUTED_VALUE"""),"RUN-COMB_2022-05-13_RFR-039")</f>
        <v>RUN-COMB_2022-05-13_RFR-039</v>
      </c>
      <c r="C709" s="7">
        <f>VLOOKUP(B709,'Run Reconcile'!A$2:B3090,2,FALSE)</f>
        <v>44694</v>
      </c>
      <c r="D709" s="11">
        <f>IFERROR(__xludf.DUMMYFUNCTION("""COMPUTED_VALUE"""),44694.0)</f>
        <v>44694</v>
      </c>
      <c r="E709" s="12">
        <f>IFERROR(__xludf.DUMMYFUNCTION("""COMPUTED_VALUE"""),0.2741203703699284)</f>
        <v>0.2741203704</v>
      </c>
      <c r="F709" s="6" t="str">
        <f>IFERROR(__xludf.DUMMYFUNCTION("""COMPUTED_VALUE"""),"Negative")</f>
        <v>Negative</v>
      </c>
      <c r="G709" s="6">
        <f>IFERROR(__xludf.DUMMYFUNCTION("""COMPUTED_VALUE"""),1.0)</f>
        <v>1</v>
      </c>
    </row>
    <row r="710">
      <c r="A710" s="6" t="str">
        <f>IFERROR(__xludf.DUMMYFUNCTION("""COMPUTED_VALUE"""),"FM2268")</f>
        <v>FM2268</v>
      </c>
      <c r="B710" s="6" t="str">
        <f>IFERROR(__xludf.DUMMYFUNCTION("""COMPUTED_VALUE"""),"RUN-COMB_2022-05-13_RFR-039")</f>
        <v>RUN-COMB_2022-05-13_RFR-039</v>
      </c>
      <c r="C710" s="7">
        <f>VLOOKUP(B710,'Run Reconcile'!A$2:B3090,2,FALSE)</f>
        <v>44694</v>
      </c>
      <c r="D710" s="11">
        <f>IFERROR(__xludf.DUMMYFUNCTION("""COMPUTED_VALUE"""),44694.0)</f>
        <v>44694</v>
      </c>
      <c r="E710" s="12">
        <f>IFERROR(__xludf.DUMMYFUNCTION("""COMPUTED_VALUE"""),0.27451388888948713)</f>
        <v>0.2745138889</v>
      </c>
      <c r="F710" s="6" t="str">
        <f>IFERROR(__xludf.DUMMYFUNCTION("""COMPUTED_VALUE"""),"Negative")</f>
        <v>Negative</v>
      </c>
      <c r="G710" s="6">
        <f>IFERROR(__xludf.DUMMYFUNCTION("""COMPUTED_VALUE"""),1.0)</f>
        <v>1</v>
      </c>
    </row>
    <row r="711">
      <c r="A711" s="6" t="str">
        <f>IFERROR(__xludf.DUMMYFUNCTION("""COMPUTED_VALUE"""),"FM2275")</f>
        <v>FM2275</v>
      </c>
      <c r="B711" s="6" t="str">
        <f>IFERROR(__xludf.DUMMYFUNCTION("""COMPUTED_VALUE"""),"RUN-COMB_2022-05-13_RFR-039")</f>
        <v>RUN-COMB_2022-05-13_RFR-039</v>
      </c>
      <c r="C711" s="7">
        <f>VLOOKUP(B711,'Run Reconcile'!A$2:B3090,2,FALSE)</f>
        <v>44694</v>
      </c>
      <c r="D711" s="11">
        <f>IFERROR(__xludf.DUMMYFUNCTION("""COMPUTED_VALUE"""),44694.0)</f>
        <v>44694</v>
      </c>
      <c r="E711" s="12">
        <f>IFERROR(__xludf.DUMMYFUNCTION("""COMPUTED_VALUE"""),0.2748958333322662)</f>
        <v>0.2748958333</v>
      </c>
      <c r="F711" s="6" t="str">
        <f>IFERROR(__xludf.DUMMYFUNCTION("""COMPUTED_VALUE"""),"Negative")</f>
        <v>Negative</v>
      </c>
      <c r="G711" s="6">
        <f>IFERROR(__xludf.DUMMYFUNCTION("""COMPUTED_VALUE"""),1.0)</f>
        <v>1</v>
      </c>
    </row>
    <row r="712">
      <c r="A712" s="6" t="str">
        <f>IFERROR(__xludf.DUMMYFUNCTION("""COMPUTED_VALUE"""),"FM2267")</f>
        <v>FM2267</v>
      </c>
      <c r="B712" s="6" t="str">
        <f>IFERROR(__xludf.DUMMYFUNCTION("""COMPUTED_VALUE"""),"RUN-COMB_2022-05-13_RFR-039")</f>
        <v>RUN-COMB_2022-05-13_RFR-039</v>
      </c>
      <c r="C712" s="7">
        <f>VLOOKUP(B712,'Run Reconcile'!A$2:B3090,2,FALSE)</f>
        <v>44694</v>
      </c>
      <c r="D712" s="11">
        <f>IFERROR(__xludf.DUMMYFUNCTION("""COMPUTED_VALUE"""),44694.0)</f>
        <v>44694</v>
      </c>
      <c r="E712" s="12">
        <f>IFERROR(__xludf.DUMMYFUNCTION("""COMPUTED_VALUE"""),0.2752546296287619)</f>
        <v>0.2752546296</v>
      </c>
      <c r="F712" s="6" t="str">
        <f>IFERROR(__xludf.DUMMYFUNCTION("""COMPUTED_VALUE"""),"Negative")</f>
        <v>Negative</v>
      </c>
      <c r="G712" s="6">
        <f>IFERROR(__xludf.DUMMYFUNCTION("""COMPUTED_VALUE"""),1.0)</f>
        <v>1</v>
      </c>
    </row>
    <row r="713">
      <c r="A713" s="6" t="str">
        <f>IFERROR(__xludf.DUMMYFUNCTION("""COMPUTED_VALUE"""),"FM2281")</f>
        <v>FM2281</v>
      </c>
      <c r="B713" s="6" t="str">
        <f>IFERROR(__xludf.DUMMYFUNCTION("""COMPUTED_VALUE"""),"RUN-COMB_2022-05-13_RFR-039")</f>
        <v>RUN-COMB_2022-05-13_RFR-039</v>
      </c>
      <c r="C713" s="7">
        <f>VLOOKUP(B713,'Run Reconcile'!A$2:B3090,2,FALSE)</f>
        <v>44694</v>
      </c>
      <c r="D713" s="11">
        <f>IFERROR(__xludf.DUMMYFUNCTION("""COMPUTED_VALUE"""),44694.0)</f>
        <v>44694</v>
      </c>
      <c r="E713" s="12">
        <f>IFERROR(__xludf.DUMMYFUNCTION("""COMPUTED_VALUE"""),0.27555555555591127)</f>
        <v>0.2755555556</v>
      </c>
      <c r="F713" s="6" t="str">
        <f>IFERROR(__xludf.DUMMYFUNCTION("""COMPUTED_VALUE"""),"Negative")</f>
        <v>Negative</v>
      </c>
      <c r="G713" s="6">
        <f>IFERROR(__xludf.DUMMYFUNCTION("""COMPUTED_VALUE"""),1.0)</f>
        <v>1</v>
      </c>
    </row>
    <row r="714">
      <c r="A714" s="6" t="str">
        <f>IFERROR(__xludf.DUMMYFUNCTION("""COMPUTED_VALUE"""),"FM2188")</f>
        <v>FM2188</v>
      </c>
      <c r="B714" s="6" t="str">
        <f>IFERROR(__xludf.DUMMYFUNCTION("""COMPUTED_VALUE"""),"RUN-COMB_2022-05-13_RFR-039")</f>
        <v>RUN-COMB_2022-05-13_RFR-039</v>
      </c>
      <c r="C714" s="7">
        <f>VLOOKUP(B714,'Run Reconcile'!A$2:B3090,2,FALSE)</f>
        <v>44694</v>
      </c>
      <c r="D714" s="11">
        <f>IFERROR(__xludf.DUMMYFUNCTION("""COMPUTED_VALUE"""),44694.0)</f>
        <v>44694</v>
      </c>
      <c r="E714" s="12">
        <f>IFERROR(__xludf.DUMMYFUNCTION("""COMPUTED_VALUE"""),0.27585648148306063)</f>
        <v>0.2758564815</v>
      </c>
      <c r="F714" s="6" t="str">
        <f>IFERROR(__xludf.DUMMYFUNCTION("""COMPUTED_VALUE"""),"Negative")</f>
        <v>Negative</v>
      </c>
      <c r="G714" s="6">
        <f>IFERROR(__xludf.DUMMYFUNCTION("""COMPUTED_VALUE"""),1.0)</f>
        <v>1</v>
      </c>
    </row>
    <row r="715">
      <c r="A715" s="6" t="str">
        <f>IFERROR(__xludf.DUMMYFUNCTION("""COMPUTED_VALUE"""),"FM2282")</f>
        <v>FM2282</v>
      </c>
      <c r="B715" s="6" t="str">
        <f>IFERROR(__xludf.DUMMYFUNCTION("""COMPUTED_VALUE"""),"RUN-COMB_2022-05-13_RFR-039")</f>
        <v>RUN-COMB_2022-05-13_RFR-039</v>
      </c>
      <c r="C715" s="7">
        <f>VLOOKUP(B715,'Run Reconcile'!A$2:B3090,2,FALSE)</f>
        <v>44694</v>
      </c>
      <c r="D715" s="11">
        <f>IFERROR(__xludf.DUMMYFUNCTION("""COMPUTED_VALUE"""),44694.0)</f>
        <v>44694</v>
      </c>
      <c r="E715" s="12">
        <f>IFERROR(__xludf.DUMMYFUNCTION("""COMPUTED_VALUE"""),0.27618055555649335)</f>
        <v>0.2761805556</v>
      </c>
      <c r="F715" s="6" t="str">
        <f>IFERROR(__xludf.DUMMYFUNCTION("""COMPUTED_VALUE"""),"Negative")</f>
        <v>Negative</v>
      </c>
      <c r="G715" s="6">
        <f>IFERROR(__xludf.DUMMYFUNCTION("""COMPUTED_VALUE"""),1.0)</f>
        <v>1</v>
      </c>
    </row>
    <row r="716">
      <c r="A716" s="6" t="str">
        <f>IFERROR(__xludf.DUMMYFUNCTION("""COMPUTED_VALUE"""),"FM2254")</f>
        <v>FM2254</v>
      </c>
      <c r="B716" s="6" t="str">
        <f>IFERROR(__xludf.DUMMYFUNCTION("""COMPUTED_VALUE"""),"RUN-COMB_2022-05-13_RFR-039")</f>
        <v>RUN-COMB_2022-05-13_RFR-039</v>
      </c>
      <c r="C716" s="7">
        <f>VLOOKUP(B716,'Run Reconcile'!A$2:B3090,2,FALSE)</f>
        <v>44694</v>
      </c>
      <c r="D716" s="11">
        <f>IFERROR(__xludf.DUMMYFUNCTION("""COMPUTED_VALUE"""),44694.0)</f>
        <v>44694</v>
      </c>
      <c r="E716" s="12">
        <f>IFERROR(__xludf.DUMMYFUNCTION("""COMPUTED_VALUE"""),0.2768055555570754)</f>
        <v>0.2768055556</v>
      </c>
      <c r="F716" s="6" t="str">
        <f>IFERROR(__xludf.DUMMYFUNCTION("""COMPUTED_VALUE"""),"Negative")</f>
        <v>Negative</v>
      </c>
      <c r="G716" s="6">
        <f>IFERROR(__xludf.DUMMYFUNCTION("""COMPUTED_VALUE"""),1.0)</f>
        <v>1</v>
      </c>
    </row>
    <row r="717">
      <c r="A717" s="6" t="str">
        <f>IFERROR(__xludf.DUMMYFUNCTION("""COMPUTED_VALUE"""),"FM2222")</f>
        <v>FM2222</v>
      </c>
      <c r="B717" s="6" t="str">
        <f>IFERROR(__xludf.DUMMYFUNCTION("""COMPUTED_VALUE"""),"RUN-COMB_2022-05-13_RFR-039")</f>
        <v>RUN-COMB_2022-05-13_RFR-039</v>
      </c>
      <c r="C717" s="7">
        <f>VLOOKUP(B717,'Run Reconcile'!A$2:B3090,2,FALSE)</f>
        <v>44694</v>
      </c>
      <c r="D717" s="11">
        <f>IFERROR(__xludf.DUMMYFUNCTION("""COMPUTED_VALUE"""),44694.0)</f>
        <v>44694</v>
      </c>
      <c r="E717" s="12">
        <f>IFERROR(__xludf.DUMMYFUNCTION("""COMPUTED_VALUE"""),0.2846643518532801)</f>
        <v>0.2846643519</v>
      </c>
      <c r="F717" s="6" t="str">
        <f>IFERROR(__xludf.DUMMYFUNCTION("""COMPUTED_VALUE"""),"Negative")</f>
        <v>Negative</v>
      </c>
      <c r="G717" s="6">
        <f>IFERROR(__xludf.DUMMYFUNCTION("""COMPUTED_VALUE"""),1.0)</f>
        <v>1</v>
      </c>
    </row>
    <row r="718">
      <c r="A718" s="6" t="str">
        <f>IFERROR(__xludf.DUMMYFUNCTION("""COMPUTED_VALUE"""),"FM2301")</f>
        <v>FM2301</v>
      </c>
      <c r="B718" s="6" t="str">
        <f>IFERROR(__xludf.DUMMYFUNCTION("""COMPUTED_VALUE"""),"RUN-COMB_2022-05-13_RFR-039")</f>
        <v>RUN-COMB_2022-05-13_RFR-039</v>
      </c>
      <c r="C718" s="7">
        <f>VLOOKUP(B718,'Run Reconcile'!A$2:B3090,2,FALSE)</f>
        <v>44694</v>
      </c>
      <c r="D718" s="11">
        <f>IFERROR(__xludf.DUMMYFUNCTION("""COMPUTED_VALUE"""),44694.0)</f>
        <v>44694</v>
      </c>
      <c r="E718" s="12">
        <f>IFERROR(__xludf.DUMMYFUNCTION("""COMPUTED_VALUE"""),0.28501157407299615)</f>
        <v>0.2850115741</v>
      </c>
      <c r="F718" s="6" t="str">
        <f>IFERROR(__xludf.DUMMYFUNCTION("""COMPUTED_VALUE"""),"Negative")</f>
        <v>Negative</v>
      </c>
      <c r="G718" s="6">
        <f>IFERROR(__xludf.DUMMYFUNCTION("""COMPUTED_VALUE"""),1.0)</f>
        <v>1</v>
      </c>
    </row>
    <row r="719">
      <c r="A719" s="6" t="str">
        <f>IFERROR(__xludf.DUMMYFUNCTION("""COMPUTED_VALUE"""),"FM2240")</f>
        <v>FM2240</v>
      </c>
      <c r="B719" s="6" t="str">
        <f>IFERROR(__xludf.DUMMYFUNCTION("""COMPUTED_VALUE"""),"RUN-COMB_2022-05-13_RFR-039")</f>
        <v>RUN-COMB_2022-05-13_RFR-039</v>
      </c>
      <c r="C719" s="7">
        <f>VLOOKUP(B719,'Run Reconcile'!A$2:B3090,2,FALSE)</f>
        <v>44694</v>
      </c>
      <c r="D719" s="11">
        <f>IFERROR(__xludf.DUMMYFUNCTION("""COMPUTED_VALUE"""),44694.0)</f>
        <v>44694</v>
      </c>
      <c r="E719" s="12">
        <f>IFERROR(__xludf.DUMMYFUNCTION("""COMPUTED_VALUE"""),0.2853240740732872)</f>
        <v>0.2853240741</v>
      </c>
      <c r="F719" s="6" t="str">
        <f>IFERROR(__xludf.DUMMYFUNCTION("""COMPUTED_VALUE"""),"Negative")</f>
        <v>Negative</v>
      </c>
      <c r="G719" s="6">
        <f>IFERROR(__xludf.DUMMYFUNCTION("""COMPUTED_VALUE"""),1.0)</f>
        <v>1</v>
      </c>
    </row>
    <row r="720">
      <c r="A720" s="6" t="str">
        <f>IFERROR(__xludf.DUMMYFUNCTION("""COMPUTED_VALUE"""),"FM2305")</f>
        <v>FM2305</v>
      </c>
      <c r="B720" s="6" t="str">
        <f>IFERROR(__xludf.DUMMYFUNCTION("""COMPUTED_VALUE"""),"RUN-COMB_2022-05-13_RFR-039")</f>
        <v>RUN-COMB_2022-05-13_RFR-039</v>
      </c>
      <c r="C720" s="7">
        <f>VLOOKUP(B720,'Run Reconcile'!A$2:B3090,2,FALSE)</f>
        <v>44694</v>
      </c>
      <c r="D720" s="11">
        <f>IFERROR(__xludf.DUMMYFUNCTION("""COMPUTED_VALUE"""),44694.0)</f>
        <v>44694</v>
      </c>
      <c r="E720" s="12">
        <f>IFERROR(__xludf.DUMMYFUNCTION("""COMPUTED_VALUE"""),0.2856134259272949)</f>
        <v>0.2856134259</v>
      </c>
      <c r="F720" s="6" t="str">
        <f>IFERROR(__xludf.DUMMYFUNCTION("""COMPUTED_VALUE"""),"Negative")</f>
        <v>Negative</v>
      </c>
      <c r="G720" s="6">
        <f>IFERROR(__xludf.DUMMYFUNCTION("""COMPUTED_VALUE"""),1.0)</f>
        <v>1</v>
      </c>
    </row>
    <row r="721">
      <c r="A721" s="6" t="str">
        <f>IFERROR(__xludf.DUMMYFUNCTION("""COMPUTED_VALUE"""),"FM2200")</f>
        <v>FM2200</v>
      </c>
      <c r="B721" s="6" t="str">
        <f>IFERROR(__xludf.DUMMYFUNCTION("""COMPUTED_VALUE"""),"RUN-COMB_2022-05-13_RFR-039")</f>
        <v>RUN-COMB_2022-05-13_RFR-039</v>
      </c>
      <c r="C721" s="7">
        <f>VLOOKUP(B721,'Run Reconcile'!A$2:B3090,2,FALSE)</f>
        <v>44694</v>
      </c>
      <c r="D721" s="11">
        <f>IFERROR(__xludf.DUMMYFUNCTION("""COMPUTED_VALUE"""),44694.0)</f>
        <v>44694</v>
      </c>
      <c r="E721" s="12">
        <f>IFERROR(__xludf.DUMMYFUNCTION("""COMPUTED_VALUE"""),0.2859375000007276)</f>
        <v>0.2859375</v>
      </c>
      <c r="F721" s="6" t="str">
        <f>IFERROR(__xludf.DUMMYFUNCTION("""COMPUTED_VALUE"""),"Negative")</f>
        <v>Negative</v>
      </c>
      <c r="G721" s="6">
        <f>IFERROR(__xludf.DUMMYFUNCTION("""COMPUTED_VALUE"""),1.0)</f>
        <v>1</v>
      </c>
    </row>
    <row r="722">
      <c r="A722" s="6" t="str">
        <f>IFERROR(__xludf.DUMMYFUNCTION("""COMPUTED_VALUE"""),"FM2232")</f>
        <v>FM2232</v>
      </c>
      <c r="B722" s="6" t="str">
        <f>IFERROR(__xludf.DUMMYFUNCTION("""COMPUTED_VALUE"""),"RUN-COMB_2022-05-16_RFR-040")</f>
        <v>RUN-COMB_2022-05-16_RFR-040</v>
      </c>
      <c r="C722" s="7">
        <f>VLOOKUP(B722,'Run Reconcile'!A$2:B3090,2,FALSE)</f>
        <v>44697</v>
      </c>
      <c r="D722" s="11">
        <f>IFERROR(__xludf.DUMMYFUNCTION("""COMPUTED_VALUE"""),44697.0)</f>
        <v>44697</v>
      </c>
      <c r="E722" s="12">
        <f>IFERROR(__xludf.DUMMYFUNCTION("""COMPUTED_VALUE"""),0.6782986111102218)</f>
        <v>0.6782986111</v>
      </c>
      <c r="F722" s="6" t="str">
        <f>IFERROR(__xludf.DUMMYFUNCTION("""COMPUTED_VALUE"""),"Negative")</f>
        <v>Negative</v>
      </c>
      <c r="G722" s="6">
        <f>IFERROR(__xludf.DUMMYFUNCTION("""COMPUTED_VALUE"""),1.0)</f>
        <v>1</v>
      </c>
    </row>
    <row r="723">
      <c r="A723" s="6" t="str">
        <f>IFERROR(__xludf.DUMMYFUNCTION("""COMPUTED_VALUE"""),"FM2204")</f>
        <v>FM2204</v>
      </c>
      <c r="B723" s="6" t="str">
        <f>IFERROR(__xludf.DUMMYFUNCTION("""COMPUTED_VALUE"""),"RUN-COMB_2022-05-16_RFR-040")</f>
        <v>RUN-COMB_2022-05-16_RFR-040</v>
      </c>
      <c r="C723" s="7">
        <f>VLOOKUP(B723,'Run Reconcile'!A$2:B3090,2,FALSE)</f>
        <v>44697</v>
      </c>
      <c r="D723" s="11">
        <f>IFERROR(__xludf.DUMMYFUNCTION("""COMPUTED_VALUE"""),44697.0)</f>
        <v>44697</v>
      </c>
      <c r="E723" s="12">
        <f>IFERROR(__xludf.DUMMYFUNCTION("""COMPUTED_VALUE"""),0.6791203703687643)</f>
        <v>0.6791203704</v>
      </c>
      <c r="F723" s="6" t="str">
        <f>IFERROR(__xludf.DUMMYFUNCTION("""COMPUTED_VALUE"""),"Negative")</f>
        <v>Negative</v>
      </c>
      <c r="G723" s="6">
        <f>IFERROR(__xludf.DUMMYFUNCTION("""COMPUTED_VALUE"""),1.0)</f>
        <v>1</v>
      </c>
    </row>
    <row r="724">
      <c r="A724" s="6" t="str">
        <f>IFERROR(__xludf.DUMMYFUNCTION("""COMPUTED_VALUE"""),"FM2317")</f>
        <v>FM2317</v>
      </c>
      <c r="B724" s="6" t="str">
        <f>IFERROR(__xludf.DUMMYFUNCTION("""COMPUTED_VALUE"""),"RUN-COMB_2022-05-16_RFR-040")</f>
        <v>RUN-COMB_2022-05-16_RFR-040</v>
      </c>
      <c r="C724" s="7">
        <f>VLOOKUP(B724,'Run Reconcile'!A$2:B3090,2,FALSE)</f>
        <v>44697</v>
      </c>
      <c r="D724" s="11">
        <f>IFERROR(__xludf.DUMMYFUNCTION("""COMPUTED_VALUE"""),44697.0)</f>
        <v>44697</v>
      </c>
      <c r="E724" s="12">
        <f>IFERROR(__xludf.DUMMYFUNCTION("""COMPUTED_VALUE"""),0.6794675925921183)</f>
        <v>0.6794675926</v>
      </c>
      <c r="F724" s="6" t="str">
        <f>IFERROR(__xludf.DUMMYFUNCTION("""COMPUTED_VALUE"""),"Negative")</f>
        <v>Negative</v>
      </c>
      <c r="G724" s="6">
        <f>IFERROR(__xludf.DUMMYFUNCTION("""COMPUTED_VALUE"""),1.0)</f>
        <v>1</v>
      </c>
    </row>
    <row r="725">
      <c r="A725" s="6" t="str">
        <f>IFERROR(__xludf.DUMMYFUNCTION("""COMPUTED_VALUE"""),"FM2256")</f>
        <v>FM2256</v>
      </c>
      <c r="B725" s="6" t="str">
        <f>IFERROR(__xludf.DUMMYFUNCTION("""COMPUTED_VALUE"""),"RUN-COMB_2022-05-16_RFR-040")</f>
        <v>RUN-COMB_2022-05-16_RFR-040</v>
      </c>
      <c r="C725" s="7">
        <f>VLOOKUP(B725,'Run Reconcile'!A$2:B3090,2,FALSE)</f>
        <v>44697</v>
      </c>
      <c r="D725" s="11">
        <f>IFERROR(__xludf.DUMMYFUNCTION("""COMPUTED_VALUE"""),44697.0)</f>
        <v>44697</v>
      </c>
      <c r="E725" s="12">
        <f>IFERROR(__xludf.DUMMYFUNCTION("""COMPUTED_VALUE"""),0.6798032407423307)</f>
        <v>0.6798032407</v>
      </c>
      <c r="F725" s="6" t="str">
        <f>IFERROR(__xludf.DUMMYFUNCTION("""COMPUTED_VALUE"""),"Negative")</f>
        <v>Negative</v>
      </c>
      <c r="G725" s="6">
        <f>IFERROR(__xludf.DUMMYFUNCTION("""COMPUTED_VALUE"""),1.0)</f>
        <v>1</v>
      </c>
    </row>
    <row r="726">
      <c r="A726" s="6" t="str">
        <f>IFERROR(__xludf.DUMMYFUNCTION("""COMPUTED_VALUE"""),"FM2263")</f>
        <v>FM2263</v>
      </c>
      <c r="B726" s="6" t="str">
        <f>IFERROR(__xludf.DUMMYFUNCTION("""COMPUTED_VALUE"""),"RUN-COMB_2022-05-16_RFR-040")</f>
        <v>RUN-COMB_2022-05-16_RFR-040</v>
      </c>
      <c r="C726" s="7">
        <f>VLOOKUP(B726,'Run Reconcile'!A$2:B3090,2,FALSE)</f>
        <v>44697</v>
      </c>
      <c r="D726" s="11">
        <f>IFERROR(__xludf.DUMMYFUNCTION("""COMPUTED_VALUE"""),44697.0)</f>
        <v>44697</v>
      </c>
      <c r="E726" s="12">
        <f>IFERROR(__xludf.DUMMYFUNCTION("""COMPUTED_VALUE"""),0.6841203703697829)</f>
        <v>0.6841203704</v>
      </c>
      <c r="F726" s="6" t="str">
        <f>IFERROR(__xludf.DUMMYFUNCTION("""COMPUTED_VALUE"""),"Negative")</f>
        <v>Negative</v>
      </c>
      <c r="G726" s="6">
        <f>IFERROR(__xludf.DUMMYFUNCTION("""COMPUTED_VALUE"""),1.0)</f>
        <v>1</v>
      </c>
    </row>
    <row r="727">
      <c r="A727" s="6" t="str">
        <f>IFERROR(__xludf.DUMMYFUNCTION("""COMPUTED_VALUE"""),"FM2251")</f>
        <v>FM2251</v>
      </c>
      <c r="B727" s="6" t="str">
        <f>IFERROR(__xludf.DUMMYFUNCTION("""COMPUTED_VALUE"""),"RUN-COMB_2022-05-16_RFR-040")</f>
        <v>RUN-COMB_2022-05-16_RFR-040</v>
      </c>
      <c r="C727" s="7">
        <f>VLOOKUP(B727,'Run Reconcile'!A$2:B3090,2,FALSE)</f>
        <v>44697</v>
      </c>
      <c r="D727" s="11">
        <f>IFERROR(__xludf.DUMMYFUNCTION("""COMPUTED_VALUE"""),44697.0)</f>
        <v>44697</v>
      </c>
      <c r="E727" s="12">
        <f>IFERROR(__xludf.DUMMYFUNCTION("""COMPUTED_VALUE"""),0.684571759258688)</f>
        <v>0.6845717593</v>
      </c>
      <c r="F727" s="6" t="str">
        <f>IFERROR(__xludf.DUMMYFUNCTION("""COMPUTED_VALUE"""),"Negative")</f>
        <v>Negative</v>
      </c>
      <c r="G727" s="6">
        <f>IFERROR(__xludf.DUMMYFUNCTION("""COMPUTED_VALUE"""),1.0)</f>
        <v>1</v>
      </c>
    </row>
    <row r="728">
      <c r="A728" s="6" t="str">
        <f>IFERROR(__xludf.DUMMYFUNCTION("""COMPUTED_VALUE"""),"FM2261")</f>
        <v>FM2261</v>
      </c>
      <c r="B728" s="6" t="str">
        <f>IFERROR(__xludf.DUMMYFUNCTION("""COMPUTED_VALUE"""),"RUN-COMB_2022-05-16_RFR-040")</f>
        <v>RUN-COMB_2022-05-16_RFR-040</v>
      </c>
      <c r="C728" s="7">
        <f>VLOOKUP(B728,'Run Reconcile'!A$2:B3090,2,FALSE)</f>
        <v>44697</v>
      </c>
      <c r="D728" s="11">
        <f>IFERROR(__xludf.DUMMYFUNCTION("""COMPUTED_VALUE"""),44697.0)</f>
        <v>44697</v>
      </c>
      <c r="E728" s="12">
        <f>IFERROR(__xludf.DUMMYFUNCTION("""COMPUTED_VALUE"""),0.6849652777782467)</f>
        <v>0.6849652778</v>
      </c>
      <c r="F728" s="6" t="str">
        <f>IFERROR(__xludf.DUMMYFUNCTION("""COMPUTED_VALUE"""),"Negative")</f>
        <v>Negative</v>
      </c>
      <c r="G728" s="6">
        <f>IFERROR(__xludf.DUMMYFUNCTION("""COMPUTED_VALUE"""),1.0)</f>
        <v>1</v>
      </c>
    </row>
    <row r="729">
      <c r="A729" s="6" t="str">
        <f>IFERROR(__xludf.DUMMYFUNCTION("""COMPUTED_VALUE"""),"FM2252")</f>
        <v>FM2252</v>
      </c>
      <c r="B729" s="6" t="str">
        <f>IFERROR(__xludf.DUMMYFUNCTION("""COMPUTED_VALUE"""),"RUN-COMB_2022-05-16_RFR-040")</f>
        <v>RUN-COMB_2022-05-16_RFR-040</v>
      </c>
      <c r="C729" s="7">
        <f>VLOOKUP(B729,'Run Reconcile'!A$2:B3090,2,FALSE)</f>
        <v>44697</v>
      </c>
      <c r="D729" s="11">
        <f>IFERROR(__xludf.DUMMYFUNCTION("""COMPUTED_VALUE"""),44697.0)</f>
        <v>44697</v>
      </c>
      <c r="E729" s="12">
        <f>IFERROR(__xludf.DUMMYFUNCTION("""COMPUTED_VALUE"""),0.6853356481478841)</f>
        <v>0.6853356481</v>
      </c>
      <c r="F729" s="6" t="str">
        <f>IFERROR(__xludf.DUMMYFUNCTION("""COMPUTED_VALUE"""),"Negative")</f>
        <v>Negative</v>
      </c>
      <c r="G729" s="6">
        <f>IFERROR(__xludf.DUMMYFUNCTION("""COMPUTED_VALUE"""),1.0)</f>
        <v>1</v>
      </c>
    </row>
    <row r="730">
      <c r="A730" s="6" t="str">
        <f>IFERROR(__xludf.DUMMYFUNCTION("""COMPUTED_VALUE"""),"FM2235")</f>
        <v>FM2235</v>
      </c>
      <c r="B730" s="6" t="str">
        <f>IFERROR(__xludf.DUMMYFUNCTION("""COMPUTED_VALUE"""),"RUN-COMB_2022-05-16_RFR-040")</f>
        <v>RUN-COMB_2022-05-16_RFR-040</v>
      </c>
      <c r="C730" s="7">
        <f>VLOOKUP(B730,'Run Reconcile'!A$2:B3090,2,FALSE)</f>
        <v>44697</v>
      </c>
      <c r="D730" s="11">
        <f>IFERROR(__xludf.DUMMYFUNCTION("""COMPUTED_VALUE"""),44697.0)</f>
        <v>44697</v>
      </c>
      <c r="E730" s="12">
        <f>IFERROR(__xludf.DUMMYFUNCTION("""COMPUTED_VALUE"""),0.6859606481484661)</f>
        <v>0.6859606481</v>
      </c>
      <c r="F730" s="6" t="str">
        <f>IFERROR(__xludf.DUMMYFUNCTION("""COMPUTED_VALUE"""),"Negative")</f>
        <v>Negative</v>
      </c>
      <c r="G730" s="6">
        <f>IFERROR(__xludf.DUMMYFUNCTION("""COMPUTED_VALUE"""),1.0)</f>
        <v>1</v>
      </c>
    </row>
    <row r="731">
      <c r="A731" s="6" t="str">
        <f>IFERROR(__xludf.DUMMYFUNCTION("""COMPUTED_VALUE"""),"FM2294")</f>
        <v>FM2294</v>
      </c>
      <c r="B731" s="6" t="str">
        <f>IFERROR(__xludf.DUMMYFUNCTION("""COMPUTED_VALUE"""),"RUN-COMB_2022-05-16_RFR-040")</f>
        <v>RUN-COMB_2022-05-16_RFR-040</v>
      </c>
      <c r="C731" s="7">
        <f>VLOOKUP(B731,'Run Reconcile'!A$2:B3090,2,FALSE)</f>
        <v>44697</v>
      </c>
      <c r="D731" s="11">
        <f>IFERROR(__xludf.DUMMYFUNCTION("""COMPUTED_VALUE"""),44697.0)</f>
        <v>44697</v>
      </c>
      <c r="E731" s="12">
        <f>IFERROR(__xludf.DUMMYFUNCTION("""COMPUTED_VALUE"""),0.6864120370373712)</f>
        <v>0.686412037</v>
      </c>
      <c r="F731" s="6" t="str">
        <f>IFERROR(__xludf.DUMMYFUNCTION("""COMPUTED_VALUE"""),"Negative")</f>
        <v>Negative</v>
      </c>
      <c r="G731" s="6">
        <f>IFERROR(__xludf.DUMMYFUNCTION("""COMPUTED_VALUE"""),1.0)</f>
        <v>1</v>
      </c>
    </row>
    <row r="732">
      <c r="A732" s="6" t="str">
        <f>IFERROR(__xludf.DUMMYFUNCTION("""COMPUTED_VALUE"""),"FM2298")</f>
        <v>FM2298</v>
      </c>
      <c r="B732" s="6" t="str">
        <f>IFERROR(__xludf.DUMMYFUNCTION("""COMPUTED_VALUE"""),"RUN-COMB_2022-05-16_RFR-040")</f>
        <v>RUN-COMB_2022-05-16_RFR-040</v>
      </c>
      <c r="C732" s="7">
        <f>VLOOKUP(B732,'Run Reconcile'!A$2:B3090,2,FALSE)</f>
        <v>44697</v>
      </c>
      <c r="D732" s="11">
        <f>IFERROR(__xludf.DUMMYFUNCTION("""COMPUTED_VALUE"""),44697.0)</f>
        <v>44697</v>
      </c>
      <c r="E732" s="12">
        <f>IFERROR(__xludf.DUMMYFUNCTION("""COMPUTED_VALUE"""),0.687361111111386)</f>
        <v>0.6873611111</v>
      </c>
      <c r="F732" s="6" t="str">
        <f>IFERROR(__xludf.DUMMYFUNCTION("""COMPUTED_VALUE"""),"Negative")</f>
        <v>Negative</v>
      </c>
      <c r="G732" s="6">
        <f>IFERROR(__xludf.DUMMYFUNCTION("""COMPUTED_VALUE"""),1.0)</f>
        <v>1</v>
      </c>
    </row>
    <row r="733">
      <c r="A733" s="6" t="str">
        <f>IFERROR(__xludf.DUMMYFUNCTION("""COMPUTED_VALUE"""),"FM4152")</f>
        <v>FM4152</v>
      </c>
      <c r="B733" s="6" t="str">
        <f>IFERROR(__xludf.DUMMYFUNCTION("""COMPUTED_VALUE"""),"RUN-COMB_2022-05-16_RFR-040")</f>
        <v>RUN-COMB_2022-05-16_RFR-040</v>
      </c>
      <c r="C733" s="7">
        <f>VLOOKUP(B733,'Run Reconcile'!A$2:B3090,2,FALSE)</f>
        <v>44697</v>
      </c>
      <c r="D733" s="11">
        <f>IFERROR(__xludf.DUMMYFUNCTION("""COMPUTED_VALUE"""),44697.0)</f>
        <v>44697</v>
      </c>
      <c r="E733" s="12">
        <f>IFERROR(__xludf.DUMMYFUNCTION("""COMPUTED_VALUE"""),0.6995023148156179)</f>
        <v>0.6995023148</v>
      </c>
      <c r="F733" s="6" t="str">
        <f>IFERROR(__xludf.DUMMYFUNCTION("""COMPUTED_VALUE"""),"Negative")</f>
        <v>Negative</v>
      </c>
      <c r="G733" s="6">
        <f>IFERROR(__xludf.DUMMYFUNCTION("""COMPUTED_VALUE"""),1.0)</f>
        <v>1</v>
      </c>
    </row>
    <row r="734">
      <c r="A734" s="6" t="str">
        <f>IFERROR(__xludf.DUMMYFUNCTION("""COMPUTED_VALUE"""),"FM2293")</f>
        <v>FM2293</v>
      </c>
      <c r="B734" s="6" t="str">
        <f>IFERROR(__xludf.DUMMYFUNCTION("""COMPUTED_VALUE"""),"RUN-COMB_2022-05-16_RFR-040")</f>
        <v>RUN-COMB_2022-05-16_RFR-040</v>
      </c>
      <c r="C734" s="7">
        <f>VLOOKUP(B734,'Run Reconcile'!A$2:B3090,2,FALSE)</f>
        <v>44697</v>
      </c>
      <c r="D734" s="11">
        <f>IFERROR(__xludf.DUMMYFUNCTION("""COMPUTED_VALUE"""),44697.0)</f>
        <v>44697</v>
      </c>
      <c r="E734" s="12">
        <f>IFERROR(__xludf.DUMMYFUNCTION("""COMPUTED_VALUE"""),0.7002777777779556)</f>
        <v>0.7002777778</v>
      </c>
      <c r="F734" s="6" t="str">
        <f>IFERROR(__xludf.DUMMYFUNCTION("""COMPUTED_VALUE"""),"Negative")</f>
        <v>Negative</v>
      </c>
      <c r="G734" s="6">
        <f>IFERROR(__xludf.DUMMYFUNCTION("""COMPUTED_VALUE"""),1.0)</f>
        <v>1</v>
      </c>
    </row>
    <row r="735">
      <c r="A735" s="6" t="str">
        <f>IFERROR(__xludf.DUMMYFUNCTION("""COMPUTED_VALUE"""),"FM2207")</f>
        <v>FM2207</v>
      </c>
      <c r="B735" s="6" t="str">
        <f>IFERROR(__xludf.DUMMYFUNCTION("""COMPUTED_VALUE"""),"RUN-COMB_2022-05-16_RFR-040")</f>
        <v>RUN-COMB_2022-05-16_RFR-040</v>
      </c>
      <c r="C735" s="7">
        <f>VLOOKUP(B735,'Run Reconcile'!A$2:B3090,2,FALSE)</f>
        <v>44697</v>
      </c>
      <c r="D735" s="11">
        <f>IFERROR(__xludf.DUMMYFUNCTION("""COMPUTED_VALUE"""),44697.0)</f>
        <v>44697</v>
      </c>
      <c r="E735" s="12">
        <f>IFERROR(__xludf.DUMMYFUNCTION("""COMPUTED_VALUE"""),0.7018865740756155)</f>
        <v>0.7018865741</v>
      </c>
      <c r="F735" s="6" t="str">
        <f>IFERROR(__xludf.DUMMYFUNCTION("""COMPUTED_VALUE"""),"Negative")</f>
        <v>Negative</v>
      </c>
      <c r="G735" s="6">
        <f>IFERROR(__xludf.DUMMYFUNCTION("""COMPUTED_VALUE"""),1.0)</f>
        <v>1</v>
      </c>
    </row>
    <row r="736">
      <c r="A736" s="6" t="str">
        <f>IFERROR(__xludf.DUMMYFUNCTION("""COMPUTED_VALUE"""),"FM2212")</f>
        <v>FM2212</v>
      </c>
      <c r="B736" s="6" t="str">
        <f>IFERROR(__xludf.DUMMYFUNCTION("""COMPUTED_VALUE"""),"RUN-COMB_2022-05-16_RFR-040")</f>
        <v>RUN-COMB_2022-05-16_RFR-040</v>
      </c>
      <c r="C736" s="7">
        <f>VLOOKUP(B736,'Run Reconcile'!A$2:B3090,2,FALSE)</f>
        <v>44697</v>
      </c>
      <c r="D736" s="11">
        <f>IFERROR(__xludf.DUMMYFUNCTION("""COMPUTED_VALUE"""),44697.0)</f>
        <v>44697</v>
      </c>
      <c r="E736" s="12">
        <f>IFERROR(__xludf.DUMMYFUNCTION("""COMPUTED_VALUE"""),0.70291666666526)</f>
        <v>0.7029166667</v>
      </c>
      <c r="F736" s="6" t="str">
        <f>IFERROR(__xludf.DUMMYFUNCTION("""COMPUTED_VALUE"""),"Negative")</f>
        <v>Negative</v>
      </c>
      <c r="G736" s="6">
        <f>IFERROR(__xludf.DUMMYFUNCTION("""COMPUTED_VALUE"""),1.0)</f>
        <v>1</v>
      </c>
    </row>
    <row r="737">
      <c r="A737" s="6" t="str">
        <f>IFERROR(__xludf.DUMMYFUNCTION("""COMPUTED_VALUE"""),"FM2313")</f>
        <v>FM2313</v>
      </c>
      <c r="B737" s="6" t="str">
        <f>IFERROR(__xludf.DUMMYFUNCTION("""COMPUTED_VALUE"""),"RUN-COMB_2022-05-16_RFR-040")</f>
        <v>RUN-COMB_2022-05-16_RFR-040</v>
      </c>
      <c r="C737" s="7">
        <f>VLOOKUP(B737,'Run Reconcile'!A$2:B3090,2,FALSE)</f>
        <v>44697</v>
      </c>
      <c r="D737" s="11">
        <f>IFERROR(__xludf.DUMMYFUNCTION("""COMPUTED_VALUE"""),44697.0)</f>
        <v>44697</v>
      </c>
      <c r="E737" s="12">
        <f>IFERROR(__xludf.DUMMYFUNCTION("""COMPUTED_VALUE"""),0.7036921296312357)</f>
        <v>0.7036921296</v>
      </c>
      <c r="F737" s="6" t="str">
        <f>IFERROR(__xludf.DUMMYFUNCTION("""COMPUTED_VALUE"""),"Negative")</f>
        <v>Negative</v>
      </c>
      <c r="G737" s="6">
        <f>IFERROR(__xludf.DUMMYFUNCTION("""COMPUTED_VALUE"""),1.0)</f>
        <v>1</v>
      </c>
    </row>
    <row r="738">
      <c r="A738" s="6" t="str">
        <f>IFERROR(__xludf.DUMMYFUNCTION("""COMPUTED_VALUE"""),"FM2269")</f>
        <v>FM2269</v>
      </c>
      <c r="B738" s="6" t="str">
        <f>IFERROR(__xludf.DUMMYFUNCTION("""COMPUTED_VALUE"""),"RUN-COMB_2022-05-16_RFR-040")</f>
        <v>RUN-COMB_2022-05-16_RFR-040</v>
      </c>
      <c r="C738" s="7">
        <f>VLOOKUP(B738,'Run Reconcile'!A$2:B3090,2,FALSE)</f>
        <v>44697</v>
      </c>
      <c r="D738" s="11">
        <f>IFERROR(__xludf.DUMMYFUNCTION("""COMPUTED_VALUE"""),44697.0)</f>
        <v>44697</v>
      </c>
      <c r="E738" s="12">
        <f>IFERROR(__xludf.DUMMYFUNCTION("""COMPUTED_VALUE"""),0.7042361111125501)</f>
        <v>0.7042361111</v>
      </c>
      <c r="F738" s="6" t="str">
        <f>IFERROR(__xludf.DUMMYFUNCTION("""COMPUTED_VALUE"""),"Negative")</f>
        <v>Negative</v>
      </c>
      <c r="G738" s="6">
        <f>IFERROR(__xludf.DUMMYFUNCTION("""COMPUTED_VALUE"""),1.0)</f>
        <v>1</v>
      </c>
    </row>
    <row r="739">
      <c r="A739" s="6" t="str">
        <f>IFERROR(__xludf.DUMMYFUNCTION("""COMPUTED_VALUE"""),"FM2238")</f>
        <v>FM2238</v>
      </c>
      <c r="B739" s="6" t="str">
        <f>IFERROR(__xludf.DUMMYFUNCTION("""COMPUTED_VALUE"""),"RUN-COMB_2022-05-16_RFR-040")</f>
        <v>RUN-COMB_2022-05-16_RFR-040</v>
      </c>
      <c r="C739" s="7">
        <f>VLOOKUP(B739,'Run Reconcile'!A$2:B3090,2,FALSE)</f>
        <v>44697</v>
      </c>
      <c r="D739" s="11">
        <f>IFERROR(__xludf.DUMMYFUNCTION("""COMPUTED_VALUE"""),44697.0)</f>
        <v>44697</v>
      </c>
      <c r="E739" s="12">
        <f>IFERROR(__xludf.DUMMYFUNCTION("""COMPUTED_VALUE"""),0.7047337962976599)</f>
        <v>0.7047337963</v>
      </c>
      <c r="F739" s="6" t="str">
        <f>IFERROR(__xludf.DUMMYFUNCTION("""COMPUTED_VALUE"""),"Negative")</f>
        <v>Negative</v>
      </c>
      <c r="G739" s="6">
        <f>IFERROR(__xludf.DUMMYFUNCTION("""COMPUTED_VALUE"""),1.0)</f>
        <v>1</v>
      </c>
    </row>
    <row r="740">
      <c r="A740" s="6" t="str">
        <f>IFERROR(__xludf.DUMMYFUNCTION("""COMPUTED_VALUE"""),"FM2280")</f>
        <v>FM2280</v>
      </c>
      <c r="B740" s="6" t="str">
        <f>IFERROR(__xludf.DUMMYFUNCTION("""COMPUTED_VALUE"""),"RUN-COMB_2022-05-16_RFR-040")</f>
        <v>RUN-COMB_2022-05-16_RFR-040</v>
      </c>
      <c r="C740" s="7">
        <f>VLOOKUP(B740,'Run Reconcile'!A$2:B3090,2,FALSE)</f>
        <v>44697</v>
      </c>
      <c r="D740" s="11">
        <f>IFERROR(__xludf.DUMMYFUNCTION("""COMPUTED_VALUE"""),44697.0)</f>
        <v>44697</v>
      </c>
      <c r="E740" s="12">
        <f>IFERROR(__xludf.DUMMYFUNCTION("""COMPUTED_VALUE"""),0.7201273148129985)</f>
        <v>0.7201273148</v>
      </c>
      <c r="F740" s="6" t="str">
        <f>IFERROR(__xludf.DUMMYFUNCTION("""COMPUTED_VALUE"""),"Negative")</f>
        <v>Negative</v>
      </c>
      <c r="G740" s="6">
        <f>IFERROR(__xludf.DUMMYFUNCTION("""COMPUTED_VALUE"""),1.0)</f>
        <v>1</v>
      </c>
    </row>
    <row r="741">
      <c r="A741" s="6" t="str">
        <f>IFERROR(__xludf.DUMMYFUNCTION("""COMPUTED_VALUE"""),"FM2192")</f>
        <v>FM2192</v>
      </c>
      <c r="B741" s="6" t="str">
        <f>IFERROR(__xludf.DUMMYFUNCTION("""COMPUTED_VALUE"""),"RUN-COMB_2022-05-16_RFR-040")</f>
        <v>RUN-COMB_2022-05-16_RFR-040</v>
      </c>
      <c r="C741" s="7">
        <f>VLOOKUP(B741,'Run Reconcile'!A$2:B3090,2,FALSE)</f>
        <v>44697</v>
      </c>
      <c r="D741" s="11">
        <f>IFERROR(__xludf.DUMMYFUNCTION("""COMPUTED_VALUE"""),44697.0)</f>
        <v>44697</v>
      </c>
      <c r="E741" s="12">
        <f>IFERROR(__xludf.DUMMYFUNCTION("""COMPUTED_VALUE"""),0.7207407407404389)</f>
        <v>0.7207407407</v>
      </c>
      <c r="F741" s="6" t="str">
        <f>IFERROR(__xludf.DUMMYFUNCTION("""COMPUTED_VALUE"""),"Negative")</f>
        <v>Negative</v>
      </c>
      <c r="G741" s="6">
        <f>IFERROR(__xludf.DUMMYFUNCTION("""COMPUTED_VALUE"""),1.0)</f>
        <v>1</v>
      </c>
    </row>
    <row r="742">
      <c r="A742" s="6" t="str">
        <f>IFERROR(__xludf.DUMMYFUNCTION("""COMPUTED_VALUE"""),"FM2272")</f>
        <v>FM2272</v>
      </c>
      <c r="B742" s="6" t="str">
        <f>IFERROR(__xludf.DUMMYFUNCTION("""COMPUTED_VALUE"""),"RUN-COMB_2022-05-16_RFR-040")</f>
        <v>RUN-COMB_2022-05-16_RFR-040</v>
      </c>
      <c r="C742" s="7">
        <f>VLOOKUP(B742,'Run Reconcile'!A$2:B3090,2,FALSE)</f>
        <v>44697</v>
      </c>
      <c r="D742" s="11">
        <f>IFERROR(__xludf.DUMMYFUNCTION("""COMPUTED_VALUE"""),44697.0)</f>
        <v>44697</v>
      </c>
      <c r="E742" s="12">
        <f>IFERROR(__xludf.DUMMYFUNCTION("""COMPUTED_VALUE"""),0.7213888888873043)</f>
        <v>0.7213888889</v>
      </c>
      <c r="F742" s="6" t="str">
        <f>IFERROR(__xludf.DUMMYFUNCTION("""COMPUTED_VALUE"""),"Negative")</f>
        <v>Negative</v>
      </c>
      <c r="G742" s="6">
        <f>IFERROR(__xludf.DUMMYFUNCTION("""COMPUTED_VALUE"""),1.0)</f>
        <v>1</v>
      </c>
    </row>
    <row r="743">
      <c r="A743" s="6" t="str">
        <f>IFERROR(__xludf.DUMMYFUNCTION("""COMPUTED_VALUE"""),"FM2297")</f>
        <v>FM2297</v>
      </c>
      <c r="B743" s="6" t="str">
        <f>IFERROR(__xludf.DUMMYFUNCTION("""COMPUTED_VALUE"""),"RUN-COMB_2022-05-16_RFR-040")</f>
        <v>RUN-COMB_2022-05-16_RFR-040</v>
      </c>
      <c r="C743" s="7">
        <f>VLOOKUP(B743,'Run Reconcile'!A$2:B3090,2,FALSE)</f>
        <v>44697</v>
      </c>
      <c r="D743" s="11">
        <f>IFERROR(__xludf.DUMMYFUNCTION("""COMPUTED_VALUE"""),44697.0)</f>
        <v>44697</v>
      </c>
      <c r="E743" s="12">
        <f>IFERROR(__xludf.DUMMYFUNCTION("""COMPUTED_VALUE"""),0.7231828703697829)</f>
        <v>0.7231828704</v>
      </c>
      <c r="F743" s="6" t="str">
        <f>IFERROR(__xludf.DUMMYFUNCTION("""COMPUTED_VALUE"""),"Negative")</f>
        <v>Negative</v>
      </c>
      <c r="G743" s="6">
        <f>IFERROR(__xludf.DUMMYFUNCTION("""COMPUTED_VALUE"""),1.0)</f>
        <v>1</v>
      </c>
    </row>
    <row r="744">
      <c r="A744" s="6" t="str">
        <f>IFERROR(__xludf.DUMMYFUNCTION("""COMPUTED_VALUE"""),"FM2325")</f>
        <v>FM2325</v>
      </c>
      <c r="B744" s="6" t="str">
        <f>IFERROR(__xludf.DUMMYFUNCTION("""COMPUTED_VALUE"""),"RUN-COMB_2022-05-16_RFR-040")</f>
        <v>RUN-COMB_2022-05-16_RFR-040</v>
      </c>
      <c r="C744" s="7">
        <f>VLOOKUP(B744,'Run Reconcile'!A$2:B3090,2,FALSE)</f>
        <v>44697</v>
      </c>
      <c r="D744" s="11">
        <f>IFERROR(__xludf.DUMMYFUNCTION("""COMPUTED_VALUE"""),44697.0)</f>
        <v>44697</v>
      </c>
      <c r="E744" s="12">
        <f>IFERROR(__xludf.DUMMYFUNCTION("""COMPUTED_VALUE"""),0.7304050925922638)</f>
        <v>0.7304050926</v>
      </c>
      <c r="F744" s="6" t="str">
        <f>IFERROR(__xludf.DUMMYFUNCTION("""COMPUTED_VALUE"""),"Negative")</f>
        <v>Negative</v>
      </c>
      <c r="G744" s="6">
        <f>IFERROR(__xludf.DUMMYFUNCTION("""COMPUTED_VALUE"""),1.0)</f>
        <v>1</v>
      </c>
    </row>
    <row r="745">
      <c r="A745" s="6" t="str">
        <f>IFERROR(__xludf.DUMMYFUNCTION("""COMPUTED_VALUE"""),"FM2242")</f>
        <v>FM2242</v>
      </c>
      <c r="B745" s="6" t="str">
        <f>IFERROR(__xludf.DUMMYFUNCTION("""COMPUTED_VALUE"""),"RUN-COMB_2022-05-16_RFR-040")</f>
        <v>RUN-COMB_2022-05-16_RFR-040</v>
      </c>
      <c r="C745" s="7">
        <f>VLOOKUP(B745,'Run Reconcile'!A$2:B3090,2,FALSE)</f>
        <v>44697</v>
      </c>
      <c r="D745" s="11">
        <f>IFERROR(__xludf.DUMMYFUNCTION("""COMPUTED_VALUE"""),44697.0)</f>
        <v>44697</v>
      </c>
      <c r="E745" s="12">
        <f>IFERROR(__xludf.DUMMYFUNCTION("""COMPUTED_VALUE"""),0.7309606481467199)</f>
        <v>0.7309606481</v>
      </c>
      <c r="F745" s="6" t="str">
        <f>IFERROR(__xludf.DUMMYFUNCTION("""COMPUTED_VALUE"""),"Negative")</f>
        <v>Negative</v>
      </c>
      <c r="G745" s="6">
        <f>IFERROR(__xludf.DUMMYFUNCTION("""COMPUTED_VALUE"""),1.0)</f>
        <v>1</v>
      </c>
    </row>
    <row r="746">
      <c r="A746" s="6" t="str">
        <f>IFERROR(__xludf.DUMMYFUNCTION("""COMPUTED_VALUE"""),"FM2236")</f>
        <v>FM2236</v>
      </c>
      <c r="B746" s="6" t="str">
        <f>IFERROR(__xludf.DUMMYFUNCTION("""COMPUTED_VALUE"""),"RUN-COMB_2022-05-16_RFR-040")</f>
        <v>RUN-COMB_2022-05-16_RFR-040</v>
      </c>
      <c r="C746" s="7">
        <f>VLOOKUP(B746,'Run Reconcile'!A$2:B3090,2,FALSE)</f>
        <v>44697</v>
      </c>
      <c r="D746" s="11">
        <f>IFERROR(__xludf.DUMMYFUNCTION("""COMPUTED_VALUE"""),44697.0)</f>
        <v>44697</v>
      </c>
      <c r="E746" s="12">
        <f>IFERROR(__xludf.DUMMYFUNCTION("""COMPUTED_VALUE"""),0.7453703703686188)</f>
        <v>0.7453703704</v>
      </c>
      <c r="F746" s="6" t="str">
        <f>IFERROR(__xludf.DUMMYFUNCTION("""COMPUTED_VALUE"""),"Negative")</f>
        <v>Negative</v>
      </c>
      <c r="G746" s="6">
        <f>IFERROR(__xludf.DUMMYFUNCTION("""COMPUTED_VALUE"""),1.0)</f>
        <v>1</v>
      </c>
    </row>
    <row r="747">
      <c r="A747" s="6" t="str">
        <f>IFERROR(__xludf.DUMMYFUNCTION("""COMPUTED_VALUE"""),"FM2273")</f>
        <v>FM2273</v>
      </c>
      <c r="B747" s="6" t="str">
        <f>IFERROR(__xludf.DUMMYFUNCTION("""COMPUTED_VALUE"""),"RUN-COMB_2022-05-16_RFR-040")</f>
        <v>RUN-COMB_2022-05-16_RFR-040</v>
      </c>
      <c r="C747" s="7">
        <f>VLOOKUP(B747,'Run Reconcile'!A$2:B3090,2,FALSE)</f>
        <v>44697</v>
      </c>
      <c r="D747" s="11">
        <f>IFERROR(__xludf.DUMMYFUNCTION("""COMPUTED_VALUE"""),44697.0)</f>
        <v>44697</v>
      </c>
      <c r="E747" s="12">
        <f>IFERROR(__xludf.DUMMYFUNCTION("""COMPUTED_VALUE"""),0.7475462962975143)</f>
        <v>0.7475462963</v>
      </c>
      <c r="F747" s="6" t="str">
        <f>IFERROR(__xludf.DUMMYFUNCTION("""COMPUTED_VALUE"""),"Negative")</f>
        <v>Negative</v>
      </c>
      <c r="G747" s="6">
        <f>IFERROR(__xludf.DUMMYFUNCTION("""COMPUTED_VALUE"""),1.0)</f>
        <v>1</v>
      </c>
    </row>
    <row r="748">
      <c r="A748" s="6" t="str">
        <f>IFERROR(__xludf.DUMMYFUNCTION("""COMPUTED_VALUE"""),"FM2321")</f>
        <v>FM2321</v>
      </c>
      <c r="B748" s="6" t="str">
        <f>IFERROR(__xludf.DUMMYFUNCTION("""COMPUTED_VALUE"""),"RUN-COMB_2022-05-17_RFR-041")</f>
        <v>RUN-COMB_2022-05-17_RFR-041</v>
      </c>
      <c r="C748" s="7">
        <f>VLOOKUP(B748,'Run Reconcile'!A$2:B3090,2,FALSE)</f>
        <v>44698</v>
      </c>
      <c r="D748" s="11">
        <f>IFERROR(__xludf.DUMMYFUNCTION("""COMPUTED_VALUE"""),44698.0)</f>
        <v>44698</v>
      </c>
      <c r="E748" s="12">
        <f>IFERROR(__xludf.DUMMYFUNCTION("""COMPUTED_VALUE"""),0.25943287037080154)</f>
        <v>0.2594328704</v>
      </c>
      <c r="F748" s="6" t="str">
        <f>IFERROR(__xludf.DUMMYFUNCTION("""COMPUTED_VALUE"""),"Negative")</f>
        <v>Negative</v>
      </c>
      <c r="G748" s="6">
        <f>IFERROR(__xludf.DUMMYFUNCTION("""COMPUTED_VALUE"""),1.0)</f>
        <v>1</v>
      </c>
    </row>
    <row r="749">
      <c r="A749" s="6" t="str">
        <f>IFERROR(__xludf.DUMMYFUNCTION("""COMPUTED_VALUE"""),"FM2960")</f>
        <v>FM2960</v>
      </c>
      <c r="B749" s="6" t="str">
        <f>IFERROR(__xludf.DUMMYFUNCTION("""COMPUTED_VALUE"""),"RUN-COMB_2022-05-17_RFR-041")</f>
        <v>RUN-COMB_2022-05-17_RFR-041</v>
      </c>
      <c r="C749" s="7">
        <f>VLOOKUP(B749,'Run Reconcile'!A$2:B3090,2,FALSE)</f>
        <v>44698</v>
      </c>
      <c r="D749" s="11">
        <f>IFERROR(__xludf.DUMMYFUNCTION("""COMPUTED_VALUE"""),44698.0)</f>
        <v>44698</v>
      </c>
      <c r="E749" s="12">
        <f>IFERROR(__xludf.DUMMYFUNCTION("""COMPUTED_VALUE"""),0.2597453703710926)</f>
        <v>0.2597453704</v>
      </c>
      <c r="F749" s="6" t="str">
        <f>IFERROR(__xludf.DUMMYFUNCTION("""COMPUTED_VALUE"""),"Negative")</f>
        <v>Negative</v>
      </c>
      <c r="G749" s="6">
        <f>IFERROR(__xludf.DUMMYFUNCTION("""COMPUTED_VALUE"""),1.0)</f>
        <v>1</v>
      </c>
    </row>
    <row r="750">
      <c r="A750" s="6" t="str">
        <f>IFERROR(__xludf.DUMMYFUNCTION("""COMPUTED_VALUE"""),"FM2892")</f>
        <v>FM2892</v>
      </c>
      <c r="B750" s="6" t="str">
        <f>IFERROR(__xludf.DUMMYFUNCTION("""COMPUTED_VALUE"""),"RUN-COMB_2022-05-17_RFR-041")</f>
        <v>RUN-COMB_2022-05-17_RFR-041</v>
      </c>
      <c r="C750" s="7">
        <f>VLOOKUP(B750,'Run Reconcile'!A$2:B3090,2,FALSE)</f>
        <v>44698</v>
      </c>
      <c r="D750" s="11">
        <f>IFERROR(__xludf.DUMMYFUNCTION("""COMPUTED_VALUE"""),44698.0)</f>
        <v>44698</v>
      </c>
      <c r="E750" s="12">
        <f>IFERROR(__xludf.DUMMYFUNCTION("""COMPUTED_VALUE"""),0.2627199074086093)</f>
        <v>0.2627199074</v>
      </c>
      <c r="F750" s="6" t="str">
        <f>IFERROR(__xludf.DUMMYFUNCTION("""COMPUTED_VALUE"""),"Negative")</f>
        <v>Negative</v>
      </c>
      <c r="G750" s="6">
        <f>IFERROR(__xludf.DUMMYFUNCTION("""COMPUTED_VALUE"""),1.0)</f>
        <v>1</v>
      </c>
    </row>
    <row r="751">
      <c r="A751" s="6" t="str">
        <f>IFERROR(__xludf.DUMMYFUNCTION("""COMPUTED_VALUE"""),"FM2915")</f>
        <v>FM2915</v>
      </c>
      <c r="B751" s="6" t="str">
        <f>IFERROR(__xludf.DUMMYFUNCTION("""COMPUTED_VALUE"""),"RUN-COMB_2022-05-17_RFR-041")</f>
        <v>RUN-COMB_2022-05-17_RFR-041</v>
      </c>
      <c r="C751" s="7">
        <f>VLOOKUP(B751,'Run Reconcile'!A$2:B3090,2,FALSE)</f>
        <v>44698</v>
      </c>
      <c r="D751" s="11">
        <f>IFERROR(__xludf.DUMMYFUNCTION("""COMPUTED_VALUE"""),44698.0)</f>
        <v>44698</v>
      </c>
      <c r="E751" s="12">
        <f>IFERROR(__xludf.DUMMYFUNCTION("""COMPUTED_VALUE"""),0.263043981482042)</f>
        <v>0.2630439815</v>
      </c>
      <c r="F751" s="6" t="str">
        <f>IFERROR(__xludf.DUMMYFUNCTION("""COMPUTED_VALUE"""),"Negative")</f>
        <v>Negative</v>
      </c>
      <c r="G751" s="6">
        <f>IFERROR(__xludf.DUMMYFUNCTION("""COMPUTED_VALUE"""),1.0)</f>
        <v>1</v>
      </c>
    </row>
    <row r="752">
      <c r="A752" s="6" t="str">
        <f>IFERROR(__xludf.DUMMYFUNCTION("""COMPUTED_VALUE"""),"FM2250")</f>
        <v>FM2250</v>
      </c>
      <c r="B752" s="6" t="str">
        <f>IFERROR(__xludf.DUMMYFUNCTION("""COMPUTED_VALUE"""),"RUN-COMB_2022-05-17_RFR-041")</f>
        <v>RUN-COMB_2022-05-17_RFR-041</v>
      </c>
      <c r="C752" s="7">
        <f>VLOOKUP(B752,'Run Reconcile'!A$2:B3090,2,FALSE)</f>
        <v>44698</v>
      </c>
      <c r="D752" s="11">
        <f>IFERROR(__xludf.DUMMYFUNCTION("""COMPUTED_VALUE"""),44698.0)</f>
        <v>44698</v>
      </c>
      <c r="E752" s="12">
        <f>IFERROR(__xludf.DUMMYFUNCTION("""COMPUTED_VALUE"""),0.26342592592482106)</f>
        <v>0.2634259259</v>
      </c>
      <c r="F752" s="6" t="str">
        <f>IFERROR(__xludf.DUMMYFUNCTION("""COMPUTED_VALUE"""),"Negative")</f>
        <v>Negative</v>
      </c>
      <c r="G752" s="6">
        <f>IFERROR(__xludf.DUMMYFUNCTION("""COMPUTED_VALUE"""),1.0)</f>
        <v>1</v>
      </c>
    </row>
    <row r="753">
      <c r="A753" s="6" t="str">
        <f>IFERROR(__xludf.DUMMYFUNCTION("""COMPUTED_VALUE"""),"FM2896")</f>
        <v>FM2896</v>
      </c>
      <c r="B753" s="6" t="str">
        <f>IFERROR(__xludf.DUMMYFUNCTION("""COMPUTED_VALUE"""),"RUN-COMB_2022-05-17_RFR-041")</f>
        <v>RUN-COMB_2022-05-17_RFR-041</v>
      </c>
      <c r="C753" s="7">
        <f>VLOOKUP(B753,'Run Reconcile'!A$2:B3090,2,FALSE)</f>
        <v>44698</v>
      </c>
      <c r="D753" s="11">
        <f>IFERROR(__xludf.DUMMYFUNCTION("""COMPUTED_VALUE"""),44698.0)</f>
        <v>44698</v>
      </c>
      <c r="E753" s="12">
        <f>IFERROR(__xludf.DUMMYFUNCTION("""COMPUTED_VALUE"""),0.2637962962980964)</f>
        <v>0.2637962963</v>
      </c>
      <c r="F753" s="6" t="str">
        <f>IFERROR(__xludf.DUMMYFUNCTION("""COMPUTED_VALUE"""),"Negative")</f>
        <v>Negative</v>
      </c>
      <c r="G753" s="6">
        <f>IFERROR(__xludf.DUMMYFUNCTION("""COMPUTED_VALUE"""),1.0)</f>
        <v>1</v>
      </c>
    </row>
    <row r="754">
      <c r="A754" s="6" t="str">
        <f>IFERROR(__xludf.DUMMYFUNCTION("""COMPUTED_VALUE"""),"FM2988")</f>
        <v>FM2988</v>
      </c>
      <c r="B754" s="6" t="str">
        <f>IFERROR(__xludf.DUMMYFUNCTION("""COMPUTED_VALUE"""),"RUN-COMB_2022-05-17_RFR-041")</f>
        <v>RUN-COMB_2022-05-17_RFR-041</v>
      </c>
      <c r="C754" s="7">
        <f>VLOOKUP(B754,'Run Reconcile'!A$2:B3090,2,FALSE)</f>
        <v>44698</v>
      </c>
      <c r="D754" s="11">
        <f>IFERROR(__xludf.DUMMYFUNCTION("""COMPUTED_VALUE"""),44698.0)</f>
        <v>44698</v>
      </c>
      <c r="E754" s="12">
        <f>IFERROR(__xludf.DUMMYFUNCTION("""COMPUTED_VALUE"""),0.26425925926014315)</f>
        <v>0.2642592593</v>
      </c>
      <c r="F754" s="6" t="str">
        <f>IFERROR(__xludf.DUMMYFUNCTION("""COMPUTED_VALUE"""),"Negative")</f>
        <v>Negative</v>
      </c>
      <c r="G754" s="6">
        <f>IFERROR(__xludf.DUMMYFUNCTION("""COMPUTED_VALUE"""),1.0)</f>
        <v>1</v>
      </c>
    </row>
    <row r="755">
      <c r="A755" s="6" t="str">
        <f>IFERROR(__xludf.DUMMYFUNCTION("""COMPUTED_VALUE"""),"FM2922")</f>
        <v>FM2922</v>
      </c>
      <c r="B755" s="6" t="str">
        <f>IFERROR(__xludf.DUMMYFUNCTION("""COMPUTED_VALUE"""),"RUN-COMB_2022-05-17_RFR-041")</f>
        <v>RUN-COMB_2022-05-17_RFR-041</v>
      </c>
      <c r="C755" s="7">
        <f>VLOOKUP(B755,'Run Reconcile'!A$2:B3090,2,FALSE)</f>
        <v>44698</v>
      </c>
      <c r="D755" s="11">
        <f>IFERROR(__xludf.DUMMYFUNCTION("""COMPUTED_VALUE"""),44698.0)</f>
        <v>44698</v>
      </c>
      <c r="E755" s="12">
        <f>IFERROR(__xludf.DUMMYFUNCTION("""COMPUTED_VALUE"""),0.26459490740671754)</f>
        <v>0.2645949074</v>
      </c>
      <c r="F755" s="6" t="str">
        <f>IFERROR(__xludf.DUMMYFUNCTION("""COMPUTED_VALUE"""),"Negative")</f>
        <v>Negative</v>
      </c>
      <c r="G755" s="6">
        <f>IFERROR(__xludf.DUMMYFUNCTION("""COMPUTED_VALUE"""),1.0)</f>
        <v>1</v>
      </c>
    </row>
    <row r="756">
      <c r="A756" s="6" t="str">
        <f>IFERROR(__xludf.DUMMYFUNCTION("""COMPUTED_VALUE"""),"FM2927")</f>
        <v>FM2927</v>
      </c>
      <c r="B756" s="6" t="str">
        <f>IFERROR(__xludf.DUMMYFUNCTION("""COMPUTED_VALUE"""),"RUN-COMB_2022-05-17_RFR-041")</f>
        <v>RUN-COMB_2022-05-17_RFR-041</v>
      </c>
      <c r="C756" s="7">
        <f>VLOOKUP(B756,'Run Reconcile'!A$2:B3090,2,FALSE)</f>
        <v>44698</v>
      </c>
      <c r="D756" s="11">
        <f>IFERROR(__xludf.DUMMYFUNCTION("""COMPUTED_VALUE"""),44698.0)</f>
        <v>44698</v>
      </c>
      <c r="E756" s="12">
        <f>IFERROR(__xludf.DUMMYFUNCTION("""COMPUTED_VALUE"""),0.2836458333331393)</f>
        <v>0.2836458333</v>
      </c>
      <c r="F756" s="6" t="str">
        <f>IFERROR(__xludf.DUMMYFUNCTION("""COMPUTED_VALUE"""),"Negative")</f>
        <v>Negative</v>
      </c>
      <c r="G756" s="6">
        <f>IFERROR(__xludf.DUMMYFUNCTION("""COMPUTED_VALUE"""),1.0)</f>
        <v>1</v>
      </c>
    </row>
    <row r="757">
      <c r="A757" s="6" t="str">
        <f>IFERROR(__xludf.DUMMYFUNCTION("""COMPUTED_VALUE"""),"FM2895")</f>
        <v>FM2895</v>
      </c>
      <c r="B757" s="6" t="str">
        <f>IFERROR(__xludf.DUMMYFUNCTION("""COMPUTED_VALUE"""),"RUN-COMB_2022-05-17_RFR-041")</f>
        <v>RUN-COMB_2022-05-17_RFR-041</v>
      </c>
      <c r="C757" s="7">
        <f>VLOOKUP(B757,'Run Reconcile'!A$2:B3090,2,FALSE)</f>
        <v>44698</v>
      </c>
      <c r="D757" s="11">
        <f>IFERROR(__xludf.DUMMYFUNCTION("""COMPUTED_VALUE"""),44698.0)</f>
        <v>44698</v>
      </c>
      <c r="E757" s="12">
        <f>IFERROR(__xludf.DUMMYFUNCTION("""COMPUTED_VALUE"""),0.2849999999998545)</f>
        <v>0.285</v>
      </c>
      <c r="F757" s="6" t="str">
        <f>IFERROR(__xludf.DUMMYFUNCTION("""COMPUTED_VALUE"""),"Negative")</f>
        <v>Negative</v>
      </c>
      <c r="G757" s="6">
        <f>IFERROR(__xludf.DUMMYFUNCTION("""COMPUTED_VALUE"""),1.0)</f>
        <v>1</v>
      </c>
    </row>
    <row r="758">
      <c r="A758" s="6" t="str">
        <f>IFERROR(__xludf.DUMMYFUNCTION("""COMPUTED_VALUE"""),"FM2911")</f>
        <v>FM2911</v>
      </c>
      <c r="B758" s="6" t="str">
        <f>IFERROR(__xludf.DUMMYFUNCTION("""COMPUTED_VALUE"""),"RUN-COMB_2022-05-17_RFR-041")</f>
        <v>RUN-COMB_2022-05-17_RFR-041</v>
      </c>
      <c r="C758" s="7">
        <f>VLOOKUP(B758,'Run Reconcile'!A$2:B3090,2,FALSE)</f>
        <v>44698</v>
      </c>
      <c r="D758" s="11">
        <f>IFERROR(__xludf.DUMMYFUNCTION("""COMPUTED_VALUE"""),44698.0)</f>
        <v>44698</v>
      </c>
      <c r="E758" s="12">
        <f>IFERROR(__xludf.DUMMYFUNCTION("""COMPUTED_VALUE"""),0.2853240740732872)</f>
        <v>0.2853240741</v>
      </c>
      <c r="F758" s="6" t="str">
        <f>IFERROR(__xludf.DUMMYFUNCTION("""COMPUTED_VALUE"""),"Negative")</f>
        <v>Negative</v>
      </c>
      <c r="G758" s="6">
        <f>IFERROR(__xludf.DUMMYFUNCTION("""COMPUTED_VALUE"""),1.0)</f>
        <v>1</v>
      </c>
    </row>
    <row r="759">
      <c r="A759" s="6" t="str">
        <f>IFERROR(__xludf.DUMMYFUNCTION("""COMPUTED_VALUE"""),"FM2914")</f>
        <v>FM2914</v>
      </c>
      <c r="B759" s="6" t="str">
        <f>IFERROR(__xludf.DUMMYFUNCTION("""COMPUTED_VALUE"""),"RUN-COMB_2022-05-17_RFR-041")</f>
        <v>RUN-COMB_2022-05-17_RFR-041</v>
      </c>
      <c r="C759" s="7">
        <f>VLOOKUP(B759,'Run Reconcile'!A$2:B3090,2,FALSE)</f>
        <v>44698</v>
      </c>
      <c r="D759" s="11">
        <f>IFERROR(__xludf.DUMMYFUNCTION("""COMPUTED_VALUE"""),44698.0)</f>
        <v>44698</v>
      </c>
      <c r="E759" s="12">
        <f>IFERROR(__xludf.DUMMYFUNCTION("""COMPUTED_VALUE"""),0.2858912037045229)</f>
        <v>0.2858912037</v>
      </c>
      <c r="F759" s="6" t="str">
        <f>IFERROR(__xludf.DUMMYFUNCTION("""COMPUTED_VALUE"""),"Negative")</f>
        <v>Negative</v>
      </c>
      <c r="G759" s="6">
        <f>IFERROR(__xludf.DUMMYFUNCTION("""COMPUTED_VALUE"""),1.0)</f>
        <v>1</v>
      </c>
    </row>
    <row r="760">
      <c r="A760" s="6" t="str">
        <f>IFERROR(__xludf.DUMMYFUNCTION("""COMPUTED_VALUE"""),"FM2924")</f>
        <v>FM2924</v>
      </c>
      <c r="B760" s="6" t="str">
        <f>IFERROR(__xludf.DUMMYFUNCTION("""COMPUTED_VALUE"""),"RUN-COMB_2022-05-17_RFR-041")</f>
        <v>RUN-COMB_2022-05-17_RFR-041</v>
      </c>
      <c r="C760" s="7">
        <f>VLOOKUP(B760,'Run Reconcile'!A$2:B3090,2,FALSE)</f>
        <v>44698</v>
      </c>
      <c r="D760" s="11">
        <f>IFERROR(__xludf.DUMMYFUNCTION("""COMPUTED_VALUE"""),44698.0)</f>
        <v>44698</v>
      </c>
      <c r="E760" s="12">
        <f>IFERROR(__xludf.DUMMYFUNCTION("""COMPUTED_VALUE"""),0.28788194444496185)</f>
        <v>0.2878819444</v>
      </c>
      <c r="F760" s="6" t="str">
        <f>IFERROR(__xludf.DUMMYFUNCTION("""COMPUTED_VALUE"""),"Negative")</f>
        <v>Negative</v>
      </c>
      <c r="G760" s="6">
        <f>IFERROR(__xludf.DUMMYFUNCTION("""COMPUTED_VALUE"""),1.0)</f>
        <v>1</v>
      </c>
    </row>
    <row r="761">
      <c r="A761" s="6" t="str">
        <f>IFERROR(__xludf.DUMMYFUNCTION("""COMPUTED_VALUE"""),"FM2981")</f>
        <v>FM2981</v>
      </c>
      <c r="B761" s="6" t="str">
        <f>IFERROR(__xludf.DUMMYFUNCTION("""COMPUTED_VALUE"""),"RUN-COMB_2022-05-18_RFR-042")</f>
        <v>RUN-COMB_2022-05-18_RFR-042</v>
      </c>
      <c r="C761" s="7">
        <f>VLOOKUP(B761,'Run Reconcile'!A$2:B3090,2,FALSE)</f>
        <v>44699</v>
      </c>
      <c r="D761" s="11">
        <f>IFERROR(__xludf.DUMMYFUNCTION("""COMPUTED_VALUE"""),44699.0)</f>
        <v>44699</v>
      </c>
      <c r="E761" s="12">
        <f>IFERROR(__xludf.DUMMYFUNCTION("""COMPUTED_VALUE"""),0.27145833333270275)</f>
        <v>0.2714583333</v>
      </c>
      <c r="F761" s="6" t="str">
        <f>IFERROR(__xludf.DUMMYFUNCTION("""COMPUTED_VALUE"""),"Negative")</f>
        <v>Negative</v>
      </c>
      <c r="G761" s="6">
        <f>IFERROR(__xludf.DUMMYFUNCTION("""COMPUTED_VALUE"""),1.0)</f>
        <v>1</v>
      </c>
    </row>
    <row r="762">
      <c r="A762" s="6" t="str">
        <f>IFERROR(__xludf.DUMMYFUNCTION("""COMPUTED_VALUE"""),"FM2995")</f>
        <v>FM2995</v>
      </c>
      <c r="B762" s="6" t="str">
        <f>IFERROR(__xludf.DUMMYFUNCTION("""COMPUTED_VALUE"""),"RUN-COMB_2022-05-18_RFR-042")</f>
        <v>RUN-COMB_2022-05-18_RFR-042</v>
      </c>
      <c r="C762" s="7">
        <f>VLOOKUP(B762,'Run Reconcile'!A$2:B3090,2,FALSE)</f>
        <v>44699</v>
      </c>
      <c r="D762" s="11">
        <f>IFERROR(__xludf.DUMMYFUNCTION("""COMPUTED_VALUE"""),44699.0)</f>
        <v>44699</v>
      </c>
      <c r="E762" s="12">
        <f>IFERROR(__xludf.DUMMYFUNCTION("""COMPUTED_VALUE"""),0.2718749999985448)</f>
        <v>0.271875</v>
      </c>
      <c r="F762" s="6" t="str">
        <f>IFERROR(__xludf.DUMMYFUNCTION("""COMPUTED_VALUE"""),"Negative")</f>
        <v>Negative</v>
      </c>
      <c r="G762" s="6">
        <f>IFERROR(__xludf.DUMMYFUNCTION("""COMPUTED_VALUE"""),1.0)</f>
        <v>1</v>
      </c>
    </row>
    <row r="763">
      <c r="A763" s="6" t="str">
        <f>IFERROR(__xludf.DUMMYFUNCTION("""COMPUTED_VALUE"""),"FM2260")</f>
        <v>FM2260</v>
      </c>
      <c r="B763" s="6" t="str">
        <f>IFERROR(__xludf.DUMMYFUNCTION("""COMPUTED_VALUE"""),"RUN-COMB_2022-05-18_RFR-042")</f>
        <v>RUN-COMB_2022-05-18_RFR-042</v>
      </c>
      <c r="C763" s="7">
        <f>VLOOKUP(B763,'Run Reconcile'!A$2:B3090,2,FALSE)</f>
        <v>44699</v>
      </c>
      <c r="D763" s="11">
        <f>IFERROR(__xludf.DUMMYFUNCTION("""COMPUTED_VALUE"""),44699.0)</f>
        <v>44699</v>
      </c>
      <c r="E763" s="12">
        <f>IFERROR(__xludf.DUMMYFUNCTION("""COMPUTED_VALUE"""),0.2722337962950405)</f>
        <v>0.2722337963</v>
      </c>
      <c r="F763" s="6" t="str">
        <f>IFERROR(__xludf.DUMMYFUNCTION("""COMPUTED_VALUE"""),"Negative")</f>
        <v>Negative</v>
      </c>
      <c r="G763" s="6">
        <f>IFERROR(__xludf.DUMMYFUNCTION("""COMPUTED_VALUE"""),1.0)</f>
        <v>1</v>
      </c>
    </row>
    <row r="764">
      <c r="A764" s="6" t="str">
        <f>IFERROR(__xludf.DUMMYFUNCTION("""COMPUTED_VALUE"""),"FM2967")</f>
        <v>FM2967</v>
      </c>
      <c r="B764" s="6" t="str">
        <f>IFERROR(__xludf.DUMMYFUNCTION("""COMPUTED_VALUE"""),"RUN-COMB_2022-05-18_RFR-042")</f>
        <v>RUN-COMB_2022-05-18_RFR-042</v>
      </c>
      <c r="C764" s="7">
        <f>VLOOKUP(B764,'Run Reconcile'!A$2:B3090,2,FALSE)</f>
        <v>44699</v>
      </c>
      <c r="D764" s="11">
        <f>IFERROR(__xludf.DUMMYFUNCTION("""COMPUTED_VALUE"""),44699.0)</f>
        <v>44699</v>
      </c>
      <c r="E764" s="12">
        <f>IFERROR(__xludf.DUMMYFUNCTION("""COMPUTED_VALUE"""),0.2731828703690553)</f>
        <v>0.2731828704</v>
      </c>
      <c r="F764" s="6" t="str">
        <f>IFERROR(__xludf.DUMMYFUNCTION("""COMPUTED_VALUE"""),"Negative")</f>
        <v>Negative</v>
      </c>
      <c r="G764" s="6">
        <f>IFERROR(__xludf.DUMMYFUNCTION("""COMPUTED_VALUE"""),1.0)</f>
        <v>1</v>
      </c>
    </row>
    <row r="765">
      <c r="A765" s="6" t="str">
        <f>IFERROR(__xludf.DUMMYFUNCTION("""COMPUTED_VALUE"""),"FM2907")</f>
        <v>FM2907</v>
      </c>
      <c r="B765" s="6" t="str">
        <f>IFERROR(__xludf.DUMMYFUNCTION("""COMPUTED_VALUE"""),"RUN-COMB_2022-05-18_RFR-042")</f>
        <v>RUN-COMB_2022-05-18_RFR-042</v>
      </c>
      <c r="C765" s="7">
        <f>VLOOKUP(B765,'Run Reconcile'!A$2:B3090,2,FALSE)</f>
        <v>44699</v>
      </c>
      <c r="D765" s="11">
        <f>IFERROR(__xludf.DUMMYFUNCTION("""COMPUTED_VALUE"""),44699.0)</f>
        <v>44699</v>
      </c>
      <c r="E765" s="12">
        <f>IFERROR(__xludf.DUMMYFUNCTION("""COMPUTED_VALUE"""),0.273506944446126)</f>
        <v>0.2735069444</v>
      </c>
      <c r="F765" s="6" t="str">
        <f>IFERROR(__xludf.DUMMYFUNCTION("""COMPUTED_VALUE"""),"Negative")</f>
        <v>Negative</v>
      </c>
      <c r="G765" s="6">
        <f>IFERROR(__xludf.DUMMYFUNCTION("""COMPUTED_VALUE"""),1.0)</f>
        <v>1</v>
      </c>
    </row>
    <row r="766">
      <c r="A766" s="6" t="str">
        <f>IFERROR(__xludf.DUMMYFUNCTION("""COMPUTED_VALUE"""),"FM2958")</f>
        <v>FM2958</v>
      </c>
      <c r="B766" s="6" t="str">
        <f>IFERROR(__xludf.DUMMYFUNCTION("""COMPUTED_VALUE"""),"RUN-COMB_2022-05-18_RFR-042")</f>
        <v>RUN-COMB_2022-05-18_RFR-042</v>
      </c>
      <c r="C766" s="7">
        <f>VLOOKUP(B766,'Run Reconcile'!A$2:B3090,2,FALSE)</f>
        <v>44699</v>
      </c>
      <c r="D766" s="11">
        <f>IFERROR(__xludf.DUMMYFUNCTION("""COMPUTED_VALUE"""),44699.0)</f>
        <v>44699</v>
      </c>
      <c r="E766" s="12">
        <f>IFERROR(__xludf.DUMMYFUNCTION("""COMPUTED_VALUE"""),0.27502314814773854)</f>
        <v>0.2750231481</v>
      </c>
      <c r="F766" s="6" t="str">
        <f>IFERROR(__xludf.DUMMYFUNCTION("""COMPUTED_VALUE"""),"Negative")</f>
        <v>Negative</v>
      </c>
      <c r="G766" s="6">
        <f>IFERROR(__xludf.DUMMYFUNCTION("""COMPUTED_VALUE"""),1.0)</f>
        <v>1</v>
      </c>
    </row>
    <row r="767">
      <c r="A767" s="6" t="str">
        <f>IFERROR(__xludf.DUMMYFUNCTION("""COMPUTED_VALUE"""),"FM2946")</f>
        <v>FM2946</v>
      </c>
      <c r="B767" s="6" t="str">
        <f>IFERROR(__xludf.DUMMYFUNCTION("""COMPUTED_VALUE"""),"RUN-COMB_2022-05-18_RFR-042")</f>
        <v>RUN-COMB_2022-05-18_RFR-042</v>
      </c>
      <c r="C767" s="7">
        <f>VLOOKUP(B767,'Run Reconcile'!A$2:B3090,2,FALSE)</f>
        <v>44699</v>
      </c>
      <c r="D767" s="11">
        <f>IFERROR(__xludf.DUMMYFUNCTION("""COMPUTED_VALUE"""),44699.0)</f>
        <v>44699</v>
      </c>
      <c r="E767" s="12">
        <f>IFERROR(__xludf.DUMMYFUNCTION("""COMPUTED_VALUE"""),0.2754398148135806)</f>
        <v>0.2754398148</v>
      </c>
      <c r="F767" s="6" t="str">
        <f>IFERROR(__xludf.DUMMYFUNCTION("""COMPUTED_VALUE"""),"Negative")</f>
        <v>Negative</v>
      </c>
      <c r="G767" s="6">
        <f>IFERROR(__xludf.DUMMYFUNCTION("""COMPUTED_VALUE"""),1.0)</f>
        <v>1</v>
      </c>
    </row>
    <row r="768">
      <c r="A768" s="6" t="str">
        <f>IFERROR(__xludf.DUMMYFUNCTION("""COMPUTED_VALUE"""),"FM2928")</f>
        <v>FM2928</v>
      </c>
      <c r="B768" s="6" t="str">
        <f>IFERROR(__xludf.DUMMYFUNCTION("""COMPUTED_VALUE"""),"RUN-COMB_2022-05-18_RFR-042")</f>
        <v>RUN-COMB_2022-05-18_RFR-042</v>
      </c>
      <c r="C768" s="7">
        <f>VLOOKUP(B768,'Run Reconcile'!A$2:B3090,2,FALSE)</f>
        <v>44699</v>
      </c>
      <c r="D768" s="11">
        <f>IFERROR(__xludf.DUMMYFUNCTION("""COMPUTED_VALUE"""),44699.0)</f>
        <v>44699</v>
      </c>
      <c r="E768" s="12">
        <f>IFERROR(__xludf.DUMMYFUNCTION("""COMPUTED_VALUE"""),0.275844907406281)</f>
        <v>0.2758449074</v>
      </c>
      <c r="F768" s="6" t="str">
        <f>IFERROR(__xludf.DUMMYFUNCTION("""COMPUTED_VALUE"""),"Negative")</f>
        <v>Negative</v>
      </c>
      <c r="G768" s="6">
        <f>IFERROR(__xludf.DUMMYFUNCTION("""COMPUTED_VALUE"""),1.0)</f>
        <v>1</v>
      </c>
    </row>
    <row r="769">
      <c r="A769" s="6" t="str">
        <f>IFERROR(__xludf.DUMMYFUNCTION("""COMPUTED_VALUE"""),"FM2970")</f>
        <v>FM2970</v>
      </c>
      <c r="B769" s="6" t="str">
        <f>IFERROR(__xludf.DUMMYFUNCTION("""COMPUTED_VALUE"""),"RUN-COMB_2022-05-18_RFR-042")</f>
        <v>RUN-COMB_2022-05-18_RFR-042</v>
      </c>
      <c r="C769" s="7">
        <f>VLOOKUP(B769,'Run Reconcile'!A$2:B3090,2,FALSE)</f>
        <v>44699</v>
      </c>
      <c r="D769" s="11">
        <f>IFERROR(__xludf.DUMMYFUNCTION("""COMPUTED_VALUE"""),44699.0)</f>
        <v>44699</v>
      </c>
      <c r="E769" s="12">
        <f>IFERROR(__xludf.DUMMYFUNCTION("""COMPUTED_VALUE"""),0.27653935185298906)</f>
        <v>0.2765393519</v>
      </c>
      <c r="F769" s="6" t="str">
        <f>IFERROR(__xludf.DUMMYFUNCTION("""COMPUTED_VALUE"""),"Negative")</f>
        <v>Negative</v>
      </c>
      <c r="G769" s="6">
        <f>IFERROR(__xludf.DUMMYFUNCTION("""COMPUTED_VALUE"""),1.0)</f>
        <v>1</v>
      </c>
    </row>
    <row r="770">
      <c r="A770" s="6" t="str">
        <f>IFERROR(__xludf.DUMMYFUNCTION("""COMPUTED_VALUE"""),"FM2953")</f>
        <v>FM2953</v>
      </c>
      <c r="B770" s="6" t="str">
        <f>IFERROR(__xludf.DUMMYFUNCTION("""COMPUTED_VALUE"""),"RUN-COMB_2022-05-18_RFR-042")</f>
        <v>RUN-COMB_2022-05-18_RFR-042</v>
      </c>
      <c r="C770" s="7">
        <f>VLOOKUP(B770,'Run Reconcile'!A$2:B3090,2,FALSE)</f>
        <v>44699</v>
      </c>
      <c r="D770" s="11">
        <f>IFERROR(__xludf.DUMMYFUNCTION("""COMPUTED_VALUE"""),44699.0)</f>
        <v>44699</v>
      </c>
      <c r="E770" s="12">
        <f>IFERROR(__xludf.DUMMYFUNCTION("""COMPUTED_VALUE"""),0.2800462962950405)</f>
        <v>0.2800462963</v>
      </c>
      <c r="F770" s="6" t="str">
        <f>IFERROR(__xludf.DUMMYFUNCTION("""COMPUTED_VALUE"""),"Negative")</f>
        <v>Negative</v>
      </c>
      <c r="G770" s="6">
        <f>IFERROR(__xludf.DUMMYFUNCTION("""COMPUTED_VALUE"""),1.0)</f>
        <v>1</v>
      </c>
    </row>
    <row r="771">
      <c r="A771" s="6" t="str">
        <f>IFERROR(__xludf.DUMMYFUNCTION("""COMPUTED_VALUE"""),"FM2939")</f>
        <v>FM2939</v>
      </c>
      <c r="B771" s="6" t="str">
        <f>IFERROR(__xludf.DUMMYFUNCTION("""COMPUTED_VALUE"""),"RUN-COMB_2022-05-19_RFR-043")</f>
        <v>RUN-COMB_2022-05-19_RFR-043</v>
      </c>
      <c r="C771" s="7">
        <f>VLOOKUP(B771,'Run Reconcile'!A$2:B3090,2,FALSE)</f>
        <v>44700</v>
      </c>
      <c r="D771" s="11">
        <f>IFERROR(__xludf.DUMMYFUNCTION("""COMPUTED_VALUE"""),44700.0)</f>
        <v>44700</v>
      </c>
      <c r="E771" s="12">
        <f>IFERROR(__xludf.DUMMYFUNCTION("""COMPUTED_VALUE"""),0.2675115740748879)</f>
        <v>0.2675115741</v>
      </c>
      <c r="F771" s="6" t="str">
        <f>IFERROR(__xludf.DUMMYFUNCTION("""COMPUTED_VALUE"""),"Negative")</f>
        <v>Negative</v>
      </c>
      <c r="G771" s="6">
        <f>IFERROR(__xludf.DUMMYFUNCTION("""COMPUTED_VALUE"""),1.0)</f>
        <v>1</v>
      </c>
    </row>
    <row r="772">
      <c r="A772" s="6" t="str">
        <f>IFERROR(__xludf.DUMMYFUNCTION("""COMPUTED_VALUE"""),"FM2920")</f>
        <v>FM2920</v>
      </c>
      <c r="B772" s="6" t="str">
        <f>IFERROR(__xludf.DUMMYFUNCTION("""COMPUTED_VALUE"""),"RUN-COMB_2022-05-19_RFR-043")</f>
        <v>RUN-COMB_2022-05-19_RFR-043</v>
      </c>
      <c r="C772" s="7">
        <f>VLOOKUP(B772,'Run Reconcile'!A$2:B3090,2,FALSE)</f>
        <v>44700</v>
      </c>
      <c r="D772" s="11">
        <f>IFERROR(__xludf.DUMMYFUNCTION("""COMPUTED_VALUE"""),44700.0)</f>
        <v>44700</v>
      </c>
      <c r="E772" s="12">
        <f>IFERROR(__xludf.DUMMYFUNCTION("""COMPUTED_VALUE"""),0.26782407407517894)</f>
        <v>0.2678240741</v>
      </c>
      <c r="F772" s="6" t="str">
        <f>IFERROR(__xludf.DUMMYFUNCTION("""COMPUTED_VALUE"""),"Negative")</f>
        <v>Negative</v>
      </c>
      <c r="G772" s="6">
        <f>IFERROR(__xludf.DUMMYFUNCTION("""COMPUTED_VALUE"""),1.0)</f>
        <v>1</v>
      </c>
    </row>
    <row r="773">
      <c r="A773" s="6" t="str">
        <f>IFERROR(__xludf.DUMMYFUNCTION("""COMPUTED_VALUE"""),"FM2286")</f>
        <v>FM2286</v>
      </c>
      <c r="B773" s="6" t="str">
        <f>IFERROR(__xludf.DUMMYFUNCTION("""COMPUTED_VALUE"""),"RUN-COMB_2022-05-19_RFR-043")</f>
        <v>RUN-COMB_2022-05-19_RFR-043</v>
      </c>
      <c r="C773" s="7">
        <f>VLOOKUP(B773,'Run Reconcile'!A$2:B3090,2,FALSE)</f>
        <v>44700</v>
      </c>
      <c r="D773" s="11">
        <f>IFERROR(__xludf.DUMMYFUNCTION("""COMPUTED_VALUE"""),44700.0)</f>
        <v>44700</v>
      </c>
      <c r="E773" s="12">
        <f>IFERROR(__xludf.DUMMYFUNCTION("""COMPUTED_VALUE"""),0.268101851852407)</f>
        <v>0.2681018519</v>
      </c>
      <c r="F773" s="6" t="str">
        <f>IFERROR(__xludf.DUMMYFUNCTION("""COMPUTED_VALUE"""),"Negative")</f>
        <v>Negative</v>
      </c>
      <c r="G773" s="6">
        <f>IFERROR(__xludf.DUMMYFUNCTION("""COMPUTED_VALUE"""),1.0)</f>
        <v>1</v>
      </c>
    </row>
    <row r="774">
      <c r="A774" s="6" t="str">
        <f>IFERROR(__xludf.DUMMYFUNCTION("""COMPUTED_VALUE"""),"FM2983")</f>
        <v>FM2983</v>
      </c>
      <c r="B774" s="6" t="str">
        <f>IFERROR(__xludf.DUMMYFUNCTION("""COMPUTED_VALUE"""),"RUN-COMB_2022-05-19_RFR-043")</f>
        <v>RUN-COMB_2022-05-19_RFR-043</v>
      </c>
      <c r="C774" s="7">
        <f>VLOOKUP(B774,'Run Reconcile'!A$2:B3090,2,FALSE)</f>
        <v>44700</v>
      </c>
      <c r="D774" s="11">
        <f>IFERROR(__xludf.DUMMYFUNCTION("""COMPUTED_VALUE"""),44700.0)</f>
        <v>44700</v>
      </c>
      <c r="E774" s="12">
        <f>IFERROR(__xludf.DUMMYFUNCTION("""COMPUTED_VALUE"""),0.2683564814797137)</f>
        <v>0.2683564815</v>
      </c>
      <c r="F774" s="6" t="str">
        <f>IFERROR(__xludf.DUMMYFUNCTION("""COMPUTED_VALUE"""),"Negative")</f>
        <v>Negative</v>
      </c>
      <c r="G774" s="6">
        <f>IFERROR(__xludf.DUMMYFUNCTION("""COMPUTED_VALUE"""),1.0)</f>
        <v>1</v>
      </c>
    </row>
    <row r="775">
      <c r="A775" s="6" t="str">
        <f>IFERROR(__xludf.DUMMYFUNCTION("""COMPUTED_VALUE"""),"FM2968")</f>
        <v>FM2968</v>
      </c>
      <c r="B775" s="6" t="str">
        <f>IFERROR(__xludf.DUMMYFUNCTION("""COMPUTED_VALUE"""),"RUN-COMB_2022-05-19_RFR-043")</f>
        <v>RUN-COMB_2022-05-19_RFR-043</v>
      </c>
      <c r="C775" s="7">
        <f>VLOOKUP(B775,'Run Reconcile'!A$2:B3090,2,FALSE)</f>
        <v>44700</v>
      </c>
      <c r="D775" s="11">
        <f>IFERROR(__xludf.DUMMYFUNCTION("""COMPUTED_VALUE"""),44700.0)</f>
        <v>44700</v>
      </c>
      <c r="E775" s="12">
        <f>IFERROR(__xludf.DUMMYFUNCTION("""COMPUTED_VALUE"""),0.26978009259255487)</f>
        <v>0.2697800926</v>
      </c>
      <c r="F775" s="6" t="str">
        <f>IFERROR(__xludf.DUMMYFUNCTION("""COMPUTED_VALUE"""),"Negative")</f>
        <v>Negative</v>
      </c>
      <c r="G775" s="6">
        <f>IFERROR(__xludf.DUMMYFUNCTION("""COMPUTED_VALUE"""),1.0)</f>
        <v>1</v>
      </c>
    </row>
    <row r="776">
      <c r="A776" s="6" t="str">
        <f>IFERROR(__xludf.DUMMYFUNCTION("""COMPUTED_VALUE"""),"FM2989")</f>
        <v>FM2989</v>
      </c>
      <c r="B776" s="6" t="str">
        <f>IFERROR(__xludf.DUMMYFUNCTION("""COMPUTED_VALUE"""),"RUN-COMB_2022-05-19_RFR-043")</f>
        <v>RUN-COMB_2022-05-19_RFR-043</v>
      </c>
      <c r="C776" s="7">
        <f>VLOOKUP(B776,'Run Reconcile'!A$2:B3090,2,FALSE)</f>
        <v>44700</v>
      </c>
      <c r="D776" s="11">
        <f>IFERROR(__xludf.DUMMYFUNCTION("""COMPUTED_VALUE"""),44700.0)</f>
        <v>44700</v>
      </c>
      <c r="E776" s="12">
        <f>IFERROR(__xludf.DUMMYFUNCTION("""COMPUTED_VALUE"""),0.2723842592604342)</f>
        <v>0.2723842593</v>
      </c>
      <c r="F776" s="6" t="str">
        <f>IFERROR(__xludf.DUMMYFUNCTION("""COMPUTED_VALUE"""),"Negative")</f>
        <v>Negative</v>
      </c>
      <c r="G776" s="6">
        <f>IFERROR(__xludf.DUMMYFUNCTION("""COMPUTED_VALUE"""),1.0)</f>
        <v>1</v>
      </c>
    </row>
    <row r="777">
      <c r="A777" s="6" t="str">
        <f>IFERROR(__xludf.DUMMYFUNCTION("""COMPUTED_VALUE"""),"FM2943")</f>
        <v>FM2943</v>
      </c>
      <c r="B777" s="6" t="str">
        <f>IFERROR(__xludf.DUMMYFUNCTION("""COMPUTED_VALUE"""),"RUN-COMB_2022-05-19_RFR-043")</f>
        <v>RUN-COMB_2022-05-19_RFR-043</v>
      </c>
      <c r="C777" s="7">
        <f>VLOOKUP(B777,'Run Reconcile'!A$2:B3090,2,FALSE)</f>
        <v>44700</v>
      </c>
      <c r="D777" s="11">
        <f>IFERROR(__xludf.DUMMYFUNCTION("""COMPUTED_VALUE"""),44700.0)</f>
        <v>44700</v>
      </c>
      <c r="E777" s="12">
        <f>IFERROR(__xludf.DUMMYFUNCTION("""COMPUTED_VALUE"""),0.2727546296300716)</f>
        <v>0.2727546296</v>
      </c>
      <c r="F777" s="6" t="str">
        <f>IFERROR(__xludf.DUMMYFUNCTION("""COMPUTED_VALUE"""),"Negative")</f>
        <v>Negative</v>
      </c>
      <c r="G777" s="6">
        <f>IFERROR(__xludf.DUMMYFUNCTION("""COMPUTED_VALUE"""),1.0)</f>
        <v>1</v>
      </c>
    </row>
    <row r="778">
      <c r="A778" s="6" t="str">
        <f>IFERROR(__xludf.DUMMYFUNCTION("""COMPUTED_VALUE"""),"FM2902")</f>
        <v>FM2902</v>
      </c>
      <c r="B778" s="6" t="str">
        <f>IFERROR(__xludf.DUMMYFUNCTION("""COMPUTED_VALUE"""),"RUN-COMB_2022-05-19_RFR-043")</f>
        <v>RUN-COMB_2022-05-19_RFR-043</v>
      </c>
      <c r="C778" s="7">
        <f>VLOOKUP(B778,'Run Reconcile'!A$2:B3090,2,FALSE)</f>
        <v>44700</v>
      </c>
      <c r="D778" s="11">
        <f>IFERROR(__xludf.DUMMYFUNCTION("""COMPUTED_VALUE"""),44700.0)</f>
        <v>44700</v>
      </c>
      <c r="E778" s="12">
        <f>IFERROR(__xludf.DUMMYFUNCTION("""COMPUTED_VALUE"""),0.27309027777664596)</f>
        <v>0.2730902778</v>
      </c>
      <c r="F778" s="6" t="str">
        <f>IFERROR(__xludf.DUMMYFUNCTION("""COMPUTED_VALUE"""),"Negative")</f>
        <v>Negative</v>
      </c>
      <c r="G778" s="6">
        <f>IFERROR(__xludf.DUMMYFUNCTION("""COMPUTED_VALUE"""),1.0)</f>
        <v>1</v>
      </c>
    </row>
    <row r="779">
      <c r="A779" s="6" t="str">
        <f>IFERROR(__xludf.DUMMYFUNCTION("""COMPUTED_VALUE"""),"FM2936")</f>
        <v>FM2936</v>
      </c>
      <c r="B779" s="6" t="str">
        <f>IFERROR(__xludf.DUMMYFUNCTION("""COMPUTED_VALUE"""),"RUN-COMB_2022-05-19_RFR-043")</f>
        <v>RUN-COMB_2022-05-19_RFR-043</v>
      </c>
      <c r="C779" s="7">
        <f>VLOOKUP(B779,'Run Reconcile'!A$2:B3090,2,FALSE)</f>
        <v>44700</v>
      </c>
      <c r="D779" s="11">
        <f>IFERROR(__xludf.DUMMYFUNCTION("""COMPUTED_VALUE"""),44700.0)</f>
        <v>44700</v>
      </c>
      <c r="E779" s="12">
        <f>IFERROR(__xludf.DUMMYFUNCTION("""COMPUTED_VALUE"""),0.2735185185192677)</f>
        <v>0.2735185185</v>
      </c>
      <c r="F779" s="6" t="str">
        <f>IFERROR(__xludf.DUMMYFUNCTION("""COMPUTED_VALUE"""),"Negative")</f>
        <v>Negative</v>
      </c>
      <c r="G779" s="6">
        <f>IFERROR(__xludf.DUMMYFUNCTION("""COMPUTED_VALUE"""),1.0)</f>
        <v>1</v>
      </c>
    </row>
    <row r="780">
      <c r="A780" s="6" t="str">
        <f>IFERROR(__xludf.DUMMYFUNCTION("""COMPUTED_VALUE"""),"FM2931")</f>
        <v>FM2931</v>
      </c>
      <c r="B780" s="6" t="str">
        <f>IFERROR(__xludf.DUMMYFUNCTION("""COMPUTED_VALUE"""),"RUN-COMB_2022-05-19_RFR-043")</f>
        <v>RUN-COMB_2022-05-19_RFR-043</v>
      </c>
      <c r="C780" s="7">
        <f>VLOOKUP(B780,'Run Reconcile'!A$2:B3090,2,FALSE)</f>
        <v>44700</v>
      </c>
      <c r="D780" s="11">
        <f>IFERROR(__xludf.DUMMYFUNCTION("""COMPUTED_VALUE"""),44700.0)</f>
        <v>44700</v>
      </c>
      <c r="E780" s="12">
        <f>IFERROR(__xludf.DUMMYFUNCTION("""COMPUTED_VALUE"""),0.27390046296204673)</f>
        <v>0.273900463</v>
      </c>
      <c r="F780" s="6" t="str">
        <f>IFERROR(__xludf.DUMMYFUNCTION("""COMPUTED_VALUE"""),"Negative")</f>
        <v>Negative</v>
      </c>
      <c r="G780" s="6">
        <f>IFERROR(__xludf.DUMMYFUNCTION("""COMPUTED_VALUE"""),1.0)</f>
        <v>1</v>
      </c>
    </row>
    <row r="781">
      <c r="A781" s="6" t="str">
        <f>IFERROR(__xludf.DUMMYFUNCTION("""COMPUTED_VALUE"""),"FM2955")</f>
        <v>FM2955</v>
      </c>
      <c r="B781" s="6" t="str">
        <f>IFERROR(__xludf.DUMMYFUNCTION("""COMPUTED_VALUE"""),"RUN-COMB_2022-05-19_RFR-043")</f>
        <v>RUN-COMB_2022-05-19_RFR-043</v>
      </c>
      <c r="C781" s="7">
        <f>VLOOKUP(B781,'Run Reconcile'!A$2:B3090,2,FALSE)</f>
        <v>44700</v>
      </c>
      <c r="D781" s="11">
        <f>IFERROR(__xludf.DUMMYFUNCTION("""COMPUTED_VALUE"""),44700.0)</f>
        <v>44700</v>
      </c>
      <c r="E781" s="12">
        <f>IFERROR(__xludf.DUMMYFUNCTION("""COMPUTED_VALUE"""),0.2742708333316841)</f>
        <v>0.2742708333</v>
      </c>
      <c r="F781" s="6" t="str">
        <f>IFERROR(__xludf.DUMMYFUNCTION("""COMPUTED_VALUE"""),"Negative")</f>
        <v>Negative</v>
      </c>
      <c r="G781" s="6">
        <f>IFERROR(__xludf.DUMMYFUNCTION("""COMPUTED_VALUE"""),1.0)</f>
        <v>1</v>
      </c>
    </row>
    <row r="782">
      <c r="A782" s="6" t="str">
        <f>IFERROR(__xludf.DUMMYFUNCTION("""COMPUTED_VALUE"""),"FM2233")</f>
        <v>FM2233</v>
      </c>
      <c r="B782" s="6" t="str">
        <f>IFERROR(__xludf.DUMMYFUNCTION("""COMPUTED_VALUE"""),"RUN-COMB_2022-05-19_RFR-043")</f>
        <v>RUN-COMB_2022-05-19_RFR-043</v>
      </c>
      <c r="C782" s="7">
        <f>VLOOKUP(B782,'Run Reconcile'!A$2:B3090,2,FALSE)</f>
        <v>44700</v>
      </c>
      <c r="D782" s="11">
        <f>IFERROR(__xludf.DUMMYFUNCTION("""COMPUTED_VALUE"""),44700.0)</f>
        <v>44700</v>
      </c>
      <c r="E782" s="12">
        <f>IFERROR(__xludf.DUMMYFUNCTION("""COMPUTED_VALUE"""),0.27458333333197515)</f>
        <v>0.2745833333</v>
      </c>
      <c r="F782" s="6" t="str">
        <f>IFERROR(__xludf.DUMMYFUNCTION("""COMPUTED_VALUE"""),"Negative")</f>
        <v>Negative</v>
      </c>
      <c r="G782" s="6">
        <f>IFERROR(__xludf.DUMMYFUNCTION("""COMPUTED_VALUE"""),1.0)</f>
        <v>1</v>
      </c>
    </row>
    <row r="783">
      <c r="A783" s="6" t="str">
        <f>IFERROR(__xludf.DUMMYFUNCTION("""COMPUTED_VALUE"""),"FM2934")</f>
        <v>FM2934</v>
      </c>
      <c r="B783" s="6" t="str">
        <f>IFERROR(__xludf.DUMMYFUNCTION("""COMPUTED_VALUE"""),"RUN-COMB_2022-05-19_RFR-043")</f>
        <v>RUN-COMB_2022-05-19_RFR-043</v>
      </c>
      <c r="C783" s="7">
        <f>VLOOKUP(B783,'Run Reconcile'!A$2:B3090,2,FALSE)</f>
        <v>44700</v>
      </c>
      <c r="D783" s="11">
        <f>IFERROR(__xludf.DUMMYFUNCTION("""COMPUTED_VALUE"""),44700.0)</f>
        <v>44700</v>
      </c>
      <c r="E783" s="12">
        <f>IFERROR(__xludf.DUMMYFUNCTION("""COMPUTED_VALUE"""),0.27490740740904585)</f>
        <v>0.2749074074</v>
      </c>
      <c r="F783" s="6" t="str">
        <f>IFERROR(__xludf.DUMMYFUNCTION("""COMPUTED_VALUE"""),"Negative")</f>
        <v>Negative</v>
      </c>
      <c r="G783" s="6">
        <f>IFERROR(__xludf.DUMMYFUNCTION("""COMPUTED_VALUE"""),1.0)</f>
        <v>1</v>
      </c>
    </row>
    <row r="784">
      <c r="A784" s="6" t="str">
        <f>IFERROR(__xludf.DUMMYFUNCTION("""COMPUTED_VALUE"""),"FM2991")</f>
        <v>FM2991</v>
      </c>
      <c r="B784" s="6" t="str">
        <f>IFERROR(__xludf.DUMMYFUNCTION("""COMPUTED_VALUE"""),"RUN-COMB_2022-05-19_RFR-043")</f>
        <v>RUN-COMB_2022-05-19_RFR-043</v>
      </c>
      <c r="C784" s="7">
        <f>VLOOKUP(B784,'Run Reconcile'!A$2:B3090,2,FALSE)</f>
        <v>44700</v>
      </c>
      <c r="D784" s="11">
        <f>IFERROR(__xludf.DUMMYFUNCTION("""COMPUTED_VALUE"""),44700.0)</f>
        <v>44700</v>
      </c>
      <c r="E784" s="12">
        <f>IFERROR(__xludf.DUMMYFUNCTION("""COMPUTED_VALUE"""),0.27527777777868323)</f>
        <v>0.2752777778</v>
      </c>
      <c r="F784" s="6" t="str">
        <f>IFERROR(__xludf.DUMMYFUNCTION("""COMPUTED_VALUE"""),"Negative")</f>
        <v>Negative</v>
      </c>
      <c r="G784" s="6">
        <f>IFERROR(__xludf.DUMMYFUNCTION("""COMPUTED_VALUE"""),1.0)</f>
        <v>1</v>
      </c>
    </row>
    <row r="785">
      <c r="A785" s="6" t="str">
        <f>IFERROR(__xludf.DUMMYFUNCTION("""COMPUTED_VALUE"""),"FM2985")</f>
        <v>FM2985</v>
      </c>
      <c r="B785" s="6" t="str">
        <f>IFERROR(__xludf.DUMMYFUNCTION("""COMPUTED_VALUE"""),"RUN-COMB_2022-05-19_RFR-043")</f>
        <v>RUN-COMB_2022-05-19_RFR-043</v>
      </c>
      <c r="C785" s="7">
        <f>VLOOKUP(B785,'Run Reconcile'!A$2:B3090,2,FALSE)</f>
        <v>44700</v>
      </c>
      <c r="D785" s="11">
        <f>IFERROR(__xludf.DUMMYFUNCTION("""COMPUTED_VALUE"""),44700.0)</f>
        <v>44700</v>
      </c>
      <c r="E785" s="12">
        <f>IFERROR(__xludf.DUMMYFUNCTION("""COMPUTED_VALUE"""),0.2791782407402934)</f>
        <v>0.2791782407</v>
      </c>
      <c r="F785" s="6" t="str">
        <f>IFERROR(__xludf.DUMMYFUNCTION("""COMPUTED_VALUE"""),"Negative")</f>
        <v>Negative</v>
      </c>
      <c r="G785" s="6">
        <f>IFERROR(__xludf.DUMMYFUNCTION("""COMPUTED_VALUE"""),1.0)</f>
        <v>1</v>
      </c>
    </row>
    <row r="786">
      <c r="A786" s="6" t="str">
        <f>IFERROR(__xludf.DUMMYFUNCTION("""COMPUTED_VALUE"""),"FM2987")</f>
        <v>FM2987</v>
      </c>
      <c r="B786" s="6" t="str">
        <f>IFERROR(__xludf.DUMMYFUNCTION("""COMPUTED_VALUE"""),"RUN-COMB_2022-05-19_RFR-043")</f>
        <v>RUN-COMB_2022-05-19_RFR-043</v>
      </c>
      <c r="C786" s="7">
        <f>VLOOKUP(B786,'Run Reconcile'!A$2:B3090,2,FALSE)</f>
        <v>44700</v>
      </c>
      <c r="D786" s="11">
        <f>IFERROR(__xludf.DUMMYFUNCTION("""COMPUTED_VALUE"""),44700.0)</f>
        <v>44700</v>
      </c>
      <c r="E786" s="12">
        <f>IFERROR(__xludf.DUMMYFUNCTION("""COMPUTED_VALUE"""),0.2795370370367891)</f>
        <v>0.279537037</v>
      </c>
      <c r="F786" s="6" t="str">
        <f>IFERROR(__xludf.DUMMYFUNCTION("""COMPUTED_VALUE"""),"Negative")</f>
        <v>Negative</v>
      </c>
      <c r="G786" s="6">
        <f>IFERROR(__xludf.DUMMYFUNCTION("""COMPUTED_VALUE"""),1.0)</f>
        <v>1</v>
      </c>
    </row>
    <row r="787">
      <c r="A787" s="6" t="str">
        <f>IFERROR(__xludf.DUMMYFUNCTION("""COMPUTED_VALUE"""),"FM2935")</f>
        <v>FM2935</v>
      </c>
      <c r="B787" s="6" t="str">
        <f>IFERROR(__xludf.DUMMYFUNCTION("""COMPUTED_VALUE"""),"RUN-COMB_2022-05-19_RFR-043")</f>
        <v>RUN-COMB_2022-05-19_RFR-043</v>
      </c>
      <c r="C787" s="7">
        <f>VLOOKUP(B787,'Run Reconcile'!A$2:B3090,2,FALSE)</f>
        <v>44700</v>
      </c>
      <c r="D787" s="11">
        <f>IFERROR(__xludf.DUMMYFUNCTION("""COMPUTED_VALUE"""),44700.0)</f>
        <v>44700</v>
      </c>
      <c r="E787" s="12">
        <f>IFERROR(__xludf.DUMMYFUNCTION("""COMPUTED_VALUE"""),0.2799305555563478)</f>
        <v>0.2799305556</v>
      </c>
      <c r="F787" s="6" t="str">
        <f>IFERROR(__xludf.DUMMYFUNCTION("""COMPUTED_VALUE"""),"Negative")</f>
        <v>Negative</v>
      </c>
      <c r="G787" s="6">
        <f>IFERROR(__xludf.DUMMYFUNCTION("""COMPUTED_VALUE"""),1.0)</f>
        <v>1</v>
      </c>
    </row>
    <row r="788">
      <c r="A788" s="6" t="str">
        <f>IFERROR(__xludf.DUMMYFUNCTION("""COMPUTED_VALUE"""),"FM2900")</f>
        <v>FM2900</v>
      </c>
      <c r="B788" s="6" t="str">
        <f>IFERROR(__xludf.DUMMYFUNCTION("""COMPUTED_VALUE"""),"RUN-COMB_2022-05-19_RFR-043")</f>
        <v>RUN-COMB_2022-05-19_RFR-043</v>
      </c>
      <c r="C788" s="7">
        <f>VLOOKUP(B788,'Run Reconcile'!A$2:B3090,2,FALSE)</f>
        <v>44700</v>
      </c>
      <c r="D788" s="11">
        <f>IFERROR(__xludf.DUMMYFUNCTION("""COMPUTED_VALUE"""),44700.0)</f>
        <v>44700</v>
      </c>
      <c r="E788" s="12">
        <f>IFERROR(__xludf.DUMMYFUNCTION("""COMPUTED_VALUE"""),0.28028935185284354)</f>
        <v>0.2802893519</v>
      </c>
      <c r="F788" s="6" t="str">
        <f>IFERROR(__xludf.DUMMYFUNCTION("""COMPUTED_VALUE"""),"Negative")</f>
        <v>Negative</v>
      </c>
      <c r="G788" s="6">
        <f>IFERROR(__xludf.DUMMYFUNCTION("""COMPUTED_VALUE"""),1.0)</f>
        <v>1</v>
      </c>
    </row>
    <row r="789">
      <c r="A789" s="6" t="str">
        <f>IFERROR(__xludf.DUMMYFUNCTION("""COMPUTED_VALUE"""),"FM2990")</f>
        <v>FM2990</v>
      </c>
      <c r="B789" s="6" t="str">
        <f>IFERROR(__xludf.DUMMYFUNCTION("""COMPUTED_VALUE"""),"RUN-COMB_2022-05-19_RFR-043")</f>
        <v>RUN-COMB_2022-05-19_RFR-043</v>
      </c>
      <c r="C789" s="7">
        <f>VLOOKUP(B789,'Run Reconcile'!A$2:B3090,2,FALSE)</f>
        <v>44700</v>
      </c>
      <c r="D789" s="11">
        <f>IFERROR(__xludf.DUMMYFUNCTION("""COMPUTED_VALUE"""),44700.0)</f>
        <v>44700</v>
      </c>
      <c r="E789" s="12">
        <f>IFERROR(__xludf.DUMMYFUNCTION("""COMPUTED_VALUE"""),0.28072916666496894)</f>
        <v>0.2807291667</v>
      </c>
      <c r="F789" s="6" t="str">
        <f>IFERROR(__xludf.DUMMYFUNCTION("""COMPUTED_VALUE"""),"Negative")</f>
        <v>Negative</v>
      </c>
      <c r="G789" s="6">
        <f>IFERROR(__xludf.DUMMYFUNCTION("""COMPUTED_VALUE"""),1.0)</f>
        <v>1</v>
      </c>
    </row>
    <row r="790">
      <c r="A790" s="6" t="str">
        <f>IFERROR(__xludf.DUMMYFUNCTION("""COMPUTED_VALUE"""),"FM2932")</f>
        <v>FM2932</v>
      </c>
      <c r="B790" s="6" t="str">
        <f>IFERROR(__xludf.DUMMYFUNCTION("""COMPUTED_VALUE"""),"RUN-COMB_2022-05-19_RFR-043")</f>
        <v>RUN-COMB_2022-05-19_RFR-043</v>
      </c>
      <c r="C790" s="7">
        <f>VLOOKUP(B790,'Run Reconcile'!A$2:B3090,2,FALSE)</f>
        <v>44700</v>
      </c>
      <c r="D790" s="11">
        <f>IFERROR(__xludf.DUMMYFUNCTION("""COMPUTED_VALUE"""),44700.0)</f>
        <v>44700</v>
      </c>
      <c r="E790" s="12">
        <f>IFERROR(__xludf.DUMMYFUNCTION("""COMPUTED_VALUE"""),0.28104166666526)</f>
        <v>0.2810416667</v>
      </c>
      <c r="F790" s="6" t="str">
        <f>IFERROR(__xludf.DUMMYFUNCTION("""COMPUTED_VALUE"""),"Negative")</f>
        <v>Negative</v>
      </c>
      <c r="G790" s="6">
        <f>IFERROR(__xludf.DUMMYFUNCTION("""COMPUTED_VALUE"""),1.0)</f>
        <v>1</v>
      </c>
    </row>
    <row r="791">
      <c r="A791" s="6" t="str">
        <f>IFERROR(__xludf.DUMMYFUNCTION("""COMPUTED_VALUE"""),"FM2926")</f>
        <v>FM2926</v>
      </c>
      <c r="B791" s="6" t="str">
        <f>IFERROR(__xludf.DUMMYFUNCTION("""COMPUTED_VALUE"""),"RUN-COMB_2022-05-19_RFR-043")</f>
        <v>RUN-COMB_2022-05-19_RFR-043</v>
      </c>
      <c r="C791" s="7">
        <f>VLOOKUP(B791,'Run Reconcile'!A$2:B3090,2,FALSE)</f>
        <v>44700</v>
      </c>
      <c r="D791" s="11">
        <f>IFERROR(__xludf.DUMMYFUNCTION("""COMPUTED_VALUE"""),44700.0)</f>
        <v>44700</v>
      </c>
      <c r="E791" s="12">
        <f>IFERROR(__xludf.DUMMYFUNCTION("""COMPUTED_VALUE"""),0.28141203703853535)</f>
        <v>0.281412037</v>
      </c>
      <c r="F791" s="6" t="str">
        <f>IFERROR(__xludf.DUMMYFUNCTION("""COMPUTED_VALUE"""),"Negative")</f>
        <v>Negative</v>
      </c>
      <c r="G791" s="6">
        <f>IFERROR(__xludf.DUMMYFUNCTION("""COMPUTED_VALUE"""),1.0)</f>
        <v>1</v>
      </c>
    </row>
    <row r="792">
      <c r="A792" s="6" t="str">
        <f>IFERROR(__xludf.DUMMYFUNCTION("""COMPUTED_VALUE"""),"FM2940")</f>
        <v>FM2940</v>
      </c>
      <c r="B792" s="6" t="str">
        <f>IFERROR(__xludf.DUMMYFUNCTION("""COMPUTED_VALUE"""),"RUN-COMB_2022-05-19_RFR-043")</f>
        <v>RUN-COMB_2022-05-19_RFR-043</v>
      </c>
      <c r="C792" s="7">
        <f>VLOOKUP(B792,'Run Reconcile'!A$2:B3090,2,FALSE)</f>
        <v>44700</v>
      </c>
      <c r="D792" s="11">
        <f>IFERROR(__xludf.DUMMYFUNCTION("""COMPUTED_VALUE"""),44700.0)</f>
        <v>44700</v>
      </c>
      <c r="E792" s="12">
        <f>IFERROR(__xludf.DUMMYFUNCTION("""COMPUTED_VALUE"""),0.2818634259274404)</f>
        <v>0.2818634259</v>
      </c>
      <c r="F792" s="6" t="str">
        <f>IFERROR(__xludf.DUMMYFUNCTION("""COMPUTED_VALUE"""),"Negative")</f>
        <v>Negative</v>
      </c>
      <c r="G792" s="6">
        <f>IFERROR(__xludf.DUMMYFUNCTION("""COMPUTED_VALUE"""),1.0)</f>
        <v>1</v>
      </c>
    </row>
    <row r="793">
      <c r="A793" s="6" t="str">
        <f>IFERROR(__xludf.DUMMYFUNCTION("""COMPUTED_VALUE"""),"FM2966")</f>
        <v>FM2966</v>
      </c>
      <c r="B793" s="6" t="str">
        <f>IFERROR(__xludf.DUMMYFUNCTION("""COMPUTED_VALUE"""),"RUN-COMB_2022-05-19_RFR-043")</f>
        <v>RUN-COMB_2022-05-19_RFR-043</v>
      </c>
      <c r="C793" s="7">
        <f>VLOOKUP(B793,'Run Reconcile'!A$2:B3090,2,FALSE)</f>
        <v>44700</v>
      </c>
      <c r="D793" s="11">
        <f>IFERROR(__xludf.DUMMYFUNCTION("""COMPUTED_VALUE"""),44700.0)</f>
        <v>44700</v>
      </c>
      <c r="E793" s="12">
        <f>IFERROR(__xludf.DUMMYFUNCTION("""COMPUTED_VALUE"""),0.2821990740740148)</f>
        <v>0.2821990741</v>
      </c>
      <c r="F793" s="6" t="str">
        <f>IFERROR(__xludf.DUMMYFUNCTION("""COMPUTED_VALUE"""),"Negative")</f>
        <v>Negative</v>
      </c>
      <c r="G793" s="6">
        <f>IFERROR(__xludf.DUMMYFUNCTION("""COMPUTED_VALUE"""),1.0)</f>
        <v>1</v>
      </c>
    </row>
    <row r="794">
      <c r="A794" s="6" t="str">
        <f>IFERROR(__xludf.DUMMYFUNCTION("""COMPUTED_VALUE"""),"FM2973")</f>
        <v>FM2973</v>
      </c>
      <c r="B794" s="6" t="str">
        <f>IFERROR(__xludf.DUMMYFUNCTION("""COMPUTED_VALUE"""),"RUN-COMB_2022-05-19_RFR-043")</f>
        <v>RUN-COMB_2022-05-19_RFR-043</v>
      </c>
      <c r="C794" s="7">
        <f>VLOOKUP(B794,'Run Reconcile'!A$2:B3090,2,FALSE)</f>
        <v>44700</v>
      </c>
      <c r="D794" s="11">
        <f>IFERROR(__xludf.DUMMYFUNCTION("""COMPUTED_VALUE"""),44700.0)</f>
        <v>44700</v>
      </c>
      <c r="E794" s="12">
        <f>IFERROR(__xludf.DUMMYFUNCTION("""COMPUTED_VALUE"""),0.2825347222205892)</f>
        <v>0.2825347222</v>
      </c>
      <c r="F794" s="6" t="str">
        <f>IFERROR(__xludf.DUMMYFUNCTION("""COMPUTED_VALUE"""),"Negative")</f>
        <v>Negative</v>
      </c>
      <c r="G794" s="6">
        <f>IFERROR(__xludf.DUMMYFUNCTION("""COMPUTED_VALUE"""),1.0)</f>
        <v>1</v>
      </c>
    </row>
    <row r="795">
      <c r="A795" s="6" t="str">
        <f>IFERROR(__xludf.DUMMYFUNCTION("""COMPUTED_VALUE"""),"FM2992")</f>
        <v>FM2992</v>
      </c>
      <c r="B795" s="6" t="str">
        <f>IFERROR(__xludf.DUMMYFUNCTION("""COMPUTED_VALUE"""),"RUN-COMB_2022-05-19_RFR-043")</f>
        <v>RUN-COMB_2022-05-19_RFR-043</v>
      </c>
      <c r="C795" s="7">
        <f>VLOOKUP(B795,'Run Reconcile'!A$2:B3090,2,FALSE)</f>
        <v>44700</v>
      </c>
      <c r="D795" s="11">
        <f>IFERROR(__xludf.DUMMYFUNCTION("""COMPUTED_VALUE"""),44700.0)</f>
        <v>44700</v>
      </c>
      <c r="E795" s="12">
        <f>IFERROR(__xludf.DUMMYFUNCTION("""COMPUTED_VALUE"""),0.2828819444439432)</f>
        <v>0.2828819444</v>
      </c>
      <c r="F795" s="6" t="str">
        <f>IFERROR(__xludf.DUMMYFUNCTION("""COMPUTED_VALUE"""),"Negative")</f>
        <v>Negative</v>
      </c>
      <c r="G795" s="6">
        <f>IFERROR(__xludf.DUMMYFUNCTION("""COMPUTED_VALUE"""),1.0)</f>
        <v>1</v>
      </c>
    </row>
    <row r="796">
      <c r="A796" s="6" t="str">
        <f>IFERROR(__xludf.DUMMYFUNCTION("""COMPUTED_VALUE"""),"FM2923")</f>
        <v>FM2923</v>
      </c>
      <c r="B796" s="6" t="str">
        <f>IFERROR(__xludf.DUMMYFUNCTION("""COMPUTED_VALUE"""),"RUN-COMB_2022-05-19_RFR-043")</f>
        <v>RUN-COMB_2022-05-19_RFR-043</v>
      </c>
      <c r="C796" s="7">
        <f>VLOOKUP(B796,'Run Reconcile'!A$2:B3090,2,FALSE)</f>
        <v>44700</v>
      </c>
      <c r="D796" s="11">
        <f>IFERROR(__xludf.DUMMYFUNCTION("""COMPUTED_VALUE"""),44700.0)</f>
        <v>44700</v>
      </c>
      <c r="E796" s="12">
        <f>IFERROR(__xludf.DUMMYFUNCTION("""COMPUTED_VALUE"""),0.2832870370366436)</f>
        <v>0.283287037</v>
      </c>
      <c r="F796" s="6" t="str">
        <f>IFERROR(__xludf.DUMMYFUNCTION("""COMPUTED_VALUE"""),"Negative")</f>
        <v>Negative</v>
      </c>
      <c r="G796" s="6">
        <f>IFERROR(__xludf.DUMMYFUNCTION("""COMPUTED_VALUE"""),1.0)</f>
        <v>1</v>
      </c>
    </row>
    <row r="797">
      <c r="A797" s="6" t="str">
        <f>IFERROR(__xludf.DUMMYFUNCTION("""COMPUTED_VALUE"""),"FM2888")</f>
        <v>FM2888</v>
      </c>
      <c r="B797" s="6" t="str">
        <f>IFERROR(__xludf.DUMMYFUNCTION("""COMPUTED_VALUE"""),"RUN-COMB_2022-05-19_RFR-043")</f>
        <v>RUN-COMB_2022-05-19_RFR-043</v>
      </c>
      <c r="C797" s="7">
        <f>VLOOKUP(B797,'Run Reconcile'!A$2:B3090,2,FALSE)</f>
        <v>44700</v>
      </c>
      <c r="D797" s="11">
        <f>IFERROR(__xludf.DUMMYFUNCTION("""COMPUTED_VALUE"""),44700.0)</f>
        <v>44700</v>
      </c>
      <c r="E797" s="12">
        <f>IFERROR(__xludf.DUMMYFUNCTION("""COMPUTED_VALUE"""),0.28373842592554865)</f>
        <v>0.2837384259</v>
      </c>
      <c r="F797" s="6" t="str">
        <f>IFERROR(__xludf.DUMMYFUNCTION("""COMPUTED_VALUE"""),"Negative")</f>
        <v>Negative</v>
      </c>
      <c r="G797" s="6">
        <f>IFERROR(__xludf.DUMMYFUNCTION("""COMPUTED_VALUE"""),1.0)</f>
        <v>1</v>
      </c>
    </row>
    <row r="798">
      <c r="A798" s="6" t="str">
        <f>IFERROR(__xludf.DUMMYFUNCTION("""COMPUTED_VALUE"""),"FM2945")</f>
        <v>FM2945</v>
      </c>
      <c r="B798" s="6" t="str">
        <f>IFERROR(__xludf.DUMMYFUNCTION("""COMPUTED_VALUE"""),"RUN-COMB_2022-05-19_RFR-043")</f>
        <v>RUN-COMB_2022-05-19_RFR-043</v>
      </c>
      <c r="C798" s="7">
        <f>VLOOKUP(B798,'Run Reconcile'!A$2:B3090,2,FALSE)</f>
        <v>44700</v>
      </c>
      <c r="D798" s="11">
        <f>IFERROR(__xludf.DUMMYFUNCTION("""COMPUTED_VALUE"""),44700.0)</f>
        <v>44700</v>
      </c>
      <c r="E798" s="12">
        <f>IFERROR(__xludf.DUMMYFUNCTION("""COMPUTED_VALUE"""),0.2842013888875954)</f>
        <v>0.2842013889</v>
      </c>
      <c r="F798" s="6" t="str">
        <f>IFERROR(__xludf.DUMMYFUNCTION("""COMPUTED_VALUE"""),"Negative")</f>
        <v>Negative</v>
      </c>
      <c r="G798" s="6">
        <f>IFERROR(__xludf.DUMMYFUNCTION("""COMPUTED_VALUE"""),1.0)</f>
        <v>1</v>
      </c>
    </row>
    <row r="799">
      <c r="A799" s="6" t="str">
        <f>IFERROR(__xludf.DUMMYFUNCTION("""COMPUTED_VALUE"""),"FM2916")</f>
        <v>FM2916</v>
      </c>
      <c r="B799" s="6" t="str">
        <f>IFERROR(__xludf.DUMMYFUNCTION("""COMPUTED_VALUE"""),"RUN-COMB_2022-05-19_RFR-043")</f>
        <v>RUN-COMB_2022-05-19_RFR-043</v>
      </c>
      <c r="C799" s="7">
        <f>VLOOKUP(B799,'Run Reconcile'!A$2:B3090,2,FALSE)</f>
        <v>44700</v>
      </c>
      <c r="D799" s="11">
        <f>IFERROR(__xludf.DUMMYFUNCTION("""COMPUTED_VALUE"""),44700.0)</f>
        <v>44700</v>
      </c>
      <c r="E799" s="12">
        <f>IFERROR(__xludf.DUMMYFUNCTION("""COMPUTED_VALUE"""),0.2845949074071541)</f>
        <v>0.2845949074</v>
      </c>
      <c r="F799" s="6" t="str">
        <f>IFERROR(__xludf.DUMMYFUNCTION("""COMPUTED_VALUE"""),"Negative")</f>
        <v>Negative</v>
      </c>
      <c r="G799" s="6">
        <f>IFERROR(__xludf.DUMMYFUNCTION("""COMPUTED_VALUE"""),1.0)</f>
        <v>1</v>
      </c>
    </row>
    <row r="800">
      <c r="A800" s="6" t="str">
        <f>IFERROR(__xludf.DUMMYFUNCTION("""COMPUTED_VALUE"""),"FM2884")</f>
        <v>FM2884</v>
      </c>
      <c r="B800" s="6" t="str">
        <f>IFERROR(__xludf.DUMMYFUNCTION("""COMPUTED_VALUE"""),"RUN-COMB_2022-05-19_RFR-043")</f>
        <v>RUN-COMB_2022-05-19_RFR-043</v>
      </c>
      <c r="C800" s="7">
        <f>VLOOKUP(B800,'Run Reconcile'!A$2:B3090,2,FALSE)</f>
        <v>44700</v>
      </c>
      <c r="D800" s="11">
        <f>IFERROR(__xludf.DUMMYFUNCTION("""COMPUTED_VALUE"""),44700.0)</f>
        <v>44700</v>
      </c>
      <c r="E800" s="12">
        <f>IFERROR(__xludf.DUMMYFUNCTION("""COMPUTED_VALUE"""),0.2849999999998545)</f>
        <v>0.285</v>
      </c>
      <c r="F800" s="6" t="str">
        <f>IFERROR(__xludf.DUMMYFUNCTION("""COMPUTED_VALUE"""),"Negative")</f>
        <v>Negative</v>
      </c>
      <c r="G800" s="6">
        <f>IFERROR(__xludf.DUMMYFUNCTION("""COMPUTED_VALUE"""),1.0)</f>
        <v>1</v>
      </c>
    </row>
    <row r="801">
      <c r="A801" s="6" t="str">
        <f>IFERROR(__xludf.DUMMYFUNCTION("""COMPUTED_VALUE"""),"FM2957")</f>
        <v>FM2957</v>
      </c>
      <c r="B801" s="6" t="str">
        <f>IFERROR(__xludf.DUMMYFUNCTION("""COMPUTED_VALUE"""),"RUN-COMB_2022-05-19_RFR-043")</f>
        <v>RUN-COMB_2022-05-19_RFR-043</v>
      </c>
      <c r="C801" s="7">
        <f>VLOOKUP(B801,'Run Reconcile'!A$2:B3090,2,FALSE)</f>
        <v>44700</v>
      </c>
      <c r="D801" s="11">
        <f>IFERROR(__xludf.DUMMYFUNCTION("""COMPUTED_VALUE"""),44700.0)</f>
        <v>44700</v>
      </c>
      <c r="E801" s="12">
        <f>IFERROR(__xludf.DUMMYFUNCTION("""COMPUTED_VALUE"""),0.28545138888875954)</f>
        <v>0.2854513889</v>
      </c>
      <c r="F801" s="6" t="str">
        <f>IFERROR(__xludf.DUMMYFUNCTION("""COMPUTED_VALUE"""),"Negative")</f>
        <v>Negative</v>
      </c>
      <c r="G801" s="6">
        <f>IFERROR(__xludf.DUMMYFUNCTION("""COMPUTED_VALUE"""),1.0)</f>
        <v>1</v>
      </c>
    </row>
    <row r="802">
      <c r="A802" s="6" t="str">
        <f>IFERROR(__xludf.DUMMYFUNCTION("""COMPUTED_VALUE"""),"FM2891")</f>
        <v>FM2891</v>
      </c>
      <c r="B802" s="6" t="str">
        <f>IFERROR(__xludf.DUMMYFUNCTION("""COMPUTED_VALUE"""),"RUN-COMB_2022-05-19_RFR-043")</f>
        <v>RUN-COMB_2022-05-19_RFR-043</v>
      </c>
      <c r="C802" s="7">
        <f>VLOOKUP(B802,'Run Reconcile'!A$2:B3090,2,FALSE)</f>
        <v>44700</v>
      </c>
      <c r="D802" s="11">
        <f>IFERROR(__xludf.DUMMYFUNCTION("""COMPUTED_VALUE"""),44700.0)</f>
        <v>44700</v>
      </c>
      <c r="E802" s="12">
        <f>IFERROR(__xludf.DUMMYFUNCTION("""COMPUTED_VALUE"""),0.2858680555546016)</f>
        <v>0.2858680556</v>
      </c>
      <c r="F802" s="6" t="str">
        <f>IFERROR(__xludf.DUMMYFUNCTION("""COMPUTED_VALUE"""),"Negative")</f>
        <v>Negative</v>
      </c>
      <c r="G802" s="6">
        <f>IFERROR(__xludf.DUMMYFUNCTION("""COMPUTED_VALUE"""),1.0)</f>
        <v>1</v>
      </c>
    </row>
    <row r="803">
      <c r="A803" s="6" t="str">
        <f>IFERROR(__xludf.DUMMYFUNCTION("""COMPUTED_VALUE"""),"FM2918")</f>
        <v>FM2918</v>
      </c>
      <c r="B803" s="6" t="str">
        <f>IFERROR(__xludf.DUMMYFUNCTION("""COMPUTED_VALUE"""),"RUN-COMB_2022-05-19_RFR-043")</f>
        <v>RUN-COMB_2022-05-19_RFR-043</v>
      </c>
      <c r="C803" s="7">
        <f>VLOOKUP(B803,'Run Reconcile'!A$2:B3090,2,FALSE)</f>
        <v>44700</v>
      </c>
      <c r="D803" s="11">
        <f>IFERROR(__xludf.DUMMYFUNCTION("""COMPUTED_VALUE"""),44700.0)</f>
        <v>44700</v>
      </c>
      <c r="E803" s="12">
        <f>IFERROR(__xludf.DUMMYFUNCTION("""COMPUTED_VALUE"""),0.2863310185202863)</f>
        <v>0.2863310185</v>
      </c>
      <c r="F803" s="6" t="str">
        <f>IFERROR(__xludf.DUMMYFUNCTION("""COMPUTED_VALUE"""),"Negative")</f>
        <v>Negative</v>
      </c>
      <c r="G803" s="6">
        <f>IFERROR(__xludf.DUMMYFUNCTION("""COMPUTED_VALUE"""),1.0)</f>
        <v>1</v>
      </c>
    </row>
    <row r="804">
      <c r="A804" s="6" t="str">
        <f>IFERROR(__xludf.DUMMYFUNCTION("""COMPUTED_VALUE"""),"FM2977")</f>
        <v>FM2977</v>
      </c>
      <c r="B804" s="6" t="str">
        <f>IFERROR(__xludf.DUMMYFUNCTION("""COMPUTED_VALUE"""),"RUN-COMB_2022-05-19_RFR-043")</f>
        <v>RUN-COMB_2022-05-19_RFR-043</v>
      </c>
      <c r="C804" s="7">
        <f>VLOOKUP(B804,'Run Reconcile'!A$2:B3090,2,FALSE)</f>
        <v>44700</v>
      </c>
      <c r="D804" s="11">
        <f>IFERROR(__xludf.DUMMYFUNCTION("""COMPUTED_VALUE"""),44700.0)</f>
        <v>44700</v>
      </c>
      <c r="E804" s="12">
        <f>IFERROR(__xludf.DUMMYFUNCTION("""COMPUTED_VALUE"""),0.28674768518612836)</f>
        <v>0.2867476852</v>
      </c>
      <c r="F804" s="6" t="str">
        <f>IFERROR(__xludf.DUMMYFUNCTION("""COMPUTED_VALUE"""),"Negative")</f>
        <v>Negative</v>
      </c>
      <c r="G804" s="6">
        <f>IFERROR(__xludf.DUMMYFUNCTION("""COMPUTED_VALUE"""),1.0)</f>
        <v>1</v>
      </c>
    </row>
    <row r="805">
      <c r="A805" s="6" t="str">
        <f>IFERROR(__xludf.DUMMYFUNCTION("""COMPUTED_VALUE"""),"FM2904")</f>
        <v>FM2904</v>
      </c>
      <c r="B805" s="6" t="str">
        <f>IFERROR(__xludf.DUMMYFUNCTION("""COMPUTED_VALUE"""),"RUN-COMB_2022-05-19_RFR-043")</f>
        <v>RUN-COMB_2022-05-19_RFR-043</v>
      </c>
      <c r="C805" s="7">
        <f>VLOOKUP(B805,'Run Reconcile'!A$2:B3090,2,FALSE)</f>
        <v>44700</v>
      </c>
      <c r="D805" s="11">
        <f>IFERROR(__xludf.DUMMYFUNCTION("""COMPUTED_VALUE"""),44700.0)</f>
        <v>44700</v>
      </c>
      <c r="E805" s="12">
        <f>IFERROR(__xludf.DUMMYFUNCTION("""COMPUTED_VALUE"""),0.28718749999825377)</f>
        <v>0.2871875</v>
      </c>
      <c r="F805" s="6" t="str">
        <f>IFERROR(__xludf.DUMMYFUNCTION("""COMPUTED_VALUE"""),"Negative")</f>
        <v>Negative</v>
      </c>
      <c r="G805" s="6">
        <f>IFERROR(__xludf.DUMMYFUNCTION("""COMPUTED_VALUE"""),1.0)</f>
        <v>1</v>
      </c>
    </row>
    <row r="806">
      <c r="A806" s="6" t="str">
        <f>IFERROR(__xludf.DUMMYFUNCTION("""COMPUTED_VALUE"""),"FM2998")</f>
        <v>FM2998</v>
      </c>
      <c r="B806" s="6" t="str">
        <f>IFERROR(__xludf.DUMMYFUNCTION("""COMPUTED_VALUE"""),"RUN-COMB_2022-05-19_RFR-043")</f>
        <v>RUN-COMB_2022-05-19_RFR-043</v>
      </c>
      <c r="C806" s="7">
        <f>VLOOKUP(B806,'Run Reconcile'!A$2:B3090,2,FALSE)</f>
        <v>44700</v>
      </c>
      <c r="D806" s="11">
        <f>IFERROR(__xludf.DUMMYFUNCTION("""COMPUTED_VALUE"""),44700.0)</f>
        <v>44700</v>
      </c>
      <c r="E806" s="12">
        <f>IFERROR(__xludf.DUMMYFUNCTION("""COMPUTED_VALUE"""),0.2876041666677338)</f>
        <v>0.2876041667</v>
      </c>
      <c r="F806" s="6" t="str">
        <f>IFERROR(__xludf.DUMMYFUNCTION("""COMPUTED_VALUE"""),"Negative")</f>
        <v>Negative</v>
      </c>
      <c r="G806" s="6">
        <f>IFERROR(__xludf.DUMMYFUNCTION("""COMPUTED_VALUE"""),1.0)</f>
        <v>1</v>
      </c>
    </row>
    <row r="807">
      <c r="A807" s="6" t="str">
        <f>IFERROR(__xludf.DUMMYFUNCTION("""COMPUTED_VALUE"""),"FM2975")</f>
        <v>FM2975</v>
      </c>
      <c r="B807" s="6" t="str">
        <f>IFERROR(__xludf.DUMMYFUNCTION("""COMPUTED_VALUE"""),"RUN-COMB_2022-05-19_RFR-043")</f>
        <v>RUN-COMB_2022-05-19_RFR-043</v>
      </c>
      <c r="C807" s="7">
        <f>VLOOKUP(B807,'Run Reconcile'!A$2:B3090,2,FALSE)</f>
        <v>44700</v>
      </c>
      <c r="D807" s="11">
        <f>IFERROR(__xludf.DUMMYFUNCTION("""COMPUTED_VALUE"""),44700.0)</f>
        <v>44700</v>
      </c>
      <c r="E807" s="12">
        <f>IFERROR(__xludf.DUMMYFUNCTION("""COMPUTED_VALUE"""),0.2935995370353339)</f>
        <v>0.293599537</v>
      </c>
      <c r="F807" s="6" t="str">
        <f>IFERROR(__xludf.DUMMYFUNCTION("""COMPUTED_VALUE"""),"Negative")</f>
        <v>Negative</v>
      </c>
      <c r="G807" s="6">
        <f>IFERROR(__xludf.DUMMYFUNCTION("""COMPUTED_VALUE"""),1.0)</f>
        <v>1</v>
      </c>
    </row>
    <row r="808">
      <c r="A808" s="6" t="str">
        <f>IFERROR(__xludf.DUMMYFUNCTION("""COMPUTED_VALUE"""),"FM2912")</f>
        <v>FM2912</v>
      </c>
      <c r="B808" s="6" t="str">
        <f>IFERROR(__xludf.DUMMYFUNCTION("""COMPUTED_VALUE"""),"RUN-COMB_2022-05-20_RFR-044")</f>
        <v>RUN-COMB_2022-05-20_RFR-044</v>
      </c>
      <c r="C808" s="7">
        <f>VLOOKUP(B808,'Run Reconcile'!A$2:B3090,2,FALSE)</f>
        <v>44701</v>
      </c>
      <c r="D808" s="11">
        <f>IFERROR(__xludf.DUMMYFUNCTION("""COMPUTED_VALUE"""),44701.0)</f>
        <v>44701</v>
      </c>
      <c r="E808" s="12">
        <f>IFERROR(__xludf.DUMMYFUNCTION("""COMPUTED_VALUE"""),0.26901620370335877)</f>
        <v>0.2690162037</v>
      </c>
      <c r="F808" s="6" t="str">
        <f>IFERROR(__xludf.DUMMYFUNCTION("""COMPUTED_VALUE"""),"Negative")</f>
        <v>Negative</v>
      </c>
      <c r="G808" s="6">
        <f>IFERROR(__xludf.DUMMYFUNCTION("""COMPUTED_VALUE"""),1.0)</f>
        <v>1</v>
      </c>
    </row>
    <row r="809">
      <c r="A809" s="6" t="str">
        <f>IFERROR(__xludf.DUMMYFUNCTION("""COMPUTED_VALUE"""),"FM2950")</f>
        <v>FM2950</v>
      </c>
      <c r="B809" s="6" t="str">
        <f>IFERROR(__xludf.DUMMYFUNCTION("""COMPUTED_VALUE"""),"RUN-COMB_2022-05-20_RFR-044")</f>
        <v>RUN-COMB_2022-05-20_RFR-044</v>
      </c>
      <c r="C809" s="7">
        <f>VLOOKUP(B809,'Run Reconcile'!A$2:B3090,2,FALSE)</f>
        <v>44701</v>
      </c>
      <c r="D809" s="11">
        <f>IFERROR(__xludf.DUMMYFUNCTION("""COMPUTED_VALUE"""),44701.0)</f>
        <v>44701</v>
      </c>
      <c r="E809" s="12">
        <f>IFERROR(__xludf.DUMMYFUNCTION("""COMPUTED_VALUE"""),0.2695601851846732)</f>
        <v>0.2695601852</v>
      </c>
      <c r="F809" s="6" t="str">
        <f>IFERROR(__xludf.DUMMYFUNCTION("""COMPUTED_VALUE"""),"Negative")</f>
        <v>Negative</v>
      </c>
      <c r="G809" s="6">
        <f>IFERROR(__xludf.DUMMYFUNCTION("""COMPUTED_VALUE"""),1.0)</f>
        <v>1</v>
      </c>
    </row>
    <row r="810">
      <c r="A810" s="6" t="str">
        <f>IFERROR(__xludf.DUMMYFUNCTION("""COMPUTED_VALUE"""),"FM2959")</f>
        <v>FM2959</v>
      </c>
      <c r="B810" s="6" t="str">
        <f>IFERROR(__xludf.DUMMYFUNCTION("""COMPUTED_VALUE"""),"RUN-COMB_2022-05-20_RFR-044")</f>
        <v>RUN-COMB_2022-05-20_RFR-044</v>
      </c>
      <c r="C810" s="7">
        <f>VLOOKUP(B810,'Run Reconcile'!A$2:B3090,2,FALSE)</f>
        <v>44701</v>
      </c>
      <c r="D810" s="11">
        <f>IFERROR(__xludf.DUMMYFUNCTION("""COMPUTED_VALUE"""),44701.0)</f>
        <v>44701</v>
      </c>
      <c r="E810" s="12">
        <f>IFERROR(__xludf.DUMMYFUNCTION("""COMPUTED_VALUE"""),0.2699421296310902)</f>
        <v>0.2699421296</v>
      </c>
      <c r="F810" s="6" t="str">
        <f>IFERROR(__xludf.DUMMYFUNCTION("""COMPUTED_VALUE"""),"Negative")</f>
        <v>Negative</v>
      </c>
      <c r="G810" s="6">
        <f>IFERROR(__xludf.DUMMYFUNCTION("""COMPUTED_VALUE"""),1.0)</f>
        <v>1</v>
      </c>
    </row>
    <row r="811">
      <c r="A811" s="6" t="str">
        <f>IFERROR(__xludf.DUMMYFUNCTION("""COMPUTED_VALUE"""),"FM2964")</f>
        <v>FM2964</v>
      </c>
      <c r="B811" s="6" t="str">
        <f>IFERROR(__xludf.DUMMYFUNCTION("""COMPUTED_VALUE"""),"RUN-COMB_2022-05-20_RFR-044")</f>
        <v>RUN-COMB_2022-05-20_RFR-044</v>
      </c>
      <c r="C811" s="7">
        <f>VLOOKUP(B811,'Run Reconcile'!A$2:B3090,2,FALSE)</f>
        <v>44701</v>
      </c>
      <c r="D811" s="11">
        <f>IFERROR(__xludf.DUMMYFUNCTION("""COMPUTED_VALUE"""),44701.0)</f>
        <v>44701</v>
      </c>
      <c r="E811" s="12">
        <f>IFERROR(__xludf.DUMMYFUNCTION("""COMPUTED_VALUE"""),0.27025462963138125)</f>
        <v>0.2702546296</v>
      </c>
      <c r="F811" s="6" t="str">
        <f>IFERROR(__xludf.DUMMYFUNCTION("""COMPUTED_VALUE"""),"Negative")</f>
        <v>Negative</v>
      </c>
      <c r="G811" s="6">
        <f>IFERROR(__xludf.DUMMYFUNCTION("""COMPUTED_VALUE"""),1.0)</f>
        <v>1</v>
      </c>
    </row>
    <row r="812">
      <c r="A812" s="6" t="str">
        <f>IFERROR(__xludf.DUMMYFUNCTION("""COMPUTED_VALUE"""),"FM2938")</f>
        <v>FM2938</v>
      </c>
      <c r="B812" s="6" t="str">
        <f>IFERROR(__xludf.DUMMYFUNCTION("""COMPUTED_VALUE"""),"RUN-COMB_2022-05-20_RFR-044")</f>
        <v>RUN-COMB_2022-05-20_RFR-044</v>
      </c>
      <c r="C812" s="7">
        <f>VLOOKUP(B812,'Run Reconcile'!A$2:B3090,2,FALSE)</f>
        <v>44701</v>
      </c>
      <c r="D812" s="11">
        <f>IFERROR(__xludf.DUMMYFUNCTION("""COMPUTED_VALUE"""),44701.0)</f>
        <v>44701</v>
      </c>
      <c r="E812" s="12">
        <f>IFERROR(__xludf.DUMMYFUNCTION("""COMPUTED_VALUE"""),0.270648148147302)</f>
        <v>0.2706481481</v>
      </c>
      <c r="F812" s="6" t="str">
        <f>IFERROR(__xludf.DUMMYFUNCTION("""COMPUTED_VALUE"""),"Negative")</f>
        <v>Negative</v>
      </c>
      <c r="G812" s="6">
        <f>IFERROR(__xludf.DUMMYFUNCTION("""COMPUTED_VALUE"""),1.0)</f>
        <v>1</v>
      </c>
    </row>
    <row r="813">
      <c r="A813" s="6" t="str">
        <f>IFERROR(__xludf.DUMMYFUNCTION("""COMPUTED_VALUE"""),"FM2954")</f>
        <v>FM2954</v>
      </c>
      <c r="B813" s="6" t="str">
        <f>IFERROR(__xludf.DUMMYFUNCTION("""COMPUTED_VALUE"""),"RUN-COMB_2022-05-20_RFR-044")</f>
        <v>RUN-COMB_2022-05-20_RFR-044</v>
      </c>
      <c r="C813" s="7">
        <f>VLOOKUP(B813,'Run Reconcile'!A$2:B3090,2,FALSE)</f>
        <v>44701</v>
      </c>
      <c r="D813" s="11">
        <f>IFERROR(__xludf.DUMMYFUNCTION("""COMPUTED_VALUE"""),44701.0)</f>
        <v>44701</v>
      </c>
      <c r="E813" s="12">
        <f>IFERROR(__xludf.DUMMYFUNCTION("""COMPUTED_VALUE"""),0.27120370370539604)</f>
        <v>0.2712037037</v>
      </c>
      <c r="F813" s="6" t="str">
        <f>IFERROR(__xludf.DUMMYFUNCTION("""COMPUTED_VALUE"""),"Negative")</f>
        <v>Negative</v>
      </c>
      <c r="G813" s="6">
        <f>IFERROR(__xludf.DUMMYFUNCTION("""COMPUTED_VALUE"""),1.0)</f>
        <v>1</v>
      </c>
    </row>
    <row r="814">
      <c r="A814" s="6" t="str">
        <f>IFERROR(__xludf.DUMMYFUNCTION("""COMPUTED_VALUE"""),"FM2906")</f>
        <v>FM2906</v>
      </c>
      <c r="B814" s="6" t="str">
        <f>IFERROR(__xludf.DUMMYFUNCTION("""COMPUTED_VALUE"""),"RUN-COMB_2022-05-20_RFR-044")</f>
        <v>RUN-COMB_2022-05-20_RFR-044</v>
      </c>
      <c r="C814" s="7">
        <f>VLOOKUP(B814,'Run Reconcile'!A$2:B3090,2,FALSE)</f>
        <v>44701</v>
      </c>
      <c r="D814" s="11">
        <f>IFERROR(__xludf.DUMMYFUNCTION("""COMPUTED_VALUE"""),44701.0)</f>
        <v>44701</v>
      </c>
      <c r="E814" s="12">
        <f>IFERROR(__xludf.DUMMYFUNCTION("""COMPUTED_VALUE"""),0.27258101851839456)</f>
        <v>0.2725810185</v>
      </c>
      <c r="F814" s="6" t="str">
        <f>IFERROR(__xludf.DUMMYFUNCTION("""COMPUTED_VALUE"""),"Negative")</f>
        <v>Negative</v>
      </c>
      <c r="G814" s="6">
        <f>IFERROR(__xludf.DUMMYFUNCTION("""COMPUTED_VALUE"""),1.0)</f>
        <v>1</v>
      </c>
    </row>
    <row r="815">
      <c r="A815" s="6" t="str">
        <f>IFERROR(__xludf.DUMMYFUNCTION("""COMPUTED_VALUE"""),"FM2986")</f>
        <v>FM2986</v>
      </c>
      <c r="B815" s="6" t="str">
        <f>IFERROR(__xludf.DUMMYFUNCTION("""COMPUTED_VALUE"""),"RUN-COMB_2022-05-20_RFR-044")</f>
        <v>RUN-COMB_2022-05-20_RFR-044</v>
      </c>
      <c r="C815" s="7">
        <f>VLOOKUP(B815,'Run Reconcile'!A$2:B3090,2,FALSE)</f>
        <v>44701</v>
      </c>
      <c r="D815" s="11">
        <f>IFERROR(__xludf.DUMMYFUNCTION("""COMPUTED_VALUE"""),44701.0)</f>
        <v>44701</v>
      </c>
      <c r="E815" s="12">
        <f>IFERROR(__xludf.DUMMYFUNCTION("""COMPUTED_VALUE"""),0.27297453703795327)</f>
        <v>0.272974537</v>
      </c>
      <c r="F815" s="6" t="str">
        <f>IFERROR(__xludf.DUMMYFUNCTION("""COMPUTED_VALUE"""),"Negative")</f>
        <v>Negative</v>
      </c>
      <c r="G815" s="6">
        <f>IFERROR(__xludf.DUMMYFUNCTION("""COMPUTED_VALUE"""),1.0)</f>
        <v>1</v>
      </c>
    </row>
    <row r="816">
      <c r="A816" s="6" t="str">
        <f>IFERROR(__xludf.DUMMYFUNCTION("""COMPUTED_VALUE"""),"FM2974")</f>
        <v>FM2974</v>
      </c>
      <c r="B816" s="6" t="str">
        <f>IFERROR(__xludf.DUMMYFUNCTION("""COMPUTED_VALUE"""),"RUN-COMB_2022-05-20_RFR-044")</f>
        <v>RUN-COMB_2022-05-20_RFR-044</v>
      </c>
      <c r="C816" s="7">
        <f>VLOOKUP(B816,'Run Reconcile'!A$2:B3090,2,FALSE)</f>
        <v>44701</v>
      </c>
      <c r="D816" s="11">
        <f>IFERROR(__xludf.DUMMYFUNCTION("""COMPUTED_VALUE"""),44701.0)</f>
        <v>44701</v>
      </c>
      <c r="E816" s="12">
        <f>IFERROR(__xludf.DUMMYFUNCTION("""COMPUTED_VALUE"""),0.2734375)</f>
        <v>0.2734375</v>
      </c>
      <c r="F816" s="6" t="str">
        <f>IFERROR(__xludf.DUMMYFUNCTION("""COMPUTED_VALUE"""),"Negative")</f>
        <v>Negative</v>
      </c>
      <c r="G816" s="6">
        <f>IFERROR(__xludf.DUMMYFUNCTION("""COMPUTED_VALUE"""),1.0)</f>
        <v>1</v>
      </c>
    </row>
    <row r="817">
      <c r="A817" s="6" t="str">
        <f>IFERROR(__xludf.DUMMYFUNCTION("""COMPUTED_VALUE"""),"FM2982")</f>
        <v>FM2982</v>
      </c>
      <c r="B817" s="6" t="str">
        <f>IFERROR(__xludf.DUMMYFUNCTION("""COMPUTED_VALUE"""),"RUN-COMB_2022-05-20_RFR-044")</f>
        <v>RUN-COMB_2022-05-20_RFR-044</v>
      </c>
      <c r="C817" s="7">
        <f>VLOOKUP(B817,'Run Reconcile'!A$2:B3090,2,FALSE)</f>
        <v>44701</v>
      </c>
      <c r="D817" s="11">
        <f>IFERROR(__xludf.DUMMYFUNCTION("""COMPUTED_VALUE"""),44701.0)</f>
        <v>44701</v>
      </c>
      <c r="E817" s="12">
        <f>IFERROR(__xludf.DUMMYFUNCTION("""COMPUTED_VALUE"""),0.2739467592582514)</f>
        <v>0.2739467593</v>
      </c>
      <c r="F817" s="6" t="str">
        <f>IFERROR(__xludf.DUMMYFUNCTION("""COMPUTED_VALUE"""),"Negative")</f>
        <v>Negative</v>
      </c>
      <c r="G817" s="6">
        <f>IFERROR(__xludf.DUMMYFUNCTION("""COMPUTED_VALUE"""),1.0)</f>
        <v>1</v>
      </c>
    </row>
    <row r="818">
      <c r="A818" s="6" t="str">
        <f>IFERROR(__xludf.DUMMYFUNCTION("""COMPUTED_VALUE"""),"FM2971")</f>
        <v>FM2971</v>
      </c>
      <c r="B818" s="6" t="str">
        <f>IFERROR(__xludf.DUMMYFUNCTION("""COMPUTED_VALUE"""),"RUN-COMB_2022-05-20_RFR-044")</f>
        <v>RUN-COMB_2022-05-20_RFR-044</v>
      </c>
      <c r="C818" s="7">
        <f>VLOOKUP(B818,'Run Reconcile'!A$2:B3090,2,FALSE)</f>
        <v>44701</v>
      </c>
      <c r="D818" s="11">
        <f>IFERROR(__xludf.DUMMYFUNCTION("""COMPUTED_VALUE"""),44701.0)</f>
        <v>44701</v>
      </c>
      <c r="E818" s="12">
        <f>IFERROR(__xludf.DUMMYFUNCTION("""COMPUTED_VALUE"""),0.2762037037027767)</f>
        <v>0.2762037037</v>
      </c>
      <c r="F818" s="6" t="str">
        <f>IFERROR(__xludf.DUMMYFUNCTION("""COMPUTED_VALUE"""),"Negative")</f>
        <v>Negative</v>
      </c>
      <c r="G818" s="6">
        <f>IFERROR(__xludf.DUMMYFUNCTION("""COMPUTED_VALUE"""),1.0)</f>
        <v>1</v>
      </c>
    </row>
    <row r="819">
      <c r="A819" s="6" t="str">
        <f>IFERROR(__xludf.DUMMYFUNCTION("""COMPUTED_VALUE"""),"FM2903")</f>
        <v>FM2903</v>
      </c>
      <c r="B819" s="6" t="str">
        <f>IFERROR(__xludf.DUMMYFUNCTION("""COMPUTED_VALUE"""),"RUN-COMB_2022-05-20_RFR-044")</f>
        <v>RUN-COMB_2022-05-20_RFR-044</v>
      </c>
      <c r="C819" s="7">
        <f>VLOOKUP(B819,'Run Reconcile'!A$2:B3090,2,FALSE)</f>
        <v>44701</v>
      </c>
      <c r="D819" s="11">
        <f>IFERROR(__xludf.DUMMYFUNCTION("""COMPUTED_VALUE"""),44701.0)</f>
        <v>44701</v>
      </c>
      <c r="E819" s="12">
        <f>IFERROR(__xludf.DUMMYFUNCTION("""COMPUTED_VALUE"""),0.28229166666642413)</f>
        <v>0.2822916667</v>
      </c>
      <c r="F819" s="6" t="str">
        <f>IFERROR(__xludf.DUMMYFUNCTION("""COMPUTED_VALUE"""),"Negative")</f>
        <v>Negative</v>
      </c>
      <c r="G819" s="6">
        <f>IFERROR(__xludf.DUMMYFUNCTION("""COMPUTED_VALUE"""),1.0)</f>
        <v>1</v>
      </c>
    </row>
    <row r="820">
      <c r="A820" s="6" t="str">
        <f>IFERROR(__xludf.DUMMYFUNCTION("""COMPUTED_VALUE"""),"FM2976")</f>
        <v>FM2976</v>
      </c>
      <c r="B820" s="6" t="str">
        <f>IFERROR(__xludf.DUMMYFUNCTION("""COMPUTED_VALUE"""),"RUN-COMB_2022-05-20_RFR-044")</f>
        <v>RUN-COMB_2022-05-20_RFR-044</v>
      </c>
      <c r="C820" s="7">
        <f>VLOOKUP(B820,'Run Reconcile'!A$2:B3090,2,FALSE)</f>
        <v>44701</v>
      </c>
      <c r="D820" s="11">
        <f>IFERROR(__xludf.DUMMYFUNCTION("""COMPUTED_VALUE"""),44701.0)</f>
        <v>44701</v>
      </c>
      <c r="E820" s="12">
        <f>IFERROR(__xludf.DUMMYFUNCTION("""COMPUTED_VALUE"""),0.33533564814933925)</f>
        <v>0.3353356481</v>
      </c>
      <c r="F820" s="6" t="str">
        <f>IFERROR(__xludf.DUMMYFUNCTION("""COMPUTED_VALUE"""),"Negative")</f>
        <v>Negative</v>
      </c>
      <c r="G820" s="6">
        <f>IFERROR(__xludf.DUMMYFUNCTION("""COMPUTED_VALUE"""),1.0)</f>
        <v>1</v>
      </c>
    </row>
    <row r="821">
      <c r="A821" s="6" t="str">
        <f>IFERROR(__xludf.DUMMYFUNCTION("""COMPUTED_VALUE"""),"FM2908")</f>
        <v>FM2908</v>
      </c>
      <c r="B821" s="6" t="str">
        <f>IFERROR(__xludf.DUMMYFUNCTION("""COMPUTED_VALUE"""),"RUN-COMB_2022-05-25_RFR-045")</f>
        <v>RUN-COMB_2022-05-25_RFR-045</v>
      </c>
      <c r="C821" s="7">
        <f>VLOOKUP(B821,'Run Reconcile'!A$2:B3090,2,FALSE)</f>
        <v>44706</v>
      </c>
      <c r="D821" s="11">
        <f>IFERROR(__xludf.DUMMYFUNCTION("""COMPUTED_VALUE"""),44706.0)</f>
        <v>44706</v>
      </c>
      <c r="E821" s="12">
        <f>IFERROR(__xludf.DUMMYFUNCTION("""COMPUTED_VALUE"""),0.6869097222224809)</f>
        <v>0.6869097222</v>
      </c>
      <c r="F821" s="6" t="str">
        <f>IFERROR(__xludf.DUMMYFUNCTION("""COMPUTED_VALUE"""),"Negative")</f>
        <v>Negative</v>
      </c>
      <c r="G821" s="6">
        <f>IFERROR(__xludf.DUMMYFUNCTION("""COMPUTED_VALUE"""),1.0)</f>
        <v>1</v>
      </c>
    </row>
    <row r="822">
      <c r="A822" s="6" t="str">
        <f>IFERROR(__xludf.DUMMYFUNCTION("""COMPUTED_VALUE"""),"FM2899")</f>
        <v>FM2899</v>
      </c>
      <c r="B822" s="6" t="str">
        <f>IFERROR(__xludf.DUMMYFUNCTION("""COMPUTED_VALUE"""),"RUN-COMB_2022-05-25_RFR-045")</f>
        <v>RUN-COMB_2022-05-25_RFR-045</v>
      </c>
      <c r="C822" s="7">
        <f>VLOOKUP(B822,'Run Reconcile'!A$2:B3090,2,FALSE)</f>
        <v>44706</v>
      </c>
      <c r="D822" s="11">
        <f>IFERROR(__xludf.DUMMYFUNCTION("""COMPUTED_VALUE"""),44706.0)</f>
        <v>44706</v>
      </c>
      <c r="E822" s="12">
        <f>IFERROR(__xludf.DUMMYFUNCTION("""COMPUTED_VALUE"""),0.6896759259252576)</f>
        <v>0.6896759259</v>
      </c>
      <c r="F822" s="6" t="str">
        <f>IFERROR(__xludf.DUMMYFUNCTION("""COMPUTED_VALUE"""),"Negative")</f>
        <v>Negative</v>
      </c>
      <c r="G822" s="6">
        <f>IFERROR(__xludf.DUMMYFUNCTION("""COMPUTED_VALUE"""),1.0)</f>
        <v>1</v>
      </c>
    </row>
    <row r="823">
      <c r="A823" s="6" t="str">
        <f>IFERROR(__xludf.DUMMYFUNCTION("""COMPUTED_VALUE"""),"FM2947")</f>
        <v>FM2947</v>
      </c>
      <c r="B823" s="6" t="str">
        <f>IFERROR(__xludf.DUMMYFUNCTION("""COMPUTED_VALUE"""),"RUN-COMB_2022-05-25_RFR-045")</f>
        <v>RUN-COMB_2022-05-25_RFR-045</v>
      </c>
      <c r="C823" s="7">
        <f>VLOOKUP(B823,'Run Reconcile'!A$2:B3090,2,FALSE)</f>
        <v>44706</v>
      </c>
      <c r="D823" s="11">
        <f>IFERROR(__xludf.DUMMYFUNCTION("""COMPUTED_VALUE"""),44706.0)</f>
        <v>44706</v>
      </c>
      <c r="E823" s="12">
        <f>IFERROR(__xludf.DUMMYFUNCTION("""COMPUTED_VALUE"""),0.690081018517958)</f>
        <v>0.6900810185</v>
      </c>
      <c r="F823" s="6" t="str">
        <f>IFERROR(__xludf.DUMMYFUNCTION("""COMPUTED_VALUE"""),"Negative")</f>
        <v>Negative</v>
      </c>
      <c r="G823" s="6">
        <f>IFERROR(__xludf.DUMMYFUNCTION("""COMPUTED_VALUE"""),1.0)</f>
        <v>1</v>
      </c>
    </row>
    <row r="824">
      <c r="A824" s="6" t="str">
        <f>IFERROR(__xludf.DUMMYFUNCTION("""COMPUTED_VALUE"""),"FM2972")</f>
        <v>FM2972</v>
      </c>
      <c r="B824" s="6" t="str">
        <f>IFERROR(__xludf.DUMMYFUNCTION("""COMPUTED_VALUE"""),"RUN-COMB_2022-05-25_RFR-045")</f>
        <v>RUN-COMB_2022-05-25_RFR-045</v>
      </c>
      <c r="C824" s="7">
        <f>VLOOKUP(B824,'Run Reconcile'!A$2:B3090,2,FALSE)</f>
        <v>44706</v>
      </c>
      <c r="D824" s="11">
        <f>IFERROR(__xludf.DUMMYFUNCTION("""COMPUTED_VALUE"""),44706.0)</f>
        <v>44706</v>
      </c>
      <c r="E824" s="12">
        <f>IFERROR(__xludf.DUMMYFUNCTION("""COMPUTED_VALUE"""),0.6906018518529891)</f>
        <v>0.6906018519</v>
      </c>
      <c r="F824" s="6" t="str">
        <f>IFERROR(__xludf.DUMMYFUNCTION("""COMPUTED_VALUE"""),"Negative")</f>
        <v>Negative</v>
      </c>
      <c r="G824" s="6">
        <f>IFERROR(__xludf.DUMMYFUNCTION("""COMPUTED_VALUE"""),1.0)</f>
        <v>1</v>
      </c>
    </row>
    <row r="825">
      <c r="A825" s="6" t="str">
        <f>IFERROR(__xludf.DUMMYFUNCTION("""COMPUTED_VALUE"""),"FM2965")</f>
        <v>FM2965</v>
      </c>
      <c r="B825" s="6" t="str">
        <f>IFERROR(__xludf.DUMMYFUNCTION("""COMPUTED_VALUE"""),"RUN-COMB_2022-05-25_RFR-045")</f>
        <v>RUN-COMB_2022-05-25_RFR-045</v>
      </c>
      <c r="C825" s="7">
        <f>VLOOKUP(B825,'Run Reconcile'!A$2:B3090,2,FALSE)</f>
        <v>44706</v>
      </c>
      <c r="D825" s="11">
        <f>IFERROR(__xludf.DUMMYFUNCTION("""COMPUTED_VALUE"""),44706.0)</f>
        <v>44706</v>
      </c>
      <c r="E825" s="12">
        <f>IFERROR(__xludf.DUMMYFUNCTION("""COMPUTED_VALUE"""),0.6912152777767915)</f>
        <v>0.6912152778</v>
      </c>
      <c r="F825" s="6" t="str">
        <f>IFERROR(__xludf.DUMMYFUNCTION("""COMPUTED_VALUE"""),"Negative")</f>
        <v>Negative</v>
      </c>
      <c r="G825" s="6">
        <f>IFERROR(__xludf.DUMMYFUNCTION("""COMPUTED_VALUE"""),1.0)</f>
        <v>1</v>
      </c>
    </row>
    <row r="826">
      <c r="A826" s="6" t="str">
        <f>IFERROR(__xludf.DUMMYFUNCTION("""COMPUTED_VALUE"""),"FM2919")</f>
        <v>FM2919</v>
      </c>
      <c r="B826" s="6" t="str">
        <f>IFERROR(__xludf.DUMMYFUNCTION("""COMPUTED_VALUE"""),"RUN-COMB_2022-05-25_RFR-045")</f>
        <v>RUN-COMB_2022-05-25_RFR-045</v>
      </c>
      <c r="C826" s="7">
        <f>VLOOKUP(B826,'Run Reconcile'!A$2:B3090,2,FALSE)</f>
        <v>44706</v>
      </c>
      <c r="D826" s="11">
        <f>IFERROR(__xludf.DUMMYFUNCTION("""COMPUTED_VALUE"""),44706.0)</f>
        <v>44706</v>
      </c>
      <c r="E826" s="12">
        <f>IFERROR(__xludf.DUMMYFUNCTION("""COMPUTED_VALUE"""),0.6981597222220444)</f>
        <v>0.6981597222</v>
      </c>
      <c r="F826" s="6" t="str">
        <f>IFERROR(__xludf.DUMMYFUNCTION("""COMPUTED_VALUE"""),"Negative")</f>
        <v>Negative</v>
      </c>
      <c r="G826" s="6">
        <f>IFERROR(__xludf.DUMMYFUNCTION("""COMPUTED_VALUE"""),1.0)</f>
        <v>1</v>
      </c>
    </row>
    <row r="827">
      <c r="A827" s="6" t="str">
        <f>IFERROR(__xludf.DUMMYFUNCTION("""COMPUTED_VALUE"""),"FM3000")</f>
        <v>FM3000</v>
      </c>
      <c r="B827" s="6" t="str">
        <f>IFERROR(__xludf.DUMMYFUNCTION("""COMPUTED_VALUE"""),"RUN-COMB_2022-05-25_RFR-045")</f>
        <v>RUN-COMB_2022-05-25_RFR-045</v>
      </c>
      <c r="C827" s="7">
        <f>VLOOKUP(B827,'Run Reconcile'!A$2:B3090,2,FALSE)</f>
        <v>44706</v>
      </c>
      <c r="D827" s="11">
        <f>IFERROR(__xludf.DUMMYFUNCTION("""COMPUTED_VALUE"""),44706.0)</f>
        <v>44706</v>
      </c>
      <c r="E827" s="12">
        <f>IFERROR(__xludf.DUMMYFUNCTION("""COMPUTED_VALUE"""),0.6986805555570754)</f>
        <v>0.6986805556</v>
      </c>
      <c r="F827" s="6" t="str">
        <f>IFERROR(__xludf.DUMMYFUNCTION("""COMPUTED_VALUE"""),"Negative")</f>
        <v>Negative</v>
      </c>
      <c r="G827" s="6">
        <f>IFERROR(__xludf.DUMMYFUNCTION("""COMPUTED_VALUE"""),1.0)</f>
        <v>1</v>
      </c>
    </row>
    <row r="828">
      <c r="A828" s="6" t="str">
        <f>IFERROR(__xludf.DUMMYFUNCTION("""COMPUTED_VALUE"""),"FM2952")</f>
        <v>FM2952</v>
      </c>
      <c r="B828" s="6" t="str">
        <f>IFERROR(__xludf.DUMMYFUNCTION("""COMPUTED_VALUE"""),"RUN-COMB_2022-05-25_RFR-045")</f>
        <v>RUN-COMB_2022-05-25_RFR-045</v>
      </c>
      <c r="C828" s="7">
        <f>VLOOKUP(B828,'Run Reconcile'!A$2:B3090,2,FALSE)</f>
        <v>44706</v>
      </c>
      <c r="D828" s="11">
        <f>IFERROR(__xludf.DUMMYFUNCTION("""COMPUTED_VALUE"""),44706.0)</f>
        <v>44706</v>
      </c>
      <c r="E828" s="12">
        <f>IFERROR(__xludf.DUMMYFUNCTION("""COMPUTED_VALUE"""),0.6996064814811689)</f>
        <v>0.6996064815</v>
      </c>
      <c r="F828" s="6" t="str">
        <f>IFERROR(__xludf.DUMMYFUNCTION("""COMPUTED_VALUE"""),"Negative")</f>
        <v>Negative</v>
      </c>
      <c r="G828" s="6">
        <f>IFERROR(__xludf.DUMMYFUNCTION("""COMPUTED_VALUE"""),1.0)</f>
        <v>1</v>
      </c>
    </row>
    <row r="829">
      <c r="A829" s="6" t="str">
        <f>IFERROR(__xludf.DUMMYFUNCTION("""COMPUTED_VALUE"""),"FM2951")</f>
        <v>FM2951</v>
      </c>
      <c r="B829" s="6" t="str">
        <f>IFERROR(__xludf.DUMMYFUNCTION("""COMPUTED_VALUE"""),"RUN-COMB_2022-05-25_RFR-045")</f>
        <v>RUN-COMB_2022-05-25_RFR-045</v>
      </c>
      <c r="C829" s="7">
        <f>VLOOKUP(B829,'Run Reconcile'!A$2:B3090,2,FALSE)</f>
        <v>44706</v>
      </c>
      <c r="D829" s="11">
        <f>IFERROR(__xludf.DUMMYFUNCTION("""COMPUTED_VALUE"""),44706.0)</f>
        <v>44706</v>
      </c>
      <c r="E829" s="12">
        <f>IFERROR(__xludf.DUMMYFUNCTION("""COMPUTED_VALUE"""),0.7002430555548926)</f>
        <v>0.7002430556</v>
      </c>
      <c r="F829" s="6" t="str">
        <f>IFERROR(__xludf.DUMMYFUNCTION("""COMPUTED_VALUE"""),"Negative")</f>
        <v>Negative</v>
      </c>
      <c r="G829" s="6">
        <f>IFERROR(__xludf.DUMMYFUNCTION("""COMPUTED_VALUE"""),1.0)</f>
        <v>1</v>
      </c>
    </row>
    <row r="830">
      <c r="A830" s="6" t="str">
        <f>IFERROR(__xludf.DUMMYFUNCTION("""COMPUTED_VALUE"""),"FM2984")</f>
        <v>FM2984</v>
      </c>
      <c r="B830" s="6" t="str">
        <f>IFERROR(__xludf.DUMMYFUNCTION("""COMPUTED_VALUE"""),"RUN-COMB_2022-05-25_RFR-045")</f>
        <v>RUN-COMB_2022-05-25_RFR-045</v>
      </c>
      <c r="C830" s="7">
        <f>VLOOKUP(B830,'Run Reconcile'!A$2:B3090,2,FALSE)</f>
        <v>44706</v>
      </c>
      <c r="D830" s="11">
        <f>IFERROR(__xludf.DUMMYFUNCTION("""COMPUTED_VALUE"""),44706.0)</f>
        <v>44706</v>
      </c>
      <c r="E830" s="12">
        <f>IFERROR(__xludf.DUMMYFUNCTION("""COMPUTED_VALUE"""),0.7016898148140172)</f>
        <v>0.7016898148</v>
      </c>
      <c r="F830" s="6" t="str">
        <f>IFERROR(__xludf.DUMMYFUNCTION("""COMPUTED_VALUE"""),"Negative")</f>
        <v>Negative</v>
      </c>
      <c r="G830" s="6">
        <f>IFERROR(__xludf.DUMMYFUNCTION("""COMPUTED_VALUE"""),1.0)</f>
        <v>1</v>
      </c>
    </row>
    <row r="831">
      <c r="A831" s="6" t="str">
        <f>IFERROR(__xludf.DUMMYFUNCTION("""COMPUTED_VALUE"""),"FM2910")</f>
        <v>FM2910</v>
      </c>
      <c r="B831" s="6" t="str">
        <f>IFERROR(__xludf.DUMMYFUNCTION("""COMPUTED_VALUE"""),"RUN-COMB_2022-05-25_RFR-045")</f>
        <v>RUN-COMB_2022-05-25_RFR-045</v>
      </c>
      <c r="C831" s="7">
        <f>VLOOKUP(B831,'Run Reconcile'!A$2:B3090,2,FALSE)</f>
        <v>44706</v>
      </c>
      <c r="D831" s="11">
        <f>IFERROR(__xludf.DUMMYFUNCTION("""COMPUTED_VALUE"""),44706.0)</f>
        <v>44706</v>
      </c>
      <c r="E831" s="12">
        <f>IFERROR(__xludf.DUMMYFUNCTION("""COMPUTED_VALUE"""),0.7027430555572209)</f>
        <v>0.7027430556</v>
      </c>
      <c r="F831" s="6" t="str">
        <f>IFERROR(__xludf.DUMMYFUNCTION("""COMPUTED_VALUE"""),"Negative")</f>
        <v>Negative</v>
      </c>
      <c r="G831" s="6">
        <f>IFERROR(__xludf.DUMMYFUNCTION("""COMPUTED_VALUE"""),1.0)</f>
        <v>1</v>
      </c>
    </row>
    <row r="832">
      <c r="A832" s="6" t="str">
        <f>IFERROR(__xludf.DUMMYFUNCTION("""COMPUTED_VALUE"""),"FM2949")</f>
        <v>FM2949</v>
      </c>
      <c r="B832" s="6" t="str">
        <f>IFERROR(__xludf.DUMMYFUNCTION("""COMPUTED_VALUE"""),"RUN-COMB_2022-05-25_RFR-045")</f>
        <v>RUN-COMB_2022-05-25_RFR-045</v>
      </c>
      <c r="C832" s="7">
        <f>VLOOKUP(B832,'Run Reconcile'!A$2:B3090,2,FALSE)</f>
        <v>44706</v>
      </c>
      <c r="D832" s="11">
        <f>IFERROR(__xludf.DUMMYFUNCTION("""COMPUTED_VALUE"""),44706.0)</f>
        <v>44706</v>
      </c>
      <c r="E832" s="12">
        <f>IFERROR(__xludf.DUMMYFUNCTION("""COMPUTED_VALUE"""),0.7047106481477385)</f>
        <v>0.7047106481</v>
      </c>
      <c r="F832" s="6" t="str">
        <f>IFERROR(__xludf.DUMMYFUNCTION("""COMPUTED_VALUE"""),"Negative")</f>
        <v>Negative</v>
      </c>
      <c r="G832" s="6">
        <f>IFERROR(__xludf.DUMMYFUNCTION("""COMPUTED_VALUE"""),1.0)</f>
        <v>1</v>
      </c>
    </row>
    <row r="833">
      <c r="A833" s="6" t="str">
        <f>IFERROR(__xludf.DUMMYFUNCTION("""COMPUTED_VALUE"""),"FM2993")</f>
        <v>FM2993</v>
      </c>
      <c r="B833" s="6" t="str">
        <f>IFERROR(__xludf.DUMMYFUNCTION("""COMPUTED_VALUE"""),"RUN-COMB_2022-05-25_RFR-045")</f>
        <v>RUN-COMB_2022-05-25_RFR-045</v>
      </c>
      <c r="C833" s="7">
        <f>VLOOKUP(B833,'Run Reconcile'!A$2:B3090,2,FALSE)</f>
        <v>44706</v>
      </c>
      <c r="D833" s="11">
        <f>IFERROR(__xludf.DUMMYFUNCTION("""COMPUTED_VALUE"""),44706.0)</f>
        <v>44706</v>
      </c>
      <c r="E833" s="12">
        <f>IFERROR(__xludf.DUMMYFUNCTION("""COMPUTED_VALUE"""),0.7051041666672972)</f>
        <v>0.7051041667</v>
      </c>
      <c r="F833" s="6" t="str">
        <f>IFERROR(__xludf.DUMMYFUNCTION("""COMPUTED_VALUE"""),"Negative")</f>
        <v>Negative</v>
      </c>
      <c r="G833" s="6">
        <f>IFERROR(__xludf.DUMMYFUNCTION("""COMPUTED_VALUE"""),1.0)</f>
        <v>1</v>
      </c>
    </row>
    <row r="834">
      <c r="A834" s="6" t="str">
        <f>IFERROR(__xludf.DUMMYFUNCTION("""COMPUTED_VALUE"""),"FM2978")</f>
        <v>FM2978</v>
      </c>
      <c r="B834" s="6" t="str">
        <f>IFERROR(__xludf.DUMMYFUNCTION("""COMPUTED_VALUE"""),"RUN-COMB_2022-05-25_RFR-045")</f>
        <v>RUN-COMB_2022-05-25_RFR-045</v>
      </c>
      <c r="C834" s="7">
        <f>VLOOKUP(B834,'Run Reconcile'!A$2:B3090,2,FALSE)</f>
        <v>44706</v>
      </c>
      <c r="D834" s="11">
        <f>IFERROR(__xludf.DUMMYFUNCTION("""COMPUTED_VALUE"""),44706.0)</f>
        <v>44706</v>
      </c>
      <c r="E834" s="12">
        <f>IFERROR(__xludf.DUMMYFUNCTION("""COMPUTED_VALUE"""),0.7064583333340124)</f>
        <v>0.7064583333</v>
      </c>
      <c r="F834" s="6" t="str">
        <f>IFERROR(__xludf.DUMMYFUNCTION("""COMPUTED_VALUE"""),"Negative")</f>
        <v>Negative</v>
      </c>
      <c r="G834" s="6">
        <f>IFERROR(__xludf.DUMMYFUNCTION("""COMPUTED_VALUE"""),1.0)</f>
        <v>1</v>
      </c>
    </row>
    <row r="835">
      <c r="A835" s="6" t="str">
        <f>IFERROR(__xludf.DUMMYFUNCTION("""COMPUTED_VALUE"""),"FM2941")</f>
        <v>FM2941</v>
      </c>
      <c r="B835" s="6" t="str">
        <f>IFERROR(__xludf.DUMMYFUNCTION("""COMPUTED_VALUE"""),"RUN-COMB_2022-05-25_RFR-045")</f>
        <v>RUN-COMB_2022-05-25_RFR-045</v>
      </c>
      <c r="C835" s="7">
        <f>VLOOKUP(B835,'Run Reconcile'!A$2:B3090,2,FALSE)</f>
        <v>44706</v>
      </c>
      <c r="D835" s="11">
        <f>IFERROR(__xludf.DUMMYFUNCTION("""COMPUTED_VALUE"""),44706.0)</f>
        <v>44706</v>
      </c>
      <c r="E835" s="12">
        <f>IFERROR(__xludf.DUMMYFUNCTION("""COMPUTED_VALUE"""),0.7078240740738693)</f>
        <v>0.7078240741</v>
      </c>
      <c r="F835" s="6" t="str">
        <f>IFERROR(__xludf.DUMMYFUNCTION("""COMPUTED_VALUE"""),"Negative")</f>
        <v>Negative</v>
      </c>
      <c r="G835" s="6">
        <f>IFERROR(__xludf.DUMMYFUNCTION("""COMPUTED_VALUE"""),1.0)</f>
        <v>1</v>
      </c>
    </row>
    <row r="836">
      <c r="A836" s="6" t="str">
        <f>IFERROR(__xludf.DUMMYFUNCTION("""COMPUTED_VALUE"""),"FM2961")</f>
        <v>FM2961</v>
      </c>
      <c r="B836" s="6" t="str">
        <f>IFERROR(__xludf.DUMMYFUNCTION("""COMPUTED_VALUE"""),"RUN-COMB_2022-05-25_RFR-045")</f>
        <v>RUN-COMB_2022-05-25_RFR-045</v>
      </c>
      <c r="C836" s="7">
        <f>VLOOKUP(B836,'Run Reconcile'!A$2:B3090,2,FALSE)</f>
        <v>44706</v>
      </c>
      <c r="D836" s="11">
        <f>IFERROR(__xludf.DUMMYFUNCTION("""COMPUTED_VALUE"""),44706.0)</f>
        <v>44706</v>
      </c>
      <c r="E836" s="12">
        <f>IFERROR(__xludf.DUMMYFUNCTION("""COMPUTED_VALUE"""),0.708599537036207)</f>
        <v>0.708599537</v>
      </c>
      <c r="F836" s="6" t="str">
        <f>IFERROR(__xludf.DUMMYFUNCTION("""COMPUTED_VALUE"""),"Negative")</f>
        <v>Negative</v>
      </c>
      <c r="G836" s="6">
        <f>IFERROR(__xludf.DUMMYFUNCTION("""COMPUTED_VALUE"""),1.0)</f>
        <v>1</v>
      </c>
    </row>
    <row r="837">
      <c r="A837" s="6" t="str">
        <f>IFERROR(__xludf.DUMMYFUNCTION("""COMPUTED_VALUE"""),"FM2962")</f>
        <v>FM2962</v>
      </c>
      <c r="B837" s="6" t="str">
        <f>IFERROR(__xludf.DUMMYFUNCTION("""COMPUTED_VALUE"""),"RUN-COMB_2022-05-25_RFR-045")</f>
        <v>RUN-COMB_2022-05-25_RFR-045</v>
      </c>
      <c r="C837" s="7">
        <f>VLOOKUP(B837,'Run Reconcile'!A$2:B3090,2,FALSE)</f>
        <v>44706</v>
      </c>
      <c r="D837" s="11">
        <f>IFERROR(__xludf.DUMMYFUNCTION("""COMPUTED_VALUE"""),44706.0)</f>
        <v>44706</v>
      </c>
      <c r="E837" s="12">
        <f>IFERROR(__xludf.DUMMYFUNCTION("""COMPUTED_VALUE"""),0.7116203703699284)</f>
        <v>0.7116203704</v>
      </c>
      <c r="F837" s="6" t="str">
        <f>IFERROR(__xludf.DUMMYFUNCTION("""COMPUTED_VALUE"""),"Negative")</f>
        <v>Negative</v>
      </c>
      <c r="G837" s="6">
        <f>IFERROR(__xludf.DUMMYFUNCTION("""COMPUTED_VALUE"""),1.0)</f>
        <v>1</v>
      </c>
    </row>
    <row r="838">
      <c r="A838" s="6" t="str">
        <f>IFERROR(__xludf.DUMMYFUNCTION("""COMPUTED_VALUE"""),"FM2883")</f>
        <v>FM2883</v>
      </c>
      <c r="B838" s="6" t="str">
        <f>IFERROR(__xludf.DUMMYFUNCTION("""COMPUTED_VALUE"""),"RUN-COMB_2022-05-25_RFR-045")</f>
        <v>RUN-COMB_2022-05-25_RFR-045</v>
      </c>
      <c r="C838" s="7">
        <f>VLOOKUP(B838,'Run Reconcile'!A$2:B3090,2,FALSE)</f>
        <v>44706</v>
      </c>
      <c r="D838" s="11">
        <f>IFERROR(__xludf.DUMMYFUNCTION("""COMPUTED_VALUE"""),44706.0)</f>
        <v>44706</v>
      </c>
      <c r="E838" s="12">
        <f>IFERROR(__xludf.DUMMYFUNCTION("""COMPUTED_VALUE"""),0.7120717592588335)</f>
        <v>0.7120717593</v>
      </c>
      <c r="F838" s="6" t="str">
        <f>IFERROR(__xludf.DUMMYFUNCTION("""COMPUTED_VALUE"""),"Negative")</f>
        <v>Negative</v>
      </c>
      <c r="G838" s="6">
        <f>IFERROR(__xludf.DUMMYFUNCTION("""COMPUTED_VALUE"""),1.0)</f>
        <v>1</v>
      </c>
    </row>
    <row r="839">
      <c r="A839" s="6" t="str">
        <f>IFERROR(__xludf.DUMMYFUNCTION("""COMPUTED_VALUE"""),"FM2999")</f>
        <v>FM2999</v>
      </c>
      <c r="B839" s="6" t="str">
        <f>IFERROR(__xludf.DUMMYFUNCTION("""COMPUTED_VALUE"""),"RUN-COMB_2022-05-25_RFR-045")</f>
        <v>RUN-COMB_2022-05-25_RFR-045</v>
      </c>
      <c r="C839" s="7">
        <f>VLOOKUP(B839,'Run Reconcile'!A$2:B3090,2,FALSE)</f>
        <v>44706</v>
      </c>
      <c r="D839" s="11">
        <f>IFERROR(__xludf.DUMMYFUNCTION("""COMPUTED_VALUE"""),44706.0)</f>
        <v>44706</v>
      </c>
      <c r="E839" s="12">
        <f>IFERROR(__xludf.DUMMYFUNCTION("""COMPUTED_VALUE"""),0.7125925925938645)</f>
        <v>0.7125925926</v>
      </c>
      <c r="F839" s="6" t="str">
        <f>IFERROR(__xludf.DUMMYFUNCTION("""COMPUTED_VALUE"""),"Negative")</f>
        <v>Negative</v>
      </c>
      <c r="G839" s="6">
        <f>IFERROR(__xludf.DUMMYFUNCTION("""COMPUTED_VALUE"""),1.0)</f>
        <v>1</v>
      </c>
    </row>
    <row r="840">
      <c r="A840" s="6" t="str">
        <f>IFERROR(__xludf.DUMMYFUNCTION("""COMPUTED_VALUE"""),"FM847")</f>
        <v>FM847</v>
      </c>
      <c r="B840" s="6" t="str">
        <f>IFERROR(__xludf.DUMMYFUNCTION("""COMPUTED_VALUE"""),"RUN-COMB_2022-05-25_RFR-045")</f>
        <v>RUN-COMB_2022-05-25_RFR-045</v>
      </c>
      <c r="C840" s="7">
        <f>VLOOKUP(B840,'Run Reconcile'!A$2:B3090,2,FALSE)</f>
        <v>44706</v>
      </c>
      <c r="D840" s="11">
        <f>IFERROR(__xludf.DUMMYFUNCTION("""COMPUTED_VALUE"""),44706.0)</f>
        <v>44706</v>
      </c>
      <c r="E840" s="12">
        <f>IFERROR(__xludf.DUMMYFUNCTION("""COMPUTED_VALUE"""),0.7359375000014552)</f>
        <v>0.7359375</v>
      </c>
      <c r="F840" s="6" t="str">
        <f>IFERROR(__xludf.DUMMYFUNCTION("""COMPUTED_VALUE"""),"Negative")</f>
        <v>Negative</v>
      </c>
      <c r="G840" s="6">
        <f>IFERROR(__xludf.DUMMYFUNCTION("""COMPUTED_VALUE"""),1.0)</f>
        <v>1</v>
      </c>
    </row>
    <row r="841">
      <c r="A841" s="6" t="str">
        <f>IFERROR(__xludf.DUMMYFUNCTION("""COMPUTED_VALUE"""),"FM2996")</f>
        <v>FM2996</v>
      </c>
      <c r="B841" s="6" t="str">
        <f>IFERROR(__xludf.DUMMYFUNCTION("""COMPUTED_VALUE"""),"RUN-COMB_2022-05-25_RFR-045")</f>
        <v>RUN-COMB_2022-05-25_RFR-045</v>
      </c>
      <c r="C841" s="7">
        <f>VLOOKUP(B841,'Run Reconcile'!A$2:B3090,2,FALSE)</f>
        <v>44706</v>
      </c>
      <c r="D841" s="11">
        <f>IFERROR(__xludf.DUMMYFUNCTION("""COMPUTED_VALUE"""),44706.0)</f>
        <v>44706</v>
      </c>
      <c r="E841" s="12">
        <f>IFERROR(__xludf.DUMMYFUNCTION("""COMPUTED_VALUE"""),0.7368402777792653)</f>
        <v>0.7368402778</v>
      </c>
      <c r="F841" s="6" t="str">
        <f>IFERROR(__xludf.DUMMYFUNCTION("""COMPUTED_VALUE"""),"Negative")</f>
        <v>Negative</v>
      </c>
      <c r="G841" s="6">
        <f>IFERROR(__xludf.DUMMYFUNCTION("""COMPUTED_VALUE"""),1.0)</f>
        <v>1</v>
      </c>
    </row>
    <row r="842">
      <c r="A842" s="6" t="str">
        <f>IFERROR(__xludf.DUMMYFUNCTION("""COMPUTED_VALUE"""),"FM898")</f>
        <v>FM898</v>
      </c>
      <c r="B842" s="6" t="str">
        <f>IFERROR(__xludf.DUMMYFUNCTION("""COMPUTED_VALUE"""),"RUN-COMB_2022-05-25_RFR-045")</f>
        <v>RUN-COMB_2022-05-25_RFR-045</v>
      </c>
      <c r="C842" s="7">
        <f>VLOOKUP(B842,'Run Reconcile'!A$2:B3090,2,FALSE)</f>
        <v>44706</v>
      </c>
      <c r="D842" s="11">
        <f>IFERROR(__xludf.DUMMYFUNCTION("""COMPUTED_VALUE"""),44706.0)</f>
        <v>44706</v>
      </c>
      <c r="E842" s="12">
        <f>IFERROR(__xludf.DUMMYFUNCTION("""COMPUTED_VALUE"""),0.7391782407394203)</f>
        <v>0.7391782407</v>
      </c>
      <c r="F842" s="6" t="str">
        <f>IFERROR(__xludf.DUMMYFUNCTION("""COMPUTED_VALUE"""),"Negative")</f>
        <v>Negative</v>
      </c>
      <c r="G842" s="6">
        <f>IFERROR(__xludf.DUMMYFUNCTION("""COMPUTED_VALUE"""),1.0)</f>
        <v>1</v>
      </c>
    </row>
    <row r="843">
      <c r="A843" s="6" t="str">
        <f>IFERROR(__xludf.DUMMYFUNCTION("""COMPUTED_VALUE"""),"FM2997")</f>
        <v>FM2997</v>
      </c>
      <c r="B843" s="6" t="str">
        <f>IFERROR(__xludf.DUMMYFUNCTION("""COMPUTED_VALUE"""),"RUN-COMB_2022-05-25_RFR-045")</f>
        <v>RUN-COMB_2022-05-25_RFR-045</v>
      </c>
      <c r="C843" s="7">
        <f>VLOOKUP(B843,'Run Reconcile'!A$2:B3090,2,FALSE)</f>
        <v>44706</v>
      </c>
      <c r="D843" s="11">
        <f>IFERROR(__xludf.DUMMYFUNCTION("""COMPUTED_VALUE"""),44706.0)</f>
        <v>44706</v>
      </c>
      <c r="E843" s="12">
        <f>IFERROR(__xludf.DUMMYFUNCTION("""COMPUTED_VALUE"""),0.739814814813144)</f>
        <v>0.7398148148</v>
      </c>
      <c r="F843" s="6" t="str">
        <f>IFERROR(__xludf.DUMMYFUNCTION("""COMPUTED_VALUE"""),"Negative")</f>
        <v>Negative</v>
      </c>
      <c r="G843" s="6">
        <f>IFERROR(__xludf.DUMMYFUNCTION("""COMPUTED_VALUE"""),1.0)</f>
        <v>1</v>
      </c>
    </row>
    <row r="844">
      <c r="A844" s="6" t="str">
        <f>IFERROR(__xludf.DUMMYFUNCTION("""COMPUTED_VALUE"""),"FM2980")</f>
        <v>FM2980</v>
      </c>
      <c r="B844" s="6" t="str">
        <f>IFERROR(__xludf.DUMMYFUNCTION("""COMPUTED_VALUE"""),"RUN-COMB_2022-05-25_RFR-045")</f>
        <v>RUN-COMB_2022-05-25_RFR-045</v>
      </c>
      <c r="C844" s="7">
        <f>VLOOKUP(B844,'Run Reconcile'!A$2:B3090,2,FALSE)</f>
        <v>44706</v>
      </c>
      <c r="D844" s="11">
        <f>IFERROR(__xludf.DUMMYFUNCTION("""COMPUTED_VALUE"""),44706.0)</f>
        <v>44706</v>
      </c>
      <c r="E844" s="12">
        <f>IFERROR(__xludf.DUMMYFUNCTION("""COMPUTED_VALUE"""),0.7404166666674428)</f>
        <v>0.7404166667</v>
      </c>
      <c r="F844" s="6" t="str">
        <f>IFERROR(__xludf.DUMMYFUNCTION("""COMPUTED_VALUE"""),"Negative")</f>
        <v>Negative</v>
      </c>
      <c r="G844" s="6">
        <f>IFERROR(__xludf.DUMMYFUNCTION("""COMPUTED_VALUE"""),1.0)</f>
        <v>1</v>
      </c>
    </row>
    <row r="845">
      <c r="A845" s="6" t="str">
        <f>IFERROR(__xludf.DUMMYFUNCTION("""COMPUTED_VALUE"""),"FM2942")</f>
        <v>FM2942</v>
      </c>
      <c r="B845" s="6" t="str">
        <f>IFERROR(__xludf.DUMMYFUNCTION("""COMPUTED_VALUE"""),"RUN-COMB_2022-05-25_RFR-045")</f>
        <v>RUN-COMB_2022-05-25_RFR-045</v>
      </c>
      <c r="C845" s="7">
        <f>VLOOKUP(B845,'Run Reconcile'!A$2:B3090,2,FALSE)</f>
        <v>44706</v>
      </c>
      <c r="D845" s="11">
        <f>IFERROR(__xludf.DUMMYFUNCTION("""COMPUTED_VALUE"""),44706.0)</f>
        <v>44706</v>
      </c>
      <c r="E845" s="12">
        <f>IFERROR(__xludf.DUMMYFUNCTION("""COMPUTED_VALUE"""),0.7413078703721112)</f>
        <v>0.7413078704</v>
      </c>
      <c r="F845" s="6" t="str">
        <f>IFERROR(__xludf.DUMMYFUNCTION("""COMPUTED_VALUE"""),"Negative")</f>
        <v>Negative</v>
      </c>
      <c r="G845" s="6">
        <f>IFERROR(__xludf.DUMMYFUNCTION("""COMPUTED_VALUE"""),1.0)</f>
        <v>1</v>
      </c>
    </row>
    <row r="846">
      <c r="A846" s="6" t="str">
        <f>IFERROR(__xludf.DUMMYFUNCTION("""COMPUTED_VALUE"""),"FM2963")</f>
        <v>FM2963</v>
      </c>
      <c r="B846" s="6" t="str">
        <f>IFERROR(__xludf.DUMMYFUNCTION("""COMPUTED_VALUE"""),"RUN-COMB_2022-05-25_RFR-045")</f>
        <v>RUN-COMB_2022-05-25_RFR-045</v>
      </c>
      <c r="C846" s="7">
        <f>VLOOKUP(B846,'Run Reconcile'!A$2:B3090,2,FALSE)</f>
        <v>44706</v>
      </c>
      <c r="D846" s="11">
        <f>IFERROR(__xludf.DUMMYFUNCTION("""COMPUTED_VALUE"""),44706.0)</f>
        <v>44706</v>
      </c>
      <c r="E846" s="12">
        <f>IFERROR(__xludf.DUMMYFUNCTION("""COMPUTED_VALUE"""),0.74197916666526)</f>
        <v>0.7419791667</v>
      </c>
      <c r="F846" s="6" t="str">
        <f>IFERROR(__xludf.DUMMYFUNCTION("""COMPUTED_VALUE"""),"Negative")</f>
        <v>Negative</v>
      </c>
      <c r="G846" s="6">
        <f>IFERROR(__xludf.DUMMYFUNCTION("""COMPUTED_VALUE"""),1.0)</f>
        <v>1</v>
      </c>
    </row>
    <row r="847">
      <c r="A847" s="6" t="str">
        <f>IFERROR(__xludf.DUMMYFUNCTION("""COMPUTED_VALUE"""),"FM2979")</f>
        <v>FM2979</v>
      </c>
      <c r="B847" s="6" t="str">
        <f>IFERROR(__xludf.DUMMYFUNCTION("""COMPUTED_VALUE"""),"RUN-COMB_2022-05-25_RFR-045")</f>
        <v>RUN-COMB_2022-05-25_RFR-045</v>
      </c>
      <c r="C847" s="7">
        <f>VLOOKUP(B847,'Run Reconcile'!A$2:B3090,2,FALSE)</f>
        <v>44706</v>
      </c>
      <c r="D847" s="11">
        <f>IFERROR(__xludf.DUMMYFUNCTION("""COMPUTED_VALUE"""),44706.0)</f>
        <v>44706</v>
      </c>
      <c r="E847" s="12">
        <f>IFERROR(__xludf.DUMMYFUNCTION("""COMPUTED_VALUE"""),0.7430902777778101)</f>
        <v>0.7430902778</v>
      </c>
      <c r="F847" s="6" t="str">
        <f>IFERROR(__xludf.DUMMYFUNCTION("""COMPUTED_VALUE"""),"Negative")</f>
        <v>Negative</v>
      </c>
      <c r="G847" s="6">
        <f>IFERROR(__xludf.DUMMYFUNCTION("""COMPUTED_VALUE"""),1.0)</f>
        <v>1</v>
      </c>
    </row>
    <row r="848">
      <c r="A848" s="6" t="str">
        <f>IFERROR(__xludf.DUMMYFUNCTION("""COMPUTED_VALUE"""),"FM2956")</f>
        <v>FM2956</v>
      </c>
      <c r="B848" s="6" t="str">
        <f>IFERROR(__xludf.DUMMYFUNCTION("""COMPUTED_VALUE"""),"RUN-COMB_2022-05-25_RFR-045")</f>
        <v>RUN-COMB_2022-05-25_RFR-045</v>
      </c>
      <c r="C848" s="7">
        <f>VLOOKUP(B848,'Run Reconcile'!A$2:B3090,2,FALSE)</f>
        <v>44706</v>
      </c>
      <c r="D848" s="11">
        <f>IFERROR(__xludf.DUMMYFUNCTION("""COMPUTED_VALUE"""),44706.0)</f>
        <v>44706</v>
      </c>
      <c r="E848" s="12">
        <f>IFERROR(__xludf.DUMMYFUNCTION("""COMPUTED_VALUE"""),0.7440162037019036)</f>
        <v>0.7440162037</v>
      </c>
      <c r="F848" s="6" t="str">
        <f>IFERROR(__xludf.DUMMYFUNCTION("""COMPUTED_VALUE"""),"Negative")</f>
        <v>Negative</v>
      </c>
      <c r="G848" s="6">
        <f>IFERROR(__xludf.DUMMYFUNCTION("""COMPUTED_VALUE"""),1.0)</f>
        <v>1</v>
      </c>
    </row>
    <row r="849">
      <c r="A849" s="6" t="str">
        <f>IFERROR(__xludf.DUMMYFUNCTION("""COMPUTED_VALUE"""),"FM2948")</f>
        <v>FM2948</v>
      </c>
      <c r="B849" s="6" t="str">
        <f>IFERROR(__xludf.DUMMYFUNCTION("""COMPUTED_VALUE"""),"RUN-COMB_2022-05-25_RFR-045")</f>
        <v>RUN-COMB_2022-05-25_RFR-045</v>
      </c>
      <c r="C849" s="7">
        <f>VLOOKUP(B849,'Run Reconcile'!A$2:B3090,2,FALSE)</f>
        <v>44706</v>
      </c>
      <c r="D849" s="11">
        <f>IFERROR(__xludf.DUMMYFUNCTION("""COMPUTED_VALUE"""),44706.0)</f>
        <v>44706</v>
      </c>
      <c r="E849" s="12">
        <f>IFERROR(__xludf.DUMMYFUNCTION("""COMPUTED_VALUE"""),0.7448495370372257)</f>
        <v>0.744849537</v>
      </c>
      <c r="F849" s="6" t="str">
        <f>IFERROR(__xludf.DUMMYFUNCTION("""COMPUTED_VALUE"""),"Negative")</f>
        <v>Negative</v>
      </c>
      <c r="G849" s="6">
        <f>IFERROR(__xludf.DUMMYFUNCTION("""COMPUTED_VALUE"""),1.0)</f>
        <v>1</v>
      </c>
    </row>
    <row r="850">
      <c r="A850" s="6" t="str">
        <f>IFERROR(__xludf.DUMMYFUNCTION("""COMPUTED_VALUE"""),"FM2944")</f>
        <v>FM2944</v>
      </c>
      <c r="B850" s="6" t="str">
        <f>IFERROR(__xludf.DUMMYFUNCTION("""COMPUTED_VALUE"""),"RUN-COMB_2022-05-25_RFR-045")</f>
        <v>RUN-COMB_2022-05-25_RFR-045</v>
      </c>
      <c r="C850" s="7">
        <f>VLOOKUP(B850,'Run Reconcile'!A$2:B3090,2,FALSE)</f>
        <v>44706</v>
      </c>
      <c r="D850" s="11">
        <f>IFERROR(__xludf.DUMMYFUNCTION("""COMPUTED_VALUE"""),44706.0)</f>
        <v>44706</v>
      </c>
      <c r="E850" s="12">
        <f>IFERROR(__xludf.DUMMYFUNCTION("""COMPUTED_VALUE"""),0.7454282407416031)</f>
        <v>0.7454282407</v>
      </c>
      <c r="F850" s="6" t="str">
        <f>IFERROR(__xludf.DUMMYFUNCTION("""COMPUTED_VALUE"""),"Negative")</f>
        <v>Negative</v>
      </c>
      <c r="G850" s="6">
        <f>IFERROR(__xludf.DUMMYFUNCTION("""COMPUTED_VALUE"""),1.0)</f>
        <v>1</v>
      </c>
    </row>
    <row r="851">
      <c r="A851" s="6" t="str">
        <f>IFERROR(__xludf.DUMMYFUNCTION("""COMPUTED_VALUE"""),"FM843")</f>
        <v>FM843</v>
      </c>
      <c r="B851" s="6" t="str">
        <f>IFERROR(__xludf.DUMMYFUNCTION("""COMPUTED_VALUE"""),"RUN-COMB_2022-05-25_RFR-045")</f>
        <v>RUN-COMB_2022-05-25_RFR-045</v>
      </c>
      <c r="C851" s="7">
        <f>VLOOKUP(B851,'Run Reconcile'!A$2:B3090,2,FALSE)</f>
        <v>44706</v>
      </c>
      <c r="D851" s="11">
        <f>IFERROR(__xludf.DUMMYFUNCTION("""COMPUTED_VALUE"""),44706.0)</f>
        <v>44706</v>
      </c>
      <c r="E851" s="12">
        <f>IFERROR(__xludf.DUMMYFUNCTION("""COMPUTED_VALUE"""),0.7499768518500787)</f>
        <v>0.7499768519</v>
      </c>
      <c r="F851" s="6" t="str">
        <f>IFERROR(__xludf.DUMMYFUNCTION("""COMPUTED_VALUE"""),"Negative")</f>
        <v>Negative</v>
      </c>
      <c r="G851" s="6">
        <f>IFERROR(__xludf.DUMMYFUNCTION("""COMPUTED_VALUE"""),1.0)</f>
        <v>1</v>
      </c>
    </row>
    <row r="852">
      <c r="A852" s="6" t="str">
        <f>IFERROR(__xludf.DUMMYFUNCTION("""COMPUTED_VALUE"""),"FM1958")</f>
        <v>FM1958</v>
      </c>
      <c r="B852" s="6" t="str">
        <f>IFERROR(__xludf.DUMMYFUNCTION("""COMPUTED_VALUE"""),"RUN-COMB_2022-05-25_RFR-045")</f>
        <v>RUN-COMB_2022-05-25_RFR-045</v>
      </c>
      <c r="C852" s="7">
        <f>VLOOKUP(B852,'Run Reconcile'!A$2:B3090,2,FALSE)</f>
        <v>44706</v>
      </c>
      <c r="D852" s="11">
        <f>IFERROR(__xludf.DUMMYFUNCTION("""COMPUTED_VALUE"""),44706.0)</f>
        <v>44706</v>
      </c>
      <c r="E852" s="12">
        <f>IFERROR(__xludf.DUMMYFUNCTION("""COMPUTED_VALUE"""),0.8111689814832062)</f>
        <v>0.8111689815</v>
      </c>
      <c r="F852" s="6" t="str">
        <f>IFERROR(__xludf.DUMMYFUNCTION("""COMPUTED_VALUE"""),"Negative")</f>
        <v>Negative</v>
      </c>
      <c r="G852" s="6">
        <f>IFERROR(__xludf.DUMMYFUNCTION("""COMPUTED_VALUE"""),1.0)</f>
        <v>1</v>
      </c>
    </row>
    <row r="853">
      <c r="A853" s="6" t="str">
        <f>IFERROR(__xludf.DUMMYFUNCTION("""COMPUTED_VALUE"""),"FM1972")</f>
        <v>FM1972</v>
      </c>
      <c r="B853" s="6" t="str">
        <f>IFERROR(__xludf.DUMMYFUNCTION("""COMPUTED_VALUE"""),"RUN-COMB_2022-05-26_RFR-047")</f>
        <v>RUN-COMB_2022-05-26_RFR-047</v>
      </c>
      <c r="C853" s="7">
        <f>VLOOKUP(B853,'Run Reconcile'!A$2:B3090,2,FALSE)</f>
        <v>44707</v>
      </c>
      <c r="D853" s="11">
        <f>IFERROR(__xludf.DUMMYFUNCTION("""COMPUTED_VALUE"""),44707.0)</f>
        <v>44707</v>
      </c>
      <c r="E853" s="12">
        <f>IFERROR(__xludf.DUMMYFUNCTION("""COMPUTED_VALUE"""),0.2644212962950405)</f>
        <v>0.2644212963</v>
      </c>
      <c r="F853" s="6" t="str">
        <f>IFERROR(__xludf.DUMMYFUNCTION("""COMPUTED_VALUE"""),"Negative")</f>
        <v>Negative</v>
      </c>
      <c r="G853" s="6">
        <f>IFERROR(__xludf.DUMMYFUNCTION("""COMPUTED_VALUE"""),1.0)</f>
        <v>1</v>
      </c>
    </row>
    <row r="854">
      <c r="A854" s="6" t="str">
        <f>IFERROR(__xludf.DUMMYFUNCTION("""COMPUTED_VALUE"""),"FM849")</f>
        <v>FM849</v>
      </c>
      <c r="B854" s="6" t="str">
        <f>IFERROR(__xludf.DUMMYFUNCTION("""COMPUTED_VALUE"""),"RUN-COMB_2022-05-26_RFR-047")</f>
        <v>RUN-COMB_2022-05-26_RFR-047</v>
      </c>
      <c r="C854" s="7">
        <f>VLOOKUP(B854,'Run Reconcile'!A$2:B3090,2,FALSE)</f>
        <v>44707</v>
      </c>
      <c r="D854" s="11">
        <f>IFERROR(__xludf.DUMMYFUNCTION("""COMPUTED_VALUE"""),44707.0)</f>
        <v>44707</v>
      </c>
      <c r="E854" s="12">
        <f>IFERROR(__xludf.DUMMYFUNCTION("""COMPUTED_VALUE"""),0.26483796296452056)</f>
        <v>0.264837963</v>
      </c>
      <c r="F854" s="6" t="str">
        <f>IFERROR(__xludf.DUMMYFUNCTION("""COMPUTED_VALUE"""),"Negative")</f>
        <v>Negative</v>
      </c>
      <c r="G854" s="6">
        <f>IFERROR(__xludf.DUMMYFUNCTION("""COMPUTED_VALUE"""),1.0)</f>
        <v>1</v>
      </c>
    </row>
    <row r="855">
      <c r="A855" s="6" t="str">
        <f>IFERROR(__xludf.DUMMYFUNCTION("""COMPUTED_VALUE"""),"FM864")</f>
        <v>FM864</v>
      </c>
      <c r="B855" s="6" t="str">
        <f>IFERROR(__xludf.DUMMYFUNCTION("""COMPUTED_VALUE"""),"RUN-COMB_2022-05-26_RFR-047")</f>
        <v>RUN-COMB_2022-05-26_RFR-047</v>
      </c>
      <c r="C855" s="7">
        <f>VLOOKUP(B855,'Run Reconcile'!A$2:B3090,2,FALSE)</f>
        <v>44707</v>
      </c>
      <c r="D855" s="11">
        <f>IFERROR(__xludf.DUMMYFUNCTION("""COMPUTED_VALUE"""),44707.0)</f>
        <v>44707</v>
      </c>
      <c r="E855" s="12">
        <f>IFERROR(__xludf.DUMMYFUNCTION("""COMPUTED_VALUE"""),0.2663888888891961)</f>
        <v>0.2663888889</v>
      </c>
      <c r="F855" s="6" t="str">
        <f>IFERROR(__xludf.DUMMYFUNCTION("""COMPUTED_VALUE"""),"Negative")</f>
        <v>Negative</v>
      </c>
      <c r="G855" s="6">
        <f>IFERROR(__xludf.DUMMYFUNCTION("""COMPUTED_VALUE"""),1.0)</f>
        <v>1</v>
      </c>
    </row>
    <row r="856">
      <c r="A856" s="6" t="str">
        <f>IFERROR(__xludf.DUMMYFUNCTION("""COMPUTED_VALUE"""),"FM869")</f>
        <v>FM869</v>
      </c>
      <c r="B856" s="6" t="str">
        <f>IFERROR(__xludf.DUMMYFUNCTION("""COMPUTED_VALUE"""),"RUN-COMB_2022-05-26_RFR-047")</f>
        <v>RUN-COMB_2022-05-26_RFR-047</v>
      </c>
      <c r="C856" s="7">
        <f>VLOOKUP(B856,'Run Reconcile'!A$2:B3090,2,FALSE)</f>
        <v>44707</v>
      </c>
      <c r="D856" s="11">
        <f>IFERROR(__xludf.DUMMYFUNCTION("""COMPUTED_VALUE"""),44707.0)</f>
        <v>44707</v>
      </c>
      <c r="E856" s="12">
        <f>IFERROR(__xludf.DUMMYFUNCTION("""COMPUTED_VALUE"""),0.2667476851856918)</f>
        <v>0.2667476852</v>
      </c>
      <c r="F856" s="6" t="str">
        <f>IFERROR(__xludf.DUMMYFUNCTION("""COMPUTED_VALUE"""),"Negative")</f>
        <v>Negative</v>
      </c>
      <c r="G856" s="6">
        <f>IFERROR(__xludf.DUMMYFUNCTION("""COMPUTED_VALUE"""),1.0)</f>
        <v>1</v>
      </c>
    </row>
    <row r="857">
      <c r="A857" s="6" t="str">
        <f>IFERROR(__xludf.DUMMYFUNCTION("""COMPUTED_VALUE"""),"FM1936")</f>
        <v>FM1936</v>
      </c>
      <c r="B857" s="6" t="str">
        <f>IFERROR(__xludf.DUMMYFUNCTION("""COMPUTED_VALUE"""),"RUN-COMB_2022-05-26_RFR-047")</f>
        <v>RUN-COMB_2022-05-26_RFR-047</v>
      </c>
      <c r="C857" s="7">
        <f>VLOOKUP(B857,'Run Reconcile'!A$2:B3090,2,FALSE)</f>
        <v>44707</v>
      </c>
      <c r="D857" s="11">
        <f>IFERROR(__xludf.DUMMYFUNCTION("""COMPUTED_VALUE"""),44707.0)</f>
        <v>44707</v>
      </c>
      <c r="E857" s="12">
        <f>IFERROR(__xludf.DUMMYFUNCTION("""COMPUTED_VALUE"""),0.26712962962847087)</f>
        <v>0.2671296296</v>
      </c>
      <c r="F857" s="6" t="str">
        <f>IFERROR(__xludf.DUMMYFUNCTION("""COMPUTED_VALUE"""),"Negative")</f>
        <v>Negative</v>
      </c>
      <c r="G857" s="6">
        <f>IFERROR(__xludf.DUMMYFUNCTION("""COMPUTED_VALUE"""),1.0)</f>
        <v>1</v>
      </c>
    </row>
    <row r="858">
      <c r="A858" s="6" t="str">
        <f>IFERROR(__xludf.DUMMYFUNCTION("""COMPUTED_VALUE"""),"FM862")</f>
        <v>FM862</v>
      </c>
      <c r="B858" s="6" t="str">
        <f>IFERROR(__xludf.DUMMYFUNCTION("""COMPUTED_VALUE"""),"RUN-COMB_2022-05-26_RFR-047")</f>
        <v>RUN-COMB_2022-05-26_RFR-047</v>
      </c>
      <c r="C858" s="7">
        <f>VLOOKUP(B858,'Run Reconcile'!A$2:B3090,2,FALSE)</f>
        <v>44707</v>
      </c>
      <c r="D858" s="11">
        <f>IFERROR(__xludf.DUMMYFUNCTION("""COMPUTED_VALUE"""),44707.0)</f>
        <v>44707</v>
      </c>
      <c r="E858" s="12">
        <f>IFERROR(__xludf.DUMMYFUNCTION("""COMPUTED_VALUE"""),0.26750000000174623)</f>
        <v>0.2675</v>
      </c>
      <c r="F858" s="6" t="str">
        <f>IFERROR(__xludf.DUMMYFUNCTION("""COMPUTED_VALUE"""),"Negative")</f>
        <v>Negative</v>
      </c>
      <c r="G858" s="6">
        <f>IFERROR(__xludf.DUMMYFUNCTION("""COMPUTED_VALUE"""),1.0)</f>
        <v>1</v>
      </c>
    </row>
    <row r="859">
      <c r="A859" s="6" t="str">
        <f>IFERROR(__xludf.DUMMYFUNCTION("""COMPUTED_VALUE"""),"FM1955")</f>
        <v>FM1955</v>
      </c>
      <c r="B859" s="6" t="str">
        <f>IFERROR(__xludf.DUMMYFUNCTION("""COMPUTED_VALUE"""),"RUN-COMB_2022-05-26_RFR-047")</f>
        <v>RUN-COMB_2022-05-26_RFR-047</v>
      </c>
      <c r="C859" s="7">
        <f>VLOOKUP(B859,'Run Reconcile'!A$2:B3090,2,FALSE)</f>
        <v>44707</v>
      </c>
      <c r="D859" s="11">
        <f>IFERROR(__xludf.DUMMYFUNCTION("""COMPUTED_VALUE"""),44707.0)</f>
        <v>44707</v>
      </c>
      <c r="E859" s="12">
        <f>IFERROR(__xludf.DUMMYFUNCTION("""COMPUTED_VALUE"""),0.2680208333331393)</f>
        <v>0.2680208333</v>
      </c>
      <c r="F859" s="6" t="str">
        <f>IFERROR(__xludf.DUMMYFUNCTION("""COMPUTED_VALUE"""),"Negative")</f>
        <v>Negative</v>
      </c>
      <c r="G859" s="6">
        <f>IFERROR(__xludf.DUMMYFUNCTION("""COMPUTED_VALUE"""),1.0)</f>
        <v>1</v>
      </c>
    </row>
    <row r="860">
      <c r="A860" s="6" t="str">
        <f>IFERROR(__xludf.DUMMYFUNCTION("""COMPUTED_VALUE"""),"FM867")</f>
        <v>FM867</v>
      </c>
      <c r="B860" s="6" t="str">
        <f>IFERROR(__xludf.DUMMYFUNCTION("""COMPUTED_VALUE"""),"RUN-COMB_2022-05-26_RFR-047")</f>
        <v>RUN-COMB_2022-05-26_RFR-047</v>
      </c>
      <c r="C860" s="7">
        <f>VLOOKUP(B860,'Run Reconcile'!A$2:B3090,2,FALSE)</f>
        <v>44707</v>
      </c>
      <c r="D860" s="11">
        <f>IFERROR(__xludf.DUMMYFUNCTION("""COMPUTED_VALUE"""),44707.0)</f>
        <v>44707</v>
      </c>
      <c r="E860" s="12">
        <f>IFERROR(__xludf.DUMMYFUNCTION("""COMPUTED_VALUE"""),0.2684606481489027)</f>
        <v>0.2684606481</v>
      </c>
      <c r="F860" s="6" t="str">
        <f>IFERROR(__xludf.DUMMYFUNCTION("""COMPUTED_VALUE"""),"Negative")</f>
        <v>Negative</v>
      </c>
      <c r="G860" s="6">
        <f>IFERROR(__xludf.DUMMYFUNCTION("""COMPUTED_VALUE"""),1.0)</f>
        <v>1</v>
      </c>
    </row>
    <row r="861">
      <c r="A861" s="6" t="str">
        <f>IFERROR(__xludf.DUMMYFUNCTION("""COMPUTED_VALUE"""),"FM873")</f>
        <v>FM873</v>
      </c>
      <c r="B861" s="6" t="str">
        <f>IFERROR(__xludf.DUMMYFUNCTION("""COMPUTED_VALUE"""),"RUN-COMB_2022-05-26_RFR-047")</f>
        <v>RUN-COMB_2022-05-26_RFR-047</v>
      </c>
      <c r="C861" s="7">
        <f>VLOOKUP(B861,'Run Reconcile'!A$2:B3090,2,FALSE)</f>
        <v>44707</v>
      </c>
      <c r="D861" s="11">
        <f>IFERROR(__xludf.DUMMYFUNCTION("""COMPUTED_VALUE"""),44707.0)</f>
        <v>44707</v>
      </c>
      <c r="E861" s="12">
        <f>IFERROR(__xludf.DUMMYFUNCTION("""COMPUTED_VALUE"""),0.2693749999998545)</f>
        <v>0.269375</v>
      </c>
      <c r="F861" s="6" t="str">
        <f>IFERROR(__xludf.DUMMYFUNCTION("""COMPUTED_VALUE"""),"Negative")</f>
        <v>Negative</v>
      </c>
      <c r="G861" s="6">
        <f>IFERROR(__xludf.DUMMYFUNCTION("""COMPUTED_VALUE"""),1.0)</f>
        <v>1</v>
      </c>
    </row>
    <row r="862">
      <c r="A862" s="6" t="str">
        <f>IFERROR(__xludf.DUMMYFUNCTION("""COMPUTED_VALUE"""),"FM1979")</f>
        <v>FM1979</v>
      </c>
      <c r="B862" s="6" t="str">
        <f>IFERROR(__xludf.DUMMYFUNCTION("""COMPUTED_VALUE"""),"RUN-COMB_2022-05-26_RFR-047")</f>
        <v>RUN-COMB_2022-05-26_RFR-047</v>
      </c>
      <c r="C862" s="7">
        <f>VLOOKUP(B862,'Run Reconcile'!A$2:B3090,2,FALSE)</f>
        <v>44707</v>
      </c>
      <c r="D862" s="11">
        <f>IFERROR(__xludf.DUMMYFUNCTION("""COMPUTED_VALUE"""),44707.0)</f>
        <v>44707</v>
      </c>
      <c r="E862" s="12">
        <f>IFERROR(__xludf.DUMMYFUNCTION("""COMPUTED_VALUE"""),0.26974537036949187)</f>
        <v>0.2697453704</v>
      </c>
      <c r="F862" s="6" t="str">
        <f>IFERROR(__xludf.DUMMYFUNCTION("""COMPUTED_VALUE"""),"Negative")</f>
        <v>Negative</v>
      </c>
      <c r="G862" s="6">
        <f>IFERROR(__xludf.DUMMYFUNCTION("""COMPUTED_VALUE"""),1.0)</f>
        <v>1</v>
      </c>
    </row>
    <row r="863">
      <c r="A863" s="6" t="str">
        <f>IFERROR(__xludf.DUMMYFUNCTION("""COMPUTED_VALUE"""),"FM876")</f>
        <v>FM876</v>
      </c>
      <c r="B863" s="6" t="str">
        <f>IFERROR(__xludf.DUMMYFUNCTION("""COMPUTED_VALUE"""),"RUN-COMB_2022-05-26_RFR-047")</f>
        <v>RUN-COMB_2022-05-26_RFR-047</v>
      </c>
      <c r="C863" s="7">
        <f>VLOOKUP(B863,'Run Reconcile'!A$2:B3090,2,FALSE)</f>
        <v>44707</v>
      </c>
      <c r="D863" s="11">
        <f>IFERROR(__xludf.DUMMYFUNCTION("""COMPUTED_VALUE"""),44707.0)</f>
        <v>44707</v>
      </c>
      <c r="E863" s="12">
        <f>IFERROR(__xludf.DUMMYFUNCTION("""COMPUTED_VALUE"""),0.2701620370353339)</f>
        <v>0.270162037</v>
      </c>
      <c r="F863" s="6" t="str">
        <f>IFERROR(__xludf.DUMMYFUNCTION("""COMPUTED_VALUE"""),"Negative")</f>
        <v>Negative</v>
      </c>
      <c r="G863" s="6">
        <f>IFERROR(__xludf.DUMMYFUNCTION("""COMPUTED_VALUE"""),1.0)</f>
        <v>1</v>
      </c>
    </row>
    <row r="864">
      <c r="A864" s="6" t="str">
        <f>IFERROR(__xludf.DUMMYFUNCTION("""COMPUTED_VALUE"""),"FM842")</f>
        <v>FM842</v>
      </c>
      <c r="B864" s="6" t="str">
        <f>IFERROR(__xludf.DUMMYFUNCTION("""COMPUTED_VALUE"""),"RUN-COMB_2022-05-26_RFR-047")</f>
        <v>RUN-COMB_2022-05-26_RFR-047</v>
      </c>
      <c r="C864" s="7">
        <f>VLOOKUP(B864,'Run Reconcile'!A$2:B3090,2,FALSE)</f>
        <v>44707</v>
      </c>
      <c r="D864" s="11">
        <f>IFERROR(__xludf.DUMMYFUNCTION("""COMPUTED_VALUE"""),44707.0)</f>
        <v>44707</v>
      </c>
      <c r="E864" s="12">
        <f>IFERROR(__xludf.DUMMYFUNCTION("""COMPUTED_VALUE"""),0.27196759259095415)</f>
        <v>0.2719675926</v>
      </c>
      <c r="F864" s="6" t="str">
        <f>IFERROR(__xludf.DUMMYFUNCTION("""COMPUTED_VALUE"""),"Negative")</f>
        <v>Negative</v>
      </c>
      <c r="G864" s="6">
        <f>IFERROR(__xludf.DUMMYFUNCTION("""COMPUTED_VALUE"""),1.0)</f>
        <v>1</v>
      </c>
    </row>
    <row r="865">
      <c r="A865" s="6" t="str">
        <f>IFERROR(__xludf.DUMMYFUNCTION("""COMPUTED_VALUE"""),"FM856")</f>
        <v>FM856</v>
      </c>
      <c r="B865" s="6" t="str">
        <f>IFERROR(__xludf.DUMMYFUNCTION("""COMPUTED_VALUE"""),"RUN-COMB_2022-05-26_RFR-047")</f>
        <v>RUN-COMB_2022-05-26_RFR-047</v>
      </c>
      <c r="C865" s="7">
        <f>VLOOKUP(B865,'Run Reconcile'!A$2:B3090,2,FALSE)</f>
        <v>44707</v>
      </c>
      <c r="D865" s="11">
        <f>IFERROR(__xludf.DUMMYFUNCTION("""COMPUTED_VALUE"""),44707.0)</f>
        <v>44707</v>
      </c>
      <c r="E865" s="12">
        <f>IFERROR(__xludf.DUMMYFUNCTION("""COMPUTED_VALUE"""),0.2750000000014552)</f>
        <v>0.275</v>
      </c>
      <c r="F865" s="6" t="str">
        <f>IFERROR(__xludf.DUMMYFUNCTION("""COMPUTED_VALUE"""),"Negative")</f>
        <v>Negative</v>
      </c>
      <c r="G865" s="6">
        <f>IFERROR(__xludf.DUMMYFUNCTION("""COMPUTED_VALUE"""),1.0)</f>
        <v>1</v>
      </c>
    </row>
    <row r="866">
      <c r="A866" s="6" t="str">
        <f>IFERROR(__xludf.DUMMYFUNCTION("""COMPUTED_VALUE"""),"FM1975")</f>
        <v>FM1975</v>
      </c>
      <c r="B866" s="6" t="str">
        <f>IFERROR(__xludf.DUMMYFUNCTION("""COMPUTED_VALUE"""),"RUN-COMB_2022-05-26_RFR-047")</f>
        <v>RUN-COMB_2022-05-26_RFR-047</v>
      </c>
      <c r="C866" s="7">
        <f>VLOOKUP(B866,'Run Reconcile'!A$2:B3090,2,FALSE)</f>
        <v>44707</v>
      </c>
      <c r="D866" s="11">
        <f>IFERROR(__xludf.DUMMYFUNCTION("""COMPUTED_VALUE"""),44707.0)</f>
        <v>44707</v>
      </c>
      <c r="E866" s="12">
        <f>IFERROR(__xludf.DUMMYFUNCTION("""COMPUTED_VALUE"""),0.2754976851865649)</f>
        <v>0.2754976852</v>
      </c>
      <c r="F866" s="6" t="str">
        <f>IFERROR(__xludf.DUMMYFUNCTION("""COMPUTED_VALUE"""),"Negative")</f>
        <v>Negative</v>
      </c>
      <c r="G866" s="6">
        <f>IFERROR(__xludf.DUMMYFUNCTION("""COMPUTED_VALUE"""),1.0)</f>
        <v>1</v>
      </c>
    </row>
    <row r="867">
      <c r="A867" s="6" t="str">
        <f>IFERROR(__xludf.DUMMYFUNCTION("""COMPUTED_VALUE"""),"FM1943")</f>
        <v>FM1943</v>
      </c>
      <c r="B867" s="6" t="str">
        <f>IFERROR(__xludf.DUMMYFUNCTION("""COMPUTED_VALUE"""),"RUN-COMB_2022-05-26_RFR-047")</f>
        <v>RUN-COMB_2022-05-26_RFR-047</v>
      </c>
      <c r="C867" s="7">
        <f>VLOOKUP(B867,'Run Reconcile'!A$2:B3090,2,FALSE)</f>
        <v>44707</v>
      </c>
      <c r="D867" s="11">
        <f>IFERROR(__xludf.DUMMYFUNCTION("""COMPUTED_VALUE"""),44707.0)</f>
        <v>44707</v>
      </c>
      <c r="E867" s="12">
        <f>IFERROR(__xludf.DUMMYFUNCTION("""COMPUTED_VALUE"""),0.2797222222216078)</f>
        <v>0.2797222222</v>
      </c>
      <c r="F867" s="6" t="str">
        <f>IFERROR(__xludf.DUMMYFUNCTION("""COMPUTED_VALUE"""),"Negative")</f>
        <v>Negative</v>
      </c>
      <c r="G867" s="6">
        <f>IFERROR(__xludf.DUMMYFUNCTION("""COMPUTED_VALUE"""),1.0)</f>
        <v>1</v>
      </c>
    </row>
    <row r="868">
      <c r="A868" s="6" t="str">
        <f>IFERROR(__xludf.DUMMYFUNCTION("""COMPUTED_VALUE"""),"FM852")</f>
        <v>FM852</v>
      </c>
      <c r="B868" s="6" t="str">
        <f>IFERROR(__xludf.DUMMYFUNCTION("""COMPUTED_VALUE"""),"RUN-COMB_2022-05-26_RFR-047")</f>
        <v>RUN-COMB_2022-05-26_RFR-047</v>
      </c>
      <c r="C868" s="7">
        <f>VLOOKUP(B868,'Run Reconcile'!A$2:B3090,2,FALSE)</f>
        <v>44707</v>
      </c>
      <c r="D868" s="11">
        <f>IFERROR(__xludf.DUMMYFUNCTION("""COMPUTED_VALUE"""),44707.0)</f>
        <v>44707</v>
      </c>
      <c r="E868" s="12">
        <f>IFERROR(__xludf.DUMMYFUNCTION("""COMPUTED_VALUE"""),0.2801273148143082)</f>
        <v>0.2801273148</v>
      </c>
      <c r="F868" s="6" t="str">
        <f>IFERROR(__xludf.DUMMYFUNCTION("""COMPUTED_VALUE"""),"Negative")</f>
        <v>Negative</v>
      </c>
      <c r="G868" s="6">
        <f>IFERROR(__xludf.DUMMYFUNCTION("""COMPUTED_VALUE"""),1.0)</f>
        <v>1</v>
      </c>
    </row>
    <row r="869">
      <c r="A869" s="6" t="str">
        <f>IFERROR(__xludf.DUMMYFUNCTION("""COMPUTED_VALUE"""),"FM1947")</f>
        <v>FM1947</v>
      </c>
      <c r="B869" s="6" t="str">
        <f>IFERROR(__xludf.DUMMYFUNCTION("""COMPUTED_VALUE"""),"RUN-COMB_2022-05-26_RFR-047")</f>
        <v>RUN-COMB_2022-05-26_RFR-047</v>
      </c>
      <c r="C869" s="7">
        <f>VLOOKUP(B869,'Run Reconcile'!A$2:B3090,2,FALSE)</f>
        <v>44707</v>
      </c>
      <c r="D869" s="11">
        <f>IFERROR(__xludf.DUMMYFUNCTION("""COMPUTED_VALUE"""),44707.0)</f>
        <v>44707</v>
      </c>
      <c r="E869" s="12">
        <f>IFERROR(__xludf.DUMMYFUNCTION("""COMPUTED_VALUE"""),0.2805324074070086)</f>
        <v>0.2805324074</v>
      </c>
      <c r="F869" s="6" t="str">
        <f>IFERROR(__xludf.DUMMYFUNCTION("""COMPUTED_VALUE"""),"Negative")</f>
        <v>Negative</v>
      </c>
      <c r="G869" s="6">
        <f>IFERROR(__xludf.DUMMYFUNCTION("""COMPUTED_VALUE"""),1.0)</f>
        <v>1</v>
      </c>
    </row>
    <row r="870">
      <c r="A870" s="6" t="str">
        <f>IFERROR(__xludf.DUMMYFUNCTION("""COMPUTED_VALUE"""),"FM1935")</f>
        <v>FM1935</v>
      </c>
      <c r="B870" s="6" t="str">
        <f>IFERROR(__xludf.DUMMYFUNCTION("""COMPUTED_VALUE"""),"RUN-COMB_2022-05-26_RFR-047")</f>
        <v>RUN-COMB_2022-05-26_RFR-047</v>
      </c>
      <c r="C870" s="7">
        <f>VLOOKUP(B870,'Run Reconcile'!A$2:B3090,2,FALSE)</f>
        <v>44707</v>
      </c>
      <c r="D870" s="11">
        <f>IFERROR(__xludf.DUMMYFUNCTION("""COMPUTED_VALUE"""),44707.0)</f>
        <v>44707</v>
      </c>
      <c r="E870" s="12">
        <f>IFERROR(__xludf.DUMMYFUNCTION("""COMPUTED_VALUE"""),0.28097222222277196)</f>
        <v>0.2809722222</v>
      </c>
      <c r="F870" s="6" t="str">
        <f>IFERROR(__xludf.DUMMYFUNCTION("""COMPUTED_VALUE"""),"Negative")</f>
        <v>Negative</v>
      </c>
      <c r="G870" s="6">
        <f>IFERROR(__xludf.DUMMYFUNCTION("""COMPUTED_VALUE"""),1.0)</f>
        <v>1</v>
      </c>
    </row>
    <row r="871">
      <c r="A871" s="6" t="str">
        <f>IFERROR(__xludf.DUMMYFUNCTION("""COMPUTED_VALUE"""),"FM858")</f>
        <v>FM858</v>
      </c>
      <c r="B871" s="6" t="str">
        <f>IFERROR(__xludf.DUMMYFUNCTION("""COMPUTED_VALUE"""),"RUN-COMB_2022-05-26_RFR-047")</f>
        <v>RUN-COMB_2022-05-26_RFR-047</v>
      </c>
      <c r="C871" s="7">
        <f>VLOOKUP(B871,'Run Reconcile'!A$2:B3090,2,FALSE)</f>
        <v>44707</v>
      </c>
      <c r="D871" s="11">
        <f>IFERROR(__xludf.DUMMYFUNCTION("""COMPUTED_VALUE"""),44707.0)</f>
        <v>44707</v>
      </c>
      <c r="E871" s="12">
        <f>IFERROR(__xludf.DUMMYFUNCTION("""COMPUTED_VALUE"""),0.302280092593719)</f>
        <v>0.3022800926</v>
      </c>
      <c r="F871" s="6" t="str">
        <f>IFERROR(__xludf.DUMMYFUNCTION("""COMPUTED_VALUE"""),"Negative")</f>
        <v>Negative</v>
      </c>
      <c r="G871" s="6">
        <f>IFERROR(__xludf.DUMMYFUNCTION("""COMPUTED_VALUE"""),1.0)</f>
        <v>1</v>
      </c>
    </row>
    <row r="872">
      <c r="A872" s="6" t="str">
        <f>IFERROR(__xludf.DUMMYFUNCTION("""COMPUTED_VALUE"""),"FM879")</f>
        <v>FM879</v>
      </c>
      <c r="B872" s="6" t="str">
        <f>IFERROR(__xludf.DUMMYFUNCTION("""COMPUTED_VALUE"""),"RUN-COMB_2022-05-27_RFR-048")</f>
        <v>RUN-COMB_2022-05-27_RFR-048</v>
      </c>
      <c r="C872" s="7">
        <f>VLOOKUP(B872,'Run Reconcile'!A$2:B3090,2,FALSE)</f>
        <v>44708</v>
      </c>
      <c r="D872" s="11">
        <f>IFERROR(__xludf.DUMMYFUNCTION("""COMPUTED_VALUE"""),44708.0)</f>
        <v>44708</v>
      </c>
      <c r="E872" s="12">
        <f>IFERROR(__xludf.DUMMYFUNCTION("""COMPUTED_VALUE"""),0.2617361111115315)</f>
        <v>0.2617361111</v>
      </c>
      <c r="F872" s="6" t="str">
        <f>IFERROR(__xludf.DUMMYFUNCTION("""COMPUTED_VALUE"""),"Negative")</f>
        <v>Negative</v>
      </c>
      <c r="G872" s="6">
        <f>IFERROR(__xludf.DUMMYFUNCTION("""COMPUTED_VALUE"""),1.0)</f>
        <v>1</v>
      </c>
    </row>
    <row r="873">
      <c r="A873" s="6" t="str">
        <f>IFERROR(__xludf.DUMMYFUNCTION("""COMPUTED_VALUE"""),"FM863")</f>
        <v>FM863</v>
      </c>
      <c r="B873" s="6" t="str">
        <f>IFERROR(__xludf.DUMMYFUNCTION("""COMPUTED_VALUE"""),"RUN-COMB_2022-05-27_RFR-048")</f>
        <v>RUN-COMB_2022-05-27_RFR-048</v>
      </c>
      <c r="C873" s="7">
        <f>VLOOKUP(B873,'Run Reconcile'!A$2:B3090,2,FALSE)</f>
        <v>44708</v>
      </c>
      <c r="D873" s="11">
        <f>IFERROR(__xludf.DUMMYFUNCTION("""COMPUTED_VALUE"""),44708.0)</f>
        <v>44708</v>
      </c>
      <c r="E873" s="12">
        <f>IFERROR(__xludf.DUMMYFUNCTION("""COMPUTED_VALUE"""),0.26211805555431056)</f>
        <v>0.2621180556</v>
      </c>
      <c r="F873" s="6" t="str">
        <f>IFERROR(__xludf.DUMMYFUNCTION("""COMPUTED_VALUE"""),"Negative")</f>
        <v>Negative</v>
      </c>
      <c r="G873" s="6">
        <f>IFERROR(__xludf.DUMMYFUNCTION("""COMPUTED_VALUE"""),1.0)</f>
        <v>1</v>
      </c>
    </row>
    <row r="874">
      <c r="A874" s="6" t="str">
        <f>IFERROR(__xludf.DUMMYFUNCTION("""COMPUTED_VALUE"""),"FM1967")</f>
        <v>FM1967</v>
      </c>
      <c r="B874" s="6" t="str">
        <f>IFERROR(__xludf.DUMMYFUNCTION("""COMPUTED_VALUE"""),"RUN-COMB_2022-05-27_RFR-048")</f>
        <v>RUN-COMB_2022-05-27_RFR-048</v>
      </c>
      <c r="C874" s="7">
        <f>VLOOKUP(B874,'Run Reconcile'!A$2:B3090,2,FALSE)</f>
        <v>44708</v>
      </c>
      <c r="D874" s="11">
        <f>IFERROR(__xludf.DUMMYFUNCTION("""COMPUTED_VALUE"""),44708.0)</f>
        <v>44708</v>
      </c>
      <c r="E874" s="12">
        <f>IFERROR(__xludf.DUMMYFUNCTION("""COMPUTED_VALUE"""),0.2632638888899237)</f>
        <v>0.2632638889</v>
      </c>
      <c r="F874" s="6" t="str">
        <f>IFERROR(__xludf.DUMMYFUNCTION("""COMPUTED_VALUE"""),"Negative")</f>
        <v>Negative</v>
      </c>
      <c r="G874" s="6">
        <f>IFERROR(__xludf.DUMMYFUNCTION("""COMPUTED_VALUE"""),1.0)</f>
        <v>1</v>
      </c>
    </row>
    <row r="875">
      <c r="A875" s="6" t="str">
        <f>IFERROR(__xludf.DUMMYFUNCTION("""COMPUTED_VALUE"""),"FM1978")</f>
        <v>FM1978</v>
      </c>
      <c r="B875" s="6" t="str">
        <f>IFERROR(__xludf.DUMMYFUNCTION("""COMPUTED_VALUE"""),"RUN-COMB_2022-05-27_RFR-048")</f>
        <v>RUN-COMB_2022-05-27_RFR-048</v>
      </c>
      <c r="C875" s="7">
        <f>VLOOKUP(B875,'Run Reconcile'!A$2:B3090,2,FALSE)</f>
        <v>44708</v>
      </c>
      <c r="D875" s="11">
        <f>IFERROR(__xludf.DUMMYFUNCTION("""COMPUTED_VALUE"""),44708.0)</f>
        <v>44708</v>
      </c>
      <c r="E875" s="12">
        <f>IFERROR(__xludf.DUMMYFUNCTION("""COMPUTED_VALUE"""),0.2636342592595611)</f>
        <v>0.2636342593</v>
      </c>
      <c r="F875" s="6" t="str">
        <f>IFERROR(__xludf.DUMMYFUNCTION("""COMPUTED_VALUE"""),"Negative")</f>
        <v>Negative</v>
      </c>
      <c r="G875" s="6">
        <f>IFERROR(__xludf.DUMMYFUNCTION("""COMPUTED_VALUE"""),1.0)</f>
        <v>1</v>
      </c>
    </row>
    <row r="876">
      <c r="A876" s="6" t="str">
        <f>IFERROR(__xludf.DUMMYFUNCTION("""COMPUTED_VALUE"""),"FM855")</f>
        <v>FM855</v>
      </c>
      <c r="B876" s="6" t="str">
        <f>IFERROR(__xludf.DUMMYFUNCTION("""COMPUTED_VALUE"""),"RUN-COMB_2022-05-27_RFR-048")</f>
        <v>RUN-COMB_2022-05-27_RFR-048</v>
      </c>
      <c r="C876" s="7">
        <f>VLOOKUP(B876,'Run Reconcile'!A$2:B3090,2,FALSE)</f>
        <v>44708</v>
      </c>
      <c r="D876" s="11">
        <f>IFERROR(__xludf.DUMMYFUNCTION("""COMPUTED_VALUE"""),44708.0)</f>
        <v>44708</v>
      </c>
      <c r="E876" s="12">
        <f>IFERROR(__xludf.DUMMYFUNCTION("""COMPUTED_VALUE"""),0.26403935185226146)</f>
        <v>0.2640393519</v>
      </c>
      <c r="F876" s="6" t="str">
        <f>IFERROR(__xludf.DUMMYFUNCTION("""COMPUTED_VALUE"""),"Negative")</f>
        <v>Negative</v>
      </c>
      <c r="G876" s="6">
        <f>IFERROR(__xludf.DUMMYFUNCTION("""COMPUTED_VALUE"""),1.0)</f>
        <v>1</v>
      </c>
    </row>
    <row r="877">
      <c r="A877" s="6" t="str">
        <f>IFERROR(__xludf.DUMMYFUNCTION("""COMPUTED_VALUE"""),"FM877")</f>
        <v>FM877</v>
      </c>
      <c r="B877" s="6" t="str">
        <f>IFERROR(__xludf.DUMMYFUNCTION("""COMPUTED_VALUE"""),"RUN-COMB_2022-05-27_RFR-048")</f>
        <v>RUN-COMB_2022-05-27_RFR-048</v>
      </c>
      <c r="C877" s="7">
        <f>VLOOKUP(B877,'Run Reconcile'!A$2:B3090,2,FALSE)</f>
        <v>44708</v>
      </c>
      <c r="D877" s="11">
        <f>IFERROR(__xludf.DUMMYFUNCTION("""COMPUTED_VALUE"""),44708.0)</f>
        <v>44708</v>
      </c>
      <c r="E877" s="12">
        <f>IFERROR(__xludf.DUMMYFUNCTION("""COMPUTED_VALUE"""),0.2645717592604342)</f>
        <v>0.2645717593</v>
      </c>
      <c r="F877" s="6" t="str">
        <f>IFERROR(__xludf.DUMMYFUNCTION("""COMPUTED_VALUE"""),"Negative")</f>
        <v>Negative</v>
      </c>
      <c r="G877" s="6">
        <f>IFERROR(__xludf.DUMMYFUNCTION("""COMPUTED_VALUE"""),1.0)</f>
        <v>1</v>
      </c>
    </row>
    <row r="878">
      <c r="A878" s="6" t="str">
        <f>IFERROR(__xludf.DUMMYFUNCTION("""COMPUTED_VALUE"""),"FM860")</f>
        <v>FM860</v>
      </c>
      <c r="B878" s="6" t="str">
        <f>IFERROR(__xludf.DUMMYFUNCTION("""COMPUTED_VALUE"""),"RUN-COMB_2022-05-27_RFR-048")</f>
        <v>RUN-COMB_2022-05-27_RFR-048</v>
      </c>
      <c r="C878" s="7">
        <f>VLOOKUP(B878,'Run Reconcile'!A$2:B3090,2,FALSE)</f>
        <v>44708</v>
      </c>
      <c r="D878" s="11">
        <f>IFERROR(__xludf.DUMMYFUNCTION("""COMPUTED_VALUE"""),44708.0)</f>
        <v>44708</v>
      </c>
      <c r="E878" s="12">
        <f>IFERROR(__xludf.DUMMYFUNCTION("""COMPUTED_VALUE"""),0.2648958333338669)</f>
        <v>0.2648958333</v>
      </c>
      <c r="F878" s="6" t="str">
        <f>IFERROR(__xludf.DUMMYFUNCTION("""COMPUTED_VALUE"""),"Negative")</f>
        <v>Negative</v>
      </c>
      <c r="G878" s="6">
        <f>IFERROR(__xludf.DUMMYFUNCTION("""COMPUTED_VALUE"""),1.0)</f>
        <v>1</v>
      </c>
    </row>
    <row r="879">
      <c r="A879" s="6" t="str">
        <f>IFERROR(__xludf.DUMMYFUNCTION("""COMPUTED_VALUE"""),"FM848")</f>
        <v>FM848</v>
      </c>
      <c r="B879" s="6" t="str">
        <f>IFERROR(__xludf.DUMMYFUNCTION("""COMPUTED_VALUE"""),"RUN-COMB_2022-05-27_RFR-048")</f>
        <v>RUN-COMB_2022-05-27_RFR-048</v>
      </c>
      <c r="C879" s="7">
        <f>VLOOKUP(B879,'Run Reconcile'!A$2:B3090,2,FALSE)</f>
        <v>44708</v>
      </c>
      <c r="D879" s="11">
        <f>IFERROR(__xludf.DUMMYFUNCTION("""COMPUTED_VALUE"""),44708.0)</f>
        <v>44708</v>
      </c>
      <c r="E879" s="12">
        <f>IFERROR(__xludf.DUMMYFUNCTION("""COMPUTED_VALUE"""),0.2653009259265673)</f>
        <v>0.2653009259</v>
      </c>
      <c r="F879" s="6" t="str">
        <f>IFERROR(__xludf.DUMMYFUNCTION("""COMPUTED_VALUE"""),"Negative")</f>
        <v>Negative</v>
      </c>
      <c r="G879" s="6">
        <f>IFERROR(__xludf.DUMMYFUNCTION("""COMPUTED_VALUE"""),1.0)</f>
        <v>1</v>
      </c>
    </row>
    <row r="880">
      <c r="A880" s="6" t="str">
        <f>IFERROR(__xludf.DUMMYFUNCTION("""COMPUTED_VALUE"""),"FM1927")</f>
        <v>FM1927</v>
      </c>
      <c r="B880" s="6" t="str">
        <f>IFERROR(__xludf.DUMMYFUNCTION("""COMPUTED_VALUE"""),"RUN-COMB_2022-05-27_RFR-048")</f>
        <v>RUN-COMB_2022-05-27_RFR-048</v>
      </c>
      <c r="C880" s="7">
        <f>VLOOKUP(B880,'Run Reconcile'!A$2:B3090,2,FALSE)</f>
        <v>44708</v>
      </c>
      <c r="D880" s="11">
        <f>IFERROR(__xludf.DUMMYFUNCTION("""COMPUTED_VALUE"""),44708.0)</f>
        <v>44708</v>
      </c>
      <c r="E880" s="12">
        <f>IFERROR(__xludf.DUMMYFUNCTION("""COMPUTED_VALUE"""),0.265659722223063)</f>
        <v>0.2656597222</v>
      </c>
      <c r="F880" s="6" t="str">
        <f>IFERROR(__xludf.DUMMYFUNCTION("""COMPUTED_VALUE"""),"Negative")</f>
        <v>Negative</v>
      </c>
      <c r="G880" s="6">
        <f>IFERROR(__xludf.DUMMYFUNCTION("""COMPUTED_VALUE"""),1.0)</f>
        <v>1</v>
      </c>
    </row>
    <row r="881">
      <c r="A881" s="6" t="str">
        <f>IFERROR(__xludf.DUMMYFUNCTION("""COMPUTED_VALUE"""),"FM1976")</f>
        <v>FM1976</v>
      </c>
      <c r="B881" s="6" t="str">
        <f>IFERROR(__xludf.DUMMYFUNCTION("""COMPUTED_VALUE"""),"RUN-COMB_2022-05-27_RFR-048")</f>
        <v>RUN-COMB_2022-05-27_RFR-048</v>
      </c>
      <c r="C881" s="7">
        <f>VLOOKUP(B881,'Run Reconcile'!A$2:B3090,2,FALSE)</f>
        <v>44708</v>
      </c>
      <c r="D881" s="11">
        <f>IFERROR(__xludf.DUMMYFUNCTION("""COMPUTED_VALUE"""),44708.0)</f>
        <v>44708</v>
      </c>
      <c r="E881" s="12">
        <f>IFERROR(__xludf.DUMMYFUNCTION("""COMPUTED_VALUE"""),0.2660300925927004)</f>
        <v>0.2660300926</v>
      </c>
      <c r="F881" s="6" t="str">
        <f>IFERROR(__xludf.DUMMYFUNCTION("""COMPUTED_VALUE"""),"Negative")</f>
        <v>Negative</v>
      </c>
      <c r="G881" s="6">
        <f>IFERROR(__xludf.DUMMYFUNCTION("""COMPUTED_VALUE"""),1.0)</f>
        <v>1</v>
      </c>
    </row>
    <row r="882">
      <c r="A882" s="6" t="str">
        <f>IFERROR(__xludf.DUMMYFUNCTION("""COMPUTED_VALUE"""),"FM870")</f>
        <v>FM870</v>
      </c>
      <c r="B882" s="6" t="str">
        <f>IFERROR(__xludf.DUMMYFUNCTION("""COMPUTED_VALUE"""),"RUN-COMB_2022-05-27_RFR-048")</f>
        <v>RUN-COMB_2022-05-27_RFR-048</v>
      </c>
      <c r="C882" s="7">
        <f>VLOOKUP(B882,'Run Reconcile'!A$2:B3090,2,FALSE)</f>
        <v>44708</v>
      </c>
      <c r="D882" s="11">
        <f>IFERROR(__xludf.DUMMYFUNCTION("""COMPUTED_VALUE"""),44708.0)</f>
        <v>44708</v>
      </c>
      <c r="E882" s="12">
        <f>IFERROR(__xludf.DUMMYFUNCTION("""COMPUTED_VALUE"""),0.2682291666678793)</f>
        <v>0.2682291667</v>
      </c>
      <c r="F882" s="6" t="str">
        <f>IFERROR(__xludf.DUMMYFUNCTION("""COMPUTED_VALUE"""),"Negative")</f>
        <v>Negative</v>
      </c>
      <c r="G882" s="6">
        <f>IFERROR(__xludf.DUMMYFUNCTION("""COMPUTED_VALUE"""),1.0)</f>
        <v>1</v>
      </c>
    </row>
    <row r="883">
      <c r="A883" s="6" t="str">
        <f>IFERROR(__xludf.DUMMYFUNCTION("""COMPUTED_VALUE"""),"FM853")</f>
        <v>FM853</v>
      </c>
      <c r="B883" s="6" t="str">
        <f>IFERROR(__xludf.DUMMYFUNCTION("""COMPUTED_VALUE"""),"RUN-COMB_2022-05-27_RFR-048")</f>
        <v>RUN-COMB_2022-05-27_RFR-048</v>
      </c>
      <c r="C883" s="7">
        <f>VLOOKUP(B883,'Run Reconcile'!A$2:B3090,2,FALSE)</f>
        <v>44708</v>
      </c>
      <c r="D883" s="11">
        <f>IFERROR(__xludf.DUMMYFUNCTION("""COMPUTED_VALUE"""),44708.0)</f>
        <v>44708</v>
      </c>
      <c r="E883" s="12">
        <f>IFERROR(__xludf.DUMMYFUNCTION("""COMPUTED_VALUE"""),0.2685995370375167)</f>
        <v>0.268599537</v>
      </c>
      <c r="F883" s="6" t="str">
        <f>IFERROR(__xludf.DUMMYFUNCTION("""COMPUTED_VALUE"""),"Negative")</f>
        <v>Negative</v>
      </c>
      <c r="G883" s="6">
        <f>IFERROR(__xludf.DUMMYFUNCTION("""COMPUTED_VALUE"""),1.0)</f>
        <v>1</v>
      </c>
    </row>
    <row r="884">
      <c r="A884" s="6" t="str">
        <f>IFERROR(__xludf.DUMMYFUNCTION("""COMPUTED_VALUE"""),"FM1980")</f>
        <v>FM1980</v>
      </c>
      <c r="B884" s="6" t="str">
        <f>IFERROR(__xludf.DUMMYFUNCTION("""COMPUTED_VALUE"""),"RUN-COMB_2022-05-27_RFR-048")</f>
        <v>RUN-COMB_2022-05-27_RFR-048</v>
      </c>
      <c r="C884" s="7">
        <f>VLOOKUP(B884,'Run Reconcile'!A$2:B3090,2,FALSE)</f>
        <v>44708</v>
      </c>
      <c r="D884" s="11">
        <f>IFERROR(__xludf.DUMMYFUNCTION("""COMPUTED_VALUE"""),44708.0)</f>
        <v>44708</v>
      </c>
      <c r="E884" s="12">
        <f>IFERROR(__xludf.DUMMYFUNCTION("""COMPUTED_VALUE"""),0.26894675926087075)</f>
        <v>0.2689467593</v>
      </c>
      <c r="F884" s="6" t="str">
        <f>IFERROR(__xludf.DUMMYFUNCTION("""COMPUTED_VALUE"""),"Negative")</f>
        <v>Negative</v>
      </c>
      <c r="G884" s="6">
        <f>IFERROR(__xludf.DUMMYFUNCTION("""COMPUTED_VALUE"""),1.0)</f>
        <v>1</v>
      </c>
    </row>
    <row r="885">
      <c r="A885" s="6" t="str">
        <f>IFERROR(__xludf.DUMMYFUNCTION("""COMPUTED_VALUE"""),"FM859")</f>
        <v>FM859</v>
      </c>
      <c r="B885" s="6" t="str">
        <f>IFERROR(__xludf.DUMMYFUNCTION("""COMPUTED_VALUE"""),"RUN-COMB_2022-05-27_RFR-048")</f>
        <v>RUN-COMB_2022-05-27_RFR-048</v>
      </c>
      <c r="C885" s="7">
        <f>VLOOKUP(B885,'Run Reconcile'!A$2:B3090,2,FALSE)</f>
        <v>44708</v>
      </c>
      <c r="D885" s="11">
        <f>IFERROR(__xludf.DUMMYFUNCTION("""COMPUTED_VALUE"""),44708.0)</f>
        <v>44708</v>
      </c>
      <c r="E885" s="12">
        <f>IFERROR(__xludf.DUMMYFUNCTION("""COMPUTED_VALUE"""),0.2711805555554747)</f>
        <v>0.2711805556</v>
      </c>
      <c r="F885" s="6" t="str">
        <f>IFERROR(__xludf.DUMMYFUNCTION("""COMPUTED_VALUE"""),"Negative")</f>
        <v>Negative</v>
      </c>
      <c r="G885" s="6">
        <f>IFERROR(__xludf.DUMMYFUNCTION("""COMPUTED_VALUE"""),1.0)</f>
        <v>1</v>
      </c>
    </row>
    <row r="886">
      <c r="A886" s="6" t="str">
        <f>IFERROR(__xludf.DUMMYFUNCTION("""COMPUTED_VALUE"""),"FM1924")</f>
        <v>FM1924</v>
      </c>
      <c r="B886" s="6" t="str">
        <f>IFERROR(__xludf.DUMMYFUNCTION("""COMPUTED_VALUE"""),"RUN-COMB_2022-05-27_RFR-048")</f>
        <v>RUN-COMB_2022-05-27_RFR-048</v>
      </c>
      <c r="C886" s="7">
        <f>VLOOKUP(B886,'Run Reconcile'!A$2:B3090,2,FALSE)</f>
        <v>44708</v>
      </c>
      <c r="D886" s="11">
        <f>IFERROR(__xludf.DUMMYFUNCTION("""COMPUTED_VALUE"""),44708.0)</f>
        <v>44708</v>
      </c>
      <c r="E886" s="12">
        <f>IFERROR(__xludf.DUMMYFUNCTION("""COMPUTED_VALUE"""),0.2716550925943011)</f>
        <v>0.2716550926</v>
      </c>
      <c r="F886" s="6" t="str">
        <f>IFERROR(__xludf.DUMMYFUNCTION("""COMPUTED_VALUE"""),"Negative")</f>
        <v>Negative</v>
      </c>
      <c r="G886" s="6">
        <f>IFERROR(__xludf.DUMMYFUNCTION("""COMPUTED_VALUE"""),1.0)</f>
        <v>1</v>
      </c>
    </row>
    <row r="887">
      <c r="A887" s="6" t="str">
        <f>IFERROR(__xludf.DUMMYFUNCTION("""COMPUTED_VALUE"""),"FM857")</f>
        <v>FM857</v>
      </c>
      <c r="B887" s="6" t="str">
        <f>IFERROR(__xludf.DUMMYFUNCTION("""COMPUTED_VALUE"""),"RUN-COMB_2022-05-27_RFR-048")</f>
        <v>RUN-COMB_2022-05-27_RFR-048</v>
      </c>
      <c r="C887" s="7">
        <f>VLOOKUP(B887,'Run Reconcile'!A$2:B3090,2,FALSE)</f>
        <v>44708</v>
      </c>
      <c r="D887" s="11">
        <f>IFERROR(__xludf.DUMMYFUNCTION("""COMPUTED_VALUE"""),44708.0)</f>
        <v>44708</v>
      </c>
      <c r="E887" s="12">
        <f>IFERROR(__xludf.DUMMYFUNCTION("""COMPUTED_VALUE"""),0.27359953703853535)</f>
        <v>0.273599537</v>
      </c>
      <c r="F887" s="6" t="str">
        <f>IFERROR(__xludf.DUMMYFUNCTION("""COMPUTED_VALUE"""),"Negative")</f>
        <v>Negative</v>
      </c>
      <c r="G887" s="6">
        <f>IFERROR(__xludf.DUMMYFUNCTION("""COMPUTED_VALUE"""),1.0)</f>
        <v>1</v>
      </c>
    </row>
    <row r="888">
      <c r="A888" s="6" t="str">
        <f>IFERROR(__xludf.DUMMYFUNCTION("""COMPUTED_VALUE"""),"FM854")</f>
        <v>FM854</v>
      </c>
      <c r="B888" s="6" t="str">
        <f>IFERROR(__xludf.DUMMYFUNCTION("""COMPUTED_VALUE"""),"RUN-COMB_2022-05-27_RFR-048")</f>
        <v>RUN-COMB_2022-05-27_RFR-048</v>
      </c>
      <c r="C888" s="7">
        <f>VLOOKUP(B888,'Run Reconcile'!A$2:B3090,2,FALSE)</f>
        <v>44708</v>
      </c>
      <c r="D888" s="11">
        <f>IFERROR(__xludf.DUMMYFUNCTION("""COMPUTED_VALUE"""),44708.0)</f>
        <v>44708</v>
      </c>
      <c r="E888" s="12">
        <f>IFERROR(__xludf.DUMMYFUNCTION("""COMPUTED_VALUE"""),0.2745370370357705)</f>
        <v>0.274537037</v>
      </c>
      <c r="F888" s="6" t="str">
        <f>IFERROR(__xludf.DUMMYFUNCTION("""COMPUTED_VALUE"""),"Negative")</f>
        <v>Negative</v>
      </c>
      <c r="G888" s="6">
        <f>IFERROR(__xludf.DUMMYFUNCTION("""COMPUTED_VALUE"""),1.0)</f>
        <v>1</v>
      </c>
    </row>
    <row r="889">
      <c r="A889" s="6" t="str">
        <f>IFERROR(__xludf.DUMMYFUNCTION("""COMPUTED_VALUE"""),"FM851")</f>
        <v>FM851</v>
      </c>
      <c r="B889" s="6" t="str">
        <f>IFERROR(__xludf.DUMMYFUNCTION("""COMPUTED_VALUE"""),"RUN-COMB_2022-05-27_RFR-048")</f>
        <v>RUN-COMB_2022-05-27_RFR-048</v>
      </c>
      <c r="C889" s="7">
        <f>VLOOKUP(B889,'Run Reconcile'!A$2:B3090,2,FALSE)</f>
        <v>44708</v>
      </c>
      <c r="D889" s="11">
        <f>IFERROR(__xludf.DUMMYFUNCTION("""COMPUTED_VALUE"""),44708.0)</f>
        <v>44708</v>
      </c>
      <c r="E889" s="12">
        <f>IFERROR(__xludf.DUMMYFUNCTION("""COMPUTED_VALUE"""),0.27483796296291985)</f>
        <v>0.274837963</v>
      </c>
      <c r="F889" s="6" t="str">
        <f>IFERROR(__xludf.DUMMYFUNCTION("""COMPUTED_VALUE"""),"Negative")</f>
        <v>Negative</v>
      </c>
      <c r="G889" s="6">
        <f>IFERROR(__xludf.DUMMYFUNCTION("""COMPUTED_VALUE"""),1.0)</f>
        <v>1</v>
      </c>
    </row>
    <row r="890">
      <c r="A890" s="6" t="str">
        <f>IFERROR(__xludf.DUMMYFUNCTION("""COMPUTED_VALUE"""),"FM1932")</f>
        <v>FM1932</v>
      </c>
      <c r="B890" s="6" t="str">
        <f>IFERROR(__xludf.DUMMYFUNCTION("""COMPUTED_VALUE"""),"RUN-COMB_2022-05-27_RFR-048")</f>
        <v>RUN-COMB_2022-05-27_RFR-048</v>
      </c>
      <c r="C890" s="7">
        <f>VLOOKUP(B890,'Run Reconcile'!A$2:B3090,2,FALSE)</f>
        <v>44708</v>
      </c>
      <c r="D890" s="11">
        <f>IFERROR(__xludf.DUMMYFUNCTION("""COMPUTED_VALUE"""),44708.0)</f>
        <v>44708</v>
      </c>
      <c r="E890" s="12">
        <f>IFERROR(__xludf.DUMMYFUNCTION("""COMPUTED_VALUE"""),0.2752893518518249)</f>
        <v>0.2752893519</v>
      </c>
      <c r="F890" s="6" t="str">
        <f>IFERROR(__xludf.DUMMYFUNCTION("""COMPUTED_VALUE"""),"Negative")</f>
        <v>Negative</v>
      </c>
      <c r="G890" s="6">
        <f>IFERROR(__xludf.DUMMYFUNCTION("""COMPUTED_VALUE"""),1.0)</f>
        <v>1</v>
      </c>
    </row>
    <row r="891">
      <c r="A891" s="6" t="str">
        <f>IFERROR(__xludf.DUMMYFUNCTION("""COMPUTED_VALUE"""),"FM1960")</f>
        <v>FM1960</v>
      </c>
      <c r="B891" s="6" t="str">
        <f>IFERROR(__xludf.DUMMYFUNCTION("""COMPUTED_VALUE"""),"RUN-COMB_2022-05-28_RFR-049")</f>
        <v>RUN-COMB_2022-05-28_RFR-049</v>
      </c>
      <c r="C891" s="7">
        <f>VLOOKUP(B891,'Run Reconcile'!A$2:B3090,2,FALSE)</f>
        <v>44709</v>
      </c>
      <c r="D891" s="11">
        <f>IFERROR(__xludf.DUMMYFUNCTION("""COMPUTED_VALUE"""),44709.0)</f>
        <v>44709</v>
      </c>
      <c r="E891" s="12">
        <f>IFERROR(__xludf.DUMMYFUNCTION("""COMPUTED_VALUE"""),0.2751504629632109)</f>
        <v>0.275150463</v>
      </c>
      <c r="F891" s="6" t="str">
        <f>IFERROR(__xludf.DUMMYFUNCTION("""COMPUTED_VALUE"""),"Negative")</f>
        <v>Negative</v>
      </c>
      <c r="G891" s="6">
        <f>IFERROR(__xludf.DUMMYFUNCTION("""COMPUTED_VALUE"""),1.0)</f>
        <v>1</v>
      </c>
    </row>
    <row r="892">
      <c r="A892" s="6" t="str">
        <f>IFERROR(__xludf.DUMMYFUNCTION("""COMPUTED_VALUE"""),"FM844")</f>
        <v>FM844</v>
      </c>
      <c r="B892" s="6" t="str">
        <f>IFERROR(__xludf.DUMMYFUNCTION("""COMPUTED_VALUE"""),"RUN-COMB_2022-05-28_RFR-049")</f>
        <v>RUN-COMB_2022-05-28_RFR-049</v>
      </c>
      <c r="C892" s="7">
        <f>VLOOKUP(B892,'Run Reconcile'!A$2:B3090,2,FALSE)</f>
        <v>44709</v>
      </c>
      <c r="D892" s="11">
        <f>IFERROR(__xludf.DUMMYFUNCTION("""COMPUTED_VALUE"""),44709.0)</f>
        <v>44709</v>
      </c>
      <c r="E892" s="12">
        <f>IFERROR(__xludf.DUMMYFUNCTION("""COMPUTED_VALUE"""),0.275914351852407)</f>
        <v>0.2759143519</v>
      </c>
      <c r="F892" s="6" t="str">
        <f>IFERROR(__xludf.DUMMYFUNCTION("""COMPUTED_VALUE"""),"Negative")</f>
        <v>Negative</v>
      </c>
      <c r="G892" s="6">
        <f>IFERROR(__xludf.DUMMYFUNCTION("""COMPUTED_VALUE"""),1.0)</f>
        <v>1</v>
      </c>
    </row>
    <row r="893">
      <c r="A893" s="6" t="str">
        <f>IFERROR(__xludf.DUMMYFUNCTION("""COMPUTED_VALUE"""),"FM1959")</f>
        <v>FM1959</v>
      </c>
      <c r="B893" s="6" t="str">
        <f>IFERROR(__xludf.DUMMYFUNCTION("""COMPUTED_VALUE"""),"RUN-COMB_2022-05-28_RFR-049")</f>
        <v>RUN-COMB_2022-05-28_RFR-049</v>
      </c>
      <c r="C893" s="7">
        <f>VLOOKUP(B893,'Run Reconcile'!A$2:B3090,2,FALSE)</f>
        <v>44709</v>
      </c>
      <c r="D893" s="11">
        <f>IFERROR(__xludf.DUMMYFUNCTION("""COMPUTED_VALUE"""),44709.0)</f>
        <v>44709</v>
      </c>
      <c r="E893" s="12">
        <f>IFERROR(__xludf.DUMMYFUNCTION("""COMPUTED_VALUE"""),0.27636574074131204)</f>
        <v>0.2763657407</v>
      </c>
      <c r="F893" s="6" t="str">
        <f>IFERROR(__xludf.DUMMYFUNCTION("""COMPUTED_VALUE"""),"Negative")</f>
        <v>Negative</v>
      </c>
      <c r="G893" s="6">
        <f>IFERROR(__xludf.DUMMYFUNCTION("""COMPUTED_VALUE"""),1.0)</f>
        <v>1</v>
      </c>
    </row>
    <row r="894">
      <c r="A894" s="6" t="str">
        <f>IFERROR(__xludf.DUMMYFUNCTION("""COMPUTED_VALUE"""),"FM1944")</f>
        <v>FM1944</v>
      </c>
      <c r="B894" s="6" t="str">
        <f>IFERROR(__xludf.DUMMYFUNCTION("""COMPUTED_VALUE"""),"RUN-COMB_2022-05-28_RFR-049")</f>
        <v>RUN-COMB_2022-05-28_RFR-049</v>
      </c>
      <c r="C894" s="7">
        <f>VLOOKUP(B894,'Run Reconcile'!A$2:B3090,2,FALSE)</f>
        <v>44709</v>
      </c>
      <c r="D894" s="11">
        <f>IFERROR(__xludf.DUMMYFUNCTION("""COMPUTED_VALUE"""),44709.0)</f>
        <v>44709</v>
      </c>
      <c r="E894" s="12">
        <f>IFERROR(__xludf.DUMMYFUNCTION("""COMPUTED_VALUE"""),0.27730324074218515)</f>
        <v>0.2773032407</v>
      </c>
      <c r="F894" s="6" t="str">
        <f>IFERROR(__xludf.DUMMYFUNCTION("""COMPUTED_VALUE"""),"Negative")</f>
        <v>Negative</v>
      </c>
      <c r="G894" s="6">
        <f>IFERROR(__xludf.DUMMYFUNCTION("""COMPUTED_VALUE"""),1.0)</f>
        <v>1</v>
      </c>
    </row>
    <row r="895">
      <c r="A895" s="6" t="str">
        <f>IFERROR(__xludf.DUMMYFUNCTION("""COMPUTED_VALUE"""),"FM1948")</f>
        <v>FM1948</v>
      </c>
      <c r="B895" s="6" t="str">
        <f>IFERROR(__xludf.DUMMYFUNCTION("""COMPUTED_VALUE"""),"RUN-COMB_2022-05-28_RFR-049")</f>
        <v>RUN-COMB_2022-05-28_RFR-049</v>
      </c>
      <c r="C895" s="7">
        <f>VLOOKUP(B895,'Run Reconcile'!A$2:B3090,2,FALSE)</f>
        <v>44709</v>
      </c>
      <c r="D895" s="11">
        <f>IFERROR(__xludf.DUMMYFUNCTION("""COMPUTED_VALUE"""),44709.0)</f>
        <v>44709</v>
      </c>
      <c r="E895" s="12">
        <f>IFERROR(__xludf.DUMMYFUNCTION("""COMPUTED_VALUE"""),0.2776851851849642)</f>
        <v>0.2776851852</v>
      </c>
      <c r="F895" s="6" t="str">
        <f>IFERROR(__xludf.DUMMYFUNCTION("""COMPUTED_VALUE"""),"Negative")</f>
        <v>Negative</v>
      </c>
      <c r="G895" s="6">
        <f>IFERROR(__xludf.DUMMYFUNCTION("""COMPUTED_VALUE"""),1.0)</f>
        <v>1</v>
      </c>
    </row>
    <row r="896">
      <c r="A896" s="6" t="str">
        <f>IFERROR(__xludf.DUMMYFUNCTION("""COMPUTED_VALUE"""),"FM1968")</f>
        <v>FM1968</v>
      </c>
      <c r="B896" s="6" t="str">
        <f>IFERROR(__xludf.DUMMYFUNCTION("""COMPUTED_VALUE"""),"RUN-COMB_2022-05-28_RFR-049")</f>
        <v>RUN-COMB_2022-05-28_RFR-049</v>
      </c>
      <c r="C896" s="7">
        <f>VLOOKUP(B896,'Run Reconcile'!A$2:B3090,2,FALSE)</f>
        <v>44709</v>
      </c>
      <c r="D896" s="11">
        <f>IFERROR(__xludf.DUMMYFUNCTION("""COMPUTED_VALUE"""),44709.0)</f>
        <v>44709</v>
      </c>
      <c r="E896" s="12">
        <f>IFERROR(__xludf.DUMMYFUNCTION("""COMPUTED_VALUE"""),0.27813657407386927)</f>
        <v>0.2781365741</v>
      </c>
      <c r="F896" s="6" t="str">
        <f>IFERROR(__xludf.DUMMYFUNCTION("""COMPUTED_VALUE"""),"Negative")</f>
        <v>Negative</v>
      </c>
      <c r="G896" s="6">
        <f>IFERROR(__xludf.DUMMYFUNCTION("""COMPUTED_VALUE"""),1.0)</f>
        <v>1</v>
      </c>
    </row>
    <row r="897">
      <c r="A897" s="6" t="str">
        <f>IFERROR(__xludf.DUMMYFUNCTION("""COMPUTED_VALUE"""),"FM1939")</f>
        <v>FM1939</v>
      </c>
      <c r="B897" s="6" t="str">
        <f>IFERROR(__xludf.DUMMYFUNCTION("""COMPUTED_VALUE"""),"RUN-COMB_2022-05-28_RFR-049")</f>
        <v>RUN-COMB_2022-05-28_RFR-049</v>
      </c>
      <c r="C897" s="7">
        <f>VLOOKUP(B897,'Run Reconcile'!A$2:B3090,2,FALSE)</f>
        <v>44709</v>
      </c>
      <c r="D897" s="11">
        <f>IFERROR(__xludf.DUMMYFUNCTION("""COMPUTED_VALUE"""),44709.0)</f>
        <v>44709</v>
      </c>
      <c r="E897" s="12">
        <f>IFERROR(__xludf.DUMMYFUNCTION("""COMPUTED_VALUE"""),0.2784837962972233)</f>
        <v>0.2784837963</v>
      </c>
      <c r="F897" s="6" t="str">
        <f>IFERROR(__xludf.DUMMYFUNCTION("""COMPUTED_VALUE"""),"Negative")</f>
        <v>Negative</v>
      </c>
      <c r="G897" s="6">
        <f>IFERROR(__xludf.DUMMYFUNCTION("""COMPUTED_VALUE"""),1.0)</f>
        <v>1</v>
      </c>
    </row>
    <row r="898">
      <c r="A898" s="6" t="str">
        <f>IFERROR(__xludf.DUMMYFUNCTION("""COMPUTED_VALUE"""),"FM872")</f>
        <v>FM872</v>
      </c>
      <c r="B898" s="6" t="str">
        <f>IFERROR(__xludf.DUMMYFUNCTION("""COMPUTED_VALUE"""),"RUN-COMB_2022-05-28_RFR-049")</f>
        <v>RUN-COMB_2022-05-28_RFR-049</v>
      </c>
      <c r="C898" s="7">
        <f>VLOOKUP(B898,'Run Reconcile'!A$2:B3090,2,FALSE)</f>
        <v>44709</v>
      </c>
      <c r="D898" s="11">
        <f>IFERROR(__xludf.DUMMYFUNCTION("""COMPUTED_VALUE"""),44709.0)</f>
        <v>44709</v>
      </c>
      <c r="E898" s="12">
        <f>IFERROR(__xludf.DUMMYFUNCTION("""COMPUTED_VALUE"""),0.27887731481314404)</f>
        <v>0.2788773148</v>
      </c>
      <c r="F898" s="6" t="str">
        <f>IFERROR(__xludf.DUMMYFUNCTION("""COMPUTED_VALUE"""),"Negative")</f>
        <v>Negative</v>
      </c>
      <c r="G898" s="6">
        <f>IFERROR(__xludf.DUMMYFUNCTION("""COMPUTED_VALUE"""),1.0)</f>
        <v>1</v>
      </c>
    </row>
    <row r="899">
      <c r="A899" s="6" t="str">
        <f>IFERROR(__xludf.DUMMYFUNCTION("""COMPUTED_VALUE"""),"FM880")</f>
        <v>FM880</v>
      </c>
      <c r="B899" s="6" t="str">
        <f>IFERROR(__xludf.DUMMYFUNCTION("""COMPUTED_VALUE"""),"RUN-COMB_2022-05-28_RFR-049")</f>
        <v>RUN-COMB_2022-05-28_RFR-049</v>
      </c>
      <c r="C899" s="7">
        <f>VLOOKUP(B899,'Run Reconcile'!A$2:B3090,2,FALSE)</f>
        <v>44709</v>
      </c>
      <c r="D899" s="11">
        <f>IFERROR(__xludf.DUMMYFUNCTION("""COMPUTED_VALUE"""),44709.0)</f>
        <v>44709</v>
      </c>
      <c r="E899" s="12">
        <f>IFERROR(__xludf.DUMMYFUNCTION("""COMPUTED_VALUE"""),0.27927083333270275)</f>
        <v>0.2792708333</v>
      </c>
      <c r="F899" s="6" t="str">
        <f>IFERROR(__xludf.DUMMYFUNCTION("""COMPUTED_VALUE"""),"Negative")</f>
        <v>Negative</v>
      </c>
      <c r="G899" s="6">
        <f>IFERROR(__xludf.DUMMYFUNCTION("""COMPUTED_VALUE"""),1.0)</f>
        <v>1</v>
      </c>
    </row>
    <row r="900">
      <c r="A900" s="6" t="str">
        <f>IFERROR(__xludf.DUMMYFUNCTION("""COMPUTED_VALUE"""),"FM841")</f>
        <v>FM841</v>
      </c>
      <c r="B900" s="6" t="str">
        <f>IFERROR(__xludf.DUMMYFUNCTION("""COMPUTED_VALUE"""),"RUN-COMB_2022-05-28_RFR-049")</f>
        <v>RUN-COMB_2022-05-28_RFR-049</v>
      </c>
      <c r="C900" s="7">
        <f>VLOOKUP(B900,'Run Reconcile'!A$2:B3090,2,FALSE)</f>
        <v>44709</v>
      </c>
      <c r="D900" s="11">
        <f>IFERROR(__xludf.DUMMYFUNCTION("""COMPUTED_VALUE"""),44709.0)</f>
        <v>44709</v>
      </c>
      <c r="E900" s="12">
        <f>IFERROR(__xludf.DUMMYFUNCTION("""COMPUTED_VALUE"""),0.27956018518671044)</f>
        <v>0.2795601852</v>
      </c>
      <c r="F900" s="6" t="str">
        <f>IFERROR(__xludf.DUMMYFUNCTION("""COMPUTED_VALUE"""),"Negative")</f>
        <v>Negative</v>
      </c>
      <c r="G900" s="6">
        <f>IFERROR(__xludf.DUMMYFUNCTION("""COMPUTED_VALUE"""),1.0)</f>
        <v>1</v>
      </c>
    </row>
    <row r="901">
      <c r="A901" s="6" t="str">
        <f>IFERROR(__xludf.DUMMYFUNCTION("""COMPUTED_VALUE"""),"FM1956")</f>
        <v>FM1956</v>
      </c>
      <c r="B901" s="6" t="str">
        <f>IFERROR(__xludf.DUMMYFUNCTION("""COMPUTED_VALUE"""),"RUN-COMB_2022-05-28_RFR-049")</f>
        <v>RUN-COMB_2022-05-28_RFR-049</v>
      </c>
      <c r="C901" s="7">
        <f>VLOOKUP(B901,'Run Reconcile'!A$2:B3090,2,FALSE)</f>
        <v>44709</v>
      </c>
      <c r="D901" s="11">
        <f>IFERROR(__xludf.DUMMYFUNCTION("""COMPUTED_VALUE"""),44709.0)</f>
        <v>44709</v>
      </c>
      <c r="E901" s="12">
        <f>IFERROR(__xludf.DUMMYFUNCTION("""COMPUTED_VALUE"""),0.2799768518525525)</f>
        <v>0.2799768519</v>
      </c>
      <c r="F901" s="6" t="str">
        <f>IFERROR(__xludf.DUMMYFUNCTION("""COMPUTED_VALUE"""),"Negative")</f>
        <v>Negative</v>
      </c>
      <c r="G901" s="6">
        <f>IFERROR(__xludf.DUMMYFUNCTION("""COMPUTED_VALUE"""),1.0)</f>
        <v>1</v>
      </c>
    </row>
    <row r="902">
      <c r="A902" s="6" t="str">
        <f>IFERROR(__xludf.DUMMYFUNCTION("""COMPUTED_VALUE"""),"FM878")</f>
        <v>FM878</v>
      </c>
      <c r="B902" s="6" t="str">
        <f>IFERROR(__xludf.DUMMYFUNCTION("""COMPUTED_VALUE"""),"RUN-COMB_2022-05-28_RFR-049")</f>
        <v>RUN-COMB_2022-05-28_RFR-049</v>
      </c>
      <c r="C902" s="7">
        <f>VLOOKUP(B902,'Run Reconcile'!A$2:B3090,2,FALSE)</f>
        <v>44709</v>
      </c>
      <c r="D902" s="11">
        <f>IFERROR(__xludf.DUMMYFUNCTION("""COMPUTED_VALUE"""),44709.0)</f>
        <v>44709</v>
      </c>
      <c r="E902" s="12">
        <f>IFERROR(__xludf.DUMMYFUNCTION("""COMPUTED_VALUE"""),0.2803356481490482)</f>
        <v>0.2803356481</v>
      </c>
      <c r="F902" s="6" t="str">
        <f>IFERROR(__xludf.DUMMYFUNCTION("""COMPUTED_VALUE"""),"Negative")</f>
        <v>Negative</v>
      </c>
      <c r="G902" s="6">
        <f>IFERROR(__xludf.DUMMYFUNCTION("""COMPUTED_VALUE"""),1.0)</f>
        <v>1</v>
      </c>
    </row>
    <row r="903">
      <c r="A903" s="6" t="str">
        <f>IFERROR(__xludf.DUMMYFUNCTION("""COMPUTED_VALUE"""),"FM1950")</f>
        <v>FM1950</v>
      </c>
      <c r="B903" s="6" t="str">
        <f>IFERROR(__xludf.DUMMYFUNCTION("""COMPUTED_VALUE"""),"RUN-COMB_2022-05-28_RFR-049")</f>
        <v>RUN-COMB_2022-05-28_RFR-049</v>
      </c>
      <c r="C903" s="7">
        <f>VLOOKUP(B903,'Run Reconcile'!A$2:B3090,2,FALSE)</f>
        <v>44709</v>
      </c>
      <c r="D903" s="11">
        <f>IFERROR(__xludf.DUMMYFUNCTION("""COMPUTED_VALUE"""),44709.0)</f>
        <v>44709</v>
      </c>
      <c r="E903" s="12">
        <f>IFERROR(__xludf.DUMMYFUNCTION("""COMPUTED_VALUE"""),0.28072916666496894)</f>
        <v>0.2807291667</v>
      </c>
      <c r="F903" s="6" t="str">
        <f>IFERROR(__xludf.DUMMYFUNCTION("""COMPUTED_VALUE"""),"Negative")</f>
        <v>Negative</v>
      </c>
      <c r="G903" s="6">
        <f>IFERROR(__xludf.DUMMYFUNCTION("""COMPUTED_VALUE"""),1.0)</f>
        <v>1</v>
      </c>
    </row>
    <row r="904">
      <c r="A904" s="6" t="str">
        <f>IFERROR(__xludf.DUMMYFUNCTION("""COMPUTED_VALUE"""),"FM861")</f>
        <v>FM861</v>
      </c>
      <c r="B904" s="6" t="str">
        <f>IFERROR(__xludf.DUMMYFUNCTION("""COMPUTED_VALUE"""),"RUN-COMB_2022-05-28_RFR-049")</f>
        <v>RUN-COMB_2022-05-28_RFR-049</v>
      </c>
      <c r="C904" s="7">
        <f>VLOOKUP(B904,'Run Reconcile'!A$2:B3090,2,FALSE)</f>
        <v>44709</v>
      </c>
      <c r="D904" s="11">
        <f>IFERROR(__xludf.DUMMYFUNCTION("""COMPUTED_VALUE"""),44709.0)</f>
        <v>44709</v>
      </c>
      <c r="E904" s="12">
        <f>IFERROR(__xludf.DUMMYFUNCTION("""COMPUTED_VALUE"""),0.28112268518452765)</f>
        <v>0.2811226852</v>
      </c>
      <c r="F904" s="6" t="str">
        <f>IFERROR(__xludf.DUMMYFUNCTION("""COMPUTED_VALUE"""),"Negative")</f>
        <v>Negative</v>
      </c>
      <c r="G904" s="6">
        <f>IFERROR(__xludf.DUMMYFUNCTION("""COMPUTED_VALUE"""),1.0)</f>
        <v>1</v>
      </c>
    </row>
    <row r="905">
      <c r="A905" s="6" t="str">
        <f>IFERROR(__xludf.DUMMYFUNCTION("""COMPUTED_VALUE"""),"FM866")</f>
        <v>FM866</v>
      </c>
      <c r="B905" s="6" t="str">
        <f>IFERROR(__xludf.DUMMYFUNCTION("""COMPUTED_VALUE"""),"RUN-COMB_2022-05-28_RFR-049")</f>
        <v>RUN-COMB_2022-05-28_RFR-049</v>
      </c>
      <c r="C905" s="7">
        <f>VLOOKUP(B905,'Run Reconcile'!A$2:B3090,2,FALSE)</f>
        <v>44709</v>
      </c>
      <c r="D905" s="11">
        <f>IFERROR(__xludf.DUMMYFUNCTION("""COMPUTED_VALUE"""),44709.0)</f>
        <v>44709</v>
      </c>
      <c r="E905" s="12">
        <f>IFERROR(__xludf.DUMMYFUNCTION("""COMPUTED_VALUE"""),0.28148148148102337)</f>
        <v>0.2814814815</v>
      </c>
      <c r="F905" s="6" t="str">
        <f>IFERROR(__xludf.DUMMYFUNCTION("""COMPUTED_VALUE"""),"Negative")</f>
        <v>Negative</v>
      </c>
      <c r="G905" s="6">
        <f>IFERROR(__xludf.DUMMYFUNCTION("""COMPUTED_VALUE"""),1.0)</f>
        <v>1</v>
      </c>
    </row>
    <row r="906">
      <c r="A906" s="6" t="str">
        <f>IFERROR(__xludf.DUMMYFUNCTION("""COMPUTED_VALUE"""),"FM874")</f>
        <v>FM874</v>
      </c>
      <c r="B906" s="6" t="str">
        <f>IFERROR(__xludf.DUMMYFUNCTION("""COMPUTED_VALUE"""),"RUN-COMB_2022-05-28_RFR-049")</f>
        <v>RUN-COMB_2022-05-28_RFR-049</v>
      </c>
      <c r="C906" s="7">
        <f>VLOOKUP(B906,'Run Reconcile'!A$2:B3090,2,FALSE)</f>
        <v>44709</v>
      </c>
      <c r="D906" s="11">
        <f>IFERROR(__xludf.DUMMYFUNCTION("""COMPUTED_VALUE"""),44709.0)</f>
        <v>44709</v>
      </c>
      <c r="E906" s="12">
        <f>IFERROR(__xludf.DUMMYFUNCTION("""COMPUTED_VALUE"""),0.2818981481468654)</f>
        <v>0.2818981481</v>
      </c>
      <c r="F906" s="6" t="str">
        <f>IFERROR(__xludf.DUMMYFUNCTION("""COMPUTED_VALUE"""),"Negative")</f>
        <v>Negative</v>
      </c>
      <c r="G906" s="6">
        <f>IFERROR(__xludf.DUMMYFUNCTION("""COMPUTED_VALUE"""),1.0)</f>
        <v>1</v>
      </c>
    </row>
    <row r="907">
      <c r="A907" s="6" t="str">
        <f>IFERROR(__xludf.DUMMYFUNCTION("""COMPUTED_VALUE"""),"FM1928")</f>
        <v>FM1928</v>
      </c>
      <c r="B907" s="6" t="str">
        <f>IFERROR(__xludf.DUMMYFUNCTION("""COMPUTED_VALUE"""),"RUN-COMB_2022-05-28_RFR-049")</f>
        <v>RUN-COMB_2022-05-28_RFR-049</v>
      </c>
      <c r="C907" s="7">
        <f>VLOOKUP(B907,'Run Reconcile'!A$2:B3090,2,FALSE)</f>
        <v>44709</v>
      </c>
      <c r="D907" s="11">
        <f>IFERROR(__xludf.DUMMYFUNCTION("""COMPUTED_VALUE"""),44709.0)</f>
        <v>44709</v>
      </c>
      <c r="E907" s="12">
        <f>IFERROR(__xludf.DUMMYFUNCTION("""COMPUTED_VALUE"""),0.2822685185201408)</f>
        <v>0.2822685185</v>
      </c>
      <c r="F907" s="6" t="str">
        <f>IFERROR(__xludf.DUMMYFUNCTION("""COMPUTED_VALUE"""),"Negative")</f>
        <v>Negative</v>
      </c>
      <c r="G907" s="6">
        <f>IFERROR(__xludf.DUMMYFUNCTION("""COMPUTED_VALUE"""),1.0)</f>
        <v>1</v>
      </c>
    </row>
    <row r="908">
      <c r="A908" s="6" t="str">
        <f>IFERROR(__xludf.DUMMYFUNCTION("""COMPUTED_VALUE"""),"FM1963")</f>
        <v>FM1963</v>
      </c>
      <c r="B908" s="6" t="str">
        <f>IFERROR(__xludf.DUMMYFUNCTION("""COMPUTED_VALUE"""),"RUN-COMB_2022-05-28_RFR-049")</f>
        <v>RUN-COMB_2022-05-28_RFR-049</v>
      </c>
      <c r="C908" s="7">
        <f>VLOOKUP(B908,'Run Reconcile'!A$2:B3090,2,FALSE)</f>
        <v>44709</v>
      </c>
      <c r="D908" s="11">
        <f>IFERROR(__xludf.DUMMYFUNCTION("""COMPUTED_VALUE"""),44709.0)</f>
        <v>44709</v>
      </c>
      <c r="E908" s="12">
        <f>IFERROR(__xludf.DUMMYFUNCTION("""COMPUTED_VALUE"""),0.2826041666667152)</f>
        <v>0.2826041667</v>
      </c>
      <c r="F908" s="6" t="str">
        <f>IFERROR(__xludf.DUMMYFUNCTION("""COMPUTED_VALUE"""),"Negative")</f>
        <v>Negative</v>
      </c>
      <c r="G908" s="6">
        <f>IFERROR(__xludf.DUMMYFUNCTION("""COMPUTED_VALUE"""),1.0)</f>
        <v>1</v>
      </c>
    </row>
    <row r="909">
      <c r="A909" s="6" t="str">
        <f>IFERROR(__xludf.DUMMYFUNCTION("""COMPUTED_VALUE"""),"FM868")</f>
        <v>FM868</v>
      </c>
      <c r="B909" s="6" t="str">
        <f>IFERROR(__xludf.DUMMYFUNCTION("""COMPUTED_VALUE"""),"RUN-COMB_2022-05-28_RFR-049")</f>
        <v>RUN-COMB_2022-05-28_RFR-049</v>
      </c>
      <c r="C909" s="7">
        <f>VLOOKUP(B909,'Run Reconcile'!A$2:B3090,2,FALSE)</f>
        <v>44709</v>
      </c>
      <c r="D909" s="11">
        <f>IFERROR(__xludf.DUMMYFUNCTION("""COMPUTED_VALUE"""),44709.0)</f>
        <v>44709</v>
      </c>
      <c r="E909" s="12">
        <f>IFERROR(__xludf.DUMMYFUNCTION("""COMPUTED_VALUE"""),0.2831018518518249)</f>
        <v>0.2831018519</v>
      </c>
      <c r="F909" s="6" t="str">
        <f>IFERROR(__xludf.DUMMYFUNCTION("""COMPUTED_VALUE"""),"Negative")</f>
        <v>Negative</v>
      </c>
      <c r="G909" s="6">
        <f>IFERROR(__xludf.DUMMYFUNCTION("""COMPUTED_VALUE"""),1.0)</f>
        <v>1</v>
      </c>
    </row>
    <row r="910">
      <c r="A910" s="6" t="str">
        <f>IFERROR(__xludf.DUMMYFUNCTION("""COMPUTED_VALUE"""),"FM1951")</f>
        <v>FM1951</v>
      </c>
      <c r="B910" s="6" t="str">
        <f>IFERROR(__xludf.DUMMYFUNCTION("""COMPUTED_VALUE"""),"RUN-COMB_2022-05-28_RFR-049")</f>
        <v>RUN-COMB_2022-05-28_RFR-049</v>
      </c>
      <c r="C910" s="7">
        <f>VLOOKUP(B910,'Run Reconcile'!A$2:B3090,2,FALSE)</f>
        <v>44709</v>
      </c>
      <c r="D910" s="11">
        <f>IFERROR(__xludf.DUMMYFUNCTION("""COMPUTED_VALUE"""),44709.0)</f>
        <v>44709</v>
      </c>
      <c r="E910" s="12">
        <f>IFERROR(__xludf.DUMMYFUNCTION("""COMPUTED_VALUE"""),0.28362268518685596)</f>
        <v>0.2836226852</v>
      </c>
      <c r="F910" s="6" t="str">
        <f>IFERROR(__xludf.DUMMYFUNCTION("""COMPUTED_VALUE"""),"Negative")</f>
        <v>Negative</v>
      </c>
      <c r="G910" s="6">
        <f>IFERROR(__xludf.DUMMYFUNCTION("""COMPUTED_VALUE"""),1.0)</f>
        <v>1</v>
      </c>
    </row>
    <row r="911">
      <c r="A911" s="6" t="str">
        <f>IFERROR(__xludf.DUMMYFUNCTION("""COMPUTED_VALUE"""),"FM1974")</f>
        <v>FM1974</v>
      </c>
      <c r="B911" s="6" t="str">
        <f>IFERROR(__xludf.DUMMYFUNCTION("""COMPUTED_VALUE"""),"RUN-COMB_2022-05-28_RFR-049")</f>
        <v>RUN-COMB_2022-05-28_RFR-049</v>
      </c>
      <c r="C911" s="7">
        <f>VLOOKUP(B911,'Run Reconcile'!A$2:B3090,2,FALSE)</f>
        <v>44709</v>
      </c>
      <c r="D911" s="11">
        <f>IFERROR(__xludf.DUMMYFUNCTION("""COMPUTED_VALUE"""),44709.0)</f>
        <v>44709</v>
      </c>
      <c r="E911" s="12">
        <f>IFERROR(__xludf.DUMMYFUNCTION("""COMPUTED_VALUE"""),0.28406249999898137)</f>
        <v>0.2840625</v>
      </c>
      <c r="F911" s="6" t="str">
        <f>IFERROR(__xludf.DUMMYFUNCTION("""COMPUTED_VALUE"""),"Negative")</f>
        <v>Negative</v>
      </c>
      <c r="G911" s="6">
        <f>IFERROR(__xludf.DUMMYFUNCTION("""COMPUTED_VALUE"""),1.0)</f>
        <v>1</v>
      </c>
    </row>
    <row r="912">
      <c r="A912" s="6" t="str">
        <f>IFERROR(__xludf.DUMMYFUNCTION("""COMPUTED_VALUE"""),"FM850")</f>
        <v>FM850</v>
      </c>
      <c r="B912" s="6" t="str">
        <f>IFERROR(__xludf.DUMMYFUNCTION("""COMPUTED_VALUE"""),"RUN-COMB_2022-05-28_RFR-049")</f>
        <v>RUN-COMB_2022-05-28_RFR-049</v>
      </c>
      <c r="C912" s="7">
        <f>VLOOKUP(B912,'Run Reconcile'!A$2:B3090,2,FALSE)</f>
        <v>44709</v>
      </c>
      <c r="D912" s="11">
        <f>IFERROR(__xludf.DUMMYFUNCTION("""COMPUTED_VALUE"""),44709.0)</f>
        <v>44709</v>
      </c>
      <c r="E912" s="12">
        <f>IFERROR(__xludf.DUMMYFUNCTION("""COMPUTED_VALUE"""),0.28450231481474475)</f>
        <v>0.2845023148</v>
      </c>
      <c r="F912" s="6" t="str">
        <f>IFERROR(__xludf.DUMMYFUNCTION("""COMPUTED_VALUE"""),"Negative")</f>
        <v>Negative</v>
      </c>
      <c r="G912" s="6">
        <f>IFERROR(__xludf.DUMMYFUNCTION("""COMPUTED_VALUE"""),1.0)</f>
        <v>1</v>
      </c>
    </row>
    <row r="913">
      <c r="A913" s="6" t="str">
        <f>IFERROR(__xludf.DUMMYFUNCTION("""COMPUTED_VALUE"""),"FM871")</f>
        <v>FM871</v>
      </c>
      <c r="B913" s="6" t="str">
        <f>IFERROR(__xludf.DUMMYFUNCTION("""COMPUTED_VALUE"""),"RUN-COMB_2022-05-28_RFR-049")</f>
        <v>RUN-COMB_2022-05-28_RFR-049</v>
      </c>
      <c r="C913" s="7">
        <f>VLOOKUP(B913,'Run Reconcile'!A$2:B3090,2,FALSE)</f>
        <v>44709</v>
      </c>
      <c r="D913" s="11">
        <f>IFERROR(__xludf.DUMMYFUNCTION("""COMPUTED_VALUE"""),44709.0)</f>
        <v>44709</v>
      </c>
      <c r="E913" s="12">
        <f>IFERROR(__xludf.DUMMYFUNCTION("""COMPUTED_VALUE"""),0.28489583333430346)</f>
        <v>0.2848958333</v>
      </c>
      <c r="F913" s="6" t="str">
        <f>IFERROR(__xludf.DUMMYFUNCTION("""COMPUTED_VALUE"""),"Negative")</f>
        <v>Negative</v>
      </c>
      <c r="G913" s="6">
        <f>IFERROR(__xludf.DUMMYFUNCTION("""COMPUTED_VALUE"""),1.0)</f>
        <v>1</v>
      </c>
    </row>
    <row r="914">
      <c r="A914" s="6" t="str">
        <f>IFERROR(__xludf.DUMMYFUNCTION("""COMPUTED_VALUE"""),"FM1971")</f>
        <v>FM1971</v>
      </c>
      <c r="B914" s="6" t="str">
        <f>IFERROR(__xludf.DUMMYFUNCTION("""COMPUTED_VALUE"""),"RUN-COMB_2022-05-28_RFR-049")</f>
        <v>RUN-COMB_2022-05-28_RFR-049</v>
      </c>
      <c r="C914" s="7">
        <f>VLOOKUP(B914,'Run Reconcile'!A$2:B3090,2,FALSE)</f>
        <v>44709</v>
      </c>
      <c r="D914" s="11">
        <f>IFERROR(__xludf.DUMMYFUNCTION("""COMPUTED_VALUE"""),44709.0)</f>
        <v>44709</v>
      </c>
      <c r="E914" s="12">
        <f>IFERROR(__xludf.DUMMYFUNCTION("""COMPUTED_VALUE"""),0.2852893518502242)</f>
        <v>0.2852893519</v>
      </c>
      <c r="F914" s="6" t="str">
        <f>IFERROR(__xludf.DUMMYFUNCTION("""COMPUTED_VALUE"""),"Negative")</f>
        <v>Negative</v>
      </c>
      <c r="G914" s="6">
        <f>IFERROR(__xludf.DUMMYFUNCTION("""COMPUTED_VALUE"""),1.0)</f>
        <v>1</v>
      </c>
    </row>
    <row r="915">
      <c r="A915" s="6" t="str">
        <f>IFERROR(__xludf.DUMMYFUNCTION("""COMPUTED_VALUE"""),"FM845")</f>
        <v>FM845</v>
      </c>
      <c r="B915" s="6" t="str">
        <f>IFERROR(__xludf.DUMMYFUNCTION("""COMPUTED_VALUE"""),"RUN-COMB_2022-05-28_RFR-049")</f>
        <v>RUN-COMB_2022-05-28_RFR-049</v>
      </c>
      <c r="C915" s="7">
        <f>VLOOKUP(B915,'Run Reconcile'!A$2:B3090,2,FALSE)</f>
        <v>44709</v>
      </c>
      <c r="D915" s="11">
        <f>IFERROR(__xludf.DUMMYFUNCTION("""COMPUTED_VALUE"""),44709.0)</f>
        <v>44709</v>
      </c>
      <c r="E915" s="12">
        <f>IFERROR(__xludf.DUMMYFUNCTION("""COMPUTED_VALUE"""),0.2856828703697829)</f>
        <v>0.2856828704</v>
      </c>
      <c r="F915" s="6" t="str">
        <f>IFERROR(__xludf.DUMMYFUNCTION("""COMPUTED_VALUE"""),"Negative")</f>
        <v>Negative</v>
      </c>
      <c r="G915" s="6">
        <f>IFERROR(__xludf.DUMMYFUNCTION("""COMPUTED_VALUE"""),1.0)</f>
        <v>1</v>
      </c>
    </row>
    <row r="916">
      <c r="A916" s="6" t="str">
        <f>IFERROR(__xludf.DUMMYFUNCTION("""COMPUTED_VALUE"""),"FM1940")</f>
        <v>FM1940</v>
      </c>
      <c r="B916" s="6" t="str">
        <f>IFERROR(__xludf.DUMMYFUNCTION("""COMPUTED_VALUE"""),"RUN-COMB_2022-05-28_RFR-049")</f>
        <v>RUN-COMB_2022-05-28_RFR-049</v>
      </c>
      <c r="C916" s="7">
        <f>VLOOKUP(B916,'Run Reconcile'!A$2:B3090,2,FALSE)</f>
        <v>44709</v>
      </c>
      <c r="D916" s="11">
        <f>IFERROR(__xludf.DUMMYFUNCTION("""COMPUTED_VALUE"""),44709.0)</f>
        <v>44709</v>
      </c>
      <c r="E916" s="12">
        <f>IFERROR(__xludf.DUMMYFUNCTION("""COMPUTED_VALUE"""),0.2860416666662786)</f>
        <v>0.2860416667</v>
      </c>
      <c r="F916" s="6" t="str">
        <f>IFERROR(__xludf.DUMMYFUNCTION("""COMPUTED_VALUE"""),"Negative")</f>
        <v>Negative</v>
      </c>
      <c r="G916" s="6">
        <f>IFERROR(__xludf.DUMMYFUNCTION("""COMPUTED_VALUE"""),1.0)</f>
        <v>1</v>
      </c>
    </row>
    <row r="917">
      <c r="A917" s="6" t="str">
        <f>IFERROR(__xludf.DUMMYFUNCTION("""COMPUTED_VALUE"""),"FM1962")</f>
        <v>FM1962</v>
      </c>
      <c r="B917" s="6" t="str">
        <f>IFERROR(__xludf.DUMMYFUNCTION("""COMPUTED_VALUE"""),"RUN-COMB_2022-05-28_RFR-049")</f>
        <v>RUN-COMB_2022-05-28_RFR-049</v>
      </c>
      <c r="C917" s="7">
        <f>VLOOKUP(B917,'Run Reconcile'!A$2:B3090,2,FALSE)</f>
        <v>44709</v>
      </c>
      <c r="D917" s="11">
        <f>IFERROR(__xludf.DUMMYFUNCTION("""COMPUTED_VALUE"""),44709.0)</f>
        <v>44709</v>
      </c>
      <c r="E917" s="12">
        <f>IFERROR(__xludf.DUMMYFUNCTION("""COMPUTED_VALUE"""),0.29064814814773854)</f>
        <v>0.2906481481</v>
      </c>
      <c r="F917" s="6" t="str">
        <f>IFERROR(__xludf.DUMMYFUNCTION("""COMPUTED_VALUE"""),"Negative")</f>
        <v>Negative</v>
      </c>
      <c r="G917" s="6">
        <f>IFERROR(__xludf.DUMMYFUNCTION("""COMPUTED_VALUE"""),1.0)</f>
        <v>1</v>
      </c>
    </row>
    <row r="918">
      <c r="A918" s="6" t="str">
        <f>IFERROR(__xludf.DUMMYFUNCTION("""COMPUTED_VALUE"""),"FM1954")</f>
        <v>FM1954</v>
      </c>
      <c r="B918" s="6" t="str">
        <f>IFERROR(__xludf.DUMMYFUNCTION("""COMPUTED_VALUE"""),"RUN-COMB_2022-05-28_RFR-049")</f>
        <v>RUN-COMB_2022-05-28_RFR-049</v>
      </c>
      <c r="C918" s="7">
        <f>VLOOKUP(B918,'Run Reconcile'!A$2:B3090,2,FALSE)</f>
        <v>44709</v>
      </c>
      <c r="D918" s="11">
        <f>IFERROR(__xludf.DUMMYFUNCTION("""COMPUTED_VALUE"""),44709.0)</f>
        <v>44709</v>
      </c>
      <c r="E918" s="12">
        <f>IFERROR(__xludf.DUMMYFUNCTION("""COMPUTED_VALUE"""),0.2946527777785377)</f>
        <v>0.2946527778</v>
      </c>
      <c r="F918" s="6" t="str">
        <f>IFERROR(__xludf.DUMMYFUNCTION("""COMPUTED_VALUE"""),"Negative")</f>
        <v>Negative</v>
      </c>
      <c r="G918" s="6">
        <f>IFERROR(__xludf.DUMMYFUNCTION("""COMPUTED_VALUE"""),1.0)</f>
        <v>1</v>
      </c>
    </row>
    <row r="919">
      <c r="A919" s="6" t="str">
        <f>IFERROR(__xludf.DUMMYFUNCTION("""COMPUTED_VALUE"""),"FM1970")</f>
        <v>FM1970</v>
      </c>
      <c r="B919" s="6" t="str">
        <f>IFERROR(__xludf.DUMMYFUNCTION("""COMPUTED_VALUE"""),"RUN-COMB_2022-05-28_RFR-049")</f>
        <v>RUN-COMB_2022-05-28_RFR-049</v>
      </c>
      <c r="C919" s="7">
        <f>VLOOKUP(B919,'Run Reconcile'!A$2:B3090,2,FALSE)</f>
        <v>44709</v>
      </c>
      <c r="D919" s="11">
        <f>IFERROR(__xludf.DUMMYFUNCTION("""COMPUTED_VALUE"""),44709.0)</f>
        <v>44709</v>
      </c>
      <c r="E919" s="12">
        <f>IFERROR(__xludf.DUMMYFUNCTION("""COMPUTED_VALUE"""),0.3008101851846732)</f>
        <v>0.3008101852</v>
      </c>
      <c r="F919" s="6" t="str">
        <f>IFERROR(__xludf.DUMMYFUNCTION("""COMPUTED_VALUE"""),"Negative")</f>
        <v>Negative</v>
      </c>
      <c r="G919" s="6">
        <f>IFERROR(__xludf.DUMMYFUNCTION("""COMPUTED_VALUE"""),1.0)</f>
        <v>1</v>
      </c>
    </row>
    <row r="920">
      <c r="A920" s="6" t="str">
        <f>IFERROR(__xludf.DUMMYFUNCTION("""COMPUTED_VALUE"""),"FM1931")</f>
        <v>FM1931</v>
      </c>
      <c r="B920" s="6" t="str">
        <f>IFERROR(__xludf.DUMMYFUNCTION("""COMPUTED_VALUE"""),"RUN-COMB_2022-05-28_RFR-049")</f>
        <v>RUN-COMB_2022-05-28_RFR-049</v>
      </c>
      <c r="C920" s="7">
        <f>VLOOKUP(B920,'Run Reconcile'!A$2:B3090,2,FALSE)</f>
        <v>44709</v>
      </c>
      <c r="D920" s="11">
        <f>IFERROR(__xludf.DUMMYFUNCTION("""COMPUTED_VALUE"""),44709.0)</f>
        <v>44709</v>
      </c>
      <c r="E920" s="12">
        <f>IFERROR(__xludf.DUMMYFUNCTION("""COMPUTED_VALUE"""),0.302210648147593)</f>
        <v>0.3022106481</v>
      </c>
      <c r="F920" s="6" t="str">
        <f>IFERROR(__xludf.DUMMYFUNCTION("""COMPUTED_VALUE"""),"Negative")</f>
        <v>Negative</v>
      </c>
      <c r="G920" s="6">
        <f>IFERROR(__xludf.DUMMYFUNCTION("""COMPUTED_VALUE"""),1.0)</f>
        <v>1</v>
      </c>
    </row>
    <row r="921">
      <c r="A921" s="6" t="str">
        <f>IFERROR(__xludf.DUMMYFUNCTION("""COMPUTED_VALUE"""),"FM1952")</f>
        <v>FM1952</v>
      </c>
      <c r="B921" s="6" t="str">
        <f>IFERROR(__xludf.DUMMYFUNCTION("""COMPUTED_VALUE"""),"RUN-COMB_2022-05-28_RFR-049")</f>
        <v>RUN-COMB_2022-05-28_RFR-049</v>
      </c>
      <c r="C921" s="7">
        <f>VLOOKUP(B921,'Run Reconcile'!A$2:B3090,2,FALSE)</f>
        <v>44709</v>
      </c>
      <c r="D921" s="11">
        <f>IFERROR(__xludf.DUMMYFUNCTION("""COMPUTED_VALUE"""),44709.0)</f>
        <v>44709</v>
      </c>
      <c r="E921" s="12">
        <f>IFERROR(__xludf.DUMMYFUNCTION("""COMPUTED_VALUE"""),0.3028356481481751)</f>
        <v>0.3028356481</v>
      </c>
      <c r="F921" s="6" t="str">
        <f>IFERROR(__xludf.DUMMYFUNCTION("""COMPUTED_VALUE"""),"Negative")</f>
        <v>Negative</v>
      </c>
      <c r="G921" s="6">
        <f>IFERROR(__xludf.DUMMYFUNCTION("""COMPUTED_VALUE"""),1.0)</f>
        <v>1</v>
      </c>
    </row>
    <row r="922">
      <c r="A922" s="6" t="str">
        <f>IFERROR(__xludf.DUMMYFUNCTION("""COMPUTED_VALUE"""),"FM846")</f>
        <v>FM846</v>
      </c>
      <c r="B922" s="6" t="str">
        <f>IFERROR(__xludf.DUMMYFUNCTION("""COMPUTED_VALUE"""),"RUN-COMB_2022-05-28_RFR-049")</f>
        <v>RUN-COMB_2022-05-28_RFR-049</v>
      </c>
      <c r="C922" s="7">
        <f>VLOOKUP(B922,'Run Reconcile'!A$2:B3090,2,FALSE)</f>
        <v>44709</v>
      </c>
      <c r="D922" s="11">
        <f>IFERROR(__xludf.DUMMYFUNCTION("""COMPUTED_VALUE"""),44709.0)</f>
        <v>44709</v>
      </c>
      <c r="E922" s="12">
        <f>IFERROR(__xludf.DUMMYFUNCTION("""COMPUTED_VALUE"""),0.30401620370321325)</f>
        <v>0.3040162037</v>
      </c>
      <c r="F922" s="6" t="str">
        <f>IFERROR(__xludf.DUMMYFUNCTION("""COMPUTED_VALUE"""),"Negative")</f>
        <v>Negative</v>
      </c>
      <c r="G922" s="6">
        <f>IFERROR(__xludf.DUMMYFUNCTION("""COMPUTED_VALUE"""),1.0)</f>
        <v>1</v>
      </c>
    </row>
    <row r="923">
      <c r="A923" s="6" t="str">
        <f>IFERROR(__xludf.DUMMYFUNCTION("""COMPUTED_VALUE"""),"FM2640")</f>
        <v>FM2640</v>
      </c>
      <c r="B923" s="6" t="str">
        <f>IFERROR(__xludf.DUMMYFUNCTION("""COMPUTED_VALUE"""),"RUN-COMB_2022-05-28_RFR-049")</f>
        <v>RUN-COMB_2022-05-28_RFR-049</v>
      </c>
      <c r="C923" s="7">
        <f>VLOOKUP(B923,'Run Reconcile'!A$2:B3090,2,FALSE)</f>
        <v>44709</v>
      </c>
      <c r="D923" s="11">
        <f>IFERROR(__xludf.DUMMYFUNCTION("""COMPUTED_VALUE"""),44709.0)</f>
        <v>44709</v>
      </c>
      <c r="E923" s="12">
        <f>IFERROR(__xludf.DUMMYFUNCTION("""COMPUTED_VALUE"""),0.30554398148160544)</f>
        <v>0.3055439815</v>
      </c>
      <c r="F923" s="6" t="str">
        <f>IFERROR(__xludf.DUMMYFUNCTION("""COMPUTED_VALUE"""),"Negative")</f>
        <v>Negative</v>
      </c>
      <c r="G923" s="6">
        <f>IFERROR(__xludf.DUMMYFUNCTION("""COMPUTED_VALUE"""),1.0)</f>
        <v>1</v>
      </c>
    </row>
    <row r="924">
      <c r="A924" s="6" t="str">
        <f>IFERROR(__xludf.DUMMYFUNCTION("""COMPUTED_VALUE"""),"FM2588")</f>
        <v>FM2588</v>
      </c>
      <c r="B924" s="6" t="str">
        <f>IFERROR(__xludf.DUMMYFUNCTION("""COMPUTED_VALUE"""),"RUN-COMB_2022-05-28_RFR-049")</f>
        <v>RUN-COMB_2022-05-28_RFR-049</v>
      </c>
      <c r="C924" s="7">
        <f>VLOOKUP(B924,'Run Reconcile'!A$2:B3090,2,FALSE)</f>
        <v>44709</v>
      </c>
      <c r="D924" s="11">
        <f>IFERROR(__xludf.DUMMYFUNCTION("""COMPUTED_VALUE"""),44709.0)</f>
        <v>44709</v>
      </c>
      <c r="E924" s="12">
        <f>IFERROR(__xludf.DUMMYFUNCTION("""COMPUTED_VALUE"""),0.30645833333255723)</f>
        <v>0.3064583333</v>
      </c>
      <c r="F924" s="6" t="str">
        <f>IFERROR(__xludf.DUMMYFUNCTION("""COMPUTED_VALUE"""),"Negative")</f>
        <v>Negative</v>
      </c>
      <c r="G924" s="6">
        <f>IFERROR(__xludf.DUMMYFUNCTION("""COMPUTED_VALUE"""),1.0)</f>
        <v>1</v>
      </c>
    </row>
    <row r="925">
      <c r="A925" s="6" t="str">
        <f>IFERROR(__xludf.DUMMYFUNCTION("""COMPUTED_VALUE"""),"FM2650")</f>
        <v>FM2650</v>
      </c>
      <c r="B925" s="6" t="str">
        <f>IFERROR(__xludf.DUMMYFUNCTION("""COMPUTED_VALUE"""),"RUN-COMB_2022-05-28_RFR-049")</f>
        <v>RUN-COMB_2022-05-28_RFR-049</v>
      </c>
      <c r="C925" s="7">
        <f>VLOOKUP(B925,'Run Reconcile'!A$2:B3090,2,FALSE)</f>
        <v>44709</v>
      </c>
      <c r="D925" s="11">
        <f>IFERROR(__xludf.DUMMYFUNCTION("""COMPUTED_VALUE"""),44709.0)</f>
        <v>44709</v>
      </c>
      <c r="E925" s="12">
        <f>IFERROR(__xludf.DUMMYFUNCTION("""COMPUTED_VALUE"""),0.307233796294895)</f>
        <v>0.3072337963</v>
      </c>
      <c r="F925" s="6" t="str">
        <f>IFERROR(__xludf.DUMMYFUNCTION("""COMPUTED_VALUE"""),"Negative")</f>
        <v>Negative</v>
      </c>
      <c r="G925" s="6">
        <f>IFERROR(__xludf.DUMMYFUNCTION("""COMPUTED_VALUE"""),1.0)</f>
        <v>1</v>
      </c>
    </row>
    <row r="926">
      <c r="A926" s="6" t="str">
        <f>IFERROR(__xludf.DUMMYFUNCTION("""COMPUTED_VALUE"""),"FM2603")</f>
        <v>FM2603</v>
      </c>
      <c r="B926" s="6" t="str">
        <f>IFERROR(__xludf.DUMMYFUNCTION("""COMPUTED_VALUE"""),"RUN-COMB_2022-05-28_RFR-049")</f>
        <v>RUN-COMB_2022-05-28_RFR-049</v>
      </c>
      <c r="C926" s="7">
        <f>VLOOKUP(B926,'Run Reconcile'!A$2:B3090,2,FALSE)</f>
        <v>44709</v>
      </c>
      <c r="D926" s="11">
        <f>IFERROR(__xludf.DUMMYFUNCTION("""COMPUTED_VALUE"""),44709.0)</f>
        <v>44709</v>
      </c>
      <c r="E926" s="12">
        <f>IFERROR(__xludf.DUMMYFUNCTION("""COMPUTED_VALUE"""),0.3094907407394203)</f>
        <v>0.3094907407</v>
      </c>
      <c r="F926" s="6" t="str">
        <f>IFERROR(__xludf.DUMMYFUNCTION("""COMPUTED_VALUE"""),"Negative")</f>
        <v>Negative</v>
      </c>
      <c r="G926" s="6">
        <f>IFERROR(__xludf.DUMMYFUNCTION("""COMPUTED_VALUE"""),1.0)</f>
        <v>1</v>
      </c>
    </row>
    <row r="927">
      <c r="A927" s="6" t="str">
        <f>IFERROR(__xludf.DUMMYFUNCTION("""COMPUTED_VALUE"""),"FM2612")</f>
        <v>FM2612</v>
      </c>
      <c r="B927" s="6" t="str">
        <f>IFERROR(__xludf.DUMMYFUNCTION("""COMPUTED_VALUE"""),"RUN-COMB_2022-05-29_RFR-050")</f>
        <v>RUN-COMB_2022-05-29_RFR-050</v>
      </c>
      <c r="C927" s="7">
        <f>VLOOKUP(B927,'Run Reconcile'!A$2:B3090,2,FALSE)</f>
        <v>44710</v>
      </c>
      <c r="D927" s="11">
        <f>IFERROR(__xludf.DUMMYFUNCTION("""COMPUTED_VALUE"""),44710.0)</f>
        <v>44710</v>
      </c>
      <c r="E927" s="12">
        <f>IFERROR(__xludf.DUMMYFUNCTION("""COMPUTED_VALUE"""),0.27407407407372375)</f>
        <v>0.2740740741</v>
      </c>
      <c r="F927" s="6" t="str">
        <f>IFERROR(__xludf.DUMMYFUNCTION("""COMPUTED_VALUE"""),"Negative")</f>
        <v>Negative</v>
      </c>
      <c r="G927" s="6">
        <f>IFERROR(__xludf.DUMMYFUNCTION("""COMPUTED_VALUE"""),1.0)</f>
        <v>1</v>
      </c>
    </row>
    <row r="928">
      <c r="A928" s="6" t="str">
        <f>IFERROR(__xludf.DUMMYFUNCTION("""COMPUTED_VALUE"""),"FM2658")</f>
        <v>FM2658</v>
      </c>
      <c r="B928" s="6" t="str">
        <f>IFERROR(__xludf.DUMMYFUNCTION("""COMPUTED_VALUE"""),"RUN-COMB_2022-05-29_RFR-050")</f>
        <v>RUN-COMB_2022-05-29_RFR-050</v>
      </c>
      <c r="C928" s="7">
        <f>VLOOKUP(B928,'Run Reconcile'!A$2:B3090,2,FALSE)</f>
        <v>44710</v>
      </c>
      <c r="D928" s="11">
        <f>IFERROR(__xludf.DUMMYFUNCTION("""COMPUTED_VALUE"""),44710.0)</f>
        <v>44710</v>
      </c>
      <c r="E928" s="12">
        <f>IFERROR(__xludf.DUMMYFUNCTION("""COMPUTED_VALUE"""),0.27444444444336114)</f>
        <v>0.2744444444</v>
      </c>
      <c r="F928" s="6" t="str">
        <f>IFERROR(__xludf.DUMMYFUNCTION("""COMPUTED_VALUE"""),"Negative")</f>
        <v>Negative</v>
      </c>
      <c r="G928" s="6">
        <f>IFERROR(__xludf.DUMMYFUNCTION("""COMPUTED_VALUE"""),1.0)</f>
        <v>1</v>
      </c>
    </row>
    <row r="929">
      <c r="A929" s="6" t="str">
        <f>IFERROR(__xludf.DUMMYFUNCTION("""COMPUTED_VALUE"""),"FM2624")</f>
        <v>FM2624</v>
      </c>
      <c r="B929" s="6" t="str">
        <f>IFERROR(__xludf.DUMMYFUNCTION("""COMPUTED_VALUE"""),"RUN-COMB_2022-05-29_RFR-050")</f>
        <v>RUN-COMB_2022-05-29_RFR-050</v>
      </c>
      <c r="C929" s="7">
        <f>VLOOKUP(B929,'Run Reconcile'!A$2:B3090,2,FALSE)</f>
        <v>44710</v>
      </c>
      <c r="D929" s="11">
        <f>IFERROR(__xludf.DUMMYFUNCTION("""COMPUTED_VALUE"""),44710.0)</f>
        <v>44710</v>
      </c>
      <c r="E929" s="12">
        <f>IFERROR(__xludf.DUMMYFUNCTION("""COMPUTED_VALUE"""),0.27480324073985685)</f>
        <v>0.2748032407</v>
      </c>
      <c r="F929" s="6" t="str">
        <f>IFERROR(__xludf.DUMMYFUNCTION("""COMPUTED_VALUE"""),"Negative")</f>
        <v>Negative</v>
      </c>
      <c r="G929" s="6">
        <f>IFERROR(__xludf.DUMMYFUNCTION("""COMPUTED_VALUE"""),1.0)</f>
        <v>1</v>
      </c>
    </row>
    <row r="930">
      <c r="A930" s="6" t="str">
        <f>IFERROR(__xludf.DUMMYFUNCTION("""COMPUTED_VALUE"""),"FM2678")</f>
        <v>FM2678</v>
      </c>
      <c r="B930" s="6" t="str">
        <f>IFERROR(__xludf.DUMMYFUNCTION("""COMPUTED_VALUE"""),"RUN-COMB_2022-05-29_RFR-050")</f>
        <v>RUN-COMB_2022-05-29_RFR-050</v>
      </c>
      <c r="C930" s="7">
        <f>VLOOKUP(B930,'Run Reconcile'!A$2:B3090,2,FALSE)</f>
        <v>44710</v>
      </c>
      <c r="D930" s="11">
        <f>IFERROR(__xludf.DUMMYFUNCTION("""COMPUTED_VALUE"""),44710.0)</f>
        <v>44710</v>
      </c>
      <c r="E930" s="12">
        <f>IFERROR(__xludf.DUMMYFUNCTION("""COMPUTED_VALUE"""),0.2751851851862739)</f>
        <v>0.2751851852</v>
      </c>
      <c r="F930" s="6" t="str">
        <f>IFERROR(__xludf.DUMMYFUNCTION("""COMPUTED_VALUE"""),"Negative")</f>
        <v>Negative</v>
      </c>
      <c r="G930" s="6">
        <f>IFERROR(__xludf.DUMMYFUNCTION("""COMPUTED_VALUE"""),1.0)</f>
        <v>1</v>
      </c>
    </row>
    <row r="931">
      <c r="A931" s="6" t="str">
        <f>IFERROR(__xludf.DUMMYFUNCTION("""COMPUTED_VALUE"""),"FM2627")</f>
        <v>FM2627</v>
      </c>
      <c r="B931" s="6" t="str">
        <f>IFERROR(__xludf.DUMMYFUNCTION("""COMPUTED_VALUE"""),"RUN-COMB_2022-05-29_RFR-050")</f>
        <v>RUN-COMB_2022-05-29_RFR-050</v>
      </c>
      <c r="C931" s="7">
        <f>VLOOKUP(B931,'Run Reconcile'!A$2:B3090,2,FALSE)</f>
        <v>44710</v>
      </c>
      <c r="D931" s="11">
        <f>IFERROR(__xludf.DUMMYFUNCTION("""COMPUTED_VALUE"""),44710.0)</f>
        <v>44710</v>
      </c>
      <c r="E931" s="12">
        <f>IFERROR(__xludf.DUMMYFUNCTION("""COMPUTED_VALUE"""),0.27552083333284827)</f>
        <v>0.2755208333</v>
      </c>
      <c r="F931" s="6" t="str">
        <f>IFERROR(__xludf.DUMMYFUNCTION("""COMPUTED_VALUE"""),"Negative")</f>
        <v>Negative</v>
      </c>
      <c r="G931" s="6">
        <f>IFERROR(__xludf.DUMMYFUNCTION("""COMPUTED_VALUE"""),1.0)</f>
        <v>1</v>
      </c>
    </row>
    <row r="932">
      <c r="A932" s="6" t="str">
        <f>IFERROR(__xludf.DUMMYFUNCTION("""COMPUTED_VALUE"""),"FM2654")</f>
        <v>FM2654</v>
      </c>
      <c r="B932" s="6" t="str">
        <f>IFERROR(__xludf.DUMMYFUNCTION("""COMPUTED_VALUE"""),"RUN-COMB_2022-05-29_RFR-050")</f>
        <v>RUN-COMB_2022-05-29_RFR-050</v>
      </c>
      <c r="C932" s="7">
        <f>VLOOKUP(B932,'Run Reconcile'!A$2:B3090,2,FALSE)</f>
        <v>44710</v>
      </c>
      <c r="D932" s="11">
        <f>IFERROR(__xludf.DUMMYFUNCTION("""COMPUTED_VALUE"""),44710.0)</f>
        <v>44710</v>
      </c>
      <c r="E932" s="12">
        <f>IFERROR(__xludf.DUMMYFUNCTION("""COMPUTED_VALUE"""),0.27599537037167465)</f>
        <v>0.2759953704</v>
      </c>
      <c r="F932" s="6" t="str">
        <f>IFERROR(__xludf.DUMMYFUNCTION("""COMPUTED_VALUE"""),"Negative")</f>
        <v>Negative</v>
      </c>
      <c r="G932" s="6">
        <f>IFERROR(__xludf.DUMMYFUNCTION("""COMPUTED_VALUE"""),1.0)</f>
        <v>1</v>
      </c>
    </row>
    <row r="933">
      <c r="A933" s="6" t="str">
        <f>IFERROR(__xludf.DUMMYFUNCTION("""COMPUTED_VALUE"""),"FM2681")</f>
        <v>FM2681</v>
      </c>
      <c r="B933" s="6" t="str">
        <f>IFERROR(__xludf.DUMMYFUNCTION("""COMPUTED_VALUE"""),"RUN-COMB_2022-05-29_RFR-050")</f>
        <v>RUN-COMB_2022-05-29_RFR-050</v>
      </c>
      <c r="C933" s="7">
        <f>VLOOKUP(B933,'Run Reconcile'!A$2:B3090,2,FALSE)</f>
        <v>44710</v>
      </c>
      <c r="D933" s="11">
        <f>IFERROR(__xludf.DUMMYFUNCTION("""COMPUTED_VALUE"""),44710.0)</f>
        <v>44710</v>
      </c>
      <c r="E933" s="12">
        <f>IFERROR(__xludf.DUMMYFUNCTION("""COMPUTED_VALUE"""),0.27635416666817036)</f>
        <v>0.2763541667</v>
      </c>
      <c r="F933" s="6" t="str">
        <f>IFERROR(__xludf.DUMMYFUNCTION("""COMPUTED_VALUE"""),"Negative")</f>
        <v>Negative</v>
      </c>
      <c r="G933" s="6">
        <f>IFERROR(__xludf.DUMMYFUNCTION("""COMPUTED_VALUE"""),1.0)</f>
        <v>1</v>
      </c>
    </row>
    <row r="934">
      <c r="A934" s="6" t="str">
        <f>IFERROR(__xludf.DUMMYFUNCTION("""COMPUTED_VALUE"""),"FM2604")</f>
        <v>FM2604</v>
      </c>
      <c r="B934" s="6" t="str">
        <f>IFERROR(__xludf.DUMMYFUNCTION("""COMPUTED_VALUE"""),"RUN-COMB_2022-05-29_RFR-050")</f>
        <v>RUN-COMB_2022-05-29_RFR-050</v>
      </c>
      <c r="C934" s="7">
        <f>VLOOKUP(B934,'Run Reconcile'!A$2:B3090,2,FALSE)</f>
        <v>44710</v>
      </c>
      <c r="D934" s="11">
        <f>IFERROR(__xludf.DUMMYFUNCTION("""COMPUTED_VALUE"""),44710.0)</f>
        <v>44710</v>
      </c>
      <c r="E934" s="12">
        <f>IFERROR(__xludf.DUMMYFUNCTION("""COMPUTED_VALUE"""),0.27672453703780775)</f>
        <v>0.276724537</v>
      </c>
      <c r="F934" s="6" t="str">
        <f>IFERROR(__xludf.DUMMYFUNCTION("""COMPUTED_VALUE"""),"Negative")</f>
        <v>Negative</v>
      </c>
      <c r="G934" s="6">
        <f>IFERROR(__xludf.DUMMYFUNCTION("""COMPUTED_VALUE"""),1.0)</f>
        <v>1</v>
      </c>
    </row>
    <row r="935">
      <c r="A935" s="6" t="str">
        <f>IFERROR(__xludf.DUMMYFUNCTION("""COMPUTED_VALUE"""),"FM2615")</f>
        <v>FM2615</v>
      </c>
      <c r="B935" s="6" t="str">
        <f>IFERROR(__xludf.DUMMYFUNCTION("""COMPUTED_VALUE"""),"RUN-COMB_2022-05-29_RFR-050")</f>
        <v>RUN-COMB_2022-05-29_RFR-050</v>
      </c>
      <c r="C935" s="7">
        <f>VLOOKUP(B935,'Run Reconcile'!A$2:B3090,2,FALSE)</f>
        <v>44710</v>
      </c>
      <c r="D935" s="11">
        <f>IFERROR(__xludf.DUMMYFUNCTION("""COMPUTED_VALUE"""),44710.0)</f>
        <v>44710</v>
      </c>
      <c r="E935" s="12">
        <f>IFERROR(__xludf.DUMMYFUNCTION("""COMPUTED_VALUE"""),0.27719907407299615)</f>
        <v>0.2771990741</v>
      </c>
      <c r="F935" s="6" t="str">
        <f>IFERROR(__xludf.DUMMYFUNCTION("""COMPUTED_VALUE"""),"Negative")</f>
        <v>Negative</v>
      </c>
      <c r="G935" s="6">
        <f>IFERROR(__xludf.DUMMYFUNCTION("""COMPUTED_VALUE"""),1.0)</f>
        <v>1</v>
      </c>
    </row>
    <row r="936">
      <c r="A936" s="6" t="str">
        <f>IFERROR(__xludf.DUMMYFUNCTION("""COMPUTED_VALUE"""),"FM2595")</f>
        <v>FM2595</v>
      </c>
      <c r="B936" s="6" t="str">
        <f>IFERROR(__xludf.DUMMYFUNCTION("""COMPUTED_VALUE"""),"RUN-COMB_2022-05-29_RFR-050")</f>
        <v>RUN-COMB_2022-05-29_RFR-050</v>
      </c>
      <c r="C936" s="7">
        <f>VLOOKUP(B936,'Run Reconcile'!A$2:B3090,2,FALSE)</f>
        <v>44710</v>
      </c>
      <c r="D936" s="11">
        <f>IFERROR(__xludf.DUMMYFUNCTION("""COMPUTED_VALUE"""),44710.0)</f>
        <v>44710</v>
      </c>
      <c r="E936" s="12">
        <f>IFERROR(__xludf.DUMMYFUNCTION("""COMPUTED_VALUE"""),0.2777314814811689)</f>
        <v>0.2777314815</v>
      </c>
      <c r="F936" s="6" t="str">
        <f>IFERROR(__xludf.DUMMYFUNCTION("""COMPUTED_VALUE"""),"Negative")</f>
        <v>Negative</v>
      </c>
      <c r="G936" s="6">
        <f>IFERROR(__xludf.DUMMYFUNCTION("""COMPUTED_VALUE"""),1.0)</f>
        <v>1</v>
      </c>
    </row>
    <row r="937">
      <c r="A937" s="6" t="str">
        <f>IFERROR(__xludf.DUMMYFUNCTION("""COMPUTED_VALUE"""),"FM2679")</f>
        <v>FM2679</v>
      </c>
      <c r="B937" s="6" t="str">
        <f>IFERROR(__xludf.DUMMYFUNCTION("""COMPUTED_VALUE"""),"RUN-COMB_2022-05-29_RFR-050")</f>
        <v>RUN-COMB_2022-05-29_RFR-050</v>
      </c>
      <c r="C937" s="7">
        <f>VLOOKUP(B937,'Run Reconcile'!A$2:B3090,2,FALSE)</f>
        <v>44710</v>
      </c>
      <c r="D937" s="11">
        <f>IFERROR(__xludf.DUMMYFUNCTION("""COMPUTED_VALUE"""),44710.0)</f>
        <v>44710</v>
      </c>
      <c r="E937" s="12">
        <f>IFERROR(__xludf.DUMMYFUNCTION("""COMPUTED_VALUE"""),0.27818287037007394)</f>
        <v>0.2781828704</v>
      </c>
      <c r="F937" s="6" t="str">
        <f>IFERROR(__xludf.DUMMYFUNCTION("""COMPUTED_VALUE"""),"Negative")</f>
        <v>Negative</v>
      </c>
      <c r="G937" s="6">
        <f>IFERROR(__xludf.DUMMYFUNCTION("""COMPUTED_VALUE"""),1.0)</f>
        <v>1</v>
      </c>
    </row>
    <row r="938">
      <c r="A938" s="6" t="str">
        <f>IFERROR(__xludf.DUMMYFUNCTION("""COMPUTED_VALUE"""),"FM2632")</f>
        <v>FM2632</v>
      </c>
      <c r="B938" s="6" t="str">
        <f>IFERROR(__xludf.DUMMYFUNCTION("""COMPUTED_VALUE"""),"RUN-COMB_2022-05-29_RFR-050")</f>
        <v>RUN-COMB_2022-05-29_RFR-050</v>
      </c>
      <c r="C938" s="7">
        <f>VLOOKUP(B938,'Run Reconcile'!A$2:B3090,2,FALSE)</f>
        <v>44710</v>
      </c>
      <c r="D938" s="11">
        <f>IFERROR(__xludf.DUMMYFUNCTION("""COMPUTED_VALUE"""),44710.0)</f>
        <v>44710</v>
      </c>
      <c r="E938" s="12">
        <f>IFERROR(__xludf.DUMMYFUNCTION("""COMPUTED_VALUE"""),0.27883101851693937)</f>
        <v>0.2788310185</v>
      </c>
      <c r="F938" s="6" t="str">
        <f>IFERROR(__xludf.DUMMYFUNCTION("""COMPUTED_VALUE"""),"Negative")</f>
        <v>Negative</v>
      </c>
      <c r="G938" s="6">
        <f>IFERROR(__xludf.DUMMYFUNCTION("""COMPUTED_VALUE"""),1.0)</f>
        <v>1</v>
      </c>
    </row>
    <row r="939">
      <c r="A939" s="6" t="str">
        <f>IFERROR(__xludf.DUMMYFUNCTION("""COMPUTED_VALUE"""),"FM2616")</f>
        <v>FM2616</v>
      </c>
      <c r="B939" s="6" t="str">
        <f>IFERROR(__xludf.DUMMYFUNCTION("""COMPUTED_VALUE"""),"RUN-COMB_2022-05-29_RFR-050")</f>
        <v>RUN-COMB_2022-05-29_RFR-050</v>
      </c>
      <c r="C939" s="7">
        <f>VLOOKUP(B939,'Run Reconcile'!A$2:B3090,2,FALSE)</f>
        <v>44710</v>
      </c>
      <c r="D939" s="11">
        <f>IFERROR(__xludf.DUMMYFUNCTION("""COMPUTED_VALUE"""),44710.0)</f>
        <v>44710</v>
      </c>
      <c r="E939" s="12">
        <f>IFERROR(__xludf.DUMMYFUNCTION("""COMPUTED_VALUE"""),0.2806365740725596)</f>
        <v>0.2806365741</v>
      </c>
      <c r="F939" s="6" t="str">
        <f>IFERROR(__xludf.DUMMYFUNCTION("""COMPUTED_VALUE"""),"Negative")</f>
        <v>Negative</v>
      </c>
      <c r="G939" s="6">
        <f>IFERROR(__xludf.DUMMYFUNCTION("""COMPUTED_VALUE"""),1.0)</f>
        <v>1</v>
      </c>
    </row>
    <row r="940">
      <c r="A940" s="6" t="str">
        <f>IFERROR(__xludf.DUMMYFUNCTION("""COMPUTED_VALUE"""),"FM2693")</f>
        <v>FM2693</v>
      </c>
      <c r="B940" s="6" t="str">
        <f>IFERROR(__xludf.DUMMYFUNCTION("""COMPUTED_VALUE"""),"RUN-COMB_2022-05-29_RFR-050")</f>
        <v>RUN-COMB_2022-05-29_RFR-050</v>
      </c>
      <c r="C940" s="7">
        <f>VLOOKUP(B940,'Run Reconcile'!A$2:B3090,2,FALSE)</f>
        <v>44710</v>
      </c>
      <c r="D940" s="11">
        <f>IFERROR(__xludf.DUMMYFUNCTION("""COMPUTED_VALUE"""),44710.0)</f>
        <v>44710</v>
      </c>
      <c r="E940" s="12">
        <f>IFERROR(__xludf.DUMMYFUNCTION("""COMPUTED_VALUE"""),0.2809953703690553)</f>
        <v>0.2809953704</v>
      </c>
      <c r="F940" s="6" t="str">
        <f>IFERROR(__xludf.DUMMYFUNCTION("""COMPUTED_VALUE"""),"Negative")</f>
        <v>Negative</v>
      </c>
      <c r="G940" s="6">
        <f>IFERROR(__xludf.DUMMYFUNCTION("""COMPUTED_VALUE"""),1.0)</f>
        <v>1</v>
      </c>
    </row>
    <row r="941">
      <c r="A941" s="6" t="str">
        <f>IFERROR(__xludf.DUMMYFUNCTION("""COMPUTED_VALUE"""),"FM2665")</f>
        <v>FM2665</v>
      </c>
      <c r="B941" s="6" t="str">
        <f>IFERROR(__xludf.DUMMYFUNCTION("""COMPUTED_VALUE"""),"RUN-COMB_2022-05-29_RFR-050")</f>
        <v>RUN-COMB_2022-05-29_RFR-050</v>
      </c>
      <c r="C941" s="7">
        <f>VLOOKUP(B941,'Run Reconcile'!A$2:B3090,2,FALSE)</f>
        <v>44710</v>
      </c>
      <c r="D941" s="11">
        <f>IFERROR(__xludf.DUMMYFUNCTION("""COMPUTED_VALUE"""),44710.0)</f>
        <v>44710</v>
      </c>
      <c r="E941" s="12">
        <f>IFERROR(__xludf.DUMMYFUNCTION("""COMPUTED_VALUE"""),0.2814699074078817)</f>
        <v>0.2814699074</v>
      </c>
      <c r="F941" s="6" t="str">
        <f>IFERROR(__xludf.DUMMYFUNCTION("""COMPUTED_VALUE"""),"Negative")</f>
        <v>Negative</v>
      </c>
      <c r="G941" s="6">
        <f>IFERROR(__xludf.DUMMYFUNCTION("""COMPUTED_VALUE"""),1.0)</f>
        <v>1</v>
      </c>
    </row>
    <row r="942">
      <c r="A942" s="6" t="str">
        <f>IFERROR(__xludf.DUMMYFUNCTION("""COMPUTED_VALUE"""),"FM2587")</f>
        <v>FM2587</v>
      </c>
      <c r="B942" s="6" t="str">
        <f>IFERROR(__xludf.DUMMYFUNCTION("""COMPUTED_VALUE"""),"RUN-COMB_2022-05-29_RFR-050")</f>
        <v>RUN-COMB_2022-05-29_RFR-050</v>
      </c>
      <c r="C942" s="7">
        <f>VLOOKUP(B942,'Run Reconcile'!A$2:B3090,2,FALSE)</f>
        <v>44710</v>
      </c>
      <c r="D942" s="11">
        <f>IFERROR(__xludf.DUMMYFUNCTION("""COMPUTED_VALUE"""),44710.0)</f>
        <v>44710</v>
      </c>
      <c r="E942" s="12">
        <f>IFERROR(__xludf.DUMMYFUNCTION("""COMPUTED_VALUE"""),0.28192129629678675)</f>
        <v>0.2819212963</v>
      </c>
      <c r="F942" s="6" t="str">
        <f>IFERROR(__xludf.DUMMYFUNCTION("""COMPUTED_VALUE"""),"Negative")</f>
        <v>Negative</v>
      </c>
      <c r="G942" s="6">
        <f>IFERROR(__xludf.DUMMYFUNCTION("""COMPUTED_VALUE"""),1.0)</f>
        <v>1</v>
      </c>
    </row>
    <row r="943">
      <c r="A943" s="6" t="str">
        <f>IFERROR(__xludf.DUMMYFUNCTION("""COMPUTED_VALUE"""),"FM2641")</f>
        <v>FM2641</v>
      </c>
      <c r="B943" s="6" t="str">
        <f>IFERROR(__xludf.DUMMYFUNCTION("""COMPUTED_VALUE"""),"RUN-COMB_2022-05-29_RFR-050")</f>
        <v>RUN-COMB_2022-05-29_RFR-050</v>
      </c>
      <c r="C943" s="7">
        <f>VLOOKUP(B943,'Run Reconcile'!A$2:B3090,2,FALSE)</f>
        <v>44710</v>
      </c>
      <c r="D943" s="11">
        <f>IFERROR(__xludf.DUMMYFUNCTION("""COMPUTED_VALUE"""),44710.0)</f>
        <v>44710</v>
      </c>
      <c r="E943" s="12">
        <f>IFERROR(__xludf.DUMMYFUNCTION("""COMPUTED_VALUE"""),0.2825231481474475)</f>
        <v>0.2825231481</v>
      </c>
      <c r="F943" s="6" t="str">
        <f>IFERROR(__xludf.DUMMYFUNCTION("""COMPUTED_VALUE"""),"Negative")</f>
        <v>Negative</v>
      </c>
      <c r="G943" s="6">
        <f>IFERROR(__xludf.DUMMYFUNCTION("""COMPUTED_VALUE"""),1.0)</f>
        <v>1</v>
      </c>
    </row>
    <row r="944">
      <c r="A944" s="6" t="str">
        <f>IFERROR(__xludf.DUMMYFUNCTION("""COMPUTED_VALUE"""),"FM2599")</f>
        <v>FM2599</v>
      </c>
      <c r="B944" s="6" t="str">
        <f>IFERROR(__xludf.DUMMYFUNCTION("""COMPUTED_VALUE"""),"RUN-COMB_2022-05-29_RFR-050")</f>
        <v>RUN-COMB_2022-05-29_RFR-050</v>
      </c>
      <c r="C944" s="7">
        <f>VLOOKUP(B944,'Run Reconcile'!A$2:B3090,2,FALSE)</f>
        <v>44710</v>
      </c>
      <c r="D944" s="11">
        <f>IFERROR(__xludf.DUMMYFUNCTION("""COMPUTED_VALUE"""),44710.0)</f>
        <v>44710</v>
      </c>
      <c r="E944" s="12">
        <f>IFERROR(__xludf.DUMMYFUNCTION("""COMPUTED_VALUE"""),0.28363425925999763)</f>
        <v>0.2836342593</v>
      </c>
      <c r="F944" s="6" t="str">
        <f>IFERROR(__xludf.DUMMYFUNCTION("""COMPUTED_VALUE"""),"Negative")</f>
        <v>Negative</v>
      </c>
      <c r="G944" s="6">
        <f>IFERROR(__xludf.DUMMYFUNCTION("""COMPUTED_VALUE"""),1.0)</f>
        <v>1</v>
      </c>
    </row>
    <row r="945">
      <c r="A945" s="6" t="str">
        <f>IFERROR(__xludf.DUMMYFUNCTION("""COMPUTED_VALUE"""),"FM2661")</f>
        <v>FM2661</v>
      </c>
      <c r="B945" s="6" t="str">
        <f>IFERROR(__xludf.DUMMYFUNCTION("""COMPUTED_VALUE"""),"RUN-COMB_2022-05-29_RFR-050")</f>
        <v>RUN-COMB_2022-05-29_RFR-050</v>
      </c>
      <c r="C945" s="7">
        <f>VLOOKUP(B945,'Run Reconcile'!A$2:B3090,2,FALSE)</f>
        <v>44710</v>
      </c>
      <c r="D945" s="11">
        <f>IFERROR(__xludf.DUMMYFUNCTION("""COMPUTED_VALUE"""),44710.0)</f>
        <v>44710</v>
      </c>
      <c r="E945" s="12">
        <f>IFERROR(__xludf.DUMMYFUNCTION("""COMPUTED_VALUE"""),0.28603009259313694)</f>
        <v>0.2860300926</v>
      </c>
      <c r="F945" s="6" t="str">
        <f>IFERROR(__xludf.DUMMYFUNCTION("""COMPUTED_VALUE"""),"Negative")</f>
        <v>Negative</v>
      </c>
      <c r="G945" s="6">
        <f>IFERROR(__xludf.DUMMYFUNCTION("""COMPUTED_VALUE"""),1.0)</f>
        <v>1</v>
      </c>
    </row>
    <row r="946">
      <c r="A946" s="6" t="str">
        <f>IFERROR(__xludf.DUMMYFUNCTION("""COMPUTED_VALUE"""),"FM2592")</f>
        <v>FM2592</v>
      </c>
      <c r="B946" s="6" t="str">
        <f>IFERROR(__xludf.DUMMYFUNCTION("""COMPUTED_VALUE"""),"RUN-COMB_2022-05-29_RFR-050")</f>
        <v>RUN-COMB_2022-05-29_RFR-050</v>
      </c>
      <c r="C946" s="7">
        <f>VLOOKUP(B946,'Run Reconcile'!A$2:B3090,2,FALSE)</f>
        <v>44710</v>
      </c>
      <c r="D946" s="11">
        <f>IFERROR(__xludf.DUMMYFUNCTION("""COMPUTED_VALUE"""),44710.0)</f>
        <v>44710</v>
      </c>
      <c r="E946" s="12">
        <f>IFERROR(__xludf.DUMMYFUNCTION("""COMPUTED_VALUE"""),0.294155092593428)</f>
        <v>0.2941550926</v>
      </c>
      <c r="F946" s="6" t="str">
        <f>IFERROR(__xludf.DUMMYFUNCTION("""COMPUTED_VALUE"""),"Negative")</f>
        <v>Negative</v>
      </c>
      <c r="G946" s="6">
        <f>IFERROR(__xludf.DUMMYFUNCTION("""COMPUTED_VALUE"""),1.0)</f>
        <v>1</v>
      </c>
    </row>
    <row r="947">
      <c r="A947" s="6" t="str">
        <f>IFERROR(__xludf.DUMMYFUNCTION("""COMPUTED_VALUE"""),"FM2649")</f>
        <v>FM2649</v>
      </c>
      <c r="B947" s="6" t="str">
        <f>IFERROR(__xludf.DUMMYFUNCTION("""COMPUTED_VALUE"""),"RUN-COMB_2022-05-29_RFR-050")</f>
        <v>RUN-COMB_2022-05-29_RFR-050</v>
      </c>
      <c r="C947" s="7">
        <f>VLOOKUP(B947,'Run Reconcile'!A$2:B3090,2,FALSE)</f>
        <v>44710</v>
      </c>
      <c r="D947" s="11">
        <f>IFERROR(__xludf.DUMMYFUNCTION("""COMPUTED_VALUE"""),44710.0)</f>
        <v>44710</v>
      </c>
      <c r="E947" s="12">
        <f>IFERROR(__xludf.DUMMYFUNCTION("""COMPUTED_VALUE"""),0.2944444444437977)</f>
        <v>0.2944444444</v>
      </c>
      <c r="F947" s="6" t="str">
        <f>IFERROR(__xludf.DUMMYFUNCTION("""COMPUTED_VALUE"""),"Negative")</f>
        <v>Negative</v>
      </c>
      <c r="G947" s="6">
        <f>IFERROR(__xludf.DUMMYFUNCTION("""COMPUTED_VALUE"""),1.0)</f>
        <v>1</v>
      </c>
    </row>
    <row r="948">
      <c r="A948" s="6" t="str">
        <f>IFERROR(__xludf.DUMMYFUNCTION("""COMPUTED_VALUE"""),"FM2671")</f>
        <v>FM2671</v>
      </c>
      <c r="B948" s="6" t="str">
        <f>IFERROR(__xludf.DUMMYFUNCTION("""COMPUTED_VALUE"""),"RUN-COMB_2022-05-29_RFR-050")</f>
        <v>RUN-COMB_2022-05-29_RFR-050</v>
      </c>
      <c r="C948" s="7">
        <f>VLOOKUP(B948,'Run Reconcile'!A$2:B3090,2,FALSE)</f>
        <v>44710</v>
      </c>
      <c r="D948" s="11">
        <f>IFERROR(__xludf.DUMMYFUNCTION("""COMPUTED_VALUE"""),44710.0)</f>
        <v>44710</v>
      </c>
      <c r="E948" s="12">
        <f>IFERROR(__xludf.DUMMYFUNCTION("""COMPUTED_VALUE"""),0.2948379629633564)</f>
        <v>0.294837963</v>
      </c>
      <c r="F948" s="6" t="str">
        <f>IFERROR(__xludf.DUMMYFUNCTION("""COMPUTED_VALUE"""),"Negative")</f>
        <v>Negative</v>
      </c>
      <c r="G948" s="6">
        <f>IFERROR(__xludf.DUMMYFUNCTION("""COMPUTED_VALUE"""),1.0)</f>
        <v>1</v>
      </c>
    </row>
    <row r="949">
      <c r="A949" s="6" t="str">
        <f>IFERROR(__xludf.DUMMYFUNCTION("""COMPUTED_VALUE"""),"FM2591")</f>
        <v>FM2591</v>
      </c>
      <c r="B949" s="6" t="str">
        <f>IFERROR(__xludf.DUMMYFUNCTION("""COMPUTED_VALUE"""),"RUN-COMB_2022-05-30_RFR-051")</f>
        <v>RUN-COMB_2022-05-30_RFR-051</v>
      </c>
      <c r="C949" s="7">
        <f>VLOOKUP(B949,'Run Reconcile'!A$2:B3090,2,FALSE)</f>
        <v>44711</v>
      </c>
      <c r="D949" s="11">
        <f>IFERROR(__xludf.DUMMYFUNCTION("""COMPUTED_VALUE"""),44711.0)</f>
        <v>44711</v>
      </c>
      <c r="E949" s="12">
        <f>IFERROR(__xludf.DUMMYFUNCTION("""COMPUTED_VALUE"""),0.6883449074084638)</f>
        <v>0.6883449074</v>
      </c>
      <c r="F949" s="6" t="str">
        <f>IFERROR(__xludf.DUMMYFUNCTION("""COMPUTED_VALUE"""),"Negative")</f>
        <v>Negative</v>
      </c>
      <c r="G949" s="6">
        <f>IFERROR(__xludf.DUMMYFUNCTION("""COMPUTED_VALUE"""),1.0)</f>
        <v>1</v>
      </c>
    </row>
    <row r="950">
      <c r="A950" s="6" t="str">
        <f>IFERROR(__xludf.DUMMYFUNCTION("""COMPUTED_VALUE"""),"FM2688")</f>
        <v>FM2688</v>
      </c>
      <c r="B950" s="6" t="str">
        <f>IFERROR(__xludf.DUMMYFUNCTION("""COMPUTED_VALUE"""),"RUN-COMB_2022-05-30_RFR-051")</f>
        <v>RUN-COMB_2022-05-30_RFR-051</v>
      </c>
      <c r="C950" s="7">
        <f>VLOOKUP(B950,'Run Reconcile'!A$2:B3090,2,FALSE)</f>
        <v>44711</v>
      </c>
      <c r="D950" s="11">
        <f>IFERROR(__xludf.DUMMYFUNCTION("""COMPUTED_VALUE"""),44711.0)</f>
        <v>44711</v>
      </c>
      <c r="E950" s="12">
        <f>IFERROR(__xludf.DUMMYFUNCTION("""COMPUTED_VALUE"""),0.6887037037049595)</f>
        <v>0.6887037037</v>
      </c>
      <c r="F950" s="6" t="str">
        <f>IFERROR(__xludf.DUMMYFUNCTION("""COMPUTED_VALUE"""),"Negative")</f>
        <v>Negative</v>
      </c>
      <c r="G950" s="6">
        <f>IFERROR(__xludf.DUMMYFUNCTION("""COMPUTED_VALUE"""),1.0)</f>
        <v>1</v>
      </c>
    </row>
    <row r="951">
      <c r="A951" s="6" t="str">
        <f>IFERROR(__xludf.DUMMYFUNCTION("""COMPUTED_VALUE"""),"FM2600")</f>
        <v>FM2600</v>
      </c>
      <c r="B951" s="6" t="str">
        <f>IFERROR(__xludf.DUMMYFUNCTION("""COMPUTED_VALUE"""),"RUN-COMB_2022-05-30_RFR-051")</f>
        <v>RUN-COMB_2022-05-30_RFR-051</v>
      </c>
      <c r="C951" s="7">
        <f>VLOOKUP(B951,'Run Reconcile'!A$2:B3090,2,FALSE)</f>
        <v>44711</v>
      </c>
      <c r="D951" s="11">
        <f>IFERROR(__xludf.DUMMYFUNCTION("""COMPUTED_VALUE"""),44711.0)</f>
        <v>44711</v>
      </c>
      <c r="E951" s="12">
        <f>IFERROR(__xludf.DUMMYFUNCTION("""COMPUTED_VALUE"""),0.6890625000014552)</f>
        <v>0.6890625</v>
      </c>
      <c r="F951" s="6" t="str">
        <f>IFERROR(__xludf.DUMMYFUNCTION("""COMPUTED_VALUE"""),"Negative")</f>
        <v>Negative</v>
      </c>
      <c r="G951" s="6">
        <f>IFERROR(__xludf.DUMMYFUNCTION("""COMPUTED_VALUE"""),1.0)</f>
        <v>1</v>
      </c>
    </row>
    <row r="952">
      <c r="A952" s="6" t="str">
        <f>IFERROR(__xludf.DUMMYFUNCTION("""COMPUTED_VALUE"""),"FM2689")</f>
        <v>FM2689</v>
      </c>
      <c r="B952" s="6" t="str">
        <f>IFERROR(__xludf.DUMMYFUNCTION("""COMPUTED_VALUE"""),"RUN-COMB_2022-05-30_RFR-051")</f>
        <v>RUN-COMB_2022-05-30_RFR-051</v>
      </c>
      <c r="C952" s="7">
        <f>VLOOKUP(B952,'Run Reconcile'!A$2:B3090,2,FALSE)</f>
        <v>44711</v>
      </c>
      <c r="D952" s="11">
        <f>IFERROR(__xludf.DUMMYFUNCTION("""COMPUTED_VALUE"""),44711.0)</f>
        <v>44711</v>
      </c>
      <c r="E952" s="12">
        <f>IFERROR(__xludf.DUMMYFUNCTION("""COMPUTED_VALUE"""),0.6895717592597066)</f>
        <v>0.6895717593</v>
      </c>
      <c r="F952" s="6" t="str">
        <f>IFERROR(__xludf.DUMMYFUNCTION("""COMPUTED_VALUE"""),"Negative")</f>
        <v>Negative</v>
      </c>
      <c r="G952" s="6">
        <f>IFERROR(__xludf.DUMMYFUNCTION("""COMPUTED_VALUE"""),1.0)</f>
        <v>1</v>
      </c>
    </row>
    <row r="953">
      <c r="A953" s="6" t="str">
        <f>IFERROR(__xludf.DUMMYFUNCTION("""COMPUTED_VALUE"""),"FM2631")</f>
        <v>FM2631</v>
      </c>
      <c r="B953" s="6" t="str">
        <f>IFERROR(__xludf.DUMMYFUNCTION("""COMPUTED_VALUE"""),"RUN-COMB_2022-05-30_RFR-051")</f>
        <v>RUN-COMB_2022-05-30_RFR-051</v>
      </c>
      <c r="C953" s="7">
        <f>VLOOKUP(B953,'Run Reconcile'!A$2:B3090,2,FALSE)</f>
        <v>44711</v>
      </c>
      <c r="D953" s="11">
        <f>IFERROR(__xludf.DUMMYFUNCTION("""COMPUTED_VALUE"""),44711.0)</f>
        <v>44711</v>
      </c>
      <c r="E953" s="12">
        <f>IFERROR(__xludf.DUMMYFUNCTION("""COMPUTED_VALUE"""),0.689907407406281)</f>
        <v>0.6899074074</v>
      </c>
      <c r="F953" s="6" t="str">
        <f>IFERROR(__xludf.DUMMYFUNCTION("""COMPUTED_VALUE"""),"Negative")</f>
        <v>Negative</v>
      </c>
      <c r="G953" s="6">
        <f>IFERROR(__xludf.DUMMYFUNCTION("""COMPUTED_VALUE"""),1.0)</f>
        <v>1</v>
      </c>
    </row>
    <row r="954">
      <c r="A954" s="6" t="str">
        <f>IFERROR(__xludf.DUMMYFUNCTION("""COMPUTED_VALUE"""),"FM2657")</f>
        <v>FM2657</v>
      </c>
      <c r="B954" s="6" t="str">
        <f>IFERROR(__xludf.DUMMYFUNCTION("""COMPUTED_VALUE"""),"RUN-COMB_2022-05-30_RFR-051")</f>
        <v>RUN-COMB_2022-05-30_RFR-051</v>
      </c>
      <c r="C954" s="7">
        <f>VLOOKUP(B954,'Run Reconcile'!A$2:B3090,2,FALSE)</f>
        <v>44711</v>
      </c>
      <c r="D954" s="11">
        <f>IFERROR(__xludf.DUMMYFUNCTION("""COMPUTED_VALUE"""),44711.0)</f>
        <v>44711</v>
      </c>
      <c r="E954" s="12">
        <f>IFERROR(__xludf.DUMMYFUNCTION("""COMPUTED_VALUE"""),0.690254629629635)</f>
        <v>0.6902546296</v>
      </c>
      <c r="F954" s="6" t="str">
        <f>IFERROR(__xludf.DUMMYFUNCTION("""COMPUTED_VALUE"""),"Negative")</f>
        <v>Negative</v>
      </c>
      <c r="G954" s="6">
        <f>IFERROR(__xludf.DUMMYFUNCTION("""COMPUTED_VALUE"""),1.0)</f>
        <v>1</v>
      </c>
    </row>
    <row r="955">
      <c r="A955" s="6" t="str">
        <f>IFERROR(__xludf.DUMMYFUNCTION("""COMPUTED_VALUE"""),"FM2608")</f>
        <v>FM2608</v>
      </c>
      <c r="B955" s="6" t="str">
        <f>IFERROR(__xludf.DUMMYFUNCTION("""COMPUTED_VALUE"""),"RUN-COMB_2022-05-30_RFR-051")</f>
        <v>RUN-COMB_2022-05-30_RFR-051</v>
      </c>
      <c r="C955" s="7">
        <f>VLOOKUP(B955,'Run Reconcile'!A$2:B3090,2,FALSE)</f>
        <v>44711</v>
      </c>
      <c r="D955" s="11">
        <f>IFERROR(__xludf.DUMMYFUNCTION("""COMPUTED_VALUE"""),44711.0)</f>
        <v>44711</v>
      </c>
      <c r="E955" s="12">
        <f>IFERROR(__xludf.DUMMYFUNCTION("""COMPUTED_VALUE"""),0.6907407407416031)</f>
        <v>0.6907407407</v>
      </c>
      <c r="F955" s="6" t="str">
        <f>IFERROR(__xludf.DUMMYFUNCTION("""COMPUTED_VALUE"""),"Negative")</f>
        <v>Negative</v>
      </c>
      <c r="G955" s="6">
        <f>IFERROR(__xludf.DUMMYFUNCTION("""COMPUTED_VALUE"""),1.0)</f>
        <v>1</v>
      </c>
    </row>
    <row r="956">
      <c r="A956" s="6" t="str">
        <f>IFERROR(__xludf.DUMMYFUNCTION("""COMPUTED_VALUE"""),"FM2648")</f>
        <v>FM2648</v>
      </c>
      <c r="B956" s="6" t="str">
        <f>IFERROR(__xludf.DUMMYFUNCTION("""COMPUTED_VALUE"""),"RUN-COMB_2022-05-30_RFR-051")</f>
        <v>RUN-COMB_2022-05-30_RFR-051</v>
      </c>
      <c r="C956" s="7">
        <f>VLOOKUP(B956,'Run Reconcile'!A$2:B3090,2,FALSE)</f>
        <v>44711</v>
      </c>
      <c r="D956" s="11">
        <f>IFERROR(__xludf.DUMMYFUNCTION("""COMPUTED_VALUE"""),44711.0)</f>
        <v>44711</v>
      </c>
      <c r="E956" s="12">
        <f>IFERROR(__xludf.DUMMYFUNCTION("""COMPUTED_VALUE"""),0.6911574074074451)</f>
        <v>0.6911574074</v>
      </c>
      <c r="F956" s="6" t="str">
        <f>IFERROR(__xludf.DUMMYFUNCTION("""COMPUTED_VALUE"""),"Negative")</f>
        <v>Negative</v>
      </c>
      <c r="G956" s="6">
        <f>IFERROR(__xludf.DUMMYFUNCTION("""COMPUTED_VALUE"""),1.0)</f>
        <v>1</v>
      </c>
    </row>
    <row r="957">
      <c r="A957" s="6" t="str">
        <f>IFERROR(__xludf.DUMMYFUNCTION("""COMPUTED_VALUE"""),"FM2644")</f>
        <v>FM2644</v>
      </c>
      <c r="B957" s="6" t="str">
        <f>IFERROR(__xludf.DUMMYFUNCTION("""COMPUTED_VALUE"""),"RUN-COMB_2022-05-30_RFR-051")</f>
        <v>RUN-COMB_2022-05-30_RFR-051</v>
      </c>
      <c r="C957" s="7">
        <f>VLOOKUP(B957,'Run Reconcile'!A$2:B3090,2,FALSE)</f>
        <v>44711</v>
      </c>
      <c r="D957" s="11">
        <f>IFERROR(__xludf.DUMMYFUNCTION("""COMPUTED_VALUE"""),44711.0)</f>
        <v>44711</v>
      </c>
      <c r="E957" s="12">
        <f>IFERROR(__xludf.DUMMYFUNCTION("""COMPUTED_VALUE"""),0.6915625000001455)</f>
        <v>0.6915625</v>
      </c>
      <c r="F957" s="6" t="str">
        <f>IFERROR(__xludf.DUMMYFUNCTION("""COMPUTED_VALUE"""),"Negative")</f>
        <v>Negative</v>
      </c>
      <c r="G957" s="6">
        <f>IFERROR(__xludf.DUMMYFUNCTION("""COMPUTED_VALUE"""),1.0)</f>
        <v>1</v>
      </c>
    </row>
    <row r="958">
      <c r="A958" s="6" t="str">
        <f>IFERROR(__xludf.DUMMYFUNCTION("""COMPUTED_VALUE"""),"FM2662")</f>
        <v>FM2662</v>
      </c>
      <c r="B958" s="6" t="str">
        <f>IFERROR(__xludf.DUMMYFUNCTION("""COMPUTED_VALUE"""),"RUN-COMB_2022-05-30_RFR-051")</f>
        <v>RUN-COMB_2022-05-30_RFR-051</v>
      </c>
      <c r="C958" s="7">
        <f>VLOOKUP(B958,'Run Reconcile'!A$2:B3090,2,FALSE)</f>
        <v>44711</v>
      </c>
      <c r="D958" s="11">
        <f>IFERROR(__xludf.DUMMYFUNCTION("""COMPUTED_VALUE"""),44711.0)</f>
        <v>44711</v>
      </c>
      <c r="E958" s="12">
        <f>IFERROR(__xludf.DUMMYFUNCTION("""COMPUTED_VALUE"""),0.6920486111121136)</f>
        <v>0.6920486111</v>
      </c>
      <c r="F958" s="6" t="str">
        <f>IFERROR(__xludf.DUMMYFUNCTION("""COMPUTED_VALUE"""),"Negative")</f>
        <v>Negative</v>
      </c>
      <c r="G958" s="6">
        <f>IFERROR(__xludf.DUMMYFUNCTION("""COMPUTED_VALUE"""),1.0)</f>
        <v>1</v>
      </c>
    </row>
    <row r="959">
      <c r="A959" s="6" t="str">
        <f>IFERROR(__xludf.DUMMYFUNCTION("""COMPUTED_VALUE"""),"FM2636")</f>
        <v>FM2636</v>
      </c>
      <c r="B959" s="6" t="str">
        <f>IFERROR(__xludf.DUMMYFUNCTION("""COMPUTED_VALUE"""),"RUN-COMB_2022-05-30_RFR-051")</f>
        <v>RUN-COMB_2022-05-30_RFR-051</v>
      </c>
      <c r="C959" s="7">
        <f>VLOOKUP(B959,'Run Reconcile'!A$2:B3090,2,FALSE)</f>
        <v>44711</v>
      </c>
      <c r="D959" s="11">
        <f>IFERROR(__xludf.DUMMYFUNCTION("""COMPUTED_VALUE"""),44711.0)</f>
        <v>44711</v>
      </c>
      <c r="E959" s="12">
        <f>IFERROR(__xludf.DUMMYFUNCTION("""COMPUTED_VALUE"""),0.692557870370365)</f>
        <v>0.6925578704</v>
      </c>
      <c r="F959" s="6" t="str">
        <f>IFERROR(__xludf.DUMMYFUNCTION("""COMPUTED_VALUE"""),"Negative")</f>
        <v>Negative</v>
      </c>
      <c r="G959" s="6">
        <f>IFERROR(__xludf.DUMMYFUNCTION("""COMPUTED_VALUE"""),1.0)</f>
        <v>1</v>
      </c>
    </row>
    <row r="960">
      <c r="A960" s="6" t="str">
        <f>IFERROR(__xludf.DUMMYFUNCTION("""COMPUTED_VALUE"""),"FM2666")</f>
        <v>FM2666</v>
      </c>
      <c r="B960" s="6" t="str">
        <f>IFERROR(__xludf.DUMMYFUNCTION("""COMPUTED_VALUE"""),"RUN-COMB_2022-05-30_RFR-051")</f>
        <v>RUN-COMB_2022-05-30_RFR-051</v>
      </c>
      <c r="C960" s="7">
        <f>VLOOKUP(B960,'Run Reconcile'!A$2:B3090,2,FALSE)</f>
        <v>44711</v>
      </c>
      <c r="D960" s="11">
        <f>IFERROR(__xludf.DUMMYFUNCTION("""COMPUTED_VALUE"""),44711.0)</f>
        <v>44711</v>
      </c>
      <c r="E960" s="12">
        <f>IFERROR(__xludf.DUMMYFUNCTION("""COMPUTED_VALUE"""),0.6929629629630654)</f>
        <v>0.692962963</v>
      </c>
      <c r="F960" s="6" t="str">
        <f>IFERROR(__xludf.DUMMYFUNCTION("""COMPUTED_VALUE"""),"Negative")</f>
        <v>Negative</v>
      </c>
      <c r="G960" s="6">
        <f>IFERROR(__xludf.DUMMYFUNCTION("""COMPUTED_VALUE"""),1.0)</f>
        <v>1</v>
      </c>
    </row>
    <row r="961">
      <c r="A961" s="6" t="str">
        <f>IFERROR(__xludf.DUMMYFUNCTION("""COMPUTED_VALUE"""),"FM2630")</f>
        <v>FM2630</v>
      </c>
      <c r="B961" s="6" t="str">
        <f>IFERROR(__xludf.DUMMYFUNCTION("""COMPUTED_VALUE"""),"RUN-COMB_2022-05-30_RFR-051")</f>
        <v>RUN-COMB_2022-05-30_RFR-051</v>
      </c>
      <c r="C961" s="7">
        <f>VLOOKUP(B961,'Run Reconcile'!A$2:B3090,2,FALSE)</f>
        <v>44711</v>
      </c>
      <c r="D961" s="11">
        <f>IFERROR(__xludf.DUMMYFUNCTION("""COMPUTED_VALUE"""),44711.0)</f>
        <v>44711</v>
      </c>
      <c r="E961" s="12">
        <f>IFERROR(__xludf.DUMMYFUNCTION("""COMPUTED_VALUE"""),0.6945023148145992)</f>
        <v>0.6945023148</v>
      </c>
      <c r="F961" s="6" t="str">
        <f>IFERROR(__xludf.DUMMYFUNCTION("""COMPUTED_VALUE"""),"Negative")</f>
        <v>Negative</v>
      </c>
      <c r="G961" s="6">
        <f>IFERROR(__xludf.DUMMYFUNCTION("""COMPUTED_VALUE"""),1.0)</f>
        <v>1</v>
      </c>
    </row>
    <row r="962">
      <c r="A962" s="6" t="str">
        <f>IFERROR(__xludf.DUMMYFUNCTION("""COMPUTED_VALUE"""),"FM2691")</f>
        <v>FM2691</v>
      </c>
      <c r="B962" s="6" t="str">
        <f>IFERROR(__xludf.DUMMYFUNCTION("""COMPUTED_VALUE"""),"RUN-COMB_2022-05-30_RFR-051")</f>
        <v>RUN-COMB_2022-05-30_RFR-051</v>
      </c>
      <c r="C962" s="7">
        <f>VLOOKUP(B962,'Run Reconcile'!A$2:B3090,2,FALSE)</f>
        <v>44711</v>
      </c>
      <c r="D962" s="11">
        <f>IFERROR(__xludf.DUMMYFUNCTION("""COMPUTED_VALUE"""),44711.0)</f>
        <v>44711</v>
      </c>
      <c r="E962" s="12">
        <f>IFERROR(__xludf.DUMMYFUNCTION("""COMPUTED_VALUE"""),0.6949421296303626)</f>
        <v>0.6949421296</v>
      </c>
      <c r="F962" s="6" t="str">
        <f>IFERROR(__xludf.DUMMYFUNCTION("""COMPUTED_VALUE"""),"Negative")</f>
        <v>Negative</v>
      </c>
      <c r="G962" s="6">
        <f>IFERROR(__xludf.DUMMYFUNCTION("""COMPUTED_VALUE"""),1.0)</f>
        <v>1</v>
      </c>
    </row>
    <row r="963">
      <c r="A963" s="6" t="str">
        <f>IFERROR(__xludf.DUMMYFUNCTION("""COMPUTED_VALUE"""),"FM2686")</f>
        <v>FM2686</v>
      </c>
      <c r="B963" s="6" t="str">
        <f>IFERROR(__xludf.DUMMYFUNCTION("""COMPUTED_VALUE"""),"RUN-COMB_2022-05-30_RFR-051")</f>
        <v>RUN-COMB_2022-05-30_RFR-051</v>
      </c>
      <c r="C963" s="7">
        <f>VLOOKUP(B963,'Run Reconcile'!A$2:B3090,2,FALSE)</f>
        <v>44711</v>
      </c>
      <c r="D963" s="11">
        <f>IFERROR(__xludf.DUMMYFUNCTION("""COMPUTED_VALUE"""),44711.0)</f>
        <v>44711</v>
      </c>
      <c r="E963" s="12">
        <f>IFERROR(__xludf.DUMMYFUNCTION("""COMPUTED_VALUE"""),0.7007060185169394)</f>
        <v>0.7007060185</v>
      </c>
      <c r="F963" s="6" t="str">
        <f>IFERROR(__xludf.DUMMYFUNCTION("""COMPUTED_VALUE"""),"Negative")</f>
        <v>Negative</v>
      </c>
      <c r="G963" s="6">
        <f>IFERROR(__xludf.DUMMYFUNCTION("""COMPUTED_VALUE"""),1.0)</f>
        <v>1</v>
      </c>
    </row>
    <row r="964">
      <c r="A964" s="6" t="str">
        <f>IFERROR(__xludf.DUMMYFUNCTION("""COMPUTED_VALUE"""),"FM2659")</f>
        <v>FM2659</v>
      </c>
      <c r="B964" s="6" t="str">
        <f>IFERROR(__xludf.DUMMYFUNCTION("""COMPUTED_VALUE"""),"RUN-COMB_2022-05-30_RFR-051")</f>
        <v>RUN-COMB_2022-05-30_RFR-051</v>
      </c>
      <c r="C964" s="7">
        <f>VLOOKUP(B964,'Run Reconcile'!A$2:B3090,2,FALSE)</f>
        <v>44711</v>
      </c>
      <c r="D964" s="11">
        <f>IFERROR(__xludf.DUMMYFUNCTION("""COMPUTED_VALUE"""),44711.0)</f>
        <v>44711</v>
      </c>
      <c r="E964" s="12">
        <f>IFERROR(__xludf.DUMMYFUNCTION("""COMPUTED_VALUE"""),0.7014351851867104)</f>
        <v>0.7014351852</v>
      </c>
      <c r="F964" s="6" t="str">
        <f>IFERROR(__xludf.DUMMYFUNCTION("""COMPUTED_VALUE"""),"Negative")</f>
        <v>Negative</v>
      </c>
      <c r="G964" s="6">
        <f>IFERROR(__xludf.DUMMYFUNCTION("""COMPUTED_VALUE"""),1.0)</f>
        <v>1</v>
      </c>
    </row>
    <row r="965">
      <c r="A965" s="6" t="str">
        <f>IFERROR(__xludf.DUMMYFUNCTION("""COMPUTED_VALUE"""),"FM2676")</f>
        <v>FM2676</v>
      </c>
      <c r="B965" s="6" t="str">
        <f>IFERROR(__xludf.DUMMYFUNCTION("""COMPUTED_VALUE"""),"RUN-COMB_2022-05-30_RFR-051")</f>
        <v>RUN-COMB_2022-05-30_RFR-051</v>
      </c>
      <c r="C965" s="7">
        <f>VLOOKUP(B965,'Run Reconcile'!A$2:B3090,2,FALSE)</f>
        <v>44711</v>
      </c>
      <c r="D965" s="11">
        <f>IFERROR(__xludf.DUMMYFUNCTION("""COMPUTED_VALUE"""),44711.0)</f>
        <v>44711</v>
      </c>
      <c r="E965" s="12">
        <f>IFERROR(__xludf.DUMMYFUNCTION("""COMPUTED_VALUE"""),0.7019907407411665)</f>
        <v>0.7019907407</v>
      </c>
      <c r="F965" s="6" t="str">
        <f>IFERROR(__xludf.DUMMYFUNCTION("""COMPUTED_VALUE"""),"Negative")</f>
        <v>Negative</v>
      </c>
      <c r="G965" s="6">
        <f>IFERROR(__xludf.DUMMYFUNCTION("""COMPUTED_VALUE"""),1.0)</f>
        <v>1</v>
      </c>
    </row>
    <row r="966">
      <c r="A966" s="6" t="str">
        <f>IFERROR(__xludf.DUMMYFUNCTION("""COMPUTED_VALUE"""),"FM2611")</f>
        <v>FM2611</v>
      </c>
      <c r="B966" s="6" t="str">
        <f>IFERROR(__xludf.DUMMYFUNCTION("""COMPUTED_VALUE"""),"RUN-COMB_2022-05-30_RFR-051")</f>
        <v>RUN-COMB_2022-05-30_RFR-051</v>
      </c>
      <c r="C966" s="7">
        <f>VLOOKUP(B966,'Run Reconcile'!A$2:B3090,2,FALSE)</f>
        <v>44711</v>
      </c>
      <c r="D966" s="11">
        <f>IFERROR(__xludf.DUMMYFUNCTION("""COMPUTED_VALUE"""),44711.0)</f>
        <v>44711</v>
      </c>
      <c r="E966" s="12">
        <f>IFERROR(__xludf.DUMMYFUNCTION("""COMPUTED_VALUE"""),0.7025462962956226)</f>
        <v>0.7025462963</v>
      </c>
      <c r="F966" s="6" t="str">
        <f>IFERROR(__xludf.DUMMYFUNCTION("""COMPUTED_VALUE"""),"Negative")</f>
        <v>Negative</v>
      </c>
      <c r="G966" s="6">
        <f>IFERROR(__xludf.DUMMYFUNCTION("""COMPUTED_VALUE"""),1.0)</f>
        <v>1</v>
      </c>
    </row>
    <row r="967">
      <c r="A967" s="6" t="str">
        <f>IFERROR(__xludf.DUMMYFUNCTION("""COMPUTED_VALUE"""),"FM2602")</f>
        <v>FM2602</v>
      </c>
      <c r="B967" s="6" t="str">
        <f>IFERROR(__xludf.DUMMYFUNCTION("""COMPUTED_VALUE"""),"RUN-COMB_2022-05-30_RFR-051")</f>
        <v>RUN-COMB_2022-05-30_RFR-051</v>
      </c>
      <c r="C967" s="7">
        <f>VLOOKUP(B967,'Run Reconcile'!A$2:B3090,2,FALSE)</f>
        <v>44711</v>
      </c>
      <c r="D967" s="11">
        <f>IFERROR(__xludf.DUMMYFUNCTION("""COMPUTED_VALUE"""),44711.0)</f>
        <v>44711</v>
      </c>
      <c r="E967" s="12">
        <f>IFERROR(__xludf.DUMMYFUNCTION("""COMPUTED_VALUE"""),0.7127662037019036)</f>
        <v>0.7127662037</v>
      </c>
      <c r="F967" s="6" t="str">
        <f>IFERROR(__xludf.DUMMYFUNCTION("""COMPUTED_VALUE"""),"Negative")</f>
        <v>Negative</v>
      </c>
      <c r="G967" s="6">
        <f>IFERROR(__xludf.DUMMYFUNCTION("""COMPUTED_VALUE"""),1.0)</f>
        <v>1</v>
      </c>
    </row>
    <row r="968">
      <c r="A968" s="6" t="str">
        <f>IFERROR(__xludf.DUMMYFUNCTION("""COMPUTED_VALUE"""),"FM2685")</f>
        <v>FM2685</v>
      </c>
      <c r="B968" s="6" t="str">
        <f>IFERROR(__xludf.DUMMYFUNCTION("""COMPUTED_VALUE"""),"RUN-COMB_2022-05-30_RFR-051")</f>
        <v>RUN-COMB_2022-05-30_RFR-051</v>
      </c>
      <c r="C968" s="7">
        <f>VLOOKUP(B968,'Run Reconcile'!A$2:B3090,2,FALSE)</f>
        <v>44711</v>
      </c>
      <c r="D968" s="11">
        <f>IFERROR(__xludf.DUMMYFUNCTION("""COMPUTED_VALUE"""),44711.0)</f>
        <v>44711</v>
      </c>
      <c r="E968" s="12">
        <f>IFERROR(__xludf.DUMMYFUNCTION("""COMPUTED_VALUE"""),0.713206018517667)</f>
        <v>0.7132060185</v>
      </c>
      <c r="F968" s="6" t="str">
        <f>IFERROR(__xludf.DUMMYFUNCTION("""COMPUTED_VALUE"""),"Negative")</f>
        <v>Negative</v>
      </c>
      <c r="G968" s="6">
        <f>IFERROR(__xludf.DUMMYFUNCTION("""COMPUTED_VALUE"""),1.0)</f>
        <v>1</v>
      </c>
    </row>
    <row r="969">
      <c r="A969" s="6" t="str">
        <f>IFERROR(__xludf.DUMMYFUNCTION("""COMPUTED_VALUE"""),"FM2667")</f>
        <v>FM2667</v>
      </c>
      <c r="B969" s="6" t="str">
        <f>IFERROR(__xludf.DUMMYFUNCTION("""COMPUTED_VALUE"""),"RUN-COMB_2022-05-30_RFR-051")</f>
        <v>RUN-COMB_2022-05-30_RFR-051</v>
      </c>
      <c r="C969" s="7">
        <f>VLOOKUP(B969,'Run Reconcile'!A$2:B3090,2,FALSE)</f>
        <v>44711</v>
      </c>
      <c r="D969" s="11">
        <f>IFERROR(__xludf.DUMMYFUNCTION("""COMPUTED_VALUE"""),44711.0)</f>
        <v>44711</v>
      </c>
      <c r="E969" s="12">
        <f>IFERROR(__xludf.DUMMYFUNCTION("""COMPUTED_VALUE"""),0.713622685183509)</f>
        <v>0.7136226852</v>
      </c>
      <c r="F969" s="6" t="str">
        <f>IFERROR(__xludf.DUMMYFUNCTION("""COMPUTED_VALUE"""),"Negative")</f>
        <v>Negative</v>
      </c>
      <c r="G969" s="6">
        <f>IFERROR(__xludf.DUMMYFUNCTION("""COMPUTED_VALUE"""),1.0)</f>
        <v>1</v>
      </c>
    </row>
    <row r="970">
      <c r="A970" s="6" t="str">
        <f>IFERROR(__xludf.DUMMYFUNCTION("""COMPUTED_VALUE"""),"FM2584")</f>
        <v>FM2584</v>
      </c>
      <c r="B970" s="6" t="str">
        <f>IFERROR(__xludf.DUMMYFUNCTION("""COMPUTED_VALUE"""),"RUN-COMB_2022-05-30_RFR-051")</f>
        <v>RUN-COMB_2022-05-30_RFR-051</v>
      </c>
      <c r="C970" s="7">
        <f>VLOOKUP(B970,'Run Reconcile'!A$2:B3090,2,FALSE)</f>
        <v>44711</v>
      </c>
      <c r="D970" s="11">
        <f>IFERROR(__xludf.DUMMYFUNCTION("""COMPUTED_VALUE"""),44711.0)</f>
        <v>44711</v>
      </c>
      <c r="E970" s="12">
        <f>IFERROR(__xludf.DUMMYFUNCTION("""COMPUTED_VALUE"""),0.7246296296289074)</f>
        <v>0.7246296296</v>
      </c>
      <c r="F970" s="6" t="str">
        <f>IFERROR(__xludf.DUMMYFUNCTION("""COMPUTED_VALUE"""),"Negative")</f>
        <v>Negative</v>
      </c>
      <c r="G970" s="6">
        <f>IFERROR(__xludf.DUMMYFUNCTION("""COMPUTED_VALUE"""),1.0)</f>
        <v>1</v>
      </c>
    </row>
    <row r="971">
      <c r="A971" s="6" t="str">
        <f>IFERROR(__xludf.DUMMYFUNCTION("""COMPUTED_VALUE"""),"FM2698")</f>
        <v>FM2698</v>
      </c>
      <c r="B971" s="6" t="str">
        <f>IFERROR(__xludf.DUMMYFUNCTION("""COMPUTED_VALUE"""),"RUN-COMB_2022-05-30_RFR-051")</f>
        <v>RUN-COMB_2022-05-30_RFR-051</v>
      </c>
      <c r="C971" s="7">
        <f>VLOOKUP(B971,'Run Reconcile'!A$2:B3090,2,FALSE)</f>
        <v>44711</v>
      </c>
      <c r="D971" s="11">
        <f>IFERROR(__xludf.DUMMYFUNCTION("""COMPUTED_VALUE"""),44711.0)</f>
        <v>44711</v>
      </c>
      <c r="E971" s="12">
        <f>IFERROR(__xludf.DUMMYFUNCTION("""COMPUTED_VALUE"""),0.7259490740725596)</f>
        <v>0.7259490741</v>
      </c>
      <c r="F971" s="6" t="str">
        <f>IFERROR(__xludf.DUMMYFUNCTION("""COMPUTED_VALUE"""),"Negative")</f>
        <v>Negative</v>
      </c>
      <c r="G971" s="6">
        <f>IFERROR(__xludf.DUMMYFUNCTION("""COMPUTED_VALUE"""),1.0)</f>
        <v>1</v>
      </c>
    </row>
    <row r="972">
      <c r="A972" s="6" t="str">
        <f>IFERROR(__xludf.DUMMYFUNCTION("""COMPUTED_VALUE"""),"FM2623")</f>
        <v>FM2623</v>
      </c>
      <c r="B972" s="6" t="str">
        <f>IFERROR(__xludf.DUMMYFUNCTION("""COMPUTED_VALUE"""),"RUN-COMB_2022-05-30_RFR-051")</f>
        <v>RUN-COMB_2022-05-30_RFR-051</v>
      </c>
      <c r="C972" s="7">
        <f>VLOOKUP(B972,'Run Reconcile'!A$2:B3090,2,FALSE)</f>
        <v>44711</v>
      </c>
      <c r="D972" s="11">
        <f>IFERROR(__xludf.DUMMYFUNCTION("""COMPUTED_VALUE"""),44711.0)</f>
        <v>44711</v>
      </c>
      <c r="E972" s="12">
        <f>IFERROR(__xludf.DUMMYFUNCTION("""COMPUTED_VALUE"""),0.7437268518515339)</f>
        <v>0.7437268519</v>
      </c>
      <c r="F972" s="6" t="str">
        <f>IFERROR(__xludf.DUMMYFUNCTION("""COMPUTED_VALUE"""),"Negative")</f>
        <v>Negative</v>
      </c>
      <c r="G972" s="6">
        <f>IFERROR(__xludf.DUMMYFUNCTION("""COMPUTED_VALUE"""),1.0)</f>
        <v>1</v>
      </c>
    </row>
    <row r="973">
      <c r="A973" s="6" t="str">
        <f>IFERROR(__xludf.DUMMYFUNCTION("""COMPUTED_VALUE"""),"FM2626")</f>
        <v>FM2626</v>
      </c>
      <c r="B973" s="6" t="str">
        <f>IFERROR(__xludf.DUMMYFUNCTION("""COMPUTED_VALUE"""),"RUN-COMB_2022-05-31_RFR-052")</f>
        <v>RUN-COMB_2022-05-31_RFR-052</v>
      </c>
      <c r="C973" s="7">
        <f>VLOOKUP(B973,'Run Reconcile'!A$2:B3090,2,FALSE)</f>
        <v>44712</v>
      </c>
      <c r="D973" s="11">
        <f>IFERROR(__xludf.DUMMYFUNCTION("""COMPUTED_VALUE"""),44712.0)</f>
        <v>44712</v>
      </c>
      <c r="E973" s="12">
        <f>IFERROR(__xludf.DUMMYFUNCTION("""COMPUTED_VALUE"""),0.2667824074087548)</f>
        <v>0.2667824074</v>
      </c>
      <c r="F973" s="6" t="str">
        <f>IFERROR(__xludf.DUMMYFUNCTION("""COMPUTED_VALUE"""),"Negative")</f>
        <v>Negative</v>
      </c>
      <c r="G973" s="6">
        <f>IFERROR(__xludf.DUMMYFUNCTION("""COMPUTED_VALUE"""),1.0)</f>
        <v>1</v>
      </c>
    </row>
    <row r="974">
      <c r="A974" s="6" t="str">
        <f>IFERROR(__xludf.DUMMYFUNCTION("""COMPUTED_VALUE"""),"FM2700")</f>
        <v>FM2700</v>
      </c>
      <c r="B974" s="6" t="str">
        <f>IFERROR(__xludf.DUMMYFUNCTION("""COMPUTED_VALUE"""),"RUN-COMB_2022-05-31_RFR-052")</f>
        <v>RUN-COMB_2022-05-31_RFR-052</v>
      </c>
      <c r="C974" s="7">
        <f>VLOOKUP(B974,'Run Reconcile'!A$2:B3090,2,FALSE)</f>
        <v>44712</v>
      </c>
      <c r="D974" s="11">
        <f>IFERROR(__xludf.DUMMYFUNCTION("""COMPUTED_VALUE"""),44712.0)</f>
        <v>44712</v>
      </c>
      <c r="E974" s="12">
        <f>IFERROR(__xludf.DUMMYFUNCTION("""COMPUTED_VALUE"""),0.26717592592467554)</f>
        <v>0.2671759259</v>
      </c>
      <c r="F974" s="6" t="str">
        <f>IFERROR(__xludf.DUMMYFUNCTION("""COMPUTED_VALUE"""),"Negative")</f>
        <v>Negative</v>
      </c>
      <c r="G974" s="6">
        <f>IFERROR(__xludf.DUMMYFUNCTION("""COMPUTED_VALUE"""),1.0)</f>
        <v>1</v>
      </c>
    </row>
    <row r="975">
      <c r="A975" s="6" t="str">
        <f>IFERROR(__xludf.DUMMYFUNCTION("""COMPUTED_VALUE"""),"FM2642")</f>
        <v>FM2642</v>
      </c>
      <c r="B975" s="6" t="str">
        <f>IFERROR(__xludf.DUMMYFUNCTION("""COMPUTED_VALUE"""),"RUN-COMB_2022-05-31_RFR-052")</f>
        <v>RUN-COMB_2022-05-31_RFR-052</v>
      </c>
      <c r="C975" s="7">
        <f>VLOOKUP(B975,'Run Reconcile'!A$2:B3090,2,FALSE)</f>
        <v>44712</v>
      </c>
      <c r="D975" s="11">
        <f>IFERROR(__xludf.DUMMYFUNCTION("""COMPUTED_VALUE"""),44712.0)</f>
        <v>44712</v>
      </c>
      <c r="E975" s="12">
        <f>IFERROR(__xludf.DUMMYFUNCTION("""COMPUTED_VALUE"""),0.268171296294895)</f>
        <v>0.2681712963</v>
      </c>
      <c r="F975" s="6" t="str">
        <f>IFERROR(__xludf.DUMMYFUNCTION("""COMPUTED_VALUE"""),"Positive")</f>
        <v>Positive</v>
      </c>
      <c r="G975" s="6">
        <f>IFERROR(__xludf.DUMMYFUNCTION("""COMPUTED_VALUE"""),1.0)</f>
        <v>1</v>
      </c>
    </row>
    <row r="976">
      <c r="A976" s="6" t="str">
        <f>IFERROR(__xludf.DUMMYFUNCTION("""COMPUTED_VALUE"""),"FM2663")</f>
        <v>FM2663</v>
      </c>
      <c r="B976" s="6" t="str">
        <f>IFERROR(__xludf.DUMMYFUNCTION("""COMPUTED_VALUE"""),"RUN-COMB_2022-05-31_RFR-052")</f>
        <v>RUN-COMB_2022-05-31_RFR-052</v>
      </c>
      <c r="C976" s="7">
        <f>VLOOKUP(B976,'Run Reconcile'!A$2:B3090,2,FALSE)</f>
        <v>44712</v>
      </c>
      <c r="D976" s="11">
        <f>IFERROR(__xludf.DUMMYFUNCTION("""COMPUTED_VALUE"""),44712.0)</f>
        <v>44712</v>
      </c>
      <c r="E976" s="12">
        <f>IFERROR(__xludf.DUMMYFUNCTION("""COMPUTED_VALUE"""),0.26993055555431056)</f>
        <v>0.2699305556</v>
      </c>
      <c r="F976" s="6" t="str">
        <f>IFERROR(__xludf.DUMMYFUNCTION("""COMPUTED_VALUE"""),"Negative")</f>
        <v>Negative</v>
      </c>
      <c r="G976" s="6">
        <f>IFERROR(__xludf.DUMMYFUNCTION("""COMPUTED_VALUE"""),1.0)</f>
        <v>1</v>
      </c>
    </row>
    <row r="977">
      <c r="A977" s="6" t="str">
        <f>IFERROR(__xludf.DUMMYFUNCTION("""COMPUTED_VALUE"""),"FM2635")</f>
        <v>FM2635</v>
      </c>
      <c r="B977" s="6" t="str">
        <f>IFERROR(__xludf.DUMMYFUNCTION("""COMPUTED_VALUE"""),"RUN-COMB_2022-05-31_RFR-052")</f>
        <v>RUN-COMB_2022-05-31_RFR-052</v>
      </c>
      <c r="C977" s="7">
        <f>VLOOKUP(B977,'Run Reconcile'!A$2:B3090,2,FALSE)</f>
        <v>44712</v>
      </c>
      <c r="D977" s="11">
        <f>IFERROR(__xludf.DUMMYFUNCTION("""COMPUTED_VALUE"""),44712.0)</f>
        <v>44712</v>
      </c>
      <c r="E977" s="12">
        <f>IFERROR(__xludf.DUMMYFUNCTION("""COMPUTED_VALUE"""),0.2702777777776646)</f>
        <v>0.2702777778</v>
      </c>
      <c r="F977" s="6" t="str">
        <f>IFERROR(__xludf.DUMMYFUNCTION("""COMPUTED_VALUE"""),"Negative")</f>
        <v>Negative</v>
      </c>
      <c r="G977" s="6">
        <f>IFERROR(__xludf.DUMMYFUNCTION("""COMPUTED_VALUE"""),1.0)</f>
        <v>1</v>
      </c>
    </row>
    <row r="978">
      <c r="A978" s="6" t="str">
        <f>IFERROR(__xludf.DUMMYFUNCTION("""COMPUTED_VALUE"""),"FM2680")</f>
        <v>FM2680</v>
      </c>
      <c r="B978" s="6" t="str">
        <f>IFERROR(__xludf.DUMMYFUNCTION("""COMPUTED_VALUE"""),"RUN-COMB_2022-05-31_RFR-052")</f>
        <v>RUN-COMB_2022-05-31_RFR-052</v>
      </c>
      <c r="C978" s="7">
        <f>VLOOKUP(B978,'Run Reconcile'!A$2:B3090,2,FALSE)</f>
        <v>44712</v>
      </c>
      <c r="D978" s="11">
        <f>IFERROR(__xludf.DUMMYFUNCTION("""COMPUTED_VALUE"""),44712.0)</f>
        <v>44712</v>
      </c>
      <c r="E978" s="12">
        <f>IFERROR(__xludf.DUMMYFUNCTION("""COMPUTED_VALUE"""),0.2706712962972233)</f>
        <v>0.2706712963</v>
      </c>
      <c r="F978" s="6" t="str">
        <f>IFERROR(__xludf.DUMMYFUNCTION("""COMPUTED_VALUE"""),"Negative")</f>
        <v>Negative</v>
      </c>
      <c r="G978" s="6">
        <f>IFERROR(__xludf.DUMMYFUNCTION("""COMPUTED_VALUE"""),1.0)</f>
        <v>1</v>
      </c>
    </row>
    <row r="979">
      <c r="A979" s="6" t="str">
        <f>IFERROR(__xludf.DUMMYFUNCTION("""COMPUTED_VALUE"""),"FM2695")</f>
        <v>FM2695</v>
      </c>
      <c r="B979" s="6" t="str">
        <f>IFERROR(__xludf.DUMMYFUNCTION("""COMPUTED_VALUE"""),"RUN-COMB_2022-05-31_RFR-052")</f>
        <v>RUN-COMB_2022-05-31_RFR-052</v>
      </c>
      <c r="C979" s="7">
        <f>VLOOKUP(B979,'Run Reconcile'!A$2:B3090,2,FALSE)</f>
        <v>44712</v>
      </c>
      <c r="D979" s="11">
        <f>IFERROR(__xludf.DUMMYFUNCTION("""COMPUTED_VALUE"""),44712.0)</f>
        <v>44712</v>
      </c>
      <c r="E979" s="12">
        <f>IFERROR(__xludf.DUMMYFUNCTION("""COMPUTED_VALUE"""),0.2716898148137261)</f>
        <v>0.2716898148</v>
      </c>
      <c r="F979" s="6" t="str">
        <f>IFERROR(__xludf.DUMMYFUNCTION("""COMPUTED_VALUE"""),"Negative")</f>
        <v>Negative</v>
      </c>
      <c r="G979" s="6">
        <f>IFERROR(__xludf.DUMMYFUNCTION("""COMPUTED_VALUE"""),1.0)</f>
        <v>1</v>
      </c>
    </row>
    <row r="980">
      <c r="A980" s="6" t="str">
        <f>IFERROR(__xludf.DUMMYFUNCTION("""COMPUTED_VALUE"""),"FM2677")</f>
        <v>FM2677</v>
      </c>
      <c r="B980" s="6" t="str">
        <f>IFERROR(__xludf.DUMMYFUNCTION("""COMPUTED_VALUE"""),"RUN-COMB_2022-05-31_RFR-052")</f>
        <v>RUN-COMB_2022-05-31_RFR-052</v>
      </c>
      <c r="C980" s="7">
        <f>VLOOKUP(B980,'Run Reconcile'!A$2:B3090,2,FALSE)</f>
        <v>44712</v>
      </c>
      <c r="D980" s="11">
        <f>IFERROR(__xludf.DUMMYFUNCTION("""COMPUTED_VALUE"""),44712.0)</f>
        <v>44712</v>
      </c>
      <c r="E980" s="12">
        <f>IFERROR(__xludf.DUMMYFUNCTION("""COMPUTED_VALUE"""),0.2720601851870015)</f>
        <v>0.2720601852</v>
      </c>
      <c r="F980" s="6" t="str">
        <f>IFERROR(__xludf.DUMMYFUNCTION("""COMPUTED_VALUE"""),"Negative")</f>
        <v>Negative</v>
      </c>
      <c r="G980" s="6">
        <f>IFERROR(__xludf.DUMMYFUNCTION("""COMPUTED_VALUE"""),1.0)</f>
        <v>1</v>
      </c>
    </row>
    <row r="981">
      <c r="A981" s="6" t="str">
        <f>IFERROR(__xludf.DUMMYFUNCTION("""COMPUTED_VALUE"""),"FM2664")</f>
        <v>FM2664</v>
      </c>
      <c r="B981" s="6" t="str">
        <f>IFERROR(__xludf.DUMMYFUNCTION("""COMPUTED_VALUE"""),"RUN-COMB_2022-05-31_RFR-052")</f>
        <v>RUN-COMB_2022-05-31_RFR-052</v>
      </c>
      <c r="C981" s="7">
        <f>VLOOKUP(B981,'Run Reconcile'!A$2:B3090,2,FALSE)</f>
        <v>44712</v>
      </c>
      <c r="D981" s="11">
        <f>IFERROR(__xludf.DUMMYFUNCTION("""COMPUTED_VALUE"""),44712.0)</f>
        <v>44712</v>
      </c>
      <c r="E981" s="12">
        <f>IFERROR(__xludf.DUMMYFUNCTION("""COMPUTED_VALUE"""),0.2725694444452529)</f>
        <v>0.2725694444</v>
      </c>
      <c r="F981" s="6" t="str">
        <f>IFERROR(__xludf.DUMMYFUNCTION("""COMPUTED_VALUE"""),"Negative")</f>
        <v>Negative</v>
      </c>
      <c r="G981" s="6">
        <f>IFERROR(__xludf.DUMMYFUNCTION("""COMPUTED_VALUE"""),1.0)</f>
        <v>1</v>
      </c>
    </row>
    <row r="982">
      <c r="A982" s="6" t="str">
        <f>IFERROR(__xludf.DUMMYFUNCTION("""COMPUTED_VALUE"""),"FM2672")</f>
        <v>FM2672</v>
      </c>
      <c r="B982" s="6" t="str">
        <f>IFERROR(__xludf.DUMMYFUNCTION("""COMPUTED_VALUE"""),"RUN-COMB_2022-05-31_RFR-052")</f>
        <v>RUN-COMB_2022-05-31_RFR-052</v>
      </c>
      <c r="C982" s="7">
        <f>VLOOKUP(B982,'Run Reconcile'!A$2:B3090,2,FALSE)</f>
        <v>44712</v>
      </c>
      <c r="D982" s="11">
        <f>IFERROR(__xludf.DUMMYFUNCTION("""COMPUTED_VALUE"""),44712.0)</f>
        <v>44712</v>
      </c>
      <c r="E982" s="12">
        <f>IFERROR(__xludf.DUMMYFUNCTION("""COMPUTED_VALUE"""),0.27309027777664596)</f>
        <v>0.2730902778</v>
      </c>
      <c r="F982" s="6" t="str">
        <f>IFERROR(__xludf.DUMMYFUNCTION("""COMPUTED_VALUE"""),"Negative")</f>
        <v>Negative</v>
      </c>
      <c r="G982" s="6">
        <f>IFERROR(__xludf.DUMMYFUNCTION("""COMPUTED_VALUE"""),1.0)</f>
        <v>1</v>
      </c>
    </row>
    <row r="983">
      <c r="A983" s="6" t="str">
        <f>IFERROR(__xludf.DUMMYFUNCTION("""COMPUTED_VALUE"""),"FM2660")</f>
        <v>FM2660</v>
      </c>
      <c r="B983" s="6" t="str">
        <f>IFERROR(__xludf.DUMMYFUNCTION("""COMPUTED_VALUE"""),"RUN-COMB_2022-05-31_RFR-052")</f>
        <v>RUN-COMB_2022-05-31_RFR-052</v>
      </c>
      <c r="C983" s="7">
        <f>VLOOKUP(B983,'Run Reconcile'!A$2:B3090,2,FALSE)</f>
        <v>44712</v>
      </c>
      <c r="D983" s="11">
        <f>IFERROR(__xludf.DUMMYFUNCTION("""COMPUTED_VALUE"""),44712.0)</f>
        <v>44712</v>
      </c>
      <c r="E983" s="12">
        <f>IFERROR(__xludf.DUMMYFUNCTION("""COMPUTED_VALUE"""),0.2734259259268583)</f>
        <v>0.2734259259</v>
      </c>
      <c r="F983" s="6" t="str">
        <f>IFERROR(__xludf.DUMMYFUNCTION("""COMPUTED_VALUE"""),"Negative")</f>
        <v>Negative</v>
      </c>
      <c r="G983" s="6">
        <f>IFERROR(__xludf.DUMMYFUNCTION("""COMPUTED_VALUE"""),1.0)</f>
        <v>1</v>
      </c>
    </row>
    <row r="984">
      <c r="A984" s="6" t="str">
        <f>IFERROR(__xludf.DUMMYFUNCTION("""COMPUTED_VALUE"""),"FM2645")</f>
        <v>FM2645</v>
      </c>
      <c r="B984" s="6" t="str">
        <f>IFERROR(__xludf.DUMMYFUNCTION("""COMPUTED_VALUE"""),"RUN-COMB_2022-05-31_RFR-052")</f>
        <v>RUN-COMB_2022-05-31_RFR-052</v>
      </c>
      <c r="C984" s="7">
        <f>VLOOKUP(B984,'Run Reconcile'!A$2:B3090,2,FALSE)</f>
        <v>44712</v>
      </c>
      <c r="D984" s="11">
        <f>IFERROR(__xludf.DUMMYFUNCTION("""COMPUTED_VALUE"""),44712.0)</f>
        <v>44712</v>
      </c>
      <c r="E984" s="12">
        <f>IFERROR(__xludf.DUMMYFUNCTION("""COMPUTED_VALUE"""),0.27748842592700385)</f>
        <v>0.2774884259</v>
      </c>
      <c r="F984" s="6" t="str">
        <f>IFERROR(__xludf.DUMMYFUNCTION("""COMPUTED_VALUE"""),"Negative")</f>
        <v>Negative</v>
      </c>
      <c r="G984" s="6">
        <f>IFERROR(__xludf.DUMMYFUNCTION("""COMPUTED_VALUE"""),1.0)</f>
        <v>1</v>
      </c>
    </row>
    <row r="985">
      <c r="A985" s="6" t="str">
        <f>IFERROR(__xludf.DUMMYFUNCTION("""COMPUTED_VALUE"""),"FM2690")</f>
        <v>FM2690</v>
      </c>
      <c r="B985" s="6" t="str">
        <f>IFERROR(__xludf.DUMMYFUNCTION("""COMPUTED_VALUE"""),"RUN-COMB_2022-05-31_RFR-052")</f>
        <v>RUN-COMB_2022-05-31_RFR-052</v>
      </c>
      <c r="C985" s="7">
        <f>VLOOKUP(B985,'Run Reconcile'!A$2:B3090,2,FALSE)</f>
        <v>44712</v>
      </c>
      <c r="D985" s="11">
        <f>IFERROR(__xludf.DUMMYFUNCTION("""COMPUTED_VALUE"""),44712.0)</f>
        <v>44712</v>
      </c>
      <c r="E985" s="12">
        <f>IFERROR(__xludf.DUMMYFUNCTION("""COMPUTED_VALUE"""),0.27810185185080627)</f>
        <v>0.2781018519</v>
      </c>
      <c r="F985" s="6" t="str">
        <f>IFERROR(__xludf.DUMMYFUNCTION("""COMPUTED_VALUE"""),"Negative")</f>
        <v>Negative</v>
      </c>
      <c r="G985" s="6">
        <f>IFERROR(__xludf.DUMMYFUNCTION("""COMPUTED_VALUE"""),1.0)</f>
        <v>1</v>
      </c>
    </row>
    <row r="986">
      <c r="A986" s="6" t="str">
        <f>IFERROR(__xludf.DUMMYFUNCTION("""COMPUTED_VALUE"""),"FM2682")</f>
        <v>FM2682</v>
      </c>
      <c r="B986" s="6" t="str">
        <f>IFERROR(__xludf.DUMMYFUNCTION("""COMPUTED_VALUE"""),"RUN-COMB_2022-05-31_RFR-052")</f>
        <v>RUN-COMB_2022-05-31_RFR-052</v>
      </c>
      <c r="C986" s="7">
        <f>VLOOKUP(B986,'Run Reconcile'!A$2:B3090,2,FALSE)</f>
        <v>44712</v>
      </c>
      <c r="D986" s="11">
        <f>IFERROR(__xludf.DUMMYFUNCTION("""COMPUTED_VALUE"""),44712.0)</f>
        <v>44712</v>
      </c>
      <c r="E986" s="12">
        <f>IFERROR(__xludf.DUMMYFUNCTION("""COMPUTED_VALUE"""),0.278634259258979)</f>
        <v>0.2786342593</v>
      </c>
      <c r="F986" s="6" t="str">
        <f>IFERROR(__xludf.DUMMYFUNCTION("""COMPUTED_VALUE"""),"Negative")</f>
        <v>Negative</v>
      </c>
      <c r="G986" s="6">
        <f>IFERROR(__xludf.DUMMYFUNCTION("""COMPUTED_VALUE"""),1.0)</f>
        <v>1</v>
      </c>
    </row>
    <row r="987">
      <c r="A987" s="6" t="str">
        <f>IFERROR(__xludf.DUMMYFUNCTION("""COMPUTED_VALUE"""),"FM2683")</f>
        <v>FM2683</v>
      </c>
      <c r="B987" s="6" t="str">
        <f>IFERROR(__xludf.DUMMYFUNCTION("""COMPUTED_VALUE"""),"RUN-COMB_2022-05-31_RFR-052")</f>
        <v>RUN-COMB_2022-05-31_RFR-052</v>
      </c>
      <c r="C987" s="7">
        <f>VLOOKUP(B987,'Run Reconcile'!A$2:B3090,2,FALSE)</f>
        <v>44712</v>
      </c>
      <c r="D987" s="11">
        <f>IFERROR(__xludf.DUMMYFUNCTION("""COMPUTED_VALUE"""),44712.0)</f>
        <v>44712</v>
      </c>
      <c r="E987" s="12">
        <f>IFERROR(__xludf.DUMMYFUNCTION("""COMPUTED_VALUE"""),0.2791435185172304)</f>
        <v>0.2791435185</v>
      </c>
      <c r="F987" s="6" t="str">
        <f>IFERROR(__xludf.DUMMYFUNCTION("""COMPUTED_VALUE"""),"Negative")</f>
        <v>Negative</v>
      </c>
      <c r="G987" s="6">
        <f>IFERROR(__xludf.DUMMYFUNCTION("""COMPUTED_VALUE"""),1.0)</f>
        <v>1</v>
      </c>
    </row>
    <row r="988">
      <c r="A988" s="6" t="str">
        <f>IFERROR(__xludf.DUMMYFUNCTION("""COMPUTED_VALUE"""),"FM2646")</f>
        <v>FM2646</v>
      </c>
      <c r="B988" s="6" t="str">
        <f>IFERROR(__xludf.DUMMYFUNCTION("""COMPUTED_VALUE"""),"RUN-COMB_2022-05-31_RFR-052")</f>
        <v>RUN-COMB_2022-05-31_RFR-052</v>
      </c>
      <c r="C988" s="7">
        <f>VLOOKUP(B988,'Run Reconcile'!A$2:B3090,2,FALSE)</f>
        <v>44712</v>
      </c>
      <c r="D988" s="11">
        <f>IFERROR(__xludf.DUMMYFUNCTION("""COMPUTED_VALUE"""),44712.0)</f>
        <v>44712</v>
      </c>
      <c r="E988" s="12">
        <f>IFERROR(__xludf.DUMMYFUNCTION("""COMPUTED_VALUE"""),0.27962962962919846)</f>
        <v>0.2796296296</v>
      </c>
      <c r="F988" s="6" t="str">
        <f>IFERROR(__xludf.DUMMYFUNCTION("""COMPUTED_VALUE"""),"Negative")</f>
        <v>Negative</v>
      </c>
      <c r="G988" s="6">
        <f>IFERROR(__xludf.DUMMYFUNCTION("""COMPUTED_VALUE"""),1.0)</f>
        <v>1</v>
      </c>
    </row>
    <row r="989">
      <c r="A989" s="6" t="str">
        <f>IFERROR(__xludf.DUMMYFUNCTION("""COMPUTED_VALUE"""),"FM2687")</f>
        <v>FM2687</v>
      </c>
      <c r="B989" s="6" t="str">
        <f>IFERROR(__xludf.DUMMYFUNCTION("""COMPUTED_VALUE"""),"RUN-COMB_2022-05-31_RFR-052")</f>
        <v>RUN-COMB_2022-05-31_RFR-052</v>
      </c>
      <c r="C989" s="7">
        <f>VLOOKUP(B989,'Run Reconcile'!A$2:B3090,2,FALSE)</f>
        <v>44712</v>
      </c>
      <c r="D989" s="11">
        <f>IFERROR(__xludf.DUMMYFUNCTION("""COMPUTED_VALUE"""),44712.0)</f>
        <v>44712</v>
      </c>
      <c r="E989" s="12">
        <f>IFERROR(__xludf.DUMMYFUNCTION("""COMPUTED_VALUE"""),0.28424768518380006)</f>
        <v>0.2842476852</v>
      </c>
      <c r="F989" s="6" t="str">
        <f>IFERROR(__xludf.DUMMYFUNCTION("""COMPUTED_VALUE"""),"Negative")</f>
        <v>Negative</v>
      </c>
      <c r="G989" s="6">
        <f>IFERROR(__xludf.DUMMYFUNCTION("""COMPUTED_VALUE"""),1.0)</f>
        <v>1</v>
      </c>
    </row>
    <row r="990">
      <c r="A990" s="6" t="str">
        <f>IFERROR(__xludf.DUMMYFUNCTION("""COMPUTED_VALUE"""),"FM2622")</f>
        <v>FM2622</v>
      </c>
      <c r="B990" s="6" t="str">
        <f>IFERROR(__xludf.DUMMYFUNCTION("""COMPUTED_VALUE"""),"RUN-COMB_2022-05-31_RFR-052")</f>
        <v>RUN-COMB_2022-05-31_RFR-052</v>
      </c>
      <c r="C990" s="7">
        <f>VLOOKUP(B990,'Run Reconcile'!A$2:B3090,2,FALSE)</f>
        <v>44712</v>
      </c>
      <c r="D990" s="11">
        <f>IFERROR(__xludf.DUMMYFUNCTION("""COMPUTED_VALUE"""),44712.0)</f>
        <v>44712</v>
      </c>
      <c r="E990" s="12">
        <f>IFERROR(__xludf.DUMMYFUNCTION("""COMPUTED_VALUE"""),0.2920833333337214)</f>
        <v>0.2920833333</v>
      </c>
      <c r="F990" s="6" t="str">
        <f>IFERROR(__xludf.DUMMYFUNCTION("""COMPUTED_VALUE"""),"Negative")</f>
        <v>Negative</v>
      </c>
      <c r="G990" s="6">
        <f>IFERROR(__xludf.DUMMYFUNCTION("""COMPUTED_VALUE"""),1.0)</f>
        <v>1</v>
      </c>
    </row>
    <row r="991">
      <c r="A991" s="6" t="str">
        <f>IFERROR(__xludf.DUMMYFUNCTION("""COMPUTED_VALUE"""),"FM2596")</f>
        <v>FM2596</v>
      </c>
      <c r="B991" s="6" t="str">
        <f>IFERROR(__xludf.DUMMYFUNCTION("""COMPUTED_VALUE"""),"RUN-COMB_2022-05-31_RFR-052")</f>
        <v>RUN-COMB_2022-05-31_RFR-052</v>
      </c>
      <c r="C991" s="7">
        <f>VLOOKUP(B991,'Run Reconcile'!A$2:B3090,2,FALSE)</f>
        <v>44712</v>
      </c>
      <c r="D991" s="11">
        <f>IFERROR(__xludf.DUMMYFUNCTION("""COMPUTED_VALUE"""),44712.0)</f>
        <v>44712</v>
      </c>
      <c r="E991" s="12">
        <f>IFERROR(__xludf.DUMMYFUNCTION("""COMPUTED_VALUE"""),0.2924421296302171)</f>
        <v>0.2924421296</v>
      </c>
      <c r="F991" s="6" t="str">
        <f>IFERROR(__xludf.DUMMYFUNCTION("""COMPUTED_VALUE"""),"Negative")</f>
        <v>Negative</v>
      </c>
      <c r="G991" s="6">
        <f>IFERROR(__xludf.DUMMYFUNCTION("""COMPUTED_VALUE"""),1.0)</f>
        <v>1</v>
      </c>
    </row>
    <row r="992">
      <c r="A992" s="6" t="str">
        <f>IFERROR(__xludf.DUMMYFUNCTION("""COMPUTED_VALUE"""),"FM2620")</f>
        <v>FM2620</v>
      </c>
      <c r="B992" s="6" t="str">
        <f>IFERROR(__xludf.DUMMYFUNCTION("""COMPUTED_VALUE"""),"RUN-COMB_2022-05-31_RFR-052")</f>
        <v>RUN-COMB_2022-05-31_RFR-052</v>
      </c>
      <c r="C992" s="7">
        <f>VLOOKUP(B992,'Run Reconcile'!A$2:B3090,2,FALSE)</f>
        <v>44712</v>
      </c>
      <c r="D992" s="11">
        <f>IFERROR(__xludf.DUMMYFUNCTION("""COMPUTED_VALUE"""),44712.0)</f>
        <v>44712</v>
      </c>
      <c r="E992" s="12">
        <f>IFERROR(__xludf.DUMMYFUNCTION("""COMPUTED_VALUE"""),0.3591898148151813)</f>
        <v>0.3591898148</v>
      </c>
      <c r="F992" s="6" t="str">
        <f>IFERROR(__xludf.DUMMYFUNCTION("""COMPUTED_VALUE"""),"Negative")</f>
        <v>Negative</v>
      </c>
      <c r="G992" s="6">
        <f>IFERROR(__xludf.DUMMYFUNCTION("""COMPUTED_VALUE"""),1.0)</f>
        <v>1</v>
      </c>
    </row>
    <row r="993">
      <c r="A993" s="6" t="str">
        <f>IFERROR(__xludf.DUMMYFUNCTION("""COMPUTED_VALUE"""),"FM2614")</f>
        <v>FM2614</v>
      </c>
      <c r="B993" s="6" t="str">
        <f>IFERROR(__xludf.DUMMYFUNCTION("""COMPUTED_VALUE"""),"RUN-COMB_2022-06-01_RFR-053")</f>
        <v>RUN-COMB_2022-06-01_RFR-053</v>
      </c>
      <c r="C993" s="7">
        <f>VLOOKUP(B993,'Run Reconcile'!A$2:B3090,2,FALSE)</f>
        <v>44713</v>
      </c>
      <c r="D993" s="11">
        <f>IFERROR(__xludf.DUMMYFUNCTION("""COMPUTED_VALUE"""),44713.0)</f>
        <v>44713</v>
      </c>
      <c r="E993" s="12">
        <f>IFERROR(__xludf.DUMMYFUNCTION("""COMPUTED_VALUE"""),0.26149305555736646)</f>
        <v>0.2614930556</v>
      </c>
      <c r="F993" s="6" t="str">
        <f>IFERROR(__xludf.DUMMYFUNCTION("""COMPUTED_VALUE"""),"Negative")</f>
        <v>Negative</v>
      </c>
      <c r="G993" s="6">
        <f>IFERROR(__xludf.DUMMYFUNCTION("""COMPUTED_VALUE"""),1.0)</f>
        <v>1</v>
      </c>
    </row>
    <row r="994">
      <c r="A994" s="6" t="str">
        <f>IFERROR(__xludf.DUMMYFUNCTION("""COMPUTED_VALUE"""),"FM2619")</f>
        <v>FM2619</v>
      </c>
      <c r="B994" s="6" t="str">
        <f>IFERROR(__xludf.DUMMYFUNCTION("""COMPUTED_VALUE"""),"RUN-COMB_2022-06-01_RFR-053")</f>
        <v>RUN-COMB_2022-06-01_RFR-053</v>
      </c>
      <c r="C994" s="7">
        <f>VLOOKUP(B994,'Run Reconcile'!A$2:B3090,2,FALSE)</f>
        <v>44713</v>
      </c>
      <c r="D994" s="11">
        <f>IFERROR(__xludf.DUMMYFUNCTION("""COMPUTED_VALUE"""),44713.0)</f>
        <v>44713</v>
      </c>
      <c r="E994" s="12">
        <f>IFERROR(__xludf.DUMMYFUNCTION("""COMPUTED_VALUE"""),0.26179398148087785)</f>
        <v>0.2617939815</v>
      </c>
      <c r="F994" s="6" t="str">
        <f>IFERROR(__xludf.DUMMYFUNCTION("""COMPUTED_VALUE"""),"Negative")</f>
        <v>Negative</v>
      </c>
      <c r="G994" s="6">
        <f>IFERROR(__xludf.DUMMYFUNCTION("""COMPUTED_VALUE"""),1.0)</f>
        <v>1</v>
      </c>
    </row>
    <row r="995">
      <c r="A995" s="6" t="str">
        <f>IFERROR(__xludf.DUMMYFUNCTION("""COMPUTED_VALUE"""),"FM2675")</f>
        <v>FM2675</v>
      </c>
      <c r="B995" s="6" t="str">
        <f>IFERROR(__xludf.DUMMYFUNCTION("""COMPUTED_VALUE"""),"RUN-COMB_2022-06-01_RFR-053")</f>
        <v>RUN-COMB_2022-06-01_RFR-053</v>
      </c>
      <c r="C995" s="7">
        <f>VLOOKUP(B995,'Run Reconcile'!A$2:B3090,2,FALSE)</f>
        <v>44713</v>
      </c>
      <c r="D995" s="11">
        <f>IFERROR(__xludf.DUMMYFUNCTION("""COMPUTED_VALUE"""),44713.0)</f>
        <v>44713</v>
      </c>
      <c r="E995" s="12">
        <f>IFERROR(__xludf.DUMMYFUNCTION("""COMPUTED_VALUE"""),0.2622453703697829)</f>
        <v>0.2622453704</v>
      </c>
      <c r="F995" s="6" t="str">
        <f>IFERROR(__xludf.DUMMYFUNCTION("""COMPUTED_VALUE"""),"Negative")</f>
        <v>Negative</v>
      </c>
      <c r="G995" s="6">
        <f>IFERROR(__xludf.DUMMYFUNCTION("""COMPUTED_VALUE"""),1.0)</f>
        <v>1</v>
      </c>
    </row>
    <row r="996">
      <c r="A996" s="6" t="str">
        <f>IFERROR(__xludf.DUMMYFUNCTION("""COMPUTED_VALUE"""),"FM2697")</f>
        <v>FM2697</v>
      </c>
      <c r="B996" s="6" t="str">
        <f>IFERROR(__xludf.DUMMYFUNCTION("""COMPUTED_VALUE"""),"RUN-COMB_2022-06-01_RFR-053")</f>
        <v>RUN-COMB_2022-06-01_RFR-053</v>
      </c>
      <c r="C996" s="7">
        <f>VLOOKUP(B996,'Run Reconcile'!A$2:B3090,2,FALSE)</f>
        <v>44713</v>
      </c>
      <c r="D996" s="11">
        <f>IFERROR(__xludf.DUMMYFUNCTION("""COMPUTED_VALUE"""),44713.0)</f>
        <v>44713</v>
      </c>
      <c r="E996" s="12">
        <f>IFERROR(__xludf.DUMMYFUNCTION("""COMPUTED_VALUE"""),0.2632986111093487)</f>
        <v>0.2632986111</v>
      </c>
      <c r="F996" s="6" t="str">
        <f>IFERROR(__xludf.DUMMYFUNCTION("""COMPUTED_VALUE"""),"Negative")</f>
        <v>Negative</v>
      </c>
      <c r="G996" s="6">
        <f>IFERROR(__xludf.DUMMYFUNCTION("""COMPUTED_VALUE"""),1.0)</f>
        <v>1</v>
      </c>
    </row>
    <row r="997">
      <c r="A997" s="6" t="str">
        <f>IFERROR(__xludf.DUMMYFUNCTION("""COMPUTED_VALUE"""),"FM2673")</f>
        <v>FM2673</v>
      </c>
      <c r="B997" s="6" t="str">
        <f>IFERROR(__xludf.DUMMYFUNCTION("""COMPUTED_VALUE"""),"RUN-COMB_2022-06-01_RFR-053")</f>
        <v>RUN-COMB_2022-06-01_RFR-053</v>
      </c>
      <c r="C997" s="7">
        <f>VLOOKUP(B997,'Run Reconcile'!A$2:B3090,2,FALSE)</f>
        <v>44713</v>
      </c>
      <c r="D997" s="11">
        <f>IFERROR(__xludf.DUMMYFUNCTION("""COMPUTED_VALUE"""),44713.0)</f>
        <v>44713</v>
      </c>
      <c r="E997" s="12">
        <f>IFERROR(__xludf.DUMMYFUNCTION("""COMPUTED_VALUE"""),0.2636226851864194)</f>
        <v>0.2636226852</v>
      </c>
      <c r="F997" s="6" t="str">
        <f>IFERROR(__xludf.DUMMYFUNCTION("""COMPUTED_VALUE"""),"Negative")</f>
        <v>Negative</v>
      </c>
      <c r="G997" s="6">
        <f>IFERROR(__xludf.DUMMYFUNCTION("""COMPUTED_VALUE"""),1.0)</f>
        <v>1</v>
      </c>
    </row>
    <row r="998">
      <c r="A998" s="6" t="str">
        <f>IFERROR(__xludf.DUMMYFUNCTION("""COMPUTED_VALUE"""),"FM2651")</f>
        <v>FM2651</v>
      </c>
      <c r="B998" s="6" t="str">
        <f>IFERROR(__xludf.DUMMYFUNCTION("""COMPUTED_VALUE"""),"RUN-COMB_2022-06-01_RFR-053")</f>
        <v>RUN-COMB_2022-06-01_RFR-053</v>
      </c>
      <c r="C998" s="7">
        <f>VLOOKUP(B998,'Run Reconcile'!A$2:B3090,2,FALSE)</f>
        <v>44713</v>
      </c>
      <c r="D998" s="11">
        <f>IFERROR(__xludf.DUMMYFUNCTION("""COMPUTED_VALUE"""),44713.0)</f>
        <v>44713</v>
      </c>
      <c r="E998" s="12">
        <f>IFERROR(__xludf.DUMMYFUNCTION("""COMPUTED_VALUE"""),0.26408564814846613)</f>
        <v>0.2640856481</v>
      </c>
      <c r="F998" s="6" t="str">
        <f>IFERROR(__xludf.DUMMYFUNCTION("""COMPUTED_VALUE"""),"Negative")</f>
        <v>Negative</v>
      </c>
      <c r="G998" s="6">
        <f>IFERROR(__xludf.DUMMYFUNCTION("""COMPUTED_VALUE"""),1.0)</f>
        <v>1</v>
      </c>
    </row>
    <row r="999">
      <c r="A999" s="6" t="str">
        <f>IFERROR(__xludf.DUMMYFUNCTION("""COMPUTED_VALUE"""),"FM2699")</f>
        <v>FM2699</v>
      </c>
      <c r="B999" s="6" t="str">
        <f>IFERROR(__xludf.DUMMYFUNCTION("""COMPUTED_VALUE"""),"RUN-COMB_2022-06-01_RFR-053")</f>
        <v>RUN-COMB_2022-06-01_RFR-053</v>
      </c>
      <c r="C999" s="7">
        <f>VLOOKUP(B999,'Run Reconcile'!A$2:B3090,2,FALSE)</f>
        <v>44713</v>
      </c>
      <c r="D999" s="11">
        <f>IFERROR(__xludf.DUMMYFUNCTION("""COMPUTED_VALUE"""),44713.0)</f>
        <v>44713</v>
      </c>
      <c r="E999" s="12">
        <f>IFERROR(__xludf.DUMMYFUNCTION("""COMPUTED_VALUE"""),0.2684953703719657)</f>
        <v>0.2684953704</v>
      </c>
      <c r="F999" s="6" t="str">
        <f>IFERROR(__xludf.DUMMYFUNCTION("""COMPUTED_VALUE"""),"Negative")</f>
        <v>Negative</v>
      </c>
      <c r="G999" s="6">
        <f>IFERROR(__xludf.DUMMYFUNCTION("""COMPUTED_VALUE"""),1.0)</f>
        <v>1</v>
      </c>
    </row>
    <row r="1000">
      <c r="A1000" s="6" t="str">
        <f>IFERROR(__xludf.DUMMYFUNCTION("""COMPUTED_VALUE"""),"FM2669")</f>
        <v>FM2669</v>
      </c>
      <c r="B1000" s="6" t="str">
        <f>IFERROR(__xludf.DUMMYFUNCTION("""COMPUTED_VALUE"""),"RUN-COMB_2022-06-01_RFR-053")</f>
        <v>RUN-COMB_2022-06-01_RFR-053</v>
      </c>
      <c r="C1000" s="7">
        <f>VLOOKUP(B1000,'Run Reconcile'!A$2:B3090,2,FALSE)</f>
        <v>44713</v>
      </c>
      <c r="D1000" s="11">
        <f>IFERROR(__xludf.DUMMYFUNCTION("""COMPUTED_VALUE"""),44713.0)</f>
        <v>44713</v>
      </c>
      <c r="E1000" s="12">
        <f>IFERROR(__xludf.DUMMYFUNCTION("""COMPUTED_VALUE"""),0.26884259259168175)</f>
        <v>0.2688425926</v>
      </c>
      <c r="F1000" s="6" t="str">
        <f>IFERROR(__xludf.DUMMYFUNCTION("""COMPUTED_VALUE"""),"Negative")</f>
        <v>Negative</v>
      </c>
      <c r="G1000" s="6">
        <f>IFERROR(__xludf.DUMMYFUNCTION("""COMPUTED_VALUE"""),1.0)</f>
        <v>1</v>
      </c>
    </row>
    <row r="1001">
      <c r="A1001" s="6" t="str">
        <f>IFERROR(__xludf.DUMMYFUNCTION("""COMPUTED_VALUE"""),"FM2696")</f>
        <v>FM2696</v>
      </c>
      <c r="B1001" s="6" t="str">
        <f>IFERROR(__xludf.DUMMYFUNCTION("""COMPUTED_VALUE"""),"RUN-COMB_2022-06-01_RFR-053")</f>
        <v>RUN-COMB_2022-06-01_RFR-053</v>
      </c>
      <c r="C1001" s="7">
        <f>VLOOKUP(B1001,'Run Reconcile'!A$2:B3090,2,FALSE)</f>
        <v>44713</v>
      </c>
      <c r="D1001" s="11">
        <f>IFERROR(__xludf.DUMMYFUNCTION("""COMPUTED_VALUE"""),44713.0)</f>
        <v>44713</v>
      </c>
      <c r="E1001" s="12">
        <f>IFERROR(__xludf.DUMMYFUNCTION("""COMPUTED_VALUE"""),0.2691898148150358)</f>
        <v>0.2691898148</v>
      </c>
      <c r="F1001" s="6" t="str">
        <f>IFERROR(__xludf.DUMMYFUNCTION("""COMPUTED_VALUE"""),"Negative")</f>
        <v>Negative</v>
      </c>
      <c r="G1001" s="6">
        <f>IFERROR(__xludf.DUMMYFUNCTION("""COMPUTED_VALUE"""),1.0)</f>
        <v>1</v>
      </c>
    </row>
    <row r="1002">
      <c r="A1002" s="6" t="str">
        <f>IFERROR(__xludf.DUMMYFUNCTION("""COMPUTED_VALUE"""),"FM2628")</f>
        <v>FM2628</v>
      </c>
      <c r="B1002" s="6" t="str">
        <f>IFERROR(__xludf.DUMMYFUNCTION("""COMPUTED_VALUE"""),"RUN-COMB_2022-06-01_RFR-053")</f>
        <v>RUN-COMB_2022-06-01_RFR-053</v>
      </c>
      <c r="C1002" s="7">
        <f>VLOOKUP(B1002,'Run Reconcile'!A$2:B3090,2,FALSE)</f>
        <v>44713</v>
      </c>
      <c r="D1002" s="11">
        <f>IFERROR(__xludf.DUMMYFUNCTION("""COMPUTED_VALUE"""),44713.0)</f>
        <v>44713</v>
      </c>
      <c r="E1002" s="12">
        <f>IFERROR(__xludf.DUMMYFUNCTION("""COMPUTED_VALUE"""),0.2697685185194132)</f>
        <v>0.2697685185</v>
      </c>
      <c r="F1002" s="6" t="str">
        <f>IFERROR(__xludf.DUMMYFUNCTION("""COMPUTED_VALUE"""),"Negative")</f>
        <v>Negative</v>
      </c>
      <c r="G1002" s="6">
        <f>IFERROR(__xludf.DUMMYFUNCTION("""COMPUTED_VALUE"""),1.0)</f>
        <v>1</v>
      </c>
    </row>
    <row r="1003">
      <c r="A1003" s="6" t="str">
        <f>IFERROR(__xludf.DUMMYFUNCTION("""COMPUTED_VALUE"""),"FM2670")</f>
        <v>FM2670</v>
      </c>
      <c r="B1003" s="6" t="str">
        <f>IFERROR(__xludf.DUMMYFUNCTION("""COMPUTED_VALUE"""),"RUN-COMB_2022-06-01_RFR-053")</f>
        <v>RUN-COMB_2022-06-01_RFR-053</v>
      </c>
      <c r="C1003" s="7">
        <f>VLOOKUP(B1003,'Run Reconcile'!A$2:B3090,2,FALSE)</f>
        <v>44713</v>
      </c>
      <c r="D1003" s="11">
        <f>IFERROR(__xludf.DUMMYFUNCTION("""COMPUTED_VALUE"""),44713.0)</f>
        <v>44713</v>
      </c>
      <c r="E1003" s="12">
        <f>IFERROR(__xludf.DUMMYFUNCTION("""COMPUTED_VALUE"""),0.27039351851999527)</f>
        <v>0.2703935185</v>
      </c>
      <c r="F1003" s="6" t="str">
        <f>IFERROR(__xludf.DUMMYFUNCTION("""COMPUTED_VALUE"""),"Negative")</f>
        <v>Negative</v>
      </c>
      <c r="G1003" s="6">
        <f>IFERROR(__xludf.DUMMYFUNCTION("""COMPUTED_VALUE"""),1.0)</f>
        <v>1</v>
      </c>
    </row>
    <row r="1004">
      <c r="A1004" s="6" t="str">
        <f>IFERROR(__xludf.DUMMYFUNCTION("""COMPUTED_VALUE"""),"FM2647")</f>
        <v>FM2647</v>
      </c>
      <c r="B1004" s="6" t="str">
        <f>IFERROR(__xludf.DUMMYFUNCTION("""COMPUTED_VALUE"""),"RUN-COMB_2022-06-01_RFR-053")</f>
        <v>RUN-COMB_2022-06-01_RFR-053</v>
      </c>
      <c r="C1004" s="7">
        <f>VLOOKUP(B1004,'Run Reconcile'!A$2:B3090,2,FALSE)</f>
        <v>44713</v>
      </c>
      <c r="D1004" s="11">
        <f>IFERROR(__xludf.DUMMYFUNCTION("""COMPUTED_VALUE"""),44713.0)</f>
        <v>44713</v>
      </c>
      <c r="E1004" s="12">
        <f>IFERROR(__xludf.DUMMYFUNCTION("""COMPUTED_VALUE"""),0.27069444444350665)</f>
        <v>0.2706944444</v>
      </c>
      <c r="F1004" s="6" t="str">
        <f>IFERROR(__xludf.DUMMYFUNCTION("""COMPUTED_VALUE"""),"Negative")</f>
        <v>Negative</v>
      </c>
      <c r="G1004" s="6">
        <f>IFERROR(__xludf.DUMMYFUNCTION("""COMPUTED_VALUE"""),1.0)</f>
        <v>1</v>
      </c>
    </row>
    <row r="1005">
      <c r="A1005" s="6" t="str">
        <f>IFERROR(__xludf.DUMMYFUNCTION("""COMPUTED_VALUE"""),"FM2653")</f>
        <v>FM2653</v>
      </c>
      <c r="B1005" s="6" t="str">
        <f>IFERROR(__xludf.DUMMYFUNCTION("""COMPUTED_VALUE"""),"RUN-COMB_2022-06-01_RFR-053")</f>
        <v>RUN-COMB_2022-06-01_RFR-053</v>
      </c>
      <c r="C1005" s="7">
        <f>VLOOKUP(B1005,'Run Reconcile'!A$2:B3090,2,FALSE)</f>
        <v>44713</v>
      </c>
      <c r="D1005" s="11">
        <f>IFERROR(__xludf.DUMMYFUNCTION("""COMPUTED_VALUE"""),44713.0)</f>
        <v>44713</v>
      </c>
      <c r="E1005" s="12">
        <f>IFERROR(__xludf.DUMMYFUNCTION("""COMPUTED_VALUE"""),0.2710416666668607)</f>
        <v>0.2710416667</v>
      </c>
      <c r="F1005" s="6" t="str">
        <f>IFERROR(__xludf.DUMMYFUNCTION("""COMPUTED_VALUE"""),"Negative")</f>
        <v>Negative</v>
      </c>
      <c r="G1005" s="6">
        <f>IFERROR(__xludf.DUMMYFUNCTION("""COMPUTED_VALUE"""),1.0)</f>
        <v>1</v>
      </c>
    </row>
    <row r="1006">
      <c r="A1006" s="6" t="str">
        <f>IFERROR(__xludf.DUMMYFUNCTION("""COMPUTED_VALUE"""),"FM2606")</f>
        <v>FM2606</v>
      </c>
      <c r="B1006" s="6" t="str">
        <f>IFERROR(__xludf.DUMMYFUNCTION("""COMPUTED_VALUE"""),"RUN-COMB_2022-06-01_RFR-053")</f>
        <v>RUN-COMB_2022-06-01_RFR-053</v>
      </c>
      <c r="C1006" s="7">
        <f>VLOOKUP(B1006,'Run Reconcile'!A$2:B3090,2,FALSE)</f>
        <v>44713</v>
      </c>
      <c r="D1006" s="11">
        <f>IFERROR(__xludf.DUMMYFUNCTION("""COMPUTED_VALUE"""),44713.0)</f>
        <v>44713</v>
      </c>
      <c r="E1006" s="12">
        <f>IFERROR(__xludf.DUMMYFUNCTION("""COMPUTED_VALUE"""),0.2716203703712381)</f>
        <v>0.2716203704</v>
      </c>
      <c r="F1006" s="6" t="str">
        <f>IFERROR(__xludf.DUMMYFUNCTION("""COMPUTED_VALUE"""),"Negative")</f>
        <v>Negative</v>
      </c>
      <c r="G1006" s="6">
        <f>IFERROR(__xludf.DUMMYFUNCTION("""COMPUTED_VALUE"""),1.0)</f>
        <v>1</v>
      </c>
    </row>
    <row r="1007">
      <c r="A1007" s="6" t="str">
        <f>IFERROR(__xludf.DUMMYFUNCTION("""COMPUTED_VALUE"""),"FM2694")</f>
        <v>FM2694</v>
      </c>
      <c r="B1007" s="6" t="str">
        <f>IFERROR(__xludf.DUMMYFUNCTION("""COMPUTED_VALUE"""),"RUN-COMB_2022-06-01_RFR-053")</f>
        <v>RUN-COMB_2022-06-01_RFR-053</v>
      </c>
      <c r="C1007" s="7">
        <f>VLOOKUP(B1007,'Run Reconcile'!A$2:B3090,2,FALSE)</f>
        <v>44713</v>
      </c>
      <c r="D1007" s="11">
        <f>IFERROR(__xludf.DUMMYFUNCTION("""COMPUTED_VALUE"""),44713.0)</f>
        <v>44713</v>
      </c>
      <c r="E1007" s="12">
        <f>IFERROR(__xludf.DUMMYFUNCTION("""COMPUTED_VALUE"""),0.27203703703708015)</f>
        <v>0.272037037</v>
      </c>
      <c r="F1007" s="6" t="str">
        <f>IFERROR(__xludf.DUMMYFUNCTION("""COMPUTED_VALUE"""),"Negative")</f>
        <v>Negative</v>
      </c>
      <c r="G1007" s="6">
        <f>IFERROR(__xludf.DUMMYFUNCTION("""COMPUTED_VALUE"""),1.0)</f>
        <v>1</v>
      </c>
    </row>
    <row r="1008">
      <c r="A1008" s="6" t="str">
        <f>IFERROR(__xludf.DUMMYFUNCTION("""COMPUTED_VALUE"""),"FM2607")</f>
        <v>FM2607</v>
      </c>
      <c r="B1008" s="6" t="str">
        <f>IFERROR(__xludf.DUMMYFUNCTION("""COMPUTED_VALUE"""),"RUN-COMB_2022-06-01_RFR-053")</f>
        <v>RUN-COMB_2022-06-01_RFR-053</v>
      </c>
      <c r="C1008" s="7">
        <f>VLOOKUP(B1008,'Run Reconcile'!A$2:B3090,2,FALSE)</f>
        <v>44713</v>
      </c>
      <c r="D1008" s="11">
        <f>IFERROR(__xludf.DUMMYFUNCTION("""COMPUTED_VALUE"""),44713.0)</f>
        <v>44713</v>
      </c>
      <c r="E1008" s="12">
        <f>IFERROR(__xludf.DUMMYFUNCTION("""COMPUTED_VALUE"""),0.2724189814798592)</f>
        <v>0.2724189815</v>
      </c>
      <c r="F1008" s="6" t="str">
        <f>IFERROR(__xludf.DUMMYFUNCTION("""COMPUTED_VALUE"""),"Negative")</f>
        <v>Negative</v>
      </c>
      <c r="G1008" s="6">
        <f>IFERROR(__xludf.DUMMYFUNCTION("""COMPUTED_VALUE"""),1.0)</f>
        <v>1</v>
      </c>
    </row>
    <row r="1009">
      <c r="A1009" s="6" t="str">
        <f>IFERROR(__xludf.DUMMYFUNCTION("""COMPUTED_VALUE"""),"FM2802")</f>
        <v>FM2802</v>
      </c>
      <c r="B1009" s="6" t="str">
        <f>IFERROR(__xludf.DUMMYFUNCTION("""COMPUTED_VALUE"""),"RUN-COMB_2022-06-02_RFR-054")</f>
        <v>RUN-COMB_2022-06-02_RFR-054</v>
      </c>
      <c r="C1009" s="7">
        <f>VLOOKUP(B1009,'Run Reconcile'!A$2:B3090,2,FALSE)</f>
        <v>44714</v>
      </c>
      <c r="D1009" s="11">
        <f>IFERROR(__xludf.DUMMYFUNCTION("""COMPUTED_VALUE"""),44714.0)</f>
        <v>44714</v>
      </c>
      <c r="E1009" s="12">
        <f>IFERROR(__xludf.DUMMYFUNCTION("""COMPUTED_VALUE"""),0.2746759259243845)</f>
        <v>0.2746759259</v>
      </c>
      <c r="F1009" s="6" t="str">
        <f>IFERROR(__xludf.DUMMYFUNCTION("""COMPUTED_VALUE"""),"Negative")</f>
        <v>Negative</v>
      </c>
      <c r="G1009" s="6">
        <f>IFERROR(__xludf.DUMMYFUNCTION("""COMPUTED_VALUE"""),1.0)</f>
        <v>1</v>
      </c>
    </row>
    <row r="1010">
      <c r="A1010" s="6" t="str">
        <f>IFERROR(__xludf.DUMMYFUNCTION("""COMPUTED_VALUE"""),"FM2807")</f>
        <v>FM2807</v>
      </c>
      <c r="B1010" s="6" t="str">
        <f>IFERROR(__xludf.DUMMYFUNCTION("""COMPUTED_VALUE"""),"RUN-COMB_2022-06-02_RFR-054")</f>
        <v>RUN-COMB_2022-06-02_RFR-054</v>
      </c>
      <c r="C1010" s="7">
        <f>VLOOKUP(B1010,'Run Reconcile'!A$2:B3090,2,FALSE)</f>
        <v>44714</v>
      </c>
      <c r="D1010" s="11">
        <f>IFERROR(__xludf.DUMMYFUNCTION("""COMPUTED_VALUE"""),44714.0)</f>
        <v>44714</v>
      </c>
      <c r="E1010" s="12">
        <f>IFERROR(__xludf.DUMMYFUNCTION("""COMPUTED_VALUE"""),0.27504629629765986)</f>
        <v>0.2750462963</v>
      </c>
      <c r="F1010" s="6" t="str">
        <f>IFERROR(__xludf.DUMMYFUNCTION("""COMPUTED_VALUE"""),"Negative")</f>
        <v>Negative</v>
      </c>
      <c r="G1010" s="6">
        <f>IFERROR(__xludf.DUMMYFUNCTION("""COMPUTED_VALUE"""),1.0)</f>
        <v>1</v>
      </c>
    </row>
    <row r="1011">
      <c r="A1011" s="6" t="str">
        <f>IFERROR(__xludf.DUMMYFUNCTION("""COMPUTED_VALUE"""),"FM2850")</f>
        <v>FM2850</v>
      </c>
      <c r="B1011" s="6" t="str">
        <f>IFERROR(__xludf.DUMMYFUNCTION("""COMPUTED_VALUE"""),"RUN-COMB_2022-06-02_RFR-054")</f>
        <v>RUN-COMB_2022-06-02_RFR-054</v>
      </c>
      <c r="C1011" s="7">
        <f>VLOOKUP(B1011,'Run Reconcile'!A$2:B3090,2,FALSE)</f>
        <v>44714</v>
      </c>
      <c r="D1011" s="11">
        <f>IFERROR(__xludf.DUMMYFUNCTION("""COMPUTED_VALUE"""),44714.0)</f>
        <v>44714</v>
      </c>
      <c r="E1011" s="12">
        <f>IFERROR(__xludf.DUMMYFUNCTION("""COMPUTED_VALUE"""),0.27545138889036025)</f>
        <v>0.2754513889</v>
      </c>
      <c r="F1011" s="6" t="str">
        <f>IFERROR(__xludf.DUMMYFUNCTION("""COMPUTED_VALUE"""),"Negative")</f>
        <v>Negative</v>
      </c>
      <c r="G1011" s="6">
        <f>IFERROR(__xludf.DUMMYFUNCTION("""COMPUTED_VALUE"""),1.0)</f>
        <v>1</v>
      </c>
    </row>
    <row r="1012">
      <c r="A1012" s="6" t="str">
        <f>IFERROR(__xludf.DUMMYFUNCTION("""COMPUTED_VALUE"""),"FM2825")</f>
        <v>FM2825</v>
      </c>
      <c r="B1012" s="6" t="str">
        <f>IFERROR(__xludf.DUMMYFUNCTION("""COMPUTED_VALUE"""),"RUN-COMB_2022-06-02_RFR-054")</f>
        <v>RUN-COMB_2022-06-02_RFR-054</v>
      </c>
      <c r="C1012" s="7">
        <f>VLOOKUP(B1012,'Run Reconcile'!A$2:B3090,2,FALSE)</f>
        <v>44714</v>
      </c>
      <c r="D1012" s="11">
        <f>IFERROR(__xludf.DUMMYFUNCTION("""COMPUTED_VALUE"""),44714.0)</f>
        <v>44714</v>
      </c>
      <c r="E1012" s="12">
        <f>IFERROR(__xludf.DUMMYFUNCTION("""COMPUTED_VALUE"""),0.2758333333331393)</f>
        <v>0.2758333333</v>
      </c>
      <c r="F1012" s="6" t="str">
        <f>IFERROR(__xludf.DUMMYFUNCTION("""COMPUTED_VALUE"""),"Negative")</f>
        <v>Negative</v>
      </c>
      <c r="G1012" s="6">
        <f>IFERROR(__xludf.DUMMYFUNCTION("""COMPUTED_VALUE"""),1.0)</f>
        <v>1</v>
      </c>
    </row>
    <row r="1013">
      <c r="A1013" s="6" t="str">
        <f>IFERROR(__xludf.DUMMYFUNCTION("""COMPUTED_VALUE"""),"FM2823")</f>
        <v>FM2823</v>
      </c>
      <c r="B1013" s="6" t="str">
        <f>IFERROR(__xludf.DUMMYFUNCTION("""COMPUTED_VALUE"""),"RUN-COMB_2022-06-02_RFR-054")</f>
        <v>RUN-COMB_2022-06-02_RFR-054</v>
      </c>
      <c r="C1013" s="7">
        <f>VLOOKUP(B1013,'Run Reconcile'!A$2:B3090,2,FALSE)</f>
        <v>44714</v>
      </c>
      <c r="D1013" s="11">
        <f>IFERROR(__xludf.DUMMYFUNCTION("""COMPUTED_VALUE"""),44714.0)</f>
        <v>44714</v>
      </c>
      <c r="E1013" s="12">
        <f>IFERROR(__xludf.DUMMYFUNCTION("""COMPUTED_VALUE"""),0.276192129629635)</f>
        <v>0.2761921296</v>
      </c>
      <c r="F1013" s="6" t="str">
        <f>IFERROR(__xludf.DUMMYFUNCTION("""COMPUTED_VALUE"""),"Negative")</f>
        <v>Negative</v>
      </c>
      <c r="G1013" s="6">
        <f>IFERROR(__xludf.DUMMYFUNCTION("""COMPUTED_VALUE"""),1.0)</f>
        <v>1</v>
      </c>
    </row>
    <row r="1014">
      <c r="A1014" s="6" t="str">
        <f>IFERROR(__xludf.DUMMYFUNCTION("""COMPUTED_VALUE"""),"FM2652")</f>
        <v>FM2652</v>
      </c>
      <c r="B1014" s="6" t="str">
        <f>IFERROR(__xludf.DUMMYFUNCTION("""COMPUTED_VALUE"""),"RUN-COMB_2022-06-02_RFR-054")</f>
        <v>RUN-COMB_2022-06-02_RFR-054</v>
      </c>
      <c r="C1014" s="7">
        <f>VLOOKUP(B1014,'Run Reconcile'!A$2:B3090,2,FALSE)</f>
        <v>44714</v>
      </c>
      <c r="D1014" s="11">
        <f>IFERROR(__xludf.DUMMYFUNCTION("""COMPUTED_VALUE"""),44714.0)</f>
        <v>44714</v>
      </c>
      <c r="E1014" s="12">
        <f>IFERROR(__xludf.DUMMYFUNCTION("""COMPUTED_VALUE"""),0.2766666666684614)</f>
        <v>0.2766666667</v>
      </c>
      <c r="F1014" s="6" t="str">
        <f>IFERROR(__xludf.DUMMYFUNCTION("""COMPUTED_VALUE"""),"Negative")</f>
        <v>Negative</v>
      </c>
      <c r="G1014" s="6">
        <f>IFERROR(__xludf.DUMMYFUNCTION("""COMPUTED_VALUE"""),1.0)</f>
        <v>1</v>
      </c>
    </row>
    <row r="1015">
      <c r="A1015" s="6" t="str">
        <f>IFERROR(__xludf.DUMMYFUNCTION("""COMPUTED_VALUE"""),"FM2866")</f>
        <v>FM2866</v>
      </c>
      <c r="B1015" s="6" t="str">
        <f>IFERROR(__xludf.DUMMYFUNCTION("""COMPUTED_VALUE"""),"RUN-COMB_2022-06-02_RFR-054")</f>
        <v>RUN-COMB_2022-06-02_RFR-054</v>
      </c>
      <c r="C1015" s="7">
        <f>VLOOKUP(B1015,'Run Reconcile'!A$2:B3090,2,FALSE)</f>
        <v>44714</v>
      </c>
      <c r="D1015" s="11">
        <f>IFERROR(__xludf.DUMMYFUNCTION("""COMPUTED_VALUE"""),44714.0)</f>
        <v>44714</v>
      </c>
      <c r="E1015" s="12">
        <f>IFERROR(__xludf.DUMMYFUNCTION("""COMPUTED_VALUE"""),0.2771064814805868)</f>
        <v>0.2771064815</v>
      </c>
      <c r="F1015" s="6" t="str">
        <f>IFERROR(__xludf.DUMMYFUNCTION("""COMPUTED_VALUE"""),"Negative")</f>
        <v>Negative</v>
      </c>
      <c r="G1015" s="6">
        <f>IFERROR(__xludf.DUMMYFUNCTION("""COMPUTED_VALUE"""),1.0)</f>
        <v>1</v>
      </c>
    </row>
    <row r="1016">
      <c r="A1016" s="6" t="str">
        <f>IFERROR(__xludf.DUMMYFUNCTION("""COMPUTED_VALUE"""),"FM2803")</f>
        <v>FM2803</v>
      </c>
      <c r="B1016" s="6" t="str">
        <f>IFERROR(__xludf.DUMMYFUNCTION("""COMPUTED_VALUE"""),"RUN-COMB_2022-06-02_RFR-054")</f>
        <v>RUN-COMB_2022-06-02_RFR-054</v>
      </c>
      <c r="C1016" s="7">
        <f>VLOOKUP(B1016,'Run Reconcile'!A$2:B3090,2,FALSE)</f>
        <v>44714</v>
      </c>
      <c r="D1016" s="11">
        <f>IFERROR(__xludf.DUMMYFUNCTION("""COMPUTED_VALUE"""),44714.0)</f>
        <v>44714</v>
      </c>
      <c r="E1016" s="12">
        <f>IFERROR(__xludf.DUMMYFUNCTION("""COMPUTED_VALUE"""),0.2774768518502242)</f>
        <v>0.2774768519</v>
      </c>
      <c r="F1016" s="6" t="str">
        <f>IFERROR(__xludf.DUMMYFUNCTION("""COMPUTED_VALUE"""),"Negative")</f>
        <v>Negative</v>
      </c>
      <c r="G1016" s="6">
        <f>IFERROR(__xludf.DUMMYFUNCTION("""COMPUTED_VALUE"""),1.0)</f>
        <v>1</v>
      </c>
    </row>
    <row r="1017">
      <c r="A1017" s="6" t="str">
        <f>IFERROR(__xludf.DUMMYFUNCTION("""COMPUTED_VALUE"""),"FM2867")</f>
        <v>FM2867</v>
      </c>
      <c r="B1017" s="6" t="str">
        <f>IFERROR(__xludf.DUMMYFUNCTION("""COMPUTED_VALUE"""),"RUN-COMB_2022-06-02_RFR-054")</f>
        <v>RUN-COMB_2022-06-02_RFR-054</v>
      </c>
      <c r="C1017" s="7">
        <f>VLOOKUP(B1017,'Run Reconcile'!A$2:B3090,2,FALSE)</f>
        <v>44714</v>
      </c>
      <c r="D1017" s="11">
        <f>IFERROR(__xludf.DUMMYFUNCTION("""COMPUTED_VALUE"""),44714.0)</f>
        <v>44714</v>
      </c>
      <c r="E1017" s="12">
        <f>IFERROR(__xludf.DUMMYFUNCTION("""COMPUTED_VALUE"""),0.278668981482042)</f>
        <v>0.2786689815</v>
      </c>
      <c r="F1017" s="6" t="str">
        <f>IFERROR(__xludf.DUMMYFUNCTION("""COMPUTED_VALUE"""),"Negative")</f>
        <v>Negative</v>
      </c>
      <c r="G1017" s="6">
        <f>IFERROR(__xludf.DUMMYFUNCTION("""COMPUTED_VALUE"""),1.0)</f>
        <v>1</v>
      </c>
    </row>
    <row r="1018">
      <c r="A1018" s="6" t="str">
        <f>IFERROR(__xludf.DUMMYFUNCTION("""COMPUTED_VALUE"""),"FM2656")</f>
        <v>FM2656</v>
      </c>
      <c r="B1018" s="6" t="str">
        <f>IFERROR(__xludf.DUMMYFUNCTION("""COMPUTED_VALUE"""),"RUN-COMB_2022-06-02_RFR-054")</f>
        <v>RUN-COMB_2022-06-02_RFR-054</v>
      </c>
      <c r="C1018" s="7">
        <f>VLOOKUP(B1018,'Run Reconcile'!A$2:B3090,2,FALSE)</f>
        <v>44714</v>
      </c>
      <c r="D1018" s="11">
        <f>IFERROR(__xludf.DUMMYFUNCTION("""COMPUTED_VALUE"""),44714.0)</f>
        <v>44714</v>
      </c>
      <c r="E1018" s="12">
        <f>IFERROR(__xludf.DUMMYFUNCTION("""COMPUTED_VALUE"""),0.27909722222102573)</f>
        <v>0.2790972222</v>
      </c>
      <c r="F1018" s="6" t="str">
        <f>IFERROR(__xludf.DUMMYFUNCTION("""COMPUTED_VALUE"""),"Negative")</f>
        <v>Negative</v>
      </c>
      <c r="G1018" s="6">
        <f>IFERROR(__xludf.DUMMYFUNCTION("""COMPUTED_VALUE"""),1.0)</f>
        <v>1</v>
      </c>
    </row>
    <row r="1019">
      <c r="A1019" s="6" t="str">
        <f>IFERROR(__xludf.DUMMYFUNCTION("""COMPUTED_VALUE"""),"FM2875")</f>
        <v>FM2875</v>
      </c>
      <c r="B1019" s="6" t="str">
        <f>IFERROR(__xludf.DUMMYFUNCTION("""COMPUTED_VALUE"""),"RUN-COMB_2022-06-02_RFR-054")</f>
        <v>RUN-COMB_2022-06-02_RFR-054</v>
      </c>
      <c r="C1019" s="7">
        <f>VLOOKUP(B1019,'Run Reconcile'!A$2:B3090,2,FALSE)</f>
        <v>44714</v>
      </c>
      <c r="D1019" s="11">
        <f>IFERROR(__xludf.DUMMYFUNCTION("""COMPUTED_VALUE"""),44714.0)</f>
        <v>44714</v>
      </c>
      <c r="E1019" s="12">
        <f>IFERROR(__xludf.DUMMYFUNCTION("""COMPUTED_VALUE"""),0.27947916666744277)</f>
        <v>0.2794791667</v>
      </c>
      <c r="F1019" s="6" t="str">
        <f>IFERROR(__xludf.DUMMYFUNCTION("""COMPUTED_VALUE"""),"Negative")</f>
        <v>Negative</v>
      </c>
      <c r="G1019" s="6">
        <f>IFERROR(__xludf.DUMMYFUNCTION("""COMPUTED_VALUE"""),1.0)</f>
        <v>1</v>
      </c>
    </row>
    <row r="1020">
      <c r="A1020" s="6" t="str">
        <f>IFERROR(__xludf.DUMMYFUNCTION("""COMPUTED_VALUE"""),"FM2643")</f>
        <v>FM2643</v>
      </c>
      <c r="B1020" s="6" t="str">
        <f>IFERROR(__xludf.DUMMYFUNCTION("""COMPUTED_VALUE"""),"RUN-COMB_2022-06-02_RFR-054")</f>
        <v>RUN-COMB_2022-06-02_RFR-054</v>
      </c>
      <c r="C1020" s="7">
        <f>VLOOKUP(B1020,'Run Reconcile'!A$2:B3090,2,FALSE)</f>
        <v>44714</v>
      </c>
      <c r="D1020" s="11">
        <f>IFERROR(__xludf.DUMMYFUNCTION("""COMPUTED_VALUE"""),44714.0)</f>
        <v>44714</v>
      </c>
      <c r="E1020" s="12">
        <f>IFERROR(__xludf.DUMMYFUNCTION("""COMPUTED_VALUE"""),0.2798611111102218)</f>
        <v>0.2798611111</v>
      </c>
      <c r="F1020" s="6" t="str">
        <f>IFERROR(__xludf.DUMMYFUNCTION("""COMPUTED_VALUE"""),"Negative")</f>
        <v>Negative</v>
      </c>
      <c r="G1020" s="6">
        <f>IFERROR(__xludf.DUMMYFUNCTION("""COMPUTED_VALUE"""),1.0)</f>
        <v>1</v>
      </c>
    </row>
    <row r="1021">
      <c r="A1021" s="6" t="str">
        <f>IFERROR(__xludf.DUMMYFUNCTION("""COMPUTED_VALUE"""),"FM2779")</f>
        <v>FM2779</v>
      </c>
      <c r="B1021" s="6" t="str">
        <f>IFERROR(__xludf.DUMMYFUNCTION("""COMPUTED_VALUE"""),"RUN-COMB_2022-06-02_RFR-054")</f>
        <v>RUN-COMB_2022-06-02_RFR-054</v>
      </c>
      <c r="C1021" s="7">
        <f>VLOOKUP(B1021,'Run Reconcile'!A$2:B3090,2,FALSE)</f>
        <v>44714</v>
      </c>
      <c r="D1021" s="11">
        <f>IFERROR(__xludf.DUMMYFUNCTION("""COMPUTED_VALUE"""),44714.0)</f>
        <v>44714</v>
      </c>
      <c r="E1021" s="12">
        <f>IFERROR(__xludf.DUMMYFUNCTION("""COMPUTED_VALUE"""),0.28025462962978054)</f>
        <v>0.2802546296</v>
      </c>
      <c r="F1021" s="6" t="str">
        <f>IFERROR(__xludf.DUMMYFUNCTION("""COMPUTED_VALUE"""),"Negative")</f>
        <v>Negative</v>
      </c>
      <c r="G1021" s="6">
        <f>IFERROR(__xludf.DUMMYFUNCTION("""COMPUTED_VALUE"""),1.0)</f>
        <v>1</v>
      </c>
    </row>
    <row r="1022">
      <c r="A1022" s="6" t="str">
        <f>IFERROR(__xludf.DUMMYFUNCTION("""COMPUTED_VALUE"""),"FM2819")</f>
        <v>FM2819</v>
      </c>
      <c r="B1022" s="6" t="str">
        <f>IFERROR(__xludf.DUMMYFUNCTION("""COMPUTED_VALUE"""),"RUN-COMB_2022-06-02_RFR-054")</f>
        <v>RUN-COMB_2022-06-02_RFR-054</v>
      </c>
      <c r="C1022" s="7">
        <f>VLOOKUP(B1022,'Run Reconcile'!A$2:B3090,2,FALSE)</f>
        <v>44714</v>
      </c>
      <c r="D1022" s="11">
        <f>IFERROR(__xludf.DUMMYFUNCTION("""COMPUTED_VALUE"""),44714.0)</f>
        <v>44714</v>
      </c>
      <c r="E1022" s="12">
        <f>IFERROR(__xludf.DUMMYFUNCTION("""COMPUTED_VALUE"""),0.28061342592627625)</f>
        <v>0.2806134259</v>
      </c>
      <c r="F1022" s="6" t="str">
        <f>IFERROR(__xludf.DUMMYFUNCTION("""COMPUTED_VALUE"""),"Negative")</f>
        <v>Negative</v>
      </c>
      <c r="G1022" s="6">
        <f>IFERROR(__xludf.DUMMYFUNCTION("""COMPUTED_VALUE"""),1.0)</f>
        <v>1</v>
      </c>
    </row>
    <row r="1023">
      <c r="A1023" s="6" t="str">
        <f>IFERROR(__xludf.DUMMYFUNCTION("""COMPUTED_VALUE"""),"FM2835")</f>
        <v>FM2835</v>
      </c>
      <c r="B1023" s="6" t="str">
        <f>IFERROR(__xludf.DUMMYFUNCTION("""COMPUTED_VALUE"""),"RUN-COMB_2022-06-02_RFR-054")</f>
        <v>RUN-COMB_2022-06-02_RFR-054</v>
      </c>
      <c r="C1023" s="7">
        <f>VLOOKUP(B1023,'Run Reconcile'!A$2:B3090,2,FALSE)</f>
        <v>44714</v>
      </c>
      <c r="D1023" s="11">
        <f>IFERROR(__xludf.DUMMYFUNCTION("""COMPUTED_VALUE"""),44714.0)</f>
        <v>44714</v>
      </c>
      <c r="E1023" s="12">
        <f>IFERROR(__xludf.DUMMYFUNCTION("""COMPUTED_VALUE"""),0.28097222222277196)</f>
        <v>0.2809722222</v>
      </c>
      <c r="F1023" s="6" t="str">
        <f>IFERROR(__xludf.DUMMYFUNCTION("""COMPUTED_VALUE"""),"Negative")</f>
        <v>Negative</v>
      </c>
      <c r="G1023" s="6">
        <f>IFERROR(__xludf.DUMMYFUNCTION("""COMPUTED_VALUE"""),1.0)</f>
        <v>1</v>
      </c>
    </row>
    <row r="1024">
      <c r="A1024" s="6" t="str">
        <f>IFERROR(__xludf.DUMMYFUNCTION("""COMPUTED_VALUE"""),"FM2868")</f>
        <v>FM2868</v>
      </c>
      <c r="B1024" s="6" t="str">
        <f>IFERROR(__xludf.DUMMYFUNCTION("""COMPUTED_VALUE"""),"RUN-COMB_2022-06-02_RFR-054")</f>
        <v>RUN-COMB_2022-06-02_RFR-054</v>
      </c>
      <c r="C1024" s="7">
        <f>VLOOKUP(B1024,'Run Reconcile'!A$2:B3090,2,FALSE)</f>
        <v>44714</v>
      </c>
      <c r="D1024" s="11">
        <f>IFERROR(__xludf.DUMMYFUNCTION("""COMPUTED_VALUE"""),44714.0)</f>
        <v>44714</v>
      </c>
      <c r="E1024" s="12">
        <f>IFERROR(__xludf.DUMMYFUNCTION("""COMPUTED_VALUE"""),0.2813310185192677)</f>
        <v>0.2813310185</v>
      </c>
      <c r="F1024" s="6" t="str">
        <f>IFERROR(__xludf.DUMMYFUNCTION("""COMPUTED_VALUE"""),"Negative")</f>
        <v>Negative</v>
      </c>
      <c r="G1024" s="6">
        <f>IFERROR(__xludf.DUMMYFUNCTION("""COMPUTED_VALUE"""),1.0)</f>
        <v>1</v>
      </c>
    </row>
    <row r="1025">
      <c r="A1025" s="6" t="str">
        <f>IFERROR(__xludf.DUMMYFUNCTION("""COMPUTED_VALUE"""),"FM2692")</f>
        <v>FM2692</v>
      </c>
      <c r="B1025" s="6" t="str">
        <f>IFERROR(__xludf.DUMMYFUNCTION("""COMPUTED_VALUE"""),"RUN-COMB_2022-06-02_RFR-054")</f>
        <v>RUN-COMB_2022-06-02_RFR-054</v>
      </c>
      <c r="C1025" s="7">
        <f>VLOOKUP(B1025,'Run Reconcile'!A$2:B3090,2,FALSE)</f>
        <v>44714</v>
      </c>
      <c r="D1025" s="11">
        <f>IFERROR(__xludf.DUMMYFUNCTION("""COMPUTED_VALUE"""),44714.0)</f>
        <v>44714</v>
      </c>
      <c r="E1025" s="12">
        <f>IFERROR(__xludf.DUMMYFUNCTION("""COMPUTED_VALUE"""),0.2817939814813144)</f>
        <v>0.2817939815</v>
      </c>
      <c r="F1025" s="6" t="str">
        <f>IFERROR(__xludf.DUMMYFUNCTION("""COMPUTED_VALUE"""),"Negative")</f>
        <v>Negative</v>
      </c>
      <c r="G1025" s="6">
        <f>IFERROR(__xludf.DUMMYFUNCTION("""COMPUTED_VALUE"""),1.0)</f>
        <v>1</v>
      </c>
    </row>
    <row r="1026">
      <c r="A1026" s="6" t="str">
        <f>IFERROR(__xludf.DUMMYFUNCTION("""COMPUTED_VALUE"""),"FM2851")</f>
        <v>FM2851</v>
      </c>
      <c r="B1026" s="6" t="str">
        <f>IFERROR(__xludf.DUMMYFUNCTION("""COMPUTED_VALUE"""),"RUN-COMB_2022-06-02_RFR-054")</f>
        <v>RUN-COMB_2022-06-02_RFR-054</v>
      </c>
      <c r="C1026" s="7">
        <f>VLOOKUP(B1026,'Run Reconcile'!A$2:B3090,2,FALSE)</f>
        <v>44714</v>
      </c>
      <c r="D1026" s="11">
        <f>IFERROR(__xludf.DUMMYFUNCTION("""COMPUTED_VALUE"""),44714.0)</f>
        <v>44714</v>
      </c>
      <c r="E1026" s="12">
        <f>IFERROR(__xludf.DUMMYFUNCTION("""COMPUTED_VALUE"""),0.2821875000008731)</f>
        <v>0.2821875</v>
      </c>
      <c r="F1026" s="6" t="str">
        <f>IFERROR(__xludf.DUMMYFUNCTION("""COMPUTED_VALUE"""),"Negative")</f>
        <v>Negative</v>
      </c>
      <c r="G1026" s="6">
        <f>IFERROR(__xludf.DUMMYFUNCTION("""COMPUTED_VALUE"""),1.0)</f>
        <v>1</v>
      </c>
    </row>
    <row r="1027">
      <c r="A1027" s="6" t="str">
        <f>IFERROR(__xludf.DUMMYFUNCTION("""COMPUTED_VALUE"""),"FM2879")</f>
        <v>FM2879</v>
      </c>
      <c r="B1027" s="6" t="str">
        <f>IFERROR(__xludf.DUMMYFUNCTION("""COMPUTED_VALUE"""),"RUN-COMB_2022-06-02_RFR-054")</f>
        <v>RUN-COMB_2022-06-02_RFR-054</v>
      </c>
      <c r="C1027" s="7">
        <f>VLOOKUP(B1027,'Run Reconcile'!A$2:B3090,2,FALSE)</f>
        <v>44714</v>
      </c>
      <c r="D1027" s="11">
        <f>IFERROR(__xludf.DUMMYFUNCTION("""COMPUTED_VALUE"""),44714.0)</f>
        <v>44714</v>
      </c>
      <c r="E1027" s="12">
        <f>IFERROR(__xludf.DUMMYFUNCTION("""COMPUTED_VALUE"""),0.2825925925935735)</f>
        <v>0.2825925926</v>
      </c>
      <c r="F1027" s="6" t="str">
        <f>IFERROR(__xludf.DUMMYFUNCTION("""COMPUTED_VALUE"""),"Negative")</f>
        <v>Negative</v>
      </c>
      <c r="G1027" s="6">
        <f>IFERROR(__xludf.DUMMYFUNCTION("""COMPUTED_VALUE"""),1.0)</f>
        <v>1</v>
      </c>
    </row>
    <row r="1028">
      <c r="A1028" s="6" t="str">
        <f>IFERROR(__xludf.DUMMYFUNCTION("""COMPUTED_VALUE"""),"FM2837")</f>
        <v>FM2837</v>
      </c>
      <c r="B1028" s="6" t="str">
        <f>IFERROR(__xludf.DUMMYFUNCTION("""COMPUTED_VALUE"""),"RUN-COMB_2022-06-02_RFR-054")</f>
        <v>RUN-COMB_2022-06-02_RFR-054</v>
      </c>
      <c r="C1028" s="7">
        <f>VLOOKUP(B1028,'Run Reconcile'!A$2:B3090,2,FALSE)</f>
        <v>44714</v>
      </c>
      <c r="D1028" s="11">
        <f>IFERROR(__xludf.DUMMYFUNCTION("""COMPUTED_VALUE"""),44714.0)</f>
        <v>44714</v>
      </c>
      <c r="E1028" s="12">
        <f>IFERROR(__xludf.DUMMYFUNCTION("""COMPUTED_VALUE"""),0.28305555555562023)</f>
        <v>0.2830555556</v>
      </c>
      <c r="F1028" s="6" t="str">
        <f>IFERROR(__xludf.DUMMYFUNCTION("""COMPUTED_VALUE"""),"Negative")</f>
        <v>Negative</v>
      </c>
      <c r="G1028" s="6">
        <f>IFERROR(__xludf.DUMMYFUNCTION("""COMPUTED_VALUE"""),1.0)</f>
        <v>1</v>
      </c>
    </row>
    <row r="1029">
      <c r="A1029" s="6" t="str">
        <f>IFERROR(__xludf.DUMMYFUNCTION("""COMPUTED_VALUE"""),"FM2830")</f>
        <v>FM2830</v>
      </c>
      <c r="B1029" s="6" t="str">
        <f>IFERROR(__xludf.DUMMYFUNCTION("""COMPUTED_VALUE"""),"RUN-COMB_2022-06-02_RFR-054")</f>
        <v>RUN-COMB_2022-06-02_RFR-054</v>
      </c>
      <c r="C1029" s="7">
        <f>VLOOKUP(B1029,'Run Reconcile'!A$2:B3090,2,FALSE)</f>
        <v>44714</v>
      </c>
      <c r="D1029" s="11">
        <f>IFERROR(__xludf.DUMMYFUNCTION("""COMPUTED_VALUE"""),44714.0)</f>
        <v>44714</v>
      </c>
      <c r="E1029" s="12">
        <f>IFERROR(__xludf.DUMMYFUNCTION("""COMPUTED_VALUE"""),0.2834722222214623)</f>
        <v>0.2834722222</v>
      </c>
      <c r="F1029" s="6" t="str">
        <f>IFERROR(__xludf.DUMMYFUNCTION("""COMPUTED_VALUE"""),"Negative")</f>
        <v>Negative</v>
      </c>
      <c r="G1029" s="6">
        <f>IFERROR(__xludf.DUMMYFUNCTION("""COMPUTED_VALUE"""),1.0)</f>
        <v>1</v>
      </c>
    </row>
    <row r="1030">
      <c r="A1030" s="6" t="str">
        <f>IFERROR(__xludf.DUMMYFUNCTION("""COMPUTED_VALUE"""),"FM2862")</f>
        <v>FM2862</v>
      </c>
      <c r="B1030" s="6" t="str">
        <f>IFERROR(__xludf.DUMMYFUNCTION("""COMPUTED_VALUE"""),"RUN-COMB_2022-06-02_RFR-054")</f>
        <v>RUN-COMB_2022-06-02_RFR-054</v>
      </c>
      <c r="C1030" s="7">
        <f>VLOOKUP(B1030,'Run Reconcile'!A$2:B3090,2,FALSE)</f>
        <v>44714</v>
      </c>
      <c r="D1030" s="11">
        <f>IFERROR(__xludf.DUMMYFUNCTION("""COMPUTED_VALUE"""),44714.0)</f>
        <v>44714</v>
      </c>
      <c r="E1030" s="12">
        <f>IFERROR(__xludf.DUMMYFUNCTION("""COMPUTED_VALUE"""),0.2851273148153268)</f>
        <v>0.2851273148</v>
      </c>
      <c r="F1030" s="6" t="str">
        <f>IFERROR(__xludf.DUMMYFUNCTION("""COMPUTED_VALUE"""),"Negative")</f>
        <v>Negative</v>
      </c>
      <c r="G1030" s="6">
        <f>IFERROR(__xludf.DUMMYFUNCTION("""COMPUTED_VALUE"""),1.0)</f>
        <v>1</v>
      </c>
    </row>
    <row r="1031">
      <c r="A1031" s="6" t="str">
        <f>IFERROR(__xludf.DUMMYFUNCTION("""COMPUTED_VALUE"""),"FM2897")</f>
        <v>FM2897</v>
      </c>
      <c r="B1031" s="6" t="str">
        <f>IFERROR(__xludf.DUMMYFUNCTION("""COMPUTED_VALUE"""),"RUN-COMB_2022-06-02_RFR-054")</f>
        <v>RUN-COMB_2022-06-02_RFR-054</v>
      </c>
      <c r="C1031" s="7">
        <f>VLOOKUP(B1031,'Run Reconcile'!A$2:B3090,2,FALSE)</f>
        <v>44714</v>
      </c>
      <c r="D1031" s="11">
        <f>IFERROR(__xludf.DUMMYFUNCTION("""COMPUTED_VALUE"""),44714.0)</f>
        <v>44714</v>
      </c>
      <c r="E1031" s="12">
        <f>IFERROR(__xludf.DUMMYFUNCTION("""COMPUTED_VALUE"""),0.28548611111182254)</f>
        <v>0.2854861111</v>
      </c>
      <c r="F1031" s="6" t="str">
        <f>IFERROR(__xludf.DUMMYFUNCTION("""COMPUTED_VALUE"""),"Negative")</f>
        <v>Negative</v>
      </c>
      <c r="G1031" s="6">
        <f>IFERROR(__xludf.DUMMYFUNCTION("""COMPUTED_VALUE"""),1.0)</f>
        <v>1</v>
      </c>
    </row>
    <row r="1032">
      <c r="A1032" s="6" t="str">
        <f>IFERROR(__xludf.DUMMYFUNCTION("""COMPUTED_VALUE"""),"FM2843")</f>
        <v>FM2843</v>
      </c>
      <c r="B1032" s="6" t="str">
        <f>IFERROR(__xludf.DUMMYFUNCTION("""COMPUTED_VALUE"""),"RUN-COMB_2022-06-02_RFR-054")</f>
        <v>RUN-COMB_2022-06-02_RFR-054</v>
      </c>
      <c r="C1032" s="7">
        <f>VLOOKUP(B1032,'Run Reconcile'!A$2:B3090,2,FALSE)</f>
        <v>44714</v>
      </c>
      <c r="D1032" s="11">
        <f>IFERROR(__xludf.DUMMYFUNCTION("""COMPUTED_VALUE"""),44714.0)</f>
        <v>44714</v>
      </c>
      <c r="E1032" s="12">
        <f>IFERROR(__xludf.DUMMYFUNCTION("""COMPUTED_VALUE"""),0.2859375000007276)</f>
        <v>0.2859375</v>
      </c>
      <c r="F1032" s="6" t="str">
        <f>IFERROR(__xludf.DUMMYFUNCTION("""COMPUTED_VALUE"""),"Negative")</f>
        <v>Negative</v>
      </c>
      <c r="G1032" s="6">
        <f>IFERROR(__xludf.DUMMYFUNCTION("""COMPUTED_VALUE"""),1.0)</f>
        <v>1</v>
      </c>
    </row>
    <row r="1033">
      <c r="A1033" s="6" t="str">
        <f>IFERROR(__xludf.DUMMYFUNCTION("""COMPUTED_VALUE"""),"FM2674")</f>
        <v>FM2674</v>
      </c>
      <c r="B1033" s="6" t="str">
        <f>IFERROR(__xludf.DUMMYFUNCTION("""COMPUTED_VALUE"""),"RUN-COMB_2022-06-02_RFR-054")</f>
        <v>RUN-COMB_2022-06-02_RFR-054</v>
      </c>
      <c r="C1033" s="7">
        <f>VLOOKUP(B1033,'Run Reconcile'!A$2:B3090,2,FALSE)</f>
        <v>44714</v>
      </c>
      <c r="D1033" s="11">
        <f>IFERROR(__xludf.DUMMYFUNCTION("""COMPUTED_VALUE"""),44714.0)</f>
        <v>44714</v>
      </c>
      <c r="E1033" s="12">
        <f>IFERROR(__xludf.DUMMYFUNCTION("""COMPUTED_VALUE"""),0.2862615740741603)</f>
        <v>0.2862615741</v>
      </c>
      <c r="F1033" s="6" t="str">
        <f>IFERROR(__xludf.DUMMYFUNCTION("""COMPUTED_VALUE"""),"Negative")</f>
        <v>Negative</v>
      </c>
      <c r="G1033" s="6">
        <f>IFERROR(__xludf.DUMMYFUNCTION("""COMPUTED_VALUE"""),1.0)</f>
        <v>1</v>
      </c>
    </row>
    <row r="1034">
      <c r="A1034" s="6" t="str">
        <f>IFERROR(__xludf.DUMMYFUNCTION("""COMPUTED_VALUE"""),"FM2639")</f>
        <v>FM2639</v>
      </c>
      <c r="B1034" s="6" t="str">
        <f>IFERROR(__xludf.DUMMYFUNCTION("""COMPUTED_VALUE"""),"RUN-COMB_2022-06-02_RFR-054")</f>
        <v>RUN-COMB_2022-06-02_RFR-054</v>
      </c>
      <c r="C1034" s="7">
        <f>VLOOKUP(B1034,'Run Reconcile'!A$2:B3090,2,FALSE)</f>
        <v>44714</v>
      </c>
      <c r="D1034" s="11">
        <f>IFERROR(__xludf.DUMMYFUNCTION("""COMPUTED_VALUE"""),44714.0)</f>
        <v>44714</v>
      </c>
      <c r="E1034" s="12">
        <f>IFERROR(__xludf.DUMMYFUNCTION("""COMPUTED_VALUE"""),0.2866319444437977)</f>
        <v>0.2866319444</v>
      </c>
      <c r="F1034" s="6" t="str">
        <f>IFERROR(__xludf.DUMMYFUNCTION("""COMPUTED_VALUE"""),"Negative")</f>
        <v>Negative</v>
      </c>
      <c r="G1034" s="6">
        <f>IFERROR(__xludf.DUMMYFUNCTION("""COMPUTED_VALUE"""),1.0)</f>
        <v>1</v>
      </c>
    </row>
    <row r="1035">
      <c r="A1035" s="6" t="str">
        <f>IFERROR(__xludf.DUMMYFUNCTION("""COMPUTED_VALUE"""),"FM2898")</f>
        <v>FM2898</v>
      </c>
      <c r="B1035" s="6" t="str">
        <f>IFERROR(__xludf.DUMMYFUNCTION("""COMPUTED_VALUE"""),"RUN-COMB_2022-06-02_RFR-054")</f>
        <v>RUN-COMB_2022-06-02_RFR-054</v>
      </c>
      <c r="C1035" s="7">
        <f>VLOOKUP(B1035,'Run Reconcile'!A$2:B3090,2,FALSE)</f>
        <v>44714</v>
      </c>
      <c r="D1035" s="11">
        <f>IFERROR(__xludf.DUMMYFUNCTION("""COMPUTED_VALUE"""),44714.0)</f>
        <v>44714</v>
      </c>
      <c r="E1035" s="12">
        <f>IFERROR(__xludf.DUMMYFUNCTION("""COMPUTED_VALUE"""),0.2870023148134351)</f>
        <v>0.2870023148</v>
      </c>
      <c r="F1035" s="6" t="str">
        <f>IFERROR(__xludf.DUMMYFUNCTION("""COMPUTED_VALUE"""),"Negative")</f>
        <v>Negative</v>
      </c>
      <c r="G1035" s="6">
        <f>IFERROR(__xludf.DUMMYFUNCTION("""COMPUTED_VALUE"""),1.0)</f>
        <v>1</v>
      </c>
    </row>
    <row r="1036">
      <c r="A1036" s="6" t="str">
        <f>IFERROR(__xludf.DUMMYFUNCTION("""COMPUTED_VALUE"""),"FM2783")</f>
        <v>FM2783</v>
      </c>
      <c r="B1036" s="6" t="str">
        <f>IFERROR(__xludf.DUMMYFUNCTION("""COMPUTED_VALUE"""),"RUN-COMB_2022-06-02_RFR-054")</f>
        <v>RUN-COMB_2022-06-02_RFR-054</v>
      </c>
      <c r="C1036" s="7">
        <f>VLOOKUP(B1036,'Run Reconcile'!A$2:B3090,2,FALSE)</f>
        <v>44714</v>
      </c>
      <c r="D1036" s="11">
        <f>IFERROR(__xludf.DUMMYFUNCTION("""COMPUTED_VALUE"""),44714.0)</f>
        <v>44714</v>
      </c>
      <c r="E1036" s="12">
        <f>IFERROR(__xludf.DUMMYFUNCTION("""COMPUTED_VALUE"""),0.2872800925943011)</f>
        <v>0.2872800926</v>
      </c>
      <c r="F1036" s="6" t="str">
        <f>IFERROR(__xludf.DUMMYFUNCTION("""COMPUTED_VALUE"""),"Negative")</f>
        <v>Negative</v>
      </c>
      <c r="G1036" s="6">
        <f>IFERROR(__xludf.DUMMYFUNCTION("""COMPUTED_VALUE"""),1.0)</f>
        <v>1</v>
      </c>
    </row>
    <row r="1037">
      <c r="A1037" s="6" t="str">
        <f>IFERROR(__xludf.DUMMYFUNCTION("""COMPUTED_VALUE"""),"FM2925")</f>
        <v>FM2925</v>
      </c>
      <c r="B1037" s="6" t="str">
        <f>IFERROR(__xludf.DUMMYFUNCTION("""COMPUTED_VALUE"""),"RUN-COMB_2022-06-02_RFR-054")</f>
        <v>RUN-COMB_2022-06-02_RFR-054</v>
      </c>
      <c r="C1037" s="7">
        <f>VLOOKUP(B1037,'Run Reconcile'!A$2:B3090,2,FALSE)</f>
        <v>44714</v>
      </c>
      <c r="D1037" s="11">
        <f>IFERROR(__xludf.DUMMYFUNCTION("""COMPUTED_VALUE"""),44714.0)</f>
        <v>44714</v>
      </c>
      <c r="E1037" s="12">
        <f>IFERROR(__xludf.DUMMYFUNCTION("""COMPUTED_VALUE"""),0.2876736111102218)</f>
        <v>0.2876736111</v>
      </c>
      <c r="F1037" s="6" t="str">
        <f>IFERROR(__xludf.DUMMYFUNCTION("""COMPUTED_VALUE"""),"Negative")</f>
        <v>Negative</v>
      </c>
      <c r="G1037" s="6">
        <f>IFERROR(__xludf.DUMMYFUNCTION("""COMPUTED_VALUE"""),1.0)</f>
        <v>1</v>
      </c>
    </row>
    <row r="1038">
      <c r="A1038" s="6" t="str">
        <f>IFERROR(__xludf.DUMMYFUNCTION("""COMPUTED_VALUE"""),"FM2861")</f>
        <v>FM2861</v>
      </c>
      <c r="B1038" s="6" t="str">
        <f>IFERROR(__xludf.DUMMYFUNCTION("""COMPUTED_VALUE"""),"RUN-COMB_2022-06-02_RFR-054")</f>
        <v>RUN-COMB_2022-06-02_RFR-054</v>
      </c>
      <c r="C1038" s="7">
        <f>VLOOKUP(B1038,'Run Reconcile'!A$2:B3090,2,FALSE)</f>
        <v>44714</v>
      </c>
      <c r="D1038" s="11">
        <f>IFERROR(__xludf.DUMMYFUNCTION("""COMPUTED_VALUE"""),44714.0)</f>
        <v>44714</v>
      </c>
      <c r="E1038" s="12">
        <f>IFERROR(__xludf.DUMMYFUNCTION("""COMPUTED_VALUE"""),0.28813657407226856)</f>
        <v>0.2881365741</v>
      </c>
      <c r="F1038" s="6" t="str">
        <f>IFERROR(__xludf.DUMMYFUNCTION("""COMPUTED_VALUE"""),"Negative")</f>
        <v>Negative</v>
      </c>
      <c r="G1038" s="6">
        <f>IFERROR(__xludf.DUMMYFUNCTION("""COMPUTED_VALUE"""),1.0)</f>
        <v>1</v>
      </c>
    </row>
    <row r="1039">
      <c r="A1039" s="6" t="str">
        <f>IFERROR(__xludf.DUMMYFUNCTION("""COMPUTED_VALUE"""),"FM2855")</f>
        <v>FM2855</v>
      </c>
      <c r="B1039" s="6" t="str">
        <f>IFERROR(__xludf.DUMMYFUNCTION("""COMPUTED_VALUE"""),"RUN-COMB_2022-06-02_RFR-054")</f>
        <v>RUN-COMB_2022-06-02_RFR-054</v>
      </c>
      <c r="C1039" s="7">
        <f>VLOOKUP(B1039,'Run Reconcile'!A$2:B3090,2,FALSE)</f>
        <v>44714</v>
      </c>
      <c r="D1039" s="11">
        <f>IFERROR(__xludf.DUMMYFUNCTION("""COMPUTED_VALUE"""),44714.0)</f>
        <v>44714</v>
      </c>
      <c r="E1039" s="12">
        <f>IFERROR(__xludf.DUMMYFUNCTION("""COMPUTED_VALUE"""),0.2885069444455439)</f>
        <v>0.2885069444</v>
      </c>
      <c r="F1039" s="6" t="str">
        <f>IFERROR(__xludf.DUMMYFUNCTION("""COMPUTED_VALUE"""),"Negative")</f>
        <v>Negative</v>
      </c>
      <c r="G1039" s="6">
        <f>IFERROR(__xludf.DUMMYFUNCTION("""COMPUTED_VALUE"""),1.0)</f>
        <v>1</v>
      </c>
    </row>
    <row r="1040">
      <c r="A1040" s="6" t="str">
        <f>IFERROR(__xludf.DUMMYFUNCTION("""COMPUTED_VALUE"""),"FM2811")</f>
        <v>FM2811</v>
      </c>
      <c r="B1040" s="6" t="str">
        <f>IFERROR(__xludf.DUMMYFUNCTION("""COMPUTED_VALUE"""),"RUN-COMB_2022-06-03_RFR-055")</f>
        <v>RUN-COMB_2022-06-03_RFR-055</v>
      </c>
      <c r="C1040" s="7">
        <f>VLOOKUP(B1040,'Run Reconcile'!A$2:B3090,2,FALSE)</f>
        <v>44715</v>
      </c>
      <c r="D1040" s="11">
        <f>IFERROR(__xludf.DUMMYFUNCTION("""COMPUTED_VALUE"""),44715.0)</f>
        <v>44715</v>
      </c>
      <c r="E1040" s="12">
        <f>IFERROR(__xludf.DUMMYFUNCTION("""COMPUTED_VALUE"""),0.26546296296146465)</f>
        <v>0.265462963</v>
      </c>
      <c r="F1040" s="6" t="str">
        <f>IFERROR(__xludf.DUMMYFUNCTION("""COMPUTED_VALUE"""),"Negative")</f>
        <v>Negative</v>
      </c>
      <c r="G1040" s="6">
        <f>IFERROR(__xludf.DUMMYFUNCTION("""COMPUTED_VALUE"""),1.0)</f>
        <v>1</v>
      </c>
    </row>
    <row r="1041">
      <c r="A1041" s="6" t="str">
        <f>IFERROR(__xludf.DUMMYFUNCTION("""COMPUTED_VALUE"""),"FM2929")</f>
        <v>FM2929</v>
      </c>
      <c r="B1041" s="6" t="str">
        <f>IFERROR(__xludf.DUMMYFUNCTION("""COMPUTED_VALUE"""),"RUN-COMB_2022-06-03_RFR-055")</f>
        <v>RUN-COMB_2022-06-03_RFR-055</v>
      </c>
      <c r="C1041" s="7">
        <f>VLOOKUP(B1041,'Run Reconcile'!A$2:B3090,2,FALSE)</f>
        <v>44715</v>
      </c>
      <c r="D1041" s="11">
        <f>IFERROR(__xludf.DUMMYFUNCTION("""COMPUTED_VALUE"""),44715.0)</f>
        <v>44715</v>
      </c>
      <c r="E1041" s="12">
        <f>IFERROR(__xludf.DUMMYFUNCTION("""COMPUTED_VALUE"""),0.265763888888614)</f>
        <v>0.2657638889</v>
      </c>
      <c r="F1041" s="6" t="str">
        <f>IFERROR(__xludf.DUMMYFUNCTION("""COMPUTED_VALUE"""),"Negative")</f>
        <v>Negative</v>
      </c>
      <c r="G1041" s="6">
        <f>IFERROR(__xludf.DUMMYFUNCTION("""COMPUTED_VALUE"""),1.0)</f>
        <v>1</v>
      </c>
    </row>
    <row r="1042">
      <c r="A1042" s="6" t="str">
        <f>IFERROR(__xludf.DUMMYFUNCTION("""COMPUTED_VALUE"""),"FM2814")</f>
        <v>FM2814</v>
      </c>
      <c r="B1042" s="6" t="str">
        <f>IFERROR(__xludf.DUMMYFUNCTION("""COMPUTED_VALUE"""),"RUN-COMB_2022-06-03_RFR-055")</f>
        <v>RUN-COMB_2022-06-03_RFR-055</v>
      </c>
      <c r="C1042" s="7">
        <f>VLOOKUP(B1042,'Run Reconcile'!A$2:B3090,2,FALSE)</f>
        <v>44715</v>
      </c>
      <c r="D1042" s="11">
        <f>IFERROR(__xludf.DUMMYFUNCTION("""COMPUTED_VALUE"""),44715.0)</f>
        <v>44715</v>
      </c>
      <c r="E1042" s="12">
        <f>IFERROR(__xludf.DUMMYFUNCTION("""COMPUTED_VALUE"""),0.26608796296204673)</f>
        <v>0.266087963</v>
      </c>
      <c r="F1042" s="6" t="str">
        <f>IFERROR(__xludf.DUMMYFUNCTION("""COMPUTED_VALUE"""),"Negative")</f>
        <v>Negative</v>
      </c>
      <c r="G1042" s="6">
        <f>IFERROR(__xludf.DUMMYFUNCTION("""COMPUTED_VALUE"""),1.0)</f>
        <v>1</v>
      </c>
    </row>
    <row r="1043">
      <c r="A1043" s="6" t="str">
        <f>IFERROR(__xludf.DUMMYFUNCTION("""COMPUTED_VALUE"""),"FM2853")</f>
        <v>FM2853</v>
      </c>
      <c r="B1043" s="6" t="str">
        <f>IFERROR(__xludf.DUMMYFUNCTION("""COMPUTED_VALUE"""),"RUN-COMB_2022-06-03_RFR-055")</f>
        <v>RUN-COMB_2022-06-03_RFR-055</v>
      </c>
      <c r="C1043" s="7">
        <f>VLOOKUP(B1043,'Run Reconcile'!A$2:B3090,2,FALSE)</f>
        <v>44715</v>
      </c>
      <c r="D1043" s="11">
        <f>IFERROR(__xludf.DUMMYFUNCTION("""COMPUTED_VALUE"""),44715.0)</f>
        <v>44715</v>
      </c>
      <c r="E1043" s="12">
        <f>IFERROR(__xludf.DUMMYFUNCTION("""COMPUTED_VALUE"""),0.2663541666661331)</f>
        <v>0.2663541667</v>
      </c>
      <c r="F1043" s="6" t="str">
        <f>IFERROR(__xludf.DUMMYFUNCTION("""COMPUTED_VALUE"""),"Negative")</f>
        <v>Negative</v>
      </c>
      <c r="G1043" s="6">
        <f>IFERROR(__xludf.DUMMYFUNCTION("""COMPUTED_VALUE"""),1.0)</f>
        <v>1</v>
      </c>
    </row>
    <row r="1044">
      <c r="A1044" s="6" t="str">
        <f>IFERROR(__xludf.DUMMYFUNCTION("""COMPUTED_VALUE"""),"FM2933")</f>
        <v>FM2933</v>
      </c>
      <c r="B1044" s="6" t="str">
        <f>IFERROR(__xludf.DUMMYFUNCTION("""COMPUTED_VALUE"""),"RUN-COMB_2022-06-03_RFR-055")</f>
        <v>RUN-COMB_2022-06-03_RFR-055</v>
      </c>
      <c r="C1044" s="7">
        <f>VLOOKUP(B1044,'Run Reconcile'!A$2:B3090,2,FALSE)</f>
        <v>44715</v>
      </c>
      <c r="D1044" s="11">
        <f>IFERROR(__xludf.DUMMYFUNCTION("""COMPUTED_VALUE"""),44715.0)</f>
        <v>44715</v>
      </c>
      <c r="E1044" s="12">
        <f>IFERROR(__xludf.DUMMYFUNCTION("""COMPUTED_VALUE"""),0.268171296294895)</f>
        <v>0.2681712963</v>
      </c>
      <c r="F1044" s="6" t="str">
        <f>IFERROR(__xludf.DUMMYFUNCTION("""COMPUTED_VALUE"""),"Negative")</f>
        <v>Negative</v>
      </c>
      <c r="G1044" s="6">
        <f>IFERROR(__xludf.DUMMYFUNCTION("""COMPUTED_VALUE"""),1.0)</f>
        <v>1</v>
      </c>
    </row>
    <row r="1045">
      <c r="A1045" s="6" t="str">
        <f>IFERROR(__xludf.DUMMYFUNCTION("""COMPUTED_VALUE"""),"FM2775")</f>
        <v>FM2775</v>
      </c>
      <c r="B1045" s="6" t="str">
        <f>IFERROR(__xludf.DUMMYFUNCTION("""COMPUTED_VALUE"""),"RUN-COMB_2022-06-03_RFR-055")</f>
        <v>RUN-COMB_2022-06-03_RFR-055</v>
      </c>
      <c r="C1045" s="7">
        <f>VLOOKUP(B1045,'Run Reconcile'!A$2:B3090,2,FALSE)</f>
        <v>44715</v>
      </c>
      <c r="D1045" s="11">
        <f>IFERROR(__xludf.DUMMYFUNCTION("""COMPUTED_VALUE"""),44715.0)</f>
        <v>44715</v>
      </c>
      <c r="E1045" s="12">
        <f>IFERROR(__xludf.DUMMYFUNCTION("""COMPUTED_VALUE"""),0.26850694444510737)</f>
        <v>0.2685069444</v>
      </c>
      <c r="F1045" s="6" t="str">
        <f>IFERROR(__xludf.DUMMYFUNCTION("""COMPUTED_VALUE"""),"Negative")</f>
        <v>Negative</v>
      </c>
      <c r="G1045" s="6">
        <f>IFERROR(__xludf.DUMMYFUNCTION("""COMPUTED_VALUE"""),1.0)</f>
        <v>1</v>
      </c>
    </row>
    <row r="1046">
      <c r="A1046" s="6" t="str">
        <f>IFERROR(__xludf.DUMMYFUNCTION("""COMPUTED_VALUE"""),"FM2845")</f>
        <v>FM2845</v>
      </c>
      <c r="B1046" s="6" t="str">
        <f>IFERROR(__xludf.DUMMYFUNCTION("""COMPUTED_VALUE"""),"RUN-COMB_2022-06-03_RFR-055")</f>
        <v>RUN-COMB_2022-06-03_RFR-055</v>
      </c>
      <c r="C1046" s="7">
        <f>VLOOKUP(B1046,'Run Reconcile'!A$2:B3090,2,FALSE)</f>
        <v>44715</v>
      </c>
      <c r="D1046" s="11">
        <f>IFERROR(__xludf.DUMMYFUNCTION("""COMPUTED_VALUE"""),44715.0)</f>
        <v>44715</v>
      </c>
      <c r="E1046" s="12">
        <f>IFERROR(__xludf.DUMMYFUNCTION("""COMPUTED_VALUE"""),0.26891203703780775)</f>
        <v>0.268912037</v>
      </c>
      <c r="F1046" s="6" t="str">
        <f>IFERROR(__xludf.DUMMYFUNCTION("""COMPUTED_VALUE"""),"Negative")</f>
        <v>Negative</v>
      </c>
      <c r="G1046" s="6">
        <f>IFERROR(__xludf.DUMMYFUNCTION("""COMPUTED_VALUE"""),1.0)</f>
        <v>1</v>
      </c>
    </row>
    <row r="1047">
      <c r="A1047" s="6" t="str">
        <f>IFERROR(__xludf.DUMMYFUNCTION("""COMPUTED_VALUE"""),"FM2832")</f>
        <v>FM2832</v>
      </c>
      <c r="B1047" s="6" t="str">
        <f>IFERROR(__xludf.DUMMYFUNCTION("""COMPUTED_VALUE"""),"RUN-COMB_2022-06-03_RFR-055")</f>
        <v>RUN-COMB_2022-06-03_RFR-055</v>
      </c>
      <c r="C1047" s="7">
        <f>VLOOKUP(B1047,'Run Reconcile'!A$2:B3090,2,FALSE)</f>
        <v>44715</v>
      </c>
      <c r="D1047" s="11">
        <f>IFERROR(__xludf.DUMMYFUNCTION("""COMPUTED_VALUE"""),44715.0)</f>
        <v>44715</v>
      </c>
      <c r="E1047" s="12">
        <f>IFERROR(__xludf.DUMMYFUNCTION("""COMPUTED_VALUE"""),0.26928240740744513)</f>
        <v>0.2692824074</v>
      </c>
      <c r="F1047" s="6" t="str">
        <f>IFERROR(__xludf.DUMMYFUNCTION("""COMPUTED_VALUE"""),"Negative")</f>
        <v>Negative</v>
      </c>
      <c r="G1047" s="6">
        <f>IFERROR(__xludf.DUMMYFUNCTION("""COMPUTED_VALUE"""),1.0)</f>
        <v>1</v>
      </c>
    </row>
    <row r="1048">
      <c r="A1048" s="6" t="str">
        <f>IFERROR(__xludf.DUMMYFUNCTION("""COMPUTED_VALUE"""),"FM2834")</f>
        <v>FM2834</v>
      </c>
      <c r="B1048" s="6" t="str">
        <f>IFERROR(__xludf.DUMMYFUNCTION("""COMPUTED_VALUE"""),"RUN-COMB_2022-06-03_RFR-055")</f>
        <v>RUN-COMB_2022-06-03_RFR-055</v>
      </c>
      <c r="C1048" s="7">
        <f>VLOOKUP(B1048,'Run Reconcile'!A$2:B3090,2,FALSE)</f>
        <v>44715</v>
      </c>
      <c r="D1048" s="11">
        <f>IFERROR(__xludf.DUMMYFUNCTION("""COMPUTED_VALUE"""),44715.0)</f>
        <v>44715</v>
      </c>
      <c r="E1048" s="12">
        <f>IFERROR(__xludf.DUMMYFUNCTION("""COMPUTED_VALUE"""),0.26957175925781485)</f>
        <v>0.2695717593</v>
      </c>
      <c r="F1048" s="6" t="str">
        <f>IFERROR(__xludf.DUMMYFUNCTION("""COMPUTED_VALUE"""),"Negative")</f>
        <v>Negative</v>
      </c>
      <c r="G1048" s="6">
        <f>IFERROR(__xludf.DUMMYFUNCTION("""COMPUTED_VALUE"""),1.0)</f>
        <v>1</v>
      </c>
    </row>
    <row r="1049">
      <c r="A1049" s="6" t="str">
        <f>IFERROR(__xludf.DUMMYFUNCTION("""COMPUTED_VALUE"""),"FM2858")</f>
        <v>FM2858</v>
      </c>
      <c r="B1049" s="6" t="str">
        <f>IFERROR(__xludf.DUMMYFUNCTION("""COMPUTED_VALUE"""),"RUN-COMB_2022-06-03_RFR-055")</f>
        <v>RUN-COMB_2022-06-03_RFR-055</v>
      </c>
      <c r="C1049" s="7">
        <f>VLOOKUP(B1049,'Run Reconcile'!A$2:B3090,2,FALSE)</f>
        <v>44715</v>
      </c>
      <c r="D1049" s="11">
        <f>IFERROR(__xludf.DUMMYFUNCTION("""COMPUTED_VALUE"""),44715.0)</f>
        <v>44715</v>
      </c>
      <c r="E1049" s="12">
        <f>IFERROR(__xludf.DUMMYFUNCTION("""COMPUTED_VALUE"""),0.2699537037042319)</f>
        <v>0.2699537037</v>
      </c>
      <c r="F1049" s="6" t="str">
        <f>IFERROR(__xludf.DUMMYFUNCTION("""COMPUTED_VALUE"""),"Negative")</f>
        <v>Negative</v>
      </c>
      <c r="G1049" s="6">
        <f>IFERROR(__xludf.DUMMYFUNCTION("""COMPUTED_VALUE"""),1.0)</f>
        <v>1</v>
      </c>
    </row>
    <row r="1050">
      <c r="A1050" s="6" t="str">
        <f>IFERROR(__xludf.DUMMYFUNCTION("""COMPUTED_VALUE"""),"FM2655")</f>
        <v>FM2655</v>
      </c>
      <c r="B1050" s="6" t="str">
        <f>IFERROR(__xludf.DUMMYFUNCTION("""COMPUTED_VALUE"""),"RUN-COMB_2022-06-03_RFR-055")</f>
        <v>RUN-COMB_2022-06-03_RFR-055</v>
      </c>
      <c r="C1050" s="7">
        <f>VLOOKUP(B1050,'Run Reconcile'!A$2:B3090,2,FALSE)</f>
        <v>44715</v>
      </c>
      <c r="D1050" s="11">
        <f>IFERROR(__xludf.DUMMYFUNCTION("""COMPUTED_VALUE"""),44715.0)</f>
        <v>44715</v>
      </c>
      <c r="E1050" s="12">
        <f>IFERROR(__xludf.DUMMYFUNCTION("""COMPUTED_VALUE"""),0.27033564814701094)</f>
        <v>0.2703356481</v>
      </c>
      <c r="F1050" s="6" t="str">
        <f>IFERROR(__xludf.DUMMYFUNCTION("""COMPUTED_VALUE"""),"Negative")</f>
        <v>Negative</v>
      </c>
      <c r="G1050" s="6">
        <f>IFERROR(__xludf.DUMMYFUNCTION("""COMPUTED_VALUE"""),1.0)</f>
        <v>1</v>
      </c>
    </row>
    <row r="1051">
      <c r="A1051" s="6" t="str">
        <f>IFERROR(__xludf.DUMMYFUNCTION("""COMPUTED_VALUE"""),"FM2905")</f>
        <v>FM2905</v>
      </c>
      <c r="B1051" s="6" t="str">
        <f>IFERROR(__xludf.DUMMYFUNCTION("""COMPUTED_VALUE"""),"RUN-COMB_2022-06-03_RFR-055")</f>
        <v>RUN-COMB_2022-06-03_RFR-055</v>
      </c>
      <c r="C1051" s="7">
        <f>VLOOKUP(B1051,'Run Reconcile'!A$2:B3090,2,FALSE)</f>
        <v>44715</v>
      </c>
      <c r="D1051" s="11">
        <f>IFERROR(__xludf.DUMMYFUNCTION("""COMPUTED_VALUE"""),44715.0)</f>
        <v>44715</v>
      </c>
      <c r="E1051" s="12">
        <f>IFERROR(__xludf.DUMMYFUNCTION("""COMPUTED_VALUE"""),0.270613425924239)</f>
        <v>0.2706134259</v>
      </c>
      <c r="F1051" s="6" t="str">
        <f>IFERROR(__xludf.DUMMYFUNCTION("""COMPUTED_VALUE"""),"Negative")</f>
        <v>Negative</v>
      </c>
      <c r="G1051" s="6">
        <f>IFERROR(__xludf.DUMMYFUNCTION("""COMPUTED_VALUE"""),1.0)</f>
        <v>1</v>
      </c>
    </row>
    <row r="1052">
      <c r="A1052" s="6" t="str">
        <f>IFERROR(__xludf.DUMMYFUNCTION("""COMPUTED_VALUE"""),"FM2771")</f>
        <v>FM2771</v>
      </c>
      <c r="B1052" s="6" t="str">
        <f>IFERROR(__xludf.DUMMYFUNCTION("""COMPUTED_VALUE"""),"RUN-COMB_2022-06-03_RFR-055")</f>
        <v>RUN-COMB_2022-06-03_RFR-055</v>
      </c>
      <c r="C1052" s="7">
        <f>VLOOKUP(B1052,'Run Reconcile'!A$2:B3090,2,FALSE)</f>
        <v>44715</v>
      </c>
      <c r="D1052" s="11">
        <f>IFERROR(__xludf.DUMMYFUNCTION("""COMPUTED_VALUE"""),44715.0)</f>
        <v>44715</v>
      </c>
      <c r="E1052" s="12">
        <f>IFERROR(__xludf.DUMMYFUNCTION("""COMPUTED_VALUE"""),0.27101851851693937)</f>
        <v>0.2710185185</v>
      </c>
      <c r="F1052" s="6" t="str">
        <f>IFERROR(__xludf.DUMMYFUNCTION("""COMPUTED_VALUE"""),"Negative")</f>
        <v>Negative</v>
      </c>
      <c r="G1052" s="6">
        <f>IFERROR(__xludf.DUMMYFUNCTION("""COMPUTED_VALUE"""),1.0)</f>
        <v>1</v>
      </c>
    </row>
    <row r="1053">
      <c r="A1053" s="6" t="str">
        <f>IFERROR(__xludf.DUMMYFUNCTION("""COMPUTED_VALUE"""),"FM2815")</f>
        <v>FM2815</v>
      </c>
      <c r="B1053" s="6" t="str">
        <f>IFERROR(__xludf.DUMMYFUNCTION("""COMPUTED_VALUE"""),"RUN-COMB_2022-06-03_RFR-055")</f>
        <v>RUN-COMB_2022-06-03_RFR-055</v>
      </c>
      <c r="C1053" s="7">
        <f>VLOOKUP(B1053,'Run Reconcile'!A$2:B3090,2,FALSE)</f>
        <v>44715</v>
      </c>
      <c r="D1053" s="11">
        <f>IFERROR(__xludf.DUMMYFUNCTION("""COMPUTED_VALUE"""),44715.0)</f>
        <v>44715</v>
      </c>
      <c r="E1053" s="12">
        <f>IFERROR(__xludf.DUMMYFUNCTION("""COMPUTED_VALUE"""),0.2713773148134351)</f>
        <v>0.2713773148</v>
      </c>
      <c r="F1053" s="6" t="str">
        <f>IFERROR(__xludf.DUMMYFUNCTION("""COMPUTED_VALUE"""),"Negative")</f>
        <v>Negative</v>
      </c>
      <c r="G1053" s="6">
        <f>IFERROR(__xludf.DUMMYFUNCTION("""COMPUTED_VALUE"""),1.0)</f>
        <v>1</v>
      </c>
    </row>
    <row r="1054">
      <c r="A1054" s="6" t="str">
        <f>IFERROR(__xludf.DUMMYFUNCTION("""COMPUTED_VALUE"""),"FM2874")</f>
        <v>FM2874</v>
      </c>
      <c r="B1054" s="6" t="str">
        <f>IFERROR(__xludf.DUMMYFUNCTION("""COMPUTED_VALUE"""),"RUN-COMB_2022-06-03_RFR-055")</f>
        <v>RUN-COMB_2022-06-03_RFR-055</v>
      </c>
      <c r="C1054" s="7">
        <f>VLOOKUP(B1054,'Run Reconcile'!A$2:B3090,2,FALSE)</f>
        <v>44715</v>
      </c>
      <c r="D1054" s="11">
        <f>IFERROR(__xludf.DUMMYFUNCTION("""COMPUTED_VALUE"""),44715.0)</f>
        <v>44715</v>
      </c>
      <c r="E1054" s="12">
        <f>IFERROR(__xludf.DUMMYFUNCTION("""COMPUTED_VALUE"""),0.2729629629611736)</f>
        <v>0.272962963</v>
      </c>
      <c r="F1054" s="6" t="str">
        <f>IFERROR(__xludf.DUMMYFUNCTION("""COMPUTED_VALUE"""),"Negative")</f>
        <v>Negative</v>
      </c>
      <c r="G1054" s="6">
        <f>IFERROR(__xludf.DUMMYFUNCTION("""COMPUTED_VALUE"""),1.0)</f>
        <v>1</v>
      </c>
    </row>
    <row r="1055">
      <c r="A1055" s="6" t="str">
        <f>IFERROR(__xludf.DUMMYFUNCTION("""COMPUTED_VALUE"""),"FM2842")</f>
        <v>FM2842</v>
      </c>
      <c r="B1055" s="6" t="str">
        <f>IFERROR(__xludf.DUMMYFUNCTION("""COMPUTED_VALUE"""),"RUN-COMB_2022-06-03_RFR-055")</f>
        <v>RUN-COMB_2022-06-03_RFR-055</v>
      </c>
      <c r="C1055" s="7">
        <f>VLOOKUP(B1055,'Run Reconcile'!A$2:B3090,2,FALSE)</f>
        <v>44715</v>
      </c>
      <c r="D1055" s="11">
        <f>IFERROR(__xludf.DUMMYFUNCTION("""COMPUTED_VALUE"""),44715.0)</f>
        <v>44715</v>
      </c>
      <c r="E1055" s="12">
        <f>IFERROR(__xludf.DUMMYFUNCTION("""COMPUTED_VALUE"""),0.27337962963065365)</f>
        <v>0.2733796296</v>
      </c>
      <c r="F1055" s="6" t="str">
        <f>IFERROR(__xludf.DUMMYFUNCTION("""COMPUTED_VALUE"""),"Negative")</f>
        <v>Negative</v>
      </c>
      <c r="G1055" s="6">
        <f>IFERROR(__xludf.DUMMYFUNCTION("""COMPUTED_VALUE"""),1.0)</f>
        <v>1</v>
      </c>
    </row>
    <row r="1056">
      <c r="A1056" s="6" t="str">
        <f>IFERROR(__xludf.DUMMYFUNCTION("""COMPUTED_VALUE"""),"FM2872")</f>
        <v>FM2872</v>
      </c>
      <c r="B1056" s="6" t="str">
        <f>IFERROR(__xludf.DUMMYFUNCTION("""COMPUTED_VALUE"""),"RUN-COMB_2022-06-03_RFR-055")</f>
        <v>RUN-COMB_2022-06-03_RFR-055</v>
      </c>
      <c r="C1056" s="7">
        <f>VLOOKUP(B1056,'Run Reconcile'!A$2:B3090,2,FALSE)</f>
        <v>44715</v>
      </c>
      <c r="D1056" s="11">
        <f>IFERROR(__xludf.DUMMYFUNCTION("""COMPUTED_VALUE"""),44715.0)</f>
        <v>44715</v>
      </c>
      <c r="E1056" s="12">
        <f>IFERROR(__xludf.DUMMYFUNCTION("""COMPUTED_VALUE"""),0.27371527777722804)</f>
        <v>0.2737152778</v>
      </c>
      <c r="F1056" s="6" t="str">
        <f>IFERROR(__xludf.DUMMYFUNCTION("""COMPUTED_VALUE"""),"Negative")</f>
        <v>Negative</v>
      </c>
      <c r="G1056" s="6">
        <f>IFERROR(__xludf.DUMMYFUNCTION("""COMPUTED_VALUE"""),1.0)</f>
        <v>1</v>
      </c>
    </row>
    <row r="1057">
      <c r="A1057" s="6" t="str">
        <f>IFERROR(__xludf.DUMMYFUNCTION("""COMPUTED_VALUE"""),"FM2795")</f>
        <v>FM2795</v>
      </c>
      <c r="B1057" s="6" t="str">
        <f>IFERROR(__xludf.DUMMYFUNCTION("""COMPUTED_VALUE"""),"RUN-COMB_2022-06-03_RFR-055")</f>
        <v>RUN-COMB_2022-06-03_RFR-055</v>
      </c>
      <c r="C1057" s="7">
        <f>VLOOKUP(B1057,'Run Reconcile'!A$2:B3090,2,FALSE)</f>
        <v>44715</v>
      </c>
      <c r="D1057" s="11">
        <f>IFERROR(__xludf.DUMMYFUNCTION("""COMPUTED_VALUE"""),44715.0)</f>
        <v>44715</v>
      </c>
      <c r="E1057" s="12">
        <f>IFERROR(__xludf.DUMMYFUNCTION("""COMPUTED_VALUE"""),0.2740972222236451)</f>
        <v>0.2740972222</v>
      </c>
      <c r="F1057" s="6" t="str">
        <f>IFERROR(__xludf.DUMMYFUNCTION("""COMPUTED_VALUE"""),"Negative")</f>
        <v>Negative</v>
      </c>
      <c r="G1057" s="6">
        <f>IFERROR(__xludf.DUMMYFUNCTION("""COMPUTED_VALUE"""),1.0)</f>
        <v>1</v>
      </c>
    </row>
    <row r="1058">
      <c r="A1058" s="6" t="str">
        <f>IFERROR(__xludf.DUMMYFUNCTION("""COMPUTED_VALUE"""),"FM2846")</f>
        <v>FM2846</v>
      </c>
      <c r="B1058" s="6" t="str">
        <f>IFERROR(__xludf.DUMMYFUNCTION("""COMPUTED_VALUE"""),"RUN-COMB_2022-06-03_RFR-055")</f>
        <v>RUN-COMB_2022-06-03_RFR-055</v>
      </c>
      <c r="C1058" s="7">
        <f>VLOOKUP(B1058,'Run Reconcile'!A$2:B3090,2,FALSE)</f>
        <v>44715</v>
      </c>
      <c r="D1058" s="11">
        <f>IFERROR(__xludf.DUMMYFUNCTION("""COMPUTED_VALUE"""),44715.0)</f>
        <v>44715</v>
      </c>
      <c r="E1058" s="12">
        <f>IFERROR(__xludf.DUMMYFUNCTION("""COMPUTED_VALUE"""),0.2755787037021946)</f>
        <v>0.2755787037</v>
      </c>
      <c r="F1058" s="6" t="str">
        <f>IFERROR(__xludf.DUMMYFUNCTION("""COMPUTED_VALUE"""),"Negative")</f>
        <v>Negative</v>
      </c>
      <c r="G1058" s="6">
        <f>IFERROR(__xludf.DUMMYFUNCTION("""COMPUTED_VALUE"""),1.0)</f>
        <v>1</v>
      </c>
    </row>
    <row r="1059">
      <c r="A1059" s="6" t="str">
        <f>IFERROR(__xludf.DUMMYFUNCTION("""COMPUTED_VALUE"""),"FM2865")</f>
        <v>FM2865</v>
      </c>
      <c r="B1059" s="6" t="str">
        <f>IFERROR(__xludf.DUMMYFUNCTION("""COMPUTED_VALUE"""),"RUN-COMB_2022-06-03_RFR-055")</f>
        <v>RUN-COMB_2022-06-03_RFR-055</v>
      </c>
      <c r="C1059" s="7">
        <f>VLOOKUP(B1059,'Run Reconcile'!A$2:B3090,2,FALSE)</f>
        <v>44715</v>
      </c>
      <c r="D1059" s="11">
        <f>IFERROR(__xludf.DUMMYFUNCTION("""COMPUTED_VALUE"""),44715.0)</f>
        <v>44715</v>
      </c>
      <c r="E1059" s="12">
        <f>IFERROR(__xludf.DUMMYFUNCTION("""COMPUTED_VALUE"""),0.2782986111124046)</f>
        <v>0.2782986111</v>
      </c>
      <c r="F1059" s="6" t="str">
        <f>IFERROR(__xludf.DUMMYFUNCTION("""COMPUTED_VALUE"""),"Negative")</f>
        <v>Negative</v>
      </c>
      <c r="G1059" s="6">
        <f>IFERROR(__xludf.DUMMYFUNCTION("""COMPUTED_VALUE"""),1.0)</f>
        <v>1</v>
      </c>
    </row>
    <row r="1060">
      <c r="A1060" s="6" t="str">
        <f>IFERROR(__xludf.DUMMYFUNCTION("""COMPUTED_VALUE"""),"FM2917")</f>
        <v>FM2917</v>
      </c>
      <c r="B1060" s="6" t="str">
        <f>IFERROR(__xludf.DUMMYFUNCTION("""COMPUTED_VALUE"""),"RUN-COMB_2022-06-03_RFR-055")</f>
        <v>RUN-COMB_2022-06-03_RFR-055</v>
      </c>
      <c r="C1060" s="7">
        <f>VLOOKUP(B1060,'Run Reconcile'!A$2:B3090,2,FALSE)</f>
        <v>44715</v>
      </c>
      <c r="D1060" s="11">
        <f>IFERROR(__xludf.DUMMYFUNCTION("""COMPUTED_VALUE"""),44715.0)</f>
        <v>44715</v>
      </c>
      <c r="E1060" s="12">
        <f>IFERROR(__xludf.DUMMYFUNCTION("""COMPUTED_VALUE"""),0.2789930555554747)</f>
        <v>0.2789930556</v>
      </c>
      <c r="F1060" s="6" t="str">
        <f>IFERROR(__xludf.DUMMYFUNCTION("""COMPUTED_VALUE"""),"Negative")</f>
        <v>Negative</v>
      </c>
      <c r="G1060" s="6">
        <f>IFERROR(__xludf.DUMMYFUNCTION("""COMPUTED_VALUE"""),1.0)</f>
        <v>1</v>
      </c>
    </row>
    <row r="1061">
      <c r="A1061" s="6" t="str">
        <f>IFERROR(__xludf.DUMMYFUNCTION("""COMPUTED_VALUE"""),"FM2863")</f>
        <v>FM2863</v>
      </c>
      <c r="B1061" s="6" t="str">
        <f>IFERROR(__xludf.DUMMYFUNCTION("""COMPUTED_VALUE"""),"RUN-COMB_2022-06-03_RFR-055")</f>
        <v>RUN-COMB_2022-06-03_RFR-055</v>
      </c>
      <c r="C1061" s="7">
        <f>VLOOKUP(B1061,'Run Reconcile'!A$2:B3090,2,FALSE)</f>
        <v>44715</v>
      </c>
      <c r="D1061" s="11">
        <f>IFERROR(__xludf.DUMMYFUNCTION("""COMPUTED_VALUE"""),44715.0)</f>
        <v>44715</v>
      </c>
      <c r="E1061" s="12">
        <f>IFERROR(__xludf.DUMMYFUNCTION("""COMPUTED_VALUE"""),0.29707175925796037)</f>
        <v>0.2970717593</v>
      </c>
      <c r="F1061" s="6" t="str">
        <f>IFERROR(__xludf.DUMMYFUNCTION("""COMPUTED_VALUE"""),"Negative")</f>
        <v>Negative</v>
      </c>
      <c r="G1061" s="6">
        <f>IFERROR(__xludf.DUMMYFUNCTION("""COMPUTED_VALUE"""),1.0)</f>
        <v>1</v>
      </c>
    </row>
    <row r="1062">
      <c r="A1062" s="6" t="str">
        <f>IFERROR(__xludf.DUMMYFUNCTION("""COMPUTED_VALUE"""),"FM2894")</f>
        <v>FM2894</v>
      </c>
      <c r="B1062" s="6" t="str">
        <f>IFERROR(__xludf.DUMMYFUNCTION("""COMPUTED_VALUE"""),"RUN-COMB_2022-06-03_RFR-055")</f>
        <v>RUN-COMB_2022-06-03_RFR-055</v>
      </c>
      <c r="C1062" s="7">
        <f>VLOOKUP(B1062,'Run Reconcile'!A$2:B3090,2,FALSE)</f>
        <v>44715</v>
      </c>
      <c r="D1062" s="11">
        <f>IFERROR(__xludf.DUMMYFUNCTION("""COMPUTED_VALUE"""),44715.0)</f>
        <v>44715</v>
      </c>
      <c r="E1062" s="12">
        <f>IFERROR(__xludf.DUMMYFUNCTION("""COMPUTED_VALUE"""),0.30695601851766696)</f>
        <v>0.3069560185</v>
      </c>
      <c r="F1062" s="6" t="str">
        <f>IFERROR(__xludf.DUMMYFUNCTION("""COMPUTED_VALUE"""),"Negative")</f>
        <v>Negative</v>
      </c>
      <c r="G1062" s="6">
        <f>IFERROR(__xludf.DUMMYFUNCTION("""COMPUTED_VALUE"""),1.0)</f>
        <v>1</v>
      </c>
    </row>
    <row r="1063">
      <c r="A1063" s="6" t="str">
        <f>IFERROR(__xludf.DUMMYFUNCTION("""COMPUTED_VALUE"""),"FM2799")</f>
        <v>FM2799</v>
      </c>
      <c r="B1063" s="6" t="str">
        <f>IFERROR(__xludf.DUMMYFUNCTION("""COMPUTED_VALUE"""),"RUN-COMB_2022-06-06_RFR-056")</f>
        <v>RUN-COMB_2022-06-06_RFR-056</v>
      </c>
      <c r="C1063" s="7">
        <f>VLOOKUP(B1063,'Run Reconcile'!A$2:B3090,2,FALSE)</f>
        <v>44718</v>
      </c>
      <c r="D1063" s="11">
        <f>IFERROR(__xludf.DUMMYFUNCTION("""COMPUTED_VALUE"""),44718.0)</f>
        <v>44718</v>
      </c>
      <c r="E1063" s="12">
        <f>IFERROR(__xludf.DUMMYFUNCTION("""COMPUTED_VALUE"""),0.7028009259265673)</f>
        <v>0.7028009259</v>
      </c>
      <c r="F1063" s="6" t="str">
        <f>IFERROR(__xludf.DUMMYFUNCTION("""COMPUTED_VALUE"""),"Positive")</f>
        <v>Positive</v>
      </c>
      <c r="G1063" s="6">
        <f>IFERROR(__xludf.DUMMYFUNCTION("""COMPUTED_VALUE"""),1.0)</f>
        <v>1</v>
      </c>
    </row>
    <row r="1064">
      <c r="A1064" s="6" t="str">
        <f>IFERROR(__xludf.DUMMYFUNCTION("""COMPUTED_VALUE"""),"FM2821")</f>
        <v>FM2821</v>
      </c>
      <c r="B1064" s="6" t="str">
        <f>IFERROR(__xludf.DUMMYFUNCTION("""COMPUTED_VALUE"""),"RUN-COMB_2022-06-06_RFR-056")</f>
        <v>RUN-COMB_2022-06-06_RFR-056</v>
      </c>
      <c r="C1064" s="7">
        <f>VLOOKUP(B1064,'Run Reconcile'!A$2:B3090,2,FALSE)</f>
        <v>44718</v>
      </c>
      <c r="D1064" s="11">
        <f>IFERROR(__xludf.DUMMYFUNCTION("""COMPUTED_VALUE"""),44718.0)</f>
        <v>44718</v>
      </c>
      <c r="E1064" s="12">
        <f>IFERROR(__xludf.DUMMYFUNCTION("""COMPUTED_VALUE"""),0.703402777777228)</f>
        <v>0.7034027778</v>
      </c>
      <c r="F1064" s="6" t="str">
        <f>IFERROR(__xludf.DUMMYFUNCTION("""COMPUTED_VALUE"""),"Negative")</f>
        <v>Negative</v>
      </c>
      <c r="G1064" s="6">
        <f>IFERROR(__xludf.DUMMYFUNCTION("""COMPUTED_VALUE"""),1.0)</f>
        <v>1</v>
      </c>
    </row>
    <row r="1065">
      <c r="A1065" s="6" t="str">
        <f>IFERROR(__xludf.DUMMYFUNCTION("""COMPUTED_VALUE"""),"FM2668")</f>
        <v>FM2668</v>
      </c>
      <c r="B1065" s="6" t="str">
        <f>IFERROR(__xludf.DUMMYFUNCTION("""COMPUTED_VALUE"""),"RUN-COMB_2022-06-07_RFR-058")</f>
        <v>RUN-COMB_2022-06-07_RFR-058</v>
      </c>
      <c r="C1065" s="7">
        <f>VLOOKUP(B1065,'Run Reconcile'!A$2:B3090,2,FALSE)</f>
        <v>44719</v>
      </c>
      <c r="D1065" s="11">
        <f>IFERROR(__xludf.DUMMYFUNCTION("""COMPUTED_VALUE"""),44719.0)</f>
        <v>44719</v>
      </c>
      <c r="E1065" s="12">
        <f>IFERROR(__xludf.DUMMYFUNCTION("""COMPUTED_VALUE"""),0.26150462963050813)</f>
        <v>0.2615046296</v>
      </c>
      <c r="F1065" s="6" t="str">
        <f>IFERROR(__xludf.DUMMYFUNCTION("""COMPUTED_VALUE"""),"Negative")</f>
        <v>Negative</v>
      </c>
      <c r="G1065" s="6">
        <f>IFERROR(__xludf.DUMMYFUNCTION("""COMPUTED_VALUE"""),1.0)</f>
        <v>1</v>
      </c>
    </row>
    <row r="1066">
      <c r="A1066" s="6" t="str">
        <f>IFERROR(__xludf.DUMMYFUNCTION("""COMPUTED_VALUE"""),"FM2822")</f>
        <v>FM2822</v>
      </c>
      <c r="B1066" s="6" t="str">
        <f>IFERROR(__xludf.DUMMYFUNCTION("""COMPUTED_VALUE"""),"RUN-COMB_2022-06-07_RFR-058")</f>
        <v>RUN-COMB_2022-06-07_RFR-058</v>
      </c>
      <c r="C1066" s="7">
        <f>VLOOKUP(B1066,'Run Reconcile'!A$2:B3090,2,FALSE)</f>
        <v>44719</v>
      </c>
      <c r="D1066" s="11">
        <f>IFERROR(__xludf.DUMMYFUNCTION("""COMPUTED_VALUE"""),44719.0)</f>
        <v>44719</v>
      </c>
      <c r="E1066" s="12">
        <f>IFERROR(__xludf.DUMMYFUNCTION("""COMPUTED_VALUE"""),0.2632638888899237)</f>
        <v>0.2632638889</v>
      </c>
      <c r="F1066" s="6" t="str">
        <f>IFERROR(__xludf.DUMMYFUNCTION("""COMPUTED_VALUE"""),"Negative")</f>
        <v>Negative</v>
      </c>
      <c r="G1066" s="6">
        <f>IFERROR(__xludf.DUMMYFUNCTION("""COMPUTED_VALUE"""),1.0)</f>
        <v>1</v>
      </c>
    </row>
    <row r="1067">
      <c r="A1067" s="6" t="str">
        <f>IFERROR(__xludf.DUMMYFUNCTION("""COMPUTED_VALUE"""),"FM2880")</f>
        <v>FM2880</v>
      </c>
      <c r="B1067" s="6" t="str">
        <f>IFERROR(__xludf.DUMMYFUNCTION("""COMPUTED_VALUE"""),"RUN-COMB_2022-06-07_RFR-058")</f>
        <v>RUN-COMB_2022-06-07_RFR-058</v>
      </c>
      <c r="C1067" s="7">
        <f>VLOOKUP(B1067,'Run Reconcile'!A$2:B3090,2,FALSE)</f>
        <v>44719</v>
      </c>
      <c r="D1067" s="11">
        <f>IFERROR(__xludf.DUMMYFUNCTION("""COMPUTED_VALUE"""),44719.0)</f>
        <v>44719</v>
      </c>
      <c r="E1067" s="12">
        <f>IFERROR(__xludf.DUMMYFUNCTION("""COMPUTED_VALUE"""),0.2636689814826241)</f>
        <v>0.2636689815</v>
      </c>
      <c r="F1067" s="6" t="str">
        <f>IFERROR(__xludf.DUMMYFUNCTION("""COMPUTED_VALUE"""),"Negative")</f>
        <v>Negative</v>
      </c>
      <c r="G1067" s="6">
        <f>IFERROR(__xludf.DUMMYFUNCTION("""COMPUTED_VALUE"""),1.0)</f>
        <v>1</v>
      </c>
    </row>
    <row r="1068">
      <c r="A1068" s="6" t="str">
        <f>IFERROR(__xludf.DUMMYFUNCTION("""COMPUTED_VALUE"""),"FM2840")</f>
        <v>FM2840</v>
      </c>
      <c r="B1068" s="6" t="str">
        <f>IFERROR(__xludf.DUMMYFUNCTION("""COMPUTED_VALUE"""),"RUN-COMB_2022-06-07_RFR-058")</f>
        <v>RUN-COMB_2022-06-07_RFR-058</v>
      </c>
      <c r="C1068" s="7">
        <f>VLOOKUP(B1068,'Run Reconcile'!A$2:B3090,2,FALSE)</f>
        <v>44719</v>
      </c>
      <c r="D1068" s="11">
        <f>IFERROR(__xludf.DUMMYFUNCTION("""COMPUTED_VALUE"""),44719.0)</f>
        <v>44719</v>
      </c>
      <c r="E1068" s="12">
        <f>IFERROR(__xludf.DUMMYFUNCTION("""COMPUTED_VALUE"""),0.27113425925927004)</f>
        <v>0.2711342593</v>
      </c>
      <c r="F1068" s="6" t="str">
        <f>IFERROR(__xludf.DUMMYFUNCTION("""COMPUTED_VALUE"""),"Negative")</f>
        <v>Negative</v>
      </c>
      <c r="G1068" s="6">
        <f>IFERROR(__xludf.DUMMYFUNCTION("""COMPUTED_VALUE"""),1.0)</f>
        <v>1</v>
      </c>
    </row>
    <row r="1069">
      <c r="A1069" s="6" t="str">
        <f>IFERROR(__xludf.DUMMYFUNCTION("""COMPUTED_VALUE"""),"FM2841")</f>
        <v>FM2841</v>
      </c>
      <c r="B1069" s="6" t="str">
        <f>IFERROR(__xludf.DUMMYFUNCTION("""COMPUTED_VALUE"""),"RUN-COMB_2022-06-07_RFR-058")</f>
        <v>RUN-COMB_2022-06-07_RFR-058</v>
      </c>
      <c r="C1069" s="7">
        <f>VLOOKUP(B1069,'Run Reconcile'!A$2:B3090,2,FALSE)</f>
        <v>44719</v>
      </c>
      <c r="D1069" s="11">
        <f>IFERROR(__xludf.DUMMYFUNCTION("""COMPUTED_VALUE"""),44719.0)</f>
        <v>44719</v>
      </c>
      <c r="E1069" s="12">
        <f>IFERROR(__xludf.DUMMYFUNCTION("""COMPUTED_VALUE"""),0.27149305555576575)</f>
        <v>0.2714930556</v>
      </c>
      <c r="F1069" s="6" t="str">
        <f>IFERROR(__xludf.DUMMYFUNCTION("""COMPUTED_VALUE"""),"Negative")</f>
        <v>Negative</v>
      </c>
      <c r="G1069" s="6">
        <f>IFERROR(__xludf.DUMMYFUNCTION("""COMPUTED_VALUE"""),1.0)</f>
        <v>1</v>
      </c>
    </row>
    <row r="1070">
      <c r="A1070" s="6" t="str">
        <f>IFERROR(__xludf.DUMMYFUNCTION("""COMPUTED_VALUE"""),"FM2824")</f>
        <v>FM2824</v>
      </c>
      <c r="B1070" s="6" t="str">
        <f>IFERROR(__xludf.DUMMYFUNCTION("""COMPUTED_VALUE"""),"RUN-COMB_2022-06-07_RFR-058")</f>
        <v>RUN-COMB_2022-06-07_RFR-058</v>
      </c>
      <c r="C1070" s="7">
        <f>VLOOKUP(B1070,'Run Reconcile'!A$2:B3090,2,FALSE)</f>
        <v>44719</v>
      </c>
      <c r="D1070" s="11">
        <f>IFERROR(__xludf.DUMMYFUNCTION("""COMPUTED_VALUE"""),44719.0)</f>
        <v>44719</v>
      </c>
      <c r="E1070" s="12">
        <f>IFERROR(__xludf.DUMMYFUNCTION("""COMPUTED_VALUE"""),0.2719791666677338)</f>
        <v>0.2719791667</v>
      </c>
      <c r="F1070" s="6" t="str">
        <f>IFERROR(__xludf.DUMMYFUNCTION("""COMPUTED_VALUE"""),"Negative")</f>
        <v>Negative</v>
      </c>
      <c r="G1070" s="6">
        <f>IFERROR(__xludf.DUMMYFUNCTION("""COMPUTED_VALUE"""),1.0)</f>
        <v>1</v>
      </c>
    </row>
    <row r="1071">
      <c r="A1071" s="6" t="str">
        <f>IFERROR(__xludf.DUMMYFUNCTION("""COMPUTED_VALUE"""),"FM2684")</f>
        <v>FM2684</v>
      </c>
      <c r="B1071" s="6" t="str">
        <f>IFERROR(__xludf.DUMMYFUNCTION("""COMPUTED_VALUE"""),"RUN-COMB_2022-06-07_RFR-058")</f>
        <v>RUN-COMB_2022-06-07_RFR-058</v>
      </c>
      <c r="C1071" s="7">
        <f>VLOOKUP(B1071,'Run Reconcile'!A$2:B3090,2,FALSE)</f>
        <v>44719</v>
      </c>
      <c r="D1071" s="11">
        <f>IFERROR(__xludf.DUMMYFUNCTION("""COMPUTED_VALUE"""),44719.0)</f>
        <v>44719</v>
      </c>
      <c r="E1071" s="12">
        <f>IFERROR(__xludf.DUMMYFUNCTION("""COMPUTED_VALUE"""),0.2727083333338669)</f>
        <v>0.2727083333</v>
      </c>
      <c r="F1071" s="6" t="str">
        <f>IFERROR(__xludf.DUMMYFUNCTION("""COMPUTED_VALUE"""),"Negative")</f>
        <v>Negative</v>
      </c>
      <c r="G1071" s="6">
        <f>IFERROR(__xludf.DUMMYFUNCTION("""COMPUTED_VALUE"""),1.0)</f>
        <v>1</v>
      </c>
    </row>
    <row r="1072">
      <c r="A1072" s="6" t="str">
        <f>IFERROR(__xludf.DUMMYFUNCTION("""COMPUTED_VALUE"""),"FM2869")</f>
        <v>FM2869</v>
      </c>
      <c r="B1072" s="6" t="str">
        <f>IFERROR(__xludf.DUMMYFUNCTION("""COMPUTED_VALUE"""),"RUN-COMB_2022-06-07_RFR-058")</f>
        <v>RUN-COMB_2022-06-07_RFR-058</v>
      </c>
      <c r="C1072" s="7">
        <f>VLOOKUP(B1072,'Run Reconcile'!A$2:B3090,2,FALSE)</f>
        <v>44719</v>
      </c>
      <c r="D1072" s="11">
        <f>IFERROR(__xludf.DUMMYFUNCTION("""COMPUTED_VALUE"""),44719.0)</f>
        <v>44719</v>
      </c>
      <c r="E1072" s="12">
        <f>IFERROR(__xludf.DUMMYFUNCTION("""COMPUTED_VALUE"""),0.27309027777664596)</f>
        <v>0.2730902778</v>
      </c>
      <c r="F1072" s="6" t="str">
        <f>IFERROR(__xludf.DUMMYFUNCTION("""COMPUTED_VALUE"""),"Negative")</f>
        <v>Negative</v>
      </c>
      <c r="G1072" s="6">
        <f>IFERROR(__xludf.DUMMYFUNCTION("""COMPUTED_VALUE"""),1.0)</f>
        <v>1</v>
      </c>
    </row>
    <row r="1073">
      <c r="A1073" s="6" t="str">
        <f>IFERROR(__xludf.DUMMYFUNCTION("""COMPUTED_VALUE"""),"FM2763")</f>
        <v>FM2763</v>
      </c>
      <c r="B1073" s="6" t="str">
        <f>IFERROR(__xludf.DUMMYFUNCTION("""COMPUTED_VALUE"""),"RUN-COMB_2022-06-07_RFR-058")</f>
        <v>RUN-COMB_2022-06-07_RFR-058</v>
      </c>
      <c r="C1073" s="7">
        <f>VLOOKUP(B1073,'Run Reconcile'!A$2:B3090,2,FALSE)</f>
        <v>44719</v>
      </c>
      <c r="D1073" s="11">
        <f>IFERROR(__xludf.DUMMYFUNCTION("""COMPUTED_VALUE"""),44719.0)</f>
        <v>44719</v>
      </c>
      <c r="E1073" s="12">
        <f>IFERROR(__xludf.DUMMYFUNCTION("""COMPUTED_VALUE"""),0.2735185185192677)</f>
        <v>0.2735185185</v>
      </c>
      <c r="F1073" s="6" t="str">
        <f>IFERROR(__xludf.DUMMYFUNCTION("""COMPUTED_VALUE"""),"Negative")</f>
        <v>Negative</v>
      </c>
      <c r="G1073" s="6">
        <f>IFERROR(__xludf.DUMMYFUNCTION("""COMPUTED_VALUE"""),1.0)</f>
        <v>1</v>
      </c>
    </row>
    <row r="1074">
      <c r="A1074" s="6" t="str">
        <f>IFERROR(__xludf.DUMMYFUNCTION("""COMPUTED_VALUE"""),"FM2864")</f>
        <v>FM2864</v>
      </c>
      <c r="B1074" s="6" t="str">
        <f>IFERROR(__xludf.DUMMYFUNCTION("""COMPUTED_VALUE"""),"RUN-COMB_2022-06-07_RFR-058")</f>
        <v>RUN-COMB_2022-06-07_RFR-058</v>
      </c>
      <c r="C1074" s="7">
        <f>VLOOKUP(B1074,'Run Reconcile'!A$2:B3090,2,FALSE)</f>
        <v>44719</v>
      </c>
      <c r="D1074" s="11">
        <f>IFERROR(__xludf.DUMMYFUNCTION("""COMPUTED_VALUE"""),44719.0)</f>
        <v>44719</v>
      </c>
      <c r="E1074" s="12">
        <f>IFERROR(__xludf.DUMMYFUNCTION("""COMPUTED_VALUE"""),0.27392361111196806)</f>
        <v>0.2739236111</v>
      </c>
      <c r="F1074" s="6" t="str">
        <f>IFERROR(__xludf.DUMMYFUNCTION("""COMPUTED_VALUE"""),"Negative")</f>
        <v>Negative</v>
      </c>
      <c r="G1074" s="6">
        <f>IFERROR(__xludf.DUMMYFUNCTION("""COMPUTED_VALUE"""),1.0)</f>
        <v>1</v>
      </c>
    </row>
    <row r="1075">
      <c r="A1075" s="6" t="str">
        <f>IFERROR(__xludf.DUMMYFUNCTION("""COMPUTED_VALUE"""),"FM2871")</f>
        <v>FM2871</v>
      </c>
      <c r="B1075" s="6" t="str">
        <f>IFERROR(__xludf.DUMMYFUNCTION("""COMPUTED_VALUE"""),"RUN-COMB_2022-06-07_RFR-058")</f>
        <v>RUN-COMB_2022-06-07_RFR-058</v>
      </c>
      <c r="C1075" s="7">
        <f>VLOOKUP(B1075,'Run Reconcile'!A$2:B3090,2,FALSE)</f>
        <v>44719</v>
      </c>
      <c r="D1075" s="11">
        <f>IFERROR(__xludf.DUMMYFUNCTION("""COMPUTED_VALUE"""),44719.0)</f>
        <v>44719</v>
      </c>
      <c r="E1075" s="12">
        <f>IFERROR(__xludf.DUMMYFUNCTION("""COMPUTED_VALUE"""),0.2743055555547471)</f>
        <v>0.2743055556</v>
      </c>
      <c r="F1075" s="6" t="str">
        <f>IFERROR(__xludf.DUMMYFUNCTION("""COMPUTED_VALUE"""),"Negative")</f>
        <v>Negative</v>
      </c>
      <c r="G1075" s="6">
        <f>IFERROR(__xludf.DUMMYFUNCTION("""COMPUTED_VALUE"""),1.0)</f>
        <v>1</v>
      </c>
    </row>
    <row r="1076">
      <c r="A1076" s="6" t="str">
        <f>IFERROR(__xludf.DUMMYFUNCTION("""COMPUTED_VALUE"""),"FM2847")</f>
        <v>FM2847</v>
      </c>
      <c r="B1076" s="6" t="str">
        <f>IFERROR(__xludf.DUMMYFUNCTION("""COMPUTED_VALUE"""),"RUN-COMB_2022-06-07_RFR-058")</f>
        <v>RUN-COMB_2022-06-07_RFR-058</v>
      </c>
      <c r="C1076" s="7">
        <f>VLOOKUP(B1076,'Run Reconcile'!A$2:B3090,2,FALSE)</f>
        <v>44719</v>
      </c>
      <c r="D1076" s="11">
        <f>IFERROR(__xludf.DUMMYFUNCTION("""COMPUTED_VALUE"""),44719.0)</f>
        <v>44719</v>
      </c>
      <c r="E1076" s="12">
        <f>IFERROR(__xludf.DUMMYFUNCTION("""COMPUTED_VALUE"""),0.2746064814818965)</f>
        <v>0.2746064815</v>
      </c>
      <c r="F1076" s="6" t="str">
        <f>IFERROR(__xludf.DUMMYFUNCTION("""COMPUTED_VALUE"""),"Negative")</f>
        <v>Negative</v>
      </c>
      <c r="G1076" s="6">
        <f>IFERROR(__xludf.DUMMYFUNCTION("""COMPUTED_VALUE"""),1.0)</f>
        <v>1</v>
      </c>
    </row>
    <row r="1077">
      <c r="A1077" s="6" t="str">
        <f>IFERROR(__xludf.DUMMYFUNCTION("""COMPUTED_VALUE"""),"FM2836")</f>
        <v>FM2836</v>
      </c>
      <c r="B1077" s="6" t="str">
        <f>IFERROR(__xludf.DUMMYFUNCTION("""COMPUTED_VALUE"""),"RUN-COMB_2022-06-07_RFR-058")</f>
        <v>RUN-COMB_2022-06-07_RFR-058</v>
      </c>
      <c r="C1077" s="7">
        <f>VLOOKUP(B1077,'Run Reconcile'!A$2:B3090,2,FALSE)</f>
        <v>44719</v>
      </c>
      <c r="D1077" s="11">
        <f>IFERROR(__xludf.DUMMYFUNCTION("""COMPUTED_VALUE"""),44719.0)</f>
        <v>44719</v>
      </c>
      <c r="E1077" s="12">
        <f>IFERROR(__xludf.DUMMYFUNCTION("""COMPUTED_VALUE"""),0.2754976851865649)</f>
        <v>0.2754976852</v>
      </c>
      <c r="F1077" s="6" t="str">
        <f>IFERROR(__xludf.DUMMYFUNCTION("""COMPUTED_VALUE"""),"Negative")</f>
        <v>Negative</v>
      </c>
      <c r="G1077" s="6">
        <f>IFERROR(__xludf.DUMMYFUNCTION("""COMPUTED_VALUE"""),1.0)</f>
        <v>1</v>
      </c>
    </row>
    <row r="1078">
      <c r="A1078" s="6" t="str">
        <f>IFERROR(__xludf.DUMMYFUNCTION("""COMPUTED_VALUE"""),"FM2909")</f>
        <v>FM2909</v>
      </c>
      <c r="B1078" s="6" t="str">
        <f>IFERROR(__xludf.DUMMYFUNCTION("""COMPUTED_VALUE"""),"RUN-COMB_2022-06-07_RFR-058")</f>
        <v>RUN-COMB_2022-06-07_RFR-058</v>
      </c>
      <c r="C1078" s="7">
        <f>VLOOKUP(B1078,'Run Reconcile'!A$2:B3090,2,FALSE)</f>
        <v>44719</v>
      </c>
      <c r="D1078" s="11">
        <f>IFERROR(__xludf.DUMMYFUNCTION("""COMPUTED_VALUE"""),44719.0)</f>
        <v>44719</v>
      </c>
      <c r="E1078" s="12">
        <f>IFERROR(__xludf.DUMMYFUNCTION("""COMPUTED_VALUE"""),0.2759027777792653)</f>
        <v>0.2759027778</v>
      </c>
      <c r="F1078" s="6" t="str">
        <f>IFERROR(__xludf.DUMMYFUNCTION("""COMPUTED_VALUE"""),"Negative")</f>
        <v>Negative</v>
      </c>
      <c r="G1078" s="6">
        <f>IFERROR(__xludf.DUMMYFUNCTION("""COMPUTED_VALUE"""),1.0)</f>
        <v>1</v>
      </c>
    </row>
    <row r="1079">
      <c r="A1079" s="6" t="str">
        <f>IFERROR(__xludf.DUMMYFUNCTION("""COMPUTED_VALUE"""),"FM2829")</f>
        <v>FM2829</v>
      </c>
      <c r="B1079" s="6" t="str">
        <f>IFERROR(__xludf.DUMMYFUNCTION("""COMPUTED_VALUE"""),"RUN-COMB_2022-06-07_RFR-058")</f>
        <v>RUN-COMB_2022-06-07_RFR-058</v>
      </c>
      <c r="C1079" s="7">
        <f>VLOOKUP(B1079,'Run Reconcile'!A$2:B3090,2,FALSE)</f>
        <v>44719</v>
      </c>
      <c r="D1079" s="11">
        <f>IFERROR(__xludf.DUMMYFUNCTION("""COMPUTED_VALUE"""),44719.0)</f>
        <v>44719</v>
      </c>
      <c r="E1079" s="12">
        <f>IFERROR(__xludf.DUMMYFUNCTION("""COMPUTED_VALUE"""),0.276226851852698)</f>
        <v>0.2762268519</v>
      </c>
      <c r="F1079" s="6" t="str">
        <f>IFERROR(__xludf.DUMMYFUNCTION("""COMPUTED_VALUE"""),"Negative")</f>
        <v>Negative</v>
      </c>
      <c r="G1079" s="6">
        <f>IFERROR(__xludf.DUMMYFUNCTION("""COMPUTED_VALUE"""),1.0)</f>
        <v>1</v>
      </c>
    </row>
    <row r="1080">
      <c r="A1080" s="6" t="str">
        <f>IFERROR(__xludf.DUMMYFUNCTION("""COMPUTED_VALUE"""),"FM2831")</f>
        <v>FM2831</v>
      </c>
      <c r="B1080" s="6" t="str">
        <f>IFERROR(__xludf.DUMMYFUNCTION("""COMPUTED_VALUE"""),"RUN-COMB_2022-06-07_RFR-058")</f>
        <v>RUN-COMB_2022-06-07_RFR-058</v>
      </c>
      <c r="C1080" s="7">
        <f>VLOOKUP(B1080,'Run Reconcile'!A$2:B3090,2,FALSE)</f>
        <v>44719</v>
      </c>
      <c r="D1080" s="11">
        <f>IFERROR(__xludf.DUMMYFUNCTION("""COMPUTED_VALUE"""),44719.0)</f>
        <v>44719</v>
      </c>
      <c r="E1080" s="12">
        <f>IFERROR(__xludf.DUMMYFUNCTION("""COMPUTED_VALUE"""),0.34399305555416504)</f>
        <v>0.3439930556</v>
      </c>
      <c r="F1080" s="6" t="str">
        <f>IFERROR(__xludf.DUMMYFUNCTION("""COMPUTED_VALUE"""),"Negative")</f>
        <v>Negative</v>
      </c>
      <c r="G1080" s="6">
        <f>IFERROR(__xludf.DUMMYFUNCTION("""COMPUTED_VALUE"""),1.0)</f>
        <v>1</v>
      </c>
    </row>
    <row r="1081">
      <c r="A1081" s="6" t="str">
        <f>IFERROR(__xludf.DUMMYFUNCTION("""COMPUTED_VALUE"""),"FM2818")</f>
        <v>FM2818</v>
      </c>
      <c r="B1081" s="6" t="str">
        <f>IFERROR(__xludf.DUMMYFUNCTION("""COMPUTED_VALUE"""),"RUN-COMB_2022-06-08_RFR-059")</f>
        <v>RUN-COMB_2022-06-08_RFR-059</v>
      </c>
      <c r="C1081" s="7">
        <f>VLOOKUP(B1081,'Run Reconcile'!A$2:B3090,2,FALSE)</f>
        <v>44720</v>
      </c>
      <c r="D1081" s="11">
        <f>IFERROR(__xludf.DUMMYFUNCTION("""COMPUTED_VALUE"""),44720.0)</f>
        <v>44720</v>
      </c>
      <c r="E1081" s="12">
        <f>IFERROR(__xludf.DUMMYFUNCTION("""COMPUTED_VALUE"""),0.255162037035916)</f>
        <v>0.255162037</v>
      </c>
      <c r="F1081" s="6" t="str">
        <f>IFERROR(__xludf.DUMMYFUNCTION("""COMPUTED_VALUE"""),"Negative")</f>
        <v>Negative</v>
      </c>
      <c r="G1081" s="6">
        <f>IFERROR(__xludf.DUMMYFUNCTION("""COMPUTED_VALUE"""),1.0)</f>
        <v>1</v>
      </c>
    </row>
    <row r="1082">
      <c r="A1082" s="6" t="str">
        <f>IFERROR(__xludf.DUMMYFUNCTION("""COMPUTED_VALUE"""),"FM2187")</f>
        <v>FM2187</v>
      </c>
      <c r="B1082" s="6" t="str">
        <f>IFERROR(__xludf.DUMMYFUNCTION("""COMPUTED_VALUE"""),"RUN-COMB_2022-06-08_RFR-059")</f>
        <v>RUN-COMB_2022-06-08_RFR-059</v>
      </c>
      <c r="C1082" s="7">
        <f>VLOOKUP(B1082,'Run Reconcile'!A$2:B3090,2,FALSE)</f>
        <v>44720</v>
      </c>
      <c r="D1082" s="11">
        <f>IFERROR(__xludf.DUMMYFUNCTION("""COMPUTED_VALUE"""),44720.0)</f>
        <v>44720</v>
      </c>
      <c r="E1082" s="12">
        <f>IFERROR(__xludf.DUMMYFUNCTION("""COMPUTED_VALUE"""),0.25557870370539604)</f>
        <v>0.2555787037</v>
      </c>
      <c r="F1082" s="6" t="str">
        <f>IFERROR(__xludf.DUMMYFUNCTION("""COMPUTED_VALUE"""),"Negative")</f>
        <v>Negative</v>
      </c>
      <c r="G1082" s="6">
        <f>IFERROR(__xludf.DUMMYFUNCTION("""COMPUTED_VALUE"""),1.0)</f>
        <v>1</v>
      </c>
    </row>
    <row r="1083">
      <c r="A1083" s="6" t="str">
        <f>IFERROR(__xludf.DUMMYFUNCTION("""COMPUTED_VALUE"""),"FM2173")</f>
        <v>FM2173</v>
      </c>
      <c r="B1083" s="6" t="str">
        <f>IFERROR(__xludf.DUMMYFUNCTION("""COMPUTED_VALUE"""),"RUN-COMB_2022-06-08_RFR-059")</f>
        <v>RUN-COMB_2022-06-08_RFR-059</v>
      </c>
      <c r="C1083" s="7">
        <f>VLOOKUP(B1083,'Run Reconcile'!A$2:B3090,2,FALSE)</f>
        <v>44720</v>
      </c>
      <c r="D1083" s="11">
        <f>IFERROR(__xludf.DUMMYFUNCTION("""COMPUTED_VALUE"""),44720.0)</f>
        <v>44720</v>
      </c>
      <c r="E1083" s="12">
        <f>IFERROR(__xludf.DUMMYFUNCTION("""COMPUTED_VALUE"""),0.25605324074058444)</f>
        <v>0.2560532407</v>
      </c>
      <c r="F1083" s="6" t="str">
        <f>IFERROR(__xludf.DUMMYFUNCTION("""COMPUTED_VALUE"""),"Negative")</f>
        <v>Negative</v>
      </c>
      <c r="G1083" s="6">
        <f>IFERROR(__xludf.DUMMYFUNCTION("""COMPUTED_VALUE"""),1.0)</f>
        <v>1</v>
      </c>
    </row>
    <row r="1084">
      <c r="A1084" s="6" t="str">
        <f>IFERROR(__xludf.DUMMYFUNCTION("""COMPUTED_VALUE"""),"FM2130")</f>
        <v>FM2130</v>
      </c>
      <c r="B1084" s="6" t="str">
        <f>IFERROR(__xludf.DUMMYFUNCTION("""COMPUTED_VALUE"""),"RUN-COMB_2022-06-08_RFR-059")</f>
        <v>RUN-COMB_2022-06-08_RFR-059</v>
      </c>
      <c r="C1084" s="7">
        <f>VLOOKUP(B1084,'Run Reconcile'!A$2:B3090,2,FALSE)</f>
        <v>44720</v>
      </c>
      <c r="D1084" s="11">
        <f>IFERROR(__xludf.DUMMYFUNCTION("""COMPUTED_VALUE"""),44720.0)</f>
        <v>44720</v>
      </c>
      <c r="E1084" s="12">
        <f>IFERROR(__xludf.DUMMYFUNCTION("""COMPUTED_VALUE"""),0.2598032407404389)</f>
        <v>0.2598032407</v>
      </c>
      <c r="F1084" s="6" t="str">
        <f>IFERROR(__xludf.DUMMYFUNCTION("""COMPUTED_VALUE"""),"Negative")</f>
        <v>Negative</v>
      </c>
      <c r="G1084" s="6">
        <f>IFERROR(__xludf.DUMMYFUNCTION("""COMPUTED_VALUE"""),1.0)</f>
        <v>1</v>
      </c>
    </row>
    <row r="1085">
      <c r="A1085" s="6" t="str">
        <f>IFERROR(__xludf.DUMMYFUNCTION("""COMPUTED_VALUE"""),"FM2123")</f>
        <v>FM2123</v>
      </c>
      <c r="B1085" s="6" t="str">
        <f>IFERROR(__xludf.DUMMYFUNCTION("""COMPUTED_VALUE"""),"RUN-COMB_2022-06-08_RFR-059")</f>
        <v>RUN-COMB_2022-06-08_RFR-059</v>
      </c>
      <c r="C1085" s="7">
        <f>VLOOKUP(B1085,'Run Reconcile'!A$2:B3090,2,FALSE)</f>
        <v>44720</v>
      </c>
      <c r="D1085" s="11">
        <f>IFERROR(__xludf.DUMMYFUNCTION("""COMPUTED_VALUE"""),44720.0)</f>
        <v>44720</v>
      </c>
      <c r="E1085" s="12">
        <f>IFERROR(__xludf.DUMMYFUNCTION("""COMPUTED_VALUE"""),0.2647453703721112)</f>
        <v>0.2647453704</v>
      </c>
      <c r="F1085" s="6" t="str">
        <f>IFERROR(__xludf.DUMMYFUNCTION("""COMPUTED_VALUE"""),"Negative")</f>
        <v>Negative</v>
      </c>
      <c r="G1085" s="6">
        <f>IFERROR(__xludf.DUMMYFUNCTION("""COMPUTED_VALUE"""),1.0)</f>
        <v>1</v>
      </c>
    </row>
    <row r="1086">
      <c r="A1086" s="6" t="str">
        <f>IFERROR(__xludf.DUMMYFUNCTION("""COMPUTED_VALUE"""),"FM2839")</f>
        <v>FM2839</v>
      </c>
      <c r="B1086" s="6" t="str">
        <f>IFERROR(__xludf.DUMMYFUNCTION("""COMPUTED_VALUE"""),"RUN-COMB_2022-06-08_RFR-059")</f>
        <v>RUN-COMB_2022-06-08_RFR-059</v>
      </c>
      <c r="C1086" s="7">
        <f>VLOOKUP(B1086,'Run Reconcile'!A$2:B3090,2,FALSE)</f>
        <v>44720</v>
      </c>
      <c r="D1086" s="11">
        <f>IFERROR(__xludf.DUMMYFUNCTION("""COMPUTED_VALUE"""),44720.0)</f>
        <v>44720</v>
      </c>
      <c r="E1086" s="12">
        <f>IFERROR(__xludf.DUMMYFUNCTION("""COMPUTED_VALUE"""),0.2653009259265673)</f>
        <v>0.2653009259</v>
      </c>
      <c r="F1086" s="6" t="str">
        <f>IFERROR(__xludf.DUMMYFUNCTION("""COMPUTED_VALUE"""),"Negative")</f>
        <v>Negative</v>
      </c>
      <c r="G1086" s="6">
        <f>IFERROR(__xludf.DUMMYFUNCTION("""COMPUTED_VALUE"""),1.0)</f>
        <v>1</v>
      </c>
    </row>
    <row r="1087">
      <c r="A1087" s="6" t="str">
        <f>IFERROR(__xludf.DUMMYFUNCTION("""COMPUTED_VALUE"""),"FM2210")</f>
        <v>FM2210</v>
      </c>
      <c r="B1087" s="6" t="str">
        <f>IFERROR(__xludf.DUMMYFUNCTION("""COMPUTED_VALUE"""),"RUN-COMB_2022-06-08_RFR-059")</f>
        <v>RUN-COMB_2022-06-08_RFR-059</v>
      </c>
      <c r="C1087" s="7">
        <f>VLOOKUP(B1087,'Run Reconcile'!A$2:B3090,2,FALSE)</f>
        <v>44720</v>
      </c>
      <c r="D1087" s="11">
        <f>IFERROR(__xludf.DUMMYFUNCTION("""COMPUTED_VALUE"""),44720.0)</f>
        <v>44720</v>
      </c>
      <c r="E1087" s="12">
        <f>IFERROR(__xludf.DUMMYFUNCTION("""COMPUTED_VALUE"""),0.2656712962962047)</f>
        <v>0.2656712963</v>
      </c>
      <c r="F1087" s="6" t="str">
        <f>IFERROR(__xludf.DUMMYFUNCTION("""COMPUTED_VALUE"""),"Negative")</f>
        <v>Negative</v>
      </c>
      <c r="G1087" s="6">
        <f>IFERROR(__xludf.DUMMYFUNCTION("""COMPUTED_VALUE"""),1.0)</f>
        <v>1</v>
      </c>
    </row>
    <row r="1088">
      <c r="A1088" s="6" t="str">
        <f>IFERROR(__xludf.DUMMYFUNCTION("""COMPUTED_VALUE"""),"FM2921")</f>
        <v>FM2921</v>
      </c>
      <c r="B1088" s="6" t="str">
        <f>IFERROR(__xludf.DUMMYFUNCTION("""COMPUTED_VALUE"""),"RUN-COMB_2022-06-08_RFR-059")</f>
        <v>RUN-COMB_2022-06-08_RFR-059</v>
      </c>
      <c r="C1088" s="7">
        <f>VLOOKUP(B1088,'Run Reconcile'!A$2:B3090,2,FALSE)</f>
        <v>44720</v>
      </c>
      <c r="D1088" s="11">
        <f>IFERROR(__xludf.DUMMYFUNCTION("""COMPUTED_VALUE"""),44720.0)</f>
        <v>44720</v>
      </c>
      <c r="E1088" s="12">
        <f>IFERROR(__xludf.DUMMYFUNCTION("""COMPUTED_VALUE"""),0.26619212963123573)</f>
        <v>0.2661921296</v>
      </c>
      <c r="F1088" s="6" t="str">
        <f>IFERROR(__xludf.DUMMYFUNCTION("""COMPUTED_VALUE"""),"Negative")</f>
        <v>Negative</v>
      </c>
      <c r="G1088" s="6">
        <f>IFERROR(__xludf.DUMMYFUNCTION("""COMPUTED_VALUE"""),1.0)</f>
        <v>1</v>
      </c>
    </row>
    <row r="1089">
      <c r="A1089" s="6" t="str">
        <f>IFERROR(__xludf.DUMMYFUNCTION("""COMPUTED_VALUE"""),"FM2147")</f>
        <v>FM2147</v>
      </c>
      <c r="B1089" s="6" t="str">
        <f>IFERROR(__xludf.DUMMYFUNCTION("""COMPUTED_VALUE"""),"RUN-COMB_2022-06-08_RFR-059")</f>
        <v>RUN-COMB_2022-06-08_RFR-059</v>
      </c>
      <c r="C1089" s="7">
        <f>VLOOKUP(B1089,'Run Reconcile'!A$2:B3090,2,FALSE)</f>
        <v>44720</v>
      </c>
      <c r="D1089" s="11">
        <f>IFERROR(__xludf.DUMMYFUNCTION("""COMPUTED_VALUE"""),44720.0)</f>
        <v>44720</v>
      </c>
      <c r="E1089" s="12">
        <f>IFERROR(__xludf.DUMMYFUNCTION("""COMPUTED_VALUE"""),0.2780902777776646)</f>
        <v>0.2780902778</v>
      </c>
      <c r="F1089" s="6" t="str">
        <f>IFERROR(__xludf.DUMMYFUNCTION("""COMPUTED_VALUE"""),"Negative")</f>
        <v>Negative</v>
      </c>
      <c r="G1089" s="6">
        <f>IFERROR(__xludf.DUMMYFUNCTION("""COMPUTED_VALUE"""),1.0)</f>
        <v>1</v>
      </c>
    </row>
    <row r="1090">
      <c r="A1090" s="6" t="str">
        <f>IFERROR(__xludf.DUMMYFUNCTION("""COMPUTED_VALUE"""),"FM2125")</f>
        <v>FM2125</v>
      </c>
      <c r="B1090" s="6" t="str">
        <f>IFERROR(__xludf.DUMMYFUNCTION("""COMPUTED_VALUE"""),"RUN-COMB_2022-06-08_RFR-059")</f>
        <v>RUN-COMB_2022-06-08_RFR-059</v>
      </c>
      <c r="C1090" s="7">
        <f>VLOOKUP(B1090,'Run Reconcile'!A$2:B3090,2,FALSE)</f>
        <v>44720</v>
      </c>
      <c r="D1090" s="11">
        <f>IFERROR(__xludf.DUMMYFUNCTION("""COMPUTED_VALUE"""),44720.0)</f>
        <v>44720</v>
      </c>
      <c r="E1090" s="12">
        <f>IFERROR(__xludf.DUMMYFUNCTION("""COMPUTED_VALUE"""),0.2785532407397113)</f>
        <v>0.2785532407</v>
      </c>
      <c r="F1090" s="6" t="str">
        <f>IFERROR(__xludf.DUMMYFUNCTION("""COMPUTED_VALUE"""),"Negative")</f>
        <v>Negative</v>
      </c>
      <c r="G1090" s="6">
        <f>IFERROR(__xludf.DUMMYFUNCTION("""COMPUTED_VALUE"""),1.0)</f>
        <v>1</v>
      </c>
    </row>
    <row r="1091">
      <c r="A1091" s="6" t="str">
        <f>IFERROR(__xludf.DUMMYFUNCTION("""COMPUTED_VALUE"""),"FM2129")</f>
        <v>FM2129</v>
      </c>
      <c r="B1091" s="6" t="str">
        <f>IFERROR(__xludf.DUMMYFUNCTION("""COMPUTED_VALUE"""),"RUN-COMB_2022-06-08_RFR-059")</f>
        <v>RUN-COMB_2022-06-08_RFR-059</v>
      </c>
      <c r="C1091" s="7">
        <f>VLOOKUP(B1091,'Run Reconcile'!A$2:B3090,2,FALSE)</f>
        <v>44720</v>
      </c>
      <c r="D1091" s="11">
        <f>IFERROR(__xludf.DUMMYFUNCTION("""COMPUTED_VALUE"""),44720.0)</f>
        <v>44720</v>
      </c>
      <c r="E1091" s="12">
        <f>IFERROR(__xludf.DUMMYFUNCTION("""COMPUTED_VALUE"""),0.2798726851870015)</f>
        <v>0.2798726852</v>
      </c>
      <c r="F1091" s="6" t="str">
        <f>IFERROR(__xludf.DUMMYFUNCTION("""COMPUTED_VALUE"""),"Negative")</f>
        <v>Negative</v>
      </c>
      <c r="G1091" s="6">
        <f>IFERROR(__xludf.DUMMYFUNCTION("""COMPUTED_VALUE"""),1.0)</f>
        <v>1</v>
      </c>
    </row>
    <row r="1092">
      <c r="A1092" s="6" t="str">
        <f>IFERROR(__xludf.DUMMYFUNCTION("""COMPUTED_VALUE"""),"FM2154")</f>
        <v>FM2154</v>
      </c>
      <c r="B1092" s="6" t="str">
        <f>IFERROR(__xludf.DUMMYFUNCTION("""COMPUTED_VALUE"""),"RUN-COMB_2022-06-08_RFR-059")</f>
        <v>RUN-COMB_2022-06-08_RFR-059</v>
      </c>
      <c r="C1092" s="7">
        <f>VLOOKUP(B1092,'Run Reconcile'!A$2:B3090,2,FALSE)</f>
        <v>44720</v>
      </c>
      <c r="D1092" s="11">
        <f>IFERROR(__xludf.DUMMYFUNCTION("""COMPUTED_VALUE"""),44720.0)</f>
        <v>44720</v>
      </c>
      <c r="E1092" s="12">
        <f>IFERROR(__xludf.DUMMYFUNCTION("""COMPUTED_VALUE"""),0.2803124999991269)</f>
        <v>0.2803125</v>
      </c>
      <c r="F1092" s="6" t="str">
        <f>IFERROR(__xludf.DUMMYFUNCTION("""COMPUTED_VALUE"""),"Negative")</f>
        <v>Negative</v>
      </c>
      <c r="G1092" s="6">
        <f>IFERROR(__xludf.DUMMYFUNCTION("""COMPUTED_VALUE"""),1.0)</f>
        <v>1</v>
      </c>
    </row>
    <row r="1093">
      <c r="A1093" s="6" t="str">
        <f>IFERROR(__xludf.DUMMYFUNCTION("""COMPUTED_VALUE"""),"FM2194")</f>
        <v>FM2194</v>
      </c>
      <c r="B1093" s="6" t="str">
        <f>IFERROR(__xludf.DUMMYFUNCTION("""COMPUTED_VALUE"""),"RUN-COMB_2022-06-08_RFR-059")</f>
        <v>RUN-COMB_2022-06-08_RFR-059</v>
      </c>
      <c r="C1093" s="7">
        <f>VLOOKUP(B1093,'Run Reconcile'!A$2:B3090,2,FALSE)</f>
        <v>44720</v>
      </c>
      <c r="D1093" s="11">
        <f>IFERROR(__xludf.DUMMYFUNCTION("""COMPUTED_VALUE"""),44720.0)</f>
        <v>44720</v>
      </c>
      <c r="E1093" s="12">
        <f>IFERROR(__xludf.DUMMYFUNCTION("""COMPUTED_VALUE"""),0.2808101851842366)</f>
        <v>0.2808101852</v>
      </c>
      <c r="F1093" s="6" t="str">
        <f>IFERROR(__xludf.DUMMYFUNCTION("""COMPUTED_VALUE"""),"Negative")</f>
        <v>Negative</v>
      </c>
      <c r="G1093" s="6">
        <f>IFERROR(__xludf.DUMMYFUNCTION("""COMPUTED_VALUE"""),1.0)</f>
        <v>1</v>
      </c>
    </row>
    <row r="1094">
      <c r="A1094" s="6" t="str">
        <f>IFERROR(__xludf.DUMMYFUNCTION("""COMPUTED_VALUE"""),"FM2859")</f>
        <v>FM2859</v>
      </c>
      <c r="B1094" s="6" t="str">
        <f>IFERROR(__xludf.DUMMYFUNCTION("""COMPUTED_VALUE"""),"RUN-COMB_2022-06-08_RFR-059")</f>
        <v>RUN-COMB_2022-06-08_RFR-059</v>
      </c>
      <c r="C1094" s="7">
        <f>VLOOKUP(B1094,'Run Reconcile'!A$2:B3090,2,FALSE)</f>
        <v>44720</v>
      </c>
      <c r="D1094" s="11">
        <f>IFERROR(__xludf.DUMMYFUNCTION("""COMPUTED_VALUE"""),44720.0)</f>
        <v>44720</v>
      </c>
      <c r="E1094" s="12">
        <f>IFERROR(__xludf.DUMMYFUNCTION("""COMPUTED_VALUE"""),0.28115740740759065)</f>
        <v>0.2811574074</v>
      </c>
      <c r="F1094" s="6" t="str">
        <f>IFERROR(__xludf.DUMMYFUNCTION("""COMPUTED_VALUE"""),"Negative")</f>
        <v>Negative</v>
      </c>
      <c r="G1094" s="6">
        <f>IFERROR(__xludf.DUMMYFUNCTION("""COMPUTED_VALUE"""),1.0)</f>
        <v>1</v>
      </c>
    </row>
    <row r="1095">
      <c r="A1095" s="6" t="str">
        <f>IFERROR(__xludf.DUMMYFUNCTION("""COMPUTED_VALUE"""),"FM2126")</f>
        <v>FM2126</v>
      </c>
      <c r="B1095" s="6" t="str">
        <f>IFERROR(__xludf.DUMMYFUNCTION("""COMPUTED_VALUE"""),"RUN-COMB_2022-06-08_RFR-059")</f>
        <v>RUN-COMB_2022-06-08_RFR-059</v>
      </c>
      <c r="C1095" s="7">
        <f>VLOOKUP(B1095,'Run Reconcile'!A$2:B3090,2,FALSE)</f>
        <v>44720</v>
      </c>
      <c r="D1095" s="11">
        <f>IFERROR(__xludf.DUMMYFUNCTION("""COMPUTED_VALUE"""),44720.0)</f>
        <v>44720</v>
      </c>
      <c r="E1095" s="12">
        <f>IFERROR(__xludf.DUMMYFUNCTION("""COMPUTED_VALUE"""),0.28152777777722804)</f>
        <v>0.2815277778</v>
      </c>
      <c r="F1095" s="6" t="str">
        <f>IFERROR(__xludf.DUMMYFUNCTION("""COMPUTED_VALUE"""),"Negative")</f>
        <v>Negative</v>
      </c>
      <c r="G1095" s="6">
        <f>IFERROR(__xludf.DUMMYFUNCTION("""COMPUTED_VALUE"""),1.0)</f>
        <v>1</v>
      </c>
    </row>
    <row r="1096">
      <c r="A1096" s="6" t="str">
        <f>IFERROR(__xludf.DUMMYFUNCTION("""COMPUTED_VALUE"""),"FM2913")</f>
        <v>FM2913</v>
      </c>
      <c r="B1096" s="6" t="str">
        <f>IFERROR(__xludf.DUMMYFUNCTION("""COMPUTED_VALUE"""),"RUN-COMB_2022-06-08_RFR-059")</f>
        <v>RUN-COMB_2022-06-08_RFR-059</v>
      </c>
      <c r="C1096" s="7">
        <f>VLOOKUP(B1096,'Run Reconcile'!A$2:B3090,2,FALSE)</f>
        <v>44720</v>
      </c>
      <c r="D1096" s="11">
        <f>IFERROR(__xludf.DUMMYFUNCTION("""COMPUTED_VALUE"""),44720.0)</f>
        <v>44720</v>
      </c>
      <c r="E1096" s="12">
        <f>IFERROR(__xludf.DUMMYFUNCTION("""COMPUTED_VALUE"""),0.2819791666661331)</f>
        <v>0.2819791667</v>
      </c>
      <c r="F1096" s="6" t="str">
        <f>IFERROR(__xludf.DUMMYFUNCTION("""COMPUTED_VALUE"""),"Negative")</f>
        <v>Negative</v>
      </c>
      <c r="G1096" s="6">
        <f>IFERROR(__xludf.DUMMYFUNCTION("""COMPUTED_VALUE"""),1.0)</f>
        <v>1</v>
      </c>
    </row>
    <row r="1097">
      <c r="A1097" s="6" t="str">
        <f>IFERROR(__xludf.DUMMYFUNCTION("""COMPUTED_VALUE"""),"FM2133")</f>
        <v>FM2133</v>
      </c>
      <c r="B1097" s="6" t="str">
        <f>IFERROR(__xludf.DUMMYFUNCTION("""COMPUTED_VALUE"""),"RUN-COMB_2022-06-08_RFR-059")</f>
        <v>RUN-COMB_2022-06-08_RFR-059</v>
      </c>
      <c r="C1097" s="7">
        <f>VLOOKUP(B1097,'Run Reconcile'!A$2:B3090,2,FALSE)</f>
        <v>44720</v>
      </c>
      <c r="D1097" s="11">
        <f>IFERROR(__xludf.DUMMYFUNCTION("""COMPUTED_VALUE"""),44720.0)</f>
        <v>44720</v>
      </c>
      <c r="E1097" s="12">
        <f>IFERROR(__xludf.DUMMYFUNCTION("""COMPUTED_VALUE"""),0.2824421296281798)</f>
        <v>0.2824421296</v>
      </c>
      <c r="F1097" s="6" t="str">
        <f>IFERROR(__xludf.DUMMYFUNCTION("""COMPUTED_VALUE"""),"Negative")</f>
        <v>Negative</v>
      </c>
      <c r="G1097" s="6">
        <f>IFERROR(__xludf.DUMMYFUNCTION("""COMPUTED_VALUE"""),1.0)</f>
        <v>1</v>
      </c>
    </row>
    <row r="1098">
      <c r="A1098" s="6" t="str">
        <f>IFERROR(__xludf.DUMMYFUNCTION("""COMPUTED_VALUE"""),"FM2214")</f>
        <v>FM2214</v>
      </c>
      <c r="B1098" s="6" t="str">
        <f>IFERROR(__xludf.DUMMYFUNCTION("""COMPUTED_VALUE"""),"RUN-COMB_2022-06-09_RFR-060")</f>
        <v>RUN-COMB_2022-06-09_RFR-060</v>
      </c>
      <c r="C1098" s="7">
        <f>VLOOKUP(B1098,'Run Reconcile'!A$2:B3090,2,FALSE)</f>
        <v>44721</v>
      </c>
      <c r="D1098" s="11">
        <f>IFERROR(__xludf.DUMMYFUNCTION("""COMPUTED_VALUE"""),44721.0)</f>
        <v>44721</v>
      </c>
      <c r="E1098" s="12">
        <f>IFERROR(__xludf.DUMMYFUNCTION("""COMPUTED_VALUE"""),0.2585069444430701)</f>
        <v>0.2585069444</v>
      </c>
      <c r="F1098" s="6" t="str">
        <f>IFERROR(__xludf.DUMMYFUNCTION("""COMPUTED_VALUE"""),"Negative")</f>
        <v>Negative</v>
      </c>
      <c r="G1098" s="6">
        <f>IFERROR(__xludf.DUMMYFUNCTION("""COMPUTED_VALUE"""),1.0)</f>
        <v>1</v>
      </c>
    </row>
    <row r="1099">
      <c r="A1099" s="6" t="str">
        <f>IFERROR(__xludf.DUMMYFUNCTION("""COMPUTED_VALUE"""),"FM2179")</f>
        <v>FM2179</v>
      </c>
      <c r="B1099" s="6" t="str">
        <f>IFERROR(__xludf.DUMMYFUNCTION("""COMPUTED_VALUE"""),"RUN-COMB_2022-06-09_RFR-060")</f>
        <v>RUN-COMB_2022-06-09_RFR-060</v>
      </c>
      <c r="C1099" s="7">
        <f>VLOOKUP(B1099,'Run Reconcile'!A$2:B3090,2,FALSE)</f>
        <v>44721</v>
      </c>
      <c r="D1099" s="11">
        <f>IFERROR(__xludf.DUMMYFUNCTION("""COMPUTED_VALUE"""),44721.0)</f>
        <v>44721</v>
      </c>
      <c r="E1099" s="12">
        <f>IFERROR(__xludf.DUMMYFUNCTION("""COMPUTED_VALUE"""),0.2588657407395658)</f>
        <v>0.2588657407</v>
      </c>
      <c r="F1099" s="6" t="str">
        <f>IFERROR(__xludf.DUMMYFUNCTION("""COMPUTED_VALUE"""),"Negative")</f>
        <v>Negative</v>
      </c>
      <c r="G1099" s="6">
        <f>IFERROR(__xludf.DUMMYFUNCTION("""COMPUTED_VALUE"""),1.0)</f>
        <v>1</v>
      </c>
    </row>
    <row r="1100">
      <c r="A1100" s="6" t="str">
        <f>IFERROR(__xludf.DUMMYFUNCTION("""COMPUTED_VALUE"""),"FM2107")</f>
        <v>FM2107</v>
      </c>
      <c r="B1100" s="6" t="str">
        <f>IFERROR(__xludf.DUMMYFUNCTION("""COMPUTED_VALUE"""),"RUN-COMB_2022-06-09_RFR-060")</f>
        <v>RUN-COMB_2022-06-09_RFR-060</v>
      </c>
      <c r="C1100" s="7">
        <f>VLOOKUP(B1100,'Run Reconcile'!A$2:B3090,2,FALSE)</f>
        <v>44721</v>
      </c>
      <c r="D1100" s="11">
        <f>IFERROR(__xludf.DUMMYFUNCTION("""COMPUTED_VALUE"""),44721.0)</f>
        <v>44721</v>
      </c>
      <c r="E1100" s="12">
        <f>IFERROR(__xludf.DUMMYFUNCTION("""COMPUTED_VALUE"""),0.2610185185185401)</f>
        <v>0.2610185185</v>
      </c>
      <c r="F1100" s="6" t="str">
        <f>IFERROR(__xludf.DUMMYFUNCTION("""COMPUTED_VALUE"""),"Negative")</f>
        <v>Negative</v>
      </c>
      <c r="G1100" s="6">
        <f>IFERROR(__xludf.DUMMYFUNCTION("""COMPUTED_VALUE"""),1.0)</f>
        <v>1</v>
      </c>
    </row>
    <row r="1101">
      <c r="A1101" s="6" t="str">
        <f>IFERROR(__xludf.DUMMYFUNCTION("""COMPUTED_VALUE"""),"FM2890")</f>
        <v>FM2890</v>
      </c>
      <c r="B1101" s="6" t="str">
        <f>IFERROR(__xludf.DUMMYFUNCTION("""COMPUTED_VALUE"""),"RUN-COMB_2022-06-09_RFR-060")</f>
        <v>RUN-COMB_2022-06-09_RFR-060</v>
      </c>
      <c r="C1101" s="7">
        <f>VLOOKUP(B1101,'Run Reconcile'!A$2:B3090,2,FALSE)</f>
        <v>44721</v>
      </c>
      <c r="D1101" s="11">
        <f>IFERROR(__xludf.DUMMYFUNCTION("""COMPUTED_VALUE"""),44721.0)</f>
        <v>44721</v>
      </c>
      <c r="E1101" s="12">
        <f>IFERROR(__xludf.DUMMYFUNCTION("""COMPUTED_VALUE"""),0.27149305555576575)</f>
        <v>0.2714930556</v>
      </c>
      <c r="F1101" s="6" t="str">
        <f>IFERROR(__xludf.DUMMYFUNCTION("""COMPUTED_VALUE"""),"Negative")</f>
        <v>Negative</v>
      </c>
      <c r="G1101" s="6">
        <f>IFERROR(__xludf.DUMMYFUNCTION("""COMPUTED_VALUE"""),1.0)</f>
        <v>1</v>
      </c>
    </row>
    <row r="1102">
      <c r="A1102" s="6" t="str">
        <f>IFERROR(__xludf.DUMMYFUNCTION("""COMPUTED_VALUE"""),"FM2186")</f>
        <v>FM2186</v>
      </c>
      <c r="B1102" s="6" t="str">
        <f>IFERROR(__xludf.DUMMYFUNCTION("""COMPUTED_VALUE"""),"RUN-COMB_2022-06-09_RFR-060")</f>
        <v>RUN-COMB_2022-06-09_RFR-060</v>
      </c>
      <c r="C1102" s="7">
        <f>VLOOKUP(B1102,'Run Reconcile'!A$2:B3090,2,FALSE)</f>
        <v>44721</v>
      </c>
      <c r="D1102" s="11">
        <f>IFERROR(__xludf.DUMMYFUNCTION("""COMPUTED_VALUE"""),44721.0)</f>
        <v>44721</v>
      </c>
      <c r="E1102" s="12">
        <f>IFERROR(__xludf.DUMMYFUNCTION("""COMPUTED_VALUE"""),0.2719444444446708)</f>
        <v>0.2719444444</v>
      </c>
      <c r="F1102" s="6" t="str">
        <f>IFERROR(__xludf.DUMMYFUNCTION("""COMPUTED_VALUE"""),"Negative")</f>
        <v>Negative</v>
      </c>
      <c r="G1102" s="6">
        <f>IFERROR(__xludf.DUMMYFUNCTION("""COMPUTED_VALUE"""),1.0)</f>
        <v>1</v>
      </c>
    </row>
    <row r="1103">
      <c r="A1103" s="6" t="str">
        <f>IFERROR(__xludf.DUMMYFUNCTION("""COMPUTED_VALUE"""),"FM2143")</f>
        <v>FM2143</v>
      </c>
      <c r="B1103" s="6" t="str">
        <f>IFERROR(__xludf.DUMMYFUNCTION("""COMPUTED_VALUE"""),"RUN-COMB_2022-06-09_RFR-060")</f>
        <v>RUN-COMB_2022-06-09_RFR-060</v>
      </c>
      <c r="C1103" s="7">
        <f>VLOOKUP(B1103,'Run Reconcile'!A$2:B3090,2,FALSE)</f>
        <v>44721</v>
      </c>
      <c r="D1103" s="11">
        <f>IFERROR(__xludf.DUMMYFUNCTION("""COMPUTED_VALUE"""),44721.0)</f>
        <v>44721</v>
      </c>
      <c r="E1103" s="12">
        <f>IFERROR(__xludf.DUMMYFUNCTION("""COMPUTED_VALUE"""),0.27232638888744987)</f>
        <v>0.2723263889</v>
      </c>
      <c r="F1103" s="6" t="str">
        <f>IFERROR(__xludf.DUMMYFUNCTION("""COMPUTED_VALUE"""),"Negative")</f>
        <v>Negative</v>
      </c>
      <c r="G1103" s="6">
        <f>IFERROR(__xludf.DUMMYFUNCTION("""COMPUTED_VALUE"""),1.0)</f>
        <v>1</v>
      </c>
    </row>
    <row r="1104">
      <c r="A1104" s="6" t="str">
        <f>IFERROR(__xludf.DUMMYFUNCTION("""COMPUTED_VALUE"""),"FM2102")</f>
        <v>FM2102</v>
      </c>
      <c r="B1104" s="6" t="str">
        <f>IFERROR(__xludf.DUMMYFUNCTION("""COMPUTED_VALUE"""),"RUN-COMB_2022-06-09_RFR-060")</f>
        <v>RUN-COMB_2022-06-09_RFR-060</v>
      </c>
      <c r="C1104" s="7">
        <f>VLOOKUP(B1104,'Run Reconcile'!A$2:B3090,2,FALSE)</f>
        <v>44721</v>
      </c>
      <c r="D1104" s="11">
        <f>IFERROR(__xludf.DUMMYFUNCTION("""COMPUTED_VALUE"""),44721.0)</f>
        <v>44721</v>
      </c>
      <c r="E1104" s="12">
        <f>IFERROR(__xludf.DUMMYFUNCTION("""COMPUTED_VALUE"""),0.27373842592714936)</f>
        <v>0.2737384259</v>
      </c>
      <c r="F1104" s="6" t="str">
        <f>IFERROR(__xludf.DUMMYFUNCTION("""COMPUTED_VALUE"""),"Negative")</f>
        <v>Negative</v>
      </c>
      <c r="G1104" s="6">
        <f>IFERROR(__xludf.DUMMYFUNCTION("""COMPUTED_VALUE"""),1.0)</f>
        <v>1</v>
      </c>
    </row>
    <row r="1105">
      <c r="A1105" s="6" t="str">
        <f>IFERROR(__xludf.DUMMYFUNCTION("""COMPUTED_VALUE"""),"FM2140")</f>
        <v>FM2140</v>
      </c>
      <c r="B1105" s="6" t="str">
        <f>IFERROR(__xludf.DUMMYFUNCTION("""COMPUTED_VALUE"""),"RUN-COMB_2022-06-09_RFR-060")</f>
        <v>RUN-COMB_2022-06-09_RFR-060</v>
      </c>
      <c r="C1105" s="7">
        <f>VLOOKUP(B1105,'Run Reconcile'!A$2:B3090,2,FALSE)</f>
        <v>44721</v>
      </c>
      <c r="D1105" s="11">
        <f>IFERROR(__xludf.DUMMYFUNCTION("""COMPUTED_VALUE"""),44721.0)</f>
        <v>44721</v>
      </c>
      <c r="E1105" s="12">
        <f>IFERROR(__xludf.DUMMYFUNCTION("""COMPUTED_VALUE"""),0.27428240740846377)</f>
        <v>0.2742824074</v>
      </c>
      <c r="F1105" s="6" t="str">
        <f>IFERROR(__xludf.DUMMYFUNCTION("""COMPUTED_VALUE"""),"Negative")</f>
        <v>Negative</v>
      </c>
      <c r="G1105" s="6">
        <f>IFERROR(__xludf.DUMMYFUNCTION("""COMPUTED_VALUE"""),1.0)</f>
        <v>1</v>
      </c>
    </row>
    <row r="1106">
      <c r="A1106" s="6" t="str">
        <f>IFERROR(__xludf.DUMMYFUNCTION("""COMPUTED_VALUE"""),"FM2124")</f>
        <v>FM2124</v>
      </c>
      <c r="B1106" s="6" t="str">
        <f>IFERROR(__xludf.DUMMYFUNCTION("""COMPUTED_VALUE"""),"RUN-COMB_2022-06-09_RFR-060")</f>
        <v>RUN-COMB_2022-06-09_RFR-060</v>
      </c>
      <c r="C1106" s="7">
        <f>VLOOKUP(B1106,'Run Reconcile'!A$2:B3090,2,FALSE)</f>
        <v>44721</v>
      </c>
      <c r="D1106" s="11">
        <f>IFERROR(__xludf.DUMMYFUNCTION("""COMPUTED_VALUE"""),44721.0)</f>
        <v>44721</v>
      </c>
      <c r="E1106" s="12">
        <f>IFERROR(__xludf.DUMMYFUNCTION("""COMPUTED_VALUE"""),0.2747222222205892)</f>
        <v>0.2747222222</v>
      </c>
      <c r="F1106" s="6" t="str">
        <f>IFERROR(__xludf.DUMMYFUNCTION("""COMPUTED_VALUE"""),"Negative")</f>
        <v>Negative</v>
      </c>
      <c r="G1106" s="6">
        <f>IFERROR(__xludf.DUMMYFUNCTION("""COMPUTED_VALUE"""),1.0)</f>
        <v>1</v>
      </c>
    </row>
    <row r="1107">
      <c r="A1107" s="6" t="str">
        <f>IFERROR(__xludf.DUMMYFUNCTION("""COMPUTED_VALUE"""),"FM2148")</f>
        <v>FM2148</v>
      </c>
      <c r="B1107" s="6" t="str">
        <f>IFERROR(__xludf.DUMMYFUNCTION("""COMPUTED_VALUE"""),"RUN-COMB_2022-06-09_RFR-060")</f>
        <v>RUN-COMB_2022-06-09_RFR-060</v>
      </c>
      <c r="C1107" s="7">
        <f>VLOOKUP(B1107,'Run Reconcile'!A$2:B3090,2,FALSE)</f>
        <v>44721</v>
      </c>
      <c r="D1107" s="11">
        <f>IFERROR(__xludf.DUMMYFUNCTION("""COMPUTED_VALUE"""),44721.0)</f>
        <v>44721</v>
      </c>
      <c r="E1107" s="12">
        <f>IFERROR(__xludf.DUMMYFUNCTION("""COMPUTED_VALUE"""),0.2876041666677338)</f>
        <v>0.2876041667</v>
      </c>
      <c r="F1107" s="6" t="str">
        <f>IFERROR(__xludf.DUMMYFUNCTION("""COMPUTED_VALUE"""),"Negative")</f>
        <v>Negative</v>
      </c>
      <c r="G1107" s="6">
        <f>IFERROR(__xludf.DUMMYFUNCTION("""COMPUTED_VALUE"""),1.0)</f>
        <v>1</v>
      </c>
    </row>
    <row r="1108">
      <c r="A1108" s="6" t="str">
        <f>IFERROR(__xludf.DUMMYFUNCTION("""COMPUTED_VALUE"""),"FM2127")</f>
        <v>FM2127</v>
      </c>
      <c r="B1108" s="6" t="str">
        <f>IFERROR(__xludf.DUMMYFUNCTION("""COMPUTED_VALUE"""),"RUN-COMB_2022-06-09_RFR-060")</f>
        <v>RUN-COMB_2022-06-09_RFR-060</v>
      </c>
      <c r="C1108" s="7">
        <f>VLOOKUP(B1108,'Run Reconcile'!A$2:B3090,2,FALSE)</f>
        <v>44721</v>
      </c>
      <c r="D1108" s="11">
        <f>IFERROR(__xludf.DUMMYFUNCTION("""COMPUTED_VALUE"""),44721.0)</f>
        <v>44721</v>
      </c>
      <c r="E1108" s="12">
        <f>IFERROR(__xludf.DUMMYFUNCTION("""COMPUTED_VALUE"""),0.2880092592604342)</f>
        <v>0.2880092593</v>
      </c>
      <c r="F1108" s="6" t="str">
        <f>IFERROR(__xludf.DUMMYFUNCTION("""COMPUTED_VALUE"""),"Negative")</f>
        <v>Negative</v>
      </c>
      <c r="G1108" s="6">
        <f>IFERROR(__xludf.DUMMYFUNCTION("""COMPUTED_VALUE"""),1.0)</f>
        <v>1</v>
      </c>
    </row>
    <row r="1109">
      <c r="A1109" s="6" t="str">
        <f>IFERROR(__xludf.DUMMYFUNCTION("""COMPUTED_VALUE"""),"FM2151")</f>
        <v>FM2151</v>
      </c>
      <c r="B1109" s="6" t="str">
        <f>IFERROR(__xludf.DUMMYFUNCTION("""COMPUTED_VALUE"""),"RUN-COMB_2022-06-09_RFR-060")</f>
        <v>RUN-COMB_2022-06-09_RFR-060</v>
      </c>
      <c r="C1109" s="7">
        <f>VLOOKUP(B1109,'Run Reconcile'!A$2:B3090,2,FALSE)</f>
        <v>44721</v>
      </c>
      <c r="D1109" s="11">
        <f>IFERROR(__xludf.DUMMYFUNCTION("""COMPUTED_VALUE"""),44721.0)</f>
        <v>44721</v>
      </c>
      <c r="E1109" s="12">
        <f>IFERROR(__xludf.DUMMYFUNCTION("""COMPUTED_VALUE"""),0.2884490740725596)</f>
        <v>0.2884490741</v>
      </c>
      <c r="F1109" s="6" t="str">
        <f>IFERROR(__xludf.DUMMYFUNCTION("""COMPUTED_VALUE"""),"Negative")</f>
        <v>Negative</v>
      </c>
      <c r="G1109" s="6">
        <f>IFERROR(__xludf.DUMMYFUNCTION("""COMPUTED_VALUE"""),1.0)</f>
        <v>1</v>
      </c>
    </row>
    <row r="1110">
      <c r="A1110" s="6" t="str">
        <f>IFERROR(__xludf.DUMMYFUNCTION("""COMPUTED_VALUE"""),"FM2134")</f>
        <v>FM2134</v>
      </c>
      <c r="B1110" s="6" t="str">
        <f>IFERROR(__xludf.DUMMYFUNCTION("""COMPUTED_VALUE"""),"RUN-COMB_2022-06-09_RFR-060")</f>
        <v>RUN-COMB_2022-06-09_RFR-060</v>
      </c>
      <c r="C1110" s="7">
        <f>VLOOKUP(B1110,'Run Reconcile'!A$2:B3090,2,FALSE)</f>
        <v>44721</v>
      </c>
      <c r="D1110" s="11">
        <f>IFERROR(__xludf.DUMMYFUNCTION("""COMPUTED_VALUE"""),44721.0)</f>
        <v>44721</v>
      </c>
      <c r="E1110" s="12">
        <f>IFERROR(__xludf.DUMMYFUNCTION("""COMPUTED_VALUE"""),0.28917824074233067)</f>
        <v>0.2891782407</v>
      </c>
      <c r="F1110" s="6" t="str">
        <f>IFERROR(__xludf.DUMMYFUNCTION("""COMPUTED_VALUE"""),"Negative")</f>
        <v>Negative</v>
      </c>
      <c r="G1110" s="6">
        <f>IFERROR(__xludf.DUMMYFUNCTION("""COMPUTED_VALUE"""),1.0)</f>
        <v>1</v>
      </c>
    </row>
    <row r="1111">
      <c r="A1111" s="6" t="str">
        <f>IFERROR(__xludf.DUMMYFUNCTION("""COMPUTED_VALUE"""),"FM2901")</f>
        <v>FM2901</v>
      </c>
      <c r="B1111" s="6" t="str">
        <f>IFERROR(__xludf.DUMMYFUNCTION("""COMPUTED_VALUE"""),"RUN-COMB_2022-06-09_RFR-060")</f>
        <v>RUN-COMB_2022-06-09_RFR-060</v>
      </c>
      <c r="C1111" s="7">
        <f>VLOOKUP(B1111,'Run Reconcile'!A$2:B3090,2,FALSE)</f>
        <v>44721</v>
      </c>
      <c r="D1111" s="11">
        <f>IFERROR(__xludf.DUMMYFUNCTION("""COMPUTED_VALUE"""),44721.0)</f>
        <v>44721</v>
      </c>
      <c r="E1111" s="12">
        <f>IFERROR(__xludf.DUMMYFUNCTION("""COMPUTED_VALUE"""),0.2895370370388264)</f>
        <v>0.289537037</v>
      </c>
      <c r="F1111" s="6" t="str">
        <f>IFERROR(__xludf.DUMMYFUNCTION("""COMPUTED_VALUE"""),"Negative")</f>
        <v>Negative</v>
      </c>
      <c r="G1111" s="6">
        <f>IFERROR(__xludf.DUMMYFUNCTION("""COMPUTED_VALUE"""),1.0)</f>
        <v>1</v>
      </c>
    </row>
    <row r="1112">
      <c r="A1112" s="6" t="str">
        <f>IFERROR(__xludf.DUMMYFUNCTION("""COMPUTED_VALUE"""),"FM2885")</f>
        <v>FM2885</v>
      </c>
      <c r="B1112" s="6" t="str">
        <f>IFERROR(__xludf.DUMMYFUNCTION("""COMPUTED_VALUE"""),"RUN-COMB_2022-06-09_RFR-060")</f>
        <v>RUN-COMB_2022-06-09_RFR-060</v>
      </c>
      <c r="C1112" s="7">
        <f>VLOOKUP(B1112,'Run Reconcile'!A$2:B3090,2,FALSE)</f>
        <v>44721</v>
      </c>
      <c r="D1112" s="11">
        <f>IFERROR(__xludf.DUMMYFUNCTION("""COMPUTED_VALUE"""),44721.0)</f>
        <v>44721</v>
      </c>
      <c r="E1112" s="12">
        <f>IFERROR(__xludf.DUMMYFUNCTION("""COMPUTED_VALUE"""),0.2901157407395658)</f>
        <v>0.2901157407</v>
      </c>
      <c r="F1112" s="6" t="str">
        <f>IFERROR(__xludf.DUMMYFUNCTION("""COMPUTED_VALUE"""),"Negative")</f>
        <v>Negative</v>
      </c>
      <c r="G1112" s="6">
        <f>IFERROR(__xludf.DUMMYFUNCTION("""COMPUTED_VALUE"""),1.0)</f>
        <v>1</v>
      </c>
    </row>
    <row r="1113">
      <c r="A1113" s="6" t="str">
        <f>IFERROR(__xludf.DUMMYFUNCTION("""COMPUTED_VALUE"""),"FM2169")</f>
        <v>FM2169</v>
      </c>
      <c r="B1113" s="6" t="str">
        <f>IFERROR(__xludf.DUMMYFUNCTION("""COMPUTED_VALUE"""),"RUN-COMB_2022-06-09_RFR-060")</f>
        <v>RUN-COMB_2022-06-09_RFR-060</v>
      </c>
      <c r="C1113" s="7">
        <f>VLOOKUP(B1113,'Run Reconcile'!A$2:B3090,2,FALSE)</f>
        <v>44721</v>
      </c>
      <c r="D1113" s="11">
        <f>IFERROR(__xludf.DUMMYFUNCTION("""COMPUTED_VALUE"""),44721.0)</f>
        <v>44721</v>
      </c>
      <c r="E1113" s="12">
        <f>IFERROR(__xludf.DUMMYFUNCTION("""COMPUTED_VALUE"""),0.2905439814821875)</f>
        <v>0.2905439815</v>
      </c>
      <c r="F1113" s="6" t="str">
        <f>IFERROR(__xludf.DUMMYFUNCTION("""COMPUTED_VALUE"""),"Negative")</f>
        <v>Negative</v>
      </c>
      <c r="G1113" s="6">
        <f>IFERROR(__xludf.DUMMYFUNCTION("""COMPUTED_VALUE"""),1.0)</f>
        <v>1</v>
      </c>
    </row>
    <row r="1114">
      <c r="A1114" s="6" t="str">
        <f>IFERROR(__xludf.DUMMYFUNCTION("""COMPUTED_VALUE"""),"FM2144")</f>
        <v>FM2144</v>
      </c>
      <c r="B1114" s="6" t="str">
        <f>IFERROR(__xludf.DUMMYFUNCTION("""COMPUTED_VALUE"""),"RUN-COMB_2022-06-09_RFR-060")</f>
        <v>RUN-COMB_2022-06-09_RFR-060</v>
      </c>
      <c r="C1114" s="7">
        <f>VLOOKUP(B1114,'Run Reconcile'!A$2:B3090,2,FALSE)</f>
        <v>44721</v>
      </c>
      <c r="D1114" s="11">
        <f>IFERROR(__xludf.DUMMYFUNCTION("""COMPUTED_VALUE"""),44721.0)</f>
        <v>44721</v>
      </c>
      <c r="E1114" s="12">
        <f>IFERROR(__xludf.DUMMYFUNCTION("""COMPUTED_VALUE"""),0.29104166666729725)</f>
        <v>0.2910416667</v>
      </c>
      <c r="F1114" s="6" t="str">
        <f>IFERROR(__xludf.DUMMYFUNCTION("""COMPUTED_VALUE"""),"Negative")</f>
        <v>Negative</v>
      </c>
      <c r="G1114" s="6">
        <f>IFERROR(__xludf.DUMMYFUNCTION("""COMPUTED_VALUE"""),1.0)</f>
        <v>1</v>
      </c>
    </row>
    <row r="1115">
      <c r="A1115" s="6" t="str">
        <f>IFERROR(__xludf.DUMMYFUNCTION("""COMPUTED_VALUE"""),"FM2158")</f>
        <v>FM2158</v>
      </c>
      <c r="B1115" s="6" t="str">
        <f>IFERROR(__xludf.DUMMYFUNCTION("""COMPUTED_VALUE"""),"RUN-COMB_2022-06-09_RFR-060")</f>
        <v>RUN-COMB_2022-06-09_RFR-060</v>
      </c>
      <c r="C1115" s="7">
        <f>VLOOKUP(B1115,'Run Reconcile'!A$2:B3090,2,FALSE)</f>
        <v>44721</v>
      </c>
      <c r="D1115" s="11">
        <f>IFERROR(__xludf.DUMMYFUNCTION("""COMPUTED_VALUE"""),44721.0)</f>
        <v>44721</v>
      </c>
      <c r="E1115" s="12">
        <f>IFERROR(__xludf.DUMMYFUNCTION("""COMPUTED_VALUE"""),0.2916666666678793)</f>
        <v>0.2916666667</v>
      </c>
      <c r="F1115" s="6" t="str">
        <f>IFERROR(__xludf.DUMMYFUNCTION("""COMPUTED_VALUE"""),"Negative")</f>
        <v>Negative</v>
      </c>
      <c r="G1115" s="6">
        <f>IFERROR(__xludf.DUMMYFUNCTION("""COMPUTED_VALUE"""),1.0)</f>
        <v>1</v>
      </c>
    </row>
    <row r="1116">
      <c r="A1116" s="6" t="str">
        <f>IFERROR(__xludf.DUMMYFUNCTION("""COMPUTED_VALUE"""),"FM2197")</f>
        <v>FM2197</v>
      </c>
      <c r="B1116" s="6" t="str">
        <f>IFERROR(__xludf.DUMMYFUNCTION("""COMPUTED_VALUE"""),"RUN-COMB_2022-06-09_RFR-060")</f>
        <v>RUN-COMB_2022-06-09_RFR-060</v>
      </c>
      <c r="C1116" s="7">
        <f>VLOOKUP(B1116,'Run Reconcile'!A$2:B3090,2,FALSE)</f>
        <v>44721</v>
      </c>
      <c r="D1116" s="11">
        <f>IFERROR(__xludf.DUMMYFUNCTION("""COMPUTED_VALUE"""),44721.0)</f>
        <v>44721</v>
      </c>
      <c r="E1116" s="12">
        <f>IFERROR(__xludf.DUMMYFUNCTION("""COMPUTED_VALUE"""),0.2922569444453984)</f>
        <v>0.2922569444</v>
      </c>
      <c r="F1116" s="6" t="str">
        <f>IFERROR(__xludf.DUMMYFUNCTION("""COMPUTED_VALUE"""),"Negative")</f>
        <v>Negative</v>
      </c>
      <c r="G1116" s="6">
        <f>IFERROR(__xludf.DUMMYFUNCTION("""COMPUTED_VALUE"""),1.0)</f>
        <v>1</v>
      </c>
    </row>
    <row r="1117">
      <c r="A1117" s="6" t="str">
        <f>IFERROR(__xludf.DUMMYFUNCTION("""COMPUTED_VALUE"""),"FM2209")</f>
        <v>FM2209</v>
      </c>
      <c r="B1117" s="6" t="str">
        <f>IFERROR(__xludf.DUMMYFUNCTION("""COMPUTED_VALUE"""),"RUN-COMB_2022-06-09_RFR-060")</f>
        <v>RUN-COMB_2022-06-09_RFR-060</v>
      </c>
      <c r="C1117" s="7">
        <f>VLOOKUP(B1117,'Run Reconcile'!A$2:B3090,2,FALSE)</f>
        <v>44721</v>
      </c>
      <c r="D1117" s="11">
        <f>IFERROR(__xludf.DUMMYFUNCTION("""COMPUTED_VALUE"""),44721.0)</f>
        <v>44721</v>
      </c>
      <c r="E1117" s="12">
        <f>IFERROR(__xludf.DUMMYFUNCTION("""COMPUTED_VALUE"""),0.29282407407299615)</f>
        <v>0.2928240741</v>
      </c>
      <c r="F1117" s="6" t="str">
        <f>IFERROR(__xludf.DUMMYFUNCTION("""COMPUTED_VALUE"""),"Negative")</f>
        <v>Negative</v>
      </c>
      <c r="G1117" s="6">
        <f>IFERROR(__xludf.DUMMYFUNCTION("""COMPUTED_VALUE"""),1.0)</f>
        <v>1</v>
      </c>
    </row>
    <row r="1118">
      <c r="A1118" s="6" t="str">
        <f>IFERROR(__xludf.DUMMYFUNCTION("""COMPUTED_VALUE"""),"FM2475")</f>
        <v>FM2475</v>
      </c>
      <c r="B1118" s="6" t="str">
        <f>IFERROR(__xludf.DUMMYFUNCTION("""COMPUTED_VALUE"""),"RUN-COMB_2022-06-27_RFR-061")</f>
        <v>RUN-COMB_2022-06-27_RFR-061</v>
      </c>
      <c r="C1118" s="7">
        <f>VLOOKUP(B1118,'Run Reconcile'!A$2:B3090,2,FALSE)</f>
        <v>44739</v>
      </c>
      <c r="D1118" s="11">
        <f>IFERROR(__xludf.DUMMYFUNCTION("""COMPUTED_VALUE"""),44739.0)</f>
        <v>44739</v>
      </c>
      <c r="E1118" s="12">
        <f>IFERROR(__xludf.DUMMYFUNCTION("""COMPUTED_VALUE"""),0.6795601851845277)</f>
        <v>0.6795601852</v>
      </c>
      <c r="F1118" s="6" t="str">
        <f>IFERROR(__xludf.DUMMYFUNCTION("""COMPUTED_VALUE"""),"Inconclusive")</f>
        <v>Inconclusive</v>
      </c>
      <c r="G1118" s="6">
        <f>IFERROR(__xludf.DUMMYFUNCTION("""COMPUTED_VALUE"""),1.0)</f>
        <v>1</v>
      </c>
    </row>
    <row r="1119">
      <c r="A1119" s="6" t="str">
        <f>IFERROR(__xludf.DUMMYFUNCTION("""COMPUTED_VALUE"""),"FM2135")</f>
        <v>FM2135</v>
      </c>
      <c r="B1119" s="6" t="str">
        <f>IFERROR(__xludf.DUMMYFUNCTION("""COMPUTED_VALUE"""),"RUN-COMB_2022-06-27_RFR-061")</f>
        <v>RUN-COMB_2022-06-27_RFR-061</v>
      </c>
      <c r="C1119" s="7">
        <f>VLOOKUP(B1119,'Run Reconcile'!A$2:B3090,2,FALSE)</f>
        <v>44739</v>
      </c>
      <c r="D1119" s="11">
        <f>IFERROR(__xludf.DUMMYFUNCTION("""COMPUTED_VALUE"""),44739.0)</f>
        <v>44739</v>
      </c>
      <c r="E1119" s="12">
        <f>IFERROR(__xludf.DUMMYFUNCTION("""COMPUTED_VALUE"""),0.6802662037043774)</f>
        <v>0.6802662037</v>
      </c>
      <c r="F1119" s="6" t="str">
        <f>IFERROR(__xludf.DUMMYFUNCTION("""COMPUTED_VALUE"""),"Negative")</f>
        <v>Negative</v>
      </c>
      <c r="G1119" s="6">
        <f>IFERROR(__xludf.DUMMYFUNCTION("""COMPUTED_VALUE"""),1.0)</f>
        <v>1</v>
      </c>
    </row>
    <row r="1120">
      <c r="A1120" s="6" t="str">
        <f>IFERROR(__xludf.DUMMYFUNCTION("""COMPUTED_VALUE"""),"FM2122")</f>
        <v>FM2122</v>
      </c>
      <c r="B1120" s="6" t="str">
        <f>IFERROR(__xludf.DUMMYFUNCTION("""COMPUTED_VALUE"""),"RUN-COMB_2022-06-27_RFR-061")</f>
        <v>RUN-COMB_2022-06-27_RFR-061</v>
      </c>
      <c r="C1120" s="7">
        <f>VLOOKUP(B1120,'Run Reconcile'!A$2:B3090,2,FALSE)</f>
        <v>44739</v>
      </c>
      <c r="D1120" s="11">
        <f>IFERROR(__xludf.DUMMYFUNCTION("""COMPUTED_VALUE"""),44739.0)</f>
        <v>44739</v>
      </c>
      <c r="E1120" s="12">
        <f>IFERROR(__xludf.DUMMYFUNCTION("""COMPUTED_VALUE"""),0.6813657407401479)</f>
        <v>0.6813657407</v>
      </c>
      <c r="F1120" s="6" t="str">
        <f>IFERROR(__xludf.DUMMYFUNCTION("""COMPUTED_VALUE"""),"Negative")</f>
        <v>Negative</v>
      </c>
      <c r="G1120" s="6">
        <f>IFERROR(__xludf.DUMMYFUNCTION("""COMPUTED_VALUE"""),1.0)</f>
        <v>1</v>
      </c>
    </row>
    <row r="1121">
      <c r="A1121" s="6" t="str">
        <f>IFERROR(__xludf.DUMMYFUNCTION("""COMPUTED_VALUE"""),"FM2198")</f>
        <v>FM2198</v>
      </c>
      <c r="B1121" s="6" t="str">
        <f>IFERROR(__xludf.DUMMYFUNCTION("""COMPUTED_VALUE"""),"RUN-COMB_2022-06-27_RFR-061")</f>
        <v>RUN-COMB_2022-06-27_RFR-061</v>
      </c>
      <c r="C1121" s="7">
        <f>VLOOKUP(B1121,'Run Reconcile'!A$2:B3090,2,FALSE)</f>
        <v>44739</v>
      </c>
      <c r="D1121" s="11">
        <f>IFERROR(__xludf.DUMMYFUNCTION("""COMPUTED_VALUE"""),44739.0)</f>
        <v>44739</v>
      </c>
      <c r="E1121" s="12">
        <f>IFERROR(__xludf.DUMMYFUNCTION("""COMPUTED_VALUE"""),0.6818634259252576)</f>
        <v>0.6818634259</v>
      </c>
      <c r="F1121" s="6" t="str">
        <f>IFERROR(__xludf.DUMMYFUNCTION("""COMPUTED_VALUE"""),"Positive")</f>
        <v>Positive</v>
      </c>
      <c r="G1121" s="6">
        <f>IFERROR(__xludf.DUMMYFUNCTION("""COMPUTED_VALUE"""),1.0)</f>
        <v>1</v>
      </c>
    </row>
    <row r="1122">
      <c r="A1122" s="6" t="str">
        <f>IFERROR(__xludf.DUMMYFUNCTION("""COMPUTED_VALUE"""),"FM2128")</f>
        <v>FM2128</v>
      </c>
      <c r="B1122" s="6" t="str">
        <f>IFERROR(__xludf.DUMMYFUNCTION("""COMPUTED_VALUE"""),"RUN-COMB_2022-06-27_RFR-061")</f>
        <v>RUN-COMB_2022-06-27_RFR-061</v>
      </c>
      <c r="C1122" s="7">
        <f>VLOOKUP(B1122,'Run Reconcile'!A$2:B3090,2,FALSE)</f>
        <v>44739</v>
      </c>
      <c r="D1122" s="11">
        <f>IFERROR(__xludf.DUMMYFUNCTION("""COMPUTED_VALUE"""),44739.0)</f>
        <v>44739</v>
      </c>
      <c r="E1122" s="12">
        <f>IFERROR(__xludf.DUMMYFUNCTION("""COMPUTED_VALUE"""),0.682476851852698)</f>
        <v>0.6824768519</v>
      </c>
      <c r="F1122" s="6" t="str">
        <f>IFERROR(__xludf.DUMMYFUNCTION("""COMPUTED_VALUE"""),"Positive")</f>
        <v>Positive</v>
      </c>
      <c r="G1122" s="6">
        <f>IFERROR(__xludf.DUMMYFUNCTION("""COMPUTED_VALUE"""),1.0)</f>
        <v>1</v>
      </c>
    </row>
    <row r="1123">
      <c r="A1123" s="6" t="str">
        <f>IFERROR(__xludf.DUMMYFUNCTION("""COMPUTED_VALUE"""),"FM2159")</f>
        <v>FM2159</v>
      </c>
      <c r="B1123" s="6" t="str">
        <f>IFERROR(__xludf.DUMMYFUNCTION("""COMPUTED_VALUE"""),"RUN-COMB_2022-06-27_RFR-061")</f>
        <v>RUN-COMB_2022-06-27_RFR-061</v>
      </c>
      <c r="C1123" s="7">
        <f>VLOOKUP(B1123,'Run Reconcile'!A$2:B3090,2,FALSE)</f>
        <v>44739</v>
      </c>
      <c r="D1123" s="11">
        <f>IFERROR(__xludf.DUMMYFUNCTION("""COMPUTED_VALUE"""),44739.0)</f>
        <v>44739</v>
      </c>
      <c r="E1123" s="12">
        <f>IFERROR(__xludf.DUMMYFUNCTION("""COMPUTED_VALUE"""),0.6867361111108039)</f>
        <v>0.6867361111</v>
      </c>
      <c r="F1123" s="6" t="str">
        <f>IFERROR(__xludf.DUMMYFUNCTION("""COMPUTED_VALUE"""),"Positive")</f>
        <v>Positive</v>
      </c>
      <c r="G1123" s="6">
        <f>IFERROR(__xludf.DUMMYFUNCTION("""COMPUTED_VALUE"""),1.0)</f>
        <v>1</v>
      </c>
    </row>
    <row r="1124">
      <c r="A1124" s="6" t="str">
        <f>IFERROR(__xludf.DUMMYFUNCTION("""COMPUTED_VALUE"""),"FM2116")</f>
        <v>FM2116</v>
      </c>
      <c r="B1124" s="6" t="str">
        <f>IFERROR(__xludf.DUMMYFUNCTION("""COMPUTED_VALUE"""),"RUN-COMB_2022-06-27_RFR-061")</f>
        <v>RUN-COMB_2022-06-27_RFR-061</v>
      </c>
      <c r="C1124" s="7">
        <f>VLOOKUP(B1124,'Run Reconcile'!A$2:B3090,2,FALSE)</f>
        <v>44739</v>
      </c>
      <c r="D1124" s="11">
        <f>IFERROR(__xludf.DUMMYFUNCTION("""COMPUTED_VALUE"""),44739.0)</f>
        <v>44739</v>
      </c>
      <c r="E1124" s="12">
        <f>IFERROR(__xludf.DUMMYFUNCTION("""COMPUTED_VALUE"""),0.687152777776646)</f>
        <v>0.6871527778</v>
      </c>
      <c r="F1124" s="6" t="str">
        <f>IFERROR(__xludf.DUMMYFUNCTION("""COMPUTED_VALUE"""),"Negative")</f>
        <v>Negative</v>
      </c>
      <c r="G1124" s="6">
        <f>IFERROR(__xludf.DUMMYFUNCTION("""COMPUTED_VALUE"""),1.0)</f>
        <v>1</v>
      </c>
    </row>
    <row r="1125">
      <c r="A1125" s="6" t="str">
        <f>IFERROR(__xludf.DUMMYFUNCTION("""COMPUTED_VALUE"""),"FM2175")</f>
        <v>FM2175</v>
      </c>
      <c r="B1125" s="6" t="str">
        <f>IFERROR(__xludf.DUMMYFUNCTION("""COMPUTED_VALUE"""),"RUN-COMB_2022-06-27_RFR-061")</f>
        <v>RUN-COMB_2022-06-27_RFR-061</v>
      </c>
      <c r="C1125" s="7">
        <f>VLOOKUP(B1125,'Run Reconcile'!A$2:B3090,2,FALSE)</f>
        <v>44739</v>
      </c>
      <c r="D1125" s="11">
        <f>IFERROR(__xludf.DUMMYFUNCTION("""COMPUTED_VALUE"""),44739.0)</f>
        <v>44739</v>
      </c>
      <c r="E1125" s="12">
        <f>IFERROR(__xludf.DUMMYFUNCTION("""COMPUTED_VALUE"""),0.6878356481465744)</f>
        <v>0.6878356481</v>
      </c>
      <c r="F1125" s="6" t="str">
        <f>IFERROR(__xludf.DUMMYFUNCTION("""COMPUTED_VALUE"""),"Negative")</f>
        <v>Negative</v>
      </c>
      <c r="G1125" s="6">
        <f>IFERROR(__xludf.DUMMYFUNCTION("""COMPUTED_VALUE"""),1.0)</f>
        <v>1</v>
      </c>
    </row>
    <row r="1126">
      <c r="A1126" s="6" t="str">
        <f>IFERROR(__xludf.DUMMYFUNCTION("""COMPUTED_VALUE"""),"FM2108")</f>
        <v>FM2108</v>
      </c>
      <c r="B1126" s="6" t="str">
        <f>IFERROR(__xludf.DUMMYFUNCTION("""COMPUTED_VALUE"""),"RUN-COMB_2022-06-27_RFR-061")</f>
        <v>RUN-COMB_2022-06-27_RFR-061</v>
      </c>
      <c r="C1126" s="7">
        <f>VLOOKUP(B1126,'Run Reconcile'!A$2:B3090,2,FALSE)</f>
        <v>44739</v>
      </c>
      <c r="D1126" s="11">
        <f>IFERROR(__xludf.DUMMYFUNCTION("""COMPUTED_VALUE"""),44739.0)</f>
        <v>44739</v>
      </c>
      <c r="E1126" s="12">
        <f>IFERROR(__xludf.DUMMYFUNCTION("""COMPUTED_VALUE"""),0.6978819444448163)</f>
        <v>0.6978819444</v>
      </c>
      <c r="F1126" s="6" t="str">
        <f>IFERROR(__xludf.DUMMYFUNCTION("""COMPUTED_VALUE"""),"Negative")</f>
        <v>Negative</v>
      </c>
      <c r="G1126" s="6">
        <f>IFERROR(__xludf.DUMMYFUNCTION("""COMPUTED_VALUE"""),1.0)</f>
        <v>1</v>
      </c>
    </row>
    <row r="1127">
      <c r="A1127" s="6" t="str">
        <f>IFERROR(__xludf.DUMMYFUNCTION("""COMPUTED_VALUE"""),"FM2465")</f>
        <v>FM2465</v>
      </c>
      <c r="B1127" s="6" t="str">
        <f>IFERROR(__xludf.DUMMYFUNCTION("""COMPUTED_VALUE"""),"RUN-COMB_2022-06-27_RFR-061")</f>
        <v>RUN-COMB_2022-06-27_RFR-061</v>
      </c>
      <c r="C1127" s="7">
        <f>VLOOKUP(B1127,'Run Reconcile'!A$2:B3090,2,FALSE)</f>
        <v>44739</v>
      </c>
      <c r="D1127" s="11">
        <f>IFERROR(__xludf.DUMMYFUNCTION("""COMPUTED_VALUE"""),44739.0)</f>
        <v>44739</v>
      </c>
      <c r="E1127" s="12">
        <f>IFERROR(__xludf.DUMMYFUNCTION("""COMPUTED_VALUE"""),0.6995949074080272)</f>
        <v>0.6995949074</v>
      </c>
      <c r="F1127" s="6" t="str">
        <f>IFERROR(__xludf.DUMMYFUNCTION("""COMPUTED_VALUE"""),"Negative")</f>
        <v>Negative</v>
      </c>
      <c r="G1127" s="6">
        <f>IFERROR(__xludf.DUMMYFUNCTION("""COMPUTED_VALUE"""),1.0)</f>
        <v>1</v>
      </c>
    </row>
    <row r="1128">
      <c r="A1128" s="6" t="str">
        <f>IFERROR(__xludf.DUMMYFUNCTION("""COMPUTED_VALUE"""),"FM2195")</f>
        <v>FM2195</v>
      </c>
      <c r="B1128" s="6" t="str">
        <f>IFERROR(__xludf.DUMMYFUNCTION("""COMPUTED_VALUE"""),"RUN-COMB_2022-06-27_RFR-061")</f>
        <v>RUN-COMB_2022-06-27_RFR-061</v>
      </c>
      <c r="C1128" s="7">
        <f>VLOOKUP(B1128,'Run Reconcile'!A$2:B3090,2,FALSE)</f>
        <v>44739</v>
      </c>
      <c r="D1128" s="11">
        <f>IFERROR(__xludf.DUMMYFUNCTION("""COMPUTED_VALUE"""),44739.0)</f>
        <v>44739</v>
      </c>
      <c r="E1128" s="12">
        <f>IFERROR(__xludf.DUMMYFUNCTION("""COMPUTED_VALUE"""),0.7035879629620467)</f>
        <v>0.703587963</v>
      </c>
      <c r="F1128" s="6" t="str">
        <f>IFERROR(__xludf.DUMMYFUNCTION("""COMPUTED_VALUE"""),"Negative")</f>
        <v>Negative</v>
      </c>
      <c r="G1128" s="6">
        <f>IFERROR(__xludf.DUMMYFUNCTION("""COMPUTED_VALUE"""),1.0)</f>
        <v>1</v>
      </c>
    </row>
    <row r="1129">
      <c r="A1129" s="6" t="str">
        <f>IFERROR(__xludf.DUMMYFUNCTION("""COMPUTED_VALUE"""),"FM2104")</f>
        <v>FM2104</v>
      </c>
      <c r="B1129" s="6" t="str">
        <f>IFERROR(__xludf.DUMMYFUNCTION("""COMPUTED_VALUE"""),"RUN-COMB_2022-06-27_RFR-061")</f>
        <v>RUN-COMB_2022-06-27_RFR-061</v>
      </c>
      <c r="C1129" s="7">
        <f>VLOOKUP(B1129,'Run Reconcile'!A$2:B3090,2,FALSE)</f>
        <v>44739</v>
      </c>
      <c r="D1129" s="11">
        <f>IFERROR(__xludf.DUMMYFUNCTION("""COMPUTED_VALUE"""),44739.0)</f>
        <v>44739</v>
      </c>
      <c r="E1129" s="12">
        <f>IFERROR(__xludf.DUMMYFUNCTION("""COMPUTED_VALUE"""),0.7044328703705105)</f>
        <v>0.7044328704</v>
      </c>
      <c r="F1129" s="6" t="str">
        <f>IFERROR(__xludf.DUMMYFUNCTION("""COMPUTED_VALUE"""),"Negative")</f>
        <v>Negative</v>
      </c>
      <c r="G1129" s="6">
        <f>IFERROR(__xludf.DUMMYFUNCTION("""COMPUTED_VALUE"""),1.0)</f>
        <v>1</v>
      </c>
    </row>
    <row r="1130">
      <c r="A1130" s="6" t="str">
        <f>IFERROR(__xludf.DUMMYFUNCTION("""COMPUTED_VALUE"""),"FM2515")</f>
        <v>FM2515</v>
      </c>
      <c r="B1130" s="6" t="str">
        <f>IFERROR(__xludf.DUMMYFUNCTION("""COMPUTED_VALUE"""),"RUN-COMB_2022-06-27_RFR-061")</f>
        <v>RUN-COMB_2022-06-27_RFR-061</v>
      </c>
      <c r="C1130" s="7">
        <f>VLOOKUP(B1130,'Run Reconcile'!A$2:B3090,2,FALSE)</f>
        <v>44739</v>
      </c>
      <c r="D1130" s="11">
        <f>IFERROR(__xludf.DUMMYFUNCTION("""COMPUTED_VALUE"""),44739.0)</f>
        <v>44739</v>
      </c>
      <c r="E1130" s="12">
        <f>IFERROR(__xludf.DUMMYFUNCTION("""COMPUTED_VALUE"""),0.7047337962976599)</f>
        <v>0.7047337963</v>
      </c>
      <c r="F1130" s="6" t="str">
        <f>IFERROR(__xludf.DUMMYFUNCTION("""COMPUTED_VALUE"""),"Negative")</f>
        <v>Negative</v>
      </c>
      <c r="G1130" s="6">
        <f>IFERROR(__xludf.DUMMYFUNCTION("""COMPUTED_VALUE"""),1.0)</f>
        <v>1</v>
      </c>
    </row>
    <row r="1131">
      <c r="A1131" s="6" t="str">
        <f>IFERROR(__xludf.DUMMYFUNCTION("""COMPUTED_VALUE"""),"FM2473")</f>
        <v>FM2473</v>
      </c>
      <c r="B1131" s="6" t="str">
        <f>IFERROR(__xludf.DUMMYFUNCTION("""COMPUTED_VALUE"""),"RUN-COMB_2022-06-27_RFR-061")</f>
        <v>RUN-COMB_2022-06-27_RFR-061</v>
      </c>
      <c r="C1131" s="7">
        <f>VLOOKUP(B1131,'Run Reconcile'!A$2:B3090,2,FALSE)</f>
        <v>44739</v>
      </c>
      <c r="D1131" s="11">
        <f>IFERROR(__xludf.DUMMYFUNCTION("""COMPUTED_VALUE"""),44739.0)</f>
        <v>44739</v>
      </c>
      <c r="E1131" s="12">
        <f>IFERROR(__xludf.DUMMYFUNCTION("""COMPUTED_VALUE"""),0.7050231481480296)</f>
        <v>0.7050231481</v>
      </c>
      <c r="F1131" s="6" t="str">
        <f>IFERROR(__xludf.DUMMYFUNCTION("""COMPUTED_VALUE"""),"Negative")</f>
        <v>Negative</v>
      </c>
      <c r="G1131" s="6">
        <f>IFERROR(__xludf.DUMMYFUNCTION("""COMPUTED_VALUE"""),1.0)</f>
        <v>1</v>
      </c>
    </row>
    <row r="1132">
      <c r="A1132" s="6" t="str">
        <f>IFERROR(__xludf.DUMMYFUNCTION("""COMPUTED_VALUE"""),"FM2105")</f>
        <v>FM2105</v>
      </c>
      <c r="B1132" s="6" t="str">
        <f>IFERROR(__xludf.DUMMYFUNCTION("""COMPUTED_VALUE"""),"RUN-COMB_2022-06-27_RFR-061")</f>
        <v>RUN-COMB_2022-06-27_RFR-061</v>
      </c>
      <c r="C1132" s="7">
        <f>VLOOKUP(B1132,'Run Reconcile'!A$2:B3090,2,FALSE)</f>
        <v>44739</v>
      </c>
      <c r="D1132" s="11">
        <f>IFERROR(__xludf.DUMMYFUNCTION("""COMPUTED_VALUE"""),44739.0)</f>
        <v>44739</v>
      </c>
      <c r="E1132" s="12">
        <f>IFERROR(__xludf.DUMMYFUNCTION("""COMPUTED_VALUE"""),0.7053703703713836)</f>
        <v>0.7053703704</v>
      </c>
      <c r="F1132" s="6" t="str">
        <f>IFERROR(__xludf.DUMMYFUNCTION("""COMPUTED_VALUE"""),"Negative")</f>
        <v>Negative</v>
      </c>
      <c r="G1132" s="6">
        <f>IFERROR(__xludf.DUMMYFUNCTION("""COMPUTED_VALUE"""),1.0)</f>
        <v>1</v>
      </c>
    </row>
    <row r="1133">
      <c r="A1133" s="6" t="str">
        <f>IFERROR(__xludf.DUMMYFUNCTION("""COMPUTED_VALUE"""),"FM2162")</f>
        <v>FM2162</v>
      </c>
      <c r="B1133" s="6" t="str">
        <f>IFERROR(__xludf.DUMMYFUNCTION("""COMPUTED_VALUE"""),"RUN-COMB_2022-06-27_RFR-061")</f>
        <v>RUN-COMB_2022-06-27_RFR-061</v>
      </c>
      <c r="C1133" s="7">
        <f>VLOOKUP(B1133,'Run Reconcile'!A$2:B3090,2,FALSE)</f>
        <v>44739</v>
      </c>
      <c r="D1133" s="11">
        <f>IFERROR(__xludf.DUMMYFUNCTION("""COMPUTED_VALUE"""),44739.0)</f>
        <v>44739</v>
      </c>
      <c r="E1133" s="12">
        <f>IFERROR(__xludf.DUMMYFUNCTION("""COMPUTED_VALUE"""),0.705810185183509)</f>
        <v>0.7058101852</v>
      </c>
      <c r="F1133" s="6" t="str">
        <f>IFERROR(__xludf.DUMMYFUNCTION("""COMPUTED_VALUE"""),"Negative")</f>
        <v>Negative</v>
      </c>
      <c r="G1133" s="6">
        <f>IFERROR(__xludf.DUMMYFUNCTION("""COMPUTED_VALUE"""),1.0)</f>
        <v>1</v>
      </c>
    </row>
    <row r="1134">
      <c r="A1134" s="6" t="str">
        <f>IFERROR(__xludf.DUMMYFUNCTION("""COMPUTED_VALUE"""),"FM2213")</f>
        <v>FM2213</v>
      </c>
      <c r="B1134" s="6" t="str">
        <f>IFERROR(__xludf.DUMMYFUNCTION("""COMPUTED_VALUE"""),"RUN-COMB_2022-06-27_RFR-061")</f>
        <v>RUN-COMB_2022-06-27_RFR-061</v>
      </c>
      <c r="C1134" s="7">
        <f>VLOOKUP(B1134,'Run Reconcile'!A$2:B3090,2,FALSE)</f>
        <v>44739</v>
      </c>
      <c r="D1134" s="11">
        <f>IFERROR(__xludf.DUMMYFUNCTION("""COMPUTED_VALUE"""),44739.0)</f>
        <v>44739</v>
      </c>
      <c r="E1134" s="12">
        <f>IFERROR(__xludf.DUMMYFUNCTION("""COMPUTED_VALUE"""),0.7061689814800047)</f>
        <v>0.7061689815</v>
      </c>
      <c r="F1134" s="6" t="str">
        <f>IFERROR(__xludf.DUMMYFUNCTION("""COMPUTED_VALUE"""),"Negative")</f>
        <v>Negative</v>
      </c>
      <c r="G1134" s="6">
        <f>IFERROR(__xludf.DUMMYFUNCTION("""COMPUTED_VALUE"""),1.0)</f>
        <v>1</v>
      </c>
    </row>
    <row r="1135">
      <c r="A1135" s="6" t="str">
        <f>IFERROR(__xludf.DUMMYFUNCTION("""COMPUTED_VALUE"""),"FM2201")</f>
        <v>FM2201</v>
      </c>
      <c r="B1135" s="6" t="str">
        <f>IFERROR(__xludf.DUMMYFUNCTION("""COMPUTED_VALUE"""),"RUN-COMB_2022-06-27_RFR-061")</f>
        <v>RUN-COMB_2022-06-27_RFR-061</v>
      </c>
      <c r="C1135" s="7">
        <f>VLOOKUP(B1135,'Run Reconcile'!A$2:B3090,2,FALSE)</f>
        <v>44739</v>
      </c>
      <c r="D1135" s="11">
        <f>IFERROR(__xludf.DUMMYFUNCTION("""COMPUTED_VALUE"""),44739.0)</f>
        <v>44739</v>
      </c>
      <c r="E1135" s="12">
        <f>IFERROR(__xludf.DUMMYFUNCTION("""COMPUTED_VALUE"""),0.7065046296302171)</f>
        <v>0.7065046296</v>
      </c>
      <c r="F1135" s="6" t="str">
        <f>IFERROR(__xludf.DUMMYFUNCTION("""COMPUTED_VALUE"""),"Negative")</f>
        <v>Negative</v>
      </c>
      <c r="G1135" s="6">
        <f>IFERROR(__xludf.DUMMYFUNCTION("""COMPUTED_VALUE"""),1.0)</f>
        <v>1</v>
      </c>
    </row>
    <row r="1136">
      <c r="A1136" s="6" t="str">
        <f>IFERROR(__xludf.DUMMYFUNCTION("""COMPUTED_VALUE"""),"FM2462")</f>
        <v>FM2462</v>
      </c>
      <c r="B1136" s="6" t="str">
        <f>IFERROR(__xludf.DUMMYFUNCTION("""COMPUTED_VALUE"""),"RUN-COMB_2022-06-27_RFR-061")</f>
        <v>RUN-COMB_2022-06-27_RFR-061</v>
      </c>
      <c r="C1136" s="7">
        <f>VLOOKUP(B1136,'Run Reconcile'!A$2:B3090,2,FALSE)</f>
        <v>44739</v>
      </c>
      <c r="D1136" s="11">
        <f>IFERROR(__xludf.DUMMYFUNCTION("""COMPUTED_VALUE"""),44739.0)</f>
        <v>44739</v>
      </c>
      <c r="E1136" s="12">
        <f>IFERROR(__xludf.DUMMYFUNCTION("""COMPUTED_VALUE"""),0.7075694444429246)</f>
        <v>0.7075694444</v>
      </c>
      <c r="F1136" s="6" t="str">
        <f>IFERROR(__xludf.DUMMYFUNCTION("""COMPUTED_VALUE"""),"Negative")</f>
        <v>Negative</v>
      </c>
      <c r="G1136" s="6">
        <f>IFERROR(__xludf.DUMMYFUNCTION("""COMPUTED_VALUE"""),1.0)</f>
        <v>1</v>
      </c>
    </row>
    <row r="1137">
      <c r="A1137" s="6" t="str">
        <f>IFERROR(__xludf.DUMMYFUNCTION("""COMPUTED_VALUE"""),"FM2426")</f>
        <v>FM2426</v>
      </c>
      <c r="B1137" s="6" t="str">
        <f>IFERROR(__xludf.DUMMYFUNCTION("""COMPUTED_VALUE"""),"RUN-COMB_2022-06-27_RFR-061")</f>
        <v>RUN-COMB_2022-06-27_RFR-061</v>
      </c>
      <c r="C1137" s="7">
        <f>VLOOKUP(B1137,'Run Reconcile'!A$2:B3090,2,FALSE)</f>
        <v>44739</v>
      </c>
      <c r="D1137" s="11">
        <f>IFERROR(__xludf.DUMMYFUNCTION("""COMPUTED_VALUE"""),44739.0)</f>
        <v>44739</v>
      </c>
      <c r="E1137" s="12">
        <f>IFERROR(__xludf.DUMMYFUNCTION("""COMPUTED_VALUE"""),0.7082291666665697)</f>
        <v>0.7082291667</v>
      </c>
      <c r="F1137" s="6" t="str">
        <f>IFERROR(__xludf.DUMMYFUNCTION("""COMPUTED_VALUE"""),"Negative")</f>
        <v>Negative</v>
      </c>
      <c r="G1137" s="6">
        <f>IFERROR(__xludf.DUMMYFUNCTION("""COMPUTED_VALUE"""),1.0)</f>
        <v>1</v>
      </c>
    </row>
    <row r="1138">
      <c r="A1138" s="6" t="str">
        <f>IFERROR(__xludf.DUMMYFUNCTION("""COMPUTED_VALUE"""),"FM2152")</f>
        <v>FM2152</v>
      </c>
      <c r="B1138" s="6" t="str">
        <f>IFERROR(__xludf.DUMMYFUNCTION("""COMPUTED_VALUE"""),"RUN-COMB_2022-06-27_RFR-061")</f>
        <v>RUN-COMB_2022-06-27_RFR-061</v>
      </c>
      <c r="C1138" s="7">
        <f>VLOOKUP(B1138,'Run Reconcile'!A$2:B3090,2,FALSE)</f>
        <v>44739</v>
      </c>
      <c r="D1138" s="11">
        <f>IFERROR(__xludf.DUMMYFUNCTION("""COMPUTED_VALUE"""),44739.0)</f>
        <v>44739</v>
      </c>
      <c r="E1138" s="12">
        <f>IFERROR(__xludf.DUMMYFUNCTION("""COMPUTED_VALUE"""),0.7093402777791198)</f>
        <v>0.7093402778</v>
      </c>
      <c r="F1138" s="6" t="str">
        <f>IFERROR(__xludf.DUMMYFUNCTION("""COMPUTED_VALUE"""),"Negative")</f>
        <v>Negative</v>
      </c>
      <c r="G1138" s="6">
        <f>IFERROR(__xludf.DUMMYFUNCTION("""COMPUTED_VALUE"""),1.0)</f>
        <v>1</v>
      </c>
    </row>
    <row r="1139">
      <c r="A1139" s="6" t="str">
        <f>IFERROR(__xludf.DUMMYFUNCTION("""COMPUTED_VALUE"""),"FM2160")</f>
        <v>FM2160</v>
      </c>
      <c r="B1139" s="6" t="str">
        <f>IFERROR(__xludf.DUMMYFUNCTION("""COMPUTED_VALUE"""),"RUN-COMB_2022-06-27_RFR-061")</f>
        <v>RUN-COMB_2022-06-27_RFR-061</v>
      </c>
      <c r="C1139" s="7">
        <f>VLOOKUP(B1139,'Run Reconcile'!A$2:B3090,2,FALSE)</f>
        <v>44739</v>
      </c>
      <c r="D1139" s="11">
        <f>IFERROR(__xludf.DUMMYFUNCTION("""COMPUTED_VALUE"""),44739.0)</f>
        <v>44739</v>
      </c>
      <c r="E1139" s="12">
        <f>IFERROR(__xludf.DUMMYFUNCTION("""COMPUTED_VALUE"""),0.7112268518503697)</f>
        <v>0.7112268519</v>
      </c>
      <c r="F1139" s="6" t="str">
        <f>IFERROR(__xludf.DUMMYFUNCTION("""COMPUTED_VALUE"""),"Negative")</f>
        <v>Negative</v>
      </c>
      <c r="G1139" s="6">
        <f>IFERROR(__xludf.DUMMYFUNCTION("""COMPUTED_VALUE"""),1.0)</f>
        <v>1</v>
      </c>
    </row>
    <row r="1140">
      <c r="A1140" s="6" t="str">
        <f>IFERROR(__xludf.DUMMYFUNCTION("""COMPUTED_VALUE"""),"FM2430")</f>
        <v>FM2430</v>
      </c>
      <c r="B1140" s="6" t="str">
        <f>IFERROR(__xludf.DUMMYFUNCTION("""COMPUTED_VALUE"""),"RUN-COMB_2022-06-27_RFR-061")</f>
        <v>RUN-COMB_2022-06-27_RFR-061</v>
      </c>
      <c r="C1140" s="7">
        <f>VLOOKUP(B1140,'Run Reconcile'!A$2:B3090,2,FALSE)</f>
        <v>44739</v>
      </c>
      <c r="D1140" s="11">
        <f>IFERROR(__xludf.DUMMYFUNCTION("""COMPUTED_VALUE"""),44739.0)</f>
        <v>44739</v>
      </c>
      <c r="E1140" s="12">
        <f>IFERROR(__xludf.DUMMYFUNCTION("""COMPUTED_VALUE"""),0.7313773148161999)</f>
        <v>0.7313773148</v>
      </c>
      <c r="F1140" s="6" t="str">
        <f>IFERROR(__xludf.DUMMYFUNCTION("""COMPUTED_VALUE"""),"Negative")</f>
        <v>Negative</v>
      </c>
      <c r="G1140" s="6">
        <f>IFERROR(__xludf.DUMMYFUNCTION("""COMPUTED_VALUE"""),1.0)</f>
        <v>1</v>
      </c>
    </row>
    <row r="1141">
      <c r="A1141" s="6" t="str">
        <f>IFERROR(__xludf.DUMMYFUNCTION("""COMPUTED_VALUE"""),"FM2182")</f>
        <v>FM2182</v>
      </c>
      <c r="B1141" s="6" t="str">
        <f>IFERROR(__xludf.DUMMYFUNCTION("""COMPUTED_VALUE"""),"RUN-COMB_2022-06-27_RFR-061")</f>
        <v>RUN-COMB_2022-06-27_RFR-061</v>
      </c>
      <c r="C1141" s="7">
        <f>VLOOKUP(B1141,'Run Reconcile'!A$2:B3090,2,FALSE)</f>
        <v>44739</v>
      </c>
      <c r="D1141" s="11">
        <f>IFERROR(__xludf.DUMMYFUNCTION("""COMPUTED_VALUE"""),44739.0)</f>
        <v>44739</v>
      </c>
      <c r="E1141" s="12">
        <f>IFERROR(__xludf.DUMMYFUNCTION("""COMPUTED_VALUE"""),0.7317361111126957)</f>
        <v>0.7317361111</v>
      </c>
      <c r="F1141" s="6" t="str">
        <f>IFERROR(__xludf.DUMMYFUNCTION("""COMPUTED_VALUE"""),"Negative")</f>
        <v>Negative</v>
      </c>
      <c r="G1141" s="6">
        <f>IFERROR(__xludf.DUMMYFUNCTION("""COMPUTED_VALUE"""),1.0)</f>
        <v>1</v>
      </c>
    </row>
    <row r="1142">
      <c r="A1142" s="6" t="str">
        <f>IFERROR(__xludf.DUMMYFUNCTION("""COMPUTED_VALUE"""),"FM2514")</f>
        <v>FM2514</v>
      </c>
      <c r="B1142" s="6" t="str">
        <f>IFERROR(__xludf.DUMMYFUNCTION("""COMPUTED_VALUE"""),"RUN-COMB_2022-06-28_RFR-063")</f>
        <v>RUN-COMB_2022-06-28_RFR-063</v>
      </c>
      <c r="C1142" s="7">
        <f>VLOOKUP(B1142,'Run Reconcile'!A$2:B3090,2,FALSE)</f>
        <v>44740</v>
      </c>
      <c r="D1142" s="11">
        <f>IFERROR(__xludf.DUMMYFUNCTION("""COMPUTED_VALUE"""),44740.0)</f>
        <v>44740</v>
      </c>
      <c r="E1142" s="12">
        <f>IFERROR(__xludf.DUMMYFUNCTION("""COMPUTED_VALUE"""),0.2754976851865649)</f>
        <v>0.2754976852</v>
      </c>
      <c r="F1142" s="6" t="str">
        <f>IFERROR(__xludf.DUMMYFUNCTION("""COMPUTED_VALUE"""),"Negative")</f>
        <v>Negative</v>
      </c>
      <c r="G1142" s="6">
        <f>IFERROR(__xludf.DUMMYFUNCTION("""COMPUTED_VALUE"""),1.0)</f>
        <v>1</v>
      </c>
    </row>
    <row r="1143">
      <c r="A1143" s="6" t="str">
        <f>IFERROR(__xludf.DUMMYFUNCTION("""COMPUTED_VALUE"""),"FM2449")</f>
        <v>FM2449</v>
      </c>
      <c r="B1143" s="6" t="str">
        <f>IFERROR(__xludf.DUMMYFUNCTION("""COMPUTED_VALUE"""),"RUN-COMB_2022-06-28_RFR-063")</f>
        <v>RUN-COMB_2022-06-28_RFR-063</v>
      </c>
      <c r="C1143" s="7">
        <f>VLOOKUP(B1143,'Run Reconcile'!A$2:B3090,2,FALSE)</f>
        <v>44740</v>
      </c>
      <c r="D1143" s="11">
        <f>IFERROR(__xludf.DUMMYFUNCTION("""COMPUTED_VALUE"""),44740.0)</f>
        <v>44740</v>
      </c>
      <c r="E1143" s="12">
        <f>IFERROR(__xludf.DUMMYFUNCTION("""COMPUTED_VALUE"""),0.27582175925999763)</f>
        <v>0.2758217593</v>
      </c>
      <c r="F1143" s="6" t="str">
        <f>IFERROR(__xludf.DUMMYFUNCTION("""COMPUTED_VALUE"""),"Negative")</f>
        <v>Negative</v>
      </c>
      <c r="G1143" s="6">
        <f>IFERROR(__xludf.DUMMYFUNCTION("""COMPUTED_VALUE"""),1.0)</f>
        <v>1</v>
      </c>
    </row>
    <row r="1144">
      <c r="A1144" s="6" t="str">
        <f>IFERROR(__xludf.DUMMYFUNCTION("""COMPUTED_VALUE"""),"FM2461")</f>
        <v>FM2461</v>
      </c>
      <c r="B1144" s="6" t="str">
        <f>IFERROR(__xludf.DUMMYFUNCTION("""COMPUTED_VALUE"""),"RUN-COMB_2022-06-28_RFR-063")</f>
        <v>RUN-COMB_2022-06-28_RFR-063</v>
      </c>
      <c r="C1144" s="7">
        <f>VLOOKUP(B1144,'Run Reconcile'!A$2:B3090,2,FALSE)</f>
        <v>44740</v>
      </c>
      <c r="D1144" s="11">
        <f>IFERROR(__xludf.DUMMYFUNCTION("""COMPUTED_VALUE"""),44740.0)</f>
        <v>44740</v>
      </c>
      <c r="E1144" s="12">
        <f>IFERROR(__xludf.DUMMYFUNCTION("""COMPUTED_VALUE"""),0.27614583333343035)</f>
        <v>0.2761458333</v>
      </c>
      <c r="F1144" s="6" t="str">
        <f>IFERROR(__xludf.DUMMYFUNCTION("""COMPUTED_VALUE"""),"Negative")</f>
        <v>Negative</v>
      </c>
      <c r="G1144" s="6">
        <f>IFERROR(__xludf.DUMMYFUNCTION("""COMPUTED_VALUE"""),1.0)</f>
        <v>1</v>
      </c>
    </row>
    <row r="1145">
      <c r="A1145" s="6" t="str">
        <f>IFERROR(__xludf.DUMMYFUNCTION("""COMPUTED_VALUE"""),"FM2501")</f>
        <v>FM2501</v>
      </c>
      <c r="B1145" s="6" t="str">
        <f>IFERROR(__xludf.DUMMYFUNCTION("""COMPUTED_VALUE"""),"RUN-COMB_2022-06-28_RFR-063")</f>
        <v>RUN-COMB_2022-06-28_RFR-063</v>
      </c>
      <c r="C1145" s="7">
        <f>VLOOKUP(B1145,'Run Reconcile'!A$2:B3090,2,FALSE)</f>
        <v>44740</v>
      </c>
      <c r="D1145" s="11">
        <f>IFERROR(__xludf.DUMMYFUNCTION("""COMPUTED_VALUE"""),44740.0)</f>
        <v>44740</v>
      </c>
      <c r="E1145" s="12">
        <f>IFERROR(__xludf.DUMMYFUNCTION("""COMPUTED_VALUE"""),0.27651620370306773)</f>
        <v>0.2765162037</v>
      </c>
      <c r="F1145" s="6" t="str">
        <f>IFERROR(__xludf.DUMMYFUNCTION("""COMPUTED_VALUE"""),"Negative")</f>
        <v>Negative</v>
      </c>
      <c r="G1145" s="6">
        <f>IFERROR(__xludf.DUMMYFUNCTION("""COMPUTED_VALUE"""),1.0)</f>
        <v>1</v>
      </c>
    </row>
    <row r="1146">
      <c r="A1146" s="6" t="str">
        <f>IFERROR(__xludf.DUMMYFUNCTION("""COMPUTED_VALUE"""),"FM2511")</f>
        <v>FM2511</v>
      </c>
      <c r="B1146" s="6" t="str">
        <f>IFERROR(__xludf.DUMMYFUNCTION("""COMPUTED_VALUE"""),"RUN-COMB_2022-06-28_RFR-063")</f>
        <v>RUN-COMB_2022-06-28_RFR-063</v>
      </c>
      <c r="C1146" s="7">
        <f>VLOOKUP(B1146,'Run Reconcile'!A$2:B3090,2,FALSE)</f>
        <v>44740</v>
      </c>
      <c r="D1146" s="11">
        <f>IFERROR(__xludf.DUMMYFUNCTION("""COMPUTED_VALUE"""),44740.0)</f>
        <v>44740</v>
      </c>
      <c r="E1146" s="12">
        <f>IFERROR(__xludf.DUMMYFUNCTION("""COMPUTED_VALUE"""),0.2768518518532801)</f>
        <v>0.2768518519</v>
      </c>
      <c r="F1146" s="6" t="str">
        <f>IFERROR(__xludf.DUMMYFUNCTION("""COMPUTED_VALUE"""),"Negative")</f>
        <v>Negative</v>
      </c>
      <c r="G1146" s="6">
        <f>IFERROR(__xludf.DUMMYFUNCTION("""COMPUTED_VALUE"""),1.0)</f>
        <v>1</v>
      </c>
    </row>
    <row r="1147">
      <c r="A1147" s="6" t="str">
        <f>IFERROR(__xludf.DUMMYFUNCTION("""COMPUTED_VALUE"""),"FM2472")</f>
        <v>FM2472</v>
      </c>
      <c r="B1147" s="6" t="str">
        <f>IFERROR(__xludf.DUMMYFUNCTION("""COMPUTED_VALUE"""),"RUN-COMB_2022-06-28_RFR-063")</f>
        <v>RUN-COMB_2022-06-28_RFR-063</v>
      </c>
      <c r="C1147" s="7">
        <f>VLOOKUP(B1147,'Run Reconcile'!A$2:B3090,2,FALSE)</f>
        <v>44740</v>
      </c>
      <c r="D1147" s="11">
        <f>IFERROR(__xludf.DUMMYFUNCTION("""COMPUTED_VALUE"""),44740.0)</f>
        <v>44740</v>
      </c>
      <c r="E1147" s="12">
        <f>IFERROR(__xludf.DUMMYFUNCTION("""COMPUTED_VALUE"""),0.27748842592700385)</f>
        <v>0.2774884259</v>
      </c>
      <c r="F1147" s="6" t="str">
        <f>IFERROR(__xludf.DUMMYFUNCTION("""COMPUTED_VALUE"""),"Inconclusive")</f>
        <v>Inconclusive</v>
      </c>
      <c r="G1147" s="6">
        <f>IFERROR(__xludf.DUMMYFUNCTION("""COMPUTED_VALUE"""),1.0)</f>
        <v>1</v>
      </c>
    </row>
    <row r="1148">
      <c r="A1148" s="6" t="str">
        <f>IFERROR(__xludf.DUMMYFUNCTION("""COMPUTED_VALUE"""),"FM2508")</f>
        <v>FM2508</v>
      </c>
      <c r="B1148" s="6" t="str">
        <f>IFERROR(__xludf.DUMMYFUNCTION("""COMPUTED_VALUE"""),"RUN-COMB_2022-06-28_RFR-063")</f>
        <v>RUN-COMB_2022-06-28_RFR-063</v>
      </c>
      <c r="C1148" s="7">
        <f>VLOOKUP(B1148,'Run Reconcile'!A$2:B3090,2,FALSE)</f>
        <v>44740</v>
      </c>
      <c r="D1148" s="11">
        <f>IFERROR(__xludf.DUMMYFUNCTION("""COMPUTED_VALUE"""),44740.0)</f>
        <v>44740</v>
      </c>
      <c r="E1148" s="12">
        <f>IFERROR(__xludf.DUMMYFUNCTION("""COMPUTED_VALUE"""),0.27782407407357823)</f>
        <v>0.2778240741</v>
      </c>
      <c r="F1148" s="6" t="str">
        <f>IFERROR(__xludf.DUMMYFUNCTION("""COMPUTED_VALUE"""),"Negative")</f>
        <v>Negative</v>
      </c>
      <c r="G1148" s="6">
        <f>IFERROR(__xludf.DUMMYFUNCTION("""COMPUTED_VALUE"""),1.0)</f>
        <v>1</v>
      </c>
    </row>
    <row r="1149">
      <c r="A1149" s="6" t="str">
        <f>IFERROR(__xludf.DUMMYFUNCTION("""COMPUTED_VALUE"""),"FM2459")</f>
        <v>FM2459</v>
      </c>
      <c r="B1149" s="6" t="str">
        <f>IFERROR(__xludf.DUMMYFUNCTION("""COMPUTED_VALUE"""),"RUN-COMB_2022-06-28_RFR-063")</f>
        <v>RUN-COMB_2022-06-28_RFR-063</v>
      </c>
      <c r="C1149" s="7">
        <f>VLOOKUP(B1149,'Run Reconcile'!A$2:B3090,2,FALSE)</f>
        <v>44740</v>
      </c>
      <c r="D1149" s="11">
        <f>IFERROR(__xludf.DUMMYFUNCTION("""COMPUTED_VALUE"""),44740.0)</f>
        <v>44740</v>
      </c>
      <c r="E1149" s="12">
        <f>IFERROR(__xludf.DUMMYFUNCTION("""COMPUTED_VALUE"""),0.27817129629693227)</f>
        <v>0.2781712963</v>
      </c>
      <c r="F1149" s="6" t="str">
        <f>IFERROR(__xludf.DUMMYFUNCTION("""COMPUTED_VALUE"""),"Negative")</f>
        <v>Negative</v>
      </c>
      <c r="G1149" s="6">
        <f>IFERROR(__xludf.DUMMYFUNCTION("""COMPUTED_VALUE"""),1.0)</f>
        <v>1</v>
      </c>
    </row>
    <row r="1150">
      <c r="A1150" s="6" t="str">
        <f>IFERROR(__xludf.DUMMYFUNCTION("""COMPUTED_VALUE"""),"FM2481")</f>
        <v>FM2481</v>
      </c>
      <c r="B1150" s="6" t="str">
        <f>IFERROR(__xludf.DUMMYFUNCTION("""COMPUTED_VALUE"""),"RUN-COMB_2022-06-28_RFR-063")</f>
        <v>RUN-COMB_2022-06-28_RFR-063</v>
      </c>
      <c r="C1150" s="7">
        <f>VLOOKUP(B1150,'Run Reconcile'!A$2:B3090,2,FALSE)</f>
        <v>44740</v>
      </c>
      <c r="D1150" s="11">
        <f>IFERROR(__xludf.DUMMYFUNCTION("""COMPUTED_VALUE"""),44740.0)</f>
        <v>44740</v>
      </c>
      <c r="E1150" s="12">
        <f>IFERROR(__xludf.DUMMYFUNCTION("""COMPUTED_VALUE"""),0.278495370370365)</f>
        <v>0.2784953704</v>
      </c>
      <c r="F1150" s="6" t="str">
        <f>IFERROR(__xludf.DUMMYFUNCTION("""COMPUTED_VALUE"""),"Negative")</f>
        <v>Negative</v>
      </c>
      <c r="G1150" s="6">
        <f>IFERROR(__xludf.DUMMYFUNCTION("""COMPUTED_VALUE"""),1.0)</f>
        <v>1</v>
      </c>
    </row>
    <row r="1151">
      <c r="A1151" s="6" t="str">
        <f>IFERROR(__xludf.DUMMYFUNCTION("""COMPUTED_VALUE"""),"FM2493")</f>
        <v>FM2493</v>
      </c>
      <c r="B1151" s="6" t="str">
        <f>IFERROR(__xludf.DUMMYFUNCTION("""COMPUTED_VALUE"""),"RUN-COMB_2022-06-28_RFR-063")</f>
        <v>RUN-COMB_2022-06-28_RFR-063</v>
      </c>
      <c r="C1151" s="7">
        <f>VLOOKUP(B1151,'Run Reconcile'!A$2:B3090,2,FALSE)</f>
        <v>44740</v>
      </c>
      <c r="D1151" s="11">
        <f>IFERROR(__xludf.DUMMYFUNCTION("""COMPUTED_VALUE"""),44740.0)</f>
        <v>44740</v>
      </c>
      <c r="E1151" s="12">
        <f>IFERROR(__xludf.DUMMYFUNCTION("""COMPUTED_VALUE"""),0.27927083333270275)</f>
        <v>0.2792708333</v>
      </c>
      <c r="F1151" s="6" t="str">
        <f>IFERROR(__xludf.DUMMYFUNCTION("""COMPUTED_VALUE"""),"Negative")</f>
        <v>Negative</v>
      </c>
      <c r="G1151" s="6">
        <f>IFERROR(__xludf.DUMMYFUNCTION("""COMPUTED_VALUE"""),1.0)</f>
        <v>1</v>
      </c>
    </row>
    <row r="1152">
      <c r="A1152" s="6" t="str">
        <f>IFERROR(__xludf.DUMMYFUNCTION("""COMPUTED_VALUE"""),"FM2423")</f>
        <v>FM2423</v>
      </c>
      <c r="B1152" s="6" t="str">
        <f>IFERROR(__xludf.DUMMYFUNCTION("""COMPUTED_VALUE"""),"RUN-COMB_2022-06-28_RFR-063")</f>
        <v>RUN-COMB_2022-06-28_RFR-063</v>
      </c>
      <c r="C1152" s="7">
        <f>VLOOKUP(B1152,'Run Reconcile'!A$2:B3090,2,FALSE)</f>
        <v>44740</v>
      </c>
      <c r="D1152" s="11">
        <f>IFERROR(__xludf.DUMMYFUNCTION("""COMPUTED_VALUE"""),44740.0)</f>
        <v>44740</v>
      </c>
      <c r="E1152" s="12">
        <f>IFERROR(__xludf.DUMMYFUNCTION("""COMPUTED_VALUE"""),0.28820601851839456)</f>
        <v>0.2882060185</v>
      </c>
      <c r="F1152" s="6" t="str">
        <f>IFERROR(__xludf.DUMMYFUNCTION("""COMPUTED_VALUE"""),"Negative")</f>
        <v>Negative</v>
      </c>
      <c r="G1152" s="6">
        <f>IFERROR(__xludf.DUMMYFUNCTION("""COMPUTED_VALUE"""),1.0)</f>
        <v>1</v>
      </c>
    </row>
    <row r="1153">
      <c r="A1153" s="6" t="str">
        <f>IFERROR(__xludf.DUMMYFUNCTION("""COMPUTED_VALUE"""),"FM2467")</f>
        <v>FM2467</v>
      </c>
      <c r="B1153" s="6" t="str">
        <f>IFERROR(__xludf.DUMMYFUNCTION("""COMPUTED_VALUE"""),"RUN-COMB_2022-06-28_RFR-063")</f>
        <v>RUN-COMB_2022-06-28_RFR-063</v>
      </c>
      <c r="C1153" s="7">
        <f>VLOOKUP(B1153,'Run Reconcile'!A$2:B3090,2,FALSE)</f>
        <v>44740</v>
      </c>
      <c r="D1153" s="11">
        <f>IFERROR(__xludf.DUMMYFUNCTION("""COMPUTED_VALUE"""),44740.0)</f>
        <v>44740</v>
      </c>
      <c r="E1153" s="12">
        <f>IFERROR(__xludf.DUMMYFUNCTION("""COMPUTED_VALUE"""),0.2885185185186856)</f>
        <v>0.2885185185</v>
      </c>
      <c r="F1153" s="6" t="str">
        <f>IFERROR(__xludf.DUMMYFUNCTION("""COMPUTED_VALUE"""),"Negative")</f>
        <v>Negative</v>
      </c>
      <c r="G1153" s="6">
        <f>IFERROR(__xludf.DUMMYFUNCTION("""COMPUTED_VALUE"""),1.0)</f>
        <v>1</v>
      </c>
    </row>
    <row r="1154">
      <c r="A1154" s="6" t="str">
        <f>IFERROR(__xludf.DUMMYFUNCTION("""COMPUTED_VALUE"""),"FM2466")</f>
        <v>FM2466</v>
      </c>
      <c r="B1154" s="6" t="str">
        <f>IFERROR(__xludf.DUMMYFUNCTION("""COMPUTED_VALUE"""),"RUN-COMB_2022-06-28_RFR-063")</f>
        <v>RUN-COMB_2022-06-28_RFR-063</v>
      </c>
      <c r="C1154" s="7">
        <f>VLOOKUP(B1154,'Run Reconcile'!A$2:B3090,2,FALSE)</f>
        <v>44740</v>
      </c>
      <c r="D1154" s="11">
        <f>IFERROR(__xludf.DUMMYFUNCTION("""COMPUTED_VALUE"""),44740.0)</f>
        <v>44740</v>
      </c>
      <c r="E1154" s="12">
        <f>IFERROR(__xludf.DUMMYFUNCTION("""COMPUTED_VALUE"""),0.2888773148151813)</f>
        <v>0.2888773148</v>
      </c>
      <c r="F1154" s="6" t="str">
        <f>IFERROR(__xludf.DUMMYFUNCTION("""COMPUTED_VALUE"""),"Negative")</f>
        <v>Negative</v>
      </c>
      <c r="G1154" s="6">
        <f>IFERROR(__xludf.DUMMYFUNCTION("""COMPUTED_VALUE"""),1.0)</f>
        <v>1</v>
      </c>
    </row>
    <row r="1155">
      <c r="A1155" s="6" t="str">
        <f>IFERROR(__xludf.DUMMYFUNCTION("""COMPUTED_VALUE"""),"FM2450")</f>
        <v>FM2450</v>
      </c>
      <c r="B1155" s="6" t="str">
        <f>IFERROR(__xludf.DUMMYFUNCTION("""COMPUTED_VALUE"""),"RUN-COMB_2022-06-28_RFR-063")</f>
        <v>RUN-COMB_2022-06-28_RFR-063</v>
      </c>
      <c r="C1155" s="7">
        <f>VLOOKUP(B1155,'Run Reconcile'!A$2:B3090,2,FALSE)</f>
        <v>44740</v>
      </c>
      <c r="D1155" s="11">
        <f>IFERROR(__xludf.DUMMYFUNCTION("""COMPUTED_VALUE"""),44740.0)</f>
        <v>44740</v>
      </c>
      <c r="E1155" s="12">
        <f>IFERROR(__xludf.DUMMYFUNCTION("""COMPUTED_VALUE"""),0.28917824074233067)</f>
        <v>0.2891782407</v>
      </c>
      <c r="F1155" s="6" t="str">
        <f>IFERROR(__xludf.DUMMYFUNCTION("""COMPUTED_VALUE"""),"Negative")</f>
        <v>Negative</v>
      </c>
      <c r="G1155" s="6">
        <f>IFERROR(__xludf.DUMMYFUNCTION("""COMPUTED_VALUE"""),1.0)</f>
        <v>1</v>
      </c>
    </row>
    <row r="1156">
      <c r="A1156" s="6" t="str">
        <f>IFERROR(__xludf.DUMMYFUNCTION("""COMPUTED_VALUE"""),"FM2446")</f>
        <v>FM2446</v>
      </c>
      <c r="B1156" s="6" t="str">
        <f>IFERROR(__xludf.DUMMYFUNCTION("""COMPUTED_VALUE"""),"RUN-COMB_2022-06-28_RFR-063")</f>
        <v>RUN-COMB_2022-06-28_RFR-063</v>
      </c>
      <c r="C1156" s="7">
        <f>VLOOKUP(B1156,'Run Reconcile'!A$2:B3090,2,FALSE)</f>
        <v>44740</v>
      </c>
      <c r="D1156" s="11">
        <f>IFERROR(__xludf.DUMMYFUNCTION("""COMPUTED_VALUE"""),44740.0)</f>
        <v>44740</v>
      </c>
      <c r="E1156" s="12">
        <f>IFERROR(__xludf.DUMMYFUNCTION("""COMPUTED_VALUE"""),0.2915972222217533)</f>
        <v>0.2915972222</v>
      </c>
      <c r="F1156" s="6" t="str">
        <f>IFERROR(__xludf.DUMMYFUNCTION("""COMPUTED_VALUE"""),"Negative")</f>
        <v>Negative</v>
      </c>
      <c r="G1156" s="6">
        <f>IFERROR(__xludf.DUMMYFUNCTION("""COMPUTED_VALUE"""),1.0)</f>
        <v>1</v>
      </c>
    </row>
    <row r="1157">
      <c r="A1157" s="6" t="str">
        <f>IFERROR(__xludf.DUMMYFUNCTION("""COMPUTED_VALUE"""),"FM2499")</f>
        <v>FM2499</v>
      </c>
      <c r="B1157" s="6" t="str">
        <f>IFERROR(__xludf.DUMMYFUNCTION("""COMPUTED_VALUE"""),"RUN-COMB_2022-06-28_RFR-063")</f>
        <v>RUN-COMB_2022-06-28_RFR-063</v>
      </c>
      <c r="C1157" s="7">
        <f>VLOOKUP(B1157,'Run Reconcile'!A$2:B3090,2,FALSE)</f>
        <v>44740</v>
      </c>
      <c r="D1157" s="11">
        <f>IFERROR(__xludf.DUMMYFUNCTION("""COMPUTED_VALUE"""),44740.0)</f>
        <v>44740</v>
      </c>
      <c r="E1157" s="12">
        <f>IFERROR(__xludf.DUMMYFUNCTION("""COMPUTED_VALUE"""),0.29197916666817036)</f>
        <v>0.2919791667</v>
      </c>
      <c r="F1157" s="6" t="str">
        <f>IFERROR(__xludf.DUMMYFUNCTION("""COMPUTED_VALUE"""),"Negative")</f>
        <v>Negative</v>
      </c>
      <c r="G1157" s="6">
        <f>IFERROR(__xludf.DUMMYFUNCTION("""COMPUTED_VALUE"""),1.0)</f>
        <v>1</v>
      </c>
    </row>
    <row r="1158">
      <c r="A1158" s="6" t="str">
        <f>IFERROR(__xludf.DUMMYFUNCTION("""COMPUTED_VALUE"""),"FM2429")</f>
        <v>FM2429</v>
      </c>
      <c r="B1158" s="6" t="str">
        <f>IFERROR(__xludf.DUMMYFUNCTION("""COMPUTED_VALUE"""),"RUN-COMB_2022-06-28_RFR-063")</f>
        <v>RUN-COMB_2022-06-28_RFR-063</v>
      </c>
      <c r="C1158" s="7">
        <f>VLOOKUP(B1158,'Run Reconcile'!A$2:B3090,2,FALSE)</f>
        <v>44740</v>
      </c>
      <c r="D1158" s="11">
        <f>IFERROR(__xludf.DUMMYFUNCTION("""COMPUTED_VALUE"""),44740.0)</f>
        <v>44740</v>
      </c>
      <c r="E1158" s="12">
        <f>IFERROR(__xludf.DUMMYFUNCTION("""COMPUTED_VALUE"""),0.2924305555570754)</f>
        <v>0.2924305556</v>
      </c>
      <c r="F1158" s="6" t="str">
        <f>IFERROR(__xludf.DUMMYFUNCTION("""COMPUTED_VALUE"""),"Negative")</f>
        <v>Negative</v>
      </c>
      <c r="G1158" s="6">
        <f>IFERROR(__xludf.DUMMYFUNCTION("""COMPUTED_VALUE"""),1.0)</f>
        <v>1</v>
      </c>
    </row>
    <row r="1159">
      <c r="A1159" s="6" t="str">
        <f>IFERROR(__xludf.DUMMYFUNCTION("""COMPUTED_VALUE"""),"FM2165")</f>
        <v>FM2165</v>
      </c>
      <c r="B1159" s="6" t="str">
        <f>IFERROR(__xludf.DUMMYFUNCTION("""COMPUTED_VALUE"""),"RUN-COMB_2022-06-28_RFR-063")</f>
        <v>RUN-COMB_2022-06-28_RFR-063</v>
      </c>
      <c r="C1159" s="7">
        <f>VLOOKUP(B1159,'Run Reconcile'!A$2:B3090,2,FALSE)</f>
        <v>44740</v>
      </c>
      <c r="D1159" s="11">
        <f>IFERROR(__xludf.DUMMYFUNCTION("""COMPUTED_VALUE"""),44740.0)</f>
        <v>44740</v>
      </c>
      <c r="E1159" s="12">
        <f>IFERROR(__xludf.DUMMYFUNCTION("""COMPUTED_VALUE"""),0.2927777777767915)</f>
        <v>0.2927777778</v>
      </c>
      <c r="F1159" s="6" t="str">
        <f>IFERROR(__xludf.DUMMYFUNCTION("""COMPUTED_VALUE"""),"Negative")</f>
        <v>Negative</v>
      </c>
      <c r="G1159" s="6">
        <f>IFERROR(__xludf.DUMMYFUNCTION("""COMPUTED_VALUE"""),1.0)</f>
        <v>1</v>
      </c>
    </row>
    <row r="1160">
      <c r="A1160" s="6" t="str">
        <f>IFERROR(__xludf.DUMMYFUNCTION("""COMPUTED_VALUE"""),"FM2115")</f>
        <v>FM2115</v>
      </c>
      <c r="B1160" s="6" t="str">
        <f>IFERROR(__xludf.DUMMYFUNCTION("""COMPUTED_VALUE"""),"RUN-COMB_2022-06-28_RFR-063")</f>
        <v>RUN-COMB_2022-06-28_RFR-063</v>
      </c>
      <c r="C1160" s="7">
        <f>VLOOKUP(B1160,'Run Reconcile'!A$2:B3090,2,FALSE)</f>
        <v>44740</v>
      </c>
      <c r="D1160" s="11">
        <f>IFERROR(__xludf.DUMMYFUNCTION("""COMPUTED_VALUE"""),44740.0)</f>
        <v>44740</v>
      </c>
      <c r="E1160" s="12">
        <f>IFERROR(__xludf.DUMMYFUNCTION("""COMPUTED_VALUE"""),0.2943402777782467)</f>
        <v>0.2943402778</v>
      </c>
      <c r="F1160" s="6" t="str">
        <f>IFERROR(__xludf.DUMMYFUNCTION("""COMPUTED_VALUE"""),"Negative")</f>
        <v>Negative</v>
      </c>
      <c r="G1160" s="6">
        <f>IFERROR(__xludf.DUMMYFUNCTION("""COMPUTED_VALUE"""),1.0)</f>
        <v>1</v>
      </c>
    </row>
    <row r="1161">
      <c r="A1161" s="6" t="str">
        <f>IFERROR(__xludf.DUMMYFUNCTION("""COMPUTED_VALUE"""),"FM2471")</f>
        <v>FM2471</v>
      </c>
      <c r="B1161" s="6" t="str">
        <f>IFERROR(__xludf.DUMMYFUNCTION("""COMPUTED_VALUE"""),"RUN-COMB_2022-06-28_RFR-063")</f>
        <v>RUN-COMB_2022-06-28_RFR-063</v>
      </c>
      <c r="C1161" s="7">
        <f>VLOOKUP(B1161,'Run Reconcile'!A$2:B3090,2,FALSE)</f>
        <v>44740</v>
      </c>
      <c r="D1161" s="11">
        <f>IFERROR(__xludf.DUMMYFUNCTION("""COMPUTED_VALUE"""),44740.0)</f>
        <v>44740</v>
      </c>
      <c r="E1161" s="12">
        <f>IFERROR(__xludf.DUMMYFUNCTION("""COMPUTED_VALUE"""),0.2946990740747424)</f>
        <v>0.2946990741</v>
      </c>
      <c r="F1161" s="6" t="str">
        <f>IFERROR(__xludf.DUMMYFUNCTION("""COMPUTED_VALUE"""),"Negative")</f>
        <v>Negative</v>
      </c>
      <c r="G1161" s="6">
        <f>IFERROR(__xludf.DUMMYFUNCTION("""COMPUTED_VALUE"""),1.0)</f>
        <v>1</v>
      </c>
    </row>
    <row r="1162">
      <c r="A1162" s="6" t="str">
        <f>IFERROR(__xludf.DUMMYFUNCTION("""COMPUTED_VALUE"""),"FM2463")</f>
        <v>FM2463</v>
      </c>
      <c r="B1162" s="6" t="str">
        <f>IFERROR(__xludf.DUMMYFUNCTION("""COMPUTED_VALUE"""),"RUN-COMB_2022-06-28_RFR-063")</f>
        <v>RUN-COMB_2022-06-28_RFR-063</v>
      </c>
      <c r="C1162" s="7">
        <f>VLOOKUP(B1162,'Run Reconcile'!A$2:B3090,2,FALSE)</f>
        <v>44740</v>
      </c>
      <c r="D1162" s="11">
        <f>IFERROR(__xludf.DUMMYFUNCTION("""COMPUTED_VALUE"""),44740.0)</f>
        <v>44740</v>
      </c>
      <c r="E1162" s="12">
        <f>IFERROR(__xludf.DUMMYFUNCTION("""COMPUTED_VALUE"""),0.29503472222131677)</f>
        <v>0.2950347222</v>
      </c>
      <c r="F1162" s="6" t="str">
        <f>IFERROR(__xludf.DUMMYFUNCTION("""COMPUTED_VALUE"""),"Negative")</f>
        <v>Negative</v>
      </c>
      <c r="G1162" s="6">
        <f>IFERROR(__xludf.DUMMYFUNCTION("""COMPUTED_VALUE"""),1.0)</f>
        <v>1</v>
      </c>
    </row>
    <row r="1163">
      <c r="A1163" s="6" t="str">
        <f>IFERROR(__xludf.DUMMYFUNCTION("""COMPUTED_VALUE"""),"FM2435")</f>
        <v>FM2435</v>
      </c>
      <c r="B1163" s="6" t="str">
        <f>IFERROR(__xludf.DUMMYFUNCTION("""COMPUTED_VALUE"""),"RUN-COMB_2022-06-28_RFR-063")</f>
        <v>RUN-COMB_2022-06-28_RFR-063</v>
      </c>
      <c r="C1163" s="7">
        <f>VLOOKUP(B1163,'Run Reconcile'!A$2:B3090,2,FALSE)</f>
        <v>44740</v>
      </c>
      <c r="D1163" s="11">
        <f>IFERROR(__xludf.DUMMYFUNCTION("""COMPUTED_VALUE"""),44740.0)</f>
        <v>44740</v>
      </c>
      <c r="E1163" s="12">
        <f>IFERROR(__xludf.DUMMYFUNCTION("""COMPUTED_VALUE"""),0.2957407407411665)</f>
        <v>0.2957407407</v>
      </c>
      <c r="F1163" s="6" t="str">
        <f>IFERROR(__xludf.DUMMYFUNCTION("""COMPUTED_VALUE"""),"Negative")</f>
        <v>Negative</v>
      </c>
      <c r="G1163" s="6">
        <f>IFERROR(__xludf.DUMMYFUNCTION("""COMPUTED_VALUE"""),1.0)</f>
        <v>1</v>
      </c>
    </row>
    <row r="1164">
      <c r="A1164" s="6" t="str">
        <f>IFERROR(__xludf.DUMMYFUNCTION("""COMPUTED_VALUE"""),"FM2496")</f>
        <v>FM2496</v>
      </c>
      <c r="B1164" s="6" t="str">
        <f>IFERROR(__xludf.DUMMYFUNCTION("""COMPUTED_VALUE"""),"RUN-COMB_2022-06-28_RFR-063")</f>
        <v>RUN-COMB_2022-06-28_RFR-063</v>
      </c>
      <c r="C1164" s="7">
        <f>VLOOKUP(B1164,'Run Reconcile'!A$2:B3090,2,FALSE)</f>
        <v>44740</v>
      </c>
      <c r="D1164" s="11">
        <f>IFERROR(__xludf.DUMMYFUNCTION("""COMPUTED_VALUE"""),44740.0)</f>
        <v>44740</v>
      </c>
      <c r="E1164" s="12">
        <f>IFERROR(__xludf.DUMMYFUNCTION("""COMPUTED_VALUE"""),0.2960416666683159)</f>
        <v>0.2960416667</v>
      </c>
      <c r="F1164" s="6" t="str">
        <f>IFERROR(__xludf.DUMMYFUNCTION("""COMPUTED_VALUE"""),"Negative")</f>
        <v>Negative</v>
      </c>
      <c r="G1164" s="6">
        <f>IFERROR(__xludf.DUMMYFUNCTION("""COMPUTED_VALUE"""),1.0)</f>
        <v>1</v>
      </c>
    </row>
    <row r="1165">
      <c r="A1165" s="6" t="str">
        <f>IFERROR(__xludf.DUMMYFUNCTION("""COMPUTED_VALUE"""),"FM2495")</f>
        <v>FM2495</v>
      </c>
      <c r="B1165" s="6" t="str">
        <f>IFERROR(__xludf.DUMMYFUNCTION("""COMPUTED_VALUE"""),"RUN-COMB_2022-06-28_RFR-063")</f>
        <v>RUN-COMB_2022-06-28_RFR-063</v>
      </c>
      <c r="C1165" s="7">
        <f>VLOOKUP(B1165,'Run Reconcile'!A$2:B3090,2,FALSE)</f>
        <v>44740</v>
      </c>
      <c r="D1165" s="11">
        <f>IFERROR(__xludf.DUMMYFUNCTION("""COMPUTED_VALUE"""),44740.0)</f>
        <v>44740</v>
      </c>
      <c r="E1165" s="12">
        <f>IFERROR(__xludf.DUMMYFUNCTION("""COMPUTED_VALUE"""),0.2963657407417486)</f>
        <v>0.2963657407</v>
      </c>
      <c r="F1165" s="6" t="str">
        <f>IFERROR(__xludf.DUMMYFUNCTION("""COMPUTED_VALUE"""),"Negative")</f>
        <v>Negative</v>
      </c>
      <c r="G1165" s="6">
        <f>IFERROR(__xludf.DUMMYFUNCTION("""COMPUTED_VALUE"""),1.0)</f>
        <v>1</v>
      </c>
    </row>
    <row r="1166">
      <c r="A1166" s="6" t="str">
        <f>IFERROR(__xludf.DUMMYFUNCTION("""COMPUTED_VALUE"""),"FM2414")</f>
        <v>FM2414</v>
      </c>
      <c r="B1166" s="6" t="str">
        <f>IFERROR(__xludf.DUMMYFUNCTION("""COMPUTED_VALUE"""),"RUN-COMB_2022-06-28_RFR-063")</f>
        <v>RUN-COMB_2022-06-28_RFR-063</v>
      </c>
      <c r="C1166" s="7">
        <f>VLOOKUP(B1166,'Run Reconcile'!A$2:B3090,2,FALSE)</f>
        <v>44740</v>
      </c>
      <c r="D1166" s="11">
        <f>IFERROR(__xludf.DUMMYFUNCTION("""COMPUTED_VALUE"""),44740.0)</f>
        <v>44740</v>
      </c>
      <c r="E1166" s="12">
        <f>IFERROR(__xludf.DUMMYFUNCTION("""COMPUTED_VALUE"""),0.29671296296146465)</f>
        <v>0.296712963</v>
      </c>
      <c r="F1166" s="6" t="str">
        <f>IFERROR(__xludf.DUMMYFUNCTION("""COMPUTED_VALUE"""),"Negative")</f>
        <v>Negative</v>
      </c>
      <c r="G1166" s="6">
        <f>IFERROR(__xludf.DUMMYFUNCTION("""COMPUTED_VALUE"""),1.0)</f>
        <v>1</v>
      </c>
    </row>
    <row r="1167">
      <c r="A1167" s="6" t="str">
        <f>IFERROR(__xludf.DUMMYFUNCTION("""COMPUTED_VALUE"""),"FM2509")</f>
        <v>FM2509</v>
      </c>
      <c r="B1167" s="6" t="str">
        <f>IFERROR(__xludf.DUMMYFUNCTION("""COMPUTED_VALUE"""),"RUN-COMB_2022-06-29_RFR-065")</f>
        <v>RUN-COMB_2022-06-29_RFR-065</v>
      </c>
      <c r="C1167" s="7">
        <f>VLOOKUP(B1167,'Run Reconcile'!A$2:B3090,2,FALSE)</f>
        <v>44741</v>
      </c>
      <c r="D1167" s="11">
        <f>IFERROR(__xludf.DUMMYFUNCTION("""COMPUTED_VALUE"""),44741.0)</f>
        <v>44741</v>
      </c>
      <c r="E1167" s="12">
        <f>IFERROR(__xludf.DUMMYFUNCTION("""COMPUTED_VALUE"""),0.2958564814798592)</f>
        <v>0.2958564815</v>
      </c>
      <c r="F1167" s="6" t="str">
        <f>IFERROR(__xludf.DUMMYFUNCTION("""COMPUTED_VALUE"""),"Negative")</f>
        <v>Negative</v>
      </c>
      <c r="G1167" s="6">
        <f>IFERROR(__xludf.DUMMYFUNCTION("""COMPUTED_VALUE"""),1.0)</f>
        <v>1</v>
      </c>
    </row>
    <row r="1168">
      <c r="A1168" s="6" t="str">
        <f>IFERROR(__xludf.DUMMYFUNCTION("""COMPUTED_VALUE"""),"FM2474")</f>
        <v>FM2474</v>
      </c>
      <c r="B1168" s="6" t="str">
        <f>IFERROR(__xludf.DUMMYFUNCTION("""COMPUTED_VALUE"""),"RUN-COMB_2022-06-29_RFR-065")</f>
        <v>RUN-COMB_2022-06-29_RFR-065</v>
      </c>
      <c r="C1168" s="7">
        <f>VLOOKUP(B1168,'Run Reconcile'!A$2:B3090,2,FALSE)</f>
        <v>44741</v>
      </c>
      <c r="D1168" s="11">
        <f>IFERROR(__xludf.DUMMYFUNCTION("""COMPUTED_VALUE"""),44741.0)</f>
        <v>44741</v>
      </c>
      <c r="E1168" s="12">
        <f>IFERROR(__xludf.DUMMYFUNCTION("""COMPUTED_VALUE"""),0.2961574074070086)</f>
        <v>0.2961574074</v>
      </c>
      <c r="F1168" s="6" t="str">
        <f>IFERROR(__xludf.DUMMYFUNCTION("""COMPUTED_VALUE"""),"Negative")</f>
        <v>Negative</v>
      </c>
      <c r="G1168" s="6">
        <f>IFERROR(__xludf.DUMMYFUNCTION("""COMPUTED_VALUE"""),1.0)</f>
        <v>1</v>
      </c>
    </row>
    <row r="1169">
      <c r="A1169" s="6" t="str">
        <f>IFERROR(__xludf.DUMMYFUNCTION("""COMPUTED_VALUE"""),"FM2181")</f>
        <v>FM2181</v>
      </c>
      <c r="B1169" s="6" t="str">
        <f>IFERROR(__xludf.DUMMYFUNCTION("""COMPUTED_VALUE"""),"RUN-COMB_2022-06-29_RFR-065")</f>
        <v>RUN-COMB_2022-06-29_RFR-065</v>
      </c>
      <c r="C1169" s="7">
        <f>VLOOKUP(B1169,'Run Reconcile'!A$2:B3090,2,FALSE)</f>
        <v>44741</v>
      </c>
      <c r="D1169" s="11">
        <f>IFERROR(__xludf.DUMMYFUNCTION("""COMPUTED_VALUE"""),44741.0)</f>
        <v>44741</v>
      </c>
      <c r="E1169" s="12">
        <f>IFERROR(__xludf.DUMMYFUNCTION("""COMPUTED_VALUE"""),0.2965393518534256)</f>
        <v>0.2965393519</v>
      </c>
      <c r="F1169" s="6" t="str">
        <f>IFERROR(__xludf.DUMMYFUNCTION("""COMPUTED_VALUE"""),"Negative")</f>
        <v>Negative</v>
      </c>
      <c r="G1169" s="6">
        <f>IFERROR(__xludf.DUMMYFUNCTION("""COMPUTED_VALUE"""),1.0)</f>
        <v>1</v>
      </c>
    </row>
    <row r="1170">
      <c r="A1170" s="6" t="str">
        <f>IFERROR(__xludf.DUMMYFUNCTION("""COMPUTED_VALUE"""),"FM2445")</f>
        <v>FM2445</v>
      </c>
      <c r="B1170" s="6" t="str">
        <f>IFERROR(__xludf.DUMMYFUNCTION("""COMPUTED_VALUE"""),"RUN-COMB_2022-06-29_RFR-065")</f>
        <v>RUN-COMB_2022-06-29_RFR-065</v>
      </c>
      <c r="C1170" s="7">
        <f>VLOOKUP(B1170,'Run Reconcile'!A$2:B3090,2,FALSE)</f>
        <v>44741</v>
      </c>
      <c r="D1170" s="11">
        <f>IFERROR(__xludf.DUMMYFUNCTION("""COMPUTED_VALUE"""),44741.0)</f>
        <v>44741</v>
      </c>
      <c r="E1170" s="12">
        <f>IFERROR(__xludf.DUMMYFUNCTION("""COMPUTED_VALUE"""),0.2969212962962047)</f>
        <v>0.2969212963</v>
      </c>
      <c r="F1170" s="6" t="str">
        <f>IFERROR(__xludf.DUMMYFUNCTION("""COMPUTED_VALUE"""),"Negative")</f>
        <v>Negative</v>
      </c>
      <c r="G1170" s="6">
        <f>IFERROR(__xludf.DUMMYFUNCTION("""COMPUTED_VALUE"""),1.0)</f>
        <v>1</v>
      </c>
    </row>
    <row r="1171">
      <c r="A1171" s="6" t="str">
        <f>IFERROR(__xludf.DUMMYFUNCTION("""COMPUTED_VALUE"""),"FM2517")</f>
        <v>FM2517</v>
      </c>
      <c r="B1171" s="6" t="str">
        <f>IFERROR(__xludf.DUMMYFUNCTION("""COMPUTED_VALUE"""),"RUN-COMB_2022-06-29_RFR-065")</f>
        <v>RUN-COMB_2022-06-29_RFR-065</v>
      </c>
      <c r="C1171" s="7">
        <f>VLOOKUP(B1171,'Run Reconcile'!A$2:B3090,2,FALSE)</f>
        <v>44741</v>
      </c>
      <c r="D1171" s="11">
        <f>IFERROR(__xludf.DUMMYFUNCTION("""COMPUTED_VALUE"""),44741.0)</f>
        <v>44741</v>
      </c>
      <c r="E1171" s="12">
        <f>IFERROR(__xludf.DUMMYFUNCTION("""COMPUTED_VALUE"""),0.29729166666584206)</f>
        <v>0.2972916667</v>
      </c>
      <c r="F1171" s="6" t="str">
        <f>IFERROR(__xludf.DUMMYFUNCTION("""COMPUTED_VALUE"""),"Negative")</f>
        <v>Negative</v>
      </c>
      <c r="G1171" s="6">
        <f>IFERROR(__xludf.DUMMYFUNCTION("""COMPUTED_VALUE"""),1.0)</f>
        <v>1</v>
      </c>
    </row>
    <row r="1172">
      <c r="A1172" s="6" t="str">
        <f>IFERROR(__xludf.DUMMYFUNCTION("""COMPUTED_VALUE"""),"FM2406")</f>
        <v>FM2406</v>
      </c>
      <c r="B1172" s="6" t="str">
        <f>IFERROR(__xludf.DUMMYFUNCTION("""COMPUTED_VALUE"""),"RUN-COMB_2022-06-29_RFR-065")</f>
        <v>RUN-COMB_2022-06-29_RFR-065</v>
      </c>
      <c r="C1172" s="7">
        <f>VLOOKUP(B1172,'Run Reconcile'!A$2:B3090,2,FALSE)</f>
        <v>44741</v>
      </c>
      <c r="D1172" s="11">
        <f>IFERROR(__xludf.DUMMYFUNCTION("""COMPUTED_VALUE"""),44741.0)</f>
        <v>44741</v>
      </c>
      <c r="E1172" s="12">
        <f>IFERROR(__xludf.DUMMYFUNCTION("""COMPUTED_VALUE"""),0.2976041666661331)</f>
        <v>0.2976041667</v>
      </c>
      <c r="F1172" s="6" t="str">
        <f>IFERROR(__xludf.DUMMYFUNCTION("""COMPUTED_VALUE"""),"Negative")</f>
        <v>Negative</v>
      </c>
      <c r="G1172" s="6">
        <f>IFERROR(__xludf.DUMMYFUNCTION("""COMPUTED_VALUE"""),1.0)</f>
        <v>1</v>
      </c>
    </row>
    <row r="1173">
      <c r="A1173" s="6" t="str">
        <f>IFERROR(__xludf.DUMMYFUNCTION("""COMPUTED_VALUE"""),"FM2477")</f>
        <v>FM2477</v>
      </c>
      <c r="B1173" s="6" t="str">
        <f>IFERROR(__xludf.DUMMYFUNCTION("""COMPUTED_VALUE"""),"RUN-COMB_2022-06-29_RFR-065")</f>
        <v>RUN-COMB_2022-06-29_RFR-065</v>
      </c>
      <c r="C1173" s="7">
        <f>VLOOKUP(B1173,'Run Reconcile'!A$2:B3090,2,FALSE)</f>
        <v>44741</v>
      </c>
      <c r="D1173" s="11">
        <f>IFERROR(__xludf.DUMMYFUNCTION("""COMPUTED_VALUE"""),44741.0)</f>
        <v>44741</v>
      </c>
      <c r="E1173" s="12">
        <f>IFERROR(__xludf.DUMMYFUNCTION("""COMPUTED_VALUE"""),0.29793981481634546)</f>
        <v>0.2979398148</v>
      </c>
      <c r="F1173" s="6" t="str">
        <f>IFERROR(__xludf.DUMMYFUNCTION("""COMPUTED_VALUE"""),"Negative")</f>
        <v>Negative</v>
      </c>
      <c r="G1173" s="6">
        <f>IFERROR(__xludf.DUMMYFUNCTION("""COMPUTED_VALUE"""),1.0)</f>
        <v>1</v>
      </c>
    </row>
    <row r="1174">
      <c r="A1174" s="6" t="str">
        <f>IFERROR(__xludf.DUMMYFUNCTION("""COMPUTED_VALUE"""),"FM2483")</f>
        <v>FM2483</v>
      </c>
      <c r="B1174" s="6" t="str">
        <f>IFERROR(__xludf.DUMMYFUNCTION("""COMPUTED_VALUE"""),"RUN-COMB_2022-06-29_RFR-065")</f>
        <v>RUN-COMB_2022-06-29_RFR-065</v>
      </c>
      <c r="C1174" s="7">
        <f>VLOOKUP(B1174,'Run Reconcile'!A$2:B3090,2,FALSE)</f>
        <v>44741</v>
      </c>
      <c r="D1174" s="11">
        <f>IFERROR(__xludf.DUMMYFUNCTION("""COMPUTED_VALUE"""),44741.0)</f>
        <v>44741</v>
      </c>
      <c r="E1174" s="12">
        <f>IFERROR(__xludf.DUMMYFUNCTION("""COMPUTED_VALUE"""),0.2982638888897782)</f>
        <v>0.2982638889</v>
      </c>
      <c r="F1174" s="6" t="str">
        <f>IFERROR(__xludf.DUMMYFUNCTION("""COMPUTED_VALUE"""),"Negative")</f>
        <v>Negative</v>
      </c>
      <c r="G1174" s="6">
        <f>IFERROR(__xludf.DUMMYFUNCTION("""COMPUTED_VALUE"""),1.0)</f>
        <v>1</v>
      </c>
    </row>
    <row r="1175">
      <c r="A1175" s="6" t="str">
        <f>IFERROR(__xludf.DUMMYFUNCTION("""COMPUTED_VALUE"""),"FM2118")</f>
        <v>FM2118</v>
      </c>
      <c r="B1175" s="6" t="str">
        <f>IFERROR(__xludf.DUMMYFUNCTION("""COMPUTED_VALUE"""),"RUN-COMB_2022-06-29_RFR-065")</f>
        <v>RUN-COMB_2022-06-29_RFR-065</v>
      </c>
      <c r="C1175" s="7">
        <f>VLOOKUP(B1175,'Run Reconcile'!A$2:B3090,2,FALSE)</f>
        <v>44741</v>
      </c>
      <c r="D1175" s="11">
        <f>IFERROR(__xludf.DUMMYFUNCTION("""COMPUTED_VALUE"""),44741.0)</f>
        <v>44741</v>
      </c>
      <c r="E1175" s="12">
        <f>IFERROR(__xludf.DUMMYFUNCTION("""COMPUTED_VALUE"""),0.2985879629632109)</f>
        <v>0.298587963</v>
      </c>
      <c r="F1175" s="6" t="str">
        <f>IFERROR(__xludf.DUMMYFUNCTION("""COMPUTED_VALUE"""),"Negative")</f>
        <v>Negative</v>
      </c>
      <c r="G1175" s="6">
        <f>IFERROR(__xludf.DUMMYFUNCTION("""COMPUTED_VALUE"""),1.0)</f>
        <v>1</v>
      </c>
    </row>
    <row r="1176">
      <c r="A1176" s="6" t="str">
        <f>IFERROR(__xludf.DUMMYFUNCTION("""COMPUTED_VALUE"""),"FM2494")</f>
        <v>FM2494</v>
      </c>
      <c r="B1176" s="6" t="str">
        <f>IFERROR(__xludf.DUMMYFUNCTION("""COMPUTED_VALUE"""),"RUN-COMB_2022-06-29_RFR-065")</f>
        <v>RUN-COMB_2022-06-29_RFR-065</v>
      </c>
      <c r="C1176" s="7">
        <f>VLOOKUP(B1176,'Run Reconcile'!A$2:B3090,2,FALSE)</f>
        <v>44741</v>
      </c>
      <c r="D1176" s="11">
        <f>IFERROR(__xludf.DUMMYFUNCTION("""COMPUTED_VALUE"""),44741.0)</f>
        <v>44741</v>
      </c>
      <c r="E1176" s="12">
        <f>IFERROR(__xludf.DUMMYFUNCTION("""COMPUTED_VALUE"""),0.2989004629635019)</f>
        <v>0.298900463</v>
      </c>
      <c r="F1176" s="6" t="str">
        <f>IFERROR(__xludf.DUMMYFUNCTION("""COMPUTED_VALUE"""),"Negative")</f>
        <v>Negative</v>
      </c>
      <c r="G1176" s="6">
        <f>IFERROR(__xludf.DUMMYFUNCTION("""COMPUTED_VALUE"""),1.0)</f>
        <v>1</v>
      </c>
    </row>
    <row r="1177">
      <c r="A1177" s="6" t="str">
        <f>IFERROR(__xludf.DUMMYFUNCTION("""COMPUTED_VALUE"""),"FM2516")</f>
        <v>FM2516</v>
      </c>
      <c r="B1177" s="6" t="str">
        <f>IFERROR(__xludf.DUMMYFUNCTION("""COMPUTED_VALUE"""),"RUN-COMB_2022-06-29_RFR-065")</f>
        <v>RUN-COMB_2022-06-29_RFR-065</v>
      </c>
      <c r="C1177" s="7">
        <f>VLOOKUP(B1177,'Run Reconcile'!A$2:B3090,2,FALSE)</f>
        <v>44741</v>
      </c>
      <c r="D1177" s="11">
        <f>IFERROR(__xludf.DUMMYFUNCTION("""COMPUTED_VALUE"""),44741.0)</f>
        <v>44741</v>
      </c>
      <c r="E1177" s="12">
        <f>IFERROR(__xludf.DUMMYFUNCTION("""COMPUTED_VALUE"""),0.2992013888906513)</f>
        <v>0.2992013889</v>
      </c>
      <c r="F1177" s="6" t="str">
        <f>IFERROR(__xludf.DUMMYFUNCTION("""COMPUTED_VALUE"""),"Negative")</f>
        <v>Negative</v>
      </c>
      <c r="G1177" s="6">
        <f>IFERROR(__xludf.DUMMYFUNCTION("""COMPUTED_VALUE"""),1.0)</f>
        <v>1</v>
      </c>
    </row>
    <row r="1178">
      <c r="A1178" s="6" t="str">
        <f>IFERROR(__xludf.DUMMYFUNCTION("""COMPUTED_VALUE"""),"FM2520")</f>
        <v>FM2520</v>
      </c>
      <c r="B1178" s="6" t="str">
        <f>IFERROR(__xludf.DUMMYFUNCTION("""COMPUTED_VALUE"""),"RUN-COMB_2022-06-29_RFR-065")</f>
        <v>RUN-COMB_2022-06-29_RFR-065</v>
      </c>
      <c r="C1178" s="7">
        <f>VLOOKUP(B1178,'Run Reconcile'!A$2:B3090,2,FALSE)</f>
        <v>44741</v>
      </c>
      <c r="D1178" s="11">
        <f>IFERROR(__xludf.DUMMYFUNCTION("""COMPUTED_VALUE"""),44741.0)</f>
        <v>44741</v>
      </c>
      <c r="E1178" s="12">
        <f>IFERROR(__xludf.DUMMYFUNCTION("""COMPUTED_VALUE"""),0.2995023148141627)</f>
        <v>0.2995023148</v>
      </c>
      <c r="F1178" s="6" t="str">
        <f>IFERROR(__xludf.DUMMYFUNCTION("""COMPUTED_VALUE"""),"Negative")</f>
        <v>Negative</v>
      </c>
      <c r="G1178" s="6">
        <f>IFERROR(__xludf.DUMMYFUNCTION("""COMPUTED_VALUE"""),1.0)</f>
        <v>1</v>
      </c>
    </row>
    <row r="1179">
      <c r="A1179" s="6" t="str">
        <f>IFERROR(__xludf.DUMMYFUNCTION("""COMPUTED_VALUE"""),"FM2455")</f>
        <v>FM2455</v>
      </c>
      <c r="B1179" s="6" t="str">
        <f>IFERROR(__xludf.DUMMYFUNCTION("""COMPUTED_VALUE"""),"RUN-COMB_2022-06-29_RFR-065")</f>
        <v>RUN-COMB_2022-06-29_RFR-065</v>
      </c>
      <c r="C1179" s="7">
        <f>VLOOKUP(B1179,'Run Reconcile'!A$2:B3090,2,FALSE)</f>
        <v>44741</v>
      </c>
      <c r="D1179" s="11">
        <f>IFERROR(__xludf.DUMMYFUNCTION("""COMPUTED_VALUE"""),44741.0)</f>
        <v>44741</v>
      </c>
      <c r="E1179" s="12">
        <f>IFERROR(__xludf.DUMMYFUNCTION("""COMPUTED_VALUE"""),0.29995370370306773)</f>
        <v>0.2999537037</v>
      </c>
      <c r="F1179" s="6" t="str">
        <f>IFERROR(__xludf.DUMMYFUNCTION("""COMPUTED_VALUE"""),"Negative")</f>
        <v>Negative</v>
      </c>
      <c r="G1179" s="6">
        <f>IFERROR(__xludf.DUMMYFUNCTION("""COMPUTED_VALUE"""),1.0)</f>
        <v>1</v>
      </c>
    </row>
    <row r="1180">
      <c r="A1180" s="6" t="str">
        <f>IFERROR(__xludf.DUMMYFUNCTION("""COMPUTED_VALUE"""),"FM2447")</f>
        <v>FM2447</v>
      </c>
      <c r="B1180" s="6" t="str">
        <f>IFERROR(__xludf.DUMMYFUNCTION("""COMPUTED_VALUE"""),"RUN-COMB_2022-06-29_RFR-065")</f>
        <v>RUN-COMB_2022-06-29_RFR-065</v>
      </c>
      <c r="C1180" s="7">
        <f>VLOOKUP(B1180,'Run Reconcile'!A$2:B3090,2,FALSE)</f>
        <v>44741</v>
      </c>
      <c r="D1180" s="11">
        <f>IFERROR(__xludf.DUMMYFUNCTION("""COMPUTED_VALUE"""),44741.0)</f>
        <v>44741</v>
      </c>
      <c r="E1180" s="12">
        <f>IFERROR(__xludf.DUMMYFUNCTION("""COMPUTED_VALUE"""),0.30030092592642177)</f>
        <v>0.3003009259</v>
      </c>
      <c r="F1180" s="6" t="str">
        <f>IFERROR(__xludf.DUMMYFUNCTION("""COMPUTED_VALUE"""),"Negative")</f>
        <v>Negative</v>
      </c>
      <c r="G1180" s="6">
        <f>IFERROR(__xludf.DUMMYFUNCTION("""COMPUTED_VALUE"""),1.0)</f>
        <v>1</v>
      </c>
    </row>
    <row r="1181">
      <c r="A1181" s="6" t="str">
        <f>IFERROR(__xludf.DUMMYFUNCTION("""COMPUTED_VALUE"""),"FM2512")</f>
        <v>FM2512</v>
      </c>
      <c r="B1181" s="6" t="str">
        <f>IFERROR(__xludf.DUMMYFUNCTION("""COMPUTED_VALUE"""),"RUN-COMB_2022-06-29_RFR-065")</f>
        <v>RUN-COMB_2022-06-29_RFR-065</v>
      </c>
      <c r="C1181" s="7">
        <f>VLOOKUP(B1181,'Run Reconcile'!A$2:B3090,2,FALSE)</f>
        <v>44741</v>
      </c>
      <c r="D1181" s="11">
        <f>IFERROR(__xludf.DUMMYFUNCTION("""COMPUTED_VALUE"""),44741.0)</f>
        <v>44741</v>
      </c>
      <c r="E1181" s="12">
        <f>IFERROR(__xludf.DUMMYFUNCTION("""COMPUTED_VALUE"""),0.3006597222229175)</f>
        <v>0.3006597222</v>
      </c>
      <c r="F1181" s="6" t="str">
        <f>IFERROR(__xludf.DUMMYFUNCTION("""COMPUTED_VALUE"""),"Negative")</f>
        <v>Negative</v>
      </c>
      <c r="G1181" s="6">
        <f>IFERROR(__xludf.DUMMYFUNCTION("""COMPUTED_VALUE"""),1.0)</f>
        <v>1</v>
      </c>
    </row>
    <row r="1182">
      <c r="A1182" s="6" t="str">
        <f>IFERROR(__xludf.DUMMYFUNCTION("""COMPUTED_VALUE"""),"FM2480")</f>
        <v>FM2480</v>
      </c>
      <c r="B1182" s="6" t="str">
        <f>IFERROR(__xludf.DUMMYFUNCTION("""COMPUTED_VALUE"""),"RUN-COMB_2022-06-29_RFR-065")</f>
        <v>RUN-COMB_2022-06-29_RFR-065</v>
      </c>
      <c r="C1182" s="7">
        <f>VLOOKUP(B1182,'Run Reconcile'!A$2:B3090,2,FALSE)</f>
        <v>44741</v>
      </c>
      <c r="D1182" s="11">
        <f>IFERROR(__xludf.DUMMYFUNCTION("""COMPUTED_VALUE"""),44741.0)</f>
        <v>44741</v>
      </c>
      <c r="E1182" s="12">
        <f>IFERROR(__xludf.DUMMYFUNCTION("""COMPUTED_VALUE"""),0.30114583333488554)</f>
        <v>0.3011458333</v>
      </c>
      <c r="F1182" s="6" t="str">
        <f>IFERROR(__xludf.DUMMYFUNCTION("""COMPUTED_VALUE"""),"Negative")</f>
        <v>Negative</v>
      </c>
      <c r="G1182" s="6">
        <f>IFERROR(__xludf.DUMMYFUNCTION("""COMPUTED_VALUE"""),1.0)</f>
        <v>1</v>
      </c>
    </row>
    <row r="1183">
      <c r="A1183" s="6" t="str">
        <f>IFERROR(__xludf.DUMMYFUNCTION("""COMPUTED_VALUE"""),"FM2111")</f>
        <v>FM2111</v>
      </c>
      <c r="B1183" s="6" t="str">
        <f>IFERROR(__xludf.DUMMYFUNCTION("""COMPUTED_VALUE"""),"RUN-COMB_2022-06-29_RFR-065")</f>
        <v>RUN-COMB_2022-06-29_RFR-065</v>
      </c>
      <c r="C1183" s="7">
        <f>VLOOKUP(B1183,'Run Reconcile'!A$2:B3090,2,FALSE)</f>
        <v>44741</v>
      </c>
      <c r="D1183" s="11">
        <f>IFERROR(__xludf.DUMMYFUNCTION("""COMPUTED_VALUE"""),44741.0)</f>
        <v>44741</v>
      </c>
      <c r="E1183" s="12">
        <f>IFERROR(__xludf.DUMMYFUNCTION("""COMPUTED_VALUE"""),0.3014583333315386)</f>
        <v>0.3014583333</v>
      </c>
      <c r="F1183" s="6" t="str">
        <f>IFERROR(__xludf.DUMMYFUNCTION("""COMPUTED_VALUE"""),"Negative")</f>
        <v>Negative</v>
      </c>
      <c r="G1183" s="6">
        <f>IFERROR(__xludf.DUMMYFUNCTION("""COMPUTED_VALUE"""),1.0)</f>
        <v>1</v>
      </c>
    </row>
    <row r="1184">
      <c r="A1184" s="6" t="str">
        <f>IFERROR(__xludf.DUMMYFUNCTION("""COMPUTED_VALUE"""),"FM2500")</f>
        <v>FM2500</v>
      </c>
      <c r="B1184" s="6" t="str">
        <f>IFERROR(__xludf.DUMMYFUNCTION("""COMPUTED_VALUE"""),"RUN-COMB_2022-07-01_RFR-068")</f>
        <v>RUN-COMB_2022-07-01_RFR-068</v>
      </c>
      <c r="C1184" s="7">
        <f>VLOOKUP(B1184,'Run Reconcile'!A$2:B3090,2,FALSE)</f>
        <v>44743</v>
      </c>
      <c r="D1184" s="11">
        <f>IFERROR(__xludf.DUMMYFUNCTION("""COMPUTED_VALUE"""),44743.0)</f>
        <v>44743</v>
      </c>
      <c r="E1184" s="12">
        <f>IFERROR(__xludf.DUMMYFUNCTION("""COMPUTED_VALUE"""),0.36114583333255723)</f>
        <v>0.3611458333</v>
      </c>
      <c r="F1184" s="6" t="str">
        <f>IFERROR(__xludf.DUMMYFUNCTION("""COMPUTED_VALUE"""),"Negative")</f>
        <v>Negative</v>
      </c>
      <c r="G1184" s="6">
        <f>IFERROR(__xludf.DUMMYFUNCTION("""COMPUTED_VALUE"""),1.0)</f>
        <v>1</v>
      </c>
    </row>
    <row r="1185">
      <c r="A1185" s="6" t="str">
        <f>IFERROR(__xludf.DUMMYFUNCTION("""COMPUTED_VALUE"""),"FM2492")</f>
        <v>FM2492</v>
      </c>
      <c r="B1185" s="6" t="str">
        <f>IFERROR(__xludf.DUMMYFUNCTION("""COMPUTED_VALUE"""),"RUN-COMB_2022-07-01_RFR-068")</f>
        <v>RUN-COMB_2022-07-01_RFR-068</v>
      </c>
      <c r="C1185" s="7">
        <f>VLOOKUP(B1185,'Run Reconcile'!A$2:B3090,2,FALSE)</f>
        <v>44743</v>
      </c>
      <c r="D1185" s="11">
        <f>IFERROR(__xludf.DUMMYFUNCTION("""COMPUTED_VALUE"""),44743.0)</f>
        <v>44743</v>
      </c>
      <c r="E1185" s="12">
        <f>IFERROR(__xludf.DUMMYFUNCTION("""COMPUTED_VALUE"""),0.36145833333284827)</f>
        <v>0.3614583333</v>
      </c>
      <c r="F1185" s="6" t="str">
        <f>IFERROR(__xludf.DUMMYFUNCTION("""COMPUTED_VALUE"""),"Inconclusive")</f>
        <v>Inconclusive</v>
      </c>
      <c r="G1185" s="6">
        <f>IFERROR(__xludf.DUMMYFUNCTION("""COMPUTED_VALUE"""),1.0)</f>
        <v>1</v>
      </c>
    </row>
    <row r="1186">
      <c r="A1186" s="6" t="str">
        <f>IFERROR(__xludf.DUMMYFUNCTION("""COMPUTED_VALUE"""),"FM2438")</f>
        <v>FM2438</v>
      </c>
      <c r="B1186" s="6" t="str">
        <f>IFERROR(__xludf.DUMMYFUNCTION("""COMPUTED_VALUE"""),"RUN-COMB_2022-07-01_RFR-068")</f>
        <v>RUN-COMB_2022-07-01_RFR-068</v>
      </c>
      <c r="C1186" s="7">
        <f>VLOOKUP(B1186,'Run Reconcile'!A$2:B3090,2,FALSE)</f>
        <v>44743</v>
      </c>
      <c r="D1186" s="11">
        <f>IFERROR(__xludf.DUMMYFUNCTION("""COMPUTED_VALUE"""),44743.0)</f>
        <v>44743</v>
      </c>
      <c r="E1186" s="12">
        <f>IFERROR(__xludf.DUMMYFUNCTION("""COMPUTED_VALUE"""),0.3618402777792653)</f>
        <v>0.3618402778</v>
      </c>
      <c r="F1186" s="6" t="str">
        <f>IFERROR(__xludf.DUMMYFUNCTION("""COMPUTED_VALUE"""),"Negative")</f>
        <v>Negative</v>
      </c>
      <c r="G1186" s="6">
        <f>IFERROR(__xludf.DUMMYFUNCTION("""COMPUTED_VALUE"""),1.0)</f>
        <v>1</v>
      </c>
    </row>
    <row r="1187">
      <c r="A1187" s="6" t="str">
        <f>IFERROR(__xludf.DUMMYFUNCTION("""COMPUTED_VALUE"""),"FM2458")</f>
        <v>FM2458</v>
      </c>
      <c r="B1187" s="6" t="str">
        <f>IFERROR(__xludf.DUMMYFUNCTION("""COMPUTED_VALUE"""),"RUN-COMB_2022-07-01_RFR-068")</f>
        <v>RUN-COMB_2022-07-01_RFR-068</v>
      </c>
      <c r="C1187" s="7">
        <f>VLOOKUP(B1187,'Run Reconcile'!A$2:B3090,2,FALSE)</f>
        <v>44743</v>
      </c>
      <c r="D1187" s="11">
        <f>IFERROR(__xludf.DUMMYFUNCTION("""COMPUTED_VALUE"""),44743.0)</f>
        <v>44743</v>
      </c>
      <c r="E1187" s="12">
        <f>IFERROR(__xludf.DUMMYFUNCTION("""COMPUTED_VALUE"""),0.36218749999898137)</f>
        <v>0.3621875</v>
      </c>
      <c r="F1187" s="6" t="str">
        <f>IFERROR(__xludf.DUMMYFUNCTION("""COMPUTED_VALUE"""),"Negative")</f>
        <v>Negative</v>
      </c>
      <c r="G1187" s="6">
        <f>IFERROR(__xludf.DUMMYFUNCTION("""COMPUTED_VALUE"""),1.0)</f>
        <v>1</v>
      </c>
    </row>
    <row r="1188">
      <c r="A1188" s="6" t="str">
        <f>IFERROR(__xludf.DUMMYFUNCTION("""COMPUTED_VALUE"""),"FM2409")</f>
        <v>FM2409</v>
      </c>
      <c r="B1188" s="6" t="str">
        <f>IFERROR(__xludf.DUMMYFUNCTION("""COMPUTED_VALUE"""),"RUN-COMB_2022-07-01_RFR-068")</f>
        <v>RUN-COMB_2022-07-01_RFR-068</v>
      </c>
      <c r="C1188" s="7">
        <f>VLOOKUP(B1188,'Run Reconcile'!A$2:B3090,2,FALSE)</f>
        <v>44743</v>
      </c>
      <c r="D1188" s="11">
        <f>IFERROR(__xludf.DUMMYFUNCTION("""COMPUTED_VALUE"""),44743.0)</f>
        <v>44743</v>
      </c>
      <c r="E1188" s="12">
        <f>IFERROR(__xludf.DUMMYFUNCTION("""COMPUTED_VALUE"""),0.3625115740724141)</f>
        <v>0.3625115741</v>
      </c>
      <c r="F1188" s="6" t="str">
        <f>IFERROR(__xludf.DUMMYFUNCTION("""COMPUTED_VALUE"""),"Negative")</f>
        <v>Negative</v>
      </c>
      <c r="G1188" s="6">
        <f>IFERROR(__xludf.DUMMYFUNCTION("""COMPUTED_VALUE"""),1.0)</f>
        <v>1</v>
      </c>
    </row>
    <row r="1189">
      <c r="A1189" s="6" t="str">
        <f>IFERROR(__xludf.DUMMYFUNCTION("""COMPUTED_VALUE"""),"FM2519")</f>
        <v>FM2519</v>
      </c>
      <c r="B1189" s="6" t="str">
        <f>IFERROR(__xludf.DUMMYFUNCTION("""COMPUTED_VALUE"""),"RUN-COMB_2022-07-01_RFR-068")</f>
        <v>RUN-COMB_2022-07-01_RFR-068</v>
      </c>
      <c r="C1189" s="7">
        <f>VLOOKUP(B1189,'Run Reconcile'!A$2:B3090,2,FALSE)</f>
        <v>44743</v>
      </c>
      <c r="D1189" s="11">
        <f>IFERROR(__xludf.DUMMYFUNCTION("""COMPUTED_VALUE"""),44743.0)</f>
        <v>44743</v>
      </c>
      <c r="E1189" s="12">
        <f>IFERROR(__xludf.DUMMYFUNCTION("""COMPUTED_VALUE"""),0.3629050925919728)</f>
        <v>0.3629050926</v>
      </c>
      <c r="F1189" s="6" t="str">
        <f>IFERROR(__xludf.DUMMYFUNCTION("""COMPUTED_VALUE"""),"Negative")</f>
        <v>Negative</v>
      </c>
      <c r="G1189" s="6">
        <f>IFERROR(__xludf.DUMMYFUNCTION("""COMPUTED_VALUE"""),1.0)</f>
        <v>1</v>
      </c>
    </row>
    <row r="1190">
      <c r="A1190" s="6" t="str">
        <f>IFERROR(__xludf.DUMMYFUNCTION("""COMPUTED_VALUE"""),"FM2507")</f>
        <v>FM2507</v>
      </c>
      <c r="B1190" s="6" t="str">
        <f>IFERROR(__xludf.DUMMYFUNCTION("""COMPUTED_VALUE"""),"RUN-COMB_2022-07-01_RFR-068")</f>
        <v>RUN-COMB_2022-07-01_RFR-068</v>
      </c>
      <c r="C1190" s="7">
        <f>VLOOKUP(B1190,'Run Reconcile'!A$2:B3090,2,FALSE)</f>
        <v>44743</v>
      </c>
      <c r="D1190" s="11">
        <f>IFERROR(__xludf.DUMMYFUNCTION("""COMPUTED_VALUE"""),44743.0)</f>
        <v>44743</v>
      </c>
      <c r="E1190" s="12">
        <f>IFERROR(__xludf.DUMMYFUNCTION("""COMPUTED_VALUE"""),0.3632175925922638)</f>
        <v>0.3632175926</v>
      </c>
      <c r="F1190" s="6" t="str">
        <f>IFERROR(__xludf.DUMMYFUNCTION("""COMPUTED_VALUE"""),"Negative")</f>
        <v>Negative</v>
      </c>
      <c r="G1190" s="6">
        <f>IFERROR(__xludf.DUMMYFUNCTION("""COMPUTED_VALUE"""),1.0)</f>
        <v>1</v>
      </c>
    </row>
    <row r="1191">
      <c r="A1191" s="6" t="str">
        <f>IFERROR(__xludf.DUMMYFUNCTION("""COMPUTED_VALUE"""),"FM2497")</f>
        <v>FM2497</v>
      </c>
      <c r="B1191" s="6" t="str">
        <f>IFERROR(__xludf.DUMMYFUNCTION("""COMPUTED_VALUE"""),"RUN-COMB_2022-07-01_RFR-068")</f>
        <v>RUN-COMB_2022-07-01_RFR-068</v>
      </c>
      <c r="C1191" s="7">
        <f>VLOOKUP(B1191,'Run Reconcile'!A$2:B3090,2,FALSE)</f>
        <v>44743</v>
      </c>
      <c r="D1191" s="11">
        <f>IFERROR(__xludf.DUMMYFUNCTION("""COMPUTED_VALUE"""),44743.0)</f>
        <v>44743</v>
      </c>
      <c r="E1191" s="12">
        <f>IFERROR(__xludf.DUMMYFUNCTION("""COMPUTED_VALUE"""),0.36361111111182254)</f>
        <v>0.3636111111</v>
      </c>
      <c r="F1191" s="6" t="str">
        <f>IFERROR(__xludf.DUMMYFUNCTION("""COMPUTED_VALUE"""),"Negative")</f>
        <v>Negative</v>
      </c>
      <c r="G1191" s="6">
        <f>IFERROR(__xludf.DUMMYFUNCTION("""COMPUTED_VALUE"""),1.0)</f>
        <v>1</v>
      </c>
    </row>
    <row r="1192">
      <c r="A1192" s="6" t="str">
        <f>IFERROR(__xludf.DUMMYFUNCTION("""COMPUTED_VALUE"""),"FM2502")</f>
        <v>FM2502</v>
      </c>
      <c r="B1192" s="6" t="str">
        <f>IFERROR(__xludf.DUMMYFUNCTION("""COMPUTED_VALUE"""),"RUN-COMB_2022-07-01_RFR-068")</f>
        <v>RUN-COMB_2022-07-01_RFR-068</v>
      </c>
      <c r="C1192" s="7">
        <f>VLOOKUP(B1192,'Run Reconcile'!A$2:B3090,2,FALSE)</f>
        <v>44743</v>
      </c>
      <c r="D1192" s="11">
        <f>IFERROR(__xludf.DUMMYFUNCTION("""COMPUTED_VALUE"""),44743.0)</f>
        <v>44743</v>
      </c>
      <c r="E1192" s="12">
        <f>IFERROR(__xludf.DUMMYFUNCTION("""COMPUTED_VALUE"""),0.3640509259275859)</f>
        <v>0.3640509259</v>
      </c>
      <c r="F1192" s="6" t="str">
        <f>IFERROR(__xludf.DUMMYFUNCTION("""COMPUTED_VALUE"""),"Negative")</f>
        <v>Negative</v>
      </c>
      <c r="G1192" s="6">
        <f>IFERROR(__xludf.DUMMYFUNCTION("""COMPUTED_VALUE"""),1.0)</f>
        <v>1</v>
      </c>
    </row>
    <row r="1193">
      <c r="A1193" s="6" t="str">
        <f>IFERROR(__xludf.DUMMYFUNCTION("""COMPUTED_VALUE"""),"FM2427")</f>
        <v>FM2427</v>
      </c>
      <c r="B1193" s="6" t="str">
        <f>IFERROR(__xludf.DUMMYFUNCTION("""COMPUTED_VALUE"""),"RUN-COMB_2022-07-01_RFR-068")</f>
        <v>RUN-COMB_2022-07-01_RFR-068</v>
      </c>
      <c r="C1193" s="7">
        <f>VLOOKUP(B1193,'Run Reconcile'!A$2:B3090,2,FALSE)</f>
        <v>44743</v>
      </c>
      <c r="D1193" s="11">
        <f>IFERROR(__xludf.DUMMYFUNCTION("""COMPUTED_VALUE"""),44743.0)</f>
        <v>44743</v>
      </c>
      <c r="E1193" s="12">
        <f>IFERROR(__xludf.DUMMYFUNCTION("""COMPUTED_VALUE"""),0.364432870370365)</f>
        <v>0.3644328704</v>
      </c>
      <c r="F1193" s="6" t="str">
        <f>IFERROR(__xludf.DUMMYFUNCTION("""COMPUTED_VALUE"""),"Negative")</f>
        <v>Negative</v>
      </c>
      <c r="G1193" s="6">
        <f>IFERROR(__xludf.DUMMYFUNCTION("""COMPUTED_VALUE"""),1.0)</f>
        <v>1</v>
      </c>
    </row>
    <row r="1194">
      <c r="A1194" s="6" t="str">
        <f>IFERROR(__xludf.DUMMYFUNCTION("""COMPUTED_VALUE"""),"FM2425")</f>
        <v>FM2425</v>
      </c>
      <c r="B1194" s="6" t="str">
        <f>IFERROR(__xludf.DUMMYFUNCTION("""COMPUTED_VALUE"""),"RUN-COMB_2022-07-01_RFR-068")</f>
        <v>RUN-COMB_2022-07-01_RFR-068</v>
      </c>
      <c r="C1194" s="7">
        <f>VLOOKUP(B1194,'Run Reconcile'!A$2:B3090,2,FALSE)</f>
        <v>44743</v>
      </c>
      <c r="D1194" s="11">
        <f>IFERROR(__xludf.DUMMYFUNCTION("""COMPUTED_VALUE"""),44743.0)</f>
        <v>44743</v>
      </c>
      <c r="E1194" s="12">
        <f>IFERROR(__xludf.DUMMYFUNCTION("""COMPUTED_VALUE"""),0.36473379629751435)</f>
        <v>0.3647337963</v>
      </c>
      <c r="F1194" s="6" t="str">
        <f>IFERROR(__xludf.DUMMYFUNCTION("""COMPUTED_VALUE"""),"Negative")</f>
        <v>Negative</v>
      </c>
      <c r="G1194" s="6">
        <f>IFERROR(__xludf.DUMMYFUNCTION("""COMPUTED_VALUE"""),1.0)</f>
        <v>1</v>
      </c>
    </row>
    <row r="1195">
      <c r="A1195" s="6" t="str">
        <f>IFERROR(__xludf.DUMMYFUNCTION("""COMPUTED_VALUE"""),"FM2489")</f>
        <v>FM2489</v>
      </c>
      <c r="B1195" s="6" t="str">
        <f>IFERROR(__xludf.DUMMYFUNCTION("""COMPUTED_VALUE"""),"RUN-COMB_2022-07-01_RFR-068")</f>
        <v>RUN-COMB_2022-07-01_RFR-068</v>
      </c>
      <c r="C1195" s="7">
        <f>VLOOKUP(B1195,'Run Reconcile'!A$2:B3090,2,FALSE)</f>
        <v>44743</v>
      </c>
      <c r="D1195" s="11">
        <f>IFERROR(__xludf.DUMMYFUNCTION("""COMPUTED_VALUE"""),44743.0)</f>
        <v>44743</v>
      </c>
      <c r="E1195" s="12">
        <f>IFERROR(__xludf.DUMMYFUNCTION("""COMPUTED_VALUE"""),0.3650462962978054)</f>
        <v>0.3650462963</v>
      </c>
      <c r="F1195" s="6" t="str">
        <f>IFERROR(__xludf.DUMMYFUNCTION("""COMPUTED_VALUE"""),"Negative")</f>
        <v>Negative</v>
      </c>
      <c r="G1195" s="6">
        <f>IFERROR(__xludf.DUMMYFUNCTION("""COMPUTED_VALUE"""),1.0)</f>
        <v>1</v>
      </c>
    </row>
    <row r="1196">
      <c r="A1196" s="6" t="str">
        <f>IFERROR(__xludf.DUMMYFUNCTION("""COMPUTED_VALUE"""),"FM2468")</f>
        <v>FM2468</v>
      </c>
      <c r="B1196" s="6" t="str">
        <f>IFERROR(__xludf.DUMMYFUNCTION("""COMPUTED_VALUE"""),"RUN-COMB_2022-07-01_RFR-068")</f>
        <v>RUN-COMB_2022-07-01_RFR-068</v>
      </c>
      <c r="C1196" s="7">
        <f>VLOOKUP(B1196,'Run Reconcile'!A$2:B3090,2,FALSE)</f>
        <v>44743</v>
      </c>
      <c r="D1196" s="11">
        <f>IFERROR(__xludf.DUMMYFUNCTION("""COMPUTED_VALUE"""),44743.0)</f>
        <v>44743</v>
      </c>
      <c r="E1196" s="12">
        <f>IFERROR(__xludf.DUMMYFUNCTION("""COMPUTED_VALUE"""),0.36539351851752144)</f>
        <v>0.3653935185</v>
      </c>
      <c r="F1196" s="6" t="str">
        <f>IFERROR(__xludf.DUMMYFUNCTION("""COMPUTED_VALUE"""),"Negative")</f>
        <v>Negative</v>
      </c>
      <c r="G1196" s="6">
        <f>IFERROR(__xludf.DUMMYFUNCTION("""COMPUTED_VALUE"""),1.0)</f>
        <v>1</v>
      </c>
    </row>
    <row r="1197">
      <c r="A1197" s="6" t="str">
        <f>IFERROR(__xludf.DUMMYFUNCTION("""COMPUTED_VALUE"""),"FM2413")</f>
        <v>FM2413</v>
      </c>
      <c r="B1197" s="6" t="str">
        <f>IFERROR(__xludf.DUMMYFUNCTION("""COMPUTED_VALUE"""),"RUN-COMB_2022-07-01_RFR-068")</f>
        <v>RUN-COMB_2022-07-01_RFR-068</v>
      </c>
      <c r="C1197" s="7">
        <f>VLOOKUP(B1197,'Run Reconcile'!A$2:B3090,2,FALSE)</f>
        <v>44743</v>
      </c>
      <c r="D1197" s="11">
        <f>IFERROR(__xludf.DUMMYFUNCTION("""COMPUTED_VALUE"""),44743.0)</f>
        <v>44743</v>
      </c>
      <c r="E1197" s="12">
        <f>IFERROR(__xludf.DUMMYFUNCTION("""COMPUTED_VALUE"""),0.3656944444446708)</f>
        <v>0.3656944444</v>
      </c>
      <c r="F1197" s="6" t="str">
        <f>IFERROR(__xludf.DUMMYFUNCTION("""COMPUTED_VALUE"""),"Negative")</f>
        <v>Negative</v>
      </c>
      <c r="G1197" s="6">
        <f>IFERROR(__xludf.DUMMYFUNCTION("""COMPUTED_VALUE"""),1.0)</f>
        <v>1</v>
      </c>
    </row>
    <row r="1198">
      <c r="A1198" s="6" t="str">
        <f>IFERROR(__xludf.DUMMYFUNCTION("""COMPUTED_VALUE"""),"FM2491")</f>
        <v>FM2491</v>
      </c>
      <c r="B1198" s="6" t="str">
        <f>IFERROR(__xludf.DUMMYFUNCTION("""COMPUTED_VALUE"""),"RUN-COMB_2022-07-01_RFR-068")</f>
        <v>RUN-COMB_2022-07-01_RFR-068</v>
      </c>
      <c r="C1198" s="7">
        <f>VLOOKUP(B1198,'Run Reconcile'!A$2:B3090,2,FALSE)</f>
        <v>44743</v>
      </c>
      <c r="D1198" s="11">
        <f>IFERROR(__xludf.DUMMYFUNCTION("""COMPUTED_VALUE"""),44743.0)</f>
        <v>44743</v>
      </c>
      <c r="E1198" s="12">
        <f>IFERROR(__xludf.DUMMYFUNCTION("""COMPUTED_VALUE"""),0.3659837962950405)</f>
        <v>0.3659837963</v>
      </c>
      <c r="F1198" s="6" t="str">
        <f>IFERROR(__xludf.DUMMYFUNCTION("""COMPUTED_VALUE"""),"Negative")</f>
        <v>Negative</v>
      </c>
      <c r="G1198" s="6">
        <f>IFERROR(__xludf.DUMMYFUNCTION("""COMPUTED_VALUE"""),1.0)</f>
        <v>1</v>
      </c>
    </row>
    <row r="1199">
      <c r="A1199" s="6" t="str">
        <f>IFERROR(__xludf.DUMMYFUNCTION("""COMPUTED_VALUE"""),"FM2510")</f>
        <v>FM2510</v>
      </c>
      <c r="B1199" s="6" t="str">
        <f>IFERROR(__xludf.DUMMYFUNCTION("""COMPUTED_VALUE"""),"RUN-COMB_2022-07-01_RFR-068")</f>
        <v>RUN-COMB_2022-07-01_RFR-068</v>
      </c>
      <c r="C1199" s="7">
        <f>VLOOKUP(B1199,'Run Reconcile'!A$2:B3090,2,FALSE)</f>
        <v>44743</v>
      </c>
      <c r="D1199" s="11">
        <f>IFERROR(__xludf.DUMMYFUNCTION("""COMPUTED_VALUE"""),44743.0)</f>
        <v>44743</v>
      </c>
      <c r="E1199" s="12">
        <f>IFERROR(__xludf.DUMMYFUNCTION("""COMPUTED_VALUE"""),0.36633101851839456)</f>
        <v>0.3663310185</v>
      </c>
      <c r="F1199" s="6" t="str">
        <f>IFERROR(__xludf.DUMMYFUNCTION("""COMPUTED_VALUE"""),"Negative")</f>
        <v>Negative</v>
      </c>
      <c r="G1199" s="6">
        <f>IFERROR(__xludf.DUMMYFUNCTION("""COMPUTED_VALUE"""),1.0)</f>
        <v>1</v>
      </c>
    </row>
    <row r="1200">
      <c r="A1200" s="6" t="str">
        <f>IFERROR(__xludf.DUMMYFUNCTION("""COMPUTED_VALUE"""),"FM2737")</f>
        <v>FM2737</v>
      </c>
      <c r="B1200" s="6" t="str">
        <f>IFERROR(__xludf.DUMMYFUNCTION("""COMPUTED_VALUE"""),"RUN-COMB_2022-07-01_RFR-068")</f>
        <v>RUN-COMB_2022-07-01_RFR-068</v>
      </c>
      <c r="C1200" s="7">
        <f>VLOOKUP(B1200,'Run Reconcile'!A$2:B3090,2,FALSE)</f>
        <v>44743</v>
      </c>
      <c r="D1200" s="11">
        <f>IFERROR(__xludf.DUMMYFUNCTION("""COMPUTED_VALUE"""),44743.0)</f>
        <v>44743</v>
      </c>
      <c r="E1200" s="12">
        <f>IFERROR(__xludf.DUMMYFUNCTION("""COMPUTED_VALUE"""),0.3666435185186856)</f>
        <v>0.3666435185</v>
      </c>
      <c r="F1200" s="6" t="str">
        <f>IFERROR(__xludf.DUMMYFUNCTION("""COMPUTED_VALUE"""),"Negative")</f>
        <v>Negative</v>
      </c>
      <c r="G1200" s="6">
        <f>IFERROR(__xludf.DUMMYFUNCTION("""COMPUTED_VALUE"""),1.0)</f>
        <v>1</v>
      </c>
    </row>
    <row r="1201">
      <c r="A1201" s="6" t="str">
        <f>IFERROR(__xludf.DUMMYFUNCTION("""COMPUTED_VALUE"""),"FM2488")</f>
        <v>FM2488</v>
      </c>
      <c r="B1201" s="6" t="str">
        <f>IFERROR(__xludf.DUMMYFUNCTION("""COMPUTED_VALUE"""),"RUN-COMB_2022-07-01_RFR-068")</f>
        <v>RUN-COMB_2022-07-01_RFR-068</v>
      </c>
      <c r="C1201" s="7">
        <f>VLOOKUP(B1201,'Run Reconcile'!A$2:B3090,2,FALSE)</f>
        <v>44743</v>
      </c>
      <c r="D1201" s="11">
        <f>IFERROR(__xludf.DUMMYFUNCTION("""COMPUTED_VALUE"""),44743.0)</f>
        <v>44743</v>
      </c>
      <c r="E1201" s="12">
        <f>IFERROR(__xludf.DUMMYFUNCTION("""COMPUTED_VALUE"""),0.3669675925921183)</f>
        <v>0.3669675926</v>
      </c>
      <c r="F1201" s="6" t="str">
        <f>IFERROR(__xludf.DUMMYFUNCTION("""COMPUTED_VALUE"""),"Negative")</f>
        <v>Negative</v>
      </c>
      <c r="G1201" s="6">
        <f>IFERROR(__xludf.DUMMYFUNCTION("""COMPUTED_VALUE"""),1.0)</f>
        <v>1</v>
      </c>
    </row>
    <row r="1202">
      <c r="A1202" s="6" t="str">
        <f>IFERROR(__xludf.DUMMYFUNCTION("""COMPUTED_VALUE"""),"FM2820")</f>
        <v>FM2820</v>
      </c>
      <c r="B1202" s="6" t="str">
        <f>IFERROR(__xludf.DUMMYFUNCTION("""COMPUTED_VALUE"""),"RUN-COMB_2022-07-01_RFR-068")</f>
        <v>RUN-COMB_2022-07-01_RFR-068</v>
      </c>
      <c r="C1202" s="7">
        <f>VLOOKUP(B1202,'Run Reconcile'!A$2:B3090,2,FALSE)</f>
        <v>44743</v>
      </c>
      <c r="D1202" s="11">
        <f>IFERROR(__xludf.DUMMYFUNCTION("""COMPUTED_VALUE"""),44743.0)</f>
        <v>44743</v>
      </c>
      <c r="E1202" s="12">
        <f>IFERROR(__xludf.DUMMYFUNCTION("""COMPUTED_VALUE"""),0.36763888888890506)</f>
        <v>0.3676388889</v>
      </c>
      <c r="F1202" s="6" t="str">
        <f>IFERROR(__xludf.DUMMYFUNCTION("""COMPUTED_VALUE"""),"Negative")</f>
        <v>Negative</v>
      </c>
      <c r="G1202" s="6">
        <f>IFERROR(__xludf.DUMMYFUNCTION("""COMPUTED_VALUE"""),1.0)</f>
        <v>1</v>
      </c>
    </row>
    <row r="1203">
      <c r="A1203" s="6" t="str">
        <f>IFERROR(__xludf.DUMMYFUNCTION("""COMPUTED_VALUE"""),"FM2505")</f>
        <v>FM2505</v>
      </c>
      <c r="B1203" s="6" t="str">
        <f>IFERROR(__xludf.DUMMYFUNCTION("""COMPUTED_VALUE"""),"RUN-COMB_2022-07-01_RFR-068")</f>
        <v>RUN-COMB_2022-07-01_RFR-068</v>
      </c>
      <c r="C1203" s="7">
        <f>VLOOKUP(B1203,'Run Reconcile'!A$2:B3090,2,FALSE)</f>
        <v>44743</v>
      </c>
      <c r="D1203" s="11">
        <f>IFERROR(__xludf.DUMMYFUNCTION("""COMPUTED_VALUE"""),44743.0)</f>
        <v>44743</v>
      </c>
      <c r="E1203" s="12">
        <f>IFERROR(__xludf.DUMMYFUNCTION("""COMPUTED_VALUE"""),0.3679861111122591)</f>
        <v>0.3679861111</v>
      </c>
      <c r="F1203" s="6" t="str">
        <f>IFERROR(__xludf.DUMMYFUNCTION("""COMPUTED_VALUE"""),"Negative")</f>
        <v>Negative</v>
      </c>
      <c r="G1203" s="6">
        <f>IFERROR(__xludf.DUMMYFUNCTION("""COMPUTED_VALUE"""),1.0)</f>
        <v>1</v>
      </c>
    </row>
    <row r="1204">
      <c r="A1204" s="6" t="str">
        <f>IFERROR(__xludf.DUMMYFUNCTION("""COMPUTED_VALUE"""),"FM2442")</f>
        <v>FM2442</v>
      </c>
      <c r="B1204" s="6" t="str">
        <f>IFERROR(__xludf.DUMMYFUNCTION("""COMPUTED_VALUE"""),"RUN-COMB_2022-07-01_RFR-068")</f>
        <v>RUN-COMB_2022-07-01_RFR-068</v>
      </c>
      <c r="C1204" s="7">
        <f>VLOOKUP(B1204,'Run Reconcile'!A$2:B3090,2,FALSE)</f>
        <v>44743</v>
      </c>
      <c r="D1204" s="11">
        <f>IFERROR(__xludf.DUMMYFUNCTION("""COMPUTED_VALUE"""),44743.0)</f>
        <v>44743</v>
      </c>
      <c r="E1204" s="12">
        <f>IFERROR(__xludf.DUMMYFUNCTION("""COMPUTED_VALUE"""),0.36829861111255013)</f>
        <v>0.3682986111</v>
      </c>
      <c r="F1204" s="6" t="str">
        <f>IFERROR(__xludf.DUMMYFUNCTION("""COMPUTED_VALUE"""),"Negative")</f>
        <v>Negative</v>
      </c>
      <c r="G1204" s="6">
        <f>IFERROR(__xludf.DUMMYFUNCTION("""COMPUTED_VALUE"""),1.0)</f>
        <v>1</v>
      </c>
    </row>
    <row r="1205">
      <c r="A1205" s="6" t="str">
        <f>IFERROR(__xludf.DUMMYFUNCTION("""COMPUTED_VALUE"""),"FM2437")</f>
        <v>FM2437</v>
      </c>
      <c r="B1205" s="6" t="str">
        <f>IFERROR(__xludf.DUMMYFUNCTION("""COMPUTED_VALUE"""),"RUN-COMB_2022-07-01_RFR-068")</f>
        <v>RUN-COMB_2022-07-01_RFR-068</v>
      </c>
      <c r="C1205" s="7">
        <f>VLOOKUP(B1205,'Run Reconcile'!A$2:B3090,2,FALSE)</f>
        <v>44743</v>
      </c>
      <c r="D1205" s="11">
        <f>IFERROR(__xludf.DUMMYFUNCTION("""COMPUTED_VALUE"""),44743.0)</f>
        <v>44743</v>
      </c>
      <c r="E1205" s="12">
        <f>IFERROR(__xludf.DUMMYFUNCTION("""COMPUTED_VALUE"""),0.37030092592613073)</f>
        <v>0.3703009259</v>
      </c>
      <c r="F1205" s="6" t="str">
        <f>IFERROR(__xludf.DUMMYFUNCTION("""COMPUTED_VALUE"""),"Negative")</f>
        <v>Negative</v>
      </c>
      <c r="G1205" s="6">
        <f>IFERROR(__xludf.DUMMYFUNCTION("""COMPUTED_VALUE"""),1.0)</f>
        <v>1</v>
      </c>
    </row>
    <row r="1206">
      <c r="A1206" s="6" t="str">
        <f>IFERROR(__xludf.DUMMYFUNCTION("""COMPUTED_VALUE"""),"FM2422")</f>
        <v>FM2422</v>
      </c>
      <c r="B1206" s="6" t="str">
        <f>IFERROR(__xludf.DUMMYFUNCTION("""COMPUTED_VALUE"""),"RUN-COMB_2022-07-01_RFR-068")</f>
        <v>RUN-COMB_2022-07-01_RFR-068</v>
      </c>
      <c r="C1206" s="7">
        <f>VLOOKUP(B1206,'Run Reconcile'!A$2:B3090,2,FALSE)</f>
        <v>44743</v>
      </c>
      <c r="D1206" s="11">
        <f>IFERROR(__xludf.DUMMYFUNCTION("""COMPUTED_VALUE"""),44743.0)</f>
        <v>44743</v>
      </c>
      <c r="E1206" s="12">
        <f>IFERROR(__xludf.DUMMYFUNCTION("""COMPUTED_VALUE"""),0.3707870370380988)</f>
        <v>0.370787037</v>
      </c>
      <c r="F1206" s="6" t="str">
        <f>IFERROR(__xludf.DUMMYFUNCTION("""COMPUTED_VALUE"""),"Negative")</f>
        <v>Negative</v>
      </c>
      <c r="G1206" s="6">
        <f>IFERROR(__xludf.DUMMYFUNCTION("""COMPUTED_VALUE"""),1.0)</f>
        <v>1</v>
      </c>
    </row>
    <row r="1207">
      <c r="A1207" s="6" t="str">
        <f>IFERROR(__xludf.DUMMYFUNCTION("""COMPUTED_VALUE"""),"FM2469")</f>
        <v>FM2469</v>
      </c>
      <c r="B1207" s="6" t="str">
        <f>IFERROR(__xludf.DUMMYFUNCTION("""COMPUTED_VALUE"""),"RUN-COMB_2022-07-01_RFR-068")</f>
        <v>RUN-COMB_2022-07-01_RFR-068</v>
      </c>
      <c r="C1207" s="7">
        <f>VLOOKUP(B1207,'Run Reconcile'!A$2:B3090,2,FALSE)</f>
        <v>44743</v>
      </c>
      <c r="D1207" s="11">
        <f>IFERROR(__xludf.DUMMYFUNCTION("""COMPUTED_VALUE"""),44743.0)</f>
        <v>44743</v>
      </c>
      <c r="E1207" s="12">
        <f>IFERROR(__xludf.DUMMYFUNCTION("""COMPUTED_VALUE"""),0.372175925924239)</f>
        <v>0.3721759259</v>
      </c>
      <c r="F1207" s="6" t="str">
        <f>IFERROR(__xludf.DUMMYFUNCTION("""COMPUTED_VALUE"""),"Negative")</f>
        <v>Negative</v>
      </c>
      <c r="G1207" s="6">
        <f>IFERROR(__xludf.DUMMYFUNCTION("""COMPUTED_VALUE"""),1.0)</f>
        <v>1</v>
      </c>
    </row>
    <row r="1208">
      <c r="A1208" s="6" t="str">
        <f>IFERROR(__xludf.DUMMYFUNCTION("""COMPUTED_VALUE"""),"FM2711")</f>
        <v>FM2711</v>
      </c>
      <c r="B1208" s="6" t="str">
        <f>IFERROR(__xludf.DUMMYFUNCTION("""COMPUTED_VALUE"""),"RUN-COMB_2022-07-04_RFR-070")</f>
        <v>RUN-COMB_2022-07-04_RFR-070</v>
      </c>
      <c r="C1208" s="7">
        <f>VLOOKUP(B1208,'Run Reconcile'!A$2:B3090,2,FALSE)</f>
        <v>44746</v>
      </c>
      <c r="D1208" s="11">
        <f>IFERROR(__xludf.DUMMYFUNCTION("""COMPUTED_VALUE"""),44746.0)</f>
        <v>44746</v>
      </c>
      <c r="E1208" s="12">
        <f>IFERROR(__xludf.DUMMYFUNCTION("""COMPUTED_VALUE"""),0.7804513888877409)</f>
        <v>0.7804513889</v>
      </c>
      <c r="F1208" s="6" t="str">
        <f>IFERROR(__xludf.DUMMYFUNCTION("""COMPUTED_VALUE"""),"Negative")</f>
        <v>Negative</v>
      </c>
      <c r="G1208" s="6">
        <f>IFERROR(__xludf.DUMMYFUNCTION("""COMPUTED_VALUE"""),1.0)</f>
        <v>1</v>
      </c>
    </row>
    <row r="1209">
      <c r="A1209" s="6" t="str">
        <f>IFERROR(__xludf.DUMMYFUNCTION("""COMPUTED_VALUE"""),"FM2727")</f>
        <v>FM2727</v>
      </c>
      <c r="B1209" s="6" t="str">
        <f>IFERROR(__xludf.DUMMYFUNCTION("""COMPUTED_VALUE"""),"RUN-COMB_2022-07-04_RFR-070")</f>
        <v>RUN-COMB_2022-07-04_RFR-070</v>
      </c>
      <c r="C1209" s="7">
        <f>VLOOKUP(B1209,'Run Reconcile'!A$2:B3090,2,FALSE)</f>
        <v>44746</v>
      </c>
      <c r="D1209" s="11">
        <f>IFERROR(__xludf.DUMMYFUNCTION("""COMPUTED_VALUE"""),44746.0)</f>
        <v>44746</v>
      </c>
      <c r="E1209" s="12">
        <f>IFERROR(__xludf.DUMMYFUNCTION("""COMPUTED_VALUE"""),0.7807986111110949)</f>
        <v>0.7807986111</v>
      </c>
      <c r="F1209" s="6" t="str">
        <f>IFERROR(__xludf.DUMMYFUNCTION("""COMPUTED_VALUE"""),"Negative")</f>
        <v>Negative</v>
      </c>
      <c r="G1209" s="6">
        <f>IFERROR(__xludf.DUMMYFUNCTION("""COMPUTED_VALUE"""),1.0)</f>
        <v>1</v>
      </c>
    </row>
    <row r="1210">
      <c r="A1210" s="6" t="str">
        <f>IFERROR(__xludf.DUMMYFUNCTION("""COMPUTED_VALUE"""),"FM2769")</f>
        <v>FM2769</v>
      </c>
      <c r="B1210" s="6" t="str">
        <f>IFERROR(__xludf.DUMMYFUNCTION("""COMPUTED_VALUE"""),"RUN-COMB_2022-07-04_RFR-070")</f>
        <v>RUN-COMB_2022-07-04_RFR-070</v>
      </c>
      <c r="C1210" s="7">
        <f>VLOOKUP(B1210,'Run Reconcile'!A$2:B3090,2,FALSE)</f>
        <v>44746</v>
      </c>
      <c r="D1210" s="11">
        <f>IFERROR(__xludf.DUMMYFUNCTION("""COMPUTED_VALUE"""),44746.0)</f>
        <v>44746</v>
      </c>
      <c r="E1210" s="12">
        <f>IFERROR(__xludf.DUMMYFUNCTION("""COMPUTED_VALUE"""),0.7811342592576693)</f>
        <v>0.7811342593</v>
      </c>
      <c r="F1210" s="6" t="str">
        <f>IFERROR(__xludf.DUMMYFUNCTION("""COMPUTED_VALUE"""),"Negative")</f>
        <v>Negative</v>
      </c>
      <c r="G1210" s="6">
        <f>IFERROR(__xludf.DUMMYFUNCTION("""COMPUTED_VALUE"""),1.0)</f>
        <v>1</v>
      </c>
    </row>
    <row r="1211">
      <c r="A1211" s="6" t="str">
        <f>IFERROR(__xludf.DUMMYFUNCTION("""COMPUTED_VALUE"""),"FM2740")</f>
        <v>FM2740</v>
      </c>
      <c r="B1211" s="6" t="str">
        <f>IFERROR(__xludf.DUMMYFUNCTION("""COMPUTED_VALUE"""),"RUN-COMB_2022-07-04_RFR-070")</f>
        <v>RUN-COMB_2022-07-04_RFR-070</v>
      </c>
      <c r="C1211" s="7">
        <f>VLOOKUP(B1211,'Run Reconcile'!A$2:B3090,2,FALSE)</f>
        <v>44746</v>
      </c>
      <c r="D1211" s="11">
        <f>IFERROR(__xludf.DUMMYFUNCTION("""COMPUTED_VALUE"""),44746.0)</f>
        <v>44746</v>
      </c>
      <c r="E1211" s="12">
        <f>IFERROR(__xludf.DUMMYFUNCTION("""COMPUTED_VALUE"""),0.7817129629620467)</f>
        <v>0.781712963</v>
      </c>
      <c r="F1211" s="6" t="str">
        <f>IFERROR(__xludf.DUMMYFUNCTION("""COMPUTED_VALUE"""),"Negative")</f>
        <v>Negative</v>
      </c>
      <c r="G1211" s="6">
        <f>IFERROR(__xludf.DUMMYFUNCTION("""COMPUTED_VALUE"""),1.0)</f>
        <v>1</v>
      </c>
    </row>
    <row r="1212">
      <c r="A1212" s="6" t="str">
        <f>IFERROR(__xludf.DUMMYFUNCTION("""COMPUTED_VALUE"""),"FM2702")</f>
        <v>FM2702</v>
      </c>
      <c r="B1212" s="6" t="str">
        <f>IFERROR(__xludf.DUMMYFUNCTION("""COMPUTED_VALUE"""),"RUN-COMB_2022-07-04_RFR-070")</f>
        <v>RUN-COMB_2022-07-04_RFR-070</v>
      </c>
      <c r="C1212" s="7">
        <f>VLOOKUP(B1212,'Run Reconcile'!A$2:B3090,2,FALSE)</f>
        <v>44746</v>
      </c>
      <c r="D1212" s="11">
        <f>IFERROR(__xludf.DUMMYFUNCTION("""COMPUTED_VALUE"""),44746.0)</f>
        <v>44746</v>
      </c>
      <c r="E1212" s="12">
        <f>IFERROR(__xludf.DUMMYFUNCTION("""COMPUTED_VALUE"""),0.7830902777786832)</f>
        <v>0.7830902778</v>
      </c>
      <c r="F1212" s="6" t="str">
        <f>IFERROR(__xludf.DUMMYFUNCTION("""COMPUTED_VALUE"""),"Negative")</f>
        <v>Negative</v>
      </c>
      <c r="G1212" s="6">
        <f>IFERROR(__xludf.DUMMYFUNCTION("""COMPUTED_VALUE"""),1.0)</f>
        <v>1</v>
      </c>
    </row>
    <row r="1213">
      <c r="A1213" s="6" t="str">
        <f>IFERROR(__xludf.DUMMYFUNCTION("""COMPUTED_VALUE"""),"FM2732")</f>
        <v>FM2732</v>
      </c>
      <c r="B1213" s="6" t="str">
        <f>IFERROR(__xludf.DUMMYFUNCTION("""COMPUTED_VALUE"""),"RUN-COMB_2022-07-04_RFR-070")</f>
        <v>RUN-COMB_2022-07-04_RFR-070</v>
      </c>
      <c r="C1213" s="7">
        <f>VLOOKUP(B1213,'Run Reconcile'!A$2:B3090,2,FALSE)</f>
        <v>44746</v>
      </c>
      <c r="D1213" s="11">
        <f>IFERROR(__xludf.DUMMYFUNCTION("""COMPUTED_VALUE"""),44746.0)</f>
        <v>44746</v>
      </c>
      <c r="E1213" s="12">
        <f>IFERROR(__xludf.DUMMYFUNCTION("""COMPUTED_VALUE"""),0.7834606481483206)</f>
        <v>0.7834606481</v>
      </c>
      <c r="F1213" s="6" t="str">
        <f>IFERROR(__xludf.DUMMYFUNCTION("""COMPUTED_VALUE"""),"Negative")</f>
        <v>Negative</v>
      </c>
      <c r="G1213" s="6">
        <f>IFERROR(__xludf.DUMMYFUNCTION("""COMPUTED_VALUE"""),1.0)</f>
        <v>1</v>
      </c>
    </row>
    <row r="1214">
      <c r="A1214" s="6" t="str">
        <f>IFERROR(__xludf.DUMMYFUNCTION("""COMPUTED_VALUE"""),"FM2728")</f>
        <v>FM2728</v>
      </c>
      <c r="B1214" s="6" t="str">
        <f>IFERROR(__xludf.DUMMYFUNCTION("""COMPUTED_VALUE"""),"RUN-COMB_2022-07-04_RFR-070")</f>
        <v>RUN-COMB_2022-07-04_RFR-070</v>
      </c>
      <c r="C1214" s="7">
        <f>VLOOKUP(B1214,'Run Reconcile'!A$2:B3090,2,FALSE)</f>
        <v>44746</v>
      </c>
      <c r="D1214" s="11">
        <f>IFERROR(__xludf.DUMMYFUNCTION("""COMPUTED_VALUE"""),44746.0)</f>
        <v>44746</v>
      </c>
      <c r="E1214" s="12">
        <f>IFERROR(__xludf.DUMMYFUNCTION("""COMPUTED_VALUE"""),0.7838425925910997)</f>
        <v>0.7838425926</v>
      </c>
      <c r="F1214" s="6" t="str">
        <f>IFERROR(__xludf.DUMMYFUNCTION("""COMPUTED_VALUE"""),"Negative")</f>
        <v>Negative</v>
      </c>
      <c r="G1214" s="6">
        <f>IFERROR(__xludf.DUMMYFUNCTION("""COMPUTED_VALUE"""),1.0)</f>
        <v>1</v>
      </c>
    </row>
    <row r="1215">
      <c r="A1215" s="6" t="str">
        <f>IFERROR(__xludf.DUMMYFUNCTION("""COMPUTED_VALUE"""),"FM2739")</f>
        <v>FM2739</v>
      </c>
      <c r="B1215" s="6" t="str">
        <f>IFERROR(__xludf.DUMMYFUNCTION("""COMPUTED_VALUE"""),"RUN-COMB_2022-07-04_RFR-070")</f>
        <v>RUN-COMB_2022-07-04_RFR-070</v>
      </c>
      <c r="C1215" s="7">
        <f>VLOOKUP(B1215,'Run Reconcile'!A$2:B3090,2,FALSE)</f>
        <v>44746</v>
      </c>
      <c r="D1215" s="11">
        <f>IFERROR(__xludf.DUMMYFUNCTION("""COMPUTED_VALUE"""),44746.0)</f>
        <v>44746</v>
      </c>
      <c r="E1215" s="12">
        <f>IFERROR(__xludf.DUMMYFUNCTION("""COMPUTED_VALUE"""),0.7845370370378077)</f>
        <v>0.784537037</v>
      </c>
      <c r="F1215" s="6" t="str">
        <f>IFERROR(__xludf.DUMMYFUNCTION("""COMPUTED_VALUE"""),"Negative")</f>
        <v>Negative</v>
      </c>
      <c r="G1215" s="6">
        <f>IFERROR(__xludf.DUMMYFUNCTION("""COMPUTED_VALUE"""),1.0)</f>
        <v>1</v>
      </c>
    </row>
    <row r="1216">
      <c r="A1216" s="6" t="str">
        <f>IFERROR(__xludf.DUMMYFUNCTION("""COMPUTED_VALUE"""),"FM2750")</f>
        <v>FM2750</v>
      </c>
      <c r="B1216" s="6" t="str">
        <f>IFERROR(__xludf.DUMMYFUNCTION("""COMPUTED_VALUE"""),"RUN-COMB_2022-07-04_RFR-070")</f>
        <v>RUN-COMB_2022-07-04_RFR-070</v>
      </c>
      <c r="C1216" s="7">
        <f>VLOOKUP(B1216,'Run Reconcile'!A$2:B3090,2,FALSE)</f>
        <v>44746</v>
      </c>
      <c r="D1216" s="11">
        <f>IFERROR(__xludf.DUMMYFUNCTION("""COMPUTED_VALUE"""),44746.0)</f>
        <v>44746</v>
      </c>
      <c r="E1216" s="12">
        <f>IFERROR(__xludf.DUMMYFUNCTION("""COMPUTED_VALUE"""),0.7848726851843821)</f>
        <v>0.7848726852</v>
      </c>
      <c r="F1216" s="6" t="str">
        <f>IFERROR(__xludf.DUMMYFUNCTION("""COMPUTED_VALUE"""),"Negative")</f>
        <v>Negative</v>
      </c>
      <c r="G1216" s="6">
        <f>IFERROR(__xludf.DUMMYFUNCTION("""COMPUTED_VALUE"""),1.0)</f>
        <v>1</v>
      </c>
    </row>
    <row r="1217">
      <c r="A1217" s="6" t="str">
        <f>IFERROR(__xludf.DUMMYFUNCTION("""COMPUTED_VALUE"""),"FM2749")</f>
        <v>FM2749</v>
      </c>
      <c r="B1217" s="6" t="str">
        <f>IFERROR(__xludf.DUMMYFUNCTION("""COMPUTED_VALUE"""),"RUN-COMB_2022-07-04_RFR-070")</f>
        <v>RUN-COMB_2022-07-04_RFR-070</v>
      </c>
      <c r="C1217" s="7">
        <f>VLOOKUP(B1217,'Run Reconcile'!A$2:B3090,2,FALSE)</f>
        <v>44746</v>
      </c>
      <c r="D1217" s="11">
        <f>IFERROR(__xludf.DUMMYFUNCTION("""COMPUTED_VALUE"""),44746.0)</f>
        <v>44746</v>
      </c>
      <c r="E1217" s="12">
        <f>IFERROR(__xludf.DUMMYFUNCTION("""COMPUTED_VALUE"""),0.7853240740732872)</f>
        <v>0.7853240741</v>
      </c>
      <c r="F1217" s="6" t="str">
        <f>IFERROR(__xludf.DUMMYFUNCTION("""COMPUTED_VALUE"""),"Negative")</f>
        <v>Negative</v>
      </c>
      <c r="G1217" s="6">
        <f>IFERROR(__xludf.DUMMYFUNCTION("""COMPUTED_VALUE"""),1.0)</f>
        <v>1</v>
      </c>
    </row>
    <row r="1218">
      <c r="A1218" s="6" t="str">
        <f>IFERROR(__xludf.DUMMYFUNCTION("""COMPUTED_VALUE"""),"FM2717")</f>
        <v>FM2717</v>
      </c>
      <c r="B1218" s="6" t="str">
        <f>IFERROR(__xludf.DUMMYFUNCTION("""COMPUTED_VALUE"""),"RUN-COMB_2022-07-04_RFR-070")</f>
        <v>RUN-COMB_2022-07-04_RFR-070</v>
      </c>
      <c r="C1218" s="7">
        <f>VLOOKUP(B1218,'Run Reconcile'!A$2:B3090,2,FALSE)</f>
        <v>44746</v>
      </c>
      <c r="D1218" s="11">
        <f>IFERROR(__xludf.DUMMYFUNCTION("""COMPUTED_VALUE"""),44746.0)</f>
        <v>44746</v>
      </c>
      <c r="E1218" s="12">
        <f>IFERROR(__xludf.DUMMYFUNCTION("""COMPUTED_VALUE"""),0.7872106481481751)</f>
        <v>0.7872106481</v>
      </c>
      <c r="F1218" s="6" t="str">
        <f>IFERROR(__xludf.DUMMYFUNCTION("""COMPUTED_VALUE"""),"Negative")</f>
        <v>Negative</v>
      </c>
      <c r="G1218" s="6">
        <f>IFERROR(__xludf.DUMMYFUNCTION("""COMPUTED_VALUE"""),1.0)</f>
        <v>1</v>
      </c>
    </row>
    <row r="1219">
      <c r="A1219" s="6" t="str">
        <f>IFERROR(__xludf.DUMMYFUNCTION("""COMPUTED_VALUE"""),"FM2746")</f>
        <v>FM2746</v>
      </c>
      <c r="B1219" s="6" t="str">
        <f>IFERROR(__xludf.DUMMYFUNCTION("""COMPUTED_VALUE"""),"RUN-COMB_2022-07-04_RFR-070")</f>
        <v>RUN-COMB_2022-07-04_RFR-070</v>
      </c>
      <c r="C1219" s="7">
        <f>VLOOKUP(B1219,'Run Reconcile'!A$2:B3090,2,FALSE)</f>
        <v>44746</v>
      </c>
      <c r="D1219" s="11">
        <f>IFERROR(__xludf.DUMMYFUNCTION("""COMPUTED_VALUE"""),44746.0)</f>
        <v>44746</v>
      </c>
      <c r="E1219" s="12">
        <f>IFERROR(__xludf.DUMMYFUNCTION("""COMPUTED_VALUE"""),0.7875347222216078)</f>
        <v>0.7875347222</v>
      </c>
      <c r="F1219" s="6" t="str">
        <f>IFERROR(__xludf.DUMMYFUNCTION("""COMPUTED_VALUE"""),"Negative")</f>
        <v>Negative</v>
      </c>
      <c r="G1219" s="6">
        <f>IFERROR(__xludf.DUMMYFUNCTION("""COMPUTED_VALUE"""),1.0)</f>
        <v>1</v>
      </c>
    </row>
    <row r="1220">
      <c r="A1220" s="6" t="str">
        <f>IFERROR(__xludf.DUMMYFUNCTION("""COMPUTED_VALUE"""),"FM2706")</f>
        <v>FM2706</v>
      </c>
      <c r="B1220" s="6" t="str">
        <f>IFERROR(__xludf.DUMMYFUNCTION("""COMPUTED_VALUE"""),"RUN-COMB_2022-07-04_RFR-070")</f>
        <v>RUN-COMB_2022-07-04_RFR-070</v>
      </c>
      <c r="C1220" s="7">
        <f>VLOOKUP(B1220,'Run Reconcile'!A$2:B3090,2,FALSE)</f>
        <v>44746</v>
      </c>
      <c r="D1220" s="11">
        <f>IFERROR(__xludf.DUMMYFUNCTION("""COMPUTED_VALUE"""),44746.0)</f>
        <v>44746</v>
      </c>
      <c r="E1220" s="12">
        <f>IFERROR(__xludf.DUMMYFUNCTION("""COMPUTED_VALUE"""),0.7878935185181035)</f>
        <v>0.7878935185</v>
      </c>
      <c r="F1220" s="6" t="str">
        <f>IFERROR(__xludf.DUMMYFUNCTION("""COMPUTED_VALUE"""),"Negative")</f>
        <v>Negative</v>
      </c>
      <c r="G1220" s="6">
        <f>IFERROR(__xludf.DUMMYFUNCTION("""COMPUTED_VALUE"""),1.0)</f>
        <v>1</v>
      </c>
    </row>
    <row r="1221">
      <c r="A1221" s="6" t="str">
        <f>IFERROR(__xludf.DUMMYFUNCTION("""COMPUTED_VALUE"""),"FM2805")</f>
        <v>FM2805</v>
      </c>
      <c r="B1221" s="6" t="str">
        <f>IFERROR(__xludf.DUMMYFUNCTION("""COMPUTED_VALUE"""),"RUN-COMB_2022-07-04_RFR-070")</f>
        <v>RUN-COMB_2022-07-04_RFR-070</v>
      </c>
      <c r="C1221" s="7">
        <f>VLOOKUP(B1221,'Run Reconcile'!A$2:B3090,2,FALSE)</f>
        <v>44746</v>
      </c>
      <c r="D1221" s="11">
        <f>IFERROR(__xludf.DUMMYFUNCTION("""COMPUTED_VALUE"""),44746.0)</f>
        <v>44746</v>
      </c>
      <c r="E1221" s="12">
        <f>IFERROR(__xludf.DUMMYFUNCTION("""COMPUTED_VALUE"""),0.7882407407414576)</f>
        <v>0.7882407407</v>
      </c>
      <c r="F1221" s="6" t="str">
        <f>IFERROR(__xludf.DUMMYFUNCTION("""COMPUTED_VALUE"""),"Negative")</f>
        <v>Negative</v>
      </c>
      <c r="G1221" s="6">
        <f>IFERROR(__xludf.DUMMYFUNCTION("""COMPUTED_VALUE"""),1.0)</f>
        <v>1</v>
      </c>
    </row>
    <row r="1222">
      <c r="A1222" s="6" t="str">
        <f>IFERROR(__xludf.DUMMYFUNCTION("""COMPUTED_VALUE"""),"FM2734")</f>
        <v>FM2734</v>
      </c>
      <c r="B1222" s="6" t="str">
        <f>IFERROR(__xludf.DUMMYFUNCTION("""COMPUTED_VALUE"""),"RUN-COMB_2022-07-04_RFR-070")</f>
        <v>RUN-COMB_2022-07-04_RFR-070</v>
      </c>
      <c r="C1222" s="7">
        <f>VLOOKUP(B1222,'Run Reconcile'!A$2:B3090,2,FALSE)</f>
        <v>44746</v>
      </c>
      <c r="D1222" s="11">
        <f>IFERROR(__xludf.DUMMYFUNCTION("""COMPUTED_VALUE"""),44746.0)</f>
        <v>44746</v>
      </c>
      <c r="E1222" s="12">
        <f>IFERROR(__xludf.DUMMYFUNCTION("""COMPUTED_VALUE"""),0.7906365740745969)</f>
        <v>0.7906365741</v>
      </c>
      <c r="F1222" s="6" t="str">
        <f>IFERROR(__xludf.DUMMYFUNCTION("""COMPUTED_VALUE"""),"Negative")</f>
        <v>Negative</v>
      </c>
      <c r="G1222" s="6">
        <f>IFERROR(__xludf.DUMMYFUNCTION("""COMPUTED_VALUE"""),1.0)</f>
        <v>1</v>
      </c>
    </row>
    <row r="1223">
      <c r="A1223" s="6" t="str">
        <f>IFERROR(__xludf.DUMMYFUNCTION("""COMPUTED_VALUE"""),"FM2722")</f>
        <v>FM2722</v>
      </c>
      <c r="B1223" s="6" t="str">
        <f>IFERROR(__xludf.DUMMYFUNCTION("""COMPUTED_VALUE"""),"RUN-COMB_2022-07-04_RFR-070")</f>
        <v>RUN-COMB_2022-07-04_RFR-070</v>
      </c>
      <c r="C1223" s="7">
        <f>VLOOKUP(B1223,'Run Reconcile'!A$2:B3090,2,FALSE)</f>
        <v>44746</v>
      </c>
      <c r="D1223" s="11">
        <f>IFERROR(__xludf.DUMMYFUNCTION("""COMPUTED_VALUE"""),44746.0)</f>
        <v>44746</v>
      </c>
      <c r="E1223" s="12">
        <f>IFERROR(__xludf.DUMMYFUNCTION("""COMPUTED_VALUE"""),0.7910648148135806)</f>
        <v>0.7910648148</v>
      </c>
      <c r="F1223" s="6" t="str">
        <f>IFERROR(__xludf.DUMMYFUNCTION("""COMPUTED_VALUE"""),"Negative")</f>
        <v>Negative</v>
      </c>
      <c r="G1223" s="6">
        <f>IFERROR(__xludf.DUMMYFUNCTION("""COMPUTED_VALUE"""),1.0)</f>
        <v>1</v>
      </c>
    </row>
    <row r="1224">
      <c r="A1224" s="6" t="str">
        <f>IFERROR(__xludf.DUMMYFUNCTION("""COMPUTED_VALUE"""),"FM2772")</f>
        <v>FM2772</v>
      </c>
      <c r="B1224" s="6" t="str">
        <f>IFERROR(__xludf.DUMMYFUNCTION("""COMPUTED_VALUE"""),"RUN-COMB_2022-07-04_RFR-070")</f>
        <v>RUN-COMB_2022-07-04_RFR-070</v>
      </c>
      <c r="C1224" s="7">
        <f>VLOOKUP(B1224,'Run Reconcile'!A$2:B3090,2,FALSE)</f>
        <v>44746</v>
      </c>
      <c r="D1224" s="11">
        <f>IFERROR(__xludf.DUMMYFUNCTION("""COMPUTED_VALUE"""),44746.0)</f>
        <v>44746</v>
      </c>
      <c r="E1224" s="12">
        <f>IFERROR(__xludf.DUMMYFUNCTION("""COMPUTED_VALUE"""),0.7913541666675883)</f>
        <v>0.7913541667</v>
      </c>
      <c r="F1224" s="6" t="str">
        <f>IFERROR(__xludf.DUMMYFUNCTION("""COMPUTED_VALUE"""),"Negative")</f>
        <v>Negative</v>
      </c>
      <c r="G1224" s="6">
        <f>IFERROR(__xludf.DUMMYFUNCTION("""COMPUTED_VALUE"""),1.0)</f>
        <v>1</v>
      </c>
    </row>
    <row r="1225">
      <c r="A1225" s="6" t="str">
        <f>IFERROR(__xludf.DUMMYFUNCTION("""COMPUTED_VALUE"""),"FM2716")</f>
        <v>FM2716</v>
      </c>
      <c r="B1225" s="6" t="str">
        <f>IFERROR(__xludf.DUMMYFUNCTION("""COMPUTED_VALUE"""),"RUN-COMB_2022-07-04_RFR-070")</f>
        <v>RUN-COMB_2022-07-04_RFR-070</v>
      </c>
      <c r="C1225" s="7">
        <f>VLOOKUP(B1225,'Run Reconcile'!A$2:B3090,2,FALSE)</f>
        <v>44746</v>
      </c>
      <c r="D1225" s="11">
        <f>IFERROR(__xludf.DUMMYFUNCTION("""COMPUTED_VALUE"""),44746.0)</f>
        <v>44746</v>
      </c>
      <c r="E1225" s="12">
        <f>IFERROR(__xludf.DUMMYFUNCTION("""COMPUTED_VALUE"""),0.7988541666672972)</f>
        <v>0.7988541667</v>
      </c>
      <c r="F1225" s="6" t="str">
        <f>IFERROR(__xludf.DUMMYFUNCTION("""COMPUTED_VALUE"""),"Negative")</f>
        <v>Negative</v>
      </c>
      <c r="G1225" s="6">
        <f>IFERROR(__xludf.DUMMYFUNCTION("""COMPUTED_VALUE"""),1.0)</f>
        <v>1</v>
      </c>
    </row>
    <row r="1226">
      <c r="A1226" s="6" t="str">
        <f>IFERROR(__xludf.DUMMYFUNCTION("""COMPUTED_VALUE"""),"FM2713")</f>
        <v>FM2713</v>
      </c>
      <c r="B1226" s="6" t="str">
        <f>IFERROR(__xludf.DUMMYFUNCTION("""COMPUTED_VALUE"""),"RUN-COMB_2022-07-04_RFR-070")</f>
        <v>RUN-COMB_2022-07-04_RFR-070</v>
      </c>
      <c r="C1226" s="7">
        <f>VLOOKUP(B1226,'Run Reconcile'!A$2:B3090,2,FALSE)</f>
        <v>44746</v>
      </c>
      <c r="D1226" s="11">
        <f>IFERROR(__xludf.DUMMYFUNCTION("""COMPUTED_VALUE"""),44746.0)</f>
        <v>44746</v>
      </c>
      <c r="E1226" s="12">
        <f>IFERROR(__xludf.DUMMYFUNCTION("""COMPUTED_VALUE"""),0.7992245370369346)</f>
        <v>0.799224537</v>
      </c>
      <c r="F1226" s="6" t="str">
        <f>IFERROR(__xludf.DUMMYFUNCTION("""COMPUTED_VALUE"""),"Negative")</f>
        <v>Negative</v>
      </c>
      <c r="G1226" s="6">
        <f>IFERROR(__xludf.DUMMYFUNCTION("""COMPUTED_VALUE"""),1.0)</f>
        <v>1</v>
      </c>
    </row>
    <row r="1227">
      <c r="A1227" s="6" t="str">
        <f>IFERROR(__xludf.DUMMYFUNCTION("""COMPUTED_VALUE"""),"FM2729")</f>
        <v>FM2729</v>
      </c>
      <c r="B1227" s="6" t="str">
        <f>IFERROR(__xludf.DUMMYFUNCTION("""COMPUTED_VALUE"""),"RUN-COMB_2022-07-04_RFR-070")</f>
        <v>RUN-COMB_2022-07-04_RFR-070</v>
      </c>
      <c r="C1227" s="7">
        <f>VLOOKUP(B1227,'Run Reconcile'!A$2:B3090,2,FALSE)</f>
        <v>44746</v>
      </c>
      <c r="D1227" s="11">
        <f>IFERROR(__xludf.DUMMYFUNCTION("""COMPUTED_VALUE"""),44746.0)</f>
        <v>44746</v>
      </c>
      <c r="E1227" s="12">
        <f>IFERROR(__xludf.DUMMYFUNCTION("""COMPUTED_VALUE"""),0.7996412037027767)</f>
        <v>0.7996412037</v>
      </c>
      <c r="F1227" s="6" t="str">
        <f>IFERROR(__xludf.DUMMYFUNCTION("""COMPUTED_VALUE"""),"Negative")</f>
        <v>Negative</v>
      </c>
      <c r="G1227" s="6">
        <f>IFERROR(__xludf.DUMMYFUNCTION("""COMPUTED_VALUE"""),1.0)</f>
        <v>1</v>
      </c>
    </row>
    <row r="1228">
      <c r="A1228" s="6" t="str">
        <f>IFERROR(__xludf.DUMMYFUNCTION("""COMPUTED_VALUE"""),"FM2777")</f>
        <v>FM2777</v>
      </c>
      <c r="B1228" s="6" t="str">
        <f>IFERROR(__xludf.DUMMYFUNCTION("""COMPUTED_VALUE"""),"RUN-COMB_2022-07-04_RFR-070")</f>
        <v>RUN-COMB_2022-07-04_RFR-070</v>
      </c>
      <c r="C1228" s="7">
        <f>VLOOKUP(B1228,'Run Reconcile'!A$2:B3090,2,FALSE)</f>
        <v>44746</v>
      </c>
      <c r="D1228" s="11">
        <f>IFERROR(__xludf.DUMMYFUNCTION("""COMPUTED_VALUE"""),44746.0)</f>
        <v>44746</v>
      </c>
      <c r="E1228" s="12">
        <f>IFERROR(__xludf.DUMMYFUNCTION("""COMPUTED_VALUE"""),0.8016087962969323)</f>
        <v>0.8016087963</v>
      </c>
      <c r="F1228" s="6" t="str">
        <f>IFERROR(__xludf.DUMMYFUNCTION("""COMPUTED_VALUE"""),"Negative")</f>
        <v>Negative</v>
      </c>
      <c r="G1228" s="6">
        <f>IFERROR(__xludf.DUMMYFUNCTION("""COMPUTED_VALUE"""),1.0)</f>
        <v>1</v>
      </c>
    </row>
    <row r="1229">
      <c r="A1229" s="6" t="str">
        <f>IFERROR(__xludf.DUMMYFUNCTION("""COMPUTED_VALUE"""),"FM2790")</f>
        <v>FM2790</v>
      </c>
      <c r="B1229" s="6" t="str">
        <f>IFERROR(__xludf.DUMMYFUNCTION("""COMPUTED_VALUE"""),"RUN-COMB_2022-07-04_RFR-070")</f>
        <v>RUN-COMB_2022-07-04_RFR-070</v>
      </c>
      <c r="C1229" s="7">
        <f>VLOOKUP(B1229,'Run Reconcile'!A$2:B3090,2,FALSE)</f>
        <v>44746</v>
      </c>
      <c r="D1229" s="11">
        <f>IFERROR(__xludf.DUMMYFUNCTION("""COMPUTED_VALUE"""),44746.0)</f>
        <v>44746</v>
      </c>
      <c r="E1229" s="12">
        <f>IFERROR(__xludf.DUMMYFUNCTION("""COMPUTED_VALUE"""),0.8019560185202863)</f>
        <v>0.8019560185</v>
      </c>
      <c r="F1229" s="6" t="str">
        <f>IFERROR(__xludf.DUMMYFUNCTION("""COMPUTED_VALUE"""),"Negative")</f>
        <v>Negative</v>
      </c>
      <c r="G1229" s="6">
        <f>IFERROR(__xludf.DUMMYFUNCTION("""COMPUTED_VALUE"""),1.0)</f>
        <v>1</v>
      </c>
    </row>
    <row r="1230">
      <c r="A1230" s="6" t="str">
        <f>IFERROR(__xludf.DUMMYFUNCTION("""COMPUTED_VALUE"""),"FM2789")</f>
        <v>FM2789</v>
      </c>
      <c r="B1230" s="6" t="str">
        <f>IFERROR(__xludf.DUMMYFUNCTION("""COMPUTED_VALUE"""),"RUN-COMB_2022-07-04_RFR-070")</f>
        <v>RUN-COMB_2022-07-04_RFR-070</v>
      </c>
      <c r="C1230" s="7">
        <f>VLOOKUP(B1230,'Run Reconcile'!A$2:B3090,2,FALSE)</f>
        <v>44746</v>
      </c>
      <c r="D1230" s="11">
        <f>IFERROR(__xludf.DUMMYFUNCTION("""COMPUTED_VALUE"""),44746.0)</f>
        <v>44746</v>
      </c>
      <c r="E1230" s="12">
        <f>IFERROR(__xludf.DUMMYFUNCTION("""COMPUTED_VALUE"""),0.802245370370656)</f>
        <v>0.8022453704</v>
      </c>
      <c r="F1230" s="6" t="str">
        <f>IFERROR(__xludf.DUMMYFUNCTION("""COMPUTED_VALUE"""),"Negative")</f>
        <v>Negative</v>
      </c>
      <c r="G1230" s="6">
        <f>IFERROR(__xludf.DUMMYFUNCTION("""COMPUTED_VALUE"""),1.0)</f>
        <v>1</v>
      </c>
    </row>
    <row r="1231">
      <c r="A1231" s="6" t="str">
        <f>IFERROR(__xludf.DUMMYFUNCTION("""COMPUTED_VALUE"""),"FM2753")</f>
        <v>FM2753</v>
      </c>
      <c r="B1231" s="6" t="str">
        <f>IFERROR(__xludf.DUMMYFUNCTION("""COMPUTED_VALUE"""),"RUN-COMB_2022-07-04_RFR-070")</f>
        <v>RUN-COMB_2022-07-04_RFR-070</v>
      </c>
      <c r="C1231" s="7">
        <f>VLOOKUP(B1231,'Run Reconcile'!A$2:B3090,2,FALSE)</f>
        <v>44746</v>
      </c>
      <c r="D1231" s="11">
        <f>IFERROR(__xludf.DUMMYFUNCTION("""COMPUTED_VALUE"""),44746.0)</f>
        <v>44746</v>
      </c>
      <c r="E1231" s="12">
        <f>IFERROR(__xludf.DUMMYFUNCTION("""COMPUTED_VALUE"""),0.8025578703709471)</f>
        <v>0.8025578704</v>
      </c>
      <c r="F1231" s="6" t="str">
        <f>IFERROR(__xludf.DUMMYFUNCTION("""COMPUTED_VALUE"""),"Negative")</f>
        <v>Negative</v>
      </c>
      <c r="G1231" s="6">
        <f>IFERROR(__xludf.DUMMYFUNCTION("""COMPUTED_VALUE"""),1.0)</f>
        <v>1</v>
      </c>
    </row>
    <row r="1232">
      <c r="A1232" s="6" t="str">
        <f>IFERROR(__xludf.DUMMYFUNCTION("""COMPUTED_VALUE"""),"FM2752")</f>
        <v>FM2752</v>
      </c>
      <c r="B1232" s="6" t="str">
        <f>IFERROR(__xludf.DUMMYFUNCTION("""COMPUTED_VALUE"""),"RUN-COMB_2022-07-04_RFR-070")</f>
        <v>RUN-COMB_2022-07-04_RFR-070</v>
      </c>
      <c r="C1232" s="7">
        <f>VLOOKUP(B1232,'Run Reconcile'!A$2:B3090,2,FALSE)</f>
        <v>44746</v>
      </c>
      <c r="D1232" s="11">
        <f>IFERROR(__xludf.DUMMYFUNCTION("""COMPUTED_VALUE"""),44746.0)</f>
        <v>44746</v>
      </c>
      <c r="E1232" s="12">
        <f>IFERROR(__xludf.DUMMYFUNCTION("""COMPUTED_VALUE"""),0.8028356481481751)</f>
        <v>0.8028356481</v>
      </c>
      <c r="F1232" s="6" t="str">
        <f>IFERROR(__xludf.DUMMYFUNCTION("""COMPUTED_VALUE"""),"Negative")</f>
        <v>Negative</v>
      </c>
      <c r="G1232" s="6">
        <f>IFERROR(__xludf.DUMMYFUNCTION("""COMPUTED_VALUE"""),1.0)</f>
        <v>1</v>
      </c>
    </row>
    <row r="1233">
      <c r="A1233" s="6" t="str">
        <f>IFERROR(__xludf.DUMMYFUNCTION("""COMPUTED_VALUE"""),"FM2731")</f>
        <v>FM2731</v>
      </c>
      <c r="B1233" s="6" t="str">
        <f>IFERROR(__xludf.DUMMYFUNCTION("""COMPUTED_VALUE"""),"RUN-COMB_2022-07-04_RFR-070")</f>
        <v>RUN-COMB_2022-07-04_RFR-070</v>
      </c>
      <c r="C1233" s="7">
        <f>VLOOKUP(B1233,'Run Reconcile'!A$2:B3090,2,FALSE)</f>
        <v>44746</v>
      </c>
      <c r="D1233" s="11">
        <f>IFERROR(__xludf.DUMMYFUNCTION("""COMPUTED_VALUE"""),44746.0)</f>
        <v>44746</v>
      </c>
      <c r="E1233" s="12">
        <f>IFERROR(__xludf.DUMMYFUNCTION("""COMPUTED_VALUE"""),0.8031249999985448)</f>
        <v>0.803125</v>
      </c>
      <c r="F1233" s="6" t="str">
        <f>IFERROR(__xludf.DUMMYFUNCTION("""COMPUTED_VALUE"""),"Negative")</f>
        <v>Negative</v>
      </c>
      <c r="G1233" s="6">
        <f>IFERROR(__xludf.DUMMYFUNCTION("""COMPUTED_VALUE"""),1.0)</f>
        <v>1</v>
      </c>
    </row>
    <row r="1234">
      <c r="A1234" s="6" t="str">
        <f>IFERROR(__xludf.DUMMYFUNCTION("""COMPUTED_VALUE"""),"FM2730")</f>
        <v>FM2730</v>
      </c>
      <c r="B1234" s="6" t="str">
        <f>IFERROR(__xludf.DUMMYFUNCTION("""COMPUTED_VALUE"""),"RUN-COMB_2022-07-04_RFR-070")</f>
        <v>RUN-COMB_2022-07-04_RFR-070</v>
      </c>
      <c r="C1234" s="7">
        <f>VLOOKUP(B1234,'Run Reconcile'!A$2:B3090,2,FALSE)</f>
        <v>44746</v>
      </c>
      <c r="D1234" s="11">
        <f>IFERROR(__xludf.DUMMYFUNCTION("""COMPUTED_VALUE"""),44746.0)</f>
        <v>44746</v>
      </c>
      <c r="E1234" s="12">
        <f>IFERROR(__xludf.DUMMYFUNCTION("""COMPUTED_VALUE"""),0.8034837962950405)</f>
        <v>0.8034837963</v>
      </c>
      <c r="F1234" s="6" t="str">
        <f>IFERROR(__xludf.DUMMYFUNCTION("""COMPUTED_VALUE"""),"Negative")</f>
        <v>Negative</v>
      </c>
      <c r="G1234" s="6">
        <f>IFERROR(__xludf.DUMMYFUNCTION("""COMPUTED_VALUE"""),1.0)</f>
        <v>1</v>
      </c>
    </row>
    <row r="1235">
      <c r="A1235" s="6" t="str">
        <f>IFERROR(__xludf.DUMMYFUNCTION("""COMPUTED_VALUE"""),"FM2770")</f>
        <v>FM2770</v>
      </c>
      <c r="B1235" s="6" t="str">
        <f>IFERROR(__xludf.DUMMYFUNCTION("""COMPUTED_VALUE"""),"RUN-COMB_2022-07-04_RFR-070")</f>
        <v>RUN-COMB_2022-07-04_RFR-070</v>
      </c>
      <c r="C1235" s="7">
        <f>VLOOKUP(B1235,'Run Reconcile'!A$2:B3090,2,FALSE)</f>
        <v>44746</v>
      </c>
      <c r="D1235" s="11">
        <f>IFERROR(__xludf.DUMMYFUNCTION("""COMPUTED_VALUE"""),44746.0)</f>
        <v>44746</v>
      </c>
      <c r="E1235" s="12">
        <f>IFERROR(__xludf.DUMMYFUNCTION("""COMPUTED_VALUE"""),0.8038078703721112)</f>
        <v>0.8038078704</v>
      </c>
      <c r="F1235" s="6" t="str">
        <f>IFERROR(__xludf.DUMMYFUNCTION("""COMPUTED_VALUE"""),"Negative")</f>
        <v>Negative</v>
      </c>
      <c r="G1235" s="6">
        <f>IFERROR(__xludf.DUMMYFUNCTION("""COMPUTED_VALUE"""),1.0)</f>
        <v>1</v>
      </c>
    </row>
    <row r="1236">
      <c r="A1236" s="6" t="str">
        <f>IFERROR(__xludf.DUMMYFUNCTION("""COMPUTED_VALUE"""),"FM2721")</f>
        <v>FM2721</v>
      </c>
      <c r="B1236" s="6" t="str">
        <f>IFERROR(__xludf.DUMMYFUNCTION("""COMPUTED_VALUE"""),"RUN-COMB_2022-07-04_RFR-070")</f>
        <v>RUN-COMB_2022-07-04_RFR-070</v>
      </c>
      <c r="C1236" s="7">
        <f>VLOOKUP(B1236,'Run Reconcile'!A$2:B3090,2,FALSE)</f>
        <v>44746</v>
      </c>
      <c r="D1236" s="11">
        <f>IFERROR(__xludf.DUMMYFUNCTION("""COMPUTED_VALUE"""),44746.0)</f>
        <v>44746</v>
      </c>
      <c r="E1236" s="12">
        <f>IFERROR(__xludf.DUMMYFUNCTION("""COMPUTED_VALUE"""),0.8041782407417486)</f>
        <v>0.8041782407</v>
      </c>
      <c r="F1236" s="6" t="str">
        <f>IFERROR(__xludf.DUMMYFUNCTION("""COMPUTED_VALUE"""),"Negative")</f>
        <v>Negative</v>
      </c>
      <c r="G1236" s="6">
        <f>IFERROR(__xludf.DUMMYFUNCTION("""COMPUTED_VALUE"""),1.0)</f>
        <v>1</v>
      </c>
    </row>
    <row r="1237">
      <c r="A1237" s="6" t="str">
        <f>IFERROR(__xludf.DUMMYFUNCTION("""COMPUTED_VALUE"""),"FM2755")</f>
        <v>FM2755</v>
      </c>
      <c r="B1237" s="6" t="str">
        <f>IFERROR(__xludf.DUMMYFUNCTION("""COMPUTED_VALUE"""),"RUN-COMB_2022-07-04_RFR-070")</f>
        <v>RUN-COMB_2022-07-04_RFR-070</v>
      </c>
      <c r="C1237" s="7">
        <f>VLOOKUP(B1237,'Run Reconcile'!A$2:B3090,2,FALSE)</f>
        <v>44746</v>
      </c>
      <c r="D1237" s="11">
        <f>IFERROR(__xludf.DUMMYFUNCTION("""COMPUTED_VALUE"""),44746.0)</f>
        <v>44746</v>
      </c>
      <c r="E1237" s="12">
        <f>IFERROR(__xludf.DUMMYFUNCTION("""COMPUTED_VALUE"""),0.8044907407420396)</f>
        <v>0.8044907407</v>
      </c>
      <c r="F1237" s="6" t="str">
        <f>IFERROR(__xludf.DUMMYFUNCTION("""COMPUTED_VALUE"""),"Negative")</f>
        <v>Negative</v>
      </c>
      <c r="G1237" s="6">
        <f>IFERROR(__xludf.DUMMYFUNCTION("""COMPUTED_VALUE"""),1.0)</f>
        <v>1</v>
      </c>
    </row>
    <row r="1238">
      <c r="A1238" s="6" t="str">
        <f>IFERROR(__xludf.DUMMYFUNCTION("""COMPUTED_VALUE"""),"FM2748")</f>
        <v>FM2748</v>
      </c>
      <c r="B1238" s="6" t="str">
        <f>IFERROR(__xludf.DUMMYFUNCTION("""COMPUTED_VALUE"""),"RUN-COMB_2022-07-04_RFR-070")</f>
        <v>RUN-COMB_2022-07-04_RFR-070</v>
      </c>
      <c r="C1238" s="7">
        <f>VLOOKUP(B1238,'Run Reconcile'!A$2:B3090,2,FALSE)</f>
        <v>44746</v>
      </c>
      <c r="D1238" s="11">
        <f>IFERROR(__xludf.DUMMYFUNCTION("""COMPUTED_VALUE"""),44746.0)</f>
        <v>44746</v>
      </c>
      <c r="E1238" s="12">
        <f>IFERROR(__xludf.DUMMYFUNCTION("""COMPUTED_VALUE"""),0.8048495370385353)</f>
        <v>0.804849537</v>
      </c>
      <c r="F1238" s="6" t="str">
        <f>IFERROR(__xludf.DUMMYFUNCTION("""COMPUTED_VALUE"""),"Negative")</f>
        <v>Negative</v>
      </c>
      <c r="G1238" s="6">
        <f>IFERROR(__xludf.DUMMYFUNCTION("""COMPUTED_VALUE"""),1.0)</f>
        <v>1</v>
      </c>
    </row>
    <row r="1239">
      <c r="A1239" s="6" t="str">
        <f>IFERROR(__xludf.DUMMYFUNCTION("""COMPUTED_VALUE"""),"FM2707")</f>
        <v>FM2707</v>
      </c>
      <c r="B1239" s="6" t="str">
        <f>IFERROR(__xludf.DUMMYFUNCTION("""COMPUTED_VALUE"""),"RUN-COMB_2022-07-04_RFR-070")</f>
        <v>RUN-COMB_2022-07-04_RFR-070</v>
      </c>
      <c r="C1239" s="7">
        <f>VLOOKUP(B1239,'Run Reconcile'!A$2:B3090,2,FALSE)</f>
        <v>44746</v>
      </c>
      <c r="D1239" s="11">
        <f>IFERROR(__xludf.DUMMYFUNCTION("""COMPUTED_VALUE"""),44746.0)</f>
        <v>44746</v>
      </c>
      <c r="E1239" s="12">
        <f>IFERROR(__xludf.DUMMYFUNCTION("""COMPUTED_VALUE"""),0.8054629629623378)</f>
        <v>0.805462963</v>
      </c>
      <c r="F1239" s="6" t="str">
        <f>IFERROR(__xludf.DUMMYFUNCTION("""COMPUTED_VALUE"""),"Negative")</f>
        <v>Negative</v>
      </c>
      <c r="G1239" s="6">
        <f>IFERROR(__xludf.DUMMYFUNCTION("""COMPUTED_VALUE"""),1.0)</f>
        <v>1</v>
      </c>
    </row>
    <row r="1240">
      <c r="A1240" s="6" t="str">
        <f>IFERROR(__xludf.DUMMYFUNCTION("""COMPUTED_VALUE"""),"FM2765")</f>
        <v>FM2765</v>
      </c>
      <c r="B1240" s="6" t="str">
        <f>IFERROR(__xludf.DUMMYFUNCTION("""COMPUTED_VALUE"""),"RUN-COMB_2022-07-04_RFR-070")</f>
        <v>RUN-COMB_2022-07-04_RFR-070</v>
      </c>
      <c r="C1240" s="7">
        <f>VLOOKUP(B1240,'Run Reconcile'!A$2:B3090,2,FALSE)</f>
        <v>44746</v>
      </c>
      <c r="D1240" s="11">
        <f>IFERROR(__xludf.DUMMYFUNCTION("""COMPUTED_VALUE"""),44746.0)</f>
        <v>44746</v>
      </c>
      <c r="E1240" s="12">
        <f>IFERROR(__xludf.DUMMYFUNCTION("""COMPUTED_VALUE"""),0.8062731481477385)</f>
        <v>0.8062731481</v>
      </c>
      <c r="F1240" s="6" t="str">
        <f>IFERROR(__xludf.DUMMYFUNCTION("""COMPUTED_VALUE"""),"Positive")</f>
        <v>Positive</v>
      </c>
      <c r="G1240" s="6">
        <f>IFERROR(__xludf.DUMMYFUNCTION("""COMPUTED_VALUE"""),1.0)</f>
        <v>1</v>
      </c>
    </row>
    <row r="1241">
      <c r="A1241" s="6" t="str">
        <f>IFERROR(__xludf.DUMMYFUNCTION("""COMPUTED_VALUE"""),"FM2774")</f>
        <v>FM2774</v>
      </c>
      <c r="B1241" s="6" t="str">
        <f>IFERROR(__xludf.DUMMYFUNCTION("""COMPUTED_VALUE"""),"RUN-COMB_2022-07-04_RFR-070")</f>
        <v>RUN-COMB_2022-07-04_RFR-070</v>
      </c>
      <c r="C1241" s="7">
        <f>VLOOKUP(B1241,'Run Reconcile'!A$2:B3090,2,FALSE)</f>
        <v>44746</v>
      </c>
      <c r="D1241" s="11">
        <f>IFERROR(__xludf.DUMMYFUNCTION("""COMPUTED_VALUE"""),44746.0)</f>
        <v>44746</v>
      </c>
      <c r="E1241" s="12">
        <f>IFERROR(__xludf.DUMMYFUNCTION("""COMPUTED_VALUE"""),0.8066203703710926)</f>
        <v>0.8066203704</v>
      </c>
      <c r="F1241" s="6" t="str">
        <f>IFERROR(__xludf.DUMMYFUNCTION("""COMPUTED_VALUE"""),"Negative")</f>
        <v>Negative</v>
      </c>
      <c r="G1241" s="6">
        <f>IFERROR(__xludf.DUMMYFUNCTION("""COMPUTED_VALUE"""),1.0)</f>
        <v>1</v>
      </c>
    </row>
    <row r="1242">
      <c r="A1242" s="6" t="str">
        <f>IFERROR(__xludf.DUMMYFUNCTION("""COMPUTED_VALUE"""),"FM2712")</f>
        <v>FM2712</v>
      </c>
      <c r="B1242" s="6" t="str">
        <f>IFERROR(__xludf.DUMMYFUNCTION("""COMPUTED_VALUE"""),"RUN-COMB_2022-07-04_RFR-070")</f>
        <v>RUN-COMB_2022-07-04_RFR-070</v>
      </c>
      <c r="C1242" s="7">
        <f>VLOOKUP(B1242,'Run Reconcile'!A$2:B3090,2,FALSE)</f>
        <v>44746</v>
      </c>
      <c r="D1242" s="11">
        <f>IFERROR(__xludf.DUMMYFUNCTION("""COMPUTED_VALUE"""),44746.0)</f>
        <v>44746</v>
      </c>
      <c r="E1242" s="12">
        <f>IFERROR(__xludf.DUMMYFUNCTION("""COMPUTED_VALUE"""),0.806921296294604)</f>
        <v>0.8069212963</v>
      </c>
      <c r="F1242" s="6" t="str">
        <f>IFERROR(__xludf.DUMMYFUNCTION("""COMPUTED_VALUE"""),"Negative")</f>
        <v>Negative</v>
      </c>
      <c r="G1242" s="6">
        <f>IFERROR(__xludf.DUMMYFUNCTION("""COMPUTED_VALUE"""),1.0)</f>
        <v>1</v>
      </c>
    </row>
    <row r="1243">
      <c r="A1243" s="6" t="str">
        <f>IFERROR(__xludf.DUMMYFUNCTION("""COMPUTED_VALUE"""),"FM2735")</f>
        <v>FM2735</v>
      </c>
      <c r="B1243" s="6" t="str">
        <f>IFERROR(__xludf.DUMMYFUNCTION("""COMPUTED_VALUE"""),"RUN-COMB_2022-07-04_RFR-070")</f>
        <v>RUN-COMB_2022-07-04_RFR-070</v>
      </c>
      <c r="C1243" s="7">
        <f>VLOOKUP(B1243,'Run Reconcile'!A$2:B3090,2,FALSE)</f>
        <v>44746</v>
      </c>
      <c r="D1243" s="11">
        <f>IFERROR(__xludf.DUMMYFUNCTION("""COMPUTED_VALUE"""),44746.0)</f>
        <v>44746</v>
      </c>
      <c r="E1243" s="12">
        <f>IFERROR(__xludf.DUMMYFUNCTION("""COMPUTED_VALUE"""),0.807233796294895)</f>
        <v>0.8072337963</v>
      </c>
      <c r="F1243" s="6" t="str">
        <f>IFERROR(__xludf.DUMMYFUNCTION("""COMPUTED_VALUE"""),"Negative")</f>
        <v>Negative</v>
      </c>
      <c r="G1243" s="6">
        <f>IFERROR(__xludf.DUMMYFUNCTION("""COMPUTED_VALUE"""),1.0)</f>
        <v>1</v>
      </c>
    </row>
    <row r="1244">
      <c r="A1244" s="6" t="str">
        <f>IFERROR(__xludf.DUMMYFUNCTION("""COMPUTED_VALUE"""),"FM2733")</f>
        <v>FM2733</v>
      </c>
      <c r="B1244" s="6" t="str">
        <f>IFERROR(__xludf.DUMMYFUNCTION("""COMPUTED_VALUE"""),"RUN-COMB_2022-07-05_RFR-071")</f>
        <v>RUN-COMB_2022-07-05_RFR-071</v>
      </c>
      <c r="C1244" s="7">
        <f>VLOOKUP(B1244,'Run Reconcile'!A$2:B3090,2,FALSE)</f>
        <v>44747</v>
      </c>
      <c r="D1244" s="11">
        <f>IFERROR(__xludf.DUMMYFUNCTION("""COMPUTED_VALUE"""),44747.0)</f>
        <v>44747</v>
      </c>
      <c r="E1244" s="12">
        <f>IFERROR(__xludf.DUMMYFUNCTION("""COMPUTED_VALUE"""),0.3088310185194132)</f>
        <v>0.3088310185</v>
      </c>
      <c r="F1244" s="6" t="str">
        <f>IFERROR(__xludf.DUMMYFUNCTION("""COMPUTED_VALUE"""),"Negative")</f>
        <v>Negative</v>
      </c>
      <c r="G1244" s="6">
        <f>IFERROR(__xludf.DUMMYFUNCTION("""COMPUTED_VALUE"""),1.0)</f>
        <v>1</v>
      </c>
    </row>
    <row r="1245">
      <c r="A1245" s="6" t="str">
        <f>IFERROR(__xludf.DUMMYFUNCTION("""COMPUTED_VALUE"""),"FM2785")</f>
        <v>FM2785</v>
      </c>
      <c r="B1245" s="6" t="str">
        <f>IFERROR(__xludf.DUMMYFUNCTION("""COMPUTED_VALUE"""),"RUN-COMB_2022-07-05_RFR-071")</f>
        <v>RUN-COMB_2022-07-05_RFR-071</v>
      </c>
      <c r="C1245" s="7">
        <f>VLOOKUP(B1245,'Run Reconcile'!A$2:B3090,2,FALSE)</f>
        <v>44747</v>
      </c>
      <c r="D1245" s="11">
        <f>IFERROR(__xludf.DUMMYFUNCTION("""COMPUTED_VALUE"""),44747.0)</f>
        <v>44747</v>
      </c>
      <c r="E1245" s="12">
        <f>IFERROR(__xludf.DUMMYFUNCTION("""COMPUTED_VALUE"""),0.30910879629664123)</f>
        <v>0.3091087963</v>
      </c>
      <c r="F1245" s="6" t="str">
        <f>IFERROR(__xludf.DUMMYFUNCTION("""COMPUTED_VALUE"""),"Negative")</f>
        <v>Negative</v>
      </c>
      <c r="G1245" s="6">
        <f>IFERROR(__xludf.DUMMYFUNCTION("""COMPUTED_VALUE"""),1.0)</f>
        <v>1</v>
      </c>
    </row>
    <row r="1246">
      <c r="A1246" s="6" t="str">
        <f>IFERROR(__xludf.DUMMYFUNCTION("""COMPUTED_VALUE"""),"FM2808")</f>
        <v>FM2808</v>
      </c>
      <c r="B1246" s="6" t="str">
        <f>IFERROR(__xludf.DUMMYFUNCTION("""COMPUTED_VALUE"""),"RUN-COMB_2022-07-05_RFR-071")</f>
        <v>RUN-COMB_2022-07-05_RFR-071</v>
      </c>
      <c r="C1246" s="7">
        <f>VLOOKUP(B1246,'Run Reconcile'!A$2:B3090,2,FALSE)</f>
        <v>44747</v>
      </c>
      <c r="D1246" s="11">
        <f>IFERROR(__xludf.DUMMYFUNCTION("""COMPUTED_VALUE"""),44747.0)</f>
        <v>44747</v>
      </c>
      <c r="E1246" s="12">
        <f>IFERROR(__xludf.DUMMYFUNCTION("""COMPUTED_VALUE"""),0.30935185185080627)</f>
        <v>0.3093518519</v>
      </c>
      <c r="F1246" s="6" t="str">
        <f>IFERROR(__xludf.DUMMYFUNCTION("""COMPUTED_VALUE"""),"Negative")</f>
        <v>Negative</v>
      </c>
      <c r="G1246" s="6">
        <f>IFERROR(__xludf.DUMMYFUNCTION("""COMPUTED_VALUE"""),1.0)</f>
        <v>1</v>
      </c>
    </row>
    <row r="1247">
      <c r="A1247" s="6" t="str">
        <f>IFERROR(__xludf.DUMMYFUNCTION("""COMPUTED_VALUE"""),"FM2776A")</f>
        <v>FM2776A</v>
      </c>
      <c r="B1247" s="6" t="str">
        <f>IFERROR(__xludf.DUMMYFUNCTION("""COMPUTED_VALUE"""),"RUN-COMB_2022-07-05_RFR-071")</f>
        <v>RUN-COMB_2022-07-05_RFR-071</v>
      </c>
      <c r="C1247" s="7">
        <f>VLOOKUP(B1247,'Run Reconcile'!A$2:B3090,2,FALSE)</f>
        <v>44747</v>
      </c>
      <c r="D1247" s="11">
        <f>IFERROR(__xludf.DUMMYFUNCTION("""COMPUTED_VALUE"""),44747.0)</f>
        <v>44747</v>
      </c>
      <c r="E1247" s="12">
        <f>IFERROR(__xludf.DUMMYFUNCTION("""COMPUTED_VALUE"""),0.3096296296280343)</f>
        <v>0.3096296296</v>
      </c>
      <c r="F1247" s="6" t="str">
        <f>IFERROR(__xludf.DUMMYFUNCTION("""COMPUTED_VALUE"""),"Negative")</f>
        <v>Negative</v>
      </c>
      <c r="G1247" s="6">
        <f>IFERROR(__xludf.DUMMYFUNCTION("""COMPUTED_VALUE"""),1.0)</f>
        <v>1</v>
      </c>
    </row>
    <row r="1248">
      <c r="A1248" s="6" t="str">
        <f>IFERROR(__xludf.DUMMYFUNCTION("""COMPUTED_VALUE"""),"FM2776B")</f>
        <v>FM2776B</v>
      </c>
      <c r="B1248" s="6" t="str">
        <f>IFERROR(__xludf.DUMMYFUNCTION("""COMPUTED_VALUE"""),"RUN-COMB_2022-07-05_RFR-071")</f>
        <v>RUN-COMB_2022-07-05_RFR-071</v>
      </c>
      <c r="C1248" s="7">
        <f>VLOOKUP(B1248,'Run Reconcile'!A$2:B3090,2,FALSE)</f>
        <v>44747</v>
      </c>
      <c r="D1248" s="11">
        <f>IFERROR(__xludf.DUMMYFUNCTION("""COMPUTED_VALUE"""),44747.0)</f>
        <v>44747</v>
      </c>
      <c r="E1248" s="12">
        <f>IFERROR(__xludf.DUMMYFUNCTION("""COMPUTED_VALUE"""),0.31021990740919136)</f>
        <v>0.3102199074</v>
      </c>
      <c r="F1248" s="6" t="str">
        <f>IFERROR(__xludf.DUMMYFUNCTION("""COMPUTED_VALUE"""),"Negative")</f>
        <v>Negative</v>
      </c>
      <c r="G1248" s="6">
        <f>IFERROR(__xludf.DUMMYFUNCTION("""COMPUTED_VALUE"""),1.0)</f>
        <v>1</v>
      </c>
    </row>
    <row r="1249">
      <c r="A1249" s="6" t="str">
        <f>IFERROR(__xludf.DUMMYFUNCTION("""COMPUTED_VALUE"""),"FM2776C")</f>
        <v>FM2776C</v>
      </c>
      <c r="B1249" s="6" t="str">
        <f>IFERROR(__xludf.DUMMYFUNCTION("""COMPUTED_VALUE"""),"RUN-COMB_2022-07-05_RFR-071")</f>
        <v>RUN-COMB_2022-07-05_RFR-071</v>
      </c>
      <c r="C1249" s="7">
        <f>VLOOKUP(B1249,'Run Reconcile'!A$2:B3090,2,FALSE)</f>
        <v>44747</v>
      </c>
      <c r="D1249" s="11">
        <f>IFERROR(__xludf.DUMMYFUNCTION("""COMPUTED_VALUE"""),44747.0)</f>
        <v>44747</v>
      </c>
      <c r="E1249" s="12">
        <f>IFERROR(__xludf.DUMMYFUNCTION("""COMPUTED_VALUE"""),0.3108680555560568)</f>
        <v>0.3108680556</v>
      </c>
      <c r="F1249" s="6" t="str">
        <f>IFERROR(__xludf.DUMMYFUNCTION("""COMPUTED_VALUE"""),"Negative")</f>
        <v>Negative</v>
      </c>
      <c r="G1249" s="6">
        <f>IFERROR(__xludf.DUMMYFUNCTION("""COMPUTED_VALUE"""),1.0)</f>
        <v>1</v>
      </c>
    </row>
    <row r="1250">
      <c r="A1250" s="6" t="str">
        <f>IFERROR(__xludf.DUMMYFUNCTION("""COMPUTED_VALUE"""),"FM2812")</f>
        <v>FM2812</v>
      </c>
      <c r="B1250" s="6" t="str">
        <f>IFERROR(__xludf.DUMMYFUNCTION("""COMPUTED_VALUE"""),"RUN-COMB_2022-07-05_RFR-071")</f>
        <v>RUN-COMB_2022-07-05_RFR-071</v>
      </c>
      <c r="C1250" s="7">
        <f>VLOOKUP(B1250,'Run Reconcile'!A$2:B3090,2,FALSE)</f>
        <v>44747</v>
      </c>
      <c r="D1250" s="11">
        <f>IFERROR(__xludf.DUMMYFUNCTION("""COMPUTED_VALUE"""),44747.0)</f>
        <v>44747</v>
      </c>
      <c r="E1250" s="12">
        <f>IFERROR(__xludf.DUMMYFUNCTION("""COMPUTED_VALUE"""),0.3113773148143082)</f>
        <v>0.3113773148</v>
      </c>
      <c r="F1250" s="6" t="str">
        <f>IFERROR(__xludf.DUMMYFUNCTION("""COMPUTED_VALUE"""),"Negative")</f>
        <v>Negative</v>
      </c>
      <c r="G1250" s="6">
        <f>IFERROR(__xludf.DUMMYFUNCTION("""COMPUTED_VALUE"""),1.0)</f>
        <v>1</v>
      </c>
    </row>
    <row r="1251">
      <c r="A1251" s="6" t="str">
        <f>IFERROR(__xludf.DUMMYFUNCTION("""COMPUTED_VALUE"""),"FM2705")</f>
        <v>FM2705</v>
      </c>
      <c r="B1251" s="6" t="str">
        <f>IFERROR(__xludf.DUMMYFUNCTION("""COMPUTED_VALUE"""),"RUN-COMB_2022-07-05_RFR-071")</f>
        <v>RUN-COMB_2022-07-05_RFR-071</v>
      </c>
      <c r="C1251" s="7">
        <f>VLOOKUP(B1251,'Run Reconcile'!A$2:B3090,2,FALSE)</f>
        <v>44747</v>
      </c>
      <c r="D1251" s="11">
        <f>IFERROR(__xludf.DUMMYFUNCTION("""COMPUTED_VALUE"""),44747.0)</f>
        <v>44747</v>
      </c>
      <c r="E1251" s="12">
        <f>IFERROR(__xludf.DUMMYFUNCTION("""COMPUTED_VALUE"""),0.3118865740725596)</f>
        <v>0.3118865741</v>
      </c>
      <c r="F1251" s="6" t="str">
        <f>IFERROR(__xludf.DUMMYFUNCTION("""COMPUTED_VALUE"""),"Negative")</f>
        <v>Negative</v>
      </c>
      <c r="G1251" s="6">
        <f>IFERROR(__xludf.DUMMYFUNCTION("""COMPUTED_VALUE"""),1.0)</f>
        <v>1</v>
      </c>
    </row>
    <row r="1252">
      <c r="A1252" s="6" t="str">
        <f>IFERROR(__xludf.DUMMYFUNCTION("""COMPUTED_VALUE"""),"FM2801")</f>
        <v>FM2801</v>
      </c>
      <c r="B1252" s="6" t="str">
        <f>IFERROR(__xludf.DUMMYFUNCTION("""COMPUTED_VALUE"""),"RUN-COMB_2022-07-05_RFR-071")</f>
        <v>RUN-COMB_2022-07-05_RFR-071</v>
      </c>
      <c r="C1252" s="7">
        <f>VLOOKUP(B1252,'Run Reconcile'!A$2:B3090,2,FALSE)</f>
        <v>44747</v>
      </c>
      <c r="D1252" s="11">
        <f>IFERROR(__xludf.DUMMYFUNCTION("""COMPUTED_VALUE"""),44747.0)</f>
        <v>44747</v>
      </c>
      <c r="E1252" s="12">
        <f>IFERROR(__xludf.DUMMYFUNCTION("""COMPUTED_VALUE"""),0.31229166666526)</f>
        <v>0.3122916667</v>
      </c>
      <c r="F1252" s="6" t="str">
        <f>IFERROR(__xludf.DUMMYFUNCTION("""COMPUTED_VALUE"""),"Negative")</f>
        <v>Negative</v>
      </c>
      <c r="G1252" s="6">
        <f>IFERROR(__xludf.DUMMYFUNCTION("""COMPUTED_VALUE"""),1.0)</f>
        <v>1</v>
      </c>
    </row>
    <row r="1253">
      <c r="A1253" s="6" t="str">
        <f>IFERROR(__xludf.DUMMYFUNCTION("""COMPUTED_VALUE"""),"FM2817")</f>
        <v>FM2817</v>
      </c>
      <c r="B1253" s="6" t="str">
        <f>IFERROR(__xludf.DUMMYFUNCTION("""COMPUTED_VALUE"""),"RUN-COMB_2022-07-05_RFR-071")</f>
        <v>RUN-COMB_2022-07-05_RFR-071</v>
      </c>
      <c r="C1253" s="7">
        <f>VLOOKUP(B1253,'Run Reconcile'!A$2:B3090,2,FALSE)</f>
        <v>44747</v>
      </c>
      <c r="D1253" s="11">
        <f>IFERROR(__xludf.DUMMYFUNCTION("""COMPUTED_VALUE"""),44747.0)</f>
        <v>44747</v>
      </c>
      <c r="E1253" s="12">
        <f>IFERROR(__xludf.DUMMYFUNCTION("""COMPUTED_VALUE"""),0.3127893518503697)</f>
        <v>0.3127893519</v>
      </c>
      <c r="F1253" s="6" t="str">
        <f>IFERROR(__xludf.DUMMYFUNCTION("""COMPUTED_VALUE"""),"Negative")</f>
        <v>Negative</v>
      </c>
      <c r="G1253" s="6">
        <f>IFERROR(__xludf.DUMMYFUNCTION("""COMPUTED_VALUE"""),1.0)</f>
        <v>1</v>
      </c>
    </row>
    <row r="1254">
      <c r="A1254" s="6" t="str">
        <f>IFERROR(__xludf.DUMMYFUNCTION("""COMPUTED_VALUE"""),"FM2742")</f>
        <v>FM2742</v>
      </c>
      <c r="B1254" s="6" t="str">
        <f>IFERROR(__xludf.DUMMYFUNCTION("""COMPUTED_VALUE"""),"RUN-COMB_2022-07-05_RFR-071")</f>
        <v>RUN-COMB_2022-07-05_RFR-071</v>
      </c>
      <c r="C1254" s="7">
        <f>VLOOKUP(B1254,'Run Reconcile'!A$2:B3090,2,FALSE)</f>
        <v>44747</v>
      </c>
      <c r="D1254" s="11">
        <f>IFERROR(__xludf.DUMMYFUNCTION("""COMPUTED_VALUE"""),44747.0)</f>
        <v>44747</v>
      </c>
      <c r="E1254" s="12">
        <f>IFERROR(__xludf.DUMMYFUNCTION("""COMPUTED_VALUE"""),0.3133333333316841)</f>
        <v>0.3133333333</v>
      </c>
      <c r="F1254" s="6" t="str">
        <f>IFERROR(__xludf.DUMMYFUNCTION("""COMPUTED_VALUE"""),"Negative")</f>
        <v>Negative</v>
      </c>
      <c r="G1254" s="6">
        <f>IFERROR(__xludf.DUMMYFUNCTION("""COMPUTED_VALUE"""),1.0)</f>
        <v>1</v>
      </c>
    </row>
    <row r="1255">
      <c r="A1255" s="6" t="str">
        <f>IFERROR(__xludf.DUMMYFUNCTION("""COMPUTED_VALUE"""),"FM2726")</f>
        <v>FM2726</v>
      </c>
      <c r="B1255" s="6" t="str">
        <f>IFERROR(__xludf.DUMMYFUNCTION("""COMPUTED_VALUE"""),"RUN-COMB_2022-07-05_RFR-071")</f>
        <v>RUN-COMB_2022-07-05_RFR-071</v>
      </c>
      <c r="C1255" s="7">
        <f>VLOOKUP(B1255,'Run Reconcile'!A$2:B3090,2,FALSE)</f>
        <v>44747</v>
      </c>
      <c r="D1255" s="11">
        <f>IFERROR(__xludf.DUMMYFUNCTION("""COMPUTED_VALUE"""),44747.0)</f>
        <v>44747</v>
      </c>
      <c r="E1255" s="12">
        <f>IFERROR(__xludf.DUMMYFUNCTION("""COMPUTED_VALUE"""),0.3137962962973688)</f>
        <v>0.3137962963</v>
      </c>
      <c r="F1255" s="6" t="str">
        <f>IFERROR(__xludf.DUMMYFUNCTION("""COMPUTED_VALUE"""),"Negative")</f>
        <v>Negative</v>
      </c>
      <c r="G1255" s="6">
        <f>IFERROR(__xludf.DUMMYFUNCTION("""COMPUTED_VALUE"""),1.0)</f>
        <v>1</v>
      </c>
    </row>
    <row r="1256">
      <c r="A1256" s="6" t="str">
        <f>IFERROR(__xludf.DUMMYFUNCTION("""COMPUTED_VALUE"""),"FM2800")</f>
        <v>FM2800</v>
      </c>
      <c r="B1256" s="6" t="str">
        <f>IFERROR(__xludf.DUMMYFUNCTION("""COMPUTED_VALUE"""),"RUN-COMB_2022-07-05_RFR-071")</f>
        <v>RUN-COMB_2022-07-05_RFR-071</v>
      </c>
      <c r="C1256" s="7">
        <f>VLOOKUP(B1256,'Run Reconcile'!A$2:B3090,2,FALSE)</f>
        <v>44747</v>
      </c>
      <c r="D1256" s="11">
        <f>IFERROR(__xludf.DUMMYFUNCTION("""COMPUTED_VALUE"""),44747.0)</f>
        <v>44747</v>
      </c>
      <c r="E1256" s="12">
        <f>IFERROR(__xludf.DUMMYFUNCTION("""COMPUTED_VALUE"""),0.31430555555562023)</f>
        <v>0.3143055556</v>
      </c>
      <c r="F1256" s="6" t="str">
        <f>IFERROR(__xludf.DUMMYFUNCTION("""COMPUTED_VALUE"""),"Negative")</f>
        <v>Negative</v>
      </c>
      <c r="G1256" s="6">
        <f>IFERROR(__xludf.DUMMYFUNCTION("""COMPUTED_VALUE"""),1.0)</f>
        <v>1</v>
      </c>
    </row>
    <row r="1257">
      <c r="A1257" s="6" t="str">
        <f>IFERROR(__xludf.DUMMYFUNCTION("""COMPUTED_VALUE"""),"FM2709")</f>
        <v>FM2709</v>
      </c>
      <c r="B1257" s="6" t="str">
        <f>IFERROR(__xludf.DUMMYFUNCTION("""COMPUTED_VALUE"""),"RUN-COMB_2022-07-05_RFR-071")</f>
        <v>RUN-COMB_2022-07-05_RFR-071</v>
      </c>
      <c r="C1257" s="7">
        <f>VLOOKUP(B1257,'Run Reconcile'!A$2:B3090,2,FALSE)</f>
        <v>44747</v>
      </c>
      <c r="D1257" s="11">
        <f>IFERROR(__xludf.DUMMYFUNCTION("""COMPUTED_VALUE"""),44747.0)</f>
        <v>44747</v>
      </c>
      <c r="E1257" s="12">
        <f>IFERROR(__xludf.DUMMYFUNCTION("""COMPUTED_VALUE"""),0.3149999999986903)</f>
        <v>0.315</v>
      </c>
      <c r="F1257" s="6" t="str">
        <f>IFERROR(__xludf.DUMMYFUNCTION("""COMPUTED_VALUE"""),"Negative")</f>
        <v>Negative</v>
      </c>
      <c r="G1257" s="6">
        <f>IFERROR(__xludf.DUMMYFUNCTION("""COMPUTED_VALUE"""),1.0)</f>
        <v>1</v>
      </c>
    </row>
    <row r="1258">
      <c r="A1258" s="6" t="str">
        <f>IFERROR(__xludf.DUMMYFUNCTION("""COMPUTED_VALUE"""),"FM2741")</f>
        <v>FM2741</v>
      </c>
      <c r="B1258" s="6" t="str">
        <f>IFERROR(__xludf.DUMMYFUNCTION("""COMPUTED_VALUE"""),"RUN-COMB_2022-07-05_RFR-071")</f>
        <v>RUN-COMB_2022-07-05_RFR-071</v>
      </c>
      <c r="C1258" s="7">
        <f>VLOOKUP(B1258,'Run Reconcile'!A$2:B3090,2,FALSE)</f>
        <v>44747</v>
      </c>
      <c r="D1258" s="11">
        <f>IFERROR(__xludf.DUMMYFUNCTION("""COMPUTED_VALUE"""),44747.0)</f>
        <v>44747</v>
      </c>
      <c r="E1258" s="12">
        <f>IFERROR(__xludf.DUMMYFUNCTION("""COMPUTED_VALUE"""),0.3154513888875954)</f>
        <v>0.3154513889</v>
      </c>
      <c r="F1258" s="6" t="str">
        <f>IFERROR(__xludf.DUMMYFUNCTION("""COMPUTED_VALUE"""),"Negative")</f>
        <v>Negative</v>
      </c>
      <c r="G1258" s="6">
        <f>IFERROR(__xludf.DUMMYFUNCTION("""COMPUTED_VALUE"""),1.0)</f>
        <v>1</v>
      </c>
    </row>
    <row r="1259">
      <c r="A1259" s="6" t="str">
        <f>IFERROR(__xludf.DUMMYFUNCTION("""COMPUTED_VALUE"""),"FM2768")</f>
        <v>FM2768</v>
      </c>
      <c r="B1259" s="6" t="str">
        <f>IFERROR(__xludf.DUMMYFUNCTION("""COMPUTED_VALUE"""),"RUN-COMB_2022-07-05_RFR-071")</f>
        <v>RUN-COMB_2022-07-05_RFR-071</v>
      </c>
      <c r="C1259" s="7">
        <f>VLOOKUP(B1259,'Run Reconcile'!A$2:B3090,2,FALSE)</f>
        <v>44747</v>
      </c>
      <c r="D1259" s="11">
        <f>IFERROR(__xludf.DUMMYFUNCTION("""COMPUTED_VALUE"""),44747.0)</f>
        <v>44747</v>
      </c>
      <c r="E1259" s="12">
        <f>IFERROR(__xludf.DUMMYFUNCTION("""COMPUTED_VALUE"""),0.31589120370335877)</f>
        <v>0.3158912037</v>
      </c>
      <c r="F1259" s="6" t="str">
        <f>IFERROR(__xludf.DUMMYFUNCTION("""COMPUTED_VALUE"""),"Negative")</f>
        <v>Negative</v>
      </c>
      <c r="G1259" s="6">
        <f>IFERROR(__xludf.DUMMYFUNCTION("""COMPUTED_VALUE"""),1.0)</f>
        <v>1</v>
      </c>
    </row>
    <row r="1260">
      <c r="A1260" s="6" t="str">
        <f>IFERROR(__xludf.DUMMYFUNCTION("""COMPUTED_VALUE"""),"FM2782")</f>
        <v>FM2782</v>
      </c>
      <c r="B1260" s="6" t="str">
        <f>IFERROR(__xludf.DUMMYFUNCTION("""COMPUTED_VALUE"""),"RUN-COMB_2022-07-05_RFR-071")</f>
        <v>RUN-COMB_2022-07-05_RFR-071</v>
      </c>
      <c r="C1260" s="7">
        <f>VLOOKUP(B1260,'Run Reconcile'!A$2:B3090,2,FALSE)</f>
        <v>44747</v>
      </c>
      <c r="D1260" s="11">
        <f>IFERROR(__xludf.DUMMYFUNCTION("""COMPUTED_VALUE"""),44747.0)</f>
        <v>44747</v>
      </c>
      <c r="E1260" s="12">
        <f>IFERROR(__xludf.DUMMYFUNCTION("""COMPUTED_VALUE"""),0.3164583333345945)</f>
        <v>0.3164583333</v>
      </c>
      <c r="F1260" s="6" t="str">
        <f>IFERROR(__xludf.DUMMYFUNCTION("""COMPUTED_VALUE"""),"Negative")</f>
        <v>Negative</v>
      </c>
      <c r="G1260" s="6">
        <f>IFERROR(__xludf.DUMMYFUNCTION("""COMPUTED_VALUE"""),1.0)</f>
        <v>1</v>
      </c>
    </row>
    <row r="1261">
      <c r="A1261" s="6" t="str">
        <f>IFERROR(__xludf.DUMMYFUNCTION("""COMPUTED_VALUE"""),"FM2778")</f>
        <v>FM2778</v>
      </c>
      <c r="B1261" s="6" t="str">
        <f>IFERROR(__xludf.DUMMYFUNCTION("""COMPUTED_VALUE"""),"RUN-COMB_2022-07-05_RFR-071")</f>
        <v>RUN-COMB_2022-07-05_RFR-071</v>
      </c>
      <c r="C1261" s="7">
        <f>VLOOKUP(B1261,'Run Reconcile'!A$2:B3090,2,FALSE)</f>
        <v>44747</v>
      </c>
      <c r="D1261" s="11">
        <f>IFERROR(__xludf.DUMMYFUNCTION("""COMPUTED_VALUE"""),44747.0)</f>
        <v>44747</v>
      </c>
      <c r="E1261" s="12">
        <f>IFERROR(__xludf.DUMMYFUNCTION("""COMPUTED_VALUE"""),0.31685185185051523)</f>
        <v>0.3168518519</v>
      </c>
      <c r="F1261" s="6" t="str">
        <f>IFERROR(__xludf.DUMMYFUNCTION("""COMPUTED_VALUE"""),"Negative")</f>
        <v>Negative</v>
      </c>
      <c r="G1261" s="6">
        <f>IFERROR(__xludf.DUMMYFUNCTION("""COMPUTED_VALUE"""),1.0)</f>
        <v>1</v>
      </c>
    </row>
    <row r="1262">
      <c r="A1262" s="6" t="str">
        <f>IFERROR(__xludf.DUMMYFUNCTION("""COMPUTED_VALUE"""),"FM2704")</f>
        <v>FM2704</v>
      </c>
      <c r="B1262" s="6" t="str">
        <f>IFERROR(__xludf.DUMMYFUNCTION("""COMPUTED_VALUE"""),"RUN-COMB_2022-07-05_RFR-071")</f>
        <v>RUN-COMB_2022-07-05_RFR-071</v>
      </c>
      <c r="C1262" s="7">
        <f>VLOOKUP(B1262,'Run Reconcile'!A$2:B3090,2,FALSE)</f>
        <v>44747</v>
      </c>
      <c r="D1262" s="11">
        <f>IFERROR(__xludf.DUMMYFUNCTION("""COMPUTED_VALUE"""),44747.0)</f>
        <v>44747</v>
      </c>
      <c r="E1262" s="12">
        <f>IFERROR(__xludf.DUMMYFUNCTION("""COMPUTED_VALUE"""),0.31741898148175096)</f>
        <v>0.3174189815</v>
      </c>
      <c r="F1262" s="6" t="str">
        <f>IFERROR(__xludf.DUMMYFUNCTION("""COMPUTED_VALUE"""),"Negative")</f>
        <v>Negative</v>
      </c>
      <c r="G1262" s="6">
        <f>IFERROR(__xludf.DUMMYFUNCTION("""COMPUTED_VALUE"""),1.0)</f>
        <v>1</v>
      </c>
    </row>
    <row r="1263">
      <c r="A1263" s="6" t="str">
        <f>IFERROR(__xludf.DUMMYFUNCTION("""COMPUTED_VALUE"""),"FM2718")</f>
        <v>FM2718</v>
      </c>
      <c r="B1263" s="6" t="str">
        <f>IFERROR(__xludf.DUMMYFUNCTION("""COMPUTED_VALUE"""),"RUN-COMB_2022-07-06_RFR-072")</f>
        <v>RUN-COMB_2022-07-06_RFR-072</v>
      </c>
      <c r="C1263" s="7">
        <f>VLOOKUP(B1263,'Run Reconcile'!A$2:B3090,2,FALSE)</f>
        <v>44748</v>
      </c>
      <c r="D1263" s="11">
        <f>IFERROR(__xludf.DUMMYFUNCTION("""COMPUTED_VALUE"""),44748.0)</f>
        <v>44748</v>
      </c>
      <c r="E1263" s="12">
        <f>IFERROR(__xludf.DUMMYFUNCTION("""COMPUTED_VALUE"""),0.3168171296310902)</f>
        <v>0.3168171296</v>
      </c>
      <c r="F1263" s="6" t="str">
        <f>IFERROR(__xludf.DUMMYFUNCTION("""COMPUTED_VALUE"""),"Negative")</f>
        <v>Negative</v>
      </c>
      <c r="G1263" s="6">
        <f>IFERROR(__xludf.DUMMYFUNCTION("""COMPUTED_VALUE"""),1.0)</f>
        <v>1</v>
      </c>
    </row>
    <row r="1264">
      <c r="A1264" s="6" t="str">
        <f>IFERROR(__xludf.DUMMYFUNCTION("""COMPUTED_VALUE"""),"FM2754")</f>
        <v>FM2754</v>
      </c>
      <c r="B1264" s="6" t="str">
        <f>IFERROR(__xludf.DUMMYFUNCTION("""COMPUTED_VALUE"""),"RUN-COMB_2022-07-06_RFR-072")</f>
        <v>RUN-COMB_2022-07-06_RFR-072</v>
      </c>
      <c r="C1264" s="7">
        <f>VLOOKUP(B1264,'Run Reconcile'!A$2:B3090,2,FALSE)</f>
        <v>44748</v>
      </c>
      <c r="D1264" s="11">
        <f>IFERROR(__xludf.DUMMYFUNCTION("""COMPUTED_VALUE"""),44748.0)</f>
        <v>44748</v>
      </c>
      <c r="E1264" s="12">
        <f>IFERROR(__xludf.DUMMYFUNCTION("""COMPUTED_VALUE"""),0.3171759259275859)</f>
        <v>0.3171759259</v>
      </c>
      <c r="F1264" s="6" t="str">
        <f>IFERROR(__xludf.DUMMYFUNCTION("""COMPUTED_VALUE"""),"Negative")</f>
        <v>Negative</v>
      </c>
      <c r="G1264" s="6">
        <f>IFERROR(__xludf.DUMMYFUNCTION("""COMPUTED_VALUE"""),1.0)</f>
        <v>1</v>
      </c>
    </row>
    <row r="1265">
      <c r="A1265" s="6" t="str">
        <f>IFERROR(__xludf.DUMMYFUNCTION("""COMPUTED_VALUE"""),"FM2759")</f>
        <v>FM2759</v>
      </c>
      <c r="B1265" s="6" t="str">
        <f>IFERROR(__xludf.DUMMYFUNCTION("""COMPUTED_VALUE"""),"RUN-COMB_2022-07-06_RFR-072")</f>
        <v>RUN-COMB_2022-07-06_RFR-072</v>
      </c>
      <c r="C1265" s="7">
        <f>VLOOKUP(B1265,'Run Reconcile'!A$2:B3090,2,FALSE)</f>
        <v>44748</v>
      </c>
      <c r="D1265" s="11">
        <f>IFERROR(__xludf.DUMMYFUNCTION("""COMPUTED_VALUE"""),44748.0)</f>
        <v>44748</v>
      </c>
      <c r="E1265" s="12">
        <f>IFERROR(__xludf.DUMMYFUNCTION("""COMPUTED_VALUE"""),0.31746527777795563)</f>
        <v>0.3174652778</v>
      </c>
      <c r="F1265" s="6" t="str">
        <f>IFERROR(__xludf.DUMMYFUNCTION("""COMPUTED_VALUE"""),"Negative")</f>
        <v>Negative</v>
      </c>
      <c r="G1265" s="6">
        <f>IFERROR(__xludf.DUMMYFUNCTION("""COMPUTED_VALUE"""),1.0)</f>
        <v>1</v>
      </c>
    </row>
    <row r="1266">
      <c r="A1266" s="6" t="str">
        <f>IFERROR(__xludf.DUMMYFUNCTION("""COMPUTED_VALUE"""),"FM2745")</f>
        <v>FM2745</v>
      </c>
      <c r="B1266" s="6" t="str">
        <f>IFERROR(__xludf.DUMMYFUNCTION("""COMPUTED_VALUE"""),"RUN-COMB_2022-07-06_RFR-072")</f>
        <v>RUN-COMB_2022-07-06_RFR-072</v>
      </c>
      <c r="C1266" s="7">
        <f>VLOOKUP(B1266,'Run Reconcile'!A$2:B3090,2,FALSE)</f>
        <v>44748</v>
      </c>
      <c r="D1266" s="11">
        <f>IFERROR(__xludf.DUMMYFUNCTION("""COMPUTED_VALUE"""),44748.0)</f>
        <v>44748</v>
      </c>
      <c r="E1266" s="12">
        <f>IFERROR(__xludf.DUMMYFUNCTION("""COMPUTED_VALUE"""),0.317766203705105)</f>
        <v>0.3177662037</v>
      </c>
      <c r="F1266" s="6" t="str">
        <f>IFERROR(__xludf.DUMMYFUNCTION("""COMPUTED_VALUE"""),"Negative")</f>
        <v>Negative</v>
      </c>
      <c r="G1266" s="6">
        <f>IFERROR(__xludf.DUMMYFUNCTION("""COMPUTED_VALUE"""),1.0)</f>
        <v>1</v>
      </c>
    </row>
    <row r="1267">
      <c r="A1267" s="6" t="str">
        <f>IFERROR(__xludf.DUMMYFUNCTION("""COMPUTED_VALUE"""),"FM2710")</f>
        <v>FM2710</v>
      </c>
      <c r="B1267" s="6" t="str">
        <f>IFERROR(__xludf.DUMMYFUNCTION("""COMPUTED_VALUE"""),"RUN-COMB_2022-07-06_RFR-072")</f>
        <v>RUN-COMB_2022-07-06_RFR-072</v>
      </c>
      <c r="C1267" s="7">
        <f>VLOOKUP(B1267,'Run Reconcile'!A$2:B3090,2,FALSE)</f>
        <v>44748</v>
      </c>
      <c r="D1267" s="11">
        <f>IFERROR(__xludf.DUMMYFUNCTION("""COMPUTED_VALUE"""),44748.0)</f>
        <v>44748</v>
      </c>
      <c r="E1267" s="12">
        <f>IFERROR(__xludf.DUMMYFUNCTION("""COMPUTED_VALUE"""),0.31811342592482106)</f>
        <v>0.3181134259</v>
      </c>
      <c r="F1267" s="6" t="str">
        <f>IFERROR(__xludf.DUMMYFUNCTION("""COMPUTED_VALUE"""),"Negative")</f>
        <v>Negative</v>
      </c>
      <c r="G1267" s="6">
        <f>IFERROR(__xludf.DUMMYFUNCTION("""COMPUTED_VALUE"""),1.0)</f>
        <v>1</v>
      </c>
    </row>
    <row r="1268">
      <c r="A1268" s="6" t="str">
        <f>IFERROR(__xludf.DUMMYFUNCTION("""COMPUTED_VALUE"""),"FM2816")</f>
        <v>FM2816</v>
      </c>
      <c r="B1268" s="6" t="str">
        <f>IFERROR(__xludf.DUMMYFUNCTION("""COMPUTED_VALUE"""),"RUN-COMB_2022-07-06_RFR-072")</f>
        <v>RUN-COMB_2022-07-06_RFR-072</v>
      </c>
      <c r="C1268" s="7">
        <f>VLOOKUP(B1268,'Run Reconcile'!A$2:B3090,2,FALSE)</f>
        <v>44748</v>
      </c>
      <c r="D1268" s="11">
        <f>IFERROR(__xludf.DUMMYFUNCTION("""COMPUTED_VALUE"""),44748.0)</f>
        <v>44748</v>
      </c>
      <c r="E1268" s="12">
        <f>IFERROR(__xludf.DUMMYFUNCTION("""COMPUTED_VALUE"""),0.31854166666744277)</f>
        <v>0.3185416667</v>
      </c>
      <c r="F1268" s="6" t="str">
        <f>IFERROR(__xludf.DUMMYFUNCTION("""COMPUTED_VALUE"""),"Negative")</f>
        <v>Negative</v>
      </c>
      <c r="G1268" s="6">
        <f>IFERROR(__xludf.DUMMYFUNCTION("""COMPUTED_VALUE"""),1.0)</f>
        <v>1</v>
      </c>
    </row>
    <row r="1269">
      <c r="A1269" s="6" t="str">
        <f>IFERROR(__xludf.DUMMYFUNCTION("""COMPUTED_VALUE"""),"FM2804")</f>
        <v>FM2804</v>
      </c>
      <c r="B1269" s="6" t="str">
        <f>IFERROR(__xludf.DUMMYFUNCTION("""COMPUTED_VALUE"""),"RUN-COMB_2022-07-06_RFR-072")</f>
        <v>RUN-COMB_2022-07-06_RFR-072</v>
      </c>
      <c r="C1269" s="7">
        <f>VLOOKUP(B1269,'Run Reconcile'!A$2:B3090,2,FALSE)</f>
        <v>44748</v>
      </c>
      <c r="D1269" s="11">
        <f>IFERROR(__xludf.DUMMYFUNCTION("""COMPUTED_VALUE"""),44748.0)</f>
        <v>44748</v>
      </c>
      <c r="E1269" s="12">
        <f>IFERROR(__xludf.DUMMYFUNCTION("""COMPUTED_VALUE"""),0.3193402777760639)</f>
        <v>0.3193402778</v>
      </c>
      <c r="F1269" s="6" t="str">
        <f>IFERROR(__xludf.DUMMYFUNCTION("""COMPUTED_VALUE"""),"Negative")</f>
        <v>Negative</v>
      </c>
      <c r="G1269" s="6">
        <f>IFERROR(__xludf.DUMMYFUNCTION("""COMPUTED_VALUE"""),1.0)</f>
        <v>1</v>
      </c>
    </row>
    <row r="1270">
      <c r="A1270" s="6" t="str">
        <f>IFERROR(__xludf.DUMMYFUNCTION("""COMPUTED_VALUE"""),"FM2751")</f>
        <v>FM2751</v>
      </c>
      <c r="B1270" s="6" t="str">
        <f>IFERROR(__xludf.DUMMYFUNCTION("""COMPUTED_VALUE"""),"RUN-COMB_2022-07-06_RFR-072")</f>
        <v>RUN-COMB_2022-07-06_RFR-072</v>
      </c>
      <c r="C1270" s="7">
        <f>VLOOKUP(B1270,'Run Reconcile'!A$2:B3090,2,FALSE)</f>
        <v>44748</v>
      </c>
      <c r="D1270" s="11">
        <f>IFERROR(__xludf.DUMMYFUNCTION("""COMPUTED_VALUE"""),44748.0)</f>
        <v>44748</v>
      </c>
      <c r="E1270" s="12">
        <f>IFERROR(__xludf.DUMMYFUNCTION("""COMPUTED_VALUE"""),0.3196874999994179)</f>
        <v>0.3196875</v>
      </c>
      <c r="F1270" s="6" t="str">
        <f>IFERROR(__xludf.DUMMYFUNCTION("""COMPUTED_VALUE"""),"Negative")</f>
        <v>Negative</v>
      </c>
      <c r="G1270" s="6">
        <f>IFERROR(__xludf.DUMMYFUNCTION("""COMPUTED_VALUE"""),1.0)</f>
        <v>1</v>
      </c>
    </row>
    <row r="1271">
      <c r="A1271" s="6" t="str">
        <f>IFERROR(__xludf.DUMMYFUNCTION("""COMPUTED_VALUE"""),"FM2715")</f>
        <v>FM2715</v>
      </c>
      <c r="B1271" s="6" t="str">
        <f>IFERROR(__xludf.DUMMYFUNCTION("""COMPUTED_VALUE"""),"RUN-COMB_2022-07-06_RFR-072")</f>
        <v>RUN-COMB_2022-07-06_RFR-072</v>
      </c>
      <c r="C1271" s="7">
        <f>VLOOKUP(B1271,'Run Reconcile'!A$2:B3090,2,FALSE)</f>
        <v>44748</v>
      </c>
      <c r="D1271" s="11">
        <f>IFERROR(__xludf.DUMMYFUNCTION("""COMPUTED_VALUE"""),44748.0)</f>
        <v>44748</v>
      </c>
      <c r="E1271" s="12">
        <f>IFERROR(__xludf.DUMMYFUNCTION("""COMPUTED_VALUE"""),0.32004629629591363)</f>
        <v>0.3200462963</v>
      </c>
      <c r="F1271" s="6" t="str">
        <f>IFERROR(__xludf.DUMMYFUNCTION("""COMPUTED_VALUE"""),"Negative")</f>
        <v>Negative</v>
      </c>
      <c r="G1271" s="6">
        <f>IFERROR(__xludf.DUMMYFUNCTION("""COMPUTED_VALUE"""),1.0)</f>
        <v>1</v>
      </c>
    </row>
    <row r="1272">
      <c r="A1272" s="6" t="str">
        <f>IFERROR(__xludf.DUMMYFUNCTION("""COMPUTED_VALUE"""),"FM2761")</f>
        <v>FM2761</v>
      </c>
      <c r="B1272" s="6" t="str">
        <f>IFERROR(__xludf.DUMMYFUNCTION("""COMPUTED_VALUE"""),"RUN-COMB_2022-07-06_RFR-072")</f>
        <v>RUN-COMB_2022-07-06_RFR-072</v>
      </c>
      <c r="C1272" s="7">
        <f>VLOOKUP(B1272,'Run Reconcile'!A$2:B3090,2,FALSE)</f>
        <v>44748</v>
      </c>
      <c r="D1272" s="11">
        <f>IFERROR(__xludf.DUMMYFUNCTION("""COMPUTED_VALUE"""),44748.0)</f>
        <v>44748</v>
      </c>
      <c r="E1272" s="12">
        <f>IFERROR(__xludf.DUMMYFUNCTION("""COMPUTED_VALUE"""),0.3203587962962047)</f>
        <v>0.3203587963</v>
      </c>
      <c r="F1272" s="6" t="str">
        <f>IFERROR(__xludf.DUMMYFUNCTION("""COMPUTED_VALUE"""),"Negative")</f>
        <v>Negative</v>
      </c>
      <c r="G1272" s="6">
        <f>IFERROR(__xludf.DUMMYFUNCTION("""COMPUTED_VALUE"""),1.0)</f>
        <v>1</v>
      </c>
    </row>
    <row r="1273">
      <c r="A1273" s="6" t="str">
        <f>IFERROR(__xludf.DUMMYFUNCTION("""COMPUTED_VALUE"""),"FM2701")</f>
        <v>FM2701</v>
      </c>
      <c r="B1273" s="6" t="str">
        <f>IFERROR(__xludf.DUMMYFUNCTION("""COMPUTED_VALUE"""),"RUN-COMB_2022-07-06_RFR-072")</f>
        <v>RUN-COMB_2022-07-06_RFR-072</v>
      </c>
      <c r="C1273" s="7">
        <f>VLOOKUP(B1273,'Run Reconcile'!A$2:B3090,2,FALSE)</f>
        <v>44748</v>
      </c>
      <c r="D1273" s="11">
        <f>IFERROR(__xludf.DUMMYFUNCTION("""COMPUTED_VALUE"""),44748.0)</f>
        <v>44748</v>
      </c>
      <c r="E1273" s="12">
        <f>IFERROR(__xludf.DUMMYFUNCTION("""COMPUTED_VALUE"""),0.32069444444277906)</f>
        <v>0.3206944444</v>
      </c>
      <c r="F1273" s="6" t="str">
        <f>IFERROR(__xludf.DUMMYFUNCTION("""COMPUTED_VALUE"""),"Negative")</f>
        <v>Negative</v>
      </c>
      <c r="G1273" s="6">
        <f>IFERROR(__xludf.DUMMYFUNCTION("""COMPUTED_VALUE"""),1.0)</f>
        <v>1</v>
      </c>
    </row>
    <row r="1274">
      <c r="A1274" s="6" t="str">
        <f>IFERROR(__xludf.DUMMYFUNCTION("""COMPUTED_VALUE"""),"FM2793")</f>
        <v>FM2793</v>
      </c>
      <c r="B1274" s="6" t="str">
        <f>IFERROR(__xludf.DUMMYFUNCTION("""COMPUTED_VALUE"""),"RUN-COMB_2022-07-06_RFR-072")</f>
        <v>RUN-COMB_2022-07-06_RFR-072</v>
      </c>
      <c r="C1274" s="7">
        <f>VLOOKUP(B1274,'Run Reconcile'!A$2:B3090,2,FALSE)</f>
        <v>44748</v>
      </c>
      <c r="D1274" s="11">
        <f>IFERROR(__xludf.DUMMYFUNCTION("""COMPUTED_VALUE"""),44748.0)</f>
        <v>44748</v>
      </c>
      <c r="E1274" s="12">
        <f>IFERROR(__xludf.DUMMYFUNCTION("""COMPUTED_VALUE"""),0.3209953703699284)</f>
        <v>0.3209953704</v>
      </c>
      <c r="F1274" s="6" t="str">
        <f>IFERROR(__xludf.DUMMYFUNCTION("""COMPUTED_VALUE"""),"Negative")</f>
        <v>Negative</v>
      </c>
      <c r="G1274" s="6">
        <f>IFERROR(__xludf.DUMMYFUNCTION("""COMPUTED_VALUE"""),1.0)</f>
        <v>1</v>
      </c>
    </row>
    <row r="1275">
      <c r="A1275" s="6" t="str">
        <f>IFERROR(__xludf.DUMMYFUNCTION("""COMPUTED_VALUE"""),"FM2781")</f>
        <v>FM2781</v>
      </c>
      <c r="B1275" s="6" t="str">
        <f>IFERROR(__xludf.DUMMYFUNCTION("""COMPUTED_VALUE"""),"RUN-COMB_2022-07-06_RFR-072")</f>
        <v>RUN-COMB_2022-07-06_RFR-072</v>
      </c>
      <c r="C1275" s="7">
        <f>VLOOKUP(B1275,'Run Reconcile'!A$2:B3090,2,FALSE)</f>
        <v>44748</v>
      </c>
      <c r="D1275" s="11">
        <f>IFERROR(__xludf.DUMMYFUNCTION("""COMPUTED_VALUE"""),44748.0)</f>
        <v>44748</v>
      </c>
      <c r="E1275" s="12">
        <f>IFERROR(__xludf.DUMMYFUNCTION("""COMPUTED_VALUE"""),0.3212962962970778)</f>
        <v>0.3212962963</v>
      </c>
      <c r="F1275" s="6" t="str">
        <f>IFERROR(__xludf.DUMMYFUNCTION("""COMPUTED_VALUE"""),"Negative")</f>
        <v>Negative</v>
      </c>
      <c r="G1275" s="6">
        <f>IFERROR(__xludf.DUMMYFUNCTION("""COMPUTED_VALUE"""),1.0)</f>
        <v>1</v>
      </c>
    </row>
    <row r="1276">
      <c r="A1276" s="6" t="str">
        <f>IFERROR(__xludf.DUMMYFUNCTION("""COMPUTED_VALUE"""),"FM2736")</f>
        <v>FM2736</v>
      </c>
      <c r="B1276" s="6" t="str">
        <f>IFERROR(__xludf.DUMMYFUNCTION("""COMPUTED_VALUE"""),"RUN-COMB_2022-07-06_RFR-072")</f>
        <v>RUN-COMB_2022-07-06_RFR-072</v>
      </c>
      <c r="C1276" s="7">
        <f>VLOOKUP(B1276,'Run Reconcile'!A$2:B3090,2,FALSE)</f>
        <v>44748</v>
      </c>
      <c r="D1276" s="11">
        <f>IFERROR(__xludf.DUMMYFUNCTION("""COMPUTED_VALUE"""),44748.0)</f>
        <v>44748</v>
      </c>
      <c r="E1276" s="12">
        <f>IFERROR(__xludf.DUMMYFUNCTION("""COMPUTED_VALUE"""),0.3216550925935735)</f>
        <v>0.3216550926</v>
      </c>
      <c r="F1276" s="6" t="str">
        <f>IFERROR(__xludf.DUMMYFUNCTION("""COMPUTED_VALUE"""),"Negative")</f>
        <v>Negative</v>
      </c>
      <c r="G1276" s="6">
        <f>IFERROR(__xludf.DUMMYFUNCTION("""COMPUTED_VALUE"""),1.0)</f>
        <v>1</v>
      </c>
    </row>
    <row r="1277">
      <c r="A1277" s="6" t="str">
        <f>IFERROR(__xludf.DUMMYFUNCTION("""COMPUTED_VALUE"""),"FM2760")</f>
        <v>FM2760</v>
      </c>
      <c r="B1277" s="6" t="str">
        <f>IFERROR(__xludf.DUMMYFUNCTION("""COMPUTED_VALUE"""),"RUN-COMB_2022-07-06_RFR-072")</f>
        <v>RUN-COMB_2022-07-06_RFR-072</v>
      </c>
      <c r="C1277" s="7">
        <f>VLOOKUP(B1277,'Run Reconcile'!A$2:B3090,2,FALSE)</f>
        <v>44748</v>
      </c>
      <c r="D1277" s="11">
        <f>IFERROR(__xludf.DUMMYFUNCTION("""COMPUTED_VALUE"""),44748.0)</f>
        <v>44748</v>
      </c>
      <c r="E1277" s="12">
        <f>IFERROR(__xludf.DUMMYFUNCTION("""COMPUTED_VALUE"""),0.3220138888900692)</f>
        <v>0.3220138889</v>
      </c>
      <c r="F1277" s="6" t="str">
        <f>IFERROR(__xludf.DUMMYFUNCTION("""COMPUTED_VALUE"""),"Negative")</f>
        <v>Negative</v>
      </c>
      <c r="G1277" s="6">
        <f>IFERROR(__xludf.DUMMYFUNCTION("""COMPUTED_VALUE"""),1.0)</f>
        <v>1</v>
      </c>
    </row>
    <row r="1278">
      <c r="A1278" s="6" t="str">
        <f>IFERROR(__xludf.DUMMYFUNCTION("""COMPUTED_VALUE"""),"FM2720")</f>
        <v>FM2720</v>
      </c>
      <c r="B1278" s="6" t="str">
        <f>IFERROR(__xludf.DUMMYFUNCTION("""COMPUTED_VALUE"""),"RUN-COMB_2022-07-06_RFR-072")</f>
        <v>RUN-COMB_2022-07-06_RFR-072</v>
      </c>
      <c r="C1278" s="7">
        <f>VLOOKUP(B1278,'Run Reconcile'!A$2:B3090,2,FALSE)</f>
        <v>44748</v>
      </c>
      <c r="D1278" s="11">
        <f>IFERROR(__xludf.DUMMYFUNCTION("""COMPUTED_VALUE"""),44748.0)</f>
        <v>44748</v>
      </c>
      <c r="E1278" s="12">
        <f>IFERROR(__xludf.DUMMYFUNCTION("""COMPUTED_VALUE"""),0.32232638889036025)</f>
        <v>0.3223263889</v>
      </c>
      <c r="F1278" s="6" t="str">
        <f>IFERROR(__xludf.DUMMYFUNCTION("""COMPUTED_VALUE"""),"Negative")</f>
        <v>Negative</v>
      </c>
      <c r="G1278" s="6">
        <f>IFERROR(__xludf.DUMMYFUNCTION("""COMPUTED_VALUE"""),1.0)</f>
        <v>1</v>
      </c>
    </row>
    <row r="1279">
      <c r="A1279" s="6" t="str">
        <f>IFERROR(__xludf.DUMMYFUNCTION("""COMPUTED_VALUE"""),"FM2798")</f>
        <v>FM2798</v>
      </c>
      <c r="B1279" s="6" t="str">
        <f>IFERROR(__xludf.DUMMYFUNCTION("""COMPUTED_VALUE"""),"RUN-COMB_2022-07-06_RFR-072")</f>
        <v>RUN-COMB_2022-07-06_RFR-072</v>
      </c>
      <c r="C1279" s="7">
        <f>VLOOKUP(B1279,'Run Reconcile'!A$2:B3090,2,FALSE)</f>
        <v>44748</v>
      </c>
      <c r="D1279" s="11">
        <f>IFERROR(__xludf.DUMMYFUNCTION("""COMPUTED_VALUE"""),44748.0)</f>
        <v>44748</v>
      </c>
      <c r="E1279" s="12">
        <f>IFERROR(__xludf.DUMMYFUNCTION("""COMPUTED_VALUE"""),0.32266203703693463)</f>
        <v>0.322662037</v>
      </c>
      <c r="F1279" s="6" t="str">
        <f>IFERROR(__xludf.DUMMYFUNCTION("""COMPUTED_VALUE"""),"Negative")</f>
        <v>Negative</v>
      </c>
      <c r="G1279" s="6">
        <f>IFERROR(__xludf.DUMMYFUNCTION("""COMPUTED_VALUE"""),1.0)</f>
        <v>1</v>
      </c>
    </row>
    <row r="1280">
      <c r="A1280" s="6" t="str">
        <f>IFERROR(__xludf.DUMMYFUNCTION("""COMPUTED_VALUE"""),"FM2738")</f>
        <v>FM2738</v>
      </c>
      <c r="B1280" s="6" t="str">
        <f>IFERROR(__xludf.DUMMYFUNCTION("""COMPUTED_VALUE"""),"RUN-COMB_2022-07-07_APS-001")</f>
        <v>RUN-COMB_2022-07-07_APS-001</v>
      </c>
      <c r="C1280" s="7">
        <f>VLOOKUP(B1280,'Run Reconcile'!A$2:B3090,2,FALSE)</f>
        <v>44749</v>
      </c>
      <c r="D1280" s="11">
        <f>IFERROR(__xludf.DUMMYFUNCTION("""COMPUTED_VALUE"""),44749.0)</f>
        <v>44749</v>
      </c>
      <c r="E1280" s="12">
        <f>IFERROR(__xludf.DUMMYFUNCTION("""COMPUTED_VALUE"""),0.2728240740725596)</f>
        <v>0.2728240741</v>
      </c>
      <c r="F1280" s="6" t="str">
        <f>IFERROR(__xludf.DUMMYFUNCTION("""COMPUTED_VALUE"""),"Negative")</f>
        <v>Negative</v>
      </c>
      <c r="G1280" s="6">
        <f>IFERROR(__xludf.DUMMYFUNCTION("""COMPUTED_VALUE"""),1.0)</f>
        <v>1</v>
      </c>
    </row>
    <row r="1281">
      <c r="A1281" s="6" t="str">
        <f>IFERROR(__xludf.DUMMYFUNCTION("""COMPUTED_VALUE"""),"FM2809")</f>
        <v>FM2809</v>
      </c>
      <c r="B1281" s="6" t="str">
        <f>IFERROR(__xludf.DUMMYFUNCTION("""COMPUTED_VALUE"""),"RUN-COMB_2022-07-07_APS-001")</f>
        <v>RUN-COMB_2022-07-07_APS-001</v>
      </c>
      <c r="C1281" s="7">
        <f>VLOOKUP(B1281,'Run Reconcile'!A$2:B3090,2,FALSE)</f>
        <v>44749</v>
      </c>
      <c r="D1281" s="11">
        <f>IFERROR(__xludf.DUMMYFUNCTION("""COMPUTED_VALUE"""),44749.0)</f>
        <v>44749</v>
      </c>
      <c r="E1281" s="12">
        <f>IFERROR(__xludf.DUMMYFUNCTION("""COMPUTED_VALUE"""),0.27317129629591363)</f>
        <v>0.2731712963</v>
      </c>
      <c r="F1281" s="6" t="str">
        <f>IFERROR(__xludf.DUMMYFUNCTION("""COMPUTED_VALUE"""),"Negative")</f>
        <v>Negative</v>
      </c>
      <c r="G1281" s="6">
        <f>IFERROR(__xludf.DUMMYFUNCTION("""COMPUTED_VALUE"""),1.0)</f>
        <v>1</v>
      </c>
    </row>
    <row r="1282">
      <c r="A1282" s="6" t="str">
        <f>IFERROR(__xludf.DUMMYFUNCTION("""COMPUTED_VALUE"""),"FM2784")</f>
        <v>FM2784</v>
      </c>
      <c r="B1282" s="6" t="str">
        <f>IFERROR(__xludf.DUMMYFUNCTION("""COMPUTED_VALUE"""),"RUN-COMB_2022-07-07_APS-001")</f>
        <v>RUN-COMB_2022-07-07_APS-001</v>
      </c>
      <c r="C1282" s="7">
        <f>VLOOKUP(B1282,'Run Reconcile'!A$2:B3090,2,FALSE)</f>
        <v>44749</v>
      </c>
      <c r="D1282" s="11">
        <f>IFERROR(__xludf.DUMMYFUNCTION("""COMPUTED_VALUE"""),44749.0)</f>
        <v>44749</v>
      </c>
      <c r="E1282" s="12">
        <f>IFERROR(__xludf.DUMMYFUNCTION("""COMPUTED_VALUE"""),0.273506944446126)</f>
        <v>0.2735069444</v>
      </c>
      <c r="F1282" s="6" t="str">
        <f>IFERROR(__xludf.DUMMYFUNCTION("""COMPUTED_VALUE"""),"Negative")</f>
        <v>Negative</v>
      </c>
      <c r="G1282" s="6">
        <f>IFERROR(__xludf.DUMMYFUNCTION("""COMPUTED_VALUE"""),1.0)</f>
        <v>1</v>
      </c>
    </row>
    <row r="1283">
      <c r="A1283" s="6" t="str">
        <f>IFERROR(__xludf.DUMMYFUNCTION("""COMPUTED_VALUE"""),"FM2773")</f>
        <v>FM2773</v>
      </c>
      <c r="B1283" s="6" t="str">
        <f>IFERROR(__xludf.DUMMYFUNCTION("""COMPUTED_VALUE"""),"RUN-COMB_2022-07-07_APS-001")</f>
        <v>RUN-COMB_2022-07-07_APS-001</v>
      </c>
      <c r="C1283" s="7">
        <f>VLOOKUP(B1283,'Run Reconcile'!A$2:B3090,2,FALSE)</f>
        <v>44749</v>
      </c>
      <c r="D1283" s="11">
        <f>IFERROR(__xludf.DUMMYFUNCTION("""COMPUTED_VALUE"""),44749.0)</f>
        <v>44749</v>
      </c>
      <c r="E1283" s="12">
        <f>IFERROR(__xludf.DUMMYFUNCTION("""COMPUTED_VALUE"""),0.2740856481468654)</f>
        <v>0.2740856481</v>
      </c>
      <c r="F1283" s="6" t="str">
        <f>IFERROR(__xludf.DUMMYFUNCTION("""COMPUTED_VALUE"""),"Negative")</f>
        <v>Negative</v>
      </c>
      <c r="G1283" s="6">
        <f>IFERROR(__xludf.DUMMYFUNCTION("""COMPUTED_VALUE"""),1.0)</f>
        <v>1</v>
      </c>
    </row>
    <row r="1284">
      <c r="A1284" s="6" t="str">
        <f>IFERROR(__xludf.DUMMYFUNCTION("""COMPUTED_VALUE"""),"FM2764")</f>
        <v>FM2764</v>
      </c>
      <c r="B1284" s="6" t="str">
        <f>IFERROR(__xludf.DUMMYFUNCTION("""COMPUTED_VALUE"""),"RUN-COMB_2022-07-07_APS-001")</f>
        <v>RUN-COMB_2022-07-07_APS-001</v>
      </c>
      <c r="C1284" s="7">
        <f>VLOOKUP(B1284,'Run Reconcile'!A$2:B3090,2,FALSE)</f>
        <v>44749</v>
      </c>
      <c r="D1284" s="11">
        <f>IFERROR(__xludf.DUMMYFUNCTION("""COMPUTED_VALUE"""),44749.0)</f>
        <v>44749</v>
      </c>
      <c r="E1284" s="12">
        <f>IFERROR(__xludf.DUMMYFUNCTION("""COMPUTED_VALUE"""),0.27447916666642413)</f>
        <v>0.2744791667</v>
      </c>
      <c r="F1284" s="6" t="str">
        <f>IFERROR(__xludf.DUMMYFUNCTION("""COMPUTED_VALUE"""),"Negative")</f>
        <v>Negative</v>
      </c>
      <c r="G1284" s="6">
        <f>IFERROR(__xludf.DUMMYFUNCTION("""COMPUTED_VALUE"""),1.0)</f>
        <v>1</v>
      </c>
    </row>
    <row r="1285">
      <c r="A1285" s="6" t="str">
        <f>IFERROR(__xludf.DUMMYFUNCTION("""COMPUTED_VALUE"""),"FM2796")</f>
        <v>FM2796</v>
      </c>
      <c r="B1285" s="6" t="str">
        <f>IFERROR(__xludf.DUMMYFUNCTION("""COMPUTED_VALUE"""),"RUN-COMB_2022-07-07_APS-001")</f>
        <v>RUN-COMB_2022-07-07_APS-001</v>
      </c>
      <c r="C1285" s="7">
        <f>VLOOKUP(B1285,'Run Reconcile'!A$2:B3090,2,FALSE)</f>
        <v>44749</v>
      </c>
      <c r="D1285" s="11">
        <f>IFERROR(__xludf.DUMMYFUNCTION("""COMPUTED_VALUE"""),44749.0)</f>
        <v>44749</v>
      </c>
      <c r="E1285" s="12">
        <f>IFERROR(__xludf.DUMMYFUNCTION("""COMPUTED_VALUE"""),0.2747800925935735)</f>
        <v>0.2747800926</v>
      </c>
      <c r="F1285" s="6" t="str">
        <f>IFERROR(__xludf.DUMMYFUNCTION("""COMPUTED_VALUE"""),"Negative")</f>
        <v>Negative</v>
      </c>
      <c r="G1285" s="6">
        <f>IFERROR(__xludf.DUMMYFUNCTION("""COMPUTED_VALUE"""),1.0)</f>
        <v>1</v>
      </c>
    </row>
    <row r="1286">
      <c r="A1286" s="6" t="str">
        <f>IFERROR(__xludf.DUMMYFUNCTION("""COMPUTED_VALUE"""),"FM2747")</f>
        <v>FM2747</v>
      </c>
      <c r="B1286" s="6" t="str">
        <f>IFERROR(__xludf.DUMMYFUNCTION("""COMPUTED_VALUE"""),"RUN-COMB_2022-07-07_APS-001")</f>
        <v>RUN-COMB_2022-07-07_APS-001</v>
      </c>
      <c r="C1286" s="7">
        <f>VLOOKUP(B1286,'Run Reconcile'!A$2:B3090,2,FALSE)</f>
        <v>44749</v>
      </c>
      <c r="D1286" s="11">
        <f>IFERROR(__xludf.DUMMYFUNCTION("""COMPUTED_VALUE"""),44749.0)</f>
        <v>44749</v>
      </c>
      <c r="E1286" s="12">
        <f>IFERROR(__xludf.DUMMYFUNCTION("""COMPUTED_VALUE"""),0.27509259259386454)</f>
        <v>0.2750925926</v>
      </c>
      <c r="F1286" s="6" t="str">
        <f>IFERROR(__xludf.DUMMYFUNCTION("""COMPUTED_VALUE"""),"Negative")</f>
        <v>Negative</v>
      </c>
      <c r="G1286" s="6">
        <f>IFERROR(__xludf.DUMMYFUNCTION("""COMPUTED_VALUE"""),1.0)</f>
        <v>1</v>
      </c>
    </row>
    <row r="1287">
      <c r="A1287" s="6" t="str">
        <f>IFERROR(__xludf.DUMMYFUNCTION("""COMPUTED_VALUE"""),"FM2797")</f>
        <v>FM2797</v>
      </c>
      <c r="B1287" s="6" t="str">
        <f>IFERROR(__xludf.DUMMYFUNCTION("""COMPUTED_VALUE"""),"RUN-COMB_2022-07-07_APS-001")</f>
        <v>RUN-COMB_2022-07-07_APS-001</v>
      </c>
      <c r="C1287" s="7">
        <f>VLOOKUP(B1287,'Run Reconcile'!A$2:B3090,2,FALSE)</f>
        <v>44749</v>
      </c>
      <c r="D1287" s="11">
        <f>IFERROR(__xludf.DUMMYFUNCTION("""COMPUTED_VALUE"""),44749.0)</f>
        <v>44749</v>
      </c>
      <c r="E1287" s="12">
        <f>IFERROR(__xludf.DUMMYFUNCTION("""COMPUTED_VALUE"""),0.27548611110978527)</f>
        <v>0.2754861111</v>
      </c>
      <c r="F1287" s="6" t="str">
        <f>IFERROR(__xludf.DUMMYFUNCTION("""COMPUTED_VALUE"""),"Negative")</f>
        <v>Negative</v>
      </c>
      <c r="G1287" s="6">
        <f>IFERROR(__xludf.DUMMYFUNCTION("""COMPUTED_VALUE"""),1.0)</f>
        <v>1</v>
      </c>
    </row>
    <row r="1288">
      <c r="A1288" s="6" t="str">
        <f>IFERROR(__xludf.DUMMYFUNCTION("""COMPUTED_VALUE"""),"FM2744")</f>
        <v>FM2744</v>
      </c>
      <c r="B1288" s="6" t="str">
        <f>IFERROR(__xludf.DUMMYFUNCTION("""COMPUTED_VALUE"""),"RUN-COMB_2022-07-07_APS-001")</f>
        <v>RUN-COMB_2022-07-07_APS-001</v>
      </c>
      <c r="C1288" s="7">
        <f>VLOOKUP(B1288,'Run Reconcile'!A$2:B3090,2,FALSE)</f>
        <v>44749</v>
      </c>
      <c r="D1288" s="11">
        <f>IFERROR(__xludf.DUMMYFUNCTION("""COMPUTED_VALUE"""),44749.0)</f>
        <v>44749</v>
      </c>
      <c r="E1288" s="12">
        <f>IFERROR(__xludf.DUMMYFUNCTION("""COMPUTED_VALUE"""),0.275914351852407)</f>
        <v>0.2759143519</v>
      </c>
      <c r="F1288" s="6" t="str">
        <f>IFERROR(__xludf.DUMMYFUNCTION("""COMPUTED_VALUE"""),"Negative")</f>
        <v>Negative</v>
      </c>
      <c r="G1288" s="6">
        <f>IFERROR(__xludf.DUMMYFUNCTION("""COMPUTED_VALUE"""),1.0)</f>
        <v>1</v>
      </c>
    </row>
    <row r="1289">
      <c r="A1289" s="6" t="str">
        <f>IFERROR(__xludf.DUMMYFUNCTION("""COMPUTED_VALUE"""),"FM2786")</f>
        <v>FM2786</v>
      </c>
      <c r="B1289" s="6" t="str">
        <f>IFERROR(__xludf.DUMMYFUNCTION("""COMPUTED_VALUE"""),"RUN-COMB_2022-07-07_APS-001")</f>
        <v>RUN-COMB_2022-07-07_APS-001</v>
      </c>
      <c r="C1289" s="7">
        <f>VLOOKUP(B1289,'Run Reconcile'!A$2:B3090,2,FALSE)</f>
        <v>44749</v>
      </c>
      <c r="D1289" s="11">
        <f>IFERROR(__xludf.DUMMYFUNCTION("""COMPUTED_VALUE"""),44749.0)</f>
        <v>44749</v>
      </c>
      <c r="E1289" s="12">
        <f>IFERROR(__xludf.DUMMYFUNCTION("""COMPUTED_VALUE"""),0.27636574074131204)</f>
        <v>0.2763657407</v>
      </c>
      <c r="F1289" s="6" t="str">
        <f>IFERROR(__xludf.DUMMYFUNCTION("""COMPUTED_VALUE"""),"Negative")</f>
        <v>Negative</v>
      </c>
      <c r="G1289" s="6">
        <f>IFERROR(__xludf.DUMMYFUNCTION("""COMPUTED_VALUE"""),1.0)</f>
        <v>1</v>
      </c>
    </row>
    <row r="1290">
      <c r="A1290" s="6" t="str">
        <f>IFERROR(__xludf.DUMMYFUNCTION("""COMPUTED_VALUE"""),"FM2757")</f>
        <v>FM2757</v>
      </c>
      <c r="B1290" s="6" t="str">
        <f>IFERROR(__xludf.DUMMYFUNCTION("""COMPUTED_VALUE"""),"RUN-COMB_2022-07-07_APS-001")</f>
        <v>RUN-COMB_2022-07-07_APS-001</v>
      </c>
      <c r="C1290" s="7">
        <f>VLOOKUP(B1290,'Run Reconcile'!A$2:B3090,2,FALSE)</f>
        <v>44749</v>
      </c>
      <c r="D1290" s="11">
        <f>IFERROR(__xludf.DUMMYFUNCTION("""COMPUTED_VALUE"""),44749.0)</f>
        <v>44749</v>
      </c>
      <c r="E1290" s="12">
        <f>IFERROR(__xludf.DUMMYFUNCTION("""COMPUTED_VALUE"""),0.2767129629646661)</f>
        <v>0.276712963</v>
      </c>
      <c r="F1290" s="6" t="str">
        <f>IFERROR(__xludf.DUMMYFUNCTION("""COMPUTED_VALUE"""),"Negative")</f>
        <v>Negative</v>
      </c>
      <c r="G1290" s="6">
        <f>IFERROR(__xludf.DUMMYFUNCTION("""COMPUTED_VALUE"""),1.0)</f>
        <v>1</v>
      </c>
    </row>
    <row r="1291">
      <c r="A1291" s="6" t="str">
        <f>IFERROR(__xludf.DUMMYFUNCTION("""COMPUTED_VALUE"""),"FM2756")</f>
        <v>FM2756</v>
      </c>
      <c r="B1291" s="6" t="str">
        <f>IFERROR(__xludf.DUMMYFUNCTION("""COMPUTED_VALUE"""),"RUN-COMB_2022-07-07_APS-001")</f>
        <v>RUN-COMB_2022-07-07_APS-001</v>
      </c>
      <c r="C1291" s="7">
        <f>VLOOKUP(B1291,'Run Reconcile'!A$2:B3090,2,FALSE)</f>
        <v>44749</v>
      </c>
      <c r="D1291" s="11">
        <f>IFERROR(__xludf.DUMMYFUNCTION("""COMPUTED_VALUE"""),44749.0)</f>
        <v>44749</v>
      </c>
      <c r="E1291" s="12">
        <f>IFERROR(__xludf.DUMMYFUNCTION("""COMPUTED_VALUE"""),0.27712962963050813)</f>
        <v>0.2771296296</v>
      </c>
      <c r="F1291" s="6" t="str">
        <f>IFERROR(__xludf.DUMMYFUNCTION("""COMPUTED_VALUE"""),"Negative")</f>
        <v>Negative</v>
      </c>
      <c r="G1291" s="6">
        <f>IFERROR(__xludf.DUMMYFUNCTION("""COMPUTED_VALUE"""),1.0)</f>
        <v>1</v>
      </c>
    </row>
    <row r="1292">
      <c r="A1292" s="6" t="str">
        <f>IFERROR(__xludf.DUMMYFUNCTION("""COMPUTED_VALUE"""),"FM2758")</f>
        <v>FM2758</v>
      </c>
      <c r="B1292" s="6" t="str">
        <f>IFERROR(__xludf.DUMMYFUNCTION("""COMPUTED_VALUE"""),"RUN-COMB_2022-07-07_APS-001")</f>
        <v>RUN-COMB_2022-07-07_APS-001</v>
      </c>
      <c r="C1292" s="7">
        <f>VLOOKUP(B1292,'Run Reconcile'!A$2:B3090,2,FALSE)</f>
        <v>44749</v>
      </c>
      <c r="D1292" s="11">
        <f>IFERROR(__xludf.DUMMYFUNCTION("""COMPUTED_VALUE"""),44749.0)</f>
        <v>44749</v>
      </c>
      <c r="E1292" s="12">
        <f>IFERROR(__xludf.DUMMYFUNCTION("""COMPUTED_VALUE"""),0.2773726851846732)</f>
        <v>0.2773726852</v>
      </c>
      <c r="F1292" s="6" t="str">
        <f>IFERROR(__xludf.DUMMYFUNCTION("""COMPUTED_VALUE"""),"Negative")</f>
        <v>Negative</v>
      </c>
      <c r="G1292" s="6">
        <f>IFERROR(__xludf.DUMMYFUNCTION("""COMPUTED_VALUE"""),1.0)</f>
        <v>1</v>
      </c>
    </row>
    <row r="1293">
      <c r="A1293" s="6" t="str">
        <f>IFERROR(__xludf.DUMMYFUNCTION("""COMPUTED_VALUE"""),"FM2780")</f>
        <v>FM2780</v>
      </c>
      <c r="B1293" s="6" t="str">
        <f>IFERROR(__xludf.DUMMYFUNCTION("""COMPUTED_VALUE"""),"RUN-COMB_2022-07-07_APS-001")</f>
        <v>RUN-COMB_2022-07-07_APS-001</v>
      </c>
      <c r="C1293" s="7">
        <f>VLOOKUP(B1293,'Run Reconcile'!A$2:B3090,2,FALSE)</f>
        <v>44749</v>
      </c>
      <c r="D1293" s="11">
        <f>IFERROR(__xludf.DUMMYFUNCTION("""COMPUTED_VALUE"""),44749.0)</f>
        <v>44749</v>
      </c>
      <c r="E1293" s="12">
        <f>IFERROR(__xludf.DUMMYFUNCTION("""COMPUTED_VALUE"""),0.2777314814811689)</f>
        <v>0.2777314815</v>
      </c>
      <c r="F1293" s="6" t="str">
        <f>IFERROR(__xludf.DUMMYFUNCTION("""COMPUTED_VALUE"""),"Negative")</f>
        <v>Negative</v>
      </c>
      <c r="G1293" s="6">
        <f>IFERROR(__xludf.DUMMYFUNCTION("""COMPUTED_VALUE"""),1.0)</f>
        <v>1</v>
      </c>
    </row>
    <row r="1294">
      <c r="A1294" s="6" t="str">
        <f>IFERROR(__xludf.DUMMYFUNCTION("""COMPUTED_VALUE"""),"FM2708")</f>
        <v>FM2708</v>
      </c>
      <c r="B1294" s="6" t="str">
        <f>IFERROR(__xludf.DUMMYFUNCTION("""COMPUTED_VALUE"""),"RUN-COMB_2022-07-07_APS-001")</f>
        <v>RUN-COMB_2022-07-07_APS-001</v>
      </c>
      <c r="C1294" s="7">
        <f>VLOOKUP(B1294,'Run Reconcile'!A$2:B3090,2,FALSE)</f>
        <v>44749</v>
      </c>
      <c r="D1294" s="11">
        <f>IFERROR(__xludf.DUMMYFUNCTION("""COMPUTED_VALUE"""),44749.0)</f>
        <v>44749</v>
      </c>
      <c r="E1294" s="12">
        <f>IFERROR(__xludf.DUMMYFUNCTION("""COMPUTED_VALUE"""),0.27806712963138125)</f>
        <v>0.2780671296</v>
      </c>
      <c r="F1294" s="6" t="str">
        <f>IFERROR(__xludf.DUMMYFUNCTION("""COMPUTED_VALUE"""),"Negative")</f>
        <v>Negative</v>
      </c>
      <c r="G1294" s="6">
        <f>IFERROR(__xludf.DUMMYFUNCTION("""COMPUTED_VALUE"""),1.0)</f>
        <v>1</v>
      </c>
    </row>
    <row r="1295">
      <c r="A1295" s="6" t="str">
        <f>IFERROR(__xludf.DUMMYFUNCTION("""COMPUTED_VALUE"""),"FM2813")</f>
        <v>FM2813</v>
      </c>
      <c r="B1295" s="6" t="str">
        <f>IFERROR(__xludf.DUMMYFUNCTION("""COMPUTED_VALUE"""),"RUN-COMB_2022-07-07_APS-001")</f>
        <v>RUN-COMB_2022-07-07_APS-001</v>
      </c>
      <c r="C1295" s="7">
        <f>VLOOKUP(B1295,'Run Reconcile'!A$2:B3090,2,FALSE)</f>
        <v>44749</v>
      </c>
      <c r="D1295" s="11">
        <f>IFERROR(__xludf.DUMMYFUNCTION("""COMPUTED_VALUE"""),44749.0)</f>
        <v>44749</v>
      </c>
      <c r="E1295" s="12">
        <f>IFERROR(__xludf.DUMMYFUNCTION("""COMPUTED_VALUE"""),0.2783449074086093)</f>
        <v>0.2783449074</v>
      </c>
      <c r="F1295" s="6" t="str">
        <f>IFERROR(__xludf.DUMMYFUNCTION("""COMPUTED_VALUE"""),"Negative")</f>
        <v>Negative</v>
      </c>
      <c r="G1295" s="6">
        <f>IFERROR(__xludf.DUMMYFUNCTION("""COMPUTED_VALUE"""),1.0)</f>
        <v>1</v>
      </c>
    </row>
    <row r="1296">
      <c r="A1296" s="6" t="str">
        <f>IFERROR(__xludf.DUMMYFUNCTION("""COMPUTED_VALUE"""),"FM2714")</f>
        <v>FM2714</v>
      </c>
      <c r="B1296" s="6" t="str">
        <f>IFERROR(__xludf.DUMMYFUNCTION("""COMPUTED_VALUE"""),"RUN-COMB_2022-07-07_APS-001")</f>
        <v>RUN-COMB_2022-07-07_APS-001</v>
      </c>
      <c r="C1296" s="7">
        <f>VLOOKUP(B1296,'Run Reconcile'!A$2:B3090,2,FALSE)</f>
        <v>44749</v>
      </c>
      <c r="D1296" s="11">
        <f>IFERROR(__xludf.DUMMYFUNCTION("""COMPUTED_VALUE"""),44749.0)</f>
        <v>44749</v>
      </c>
      <c r="E1296" s="12">
        <f>IFERROR(__xludf.DUMMYFUNCTION("""COMPUTED_VALUE"""),0.27981481481401715)</f>
        <v>0.2798148148</v>
      </c>
      <c r="F1296" s="6" t="str">
        <f>IFERROR(__xludf.DUMMYFUNCTION("""COMPUTED_VALUE"""),"Negative")</f>
        <v>Negative</v>
      </c>
      <c r="G1296" s="6">
        <f>IFERROR(__xludf.DUMMYFUNCTION("""COMPUTED_VALUE"""),1.0)</f>
        <v>1</v>
      </c>
    </row>
    <row r="1297">
      <c r="A1297" s="6" t="str">
        <f>IFERROR(__xludf.DUMMYFUNCTION("""COMPUTED_VALUE"""),"FM2766")</f>
        <v>FM2766</v>
      </c>
      <c r="B1297" s="6" t="str">
        <f>IFERROR(__xludf.DUMMYFUNCTION("""COMPUTED_VALUE"""),"RUN-COMB_2022-07-07_APS-001")</f>
        <v>RUN-COMB_2022-07-07_APS-001</v>
      </c>
      <c r="C1297" s="7">
        <f>VLOOKUP(B1297,'Run Reconcile'!A$2:B3090,2,FALSE)</f>
        <v>44749</v>
      </c>
      <c r="D1297" s="11">
        <f>IFERROR(__xludf.DUMMYFUNCTION("""COMPUTED_VALUE"""),44749.0)</f>
        <v>44749</v>
      </c>
      <c r="E1297" s="12">
        <f>IFERROR(__xludf.DUMMYFUNCTION("""COMPUTED_VALUE"""),0.2802777777760639)</f>
        <v>0.2802777778</v>
      </c>
      <c r="F1297" s="6" t="str">
        <f>IFERROR(__xludf.DUMMYFUNCTION("""COMPUTED_VALUE"""),"Negative")</f>
        <v>Negative</v>
      </c>
      <c r="G1297" s="6">
        <f>IFERROR(__xludf.DUMMYFUNCTION("""COMPUTED_VALUE"""),1.0)</f>
        <v>1</v>
      </c>
    </row>
    <row r="1298">
      <c r="A1298" s="6" t="str">
        <f>IFERROR(__xludf.DUMMYFUNCTION("""COMPUTED_VALUE"""),"FM2724")</f>
        <v>FM2724</v>
      </c>
      <c r="B1298" s="6" t="str">
        <f>IFERROR(__xludf.DUMMYFUNCTION("""COMPUTED_VALUE"""),"RUN-COMB_2022-07-07_APS-001")</f>
        <v>RUN-COMB_2022-07-07_APS-001</v>
      </c>
      <c r="C1298" s="7">
        <f>VLOOKUP(B1298,'Run Reconcile'!A$2:B3090,2,FALSE)</f>
        <v>44749</v>
      </c>
      <c r="D1298" s="11">
        <f>IFERROR(__xludf.DUMMYFUNCTION("""COMPUTED_VALUE"""),44749.0)</f>
        <v>44749</v>
      </c>
      <c r="E1298" s="12">
        <f>IFERROR(__xludf.DUMMYFUNCTION("""COMPUTED_VALUE"""),0.2805671296300716)</f>
        <v>0.2805671296</v>
      </c>
      <c r="F1298" s="6" t="str">
        <f>IFERROR(__xludf.DUMMYFUNCTION("""COMPUTED_VALUE"""),"Negative")</f>
        <v>Negative</v>
      </c>
      <c r="G1298" s="6">
        <f>IFERROR(__xludf.DUMMYFUNCTION("""COMPUTED_VALUE"""),1.0)</f>
        <v>1</v>
      </c>
    </row>
    <row r="1299">
      <c r="A1299" s="6" t="str">
        <f>IFERROR(__xludf.DUMMYFUNCTION("""COMPUTED_VALUE"""),"FM2794")</f>
        <v>FM2794</v>
      </c>
      <c r="B1299" s="6" t="str">
        <f>IFERROR(__xludf.DUMMYFUNCTION("""COMPUTED_VALUE"""),"RUN-COMB_2022-07-07_APS-001")</f>
        <v>RUN-COMB_2022-07-07_APS-001</v>
      </c>
      <c r="C1299" s="7">
        <f>VLOOKUP(B1299,'Run Reconcile'!A$2:B3090,2,FALSE)</f>
        <v>44749</v>
      </c>
      <c r="D1299" s="11">
        <f>IFERROR(__xludf.DUMMYFUNCTION("""COMPUTED_VALUE"""),44749.0)</f>
        <v>44749</v>
      </c>
      <c r="E1299" s="12">
        <f>IFERROR(__xludf.DUMMYFUNCTION("""COMPUTED_VALUE"""),0.28093749999970896)</f>
        <v>0.2809375</v>
      </c>
      <c r="F1299" s="6" t="str">
        <f>IFERROR(__xludf.DUMMYFUNCTION("""COMPUTED_VALUE"""),"Negative")</f>
        <v>Negative</v>
      </c>
      <c r="G1299" s="6">
        <f>IFERROR(__xludf.DUMMYFUNCTION("""COMPUTED_VALUE"""),1.0)</f>
        <v>1</v>
      </c>
    </row>
    <row r="1300">
      <c r="A1300" s="6" t="str">
        <f>IFERROR(__xludf.DUMMYFUNCTION("""COMPUTED_VALUE"""),"FM2723")</f>
        <v>FM2723</v>
      </c>
      <c r="B1300" s="6" t="str">
        <f>IFERROR(__xludf.DUMMYFUNCTION("""COMPUTED_VALUE"""),"RUN-COMB_2022-07-07_APS-001")</f>
        <v>RUN-COMB_2022-07-07_APS-001</v>
      </c>
      <c r="C1300" s="7">
        <f>VLOOKUP(B1300,'Run Reconcile'!A$2:B3090,2,FALSE)</f>
        <v>44749</v>
      </c>
      <c r="D1300" s="11">
        <f>IFERROR(__xludf.DUMMYFUNCTION("""COMPUTED_VALUE"""),44749.0)</f>
        <v>44749</v>
      </c>
      <c r="E1300" s="12">
        <f>IFERROR(__xludf.DUMMYFUNCTION("""COMPUTED_VALUE"""),0.2815393518503697)</f>
        <v>0.2815393519</v>
      </c>
      <c r="F1300" s="6" t="str">
        <f>IFERROR(__xludf.DUMMYFUNCTION("""COMPUTED_VALUE"""),"Negative")</f>
        <v>Negative</v>
      </c>
      <c r="G1300" s="6">
        <f>IFERROR(__xludf.DUMMYFUNCTION("""COMPUTED_VALUE"""),1.0)</f>
        <v>1</v>
      </c>
    </row>
    <row r="1301">
      <c r="A1301" s="6" t="str">
        <f>IFERROR(__xludf.DUMMYFUNCTION("""COMPUTED_VALUE"""),"FM2788")</f>
        <v>FM2788</v>
      </c>
      <c r="B1301" s="6" t="str">
        <f>IFERROR(__xludf.DUMMYFUNCTION("""COMPUTED_VALUE"""),"RUN-COMB_2022-07-07_APS-001")</f>
        <v>RUN-COMB_2022-07-07_APS-001</v>
      </c>
      <c r="C1301" s="7">
        <f>VLOOKUP(B1301,'Run Reconcile'!A$2:B3090,2,FALSE)</f>
        <v>44749</v>
      </c>
      <c r="D1301" s="11">
        <f>IFERROR(__xludf.DUMMYFUNCTION("""COMPUTED_VALUE"""),44749.0)</f>
        <v>44749</v>
      </c>
      <c r="E1301" s="12">
        <f>IFERROR(__xludf.DUMMYFUNCTION("""COMPUTED_VALUE"""),0.28188657407372375)</f>
        <v>0.2818865741</v>
      </c>
      <c r="F1301" s="6" t="str">
        <f>IFERROR(__xludf.DUMMYFUNCTION("""COMPUTED_VALUE"""),"Negative")</f>
        <v>Negative</v>
      </c>
      <c r="G1301" s="6">
        <f>IFERROR(__xludf.DUMMYFUNCTION("""COMPUTED_VALUE"""),1.0)</f>
        <v>1</v>
      </c>
    </row>
    <row r="1302">
      <c r="A1302" s="6" t="str">
        <f>IFERROR(__xludf.DUMMYFUNCTION("""COMPUTED_VALUE"""),"FM2703")</f>
        <v>FM2703</v>
      </c>
      <c r="B1302" s="6" t="str">
        <f>IFERROR(__xludf.DUMMYFUNCTION("""COMPUTED_VALUE"""),"RUN-COMB_2022-07-07_APS-001")</f>
        <v>RUN-COMB_2022-07-07_APS-001</v>
      </c>
      <c r="C1302" s="7">
        <f>VLOOKUP(B1302,'Run Reconcile'!A$2:B3090,2,FALSE)</f>
        <v>44749</v>
      </c>
      <c r="D1302" s="11">
        <f>IFERROR(__xludf.DUMMYFUNCTION("""COMPUTED_VALUE"""),44749.0)</f>
        <v>44749</v>
      </c>
      <c r="E1302" s="12">
        <f>IFERROR(__xludf.DUMMYFUNCTION("""COMPUTED_VALUE"""),0.28225694444336114)</f>
        <v>0.2822569444</v>
      </c>
      <c r="F1302" s="6" t="str">
        <f>IFERROR(__xludf.DUMMYFUNCTION("""COMPUTED_VALUE"""),"Negative")</f>
        <v>Negative</v>
      </c>
      <c r="G1302" s="6">
        <f>IFERROR(__xludf.DUMMYFUNCTION("""COMPUTED_VALUE"""),1.0)</f>
        <v>1</v>
      </c>
    </row>
    <row r="1303">
      <c r="A1303" s="6" t="str">
        <f>IFERROR(__xludf.DUMMYFUNCTION("""COMPUTED_VALUE"""),"FM2529")</f>
        <v>FM2529</v>
      </c>
      <c r="B1303" s="6" t="str">
        <f>IFERROR(__xludf.DUMMYFUNCTION("""COMPUTED_VALUE"""),"RUN-COMB_2022-07-07_APS-001")</f>
        <v>RUN-COMB_2022-07-07_APS-001</v>
      </c>
      <c r="C1303" s="7">
        <f>VLOOKUP(B1303,'Run Reconcile'!A$2:B3090,2,FALSE)</f>
        <v>44749</v>
      </c>
      <c r="D1303" s="11">
        <f>IFERROR(__xludf.DUMMYFUNCTION("""COMPUTED_VALUE"""),44749.0)</f>
        <v>44749</v>
      </c>
      <c r="E1303" s="12">
        <f>IFERROR(__xludf.DUMMYFUNCTION("""COMPUTED_VALUE"""),0.28261574073985685)</f>
        <v>0.2826157407</v>
      </c>
      <c r="F1303" s="6" t="str">
        <f>IFERROR(__xludf.DUMMYFUNCTION("""COMPUTED_VALUE"""),"Negative")</f>
        <v>Negative</v>
      </c>
      <c r="G1303" s="6">
        <f>IFERROR(__xludf.DUMMYFUNCTION("""COMPUTED_VALUE"""),1.0)</f>
        <v>1</v>
      </c>
    </row>
    <row r="1304">
      <c r="A1304" s="6" t="str">
        <f>IFERROR(__xludf.DUMMYFUNCTION("""COMPUTED_VALUE"""),"FM2559")</f>
        <v>FM2559</v>
      </c>
      <c r="B1304" s="6" t="str">
        <f>IFERROR(__xludf.DUMMYFUNCTION("""COMPUTED_VALUE"""),"RUN-COMB_2022-07-07_APS-001")</f>
        <v>RUN-COMB_2022-07-07_APS-001</v>
      </c>
      <c r="C1304" s="7">
        <f>VLOOKUP(B1304,'Run Reconcile'!A$2:B3090,2,FALSE)</f>
        <v>44749</v>
      </c>
      <c r="D1304" s="11">
        <f>IFERROR(__xludf.DUMMYFUNCTION("""COMPUTED_VALUE"""),44749.0)</f>
        <v>44749</v>
      </c>
      <c r="E1304" s="12">
        <f>IFERROR(__xludf.DUMMYFUNCTION("""COMPUTED_VALUE"""),0.2829629629632109)</f>
        <v>0.282962963</v>
      </c>
      <c r="F1304" s="6" t="str">
        <f>IFERROR(__xludf.DUMMYFUNCTION("""COMPUTED_VALUE"""),"Negative")</f>
        <v>Negative</v>
      </c>
      <c r="G1304" s="6">
        <f>IFERROR(__xludf.DUMMYFUNCTION("""COMPUTED_VALUE"""),1.0)</f>
        <v>1</v>
      </c>
    </row>
    <row r="1305">
      <c r="A1305" s="6" t="str">
        <f>IFERROR(__xludf.DUMMYFUNCTION("""COMPUTED_VALUE"""),"FM2762")</f>
        <v>FM2762</v>
      </c>
      <c r="B1305" s="6" t="str">
        <f>IFERROR(__xludf.DUMMYFUNCTION("""COMPUTED_VALUE"""),"RUN-COMB_2022-07-07_APS-001")</f>
        <v>RUN-COMB_2022-07-07_APS-001</v>
      </c>
      <c r="C1305" s="7">
        <f>VLOOKUP(B1305,'Run Reconcile'!A$2:B3090,2,FALSE)</f>
        <v>44749</v>
      </c>
      <c r="D1305" s="11">
        <f>IFERROR(__xludf.DUMMYFUNCTION("""COMPUTED_VALUE"""),44749.0)</f>
        <v>44749</v>
      </c>
      <c r="E1305" s="12">
        <f>IFERROR(__xludf.DUMMYFUNCTION("""COMPUTED_VALUE"""),0.2832754629635019)</f>
        <v>0.283275463</v>
      </c>
      <c r="F1305" s="6" t="str">
        <f>IFERROR(__xludf.DUMMYFUNCTION("""COMPUTED_VALUE"""),"Negative")</f>
        <v>Negative</v>
      </c>
      <c r="G1305" s="6">
        <f>IFERROR(__xludf.DUMMYFUNCTION("""COMPUTED_VALUE"""),1.0)</f>
        <v>1</v>
      </c>
    </row>
    <row r="1306">
      <c r="A1306" s="6" t="str">
        <f>IFERROR(__xludf.DUMMYFUNCTION("""COMPUTED_VALUE"""),"FM2792")</f>
        <v>FM2792</v>
      </c>
      <c r="B1306" s="6" t="str">
        <f>IFERROR(__xludf.DUMMYFUNCTION("""COMPUTED_VALUE"""),"RUN-COMB_2022-07-07_APS-001")</f>
        <v>RUN-COMB_2022-07-07_APS-001</v>
      </c>
      <c r="C1306" s="7">
        <f>VLOOKUP(B1306,'Run Reconcile'!A$2:B3090,2,FALSE)</f>
        <v>44749</v>
      </c>
      <c r="D1306" s="11">
        <f>IFERROR(__xludf.DUMMYFUNCTION("""COMPUTED_VALUE"""),44749.0)</f>
        <v>44749</v>
      </c>
      <c r="E1306" s="12">
        <f>IFERROR(__xludf.DUMMYFUNCTION("""COMPUTED_VALUE"""),0.2836805555562023)</f>
        <v>0.2836805556</v>
      </c>
      <c r="F1306" s="6" t="str">
        <f>IFERROR(__xludf.DUMMYFUNCTION("""COMPUTED_VALUE"""),"Negative")</f>
        <v>Negative</v>
      </c>
      <c r="G1306" s="6">
        <f>IFERROR(__xludf.DUMMYFUNCTION("""COMPUTED_VALUE"""),1.0)</f>
        <v>1</v>
      </c>
    </row>
    <row r="1307">
      <c r="A1307" s="6" t="str">
        <f>IFERROR(__xludf.DUMMYFUNCTION("""COMPUTED_VALUE"""),"FM2725")</f>
        <v>FM2725</v>
      </c>
      <c r="B1307" s="6" t="str">
        <f>IFERROR(__xludf.DUMMYFUNCTION("""COMPUTED_VALUE"""),"RUN-COMB_2022-07-07_APS-001")</f>
        <v>RUN-COMB_2022-07-07_APS-001</v>
      </c>
      <c r="C1307" s="7">
        <f>VLOOKUP(B1307,'Run Reconcile'!A$2:B3090,2,FALSE)</f>
        <v>44749</v>
      </c>
      <c r="D1307" s="11">
        <f>IFERROR(__xludf.DUMMYFUNCTION("""COMPUTED_VALUE"""),44749.0)</f>
        <v>44749</v>
      </c>
      <c r="E1307" s="12">
        <f>IFERROR(__xludf.DUMMYFUNCTION("""COMPUTED_VALUE"""),0.2840856481489027)</f>
        <v>0.2840856481</v>
      </c>
      <c r="F1307" s="6" t="str">
        <f>IFERROR(__xludf.DUMMYFUNCTION("""COMPUTED_VALUE"""),"Negative")</f>
        <v>Negative</v>
      </c>
      <c r="G1307" s="6">
        <f>IFERROR(__xludf.DUMMYFUNCTION("""COMPUTED_VALUE"""),1.0)</f>
        <v>1</v>
      </c>
    </row>
    <row r="1308">
      <c r="A1308" s="6" t="str">
        <f>IFERROR(__xludf.DUMMYFUNCTION("""COMPUTED_VALUE"""),"FM2530")</f>
        <v>FM2530</v>
      </c>
      <c r="B1308" s="6" t="str">
        <f>IFERROR(__xludf.DUMMYFUNCTION("""COMPUTED_VALUE"""),"RUN-COMB_2022-07-07_APS-001")</f>
        <v>RUN-COMB_2022-07-07_APS-001</v>
      </c>
      <c r="C1308" s="7">
        <f>VLOOKUP(B1308,'Run Reconcile'!A$2:B3090,2,FALSE)</f>
        <v>44749</v>
      </c>
      <c r="D1308" s="11">
        <f>IFERROR(__xludf.DUMMYFUNCTION("""COMPUTED_VALUE"""),44749.0)</f>
        <v>44749</v>
      </c>
      <c r="E1308" s="12">
        <f>IFERROR(__xludf.DUMMYFUNCTION("""COMPUTED_VALUE"""),0.2845949074071541)</f>
        <v>0.2845949074</v>
      </c>
      <c r="F1308" s="6" t="str">
        <f>IFERROR(__xludf.DUMMYFUNCTION("""COMPUTED_VALUE"""),"Negative")</f>
        <v>Negative</v>
      </c>
      <c r="G1308" s="6">
        <f>IFERROR(__xludf.DUMMYFUNCTION("""COMPUTED_VALUE"""),1.0)</f>
        <v>1</v>
      </c>
    </row>
    <row r="1309">
      <c r="A1309" s="6" t="str">
        <f>IFERROR(__xludf.DUMMYFUNCTION("""COMPUTED_VALUE"""),"FM2456")</f>
        <v>FM2456</v>
      </c>
      <c r="B1309" s="6" t="str">
        <f>IFERROR(__xludf.DUMMYFUNCTION("""COMPUTED_VALUE"""),"RUN-COMB_2022-07-07_APS-001")</f>
        <v>RUN-COMB_2022-07-07_APS-001</v>
      </c>
      <c r="C1309" s="7">
        <f>VLOOKUP(B1309,'Run Reconcile'!A$2:B3090,2,FALSE)</f>
        <v>44749</v>
      </c>
      <c r="D1309" s="11">
        <f>IFERROR(__xludf.DUMMYFUNCTION("""COMPUTED_VALUE"""),44749.0)</f>
        <v>44749</v>
      </c>
      <c r="E1309" s="12">
        <f>IFERROR(__xludf.DUMMYFUNCTION("""COMPUTED_VALUE"""),0.28501157407299615)</f>
        <v>0.2850115741</v>
      </c>
      <c r="F1309" s="6" t="str">
        <f>IFERROR(__xludf.DUMMYFUNCTION("""COMPUTED_VALUE"""),"Negative")</f>
        <v>Negative</v>
      </c>
      <c r="G1309" s="6">
        <f>IFERROR(__xludf.DUMMYFUNCTION("""COMPUTED_VALUE"""),1.0)</f>
        <v>1</v>
      </c>
    </row>
    <row r="1310">
      <c r="A1310" s="6" t="str">
        <f>IFERROR(__xludf.DUMMYFUNCTION("""COMPUTED_VALUE"""),"FM2593")</f>
        <v>FM2593</v>
      </c>
      <c r="B1310" s="6" t="str">
        <f>IFERROR(__xludf.DUMMYFUNCTION("""COMPUTED_VALUE"""),"RUN-COMB_2022-07-07_APS-001")</f>
        <v>RUN-COMB_2022-07-07_APS-001</v>
      </c>
      <c r="C1310" s="7">
        <f>VLOOKUP(B1310,'Run Reconcile'!A$2:B3090,2,FALSE)</f>
        <v>44749</v>
      </c>
      <c r="D1310" s="11">
        <f>IFERROR(__xludf.DUMMYFUNCTION("""COMPUTED_VALUE"""),44749.0)</f>
        <v>44749</v>
      </c>
      <c r="E1310" s="12">
        <f>IFERROR(__xludf.DUMMYFUNCTION("""COMPUTED_VALUE"""),0.2853935185194132)</f>
        <v>0.2853935185</v>
      </c>
      <c r="F1310" s="6" t="str">
        <f>IFERROR(__xludf.DUMMYFUNCTION("""COMPUTED_VALUE"""),"Negative")</f>
        <v>Negative</v>
      </c>
      <c r="G1310" s="6">
        <f>IFERROR(__xludf.DUMMYFUNCTION("""COMPUTED_VALUE"""),1.0)</f>
        <v>1</v>
      </c>
    </row>
    <row r="1311">
      <c r="A1311" s="6" t="str">
        <f>IFERROR(__xludf.DUMMYFUNCTION("""COMPUTED_VALUE"""),"FM2415")</f>
        <v>FM2415</v>
      </c>
      <c r="B1311" s="6" t="str">
        <f>IFERROR(__xludf.DUMMYFUNCTION("""COMPUTED_VALUE"""),"RUN-COMB_2022-07-07_APS-001")</f>
        <v>RUN-COMB_2022-07-07_APS-001</v>
      </c>
      <c r="C1311" s="7">
        <f>VLOOKUP(B1311,'Run Reconcile'!A$2:B3090,2,FALSE)</f>
        <v>44749</v>
      </c>
      <c r="D1311" s="11">
        <f>IFERROR(__xludf.DUMMYFUNCTION("""COMPUTED_VALUE"""),44749.0)</f>
        <v>44749</v>
      </c>
      <c r="E1311" s="12">
        <f>IFERROR(__xludf.DUMMYFUNCTION("""COMPUTED_VALUE"""),0.28577546296219225)</f>
        <v>0.285775463</v>
      </c>
      <c r="F1311" s="6" t="str">
        <f>IFERROR(__xludf.DUMMYFUNCTION("""COMPUTED_VALUE"""),"Negative")</f>
        <v>Negative</v>
      </c>
      <c r="G1311" s="6">
        <f>IFERROR(__xludf.DUMMYFUNCTION("""COMPUTED_VALUE"""),1.0)</f>
        <v>1</v>
      </c>
    </row>
    <row r="1312">
      <c r="A1312" s="6" t="str">
        <f>IFERROR(__xludf.DUMMYFUNCTION("""COMPUTED_VALUE"""),"FM2557")</f>
        <v>FM2557</v>
      </c>
      <c r="B1312" s="6" t="str">
        <f>IFERROR(__xludf.DUMMYFUNCTION("""COMPUTED_VALUE"""),"RUN-COMB_2022-07-07_APS-001")</f>
        <v>RUN-COMB_2022-07-07_APS-001</v>
      </c>
      <c r="C1312" s="7">
        <f>VLOOKUP(B1312,'Run Reconcile'!A$2:B3090,2,FALSE)</f>
        <v>44749</v>
      </c>
      <c r="D1312" s="11">
        <f>IFERROR(__xludf.DUMMYFUNCTION("""COMPUTED_VALUE"""),44749.0)</f>
        <v>44749</v>
      </c>
      <c r="E1312" s="12">
        <f>IFERROR(__xludf.DUMMYFUNCTION("""COMPUTED_VALUE"""),0.2861226851855463)</f>
        <v>0.2861226852</v>
      </c>
      <c r="F1312" s="6" t="str">
        <f>IFERROR(__xludf.DUMMYFUNCTION("""COMPUTED_VALUE"""),"Negative")</f>
        <v>Negative</v>
      </c>
      <c r="G1312" s="6">
        <f>IFERROR(__xludf.DUMMYFUNCTION("""COMPUTED_VALUE"""),1.0)</f>
        <v>1</v>
      </c>
    </row>
    <row r="1313">
      <c r="A1313" s="6" t="str">
        <f>IFERROR(__xludf.DUMMYFUNCTION("""COMPUTED_VALUE"""),"FM2598")</f>
        <v>FM2598</v>
      </c>
      <c r="B1313" s="6" t="str">
        <f>IFERROR(__xludf.DUMMYFUNCTION("""COMPUTED_VALUE"""),"RUN-COMB_2022-07-07_APS-001")</f>
        <v>RUN-COMB_2022-07-07_APS-001</v>
      </c>
      <c r="C1313" s="7">
        <f>VLOOKUP(B1313,'Run Reconcile'!A$2:B3090,2,FALSE)</f>
        <v>44749</v>
      </c>
      <c r="D1313" s="11">
        <f>IFERROR(__xludf.DUMMYFUNCTION("""COMPUTED_VALUE"""),44749.0)</f>
        <v>44749</v>
      </c>
      <c r="E1313" s="12">
        <f>IFERROR(__xludf.DUMMYFUNCTION("""COMPUTED_VALUE"""),0.28653935185138835)</f>
        <v>0.2865393519</v>
      </c>
      <c r="F1313" s="6" t="str">
        <f>IFERROR(__xludf.DUMMYFUNCTION("""COMPUTED_VALUE"""),"Negative")</f>
        <v>Negative</v>
      </c>
      <c r="G1313" s="6">
        <f>IFERROR(__xludf.DUMMYFUNCTION("""COMPUTED_VALUE"""),1.0)</f>
        <v>1</v>
      </c>
    </row>
    <row r="1314">
      <c r="A1314" s="6" t="str">
        <f>IFERROR(__xludf.DUMMYFUNCTION("""COMPUTED_VALUE"""),"FM2538")</f>
        <v>FM2538</v>
      </c>
      <c r="B1314" s="6" t="str">
        <f>IFERROR(__xludf.DUMMYFUNCTION("""COMPUTED_VALUE"""),"RUN-COMB_2022-07-08_RFR-074")</f>
        <v>RUN-COMB_2022-07-08_RFR-074</v>
      </c>
      <c r="C1314" s="7">
        <f>VLOOKUP(B1314,'Run Reconcile'!A$2:B3090,2,FALSE)</f>
        <v>44750</v>
      </c>
      <c r="D1314" s="11">
        <f>IFERROR(__xludf.DUMMYFUNCTION("""COMPUTED_VALUE"""),44750.0)</f>
        <v>44750</v>
      </c>
      <c r="E1314" s="12">
        <f>IFERROR(__xludf.DUMMYFUNCTION("""COMPUTED_VALUE"""),0.2665046296278888)</f>
        <v>0.2665046296</v>
      </c>
      <c r="F1314" s="6" t="str">
        <f>IFERROR(__xludf.DUMMYFUNCTION("""COMPUTED_VALUE"""),"Negative")</f>
        <v>Negative</v>
      </c>
      <c r="G1314" s="6">
        <f>IFERROR(__xludf.DUMMYFUNCTION("""COMPUTED_VALUE"""),1.0)</f>
        <v>1</v>
      </c>
    </row>
    <row r="1315">
      <c r="A1315" s="6" t="str">
        <f>IFERROR(__xludf.DUMMYFUNCTION("""COMPUTED_VALUE"""),"FM2574")</f>
        <v>FM2574</v>
      </c>
      <c r="B1315" s="6" t="str">
        <f>IFERROR(__xludf.DUMMYFUNCTION("""COMPUTED_VALUE"""),"RUN-COMB_2022-07-08_RFR-074")</f>
        <v>RUN-COMB_2022-07-08_RFR-074</v>
      </c>
      <c r="C1315" s="7">
        <f>VLOOKUP(B1315,'Run Reconcile'!A$2:B3090,2,FALSE)</f>
        <v>44750</v>
      </c>
      <c r="D1315" s="11">
        <f>IFERROR(__xludf.DUMMYFUNCTION("""COMPUTED_VALUE"""),44750.0)</f>
        <v>44750</v>
      </c>
      <c r="E1315" s="12">
        <f>IFERROR(__xludf.DUMMYFUNCTION("""COMPUTED_VALUE"""),0.26706018518598285)</f>
        <v>0.2670601852</v>
      </c>
      <c r="F1315" s="6" t="str">
        <f>IFERROR(__xludf.DUMMYFUNCTION("""COMPUTED_VALUE"""),"Negative")</f>
        <v>Negative</v>
      </c>
      <c r="G1315" s="6">
        <f>IFERROR(__xludf.DUMMYFUNCTION("""COMPUTED_VALUE"""),1.0)</f>
        <v>1</v>
      </c>
    </row>
    <row r="1316">
      <c r="A1316" s="6" t="str">
        <f>IFERROR(__xludf.DUMMYFUNCTION("""COMPUTED_VALUE"""),"FM2563")</f>
        <v>FM2563</v>
      </c>
      <c r="B1316" s="6" t="str">
        <f>IFERROR(__xludf.DUMMYFUNCTION("""COMPUTED_VALUE"""),"RUN-COMB_2022-07-08_RFR-074")</f>
        <v>RUN-COMB_2022-07-08_RFR-074</v>
      </c>
      <c r="C1316" s="7">
        <f>VLOOKUP(B1316,'Run Reconcile'!A$2:B3090,2,FALSE)</f>
        <v>44750</v>
      </c>
      <c r="D1316" s="11">
        <f>IFERROR(__xludf.DUMMYFUNCTION("""COMPUTED_VALUE"""),44750.0)</f>
        <v>44750</v>
      </c>
      <c r="E1316" s="12">
        <f>IFERROR(__xludf.DUMMYFUNCTION("""COMPUTED_VALUE"""),0.2708333333321207)</f>
        <v>0.2708333333</v>
      </c>
      <c r="F1316" s="6" t="str">
        <f>IFERROR(__xludf.DUMMYFUNCTION("""COMPUTED_VALUE"""),"Negative")</f>
        <v>Negative</v>
      </c>
      <c r="G1316" s="6">
        <f>IFERROR(__xludf.DUMMYFUNCTION("""COMPUTED_VALUE"""),1.0)</f>
        <v>1</v>
      </c>
    </row>
    <row r="1317">
      <c r="A1317" s="6" t="str">
        <f>IFERROR(__xludf.DUMMYFUNCTION("""COMPUTED_VALUE"""),"FM2540")</f>
        <v>FM2540</v>
      </c>
      <c r="B1317" s="6" t="str">
        <f>IFERROR(__xludf.DUMMYFUNCTION("""COMPUTED_VALUE"""),"RUN-COMB_2022-07-08_RFR-074")</f>
        <v>RUN-COMB_2022-07-08_RFR-074</v>
      </c>
      <c r="C1317" s="7">
        <f>VLOOKUP(B1317,'Run Reconcile'!A$2:B3090,2,FALSE)</f>
        <v>44750</v>
      </c>
      <c r="D1317" s="11">
        <f>IFERROR(__xludf.DUMMYFUNCTION("""COMPUTED_VALUE"""),44750.0)</f>
        <v>44750</v>
      </c>
      <c r="E1317" s="12">
        <f>IFERROR(__xludf.DUMMYFUNCTION("""COMPUTED_VALUE"""),0.2711111111093487)</f>
        <v>0.2711111111</v>
      </c>
      <c r="F1317" s="6" t="str">
        <f>IFERROR(__xludf.DUMMYFUNCTION("""COMPUTED_VALUE"""),"Negative")</f>
        <v>Negative</v>
      </c>
      <c r="G1317" s="6">
        <f>IFERROR(__xludf.DUMMYFUNCTION("""COMPUTED_VALUE"""),1.0)</f>
        <v>1</v>
      </c>
    </row>
    <row r="1318">
      <c r="A1318" s="6" t="str">
        <f>IFERROR(__xludf.DUMMYFUNCTION("""COMPUTED_VALUE"""),"FM2428")</f>
        <v>FM2428</v>
      </c>
      <c r="B1318" s="6" t="str">
        <f>IFERROR(__xludf.DUMMYFUNCTION("""COMPUTED_VALUE"""),"RUN-COMB_2022-07-08_RFR-074")</f>
        <v>RUN-COMB_2022-07-08_RFR-074</v>
      </c>
      <c r="C1318" s="7">
        <f>VLOOKUP(B1318,'Run Reconcile'!A$2:B3090,2,FALSE)</f>
        <v>44750</v>
      </c>
      <c r="D1318" s="11">
        <f>IFERROR(__xludf.DUMMYFUNCTION("""COMPUTED_VALUE"""),44750.0)</f>
        <v>44750</v>
      </c>
      <c r="E1318" s="12">
        <f>IFERROR(__xludf.DUMMYFUNCTION("""COMPUTED_VALUE"""),0.2713773148134351)</f>
        <v>0.2713773148</v>
      </c>
      <c r="F1318" s="6" t="str">
        <f>IFERROR(__xludf.DUMMYFUNCTION("""COMPUTED_VALUE"""),"Negative")</f>
        <v>Negative</v>
      </c>
      <c r="G1318" s="6">
        <f>IFERROR(__xludf.DUMMYFUNCTION("""COMPUTED_VALUE"""),1.0)</f>
        <v>1</v>
      </c>
    </row>
    <row r="1319">
      <c r="A1319" s="6" t="str">
        <f>IFERROR(__xludf.DUMMYFUNCTION("""COMPUTED_VALUE"""),"FM2549")</f>
        <v>FM2549</v>
      </c>
      <c r="B1319" s="6" t="str">
        <f>IFERROR(__xludf.DUMMYFUNCTION("""COMPUTED_VALUE"""),"RUN-COMB_2022-07-08_RFR-074")</f>
        <v>RUN-COMB_2022-07-08_RFR-074</v>
      </c>
      <c r="C1319" s="7">
        <f>VLOOKUP(B1319,'Run Reconcile'!A$2:B3090,2,FALSE)</f>
        <v>44750</v>
      </c>
      <c r="D1319" s="11">
        <f>IFERROR(__xludf.DUMMYFUNCTION("""COMPUTED_VALUE"""),44750.0)</f>
        <v>44750</v>
      </c>
      <c r="E1319" s="12">
        <f>IFERROR(__xludf.DUMMYFUNCTION("""COMPUTED_VALUE"""),0.2717361111099308)</f>
        <v>0.2717361111</v>
      </c>
      <c r="F1319" s="6" t="str">
        <f>IFERROR(__xludf.DUMMYFUNCTION("""COMPUTED_VALUE"""),"Negative")</f>
        <v>Negative</v>
      </c>
      <c r="G1319" s="6">
        <f>IFERROR(__xludf.DUMMYFUNCTION("""COMPUTED_VALUE"""),1.0)</f>
        <v>1</v>
      </c>
    </row>
    <row r="1320">
      <c r="A1320" s="6" t="str">
        <f>IFERROR(__xludf.DUMMYFUNCTION("""COMPUTED_VALUE"""),"FM2565")</f>
        <v>FM2565</v>
      </c>
      <c r="B1320" s="6" t="str">
        <f>IFERROR(__xludf.DUMMYFUNCTION("""COMPUTED_VALUE"""),"RUN-COMB_2022-07-08_RFR-074")</f>
        <v>RUN-COMB_2022-07-08_RFR-074</v>
      </c>
      <c r="C1320" s="7">
        <f>VLOOKUP(B1320,'Run Reconcile'!A$2:B3090,2,FALSE)</f>
        <v>44750</v>
      </c>
      <c r="D1320" s="11">
        <f>IFERROR(__xludf.DUMMYFUNCTION("""COMPUTED_VALUE"""),44750.0)</f>
        <v>44750</v>
      </c>
      <c r="E1320" s="12">
        <f>IFERROR(__xludf.DUMMYFUNCTION("""COMPUTED_VALUE"""),0.27201388888715883)</f>
        <v>0.2720138889</v>
      </c>
      <c r="F1320" s="6" t="str">
        <f>IFERROR(__xludf.DUMMYFUNCTION("""COMPUTED_VALUE"""),"Negative")</f>
        <v>Negative</v>
      </c>
      <c r="G1320" s="6">
        <f>IFERROR(__xludf.DUMMYFUNCTION("""COMPUTED_VALUE"""),1.0)</f>
        <v>1</v>
      </c>
    </row>
    <row r="1321">
      <c r="A1321" s="6" t="str">
        <f>IFERROR(__xludf.DUMMYFUNCTION("""COMPUTED_VALUE"""),"FM2582")</f>
        <v>FM2582</v>
      </c>
      <c r="B1321" s="6" t="str">
        <f>IFERROR(__xludf.DUMMYFUNCTION("""COMPUTED_VALUE"""),"RUN-COMB_2022-07-08_RFR-074")</f>
        <v>RUN-COMB_2022-07-08_RFR-074</v>
      </c>
      <c r="C1321" s="7">
        <f>VLOOKUP(B1321,'Run Reconcile'!A$2:B3090,2,FALSE)</f>
        <v>44750</v>
      </c>
      <c r="D1321" s="11">
        <f>IFERROR(__xludf.DUMMYFUNCTION("""COMPUTED_VALUE"""),44750.0)</f>
        <v>44750</v>
      </c>
      <c r="E1321" s="12">
        <f>IFERROR(__xludf.DUMMYFUNCTION("""COMPUTED_VALUE"""),0.2722685185181035)</f>
        <v>0.2722685185</v>
      </c>
      <c r="F1321" s="6" t="str">
        <f>IFERROR(__xludf.DUMMYFUNCTION("""COMPUTED_VALUE"""),"Negative")</f>
        <v>Negative</v>
      </c>
      <c r="G1321" s="6">
        <f>IFERROR(__xludf.DUMMYFUNCTION("""COMPUTED_VALUE"""),1.0)</f>
        <v>1</v>
      </c>
    </row>
    <row r="1322">
      <c r="A1322" s="6" t="str">
        <f>IFERROR(__xludf.DUMMYFUNCTION("""COMPUTED_VALUE"""),"FM2625")</f>
        <v>FM2625</v>
      </c>
      <c r="B1322" s="6" t="str">
        <f>IFERROR(__xludf.DUMMYFUNCTION("""COMPUTED_VALUE"""),"RUN-COMB_2022-07-08_RFR-074")</f>
        <v>RUN-COMB_2022-07-08_RFR-074</v>
      </c>
      <c r="C1322" s="7">
        <f>VLOOKUP(B1322,'Run Reconcile'!A$2:B3090,2,FALSE)</f>
        <v>44750</v>
      </c>
      <c r="D1322" s="11">
        <f>IFERROR(__xludf.DUMMYFUNCTION("""COMPUTED_VALUE"""),44750.0)</f>
        <v>44750</v>
      </c>
      <c r="E1322" s="12">
        <f>IFERROR(__xludf.DUMMYFUNCTION("""COMPUTED_VALUE"""),0.2725578703721112)</f>
        <v>0.2725578704</v>
      </c>
      <c r="F1322" s="6" t="str">
        <f>IFERROR(__xludf.DUMMYFUNCTION("""COMPUTED_VALUE"""),"Negative")</f>
        <v>Negative</v>
      </c>
      <c r="G1322" s="6">
        <f>IFERROR(__xludf.DUMMYFUNCTION("""COMPUTED_VALUE"""),1.0)</f>
        <v>1</v>
      </c>
    </row>
    <row r="1323">
      <c r="A1323" s="6" t="str">
        <f>IFERROR(__xludf.DUMMYFUNCTION("""COMPUTED_VALUE"""),"FM2543")</f>
        <v>FM2543</v>
      </c>
      <c r="B1323" s="6" t="str">
        <f>IFERROR(__xludf.DUMMYFUNCTION("""COMPUTED_VALUE"""),"RUN-COMB_2022-07-08_RFR-074")</f>
        <v>RUN-COMB_2022-07-08_RFR-074</v>
      </c>
      <c r="C1323" s="7">
        <f>VLOOKUP(B1323,'Run Reconcile'!A$2:B3090,2,FALSE)</f>
        <v>44750</v>
      </c>
      <c r="D1323" s="11">
        <f>IFERROR(__xludf.DUMMYFUNCTION("""COMPUTED_VALUE"""),44750.0)</f>
        <v>44750</v>
      </c>
      <c r="E1323" s="12">
        <f>IFERROR(__xludf.DUMMYFUNCTION("""COMPUTED_VALUE"""),0.2728240740725596)</f>
        <v>0.2728240741</v>
      </c>
      <c r="F1323" s="6" t="str">
        <f>IFERROR(__xludf.DUMMYFUNCTION("""COMPUTED_VALUE"""),"Negative")</f>
        <v>Negative</v>
      </c>
      <c r="G1323" s="6">
        <f>IFERROR(__xludf.DUMMYFUNCTION("""COMPUTED_VALUE"""),1.0)</f>
        <v>1</v>
      </c>
    </row>
    <row r="1324">
      <c r="A1324" s="6" t="str">
        <f>IFERROR(__xludf.DUMMYFUNCTION("""COMPUTED_VALUE"""),"FM2460")</f>
        <v>FM2460</v>
      </c>
      <c r="B1324" s="6" t="str">
        <f>IFERROR(__xludf.DUMMYFUNCTION("""COMPUTED_VALUE"""),"RUN-COMB_2022-07-08_RFR-074")</f>
        <v>RUN-COMB_2022-07-08_RFR-074</v>
      </c>
      <c r="C1324" s="7">
        <f>VLOOKUP(B1324,'Run Reconcile'!A$2:B3090,2,FALSE)</f>
        <v>44750</v>
      </c>
      <c r="D1324" s="11">
        <f>IFERROR(__xludf.DUMMYFUNCTION("""COMPUTED_VALUE"""),44750.0)</f>
        <v>44750</v>
      </c>
      <c r="E1324" s="12">
        <f>IFERROR(__xludf.DUMMYFUNCTION("""COMPUTED_VALUE"""),0.2730787037035043)</f>
        <v>0.2730787037</v>
      </c>
      <c r="F1324" s="6" t="str">
        <f>IFERROR(__xludf.DUMMYFUNCTION("""COMPUTED_VALUE"""),"Negative")</f>
        <v>Negative</v>
      </c>
      <c r="G1324" s="6">
        <f>IFERROR(__xludf.DUMMYFUNCTION("""COMPUTED_VALUE"""),1.0)</f>
        <v>1</v>
      </c>
    </row>
    <row r="1325">
      <c r="A1325" s="6" t="str">
        <f>IFERROR(__xludf.DUMMYFUNCTION("""COMPUTED_VALUE"""),"FM2420")</f>
        <v>FM2420</v>
      </c>
      <c r="B1325" s="6" t="str">
        <f>IFERROR(__xludf.DUMMYFUNCTION("""COMPUTED_VALUE"""),"RUN-COMB_2022-07-08_RFR-074")</f>
        <v>RUN-COMB_2022-07-08_RFR-074</v>
      </c>
      <c r="C1325" s="7">
        <f>VLOOKUP(B1325,'Run Reconcile'!A$2:B3090,2,FALSE)</f>
        <v>44750</v>
      </c>
      <c r="D1325" s="11">
        <f>IFERROR(__xludf.DUMMYFUNCTION("""COMPUTED_VALUE"""),44750.0)</f>
        <v>44750</v>
      </c>
      <c r="E1325" s="12">
        <f>IFERROR(__xludf.DUMMYFUNCTION("""COMPUTED_VALUE"""),0.2733564814807323)</f>
        <v>0.2733564815</v>
      </c>
      <c r="F1325" s="6" t="str">
        <f>IFERROR(__xludf.DUMMYFUNCTION("""COMPUTED_VALUE"""),"Negative")</f>
        <v>Negative</v>
      </c>
      <c r="G1325" s="6">
        <f>IFERROR(__xludf.DUMMYFUNCTION("""COMPUTED_VALUE"""),1.0)</f>
        <v>1</v>
      </c>
    </row>
    <row r="1326">
      <c r="A1326" s="6" t="str">
        <f>IFERROR(__xludf.DUMMYFUNCTION("""COMPUTED_VALUE"""),"FM2432")</f>
        <v>FM2432</v>
      </c>
      <c r="B1326" s="6" t="str">
        <f>IFERROR(__xludf.DUMMYFUNCTION("""COMPUTED_VALUE"""),"RUN-COMB_2022-07-08_RFR-074")</f>
        <v>RUN-COMB_2022-07-08_RFR-074</v>
      </c>
      <c r="C1326" s="7">
        <f>VLOOKUP(B1326,'Run Reconcile'!A$2:B3090,2,FALSE)</f>
        <v>44750</v>
      </c>
      <c r="D1326" s="11">
        <f>IFERROR(__xludf.DUMMYFUNCTION("""COMPUTED_VALUE"""),44750.0)</f>
        <v>44750</v>
      </c>
      <c r="E1326" s="12">
        <f>IFERROR(__xludf.DUMMYFUNCTION("""COMPUTED_VALUE"""),0.2736226851848187)</f>
        <v>0.2736226852</v>
      </c>
      <c r="F1326" s="6" t="str">
        <f>IFERROR(__xludf.DUMMYFUNCTION("""COMPUTED_VALUE"""),"Negative")</f>
        <v>Negative</v>
      </c>
      <c r="G1326" s="6">
        <f>IFERROR(__xludf.DUMMYFUNCTION("""COMPUTED_VALUE"""),1.0)</f>
        <v>1</v>
      </c>
    </row>
    <row r="1327">
      <c r="A1327" s="6" t="str">
        <f>IFERROR(__xludf.DUMMYFUNCTION("""COMPUTED_VALUE"""),"FM2524")</f>
        <v>FM2524</v>
      </c>
      <c r="B1327" s="6" t="str">
        <f>IFERROR(__xludf.DUMMYFUNCTION("""COMPUTED_VALUE"""),"RUN-COMB_2022-07-08_RFR-074")</f>
        <v>RUN-COMB_2022-07-08_RFR-074</v>
      </c>
      <c r="C1327" s="7">
        <f>VLOOKUP(B1327,'Run Reconcile'!A$2:B3090,2,FALSE)</f>
        <v>44750</v>
      </c>
      <c r="D1327" s="11">
        <f>IFERROR(__xludf.DUMMYFUNCTION("""COMPUTED_VALUE"""),44750.0)</f>
        <v>44750</v>
      </c>
      <c r="E1327" s="12">
        <f>IFERROR(__xludf.DUMMYFUNCTION("""COMPUTED_VALUE"""),0.27392361111196806)</f>
        <v>0.2739236111</v>
      </c>
      <c r="F1327" s="6" t="str">
        <f>IFERROR(__xludf.DUMMYFUNCTION("""COMPUTED_VALUE"""),"Negative")</f>
        <v>Negative</v>
      </c>
      <c r="G1327" s="6">
        <f>IFERROR(__xludf.DUMMYFUNCTION("""COMPUTED_VALUE"""),1.0)</f>
        <v>1</v>
      </c>
    </row>
    <row r="1328">
      <c r="A1328" s="6" t="str">
        <f>IFERROR(__xludf.DUMMYFUNCTION("""COMPUTED_VALUE"""),"FM2554")</f>
        <v>FM2554</v>
      </c>
      <c r="B1328" s="6" t="str">
        <f>IFERROR(__xludf.DUMMYFUNCTION("""COMPUTED_VALUE"""),"RUN-COMB_2022-07-08_RFR-074")</f>
        <v>RUN-COMB_2022-07-08_RFR-074</v>
      </c>
      <c r="C1328" s="7">
        <f>VLOOKUP(B1328,'Run Reconcile'!A$2:B3090,2,FALSE)</f>
        <v>44750</v>
      </c>
      <c r="D1328" s="11">
        <f>IFERROR(__xludf.DUMMYFUNCTION("""COMPUTED_VALUE"""),44750.0)</f>
        <v>44750</v>
      </c>
      <c r="E1328" s="12">
        <f>IFERROR(__xludf.DUMMYFUNCTION("""COMPUTED_VALUE"""),0.27421296296233777)</f>
        <v>0.274212963</v>
      </c>
      <c r="F1328" s="6" t="str">
        <f>IFERROR(__xludf.DUMMYFUNCTION("""COMPUTED_VALUE"""),"Negative")</f>
        <v>Negative</v>
      </c>
      <c r="G1328" s="6">
        <f>IFERROR(__xludf.DUMMYFUNCTION("""COMPUTED_VALUE"""),1.0)</f>
        <v>1</v>
      </c>
    </row>
    <row r="1329">
      <c r="A1329" s="6" t="str">
        <f>IFERROR(__xludf.DUMMYFUNCTION("""COMPUTED_VALUE"""),"FM2526")</f>
        <v>FM2526</v>
      </c>
      <c r="B1329" s="6" t="str">
        <f>IFERROR(__xludf.DUMMYFUNCTION("""COMPUTED_VALUE"""),"RUN-COMB_2022-07-08_RFR-074")</f>
        <v>RUN-COMB_2022-07-08_RFR-074</v>
      </c>
      <c r="C1329" s="7">
        <f>VLOOKUP(B1329,'Run Reconcile'!A$2:B3090,2,FALSE)</f>
        <v>44750</v>
      </c>
      <c r="D1329" s="11">
        <f>IFERROR(__xludf.DUMMYFUNCTION("""COMPUTED_VALUE"""),44750.0)</f>
        <v>44750</v>
      </c>
      <c r="E1329" s="12">
        <f>IFERROR(__xludf.DUMMYFUNCTION("""COMPUTED_VALUE"""),0.27527777777868323)</f>
        <v>0.2752777778</v>
      </c>
      <c r="F1329" s="6" t="str">
        <f>IFERROR(__xludf.DUMMYFUNCTION("""COMPUTED_VALUE"""),"Negative")</f>
        <v>Negative</v>
      </c>
      <c r="G1329" s="6">
        <f>IFERROR(__xludf.DUMMYFUNCTION("""COMPUTED_VALUE"""),1.0)</f>
        <v>1</v>
      </c>
    </row>
    <row r="1330">
      <c r="A1330" s="6" t="str">
        <f>IFERROR(__xludf.DUMMYFUNCTION("""COMPUTED_VALUE"""),"FM2585")</f>
        <v>FM2585</v>
      </c>
      <c r="B1330" s="6" t="str">
        <f>IFERROR(__xludf.DUMMYFUNCTION("""COMPUTED_VALUE"""),"RUN-COMB_2022-07-08_RFR-074")</f>
        <v>RUN-COMB_2022-07-08_RFR-074</v>
      </c>
      <c r="C1330" s="7">
        <f>VLOOKUP(B1330,'Run Reconcile'!A$2:B3090,2,FALSE)</f>
        <v>44750</v>
      </c>
      <c r="D1330" s="11">
        <f>IFERROR(__xludf.DUMMYFUNCTION("""COMPUTED_VALUE"""),44750.0)</f>
        <v>44750</v>
      </c>
      <c r="E1330" s="12">
        <f>IFERROR(__xludf.DUMMYFUNCTION("""COMPUTED_VALUE"""),0.27570601851766696)</f>
        <v>0.2757060185</v>
      </c>
      <c r="F1330" s="6" t="str">
        <f>IFERROR(__xludf.DUMMYFUNCTION("""COMPUTED_VALUE"""),"Negative")</f>
        <v>Negative</v>
      </c>
      <c r="G1330" s="6">
        <f>IFERROR(__xludf.DUMMYFUNCTION("""COMPUTED_VALUE"""),1.0)</f>
        <v>1</v>
      </c>
    </row>
    <row r="1331">
      <c r="A1331" s="6" t="str">
        <f>IFERROR(__xludf.DUMMYFUNCTION("""COMPUTED_VALUE"""),"FM2572")</f>
        <v>FM2572</v>
      </c>
      <c r="B1331" s="6" t="str">
        <f>IFERROR(__xludf.DUMMYFUNCTION("""COMPUTED_VALUE"""),"RUN-COMB_2022-07-08_RFR-074")</f>
        <v>RUN-COMB_2022-07-08_RFR-074</v>
      </c>
      <c r="C1331" s="7">
        <f>VLOOKUP(B1331,'Run Reconcile'!A$2:B3090,2,FALSE)</f>
        <v>44750</v>
      </c>
      <c r="D1331" s="11">
        <f>IFERROR(__xludf.DUMMYFUNCTION("""COMPUTED_VALUE"""),44750.0)</f>
        <v>44750</v>
      </c>
      <c r="E1331" s="12">
        <f>IFERROR(__xludf.DUMMYFUNCTION("""COMPUTED_VALUE"""),0.27596064814861165)</f>
        <v>0.2759606481</v>
      </c>
      <c r="F1331" s="6" t="str">
        <f>IFERROR(__xludf.DUMMYFUNCTION("""COMPUTED_VALUE"""),"Negative")</f>
        <v>Negative</v>
      </c>
      <c r="G1331" s="6">
        <f>IFERROR(__xludf.DUMMYFUNCTION("""COMPUTED_VALUE"""),1.0)</f>
        <v>1</v>
      </c>
    </row>
    <row r="1332">
      <c r="A1332" s="6" t="str">
        <f>IFERROR(__xludf.DUMMYFUNCTION("""COMPUTED_VALUE"""),"FM2534")</f>
        <v>FM2534</v>
      </c>
      <c r="B1332" s="6" t="str">
        <f>IFERROR(__xludf.DUMMYFUNCTION("""COMPUTED_VALUE"""),"RUN-COMB_2022-07-08_RFR-074")</f>
        <v>RUN-COMB_2022-07-08_RFR-074</v>
      </c>
      <c r="C1332" s="7">
        <f>VLOOKUP(B1332,'Run Reconcile'!A$2:B3090,2,FALSE)</f>
        <v>44750</v>
      </c>
      <c r="D1332" s="11">
        <f>IFERROR(__xludf.DUMMYFUNCTION("""COMPUTED_VALUE"""),44750.0)</f>
        <v>44750</v>
      </c>
      <c r="E1332" s="12">
        <f>IFERROR(__xludf.DUMMYFUNCTION("""COMPUTED_VALUE"""),0.2763888888875954)</f>
        <v>0.2763888889</v>
      </c>
      <c r="F1332" s="6" t="str">
        <f>IFERROR(__xludf.DUMMYFUNCTION("""COMPUTED_VALUE"""),"Negative")</f>
        <v>Negative</v>
      </c>
      <c r="G1332" s="6">
        <f>IFERROR(__xludf.DUMMYFUNCTION("""COMPUTED_VALUE"""),1.0)</f>
        <v>1</v>
      </c>
    </row>
    <row r="1333">
      <c r="A1333" s="6" t="str">
        <f>IFERROR(__xludf.DUMMYFUNCTION("""COMPUTED_VALUE"""),"FM2521")</f>
        <v>FM2521</v>
      </c>
      <c r="B1333" s="6" t="str">
        <f>IFERROR(__xludf.DUMMYFUNCTION("""COMPUTED_VALUE"""),"RUN-COMB_2022-07-08_RFR-074")</f>
        <v>RUN-COMB_2022-07-08_RFR-074</v>
      </c>
      <c r="C1333" s="7">
        <f>VLOOKUP(B1333,'Run Reconcile'!A$2:B3090,2,FALSE)</f>
        <v>44750</v>
      </c>
      <c r="D1333" s="11">
        <f>IFERROR(__xludf.DUMMYFUNCTION("""COMPUTED_VALUE"""),44750.0)</f>
        <v>44750</v>
      </c>
      <c r="E1333" s="12">
        <f>IFERROR(__xludf.DUMMYFUNCTION("""COMPUTED_VALUE"""),0.2766782407416031)</f>
        <v>0.2766782407</v>
      </c>
      <c r="F1333" s="6" t="str">
        <f>IFERROR(__xludf.DUMMYFUNCTION("""COMPUTED_VALUE"""),"Negative")</f>
        <v>Negative</v>
      </c>
      <c r="G1333" s="6">
        <f>IFERROR(__xludf.DUMMYFUNCTION("""COMPUTED_VALUE"""),1.0)</f>
        <v>1</v>
      </c>
    </row>
    <row r="1334">
      <c r="A1334" s="6" t="str">
        <f>IFERROR(__xludf.DUMMYFUNCTION("""COMPUTED_VALUE"""),"FM2617")</f>
        <v>FM2617</v>
      </c>
      <c r="B1334" s="6" t="str">
        <f>IFERROR(__xludf.DUMMYFUNCTION("""COMPUTED_VALUE"""),"RUN-COMB_2022-07-08_RFR-074")</f>
        <v>RUN-COMB_2022-07-08_RFR-074</v>
      </c>
      <c r="C1334" s="7">
        <f>VLOOKUP(B1334,'Run Reconcile'!A$2:B3090,2,FALSE)</f>
        <v>44750</v>
      </c>
      <c r="D1334" s="11">
        <f>IFERROR(__xludf.DUMMYFUNCTION("""COMPUTED_VALUE"""),44750.0)</f>
        <v>44750</v>
      </c>
      <c r="E1334" s="12">
        <f>IFERROR(__xludf.DUMMYFUNCTION("""COMPUTED_VALUE"""),0.2769907407418941)</f>
        <v>0.2769907407</v>
      </c>
      <c r="F1334" s="6" t="str">
        <f>IFERROR(__xludf.DUMMYFUNCTION("""COMPUTED_VALUE"""),"Negative")</f>
        <v>Negative</v>
      </c>
      <c r="G1334" s="6">
        <f>IFERROR(__xludf.DUMMYFUNCTION("""COMPUTED_VALUE"""),1.0)</f>
        <v>1</v>
      </c>
    </row>
    <row r="1335">
      <c r="A1335" s="6" t="str">
        <f>IFERROR(__xludf.DUMMYFUNCTION("""COMPUTED_VALUE"""),"FM2444")</f>
        <v>FM2444</v>
      </c>
      <c r="B1335" s="6" t="str">
        <f>IFERROR(__xludf.DUMMYFUNCTION("""COMPUTED_VALUE"""),"RUN-COMB_2022-07-08_RFR-074")</f>
        <v>RUN-COMB_2022-07-08_RFR-074</v>
      </c>
      <c r="C1335" s="7">
        <f>VLOOKUP(B1335,'Run Reconcile'!A$2:B3090,2,FALSE)</f>
        <v>44750</v>
      </c>
      <c r="D1335" s="11">
        <f>IFERROR(__xludf.DUMMYFUNCTION("""COMPUTED_VALUE"""),44750.0)</f>
        <v>44750</v>
      </c>
      <c r="E1335" s="12">
        <f>IFERROR(__xludf.DUMMYFUNCTION("""COMPUTED_VALUE"""),0.27738425925781485)</f>
        <v>0.2773842593</v>
      </c>
      <c r="F1335" s="6" t="str">
        <f>IFERROR(__xludf.DUMMYFUNCTION("""COMPUTED_VALUE"""),"Negative")</f>
        <v>Negative</v>
      </c>
      <c r="G1335" s="6">
        <f>IFERROR(__xludf.DUMMYFUNCTION("""COMPUTED_VALUE"""),1.0)</f>
        <v>1</v>
      </c>
    </row>
    <row r="1336">
      <c r="A1336" s="6" t="str">
        <f>IFERROR(__xludf.DUMMYFUNCTION("""COMPUTED_VALUE"""),"FM2411")</f>
        <v>FM2411</v>
      </c>
      <c r="B1336" s="6" t="str">
        <f>IFERROR(__xludf.DUMMYFUNCTION("""COMPUTED_VALUE"""),"RUN-COMB_2022-07-08_RFR-074")</f>
        <v>RUN-COMB_2022-07-08_RFR-074</v>
      </c>
      <c r="C1336" s="7">
        <f>VLOOKUP(B1336,'Run Reconcile'!A$2:B3090,2,FALSE)</f>
        <v>44750</v>
      </c>
      <c r="D1336" s="11">
        <f>IFERROR(__xludf.DUMMYFUNCTION("""COMPUTED_VALUE"""),44750.0)</f>
        <v>44750</v>
      </c>
      <c r="E1336" s="12">
        <f>IFERROR(__xludf.DUMMYFUNCTION("""COMPUTED_VALUE"""),0.2777662037042319)</f>
        <v>0.2777662037</v>
      </c>
      <c r="F1336" s="6" t="str">
        <f>IFERROR(__xludf.DUMMYFUNCTION("""COMPUTED_VALUE"""),"Negative")</f>
        <v>Negative</v>
      </c>
      <c r="G1336" s="6">
        <f>IFERROR(__xludf.DUMMYFUNCTION("""COMPUTED_VALUE"""),1.0)</f>
        <v>1</v>
      </c>
    </row>
    <row r="1337">
      <c r="A1337" s="6" t="str">
        <f>IFERROR(__xludf.DUMMYFUNCTION("""COMPUTED_VALUE"""),"FM2562")</f>
        <v>FM2562</v>
      </c>
      <c r="B1337" s="6" t="str">
        <f>IFERROR(__xludf.DUMMYFUNCTION("""COMPUTED_VALUE"""),"RUN-COMB_2022-07-08_RFR-074")</f>
        <v>RUN-COMB_2022-07-08_RFR-074</v>
      </c>
      <c r="C1337" s="7">
        <f>VLOOKUP(B1337,'Run Reconcile'!A$2:B3090,2,FALSE)</f>
        <v>44750</v>
      </c>
      <c r="D1337" s="11">
        <f>IFERROR(__xludf.DUMMYFUNCTION("""COMPUTED_VALUE"""),44750.0)</f>
        <v>44750</v>
      </c>
      <c r="E1337" s="12">
        <f>IFERROR(__xludf.DUMMYFUNCTION("""COMPUTED_VALUE"""),0.2780208333315386)</f>
        <v>0.2780208333</v>
      </c>
      <c r="F1337" s="6" t="str">
        <f>IFERROR(__xludf.DUMMYFUNCTION("""COMPUTED_VALUE"""),"Negative")</f>
        <v>Negative</v>
      </c>
      <c r="G1337" s="6">
        <f>IFERROR(__xludf.DUMMYFUNCTION("""COMPUTED_VALUE"""),1.0)</f>
        <v>1</v>
      </c>
    </row>
    <row r="1338">
      <c r="A1338" s="6" t="str">
        <f>IFERROR(__xludf.DUMMYFUNCTION("""COMPUTED_VALUE"""),"FM2407")</f>
        <v>FM2407</v>
      </c>
      <c r="B1338" s="6" t="str">
        <f>IFERROR(__xludf.DUMMYFUNCTION("""COMPUTED_VALUE"""),"RUN-COMB_2022-07-08_RFR-074")</f>
        <v>RUN-COMB_2022-07-08_RFR-074</v>
      </c>
      <c r="C1338" s="7">
        <f>VLOOKUP(B1338,'Run Reconcile'!A$2:B3090,2,FALSE)</f>
        <v>44750</v>
      </c>
      <c r="D1338" s="11">
        <f>IFERROR(__xludf.DUMMYFUNCTION("""COMPUTED_VALUE"""),44750.0)</f>
        <v>44750</v>
      </c>
      <c r="E1338" s="12">
        <f>IFERROR(__xludf.DUMMYFUNCTION("""COMPUTED_VALUE"""),0.27832175925868796)</f>
        <v>0.2783217593</v>
      </c>
      <c r="F1338" s="6" t="str">
        <f>IFERROR(__xludf.DUMMYFUNCTION("""COMPUTED_VALUE"""),"Negative")</f>
        <v>Negative</v>
      </c>
      <c r="G1338" s="6">
        <f>IFERROR(__xludf.DUMMYFUNCTION("""COMPUTED_VALUE"""),1.0)</f>
        <v>1</v>
      </c>
    </row>
    <row r="1339">
      <c r="A1339" s="6" t="str">
        <f>IFERROR(__xludf.DUMMYFUNCTION("""COMPUTED_VALUE"""),"FM2547")</f>
        <v>FM2547</v>
      </c>
      <c r="B1339" s="6" t="str">
        <f>IFERROR(__xludf.DUMMYFUNCTION("""COMPUTED_VALUE"""),"RUN-COMB_2022-07-11_RFR-075")</f>
        <v>RUN-COMB_2022-07-11_RFR-075</v>
      </c>
      <c r="C1339" s="7">
        <f>VLOOKUP(B1339,'Run Reconcile'!A$2:B3090,2,FALSE)</f>
        <v>44753</v>
      </c>
      <c r="D1339" s="11">
        <f>IFERROR(__xludf.DUMMYFUNCTION("""COMPUTED_VALUE"""),44753.0)</f>
        <v>44753</v>
      </c>
      <c r="E1339" s="12">
        <f>IFERROR(__xludf.DUMMYFUNCTION("""COMPUTED_VALUE"""),0.6986921296302171)</f>
        <v>0.6986921296</v>
      </c>
      <c r="F1339" s="6" t="str">
        <f>IFERROR(__xludf.DUMMYFUNCTION("""COMPUTED_VALUE"""),"Negative")</f>
        <v>Negative</v>
      </c>
      <c r="G1339" s="6">
        <f>IFERROR(__xludf.DUMMYFUNCTION("""COMPUTED_VALUE"""),1.0)</f>
        <v>1</v>
      </c>
    </row>
    <row r="1340">
      <c r="A1340" s="6" t="str">
        <f>IFERROR(__xludf.DUMMYFUNCTION("""COMPUTED_VALUE"""),"FM2581")</f>
        <v>FM2581</v>
      </c>
      <c r="B1340" s="6" t="str">
        <f>IFERROR(__xludf.DUMMYFUNCTION("""COMPUTED_VALUE"""),"RUN-COMB_2022-07-11_RFR-075")</f>
        <v>RUN-COMB_2022-07-11_RFR-075</v>
      </c>
      <c r="C1340" s="7">
        <f>VLOOKUP(B1340,'Run Reconcile'!A$2:B3090,2,FALSE)</f>
        <v>44753</v>
      </c>
      <c r="D1340" s="11">
        <f>IFERROR(__xludf.DUMMYFUNCTION("""COMPUTED_VALUE"""),44753.0)</f>
        <v>44753</v>
      </c>
      <c r="E1340" s="12">
        <f>IFERROR(__xludf.DUMMYFUNCTION("""COMPUTED_VALUE"""),0.6990624999998545)</f>
        <v>0.6990625</v>
      </c>
      <c r="F1340" s="6" t="str">
        <f>IFERROR(__xludf.DUMMYFUNCTION("""COMPUTED_VALUE"""),"Negative")</f>
        <v>Negative</v>
      </c>
      <c r="G1340" s="6">
        <f>IFERROR(__xludf.DUMMYFUNCTION("""COMPUTED_VALUE"""),1.0)</f>
        <v>1</v>
      </c>
    </row>
    <row r="1341">
      <c r="A1341" s="6" t="str">
        <f>IFERROR(__xludf.DUMMYFUNCTION("""COMPUTED_VALUE"""),"FM2436")</f>
        <v>FM2436</v>
      </c>
      <c r="B1341" s="6" t="str">
        <f>IFERROR(__xludf.DUMMYFUNCTION("""COMPUTED_VALUE"""),"RUN-COMB_2022-07-11_RFR-075")</f>
        <v>RUN-COMB_2022-07-11_RFR-075</v>
      </c>
      <c r="C1341" s="7">
        <f>VLOOKUP(B1341,'Run Reconcile'!A$2:B3090,2,FALSE)</f>
        <v>44753</v>
      </c>
      <c r="D1341" s="11">
        <f>IFERROR(__xludf.DUMMYFUNCTION("""COMPUTED_VALUE"""),44753.0)</f>
        <v>44753</v>
      </c>
      <c r="E1341" s="12">
        <f>IFERROR(__xludf.DUMMYFUNCTION("""COMPUTED_VALUE"""),0.6996875000004366)</f>
        <v>0.6996875</v>
      </c>
      <c r="F1341" s="6" t="str">
        <f>IFERROR(__xludf.DUMMYFUNCTION("""COMPUTED_VALUE"""),"Negative")</f>
        <v>Negative</v>
      </c>
      <c r="G1341" s="6">
        <f>IFERROR(__xludf.DUMMYFUNCTION("""COMPUTED_VALUE"""),1.0)</f>
        <v>1</v>
      </c>
    </row>
    <row r="1342">
      <c r="A1342" s="6" t="str">
        <f>IFERROR(__xludf.DUMMYFUNCTION("""COMPUTED_VALUE"""),"FM2576")</f>
        <v>FM2576</v>
      </c>
      <c r="B1342" s="6" t="str">
        <f>IFERROR(__xludf.DUMMYFUNCTION("""COMPUTED_VALUE"""),"RUN-COMB_2022-07-11_RFR-075")</f>
        <v>RUN-COMB_2022-07-11_RFR-075</v>
      </c>
      <c r="C1342" s="7">
        <f>VLOOKUP(B1342,'Run Reconcile'!A$2:B3090,2,FALSE)</f>
        <v>44753</v>
      </c>
      <c r="D1342" s="11">
        <f>IFERROR(__xludf.DUMMYFUNCTION("""COMPUTED_VALUE"""),44753.0)</f>
        <v>44753</v>
      </c>
      <c r="E1342" s="12">
        <f>IFERROR(__xludf.DUMMYFUNCTION("""COMPUTED_VALUE"""),0.703368055554165)</f>
        <v>0.7033680556</v>
      </c>
      <c r="F1342" s="6" t="str">
        <f>IFERROR(__xludf.DUMMYFUNCTION("""COMPUTED_VALUE"""),"Negative")</f>
        <v>Negative</v>
      </c>
      <c r="G1342" s="6">
        <f>IFERROR(__xludf.DUMMYFUNCTION("""COMPUTED_VALUE"""),1.0)</f>
        <v>1</v>
      </c>
    </row>
    <row r="1343">
      <c r="A1343" s="6" t="str">
        <f>IFERROR(__xludf.DUMMYFUNCTION("""COMPUTED_VALUE"""),"FM2553")</f>
        <v>FM2553</v>
      </c>
      <c r="B1343" s="6" t="str">
        <f>IFERROR(__xludf.DUMMYFUNCTION("""COMPUTED_VALUE"""),"RUN-COMB_2022-07-11_RFR-075")</f>
        <v>RUN-COMB_2022-07-11_RFR-075</v>
      </c>
      <c r="C1343" s="7">
        <f>VLOOKUP(B1343,'Run Reconcile'!A$2:B3090,2,FALSE)</f>
        <v>44753</v>
      </c>
      <c r="D1343" s="11">
        <f>IFERROR(__xludf.DUMMYFUNCTION("""COMPUTED_VALUE"""),44753.0)</f>
        <v>44753</v>
      </c>
      <c r="E1343" s="12">
        <f>IFERROR(__xludf.DUMMYFUNCTION("""COMPUTED_VALUE"""),0.7037268518506608)</f>
        <v>0.7037268519</v>
      </c>
      <c r="F1343" s="6" t="str">
        <f>IFERROR(__xludf.DUMMYFUNCTION("""COMPUTED_VALUE"""),"Negative")</f>
        <v>Negative</v>
      </c>
      <c r="G1343" s="6">
        <f>IFERROR(__xludf.DUMMYFUNCTION("""COMPUTED_VALUE"""),1.0)</f>
        <v>1</v>
      </c>
    </row>
    <row r="1344">
      <c r="A1344" s="6" t="str">
        <f>IFERROR(__xludf.DUMMYFUNCTION("""COMPUTED_VALUE"""),"FM2533")</f>
        <v>FM2533</v>
      </c>
      <c r="B1344" s="6" t="str">
        <f>IFERROR(__xludf.DUMMYFUNCTION("""COMPUTED_VALUE"""),"RUN-COMB_2022-07-11_RFR-075")</f>
        <v>RUN-COMB_2022-07-11_RFR-075</v>
      </c>
      <c r="C1344" s="7">
        <f>VLOOKUP(B1344,'Run Reconcile'!A$2:B3090,2,FALSE)</f>
        <v>44753</v>
      </c>
      <c r="D1344" s="11">
        <f>IFERROR(__xludf.DUMMYFUNCTION("""COMPUTED_VALUE"""),44753.0)</f>
        <v>44753</v>
      </c>
      <c r="E1344" s="12">
        <f>IFERROR(__xludf.DUMMYFUNCTION("""COMPUTED_VALUE"""),0.7040162037046684)</f>
        <v>0.7040162037</v>
      </c>
      <c r="F1344" s="6" t="str">
        <f>IFERROR(__xludf.DUMMYFUNCTION("""COMPUTED_VALUE"""),"Negative")</f>
        <v>Negative</v>
      </c>
      <c r="G1344" s="6">
        <f>IFERROR(__xludf.DUMMYFUNCTION("""COMPUTED_VALUE"""),1.0)</f>
        <v>1</v>
      </c>
    </row>
    <row r="1345">
      <c r="A1345" s="6" t="str">
        <f>IFERROR(__xludf.DUMMYFUNCTION("""COMPUTED_VALUE"""),"FM2580")</f>
        <v>FM2580</v>
      </c>
      <c r="B1345" s="6" t="str">
        <f>IFERROR(__xludf.DUMMYFUNCTION("""COMPUTED_VALUE"""),"RUN-COMB_2022-07-11_RFR-075")</f>
        <v>RUN-COMB_2022-07-11_RFR-075</v>
      </c>
      <c r="C1345" s="7">
        <f>VLOOKUP(B1345,'Run Reconcile'!A$2:B3090,2,FALSE)</f>
        <v>44753</v>
      </c>
      <c r="D1345" s="11">
        <f>IFERROR(__xludf.DUMMYFUNCTION("""COMPUTED_VALUE"""),44753.0)</f>
        <v>44753</v>
      </c>
      <c r="E1345" s="12">
        <f>IFERROR(__xludf.DUMMYFUNCTION("""COMPUTED_VALUE"""),0.7044560185167938)</f>
        <v>0.7044560185</v>
      </c>
      <c r="F1345" s="6" t="str">
        <f>IFERROR(__xludf.DUMMYFUNCTION("""COMPUTED_VALUE"""),"Negative")</f>
        <v>Negative</v>
      </c>
      <c r="G1345" s="6">
        <f>IFERROR(__xludf.DUMMYFUNCTION("""COMPUTED_VALUE"""),1.0)</f>
        <v>1</v>
      </c>
    </row>
    <row r="1346">
      <c r="A1346" s="6" t="str">
        <f>IFERROR(__xludf.DUMMYFUNCTION("""COMPUTED_VALUE"""),"FM2404")</f>
        <v>FM2404</v>
      </c>
      <c r="B1346" s="6" t="str">
        <f>IFERROR(__xludf.DUMMYFUNCTION("""COMPUTED_VALUE"""),"RUN-COMB_2022-07-11_RFR-075")</f>
        <v>RUN-COMB_2022-07-11_RFR-075</v>
      </c>
      <c r="C1346" s="7">
        <f>VLOOKUP(B1346,'Run Reconcile'!A$2:B3090,2,FALSE)</f>
        <v>44753</v>
      </c>
      <c r="D1346" s="11">
        <f>IFERROR(__xludf.DUMMYFUNCTION("""COMPUTED_VALUE"""),44753.0)</f>
        <v>44753</v>
      </c>
      <c r="E1346" s="12">
        <f>IFERROR(__xludf.DUMMYFUNCTION("""COMPUTED_VALUE"""),0.7048148148132896)</f>
        <v>0.7048148148</v>
      </c>
      <c r="F1346" s="6" t="str">
        <f>IFERROR(__xludf.DUMMYFUNCTION("""COMPUTED_VALUE"""),"Negative")</f>
        <v>Negative</v>
      </c>
      <c r="G1346" s="6">
        <f>IFERROR(__xludf.DUMMYFUNCTION("""COMPUTED_VALUE"""),1.0)</f>
        <v>1</v>
      </c>
    </row>
    <row r="1347">
      <c r="A1347" s="6" t="str">
        <f>IFERROR(__xludf.DUMMYFUNCTION("""COMPUTED_VALUE"""),"FM2561")</f>
        <v>FM2561</v>
      </c>
      <c r="B1347" s="6" t="str">
        <f>IFERROR(__xludf.DUMMYFUNCTION("""COMPUTED_VALUE"""),"RUN-COMB_2022-07-11_RFR-075")</f>
        <v>RUN-COMB_2022-07-11_RFR-075</v>
      </c>
      <c r="C1347" s="7">
        <f>VLOOKUP(B1347,'Run Reconcile'!A$2:B3090,2,FALSE)</f>
        <v>44753</v>
      </c>
      <c r="D1347" s="11">
        <f>IFERROR(__xludf.DUMMYFUNCTION("""COMPUTED_VALUE"""),44753.0)</f>
        <v>44753</v>
      </c>
      <c r="E1347" s="12">
        <f>IFERROR(__xludf.DUMMYFUNCTION("""COMPUTED_VALUE"""),0.7052083333328483)</f>
        <v>0.7052083333</v>
      </c>
      <c r="F1347" s="6" t="str">
        <f>IFERROR(__xludf.DUMMYFUNCTION("""COMPUTED_VALUE"""),"Negative")</f>
        <v>Negative</v>
      </c>
      <c r="G1347" s="6">
        <f>IFERROR(__xludf.DUMMYFUNCTION("""COMPUTED_VALUE"""),1.0)</f>
        <v>1</v>
      </c>
    </row>
    <row r="1348">
      <c r="A1348" s="6" t="str">
        <f>IFERROR(__xludf.DUMMYFUNCTION("""COMPUTED_VALUE"""),"FM2536")</f>
        <v>FM2536</v>
      </c>
      <c r="B1348" s="6" t="str">
        <f>IFERROR(__xludf.DUMMYFUNCTION("""COMPUTED_VALUE"""),"RUN-COMB_2022-07-11_RFR-075")</f>
        <v>RUN-COMB_2022-07-11_RFR-075</v>
      </c>
      <c r="C1348" s="7">
        <f>VLOOKUP(B1348,'Run Reconcile'!A$2:B3090,2,FALSE)</f>
        <v>44753</v>
      </c>
      <c r="D1348" s="11">
        <f>IFERROR(__xludf.DUMMYFUNCTION("""COMPUTED_VALUE"""),44753.0)</f>
        <v>44753</v>
      </c>
      <c r="E1348" s="12">
        <f>IFERROR(__xludf.DUMMYFUNCTION("""COMPUTED_VALUE"""),0.7062384259261307)</f>
        <v>0.7062384259</v>
      </c>
      <c r="F1348" s="6" t="str">
        <f>IFERROR(__xludf.DUMMYFUNCTION("""COMPUTED_VALUE"""),"Negative")</f>
        <v>Negative</v>
      </c>
      <c r="G1348" s="6">
        <f>IFERROR(__xludf.DUMMYFUNCTION("""COMPUTED_VALUE"""),1.0)</f>
        <v>1</v>
      </c>
    </row>
    <row r="1349">
      <c r="A1349" s="6" t="str">
        <f>IFERROR(__xludf.DUMMYFUNCTION("""COMPUTED_VALUE"""),"FM2571")</f>
        <v>FM2571</v>
      </c>
      <c r="B1349" s="6" t="str">
        <f>IFERROR(__xludf.DUMMYFUNCTION("""COMPUTED_VALUE"""),"RUN-COMB_2022-07-11_RFR-075")</f>
        <v>RUN-COMB_2022-07-11_RFR-075</v>
      </c>
      <c r="C1349" s="7">
        <f>VLOOKUP(B1349,'Run Reconcile'!A$2:B3090,2,FALSE)</f>
        <v>44753</v>
      </c>
      <c r="D1349" s="11">
        <f>IFERROR(__xludf.DUMMYFUNCTION("""COMPUTED_VALUE"""),44753.0)</f>
        <v>44753</v>
      </c>
      <c r="E1349" s="12">
        <f>IFERROR(__xludf.DUMMYFUNCTION("""COMPUTED_VALUE"""),0.7066203703689098)</f>
        <v>0.7066203704</v>
      </c>
      <c r="F1349" s="6" t="str">
        <f>IFERROR(__xludf.DUMMYFUNCTION("""COMPUTED_VALUE"""),"Negative")</f>
        <v>Negative</v>
      </c>
      <c r="G1349" s="6">
        <f>IFERROR(__xludf.DUMMYFUNCTION("""COMPUTED_VALUE"""),1.0)</f>
        <v>1</v>
      </c>
    </row>
    <row r="1350">
      <c r="A1350" s="6" t="str">
        <f>IFERROR(__xludf.DUMMYFUNCTION("""COMPUTED_VALUE"""),"FM2633")</f>
        <v>FM2633</v>
      </c>
      <c r="B1350" s="6" t="str">
        <f>IFERROR(__xludf.DUMMYFUNCTION("""COMPUTED_VALUE"""),"RUN-COMB_2022-07-11_RFR-075")</f>
        <v>RUN-COMB_2022-07-11_RFR-075</v>
      </c>
      <c r="C1350" s="7">
        <f>VLOOKUP(B1350,'Run Reconcile'!A$2:B3090,2,FALSE)</f>
        <v>44753</v>
      </c>
      <c r="D1350" s="11">
        <f>IFERROR(__xludf.DUMMYFUNCTION("""COMPUTED_VALUE"""),44753.0)</f>
        <v>44753</v>
      </c>
      <c r="E1350" s="12">
        <f>IFERROR(__xludf.DUMMYFUNCTION("""COMPUTED_VALUE"""),0.7069560185191222)</f>
        <v>0.7069560185</v>
      </c>
      <c r="F1350" s="6" t="str">
        <f>IFERROR(__xludf.DUMMYFUNCTION("""COMPUTED_VALUE"""),"Negative")</f>
        <v>Negative</v>
      </c>
      <c r="G1350" s="6">
        <f>IFERROR(__xludf.DUMMYFUNCTION("""COMPUTED_VALUE"""),1.0)</f>
        <v>1</v>
      </c>
    </row>
    <row r="1351">
      <c r="A1351" s="6" t="str">
        <f>IFERROR(__xludf.DUMMYFUNCTION("""COMPUTED_VALUE"""),"FM2424")</f>
        <v>FM2424</v>
      </c>
      <c r="B1351" s="6" t="str">
        <f>IFERROR(__xludf.DUMMYFUNCTION("""COMPUTED_VALUE"""),"RUN-COMB_2022-07-11_RFR-075")</f>
        <v>RUN-COMB_2022-07-11_RFR-075</v>
      </c>
      <c r="C1351" s="7">
        <f>VLOOKUP(B1351,'Run Reconcile'!A$2:B3090,2,FALSE)</f>
        <v>44753</v>
      </c>
      <c r="D1351" s="11">
        <f>IFERROR(__xludf.DUMMYFUNCTION("""COMPUTED_VALUE"""),44753.0)</f>
        <v>44753</v>
      </c>
      <c r="E1351" s="12">
        <f>IFERROR(__xludf.DUMMYFUNCTION("""COMPUTED_VALUE"""),0.7076504629621923)</f>
        <v>0.707650463</v>
      </c>
      <c r="F1351" s="6" t="str">
        <f>IFERROR(__xludf.DUMMYFUNCTION("""COMPUTED_VALUE"""),"Negative")</f>
        <v>Negative</v>
      </c>
      <c r="G1351" s="6">
        <f>IFERROR(__xludf.DUMMYFUNCTION("""COMPUTED_VALUE"""),1.0)</f>
        <v>1</v>
      </c>
    </row>
    <row r="1352">
      <c r="A1352" s="6" t="str">
        <f>IFERROR(__xludf.DUMMYFUNCTION("""COMPUTED_VALUE"""),"FM2539")</f>
        <v>FM2539</v>
      </c>
      <c r="B1352" s="6" t="str">
        <f>IFERROR(__xludf.DUMMYFUNCTION("""COMPUTED_VALUE"""),"RUN-COMB_2022-07-11_RFR-075")</f>
        <v>RUN-COMB_2022-07-11_RFR-075</v>
      </c>
      <c r="C1352" s="7">
        <f>VLOOKUP(B1352,'Run Reconcile'!A$2:B3090,2,FALSE)</f>
        <v>44753</v>
      </c>
      <c r="D1352" s="11">
        <f>IFERROR(__xludf.DUMMYFUNCTION("""COMPUTED_VALUE"""),44753.0)</f>
        <v>44753</v>
      </c>
      <c r="E1352" s="12">
        <f>IFERROR(__xludf.DUMMYFUNCTION("""COMPUTED_VALUE"""),0.708043981481751)</f>
        <v>0.7080439815</v>
      </c>
      <c r="F1352" s="6" t="str">
        <f>IFERROR(__xludf.DUMMYFUNCTION("""COMPUTED_VALUE"""),"Negative")</f>
        <v>Negative</v>
      </c>
      <c r="G1352" s="6">
        <f>IFERROR(__xludf.DUMMYFUNCTION("""COMPUTED_VALUE"""),1.0)</f>
        <v>1</v>
      </c>
    </row>
    <row r="1353">
      <c r="A1353" s="6" t="str">
        <f>IFERROR(__xludf.DUMMYFUNCTION("""COMPUTED_VALUE"""),"FM2452")</f>
        <v>FM2452</v>
      </c>
      <c r="B1353" s="6" t="str">
        <f>IFERROR(__xludf.DUMMYFUNCTION("""COMPUTED_VALUE"""),"RUN-COMB_2022-07-11_RFR-075")</f>
        <v>RUN-COMB_2022-07-11_RFR-075</v>
      </c>
      <c r="C1353" s="7">
        <f>VLOOKUP(B1353,'Run Reconcile'!A$2:B3090,2,FALSE)</f>
        <v>44753</v>
      </c>
      <c r="D1353" s="11">
        <f>IFERROR(__xludf.DUMMYFUNCTION("""COMPUTED_VALUE"""),44753.0)</f>
        <v>44753</v>
      </c>
      <c r="E1353" s="12">
        <f>IFERROR(__xludf.DUMMYFUNCTION("""COMPUTED_VALUE"""),0.7086458333324117)</f>
        <v>0.7086458333</v>
      </c>
      <c r="F1353" s="6" t="str">
        <f>IFERROR(__xludf.DUMMYFUNCTION("""COMPUTED_VALUE"""),"Negative")</f>
        <v>Negative</v>
      </c>
      <c r="G1353" s="6">
        <f>IFERROR(__xludf.DUMMYFUNCTION("""COMPUTED_VALUE"""),1.0)</f>
        <v>1</v>
      </c>
    </row>
    <row r="1354">
      <c r="A1354" s="6" t="str">
        <f>IFERROR(__xludf.DUMMYFUNCTION("""COMPUTED_VALUE"""),"FM2440")</f>
        <v>FM2440</v>
      </c>
      <c r="B1354" s="6" t="str">
        <f>IFERROR(__xludf.DUMMYFUNCTION("""COMPUTED_VALUE"""),"RUN-COMB_2022-07-11_RFR-075")</f>
        <v>RUN-COMB_2022-07-11_RFR-075</v>
      </c>
      <c r="C1354" s="7">
        <f>VLOOKUP(B1354,'Run Reconcile'!A$2:B3090,2,FALSE)</f>
        <v>44753</v>
      </c>
      <c r="D1354" s="11">
        <f>IFERROR(__xludf.DUMMYFUNCTION("""COMPUTED_VALUE"""),44753.0)</f>
        <v>44753</v>
      </c>
      <c r="E1354" s="12">
        <f>IFERROR(__xludf.DUMMYFUNCTION("""COMPUTED_VALUE"""),0.7091782407405844)</f>
        <v>0.7091782407</v>
      </c>
      <c r="F1354" s="6" t="str">
        <f>IFERROR(__xludf.DUMMYFUNCTION("""COMPUTED_VALUE"""),"Negative")</f>
        <v>Negative</v>
      </c>
      <c r="G1354" s="6">
        <f>IFERROR(__xludf.DUMMYFUNCTION("""COMPUTED_VALUE"""),1.0)</f>
        <v>1</v>
      </c>
    </row>
    <row r="1355">
      <c r="A1355" s="6" t="str">
        <f>IFERROR(__xludf.DUMMYFUNCTION("""COMPUTED_VALUE"""),"FM2531")</f>
        <v>FM2531</v>
      </c>
      <c r="B1355" s="6" t="str">
        <f>IFERROR(__xludf.DUMMYFUNCTION("""COMPUTED_VALUE"""),"RUN-COMB_2022-07-11_RFR-075")</f>
        <v>RUN-COMB_2022-07-11_RFR-075</v>
      </c>
      <c r="C1355" s="7">
        <f>VLOOKUP(B1355,'Run Reconcile'!A$2:B3090,2,FALSE)</f>
        <v>44753</v>
      </c>
      <c r="D1355" s="11">
        <f>IFERROR(__xludf.DUMMYFUNCTION("""COMPUTED_VALUE"""),44753.0)</f>
        <v>44753</v>
      </c>
      <c r="E1355" s="12">
        <f>IFERROR(__xludf.DUMMYFUNCTION("""COMPUTED_VALUE"""),0.7095023148140172)</f>
        <v>0.7095023148</v>
      </c>
      <c r="F1355" s="6" t="str">
        <f>IFERROR(__xludf.DUMMYFUNCTION("""COMPUTED_VALUE"""),"Negative")</f>
        <v>Negative</v>
      </c>
      <c r="G1355" s="6">
        <f>IFERROR(__xludf.DUMMYFUNCTION("""COMPUTED_VALUE"""),1.0)</f>
        <v>1</v>
      </c>
    </row>
    <row r="1356">
      <c r="A1356" s="6" t="str">
        <f>IFERROR(__xludf.DUMMYFUNCTION("""COMPUTED_VALUE"""),"FM2408")</f>
        <v>FM2408</v>
      </c>
      <c r="B1356" s="6" t="str">
        <f>IFERROR(__xludf.DUMMYFUNCTION("""COMPUTED_VALUE"""),"RUN-COMB_2022-07-11_RFR-075")</f>
        <v>RUN-COMB_2022-07-11_RFR-075</v>
      </c>
      <c r="C1356" s="7">
        <f>VLOOKUP(B1356,'Run Reconcile'!A$2:B3090,2,FALSE)</f>
        <v>44753</v>
      </c>
      <c r="D1356" s="11">
        <f>IFERROR(__xludf.DUMMYFUNCTION("""COMPUTED_VALUE"""),44753.0)</f>
        <v>44753</v>
      </c>
      <c r="E1356" s="12">
        <f>IFERROR(__xludf.DUMMYFUNCTION("""COMPUTED_VALUE"""),0.7099768518528435)</f>
        <v>0.7099768519</v>
      </c>
      <c r="F1356" s="6" t="str">
        <f>IFERROR(__xludf.DUMMYFUNCTION("""COMPUTED_VALUE"""),"Negative")</f>
        <v>Negative</v>
      </c>
      <c r="G1356" s="6">
        <f>IFERROR(__xludf.DUMMYFUNCTION("""COMPUTED_VALUE"""),1.0)</f>
        <v>1</v>
      </c>
    </row>
    <row r="1357">
      <c r="A1357" s="6" t="str">
        <f>IFERROR(__xludf.DUMMYFUNCTION("""COMPUTED_VALUE"""),"FM2448")</f>
        <v>FM2448</v>
      </c>
      <c r="B1357" s="6" t="str">
        <f>IFERROR(__xludf.DUMMYFUNCTION("""COMPUTED_VALUE"""),"RUN-COMB_2022-07-11_RFR-075")</f>
        <v>RUN-COMB_2022-07-11_RFR-075</v>
      </c>
      <c r="C1357" s="7">
        <f>VLOOKUP(B1357,'Run Reconcile'!A$2:B3090,2,FALSE)</f>
        <v>44753</v>
      </c>
      <c r="D1357" s="11">
        <f>IFERROR(__xludf.DUMMYFUNCTION("""COMPUTED_VALUE"""),44753.0)</f>
        <v>44753</v>
      </c>
      <c r="E1357" s="12">
        <f>IFERROR(__xludf.DUMMYFUNCTION("""COMPUTED_VALUE"""),0.7195833333316841)</f>
        <v>0.7195833333</v>
      </c>
      <c r="F1357" s="6" t="str">
        <f>IFERROR(__xludf.DUMMYFUNCTION("""COMPUTED_VALUE"""),"Negative")</f>
        <v>Negative</v>
      </c>
      <c r="G1357" s="6">
        <f>IFERROR(__xludf.DUMMYFUNCTION("""COMPUTED_VALUE"""),1.0)</f>
        <v>1</v>
      </c>
    </row>
    <row r="1358">
      <c r="A1358" s="6" t="str">
        <f>IFERROR(__xludf.DUMMYFUNCTION("""COMPUTED_VALUE"""),"FM2621")</f>
        <v>FM2621</v>
      </c>
      <c r="B1358" s="6" t="str">
        <f>IFERROR(__xludf.DUMMYFUNCTION("""COMPUTED_VALUE"""),"RUN-COMB_2022-07-11_RFR-075")</f>
        <v>RUN-COMB_2022-07-11_RFR-075</v>
      </c>
      <c r="C1358" s="7">
        <f>VLOOKUP(B1358,'Run Reconcile'!A$2:B3090,2,FALSE)</f>
        <v>44753</v>
      </c>
      <c r="D1358" s="11">
        <f>IFERROR(__xludf.DUMMYFUNCTION("""COMPUTED_VALUE"""),44753.0)</f>
        <v>44753</v>
      </c>
      <c r="E1358" s="12">
        <f>IFERROR(__xludf.DUMMYFUNCTION("""COMPUTED_VALUE"""),0.7201388888897782)</f>
        <v>0.7201388889</v>
      </c>
      <c r="F1358" s="6" t="str">
        <f>IFERROR(__xludf.DUMMYFUNCTION("""COMPUTED_VALUE"""),"Negative")</f>
        <v>Negative</v>
      </c>
      <c r="G1358" s="6">
        <f>IFERROR(__xludf.DUMMYFUNCTION("""COMPUTED_VALUE"""),1.0)</f>
        <v>1</v>
      </c>
    </row>
    <row r="1359">
      <c r="A1359" s="6" t="str">
        <f>IFERROR(__xludf.DUMMYFUNCTION("""COMPUTED_VALUE"""),"FM2545")</f>
        <v>FM2545</v>
      </c>
      <c r="B1359" s="6" t="str">
        <f>IFERROR(__xludf.DUMMYFUNCTION("""COMPUTED_VALUE"""),"RUN-COMB_2022-07-11_RFR-075")</f>
        <v>RUN-COMB_2022-07-11_RFR-075</v>
      </c>
      <c r="C1359" s="7">
        <f>VLOOKUP(B1359,'Run Reconcile'!A$2:B3090,2,FALSE)</f>
        <v>44753</v>
      </c>
      <c r="D1359" s="11">
        <f>IFERROR(__xludf.DUMMYFUNCTION("""COMPUTED_VALUE"""),44753.0)</f>
        <v>44753</v>
      </c>
      <c r="E1359" s="12">
        <f>IFERROR(__xludf.DUMMYFUNCTION("""COMPUTED_VALUE"""),0.7208101851865649)</f>
        <v>0.7208101852</v>
      </c>
      <c r="F1359" s="6" t="str">
        <f>IFERROR(__xludf.DUMMYFUNCTION("""COMPUTED_VALUE"""),"Negative")</f>
        <v>Negative</v>
      </c>
      <c r="G1359" s="6">
        <f>IFERROR(__xludf.DUMMYFUNCTION("""COMPUTED_VALUE"""),1.0)</f>
        <v>1</v>
      </c>
    </row>
    <row r="1360">
      <c r="A1360" s="6" t="str">
        <f>IFERROR(__xludf.DUMMYFUNCTION("""COMPUTED_VALUE"""),"FM2419")</f>
        <v>FM2419</v>
      </c>
      <c r="B1360" s="6" t="str">
        <f>IFERROR(__xludf.DUMMYFUNCTION("""COMPUTED_VALUE"""),"RUN-COMB_2022-07-11_RFR-075")</f>
        <v>RUN-COMB_2022-07-11_RFR-075</v>
      </c>
      <c r="C1360" s="7">
        <f>VLOOKUP(B1360,'Run Reconcile'!A$2:B3090,2,FALSE)</f>
        <v>44753</v>
      </c>
      <c r="D1360" s="11">
        <f>IFERROR(__xludf.DUMMYFUNCTION("""COMPUTED_VALUE"""),44753.0)</f>
        <v>44753</v>
      </c>
      <c r="E1360" s="12">
        <f>IFERROR(__xludf.DUMMYFUNCTION("""COMPUTED_VALUE"""),0.7218171296299261)</f>
        <v>0.7218171296</v>
      </c>
      <c r="F1360" s="6" t="str">
        <f>IFERROR(__xludf.DUMMYFUNCTION("""COMPUTED_VALUE"""),"Negative")</f>
        <v>Negative</v>
      </c>
      <c r="G1360" s="6">
        <f>IFERROR(__xludf.DUMMYFUNCTION("""COMPUTED_VALUE"""),1.0)</f>
        <v>1</v>
      </c>
    </row>
    <row r="1361">
      <c r="A1361" s="6" t="str">
        <f>IFERROR(__xludf.DUMMYFUNCTION("""COMPUTED_VALUE"""),"FM2597")</f>
        <v>FM2597</v>
      </c>
      <c r="B1361" s="6" t="str">
        <f>IFERROR(__xludf.DUMMYFUNCTION("""COMPUTED_VALUE"""),"RUN-COMB_2022-07-11_RFR-075")</f>
        <v>RUN-COMB_2022-07-11_RFR-075</v>
      </c>
      <c r="C1361" s="7">
        <f>VLOOKUP(B1361,'Run Reconcile'!A$2:B3090,2,FALSE)</f>
        <v>44753</v>
      </c>
      <c r="D1361" s="11">
        <f>IFERROR(__xludf.DUMMYFUNCTION("""COMPUTED_VALUE"""),44753.0)</f>
        <v>44753</v>
      </c>
      <c r="E1361" s="12">
        <f>IFERROR(__xludf.DUMMYFUNCTION("""COMPUTED_VALUE"""),0.7223842592575238)</f>
        <v>0.7223842593</v>
      </c>
      <c r="F1361" s="6" t="str">
        <f>IFERROR(__xludf.DUMMYFUNCTION("""COMPUTED_VALUE"""),"Negative")</f>
        <v>Negative</v>
      </c>
      <c r="G1361" s="6">
        <f>IFERROR(__xludf.DUMMYFUNCTION("""COMPUTED_VALUE"""),1.0)</f>
        <v>1</v>
      </c>
    </row>
    <row r="1362">
      <c r="A1362" s="6" t="str">
        <f>IFERROR(__xludf.DUMMYFUNCTION("""COMPUTED_VALUE"""),"FM2575")</f>
        <v>FM2575</v>
      </c>
      <c r="B1362" s="6" t="str">
        <f>IFERROR(__xludf.DUMMYFUNCTION("""COMPUTED_VALUE"""),"RUN-COMB_2022-07-11_RFR-075")</f>
        <v>RUN-COMB_2022-07-11_RFR-075</v>
      </c>
      <c r="C1362" s="7">
        <f>VLOOKUP(B1362,'Run Reconcile'!A$2:B3090,2,FALSE)</f>
        <v>44753</v>
      </c>
      <c r="D1362" s="11">
        <f>IFERROR(__xludf.DUMMYFUNCTION("""COMPUTED_VALUE"""),44753.0)</f>
        <v>44753</v>
      </c>
      <c r="E1362" s="12">
        <f>IFERROR(__xludf.DUMMYFUNCTION("""COMPUTED_VALUE"""),0.723634259258688)</f>
        <v>0.7236342593</v>
      </c>
      <c r="F1362" s="6" t="str">
        <f>IFERROR(__xludf.DUMMYFUNCTION("""COMPUTED_VALUE"""),"Negative")</f>
        <v>Negative</v>
      </c>
      <c r="G1362" s="6">
        <f>IFERROR(__xludf.DUMMYFUNCTION("""COMPUTED_VALUE"""),1.0)</f>
        <v>1</v>
      </c>
    </row>
    <row r="1363">
      <c r="A1363" s="6" t="str">
        <f>IFERROR(__xludf.DUMMYFUNCTION("""COMPUTED_VALUE"""),"FM2544")</f>
        <v>FM2544</v>
      </c>
      <c r="B1363" s="6" t="str">
        <f>IFERROR(__xludf.DUMMYFUNCTION("""COMPUTED_VALUE"""),"RUN-COMB_2022-07-11_RFR-075")</f>
        <v>RUN-COMB_2022-07-11_RFR-075</v>
      </c>
      <c r="C1363" s="7">
        <f>VLOOKUP(B1363,'Run Reconcile'!A$2:B3090,2,FALSE)</f>
        <v>44753</v>
      </c>
      <c r="D1363" s="11">
        <f>IFERROR(__xludf.DUMMYFUNCTION("""COMPUTED_VALUE"""),44753.0)</f>
        <v>44753</v>
      </c>
      <c r="E1363" s="12">
        <f>IFERROR(__xludf.DUMMYFUNCTION("""COMPUTED_VALUE"""),0.7243402777785377)</f>
        <v>0.7243402778</v>
      </c>
      <c r="F1363" s="6" t="str">
        <f>IFERROR(__xludf.DUMMYFUNCTION("""COMPUTED_VALUE"""),"Negative")</f>
        <v>Negative</v>
      </c>
      <c r="G1363" s="6">
        <f>IFERROR(__xludf.DUMMYFUNCTION("""COMPUTED_VALUE"""),1.0)</f>
        <v>1</v>
      </c>
    </row>
    <row r="1364">
      <c r="A1364" s="6" t="str">
        <f>IFERROR(__xludf.DUMMYFUNCTION("""COMPUTED_VALUE"""),"FM2573")</f>
        <v>FM2573</v>
      </c>
      <c r="B1364" s="6" t="str">
        <f>IFERROR(__xludf.DUMMYFUNCTION("""COMPUTED_VALUE"""),"RUN-COMB_2022-07-11_RFR-075")</f>
        <v>RUN-COMB_2022-07-11_RFR-075</v>
      </c>
      <c r="C1364" s="7">
        <f>VLOOKUP(B1364,'Run Reconcile'!A$2:B3090,2,FALSE)</f>
        <v>44753</v>
      </c>
      <c r="D1364" s="11">
        <f>IFERROR(__xludf.DUMMYFUNCTION("""COMPUTED_VALUE"""),44753.0)</f>
        <v>44753</v>
      </c>
      <c r="E1364" s="12">
        <f>IFERROR(__xludf.DUMMYFUNCTION("""COMPUTED_VALUE"""),0.7248148148137261)</f>
        <v>0.7248148148</v>
      </c>
      <c r="F1364" s="6" t="str">
        <f>IFERROR(__xludf.DUMMYFUNCTION("""COMPUTED_VALUE"""),"Negative")</f>
        <v>Negative</v>
      </c>
      <c r="G1364" s="6">
        <f>IFERROR(__xludf.DUMMYFUNCTION("""COMPUTED_VALUE"""),1.0)</f>
        <v>1</v>
      </c>
    </row>
    <row r="1365">
      <c r="A1365" s="6" t="str">
        <f>IFERROR(__xludf.DUMMYFUNCTION("""COMPUTED_VALUE"""),"FM2550")</f>
        <v>FM2550</v>
      </c>
      <c r="B1365" s="6" t="str">
        <f>IFERROR(__xludf.DUMMYFUNCTION("""COMPUTED_VALUE"""),"RUN-COMB_2022-07-11_RFR-075")</f>
        <v>RUN-COMB_2022-07-11_RFR-075</v>
      </c>
      <c r="C1365" s="7">
        <f>VLOOKUP(B1365,'Run Reconcile'!A$2:B3090,2,FALSE)</f>
        <v>44753</v>
      </c>
      <c r="D1365" s="11">
        <f>IFERROR(__xludf.DUMMYFUNCTION("""COMPUTED_VALUE"""),44753.0)</f>
        <v>44753</v>
      </c>
      <c r="E1365" s="12">
        <f>IFERROR(__xludf.DUMMYFUNCTION("""COMPUTED_VALUE"""),0.7251388888871588)</f>
        <v>0.7251388889</v>
      </c>
      <c r="F1365" s="6" t="str">
        <f>IFERROR(__xludf.DUMMYFUNCTION("""COMPUTED_VALUE"""),"Negative")</f>
        <v>Negative</v>
      </c>
      <c r="G1365" s="6">
        <f>IFERROR(__xludf.DUMMYFUNCTION("""COMPUTED_VALUE"""),1.0)</f>
        <v>1</v>
      </c>
    </row>
    <row r="1366">
      <c r="A1366" s="6" t="str">
        <f>IFERROR(__xludf.DUMMYFUNCTION("""COMPUTED_VALUE"""),"FM2403")</f>
        <v>FM2403</v>
      </c>
      <c r="B1366" s="6" t="str">
        <f>IFERROR(__xludf.DUMMYFUNCTION("""COMPUTED_VALUE"""),"RUN-COMB_2022-07-12_RFR-076")</f>
        <v>RUN-COMB_2022-07-12_RFR-076</v>
      </c>
      <c r="C1366" s="7">
        <f>VLOOKUP(B1366,'Run Reconcile'!A$2:B3090,2,FALSE)</f>
        <v>44754</v>
      </c>
      <c r="D1366" s="11">
        <f>IFERROR(__xludf.DUMMYFUNCTION("""COMPUTED_VALUE"""),44754.0)</f>
        <v>44754</v>
      </c>
      <c r="E1366" s="12">
        <f>IFERROR(__xludf.DUMMYFUNCTION("""COMPUTED_VALUE"""),0.30226851851693937)</f>
        <v>0.3022685185</v>
      </c>
      <c r="F1366" s="6" t="str">
        <f>IFERROR(__xludf.DUMMYFUNCTION("""COMPUTED_VALUE"""),"Negative")</f>
        <v>Negative</v>
      </c>
      <c r="G1366" s="6">
        <f>IFERROR(__xludf.DUMMYFUNCTION("""COMPUTED_VALUE"""),1.0)</f>
        <v>1</v>
      </c>
    </row>
    <row r="1367">
      <c r="A1367" s="6" t="str">
        <f>IFERROR(__xludf.DUMMYFUNCTION("""COMPUTED_VALUE"""),"FM2594")</f>
        <v>FM2594</v>
      </c>
      <c r="B1367" s="6" t="str">
        <f>IFERROR(__xludf.DUMMYFUNCTION("""COMPUTED_VALUE"""),"RUN-COMB_2022-07-12_RFR-076")</f>
        <v>RUN-COMB_2022-07-12_RFR-076</v>
      </c>
      <c r="C1367" s="7">
        <f>VLOOKUP(B1367,'Run Reconcile'!A$2:B3090,2,FALSE)</f>
        <v>44754</v>
      </c>
      <c r="D1367" s="11">
        <f>IFERROR(__xludf.DUMMYFUNCTION("""COMPUTED_VALUE"""),44754.0)</f>
        <v>44754</v>
      </c>
      <c r="E1367" s="12">
        <f>IFERROR(__xludf.DUMMYFUNCTION("""COMPUTED_VALUE"""),0.30256944444408873)</f>
        <v>0.3025694444</v>
      </c>
      <c r="F1367" s="6" t="str">
        <f>IFERROR(__xludf.DUMMYFUNCTION("""COMPUTED_VALUE"""),"Negative")</f>
        <v>Negative</v>
      </c>
      <c r="G1367" s="6">
        <f>IFERROR(__xludf.DUMMYFUNCTION("""COMPUTED_VALUE"""),1.0)</f>
        <v>1</v>
      </c>
    </row>
    <row r="1368">
      <c r="A1368" s="6" t="str">
        <f>IFERROR(__xludf.DUMMYFUNCTION("""COMPUTED_VALUE"""),"FM2551")</f>
        <v>FM2551</v>
      </c>
      <c r="B1368" s="6" t="str">
        <f>IFERROR(__xludf.DUMMYFUNCTION("""COMPUTED_VALUE"""),"RUN-COMB_2022-07-12_RFR-076")</f>
        <v>RUN-COMB_2022-07-12_RFR-076</v>
      </c>
      <c r="C1368" s="7">
        <f>VLOOKUP(B1368,'Run Reconcile'!A$2:B3090,2,FALSE)</f>
        <v>44754</v>
      </c>
      <c r="D1368" s="11">
        <f>IFERROR(__xludf.DUMMYFUNCTION("""COMPUTED_VALUE"""),44754.0)</f>
        <v>44754</v>
      </c>
      <c r="E1368" s="12">
        <f>IFERROR(__xludf.DUMMYFUNCTION("""COMPUTED_VALUE"""),0.30288194444437977)</f>
        <v>0.3028819444</v>
      </c>
      <c r="F1368" s="6" t="str">
        <f>IFERROR(__xludf.DUMMYFUNCTION("""COMPUTED_VALUE"""),"Negative")</f>
        <v>Negative</v>
      </c>
      <c r="G1368" s="6">
        <f>IFERROR(__xludf.DUMMYFUNCTION("""COMPUTED_VALUE"""),1.0)</f>
        <v>1</v>
      </c>
    </row>
    <row r="1369">
      <c r="A1369" s="6" t="str">
        <f>IFERROR(__xludf.DUMMYFUNCTION("""COMPUTED_VALUE"""),"FM2568")</f>
        <v>FM2568</v>
      </c>
      <c r="B1369" s="6" t="str">
        <f>IFERROR(__xludf.DUMMYFUNCTION("""COMPUTED_VALUE"""),"RUN-COMB_2022-07-12_RFR-076")</f>
        <v>RUN-COMB_2022-07-12_RFR-076</v>
      </c>
      <c r="C1369" s="7">
        <f>VLOOKUP(B1369,'Run Reconcile'!A$2:B3090,2,FALSE)</f>
        <v>44754</v>
      </c>
      <c r="D1369" s="11">
        <f>IFERROR(__xludf.DUMMYFUNCTION("""COMPUTED_VALUE"""),44754.0)</f>
        <v>44754</v>
      </c>
      <c r="E1369" s="12">
        <f>IFERROR(__xludf.DUMMYFUNCTION("""COMPUTED_VALUE"""),0.3032291666677338)</f>
        <v>0.3032291667</v>
      </c>
      <c r="F1369" s="6" t="str">
        <f>IFERROR(__xludf.DUMMYFUNCTION("""COMPUTED_VALUE"""),"Negative")</f>
        <v>Negative</v>
      </c>
      <c r="G1369" s="6">
        <f>IFERROR(__xludf.DUMMYFUNCTION("""COMPUTED_VALUE"""),1.0)</f>
        <v>1</v>
      </c>
    </row>
    <row r="1370">
      <c r="A1370" s="6" t="str">
        <f>IFERROR(__xludf.DUMMYFUNCTION("""COMPUTED_VALUE"""),"FM2564")</f>
        <v>FM2564</v>
      </c>
      <c r="B1370" s="6" t="str">
        <f>IFERROR(__xludf.DUMMYFUNCTION("""COMPUTED_VALUE"""),"RUN-COMB_2022-07-12_RFR-076")</f>
        <v>RUN-COMB_2022-07-12_RFR-076</v>
      </c>
      <c r="C1370" s="7">
        <f>VLOOKUP(B1370,'Run Reconcile'!A$2:B3090,2,FALSE)</f>
        <v>44754</v>
      </c>
      <c r="D1370" s="11">
        <f>IFERROR(__xludf.DUMMYFUNCTION("""COMPUTED_VALUE"""),44754.0)</f>
        <v>44754</v>
      </c>
      <c r="E1370" s="12">
        <f>IFERROR(__xludf.DUMMYFUNCTION("""COMPUTED_VALUE"""),0.3034953703718202)</f>
        <v>0.3034953704</v>
      </c>
      <c r="F1370" s="6" t="str">
        <f>IFERROR(__xludf.DUMMYFUNCTION("""COMPUTED_VALUE"""),"Negative")</f>
        <v>Negative</v>
      </c>
      <c r="G1370" s="6">
        <f>IFERROR(__xludf.DUMMYFUNCTION("""COMPUTED_VALUE"""),1.0)</f>
        <v>1</v>
      </c>
    </row>
    <row r="1371">
      <c r="A1371" s="6" t="str">
        <f>IFERROR(__xludf.DUMMYFUNCTION("""COMPUTED_VALUE"""),"FM2577")</f>
        <v>FM2577</v>
      </c>
      <c r="B1371" s="6" t="str">
        <f>IFERROR(__xludf.DUMMYFUNCTION("""COMPUTED_VALUE"""),"RUN-COMB_2022-07-12_RFR-076")</f>
        <v>RUN-COMB_2022-07-12_RFR-076</v>
      </c>
      <c r="C1371" s="7">
        <f>VLOOKUP(B1371,'Run Reconcile'!A$2:B3090,2,FALSE)</f>
        <v>44754</v>
      </c>
      <c r="D1371" s="11">
        <f>IFERROR(__xludf.DUMMYFUNCTION("""COMPUTED_VALUE"""),44754.0)</f>
        <v>44754</v>
      </c>
      <c r="E1371" s="12">
        <f>IFERROR(__xludf.DUMMYFUNCTION("""COMPUTED_VALUE"""),0.3037731481490482)</f>
        <v>0.3037731481</v>
      </c>
      <c r="F1371" s="6" t="str">
        <f>IFERROR(__xludf.DUMMYFUNCTION("""COMPUTED_VALUE"""),"Negative")</f>
        <v>Negative</v>
      </c>
      <c r="G1371" s="6">
        <f>IFERROR(__xludf.DUMMYFUNCTION("""COMPUTED_VALUE"""),1.0)</f>
        <v>1</v>
      </c>
    </row>
    <row r="1372">
      <c r="A1372" s="6" t="str">
        <f>IFERROR(__xludf.DUMMYFUNCTION("""COMPUTED_VALUE"""),"FM2532")</f>
        <v>FM2532</v>
      </c>
      <c r="B1372" s="6" t="str">
        <f>IFERROR(__xludf.DUMMYFUNCTION("""COMPUTED_VALUE"""),"RUN-COMB_2022-07-12_RFR-076")</f>
        <v>RUN-COMB_2022-07-12_RFR-076</v>
      </c>
      <c r="C1372" s="7">
        <f>VLOOKUP(B1372,'Run Reconcile'!A$2:B3090,2,FALSE)</f>
        <v>44754</v>
      </c>
      <c r="D1372" s="11">
        <f>IFERROR(__xludf.DUMMYFUNCTION("""COMPUTED_VALUE"""),44754.0)</f>
        <v>44754</v>
      </c>
      <c r="E1372" s="12">
        <f>IFERROR(__xludf.DUMMYFUNCTION("""COMPUTED_VALUE"""),0.30412037036876427)</f>
        <v>0.3041203704</v>
      </c>
      <c r="F1372" s="6" t="str">
        <f>IFERROR(__xludf.DUMMYFUNCTION("""COMPUTED_VALUE"""),"Negative")</f>
        <v>Negative</v>
      </c>
      <c r="G1372" s="6">
        <f>IFERROR(__xludf.DUMMYFUNCTION("""COMPUTED_VALUE"""),1.0)</f>
        <v>1</v>
      </c>
    </row>
    <row r="1373">
      <c r="A1373" s="6" t="str">
        <f>IFERROR(__xludf.DUMMYFUNCTION("""COMPUTED_VALUE"""),"FM2601")</f>
        <v>FM2601</v>
      </c>
      <c r="B1373" s="6" t="str">
        <f>IFERROR(__xludf.DUMMYFUNCTION("""COMPUTED_VALUE"""),"RUN-COMB_2022-07-12_RFR-076")</f>
        <v>RUN-COMB_2022-07-12_RFR-076</v>
      </c>
      <c r="C1373" s="7">
        <f>VLOOKUP(B1373,'Run Reconcile'!A$2:B3090,2,FALSE)</f>
        <v>44754</v>
      </c>
      <c r="D1373" s="11">
        <f>IFERROR(__xludf.DUMMYFUNCTION("""COMPUTED_VALUE"""),44754.0)</f>
        <v>44754</v>
      </c>
      <c r="E1373" s="12">
        <f>IFERROR(__xludf.DUMMYFUNCTION("""COMPUTED_VALUE"""),0.30445601851897663)</f>
        <v>0.3044560185</v>
      </c>
      <c r="F1373" s="6" t="str">
        <f>IFERROR(__xludf.DUMMYFUNCTION("""COMPUTED_VALUE"""),"Negative")</f>
        <v>Negative</v>
      </c>
      <c r="G1373" s="6">
        <f>IFERROR(__xludf.DUMMYFUNCTION("""COMPUTED_VALUE"""),1.0)</f>
        <v>1</v>
      </c>
    </row>
    <row r="1374">
      <c r="A1374" s="6" t="str">
        <f>IFERROR(__xludf.DUMMYFUNCTION("""COMPUTED_VALUE"""),"FM2525")</f>
        <v>FM2525</v>
      </c>
      <c r="B1374" s="6" t="str">
        <f>IFERROR(__xludf.DUMMYFUNCTION("""COMPUTED_VALUE"""),"RUN-COMB_2022-07-12_RFR-076")</f>
        <v>RUN-COMB_2022-07-12_RFR-076</v>
      </c>
      <c r="C1374" s="7">
        <f>VLOOKUP(B1374,'Run Reconcile'!A$2:B3090,2,FALSE)</f>
        <v>44754</v>
      </c>
      <c r="D1374" s="11">
        <f>IFERROR(__xludf.DUMMYFUNCTION("""COMPUTED_VALUE"""),44754.0)</f>
        <v>44754</v>
      </c>
      <c r="E1374" s="12">
        <f>IFERROR(__xludf.DUMMYFUNCTION("""COMPUTED_VALUE"""),0.304756944446126)</f>
        <v>0.3047569444</v>
      </c>
      <c r="F1374" s="6" t="str">
        <f>IFERROR(__xludf.DUMMYFUNCTION("""COMPUTED_VALUE"""),"Negative")</f>
        <v>Negative</v>
      </c>
      <c r="G1374" s="6">
        <f>IFERROR(__xludf.DUMMYFUNCTION("""COMPUTED_VALUE"""),1.0)</f>
        <v>1</v>
      </c>
    </row>
    <row r="1375">
      <c r="A1375" s="6" t="str">
        <f>IFERROR(__xludf.DUMMYFUNCTION("""COMPUTED_VALUE"""),"FM2605")</f>
        <v>FM2605</v>
      </c>
      <c r="B1375" s="6" t="str">
        <f>IFERROR(__xludf.DUMMYFUNCTION("""COMPUTED_VALUE"""),"RUN-COMB_2022-07-12_RFR-076")</f>
        <v>RUN-COMB_2022-07-12_RFR-076</v>
      </c>
      <c r="C1375" s="7">
        <f>VLOOKUP(B1375,'Run Reconcile'!A$2:B3090,2,FALSE)</f>
        <v>44754</v>
      </c>
      <c r="D1375" s="11">
        <f>IFERROR(__xludf.DUMMYFUNCTION("""COMPUTED_VALUE"""),44754.0)</f>
        <v>44754</v>
      </c>
      <c r="E1375" s="12">
        <f>IFERROR(__xludf.DUMMYFUNCTION("""COMPUTED_VALUE"""),0.30506944444277906)</f>
        <v>0.3050694444</v>
      </c>
      <c r="F1375" s="6" t="str">
        <f>IFERROR(__xludf.DUMMYFUNCTION("""COMPUTED_VALUE"""),"Negative")</f>
        <v>Negative</v>
      </c>
      <c r="G1375" s="6">
        <f>IFERROR(__xludf.DUMMYFUNCTION("""COMPUTED_VALUE"""),1.0)</f>
        <v>1</v>
      </c>
    </row>
    <row r="1376">
      <c r="A1376" s="6" t="str">
        <f>IFERROR(__xludf.DUMMYFUNCTION("""COMPUTED_VALUE"""),"FM2570")</f>
        <v>FM2570</v>
      </c>
      <c r="B1376" s="6" t="str">
        <f>IFERROR(__xludf.DUMMYFUNCTION("""COMPUTED_VALUE"""),"RUN-COMB_2022-07-12_RFR-076")</f>
        <v>RUN-COMB_2022-07-12_RFR-076</v>
      </c>
      <c r="C1376" s="7">
        <f>VLOOKUP(B1376,'Run Reconcile'!A$2:B3090,2,FALSE)</f>
        <v>44754</v>
      </c>
      <c r="D1376" s="11">
        <f>IFERROR(__xludf.DUMMYFUNCTION("""COMPUTED_VALUE"""),44754.0)</f>
        <v>44754</v>
      </c>
      <c r="E1376" s="12">
        <f>IFERROR(__xludf.DUMMYFUNCTION("""COMPUTED_VALUE"""),0.30539351851984975)</f>
        <v>0.3053935185</v>
      </c>
      <c r="F1376" s="6" t="str">
        <f>IFERROR(__xludf.DUMMYFUNCTION("""COMPUTED_VALUE"""),"Negative")</f>
        <v>Negative</v>
      </c>
      <c r="G1376" s="6">
        <f>IFERROR(__xludf.DUMMYFUNCTION("""COMPUTED_VALUE"""),1.0)</f>
        <v>1</v>
      </c>
    </row>
    <row r="1377">
      <c r="A1377" s="6" t="str">
        <f>IFERROR(__xludf.DUMMYFUNCTION("""COMPUTED_VALUE"""),"FM2541")</f>
        <v>FM2541</v>
      </c>
      <c r="B1377" s="6" t="str">
        <f>IFERROR(__xludf.DUMMYFUNCTION("""COMPUTED_VALUE"""),"RUN-COMB_2022-07-12_RFR-076")</f>
        <v>RUN-COMB_2022-07-12_RFR-076</v>
      </c>
      <c r="C1377" s="7">
        <f>VLOOKUP(B1377,'Run Reconcile'!A$2:B3090,2,FALSE)</f>
        <v>44754</v>
      </c>
      <c r="D1377" s="11">
        <f>IFERROR(__xludf.DUMMYFUNCTION("""COMPUTED_VALUE"""),44754.0)</f>
        <v>44754</v>
      </c>
      <c r="E1377" s="12">
        <f>IFERROR(__xludf.DUMMYFUNCTION("""COMPUTED_VALUE"""),0.30571759259328246)</f>
        <v>0.3057175926</v>
      </c>
      <c r="F1377" s="6" t="str">
        <f>IFERROR(__xludf.DUMMYFUNCTION("""COMPUTED_VALUE"""),"Negative")</f>
        <v>Negative</v>
      </c>
      <c r="G1377" s="6">
        <f>IFERROR(__xludf.DUMMYFUNCTION("""COMPUTED_VALUE"""),1.0)</f>
        <v>1</v>
      </c>
    </row>
    <row r="1378">
      <c r="A1378" s="6" t="str">
        <f>IFERROR(__xludf.DUMMYFUNCTION("""COMPUTED_VALUE"""),"FM2613")</f>
        <v>FM2613</v>
      </c>
      <c r="B1378" s="6" t="str">
        <f>IFERROR(__xludf.DUMMYFUNCTION("""COMPUTED_VALUE"""),"RUN-COMB_2022-07-12_RFR-076")</f>
        <v>RUN-COMB_2022-07-12_RFR-076</v>
      </c>
      <c r="C1378" s="7">
        <f>VLOOKUP(B1378,'Run Reconcile'!A$2:B3090,2,FALSE)</f>
        <v>44754</v>
      </c>
      <c r="D1378" s="11">
        <f>IFERROR(__xludf.DUMMYFUNCTION("""COMPUTED_VALUE"""),44754.0)</f>
        <v>44754</v>
      </c>
      <c r="E1378" s="12">
        <f>IFERROR(__xludf.DUMMYFUNCTION("""COMPUTED_VALUE"""),0.3059953703705105)</f>
        <v>0.3059953704</v>
      </c>
      <c r="F1378" s="6" t="str">
        <f>IFERROR(__xludf.DUMMYFUNCTION("""COMPUTED_VALUE"""),"Negative")</f>
        <v>Negative</v>
      </c>
      <c r="G1378" s="6">
        <f>IFERROR(__xludf.DUMMYFUNCTION("""COMPUTED_VALUE"""),1.0)</f>
        <v>1</v>
      </c>
    </row>
    <row r="1379">
      <c r="A1379" s="6" t="str">
        <f>IFERROR(__xludf.DUMMYFUNCTION("""COMPUTED_VALUE"""),"FM2586")</f>
        <v>FM2586</v>
      </c>
      <c r="B1379" s="6" t="str">
        <f>IFERROR(__xludf.DUMMYFUNCTION("""COMPUTED_VALUE"""),"RUN-COMB_2022-07-12_RFR-076")</f>
        <v>RUN-COMB_2022-07-12_RFR-076</v>
      </c>
      <c r="C1379" s="7">
        <f>VLOOKUP(B1379,'Run Reconcile'!A$2:B3090,2,FALSE)</f>
        <v>44754</v>
      </c>
      <c r="D1379" s="11">
        <f>IFERROR(__xludf.DUMMYFUNCTION("""COMPUTED_VALUE"""),44754.0)</f>
        <v>44754</v>
      </c>
      <c r="E1379" s="12">
        <f>IFERROR(__xludf.DUMMYFUNCTION("""COMPUTED_VALUE"""),0.3062847222208802)</f>
        <v>0.3062847222</v>
      </c>
      <c r="F1379" s="6" t="str">
        <f>IFERROR(__xludf.DUMMYFUNCTION("""COMPUTED_VALUE"""),"Negative")</f>
        <v>Negative</v>
      </c>
      <c r="G1379" s="6">
        <f>IFERROR(__xludf.DUMMYFUNCTION("""COMPUTED_VALUE"""),1.0)</f>
        <v>1</v>
      </c>
    </row>
    <row r="1380">
      <c r="A1380" s="6" t="str">
        <f>IFERROR(__xludf.DUMMYFUNCTION("""COMPUTED_VALUE"""),"FM2589")</f>
        <v>FM2589</v>
      </c>
      <c r="B1380" s="6" t="str">
        <f>IFERROR(__xludf.DUMMYFUNCTION("""COMPUTED_VALUE"""),"RUN-COMB_2022-07-12_RFR-076")</f>
        <v>RUN-COMB_2022-07-12_RFR-076</v>
      </c>
      <c r="C1380" s="7">
        <f>VLOOKUP(B1380,'Run Reconcile'!A$2:B3090,2,FALSE)</f>
        <v>44754</v>
      </c>
      <c r="D1380" s="11">
        <f>IFERROR(__xludf.DUMMYFUNCTION("""COMPUTED_VALUE"""),44754.0)</f>
        <v>44754</v>
      </c>
      <c r="E1380" s="12">
        <f>IFERROR(__xludf.DUMMYFUNCTION("""COMPUTED_VALUE"""),0.3066550925941556)</f>
        <v>0.3066550926</v>
      </c>
      <c r="F1380" s="6" t="str">
        <f>IFERROR(__xludf.DUMMYFUNCTION("""COMPUTED_VALUE"""),"Negative")</f>
        <v>Negative</v>
      </c>
      <c r="G1380" s="6">
        <f>IFERROR(__xludf.DUMMYFUNCTION("""COMPUTED_VALUE"""),1.0)</f>
        <v>1</v>
      </c>
    </row>
    <row r="1381">
      <c r="A1381" s="6" t="str">
        <f>IFERROR(__xludf.DUMMYFUNCTION("""COMPUTED_VALUE"""),"FM2416")</f>
        <v>FM2416</v>
      </c>
      <c r="B1381" s="6" t="str">
        <f>IFERROR(__xludf.DUMMYFUNCTION("""COMPUTED_VALUE"""),"RUN-COMB_2022-07-12_RFR-076")</f>
        <v>RUN-COMB_2022-07-12_RFR-076</v>
      </c>
      <c r="C1381" s="7">
        <f>VLOOKUP(B1381,'Run Reconcile'!A$2:B3090,2,FALSE)</f>
        <v>44754</v>
      </c>
      <c r="D1381" s="11">
        <f>IFERROR(__xludf.DUMMYFUNCTION("""COMPUTED_VALUE"""),44754.0)</f>
        <v>44754</v>
      </c>
      <c r="E1381" s="12">
        <f>IFERROR(__xludf.DUMMYFUNCTION("""COMPUTED_VALUE"""),0.30695601851766696)</f>
        <v>0.3069560185</v>
      </c>
      <c r="F1381" s="6" t="str">
        <f>IFERROR(__xludf.DUMMYFUNCTION("""COMPUTED_VALUE"""),"Negative")</f>
        <v>Negative</v>
      </c>
      <c r="G1381" s="6">
        <f>IFERROR(__xludf.DUMMYFUNCTION("""COMPUTED_VALUE"""),1.0)</f>
        <v>1</v>
      </c>
    </row>
    <row r="1382">
      <c r="A1382" s="6" t="str">
        <f>IFERROR(__xludf.DUMMYFUNCTION("""COMPUTED_VALUE"""),"FM2523")</f>
        <v>FM2523</v>
      </c>
      <c r="B1382" s="6" t="str">
        <f>IFERROR(__xludf.DUMMYFUNCTION("""COMPUTED_VALUE"""),"RUN-COMB_2022-07-12_RFR-076")</f>
        <v>RUN-COMB_2022-07-12_RFR-076</v>
      </c>
      <c r="C1382" s="7">
        <f>VLOOKUP(B1382,'Run Reconcile'!A$2:B3090,2,FALSE)</f>
        <v>44754</v>
      </c>
      <c r="D1382" s="11">
        <f>IFERROR(__xludf.DUMMYFUNCTION("""COMPUTED_VALUE"""),44754.0)</f>
        <v>44754</v>
      </c>
      <c r="E1382" s="12">
        <f>IFERROR(__xludf.DUMMYFUNCTION("""COMPUTED_VALUE"""),0.3072800925910997)</f>
        <v>0.3072800926</v>
      </c>
      <c r="F1382" s="6" t="str">
        <f>IFERROR(__xludf.DUMMYFUNCTION("""COMPUTED_VALUE"""),"Negative")</f>
        <v>Negative</v>
      </c>
      <c r="G1382" s="6">
        <f>IFERROR(__xludf.DUMMYFUNCTION("""COMPUTED_VALUE"""),1.0)</f>
        <v>1</v>
      </c>
    </row>
    <row r="1383">
      <c r="A1383" s="6" t="str">
        <f>IFERROR(__xludf.DUMMYFUNCTION("""COMPUTED_VALUE"""),"FM2542")</f>
        <v>FM2542</v>
      </c>
      <c r="B1383" s="6" t="str">
        <f>IFERROR(__xludf.DUMMYFUNCTION("""COMPUTED_VALUE"""),"RUN-COMB_2022-07-12_RFR-076")</f>
        <v>RUN-COMB_2022-07-12_RFR-076</v>
      </c>
      <c r="C1383" s="7">
        <f>VLOOKUP(B1383,'Run Reconcile'!A$2:B3090,2,FALSE)</f>
        <v>44754</v>
      </c>
      <c r="D1383" s="11">
        <f>IFERROR(__xludf.DUMMYFUNCTION("""COMPUTED_VALUE"""),44754.0)</f>
        <v>44754</v>
      </c>
      <c r="E1383" s="12">
        <f>IFERROR(__xludf.DUMMYFUNCTION("""COMPUTED_VALUE"""),0.30756944444510737)</f>
        <v>0.3075694444</v>
      </c>
      <c r="F1383" s="6" t="str">
        <f>IFERROR(__xludf.DUMMYFUNCTION("""COMPUTED_VALUE"""),"Negative")</f>
        <v>Negative</v>
      </c>
      <c r="G1383" s="6">
        <f>IFERROR(__xludf.DUMMYFUNCTION("""COMPUTED_VALUE"""),1.0)</f>
        <v>1</v>
      </c>
    </row>
    <row r="1384">
      <c r="A1384" s="6" t="str">
        <f>IFERROR(__xludf.DUMMYFUNCTION("""COMPUTED_VALUE"""),"FM2560")</f>
        <v>FM2560</v>
      </c>
      <c r="B1384" s="6" t="str">
        <f>IFERROR(__xludf.DUMMYFUNCTION("""COMPUTED_VALUE"""),"RUN-COMB_2022-07-12_RFR-076")</f>
        <v>RUN-COMB_2022-07-12_RFR-076</v>
      </c>
      <c r="C1384" s="7">
        <f>VLOOKUP(B1384,'Run Reconcile'!A$2:B3090,2,FALSE)</f>
        <v>44754</v>
      </c>
      <c r="D1384" s="11">
        <f>IFERROR(__xludf.DUMMYFUNCTION("""COMPUTED_VALUE"""),44754.0)</f>
        <v>44754</v>
      </c>
      <c r="E1384" s="12">
        <f>IFERROR(__xludf.DUMMYFUNCTION("""COMPUTED_VALUE"""),0.3078587962954771)</f>
        <v>0.3078587963</v>
      </c>
      <c r="F1384" s="6" t="str">
        <f>IFERROR(__xludf.DUMMYFUNCTION("""COMPUTED_VALUE"""),"Negative")</f>
        <v>Negative</v>
      </c>
      <c r="G1384" s="6">
        <f>IFERROR(__xludf.DUMMYFUNCTION("""COMPUTED_VALUE"""),1.0)</f>
        <v>1</v>
      </c>
    </row>
    <row r="1385">
      <c r="A1385" s="6" t="str">
        <f>IFERROR(__xludf.DUMMYFUNCTION("""COMPUTED_VALUE"""),"FM3689")</f>
        <v>FM3689</v>
      </c>
      <c r="B1385" s="6" t="str">
        <f>IFERROR(__xludf.DUMMYFUNCTION("""COMPUTED_VALUE"""),"RUN-COMB_2022-07-13_RFR-077")</f>
        <v>RUN-COMB_2022-07-13_RFR-077</v>
      </c>
      <c r="C1385" s="7">
        <f>VLOOKUP(B1385,'Run Reconcile'!A$2:B3090,2,FALSE)</f>
        <v>44755</v>
      </c>
      <c r="D1385" s="11">
        <f>IFERROR(__xludf.DUMMYFUNCTION("""COMPUTED_VALUE"""),44755.0)</f>
        <v>44755</v>
      </c>
      <c r="E1385" s="12">
        <f>IFERROR(__xludf.DUMMYFUNCTION("""COMPUTED_VALUE"""),0.29656249999970896)</f>
        <v>0.2965625</v>
      </c>
      <c r="F1385" s="6" t="str">
        <f>IFERROR(__xludf.DUMMYFUNCTION("""COMPUTED_VALUE"""),"Negative")</f>
        <v>Negative</v>
      </c>
      <c r="G1385" s="6">
        <f>IFERROR(__xludf.DUMMYFUNCTION("""COMPUTED_VALUE"""),1.0)</f>
        <v>1</v>
      </c>
    </row>
    <row r="1386">
      <c r="A1386" s="6" t="str">
        <f>IFERROR(__xludf.DUMMYFUNCTION("""COMPUTED_VALUE"""),"FM3827")</f>
        <v>FM3827</v>
      </c>
      <c r="B1386" s="6" t="str">
        <f>IFERROR(__xludf.DUMMYFUNCTION("""COMPUTED_VALUE"""),"RUN-COMB_2022-07-13_RFR-077")</f>
        <v>RUN-COMB_2022-07-13_RFR-077</v>
      </c>
      <c r="C1386" s="7">
        <f>VLOOKUP(B1386,'Run Reconcile'!A$2:B3090,2,FALSE)</f>
        <v>44755</v>
      </c>
      <c r="D1386" s="11">
        <f>IFERROR(__xludf.DUMMYFUNCTION("""COMPUTED_VALUE"""),44755.0)</f>
        <v>44755</v>
      </c>
      <c r="E1386" s="12">
        <f>IFERROR(__xludf.DUMMYFUNCTION("""COMPUTED_VALUE"""),0.29711805555416504)</f>
        <v>0.2971180556</v>
      </c>
      <c r="F1386" s="6" t="str">
        <f>IFERROR(__xludf.DUMMYFUNCTION("""COMPUTED_VALUE"""),"Negative")</f>
        <v>Negative</v>
      </c>
      <c r="G1386" s="6">
        <f>IFERROR(__xludf.DUMMYFUNCTION("""COMPUTED_VALUE"""),1.0)</f>
        <v>1</v>
      </c>
    </row>
    <row r="1387">
      <c r="A1387" s="6" t="str">
        <f>IFERROR(__xludf.DUMMYFUNCTION("""COMPUTED_VALUE"""),"FM3709")</f>
        <v>FM3709</v>
      </c>
      <c r="B1387" s="6" t="str">
        <f>IFERROR(__xludf.DUMMYFUNCTION("""COMPUTED_VALUE"""),"RUN-COMB_2022-07-13_RFR-077")</f>
        <v>RUN-COMB_2022-07-13_RFR-077</v>
      </c>
      <c r="C1387" s="7">
        <f>VLOOKUP(B1387,'Run Reconcile'!A$2:B3090,2,FALSE)</f>
        <v>44755</v>
      </c>
      <c r="D1387" s="11">
        <f>IFERROR(__xludf.DUMMYFUNCTION("""COMPUTED_VALUE"""),44755.0)</f>
        <v>44755</v>
      </c>
      <c r="E1387" s="12">
        <f>IFERROR(__xludf.DUMMYFUNCTION("""COMPUTED_VALUE"""),0.2974305555544561)</f>
        <v>0.2974305556</v>
      </c>
      <c r="F1387" s="6" t="str">
        <f>IFERROR(__xludf.DUMMYFUNCTION("""COMPUTED_VALUE"""),"Negative")</f>
        <v>Negative</v>
      </c>
      <c r="G1387" s="6">
        <f>IFERROR(__xludf.DUMMYFUNCTION("""COMPUTED_VALUE"""),1.0)</f>
        <v>1</v>
      </c>
    </row>
    <row r="1388">
      <c r="A1388" s="6" t="str">
        <f>IFERROR(__xludf.DUMMYFUNCTION("""COMPUTED_VALUE"""),"FM2555")</f>
        <v>FM2555</v>
      </c>
      <c r="B1388" s="6" t="str">
        <f>IFERROR(__xludf.DUMMYFUNCTION("""COMPUTED_VALUE"""),"RUN-COMB_2022-07-13_RFR-077")</f>
        <v>RUN-COMB_2022-07-13_RFR-077</v>
      </c>
      <c r="C1388" s="7">
        <f>VLOOKUP(B1388,'Run Reconcile'!A$2:B3090,2,FALSE)</f>
        <v>44755</v>
      </c>
      <c r="D1388" s="11">
        <f>IFERROR(__xludf.DUMMYFUNCTION("""COMPUTED_VALUE"""),44755.0)</f>
        <v>44755</v>
      </c>
      <c r="E1388" s="12">
        <f>IFERROR(__xludf.DUMMYFUNCTION("""COMPUTED_VALUE"""),0.2976736111122591)</f>
        <v>0.2976736111</v>
      </c>
      <c r="F1388" s="6" t="str">
        <f>IFERROR(__xludf.DUMMYFUNCTION("""COMPUTED_VALUE"""),"Negative")</f>
        <v>Negative</v>
      </c>
      <c r="G1388" s="6">
        <f>IFERROR(__xludf.DUMMYFUNCTION("""COMPUTED_VALUE"""),1.0)</f>
        <v>1</v>
      </c>
    </row>
    <row r="1389">
      <c r="A1389" s="6" t="str">
        <f>IFERROR(__xludf.DUMMYFUNCTION("""COMPUTED_VALUE"""),"FM3696")</f>
        <v>FM3696</v>
      </c>
      <c r="B1389" s="6" t="str">
        <f>IFERROR(__xludf.DUMMYFUNCTION("""COMPUTED_VALUE"""),"RUN-COMB_2022-07-13_RFR-077")</f>
        <v>RUN-COMB_2022-07-13_RFR-077</v>
      </c>
      <c r="C1389" s="7">
        <f>VLOOKUP(B1389,'Run Reconcile'!A$2:B3090,2,FALSE)</f>
        <v>44755</v>
      </c>
      <c r="D1389" s="11">
        <f>IFERROR(__xludf.DUMMYFUNCTION("""COMPUTED_VALUE"""),44755.0)</f>
        <v>44755</v>
      </c>
      <c r="E1389" s="12">
        <f>IFERROR(__xludf.DUMMYFUNCTION("""COMPUTED_VALUE"""),0.2979629629626288)</f>
        <v>0.297962963</v>
      </c>
      <c r="F1389" s="6" t="str">
        <f>IFERROR(__xludf.DUMMYFUNCTION("""COMPUTED_VALUE"""),"Negative")</f>
        <v>Negative</v>
      </c>
      <c r="G1389" s="6">
        <f>IFERROR(__xludf.DUMMYFUNCTION("""COMPUTED_VALUE"""),1.0)</f>
        <v>1</v>
      </c>
    </row>
    <row r="1390">
      <c r="A1390" s="6" t="str">
        <f>IFERROR(__xludf.DUMMYFUNCTION("""COMPUTED_VALUE"""),"FM2528")</f>
        <v>FM2528</v>
      </c>
      <c r="B1390" s="6" t="str">
        <f>IFERROR(__xludf.DUMMYFUNCTION("""COMPUTED_VALUE"""),"RUN-COMB_2022-07-13_RFR-077")</f>
        <v>RUN-COMB_2022-07-13_RFR-077</v>
      </c>
      <c r="C1390" s="7">
        <f>VLOOKUP(B1390,'Run Reconcile'!A$2:B3090,2,FALSE)</f>
        <v>44755</v>
      </c>
      <c r="D1390" s="11">
        <f>IFERROR(__xludf.DUMMYFUNCTION("""COMPUTED_VALUE"""),44755.0)</f>
        <v>44755</v>
      </c>
      <c r="E1390" s="12">
        <f>IFERROR(__xludf.DUMMYFUNCTION("""COMPUTED_VALUE"""),0.2982291666667152)</f>
        <v>0.2982291667</v>
      </c>
      <c r="F1390" s="6" t="str">
        <f>IFERROR(__xludf.DUMMYFUNCTION("""COMPUTED_VALUE"""),"Negative")</f>
        <v>Negative</v>
      </c>
      <c r="G1390" s="6">
        <f>IFERROR(__xludf.DUMMYFUNCTION("""COMPUTED_VALUE"""),1.0)</f>
        <v>1</v>
      </c>
    </row>
    <row r="1391">
      <c r="A1391" s="6" t="str">
        <f>IFERROR(__xludf.DUMMYFUNCTION("""COMPUTED_VALUE"""),"FM2527")</f>
        <v>FM2527</v>
      </c>
      <c r="B1391" s="6" t="str">
        <f>IFERROR(__xludf.DUMMYFUNCTION("""COMPUTED_VALUE"""),"RUN-COMB_2022-07-13_RFR-077")</f>
        <v>RUN-COMB_2022-07-13_RFR-077</v>
      </c>
      <c r="C1391" s="7">
        <f>VLOOKUP(B1391,'Run Reconcile'!A$2:B3090,2,FALSE)</f>
        <v>44755</v>
      </c>
      <c r="D1391" s="11">
        <f>IFERROR(__xludf.DUMMYFUNCTION("""COMPUTED_VALUE"""),44755.0)</f>
        <v>44755</v>
      </c>
      <c r="E1391" s="12">
        <f>IFERROR(__xludf.DUMMYFUNCTION("""COMPUTED_VALUE"""),0.29853009259386454)</f>
        <v>0.2985300926</v>
      </c>
      <c r="F1391" s="6" t="str">
        <f>IFERROR(__xludf.DUMMYFUNCTION("""COMPUTED_VALUE"""),"Negative")</f>
        <v>Negative</v>
      </c>
      <c r="G1391" s="6">
        <f>IFERROR(__xludf.DUMMYFUNCTION("""COMPUTED_VALUE"""),1.0)</f>
        <v>1</v>
      </c>
    </row>
    <row r="1392">
      <c r="A1392" s="6" t="str">
        <f>IFERROR(__xludf.DUMMYFUNCTION("""COMPUTED_VALUE"""),"FM3695")</f>
        <v>FM3695</v>
      </c>
      <c r="B1392" s="6" t="str">
        <f>IFERROR(__xludf.DUMMYFUNCTION("""COMPUTED_VALUE"""),"RUN-COMB_2022-07-13_RFR-077")</f>
        <v>RUN-COMB_2022-07-13_RFR-077</v>
      </c>
      <c r="C1392" s="7">
        <f>VLOOKUP(B1392,'Run Reconcile'!A$2:B3090,2,FALSE)</f>
        <v>44755</v>
      </c>
      <c r="D1392" s="11">
        <f>IFERROR(__xludf.DUMMYFUNCTION("""COMPUTED_VALUE"""),44755.0)</f>
        <v>44755</v>
      </c>
      <c r="E1392" s="12">
        <f>IFERROR(__xludf.DUMMYFUNCTION("""COMPUTED_VALUE"""),0.2988310185173759)</f>
        <v>0.2988310185</v>
      </c>
      <c r="F1392" s="6" t="str">
        <f>IFERROR(__xludf.DUMMYFUNCTION("""COMPUTED_VALUE"""),"Negative")</f>
        <v>Negative</v>
      </c>
      <c r="G1392" s="6">
        <f>IFERROR(__xludf.DUMMYFUNCTION("""COMPUTED_VALUE"""),1.0)</f>
        <v>1</v>
      </c>
    </row>
    <row r="1393">
      <c r="A1393" s="6" t="str">
        <f>IFERROR(__xludf.DUMMYFUNCTION("""COMPUTED_VALUE"""),"FM3682")</f>
        <v>FM3682</v>
      </c>
      <c r="B1393" s="6" t="str">
        <f>IFERROR(__xludf.DUMMYFUNCTION("""COMPUTED_VALUE"""),"RUN-COMB_2022-07-13_RFR-077")</f>
        <v>RUN-COMB_2022-07-13_RFR-077</v>
      </c>
      <c r="C1393" s="7">
        <f>VLOOKUP(B1393,'Run Reconcile'!A$2:B3090,2,FALSE)</f>
        <v>44755</v>
      </c>
      <c r="D1393" s="11">
        <f>IFERROR(__xludf.DUMMYFUNCTION("""COMPUTED_VALUE"""),44755.0)</f>
        <v>44755</v>
      </c>
      <c r="E1393" s="12">
        <f>IFERROR(__xludf.DUMMYFUNCTION("""COMPUTED_VALUE"""),0.2992361111100763)</f>
        <v>0.2992361111</v>
      </c>
      <c r="F1393" s="6" t="str">
        <f>IFERROR(__xludf.DUMMYFUNCTION("""COMPUTED_VALUE"""),"Negative")</f>
        <v>Negative</v>
      </c>
      <c r="G1393" s="6">
        <f>IFERROR(__xludf.DUMMYFUNCTION("""COMPUTED_VALUE"""),1.0)</f>
        <v>1</v>
      </c>
    </row>
    <row r="1394">
      <c r="A1394" s="6" t="str">
        <f>IFERROR(__xludf.DUMMYFUNCTION("""COMPUTED_VALUE"""),"FM3714")</f>
        <v>FM3714</v>
      </c>
      <c r="B1394" s="6" t="str">
        <f>IFERROR(__xludf.DUMMYFUNCTION("""COMPUTED_VALUE"""),"RUN-COMB_2022-07-13_RFR-077")</f>
        <v>RUN-COMB_2022-07-13_RFR-077</v>
      </c>
      <c r="C1394" s="7">
        <f>VLOOKUP(B1394,'Run Reconcile'!A$2:B3090,2,FALSE)</f>
        <v>44755</v>
      </c>
      <c r="D1394" s="11">
        <f>IFERROR(__xludf.DUMMYFUNCTION("""COMPUTED_VALUE"""),44755.0)</f>
        <v>44755</v>
      </c>
      <c r="E1394" s="12">
        <f>IFERROR(__xludf.DUMMYFUNCTION("""COMPUTED_VALUE"""),0.2995717592602887)</f>
        <v>0.2995717593</v>
      </c>
      <c r="F1394" s="6" t="str">
        <f>IFERROR(__xludf.DUMMYFUNCTION("""COMPUTED_VALUE"""),"Negative")</f>
        <v>Negative</v>
      </c>
      <c r="G1394" s="6">
        <f>IFERROR(__xludf.DUMMYFUNCTION("""COMPUTED_VALUE"""),1.0)</f>
        <v>1</v>
      </c>
    </row>
    <row r="1395">
      <c r="A1395" s="6" t="str">
        <f>IFERROR(__xludf.DUMMYFUNCTION("""COMPUTED_VALUE"""),"FM2609")</f>
        <v>FM2609</v>
      </c>
      <c r="B1395" s="6" t="str">
        <f>IFERROR(__xludf.DUMMYFUNCTION("""COMPUTED_VALUE"""),"RUN-COMB_2022-07-13_RFR-077")</f>
        <v>RUN-COMB_2022-07-13_RFR-077</v>
      </c>
      <c r="C1395" s="7">
        <f>VLOOKUP(B1395,'Run Reconcile'!A$2:B3090,2,FALSE)</f>
        <v>44755</v>
      </c>
      <c r="D1395" s="11">
        <f>IFERROR(__xludf.DUMMYFUNCTION("""COMPUTED_VALUE"""),44755.0)</f>
        <v>44755</v>
      </c>
      <c r="E1395" s="12">
        <f>IFERROR(__xludf.DUMMYFUNCTION("""COMPUTED_VALUE"""),0.2998495370375167)</f>
        <v>0.299849537</v>
      </c>
      <c r="F1395" s="6" t="str">
        <f>IFERROR(__xludf.DUMMYFUNCTION("""COMPUTED_VALUE"""),"Negative")</f>
        <v>Negative</v>
      </c>
      <c r="G1395" s="6">
        <f>IFERROR(__xludf.DUMMYFUNCTION("""COMPUTED_VALUE"""),1.0)</f>
        <v>1</v>
      </c>
    </row>
    <row r="1396">
      <c r="A1396" s="6" t="str">
        <f>IFERROR(__xludf.DUMMYFUNCTION("""COMPUTED_VALUE"""),"FM2629")</f>
        <v>FM2629</v>
      </c>
      <c r="B1396" s="6" t="str">
        <f>IFERROR(__xludf.DUMMYFUNCTION("""COMPUTED_VALUE"""),"RUN-COMB_2022-07-13_RFR-077")</f>
        <v>RUN-COMB_2022-07-13_RFR-077</v>
      </c>
      <c r="C1396" s="7">
        <f>VLOOKUP(B1396,'Run Reconcile'!A$2:B3090,2,FALSE)</f>
        <v>44755</v>
      </c>
      <c r="D1396" s="11">
        <f>IFERROR(__xludf.DUMMYFUNCTION("""COMPUTED_VALUE"""),44755.0)</f>
        <v>44755</v>
      </c>
      <c r="E1396" s="12">
        <f>IFERROR(__xludf.DUMMYFUNCTION("""COMPUTED_VALUE"""),0.3001851851840911)</f>
        <v>0.3001851852</v>
      </c>
      <c r="F1396" s="6" t="str">
        <f>IFERROR(__xludf.DUMMYFUNCTION("""COMPUTED_VALUE"""),"Negative")</f>
        <v>Negative</v>
      </c>
      <c r="G1396" s="6">
        <f>IFERROR(__xludf.DUMMYFUNCTION("""COMPUTED_VALUE"""),1.0)</f>
        <v>1</v>
      </c>
    </row>
    <row r="1397">
      <c r="A1397" s="6" t="str">
        <f>IFERROR(__xludf.DUMMYFUNCTION("""COMPUTED_VALUE"""),"FM3713")</f>
        <v>FM3713</v>
      </c>
      <c r="B1397" s="6" t="str">
        <f>IFERROR(__xludf.DUMMYFUNCTION("""COMPUTED_VALUE"""),"RUN-COMB_2022-07-13_RFR-077")</f>
        <v>RUN-COMB_2022-07-13_RFR-077</v>
      </c>
      <c r="C1397" s="7">
        <f>VLOOKUP(B1397,'Run Reconcile'!A$2:B3090,2,FALSE)</f>
        <v>44755</v>
      </c>
      <c r="D1397" s="11">
        <f>IFERROR(__xludf.DUMMYFUNCTION("""COMPUTED_VALUE"""),44755.0)</f>
        <v>44755</v>
      </c>
      <c r="E1397" s="12">
        <f>IFERROR(__xludf.DUMMYFUNCTION("""COMPUTED_VALUE"""),0.30053240740744513)</f>
        <v>0.3005324074</v>
      </c>
      <c r="F1397" s="6" t="str">
        <f>IFERROR(__xludf.DUMMYFUNCTION("""COMPUTED_VALUE"""),"Negative")</f>
        <v>Negative</v>
      </c>
      <c r="G1397" s="6">
        <f>IFERROR(__xludf.DUMMYFUNCTION("""COMPUTED_VALUE"""),1.0)</f>
        <v>1</v>
      </c>
    </row>
    <row r="1398">
      <c r="A1398" s="6" t="str">
        <f>IFERROR(__xludf.DUMMYFUNCTION("""COMPUTED_VALUE"""),"FM2569")</f>
        <v>FM2569</v>
      </c>
      <c r="B1398" s="6" t="str">
        <f>IFERROR(__xludf.DUMMYFUNCTION("""COMPUTED_VALUE"""),"RUN-COMB_2022-07-13_RFR-077")</f>
        <v>RUN-COMB_2022-07-13_RFR-077</v>
      </c>
      <c r="C1398" s="7">
        <f>VLOOKUP(B1398,'Run Reconcile'!A$2:B3090,2,FALSE)</f>
        <v>44755</v>
      </c>
      <c r="D1398" s="11">
        <f>IFERROR(__xludf.DUMMYFUNCTION("""COMPUTED_VALUE"""),44755.0)</f>
        <v>44755</v>
      </c>
      <c r="E1398" s="12">
        <f>IFERROR(__xludf.DUMMYFUNCTION("""COMPUTED_VALUE"""),0.3008333333345945)</f>
        <v>0.3008333333</v>
      </c>
      <c r="F1398" s="6" t="str">
        <f>IFERROR(__xludf.DUMMYFUNCTION("""COMPUTED_VALUE"""),"Negative")</f>
        <v>Negative</v>
      </c>
      <c r="G1398" s="6">
        <f>IFERROR(__xludf.DUMMYFUNCTION("""COMPUTED_VALUE"""),1.0)</f>
        <v>1</v>
      </c>
    </row>
    <row r="1399">
      <c r="A1399" s="6" t="str">
        <f>IFERROR(__xludf.DUMMYFUNCTION("""COMPUTED_VALUE"""),"FM3823")</f>
        <v>FM3823</v>
      </c>
      <c r="B1399" s="6" t="str">
        <f>IFERROR(__xludf.DUMMYFUNCTION("""COMPUTED_VALUE"""),"RUN-COMB_2022-07-13_RFR-077")</f>
        <v>RUN-COMB_2022-07-13_RFR-077</v>
      </c>
      <c r="C1399" s="7">
        <f>VLOOKUP(B1399,'Run Reconcile'!A$2:B3090,2,FALSE)</f>
        <v>44755</v>
      </c>
      <c r="D1399" s="11">
        <f>IFERROR(__xludf.DUMMYFUNCTION("""COMPUTED_VALUE"""),44755.0)</f>
        <v>44755</v>
      </c>
      <c r="E1399" s="12">
        <f>IFERROR(__xludf.DUMMYFUNCTION("""COMPUTED_VALUE"""),0.3011689814811689)</f>
        <v>0.3011689815</v>
      </c>
      <c r="F1399" s="6" t="str">
        <f>IFERROR(__xludf.DUMMYFUNCTION("""COMPUTED_VALUE"""),"Negative")</f>
        <v>Negative</v>
      </c>
      <c r="G1399" s="6">
        <f>IFERROR(__xludf.DUMMYFUNCTION("""COMPUTED_VALUE"""),1.0)</f>
        <v>1</v>
      </c>
    </row>
    <row r="1400">
      <c r="A1400" s="6" t="str">
        <f>IFERROR(__xludf.DUMMYFUNCTION("""COMPUTED_VALUE"""),"FM3715")</f>
        <v>FM3715</v>
      </c>
      <c r="B1400" s="6" t="str">
        <f>IFERROR(__xludf.DUMMYFUNCTION("""COMPUTED_VALUE"""),"RUN-COMB_2022-07-13_RFR-077")</f>
        <v>RUN-COMB_2022-07-13_RFR-077</v>
      </c>
      <c r="C1400" s="7">
        <f>VLOOKUP(B1400,'Run Reconcile'!A$2:B3090,2,FALSE)</f>
        <v>44755</v>
      </c>
      <c r="D1400" s="11">
        <f>IFERROR(__xludf.DUMMYFUNCTION("""COMPUTED_VALUE"""),44755.0)</f>
        <v>44755</v>
      </c>
      <c r="E1400" s="12">
        <f>IFERROR(__xludf.DUMMYFUNCTION("""COMPUTED_VALUE"""),0.30146990740831825)</f>
        <v>0.3014699074</v>
      </c>
      <c r="F1400" s="6" t="str">
        <f>IFERROR(__xludf.DUMMYFUNCTION("""COMPUTED_VALUE"""),"Negative")</f>
        <v>Negative</v>
      </c>
      <c r="G1400" s="6">
        <f>IFERROR(__xludf.DUMMYFUNCTION("""COMPUTED_VALUE"""),1.0)</f>
        <v>1</v>
      </c>
    </row>
    <row r="1401">
      <c r="A1401" s="6" t="str">
        <f>IFERROR(__xludf.DUMMYFUNCTION("""COMPUTED_VALUE"""),"FM3783")</f>
        <v>FM3783</v>
      </c>
      <c r="B1401" s="6" t="str">
        <f>IFERROR(__xludf.DUMMYFUNCTION("""COMPUTED_VALUE"""),"RUN-COMB_2022-07-13_RFR-077")</f>
        <v>RUN-COMB_2022-07-13_RFR-077</v>
      </c>
      <c r="C1401" s="7">
        <f>VLOOKUP(B1401,'Run Reconcile'!A$2:B3090,2,FALSE)</f>
        <v>44755</v>
      </c>
      <c r="D1401" s="11">
        <f>IFERROR(__xludf.DUMMYFUNCTION("""COMPUTED_VALUE"""),44755.0)</f>
        <v>44755</v>
      </c>
      <c r="E1401" s="12">
        <f>IFERROR(__xludf.DUMMYFUNCTION("""COMPUTED_VALUE"""),0.30177083333182964)</f>
        <v>0.3017708333</v>
      </c>
      <c r="F1401" s="6" t="str">
        <f>IFERROR(__xludf.DUMMYFUNCTION("""COMPUTED_VALUE"""),"Negative")</f>
        <v>Negative</v>
      </c>
      <c r="G1401" s="6">
        <f>IFERROR(__xludf.DUMMYFUNCTION("""COMPUTED_VALUE"""),1.0)</f>
        <v>1</v>
      </c>
    </row>
    <row r="1402">
      <c r="A1402" s="6" t="str">
        <f>IFERROR(__xludf.DUMMYFUNCTION("""COMPUTED_VALUE"""),"FM3704")</f>
        <v>FM3704</v>
      </c>
      <c r="B1402" s="6" t="str">
        <f>IFERROR(__xludf.DUMMYFUNCTION("""COMPUTED_VALUE"""),"RUN-COMB_2022-07-14_RFR-078")</f>
        <v>RUN-COMB_2022-07-14_RFR-078</v>
      </c>
      <c r="C1402" s="7">
        <f>VLOOKUP(B1402,'Run Reconcile'!A$2:B3090,2,FALSE)</f>
        <v>44756</v>
      </c>
      <c r="D1402" s="11">
        <f>IFERROR(__xludf.DUMMYFUNCTION("""COMPUTED_VALUE"""),44756.0)</f>
        <v>44756</v>
      </c>
      <c r="E1402" s="12">
        <f>IFERROR(__xludf.DUMMYFUNCTION("""COMPUTED_VALUE"""),0.619907407406572)</f>
        <v>0.6199074074</v>
      </c>
      <c r="F1402" s="6" t="str">
        <f>IFERROR(__xludf.DUMMYFUNCTION("""COMPUTED_VALUE"""),"Negative")</f>
        <v>Negative</v>
      </c>
      <c r="G1402" s="6">
        <f>IFERROR(__xludf.DUMMYFUNCTION("""COMPUTED_VALUE"""),1.0)</f>
        <v>1</v>
      </c>
    </row>
    <row r="1403">
      <c r="A1403" s="6" t="str">
        <f>IFERROR(__xludf.DUMMYFUNCTION("""COMPUTED_VALUE"""),"FM3699")</f>
        <v>FM3699</v>
      </c>
      <c r="B1403" s="6" t="str">
        <f>IFERROR(__xludf.DUMMYFUNCTION("""COMPUTED_VALUE"""),"RUN-COMB_2022-07-14_RFR-078")</f>
        <v>RUN-COMB_2022-07-14_RFR-078</v>
      </c>
      <c r="C1403" s="7">
        <f>VLOOKUP(B1403,'Run Reconcile'!A$2:B3090,2,FALSE)</f>
        <v>44756</v>
      </c>
      <c r="D1403" s="11">
        <f>IFERROR(__xludf.DUMMYFUNCTION("""COMPUTED_VALUE"""),44756.0)</f>
        <v>44756</v>
      </c>
      <c r="E1403" s="12">
        <f>IFERROR(__xludf.DUMMYFUNCTION("""COMPUTED_VALUE"""),0.6203124999992724)</f>
        <v>0.6203125</v>
      </c>
      <c r="F1403" s="6" t="str">
        <f>IFERROR(__xludf.DUMMYFUNCTION("""COMPUTED_VALUE"""),"Negative")</f>
        <v>Negative</v>
      </c>
      <c r="G1403" s="6">
        <f>IFERROR(__xludf.DUMMYFUNCTION("""COMPUTED_VALUE"""),1.0)</f>
        <v>1</v>
      </c>
    </row>
    <row r="1404">
      <c r="A1404" s="6" t="str">
        <f>IFERROR(__xludf.DUMMYFUNCTION("""COMPUTED_VALUE"""),"FM2578")</f>
        <v>FM2578</v>
      </c>
      <c r="B1404" s="6" t="str">
        <f>IFERROR(__xludf.DUMMYFUNCTION("""COMPUTED_VALUE"""),"RUN-COMB_2022-07-14_RFR-078")</f>
        <v>RUN-COMB_2022-07-14_RFR-078</v>
      </c>
      <c r="C1404" s="7">
        <f>VLOOKUP(B1404,'Run Reconcile'!A$2:B3090,2,FALSE)</f>
        <v>44756</v>
      </c>
      <c r="D1404" s="11">
        <f>IFERROR(__xludf.DUMMYFUNCTION("""COMPUTED_VALUE"""),44756.0)</f>
        <v>44756</v>
      </c>
      <c r="E1404" s="12">
        <f>IFERROR(__xludf.DUMMYFUNCTION("""COMPUTED_VALUE"""),0.6208680555573665)</f>
        <v>0.6208680556</v>
      </c>
      <c r="F1404" s="6" t="str">
        <f>IFERROR(__xludf.DUMMYFUNCTION("""COMPUTED_VALUE"""),"Negative")</f>
        <v>Negative</v>
      </c>
      <c r="G1404" s="6">
        <f>IFERROR(__xludf.DUMMYFUNCTION("""COMPUTED_VALUE"""),1.0)</f>
        <v>1</v>
      </c>
    </row>
    <row r="1405">
      <c r="A1405" s="6" t="str">
        <f>IFERROR(__xludf.DUMMYFUNCTION("""COMPUTED_VALUE"""),"FM3826")</f>
        <v>FM3826</v>
      </c>
      <c r="B1405" s="6" t="str">
        <f>IFERROR(__xludf.DUMMYFUNCTION("""COMPUTED_VALUE"""),"RUN-COMB_2022-07-14_RFR-078")</f>
        <v>RUN-COMB_2022-07-14_RFR-078</v>
      </c>
      <c r="C1405" s="7">
        <f>VLOOKUP(B1405,'Run Reconcile'!A$2:B3090,2,FALSE)</f>
        <v>44756</v>
      </c>
      <c r="D1405" s="11">
        <f>IFERROR(__xludf.DUMMYFUNCTION("""COMPUTED_VALUE"""),44756.0)</f>
        <v>44756</v>
      </c>
      <c r="E1405" s="12">
        <f>IFERROR(__xludf.DUMMYFUNCTION("""COMPUTED_VALUE"""),0.6212037037039408)</f>
        <v>0.6212037037</v>
      </c>
      <c r="F1405" s="6" t="str">
        <f>IFERROR(__xludf.DUMMYFUNCTION("""COMPUTED_VALUE"""),"Negative")</f>
        <v>Negative</v>
      </c>
      <c r="G1405" s="6">
        <f>IFERROR(__xludf.DUMMYFUNCTION("""COMPUTED_VALUE"""),1.0)</f>
        <v>1</v>
      </c>
    </row>
    <row r="1406">
      <c r="A1406" s="6" t="str">
        <f>IFERROR(__xludf.DUMMYFUNCTION("""COMPUTED_VALUE"""),"FM2546")</f>
        <v>FM2546</v>
      </c>
      <c r="B1406" s="6" t="str">
        <f>IFERROR(__xludf.DUMMYFUNCTION("""COMPUTED_VALUE"""),"RUN-COMB_2022-07-14_RFR-078")</f>
        <v>RUN-COMB_2022-07-14_RFR-078</v>
      </c>
      <c r="C1406" s="7">
        <f>VLOOKUP(B1406,'Run Reconcile'!A$2:B3090,2,FALSE)</f>
        <v>44756</v>
      </c>
      <c r="D1406" s="11">
        <f>IFERROR(__xludf.DUMMYFUNCTION("""COMPUTED_VALUE"""),44756.0)</f>
        <v>44756</v>
      </c>
      <c r="E1406" s="12">
        <f>IFERROR(__xludf.DUMMYFUNCTION("""COMPUTED_VALUE"""),0.6216435185197042)</f>
        <v>0.6216435185</v>
      </c>
      <c r="F1406" s="6" t="str">
        <f>IFERROR(__xludf.DUMMYFUNCTION("""COMPUTED_VALUE"""),"Negative")</f>
        <v>Negative</v>
      </c>
      <c r="G1406" s="6">
        <f>IFERROR(__xludf.DUMMYFUNCTION("""COMPUTED_VALUE"""),1.0)</f>
        <v>1</v>
      </c>
    </row>
    <row r="1407">
      <c r="A1407" s="6" t="str">
        <f>IFERROR(__xludf.DUMMYFUNCTION("""COMPUTED_VALUE"""),"FM3694")</f>
        <v>FM3694</v>
      </c>
      <c r="B1407" s="6" t="str">
        <f>IFERROR(__xludf.DUMMYFUNCTION("""COMPUTED_VALUE"""),"RUN-COMB_2022-07-14_RFR-078")</f>
        <v>RUN-COMB_2022-07-14_RFR-078</v>
      </c>
      <c r="C1407" s="7">
        <f>VLOOKUP(B1407,'Run Reconcile'!A$2:B3090,2,FALSE)</f>
        <v>44756</v>
      </c>
      <c r="D1407" s="11">
        <f>IFERROR(__xludf.DUMMYFUNCTION("""COMPUTED_VALUE"""),44756.0)</f>
        <v>44756</v>
      </c>
      <c r="E1407" s="12">
        <f>IFERROR(__xludf.DUMMYFUNCTION("""COMPUTED_VALUE"""),0.6219328703700739)</f>
        <v>0.6219328704</v>
      </c>
      <c r="F1407" s="6" t="str">
        <f>IFERROR(__xludf.DUMMYFUNCTION("""COMPUTED_VALUE"""),"Negative")</f>
        <v>Negative</v>
      </c>
      <c r="G1407" s="6">
        <f>IFERROR(__xludf.DUMMYFUNCTION("""COMPUTED_VALUE"""),1.0)</f>
        <v>1</v>
      </c>
    </row>
    <row r="1408">
      <c r="A1408" s="6" t="str">
        <f>IFERROR(__xludf.DUMMYFUNCTION("""COMPUTED_VALUE"""),"FM3828")</f>
        <v>FM3828</v>
      </c>
      <c r="B1408" s="6" t="str">
        <f>IFERROR(__xludf.DUMMYFUNCTION("""COMPUTED_VALUE"""),"RUN-COMB_2022-07-14_RFR-078")</f>
        <v>RUN-COMB_2022-07-14_RFR-078</v>
      </c>
      <c r="C1408" s="7">
        <f>VLOOKUP(B1408,'Run Reconcile'!A$2:B3090,2,FALSE)</f>
        <v>44756</v>
      </c>
      <c r="D1408" s="11">
        <f>IFERROR(__xludf.DUMMYFUNCTION("""COMPUTED_VALUE"""),44756.0)</f>
        <v>44756</v>
      </c>
      <c r="E1408" s="12">
        <f>IFERROR(__xludf.DUMMYFUNCTION("""COMPUTED_VALUE"""),0.6223032407397113)</f>
        <v>0.6223032407</v>
      </c>
      <c r="F1408" s="6" t="str">
        <f>IFERROR(__xludf.DUMMYFUNCTION("""COMPUTED_VALUE"""),"Negative")</f>
        <v>Negative</v>
      </c>
      <c r="G1408" s="6">
        <f>IFERROR(__xludf.DUMMYFUNCTION("""COMPUTED_VALUE"""),1.0)</f>
        <v>1</v>
      </c>
    </row>
    <row r="1409">
      <c r="A1409" s="6" t="str">
        <f>IFERROR(__xludf.DUMMYFUNCTION("""COMPUTED_VALUE"""),"FM3812")</f>
        <v>FM3812</v>
      </c>
      <c r="B1409" s="6" t="str">
        <f>IFERROR(__xludf.DUMMYFUNCTION("""COMPUTED_VALUE"""),"RUN-COMB_2022-07-14_RFR-078")</f>
        <v>RUN-COMB_2022-07-14_RFR-078</v>
      </c>
      <c r="C1409" s="7">
        <f>VLOOKUP(B1409,'Run Reconcile'!A$2:B3090,2,FALSE)</f>
        <v>44756</v>
      </c>
      <c r="D1409" s="11">
        <f>IFERROR(__xludf.DUMMYFUNCTION("""COMPUTED_VALUE"""),44756.0)</f>
        <v>44756</v>
      </c>
      <c r="E1409" s="12">
        <f>IFERROR(__xludf.DUMMYFUNCTION("""COMPUTED_VALUE"""),0.6230439814826241)</f>
        <v>0.6230439815</v>
      </c>
      <c r="F1409" s="6" t="str">
        <f>IFERROR(__xludf.DUMMYFUNCTION("""COMPUTED_VALUE"""),"Negative")</f>
        <v>Negative</v>
      </c>
      <c r="G1409" s="6">
        <f>IFERROR(__xludf.DUMMYFUNCTION("""COMPUTED_VALUE"""),1.0)</f>
        <v>1</v>
      </c>
    </row>
    <row r="1410">
      <c r="A1410" s="6" t="str">
        <f>IFERROR(__xludf.DUMMYFUNCTION("""COMPUTED_VALUE"""),"FM2522")</f>
        <v>FM2522</v>
      </c>
      <c r="B1410" s="6" t="str">
        <f>IFERROR(__xludf.DUMMYFUNCTION("""COMPUTED_VALUE"""),"RUN-COMB_2022-07-14_RFR-078")</f>
        <v>RUN-COMB_2022-07-14_RFR-078</v>
      </c>
      <c r="C1410" s="7">
        <f>VLOOKUP(B1410,'Run Reconcile'!A$2:B3090,2,FALSE)</f>
        <v>44756</v>
      </c>
      <c r="D1410" s="11">
        <f>IFERROR(__xludf.DUMMYFUNCTION("""COMPUTED_VALUE"""),44756.0)</f>
        <v>44756</v>
      </c>
      <c r="E1410" s="12">
        <f>IFERROR(__xludf.DUMMYFUNCTION("""COMPUTED_VALUE"""),0.6234027777791198)</f>
        <v>0.6234027778</v>
      </c>
      <c r="F1410" s="6" t="str">
        <f>IFERROR(__xludf.DUMMYFUNCTION("""COMPUTED_VALUE"""),"Negative")</f>
        <v>Negative</v>
      </c>
      <c r="G1410" s="6">
        <f>IFERROR(__xludf.DUMMYFUNCTION("""COMPUTED_VALUE"""),1.0)</f>
        <v>1</v>
      </c>
    </row>
    <row r="1411">
      <c r="A1411" s="6" t="str">
        <f>IFERROR(__xludf.DUMMYFUNCTION("""COMPUTED_VALUE"""),"FM3788")</f>
        <v>FM3788</v>
      </c>
      <c r="B1411" s="6" t="str">
        <f>IFERROR(__xludf.DUMMYFUNCTION("""COMPUTED_VALUE"""),"RUN-COMB_2022-07-14_RFR-078")</f>
        <v>RUN-COMB_2022-07-14_RFR-078</v>
      </c>
      <c r="C1411" s="7">
        <f>VLOOKUP(B1411,'Run Reconcile'!A$2:B3090,2,FALSE)</f>
        <v>44756</v>
      </c>
      <c r="D1411" s="11">
        <f>IFERROR(__xludf.DUMMYFUNCTION("""COMPUTED_VALUE"""),44756.0)</f>
        <v>44756</v>
      </c>
      <c r="E1411" s="12">
        <f>IFERROR(__xludf.DUMMYFUNCTION("""COMPUTED_VALUE"""),0.6238194444449618)</f>
        <v>0.6238194444</v>
      </c>
      <c r="F1411" s="6" t="str">
        <f>IFERROR(__xludf.DUMMYFUNCTION("""COMPUTED_VALUE"""),"Negative")</f>
        <v>Negative</v>
      </c>
      <c r="G1411" s="6">
        <f>IFERROR(__xludf.DUMMYFUNCTION("""COMPUTED_VALUE"""),1.0)</f>
        <v>1</v>
      </c>
    </row>
    <row r="1412">
      <c r="A1412" s="6" t="str">
        <f>IFERROR(__xludf.DUMMYFUNCTION("""COMPUTED_VALUE"""),"FM3684")</f>
        <v>FM3684</v>
      </c>
      <c r="B1412" s="6" t="str">
        <f>IFERROR(__xludf.DUMMYFUNCTION("""COMPUTED_VALUE"""),"RUN-COMB_2022-07-14_RFR-078")</f>
        <v>RUN-COMB_2022-07-14_RFR-078</v>
      </c>
      <c r="C1412" s="7">
        <f>VLOOKUP(B1412,'Run Reconcile'!A$2:B3090,2,FALSE)</f>
        <v>44756</v>
      </c>
      <c r="D1412" s="11">
        <f>IFERROR(__xludf.DUMMYFUNCTION("""COMPUTED_VALUE"""),44756.0)</f>
        <v>44756</v>
      </c>
      <c r="E1412" s="12">
        <f>IFERROR(__xludf.DUMMYFUNCTION("""COMPUTED_VALUE"""),0.6241319444452529)</f>
        <v>0.6241319444</v>
      </c>
      <c r="F1412" s="6" t="str">
        <f>IFERROR(__xludf.DUMMYFUNCTION("""COMPUTED_VALUE"""),"Negative")</f>
        <v>Negative</v>
      </c>
      <c r="G1412" s="6">
        <f>IFERROR(__xludf.DUMMYFUNCTION("""COMPUTED_VALUE"""),1.0)</f>
        <v>1</v>
      </c>
    </row>
    <row r="1413">
      <c r="A1413" s="6" t="str">
        <f>IFERROR(__xludf.DUMMYFUNCTION("""COMPUTED_VALUE"""),"FM3686")</f>
        <v>FM3686</v>
      </c>
      <c r="B1413" s="6" t="str">
        <f>IFERROR(__xludf.DUMMYFUNCTION("""COMPUTED_VALUE"""),"RUN-COMB_2022-07-14_RFR-078")</f>
        <v>RUN-COMB_2022-07-14_RFR-078</v>
      </c>
      <c r="C1413" s="7">
        <f>VLOOKUP(B1413,'Run Reconcile'!A$2:B3090,2,FALSE)</f>
        <v>44756</v>
      </c>
      <c r="D1413" s="11">
        <f>IFERROR(__xludf.DUMMYFUNCTION("""COMPUTED_VALUE"""),44756.0)</f>
        <v>44756</v>
      </c>
      <c r="E1413" s="12">
        <f>IFERROR(__xludf.DUMMYFUNCTION("""COMPUTED_VALUE"""),0.6245370370379533)</f>
        <v>0.624537037</v>
      </c>
      <c r="F1413" s="6" t="str">
        <f>IFERROR(__xludf.DUMMYFUNCTION("""COMPUTED_VALUE"""),"Negative")</f>
        <v>Negative</v>
      </c>
      <c r="G1413" s="6">
        <f>IFERROR(__xludf.DUMMYFUNCTION("""COMPUTED_VALUE"""),1.0)</f>
        <v>1</v>
      </c>
    </row>
    <row r="1414">
      <c r="A1414" s="6" t="str">
        <f>IFERROR(__xludf.DUMMYFUNCTION("""COMPUTED_VALUE"""),"FM2566")</f>
        <v>FM2566</v>
      </c>
      <c r="B1414" s="6" t="str">
        <f>IFERROR(__xludf.DUMMYFUNCTION("""COMPUTED_VALUE"""),"RUN-COMB_2022-07-14_RFR-078")</f>
        <v>RUN-COMB_2022-07-14_RFR-078</v>
      </c>
      <c r="C1414" s="7">
        <f>VLOOKUP(B1414,'Run Reconcile'!A$2:B3090,2,FALSE)</f>
        <v>44756</v>
      </c>
      <c r="D1414" s="11">
        <f>IFERROR(__xludf.DUMMYFUNCTION("""COMPUTED_VALUE"""),44756.0)</f>
        <v>44756</v>
      </c>
      <c r="E1414" s="12">
        <f>IFERROR(__xludf.DUMMYFUNCTION("""COMPUTED_VALUE"""),0.6250231481499213)</f>
        <v>0.6250231481</v>
      </c>
      <c r="F1414" s="6" t="str">
        <f>IFERROR(__xludf.DUMMYFUNCTION("""COMPUTED_VALUE"""),"Negative")</f>
        <v>Negative</v>
      </c>
      <c r="G1414" s="6">
        <f>IFERROR(__xludf.DUMMYFUNCTION("""COMPUTED_VALUE"""),1.0)</f>
        <v>1</v>
      </c>
    </row>
    <row r="1415">
      <c r="A1415" s="6" t="str">
        <f>IFERROR(__xludf.DUMMYFUNCTION("""COMPUTED_VALUE"""),"FM3808")</f>
        <v>FM3808</v>
      </c>
      <c r="B1415" s="6" t="str">
        <f>IFERROR(__xludf.DUMMYFUNCTION("""COMPUTED_VALUE"""),"RUN-COMB_2022-07-14_RFR-078")</f>
        <v>RUN-COMB_2022-07-14_RFR-078</v>
      </c>
      <c r="C1415" s="7">
        <f>VLOOKUP(B1415,'Run Reconcile'!A$2:B3090,2,FALSE)</f>
        <v>44756</v>
      </c>
      <c r="D1415" s="11">
        <f>IFERROR(__xludf.DUMMYFUNCTION("""COMPUTED_VALUE"""),44756.0)</f>
        <v>44756</v>
      </c>
      <c r="E1415" s="12">
        <f>IFERROR(__xludf.DUMMYFUNCTION("""COMPUTED_VALUE"""),0.6254398148157634)</f>
        <v>0.6254398148</v>
      </c>
      <c r="F1415" s="6" t="str">
        <f>IFERROR(__xludf.DUMMYFUNCTION("""COMPUTED_VALUE"""),"Negative")</f>
        <v>Negative</v>
      </c>
      <c r="G1415" s="6">
        <f>IFERROR(__xludf.DUMMYFUNCTION("""COMPUTED_VALUE"""),1.0)</f>
        <v>1</v>
      </c>
    </row>
    <row r="1416">
      <c r="A1416" s="6" t="str">
        <f>IFERROR(__xludf.DUMMYFUNCTION("""COMPUTED_VALUE"""),"FM3820")</f>
        <v>FM3820</v>
      </c>
      <c r="B1416" s="6" t="str">
        <f>IFERROR(__xludf.DUMMYFUNCTION("""COMPUTED_VALUE"""),"RUN-COMB_2022-07-14_RFR-078")</f>
        <v>RUN-COMB_2022-07-14_RFR-078</v>
      </c>
      <c r="C1416" s="7">
        <f>VLOOKUP(B1416,'Run Reconcile'!A$2:B3090,2,FALSE)</f>
        <v>44756</v>
      </c>
      <c r="D1416" s="11">
        <f>IFERROR(__xludf.DUMMYFUNCTION("""COMPUTED_VALUE"""),44756.0)</f>
        <v>44756</v>
      </c>
      <c r="E1416" s="12">
        <f>IFERROR(__xludf.DUMMYFUNCTION("""COMPUTED_VALUE"""),0.6258564814816054)</f>
        <v>0.6258564815</v>
      </c>
      <c r="F1416" s="6" t="str">
        <f>IFERROR(__xludf.DUMMYFUNCTION("""COMPUTED_VALUE"""),"Negative")</f>
        <v>Negative</v>
      </c>
      <c r="G1416" s="6">
        <f>IFERROR(__xludf.DUMMYFUNCTION("""COMPUTED_VALUE"""),1.0)</f>
        <v>1</v>
      </c>
    </row>
    <row r="1417">
      <c r="A1417" s="6" t="str">
        <f>IFERROR(__xludf.DUMMYFUNCTION("""COMPUTED_VALUE"""),"FM3700")</f>
        <v>FM3700</v>
      </c>
      <c r="B1417" s="6" t="str">
        <f>IFERROR(__xludf.DUMMYFUNCTION("""COMPUTED_VALUE"""),"RUN-COMB_2022-07-14_RFR-078")</f>
        <v>RUN-COMB_2022-07-14_RFR-078</v>
      </c>
      <c r="C1417" s="7">
        <f>VLOOKUP(B1417,'Run Reconcile'!A$2:B3090,2,FALSE)</f>
        <v>44756</v>
      </c>
      <c r="D1417" s="11">
        <f>IFERROR(__xludf.DUMMYFUNCTION("""COMPUTED_VALUE"""),44756.0)</f>
        <v>44756</v>
      </c>
      <c r="E1417" s="12">
        <f>IFERROR(__xludf.DUMMYFUNCTION("""COMPUTED_VALUE"""),0.6263773148129985)</f>
        <v>0.6263773148</v>
      </c>
      <c r="F1417" s="6" t="str">
        <f>IFERROR(__xludf.DUMMYFUNCTION("""COMPUTED_VALUE"""),"Negative")</f>
        <v>Negative</v>
      </c>
      <c r="G1417" s="6">
        <f>IFERROR(__xludf.DUMMYFUNCTION("""COMPUTED_VALUE"""),1.0)</f>
        <v>1</v>
      </c>
    </row>
    <row r="1418">
      <c r="A1418" s="6" t="str">
        <f>IFERROR(__xludf.DUMMYFUNCTION("""COMPUTED_VALUE"""),"FM3804")</f>
        <v>FM3804</v>
      </c>
      <c r="B1418" s="6" t="str">
        <f>IFERROR(__xludf.DUMMYFUNCTION("""COMPUTED_VALUE"""),"RUN-COMB_2022-07-14_RFR-078")</f>
        <v>RUN-COMB_2022-07-14_RFR-078</v>
      </c>
      <c r="C1418" s="7">
        <f>VLOOKUP(B1418,'Run Reconcile'!A$2:B3090,2,FALSE)</f>
        <v>44756</v>
      </c>
      <c r="D1418" s="11">
        <f>IFERROR(__xludf.DUMMYFUNCTION("""COMPUTED_VALUE"""),44756.0)</f>
        <v>44756</v>
      </c>
      <c r="E1418" s="12">
        <f>IFERROR(__xludf.DUMMYFUNCTION("""COMPUTED_VALUE"""),0.6267245370363526)</f>
        <v>0.626724537</v>
      </c>
      <c r="F1418" s="6" t="str">
        <f>IFERROR(__xludf.DUMMYFUNCTION("""COMPUTED_VALUE"""),"Negative")</f>
        <v>Negative</v>
      </c>
      <c r="G1418" s="6">
        <f>IFERROR(__xludf.DUMMYFUNCTION("""COMPUTED_VALUE"""),1.0)</f>
        <v>1</v>
      </c>
    </row>
    <row r="1419">
      <c r="A1419" s="6" t="str">
        <f>IFERROR(__xludf.DUMMYFUNCTION("""COMPUTED_VALUE"""),"FM2558")</f>
        <v>FM2558</v>
      </c>
      <c r="B1419" s="6" t="str">
        <f>IFERROR(__xludf.DUMMYFUNCTION("""COMPUTED_VALUE"""),"RUN-COMB_2022-07-14_RFR-078")</f>
        <v>RUN-COMB_2022-07-14_RFR-078</v>
      </c>
      <c r="C1419" s="7">
        <f>VLOOKUP(B1419,'Run Reconcile'!A$2:B3090,2,FALSE)</f>
        <v>44756</v>
      </c>
      <c r="D1419" s="11">
        <f>IFERROR(__xludf.DUMMYFUNCTION("""COMPUTED_VALUE"""),44756.0)</f>
        <v>44756</v>
      </c>
      <c r="E1419" s="12">
        <f>IFERROR(__xludf.DUMMYFUNCTION("""COMPUTED_VALUE"""),0.6272222222214623)</f>
        <v>0.6272222222</v>
      </c>
      <c r="F1419" s="6" t="str">
        <f>IFERROR(__xludf.DUMMYFUNCTION("""COMPUTED_VALUE"""),"Negative")</f>
        <v>Negative</v>
      </c>
      <c r="G1419" s="6">
        <f>IFERROR(__xludf.DUMMYFUNCTION("""COMPUTED_VALUE"""),1.0)</f>
        <v>1</v>
      </c>
    </row>
    <row r="1420">
      <c r="A1420" s="6" t="str">
        <f>IFERROR(__xludf.DUMMYFUNCTION("""COMPUTED_VALUE"""),"FM3817")</f>
        <v>FM3817</v>
      </c>
      <c r="B1420" s="6" t="str">
        <f>IFERROR(__xludf.DUMMYFUNCTION("""COMPUTED_VALUE"""),"RUN-COMB_2022-07-14_RFR-078")</f>
        <v>RUN-COMB_2022-07-14_RFR-078</v>
      </c>
      <c r="C1420" s="7">
        <f>VLOOKUP(B1420,'Run Reconcile'!A$2:B3090,2,FALSE)</f>
        <v>44756</v>
      </c>
      <c r="D1420" s="11">
        <f>IFERROR(__xludf.DUMMYFUNCTION("""COMPUTED_VALUE"""),44756.0)</f>
        <v>44756</v>
      </c>
      <c r="E1420" s="12">
        <f>IFERROR(__xludf.DUMMYFUNCTION("""COMPUTED_VALUE"""),0.6276620370372257)</f>
        <v>0.627662037</v>
      </c>
      <c r="F1420" s="6" t="str">
        <f>IFERROR(__xludf.DUMMYFUNCTION("""COMPUTED_VALUE"""),"Negative")</f>
        <v>Negative</v>
      </c>
      <c r="G1420" s="6">
        <f>IFERROR(__xludf.DUMMYFUNCTION("""COMPUTED_VALUE"""),1.0)</f>
        <v>1</v>
      </c>
    </row>
    <row r="1421">
      <c r="A1421" s="6" t="str">
        <f>IFERROR(__xludf.DUMMYFUNCTION("""COMPUTED_VALUE"""),"FM3782")</f>
        <v>FM3782</v>
      </c>
      <c r="B1421" s="6" t="str">
        <f>IFERROR(__xludf.DUMMYFUNCTION("""COMPUTED_VALUE"""),"RUN-COMB_2022-07-14_RFR-078")</f>
        <v>RUN-COMB_2022-07-14_RFR-078</v>
      </c>
      <c r="C1421" s="7">
        <f>VLOOKUP(B1421,'Run Reconcile'!A$2:B3090,2,FALSE)</f>
        <v>44756</v>
      </c>
      <c r="D1421" s="11">
        <f>IFERROR(__xludf.DUMMYFUNCTION("""COMPUTED_VALUE"""),44756.0)</f>
        <v>44756</v>
      </c>
      <c r="E1421" s="12">
        <f>IFERROR(__xludf.DUMMYFUNCTION("""COMPUTED_VALUE"""),0.627962962964375)</f>
        <v>0.627962963</v>
      </c>
      <c r="F1421" s="6" t="str">
        <f>IFERROR(__xludf.DUMMYFUNCTION("""COMPUTED_VALUE"""),"Negative")</f>
        <v>Negative</v>
      </c>
      <c r="G1421" s="6">
        <f>IFERROR(__xludf.DUMMYFUNCTION("""COMPUTED_VALUE"""),1.0)</f>
        <v>1</v>
      </c>
    </row>
    <row r="1422">
      <c r="A1422" s="6" t="str">
        <f>IFERROR(__xludf.DUMMYFUNCTION("""COMPUTED_VALUE"""),"FM3815")</f>
        <v>FM3815</v>
      </c>
      <c r="B1422" s="6" t="str">
        <f>IFERROR(__xludf.DUMMYFUNCTION("""COMPUTED_VALUE"""),"RUN-COMB_2022-07-14_RFR-078")</f>
        <v>RUN-COMB_2022-07-14_RFR-078</v>
      </c>
      <c r="C1422" s="7">
        <f>VLOOKUP(B1422,'Run Reconcile'!A$2:B3090,2,FALSE)</f>
        <v>44756</v>
      </c>
      <c r="D1422" s="11">
        <f>IFERROR(__xludf.DUMMYFUNCTION("""COMPUTED_VALUE"""),44756.0)</f>
        <v>44756</v>
      </c>
      <c r="E1422" s="12">
        <f>IFERROR(__xludf.DUMMYFUNCTION("""COMPUTED_VALUE"""),0.6283217592608707)</f>
        <v>0.6283217593</v>
      </c>
      <c r="F1422" s="6" t="str">
        <f>IFERROR(__xludf.DUMMYFUNCTION("""COMPUTED_VALUE"""),"Negative")</f>
        <v>Negative</v>
      </c>
      <c r="G1422" s="6">
        <f>IFERROR(__xludf.DUMMYFUNCTION("""COMPUTED_VALUE"""),1.0)</f>
        <v>1</v>
      </c>
    </row>
    <row r="1423">
      <c r="A1423" s="6" t="str">
        <f>IFERROR(__xludf.DUMMYFUNCTION("""COMPUTED_VALUE"""),"FM3796")</f>
        <v>FM3796</v>
      </c>
      <c r="B1423" s="6" t="str">
        <f>IFERROR(__xludf.DUMMYFUNCTION("""COMPUTED_VALUE"""),"RUN-COMB_2022-07-14_RFR-078")</f>
        <v>RUN-COMB_2022-07-14_RFR-078</v>
      </c>
      <c r="C1423" s="7">
        <f>VLOOKUP(B1423,'Run Reconcile'!A$2:B3090,2,FALSE)</f>
        <v>44756</v>
      </c>
      <c r="D1423" s="11">
        <f>IFERROR(__xludf.DUMMYFUNCTION("""COMPUTED_VALUE"""),44756.0)</f>
        <v>44756</v>
      </c>
      <c r="E1423" s="12">
        <f>IFERROR(__xludf.DUMMYFUNCTION("""COMPUTED_VALUE"""),0.6287615740729962)</f>
        <v>0.6287615741</v>
      </c>
      <c r="F1423" s="6" t="str">
        <f>IFERROR(__xludf.DUMMYFUNCTION("""COMPUTED_VALUE"""),"Negative")</f>
        <v>Negative</v>
      </c>
      <c r="G1423" s="6">
        <f>IFERROR(__xludf.DUMMYFUNCTION("""COMPUTED_VALUE"""),1.0)</f>
        <v>1</v>
      </c>
    </row>
    <row r="1424">
      <c r="A1424" s="6" t="str">
        <f>IFERROR(__xludf.DUMMYFUNCTION("""COMPUTED_VALUE"""),"FM2537")</f>
        <v>FM2537</v>
      </c>
      <c r="B1424" s="6" t="str">
        <f>IFERROR(__xludf.DUMMYFUNCTION("""COMPUTED_VALUE"""),"RUN-COMB_2022-07-14_RFR-078")</f>
        <v>RUN-COMB_2022-07-14_RFR-078</v>
      </c>
      <c r="C1424" s="7">
        <f>VLOOKUP(B1424,'Run Reconcile'!A$2:B3090,2,FALSE)</f>
        <v>44756</v>
      </c>
      <c r="D1424" s="11">
        <f>IFERROR(__xludf.DUMMYFUNCTION("""COMPUTED_VALUE"""),44756.0)</f>
        <v>44756</v>
      </c>
      <c r="E1424" s="12">
        <f>IFERROR(__xludf.DUMMYFUNCTION("""COMPUTED_VALUE"""),0.6292245370386809)</f>
        <v>0.629224537</v>
      </c>
      <c r="F1424" s="6" t="str">
        <f>IFERROR(__xludf.DUMMYFUNCTION("""COMPUTED_VALUE"""),"Negative")</f>
        <v>Negative</v>
      </c>
      <c r="G1424" s="6">
        <f>IFERROR(__xludf.DUMMYFUNCTION("""COMPUTED_VALUE"""),1.0)</f>
        <v>1</v>
      </c>
    </row>
    <row r="1425">
      <c r="A1425" s="6" t="str">
        <f>IFERROR(__xludf.DUMMYFUNCTION("""COMPUTED_VALUE"""),"FM2637")</f>
        <v>FM2637</v>
      </c>
      <c r="B1425" s="6" t="str">
        <f>IFERROR(__xludf.DUMMYFUNCTION("""COMPUTED_VALUE"""),"RUN-COMB_2022-07-14_RFR-078")</f>
        <v>RUN-COMB_2022-07-14_RFR-078</v>
      </c>
      <c r="C1425" s="7">
        <f>VLOOKUP(B1425,'Run Reconcile'!A$2:B3090,2,FALSE)</f>
        <v>44756</v>
      </c>
      <c r="D1425" s="11">
        <f>IFERROR(__xludf.DUMMYFUNCTION("""COMPUTED_VALUE"""),44756.0)</f>
        <v>44756</v>
      </c>
      <c r="E1425" s="12">
        <f>IFERROR(__xludf.DUMMYFUNCTION("""COMPUTED_VALUE"""),0.6296527777776646)</f>
        <v>0.6296527778</v>
      </c>
      <c r="F1425" s="6" t="str">
        <f>IFERROR(__xludf.DUMMYFUNCTION("""COMPUTED_VALUE"""),"Negative")</f>
        <v>Negative</v>
      </c>
      <c r="G1425" s="6">
        <f>IFERROR(__xludf.DUMMYFUNCTION("""COMPUTED_VALUE"""),1.0)</f>
        <v>1</v>
      </c>
    </row>
    <row r="1426">
      <c r="A1426" s="6" t="str">
        <f>IFERROR(__xludf.DUMMYFUNCTION("""COMPUTED_VALUE"""),"FM3703")</f>
        <v>FM3703</v>
      </c>
      <c r="B1426" s="6" t="str">
        <f>IFERROR(__xludf.DUMMYFUNCTION("""COMPUTED_VALUE"""),"RUN-COMB_2022-07-14_RFR-078")</f>
        <v>RUN-COMB_2022-07-14_RFR-078</v>
      </c>
      <c r="C1426" s="7">
        <f>VLOOKUP(B1426,'Run Reconcile'!A$2:B3090,2,FALSE)</f>
        <v>44756</v>
      </c>
      <c r="D1426" s="11">
        <f>IFERROR(__xludf.DUMMYFUNCTION("""COMPUTED_VALUE"""),44756.0)</f>
        <v>44756</v>
      </c>
      <c r="E1426" s="12">
        <f>IFERROR(__xludf.DUMMYFUNCTION("""COMPUTED_VALUE"""),0.6306365740747424)</f>
        <v>0.6306365741</v>
      </c>
      <c r="F1426" s="6" t="str">
        <f>IFERROR(__xludf.DUMMYFUNCTION("""COMPUTED_VALUE"""),"Negative")</f>
        <v>Negative</v>
      </c>
      <c r="G1426" s="6">
        <f>IFERROR(__xludf.DUMMYFUNCTION("""COMPUTED_VALUE"""),1.0)</f>
        <v>1</v>
      </c>
    </row>
    <row r="1427">
      <c r="A1427" s="6" t="str">
        <f>IFERROR(__xludf.DUMMYFUNCTION("""COMPUTED_VALUE"""),"FM2567")</f>
        <v>FM2567</v>
      </c>
      <c r="B1427" s="6" t="str">
        <f>IFERROR(__xludf.DUMMYFUNCTION("""COMPUTED_VALUE"""),"RUN-COMB_2022-07-14_RFR-078")</f>
        <v>RUN-COMB_2022-07-14_RFR-078</v>
      </c>
      <c r="C1427" s="7">
        <f>VLOOKUP(B1427,'Run Reconcile'!A$2:B3090,2,FALSE)</f>
        <v>44756</v>
      </c>
      <c r="D1427" s="11">
        <f>IFERROR(__xludf.DUMMYFUNCTION("""COMPUTED_VALUE"""),44756.0)</f>
        <v>44756</v>
      </c>
      <c r="E1427" s="12">
        <f>IFERROR(__xludf.DUMMYFUNCTION("""COMPUTED_VALUE"""),0.6316319444449618)</f>
        <v>0.6316319444</v>
      </c>
      <c r="F1427" s="6" t="str">
        <f>IFERROR(__xludf.DUMMYFUNCTION("""COMPUTED_VALUE"""),"Negative")</f>
        <v>Negative</v>
      </c>
      <c r="G1427" s="6">
        <f>IFERROR(__xludf.DUMMYFUNCTION("""COMPUTED_VALUE"""),1.0)</f>
        <v>1</v>
      </c>
    </row>
    <row r="1428">
      <c r="A1428" s="6" t="str">
        <f>IFERROR(__xludf.DUMMYFUNCTION("""COMPUTED_VALUE"""),"FM3785")</f>
        <v>FM3785</v>
      </c>
      <c r="B1428" s="6" t="str">
        <f>IFERROR(__xludf.DUMMYFUNCTION("""COMPUTED_VALUE"""),"RUN-COMB_2022-07-14_RFR-078")</f>
        <v>RUN-COMB_2022-07-14_RFR-078</v>
      </c>
      <c r="C1428" s="7">
        <f>VLOOKUP(B1428,'Run Reconcile'!A$2:B3090,2,FALSE)</f>
        <v>44756</v>
      </c>
      <c r="D1428" s="11">
        <f>IFERROR(__xludf.DUMMYFUNCTION("""COMPUTED_VALUE"""),44756.0)</f>
        <v>44756</v>
      </c>
      <c r="E1428" s="12">
        <f>IFERROR(__xludf.DUMMYFUNCTION("""COMPUTED_VALUE"""),0.6325462962959136)</f>
        <v>0.6325462963</v>
      </c>
      <c r="F1428" s="6" t="str">
        <f>IFERROR(__xludf.DUMMYFUNCTION("""COMPUTED_VALUE"""),"Negative")</f>
        <v>Negative</v>
      </c>
      <c r="G1428" s="6">
        <f>IFERROR(__xludf.DUMMYFUNCTION("""COMPUTED_VALUE"""),1.0)</f>
        <v>1</v>
      </c>
    </row>
    <row r="1429">
      <c r="A1429" s="6" t="str">
        <f>IFERROR(__xludf.DUMMYFUNCTION("""COMPUTED_VALUE"""),"FM3807")</f>
        <v>FM3807</v>
      </c>
      <c r="B1429" s="6" t="str">
        <f>IFERROR(__xludf.DUMMYFUNCTION("""COMPUTED_VALUE"""),"RUN-COMB_2022-07-14_RFR-078")</f>
        <v>RUN-COMB_2022-07-14_RFR-078</v>
      </c>
      <c r="C1429" s="7">
        <f>VLOOKUP(B1429,'Run Reconcile'!A$2:B3090,2,FALSE)</f>
        <v>44756</v>
      </c>
      <c r="D1429" s="11">
        <f>IFERROR(__xludf.DUMMYFUNCTION("""COMPUTED_VALUE"""),44756.0)</f>
        <v>44756</v>
      </c>
      <c r="E1429" s="12">
        <f>IFERROR(__xludf.DUMMYFUNCTION("""COMPUTED_VALUE"""),0.6330671296309447)</f>
        <v>0.6330671296</v>
      </c>
      <c r="F1429" s="6" t="str">
        <f>IFERROR(__xludf.DUMMYFUNCTION("""COMPUTED_VALUE"""),"Negative")</f>
        <v>Negative</v>
      </c>
      <c r="G1429" s="6">
        <f>IFERROR(__xludf.DUMMYFUNCTION("""COMPUTED_VALUE"""),1.0)</f>
        <v>1</v>
      </c>
    </row>
    <row r="1430">
      <c r="A1430" s="6" t="str">
        <f>IFERROR(__xludf.DUMMYFUNCTION("""COMPUTED_VALUE"""),"FM3818")</f>
        <v>FM3818</v>
      </c>
      <c r="B1430" s="6" t="str">
        <f>IFERROR(__xludf.DUMMYFUNCTION("""COMPUTED_VALUE"""),"RUN-COMB_2022-07-14_RFR-078")</f>
        <v>RUN-COMB_2022-07-14_RFR-078</v>
      </c>
      <c r="C1430" s="7">
        <f>VLOOKUP(B1430,'Run Reconcile'!A$2:B3090,2,FALSE)</f>
        <v>44756</v>
      </c>
      <c r="D1430" s="11">
        <f>IFERROR(__xludf.DUMMYFUNCTION("""COMPUTED_VALUE"""),44756.0)</f>
        <v>44756</v>
      </c>
      <c r="E1430" s="12">
        <f>IFERROR(__xludf.DUMMYFUNCTION("""COMPUTED_VALUE"""),0.6334953703699284)</f>
        <v>0.6334953704</v>
      </c>
      <c r="F1430" s="6" t="str">
        <f>IFERROR(__xludf.DUMMYFUNCTION("""COMPUTED_VALUE"""),"Negative")</f>
        <v>Negative</v>
      </c>
      <c r="G1430" s="6">
        <f>IFERROR(__xludf.DUMMYFUNCTION("""COMPUTED_VALUE"""),1.0)</f>
        <v>1</v>
      </c>
    </row>
    <row r="1431">
      <c r="A1431" s="6" t="str">
        <f>IFERROR(__xludf.DUMMYFUNCTION("""COMPUTED_VALUE"""),"FM3719")</f>
        <v>FM3719</v>
      </c>
      <c r="B1431" s="6" t="str">
        <f>IFERROR(__xludf.DUMMYFUNCTION("""COMPUTED_VALUE"""),"RUN-COMB_2022-07-14_RFR-078")</f>
        <v>RUN-COMB_2022-07-14_RFR-078</v>
      </c>
      <c r="C1431" s="7">
        <f>VLOOKUP(B1431,'Run Reconcile'!A$2:B3090,2,FALSE)</f>
        <v>44756</v>
      </c>
      <c r="D1431" s="11">
        <f>IFERROR(__xludf.DUMMYFUNCTION("""COMPUTED_VALUE"""),44756.0)</f>
        <v>44756</v>
      </c>
      <c r="E1431" s="12">
        <f>IFERROR(__xludf.DUMMYFUNCTION("""COMPUTED_VALUE"""),0.6339699074087548)</f>
        <v>0.6339699074</v>
      </c>
      <c r="F1431" s="6" t="str">
        <f>IFERROR(__xludf.DUMMYFUNCTION("""COMPUTED_VALUE"""),"Negative")</f>
        <v>Negative</v>
      </c>
      <c r="G1431" s="6">
        <f>IFERROR(__xludf.DUMMYFUNCTION("""COMPUTED_VALUE"""),1.0)</f>
        <v>1</v>
      </c>
    </row>
    <row r="1432">
      <c r="A1432" s="6" t="str">
        <f>IFERROR(__xludf.DUMMYFUNCTION("""COMPUTED_VALUE"""),"FM3698")</f>
        <v>FM3698</v>
      </c>
      <c r="B1432" s="6" t="str">
        <f>IFERROR(__xludf.DUMMYFUNCTION("""COMPUTED_VALUE"""),"RUN-COMB_2022-07-14_RFR-078")</f>
        <v>RUN-COMB_2022-07-14_RFR-078</v>
      </c>
      <c r="C1432" s="7">
        <f>VLOOKUP(B1432,'Run Reconcile'!A$2:B3090,2,FALSE)</f>
        <v>44756</v>
      </c>
      <c r="D1432" s="11">
        <f>IFERROR(__xludf.DUMMYFUNCTION("""COMPUTED_VALUE"""),44756.0)</f>
        <v>44756</v>
      </c>
      <c r="E1432" s="12">
        <f>IFERROR(__xludf.DUMMYFUNCTION("""COMPUTED_VALUE"""),0.6344444444439432)</f>
        <v>0.6344444444</v>
      </c>
      <c r="F1432" s="6" t="str">
        <f>IFERROR(__xludf.DUMMYFUNCTION("""COMPUTED_VALUE"""),"Negative")</f>
        <v>Negative</v>
      </c>
      <c r="G1432" s="6">
        <f>IFERROR(__xludf.DUMMYFUNCTION("""COMPUTED_VALUE"""),1.0)</f>
        <v>1</v>
      </c>
    </row>
    <row r="1433">
      <c r="A1433" s="6" t="str">
        <f>IFERROR(__xludf.DUMMYFUNCTION("""COMPUTED_VALUE"""),"FM3791")</f>
        <v>FM3791</v>
      </c>
      <c r="B1433" s="6" t="str">
        <f>IFERROR(__xludf.DUMMYFUNCTION("""COMPUTED_VALUE"""),"RUN-COMB_2022-07-14_RFR-078")</f>
        <v>RUN-COMB_2022-07-14_RFR-078</v>
      </c>
      <c r="C1433" s="7">
        <f>VLOOKUP(B1433,'Run Reconcile'!A$2:B3090,2,FALSE)</f>
        <v>44756</v>
      </c>
      <c r="D1433" s="11">
        <f>IFERROR(__xludf.DUMMYFUNCTION("""COMPUTED_VALUE"""),44756.0)</f>
        <v>44756</v>
      </c>
      <c r="E1433" s="12">
        <f>IFERROR(__xludf.DUMMYFUNCTION("""COMPUTED_VALUE"""),0.6349421296290529)</f>
        <v>0.6349421296</v>
      </c>
      <c r="F1433" s="6" t="str">
        <f>IFERROR(__xludf.DUMMYFUNCTION("""COMPUTED_VALUE"""),"Negative")</f>
        <v>Negative</v>
      </c>
      <c r="G1433" s="6">
        <f>IFERROR(__xludf.DUMMYFUNCTION("""COMPUTED_VALUE"""),1.0)</f>
        <v>1</v>
      </c>
    </row>
    <row r="1434">
      <c r="A1434" s="6" t="str">
        <f>IFERROR(__xludf.DUMMYFUNCTION("""COMPUTED_VALUE"""),"FM3838")</f>
        <v>FM3838</v>
      </c>
      <c r="B1434" s="6" t="str">
        <f>IFERROR(__xludf.DUMMYFUNCTION("""COMPUTED_VALUE"""),"RUN-COMB_2022-07-14_RFR-078")</f>
        <v>RUN-COMB_2022-07-14_RFR-078</v>
      </c>
      <c r="C1434" s="7">
        <f>VLOOKUP(B1434,'Run Reconcile'!A$2:B3090,2,FALSE)</f>
        <v>44756</v>
      </c>
      <c r="D1434" s="11">
        <f>IFERROR(__xludf.DUMMYFUNCTION("""COMPUTED_VALUE"""),44756.0)</f>
        <v>44756</v>
      </c>
      <c r="E1434" s="12">
        <f>IFERROR(__xludf.DUMMYFUNCTION("""COMPUTED_VALUE"""),0.6354050925910997)</f>
        <v>0.6354050926</v>
      </c>
      <c r="F1434" s="6" t="str">
        <f>IFERROR(__xludf.DUMMYFUNCTION("""COMPUTED_VALUE"""),"Negative")</f>
        <v>Negative</v>
      </c>
      <c r="G1434" s="6">
        <f>IFERROR(__xludf.DUMMYFUNCTION("""COMPUTED_VALUE"""),1.0)</f>
        <v>1</v>
      </c>
    </row>
    <row r="1435">
      <c r="A1435" s="6" t="str">
        <f>IFERROR(__xludf.DUMMYFUNCTION("""COMPUTED_VALUE"""),"FM3784")</f>
        <v>FM3784</v>
      </c>
      <c r="B1435" s="6" t="str">
        <f>IFERROR(__xludf.DUMMYFUNCTION("""COMPUTED_VALUE"""),"RUN-COMB_2022-07-14_RFR-078")</f>
        <v>RUN-COMB_2022-07-14_RFR-078</v>
      </c>
      <c r="C1435" s="7">
        <f>VLOOKUP(B1435,'Run Reconcile'!A$2:B3090,2,FALSE)</f>
        <v>44756</v>
      </c>
      <c r="D1435" s="11">
        <f>IFERROR(__xludf.DUMMYFUNCTION("""COMPUTED_VALUE"""),44756.0)</f>
        <v>44756</v>
      </c>
      <c r="E1435" s="12">
        <f>IFERROR(__xludf.DUMMYFUNCTION("""COMPUTED_VALUE"""),0.6359722222223354)</f>
        <v>0.6359722222</v>
      </c>
      <c r="F1435" s="6" t="str">
        <f>IFERROR(__xludf.DUMMYFUNCTION("""COMPUTED_VALUE"""),"Negative")</f>
        <v>Negative</v>
      </c>
      <c r="G1435" s="6">
        <f>IFERROR(__xludf.DUMMYFUNCTION("""COMPUTED_VALUE"""),1.0)</f>
        <v>1</v>
      </c>
    </row>
    <row r="1436">
      <c r="A1436" s="6" t="str">
        <f>IFERROR(__xludf.DUMMYFUNCTION("""COMPUTED_VALUE"""),"FM3832")</f>
        <v>FM3832</v>
      </c>
      <c r="B1436" s="6" t="str">
        <f>IFERROR(__xludf.DUMMYFUNCTION("""COMPUTED_VALUE"""),"RUN-COMB_2022-07-14_RFR-078")</f>
        <v>RUN-COMB_2022-07-14_RFR-078</v>
      </c>
      <c r="C1436" s="7">
        <f>VLOOKUP(B1436,'Run Reconcile'!A$2:B3090,2,FALSE)</f>
        <v>44756</v>
      </c>
      <c r="D1436" s="11">
        <f>IFERROR(__xludf.DUMMYFUNCTION("""COMPUTED_VALUE"""),44756.0)</f>
        <v>44756</v>
      </c>
      <c r="E1436" s="12">
        <f>IFERROR(__xludf.DUMMYFUNCTION("""COMPUTED_VALUE"""),0.6365740740729962)</f>
        <v>0.6365740741</v>
      </c>
      <c r="F1436" s="6" t="str">
        <f>IFERROR(__xludf.DUMMYFUNCTION("""COMPUTED_VALUE"""),"Negative")</f>
        <v>Negative</v>
      </c>
      <c r="G1436" s="6">
        <f>IFERROR(__xludf.DUMMYFUNCTION("""COMPUTED_VALUE"""),1.0)</f>
        <v>1</v>
      </c>
    </row>
    <row r="1437">
      <c r="A1437" s="6" t="str">
        <f>IFERROR(__xludf.DUMMYFUNCTION("""COMPUTED_VALUE"""),"FM3787")</f>
        <v>FM3787</v>
      </c>
      <c r="B1437" s="6" t="str">
        <f>IFERROR(__xludf.DUMMYFUNCTION("""COMPUTED_VALUE"""),"RUN-COMB_2022-07-14_RFR-078")</f>
        <v>RUN-COMB_2022-07-14_RFR-078</v>
      </c>
      <c r="C1437" s="7">
        <f>VLOOKUP(B1437,'Run Reconcile'!A$2:B3090,2,FALSE)</f>
        <v>44756</v>
      </c>
      <c r="D1437" s="11">
        <f>IFERROR(__xludf.DUMMYFUNCTION("""COMPUTED_VALUE"""),44756.0)</f>
        <v>44756</v>
      </c>
      <c r="E1437" s="12">
        <f>IFERROR(__xludf.DUMMYFUNCTION("""COMPUTED_VALUE"""),0.6373379629621923)</f>
        <v>0.637337963</v>
      </c>
      <c r="F1437" s="6" t="str">
        <f>IFERROR(__xludf.DUMMYFUNCTION("""COMPUTED_VALUE"""),"Negative")</f>
        <v>Negative</v>
      </c>
      <c r="G1437" s="6">
        <f>IFERROR(__xludf.DUMMYFUNCTION("""COMPUTED_VALUE"""),1.0)</f>
        <v>1</v>
      </c>
    </row>
    <row r="1438">
      <c r="A1438" s="6" t="str">
        <f>IFERROR(__xludf.DUMMYFUNCTION("""COMPUTED_VALUE"""),"FM3688")</f>
        <v>FM3688</v>
      </c>
      <c r="B1438" s="6" t="str">
        <f>IFERROR(__xludf.DUMMYFUNCTION("""COMPUTED_VALUE"""),"RUN-COMB_2022-07-15_RFR-079")</f>
        <v>RUN-COMB_2022-07-15_RFR-079</v>
      </c>
      <c r="C1438" s="7">
        <f>VLOOKUP(B1438,'Run Reconcile'!A$2:B3090,2,FALSE)</f>
        <v>44757</v>
      </c>
      <c r="D1438" s="11">
        <f>IFERROR(__xludf.DUMMYFUNCTION("""COMPUTED_VALUE"""),44757.0)</f>
        <v>44757</v>
      </c>
      <c r="E1438" s="12">
        <f>IFERROR(__xludf.DUMMYFUNCTION("""COMPUTED_VALUE"""),0.716273148147593)</f>
        <v>0.7162731481</v>
      </c>
      <c r="F1438" s="6" t="str">
        <f>IFERROR(__xludf.DUMMYFUNCTION("""COMPUTED_VALUE"""),"Negative")</f>
        <v>Negative</v>
      </c>
      <c r="G1438" s="6">
        <f>IFERROR(__xludf.DUMMYFUNCTION("""COMPUTED_VALUE"""),1.0)</f>
        <v>1</v>
      </c>
    </row>
    <row r="1439">
      <c r="A1439" s="6" t="str">
        <f>IFERROR(__xludf.DUMMYFUNCTION("""COMPUTED_VALUE"""),"FM2535")</f>
        <v>FM2535</v>
      </c>
      <c r="B1439" s="6" t="str">
        <f>IFERROR(__xludf.DUMMYFUNCTION("""COMPUTED_VALUE"""),"RUN-COMB_2022-07-15_RFR-079")</f>
        <v>RUN-COMB_2022-07-15_RFR-079</v>
      </c>
      <c r="C1439" s="7">
        <f>VLOOKUP(B1439,'Run Reconcile'!A$2:B3090,2,FALSE)</f>
        <v>44757</v>
      </c>
      <c r="D1439" s="11">
        <f>IFERROR(__xludf.DUMMYFUNCTION("""COMPUTED_VALUE"""),44757.0)</f>
        <v>44757</v>
      </c>
      <c r="E1439" s="12">
        <f>IFERROR(__xludf.DUMMYFUNCTION("""COMPUTED_VALUE"""),0.7166319444440887)</f>
        <v>0.7166319444</v>
      </c>
      <c r="F1439" s="6" t="str">
        <f>IFERROR(__xludf.DUMMYFUNCTION("""COMPUTED_VALUE"""),"Negative")</f>
        <v>Negative</v>
      </c>
      <c r="G1439" s="6">
        <f>IFERROR(__xludf.DUMMYFUNCTION("""COMPUTED_VALUE"""),1.0)</f>
        <v>1</v>
      </c>
    </row>
    <row r="1440">
      <c r="A1440" s="6" t="str">
        <f>IFERROR(__xludf.DUMMYFUNCTION("""COMPUTED_VALUE"""),"FM3819")</f>
        <v>FM3819</v>
      </c>
      <c r="B1440" s="6" t="str">
        <f>IFERROR(__xludf.DUMMYFUNCTION("""COMPUTED_VALUE"""),"RUN-COMB_2022-07-15_RFR-079")</f>
        <v>RUN-COMB_2022-07-15_RFR-079</v>
      </c>
      <c r="C1440" s="7">
        <f>VLOOKUP(B1440,'Run Reconcile'!A$2:B3090,2,FALSE)</f>
        <v>44757</v>
      </c>
      <c r="D1440" s="11">
        <f>IFERROR(__xludf.DUMMYFUNCTION("""COMPUTED_VALUE"""),44757.0)</f>
        <v>44757</v>
      </c>
      <c r="E1440" s="12">
        <f>IFERROR(__xludf.DUMMYFUNCTION("""COMPUTED_VALUE"""),0.7169675925943011)</f>
        <v>0.7169675926</v>
      </c>
      <c r="F1440" s="6" t="str">
        <f>IFERROR(__xludf.DUMMYFUNCTION("""COMPUTED_VALUE"""),"Negative")</f>
        <v>Negative</v>
      </c>
      <c r="G1440" s="6">
        <f>IFERROR(__xludf.DUMMYFUNCTION("""COMPUTED_VALUE"""),1.0)</f>
        <v>1</v>
      </c>
    </row>
    <row r="1441">
      <c r="A1441" s="6" t="str">
        <f>IFERROR(__xludf.DUMMYFUNCTION("""COMPUTED_VALUE"""),"FM3705")</f>
        <v>FM3705</v>
      </c>
      <c r="B1441" s="6" t="str">
        <f>IFERROR(__xludf.DUMMYFUNCTION("""COMPUTED_VALUE"""),"RUN-COMB_2022-07-15_RFR-079")</f>
        <v>RUN-COMB_2022-07-15_RFR-079</v>
      </c>
      <c r="C1441" s="7">
        <f>VLOOKUP(B1441,'Run Reconcile'!A$2:B3090,2,FALSE)</f>
        <v>44757</v>
      </c>
      <c r="D1441" s="11">
        <f>IFERROR(__xludf.DUMMYFUNCTION("""COMPUTED_VALUE"""),44757.0)</f>
        <v>44757</v>
      </c>
      <c r="E1441" s="12">
        <f>IFERROR(__xludf.DUMMYFUNCTION("""COMPUTED_VALUE"""),0.7173726851870015)</f>
        <v>0.7173726852</v>
      </c>
      <c r="F1441" s="6" t="str">
        <f>IFERROR(__xludf.DUMMYFUNCTION("""COMPUTED_VALUE"""),"Negative")</f>
        <v>Negative</v>
      </c>
      <c r="G1441" s="6">
        <f>IFERROR(__xludf.DUMMYFUNCTION("""COMPUTED_VALUE"""),1.0)</f>
        <v>1</v>
      </c>
    </row>
    <row r="1442">
      <c r="A1442" s="6" t="str">
        <f>IFERROR(__xludf.DUMMYFUNCTION("""COMPUTED_VALUE"""),"FM3809")</f>
        <v>FM3809</v>
      </c>
      <c r="B1442" s="6" t="str">
        <f>IFERROR(__xludf.DUMMYFUNCTION("""COMPUTED_VALUE"""),"RUN-COMB_2022-07-15_RFR-079")</f>
        <v>RUN-COMB_2022-07-15_RFR-079</v>
      </c>
      <c r="C1442" s="7">
        <f>VLOOKUP(B1442,'Run Reconcile'!A$2:B3090,2,FALSE)</f>
        <v>44757</v>
      </c>
      <c r="D1442" s="11">
        <f>IFERROR(__xludf.DUMMYFUNCTION("""COMPUTED_VALUE"""),44757.0)</f>
        <v>44757</v>
      </c>
      <c r="E1442" s="12">
        <f>IFERROR(__xludf.DUMMYFUNCTION("""COMPUTED_VALUE"""),0.7176967592604342)</f>
        <v>0.7176967593</v>
      </c>
      <c r="F1442" s="6" t="str">
        <f>IFERROR(__xludf.DUMMYFUNCTION("""COMPUTED_VALUE"""),"Negative")</f>
        <v>Negative</v>
      </c>
      <c r="G1442" s="6">
        <f>IFERROR(__xludf.DUMMYFUNCTION("""COMPUTED_VALUE"""),1.0)</f>
        <v>1</v>
      </c>
    </row>
    <row r="1443">
      <c r="A1443" s="6" t="str">
        <f>IFERROR(__xludf.DUMMYFUNCTION("""COMPUTED_VALUE"""),"FM2590")</f>
        <v>FM2590</v>
      </c>
      <c r="B1443" s="6" t="str">
        <f>IFERROR(__xludf.DUMMYFUNCTION("""COMPUTED_VALUE"""),"RUN-COMB_2022-07-15_RFR-079")</f>
        <v>RUN-COMB_2022-07-15_RFR-079</v>
      </c>
      <c r="C1443" s="7">
        <f>VLOOKUP(B1443,'Run Reconcile'!A$2:B3090,2,FALSE)</f>
        <v>44757</v>
      </c>
      <c r="D1443" s="11">
        <f>IFERROR(__xludf.DUMMYFUNCTION("""COMPUTED_VALUE"""),44757.0)</f>
        <v>44757</v>
      </c>
      <c r="E1443" s="12">
        <f>IFERROR(__xludf.DUMMYFUNCTION("""COMPUTED_VALUE"""),0.7181597222224809)</f>
        <v>0.7181597222</v>
      </c>
      <c r="F1443" s="6" t="str">
        <f>IFERROR(__xludf.DUMMYFUNCTION("""COMPUTED_VALUE"""),"Negative")</f>
        <v>Negative</v>
      </c>
      <c r="G1443" s="6">
        <f>IFERROR(__xludf.DUMMYFUNCTION("""COMPUTED_VALUE"""),1.0)</f>
        <v>1</v>
      </c>
    </row>
    <row r="1444">
      <c r="A1444" s="6" t="str">
        <f>IFERROR(__xludf.DUMMYFUNCTION("""COMPUTED_VALUE"""),"FM3811")</f>
        <v>FM3811</v>
      </c>
      <c r="B1444" s="6" t="str">
        <f>IFERROR(__xludf.DUMMYFUNCTION("""COMPUTED_VALUE"""),"RUN-COMB_2022-07-15_RFR-079")</f>
        <v>RUN-COMB_2022-07-15_RFR-079</v>
      </c>
      <c r="C1444" s="7">
        <f>VLOOKUP(B1444,'Run Reconcile'!A$2:B3090,2,FALSE)</f>
        <v>44757</v>
      </c>
      <c r="D1444" s="11">
        <f>IFERROR(__xludf.DUMMYFUNCTION("""COMPUTED_VALUE"""),44757.0)</f>
        <v>44757</v>
      </c>
      <c r="E1444" s="12">
        <f>IFERROR(__xludf.DUMMYFUNCTION("""COMPUTED_VALUE"""),0.7185648148151813)</f>
        <v>0.7185648148</v>
      </c>
      <c r="F1444" s="6" t="str">
        <f>IFERROR(__xludf.DUMMYFUNCTION("""COMPUTED_VALUE"""),"Negative")</f>
        <v>Negative</v>
      </c>
      <c r="G1444" s="6">
        <f>IFERROR(__xludf.DUMMYFUNCTION("""COMPUTED_VALUE"""),1.0)</f>
        <v>1</v>
      </c>
    </row>
    <row r="1445">
      <c r="A1445" s="6" t="str">
        <f>IFERROR(__xludf.DUMMYFUNCTION("""COMPUTED_VALUE"""),"FM3825")</f>
        <v>FM3825</v>
      </c>
      <c r="B1445" s="6" t="str">
        <f>IFERROR(__xludf.DUMMYFUNCTION("""COMPUTED_VALUE"""),"RUN-COMB_2022-07-15_RFR-079")</f>
        <v>RUN-COMB_2022-07-15_RFR-079</v>
      </c>
      <c r="C1445" s="7">
        <f>VLOOKUP(B1445,'Run Reconcile'!A$2:B3090,2,FALSE)</f>
        <v>44757</v>
      </c>
      <c r="D1445" s="11">
        <f>IFERROR(__xludf.DUMMYFUNCTION("""COMPUTED_VALUE"""),44757.0)</f>
        <v>44757</v>
      </c>
      <c r="E1445" s="12">
        <f>IFERROR(__xludf.DUMMYFUNCTION("""COMPUTED_VALUE"""),0.7188773148154723)</f>
        <v>0.7188773148</v>
      </c>
      <c r="F1445" s="6" t="str">
        <f>IFERROR(__xludf.DUMMYFUNCTION("""COMPUTED_VALUE"""),"Negative")</f>
        <v>Negative</v>
      </c>
      <c r="G1445" s="6">
        <f>IFERROR(__xludf.DUMMYFUNCTION("""COMPUTED_VALUE"""),1.0)</f>
        <v>1</v>
      </c>
    </row>
    <row r="1446">
      <c r="A1446" s="6" t="str">
        <f>IFERROR(__xludf.DUMMYFUNCTION("""COMPUTED_VALUE"""),"FM3803")</f>
        <v>FM3803</v>
      </c>
      <c r="B1446" s="6" t="str">
        <f>IFERROR(__xludf.DUMMYFUNCTION("""COMPUTED_VALUE"""),"RUN-COMB_2022-07-15_RFR-079")</f>
        <v>RUN-COMB_2022-07-15_RFR-079</v>
      </c>
      <c r="C1446" s="7">
        <f>VLOOKUP(B1446,'Run Reconcile'!A$2:B3090,2,FALSE)</f>
        <v>44757</v>
      </c>
      <c r="D1446" s="11">
        <f>IFERROR(__xludf.DUMMYFUNCTION("""COMPUTED_VALUE"""),44757.0)</f>
        <v>44757</v>
      </c>
      <c r="E1446" s="12">
        <f>IFERROR(__xludf.DUMMYFUNCTION("""COMPUTED_VALUE"""),0.7202777777783922)</f>
        <v>0.7202777778</v>
      </c>
      <c r="F1446" s="6" t="str">
        <f>IFERROR(__xludf.DUMMYFUNCTION("""COMPUTED_VALUE"""),"Negative")</f>
        <v>Negative</v>
      </c>
      <c r="G1446" s="6">
        <f>IFERROR(__xludf.DUMMYFUNCTION("""COMPUTED_VALUE"""),1.0)</f>
        <v>1</v>
      </c>
    </row>
    <row r="1447">
      <c r="A1447" s="6" t="str">
        <f>IFERROR(__xludf.DUMMYFUNCTION("""COMPUTED_VALUE"""),"FM3798")</f>
        <v>FM3798</v>
      </c>
      <c r="B1447" s="6" t="str">
        <f>IFERROR(__xludf.DUMMYFUNCTION("""COMPUTED_VALUE"""),"RUN-COMB_2022-07-15_RFR-079")</f>
        <v>RUN-COMB_2022-07-15_RFR-079</v>
      </c>
      <c r="C1447" s="7">
        <f>VLOOKUP(B1447,'Run Reconcile'!A$2:B3090,2,FALSE)</f>
        <v>44757</v>
      </c>
      <c r="D1447" s="11">
        <f>IFERROR(__xludf.DUMMYFUNCTION("""COMPUTED_VALUE"""),44757.0)</f>
        <v>44757</v>
      </c>
      <c r="E1447" s="12">
        <f>IFERROR(__xludf.DUMMYFUNCTION("""COMPUTED_VALUE"""),0.7206365740748879)</f>
        <v>0.7206365741</v>
      </c>
      <c r="F1447" s="6" t="str">
        <f>IFERROR(__xludf.DUMMYFUNCTION("""COMPUTED_VALUE"""),"Negative")</f>
        <v>Negative</v>
      </c>
      <c r="G1447" s="6">
        <f>IFERROR(__xludf.DUMMYFUNCTION("""COMPUTED_VALUE"""),1.0)</f>
        <v>1</v>
      </c>
    </row>
    <row r="1448">
      <c r="A1448" s="6" t="str">
        <f>IFERROR(__xludf.DUMMYFUNCTION("""COMPUTED_VALUE"""),"FM3701")</f>
        <v>FM3701</v>
      </c>
      <c r="B1448" s="6" t="str">
        <f>IFERROR(__xludf.DUMMYFUNCTION("""COMPUTED_VALUE"""),"RUN-COMB_2022-07-15_RFR-079")</f>
        <v>RUN-COMB_2022-07-15_RFR-079</v>
      </c>
      <c r="C1448" s="7">
        <f>VLOOKUP(B1448,'Run Reconcile'!A$2:B3090,2,FALSE)</f>
        <v>44757</v>
      </c>
      <c r="D1448" s="11">
        <f>IFERROR(__xludf.DUMMYFUNCTION("""COMPUTED_VALUE"""),44757.0)</f>
        <v>44757</v>
      </c>
      <c r="E1448" s="12">
        <f>IFERROR(__xludf.DUMMYFUNCTION("""COMPUTED_VALUE"""),0.7209259259252576)</f>
        <v>0.7209259259</v>
      </c>
      <c r="F1448" s="6" t="str">
        <f>IFERROR(__xludf.DUMMYFUNCTION("""COMPUTED_VALUE"""),"Negative")</f>
        <v>Negative</v>
      </c>
      <c r="G1448" s="6">
        <f>IFERROR(__xludf.DUMMYFUNCTION("""COMPUTED_VALUE"""),1.0)</f>
        <v>1</v>
      </c>
    </row>
    <row r="1449">
      <c r="A1449" s="6" t="str">
        <f>IFERROR(__xludf.DUMMYFUNCTION("""COMPUTED_VALUE"""),"FM3789")</f>
        <v>FM3789</v>
      </c>
      <c r="B1449" s="6" t="str">
        <f>IFERROR(__xludf.DUMMYFUNCTION("""COMPUTED_VALUE"""),"RUN-COMB_2022-07-15_RFR-079")</f>
        <v>RUN-COMB_2022-07-15_RFR-079</v>
      </c>
      <c r="C1449" s="7">
        <f>VLOOKUP(B1449,'Run Reconcile'!A$2:B3090,2,FALSE)</f>
        <v>44757</v>
      </c>
      <c r="D1449" s="11">
        <f>IFERROR(__xludf.DUMMYFUNCTION("""COMPUTED_VALUE"""),44757.0)</f>
        <v>44757</v>
      </c>
      <c r="E1449" s="12">
        <f>IFERROR(__xludf.DUMMYFUNCTION("""COMPUTED_VALUE"""),0.721331018517958)</f>
        <v>0.7213310185</v>
      </c>
      <c r="F1449" s="6" t="str">
        <f>IFERROR(__xludf.DUMMYFUNCTION("""COMPUTED_VALUE"""),"Negative")</f>
        <v>Negative</v>
      </c>
      <c r="G1449" s="6">
        <f>IFERROR(__xludf.DUMMYFUNCTION("""COMPUTED_VALUE"""),1.0)</f>
        <v>1</v>
      </c>
    </row>
    <row r="1450">
      <c r="A1450" s="6" t="str">
        <f>IFERROR(__xludf.DUMMYFUNCTION("""COMPUTED_VALUE"""),"FM3800")</f>
        <v>FM3800</v>
      </c>
      <c r="B1450" s="6" t="str">
        <f>IFERROR(__xludf.DUMMYFUNCTION("""COMPUTED_VALUE"""),"RUN-COMB_2022-07-15_RFR-079")</f>
        <v>RUN-COMB_2022-07-15_RFR-079</v>
      </c>
      <c r="C1450" s="7">
        <f>VLOOKUP(B1450,'Run Reconcile'!A$2:B3090,2,FALSE)</f>
        <v>44757</v>
      </c>
      <c r="D1450" s="11">
        <f>IFERROR(__xludf.DUMMYFUNCTION("""COMPUTED_VALUE"""),44757.0)</f>
        <v>44757</v>
      </c>
      <c r="E1450" s="12">
        <f>IFERROR(__xludf.DUMMYFUNCTION("""COMPUTED_VALUE"""),0.7216666666681704)</f>
        <v>0.7216666667</v>
      </c>
      <c r="F1450" s="6" t="str">
        <f>IFERROR(__xludf.DUMMYFUNCTION("""COMPUTED_VALUE"""),"Negative")</f>
        <v>Negative</v>
      </c>
      <c r="G1450" s="6">
        <f>IFERROR(__xludf.DUMMYFUNCTION("""COMPUTED_VALUE"""),1.0)</f>
        <v>1</v>
      </c>
    </row>
    <row r="1451">
      <c r="A1451" s="6" t="str">
        <f>IFERROR(__xludf.DUMMYFUNCTION("""COMPUTED_VALUE"""),"FM3690")</f>
        <v>FM3690</v>
      </c>
      <c r="B1451" s="6" t="str">
        <f>IFERROR(__xludf.DUMMYFUNCTION("""COMPUTED_VALUE"""),"RUN-COMB_2022-07-15_RFR-079")</f>
        <v>RUN-COMB_2022-07-15_RFR-079</v>
      </c>
      <c r="C1451" s="7">
        <f>VLOOKUP(B1451,'Run Reconcile'!A$2:B3090,2,FALSE)</f>
        <v>44757</v>
      </c>
      <c r="D1451" s="11">
        <f>IFERROR(__xludf.DUMMYFUNCTION("""COMPUTED_VALUE"""),44757.0)</f>
        <v>44757</v>
      </c>
      <c r="E1451" s="12">
        <f>IFERROR(__xludf.DUMMYFUNCTION("""COMPUTED_VALUE"""),0.7220370370378077)</f>
        <v>0.722037037</v>
      </c>
      <c r="F1451" s="6" t="str">
        <f>IFERROR(__xludf.DUMMYFUNCTION("""COMPUTED_VALUE"""),"Negative")</f>
        <v>Negative</v>
      </c>
      <c r="G1451" s="6">
        <f>IFERROR(__xludf.DUMMYFUNCTION("""COMPUTED_VALUE"""),1.0)</f>
        <v>1</v>
      </c>
    </row>
    <row r="1452">
      <c r="A1452" s="6" t="str">
        <f>IFERROR(__xludf.DUMMYFUNCTION("""COMPUTED_VALUE"""),"FM3786")</f>
        <v>FM3786</v>
      </c>
      <c r="B1452" s="6" t="str">
        <f>IFERROR(__xludf.DUMMYFUNCTION("""COMPUTED_VALUE"""),"RUN-COMB_2022-07-15_RFR-079")</f>
        <v>RUN-COMB_2022-07-15_RFR-079</v>
      </c>
      <c r="C1452" s="7">
        <f>VLOOKUP(B1452,'Run Reconcile'!A$2:B3090,2,FALSE)</f>
        <v>44757</v>
      </c>
      <c r="D1452" s="11">
        <f>IFERROR(__xludf.DUMMYFUNCTION("""COMPUTED_VALUE"""),44757.0)</f>
        <v>44757</v>
      </c>
      <c r="E1452" s="12">
        <f>IFERROR(__xludf.DUMMYFUNCTION("""COMPUTED_VALUE"""),0.7223148148150358)</f>
        <v>0.7223148148</v>
      </c>
      <c r="F1452" s="6" t="str">
        <f>IFERROR(__xludf.DUMMYFUNCTION("""COMPUTED_VALUE"""),"Negative")</f>
        <v>Negative</v>
      </c>
      <c r="G1452" s="6">
        <f>IFERROR(__xludf.DUMMYFUNCTION("""COMPUTED_VALUE"""),1.0)</f>
        <v>1</v>
      </c>
    </row>
    <row r="1453">
      <c r="A1453" s="6" t="str">
        <f>IFERROR(__xludf.DUMMYFUNCTION("""COMPUTED_VALUE"""),"FM3720")</f>
        <v>FM3720</v>
      </c>
      <c r="B1453" s="6" t="str">
        <f>IFERROR(__xludf.DUMMYFUNCTION("""COMPUTED_VALUE"""),"RUN-COMB_2022-07-15_RFR-079")</f>
        <v>RUN-COMB_2022-07-15_RFR-079</v>
      </c>
      <c r="C1453" s="7">
        <f>VLOOKUP(B1453,'Run Reconcile'!A$2:B3090,2,FALSE)</f>
        <v>44757</v>
      </c>
      <c r="D1453" s="11">
        <f>IFERROR(__xludf.DUMMYFUNCTION("""COMPUTED_VALUE"""),44757.0)</f>
        <v>44757</v>
      </c>
      <c r="E1453" s="12">
        <f>IFERROR(__xludf.DUMMYFUNCTION("""COMPUTED_VALUE"""),0.7226967592578148)</f>
        <v>0.7226967593</v>
      </c>
      <c r="F1453" s="6" t="str">
        <f>IFERROR(__xludf.DUMMYFUNCTION("""COMPUTED_VALUE"""),"Negative")</f>
        <v>Negative</v>
      </c>
      <c r="G1453" s="6">
        <f>IFERROR(__xludf.DUMMYFUNCTION("""COMPUTED_VALUE"""),1.0)</f>
        <v>1</v>
      </c>
    </row>
    <row r="1454">
      <c r="A1454" s="6" t="str">
        <f>IFERROR(__xludf.DUMMYFUNCTION("""COMPUTED_VALUE"""),"FM3692")</f>
        <v>FM3692</v>
      </c>
      <c r="B1454" s="6" t="str">
        <f>IFERROR(__xludf.DUMMYFUNCTION("""COMPUTED_VALUE"""),"RUN-COMB_2022-07-15_RFR-079")</f>
        <v>RUN-COMB_2022-07-15_RFR-079</v>
      </c>
      <c r="C1454" s="7">
        <f>VLOOKUP(B1454,'Run Reconcile'!A$2:B3090,2,FALSE)</f>
        <v>44757</v>
      </c>
      <c r="D1454" s="11">
        <f>IFERROR(__xludf.DUMMYFUNCTION("""COMPUTED_VALUE"""),44757.0)</f>
        <v>44757</v>
      </c>
      <c r="E1454" s="12">
        <f>IFERROR(__xludf.DUMMYFUNCTION("""COMPUTED_VALUE"""),0.7231712962966412)</f>
        <v>0.7231712963</v>
      </c>
      <c r="F1454" s="6" t="str">
        <f>IFERROR(__xludf.DUMMYFUNCTION("""COMPUTED_VALUE"""),"Negative")</f>
        <v>Negative</v>
      </c>
      <c r="G1454" s="6">
        <f>IFERROR(__xludf.DUMMYFUNCTION("""COMPUTED_VALUE"""),1.0)</f>
        <v>1</v>
      </c>
    </row>
    <row r="1455">
      <c r="A1455" s="6" t="str">
        <f>IFERROR(__xludf.DUMMYFUNCTION("""COMPUTED_VALUE"""),"FM3683")</f>
        <v>FM3683</v>
      </c>
      <c r="B1455" s="6" t="str">
        <f>IFERROR(__xludf.DUMMYFUNCTION("""COMPUTED_VALUE"""),"RUN-COMB_2022-07-15_RFR-079")</f>
        <v>RUN-COMB_2022-07-15_RFR-079</v>
      </c>
      <c r="C1455" s="7">
        <f>VLOOKUP(B1455,'Run Reconcile'!A$2:B3090,2,FALSE)</f>
        <v>44757</v>
      </c>
      <c r="D1455" s="11">
        <f>IFERROR(__xludf.DUMMYFUNCTION("""COMPUTED_VALUE"""),44757.0)</f>
        <v>44757</v>
      </c>
      <c r="E1455" s="12">
        <f>IFERROR(__xludf.DUMMYFUNCTION("""COMPUTED_VALUE"""),0.7234837962969323)</f>
        <v>0.7234837963</v>
      </c>
      <c r="F1455" s="6" t="str">
        <f>IFERROR(__xludf.DUMMYFUNCTION("""COMPUTED_VALUE"""),"Negative")</f>
        <v>Negative</v>
      </c>
      <c r="G1455" s="6">
        <f>IFERROR(__xludf.DUMMYFUNCTION("""COMPUTED_VALUE"""),1.0)</f>
        <v>1</v>
      </c>
    </row>
    <row r="1456">
      <c r="A1456" s="6" t="str">
        <f>IFERROR(__xludf.DUMMYFUNCTION("""COMPUTED_VALUE"""),"FM3805")</f>
        <v>FM3805</v>
      </c>
      <c r="B1456" s="6" t="str">
        <f>IFERROR(__xludf.DUMMYFUNCTION("""COMPUTED_VALUE"""),"RUN-COMB_2022-07-15_RFR-079")</f>
        <v>RUN-COMB_2022-07-15_RFR-079</v>
      </c>
      <c r="C1456" s="7">
        <f>VLOOKUP(B1456,'Run Reconcile'!A$2:B3090,2,FALSE)</f>
        <v>44757</v>
      </c>
      <c r="D1456" s="11">
        <f>IFERROR(__xludf.DUMMYFUNCTION("""COMPUTED_VALUE"""),44757.0)</f>
        <v>44757</v>
      </c>
      <c r="E1456" s="12">
        <f>IFERROR(__xludf.DUMMYFUNCTION("""COMPUTED_VALUE"""),0.723773148147302)</f>
        <v>0.7237731481</v>
      </c>
      <c r="F1456" s="6" t="str">
        <f>IFERROR(__xludf.DUMMYFUNCTION("""COMPUTED_VALUE"""),"Negative")</f>
        <v>Negative</v>
      </c>
      <c r="G1456" s="6">
        <f>IFERROR(__xludf.DUMMYFUNCTION("""COMPUTED_VALUE"""),1.0)</f>
        <v>1</v>
      </c>
    </row>
    <row r="1457">
      <c r="A1457" s="6" t="str">
        <f>IFERROR(__xludf.DUMMYFUNCTION("""COMPUTED_VALUE"""),"FM3712")</f>
        <v>FM3712</v>
      </c>
      <c r="B1457" s="6" t="str">
        <f>IFERROR(__xludf.DUMMYFUNCTION("""COMPUTED_VALUE"""),"RUN-COMB_2022-07-15_RFR-079")</f>
        <v>RUN-COMB_2022-07-15_RFR-079</v>
      </c>
      <c r="C1457" s="7">
        <f>VLOOKUP(B1457,'Run Reconcile'!A$2:B3090,2,FALSE)</f>
        <v>44757</v>
      </c>
      <c r="D1457" s="11">
        <f>IFERROR(__xludf.DUMMYFUNCTION("""COMPUTED_VALUE"""),44757.0)</f>
        <v>44757</v>
      </c>
      <c r="E1457" s="12">
        <f>IFERROR(__xludf.DUMMYFUNCTION("""COMPUTED_VALUE"""),0.7244560185172304)</f>
        <v>0.7244560185</v>
      </c>
      <c r="F1457" s="6" t="str">
        <f>IFERROR(__xludf.DUMMYFUNCTION("""COMPUTED_VALUE"""),"Negative")</f>
        <v>Negative</v>
      </c>
      <c r="G1457" s="6">
        <f>IFERROR(__xludf.DUMMYFUNCTION("""COMPUTED_VALUE"""),1.0)</f>
        <v>1</v>
      </c>
    </row>
    <row r="1458">
      <c r="A1458" s="6" t="str">
        <f>IFERROR(__xludf.DUMMYFUNCTION("""COMPUTED_VALUE"""),"FM3790")</f>
        <v>FM3790</v>
      </c>
      <c r="B1458" s="6" t="str">
        <f>IFERROR(__xludf.DUMMYFUNCTION("""COMPUTED_VALUE"""),"RUN-COMB_2022-07-15_RFR-079")</f>
        <v>RUN-COMB_2022-07-15_RFR-079</v>
      </c>
      <c r="C1458" s="7">
        <f>VLOOKUP(B1458,'Run Reconcile'!A$2:B3090,2,FALSE)</f>
        <v>44757</v>
      </c>
      <c r="D1458" s="11">
        <f>IFERROR(__xludf.DUMMYFUNCTION("""COMPUTED_VALUE"""),44757.0)</f>
        <v>44757</v>
      </c>
      <c r="E1458" s="12">
        <f>IFERROR(__xludf.DUMMYFUNCTION("""COMPUTED_VALUE"""),0.7248379629636474)</f>
        <v>0.724837963</v>
      </c>
      <c r="F1458" s="6" t="str">
        <f>IFERROR(__xludf.DUMMYFUNCTION("""COMPUTED_VALUE"""),"Negative")</f>
        <v>Negative</v>
      </c>
      <c r="G1458" s="6">
        <f>IFERROR(__xludf.DUMMYFUNCTION("""COMPUTED_VALUE"""),1.0)</f>
        <v>1</v>
      </c>
    </row>
    <row r="1459">
      <c r="A1459" s="6" t="str">
        <f>IFERROR(__xludf.DUMMYFUNCTION("""COMPUTED_VALUE"""),"FM3821")</f>
        <v>FM3821</v>
      </c>
      <c r="B1459" s="6" t="str">
        <f>IFERROR(__xludf.DUMMYFUNCTION("""COMPUTED_VALUE"""),"RUN-COMB_2022-07-15_RFR-079")</f>
        <v>RUN-COMB_2022-07-15_RFR-079</v>
      </c>
      <c r="C1459" s="7">
        <f>VLOOKUP(B1459,'Run Reconcile'!A$2:B3090,2,FALSE)</f>
        <v>44757</v>
      </c>
      <c r="D1459" s="11">
        <f>IFERROR(__xludf.DUMMYFUNCTION("""COMPUTED_VALUE"""),44757.0)</f>
        <v>44757</v>
      </c>
      <c r="E1459" s="12">
        <f>IFERROR(__xludf.DUMMYFUNCTION("""COMPUTED_VALUE"""),0.7251504629639385)</f>
        <v>0.725150463</v>
      </c>
      <c r="F1459" s="6" t="str">
        <f>IFERROR(__xludf.DUMMYFUNCTION("""COMPUTED_VALUE"""),"Negative")</f>
        <v>Negative</v>
      </c>
      <c r="G1459" s="6">
        <f>IFERROR(__xludf.DUMMYFUNCTION("""COMPUTED_VALUE"""),1.0)</f>
        <v>1</v>
      </c>
    </row>
    <row r="1460">
      <c r="A1460" s="6" t="str">
        <f>IFERROR(__xludf.DUMMYFUNCTION("""COMPUTED_VALUE"""),"FM3833")</f>
        <v>FM3833</v>
      </c>
      <c r="B1460" s="6" t="str">
        <f>IFERROR(__xludf.DUMMYFUNCTION("""COMPUTED_VALUE"""),"RUN-COMB_2022-07-15_RFR-079")</f>
        <v>RUN-COMB_2022-07-15_RFR-079</v>
      </c>
      <c r="C1460" s="7">
        <f>VLOOKUP(B1460,'Run Reconcile'!A$2:B3090,2,FALSE)</f>
        <v>44757</v>
      </c>
      <c r="D1460" s="11">
        <f>IFERROR(__xludf.DUMMYFUNCTION("""COMPUTED_VALUE"""),44757.0)</f>
        <v>44757</v>
      </c>
      <c r="E1460" s="12">
        <f>IFERROR(__xludf.DUMMYFUNCTION("""COMPUTED_VALUE"""),0.7254166666680248)</f>
        <v>0.7254166667</v>
      </c>
      <c r="F1460" s="6" t="str">
        <f>IFERROR(__xludf.DUMMYFUNCTION("""COMPUTED_VALUE"""),"Negative")</f>
        <v>Negative</v>
      </c>
      <c r="G1460" s="6">
        <f>IFERROR(__xludf.DUMMYFUNCTION("""COMPUTED_VALUE"""),1.0)</f>
        <v>1</v>
      </c>
    </row>
    <row r="1461">
      <c r="A1461" s="6" t="str">
        <f>IFERROR(__xludf.DUMMYFUNCTION("""COMPUTED_VALUE"""),"FM1742")</f>
        <v>FM1742</v>
      </c>
      <c r="B1461" s="6" t="str">
        <f>IFERROR(__xludf.DUMMYFUNCTION("""COMPUTED_VALUE"""),"RUN-COMB_2022-07-19_RFR-082")</f>
        <v>RUN-COMB_2022-07-19_RFR-082</v>
      </c>
      <c r="C1461" s="7">
        <f>VLOOKUP(B1461,'Run Reconcile'!A$2:B3090,2,FALSE)</f>
        <v>44761</v>
      </c>
      <c r="D1461" s="11">
        <f>IFERROR(__xludf.DUMMYFUNCTION("""COMPUTED_VALUE"""),44761.0)</f>
        <v>44761</v>
      </c>
      <c r="E1461" s="12">
        <f>IFERROR(__xludf.DUMMYFUNCTION("""COMPUTED_VALUE"""),0.26938657407299615)</f>
        <v>0.2693865741</v>
      </c>
      <c r="F1461" s="6" t="str">
        <f>IFERROR(__xludf.DUMMYFUNCTION("""COMPUTED_VALUE"""),"Negative")</f>
        <v>Negative</v>
      </c>
      <c r="G1461" s="6">
        <f>IFERROR(__xludf.DUMMYFUNCTION("""COMPUTED_VALUE"""),1.0)</f>
        <v>1</v>
      </c>
    </row>
    <row r="1462">
      <c r="A1462" s="6" t="str">
        <f>IFERROR(__xludf.DUMMYFUNCTION("""COMPUTED_VALUE"""),"FM1746")</f>
        <v>FM1746</v>
      </c>
      <c r="B1462" s="6" t="str">
        <f>IFERROR(__xludf.DUMMYFUNCTION("""COMPUTED_VALUE"""),"RUN-COMB_2022-07-19_RFR-082")</f>
        <v>RUN-COMB_2022-07-19_RFR-082</v>
      </c>
      <c r="C1462" s="7">
        <f>VLOOKUP(B1462,'Run Reconcile'!A$2:B3090,2,FALSE)</f>
        <v>44761</v>
      </c>
      <c r="D1462" s="11">
        <f>IFERROR(__xludf.DUMMYFUNCTION("""COMPUTED_VALUE"""),44761.0)</f>
        <v>44761</v>
      </c>
      <c r="E1462" s="12">
        <f>IFERROR(__xludf.DUMMYFUNCTION("""COMPUTED_VALUE"""),0.2706712962972233)</f>
        <v>0.2706712963</v>
      </c>
      <c r="F1462" s="6" t="str">
        <f>IFERROR(__xludf.DUMMYFUNCTION("""COMPUTED_VALUE"""),"Negative")</f>
        <v>Negative</v>
      </c>
      <c r="G1462" s="6">
        <f>IFERROR(__xludf.DUMMYFUNCTION("""COMPUTED_VALUE"""),1.0)</f>
        <v>1</v>
      </c>
    </row>
    <row r="1463">
      <c r="A1463" s="6" t="str">
        <f>IFERROR(__xludf.DUMMYFUNCTION("""COMPUTED_VALUE"""),"FM1144")</f>
        <v>FM1144</v>
      </c>
      <c r="B1463" s="6" t="str">
        <f>IFERROR(__xludf.DUMMYFUNCTION("""COMPUTED_VALUE"""),"RUN-COMB_2022-07-19_RFR-082")</f>
        <v>RUN-COMB_2022-07-19_RFR-082</v>
      </c>
      <c r="C1463" s="7">
        <f>VLOOKUP(B1463,'Run Reconcile'!A$2:B3090,2,FALSE)</f>
        <v>44761</v>
      </c>
      <c r="D1463" s="11">
        <f>IFERROR(__xludf.DUMMYFUNCTION("""COMPUTED_VALUE"""),44761.0)</f>
        <v>44761</v>
      </c>
      <c r="E1463" s="12">
        <f>IFERROR(__xludf.DUMMYFUNCTION("""COMPUTED_VALUE"""),0.2710416666668607)</f>
        <v>0.2710416667</v>
      </c>
      <c r="F1463" s="6" t="str">
        <f>IFERROR(__xludf.DUMMYFUNCTION("""COMPUTED_VALUE"""),"Negative")</f>
        <v>Negative</v>
      </c>
      <c r="G1463" s="6">
        <f>IFERROR(__xludf.DUMMYFUNCTION("""COMPUTED_VALUE"""),1.0)</f>
        <v>1</v>
      </c>
    </row>
    <row r="1464">
      <c r="A1464" s="6" t="str">
        <f>IFERROR(__xludf.DUMMYFUNCTION("""COMPUTED_VALUE"""),"FM1158")</f>
        <v>FM1158</v>
      </c>
      <c r="B1464" s="6" t="str">
        <f>IFERROR(__xludf.DUMMYFUNCTION("""COMPUTED_VALUE"""),"RUN-COMB_2022-07-19_RFR-082")</f>
        <v>RUN-COMB_2022-07-19_RFR-082</v>
      </c>
      <c r="C1464" s="7">
        <f>VLOOKUP(B1464,'Run Reconcile'!A$2:B3090,2,FALSE)</f>
        <v>44761</v>
      </c>
      <c r="D1464" s="11">
        <f>IFERROR(__xludf.DUMMYFUNCTION("""COMPUTED_VALUE"""),44761.0)</f>
        <v>44761</v>
      </c>
      <c r="E1464" s="12">
        <f>IFERROR(__xludf.DUMMYFUNCTION("""COMPUTED_VALUE"""),0.27145833333270275)</f>
        <v>0.2714583333</v>
      </c>
      <c r="F1464" s="6" t="str">
        <f>IFERROR(__xludf.DUMMYFUNCTION("""COMPUTED_VALUE"""),"Negative")</f>
        <v>Negative</v>
      </c>
      <c r="G1464" s="6">
        <f>IFERROR(__xludf.DUMMYFUNCTION("""COMPUTED_VALUE"""),1.0)</f>
        <v>1</v>
      </c>
    </row>
    <row r="1465">
      <c r="A1465" s="6" t="str">
        <f>IFERROR(__xludf.DUMMYFUNCTION("""COMPUTED_VALUE"""),"FM1152")</f>
        <v>FM1152</v>
      </c>
      <c r="B1465" s="6" t="str">
        <f>IFERROR(__xludf.DUMMYFUNCTION("""COMPUTED_VALUE"""),"RUN-COMB_2022-07-19_RFR-082")</f>
        <v>RUN-COMB_2022-07-19_RFR-082</v>
      </c>
      <c r="C1465" s="7">
        <f>VLOOKUP(B1465,'Run Reconcile'!A$2:B3090,2,FALSE)</f>
        <v>44761</v>
      </c>
      <c r="D1465" s="11">
        <f>IFERROR(__xludf.DUMMYFUNCTION("""COMPUTED_VALUE"""),44761.0)</f>
        <v>44761</v>
      </c>
      <c r="E1465" s="12">
        <f>IFERROR(__xludf.DUMMYFUNCTION("""COMPUTED_VALUE"""),0.2717245370367891)</f>
        <v>0.271724537</v>
      </c>
      <c r="F1465" s="6" t="str">
        <f>IFERROR(__xludf.DUMMYFUNCTION("""COMPUTED_VALUE"""),"Negative")</f>
        <v>Negative</v>
      </c>
      <c r="G1465" s="6">
        <f>IFERROR(__xludf.DUMMYFUNCTION("""COMPUTED_VALUE"""),1.0)</f>
        <v>1</v>
      </c>
    </row>
    <row r="1466">
      <c r="A1466" s="6" t="str">
        <f>IFERROR(__xludf.DUMMYFUNCTION("""COMPUTED_VALUE"""),"FM1196")</f>
        <v>FM1196</v>
      </c>
      <c r="B1466" s="6" t="str">
        <f>IFERROR(__xludf.DUMMYFUNCTION("""COMPUTED_VALUE"""),"RUN-COMB_2022-07-19_RFR-082")</f>
        <v>RUN-COMB_2022-07-19_RFR-082</v>
      </c>
      <c r="C1466" s="7">
        <f>VLOOKUP(B1466,'Run Reconcile'!A$2:B3090,2,FALSE)</f>
        <v>44761</v>
      </c>
      <c r="D1466" s="11">
        <f>IFERROR(__xludf.DUMMYFUNCTION("""COMPUTED_VALUE"""),44761.0)</f>
        <v>44761</v>
      </c>
      <c r="E1466" s="12">
        <f>IFERROR(__xludf.DUMMYFUNCTION("""COMPUTED_VALUE"""),0.27203703703708015)</f>
        <v>0.272037037</v>
      </c>
      <c r="F1466" s="6" t="str">
        <f>IFERROR(__xludf.DUMMYFUNCTION("""COMPUTED_VALUE"""),"Negative")</f>
        <v>Negative</v>
      </c>
      <c r="G1466" s="6">
        <f>IFERROR(__xludf.DUMMYFUNCTION("""COMPUTED_VALUE"""),1.0)</f>
        <v>1</v>
      </c>
    </row>
    <row r="1467">
      <c r="A1467" s="6" t="str">
        <f>IFERROR(__xludf.DUMMYFUNCTION("""COMPUTED_VALUE"""),"FM1787")</f>
        <v>FM1787</v>
      </c>
      <c r="B1467" s="6" t="str">
        <f>IFERROR(__xludf.DUMMYFUNCTION("""COMPUTED_VALUE"""),"RUN-COMB_2022-07-19_RFR-082")</f>
        <v>RUN-COMB_2022-07-19_RFR-082</v>
      </c>
      <c r="C1467" s="7">
        <f>VLOOKUP(B1467,'Run Reconcile'!A$2:B3090,2,FALSE)</f>
        <v>44761</v>
      </c>
      <c r="D1467" s="11">
        <f>IFERROR(__xludf.DUMMYFUNCTION("""COMPUTED_VALUE"""),44761.0)</f>
        <v>44761</v>
      </c>
      <c r="E1467" s="12">
        <f>IFERROR(__xludf.DUMMYFUNCTION("""COMPUTED_VALUE"""),0.2724537037029222)</f>
        <v>0.2724537037</v>
      </c>
      <c r="F1467" s="6" t="str">
        <f>IFERROR(__xludf.DUMMYFUNCTION("""COMPUTED_VALUE"""),"Negative")</f>
        <v>Negative</v>
      </c>
      <c r="G1467" s="6">
        <f>IFERROR(__xludf.DUMMYFUNCTION("""COMPUTED_VALUE"""),1.0)</f>
        <v>1</v>
      </c>
    </row>
    <row r="1468">
      <c r="A1468" s="6" t="str">
        <f>IFERROR(__xludf.DUMMYFUNCTION("""COMPUTED_VALUE"""),"FM1183")</f>
        <v>FM1183</v>
      </c>
      <c r="B1468" s="6" t="str">
        <f>IFERROR(__xludf.DUMMYFUNCTION("""COMPUTED_VALUE"""),"RUN-COMB_2022-07-19_RFR-082")</f>
        <v>RUN-COMB_2022-07-19_RFR-082</v>
      </c>
      <c r="C1468" s="7">
        <f>VLOOKUP(B1468,'Run Reconcile'!A$2:B3090,2,FALSE)</f>
        <v>44761</v>
      </c>
      <c r="D1468" s="11">
        <f>IFERROR(__xludf.DUMMYFUNCTION("""COMPUTED_VALUE"""),44761.0)</f>
        <v>44761</v>
      </c>
      <c r="E1468" s="12">
        <f>IFERROR(__xludf.DUMMYFUNCTION("""COMPUTED_VALUE"""),0.2727893518531346)</f>
        <v>0.2727893519</v>
      </c>
      <c r="F1468" s="6" t="str">
        <f>IFERROR(__xludf.DUMMYFUNCTION("""COMPUTED_VALUE"""),"Negative")</f>
        <v>Negative</v>
      </c>
      <c r="G1468" s="6">
        <f>IFERROR(__xludf.DUMMYFUNCTION("""COMPUTED_VALUE"""),1.0)</f>
        <v>1</v>
      </c>
    </row>
    <row r="1469">
      <c r="A1469" s="6" t="str">
        <f>IFERROR(__xludf.DUMMYFUNCTION("""COMPUTED_VALUE"""),"FM1182")</f>
        <v>FM1182</v>
      </c>
      <c r="B1469" s="6" t="str">
        <f>IFERROR(__xludf.DUMMYFUNCTION("""COMPUTED_VALUE"""),"RUN-COMB_2022-07-19_RFR-082")</f>
        <v>RUN-COMB_2022-07-19_RFR-082</v>
      </c>
      <c r="C1469" s="7">
        <f>VLOOKUP(B1469,'Run Reconcile'!A$2:B3090,2,FALSE)</f>
        <v>44761</v>
      </c>
      <c r="D1469" s="11">
        <f>IFERROR(__xludf.DUMMYFUNCTION("""COMPUTED_VALUE"""),44761.0)</f>
        <v>44761</v>
      </c>
      <c r="E1469" s="12">
        <f>IFERROR(__xludf.DUMMYFUNCTION("""COMPUTED_VALUE"""),0.2739930555544561)</f>
        <v>0.2739930556</v>
      </c>
      <c r="F1469" s="6" t="str">
        <f>IFERROR(__xludf.DUMMYFUNCTION("""COMPUTED_VALUE"""),"Negative")</f>
        <v>Negative</v>
      </c>
      <c r="G1469" s="6">
        <f>IFERROR(__xludf.DUMMYFUNCTION("""COMPUTED_VALUE"""),1.0)</f>
        <v>1</v>
      </c>
    </row>
    <row r="1470">
      <c r="A1470" s="6" t="str">
        <f>IFERROR(__xludf.DUMMYFUNCTION("""COMPUTED_VALUE"""),"FM1776")</f>
        <v>FM1776</v>
      </c>
      <c r="B1470" s="6" t="str">
        <f>IFERROR(__xludf.DUMMYFUNCTION("""COMPUTED_VALUE"""),"RUN-COMB_2022-07-19_RFR-082")</f>
        <v>RUN-COMB_2022-07-19_RFR-082</v>
      </c>
      <c r="C1470" s="7">
        <f>VLOOKUP(B1470,'Run Reconcile'!A$2:B3090,2,FALSE)</f>
        <v>44761</v>
      </c>
      <c r="D1470" s="11">
        <f>IFERROR(__xludf.DUMMYFUNCTION("""COMPUTED_VALUE"""),44761.0)</f>
        <v>44761</v>
      </c>
      <c r="E1470" s="12">
        <f>IFERROR(__xludf.DUMMYFUNCTION("""COMPUTED_VALUE"""),0.2752546296287619)</f>
        <v>0.2752546296</v>
      </c>
      <c r="F1470" s="6" t="str">
        <f>IFERROR(__xludf.DUMMYFUNCTION("""COMPUTED_VALUE"""),"Negative")</f>
        <v>Negative</v>
      </c>
      <c r="G1470" s="6">
        <f>IFERROR(__xludf.DUMMYFUNCTION("""COMPUTED_VALUE"""),1.0)</f>
        <v>1</v>
      </c>
    </row>
    <row r="1471">
      <c r="A1471" s="6" t="str">
        <f>IFERROR(__xludf.DUMMYFUNCTION("""COMPUTED_VALUE"""),"FM1178")</f>
        <v>FM1178</v>
      </c>
      <c r="B1471" s="6" t="str">
        <f>IFERROR(__xludf.DUMMYFUNCTION("""COMPUTED_VALUE"""),"RUN-COMB_2022-07-19_RFR-082")</f>
        <v>RUN-COMB_2022-07-19_RFR-082</v>
      </c>
      <c r="C1471" s="7">
        <f>VLOOKUP(B1471,'Run Reconcile'!A$2:B3090,2,FALSE)</f>
        <v>44761</v>
      </c>
      <c r="D1471" s="11">
        <f>IFERROR(__xludf.DUMMYFUNCTION("""COMPUTED_VALUE"""),44761.0)</f>
        <v>44761</v>
      </c>
      <c r="E1471" s="12">
        <f>IFERROR(__xludf.DUMMYFUNCTION("""COMPUTED_VALUE"""),0.27570601851766696)</f>
        <v>0.2757060185</v>
      </c>
      <c r="F1471" s="6" t="str">
        <f>IFERROR(__xludf.DUMMYFUNCTION("""COMPUTED_VALUE"""),"Negative")</f>
        <v>Negative</v>
      </c>
      <c r="G1471" s="6">
        <f>IFERROR(__xludf.DUMMYFUNCTION("""COMPUTED_VALUE"""),1.0)</f>
        <v>1</v>
      </c>
    </row>
    <row r="1472">
      <c r="A1472" s="6" t="str">
        <f>IFERROR(__xludf.DUMMYFUNCTION("""COMPUTED_VALUE"""),"FM1748")</f>
        <v>FM1748</v>
      </c>
      <c r="B1472" s="6" t="str">
        <f>IFERROR(__xludf.DUMMYFUNCTION("""COMPUTED_VALUE"""),"RUN-COMB_2022-07-19_RFR-082")</f>
        <v>RUN-COMB_2022-07-19_RFR-082</v>
      </c>
      <c r="C1472" s="7">
        <f>VLOOKUP(B1472,'Run Reconcile'!A$2:B3090,2,FALSE)</f>
        <v>44761</v>
      </c>
      <c r="D1472" s="11">
        <f>IFERROR(__xludf.DUMMYFUNCTION("""COMPUTED_VALUE"""),44761.0)</f>
        <v>44761</v>
      </c>
      <c r="E1472" s="12">
        <f>IFERROR(__xludf.DUMMYFUNCTION("""COMPUTED_VALUE"""),0.27709490740744513)</f>
        <v>0.2770949074</v>
      </c>
      <c r="F1472" s="6" t="str">
        <f>IFERROR(__xludf.DUMMYFUNCTION("""COMPUTED_VALUE"""),"Negative")</f>
        <v>Negative</v>
      </c>
      <c r="G1472" s="6">
        <f>IFERROR(__xludf.DUMMYFUNCTION("""COMPUTED_VALUE"""),1.0)</f>
        <v>1</v>
      </c>
    </row>
    <row r="1473">
      <c r="A1473" s="6" t="str">
        <f>IFERROR(__xludf.DUMMYFUNCTION("""COMPUTED_VALUE"""),"FM1157")</f>
        <v>FM1157</v>
      </c>
      <c r="B1473" s="6" t="str">
        <f>IFERROR(__xludf.DUMMYFUNCTION("""COMPUTED_VALUE"""),"RUN-COMB_2022-07-19_RFR-082")</f>
        <v>RUN-COMB_2022-07-19_RFR-082</v>
      </c>
      <c r="C1473" s="7">
        <f>VLOOKUP(B1473,'Run Reconcile'!A$2:B3090,2,FALSE)</f>
        <v>44761</v>
      </c>
      <c r="D1473" s="11">
        <f>IFERROR(__xludf.DUMMYFUNCTION("""COMPUTED_VALUE"""),44761.0)</f>
        <v>44761</v>
      </c>
      <c r="E1473" s="12">
        <f>IFERROR(__xludf.DUMMYFUNCTION("""COMPUTED_VALUE"""),0.27755787036949187)</f>
        <v>0.2775578704</v>
      </c>
      <c r="F1473" s="6" t="str">
        <f>IFERROR(__xludf.DUMMYFUNCTION("""COMPUTED_VALUE"""),"Negative")</f>
        <v>Negative</v>
      </c>
      <c r="G1473" s="6">
        <f>IFERROR(__xludf.DUMMYFUNCTION("""COMPUTED_VALUE"""),1.0)</f>
        <v>1</v>
      </c>
    </row>
    <row r="1474">
      <c r="A1474" s="6" t="str">
        <f>IFERROR(__xludf.DUMMYFUNCTION("""COMPUTED_VALUE"""),"FM1783")</f>
        <v>FM1783</v>
      </c>
      <c r="B1474" s="6" t="str">
        <f>IFERROR(__xludf.DUMMYFUNCTION("""COMPUTED_VALUE"""),"RUN-COMB_2022-07-19_RFR-082")</f>
        <v>RUN-COMB_2022-07-19_RFR-082</v>
      </c>
      <c r="C1474" s="7">
        <f>VLOOKUP(B1474,'Run Reconcile'!A$2:B3090,2,FALSE)</f>
        <v>44761</v>
      </c>
      <c r="D1474" s="11">
        <f>IFERROR(__xludf.DUMMYFUNCTION("""COMPUTED_VALUE"""),44761.0)</f>
        <v>44761</v>
      </c>
      <c r="E1474" s="12">
        <f>IFERROR(__xludf.DUMMYFUNCTION("""COMPUTED_VALUE"""),0.2799305555563478)</f>
        <v>0.2799305556</v>
      </c>
      <c r="F1474" s="6" t="str">
        <f>IFERROR(__xludf.DUMMYFUNCTION("""COMPUTED_VALUE"""),"Negative")</f>
        <v>Negative</v>
      </c>
      <c r="G1474" s="6">
        <f>IFERROR(__xludf.DUMMYFUNCTION("""COMPUTED_VALUE"""),1.0)</f>
        <v>1</v>
      </c>
    </row>
    <row r="1475">
      <c r="A1475" s="6" t="str">
        <f>IFERROR(__xludf.DUMMYFUNCTION("""COMPUTED_VALUE"""),"FM1747")</f>
        <v>FM1747</v>
      </c>
      <c r="B1475" s="6" t="str">
        <f>IFERROR(__xludf.DUMMYFUNCTION("""COMPUTED_VALUE"""),"RUN-COMB_2022-07-19_RFR-082")</f>
        <v>RUN-COMB_2022-07-19_RFR-082</v>
      </c>
      <c r="C1475" s="7">
        <f>VLOOKUP(B1475,'Run Reconcile'!A$2:B3090,2,FALSE)</f>
        <v>44761</v>
      </c>
      <c r="D1475" s="11">
        <f>IFERROR(__xludf.DUMMYFUNCTION("""COMPUTED_VALUE"""),44761.0)</f>
        <v>44761</v>
      </c>
      <c r="E1475" s="12">
        <f>IFERROR(__xludf.DUMMYFUNCTION("""COMPUTED_VALUE"""),0.2801967592604342)</f>
        <v>0.2801967593</v>
      </c>
      <c r="F1475" s="6" t="str">
        <f>IFERROR(__xludf.DUMMYFUNCTION("""COMPUTED_VALUE"""),"Negative")</f>
        <v>Negative</v>
      </c>
      <c r="G1475" s="6">
        <f>IFERROR(__xludf.DUMMYFUNCTION("""COMPUTED_VALUE"""),1.0)</f>
        <v>1</v>
      </c>
    </row>
    <row r="1476">
      <c r="A1476" s="6" t="str">
        <f>IFERROR(__xludf.DUMMYFUNCTION("""COMPUTED_VALUE"""),"FM1197")</f>
        <v>FM1197</v>
      </c>
      <c r="B1476" s="6" t="str">
        <f>IFERROR(__xludf.DUMMYFUNCTION("""COMPUTED_VALUE"""),"RUN-COMB_2022-07-19_RFR-082")</f>
        <v>RUN-COMB_2022-07-19_RFR-082</v>
      </c>
      <c r="C1476" s="7">
        <f>VLOOKUP(B1476,'Run Reconcile'!A$2:B3090,2,FALSE)</f>
        <v>44761</v>
      </c>
      <c r="D1476" s="11">
        <f>IFERROR(__xludf.DUMMYFUNCTION("""COMPUTED_VALUE"""),44761.0)</f>
        <v>44761</v>
      </c>
      <c r="E1476" s="12">
        <f>IFERROR(__xludf.DUMMYFUNCTION("""COMPUTED_VALUE"""),0.28046296296452056)</f>
        <v>0.280462963</v>
      </c>
      <c r="F1476" s="6" t="str">
        <f>IFERROR(__xludf.DUMMYFUNCTION("""COMPUTED_VALUE"""),"Negative")</f>
        <v>Negative</v>
      </c>
      <c r="G1476" s="6">
        <f>IFERROR(__xludf.DUMMYFUNCTION("""COMPUTED_VALUE"""),1.0)</f>
        <v>1</v>
      </c>
    </row>
    <row r="1477">
      <c r="A1477" s="6" t="str">
        <f>IFERROR(__xludf.DUMMYFUNCTION("""COMPUTED_VALUE"""),"FM1187")</f>
        <v>FM1187</v>
      </c>
      <c r="B1477" s="6" t="str">
        <f>IFERROR(__xludf.DUMMYFUNCTION("""COMPUTED_VALUE"""),"RUN-COMB_2022-07-19_RFR-082")</f>
        <v>RUN-COMB_2022-07-19_RFR-082</v>
      </c>
      <c r="C1477" s="7">
        <f>VLOOKUP(B1477,'Run Reconcile'!A$2:B3090,2,FALSE)</f>
        <v>44761</v>
      </c>
      <c r="D1477" s="11">
        <f>IFERROR(__xludf.DUMMYFUNCTION("""COMPUTED_VALUE"""),44761.0)</f>
        <v>44761</v>
      </c>
      <c r="E1477" s="12">
        <f>IFERROR(__xludf.DUMMYFUNCTION("""COMPUTED_VALUE"""),0.28075231481489027)</f>
        <v>0.2807523148</v>
      </c>
      <c r="F1477" s="6" t="str">
        <f>IFERROR(__xludf.DUMMYFUNCTION("""COMPUTED_VALUE"""),"Negative")</f>
        <v>Negative</v>
      </c>
      <c r="G1477" s="6">
        <f>IFERROR(__xludf.DUMMYFUNCTION("""COMPUTED_VALUE"""),1.0)</f>
        <v>1</v>
      </c>
    </row>
    <row r="1478">
      <c r="A1478" s="6" t="str">
        <f>IFERROR(__xludf.DUMMYFUNCTION("""COMPUTED_VALUE"""),"FM1147")</f>
        <v>FM1147</v>
      </c>
      <c r="B1478" s="6" t="str">
        <f>IFERROR(__xludf.DUMMYFUNCTION("""COMPUTED_VALUE"""),"RUN-COMB_2022-07-19_RFR-082")</f>
        <v>RUN-COMB_2022-07-19_RFR-082</v>
      </c>
      <c r="C1478" s="7">
        <f>VLOOKUP(B1478,'Run Reconcile'!A$2:B3090,2,FALSE)</f>
        <v>44761</v>
      </c>
      <c r="D1478" s="11">
        <f>IFERROR(__xludf.DUMMYFUNCTION("""COMPUTED_VALUE"""),44761.0)</f>
        <v>44761</v>
      </c>
      <c r="E1478" s="12">
        <f>IFERROR(__xludf.DUMMYFUNCTION("""COMPUTED_VALUE"""),0.2810648148151813)</f>
        <v>0.2810648148</v>
      </c>
      <c r="F1478" s="6" t="str">
        <f>IFERROR(__xludf.DUMMYFUNCTION("""COMPUTED_VALUE"""),"Negative")</f>
        <v>Negative</v>
      </c>
      <c r="G1478" s="6">
        <f>IFERROR(__xludf.DUMMYFUNCTION("""COMPUTED_VALUE"""),1.0)</f>
        <v>1</v>
      </c>
    </row>
    <row r="1479">
      <c r="A1479" s="6" t="str">
        <f>IFERROR(__xludf.DUMMYFUNCTION("""COMPUTED_VALUE"""),"FM1164")</f>
        <v>FM1164</v>
      </c>
      <c r="B1479" s="6" t="str">
        <f>IFERROR(__xludf.DUMMYFUNCTION("""COMPUTED_VALUE"""),"RUN-COMB_2022-07-19_RFR-082")</f>
        <v>RUN-COMB_2022-07-19_RFR-082</v>
      </c>
      <c r="C1479" s="7">
        <f>VLOOKUP(B1479,'Run Reconcile'!A$2:B3090,2,FALSE)</f>
        <v>44761</v>
      </c>
      <c r="D1479" s="11">
        <f>IFERROR(__xludf.DUMMYFUNCTION("""COMPUTED_VALUE"""),44761.0)</f>
        <v>44761</v>
      </c>
      <c r="E1479" s="12">
        <f>IFERROR(__xludf.DUMMYFUNCTION("""COMPUTED_VALUE"""),0.2813310185192677)</f>
        <v>0.2813310185</v>
      </c>
      <c r="F1479" s="6" t="str">
        <f>IFERROR(__xludf.DUMMYFUNCTION("""COMPUTED_VALUE"""),"Negative")</f>
        <v>Negative</v>
      </c>
      <c r="G1479" s="6">
        <f>IFERROR(__xludf.DUMMYFUNCTION("""COMPUTED_VALUE"""),1.0)</f>
        <v>1</v>
      </c>
    </row>
    <row r="1480">
      <c r="A1480" s="6" t="str">
        <f>IFERROR(__xludf.DUMMYFUNCTION("""COMPUTED_VALUE"""),"FM1195")</f>
        <v>FM1195</v>
      </c>
      <c r="B1480" s="6" t="str">
        <f>IFERROR(__xludf.DUMMYFUNCTION("""COMPUTED_VALUE"""),"RUN-COMB_2022-07-19_RFR-082")</f>
        <v>RUN-COMB_2022-07-19_RFR-082</v>
      </c>
      <c r="C1480" s="7">
        <f>VLOOKUP(B1480,'Run Reconcile'!A$2:B3090,2,FALSE)</f>
        <v>44761</v>
      </c>
      <c r="D1480" s="11">
        <f>IFERROR(__xludf.DUMMYFUNCTION("""COMPUTED_VALUE"""),44761.0)</f>
        <v>44761</v>
      </c>
      <c r="E1480" s="12">
        <f>IFERROR(__xludf.DUMMYFUNCTION("""COMPUTED_VALUE"""),0.2816550925927004)</f>
        <v>0.2816550926</v>
      </c>
      <c r="F1480" s="6" t="str">
        <f>IFERROR(__xludf.DUMMYFUNCTION("""COMPUTED_VALUE"""),"Negative")</f>
        <v>Negative</v>
      </c>
      <c r="G1480" s="6">
        <f>IFERROR(__xludf.DUMMYFUNCTION("""COMPUTED_VALUE"""),1.0)</f>
        <v>1</v>
      </c>
    </row>
    <row r="1481">
      <c r="A1481" s="6" t="str">
        <f>IFERROR(__xludf.DUMMYFUNCTION("""COMPUTED_VALUE"""),"FM1764")</f>
        <v>FM1764</v>
      </c>
      <c r="B1481" s="6" t="str">
        <f>IFERROR(__xludf.DUMMYFUNCTION("""COMPUTED_VALUE"""),"RUN-COMB_2022-07-19_RFR-082")</f>
        <v>RUN-COMB_2022-07-19_RFR-082</v>
      </c>
      <c r="C1481" s="7">
        <f>VLOOKUP(B1481,'Run Reconcile'!A$2:B3090,2,FALSE)</f>
        <v>44761</v>
      </c>
      <c r="D1481" s="11">
        <f>IFERROR(__xludf.DUMMYFUNCTION("""COMPUTED_VALUE"""),44761.0)</f>
        <v>44761</v>
      </c>
      <c r="E1481" s="12">
        <f>IFERROR(__xludf.DUMMYFUNCTION("""COMPUTED_VALUE"""),0.2820138888891961)</f>
        <v>0.2820138889</v>
      </c>
      <c r="F1481" s="6" t="str">
        <f>IFERROR(__xludf.DUMMYFUNCTION("""COMPUTED_VALUE"""),"Negative")</f>
        <v>Negative</v>
      </c>
      <c r="G1481" s="6">
        <f>IFERROR(__xludf.DUMMYFUNCTION("""COMPUTED_VALUE"""),1.0)</f>
        <v>1</v>
      </c>
    </row>
    <row r="1482">
      <c r="A1482" s="6" t="str">
        <f>IFERROR(__xludf.DUMMYFUNCTION("""COMPUTED_VALUE"""),"FM1791")</f>
        <v>FM1791</v>
      </c>
      <c r="B1482" s="6" t="str">
        <f>IFERROR(__xludf.DUMMYFUNCTION("""COMPUTED_VALUE"""),"RUN-COMB_2022-07-19_RFR-082")</f>
        <v>RUN-COMB_2022-07-19_RFR-082</v>
      </c>
      <c r="C1482" s="7">
        <f>VLOOKUP(B1482,'Run Reconcile'!A$2:B3090,2,FALSE)</f>
        <v>44761</v>
      </c>
      <c r="D1482" s="11">
        <f>IFERROR(__xludf.DUMMYFUNCTION("""COMPUTED_VALUE"""),44761.0)</f>
        <v>44761</v>
      </c>
      <c r="E1482" s="12">
        <f>IFERROR(__xludf.DUMMYFUNCTION("""COMPUTED_VALUE"""),0.28232638888948713)</f>
        <v>0.2823263889</v>
      </c>
      <c r="F1482" s="6" t="str">
        <f>IFERROR(__xludf.DUMMYFUNCTION("""COMPUTED_VALUE"""),"Negative")</f>
        <v>Negative</v>
      </c>
      <c r="G1482" s="6">
        <f>IFERROR(__xludf.DUMMYFUNCTION("""COMPUTED_VALUE"""),1.0)</f>
        <v>1</v>
      </c>
    </row>
    <row r="1483">
      <c r="A1483" s="6" t="str">
        <f>IFERROR(__xludf.DUMMYFUNCTION("""COMPUTED_VALUE"""),"FM1151")</f>
        <v>FM1151</v>
      </c>
      <c r="B1483" s="6" t="str">
        <f>IFERROR(__xludf.DUMMYFUNCTION("""COMPUTED_VALUE"""),"RUN-COMB_2022-07-19_RFR-082")</f>
        <v>RUN-COMB_2022-07-19_RFR-082</v>
      </c>
      <c r="C1483" s="7">
        <f>VLOOKUP(B1483,'Run Reconcile'!A$2:B3090,2,FALSE)</f>
        <v>44761</v>
      </c>
      <c r="D1483" s="11">
        <f>IFERROR(__xludf.DUMMYFUNCTION("""COMPUTED_VALUE"""),44761.0)</f>
        <v>44761</v>
      </c>
      <c r="E1483" s="12">
        <f>IFERROR(__xludf.DUMMYFUNCTION("""COMPUTED_VALUE"""),0.2826967592591245)</f>
        <v>0.2826967593</v>
      </c>
      <c r="F1483" s="6" t="str">
        <f>IFERROR(__xludf.DUMMYFUNCTION("""COMPUTED_VALUE"""),"Negative")</f>
        <v>Negative</v>
      </c>
      <c r="G1483" s="6">
        <f>IFERROR(__xludf.DUMMYFUNCTION("""COMPUTED_VALUE"""),1.0)</f>
        <v>1</v>
      </c>
    </row>
    <row r="1484">
      <c r="A1484" s="6" t="str">
        <f>IFERROR(__xludf.DUMMYFUNCTION("""COMPUTED_VALUE"""),"FM1788")</f>
        <v>FM1788</v>
      </c>
      <c r="B1484" s="6" t="str">
        <f>IFERROR(__xludf.DUMMYFUNCTION("""COMPUTED_VALUE"""),"RUN-COMB_2022-07-19_RFR-082")</f>
        <v>RUN-COMB_2022-07-19_RFR-082</v>
      </c>
      <c r="C1484" s="7">
        <f>VLOOKUP(B1484,'Run Reconcile'!A$2:B3090,2,FALSE)</f>
        <v>44761</v>
      </c>
      <c r="D1484" s="11">
        <f>IFERROR(__xludf.DUMMYFUNCTION("""COMPUTED_VALUE"""),44761.0)</f>
        <v>44761</v>
      </c>
      <c r="E1484" s="12">
        <f>IFERROR(__xludf.DUMMYFUNCTION("""COMPUTED_VALUE"""),0.2830324074056989)</f>
        <v>0.2830324074</v>
      </c>
      <c r="F1484" s="6" t="str">
        <f>IFERROR(__xludf.DUMMYFUNCTION("""COMPUTED_VALUE"""),"Negative")</f>
        <v>Negative</v>
      </c>
      <c r="G1484" s="6">
        <f>IFERROR(__xludf.DUMMYFUNCTION("""COMPUTED_VALUE"""),1.0)</f>
        <v>1</v>
      </c>
    </row>
    <row r="1485">
      <c r="A1485" s="6" t="str">
        <f>IFERROR(__xludf.DUMMYFUNCTION("""COMPUTED_VALUE"""),"FM1159")</f>
        <v>FM1159</v>
      </c>
      <c r="B1485" s="6" t="str">
        <f>IFERROR(__xludf.DUMMYFUNCTION("""COMPUTED_VALUE"""),"RUN-COMB_2022-07-19_RFR-082")</f>
        <v>RUN-COMB_2022-07-19_RFR-082</v>
      </c>
      <c r="C1485" s="7">
        <f>VLOOKUP(B1485,'Run Reconcile'!A$2:B3090,2,FALSE)</f>
        <v>44761</v>
      </c>
      <c r="D1485" s="11">
        <f>IFERROR(__xludf.DUMMYFUNCTION("""COMPUTED_VALUE"""),44761.0)</f>
        <v>44761</v>
      </c>
      <c r="E1485" s="12">
        <f>IFERROR(__xludf.DUMMYFUNCTION("""COMPUTED_VALUE"""),0.2833217592597066)</f>
        <v>0.2833217593</v>
      </c>
      <c r="F1485" s="6" t="str">
        <f>IFERROR(__xludf.DUMMYFUNCTION("""COMPUTED_VALUE"""),"Negative")</f>
        <v>Negative</v>
      </c>
      <c r="G1485" s="6">
        <f>IFERROR(__xludf.DUMMYFUNCTION("""COMPUTED_VALUE"""),1.0)</f>
        <v>1</v>
      </c>
    </row>
    <row r="1486">
      <c r="A1486" s="6" t="str">
        <f>IFERROR(__xludf.DUMMYFUNCTION("""COMPUTED_VALUE"""),"FM1194")</f>
        <v>FM1194</v>
      </c>
      <c r="B1486" s="6" t="str">
        <f>IFERROR(__xludf.DUMMYFUNCTION("""COMPUTED_VALUE"""),"RUN-COMB_2022-07-19_RFR-082")</f>
        <v>RUN-COMB_2022-07-19_RFR-082</v>
      </c>
      <c r="C1486" s="7">
        <f>VLOOKUP(B1486,'Run Reconcile'!A$2:B3090,2,FALSE)</f>
        <v>44761</v>
      </c>
      <c r="D1486" s="11">
        <f>IFERROR(__xludf.DUMMYFUNCTION("""COMPUTED_VALUE"""),44761.0)</f>
        <v>44761</v>
      </c>
      <c r="E1486" s="12">
        <f>IFERROR(__xludf.DUMMYFUNCTION("""COMPUTED_VALUE"""),0.28366898148306063)</f>
        <v>0.2836689815</v>
      </c>
      <c r="F1486" s="6" t="str">
        <f>IFERROR(__xludf.DUMMYFUNCTION("""COMPUTED_VALUE"""),"Negative")</f>
        <v>Negative</v>
      </c>
      <c r="G1486" s="6">
        <f>IFERROR(__xludf.DUMMYFUNCTION("""COMPUTED_VALUE"""),1.0)</f>
        <v>1</v>
      </c>
    </row>
    <row r="1487">
      <c r="A1487" s="6" t="str">
        <f>IFERROR(__xludf.DUMMYFUNCTION("""COMPUTED_VALUE"""),"FM1188")</f>
        <v>FM1188</v>
      </c>
      <c r="B1487" s="6" t="str">
        <f>IFERROR(__xludf.DUMMYFUNCTION("""COMPUTED_VALUE"""),"RUN-COMB_2022-07-19_RFR-082")</f>
        <v>RUN-COMB_2022-07-19_RFR-082</v>
      </c>
      <c r="C1487" s="7">
        <f>VLOOKUP(B1487,'Run Reconcile'!A$2:B3090,2,FALSE)</f>
        <v>44761</v>
      </c>
      <c r="D1487" s="11">
        <f>IFERROR(__xludf.DUMMYFUNCTION("""COMPUTED_VALUE"""),44761.0)</f>
        <v>44761</v>
      </c>
      <c r="E1487" s="12">
        <f>IFERROR(__xludf.DUMMYFUNCTION("""COMPUTED_VALUE"""),0.28416666666817036)</f>
        <v>0.2841666667</v>
      </c>
      <c r="F1487" s="6" t="str">
        <f>IFERROR(__xludf.DUMMYFUNCTION("""COMPUTED_VALUE"""),"Negative")</f>
        <v>Negative</v>
      </c>
      <c r="G1487" s="6">
        <f>IFERROR(__xludf.DUMMYFUNCTION("""COMPUTED_VALUE"""),1.0)</f>
        <v>1</v>
      </c>
    </row>
    <row r="1488">
      <c r="A1488" s="6" t="str">
        <f>IFERROR(__xludf.DUMMYFUNCTION("""COMPUTED_VALUE"""),"FM1176")</f>
        <v>FM1176</v>
      </c>
      <c r="B1488" s="6" t="str">
        <f>IFERROR(__xludf.DUMMYFUNCTION("""COMPUTED_VALUE"""),"RUN-COMB_2022-07-19_RFR-082")</f>
        <v>RUN-COMB_2022-07-19_RFR-082</v>
      </c>
      <c r="C1488" s="7">
        <f>VLOOKUP(B1488,'Run Reconcile'!A$2:B3090,2,FALSE)</f>
        <v>44761</v>
      </c>
      <c r="D1488" s="11">
        <f>IFERROR(__xludf.DUMMYFUNCTION("""COMPUTED_VALUE"""),44761.0)</f>
        <v>44761</v>
      </c>
      <c r="E1488" s="12">
        <f>IFERROR(__xludf.DUMMYFUNCTION("""COMPUTED_VALUE"""),0.2859375000007276)</f>
        <v>0.2859375</v>
      </c>
      <c r="F1488" s="6" t="str">
        <f>IFERROR(__xludf.DUMMYFUNCTION("""COMPUTED_VALUE"""),"Negative")</f>
        <v>Negative</v>
      </c>
      <c r="G1488" s="6">
        <f>IFERROR(__xludf.DUMMYFUNCTION("""COMPUTED_VALUE"""),1.0)</f>
        <v>1</v>
      </c>
    </row>
    <row r="1489">
      <c r="A1489" s="6" t="str">
        <f>IFERROR(__xludf.DUMMYFUNCTION("""COMPUTED_VALUE"""),"FM1754")</f>
        <v>FM1754</v>
      </c>
      <c r="B1489" s="6" t="str">
        <f>IFERROR(__xludf.DUMMYFUNCTION("""COMPUTED_VALUE"""),"RUN-COMB_2022-07-19_RFR-082")</f>
        <v>RUN-COMB_2022-07-19_RFR-082</v>
      </c>
      <c r="C1489" s="7">
        <f>VLOOKUP(B1489,'Run Reconcile'!A$2:B3090,2,FALSE)</f>
        <v>44761</v>
      </c>
      <c r="D1489" s="11">
        <f>IFERROR(__xludf.DUMMYFUNCTION("""COMPUTED_VALUE"""),44761.0)</f>
        <v>44761</v>
      </c>
      <c r="E1489" s="12">
        <f>IFERROR(__xludf.DUMMYFUNCTION("""COMPUTED_VALUE"""),0.2896180555544561)</f>
        <v>0.2896180556</v>
      </c>
      <c r="F1489" s="6" t="str">
        <f>IFERROR(__xludf.DUMMYFUNCTION("""COMPUTED_VALUE"""),"Negative")</f>
        <v>Negative</v>
      </c>
      <c r="G1489" s="6">
        <f>IFERROR(__xludf.DUMMYFUNCTION("""COMPUTED_VALUE"""),1.0)</f>
        <v>1</v>
      </c>
    </row>
    <row r="1490">
      <c r="A1490" s="6" t="str">
        <f>IFERROR(__xludf.DUMMYFUNCTION("""COMPUTED_VALUE"""),"FM1199")</f>
        <v>FM1199</v>
      </c>
      <c r="B1490" s="6" t="str">
        <f>IFERROR(__xludf.DUMMYFUNCTION("""COMPUTED_VALUE"""),"RUN-COMB_2022-07-19_RFR-082")</f>
        <v>RUN-COMB_2022-07-19_RFR-082</v>
      </c>
      <c r="C1490" s="7">
        <f>VLOOKUP(B1490,'Run Reconcile'!A$2:B3090,2,FALSE)</f>
        <v>44761</v>
      </c>
      <c r="D1490" s="11">
        <f>IFERROR(__xludf.DUMMYFUNCTION("""COMPUTED_VALUE"""),44761.0)</f>
        <v>44761</v>
      </c>
      <c r="E1490" s="12">
        <f>IFERROR(__xludf.DUMMYFUNCTION("""COMPUTED_VALUE"""),0.2900115740740148)</f>
        <v>0.2900115741</v>
      </c>
      <c r="F1490" s="6" t="str">
        <f>IFERROR(__xludf.DUMMYFUNCTION("""COMPUTED_VALUE"""),"Negative")</f>
        <v>Negative</v>
      </c>
      <c r="G1490" s="6">
        <f>IFERROR(__xludf.DUMMYFUNCTION("""COMPUTED_VALUE"""),1.0)</f>
        <v>1</v>
      </c>
    </row>
    <row r="1491">
      <c r="A1491" s="6" t="str">
        <f>IFERROR(__xludf.DUMMYFUNCTION("""COMPUTED_VALUE"""),"FM1185")</f>
        <v>FM1185</v>
      </c>
      <c r="B1491" s="6" t="str">
        <f>IFERROR(__xludf.DUMMYFUNCTION("""COMPUTED_VALUE"""),"RUN-COMB_2022-07-19_RFR-082")</f>
        <v>RUN-COMB_2022-07-19_RFR-082</v>
      </c>
      <c r="C1491" s="7">
        <f>VLOOKUP(B1491,'Run Reconcile'!A$2:B3090,2,FALSE)</f>
        <v>44761</v>
      </c>
      <c r="D1491" s="11">
        <f>IFERROR(__xludf.DUMMYFUNCTION("""COMPUTED_VALUE"""),44761.0)</f>
        <v>44761</v>
      </c>
      <c r="E1491" s="12">
        <f>IFERROR(__xludf.DUMMYFUNCTION("""COMPUTED_VALUE"""),0.2903472222205892)</f>
        <v>0.2903472222</v>
      </c>
      <c r="F1491" s="6" t="str">
        <f>IFERROR(__xludf.DUMMYFUNCTION("""COMPUTED_VALUE"""),"Negative")</f>
        <v>Negative</v>
      </c>
      <c r="G1491" s="6">
        <f>IFERROR(__xludf.DUMMYFUNCTION("""COMPUTED_VALUE"""),1.0)</f>
        <v>1</v>
      </c>
    </row>
    <row r="1492">
      <c r="A1492" s="6" t="str">
        <f>IFERROR(__xludf.DUMMYFUNCTION("""COMPUTED_VALUE"""),"FM1155")</f>
        <v>FM1155</v>
      </c>
      <c r="B1492" s="6" t="str">
        <f>IFERROR(__xludf.DUMMYFUNCTION("""COMPUTED_VALUE"""),"RUN-COMB_2022-07-19_RFR-082")</f>
        <v>RUN-COMB_2022-07-19_RFR-082</v>
      </c>
      <c r="C1492" s="7">
        <f>VLOOKUP(B1492,'Run Reconcile'!A$2:B3090,2,FALSE)</f>
        <v>44761</v>
      </c>
      <c r="D1492" s="11">
        <f>IFERROR(__xludf.DUMMYFUNCTION("""COMPUTED_VALUE"""),44761.0)</f>
        <v>44761</v>
      </c>
      <c r="E1492" s="12">
        <f>IFERROR(__xludf.DUMMYFUNCTION("""COMPUTED_VALUE"""),0.2906944444439432)</f>
        <v>0.2906944444</v>
      </c>
      <c r="F1492" s="6" t="str">
        <f>IFERROR(__xludf.DUMMYFUNCTION("""COMPUTED_VALUE"""),"Negative")</f>
        <v>Negative</v>
      </c>
      <c r="G1492" s="6">
        <f>IFERROR(__xludf.DUMMYFUNCTION("""COMPUTED_VALUE"""),1.0)</f>
        <v>1</v>
      </c>
    </row>
    <row r="1493">
      <c r="A1493" s="6" t="str">
        <f>IFERROR(__xludf.DUMMYFUNCTION("""COMPUTED_VALUE"""),"FM1198")</f>
        <v>FM1198</v>
      </c>
      <c r="B1493" s="6" t="str">
        <f>IFERROR(__xludf.DUMMYFUNCTION("""COMPUTED_VALUE"""),"RUN-COMB_2022-07-19_RFR-082")</f>
        <v>RUN-COMB_2022-07-19_RFR-082</v>
      </c>
      <c r="C1493" s="7">
        <f>VLOOKUP(B1493,'Run Reconcile'!A$2:B3090,2,FALSE)</f>
        <v>44761</v>
      </c>
      <c r="D1493" s="11">
        <f>IFERROR(__xludf.DUMMYFUNCTION("""COMPUTED_VALUE"""),44761.0)</f>
        <v>44761</v>
      </c>
      <c r="E1493" s="12">
        <f>IFERROR(__xludf.DUMMYFUNCTION("""COMPUTED_VALUE"""),0.2910300925941556)</f>
        <v>0.2910300926</v>
      </c>
      <c r="F1493" s="6" t="str">
        <f>IFERROR(__xludf.DUMMYFUNCTION("""COMPUTED_VALUE"""),"Positive")</f>
        <v>Positive</v>
      </c>
      <c r="G1493" s="6">
        <f>IFERROR(__xludf.DUMMYFUNCTION("""COMPUTED_VALUE"""),1.0)</f>
        <v>1</v>
      </c>
    </row>
    <row r="1494">
      <c r="A1494" s="6" t="str">
        <f>IFERROR(__xludf.DUMMYFUNCTION("""COMPUTED_VALUE"""),"FM1767")</f>
        <v>FM1767</v>
      </c>
      <c r="B1494" s="6" t="str">
        <f>IFERROR(__xludf.DUMMYFUNCTION("""COMPUTED_VALUE"""),"RUN-COMB_2022-07-20_RFR-084")</f>
        <v>RUN-COMB_2022-07-20_RFR-084</v>
      </c>
      <c r="C1494" s="7">
        <f>VLOOKUP(B1494,'Run Reconcile'!A$2:B3090,2,FALSE)</f>
        <v>44762</v>
      </c>
      <c r="D1494" s="11">
        <f>IFERROR(__xludf.DUMMYFUNCTION("""COMPUTED_VALUE"""),44762.0)</f>
        <v>44762</v>
      </c>
      <c r="E1494" s="12">
        <f>IFERROR(__xludf.DUMMYFUNCTION("""COMPUTED_VALUE"""),0.31978009259182727)</f>
        <v>0.3197800926</v>
      </c>
      <c r="F1494" s="6" t="str">
        <f>IFERROR(__xludf.DUMMYFUNCTION("""COMPUTED_VALUE"""),"Negative")</f>
        <v>Negative</v>
      </c>
      <c r="G1494" s="6">
        <f>IFERROR(__xludf.DUMMYFUNCTION("""COMPUTED_VALUE"""),1.0)</f>
        <v>1</v>
      </c>
    </row>
    <row r="1495">
      <c r="A1495" s="6" t="str">
        <f>IFERROR(__xludf.DUMMYFUNCTION("""COMPUTED_VALUE"""),"FM1179")</f>
        <v>FM1179</v>
      </c>
      <c r="B1495" s="6" t="str">
        <f>IFERROR(__xludf.DUMMYFUNCTION("""COMPUTED_VALUE"""),"RUN-COMB_2022-07-20_RFR-084")</f>
        <v>RUN-COMB_2022-07-20_RFR-084</v>
      </c>
      <c r="C1495" s="7">
        <f>VLOOKUP(B1495,'Run Reconcile'!A$2:B3090,2,FALSE)</f>
        <v>44762</v>
      </c>
      <c r="D1495" s="11">
        <f>IFERROR(__xludf.DUMMYFUNCTION("""COMPUTED_VALUE"""),44762.0)</f>
        <v>44762</v>
      </c>
      <c r="E1495" s="12">
        <f>IFERROR(__xludf.DUMMYFUNCTION("""COMPUTED_VALUE"""),0.32010416666526)</f>
        <v>0.3201041667</v>
      </c>
      <c r="F1495" s="6" t="str">
        <f>IFERROR(__xludf.DUMMYFUNCTION("""COMPUTED_VALUE"""),"Negative")</f>
        <v>Negative</v>
      </c>
      <c r="G1495" s="6">
        <f>IFERROR(__xludf.DUMMYFUNCTION("""COMPUTED_VALUE"""),1.0)</f>
        <v>1</v>
      </c>
    </row>
    <row r="1496">
      <c r="A1496" s="6" t="str">
        <f>IFERROR(__xludf.DUMMYFUNCTION("""COMPUTED_VALUE"""),"FM1751")</f>
        <v>FM1751</v>
      </c>
      <c r="B1496" s="6" t="str">
        <f>IFERROR(__xludf.DUMMYFUNCTION("""COMPUTED_VALUE"""),"RUN-COMB_2022-07-20_RFR-084")</f>
        <v>RUN-COMB_2022-07-20_RFR-084</v>
      </c>
      <c r="C1496" s="7">
        <f>VLOOKUP(B1496,'Run Reconcile'!A$2:B3090,2,FALSE)</f>
        <v>44762</v>
      </c>
      <c r="D1496" s="11">
        <f>IFERROR(__xludf.DUMMYFUNCTION("""COMPUTED_VALUE"""),44762.0)</f>
        <v>44762</v>
      </c>
      <c r="E1496" s="12">
        <f>IFERROR(__xludf.DUMMYFUNCTION("""COMPUTED_VALUE"""),0.320381944446126)</f>
        <v>0.3203819444</v>
      </c>
      <c r="F1496" s="6" t="str">
        <f>IFERROR(__xludf.DUMMYFUNCTION("""COMPUTED_VALUE"""),"Negative")</f>
        <v>Negative</v>
      </c>
      <c r="G1496" s="6">
        <f>IFERROR(__xludf.DUMMYFUNCTION("""COMPUTED_VALUE"""),1.0)</f>
        <v>1</v>
      </c>
    </row>
    <row r="1497">
      <c r="A1497" s="6" t="str">
        <f>IFERROR(__xludf.DUMMYFUNCTION("""COMPUTED_VALUE"""),"FM1156")</f>
        <v>FM1156</v>
      </c>
      <c r="B1497" s="6" t="str">
        <f>IFERROR(__xludf.DUMMYFUNCTION("""COMPUTED_VALUE"""),"RUN-COMB_2022-07-20_RFR-084")</f>
        <v>RUN-COMB_2022-07-20_RFR-084</v>
      </c>
      <c r="C1497" s="7">
        <f>VLOOKUP(B1497,'Run Reconcile'!A$2:B3090,2,FALSE)</f>
        <v>44762</v>
      </c>
      <c r="D1497" s="11">
        <f>IFERROR(__xludf.DUMMYFUNCTION("""COMPUTED_VALUE"""),44762.0)</f>
        <v>44762</v>
      </c>
      <c r="E1497" s="12">
        <f>IFERROR(__xludf.DUMMYFUNCTION("""COMPUTED_VALUE"""),0.3206712962964957)</f>
        <v>0.3206712963</v>
      </c>
      <c r="F1497" s="6" t="str">
        <f>IFERROR(__xludf.DUMMYFUNCTION("""COMPUTED_VALUE"""),"Negative")</f>
        <v>Negative</v>
      </c>
      <c r="G1497" s="6">
        <f>IFERROR(__xludf.DUMMYFUNCTION("""COMPUTED_VALUE"""),1.0)</f>
        <v>1</v>
      </c>
    </row>
    <row r="1498">
      <c r="A1498" s="6" t="str">
        <f>IFERROR(__xludf.DUMMYFUNCTION("""COMPUTED_VALUE"""),"FM1150")</f>
        <v>FM1150</v>
      </c>
      <c r="B1498" s="6" t="str">
        <f>IFERROR(__xludf.DUMMYFUNCTION("""COMPUTED_VALUE"""),"RUN-COMB_2022-07-20_RFR-084")</f>
        <v>RUN-COMB_2022-07-20_RFR-084</v>
      </c>
      <c r="C1498" s="7">
        <f>VLOOKUP(B1498,'Run Reconcile'!A$2:B3090,2,FALSE)</f>
        <v>44762</v>
      </c>
      <c r="D1498" s="11">
        <f>IFERROR(__xludf.DUMMYFUNCTION("""COMPUTED_VALUE"""),44762.0)</f>
        <v>44762</v>
      </c>
      <c r="E1498" s="12">
        <f>IFERROR(__xludf.DUMMYFUNCTION("""COMPUTED_VALUE"""),0.32094907407372375)</f>
        <v>0.3209490741</v>
      </c>
      <c r="F1498" s="6" t="str">
        <f>IFERROR(__xludf.DUMMYFUNCTION("""COMPUTED_VALUE"""),"Negative")</f>
        <v>Negative</v>
      </c>
      <c r="G1498" s="6">
        <f>IFERROR(__xludf.DUMMYFUNCTION("""COMPUTED_VALUE"""),1.0)</f>
        <v>1</v>
      </c>
    </row>
    <row r="1499">
      <c r="A1499" s="6" t="str">
        <f>IFERROR(__xludf.DUMMYFUNCTION("""COMPUTED_VALUE"""),"FM1191")</f>
        <v>FM1191</v>
      </c>
      <c r="B1499" s="6" t="str">
        <f>IFERROR(__xludf.DUMMYFUNCTION("""COMPUTED_VALUE"""),"RUN-COMB_2022-07-20_RFR-084")</f>
        <v>RUN-COMB_2022-07-20_RFR-084</v>
      </c>
      <c r="C1499" s="7">
        <f>VLOOKUP(B1499,'Run Reconcile'!A$2:B3090,2,FALSE)</f>
        <v>44762</v>
      </c>
      <c r="D1499" s="11">
        <f>IFERROR(__xludf.DUMMYFUNCTION("""COMPUTED_VALUE"""),44762.0)</f>
        <v>44762</v>
      </c>
      <c r="E1499" s="12">
        <f>IFERROR(__xludf.DUMMYFUNCTION("""COMPUTED_VALUE"""),0.32131944444336114)</f>
        <v>0.3213194444</v>
      </c>
      <c r="F1499" s="6" t="str">
        <f>IFERROR(__xludf.DUMMYFUNCTION("""COMPUTED_VALUE"""),"Negative")</f>
        <v>Negative</v>
      </c>
      <c r="G1499" s="6">
        <f>IFERROR(__xludf.DUMMYFUNCTION("""COMPUTED_VALUE"""),1.0)</f>
        <v>1</v>
      </c>
    </row>
    <row r="1500">
      <c r="A1500" s="6" t="str">
        <f>IFERROR(__xludf.DUMMYFUNCTION("""COMPUTED_VALUE"""),"FM1772")</f>
        <v>FM1772</v>
      </c>
      <c r="B1500" s="6" t="str">
        <f>IFERROR(__xludf.DUMMYFUNCTION("""COMPUTED_VALUE"""),"RUN-COMB_2022-07-20_RFR-084")</f>
        <v>RUN-COMB_2022-07-20_RFR-084</v>
      </c>
      <c r="C1500" s="7">
        <f>VLOOKUP(B1500,'Run Reconcile'!A$2:B3090,2,FALSE)</f>
        <v>44762</v>
      </c>
      <c r="D1500" s="11">
        <f>IFERROR(__xludf.DUMMYFUNCTION("""COMPUTED_VALUE"""),44762.0)</f>
        <v>44762</v>
      </c>
      <c r="E1500" s="12">
        <f>IFERROR(__xludf.DUMMYFUNCTION("""COMPUTED_VALUE"""),0.32156250000116415)</f>
        <v>0.3215625</v>
      </c>
      <c r="F1500" s="6" t="str">
        <f>IFERROR(__xludf.DUMMYFUNCTION("""COMPUTED_VALUE"""),"Negative")</f>
        <v>Negative</v>
      </c>
      <c r="G1500" s="6">
        <f>IFERROR(__xludf.DUMMYFUNCTION("""COMPUTED_VALUE"""),1.0)</f>
        <v>1</v>
      </c>
    </row>
    <row r="1501">
      <c r="A1501" s="6" t="str">
        <f>IFERROR(__xludf.DUMMYFUNCTION("""COMPUTED_VALUE"""),"FM1173")</f>
        <v>FM1173</v>
      </c>
      <c r="B1501" s="6" t="str">
        <f>IFERROR(__xludf.DUMMYFUNCTION("""COMPUTED_VALUE"""),"RUN-COMB_2022-07-20_RFR-084")</f>
        <v>RUN-COMB_2022-07-20_RFR-084</v>
      </c>
      <c r="C1501" s="7">
        <f>VLOOKUP(B1501,'Run Reconcile'!A$2:B3090,2,FALSE)</f>
        <v>44762</v>
      </c>
      <c r="D1501" s="11">
        <f>IFERROR(__xludf.DUMMYFUNCTION("""COMPUTED_VALUE"""),44762.0)</f>
        <v>44762</v>
      </c>
      <c r="E1501" s="12">
        <f>IFERROR(__xludf.DUMMYFUNCTION("""COMPUTED_VALUE"""),0.3219560185170849)</f>
        <v>0.3219560185</v>
      </c>
      <c r="F1501" s="6" t="str">
        <f>IFERROR(__xludf.DUMMYFUNCTION("""COMPUTED_VALUE"""),"Negative")</f>
        <v>Negative</v>
      </c>
      <c r="G1501" s="6">
        <f>IFERROR(__xludf.DUMMYFUNCTION("""COMPUTED_VALUE"""),1.0)</f>
        <v>1</v>
      </c>
    </row>
    <row r="1502">
      <c r="A1502" s="6" t="str">
        <f>IFERROR(__xludf.DUMMYFUNCTION("""COMPUTED_VALUE"""),"FM1171")</f>
        <v>FM1171</v>
      </c>
      <c r="B1502" s="6" t="str">
        <f>IFERROR(__xludf.DUMMYFUNCTION("""COMPUTED_VALUE"""),"RUN-COMB_2022-07-20_RFR-084")</f>
        <v>RUN-COMB_2022-07-20_RFR-084</v>
      </c>
      <c r="C1502" s="7">
        <f>VLOOKUP(B1502,'Run Reconcile'!A$2:B3090,2,FALSE)</f>
        <v>44762</v>
      </c>
      <c r="D1502" s="11">
        <f>IFERROR(__xludf.DUMMYFUNCTION("""COMPUTED_VALUE"""),44762.0)</f>
        <v>44762</v>
      </c>
      <c r="E1502" s="12">
        <f>IFERROR(__xludf.DUMMYFUNCTION("""COMPUTED_VALUE"""),0.3223842592597066)</f>
        <v>0.3223842593</v>
      </c>
      <c r="F1502" s="6" t="str">
        <f>IFERROR(__xludf.DUMMYFUNCTION("""COMPUTED_VALUE"""),"Negative")</f>
        <v>Negative</v>
      </c>
      <c r="G1502" s="6">
        <f>IFERROR(__xludf.DUMMYFUNCTION("""COMPUTED_VALUE"""),1.0)</f>
        <v>1</v>
      </c>
    </row>
    <row r="1503">
      <c r="A1503" s="6" t="str">
        <f>IFERROR(__xludf.DUMMYFUNCTION("""COMPUTED_VALUE"""),"FM1743")</f>
        <v>FM1743</v>
      </c>
      <c r="B1503" s="6" t="str">
        <f>IFERROR(__xludf.DUMMYFUNCTION("""COMPUTED_VALUE"""),"RUN-COMB_2022-07-20_RFR-084")</f>
        <v>RUN-COMB_2022-07-20_RFR-084</v>
      </c>
      <c r="C1503" s="7">
        <f>VLOOKUP(B1503,'Run Reconcile'!A$2:B3090,2,FALSE)</f>
        <v>44762</v>
      </c>
      <c r="D1503" s="11">
        <f>IFERROR(__xludf.DUMMYFUNCTION("""COMPUTED_VALUE"""),44762.0)</f>
        <v>44762</v>
      </c>
      <c r="E1503" s="12">
        <f>IFERROR(__xludf.DUMMYFUNCTION("""COMPUTED_VALUE"""),0.32315972222204437)</f>
        <v>0.3231597222</v>
      </c>
      <c r="F1503" s="6" t="str">
        <f>IFERROR(__xludf.DUMMYFUNCTION("""COMPUTED_VALUE"""),"Negative")</f>
        <v>Negative</v>
      </c>
      <c r="G1503" s="6">
        <f>IFERROR(__xludf.DUMMYFUNCTION("""COMPUTED_VALUE"""),1.0)</f>
        <v>1</v>
      </c>
    </row>
    <row r="1504">
      <c r="A1504" s="6" t="str">
        <f>IFERROR(__xludf.DUMMYFUNCTION("""COMPUTED_VALUE"""),"FM1750")</f>
        <v>FM1750</v>
      </c>
      <c r="B1504" s="6" t="str">
        <f>IFERROR(__xludf.DUMMYFUNCTION("""COMPUTED_VALUE"""),"RUN-COMB_2022-07-20_RFR-084")</f>
        <v>RUN-COMB_2022-07-20_RFR-084</v>
      </c>
      <c r="C1504" s="7">
        <f>VLOOKUP(B1504,'Run Reconcile'!A$2:B3090,2,FALSE)</f>
        <v>44762</v>
      </c>
      <c r="D1504" s="11">
        <f>IFERROR(__xludf.DUMMYFUNCTION("""COMPUTED_VALUE"""),44762.0)</f>
        <v>44762</v>
      </c>
      <c r="E1504" s="12">
        <f>IFERROR(__xludf.DUMMYFUNCTION("""COMPUTED_VALUE"""),0.3234837962954771)</f>
        <v>0.3234837963</v>
      </c>
      <c r="F1504" s="6" t="str">
        <f>IFERROR(__xludf.DUMMYFUNCTION("""COMPUTED_VALUE"""),"Negative")</f>
        <v>Negative</v>
      </c>
      <c r="G1504" s="6">
        <f>IFERROR(__xludf.DUMMYFUNCTION("""COMPUTED_VALUE"""),1.0)</f>
        <v>1</v>
      </c>
    </row>
    <row r="1505">
      <c r="A1505" s="6" t="str">
        <f>IFERROR(__xludf.DUMMYFUNCTION("""COMPUTED_VALUE"""),"FM1154")</f>
        <v>FM1154</v>
      </c>
      <c r="B1505" s="6" t="str">
        <f>IFERROR(__xludf.DUMMYFUNCTION("""COMPUTED_VALUE"""),"RUN-COMB_2022-07-20_RFR-084")</f>
        <v>RUN-COMB_2022-07-20_RFR-084</v>
      </c>
      <c r="C1505" s="7">
        <f>VLOOKUP(B1505,'Run Reconcile'!A$2:B3090,2,FALSE)</f>
        <v>44762</v>
      </c>
      <c r="D1505" s="11">
        <f>IFERROR(__xludf.DUMMYFUNCTION("""COMPUTED_VALUE"""),44762.0)</f>
        <v>44762</v>
      </c>
      <c r="E1505" s="12">
        <f>IFERROR(__xludf.DUMMYFUNCTION("""COMPUTED_VALUE"""),0.3237962962957681)</f>
        <v>0.3237962963</v>
      </c>
      <c r="F1505" s="6" t="str">
        <f>IFERROR(__xludf.DUMMYFUNCTION("""COMPUTED_VALUE"""),"Negative")</f>
        <v>Negative</v>
      </c>
      <c r="G1505" s="6">
        <f>IFERROR(__xludf.DUMMYFUNCTION("""COMPUTED_VALUE"""),1.0)</f>
        <v>1</v>
      </c>
    </row>
    <row r="1506">
      <c r="A1506" s="6" t="str">
        <f>IFERROR(__xludf.DUMMYFUNCTION("""COMPUTED_VALUE"""),"FM1143")</f>
        <v>FM1143</v>
      </c>
      <c r="B1506" s="6" t="str">
        <f>IFERROR(__xludf.DUMMYFUNCTION("""COMPUTED_VALUE"""),"RUN-COMB_2022-07-20_RFR-084")</f>
        <v>RUN-COMB_2022-07-20_RFR-084</v>
      </c>
      <c r="C1506" s="7">
        <f>VLOOKUP(B1506,'Run Reconcile'!A$2:B3090,2,FALSE)</f>
        <v>44762</v>
      </c>
      <c r="D1506" s="11">
        <f>IFERROR(__xludf.DUMMYFUNCTION("""COMPUTED_VALUE"""),44762.0)</f>
        <v>44762</v>
      </c>
      <c r="E1506" s="12">
        <f>IFERROR(__xludf.DUMMYFUNCTION("""COMPUTED_VALUE"""),0.32407407407299615)</f>
        <v>0.3240740741</v>
      </c>
      <c r="F1506" s="6" t="str">
        <f>IFERROR(__xludf.DUMMYFUNCTION("""COMPUTED_VALUE"""),"Negative")</f>
        <v>Negative</v>
      </c>
      <c r="G1506" s="6">
        <f>IFERROR(__xludf.DUMMYFUNCTION("""COMPUTED_VALUE"""),1.0)</f>
        <v>1</v>
      </c>
    </row>
    <row r="1507">
      <c r="A1507" s="6" t="str">
        <f>IFERROR(__xludf.DUMMYFUNCTION("""COMPUTED_VALUE"""),"FM1792")</f>
        <v>FM1792</v>
      </c>
      <c r="B1507" s="6" t="str">
        <f>IFERROR(__xludf.DUMMYFUNCTION("""COMPUTED_VALUE"""),"RUN-COMB_2022-07-20_RFR-084")</f>
        <v>RUN-COMB_2022-07-20_RFR-084</v>
      </c>
      <c r="C1507" s="7">
        <f>VLOOKUP(B1507,'Run Reconcile'!A$2:B3090,2,FALSE)</f>
        <v>44762</v>
      </c>
      <c r="D1507" s="11">
        <f>IFERROR(__xludf.DUMMYFUNCTION("""COMPUTED_VALUE"""),44762.0)</f>
        <v>44762</v>
      </c>
      <c r="E1507" s="12">
        <f>IFERROR(__xludf.DUMMYFUNCTION("""COMPUTED_VALUE"""),0.3243865740732872)</f>
        <v>0.3243865741</v>
      </c>
      <c r="F1507" s="6" t="str">
        <f>IFERROR(__xludf.DUMMYFUNCTION("""COMPUTED_VALUE"""),"Negative")</f>
        <v>Negative</v>
      </c>
      <c r="G1507" s="6">
        <f>IFERROR(__xludf.DUMMYFUNCTION("""COMPUTED_VALUE"""),1.0)</f>
        <v>1</v>
      </c>
    </row>
    <row r="1508">
      <c r="A1508" s="6" t="str">
        <f>IFERROR(__xludf.DUMMYFUNCTION("""COMPUTED_VALUE"""),"FM1190")</f>
        <v>FM1190</v>
      </c>
      <c r="B1508" s="6" t="str">
        <f>IFERROR(__xludf.DUMMYFUNCTION("""COMPUTED_VALUE"""),"RUN-COMB_2022-07-20_RFR-084")</f>
        <v>RUN-COMB_2022-07-20_RFR-084</v>
      </c>
      <c r="C1508" s="7">
        <f>VLOOKUP(B1508,'Run Reconcile'!A$2:B3090,2,FALSE)</f>
        <v>44762</v>
      </c>
      <c r="D1508" s="11">
        <f>IFERROR(__xludf.DUMMYFUNCTION("""COMPUTED_VALUE"""),44762.0)</f>
        <v>44762</v>
      </c>
      <c r="E1508" s="12">
        <f>IFERROR(__xludf.DUMMYFUNCTION("""COMPUTED_VALUE"""),0.32480324073912925)</f>
        <v>0.3248032407</v>
      </c>
      <c r="F1508" s="6" t="str">
        <f>IFERROR(__xludf.DUMMYFUNCTION("""COMPUTED_VALUE"""),"Negative")</f>
        <v>Negative</v>
      </c>
      <c r="G1508" s="6">
        <f>IFERROR(__xludf.DUMMYFUNCTION("""COMPUTED_VALUE"""),1.0)</f>
        <v>1</v>
      </c>
    </row>
    <row r="1509">
      <c r="A1509" s="6" t="str">
        <f>IFERROR(__xludf.DUMMYFUNCTION("""COMPUTED_VALUE"""),"FM1170")</f>
        <v>FM1170</v>
      </c>
      <c r="B1509" s="6" t="str">
        <f>IFERROR(__xludf.DUMMYFUNCTION("""COMPUTED_VALUE"""),"RUN-COMB_2022-07-20_RFR-084")</f>
        <v>RUN-COMB_2022-07-20_RFR-084</v>
      </c>
      <c r="C1509" s="7">
        <f>VLOOKUP(B1509,'Run Reconcile'!A$2:B3090,2,FALSE)</f>
        <v>44762</v>
      </c>
      <c r="D1509" s="11">
        <f>IFERROR(__xludf.DUMMYFUNCTION("""COMPUTED_VALUE"""),44762.0)</f>
        <v>44762</v>
      </c>
      <c r="E1509" s="12">
        <f>IFERROR(__xludf.DUMMYFUNCTION("""COMPUTED_VALUE"""),0.3251851851855463)</f>
        <v>0.3251851852</v>
      </c>
      <c r="F1509" s="6" t="str">
        <f>IFERROR(__xludf.DUMMYFUNCTION("""COMPUTED_VALUE"""),"Negative")</f>
        <v>Negative</v>
      </c>
      <c r="G1509" s="6">
        <f>IFERROR(__xludf.DUMMYFUNCTION("""COMPUTED_VALUE"""),1.0)</f>
        <v>1</v>
      </c>
    </row>
    <row r="1510">
      <c r="A1510" s="6" t="str">
        <f>IFERROR(__xludf.DUMMYFUNCTION("""COMPUTED_VALUE"""),"FM1168")</f>
        <v>FM1168</v>
      </c>
      <c r="B1510" s="6" t="str">
        <f>IFERROR(__xludf.DUMMYFUNCTION("""COMPUTED_VALUE"""),"RUN-COMB_2022-07-20_RFR-084")</f>
        <v>RUN-COMB_2022-07-20_RFR-084</v>
      </c>
      <c r="C1510" s="7">
        <f>VLOOKUP(B1510,'Run Reconcile'!A$2:B3090,2,FALSE)</f>
        <v>44762</v>
      </c>
      <c r="D1510" s="11">
        <f>IFERROR(__xludf.DUMMYFUNCTION("""COMPUTED_VALUE"""),44762.0)</f>
        <v>44762</v>
      </c>
      <c r="E1510" s="12">
        <f>IFERROR(__xludf.DUMMYFUNCTION("""COMPUTED_VALUE"""),0.32548611111269565)</f>
        <v>0.3254861111</v>
      </c>
      <c r="F1510" s="6" t="str">
        <f>IFERROR(__xludf.DUMMYFUNCTION("""COMPUTED_VALUE"""),"Negative")</f>
        <v>Negative</v>
      </c>
      <c r="G1510" s="6">
        <f>IFERROR(__xludf.DUMMYFUNCTION("""COMPUTED_VALUE"""),1.0)</f>
        <v>1</v>
      </c>
    </row>
    <row r="1511">
      <c r="A1511" s="6" t="str">
        <f>IFERROR(__xludf.DUMMYFUNCTION("""COMPUTED_VALUE"""),"FM1160")</f>
        <v>FM1160</v>
      </c>
      <c r="B1511" s="6" t="str">
        <f>IFERROR(__xludf.DUMMYFUNCTION("""COMPUTED_VALUE"""),"RUN-COMB_2022-07-20_RFR-084")</f>
        <v>RUN-COMB_2022-07-20_RFR-084</v>
      </c>
      <c r="C1511" s="7">
        <f>VLOOKUP(B1511,'Run Reconcile'!A$2:B3090,2,FALSE)</f>
        <v>44762</v>
      </c>
      <c r="D1511" s="11">
        <f>IFERROR(__xludf.DUMMYFUNCTION("""COMPUTED_VALUE"""),44762.0)</f>
        <v>44762</v>
      </c>
      <c r="E1511" s="12">
        <f>IFERROR(__xludf.DUMMYFUNCTION("""COMPUTED_VALUE"""),0.3258333333324117)</f>
        <v>0.3258333333</v>
      </c>
      <c r="F1511" s="6" t="str">
        <f>IFERROR(__xludf.DUMMYFUNCTION("""COMPUTED_VALUE"""),"Negative")</f>
        <v>Negative</v>
      </c>
      <c r="G1511" s="6">
        <f>IFERROR(__xludf.DUMMYFUNCTION("""COMPUTED_VALUE"""),1.0)</f>
        <v>1</v>
      </c>
    </row>
    <row r="1512">
      <c r="A1512" s="6" t="str">
        <f>IFERROR(__xludf.DUMMYFUNCTION("""COMPUTED_VALUE"""),"FM1161")</f>
        <v>FM1161</v>
      </c>
      <c r="B1512" s="6" t="str">
        <f>IFERROR(__xludf.DUMMYFUNCTION("""COMPUTED_VALUE"""),"RUN-COMB_2022-07-20_RFR-084")</f>
        <v>RUN-COMB_2022-07-20_RFR-084</v>
      </c>
      <c r="C1512" s="7">
        <f>VLOOKUP(B1512,'Run Reconcile'!A$2:B3090,2,FALSE)</f>
        <v>44762</v>
      </c>
      <c r="D1512" s="11">
        <f>IFERROR(__xludf.DUMMYFUNCTION("""COMPUTED_VALUE"""),44762.0)</f>
        <v>44762</v>
      </c>
      <c r="E1512" s="12">
        <f>IFERROR(__xludf.DUMMYFUNCTION("""COMPUTED_VALUE"""),0.3261689814826241)</f>
        <v>0.3261689815</v>
      </c>
      <c r="F1512" s="6" t="str">
        <f>IFERROR(__xludf.DUMMYFUNCTION("""COMPUTED_VALUE"""),"Negative")</f>
        <v>Negative</v>
      </c>
      <c r="G1512" s="6">
        <f>IFERROR(__xludf.DUMMYFUNCTION("""COMPUTED_VALUE"""),1.0)</f>
        <v>1</v>
      </c>
    </row>
    <row r="1513">
      <c r="A1513" s="6" t="str">
        <f>IFERROR(__xludf.DUMMYFUNCTION("""COMPUTED_VALUE"""),"FM1174")</f>
        <v>FM1174</v>
      </c>
      <c r="B1513" s="6" t="str">
        <f>IFERROR(__xludf.DUMMYFUNCTION("""COMPUTED_VALUE"""),"RUN-COMB_2022-07-20_RFR-084")</f>
        <v>RUN-COMB_2022-07-20_RFR-084</v>
      </c>
      <c r="C1513" s="7">
        <f>VLOOKUP(B1513,'Run Reconcile'!A$2:B3090,2,FALSE)</f>
        <v>44762</v>
      </c>
      <c r="D1513" s="11">
        <f>IFERROR(__xludf.DUMMYFUNCTION("""COMPUTED_VALUE"""),44762.0)</f>
        <v>44762</v>
      </c>
      <c r="E1513" s="12">
        <f>IFERROR(__xludf.DUMMYFUNCTION("""COMPUTED_VALUE"""),0.3264467592598521)</f>
        <v>0.3264467593</v>
      </c>
      <c r="F1513" s="6" t="str">
        <f>IFERROR(__xludf.DUMMYFUNCTION("""COMPUTED_VALUE"""),"Negative")</f>
        <v>Negative</v>
      </c>
      <c r="G1513" s="6">
        <f>IFERROR(__xludf.DUMMYFUNCTION("""COMPUTED_VALUE"""),1.0)</f>
        <v>1</v>
      </c>
    </row>
    <row r="1514">
      <c r="A1514" s="6" t="str">
        <f>IFERROR(__xludf.DUMMYFUNCTION("""COMPUTED_VALUE"""),"FM1752")</f>
        <v>FM1752</v>
      </c>
      <c r="B1514" s="6" t="str">
        <f>IFERROR(__xludf.DUMMYFUNCTION("""COMPUTED_VALUE"""),"RUN-COMB_2022-07-20_RFR-084")</f>
        <v>RUN-COMB_2022-07-20_RFR-084</v>
      </c>
      <c r="C1514" s="7">
        <f>VLOOKUP(B1514,'Run Reconcile'!A$2:B3090,2,FALSE)</f>
        <v>44762</v>
      </c>
      <c r="D1514" s="11">
        <f>IFERROR(__xludf.DUMMYFUNCTION("""COMPUTED_VALUE"""),44762.0)</f>
        <v>44762</v>
      </c>
      <c r="E1514" s="12">
        <f>IFERROR(__xludf.DUMMYFUNCTION("""COMPUTED_VALUE"""),0.32675925926014315)</f>
        <v>0.3267592593</v>
      </c>
      <c r="F1514" s="6" t="str">
        <f>IFERROR(__xludf.DUMMYFUNCTION("""COMPUTED_VALUE"""),"Negative")</f>
        <v>Negative</v>
      </c>
      <c r="G1514" s="6">
        <f>IFERROR(__xludf.DUMMYFUNCTION("""COMPUTED_VALUE"""),1.0)</f>
        <v>1</v>
      </c>
    </row>
    <row r="1515">
      <c r="A1515" s="6" t="str">
        <f>IFERROR(__xludf.DUMMYFUNCTION("""COMPUTED_VALUE"""),"FM1165")</f>
        <v>FM1165</v>
      </c>
      <c r="B1515" s="6" t="str">
        <f>IFERROR(__xludf.DUMMYFUNCTION("""COMPUTED_VALUE"""),"RUN-COMB_2022-07-20_RFR-084")</f>
        <v>RUN-COMB_2022-07-20_RFR-084</v>
      </c>
      <c r="C1515" s="7">
        <f>VLOOKUP(B1515,'Run Reconcile'!A$2:B3090,2,FALSE)</f>
        <v>44762</v>
      </c>
      <c r="D1515" s="11">
        <f>IFERROR(__xludf.DUMMYFUNCTION("""COMPUTED_VALUE"""),44762.0)</f>
        <v>44762</v>
      </c>
      <c r="E1515" s="12">
        <f>IFERROR(__xludf.DUMMYFUNCTION("""COMPUTED_VALUE"""),0.3271064814798592)</f>
        <v>0.3271064815</v>
      </c>
      <c r="F1515" s="6" t="str">
        <f>IFERROR(__xludf.DUMMYFUNCTION("""COMPUTED_VALUE"""),"Negative")</f>
        <v>Negative</v>
      </c>
      <c r="G1515" s="6">
        <f>IFERROR(__xludf.DUMMYFUNCTION("""COMPUTED_VALUE"""),1.0)</f>
        <v>1</v>
      </c>
    </row>
    <row r="1516">
      <c r="A1516" s="6" t="str">
        <f>IFERROR(__xludf.DUMMYFUNCTION("""COMPUTED_VALUE"""),"FM1775")</f>
        <v>FM1775</v>
      </c>
      <c r="B1516" s="6" t="str">
        <f>IFERROR(__xludf.DUMMYFUNCTION("""COMPUTED_VALUE"""),"RUN-COMB_2022-07-20_RFR-084")</f>
        <v>RUN-COMB_2022-07-20_RFR-084</v>
      </c>
      <c r="C1516" s="7">
        <f>VLOOKUP(B1516,'Run Reconcile'!A$2:B3090,2,FALSE)</f>
        <v>44762</v>
      </c>
      <c r="D1516" s="11">
        <f>IFERROR(__xludf.DUMMYFUNCTION("""COMPUTED_VALUE"""),44762.0)</f>
        <v>44762</v>
      </c>
      <c r="E1516" s="12">
        <f>IFERROR(__xludf.DUMMYFUNCTION("""COMPUTED_VALUE"""),0.3274305555569299)</f>
        <v>0.3274305556</v>
      </c>
      <c r="F1516" s="6" t="str">
        <f>IFERROR(__xludf.DUMMYFUNCTION("""COMPUTED_VALUE"""),"Negative")</f>
        <v>Negative</v>
      </c>
      <c r="G1516" s="6">
        <f>IFERROR(__xludf.DUMMYFUNCTION("""COMPUTED_VALUE"""),1.0)</f>
        <v>1</v>
      </c>
    </row>
    <row r="1517">
      <c r="A1517" s="6" t="str">
        <f>IFERROR(__xludf.DUMMYFUNCTION("""COMPUTED_VALUE"""),"FM1800")</f>
        <v>FM1800</v>
      </c>
      <c r="B1517" s="6" t="str">
        <f>IFERROR(__xludf.DUMMYFUNCTION("""COMPUTED_VALUE"""),"RUN-COMB_2022-07-20_RFR-084")</f>
        <v>RUN-COMB_2022-07-20_RFR-084</v>
      </c>
      <c r="C1517" s="7">
        <f>VLOOKUP(B1517,'Run Reconcile'!A$2:B3090,2,FALSE)</f>
        <v>44762</v>
      </c>
      <c r="D1517" s="11">
        <f>IFERROR(__xludf.DUMMYFUNCTION("""COMPUTED_VALUE"""),44762.0)</f>
        <v>44762</v>
      </c>
      <c r="E1517" s="12">
        <f>IFERROR(__xludf.DUMMYFUNCTION("""COMPUTED_VALUE"""),0.32782407407285064)</f>
        <v>0.3278240741</v>
      </c>
      <c r="F1517" s="6" t="str">
        <f>IFERROR(__xludf.DUMMYFUNCTION("""COMPUTED_VALUE"""),"Negative")</f>
        <v>Negative</v>
      </c>
      <c r="G1517" s="6">
        <f>IFERROR(__xludf.DUMMYFUNCTION("""COMPUTED_VALUE"""),1.0)</f>
        <v>1</v>
      </c>
    </row>
    <row r="1518">
      <c r="A1518" s="6" t="str">
        <f>IFERROR(__xludf.DUMMYFUNCTION("""COMPUTED_VALUE"""),"FM1148")</f>
        <v>FM1148</v>
      </c>
      <c r="B1518" s="6" t="str">
        <f>IFERROR(__xludf.DUMMYFUNCTION("""COMPUTED_VALUE"""),"RUN-COMB_2022-07-20_RFR-084")</f>
        <v>RUN-COMB_2022-07-20_RFR-084</v>
      </c>
      <c r="C1518" s="7">
        <f>VLOOKUP(B1518,'Run Reconcile'!A$2:B3090,2,FALSE)</f>
        <v>44762</v>
      </c>
      <c r="D1518" s="11">
        <f>IFERROR(__xludf.DUMMYFUNCTION("""COMPUTED_VALUE"""),44762.0)</f>
        <v>44762</v>
      </c>
      <c r="E1518" s="12">
        <f>IFERROR(__xludf.DUMMYFUNCTION("""COMPUTED_VALUE"""),0.3281481481499213)</f>
        <v>0.3281481481</v>
      </c>
      <c r="F1518" s="6" t="str">
        <f>IFERROR(__xludf.DUMMYFUNCTION("""COMPUTED_VALUE"""),"Negative")</f>
        <v>Negative</v>
      </c>
      <c r="G1518" s="6">
        <f>IFERROR(__xludf.DUMMYFUNCTION("""COMPUTED_VALUE"""),1.0)</f>
        <v>1</v>
      </c>
    </row>
    <row r="1519">
      <c r="A1519" s="6" t="str">
        <f>IFERROR(__xludf.DUMMYFUNCTION("""COMPUTED_VALUE"""),"FM1771")</f>
        <v>FM1771</v>
      </c>
      <c r="B1519" s="6" t="str">
        <f>IFERROR(__xludf.DUMMYFUNCTION("""COMPUTED_VALUE"""),"RUN-COMB_2022-07-20_RFR-084")</f>
        <v>RUN-COMB_2022-07-20_RFR-084</v>
      </c>
      <c r="C1519" s="7">
        <f>VLOOKUP(B1519,'Run Reconcile'!A$2:B3090,2,FALSE)</f>
        <v>44762</v>
      </c>
      <c r="D1519" s="11">
        <f>IFERROR(__xludf.DUMMYFUNCTION("""COMPUTED_VALUE"""),44762.0)</f>
        <v>44762</v>
      </c>
      <c r="E1519" s="12">
        <f>IFERROR(__xludf.DUMMYFUNCTION("""COMPUTED_VALUE"""),0.3284953703696374)</f>
        <v>0.3284953704</v>
      </c>
      <c r="F1519" s="6" t="str">
        <f>IFERROR(__xludf.DUMMYFUNCTION("""COMPUTED_VALUE"""),"Negative")</f>
        <v>Negative</v>
      </c>
      <c r="G1519" s="6">
        <f>IFERROR(__xludf.DUMMYFUNCTION("""COMPUTED_VALUE"""),1.0)</f>
        <v>1</v>
      </c>
    </row>
    <row r="1520">
      <c r="A1520" s="6" t="str">
        <f>IFERROR(__xludf.DUMMYFUNCTION("""COMPUTED_VALUE"""),"FM1175")</f>
        <v>FM1175</v>
      </c>
      <c r="B1520" s="6" t="str">
        <f>IFERROR(__xludf.DUMMYFUNCTION("""COMPUTED_VALUE"""),"RUN-COMB_2022-07-20_RFR-084")</f>
        <v>RUN-COMB_2022-07-20_RFR-084</v>
      </c>
      <c r="C1520" s="7">
        <f>VLOOKUP(B1520,'Run Reconcile'!A$2:B3090,2,FALSE)</f>
        <v>44762</v>
      </c>
      <c r="D1520" s="11">
        <f>IFERROR(__xludf.DUMMYFUNCTION("""COMPUTED_VALUE"""),44762.0)</f>
        <v>44762</v>
      </c>
      <c r="E1520" s="12">
        <f>IFERROR(__xludf.DUMMYFUNCTION("""COMPUTED_VALUE"""),0.32883101851984975)</f>
        <v>0.3288310185</v>
      </c>
      <c r="F1520" s="6" t="str">
        <f>IFERROR(__xludf.DUMMYFUNCTION("""COMPUTED_VALUE"""),"Negative")</f>
        <v>Negative</v>
      </c>
      <c r="G1520" s="6">
        <f>IFERROR(__xludf.DUMMYFUNCTION("""COMPUTED_VALUE"""),1.0)</f>
        <v>1</v>
      </c>
    </row>
    <row r="1521">
      <c r="A1521" s="6" t="str">
        <f>IFERROR(__xludf.DUMMYFUNCTION("""COMPUTED_VALUE"""),"FM1076")</f>
        <v>FM1076</v>
      </c>
      <c r="B1521" s="6" t="str">
        <f>IFERROR(__xludf.DUMMYFUNCTION("""COMPUTED_VALUE"""),"RUN-COMB_2022-07-22_RFR-085")</f>
        <v>RUN-COMB_2022-07-22_RFR-085</v>
      </c>
      <c r="C1521" s="7">
        <f>VLOOKUP(B1521,'Run Reconcile'!A$2:B3090,2,FALSE)</f>
        <v>44764</v>
      </c>
      <c r="D1521" s="11">
        <f>IFERROR(__xludf.DUMMYFUNCTION("""COMPUTED_VALUE"""),44764.0)</f>
        <v>44764</v>
      </c>
      <c r="E1521" s="12">
        <f>IFERROR(__xludf.DUMMYFUNCTION("""COMPUTED_VALUE"""),0.36771990740817273)</f>
        <v>0.3677199074</v>
      </c>
      <c r="F1521" s="6" t="str">
        <f>IFERROR(__xludf.DUMMYFUNCTION("""COMPUTED_VALUE"""),"Negative")</f>
        <v>Negative</v>
      </c>
      <c r="G1521" s="6">
        <f>IFERROR(__xludf.DUMMYFUNCTION("""COMPUTED_VALUE"""),1.0)</f>
        <v>1</v>
      </c>
    </row>
    <row r="1522">
      <c r="A1522" s="6" t="str">
        <f>IFERROR(__xludf.DUMMYFUNCTION("""COMPUTED_VALUE"""),"FM1051")</f>
        <v>FM1051</v>
      </c>
      <c r="B1522" s="6" t="str">
        <f>IFERROR(__xludf.DUMMYFUNCTION("""COMPUTED_VALUE"""),"RUN-COMB_2022-07-22_RFR-085")</f>
        <v>RUN-COMB_2022-07-22_RFR-085</v>
      </c>
      <c r="C1522" s="7">
        <f>VLOOKUP(B1522,'Run Reconcile'!A$2:B3090,2,FALSE)</f>
        <v>44764</v>
      </c>
      <c r="D1522" s="11">
        <f>IFERROR(__xludf.DUMMYFUNCTION("""COMPUTED_VALUE"""),44764.0)</f>
        <v>44764</v>
      </c>
      <c r="E1522" s="12">
        <f>IFERROR(__xludf.DUMMYFUNCTION("""COMPUTED_VALUE"""),0.36814814814715646)</f>
        <v>0.3681481481</v>
      </c>
      <c r="F1522" s="6" t="str">
        <f>IFERROR(__xludf.DUMMYFUNCTION("""COMPUTED_VALUE"""),"Negative")</f>
        <v>Negative</v>
      </c>
      <c r="G1522" s="6">
        <f>IFERROR(__xludf.DUMMYFUNCTION("""COMPUTED_VALUE"""),1.0)</f>
        <v>1</v>
      </c>
    </row>
    <row r="1523">
      <c r="A1523" s="6" t="str">
        <f>IFERROR(__xludf.DUMMYFUNCTION("""COMPUTED_VALUE"""),"FM1307")</f>
        <v>FM1307</v>
      </c>
      <c r="B1523" s="6" t="str">
        <f>IFERROR(__xludf.DUMMYFUNCTION("""COMPUTED_VALUE"""),"RUN-COMB_2022-07-22_RFR-085")</f>
        <v>RUN-COMB_2022-07-22_RFR-085</v>
      </c>
      <c r="C1523" s="7">
        <f>VLOOKUP(B1523,'Run Reconcile'!A$2:B3090,2,FALSE)</f>
        <v>44764</v>
      </c>
      <c r="D1523" s="11">
        <f>IFERROR(__xludf.DUMMYFUNCTION("""COMPUTED_VALUE"""),44764.0)</f>
        <v>44764</v>
      </c>
      <c r="E1523" s="12">
        <f>IFERROR(__xludf.DUMMYFUNCTION("""COMPUTED_VALUE"""),0.3684953703705105)</f>
        <v>0.3684953704</v>
      </c>
      <c r="F1523" s="6" t="str">
        <f>IFERROR(__xludf.DUMMYFUNCTION("""COMPUTED_VALUE"""),"Negative")</f>
        <v>Negative</v>
      </c>
      <c r="G1523" s="6">
        <f>IFERROR(__xludf.DUMMYFUNCTION("""COMPUTED_VALUE"""),1.0)</f>
        <v>1</v>
      </c>
    </row>
    <row r="1524">
      <c r="A1524" s="6" t="str">
        <f>IFERROR(__xludf.DUMMYFUNCTION("""COMPUTED_VALUE"""),"FM1068")</f>
        <v>FM1068</v>
      </c>
      <c r="B1524" s="6" t="str">
        <f>IFERROR(__xludf.DUMMYFUNCTION("""COMPUTED_VALUE"""),"RUN-COMB_2022-07-22_RFR-085")</f>
        <v>RUN-COMB_2022-07-22_RFR-085</v>
      </c>
      <c r="C1524" s="7">
        <f>VLOOKUP(B1524,'Run Reconcile'!A$2:B3090,2,FALSE)</f>
        <v>44764</v>
      </c>
      <c r="D1524" s="11">
        <f>IFERROR(__xludf.DUMMYFUNCTION("""COMPUTED_VALUE"""),44764.0)</f>
        <v>44764</v>
      </c>
      <c r="E1524" s="12">
        <f>IFERROR(__xludf.DUMMYFUNCTION("""COMPUTED_VALUE"""),0.3688310185170849)</f>
        <v>0.3688310185</v>
      </c>
      <c r="F1524" s="6" t="str">
        <f>IFERROR(__xludf.DUMMYFUNCTION("""COMPUTED_VALUE"""),"Negative")</f>
        <v>Negative</v>
      </c>
      <c r="G1524" s="6">
        <f>IFERROR(__xludf.DUMMYFUNCTION("""COMPUTED_VALUE"""),1.0)</f>
        <v>1</v>
      </c>
    </row>
    <row r="1525">
      <c r="A1525" s="6" t="str">
        <f>IFERROR(__xludf.DUMMYFUNCTION("""COMPUTED_VALUE"""),"FM1301")</f>
        <v>FM1301</v>
      </c>
      <c r="B1525" s="6" t="str">
        <f>IFERROR(__xludf.DUMMYFUNCTION("""COMPUTED_VALUE"""),"RUN-COMB_2022-07-22_RFR-085")</f>
        <v>RUN-COMB_2022-07-22_RFR-085</v>
      </c>
      <c r="C1525" s="7">
        <f>VLOOKUP(B1525,'Run Reconcile'!A$2:B3090,2,FALSE)</f>
        <v>44764</v>
      </c>
      <c r="D1525" s="11">
        <f>IFERROR(__xludf.DUMMYFUNCTION("""COMPUTED_VALUE"""),44764.0)</f>
        <v>44764</v>
      </c>
      <c r="E1525" s="12">
        <f>IFERROR(__xludf.DUMMYFUNCTION("""COMPUTED_VALUE"""),0.36913194444423425)</f>
        <v>0.3691319444</v>
      </c>
      <c r="F1525" s="6" t="str">
        <f>IFERROR(__xludf.DUMMYFUNCTION("""COMPUTED_VALUE"""),"Negative")</f>
        <v>Negative</v>
      </c>
      <c r="G1525" s="6">
        <f>IFERROR(__xludf.DUMMYFUNCTION("""COMPUTED_VALUE"""),1.0)</f>
        <v>1</v>
      </c>
    </row>
    <row r="1526">
      <c r="A1526" s="6" t="str">
        <f>IFERROR(__xludf.DUMMYFUNCTION("""COMPUTED_VALUE"""),"FM1189")</f>
        <v>FM1189</v>
      </c>
      <c r="B1526" s="6" t="str">
        <f>IFERROR(__xludf.DUMMYFUNCTION("""COMPUTED_VALUE"""),"RUN-COMB_2022-07-22_RFR-085")</f>
        <v>RUN-COMB_2022-07-22_RFR-085</v>
      </c>
      <c r="C1526" s="7">
        <f>VLOOKUP(B1526,'Run Reconcile'!A$2:B3090,2,FALSE)</f>
        <v>44764</v>
      </c>
      <c r="D1526" s="11">
        <f>IFERROR(__xludf.DUMMYFUNCTION("""COMPUTED_VALUE"""),44764.0)</f>
        <v>44764</v>
      </c>
      <c r="E1526" s="12">
        <f>IFERROR(__xludf.DUMMYFUNCTION("""COMPUTED_VALUE"""),0.37011574074131204)</f>
        <v>0.3701157407</v>
      </c>
      <c r="F1526" s="6" t="str">
        <f>IFERROR(__xludf.DUMMYFUNCTION("""COMPUTED_VALUE"""),"Negative")</f>
        <v>Negative</v>
      </c>
      <c r="G1526" s="6">
        <f>IFERROR(__xludf.DUMMYFUNCTION("""COMPUTED_VALUE"""),1.0)</f>
        <v>1</v>
      </c>
    </row>
    <row r="1527">
      <c r="A1527" s="6" t="str">
        <f>IFERROR(__xludf.DUMMYFUNCTION("""COMPUTED_VALUE"""),"FM1288")</f>
        <v>FM1288</v>
      </c>
      <c r="B1527" s="6" t="str">
        <f>IFERROR(__xludf.DUMMYFUNCTION("""COMPUTED_VALUE"""),"RUN-COMB_2022-07-22_RFR-085")</f>
        <v>RUN-COMB_2022-07-22_RFR-085</v>
      </c>
      <c r="C1527" s="7">
        <f>VLOOKUP(B1527,'Run Reconcile'!A$2:B3090,2,FALSE)</f>
        <v>44764</v>
      </c>
      <c r="D1527" s="11">
        <f>IFERROR(__xludf.DUMMYFUNCTION("""COMPUTED_VALUE"""),44764.0)</f>
        <v>44764</v>
      </c>
      <c r="E1527" s="12">
        <f>IFERROR(__xludf.DUMMYFUNCTION("""COMPUTED_VALUE"""),0.3705208333340124)</f>
        <v>0.3705208333</v>
      </c>
      <c r="F1527" s="6" t="str">
        <f>IFERROR(__xludf.DUMMYFUNCTION("""COMPUTED_VALUE"""),"Negative")</f>
        <v>Negative</v>
      </c>
      <c r="G1527" s="6">
        <f>IFERROR(__xludf.DUMMYFUNCTION("""COMPUTED_VALUE"""),1.0)</f>
        <v>1</v>
      </c>
    </row>
    <row r="1528">
      <c r="A1528" s="6" t="str">
        <f>IFERROR(__xludf.DUMMYFUNCTION("""COMPUTED_VALUE"""),"FM1023")</f>
        <v>FM1023</v>
      </c>
      <c r="B1528" s="6" t="str">
        <f>IFERROR(__xludf.DUMMYFUNCTION("""COMPUTED_VALUE"""),"RUN-COMB_2022-07-22_RFR-085")</f>
        <v>RUN-COMB_2022-07-22_RFR-085</v>
      </c>
      <c r="C1528" s="7">
        <f>VLOOKUP(B1528,'Run Reconcile'!A$2:B3090,2,FALSE)</f>
        <v>44764</v>
      </c>
      <c r="D1528" s="11">
        <f>IFERROR(__xludf.DUMMYFUNCTION("""COMPUTED_VALUE"""),44764.0)</f>
        <v>44764</v>
      </c>
      <c r="E1528" s="12">
        <f>IFERROR(__xludf.DUMMYFUNCTION("""COMPUTED_VALUE"""),0.3710300925922638)</f>
        <v>0.3710300926</v>
      </c>
      <c r="F1528" s="6" t="str">
        <f>IFERROR(__xludf.DUMMYFUNCTION("""COMPUTED_VALUE"""),"Negative")</f>
        <v>Negative</v>
      </c>
      <c r="G1528" s="6">
        <f>IFERROR(__xludf.DUMMYFUNCTION("""COMPUTED_VALUE"""),1.0)</f>
        <v>1</v>
      </c>
    </row>
    <row r="1529">
      <c r="A1529" s="6" t="str">
        <f>IFERROR(__xludf.DUMMYFUNCTION("""COMPUTED_VALUE"""),"FM1042")</f>
        <v>FM1042</v>
      </c>
      <c r="B1529" s="6" t="str">
        <f>IFERROR(__xludf.DUMMYFUNCTION("""COMPUTED_VALUE"""),"RUN-COMB_2022-07-22_RFR-085")</f>
        <v>RUN-COMB_2022-07-22_RFR-085</v>
      </c>
      <c r="C1529" s="7">
        <f>VLOOKUP(B1529,'Run Reconcile'!A$2:B3090,2,FALSE)</f>
        <v>44764</v>
      </c>
      <c r="D1529" s="11">
        <f>IFERROR(__xludf.DUMMYFUNCTION("""COMPUTED_VALUE"""),44764.0)</f>
        <v>44764</v>
      </c>
      <c r="E1529" s="12">
        <f>IFERROR(__xludf.DUMMYFUNCTION("""COMPUTED_VALUE"""),0.3713657407424762)</f>
        <v>0.3713657407</v>
      </c>
      <c r="F1529" s="6" t="str">
        <f>IFERROR(__xludf.DUMMYFUNCTION("""COMPUTED_VALUE"""),"Negative")</f>
        <v>Negative</v>
      </c>
      <c r="G1529" s="6">
        <f>IFERROR(__xludf.DUMMYFUNCTION("""COMPUTED_VALUE"""),1.0)</f>
        <v>1</v>
      </c>
    </row>
    <row r="1530">
      <c r="A1530" s="6" t="str">
        <f>IFERROR(__xludf.DUMMYFUNCTION("""COMPUTED_VALUE"""),"FM1317")</f>
        <v>FM1317</v>
      </c>
      <c r="B1530" s="6" t="str">
        <f>IFERROR(__xludf.DUMMYFUNCTION("""COMPUTED_VALUE"""),"RUN-COMB_2022-07-22_RFR-085")</f>
        <v>RUN-COMB_2022-07-22_RFR-085</v>
      </c>
      <c r="C1530" s="7">
        <f>VLOOKUP(B1530,'Run Reconcile'!A$2:B3090,2,FALSE)</f>
        <v>44764</v>
      </c>
      <c r="D1530" s="11">
        <f>IFERROR(__xludf.DUMMYFUNCTION("""COMPUTED_VALUE"""),44764.0)</f>
        <v>44764</v>
      </c>
      <c r="E1530" s="12">
        <f>IFERROR(__xludf.DUMMYFUNCTION("""COMPUTED_VALUE"""),0.3716550925928459)</f>
        <v>0.3716550926</v>
      </c>
      <c r="F1530" s="6" t="str">
        <f>IFERROR(__xludf.DUMMYFUNCTION("""COMPUTED_VALUE"""),"Negative")</f>
        <v>Negative</v>
      </c>
      <c r="G1530" s="6">
        <f>IFERROR(__xludf.DUMMYFUNCTION("""COMPUTED_VALUE"""),1.0)</f>
        <v>1</v>
      </c>
    </row>
    <row r="1531">
      <c r="A1531" s="6" t="str">
        <f>IFERROR(__xludf.DUMMYFUNCTION("""COMPUTED_VALUE"""),"FM1305")</f>
        <v>FM1305</v>
      </c>
      <c r="B1531" s="6" t="str">
        <f>IFERROR(__xludf.DUMMYFUNCTION("""COMPUTED_VALUE"""),"RUN-COMB_2022-07-22_RFR-085")</f>
        <v>RUN-COMB_2022-07-22_RFR-085</v>
      </c>
      <c r="C1531" s="7">
        <f>VLOOKUP(B1531,'Run Reconcile'!A$2:B3090,2,FALSE)</f>
        <v>44764</v>
      </c>
      <c r="D1531" s="11">
        <f>IFERROR(__xludf.DUMMYFUNCTION("""COMPUTED_VALUE"""),44764.0)</f>
        <v>44764</v>
      </c>
      <c r="E1531" s="12">
        <f>IFERROR(__xludf.DUMMYFUNCTION("""COMPUTED_VALUE"""),0.3720138888893416)</f>
        <v>0.3720138889</v>
      </c>
      <c r="F1531" s="6" t="str">
        <f>IFERROR(__xludf.DUMMYFUNCTION("""COMPUTED_VALUE"""),"Negative")</f>
        <v>Negative</v>
      </c>
      <c r="G1531" s="6">
        <f>IFERROR(__xludf.DUMMYFUNCTION("""COMPUTED_VALUE"""),1.0)</f>
        <v>1</v>
      </c>
    </row>
    <row r="1532">
      <c r="A1532" s="6" t="str">
        <f>IFERROR(__xludf.DUMMYFUNCTION("""COMPUTED_VALUE"""),"FM1054")</f>
        <v>FM1054</v>
      </c>
      <c r="B1532" s="6" t="str">
        <f>IFERROR(__xludf.DUMMYFUNCTION("""COMPUTED_VALUE"""),"RUN-COMB_2022-07-22_RFR-085")</f>
        <v>RUN-COMB_2022-07-22_RFR-085</v>
      </c>
      <c r="C1532" s="7">
        <f>VLOOKUP(B1532,'Run Reconcile'!A$2:B3090,2,FALSE)</f>
        <v>44764</v>
      </c>
      <c r="D1532" s="11">
        <f>IFERROR(__xludf.DUMMYFUNCTION("""COMPUTED_VALUE"""),44764.0)</f>
        <v>44764</v>
      </c>
      <c r="E1532" s="12">
        <f>IFERROR(__xludf.DUMMYFUNCTION("""COMPUTED_VALUE"""),0.372418981482042)</f>
        <v>0.3724189815</v>
      </c>
      <c r="F1532" s="6" t="str">
        <f>IFERROR(__xludf.DUMMYFUNCTION("""COMPUTED_VALUE"""),"Negative")</f>
        <v>Negative</v>
      </c>
      <c r="G1532" s="6">
        <f>IFERROR(__xludf.DUMMYFUNCTION("""COMPUTED_VALUE"""),1.0)</f>
        <v>1</v>
      </c>
    </row>
    <row r="1533">
      <c r="A1533" s="6" t="str">
        <f>IFERROR(__xludf.DUMMYFUNCTION("""COMPUTED_VALUE"""),"FM1318")</f>
        <v>FM1318</v>
      </c>
      <c r="B1533" s="6" t="str">
        <f>IFERROR(__xludf.DUMMYFUNCTION("""COMPUTED_VALUE"""),"RUN-COMB_2022-07-22_RFR-085")</f>
        <v>RUN-COMB_2022-07-22_RFR-085</v>
      </c>
      <c r="C1533" s="7">
        <f>VLOOKUP(B1533,'Run Reconcile'!A$2:B3090,2,FALSE)</f>
        <v>44764</v>
      </c>
      <c r="D1533" s="11">
        <f>IFERROR(__xludf.DUMMYFUNCTION("""COMPUTED_VALUE"""),44764.0)</f>
        <v>44764</v>
      </c>
      <c r="E1533" s="12">
        <f>IFERROR(__xludf.DUMMYFUNCTION("""COMPUTED_VALUE"""),0.3730324074058444)</f>
        <v>0.3730324074</v>
      </c>
      <c r="F1533" s="6" t="str">
        <f>IFERROR(__xludf.DUMMYFUNCTION("""COMPUTED_VALUE"""),"Negative")</f>
        <v>Negative</v>
      </c>
      <c r="G1533" s="6">
        <f>IFERROR(__xludf.DUMMYFUNCTION("""COMPUTED_VALUE"""),1.0)</f>
        <v>1</v>
      </c>
    </row>
    <row r="1534">
      <c r="A1534" s="6" t="str">
        <f>IFERROR(__xludf.DUMMYFUNCTION("""COMPUTED_VALUE"""),"FM1027")</f>
        <v>FM1027</v>
      </c>
      <c r="B1534" s="6" t="str">
        <f>IFERROR(__xludf.DUMMYFUNCTION("""COMPUTED_VALUE"""),"RUN-COMB_2022-07-22_RFR-085")</f>
        <v>RUN-COMB_2022-07-22_RFR-085</v>
      </c>
      <c r="C1534" s="7">
        <f>VLOOKUP(B1534,'Run Reconcile'!A$2:B3090,2,FALSE)</f>
        <v>44764</v>
      </c>
      <c r="D1534" s="11">
        <f>IFERROR(__xludf.DUMMYFUNCTION("""COMPUTED_VALUE"""),44764.0)</f>
        <v>44764</v>
      </c>
      <c r="E1534" s="12">
        <f>IFERROR(__xludf.DUMMYFUNCTION("""COMPUTED_VALUE"""),0.3733217592598521)</f>
        <v>0.3733217593</v>
      </c>
      <c r="F1534" s="6" t="str">
        <f>IFERROR(__xludf.DUMMYFUNCTION("""COMPUTED_VALUE"""),"Negative")</f>
        <v>Negative</v>
      </c>
      <c r="G1534" s="6">
        <f>IFERROR(__xludf.DUMMYFUNCTION("""COMPUTED_VALUE"""),1.0)</f>
        <v>1</v>
      </c>
    </row>
    <row r="1535">
      <c r="A1535" s="6" t="str">
        <f>IFERROR(__xludf.DUMMYFUNCTION("""COMPUTED_VALUE"""),"FM1319")</f>
        <v>FM1319</v>
      </c>
      <c r="B1535" s="6" t="str">
        <f>IFERROR(__xludf.DUMMYFUNCTION("""COMPUTED_VALUE"""),"RUN-COMB_2022-07-22_RFR-085")</f>
        <v>RUN-COMB_2022-07-22_RFR-085</v>
      </c>
      <c r="C1535" s="7">
        <f>VLOOKUP(B1535,'Run Reconcile'!A$2:B3090,2,FALSE)</f>
        <v>44764</v>
      </c>
      <c r="D1535" s="11">
        <f>IFERROR(__xludf.DUMMYFUNCTION("""COMPUTED_VALUE"""),44764.0)</f>
        <v>44764</v>
      </c>
      <c r="E1535" s="12">
        <f>IFERROR(__xludf.DUMMYFUNCTION("""COMPUTED_VALUE"""),0.3736574074064265)</f>
        <v>0.3736574074</v>
      </c>
      <c r="F1535" s="6" t="str">
        <f>IFERROR(__xludf.DUMMYFUNCTION("""COMPUTED_VALUE"""),"Negative")</f>
        <v>Negative</v>
      </c>
      <c r="G1535" s="6">
        <f>IFERROR(__xludf.DUMMYFUNCTION("""COMPUTED_VALUE"""),1.0)</f>
        <v>1</v>
      </c>
    </row>
    <row r="1536">
      <c r="A1536" s="6" t="str">
        <f>IFERROR(__xludf.DUMMYFUNCTION("""COMPUTED_VALUE"""),"FM1058")</f>
        <v>FM1058</v>
      </c>
      <c r="B1536" s="6" t="str">
        <f>IFERROR(__xludf.DUMMYFUNCTION("""COMPUTED_VALUE"""),"RUN-COMB_2022-07-22_RFR-085")</f>
        <v>RUN-COMB_2022-07-22_RFR-085</v>
      </c>
      <c r="C1536" s="7">
        <f>VLOOKUP(B1536,'Run Reconcile'!A$2:B3090,2,FALSE)</f>
        <v>44764</v>
      </c>
      <c r="D1536" s="11">
        <f>IFERROR(__xludf.DUMMYFUNCTION("""COMPUTED_VALUE"""),44764.0)</f>
        <v>44764</v>
      </c>
      <c r="E1536" s="12">
        <f>IFERROR(__xludf.DUMMYFUNCTION("""COMPUTED_VALUE"""),0.3748148148151813)</f>
        <v>0.3748148148</v>
      </c>
      <c r="F1536" s="6" t="str">
        <f>IFERROR(__xludf.DUMMYFUNCTION("""COMPUTED_VALUE"""),"Negative")</f>
        <v>Negative</v>
      </c>
      <c r="G1536" s="6">
        <f>IFERROR(__xludf.DUMMYFUNCTION("""COMPUTED_VALUE"""),1.0)</f>
        <v>1</v>
      </c>
    </row>
    <row r="1537">
      <c r="A1537" s="6" t="str">
        <f>IFERROR(__xludf.DUMMYFUNCTION("""COMPUTED_VALUE"""),"FM1271")</f>
        <v>FM1271</v>
      </c>
      <c r="B1537" s="6" t="str">
        <f>IFERROR(__xludf.DUMMYFUNCTION("""COMPUTED_VALUE"""),"RUN-COMB_2022-07-22_RFR-085")</f>
        <v>RUN-COMB_2022-07-22_RFR-085</v>
      </c>
      <c r="C1537" s="7">
        <f>VLOOKUP(B1537,'Run Reconcile'!A$2:B3090,2,FALSE)</f>
        <v>44764</v>
      </c>
      <c r="D1537" s="11">
        <f>IFERROR(__xludf.DUMMYFUNCTION("""COMPUTED_VALUE"""),44764.0)</f>
        <v>44764</v>
      </c>
      <c r="E1537" s="12">
        <f>IFERROR(__xludf.DUMMYFUNCTION("""COMPUTED_VALUE"""),0.37542824073898373)</f>
        <v>0.3754282407</v>
      </c>
      <c r="F1537" s="6" t="str">
        <f>IFERROR(__xludf.DUMMYFUNCTION("""COMPUTED_VALUE"""),"Negative")</f>
        <v>Negative</v>
      </c>
      <c r="G1537" s="6">
        <f>IFERROR(__xludf.DUMMYFUNCTION("""COMPUTED_VALUE"""),1.0)</f>
        <v>1</v>
      </c>
    </row>
    <row r="1538">
      <c r="A1538" s="6" t="str">
        <f>IFERROR(__xludf.DUMMYFUNCTION("""COMPUTED_VALUE"""),"FM1265")</f>
        <v>FM1265</v>
      </c>
      <c r="B1538" s="6" t="str">
        <f>IFERROR(__xludf.DUMMYFUNCTION("""COMPUTED_VALUE"""),"RUN-COMB_2022-07-22_RFR-085")</f>
        <v>RUN-COMB_2022-07-22_RFR-085</v>
      </c>
      <c r="C1538" s="7">
        <f>VLOOKUP(B1538,'Run Reconcile'!A$2:B3090,2,FALSE)</f>
        <v>44764</v>
      </c>
      <c r="D1538" s="11">
        <f>IFERROR(__xludf.DUMMYFUNCTION("""COMPUTED_VALUE"""),44764.0)</f>
        <v>44764</v>
      </c>
      <c r="E1538" s="12">
        <f>IFERROR(__xludf.DUMMYFUNCTION("""COMPUTED_VALUE"""),0.3780555555567844)</f>
        <v>0.3780555556</v>
      </c>
      <c r="F1538" s="6" t="str">
        <f>IFERROR(__xludf.DUMMYFUNCTION("""COMPUTED_VALUE"""),"Negative")</f>
        <v>Negative</v>
      </c>
      <c r="G1538" s="6">
        <f>IFERROR(__xludf.DUMMYFUNCTION("""COMPUTED_VALUE"""),1.0)</f>
        <v>1</v>
      </c>
    </row>
    <row r="1539">
      <c r="A1539" s="6" t="str">
        <f>IFERROR(__xludf.DUMMYFUNCTION("""COMPUTED_VALUE"""),"FM1074")</f>
        <v>FM1074</v>
      </c>
      <c r="B1539" s="6" t="str">
        <f>IFERROR(__xludf.DUMMYFUNCTION("""COMPUTED_VALUE"""),"RUN-COMB_2022-07-22_RFR-085")</f>
        <v>RUN-COMB_2022-07-22_RFR-085</v>
      </c>
      <c r="C1539" s="7">
        <f>VLOOKUP(B1539,'Run Reconcile'!A$2:B3090,2,FALSE)</f>
        <v>44764</v>
      </c>
      <c r="D1539" s="11">
        <f>IFERROR(__xludf.DUMMYFUNCTION("""COMPUTED_VALUE"""),44764.0)</f>
        <v>44764</v>
      </c>
      <c r="E1539" s="12">
        <f>IFERROR(__xludf.DUMMYFUNCTION("""COMPUTED_VALUE"""),0.37846064814948477)</f>
        <v>0.3784606481</v>
      </c>
      <c r="F1539" s="6" t="str">
        <f>IFERROR(__xludf.DUMMYFUNCTION("""COMPUTED_VALUE"""),"Negative")</f>
        <v>Negative</v>
      </c>
      <c r="G1539" s="6">
        <f>IFERROR(__xludf.DUMMYFUNCTION("""COMPUTED_VALUE"""),1.0)</f>
        <v>1</v>
      </c>
    </row>
    <row r="1540">
      <c r="A1540" s="6" t="str">
        <f>IFERROR(__xludf.DUMMYFUNCTION("""COMPUTED_VALUE"""),"FM1286")</f>
        <v>FM1286</v>
      </c>
      <c r="B1540" s="6" t="str">
        <f>IFERROR(__xludf.DUMMYFUNCTION("""COMPUTED_VALUE"""),"RUN-COMB_2022-07-22_RFR-085")</f>
        <v>RUN-COMB_2022-07-22_RFR-085</v>
      </c>
      <c r="C1540" s="7">
        <f>VLOOKUP(B1540,'Run Reconcile'!A$2:B3090,2,FALSE)</f>
        <v>44764</v>
      </c>
      <c r="D1540" s="11">
        <f>IFERROR(__xludf.DUMMYFUNCTION("""COMPUTED_VALUE"""),44764.0)</f>
        <v>44764</v>
      </c>
      <c r="E1540" s="12">
        <f>IFERROR(__xludf.DUMMYFUNCTION("""COMPUTED_VALUE"""),0.3790046296307992)</f>
        <v>0.3790046296</v>
      </c>
      <c r="F1540" s="6" t="str">
        <f>IFERROR(__xludf.DUMMYFUNCTION("""COMPUTED_VALUE"""),"Negative")</f>
        <v>Negative</v>
      </c>
      <c r="G1540" s="6">
        <f>IFERROR(__xludf.DUMMYFUNCTION("""COMPUTED_VALUE"""),1.0)</f>
        <v>1</v>
      </c>
    </row>
    <row r="1541">
      <c r="A1541" s="6" t="str">
        <f>IFERROR(__xludf.DUMMYFUNCTION("""COMPUTED_VALUE"""),"FM1262")</f>
        <v>FM1262</v>
      </c>
      <c r="B1541" s="6" t="str">
        <f>IFERROR(__xludf.DUMMYFUNCTION("""COMPUTED_VALUE"""),"RUN-COMB_2022-07-22_RFR-085")</f>
        <v>RUN-COMB_2022-07-22_RFR-085</v>
      </c>
      <c r="C1541" s="7">
        <f>VLOOKUP(B1541,'Run Reconcile'!A$2:B3090,2,FALSE)</f>
        <v>44764</v>
      </c>
      <c r="D1541" s="11">
        <f>IFERROR(__xludf.DUMMYFUNCTION("""COMPUTED_VALUE"""),44764.0)</f>
        <v>44764</v>
      </c>
      <c r="E1541" s="12">
        <f>IFERROR(__xludf.DUMMYFUNCTION("""COMPUTED_VALUE"""),0.3792824074080272)</f>
        <v>0.3792824074</v>
      </c>
      <c r="F1541" s="6" t="str">
        <f>IFERROR(__xludf.DUMMYFUNCTION("""COMPUTED_VALUE"""),"Negative")</f>
        <v>Negative</v>
      </c>
      <c r="G1541" s="6">
        <f>IFERROR(__xludf.DUMMYFUNCTION("""COMPUTED_VALUE"""),1.0)</f>
        <v>1</v>
      </c>
    </row>
    <row r="1542">
      <c r="A1542" s="6" t="str">
        <f>IFERROR(__xludf.DUMMYFUNCTION("""COMPUTED_VALUE"""),"FM1313")</f>
        <v>FM1313</v>
      </c>
      <c r="B1542" s="6" t="str">
        <f>IFERROR(__xludf.DUMMYFUNCTION("""COMPUTED_VALUE"""),"RUN-COMB_2022-07-22_RFR-085")</f>
        <v>RUN-COMB_2022-07-22_RFR-085</v>
      </c>
      <c r="C1542" s="7">
        <f>VLOOKUP(B1542,'Run Reconcile'!A$2:B3090,2,FALSE)</f>
        <v>44764</v>
      </c>
      <c r="D1542" s="11">
        <f>IFERROR(__xludf.DUMMYFUNCTION("""COMPUTED_VALUE"""),44764.0)</f>
        <v>44764</v>
      </c>
      <c r="E1542" s="12">
        <f>IFERROR(__xludf.DUMMYFUNCTION("""COMPUTED_VALUE"""),0.3796412037045229)</f>
        <v>0.3796412037</v>
      </c>
      <c r="F1542" s="6" t="str">
        <f>IFERROR(__xludf.DUMMYFUNCTION("""COMPUTED_VALUE"""),"Negative")</f>
        <v>Negative</v>
      </c>
      <c r="G1542" s="6">
        <f>IFERROR(__xludf.DUMMYFUNCTION("""COMPUTED_VALUE"""),1.0)</f>
        <v>1</v>
      </c>
    </row>
    <row r="1543">
      <c r="A1543" s="6" t="str">
        <f>IFERROR(__xludf.DUMMYFUNCTION("""COMPUTED_VALUE"""),"FM1312")</f>
        <v>FM1312</v>
      </c>
      <c r="B1543" s="6" t="str">
        <f>IFERROR(__xludf.DUMMYFUNCTION("""COMPUTED_VALUE"""),"RUN-COMB_2022-07-22_RFR-085")</f>
        <v>RUN-COMB_2022-07-22_RFR-085</v>
      </c>
      <c r="C1543" s="7">
        <f>VLOOKUP(B1543,'Run Reconcile'!A$2:B3090,2,FALSE)</f>
        <v>44764</v>
      </c>
      <c r="D1543" s="11">
        <f>IFERROR(__xludf.DUMMYFUNCTION("""COMPUTED_VALUE"""),44764.0)</f>
        <v>44764</v>
      </c>
      <c r="E1543" s="12">
        <f>IFERROR(__xludf.DUMMYFUNCTION("""COMPUTED_VALUE"""),0.3800810185202863)</f>
        <v>0.3800810185</v>
      </c>
      <c r="F1543" s="6" t="str">
        <f>IFERROR(__xludf.DUMMYFUNCTION("""COMPUTED_VALUE"""),"Negative")</f>
        <v>Negative</v>
      </c>
      <c r="G1543" s="6">
        <f>IFERROR(__xludf.DUMMYFUNCTION("""COMPUTED_VALUE"""),1.0)</f>
        <v>1</v>
      </c>
    </row>
    <row r="1544">
      <c r="A1544" s="6" t="str">
        <f>IFERROR(__xludf.DUMMYFUNCTION("""COMPUTED_VALUE"""),"FM1277")</f>
        <v>FM1277</v>
      </c>
      <c r="B1544" s="6" t="str">
        <f>IFERROR(__xludf.DUMMYFUNCTION("""COMPUTED_VALUE"""),"RUN-COMB_2022-07-22_RFR-085")</f>
        <v>RUN-COMB_2022-07-22_RFR-085</v>
      </c>
      <c r="C1544" s="7">
        <f>VLOOKUP(B1544,'Run Reconcile'!A$2:B3090,2,FALSE)</f>
        <v>44764</v>
      </c>
      <c r="D1544" s="11">
        <f>IFERROR(__xludf.DUMMYFUNCTION("""COMPUTED_VALUE"""),44764.0)</f>
        <v>44764</v>
      </c>
      <c r="E1544" s="12">
        <f>IFERROR(__xludf.DUMMYFUNCTION("""COMPUTED_VALUE"""),0.3805208333324117)</f>
        <v>0.3805208333</v>
      </c>
      <c r="F1544" s="6" t="str">
        <f>IFERROR(__xludf.DUMMYFUNCTION("""COMPUTED_VALUE"""),"Negative")</f>
        <v>Negative</v>
      </c>
      <c r="G1544" s="6">
        <f>IFERROR(__xludf.DUMMYFUNCTION("""COMPUTED_VALUE"""),1.0)</f>
        <v>1</v>
      </c>
    </row>
    <row r="1545">
      <c r="A1545" s="6" t="str">
        <f>IFERROR(__xludf.DUMMYFUNCTION("""COMPUTED_VALUE"""),"FM1047")</f>
        <v>FM1047</v>
      </c>
      <c r="B1545" s="6" t="str">
        <f>IFERROR(__xludf.DUMMYFUNCTION("""COMPUTED_VALUE"""),"RUN-COMB_2022-07-22_RFR-085")</f>
        <v>RUN-COMB_2022-07-22_RFR-085</v>
      </c>
      <c r="C1545" s="7">
        <f>VLOOKUP(B1545,'Run Reconcile'!A$2:B3090,2,FALSE)</f>
        <v>44764</v>
      </c>
      <c r="D1545" s="11">
        <f>IFERROR(__xludf.DUMMYFUNCTION("""COMPUTED_VALUE"""),44764.0)</f>
        <v>44764</v>
      </c>
      <c r="E1545" s="12">
        <f>IFERROR(__xludf.DUMMYFUNCTION("""COMPUTED_VALUE"""),0.3808912037020491)</f>
        <v>0.3808912037</v>
      </c>
      <c r="F1545" s="6" t="str">
        <f>IFERROR(__xludf.DUMMYFUNCTION("""COMPUTED_VALUE"""),"Negative")</f>
        <v>Negative</v>
      </c>
      <c r="G1545" s="6">
        <f>IFERROR(__xludf.DUMMYFUNCTION("""COMPUTED_VALUE"""),1.0)</f>
        <v>1</v>
      </c>
    </row>
    <row r="1546">
      <c r="A1546" s="6" t="str">
        <f>IFERROR(__xludf.DUMMYFUNCTION("""COMPUTED_VALUE"""),"FM1193")</f>
        <v>FM1193</v>
      </c>
      <c r="B1546" s="6" t="str">
        <f>IFERROR(__xludf.DUMMYFUNCTION("""COMPUTED_VALUE"""),"RUN-COMB_2022-07-22_RFR-085")</f>
        <v>RUN-COMB_2022-07-22_RFR-085</v>
      </c>
      <c r="C1546" s="7">
        <f>VLOOKUP(B1546,'Run Reconcile'!A$2:B3090,2,FALSE)</f>
        <v>44764</v>
      </c>
      <c r="D1546" s="11">
        <f>IFERROR(__xludf.DUMMYFUNCTION("""COMPUTED_VALUE"""),44764.0)</f>
        <v>44764</v>
      </c>
      <c r="E1546" s="12">
        <f>IFERROR(__xludf.DUMMYFUNCTION("""COMPUTED_VALUE"""),0.3816782407411665)</f>
        <v>0.3816782407</v>
      </c>
      <c r="F1546" s="6" t="str">
        <f>IFERROR(__xludf.DUMMYFUNCTION("""COMPUTED_VALUE"""),"Negative")</f>
        <v>Negative</v>
      </c>
      <c r="G1546" s="6">
        <f>IFERROR(__xludf.DUMMYFUNCTION("""COMPUTED_VALUE"""),1.0)</f>
        <v>1</v>
      </c>
    </row>
    <row r="1547">
      <c r="A1547" s="6" t="str">
        <f>IFERROR(__xludf.DUMMYFUNCTION("""COMPUTED_VALUE"""),"FM1046")</f>
        <v>FM1046</v>
      </c>
      <c r="B1547" s="6" t="str">
        <f>IFERROR(__xludf.DUMMYFUNCTION("""COMPUTED_VALUE"""),"RUN-COMB_2022-07-22_RFR-085")</f>
        <v>RUN-COMB_2022-07-22_RFR-085</v>
      </c>
      <c r="C1547" s="7">
        <f>VLOOKUP(B1547,'Run Reconcile'!A$2:B3090,2,FALSE)</f>
        <v>44764</v>
      </c>
      <c r="D1547" s="11">
        <f>IFERROR(__xludf.DUMMYFUNCTION("""COMPUTED_VALUE"""),44764.0)</f>
        <v>44764</v>
      </c>
      <c r="E1547" s="12">
        <f>IFERROR(__xludf.DUMMYFUNCTION("""COMPUTED_VALUE"""),0.3821527777763549)</f>
        <v>0.3821527778</v>
      </c>
      <c r="F1547" s="6" t="str">
        <f>IFERROR(__xludf.DUMMYFUNCTION("""COMPUTED_VALUE"""),"Negative")</f>
        <v>Negative</v>
      </c>
      <c r="G1547" s="6">
        <f>IFERROR(__xludf.DUMMYFUNCTION("""COMPUTED_VALUE"""),1.0)</f>
        <v>1</v>
      </c>
    </row>
    <row r="1548">
      <c r="A1548" s="6" t="str">
        <f>IFERROR(__xludf.DUMMYFUNCTION("""COMPUTED_VALUE"""),"FM1291")</f>
        <v>FM1291</v>
      </c>
      <c r="B1548" s="6" t="str">
        <f>IFERROR(__xludf.DUMMYFUNCTION("""COMPUTED_VALUE"""),"RUN-COMB_2022-07-22_RFR-085")</f>
        <v>RUN-COMB_2022-07-22_RFR-085</v>
      </c>
      <c r="C1548" s="7">
        <f>VLOOKUP(B1548,'Run Reconcile'!A$2:B3090,2,FALSE)</f>
        <v>44764</v>
      </c>
      <c r="D1548" s="11">
        <f>IFERROR(__xludf.DUMMYFUNCTION("""COMPUTED_VALUE"""),44764.0)</f>
        <v>44764</v>
      </c>
      <c r="E1548" s="12">
        <f>IFERROR(__xludf.DUMMYFUNCTION("""COMPUTED_VALUE"""),0.382777777776937)</f>
        <v>0.3827777778</v>
      </c>
      <c r="F1548" s="6" t="str">
        <f>IFERROR(__xludf.DUMMYFUNCTION("""COMPUTED_VALUE"""),"Negative")</f>
        <v>Negative</v>
      </c>
      <c r="G1548" s="6">
        <f>IFERROR(__xludf.DUMMYFUNCTION("""COMPUTED_VALUE"""),1.0)</f>
        <v>1</v>
      </c>
    </row>
    <row r="1549">
      <c r="A1549" s="6" t="str">
        <f>IFERROR(__xludf.DUMMYFUNCTION("""COMPUTED_VALUE"""),"FM1270")</f>
        <v>FM1270</v>
      </c>
      <c r="B1549" s="6" t="str">
        <f>IFERROR(__xludf.DUMMYFUNCTION("""COMPUTED_VALUE"""),"RUN-COMB_2022-07-22_RFR-085")</f>
        <v>RUN-COMB_2022-07-22_RFR-085</v>
      </c>
      <c r="C1549" s="7">
        <f>VLOOKUP(B1549,'Run Reconcile'!A$2:B3090,2,FALSE)</f>
        <v>44764</v>
      </c>
      <c r="D1549" s="11">
        <f>IFERROR(__xludf.DUMMYFUNCTION("""COMPUTED_VALUE"""),44764.0)</f>
        <v>44764</v>
      </c>
      <c r="E1549" s="12">
        <f>IFERROR(__xludf.DUMMYFUNCTION("""COMPUTED_VALUE"""),0.38365740740846377)</f>
        <v>0.3836574074</v>
      </c>
      <c r="F1549" s="6" t="str">
        <f>IFERROR(__xludf.DUMMYFUNCTION("""COMPUTED_VALUE"""),"Negative")</f>
        <v>Negative</v>
      </c>
      <c r="G1549" s="6">
        <f>IFERROR(__xludf.DUMMYFUNCTION("""COMPUTED_VALUE"""),1.0)</f>
        <v>1</v>
      </c>
    </row>
    <row r="1550">
      <c r="A1550" s="6" t="str">
        <f>IFERROR(__xludf.DUMMYFUNCTION("""COMPUTED_VALUE"""),"FM1264")</f>
        <v>FM1264</v>
      </c>
      <c r="B1550" s="6" t="str">
        <f>IFERROR(__xludf.DUMMYFUNCTION("""COMPUTED_VALUE"""),"RUN-COMB_2022-07-22_RFR-085")</f>
        <v>RUN-COMB_2022-07-22_RFR-085</v>
      </c>
      <c r="C1550" s="7">
        <f>VLOOKUP(B1550,'Run Reconcile'!A$2:B3090,2,FALSE)</f>
        <v>44764</v>
      </c>
      <c r="D1550" s="11">
        <f>IFERROR(__xludf.DUMMYFUNCTION("""COMPUTED_VALUE"""),44764.0)</f>
        <v>44764</v>
      </c>
      <c r="E1550" s="12">
        <f>IFERROR(__xludf.DUMMYFUNCTION("""COMPUTED_VALUE"""),0.3867245370383898)</f>
        <v>0.386724537</v>
      </c>
      <c r="F1550" s="6" t="str">
        <f>IFERROR(__xludf.DUMMYFUNCTION("""COMPUTED_VALUE"""),"Negative")</f>
        <v>Negative</v>
      </c>
      <c r="G1550" s="6">
        <f>IFERROR(__xludf.DUMMYFUNCTION("""COMPUTED_VALUE"""),1.0)</f>
        <v>1</v>
      </c>
    </row>
    <row r="1551">
      <c r="A1551" s="6" t="str">
        <f>IFERROR(__xludf.DUMMYFUNCTION("""COMPUTED_VALUE"""),"FM1770")</f>
        <v>FM1770</v>
      </c>
      <c r="B1551" s="6" t="str">
        <f>IFERROR(__xludf.DUMMYFUNCTION("""COMPUTED_VALUE"""),"RUN-COMB_2022-07-22_RFR-085")</f>
        <v>RUN-COMB_2022-07-22_RFR-085</v>
      </c>
      <c r="C1551" s="7">
        <f>VLOOKUP(B1551,'Run Reconcile'!A$2:B3090,2,FALSE)</f>
        <v>44764</v>
      </c>
      <c r="D1551" s="11">
        <f>IFERROR(__xludf.DUMMYFUNCTION("""COMPUTED_VALUE"""),44764.0)</f>
        <v>44764</v>
      </c>
      <c r="E1551" s="12">
        <f>IFERROR(__xludf.DUMMYFUNCTION("""COMPUTED_VALUE"""),0.38718750000043656)</f>
        <v>0.3871875</v>
      </c>
      <c r="F1551" s="6" t="str">
        <f>IFERROR(__xludf.DUMMYFUNCTION("""COMPUTED_VALUE"""),"Negative")</f>
        <v>Negative</v>
      </c>
      <c r="G1551" s="6">
        <f>IFERROR(__xludf.DUMMYFUNCTION("""COMPUTED_VALUE"""),1.0)</f>
        <v>1</v>
      </c>
    </row>
    <row r="1552">
      <c r="A1552" s="6" t="str">
        <f>IFERROR(__xludf.DUMMYFUNCTION("""COMPUTED_VALUE"""),"FM1055")</f>
        <v>FM1055</v>
      </c>
      <c r="B1552" s="6" t="str">
        <f>IFERROR(__xludf.DUMMYFUNCTION("""COMPUTED_VALUE"""),"RUN-COMB_2022-07-22_RFR-085")</f>
        <v>RUN-COMB_2022-07-22_RFR-085</v>
      </c>
      <c r="C1552" s="7">
        <f>VLOOKUP(B1552,'Run Reconcile'!A$2:B3090,2,FALSE)</f>
        <v>44764</v>
      </c>
      <c r="D1552" s="11">
        <f>IFERROR(__xludf.DUMMYFUNCTION("""COMPUTED_VALUE"""),44764.0)</f>
        <v>44764</v>
      </c>
      <c r="E1552" s="12">
        <f>IFERROR(__xludf.DUMMYFUNCTION("""COMPUTED_VALUE"""),0.3889467592598521)</f>
        <v>0.3889467593</v>
      </c>
      <c r="F1552" s="6" t="str">
        <f>IFERROR(__xludf.DUMMYFUNCTION("""COMPUTED_VALUE"""),"Negative")</f>
        <v>Negative</v>
      </c>
      <c r="G1552" s="6">
        <f>IFERROR(__xludf.DUMMYFUNCTION("""COMPUTED_VALUE"""),1.0)</f>
        <v>1</v>
      </c>
    </row>
    <row r="1553">
      <c r="A1553" s="6" t="str">
        <f>IFERROR(__xludf.DUMMYFUNCTION("""COMPUTED_VALUE"""),"FM1266")</f>
        <v>FM1266</v>
      </c>
      <c r="B1553" s="6" t="str">
        <f>IFERROR(__xludf.DUMMYFUNCTION("""COMPUTED_VALUE"""),"RUN-COMB_2022-07-22_RFR-085")</f>
        <v>RUN-COMB_2022-07-22_RFR-085</v>
      </c>
      <c r="C1553" s="7">
        <f>VLOOKUP(B1553,'Run Reconcile'!A$2:B3090,2,FALSE)</f>
        <v>44764</v>
      </c>
      <c r="D1553" s="11">
        <f>IFERROR(__xludf.DUMMYFUNCTION("""COMPUTED_VALUE"""),44764.0)</f>
        <v>44764</v>
      </c>
      <c r="E1553" s="12">
        <f>IFERROR(__xludf.DUMMYFUNCTION("""COMPUTED_VALUE"""),0.3892708333332848)</f>
        <v>0.3892708333</v>
      </c>
      <c r="F1553" s="6" t="str">
        <f>IFERROR(__xludf.DUMMYFUNCTION("""COMPUTED_VALUE"""),"Negative")</f>
        <v>Negative</v>
      </c>
      <c r="G1553" s="6">
        <f>IFERROR(__xludf.DUMMYFUNCTION("""COMPUTED_VALUE"""),1.0)</f>
        <v>1</v>
      </c>
    </row>
    <row r="1554">
      <c r="A1554" s="6" t="str">
        <f>IFERROR(__xludf.DUMMYFUNCTION("""COMPUTED_VALUE"""),"FM1320")</f>
        <v>FM1320</v>
      </c>
      <c r="B1554" s="6" t="str">
        <f>IFERROR(__xludf.DUMMYFUNCTION("""COMPUTED_VALUE"""),"RUN-COMB_2022-07-22_RFR-085")</f>
        <v>RUN-COMB_2022-07-22_RFR-085</v>
      </c>
      <c r="C1554" s="7">
        <f>VLOOKUP(B1554,'Run Reconcile'!A$2:B3090,2,FALSE)</f>
        <v>44764</v>
      </c>
      <c r="D1554" s="11">
        <f>IFERROR(__xludf.DUMMYFUNCTION("""COMPUTED_VALUE"""),44764.0)</f>
        <v>44764</v>
      </c>
      <c r="E1554" s="12">
        <f>IFERROR(__xludf.DUMMYFUNCTION("""COMPUTED_VALUE"""),0.38966435185284354)</f>
        <v>0.3896643519</v>
      </c>
      <c r="F1554" s="6" t="str">
        <f>IFERROR(__xludf.DUMMYFUNCTION("""COMPUTED_VALUE"""),"Negative")</f>
        <v>Negative</v>
      </c>
      <c r="G1554" s="6">
        <f>IFERROR(__xludf.DUMMYFUNCTION("""COMPUTED_VALUE"""),1.0)</f>
        <v>1</v>
      </c>
    </row>
    <row r="1555">
      <c r="A1555" s="6" t="str">
        <f>IFERROR(__xludf.DUMMYFUNCTION("""COMPUTED_VALUE"""),"FM1758")</f>
        <v>FM1758</v>
      </c>
      <c r="B1555" s="6" t="str">
        <f>IFERROR(__xludf.DUMMYFUNCTION("""COMPUTED_VALUE"""),"RUN-COMB_2022-07-22_RFR-085")</f>
        <v>RUN-COMB_2022-07-22_RFR-085</v>
      </c>
      <c r="C1555" s="7">
        <f>VLOOKUP(B1555,'Run Reconcile'!A$2:B3090,2,FALSE)</f>
        <v>44764</v>
      </c>
      <c r="D1555" s="11">
        <f>IFERROR(__xludf.DUMMYFUNCTION("""COMPUTED_VALUE"""),44764.0)</f>
        <v>44764</v>
      </c>
      <c r="E1555" s="12">
        <f>IFERROR(__xludf.DUMMYFUNCTION("""COMPUTED_VALUE"""),0.3900810185186856)</f>
        <v>0.3900810185</v>
      </c>
      <c r="F1555" s="6" t="str">
        <f>IFERROR(__xludf.DUMMYFUNCTION("""COMPUTED_VALUE"""),"Negative")</f>
        <v>Negative</v>
      </c>
      <c r="G1555" s="6">
        <f>IFERROR(__xludf.DUMMYFUNCTION("""COMPUTED_VALUE"""),1.0)</f>
        <v>1</v>
      </c>
    </row>
    <row r="1556">
      <c r="A1556" s="6" t="str">
        <f>IFERROR(__xludf.DUMMYFUNCTION("""COMPUTED_VALUE"""),"FM1080")</f>
        <v>FM1080</v>
      </c>
      <c r="B1556" s="6" t="str">
        <f>IFERROR(__xludf.DUMMYFUNCTION("""COMPUTED_VALUE"""),"RUN-COMB_2022-07-22_RFR-085")</f>
        <v>RUN-COMB_2022-07-22_RFR-085</v>
      </c>
      <c r="C1556" s="7">
        <f>VLOOKUP(B1556,'Run Reconcile'!A$2:B3090,2,FALSE)</f>
        <v>44764</v>
      </c>
      <c r="D1556" s="11">
        <f>IFERROR(__xludf.DUMMYFUNCTION("""COMPUTED_VALUE"""),44764.0)</f>
        <v>44764</v>
      </c>
      <c r="E1556" s="12">
        <f>IFERROR(__xludf.DUMMYFUNCTION("""COMPUTED_VALUE"""),0.390451388888323)</f>
        <v>0.3904513889</v>
      </c>
      <c r="F1556" s="6" t="str">
        <f>IFERROR(__xludf.DUMMYFUNCTION("""COMPUTED_VALUE"""),"Positive")</f>
        <v>Positive</v>
      </c>
      <c r="G1556" s="6">
        <f>IFERROR(__xludf.DUMMYFUNCTION("""COMPUTED_VALUE"""),1.0)</f>
        <v>1</v>
      </c>
    </row>
    <row r="1557">
      <c r="A1557" s="6" t="str">
        <f>IFERROR(__xludf.DUMMYFUNCTION("""COMPUTED_VALUE"""),"FM1303")</f>
        <v>FM1303</v>
      </c>
      <c r="B1557" s="6" t="str">
        <f>IFERROR(__xludf.DUMMYFUNCTION("""COMPUTED_VALUE"""),"RUN-COMB_2022-07-22_RFR-085")</f>
        <v>RUN-COMB_2022-07-22_RFR-085</v>
      </c>
      <c r="C1557" s="7">
        <f>VLOOKUP(B1557,'Run Reconcile'!A$2:B3090,2,FALSE)</f>
        <v>44764</v>
      </c>
      <c r="D1557" s="11">
        <f>IFERROR(__xludf.DUMMYFUNCTION("""COMPUTED_VALUE"""),44764.0)</f>
        <v>44764</v>
      </c>
      <c r="E1557" s="12">
        <f>IFERROR(__xludf.DUMMYFUNCTION("""COMPUTED_VALUE"""),0.390763888888614)</f>
        <v>0.3907638889</v>
      </c>
      <c r="F1557" s="6" t="str">
        <f>IFERROR(__xludf.DUMMYFUNCTION("""COMPUTED_VALUE"""),"Positive")</f>
        <v>Positive</v>
      </c>
      <c r="G1557" s="6">
        <f>IFERROR(__xludf.DUMMYFUNCTION("""COMPUTED_VALUE"""),1.0)</f>
        <v>1</v>
      </c>
    </row>
    <row r="1558">
      <c r="A1558" s="6" t="str">
        <f>IFERROR(__xludf.DUMMYFUNCTION("""COMPUTED_VALUE"""),"FM1300")</f>
        <v>FM1300</v>
      </c>
      <c r="B1558" s="6" t="str">
        <f>IFERROR(__xludf.DUMMYFUNCTION("""COMPUTED_VALUE"""),"RUN-COMB_2022-08-01_RFR-088")</f>
        <v>RUN-COMB_2022-08-01_RFR-088</v>
      </c>
      <c r="C1558" s="7">
        <f>VLOOKUP(B1558,'Run Reconcile'!A$2:B3090,2,FALSE)</f>
        <v>44774</v>
      </c>
      <c r="D1558" s="11">
        <f>IFERROR(__xludf.DUMMYFUNCTION("""COMPUTED_VALUE"""),44774.0)</f>
        <v>44774</v>
      </c>
      <c r="E1558" s="12">
        <f>IFERROR(__xludf.DUMMYFUNCTION("""COMPUTED_VALUE"""),0.7390509259275859)</f>
        <v>0.7390509259</v>
      </c>
      <c r="F1558" s="6" t="str">
        <f>IFERROR(__xludf.DUMMYFUNCTION("""COMPUTED_VALUE"""),"Negative")</f>
        <v>Negative</v>
      </c>
      <c r="G1558" s="6">
        <f>IFERROR(__xludf.DUMMYFUNCTION("""COMPUTED_VALUE"""),1.0)</f>
        <v>1</v>
      </c>
    </row>
    <row r="1559">
      <c r="A1559" s="6" t="str">
        <f>IFERROR(__xludf.DUMMYFUNCTION("""COMPUTED_VALUE"""),"FM1278")</f>
        <v>FM1278</v>
      </c>
      <c r="B1559" s="6" t="str">
        <f>IFERROR(__xludf.DUMMYFUNCTION("""COMPUTED_VALUE"""),"RUN-COMB_2022-08-01_RFR-088")</f>
        <v>RUN-COMB_2022-08-01_RFR-088</v>
      </c>
      <c r="C1559" s="7">
        <f>VLOOKUP(B1559,'Run Reconcile'!A$2:B3090,2,FALSE)</f>
        <v>44774</v>
      </c>
      <c r="D1559" s="11">
        <f>IFERROR(__xludf.DUMMYFUNCTION("""COMPUTED_VALUE"""),44774.0)</f>
        <v>44774</v>
      </c>
      <c r="E1559" s="12">
        <f>IFERROR(__xludf.DUMMYFUNCTION("""COMPUTED_VALUE"""),0.7393865740741603)</f>
        <v>0.7393865741</v>
      </c>
      <c r="F1559" s="6" t="str">
        <f>IFERROR(__xludf.DUMMYFUNCTION("""COMPUTED_VALUE"""),"Negative")</f>
        <v>Negative</v>
      </c>
      <c r="G1559" s="6">
        <f>IFERROR(__xludf.DUMMYFUNCTION("""COMPUTED_VALUE"""),1.0)</f>
        <v>1</v>
      </c>
    </row>
    <row r="1560">
      <c r="A1560" s="6" t="str">
        <f>IFERROR(__xludf.DUMMYFUNCTION("""COMPUTED_VALUE"""),"FM1284")</f>
        <v>FM1284</v>
      </c>
      <c r="B1560" s="6" t="str">
        <f>IFERROR(__xludf.DUMMYFUNCTION("""COMPUTED_VALUE"""),"RUN-COMB_2022-08-01_RFR-088")</f>
        <v>RUN-COMB_2022-08-01_RFR-088</v>
      </c>
      <c r="C1560" s="7">
        <f>VLOOKUP(B1560,'Run Reconcile'!A$2:B3090,2,FALSE)</f>
        <v>44774</v>
      </c>
      <c r="D1560" s="11">
        <f>IFERROR(__xludf.DUMMYFUNCTION("""COMPUTED_VALUE"""),44774.0)</f>
        <v>44774</v>
      </c>
      <c r="E1560" s="12">
        <f>IFERROR(__xludf.DUMMYFUNCTION("""COMPUTED_VALUE"""),0.7397222222207347)</f>
        <v>0.7397222222</v>
      </c>
      <c r="F1560" s="6" t="str">
        <f>IFERROR(__xludf.DUMMYFUNCTION("""COMPUTED_VALUE"""),"Negative")</f>
        <v>Negative</v>
      </c>
      <c r="G1560" s="6">
        <f>IFERROR(__xludf.DUMMYFUNCTION("""COMPUTED_VALUE"""),1.0)</f>
        <v>1</v>
      </c>
    </row>
    <row r="1561">
      <c r="A1561" s="6" t="str">
        <f>IFERROR(__xludf.DUMMYFUNCTION("""COMPUTED_VALUE"""),"FM1063")</f>
        <v>FM1063</v>
      </c>
      <c r="B1561" s="6" t="str">
        <f>IFERROR(__xludf.DUMMYFUNCTION("""COMPUTED_VALUE"""),"RUN-COMB_2022-08-01_RFR-088")</f>
        <v>RUN-COMB_2022-08-01_RFR-088</v>
      </c>
      <c r="C1561" s="7">
        <f>VLOOKUP(B1561,'Run Reconcile'!A$2:B3090,2,FALSE)</f>
        <v>44774</v>
      </c>
      <c r="D1561" s="11">
        <f>IFERROR(__xludf.DUMMYFUNCTION("""COMPUTED_VALUE"""),44774.0)</f>
        <v>44774</v>
      </c>
      <c r="E1561" s="12">
        <f>IFERROR(__xludf.DUMMYFUNCTION("""COMPUTED_VALUE"""),0.7399768518516794)</f>
        <v>0.7399768519</v>
      </c>
      <c r="F1561" s="6" t="str">
        <f>IFERROR(__xludf.DUMMYFUNCTION("""COMPUTED_VALUE"""),"Negative")</f>
        <v>Negative</v>
      </c>
      <c r="G1561" s="6">
        <f>IFERROR(__xludf.DUMMYFUNCTION("""COMPUTED_VALUE"""),1.0)</f>
        <v>1</v>
      </c>
    </row>
    <row r="1562">
      <c r="A1562" s="6" t="str">
        <f>IFERROR(__xludf.DUMMYFUNCTION("""COMPUTED_VALUE"""),"FM1071")</f>
        <v>FM1071</v>
      </c>
      <c r="B1562" s="6" t="str">
        <f>IFERROR(__xludf.DUMMYFUNCTION("""COMPUTED_VALUE"""),"RUN-COMB_2022-08-01_RFR-088")</f>
        <v>RUN-COMB_2022-08-01_RFR-088</v>
      </c>
      <c r="C1562" s="7">
        <f>VLOOKUP(B1562,'Run Reconcile'!A$2:B3090,2,FALSE)</f>
        <v>44774</v>
      </c>
      <c r="D1562" s="11">
        <f>IFERROR(__xludf.DUMMYFUNCTION("""COMPUTED_VALUE"""),44774.0)</f>
        <v>44774</v>
      </c>
      <c r="E1562" s="12">
        <f>IFERROR(__xludf.DUMMYFUNCTION("""COMPUTED_VALUE"""),0.7414930555569299)</f>
        <v>0.7414930556</v>
      </c>
      <c r="F1562" s="6" t="str">
        <f>IFERROR(__xludf.DUMMYFUNCTION("""COMPUTED_VALUE"""),"Negative")</f>
        <v>Negative</v>
      </c>
      <c r="G1562" s="6">
        <f>IFERROR(__xludf.DUMMYFUNCTION("""COMPUTED_VALUE"""),1.0)</f>
        <v>1</v>
      </c>
    </row>
    <row r="1563">
      <c r="A1563" s="6" t="str">
        <f>IFERROR(__xludf.DUMMYFUNCTION("""COMPUTED_VALUE"""),"FM1070")</f>
        <v>FM1070</v>
      </c>
      <c r="B1563" s="6" t="str">
        <f>IFERROR(__xludf.DUMMYFUNCTION("""COMPUTED_VALUE"""),"RUN-COMB_2022-08-01_RFR-088")</f>
        <v>RUN-COMB_2022-08-01_RFR-088</v>
      </c>
      <c r="C1563" s="7">
        <f>VLOOKUP(B1563,'Run Reconcile'!A$2:B3090,2,FALSE)</f>
        <v>44774</v>
      </c>
      <c r="D1563" s="11">
        <f>IFERROR(__xludf.DUMMYFUNCTION("""COMPUTED_VALUE"""),44774.0)</f>
        <v>44774</v>
      </c>
      <c r="E1563" s="12">
        <f>IFERROR(__xludf.DUMMYFUNCTION("""COMPUTED_VALUE"""),0.7418287037035043)</f>
        <v>0.7418287037</v>
      </c>
      <c r="F1563" s="6" t="str">
        <f>IFERROR(__xludf.DUMMYFUNCTION("""COMPUTED_VALUE"""),"Negative")</f>
        <v>Negative</v>
      </c>
      <c r="G1563" s="6">
        <f>IFERROR(__xludf.DUMMYFUNCTION("""COMPUTED_VALUE"""),1.0)</f>
        <v>1</v>
      </c>
    </row>
    <row r="1564">
      <c r="A1564" s="6" t="str">
        <f>IFERROR(__xludf.DUMMYFUNCTION("""COMPUTED_VALUE"""),"FM1050")</f>
        <v>FM1050</v>
      </c>
      <c r="B1564" s="6" t="str">
        <f>IFERROR(__xludf.DUMMYFUNCTION("""COMPUTED_VALUE"""),"RUN-COMB_2022-08-01_RFR-088")</f>
        <v>RUN-COMB_2022-08-01_RFR-088</v>
      </c>
      <c r="C1564" s="7">
        <f>VLOOKUP(B1564,'Run Reconcile'!A$2:B3090,2,FALSE)</f>
        <v>44774</v>
      </c>
      <c r="D1564" s="11">
        <f>IFERROR(__xludf.DUMMYFUNCTION("""COMPUTED_VALUE"""),44774.0)</f>
        <v>44774</v>
      </c>
      <c r="E1564" s="12">
        <f>IFERROR(__xludf.DUMMYFUNCTION("""COMPUTED_VALUE"""),0.7425694444427791)</f>
        <v>0.7425694444</v>
      </c>
      <c r="F1564" s="6" t="str">
        <f>IFERROR(__xludf.DUMMYFUNCTION("""COMPUTED_VALUE"""),"Negative")</f>
        <v>Negative</v>
      </c>
      <c r="G1564" s="6">
        <f>IFERROR(__xludf.DUMMYFUNCTION("""COMPUTED_VALUE"""),1.0)</f>
        <v>1</v>
      </c>
    </row>
    <row r="1565">
      <c r="A1565" s="6" t="str">
        <f>IFERROR(__xludf.DUMMYFUNCTION("""COMPUTED_VALUE"""),"FM1145")</f>
        <v>FM1145</v>
      </c>
      <c r="B1565" s="6" t="str">
        <f>IFERROR(__xludf.DUMMYFUNCTION("""COMPUTED_VALUE"""),"RUN-COMB_2022-08-01_RFR-088")</f>
        <v>RUN-COMB_2022-08-01_RFR-088</v>
      </c>
      <c r="C1565" s="7">
        <f>VLOOKUP(B1565,'Run Reconcile'!A$2:B3090,2,FALSE)</f>
        <v>44774</v>
      </c>
      <c r="D1565" s="11">
        <f>IFERROR(__xludf.DUMMYFUNCTION("""COMPUTED_VALUE"""),44774.0)</f>
        <v>44774</v>
      </c>
      <c r="E1565" s="12">
        <f>IFERROR(__xludf.DUMMYFUNCTION("""COMPUTED_VALUE"""),0.7428819444430701)</f>
        <v>0.7428819444</v>
      </c>
      <c r="F1565" s="6" t="str">
        <f>IFERROR(__xludf.DUMMYFUNCTION("""COMPUTED_VALUE"""),"Negative")</f>
        <v>Negative</v>
      </c>
      <c r="G1565" s="6">
        <f>IFERROR(__xludf.DUMMYFUNCTION("""COMPUTED_VALUE"""),1.0)</f>
        <v>1</v>
      </c>
    </row>
    <row r="1566">
      <c r="A1566" s="6" t="str">
        <f>IFERROR(__xludf.DUMMYFUNCTION("""COMPUTED_VALUE"""),"FM1302")</f>
        <v>FM1302</v>
      </c>
      <c r="B1566" s="6" t="str">
        <f>IFERROR(__xludf.DUMMYFUNCTION("""COMPUTED_VALUE"""),"RUN-COMB_2022-08-01_RFR-088")</f>
        <v>RUN-COMB_2022-08-01_RFR-088</v>
      </c>
      <c r="C1566" s="7">
        <f>VLOOKUP(B1566,'Run Reconcile'!A$2:B3090,2,FALSE)</f>
        <v>44774</v>
      </c>
      <c r="D1566" s="11">
        <f>IFERROR(__xludf.DUMMYFUNCTION("""COMPUTED_VALUE"""),44774.0)</f>
        <v>44774</v>
      </c>
      <c r="E1566" s="12">
        <f>IFERROR(__xludf.DUMMYFUNCTION("""COMPUTED_VALUE"""),0.7431365740740148)</f>
        <v>0.7431365741</v>
      </c>
      <c r="F1566" s="6" t="str">
        <f>IFERROR(__xludf.DUMMYFUNCTION("""COMPUTED_VALUE"""),"Negative")</f>
        <v>Negative</v>
      </c>
      <c r="G1566" s="6">
        <f>IFERROR(__xludf.DUMMYFUNCTION("""COMPUTED_VALUE"""),1.0)</f>
        <v>1</v>
      </c>
    </row>
    <row r="1567">
      <c r="A1567" s="6" t="str">
        <f>IFERROR(__xludf.DUMMYFUNCTION("""COMPUTED_VALUE"""),"FM1274")</f>
        <v>FM1274</v>
      </c>
      <c r="B1567" s="6" t="str">
        <f>IFERROR(__xludf.DUMMYFUNCTION("""COMPUTED_VALUE"""),"RUN-COMB_2022-08-01_RFR-088")</f>
        <v>RUN-COMB_2022-08-01_RFR-088</v>
      </c>
      <c r="C1567" s="7">
        <f>VLOOKUP(B1567,'Run Reconcile'!A$2:B3090,2,FALSE)</f>
        <v>44774</v>
      </c>
      <c r="D1567" s="11">
        <f>IFERROR(__xludf.DUMMYFUNCTION("""COMPUTED_VALUE"""),44774.0)</f>
        <v>44774</v>
      </c>
      <c r="E1567" s="12">
        <f>IFERROR(__xludf.DUMMYFUNCTION("""COMPUTED_VALUE"""),0.7446064814830606)</f>
        <v>0.7446064815</v>
      </c>
      <c r="F1567" s="6" t="str">
        <f>IFERROR(__xludf.DUMMYFUNCTION("""COMPUTED_VALUE"""),"Negative")</f>
        <v>Negative</v>
      </c>
      <c r="G1567" s="6">
        <f>IFERROR(__xludf.DUMMYFUNCTION("""COMPUTED_VALUE"""),1.0)</f>
        <v>1</v>
      </c>
    </row>
    <row r="1568">
      <c r="A1568" s="6" t="str">
        <f>IFERROR(__xludf.DUMMYFUNCTION("""COMPUTED_VALUE"""),"FM1292")</f>
        <v>FM1292</v>
      </c>
      <c r="B1568" s="6" t="str">
        <f>IFERROR(__xludf.DUMMYFUNCTION("""COMPUTED_VALUE"""),"RUN-COMB_2022-08-01_RFR-088")</f>
        <v>RUN-COMB_2022-08-01_RFR-088</v>
      </c>
      <c r="C1568" s="7">
        <f>VLOOKUP(B1568,'Run Reconcile'!A$2:B3090,2,FALSE)</f>
        <v>44774</v>
      </c>
      <c r="D1568" s="11">
        <f>IFERROR(__xludf.DUMMYFUNCTION("""COMPUTED_VALUE"""),44774.0)</f>
        <v>44774</v>
      </c>
      <c r="E1568" s="12">
        <f>IFERROR(__xludf.DUMMYFUNCTION("""COMPUTED_VALUE"""),0.7449652777795563)</f>
        <v>0.7449652778</v>
      </c>
      <c r="F1568" s="6" t="str">
        <f>IFERROR(__xludf.DUMMYFUNCTION("""COMPUTED_VALUE"""),"Negative")</f>
        <v>Negative</v>
      </c>
      <c r="G1568" s="6">
        <f>IFERROR(__xludf.DUMMYFUNCTION("""COMPUTED_VALUE"""),1.0)</f>
        <v>1</v>
      </c>
    </row>
    <row r="1569">
      <c r="A1569" s="6" t="str">
        <f>IFERROR(__xludf.DUMMYFUNCTION("""COMPUTED_VALUE"""),"FM1285")</f>
        <v>FM1285</v>
      </c>
      <c r="B1569" s="6" t="str">
        <f>IFERROR(__xludf.DUMMYFUNCTION("""COMPUTED_VALUE"""),"RUN-COMB_2022-08-01_RFR-088")</f>
        <v>RUN-COMB_2022-08-01_RFR-088</v>
      </c>
      <c r="C1569" s="7">
        <f>VLOOKUP(B1569,'Run Reconcile'!A$2:B3090,2,FALSE)</f>
        <v>44774</v>
      </c>
      <c r="D1569" s="11">
        <f>IFERROR(__xludf.DUMMYFUNCTION("""COMPUTED_VALUE"""),44774.0)</f>
        <v>44774</v>
      </c>
      <c r="E1569" s="12">
        <f>IFERROR(__xludf.DUMMYFUNCTION("""COMPUTED_VALUE"""),0.7453240740724141)</f>
        <v>0.7453240741</v>
      </c>
      <c r="F1569" s="6" t="str">
        <f>IFERROR(__xludf.DUMMYFUNCTION("""COMPUTED_VALUE"""),"Negative")</f>
        <v>Negative</v>
      </c>
      <c r="G1569" s="6">
        <f>IFERROR(__xludf.DUMMYFUNCTION("""COMPUTED_VALUE"""),1.0)</f>
        <v>1</v>
      </c>
    </row>
    <row r="1570">
      <c r="A1570" s="6" t="str">
        <f>IFERROR(__xludf.DUMMYFUNCTION("""COMPUTED_VALUE"""),"FM1296")</f>
        <v>FM1296</v>
      </c>
      <c r="B1570" s="6" t="str">
        <f>IFERROR(__xludf.DUMMYFUNCTION("""COMPUTED_VALUE"""),"RUN-COMB_2022-08-01_RFR-088")</f>
        <v>RUN-COMB_2022-08-01_RFR-088</v>
      </c>
      <c r="C1570" s="7">
        <f>VLOOKUP(B1570,'Run Reconcile'!A$2:B3090,2,FALSE)</f>
        <v>44774</v>
      </c>
      <c r="D1570" s="11">
        <f>IFERROR(__xludf.DUMMYFUNCTION("""COMPUTED_VALUE"""),44774.0)</f>
        <v>44774</v>
      </c>
      <c r="E1570" s="12">
        <f>IFERROR(__xludf.DUMMYFUNCTION("""COMPUTED_VALUE"""),0.7457291666651145)</f>
        <v>0.7457291667</v>
      </c>
      <c r="F1570" s="6" t="str">
        <f>IFERROR(__xludf.DUMMYFUNCTION("""COMPUTED_VALUE"""),"Negative")</f>
        <v>Negative</v>
      </c>
      <c r="G1570" s="6">
        <f>IFERROR(__xludf.DUMMYFUNCTION("""COMPUTED_VALUE"""),1.0)</f>
        <v>1</v>
      </c>
    </row>
    <row r="1571">
      <c r="A1571" s="6" t="str">
        <f>IFERROR(__xludf.DUMMYFUNCTION("""COMPUTED_VALUE"""),"FM1263")</f>
        <v>FM1263</v>
      </c>
      <c r="B1571" s="6" t="str">
        <f>IFERROR(__xludf.DUMMYFUNCTION("""COMPUTED_VALUE"""),"RUN-COMB_2022-08-01_RFR-088")</f>
        <v>RUN-COMB_2022-08-01_RFR-088</v>
      </c>
      <c r="C1571" s="7">
        <f>VLOOKUP(B1571,'Run Reconcile'!A$2:B3090,2,FALSE)</f>
        <v>44774</v>
      </c>
      <c r="D1571" s="11">
        <f>IFERROR(__xludf.DUMMYFUNCTION("""COMPUTED_VALUE"""),44774.0)</f>
        <v>44774</v>
      </c>
      <c r="E1571" s="12">
        <f>IFERROR(__xludf.DUMMYFUNCTION("""COMPUTED_VALUE"""),0.7460185185191222)</f>
        <v>0.7460185185</v>
      </c>
      <c r="F1571" s="6" t="str">
        <f>IFERROR(__xludf.DUMMYFUNCTION("""COMPUTED_VALUE"""),"Negative")</f>
        <v>Negative</v>
      </c>
      <c r="G1571" s="6">
        <f>IFERROR(__xludf.DUMMYFUNCTION("""COMPUTED_VALUE"""),1.0)</f>
        <v>1</v>
      </c>
    </row>
    <row r="1572">
      <c r="A1572" s="6" t="str">
        <f>IFERROR(__xludf.DUMMYFUNCTION("""COMPUTED_VALUE"""),"FM1060")</f>
        <v>FM1060</v>
      </c>
      <c r="B1572" s="6" t="str">
        <f>IFERROR(__xludf.DUMMYFUNCTION("""COMPUTED_VALUE"""),"RUN-COMB_2022-08-01_RFR-088")</f>
        <v>RUN-COMB_2022-08-01_RFR-088</v>
      </c>
      <c r="C1572" s="7">
        <f>VLOOKUP(B1572,'Run Reconcile'!A$2:B3090,2,FALSE)</f>
        <v>44774</v>
      </c>
      <c r="D1572" s="11">
        <f>IFERROR(__xludf.DUMMYFUNCTION("""COMPUTED_VALUE"""),44774.0)</f>
        <v>44774</v>
      </c>
      <c r="E1572" s="12">
        <f>IFERROR(__xludf.DUMMYFUNCTION("""COMPUTED_VALUE"""),0.7463888888887595)</f>
        <v>0.7463888889</v>
      </c>
      <c r="F1572" s="6" t="str">
        <f>IFERROR(__xludf.DUMMYFUNCTION("""COMPUTED_VALUE"""),"Negative")</f>
        <v>Negative</v>
      </c>
      <c r="G1572" s="6">
        <f>IFERROR(__xludf.DUMMYFUNCTION("""COMPUTED_VALUE"""),1.0)</f>
        <v>1</v>
      </c>
    </row>
    <row r="1573">
      <c r="A1573" s="6" t="str">
        <f>IFERROR(__xludf.DUMMYFUNCTION("""COMPUTED_VALUE"""),"FM1272")</f>
        <v>FM1272</v>
      </c>
      <c r="B1573" s="6" t="str">
        <f>IFERROR(__xludf.DUMMYFUNCTION("""COMPUTED_VALUE"""),"RUN-COMB_2022-08-01_RFR-088")</f>
        <v>RUN-COMB_2022-08-01_RFR-088</v>
      </c>
      <c r="C1573" s="7">
        <f>VLOOKUP(B1573,'Run Reconcile'!A$2:B3090,2,FALSE)</f>
        <v>44774</v>
      </c>
      <c r="D1573" s="11">
        <f>IFERROR(__xludf.DUMMYFUNCTION("""COMPUTED_VALUE"""),44774.0)</f>
        <v>44774</v>
      </c>
      <c r="E1573" s="12">
        <f>IFERROR(__xludf.DUMMYFUNCTION("""COMPUTED_VALUE"""),0.747557870370656)</f>
        <v>0.7475578704</v>
      </c>
      <c r="F1573" s="6" t="str">
        <f>IFERROR(__xludf.DUMMYFUNCTION("""COMPUTED_VALUE"""),"Negative")</f>
        <v>Negative</v>
      </c>
      <c r="G1573" s="6">
        <f>IFERROR(__xludf.DUMMYFUNCTION("""COMPUTED_VALUE"""),1.0)</f>
        <v>1</v>
      </c>
    </row>
    <row r="1574">
      <c r="A1574" s="6" t="str">
        <f>IFERROR(__xludf.DUMMYFUNCTION("""COMPUTED_VALUE"""),"FM1032")</f>
        <v>FM1032</v>
      </c>
      <c r="B1574" s="6" t="str">
        <f>IFERROR(__xludf.DUMMYFUNCTION("""COMPUTED_VALUE"""),"RUN-COMB_2022-08-01_RFR-088")</f>
        <v>RUN-COMB_2022-08-01_RFR-088</v>
      </c>
      <c r="C1574" s="7">
        <f>VLOOKUP(B1574,'Run Reconcile'!A$2:B3090,2,FALSE)</f>
        <v>44774</v>
      </c>
      <c r="D1574" s="11">
        <f>IFERROR(__xludf.DUMMYFUNCTION("""COMPUTED_VALUE"""),44774.0)</f>
        <v>44774</v>
      </c>
      <c r="E1574" s="12">
        <f>IFERROR(__xludf.DUMMYFUNCTION("""COMPUTED_VALUE"""),0.7478703703709471)</f>
        <v>0.7478703704</v>
      </c>
      <c r="F1574" s="6" t="str">
        <f>IFERROR(__xludf.DUMMYFUNCTION("""COMPUTED_VALUE"""),"Negative")</f>
        <v>Negative</v>
      </c>
      <c r="G1574" s="6">
        <f>IFERROR(__xludf.DUMMYFUNCTION("""COMPUTED_VALUE"""),1.0)</f>
        <v>1</v>
      </c>
    </row>
    <row r="1575">
      <c r="A1575" s="6" t="str">
        <f>IFERROR(__xludf.DUMMYFUNCTION("""COMPUTED_VALUE"""),"FM1280")</f>
        <v>FM1280</v>
      </c>
      <c r="B1575" s="6" t="str">
        <f>IFERROR(__xludf.DUMMYFUNCTION("""COMPUTED_VALUE"""),"RUN-COMB_2022-08-01_RFR-088")</f>
        <v>RUN-COMB_2022-08-01_RFR-088</v>
      </c>
      <c r="C1575" s="7">
        <f>VLOOKUP(B1575,'Run Reconcile'!A$2:B3090,2,FALSE)</f>
        <v>44774</v>
      </c>
      <c r="D1575" s="11">
        <f>IFERROR(__xludf.DUMMYFUNCTION("""COMPUTED_VALUE"""),44774.0)</f>
        <v>44774</v>
      </c>
      <c r="E1575" s="12">
        <f>IFERROR(__xludf.DUMMYFUNCTION("""COMPUTED_VALUE"""),0.7481712962980964)</f>
        <v>0.7481712963</v>
      </c>
      <c r="F1575" s="6" t="str">
        <f>IFERROR(__xludf.DUMMYFUNCTION("""COMPUTED_VALUE"""),"Negative")</f>
        <v>Negative</v>
      </c>
      <c r="G1575" s="6">
        <f>IFERROR(__xludf.DUMMYFUNCTION("""COMPUTED_VALUE"""),1.0)</f>
        <v>1</v>
      </c>
    </row>
    <row r="1576">
      <c r="A1576" s="6" t="str">
        <f>IFERROR(__xludf.DUMMYFUNCTION("""COMPUTED_VALUE"""),"FM1316")</f>
        <v>FM1316</v>
      </c>
      <c r="B1576" s="6" t="str">
        <f>IFERROR(__xludf.DUMMYFUNCTION("""COMPUTED_VALUE"""),"RUN-COMB_2022-08-01_RFR-088")</f>
        <v>RUN-COMB_2022-08-01_RFR-088</v>
      </c>
      <c r="C1576" s="7">
        <f>VLOOKUP(B1576,'Run Reconcile'!A$2:B3090,2,FALSE)</f>
        <v>44774</v>
      </c>
      <c r="D1576" s="11">
        <f>IFERROR(__xludf.DUMMYFUNCTION("""COMPUTED_VALUE"""),44774.0)</f>
        <v>44774</v>
      </c>
      <c r="E1576" s="12">
        <f>IFERROR(__xludf.DUMMYFUNCTION("""COMPUTED_VALUE"""),0.7490046296297805)</f>
        <v>0.7490046296</v>
      </c>
      <c r="F1576" s="6" t="str">
        <f>IFERROR(__xludf.DUMMYFUNCTION("""COMPUTED_VALUE"""),"Negative")</f>
        <v>Negative</v>
      </c>
      <c r="G1576" s="6">
        <f>IFERROR(__xludf.DUMMYFUNCTION("""COMPUTED_VALUE"""),1.0)</f>
        <v>1</v>
      </c>
    </row>
    <row r="1577">
      <c r="A1577" s="6" t="str">
        <f>IFERROR(__xludf.DUMMYFUNCTION("""COMPUTED_VALUE"""),"FM1067")</f>
        <v>FM1067</v>
      </c>
      <c r="B1577" s="6" t="str">
        <f>IFERROR(__xludf.DUMMYFUNCTION("""COMPUTED_VALUE"""),"RUN-COMB_2022-08-01_RFR-088")</f>
        <v>RUN-COMB_2022-08-01_RFR-088</v>
      </c>
      <c r="C1577" s="7">
        <f>VLOOKUP(B1577,'Run Reconcile'!A$2:B3090,2,FALSE)</f>
        <v>44774</v>
      </c>
      <c r="D1577" s="11">
        <f>IFERROR(__xludf.DUMMYFUNCTION("""COMPUTED_VALUE"""),44774.0)</f>
        <v>44774</v>
      </c>
      <c r="E1577" s="12">
        <f>IFERROR(__xludf.DUMMYFUNCTION("""COMPUTED_VALUE"""),0.7492939814801503)</f>
        <v>0.7492939815</v>
      </c>
      <c r="F1577" s="6" t="str">
        <f>IFERROR(__xludf.DUMMYFUNCTION("""COMPUTED_VALUE"""),"Negative")</f>
        <v>Negative</v>
      </c>
      <c r="G1577" s="6">
        <f>IFERROR(__xludf.DUMMYFUNCTION("""COMPUTED_VALUE"""),1.0)</f>
        <v>1</v>
      </c>
    </row>
    <row r="1578">
      <c r="A1578" s="6" t="str">
        <f>IFERROR(__xludf.DUMMYFUNCTION("""COMPUTED_VALUE"""),"FM1294")</f>
        <v>FM1294</v>
      </c>
      <c r="B1578" s="6" t="str">
        <f>IFERROR(__xludf.DUMMYFUNCTION("""COMPUTED_VALUE"""),"RUN-COMB_2022-08-01_RFR-088")</f>
        <v>RUN-COMB_2022-08-01_RFR-088</v>
      </c>
      <c r="C1578" s="7">
        <f>VLOOKUP(B1578,'Run Reconcile'!A$2:B3090,2,FALSE)</f>
        <v>44774</v>
      </c>
      <c r="D1578" s="11">
        <f>IFERROR(__xludf.DUMMYFUNCTION("""COMPUTED_VALUE"""),44774.0)</f>
        <v>44774</v>
      </c>
      <c r="E1578" s="12">
        <f>IFERROR(__xludf.DUMMYFUNCTION("""COMPUTED_VALUE"""),0.7495833333341579)</f>
        <v>0.7495833333</v>
      </c>
      <c r="F1578" s="6" t="str">
        <f>IFERROR(__xludf.DUMMYFUNCTION("""COMPUTED_VALUE"""),"Negative")</f>
        <v>Negative</v>
      </c>
      <c r="G1578" s="6">
        <f>IFERROR(__xludf.DUMMYFUNCTION("""COMPUTED_VALUE"""),1.0)</f>
        <v>1</v>
      </c>
    </row>
    <row r="1579">
      <c r="A1579" s="6" t="str">
        <f>IFERROR(__xludf.DUMMYFUNCTION("""COMPUTED_VALUE"""),"FM1268")</f>
        <v>FM1268</v>
      </c>
      <c r="B1579" s="6" t="str">
        <f>IFERROR(__xludf.DUMMYFUNCTION("""COMPUTED_VALUE"""),"RUN-COMB_2022-08-01_RFR-088")</f>
        <v>RUN-COMB_2022-08-01_RFR-088</v>
      </c>
      <c r="C1579" s="7">
        <f>VLOOKUP(B1579,'Run Reconcile'!A$2:B3090,2,FALSE)</f>
        <v>44774</v>
      </c>
      <c r="D1579" s="11">
        <f>IFERROR(__xludf.DUMMYFUNCTION("""COMPUTED_VALUE"""),44774.0)</f>
        <v>44774</v>
      </c>
      <c r="E1579" s="12">
        <f>IFERROR(__xludf.DUMMYFUNCTION("""COMPUTED_VALUE"""),0.7499421296306537)</f>
        <v>0.7499421296</v>
      </c>
      <c r="F1579" s="6" t="str">
        <f>IFERROR(__xludf.DUMMYFUNCTION("""COMPUTED_VALUE"""),"Negative")</f>
        <v>Negative</v>
      </c>
      <c r="G1579" s="6">
        <f>IFERROR(__xludf.DUMMYFUNCTION("""COMPUTED_VALUE"""),1.0)</f>
        <v>1</v>
      </c>
    </row>
    <row r="1580">
      <c r="A1580" s="6" t="str">
        <f>IFERROR(__xludf.DUMMYFUNCTION("""COMPUTED_VALUE"""),"FM1048")</f>
        <v>FM1048</v>
      </c>
      <c r="B1580" s="6" t="str">
        <f>IFERROR(__xludf.DUMMYFUNCTION("""COMPUTED_VALUE"""),"RUN-COMB_2022-08-01_RFR-088")</f>
        <v>RUN-COMB_2022-08-01_RFR-088</v>
      </c>
      <c r="C1580" s="7">
        <f>VLOOKUP(B1580,'Run Reconcile'!A$2:B3090,2,FALSE)</f>
        <v>44774</v>
      </c>
      <c r="D1580" s="11">
        <f>IFERROR(__xludf.DUMMYFUNCTION("""COMPUTED_VALUE"""),44774.0)</f>
        <v>44774</v>
      </c>
      <c r="E1580" s="12">
        <f>IFERROR(__xludf.DUMMYFUNCTION("""COMPUTED_VALUE"""),0.7502546296309447)</f>
        <v>0.7502546296</v>
      </c>
      <c r="F1580" s="6" t="str">
        <f>IFERROR(__xludf.DUMMYFUNCTION("""COMPUTED_VALUE"""),"Negative")</f>
        <v>Negative</v>
      </c>
      <c r="G1580" s="6">
        <f>IFERROR(__xludf.DUMMYFUNCTION("""COMPUTED_VALUE"""),1.0)</f>
        <v>1</v>
      </c>
    </row>
    <row r="1581">
      <c r="A1581" s="6" t="str">
        <f>IFERROR(__xludf.DUMMYFUNCTION("""COMPUTED_VALUE"""),"FM1308")</f>
        <v>FM1308</v>
      </c>
      <c r="B1581" s="6" t="str">
        <f>IFERROR(__xludf.DUMMYFUNCTION("""COMPUTED_VALUE"""),"RUN-COMB_2022-08-01_RFR-088")</f>
        <v>RUN-COMB_2022-08-01_RFR-088</v>
      </c>
      <c r="C1581" s="7">
        <f>VLOOKUP(B1581,'Run Reconcile'!A$2:B3090,2,FALSE)</f>
        <v>44774</v>
      </c>
      <c r="D1581" s="11">
        <f>IFERROR(__xludf.DUMMYFUNCTION("""COMPUTED_VALUE"""),44774.0)</f>
        <v>44774</v>
      </c>
      <c r="E1581" s="12">
        <f>IFERROR(__xludf.DUMMYFUNCTION("""COMPUTED_VALUE"""),0.7505787037043774)</f>
        <v>0.7505787037</v>
      </c>
      <c r="F1581" s="6" t="str">
        <f>IFERROR(__xludf.DUMMYFUNCTION("""COMPUTED_VALUE"""),"Negative")</f>
        <v>Negative</v>
      </c>
      <c r="G1581" s="6">
        <f>IFERROR(__xludf.DUMMYFUNCTION("""COMPUTED_VALUE"""),1.0)</f>
        <v>1</v>
      </c>
    </row>
    <row r="1582">
      <c r="A1582" s="6" t="str">
        <f>IFERROR(__xludf.DUMMYFUNCTION("""COMPUTED_VALUE"""),"FM1680")</f>
        <v>FM1680</v>
      </c>
      <c r="B1582" s="6" t="str">
        <f>IFERROR(__xludf.DUMMYFUNCTION("""COMPUTED_VALUE"""),"RUN-COMB_2022-08-02_RFR-090")</f>
        <v>RUN-COMB_2022-08-02_RFR-090</v>
      </c>
      <c r="C1582" s="7">
        <f>VLOOKUP(B1582,'Run Reconcile'!A$2:B3090,2,FALSE)</f>
        <v>44775</v>
      </c>
      <c r="D1582" s="11">
        <f>IFERROR(__xludf.DUMMYFUNCTION("""COMPUTED_VALUE"""),44775.0)</f>
        <v>44775</v>
      </c>
      <c r="E1582" s="12">
        <f>IFERROR(__xludf.DUMMYFUNCTION("""COMPUTED_VALUE"""),0.31712962963138125)</f>
        <v>0.3171296296</v>
      </c>
      <c r="F1582" s="6" t="str">
        <f>IFERROR(__xludf.DUMMYFUNCTION("""COMPUTED_VALUE"""),"Negative")</f>
        <v>Negative</v>
      </c>
      <c r="G1582" s="6">
        <f>IFERROR(__xludf.DUMMYFUNCTION("""COMPUTED_VALUE"""),1.0)</f>
        <v>1</v>
      </c>
    </row>
    <row r="1583">
      <c r="A1583" s="6" t="str">
        <f>IFERROR(__xludf.DUMMYFUNCTION("""COMPUTED_VALUE"""),"FM1024")</f>
        <v>FM1024</v>
      </c>
      <c r="B1583" s="6" t="str">
        <f>IFERROR(__xludf.DUMMYFUNCTION("""COMPUTED_VALUE"""),"RUN-COMB_2022-08-02_RFR-090")</f>
        <v>RUN-COMB_2022-08-02_RFR-090</v>
      </c>
      <c r="C1583" s="7">
        <f>VLOOKUP(B1583,'Run Reconcile'!A$2:B3090,2,FALSE)</f>
        <v>44775</v>
      </c>
      <c r="D1583" s="11">
        <f>IFERROR(__xludf.DUMMYFUNCTION("""COMPUTED_VALUE"""),44775.0)</f>
        <v>44775</v>
      </c>
      <c r="E1583" s="12">
        <f>IFERROR(__xludf.DUMMYFUNCTION("""COMPUTED_VALUE"""),0.31739583333182964)</f>
        <v>0.3173958333</v>
      </c>
      <c r="F1583" s="6" t="str">
        <f>IFERROR(__xludf.DUMMYFUNCTION("""COMPUTED_VALUE"""),"Negative")</f>
        <v>Negative</v>
      </c>
      <c r="G1583" s="6">
        <f>IFERROR(__xludf.DUMMYFUNCTION("""COMPUTED_VALUE"""),1.0)</f>
        <v>1</v>
      </c>
    </row>
    <row r="1584">
      <c r="A1584" s="6" t="str">
        <f>IFERROR(__xludf.DUMMYFUNCTION("""COMPUTED_VALUE"""),"FM1631")</f>
        <v>FM1631</v>
      </c>
      <c r="B1584" s="6" t="str">
        <f>IFERROR(__xludf.DUMMYFUNCTION("""COMPUTED_VALUE"""),"RUN-COMB_2022-08-02_RFR-090")</f>
        <v>RUN-COMB_2022-08-02_RFR-090</v>
      </c>
      <c r="C1584" s="7">
        <f>VLOOKUP(B1584,'Run Reconcile'!A$2:B3090,2,FALSE)</f>
        <v>44775</v>
      </c>
      <c r="D1584" s="11">
        <f>IFERROR(__xludf.DUMMYFUNCTION("""COMPUTED_VALUE"""),44775.0)</f>
        <v>44775</v>
      </c>
      <c r="E1584" s="12">
        <f>IFERROR(__xludf.DUMMYFUNCTION("""COMPUTED_VALUE"""),0.3177430555551837)</f>
        <v>0.3177430556</v>
      </c>
      <c r="F1584" s="6" t="str">
        <f>IFERROR(__xludf.DUMMYFUNCTION("""COMPUTED_VALUE"""),"Negative")</f>
        <v>Negative</v>
      </c>
      <c r="G1584" s="6">
        <f>IFERROR(__xludf.DUMMYFUNCTION("""COMPUTED_VALUE"""),1.0)</f>
        <v>1</v>
      </c>
    </row>
    <row r="1585">
      <c r="A1585" s="6" t="str">
        <f>IFERROR(__xludf.DUMMYFUNCTION("""COMPUTED_VALUE"""),"FM1298")</f>
        <v>FM1298</v>
      </c>
      <c r="B1585" s="6" t="str">
        <f>IFERROR(__xludf.DUMMYFUNCTION("""COMPUTED_VALUE"""),"RUN-COMB_2022-08-02_RFR-090")</f>
        <v>RUN-COMB_2022-08-02_RFR-090</v>
      </c>
      <c r="C1585" s="7">
        <f>VLOOKUP(B1585,'Run Reconcile'!A$2:B3090,2,FALSE)</f>
        <v>44775</v>
      </c>
      <c r="D1585" s="11">
        <f>IFERROR(__xludf.DUMMYFUNCTION("""COMPUTED_VALUE"""),44775.0)</f>
        <v>44775</v>
      </c>
      <c r="E1585" s="12">
        <f>IFERROR(__xludf.DUMMYFUNCTION("""COMPUTED_VALUE"""),0.3180208333324117)</f>
        <v>0.3180208333</v>
      </c>
      <c r="F1585" s="6" t="str">
        <f>IFERROR(__xludf.DUMMYFUNCTION("""COMPUTED_VALUE"""),"Negative")</f>
        <v>Negative</v>
      </c>
      <c r="G1585" s="6">
        <f>IFERROR(__xludf.DUMMYFUNCTION("""COMPUTED_VALUE"""),1.0)</f>
        <v>1</v>
      </c>
    </row>
    <row r="1586">
      <c r="A1586" s="6" t="str">
        <f>IFERROR(__xludf.DUMMYFUNCTION("""COMPUTED_VALUE"""),"FM1281")</f>
        <v>FM1281</v>
      </c>
      <c r="B1586" s="6" t="str">
        <f>IFERROR(__xludf.DUMMYFUNCTION("""COMPUTED_VALUE"""),"RUN-COMB_2022-08-02_RFR-090")</f>
        <v>RUN-COMB_2022-08-02_RFR-090</v>
      </c>
      <c r="C1586" s="7">
        <f>VLOOKUP(B1586,'Run Reconcile'!A$2:B3090,2,FALSE)</f>
        <v>44775</v>
      </c>
      <c r="D1586" s="11">
        <f>IFERROR(__xludf.DUMMYFUNCTION("""COMPUTED_VALUE"""),44775.0)</f>
        <v>44775</v>
      </c>
      <c r="E1586" s="12">
        <f>IFERROR(__xludf.DUMMYFUNCTION("""COMPUTED_VALUE"""),0.31840277777882875)</f>
        <v>0.3184027778</v>
      </c>
      <c r="F1586" s="6" t="str">
        <f>IFERROR(__xludf.DUMMYFUNCTION("""COMPUTED_VALUE"""),"Negative")</f>
        <v>Negative</v>
      </c>
      <c r="G1586" s="6">
        <f>IFERROR(__xludf.DUMMYFUNCTION("""COMPUTED_VALUE"""),1.0)</f>
        <v>1</v>
      </c>
    </row>
    <row r="1587">
      <c r="A1587" s="6" t="str">
        <f>IFERROR(__xludf.DUMMYFUNCTION("""COMPUTED_VALUE"""),"FM1872")</f>
        <v>FM1872</v>
      </c>
      <c r="B1587" s="6" t="str">
        <f>IFERROR(__xludf.DUMMYFUNCTION("""COMPUTED_VALUE"""),"RUN-COMB_2022-08-02_RFR-090")</f>
        <v>RUN-COMB_2022-08-02_RFR-090</v>
      </c>
      <c r="C1587" s="7">
        <f>VLOOKUP(B1587,'Run Reconcile'!A$2:B3090,2,FALSE)</f>
        <v>44775</v>
      </c>
      <c r="D1587" s="11">
        <f>IFERROR(__xludf.DUMMYFUNCTION("""COMPUTED_VALUE"""),44775.0)</f>
        <v>44775</v>
      </c>
      <c r="E1587" s="12">
        <f>IFERROR(__xludf.DUMMYFUNCTION("""COMPUTED_VALUE"""),0.31891203703708015)</f>
        <v>0.318912037</v>
      </c>
      <c r="F1587" s="6" t="str">
        <f>IFERROR(__xludf.DUMMYFUNCTION("""COMPUTED_VALUE"""),"Negative")</f>
        <v>Negative</v>
      </c>
      <c r="G1587" s="6">
        <f>IFERROR(__xludf.DUMMYFUNCTION("""COMPUTED_VALUE"""),1.0)</f>
        <v>1</v>
      </c>
    </row>
    <row r="1588">
      <c r="A1588" s="6" t="str">
        <f>IFERROR(__xludf.DUMMYFUNCTION("""COMPUTED_VALUE"""),"FM1863")</f>
        <v>FM1863</v>
      </c>
      <c r="B1588" s="6" t="str">
        <f>IFERROR(__xludf.DUMMYFUNCTION("""COMPUTED_VALUE"""),"RUN-COMB_2022-08-02_RFR-090")</f>
        <v>RUN-COMB_2022-08-02_RFR-090</v>
      </c>
      <c r="C1588" s="7">
        <f>VLOOKUP(B1588,'Run Reconcile'!A$2:B3090,2,FALSE)</f>
        <v>44775</v>
      </c>
      <c r="D1588" s="11">
        <f>IFERROR(__xludf.DUMMYFUNCTION("""COMPUTED_VALUE"""),44775.0)</f>
        <v>44775</v>
      </c>
      <c r="E1588" s="12">
        <f>IFERROR(__xludf.DUMMYFUNCTION("""COMPUTED_VALUE"""),0.31923611111051287)</f>
        <v>0.3192361111</v>
      </c>
      <c r="F1588" s="6" t="str">
        <f>IFERROR(__xludf.DUMMYFUNCTION("""COMPUTED_VALUE"""),"Negative")</f>
        <v>Negative</v>
      </c>
      <c r="G1588" s="6">
        <f>IFERROR(__xludf.DUMMYFUNCTION("""COMPUTED_VALUE"""),1.0)</f>
        <v>1</v>
      </c>
    </row>
    <row r="1589">
      <c r="A1589" s="6" t="str">
        <f>IFERROR(__xludf.DUMMYFUNCTION("""COMPUTED_VALUE"""),"FM1651")</f>
        <v>FM1651</v>
      </c>
      <c r="B1589" s="6" t="str">
        <f>IFERROR(__xludf.DUMMYFUNCTION("""COMPUTED_VALUE"""),"RUN-COMB_2022-08-02_RFR-090")</f>
        <v>RUN-COMB_2022-08-02_RFR-090</v>
      </c>
      <c r="C1589" s="7">
        <f>VLOOKUP(B1589,'Run Reconcile'!A$2:B3090,2,FALSE)</f>
        <v>44775</v>
      </c>
      <c r="D1589" s="11">
        <f>IFERROR(__xludf.DUMMYFUNCTION("""COMPUTED_VALUE"""),44775.0)</f>
        <v>44775</v>
      </c>
      <c r="E1589" s="12">
        <f>IFERROR(__xludf.DUMMYFUNCTION("""COMPUTED_VALUE"""),0.3195949074070086)</f>
        <v>0.3195949074</v>
      </c>
      <c r="F1589" s="6" t="str">
        <f>IFERROR(__xludf.DUMMYFUNCTION("""COMPUTED_VALUE"""),"Negative")</f>
        <v>Negative</v>
      </c>
      <c r="G1589" s="6">
        <f>IFERROR(__xludf.DUMMYFUNCTION("""COMPUTED_VALUE"""),1.0)</f>
        <v>1</v>
      </c>
    </row>
    <row r="1590">
      <c r="A1590" s="6" t="str">
        <f>IFERROR(__xludf.DUMMYFUNCTION("""COMPUTED_VALUE"""),"FM1276")</f>
        <v>FM1276</v>
      </c>
      <c r="B1590" s="6" t="str">
        <f>IFERROR(__xludf.DUMMYFUNCTION("""COMPUTED_VALUE"""),"RUN-COMB_2022-08-02_RFR-090")</f>
        <v>RUN-COMB_2022-08-02_RFR-090</v>
      </c>
      <c r="C1590" s="7">
        <f>VLOOKUP(B1590,'Run Reconcile'!A$2:B3090,2,FALSE)</f>
        <v>44775</v>
      </c>
      <c r="D1590" s="11">
        <f>IFERROR(__xludf.DUMMYFUNCTION("""COMPUTED_VALUE"""),44775.0)</f>
        <v>44775</v>
      </c>
      <c r="E1590" s="12">
        <f>IFERROR(__xludf.DUMMYFUNCTION("""COMPUTED_VALUE"""),0.3198726851842366)</f>
        <v>0.3198726852</v>
      </c>
      <c r="F1590" s="6" t="str">
        <f>IFERROR(__xludf.DUMMYFUNCTION("""COMPUTED_VALUE"""),"Negative")</f>
        <v>Negative</v>
      </c>
      <c r="G1590" s="6">
        <f>IFERROR(__xludf.DUMMYFUNCTION("""COMPUTED_VALUE"""),1.0)</f>
        <v>1</v>
      </c>
    </row>
    <row r="1591">
      <c r="A1591" s="6" t="str">
        <f>IFERROR(__xludf.DUMMYFUNCTION("""COMPUTED_VALUE"""),"FM1078")</f>
        <v>FM1078</v>
      </c>
      <c r="B1591" s="6" t="str">
        <f>IFERROR(__xludf.DUMMYFUNCTION("""COMPUTED_VALUE"""),"RUN-COMB_2022-08-02_RFR-090")</f>
        <v>RUN-COMB_2022-08-02_RFR-090</v>
      </c>
      <c r="C1591" s="7">
        <f>VLOOKUP(B1591,'Run Reconcile'!A$2:B3090,2,FALSE)</f>
        <v>44775</v>
      </c>
      <c r="D1591" s="11">
        <f>IFERROR(__xludf.DUMMYFUNCTION("""COMPUTED_VALUE"""),44775.0)</f>
        <v>44775</v>
      </c>
      <c r="E1591" s="12">
        <f>IFERROR(__xludf.DUMMYFUNCTION("""COMPUTED_VALUE"""),0.320208333334449)</f>
        <v>0.3202083333</v>
      </c>
      <c r="F1591" s="6" t="str">
        <f>IFERROR(__xludf.DUMMYFUNCTION("""COMPUTED_VALUE"""),"Negative")</f>
        <v>Negative</v>
      </c>
      <c r="G1591" s="6">
        <f>IFERROR(__xludf.DUMMYFUNCTION("""COMPUTED_VALUE"""),1.0)</f>
        <v>1</v>
      </c>
    </row>
    <row r="1592">
      <c r="A1592" s="6" t="str">
        <f>IFERROR(__xludf.DUMMYFUNCTION("""COMPUTED_VALUE"""),"FM1066")</f>
        <v>FM1066</v>
      </c>
      <c r="B1592" s="6" t="str">
        <f>IFERROR(__xludf.DUMMYFUNCTION("""COMPUTED_VALUE"""),"RUN-COMB_2022-08-02_RFR-090")</f>
        <v>RUN-COMB_2022-08-02_RFR-090</v>
      </c>
      <c r="C1592" s="7">
        <f>VLOOKUP(B1592,'Run Reconcile'!A$2:B3090,2,FALSE)</f>
        <v>44775</v>
      </c>
      <c r="D1592" s="11">
        <f>IFERROR(__xludf.DUMMYFUNCTION("""COMPUTED_VALUE"""),44775.0)</f>
        <v>44775</v>
      </c>
      <c r="E1592" s="12">
        <f>IFERROR(__xludf.DUMMYFUNCTION("""COMPUTED_VALUE"""),0.32054398148102337)</f>
        <v>0.3205439815</v>
      </c>
      <c r="F1592" s="6" t="str">
        <f>IFERROR(__xludf.DUMMYFUNCTION("""COMPUTED_VALUE"""),"Negative")</f>
        <v>Negative</v>
      </c>
      <c r="G1592" s="6">
        <f>IFERROR(__xludf.DUMMYFUNCTION("""COMPUTED_VALUE"""),1.0)</f>
        <v>1</v>
      </c>
    </row>
    <row r="1593">
      <c r="A1593" s="6" t="str">
        <f>IFERROR(__xludf.DUMMYFUNCTION("""COMPUTED_VALUE"""),"FM1910")</f>
        <v>FM1910</v>
      </c>
      <c r="B1593" s="6" t="str">
        <f>IFERROR(__xludf.DUMMYFUNCTION("""COMPUTED_VALUE"""),"RUN-COMB_2022-08-02_RFR-090")</f>
        <v>RUN-COMB_2022-08-02_RFR-090</v>
      </c>
      <c r="C1593" s="7">
        <f>VLOOKUP(B1593,'Run Reconcile'!A$2:B3090,2,FALSE)</f>
        <v>44775</v>
      </c>
      <c r="D1593" s="11">
        <f>IFERROR(__xludf.DUMMYFUNCTION("""COMPUTED_VALUE"""),44775.0)</f>
        <v>44775</v>
      </c>
      <c r="E1593" s="12">
        <f>IFERROR(__xludf.DUMMYFUNCTION("""COMPUTED_VALUE"""),0.3208564814813144)</f>
        <v>0.3208564815</v>
      </c>
      <c r="F1593" s="6" t="str">
        <f>IFERROR(__xludf.DUMMYFUNCTION("""COMPUTED_VALUE"""),"Negative")</f>
        <v>Negative</v>
      </c>
      <c r="G1593" s="6">
        <f>IFERROR(__xludf.DUMMYFUNCTION("""COMPUTED_VALUE"""),1.0)</f>
        <v>1</v>
      </c>
    </row>
    <row r="1594">
      <c r="A1594" s="6" t="str">
        <f>IFERROR(__xludf.DUMMYFUNCTION("""COMPUTED_VALUE"""),"FM1675")</f>
        <v>FM1675</v>
      </c>
      <c r="B1594" s="6" t="str">
        <f>IFERROR(__xludf.DUMMYFUNCTION("""COMPUTED_VALUE"""),"RUN-COMB_2022-08-02_RFR-090")</f>
        <v>RUN-COMB_2022-08-02_RFR-090</v>
      </c>
      <c r="C1594" s="7">
        <f>VLOOKUP(B1594,'Run Reconcile'!A$2:B3090,2,FALSE)</f>
        <v>44775</v>
      </c>
      <c r="D1594" s="11">
        <f>IFERROR(__xludf.DUMMYFUNCTION("""COMPUTED_VALUE"""),44775.0)</f>
        <v>44775</v>
      </c>
      <c r="E1594" s="12">
        <f>IFERROR(__xludf.DUMMYFUNCTION("""COMPUTED_VALUE"""),0.3212500000008731)</f>
        <v>0.32125</v>
      </c>
      <c r="F1594" s="6" t="str">
        <f>IFERROR(__xludf.DUMMYFUNCTION("""COMPUTED_VALUE"""),"Negative")</f>
        <v>Negative</v>
      </c>
      <c r="G1594" s="6">
        <f>IFERROR(__xludf.DUMMYFUNCTION("""COMPUTED_VALUE"""),1.0)</f>
        <v>1</v>
      </c>
    </row>
    <row r="1595">
      <c r="A1595" s="6" t="str">
        <f>IFERROR(__xludf.DUMMYFUNCTION("""COMPUTED_VALUE"""),"FM1283")</f>
        <v>FM1283</v>
      </c>
      <c r="B1595" s="6" t="str">
        <f>IFERROR(__xludf.DUMMYFUNCTION("""COMPUTED_VALUE"""),"RUN-COMB_2022-08-02_RFR-090")</f>
        <v>RUN-COMB_2022-08-02_RFR-090</v>
      </c>
      <c r="C1595" s="7">
        <f>VLOOKUP(B1595,'Run Reconcile'!A$2:B3090,2,FALSE)</f>
        <v>44775</v>
      </c>
      <c r="D1595" s="11">
        <f>IFERROR(__xludf.DUMMYFUNCTION("""COMPUTED_VALUE"""),44775.0)</f>
        <v>44775</v>
      </c>
      <c r="E1595" s="12">
        <f>IFERROR(__xludf.DUMMYFUNCTION("""COMPUTED_VALUE"""),0.3215856481474475)</f>
        <v>0.3215856481</v>
      </c>
      <c r="F1595" s="6" t="str">
        <f>IFERROR(__xludf.DUMMYFUNCTION("""COMPUTED_VALUE"""),"Negative")</f>
        <v>Negative</v>
      </c>
      <c r="G1595" s="6">
        <f>IFERROR(__xludf.DUMMYFUNCTION("""COMPUTED_VALUE"""),1.0)</f>
        <v>1</v>
      </c>
    </row>
    <row r="1596">
      <c r="A1596" s="6" t="str">
        <f>IFERROR(__xludf.DUMMYFUNCTION("""COMPUTED_VALUE"""),"FM1624")</f>
        <v>FM1624</v>
      </c>
      <c r="B1596" s="6" t="str">
        <f>IFERROR(__xludf.DUMMYFUNCTION("""COMPUTED_VALUE"""),"RUN-COMB_2022-08-02_RFR-090")</f>
        <v>RUN-COMB_2022-08-02_RFR-090</v>
      </c>
      <c r="C1596" s="7">
        <f>VLOOKUP(B1596,'Run Reconcile'!A$2:B3090,2,FALSE)</f>
        <v>44775</v>
      </c>
      <c r="D1596" s="11">
        <f>IFERROR(__xludf.DUMMYFUNCTION("""COMPUTED_VALUE"""),44775.0)</f>
        <v>44775</v>
      </c>
      <c r="E1596" s="12">
        <f>IFERROR(__xludf.DUMMYFUNCTION("""COMPUTED_VALUE"""),0.32188657407459687)</f>
        <v>0.3218865741</v>
      </c>
      <c r="F1596" s="6" t="str">
        <f>IFERROR(__xludf.DUMMYFUNCTION("""COMPUTED_VALUE"""),"Negative")</f>
        <v>Negative</v>
      </c>
      <c r="G1596" s="6">
        <f>IFERROR(__xludf.DUMMYFUNCTION("""COMPUTED_VALUE"""),1.0)</f>
        <v>1</v>
      </c>
    </row>
    <row r="1597">
      <c r="A1597" s="6" t="str">
        <f>IFERROR(__xludf.DUMMYFUNCTION("""COMPUTED_VALUE"""),"FM1282")</f>
        <v>FM1282</v>
      </c>
      <c r="B1597" s="6" t="str">
        <f>IFERROR(__xludf.DUMMYFUNCTION("""COMPUTED_VALUE"""),"RUN-COMB_2022-08-02_RFR-090")</f>
        <v>RUN-COMB_2022-08-02_RFR-090</v>
      </c>
      <c r="C1597" s="7">
        <f>VLOOKUP(B1597,'Run Reconcile'!A$2:B3090,2,FALSE)</f>
        <v>44775</v>
      </c>
      <c r="D1597" s="11">
        <f>IFERROR(__xludf.DUMMYFUNCTION("""COMPUTED_VALUE"""),44775.0)</f>
        <v>44775</v>
      </c>
      <c r="E1597" s="12">
        <f>IFERROR(__xludf.DUMMYFUNCTION("""COMPUTED_VALUE"""),0.32218750000174623)</f>
        <v>0.3221875</v>
      </c>
      <c r="F1597" s="6" t="str">
        <f>IFERROR(__xludf.DUMMYFUNCTION("""COMPUTED_VALUE"""),"Negative")</f>
        <v>Negative</v>
      </c>
      <c r="G1597" s="6">
        <f>IFERROR(__xludf.DUMMYFUNCTION("""COMPUTED_VALUE"""),1.0)</f>
        <v>1</v>
      </c>
    </row>
    <row r="1598">
      <c r="A1598" s="6" t="str">
        <f>IFERROR(__xludf.DUMMYFUNCTION("""COMPUTED_VALUE"""),"FM1269")</f>
        <v>FM1269</v>
      </c>
      <c r="B1598" s="6" t="str">
        <f>IFERROR(__xludf.DUMMYFUNCTION("""COMPUTED_VALUE"""),"RUN-COMB_2022-08-02_RFR-090")</f>
        <v>RUN-COMB_2022-08-02_RFR-090</v>
      </c>
      <c r="C1598" s="7">
        <f>VLOOKUP(B1598,'Run Reconcile'!A$2:B3090,2,FALSE)</f>
        <v>44775</v>
      </c>
      <c r="D1598" s="11">
        <f>IFERROR(__xludf.DUMMYFUNCTION("""COMPUTED_VALUE"""),44775.0)</f>
        <v>44775</v>
      </c>
      <c r="E1598" s="12">
        <f>IFERROR(__xludf.DUMMYFUNCTION("""COMPUTED_VALUE"""),0.32251157407517894)</f>
        <v>0.3225115741</v>
      </c>
      <c r="F1598" s="6" t="str">
        <f>IFERROR(__xludf.DUMMYFUNCTION("""COMPUTED_VALUE"""),"Negative")</f>
        <v>Negative</v>
      </c>
      <c r="G1598" s="6">
        <f>IFERROR(__xludf.DUMMYFUNCTION("""COMPUTED_VALUE"""),1.0)</f>
        <v>1</v>
      </c>
    </row>
    <row r="1599">
      <c r="A1599" s="6" t="str">
        <f>IFERROR(__xludf.DUMMYFUNCTION("""COMPUTED_VALUE"""),"FM1664")</f>
        <v>FM1664</v>
      </c>
      <c r="B1599" s="6" t="str">
        <f>IFERROR(__xludf.DUMMYFUNCTION("""COMPUTED_VALUE"""),"RUN-COMB_2022-08-03_APS-002")</f>
        <v>RUN-COMB_2022-08-03_APS-002</v>
      </c>
      <c r="C1599" s="7">
        <f>VLOOKUP(B1599,'Run Reconcile'!A$2:B3090,2,FALSE)</f>
        <v>44776</v>
      </c>
      <c r="D1599" s="11">
        <f>IFERROR(__xludf.DUMMYFUNCTION("""COMPUTED_VALUE"""),44776.0)</f>
        <v>44776</v>
      </c>
      <c r="E1599" s="12">
        <f>IFERROR(__xludf.DUMMYFUNCTION("""COMPUTED_VALUE"""),0.2911226851865649)</f>
        <v>0.2911226852</v>
      </c>
      <c r="F1599" s="6" t="str">
        <f>IFERROR(__xludf.DUMMYFUNCTION("""COMPUTED_VALUE"""),"Negative")</f>
        <v>Negative</v>
      </c>
      <c r="G1599" s="6">
        <f>IFERROR(__xludf.DUMMYFUNCTION("""COMPUTED_VALUE"""),1.0)</f>
        <v>1</v>
      </c>
    </row>
    <row r="1600">
      <c r="A1600" s="6" t="str">
        <f>IFERROR(__xludf.DUMMYFUNCTION("""COMPUTED_VALUE"""),"FM1888")</f>
        <v>FM1888</v>
      </c>
      <c r="B1600" s="6" t="str">
        <f>IFERROR(__xludf.DUMMYFUNCTION("""COMPUTED_VALUE"""),"RUN-COMB_2022-08-03_APS-002")</f>
        <v>RUN-COMB_2022-08-03_APS-002</v>
      </c>
      <c r="C1600" s="7">
        <f>VLOOKUP(B1600,'Run Reconcile'!A$2:B3090,2,FALSE)</f>
        <v>44776</v>
      </c>
      <c r="D1600" s="11">
        <f>IFERROR(__xludf.DUMMYFUNCTION("""COMPUTED_VALUE"""),44776.0)</f>
        <v>44776</v>
      </c>
      <c r="E1600" s="12">
        <f>IFERROR(__xludf.DUMMYFUNCTION("""COMPUTED_VALUE"""),0.29143518518685596)</f>
        <v>0.2914351852</v>
      </c>
      <c r="F1600" s="6" t="str">
        <f>IFERROR(__xludf.DUMMYFUNCTION("""COMPUTED_VALUE"""),"Negative")</f>
        <v>Negative</v>
      </c>
      <c r="G1600" s="6">
        <f>IFERROR(__xludf.DUMMYFUNCTION("""COMPUTED_VALUE"""),1.0)</f>
        <v>1</v>
      </c>
    </row>
    <row r="1601">
      <c r="A1601" s="6" t="str">
        <f>IFERROR(__xludf.DUMMYFUNCTION("""COMPUTED_VALUE"""),"FM1670")</f>
        <v>FM1670</v>
      </c>
      <c r="B1601" s="6" t="str">
        <f>IFERROR(__xludf.DUMMYFUNCTION("""COMPUTED_VALUE"""),"RUN-COMB_2022-08-03_APS-002")</f>
        <v>RUN-COMB_2022-08-03_APS-002</v>
      </c>
      <c r="C1601" s="7">
        <f>VLOOKUP(B1601,'Run Reconcile'!A$2:B3090,2,FALSE)</f>
        <v>44776</v>
      </c>
      <c r="D1601" s="11">
        <f>IFERROR(__xludf.DUMMYFUNCTION("""COMPUTED_VALUE"""),44776.0)</f>
        <v>44776</v>
      </c>
      <c r="E1601" s="12">
        <f>IFERROR(__xludf.DUMMYFUNCTION("""COMPUTED_VALUE"""),0.29170138888730435)</f>
        <v>0.2917013889</v>
      </c>
      <c r="F1601" s="6" t="str">
        <f>IFERROR(__xludf.DUMMYFUNCTION("""COMPUTED_VALUE"""),"Negative")</f>
        <v>Negative</v>
      </c>
      <c r="G1601" s="6">
        <f>IFERROR(__xludf.DUMMYFUNCTION("""COMPUTED_VALUE"""),1.0)</f>
        <v>1</v>
      </c>
    </row>
    <row r="1602">
      <c r="A1602" s="6" t="str">
        <f>IFERROR(__xludf.DUMMYFUNCTION("""COMPUTED_VALUE"""),"FM1902")</f>
        <v>FM1902</v>
      </c>
      <c r="B1602" s="6" t="str">
        <f>IFERROR(__xludf.DUMMYFUNCTION("""COMPUTED_VALUE"""),"RUN-COMB_2022-08-03_APS-002")</f>
        <v>RUN-COMB_2022-08-03_APS-002</v>
      </c>
      <c r="C1602" s="7">
        <f>VLOOKUP(B1602,'Run Reconcile'!A$2:B3090,2,FALSE)</f>
        <v>44776</v>
      </c>
      <c r="D1602" s="11">
        <f>IFERROR(__xludf.DUMMYFUNCTION("""COMPUTED_VALUE"""),44776.0)</f>
        <v>44776</v>
      </c>
      <c r="E1602" s="12">
        <f>IFERROR(__xludf.DUMMYFUNCTION("""COMPUTED_VALUE"""),0.2920023148144537)</f>
        <v>0.2920023148</v>
      </c>
      <c r="F1602" s="6" t="str">
        <f>IFERROR(__xludf.DUMMYFUNCTION("""COMPUTED_VALUE"""),"Negative")</f>
        <v>Negative</v>
      </c>
      <c r="G1602" s="6">
        <f>IFERROR(__xludf.DUMMYFUNCTION("""COMPUTED_VALUE"""),1.0)</f>
        <v>1</v>
      </c>
    </row>
    <row r="1603">
      <c r="A1603" s="6" t="str">
        <f>IFERROR(__xludf.DUMMYFUNCTION("""COMPUTED_VALUE"""),"FM1644")</f>
        <v>FM1644</v>
      </c>
      <c r="B1603" s="6" t="str">
        <f>IFERROR(__xludf.DUMMYFUNCTION("""COMPUTED_VALUE"""),"RUN-COMB_2022-08-03_APS-002")</f>
        <v>RUN-COMB_2022-08-03_APS-002</v>
      </c>
      <c r="C1603" s="7">
        <f>VLOOKUP(B1603,'Run Reconcile'!A$2:B3090,2,FALSE)</f>
        <v>44776</v>
      </c>
      <c r="D1603" s="11">
        <f>IFERROR(__xludf.DUMMYFUNCTION("""COMPUTED_VALUE"""),44776.0)</f>
        <v>44776</v>
      </c>
      <c r="E1603" s="12">
        <f>IFERROR(__xludf.DUMMYFUNCTION("""COMPUTED_VALUE"""),0.2923726851840911)</f>
        <v>0.2923726852</v>
      </c>
      <c r="F1603" s="6" t="str">
        <f>IFERROR(__xludf.DUMMYFUNCTION("""COMPUTED_VALUE"""),"Negative")</f>
        <v>Negative</v>
      </c>
      <c r="G1603" s="6">
        <f>IFERROR(__xludf.DUMMYFUNCTION("""COMPUTED_VALUE"""),1.0)</f>
        <v>1</v>
      </c>
    </row>
    <row r="1604">
      <c r="A1604" s="6" t="str">
        <f>IFERROR(__xludf.DUMMYFUNCTION("""COMPUTED_VALUE"""),"FM1673")</f>
        <v>FM1673</v>
      </c>
      <c r="B1604" s="6" t="str">
        <f>IFERROR(__xludf.DUMMYFUNCTION("""COMPUTED_VALUE"""),"RUN-COMB_2022-08-03_APS-002")</f>
        <v>RUN-COMB_2022-08-03_APS-002</v>
      </c>
      <c r="C1604" s="7">
        <f>VLOOKUP(B1604,'Run Reconcile'!A$2:B3090,2,FALSE)</f>
        <v>44776</v>
      </c>
      <c r="D1604" s="11">
        <f>IFERROR(__xludf.DUMMYFUNCTION("""COMPUTED_VALUE"""),44776.0)</f>
        <v>44776</v>
      </c>
      <c r="E1604" s="12">
        <f>IFERROR(__xludf.DUMMYFUNCTION("""COMPUTED_VALUE"""),0.2926620370380988)</f>
        <v>0.292662037</v>
      </c>
      <c r="F1604" s="6" t="str">
        <f>IFERROR(__xludf.DUMMYFUNCTION("""COMPUTED_VALUE"""),"Negative")</f>
        <v>Negative</v>
      </c>
      <c r="G1604" s="6">
        <f>IFERROR(__xludf.DUMMYFUNCTION("""COMPUTED_VALUE"""),1.0)</f>
        <v>1</v>
      </c>
    </row>
    <row r="1605">
      <c r="A1605" s="6" t="str">
        <f>IFERROR(__xludf.DUMMYFUNCTION("""COMPUTED_VALUE"""),"FM1645")</f>
        <v>FM1645</v>
      </c>
      <c r="B1605" s="6" t="str">
        <f>IFERROR(__xludf.DUMMYFUNCTION("""COMPUTED_VALUE"""),"RUN-COMB_2022-08-03_APS-002")</f>
        <v>RUN-COMB_2022-08-03_APS-002</v>
      </c>
      <c r="C1605" s="7">
        <f>VLOOKUP(B1605,'Run Reconcile'!A$2:B3090,2,FALSE)</f>
        <v>44776</v>
      </c>
      <c r="D1605" s="11">
        <f>IFERROR(__xludf.DUMMYFUNCTION("""COMPUTED_VALUE"""),44776.0)</f>
        <v>44776</v>
      </c>
      <c r="E1605" s="12">
        <f>IFERROR(__xludf.DUMMYFUNCTION("""COMPUTED_VALUE"""),0.2929629629616102)</f>
        <v>0.292962963</v>
      </c>
      <c r="F1605" s="6" t="str">
        <f>IFERROR(__xludf.DUMMYFUNCTION("""COMPUTED_VALUE"""),"Negative")</f>
        <v>Negative</v>
      </c>
      <c r="G1605" s="6">
        <f>IFERROR(__xludf.DUMMYFUNCTION("""COMPUTED_VALUE"""),1.0)</f>
        <v>1</v>
      </c>
    </row>
    <row r="1606">
      <c r="A1606" s="6" t="str">
        <f>IFERROR(__xludf.DUMMYFUNCTION("""COMPUTED_VALUE"""),"FM1287")</f>
        <v>FM1287</v>
      </c>
      <c r="B1606" s="6" t="str">
        <f>IFERROR(__xludf.DUMMYFUNCTION("""COMPUTED_VALUE"""),"RUN-COMB_2022-08-03_APS-002")</f>
        <v>RUN-COMB_2022-08-03_APS-002</v>
      </c>
      <c r="C1606" s="7">
        <f>VLOOKUP(B1606,'Run Reconcile'!A$2:B3090,2,FALSE)</f>
        <v>44776</v>
      </c>
      <c r="D1606" s="11">
        <f>IFERROR(__xludf.DUMMYFUNCTION("""COMPUTED_VALUE"""),44776.0)</f>
        <v>44776</v>
      </c>
      <c r="E1606" s="12">
        <f>IFERROR(__xludf.DUMMYFUNCTION("""COMPUTED_VALUE"""),0.2933796296310902)</f>
        <v>0.2933796296</v>
      </c>
      <c r="F1606" s="6" t="str">
        <f>IFERROR(__xludf.DUMMYFUNCTION("""COMPUTED_VALUE"""),"Negative")</f>
        <v>Negative</v>
      </c>
      <c r="G1606" s="6">
        <f>IFERROR(__xludf.DUMMYFUNCTION("""COMPUTED_VALUE"""),1.0)</f>
        <v>1</v>
      </c>
    </row>
    <row r="1607">
      <c r="A1607" s="6" t="str">
        <f>IFERROR(__xludf.DUMMYFUNCTION("""COMPUTED_VALUE"""),"FM1674")</f>
        <v>FM1674</v>
      </c>
      <c r="B1607" s="6" t="str">
        <f>IFERROR(__xludf.DUMMYFUNCTION("""COMPUTED_VALUE"""),"RUN-COMB_2022-08-03_APS-002")</f>
        <v>RUN-COMB_2022-08-03_APS-002</v>
      </c>
      <c r="C1607" s="7">
        <f>VLOOKUP(B1607,'Run Reconcile'!A$2:B3090,2,FALSE)</f>
        <v>44776</v>
      </c>
      <c r="D1607" s="11">
        <f>IFERROR(__xludf.DUMMYFUNCTION("""COMPUTED_VALUE"""),44776.0)</f>
        <v>44776</v>
      </c>
      <c r="E1607" s="12">
        <f>IFERROR(__xludf.DUMMYFUNCTION("""COMPUTED_VALUE"""),0.2936805555546016)</f>
        <v>0.2936805556</v>
      </c>
      <c r="F1607" s="6" t="str">
        <f>IFERROR(__xludf.DUMMYFUNCTION("""COMPUTED_VALUE"""),"Negative")</f>
        <v>Negative</v>
      </c>
      <c r="G1607" s="6">
        <f>IFERROR(__xludf.DUMMYFUNCTION("""COMPUTED_VALUE"""),1.0)</f>
        <v>1</v>
      </c>
    </row>
    <row r="1608">
      <c r="A1608" s="6" t="str">
        <f>IFERROR(__xludf.DUMMYFUNCTION("""COMPUTED_VALUE"""),"FM1639")</f>
        <v>FM1639</v>
      </c>
      <c r="B1608" s="6" t="str">
        <f>IFERROR(__xludf.DUMMYFUNCTION("""COMPUTED_VALUE"""),"RUN-COMB_2022-08-03_APS-002")</f>
        <v>RUN-COMB_2022-08-03_APS-002</v>
      </c>
      <c r="C1608" s="7">
        <f>VLOOKUP(B1608,'Run Reconcile'!A$2:B3090,2,FALSE)</f>
        <v>44776</v>
      </c>
      <c r="D1608" s="11">
        <f>IFERROR(__xludf.DUMMYFUNCTION("""COMPUTED_VALUE"""),44776.0)</f>
        <v>44776</v>
      </c>
      <c r="E1608" s="12">
        <f>IFERROR(__xludf.DUMMYFUNCTION("""COMPUTED_VALUE"""),0.2941435185202863)</f>
        <v>0.2941435185</v>
      </c>
      <c r="F1608" s="6" t="str">
        <f>IFERROR(__xludf.DUMMYFUNCTION("""COMPUTED_VALUE"""),"Negative")</f>
        <v>Negative</v>
      </c>
      <c r="G1608" s="6">
        <f>IFERROR(__xludf.DUMMYFUNCTION("""COMPUTED_VALUE"""),1.0)</f>
        <v>1</v>
      </c>
    </row>
    <row r="1609">
      <c r="A1609" s="6" t="str">
        <f>IFERROR(__xludf.DUMMYFUNCTION("""COMPUTED_VALUE"""),"FM1668")</f>
        <v>FM1668</v>
      </c>
      <c r="B1609" s="6" t="str">
        <f>IFERROR(__xludf.DUMMYFUNCTION("""COMPUTED_VALUE"""),"RUN-COMB_2022-08-03_APS-002")</f>
        <v>RUN-COMB_2022-08-03_APS-002</v>
      </c>
      <c r="C1609" s="7">
        <f>VLOOKUP(B1609,'Run Reconcile'!A$2:B3090,2,FALSE)</f>
        <v>44776</v>
      </c>
      <c r="D1609" s="11">
        <f>IFERROR(__xludf.DUMMYFUNCTION("""COMPUTED_VALUE"""),44776.0)</f>
        <v>44776</v>
      </c>
      <c r="E1609" s="12">
        <f>IFERROR(__xludf.DUMMYFUNCTION("""COMPUTED_VALUE"""),0.2944444444437977)</f>
        <v>0.2944444444</v>
      </c>
      <c r="F1609" s="6" t="str">
        <f>IFERROR(__xludf.DUMMYFUNCTION("""COMPUTED_VALUE"""),"Negative")</f>
        <v>Negative</v>
      </c>
      <c r="G1609" s="6">
        <f>IFERROR(__xludf.DUMMYFUNCTION("""COMPUTED_VALUE"""),1.0)</f>
        <v>1</v>
      </c>
    </row>
    <row r="1610">
      <c r="A1610" s="6" t="str">
        <f>IFERROR(__xludf.DUMMYFUNCTION("""COMPUTED_VALUE"""),"FM1625")</f>
        <v>FM1625</v>
      </c>
      <c r="B1610" s="6" t="str">
        <f>IFERROR(__xludf.DUMMYFUNCTION("""COMPUTED_VALUE"""),"RUN-COMB_2022-08-03_APS-002")</f>
        <v>RUN-COMB_2022-08-03_APS-002</v>
      </c>
      <c r="C1610" s="7">
        <f>VLOOKUP(B1610,'Run Reconcile'!A$2:B3090,2,FALSE)</f>
        <v>44776</v>
      </c>
      <c r="D1610" s="11">
        <f>IFERROR(__xludf.DUMMYFUNCTION("""COMPUTED_VALUE"""),44776.0)</f>
        <v>44776</v>
      </c>
      <c r="E1610" s="12">
        <f>IFERROR(__xludf.DUMMYFUNCTION("""COMPUTED_VALUE"""),0.29486111110963975)</f>
        <v>0.2948611111</v>
      </c>
      <c r="F1610" s="6" t="str">
        <f>IFERROR(__xludf.DUMMYFUNCTION("""COMPUTED_VALUE"""),"Negative")</f>
        <v>Negative</v>
      </c>
      <c r="G1610" s="6">
        <f>IFERROR(__xludf.DUMMYFUNCTION("""COMPUTED_VALUE"""),1.0)</f>
        <v>1</v>
      </c>
    </row>
    <row r="1611">
      <c r="A1611" s="6" t="str">
        <f>IFERROR(__xludf.DUMMYFUNCTION("""COMPUTED_VALUE"""),"FM1879")</f>
        <v>FM1879</v>
      </c>
      <c r="B1611" s="6" t="str">
        <f>IFERROR(__xludf.DUMMYFUNCTION("""COMPUTED_VALUE"""),"RUN-COMB_2022-08-03_APS-002")</f>
        <v>RUN-COMB_2022-08-03_APS-002</v>
      </c>
      <c r="C1611" s="7">
        <f>VLOOKUP(B1611,'Run Reconcile'!A$2:B3090,2,FALSE)</f>
        <v>44776</v>
      </c>
      <c r="D1611" s="11">
        <f>IFERROR(__xludf.DUMMYFUNCTION("""COMPUTED_VALUE"""),44776.0)</f>
        <v>44776</v>
      </c>
      <c r="E1611" s="12">
        <f>IFERROR(__xludf.DUMMYFUNCTION("""COMPUTED_VALUE"""),0.2952777777791198)</f>
        <v>0.2952777778</v>
      </c>
      <c r="F1611" s="6" t="str">
        <f>IFERROR(__xludf.DUMMYFUNCTION("""COMPUTED_VALUE"""),"Negative")</f>
        <v>Negative</v>
      </c>
      <c r="G1611" s="6">
        <f>IFERROR(__xludf.DUMMYFUNCTION("""COMPUTED_VALUE"""),1.0)</f>
        <v>1</v>
      </c>
    </row>
    <row r="1612">
      <c r="A1612" s="6" t="str">
        <f>IFERROR(__xludf.DUMMYFUNCTION("""COMPUTED_VALUE"""),"FM3015")</f>
        <v>FM3015</v>
      </c>
      <c r="B1612" s="6" t="str">
        <f>IFERROR(__xludf.DUMMYFUNCTION("""COMPUTED_VALUE"""),"RUN-COMB_2022-08-08_RFR-092")</f>
        <v>RUN-COMB_2022-08-08_RFR-092</v>
      </c>
      <c r="C1612" s="7">
        <f>VLOOKUP(B1612,'Run Reconcile'!A$2:B3090,2,FALSE)</f>
        <v>44781</v>
      </c>
      <c r="D1612" s="11">
        <f>IFERROR(__xludf.DUMMYFUNCTION("""COMPUTED_VALUE"""),44781.0)</f>
        <v>44781</v>
      </c>
      <c r="E1612" s="12">
        <f>IFERROR(__xludf.DUMMYFUNCTION("""COMPUTED_VALUE"""),0.7484953703715291)</f>
        <v>0.7484953704</v>
      </c>
      <c r="F1612" s="6" t="str">
        <f>IFERROR(__xludf.DUMMYFUNCTION("""COMPUTED_VALUE"""),"Negative")</f>
        <v>Negative</v>
      </c>
      <c r="G1612" s="6">
        <f>IFERROR(__xludf.DUMMYFUNCTION("""COMPUTED_VALUE"""),1.0)</f>
        <v>1</v>
      </c>
    </row>
    <row r="1613">
      <c r="A1613" s="6" t="str">
        <f>IFERROR(__xludf.DUMMYFUNCTION("""COMPUTED_VALUE"""),"FM3027")</f>
        <v>FM3027</v>
      </c>
      <c r="B1613" s="6" t="str">
        <f>IFERROR(__xludf.DUMMYFUNCTION("""COMPUTED_VALUE"""),"RUN-COMB_2022-08-08_RFR-092")</f>
        <v>RUN-COMB_2022-08-08_RFR-092</v>
      </c>
      <c r="C1613" s="7">
        <f>VLOOKUP(B1613,'Run Reconcile'!A$2:B3090,2,FALSE)</f>
        <v>44781</v>
      </c>
      <c r="D1613" s="11">
        <f>IFERROR(__xludf.DUMMYFUNCTION("""COMPUTED_VALUE"""),44781.0)</f>
        <v>44781</v>
      </c>
      <c r="E1613" s="12">
        <f>IFERROR(__xludf.DUMMYFUNCTION("""COMPUTED_VALUE"""),0.7488310185181035)</f>
        <v>0.7488310185</v>
      </c>
      <c r="F1613" s="6" t="str">
        <f>IFERROR(__xludf.DUMMYFUNCTION("""COMPUTED_VALUE"""),"Negative")</f>
        <v>Negative</v>
      </c>
      <c r="G1613" s="6">
        <f>IFERROR(__xludf.DUMMYFUNCTION("""COMPUTED_VALUE"""),1.0)</f>
        <v>1</v>
      </c>
    </row>
    <row r="1614">
      <c r="A1614" s="6" t="str">
        <f>IFERROR(__xludf.DUMMYFUNCTION("""COMPUTED_VALUE"""),"FM3065")</f>
        <v>FM3065</v>
      </c>
      <c r="B1614" s="6" t="str">
        <f>IFERROR(__xludf.DUMMYFUNCTION("""COMPUTED_VALUE"""),"RUN-COMB_2022-08-08_RFR-092")</f>
        <v>RUN-COMB_2022-08-08_RFR-092</v>
      </c>
      <c r="C1614" s="7">
        <f>VLOOKUP(B1614,'Run Reconcile'!A$2:B3090,2,FALSE)</f>
        <v>44781</v>
      </c>
      <c r="D1614" s="11">
        <f>IFERROR(__xludf.DUMMYFUNCTION("""COMPUTED_VALUE"""),44781.0)</f>
        <v>44781</v>
      </c>
      <c r="E1614" s="12">
        <f>IFERROR(__xludf.DUMMYFUNCTION("""COMPUTED_VALUE"""),0.7491087962953316)</f>
        <v>0.7491087963</v>
      </c>
      <c r="F1614" s="6" t="str">
        <f>IFERROR(__xludf.DUMMYFUNCTION("""COMPUTED_VALUE"""),"Negative")</f>
        <v>Negative</v>
      </c>
      <c r="G1614" s="6">
        <f>IFERROR(__xludf.DUMMYFUNCTION("""COMPUTED_VALUE"""),1.0)</f>
        <v>1</v>
      </c>
    </row>
    <row r="1615">
      <c r="A1615" s="6" t="str">
        <f>IFERROR(__xludf.DUMMYFUNCTION("""COMPUTED_VALUE"""),"FM3042")</f>
        <v>FM3042</v>
      </c>
      <c r="B1615" s="6" t="str">
        <f>IFERROR(__xludf.DUMMYFUNCTION("""COMPUTED_VALUE"""),"RUN-COMB_2022-08-08_RFR-092")</f>
        <v>RUN-COMB_2022-08-08_RFR-092</v>
      </c>
      <c r="C1615" s="7">
        <f>VLOOKUP(B1615,'Run Reconcile'!A$2:B3090,2,FALSE)</f>
        <v>44781</v>
      </c>
      <c r="D1615" s="11">
        <f>IFERROR(__xludf.DUMMYFUNCTION("""COMPUTED_VALUE"""),44781.0)</f>
        <v>44781</v>
      </c>
      <c r="E1615" s="12">
        <f>IFERROR(__xludf.DUMMYFUNCTION("""COMPUTED_VALUE"""),0.7494675925918273)</f>
        <v>0.7494675926</v>
      </c>
      <c r="F1615" s="6" t="str">
        <f>IFERROR(__xludf.DUMMYFUNCTION("""COMPUTED_VALUE"""),"Negative")</f>
        <v>Negative</v>
      </c>
      <c r="G1615" s="6">
        <f>IFERROR(__xludf.DUMMYFUNCTION("""COMPUTED_VALUE"""),1.0)</f>
        <v>1</v>
      </c>
    </row>
    <row r="1616">
      <c r="A1616" s="6" t="str">
        <f>IFERROR(__xludf.DUMMYFUNCTION("""COMPUTED_VALUE"""),"FM3077")</f>
        <v>FM3077</v>
      </c>
      <c r="B1616" s="6" t="str">
        <f>IFERROR(__xludf.DUMMYFUNCTION("""COMPUTED_VALUE"""),"RUN-COMB_2022-08-08_RFR-092")</f>
        <v>RUN-COMB_2022-08-08_RFR-092</v>
      </c>
      <c r="C1616" s="7">
        <f>VLOOKUP(B1616,'Run Reconcile'!A$2:B3090,2,FALSE)</f>
        <v>44781</v>
      </c>
      <c r="D1616" s="11">
        <f>IFERROR(__xludf.DUMMYFUNCTION("""COMPUTED_VALUE"""),44781.0)</f>
        <v>44781</v>
      </c>
      <c r="E1616" s="12">
        <f>IFERROR(__xludf.DUMMYFUNCTION("""COMPUTED_VALUE"""),0.749756944445835)</f>
        <v>0.7497569444</v>
      </c>
      <c r="F1616" s="6" t="str">
        <f>IFERROR(__xludf.DUMMYFUNCTION("""COMPUTED_VALUE"""),"Negative")</f>
        <v>Negative</v>
      </c>
      <c r="G1616" s="6">
        <f>IFERROR(__xludf.DUMMYFUNCTION("""COMPUTED_VALUE"""),1.0)</f>
        <v>1</v>
      </c>
    </row>
    <row r="1617">
      <c r="A1617" s="6" t="str">
        <f>IFERROR(__xludf.DUMMYFUNCTION("""COMPUTED_VALUE"""),"FM3089")</f>
        <v>FM3089</v>
      </c>
      <c r="B1617" s="6" t="str">
        <f>IFERROR(__xludf.DUMMYFUNCTION("""COMPUTED_VALUE"""),"RUN-COMB_2022-08-08_RFR-092")</f>
        <v>RUN-COMB_2022-08-08_RFR-092</v>
      </c>
      <c r="C1617" s="7">
        <f>VLOOKUP(B1617,'Run Reconcile'!A$2:B3090,2,FALSE)</f>
        <v>44781</v>
      </c>
      <c r="D1617" s="11">
        <f>IFERROR(__xludf.DUMMYFUNCTION("""COMPUTED_VALUE"""),44781.0)</f>
        <v>44781</v>
      </c>
      <c r="E1617" s="12">
        <f>IFERROR(__xludf.DUMMYFUNCTION("""COMPUTED_VALUE"""),0.750104166665551)</f>
        <v>0.7501041667</v>
      </c>
      <c r="F1617" s="6" t="str">
        <f>IFERROR(__xludf.DUMMYFUNCTION("""COMPUTED_VALUE"""),"Negative")</f>
        <v>Negative</v>
      </c>
      <c r="G1617" s="6">
        <f>IFERROR(__xludf.DUMMYFUNCTION("""COMPUTED_VALUE"""),1.0)</f>
        <v>1</v>
      </c>
    </row>
    <row r="1618">
      <c r="A1618" s="6" t="str">
        <f>IFERROR(__xludf.DUMMYFUNCTION("""COMPUTED_VALUE"""),"FM3006")</f>
        <v>FM3006</v>
      </c>
      <c r="B1618" s="6" t="str">
        <f>IFERROR(__xludf.DUMMYFUNCTION("""COMPUTED_VALUE"""),"RUN-COMB_2022-08-08_RFR-092")</f>
        <v>RUN-COMB_2022-08-08_RFR-092</v>
      </c>
      <c r="C1618" s="7">
        <f>VLOOKUP(B1618,'Run Reconcile'!A$2:B3090,2,FALSE)</f>
        <v>44781</v>
      </c>
      <c r="D1618" s="11">
        <f>IFERROR(__xludf.DUMMYFUNCTION("""COMPUTED_VALUE"""),44781.0)</f>
        <v>44781</v>
      </c>
      <c r="E1618" s="12">
        <f>IFERROR(__xludf.DUMMYFUNCTION("""COMPUTED_VALUE"""),0.7504629629620467)</f>
        <v>0.750462963</v>
      </c>
      <c r="F1618" s="6" t="str">
        <f>IFERROR(__xludf.DUMMYFUNCTION("""COMPUTED_VALUE"""),"Negative")</f>
        <v>Negative</v>
      </c>
      <c r="G1618" s="6">
        <f>IFERROR(__xludf.DUMMYFUNCTION("""COMPUTED_VALUE"""),1.0)</f>
        <v>1</v>
      </c>
    </row>
    <row r="1619">
      <c r="A1619" s="6" t="str">
        <f>IFERROR(__xludf.DUMMYFUNCTION("""COMPUTED_VALUE"""),"FM3053")</f>
        <v>FM3053</v>
      </c>
      <c r="B1619" s="6" t="str">
        <f>IFERROR(__xludf.DUMMYFUNCTION("""COMPUTED_VALUE"""),"RUN-COMB_2022-08-08_RFR-092")</f>
        <v>RUN-COMB_2022-08-08_RFR-092</v>
      </c>
      <c r="C1619" s="7">
        <f>VLOOKUP(B1619,'Run Reconcile'!A$2:B3090,2,FALSE)</f>
        <v>44781</v>
      </c>
      <c r="D1619" s="11">
        <f>IFERROR(__xludf.DUMMYFUNCTION("""COMPUTED_VALUE"""),44781.0)</f>
        <v>44781</v>
      </c>
      <c r="E1619" s="12">
        <f>IFERROR(__xludf.DUMMYFUNCTION("""COMPUTED_VALUE"""),0.7507986111122591)</f>
        <v>0.7507986111</v>
      </c>
      <c r="F1619" s="6" t="str">
        <f>IFERROR(__xludf.DUMMYFUNCTION("""COMPUTED_VALUE"""),"Negative")</f>
        <v>Negative</v>
      </c>
      <c r="G1619" s="6">
        <f>IFERROR(__xludf.DUMMYFUNCTION("""COMPUTED_VALUE"""),1.0)</f>
        <v>1</v>
      </c>
    </row>
    <row r="1620">
      <c r="A1620" s="6" t="str">
        <f>IFERROR(__xludf.DUMMYFUNCTION("""COMPUTED_VALUE"""),"FM3005")</f>
        <v>FM3005</v>
      </c>
      <c r="B1620" s="6" t="str">
        <f>IFERROR(__xludf.DUMMYFUNCTION("""COMPUTED_VALUE"""),"RUN-COMB_2022-08-08_RFR-092")</f>
        <v>RUN-COMB_2022-08-08_RFR-092</v>
      </c>
      <c r="C1620" s="7">
        <f>VLOOKUP(B1620,'Run Reconcile'!A$2:B3090,2,FALSE)</f>
        <v>44781</v>
      </c>
      <c r="D1620" s="11">
        <f>IFERROR(__xludf.DUMMYFUNCTION("""COMPUTED_VALUE"""),44781.0)</f>
        <v>44781</v>
      </c>
      <c r="E1620" s="12">
        <f>IFERROR(__xludf.DUMMYFUNCTION("""COMPUTED_VALUE"""),0.752789351852698)</f>
        <v>0.7527893519</v>
      </c>
      <c r="F1620" s="6" t="str">
        <f>IFERROR(__xludf.DUMMYFUNCTION("""COMPUTED_VALUE"""),"Negative")</f>
        <v>Negative</v>
      </c>
      <c r="G1620" s="6">
        <f>IFERROR(__xludf.DUMMYFUNCTION("""COMPUTED_VALUE"""),1.0)</f>
        <v>1</v>
      </c>
    </row>
    <row r="1621">
      <c r="A1621" s="6" t="str">
        <f>IFERROR(__xludf.DUMMYFUNCTION("""COMPUTED_VALUE"""),"FM3026")</f>
        <v>FM3026</v>
      </c>
      <c r="B1621" s="6" t="str">
        <f>IFERROR(__xludf.DUMMYFUNCTION("""COMPUTED_VALUE"""),"RUN-COMB_2022-08-08_RFR-092")</f>
        <v>RUN-COMB_2022-08-08_RFR-092</v>
      </c>
      <c r="C1621" s="7">
        <f>VLOOKUP(B1621,'Run Reconcile'!A$2:B3090,2,FALSE)</f>
        <v>44781</v>
      </c>
      <c r="D1621" s="11">
        <f>IFERROR(__xludf.DUMMYFUNCTION("""COMPUTED_VALUE"""),44781.0)</f>
        <v>44781</v>
      </c>
      <c r="E1621" s="12">
        <f>IFERROR(__xludf.DUMMYFUNCTION("""COMPUTED_VALUE"""),0.7531018518529891)</f>
        <v>0.7531018519</v>
      </c>
      <c r="F1621" s="6" t="str">
        <f>IFERROR(__xludf.DUMMYFUNCTION("""COMPUTED_VALUE"""),"Negative")</f>
        <v>Negative</v>
      </c>
      <c r="G1621" s="6">
        <f>IFERROR(__xludf.DUMMYFUNCTION("""COMPUTED_VALUE"""),1.0)</f>
        <v>1</v>
      </c>
    </row>
    <row r="1622">
      <c r="A1622" s="6" t="str">
        <f>IFERROR(__xludf.DUMMYFUNCTION("""COMPUTED_VALUE"""),"FM3007")</f>
        <v>FM3007</v>
      </c>
      <c r="B1622" s="6" t="str">
        <f>IFERROR(__xludf.DUMMYFUNCTION("""COMPUTED_VALUE"""),"RUN-COMB_2022-08-08_RFR-092")</f>
        <v>RUN-COMB_2022-08-08_RFR-092</v>
      </c>
      <c r="C1622" s="7">
        <f>VLOOKUP(B1622,'Run Reconcile'!A$2:B3090,2,FALSE)</f>
        <v>44781</v>
      </c>
      <c r="D1622" s="11">
        <f>IFERROR(__xludf.DUMMYFUNCTION("""COMPUTED_VALUE"""),44781.0)</f>
        <v>44781</v>
      </c>
      <c r="E1622" s="12">
        <f>IFERROR(__xludf.DUMMYFUNCTION("""COMPUTED_VALUE"""),0.7534490740727051)</f>
        <v>0.7534490741</v>
      </c>
      <c r="F1622" s="6" t="str">
        <f>IFERROR(__xludf.DUMMYFUNCTION("""COMPUTED_VALUE"""),"Negative")</f>
        <v>Negative</v>
      </c>
      <c r="G1622" s="6">
        <f>IFERROR(__xludf.DUMMYFUNCTION("""COMPUTED_VALUE"""),1.0)</f>
        <v>1</v>
      </c>
    </row>
    <row r="1623">
      <c r="A1623" s="6" t="str">
        <f>IFERROR(__xludf.DUMMYFUNCTION("""COMPUTED_VALUE"""),"FM3044")</f>
        <v>FM3044</v>
      </c>
      <c r="B1623" s="6" t="str">
        <f>IFERROR(__xludf.DUMMYFUNCTION("""COMPUTED_VALUE"""),"RUN-COMB_2022-08-08_RFR-092")</f>
        <v>RUN-COMB_2022-08-08_RFR-092</v>
      </c>
      <c r="C1623" s="7">
        <f>VLOOKUP(B1623,'Run Reconcile'!A$2:B3090,2,FALSE)</f>
        <v>44781</v>
      </c>
      <c r="D1623" s="11">
        <f>IFERROR(__xludf.DUMMYFUNCTION("""COMPUTED_VALUE"""),44781.0)</f>
        <v>44781</v>
      </c>
      <c r="E1623" s="12">
        <f>IFERROR(__xludf.DUMMYFUNCTION("""COMPUTED_VALUE"""),0.7537615740729962)</f>
        <v>0.7537615741</v>
      </c>
      <c r="F1623" s="6" t="str">
        <f>IFERROR(__xludf.DUMMYFUNCTION("""COMPUTED_VALUE"""),"Negative")</f>
        <v>Negative</v>
      </c>
      <c r="G1623" s="6">
        <f>IFERROR(__xludf.DUMMYFUNCTION("""COMPUTED_VALUE"""),1.0)</f>
        <v>1</v>
      </c>
    </row>
    <row r="1624">
      <c r="A1624" s="6" t="str">
        <f>IFERROR(__xludf.DUMMYFUNCTION("""COMPUTED_VALUE"""),"FM3060")</f>
        <v>FM3060</v>
      </c>
      <c r="B1624" s="6" t="str">
        <f>IFERROR(__xludf.DUMMYFUNCTION("""COMPUTED_VALUE"""),"RUN-COMB_2022-08-08_RFR-092")</f>
        <v>RUN-COMB_2022-08-08_RFR-092</v>
      </c>
      <c r="C1624" s="7">
        <f>VLOOKUP(B1624,'Run Reconcile'!A$2:B3090,2,FALSE)</f>
        <v>44781</v>
      </c>
      <c r="D1624" s="11">
        <f>IFERROR(__xludf.DUMMYFUNCTION("""COMPUTED_VALUE"""),44781.0)</f>
        <v>44781</v>
      </c>
      <c r="E1624" s="12">
        <f>IFERROR(__xludf.DUMMYFUNCTION("""COMPUTED_VALUE"""),0.7541087962963502)</f>
        <v>0.7541087963</v>
      </c>
      <c r="F1624" s="6" t="str">
        <f>IFERROR(__xludf.DUMMYFUNCTION("""COMPUTED_VALUE"""),"Negative")</f>
        <v>Negative</v>
      </c>
      <c r="G1624" s="6">
        <f>IFERROR(__xludf.DUMMYFUNCTION("""COMPUTED_VALUE"""),1.0)</f>
        <v>1</v>
      </c>
    </row>
    <row r="1625">
      <c r="A1625" s="6" t="str">
        <f>IFERROR(__xludf.DUMMYFUNCTION("""COMPUTED_VALUE"""),"FM3097")</f>
        <v>FM3097</v>
      </c>
      <c r="B1625" s="6" t="str">
        <f>IFERROR(__xludf.DUMMYFUNCTION("""COMPUTED_VALUE"""),"RUN-COMB_2022-08-08_RFR-092")</f>
        <v>RUN-COMB_2022-08-08_RFR-092</v>
      </c>
      <c r="C1625" s="7">
        <f>VLOOKUP(B1625,'Run Reconcile'!A$2:B3090,2,FALSE)</f>
        <v>44781</v>
      </c>
      <c r="D1625" s="11">
        <f>IFERROR(__xludf.DUMMYFUNCTION("""COMPUTED_VALUE"""),44781.0)</f>
        <v>44781</v>
      </c>
      <c r="E1625" s="12">
        <f>IFERROR(__xludf.DUMMYFUNCTION("""COMPUTED_VALUE"""),0.7545601851852552)</f>
        <v>0.7545601852</v>
      </c>
      <c r="F1625" s="6" t="str">
        <f>IFERROR(__xludf.DUMMYFUNCTION("""COMPUTED_VALUE"""),"Negative")</f>
        <v>Negative</v>
      </c>
      <c r="G1625" s="6">
        <f>IFERROR(__xludf.DUMMYFUNCTION("""COMPUTED_VALUE"""),1.0)</f>
        <v>1</v>
      </c>
    </row>
    <row r="1626">
      <c r="A1626" s="6" t="str">
        <f>IFERROR(__xludf.DUMMYFUNCTION("""COMPUTED_VALUE"""),"FM3048")</f>
        <v>FM3048</v>
      </c>
      <c r="B1626" s="6" t="str">
        <f>IFERROR(__xludf.DUMMYFUNCTION("""COMPUTED_VALUE"""),"RUN-COMB_2022-08-08_RFR-092")</f>
        <v>RUN-COMB_2022-08-08_RFR-092</v>
      </c>
      <c r="C1626" s="7">
        <f>VLOOKUP(B1626,'Run Reconcile'!A$2:B3090,2,FALSE)</f>
        <v>44781</v>
      </c>
      <c r="D1626" s="11">
        <f>IFERROR(__xludf.DUMMYFUNCTION("""COMPUTED_VALUE"""),44781.0)</f>
        <v>44781</v>
      </c>
      <c r="E1626" s="12">
        <f>IFERROR(__xludf.DUMMYFUNCTION("""COMPUTED_VALUE"""),0.7559490740750334)</f>
        <v>0.7559490741</v>
      </c>
      <c r="F1626" s="6" t="str">
        <f>IFERROR(__xludf.DUMMYFUNCTION("""COMPUTED_VALUE"""),"Negative")</f>
        <v>Negative</v>
      </c>
      <c r="G1626" s="6">
        <f>IFERROR(__xludf.DUMMYFUNCTION("""COMPUTED_VALUE"""),1.0)</f>
        <v>1</v>
      </c>
    </row>
    <row r="1627">
      <c r="A1627" s="6" t="str">
        <f>IFERROR(__xludf.DUMMYFUNCTION("""COMPUTED_VALUE"""),"FM3099")</f>
        <v>FM3099</v>
      </c>
      <c r="B1627" s="6" t="str">
        <f>IFERROR(__xludf.DUMMYFUNCTION("""COMPUTED_VALUE"""),"RUN-COMB_2022-08-08_RFR-092")</f>
        <v>RUN-COMB_2022-08-08_RFR-092</v>
      </c>
      <c r="C1627" s="7">
        <f>VLOOKUP(B1627,'Run Reconcile'!A$2:B3090,2,FALSE)</f>
        <v>44781</v>
      </c>
      <c r="D1627" s="11">
        <f>IFERROR(__xludf.DUMMYFUNCTION("""COMPUTED_VALUE"""),44781.0)</f>
        <v>44781</v>
      </c>
      <c r="E1627" s="12">
        <f>IFERROR(__xludf.DUMMYFUNCTION("""COMPUTED_VALUE"""),0.7562499999985448)</f>
        <v>0.75625</v>
      </c>
      <c r="F1627" s="6" t="str">
        <f>IFERROR(__xludf.DUMMYFUNCTION("""COMPUTED_VALUE"""),"Negative")</f>
        <v>Negative</v>
      </c>
      <c r="G1627" s="6">
        <f>IFERROR(__xludf.DUMMYFUNCTION("""COMPUTED_VALUE"""),1.0)</f>
        <v>1</v>
      </c>
    </row>
    <row r="1628">
      <c r="A1628" s="6" t="str">
        <f>IFERROR(__xludf.DUMMYFUNCTION("""COMPUTED_VALUE"""),"FM3084")</f>
        <v>FM3084</v>
      </c>
      <c r="B1628" s="6" t="str">
        <f>IFERROR(__xludf.DUMMYFUNCTION("""COMPUTED_VALUE"""),"RUN-COMB_2022-08-08_RFR-092")</f>
        <v>RUN-COMB_2022-08-08_RFR-092</v>
      </c>
      <c r="C1628" s="7">
        <f>VLOOKUP(B1628,'Run Reconcile'!A$2:B3090,2,FALSE)</f>
        <v>44781</v>
      </c>
      <c r="D1628" s="11">
        <f>IFERROR(__xludf.DUMMYFUNCTION("""COMPUTED_VALUE"""),44781.0)</f>
        <v>44781</v>
      </c>
      <c r="E1628" s="12">
        <f>IFERROR(__xludf.DUMMYFUNCTION("""COMPUTED_VALUE"""),0.7565046296294895)</f>
        <v>0.7565046296</v>
      </c>
      <c r="F1628" s="6" t="str">
        <f>IFERROR(__xludf.DUMMYFUNCTION("""COMPUTED_VALUE"""),"Negative")</f>
        <v>Negative</v>
      </c>
      <c r="G1628" s="6">
        <f>IFERROR(__xludf.DUMMYFUNCTION("""COMPUTED_VALUE"""),1.0)</f>
        <v>1</v>
      </c>
    </row>
    <row r="1629">
      <c r="A1629" s="6" t="str">
        <f>IFERROR(__xludf.DUMMYFUNCTION("""COMPUTED_VALUE"""),"FM3031")</f>
        <v>FM3031</v>
      </c>
      <c r="B1629" s="6" t="str">
        <f>IFERROR(__xludf.DUMMYFUNCTION("""COMPUTED_VALUE"""),"RUN-COMB_2022-08-08_RFR-092")</f>
        <v>RUN-COMB_2022-08-08_RFR-092</v>
      </c>
      <c r="C1629" s="7">
        <f>VLOOKUP(B1629,'Run Reconcile'!A$2:B3090,2,FALSE)</f>
        <v>44781</v>
      </c>
      <c r="D1629" s="11">
        <f>IFERROR(__xludf.DUMMYFUNCTION("""COMPUTED_VALUE"""),44781.0)</f>
        <v>44781</v>
      </c>
      <c r="E1629" s="12">
        <f>IFERROR(__xludf.DUMMYFUNCTION("""COMPUTED_VALUE"""),0.7568749999991269)</f>
        <v>0.756875</v>
      </c>
      <c r="F1629" s="6" t="str">
        <f>IFERROR(__xludf.DUMMYFUNCTION("""COMPUTED_VALUE"""),"Negative")</f>
        <v>Negative</v>
      </c>
      <c r="G1629" s="6">
        <f>IFERROR(__xludf.DUMMYFUNCTION("""COMPUTED_VALUE"""),1.0)</f>
        <v>1</v>
      </c>
    </row>
    <row r="1630">
      <c r="A1630" s="6" t="str">
        <f>IFERROR(__xludf.DUMMYFUNCTION("""COMPUTED_VALUE"""),"FM3057")</f>
        <v>FM3057</v>
      </c>
      <c r="B1630" s="6" t="str">
        <f>IFERROR(__xludf.DUMMYFUNCTION("""COMPUTED_VALUE"""),"RUN-COMB_2022-08-08_RFR-092")</f>
        <v>RUN-COMB_2022-08-08_RFR-092</v>
      </c>
      <c r="C1630" s="7">
        <f>VLOOKUP(B1630,'Run Reconcile'!A$2:B3090,2,FALSE)</f>
        <v>44781</v>
      </c>
      <c r="D1630" s="11">
        <f>IFERROR(__xludf.DUMMYFUNCTION("""COMPUTED_VALUE"""),44781.0)</f>
        <v>44781</v>
      </c>
      <c r="E1630" s="12">
        <f>IFERROR(__xludf.DUMMYFUNCTION("""COMPUTED_VALUE"""),0.7571874999994179)</f>
        <v>0.7571875</v>
      </c>
      <c r="F1630" s="6" t="str">
        <f>IFERROR(__xludf.DUMMYFUNCTION("""COMPUTED_VALUE"""),"Negative")</f>
        <v>Negative</v>
      </c>
      <c r="G1630" s="6">
        <f>IFERROR(__xludf.DUMMYFUNCTION("""COMPUTED_VALUE"""),1.0)</f>
        <v>1</v>
      </c>
    </row>
    <row r="1631">
      <c r="A1631" s="6" t="str">
        <f>IFERROR(__xludf.DUMMYFUNCTION("""COMPUTED_VALUE"""),"FM3032")</f>
        <v>FM3032</v>
      </c>
      <c r="B1631" s="6" t="str">
        <f>IFERROR(__xludf.DUMMYFUNCTION("""COMPUTED_VALUE"""),"RUN-COMB_2022-08-08_RFR-092")</f>
        <v>RUN-COMB_2022-08-08_RFR-092</v>
      </c>
      <c r="C1631" s="7">
        <f>VLOOKUP(B1631,'Run Reconcile'!A$2:B3090,2,FALSE)</f>
        <v>44781</v>
      </c>
      <c r="D1631" s="11">
        <f>IFERROR(__xludf.DUMMYFUNCTION("""COMPUTED_VALUE"""),44781.0)</f>
        <v>44781</v>
      </c>
      <c r="E1631" s="12">
        <f>IFERROR(__xludf.DUMMYFUNCTION("""COMPUTED_VALUE"""),0.75760416666526)</f>
        <v>0.7576041667</v>
      </c>
      <c r="F1631" s="6" t="str">
        <f>IFERROR(__xludf.DUMMYFUNCTION("""COMPUTED_VALUE"""),"Negative")</f>
        <v>Negative</v>
      </c>
      <c r="G1631" s="6">
        <f>IFERROR(__xludf.DUMMYFUNCTION("""COMPUTED_VALUE"""),1.0)</f>
        <v>1</v>
      </c>
    </row>
    <row r="1632">
      <c r="A1632" s="6" t="str">
        <f>IFERROR(__xludf.DUMMYFUNCTION("""COMPUTED_VALUE"""),"FM3017")</f>
        <v>FM3017</v>
      </c>
      <c r="B1632" s="6" t="str">
        <f>IFERROR(__xludf.DUMMYFUNCTION("""COMPUTED_VALUE"""),"RUN-COMB_2022-08-08_RFR-092")</f>
        <v>RUN-COMB_2022-08-08_RFR-092</v>
      </c>
      <c r="C1632" s="7">
        <f>VLOOKUP(B1632,'Run Reconcile'!A$2:B3090,2,FALSE)</f>
        <v>44781</v>
      </c>
      <c r="D1632" s="11">
        <f>IFERROR(__xludf.DUMMYFUNCTION("""COMPUTED_VALUE"""),44781.0)</f>
        <v>44781</v>
      </c>
      <c r="E1632" s="12">
        <f>IFERROR(__xludf.DUMMYFUNCTION("""COMPUTED_VALUE"""),0.7579976851848187)</f>
        <v>0.7579976852</v>
      </c>
      <c r="F1632" s="6" t="str">
        <f>IFERROR(__xludf.DUMMYFUNCTION("""COMPUTED_VALUE"""),"Negative")</f>
        <v>Negative</v>
      </c>
      <c r="G1632" s="6">
        <f>IFERROR(__xludf.DUMMYFUNCTION("""COMPUTED_VALUE"""),1.0)</f>
        <v>1</v>
      </c>
    </row>
    <row r="1633">
      <c r="A1633" s="6" t="str">
        <f>IFERROR(__xludf.DUMMYFUNCTION("""COMPUTED_VALUE"""),"FM3013")</f>
        <v>FM3013</v>
      </c>
      <c r="B1633" s="6" t="str">
        <f>IFERROR(__xludf.DUMMYFUNCTION("""COMPUTED_VALUE"""),"RUN-COMB_2022-08-08_RFR-092")</f>
        <v>RUN-COMB_2022-08-08_RFR-092</v>
      </c>
      <c r="C1633" s="7">
        <f>VLOOKUP(B1633,'Run Reconcile'!A$2:B3090,2,FALSE)</f>
        <v>44781</v>
      </c>
      <c r="D1633" s="11">
        <f>IFERROR(__xludf.DUMMYFUNCTION("""COMPUTED_VALUE"""),44781.0)</f>
        <v>44781</v>
      </c>
      <c r="E1633" s="12">
        <f>IFERROR(__xludf.DUMMYFUNCTION("""COMPUTED_VALUE"""),0.7583217592582514)</f>
        <v>0.7583217593</v>
      </c>
      <c r="F1633" s="6" t="str">
        <f>IFERROR(__xludf.DUMMYFUNCTION("""COMPUTED_VALUE"""),"Negative")</f>
        <v>Negative</v>
      </c>
      <c r="G1633" s="6">
        <f>IFERROR(__xludf.DUMMYFUNCTION("""COMPUTED_VALUE"""),1.0)</f>
        <v>1</v>
      </c>
    </row>
    <row r="1634">
      <c r="A1634" s="6" t="str">
        <f>IFERROR(__xludf.DUMMYFUNCTION("""COMPUTED_VALUE"""),"FM3100")</f>
        <v>FM3100</v>
      </c>
      <c r="B1634" s="6" t="str">
        <f>IFERROR(__xludf.DUMMYFUNCTION("""COMPUTED_VALUE"""),"RUN-COMB_2022-08-08_RFR-092")</f>
        <v>RUN-COMB_2022-08-08_RFR-092</v>
      </c>
      <c r="C1634" s="7">
        <f>VLOOKUP(B1634,'Run Reconcile'!A$2:B3090,2,FALSE)</f>
        <v>44781</v>
      </c>
      <c r="D1634" s="11">
        <f>IFERROR(__xludf.DUMMYFUNCTION("""COMPUTED_VALUE"""),44781.0)</f>
        <v>44781</v>
      </c>
      <c r="E1634" s="12">
        <f>IFERROR(__xludf.DUMMYFUNCTION("""COMPUTED_VALUE"""),0.7586342592585424)</f>
        <v>0.7586342593</v>
      </c>
      <c r="F1634" s="6" t="str">
        <f>IFERROR(__xludf.DUMMYFUNCTION("""COMPUTED_VALUE"""),"Negative")</f>
        <v>Negative</v>
      </c>
      <c r="G1634" s="6">
        <f>IFERROR(__xludf.DUMMYFUNCTION("""COMPUTED_VALUE"""),1.0)</f>
        <v>1</v>
      </c>
    </row>
    <row r="1635">
      <c r="A1635" s="6" t="str">
        <f>IFERROR(__xludf.DUMMYFUNCTION("""COMPUTED_VALUE"""),"FM3058")</f>
        <v>FM3058</v>
      </c>
      <c r="B1635" s="6" t="str">
        <f>IFERROR(__xludf.DUMMYFUNCTION("""COMPUTED_VALUE"""),"RUN-COMB_2022-08-08_RFR-092")</f>
        <v>RUN-COMB_2022-08-08_RFR-092</v>
      </c>
      <c r="C1635" s="7">
        <f>VLOOKUP(B1635,'Run Reconcile'!A$2:B3090,2,FALSE)</f>
        <v>44781</v>
      </c>
      <c r="D1635" s="11">
        <f>IFERROR(__xludf.DUMMYFUNCTION("""COMPUTED_VALUE"""),44781.0)</f>
        <v>44781</v>
      </c>
      <c r="E1635" s="12">
        <f>IFERROR(__xludf.DUMMYFUNCTION("""COMPUTED_VALUE"""),0.7590046296281798)</f>
        <v>0.7590046296</v>
      </c>
      <c r="F1635" s="6" t="str">
        <f>IFERROR(__xludf.DUMMYFUNCTION("""COMPUTED_VALUE"""),"Negative")</f>
        <v>Negative</v>
      </c>
      <c r="G1635" s="6">
        <f>IFERROR(__xludf.DUMMYFUNCTION("""COMPUTED_VALUE"""),1.0)</f>
        <v>1</v>
      </c>
    </row>
    <row r="1636">
      <c r="A1636" s="6" t="str">
        <f>IFERROR(__xludf.DUMMYFUNCTION("""COMPUTED_VALUE"""),"FM3085")</f>
        <v>FM3085</v>
      </c>
      <c r="B1636" s="6" t="str">
        <f>IFERROR(__xludf.DUMMYFUNCTION("""COMPUTED_VALUE"""),"RUN-COMB_2022-08-08_RFR-092")</f>
        <v>RUN-COMB_2022-08-08_RFR-092</v>
      </c>
      <c r="C1636" s="7">
        <f>VLOOKUP(B1636,'Run Reconcile'!A$2:B3090,2,FALSE)</f>
        <v>44781</v>
      </c>
      <c r="D1636" s="11">
        <f>IFERROR(__xludf.DUMMYFUNCTION("""COMPUTED_VALUE"""),44781.0)</f>
        <v>44781</v>
      </c>
      <c r="E1636" s="12">
        <f>IFERROR(__xludf.DUMMYFUNCTION("""COMPUTED_VALUE"""),0.7594097222208802)</f>
        <v>0.7594097222</v>
      </c>
      <c r="F1636" s="6" t="str">
        <f>IFERROR(__xludf.DUMMYFUNCTION("""COMPUTED_VALUE"""),"Positive")</f>
        <v>Positive</v>
      </c>
      <c r="G1636" s="6">
        <f>IFERROR(__xludf.DUMMYFUNCTION("""COMPUTED_VALUE"""),1.0)</f>
        <v>1</v>
      </c>
    </row>
    <row r="1637">
      <c r="A1637" s="6" t="str">
        <f>IFERROR(__xludf.DUMMYFUNCTION("""COMPUTED_VALUE"""),"FM3061")</f>
        <v>FM3061</v>
      </c>
      <c r="B1637" s="6" t="str">
        <f>IFERROR(__xludf.DUMMYFUNCTION("""COMPUTED_VALUE"""),"RUN-COMB_2022-08-08_RFR-092")</f>
        <v>RUN-COMB_2022-08-08_RFR-092</v>
      </c>
      <c r="C1637" s="7">
        <f>VLOOKUP(B1637,'Run Reconcile'!A$2:B3090,2,FALSE)</f>
        <v>44781</v>
      </c>
      <c r="D1637" s="11">
        <f>IFERROR(__xludf.DUMMYFUNCTION("""COMPUTED_VALUE"""),44781.0)</f>
        <v>44781</v>
      </c>
      <c r="E1637" s="12">
        <f>IFERROR(__xludf.DUMMYFUNCTION("""COMPUTED_VALUE"""),0.7597569444442343)</f>
        <v>0.7597569444</v>
      </c>
      <c r="F1637" s="6" t="str">
        <f>IFERROR(__xludf.DUMMYFUNCTION("""COMPUTED_VALUE"""),"Negative")</f>
        <v>Negative</v>
      </c>
      <c r="G1637" s="6">
        <f>IFERROR(__xludf.DUMMYFUNCTION("""COMPUTED_VALUE"""),1.0)</f>
        <v>1</v>
      </c>
    </row>
    <row r="1638">
      <c r="A1638" s="6" t="str">
        <f>IFERROR(__xludf.DUMMYFUNCTION("""COMPUTED_VALUE"""),"FM3041")</f>
        <v>FM3041</v>
      </c>
      <c r="B1638" s="6" t="str">
        <f>IFERROR(__xludf.DUMMYFUNCTION("""COMPUTED_VALUE"""),"RUN-COMB_2022-08-09_RFR-094")</f>
        <v>RUN-COMB_2022-08-09_RFR-094</v>
      </c>
      <c r="C1638" s="7">
        <f>VLOOKUP(B1638,'Run Reconcile'!A$2:B3090,2,FALSE)</f>
        <v>44782</v>
      </c>
      <c r="D1638" s="11">
        <f>IFERROR(__xludf.DUMMYFUNCTION("""COMPUTED_VALUE"""),44782.0)</f>
        <v>44782</v>
      </c>
      <c r="E1638" s="12">
        <f>IFERROR(__xludf.DUMMYFUNCTION("""COMPUTED_VALUE"""),0.2983217592591245)</f>
        <v>0.2983217593</v>
      </c>
      <c r="F1638" s="6" t="str">
        <f>IFERROR(__xludf.DUMMYFUNCTION("""COMPUTED_VALUE"""),"Negative")</f>
        <v>Negative</v>
      </c>
      <c r="G1638" s="6">
        <f>IFERROR(__xludf.DUMMYFUNCTION("""COMPUTED_VALUE"""),1.0)</f>
        <v>1</v>
      </c>
    </row>
    <row r="1639">
      <c r="A1639" s="6" t="str">
        <f>IFERROR(__xludf.DUMMYFUNCTION("""COMPUTED_VALUE"""),"FM3062")</f>
        <v>FM3062</v>
      </c>
      <c r="B1639" s="6" t="str">
        <f>IFERROR(__xludf.DUMMYFUNCTION("""COMPUTED_VALUE"""),"RUN-COMB_2022-08-09_RFR-094")</f>
        <v>RUN-COMB_2022-08-09_RFR-094</v>
      </c>
      <c r="C1639" s="7">
        <f>VLOOKUP(B1639,'Run Reconcile'!A$2:B3090,2,FALSE)</f>
        <v>44782</v>
      </c>
      <c r="D1639" s="11">
        <f>IFERROR(__xludf.DUMMYFUNCTION("""COMPUTED_VALUE"""),44782.0)</f>
        <v>44782</v>
      </c>
      <c r="E1639" s="12">
        <f>IFERROR(__xludf.DUMMYFUNCTION("""COMPUTED_VALUE"""),0.29863425925941556)</f>
        <v>0.2986342593</v>
      </c>
      <c r="F1639" s="6" t="str">
        <f>IFERROR(__xludf.DUMMYFUNCTION("""COMPUTED_VALUE"""),"Negative")</f>
        <v>Negative</v>
      </c>
      <c r="G1639" s="6">
        <f>IFERROR(__xludf.DUMMYFUNCTION("""COMPUTED_VALUE"""),1.0)</f>
        <v>1</v>
      </c>
    </row>
    <row r="1640">
      <c r="A1640" s="6" t="str">
        <f>IFERROR(__xludf.DUMMYFUNCTION("""COMPUTED_VALUE"""),"FM3083")</f>
        <v>FM3083</v>
      </c>
      <c r="B1640" s="6" t="str">
        <f>IFERROR(__xludf.DUMMYFUNCTION("""COMPUTED_VALUE"""),"RUN-COMB_2022-08-09_RFR-094")</f>
        <v>RUN-COMB_2022-08-09_RFR-094</v>
      </c>
      <c r="C1640" s="7">
        <f>VLOOKUP(B1640,'Run Reconcile'!A$2:B3090,2,FALSE)</f>
        <v>44782</v>
      </c>
      <c r="D1640" s="11">
        <f>IFERROR(__xludf.DUMMYFUNCTION("""COMPUTED_VALUE"""),44782.0)</f>
        <v>44782</v>
      </c>
      <c r="E1640" s="12">
        <f>IFERROR(__xludf.DUMMYFUNCTION("""COMPUTED_VALUE"""),0.2989120370366436)</f>
        <v>0.298912037</v>
      </c>
      <c r="F1640" s="6" t="str">
        <f>IFERROR(__xludf.DUMMYFUNCTION("""COMPUTED_VALUE"""),"Negative")</f>
        <v>Negative</v>
      </c>
      <c r="G1640" s="6">
        <f>IFERROR(__xludf.DUMMYFUNCTION("""COMPUTED_VALUE"""),1.0)</f>
        <v>1</v>
      </c>
    </row>
    <row r="1641">
      <c r="A1641" s="6" t="str">
        <f>IFERROR(__xludf.DUMMYFUNCTION("""COMPUTED_VALUE"""),"FM3050")</f>
        <v>FM3050</v>
      </c>
      <c r="B1641" s="6" t="str">
        <f>IFERROR(__xludf.DUMMYFUNCTION("""COMPUTED_VALUE"""),"RUN-COMB_2022-08-09_RFR-094")</f>
        <v>RUN-COMB_2022-08-09_RFR-094</v>
      </c>
      <c r="C1641" s="7">
        <f>VLOOKUP(B1641,'Run Reconcile'!A$2:B3090,2,FALSE)</f>
        <v>44782</v>
      </c>
      <c r="D1641" s="11">
        <f>IFERROR(__xludf.DUMMYFUNCTION("""COMPUTED_VALUE"""),44782.0)</f>
        <v>44782</v>
      </c>
      <c r="E1641" s="12">
        <f>IFERROR(__xludf.DUMMYFUNCTION("""COMPUTED_VALUE"""),0.29922453703693463)</f>
        <v>0.299224537</v>
      </c>
      <c r="F1641" s="6" t="str">
        <f>IFERROR(__xludf.DUMMYFUNCTION("""COMPUTED_VALUE"""),"Negative")</f>
        <v>Negative</v>
      </c>
      <c r="G1641" s="6">
        <f>IFERROR(__xludf.DUMMYFUNCTION("""COMPUTED_VALUE"""),1.0)</f>
        <v>1</v>
      </c>
    </row>
    <row r="1642">
      <c r="A1642" s="6" t="str">
        <f>IFERROR(__xludf.DUMMYFUNCTION("""COMPUTED_VALUE"""),"FM3038")</f>
        <v>FM3038</v>
      </c>
      <c r="B1642" s="6" t="str">
        <f>IFERROR(__xludf.DUMMYFUNCTION("""COMPUTED_VALUE"""),"RUN-COMB_2022-08-09_RFR-094")</f>
        <v>RUN-COMB_2022-08-09_RFR-094</v>
      </c>
      <c r="C1642" s="7">
        <f>VLOOKUP(B1642,'Run Reconcile'!A$2:B3090,2,FALSE)</f>
        <v>44782</v>
      </c>
      <c r="D1642" s="11">
        <f>IFERROR(__xludf.DUMMYFUNCTION("""COMPUTED_VALUE"""),44782.0)</f>
        <v>44782</v>
      </c>
      <c r="E1642" s="12">
        <f>IFERROR(__xludf.DUMMYFUNCTION("""COMPUTED_VALUE"""),0.2995023148141627)</f>
        <v>0.2995023148</v>
      </c>
      <c r="F1642" s="6" t="str">
        <f>IFERROR(__xludf.DUMMYFUNCTION("""COMPUTED_VALUE"""),"Negative")</f>
        <v>Negative</v>
      </c>
      <c r="G1642" s="6">
        <f>IFERROR(__xludf.DUMMYFUNCTION("""COMPUTED_VALUE"""),1.0)</f>
        <v>1</v>
      </c>
    </row>
    <row r="1643">
      <c r="A1643" s="6" t="str">
        <f>IFERROR(__xludf.DUMMYFUNCTION("""COMPUTED_VALUE"""),"FM3049")</f>
        <v>FM3049</v>
      </c>
      <c r="B1643" s="6" t="str">
        <f>IFERROR(__xludf.DUMMYFUNCTION("""COMPUTED_VALUE"""),"RUN-COMB_2022-08-09_RFR-094")</f>
        <v>RUN-COMB_2022-08-09_RFR-094</v>
      </c>
      <c r="C1643" s="7">
        <f>VLOOKUP(B1643,'Run Reconcile'!A$2:B3090,2,FALSE)</f>
        <v>44782</v>
      </c>
      <c r="D1643" s="11">
        <f>IFERROR(__xludf.DUMMYFUNCTION("""COMPUTED_VALUE"""),44782.0)</f>
        <v>44782</v>
      </c>
      <c r="E1643" s="12">
        <f>IFERROR(__xludf.DUMMYFUNCTION("""COMPUTED_VALUE"""),0.29976851851824904)</f>
        <v>0.2997685185</v>
      </c>
      <c r="F1643" s="6" t="str">
        <f>IFERROR(__xludf.DUMMYFUNCTION("""COMPUTED_VALUE"""),"Negative")</f>
        <v>Negative</v>
      </c>
      <c r="G1643" s="6">
        <f>IFERROR(__xludf.DUMMYFUNCTION("""COMPUTED_VALUE"""),1.0)</f>
        <v>1</v>
      </c>
    </row>
    <row r="1644">
      <c r="A1644" s="6" t="str">
        <f>IFERROR(__xludf.DUMMYFUNCTION("""COMPUTED_VALUE"""),"FM3056")</f>
        <v>FM3056</v>
      </c>
      <c r="B1644" s="6" t="str">
        <f>IFERROR(__xludf.DUMMYFUNCTION("""COMPUTED_VALUE"""),"RUN-COMB_2022-08-09_RFR-094")</f>
        <v>RUN-COMB_2022-08-09_RFR-094</v>
      </c>
      <c r="C1644" s="7">
        <f>VLOOKUP(B1644,'Run Reconcile'!A$2:B3090,2,FALSE)</f>
        <v>44782</v>
      </c>
      <c r="D1644" s="11">
        <f>IFERROR(__xludf.DUMMYFUNCTION("""COMPUTED_VALUE"""),44782.0)</f>
        <v>44782</v>
      </c>
      <c r="E1644" s="12">
        <f>IFERROR(__xludf.DUMMYFUNCTION("""COMPUTED_VALUE"""),0.3000810185185401)</f>
        <v>0.3000810185</v>
      </c>
      <c r="F1644" s="6" t="str">
        <f>IFERROR(__xludf.DUMMYFUNCTION("""COMPUTED_VALUE"""),"Negative")</f>
        <v>Negative</v>
      </c>
      <c r="G1644" s="6">
        <f>IFERROR(__xludf.DUMMYFUNCTION("""COMPUTED_VALUE"""),1.0)</f>
        <v>1</v>
      </c>
    </row>
    <row r="1645">
      <c r="A1645" s="6" t="str">
        <f>IFERROR(__xludf.DUMMYFUNCTION("""COMPUTED_VALUE"""),"FM3016")</f>
        <v>FM3016</v>
      </c>
      <c r="B1645" s="6" t="str">
        <f>IFERROR(__xludf.DUMMYFUNCTION("""COMPUTED_VALUE"""),"RUN-COMB_2022-08-09_RFR-094")</f>
        <v>RUN-COMB_2022-08-09_RFR-094</v>
      </c>
      <c r="C1645" s="7">
        <f>VLOOKUP(B1645,'Run Reconcile'!A$2:B3090,2,FALSE)</f>
        <v>44782</v>
      </c>
      <c r="D1645" s="11">
        <f>IFERROR(__xludf.DUMMYFUNCTION("""COMPUTED_VALUE"""),44782.0)</f>
        <v>44782</v>
      </c>
      <c r="E1645" s="12">
        <f>IFERROR(__xludf.DUMMYFUNCTION("""COMPUTED_VALUE"""),0.30034722222262644)</f>
        <v>0.3003472222</v>
      </c>
      <c r="F1645" s="6" t="str">
        <f>IFERROR(__xludf.DUMMYFUNCTION("""COMPUTED_VALUE"""),"Negative")</f>
        <v>Negative</v>
      </c>
      <c r="G1645" s="6">
        <f>IFERROR(__xludf.DUMMYFUNCTION("""COMPUTED_VALUE"""),1.0)</f>
        <v>1</v>
      </c>
    </row>
    <row r="1646">
      <c r="A1646" s="6" t="str">
        <f>IFERROR(__xludf.DUMMYFUNCTION("""COMPUTED_VALUE"""),"FM3010")</f>
        <v>FM3010</v>
      </c>
      <c r="B1646" s="6" t="str">
        <f>IFERROR(__xludf.DUMMYFUNCTION("""COMPUTED_VALUE"""),"RUN-COMB_2022-08-09_RFR-094")</f>
        <v>RUN-COMB_2022-08-09_RFR-094</v>
      </c>
      <c r="C1646" s="7">
        <f>VLOOKUP(B1646,'Run Reconcile'!A$2:B3090,2,FALSE)</f>
        <v>44782</v>
      </c>
      <c r="D1646" s="11">
        <f>IFERROR(__xludf.DUMMYFUNCTION("""COMPUTED_VALUE"""),44782.0)</f>
        <v>44782</v>
      </c>
      <c r="E1646" s="12">
        <f>IFERROR(__xludf.DUMMYFUNCTION("""COMPUTED_VALUE"""),0.3006134259267128)</f>
        <v>0.3006134259</v>
      </c>
      <c r="F1646" s="6" t="str">
        <f>IFERROR(__xludf.DUMMYFUNCTION("""COMPUTED_VALUE"""),"Negative")</f>
        <v>Negative</v>
      </c>
      <c r="G1646" s="6">
        <f>IFERROR(__xludf.DUMMYFUNCTION("""COMPUTED_VALUE"""),1.0)</f>
        <v>1</v>
      </c>
    </row>
    <row r="1647">
      <c r="A1647" s="6" t="str">
        <f>IFERROR(__xludf.DUMMYFUNCTION("""COMPUTED_VALUE"""),"FM3009")</f>
        <v>FM3009</v>
      </c>
      <c r="B1647" s="6" t="str">
        <f>IFERROR(__xludf.DUMMYFUNCTION("""COMPUTED_VALUE"""),"RUN-COMB_2022-08-09_RFR-094")</f>
        <v>RUN-COMB_2022-08-09_RFR-094</v>
      </c>
      <c r="C1647" s="7">
        <f>VLOOKUP(B1647,'Run Reconcile'!A$2:B3090,2,FALSE)</f>
        <v>44782</v>
      </c>
      <c r="D1647" s="11">
        <f>IFERROR(__xludf.DUMMYFUNCTION("""COMPUTED_VALUE"""),44782.0)</f>
        <v>44782</v>
      </c>
      <c r="E1647" s="12">
        <f>IFERROR(__xludf.DUMMYFUNCTION("""COMPUTED_VALUE"""),0.3008680555540195)</f>
        <v>0.3008680556</v>
      </c>
      <c r="F1647" s="6" t="str">
        <f>IFERROR(__xludf.DUMMYFUNCTION("""COMPUTED_VALUE"""),"Negative")</f>
        <v>Negative</v>
      </c>
      <c r="G1647" s="6">
        <f>IFERROR(__xludf.DUMMYFUNCTION("""COMPUTED_VALUE"""),1.0)</f>
        <v>1</v>
      </c>
    </row>
    <row r="1648">
      <c r="A1648" s="6" t="str">
        <f>IFERROR(__xludf.DUMMYFUNCTION("""COMPUTED_VALUE"""),"FM3028")</f>
        <v>FM3028</v>
      </c>
      <c r="B1648" s="6" t="str">
        <f>IFERROR(__xludf.DUMMYFUNCTION("""COMPUTED_VALUE"""),"RUN-COMB_2022-08-09_RFR-094")</f>
        <v>RUN-COMB_2022-08-09_RFR-094</v>
      </c>
      <c r="C1648" s="7">
        <f>VLOOKUP(B1648,'Run Reconcile'!A$2:B3090,2,FALSE)</f>
        <v>44782</v>
      </c>
      <c r="D1648" s="11">
        <f>IFERROR(__xludf.DUMMYFUNCTION("""COMPUTED_VALUE"""),44782.0)</f>
        <v>44782</v>
      </c>
      <c r="E1648" s="12">
        <f>IFERROR(__xludf.DUMMYFUNCTION("""COMPUTED_VALUE"""),0.3011226851849642)</f>
        <v>0.3011226852</v>
      </c>
      <c r="F1648" s="6" t="str">
        <f>IFERROR(__xludf.DUMMYFUNCTION("""COMPUTED_VALUE"""),"Negative")</f>
        <v>Negative</v>
      </c>
      <c r="G1648" s="6">
        <f>IFERROR(__xludf.DUMMYFUNCTION("""COMPUTED_VALUE"""),1.0)</f>
        <v>1</v>
      </c>
    </row>
    <row r="1649">
      <c r="A1649" s="6" t="str">
        <f>IFERROR(__xludf.DUMMYFUNCTION("""COMPUTED_VALUE"""),"FM3081")</f>
        <v>FM3081</v>
      </c>
      <c r="B1649" s="6" t="str">
        <f>IFERROR(__xludf.DUMMYFUNCTION("""COMPUTED_VALUE"""),"RUN-COMB_2022-08-09_RFR-094")</f>
        <v>RUN-COMB_2022-08-09_RFR-094</v>
      </c>
      <c r="C1649" s="7">
        <f>VLOOKUP(B1649,'Run Reconcile'!A$2:B3090,2,FALSE)</f>
        <v>44782</v>
      </c>
      <c r="D1649" s="11">
        <f>IFERROR(__xludf.DUMMYFUNCTION("""COMPUTED_VALUE"""),44782.0)</f>
        <v>44782</v>
      </c>
      <c r="E1649" s="12">
        <f>IFERROR(__xludf.DUMMYFUNCTION("""COMPUTED_VALUE"""),0.3015277777776646)</f>
        <v>0.3015277778</v>
      </c>
      <c r="F1649" s="6" t="str">
        <f>IFERROR(__xludf.DUMMYFUNCTION("""COMPUTED_VALUE"""),"Negative")</f>
        <v>Negative</v>
      </c>
      <c r="G1649" s="6">
        <f>IFERROR(__xludf.DUMMYFUNCTION("""COMPUTED_VALUE"""),1.0)</f>
        <v>1</v>
      </c>
    </row>
    <row r="1650">
      <c r="A1650" s="6" t="str">
        <f>IFERROR(__xludf.DUMMYFUNCTION("""COMPUTED_VALUE"""),"FM3091")</f>
        <v>FM3091</v>
      </c>
      <c r="B1650" s="6" t="str">
        <f>IFERROR(__xludf.DUMMYFUNCTION("""COMPUTED_VALUE"""),"RUN-COMB_2022-08-09_RFR-094")</f>
        <v>RUN-COMB_2022-08-09_RFR-094</v>
      </c>
      <c r="C1650" s="7">
        <f>VLOOKUP(B1650,'Run Reconcile'!A$2:B3090,2,FALSE)</f>
        <v>44782</v>
      </c>
      <c r="D1650" s="11">
        <f>IFERROR(__xludf.DUMMYFUNCTION("""COMPUTED_VALUE"""),44782.0)</f>
        <v>44782</v>
      </c>
      <c r="E1650" s="12">
        <f>IFERROR(__xludf.DUMMYFUNCTION("""COMPUTED_VALUE"""),0.30180555555489263)</f>
        <v>0.3018055556</v>
      </c>
      <c r="F1650" s="6" t="str">
        <f>IFERROR(__xludf.DUMMYFUNCTION("""COMPUTED_VALUE"""),"Negative")</f>
        <v>Negative</v>
      </c>
      <c r="G1650" s="6">
        <f>IFERROR(__xludf.DUMMYFUNCTION("""COMPUTED_VALUE"""),1.0)</f>
        <v>1</v>
      </c>
    </row>
    <row r="1651">
      <c r="A1651" s="6" t="str">
        <f>IFERROR(__xludf.DUMMYFUNCTION("""COMPUTED_VALUE"""),"FM3094")</f>
        <v>FM3094</v>
      </c>
      <c r="B1651" s="6" t="str">
        <f>IFERROR(__xludf.DUMMYFUNCTION("""COMPUTED_VALUE"""),"RUN-COMB_2022-08-09_RFR-094")</f>
        <v>RUN-COMB_2022-08-09_RFR-094</v>
      </c>
      <c r="C1651" s="7">
        <f>VLOOKUP(B1651,'Run Reconcile'!A$2:B3090,2,FALSE)</f>
        <v>44782</v>
      </c>
      <c r="D1651" s="11">
        <f>IFERROR(__xludf.DUMMYFUNCTION("""COMPUTED_VALUE"""),44782.0)</f>
        <v>44782</v>
      </c>
      <c r="E1651" s="12">
        <f>IFERROR(__xludf.DUMMYFUNCTION("""COMPUTED_VALUE"""),0.30216435185138835)</f>
        <v>0.3021643519</v>
      </c>
      <c r="F1651" s="6" t="str">
        <f>IFERROR(__xludf.DUMMYFUNCTION("""COMPUTED_VALUE"""),"Negative")</f>
        <v>Negative</v>
      </c>
      <c r="G1651" s="6">
        <f>IFERROR(__xludf.DUMMYFUNCTION("""COMPUTED_VALUE"""),1.0)</f>
        <v>1</v>
      </c>
    </row>
    <row r="1652">
      <c r="A1652" s="6" t="str">
        <f>IFERROR(__xludf.DUMMYFUNCTION("""COMPUTED_VALUE"""),"FM3079")</f>
        <v>FM3079</v>
      </c>
      <c r="B1652" s="6" t="str">
        <f>IFERROR(__xludf.DUMMYFUNCTION("""COMPUTED_VALUE"""),"RUN-COMB_2022-08-09_RFR-094")</f>
        <v>RUN-COMB_2022-08-09_RFR-094</v>
      </c>
      <c r="C1652" s="7">
        <f>VLOOKUP(B1652,'Run Reconcile'!A$2:B3090,2,FALSE)</f>
        <v>44782</v>
      </c>
      <c r="D1652" s="11">
        <f>IFERROR(__xludf.DUMMYFUNCTION("""COMPUTED_VALUE"""),44782.0)</f>
        <v>44782</v>
      </c>
      <c r="E1652" s="12">
        <f>IFERROR(__xludf.DUMMYFUNCTION("""COMPUTED_VALUE"""),0.30252314814788406)</f>
        <v>0.3025231481</v>
      </c>
      <c r="F1652" s="6" t="str">
        <f>IFERROR(__xludf.DUMMYFUNCTION("""COMPUTED_VALUE"""),"Negative")</f>
        <v>Negative</v>
      </c>
      <c r="G1652" s="6">
        <f>IFERROR(__xludf.DUMMYFUNCTION("""COMPUTED_VALUE"""),1.0)</f>
        <v>1</v>
      </c>
    </row>
    <row r="1653">
      <c r="A1653" s="6" t="str">
        <f>IFERROR(__xludf.DUMMYFUNCTION("""COMPUTED_VALUE"""),"FM3003")</f>
        <v>FM3003</v>
      </c>
      <c r="B1653" s="6" t="str">
        <f>IFERROR(__xludf.DUMMYFUNCTION("""COMPUTED_VALUE"""),"RUN-COMB_2022-08-09_RFR-094")</f>
        <v>RUN-COMB_2022-08-09_RFR-094</v>
      </c>
      <c r="C1653" s="7">
        <f>VLOOKUP(B1653,'Run Reconcile'!A$2:B3090,2,FALSE)</f>
        <v>44782</v>
      </c>
      <c r="D1653" s="11">
        <f>IFERROR(__xludf.DUMMYFUNCTION("""COMPUTED_VALUE"""),44782.0)</f>
        <v>44782</v>
      </c>
      <c r="E1653" s="12">
        <f>IFERROR(__xludf.DUMMYFUNCTION("""COMPUTED_VALUE"""),0.30289351851752144)</f>
        <v>0.3028935185</v>
      </c>
      <c r="F1653" s="6" t="str">
        <f>IFERROR(__xludf.DUMMYFUNCTION("""COMPUTED_VALUE"""),"Negative")</f>
        <v>Negative</v>
      </c>
      <c r="G1653" s="6">
        <f>IFERROR(__xludf.DUMMYFUNCTION("""COMPUTED_VALUE"""),1.0)</f>
        <v>1</v>
      </c>
    </row>
    <row r="1654">
      <c r="A1654" s="6" t="str">
        <f>IFERROR(__xludf.DUMMYFUNCTION("""COMPUTED_VALUE"""),"FM3036")</f>
        <v>FM3036</v>
      </c>
      <c r="B1654" s="6" t="str">
        <f>IFERROR(__xludf.DUMMYFUNCTION("""COMPUTED_VALUE"""),"RUN-COMB_2022-08-09_RFR-094")</f>
        <v>RUN-COMB_2022-08-09_RFR-094</v>
      </c>
      <c r="C1654" s="7">
        <f>VLOOKUP(B1654,'Run Reconcile'!A$2:B3090,2,FALSE)</f>
        <v>44782</v>
      </c>
      <c r="D1654" s="11">
        <f>IFERROR(__xludf.DUMMYFUNCTION("""COMPUTED_VALUE"""),44782.0)</f>
        <v>44782</v>
      </c>
      <c r="E1654" s="12">
        <f>IFERROR(__xludf.DUMMYFUNCTION("""COMPUTED_VALUE"""),0.30321759259095415)</f>
        <v>0.3032175926</v>
      </c>
      <c r="F1654" s="6" t="str">
        <f>IFERROR(__xludf.DUMMYFUNCTION("""COMPUTED_VALUE"""),"Negative")</f>
        <v>Negative</v>
      </c>
      <c r="G1654" s="6">
        <f>IFERROR(__xludf.DUMMYFUNCTION("""COMPUTED_VALUE"""),1.0)</f>
        <v>1</v>
      </c>
    </row>
    <row r="1655">
      <c r="A1655" s="6" t="str">
        <f>IFERROR(__xludf.DUMMYFUNCTION("""COMPUTED_VALUE"""),"FM3014")</f>
        <v>FM3014</v>
      </c>
      <c r="B1655" s="6" t="str">
        <f>IFERROR(__xludf.DUMMYFUNCTION("""COMPUTED_VALUE"""),"RUN-COMB_2022-08-09_RFR-094")</f>
        <v>RUN-COMB_2022-08-09_RFR-094</v>
      </c>
      <c r="C1655" s="7">
        <f>VLOOKUP(B1655,'Run Reconcile'!A$2:B3090,2,FALSE)</f>
        <v>44782</v>
      </c>
      <c r="D1655" s="11">
        <f>IFERROR(__xludf.DUMMYFUNCTION("""COMPUTED_VALUE"""),44782.0)</f>
        <v>44782</v>
      </c>
      <c r="E1655" s="12">
        <f>IFERROR(__xludf.DUMMYFUNCTION("""COMPUTED_VALUE"""),0.30361111111051287)</f>
        <v>0.3036111111</v>
      </c>
      <c r="F1655" s="6" t="str">
        <f>IFERROR(__xludf.DUMMYFUNCTION("""COMPUTED_VALUE"""),"Negative")</f>
        <v>Negative</v>
      </c>
      <c r="G1655" s="6">
        <f>IFERROR(__xludf.DUMMYFUNCTION("""COMPUTED_VALUE"""),1.0)</f>
        <v>1</v>
      </c>
    </row>
    <row r="1656">
      <c r="A1656" s="6" t="str">
        <f>IFERROR(__xludf.DUMMYFUNCTION("""COMPUTED_VALUE"""),"FM3070")</f>
        <v>FM3070</v>
      </c>
      <c r="B1656" s="6" t="str">
        <f>IFERROR(__xludf.DUMMYFUNCTION("""COMPUTED_VALUE"""),"RUN-COMB_2022-08-09_RFR-094")</f>
        <v>RUN-COMB_2022-08-09_RFR-094</v>
      </c>
      <c r="C1656" s="7">
        <f>VLOOKUP(B1656,'Run Reconcile'!A$2:B3090,2,FALSE)</f>
        <v>44782</v>
      </c>
      <c r="D1656" s="11">
        <f>IFERROR(__xludf.DUMMYFUNCTION("""COMPUTED_VALUE"""),44782.0)</f>
        <v>44782</v>
      </c>
      <c r="E1656" s="12">
        <f>IFERROR(__xludf.DUMMYFUNCTION("""COMPUTED_VALUE"""),0.30391203703766223)</f>
        <v>0.303912037</v>
      </c>
      <c r="F1656" s="6" t="str">
        <f>IFERROR(__xludf.DUMMYFUNCTION("""COMPUTED_VALUE"""),"Negative")</f>
        <v>Negative</v>
      </c>
      <c r="G1656" s="6">
        <f>IFERROR(__xludf.DUMMYFUNCTION("""COMPUTED_VALUE"""),1.0)</f>
        <v>1</v>
      </c>
    </row>
    <row r="1657">
      <c r="A1657" s="6" t="str">
        <f>IFERROR(__xludf.DUMMYFUNCTION("""COMPUTED_VALUE"""),"FM3019")</f>
        <v>FM3019</v>
      </c>
      <c r="B1657" s="6" t="str">
        <f>IFERROR(__xludf.DUMMYFUNCTION("""COMPUTED_VALUE"""),"RUN-COMB_2022-08-09_RFR-094")</f>
        <v>RUN-COMB_2022-08-09_RFR-094</v>
      </c>
      <c r="C1657" s="7">
        <f>VLOOKUP(B1657,'Run Reconcile'!A$2:B3090,2,FALSE)</f>
        <v>44782</v>
      </c>
      <c r="D1657" s="11">
        <f>IFERROR(__xludf.DUMMYFUNCTION("""COMPUTED_VALUE"""),44782.0)</f>
        <v>44782</v>
      </c>
      <c r="E1657" s="12">
        <f>IFERROR(__xludf.DUMMYFUNCTION("""COMPUTED_VALUE"""),0.30427083333415794)</f>
        <v>0.3042708333</v>
      </c>
      <c r="F1657" s="6" t="str">
        <f>IFERROR(__xludf.DUMMYFUNCTION("""COMPUTED_VALUE"""),"Negative")</f>
        <v>Negative</v>
      </c>
      <c r="G1657" s="6">
        <f>IFERROR(__xludf.DUMMYFUNCTION("""COMPUTED_VALUE"""),1.0)</f>
        <v>1</v>
      </c>
    </row>
    <row r="1658">
      <c r="A1658" s="6" t="str">
        <f>IFERROR(__xludf.DUMMYFUNCTION("""COMPUTED_VALUE"""),"FM3093")</f>
        <v>FM3093</v>
      </c>
      <c r="B1658" s="6" t="str">
        <f>IFERROR(__xludf.DUMMYFUNCTION("""COMPUTED_VALUE"""),"RUN-COMB_2022-08-10_APS-003")</f>
        <v>RUN-COMB_2022-08-10_APS-003</v>
      </c>
      <c r="C1658" s="7">
        <f>VLOOKUP(B1658,'Run Reconcile'!A$2:B3090,2,FALSE)</f>
        <v>44783</v>
      </c>
      <c r="D1658" s="11">
        <f>IFERROR(__xludf.DUMMYFUNCTION("""COMPUTED_VALUE"""),44783.0)</f>
        <v>44783</v>
      </c>
      <c r="E1658" s="12">
        <f>IFERROR(__xludf.DUMMYFUNCTION("""COMPUTED_VALUE"""),0.26505787036876427)</f>
        <v>0.2650578704</v>
      </c>
      <c r="F1658" s="6" t="str">
        <f>IFERROR(__xludf.DUMMYFUNCTION("""COMPUTED_VALUE"""),"Negative")</f>
        <v>Negative</v>
      </c>
      <c r="G1658" s="6">
        <f>IFERROR(__xludf.DUMMYFUNCTION("""COMPUTED_VALUE"""),1.0)</f>
        <v>1</v>
      </c>
    </row>
    <row r="1659">
      <c r="A1659" s="6" t="str">
        <f>IFERROR(__xludf.DUMMYFUNCTION("""COMPUTED_VALUE"""),"FM3071")</f>
        <v>FM3071</v>
      </c>
      <c r="B1659" s="6" t="str">
        <f>IFERROR(__xludf.DUMMYFUNCTION("""COMPUTED_VALUE"""),"RUN-COMB_2022-08-10_APS-003")</f>
        <v>RUN-COMB_2022-08-10_APS-003</v>
      </c>
      <c r="C1659" s="7">
        <f>VLOOKUP(B1659,'Run Reconcile'!A$2:B3090,2,FALSE)</f>
        <v>44783</v>
      </c>
      <c r="D1659" s="11">
        <f>IFERROR(__xludf.DUMMYFUNCTION("""COMPUTED_VALUE"""),44783.0)</f>
        <v>44783</v>
      </c>
      <c r="E1659" s="12">
        <f>IFERROR(__xludf.DUMMYFUNCTION("""COMPUTED_VALUE"""),0.2653703703690553)</f>
        <v>0.2653703704</v>
      </c>
      <c r="F1659" s="6" t="str">
        <f>IFERROR(__xludf.DUMMYFUNCTION("""COMPUTED_VALUE"""),"Negative")</f>
        <v>Negative</v>
      </c>
      <c r="G1659" s="6">
        <f>IFERROR(__xludf.DUMMYFUNCTION("""COMPUTED_VALUE"""),1.0)</f>
        <v>1</v>
      </c>
    </row>
    <row r="1660">
      <c r="A1660" s="6" t="str">
        <f>IFERROR(__xludf.DUMMYFUNCTION("""COMPUTED_VALUE"""),"FM3064")</f>
        <v>FM3064</v>
      </c>
      <c r="B1660" s="6" t="str">
        <f>IFERROR(__xludf.DUMMYFUNCTION("""COMPUTED_VALUE"""),"RUN-COMB_2022-08-10_APS-003")</f>
        <v>RUN-COMB_2022-08-10_APS-003</v>
      </c>
      <c r="C1660" s="7">
        <f>VLOOKUP(B1660,'Run Reconcile'!A$2:B3090,2,FALSE)</f>
        <v>44783</v>
      </c>
      <c r="D1660" s="11">
        <f>IFERROR(__xludf.DUMMYFUNCTION("""COMPUTED_VALUE"""),44783.0)</f>
        <v>44783</v>
      </c>
      <c r="E1660" s="12">
        <f>IFERROR(__xludf.DUMMYFUNCTION("""COMPUTED_VALUE"""),0.2656481481499213)</f>
        <v>0.2656481481</v>
      </c>
      <c r="F1660" s="6" t="str">
        <f>IFERROR(__xludf.DUMMYFUNCTION("""COMPUTED_VALUE"""),"Negative")</f>
        <v>Negative</v>
      </c>
      <c r="G1660" s="6">
        <f>IFERROR(__xludf.DUMMYFUNCTION("""COMPUTED_VALUE"""),1.0)</f>
        <v>1</v>
      </c>
    </row>
    <row r="1661">
      <c r="A1661" s="6" t="str">
        <f>IFERROR(__xludf.DUMMYFUNCTION("""COMPUTED_VALUE"""),"FM3059")</f>
        <v>FM3059</v>
      </c>
      <c r="B1661" s="6" t="str">
        <f>IFERROR(__xludf.DUMMYFUNCTION("""COMPUTED_VALUE"""),"RUN-COMB_2022-08-10_APS-003")</f>
        <v>RUN-COMB_2022-08-10_APS-003</v>
      </c>
      <c r="C1661" s="7">
        <f>VLOOKUP(B1661,'Run Reconcile'!A$2:B3090,2,FALSE)</f>
        <v>44783</v>
      </c>
      <c r="D1661" s="11">
        <f>IFERROR(__xludf.DUMMYFUNCTION("""COMPUTED_VALUE"""),44783.0)</f>
        <v>44783</v>
      </c>
      <c r="E1661" s="12">
        <f>IFERROR(__xludf.DUMMYFUNCTION("""COMPUTED_VALUE"""),0.2659143518503697)</f>
        <v>0.2659143519</v>
      </c>
      <c r="F1661" s="6" t="str">
        <f>IFERROR(__xludf.DUMMYFUNCTION("""COMPUTED_VALUE"""),"Negative")</f>
        <v>Negative</v>
      </c>
      <c r="G1661" s="6">
        <f>IFERROR(__xludf.DUMMYFUNCTION("""COMPUTED_VALUE"""),1.0)</f>
        <v>1</v>
      </c>
    </row>
    <row r="1662">
      <c r="A1662" s="6" t="str">
        <f>IFERROR(__xludf.DUMMYFUNCTION("""COMPUTED_VALUE"""),"FM3008")</f>
        <v>FM3008</v>
      </c>
      <c r="B1662" s="6" t="str">
        <f>IFERROR(__xludf.DUMMYFUNCTION("""COMPUTED_VALUE"""),"RUN-COMB_2022-08-10_APS-003")</f>
        <v>RUN-COMB_2022-08-10_APS-003</v>
      </c>
      <c r="C1662" s="7">
        <f>VLOOKUP(B1662,'Run Reconcile'!A$2:B3090,2,FALSE)</f>
        <v>44783</v>
      </c>
      <c r="D1662" s="11">
        <f>IFERROR(__xludf.DUMMYFUNCTION("""COMPUTED_VALUE"""),44783.0)</f>
        <v>44783</v>
      </c>
      <c r="E1662" s="12">
        <f>IFERROR(__xludf.DUMMYFUNCTION("""COMPUTED_VALUE"""),0.26629629629678675)</f>
        <v>0.2662962963</v>
      </c>
      <c r="F1662" s="6" t="str">
        <f>IFERROR(__xludf.DUMMYFUNCTION("""COMPUTED_VALUE"""),"Negative")</f>
        <v>Negative</v>
      </c>
      <c r="G1662" s="6">
        <f>IFERROR(__xludf.DUMMYFUNCTION("""COMPUTED_VALUE"""),1.0)</f>
        <v>1</v>
      </c>
    </row>
    <row r="1663">
      <c r="A1663" s="6" t="str">
        <f>IFERROR(__xludf.DUMMYFUNCTION("""COMPUTED_VALUE"""),"FM3039")</f>
        <v>FM3039</v>
      </c>
      <c r="B1663" s="6" t="str">
        <f>IFERROR(__xludf.DUMMYFUNCTION("""COMPUTED_VALUE"""),"RUN-COMB_2022-08-10_APS-003")</f>
        <v>RUN-COMB_2022-08-10_APS-003</v>
      </c>
      <c r="C1663" s="7">
        <f>VLOOKUP(B1663,'Run Reconcile'!A$2:B3090,2,FALSE)</f>
        <v>44783</v>
      </c>
      <c r="D1663" s="11">
        <f>IFERROR(__xludf.DUMMYFUNCTION("""COMPUTED_VALUE"""),44783.0)</f>
        <v>44783</v>
      </c>
      <c r="E1663" s="12">
        <f>IFERROR(__xludf.DUMMYFUNCTION("""COMPUTED_VALUE"""),0.2666435185201408)</f>
        <v>0.2666435185</v>
      </c>
      <c r="F1663" s="6" t="str">
        <f>IFERROR(__xludf.DUMMYFUNCTION("""COMPUTED_VALUE"""),"Negative")</f>
        <v>Negative</v>
      </c>
      <c r="G1663" s="6">
        <f>IFERROR(__xludf.DUMMYFUNCTION("""COMPUTED_VALUE"""),1.0)</f>
        <v>1</v>
      </c>
    </row>
    <row r="1664">
      <c r="A1664" s="6" t="str">
        <f>IFERROR(__xludf.DUMMYFUNCTION("""COMPUTED_VALUE"""),"FM3040")</f>
        <v>FM3040</v>
      </c>
      <c r="B1664" s="6" t="str">
        <f>IFERROR(__xludf.DUMMYFUNCTION("""COMPUTED_VALUE"""),"RUN-COMB_2022-08-10_APS-003")</f>
        <v>RUN-COMB_2022-08-10_APS-003</v>
      </c>
      <c r="C1664" s="7">
        <f>VLOOKUP(B1664,'Run Reconcile'!A$2:B3090,2,FALSE)</f>
        <v>44783</v>
      </c>
      <c r="D1664" s="11">
        <f>IFERROR(__xludf.DUMMYFUNCTION("""COMPUTED_VALUE"""),44783.0)</f>
        <v>44783</v>
      </c>
      <c r="E1664" s="12">
        <f>IFERROR(__xludf.DUMMYFUNCTION("""COMPUTED_VALUE"""),0.2669097222205892)</f>
        <v>0.2669097222</v>
      </c>
      <c r="F1664" s="6" t="str">
        <f>IFERROR(__xludf.DUMMYFUNCTION("""COMPUTED_VALUE"""),"Negative")</f>
        <v>Negative</v>
      </c>
      <c r="G1664" s="6">
        <f>IFERROR(__xludf.DUMMYFUNCTION("""COMPUTED_VALUE"""),1.0)</f>
        <v>1</v>
      </c>
    </row>
    <row r="1665">
      <c r="A1665" s="6" t="str">
        <f>IFERROR(__xludf.DUMMYFUNCTION("""COMPUTED_VALUE"""),"FM3020")</f>
        <v>FM3020</v>
      </c>
      <c r="B1665" s="6" t="str">
        <f>IFERROR(__xludf.DUMMYFUNCTION("""COMPUTED_VALUE"""),"RUN-COMB_2022-08-10_APS-003")</f>
        <v>RUN-COMB_2022-08-10_APS-003</v>
      </c>
      <c r="C1665" s="7">
        <f>VLOOKUP(B1665,'Run Reconcile'!A$2:B3090,2,FALSE)</f>
        <v>44783</v>
      </c>
      <c r="D1665" s="11">
        <f>IFERROR(__xludf.DUMMYFUNCTION("""COMPUTED_VALUE"""),44783.0)</f>
        <v>44783</v>
      </c>
      <c r="E1665" s="12">
        <f>IFERROR(__xludf.DUMMYFUNCTION("""COMPUTED_VALUE"""),0.26719907407459687)</f>
        <v>0.2671990741</v>
      </c>
      <c r="F1665" s="6" t="str">
        <f>IFERROR(__xludf.DUMMYFUNCTION("""COMPUTED_VALUE"""),"Negative")</f>
        <v>Negative</v>
      </c>
      <c r="G1665" s="6">
        <f>IFERROR(__xludf.DUMMYFUNCTION("""COMPUTED_VALUE"""),1.0)</f>
        <v>1</v>
      </c>
    </row>
    <row r="1666">
      <c r="A1666" s="6" t="str">
        <f>IFERROR(__xludf.DUMMYFUNCTION("""COMPUTED_VALUE"""),"FM3075")</f>
        <v>FM3075</v>
      </c>
      <c r="B1666" s="6" t="str">
        <f>IFERROR(__xludf.DUMMYFUNCTION("""COMPUTED_VALUE"""),"RUN-COMB_2022-08-10_APS-003")</f>
        <v>RUN-COMB_2022-08-10_APS-003</v>
      </c>
      <c r="C1666" s="7">
        <f>VLOOKUP(B1666,'Run Reconcile'!A$2:B3090,2,FALSE)</f>
        <v>44783</v>
      </c>
      <c r="D1666" s="11">
        <f>IFERROR(__xludf.DUMMYFUNCTION("""COMPUTED_VALUE"""),44783.0)</f>
        <v>44783</v>
      </c>
      <c r="E1666" s="12">
        <f>IFERROR(__xludf.DUMMYFUNCTION("""COMPUTED_VALUE"""),0.2675231481480296)</f>
        <v>0.2675231481</v>
      </c>
      <c r="F1666" s="6" t="str">
        <f>IFERROR(__xludf.DUMMYFUNCTION("""COMPUTED_VALUE"""),"Negative")</f>
        <v>Negative</v>
      </c>
      <c r="G1666" s="6">
        <f>IFERROR(__xludf.DUMMYFUNCTION("""COMPUTED_VALUE"""),1.0)</f>
        <v>1</v>
      </c>
    </row>
    <row r="1667">
      <c r="A1667" s="6" t="str">
        <f>IFERROR(__xludf.DUMMYFUNCTION("""COMPUTED_VALUE"""),"FM3030")</f>
        <v>FM3030</v>
      </c>
      <c r="B1667" s="6" t="str">
        <f>IFERROR(__xludf.DUMMYFUNCTION("""COMPUTED_VALUE"""),"RUN-COMB_2022-08-10_APS-003")</f>
        <v>RUN-COMB_2022-08-10_APS-003</v>
      </c>
      <c r="C1667" s="7">
        <f>VLOOKUP(B1667,'Run Reconcile'!A$2:B3090,2,FALSE)</f>
        <v>44783</v>
      </c>
      <c r="D1667" s="11">
        <f>IFERROR(__xludf.DUMMYFUNCTION("""COMPUTED_VALUE"""),44783.0)</f>
        <v>44783</v>
      </c>
      <c r="E1667" s="12">
        <f>IFERROR(__xludf.DUMMYFUNCTION("""COMPUTED_VALUE"""),0.26785879629460396)</f>
        <v>0.2678587963</v>
      </c>
      <c r="F1667" s="6" t="str">
        <f>IFERROR(__xludf.DUMMYFUNCTION("""COMPUTED_VALUE"""),"Negative")</f>
        <v>Negative</v>
      </c>
      <c r="G1667" s="6">
        <f>IFERROR(__xludf.DUMMYFUNCTION("""COMPUTED_VALUE"""),1.0)</f>
        <v>1</v>
      </c>
    </row>
    <row r="1668">
      <c r="A1668" s="6" t="str">
        <f>IFERROR(__xludf.DUMMYFUNCTION("""COMPUTED_VALUE"""),"FM3002")</f>
        <v>FM3002</v>
      </c>
      <c r="B1668" s="6" t="str">
        <f>IFERROR(__xludf.DUMMYFUNCTION("""COMPUTED_VALUE"""),"RUN-COMB_2022-08-10_APS-003")</f>
        <v>RUN-COMB_2022-08-10_APS-003</v>
      </c>
      <c r="C1668" s="7">
        <f>VLOOKUP(B1668,'Run Reconcile'!A$2:B3090,2,FALSE)</f>
        <v>44783</v>
      </c>
      <c r="D1668" s="11">
        <f>IFERROR(__xludf.DUMMYFUNCTION("""COMPUTED_VALUE"""),44783.0)</f>
        <v>44783</v>
      </c>
      <c r="E1668" s="12">
        <f>IFERROR(__xludf.DUMMYFUNCTION("""COMPUTED_VALUE"""),0.2682175925910997)</f>
        <v>0.2682175926</v>
      </c>
      <c r="F1668" s="6" t="str">
        <f>IFERROR(__xludf.DUMMYFUNCTION("""COMPUTED_VALUE"""),"Negative")</f>
        <v>Negative</v>
      </c>
      <c r="G1668" s="6">
        <f>IFERROR(__xludf.DUMMYFUNCTION("""COMPUTED_VALUE"""),1.0)</f>
        <v>1</v>
      </c>
    </row>
    <row r="1669">
      <c r="A1669" s="6" t="str">
        <f>IFERROR(__xludf.DUMMYFUNCTION("""COMPUTED_VALUE"""),"FM3046")</f>
        <v>FM3046</v>
      </c>
      <c r="B1669" s="6" t="str">
        <f>IFERROR(__xludf.DUMMYFUNCTION("""COMPUTED_VALUE"""),"RUN-COMB_2022-08-10_APS-003")</f>
        <v>RUN-COMB_2022-08-10_APS-003</v>
      </c>
      <c r="C1669" s="7">
        <f>VLOOKUP(B1669,'Run Reconcile'!A$2:B3090,2,FALSE)</f>
        <v>44783</v>
      </c>
      <c r="D1669" s="11">
        <f>IFERROR(__xludf.DUMMYFUNCTION("""COMPUTED_VALUE"""),44783.0)</f>
        <v>44783</v>
      </c>
      <c r="E1669" s="12">
        <f>IFERROR(__xludf.DUMMYFUNCTION("""COMPUTED_VALUE"""),0.26851851851824904)</f>
        <v>0.2685185185</v>
      </c>
      <c r="F1669" s="6" t="str">
        <f>IFERROR(__xludf.DUMMYFUNCTION("""COMPUTED_VALUE"""),"Negative")</f>
        <v>Negative</v>
      </c>
      <c r="G1669" s="6">
        <f>IFERROR(__xludf.DUMMYFUNCTION("""COMPUTED_VALUE"""),1.0)</f>
        <v>1</v>
      </c>
    </row>
    <row r="1670">
      <c r="A1670" s="6" t="str">
        <f>IFERROR(__xludf.DUMMYFUNCTION("""COMPUTED_VALUE"""),"FM3095")</f>
        <v>FM3095</v>
      </c>
      <c r="B1670" s="6" t="str">
        <f>IFERROR(__xludf.DUMMYFUNCTION("""COMPUTED_VALUE"""),"RUN-COMB_2022-08-10_APS-003")</f>
        <v>RUN-COMB_2022-08-10_APS-003</v>
      </c>
      <c r="C1670" s="7">
        <f>VLOOKUP(B1670,'Run Reconcile'!A$2:B3090,2,FALSE)</f>
        <v>44783</v>
      </c>
      <c r="D1670" s="11">
        <f>IFERROR(__xludf.DUMMYFUNCTION("""COMPUTED_VALUE"""),44783.0)</f>
        <v>44783</v>
      </c>
      <c r="E1670" s="12">
        <f>IFERROR(__xludf.DUMMYFUNCTION("""COMPUTED_VALUE"""),0.2687962962954771)</f>
        <v>0.2687962963</v>
      </c>
      <c r="F1670" s="6" t="str">
        <f>IFERROR(__xludf.DUMMYFUNCTION("""COMPUTED_VALUE"""),"Negative")</f>
        <v>Negative</v>
      </c>
      <c r="G1670" s="6">
        <f>IFERROR(__xludf.DUMMYFUNCTION("""COMPUTED_VALUE"""),1.0)</f>
        <v>1</v>
      </c>
    </row>
    <row r="1671">
      <c r="A1671" s="6" t="str">
        <f>IFERROR(__xludf.DUMMYFUNCTION("""COMPUTED_VALUE"""),"FM3092")</f>
        <v>FM3092</v>
      </c>
      <c r="B1671" s="6" t="str">
        <f>IFERROR(__xludf.DUMMYFUNCTION("""COMPUTED_VALUE"""),"RUN-COMB_2022-08-10_APS-003")</f>
        <v>RUN-COMB_2022-08-10_APS-003</v>
      </c>
      <c r="C1671" s="7">
        <f>VLOOKUP(B1671,'Run Reconcile'!A$2:B3090,2,FALSE)</f>
        <v>44783</v>
      </c>
      <c r="D1671" s="11">
        <f>IFERROR(__xludf.DUMMYFUNCTION("""COMPUTED_VALUE"""),44783.0)</f>
        <v>44783</v>
      </c>
      <c r="E1671" s="12">
        <f>IFERROR(__xludf.DUMMYFUNCTION("""COMPUTED_VALUE"""),0.2691087962957681)</f>
        <v>0.2691087963</v>
      </c>
      <c r="F1671" s="6" t="str">
        <f>IFERROR(__xludf.DUMMYFUNCTION("""COMPUTED_VALUE"""),"Negative")</f>
        <v>Negative</v>
      </c>
      <c r="G1671" s="6">
        <f>IFERROR(__xludf.DUMMYFUNCTION("""COMPUTED_VALUE"""),1.0)</f>
        <v>1</v>
      </c>
    </row>
    <row r="1672">
      <c r="A1672" s="6" t="str">
        <f>IFERROR(__xludf.DUMMYFUNCTION("""COMPUTED_VALUE"""),"FM3037")</f>
        <v>FM3037</v>
      </c>
      <c r="B1672" s="6" t="str">
        <f>IFERROR(__xludf.DUMMYFUNCTION("""COMPUTED_VALUE"""),"RUN-COMB_2022-08-10_APS-003")</f>
        <v>RUN-COMB_2022-08-10_APS-003</v>
      </c>
      <c r="C1672" s="7">
        <f>VLOOKUP(B1672,'Run Reconcile'!A$2:B3090,2,FALSE)</f>
        <v>44783</v>
      </c>
      <c r="D1672" s="11">
        <f>IFERROR(__xludf.DUMMYFUNCTION("""COMPUTED_VALUE"""),44783.0)</f>
        <v>44783</v>
      </c>
      <c r="E1672" s="12">
        <f>IFERROR(__xludf.DUMMYFUNCTION("""COMPUTED_VALUE"""),0.2694097222229175)</f>
        <v>0.2694097222</v>
      </c>
      <c r="F1672" s="6" t="str">
        <f>IFERROR(__xludf.DUMMYFUNCTION("""COMPUTED_VALUE"""),"Negative")</f>
        <v>Negative</v>
      </c>
      <c r="G1672" s="6">
        <f>IFERROR(__xludf.DUMMYFUNCTION("""COMPUTED_VALUE"""),1.0)</f>
        <v>1</v>
      </c>
    </row>
    <row r="1673">
      <c r="A1673" s="6" t="str">
        <f>IFERROR(__xludf.DUMMYFUNCTION("""COMPUTED_VALUE"""),"FM3086")</f>
        <v>FM3086</v>
      </c>
      <c r="B1673" s="6" t="str">
        <f>IFERROR(__xludf.DUMMYFUNCTION("""COMPUTED_VALUE"""),"RUN-COMB_2022-08-10_APS-003")</f>
        <v>RUN-COMB_2022-08-10_APS-003</v>
      </c>
      <c r="C1673" s="7">
        <f>VLOOKUP(B1673,'Run Reconcile'!A$2:B3090,2,FALSE)</f>
        <v>44783</v>
      </c>
      <c r="D1673" s="11">
        <f>IFERROR(__xludf.DUMMYFUNCTION("""COMPUTED_VALUE"""),44783.0)</f>
        <v>44783</v>
      </c>
      <c r="E1673" s="12">
        <f>IFERROR(__xludf.DUMMYFUNCTION("""COMPUTED_VALUE"""),0.2696875000001455)</f>
        <v>0.2696875</v>
      </c>
      <c r="F1673" s="6" t="str">
        <f>IFERROR(__xludf.DUMMYFUNCTION("""COMPUTED_VALUE"""),"Negative")</f>
        <v>Negative</v>
      </c>
      <c r="G1673" s="6">
        <f>IFERROR(__xludf.DUMMYFUNCTION("""COMPUTED_VALUE"""),1.0)</f>
        <v>1</v>
      </c>
    </row>
    <row r="1674">
      <c r="A1674" s="6" t="str">
        <f>IFERROR(__xludf.DUMMYFUNCTION("""COMPUTED_VALUE"""),"ARFCOMB001")</f>
        <v>ARFCOMB001</v>
      </c>
      <c r="B1674" s="6" t="str">
        <f>IFERROR(__xludf.DUMMYFUNCTION("""COMPUTED_VALUE"""),"RUN-COMB_2022-03-21_RFR-002")</f>
        <v>RUN-COMB_2022-03-21_RFR-002</v>
      </c>
      <c r="C1674" s="7">
        <f>VLOOKUP(B1674,'Run Reconcile'!A$2:B3090,2,FALSE)</f>
        <v>44641</v>
      </c>
      <c r="F1674" s="6" t="str">
        <f>IFERROR(__xludf.DUMMYFUNCTION("""COMPUTED_VALUE"""),"Negative")</f>
        <v>Negative</v>
      </c>
    </row>
    <row r="1675">
      <c r="A1675" s="6" t="str">
        <f>IFERROR(__xludf.DUMMYFUNCTION("""COMPUTED_VALUE"""),"ARFCOMB002")</f>
        <v>ARFCOMB002</v>
      </c>
      <c r="B1675" s="6" t="str">
        <f>IFERROR(__xludf.DUMMYFUNCTION("""COMPUTED_VALUE"""),"RUN-COMB_2022-04-04_RFR-009")</f>
        <v>RUN-COMB_2022-04-04_RFR-009</v>
      </c>
      <c r="C1675" s="7">
        <f>VLOOKUP(B1675,'Run Reconcile'!A$2:B3090,2,FALSE)</f>
        <v>44655</v>
      </c>
      <c r="F1675" s="6" t="str">
        <f>IFERROR(__xludf.DUMMYFUNCTION("""COMPUTED_VALUE"""),"Negative")</f>
        <v>Negative</v>
      </c>
    </row>
    <row r="1676">
      <c r="A1676" s="6" t="str">
        <f>IFERROR(__xludf.DUMMYFUNCTION("""COMPUTED_VALUE"""),"ARFCOMB003")</f>
        <v>ARFCOMB003</v>
      </c>
      <c r="B1676" s="6" t="str">
        <f>IFERROR(__xludf.DUMMYFUNCTION("""COMPUTED_VALUE"""),"RUN-COMB_2022-04-04_RFR-009")</f>
        <v>RUN-COMB_2022-04-04_RFR-009</v>
      </c>
      <c r="C1676" s="7">
        <f>VLOOKUP(B1676,'Run Reconcile'!A$2:B3090,2,FALSE)</f>
        <v>44655</v>
      </c>
      <c r="F1676" s="6" t="str">
        <f>IFERROR(__xludf.DUMMYFUNCTION("""COMPUTED_VALUE"""),"Negative")</f>
        <v>Negative</v>
      </c>
    </row>
    <row r="1677">
      <c r="A1677" s="6" t="str">
        <f>IFERROR(__xludf.DUMMYFUNCTION("""COMPUTED_VALUE"""),"ARFCOMB004")</f>
        <v>ARFCOMB004</v>
      </c>
      <c r="B1677" s="6" t="str">
        <f>IFERROR(__xludf.DUMMYFUNCTION("""COMPUTED_VALUE"""),"RUN-COMB_2022-04-04_RFR-009")</f>
        <v>RUN-COMB_2022-04-04_RFR-009</v>
      </c>
      <c r="C1677" s="7">
        <f>VLOOKUP(B1677,'Run Reconcile'!A$2:B3090,2,FALSE)</f>
        <v>44655</v>
      </c>
      <c r="F1677" s="6" t="str">
        <f>IFERROR(__xludf.DUMMYFUNCTION("""COMPUTED_VALUE"""),"Negative")</f>
        <v>Negative</v>
      </c>
    </row>
    <row r="1678">
      <c r="A1678" s="6" t="str">
        <f>IFERROR(__xludf.DUMMYFUNCTION("""COMPUTED_VALUE"""),"ARFCOMB005")</f>
        <v>ARFCOMB005</v>
      </c>
      <c r="B1678" s="6" t="str">
        <f>IFERROR(__xludf.DUMMYFUNCTION("""COMPUTED_VALUE"""),"RUN-COMB_2022-04-05_RFR-010")</f>
        <v>RUN-COMB_2022-04-05_RFR-010</v>
      </c>
      <c r="C1678" s="7">
        <f>VLOOKUP(B1678,'Run Reconcile'!A$2:B3090,2,FALSE)</f>
        <v>44656</v>
      </c>
      <c r="F1678" s="6" t="str">
        <f>IFERROR(__xludf.DUMMYFUNCTION("""COMPUTED_VALUE"""),"Negative")</f>
        <v>Negative</v>
      </c>
    </row>
    <row r="1679">
      <c r="A1679" s="6" t="str">
        <f>IFERROR(__xludf.DUMMYFUNCTION("""COMPUTED_VALUE"""),"ARFCOMB006")</f>
        <v>ARFCOMB006</v>
      </c>
      <c r="B1679" s="6" t="str">
        <f>IFERROR(__xludf.DUMMYFUNCTION("""COMPUTED_VALUE"""),"RUN-COMB_2022-04-05_RFR-010")</f>
        <v>RUN-COMB_2022-04-05_RFR-010</v>
      </c>
      <c r="C1679" s="7">
        <f>VLOOKUP(B1679,'Run Reconcile'!A$2:B3090,2,FALSE)</f>
        <v>44656</v>
      </c>
      <c r="F1679" s="6" t="str">
        <f>IFERROR(__xludf.DUMMYFUNCTION("""COMPUTED_VALUE"""),"Negative")</f>
        <v>Negative</v>
      </c>
    </row>
    <row r="1680">
      <c r="A1680" s="6" t="str">
        <f>IFERROR(__xludf.DUMMYFUNCTION("""COMPUTED_VALUE"""),"ARFCOMB007")</f>
        <v>ARFCOMB007</v>
      </c>
      <c r="B1680" s="6" t="str">
        <f>IFERROR(__xludf.DUMMYFUNCTION("""COMPUTED_VALUE"""),"RUN-COMB_2022-04-05_RFR-010")</f>
        <v>RUN-COMB_2022-04-05_RFR-010</v>
      </c>
      <c r="C1680" s="7">
        <f>VLOOKUP(B1680,'Run Reconcile'!A$2:B3090,2,FALSE)</f>
        <v>44656</v>
      </c>
      <c r="F1680" s="6" t="str">
        <f>IFERROR(__xludf.DUMMYFUNCTION("""COMPUTED_VALUE"""),"Negative")</f>
        <v>Negative</v>
      </c>
    </row>
    <row r="1681">
      <c r="A1681" s="6" t="str">
        <f>IFERROR(__xludf.DUMMYFUNCTION("""COMPUTED_VALUE"""),"ARFCOMB008")</f>
        <v>ARFCOMB008</v>
      </c>
      <c r="B1681" s="6" t="str">
        <f>IFERROR(__xludf.DUMMYFUNCTION("""COMPUTED_VALUE"""),"RUN-COMB_2022-04-05_RFR-010")</f>
        <v>RUN-COMB_2022-04-05_RFR-010</v>
      </c>
      <c r="C1681" s="7">
        <f>VLOOKUP(B1681,'Run Reconcile'!A$2:B3090,2,FALSE)</f>
        <v>44656</v>
      </c>
      <c r="F1681" s="6" t="str">
        <f>IFERROR(__xludf.DUMMYFUNCTION("""COMPUTED_VALUE"""),"Negative")</f>
        <v>Negative</v>
      </c>
    </row>
    <row r="1682">
      <c r="A1682" s="6" t="str">
        <f>IFERROR(__xludf.DUMMYFUNCTION("""COMPUTED_VALUE"""),"ARFCOMB009")</f>
        <v>ARFCOMB009</v>
      </c>
      <c r="B1682" s="6" t="str">
        <f>IFERROR(__xludf.DUMMYFUNCTION("""COMPUTED_VALUE"""),"RUN-COMB_2022-04-06_RFR-011")</f>
        <v>RUN-COMB_2022-04-06_RFR-011</v>
      </c>
      <c r="C1682" s="7">
        <f>VLOOKUP(B1682,'Run Reconcile'!A$2:B3090,2,FALSE)</f>
        <v>44657</v>
      </c>
      <c r="F1682" s="6" t="str">
        <f>IFERROR(__xludf.DUMMYFUNCTION("""COMPUTED_VALUE"""),"Negative")</f>
        <v>Negative</v>
      </c>
    </row>
    <row r="1683">
      <c r="A1683" s="6" t="str">
        <f>IFERROR(__xludf.DUMMYFUNCTION("""COMPUTED_VALUE"""),"ARFCOMB010")</f>
        <v>ARFCOMB010</v>
      </c>
      <c r="B1683" s="6" t="str">
        <f>IFERROR(__xludf.DUMMYFUNCTION("""COMPUTED_VALUE"""),"RUN-COMB_2022-04-06_RFR-011")</f>
        <v>RUN-COMB_2022-04-06_RFR-011</v>
      </c>
      <c r="C1683" s="7">
        <f>VLOOKUP(B1683,'Run Reconcile'!A$2:B3090,2,FALSE)</f>
        <v>44657</v>
      </c>
      <c r="F1683" s="6" t="str">
        <f>IFERROR(__xludf.DUMMYFUNCTION("""COMPUTED_VALUE"""),"Negative")</f>
        <v>Negative</v>
      </c>
    </row>
    <row r="1684">
      <c r="A1684" s="6" t="str">
        <f>IFERROR(__xludf.DUMMYFUNCTION("""COMPUTED_VALUE"""),"ARFCOMB011")</f>
        <v>ARFCOMB011</v>
      </c>
      <c r="B1684" s="6" t="str">
        <f>IFERROR(__xludf.DUMMYFUNCTION("""COMPUTED_VALUE"""),"RUN-COMB_2022-04-06_RFR-011")</f>
        <v>RUN-COMB_2022-04-06_RFR-011</v>
      </c>
      <c r="C1684" s="7">
        <f>VLOOKUP(B1684,'Run Reconcile'!A$2:B3090,2,FALSE)</f>
        <v>44657</v>
      </c>
      <c r="F1684" s="6" t="str">
        <f>IFERROR(__xludf.DUMMYFUNCTION("""COMPUTED_VALUE"""),"Negative")</f>
        <v>Negative</v>
      </c>
    </row>
    <row r="1685">
      <c r="A1685" s="6" t="str">
        <f>IFERROR(__xludf.DUMMYFUNCTION("""COMPUTED_VALUE"""),"ARFCOMB012")</f>
        <v>ARFCOMB012</v>
      </c>
      <c r="B1685" s="6" t="str">
        <f>IFERROR(__xludf.DUMMYFUNCTION("""COMPUTED_VALUE"""),"RUN-COMB_2022-04-06_RFR-011")</f>
        <v>RUN-COMB_2022-04-06_RFR-011</v>
      </c>
      <c r="C1685" s="7">
        <f>VLOOKUP(B1685,'Run Reconcile'!A$2:B3090,2,FALSE)</f>
        <v>44657</v>
      </c>
      <c r="F1685" s="6" t="str">
        <f>IFERROR(__xludf.DUMMYFUNCTION("""COMPUTED_VALUE"""),"Negative")</f>
        <v>Negative</v>
      </c>
    </row>
    <row r="1686">
      <c r="A1686" s="6" t="str">
        <f>IFERROR(__xludf.DUMMYFUNCTION("""COMPUTED_VALUE"""),"ARFCOMB013")</f>
        <v>ARFCOMB013</v>
      </c>
      <c r="B1686" s="6" t="str">
        <f>IFERROR(__xludf.DUMMYFUNCTION("""COMPUTED_VALUE"""),"RUN-COMB_2022-04-06_RFR-011")</f>
        <v>RUN-COMB_2022-04-06_RFR-011</v>
      </c>
      <c r="C1686" s="7">
        <f>VLOOKUP(B1686,'Run Reconcile'!A$2:B3090,2,FALSE)</f>
        <v>44657</v>
      </c>
      <c r="F1686" s="6" t="str">
        <f>IFERROR(__xludf.DUMMYFUNCTION("""COMPUTED_VALUE"""),"Negative")</f>
        <v>Negative</v>
      </c>
    </row>
    <row r="1687">
      <c r="A1687" s="6" t="str">
        <f>IFERROR(__xludf.DUMMYFUNCTION("""COMPUTED_VALUE"""),"ARFCOMB014")</f>
        <v>ARFCOMB014</v>
      </c>
      <c r="B1687" s="6" t="str">
        <f>IFERROR(__xludf.DUMMYFUNCTION("""COMPUTED_VALUE"""),"RUN-COMB_2022-04-06_RFR-011")</f>
        <v>RUN-COMB_2022-04-06_RFR-011</v>
      </c>
      <c r="C1687" s="7">
        <f>VLOOKUP(B1687,'Run Reconcile'!A$2:B3090,2,FALSE)</f>
        <v>44657</v>
      </c>
      <c r="F1687" s="6" t="str">
        <f>IFERROR(__xludf.DUMMYFUNCTION("""COMPUTED_VALUE"""),"Negative")</f>
        <v>Negative</v>
      </c>
    </row>
    <row r="1688">
      <c r="A1688" s="6" t="str">
        <f>IFERROR(__xludf.DUMMYFUNCTION("""COMPUTED_VALUE"""),"ARFCOMB015")</f>
        <v>ARFCOMB015</v>
      </c>
      <c r="B1688" s="6" t="str">
        <f>IFERROR(__xludf.DUMMYFUNCTION("""COMPUTED_VALUE"""),"RUN-COMB_2022-04-07_RFR-012")</f>
        <v>RUN-COMB_2022-04-07_RFR-012</v>
      </c>
      <c r="C1688" s="7">
        <f>VLOOKUP(B1688,'Run Reconcile'!A$2:B3090,2,FALSE)</f>
        <v>44658</v>
      </c>
      <c r="F1688" s="6" t="str">
        <f>IFERROR(__xludf.DUMMYFUNCTION("""COMPUTED_VALUE"""),"Negative")</f>
        <v>Negative</v>
      </c>
    </row>
    <row r="1689">
      <c r="A1689" s="6" t="str">
        <f>IFERROR(__xludf.DUMMYFUNCTION("""COMPUTED_VALUE"""),"ARFCOMB016")</f>
        <v>ARFCOMB016</v>
      </c>
      <c r="B1689" s="6" t="str">
        <f>IFERROR(__xludf.DUMMYFUNCTION("""COMPUTED_VALUE"""),"RUN-COMB_2022-04-07_RFR-012")</f>
        <v>RUN-COMB_2022-04-07_RFR-012</v>
      </c>
      <c r="C1689" s="7">
        <f>VLOOKUP(B1689,'Run Reconcile'!A$2:B3090,2,FALSE)</f>
        <v>44658</v>
      </c>
      <c r="F1689" s="6" t="str">
        <f>IFERROR(__xludf.DUMMYFUNCTION("""COMPUTED_VALUE"""),"Negative")</f>
        <v>Negative</v>
      </c>
    </row>
    <row r="1690">
      <c r="A1690" s="6" t="str">
        <f>IFERROR(__xludf.DUMMYFUNCTION("""COMPUTED_VALUE"""),"ARFCOMB017")</f>
        <v>ARFCOMB017</v>
      </c>
      <c r="B1690" s="6" t="str">
        <f>IFERROR(__xludf.DUMMYFUNCTION("""COMPUTED_VALUE"""),"RUN-COMB_2022-05-28_RFR-049")</f>
        <v>RUN-COMB_2022-05-28_RFR-049</v>
      </c>
      <c r="C1690" s="7">
        <f>VLOOKUP(B1690,'Run Reconcile'!A$2:B3090,2,FALSE)</f>
        <v>44709</v>
      </c>
      <c r="F1690" s="6" t="str">
        <f>IFERROR(__xludf.DUMMYFUNCTION("""COMPUTED_VALUE"""),"Negative")</f>
        <v>Negative</v>
      </c>
    </row>
    <row r="1691">
      <c r="A1691" s="6" t="str">
        <f>IFERROR(__xludf.DUMMYFUNCTION("""COMPUTED_VALUE"""),"ARFCOMB018")</f>
        <v>ARFCOMB018</v>
      </c>
      <c r="B1691" s="6" t="str">
        <f>IFERROR(__xludf.DUMMYFUNCTION("""COMPUTED_VALUE"""),"RUN-COMB_2022-05-28_RFR-049")</f>
        <v>RUN-COMB_2022-05-28_RFR-049</v>
      </c>
      <c r="C1691" s="7">
        <f>VLOOKUP(B1691,'Run Reconcile'!A$2:B3090,2,FALSE)</f>
        <v>44709</v>
      </c>
      <c r="F1691" s="6" t="str">
        <f>IFERROR(__xludf.DUMMYFUNCTION("""COMPUTED_VALUE"""),"Negative")</f>
        <v>Negative</v>
      </c>
    </row>
    <row r="1692">
      <c r="A1692" s="6" t="str">
        <f>IFERROR(__xludf.DUMMYFUNCTION("""COMPUTED_VALUE"""),"ARFCOMB019")</f>
        <v>ARFCOMB019</v>
      </c>
      <c r="B1692" s="6" t="str">
        <f>IFERROR(__xludf.DUMMYFUNCTION("""COMPUTED_VALUE"""),"RUN-COMB_2022-05-28_RFR-049")</f>
        <v>RUN-COMB_2022-05-28_RFR-049</v>
      </c>
      <c r="C1692" s="7">
        <f>VLOOKUP(B1692,'Run Reconcile'!A$2:B3090,2,FALSE)</f>
        <v>44709</v>
      </c>
      <c r="F1692" s="6" t="str">
        <f>IFERROR(__xludf.DUMMYFUNCTION("""COMPUTED_VALUE"""),"Negative")</f>
        <v>Negative</v>
      </c>
    </row>
    <row r="1693">
      <c r="A1693" s="6" t="str">
        <f>IFERROR(__xludf.DUMMYFUNCTION("""COMPUTED_VALUE"""),"ARFCOMB020")</f>
        <v>ARFCOMB020</v>
      </c>
      <c r="B1693" s="6" t="str">
        <f>IFERROR(__xludf.DUMMYFUNCTION("""COMPUTED_VALUE"""),"RUN-COMB_2022-05-28_RFR-049")</f>
        <v>RUN-COMB_2022-05-28_RFR-049</v>
      </c>
      <c r="C1693" s="7">
        <f>VLOOKUP(B1693,'Run Reconcile'!A$2:B3090,2,FALSE)</f>
        <v>44709</v>
      </c>
      <c r="F1693" s="6" t="str">
        <f>IFERROR(__xludf.DUMMYFUNCTION("""COMPUTED_VALUE"""),"Negative")</f>
        <v>Negative</v>
      </c>
    </row>
    <row r="1694">
      <c r="A1694" s="6" t="str">
        <f>IFERROR(__xludf.DUMMYFUNCTION("""COMPUTED_VALUE"""),"ARFCOMB021")</f>
        <v>ARFCOMB021</v>
      </c>
      <c r="B1694" s="6" t="str">
        <f>IFERROR(__xludf.DUMMYFUNCTION("""COMPUTED_VALUE"""),"RUN-COMB_2022-05-28_RFR-049")</f>
        <v>RUN-COMB_2022-05-28_RFR-049</v>
      </c>
      <c r="C1694" s="7">
        <f>VLOOKUP(B1694,'Run Reconcile'!A$2:B3090,2,FALSE)</f>
        <v>44709</v>
      </c>
      <c r="F1694" s="6" t="str">
        <f>IFERROR(__xludf.DUMMYFUNCTION("""COMPUTED_VALUE"""),"Negative")</f>
        <v>Negative</v>
      </c>
    </row>
    <row r="1695">
      <c r="A1695" s="6" t="str">
        <f>IFERROR(__xludf.DUMMYFUNCTION("""COMPUTED_VALUE"""),"ARFCOMB022")</f>
        <v>ARFCOMB022</v>
      </c>
      <c r="B1695" s="6" t="str">
        <f>IFERROR(__xludf.DUMMYFUNCTION("""COMPUTED_VALUE"""),"RUN-COMB_2022-05-28_RFR-049")</f>
        <v>RUN-COMB_2022-05-28_RFR-049</v>
      </c>
      <c r="C1695" s="7">
        <f>VLOOKUP(B1695,'Run Reconcile'!A$2:B3090,2,FALSE)</f>
        <v>44709</v>
      </c>
      <c r="F1695" s="6" t="str">
        <f>IFERROR(__xludf.DUMMYFUNCTION("""COMPUTED_VALUE"""),"Negative")</f>
        <v>Negative</v>
      </c>
    </row>
    <row r="1696">
      <c r="A1696" s="6" t="str">
        <f>IFERROR(__xludf.DUMMYFUNCTION("""COMPUTED_VALUE"""),"ARFCOMB023")</f>
        <v>ARFCOMB023</v>
      </c>
      <c r="B1696" s="6" t="str">
        <f>IFERROR(__xludf.DUMMYFUNCTION("""COMPUTED_VALUE"""),"RUN-COMB_2022-05-28_RFR-049")</f>
        <v>RUN-COMB_2022-05-28_RFR-049</v>
      </c>
      <c r="C1696" s="7">
        <f>VLOOKUP(B1696,'Run Reconcile'!A$2:B3090,2,FALSE)</f>
        <v>44709</v>
      </c>
      <c r="F1696" s="6" t="str">
        <f>IFERROR(__xludf.DUMMYFUNCTION("""COMPUTED_VALUE"""),"Negative")</f>
        <v>Negative</v>
      </c>
    </row>
    <row r="1697">
      <c r="A1697" s="6" t="str">
        <f>IFERROR(__xludf.DUMMYFUNCTION("""COMPUTED_VALUE"""),"ARFCOMB024")</f>
        <v>ARFCOMB024</v>
      </c>
      <c r="B1697" s="6" t="str">
        <f>IFERROR(__xludf.DUMMYFUNCTION("""COMPUTED_VALUE"""),"RUN-COMB_2022-05-28_RFR-049")</f>
        <v>RUN-COMB_2022-05-28_RFR-049</v>
      </c>
      <c r="C1697" s="7">
        <f>VLOOKUP(B1697,'Run Reconcile'!A$2:B3090,2,FALSE)</f>
        <v>44709</v>
      </c>
      <c r="F1697" s="6" t="str">
        <f>IFERROR(__xludf.DUMMYFUNCTION("""COMPUTED_VALUE"""),"Negative")</f>
        <v>Negative</v>
      </c>
    </row>
    <row r="1698">
      <c r="A1698" s="6" t="str">
        <f>IFERROR(__xludf.DUMMYFUNCTION("""COMPUTED_VALUE"""),"ARFCOMB025")</f>
        <v>ARFCOMB025</v>
      </c>
      <c r="B1698" s="6" t="str">
        <f>IFERROR(__xludf.DUMMYFUNCTION("""COMPUTED_VALUE"""),"RUN-COMB_2022-05-28_RFR-049")</f>
        <v>RUN-COMB_2022-05-28_RFR-049</v>
      </c>
      <c r="C1698" s="7">
        <f>VLOOKUP(B1698,'Run Reconcile'!A$2:B3090,2,FALSE)</f>
        <v>44709</v>
      </c>
      <c r="F1698" s="6" t="str">
        <f>IFERROR(__xludf.DUMMYFUNCTION("""COMPUTED_VALUE"""),"Negative")</f>
        <v>Negative</v>
      </c>
    </row>
    <row r="1699">
      <c r="A1699" s="6" t="str">
        <f>IFERROR(__xludf.DUMMYFUNCTION("""COMPUTED_VALUE"""),"ARFCOMB026")</f>
        <v>ARFCOMB026</v>
      </c>
      <c r="B1699" s="6" t="str">
        <f>IFERROR(__xludf.DUMMYFUNCTION("""COMPUTED_VALUE"""),"RUN-COMB_2022-06-06_RFR-056")</f>
        <v>RUN-COMB_2022-06-06_RFR-056</v>
      </c>
      <c r="C1699" s="7">
        <f>VLOOKUP(B1699,'Run Reconcile'!A$2:B3090,2,FALSE)</f>
        <v>44718</v>
      </c>
      <c r="F1699" s="6" t="str">
        <f>IFERROR(__xludf.DUMMYFUNCTION("""COMPUTED_VALUE"""),"Negative")</f>
        <v>Negative</v>
      </c>
    </row>
    <row r="1700">
      <c r="A1700" s="6" t="str">
        <f>IFERROR(__xludf.DUMMYFUNCTION("""COMPUTED_VALUE"""),"ARFCOMB027")</f>
        <v>ARFCOMB027</v>
      </c>
      <c r="B1700" s="6" t="str">
        <f>IFERROR(__xludf.DUMMYFUNCTION("""COMPUTED_VALUE"""),"RUN-COMB_2022-06-06_RFR-056")</f>
        <v>RUN-COMB_2022-06-06_RFR-056</v>
      </c>
      <c r="C1700" s="7">
        <f>VLOOKUP(B1700,'Run Reconcile'!A$2:B3090,2,FALSE)</f>
        <v>44718</v>
      </c>
      <c r="F1700" s="6" t="str">
        <f>IFERROR(__xludf.DUMMYFUNCTION("""COMPUTED_VALUE"""),"Negative")</f>
        <v>Negative</v>
      </c>
    </row>
    <row r="1701">
      <c r="A1701" s="6" t="str">
        <f>IFERROR(__xludf.DUMMYFUNCTION("""COMPUTED_VALUE"""),"ARFCOMB028")</f>
        <v>ARFCOMB028</v>
      </c>
      <c r="B1701" s="6" t="str">
        <f>IFERROR(__xludf.DUMMYFUNCTION("""COMPUTED_VALUE"""),"RUN-COMB_2022-06-06_RFR-056")</f>
        <v>RUN-COMB_2022-06-06_RFR-056</v>
      </c>
      <c r="C1701" s="7">
        <f>VLOOKUP(B1701,'Run Reconcile'!A$2:B3090,2,FALSE)</f>
        <v>44718</v>
      </c>
      <c r="F1701" s="6" t="str">
        <f>IFERROR(__xludf.DUMMYFUNCTION("""COMPUTED_VALUE"""),"Negative")</f>
        <v>Negative</v>
      </c>
    </row>
    <row r="1702">
      <c r="A1702" s="6" t="str">
        <f>IFERROR(__xludf.DUMMYFUNCTION("""COMPUTED_VALUE"""),"ARFCOMB029")</f>
        <v>ARFCOMB029</v>
      </c>
      <c r="B1702" s="6" t="str">
        <f>IFERROR(__xludf.DUMMYFUNCTION("""COMPUTED_VALUE"""),"RUN-COMB_2022-06-06_RFR-056")</f>
        <v>RUN-COMB_2022-06-06_RFR-056</v>
      </c>
      <c r="C1702" s="7">
        <f>VLOOKUP(B1702,'Run Reconcile'!A$2:B3090,2,FALSE)</f>
        <v>44718</v>
      </c>
      <c r="F1702" s="6" t="str">
        <f>IFERROR(__xludf.DUMMYFUNCTION("""COMPUTED_VALUE"""),"Negative")</f>
        <v>Negative</v>
      </c>
    </row>
    <row r="1703">
      <c r="A1703" s="6" t="str">
        <f>IFERROR(__xludf.DUMMYFUNCTION("""COMPUTED_VALUE"""),"ARFCOMB030")</f>
        <v>ARFCOMB030</v>
      </c>
      <c r="B1703" s="6" t="str">
        <f>IFERROR(__xludf.DUMMYFUNCTION("""COMPUTED_VALUE"""),"RUN-COMB_2022-06-06_RFR-056")</f>
        <v>RUN-COMB_2022-06-06_RFR-056</v>
      </c>
      <c r="C1703" s="7">
        <f>VLOOKUP(B1703,'Run Reconcile'!A$2:B3090,2,FALSE)</f>
        <v>44718</v>
      </c>
      <c r="F1703" s="6" t="str">
        <f>IFERROR(__xludf.DUMMYFUNCTION("""COMPUTED_VALUE"""),"Negative")</f>
        <v>Negative</v>
      </c>
    </row>
    <row r="1704">
      <c r="A1704" s="6" t="str">
        <f>IFERROR(__xludf.DUMMYFUNCTION("""COMPUTED_VALUE"""),"ARFCOMB031")</f>
        <v>ARFCOMB031</v>
      </c>
      <c r="B1704" s="6" t="str">
        <f>IFERROR(__xludf.DUMMYFUNCTION("""COMPUTED_VALUE"""),"RUN-COMB_2022-06-06_RFR-056")</f>
        <v>RUN-COMB_2022-06-06_RFR-056</v>
      </c>
      <c r="C1704" s="7">
        <f>VLOOKUP(B1704,'Run Reconcile'!A$2:B3090,2,FALSE)</f>
        <v>44718</v>
      </c>
      <c r="F1704" s="6" t="str">
        <f>IFERROR(__xludf.DUMMYFUNCTION("""COMPUTED_VALUE"""),"Negative")</f>
        <v>Negative</v>
      </c>
    </row>
    <row r="1705">
      <c r="A1705" s="6" t="str">
        <f>IFERROR(__xludf.DUMMYFUNCTION("""COMPUTED_VALUE"""),"ARFCOMB032")</f>
        <v>ARFCOMB032</v>
      </c>
      <c r="B1705" s="6" t="str">
        <f>IFERROR(__xludf.DUMMYFUNCTION("""COMPUTED_VALUE"""),"RUN-COMB_2022-06-06_RFR-056")</f>
        <v>RUN-COMB_2022-06-06_RFR-056</v>
      </c>
      <c r="C1705" s="7">
        <f>VLOOKUP(B1705,'Run Reconcile'!A$2:B3090,2,FALSE)</f>
        <v>44718</v>
      </c>
      <c r="F1705" s="6" t="str">
        <f>IFERROR(__xludf.DUMMYFUNCTION("""COMPUTED_VALUE"""),"Negative")</f>
        <v>Negative</v>
      </c>
    </row>
    <row r="1706">
      <c r="A1706" s="6" t="str">
        <f>IFERROR(__xludf.DUMMYFUNCTION("""COMPUTED_VALUE"""),"ARFCOMB033")</f>
        <v>ARFCOMB033</v>
      </c>
      <c r="B1706" s="6" t="str">
        <f>IFERROR(__xludf.DUMMYFUNCTION("""COMPUTED_VALUE"""),"RUN-COMB_2022-06-06_RFR-056")</f>
        <v>RUN-COMB_2022-06-06_RFR-056</v>
      </c>
      <c r="C1706" s="7">
        <f>VLOOKUP(B1706,'Run Reconcile'!A$2:B3090,2,FALSE)</f>
        <v>44718</v>
      </c>
      <c r="F1706" s="6" t="str">
        <f>IFERROR(__xludf.DUMMYFUNCTION("""COMPUTED_VALUE"""),"Negative")</f>
        <v>Negative</v>
      </c>
    </row>
    <row r="1707">
      <c r="A1707" s="6" t="str">
        <f>IFERROR(__xludf.DUMMYFUNCTION("""COMPUTED_VALUE"""),"ARFCOMB034")</f>
        <v>ARFCOMB034</v>
      </c>
      <c r="B1707" s="6" t="str">
        <f>IFERROR(__xludf.DUMMYFUNCTION("""COMPUTED_VALUE"""),"RUN-COMB_2022-06-06_RFR-056")</f>
        <v>RUN-COMB_2022-06-06_RFR-056</v>
      </c>
      <c r="C1707" s="7">
        <f>VLOOKUP(B1707,'Run Reconcile'!A$2:B3090,2,FALSE)</f>
        <v>44718</v>
      </c>
      <c r="F1707" s="6" t="str">
        <f>IFERROR(__xludf.DUMMYFUNCTION("""COMPUTED_VALUE"""),"Negative")</f>
        <v>Negative</v>
      </c>
    </row>
    <row r="1708">
      <c r="A1708" s="6" t="str">
        <f>IFERROR(__xludf.DUMMYFUNCTION("""COMPUTED_VALUE"""),"ARFCOMB035")</f>
        <v>ARFCOMB035</v>
      </c>
      <c r="B1708" s="6" t="str">
        <f>IFERROR(__xludf.DUMMYFUNCTION("""COMPUTED_VALUE"""),"RUN-COMB_2022-06-06_RFR-056")</f>
        <v>RUN-COMB_2022-06-06_RFR-056</v>
      </c>
      <c r="C1708" s="7">
        <f>VLOOKUP(B1708,'Run Reconcile'!A$2:B3090,2,FALSE)</f>
        <v>44718</v>
      </c>
      <c r="F1708" s="6" t="str">
        <f>IFERROR(__xludf.DUMMYFUNCTION("""COMPUTED_VALUE"""),"Negative")</f>
        <v>Negative</v>
      </c>
    </row>
    <row r="1709">
      <c r="A1709" s="6" t="str">
        <f>IFERROR(__xludf.DUMMYFUNCTION("""COMPUTED_VALUE"""),"ARFCOMB036")</f>
        <v>ARFCOMB036</v>
      </c>
      <c r="B1709" s="6" t="str">
        <f>IFERROR(__xludf.DUMMYFUNCTION("""COMPUTED_VALUE"""),"RUN-COMB_2022-06-06_RFR-056")</f>
        <v>RUN-COMB_2022-06-06_RFR-056</v>
      </c>
      <c r="C1709" s="7">
        <f>VLOOKUP(B1709,'Run Reconcile'!A$2:B3090,2,FALSE)</f>
        <v>44718</v>
      </c>
      <c r="F1709" s="6" t="str">
        <f>IFERROR(__xludf.DUMMYFUNCTION("""COMPUTED_VALUE"""),"Negative")</f>
        <v>Negative</v>
      </c>
    </row>
    <row r="1710">
      <c r="A1710" s="6" t="str">
        <f>IFERROR(__xludf.DUMMYFUNCTION("""COMPUTED_VALUE"""),"ARFCOMB037")</f>
        <v>ARFCOMB037</v>
      </c>
      <c r="B1710" s="6" t="str">
        <f>IFERROR(__xludf.DUMMYFUNCTION("""COMPUTED_VALUE"""),"RUN-COMB_2022-06-06_RFR-056")</f>
        <v>RUN-COMB_2022-06-06_RFR-056</v>
      </c>
      <c r="C1710" s="7">
        <f>VLOOKUP(B1710,'Run Reconcile'!A$2:B3090,2,FALSE)</f>
        <v>44718</v>
      </c>
      <c r="F1710" s="6" t="str">
        <f>IFERROR(__xludf.DUMMYFUNCTION("""COMPUTED_VALUE"""),"Negative")</f>
        <v>Negative</v>
      </c>
    </row>
    <row r="1711">
      <c r="A1711" s="6" t="str">
        <f>IFERROR(__xludf.DUMMYFUNCTION("""COMPUTED_VALUE"""),"ARFCOMB038")</f>
        <v>ARFCOMB038</v>
      </c>
      <c r="B1711" s="6" t="str">
        <f>IFERROR(__xludf.DUMMYFUNCTION("""COMPUTED_VALUE"""),"RUN-COMB_2022-06-06_RFR-056")</f>
        <v>RUN-COMB_2022-06-06_RFR-056</v>
      </c>
      <c r="C1711" s="7">
        <f>VLOOKUP(B1711,'Run Reconcile'!A$2:B3090,2,FALSE)</f>
        <v>44718</v>
      </c>
      <c r="F1711" s="6" t="str">
        <f>IFERROR(__xludf.DUMMYFUNCTION("""COMPUTED_VALUE"""),"Negative")</f>
        <v>Negative</v>
      </c>
    </row>
    <row r="1712">
      <c r="A1712" s="6" t="str">
        <f>IFERROR(__xludf.DUMMYFUNCTION("""COMPUTED_VALUE"""),"ARFCOMB039")</f>
        <v>ARFCOMB039</v>
      </c>
      <c r="B1712" s="6" t="str">
        <f>IFERROR(__xludf.DUMMYFUNCTION("""COMPUTED_VALUE"""),"RUN-COMB_2022-06-06_RFR-056")</f>
        <v>RUN-COMB_2022-06-06_RFR-056</v>
      </c>
      <c r="C1712" s="7">
        <f>VLOOKUP(B1712,'Run Reconcile'!A$2:B3090,2,FALSE)</f>
        <v>44718</v>
      </c>
      <c r="F1712" s="6" t="str">
        <f>IFERROR(__xludf.DUMMYFUNCTION("""COMPUTED_VALUE"""),"Negative")</f>
        <v>Negative</v>
      </c>
    </row>
    <row r="1713">
      <c r="A1713" s="6" t="str">
        <f>IFERROR(__xludf.DUMMYFUNCTION("""COMPUTED_VALUE"""),"ARFCOMB040")</f>
        <v>ARFCOMB040</v>
      </c>
      <c r="B1713" s="6" t="str">
        <f>IFERROR(__xludf.DUMMYFUNCTION("""COMPUTED_VALUE"""),"RUN-COMB_2022-06-06_RFR-056")</f>
        <v>RUN-COMB_2022-06-06_RFR-056</v>
      </c>
      <c r="C1713" s="7">
        <f>VLOOKUP(B1713,'Run Reconcile'!A$2:B3090,2,FALSE)</f>
        <v>44718</v>
      </c>
      <c r="F1713" s="6" t="str">
        <f>IFERROR(__xludf.DUMMYFUNCTION("""COMPUTED_VALUE"""),"Negative")</f>
        <v>Negative</v>
      </c>
    </row>
    <row r="1714">
      <c r="A1714" s="6" t="str">
        <f>IFERROR(__xludf.DUMMYFUNCTION("""COMPUTED_VALUE"""),"ARFCOMB041")</f>
        <v>ARFCOMB041</v>
      </c>
      <c r="B1714" s="6" t="str">
        <f>IFERROR(__xludf.DUMMYFUNCTION("""COMPUTED_VALUE"""),"RUN-COMB_2022-06-06_RFR-056")</f>
        <v>RUN-COMB_2022-06-06_RFR-056</v>
      </c>
      <c r="C1714" s="7">
        <f>VLOOKUP(B1714,'Run Reconcile'!A$2:B3090,2,FALSE)</f>
        <v>44718</v>
      </c>
      <c r="F1714" s="6" t="str">
        <f>IFERROR(__xludf.DUMMYFUNCTION("""COMPUTED_VALUE"""),"Negative")</f>
        <v>Negative</v>
      </c>
    </row>
    <row r="1715">
      <c r="A1715" s="6" t="str">
        <f>IFERROR(__xludf.DUMMYFUNCTION("""COMPUTED_VALUE"""),"ARFCOMB042")</f>
        <v>ARFCOMB042</v>
      </c>
      <c r="B1715" s="6" t="str">
        <f>IFERROR(__xludf.DUMMYFUNCTION("""COMPUTED_VALUE"""),"RUN-COMB_2022-06-06_RFR-056")</f>
        <v>RUN-COMB_2022-06-06_RFR-056</v>
      </c>
      <c r="C1715" s="7">
        <f>VLOOKUP(B1715,'Run Reconcile'!A$2:B3090,2,FALSE)</f>
        <v>44718</v>
      </c>
      <c r="F1715" s="6" t="str">
        <f>IFERROR(__xludf.DUMMYFUNCTION("""COMPUTED_VALUE"""),"Negative")</f>
        <v>Negative</v>
      </c>
    </row>
    <row r="1716">
      <c r="A1716" s="6" t="str">
        <f>IFERROR(__xludf.DUMMYFUNCTION("""COMPUTED_VALUE"""),"ARFCOMB043")</f>
        <v>ARFCOMB043</v>
      </c>
      <c r="B1716" s="6" t="str">
        <f>IFERROR(__xludf.DUMMYFUNCTION("""COMPUTED_VALUE"""),"RUN-COMB_2022-06-06_RFR-056")</f>
        <v>RUN-COMB_2022-06-06_RFR-056</v>
      </c>
      <c r="C1716" s="7">
        <f>VLOOKUP(B1716,'Run Reconcile'!A$2:B3090,2,FALSE)</f>
        <v>44718</v>
      </c>
      <c r="F1716" s="6" t="str">
        <f>IFERROR(__xludf.DUMMYFUNCTION("""COMPUTED_VALUE"""),"Negative")</f>
        <v>Negative</v>
      </c>
    </row>
    <row r="1717">
      <c r="A1717" s="6" t="str">
        <f>IFERROR(__xludf.DUMMYFUNCTION("""COMPUTED_VALUE"""),"ARFCOMB044")</f>
        <v>ARFCOMB044</v>
      </c>
      <c r="B1717" s="6" t="str">
        <f>IFERROR(__xludf.DUMMYFUNCTION("""COMPUTED_VALUE"""),"RUN-COMB_2022-06-06_RFR-056")</f>
        <v>RUN-COMB_2022-06-06_RFR-056</v>
      </c>
      <c r="C1717" s="7">
        <f>VLOOKUP(B1717,'Run Reconcile'!A$2:B3090,2,FALSE)</f>
        <v>44718</v>
      </c>
      <c r="F1717" s="6" t="str">
        <f>IFERROR(__xludf.DUMMYFUNCTION("""COMPUTED_VALUE"""),"Negative")</f>
        <v>Negative</v>
      </c>
    </row>
    <row r="1718">
      <c r="A1718" s="6" t="str">
        <f>IFERROR(__xludf.DUMMYFUNCTION("""COMPUTED_VALUE"""),"ARFCOMB045")</f>
        <v>ARFCOMB045</v>
      </c>
      <c r="B1718" s="6" t="str">
        <f>IFERROR(__xludf.DUMMYFUNCTION("""COMPUTED_VALUE"""),"RUN-COMB_2022-06-06_RFR-056")</f>
        <v>RUN-COMB_2022-06-06_RFR-056</v>
      </c>
      <c r="C1718" s="7">
        <f>VLOOKUP(B1718,'Run Reconcile'!A$2:B3090,2,FALSE)</f>
        <v>44718</v>
      </c>
      <c r="F1718" s="6" t="str">
        <f>IFERROR(__xludf.DUMMYFUNCTION("""COMPUTED_VALUE"""),"Negative")</f>
        <v>Negative</v>
      </c>
    </row>
    <row r="1719">
      <c r="A1719" s="6" t="str">
        <f>IFERROR(__xludf.DUMMYFUNCTION("""COMPUTED_VALUE"""),"ARFCOMB046")</f>
        <v>ARFCOMB046</v>
      </c>
      <c r="B1719" s="6" t="str">
        <f>IFERROR(__xludf.DUMMYFUNCTION("""COMPUTED_VALUE"""),"RUN-COMB_2022-06-06_RFR-056")</f>
        <v>RUN-COMB_2022-06-06_RFR-056</v>
      </c>
      <c r="C1719" s="7">
        <f>VLOOKUP(B1719,'Run Reconcile'!A$2:B3090,2,FALSE)</f>
        <v>44718</v>
      </c>
      <c r="F1719" s="6" t="str">
        <f>IFERROR(__xludf.DUMMYFUNCTION("""COMPUTED_VALUE"""),"Negative")</f>
        <v>Negative</v>
      </c>
    </row>
    <row r="1720">
      <c r="A1720" s="6" t="str">
        <f>IFERROR(__xludf.DUMMYFUNCTION("""COMPUTED_VALUE"""),"ARFCOMB047")</f>
        <v>ARFCOMB047</v>
      </c>
      <c r="B1720" s="6" t="str">
        <f>IFERROR(__xludf.DUMMYFUNCTION("""COMPUTED_VALUE"""),"RUN-COMB_2022-06-06_RFR-056")</f>
        <v>RUN-COMB_2022-06-06_RFR-056</v>
      </c>
      <c r="C1720" s="7">
        <f>VLOOKUP(B1720,'Run Reconcile'!A$2:B3090,2,FALSE)</f>
        <v>44718</v>
      </c>
      <c r="F1720" s="6" t="str">
        <f>IFERROR(__xludf.DUMMYFUNCTION("""COMPUTED_VALUE"""),"Negative")</f>
        <v>Negative</v>
      </c>
    </row>
    <row r="1721">
      <c r="A1721" s="6" t="str">
        <f>IFERROR(__xludf.DUMMYFUNCTION("""COMPUTED_VALUE"""),"ARFCOMB048")</f>
        <v>ARFCOMB048</v>
      </c>
      <c r="B1721" s="6" t="str">
        <f>IFERROR(__xludf.DUMMYFUNCTION("""COMPUTED_VALUE"""),"RUN-COMB_2022-06-06_RFR-056")</f>
        <v>RUN-COMB_2022-06-06_RFR-056</v>
      </c>
      <c r="C1721" s="7">
        <f>VLOOKUP(B1721,'Run Reconcile'!A$2:B3090,2,FALSE)</f>
        <v>44718</v>
      </c>
      <c r="F1721" s="6" t="str">
        <f>IFERROR(__xludf.DUMMYFUNCTION("""COMPUTED_VALUE"""),"Negative")</f>
        <v>Negative</v>
      </c>
    </row>
    <row r="1722">
      <c r="A1722" s="6" t="str">
        <f>IFERROR(__xludf.DUMMYFUNCTION("""COMPUTED_VALUE"""),"ARFCOMB049")</f>
        <v>ARFCOMB049</v>
      </c>
      <c r="B1722" s="6" t="str">
        <f>IFERROR(__xludf.DUMMYFUNCTION("""COMPUTED_VALUE"""),"RUN-COMB_2022-06-06_RFR-056")</f>
        <v>RUN-COMB_2022-06-06_RFR-056</v>
      </c>
      <c r="C1722" s="7">
        <f>VLOOKUP(B1722,'Run Reconcile'!A$2:B3090,2,FALSE)</f>
        <v>44718</v>
      </c>
      <c r="F1722" s="6" t="str">
        <f>IFERROR(__xludf.DUMMYFUNCTION("""COMPUTED_VALUE"""),"Negative")</f>
        <v>Negative</v>
      </c>
    </row>
    <row r="1723">
      <c r="A1723" s="6" t="str">
        <f>IFERROR(__xludf.DUMMYFUNCTION("""COMPUTED_VALUE"""),"ARFCOMB050")</f>
        <v>ARFCOMB050</v>
      </c>
      <c r="B1723" s="6" t="str">
        <f>IFERROR(__xludf.DUMMYFUNCTION("""COMPUTED_VALUE"""),"RUN-COMB_2022-06-06_RFR-056")</f>
        <v>RUN-COMB_2022-06-06_RFR-056</v>
      </c>
      <c r="C1723" s="7">
        <f>VLOOKUP(B1723,'Run Reconcile'!A$2:B3090,2,FALSE)</f>
        <v>44718</v>
      </c>
      <c r="F1723" s="6" t="str">
        <f>IFERROR(__xludf.DUMMYFUNCTION("""COMPUTED_VALUE"""),"Negative")</f>
        <v>Negative</v>
      </c>
    </row>
    <row r="1724">
      <c r="A1724" s="6" t="str">
        <f>IFERROR(__xludf.DUMMYFUNCTION("""COMPUTED_VALUE"""),"ARFCOMB051")</f>
        <v>ARFCOMB051</v>
      </c>
      <c r="B1724" s="6" t="str">
        <f>IFERROR(__xludf.DUMMYFUNCTION("""COMPUTED_VALUE"""),"RUN-COMB_2022-06-06_RFR-056")</f>
        <v>RUN-COMB_2022-06-06_RFR-056</v>
      </c>
      <c r="C1724" s="7">
        <f>VLOOKUP(B1724,'Run Reconcile'!A$2:B3090,2,FALSE)</f>
        <v>44718</v>
      </c>
      <c r="F1724" s="6" t="str">
        <f>IFERROR(__xludf.DUMMYFUNCTION("""COMPUTED_VALUE"""),"Negative")</f>
        <v>Negative</v>
      </c>
    </row>
    <row r="1725">
      <c r="A1725" s="6" t="str">
        <f>IFERROR(__xludf.DUMMYFUNCTION("""COMPUTED_VALUE"""),"ARFCOMB052")</f>
        <v>ARFCOMB052</v>
      </c>
      <c r="B1725" s="6" t="str">
        <f>IFERROR(__xludf.DUMMYFUNCTION("""COMPUTED_VALUE"""),"RUN-COMB_2022-06-06_RFR-056")</f>
        <v>RUN-COMB_2022-06-06_RFR-056</v>
      </c>
      <c r="C1725" s="7">
        <f>VLOOKUP(B1725,'Run Reconcile'!A$2:B3090,2,FALSE)</f>
        <v>44718</v>
      </c>
      <c r="F1725" s="6" t="str">
        <f>IFERROR(__xludf.DUMMYFUNCTION("""COMPUTED_VALUE"""),"Negative")</f>
        <v>Negative</v>
      </c>
    </row>
    <row r="1726">
      <c r="A1726" s="6" t="str">
        <f>IFERROR(__xludf.DUMMYFUNCTION("""COMPUTED_VALUE"""),"ARFCOMB053")</f>
        <v>ARFCOMB053</v>
      </c>
      <c r="B1726" s="6" t="str">
        <f>IFERROR(__xludf.DUMMYFUNCTION("""COMPUTED_VALUE"""),"RUN-COMB_2022-06-06_RFR-056")</f>
        <v>RUN-COMB_2022-06-06_RFR-056</v>
      </c>
      <c r="C1726" s="7">
        <f>VLOOKUP(B1726,'Run Reconcile'!A$2:B3090,2,FALSE)</f>
        <v>44718</v>
      </c>
      <c r="F1726" s="6" t="str">
        <f>IFERROR(__xludf.DUMMYFUNCTION("""COMPUTED_VALUE"""),"Negative")</f>
        <v>Negative</v>
      </c>
    </row>
    <row r="1727">
      <c r="A1727" s="6" t="str">
        <f>IFERROR(__xludf.DUMMYFUNCTION("""COMPUTED_VALUE"""),"ARFCOMB054")</f>
        <v>ARFCOMB054</v>
      </c>
      <c r="B1727" s="6" t="str">
        <f>IFERROR(__xludf.DUMMYFUNCTION("""COMPUTED_VALUE"""),"RUN-COMB_2022-06-09_RFR-060")</f>
        <v>RUN-COMB_2022-06-09_RFR-060</v>
      </c>
      <c r="C1727" s="7">
        <f>VLOOKUP(B1727,'Run Reconcile'!A$2:B3090,2,FALSE)</f>
        <v>44721</v>
      </c>
      <c r="F1727" s="6" t="str">
        <f>IFERROR(__xludf.DUMMYFUNCTION("""COMPUTED_VALUE"""),"Negative")</f>
        <v>Negative</v>
      </c>
    </row>
    <row r="1728">
      <c r="A1728" s="6" t="str">
        <f>IFERROR(__xludf.DUMMYFUNCTION("""COMPUTED_VALUE"""),"ARFCOMB055")</f>
        <v>ARFCOMB055</v>
      </c>
      <c r="B1728" s="6" t="str">
        <f>IFERROR(__xludf.DUMMYFUNCTION("""COMPUTED_VALUE"""),"RUN-COMB_2022-06-09_RFR-060")</f>
        <v>RUN-COMB_2022-06-09_RFR-060</v>
      </c>
      <c r="C1728" s="7">
        <f>VLOOKUP(B1728,'Run Reconcile'!A$2:B3090,2,FALSE)</f>
        <v>44721</v>
      </c>
      <c r="F1728" s="6" t="str">
        <f>IFERROR(__xludf.DUMMYFUNCTION("""COMPUTED_VALUE"""),"Negative")</f>
        <v>Negative</v>
      </c>
    </row>
    <row r="1729">
      <c r="A1729" s="6" t="str">
        <f>IFERROR(__xludf.DUMMYFUNCTION("""COMPUTED_VALUE"""),"ARFCOMB056")</f>
        <v>ARFCOMB056</v>
      </c>
      <c r="B1729" s="6" t="str">
        <f>IFERROR(__xludf.DUMMYFUNCTION("""COMPUTED_VALUE"""),"RUN-COMB_2022-06-09_RFR-060")</f>
        <v>RUN-COMB_2022-06-09_RFR-060</v>
      </c>
      <c r="C1729" s="7">
        <f>VLOOKUP(B1729,'Run Reconcile'!A$2:B3090,2,FALSE)</f>
        <v>44721</v>
      </c>
      <c r="F1729" s="6" t="str">
        <f>IFERROR(__xludf.DUMMYFUNCTION("""COMPUTED_VALUE"""),"Negative")</f>
        <v>Negative</v>
      </c>
    </row>
    <row r="1730">
      <c r="A1730" s="6" t="str">
        <f>IFERROR(__xludf.DUMMYFUNCTION("""COMPUTED_VALUE"""),"ARFCOMB057")</f>
        <v>ARFCOMB057</v>
      </c>
      <c r="B1730" s="6" t="str">
        <f>IFERROR(__xludf.DUMMYFUNCTION("""COMPUTED_VALUE"""),"RUN-COMB_2022-06-09_RFR-060")</f>
        <v>RUN-COMB_2022-06-09_RFR-060</v>
      </c>
      <c r="C1730" s="7">
        <f>VLOOKUP(B1730,'Run Reconcile'!A$2:B3090,2,FALSE)</f>
        <v>44721</v>
      </c>
      <c r="F1730" s="6" t="str">
        <f>IFERROR(__xludf.DUMMYFUNCTION("""COMPUTED_VALUE"""),"Negative")</f>
        <v>Negative</v>
      </c>
    </row>
    <row r="1731">
      <c r="A1731" s="6" t="str">
        <f>IFERROR(__xludf.DUMMYFUNCTION("""COMPUTED_VALUE"""),"ARFCOMB058")</f>
        <v>ARFCOMB058</v>
      </c>
      <c r="B1731" s="6" t="str">
        <f>IFERROR(__xludf.DUMMYFUNCTION("""COMPUTED_VALUE"""),"RUN-COMB_2022-06-09_RFR-060")</f>
        <v>RUN-COMB_2022-06-09_RFR-060</v>
      </c>
      <c r="C1731" s="7">
        <f>VLOOKUP(B1731,'Run Reconcile'!A$2:B3090,2,FALSE)</f>
        <v>44721</v>
      </c>
      <c r="F1731" s="6" t="str">
        <f>IFERROR(__xludf.DUMMYFUNCTION("""COMPUTED_VALUE"""),"Negative")</f>
        <v>Negative</v>
      </c>
    </row>
    <row r="1732">
      <c r="A1732" s="6" t="str">
        <f>IFERROR(__xludf.DUMMYFUNCTION("""COMPUTED_VALUE"""),"ARFCOMB059")</f>
        <v>ARFCOMB059</v>
      </c>
      <c r="B1732" s="6" t="str">
        <f>IFERROR(__xludf.DUMMYFUNCTION("""COMPUTED_VALUE"""),"RUN-COMB_2022-06-09_RFR-060")</f>
        <v>RUN-COMB_2022-06-09_RFR-060</v>
      </c>
      <c r="C1732" s="7">
        <f>VLOOKUP(B1732,'Run Reconcile'!A$2:B3090,2,FALSE)</f>
        <v>44721</v>
      </c>
      <c r="F1732" s="6" t="str">
        <f>IFERROR(__xludf.DUMMYFUNCTION("""COMPUTED_VALUE"""),"Negative")</f>
        <v>Negative</v>
      </c>
    </row>
    <row r="1733">
      <c r="A1733" s="6" t="str">
        <f>IFERROR(__xludf.DUMMYFUNCTION("""COMPUTED_VALUE"""),"ARFCOMB060")</f>
        <v>ARFCOMB060</v>
      </c>
      <c r="B1733" s="6" t="str">
        <f>IFERROR(__xludf.DUMMYFUNCTION("""COMPUTED_VALUE"""),"RUN-COMB_2022-06-09_RFR-060")</f>
        <v>RUN-COMB_2022-06-09_RFR-060</v>
      </c>
      <c r="C1733" s="7">
        <f>VLOOKUP(B1733,'Run Reconcile'!A$2:B3090,2,FALSE)</f>
        <v>44721</v>
      </c>
      <c r="F1733" s="6" t="str">
        <f>IFERROR(__xludf.DUMMYFUNCTION("""COMPUTED_VALUE"""),"Negative")</f>
        <v>Negative</v>
      </c>
    </row>
    <row r="1734">
      <c r="A1734" s="6" t="str">
        <f>IFERROR(__xludf.DUMMYFUNCTION("""COMPUTED_VALUE"""),"ARFCOMB061")</f>
        <v>ARFCOMB061</v>
      </c>
      <c r="B1734" s="6" t="str">
        <f>IFERROR(__xludf.DUMMYFUNCTION("""COMPUTED_VALUE"""),"RUN-COMB_2022-06-09_RFR-060")</f>
        <v>RUN-COMB_2022-06-09_RFR-060</v>
      </c>
      <c r="C1734" s="7">
        <f>VLOOKUP(B1734,'Run Reconcile'!A$2:B3090,2,FALSE)</f>
        <v>44721</v>
      </c>
      <c r="F1734" s="6" t="str">
        <f>IFERROR(__xludf.DUMMYFUNCTION("""COMPUTED_VALUE"""),"Negative")</f>
        <v>Negative</v>
      </c>
    </row>
    <row r="1735">
      <c r="A1735" s="6" t="str">
        <f>IFERROR(__xludf.DUMMYFUNCTION("""COMPUTED_VALUE"""),"ARFCOMB062")</f>
        <v>ARFCOMB062</v>
      </c>
      <c r="B1735" s="6" t="str">
        <f>IFERROR(__xludf.DUMMYFUNCTION("""COMPUTED_VALUE"""),"RUN-COMB_2022-06-09_RFR-060")</f>
        <v>RUN-COMB_2022-06-09_RFR-060</v>
      </c>
      <c r="C1735" s="7">
        <f>VLOOKUP(B1735,'Run Reconcile'!A$2:B3090,2,FALSE)</f>
        <v>44721</v>
      </c>
      <c r="F1735" s="6" t="str">
        <f>IFERROR(__xludf.DUMMYFUNCTION("""COMPUTED_VALUE"""),"Negative")</f>
        <v>Negative</v>
      </c>
    </row>
    <row r="1736">
      <c r="A1736" s="6" t="str">
        <f>IFERROR(__xludf.DUMMYFUNCTION("""COMPUTED_VALUE"""),"ARFCOMB063")</f>
        <v>ARFCOMB063</v>
      </c>
      <c r="B1736" s="6" t="str">
        <f>IFERROR(__xludf.DUMMYFUNCTION("""COMPUTED_VALUE"""),"RUN-COMB_2022-06-09_RFR-060")</f>
        <v>RUN-COMB_2022-06-09_RFR-060</v>
      </c>
      <c r="C1736" s="7">
        <f>VLOOKUP(B1736,'Run Reconcile'!A$2:B3090,2,FALSE)</f>
        <v>44721</v>
      </c>
      <c r="F1736" s="6" t="str">
        <f>IFERROR(__xludf.DUMMYFUNCTION("""COMPUTED_VALUE"""),"Negative")</f>
        <v>Negative</v>
      </c>
    </row>
    <row r="1737">
      <c r="A1737" s="6" t="str">
        <f>IFERROR(__xludf.DUMMYFUNCTION("""COMPUTED_VALUE"""),"ARFCOMB064")</f>
        <v>ARFCOMB064</v>
      </c>
      <c r="B1737" s="6" t="str">
        <f>IFERROR(__xludf.DUMMYFUNCTION("""COMPUTED_VALUE"""),"RUN-COMB_2022-06-09_RFR-060")</f>
        <v>RUN-COMB_2022-06-09_RFR-060</v>
      </c>
      <c r="C1737" s="7">
        <f>VLOOKUP(B1737,'Run Reconcile'!A$2:B3090,2,FALSE)</f>
        <v>44721</v>
      </c>
      <c r="F1737" s="6" t="str">
        <f>IFERROR(__xludf.DUMMYFUNCTION("""COMPUTED_VALUE"""),"Negative")</f>
        <v>Negative</v>
      </c>
    </row>
    <row r="1738">
      <c r="A1738" s="6" t="str">
        <f>IFERROR(__xludf.DUMMYFUNCTION("""COMPUTED_VALUE"""),"ARFCOMB065")</f>
        <v>ARFCOMB065</v>
      </c>
      <c r="B1738" s="6" t="str">
        <f>IFERROR(__xludf.DUMMYFUNCTION("""COMPUTED_VALUE"""),"RUN-COMB_2022-06-09_RFR-060")</f>
        <v>RUN-COMB_2022-06-09_RFR-060</v>
      </c>
      <c r="C1738" s="7">
        <f>VLOOKUP(B1738,'Run Reconcile'!A$2:B3090,2,FALSE)</f>
        <v>44721</v>
      </c>
      <c r="F1738" s="6" t="str">
        <f>IFERROR(__xludf.DUMMYFUNCTION("""COMPUTED_VALUE"""),"Negative")</f>
        <v>Negative</v>
      </c>
    </row>
    <row r="1739">
      <c r="A1739" s="6" t="str">
        <f>IFERROR(__xludf.DUMMYFUNCTION("""COMPUTED_VALUE"""),"ARFCOMB066")</f>
        <v>ARFCOMB066</v>
      </c>
      <c r="B1739" s="6" t="str">
        <f>IFERROR(__xludf.DUMMYFUNCTION("""COMPUTED_VALUE"""),"RUN-COMB_2022-06-09_RFR-060")</f>
        <v>RUN-COMB_2022-06-09_RFR-060</v>
      </c>
      <c r="C1739" s="7">
        <f>VLOOKUP(B1739,'Run Reconcile'!A$2:B3090,2,FALSE)</f>
        <v>44721</v>
      </c>
      <c r="F1739" s="6" t="str">
        <f>IFERROR(__xludf.DUMMYFUNCTION("""COMPUTED_VALUE"""),"Negative")</f>
        <v>Negative</v>
      </c>
    </row>
    <row r="1740">
      <c r="A1740" s="6" t="str">
        <f>IFERROR(__xludf.DUMMYFUNCTION("""COMPUTED_VALUE"""),"ARFCOMB067")</f>
        <v>ARFCOMB067</v>
      </c>
      <c r="B1740" s="6" t="str">
        <f>IFERROR(__xludf.DUMMYFUNCTION("""COMPUTED_VALUE"""),"RUN-COMB_2022-06-09_RFR-060")</f>
        <v>RUN-COMB_2022-06-09_RFR-060</v>
      </c>
      <c r="C1740" s="7">
        <f>VLOOKUP(B1740,'Run Reconcile'!A$2:B3090,2,FALSE)</f>
        <v>44721</v>
      </c>
      <c r="F1740" s="6" t="str">
        <f>IFERROR(__xludf.DUMMYFUNCTION("""COMPUTED_VALUE"""),"Negative")</f>
        <v>Negative</v>
      </c>
    </row>
    <row r="1741">
      <c r="A1741" s="6" t="str">
        <f>IFERROR(__xludf.DUMMYFUNCTION("""COMPUTED_VALUE"""),"ARFCOMB068")</f>
        <v>ARFCOMB068</v>
      </c>
      <c r="B1741" s="6" t="str">
        <f>IFERROR(__xludf.DUMMYFUNCTION("""COMPUTED_VALUE"""),"RUN-COMB_2022-06-09_RFR-060")</f>
        <v>RUN-COMB_2022-06-09_RFR-060</v>
      </c>
      <c r="C1741" s="7">
        <f>VLOOKUP(B1741,'Run Reconcile'!A$2:B3090,2,FALSE)</f>
        <v>44721</v>
      </c>
      <c r="F1741" s="6" t="str">
        <f>IFERROR(__xludf.DUMMYFUNCTION("""COMPUTED_VALUE"""),"Negative")</f>
        <v>Negative</v>
      </c>
    </row>
    <row r="1742">
      <c r="A1742" s="6" t="str">
        <f>IFERROR(__xludf.DUMMYFUNCTION("""COMPUTED_VALUE"""),"ARFCOMB069")</f>
        <v>ARFCOMB069</v>
      </c>
      <c r="B1742" s="6" t="str">
        <f>IFERROR(__xludf.DUMMYFUNCTION("""COMPUTED_VALUE"""),"RUN-COMB_2022-06-09_RFR-060")</f>
        <v>RUN-COMB_2022-06-09_RFR-060</v>
      </c>
      <c r="C1742" s="7">
        <f>VLOOKUP(B1742,'Run Reconcile'!A$2:B3090,2,FALSE)</f>
        <v>44721</v>
      </c>
      <c r="F1742" s="6" t="str">
        <f>IFERROR(__xludf.DUMMYFUNCTION("""COMPUTED_VALUE"""),"Negative")</f>
        <v>Negative</v>
      </c>
    </row>
    <row r="1743">
      <c r="A1743" s="6" t="str">
        <f>IFERROR(__xludf.DUMMYFUNCTION("""COMPUTED_VALUE"""),"ARFCOMB070")</f>
        <v>ARFCOMB070</v>
      </c>
      <c r="B1743" s="6" t="str">
        <f>IFERROR(__xludf.DUMMYFUNCTION("""COMPUTED_VALUE"""),"RUN-COMB_2022-06-09_RFR-060")</f>
        <v>RUN-COMB_2022-06-09_RFR-060</v>
      </c>
      <c r="C1743" s="7">
        <f>VLOOKUP(B1743,'Run Reconcile'!A$2:B3090,2,FALSE)</f>
        <v>44721</v>
      </c>
      <c r="F1743" s="6" t="str">
        <f>IFERROR(__xludf.DUMMYFUNCTION("""COMPUTED_VALUE"""),"Positive")</f>
        <v>Positive</v>
      </c>
    </row>
    <row r="1744">
      <c r="A1744" s="6" t="str">
        <f>IFERROR(__xludf.DUMMYFUNCTION("""COMPUTED_VALUE"""),"ARFCOMB071")</f>
        <v>ARFCOMB071</v>
      </c>
      <c r="B1744" s="6" t="str">
        <f>IFERROR(__xludf.DUMMYFUNCTION("""COMPUTED_VALUE"""),"RUN-COMB_2022-06-09_RFR-060")</f>
        <v>RUN-COMB_2022-06-09_RFR-060</v>
      </c>
      <c r="C1744" s="7">
        <f>VLOOKUP(B1744,'Run Reconcile'!A$2:B3090,2,FALSE)</f>
        <v>44721</v>
      </c>
      <c r="F1744" s="6" t="str">
        <f>IFERROR(__xludf.DUMMYFUNCTION("""COMPUTED_VALUE"""),"Positive")</f>
        <v>Positive</v>
      </c>
    </row>
    <row r="1745">
      <c r="A1745" s="6" t="str">
        <f>IFERROR(__xludf.DUMMYFUNCTION("""COMPUTED_VALUE"""),"ARFCOMB072")</f>
        <v>ARFCOMB072</v>
      </c>
      <c r="B1745" s="6" t="str">
        <f>IFERROR(__xludf.DUMMYFUNCTION("""COMPUTED_VALUE"""),"RUN-COMB_2022-06-09_RFR-060")</f>
        <v>RUN-COMB_2022-06-09_RFR-060</v>
      </c>
      <c r="C1745" s="7">
        <f>VLOOKUP(B1745,'Run Reconcile'!A$2:B3090,2,FALSE)</f>
        <v>44721</v>
      </c>
      <c r="F1745" s="6" t="str">
        <f>IFERROR(__xludf.DUMMYFUNCTION("""COMPUTED_VALUE"""),"Negative")</f>
        <v>Negative</v>
      </c>
    </row>
    <row r="1746">
      <c r="A1746" s="6" t="str">
        <f>IFERROR(__xludf.DUMMYFUNCTION("""COMPUTED_VALUE"""),"ARFCOMB073")</f>
        <v>ARFCOMB073</v>
      </c>
      <c r="B1746" s="6" t="str">
        <f>IFERROR(__xludf.DUMMYFUNCTION("""COMPUTED_VALUE"""),"RUN-COMB_2022-06-09_RFR-060")</f>
        <v>RUN-COMB_2022-06-09_RFR-060</v>
      </c>
      <c r="C1746" s="7">
        <f>VLOOKUP(B1746,'Run Reconcile'!A$2:B3090,2,FALSE)</f>
        <v>44721</v>
      </c>
      <c r="F1746" s="6" t="str">
        <f>IFERROR(__xludf.DUMMYFUNCTION("""COMPUTED_VALUE"""),"Negative")</f>
        <v>Negative</v>
      </c>
    </row>
    <row r="1747">
      <c r="A1747" s="6" t="str">
        <f>IFERROR(__xludf.DUMMYFUNCTION("""COMPUTED_VALUE"""),"ARFCOMB074")</f>
        <v>ARFCOMB074</v>
      </c>
      <c r="B1747" s="6" t="str">
        <f>IFERROR(__xludf.DUMMYFUNCTION("""COMPUTED_VALUE"""),"RUN-COMB_2022-06-09_RFR-060")</f>
        <v>RUN-COMB_2022-06-09_RFR-060</v>
      </c>
      <c r="C1747" s="7">
        <f>VLOOKUP(B1747,'Run Reconcile'!A$2:B3090,2,FALSE)</f>
        <v>44721</v>
      </c>
      <c r="F1747" s="6" t="str">
        <f>IFERROR(__xludf.DUMMYFUNCTION("""COMPUTED_VALUE"""),"Negative")</f>
        <v>Negative</v>
      </c>
    </row>
    <row r="1748">
      <c r="A1748" s="6" t="str">
        <f>IFERROR(__xludf.DUMMYFUNCTION("""COMPUTED_VALUE"""),"ARFCOMB075")</f>
        <v>ARFCOMB075</v>
      </c>
      <c r="B1748" s="6" t="str">
        <f>IFERROR(__xludf.DUMMYFUNCTION("""COMPUTED_VALUE"""),"RUN-COMB_2022-06-09_RFR-060")</f>
        <v>RUN-COMB_2022-06-09_RFR-060</v>
      </c>
      <c r="C1748" s="7">
        <f>VLOOKUP(B1748,'Run Reconcile'!A$2:B3090,2,FALSE)</f>
        <v>44721</v>
      </c>
      <c r="F1748" s="6" t="str">
        <f>IFERROR(__xludf.DUMMYFUNCTION("""COMPUTED_VALUE"""),"Negative")</f>
        <v>Negative</v>
      </c>
    </row>
    <row r="1749">
      <c r="A1749" s="6" t="str">
        <f>IFERROR(__xludf.DUMMYFUNCTION("""COMPUTED_VALUE"""),"ARFCOMB076")</f>
        <v>ARFCOMB076</v>
      </c>
      <c r="B1749" s="6" t="str">
        <f>IFERROR(__xludf.DUMMYFUNCTION("""COMPUTED_VALUE"""),"RUN-COMB_2022-06-10_ACC-001")</f>
        <v>RUN-COMB_2022-06-10_ACC-001</v>
      </c>
      <c r="C1749" s="7">
        <f>VLOOKUP(B1749,'Run Reconcile'!A$2:B3090,2,FALSE)</f>
        <v>44722</v>
      </c>
      <c r="F1749" s="6" t="str">
        <f>IFERROR(__xludf.DUMMYFUNCTION("""COMPUTED_VALUE"""),"Negative")</f>
        <v>Negative</v>
      </c>
    </row>
    <row r="1750">
      <c r="A1750" s="6" t="str">
        <f>IFERROR(__xludf.DUMMYFUNCTION("""COMPUTED_VALUE"""),"ARFCOMB077")</f>
        <v>ARFCOMB077</v>
      </c>
      <c r="B1750" s="6" t="str">
        <f>IFERROR(__xludf.DUMMYFUNCTION("""COMPUTED_VALUE"""),"RUN-COMB_2022-06-10_ACC-001")</f>
        <v>RUN-COMB_2022-06-10_ACC-001</v>
      </c>
      <c r="C1750" s="7">
        <f>VLOOKUP(B1750,'Run Reconcile'!A$2:B3090,2,FALSE)</f>
        <v>44722</v>
      </c>
      <c r="F1750" s="6" t="str">
        <f>IFERROR(__xludf.DUMMYFUNCTION("""COMPUTED_VALUE"""),"Negative")</f>
        <v>Negative</v>
      </c>
    </row>
    <row r="1751">
      <c r="A1751" s="6" t="str">
        <f>IFERROR(__xludf.DUMMYFUNCTION("""COMPUTED_VALUE"""),"ARFCOMB078")</f>
        <v>ARFCOMB078</v>
      </c>
      <c r="B1751" s="6" t="str">
        <f>IFERROR(__xludf.DUMMYFUNCTION("""COMPUTED_VALUE"""),"RUN-COMB_2022-06-10_ACC-001")</f>
        <v>RUN-COMB_2022-06-10_ACC-001</v>
      </c>
      <c r="C1751" s="7">
        <f>VLOOKUP(B1751,'Run Reconcile'!A$2:B3090,2,FALSE)</f>
        <v>44722</v>
      </c>
      <c r="F1751" s="6" t="str">
        <f>IFERROR(__xludf.DUMMYFUNCTION("""COMPUTED_VALUE"""),"Negative")</f>
        <v>Negative</v>
      </c>
    </row>
    <row r="1752">
      <c r="A1752" s="6" t="str">
        <f>IFERROR(__xludf.DUMMYFUNCTION("""COMPUTED_VALUE"""),"ARFCOMB079")</f>
        <v>ARFCOMB079</v>
      </c>
      <c r="B1752" s="6" t="str">
        <f>IFERROR(__xludf.DUMMYFUNCTION("""COMPUTED_VALUE"""),"RUN-COMB_2022-06-10_ACC-001")</f>
        <v>RUN-COMB_2022-06-10_ACC-001</v>
      </c>
      <c r="C1752" s="7">
        <f>VLOOKUP(B1752,'Run Reconcile'!A$2:B3090,2,FALSE)</f>
        <v>44722</v>
      </c>
      <c r="F1752" s="6" t="str">
        <f>IFERROR(__xludf.DUMMYFUNCTION("""COMPUTED_VALUE"""),"Negative")</f>
        <v>Negative</v>
      </c>
    </row>
    <row r="1753">
      <c r="A1753" s="6" t="str">
        <f>IFERROR(__xludf.DUMMYFUNCTION("""COMPUTED_VALUE"""),"ARFCOMB080")</f>
        <v>ARFCOMB080</v>
      </c>
      <c r="B1753" s="6" t="str">
        <f>IFERROR(__xludf.DUMMYFUNCTION("""COMPUTED_VALUE"""),"RUN-COMB_2022-06-10_ACC-001")</f>
        <v>RUN-COMB_2022-06-10_ACC-001</v>
      </c>
      <c r="C1753" s="7">
        <f>VLOOKUP(B1753,'Run Reconcile'!A$2:B3090,2,FALSE)</f>
        <v>44722</v>
      </c>
      <c r="F1753" s="6" t="str">
        <f>IFERROR(__xludf.DUMMYFUNCTION("""COMPUTED_VALUE"""),"Negative")</f>
        <v>Negative</v>
      </c>
    </row>
    <row r="1754">
      <c r="A1754" s="6" t="str">
        <f>IFERROR(__xludf.DUMMYFUNCTION("""COMPUTED_VALUE"""),"ARFCOMB081")</f>
        <v>ARFCOMB081</v>
      </c>
      <c r="B1754" s="6" t="str">
        <f>IFERROR(__xludf.DUMMYFUNCTION("""COMPUTED_VALUE"""),"RUN-COMB_2022-06-10_ACC-001")</f>
        <v>RUN-COMB_2022-06-10_ACC-001</v>
      </c>
      <c r="C1754" s="7">
        <f>VLOOKUP(B1754,'Run Reconcile'!A$2:B3090,2,FALSE)</f>
        <v>44722</v>
      </c>
      <c r="F1754" s="6" t="str">
        <f>IFERROR(__xludf.DUMMYFUNCTION("""COMPUTED_VALUE"""),"Negative")</f>
        <v>Negative</v>
      </c>
    </row>
    <row r="1755">
      <c r="A1755" s="6" t="str">
        <f>IFERROR(__xludf.DUMMYFUNCTION("""COMPUTED_VALUE"""),"ARFCOMB082")</f>
        <v>ARFCOMB082</v>
      </c>
      <c r="B1755" s="6" t="str">
        <f>IFERROR(__xludf.DUMMYFUNCTION("""COMPUTED_VALUE"""),"RUN-COMB_2022-06-10_ACC-001")</f>
        <v>RUN-COMB_2022-06-10_ACC-001</v>
      </c>
      <c r="C1755" s="7">
        <f>VLOOKUP(B1755,'Run Reconcile'!A$2:B3090,2,FALSE)</f>
        <v>44722</v>
      </c>
      <c r="F1755" s="6" t="str">
        <f>IFERROR(__xludf.DUMMYFUNCTION("""COMPUTED_VALUE"""),"Negative")</f>
        <v>Negative</v>
      </c>
    </row>
    <row r="1756">
      <c r="A1756" s="6" t="str">
        <f>IFERROR(__xludf.DUMMYFUNCTION("""COMPUTED_VALUE"""),"ARFCOMB083")</f>
        <v>ARFCOMB083</v>
      </c>
      <c r="B1756" s="6" t="str">
        <f>IFERROR(__xludf.DUMMYFUNCTION("""COMPUTED_VALUE"""),"RUN-COMB_2022-06-10_ACC-001")</f>
        <v>RUN-COMB_2022-06-10_ACC-001</v>
      </c>
      <c r="C1756" s="7">
        <f>VLOOKUP(B1756,'Run Reconcile'!A$2:B3090,2,FALSE)</f>
        <v>44722</v>
      </c>
      <c r="F1756" s="6" t="str">
        <f>IFERROR(__xludf.DUMMYFUNCTION("""COMPUTED_VALUE"""),"Negative")</f>
        <v>Negative</v>
      </c>
    </row>
    <row r="1757">
      <c r="A1757" s="6" t="str">
        <f>IFERROR(__xludf.DUMMYFUNCTION("""COMPUTED_VALUE"""),"ARFCOMB084")</f>
        <v>ARFCOMB084</v>
      </c>
      <c r="B1757" s="6" t="str">
        <f>IFERROR(__xludf.DUMMYFUNCTION("""COMPUTED_VALUE"""),"RUN-COMB_2022-06-10_ACC-001")</f>
        <v>RUN-COMB_2022-06-10_ACC-001</v>
      </c>
      <c r="C1757" s="7">
        <f>VLOOKUP(B1757,'Run Reconcile'!A$2:B3090,2,FALSE)</f>
        <v>44722</v>
      </c>
      <c r="F1757" s="6" t="str">
        <f>IFERROR(__xludf.DUMMYFUNCTION("""COMPUTED_VALUE"""),"Negative")</f>
        <v>Negative</v>
      </c>
    </row>
    <row r="1758">
      <c r="A1758" s="6" t="str">
        <f>IFERROR(__xludf.DUMMYFUNCTION("""COMPUTED_VALUE"""),"ARFCOMB085")</f>
        <v>ARFCOMB085</v>
      </c>
      <c r="B1758" s="6" t="str">
        <f>IFERROR(__xludf.DUMMYFUNCTION("""COMPUTED_VALUE"""),"RUN-COMB_2022-06-10_ACC-001")</f>
        <v>RUN-COMB_2022-06-10_ACC-001</v>
      </c>
      <c r="C1758" s="7">
        <f>VLOOKUP(B1758,'Run Reconcile'!A$2:B3090,2,FALSE)</f>
        <v>44722</v>
      </c>
      <c r="F1758" s="6" t="str">
        <f>IFERROR(__xludf.DUMMYFUNCTION("""COMPUTED_VALUE"""),"Negative")</f>
        <v>Negative</v>
      </c>
    </row>
    <row r="1759">
      <c r="A1759" s="6" t="str">
        <f>IFERROR(__xludf.DUMMYFUNCTION("""COMPUTED_VALUE"""),"ARFCOMB086")</f>
        <v>ARFCOMB086</v>
      </c>
      <c r="B1759" s="6" t="str">
        <f>IFERROR(__xludf.DUMMYFUNCTION("""COMPUTED_VALUE"""),"RUN-COMB_2022-06-10_ACC-001")</f>
        <v>RUN-COMB_2022-06-10_ACC-001</v>
      </c>
      <c r="C1759" s="7">
        <f>VLOOKUP(B1759,'Run Reconcile'!A$2:B3090,2,FALSE)</f>
        <v>44722</v>
      </c>
      <c r="F1759" s="6" t="str">
        <f>IFERROR(__xludf.DUMMYFUNCTION("""COMPUTED_VALUE"""),"Negative")</f>
        <v>Negative</v>
      </c>
    </row>
    <row r="1760">
      <c r="A1760" s="6" t="str">
        <f>IFERROR(__xludf.DUMMYFUNCTION("""COMPUTED_VALUE"""),"ARFCOMB087")</f>
        <v>ARFCOMB087</v>
      </c>
      <c r="B1760" s="6" t="str">
        <f>IFERROR(__xludf.DUMMYFUNCTION("""COMPUTED_VALUE"""),"RUN-COMB_2022-06-10_ACC-001")</f>
        <v>RUN-COMB_2022-06-10_ACC-001</v>
      </c>
      <c r="C1760" s="7">
        <f>VLOOKUP(B1760,'Run Reconcile'!A$2:B3090,2,FALSE)</f>
        <v>44722</v>
      </c>
      <c r="F1760" s="6" t="str">
        <f>IFERROR(__xludf.DUMMYFUNCTION("""COMPUTED_VALUE"""),"Negative")</f>
        <v>Negative</v>
      </c>
    </row>
    <row r="1761">
      <c r="A1761" s="6" t="str">
        <f>IFERROR(__xludf.DUMMYFUNCTION("""COMPUTED_VALUE"""),"ARFCOMB088")</f>
        <v>ARFCOMB088</v>
      </c>
      <c r="B1761" s="6" t="str">
        <f>IFERROR(__xludf.DUMMYFUNCTION("""COMPUTED_VALUE"""),"RUN-COMB_2022-06-10_ACC-001")</f>
        <v>RUN-COMB_2022-06-10_ACC-001</v>
      </c>
      <c r="C1761" s="7">
        <f>VLOOKUP(B1761,'Run Reconcile'!A$2:B3090,2,FALSE)</f>
        <v>44722</v>
      </c>
      <c r="F1761" s="6" t="str">
        <f>IFERROR(__xludf.DUMMYFUNCTION("""COMPUTED_VALUE"""),"Negative")</f>
        <v>Negative</v>
      </c>
    </row>
    <row r="1762">
      <c r="A1762" s="6" t="str">
        <f>IFERROR(__xludf.DUMMYFUNCTION("""COMPUTED_VALUE"""),"ARFCOMB089")</f>
        <v>ARFCOMB089</v>
      </c>
      <c r="B1762" s="6" t="str">
        <f>IFERROR(__xludf.DUMMYFUNCTION("""COMPUTED_VALUE"""),"RUN-COMB_2022-06-10_ACC-001")</f>
        <v>RUN-COMB_2022-06-10_ACC-001</v>
      </c>
      <c r="C1762" s="7">
        <f>VLOOKUP(B1762,'Run Reconcile'!A$2:B3090,2,FALSE)</f>
        <v>44722</v>
      </c>
      <c r="F1762" s="6" t="str">
        <f>IFERROR(__xludf.DUMMYFUNCTION("""COMPUTED_VALUE"""),"Negative")</f>
        <v>Negative</v>
      </c>
    </row>
    <row r="1763">
      <c r="A1763" s="6" t="str">
        <f>IFERROR(__xludf.DUMMYFUNCTION("""COMPUTED_VALUE"""),"ARFCOMB090")</f>
        <v>ARFCOMB090</v>
      </c>
      <c r="B1763" s="6" t="str">
        <f>IFERROR(__xludf.DUMMYFUNCTION("""COMPUTED_VALUE"""),"RUN-COMB_2022-06-10_ACC-001")</f>
        <v>RUN-COMB_2022-06-10_ACC-001</v>
      </c>
      <c r="C1763" s="7">
        <f>VLOOKUP(B1763,'Run Reconcile'!A$2:B3090,2,FALSE)</f>
        <v>44722</v>
      </c>
      <c r="F1763" s="6" t="str">
        <f>IFERROR(__xludf.DUMMYFUNCTION("""COMPUTED_VALUE"""),"Negative")</f>
        <v>Negative</v>
      </c>
    </row>
    <row r="1764">
      <c r="A1764" s="6" t="str">
        <f>IFERROR(__xludf.DUMMYFUNCTION("""COMPUTED_VALUE"""),"ARFCOMB091")</f>
        <v>ARFCOMB091</v>
      </c>
      <c r="B1764" s="6" t="str">
        <f>IFERROR(__xludf.DUMMYFUNCTION("""COMPUTED_VALUE"""),"RUN-COMB_2022-06-10_ACC-001")</f>
        <v>RUN-COMB_2022-06-10_ACC-001</v>
      </c>
      <c r="C1764" s="7">
        <f>VLOOKUP(B1764,'Run Reconcile'!A$2:B3090,2,FALSE)</f>
        <v>44722</v>
      </c>
      <c r="F1764" s="6" t="str">
        <f>IFERROR(__xludf.DUMMYFUNCTION("""COMPUTED_VALUE"""),"Negative")</f>
        <v>Negative</v>
      </c>
    </row>
    <row r="1765">
      <c r="A1765" s="6" t="str">
        <f>IFERROR(__xludf.DUMMYFUNCTION("""COMPUTED_VALUE"""),"ARFCOMB092")</f>
        <v>ARFCOMB092</v>
      </c>
      <c r="B1765" s="6" t="str">
        <f>IFERROR(__xludf.DUMMYFUNCTION("""COMPUTED_VALUE"""),"RUN-COMB_2022-06-10_ACC-001")</f>
        <v>RUN-COMB_2022-06-10_ACC-001</v>
      </c>
      <c r="C1765" s="7">
        <f>VLOOKUP(B1765,'Run Reconcile'!A$2:B3090,2,FALSE)</f>
        <v>44722</v>
      </c>
      <c r="F1765" s="6" t="str">
        <f>IFERROR(__xludf.DUMMYFUNCTION("""COMPUTED_VALUE"""),"Negative")</f>
        <v>Negative</v>
      </c>
    </row>
    <row r="1766">
      <c r="A1766" s="6" t="str">
        <f>IFERROR(__xludf.DUMMYFUNCTION("""COMPUTED_VALUE"""),"ARFCOMB093")</f>
        <v>ARFCOMB093</v>
      </c>
      <c r="B1766" s="6" t="str">
        <f>IFERROR(__xludf.DUMMYFUNCTION("""COMPUTED_VALUE"""),"RUN-COMB_2022-06-10_ACC-001")</f>
        <v>RUN-COMB_2022-06-10_ACC-001</v>
      </c>
      <c r="C1766" s="7">
        <f>VLOOKUP(B1766,'Run Reconcile'!A$2:B3090,2,FALSE)</f>
        <v>44722</v>
      </c>
      <c r="F1766" s="6" t="str">
        <f>IFERROR(__xludf.DUMMYFUNCTION("""COMPUTED_VALUE"""),"Negative")</f>
        <v>Negative</v>
      </c>
    </row>
    <row r="1767">
      <c r="A1767" s="6" t="str">
        <f>IFERROR(__xludf.DUMMYFUNCTION("""COMPUTED_VALUE"""),"ARFCOMB094")</f>
        <v>ARFCOMB094</v>
      </c>
      <c r="B1767" s="6" t="str">
        <f>IFERROR(__xludf.DUMMYFUNCTION("""COMPUTED_VALUE"""),"RUN-COMB_2022-06-10_ACC-001")</f>
        <v>RUN-COMB_2022-06-10_ACC-001</v>
      </c>
      <c r="C1767" s="7">
        <f>VLOOKUP(B1767,'Run Reconcile'!A$2:B3090,2,FALSE)</f>
        <v>44722</v>
      </c>
      <c r="F1767" s="6" t="str">
        <f>IFERROR(__xludf.DUMMYFUNCTION("""COMPUTED_VALUE"""),"Negative")</f>
        <v>Negative</v>
      </c>
    </row>
    <row r="1768">
      <c r="A1768" s="6" t="str">
        <f>IFERROR(__xludf.DUMMYFUNCTION("""COMPUTED_VALUE"""),"ARFCOMB095")</f>
        <v>ARFCOMB095</v>
      </c>
      <c r="B1768" s="6" t="str">
        <f>IFERROR(__xludf.DUMMYFUNCTION("""COMPUTED_VALUE"""),"RUN-COMB_2022-06-10_ACC-001")</f>
        <v>RUN-COMB_2022-06-10_ACC-001</v>
      </c>
      <c r="C1768" s="7">
        <f>VLOOKUP(B1768,'Run Reconcile'!A$2:B3090,2,FALSE)</f>
        <v>44722</v>
      </c>
      <c r="F1768" s="6" t="str">
        <f>IFERROR(__xludf.DUMMYFUNCTION("""COMPUTED_VALUE"""),"Negative")</f>
        <v>Negative</v>
      </c>
    </row>
    <row r="1769">
      <c r="A1769" s="6" t="str">
        <f>IFERROR(__xludf.DUMMYFUNCTION("""COMPUTED_VALUE"""),"ARFCOMB096")</f>
        <v>ARFCOMB096</v>
      </c>
      <c r="B1769" s="6" t="str">
        <f>IFERROR(__xludf.DUMMYFUNCTION("""COMPUTED_VALUE"""),"RUN-COMB_2022-06-10_ACC-001")</f>
        <v>RUN-COMB_2022-06-10_ACC-001</v>
      </c>
      <c r="C1769" s="7">
        <f>VLOOKUP(B1769,'Run Reconcile'!A$2:B3090,2,FALSE)</f>
        <v>44722</v>
      </c>
      <c r="F1769" s="6" t="str">
        <f>IFERROR(__xludf.DUMMYFUNCTION("""COMPUTED_VALUE"""),"Negative")</f>
        <v>Negative</v>
      </c>
    </row>
    <row r="1770">
      <c r="A1770" s="6" t="str">
        <f>IFERROR(__xludf.DUMMYFUNCTION("""COMPUTED_VALUE"""),"ARFCOMB097")</f>
        <v>ARFCOMB097</v>
      </c>
      <c r="B1770" s="6" t="str">
        <f>IFERROR(__xludf.DUMMYFUNCTION("""COMPUTED_VALUE"""),"RUN-COMB_2022-06-10_ACC-001")</f>
        <v>RUN-COMB_2022-06-10_ACC-001</v>
      </c>
      <c r="C1770" s="7">
        <f>VLOOKUP(B1770,'Run Reconcile'!A$2:B3090,2,FALSE)</f>
        <v>44722</v>
      </c>
      <c r="F1770" s="6" t="str">
        <f>IFERROR(__xludf.DUMMYFUNCTION("""COMPUTED_VALUE"""),"Negative")</f>
        <v>Negative</v>
      </c>
    </row>
    <row r="1771">
      <c r="A1771" s="6" t="str">
        <f>IFERROR(__xludf.DUMMYFUNCTION("""COMPUTED_VALUE"""),"ARFCOMB098")</f>
        <v>ARFCOMB098</v>
      </c>
      <c r="B1771" s="6" t="str">
        <f>IFERROR(__xludf.DUMMYFUNCTION("""COMPUTED_VALUE"""),"RUN-COMB_2022-06-10_ACC-001")</f>
        <v>RUN-COMB_2022-06-10_ACC-001</v>
      </c>
      <c r="C1771" s="7">
        <f>VLOOKUP(B1771,'Run Reconcile'!A$2:B3090,2,FALSE)</f>
        <v>44722</v>
      </c>
      <c r="F1771" s="6" t="str">
        <f>IFERROR(__xludf.DUMMYFUNCTION("""COMPUTED_VALUE"""),"Negative")</f>
        <v>Negative</v>
      </c>
    </row>
    <row r="1772">
      <c r="A1772" s="6" t="str">
        <f>IFERROR(__xludf.DUMMYFUNCTION("""COMPUTED_VALUE"""),"ARFCOMB099")</f>
        <v>ARFCOMB099</v>
      </c>
      <c r="B1772" s="6" t="str">
        <f>IFERROR(__xludf.DUMMYFUNCTION("""COMPUTED_VALUE"""),"RUN-COMB_2022-06-10_ACC-001")</f>
        <v>RUN-COMB_2022-06-10_ACC-001</v>
      </c>
      <c r="C1772" s="7">
        <f>VLOOKUP(B1772,'Run Reconcile'!A$2:B3090,2,FALSE)</f>
        <v>44722</v>
      </c>
      <c r="F1772" s="6" t="str">
        <f>IFERROR(__xludf.DUMMYFUNCTION("""COMPUTED_VALUE"""),"Negative")</f>
        <v>Negative</v>
      </c>
    </row>
    <row r="1773">
      <c r="A1773" s="6" t="str">
        <f>IFERROR(__xludf.DUMMYFUNCTION("""COMPUTED_VALUE"""),"ARFCOMB100")</f>
        <v>ARFCOMB100</v>
      </c>
      <c r="B1773" s="6" t="str">
        <f>IFERROR(__xludf.DUMMYFUNCTION("""COMPUTED_VALUE"""),"RUN-COMB_2022-06-10_ACC-001")</f>
        <v>RUN-COMB_2022-06-10_ACC-001</v>
      </c>
      <c r="C1773" s="7">
        <f>VLOOKUP(B1773,'Run Reconcile'!A$2:B3090,2,FALSE)</f>
        <v>44722</v>
      </c>
      <c r="F1773" s="6" t="str">
        <f>IFERROR(__xludf.DUMMYFUNCTION("""COMPUTED_VALUE"""),"Negative")</f>
        <v>Negative</v>
      </c>
    </row>
    <row r="1774">
      <c r="A1774" s="6" t="str">
        <f>IFERROR(__xludf.DUMMYFUNCTION("""COMPUTED_VALUE"""),"ARFCOMB101")</f>
        <v>ARFCOMB101</v>
      </c>
      <c r="B1774" s="6" t="str">
        <f>IFERROR(__xludf.DUMMYFUNCTION("""COMPUTED_VALUE"""),"RUN-COMB_2022-06-30_RFR-066")</f>
        <v>RUN-COMB_2022-06-30_RFR-066</v>
      </c>
      <c r="C1774" s="7">
        <f>VLOOKUP(B1774,'Run Reconcile'!A$2:B3090,2,FALSE)</f>
        <v>44742</v>
      </c>
      <c r="F1774" s="6" t="str">
        <f>IFERROR(__xludf.DUMMYFUNCTION("""COMPUTED_VALUE"""),"Negative")</f>
        <v>Negative</v>
      </c>
    </row>
    <row r="1775">
      <c r="A1775" s="6" t="str">
        <f>IFERROR(__xludf.DUMMYFUNCTION("""COMPUTED_VALUE"""),"ARFCOMB102")</f>
        <v>ARFCOMB102</v>
      </c>
      <c r="B1775" s="6" t="str">
        <f>IFERROR(__xludf.DUMMYFUNCTION("""COMPUTED_VALUE"""),"RUN-COMB_2022-06-30_RFR-066")</f>
        <v>RUN-COMB_2022-06-30_RFR-066</v>
      </c>
      <c r="C1775" s="7">
        <f>VLOOKUP(B1775,'Run Reconcile'!A$2:B3090,2,FALSE)</f>
        <v>44742</v>
      </c>
      <c r="F1775" s="6" t="str">
        <f>IFERROR(__xludf.DUMMYFUNCTION("""COMPUTED_VALUE"""),"Negative")</f>
        <v>Negative</v>
      </c>
    </row>
    <row r="1776">
      <c r="A1776" s="6" t="str">
        <f>IFERROR(__xludf.DUMMYFUNCTION("""COMPUTED_VALUE"""),"ARFCOMB103")</f>
        <v>ARFCOMB103</v>
      </c>
      <c r="B1776" s="6" t="str">
        <f>IFERROR(__xludf.DUMMYFUNCTION("""COMPUTED_VALUE"""),"RUN-COMB_2022-06-30_RFR-066")</f>
        <v>RUN-COMB_2022-06-30_RFR-066</v>
      </c>
      <c r="C1776" s="7">
        <f>VLOOKUP(B1776,'Run Reconcile'!A$2:B3090,2,FALSE)</f>
        <v>44742</v>
      </c>
      <c r="F1776" s="6" t="str">
        <f>IFERROR(__xludf.DUMMYFUNCTION("""COMPUTED_VALUE"""),"Negative")</f>
        <v>Negative</v>
      </c>
    </row>
    <row r="1777">
      <c r="A1777" s="6" t="str">
        <f>IFERROR(__xludf.DUMMYFUNCTION("""COMPUTED_VALUE"""),"ARFCOMB104")</f>
        <v>ARFCOMB104</v>
      </c>
      <c r="B1777" s="6" t="str">
        <f>IFERROR(__xludf.DUMMYFUNCTION("""COMPUTED_VALUE"""),"RUN-COMB_2022-06-30_RFR-066")</f>
        <v>RUN-COMB_2022-06-30_RFR-066</v>
      </c>
      <c r="C1777" s="7">
        <f>VLOOKUP(B1777,'Run Reconcile'!A$2:B3090,2,FALSE)</f>
        <v>44742</v>
      </c>
      <c r="F1777" s="6" t="str">
        <f>IFERROR(__xludf.DUMMYFUNCTION("""COMPUTED_VALUE"""),"Negative")</f>
        <v>Negative</v>
      </c>
    </row>
    <row r="1778">
      <c r="A1778" s="6" t="str">
        <f>IFERROR(__xludf.DUMMYFUNCTION("""COMPUTED_VALUE"""),"ARFCOMB105")</f>
        <v>ARFCOMB105</v>
      </c>
      <c r="B1778" s="6" t="str">
        <f>IFERROR(__xludf.DUMMYFUNCTION("""COMPUTED_VALUE"""),"RUN-COMB_2022-06-30_RFR-066")</f>
        <v>RUN-COMB_2022-06-30_RFR-066</v>
      </c>
      <c r="C1778" s="7">
        <f>VLOOKUP(B1778,'Run Reconcile'!A$2:B3090,2,FALSE)</f>
        <v>44742</v>
      </c>
      <c r="F1778" s="6" t="str">
        <f>IFERROR(__xludf.DUMMYFUNCTION("""COMPUTED_VALUE"""),"Negative")</f>
        <v>Negative</v>
      </c>
    </row>
    <row r="1779">
      <c r="A1779" s="6" t="str">
        <f>IFERROR(__xludf.DUMMYFUNCTION("""COMPUTED_VALUE"""),"ARFCOMB106")</f>
        <v>ARFCOMB106</v>
      </c>
      <c r="B1779" s="6" t="str">
        <f>IFERROR(__xludf.DUMMYFUNCTION("""COMPUTED_VALUE"""),"RUN-COMB_2022-06-30_RFR-066")</f>
        <v>RUN-COMB_2022-06-30_RFR-066</v>
      </c>
      <c r="C1779" s="7">
        <f>VLOOKUP(B1779,'Run Reconcile'!A$2:B3090,2,FALSE)</f>
        <v>44742</v>
      </c>
      <c r="F1779" s="6" t="str">
        <f>IFERROR(__xludf.DUMMYFUNCTION("""COMPUTED_VALUE"""),"Negative")</f>
        <v>Negative</v>
      </c>
    </row>
    <row r="1780">
      <c r="A1780" s="6" t="str">
        <f>IFERROR(__xludf.DUMMYFUNCTION("""COMPUTED_VALUE"""),"ARFCOMB107")</f>
        <v>ARFCOMB107</v>
      </c>
      <c r="B1780" s="6" t="str">
        <f>IFERROR(__xludf.DUMMYFUNCTION("""COMPUTED_VALUE"""),"RUN-COMB_2022-06-30_RFR-066")</f>
        <v>RUN-COMB_2022-06-30_RFR-066</v>
      </c>
      <c r="C1780" s="7">
        <f>VLOOKUP(B1780,'Run Reconcile'!A$2:B3090,2,FALSE)</f>
        <v>44742</v>
      </c>
      <c r="F1780" s="6" t="str">
        <f>IFERROR(__xludf.DUMMYFUNCTION("""COMPUTED_VALUE"""),"Negative")</f>
        <v>Negative</v>
      </c>
    </row>
    <row r="1781">
      <c r="A1781" s="6" t="str">
        <f>IFERROR(__xludf.DUMMYFUNCTION("""COMPUTED_VALUE"""),"ARFCOMB108")</f>
        <v>ARFCOMB108</v>
      </c>
      <c r="B1781" s="6" t="str">
        <f>IFERROR(__xludf.DUMMYFUNCTION("""COMPUTED_VALUE"""),"RUN-COMB_2022-06-30_RFR-066")</f>
        <v>RUN-COMB_2022-06-30_RFR-066</v>
      </c>
      <c r="C1781" s="7">
        <f>VLOOKUP(B1781,'Run Reconcile'!A$2:B3090,2,FALSE)</f>
        <v>44742</v>
      </c>
      <c r="F1781" s="6" t="str">
        <f>IFERROR(__xludf.DUMMYFUNCTION("""COMPUTED_VALUE"""),"Negative")</f>
        <v>Negative</v>
      </c>
    </row>
    <row r="1782">
      <c r="A1782" s="6" t="str">
        <f>IFERROR(__xludf.DUMMYFUNCTION("""COMPUTED_VALUE"""),"ARFCOMB109")</f>
        <v>ARFCOMB109</v>
      </c>
      <c r="B1782" s="6" t="str">
        <f>IFERROR(__xludf.DUMMYFUNCTION("""COMPUTED_VALUE"""),"RUN-COMB_2022-06-30_RFR-066")</f>
        <v>RUN-COMB_2022-06-30_RFR-066</v>
      </c>
      <c r="C1782" s="7">
        <f>VLOOKUP(B1782,'Run Reconcile'!A$2:B3090,2,FALSE)</f>
        <v>44742</v>
      </c>
      <c r="F1782" s="6" t="str">
        <f>IFERROR(__xludf.DUMMYFUNCTION("""COMPUTED_VALUE"""),"Negative")</f>
        <v>Negative</v>
      </c>
    </row>
    <row r="1783">
      <c r="A1783" s="6" t="str">
        <f>IFERROR(__xludf.DUMMYFUNCTION("""COMPUTED_VALUE"""),"ARFCOMB110")</f>
        <v>ARFCOMB110</v>
      </c>
      <c r="B1783" s="6" t="str">
        <f>IFERROR(__xludf.DUMMYFUNCTION("""COMPUTED_VALUE"""),"RUN-COMB_2022-06-30_RFR-066")</f>
        <v>RUN-COMB_2022-06-30_RFR-066</v>
      </c>
      <c r="C1783" s="7">
        <f>VLOOKUP(B1783,'Run Reconcile'!A$2:B3090,2,FALSE)</f>
        <v>44742</v>
      </c>
      <c r="F1783" s="6" t="str">
        <f>IFERROR(__xludf.DUMMYFUNCTION("""COMPUTED_VALUE"""),"Negative")</f>
        <v>Negative</v>
      </c>
    </row>
    <row r="1784">
      <c r="A1784" s="6" t="str">
        <f>IFERROR(__xludf.DUMMYFUNCTION("""COMPUTED_VALUE"""),"ARFCOMB111")</f>
        <v>ARFCOMB111</v>
      </c>
      <c r="B1784" s="6" t="str">
        <f>IFERROR(__xludf.DUMMYFUNCTION("""COMPUTED_VALUE"""),"RUN-COMB_2022-06-30_RFR-066")</f>
        <v>RUN-COMB_2022-06-30_RFR-066</v>
      </c>
      <c r="C1784" s="7">
        <f>VLOOKUP(B1784,'Run Reconcile'!A$2:B3090,2,FALSE)</f>
        <v>44742</v>
      </c>
      <c r="F1784" s="6" t="str">
        <f>IFERROR(__xludf.DUMMYFUNCTION("""COMPUTED_VALUE"""),"Negative")</f>
        <v>Negative</v>
      </c>
    </row>
    <row r="1785">
      <c r="A1785" s="6" t="str">
        <f>IFERROR(__xludf.DUMMYFUNCTION("""COMPUTED_VALUE"""),"ARFCOMB112")</f>
        <v>ARFCOMB112</v>
      </c>
      <c r="B1785" s="6" t="str">
        <f>IFERROR(__xludf.DUMMYFUNCTION("""COMPUTED_VALUE"""),"RUN-COMB_2022-06-30_RFR-066")</f>
        <v>RUN-COMB_2022-06-30_RFR-066</v>
      </c>
      <c r="C1785" s="7">
        <f>VLOOKUP(B1785,'Run Reconcile'!A$2:B3090,2,FALSE)</f>
        <v>44742</v>
      </c>
      <c r="F1785" s="6" t="str">
        <f>IFERROR(__xludf.DUMMYFUNCTION("""COMPUTED_VALUE"""),"Negative")</f>
        <v>Negative</v>
      </c>
    </row>
    <row r="1786">
      <c r="A1786" s="6" t="str">
        <f>IFERROR(__xludf.DUMMYFUNCTION("""COMPUTED_VALUE"""),"ARFCOMB113")</f>
        <v>ARFCOMB113</v>
      </c>
      <c r="B1786" s="6" t="str">
        <f>IFERROR(__xludf.DUMMYFUNCTION("""COMPUTED_VALUE"""),"RUN-COMB_2022-06-30_RFR-066")</f>
        <v>RUN-COMB_2022-06-30_RFR-066</v>
      </c>
      <c r="C1786" s="7">
        <f>VLOOKUP(B1786,'Run Reconcile'!A$2:B3090,2,FALSE)</f>
        <v>44742</v>
      </c>
      <c r="F1786" s="6" t="str">
        <f>IFERROR(__xludf.DUMMYFUNCTION("""COMPUTED_VALUE"""),"Negative")</f>
        <v>Negative</v>
      </c>
    </row>
    <row r="1787">
      <c r="A1787" s="6" t="str">
        <f>IFERROR(__xludf.DUMMYFUNCTION("""COMPUTED_VALUE"""),"ARFCOMB114")</f>
        <v>ARFCOMB114</v>
      </c>
      <c r="B1787" s="6" t="str">
        <f>IFERROR(__xludf.DUMMYFUNCTION("""COMPUTED_VALUE"""),"RUN-COMB_2022-06-30_RFR-066")</f>
        <v>RUN-COMB_2022-06-30_RFR-066</v>
      </c>
      <c r="C1787" s="7">
        <f>VLOOKUP(B1787,'Run Reconcile'!A$2:B3090,2,FALSE)</f>
        <v>44742</v>
      </c>
      <c r="F1787" s="6" t="str">
        <f>IFERROR(__xludf.DUMMYFUNCTION("""COMPUTED_VALUE"""),"Negative")</f>
        <v>Negative</v>
      </c>
    </row>
    <row r="1788">
      <c r="A1788" s="6" t="str">
        <f>IFERROR(__xludf.DUMMYFUNCTION("""COMPUTED_VALUE"""),"ARFCOMB115")</f>
        <v>ARFCOMB115</v>
      </c>
      <c r="B1788" s="6" t="str">
        <f>IFERROR(__xludf.DUMMYFUNCTION("""COMPUTED_VALUE"""),"RUN-COMB_2022-06-30_RFR-066")</f>
        <v>RUN-COMB_2022-06-30_RFR-066</v>
      </c>
      <c r="C1788" s="7">
        <f>VLOOKUP(B1788,'Run Reconcile'!A$2:B3090,2,FALSE)</f>
        <v>44742</v>
      </c>
      <c r="F1788" s="6" t="str">
        <f>IFERROR(__xludf.DUMMYFUNCTION("""COMPUTED_VALUE"""),"Negative")</f>
        <v>Negative</v>
      </c>
    </row>
    <row r="1789">
      <c r="A1789" s="6" t="str">
        <f>IFERROR(__xludf.DUMMYFUNCTION("""COMPUTED_VALUE"""),"ARFCOMB116")</f>
        <v>ARFCOMB116</v>
      </c>
      <c r="B1789" s="6" t="str">
        <f>IFERROR(__xludf.DUMMYFUNCTION("""COMPUTED_VALUE"""),"RUN-COMB_2022-06-30_RFR-066")</f>
        <v>RUN-COMB_2022-06-30_RFR-066</v>
      </c>
      <c r="C1789" s="7">
        <f>VLOOKUP(B1789,'Run Reconcile'!A$2:B3090,2,FALSE)</f>
        <v>44742</v>
      </c>
      <c r="F1789" s="6" t="str">
        <f>IFERROR(__xludf.DUMMYFUNCTION("""COMPUTED_VALUE"""),"Negative")</f>
        <v>Negative</v>
      </c>
    </row>
    <row r="1790">
      <c r="A1790" s="6" t="str">
        <f>IFERROR(__xludf.DUMMYFUNCTION("""COMPUTED_VALUE"""),"ARFCOMB117")</f>
        <v>ARFCOMB117</v>
      </c>
      <c r="B1790" s="6" t="str">
        <f>IFERROR(__xludf.DUMMYFUNCTION("""COMPUTED_VALUE"""),"RUN-COMB_2022-06-30_RFR-066")</f>
        <v>RUN-COMB_2022-06-30_RFR-066</v>
      </c>
      <c r="C1790" s="7">
        <f>VLOOKUP(B1790,'Run Reconcile'!A$2:B3090,2,FALSE)</f>
        <v>44742</v>
      </c>
      <c r="F1790" s="6" t="str">
        <f>IFERROR(__xludf.DUMMYFUNCTION("""COMPUTED_VALUE"""),"Positive")</f>
        <v>Positive</v>
      </c>
    </row>
    <row r="1791">
      <c r="A1791" s="6" t="str">
        <f>IFERROR(__xludf.DUMMYFUNCTION("""COMPUTED_VALUE"""),"ARFCOMB118")</f>
        <v>ARFCOMB118</v>
      </c>
      <c r="B1791" s="6" t="str">
        <f>IFERROR(__xludf.DUMMYFUNCTION("""COMPUTED_VALUE"""),"RUN-COMB_2022-06-30_RFR-066")</f>
        <v>RUN-COMB_2022-06-30_RFR-066</v>
      </c>
      <c r="C1791" s="7">
        <f>VLOOKUP(B1791,'Run Reconcile'!A$2:B3090,2,FALSE)</f>
        <v>44742</v>
      </c>
      <c r="F1791" s="6" t="str">
        <f>IFERROR(__xludf.DUMMYFUNCTION("""COMPUTED_VALUE"""),"Negative")</f>
        <v>Negative</v>
      </c>
    </row>
    <row r="1792">
      <c r="A1792" s="6" t="str">
        <f>IFERROR(__xludf.DUMMYFUNCTION("""COMPUTED_VALUE"""),"ARFCOMB119")</f>
        <v>ARFCOMB119</v>
      </c>
      <c r="B1792" s="6" t="str">
        <f>IFERROR(__xludf.DUMMYFUNCTION("""COMPUTED_VALUE"""),"RUN-COMB_2022-06-30_RFR-066")</f>
        <v>RUN-COMB_2022-06-30_RFR-066</v>
      </c>
      <c r="C1792" s="7">
        <f>VLOOKUP(B1792,'Run Reconcile'!A$2:B3090,2,FALSE)</f>
        <v>44742</v>
      </c>
      <c r="F1792" s="6" t="str">
        <f>IFERROR(__xludf.DUMMYFUNCTION("""COMPUTED_VALUE"""),"Negative")</f>
        <v>Negative</v>
      </c>
    </row>
    <row r="1793">
      <c r="A1793" s="6" t="str">
        <f>IFERROR(__xludf.DUMMYFUNCTION("""COMPUTED_VALUE"""),"ARFCOMB120")</f>
        <v>ARFCOMB120</v>
      </c>
      <c r="B1793" s="6" t="str">
        <f>IFERROR(__xludf.DUMMYFUNCTION("""COMPUTED_VALUE"""),"RUN-COMB_2022-06-30_RFR-066")</f>
        <v>RUN-COMB_2022-06-30_RFR-066</v>
      </c>
      <c r="C1793" s="7">
        <f>VLOOKUP(B1793,'Run Reconcile'!A$2:B3090,2,FALSE)</f>
        <v>44742</v>
      </c>
      <c r="F1793" s="6" t="str">
        <f>IFERROR(__xludf.DUMMYFUNCTION("""COMPUTED_VALUE"""),"Negative")</f>
        <v>Negative</v>
      </c>
    </row>
    <row r="1794">
      <c r="A1794" s="6" t="str">
        <f>IFERROR(__xludf.DUMMYFUNCTION("""COMPUTED_VALUE"""),"ARFCOMB121")</f>
        <v>ARFCOMB121</v>
      </c>
      <c r="B1794" s="6" t="str">
        <f>IFERROR(__xludf.DUMMYFUNCTION("""COMPUTED_VALUE"""),"RUN-COMB_2022-06-30_RFR-066")</f>
        <v>RUN-COMB_2022-06-30_RFR-066</v>
      </c>
      <c r="C1794" s="7">
        <f>VLOOKUP(B1794,'Run Reconcile'!A$2:B3090,2,FALSE)</f>
        <v>44742</v>
      </c>
      <c r="F1794" s="6" t="str">
        <f>IFERROR(__xludf.DUMMYFUNCTION("""COMPUTED_VALUE"""),"Negative")</f>
        <v>Negative</v>
      </c>
    </row>
    <row r="1795">
      <c r="A1795" s="6" t="str">
        <f>IFERROR(__xludf.DUMMYFUNCTION("""COMPUTED_VALUE"""),"ARFCOMB122")</f>
        <v>ARFCOMB122</v>
      </c>
      <c r="B1795" s="6" t="str">
        <f>IFERROR(__xludf.DUMMYFUNCTION("""COMPUTED_VALUE"""),"RUN-COMB_2022-06-30_RFR-066")</f>
        <v>RUN-COMB_2022-06-30_RFR-066</v>
      </c>
      <c r="C1795" s="7">
        <f>VLOOKUP(B1795,'Run Reconcile'!A$2:B3090,2,FALSE)</f>
        <v>44742</v>
      </c>
      <c r="F1795" s="6" t="str">
        <f>IFERROR(__xludf.DUMMYFUNCTION("""COMPUTED_VALUE"""),"Negative")</f>
        <v>Negative</v>
      </c>
    </row>
    <row r="1796">
      <c r="A1796" s="6" t="str">
        <f>IFERROR(__xludf.DUMMYFUNCTION("""COMPUTED_VALUE"""),"ARFCOMB123")</f>
        <v>ARFCOMB123</v>
      </c>
      <c r="B1796" s="6" t="str">
        <f>IFERROR(__xludf.DUMMYFUNCTION("""COMPUTED_VALUE"""),"RUN-COMB_2022-06-30_RFR-066")</f>
        <v>RUN-COMB_2022-06-30_RFR-066</v>
      </c>
      <c r="C1796" s="7">
        <f>VLOOKUP(B1796,'Run Reconcile'!A$2:B3090,2,FALSE)</f>
        <v>44742</v>
      </c>
      <c r="F1796" s="6" t="str">
        <f>IFERROR(__xludf.DUMMYFUNCTION("""COMPUTED_VALUE"""),"Negative")</f>
        <v>Negative</v>
      </c>
    </row>
    <row r="1797">
      <c r="A1797" s="6" t="str">
        <f>IFERROR(__xludf.DUMMYFUNCTION("""COMPUTED_VALUE"""),"ARFCOMB124")</f>
        <v>ARFCOMB124</v>
      </c>
      <c r="B1797" s="6" t="str">
        <f>IFERROR(__xludf.DUMMYFUNCTION("""COMPUTED_VALUE"""),"RUN-COMB_2022-06-30_RFR-066")</f>
        <v>RUN-COMB_2022-06-30_RFR-066</v>
      </c>
      <c r="C1797" s="7">
        <f>VLOOKUP(B1797,'Run Reconcile'!A$2:B3090,2,FALSE)</f>
        <v>44742</v>
      </c>
      <c r="F1797" s="6" t="str">
        <f>IFERROR(__xludf.DUMMYFUNCTION("""COMPUTED_VALUE"""),"Negative")</f>
        <v>Negative</v>
      </c>
    </row>
    <row r="1798">
      <c r="A1798" s="6" t="str">
        <f>IFERROR(__xludf.DUMMYFUNCTION("""COMPUTED_VALUE"""),"ARFCOMB125")</f>
        <v>ARFCOMB125</v>
      </c>
      <c r="B1798" s="6" t="str">
        <f>IFERROR(__xludf.DUMMYFUNCTION("""COMPUTED_VALUE"""),"RUN-COMB_2022-06-30_RFR-066")</f>
        <v>RUN-COMB_2022-06-30_RFR-066</v>
      </c>
      <c r="C1798" s="7">
        <f>VLOOKUP(B1798,'Run Reconcile'!A$2:B3090,2,FALSE)</f>
        <v>44742</v>
      </c>
      <c r="F1798" s="6" t="str">
        <f>IFERROR(__xludf.DUMMYFUNCTION("""COMPUTED_VALUE"""),"Negative")</f>
        <v>Negative</v>
      </c>
    </row>
    <row r="1799">
      <c r="A1799" s="6" t="str">
        <f>IFERROR(__xludf.DUMMYFUNCTION("""COMPUTED_VALUE"""),"ARFCOMB126")</f>
        <v>ARFCOMB126</v>
      </c>
      <c r="B1799" s="6" t="str">
        <f>IFERROR(__xludf.DUMMYFUNCTION("""COMPUTED_VALUE"""),"RUN-COMB_2022-06-30_RFR-066")</f>
        <v>RUN-COMB_2022-06-30_RFR-066</v>
      </c>
      <c r="C1799" s="7">
        <f>VLOOKUP(B1799,'Run Reconcile'!A$2:B3090,2,FALSE)</f>
        <v>44742</v>
      </c>
      <c r="F1799" s="6" t="str">
        <f>IFERROR(__xludf.DUMMYFUNCTION("""COMPUTED_VALUE"""),"Negative")</f>
        <v>Negative</v>
      </c>
    </row>
    <row r="1800">
      <c r="A1800" s="6" t="str">
        <f>IFERROR(__xludf.DUMMYFUNCTION("""COMPUTED_VALUE"""),"ARFCOMB127")</f>
        <v>ARFCOMB127</v>
      </c>
      <c r="B1800" s="6" t="str">
        <f>IFERROR(__xludf.DUMMYFUNCTION("""COMPUTED_VALUE"""),"RUN-COMB_2022-06-30_RFR-066")</f>
        <v>RUN-COMB_2022-06-30_RFR-066</v>
      </c>
      <c r="C1800" s="7">
        <f>VLOOKUP(B1800,'Run Reconcile'!A$2:B3090,2,FALSE)</f>
        <v>44742</v>
      </c>
      <c r="F1800" s="6" t="str">
        <f>IFERROR(__xludf.DUMMYFUNCTION("""COMPUTED_VALUE"""),"Negative")</f>
        <v>Negative</v>
      </c>
    </row>
    <row r="1801">
      <c r="A1801" s="6" t="str">
        <f>IFERROR(__xludf.DUMMYFUNCTION("""COMPUTED_VALUE"""),"ARFCOMB128")</f>
        <v>ARFCOMB128</v>
      </c>
      <c r="B1801" s="6" t="str">
        <f>IFERROR(__xludf.DUMMYFUNCTION("""COMPUTED_VALUE"""),"RUN-COMB_2022-06-30_RFR-066")</f>
        <v>RUN-COMB_2022-06-30_RFR-066</v>
      </c>
      <c r="C1801" s="7">
        <f>VLOOKUP(B1801,'Run Reconcile'!A$2:B3090,2,FALSE)</f>
        <v>44742</v>
      </c>
      <c r="F1801" s="6" t="str">
        <f>IFERROR(__xludf.DUMMYFUNCTION("""COMPUTED_VALUE"""),"Negative")</f>
        <v>Negative</v>
      </c>
    </row>
    <row r="1802">
      <c r="A1802" s="6" t="str">
        <f>IFERROR(__xludf.DUMMYFUNCTION("""COMPUTED_VALUE"""),"ARFCOMB129")</f>
        <v>ARFCOMB129</v>
      </c>
      <c r="B1802" s="6" t="str">
        <f>IFERROR(__xludf.DUMMYFUNCTION("""COMPUTED_VALUE"""),"RUN-COMB_2022-06-30_RFR-066")</f>
        <v>RUN-COMB_2022-06-30_RFR-066</v>
      </c>
      <c r="C1802" s="7">
        <f>VLOOKUP(B1802,'Run Reconcile'!A$2:B3090,2,FALSE)</f>
        <v>44742</v>
      </c>
      <c r="F1802" s="6" t="str">
        <f>IFERROR(__xludf.DUMMYFUNCTION("""COMPUTED_VALUE"""),"Negative")</f>
        <v>Negative</v>
      </c>
    </row>
    <row r="1803">
      <c r="A1803" s="6" t="str">
        <f>IFERROR(__xludf.DUMMYFUNCTION("""COMPUTED_VALUE"""),"ARFCOMB130")</f>
        <v>ARFCOMB130</v>
      </c>
      <c r="B1803" s="6" t="str">
        <f>IFERROR(__xludf.DUMMYFUNCTION("""COMPUTED_VALUE"""),"RUN-COMB_2022-06-30_RFR-066")</f>
        <v>RUN-COMB_2022-06-30_RFR-066</v>
      </c>
      <c r="C1803" s="7">
        <f>VLOOKUP(B1803,'Run Reconcile'!A$2:B3090,2,FALSE)</f>
        <v>44742</v>
      </c>
      <c r="F1803" s="6" t="str">
        <f>IFERROR(__xludf.DUMMYFUNCTION("""COMPUTED_VALUE"""),"Negative")</f>
        <v>Negative</v>
      </c>
    </row>
    <row r="1804">
      <c r="A1804" s="6" t="str">
        <f>IFERROR(__xludf.DUMMYFUNCTION("""COMPUTED_VALUE"""),"ARFCOMB131")</f>
        <v>ARFCOMB131</v>
      </c>
      <c r="B1804" s="6" t="str">
        <f>IFERROR(__xludf.DUMMYFUNCTION("""COMPUTED_VALUE"""),"RUN-COMB_2022-06-30_RFR-066")</f>
        <v>RUN-COMB_2022-06-30_RFR-066</v>
      </c>
      <c r="C1804" s="7">
        <f>VLOOKUP(B1804,'Run Reconcile'!A$2:B3090,2,FALSE)</f>
        <v>44742</v>
      </c>
      <c r="F1804" s="6" t="str">
        <f>IFERROR(__xludf.DUMMYFUNCTION("""COMPUTED_VALUE"""),"Negative")</f>
        <v>Negative</v>
      </c>
    </row>
    <row r="1805">
      <c r="A1805" s="6" t="str">
        <f>IFERROR(__xludf.DUMMYFUNCTION("""COMPUTED_VALUE"""),"ARFCOMB132")</f>
        <v>ARFCOMB132</v>
      </c>
      <c r="B1805" s="6" t="str">
        <f>IFERROR(__xludf.DUMMYFUNCTION("""COMPUTED_VALUE"""),"RUN-COMB_2022-06-30_RFR-066")</f>
        <v>RUN-COMB_2022-06-30_RFR-066</v>
      </c>
      <c r="C1805" s="7">
        <f>VLOOKUP(B1805,'Run Reconcile'!A$2:B3090,2,FALSE)</f>
        <v>44742</v>
      </c>
      <c r="F1805" s="6" t="str">
        <f>IFERROR(__xludf.DUMMYFUNCTION("""COMPUTED_VALUE"""),"Negative")</f>
        <v>Negative</v>
      </c>
    </row>
    <row r="1806">
      <c r="A1806" s="6" t="str">
        <f>IFERROR(__xludf.DUMMYFUNCTION("""COMPUTED_VALUE"""),"ARFCOMB133")</f>
        <v>ARFCOMB133</v>
      </c>
      <c r="B1806" s="6" t="str">
        <f>IFERROR(__xludf.DUMMYFUNCTION("""COMPUTED_VALUE"""),"RUN-COMB_2022-06-30_RFR-066")</f>
        <v>RUN-COMB_2022-06-30_RFR-066</v>
      </c>
      <c r="C1806" s="7">
        <f>VLOOKUP(B1806,'Run Reconcile'!A$2:B3090,2,FALSE)</f>
        <v>44742</v>
      </c>
      <c r="F1806" s="6" t="str">
        <f>IFERROR(__xludf.DUMMYFUNCTION("""COMPUTED_VALUE"""),"Negative")</f>
        <v>Negative</v>
      </c>
    </row>
    <row r="1807">
      <c r="A1807" s="6" t="str">
        <f>IFERROR(__xludf.DUMMYFUNCTION("""COMPUTED_VALUE"""),"ARFCOMB134")</f>
        <v>ARFCOMB134</v>
      </c>
      <c r="B1807" s="6" t="str">
        <f>IFERROR(__xludf.DUMMYFUNCTION("""COMPUTED_VALUE"""),"RUN-COMB_2022-06-30_RFR-066")</f>
        <v>RUN-COMB_2022-06-30_RFR-066</v>
      </c>
      <c r="C1807" s="7">
        <f>VLOOKUP(B1807,'Run Reconcile'!A$2:B3090,2,FALSE)</f>
        <v>44742</v>
      </c>
      <c r="F1807" s="6" t="str">
        <f>IFERROR(__xludf.DUMMYFUNCTION("""COMPUTED_VALUE"""),"Negative")</f>
        <v>Negative</v>
      </c>
    </row>
    <row r="1808">
      <c r="A1808" s="6" t="str">
        <f>IFERROR(__xludf.DUMMYFUNCTION("""COMPUTED_VALUE"""),"ARFCOMB135")</f>
        <v>ARFCOMB135</v>
      </c>
      <c r="B1808" s="6" t="str">
        <f>IFERROR(__xludf.DUMMYFUNCTION("""COMPUTED_VALUE"""),"RUN-COMB_2022-06-30_RFR-066")</f>
        <v>RUN-COMB_2022-06-30_RFR-066</v>
      </c>
      <c r="C1808" s="7">
        <f>VLOOKUP(B1808,'Run Reconcile'!A$2:B3090,2,FALSE)</f>
        <v>44742</v>
      </c>
      <c r="F1808" s="6" t="str">
        <f>IFERROR(__xludf.DUMMYFUNCTION("""COMPUTED_VALUE"""),"Negative")</f>
        <v>Negative</v>
      </c>
    </row>
    <row r="1809">
      <c r="A1809" s="6" t="str">
        <f>IFERROR(__xludf.DUMMYFUNCTION("""COMPUTED_VALUE"""),"ARFCOMB136")</f>
        <v>ARFCOMB136</v>
      </c>
      <c r="B1809" s="6" t="str">
        <f>IFERROR(__xludf.DUMMYFUNCTION("""COMPUTED_VALUE"""),"RUN-COMB_2022-07-08_RFR-074")</f>
        <v>RUN-COMB_2022-07-08_RFR-074</v>
      </c>
      <c r="C1809" s="7">
        <f>VLOOKUP(B1809,'Run Reconcile'!A$2:B3090,2,FALSE)</f>
        <v>44750</v>
      </c>
      <c r="F1809" s="6" t="str">
        <f>IFERROR(__xludf.DUMMYFUNCTION("""COMPUTED_VALUE"""),"Negative")</f>
        <v>Negative</v>
      </c>
    </row>
    <row r="1810">
      <c r="A1810" s="6" t="str">
        <f>IFERROR(__xludf.DUMMYFUNCTION("""COMPUTED_VALUE"""),"ARFCOMB137")</f>
        <v>ARFCOMB137</v>
      </c>
      <c r="B1810" s="6" t="str">
        <f>IFERROR(__xludf.DUMMYFUNCTION("""COMPUTED_VALUE"""),"RUN-COMB_2022-07-15_RFR-079")</f>
        <v>RUN-COMB_2022-07-15_RFR-079</v>
      </c>
      <c r="C1810" s="7">
        <f>VLOOKUP(B1810,'Run Reconcile'!A$2:B3090,2,FALSE)</f>
        <v>44757</v>
      </c>
      <c r="F1810" s="6" t="str">
        <f>IFERROR(__xludf.DUMMYFUNCTION("""COMPUTED_VALUE"""),"Negative")</f>
        <v>Negative</v>
      </c>
    </row>
    <row r="1811">
      <c r="A1811" s="6" t="str">
        <f>IFERROR(__xludf.DUMMYFUNCTION("""COMPUTED_VALUE"""),"ARFCOMB138")</f>
        <v>ARFCOMB138</v>
      </c>
      <c r="B1811" s="6" t="str">
        <f>IFERROR(__xludf.DUMMYFUNCTION("""COMPUTED_VALUE"""),"RUN-COMB_2022-07-18_RFR-080")</f>
        <v>RUN-COMB_2022-07-18_RFR-080</v>
      </c>
      <c r="C1811" s="7">
        <f>VLOOKUP(B1811,'Run Reconcile'!A$2:B3090,2,FALSE)</f>
        <v>44760</v>
      </c>
      <c r="F1811" s="6" t="str">
        <f>IFERROR(__xludf.DUMMYFUNCTION("""COMPUTED_VALUE"""),"Negative")</f>
        <v>Negative</v>
      </c>
    </row>
    <row r="1812">
      <c r="A1812" s="6" t="str">
        <f>IFERROR(__xludf.DUMMYFUNCTION("""COMPUTED_VALUE"""),"ARFCOMB139")</f>
        <v>ARFCOMB139</v>
      </c>
      <c r="B1812" s="6" t="str">
        <f>IFERROR(__xludf.DUMMYFUNCTION("""COMPUTED_VALUE"""),"RUN-COMB_2022-07-18_RFR-080")</f>
        <v>RUN-COMB_2022-07-18_RFR-080</v>
      </c>
      <c r="C1812" s="7">
        <f>VLOOKUP(B1812,'Run Reconcile'!A$2:B3090,2,FALSE)</f>
        <v>44760</v>
      </c>
      <c r="F1812" s="6" t="str">
        <f>IFERROR(__xludf.DUMMYFUNCTION("""COMPUTED_VALUE"""),"Negative")</f>
        <v>Negative</v>
      </c>
    </row>
    <row r="1813">
      <c r="A1813" s="6" t="str">
        <f>IFERROR(__xludf.DUMMYFUNCTION("""COMPUTED_VALUE"""),"ARFCOMB140")</f>
        <v>ARFCOMB140</v>
      </c>
      <c r="B1813" s="6" t="str">
        <f>IFERROR(__xludf.DUMMYFUNCTION("""COMPUTED_VALUE"""),"RUN-COMB_2022-07-18_RFR-080")</f>
        <v>RUN-COMB_2022-07-18_RFR-080</v>
      </c>
      <c r="C1813" s="7">
        <f>VLOOKUP(B1813,'Run Reconcile'!A$2:B3090,2,FALSE)</f>
        <v>44760</v>
      </c>
      <c r="F1813" s="6" t="str">
        <f>IFERROR(__xludf.DUMMYFUNCTION("""COMPUTED_VALUE"""),"Negative")</f>
        <v>Negative</v>
      </c>
    </row>
    <row r="1814">
      <c r="A1814" s="6" t="str">
        <f>IFERROR(__xludf.DUMMYFUNCTION("""COMPUTED_VALUE"""),"ARFCOMB141")</f>
        <v>ARFCOMB141</v>
      </c>
      <c r="B1814" s="6" t="str">
        <f>IFERROR(__xludf.DUMMYFUNCTION("""COMPUTED_VALUE"""),"RUN-COMB_2022-07-18_RFR-080")</f>
        <v>RUN-COMB_2022-07-18_RFR-080</v>
      </c>
      <c r="C1814" s="7">
        <f>VLOOKUP(B1814,'Run Reconcile'!A$2:B3090,2,FALSE)</f>
        <v>44760</v>
      </c>
      <c r="F1814" s="6" t="str">
        <f>IFERROR(__xludf.DUMMYFUNCTION("""COMPUTED_VALUE"""),"Negative")</f>
        <v>Negative</v>
      </c>
    </row>
    <row r="1815">
      <c r="A1815" s="6" t="str">
        <f>IFERROR(__xludf.DUMMYFUNCTION("""COMPUTED_VALUE"""),"ARFCOMB142")</f>
        <v>ARFCOMB142</v>
      </c>
      <c r="B1815" s="6" t="str">
        <f>IFERROR(__xludf.DUMMYFUNCTION("""COMPUTED_VALUE"""),"RUN-COMB_2022-07-18_RFR-080")</f>
        <v>RUN-COMB_2022-07-18_RFR-080</v>
      </c>
      <c r="C1815" s="7">
        <f>VLOOKUP(B1815,'Run Reconcile'!A$2:B3090,2,FALSE)</f>
        <v>44760</v>
      </c>
      <c r="F1815" s="6" t="str">
        <f>IFERROR(__xludf.DUMMYFUNCTION("""COMPUTED_VALUE"""),"Negative")</f>
        <v>Negative</v>
      </c>
    </row>
    <row r="1816">
      <c r="A1816" s="6" t="str">
        <f>IFERROR(__xludf.DUMMYFUNCTION("""COMPUTED_VALUE"""),"ARFCOMB143")</f>
        <v>ARFCOMB143</v>
      </c>
      <c r="B1816" s="6" t="str">
        <f>IFERROR(__xludf.DUMMYFUNCTION("""COMPUTED_VALUE"""),"RUN-COMB_2022-07-18_RFR-080")</f>
        <v>RUN-COMB_2022-07-18_RFR-080</v>
      </c>
      <c r="C1816" s="7">
        <f>VLOOKUP(B1816,'Run Reconcile'!A$2:B3090,2,FALSE)</f>
        <v>44760</v>
      </c>
      <c r="F1816" s="6" t="str">
        <f>IFERROR(__xludf.DUMMYFUNCTION("""COMPUTED_VALUE"""),"Negative")</f>
        <v>Negative</v>
      </c>
    </row>
    <row r="1817">
      <c r="A1817" s="6" t="str">
        <f>IFERROR(__xludf.DUMMYFUNCTION("""COMPUTED_VALUE"""),"ARFCOMB144")</f>
        <v>ARFCOMB144</v>
      </c>
      <c r="B1817" s="6" t="str">
        <f>IFERROR(__xludf.DUMMYFUNCTION("""COMPUTED_VALUE"""),"RUN-COMB_2022-07-18_RFR-080")</f>
        <v>RUN-COMB_2022-07-18_RFR-080</v>
      </c>
      <c r="C1817" s="7">
        <f>VLOOKUP(B1817,'Run Reconcile'!A$2:B3090,2,FALSE)</f>
        <v>44760</v>
      </c>
      <c r="F1817" s="6" t="str">
        <f>IFERROR(__xludf.DUMMYFUNCTION("""COMPUTED_VALUE"""),"Negative")</f>
        <v>Negative</v>
      </c>
    </row>
    <row r="1818">
      <c r="A1818" s="6" t="str">
        <f>IFERROR(__xludf.DUMMYFUNCTION("""COMPUTED_VALUE"""),"ARFCOMB145")</f>
        <v>ARFCOMB145</v>
      </c>
      <c r="B1818" s="6" t="str">
        <f>IFERROR(__xludf.DUMMYFUNCTION("""COMPUTED_VALUE"""),"RUN-COMB_2022-07-18_RFR-080")</f>
        <v>RUN-COMB_2022-07-18_RFR-080</v>
      </c>
      <c r="C1818" s="7">
        <f>VLOOKUP(B1818,'Run Reconcile'!A$2:B3090,2,FALSE)</f>
        <v>44760</v>
      </c>
      <c r="F1818" s="6" t="str">
        <f>IFERROR(__xludf.DUMMYFUNCTION("""COMPUTED_VALUE"""),"Negative")</f>
        <v>Negative</v>
      </c>
    </row>
    <row r="1819">
      <c r="A1819" s="6" t="str">
        <f>IFERROR(__xludf.DUMMYFUNCTION("""COMPUTED_VALUE"""),"ARFCOMB146")</f>
        <v>ARFCOMB146</v>
      </c>
      <c r="B1819" s="6" t="str">
        <f>IFERROR(__xludf.DUMMYFUNCTION("""COMPUTED_VALUE"""),"RUN-COMB_2022-07-18_RFR-080")</f>
        <v>RUN-COMB_2022-07-18_RFR-080</v>
      </c>
      <c r="C1819" s="7">
        <f>VLOOKUP(B1819,'Run Reconcile'!A$2:B3090,2,FALSE)</f>
        <v>44760</v>
      </c>
      <c r="F1819" s="6" t="str">
        <f>IFERROR(__xludf.DUMMYFUNCTION("""COMPUTED_VALUE"""),"Negative")</f>
        <v>Negative</v>
      </c>
    </row>
    <row r="1820">
      <c r="A1820" s="6" t="str">
        <f>IFERROR(__xludf.DUMMYFUNCTION("""COMPUTED_VALUE"""),"ARFCOMB147")</f>
        <v>ARFCOMB147</v>
      </c>
      <c r="B1820" s="6" t="str">
        <f>IFERROR(__xludf.DUMMYFUNCTION("""COMPUTED_VALUE"""),"RUN-COMB_2022-07-18_RFR-080")</f>
        <v>RUN-COMB_2022-07-18_RFR-080</v>
      </c>
      <c r="C1820" s="7">
        <f>VLOOKUP(B1820,'Run Reconcile'!A$2:B3090,2,FALSE)</f>
        <v>44760</v>
      </c>
      <c r="F1820" s="6" t="str">
        <f>IFERROR(__xludf.DUMMYFUNCTION("""COMPUTED_VALUE"""),"Negative")</f>
        <v>Negative</v>
      </c>
    </row>
    <row r="1821">
      <c r="A1821" s="6" t="str">
        <f>IFERROR(__xludf.DUMMYFUNCTION("""COMPUTED_VALUE"""),"ARFCOMB148")</f>
        <v>ARFCOMB148</v>
      </c>
      <c r="B1821" s="6" t="str">
        <f>IFERROR(__xludf.DUMMYFUNCTION("""COMPUTED_VALUE"""),"RUN-COMB_2022-07-18_RFR-080")</f>
        <v>RUN-COMB_2022-07-18_RFR-080</v>
      </c>
      <c r="C1821" s="7">
        <f>VLOOKUP(B1821,'Run Reconcile'!A$2:B3090,2,FALSE)</f>
        <v>44760</v>
      </c>
      <c r="F1821" s="6" t="str">
        <f>IFERROR(__xludf.DUMMYFUNCTION("""COMPUTED_VALUE"""),"Negative")</f>
        <v>Negative</v>
      </c>
    </row>
    <row r="1822">
      <c r="A1822" s="6" t="str">
        <f>IFERROR(__xludf.DUMMYFUNCTION("""COMPUTED_VALUE"""),"ARFCOMB149")</f>
        <v>ARFCOMB149</v>
      </c>
      <c r="B1822" s="6" t="str">
        <f>IFERROR(__xludf.DUMMYFUNCTION("""COMPUTED_VALUE"""),"RUN-COMB_2022-07-18_RFR-080")</f>
        <v>RUN-COMB_2022-07-18_RFR-080</v>
      </c>
      <c r="C1822" s="7">
        <f>VLOOKUP(B1822,'Run Reconcile'!A$2:B3090,2,FALSE)</f>
        <v>44760</v>
      </c>
      <c r="F1822" s="6" t="str">
        <f>IFERROR(__xludf.DUMMYFUNCTION("""COMPUTED_VALUE"""),"Negative")</f>
        <v>Negative</v>
      </c>
    </row>
    <row r="1823">
      <c r="A1823" s="6" t="str">
        <f>IFERROR(__xludf.DUMMYFUNCTION("""COMPUTED_VALUE"""),"ARFCOMB150")</f>
        <v>ARFCOMB150</v>
      </c>
      <c r="B1823" s="6" t="str">
        <f>IFERROR(__xludf.DUMMYFUNCTION("""COMPUTED_VALUE"""),"RUN-COMB_2022-07-18_RFR-080")</f>
        <v>RUN-COMB_2022-07-18_RFR-080</v>
      </c>
      <c r="C1823" s="7">
        <f>VLOOKUP(B1823,'Run Reconcile'!A$2:B3090,2,FALSE)</f>
        <v>44760</v>
      </c>
      <c r="F1823" s="6" t="str">
        <f>IFERROR(__xludf.DUMMYFUNCTION("""COMPUTED_VALUE"""),"Negative")</f>
        <v>Negative</v>
      </c>
    </row>
    <row r="1824">
      <c r="A1824" s="6" t="str">
        <f>IFERROR(__xludf.DUMMYFUNCTION("""COMPUTED_VALUE"""),"ARFCOMB151")</f>
        <v>ARFCOMB151</v>
      </c>
      <c r="B1824" s="6" t="str">
        <f>IFERROR(__xludf.DUMMYFUNCTION("""COMPUTED_VALUE"""),"RUN-COMB_2022-07-18_RFR-080")</f>
        <v>RUN-COMB_2022-07-18_RFR-080</v>
      </c>
      <c r="C1824" s="7">
        <f>VLOOKUP(B1824,'Run Reconcile'!A$2:B3090,2,FALSE)</f>
        <v>44760</v>
      </c>
      <c r="F1824" s="6" t="str">
        <f>IFERROR(__xludf.DUMMYFUNCTION("""COMPUTED_VALUE"""),"Negative")</f>
        <v>Negative</v>
      </c>
    </row>
    <row r="1825">
      <c r="A1825" s="6" t="str">
        <f>IFERROR(__xludf.DUMMYFUNCTION("""COMPUTED_VALUE"""),"ARFCOMB152")</f>
        <v>ARFCOMB152</v>
      </c>
      <c r="B1825" s="6" t="str">
        <f>IFERROR(__xludf.DUMMYFUNCTION("""COMPUTED_VALUE"""),"RUN-COMB_2022-07-18_RFR-080")</f>
        <v>RUN-COMB_2022-07-18_RFR-080</v>
      </c>
      <c r="C1825" s="7">
        <f>VLOOKUP(B1825,'Run Reconcile'!A$2:B3090,2,FALSE)</f>
        <v>44760</v>
      </c>
      <c r="F1825" s="6" t="str">
        <f>IFERROR(__xludf.DUMMYFUNCTION("""COMPUTED_VALUE"""),"Negative")</f>
        <v>Negative</v>
      </c>
    </row>
    <row r="1826">
      <c r="A1826" s="6" t="str">
        <f>IFERROR(__xludf.DUMMYFUNCTION("""COMPUTED_VALUE"""),"ARFCOMB153")</f>
        <v>ARFCOMB153</v>
      </c>
      <c r="B1826" s="6" t="str">
        <f>IFERROR(__xludf.DUMMYFUNCTION("""COMPUTED_VALUE"""),"RUN-COMB_2022-07-18_RFR-080")</f>
        <v>RUN-COMB_2022-07-18_RFR-080</v>
      </c>
      <c r="C1826" s="7">
        <f>VLOOKUP(B1826,'Run Reconcile'!A$2:B3090,2,FALSE)</f>
        <v>44760</v>
      </c>
      <c r="F1826" s="6" t="str">
        <f>IFERROR(__xludf.DUMMYFUNCTION("""COMPUTED_VALUE"""),"Negative")</f>
        <v>Negative</v>
      </c>
    </row>
    <row r="1827">
      <c r="A1827" s="6" t="str">
        <f>IFERROR(__xludf.DUMMYFUNCTION("""COMPUTED_VALUE"""),"ARFCOMB154")</f>
        <v>ARFCOMB154</v>
      </c>
      <c r="B1827" s="6" t="str">
        <f>IFERROR(__xludf.DUMMYFUNCTION("""COMPUTED_VALUE"""),"RUN-COMB_2022-07-18_RFR-080")</f>
        <v>RUN-COMB_2022-07-18_RFR-080</v>
      </c>
      <c r="C1827" s="7">
        <f>VLOOKUP(B1827,'Run Reconcile'!A$2:B3090,2,FALSE)</f>
        <v>44760</v>
      </c>
      <c r="F1827" s="6" t="str">
        <f>IFERROR(__xludf.DUMMYFUNCTION("""COMPUTED_VALUE"""),"Positive")</f>
        <v>Positive</v>
      </c>
    </row>
    <row r="1828">
      <c r="A1828" s="6" t="str">
        <f>IFERROR(__xludf.DUMMYFUNCTION("""COMPUTED_VALUE"""),"ARFCOMB155")</f>
        <v>ARFCOMB155</v>
      </c>
      <c r="B1828" s="6" t="str">
        <f>IFERROR(__xludf.DUMMYFUNCTION("""COMPUTED_VALUE"""),"RUN-COMB_2022-07-18_RFR-080")</f>
        <v>RUN-COMB_2022-07-18_RFR-080</v>
      </c>
      <c r="C1828" s="7">
        <f>VLOOKUP(B1828,'Run Reconcile'!A$2:B3090,2,FALSE)</f>
        <v>44760</v>
      </c>
      <c r="F1828" s="6" t="str">
        <f>IFERROR(__xludf.DUMMYFUNCTION("""COMPUTED_VALUE"""),"Negative")</f>
        <v>Negative</v>
      </c>
    </row>
    <row r="1829">
      <c r="A1829" s="6" t="str">
        <f>IFERROR(__xludf.DUMMYFUNCTION("""COMPUTED_VALUE"""),"ARFCOMB156")</f>
        <v>ARFCOMB156</v>
      </c>
      <c r="B1829" s="6" t="str">
        <f>IFERROR(__xludf.DUMMYFUNCTION("""COMPUTED_VALUE"""),"RUN-COMB_2022-07-18_RFR-080")</f>
        <v>RUN-COMB_2022-07-18_RFR-080</v>
      </c>
      <c r="C1829" s="7">
        <f>VLOOKUP(B1829,'Run Reconcile'!A$2:B3090,2,FALSE)</f>
        <v>44760</v>
      </c>
      <c r="F1829" s="6" t="str">
        <f>IFERROR(__xludf.DUMMYFUNCTION("""COMPUTED_VALUE"""),"Negative")</f>
        <v>Negative</v>
      </c>
    </row>
    <row r="1830">
      <c r="A1830" s="6" t="str">
        <f>IFERROR(__xludf.DUMMYFUNCTION("""COMPUTED_VALUE"""),"ARFCOMB157")</f>
        <v>ARFCOMB157</v>
      </c>
      <c r="B1830" s="6" t="str">
        <f>IFERROR(__xludf.DUMMYFUNCTION("""COMPUTED_VALUE"""),"RUN-COMB_2022-07-18_RFR-080")</f>
        <v>RUN-COMB_2022-07-18_RFR-080</v>
      </c>
      <c r="C1830" s="7">
        <f>VLOOKUP(B1830,'Run Reconcile'!A$2:B3090,2,FALSE)</f>
        <v>44760</v>
      </c>
      <c r="F1830" s="6" t="str">
        <f>IFERROR(__xludf.DUMMYFUNCTION("""COMPUTED_VALUE"""),"Negative")</f>
        <v>Negative</v>
      </c>
    </row>
    <row r="1831">
      <c r="A1831" s="6" t="str">
        <f>IFERROR(__xludf.DUMMYFUNCTION("""COMPUTED_VALUE"""),"ARFCOMB158")</f>
        <v>ARFCOMB158</v>
      </c>
      <c r="B1831" s="6" t="str">
        <f>IFERROR(__xludf.DUMMYFUNCTION("""COMPUTED_VALUE"""),"RUN-COMB_2022-07-18_RFR-080")</f>
        <v>RUN-COMB_2022-07-18_RFR-080</v>
      </c>
      <c r="C1831" s="7">
        <f>VLOOKUP(B1831,'Run Reconcile'!A$2:B3090,2,FALSE)</f>
        <v>44760</v>
      </c>
      <c r="F1831" s="6" t="str">
        <f>IFERROR(__xludf.DUMMYFUNCTION("""COMPUTED_VALUE"""),"Negative")</f>
        <v>Negative</v>
      </c>
    </row>
    <row r="1832">
      <c r="A1832" s="6" t="str">
        <f>IFERROR(__xludf.DUMMYFUNCTION("""COMPUTED_VALUE"""),"ARFCOMB159")</f>
        <v>ARFCOMB159</v>
      </c>
      <c r="B1832" s="6" t="str">
        <f>IFERROR(__xludf.DUMMYFUNCTION("""COMPUTED_VALUE"""),"RUN-COMB_2022-07-18_RFR-080")</f>
        <v>RUN-COMB_2022-07-18_RFR-080</v>
      </c>
      <c r="C1832" s="7">
        <f>VLOOKUP(B1832,'Run Reconcile'!A$2:B3090,2,FALSE)</f>
        <v>44760</v>
      </c>
      <c r="F1832" s="6" t="str">
        <f>IFERROR(__xludf.DUMMYFUNCTION("""COMPUTED_VALUE"""),"Negative")</f>
        <v>Negative</v>
      </c>
    </row>
    <row r="1833">
      <c r="A1833" s="6" t="str">
        <f>IFERROR(__xludf.DUMMYFUNCTION("""COMPUTED_VALUE"""),"ARFCOMB160")</f>
        <v>ARFCOMB160</v>
      </c>
      <c r="B1833" s="6" t="str">
        <f>IFERROR(__xludf.DUMMYFUNCTION("""COMPUTED_VALUE"""),"RUN-COMB_2022-07-18_RFR-080")</f>
        <v>RUN-COMB_2022-07-18_RFR-080</v>
      </c>
      <c r="C1833" s="7">
        <f>VLOOKUP(B1833,'Run Reconcile'!A$2:B3090,2,FALSE)</f>
        <v>44760</v>
      </c>
      <c r="F1833" s="6" t="str">
        <f>IFERROR(__xludf.DUMMYFUNCTION("""COMPUTED_VALUE"""),"Negative")</f>
        <v>Negative</v>
      </c>
    </row>
    <row r="1834">
      <c r="A1834" s="6" t="str">
        <f>IFERROR(__xludf.DUMMYFUNCTION("""COMPUTED_VALUE"""),"ARFCOMB161")</f>
        <v>ARFCOMB161</v>
      </c>
      <c r="B1834" s="6" t="str">
        <f>IFERROR(__xludf.DUMMYFUNCTION("""COMPUTED_VALUE"""),"RUN-COMB_2022-07-18_RFR-080")</f>
        <v>RUN-COMB_2022-07-18_RFR-080</v>
      </c>
      <c r="C1834" s="7">
        <f>VLOOKUP(B1834,'Run Reconcile'!A$2:B3090,2,FALSE)</f>
        <v>44760</v>
      </c>
      <c r="F1834" s="6" t="str">
        <f>IFERROR(__xludf.DUMMYFUNCTION("""COMPUTED_VALUE"""),"Negative")</f>
        <v>Negative</v>
      </c>
    </row>
    <row r="1835">
      <c r="A1835" s="6" t="str">
        <f>IFERROR(__xludf.DUMMYFUNCTION("""COMPUTED_VALUE"""),"ARFCOMB162")</f>
        <v>ARFCOMB162</v>
      </c>
      <c r="B1835" s="6" t="str">
        <f>IFERROR(__xludf.DUMMYFUNCTION("""COMPUTED_VALUE"""),"RUN-COMB_2022-07-18_RFR-080")</f>
        <v>RUN-COMB_2022-07-18_RFR-080</v>
      </c>
      <c r="C1835" s="7">
        <f>VLOOKUP(B1835,'Run Reconcile'!A$2:B3090,2,FALSE)</f>
        <v>44760</v>
      </c>
      <c r="F1835" s="6" t="str">
        <f>IFERROR(__xludf.DUMMYFUNCTION("""COMPUTED_VALUE"""),"Negative")</f>
        <v>Negative</v>
      </c>
    </row>
    <row r="1836">
      <c r="A1836" s="6" t="str">
        <f>IFERROR(__xludf.DUMMYFUNCTION("""COMPUTED_VALUE"""),"ARFCOMB163")</f>
        <v>ARFCOMB163</v>
      </c>
      <c r="B1836" s="6" t="str">
        <f>IFERROR(__xludf.DUMMYFUNCTION("""COMPUTED_VALUE"""),"RUN-COMB_2022-07-18_RFR-080")</f>
        <v>RUN-COMB_2022-07-18_RFR-080</v>
      </c>
      <c r="C1836" s="7">
        <f>VLOOKUP(B1836,'Run Reconcile'!A$2:B3090,2,FALSE)</f>
        <v>44760</v>
      </c>
      <c r="F1836" s="6" t="str">
        <f>IFERROR(__xludf.DUMMYFUNCTION("""COMPUTED_VALUE"""),"Negative")</f>
        <v>Negative</v>
      </c>
    </row>
    <row r="1837">
      <c r="A1837" s="6" t="str">
        <f>IFERROR(__xludf.DUMMYFUNCTION("""COMPUTED_VALUE"""),"ARFCOMB164")</f>
        <v>ARFCOMB164</v>
      </c>
      <c r="B1837" s="6" t="str">
        <f>IFERROR(__xludf.DUMMYFUNCTION("""COMPUTED_VALUE"""),"RUN-COMB_2022-07-18_RFR-080")</f>
        <v>RUN-COMB_2022-07-18_RFR-080</v>
      </c>
      <c r="C1837" s="7">
        <f>VLOOKUP(B1837,'Run Reconcile'!A$2:B3090,2,FALSE)</f>
        <v>44760</v>
      </c>
      <c r="F1837" s="6" t="str">
        <f>IFERROR(__xludf.DUMMYFUNCTION("""COMPUTED_VALUE"""),"Negative")</f>
        <v>Negative</v>
      </c>
    </row>
    <row r="1838">
      <c r="A1838" s="6" t="str">
        <f>IFERROR(__xludf.DUMMYFUNCTION("""COMPUTED_VALUE"""),"ARFCOMB165")</f>
        <v>ARFCOMB165</v>
      </c>
      <c r="B1838" s="6" t="str">
        <f>IFERROR(__xludf.DUMMYFUNCTION("""COMPUTED_VALUE"""),"RUN-COMB_2022-07-18_RFR-080")</f>
        <v>RUN-COMB_2022-07-18_RFR-080</v>
      </c>
      <c r="C1838" s="7">
        <f>VLOOKUP(B1838,'Run Reconcile'!A$2:B3090,2,FALSE)</f>
        <v>44760</v>
      </c>
      <c r="F1838" s="6" t="str">
        <f>IFERROR(__xludf.DUMMYFUNCTION("""COMPUTED_VALUE"""),"Negative")</f>
        <v>Negative</v>
      </c>
    </row>
    <row r="1839">
      <c r="A1839" s="6" t="str">
        <f>IFERROR(__xludf.DUMMYFUNCTION("""COMPUTED_VALUE"""),"ARFCOMB166")</f>
        <v>ARFCOMB166</v>
      </c>
      <c r="B1839" s="6" t="str">
        <f>IFERROR(__xludf.DUMMYFUNCTION("""COMPUTED_VALUE"""),"RUN-COMB_2022-07-18_RFR-080")</f>
        <v>RUN-COMB_2022-07-18_RFR-080</v>
      </c>
      <c r="C1839" s="7">
        <f>VLOOKUP(B1839,'Run Reconcile'!A$2:B3090,2,FALSE)</f>
        <v>44760</v>
      </c>
      <c r="F1839" s="6" t="str">
        <f>IFERROR(__xludf.DUMMYFUNCTION("""COMPUTED_VALUE"""),"Negative")</f>
        <v>Negative</v>
      </c>
    </row>
    <row r="1840">
      <c r="A1840" s="6" t="str">
        <f>IFERROR(__xludf.DUMMYFUNCTION("""COMPUTED_VALUE"""),"ARFCOMB167")</f>
        <v>ARFCOMB167</v>
      </c>
      <c r="B1840" s="6" t="str">
        <f>IFERROR(__xludf.DUMMYFUNCTION("""COMPUTED_VALUE"""),"RUN-COMB_2022-07-18_RFR-080")</f>
        <v>RUN-COMB_2022-07-18_RFR-080</v>
      </c>
      <c r="C1840" s="7">
        <f>VLOOKUP(B1840,'Run Reconcile'!A$2:B3090,2,FALSE)</f>
        <v>44760</v>
      </c>
      <c r="F1840" s="6" t="str">
        <f>IFERROR(__xludf.DUMMYFUNCTION("""COMPUTED_VALUE"""),"Negative")</f>
        <v>Negative</v>
      </c>
    </row>
    <row r="1841">
      <c r="A1841" s="6" t="str">
        <f>IFERROR(__xludf.DUMMYFUNCTION("""COMPUTED_VALUE"""),"ARFCOMB168")</f>
        <v>ARFCOMB168</v>
      </c>
      <c r="B1841" s="6" t="str">
        <f>IFERROR(__xludf.DUMMYFUNCTION("""COMPUTED_VALUE"""),"RUN-COMB_2022-07-18_RFR-080")</f>
        <v>RUN-COMB_2022-07-18_RFR-080</v>
      </c>
      <c r="C1841" s="7">
        <f>VLOOKUP(B1841,'Run Reconcile'!A$2:B3090,2,FALSE)</f>
        <v>44760</v>
      </c>
      <c r="F1841" s="6" t="str">
        <f>IFERROR(__xludf.DUMMYFUNCTION("""COMPUTED_VALUE"""),"Negative")</f>
        <v>Negative</v>
      </c>
    </row>
    <row r="1842">
      <c r="A1842" s="6" t="str">
        <f>IFERROR(__xludf.DUMMYFUNCTION("""COMPUTED_VALUE"""),"ARFCOMB169")</f>
        <v>ARFCOMB169</v>
      </c>
      <c r="B1842" s="6" t="str">
        <f>IFERROR(__xludf.DUMMYFUNCTION("""COMPUTED_VALUE"""),"RUN-COMB_2022-07-18_RFR-080")</f>
        <v>RUN-COMB_2022-07-18_RFR-080</v>
      </c>
      <c r="C1842" s="7">
        <f>VLOOKUP(B1842,'Run Reconcile'!A$2:B3090,2,FALSE)</f>
        <v>44760</v>
      </c>
      <c r="F1842" s="6" t="str">
        <f>IFERROR(__xludf.DUMMYFUNCTION("""COMPUTED_VALUE"""),"Negative")</f>
        <v>Negative</v>
      </c>
    </row>
    <row r="1843">
      <c r="A1843" s="6" t="str">
        <f>IFERROR(__xludf.DUMMYFUNCTION("""COMPUTED_VALUE"""),"ARFCOMB170")</f>
        <v>ARFCOMB170</v>
      </c>
      <c r="B1843" s="6" t="str">
        <f>IFERROR(__xludf.DUMMYFUNCTION("""COMPUTED_VALUE"""),"RUN-COMB_2022-07-18_RFR-080")</f>
        <v>RUN-COMB_2022-07-18_RFR-080</v>
      </c>
      <c r="C1843" s="7">
        <f>VLOOKUP(B1843,'Run Reconcile'!A$2:B3090,2,FALSE)</f>
        <v>44760</v>
      </c>
      <c r="F1843" s="6" t="str">
        <f>IFERROR(__xludf.DUMMYFUNCTION("""COMPUTED_VALUE"""),"Negative")</f>
        <v>Negative</v>
      </c>
    </row>
    <row r="1844">
      <c r="A1844" s="6" t="str">
        <f>IFERROR(__xludf.DUMMYFUNCTION("""COMPUTED_VALUE"""),"ARFCOMB171")</f>
        <v>ARFCOMB171</v>
      </c>
      <c r="B1844" s="6" t="str">
        <f>IFERROR(__xludf.DUMMYFUNCTION("""COMPUTED_VALUE"""),"RUN-COMB_2022-07-18_RFR-080")</f>
        <v>RUN-COMB_2022-07-18_RFR-080</v>
      </c>
      <c r="C1844" s="7">
        <f>VLOOKUP(B1844,'Run Reconcile'!A$2:B3090,2,FALSE)</f>
        <v>44760</v>
      </c>
      <c r="F1844" s="6" t="str">
        <f>IFERROR(__xludf.DUMMYFUNCTION("""COMPUTED_VALUE"""),"Negative")</f>
        <v>Negative</v>
      </c>
    </row>
    <row r="1845">
      <c r="A1845" s="6" t="str">
        <f>IFERROR(__xludf.DUMMYFUNCTION("""COMPUTED_VALUE"""),"ARFCOMB172")</f>
        <v>ARFCOMB172</v>
      </c>
      <c r="B1845" s="6" t="str">
        <f>IFERROR(__xludf.DUMMYFUNCTION("""COMPUTED_VALUE"""),"RUN-COMB_2022-07-18_RFR-080")</f>
        <v>RUN-COMB_2022-07-18_RFR-080</v>
      </c>
      <c r="C1845" s="7">
        <f>VLOOKUP(B1845,'Run Reconcile'!A$2:B3090,2,FALSE)</f>
        <v>44760</v>
      </c>
      <c r="F1845" s="6" t="str">
        <f>IFERROR(__xludf.DUMMYFUNCTION("""COMPUTED_VALUE"""),"Negative")</f>
        <v>Negative</v>
      </c>
    </row>
    <row r="1846">
      <c r="A1846" s="6" t="str">
        <f>IFERROR(__xludf.DUMMYFUNCTION("""COMPUTED_VALUE"""),"ARFCOMB173")</f>
        <v>ARFCOMB173</v>
      </c>
      <c r="B1846" s="6" t="str">
        <f>IFERROR(__xludf.DUMMYFUNCTION("""COMPUTED_VALUE"""),"RUN-COMB_2022-07-18_RFR-080")</f>
        <v>RUN-COMB_2022-07-18_RFR-080</v>
      </c>
      <c r="C1846" s="7">
        <f>VLOOKUP(B1846,'Run Reconcile'!A$2:B3090,2,FALSE)</f>
        <v>44760</v>
      </c>
      <c r="F1846" s="6" t="str">
        <f>IFERROR(__xludf.DUMMYFUNCTION("""COMPUTED_VALUE"""),"Negative")</f>
        <v>Negative</v>
      </c>
    </row>
    <row r="1847">
      <c r="A1847" s="6" t="str">
        <f>IFERROR(__xludf.DUMMYFUNCTION("""COMPUTED_VALUE"""),"ARFCOMB174")</f>
        <v>ARFCOMB174</v>
      </c>
      <c r="B1847" s="6" t="str">
        <f>IFERROR(__xludf.DUMMYFUNCTION("""COMPUTED_VALUE"""),"RUN-COMB_2022-07-18_RFR-080")</f>
        <v>RUN-COMB_2022-07-18_RFR-080</v>
      </c>
      <c r="C1847" s="7">
        <f>VLOOKUP(B1847,'Run Reconcile'!A$2:B3090,2,FALSE)</f>
        <v>44760</v>
      </c>
      <c r="F1847" s="6" t="str">
        <f>IFERROR(__xludf.DUMMYFUNCTION("""COMPUTED_VALUE"""),"Negative")</f>
        <v>Negative</v>
      </c>
    </row>
    <row r="1848">
      <c r="A1848" s="6" t="str">
        <f>IFERROR(__xludf.DUMMYFUNCTION("""COMPUTED_VALUE"""),"ARFCOMB175")</f>
        <v>ARFCOMB175</v>
      </c>
      <c r="B1848" s="6" t="str">
        <f>IFERROR(__xludf.DUMMYFUNCTION("""COMPUTED_VALUE"""),"RUN-COMB_2022-07-18_RFR-080")</f>
        <v>RUN-COMB_2022-07-18_RFR-080</v>
      </c>
      <c r="C1848" s="7">
        <f>VLOOKUP(B1848,'Run Reconcile'!A$2:B3090,2,FALSE)</f>
        <v>44760</v>
      </c>
      <c r="F1848" s="6" t="str">
        <f>IFERROR(__xludf.DUMMYFUNCTION("""COMPUTED_VALUE"""),"Negative")</f>
        <v>Negative</v>
      </c>
    </row>
    <row r="1849">
      <c r="A1849" s="6" t="str">
        <f>IFERROR(__xludf.DUMMYFUNCTION("""COMPUTED_VALUE"""),"ARFCOMB176")</f>
        <v>ARFCOMB176</v>
      </c>
      <c r="B1849" s="6" t="str">
        <f>IFERROR(__xludf.DUMMYFUNCTION("""COMPUTED_VALUE"""),"RUN-COMB_2022-07-18_RFR-080")</f>
        <v>RUN-COMB_2022-07-18_RFR-080</v>
      </c>
      <c r="C1849" s="7">
        <f>VLOOKUP(B1849,'Run Reconcile'!A$2:B3090,2,FALSE)</f>
        <v>44760</v>
      </c>
      <c r="F1849" s="6" t="str">
        <f>IFERROR(__xludf.DUMMYFUNCTION("""COMPUTED_VALUE"""),"Negative")</f>
        <v>Negative</v>
      </c>
    </row>
    <row r="1850">
      <c r="A1850" s="6" t="str">
        <f>IFERROR(__xludf.DUMMYFUNCTION("""COMPUTED_VALUE"""),"ARFCOMB177")</f>
        <v>ARFCOMB177</v>
      </c>
      <c r="B1850" s="6" t="str">
        <f>IFERROR(__xludf.DUMMYFUNCTION("""COMPUTED_VALUE"""),"RUN-COMB_2022-07-18_RFR-080")</f>
        <v>RUN-COMB_2022-07-18_RFR-080</v>
      </c>
      <c r="C1850" s="7">
        <f>VLOOKUP(B1850,'Run Reconcile'!A$2:B3090,2,FALSE)</f>
        <v>44760</v>
      </c>
      <c r="F1850" s="6" t="str">
        <f>IFERROR(__xludf.DUMMYFUNCTION("""COMPUTED_VALUE"""),"Negative")</f>
        <v>Negative</v>
      </c>
    </row>
    <row r="1851">
      <c r="A1851" s="6" t="str">
        <f>IFERROR(__xludf.DUMMYFUNCTION("""COMPUTED_VALUE"""),"ARFCOMB178")</f>
        <v>ARFCOMB178</v>
      </c>
      <c r="B1851" s="6" t="str">
        <f>IFERROR(__xludf.DUMMYFUNCTION("""COMPUTED_VALUE"""),"RUN-COMB_2022-07-18_RFR-080")</f>
        <v>RUN-COMB_2022-07-18_RFR-080</v>
      </c>
      <c r="C1851" s="7">
        <f>VLOOKUP(B1851,'Run Reconcile'!A$2:B3090,2,FALSE)</f>
        <v>44760</v>
      </c>
      <c r="F1851" s="6" t="str">
        <f>IFERROR(__xludf.DUMMYFUNCTION("""COMPUTED_VALUE"""),"Negative")</f>
        <v>Negative</v>
      </c>
    </row>
    <row r="1852">
      <c r="A1852" s="6" t="str">
        <f>IFERROR(__xludf.DUMMYFUNCTION("""COMPUTED_VALUE"""),"ARFCOMB179")</f>
        <v>ARFCOMB179</v>
      </c>
      <c r="B1852" s="6" t="str">
        <f>IFERROR(__xludf.DUMMYFUNCTION("""COMPUTED_VALUE"""),"RUN-COMB_2022-07-18_RFR-080")</f>
        <v>RUN-COMB_2022-07-18_RFR-080</v>
      </c>
      <c r="C1852" s="7">
        <f>VLOOKUP(B1852,'Run Reconcile'!A$2:B3090,2,FALSE)</f>
        <v>44760</v>
      </c>
      <c r="F1852" s="6" t="str">
        <f>IFERROR(__xludf.DUMMYFUNCTION("""COMPUTED_VALUE"""),"Negative")</f>
        <v>Negative</v>
      </c>
    </row>
    <row r="1853">
      <c r="A1853" s="6" t="str">
        <f>IFERROR(__xludf.DUMMYFUNCTION("""COMPUTED_VALUE"""),"ARFCOMB180")</f>
        <v>ARFCOMB180</v>
      </c>
      <c r="B1853" s="6" t="str">
        <f>IFERROR(__xludf.DUMMYFUNCTION("""COMPUTED_VALUE"""),"RUN-COMB_2022-07-18_RFR-080")</f>
        <v>RUN-COMB_2022-07-18_RFR-080</v>
      </c>
      <c r="C1853" s="7">
        <f>VLOOKUP(B1853,'Run Reconcile'!A$2:B3090,2,FALSE)</f>
        <v>44760</v>
      </c>
      <c r="F1853" s="6" t="str">
        <f>IFERROR(__xludf.DUMMYFUNCTION("""COMPUTED_VALUE"""),"Negative")</f>
        <v>Negative</v>
      </c>
    </row>
    <row r="1854">
      <c r="A1854" s="6" t="str">
        <f>IFERROR(__xludf.DUMMYFUNCTION("""COMPUTED_VALUE"""),"ARFCOMB181")</f>
        <v>ARFCOMB181</v>
      </c>
      <c r="B1854" s="6" t="str">
        <f>IFERROR(__xludf.DUMMYFUNCTION("""COMPUTED_VALUE"""),"RUN-COMB_2022-07-18_RFR-080")</f>
        <v>RUN-COMB_2022-07-18_RFR-080</v>
      </c>
      <c r="C1854" s="7">
        <f>VLOOKUP(B1854,'Run Reconcile'!A$2:B3090,2,FALSE)</f>
        <v>44760</v>
      </c>
      <c r="F1854" s="6" t="str">
        <f>IFERROR(__xludf.DUMMYFUNCTION("""COMPUTED_VALUE"""),"Negative")</f>
        <v>Negative</v>
      </c>
    </row>
    <row r="1855">
      <c r="A1855" s="6" t="str">
        <f>IFERROR(__xludf.DUMMYFUNCTION("""COMPUTED_VALUE"""),"ARFCOMB182")</f>
        <v>ARFCOMB182</v>
      </c>
      <c r="B1855" s="6" t="str">
        <f>IFERROR(__xludf.DUMMYFUNCTION("""COMPUTED_VALUE"""),"RUN-COMB_2022-07-18_RFR-080")</f>
        <v>RUN-COMB_2022-07-18_RFR-080</v>
      </c>
      <c r="C1855" s="7">
        <f>VLOOKUP(B1855,'Run Reconcile'!A$2:B3090,2,FALSE)</f>
        <v>44760</v>
      </c>
      <c r="F1855" s="6" t="str">
        <f>IFERROR(__xludf.DUMMYFUNCTION("""COMPUTED_VALUE"""),"Negative")</f>
        <v>Negative</v>
      </c>
    </row>
    <row r="1856">
      <c r="A1856" s="6" t="str">
        <f>IFERROR(__xludf.DUMMYFUNCTION("""COMPUTED_VALUE"""),"ARFCOMB183")</f>
        <v>ARFCOMB183</v>
      </c>
      <c r="B1856" s="6" t="str">
        <f>IFERROR(__xludf.DUMMYFUNCTION("""COMPUTED_VALUE"""),"RUN-COMB_2022-07-18_RFR-080")</f>
        <v>RUN-COMB_2022-07-18_RFR-080</v>
      </c>
      <c r="C1856" s="7">
        <f>VLOOKUP(B1856,'Run Reconcile'!A$2:B3090,2,FALSE)</f>
        <v>44760</v>
      </c>
      <c r="F1856" s="6" t="str">
        <f>IFERROR(__xludf.DUMMYFUNCTION("""COMPUTED_VALUE"""),"Negative")</f>
        <v>Negative</v>
      </c>
    </row>
    <row r="1857">
      <c r="A1857" s="6" t="str">
        <f>IFERROR(__xludf.DUMMYFUNCTION("""COMPUTED_VALUE"""),"ARFCOMB184")</f>
        <v>ARFCOMB184</v>
      </c>
      <c r="B1857" s="6" t="str">
        <f>IFERROR(__xludf.DUMMYFUNCTION("""COMPUTED_VALUE"""),"RUN-COMB_2022-07-21_RFR-086")</f>
        <v>RUN-COMB_2022-07-21_RFR-086</v>
      </c>
      <c r="C1857" s="7">
        <f>VLOOKUP(B1857,'Run Reconcile'!A$2:B3090,2,FALSE)</f>
        <v>44763</v>
      </c>
      <c r="F1857" s="6" t="str">
        <f>IFERROR(__xludf.DUMMYFUNCTION("""COMPUTED_VALUE"""),"Negative")</f>
        <v>Negative</v>
      </c>
    </row>
    <row r="1858">
      <c r="A1858" s="6" t="str">
        <f>IFERROR(__xludf.DUMMYFUNCTION("""COMPUTED_VALUE"""),"ARFCOMB185")</f>
        <v>ARFCOMB185</v>
      </c>
      <c r="B1858" s="6" t="str">
        <f>IFERROR(__xludf.DUMMYFUNCTION("""COMPUTED_VALUE"""),"RUN-COMB_2022-07-21_RFR-086")</f>
        <v>RUN-COMB_2022-07-21_RFR-086</v>
      </c>
      <c r="C1858" s="7">
        <f>VLOOKUP(B1858,'Run Reconcile'!A$2:B3090,2,FALSE)</f>
        <v>44763</v>
      </c>
      <c r="F1858" s="6" t="str">
        <f>IFERROR(__xludf.DUMMYFUNCTION("""COMPUTED_VALUE"""),"Negative")</f>
        <v>Negative</v>
      </c>
    </row>
    <row r="1859">
      <c r="A1859" s="6" t="str">
        <f>IFERROR(__xludf.DUMMYFUNCTION("""COMPUTED_VALUE"""),"ARFCOMB186")</f>
        <v>ARFCOMB186</v>
      </c>
      <c r="B1859" s="6" t="str">
        <f>IFERROR(__xludf.DUMMYFUNCTION("""COMPUTED_VALUE"""),"RUN-COMB_2022-07-21_RFR-086")</f>
        <v>RUN-COMB_2022-07-21_RFR-086</v>
      </c>
      <c r="C1859" s="7">
        <f>VLOOKUP(B1859,'Run Reconcile'!A$2:B3090,2,FALSE)</f>
        <v>44763</v>
      </c>
      <c r="F1859" s="6" t="str">
        <f>IFERROR(__xludf.DUMMYFUNCTION("""COMPUTED_VALUE"""),"Negative")</f>
        <v>Negative</v>
      </c>
    </row>
    <row r="1860">
      <c r="A1860" s="6" t="str">
        <f>IFERROR(__xludf.DUMMYFUNCTION("""COMPUTED_VALUE"""),"ARFCOMB187")</f>
        <v>ARFCOMB187</v>
      </c>
      <c r="B1860" s="6" t="str">
        <f>IFERROR(__xludf.DUMMYFUNCTION("""COMPUTED_VALUE"""),"RUN-COMB_2022-07-21_RFR-086")</f>
        <v>RUN-COMB_2022-07-21_RFR-086</v>
      </c>
      <c r="C1860" s="7">
        <f>VLOOKUP(B1860,'Run Reconcile'!A$2:B3090,2,FALSE)</f>
        <v>44763</v>
      </c>
      <c r="F1860" s="6" t="str">
        <f>IFERROR(__xludf.DUMMYFUNCTION("""COMPUTED_VALUE"""),"Negative")</f>
        <v>Negative</v>
      </c>
    </row>
    <row r="1861">
      <c r="A1861" s="6" t="str">
        <f>IFERROR(__xludf.DUMMYFUNCTION("""COMPUTED_VALUE"""),"ARFCOMB188")</f>
        <v>ARFCOMB188</v>
      </c>
      <c r="B1861" s="6" t="str">
        <f>IFERROR(__xludf.DUMMYFUNCTION("""COMPUTED_VALUE"""),"RUN-COMB_2022-07-21_RFR-086")</f>
        <v>RUN-COMB_2022-07-21_RFR-086</v>
      </c>
      <c r="C1861" s="7">
        <f>VLOOKUP(B1861,'Run Reconcile'!A$2:B3090,2,FALSE)</f>
        <v>44763</v>
      </c>
      <c r="F1861" s="6" t="str">
        <f>IFERROR(__xludf.DUMMYFUNCTION("""COMPUTED_VALUE"""),"Negative")</f>
        <v>Negative</v>
      </c>
    </row>
    <row r="1862">
      <c r="A1862" s="6" t="str">
        <f>IFERROR(__xludf.DUMMYFUNCTION("""COMPUTED_VALUE"""),"ARFCOMB189")</f>
        <v>ARFCOMB189</v>
      </c>
      <c r="B1862" s="6" t="str">
        <f>IFERROR(__xludf.DUMMYFUNCTION("""COMPUTED_VALUE"""),"RUN-COMB_2022-07-21_RFR-086")</f>
        <v>RUN-COMB_2022-07-21_RFR-086</v>
      </c>
      <c r="C1862" s="7">
        <f>VLOOKUP(B1862,'Run Reconcile'!A$2:B3090,2,FALSE)</f>
        <v>44763</v>
      </c>
      <c r="F1862" s="6" t="str">
        <f>IFERROR(__xludf.DUMMYFUNCTION("""COMPUTED_VALUE"""),"Negative")</f>
        <v>Negative</v>
      </c>
    </row>
    <row r="1863">
      <c r="A1863" s="6" t="str">
        <f>IFERROR(__xludf.DUMMYFUNCTION("""COMPUTED_VALUE"""),"ARFCOMB190")</f>
        <v>ARFCOMB190</v>
      </c>
      <c r="B1863" s="6" t="str">
        <f>IFERROR(__xludf.DUMMYFUNCTION("""COMPUTED_VALUE"""),"RUN-COMB_2022-07-21_RFR-086")</f>
        <v>RUN-COMB_2022-07-21_RFR-086</v>
      </c>
      <c r="C1863" s="7">
        <f>VLOOKUP(B1863,'Run Reconcile'!A$2:B3090,2,FALSE)</f>
        <v>44763</v>
      </c>
      <c r="F1863" s="6" t="str">
        <f>IFERROR(__xludf.DUMMYFUNCTION("""COMPUTED_VALUE"""),"Negative")</f>
        <v>Negative</v>
      </c>
    </row>
    <row r="1864">
      <c r="A1864" s="6" t="str">
        <f>IFERROR(__xludf.DUMMYFUNCTION("""COMPUTED_VALUE"""),"ARFCOMB191")</f>
        <v>ARFCOMB191</v>
      </c>
      <c r="B1864" s="6" t="str">
        <f>IFERROR(__xludf.DUMMYFUNCTION("""COMPUTED_VALUE"""),"RUN-COMB_2022-07-21_RFR-086")</f>
        <v>RUN-COMB_2022-07-21_RFR-086</v>
      </c>
      <c r="C1864" s="7">
        <f>VLOOKUP(B1864,'Run Reconcile'!A$2:B3090,2,FALSE)</f>
        <v>44763</v>
      </c>
      <c r="F1864" s="6" t="str">
        <f>IFERROR(__xludf.DUMMYFUNCTION("""COMPUTED_VALUE"""),"Negative")</f>
        <v>Negative</v>
      </c>
    </row>
    <row r="1865">
      <c r="A1865" s="6" t="str">
        <f>IFERROR(__xludf.DUMMYFUNCTION("""COMPUTED_VALUE"""),"ARFCOMB192")</f>
        <v>ARFCOMB192</v>
      </c>
      <c r="B1865" s="6" t="str">
        <f>IFERROR(__xludf.DUMMYFUNCTION("""COMPUTED_VALUE"""),"RUN-COMB_2022-07-21_RFR-086")</f>
        <v>RUN-COMB_2022-07-21_RFR-086</v>
      </c>
      <c r="C1865" s="7">
        <f>VLOOKUP(B1865,'Run Reconcile'!A$2:B3090,2,FALSE)</f>
        <v>44763</v>
      </c>
      <c r="F1865" s="6" t="str">
        <f>IFERROR(__xludf.DUMMYFUNCTION("""COMPUTED_VALUE"""),"Negative")</f>
        <v>Negative</v>
      </c>
    </row>
    <row r="1866">
      <c r="A1866" s="6" t="str">
        <f>IFERROR(__xludf.DUMMYFUNCTION("""COMPUTED_VALUE"""),"ARFCOMB193")</f>
        <v>ARFCOMB193</v>
      </c>
      <c r="B1866" s="6" t="str">
        <f>IFERROR(__xludf.DUMMYFUNCTION("""COMPUTED_VALUE"""),"RUN-COMB_2022-07-21_RFR-086")</f>
        <v>RUN-COMB_2022-07-21_RFR-086</v>
      </c>
      <c r="C1866" s="7">
        <f>VLOOKUP(B1866,'Run Reconcile'!A$2:B3090,2,FALSE)</f>
        <v>44763</v>
      </c>
      <c r="F1866" s="6" t="str">
        <f>IFERROR(__xludf.DUMMYFUNCTION("""COMPUTED_VALUE"""),"Negative")</f>
        <v>Negative</v>
      </c>
    </row>
    <row r="1867">
      <c r="A1867" s="6" t="str">
        <f>IFERROR(__xludf.DUMMYFUNCTION("""COMPUTED_VALUE"""),"ARFCOMB194")</f>
        <v>ARFCOMB194</v>
      </c>
      <c r="B1867" s="6" t="str">
        <f>IFERROR(__xludf.DUMMYFUNCTION("""COMPUTED_VALUE"""),"RUN-COMB_2022-07-21_RFR-086")</f>
        <v>RUN-COMB_2022-07-21_RFR-086</v>
      </c>
      <c r="C1867" s="7">
        <f>VLOOKUP(B1867,'Run Reconcile'!A$2:B3090,2,FALSE)</f>
        <v>44763</v>
      </c>
      <c r="F1867" s="6" t="str">
        <f>IFERROR(__xludf.DUMMYFUNCTION("""COMPUTED_VALUE"""),"Negative")</f>
        <v>Negative</v>
      </c>
    </row>
    <row r="1868">
      <c r="A1868" s="6" t="str">
        <f>IFERROR(__xludf.DUMMYFUNCTION("""COMPUTED_VALUE"""),"ARFCOMB195")</f>
        <v>ARFCOMB195</v>
      </c>
      <c r="B1868" s="6" t="str">
        <f>IFERROR(__xludf.DUMMYFUNCTION("""COMPUTED_VALUE"""),"RUN-COMB_2022-07-21_RFR-086")</f>
        <v>RUN-COMB_2022-07-21_RFR-086</v>
      </c>
      <c r="C1868" s="7">
        <f>VLOOKUP(B1868,'Run Reconcile'!A$2:B3090,2,FALSE)</f>
        <v>44763</v>
      </c>
      <c r="F1868" s="6" t="str">
        <f>IFERROR(__xludf.DUMMYFUNCTION("""COMPUTED_VALUE"""),"Negative")</f>
        <v>Negative</v>
      </c>
    </row>
    <row r="1869">
      <c r="A1869" s="6" t="str">
        <f>IFERROR(__xludf.DUMMYFUNCTION("""COMPUTED_VALUE"""),"ARFCOMB196")</f>
        <v>ARFCOMB196</v>
      </c>
      <c r="B1869" s="6" t="str">
        <f>IFERROR(__xludf.DUMMYFUNCTION("""COMPUTED_VALUE"""),"RUN-COMB_2022-07-21_RFR-086")</f>
        <v>RUN-COMB_2022-07-21_RFR-086</v>
      </c>
      <c r="C1869" s="7">
        <f>VLOOKUP(B1869,'Run Reconcile'!A$2:B3090,2,FALSE)</f>
        <v>44763</v>
      </c>
      <c r="F1869" s="6" t="str">
        <f>IFERROR(__xludf.DUMMYFUNCTION("""COMPUTED_VALUE"""),"Negative")</f>
        <v>Negative</v>
      </c>
    </row>
    <row r="1870">
      <c r="A1870" s="6" t="str">
        <f>IFERROR(__xludf.DUMMYFUNCTION("""COMPUTED_VALUE"""),"ARFCOMB197")</f>
        <v>ARFCOMB197</v>
      </c>
      <c r="B1870" s="6" t="str">
        <f>IFERROR(__xludf.DUMMYFUNCTION("""COMPUTED_VALUE"""),"RUN-COMB_2022-07-21_RFR-086")</f>
        <v>RUN-COMB_2022-07-21_RFR-086</v>
      </c>
      <c r="C1870" s="7">
        <f>VLOOKUP(B1870,'Run Reconcile'!A$2:B3090,2,FALSE)</f>
        <v>44763</v>
      </c>
      <c r="F1870" s="6" t="str">
        <f>IFERROR(__xludf.DUMMYFUNCTION("""COMPUTED_VALUE"""),"Negative")</f>
        <v>Negative</v>
      </c>
    </row>
    <row r="1871">
      <c r="A1871" s="6" t="str">
        <f>IFERROR(__xludf.DUMMYFUNCTION("""COMPUTED_VALUE"""),"ARFCOMB198")</f>
        <v>ARFCOMB198</v>
      </c>
      <c r="B1871" s="6" t="str">
        <f>IFERROR(__xludf.DUMMYFUNCTION("""COMPUTED_VALUE"""),"RUN-COMB_2022-07-21_RFR-086")</f>
        <v>RUN-COMB_2022-07-21_RFR-086</v>
      </c>
      <c r="C1871" s="7">
        <f>VLOOKUP(B1871,'Run Reconcile'!A$2:B3090,2,FALSE)</f>
        <v>44763</v>
      </c>
      <c r="F1871" s="6" t="str">
        <f>IFERROR(__xludf.DUMMYFUNCTION("""COMPUTED_VALUE"""),"Negative")</f>
        <v>Negative</v>
      </c>
    </row>
    <row r="1872">
      <c r="A1872" s="6" t="str">
        <f>IFERROR(__xludf.DUMMYFUNCTION("""COMPUTED_VALUE"""),"ARFCOMB199")</f>
        <v>ARFCOMB199</v>
      </c>
      <c r="B1872" s="6" t="str">
        <f>IFERROR(__xludf.DUMMYFUNCTION("""COMPUTED_VALUE"""),"RUN-COMB_2022-07-21_RFR-086")</f>
        <v>RUN-COMB_2022-07-21_RFR-086</v>
      </c>
      <c r="C1872" s="7">
        <f>VLOOKUP(B1872,'Run Reconcile'!A$2:B3090,2,FALSE)</f>
        <v>44763</v>
      </c>
      <c r="F1872" s="6" t="str">
        <f>IFERROR(__xludf.DUMMYFUNCTION("""COMPUTED_VALUE"""),"Negative")</f>
        <v>Negative</v>
      </c>
    </row>
    <row r="1873">
      <c r="A1873" s="6" t="str">
        <f>IFERROR(__xludf.DUMMYFUNCTION("""COMPUTED_VALUE"""),"ARFCOMB200")</f>
        <v>ARFCOMB200</v>
      </c>
      <c r="B1873" s="6" t="str">
        <f>IFERROR(__xludf.DUMMYFUNCTION("""COMPUTED_VALUE"""),"RUN-COMB_2022-07-21_RFR-086")</f>
        <v>RUN-COMB_2022-07-21_RFR-086</v>
      </c>
      <c r="C1873" s="7">
        <f>VLOOKUP(B1873,'Run Reconcile'!A$2:B3090,2,FALSE)</f>
        <v>44763</v>
      </c>
      <c r="F1873" s="6" t="str">
        <f>IFERROR(__xludf.DUMMYFUNCTION("""COMPUTED_VALUE"""),"Negative")</f>
        <v>Negative</v>
      </c>
    </row>
    <row r="1874">
      <c r="A1874" s="6" t="str">
        <f>IFERROR(__xludf.DUMMYFUNCTION("""COMPUTED_VALUE"""),"ARFCOMB201")</f>
        <v>ARFCOMB201</v>
      </c>
      <c r="B1874" s="6" t="str">
        <f>IFERROR(__xludf.DUMMYFUNCTION("""COMPUTED_VALUE"""),"RUN-COMB_2022-07-21_RFR-086")</f>
        <v>RUN-COMB_2022-07-21_RFR-086</v>
      </c>
      <c r="C1874" s="7">
        <f>VLOOKUP(B1874,'Run Reconcile'!A$2:B3090,2,FALSE)</f>
        <v>44763</v>
      </c>
      <c r="F1874" s="6" t="str">
        <f>IFERROR(__xludf.DUMMYFUNCTION("""COMPUTED_VALUE"""),"Negative")</f>
        <v>Negative</v>
      </c>
    </row>
    <row r="1875">
      <c r="A1875" s="6" t="str">
        <f>IFERROR(__xludf.DUMMYFUNCTION("""COMPUTED_VALUE"""),"ARFCOMB202")</f>
        <v>ARFCOMB202</v>
      </c>
      <c r="B1875" s="6" t="str">
        <f>IFERROR(__xludf.DUMMYFUNCTION("""COMPUTED_VALUE"""),"RUN-COMB_2022-07-21_RFR-086")</f>
        <v>RUN-COMB_2022-07-21_RFR-086</v>
      </c>
      <c r="C1875" s="7">
        <f>VLOOKUP(B1875,'Run Reconcile'!A$2:B3090,2,FALSE)</f>
        <v>44763</v>
      </c>
      <c r="F1875" s="6" t="str">
        <f>IFERROR(__xludf.DUMMYFUNCTION("""COMPUTED_VALUE"""),"Negative")</f>
        <v>Negative</v>
      </c>
    </row>
    <row r="1876">
      <c r="A1876" s="6" t="str">
        <f>IFERROR(__xludf.DUMMYFUNCTION("""COMPUTED_VALUE"""),"ARFCOMB203")</f>
        <v>ARFCOMB203</v>
      </c>
      <c r="B1876" s="6" t="str">
        <f>IFERROR(__xludf.DUMMYFUNCTION("""COMPUTED_VALUE"""),"RUN-COMB_2022-07-21_RFR-086")</f>
        <v>RUN-COMB_2022-07-21_RFR-086</v>
      </c>
      <c r="C1876" s="7">
        <f>VLOOKUP(B1876,'Run Reconcile'!A$2:B3090,2,FALSE)</f>
        <v>44763</v>
      </c>
      <c r="F1876" s="6" t="str">
        <f>IFERROR(__xludf.DUMMYFUNCTION("""COMPUTED_VALUE"""),"Negative")</f>
        <v>Negative</v>
      </c>
    </row>
    <row r="1877">
      <c r="A1877" s="6" t="str">
        <f>IFERROR(__xludf.DUMMYFUNCTION("""COMPUTED_VALUE"""),"ARFCOMB204")</f>
        <v>ARFCOMB204</v>
      </c>
      <c r="B1877" s="6" t="str">
        <f>IFERROR(__xludf.DUMMYFUNCTION("""COMPUTED_VALUE"""),"RUN-COMB_2022-07-21_RFR-086")</f>
        <v>RUN-COMB_2022-07-21_RFR-086</v>
      </c>
      <c r="C1877" s="7">
        <f>VLOOKUP(B1877,'Run Reconcile'!A$2:B3090,2,FALSE)</f>
        <v>44763</v>
      </c>
      <c r="F1877" s="6" t="str">
        <f>IFERROR(__xludf.DUMMYFUNCTION("""COMPUTED_VALUE"""),"Negative")</f>
        <v>Negative</v>
      </c>
    </row>
    <row r="1878">
      <c r="A1878" s="6" t="str">
        <f>IFERROR(__xludf.DUMMYFUNCTION("""COMPUTED_VALUE"""),"ARFCOMB205")</f>
        <v>ARFCOMB205</v>
      </c>
      <c r="B1878" s="6" t="str">
        <f>IFERROR(__xludf.DUMMYFUNCTION("""COMPUTED_VALUE"""),"RUN-COMB_2022-07-21_RFR-086")</f>
        <v>RUN-COMB_2022-07-21_RFR-086</v>
      </c>
      <c r="C1878" s="7">
        <f>VLOOKUP(B1878,'Run Reconcile'!A$2:B3090,2,FALSE)</f>
        <v>44763</v>
      </c>
      <c r="F1878" s="6" t="str">
        <f>IFERROR(__xludf.DUMMYFUNCTION("""COMPUTED_VALUE"""),"Negative")</f>
        <v>Negative</v>
      </c>
    </row>
    <row r="1879">
      <c r="A1879" s="6" t="str">
        <f>IFERROR(__xludf.DUMMYFUNCTION("""COMPUTED_VALUE"""),"ARFCOMB206")</f>
        <v>ARFCOMB206</v>
      </c>
      <c r="B1879" s="6" t="str">
        <f>IFERROR(__xludf.DUMMYFUNCTION("""COMPUTED_VALUE"""),"RUN-COMB_2022-07-21_RFR-086")</f>
        <v>RUN-COMB_2022-07-21_RFR-086</v>
      </c>
      <c r="C1879" s="7">
        <f>VLOOKUP(B1879,'Run Reconcile'!A$2:B3090,2,FALSE)</f>
        <v>44763</v>
      </c>
      <c r="F1879" s="6" t="str">
        <f>IFERROR(__xludf.DUMMYFUNCTION("""COMPUTED_VALUE"""),"Negative")</f>
        <v>Negative</v>
      </c>
    </row>
    <row r="1880">
      <c r="A1880" s="6" t="str">
        <f>IFERROR(__xludf.DUMMYFUNCTION("""COMPUTED_VALUE"""),"ARFCOMB207")</f>
        <v>ARFCOMB207</v>
      </c>
      <c r="B1880" s="6" t="str">
        <f>IFERROR(__xludf.DUMMYFUNCTION("""COMPUTED_VALUE"""),"RUN-COMB_2022-07-21_RFR-086")</f>
        <v>RUN-COMB_2022-07-21_RFR-086</v>
      </c>
      <c r="C1880" s="7">
        <f>VLOOKUP(B1880,'Run Reconcile'!A$2:B3090,2,FALSE)</f>
        <v>44763</v>
      </c>
      <c r="F1880" s="6" t="str">
        <f>IFERROR(__xludf.DUMMYFUNCTION("""COMPUTED_VALUE"""),"Negative")</f>
        <v>Negative</v>
      </c>
    </row>
    <row r="1881">
      <c r="A1881" s="6" t="str">
        <f>IFERROR(__xludf.DUMMYFUNCTION("""COMPUTED_VALUE"""),"ARFCOMB208")</f>
        <v>ARFCOMB208</v>
      </c>
      <c r="B1881" s="6" t="str">
        <f>IFERROR(__xludf.DUMMYFUNCTION("""COMPUTED_VALUE"""),"RUN-COMB_2022-07-21_RFR-086")</f>
        <v>RUN-COMB_2022-07-21_RFR-086</v>
      </c>
      <c r="C1881" s="7">
        <f>VLOOKUP(B1881,'Run Reconcile'!A$2:B3090,2,FALSE)</f>
        <v>44763</v>
      </c>
      <c r="F1881" s="6" t="str">
        <f>IFERROR(__xludf.DUMMYFUNCTION("""COMPUTED_VALUE"""),"Negative")</f>
        <v>Negative</v>
      </c>
    </row>
    <row r="1882">
      <c r="A1882" s="6" t="str">
        <f>IFERROR(__xludf.DUMMYFUNCTION("""COMPUTED_VALUE"""),"ARFCOMB209")</f>
        <v>ARFCOMB209</v>
      </c>
      <c r="B1882" s="6" t="str">
        <f>IFERROR(__xludf.DUMMYFUNCTION("""COMPUTED_VALUE"""),"RUN-COMB_2022-07-21_RFR-086")</f>
        <v>RUN-COMB_2022-07-21_RFR-086</v>
      </c>
      <c r="C1882" s="7">
        <f>VLOOKUP(B1882,'Run Reconcile'!A$2:B3090,2,FALSE)</f>
        <v>44763</v>
      </c>
      <c r="F1882" s="6" t="str">
        <f>IFERROR(__xludf.DUMMYFUNCTION("""COMPUTED_VALUE"""),"Negative")</f>
        <v>Negative</v>
      </c>
    </row>
    <row r="1883">
      <c r="A1883" s="6" t="str">
        <f>IFERROR(__xludf.DUMMYFUNCTION("""COMPUTED_VALUE"""),"ARFCOMB210")</f>
        <v>ARFCOMB210</v>
      </c>
      <c r="B1883" s="6" t="str">
        <f>IFERROR(__xludf.DUMMYFUNCTION("""COMPUTED_VALUE"""),"RUN-COMB_2022-07-21_RFR-086")</f>
        <v>RUN-COMB_2022-07-21_RFR-086</v>
      </c>
      <c r="C1883" s="7">
        <f>VLOOKUP(B1883,'Run Reconcile'!A$2:B3090,2,FALSE)</f>
        <v>44763</v>
      </c>
      <c r="F1883" s="6" t="str">
        <f>IFERROR(__xludf.DUMMYFUNCTION("""COMPUTED_VALUE"""),"Negative")</f>
        <v>Negative</v>
      </c>
    </row>
    <row r="1884">
      <c r="A1884" s="6" t="str">
        <f>IFERROR(__xludf.DUMMYFUNCTION("""COMPUTED_VALUE"""),"ARFCOMB211")</f>
        <v>ARFCOMB211</v>
      </c>
      <c r="B1884" s="6" t="str">
        <f>IFERROR(__xludf.DUMMYFUNCTION("""COMPUTED_VALUE"""),"RUN-COMB_2022-07-21_RFR-086")</f>
        <v>RUN-COMB_2022-07-21_RFR-086</v>
      </c>
      <c r="C1884" s="7">
        <f>VLOOKUP(B1884,'Run Reconcile'!A$2:B3090,2,FALSE)</f>
        <v>44763</v>
      </c>
      <c r="F1884" s="6" t="str">
        <f>IFERROR(__xludf.DUMMYFUNCTION("""COMPUTED_VALUE"""),"Negative")</f>
        <v>Negative</v>
      </c>
    </row>
    <row r="1885">
      <c r="A1885" s="6" t="str">
        <f>IFERROR(__xludf.DUMMYFUNCTION("""COMPUTED_VALUE"""),"ARFCOMB212")</f>
        <v>ARFCOMB212</v>
      </c>
      <c r="B1885" s="6" t="str">
        <f>IFERROR(__xludf.DUMMYFUNCTION("""COMPUTED_VALUE"""),"RUN-COMB_2022-07-21_RFR-086")</f>
        <v>RUN-COMB_2022-07-21_RFR-086</v>
      </c>
      <c r="C1885" s="7">
        <f>VLOOKUP(B1885,'Run Reconcile'!A$2:B3090,2,FALSE)</f>
        <v>44763</v>
      </c>
      <c r="F1885" s="6" t="str">
        <f>IFERROR(__xludf.DUMMYFUNCTION("""COMPUTED_VALUE"""),"Negative")</f>
        <v>Negative</v>
      </c>
    </row>
    <row r="1886">
      <c r="A1886" s="6" t="str">
        <f>IFERROR(__xludf.DUMMYFUNCTION("""COMPUTED_VALUE"""),"ARFCOMB213")</f>
        <v>ARFCOMB213</v>
      </c>
      <c r="B1886" s="6" t="str">
        <f>IFERROR(__xludf.DUMMYFUNCTION("""COMPUTED_VALUE"""),"RUN-COMB_2022-07-21_RFR-086")</f>
        <v>RUN-COMB_2022-07-21_RFR-086</v>
      </c>
      <c r="C1886" s="7">
        <f>VLOOKUP(B1886,'Run Reconcile'!A$2:B3090,2,FALSE)</f>
        <v>44763</v>
      </c>
      <c r="F1886" s="6" t="str">
        <f>IFERROR(__xludf.DUMMYFUNCTION("""COMPUTED_VALUE"""),"Negative")</f>
        <v>Negative</v>
      </c>
    </row>
    <row r="1887">
      <c r="A1887" s="6" t="str">
        <f>IFERROR(__xludf.DUMMYFUNCTION("""COMPUTED_VALUE"""),"ARFCOMB214")</f>
        <v>ARFCOMB214</v>
      </c>
      <c r="B1887" s="6" t="str">
        <f>IFERROR(__xludf.DUMMYFUNCTION("""COMPUTED_VALUE"""),"RUN-COMB_2022-07-21_RFR-086")</f>
        <v>RUN-COMB_2022-07-21_RFR-086</v>
      </c>
      <c r="C1887" s="7">
        <f>VLOOKUP(B1887,'Run Reconcile'!A$2:B3090,2,FALSE)</f>
        <v>44763</v>
      </c>
      <c r="F1887" s="6" t="str">
        <f>IFERROR(__xludf.DUMMYFUNCTION("""COMPUTED_VALUE"""),"Negative")</f>
        <v>Negative</v>
      </c>
    </row>
    <row r="1888">
      <c r="A1888" s="6" t="str">
        <f>IFERROR(__xludf.DUMMYFUNCTION("""COMPUTED_VALUE"""),"ARFCOMB215")</f>
        <v>ARFCOMB215</v>
      </c>
      <c r="B1888" s="6" t="str">
        <f>IFERROR(__xludf.DUMMYFUNCTION("""COMPUTED_VALUE"""),"RUN-COMB_2022-07-21_RFR-086")</f>
        <v>RUN-COMB_2022-07-21_RFR-086</v>
      </c>
      <c r="C1888" s="7">
        <f>VLOOKUP(B1888,'Run Reconcile'!A$2:B3090,2,FALSE)</f>
        <v>44763</v>
      </c>
      <c r="F1888" s="6" t="str">
        <f>IFERROR(__xludf.DUMMYFUNCTION("""COMPUTED_VALUE"""),"Negative")</f>
        <v>Negative</v>
      </c>
    </row>
    <row r="1889">
      <c r="A1889" s="6" t="str">
        <f>IFERROR(__xludf.DUMMYFUNCTION("""COMPUTED_VALUE"""),"ARFCOMB216")</f>
        <v>ARFCOMB216</v>
      </c>
      <c r="B1889" s="6" t="str">
        <f>IFERROR(__xludf.DUMMYFUNCTION("""COMPUTED_VALUE"""),"RUN-COMB_2022-07-21_RFR-086")</f>
        <v>RUN-COMB_2022-07-21_RFR-086</v>
      </c>
      <c r="C1889" s="7">
        <f>VLOOKUP(B1889,'Run Reconcile'!A$2:B3090,2,FALSE)</f>
        <v>44763</v>
      </c>
      <c r="F1889" s="6" t="str">
        <f>IFERROR(__xludf.DUMMYFUNCTION("""COMPUTED_VALUE"""),"Negative")</f>
        <v>Negative</v>
      </c>
    </row>
    <row r="1890">
      <c r="A1890" s="6" t="str">
        <f>IFERROR(__xludf.DUMMYFUNCTION("""COMPUTED_VALUE"""),"ARFCOMB217")</f>
        <v>ARFCOMB217</v>
      </c>
      <c r="B1890" s="6" t="str">
        <f>IFERROR(__xludf.DUMMYFUNCTION("""COMPUTED_VALUE"""),"RUN-COMB_2022-07-21_RFR-086")</f>
        <v>RUN-COMB_2022-07-21_RFR-086</v>
      </c>
      <c r="C1890" s="7">
        <f>VLOOKUP(B1890,'Run Reconcile'!A$2:B3090,2,FALSE)</f>
        <v>44763</v>
      </c>
      <c r="F1890" s="6" t="str">
        <f>IFERROR(__xludf.DUMMYFUNCTION("""COMPUTED_VALUE"""),"Negative")</f>
        <v>Negative</v>
      </c>
    </row>
    <row r="1891">
      <c r="A1891" s="6" t="str">
        <f>IFERROR(__xludf.DUMMYFUNCTION("""COMPUTED_VALUE"""),"ARFCOMB218")</f>
        <v>ARFCOMB218</v>
      </c>
      <c r="B1891" s="6" t="str">
        <f>IFERROR(__xludf.DUMMYFUNCTION("""COMPUTED_VALUE"""),"RUN-COMB_2022-07-21_RFR-086")</f>
        <v>RUN-COMB_2022-07-21_RFR-086</v>
      </c>
      <c r="C1891" s="7">
        <f>VLOOKUP(B1891,'Run Reconcile'!A$2:B3090,2,FALSE)</f>
        <v>44763</v>
      </c>
      <c r="F1891" s="6" t="str">
        <f>IFERROR(__xludf.DUMMYFUNCTION("""COMPUTED_VALUE"""),"Negative")</f>
        <v>Negative</v>
      </c>
    </row>
    <row r="1892">
      <c r="A1892" s="6" t="str">
        <f>IFERROR(__xludf.DUMMYFUNCTION("""COMPUTED_VALUE"""),"ARFCOMB219")</f>
        <v>ARFCOMB219</v>
      </c>
      <c r="B1892" s="6" t="str">
        <f>IFERROR(__xludf.DUMMYFUNCTION("""COMPUTED_VALUE"""),"RUN-COMB_2022-07-21_RFR-086")</f>
        <v>RUN-COMB_2022-07-21_RFR-086</v>
      </c>
      <c r="C1892" s="7">
        <f>VLOOKUP(B1892,'Run Reconcile'!A$2:B3090,2,FALSE)</f>
        <v>44763</v>
      </c>
      <c r="F1892" s="6" t="str">
        <f>IFERROR(__xludf.DUMMYFUNCTION("""COMPUTED_VALUE"""),"Negative")</f>
        <v>Negative</v>
      </c>
    </row>
    <row r="1893">
      <c r="A1893" s="6" t="str">
        <f>IFERROR(__xludf.DUMMYFUNCTION("""COMPUTED_VALUE"""),"ARFCOMB220")</f>
        <v>ARFCOMB220</v>
      </c>
      <c r="B1893" s="6" t="str">
        <f>IFERROR(__xludf.DUMMYFUNCTION("""COMPUTED_VALUE"""),"RUN-COMB_2022-07-21_RFR-086")</f>
        <v>RUN-COMB_2022-07-21_RFR-086</v>
      </c>
      <c r="C1893" s="7">
        <f>VLOOKUP(B1893,'Run Reconcile'!A$2:B3090,2,FALSE)</f>
        <v>44763</v>
      </c>
      <c r="F1893" s="6" t="str">
        <f>IFERROR(__xludf.DUMMYFUNCTION("""COMPUTED_VALUE"""),"Negative")</f>
        <v>Negative</v>
      </c>
    </row>
    <row r="1894">
      <c r="A1894" s="6" t="str">
        <f>IFERROR(__xludf.DUMMYFUNCTION("""COMPUTED_VALUE"""),"ARFCOMB221")</f>
        <v>ARFCOMB221</v>
      </c>
      <c r="B1894" s="6" t="str">
        <f>IFERROR(__xludf.DUMMYFUNCTION("""COMPUTED_VALUE"""),"RUN-COMB_2022-07-21_RFR-086")</f>
        <v>RUN-COMB_2022-07-21_RFR-086</v>
      </c>
      <c r="C1894" s="7">
        <f>VLOOKUP(B1894,'Run Reconcile'!A$2:B3090,2,FALSE)</f>
        <v>44763</v>
      </c>
      <c r="F1894" s="6" t="str">
        <f>IFERROR(__xludf.DUMMYFUNCTION("""COMPUTED_VALUE"""),"Negative")</f>
        <v>Negative</v>
      </c>
    </row>
    <row r="1895">
      <c r="A1895" s="6" t="str">
        <f>IFERROR(__xludf.DUMMYFUNCTION("""COMPUTED_VALUE"""),"ARFCOMB222")</f>
        <v>ARFCOMB222</v>
      </c>
      <c r="B1895" s="6" t="str">
        <f>IFERROR(__xludf.DUMMYFUNCTION("""COMPUTED_VALUE"""),"RUN-COMB_2022-07-21_RFR-086")</f>
        <v>RUN-COMB_2022-07-21_RFR-086</v>
      </c>
      <c r="C1895" s="7">
        <f>VLOOKUP(B1895,'Run Reconcile'!A$2:B3090,2,FALSE)</f>
        <v>44763</v>
      </c>
      <c r="F1895" s="6" t="str">
        <f>IFERROR(__xludf.DUMMYFUNCTION("""COMPUTED_VALUE"""),"Negative")</f>
        <v>Negative</v>
      </c>
    </row>
    <row r="1896">
      <c r="A1896" s="6" t="str">
        <f>IFERROR(__xludf.DUMMYFUNCTION("""COMPUTED_VALUE"""),"ARFCOMB223")</f>
        <v>ARFCOMB223</v>
      </c>
      <c r="B1896" s="6" t="str">
        <f>IFERROR(__xludf.DUMMYFUNCTION("""COMPUTED_VALUE"""),"RUN-COMB_2022-07-21_RFR-086")</f>
        <v>RUN-COMB_2022-07-21_RFR-086</v>
      </c>
      <c r="C1896" s="7">
        <f>VLOOKUP(B1896,'Run Reconcile'!A$2:B3090,2,FALSE)</f>
        <v>44763</v>
      </c>
      <c r="F1896" s="6" t="str">
        <f>IFERROR(__xludf.DUMMYFUNCTION("""COMPUTED_VALUE"""),"Negative")</f>
        <v>Negative</v>
      </c>
    </row>
    <row r="1897">
      <c r="A1897" s="6" t="str">
        <f>IFERROR(__xludf.DUMMYFUNCTION("""COMPUTED_VALUE"""),"ARFCOMB224")</f>
        <v>ARFCOMB224</v>
      </c>
      <c r="B1897" s="6" t="str">
        <f>IFERROR(__xludf.DUMMYFUNCTION("""COMPUTED_VALUE"""),"RUN-COMB_2022-07-21_RFR-086")</f>
        <v>RUN-COMB_2022-07-21_RFR-086</v>
      </c>
      <c r="C1897" s="7">
        <f>VLOOKUP(B1897,'Run Reconcile'!A$2:B3090,2,FALSE)</f>
        <v>44763</v>
      </c>
      <c r="F1897" s="6" t="str">
        <f>IFERROR(__xludf.DUMMYFUNCTION("""COMPUTED_VALUE"""),"Negative")</f>
        <v>Negative</v>
      </c>
    </row>
    <row r="1898">
      <c r="A1898" s="6" t="str">
        <f>IFERROR(__xludf.DUMMYFUNCTION("""COMPUTED_VALUE"""),"ARFCOMB225")</f>
        <v>ARFCOMB225</v>
      </c>
      <c r="B1898" s="6" t="str">
        <f>IFERROR(__xludf.DUMMYFUNCTION("""COMPUTED_VALUE"""),"RUN-COMB_2022-07-21_RFR-086")</f>
        <v>RUN-COMB_2022-07-21_RFR-086</v>
      </c>
      <c r="C1898" s="7">
        <f>VLOOKUP(B1898,'Run Reconcile'!A$2:B3090,2,FALSE)</f>
        <v>44763</v>
      </c>
      <c r="F1898" s="6" t="str">
        <f>IFERROR(__xludf.DUMMYFUNCTION("""COMPUTED_VALUE"""),"Negative")</f>
        <v>Negative</v>
      </c>
    </row>
    <row r="1899">
      <c r="A1899" s="6" t="str">
        <f>IFERROR(__xludf.DUMMYFUNCTION("""COMPUTED_VALUE"""),"ARFCOMB226")</f>
        <v>ARFCOMB226</v>
      </c>
      <c r="B1899" s="6" t="str">
        <f>IFERROR(__xludf.DUMMYFUNCTION("""COMPUTED_VALUE"""),"RUN-COMB_2022-07-21_RFR-086")</f>
        <v>RUN-COMB_2022-07-21_RFR-086</v>
      </c>
      <c r="C1899" s="7">
        <f>VLOOKUP(B1899,'Run Reconcile'!A$2:B3090,2,FALSE)</f>
        <v>44763</v>
      </c>
      <c r="F1899" s="6" t="str">
        <f>IFERROR(__xludf.DUMMYFUNCTION("""COMPUTED_VALUE"""),"Negative")</f>
        <v>Negative</v>
      </c>
    </row>
    <row r="1900">
      <c r="A1900" s="6" t="str">
        <f>IFERROR(__xludf.DUMMYFUNCTION("""COMPUTED_VALUE"""),"ARFCOMB227")</f>
        <v>ARFCOMB227</v>
      </c>
      <c r="B1900" s="6" t="str">
        <f>IFERROR(__xludf.DUMMYFUNCTION("""COMPUTED_VALUE"""),"RUN-COMB_2022-07-21_RFR-086")</f>
        <v>RUN-COMB_2022-07-21_RFR-086</v>
      </c>
      <c r="C1900" s="7">
        <f>VLOOKUP(B1900,'Run Reconcile'!A$2:B3090,2,FALSE)</f>
        <v>44763</v>
      </c>
      <c r="F1900" s="6" t="str">
        <f>IFERROR(__xludf.DUMMYFUNCTION("""COMPUTED_VALUE"""),"Negative")</f>
        <v>Negative</v>
      </c>
    </row>
    <row r="1901">
      <c r="A1901" s="6" t="str">
        <f>IFERROR(__xludf.DUMMYFUNCTION("""COMPUTED_VALUE"""),"ARFCOMB228")</f>
        <v>ARFCOMB228</v>
      </c>
      <c r="B1901" s="6" t="str">
        <f>IFERROR(__xludf.DUMMYFUNCTION("""COMPUTED_VALUE"""),"RUN-COMB_2022-07-21_RFR-086")</f>
        <v>RUN-COMB_2022-07-21_RFR-086</v>
      </c>
      <c r="C1901" s="7">
        <f>VLOOKUP(B1901,'Run Reconcile'!A$2:B3090,2,FALSE)</f>
        <v>44763</v>
      </c>
      <c r="F1901" s="6" t="str">
        <f>IFERROR(__xludf.DUMMYFUNCTION("""COMPUTED_VALUE"""),"Negative")</f>
        <v>Negative</v>
      </c>
    </row>
    <row r="1902">
      <c r="A1902" s="6" t="str">
        <f>IFERROR(__xludf.DUMMYFUNCTION("""COMPUTED_VALUE"""),"ARFCOMB229")</f>
        <v>ARFCOMB229</v>
      </c>
      <c r="B1902" s="6" t="str">
        <f>IFERROR(__xludf.DUMMYFUNCTION("""COMPUTED_VALUE"""),"RUN-COMB_2022-07-21_RFR-086")</f>
        <v>RUN-COMB_2022-07-21_RFR-086</v>
      </c>
      <c r="C1902" s="7">
        <f>VLOOKUP(B1902,'Run Reconcile'!A$2:B3090,2,FALSE)</f>
        <v>44763</v>
      </c>
      <c r="F1902" s="6" t="str">
        <f>IFERROR(__xludf.DUMMYFUNCTION("""COMPUTED_VALUE"""),"Negative")</f>
        <v>Negative</v>
      </c>
    </row>
    <row r="1903">
      <c r="A1903" s="6" t="str">
        <f>IFERROR(__xludf.DUMMYFUNCTION("""COMPUTED_VALUE"""),"ARFCOMB230")</f>
        <v>ARFCOMB230</v>
      </c>
      <c r="B1903" s="6" t="str">
        <f>IFERROR(__xludf.DUMMYFUNCTION("""COMPUTED_VALUE"""),"RUN-COMB_2022-07-21_RFR-086")</f>
        <v>RUN-COMB_2022-07-21_RFR-086</v>
      </c>
      <c r="C1903" s="7">
        <f>VLOOKUP(B1903,'Run Reconcile'!A$2:B3090,2,FALSE)</f>
        <v>44763</v>
      </c>
      <c r="F1903" s="6" t="str">
        <f>IFERROR(__xludf.DUMMYFUNCTION("""COMPUTED_VALUE"""),"Negative")</f>
        <v>Negative</v>
      </c>
    </row>
    <row r="1904">
      <c r="A1904" s="6" t="str">
        <f>IFERROR(__xludf.DUMMYFUNCTION("""COMPUTED_VALUE"""),"ARFCOMB231")</f>
        <v>ARFCOMB231</v>
      </c>
      <c r="B1904" s="6" t="str">
        <f>IFERROR(__xludf.DUMMYFUNCTION("""COMPUTED_VALUE"""),"RUN-COMB_2022-07-21_RFR-086")</f>
        <v>RUN-COMB_2022-07-21_RFR-086</v>
      </c>
      <c r="C1904" s="7">
        <f>VLOOKUP(B1904,'Run Reconcile'!A$2:B3090,2,FALSE)</f>
        <v>44763</v>
      </c>
      <c r="F1904" s="6" t="str">
        <f>IFERROR(__xludf.DUMMYFUNCTION("""COMPUTED_VALUE"""),"Negative")</f>
        <v>Negative</v>
      </c>
    </row>
    <row r="1905">
      <c r="A1905" s="6" t="str">
        <f>IFERROR(__xludf.DUMMYFUNCTION("""COMPUTED_VALUE"""),"ARFCOMB232")</f>
        <v>ARFCOMB232</v>
      </c>
      <c r="B1905" s="6" t="str">
        <f>IFERROR(__xludf.DUMMYFUNCTION("""COMPUTED_VALUE"""),"RUN-COMB_2022-07-21_RFR-086")</f>
        <v>RUN-COMB_2022-07-21_RFR-086</v>
      </c>
      <c r="C1905" s="7">
        <f>VLOOKUP(B1905,'Run Reconcile'!A$2:B3090,2,FALSE)</f>
        <v>44763</v>
      </c>
      <c r="F1905" s="6" t="str">
        <f>IFERROR(__xludf.DUMMYFUNCTION("""COMPUTED_VALUE"""),"Negative")</f>
        <v>Negative</v>
      </c>
    </row>
    <row r="1906">
      <c r="A1906" s="6" t="str">
        <f>IFERROR(__xludf.DUMMYFUNCTION("""COMPUTED_VALUE"""),"ARFCOMB233")</f>
        <v>ARFCOMB233</v>
      </c>
      <c r="B1906" s="6" t="str">
        <f>IFERROR(__xludf.DUMMYFUNCTION("""COMPUTED_VALUE"""),"RUN-COMB_2022-07-21_RFR-086")</f>
        <v>RUN-COMB_2022-07-21_RFR-086</v>
      </c>
      <c r="C1906" s="7">
        <f>VLOOKUP(B1906,'Run Reconcile'!A$2:B3090,2,FALSE)</f>
        <v>44763</v>
      </c>
      <c r="F1906" s="6" t="str">
        <f>IFERROR(__xludf.DUMMYFUNCTION("""COMPUTED_VALUE"""),"Negative")</f>
        <v>Negative</v>
      </c>
    </row>
    <row r="1907">
      <c r="A1907" s="6" t="str">
        <f>IFERROR(__xludf.DUMMYFUNCTION("""COMPUTED_VALUE"""),"ARFCOMB234")</f>
        <v>ARFCOMB234</v>
      </c>
      <c r="B1907" s="6" t="str">
        <f>IFERROR(__xludf.DUMMYFUNCTION("""COMPUTED_VALUE"""),"RUN-COMB_2022-07-21_RFR-086")</f>
        <v>RUN-COMB_2022-07-21_RFR-086</v>
      </c>
      <c r="C1907" s="7">
        <f>VLOOKUP(B1907,'Run Reconcile'!A$2:B3090,2,FALSE)</f>
        <v>44763</v>
      </c>
      <c r="F1907" s="6" t="str">
        <f>IFERROR(__xludf.DUMMYFUNCTION("""COMPUTED_VALUE"""),"Negative")</f>
        <v>Negative</v>
      </c>
    </row>
    <row r="1908">
      <c r="A1908" s="6" t="str">
        <f>IFERROR(__xludf.DUMMYFUNCTION("""COMPUTED_VALUE"""),"ARFCOMB235")</f>
        <v>ARFCOMB235</v>
      </c>
      <c r="B1908" s="6" t="str">
        <f>IFERROR(__xludf.DUMMYFUNCTION("""COMPUTED_VALUE"""),"RUN-COMB_2022-07-21_RFR-086")</f>
        <v>RUN-COMB_2022-07-21_RFR-086</v>
      </c>
      <c r="C1908" s="7">
        <f>VLOOKUP(B1908,'Run Reconcile'!A$2:B3090,2,FALSE)</f>
        <v>44763</v>
      </c>
      <c r="F1908" s="6" t="str">
        <f>IFERROR(__xludf.DUMMYFUNCTION("""COMPUTED_VALUE"""),"Negative")</f>
        <v>Negative</v>
      </c>
    </row>
    <row r="1909">
      <c r="A1909" s="6" t="str">
        <f>IFERROR(__xludf.DUMMYFUNCTION("""COMPUTED_VALUE"""),"ARFCOMB236")</f>
        <v>ARFCOMB236</v>
      </c>
      <c r="B1909" s="6" t="str">
        <f>IFERROR(__xludf.DUMMYFUNCTION("""COMPUTED_VALUE"""),"RUN-COMB_2022-07-21_RFR-086")</f>
        <v>RUN-COMB_2022-07-21_RFR-086</v>
      </c>
      <c r="C1909" s="7">
        <f>VLOOKUP(B1909,'Run Reconcile'!A$2:B3090,2,FALSE)</f>
        <v>44763</v>
      </c>
      <c r="F1909" s="6" t="str">
        <f>IFERROR(__xludf.DUMMYFUNCTION("""COMPUTED_VALUE"""),"Negative")</f>
        <v>Negative</v>
      </c>
    </row>
    <row r="1910">
      <c r="A1910" s="6" t="str">
        <f>IFERROR(__xludf.DUMMYFUNCTION("""COMPUTED_VALUE"""),"ARFCOMB237")</f>
        <v>ARFCOMB237</v>
      </c>
      <c r="B1910" s="6" t="str">
        <f>IFERROR(__xludf.DUMMYFUNCTION("""COMPUTED_VALUE"""),"RUN-COMB_2022-07-21_RFR-086")</f>
        <v>RUN-COMB_2022-07-21_RFR-086</v>
      </c>
      <c r="C1910" s="7">
        <f>VLOOKUP(B1910,'Run Reconcile'!A$2:B3090,2,FALSE)</f>
        <v>44763</v>
      </c>
      <c r="F1910" s="6" t="str">
        <f>IFERROR(__xludf.DUMMYFUNCTION("""COMPUTED_VALUE"""),"Negative")</f>
        <v>Negative</v>
      </c>
    </row>
    <row r="1911">
      <c r="A1911" s="6" t="str">
        <f>IFERROR(__xludf.DUMMYFUNCTION("""COMPUTED_VALUE"""),"ARFCOMB238")</f>
        <v>ARFCOMB238</v>
      </c>
      <c r="B1911" s="6" t="str">
        <f>IFERROR(__xludf.DUMMYFUNCTION("""COMPUTED_VALUE"""),"RUN-COMB_2022-07-21_RFR-086")</f>
        <v>RUN-COMB_2022-07-21_RFR-086</v>
      </c>
      <c r="C1911" s="7">
        <f>VLOOKUP(B1911,'Run Reconcile'!A$2:B3090,2,FALSE)</f>
        <v>44763</v>
      </c>
      <c r="F1911" s="6" t="str">
        <f>IFERROR(__xludf.DUMMYFUNCTION("""COMPUTED_VALUE"""),"Negative")</f>
        <v>Negative</v>
      </c>
    </row>
    <row r="1912">
      <c r="A1912" s="6" t="str">
        <f>IFERROR(__xludf.DUMMYFUNCTION("""COMPUTED_VALUE"""),"ARFCOMB239")</f>
        <v>ARFCOMB239</v>
      </c>
      <c r="B1912" s="6" t="str">
        <f>IFERROR(__xludf.DUMMYFUNCTION("""COMPUTED_VALUE"""),"RUN-COMB_2022-07-21_RFR-086")</f>
        <v>RUN-COMB_2022-07-21_RFR-086</v>
      </c>
      <c r="C1912" s="7">
        <f>VLOOKUP(B1912,'Run Reconcile'!A$2:B3090,2,FALSE)</f>
        <v>44763</v>
      </c>
      <c r="F1912" s="6" t="str">
        <f>IFERROR(__xludf.DUMMYFUNCTION("""COMPUTED_VALUE"""),"Negative")</f>
        <v>Negative</v>
      </c>
    </row>
    <row r="1913">
      <c r="A1913" s="6" t="str">
        <f>IFERROR(__xludf.DUMMYFUNCTION("""COMPUTED_VALUE"""),"ARFCOMB240")</f>
        <v>ARFCOMB240</v>
      </c>
      <c r="B1913" s="6" t="str">
        <f>IFERROR(__xludf.DUMMYFUNCTION("""COMPUTED_VALUE"""),"RUN-COMB_2022-07-21_RFR-086")</f>
        <v>RUN-COMB_2022-07-21_RFR-086</v>
      </c>
      <c r="C1913" s="7">
        <f>VLOOKUP(B1913,'Run Reconcile'!A$2:B3090,2,FALSE)</f>
        <v>44763</v>
      </c>
      <c r="F1913" s="6" t="str">
        <f>IFERROR(__xludf.DUMMYFUNCTION("""COMPUTED_VALUE"""),"Negative")</f>
        <v>Negative</v>
      </c>
    </row>
    <row r="1914">
      <c r="A1914" s="6" t="str">
        <f>IFERROR(__xludf.DUMMYFUNCTION("""COMPUTED_VALUE"""),"ARFCOMB241")</f>
        <v>ARFCOMB241</v>
      </c>
      <c r="B1914" s="6" t="str">
        <f>IFERROR(__xludf.DUMMYFUNCTION("""COMPUTED_VALUE"""),"RUN-COMB_2022-08-04_RFR-091")</f>
        <v>RUN-COMB_2022-08-04_RFR-091</v>
      </c>
      <c r="C1914" s="7">
        <f>VLOOKUP(B1914,'Run Reconcile'!A$2:B3090,2,FALSE)</f>
        <v>44777</v>
      </c>
      <c r="F1914" s="6" t="str">
        <f>IFERROR(__xludf.DUMMYFUNCTION("""COMPUTED_VALUE"""),"Negative")</f>
        <v>Negative</v>
      </c>
    </row>
    <row r="1915">
      <c r="A1915" s="6" t="str">
        <f>IFERROR(__xludf.DUMMYFUNCTION("""COMPUTED_VALUE"""),"ARFCOMB242")</f>
        <v>ARFCOMB242</v>
      </c>
      <c r="B1915" s="6" t="str">
        <f>IFERROR(__xludf.DUMMYFUNCTION("""COMPUTED_VALUE"""),"RUN-COMB_2022-08-04_RFR-091")</f>
        <v>RUN-COMB_2022-08-04_RFR-091</v>
      </c>
      <c r="C1915" s="7">
        <f>VLOOKUP(B1915,'Run Reconcile'!A$2:B3090,2,FALSE)</f>
        <v>44777</v>
      </c>
      <c r="F1915" s="6" t="str">
        <f>IFERROR(__xludf.DUMMYFUNCTION("""COMPUTED_VALUE"""),"Negative")</f>
        <v>Negative</v>
      </c>
    </row>
    <row r="1916">
      <c r="A1916" s="6" t="str">
        <f>IFERROR(__xludf.DUMMYFUNCTION("""COMPUTED_VALUE"""),"ARFCOMB243")</f>
        <v>ARFCOMB243</v>
      </c>
      <c r="B1916" s="6" t="str">
        <f>IFERROR(__xludf.DUMMYFUNCTION("""COMPUTED_VALUE"""),"RUN-COMB_2022-08-04_RFR-091")</f>
        <v>RUN-COMB_2022-08-04_RFR-091</v>
      </c>
      <c r="C1916" s="7">
        <f>VLOOKUP(B1916,'Run Reconcile'!A$2:B3090,2,FALSE)</f>
        <v>44777</v>
      </c>
      <c r="F1916" s="6" t="str">
        <f>IFERROR(__xludf.DUMMYFUNCTION("""COMPUTED_VALUE"""),"Negative")</f>
        <v>Negative</v>
      </c>
    </row>
    <row r="1917">
      <c r="A1917" s="6" t="str">
        <f>IFERROR(__xludf.DUMMYFUNCTION("""COMPUTED_VALUE"""),"ARFCOMB244")</f>
        <v>ARFCOMB244</v>
      </c>
      <c r="B1917" s="6" t="str">
        <f>IFERROR(__xludf.DUMMYFUNCTION("""COMPUTED_VALUE"""),"RUN-COMB_2022-08-04_RFR-091")</f>
        <v>RUN-COMB_2022-08-04_RFR-091</v>
      </c>
      <c r="C1917" s="7">
        <f>VLOOKUP(B1917,'Run Reconcile'!A$2:B3090,2,FALSE)</f>
        <v>44777</v>
      </c>
      <c r="F1917" s="6" t="str">
        <f>IFERROR(__xludf.DUMMYFUNCTION("""COMPUTED_VALUE"""),"Negative")</f>
        <v>Negative</v>
      </c>
    </row>
    <row r="1918">
      <c r="A1918" s="6" t="str">
        <f>IFERROR(__xludf.DUMMYFUNCTION("""COMPUTED_VALUE"""),"ARFCOMB245")</f>
        <v>ARFCOMB245</v>
      </c>
      <c r="B1918" s="6" t="str">
        <f>IFERROR(__xludf.DUMMYFUNCTION("""COMPUTED_VALUE"""),"RUN-COMB_2022-08-04_RFR-091")</f>
        <v>RUN-COMB_2022-08-04_RFR-091</v>
      </c>
      <c r="C1918" s="7">
        <f>VLOOKUP(B1918,'Run Reconcile'!A$2:B3090,2,FALSE)</f>
        <v>44777</v>
      </c>
      <c r="F1918" s="6" t="str">
        <f>IFERROR(__xludf.DUMMYFUNCTION("""COMPUTED_VALUE"""),"Negative")</f>
        <v>Negative</v>
      </c>
    </row>
    <row r="1919">
      <c r="A1919" s="6" t="str">
        <f>IFERROR(__xludf.DUMMYFUNCTION("""COMPUTED_VALUE"""),"ARFCOMB246")</f>
        <v>ARFCOMB246</v>
      </c>
      <c r="B1919" s="6" t="str">
        <f>IFERROR(__xludf.DUMMYFUNCTION("""COMPUTED_VALUE"""),"RUN-COMB_2022-08-04_RFR-091")</f>
        <v>RUN-COMB_2022-08-04_RFR-091</v>
      </c>
      <c r="C1919" s="7">
        <f>VLOOKUP(B1919,'Run Reconcile'!A$2:B3090,2,FALSE)</f>
        <v>44777</v>
      </c>
      <c r="F1919" s="6" t="str">
        <f>IFERROR(__xludf.DUMMYFUNCTION("""COMPUTED_VALUE"""),"Negative")</f>
        <v>Negative</v>
      </c>
    </row>
    <row r="1920">
      <c r="A1920" s="6" t="str">
        <f>IFERROR(__xludf.DUMMYFUNCTION("""COMPUTED_VALUE"""),"ARFCOMB247")</f>
        <v>ARFCOMB247</v>
      </c>
      <c r="B1920" s="6" t="str">
        <f>IFERROR(__xludf.DUMMYFUNCTION("""COMPUTED_VALUE"""),"RUN-COMB_2022-08-04_RFR-091")</f>
        <v>RUN-COMB_2022-08-04_RFR-091</v>
      </c>
      <c r="C1920" s="7">
        <f>VLOOKUP(B1920,'Run Reconcile'!A$2:B3090,2,FALSE)</f>
        <v>44777</v>
      </c>
      <c r="F1920" s="6" t="str">
        <f>IFERROR(__xludf.DUMMYFUNCTION("""COMPUTED_VALUE"""),"Negative")</f>
        <v>Negative</v>
      </c>
    </row>
    <row r="1921">
      <c r="A1921" s="6" t="str">
        <f>IFERROR(__xludf.DUMMYFUNCTION("""COMPUTED_VALUE"""),"ARFCOMB248")</f>
        <v>ARFCOMB248</v>
      </c>
      <c r="B1921" s="6" t="str">
        <f>IFERROR(__xludf.DUMMYFUNCTION("""COMPUTED_VALUE"""),"RUN-COMB_2022-08-04_RFR-091")</f>
        <v>RUN-COMB_2022-08-04_RFR-091</v>
      </c>
      <c r="C1921" s="7">
        <f>VLOOKUP(B1921,'Run Reconcile'!A$2:B3090,2,FALSE)</f>
        <v>44777</v>
      </c>
      <c r="F1921" s="6" t="str">
        <f>IFERROR(__xludf.DUMMYFUNCTION("""COMPUTED_VALUE"""),"Negative")</f>
        <v>Negative</v>
      </c>
    </row>
    <row r="1922">
      <c r="A1922" s="6" t="str">
        <f>IFERROR(__xludf.DUMMYFUNCTION("""COMPUTED_VALUE"""),"ARFCOMB249")</f>
        <v>ARFCOMB249</v>
      </c>
      <c r="B1922" s="6" t="str">
        <f>IFERROR(__xludf.DUMMYFUNCTION("""COMPUTED_VALUE"""),"RUN-COMB_2022-08-04_RFR-091")</f>
        <v>RUN-COMB_2022-08-04_RFR-091</v>
      </c>
      <c r="C1922" s="7">
        <f>VLOOKUP(B1922,'Run Reconcile'!A$2:B3090,2,FALSE)</f>
        <v>44777</v>
      </c>
      <c r="F1922" s="6" t="str">
        <f>IFERROR(__xludf.DUMMYFUNCTION("""COMPUTED_VALUE"""),"Negative")</f>
        <v>Negative</v>
      </c>
    </row>
    <row r="1923">
      <c r="A1923" s="6" t="str">
        <f>IFERROR(__xludf.DUMMYFUNCTION("""COMPUTED_VALUE"""),"ARFCOMB250")</f>
        <v>ARFCOMB250</v>
      </c>
      <c r="B1923" s="6" t="str">
        <f>IFERROR(__xludf.DUMMYFUNCTION("""COMPUTED_VALUE"""),"RUN-COMB_2022-08-04_RFR-091")</f>
        <v>RUN-COMB_2022-08-04_RFR-091</v>
      </c>
      <c r="C1923" s="7">
        <f>VLOOKUP(B1923,'Run Reconcile'!A$2:B3090,2,FALSE)</f>
        <v>44777</v>
      </c>
      <c r="F1923" s="6" t="str">
        <f>IFERROR(__xludf.DUMMYFUNCTION("""COMPUTED_VALUE"""),"Negative")</f>
        <v>Negative</v>
      </c>
    </row>
    <row r="1924">
      <c r="A1924" s="6" t="str">
        <f>IFERROR(__xludf.DUMMYFUNCTION("""COMPUTED_VALUE"""),"ARFCOMB251")</f>
        <v>ARFCOMB251</v>
      </c>
      <c r="B1924" s="6" t="str">
        <f>IFERROR(__xludf.DUMMYFUNCTION("""COMPUTED_VALUE"""),"RUN-COMB_2022-08-04_RFR-091")</f>
        <v>RUN-COMB_2022-08-04_RFR-091</v>
      </c>
      <c r="C1924" s="7">
        <f>VLOOKUP(B1924,'Run Reconcile'!A$2:B3090,2,FALSE)</f>
        <v>44777</v>
      </c>
      <c r="F1924" s="6" t="str">
        <f>IFERROR(__xludf.DUMMYFUNCTION("""COMPUTED_VALUE"""),"Negative")</f>
        <v>Negative</v>
      </c>
    </row>
    <row r="1925">
      <c r="A1925" s="6" t="str">
        <f>IFERROR(__xludf.DUMMYFUNCTION("""COMPUTED_VALUE"""),"ARFCOMB252")</f>
        <v>ARFCOMB252</v>
      </c>
      <c r="B1925" s="6" t="str">
        <f>IFERROR(__xludf.DUMMYFUNCTION("""COMPUTED_VALUE"""),"RUN-COMB_2022-08-04_RFR-091")</f>
        <v>RUN-COMB_2022-08-04_RFR-091</v>
      </c>
      <c r="C1925" s="7">
        <f>VLOOKUP(B1925,'Run Reconcile'!A$2:B3090,2,FALSE)</f>
        <v>44777</v>
      </c>
      <c r="F1925" s="6" t="str">
        <f>IFERROR(__xludf.DUMMYFUNCTION("""COMPUTED_VALUE"""),"Negative")</f>
        <v>Negative</v>
      </c>
    </row>
    <row r="1926">
      <c r="A1926" s="6" t="str">
        <f>IFERROR(__xludf.DUMMYFUNCTION("""COMPUTED_VALUE"""),"ARFCOMB253")</f>
        <v>ARFCOMB253</v>
      </c>
      <c r="B1926" s="6" t="str">
        <f>IFERROR(__xludf.DUMMYFUNCTION("""COMPUTED_VALUE"""),"RUN-COMB_2022-08-04_RFR-091")</f>
        <v>RUN-COMB_2022-08-04_RFR-091</v>
      </c>
      <c r="C1926" s="7">
        <f>VLOOKUP(B1926,'Run Reconcile'!A$2:B3090,2,FALSE)</f>
        <v>44777</v>
      </c>
      <c r="F1926" s="6" t="str">
        <f>IFERROR(__xludf.DUMMYFUNCTION("""COMPUTED_VALUE"""),"Negative")</f>
        <v>Negative</v>
      </c>
    </row>
    <row r="1927">
      <c r="A1927" s="6" t="str">
        <f>IFERROR(__xludf.DUMMYFUNCTION("""COMPUTED_VALUE"""),"ARFCOMB254")</f>
        <v>ARFCOMB254</v>
      </c>
      <c r="B1927" s="6" t="str">
        <f>IFERROR(__xludf.DUMMYFUNCTION("""COMPUTED_VALUE"""),"RUN-COMB_2022-08-04_RFR-091")</f>
        <v>RUN-COMB_2022-08-04_RFR-091</v>
      </c>
      <c r="C1927" s="7">
        <f>VLOOKUP(B1927,'Run Reconcile'!A$2:B3090,2,FALSE)</f>
        <v>44777</v>
      </c>
      <c r="F1927" s="6" t="str">
        <f>IFERROR(__xludf.DUMMYFUNCTION("""COMPUTED_VALUE"""),"Negative")</f>
        <v>Negative</v>
      </c>
    </row>
    <row r="1928">
      <c r="A1928" s="6" t="str">
        <f>IFERROR(__xludf.DUMMYFUNCTION("""COMPUTED_VALUE"""),"ARFCOMB255")</f>
        <v>ARFCOMB255</v>
      </c>
      <c r="B1928" s="6" t="str">
        <f>IFERROR(__xludf.DUMMYFUNCTION("""COMPUTED_VALUE"""),"RUN-COMB_2022-08-04_RFR-091")</f>
        <v>RUN-COMB_2022-08-04_RFR-091</v>
      </c>
      <c r="C1928" s="7">
        <f>VLOOKUP(B1928,'Run Reconcile'!A$2:B3090,2,FALSE)</f>
        <v>44777</v>
      </c>
      <c r="F1928" s="6" t="str">
        <f>IFERROR(__xludf.DUMMYFUNCTION("""COMPUTED_VALUE"""),"Negative")</f>
        <v>Negative</v>
      </c>
    </row>
    <row r="1929">
      <c r="A1929" s="6" t="str">
        <f>IFERROR(__xludf.DUMMYFUNCTION("""COMPUTED_VALUE"""),"ARFCOMB256")</f>
        <v>ARFCOMB256</v>
      </c>
      <c r="B1929" s="6" t="str">
        <f>IFERROR(__xludf.DUMMYFUNCTION("""COMPUTED_VALUE"""),"RUN-COMB_2022-08-04_RFR-091")</f>
        <v>RUN-COMB_2022-08-04_RFR-091</v>
      </c>
      <c r="C1929" s="7">
        <f>VLOOKUP(B1929,'Run Reconcile'!A$2:B3090,2,FALSE)</f>
        <v>44777</v>
      </c>
      <c r="F1929" s="6" t="str">
        <f>IFERROR(__xludf.DUMMYFUNCTION("""COMPUTED_VALUE"""),"Negative")</f>
        <v>Negative</v>
      </c>
    </row>
    <row r="1930">
      <c r="A1930" s="6" t="str">
        <f>IFERROR(__xludf.DUMMYFUNCTION("""COMPUTED_VALUE"""),"ARFCOMB257")</f>
        <v>ARFCOMB257</v>
      </c>
      <c r="B1930" s="6" t="str">
        <f>IFERROR(__xludf.DUMMYFUNCTION("""COMPUTED_VALUE"""),"RUN-COMB_2022-08-04_RFR-091")</f>
        <v>RUN-COMB_2022-08-04_RFR-091</v>
      </c>
      <c r="C1930" s="7">
        <f>VLOOKUP(B1930,'Run Reconcile'!A$2:B3090,2,FALSE)</f>
        <v>44777</v>
      </c>
      <c r="F1930" s="6" t="str">
        <f>IFERROR(__xludf.DUMMYFUNCTION("""COMPUTED_VALUE"""),"Negative")</f>
        <v>Negative</v>
      </c>
    </row>
    <row r="1931">
      <c r="A1931" s="6" t="str">
        <f>IFERROR(__xludf.DUMMYFUNCTION("""COMPUTED_VALUE"""),"ARFCOMB258")</f>
        <v>ARFCOMB258</v>
      </c>
      <c r="B1931" s="6" t="str">
        <f>IFERROR(__xludf.DUMMYFUNCTION("""COMPUTED_VALUE"""),"RUN-COMB_2022-08-04_RFR-091")</f>
        <v>RUN-COMB_2022-08-04_RFR-091</v>
      </c>
      <c r="C1931" s="7">
        <f>VLOOKUP(B1931,'Run Reconcile'!A$2:B3090,2,FALSE)</f>
        <v>44777</v>
      </c>
      <c r="F1931" s="6" t="str">
        <f>IFERROR(__xludf.DUMMYFUNCTION("""COMPUTED_VALUE"""),"Negative")</f>
        <v>Negative</v>
      </c>
    </row>
    <row r="1932">
      <c r="A1932" s="6" t="str">
        <f>IFERROR(__xludf.DUMMYFUNCTION("""COMPUTED_VALUE"""),"ARFCOMB259")</f>
        <v>ARFCOMB259</v>
      </c>
      <c r="B1932" s="6" t="str">
        <f>IFERROR(__xludf.DUMMYFUNCTION("""COMPUTED_VALUE"""),"RUN-COMB_2022-08-04_RFR-091")</f>
        <v>RUN-COMB_2022-08-04_RFR-091</v>
      </c>
      <c r="C1932" s="7">
        <f>VLOOKUP(B1932,'Run Reconcile'!A$2:B3090,2,FALSE)</f>
        <v>44777</v>
      </c>
      <c r="F1932" s="6" t="str">
        <f>IFERROR(__xludf.DUMMYFUNCTION("""COMPUTED_VALUE"""),"Negative")</f>
        <v>Negative</v>
      </c>
    </row>
    <row r="1933">
      <c r="A1933" s="6" t="str">
        <f>IFERROR(__xludf.DUMMYFUNCTION("""COMPUTED_VALUE"""),"ARFCOMB260")</f>
        <v>ARFCOMB260</v>
      </c>
      <c r="B1933" s="6" t="str">
        <f>IFERROR(__xludf.DUMMYFUNCTION("""COMPUTED_VALUE"""),"RUN-COMB_2022-08-04_RFR-091")</f>
        <v>RUN-COMB_2022-08-04_RFR-091</v>
      </c>
      <c r="C1933" s="7">
        <f>VLOOKUP(B1933,'Run Reconcile'!A$2:B3090,2,FALSE)</f>
        <v>44777</v>
      </c>
      <c r="F1933" s="6" t="str">
        <f>IFERROR(__xludf.DUMMYFUNCTION("""COMPUTED_VALUE"""),"Negative")</f>
        <v>Negative</v>
      </c>
    </row>
    <row r="1934">
      <c r="A1934" s="6" t="str">
        <f>IFERROR(__xludf.DUMMYFUNCTION("""COMPUTED_VALUE"""),"ARFCOMB261")</f>
        <v>ARFCOMB261</v>
      </c>
      <c r="B1934" s="6" t="str">
        <f>IFERROR(__xludf.DUMMYFUNCTION("""COMPUTED_VALUE"""),"RUN-COMB_2022-08-04_RFR-091")</f>
        <v>RUN-COMB_2022-08-04_RFR-091</v>
      </c>
      <c r="C1934" s="7">
        <f>VLOOKUP(B1934,'Run Reconcile'!A$2:B3090,2,FALSE)</f>
        <v>44777</v>
      </c>
      <c r="F1934" s="6" t="str">
        <f>IFERROR(__xludf.DUMMYFUNCTION("""COMPUTED_VALUE"""),"Negative")</f>
        <v>Negative</v>
      </c>
    </row>
    <row r="1935">
      <c r="A1935" s="6" t="str">
        <f>IFERROR(__xludf.DUMMYFUNCTION("""COMPUTED_VALUE"""),"ARFCOMB262")</f>
        <v>ARFCOMB262</v>
      </c>
      <c r="B1935" s="6" t="str">
        <f>IFERROR(__xludf.DUMMYFUNCTION("""COMPUTED_VALUE"""),"RUN-COMB_2022-08-04_RFR-091")</f>
        <v>RUN-COMB_2022-08-04_RFR-091</v>
      </c>
      <c r="C1935" s="7">
        <f>VLOOKUP(B1935,'Run Reconcile'!A$2:B3090,2,FALSE)</f>
        <v>44777</v>
      </c>
      <c r="F1935" s="6" t="str">
        <f>IFERROR(__xludf.DUMMYFUNCTION("""COMPUTED_VALUE"""),"Negative")</f>
        <v>Negative</v>
      </c>
    </row>
    <row r="1936">
      <c r="A1936" s="6" t="str">
        <f>IFERROR(__xludf.DUMMYFUNCTION("""COMPUTED_VALUE"""),"ARFCOMB263")</f>
        <v>ARFCOMB263</v>
      </c>
      <c r="B1936" s="6" t="str">
        <f>IFERROR(__xludf.DUMMYFUNCTION("""COMPUTED_VALUE"""),"RUN-COMB_2022-08-04_RFR-091")</f>
        <v>RUN-COMB_2022-08-04_RFR-091</v>
      </c>
      <c r="C1936" s="7">
        <f>VLOOKUP(B1936,'Run Reconcile'!A$2:B3090,2,FALSE)</f>
        <v>44777</v>
      </c>
      <c r="F1936" s="6" t="str">
        <f>IFERROR(__xludf.DUMMYFUNCTION("""COMPUTED_VALUE"""),"Negative")</f>
        <v>Negative</v>
      </c>
    </row>
    <row r="1937">
      <c r="A1937" s="6" t="str">
        <f>IFERROR(__xludf.DUMMYFUNCTION("""COMPUTED_VALUE"""),"ARFCOMB264")</f>
        <v>ARFCOMB264</v>
      </c>
      <c r="B1937" s="6" t="str">
        <f>IFERROR(__xludf.DUMMYFUNCTION("""COMPUTED_VALUE"""),"RUN-COMB_2022-08-04_RFR-091")</f>
        <v>RUN-COMB_2022-08-04_RFR-091</v>
      </c>
      <c r="C1937" s="7">
        <f>VLOOKUP(B1937,'Run Reconcile'!A$2:B3090,2,FALSE)</f>
        <v>44777</v>
      </c>
      <c r="F1937" s="6" t="str">
        <f>IFERROR(__xludf.DUMMYFUNCTION("""COMPUTED_VALUE"""),"Negative")</f>
        <v>Negative</v>
      </c>
    </row>
    <row r="1938">
      <c r="A1938" s="6" t="str">
        <f>IFERROR(__xludf.DUMMYFUNCTION("""COMPUTED_VALUE"""),"ARFCOMB265")</f>
        <v>ARFCOMB265</v>
      </c>
      <c r="B1938" s="6" t="str">
        <f>IFERROR(__xludf.DUMMYFUNCTION("""COMPUTED_VALUE"""),"RUN-COMB_2022-08-04_RFR-091")</f>
        <v>RUN-COMB_2022-08-04_RFR-091</v>
      </c>
      <c r="C1938" s="7">
        <f>VLOOKUP(B1938,'Run Reconcile'!A$2:B3090,2,FALSE)</f>
        <v>44777</v>
      </c>
      <c r="F1938" s="6" t="str">
        <f>IFERROR(__xludf.DUMMYFUNCTION("""COMPUTED_VALUE"""),"Negative")</f>
        <v>Negative</v>
      </c>
    </row>
    <row r="1939">
      <c r="A1939" s="6" t="str">
        <f>IFERROR(__xludf.DUMMYFUNCTION("""COMPUTED_VALUE"""),"ARFCOMB266")</f>
        <v>ARFCOMB266</v>
      </c>
      <c r="B1939" s="6" t="str">
        <f>IFERROR(__xludf.DUMMYFUNCTION("""COMPUTED_VALUE"""),"RUN-COMB_2022-08-04_RFR-091")</f>
        <v>RUN-COMB_2022-08-04_RFR-091</v>
      </c>
      <c r="C1939" s="7">
        <f>VLOOKUP(B1939,'Run Reconcile'!A$2:B3090,2,FALSE)</f>
        <v>44777</v>
      </c>
      <c r="F1939" s="6" t="str">
        <f>IFERROR(__xludf.DUMMYFUNCTION("""COMPUTED_VALUE"""),"Negative")</f>
        <v>Negative</v>
      </c>
    </row>
    <row r="1940">
      <c r="A1940" s="6" t="str">
        <f>IFERROR(__xludf.DUMMYFUNCTION("""COMPUTED_VALUE"""),"ARFCOMB267")</f>
        <v>ARFCOMB267</v>
      </c>
      <c r="B1940" s="6" t="str">
        <f>IFERROR(__xludf.DUMMYFUNCTION("""COMPUTED_VALUE"""),"RUN-COMB_2022-08-04_RFR-091")</f>
        <v>RUN-COMB_2022-08-04_RFR-091</v>
      </c>
      <c r="C1940" s="7">
        <f>VLOOKUP(B1940,'Run Reconcile'!A$2:B3090,2,FALSE)</f>
        <v>44777</v>
      </c>
      <c r="F1940" s="6" t="str">
        <f>IFERROR(__xludf.DUMMYFUNCTION("""COMPUTED_VALUE"""),"Negative")</f>
        <v>Negative</v>
      </c>
    </row>
    <row r="1941">
      <c r="A1941" s="6" t="str">
        <f>IFERROR(__xludf.DUMMYFUNCTION("""COMPUTED_VALUE"""),"ARFCOMB268")</f>
        <v>ARFCOMB268</v>
      </c>
      <c r="B1941" s="6" t="str">
        <f>IFERROR(__xludf.DUMMYFUNCTION("""COMPUTED_VALUE"""),"RUN-COMB_2022-08-04_RFR-091")</f>
        <v>RUN-COMB_2022-08-04_RFR-091</v>
      </c>
      <c r="C1941" s="7">
        <f>VLOOKUP(B1941,'Run Reconcile'!A$2:B3090,2,FALSE)</f>
        <v>44777</v>
      </c>
      <c r="F1941" s="6" t="str">
        <f>IFERROR(__xludf.DUMMYFUNCTION("""COMPUTED_VALUE"""),"Negative")</f>
        <v>Negative</v>
      </c>
    </row>
    <row r="1942">
      <c r="A1942" s="6" t="str">
        <f>IFERROR(__xludf.DUMMYFUNCTION("""COMPUTED_VALUE"""),"ARFCOMB269")</f>
        <v>ARFCOMB269</v>
      </c>
      <c r="B1942" s="6" t="str">
        <f>IFERROR(__xludf.DUMMYFUNCTION("""COMPUTED_VALUE"""),"RUN-COMB_2022-08-04_RFR-091")</f>
        <v>RUN-COMB_2022-08-04_RFR-091</v>
      </c>
      <c r="C1942" s="7">
        <f>VLOOKUP(B1942,'Run Reconcile'!A$2:B3090,2,FALSE)</f>
        <v>44777</v>
      </c>
      <c r="F1942" s="6" t="str">
        <f>IFERROR(__xludf.DUMMYFUNCTION("""COMPUTED_VALUE"""),"Negative")</f>
        <v>Negative</v>
      </c>
    </row>
    <row r="1943">
      <c r="A1943" s="6" t="str">
        <f>IFERROR(__xludf.DUMMYFUNCTION("""COMPUTED_VALUE"""),"ARFCOMB270")</f>
        <v>ARFCOMB270</v>
      </c>
      <c r="B1943" s="6" t="str">
        <f>IFERROR(__xludf.DUMMYFUNCTION("""COMPUTED_VALUE"""),"RUN-COMB_2022-08-04_RFR-091")</f>
        <v>RUN-COMB_2022-08-04_RFR-091</v>
      </c>
      <c r="C1943" s="7">
        <f>VLOOKUP(B1943,'Run Reconcile'!A$2:B3090,2,FALSE)</f>
        <v>44777</v>
      </c>
      <c r="F1943" s="6" t="str">
        <f>IFERROR(__xludf.DUMMYFUNCTION("""COMPUTED_VALUE"""),"Negative")</f>
        <v>Negative</v>
      </c>
    </row>
    <row r="1944">
      <c r="A1944" s="6" t="str">
        <f>IFERROR(__xludf.DUMMYFUNCTION("""COMPUTED_VALUE"""),"ARFCOMB271")</f>
        <v>ARFCOMB271</v>
      </c>
      <c r="B1944" s="6" t="str">
        <f>IFERROR(__xludf.DUMMYFUNCTION("""COMPUTED_VALUE"""),"RUN-COMB_2022-08-04_RFR-091")</f>
        <v>RUN-COMB_2022-08-04_RFR-091</v>
      </c>
      <c r="C1944" s="7">
        <f>VLOOKUP(B1944,'Run Reconcile'!A$2:B3090,2,FALSE)</f>
        <v>44777</v>
      </c>
      <c r="F1944" s="6" t="str">
        <f>IFERROR(__xludf.DUMMYFUNCTION("""COMPUTED_VALUE"""),"Negative")</f>
        <v>Negative</v>
      </c>
    </row>
    <row r="1945">
      <c r="A1945" s="6" t="str">
        <f>IFERROR(__xludf.DUMMYFUNCTION("""COMPUTED_VALUE"""),"ARFCOMB272")</f>
        <v>ARFCOMB272</v>
      </c>
      <c r="B1945" s="6" t="str">
        <f>IFERROR(__xludf.DUMMYFUNCTION("""COMPUTED_VALUE"""),"RUN-COMB_2022-08-04_RFR-091")</f>
        <v>RUN-COMB_2022-08-04_RFR-091</v>
      </c>
      <c r="C1945" s="7">
        <f>VLOOKUP(B1945,'Run Reconcile'!A$2:B3090,2,FALSE)</f>
        <v>44777</v>
      </c>
      <c r="F1945" s="6" t="str">
        <f>IFERROR(__xludf.DUMMYFUNCTION("""COMPUTED_VALUE"""),"Negative")</f>
        <v>Negative</v>
      </c>
    </row>
    <row r="1946">
      <c r="A1946" s="6" t="str">
        <f>IFERROR(__xludf.DUMMYFUNCTION("""COMPUTED_VALUE"""),"ARFCOMB273")</f>
        <v>ARFCOMB273</v>
      </c>
      <c r="B1946" s="6" t="str">
        <f>IFERROR(__xludf.DUMMYFUNCTION("""COMPUTED_VALUE"""),"RUN-COMB_2022-08-15_RFR-095")</f>
        <v>RUN-COMB_2022-08-15_RFR-095</v>
      </c>
      <c r="C1946" s="7">
        <f>VLOOKUP(B1946,'Run Reconcile'!A$2:B3090,2,FALSE)</f>
        <v>44788</v>
      </c>
      <c r="F1946" s="6" t="str">
        <f>IFERROR(__xludf.DUMMYFUNCTION("""COMPUTED_VALUE"""),"Negative")</f>
        <v>Negative</v>
      </c>
    </row>
    <row r="1947">
      <c r="A1947" s="6" t="str">
        <f>IFERROR(__xludf.DUMMYFUNCTION("""COMPUTED_VALUE"""),"ARFCOMB274")</f>
        <v>ARFCOMB274</v>
      </c>
      <c r="B1947" s="6" t="str">
        <f>IFERROR(__xludf.DUMMYFUNCTION("""COMPUTED_VALUE"""),"RUN-COMB_2022-08-15_RFR-095")</f>
        <v>RUN-COMB_2022-08-15_RFR-095</v>
      </c>
      <c r="C1947" s="7">
        <f>VLOOKUP(B1947,'Run Reconcile'!A$2:B3090,2,FALSE)</f>
        <v>44788</v>
      </c>
      <c r="F1947" s="6" t="str">
        <f>IFERROR(__xludf.DUMMYFUNCTION("""COMPUTED_VALUE"""),"Negative")</f>
        <v>Negative</v>
      </c>
    </row>
    <row r="1948">
      <c r="A1948" s="6" t="str">
        <f>IFERROR(__xludf.DUMMYFUNCTION("""COMPUTED_VALUE"""),"ARFCOMB275")</f>
        <v>ARFCOMB275</v>
      </c>
      <c r="B1948" s="6" t="str">
        <f>IFERROR(__xludf.DUMMYFUNCTION("""COMPUTED_VALUE"""),"RUN-COMB_2022-08-15_RFR-095")</f>
        <v>RUN-COMB_2022-08-15_RFR-095</v>
      </c>
      <c r="C1948" s="7">
        <f>VLOOKUP(B1948,'Run Reconcile'!A$2:B3090,2,FALSE)</f>
        <v>44788</v>
      </c>
      <c r="F1948" s="6" t="str">
        <f>IFERROR(__xludf.DUMMYFUNCTION("""COMPUTED_VALUE"""),"Negative")</f>
        <v>Negative</v>
      </c>
    </row>
    <row r="1949">
      <c r="A1949" s="6" t="str">
        <f>IFERROR(__xludf.DUMMYFUNCTION("""COMPUTED_VALUE"""),"ARFCOMB276")</f>
        <v>ARFCOMB276</v>
      </c>
      <c r="B1949" s="6" t="str">
        <f>IFERROR(__xludf.DUMMYFUNCTION("""COMPUTED_VALUE"""),"RUN-COMB_2022-08-15_RFR-095")</f>
        <v>RUN-COMB_2022-08-15_RFR-095</v>
      </c>
      <c r="C1949" s="7">
        <f>VLOOKUP(B1949,'Run Reconcile'!A$2:B3090,2,FALSE)</f>
        <v>44788</v>
      </c>
      <c r="F1949" s="6" t="str">
        <f>IFERROR(__xludf.DUMMYFUNCTION("""COMPUTED_VALUE"""),"Negative")</f>
        <v>Negative</v>
      </c>
    </row>
    <row r="1950">
      <c r="A1950" s="6" t="str">
        <f>IFERROR(__xludf.DUMMYFUNCTION("""COMPUTED_VALUE"""),"ARFCOMB277")</f>
        <v>ARFCOMB277</v>
      </c>
      <c r="B1950" s="6" t="str">
        <f>IFERROR(__xludf.DUMMYFUNCTION("""COMPUTED_VALUE"""),"RUN-COMB_2022-08-15_RFR-095")</f>
        <v>RUN-COMB_2022-08-15_RFR-095</v>
      </c>
      <c r="C1950" s="7">
        <f>VLOOKUP(B1950,'Run Reconcile'!A$2:B3090,2,FALSE)</f>
        <v>44788</v>
      </c>
      <c r="F1950" s="6" t="str">
        <f>IFERROR(__xludf.DUMMYFUNCTION("""COMPUTED_VALUE"""),"Negative")</f>
        <v>Negative</v>
      </c>
    </row>
    <row r="1951">
      <c r="A1951" s="6" t="str">
        <f>IFERROR(__xludf.DUMMYFUNCTION("""COMPUTED_VALUE"""),"ARFCOMB278")</f>
        <v>ARFCOMB278</v>
      </c>
      <c r="B1951" s="6" t="str">
        <f>IFERROR(__xludf.DUMMYFUNCTION("""COMPUTED_VALUE"""),"RUN-COMB_2022-08-15_RFR-095")</f>
        <v>RUN-COMB_2022-08-15_RFR-095</v>
      </c>
      <c r="C1951" s="7">
        <f>VLOOKUP(B1951,'Run Reconcile'!A$2:B3090,2,FALSE)</f>
        <v>44788</v>
      </c>
      <c r="F1951" s="6" t="str">
        <f>IFERROR(__xludf.DUMMYFUNCTION("""COMPUTED_VALUE"""),"Negative")</f>
        <v>Negative</v>
      </c>
    </row>
    <row r="1952">
      <c r="A1952" s="6" t="str">
        <f>IFERROR(__xludf.DUMMYFUNCTION("""COMPUTED_VALUE"""),"ARFCOMB279")</f>
        <v>ARFCOMB279</v>
      </c>
      <c r="B1952" s="6" t="str">
        <f>IFERROR(__xludf.DUMMYFUNCTION("""COMPUTED_VALUE"""),"RUN-COMB_2022-08-15_RFR-095")</f>
        <v>RUN-COMB_2022-08-15_RFR-095</v>
      </c>
      <c r="C1952" s="7">
        <f>VLOOKUP(B1952,'Run Reconcile'!A$2:B3090,2,FALSE)</f>
        <v>44788</v>
      </c>
      <c r="F1952" s="6" t="str">
        <f>IFERROR(__xludf.DUMMYFUNCTION("""COMPUTED_VALUE"""),"Negative")</f>
        <v>Negative</v>
      </c>
    </row>
    <row r="1953">
      <c r="A1953" s="6" t="str">
        <f>IFERROR(__xludf.DUMMYFUNCTION("""COMPUTED_VALUE"""),"ARFCOMB280")</f>
        <v>ARFCOMB280</v>
      </c>
      <c r="B1953" s="6" t="str">
        <f>IFERROR(__xludf.DUMMYFUNCTION("""COMPUTED_VALUE"""),"RUN-COMB_2022-08-15_RFR-095")</f>
        <v>RUN-COMB_2022-08-15_RFR-095</v>
      </c>
      <c r="C1953" s="7">
        <f>VLOOKUP(B1953,'Run Reconcile'!A$2:B3090,2,FALSE)</f>
        <v>44788</v>
      </c>
      <c r="F1953" s="6" t="str">
        <f>IFERROR(__xludf.DUMMYFUNCTION("""COMPUTED_VALUE"""),"Negative")</f>
        <v>Negative</v>
      </c>
    </row>
    <row r="1954">
      <c r="A1954" s="6" t="str">
        <f>IFERROR(__xludf.DUMMYFUNCTION("""COMPUTED_VALUE"""),"ARFCOMB281")</f>
        <v>ARFCOMB281</v>
      </c>
      <c r="B1954" s="6" t="str">
        <f>IFERROR(__xludf.DUMMYFUNCTION("""COMPUTED_VALUE"""),"RUN-COMB_2022-08-15_RFR-095")</f>
        <v>RUN-COMB_2022-08-15_RFR-095</v>
      </c>
      <c r="C1954" s="7">
        <f>VLOOKUP(B1954,'Run Reconcile'!A$2:B3090,2,FALSE)</f>
        <v>44788</v>
      </c>
      <c r="F1954" s="6" t="str">
        <f>IFERROR(__xludf.DUMMYFUNCTION("""COMPUTED_VALUE"""),"Negative")</f>
        <v>Negative</v>
      </c>
    </row>
    <row r="1955">
      <c r="A1955" s="6" t="str">
        <f>IFERROR(__xludf.DUMMYFUNCTION("""COMPUTED_VALUE"""),"ARFCOMB282")</f>
        <v>ARFCOMB282</v>
      </c>
      <c r="B1955" s="6" t="str">
        <f>IFERROR(__xludf.DUMMYFUNCTION("""COMPUTED_VALUE"""),"RUN-COMB_2022-08-15_RFR-095")</f>
        <v>RUN-COMB_2022-08-15_RFR-095</v>
      </c>
      <c r="C1955" s="7">
        <f>VLOOKUP(B1955,'Run Reconcile'!A$2:B3090,2,FALSE)</f>
        <v>44788</v>
      </c>
      <c r="F1955" s="6" t="str">
        <f>IFERROR(__xludf.DUMMYFUNCTION("""COMPUTED_VALUE"""),"Negative")</f>
        <v>Negative</v>
      </c>
    </row>
    <row r="1956">
      <c r="A1956" s="6" t="str">
        <f>IFERROR(__xludf.DUMMYFUNCTION("""COMPUTED_VALUE"""),"ARFCOMB283")</f>
        <v>ARFCOMB283</v>
      </c>
      <c r="B1956" s="6" t="str">
        <f>IFERROR(__xludf.DUMMYFUNCTION("""COMPUTED_VALUE"""),"RUN-COMB_2022-08-15_RFR-095")</f>
        <v>RUN-COMB_2022-08-15_RFR-095</v>
      </c>
      <c r="C1956" s="7">
        <f>VLOOKUP(B1956,'Run Reconcile'!A$2:B3090,2,FALSE)</f>
        <v>44788</v>
      </c>
      <c r="F1956" s="6" t="str">
        <f>IFERROR(__xludf.DUMMYFUNCTION("""COMPUTED_VALUE"""),"Negative")</f>
        <v>Negative</v>
      </c>
    </row>
    <row r="1957">
      <c r="A1957" s="6" t="str">
        <f>IFERROR(__xludf.DUMMYFUNCTION("""COMPUTED_VALUE"""),"ARFCOMB284")</f>
        <v>ARFCOMB284</v>
      </c>
      <c r="B1957" s="6" t="str">
        <f>IFERROR(__xludf.DUMMYFUNCTION("""COMPUTED_VALUE"""),"RUN-COMB_2022-08-15_RFR-095")</f>
        <v>RUN-COMB_2022-08-15_RFR-095</v>
      </c>
      <c r="C1957" s="7">
        <f>VLOOKUP(B1957,'Run Reconcile'!A$2:B3090,2,FALSE)</f>
        <v>44788</v>
      </c>
      <c r="F1957" s="6" t="str">
        <f>IFERROR(__xludf.DUMMYFUNCTION("""COMPUTED_VALUE"""),"Negative")</f>
        <v>Negative</v>
      </c>
    </row>
    <row r="1958">
      <c r="A1958" s="6" t="str">
        <f>IFERROR(__xludf.DUMMYFUNCTION("""COMPUTED_VALUE"""),"ARFCOMB285")</f>
        <v>ARFCOMB285</v>
      </c>
      <c r="B1958" s="6" t="str">
        <f>IFERROR(__xludf.DUMMYFUNCTION("""COMPUTED_VALUE"""),"RUN-COMB_2022-08-15_RFR-095")</f>
        <v>RUN-COMB_2022-08-15_RFR-095</v>
      </c>
      <c r="C1958" s="7">
        <f>VLOOKUP(B1958,'Run Reconcile'!A$2:B3090,2,FALSE)</f>
        <v>44788</v>
      </c>
      <c r="F1958" s="6" t="str">
        <f>IFERROR(__xludf.DUMMYFUNCTION("""COMPUTED_VALUE"""),"Negative")</f>
        <v>Negative</v>
      </c>
    </row>
    <row r="1959">
      <c r="A1959" s="6" t="str">
        <f>IFERROR(__xludf.DUMMYFUNCTION("""COMPUTED_VALUE"""),"ARFCOMB286")</f>
        <v>ARFCOMB286</v>
      </c>
      <c r="B1959" s="6" t="str">
        <f>IFERROR(__xludf.DUMMYFUNCTION("""COMPUTED_VALUE"""),"RUN-COMB_2022-08-15_RFR-095")</f>
        <v>RUN-COMB_2022-08-15_RFR-095</v>
      </c>
      <c r="C1959" s="7">
        <f>VLOOKUP(B1959,'Run Reconcile'!A$2:B3090,2,FALSE)</f>
        <v>44788</v>
      </c>
      <c r="F1959" s="6" t="str">
        <f>IFERROR(__xludf.DUMMYFUNCTION("""COMPUTED_VALUE"""),"Negative")</f>
        <v>Negative</v>
      </c>
    </row>
    <row r="1960">
      <c r="A1960" s="6" t="str">
        <f>IFERROR(__xludf.DUMMYFUNCTION("""COMPUTED_VALUE"""),"ARFCOMB287")</f>
        <v>ARFCOMB287</v>
      </c>
      <c r="B1960" s="6" t="str">
        <f>IFERROR(__xludf.DUMMYFUNCTION("""COMPUTED_VALUE"""),"RUN-COMB_2022-08-15_RFR-095")</f>
        <v>RUN-COMB_2022-08-15_RFR-095</v>
      </c>
      <c r="C1960" s="7">
        <f>VLOOKUP(B1960,'Run Reconcile'!A$2:B3090,2,FALSE)</f>
        <v>44788</v>
      </c>
      <c r="F1960" s="6" t="str">
        <f>IFERROR(__xludf.DUMMYFUNCTION("""COMPUTED_VALUE"""),"Negative")</f>
        <v>Negative</v>
      </c>
    </row>
    <row r="1961">
      <c r="A1961" s="6" t="str">
        <f>IFERROR(__xludf.DUMMYFUNCTION("""COMPUTED_VALUE"""),"ARFCOMB288")</f>
        <v>ARFCOMB288</v>
      </c>
      <c r="B1961" s="6" t="str">
        <f>IFERROR(__xludf.DUMMYFUNCTION("""COMPUTED_VALUE"""),"RUN-COMB_2022-08-15_RFR-095")</f>
        <v>RUN-COMB_2022-08-15_RFR-095</v>
      </c>
      <c r="C1961" s="7">
        <f>VLOOKUP(B1961,'Run Reconcile'!A$2:B3090,2,FALSE)</f>
        <v>44788</v>
      </c>
      <c r="F1961" s="6" t="str">
        <f>IFERROR(__xludf.DUMMYFUNCTION("""COMPUTED_VALUE"""),"Negative")</f>
        <v>Negative</v>
      </c>
    </row>
    <row r="1962">
      <c r="A1962" s="6" t="str">
        <f>IFERROR(__xludf.DUMMYFUNCTION("""COMPUTED_VALUE"""),"ARFCOMB289")</f>
        <v>ARFCOMB289</v>
      </c>
      <c r="B1962" s="6" t="str">
        <f>IFERROR(__xludf.DUMMYFUNCTION("""COMPUTED_VALUE"""),"RUN-COMB_2022-08-15_RFR-095")</f>
        <v>RUN-COMB_2022-08-15_RFR-095</v>
      </c>
      <c r="C1962" s="7">
        <f>VLOOKUP(B1962,'Run Reconcile'!A$2:B3090,2,FALSE)</f>
        <v>44788</v>
      </c>
      <c r="F1962" s="6" t="str">
        <f>IFERROR(__xludf.DUMMYFUNCTION("""COMPUTED_VALUE"""),"Negative")</f>
        <v>Negative</v>
      </c>
    </row>
    <row r="1963">
      <c r="A1963" s="6" t="str">
        <f>IFERROR(__xludf.DUMMYFUNCTION("""COMPUTED_VALUE"""),"ARFCOMB290")</f>
        <v>ARFCOMB290</v>
      </c>
      <c r="B1963" s="6" t="str">
        <f>IFERROR(__xludf.DUMMYFUNCTION("""COMPUTED_VALUE"""),"RUN-COMB_2022-08-15_RFR-095")</f>
        <v>RUN-COMB_2022-08-15_RFR-095</v>
      </c>
      <c r="C1963" s="7">
        <f>VLOOKUP(B1963,'Run Reconcile'!A$2:B3090,2,FALSE)</f>
        <v>44788</v>
      </c>
      <c r="F1963" s="6" t="str">
        <f>IFERROR(__xludf.DUMMYFUNCTION("""COMPUTED_VALUE"""),"Negative")</f>
        <v>Negative</v>
      </c>
    </row>
    <row r="1964">
      <c r="A1964" s="6" t="str">
        <f>IFERROR(__xludf.DUMMYFUNCTION("""COMPUTED_VALUE"""),"ARFCOMB291")</f>
        <v>ARFCOMB291</v>
      </c>
      <c r="B1964" s="6" t="str">
        <f>IFERROR(__xludf.DUMMYFUNCTION("""COMPUTED_VALUE"""),"RUN-COMB_2022-08-15_RFR-095")</f>
        <v>RUN-COMB_2022-08-15_RFR-095</v>
      </c>
      <c r="C1964" s="7">
        <f>VLOOKUP(B1964,'Run Reconcile'!A$2:B3090,2,FALSE)</f>
        <v>44788</v>
      </c>
      <c r="F1964" s="6" t="str">
        <f>IFERROR(__xludf.DUMMYFUNCTION("""COMPUTED_VALUE"""),"Negative")</f>
        <v>Negative</v>
      </c>
    </row>
    <row r="1965">
      <c r="A1965" s="6" t="str">
        <f>IFERROR(__xludf.DUMMYFUNCTION("""COMPUTED_VALUE"""),"ARFCOMB292")</f>
        <v>ARFCOMB292</v>
      </c>
      <c r="B1965" s="6" t="str">
        <f>IFERROR(__xludf.DUMMYFUNCTION("""COMPUTED_VALUE"""),"RUN-COMB_2022-08-15_RFR-095")</f>
        <v>RUN-COMB_2022-08-15_RFR-095</v>
      </c>
      <c r="C1965" s="7">
        <f>VLOOKUP(B1965,'Run Reconcile'!A$2:B3090,2,FALSE)</f>
        <v>44788</v>
      </c>
      <c r="F1965" s="6" t="str">
        <f>IFERROR(__xludf.DUMMYFUNCTION("""COMPUTED_VALUE"""),"Negative")</f>
        <v>Negative</v>
      </c>
    </row>
    <row r="1966">
      <c r="A1966" s="6" t="str">
        <f>IFERROR(__xludf.DUMMYFUNCTION("""COMPUTED_VALUE"""),"ARFCOMB293")</f>
        <v>ARFCOMB293</v>
      </c>
      <c r="B1966" s="6" t="str">
        <f>IFERROR(__xludf.DUMMYFUNCTION("""COMPUTED_VALUE"""),"RUN-COMB_2022-08-15_RFR-095")</f>
        <v>RUN-COMB_2022-08-15_RFR-095</v>
      </c>
      <c r="C1966" s="7">
        <f>VLOOKUP(B1966,'Run Reconcile'!A$2:B3090,2,FALSE)</f>
        <v>44788</v>
      </c>
      <c r="F1966" s="6" t="str">
        <f>IFERROR(__xludf.DUMMYFUNCTION("""COMPUTED_VALUE"""),"Negative")</f>
        <v>Negative</v>
      </c>
    </row>
    <row r="1967">
      <c r="A1967" s="6" t="str">
        <f>IFERROR(__xludf.DUMMYFUNCTION("""COMPUTED_VALUE"""),"ARFCOMB294")</f>
        <v>ARFCOMB294</v>
      </c>
      <c r="B1967" s="6" t="str">
        <f>IFERROR(__xludf.DUMMYFUNCTION("""COMPUTED_VALUE"""),"RUN-COMB_2022-08-15_RFR-095")</f>
        <v>RUN-COMB_2022-08-15_RFR-095</v>
      </c>
      <c r="C1967" s="7">
        <f>VLOOKUP(B1967,'Run Reconcile'!A$2:B3090,2,FALSE)</f>
        <v>44788</v>
      </c>
      <c r="F1967" s="6" t="str">
        <f>IFERROR(__xludf.DUMMYFUNCTION("""COMPUTED_VALUE"""),"Negative")</f>
        <v>Negative</v>
      </c>
    </row>
    <row r="1968">
      <c r="A1968" s="6" t="str">
        <f>IFERROR(__xludf.DUMMYFUNCTION("""COMPUTED_VALUE"""),"ARFCOMB295")</f>
        <v>ARFCOMB295</v>
      </c>
      <c r="B1968" s="6" t="str">
        <f>IFERROR(__xludf.DUMMYFUNCTION("""COMPUTED_VALUE"""),"RUN-COMB_2022-08-15_RFR-095")</f>
        <v>RUN-COMB_2022-08-15_RFR-095</v>
      </c>
      <c r="C1968" s="7">
        <f>VLOOKUP(B1968,'Run Reconcile'!A$2:B3090,2,FALSE)</f>
        <v>44788</v>
      </c>
      <c r="F1968" s="6" t="str">
        <f>IFERROR(__xludf.DUMMYFUNCTION("""COMPUTED_VALUE"""),"Negative")</f>
        <v>Negative</v>
      </c>
    </row>
    <row r="1969">
      <c r="A1969" s="6" t="str">
        <f>IFERROR(__xludf.DUMMYFUNCTION("""COMPUTED_VALUE"""),"ARFCOMB296")</f>
        <v>ARFCOMB296</v>
      </c>
      <c r="B1969" s="6" t="str">
        <f>IFERROR(__xludf.DUMMYFUNCTION("""COMPUTED_VALUE"""),"RUN-COMB_2022-08-15_RFR-095")</f>
        <v>RUN-COMB_2022-08-15_RFR-095</v>
      </c>
      <c r="C1969" s="7">
        <f>VLOOKUP(B1969,'Run Reconcile'!A$2:B3090,2,FALSE)</f>
        <v>44788</v>
      </c>
      <c r="F1969" s="6" t="str">
        <f>IFERROR(__xludf.DUMMYFUNCTION("""COMPUTED_VALUE"""),"Negative")</f>
        <v>Negative</v>
      </c>
    </row>
    <row r="1970">
      <c r="A1970" s="6" t="str">
        <f>IFERROR(__xludf.DUMMYFUNCTION("""COMPUTED_VALUE"""),"ARFCOMB297")</f>
        <v>ARFCOMB297</v>
      </c>
      <c r="B1970" s="6" t="str">
        <f>IFERROR(__xludf.DUMMYFUNCTION("""COMPUTED_VALUE"""),"RUN-COMB_2022-08-15_RFR-095")</f>
        <v>RUN-COMB_2022-08-15_RFR-095</v>
      </c>
      <c r="C1970" s="7">
        <f>VLOOKUP(B1970,'Run Reconcile'!A$2:B3090,2,FALSE)</f>
        <v>44788</v>
      </c>
      <c r="F1970" s="6" t="str">
        <f>IFERROR(__xludf.DUMMYFUNCTION("""COMPUTED_VALUE"""),"Negative")</f>
        <v>Negative</v>
      </c>
    </row>
    <row r="1971">
      <c r="A1971" s="6" t="str">
        <f>IFERROR(__xludf.DUMMYFUNCTION("""COMPUTED_VALUE"""),"ARFCOMB298")</f>
        <v>ARFCOMB298</v>
      </c>
      <c r="B1971" s="6" t="str">
        <f>IFERROR(__xludf.DUMMYFUNCTION("""COMPUTED_VALUE"""),"RUN-COMB_2022-08-15_RFR-095")</f>
        <v>RUN-COMB_2022-08-15_RFR-095</v>
      </c>
      <c r="C1971" s="7">
        <f>VLOOKUP(B1971,'Run Reconcile'!A$2:B3090,2,FALSE)</f>
        <v>44788</v>
      </c>
      <c r="F1971" s="6" t="str">
        <f>IFERROR(__xludf.DUMMYFUNCTION("""COMPUTED_VALUE"""),"Negative")</f>
        <v>Negative</v>
      </c>
    </row>
    <row r="1972">
      <c r="A1972" s="6" t="str">
        <f>IFERROR(__xludf.DUMMYFUNCTION("""COMPUTED_VALUE"""),"ARFCOMB299")</f>
        <v>ARFCOMB299</v>
      </c>
      <c r="B1972" s="6" t="str">
        <f>IFERROR(__xludf.DUMMYFUNCTION("""COMPUTED_VALUE"""),"RUN-COMB_2022-08-15_RFR-095")</f>
        <v>RUN-COMB_2022-08-15_RFR-095</v>
      </c>
      <c r="C1972" s="7">
        <f>VLOOKUP(B1972,'Run Reconcile'!A$2:B3090,2,FALSE)</f>
        <v>44788</v>
      </c>
      <c r="F1972" s="6" t="str">
        <f>IFERROR(__xludf.DUMMYFUNCTION("""COMPUTED_VALUE"""),"Negative")</f>
        <v>Negative</v>
      </c>
    </row>
    <row r="1973">
      <c r="A1973" s="6" t="str">
        <f>IFERROR(__xludf.DUMMYFUNCTION("""COMPUTED_VALUE"""),"ARFCOMB300")</f>
        <v>ARFCOMB300</v>
      </c>
      <c r="B1973" s="6" t="str">
        <f>IFERROR(__xludf.DUMMYFUNCTION("""COMPUTED_VALUE"""),"RUN-COMB_2022-08-15_RFR-095")</f>
        <v>RUN-COMB_2022-08-15_RFR-095</v>
      </c>
      <c r="C1973" s="7">
        <f>VLOOKUP(B1973,'Run Reconcile'!A$2:B3090,2,FALSE)</f>
        <v>44788</v>
      </c>
      <c r="F1973" s="6" t="str">
        <f>IFERROR(__xludf.DUMMYFUNCTION("""COMPUTED_VALUE"""),"Negative")</f>
        <v>Negative</v>
      </c>
    </row>
    <row r="1974">
      <c r="A1974" s="6" t="str">
        <f>IFERROR(__xludf.DUMMYFUNCTION("""COMPUTED_VALUE"""),"ARFCOMB301")</f>
        <v>ARFCOMB301</v>
      </c>
      <c r="B1974" s="6" t="str">
        <f>IFERROR(__xludf.DUMMYFUNCTION("""COMPUTED_VALUE"""),"RUN-COMB_2022-08-15_RFR-095")</f>
        <v>RUN-COMB_2022-08-15_RFR-095</v>
      </c>
      <c r="C1974" s="7">
        <f>VLOOKUP(B1974,'Run Reconcile'!A$2:B3090,2,FALSE)</f>
        <v>44788</v>
      </c>
      <c r="F1974" s="6" t="str">
        <f>IFERROR(__xludf.DUMMYFUNCTION("""COMPUTED_VALUE"""),"Negative")</f>
        <v>Negative</v>
      </c>
    </row>
    <row r="1975">
      <c r="A1975" s="6" t="str">
        <f>IFERROR(__xludf.DUMMYFUNCTION("""COMPUTED_VALUE"""),"ARFCOMB302")</f>
        <v>ARFCOMB302</v>
      </c>
      <c r="B1975" s="6" t="str">
        <f>IFERROR(__xludf.DUMMYFUNCTION("""COMPUTED_VALUE"""),"RUN-COMB_2022-08-15_RFR-095")</f>
        <v>RUN-COMB_2022-08-15_RFR-095</v>
      </c>
      <c r="C1975" s="7">
        <f>VLOOKUP(B1975,'Run Reconcile'!A$2:B3090,2,FALSE)</f>
        <v>44788</v>
      </c>
      <c r="F1975" s="6" t="str">
        <f>IFERROR(__xludf.DUMMYFUNCTION("""COMPUTED_VALUE"""),"Negative")</f>
        <v>Negative</v>
      </c>
    </row>
    <row r="1976">
      <c r="A1976" s="6" t="str">
        <f>IFERROR(__xludf.DUMMYFUNCTION("""COMPUTED_VALUE"""),"ARFCOMB303")</f>
        <v>ARFCOMB303</v>
      </c>
      <c r="B1976" s="6" t="str">
        <f>IFERROR(__xludf.DUMMYFUNCTION("""COMPUTED_VALUE"""),"RUN-COMB_2022-08-15_RFR-095")</f>
        <v>RUN-COMB_2022-08-15_RFR-095</v>
      </c>
      <c r="C1976" s="7">
        <f>VLOOKUP(B1976,'Run Reconcile'!A$2:B3090,2,FALSE)</f>
        <v>44788</v>
      </c>
      <c r="F1976" s="6" t="str">
        <f>IFERROR(__xludf.DUMMYFUNCTION("""COMPUTED_VALUE"""),"Negative")</f>
        <v>Negative</v>
      </c>
    </row>
    <row r="1977">
      <c r="A1977" s="6" t="str">
        <f>IFERROR(__xludf.DUMMYFUNCTION("""COMPUTED_VALUE"""),"ARFCOMB304")</f>
        <v>ARFCOMB304</v>
      </c>
      <c r="B1977" s="6" t="str">
        <f>IFERROR(__xludf.DUMMYFUNCTION("""COMPUTED_VALUE"""),"RUN-COMB_2022-08-15_RFR-095")</f>
        <v>RUN-COMB_2022-08-15_RFR-095</v>
      </c>
      <c r="C1977" s="7">
        <f>VLOOKUP(B1977,'Run Reconcile'!A$2:B3090,2,FALSE)</f>
        <v>44788</v>
      </c>
      <c r="F1977" s="6" t="str">
        <f>IFERROR(__xludf.DUMMYFUNCTION("""COMPUTED_VALUE"""),"Negative")</f>
        <v>Negative</v>
      </c>
    </row>
    <row r="1978">
      <c r="A1978" s="6" t="str">
        <f>IFERROR(__xludf.DUMMYFUNCTION("""COMPUTED_VALUE"""),"ARFCOMB305")</f>
        <v>ARFCOMB305</v>
      </c>
      <c r="B1978" s="6" t="str">
        <f>IFERROR(__xludf.DUMMYFUNCTION("""COMPUTED_VALUE"""),"RUN-COMB_2022-08-15_RFR-095")</f>
        <v>RUN-COMB_2022-08-15_RFR-095</v>
      </c>
      <c r="C1978" s="7">
        <f>VLOOKUP(B1978,'Run Reconcile'!A$2:B3090,2,FALSE)</f>
        <v>44788</v>
      </c>
      <c r="F1978" s="6" t="str">
        <f>IFERROR(__xludf.DUMMYFUNCTION("""COMPUTED_VALUE"""),"Negative")</f>
        <v>Negative</v>
      </c>
    </row>
    <row r="1979">
      <c r="A1979" s="6" t="str">
        <f>IFERROR(__xludf.DUMMYFUNCTION("""COMPUTED_VALUE"""),"ARFCOMB306")</f>
        <v>ARFCOMB306</v>
      </c>
      <c r="B1979" s="6" t="str">
        <f>IFERROR(__xludf.DUMMYFUNCTION("""COMPUTED_VALUE"""),"RUN-COMB_2022-08-15_RFR-095")</f>
        <v>RUN-COMB_2022-08-15_RFR-095</v>
      </c>
      <c r="C1979" s="7">
        <f>VLOOKUP(B1979,'Run Reconcile'!A$2:B3090,2,FALSE)</f>
        <v>44788</v>
      </c>
      <c r="F1979" s="6" t="str">
        <f>IFERROR(__xludf.DUMMYFUNCTION("""COMPUTED_VALUE"""),"Negative")</f>
        <v>Negative</v>
      </c>
    </row>
    <row r="1980">
      <c r="A1980" s="6" t="str">
        <f>IFERROR(__xludf.DUMMYFUNCTION("""COMPUTED_VALUE"""),"ARFCOMB307")</f>
        <v>ARFCOMB307</v>
      </c>
      <c r="B1980" s="6" t="str">
        <f>IFERROR(__xludf.DUMMYFUNCTION("""COMPUTED_VALUE"""),"RUN-COMB_2022-08-15_RFR-095")</f>
        <v>RUN-COMB_2022-08-15_RFR-095</v>
      </c>
      <c r="C1980" s="7">
        <f>VLOOKUP(B1980,'Run Reconcile'!A$2:B3090,2,FALSE)</f>
        <v>44788</v>
      </c>
      <c r="F1980" s="6" t="str">
        <f>IFERROR(__xludf.DUMMYFUNCTION("""COMPUTED_VALUE"""),"Negative")</f>
        <v>Negative</v>
      </c>
    </row>
    <row r="1981">
      <c r="A1981" s="6" t="str">
        <f>IFERROR(__xludf.DUMMYFUNCTION("""COMPUTED_VALUE"""),"ARFCOMB308")</f>
        <v>ARFCOMB308</v>
      </c>
      <c r="B1981" s="6" t="str">
        <f>IFERROR(__xludf.DUMMYFUNCTION("""COMPUTED_VALUE"""),"RUN-COMB_2022-08-15_RFR-095")</f>
        <v>RUN-COMB_2022-08-15_RFR-095</v>
      </c>
      <c r="C1981" s="7">
        <f>VLOOKUP(B1981,'Run Reconcile'!A$2:B3090,2,FALSE)</f>
        <v>44788</v>
      </c>
      <c r="F1981" s="6" t="str">
        <f>IFERROR(__xludf.DUMMYFUNCTION("""COMPUTED_VALUE"""),"Negative")</f>
        <v>Negative</v>
      </c>
    </row>
    <row r="1982">
      <c r="A1982" s="6" t="str">
        <f>IFERROR(__xludf.DUMMYFUNCTION("""COMPUTED_VALUE"""),"ARFCOMB309")</f>
        <v>ARFCOMB309</v>
      </c>
      <c r="B1982" s="6" t="str">
        <f>IFERROR(__xludf.DUMMYFUNCTION("""COMPUTED_VALUE"""),"RUN-COMB_2022-08-15_RFR-095")</f>
        <v>RUN-COMB_2022-08-15_RFR-095</v>
      </c>
      <c r="C1982" s="7">
        <f>VLOOKUP(B1982,'Run Reconcile'!A$2:B3090,2,FALSE)</f>
        <v>44788</v>
      </c>
      <c r="F1982" s="6" t="str">
        <f>IFERROR(__xludf.DUMMYFUNCTION("""COMPUTED_VALUE"""),"Negative")</f>
        <v>Negative</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0"/>
    <col customWidth="1" min="4" max="4" width="9.88"/>
    <col customWidth="1" min="5" max="5" width="9.5"/>
  </cols>
  <sheetData>
    <row r="1">
      <c r="A1" s="14" t="s">
        <v>0</v>
      </c>
      <c r="B1" s="14" t="s">
        <v>1</v>
      </c>
      <c r="C1" s="15" t="str">
        <f>CONCATENATE("Weekly Participants ",SUM(C2:C99))</f>
        <v>Weekly Participants 1672</v>
      </c>
      <c r="D1" s="14" t="str">
        <f>CONCATENATE("Weekly Tubes Run ",SUM(D2:D99))</f>
        <v>Weekly Tubes Run 1981</v>
      </c>
      <c r="E1" s="14" t="str">
        <f>CONCATENATE("Weekly Positive Tubes ",SUM(E2:E99))</f>
        <v>Weekly Positive Tubes 18</v>
      </c>
      <c r="F1" s="14" t="str">
        <f>CONCATENATE("Weekly Inconclusive Tubes ",SUM(F2:F99))</f>
        <v>Weekly Inconclusive Tubes 3</v>
      </c>
      <c r="G1" s="14" t="s">
        <v>2</v>
      </c>
      <c r="H1" s="5"/>
      <c r="I1" s="5"/>
      <c r="J1" s="5"/>
      <c r="K1" s="5"/>
      <c r="L1" s="5"/>
      <c r="M1" s="5"/>
      <c r="N1" s="5"/>
      <c r="O1" s="5"/>
      <c r="P1" s="5"/>
      <c r="Q1" s="5"/>
      <c r="R1" s="5"/>
      <c r="S1" s="5"/>
      <c r="T1" s="5"/>
      <c r="U1" s="5"/>
      <c r="V1" s="5"/>
      <c r="W1" s="5"/>
      <c r="X1" s="5"/>
      <c r="Y1" s="5"/>
      <c r="Z1" s="5"/>
      <c r="AA1" s="5"/>
    </row>
    <row r="2">
      <c r="A2" s="16">
        <f>MIN('ALL Tube Results'!C:C) - WEEKDAY(MIN('ALL Tube Results'!C:C), 3)
</f>
        <v>44634</v>
      </c>
      <c r="B2" s="17">
        <f t="shared" ref="B2:B24" si="1">A2+6</f>
        <v>44640</v>
      </c>
      <c r="C2" s="18">
        <f>SUMIFS('ALL Tube Results'!$G$2:$G99, 'ALL Tube Results'!$C$2:$C99, "&gt;="&amp;A2, 'ALL Tube Results'!$C$2:$C99, "&lt;="&amp;B2)
</f>
        <v>18</v>
      </c>
      <c r="D2" s="19">
        <f>COUNTIFS('ALL Tube Results'!$C2:$C99, "&gt;="&amp;A2, 'ALL Tube Results'!$C2:$C99, "&lt;="&amp;B2)</f>
        <v>18</v>
      </c>
      <c r="E2" s="19">
        <f>COUNTIFS('ALL Tube Results'!$C2:$C99, "&gt;="&amp;A2, 'ALL Tube Results'!$C2:$C99, "&lt;="&amp;B2, 'ALL Tube Results'!$F2:$F99, "Positive")</f>
        <v>0</v>
      </c>
      <c r="F2" s="19">
        <f>COUNTIFS('ALL Tube Results'!$C2:$C99, "&gt;="&amp;A2, 'ALL Tube Results'!$C2:$C99, "&lt;="&amp;B2, 'ALL Tube Results'!$F2:$F99, "Inconclusive")</f>
        <v>0</v>
      </c>
      <c r="G2" s="20">
        <f t="shared" ref="G2:G24" si="2">IFERROR(E2/D2,IFERROR(0/0,""))</f>
        <v>0</v>
      </c>
      <c r="I2" s="6" t="str">
        <f>TEXT(A2,"ddd")</f>
        <v>Mon</v>
      </c>
    </row>
    <row r="3">
      <c r="A3" s="21">
        <f>B2+1</f>
        <v>44641</v>
      </c>
      <c r="B3" s="17">
        <f t="shared" si="1"/>
        <v>44647</v>
      </c>
      <c r="C3" s="18">
        <f>SUMIFS('ALL Tube Results'!$G$2:$G99, 'ALL Tube Results'!$C$2:$C99, "&gt;="&amp;A3, 'ALL Tube Results'!$C$2:$C99, "&lt;="&amp;B3)
</f>
        <v>99</v>
      </c>
      <c r="D3" s="19">
        <f>COUNTIFS('ALL Tube Results'!$C3:$C99, "&gt;="&amp;A3, 'ALL Tube Results'!$C3:$C99, "&lt;="&amp;B3)</f>
        <v>100</v>
      </c>
      <c r="E3" s="19">
        <f>COUNTIFS('ALL Tube Results'!$C3:$C99, "&gt;="&amp;A3, 'ALL Tube Results'!$C3:$C99, "&lt;="&amp;B3, 'ALL Tube Results'!$F3:$F99, "Positive")</f>
        <v>1</v>
      </c>
      <c r="F3" s="19">
        <f>COUNTIFS('ALL Tube Results'!$C3:$C99, "&gt;="&amp;A3, 'ALL Tube Results'!$C3:$C99, "&lt;="&amp;B3, 'ALL Tube Results'!$F3:$F99, "Inconclusive")</f>
        <v>0</v>
      </c>
      <c r="G3" s="20">
        <f t="shared" si="2"/>
        <v>0.01</v>
      </c>
    </row>
    <row r="4">
      <c r="A4" s="21">
        <f t="shared" ref="A4:A24" si="3">A3+7</f>
        <v>44648</v>
      </c>
      <c r="B4" s="17">
        <f t="shared" si="1"/>
        <v>44654</v>
      </c>
      <c r="C4" s="18">
        <f>SUMIFS('ALL Tube Results'!$G$2:$G99, 'ALL Tube Results'!$C$2:$C99, "&gt;="&amp;A4, 'ALL Tube Results'!$C$2:$C99, "&lt;="&amp;B4)
</f>
        <v>2</v>
      </c>
      <c r="D4" s="19">
        <f>COUNTIFS('ALL Tube Results'!$C4:$C99, "&gt;="&amp;A4, 'ALL Tube Results'!$C4:$C99, "&lt;="&amp;B4)</f>
        <v>2</v>
      </c>
      <c r="E4" s="19">
        <f>COUNTIFS('ALL Tube Results'!$C4:$C99, "&gt;="&amp;A4, 'ALL Tube Results'!$C4:$C99, "&lt;="&amp;B4, 'ALL Tube Results'!$F4:$F99, "Positive")</f>
        <v>0</v>
      </c>
      <c r="F4" s="19">
        <f>COUNTIFS('ALL Tube Results'!$C4:$C99, "&gt;="&amp;A4, 'ALL Tube Results'!$C4:$C99, "&lt;="&amp;B4, 'ALL Tube Results'!$F4:$F99, "Inconclusive")</f>
        <v>0</v>
      </c>
      <c r="G4" s="20">
        <f t="shared" si="2"/>
        <v>0</v>
      </c>
    </row>
    <row r="5">
      <c r="A5" s="21">
        <f t="shared" si="3"/>
        <v>44655</v>
      </c>
      <c r="B5" s="17">
        <f t="shared" si="1"/>
        <v>44661</v>
      </c>
      <c r="C5" s="18">
        <f>SUMIFS('ALL Tube Results'!$G$2:$G99, 'ALL Tube Results'!$C$2:$C99, "&gt;="&amp;A5, 'ALL Tube Results'!$C$2:$C99, "&lt;="&amp;B5)
</f>
        <v>127</v>
      </c>
      <c r="D5" s="19">
        <f>COUNTIFS('ALL Tube Results'!$C5:$C99, "&gt;="&amp;A5, 'ALL Tube Results'!$C5:$C99, "&lt;="&amp;B5)</f>
        <v>142</v>
      </c>
      <c r="E5" s="19">
        <f>COUNTIFS('ALL Tube Results'!$C5:$C99, "&gt;="&amp;A5, 'ALL Tube Results'!$C5:$C99, "&lt;="&amp;B5, 'ALL Tube Results'!$F5:$F99, "Positive")</f>
        <v>0</v>
      </c>
      <c r="F5" s="19">
        <f>COUNTIFS('ALL Tube Results'!$C5:$C99, "&gt;="&amp;A5, 'ALL Tube Results'!$C5:$C99, "&lt;="&amp;B5, 'ALL Tube Results'!$F5:$F99, "Inconclusive")</f>
        <v>0</v>
      </c>
      <c r="G5" s="20">
        <f t="shared" si="2"/>
        <v>0</v>
      </c>
    </row>
    <row r="6">
      <c r="A6" s="21">
        <f t="shared" si="3"/>
        <v>44662</v>
      </c>
      <c r="B6" s="17">
        <f t="shared" si="1"/>
        <v>44668</v>
      </c>
      <c r="C6" s="18">
        <f>SUMIFS('ALL Tube Results'!$G$2:$G99, 'ALL Tube Results'!$C$2:$C99, "&gt;="&amp;A6, 'ALL Tube Results'!$C$2:$C99, "&lt;="&amp;B6)
</f>
        <v>120</v>
      </c>
      <c r="D6" s="19">
        <f>COUNTIFS('ALL Tube Results'!$C6:$C99, "&gt;="&amp;A6, 'ALL Tube Results'!$C6:$C99, "&lt;="&amp;B6)</f>
        <v>120</v>
      </c>
      <c r="E6" s="19">
        <f>COUNTIFS('ALL Tube Results'!$C6:$C99, "&gt;="&amp;A6, 'ALL Tube Results'!$C6:$C99, "&lt;="&amp;B6, 'ALL Tube Results'!$F6:$F99, "Positive")</f>
        <v>0</v>
      </c>
      <c r="F6" s="19">
        <f>COUNTIFS('ALL Tube Results'!$C6:$C99, "&gt;="&amp;A6, 'ALL Tube Results'!$C6:$C99, "&lt;="&amp;B6, 'ALL Tube Results'!$F6:$F99, "Inconclusive")</f>
        <v>0</v>
      </c>
      <c r="G6" s="20">
        <f t="shared" si="2"/>
        <v>0</v>
      </c>
    </row>
    <row r="7">
      <c r="A7" s="21">
        <f t="shared" si="3"/>
        <v>44669</v>
      </c>
      <c r="B7" s="17">
        <f t="shared" si="1"/>
        <v>44675</v>
      </c>
      <c r="C7" s="18">
        <f>SUMIFS('ALL Tube Results'!$G$2:$G99, 'ALL Tube Results'!$C$2:$C99, "&gt;="&amp;A7, 'ALL Tube Results'!$C$2:$C99, "&lt;="&amp;B7)
</f>
        <v>134</v>
      </c>
      <c r="D7" s="19">
        <f>COUNTIFS('ALL Tube Results'!$C7:$C99, "&gt;="&amp;A7, 'ALL Tube Results'!$C7:$C99, "&lt;="&amp;B7)</f>
        <v>134</v>
      </c>
      <c r="E7" s="19">
        <f>COUNTIFS('ALL Tube Results'!$C7:$C99, "&gt;="&amp;A7, 'ALL Tube Results'!$C7:$C99, "&lt;="&amp;B7, 'ALL Tube Results'!$F7:$F99, "Positive")</f>
        <v>1</v>
      </c>
      <c r="F7" s="19">
        <f>COUNTIFS('ALL Tube Results'!$C7:$C99, "&gt;="&amp;A7, 'ALL Tube Results'!$C7:$C99, "&lt;="&amp;B7, 'ALL Tube Results'!$F7:$F99, "Inconclusive")</f>
        <v>0</v>
      </c>
      <c r="G7" s="20">
        <f t="shared" si="2"/>
        <v>0.007462686567</v>
      </c>
    </row>
    <row r="8">
      <c r="A8" s="21">
        <f t="shared" si="3"/>
        <v>44676</v>
      </c>
      <c r="B8" s="17">
        <f t="shared" si="1"/>
        <v>44682</v>
      </c>
      <c r="C8" s="18">
        <f>SUMIFS('ALL Tube Results'!$G$2:$G99, 'ALL Tube Results'!$C$2:$C99, "&gt;="&amp;A8, 'ALL Tube Results'!$C$2:$C99, "&lt;="&amp;B8)
</f>
        <v>108</v>
      </c>
      <c r="D8" s="19">
        <f>COUNTIFS('ALL Tube Results'!$C8:$C99, "&gt;="&amp;A8, 'ALL Tube Results'!$C8:$C99, "&lt;="&amp;B8)</f>
        <v>108</v>
      </c>
      <c r="E8" s="19">
        <f>COUNTIFS('ALL Tube Results'!$C8:$C99, "&gt;="&amp;A8, 'ALL Tube Results'!$C8:$C99, "&lt;="&amp;B8, 'ALL Tube Results'!$F8:$F99, "Positive")</f>
        <v>2</v>
      </c>
      <c r="F8" s="19">
        <f>COUNTIFS('ALL Tube Results'!$C8:$C99, "&gt;="&amp;A8, 'ALL Tube Results'!$C8:$C99, "&lt;="&amp;B8, 'ALL Tube Results'!$F8:$F99, "Inconclusive")</f>
        <v>0</v>
      </c>
      <c r="G8" s="20">
        <f t="shared" si="2"/>
        <v>0.01851851852</v>
      </c>
    </row>
    <row r="9">
      <c r="A9" s="21">
        <f t="shared" si="3"/>
        <v>44683</v>
      </c>
      <c r="B9" s="17">
        <f t="shared" si="1"/>
        <v>44689</v>
      </c>
      <c r="C9" s="18">
        <f>SUMIFS('ALL Tube Results'!$G$2:$G99, 'ALL Tube Results'!$C$2:$C99, "&gt;="&amp;A9, 'ALL Tube Results'!$C$2:$C99, "&lt;="&amp;B9)
</f>
        <v>0</v>
      </c>
      <c r="D9" s="19">
        <f>COUNTIFS('ALL Tube Results'!$C9:$C99, "&gt;="&amp;A9, 'ALL Tube Results'!$C9:$C99, "&lt;="&amp;B9)</f>
        <v>0</v>
      </c>
      <c r="E9" s="19">
        <f>COUNTIFS('ALL Tube Results'!$C9:$C99, "&gt;="&amp;A9, 'ALL Tube Results'!$C9:$C99, "&lt;="&amp;B9, 'ALL Tube Results'!$F9:$F99, "Positive")</f>
        <v>0</v>
      </c>
      <c r="F9" s="19">
        <f>COUNTIFS('ALL Tube Results'!$C9:$C99, "&gt;="&amp;A9, 'ALL Tube Results'!$C9:$C99, "&lt;="&amp;B9, 'ALL Tube Results'!$F9:$F99, "Inconclusive")</f>
        <v>0</v>
      </c>
      <c r="G9" s="20" t="str">
        <f t="shared" si="2"/>
        <v/>
      </c>
    </row>
    <row r="10">
      <c r="A10" s="21">
        <f t="shared" si="3"/>
        <v>44690</v>
      </c>
      <c r="B10" s="17">
        <f t="shared" si="1"/>
        <v>44696</v>
      </c>
      <c r="C10" s="18">
        <f>SUMIFS('ALL Tube Results'!$G$2:$G99, 'ALL Tube Results'!$C$2:$C99, "&gt;="&amp;A10, 'ALL Tube Results'!$C$2:$C99, "&lt;="&amp;B10)
</f>
        <v>112</v>
      </c>
      <c r="D10" s="19">
        <f>COUNTIFS('ALL Tube Results'!$C10:$C99, "&gt;="&amp;A10, 'ALL Tube Results'!$C10:$C99, "&lt;="&amp;B10)</f>
        <v>112</v>
      </c>
      <c r="E10" s="19">
        <f>COUNTIFS('ALL Tube Results'!$C10:$C99, "&gt;="&amp;A10, 'ALL Tube Results'!$C10:$C99, "&lt;="&amp;B10, 'ALL Tube Results'!$F10:$F99, "Positive")</f>
        <v>0</v>
      </c>
      <c r="F10" s="19">
        <f>COUNTIFS('ALL Tube Results'!$C10:$C99, "&gt;="&amp;A10, 'ALL Tube Results'!$C10:$C99, "&lt;="&amp;B10, 'ALL Tube Results'!$F10:$F99, "Inconclusive")</f>
        <v>0</v>
      </c>
      <c r="G10" s="20">
        <f t="shared" si="2"/>
        <v>0</v>
      </c>
    </row>
    <row r="11">
      <c r="A11" s="21">
        <f t="shared" si="3"/>
        <v>44697</v>
      </c>
      <c r="B11" s="17">
        <f t="shared" si="1"/>
        <v>44703</v>
      </c>
      <c r="C11" s="18">
        <f>SUMIFS('ALL Tube Results'!$G$2:$G99, 'ALL Tube Results'!$C$2:$C99, "&gt;="&amp;A11, 'ALL Tube Results'!$C$2:$C99, "&lt;="&amp;B11)
</f>
        <v>99</v>
      </c>
      <c r="D11" s="19">
        <f>COUNTIFS('ALL Tube Results'!$C11:$C99, "&gt;="&amp;A11, 'ALL Tube Results'!$C11:$C99, "&lt;="&amp;B11)</f>
        <v>99</v>
      </c>
      <c r="E11" s="19">
        <f>COUNTIFS('ALL Tube Results'!$C11:$C99, "&gt;="&amp;A11, 'ALL Tube Results'!$C11:$C99, "&lt;="&amp;B11, 'ALL Tube Results'!$F11:$F99, "Positive")</f>
        <v>0</v>
      </c>
      <c r="F11" s="19">
        <f>COUNTIFS('ALL Tube Results'!$C11:$C99, "&gt;="&amp;A11, 'ALL Tube Results'!$C11:$C99, "&lt;="&amp;B11, 'ALL Tube Results'!$F11:$F99, "Inconclusive")</f>
        <v>0</v>
      </c>
      <c r="G11" s="20">
        <f t="shared" si="2"/>
        <v>0</v>
      </c>
    </row>
    <row r="12">
      <c r="A12" s="21">
        <f t="shared" si="3"/>
        <v>44704</v>
      </c>
      <c r="B12" s="17">
        <f t="shared" si="1"/>
        <v>44710</v>
      </c>
      <c r="C12" s="18">
        <f>SUMIFS('ALL Tube Results'!$G$2:$G99, 'ALL Tube Results'!$C$2:$C99, "&gt;="&amp;A12, 'ALL Tube Results'!$C$2:$C99, "&lt;="&amp;B12)
</f>
        <v>128</v>
      </c>
      <c r="D12" s="19">
        <f>COUNTIFS('ALL Tube Results'!$C12:$C99, "&gt;="&amp;A12, 'ALL Tube Results'!$C12:$C99, "&lt;="&amp;B12)</f>
        <v>137</v>
      </c>
      <c r="E12" s="19">
        <f>COUNTIFS('ALL Tube Results'!$C12:$C99, "&gt;="&amp;A12, 'ALL Tube Results'!$C12:$C99, "&lt;="&amp;B12, 'ALL Tube Results'!$F12:$F99, "Positive")</f>
        <v>0</v>
      </c>
      <c r="F12" s="19">
        <f>COUNTIFS('ALL Tube Results'!$C12:$C99, "&gt;="&amp;A12, 'ALL Tube Results'!$C12:$C99, "&lt;="&amp;B12, 'ALL Tube Results'!$F12:$F99, "Inconclusive")</f>
        <v>0</v>
      </c>
      <c r="G12" s="20">
        <f t="shared" si="2"/>
        <v>0</v>
      </c>
    </row>
    <row r="13">
      <c r="A13" s="21">
        <f t="shared" si="3"/>
        <v>44711</v>
      </c>
      <c r="B13" s="17">
        <f t="shared" si="1"/>
        <v>44717</v>
      </c>
      <c r="C13" s="18">
        <f>SUMIFS('ALL Tube Results'!$G$2:$G99, 'ALL Tube Results'!$C$2:$C99, "&gt;="&amp;A13, 'ALL Tube Results'!$C$2:$C99, "&lt;="&amp;B13)
</f>
        <v>114</v>
      </c>
      <c r="D13" s="19">
        <f>COUNTIFS('ALL Tube Results'!$C13:$C99, "&gt;="&amp;A13, 'ALL Tube Results'!$C13:$C99, "&lt;="&amp;B13)</f>
        <v>114</v>
      </c>
      <c r="E13" s="19">
        <f>COUNTIFS('ALL Tube Results'!$C13:$C99, "&gt;="&amp;A13, 'ALL Tube Results'!$C13:$C99, "&lt;="&amp;B13, 'ALL Tube Results'!$F13:$F99, "Positive")</f>
        <v>1</v>
      </c>
      <c r="F13" s="19">
        <f>COUNTIFS('ALL Tube Results'!$C13:$C99, "&gt;="&amp;A13, 'ALL Tube Results'!$C13:$C99, "&lt;="&amp;B13, 'ALL Tube Results'!$F13:$F99, "Inconclusive")</f>
        <v>0</v>
      </c>
      <c r="G13" s="20">
        <f t="shared" si="2"/>
        <v>0.008771929825</v>
      </c>
    </row>
    <row r="14">
      <c r="A14" s="21">
        <f t="shared" si="3"/>
        <v>44718</v>
      </c>
      <c r="B14" s="17">
        <f t="shared" si="1"/>
        <v>44724</v>
      </c>
      <c r="C14" s="18">
        <f>SUMIFS('ALL Tube Results'!$G$2:$G99, 'ALL Tube Results'!$C$2:$C99, "&gt;="&amp;A14, 'ALL Tube Results'!$C$2:$C99, "&lt;="&amp;B14)
</f>
        <v>55</v>
      </c>
      <c r="D14" s="19">
        <f>COUNTIFS('ALL Tube Results'!$C14:$C99, "&gt;="&amp;A14, 'ALL Tube Results'!$C14:$C99, "&lt;="&amp;B14)</f>
        <v>130</v>
      </c>
      <c r="E14" s="19">
        <f>COUNTIFS('ALL Tube Results'!$C14:$C99, "&gt;="&amp;A14, 'ALL Tube Results'!$C14:$C99, "&lt;="&amp;B14, 'ALL Tube Results'!$F14:$F99, "Positive")</f>
        <v>3</v>
      </c>
      <c r="F14" s="19">
        <f>COUNTIFS('ALL Tube Results'!$C14:$C99, "&gt;="&amp;A14, 'ALL Tube Results'!$C14:$C99, "&lt;="&amp;B14, 'ALL Tube Results'!$F14:$F99, "Inconclusive")</f>
        <v>0</v>
      </c>
      <c r="G14" s="20">
        <f t="shared" si="2"/>
        <v>0.02307692308</v>
      </c>
    </row>
    <row r="15">
      <c r="A15" s="21">
        <f t="shared" si="3"/>
        <v>44725</v>
      </c>
      <c r="B15" s="17">
        <f t="shared" si="1"/>
        <v>44731</v>
      </c>
      <c r="C15" s="18">
        <f>SUMIFS('ALL Tube Results'!$G$2:$G99, 'ALL Tube Results'!$C$2:$C99, "&gt;="&amp;A15, 'ALL Tube Results'!$C$2:$C99, "&lt;="&amp;B15)
</f>
        <v>0</v>
      </c>
      <c r="D15" s="19">
        <f>COUNTIFS('ALL Tube Results'!$C15:$C99, "&gt;="&amp;A15, 'ALL Tube Results'!$C15:$C99, "&lt;="&amp;B15)</f>
        <v>0</v>
      </c>
      <c r="E15" s="19">
        <f>COUNTIFS('ALL Tube Results'!$C15:$C99, "&gt;="&amp;A15, 'ALL Tube Results'!$C15:$C99, "&lt;="&amp;B15, 'ALL Tube Results'!$F15:$F99, "Positive")</f>
        <v>0</v>
      </c>
      <c r="F15" s="19">
        <f>COUNTIFS('ALL Tube Results'!$C15:$C99, "&gt;="&amp;A15, 'ALL Tube Results'!$C15:$C99, "&lt;="&amp;B15, 'ALL Tube Results'!$F15:$F99, "Inconclusive")</f>
        <v>0</v>
      </c>
      <c r="G15" s="20" t="str">
        <f t="shared" si="2"/>
        <v/>
      </c>
    </row>
    <row r="16">
      <c r="A16" s="21">
        <f t="shared" si="3"/>
        <v>44732</v>
      </c>
      <c r="B16" s="17">
        <f t="shared" si="1"/>
        <v>44738</v>
      </c>
      <c r="C16" s="18">
        <f>SUMIFS('ALL Tube Results'!$G$2:$G99, 'ALL Tube Results'!$C$2:$C99, "&gt;="&amp;A16, 'ALL Tube Results'!$C$2:$C99, "&lt;="&amp;B16)
</f>
        <v>0</v>
      </c>
      <c r="D16" s="19">
        <f>COUNTIFS('ALL Tube Results'!$C16:$C99, "&gt;="&amp;A16, 'ALL Tube Results'!$C16:$C99, "&lt;="&amp;B16)</f>
        <v>0</v>
      </c>
      <c r="E16" s="19">
        <f>COUNTIFS('ALL Tube Results'!$C16:$C99, "&gt;="&amp;A16, 'ALL Tube Results'!$C16:$C99, "&lt;="&amp;B16, 'ALL Tube Results'!$F16:$F99, "Positive")</f>
        <v>0</v>
      </c>
      <c r="F16" s="19">
        <f>COUNTIFS('ALL Tube Results'!$C16:$C99, "&gt;="&amp;A16, 'ALL Tube Results'!$C16:$C99, "&lt;="&amp;B16, 'ALL Tube Results'!$F16:$F99, "Inconclusive")</f>
        <v>0</v>
      </c>
      <c r="G16" s="20" t="str">
        <f t="shared" si="2"/>
        <v/>
      </c>
    </row>
    <row r="17">
      <c r="A17" s="21">
        <f t="shared" si="3"/>
        <v>44739</v>
      </c>
      <c r="B17" s="17">
        <f t="shared" si="1"/>
        <v>44745</v>
      </c>
      <c r="C17" s="18">
        <f>SUMIFS('ALL Tube Results'!$G$2:$G99, 'ALL Tube Results'!$C$2:$C99, "&gt;="&amp;A17, 'ALL Tube Results'!$C$2:$C99, "&lt;="&amp;B17)
</f>
        <v>90</v>
      </c>
      <c r="D17" s="19">
        <f>COUNTIFS('ALL Tube Results'!$C17:$C99, "&gt;="&amp;A17, 'ALL Tube Results'!$C17:$C99, "&lt;="&amp;B17)</f>
        <v>125</v>
      </c>
      <c r="E17" s="19">
        <f>COUNTIFS('ALL Tube Results'!$C17:$C99, "&gt;="&amp;A17, 'ALL Tube Results'!$C17:$C99, "&lt;="&amp;B17, 'ALL Tube Results'!$F17:$F99, "Positive")</f>
        <v>4</v>
      </c>
      <c r="F17" s="19">
        <f>COUNTIFS('ALL Tube Results'!$C17:$C99, "&gt;="&amp;A17, 'ALL Tube Results'!$C17:$C99, "&lt;="&amp;B17, 'ALL Tube Results'!$F17:$F99, "Inconclusive")</f>
        <v>3</v>
      </c>
      <c r="G17" s="20">
        <f t="shared" si="2"/>
        <v>0.032</v>
      </c>
    </row>
    <row r="18">
      <c r="A18" s="21">
        <f t="shared" si="3"/>
        <v>44746</v>
      </c>
      <c r="B18" s="17">
        <f t="shared" si="1"/>
        <v>44752</v>
      </c>
      <c r="C18" s="18">
        <f>SUMIFS('ALL Tube Results'!$G$2:$G99, 'ALL Tube Results'!$C$2:$C99, "&gt;="&amp;A18, 'ALL Tube Results'!$C$2:$C99, "&lt;="&amp;B18)
</f>
        <v>131</v>
      </c>
      <c r="D18" s="19">
        <f>COUNTIFS('ALL Tube Results'!$C18:$C99, "&gt;="&amp;A18, 'ALL Tube Results'!$C18:$C99, "&lt;="&amp;B18)</f>
        <v>132</v>
      </c>
      <c r="E18" s="19">
        <f>COUNTIFS('ALL Tube Results'!$C18:$C99, "&gt;="&amp;A18, 'ALL Tube Results'!$C18:$C99, "&lt;="&amp;B18, 'ALL Tube Results'!$F18:$F99, "Positive")</f>
        <v>1</v>
      </c>
      <c r="F18" s="19">
        <f>COUNTIFS('ALL Tube Results'!$C18:$C99, "&gt;="&amp;A18, 'ALL Tube Results'!$C18:$C99, "&lt;="&amp;B18, 'ALL Tube Results'!$F18:$F99, "Inconclusive")</f>
        <v>0</v>
      </c>
      <c r="G18" s="20">
        <f t="shared" si="2"/>
        <v>0.007575757576</v>
      </c>
    </row>
    <row r="19">
      <c r="A19" s="21">
        <f t="shared" si="3"/>
        <v>44753</v>
      </c>
      <c r="B19" s="17">
        <f t="shared" si="1"/>
        <v>44759</v>
      </c>
      <c r="C19" s="18">
        <f>SUMIFS('ALL Tube Results'!$G$2:$G99, 'ALL Tube Results'!$C$2:$C99, "&gt;="&amp;A19, 'ALL Tube Results'!$C$2:$C99, "&lt;="&amp;B19)
</f>
        <v>122</v>
      </c>
      <c r="D19" s="19">
        <f>COUNTIFS('ALL Tube Results'!$C19:$C99, "&gt;="&amp;A19, 'ALL Tube Results'!$C19:$C99, "&lt;="&amp;B19)</f>
        <v>123</v>
      </c>
      <c r="E19" s="19">
        <f>COUNTIFS('ALL Tube Results'!$C19:$C99, "&gt;="&amp;A19, 'ALL Tube Results'!$C19:$C99, "&lt;="&amp;B19, 'ALL Tube Results'!$F19:$F99, "Positive")</f>
        <v>0</v>
      </c>
      <c r="F19" s="19">
        <f>COUNTIFS('ALL Tube Results'!$C19:$C99, "&gt;="&amp;A19, 'ALL Tube Results'!$C19:$C99, "&lt;="&amp;B19, 'ALL Tube Results'!$F19:$F99, "Inconclusive")</f>
        <v>0</v>
      </c>
      <c r="G19" s="20">
        <f t="shared" si="2"/>
        <v>0</v>
      </c>
    </row>
    <row r="20">
      <c r="A20" s="21">
        <f t="shared" si="3"/>
        <v>44760</v>
      </c>
      <c r="B20" s="17">
        <f t="shared" si="1"/>
        <v>44766</v>
      </c>
      <c r="C20" s="18">
        <f>SUMIFS('ALL Tube Results'!$G$2:$G99, 'ALL Tube Results'!$C$2:$C99, "&gt;="&amp;A20, 'ALL Tube Results'!$C$2:$C99, "&lt;="&amp;B20)
</f>
        <v>97</v>
      </c>
      <c r="D20" s="19">
        <f>COUNTIFS('ALL Tube Results'!$C20:$C99, "&gt;="&amp;A20, 'ALL Tube Results'!$C20:$C99, "&lt;="&amp;B20)</f>
        <v>200</v>
      </c>
      <c r="E20" s="19">
        <f>COUNTIFS('ALL Tube Results'!$C20:$C99, "&gt;="&amp;A20, 'ALL Tube Results'!$C20:$C99, "&lt;="&amp;B20, 'ALL Tube Results'!$F20:$F99, "Positive")</f>
        <v>4</v>
      </c>
      <c r="F20" s="19">
        <f>COUNTIFS('ALL Tube Results'!$C20:$C99, "&gt;="&amp;A20, 'ALL Tube Results'!$C20:$C99, "&lt;="&amp;B20, 'ALL Tube Results'!$F20:$F99, "Inconclusive")</f>
        <v>0</v>
      </c>
      <c r="G20" s="20">
        <f t="shared" si="2"/>
        <v>0.02</v>
      </c>
    </row>
    <row r="21">
      <c r="A21" s="21">
        <f t="shared" si="3"/>
        <v>44767</v>
      </c>
      <c r="B21" s="17">
        <f t="shared" si="1"/>
        <v>44773</v>
      </c>
      <c r="C21" s="18">
        <f>SUMIFS('ALL Tube Results'!$G$2:$G99, 'ALL Tube Results'!$C$2:$C99, "&gt;="&amp;A21, 'ALL Tube Results'!$C$2:$C99, "&lt;="&amp;B21)
</f>
        <v>0</v>
      </c>
      <c r="D21" s="19">
        <f>COUNTIFS('ALL Tube Results'!$C21:$C99, "&gt;="&amp;A21, 'ALL Tube Results'!$C21:$C99, "&lt;="&amp;B21)</f>
        <v>0</v>
      </c>
      <c r="E21" s="19">
        <f>COUNTIFS('ALL Tube Results'!$C21:$C99, "&gt;="&amp;A21, 'ALL Tube Results'!$C21:$C99, "&lt;="&amp;B21, 'ALL Tube Results'!$F21:$F99, "Positive")</f>
        <v>0</v>
      </c>
      <c r="F21" s="19">
        <f>COUNTIFS('ALL Tube Results'!$C21:$C99, "&gt;="&amp;A21, 'ALL Tube Results'!$C21:$C99, "&lt;="&amp;B21, 'ALL Tube Results'!$F21:$F99, "Inconclusive")</f>
        <v>0</v>
      </c>
      <c r="G21" s="20" t="str">
        <f t="shared" si="2"/>
        <v/>
      </c>
    </row>
    <row r="22">
      <c r="A22" s="21">
        <f t="shared" si="3"/>
        <v>44774</v>
      </c>
      <c r="B22" s="17">
        <f t="shared" si="1"/>
        <v>44780</v>
      </c>
      <c r="C22" s="18">
        <f>SUMIFS('ALL Tube Results'!$G$2:$G99, 'ALL Tube Results'!$C$2:$C99, "&gt;="&amp;A22, 'ALL Tube Results'!$C$2:$C99, "&lt;="&amp;B22)
</f>
        <v>54</v>
      </c>
      <c r="D22" s="19">
        <f>COUNTIFS('ALL Tube Results'!$C22:$C99, "&gt;="&amp;A22, 'ALL Tube Results'!$C22:$C99, "&lt;="&amp;B22)</f>
        <v>86</v>
      </c>
      <c r="E22" s="19">
        <f>COUNTIFS('ALL Tube Results'!$C22:$C99, "&gt;="&amp;A22, 'ALL Tube Results'!$C22:$C99, "&lt;="&amp;B22, 'ALL Tube Results'!$F22:$F99, "Positive")</f>
        <v>0</v>
      </c>
      <c r="F22" s="19">
        <f>COUNTIFS('ALL Tube Results'!$C22:$C99, "&gt;="&amp;A22, 'ALL Tube Results'!$C22:$C99, "&lt;="&amp;B22, 'ALL Tube Results'!$F22:$F99, "Inconclusive")</f>
        <v>0</v>
      </c>
      <c r="G22" s="20">
        <f t="shared" si="2"/>
        <v>0</v>
      </c>
    </row>
    <row r="23">
      <c r="A23" s="21">
        <f t="shared" si="3"/>
        <v>44781</v>
      </c>
      <c r="B23" s="17">
        <f t="shared" si="1"/>
        <v>44787</v>
      </c>
      <c r="C23" s="18">
        <f>SUMIFS('ALL Tube Results'!$G$2:$G99, 'ALL Tube Results'!$C$2:$C99, "&gt;="&amp;A23, 'ALL Tube Results'!$C$2:$C99, "&lt;="&amp;B23)
</f>
        <v>62</v>
      </c>
      <c r="D23" s="19">
        <f>COUNTIFS('ALL Tube Results'!$C23:$C99, "&gt;="&amp;A23, 'ALL Tube Results'!$C23:$C99, "&lt;="&amp;B23)</f>
        <v>62</v>
      </c>
      <c r="E23" s="19">
        <f>COUNTIFS('ALL Tube Results'!$C23:$C99, "&gt;="&amp;A23, 'ALL Tube Results'!$C23:$C99, "&lt;="&amp;B23, 'ALL Tube Results'!$F23:$F99, "Positive")</f>
        <v>1</v>
      </c>
      <c r="F23" s="19">
        <f>COUNTIFS('ALL Tube Results'!$C23:$C99, "&gt;="&amp;A23, 'ALL Tube Results'!$C23:$C99, "&lt;="&amp;B23, 'ALL Tube Results'!$F23:$F99, "Inconclusive")</f>
        <v>0</v>
      </c>
      <c r="G23" s="20">
        <f t="shared" si="2"/>
        <v>0.01612903226</v>
      </c>
    </row>
    <row r="24">
      <c r="A24" s="21">
        <f t="shared" si="3"/>
        <v>44788</v>
      </c>
      <c r="B24" s="17">
        <f t="shared" si="1"/>
        <v>44794</v>
      </c>
      <c r="C24" s="18">
        <f>SUMIFS('ALL Tube Results'!$G$2:$G99, 'ALL Tube Results'!$C$2:$C99, "&gt;="&amp;A24, 'ALL Tube Results'!$C$2:$C99, "&lt;="&amp;B24)
</f>
        <v>0</v>
      </c>
      <c r="D24" s="19">
        <f>COUNTIFS('ALL Tube Results'!$C24:$C99, "&gt;="&amp;A24, 'ALL Tube Results'!$C24:$C99, "&lt;="&amp;B24)</f>
        <v>37</v>
      </c>
      <c r="E24" s="19">
        <f>COUNTIFS('ALL Tube Results'!$C24:$C99, "&gt;="&amp;A24, 'ALL Tube Results'!$C24:$C99, "&lt;="&amp;B24, 'ALL Tube Results'!$F24:$F99, "Positive")</f>
        <v>0</v>
      </c>
      <c r="F24" s="19">
        <f>COUNTIFS('ALL Tube Results'!$C24:$C99, "&gt;="&amp;A24, 'ALL Tube Results'!$C24:$C99, "&lt;="&amp;B24, 'ALL Tube Results'!$F24:$F99, "Inconclusive")</f>
        <v>0</v>
      </c>
      <c r="G24" s="20">
        <f t="shared" si="2"/>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9.38"/>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9" width="3.13"/>
    <col customWidth="1" min="10" max="11" width="3.5"/>
    <col customWidth="1" min="12" max="12" width="13.25"/>
    <col customWidth="1" min="13" max="13" width="12.25"/>
    <col customWidth="1" min="14" max="14" width="13.25"/>
    <col customWidth="1" min="15" max="15" width="3.75"/>
    <col customWidth="1" min="16" max="16" width="11.75"/>
    <col customWidth="1" min="17" max="17" width="2.63"/>
    <col customWidth="1" min="18" max="18" width="27.5"/>
    <col customWidth="1" min="19" max="19" width="14.38"/>
    <col customWidth="1" min="21" max="21" width="13.38"/>
    <col customWidth="1" min="22" max="22" width="3.75"/>
    <col customWidth="1" min="23" max="23" width="4.75"/>
    <col customWidth="1" min="24" max="24" width="3.13"/>
    <col customWidth="1" min="25" max="25" width="29.13"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22" t="s">
        <v>3</v>
      </c>
      <c r="B1" s="23">
        <f>COUNT(B3:B672)</f>
        <v>80</v>
      </c>
      <c r="C1" s="23">
        <f t="shared" ref="C1:F1" si="1">SUM(C2:C672)</f>
        <v>1981</v>
      </c>
      <c r="D1" s="23">
        <f t="shared" si="1"/>
        <v>1960</v>
      </c>
      <c r="E1" s="23">
        <f t="shared" si="1"/>
        <v>18</v>
      </c>
      <c r="F1" s="23">
        <f t="shared" si="1"/>
        <v>3</v>
      </c>
      <c r="G1" s="23"/>
      <c r="H1" s="23">
        <f>SUM(H2:H672)</f>
        <v>0</v>
      </c>
      <c r="I1" s="23"/>
      <c r="J1" s="23"/>
      <c r="K1" s="23"/>
      <c r="L1" s="23">
        <f t="shared" ref="L1:N1" si="2">SUM(L2:L672)</f>
        <v>84</v>
      </c>
      <c r="M1" s="23">
        <f t="shared" si="2"/>
        <v>0</v>
      </c>
      <c r="N1" s="23">
        <f t="shared" si="2"/>
        <v>0</v>
      </c>
      <c r="O1" s="23"/>
      <c r="P1" s="23">
        <f>SUM(P2:P672)</f>
        <v>309</v>
      </c>
      <c r="Q1" s="24"/>
      <c r="R1" s="25" t="s">
        <v>4</v>
      </c>
      <c r="S1" s="26" t="str">
        <f>CONCATENATE("Delta Run Reconciled to ALL Tubes ",T1-C1)</f>
        <v>Delta Run Reconciled to ALL Tubes 0</v>
      </c>
      <c r="T1" s="27">
        <f>SUM(T2:T672)</f>
        <v>1981</v>
      </c>
      <c r="U1" s="28">
        <f>COUNTIF(U3:U672,FALSE)</f>
        <v>0</v>
      </c>
      <c r="V1" s="27">
        <f t="shared" ref="V1:W1" si="3">SUM(V2:V672)</f>
        <v>0</v>
      </c>
      <c r="W1" s="27">
        <f t="shared" si="3"/>
        <v>0</v>
      </c>
      <c r="X1" s="29"/>
      <c r="Y1" s="30" t="s">
        <v>5</v>
      </c>
      <c r="Z1" s="30"/>
      <c r="AA1" s="31">
        <f t="shared" ref="AA1:AD1" si="4">SUM(AA2:AA672)</f>
        <v>1897</v>
      </c>
      <c r="AB1" s="31">
        <f t="shared" si="4"/>
        <v>1876</v>
      </c>
      <c r="AC1" s="31">
        <f t="shared" si="4"/>
        <v>18</v>
      </c>
      <c r="AD1" s="31">
        <f t="shared" si="4"/>
        <v>3</v>
      </c>
      <c r="AE1" s="30"/>
      <c r="AF1" s="29"/>
      <c r="AG1" s="32" t="s">
        <v>6</v>
      </c>
      <c r="AH1" s="33"/>
      <c r="AI1" s="33">
        <f t="shared" ref="AI1:AM1" si="5">SUM(AI3:AI672)</f>
        <v>1672</v>
      </c>
      <c r="AJ1" s="33">
        <f t="shared" si="5"/>
        <v>1655</v>
      </c>
      <c r="AK1" s="33">
        <f t="shared" si="5"/>
        <v>14</v>
      </c>
      <c r="AL1" s="33">
        <f t="shared" si="5"/>
        <v>3</v>
      </c>
      <c r="AM1" s="33">
        <f t="shared" si="5"/>
        <v>0</v>
      </c>
      <c r="AN1" s="29"/>
      <c r="AO1" s="34" t="s">
        <v>7</v>
      </c>
      <c r="AP1" s="35">
        <f t="shared" ref="AP1:AT1" si="6">SUM(AP2:AP672)</f>
        <v>1666</v>
      </c>
      <c r="AQ1" s="35">
        <f t="shared" si="6"/>
        <v>1159</v>
      </c>
      <c r="AR1" s="35">
        <f t="shared" si="6"/>
        <v>10</v>
      </c>
      <c r="AS1" s="35">
        <f t="shared" si="6"/>
        <v>2</v>
      </c>
      <c r="AT1" s="35">
        <f t="shared" si="6"/>
        <v>0</v>
      </c>
      <c r="AU1" s="29"/>
    </row>
    <row r="2">
      <c r="A2" s="14" t="s">
        <v>8</v>
      </c>
      <c r="B2" s="36" t="s">
        <v>9</v>
      </c>
      <c r="C2" s="37" t="s">
        <v>10</v>
      </c>
      <c r="D2" s="36" t="s">
        <v>11</v>
      </c>
      <c r="E2" s="14" t="s">
        <v>12</v>
      </c>
      <c r="F2" s="14" t="s">
        <v>13</v>
      </c>
      <c r="G2" s="26"/>
      <c r="H2" s="26" t="s">
        <v>14</v>
      </c>
      <c r="I2" s="38" t="s">
        <v>15</v>
      </c>
      <c r="J2" s="38" t="s">
        <v>16</v>
      </c>
      <c r="K2" s="38" t="s">
        <v>17</v>
      </c>
      <c r="L2" s="38" t="s">
        <v>18</v>
      </c>
      <c r="M2" s="38" t="s">
        <v>19</v>
      </c>
      <c r="N2" s="38" t="s">
        <v>20</v>
      </c>
      <c r="O2" s="32"/>
      <c r="P2" s="32" t="s">
        <v>21</v>
      </c>
      <c r="Q2" s="39"/>
      <c r="R2" s="14" t="s">
        <v>8</v>
      </c>
      <c r="S2" s="14" t="s">
        <v>9</v>
      </c>
      <c r="T2" s="14" t="s">
        <v>22</v>
      </c>
      <c r="U2" s="15" t="s">
        <v>23</v>
      </c>
      <c r="V2" s="5"/>
      <c r="W2" s="5"/>
      <c r="X2" s="40"/>
      <c r="Y2" s="14" t="s">
        <v>24</v>
      </c>
      <c r="Z2" s="14" t="s">
        <v>9</v>
      </c>
      <c r="AA2" s="38" t="str">
        <f>'RFR Data - preExcl'!AK1</f>
        <v>RFR Audit
Num
Run Tubes</v>
      </c>
      <c r="AB2" s="14" t="s">
        <v>25</v>
      </c>
      <c r="AC2" s="5" t="str">
        <f>'RFR Data - preExcl'!AI1</f>
        <v>Audit
Pos Session
Calls</v>
      </c>
      <c r="AD2" s="5" t="str">
        <f>'RFR Data - preExcl'!AF1</f>
        <v>Audit
Inc Session Calls</v>
      </c>
      <c r="AE2" s="41" t="s">
        <v>26</v>
      </c>
      <c r="AF2" s="40"/>
      <c r="AG2" s="14" t="s">
        <v>27</v>
      </c>
      <c r="AH2" s="36" t="s">
        <v>9</v>
      </c>
      <c r="AI2" s="36" t="s">
        <v>10</v>
      </c>
      <c r="AJ2" s="36" t="s">
        <v>11</v>
      </c>
      <c r="AK2" s="14" t="s">
        <v>12</v>
      </c>
      <c r="AL2" s="14" t="s">
        <v>13</v>
      </c>
      <c r="AM2" s="14" t="s">
        <v>28</v>
      </c>
      <c r="AN2" s="40"/>
      <c r="AO2" s="5" t="str">
        <f>'APS Tubes by Date Import'!B1</f>
        <v>APS
COLLECT DATE</v>
      </c>
      <c r="AP2" s="36" t="s">
        <v>10</v>
      </c>
      <c r="AQ2" s="36" t="s">
        <v>11</v>
      </c>
      <c r="AR2" s="14" t="s">
        <v>12</v>
      </c>
      <c r="AS2" s="14" t="s">
        <v>13</v>
      </c>
      <c r="AT2" s="14" t="s">
        <v>28</v>
      </c>
      <c r="AU2" s="40"/>
    </row>
    <row r="3">
      <c r="A3" s="42" t="str">
        <f t="array" ref="A3:A83">SORT(UNIQUE('ALL Tube Results'!B2:B672))</f>
        <v>RUN-COMB_2022-03-20_RFR-001</v>
      </c>
      <c r="B3" s="43">
        <f>VLOOKUP(A3,'Run Reconcile'!A$2:B672,2,FALSE)</f>
        <v>44640</v>
      </c>
      <c r="C3" s="44">
        <f>COUNTIF('ALL Tube Results'!B2:B672, A3)
</f>
        <v>18</v>
      </c>
      <c r="D3" s="45">
        <f>COUNTIFS('ALL Tube Results'!$B2:$B672, $A3, 'ALL Tube Results'!$F2:$F672, "Negative")
</f>
        <v>18</v>
      </c>
      <c r="E3" s="45">
        <f>COUNTIFS('ALL Tube Results'!$B2:$B672, $A3, 'ALL Tube Results'!$F2:$F672, "Positive")
</f>
        <v>0</v>
      </c>
      <c r="F3" s="45">
        <f>COUNTIFS('ALL Tube Results'!$B2:$B672, $A3, 'ALL Tube Results'!$F2:$F672, "Inconclusive")
</f>
        <v>0</v>
      </c>
      <c r="G3" s="46">
        <f t="shared" ref="G3:G82" si="7">IFERROR(VLOOKUP($A3,R$3:T672,3,FALSE),IFERROR(0/0,"")  )</f>
        <v>18</v>
      </c>
      <c r="H3" s="46" t="str">
        <f t="shared" ref="H3:H82" si="8">IF($C3=G3,IFERROR(0/0,""),$C3-G3)</f>
        <v/>
      </c>
      <c r="I3" s="47">
        <f t="shared" ref="I3:I82" si="9">IFERROR(VLOOKUP($A3,Y$3:AA672,3,FALSE),IFERROR(0/0,"")  )</f>
        <v>18</v>
      </c>
      <c r="J3" s="47">
        <f t="shared" ref="J3:J82" si="10">IFERROR(VLOOKUP($A3,Y$3:AD672,5,FALSE),IFERROR(0/0,"")  )</f>
        <v>0</v>
      </c>
      <c r="K3" s="47">
        <f t="shared" ref="K3:K82" si="11">IFERROR(VLOOKUP($A3,Y$3:AD672,6,FALSE),IFERROR(0/0,""))</f>
        <v>0</v>
      </c>
      <c r="L3" s="47" t="str">
        <f t="shared" ref="L3:L82" si="12">IF($C3=I3,IFERROR(0/0,""),$C3-I3)</f>
        <v/>
      </c>
      <c r="M3" s="47" t="str">
        <f t="shared" ref="M3:M82" si="13">IF($E3=J3,IFERROR(0/0,""),$E3-J3)</f>
        <v/>
      </c>
      <c r="N3" s="47" t="str">
        <f t="shared" ref="N3:N82" si="14">IF($F3=K3,IFERROR(0/0,""),$F3-K3)</f>
        <v/>
      </c>
      <c r="O3" s="48">
        <f t="shared" ref="O3:O82" si="15">IFERROR(VLOOKUP($A3,AG$3:AI672,3,FALSE),IFERROR(0/0,"")  )</f>
        <v>18</v>
      </c>
      <c r="P3" s="48" t="str">
        <f t="shared" ref="P3:P82" si="16">IF($C3=O3,IFERROR(0/0,""),$C3-O3)</f>
        <v/>
      </c>
      <c r="Q3" s="40"/>
      <c r="R3" s="49" t="str">
        <f t="array" ref="R3:S180">SORT('Run Reconcile'!A2:B672,1,TRUE)</f>
        <v>RUN-COMB_2022-03-20_RFR-001</v>
      </c>
      <c r="S3" s="11">
        <v>44640.0</v>
      </c>
      <c r="T3" s="50">
        <f>VLOOKUP(R3,'Run Reconcile'!$A$2:$M672,13,FALSE)</f>
        <v>18</v>
      </c>
      <c r="U3" s="51" t="str">
        <f t="shared" ref="U3:U82" si="17">IF(EXACT(A2,R2),IFERROR(0/0,""),FALSE)</f>
        <v/>
      </c>
      <c r="V3" s="50"/>
      <c r="W3" s="50"/>
      <c r="X3" s="40"/>
      <c r="Y3" s="49" t="str">
        <f>IFERROR(__xludf.DUMMYFUNCTION("SORT(FILTER('Run Reconcile'!A2:B672,'Run Reconcile'!A2:A672&lt;&gt;""*"",REGEXMATCH('Run Reconcile'!A2:A672,""RFR-"")),1,TRUE)
"),"RUN-COMB_2022-03-20_RFR-001")</f>
        <v>RUN-COMB_2022-03-20_RFR-001</v>
      </c>
      <c r="Z3" s="11">
        <f>IFERROR(__xludf.DUMMYFUNCTION("""COMPUTED_VALUE"""),44640.0)</f>
        <v>44640</v>
      </c>
      <c r="AA3" s="47">
        <f t="array" ref="AA3">INDEX('RFR Data - preExcl'!AK$2:AK672,$AE3,1)</f>
        <v>18</v>
      </c>
      <c r="AB3" s="50">
        <f t="shared" ref="AB3:AB78" si="18">AA3-AC3-AD3</f>
        <v>18</v>
      </c>
      <c r="AC3" s="50">
        <f t="array" ref="AC3">INDEX('RFR Data - preExcl'!AI$2:AI672,$AE3,1)</f>
        <v>0</v>
      </c>
      <c r="AD3" s="50">
        <f t="array" ref="AD3">INDEX('RFR Data - preExcl'!AF$2:AF672,$AE3,1)</f>
        <v>0</v>
      </c>
      <c r="AE3" s="52">
        <f>IFNA(MATCH(Y3,'RFR Data - preExcl'!A$2:A672,0),"")</f>
        <v>1</v>
      </c>
      <c r="AF3" s="40"/>
      <c r="AG3" s="53" t="str">
        <f t="array" ref="AG3:AG77">SORT(UNIQUE('APS Tubes Import'!V2:V672))</f>
        <v>RUN-COMB_2022-03-20_RFR-001</v>
      </c>
      <c r="AH3" s="54">
        <f>VLOOKUP(AG3,'Run Reconcile'!A$2:B672,2,FALSE)</f>
        <v>44640</v>
      </c>
      <c r="AI3" s="55">
        <f>COUNTIF('APS Tubes Import'!$V$2:$V672, AG3)
</f>
        <v>18</v>
      </c>
      <c r="AJ3" s="55">
        <f>COUNTIFS('APS Tubes Import'!V$2:V672, AG3, 'APS Tubes Import'!H$2:H672, "Negative")
</f>
        <v>18</v>
      </c>
      <c r="AK3" s="55">
        <f>COUNTIFS('APS Tubes Import'!V$2:V672, AG3, 'APS Tubes Import'!H$2:H672, "Positive")
</f>
        <v>0</v>
      </c>
      <c r="AL3" s="55">
        <f>COUNTIFS('APS Tubes Import'!V$2:V672, AG3, 'APS Tubes Import'!H$2:H672, "Inconclusive")
</f>
        <v>0</v>
      </c>
      <c r="AM3" s="55">
        <f>COUNTIFS('APS Tubes Import'!V$2:V672, AG3, 'APS Tubes Import'!H$2:H672, "Null")
</f>
        <v>0</v>
      </c>
      <c r="AN3" s="40"/>
      <c r="AO3" s="11">
        <f>'APS Tubes by Date Import'!B2</f>
        <v>44640</v>
      </c>
      <c r="AP3" s="50">
        <f>'APS Tubes by Date Import'!C2</f>
        <v>18</v>
      </c>
      <c r="AQ3" s="50">
        <f>'APS Tubes by Date Import'!D2</f>
        <v>18</v>
      </c>
      <c r="AR3" s="50">
        <f>'APS Tubes by Date Import'!E2</f>
        <v>0</v>
      </c>
      <c r="AS3" s="50">
        <f>'APS Tubes by Date Import'!F2</f>
        <v>0</v>
      </c>
      <c r="AT3" s="50">
        <f>'APS Tubes by Date Import'!G2</f>
        <v>0</v>
      </c>
      <c r="AU3" s="40"/>
    </row>
    <row r="4">
      <c r="A4" s="6" t="s">
        <v>29</v>
      </c>
      <c r="B4" s="43">
        <f>VLOOKUP(A4,'Run Reconcile'!A$2:B672,2,FALSE)</f>
        <v>44641</v>
      </c>
      <c r="C4" s="44">
        <f>COUNTIF('ALL Tube Results'!B3:B672, A4)
</f>
        <v>27</v>
      </c>
      <c r="D4" s="45">
        <f>COUNTIFS('ALL Tube Results'!$B3:$B672, $A4, 'ALL Tube Results'!$F3:$F672, "Negative")
</f>
        <v>26</v>
      </c>
      <c r="E4" s="45">
        <f>COUNTIFS('ALL Tube Results'!$B3:$B672, $A4, 'ALL Tube Results'!$F3:$F672, "Positive")
</f>
        <v>1</v>
      </c>
      <c r="F4" s="45">
        <f>COUNTIFS('ALL Tube Results'!$B3:$B672, $A4, 'ALL Tube Results'!$F3:$F672, "Inconclusive")
</f>
        <v>0</v>
      </c>
      <c r="G4" s="46">
        <f t="shared" si="7"/>
        <v>27</v>
      </c>
      <c r="H4" s="46" t="str">
        <f t="shared" si="8"/>
        <v/>
      </c>
      <c r="I4" s="47">
        <f t="shared" si="9"/>
        <v>27</v>
      </c>
      <c r="J4" s="47">
        <f t="shared" si="10"/>
        <v>1</v>
      </c>
      <c r="K4" s="47">
        <f t="shared" si="11"/>
        <v>0</v>
      </c>
      <c r="L4" s="47" t="str">
        <f t="shared" si="12"/>
        <v/>
      </c>
      <c r="M4" s="47" t="str">
        <f t="shared" si="13"/>
        <v/>
      </c>
      <c r="N4" s="47" t="str">
        <f t="shared" si="14"/>
        <v/>
      </c>
      <c r="O4" s="48">
        <f t="shared" si="15"/>
        <v>26</v>
      </c>
      <c r="P4" s="48">
        <f t="shared" si="16"/>
        <v>1</v>
      </c>
      <c r="Q4" s="40"/>
      <c r="R4" s="6" t="s">
        <v>29</v>
      </c>
      <c r="S4" s="11">
        <v>44641.0</v>
      </c>
      <c r="T4" s="50">
        <f>VLOOKUP(R4,'Run Reconcile'!$A$2:$M672,13,FALSE)</f>
        <v>27</v>
      </c>
      <c r="U4" s="51" t="str">
        <f t="shared" si="17"/>
        <v/>
      </c>
      <c r="V4" s="50"/>
      <c r="W4" s="50"/>
      <c r="X4" s="40"/>
      <c r="Y4" s="6" t="str">
        <f>IFERROR(__xludf.DUMMYFUNCTION("""COMPUTED_VALUE"""),"RUN-COMB_2022-03-21_RFR-002")</f>
        <v>RUN-COMB_2022-03-21_RFR-002</v>
      </c>
      <c r="Z4" s="11">
        <f>IFERROR(__xludf.DUMMYFUNCTION("""COMPUTED_VALUE"""),44641.0)</f>
        <v>44641</v>
      </c>
      <c r="AA4" s="47">
        <f t="array" ref="AA4">INDEX('RFR Data - preExcl'!AK$2:AK672,$AE4,1)</f>
        <v>27</v>
      </c>
      <c r="AB4" s="50">
        <f t="shared" si="18"/>
        <v>26</v>
      </c>
      <c r="AC4" s="50">
        <f t="array" ref="AC4">INDEX('RFR Data - preExcl'!AI$2:AI672,$AE4,1)</f>
        <v>1</v>
      </c>
      <c r="AD4" s="50">
        <f t="array" ref="AD4">INDEX('RFR Data - preExcl'!AF$2:AF672,$AE4,1)</f>
        <v>0</v>
      </c>
      <c r="AE4" s="52">
        <f>IFNA(MATCH(Y4,'RFR Data - preExcl'!A$2:A672,0),"")</f>
        <v>2</v>
      </c>
      <c r="AF4" s="40"/>
      <c r="AG4" s="56" t="s">
        <v>29</v>
      </c>
      <c r="AH4" s="54">
        <f>VLOOKUP(AG4,'Run Reconcile'!A$2:B672,2,FALSE)</f>
        <v>44641</v>
      </c>
      <c r="AI4" s="55">
        <f>COUNTIF('APS Tubes Import'!$V$2:$V672, AG4)
</f>
        <v>26</v>
      </c>
      <c r="AJ4" s="55">
        <f>COUNTIFS('APS Tubes Import'!V$2:V672, AG4, 'APS Tubes Import'!H$2:H672, "Negative")
</f>
        <v>25</v>
      </c>
      <c r="AK4" s="55">
        <f>COUNTIFS('APS Tubes Import'!V$2:V672, AG4, 'APS Tubes Import'!H$2:H672, "Positive")
</f>
        <v>1</v>
      </c>
      <c r="AL4" s="55">
        <f>COUNTIFS('APS Tubes Import'!V$2:V672, AG4, 'APS Tubes Import'!H$2:H672, "Inconclusive")
</f>
        <v>0</v>
      </c>
      <c r="AM4" s="55">
        <f>COUNTIFS('APS Tubes Import'!V$2:V672, AG4, 'APS Tubes Import'!H$2:H672, "Null")
</f>
        <v>0</v>
      </c>
      <c r="AN4" s="40"/>
      <c r="AO4" s="11">
        <f>'APS Tubes by Date Import'!B3</f>
        <v>44641</v>
      </c>
      <c r="AP4" s="50">
        <f>'APS Tubes by Date Import'!C3</f>
        <v>26</v>
      </c>
      <c r="AQ4" s="50">
        <f>'APS Tubes by Date Import'!D3</f>
        <v>25</v>
      </c>
      <c r="AR4" s="50">
        <f>'APS Tubes by Date Import'!E3</f>
        <v>1</v>
      </c>
      <c r="AS4" s="50">
        <f>'APS Tubes by Date Import'!F3</f>
        <v>0</v>
      </c>
      <c r="AT4" s="50">
        <f>'APS Tubes by Date Import'!G3</f>
        <v>0</v>
      </c>
      <c r="AU4" s="40"/>
    </row>
    <row r="5">
      <c r="A5" s="6" t="s">
        <v>30</v>
      </c>
      <c r="B5" s="43">
        <f>VLOOKUP(A5,'Run Reconcile'!A$2:B672,2,FALSE)</f>
        <v>44642</v>
      </c>
      <c r="C5" s="44">
        <f>COUNTIF('ALL Tube Results'!B4:B672, A5)
</f>
        <v>18</v>
      </c>
      <c r="D5" s="45">
        <f>COUNTIFS('ALL Tube Results'!$B4:$B672, $A5, 'ALL Tube Results'!$F4:$F672, "Negative")
</f>
        <v>18</v>
      </c>
      <c r="E5" s="45">
        <f>COUNTIFS('ALL Tube Results'!$B4:$B672, $A5, 'ALL Tube Results'!$F4:$F672, "Positive")
</f>
        <v>0</v>
      </c>
      <c r="F5" s="45">
        <f>COUNTIFS('ALL Tube Results'!$B4:$B672, $A5, 'ALL Tube Results'!$F4:$F672, "Inconclusive")
</f>
        <v>0</v>
      </c>
      <c r="G5" s="46">
        <f t="shared" si="7"/>
        <v>18</v>
      </c>
      <c r="H5" s="46" t="str">
        <f t="shared" si="8"/>
        <v/>
      </c>
      <c r="I5" s="47">
        <f t="shared" si="9"/>
        <v>18</v>
      </c>
      <c r="J5" s="47">
        <f t="shared" si="10"/>
        <v>0</v>
      </c>
      <c r="K5" s="47">
        <f t="shared" si="11"/>
        <v>0</v>
      </c>
      <c r="L5" s="47" t="str">
        <f t="shared" si="12"/>
        <v/>
      </c>
      <c r="M5" s="47" t="str">
        <f t="shared" si="13"/>
        <v/>
      </c>
      <c r="N5" s="47" t="str">
        <f t="shared" si="14"/>
        <v/>
      </c>
      <c r="O5" s="48">
        <f t="shared" si="15"/>
        <v>18</v>
      </c>
      <c r="P5" s="48" t="str">
        <f t="shared" si="16"/>
        <v/>
      </c>
      <c r="Q5" s="40"/>
      <c r="R5" s="6" t="s">
        <v>30</v>
      </c>
      <c r="S5" s="11">
        <v>44642.0</v>
      </c>
      <c r="T5" s="50">
        <f>VLOOKUP(R5,'Run Reconcile'!$A$2:$M672,13,FALSE)</f>
        <v>18</v>
      </c>
      <c r="U5" s="51" t="str">
        <f t="shared" si="17"/>
        <v/>
      </c>
      <c r="V5" s="50"/>
      <c r="W5" s="50"/>
      <c r="X5" s="40"/>
      <c r="Y5" s="6" t="str">
        <f>IFERROR(__xludf.DUMMYFUNCTION("""COMPUTED_VALUE"""),"RUN-COMB_2022-03-22_RFR-004")</f>
        <v>RUN-COMB_2022-03-22_RFR-004</v>
      </c>
      <c r="Z5" s="11">
        <f>IFERROR(__xludf.DUMMYFUNCTION("""COMPUTED_VALUE"""),44642.0)</f>
        <v>44642</v>
      </c>
      <c r="AA5" s="47">
        <f t="array" ref="AA5">INDEX('RFR Data - preExcl'!AK$2:AK672,$AE5,1)</f>
        <v>18</v>
      </c>
      <c r="AB5" s="50">
        <f t="shared" si="18"/>
        <v>18</v>
      </c>
      <c r="AC5" s="50">
        <f t="array" ref="AC5">INDEX('RFR Data - preExcl'!AI$2:AI672,$AE5,1)</f>
        <v>0</v>
      </c>
      <c r="AD5" s="50">
        <f t="array" ref="AD5">INDEX('RFR Data - preExcl'!AF$2:AF672,$AE5,1)</f>
        <v>0</v>
      </c>
      <c r="AE5" s="52">
        <f>IFNA(MATCH(Y5,'RFR Data - preExcl'!A$2:A672,0),"")</f>
        <v>4</v>
      </c>
      <c r="AF5" s="40"/>
      <c r="AG5" s="56" t="s">
        <v>30</v>
      </c>
      <c r="AH5" s="54">
        <f>VLOOKUP(AG5,'Run Reconcile'!A$2:B672,2,FALSE)</f>
        <v>44642</v>
      </c>
      <c r="AI5" s="55">
        <f>COUNTIF('APS Tubes Import'!$V$2:$V672, AG5)
</f>
        <v>18</v>
      </c>
      <c r="AJ5" s="55">
        <f>COUNTIFS('APS Tubes Import'!V$2:V672, AG5, 'APS Tubes Import'!H$2:H672, "Negative")
</f>
        <v>18</v>
      </c>
      <c r="AK5" s="55">
        <f>COUNTIFS('APS Tubes Import'!V$2:V672, AG5, 'APS Tubes Import'!H$2:H672, "Positive")
</f>
        <v>0</v>
      </c>
      <c r="AL5" s="55">
        <f>COUNTIFS('APS Tubes Import'!V$2:V672, AG5, 'APS Tubes Import'!H$2:H672, "Inconclusive")
</f>
        <v>0</v>
      </c>
      <c r="AM5" s="55">
        <f>COUNTIFS('APS Tubes Import'!V$2:V672, AG5, 'APS Tubes Import'!H$2:H672, "Null")
</f>
        <v>0</v>
      </c>
      <c r="AN5" s="40"/>
      <c r="AO5" s="11">
        <f>'APS Tubes by Date Import'!B4</f>
        <v>44642</v>
      </c>
      <c r="AP5" s="50">
        <f>'APS Tubes by Date Import'!C4</f>
        <v>18</v>
      </c>
      <c r="AQ5" s="50">
        <f>'APS Tubes by Date Import'!D4</f>
        <v>18</v>
      </c>
      <c r="AR5" s="50">
        <f>'APS Tubes by Date Import'!E4</f>
        <v>0</v>
      </c>
      <c r="AS5" s="50">
        <f>'APS Tubes by Date Import'!F4</f>
        <v>0</v>
      </c>
      <c r="AT5" s="50">
        <f>'APS Tubes by Date Import'!G4</f>
        <v>0</v>
      </c>
      <c r="AU5" s="40"/>
    </row>
    <row r="6">
      <c r="A6" s="6" t="s">
        <v>31</v>
      </c>
      <c r="B6" s="43">
        <f>VLOOKUP(A6,'Run Reconcile'!A$2:B672,2,FALSE)</f>
        <v>44643</v>
      </c>
      <c r="C6" s="44">
        <f>COUNTIF('ALL Tube Results'!B5:B672, A6)
</f>
        <v>32</v>
      </c>
      <c r="D6" s="45">
        <f>COUNTIFS('ALL Tube Results'!$B5:$B672, $A6, 'ALL Tube Results'!$F5:$F672, "Negative")
</f>
        <v>32</v>
      </c>
      <c r="E6" s="45">
        <f>COUNTIFS('ALL Tube Results'!$B5:$B672, $A6, 'ALL Tube Results'!$F5:$F672, "Positive")
</f>
        <v>0</v>
      </c>
      <c r="F6" s="45">
        <f>COUNTIFS('ALL Tube Results'!$B5:$B672, $A6, 'ALL Tube Results'!$F5:$F672, "Inconclusive")
</f>
        <v>0</v>
      </c>
      <c r="G6" s="46">
        <f t="shared" si="7"/>
        <v>32</v>
      </c>
      <c r="H6" s="46" t="str">
        <f t="shared" si="8"/>
        <v/>
      </c>
      <c r="I6" s="47">
        <f t="shared" si="9"/>
        <v>32</v>
      </c>
      <c r="J6" s="47">
        <f t="shared" si="10"/>
        <v>0</v>
      </c>
      <c r="K6" s="47">
        <f t="shared" si="11"/>
        <v>0</v>
      </c>
      <c r="L6" s="47" t="str">
        <f t="shared" si="12"/>
        <v/>
      </c>
      <c r="M6" s="47" t="str">
        <f t="shared" si="13"/>
        <v/>
      </c>
      <c r="N6" s="47" t="str">
        <f t="shared" si="14"/>
        <v/>
      </c>
      <c r="O6" s="48">
        <f t="shared" si="15"/>
        <v>32</v>
      </c>
      <c r="P6" s="48" t="str">
        <f t="shared" si="16"/>
        <v/>
      </c>
      <c r="Q6" s="40"/>
      <c r="R6" s="6" t="s">
        <v>31</v>
      </c>
      <c r="S6" s="11">
        <v>44643.0</v>
      </c>
      <c r="T6" s="50">
        <f>VLOOKUP(R6,'Run Reconcile'!$A$2:$M672,13,FALSE)</f>
        <v>32</v>
      </c>
      <c r="U6" s="51" t="str">
        <f t="shared" si="17"/>
        <v/>
      </c>
      <c r="V6" s="50"/>
      <c r="W6" s="50"/>
      <c r="X6" s="40"/>
      <c r="Y6" s="6" t="str">
        <f>IFERROR(__xludf.DUMMYFUNCTION("""COMPUTED_VALUE"""),"RUN-COMB_2022-03-23_RFR-006")</f>
        <v>RUN-COMB_2022-03-23_RFR-006</v>
      </c>
      <c r="Z6" s="11">
        <f>IFERROR(__xludf.DUMMYFUNCTION("""COMPUTED_VALUE"""),44643.0)</f>
        <v>44643</v>
      </c>
      <c r="AA6" s="47">
        <f t="array" ref="AA6">INDEX('RFR Data - preExcl'!AK$2:AK672,$AE6,1)</f>
        <v>32</v>
      </c>
      <c r="AB6" s="50">
        <f t="shared" si="18"/>
        <v>32</v>
      </c>
      <c r="AC6" s="50">
        <f t="array" ref="AC6">INDEX('RFR Data - preExcl'!AI$2:AI672,$AE6,1)</f>
        <v>0</v>
      </c>
      <c r="AD6" s="50">
        <f t="array" ref="AD6">INDEX('RFR Data - preExcl'!AF$2:AF672,$AE6,1)</f>
        <v>0</v>
      </c>
      <c r="AE6" s="52">
        <f>IFNA(MATCH(Y6,'RFR Data - preExcl'!A$2:A672,0),"")</f>
        <v>6</v>
      </c>
      <c r="AF6" s="40"/>
      <c r="AG6" s="56" t="s">
        <v>31</v>
      </c>
      <c r="AH6" s="54">
        <f>VLOOKUP(AG6,'Run Reconcile'!A$2:B672,2,FALSE)</f>
        <v>44643</v>
      </c>
      <c r="AI6" s="55">
        <f>COUNTIF('APS Tubes Import'!$V$2:$V672, AG6)
</f>
        <v>32</v>
      </c>
      <c r="AJ6" s="55">
        <f>COUNTIFS('APS Tubes Import'!V$2:V672, AG6, 'APS Tubes Import'!H$2:H672, "Negative")
</f>
        <v>32</v>
      </c>
      <c r="AK6" s="55">
        <f>COUNTIFS('APS Tubes Import'!V$2:V672, AG6, 'APS Tubes Import'!H$2:H672, "Positive")
</f>
        <v>0</v>
      </c>
      <c r="AL6" s="55">
        <f>COUNTIFS('APS Tubes Import'!V$2:V672, AG6, 'APS Tubes Import'!H$2:H672, "Inconclusive")
</f>
        <v>0</v>
      </c>
      <c r="AM6" s="55">
        <f>COUNTIFS('APS Tubes Import'!V$2:V672, AG6, 'APS Tubes Import'!H$2:H672, "Null")
</f>
        <v>0</v>
      </c>
      <c r="AN6" s="40"/>
      <c r="AO6" s="11">
        <f>'APS Tubes by Date Import'!B5</f>
        <v>44643</v>
      </c>
      <c r="AP6" s="50">
        <f>'APS Tubes by Date Import'!C5</f>
        <v>32</v>
      </c>
      <c r="AQ6" s="50">
        <f>'APS Tubes by Date Import'!D5</f>
        <v>32</v>
      </c>
      <c r="AR6" s="50">
        <f>'APS Tubes by Date Import'!E5</f>
        <v>0</v>
      </c>
      <c r="AS6" s="50">
        <f>'APS Tubes by Date Import'!F5</f>
        <v>0</v>
      </c>
      <c r="AT6" s="50">
        <f>'APS Tubes by Date Import'!G5</f>
        <v>0</v>
      </c>
      <c r="AU6" s="40"/>
    </row>
    <row r="7">
      <c r="A7" s="6" t="s">
        <v>32</v>
      </c>
      <c r="B7" s="43">
        <f>VLOOKUP(A7,'Run Reconcile'!A$2:B672,2,FALSE)</f>
        <v>44644</v>
      </c>
      <c r="C7" s="44">
        <f>COUNTIF('ALL Tube Results'!B6:B672, A7)
</f>
        <v>23</v>
      </c>
      <c r="D7" s="45">
        <f>COUNTIFS('ALL Tube Results'!$B6:$B672, $A7, 'ALL Tube Results'!$F6:$F672, "Negative")
</f>
        <v>23</v>
      </c>
      <c r="E7" s="45">
        <f>COUNTIFS('ALL Tube Results'!$B6:$B672, $A7, 'ALL Tube Results'!$F6:$F672, "Positive")
</f>
        <v>0</v>
      </c>
      <c r="F7" s="45">
        <f>COUNTIFS('ALL Tube Results'!$B6:$B672, $A7, 'ALL Tube Results'!$F6:$F672, "Inconclusive")
</f>
        <v>0</v>
      </c>
      <c r="G7" s="46">
        <f t="shared" si="7"/>
        <v>23</v>
      </c>
      <c r="H7" s="46" t="str">
        <f t="shared" si="8"/>
        <v/>
      </c>
      <c r="I7" s="47">
        <f t="shared" si="9"/>
        <v>23</v>
      </c>
      <c r="J7" s="47">
        <f t="shared" si="10"/>
        <v>0</v>
      </c>
      <c r="K7" s="47">
        <f t="shared" si="11"/>
        <v>0</v>
      </c>
      <c r="L7" s="47" t="str">
        <f t="shared" si="12"/>
        <v/>
      </c>
      <c r="M7" s="47" t="str">
        <f t="shared" si="13"/>
        <v/>
      </c>
      <c r="N7" s="47" t="str">
        <f t="shared" si="14"/>
        <v/>
      </c>
      <c r="O7" s="48">
        <f t="shared" si="15"/>
        <v>23</v>
      </c>
      <c r="P7" s="48" t="str">
        <f t="shared" si="16"/>
        <v/>
      </c>
      <c r="Q7" s="40"/>
      <c r="R7" s="6" t="s">
        <v>32</v>
      </c>
      <c r="S7" s="11">
        <v>44644.0</v>
      </c>
      <c r="T7" s="50">
        <f>VLOOKUP(R7,'Run Reconcile'!$A$2:$M672,13,FALSE)</f>
        <v>23</v>
      </c>
      <c r="U7" s="51" t="str">
        <f t="shared" si="17"/>
        <v/>
      </c>
      <c r="V7" s="50"/>
      <c r="W7" s="50"/>
      <c r="X7" s="40"/>
      <c r="Y7" s="6" t="str">
        <f>IFERROR(__xludf.DUMMYFUNCTION("""COMPUTED_VALUE"""),"RUN-COMB_2022-03-24_RFR-007")</f>
        <v>RUN-COMB_2022-03-24_RFR-007</v>
      </c>
      <c r="Z7" s="11">
        <f>IFERROR(__xludf.DUMMYFUNCTION("""COMPUTED_VALUE"""),44644.0)</f>
        <v>44644</v>
      </c>
      <c r="AA7" s="47">
        <f t="array" ref="AA7">INDEX('RFR Data - preExcl'!AK$2:AK672,$AE7,1)</f>
        <v>23</v>
      </c>
      <c r="AB7" s="50">
        <f t="shared" si="18"/>
        <v>23</v>
      </c>
      <c r="AC7" s="50">
        <f t="array" ref="AC7">INDEX('RFR Data - preExcl'!AI$2:AI672,$AE7,1)</f>
        <v>0</v>
      </c>
      <c r="AD7" s="50">
        <f t="array" ref="AD7">INDEX('RFR Data - preExcl'!AF$2:AF672,$AE7,1)</f>
        <v>0</v>
      </c>
      <c r="AE7" s="52">
        <f>IFNA(MATCH(Y7,'RFR Data - preExcl'!A$2:A672,0),"")</f>
        <v>7</v>
      </c>
      <c r="AF7" s="40"/>
      <c r="AG7" s="56" t="s">
        <v>32</v>
      </c>
      <c r="AH7" s="54">
        <f>VLOOKUP(AG7,'Run Reconcile'!A$2:B672,2,FALSE)</f>
        <v>44644</v>
      </c>
      <c r="AI7" s="55">
        <f>COUNTIF('APS Tubes Import'!$V$2:$V672, AG7)
</f>
        <v>23</v>
      </c>
      <c r="AJ7" s="55">
        <f>COUNTIFS('APS Tubes Import'!V$2:V672, AG7, 'APS Tubes Import'!H$2:H672, "Negative")
</f>
        <v>23</v>
      </c>
      <c r="AK7" s="55">
        <f>COUNTIFS('APS Tubes Import'!V$2:V672, AG7, 'APS Tubes Import'!H$2:H672, "Positive")
</f>
        <v>0</v>
      </c>
      <c r="AL7" s="55">
        <f>COUNTIFS('APS Tubes Import'!V$2:V672, AG7, 'APS Tubes Import'!H$2:H672, "Inconclusive")
</f>
        <v>0</v>
      </c>
      <c r="AM7" s="55">
        <f>COUNTIFS('APS Tubes Import'!V$2:V672, AG7, 'APS Tubes Import'!H$2:H672, "Null")
</f>
        <v>0</v>
      </c>
      <c r="AN7" s="40"/>
      <c r="AO7" s="11">
        <f>'APS Tubes by Date Import'!B6</f>
        <v>44644</v>
      </c>
      <c r="AP7" s="50">
        <f>'APS Tubes by Date Import'!C6</f>
        <v>23</v>
      </c>
      <c r="AQ7" s="50">
        <f>'APS Tubes by Date Import'!D6</f>
        <v>23</v>
      </c>
      <c r="AR7" s="50">
        <f>'APS Tubes by Date Import'!E6</f>
        <v>0</v>
      </c>
      <c r="AS7" s="50">
        <f>'APS Tubes by Date Import'!F6</f>
        <v>0</v>
      </c>
      <c r="AT7" s="50">
        <f>'APS Tubes by Date Import'!G6</f>
        <v>0</v>
      </c>
      <c r="AU7" s="40"/>
    </row>
    <row r="8">
      <c r="A8" s="6" t="s">
        <v>33</v>
      </c>
      <c r="B8" s="43">
        <f>VLOOKUP(A8,'Run Reconcile'!A$2:B672,2,FALSE)</f>
        <v>44653</v>
      </c>
      <c r="C8" s="44">
        <f>COUNTIF('ALL Tube Results'!B7:B672, A8)
</f>
        <v>2</v>
      </c>
      <c r="D8" s="45">
        <f>COUNTIFS('ALL Tube Results'!$B7:$B672, $A8, 'ALL Tube Results'!$F7:$F672, "Negative")
</f>
        <v>2</v>
      </c>
      <c r="E8" s="45">
        <f>COUNTIFS('ALL Tube Results'!$B7:$B672, $A8, 'ALL Tube Results'!$F7:$F672, "Positive")
</f>
        <v>0</v>
      </c>
      <c r="F8" s="45">
        <f>COUNTIFS('ALL Tube Results'!$B7:$B672, $A8, 'ALL Tube Results'!$F7:$F672, "Inconclusive")
</f>
        <v>0</v>
      </c>
      <c r="G8" s="46">
        <f t="shared" si="7"/>
        <v>2</v>
      </c>
      <c r="H8" s="46" t="str">
        <f t="shared" si="8"/>
        <v/>
      </c>
      <c r="I8" s="47">
        <f t="shared" si="9"/>
        <v>6</v>
      </c>
      <c r="J8" s="47">
        <f t="shared" si="10"/>
        <v>0</v>
      </c>
      <c r="K8" s="47">
        <f t="shared" si="11"/>
        <v>0</v>
      </c>
      <c r="L8" s="47">
        <f t="shared" si="12"/>
        <v>-4</v>
      </c>
      <c r="M8" s="47" t="str">
        <f t="shared" si="13"/>
        <v/>
      </c>
      <c r="N8" s="47" t="str">
        <f t="shared" si="14"/>
        <v/>
      </c>
      <c r="O8" s="48">
        <f t="shared" si="15"/>
        <v>2</v>
      </c>
      <c r="P8" s="48" t="str">
        <f t="shared" si="16"/>
        <v/>
      </c>
      <c r="Q8" s="40"/>
      <c r="R8" s="6" t="s">
        <v>33</v>
      </c>
      <c r="S8" s="11">
        <v>44653.0</v>
      </c>
      <c r="T8" s="50">
        <f>VLOOKUP(R8,'Run Reconcile'!$A$2:$M672,13,FALSE)</f>
        <v>2</v>
      </c>
      <c r="U8" s="51" t="str">
        <f t="shared" si="17"/>
        <v/>
      </c>
      <c r="V8" s="50"/>
      <c r="W8" s="50"/>
      <c r="X8" s="40"/>
      <c r="Y8" s="6" t="str">
        <f>IFERROR(__xludf.DUMMYFUNCTION("""COMPUTED_VALUE"""),"RUN-COMB_2022-04-02_RFR-008")</f>
        <v>RUN-COMB_2022-04-02_RFR-008</v>
      </c>
      <c r="Z8" s="11">
        <f>IFERROR(__xludf.DUMMYFUNCTION("""COMPUTED_VALUE"""),44653.0)</f>
        <v>44653</v>
      </c>
      <c r="AA8" s="47">
        <f t="array" ref="AA8">INDEX('RFR Data - preExcl'!AK$2:AK672,$AE8,1)</f>
        <v>6</v>
      </c>
      <c r="AB8" s="50">
        <f t="shared" si="18"/>
        <v>6</v>
      </c>
      <c r="AC8" s="50">
        <f t="array" ref="AC8">INDEX('RFR Data - preExcl'!AI$2:AI672,$AE8,1)</f>
        <v>0</v>
      </c>
      <c r="AD8" s="50">
        <f t="array" ref="AD8">INDEX('RFR Data - preExcl'!AF$2:AF672,$AE8,1)</f>
        <v>0</v>
      </c>
      <c r="AE8" s="52">
        <f>IFNA(MATCH(Y8,'RFR Data - preExcl'!A$2:A672,0),"")</f>
        <v>8</v>
      </c>
      <c r="AF8" s="40"/>
      <c r="AG8" s="56" t="s">
        <v>33</v>
      </c>
      <c r="AH8" s="54">
        <f>VLOOKUP(AG8,'Run Reconcile'!A$2:B672,2,FALSE)</f>
        <v>44653</v>
      </c>
      <c r="AI8" s="55">
        <f>COUNTIF('APS Tubes Import'!$V$2:$V672, AG8)
</f>
        <v>2</v>
      </c>
      <c r="AJ8" s="55">
        <f>COUNTIFS('APS Tubes Import'!V$2:V672, AG8, 'APS Tubes Import'!H$2:H672, "Negative")
</f>
        <v>2</v>
      </c>
      <c r="AK8" s="55">
        <f>COUNTIFS('APS Tubes Import'!V$2:V672, AG8, 'APS Tubes Import'!H$2:H672, "Positive")
</f>
        <v>0</v>
      </c>
      <c r="AL8" s="55">
        <f>COUNTIFS('APS Tubes Import'!V$2:V672, AG8, 'APS Tubes Import'!H$2:H672, "Inconclusive")
</f>
        <v>0</v>
      </c>
      <c r="AM8" s="55">
        <f>COUNTIFS('APS Tubes Import'!V$2:V672, AG8, 'APS Tubes Import'!H$2:H672, "Null")
</f>
        <v>0</v>
      </c>
      <c r="AN8" s="40"/>
      <c r="AO8" s="11">
        <f>'APS Tubes by Date Import'!B7</f>
        <v>44653</v>
      </c>
      <c r="AP8" s="50">
        <f>'APS Tubes by Date Import'!C7</f>
        <v>2</v>
      </c>
      <c r="AQ8" s="50">
        <f>'APS Tubes by Date Import'!D7</f>
        <v>2</v>
      </c>
      <c r="AR8" s="50">
        <f>'APS Tubes by Date Import'!E7</f>
        <v>0</v>
      </c>
      <c r="AS8" s="50">
        <f>'APS Tubes by Date Import'!F7</f>
        <v>0</v>
      </c>
      <c r="AT8" s="50">
        <f>'APS Tubes by Date Import'!G7</f>
        <v>0</v>
      </c>
      <c r="AU8" s="40"/>
    </row>
    <row r="9">
      <c r="A9" s="6" t="s">
        <v>34</v>
      </c>
      <c r="B9" s="43">
        <f>VLOOKUP(A9,'Run Reconcile'!A$2:B672,2,FALSE)</f>
        <v>44655</v>
      </c>
      <c r="C9" s="44">
        <f>COUNTIF('ALL Tube Results'!B8:B672, A9)
</f>
        <v>27</v>
      </c>
      <c r="D9" s="45">
        <f>COUNTIFS('ALL Tube Results'!$B8:$B672, $A9, 'ALL Tube Results'!$F8:$F672, "Negative")
</f>
        <v>27</v>
      </c>
      <c r="E9" s="45">
        <f>COUNTIFS('ALL Tube Results'!$B8:$B672, $A9, 'ALL Tube Results'!$F8:$F672, "Positive")
</f>
        <v>0</v>
      </c>
      <c r="F9" s="45">
        <f>COUNTIFS('ALL Tube Results'!$B8:$B672, $A9, 'ALL Tube Results'!$F8:$F672, "Inconclusive")
</f>
        <v>0</v>
      </c>
      <c r="G9" s="46">
        <f t="shared" si="7"/>
        <v>27</v>
      </c>
      <c r="H9" s="46" t="str">
        <f t="shared" si="8"/>
        <v/>
      </c>
      <c r="I9" s="47">
        <f t="shared" si="9"/>
        <v>27</v>
      </c>
      <c r="J9" s="47">
        <f t="shared" si="10"/>
        <v>0</v>
      </c>
      <c r="K9" s="47">
        <f t="shared" si="11"/>
        <v>0</v>
      </c>
      <c r="L9" s="47" t="str">
        <f t="shared" si="12"/>
        <v/>
      </c>
      <c r="M9" s="47" t="str">
        <f t="shared" si="13"/>
        <v/>
      </c>
      <c r="N9" s="47" t="str">
        <f t="shared" si="14"/>
        <v/>
      </c>
      <c r="O9" s="48">
        <f t="shared" si="15"/>
        <v>24</v>
      </c>
      <c r="P9" s="48">
        <f t="shared" si="16"/>
        <v>3</v>
      </c>
      <c r="Q9" s="40"/>
      <c r="R9" s="6" t="s">
        <v>34</v>
      </c>
      <c r="S9" s="11">
        <v>44655.0</v>
      </c>
      <c r="T9" s="50">
        <f>VLOOKUP(R9,'Run Reconcile'!$A$2:$M672,13,FALSE)</f>
        <v>27</v>
      </c>
      <c r="U9" s="51" t="str">
        <f t="shared" si="17"/>
        <v/>
      </c>
      <c r="V9" s="50"/>
      <c r="W9" s="50"/>
      <c r="X9" s="40"/>
      <c r="Y9" s="6" t="str">
        <f>IFERROR(__xludf.DUMMYFUNCTION("""COMPUTED_VALUE"""),"RUN-COMB_2022-04-04_RFR-009")</f>
        <v>RUN-COMB_2022-04-04_RFR-009</v>
      </c>
      <c r="Z9" s="11">
        <f>IFERROR(__xludf.DUMMYFUNCTION("""COMPUTED_VALUE"""),44655.0)</f>
        <v>44655</v>
      </c>
      <c r="AA9" s="47">
        <f t="array" ref="AA9">INDEX('RFR Data - preExcl'!AK$2:AK672,$AE9,1)</f>
        <v>27</v>
      </c>
      <c r="AB9" s="50">
        <f t="shared" si="18"/>
        <v>27</v>
      </c>
      <c r="AC9" s="50">
        <f t="array" ref="AC9">INDEX('RFR Data - preExcl'!AI$2:AI672,$AE9,1)</f>
        <v>0</v>
      </c>
      <c r="AD9" s="50">
        <f t="array" ref="AD9">INDEX('RFR Data - preExcl'!AF$2:AF672,$AE9,1)</f>
        <v>0</v>
      </c>
      <c r="AE9" s="52">
        <f>IFNA(MATCH(Y9,'RFR Data - preExcl'!A$2:A672,0),"")</f>
        <v>9</v>
      </c>
      <c r="AF9" s="40"/>
      <c r="AG9" s="56" t="s">
        <v>34</v>
      </c>
      <c r="AH9" s="54">
        <f>VLOOKUP(AG9,'Run Reconcile'!A$2:B672,2,FALSE)</f>
        <v>44655</v>
      </c>
      <c r="AI9" s="55">
        <f>COUNTIF('APS Tubes Import'!$V$2:$V672, AG9)
</f>
        <v>24</v>
      </c>
      <c r="AJ9" s="55">
        <f>COUNTIFS('APS Tubes Import'!V$2:V672, AG9, 'APS Tubes Import'!H$2:H672, "Negative")
</f>
        <v>24</v>
      </c>
      <c r="AK9" s="55">
        <f>COUNTIFS('APS Tubes Import'!V$2:V672, AG9, 'APS Tubes Import'!H$2:H672, "Positive")
</f>
        <v>0</v>
      </c>
      <c r="AL9" s="55">
        <f>COUNTIFS('APS Tubes Import'!V$2:V672, AG9, 'APS Tubes Import'!H$2:H672, "Inconclusive")
</f>
        <v>0</v>
      </c>
      <c r="AM9" s="55">
        <f>COUNTIFS('APS Tubes Import'!V$2:V672, AG9, 'APS Tubes Import'!H$2:H672, "Null")
</f>
        <v>0</v>
      </c>
      <c r="AN9" s="40"/>
      <c r="AO9" s="11">
        <f>'APS Tubes by Date Import'!B8</f>
        <v>44655</v>
      </c>
      <c r="AP9" s="50">
        <f>'APS Tubes by Date Import'!C8</f>
        <v>24</v>
      </c>
      <c r="AQ9" s="50">
        <f>'APS Tubes by Date Import'!D8</f>
        <v>24</v>
      </c>
      <c r="AR9" s="50">
        <f>'APS Tubes by Date Import'!E8</f>
        <v>0</v>
      </c>
      <c r="AS9" s="50">
        <f>'APS Tubes by Date Import'!F8</f>
        <v>0</v>
      </c>
      <c r="AT9" s="50">
        <f>'APS Tubes by Date Import'!G8</f>
        <v>0</v>
      </c>
      <c r="AU9" s="40"/>
    </row>
    <row r="10">
      <c r="A10" s="6" t="s">
        <v>35</v>
      </c>
      <c r="B10" s="43">
        <f>VLOOKUP(A10,'Run Reconcile'!A$2:B672,2,FALSE)</f>
        <v>44656</v>
      </c>
      <c r="C10" s="44">
        <f>COUNTIF('ALL Tube Results'!B9:B672, A10)
</f>
        <v>24</v>
      </c>
      <c r="D10" s="45">
        <f>COUNTIFS('ALL Tube Results'!$B9:$B672, $A10, 'ALL Tube Results'!$F9:$F672, "Negative")
</f>
        <v>24</v>
      </c>
      <c r="E10" s="45">
        <f>COUNTIFS('ALL Tube Results'!$B9:$B672, $A10, 'ALL Tube Results'!$F9:$F672, "Positive")
</f>
        <v>0</v>
      </c>
      <c r="F10" s="45">
        <f>COUNTIFS('ALL Tube Results'!$B9:$B672, $A10, 'ALL Tube Results'!$F9:$F672, "Inconclusive")
</f>
        <v>0</v>
      </c>
      <c r="G10" s="46">
        <f t="shared" si="7"/>
        <v>24</v>
      </c>
      <c r="H10" s="46" t="str">
        <f t="shared" si="8"/>
        <v/>
      </c>
      <c r="I10" s="47">
        <f t="shared" si="9"/>
        <v>24</v>
      </c>
      <c r="J10" s="47">
        <f t="shared" si="10"/>
        <v>0</v>
      </c>
      <c r="K10" s="47">
        <f t="shared" si="11"/>
        <v>0</v>
      </c>
      <c r="L10" s="47" t="str">
        <f t="shared" si="12"/>
        <v/>
      </c>
      <c r="M10" s="47" t="str">
        <f t="shared" si="13"/>
        <v/>
      </c>
      <c r="N10" s="47" t="str">
        <f t="shared" si="14"/>
        <v/>
      </c>
      <c r="O10" s="48">
        <f t="shared" si="15"/>
        <v>20</v>
      </c>
      <c r="P10" s="48">
        <f t="shared" si="16"/>
        <v>4</v>
      </c>
      <c r="Q10" s="40"/>
      <c r="R10" s="6" t="s">
        <v>35</v>
      </c>
      <c r="S10" s="11">
        <v>44656.0</v>
      </c>
      <c r="T10" s="50">
        <f>VLOOKUP(R10,'Run Reconcile'!$A$2:$M672,13,FALSE)</f>
        <v>24</v>
      </c>
      <c r="U10" s="51" t="str">
        <f t="shared" si="17"/>
        <v/>
      </c>
      <c r="V10" s="50"/>
      <c r="W10" s="50"/>
      <c r="X10" s="40"/>
      <c r="Y10" s="6" t="str">
        <f>IFERROR(__xludf.DUMMYFUNCTION("""COMPUTED_VALUE"""),"RUN-COMB_2022-04-05_RFR-010")</f>
        <v>RUN-COMB_2022-04-05_RFR-010</v>
      </c>
      <c r="Z10" s="11">
        <f>IFERROR(__xludf.DUMMYFUNCTION("""COMPUTED_VALUE"""),44656.0)</f>
        <v>44656</v>
      </c>
      <c r="AA10" s="47">
        <f t="array" ref="AA10">INDEX('RFR Data - preExcl'!AK$2:AK672,$AE10,1)</f>
        <v>24</v>
      </c>
      <c r="AB10" s="50">
        <f t="shared" si="18"/>
        <v>24</v>
      </c>
      <c r="AC10" s="50">
        <f t="array" ref="AC10">INDEX('RFR Data - preExcl'!AI$2:AI672,$AE10,1)</f>
        <v>0</v>
      </c>
      <c r="AD10" s="50">
        <f t="array" ref="AD10">INDEX('RFR Data - preExcl'!AF$2:AF672,$AE10,1)</f>
        <v>0</v>
      </c>
      <c r="AE10" s="52">
        <f>IFNA(MATCH(Y10,'RFR Data - preExcl'!A$2:A672,0),"")</f>
        <v>10</v>
      </c>
      <c r="AF10" s="40"/>
      <c r="AG10" s="56" t="s">
        <v>35</v>
      </c>
      <c r="AH10" s="54">
        <f>VLOOKUP(AG10,'Run Reconcile'!A$2:B672,2,FALSE)</f>
        <v>44656</v>
      </c>
      <c r="AI10" s="55">
        <f>COUNTIF('APS Tubes Import'!$V$2:$V672, AG10)
</f>
        <v>20</v>
      </c>
      <c r="AJ10" s="55">
        <f>COUNTIFS('APS Tubes Import'!V$2:V672, AG10, 'APS Tubes Import'!H$2:H672, "Negative")
</f>
        <v>20</v>
      </c>
      <c r="AK10" s="55">
        <f>COUNTIFS('APS Tubes Import'!V$2:V672, AG10, 'APS Tubes Import'!H$2:H672, "Positive")
</f>
        <v>0</v>
      </c>
      <c r="AL10" s="55">
        <f>COUNTIFS('APS Tubes Import'!V$2:V672, AG10, 'APS Tubes Import'!H$2:H672, "Inconclusive")
</f>
        <v>0</v>
      </c>
      <c r="AM10" s="55">
        <f>COUNTIFS('APS Tubes Import'!V$2:V672, AG10, 'APS Tubes Import'!H$2:H672, "Null")
</f>
        <v>0</v>
      </c>
      <c r="AN10" s="40"/>
      <c r="AO10" s="11">
        <f>'APS Tubes by Date Import'!B9</f>
        <v>44656</v>
      </c>
      <c r="AP10" s="50">
        <f>'APS Tubes by Date Import'!C9</f>
        <v>20</v>
      </c>
      <c r="AQ10" s="50">
        <f>'APS Tubes by Date Import'!D9</f>
        <v>20</v>
      </c>
      <c r="AR10" s="50">
        <f>'APS Tubes by Date Import'!E9</f>
        <v>0</v>
      </c>
      <c r="AS10" s="50">
        <f>'APS Tubes by Date Import'!F9</f>
        <v>0</v>
      </c>
      <c r="AT10" s="50">
        <f>'APS Tubes by Date Import'!G9</f>
        <v>0</v>
      </c>
      <c r="AU10" s="40"/>
    </row>
    <row r="11">
      <c r="A11" s="6" t="s">
        <v>36</v>
      </c>
      <c r="B11" s="43">
        <f>VLOOKUP(A11,'Run Reconcile'!A$2:B672,2,FALSE)</f>
        <v>44657</v>
      </c>
      <c r="C11" s="44">
        <f>COUNTIF('ALL Tube Results'!B10:B672, A11)
</f>
        <v>24</v>
      </c>
      <c r="D11" s="45">
        <f>COUNTIFS('ALL Tube Results'!$B10:$B672, $A11, 'ALL Tube Results'!$F10:$F672, "Negative")
</f>
        <v>24</v>
      </c>
      <c r="E11" s="45">
        <f>COUNTIFS('ALL Tube Results'!$B10:$B672, $A11, 'ALL Tube Results'!$F10:$F672, "Positive")
</f>
        <v>0</v>
      </c>
      <c r="F11" s="45">
        <f>COUNTIFS('ALL Tube Results'!$B10:$B672, $A11, 'ALL Tube Results'!$F10:$F672, "Inconclusive")
</f>
        <v>0</v>
      </c>
      <c r="G11" s="46">
        <f t="shared" si="7"/>
        <v>24</v>
      </c>
      <c r="H11" s="46" t="str">
        <f t="shared" si="8"/>
        <v/>
      </c>
      <c r="I11" s="47">
        <f t="shared" si="9"/>
        <v>24</v>
      </c>
      <c r="J11" s="47">
        <f t="shared" si="10"/>
        <v>0</v>
      </c>
      <c r="K11" s="47">
        <f t="shared" si="11"/>
        <v>0</v>
      </c>
      <c r="L11" s="47" t="str">
        <f t="shared" si="12"/>
        <v/>
      </c>
      <c r="M11" s="47" t="str">
        <f t="shared" si="13"/>
        <v/>
      </c>
      <c r="N11" s="47" t="str">
        <f t="shared" si="14"/>
        <v/>
      </c>
      <c r="O11" s="48">
        <f t="shared" si="15"/>
        <v>18</v>
      </c>
      <c r="P11" s="48">
        <f t="shared" si="16"/>
        <v>6</v>
      </c>
      <c r="Q11" s="40"/>
      <c r="R11" s="6" t="s">
        <v>36</v>
      </c>
      <c r="S11" s="11">
        <v>44657.0</v>
      </c>
      <c r="T11" s="50">
        <f>VLOOKUP(R11,'Run Reconcile'!$A$2:$M672,13,FALSE)</f>
        <v>24</v>
      </c>
      <c r="U11" s="51" t="str">
        <f t="shared" si="17"/>
        <v/>
      </c>
      <c r="V11" s="50"/>
      <c r="W11" s="50"/>
      <c r="X11" s="40"/>
      <c r="Y11" s="6" t="str">
        <f>IFERROR(__xludf.DUMMYFUNCTION("""COMPUTED_VALUE"""),"RUN-COMB_2022-04-06_RFR-011")</f>
        <v>RUN-COMB_2022-04-06_RFR-011</v>
      </c>
      <c r="Z11" s="11">
        <f>IFERROR(__xludf.DUMMYFUNCTION("""COMPUTED_VALUE"""),44657.0)</f>
        <v>44657</v>
      </c>
      <c r="AA11" s="47">
        <f t="array" ref="AA11">INDEX('RFR Data - preExcl'!AK$2:AK672,$AE11,1)</f>
        <v>24</v>
      </c>
      <c r="AB11" s="50">
        <f t="shared" si="18"/>
        <v>24</v>
      </c>
      <c r="AC11" s="50">
        <f t="array" ref="AC11">INDEX('RFR Data - preExcl'!AI$2:AI672,$AE11,1)</f>
        <v>0</v>
      </c>
      <c r="AD11" s="50">
        <f t="array" ref="AD11">INDEX('RFR Data - preExcl'!AF$2:AF672,$AE11,1)</f>
        <v>0</v>
      </c>
      <c r="AE11" s="52">
        <f>IFNA(MATCH(Y11,'RFR Data - preExcl'!A$2:A672,0),"")</f>
        <v>11</v>
      </c>
      <c r="AF11" s="40"/>
      <c r="AG11" s="56" t="s">
        <v>36</v>
      </c>
      <c r="AH11" s="54">
        <f>VLOOKUP(AG11,'Run Reconcile'!A$2:B672,2,FALSE)</f>
        <v>44657</v>
      </c>
      <c r="AI11" s="55">
        <f>COUNTIF('APS Tubes Import'!$V$2:$V672, AG11)
</f>
        <v>18</v>
      </c>
      <c r="AJ11" s="55">
        <f>COUNTIFS('APS Tubes Import'!V$2:V672, AG11, 'APS Tubes Import'!H$2:H672, "Negative")
</f>
        <v>18</v>
      </c>
      <c r="AK11" s="55">
        <f>COUNTIFS('APS Tubes Import'!V$2:V672, AG11, 'APS Tubes Import'!H$2:H672, "Positive")
</f>
        <v>0</v>
      </c>
      <c r="AL11" s="55">
        <f>COUNTIFS('APS Tubes Import'!V$2:V672, AG11, 'APS Tubes Import'!H$2:H672, "Inconclusive")
</f>
        <v>0</v>
      </c>
      <c r="AM11" s="55">
        <f>COUNTIFS('APS Tubes Import'!V$2:V672, AG11, 'APS Tubes Import'!H$2:H672, "Null")
</f>
        <v>0</v>
      </c>
      <c r="AN11" s="40"/>
      <c r="AO11" s="11">
        <f>'APS Tubes by Date Import'!B10</f>
        <v>44657</v>
      </c>
      <c r="AP11" s="50">
        <f>'APS Tubes by Date Import'!C10</f>
        <v>18</v>
      </c>
      <c r="AQ11" s="50">
        <f>'APS Tubes by Date Import'!D10</f>
        <v>18</v>
      </c>
      <c r="AR11" s="50">
        <f>'APS Tubes by Date Import'!E10</f>
        <v>0</v>
      </c>
      <c r="AS11" s="50">
        <f>'APS Tubes by Date Import'!F10</f>
        <v>0</v>
      </c>
      <c r="AT11" s="50">
        <f>'APS Tubes by Date Import'!G10</f>
        <v>0</v>
      </c>
      <c r="AU11" s="40"/>
    </row>
    <row r="12">
      <c r="A12" s="6" t="s">
        <v>37</v>
      </c>
      <c r="B12" s="43">
        <f>VLOOKUP(A12,'Run Reconcile'!A$2:B672,2,FALSE)</f>
        <v>44658</v>
      </c>
      <c r="C12" s="44">
        <f>COUNTIF('ALL Tube Results'!B11:B672, A12)
</f>
        <v>37</v>
      </c>
      <c r="D12" s="45">
        <f>COUNTIFS('ALL Tube Results'!$B11:$B672, $A12, 'ALL Tube Results'!$F11:$F672, "Negative")
</f>
        <v>37</v>
      </c>
      <c r="E12" s="45">
        <f>COUNTIFS('ALL Tube Results'!$B11:$B672, $A12, 'ALL Tube Results'!$F11:$F672, "Positive")
</f>
        <v>0</v>
      </c>
      <c r="F12" s="45">
        <f>COUNTIFS('ALL Tube Results'!$B11:$B672, $A12, 'ALL Tube Results'!$F11:$F672, "Inconclusive")
</f>
        <v>0</v>
      </c>
      <c r="G12" s="46">
        <f t="shared" si="7"/>
        <v>37</v>
      </c>
      <c r="H12" s="46" t="str">
        <f t="shared" si="8"/>
        <v/>
      </c>
      <c r="I12" s="47">
        <f t="shared" si="9"/>
        <v>37</v>
      </c>
      <c r="J12" s="47">
        <f t="shared" si="10"/>
        <v>0</v>
      </c>
      <c r="K12" s="47">
        <f t="shared" si="11"/>
        <v>0</v>
      </c>
      <c r="L12" s="47" t="str">
        <f t="shared" si="12"/>
        <v/>
      </c>
      <c r="M12" s="47" t="str">
        <f t="shared" si="13"/>
        <v/>
      </c>
      <c r="N12" s="47" t="str">
        <f t="shared" si="14"/>
        <v/>
      </c>
      <c r="O12" s="48">
        <f t="shared" si="15"/>
        <v>35</v>
      </c>
      <c r="P12" s="48">
        <f t="shared" si="16"/>
        <v>2</v>
      </c>
      <c r="Q12" s="40"/>
      <c r="R12" s="11" t="s">
        <v>37</v>
      </c>
      <c r="S12" s="11">
        <v>44658.0</v>
      </c>
      <c r="T12" s="50">
        <f>VLOOKUP(R12,'Run Reconcile'!$A$2:$M672,13,FALSE)</f>
        <v>37</v>
      </c>
      <c r="U12" s="51" t="str">
        <f t="shared" si="17"/>
        <v/>
      </c>
      <c r="V12" s="50"/>
      <c r="W12" s="50"/>
      <c r="X12" s="40"/>
      <c r="Y12" s="11" t="str">
        <f>IFERROR(__xludf.DUMMYFUNCTION("""COMPUTED_VALUE"""),"RUN-COMB_2022-04-07_RFR-012")</f>
        <v>RUN-COMB_2022-04-07_RFR-012</v>
      </c>
      <c r="Z12" s="11">
        <f>IFERROR(__xludf.DUMMYFUNCTION("""COMPUTED_VALUE"""),44658.0)</f>
        <v>44658</v>
      </c>
      <c r="AA12" s="47">
        <f t="array" ref="AA12">INDEX('RFR Data - preExcl'!AK$2:AK672,$AE12,1)</f>
        <v>37</v>
      </c>
      <c r="AB12" s="50">
        <f t="shared" si="18"/>
        <v>37</v>
      </c>
      <c r="AC12" s="50">
        <f t="array" ref="AC12">INDEX('RFR Data - preExcl'!AI$2:AI672,$AE12,1)</f>
        <v>0</v>
      </c>
      <c r="AD12" s="50">
        <f t="array" ref="AD12">INDEX('RFR Data - preExcl'!AF$2:AF672,$AE12,1)</f>
        <v>0</v>
      </c>
      <c r="AE12" s="52">
        <f>IFNA(MATCH(Y12,'RFR Data - preExcl'!A$2:A672,0),"")</f>
        <v>12</v>
      </c>
      <c r="AF12" s="40"/>
      <c r="AG12" s="56" t="s">
        <v>37</v>
      </c>
      <c r="AH12" s="54">
        <f>VLOOKUP(AG12,'Run Reconcile'!A$2:B672,2,FALSE)</f>
        <v>44658</v>
      </c>
      <c r="AI12" s="55">
        <f>COUNTIF('APS Tubes Import'!$V$2:$V672, AG12)
</f>
        <v>35</v>
      </c>
      <c r="AJ12" s="55">
        <f>COUNTIFS('APS Tubes Import'!V$2:V672, AG12, 'APS Tubes Import'!H$2:H672, "Negative")
</f>
        <v>35</v>
      </c>
      <c r="AK12" s="55">
        <f>COUNTIFS('APS Tubes Import'!V$2:V672, AG12, 'APS Tubes Import'!H$2:H672, "Positive")
</f>
        <v>0</v>
      </c>
      <c r="AL12" s="55">
        <f>COUNTIFS('APS Tubes Import'!V$2:V672, AG12, 'APS Tubes Import'!H$2:H672, "Inconclusive")
</f>
        <v>0</v>
      </c>
      <c r="AM12" s="55">
        <f>COUNTIFS('APS Tubes Import'!V$2:V672, AG12, 'APS Tubes Import'!H$2:H672, "Null")
</f>
        <v>0</v>
      </c>
      <c r="AN12" s="40"/>
      <c r="AO12" s="11">
        <f>'APS Tubes by Date Import'!B11</f>
        <v>44658</v>
      </c>
      <c r="AP12" s="50">
        <f>'APS Tubes by Date Import'!C11</f>
        <v>35</v>
      </c>
      <c r="AQ12" s="50">
        <f>'APS Tubes by Date Import'!D11</f>
        <v>35</v>
      </c>
      <c r="AR12" s="50">
        <f>'APS Tubes by Date Import'!E11</f>
        <v>0</v>
      </c>
      <c r="AS12" s="50">
        <f>'APS Tubes by Date Import'!F11</f>
        <v>0</v>
      </c>
      <c r="AT12" s="50">
        <f>'APS Tubes by Date Import'!G11</f>
        <v>0</v>
      </c>
      <c r="AU12" s="40"/>
    </row>
    <row r="13">
      <c r="A13" s="6" t="s">
        <v>38</v>
      </c>
      <c r="B13" s="43">
        <f>VLOOKUP(A13,'Run Reconcile'!A$2:B672,2,FALSE)</f>
        <v>44659</v>
      </c>
      <c r="C13" s="44">
        <f>COUNTIF('ALL Tube Results'!B12:B672, A13)
</f>
        <v>30</v>
      </c>
      <c r="D13" s="45">
        <f>COUNTIFS('ALL Tube Results'!$B12:$B672, $A13, 'ALL Tube Results'!$F12:$F672, "Negative")
</f>
        <v>30</v>
      </c>
      <c r="E13" s="45">
        <f>COUNTIFS('ALL Tube Results'!$B12:$B672, $A13, 'ALL Tube Results'!$F12:$F672, "Positive")
</f>
        <v>0</v>
      </c>
      <c r="F13" s="45">
        <f>COUNTIFS('ALL Tube Results'!$B12:$B672, $A13, 'ALL Tube Results'!$F12:$F672, "Inconclusive")
</f>
        <v>0</v>
      </c>
      <c r="G13" s="46">
        <f t="shared" si="7"/>
        <v>30</v>
      </c>
      <c r="H13" s="46" t="str">
        <f t="shared" si="8"/>
        <v/>
      </c>
      <c r="I13" s="47">
        <f t="shared" si="9"/>
        <v>30</v>
      </c>
      <c r="J13" s="47">
        <f t="shared" si="10"/>
        <v>0</v>
      </c>
      <c r="K13" s="47">
        <f t="shared" si="11"/>
        <v>0</v>
      </c>
      <c r="L13" s="47" t="str">
        <f t="shared" si="12"/>
        <v/>
      </c>
      <c r="M13" s="47" t="str">
        <f t="shared" si="13"/>
        <v/>
      </c>
      <c r="N13" s="47" t="str">
        <f t="shared" si="14"/>
        <v/>
      </c>
      <c r="O13" s="48">
        <f t="shared" si="15"/>
        <v>30</v>
      </c>
      <c r="P13" s="48" t="str">
        <f t="shared" si="16"/>
        <v/>
      </c>
      <c r="Q13" s="40"/>
      <c r="R13" s="6" t="s">
        <v>38</v>
      </c>
      <c r="S13" s="11">
        <v>44659.0</v>
      </c>
      <c r="T13" s="50">
        <f>VLOOKUP(R13,'Run Reconcile'!$A$2:$M672,13,FALSE)</f>
        <v>30</v>
      </c>
      <c r="U13" s="51" t="str">
        <f t="shared" si="17"/>
        <v/>
      </c>
      <c r="V13" s="50"/>
      <c r="W13" s="50"/>
      <c r="X13" s="40"/>
      <c r="Y13" s="6" t="str">
        <f>IFERROR(__xludf.DUMMYFUNCTION("""COMPUTED_VALUE"""),"RUN-COMB_2022-04-08_RFR-013")</f>
        <v>RUN-COMB_2022-04-08_RFR-013</v>
      </c>
      <c r="Z13" s="11">
        <f>IFERROR(__xludf.DUMMYFUNCTION("""COMPUTED_VALUE"""),44659.0)</f>
        <v>44659</v>
      </c>
      <c r="AA13" s="47">
        <f t="array" ref="AA13">INDEX('RFR Data - preExcl'!AK$2:AK672,$AE13,1)</f>
        <v>30</v>
      </c>
      <c r="AB13" s="50">
        <f t="shared" si="18"/>
        <v>30</v>
      </c>
      <c r="AC13" s="50">
        <f t="array" ref="AC13">INDEX('RFR Data - preExcl'!AI$2:AI672,$AE13,1)</f>
        <v>0</v>
      </c>
      <c r="AD13" s="50">
        <f t="array" ref="AD13">INDEX('RFR Data - preExcl'!AF$2:AF672,$AE13,1)</f>
        <v>0</v>
      </c>
      <c r="AE13" s="52">
        <f>IFNA(MATCH(Y13,'RFR Data - preExcl'!A$2:A672,0),"")</f>
        <v>13</v>
      </c>
      <c r="AF13" s="40"/>
      <c r="AG13" s="56" t="s">
        <v>38</v>
      </c>
      <c r="AH13" s="54">
        <f>VLOOKUP(AG13,'Run Reconcile'!A$2:B672,2,FALSE)</f>
        <v>44659</v>
      </c>
      <c r="AI13" s="55">
        <f>COUNTIF('APS Tubes Import'!$V$2:$V672, AG13)
</f>
        <v>30</v>
      </c>
      <c r="AJ13" s="55">
        <f>COUNTIFS('APS Tubes Import'!V$2:V672, AG13, 'APS Tubes Import'!H$2:H672, "Negative")
</f>
        <v>30</v>
      </c>
      <c r="AK13" s="55">
        <f>COUNTIFS('APS Tubes Import'!V$2:V672, AG13, 'APS Tubes Import'!H$2:H672, "Positive")
</f>
        <v>0</v>
      </c>
      <c r="AL13" s="55">
        <f>COUNTIFS('APS Tubes Import'!V$2:V672, AG13, 'APS Tubes Import'!H$2:H672, "Inconclusive")
</f>
        <v>0</v>
      </c>
      <c r="AM13" s="55">
        <f>COUNTIFS('APS Tubes Import'!V$2:V672, AG13, 'APS Tubes Import'!H$2:H672, "Null")
</f>
        <v>0</v>
      </c>
      <c r="AN13" s="40"/>
      <c r="AO13" s="11">
        <f>'APS Tubes by Date Import'!B12</f>
        <v>44659</v>
      </c>
      <c r="AP13" s="50">
        <f>'APS Tubes by Date Import'!C12</f>
        <v>30</v>
      </c>
      <c r="AQ13" s="50">
        <f>'APS Tubes by Date Import'!D12</f>
        <v>30</v>
      </c>
      <c r="AR13" s="50">
        <f>'APS Tubes by Date Import'!E12</f>
        <v>0</v>
      </c>
      <c r="AS13" s="50">
        <f>'APS Tubes by Date Import'!F12</f>
        <v>0</v>
      </c>
      <c r="AT13" s="50">
        <f>'APS Tubes by Date Import'!G12</f>
        <v>0</v>
      </c>
      <c r="AU13" s="40"/>
    </row>
    <row r="14">
      <c r="A14" s="6" t="s">
        <v>39</v>
      </c>
      <c r="B14" s="43">
        <f>VLOOKUP(A14,'Run Reconcile'!A$2:B672,2,FALSE)</f>
        <v>44662</v>
      </c>
      <c r="C14" s="44">
        <f>COUNTIF('ALL Tube Results'!B13:B672, A14)
</f>
        <v>24</v>
      </c>
      <c r="D14" s="45">
        <f>COUNTIFS('ALL Tube Results'!$B13:$B672, $A14, 'ALL Tube Results'!$F13:$F672, "Negative")
</f>
        <v>24</v>
      </c>
      <c r="E14" s="45">
        <f>COUNTIFS('ALL Tube Results'!$B13:$B672, $A14, 'ALL Tube Results'!$F13:$F672, "Positive")
</f>
        <v>0</v>
      </c>
      <c r="F14" s="45">
        <f>COUNTIFS('ALL Tube Results'!$B13:$B672, $A14, 'ALL Tube Results'!$F13:$F672, "Inconclusive")
</f>
        <v>0</v>
      </c>
      <c r="G14" s="46">
        <f t="shared" si="7"/>
        <v>24</v>
      </c>
      <c r="H14" s="46" t="str">
        <f t="shared" si="8"/>
        <v/>
      </c>
      <c r="I14" s="47">
        <f t="shared" si="9"/>
        <v>24</v>
      </c>
      <c r="J14" s="47">
        <f t="shared" si="10"/>
        <v>0</v>
      </c>
      <c r="K14" s="47">
        <f t="shared" si="11"/>
        <v>0</v>
      </c>
      <c r="L14" s="47" t="str">
        <f t="shared" si="12"/>
        <v/>
      </c>
      <c r="M14" s="47" t="str">
        <f t="shared" si="13"/>
        <v/>
      </c>
      <c r="N14" s="47" t="str">
        <f t="shared" si="14"/>
        <v/>
      </c>
      <c r="O14" s="48">
        <f t="shared" si="15"/>
        <v>24</v>
      </c>
      <c r="P14" s="48" t="str">
        <f t="shared" si="16"/>
        <v/>
      </c>
      <c r="Q14" s="40"/>
      <c r="R14" s="6" t="s">
        <v>39</v>
      </c>
      <c r="S14" s="11">
        <v>44662.0</v>
      </c>
      <c r="T14" s="50">
        <f>VLOOKUP(R14,'Run Reconcile'!$A$2:$M672,13,FALSE)</f>
        <v>24</v>
      </c>
      <c r="U14" s="51" t="str">
        <f t="shared" si="17"/>
        <v/>
      </c>
      <c r="V14" s="50"/>
      <c r="W14" s="50"/>
      <c r="X14" s="40"/>
      <c r="Y14" s="6" t="str">
        <f>IFERROR(__xludf.DUMMYFUNCTION("""COMPUTED_VALUE"""),"RUN-COMB_2022-04-11_RFR-014")</f>
        <v>RUN-COMB_2022-04-11_RFR-014</v>
      </c>
      <c r="Z14" s="11">
        <f>IFERROR(__xludf.DUMMYFUNCTION("""COMPUTED_VALUE"""),44662.0)</f>
        <v>44662</v>
      </c>
      <c r="AA14" s="47">
        <f t="array" ref="AA14">INDEX('RFR Data - preExcl'!AK$2:AK672,$AE14,1)</f>
        <v>24</v>
      </c>
      <c r="AB14" s="50">
        <f t="shared" si="18"/>
        <v>24</v>
      </c>
      <c r="AC14" s="50">
        <f t="array" ref="AC14">INDEX('RFR Data - preExcl'!AI$2:AI672,$AE14,1)</f>
        <v>0</v>
      </c>
      <c r="AD14" s="50">
        <f t="array" ref="AD14">INDEX('RFR Data - preExcl'!AF$2:AF672,$AE14,1)</f>
        <v>0</v>
      </c>
      <c r="AE14" s="52">
        <f>IFNA(MATCH(Y14,'RFR Data - preExcl'!A$2:A672,0),"")</f>
        <v>14</v>
      </c>
      <c r="AF14" s="40"/>
      <c r="AG14" s="56" t="s">
        <v>39</v>
      </c>
      <c r="AH14" s="54">
        <f>VLOOKUP(AG14,'Run Reconcile'!A$2:B672,2,FALSE)</f>
        <v>44662</v>
      </c>
      <c r="AI14" s="55">
        <f>COUNTIF('APS Tubes Import'!$V$2:$V672, AG14)
</f>
        <v>24</v>
      </c>
      <c r="AJ14" s="55">
        <f>COUNTIFS('APS Tubes Import'!V$2:V672, AG14, 'APS Tubes Import'!H$2:H672, "Negative")
</f>
        <v>24</v>
      </c>
      <c r="AK14" s="55">
        <f>COUNTIFS('APS Tubes Import'!V$2:V672, AG14, 'APS Tubes Import'!H$2:H672, "Positive")
</f>
        <v>0</v>
      </c>
      <c r="AL14" s="55">
        <f>COUNTIFS('APS Tubes Import'!V$2:V672, AG14, 'APS Tubes Import'!H$2:H672, "Inconclusive")
</f>
        <v>0</v>
      </c>
      <c r="AM14" s="55">
        <f>COUNTIFS('APS Tubes Import'!V$2:V672, AG14, 'APS Tubes Import'!H$2:H672, "Null")
</f>
        <v>0</v>
      </c>
      <c r="AN14" s="40"/>
      <c r="AO14" s="11">
        <f>'APS Tubes by Date Import'!B13</f>
        <v>44662</v>
      </c>
      <c r="AP14" s="50">
        <f>'APS Tubes by Date Import'!C13</f>
        <v>24</v>
      </c>
      <c r="AQ14" s="50">
        <f>'APS Tubes by Date Import'!D13</f>
        <v>24</v>
      </c>
      <c r="AR14" s="50">
        <f>'APS Tubes by Date Import'!E13</f>
        <v>0</v>
      </c>
      <c r="AS14" s="50">
        <f>'APS Tubes by Date Import'!F13</f>
        <v>0</v>
      </c>
      <c r="AT14" s="50">
        <f>'APS Tubes by Date Import'!G13</f>
        <v>0</v>
      </c>
      <c r="AU14" s="40"/>
    </row>
    <row r="15">
      <c r="A15" s="6" t="s">
        <v>40</v>
      </c>
      <c r="B15" s="43">
        <f>VLOOKUP(A15,'Run Reconcile'!A$2:B672,2,FALSE)</f>
        <v>44663</v>
      </c>
      <c r="C15" s="44">
        <f>COUNTIF('ALL Tube Results'!B14:B672, A15)
</f>
        <v>23</v>
      </c>
      <c r="D15" s="45">
        <f>COUNTIFS('ALL Tube Results'!$B14:$B672, $A15, 'ALL Tube Results'!$F14:$F672, "Negative")
</f>
        <v>23</v>
      </c>
      <c r="E15" s="45">
        <f>COUNTIFS('ALL Tube Results'!$B14:$B672, $A15, 'ALL Tube Results'!$F14:$F672, "Positive")
</f>
        <v>0</v>
      </c>
      <c r="F15" s="45">
        <f>COUNTIFS('ALL Tube Results'!$B14:$B672, $A15, 'ALL Tube Results'!$F14:$F672, "Inconclusive")
</f>
        <v>0</v>
      </c>
      <c r="G15" s="46">
        <f t="shared" si="7"/>
        <v>23</v>
      </c>
      <c r="H15" s="46" t="str">
        <f t="shared" si="8"/>
        <v/>
      </c>
      <c r="I15" s="47">
        <f t="shared" si="9"/>
        <v>23</v>
      </c>
      <c r="J15" s="47">
        <f t="shared" si="10"/>
        <v>0</v>
      </c>
      <c r="K15" s="47">
        <f t="shared" si="11"/>
        <v>0</v>
      </c>
      <c r="L15" s="47" t="str">
        <f t="shared" si="12"/>
        <v/>
      </c>
      <c r="M15" s="47" t="str">
        <f t="shared" si="13"/>
        <v/>
      </c>
      <c r="N15" s="47" t="str">
        <f t="shared" si="14"/>
        <v/>
      </c>
      <c r="O15" s="48">
        <f t="shared" si="15"/>
        <v>23</v>
      </c>
      <c r="P15" s="48" t="str">
        <f t="shared" si="16"/>
        <v/>
      </c>
      <c r="Q15" s="40"/>
      <c r="R15" s="6" t="s">
        <v>40</v>
      </c>
      <c r="S15" s="11">
        <v>44663.0</v>
      </c>
      <c r="T15" s="50">
        <f>VLOOKUP(R15,'Run Reconcile'!$A$2:$M672,13,FALSE)</f>
        <v>23</v>
      </c>
      <c r="U15" s="51" t="str">
        <f t="shared" si="17"/>
        <v/>
      </c>
      <c r="V15" s="50"/>
      <c r="W15" s="50"/>
      <c r="X15" s="40"/>
      <c r="Y15" s="6" t="str">
        <f>IFERROR(__xludf.DUMMYFUNCTION("""COMPUTED_VALUE"""),"RUN-COMB_2022-04-12_RFR-015")</f>
        <v>RUN-COMB_2022-04-12_RFR-015</v>
      </c>
      <c r="Z15" s="11">
        <f>IFERROR(__xludf.DUMMYFUNCTION("""COMPUTED_VALUE"""),44663.0)</f>
        <v>44663</v>
      </c>
      <c r="AA15" s="47">
        <f t="array" ref="AA15">INDEX('RFR Data - preExcl'!AK$2:AK672,$AE15,1)</f>
        <v>23</v>
      </c>
      <c r="AB15" s="50">
        <f t="shared" si="18"/>
        <v>23</v>
      </c>
      <c r="AC15" s="50">
        <f t="array" ref="AC15">INDEX('RFR Data - preExcl'!AI$2:AI672,$AE15,1)</f>
        <v>0</v>
      </c>
      <c r="AD15" s="50">
        <f t="array" ref="AD15">INDEX('RFR Data - preExcl'!AF$2:AF672,$AE15,1)</f>
        <v>0</v>
      </c>
      <c r="AE15" s="52">
        <f>IFNA(MATCH(Y15,'RFR Data - preExcl'!A$2:A672,0),"")</f>
        <v>15</v>
      </c>
      <c r="AF15" s="40"/>
      <c r="AG15" s="56" t="s">
        <v>40</v>
      </c>
      <c r="AH15" s="54">
        <f>VLOOKUP(AG15,'Run Reconcile'!A$2:B672,2,FALSE)</f>
        <v>44663</v>
      </c>
      <c r="AI15" s="55">
        <f>COUNTIF('APS Tubes Import'!$V$2:$V672, AG15)
</f>
        <v>23</v>
      </c>
      <c r="AJ15" s="55">
        <f>COUNTIFS('APS Tubes Import'!V$2:V672, AG15, 'APS Tubes Import'!H$2:H672, "Negative")
</f>
        <v>23</v>
      </c>
      <c r="AK15" s="55">
        <f>COUNTIFS('APS Tubes Import'!V$2:V672, AG15, 'APS Tubes Import'!H$2:H672, "Positive")
</f>
        <v>0</v>
      </c>
      <c r="AL15" s="55">
        <f>COUNTIFS('APS Tubes Import'!V$2:V672, AG15, 'APS Tubes Import'!H$2:H672, "Inconclusive")
</f>
        <v>0</v>
      </c>
      <c r="AM15" s="55">
        <f>COUNTIFS('APS Tubes Import'!V$2:V672, AG15, 'APS Tubes Import'!H$2:H672, "Null")
</f>
        <v>0</v>
      </c>
      <c r="AN15" s="40"/>
      <c r="AO15" s="11">
        <f>'APS Tubes by Date Import'!B14</f>
        <v>44663</v>
      </c>
      <c r="AP15" s="50">
        <f>'APS Tubes by Date Import'!C14</f>
        <v>23</v>
      </c>
      <c r="AQ15" s="50">
        <f>'APS Tubes by Date Import'!D14</f>
        <v>23</v>
      </c>
      <c r="AR15" s="50">
        <f>'APS Tubes by Date Import'!E14</f>
        <v>0</v>
      </c>
      <c r="AS15" s="50">
        <f>'APS Tubes by Date Import'!F14</f>
        <v>0</v>
      </c>
      <c r="AT15" s="50">
        <f>'APS Tubes by Date Import'!G14</f>
        <v>0</v>
      </c>
      <c r="AU15" s="40"/>
    </row>
    <row r="16">
      <c r="A16" s="6" t="s">
        <v>41</v>
      </c>
      <c r="B16" s="43">
        <f>VLOOKUP(A16,'Run Reconcile'!A$2:B672,2,FALSE)</f>
        <v>44664</v>
      </c>
      <c r="C16" s="44">
        <f>COUNTIF('ALL Tube Results'!B15:B672, A16)
</f>
        <v>21</v>
      </c>
      <c r="D16" s="45">
        <f>COUNTIFS('ALL Tube Results'!$B15:$B672, $A16, 'ALL Tube Results'!$F15:$F672, "Negative")
</f>
        <v>21</v>
      </c>
      <c r="E16" s="45">
        <f>COUNTIFS('ALL Tube Results'!$B15:$B672, $A16, 'ALL Tube Results'!$F15:$F672, "Positive")
</f>
        <v>0</v>
      </c>
      <c r="F16" s="45">
        <f>COUNTIFS('ALL Tube Results'!$B15:$B672, $A16, 'ALL Tube Results'!$F15:$F672, "Inconclusive")
</f>
        <v>0</v>
      </c>
      <c r="G16" s="46">
        <f t="shared" si="7"/>
        <v>21</v>
      </c>
      <c r="H16" s="46" t="str">
        <f t="shared" si="8"/>
        <v/>
      </c>
      <c r="I16" s="47">
        <f t="shared" si="9"/>
        <v>21</v>
      </c>
      <c r="J16" s="47">
        <f t="shared" si="10"/>
        <v>0</v>
      </c>
      <c r="K16" s="47">
        <f t="shared" si="11"/>
        <v>0</v>
      </c>
      <c r="L16" s="47" t="str">
        <f t="shared" si="12"/>
        <v/>
      </c>
      <c r="M16" s="47" t="str">
        <f t="shared" si="13"/>
        <v/>
      </c>
      <c r="N16" s="47" t="str">
        <f t="shared" si="14"/>
        <v/>
      </c>
      <c r="O16" s="48">
        <f t="shared" si="15"/>
        <v>21</v>
      </c>
      <c r="P16" s="48" t="str">
        <f t="shared" si="16"/>
        <v/>
      </c>
      <c r="Q16" s="40"/>
      <c r="R16" s="6" t="s">
        <v>41</v>
      </c>
      <c r="S16" s="11">
        <v>44664.0</v>
      </c>
      <c r="T16" s="50">
        <f>VLOOKUP(R16,'Run Reconcile'!$A$2:$M672,13,FALSE)</f>
        <v>21</v>
      </c>
      <c r="U16" s="51" t="str">
        <f t="shared" si="17"/>
        <v/>
      </c>
      <c r="V16" s="50"/>
      <c r="W16" s="50"/>
      <c r="X16" s="40"/>
      <c r="Y16" s="6" t="str">
        <f>IFERROR(__xludf.DUMMYFUNCTION("""COMPUTED_VALUE"""),"RUN-COMB_2022-04-13_RFR-016")</f>
        <v>RUN-COMB_2022-04-13_RFR-016</v>
      </c>
      <c r="Z16" s="11">
        <f>IFERROR(__xludf.DUMMYFUNCTION("""COMPUTED_VALUE"""),44664.0)</f>
        <v>44664</v>
      </c>
      <c r="AA16" s="47">
        <f t="array" ref="AA16">INDEX('RFR Data - preExcl'!AK$2:AK672,$AE16,1)</f>
        <v>21</v>
      </c>
      <c r="AB16" s="50">
        <f t="shared" si="18"/>
        <v>21</v>
      </c>
      <c r="AC16" s="50">
        <f t="array" ref="AC16">INDEX('RFR Data - preExcl'!AI$2:AI672,$AE16,1)</f>
        <v>0</v>
      </c>
      <c r="AD16" s="50">
        <f t="array" ref="AD16">INDEX('RFR Data - preExcl'!AF$2:AF672,$AE16,1)</f>
        <v>0</v>
      </c>
      <c r="AE16" s="52">
        <f>IFNA(MATCH(Y16,'RFR Data - preExcl'!A$2:A672,0),"")</f>
        <v>16</v>
      </c>
      <c r="AF16" s="40"/>
      <c r="AG16" s="56" t="s">
        <v>41</v>
      </c>
      <c r="AH16" s="54">
        <f>VLOOKUP(AG16,'Run Reconcile'!A$2:B672,2,FALSE)</f>
        <v>44664</v>
      </c>
      <c r="AI16" s="55">
        <f>COUNTIF('APS Tubes Import'!$V$2:$V672, AG16)
</f>
        <v>21</v>
      </c>
      <c r="AJ16" s="55">
        <f>COUNTIFS('APS Tubes Import'!V$2:V672, AG16, 'APS Tubes Import'!H$2:H672, "Negative")
</f>
        <v>21</v>
      </c>
      <c r="AK16" s="55">
        <f>COUNTIFS('APS Tubes Import'!V$2:V672, AG16, 'APS Tubes Import'!H$2:H672, "Positive")
</f>
        <v>0</v>
      </c>
      <c r="AL16" s="55">
        <f>COUNTIFS('APS Tubes Import'!V$2:V672, AG16, 'APS Tubes Import'!H$2:H672, "Inconclusive")
</f>
        <v>0</v>
      </c>
      <c r="AM16" s="55">
        <f>COUNTIFS('APS Tubes Import'!V$2:V672, AG16, 'APS Tubes Import'!H$2:H672, "Null")
</f>
        <v>0</v>
      </c>
      <c r="AN16" s="40"/>
      <c r="AO16" s="11">
        <f>'APS Tubes by Date Import'!B15</f>
        <v>44664</v>
      </c>
      <c r="AP16" s="50">
        <f>'APS Tubes by Date Import'!C15</f>
        <v>21</v>
      </c>
      <c r="AQ16" s="50">
        <f>'APS Tubes by Date Import'!D15</f>
        <v>21</v>
      </c>
      <c r="AR16" s="50">
        <f>'APS Tubes by Date Import'!E15</f>
        <v>0</v>
      </c>
      <c r="AS16" s="50">
        <f>'APS Tubes by Date Import'!F15</f>
        <v>0</v>
      </c>
      <c r="AT16" s="50">
        <f>'APS Tubes by Date Import'!G15</f>
        <v>0</v>
      </c>
      <c r="AU16" s="40"/>
    </row>
    <row r="17">
      <c r="A17" s="6" t="s">
        <v>42</v>
      </c>
      <c r="B17" s="43">
        <f>VLOOKUP(A17,'Run Reconcile'!A$2:B672,2,FALSE)</f>
        <v>44665</v>
      </c>
      <c r="C17" s="44">
        <f>COUNTIF('ALL Tube Results'!B16:B672, A17)
</f>
        <v>29</v>
      </c>
      <c r="D17" s="45">
        <f>COUNTIFS('ALL Tube Results'!$B16:$B672, $A17, 'ALL Tube Results'!$F16:$F672, "Negative")
</f>
        <v>29</v>
      </c>
      <c r="E17" s="45">
        <f>COUNTIFS('ALL Tube Results'!$B16:$B672, $A17, 'ALL Tube Results'!$F16:$F672, "Positive")
</f>
        <v>0</v>
      </c>
      <c r="F17" s="45">
        <f>COUNTIFS('ALL Tube Results'!$B16:$B672, $A17, 'ALL Tube Results'!$F16:$F672, "Inconclusive")
</f>
        <v>0</v>
      </c>
      <c r="G17" s="46">
        <f t="shared" si="7"/>
        <v>29</v>
      </c>
      <c r="H17" s="46" t="str">
        <f t="shared" si="8"/>
        <v/>
      </c>
      <c r="I17" s="47">
        <f t="shared" si="9"/>
        <v>29</v>
      </c>
      <c r="J17" s="47">
        <f t="shared" si="10"/>
        <v>0</v>
      </c>
      <c r="K17" s="47">
        <f t="shared" si="11"/>
        <v>0</v>
      </c>
      <c r="L17" s="47" t="str">
        <f t="shared" si="12"/>
        <v/>
      </c>
      <c r="M17" s="47" t="str">
        <f t="shared" si="13"/>
        <v/>
      </c>
      <c r="N17" s="47" t="str">
        <f t="shared" si="14"/>
        <v/>
      </c>
      <c r="O17" s="48">
        <f t="shared" si="15"/>
        <v>29</v>
      </c>
      <c r="P17" s="48" t="str">
        <f t="shared" si="16"/>
        <v/>
      </c>
      <c r="Q17" s="40"/>
      <c r="R17" s="6" t="s">
        <v>42</v>
      </c>
      <c r="S17" s="11">
        <v>44665.0</v>
      </c>
      <c r="T17" s="50">
        <f>VLOOKUP(R17,'Run Reconcile'!$A$2:$M672,13,FALSE)</f>
        <v>29</v>
      </c>
      <c r="U17" s="51" t="str">
        <f t="shared" si="17"/>
        <v/>
      </c>
      <c r="V17" s="50"/>
      <c r="W17" s="50"/>
      <c r="X17" s="40"/>
      <c r="Y17" s="6" t="str">
        <f>IFERROR(__xludf.DUMMYFUNCTION("""COMPUTED_VALUE"""),"RUN-COMB_2022-04-14_RFR-017")</f>
        <v>RUN-COMB_2022-04-14_RFR-017</v>
      </c>
      <c r="Z17" s="11">
        <f>IFERROR(__xludf.DUMMYFUNCTION("""COMPUTED_VALUE"""),44665.0)</f>
        <v>44665</v>
      </c>
      <c r="AA17" s="47">
        <f t="array" ref="AA17">INDEX('RFR Data - preExcl'!AK$2:AK672,$AE17,1)</f>
        <v>29</v>
      </c>
      <c r="AB17" s="50">
        <f t="shared" si="18"/>
        <v>29</v>
      </c>
      <c r="AC17" s="50">
        <f t="array" ref="AC17">INDEX('RFR Data - preExcl'!AI$2:AI672,$AE17,1)</f>
        <v>0</v>
      </c>
      <c r="AD17" s="50">
        <f t="array" ref="AD17">INDEX('RFR Data - preExcl'!AF$2:AF672,$AE17,1)</f>
        <v>0</v>
      </c>
      <c r="AE17" s="52">
        <f>IFNA(MATCH(Y17,'RFR Data - preExcl'!A$2:A672,0),"")</f>
        <v>17</v>
      </c>
      <c r="AF17" s="40"/>
      <c r="AG17" s="56" t="s">
        <v>42</v>
      </c>
      <c r="AH17" s="54">
        <f>VLOOKUP(AG17,'Run Reconcile'!A$2:B672,2,FALSE)</f>
        <v>44665</v>
      </c>
      <c r="AI17" s="55">
        <f>COUNTIF('APS Tubes Import'!$V$2:$V672, AG17)
</f>
        <v>29</v>
      </c>
      <c r="AJ17" s="55">
        <f>COUNTIFS('APS Tubes Import'!V$2:V672, AG17, 'APS Tubes Import'!H$2:H672, "Negative")
</f>
        <v>29</v>
      </c>
      <c r="AK17" s="55">
        <f>COUNTIFS('APS Tubes Import'!V$2:V672, AG17, 'APS Tubes Import'!H$2:H672, "Positive")
</f>
        <v>0</v>
      </c>
      <c r="AL17" s="55">
        <f>COUNTIFS('APS Tubes Import'!V$2:V672, AG17, 'APS Tubes Import'!H$2:H672, "Inconclusive")
</f>
        <v>0</v>
      </c>
      <c r="AM17" s="55">
        <f>COUNTIFS('APS Tubes Import'!V$2:V672, AG17, 'APS Tubes Import'!H$2:H672, "Null")
</f>
        <v>0</v>
      </c>
      <c r="AN17" s="40"/>
      <c r="AO17" s="11">
        <f>'APS Tubes by Date Import'!B16</f>
        <v>44665</v>
      </c>
      <c r="AP17" s="50">
        <f>'APS Tubes by Date Import'!C16</f>
        <v>29</v>
      </c>
      <c r="AQ17" s="50">
        <f>'APS Tubes by Date Import'!D16</f>
        <v>29</v>
      </c>
      <c r="AR17" s="50">
        <f>'APS Tubes by Date Import'!E16</f>
        <v>0</v>
      </c>
      <c r="AS17" s="50">
        <f>'APS Tubes by Date Import'!F16</f>
        <v>0</v>
      </c>
      <c r="AT17" s="50">
        <f>'APS Tubes by Date Import'!G16</f>
        <v>0</v>
      </c>
      <c r="AU17" s="40"/>
    </row>
    <row r="18">
      <c r="A18" s="6" t="s">
        <v>43</v>
      </c>
      <c r="B18" s="43">
        <f>VLOOKUP(A18,'Run Reconcile'!A$2:B672,2,FALSE)</f>
        <v>44666</v>
      </c>
      <c r="C18" s="44">
        <f>COUNTIF('ALL Tube Results'!B17:B672, A18)
</f>
        <v>23</v>
      </c>
      <c r="D18" s="45">
        <f>COUNTIFS('ALL Tube Results'!$B17:$B672, $A18, 'ALL Tube Results'!$F17:$F672, "Negative")
</f>
        <v>23</v>
      </c>
      <c r="E18" s="45">
        <f>COUNTIFS('ALL Tube Results'!$B17:$B672, $A18, 'ALL Tube Results'!$F17:$F672, "Positive")
</f>
        <v>0</v>
      </c>
      <c r="F18" s="45">
        <f>COUNTIFS('ALL Tube Results'!$B17:$B672, $A18, 'ALL Tube Results'!$F17:$F672, "Inconclusive")
</f>
        <v>0</v>
      </c>
      <c r="G18" s="46">
        <f t="shared" si="7"/>
        <v>23</v>
      </c>
      <c r="H18" s="46" t="str">
        <f t="shared" si="8"/>
        <v/>
      </c>
      <c r="I18" s="47">
        <f t="shared" si="9"/>
        <v>23</v>
      </c>
      <c r="J18" s="47">
        <f t="shared" si="10"/>
        <v>0</v>
      </c>
      <c r="K18" s="47">
        <f t="shared" si="11"/>
        <v>0</v>
      </c>
      <c r="L18" s="47" t="str">
        <f t="shared" si="12"/>
        <v/>
      </c>
      <c r="M18" s="47" t="str">
        <f t="shared" si="13"/>
        <v/>
      </c>
      <c r="N18" s="47" t="str">
        <f t="shared" si="14"/>
        <v/>
      </c>
      <c r="O18" s="48">
        <f t="shared" si="15"/>
        <v>23</v>
      </c>
      <c r="P18" s="48" t="str">
        <f t="shared" si="16"/>
        <v/>
      </c>
      <c r="Q18" s="40"/>
      <c r="R18" s="6" t="s">
        <v>43</v>
      </c>
      <c r="S18" s="11">
        <v>44666.0</v>
      </c>
      <c r="T18" s="50">
        <f>VLOOKUP(R18,'Run Reconcile'!$A$2:$M672,13,FALSE)</f>
        <v>23</v>
      </c>
      <c r="U18" s="51" t="str">
        <f t="shared" si="17"/>
        <v/>
      </c>
      <c r="V18" s="50"/>
      <c r="W18" s="50"/>
      <c r="X18" s="40"/>
      <c r="Y18" s="6" t="str">
        <f>IFERROR(__xludf.DUMMYFUNCTION("""COMPUTED_VALUE"""),"RUN-COMB_2022-04-15_RFR-018")</f>
        <v>RUN-COMB_2022-04-15_RFR-018</v>
      </c>
      <c r="Z18" s="11">
        <f>IFERROR(__xludf.DUMMYFUNCTION("""COMPUTED_VALUE"""),44666.0)</f>
        <v>44666</v>
      </c>
      <c r="AA18" s="47">
        <f t="array" ref="AA18">INDEX('RFR Data - preExcl'!AK$2:AK672,$AE18,1)</f>
        <v>23</v>
      </c>
      <c r="AB18" s="50">
        <f t="shared" si="18"/>
        <v>23</v>
      </c>
      <c r="AC18" s="50">
        <f t="array" ref="AC18">INDEX('RFR Data - preExcl'!AI$2:AI672,$AE18,1)</f>
        <v>0</v>
      </c>
      <c r="AD18" s="50">
        <f t="array" ref="AD18">INDEX('RFR Data - preExcl'!AF$2:AF672,$AE18,1)</f>
        <v>0</v>
      </c>
      <c r="AE18" s="52">
        <f>IFNA(MATCH(Y18,'RFR Data - preExcl'!A$2:A672,0),"")</f>
        <v>18</v>
      </c>
      <c r="AF18" s="40"/>
      <c r="AG18" s="56" t="s">
        <v>43</v>
      </c>
      <c r="AH18" s="54">
        <f>VLOOKUP(AG18,'Run Reconcile'!A$2:B672,2,FALSE)</f>
        <v>44666</v>
      </c>
      <c r="AI18" s="55">
        <f>COUNTIF('APS Tubes Import'!$V$2:$V672, AG18)
</f>
        <v>23</v>
      </c>
      <c r="AJ18" s="55">
        <f>COUNTIFS('APS Tubes Import'!V$2:V672, AG18, 'APS Tubes Import'!H$2:H672, "Negative")
</f>
        <v>23</v>
      </c>
      <c r="AK18" s="55">
        <f>COUNTIFS('APS Tubes Import'!V$2:V672, AG18, 'APS Tubes Import'!H$2:H672, "Positive")
</f>
        <v>0</v>
      </c>
      <c r="AL18" s="55">
        <f>COUNTIFS('APS Tubes Import'!V$2:V672, AG18, 'APS Tubes Import'!H$2:H672, "Inconclusive")
</f>
        <v>0</v>
      </c>
      <c r="AM18" s="55">
        <f>COUNTIFS('APS Tubes Import'!V$2:V672, AG18, 'APS Tubes Import'!H$2:H672, "Null")
</f>
        <v>0</v>
      </c>
      <c r="AN18" s="40"/>
      <c r="AO18" s="11">
        <f>'APS Tubes by Date Import'!B17</f>
        <v>44666</v>
      </c>
      <c r="AP18" s="50">
        <f>'APS Tubes by Date Import'!C17</f>
        <v>23</v>
      </c>
      <c r="AQ18" s="50">
        <f>'APS Tubes by Date Import'!D17</f>
        <v>23</v>
      </c>
      <c r="AR18" s="50">
        <f>'APS Tubes by Date Import'!E17</f>
        <v>0</v>
      </c>
      <c r="AS18" s="50">
        <f>'APS Tubes by Date Import'!F17</f>
        <v>0</v>
      </c>
      <c r="AT18" s="50">
        <f>'APS Tubes by Date Import'!G17</f>
        <v>0</v>
      </c>
      <c r="AU18" s="40"/>
    </row>
    <row r="19">
      <c r="A19" s="6" t="s">
        <v>44</v>
      </c>
      <c r="B19" s="43">
        <f>VLOOKUP(A19,'Run Reconcile'!A$2:B672,2,FALSE)</f>
        <v>44669</v>
      </c>
      <c r="C19" s="44">
        <f>COUNTIF('ALL Tube Results'!B18:B672, A19)
</f>
        <v>4</v>
      </c>
      <c r="D19" s="45">
        <f>COUNTIFS('ALL Tube Results'!$B18:$B672, $A19, 'ALL Tube Results'!$F18:$F672, "Negative")
</f>
        <v>4</v>
      </c>
      <c r="E19" s="45">
        <f>COUNTIFS('ALL Tube Results'!$B18:$B672, $A19, 'ALL Tube Results'!$F18:$F672, "Positive")
</f>
        <v>0</v>
      </c>
      <c r="F19" s="45">
        <f>COUNTIFS('ALL Tube Results'!$B18:$B672, $A19, 'ALL Tube Results'!$F18:$F672, "Inconclusive")
</f>
        <v>0</v>
      </c>
      <c r="G19" s="46">
        <f t="shared" si="7"/>
        <v>4</v>
      </c>
      <c r="H19" s="46" t="str">
        <f t="shared" si="8"/>
        <v/>
      </c>
      <c r="I19" s="47">
        <f t="shared" si="9"/>
        <v>4</v>
      </c>
      <c r="J19" s="47">
        <f t="shared" si="10"/>
        <v>0</v>
      </c>
      <c r="K19" s="47">
        <f t="shared" si="11"/>
        <v>0</v>
      </c>
      <c r="L19" s="47" t="str">
        <f t="shared" si="12"/>
        <v/>
      </c>
      <c r="M19" s="47" t="str">
        <f t="shared" si="13"/>
        <v/>
      </c>
      <c r="N19" s="47" t="str">
        <f t="shared" si="14"/>
        <v/>
      </c>
      <c r="O19" s="48">
        <f t="shared" si="15"/>
        <v>4</v>
      </c>
      <c r="P19" s="48" t="str">
        <f t="shared" si="16"/>
        <v/>
      </c>
      <c r="Q19" s="40"/>
      <c r="R19" s="6" t="s">
        <v>44</v>
      </c>
      <c r="S19" s="11">
        <v>44669.0</v>
      </c>
      <c r="T19" s="50">
        <f>VLOOKUP(R19,'Run Reconcile'!$A$2:$M672,13,FALSE)</f>
        <v>4</v>
      </c>
      <c r="U19" s="51" t="str">
        <f t="shared" si="17"/>
        <v/>
      </c>
      <c r="V19" s="50"/>
      <c r="W19" s="50"/>
      <c r="X19" s="40"/>
      <c r="Y19" s="6" t="str">
        <f>IFERROR(__xludf.DUMMYFUNCTION("""COMPUTED_VALUE"""),"RUN-COMB_2022-04-18_RFR-020")</f>
        <v>RUN-COMB_2022-04-18_RFR-020</v>
      </c>
      <c r="Z19" s="11">
        <f>IFERROR(__xludf.DUMMYFUNCTION("""COMPUTED_VALUE"""),44669.0)</f>
        <v>44669</v>
      </c>
      <c r="AA19" s="47">
        <f t="array" ref="AA19">INDEX('RFR Data - preExcl'!AK$2:AK672,$AE19,1)</f>
        <v>4</v>
      </c>
      <c r="AB19" s="50">
        <f t="shared" si="18"/>
        <v>4</v>
      </c>
      <c r="AC19" s="50">
        <f t="array" ref="AC19">INDEX('RFR Data - preExcl'!AI$2:AI672,$AE19,1)</f>
        <v>0</v>
      </c>
      <c r="AD19" s="50">
        <f t="array" ref="AD19">INDEX('RFR Data - preExcl'!AF$2:AF672,$AE19,1)</f>
        <v>0</v>
      </c>
      <c r="AE19" s="52">
        <f>IFNA(MATCH(Y19,'RFR Data - preExcl'!A$2:A672,0),"")</f>
        <v>20</v>
      </c>
      <c r="AF19" s="40"/>
      <c r="AG19" s="56" t="s">
        <v>44</v>
      </c>
      <c r="AH19" s="54">
        <f>VLOOKUP(AG19,'Run Reconcile'!A$2:B672,2,FALSE)</f>
        <v>44669</v>
      </c>
      <c r="AI19" s="55">
        <f>COUNTIF('APS Tubes Import'!$V$2:$V672, AG19)
</f>
        <v>4</v>
      </c>
      <c r="AJ19" s="55">
        <f>COUNTIFS('APS Tubes Import'!V$2:V672, AG19, 'APS Tubes Import'!H$2:H672, "Negative")
</f>
        <v>4</v>
      </c>
      <c r="AK19" s="55">
        <f>COUNTIFS('APS Tubes Import'!V$2:V672, AG19, 'APS Tubes Import'!H$2:H672, "Positive")
</f>
        <v>0</v>
      </c>
      <c r="AL19" s="55">
        <f>COUNTIFS('APS Tubes Import'!V$2:V672, AG19, 'APS Tubes Import'!H$2:H672, "Inconclusive")
</f>
        <v>0</v>
      </c>
      <c r="AM19" s="55">
        <f>COUNTIFS('APS Tubes Import'!V$2:V672, AG19, 'APS Tubes Import'!H$2:H672, "Null")
</f>
        <v>0</v>
      </c>
      <c r="AN19" s="40"/>
      <c r="AO19" s="11">
        <f>'APS Tubes by Date Import'!B18</f>
        <v>44669</v>
      </c>
      <c r="AP19" s="50">
        <f>'APS Tubes by Date Import'!C18</f>
        <v>36</v>
      </c>
      <c r="AQ19" s="50">
        <f>'APS Tubes by Date Import'!D18</f>
        <v>36</v>
      </c>
      <c r="AR19" s="50">
        <f>'APS Tubes by Date Import'!E18</f>
        <v>0</v>
      </c>
      <c r="AS19" s="50">
        <f>'APS Tubes by Date Import'!F18</f>
        <v>0</v>
      </c>
      <c r="AT19" s="50">
        <f>'APS Tubes by Date Import'!G18</f>
        <v>0</v>
      </c>
      <c r="AU19" s="40"/>
    </row>
    <row r="20">
      <c r="A20" s="6" t="s">
        <v>45</v>
      </c>
      <c r="B20" s="43">
        <f>VLOOKUP(A20,'Run Reconcile'!A$2:B672,2,FALSE)</f>
        <v>44669</v>
      </c>
      <c r="C20" s="44">
        <f>COUNTIF('ALL Tube Results'!B19:B672, A20)
</f>
        <v>32</v>
      </c>
      <c r="D20" s="45">
        <f>COUNTIFS('ALL Tube Results'!$B19:$B672, $A20, 'ALL Tube Results'!$F19:$F672, "Negative")
</f>
        <v>32</v>
      </c>
      <c r="E20" s="45">
        <f>COUNTIFS('ALL Tube Results'!$B19:$B672, $A20, 'ALL Tube Results'!$F19:$F672, "Positive")
</f>
        <v>0</v>
      </c>
      <c r="F20" s="45">
        <f>COUNTIFS('ALL Tube Results'!$B19:$B672, $A20, 'ALL Tube Results'!$F19:$F672, "Inconclusive")
</f>
        <v>0</v>
      </c>
      <c r="G20" s="46">
        <f t="shared" si="7"/>
        <v>32</v>
      </c>
      <c r="H20" s="46" t="str">
        <f t="shared" si="8"/>
        <v/>
      </c>
      <c r="I20" s="47">
        <f t="shared" si="9"/>
        <v>32</v>
      </c>
      <c r="J20" s="47">
        <f t="shared" si="10"/>
        <v>0</v>
      </c>
      <c r="K20" s="47">
        <f t="shared" si="11"/>
        <v>0</v>
      </c>
      <c r="L20" s="47" t="str">
        <f t="shared" si="12"/>
        <v/>
      </c>
      <c r="M20" s="47" t="str">
        <f t="shared" si="13"/>
        <v/>
      </c>
      <c r="N20" s="47" t="str">
        <f t="shared" si="14"/>
        <v/>
      </c>
      <c r="O20" s="48">
        <f t="shared" si="15"/>
        <v>32</v>
      </c>
      <c r="P20" s="48" t="str">
        <f t="shared" si="16"/>
        <v/>
      </c>
      <c r="Q20" s="40"/>
      <c r="R20" s="6" t="s">
        <v>45</v>
      </c>
      <c r="S20" s="11">
        <v>44669.0</v>
      </c>
      <c r="T20" s="50">
        <f>VLOOKUP(R20,'Run Reconcile'!$A$2:$M672,13,FALSE)</f>
        <v>32</v>
      </c>
      <c r="U20" s="51" t="str">
        <f t="shared" si="17"/>
        <v/>
      </c>
      <c r="V20" s="50"/>
      <c r="W20" s="50"/>
      <c r="X20" s="40"/>
      <c r="Y20" s="6" t="str">
        <f>IFERROR(__xludf.DUMMYFUNCTION("""COMPUTED_VALUE"""),"RUN-COMB_2022-04-18_RFR-021")</f>
        <v>RUN-COMB_2022-04-18_RFR-021</v>
      </c>
      <c r="Z20" s="11">
        <f>IFERROR(__xludf.DUMMYFUNCTION("""COMPUTED_VALUE"""),44669.0)</f>
        <v>44669</v>
      </c>
      <c r="AA20" s="47">
        <f t="array" ref="AA20">INDEX('RFR Data - preExcl'!AK$2:AK672,$AE20,1)</f>
        <v>32</v>
      </c>
      <c r="AB20" s="50">
        <f t="shared" si="18"/>
        <v>32</v>
      </c>
      <c r="AC20" s="50">
        <f t="array" ref="AC20">INDEX('RFR Data - preExcl'!AI$2:AI672,$AE20,1)</f>
        <v>0</v>
      </c>
      <c r="AD20" s="50">
        <f t="array" ref="AD20">INDEX('RFR Data - preExcl'!AF$2:AF672,$AE20,1)</f>
        <v>0</v>
      </c>
      <c r="AE20" s="52">
        <f>IFNA(MATCH(Y20,'RFR Data - preExcl'!A$2:A672,0),"")</f>
        <v>21</v>
      </c>
      <c r="AF20" s="40"/>
      <c r="AG20" s="56" t="s">
        <v>45</v>
      </c>
      <c r="AH20" s="54">
        <f>VLOOKUP(AG20,'Run Reconcile'!A$2:B672,2,FALSE)</f>
        <v>44669</v>
      </c>
      <c r="AI20" s="55">
        <f>COUNTIF('APS Tubes Import'!$V$2:$V672, AG20)
</f>
        <v>32</v>
      </c>
      <c r="AJ20" s="55">
        <f>COUNTIFS('APS Tubes Import'!V$2:V672, AG20, 'APS Tubes Import'!H$2:H672, "Negative")
</f>
        <v>32</v>
      </c>
      <c r="AK20" s="55">
        <f>COUNTIFS('APS Tubes Import'!V$2:V672, AG20, 'APS Tubes Import'!H$2:H672, "Positive")
</f>
        <v>0</v>
      </c>
      <c r="AL20" s="55">
        <f>COUNTIFS('APS Tubes Import'!V$2:V672, AG20, 'APS Tubes Import'!H$2:H672, "Inconclusive")
</f>
        <v>0</v>
      </c>
      <c r="AM20" s="55">
        <f>COUNTIFS('APS Tubes Import'!V$2:V672, AG20, 'APS Tubes Import'!H$2:H672, "Null")
</f>
        <v>0</v>
      </c>
      <c r="AN20" s="40"/>
      <c r="AO20" s="11">
        <f>'APS Tubes by Date Import'!B19</f>
        <v>44670</v>
      </c>
      <c r="AP20" s="50">
        <f>'APS Tubes by Date Import'!C19</f>
        <v>18</v>
      </c>
      <c r="AQ20" s="50">
        <f>'APS Tubes by Date Import'!D19</f>
        <v>18</v>
      </c>
      <c r="AR20" s="50">
        <f>'APS Tubes by Date Import'!E19</f>
        <v>0</v>
      </c>
      <c r="AS20" s="50">
        <f>'APS Tubes by Date Import'!F19</f>
        <v>0</v>
      </c>
      <c r="AT20" s="50">
        <f>'APS Tubes by Date Import'!G19</f>
        <v>0</v>
      </c>
      <c r="AU20" s="40"/>
    </row>
    <row r="21">
      <c r="A21" s="6" t="s">
        <v>46</v>
      </c>
      <c r="B21" s="43">
        <f>VLOOKUP(A21,'Run Reconcile'!A$2:B672,2,FALSE)</f>
        <v>44670</v>
      </c>
      <c r="C21" s="44">
        <f>COUNTIF('ALL Tube Results'!B20:B672, A21)
</f>
        <v>18</v>
      </c>
      <c r="D21" s="45">
        <f>COUNTIFS('ALL Tube Results'!$B20:$B672, $A21, 'ALL Tube Results'!$F20:$F672, "Negative")
</f>
        <v>18</v>
      </c>
      <c r="E21" s="45">
        <f>COUNTIFS('ALL Tube Results'!$B20:$B672, $A21, 'ALL Tube Results'!$F20:$F672, "Positive")
</f>
        <v>0</v>
      </c>
      <c r="F21" s="45">
        <f>COUNTIFS('ALL Tube Results'!$B20:$B672, $A21, 'ALL Tube Results'!$F20:$F672, "Inconclusive")
</f>
        <v>0</v>
      </c>
      <c r="G21" s="46">
        <f t="shared" si="7"/>
        <v>18</v>
      </c>
      <c r="H21" s="46" t="str">
        <f t="shared" si="8"/>
        <v/>
      </c>
      <c r="I21" s="47">
        <f t="shared" si="9"/>
        <v>18</v>
      </c>
      <c r="J21" s="47">
        <f t="shared" si="10"/>
        <v>0</v>
      </c>
      <c r="K21" s="47">
        <f t="shared" si="11"/>
        <v>0</v>
      </c>
      <c r="L21" s="47" t="str">
        <f t="shared" si="12"/>
        <v/>
      </c>
      <c r="M21" s="47" t="str">
        <f t="shared" si="13"/>
        <v/>
      </c>
      <c r="N21" s="47" t="str">
        <f t="shared" si="14"/>
        <v/>
      </c>
      <c r="O21" s="48">
        <f t="shared" si="15"/>
        <v>18</v>
      </c>
      <c r="P21" s="48" t="str">
        <f t="shared" si="16"/>
        <v/>
      </c>
      <c r="Q21" s="40"/>
      <c r="R21" s="6" t="s">
        <v>46</v>
      </c>
      <c r="S21" s="11">
        <v>44670.0</v>
      </c>
      <c r="T21" s="50">
        <f>VLOOKUP(R21,'Run Reconcile'!$A$2:$M672,13,FALSE)</f>
        <v>18</v>
      </c>
      <c r="U21" s="51" t="str">
        <f t="shared" si="17"/>
        <v/>
      </c>
      <c r="V21" s="50"/>
      <c r="W21" s="50"/>
      <c r="X21" s="40"/>
      <c r="Y21" s="6" t="str">
        <f>IFERROR(__xludf.DUMMYFUNCTION("""COMPUTED_VALUE"""),"RUN-COMB_2022-04-19_RFR-022")</f>
        <v>RUN-COMB_2022-04-19_RFR-022</v>
      </c>
      <c r="Z21" s="11">
        <f>IFERROR(__xludf.DUMMYFUNCTION("""COMPUTED_VALUE"""),44670.0)</f>
        <v>44670</v>
      </c>
      <c r="AA21" s="47">
        <f t="array" ref="AA21">INDEX('RFR Data - preExcl'!AK$2:AK672,$AE21,1)</f>
        <v>18</v>
      </c>
      <c r="AB21" s="50">
        <f t="shared" si="18"/>
        <v>18</v>
      </c>
      <c r="AC21" s="50">
        <f t="array" ref="AC21">INDEX('RFR Data - preExcl'!AI$2:AI672,$AE21,1)</f>
        <v>0</v>
      </c>
      <c r="AD21" s="50">
        <f t="array" ref="AD21">INDEX('RFR Data - preExcl'!AF$2:AF672,$AE21,1)</f>
        <v>0</v>
      </c>
      <c r="AE21" s="52">
        <f>IFNA(MATCH(Y21,'RFR Data - preExcl'!A$2:A672,0),"")</f>
        <v>22</v>
      </c>
      <c r="AF21" s="40"/>
      <c r="AG21" s="56" t="s">
        <v>46</v>
      </c>
      <c r="AH21" s="54">
        <f>VLOOKUP(AG21,'Run Reconcile'!A$2:B672,2,FALSE)</f>
        <v>44670</v>
      </c>
      <c r="AI21" s="55">
        <f>COUNTIF('APS Tubes Import'!$V$2:$V672, AG21)
</f>
        <v>18</v>
      </c>
      <c r="AJ21" s="55">
        <f>COUNTIFS('APS Tubes Import'!V$2:V672, AG21, 'APS Tubes Import'!H$2:H672, "Negative")
</f>
        <v>18</v>
      </c>
      <c r="AK21" s="55">
        <f>COUNTIFS('APS Tubes Import'!V$2:V672, AG21, 'APS Tubes Import'!H$2:H672, "Positive")
</f>
        <v>0</v>
      </c>
      <c r="AL21" s="55">
        <f>COUNTIFS('APS Tubes Import'!V$2:V672, AG21, 'APS Tubes Import'!H$2:H672, "Inconclusive")
</f>
        <v>0</v>
      </c>
      <c r="AM21" s="55">
        <f>COUNTIFS('APS Tubes Import'!V$2:V672, AG21, 'APS Tubes Import'!H$2:H672, "Null")
</f>
        <v>0</v>
      </c>
      <c r="AN21" s="40"/>
      <c r="AO21" s="11">
        <f>'APS Tubes by Date Import'!B20</f>
        <v>44671</v>
      </c>
      <c r="AP21" s="50">
        <f>'APS Tubes by Date Import'!C20</f>
        <v>14</v>
      </c>
      <c r="AQ21" s="50">
        <f>'APS Tubes by Date Import'!D20</f>
        <v>14</v>
      </c>
      <c r="AR21" s="50">
        <f>'APS Tubes by Date Import'!E20</f>
        <v>0</v>
      </c>
      <c r="AS21" s="50">
        <f>'APS Tubes by Date Import'!F20</f>
        <v>0</v>
      </c>
      <c r="AT21" s="50">
        <f>'APS Tubes by Date Import'!G20</f>
        <v>0</v>
      </c>
      <c r="AU21" s="40"/>
    </row>
    <row r="22">
      <c r="A22" s="6" t="s">
        <v>47</v>
      </c>
      <c r="B22" s="43">
        <f>VLOOKUP(A22,'Run Reconcile'!A$2:B672,2,FALSE)</f>
        <v>44671</v>
      </c>
      <c r="C22" s="44">
        <f>COUNTIF('ALL Tube Results'!B21:B672, A22)
</f>
        <v>14</v>
      </c>
      <c r="D22" s="45">
        <f>COUNTIFS('ALL Tube Results'!$B21:$B672, $A22, 'ALL Tube Results'!$F21:$F672, "Negative")
</f>
        <v>14</v>
      </c>
      <c r="E22" s="45">
        <f>COUNTIFS('ALL Tube Results'!$B21:$B672, $A22, 'ALL Tube Results'!$F21:$F672, "Positive")
</f>
        <v>0</v>
      </c>
      <c r="F22" s="45">
        <f>COUNTIFS('ALL Tube Results'!$B21:$B672, $A22, 'ALL Tube Results'!$F21:$F672, "Inconclusive")
</f>
        <v>0</v>
      </c>
      <c r="G22" s="46">
        <f t="shared" si="7"/>
        <v>14</v>
      </c>
      <c r="H22" s="46" t="str">
        <f t="shared" si="8"/>
        <v/>
      </c>
      <c r="I22" s="47">
        <f t="shared" si="9"/>
        <v>14</v>
      </c>
      <c r="J22" s="47">
        <f t="shared" si="10"/>
        <v>0</v>
      </c>
      <c r="K22" s="47">
        <f t="shared" si="11"/>
        <v>0</v>
      </c>
      <c r="L22" s="47" t="str">
        <f t="shared" si="12"/>
        <v/>
      </c>
      <c r="M22" s="47" t="str">
        <f t="shared" si="13"/>
        <v/>
      </c>
      <c r="N22" s="47" t="str">
        <f t="shared" si="14"/>
        <v/>
      </c>
      <c r="O22" s="48">
        <f t="shared" si="15"/>
        <v>14</v>
      </c>
      <c r="P22" s="48" t="str">
        <f t="shared" si="16"/>
        <v/>
      </c>
      <c r="Q22" s="40"/>
      <c r="R22" s="6" t="s">
        <v>47</v>
      </c>
      <c r="S22" s="11">
        <v>44671.0</v>
      </c>
      <c r="T22" s="50">
        <f>VLOOKUP(R22,'Run Reconcile'!$A$2:$M672,13,FALSE)</f>
        <v>14</v>
      </c>
      <c r="U22" s="51" t="str">
        <f t="shared" si="17"/>
        <v/>
      </c>
      <c r="V22" s="50"/>
      <c r="W22" s="50"/>
      <c r="X22" s="40"/>
      <c r="Y22" s="6" t="str">
        <f>IFERROR(__xludf.DUMMYFUNCTION("""COMPUTED_VALUE"""),"RUN-COMB_2022-04-20_RFR-024")</f>
        <v>RUN-COMB_2022-04-20_RFR-024</v>
      </c>
      <c r="Z22" s="11">
        <f>IFERROR(__xludf.DUMMYFUNCTION("""COMPUTED_VALUE"""),44671.0)</f>
        <v>44671</v>
      </c>
      <c r="AA22" s="47">
        <f t="array" ref="AA22">INDEX('RFR Data - preExcl'!AK$2:AK672,$AE22,1)</f>
        <v>14</v>
      </c>
      <c r="AB22" s="50">
        <f t="shared" si="18"/>
        <v>14</v>
      </c>
      <c r="AC22" s="50">
        <f t="array" ref="AC22">INDEX('RFR Data - preExcl'!AI$2:AI672,$AE22,1)</f>
        <v>0</v>
      </c>
      <c r="AD22" s="50">
        <f t="array" ref="AD22">INDEX('RFR Data - preExcl'!AF$2:AF672,$AE22,1)</f>
        <v>0</v>
      </c>
      <c r="AE22" s="52">
        <f>IFNA(MATCH(Y22,'RFR Data - preExcl'!A$2:A672,0),"")</f>
        <v>24</v>
      </c>
      <c r="AF22" s="40"/>
      <c r="AG22" s="56" t="s">
        <v>47</v>
      </c>
      <c r="AH22" s="54">
        <f>VLOOKUP(AG22,'Run Reconcile'!A$2:B672,2,FALSE)</f>
        <v>44671</v>
      </c>
      <c r="AI22" s="55">
        <f>COUNTIF('APS Tubes Import'!$V$2:$V672, AG22)
</f>
        <v>14</v>
      </c>
      <c r="AJ22" s="55">
        <f>COUNTIFS('APS Tubes Import'!V$2:V672, AG22, 'APS Tubes Import'!H$2:H672, "Negative")
</f>
        <v>14</v>
      </c>
      <c r="AK22" s="55">
        <f>COUNTIFS('APS Tubes Import'!V$2:V672, AG22, 'APS Tubes Import'!H$2:H672, "Positive")
</f>
        <v>0</v>
      </c>
      <c r="AL22" s="55">
        <f>COUNTIFS('APS Tubes Import'!V$2:V672, AG22, 'APS Tubes Import'!H$2:H672, "Inconclusive")
</f>
        <v>0</v>
      </c>
      <c r="AM22" s="55">
        <f>COUNTIFS('APS Tubes Import'!V$2:V672, AG22, 'APS Tubes Import'!H$2:H672, "Null")
</f>
        <v>0</v>
      </c>
      <c r="AN22" s="40"/>
      <c r="AO22" s="11">
        <f>'APS Tubes by Date Import'!B21</f>
        <v>44672</v>
      </c>
      <c r="AP22" s="50">
        <f>'APS Tubes by Date Import'!C21</f>
        <v>40</v>
      </c>
      <c r="AQ22" s="50">
        <f>'APS Tubes by Date Import'!D21</f>
        <v>39</v>
      </c>
      <c r="AR22" s="50">
        <f>'APS Tubes by Date Import'!E21</f>
        <v>1</v>
      </c>
      <c r="AS22" s="50">
        <f>'APS Tubes by Date Import'!F21</f>
        <v>0</v>
      </c>
      <c r="AT22" s="50">
        <f>'APS Tubes by Date Import'!G21</f>
        <v>0</v>
      </c>
      <c r="AU22" s="40"/>
    </row>
    <row r="23">
      <c r="A23" s="6" t="s">
        <v>48</v>
      </c>
      <c r="B23" s="43">
        <f>VLOOKUP(A23,'Run Reconcile'!A$2:B672,2,FALSE)</f>
        <v>44672</v>
      </c>
      <c r="C23" s="44">
        <f>COUNTIF('ALL Tube Results'!B22:B672, A23)
</f>
        <v>40</v>
      </c>
      <c r="D23" s="45">
        <f>COUNTIFS('ALL Tube Results'!$B22:$B672, $A23, 'ALL Tube Results'!$F22:$F672, "Negative")
</f>
        <v>39</v>
      </c>
      <c r="E23" s="45">
        <f>COUNTIFS('ALL Tube Results'!$B22:$B672, $A23, 'ALL Tube Results'!$F22:$F672, "Positive")
</f>
        <v>1</v>
      </c>
      <c r="F23" s="45">
        <f>COUNTIFS('ALL Tube Results'!$B22:$B672, $A23, 'ALL Tube Results'!$F22:$F672, "Inconclusive")
</f>
        <v>0</v>
      </c>
      <c r="G23" s="46">
        <f t="shared" si="7"/>
        <v>40</v>
      </c>
      <c r="H23" s="46" t="str">
        <f t="shared" si="8"/>
        <v/>
      </c>
      <c r="I23" s="47">
        <f t="shared" si="9"/>
        <v>40</v>
      </c>
      <c r="J23" s="47">
        <f t="shared" si="10"/>
        <v>1</v>
      </c>
      <c r="K23" s="47">
        <f t="shared" si="11"/>
        <v>0</v>
      </c>
      <c r="L23" s="47" t="str">
        <f t="shared" si="12"/>
        <v/>
      </c>
      <c r="M23" s="47" t="str">
        <f t="shared" si="13"/>
        <v/>
      </c>
      <c r="N23" s="47" t="str">
        <f t="shared" si="14"/>
        <v/>
      </c>
      <c r="O23" s="48">
        <f t="shared" si="15"/>
        <v>40</v>
      </c>
      <c r="P23" s="48" t="str">
        <f t="shared" si="16"/>
        <v/>
      </c>
      <c r="Q23" s="40"/>
      <c r="R23" s="6" t="s">
        <v>48</v>
      </c>
      <c r="S23" s="11">
        <v>44672.0</v>
      </c>
      <c r="T23" s="50">
        <f>VLOOKUP(R23,'Run Reconcile'!$A$2:$M672,13,FALSE)</f>
        <v>40</v>
      </c>
      <c r="U23" s="51" t="str">
        <f t="shared" si="17"/>
        <v/>
      </c>
      <c r="V23" s="50"/>
      <c r="W23" s="50"/>
      <c r="X23" s="40"/>
      <c r="Y23" s="6" t="str">
        <f>IFERROR(__xludf.DUMMYFUNCTION("""COMPUTED_VALUE"""),"RUN-COMB_2022-04-21_RFR-025")</f>
        <v>RUN-COMB_2022-04-21_RFR-025</v>
      </c>
      <c r="Z23" s="11">
        <f>IFERROR(__xludf.DUMMYFUNCTION("""COMPUTED_VALUE"""),44672.0)</f>
        <v>44672</v>
      </c>
      <c r="AA23" s="47">
        <f t="array" ref="AA23">INDEX('RFR Data - preExcl'!AK$2:AK672,$AE23,1)</f>
        <v>40</v>
      </c>
      <c r="AB23" s="50">
        <f t="shared" si="18"/>
        <v>39</v>
      </c>
      <c r="AC23" s="50">
        <f t="array" ref="AC23">INDEX('RFR Data - preExcl'!AI$2:AI672,$AE23,1)</f>
        <v>1</v>
      </c>
      <c r="AD23" s="50">
        <f t="array" ref="AD23">INDEX('RFR Data - preExcl'!AF$2:AF672,$AE23,1)</f>
        <v>0</v>
      </c>
      <c r="AE23" s="52">
        <f>IFNA(MATCH(Y23,'RFR Data - preExcl'!A$2:A672,0),"")</f>
        <v>25</v>
      </c>
      <c r="AF23" s="40"/>
      <c r="AG23" s="56" t="s">
        <v>48</v>
      </c>
      <c r="AH23" s="54">
        <f>VLOOKUP(AG23,'Run Reconcile'!A$2:B672,2,FALSE)</f>
        <v>44672</v>
      </c>
      <c r="AI23" s="55">
        <f>COUNTIF('APS Tubes Import'!$V$2:$V672, AG23)
</f>
        <v>40</v>
      </c>
      <c r="AJ23" s="55">
        <f>COUNTIFS('APS Tubes Import'!V$2:V672, AG23, 'APS Tubes Import'!H$2:H672, "Negative")
</f>
        <v>39</v>
      </c>
      <c r="AK23" s="55">
        <f>COUNTIFS('APS Tubes Import'!V$2:V672, AG23, 'APS Tubes Import'!H$2:H672, "Positive")
</f>
        <v>1</v>
      </c>
      <c r="AL23" s="55">
        <f>COUNTIFS('APS Tubes Import'!V$2:V672, AG23, 'APS Tubes Import'!H$2:H672, "Inconclusive")
</f>
        <v>0</v>
      </c>
      <c r="AM23" s="55">
        <f>COUNTIFS('APS Tubes Import'!V$2:V672, AG23, 'APS Tubes Import'!H$2:H672, "Null")
</f>
        <v>0</v>
      </c>
      <c r="AN23" s="40"/>
      <c r="AO23" s="11">
        <f>'APS Tubes by Date Import'!B22</f>
        <v>44673</v>
      </c>
      <c r="AP23" s="50">
        <f>'APS Tubes by Date Import'!C22</f>
        <v>26</v>
      </c>
      <c r="AQ23" s="50">
        <f>'APS Tubes by Date Import'!D22</f>
        <v>26</v>
      </c>
      <c r="AR23" s="50">
        <f>'APS Tubes by Date Import'!E22</f>
        <v>0</v>
      </c>
      <c r="AS23" s="50">
        <f>'APS Tubes by Date Import'!F22</f>
        <v>0</v>
      </c>
      <c r="AT23" s="50">
        <f>'APS Tubes by Date Import'!G22</f>
        <v>0</v>
      </c>
      <c r="AU23" s="40"/>
    </row>
    <row r="24">
      <c r="A24" s="6" t="s">
        <v>49</v>
      </c>
      <c r="B24" s="43">
        <f>VLOOKUP(A24,'Run Reconcile'!A$2:B672,2,FALSE)</f>
        <v>44673</v>
      </c>
      <c r="C24" s="44">
        <f>COUNTIF('ALL Tube Results'!B23:B672, A24)
</f>
        <v>26</v>
      </c>
      <c r="D24" s="45">
        <f>COUNTIFS('ALL Tube Results'!$B23:$B672, $A24, 'ALL Tube Results'!$F23:$F672, "Negative")
</f>
        <v>26</v>
      </c>
      <c r="E24" s="45">
        <f>COUNTIFS('ALL Tube Results'!$B23:$B672, $A24, 'ALL Tube Results'!$F23:$F672, "Positive")
</f>
        <v>0</v>
      </c>
      <c r="F24" s="45">
        <f>COUNTIFS('ALL Tube Results'!$B23:$B672, $A24, 'ALL Tube Results'!$F23:$F672, "Inconclusive")
</f>
        <v>0</v>
      </c>
      <c r="G24" s="46">
        <f t="shared" si="7"/>
        <v>26</v>
      </c>
      <c r="H24" s="46" t="str">
        <f t="shared" si="8"/>
        <v/>
      </c>
      <c r="I24" s="47">
        <f t="shared" si="9"/>
        <v>26</v>
      </c>
      <c r="J24" s="47">
        <f t="shared" si="10"/>
        <v>0</v>
      </c>
      <c r="K24" s="47">
        <f t="shared" si="11"/>
        <v>0</v>
      </c>
      <c r="L24" s="47" t="str">
        <f t="shared" si="12"/>
        <v/>
      </c>
      <c r="M24" s="47" t="str">
        <f t="shared" si="13"/>
        <v/>
      </c>
      <c r="N24" s="47" t="str">
        <f t="shared" si="14"/>
        <v/>
      </c>
      <c r="O24" s="48">
        <f t="shared" si="15"/>
        <v>26</v>
      </c>
      <c r="P24" s="48" t="str">
        <f t="shared" si="16"/>
        <v/>
      </c>
      <c r="Q24" s="40"/>
      <c r="R24" s="6" t="s">
        <v>49</v>
      </c>
      <c r="S24" s="11">
        <v>44673.0</v>
      </c>
      <c r="T24" s="50">
        <f>VLOOKUP(R24,'Run Reconcile'!$A$2:$M672,13,FALSE)</f>
        <v>26</v>
      </c>
      <c r="U24" s="51" t="str">
        <f t="shared" si="17"/>
        <v/>
      </c>
      <c r="V24" s="50"/>
      <c r="W24" s="50"/>
      <c r="X24" s="40"/>
      <c r="Y24" s="6" t="str">
        <f>IFERROR(__xludf.DUMMYFUNCTION("""COMPUTED_VALUE"""),"RUN-COMB_2022-04-22_RFR-027")</f>
        <v>RUN-COMB_2022-04-22_RFR-027</v>
      </c>
      <c r="Z24" s="11">
        <f>IFERROR(__xludf.DUMMYFUNCTION("""COMPUTED_VALUE"""),44673.0)</f>
        <v>44673</v>
      </c>
      <c r="AA24" s="47">
        <f t="array" ref="AA24">INDEX('RFR Data - preExcl'!AK$2:AK672,$AE24,1)</f>
        <v>26</v>
      </c>
      <c r="AB24" s="50">
        <f t="shared" si="18"/>
        <v>26</v>
      </c>
      <c r="AC24" s="50">
        <f t="array" ref="AC24">INDEX('RFR Data - preExcl'!AI$2:AI672,$AE24,1)</f>
        <v>0</v>
      </c>
      <c r="AD24" s="50">
        <f t="array" ref="AD24">INDEX('RFR Data - preExcl'!AF$2:AF672,$AE24,1)</f>
        <v>0</v>
      </c>
      <c r="AE24" s="52">
        <f>IFNA(MATCH(Y24,'RFR Data - preExcl'!A$2:A672,0),"")</f>
        <v>27</v>
      </c>
      <c r="AF24" s="40"/>
      <c r="AG24" s="56" t="s">
        <v>49</v>
      </c>
      <c r="AH24" s="54">
        <f>VLOOKUP(AG24,'Run Reconcile'!A$2:B672,2,FALSE)</f>
        <v>44673</v>
      </c>
      <c r="AI24" s="55">
        <f>COUNTIF('APS Tubes Import'!$V$2:$V672, AG24)
</f>
        <v>26</v>
      </c>
      <c r="AJ24" s="55">
        <f>COUNTIFS('APS Tubes Import'!V$2:V672, AG24, 'APS Tubes Import'!H$2:H672, "Negative")
</f>
        <v>26</v>
      </c>
      <c r="AK24" s="55">
        <f>COUNTIFS('APS Tubes Import'!V$2:V672, AG24, 'APS Tubes Import'!H$2:H672, "Positive")
</f>
        <v>0</v>
      </c>
      <c r="AL24" s="55">
        <f>COUNTIFS('APS Tubes Import'!V$2:V672, AG24, 'APS Tubes Import'!H$2:H672, "Inconclusive")
</f>
        <v>0</v>
      </c>
      <c r="AM24" s="55">
        <f>COUNTIFS('APS Tubes Import'!V$2:V672, AG24, 'APS Tubes Import'!H$2:H672, "Null")
</f>
        <v>0</v>
      </c>
      <c r="AN24" s="40"/>
      <c r="AO24" s="11">
        <f>'APS Tubes by Date Import'!B23</f>
        <v>44676</v>
      </c>
      <c r="AP24" s="50">
        <f>'APS Tubes by Date Import'!C23</f>
        <v>26</v>
      </c>
      <c r="AQ24" s="50">
        <f>'APS Tubes by Date Import'!D23</f>
        <v>25</v>
      </c>
      <c r="AR24" s="50">
        <f>'APS Tubes by Date Import'!E23</f>
        <v>1</v>
      </c>
      <c r="AS24" s="50">
        <f>'APS Tubes by Date Import'!F23</f>
        <v>0</v>
      </c>
      <c r="AT24" s="50">
        <f>'APS Tubes by Date Import'!G23</f>
        <v>0</v>
      </c>
      <c r="AU24" s="40"/>
    </row>
    <row r="25">
      <c r="A25" s="6" t="s">
        <v>50</v>
      </c>
      <c r="B25" s="43">
        <f>VLOOKUP(A25,'Run Reconcile'!A$2:B672,2,FALSE)</f>
        <v>44676</v>
      </c>
      <c r="C25" s="44">
        <f>COUNTIF('ALL Tube Results'!B24:B672, A25)
</f>
        <v>26</v>
      </c>
      <c r="D25" s="45">
        <f>COUNTIFS('ALL Tube Results'!$B24:$B672, $A25, 'ALL Tube Results'!$F24:$F672, "Negative")
</f>
        <v>25</v>
      </c>
      <c r="E25" s="45">
        <f>COUNTIFS('ALL Tube Results'!$B24:$B672, $A25, 'ALL Tube Results'!$F24:$F672, "Positive")
</f>
        <v>1</v>
      </c>
      <c r="F25" s="45">
        <f>COUNTIFS('ALL Tube Results'!$B24:$B672, $A25, 'ALL Tube Results'!$F24:$F672, "Inconclusive")
</f>
        <v>0</v>
      </c>
      <c r="G25" s="46">
        <f t="shared" si="7"/>
        <v>26</v>
      </c>
      <c r="H25" s="46" t="str">
        <f t="shared" si="8"/>
        <v/>
      </c>
      <c r="I25" s="47">
        <f t="shared" si="9"/>
        <v>26</v>
      </c>
      <c r="J25" s="47">
        <f t="shared" si="10"/>
        <v>1</v>
      </c>
      <c r="K25" s="47">
        <f t="shared" si="11"/>
        <v>0</v>
      </c>
      <c r="L25" s="47" t="str">
        <f t="shared" si="12"/>
        <v/>
      </c>
      <c r="M25" s="47" t="str">
        <f t="shared" si="13"/>
        <v/>
      </c>
      <c r="N25" s="47" t="str">
        <f t="shared" si="14"/>
        <v/>
      </c>
      <c r="O25" s="48">
        <f t="shared" si="15"/>
        <v>26</v>
      </c>
      <c r="P25" s="48" t="str">
        <f t="shared" si="16"/>
        <v/>
      </c>
      <c r="Q25" s="40"/>
      <c r="R25" s="6" t="s">
        <v>50</v>
      </c>
      <c r="S25" s="11">
        <v>44676.0</v>
      </c>
      <c r="T25" s="50">
        <f>VLOOKUP(R25,'Run Reconcile'!$A$2:$M672,13,FALSE)</f>
        <v>26</v>
      </c>
      <c r="U25" s="51" t="str">
        <f t="shared" si="17"/>
        <v/>
      </c>
      <c r="V25" s="50"/>
      <c r="W25" s="50"/>
      <c r="X25" s="40"/>
      <c r="Y25" s="6" t="str">
        <f>IFERROR(__xludf.DUMMYFUNCTION("""COMPUTED_VALUE"""),"RUN-COMB_2022-04-25_RFR-028")</f>
        <v>RUN-COMB_2022-04-25_RFR-028</v>
      </c>
      <c r="Z25" s="11">
        <f>IFERROR(__xludf.DUMMYFUNCTION("""COMPUTED_VALUE"""),44676.0)</f>
        <v>44676</v>
      </c>
      <c r="AA25" s="47">
        <f t="array" ref="AA25">INDEX('RFR Data - preExcl'!AK$2:AK672,$AE25,1)</f>
        <v>26</v>
      </c>
      <c r="AB25" s="50">
        <f t="shared" si="18"/>
        <v>25</v>
      </c>
      <c r="AC25" s="50">
        <f t="array" ref="AC25">INDEX('RFR Data - preExcl'!AI$2:AI672,$AE25,1)</f>
        <v>1</v>
      </c>
      <c r="AD25" s="50">
        <f t="array" ref="AD25">INDEX('RFR Data - preExcl'!AF$2:AF672,$AE25,1)</f>
        <v>0</v>
      </c>
      <c r="AE25" s="52">
        <f>IFNA(MATCH(Y25,'RFR Data - preExcl'!A$2:A672,0),"")</f>
        <v>28</v>
      </c>
      <c r="AF25" s="40"/>
      <c r="AG25" s="56" t="s">
        <v>50</v>
      </c>
      <c r="AH25" s="54">
        <f>VLOOKUP(AG25,'Run Reconcile'!A$2:B672,2,FALSE)</f>
        <v>44676</v>
      </c>
      <c r="AI25" s="55">
        <f>COUNTIF('APS Tubes Import'!$V$2:$V672, AG25)
</f>
        <v>26</v>
      </c>
      <c r="AJ25" s="55">
        <f>COUNTIFS('APS Tubes Import'!V$2:V672, AG25, 'APS Tubes Import'!H$2:H672, "Negative")
</f>
        <v>25</v>
      </c>
      <c r="AK25" s="55">
        <f>COUNTIFS('APS Tubes Import'!V$2:V672, AG25, 'APS Tubes Import'!H$2:H672, "Positive")
</f>
        <v>1</v>
      </c>
      <c r="AL25" s="55">
        <f>COUNTIFS('APS Tubes Import'!V$2:V672, AG25, 'APS Tubes Import'!H$2:H672, "Inconclusive")
</f>
        <v>0</v>
      </c>
      <c r="AM25" s="55">
        <f>COUNTIFS('APS Tubes Import'!V$2:V672, AG25, 'APS Tubes Import'!H$2:H672, "Null")
</f>
        <v>0</v>
      </c>
      <c r="AN25" s="40"/>
      <c r="AO25" s="11">
        <f>'APS Tubes by Date Import'!B24</f>
        <v>44677</v>
      </c>
      <c r="AP25" s="50">
        <f>'APS Tubes by Date Import'!C24</f>
        <v>13</v>
      </c>
      <c r="AQ25" s="50">
        <f>'APS Tubes by Date Import'!D24</f>
        <v>13</v>
      </c>
      <c r="AR25" s="50">
        <f>'APS Tubes by Date Import'!E24</f>
        <v>0</v>
      </c>
      <c r="AS25" s="50">
        <f>'APS Tubes by Date Import'!F24</f>
        <v>0</v>
      </c>
      <c r="AT25" s="50">
        <f>'APS Tubes by Date Import'!G24</f>
        <v>0</v>
      </c>
      <c r="AU25" s="40"/>
    </row>
    <row r="26">
      <c r="A26" s="6" t="s">
        <v>51</v>
      </c>
      <c r="B26" s="43">
        <f>VLOOKUP(A26,'Run Reconcile'!A$2:B672,2,FALSE)</f>
        <v>44677</v>
      </c>
      <c r="C26" s="44">
        <f>COUNTIF('ALL Tube Results'!B25:B672, A26)
</f>
        <v>13</v>
      </c>
      <c r="D26" s="45">
        <f>COUNTIFS('ALL Tube Results'!$B25:$B672, $A26, 'ALL Tube Results'!$F25:$F672, "Negative")
</f>
        <v>13</v>
      </c>
      <c r="E26" s="45">
        <f>COUNTIFS('ALL Tube Results'!$B25:$B672, $A26, 'ALL Tube Results'!$F25:$F672, "Positive")
</f>
        <v>0</v>
      </c>
      <c r="F26" s="45">
        <f>COUNTIFS('ALL Tube Results'!$B25:$B672, $A26, 'ALL Tube Results'!$F25:$F672, "Inconclusive")
</f>
        <v>0</v>
      </c>
      <c r="G26" s="46">
        <f t="shared" si="7"/>
        <v>13</v>
      </c>
      <c r="H26" s="46" t="str">
        <f t="shared" si="8"/>
        <v/>
      </c>
      <c r="I26" s="47">
        <f t="shared" si="9"/>
        <v>13</v>
      </c>
      <c r="J26" s="47">
        <f t="shared" si="10"/>
        <v>0</v>
      </c>
      <c r="K26" s="47">
        <f t="shared" si="11"/>
        <v>0</v>
      </c>
      <c r="L26" s="47" t="str">
        <f t="shared" si="12"/>
        <v/>
      </c>
      <c r="M26" s="47" t="str">
        <f t="shared" si="13"/>
        <v/>
      </c>
      <c r="N26" s="47" t="str">
        <f t="shared" si="14"/>
        <v/>
      </c>
      <c r="O26" s="48">
        <f t="shared" si="15"/>
        <v>13</v>
      </c>
      <c r="P26" s="48" t="str">
        <f t="shared" si="16"/>
        <v/>
      </c>
      <c r="Q26" s="40"/>
      <c r="R26" s="6" t="s">
        <v>51</v>
      </c>
      <c r="S26" s="11">
        <v>44677.0</v>
      </c>
      <c r="T26" s="50">
        <f>VLOOKUP(R26,'Run Reconcile'!$A$2:$M672,13,FALSE)</f>
        <v>13</v>
      </c>
      <c r="U26" s="51" t="str">
        <f t="shared" si="17"/>
        <v/>
      </c>
      <c r="V26" s="50"/>
      <c r="W26" s="50"/>
      <c r="X26" s="40"/>
      <c r="Y26" s="6" t="str">
        <f>IFERROR(__xludf.DUMMYFUNCTION("""COMPUTED_VALUE"""),"RUN-COMB_2022-04-26_RFR-030")</f>
        <v>RUN-COMB_2022-04-26_RFR-030</v>
      </c>
      <c r="Z26" s="11">
        <f>IFERROR(__xludf.DUMMYFUNCTION("""COMPUTED_VALUE"""),44677.0)</f>
        <v>44677</v>
      </c>
      <c r="AA26" s="47">
        <f t="array" ref="AA26">INDEX('RFR Data - preExcl'!AK$2:AK672,$AE26,1)</f>
        <v>13</v>
      </c>
      <c r="AB26" s="50">
        <f t="shared" si="18"/>
        <v>13</v>
      </c>
      <c r="AC26" s="50">
        <f t="array" ref="AC26">INDEX('RFR Data - preExcl'!AI$2:AI672,$AE26,1)</f>
        <v>0</v>
      </c>
      <c r="AD26" s="50">
        <f t="array" ref="AD26">INDEX('RFR Data - preExcl'!AF$2:AF672,$AE26,1)</f>
        <v>0</v>
      </c>
      <c r="AE26" s="52">
        <f>IFNA(MATCH(Y26,'RFR Data - preExcl'!A$2:A672,0),"")</f>
        <v>30</v>
      </c>
      <c r="AF26" s="40"/>
      <c r="AG26" s="56" t="s">
        <v>51</v>
      </c>
      <c r="AH26" s="54">
        <f>VLOOKUP(AG26,'Run Reconcile'!A$2:B672,2,FALSE)</f>
        <v>44677</v>
      </c>
      <c r="AI26" s="55">
        <f>COUNTIF('APS Tubes Import'!$V$2:$V672, AG26)
</f>
        <v>13</v>
      </c>
      <c r="AJ26" s="55">
        <f>COUNTIFS('APS Tubes Import'!V$2:V672, AG26, 'APS Tubes Import'!H$2:H672, "Negative")
</f>
        <v>13</v>
      </c>
      <c r="AK26" s="55">
        <f>COUNTIFS('APS Tubes Import'!V$2:V672, AG26, 'APS Tubes Import'!H$2:H672, "Positive")
</f>
        <v>0</v>
      </c>
      <c r="AL26" s="55">
        <f>COUNTIFS('APS Tubes Import'!V$2:V672, AG26, 'APS Tubes Import'!H$2:H672, "Inconclusive")
</f>
        <v>0</v>
      </c>
      <c r="AM26" s="55">
        <f>COUNTIFS('APS Tubes Import'!V$2:V672, AG26, 'APS Tubes Import'!H$2:H672, "Null")
</f>
        <v>0</v>
      </c>
      <c r="AN26" s="40"/>
      <c r="AO26" s="11">
        <f>'APS Tubes by Date Import'!B25</f>
        <v>44678</v>
      </c>
      <c r="AP26" s="50">
        <f>'APS Tubes by Date Import'!C25</f>
        <v>15</v>
      </c>
      <c r="AQ26" s="50">
        <f>'APS Tubes by Date Import'!D25</f>
        <v>15</v>
      </c>
      <c r="AR26" s="50">
        <f>'APS Tubes by Date Import'!E25</f>
        <v>0</v>
      </c>
      <c r="AS26" s="50">
        <f>'APS Tubes by Date Import'!F25</f>
        <v>0</v>
      </c>
      <c r="AT26" s="50">
        <f>'APS Tubes by Date Import'!G25</f>
        <v>0</v>
      </c>
      <c r="AU26" s="40"/>
    </row>
    <row r="27">
      <c r="A27" s="6" t="s">
        <v>52</v>
      </c>
      <c r="B27" s="43">
        <f>VLOOKUP(A27,'Run Reconcile'!A$2:B672,2,FALSE)</f>
        <v>44678</v>
      </c>
      <c r="C27" s="44">
        <f>COUNTIF('ALL Tube Results'!B26:B672, A27)
</f>
        <v>15</v>
      </c>
      <c r="D27" s="45">
        <f>COUNTIFS('ALL Tube Results'!$B26:$B672, $A27, 'ALL Tube Results'!$F26:$F672, "Negative")
</f>
        <v>15</v>
      </c>
      <c r="E27" s="45">
        <f>COUNTIFS('ALL Tube Results'!$B26:$B672, $A27, 'ALL Tube Results'!$F26:$F672, "Positive")
</f>
        <v>0</v>
      </c>
      <c r="F27" s="45">
        <f>COUNTIFS('ALL Tube Results'!$B26:$B672, $A27, 'ALL Tube Results'!$F26:$F672, "Inconclusive")
</f>
        <v>0</v>
      </c>
      <c r="G27" s="46">
        <f t="shared" si="7"/>
        <v>15</v>
      </c>
      <c r="H27" s="46" t="str">
        <f t="shared" si="8"/>
        <v/>
      </c>
      <c r="I27" s="47">
        <f t="shared" si="9"/>
        <v>15</v>
      </c>
      <c r="J27" s="47">
        <f t="shared" si="10"/>
        <v>0</v>
      </c>
      <c r="K27" s="47">
        <f t="shared" si="11"/>
        <v>0</v>
      </c>
      <c r="L27" s="47" t="str">
        <f t="shared" si="12"/>
        <v/>
      </c>
      <c r="M27" s="47" t="str">
        <f t="shared" si="13"/>
        <v/>
      </c>
      <c r="N27" s="47" t="str">
        <f t="shared" si="14"/>
        <v/>
      </c>
      <c r="O27" s="48">
        <f t="shared" si="15"/>
        <v>15</v>
      </c>
      <c r="P27" s="48" t="str">
        <f t="shared" si="16"/>
        <v/>
      </c>
      <c r="Q27" s="40"/>
      <c r="R27" s="6" t="s">
        <v>52</v>
      </c>
      <c r="S27" s="11">
        <v>44678.0</v>
      </c>
      <c r="T27" s="50">
        <f>VLOOKUP(R27,'Run Reconcile'!$A$2:$M672,13,FALSE)</f>
        <v>15</v>
      </c>
      <c r="U27" s="51" t="str">
        <f t="shared" si="17"/>
        <v/>
      </c>
      <c r="V27" s="50"/>
      <c r="W27" s="50"/>
      <c r="X27" s="40"/>
      <c r="Y27" s="6" t="str">
        <f>IFERROR(__xludf.DUMMYFUNCTION("""COMPUTED_VALUE"""),"RUN-COMB_2022-04-27_RFR-031")</f>
        <v>RUN-COMB_2022-04-27_RFR-031</v>
      </c>
      <c r="Z27" s="11">
        <f>IFERROR(__xludf.DUMMYFUNCTION("""COMPUTED_VALUE"""),44678.0)</f>
        <v>44678</v>
      </c>
      <c r="AA27" s="47">
        <f t="array" ref="AA27">INDEX('RFR Data - preExcl'!AK$2:AK672,$AE27,1)</f>
        <v>15</v>
      </c>
      <c r="AB27" s="50">
        <f t="shared" si="18"/>
        <v>15</v>
      </c>
      <c r="AC27" s="50">
        <f t="array" ref="AC27">INDEX('RFR Data - preExcl'!AI$2:AI672,$AE27,1)</f>
        <v>0</v>
      </c>
      <c r="AD27" s="50">
        <f t="array" ref="AD27">INDEX('RFR Data - preExcl'!AF$2:AF672,$AE27,1)</f>
        <v>0</v>
      </c>
      <c r="AE27" s="52">
        <f>IFNA(MATCH(Y27,'RFR Data - preExcl'!A$2:A672,0),"")</f>
        <v>31</v>
      </c>
      <c r="AF27" s="40"/>
      <c r="AG27" s="56" t="s">
        <v>52</v>
      </c>
      <c r="AH27" s="54">
        <f>VLOOKUP(AG27,'Run Reconcile'!A$2:B672,2,FALSE)</f>
        <v>44678</v>
      </c>
      <c r="AI27" s="55">
        <f>COUNTIF('APS Tubes Import'!$V$2:$V672, AG27)
</f>
        <v>15</v>
      </c>
      <c r="AJ27" s="55">
        <f>COUNTIFS('APS Tubes Import'!V$2:V672, AG27, 'APS Tubes Import'!H$2:H672, "Negative")
</f>
        <v>15</v>
      </c>
      <c r="AK27" s="55">
        <f>COUNTIFS('APS Tubes Import'!V$2:V672, AG27, 'APS Tubes Import'!H$2:H672, "Positive")
</f>
        <v>0</v>
      </c>
      <c r="AL27" s="55">
        <f>COUNTIFS('APS Tubes Import'!V$2:V672, AG27, 'APS Tubes Import'!H$2:H672, "Inconclusive")
</f>
        <v>0</v>
      </c>
      <c r="AM27" s="55">
        <f>COUNTIFS('APS Tubes Import'!V$2:V672, AG27, 'APS Tubes Import'!H$2:H672, "Null")
</f>
        <v>0</v>
      </c>
      <c r="AN27" s="40"/>
      <c r="AO27" s="11">
        <f>'APS Tubes by Date Import'!B26</f>
        <v>44679</v>
      </c>
      <c r="AP27" s="50">
        <f>'APS Tubes by Date Import'!C26</f>
        <v>33</v>
      </c>
      <c r="AQ27" s="50">
        <f>'APS Tubes by Date Import'!D26</f>
        <v>33</v>
      </c>
      <c r="AR27" s="50">
        <f>'APS Tubes by Date Import'!E26</f>
        <v>0</v>
      </c>
      <c r="AS27" s="50">
        <f>'APS Tubes by Date Import'!F26</f>
        <v>0</v>
      </c>
      <c r="AT27" s="50">
        <f>'APS Tubes by Date Import'!G26</f>
        <v>0</v>
      </c>
      <c r="AU27" s="40"/>
    </row>
    <row r="28">
      <c r="A28" s="6" t="s">
        <v>53</v>
      </c>
      <c r="B28" s="43">
        <f>VLOOKUP(A28,'Run Reconcile'!A$2:B672,2,FALSE)</f>
        <v>44679</v>
      </c>
      <c r="C28" s="44">
        <f>COUNTIF('ALL Tube Results'!B27:B672, A28)
</f>
        <v>33</v>
      </c>
      <c r="D28" s="45">
        <f>COUNTIFS('ALL Tube Results'!$B27:$B672, $A28, 'ALL Tube Results'!$F27:$F672, "Negative")
</f>
        <v>33</v>
      </c>
      <c r="E28" s="45">
        <f>COUNTIFS('ALL Tube Results'!$B27:$B672, $A28, 'ALL Tube Results'!$F27:$F672, "Positive")
</f>
        <v>0</v>
      </c>
      <c r="F28" s="45">
        <f>COUNTIFS('ALL Tube Results'!$B27:$B672, $A28, 'ALL Tube Results'!$F27:$F672, "Inconclusive")
</f>
        <v>0</v>
      </c>
      <c r="G28" s="46">
        <f t="shared" si="7"/>
        <v>33</v>
      </c>
      <c r="H28" s="46" t="str">
        <f t="shared" si="8"/>
        <v/>
      </c>
      <c r="I28" s="47">
        <f t="shared" si="9"/>
        <v>33</v>
      </c>
      <c r="J28" s="47">
        <f t="shared" si="10"/>
        <v>0</v>
      </c>
      <c r="K28" s="47">
        <f t="shared" si="11"/>
        <v>0</v>
      </c>
      <c r="L28" s="47" t="str">
        <f t="shared" si="12"/>
        <v/>
      </c>
      <c r="M28" s="47" t="str">
        <f t="shared" si="13"/>
        <v/>
      </c>
      <c r="N28" s="47" t="str">
        <f t="shared" si="14"/>
        <v/>
      </c>
      <c r="O28" s="48">
        <f t="shared" si="15"/>
        <v>33</v>
      </c>
      <c r="P28" s="48" t="str">
        <f t="shared" si="16"/>
        <v/>
      </c>
      <c r="Q28" s="40"/>
      <c r="R28" s="6" t="s">
        <v>53</v>
      </c>
      <c r="S28" s="11">
        <v>44679.0</v>
      </c>
      <c r="T28" s="50">
        <f>VLOOKUP(R28,'Run Reconcile'!$A$2:$M672,13,FALSE)</f>
        <v>33</v>
      </c>
      <c r="U28" s="51" t="str">
        <f t="shared" si="17"/>
        <v/>
      </c>
      <c r="V28" s="50"/>
      <c r="W28" s="50"/>
      <c r="X28" s="40"/>
      <c r="Y28" s="6" t="str">
        <f>IFERROR(__xludf.DUMMYFUNCTION("""COMPUTED_VALUE"""),"RUN-COMB_2022-04-28_RFR-032")</f>
        <v>RUN-COMB_2022-04-28_RFR-032</v>
      </c>
      <c r="Z28" s="11">
        <f>IFERROR(__xludf.DUMMYFUNCTION("""COMPUTED_VALUE"""),44679.0)</f>
        <v>44679</v>
      </c>
      <c r="AA28" s="47">
        <f t="array" ref="AA28">INDEX('RFR Data - preExcl'!AK$2:AK672,$AE28,1)</f>
        <v>33</v>
      </c>
      <c r="AB28" s="50">
        <f t="shared" si="18"/>
        <v>33</v>
      </c>
      <c r="AC28" s="50">
        <f t="array" ref="AC28">INDEX('RFR Data - preExcl'!AI$2:AI672,$AE28,1)</f>
        <v>0</v>
      </c>
      <c r="AD28" s="50">
        <f t="array" ref="AD28">INDEX('RFR Data - preExcl'!AF$2:AF672,$AE28,1)</f>
        <v>0</v>
      </c>
      <c r="AE28" s="52">
        <f>IFNA(MATCH(Y28,'RFR Data - preExcl'!A$2:A672,0),"")</f>
        <v>32</v>
      </c>
      <c r="AF28" s="40"/>
      <c r="AG28" s="56" t="s">
        <v>53</v>
      </c>
      <c r="AH28" s="54">
        <f>VLOOKUP(AG28,'Run Reconcile'!A$2:B672,2,FALSE)</f>
        <v>44679</v>
      </c>
      <c r="AI28" s="55">
        <f>COUNTIF('APS Tubes Import'!$V$2:$V672, AG28)
</f>
        <v>33</v>
      </c>
      <c r="AJ28" s="55">
        <f>COUNTIFS('APS Tubes Import'!V$2:V672, AG28, 'APS Tubes Import'!H$2:H672, "Negative")
</f>
        <v>33</v>
      </c>
      <c r="AK28" s="55">
        <f>COUNTIFS('APS Tubes Import'!V$2:V672, AG28, 'APS Tubes Import'!H$2:H672, "Positive")
</f>
        <v>0</v>
      </c>
      <c r="AL28" s="55">
        <f>COUNTIFS('APS Tubes Import'!V$2:V672, AG28, 'APS Tubes Import'!H$2:H672, "Inconclusive")
</f>
        <v>0</v>
      </c>
      <c r="AM28" s="55">
        <f>COUNTIFS('APS Tubes Import'!V$2:V672, AG28, 'APS Tubes Import'!H$2:H672, "Null")
</f>
        <v>0</v>
      </c>
      <c r="AN28" s="40"/>
      <c r="AO28" s="11">
        <f>'APS Tubes by Date Import'!B27</f>
        <v>44680</v>
      </c>
      <c r="AP28" s="50">
        <f>'APS Tubes by Date Import'!C27</f>
        <v>21</v>
      </c>
      <c r="AQ28" s="50">
        <f>'APS Tubes by Date Import'!D27</f>
        <v>20</v>
      </c>
      <c r="AR28" s="50">
        <f>'APS Tubes by Date Import'!E27</f>
        <v>1</v>
      </c>
      <c r="AS28" s="50">
        <f>'APS Tubes by Date Import'!F27</f>
        <v>0</v>
      </c>
      <c r="AT28" s="50">
        <f>'APS Tubes by Date Import'!G27</f>
        <v>0</v>
      </c>
      <c r="AU28" s="40"/>
    </row>
    <row r="29">
      <c r="A29" s="6" t="s">
        <v>54</v>
      </c>
      <c r="B29" s="43">
        <f>VLOOKUP(A29,'Run Reconcile'!A$2:B672,2,FALSE)</f>
        <v>44680</v>
      </c>
      <c r="C29" s="44">
        <f>COUNTIF('ALL Tube Results'!B28:B672, A29)
</f>
        <v>21</v>
      </c>
      <c r="D29" s="45">
        <f>COUNTIFS('ALL Tube Results'!$B28:$B672, $A29, 'ALL Tube Results'!$F28:$F672, "Negative")
</f>
        <v>20</v>
      </c>
      <c r="E29" s="45">
        <f>COUNTIFS('ALL Tube Results'!$B28:$B672, $A29, 'ALL Tube Results'!$F28:$F672, "Positive")
</f>
        <v>1</v>
      </c>
      <c r="F29" s="45">
        <f>COUNTIFS('ALL Tube Results'!$B28:$B672, $A29, 'ALL Tube Results'!$F28:$F672, "Inconclusive")
</f>
        <v>0</v>
      </c>
      <c r="G29" s="46">
        <f t="shared" si="7"/>
        <v>21</v>
      </c>
      <c r="H29" s="46" t="str">
        <f t="shared" si="8"/>
        <v/>
      </c>
      <c r="I29" s="47">
        <f t="shared" si="9"/>
        <v>21</v>
      </c>
      <c r="J29" s="47">
        <f t="shared" si="10"/>
        <v>1</v>
      </c>
      <c r="K29" s="47">
        <f t="shared" si="11"/>
        <v>0</v>
      </c>
      <c r="L29" s="47" t="str">
        <f t="shared" si="12"/>
        <v/>
      </c>
      <c r="M29" s="47" t="str">
        <f t="shared" si="13"/>
        <v/>
      </c>
      <c r="N29" s="47" t="str">
        <f t="shared" si="14"/>
        <v/>
      </c>
      <c r="O29" s="48">
        <f t="shared" si="15"/>
        <v>21</v>
      </c>
      <c r="P29" s="48" t="str">
        <f t="shared" si="16"/>
        <v/>
      </c>
      <c r="Q29" s="40"/>
      <c r="R29" s="6" t="s">
        <v>54</v>
      </c>
      <c r="S29" s="11">
        <v>44680.0</v>
      </c>
      <c r="T29" s="50">
        <f>VLOOKUP(R29,'Run Reconcile'!$A$2:$M672,13,FALSE)</f>
        <v>21</v>
      </c>
      <c r="U29" s="51" t="str">
        <f t="shared" si="17"/>
        <v/>
      </c>
      <c r="V29" s="50"/>
      <c r="W29" s="50"/>
      <c r="X29" s="40"/>
      <c r="Y29" s="6" t="str">
        <f>IFERROR(__xludf.DUMMYFUNCTION("""COMPUTED_VALUE"""),"RUN-COMB_2022-04-29_RFR-034")</f>
        <v>RUN-COMB_2022-04-29_RFR-034</v>
      </c>
      <c r="Z29" s="11">
        <f>IFERROR(__xludf.DUMMYFUNCTION("""COMPUTED_VALUE"""),44680.0)</f>
        <v>44680</v>
      </c>
      <c r="AA29" s="47">
        <f t="array" ref="AA29">INDEX('RFR Data - preExcl'!AK$2:AK672,$AE29,1)</f>
        <v>21</v>
      </c>
      <c r="AB29" s="50">
        <f t="shared" si="18"/>
        <v>20</v>
      </c>
      <c r="AC29" s="50">
        <f t="array" ref="AC29">INDEX('RFR Data - preExcl'!AI$2:AI672,$AE29,1)</f>
        <v>1</v>
      </c>
      <c r="AD29" s="50">
        <f t="array" ref="AD29">INDEX('RFR Data - preExcl'!AF$2:AF672,$AE29,1)</f>
        <v>0</v>
      </c>
      <c r="AE29" s="52">
        <f>IFNA(MATCH(Y29,'RFR Data - preExcl'!A$2:A672,0),"")</f>
        <v>34</v>
      </c>
      <c r="AF29" s="40"/>
      <c r="AG29" s="56" t="s">
        <v>54</v>
      </c>
      <c r="AH29" s="54">
        <f>VLOOKUP(AG29,'Run Reconcile'!A$2:B672,2,FALSE)</f>
        <v>44680</v>
      </c>
      <c r="AI29" s="55">
        <f>COUNTIF('APS Tubes Import'!$V$2:$V672, AG29)
</f>
        <v>21</v>
      </c>
      <c r="AJ29" s="55">
        <f>COUNTIFS('APS Tubes Import'!V$2:V672, AG29, 'APS Tubes Import'!H$2:H672, "Negative")
</f>
        <v>20</v>
      </c>
      <c r="AK29" s="55">
        <f>COUNTIFS('APS Tubes Import'!V$2:V672, AG29, 'APS Tubes Import'!H$2:H672, "Positive")
</f>
        <v>1</v>
      </c>
      <c r="AL29" s="55">
        <f>COUNTIFS('APS Tubes Import'!V$2:V672, AG29, 'APS Tubes Import'!H$2:H672, "Inconclusive")
</f>
        <v>0</v>
      </c>
      <c r="AM29" s="55">
        <f>COUNTIFS('APS Tubes Import'!V$2:V672, AG29, 'APS Tubes Import'!H$2:H672, "Null")
</f>
        <v>0</v>
      </c>
      <c r="AN29" s="40"/>
      <c r="AO29" s="11">
        <f>'APS Tubes by Date Import'!B28</f>
        <v>44690</v>
      </c>
      <c r="AP29" s="50">
        <f>'APS Tubes by Date Import'!C28</f>
        <v>30</v>
      </c>
      <c r="AQ29" s="50">
        <f>'APS Tubes by Date Import'!D28</f>
        <v>30</v>
      </c>
      <c r="AR29" s="50">
        <f>'APS Tubes by Date Import'!E28</f>
        <v>0</v>
      </c>
      <c r="AS29" s="50">
        <f>'APS Tubes by Date Import'!F28</f>
        <v>0</v>
      </c>
      <c r="AT29" s="50">
        <f>'APS Tubes by Date Import'!G28</f>
        <v>0</v>
      </c>
      <c r="AU29" s="40"/>
    </row>
    <row r="30">
      <c r="A30" s="6" t="s">
        <v>55</v>
      </c>
      <c r="B30" s="43">
        <f>VLOOKUP(A30,'Run Reconcile'!A$2:B672,2,FALSE)</f>
        <v>44690</v>
      </c>
      <c r="C30" s="44">
        <f>COUNTIF('ALL Tube Results'!B29:B672, A30)
</f>
        <v>30</v>
      </c>
      <c r="D30" s="45">
        <f>COUNTIFS('ALL Tube Results'!$B29:$B672, $A30, 'ALL Tube Results'!$F29:$F672, "Negative")
</f>
        <v>30</v>
      </c>
      <c r="E30" s="45">
        <f>COUNTIFS('ALL Tube Results'!$B29:$B672, $A30, 'ALL Tube Results'!$F29:$F672, "Positive")
</f>
        <v>0</v>
      </c>
      <c r="F30" s="45">
        <f>COUNTIFS('ALL Tube Results'!$B29:$B672, $A30, 'ALL Tube Results'!$F29:$F672, "Inconclusive")
</f>
        <v>0</v>
      </c>
      <c r="G30" s="46">
        <f t="shared" si="7"/>
        <v>30</v>
      </c>
      <c r="H30" s="46" t="str">
        <f t="shared" si="8"/>
        <v/>
      </c>
      <c r="I30" s="47">
        <f t="shared" si="9"/>
        <v>30</v>
      </c>
      <c r="J30" s="47">
        <f t="shared" si="10"/>
        <v>0</v>
      </c>
      <c r="K30" s="47">
        <f t="shared" si="11"/>
        <v>0</v>
      </c>
      <c r="L30" s="47" t="str">
        <f t="shared" si="12"/>
        <v/>
      </c>
      <c r="M30" s="47" t="str">
        <f t="shared" si="13"/>
        <v/>
      </c>
      <c r="N30" s="47" t="str">
        <f t="shared" si="14"/>
        <v/>
      </c>
      <c r="O30" s="48">
        <f t="shared" si="15"/>
        <v>30</v>
      </c>
      <c r="P30" s="48" t="str">
        <f t="shared" si="16"/>
        <v/>
      </c>
      <c r="Q30" s="40"/>
      <c r="R30" s="6" t="s">
        <v>55</v>
      </c>
      <c r="S30" s="11">
        <v>44690.0</v>
      </c>
      <c r="T30" s="50">
        <f>VLOOKUP(R30,'Run Reconcile'!$A$2:$M672,13,FALSE)</f>
        <v>30</v>
      </c>
      <c r="U30" s="51" t="str">
        <f t="shared" si="17"/>
        <v/>
      </c>
      <c r="V30" s="50"/>
      <c r="W30" s="50"/>
      <c r="X30" s="40"/>
      <c r="Y30" s="6" t="str">
        <f>IFERROR(__xludf.DUMMYFUNCTION("""COMPUTED_VALUE"""),"RUN-COMB_2022-05-09_RFR-035")</f>
        <v>RUN-COMB_2022-05-09_RFR-035</v>
      </c>
      <c r="Z30" s="11">
        <f>IFERROR(__xludf.DUMMYFUNCTION("""COMPUTED_VALUE"""),44690.0)</f>
        <v>44690</v>
      </c>
      <c r="AA30" s="47">
        <f t="array" ref="AA30">INDEX('RFR Data - preExcl'!AK$2:AK672,$AE30,1)</f>
        <v>30</v>
      </c>
      <c r="AB30" s="50">
        <f t="shared" si="18"/>
        <v>30</v>
      </c>
      <c r="AC30" s="50">
        <f t="array" ref="AC30">INDEX('RFR Data - preExcl'!AI$2:AI672,$AE30,1)</f>
        <v>0</v>
      </c>
      <c r="AD30" s="50">
        <f t="array" ref="AD30">INDEX('RFR Data - preExcl'!AF$2:AF672,$AE30,1)</f>
        <v>0</v>
      </c>
      <c r="AE30" s="52">
        <f>IFNA(MATCH(Y30,'RFR Data - preExcl'!A$2:A672,0),"")</f>
        <v>35</v>
      </c>
      <c r="AF30" s="40"/>
      <c r="AG30" s="56" t="s">
        <v>55</v>
      </c>
      <c r="AH30" s="54">
        <f>VLOOKUP(AG30,'Run Reconcile'!A$2:B672,2,FALSE)</f>
        <v>44690</v>
      </c>
      <c r="AI30" s="55">
        <f>COUNTIF('APS Tubes Import'!$V$2:$V672, AG30)
</f>
        <v>30</v>
      </c>
      <c r="AJ30" s="55">
        <f>COUNTIFS('APS Tubes Import'!V$2:V672, AG30, 'APS Tubes Import'!H$2:H672, "Negative")
</f>
        <v>30</v>
      </c>
      <c r="AK30" s="55">
        <f>COUNTIFS('APS Tubes Import'!V$2:V672, AG30, 'APS Tubes Import'!H$2:H672, "Positive")
</f>
        <v>0</v>
      </c>
      <c r="AL30" s="55">
        <f>COUNTIFS('APS Tubes Import'!V$2:V672, AG30, 'APS Tubes Import'!H$2:H672, "Inconclusive")
</f>
        <v>0</v>
      </c>
      <c r="AM30" s="55">
        <f>COUNTIFS('APS Tubes Import'!V$2:V672, AG30, 'APS Tubes Import'!H$2:H672, "Null")
</f>
        <v>0</v>
      </c>
      <c r="AN30" s="40"/>
      <c r="AO30" s="11">
        <f>'APS Tubes by Date Import'!B29</f>
        <v>44691</v>
      </c>
      <c r="AP30" s="50">
        <f>'APS Tubes by Date Import'!C29</f>
        <v>14</v>
      </c>
      <c r="AQ30" s="50">
        <f>'APS Tubes by Date Import'!D29</f>
        <v>14</v>
      </c>
      <c r="AR30" s="50">
        <f>'APS Tubes by Date Import'!E29</f>
        <v>0</v>
      </c>
      <c r="AS30" s="50">
        <f>'APS Tubes by Date Import'!F29</f>
        <v>0</v>
      </c>
      <c r="AT30" s="50">
        <f>'APS Tubes by Date Import'!G29</f>
        <v>0</v>
      </c>
      <c r="AU30" s="40"/>
    </row>
    <row r="31">
      <c r="A31" s="6" t="s">
        <v>56</v>
      </c>
      <c r="B31" s="43">
        <f>VLOOKUP(A31,'Run Reconcile'!A$2:B672,2,FALSE)</f>
        <v>44691</v>
      </c>
      <c r="C31" s="44">
        <f>COUNTIF('ALL Tube Results'!B30:B672, A31)
</f>
        <v>14</v>
      </c>
      <c r="D31" s="45">
        <f>COUNTIFS('ALL Tube Results'!$B30:$B672, $A31, 'ALL Tube Results'!$F30:$F672, "Negative")
</f>
        <v>14</v>
      </c>
      <c r="E31" s="45">
        <f>COUNTIFS('ALL Tube Results'!$B30:$B672, $A31, 'ALL Tube Results'!$F30:$F672, "Positive")
</f>
        <v>0</v>
      </c>
      <c r="F31" s="45">
        <f>COUNTIFS('ALL Tube Results'!$B30:$B672, $A31, 'ALL Tube Results'!$F30:$F672, "Inconclusive")
</f>
        <v>0</v>
      </c>
      <c r="G31" s="46">
        <f t="shared" si="7"/>
        <v>14</v>
      </c>
      <c r="H31" s="46" t="str">
        <f t="shared" si="8"/>
        <v/>
      </c>
      <c r="I31" s="47">
        <f t="shared" si="9"/>
        <v>14</v>
      </c>
      <c r="J31" s="47">
        <f t="shared" si="10"/>
        <v>0</v>
      </c>
      <c r="K31" s="47">
        <f t="shared" si="11"/>
        <v>0</v>
      </c>
      <c r="L31" s="47" t="str">
        <f t="shared" si="12"/>
        <v/>
      </c>
      <c r="M31" s="47" t="str">
        <f t="shared" si="13"/>
        <v/>
      </c>
      <c r="N31" s="47" t="str">
        <f t="shared" si="14"/>
        <v/>
      </c>
      <c r="O31" s="48">
        <f t="shared" si="15"/>
        <v>14</v>
      </c>
      <c r="P31" s="48" t="str">
        <f t="shared" si="16"/>
        <v/>
      </c>
      <c r="Q31" s="40"/>
      <c r="R31" s="6" t="s">
        <v>56</v>
      </c>
      <c r="S31" s="11">
        <v>44691.0</v>
      </c>
      <c r="T31" s="50">
        <f>VLOOKUP(R31,'Run Reconcile'!$A$2:$M672,13,FALSE)</f>
        <v>14</v>
      </c>
      <c r="U31" s="51" t="str">
        <f t="shared" si="17"/>
        <v/>
      </c>
      <c r="V31" s="50"/>
      <c r="W31" s="50"/>
      <c r="X31" s="40"/>
      <c r="Y31" s="6" t="str">
        <f>IFERROR(__xludf.DUMMYFUNCTION("""COMPUTED_VALUE"""),"RUN-COMB_2022-05-10_RFR-036")</f>
        <v>RUN-COMB_2022-05-10_RFR-036</v>
      </c>
      <c r="Z31" s="11">
        <f>IFERROR(__xludf.DUMMYFUNCTION("""COMPUTED_VALUE"""),44691.0)</f>
        <v>44691</v>
      </c>
      <c r="AA31" s="47">
        <f t="array" ref="AA31">INDEX('RFR Data - preExcl'!AK$2:AK672,$AE31,1)</f>
        <v>14</v>
      </c>
      <c r="AB31" s="50">
        <f t="shared" si="18"/>
        <v>14</v>
      </c>
      <c r="AC31" s="50">
        <f t="array" ref="AC31">INDEX('RFR Data - preExcl'!AI$2:AI672,$AE31,1)</f>
        <v>0</v>
      </c>
      <c r="AD31" s="50">
        <f t="array" ref="AD31">INDEX('RFR Data - preExcl'!AF$2:AF672,$AE31,1)</f>
        <v>0</v>
      </c>
      <c r="AE31" s="52">
        <f>IFNA(MATCH(Y31,'RFR Data - preExcl'!A$2:A672,0),"")</f>
        <v>36</v>
      </c>
      <c r="AF31" s="40"/>
      <c r="AG31" s="56" t="s">
        <v>56</v>
      </c>
      <c r="AH31" s="54">
        <f>VLOOKUP(AG31,'Run Reconcile'!A$2:B672,2,FALSE)</f>
        <v>44691</v>
      </c>
      <c r="AI31" s="55">
        <f>COUNTIF('APS Tubes Import'!$V$2:$V672, AG31)
</f>
        <v>14</v>
      </c>
      <c r="AJ31" s="55">
        <f>COUNTIFS('APS Tubes Import'!V$2:V672, AG31, 'APS Tubes Import'!H$2:H672, "Negative")
</f>
        <v>14</v>
      </c>
      <c r="AK31" s="55">
        <f>COUNTIFS('APS Tubes Import'!V$2:V672, AG31, 'APS Tubes Import'!H$2:H672, "Positive")
</f>
        <v>0</v>
      </c>
      <c r="AL31" s="55">
        <f>COUNTIFS('APS Tubes Import'!V$2:V672, AG31, 'APS Tubes Import'!H$2:H672, "Inconclusive")
</f>
        <v>0</v>
      </c>
      <c r="AM31" s="55">
        <f>COUNTIFS('APS Tubes Import'!V$2:V672, AG31, 'APS Tubes Import'!H$2:H672, "Null")
</f>
        <v>0</v>
      </c>
      <c r="AN31" s="40"/>
      <c r="AO31" s="11">
        <f>'APS Tubes by Date Import'!B30</f>
        <v>44692</v>
      </c>
      <c r="AP31" s="50">
        <f>'APS Tubes by Date Import'!C30</f>
        <v>18</v>
      </c>
      <c r="AQ31" s="50">
        <f>'APS Tubes by Date Import'!D30</f>
        <v>18</v>
      </c>
      <c r="AR31" s="50">
        <f>'APS Tubes by Date Import'!E30</f>
        <v>0</v>
      </c>
      <c r="AS31" s="50">
        <f>'APS Tubes by Date Import'!F30</f>
        <v>0</v>
      </c>
      <c r="AT31" s="50">
        <f>'APS Tubes by Date Import'!G30</f>
        <v>0</v>
      </c>
      <c r="AU31" s="40"/>
    </row>
    <row r="32">
      <c r="A32" s="6" t="s">
        <v>57</v>
      </c>
      <c r="B32" s="43">
        <f>VLOOKUP(A32,'Run Reconcile'!A$2:B672,2,FALSE)</f>
        <v>44692</v>
      </c>
      <c r="C32" s="44">
        <f>COUNTIF('ALL Tube Results'!B31:B672, A32)
</f>
        <v>18</v>
      </c>
      <c r="D32" s="45">
        <f>COUNTIFS('ALL Tube Results'!$B31:$B672, $A32, 'ALL Tube Results'!$F31:$F672, "Negative")
</f>
        <v>18</v>
      </c>
      <c r="E32" s="45">
        <f>COUNTIFS('ALL Tube Results'!$B31:$B672, $A32, 'ALL Tube Results'!$F31:$F672, "Positive")
</f>
        <v>0</v>
      </c>
      <c r="F32" s="45">
        <f>COUNTIFS('ALL Tube Results'!$B31:$B672, $A32, 'ALL Tube Results'!$F31:$F672, "Inconclusive")
</f>
        <v>0</v>
      </c>
      <c r="G32" s="46">
        <f t="shared" si="7"/>
        <v>18</v>
      </c>
      <c r="H32" s="46" t="str">
        <f t="shared" si="8"/>
        <v/>
      </c>
      <c r="I32" s="47">
        <f t="shared" si="9"/>
        <v>18</v>
      </c>
      <c r="J32" s="47">
        <f t="shared" si="10"/>
        <v>0</v>
      </c>
      <c r="K32" s="47">
        <f t="shared" si="11"/>
        <v>0</v>
      </c>
      <c r="L32" s="47" t="str">
        <f t="shared" si="12"/>
        <v/>
      </c>
      <c r="M32" s="47" t="str">
        <f t="shared" si="13"/>
        <v/>
      </c>
      <c r="N32" s="47" t="str">
        <f t="shared" si="14"/>
        <v/>
      </c>
      <c r="O32" s="48">
        <f t="shared" si="15"/>
        <v>18</v>
      </c>
      <c r="P32" s="48" t="str">
        <f t="shared" si="16"/>
        <v/>
      </c>
      <c r="Q32" s="40"/>
      <c r="R32" s="6" t="s">
        <v>57</v>
      </c>
      <c r="S32" s="11">
        <v>44692.0</v>
      </c>
      <c r="T32" s="50">
        <f>VLOOKUP(R32,'Run Reconcile'!$A$2:$M672,13,FALSE)</f>
        <v>18</v>
      </c>
      <c r="U32" s="51" t="str">
        <f t="shared" si="17"/>
        <v/>
      </c>
      <c r="V32" s="50"/>
      <c r="W32" s="50"/>
      <c r="X32" s="40"/>
      <c r="Y32" s="6" t="str">
        <f>IFERROR(__xludf.DUMMYFUNCTION("""COMPUTED_VALUE"""),"RUN-COMB_2022-05-11_RFR-037")</f>
        <v>RUN-COMB_2022-05-11_RFR-037</v>
      </c>
      <c r="Z32" s="11">
        <f>IFERROR(__xludf.DUMMYFUNCTION("""COMPUTED_VALUE"""),44692.0)</f>
        <v>44692</v>
      </c>
      <c r="AA32" s="47">
        <f t="array" ref="AA32">INDEX('RFR Data - preExcl'!AK$2:AK672,$AE32,1)</f>
        <v>18</v>
      </c>
      <c r="AB32" s="50">
        <f t="shared" si="18"/>
        <v>18</v>
      </c>
      <c r="AC32" s="50">
        <f t="array" ref="AC32">INDEX('RFR Data - preExcl'!AI$2:AI672,$AE32,1)</f>
        <v>0</v>
      </c>
      <c r="AD32" s="50">
        <f t="array" ref="AD32">INDEX('RFR Data - preExcl'!AF$2:AF672,$AE32,1)</f>
        <v>0</v>
      </c>
      <c r="AE32" s="52">
        <f>IFNA(MATCH(Y32,'RFR Data - preExcl'!A$2:A672,0),"")</f>
        <v>37</v>
      </c>
      <c r="AF32" s="40"/>
      <c r="AG32" s="56" t="s">
        <v>57</v>
      </c>
      <c r="AH32" s="54">
        <f>VLOOKUP(AG32,'Run Reconcile'!A$2:B672,2,FALSE)</f>
        <v>44692</v>
      </c>
      <c r="AI32" s="55">
        <f>COUNTIF('APS Tubes Import'!$V$2:$V672, AG32)
</f>
        <v>18</v>
      </c>
      <c r="AJ32" s="55">
        <f>COUNTIFS('APS Tubes Import'!V$2:V672, AG32, 'APS Tubes Import'!H$2:H672, "Negative")
</f>
        <v>18</v>
      </c>
      <c r="AK32" s="55">
        <f>COUNTIFS('APS Tubes Import'!V$2:V672, AG32, 'APS Tubes Import'!H$2:H672, "Positive")
</f>
        <v>0</v>
      </c>
      <c r="AL32" s="55">
        <f>COUNTIFS('APS Tubes Import'!V$2:V672, AG32, 'APS Tubes Import'!H$2:H672, "Inconclusive")
</f>
        <v>0</v>
      </c>
      <c r="AM32" s="55">
        <f>COUNTIFS('APS Tubes Import'!V$2:V672, AG32, 'APS Tubes Import'!H$2:H672, "Null")
</f>
        <v>0</v>
      </c>
      <c r="AN32" s="40"/>
      <c r="AO32" s="11">
        <f>'APS Tubes by Date Import'!B31</f>
        <v>44693</v>
      </c>
      <c r="AP32" s="50">
        <f>'APS Tubes by Date Import'!C31</f>
        <v>33</v>
      </c>
      <c r="AQ32" s="50">
        <f>'APS Tubes by Date Import'!D31</f>
        <v>33</v>
      </c>
      <c r="AR32" s="50">
        <f>'APS Tubes by Date Import'!E31</f>
        <v>0</v>
      </c>
      <c r="AS32" s="50">
        <f>'APS Tubes by Date Import'!F31</f>
        <v>0</v>
      </c>
      <c r="AT32" s="50">
        <f>'APS Tubes by Date Import'!G31</f>
        <v>0</v>
      </c>
      <c r="AU32" s="40"/>
    </row>
    <row r="33">
      <c r="A33" s="6" t="s">
        <v>58</v>
      </c>
      <c r="B33" s="43">
        <f>VLOOKUP(A33,'Run Reconcile'!A$2:B672,2,FALSE)</f>
        <v>44693</v>
      </c>
      <c r="C33" s="44">
        <f>COUNTIF('ALL Tube Results'!B32:B672, A33)
</f>
        <v>33</v>
      </c>
      <c r="D33" s="45">
        <f>COUNTIFS('ALL Tube Results'!$B32:$B672, $A33, 'ALL Tube Results'!$F32:$F672, "Negative")
</f>
        <v>33</v>
      </c>
      <c r="E33" s="45">
        <f>COUNTIFS('ALL Tube Results'!$B32:$B672, $A33, 'ALL Tube Results'!$F32:$F672, "Positive")
</f>
        <v>0</v>
      </c>
      <c r="F33" s="45">
        <f>COUNTIFS('ALL Tube Results'!$B32:$B672, $A33, 'ALL Tube Results'!$F32:$F672, "Inconclusive")
</f>
        <v>0</v>
      </c>
      <c r="G33" s="46">
        <f t="shared" si="7"/>
        <v>33</v>
      </c>
      <c r="H33" s="46" t="str">
        <f t="shared" si="8"/>
        <v/>
      </c>
      <c r="I33" s="47">
        <f t="shared" si="9"/>
        <v>33</v>
      </c>
      <c r="J33" s="47">
        <f t="shared" si="10"/>
        <v>0</v>
      </c>
      <c r="K33" s="47">
        <f t="shared" si="11"/>
        <v>0</v>
      </c>
      <c r="L33" s="47" t="str">
        <f t="shared" si="12"/>
        <v/>
      </c>
      <c r="M33" s="47" t="str">
        <f t="shared" si="13"/>
        <v/>
      </c>
      <c r="N33" s="47" t="str">
        <f t="shared" si="14"/>
        <v/>
      </c>
      <c r="O33" s="48">
        <f t="shared" si="15"/>
        <v>33</v>
      </c>
      <c r="P33" s="48" t="str">
        <f t="shared" si="16"/>
        <v/>
      </c>
      <c r="Q33" s="40"/>
      <c r="R33" s="6" t="s">
        <v>58</v>
      </c>
      <c r="S33" s="11">
        <v>44693.0</v>
      </c>
      <c r="T33" s="50">
        <f>VLOOKUP(R33,'Run Reconcile'!$A$2:$M672,13,FALSE)</f>
        <v>33</v>
      </c>
      <c r="U33" s="51" t="str">
        <f t="shared" si="17"/>
        <v/>
      </c>
      <c r="V33" s="50"/>
      <c r="W33" s="50"/>
      <c r="X33" s="40"/>
      <c r="Y33" s="6" t="str">
        <f>IFERROR(__xludf.DUMMYFUNCTION("""COMPUTED_VALUE"""),"RUN-COMB_2022-05-12_RFR-038")</f>
        <v>RUN-COMB_2022-05-12_RFR-038</v>
      </c>
      <c r="Z33" s="11">
        <f>IFERROR(__xludf.DUMMYFUNCTION("""COMPUTED_VALUE"""),44693.0)</f>
        <v>44693</v>
      </c>
      <c r="AA33" s="47">
        <f t="array" ref="AA33">INDEX('RFR Data - preExcl'!AK$2:AK672,$AE33,1)</f>
        <v>33</v>
      </c>
      <c r="AB33" s="50">
        <f t="shared" si="18"/>
        <v>33</v>
      </c>
      <c r="AC33" s="50">
        <f t="array" ref="AC33">INDEX('RFR Data - preExcl'!AI$2:AI672,$AE33,1)</f>
        <v>0</v>
      </c>
      <c r="AD33" s="50">
        <f t="array" ref="AD33">INDEX('RFR Data - preExcl'!AF$2:AF672,$AE33,1)</f>
        <v>0</v>
      </c>
      <c r="AE33" s="52">
        <f>IFNA(MATCH(Y33,'RFR Data - preExcl'!A$2:A672,0),"")</f>
        <v>38</v>
      </c>
      <c r="AF33" s="40"/>
      <c r="AG33" s="56" t="s">
        <v>58</v>
      </c>
      <c r="AH33" s="54">
        <f>VLOOKUP(AG33,'Run Reconcile'!A$2:B672,2,FALSE)</f>
        <v>44693</v>
      </c>
      <c r="AI33" s="55">
        <f>COUNTIF('APS Tubes Import'!$V$2:$V672, AG33)
</f>
        <v>33</v>
      </c>
      <c r="AJ33" s="55">
        <f>COUNTIFS('APS Tubes Import'!V$2:V672, AG33, 'APS Tubes Import'!H$2:H672, "Negative")
</f>
        <v>33</v>
      </c>
      <c r="AK33" s="55">
        <f>COUNTIFS('APS Tubes Import'!V$2:V672, AG33, 'APS Tubes Import'!H$2:H672, "Positive")
</f>
        <v>0</v>
      </c>
      <c r="AL33" s="55">
        <f>COUNTIFS('APS Tubes Import'!V$2:V672, AG33, 'APS Tubes Import'!H$2:H672, "Inconclusive")
</f>
        <v>0</v>
      </c>
      <c r="AM33" s="55">
        <f>COUNTIFS('APS Tubes Import'!V$2:V672, AG33, 'APS Tubes Import'!H$2:H672, "Null")
</f>
        <v>0</v>
      </c>
      <c r="AN33" s="40"/>
      <c r="AO33" s="11">
        <f>'APS Tubes by Date Import'!B32</f>
        <v>44694</v>
      </c>
      <c r="AP33" s="50">
        <f>'APS Tubes by Date Import'!C32</f>
        <v>17</v>
      </c>
      <c r="AQ33" s="50">
        <f>'APS Tubes by Date Import'!D32</f>
        <v>17</v>
      </c>
      <c r="AR33" s="50">
        <f>'APS Tubes by Date Import'!E32</f>
        <v>0</v>
      </c>
      <c r="AS33" s="50">
        <f>'APS Tubes by Date Import'!F32</f>
        <v>0</v>
      </c>
      <c r="AT33" s="50">
        <f>'APS Tubes by Date Import'!G32</f>
        <v>0</v>
      </c>
      <c r="AU33" s="40"/>
    </row>
    <row r="34">
      <c r="A34" s="6" t="s">
        <v>59</v>
      </c>
      <c r="B34" s="43">
        <f>VLOOKUP(A34,'Run Reconcile'!A$2:B672,2,FALSE)</f>
        <v>44694</v>
      </c>
      <c r="C34" s="44">
        <f>COUNTIF('ALL Tube Results'!B33:B672, A34)
</f>
        <v>17</v>
      </c>
      <c r="D34" s="45">
        <f>COUNTIFS('ALL Tube Results'!$B33:$B672, $A34, 'ALL Tube Results'!$F33:$F672, "Negative")
</f>
        <v>17</v>
      </c>
      <c r="E34" s="45">
        <f>COUNTIFS('ALL Tube Results'!$B33:$B672, $A34, 'ALL Tube Results'!$F33:$F672, "Positive")
</f>
        <v>0</v>
      </c>
      <c r="F34" s="45">
        <f>COUNTIFS('ALL Tube Results'!$B33:$B672, $A34, 'ALL Tube Results'!$F33:$F672, "Inconclusive")
</f>
        <v>0</v>
      </c>
      <c r="G34" s="46">
        <f t="shared" si="7"/>
        <v>17</v>
      </c>
      <c r="H34" s="46" t="str">
        <f t="shared" si="8"/>
        <v/>
      </c>
      <c r="I34" s="47">
        <f t="shared" si="9"/>
        <v>17</v>
      </c>
      <c r="J34" s="47">
        <f t="shared" si="10"/>
        <v>0</v>
      </c>
      <c r="K34" s="47">
        <f t="shared" si="11"/>
        <v>0</v>
      </c>
      <c r="L34" s="47" t="str">
        <f t="shared" si="12"/>
        <v/>
      </c>
      <c r="M34" s="47" t="str">
        <f t="shared" si="13"/>
        <v/>
      </c>
      <c r="N34" s="47" t="str">
        <f t="shared" si="14"/>
        <v/>
      </c>
      <c r="O34" s="48">
        <f t="shared" si="15"/>
        <v>17</v>
      </c>
      <c r="P34" s="48" t="str">
        <f t="shared" si="16"/>
        <v/>
      </c>
      <c r="Q34" s="40"/>
      <c r="R34" s="6" t="s">
        <v>59</v>
      </c>
      <c r="S34" s="11">
        <v>44694.0</v>
      </c>
      <c r="T34" s="50">
        <f>VLOOKUP(R34,'Run Reconcile'!$A$2:$M672,13,FALSE)</f>
        <v>17</v>
      </c>
      <c r="U34" s="51" t="str">
        <f t="shared" si="17"/>
        <v/>
      </c>
      <c r="V34" s="50"/>
      <c r="W34" s="50"/>
      <c r="X34" s="40"/>
      <c r="Y34" s="6" t="str">
        <f>IFERROR(__xludf.DUMMYFUNCTION("""COMPUTED_VALUE"""),"RUN-COMB_2022-05-13_RFR-039")</f>
        <v>RUN-COMB_2022-05-13_RFR-039</v>
      </c>
      <c r="Z34" s="11">
        <f>IFERROR(__xludf.DUMMYFUNCTION("""COMPUTED_VALUE"""),44694.0)</f>
        <v>44694</v>
      </c>
      <c r="AA34" s="47">
        <f t="array" ref="AA34">INDEX('RFR Data - preExcl'!AK$2:AK672,$AE34,1)</f>
        <v>17</v>
      </c>
      <c r="AB34" s="50">
        <f t="shared" si="18"/>
        <v>17</v>
      </c>
      <c r="AC34" s="50">
        <f t="array" ref="AC34">INDEX('RFR Data - preExcl'!AI$2:AI672,$AE34,1)</f>
        <v>0</v>
      </c>
      <c r="AD34" s="50">
        <f t="array" ref="AD34">INDEX('RFR Data - preExcl'!AF$2:AF672,$AE34,1)</f>
        <v>0</v>
      </c>
      <c r="AE34" s="52">
        <f>IFNA(MATCH(Y34,'RFR Data - preExcl'!A$2:A672,0),"")</f>
        <v>39</v>
      </c>
      <c r="AF34" s="40"/>
      <c r="AG34" s="56" t="s">
        <v>59</v>
      </c>
      <c r="AH34" s="54">
        <f>VLOOKUP(AG34,'Run Reconcile'!A$2:B672,2,FALSE)</f>
        <v>44694</v>
      </c>
      <c r="AI34" s="55">
        <f>COUNTIF('APS Tubes Import'!$V$2:$V672, AG34)
</f>
        <v>17</v>
      </c>
      <c r="AJ34" s="55">
        <f>COUNTIFS('APS Tubes Import'!V$2:V672, AG34, 'APS Tubes Import'!H$2:H672, "Negative")
</f>
        <v>17</v>
      </c>
      <c r="AK34" s="55">
        <f>COUNTIFS('APS Tubes Import'!V$2:V672, AG34, 'APS Tubes Import'!H$2:H672, "Positive")
</f>
        <v>0</v>
      </c>
      <c r="AL34" s="55">
        <f>COUNTIFS('APS Tubes Import'!V$2:V672, AG34, 'APS Tubes Import'!H$2:H672, "Inconclusive")
</f>
        <v>0</v>
      </c>
      <c r="AM34" s="55">
        <f>COUNTIFS('APS Tubes Import'!V$2:V672, AG34, 'APS Tubes Import'!H$2:H672, "Null")
</f>
        <v>0</v>
      </c>
      <c r="AN34" s="40"/>
      <c r="AO34" s="11">
        <f>'APS Tubes by Date Import'!B33</f>
        <v>44697</v>
      </c>
      <c r="AP34" s="50">
        <f>'APS Tubes by Date Import'!C33</f>
        <v>26</v>
      </c>
      <c r="AQ34" s="50">
        <f>'APS Tubes by Date Import'!D33</f>
        <v>26</v>
      </c>
      <c r="AR34" s="50">
        <f>'APS Tubes by Date Import'!E33</f>
        <v>0</v>
      </c>
      <c r="AS34" s="50">
        <f>'APS Tubes by Date Import'!F33</f>
        <v>0</v>
      </c>
      <c r="AT34" s="50">
        <f>'APS Tubes by Date Import'!G33</f>
        <v>0</v>
      </c>
      <c r="AU34" s="40"/>
    </row>
    <row r="35">
      <c r="A35" s="6" t="s">
        <v>60</v>
      </c>
      <c r="B35" s="43">
        <f>VLOOKUP(A35,'Run Reconcile'!A$2:B672,2,FALSE)</f>
        <v>44697</v>
      </c>
      <c r="C35" s="44">
        <f>COUNTIF('ALL Tube Results'!B34:B672, A35)
</f>
        <v>26</v>
      </c>
      <c r="D35" s="45">
        <f>COUNTIFS('ALL Tube Results'!$B34:$B672, $A35, 'ALL Tube Results'!$F34:$F672, "Negative")
</f>
        <v>26</v>
      </c>
      <c r="E35" s="45">
        <f>COUNTIFS('ALL Tube Results'!$B34:$B672, $A35, 'ALL Tube Results'!$F34:$F672, "Positive")
</f>
        <v>0</v>
      </c>
      <c r="F35" s="45">
        <f>COUNTIFS('ALL Tube Results'!$B34:$B672, $A35, 'ALL Tube Results'!$F34:$F672, "Inconclusive")
</f>
        <v>0</v>
      </c>
      <c r="G35" s="46">
        <f t="shared" si="7"/>
        <v>26</v>
      </c>
      <c r="H35" s="46" t="str">
        <f t="shared" si="8"/>
        <v/>
      </c>
      <c r="I35" s="47">
        <f t="shared" si="9"/>
        <v>26</v>
      </c>
      <c r="J35" s="47">
        <f t="shared" si="10"/>
        <v>0</v>
      </c>
      <c r="K35" s="47">
        <f t="shared" si="11"/>
        <v>0</v>
      </c>
      <c r="L35" s="47" t="str">
        <f t="shared" si="12"/>
        <v/>
      </c>
      <c r="M35" s="47" t="str">
        <f t="shared" si="13"/>
        <v/>
      </c>
      <c r="N35" s="47" t="str">
        <f t="shared" si="14"/>
        <v/>
      </c>
      <c r="O35" s="48">
        <f t="shared" si="15"/>
        <v>26</v>
      </c>
      <c r="P35" s="48" t="str">
        <f t="shared" si="16"/>
        <v/>
      </c>
      <c r="Q35" s="40"/>
      <c r="R35" s="6" t="s">
        <v>60</v>
      </c>
      <c r="S35" s="11">
        <v>44697.0</v>
      </c>
      <c r="T35" s="50">
        <f>VLOOKUP(R35,'Run Reconcile'!$A$2:$M672,13,FALSE)</f>
        <v>26</v>
      </c>
      <c r="U35" s="51" t="str">
        <f t="shared" si="17"/>
        <v/>
      </c>
      <c r="V35" s="50"/>
      <c r="W35" s="50"/>
      <c r="X35" s="40"/>
      <c r="Y35" s="6" t="str">
        <f>IFERROR(__xludf.DUMMYFUNCTION("""COMPUTED_VALUE"""),"RUN-COMB_2022-05-16_RFR-040")</f>
        <v>RUN-COMB_2022-05-16_RFR-040</v>
      </c>
      <c r="Z35" s="11">
        <f>IFERROR(__xludf.DUMMYFUNCTION("""COMPUTED_VALUE"""),44697.0)</f>
        <v>44697</v>
      </c>
      <c r="AA35" s="47">
        <f t="array" ref="AA35">INDEX('RFR Data - preExcl'!AK$2:AK672,$AE35,1)</f>
        <v>26</v>
      </c>
      <c r="AB35" s="50">
        <f t="shared" si="18"/>
        <v>26</v>
      </c>
      <c r="AC35" s="50">
        <f t="array" ref="AC35">INDEX('RFR Data - preExcl'!AI$2:AI672,$AE35,1)</f>
        <v>0</v>
      </c>
      <c r="AD35" s="50">
        <f t="array" ref="AD35">INDEX('RFR Data - preExcl'!AF$2:AF672,$AE35,1)</f>
        <v>0</v>
      </c>
      <c r="AE35" s="52">
        <f>IFNA(MATCH(Y35,'RFR Data - preExcl'!A$2:A672,0),"")</f>
        <v>40</v>
      </c>
      <c r="AF35" s="40"/>
      <c r="AG35" s="56" t="s">
        <v>60</v>
      </c>
      <c r="AH35" s="54">
        <f>VLOOKUP(AG35,'Run Reconcile'!A$2:B672,2,FALSE)</f>
        <v>44697</v>
      </c>
      <c r="AI35" s="55">
        <f>COUNTIF('APS Tubes Import'!$V$2:$V672, AG35)
</f>
        <v>26</v>
      </c>
      <c r="AJ35" s="55">
        <f>COUNTIFS('APS Tubes Import'!V$2:V672, AG35, 'APS Tubes Import'!H$2:H672, "Negative")
</f>
        <v>26</v>
      </c>
      <c r="AK35" s="55">
        <f>COUNTIFS('APS Tubes Import'!V$2:V672, AG35, 'APS Tubes Import'!H$2:H672, "Positive")
</f>
        <v>0</v>
      </c>
      <c r="AL35" s="55">
        <f>COUNTIFS('APS Tubes Import'!V$2:V672, AG35, 'APS Tubes Import'!H$2:H672, "Inconclusive")
</f>
        <v>0</v>
      </c>
      <c r="AM35" s="55">
        <f>COUNTIFS('APS Tubes Import'!V$2:V672, AG35, 'APS Tubes Import'!H$2:H672, "Null")
</f>
        <v>0</v>
      </c>
      <c r="AN35" s="40"/>
      <c r="AO35" s="11">
        <f>'APS Tubes by Date Import'!B34</f>
        <v>44698</v>
      </c>
      <c r="AP35" s="50">
        <f>'APS Tubes by Date Import'!C34</f>
        <v>13</v>
      </c>
      <c r="AQ35" s="50">
        <f>'APS Tubes by Date Import'!D34</f>
        <v>13</v>
      </c>
      <c r="AR35" s="50">
        <f>'APS Tubes by Date Import'!E34</f>
        <v>0</v>
      </c>
      <c r="AS35" s="50">
        <f>'APS Tubes by Date Import'!F34</f>
        <v>0</v>
      </c>
      <c r="AT35" s="50">
        <f>'APS Tubes by Date Import'!G34</f>
        <v>0</v>
      </c>
      <c r="AU35" s="40"/>
    </row>
    <row r="36">
      <c r="A36" s="6" t="s">
        <v>61</v>
      </c>
      <c r="B36" s="43">
        <f>VLOOKUP(A36,'Run Reconcile'!A$2:B672,2,FALSE)</f>
        <v>44698</v>
      </c>
      <c r="C36" s="44">
        <f>COUNTIF('ALL Tube Results'!B35:B672, A36)
</f>
        <v>13</v>
      </c>
      <c r="D36" s="45">
        <f>COUNTIFS('ALL Tube Results'!$B35:$B672, $A36, 'ALL Tube Results'!$F35:$F672, "Negative")
</f>
        <v>13</v>
      </c>
      <c r="E36" s="45">
        <f>COUNTIFS('ALL Tube Results'!$B35:$B672, $A36, 'ALL Tube Results'!$F35:$F672, "Positive")
</f>
        <v>0</v>
      </c>
      <c r="F36" s="45">
        <f>COUNTIFS('ALL Tube Results'!$B35:$B672, $A36, 'ALL Tube Results'!$F35:$F672, "Inconclusive")
</f>
        <v>0</v>
      </c>
      <c r="G36" s="46">
        <f t="shared" si="7"/>
        <v>13</v>
      </c>
      <c r="H36" s="46" t="str">
        <f t="shared" si="8"/>
        <v/>
      </c>
      <c r="I36" s="47">
        <f t="shared" si="9"/>
        <v>13</v>
      </c>
      <c r="J36" s="47">
        <f t="shared" si="10"/>
        <v>0</v>
      </c>
      <c r="K36" s="47">
        <f t="shared" si="11"/>
        <v>0</v>
      </c>
      <c r="L36" s="47" t="str">
        <f t="shared" si="12"/>
        <v/>
      </c>
      <c r="M36" s="47" t="str">
        <f t="shared" si="13"/>
        <v/>
      </c>
      <c r="N36" s="47" t="str">
        <f t="shared" si="14"/>
        <v/>
      </c>
      <c r="O36" s="48">
        <f t="shared" si="15"/>
        <v>13</v>
      </c>
      <c r="P36" s="48" t="str">
        <f t="shared" si="16"/>
        <v/>
      </c>
      <c r="Q36" s="40"/>
      <c r="R36" s="6" t="s">
        <v>61</v>
      </c>
      <c r="S36" s="11">
        <v>44698.0</v>
      </c>
      <c r="T36" s="50">
        <f>VLOOKUP(R36,'Run Reconcile'!$A$2:$M672,13,FALSE)</f>
        <v>13</v>
      </c>
      <c r="U36" s="51" t="str">
        <f t="shared" si="17"/>
        <v/>
      </c>
      <c r="V36" s="50"/>
      <c r="W36" s="50"/>
      <c r="X36" s="40"/>
      <c r="Y36" s="6" t="str">
        <f>IFERROR(__xludf.DUMMYFUNCTION("""COMPUTED_VALUE"""),"RUN-COMB_2022-05-17_RFR-041")</f>
        <v>RUN-COMB_2022-05-17_RFR-041</v>
      </c>
      <c r="Z36" s="11">
        <f>IFERROR(__xludf.DUMMYFUNCTION("""COMPUTED_VALUE"""),44698.0)</f>
        <v>44698</v>
      </c>
      <c r="AA36" s="47">
        <f t="array" ref="AA36">INDEX('RFR Data - preExcl'!AK$2:AK672,$AE36,1)</f>
        <v>13</v>
      </c>
      <c r="AB36" s="50">
        <f t="shared" si="18"/>
        <v>13</v>
      </c>
      <c r="AC36" s="50">
        <f t="array" ref="AC36">INDEX('RFR Data - preExcl'!AI$2:AI672,$AE36,1)</f>
        <v>0</v>
      </c>
      <c r="AD36" s="50">
        <f t="array" ref="AD36">INDEX('RFR Data - preExcl'!AF$2:AF672,$AE36,1)</f>
        <v>0</v>
      </c>
      <c r="AE36" s="52">
        <f>IFNA(MATCH(Y36,'RFR Data - preExcl'!A$2:A672,0),"")</f>
        <v>41</v>
      </c>
      <c r="AF36" s="40"/>
      <c r="AG36" s="56" t="s">
        <v>61</v>
      </c>
      <c r="AH36" s="54">
        <f>VLOOKUP(AG36,'Run Reconcile'!A$2:B672,2,FALSE)</f>
        <v>44698</v>
      </c>
      <c r="AI36" s="55">
        <f>COUNTIF('APS Tubes Import'!$V$2:$V672, AG36)
</f>
        <v>13</v>
      </c>
      <c r="AJ36" s="55">
        <f>COUNTIFS('APS Tubes Import'!V$2:V672, AG36, 'APS Tubes Import'!H$2:H672, "Negative")
</f>
        <v>13</v>
      </c>
      <c r="AK36" s="55">
        <f>COUNTIFS('APS Tubes Import'!V$2:V672, AG36, 'APS Tubes Import'!H$2:H672, "Positive")
</f>
        <v>0</v>
      </c>
      <c r="AL36" s="55">
        <f>COUNTIFS('APS Tubes Import'!V$2:V672, AG36, 'APS Tubes Import'!H$2:H672, "Inconclusive")
</f>
        <v>0</v>
      </c>
      <c r="AM36" s="55">
        <f>COUNTIFS('APS Tubes Import'!V$2:V672, AG36, 'APS Tubes Import'!H$2:H672, "Null")
</f>
        <v>0</v>
      </c>
      <c r="AN36" s="40"/>
      <c r="AO36" s="11">
        <f>'APS Tubes by Date Import'!B35</f>
        <v>44699</v>
      </c>
      <c r="AP36" s="50">
        <f>'APS Tubes by Date Import'!C35</f>
        <v>10</v>
      </c>
      <c r="AQ36" s="50">
        <f>'APS Tubes by Date Import'!D35</f>
        <v>10</v>
      </c>
      <c r="AR36" s="50">
        <f>'APS Tubes by Date Import'!E35</f>
        <v>0</v>
      </c>
      <c r="AS36" s="50">
        <f>'APS Tubes by Date Import'!F35</f>
        <v>0</v>
      </c>
      <c r="AT36" s="50">
        <f>'APS Tubes by Date Import'!G35</f>
        <v>0</v>
      </c>
      <c r="AU36" s="40"/>
    </row>
    <row r="37">
      <c r="A37" s="6" t="s">
        <v>62</v>
      </c>
      <c r="B37" s="43">
        <f>VLOOKUP(A37,'Run Reconcile'!A$2:B672,2,FALSE)</f>
        <v>44699</v>
      </c>
      <c r="C37" s="44">
        <f>COUNTIF('ALL Tube Results'!B36:B672, A37)
</f>
        <v>10</v>
      </c>
      <c r="D37" s="45">
        <f>COUNTIFS('ALL Tube Results'!$B36:$B672, $A37, 'ALL Tube Results'!$F36:$F672, "Negative")
</f>
        <v>10</v>
      </c>
      <c r="E37" s="45">
        <f>COUNTIFS('ALL Tube Results'!$B36:$B672, $A37, 'ALL Tube Results'!$F36:$F672, "Positive")
</f>
        <v>0</v>
      </c>
      <c r="F37" s="45">
        <f>COUNTIFS('ALL Tube Results'!$B36:$B672, $A37, 'ALL Tube Results'!$F36:$F672, "Inconclusive")
</f>
        <v>0</v>
      </c>
      <c r="G37" s="46">
        <f t="shared" si="7"/>
        <v>10</v>
      </c>
      <c r="H37" s="46" t="str">
        <f t="shared" si="8"/>
        <v/>
      </c>
      <c r="I37" s="47">
        <f t="shared" si="9"/>
        <v>10</v>
      </c>
      <c r="J37" s="47">
        <f t="shared" si="10"/>
        <v>0</v>
      </c>
      <c r="K37" s="47">
        <f t="shared" si="11"/>
        <v>0</v>
      </c>
      <c r="L37" s="47" t="str">
        <f t="shared" si="12"/>
        <v/>
      </c>
      <c r="M37" s="47" t="str">
        <f t="shared" si="13"/>
        <v/>
      </c>
      <c r="N37" s="47" t="str">
        <f t="shared" si="14"/>
        <v/>
      </c>
      <c r="O37" s="48">
        <f t="shared" si="15"/>
        <v>10</v>
      </c>
      <c r="P37" s="48" t="str">
        <f t="shared" si="16"/>
        <v/>
      </c>
      <c r="Q37" s="40"/>
      <c r="R37" s="6" t="s">
        <v>62</v>
      </c>
      <c r="S37" s="11">
        <v>44699.0</v>
      </c>
      <c r="T37" s="50">
        <f>VLOOKUP(R37,'Run Reconcile'!$A$2:$M672,13,FALSE)</f>
        <v>10</v>
      </c>
      <c r="U37" s="51" t="str">
        <f t="shared" si="17"/>
        <v/>
      </c>
      <c r="V37" s="50"/>
      <c r="W37" s="50"/>
      <c r="X37" s="40"/>
      <c r="Y37" s="6" t="str">
        <f>IFERROR(__xludf.DUMMYFUNCTION("""COMPUTED_VALUE"""),"RUN-COMB_2022-05-18_RFR-042")</f>
        <v>RUN-COMB_2022-05-18_RFR-042</v>
      </c>
      <c r="Z37" s="11">
        <f>IFERROR(__xludf.DUMMYFUNCTION("""COMPUTED_VALUE"""),44699.0)</f>
        <v>44699</v>
      </c>
      <c r="AA37" s="47">
        <f t="array" ref="AA37">INDEX('RFR Data - preExcl'!AK$2:AK672,$AE37,1)</f>
        <v>10</v>
      </c>
      <c r="AB37" s="50">
        <f t="shared" si="18"/>
        <v>10</v>
      </c>
      <c r="AC37" s="50">
        <f t="array" ref="AC37">INDEX('RFR Data - preExcl'!AI$2:AI672,$AE37,1)</f>
        <v>0</v>
      </c>
      <c r="AD37" s="50">
        <f t="array" ref="AD37">INDEX('RFR Data - preExcl'!AF$2:AF672,$AE37,1)</f>
        <v>0</v>
      </c>
      <c r="AE37" s="52">
        <f>IFNA(MATCH(Y37,'RFR Data - preExcl'!A$2:A672,0),"")</f>
        <v>42</v>
      </c>
      <c r="AF37" s="40"/>
      <c r="AG37" s="56" t="s">
        <v>62</v>
      </c>
      <c r="AH37" s="54">
        <f>VLOOKUP(AG37,'Run Reconcile'!A$2:B672,2,FALSE)</f>
        <v>44699</v>
      </c>
      <c r="AI37" s="55">
        <f>COUNTIF('APS Tubes Import'!$V$2:$V672, AG37)
</f>
        <v>10</v>
      </c>
      <c r="AJ37" s="55">
        <f>COUNTIFS('APS Tubes Import'!V$2:V672, AG37, 'APS Tubes Import'!H$2:H672, "Negative")
</f>
        <v>10</v>
      </c>
      <c r="AK37" s="55">
        <f>COUNTIFS('APS Tubes Import'!V$2:V672, AG37, 'APS Tubes Import'!H$2:H672, "Positive")
</f>
        <v>0</v>
      </c>
      <c r="AL37" s="55">
        <f>COUNTIFS('APS Tubes Import'!V$2:V672, AG37, 'APS Tubes Import'!H$2:H672, "Inconclusive")
</f>
        <v>0</v>
      </c>
      <c r="AM37" s="55">
        <f>COUNTIFS('APS Tubes Import'!V$2:V672, AG37, 'APS Tubes Import'!H$2:H672, "Null")
</f>
        <v>0</v>
      </c>
      <c r="AN37" s="40"/>
      <c r="AO37" s="11">
        <f>'APS Tubes by Date Import'!B36</f>
        <v>44700</v>
      </c>
      <c r="AP37" s="50">
        <f>'APS Tubes by Date Import'!C36</f>
        <v>37</v>
      </c>
      <c r="AQ37" s="50">
        <f>'APS Tubes by Date Import'!D36</f>
        <v>37</v>
      </c>
      <c r="AR37" s="50">
        <f>'APS Tubes by Date Import'!E36</f>
        <v>0</v>
      </c>
      <c r="AS37" s="50">
        <f>'APS Tubes by Date Import'!F36</f>
        <v>0</v>
      </c>
      <c r="AT37" s="50">
        <f>'APS Tubes by Date Import'!G36</f>
        <v>0</v>
      </c>
      <c r="AU37" s="40"/>
    </row>
    <row r="38">
      <c r="A38" s="6" t="s">
        <v>63</v>
      </c>
      <c r="B38" s="43">
        <f>VLOOKUP(A38,'Run Reconcile'!A$2:B672,2,FALSE)</f>
        <v>44700</v>
      </c>
      <c r="C38" s="44">
        <f>COUNTIF('ALL Tube Results'!B37:B672, A38)
</f>
        <v>37</v>
      </c>
      <c r="D38" s="45">
        <f>COUNTIFS('ALL Tube Results'!$B37:$B672, $A38, 'ALL Tube Results'!$F37:$F672, "Negative")
</f>
        <v>37</v>
      </c>
      <c r="E38" s="45">
        <f>COUNTIFS('ALL Tube Results'!$B37:$B672, $A38, 'ALL Tube Results'!$F37:$F672, "Positive")
</f>
        <v>0</v>
      </c>
      <c r="F38" s="45">
        <f>COUNTIFS('ALL Tube Results'!$B37:$B672, $A38, 'ALL Tube Results'!$F37:$F672, "Inconclusive")
</f>
        <v>0</v>
      </c>
      <c r="G38" s="46">
        <f t="shared" si="7"/>
        <v>37</v>
      </c>
      <c r="H38" s="46" t="str">
        <f t="shared" si="8"/>
        <v/>
      </c>
      <c r="I38" s="47">
        <f t="shared" si="9"/>
        <v>37</v>
      </c>
      <c r="J38" s="47">
        <f t="shared" si="10"/>
        <v>0</v>
      </c>
      <c r="K38" s="47">
        <f t="shared" si="11"/>
        <v>0</v>
      </c>
      <c r="L38" s="47" t="str">
        <f t="shared" si="12"/>
        <v/>
      </c>
      <c r="M38" s="47" t="str">
        <f t="shared" si="13"/>
        <v/>
      </c>
      <c r="N38" s="47" t="str">
        <f t="shared" si="14"/>
        <v/>
      </c>
      <c r="O38" s="48">
        <f t="shared" si="15"/>
        <v>37</v>
      </c>
      <c r="P38" s="48" t="str">
        <f t="shared" si="16"/>
        <v/>
      </c>
      <c r="Q38" s="40"/>
      <c r="R38" s="6" t="s">
        <v>63</v>
      </c>
      <c r="S38" s="11">
        <v>44700.0</v>
      </c>
      <c r="T38" s="50">
        <f>VLOOKUP(R38,'Run Reconcile'!$A$2:$M672,13,FALSE)</f>
        <v>37</v>
      </c>
      <c r="U38" s="51" t="str">
        <f t="shared" si="17"/>
        <v/>
      </c>
      <c r="V38" s="50"/>
      <c r="W38" s="50"/>
      <c r="X38" s="40"/>
      <c r="Y38" s="6" t="str">
        <f>IFERROR(__xludf.DUMMYFUNCTION("""COMPUTED_VALUE"""),"RUN-COMB_2022-05-19_RFR-043")</f>
        <v>RUN-COMB_2022-05-19_RFR-043</v>
      </c>
      <c r="Z38" s="11">
        <f>IFERROR(__xludf.DUMMYFUNCTION("""COMPUTED_VALUE"""),44700.0)</f>
        <v>44700</v>
      </c>
      <c r="AA38" s="47">
        <f t="array" ref="AA38">INDEX('RFR Data - preExcl'!AK$2:AK672,$AE38,1)</f>
        <v>37</v>
      </c>
      <c r="AB38" s="50">
        <f t="shared" si="18"/>
        <v>37</v>
      </c>
      <c r="AC38" s="50">
        <f t="array" ref="AC38">INDEX('RFR Data - preExcl'!AI$2:AI672,$AE38,1)</f>
        <v>0</v>
      </c>
      <c r="AD38" s="50">
        <f t="array" ref="AD38">INDEX('RFR Data - preExcl'!AF$2:AF672,$AE38,1)</f>
        <v>0</v>
      </c>
      <c r="AE38" s="52">
        <f>IFNA(MATCH(Y38,'RFR Data - preExcl'!A$2:A672,0),"")</f>
        <v>43</v>
      </c>
      <c r="AF38" s="40"/>
      <c r="AG38" s="56" t="s">
        <v>63</v>
      </c>
      <c r="AH38" s="54">
        <f>VLOOKUP(AG38,'Run Reconcile'!A$2:B672,2,FALSE)</f>
        <v>44700</v>
      </c>
      <c r="AI38" s="55">
        <f>COUNTIF('APS Tubes Import'!$V$2:$V672, AG38)
</f>
        <v>37</v>
      </c>
      <c r="AJ38" s="55">
        <f>COUNTIFS('APS Tubes Import'!V$2:V672, AG38, 'APS Tubes Import'!H$2:H672, "Negative")
</f>
        <v>37</v>
      </c>
      <c r="AK38" s="55">
        <f>COUNTIFS('APS Tubes Import'!V$2:V672, AG38, 'APS Tubes Import'!H$2:H672, "Positive")
</f>
        <v>0</v>
      </c>
      <c r="AL38" s="55">
        <f>COUNTIFS('APS Tubes Import'!V$2:V672, AG38, 'APS Tubes Import'!H$2:H672, "Inconclusive")
</f>
        <v>0</v>
      </c>
      <c r="AM38" s="55">
        <f>COUNTIFS('APS Tubes Import'!V$2:V672, AG38, 'APS Tubes Import'!H$2:H672, "Null")
</f>
        <v>0</v>
      </c>
      <c r="AN38" s="40"/>
      <c r="AO38" s="11">
        <f>'APS Tubes by Date Import'!B37</f>
        <v>44701</v>
      </c>
      <c r="AP38" s="50">
        <f>'APS Tubes by Date Import'!C37</f>
        <v>13</v>
      </c>
      <c r="AQ38" s="50">
        <f>'APS Tubes by Date Import'!D37</f>
        <v>13</v>
      </c>
      <c r="AR38" s="50">
        <f>'APS Tubes by Date Import'!E37</f>
        <v>0</v>
      </c>
      <c r="AS38" s="50">
        <f>'APS Tubes by Date Import'!F37</f>
        <v>0</v>
      </c>
      <c r="AT38" s="50">
        <f>'APS Tubes by Date Import'!G37</f>
        <v>0</v>
      </c>
      <c r="AU38" s="40"/>
    </row>
    <row r="39">
      <c r="A39" s="6" t="s">
        <v>64</v>
      </c>
      <c r="B39" s="43">
        <f>VLOOKUP(A39,'Run Reconcile'!A$2:B672,2,FALSE)</f>
        <v>44701</v>
      </c>
      <c r="C39" s="44">
        <f>COUNTIF('ALL Tube Results'!B38:B672, A39)
</f>
        <v>13</v>
      </c>
      <c r="D39" s="45">
        <f>COUNTIFS('ALL Tube Results'!$B38:$B672, $A39, 'ALL Tube Results'!$F38:$F672, "Negative")
</f>
        <v>13</v>
      </c>
      <c r="E39" s="45">
        <f>COUNTIFS('ALL Tube Results'!$B38:$B672, $A39, 'ALL Tube Results'!$F38:$F672, "Positive")
</f>
        <v>0</v>
      </c>
      <c r="F39" s="45">
        <f>COUNTIFS('ALL Tube Results'!$B38:$B672, $A39, 'ALL Tube Results'!$F38:$F672, "Inconclusive")
</f>
        <v>0</v>
      </c>
      <c r="G39" s="46">
        <f t="shared" si="7"/>
        <v>13</v>
      </c>
      <c r="H39" s="46" t="str">
        <f t="shared" si="8"/>
        <v/>
      </c>
      <c r="I39" s="47">
        <f t="shared" si="9"/>
        <v>13</v>
      </c>
      <c r="J39" s="47">
        <f t="shared" si="10"/>
        <v>0</v>
      </c>
      <c r="K39" s="47">
        <f t="shared" si="11"/>
        <v>0</v>
      </c>
      <c r="L39" s="47" t="str">
        <f t="shared" si="12"/>
        <v/>
      </c>
      <c r="M39" s="47" t="str">
        <f t="shared" si="13"/>
        <v/>
      </c>
      <c r="N39" s="47" t="str">
        <f t="shared" si="14"/>
        <v/>
      </c>
      <c r="O39" s="48">
        <f t="shared" si="15"/>
        <v>13</v>
      </c>
      <c r="P39" s="48" t="str">
        <f t="shared" si="16"/>
        <v/>
      </c>
      <c r="Q39" s="40"/>
      <c r="R39" s="6" t="s">
        <v>64</v>
      </c>
      <c r="S39" s="11">
        <v>44701.0</v>
      </c>
      <c r="T39" s="50">
        <f>VLOOKUP(R39,'Run Reconcile'!$A$2:$M672,13,FALSE)</f>
        <v>13</v>
      </c>
      <c r="U39" s="51" t="str">
        <f t="shared" si="17"/>
        <v/>
      </c>
      <c r="V39" s="50"/>
      <c r="W39" s="50"/>
      <c r="X39" s="40"/>
      <c r="Y39" s="6" t="str">
        <f>IFERROR(__xludf.DUMMYFUNCTION("""COMPUTED_VALUE"""),"RUN-COMB_2022-05-20_RFR-044")</f>
        <v>RUN-COMB_2022-05-20_RFR-044</v>
      </c>
      <c r="Z39" s="11">
        <f>IFERROR(__xludf.DUMMYFUNCTION("""COMPUTED_VALUE"""),44701.0)</f>
        <v>44701</v>
      </c>
      <c r="AA39" s="47">
        <f t="array" ref="AA39">INDEX('RFR Data - preExcl'!AK$2:AK672,$AE39,1)</f>
        <v>13</v>
      </c>
      <c r="AB39" s="50">
        <f t="shared" si="18"/>
        <v>13</v>
      </c>
      <c r="AC39" s="50">
        <f t="array" ref="AC39">INDEX('RFR Data - preExcl'!AI$2:AI672,$AE39,1)</f>
        <v>0</v>
      </c>
      <c r="AD39" s="50">
        <f t="array" ref="AD39">INDEX('RFR Data - preExcl'!AF$2:AF672,$AE39,1)</f>
        <v>0</v>
      </c>
      <c r="AE39" s="52">
        <f>IFNA(MATCH(Y39,'RFR Data - preExcl'!A$2:A672,0),"")</f>
        <v>44</v>
      </c>
      <c r="AF39" s="40"/>
      <c r="AG39" s="56" t="s">
        <v>64</v>
      </c>
      <c r="AH39" s="54">
        <f>VLOOKUP(AG39,'Run Reconcile'!A$2:B672,2,FALSE)</f>
        <v>44701</v>
      </c>
      <c r="AI39" s="55">
        <f>COUNTIF('APS Tubes Import'!$V$2:$V672, AG39)
</f>
        <v>13</v>
      </c>
      <c r="AJ39" s="55">
        <f>COUNTIFS('APS Tubes Import'!V$2:V672, AG39, 'APS Tubes Import'!H$2:H672, "Negative")
</f>
        <v>13</v>
      </c>
      <c r="AK39" s="55">
        <f>COUNTIFS('APS Tubes Import'!V$2:V672, AG39, 'APS Tubes Import'!H$2:H672, "Positive")
</f>
        <v>0</v>
      </c>
      <c r="AL39" s="55">
        <f>COUNTIFS('APS Tubes Import'!V$2:V672, AG39, 'APS Tubes Import'!H$2:H672, "Inconclusive")
</f>
        <v>0</v>
      </c>
      <c r="AM39" s="55">
        <f>COUNTIFS('APS Tubes Import'!V$2:V672, AG39, 'APS Tubes Import'!H$2:H672, "Null")
</f>
        <v>0</v>
      </c>
      <c r="AN39" s="40"/>
      <c r="AO39" s="11">
        <f>'APS Tubes by Date Import'!B38</f>
        <v>44706</v>
      </c>
      <c r="AP39" s="50">
        <f>'APS Tubes by Date Import'!C38</f>
        <v>32</v>
      </c>
      <c r="AQ39" s="50">
        <f>'APS Tubes by Date Import'!D38</f>
        <v>32</v>
      </c>
      <c r="AR39" s="50">
        <f>'APS Tubes by Date Import'!E38</f>
        <v>0</v>
      </c>
      <c r="AS39" s="50">
        <f>'APS Tubes by Date Import'!F38</f>
        <v>0</v>
      </c>
      <c r="AT39" s="50">
        <f>'APS Tubes by Date Import'!G38</f>
        <v>0</v>
      </c>
      <c r="AU39" s="40"/>
    </row>
    <row r="40">
      <c r="A40" s="6" t="s">
        <v>65</v>
      </c>
      <c r="B40" s="43">
        <f>VLOOKUP(A40,'Run Reconcile'!A$2:B672,2,FALSE)</f>
        <v>44706</v>
      </c>
      <c r="C40" s="44">
        <f>COUNTIF('ALL Tube Results'!B39:B672, A40)
</f>
        <v>32</v>
      </c>
      <c r="D40" s="45">
        <f>COUNTIFS('ALL Tube Results'!$B39:$B672, $A40, 'ALL Tube Results'!$F39:$F672, "Negative")
</f>
        <v>32</v>
      </c>
      <c r="E40" s="45">
        <f>COUNTIFS('ALL Tube Results'!$B39:$B672, $A40, 'ALL Tube Results'!$F39:$F672, "Positive")
</f>
        <v>0</v>
      </c>
      <c r="F40" s="45">
        <f>COUNTIFS('ALL Tube Results'!$B39:$B672, $A40, 'ALL Tube Results'!$F39:$F672, "Inconclusive")
</f>
        <v>0</v>
      </c>
      <c r="G40" s="46">
        <f t="shared" si="7"/>
        <v>32</v>
      </c>
      <c r="H40" s="46" t="str">
        <f t="shared" si="8"/>
        <v/>
      </c>
      <c r="I40" s="47">
        <f t="shared" si="9"/>
        <v>32</v>
      </c>
      <c r="J40" s="47">
        <f t="shared" si="10"/>
        <v>0</v>
      </c>
      <c r="K40" s="47">
        <f t="shared" si="11"/>
        <v>0</v>
      </c>
      <c r="L40" s="47" t="str">
        <f t="shared" si="12"/>
        <v/>
      </c>
      <c r="M40" s="47" t="str">
        <f t="shared" si="13"/>
        <v/>
      </c>
      <c r="N40" s="47" t="str">
        <f t="shared" si="14"/>
        <v/>
      </c>
      <c r="O40" s="48">
        <f t="shared" si="15"/>
        <v>32</v>
      </c>
      <c r="P40" s="48" t="str">
        <f t="shared" si="16"/>
        <v/>
      </c>
      <c r="Q40" s="40"/>
      <c r="R40" s="6" t="s">
        <v>65</v>
      </c>
      <c r="S40" s="11">
        <v>44706.0</v>
      </c>
      <c r="T40" s="50">
        <f>VLOOKUP(R40,'Run Reconcile'!$A$2:$M672,13,FALSE)</f>
        <v>32</v>
      </c>
      <c r="U40" s="51" t="str">
        <f t="shared" si="17"/>
        <v/>
      </c>
      <c r="V40" s="50"/>
      <c r="W40" s="50"/>
      <c r="X40" s="40"/>
      <c r="Y40" s="6" t="str">
        <f>IFERROR(__xludf.DUMMYFUNCTION("""COMPUTED_VALUE"""),"RUN-COMB_2022-05-25_RFR-045")</f>
        <v>RUN-COMB_2022-05-25_RFR-045</v>
      </c>
      <c r="Z40" s="11">
        <f>IFERROR(__xludf.DUMMYFUNCTION("""COMPUTED_VALUE"""),44706.0)</f>
        <v>44706</v>
      </c>
      <c r="AA40" s="47">
        <f t="array" ref="AA40">INDEX('RFR Data - preExcl'!AK$2:AK672,$AE40,1)</f>
        <v>32</v>
      </c>
      <c r="AB40" s="50">
        <f t="shared" si="18"/>
        <v>32</v>
      </c>
      <c r="AC40" s="50">
        <f t="array" ref="AC40">INDEX('RFR Data - preExcl'!AI$2:AI672,$AE40,1)</f>
        <v>0</v>
      </c>
      <c r="AD40" s="50">
        <f t="array" ref="AD40">INDEX('RFR Data - preExcl'!AF$2:AF672,$AE40,1)</f>
        <v>0</v>
      </c>
      <c r="AE40" s="52">
        <f>IFNA(MATCH(Y40,'RFR Data - preExcl'!A$2:A672,0),"")</f>
        <v>45</v>
      </c>
      <c r="AF40" s="40"/>
      <c r="AG40" s="56" t="s">
        <v>65</v>
      </c>
      <c r="AH40" s="54">
        <f>VLOOKUP(AG40,'Run Reconcile'!A$2:B672,2,FALSE)</f>
        <v>44706</v>
      </c>
      <c r="AI40" s="55">
        <f>COUNTIF('APS Tubes Import'!$V$2:$V672, AG40)
</f>
        <v>32</v>
      </c>
      <c r="AJ40" s="55">
        <f>COUNTIFS('APS Tubes Import'!V$2:V672, AG40, 'APS Tubes Import'!H$2:H672, "Negative")
</f>
        <v>32</v>
      </c>
      <c r="AK40" s="55">
        <f>COUNTIFS('APS Tubes Import'!V$2:V672, AG40, 'APS Tubes Import'!H$2:H672, "Positive")
</f>
        <v>0</v>
      </c>
      <c r="AL40" s="55">
        <f>COUNTIFS('APS Tubes Import'!V$2:V672, AG40, 'APS Tubes Import'!H$2:H672, "Inconclusive")
</f>
        <v>0</v>
      </c>
      <c r="AM40" s="55">
        <f>COUNTIFS('APS Tubes Import'!V$2:V672, AG40, 'APS Tubes Import'!H$2:H672, "Null")
</f>
        <v>0</v>
      </c>
      <c r="AN40" s="40"/>
      <c r="AO40" s="11">
        <f>'APS Tubes by Date Import'!B39</f>
        <v>44707</v>
      </c>
      <c r="AP40" s="50">
        <f>'APS Tubes by Date Import'!C39</f>
        <v>19</v>
      </c>
      <c r="AQ40" s="50">
        <f>'APS Tubes by Date Import'!D39</f>
        <v>19</v>
      </c>
      <c r="AR40" s="50">
        <f>'APS Tubes by Date Import'!E39</f>
        <v>0</v>
      </c>
      <c r="AS40" s="50">
        <f>'APS Tubes by Date Import'!F39</f>
        <v>0</v>
      </c>
      <c r="AT40" s="50">
        <f>'APS Tubes by Date Import'!G39</f>
        <v>0</v>
      </c>
      <c r="AU40" s="40"/>
    </row>
    <row r="41">
      <c r="A41" s="6" t="s">
        <v>66</v>
      </c>
      <c r="B41" s="43">
        <f>VLOOKUP(A41,'Run Reconcile'!A$2:B672,2,FALSE)</f>
        <v>44707</v>
      </c>
      <c r="C41" s="44">
        <f>COUNTIF('ALL Tube Results'!B40:B672, A41)
</f>
        <v>19</v>
      </c>
      <c r="D41" s="45">
        <f>COUNTIFS('ALL Tube Results'!$B40:$B672, $A41, 'ALL Tube Results'!$F40:$F672, "Negative")
</f>
        <v>19</v>
      </c>
      <c r="E41" s="45">
        <f>COUNTIFS('ALL Tube Results'!$B40:$B672, $A41, 'ALL Tube Results'!$F40:$F672, "Positive")
</f>
        <v>0</v>
      </c>
      <c r="F41" s="45">
        <f>COUNTIFS('ALL Tube Results'!$B40:$B672, $A41, 'ALL Tube Results'!$F40:$F672, "Inconclusive")
</f>
        <v>0</v>
      </c>
      <c r="G41" s="46">
        <f t="shared" si="7"/>
        <v>19</v>
      </c>
      <c r="H41" s="46" t="str">
        <f t="shared" si="8"/>
        <v/>
      </c>
      <c r="I41" s="47">
        <f t="shared" si="9"/>
        <v>19</v>
      </c>
      <c r="J41" s="47">
        <f t="shared" si="10"/>
        <v>0</v>
      </c>
      <c r="K41" s="47">
        <f t="shared" si="11"/>
        <v>0</v>
      </c>
      <c r="L41" s="47" t="str">
        <f t="shared" si="12"/>
        <v/>
      </c>
      <c r="M41" s="47" t="str">
        <f t="shared" si="13"/>
        <v/>
      </c>
      <c r="N41" s="47" t="str">
        <f t="shared" si="14"/>
        <v/>
      </c>
      <c r="O41" s="48">
        <f t="shared" si="15"/>
        <v>19</v>
      </c>
      <c r="P41" s="48" t="str">
        <f t="shared" si="16"/>
        <v/>
      </c>
      <c r="Q41" s="40"/>
      <c r="R41" s="6" t="s">
        <v>66</v>
      </c>
      <c r="S41" s="11">
        <v>44707.0</v>
      </c>
      <c r="T41" s="50">
        <f>VLOOKUP(R41,'Run Reconcile'!$A$2:$M672,13,FALSE)</f>
        <v>19</v>
      </c>
      <c r="U41" s="51" t="str">
        <f t="shared" si="17"/>
        <v/>
      </c>
      <c r="V41" s="50"/>
      <c r="W41" s="50"/>
      <c r="X41" s="40"/>
      <c r="Y41" s="6" t="str">
        <f>IFERROR(__xludf.DUMMYFUNCTION("""COMPUTED_VALUE"""),"RUN-COMB_2022-05-26_RFR-047")</f>
        <v>RUN-COMB_2022-05-26_RFR-047</v>
      </c>
      <c r="Z41" s="11">
        <f>IFERROR(__xludf.DUMMYFUNCTION("""COMPUTED_VALUE"""),44707.0)</f>
        <v>44707</v>
      </c>
      <c r="AA41" s="47">
        <f t="array" ref="AA41">INDEX('RFR Data - preExcl'!AK$2:AK672,$AE41,1)</f>
        <v>19</v>
      </c>
      <c r="AB41" s="50">
        <f t="shared" si="18"/>
        <v>19</v>
      </c>
      <c r="AC41" s="50">
        <f t="array" ref="AC41">INDEX('RFR Data - preExcl'!AI$2:AI672,$AE41,1)</f>
        <v>0</v>
      </c>
      <c r="AD41" s="50">
        <f t="array" ref="AD41">INDEX('RFR Data - preExcl'!AF$2:AF672,$AE41,1)</f>
        <v>0</v>
      </c>
      <c r="AE41" s="52">
        <f>IFNA(MATCH(Y41,'RFR Data - preExcl'!A$2:A672,0),"")</f>
        <v>47</v>
      </c>
      <c r="AF41" s="40"/>
      <c r="AG41" s="56" t="s">
        <v>66</v>
      </c>
      <c r="AH41" s="54">
        <f>VLOOKUP(AG41,'Run Reconcile'!A$2:B672,2,FALSE)</f>
        <v>44707</v>
      </c>
      <c r="AI41" s="55">
        <f>COUNTIF('APS Tubes Import'!$V$2:$V672, AG41)
</f>
        <v>19</v>
      </c>
      <c r="AJ41" s="55">
        <f>COUNTIFS('APS Tubes Import'!V$2:V672, AG41, 'APS Tubes Import'!H$2:H672, "Negative")
</f>
        <v>19</v>
      </c>
      <c r="AK41" s="55">
        <f>COUNTIFS('APS Tubes Import'!V$2:V672, AG41, 'APS Tubes Import'!H$2:H672, "Positive")
</f>
        <v>0</v>
      </c>
      <c r="AL41" s="55">
        <f>COUNTIFS('APS Tubes Import'!V$2:V672, AG41, 'APS Tubes Import'!H$2:H672, "Inconclusive")
</f>
        <v>0</v>
      </c>
      <c r="AM41" s="55">
        <f>COUNTIFS('APS Tubes Import'!V$2:V672, AG41, 'APS Tubes Import'!H$2:H672, "Null")
</f>
        <v>0</v>
      </c>
      <c r="AN41" s="40"/>
      <c r="AO41" s="11">
        <f>'APS Tubes by Date Import'!B40</f>
        <v>44708</v>
      </c>
      <c r="AP41" s="50">
        <f>'APS Tubes by Date Import'!C40</f>
        <v>19</v>
      </c>
      <c r="AQ41" s="50">
        <f>'APS Tubes by Date Import'!D40</f>
        <v>19</v>
      </c>
      <c r="AR41" s="50">
        <f>'APS Tubes by Date Import'!E40</f>
        <v>0</v>
      </c>
      <c r="AS41" s="50">
        <f>'APS Tubes by Date Import'!F40</f>
        <v>0</v>
      </c>
      <c r="AT41" s="50">
        <f>'APS Tubes by Date Import'!G40</f>
        <v>0</v>
      </c>
      <c r="AU41" s="40"/>
    </row>
    <row r="42">
      <c r="A42" s="6" t="s">
        <v>67</v>
      </c>
      <c r="B42" s="43">
        <f>VLOOKUP(A42,'Run Reconcile'!A$2:B672,2,FALSE)</f>
        <v>44708</v>
      </c>
      <c r="C42" s="44">
        <f>COUNTIF('ALL Tube Results'!B41:B672, A42)
</f>
        <v>19</v>
      </c>
      <c r="D42" s="45">
        <f>COUNTIFS('ALL Tube Results'!$B41:$B672, $A42, 'ALL Tube Results'!$F41:$F672, "Negative")
</f>
        <v>19</v>
      </c>
      <c r="E42" s="45">
        <f>COUNTIFS('ALL Tube Results'!$B41:$B672, $A42, 'ALL Tube Results'!$F41:$F672, "Positive")
</f>
        <v>0</v>
      </c>
      <c r="F42" s="45">
        <f>COUNTIFS('ALL Tube Results'!$B41:$B672, $A42, 'ALL Tube Results'!$F41:$F672, "Inconclusive")
</f>
        <v>0</v>
      </c>
      <c r="G42" s="46">
        <f t="shared" si="7"/>
        <v>19</v>
      </c>
      <c r="H42" s="46" t="str">
        <f t="shared" si="8"/>
        <v/>
      </c>
      <c r="I42" s="47">
        <f t="shared" si="9"/>
        <v>19</v>
      </c>
      <c r="J42" s="47">
        <f t="shared" si="10"/>
        <v>0</v>
      </c>
      <c r="K42" s="47">
        <f t="shared" si="11"/>
        <v>0</v>
      </c>
      <c r="L42" s="47" t="str">
        <f t="shared" si="12"/>
        <v/>
      </c>
      <c r="M42" s="47" t="str">
        <f t="shared" si="13"/>
        <v/>
      </c>
      <c r="N42" s="47" t="str">
        <f t="shared" si="14"/>
        <v/>
      </c>
      <c r="O42" s="48">
        <f t="shared" si="15"/>
        <v>19</v>
      </c>
      <c r="P42" s="48" t="str">
        <f t="shared" si="16"/>
        <v/>
      </c>
      <c r="Q42" s="40"/>
      <c r="R42" s="6" t="s">
        <v>67</v>
      </c>
      <c r="S42" s="11">
        <v>44708.0</v>
      </c>
      <c r="T42" s="50">
        <f>VLOOKUP(R42,'Run Reconcile'!$A$2:$M672,13,FALSE)</f>
        <v>19</v>
      </c>
      <c r="U42" s="51" t="str">
        <f t="shared" si="17"/>
        <v/>
      </c>
      <c r="V42" s="50"/>
      <c r="W42" s="50"/>
      <c r="X42" s="40"/>
      <c r="Y42" s="6" t="str">
        <f>IFERROR(__xludf.DUMMYFUNCTION("""COMPUTED_VALUE"""),"RUN-COMB_2022-05-27_RFR-048")</f>
        <v>RUN-COMB_2022-05-27_RFR-048</v>
      </c>
      <c r="Z42" s="11">
        <f>IFERROR(__xludf.DUMMYFUNCTION("""COMPUTED_VALUE"""),44708.0)</f>
        <v>44708</v>
      </c>
      <c r="AA42" s="47">
        <f t="array" ref="AA42">INDEX('RFR Data - preExcl'!AK$2:AK672,$AE42,1)</f>
        <v>19</v>
      </c>
      <c r="AB42" s="50">
        <f t="shared" si="18"/>
        <v>19</v>
      </c>
      <c r="AC42" s="50">
        <f t="array" ref="AC42">INDEX('RFR Data - preExcl'!AI$2:AI672,$AE42,1)</f>
        <v>0</v>
      </c>
      <c r="AD42" s="50">
        <f t="array" ref="AD42">INDEX('RFR Data - preExcl'!AF$2:AF672,$AE42,1)</f>
        <v>0</v>
      </c>
      <c r="AE42" s="52">
        <f>IFNA(MATCH(Y42,'RFR Data - preExcl'!A$2:A672,0),"")</f>
        <v>48</v>
      </c>
      <c r="AF42" s="40"/>
      <c r="AG42" s="56" t="s">
        <v>67</v>
      </c>
      <c r="AH42" s="54">
        <f>VLOOKUP(AG42,'Run Reconcile'!A$2:B672,2,FALSE)</f>
        <v>44708</v>
      </c>
      <c r="AI42" s="55">
        <f>COUNTIF('APS Tubes Import'!$V$2:$V672, AG42)
</f>
        <v>19</v>
      </c>
      <c r="AJ42" s="55">
        <f>COUNTIFS('APS Tubes Import'!V$2:V672, AG42, 'APS Tubes Import'!H$2:H672, "Negative")
</f>
        <v>19</v>
      </c>
      <c r="AK42" s="55">
        <f>COUNTIFS('APS Tubes Import'!V$2:V672, AG42, 'APS Tubes Import'!H$2:H672, "Positive")
</f>
        <v>0</v>
      </c>
      <c r="AL42" s="55">
        <f>COUNTIFS('APS Tubes Import'!V$2:V672, AG42, 'APS Tubes Import'!H$2:H672, "Inconclusive")
</f>
        <v>0</v>
      </c>
      <c r="AM42" s="55">
        <f>COUNTIFS('APS Tubes Import'!V$2:V672, AG42, 'APS Tubes Import'!H$2:H672, "Null")
</f>
        <v>0</v>
      </c>
      <c r="AN42" s="40"/>
      <c r="AO42" s="11">
        <f>'APS Tubes by Date Import'!B41</f>
        <v>44709</v>
      </c>
      <c r="AP42" s="50">
        <f>'APS Tubes by Date Import'!C41</f>
        <v>36</v>
      </c>
      <c r="AQ42" s="50">
        <f>'APS Tubes by Date Import'!D41</f>
        <v>36</v>
      </c>
      <c r="AR42" s="50">
        <f>'APS Tubes by Date Import'!E41</f>
        <v>0</v>
      </c>
      <c r="AS42" s="50">
        <f>'APS Tubes by Date Import'!F41</f>
        <v>0</v>
      </c>
      <c r="AT42" s="50">
        <f>'APS Tubes by Date Import'!G41</f>
        <v>0</v>
      </c>
      <c r="AU42" s="40"/>
    </row>
    <row r="43">
      <c r="A43" s="6" t="s">
        <v>68</v>
      </c>
      <c r="B43" s="43">
        <f>VLOOKUP(A43,'Run Reconcile'!A$2:B672,2,FALSE)</f>
        <v>44709</v>
      </c>
      <c r="C43" s="44">
        <f>COUNTIF('ALL Tube Results'!B42:B672, A43)
</f>
        <v>45</v>
      </c>
      <c r="D43" s="45">
        <f>COUNTIFS('ALL Tube Results'!$B42:$B672, $A43, 'ALL Tube Results'!$F42:$F672, "Negative")
</f>
        <v>45</v>
      </c>
      <c r="E43" s="45">
        <f>COUNTIFS('ALL Tube Results'!$B42:$B672, $A43, 'ALL Tube Results'!$F42:$F672, "Positive")
</f>
        <v>0</v>
      </c>
      <c r="F43" s="45">
        <f>COUNTIFS('ALL Tube Results'!$B42:$B672, $A43, 'ALL Tube Results'!$F42:$F672, "Inconclusive")
</f>
        <v>0</v>
      </c>
      <c r="G43" s="46">
        <f t="shared" si="7"/>
        <v>45</v>
      </c>
      <c r="H43" s="46" t="str">
        <f t="shared" si="8"/>
        <v/>
      </c>
      <c r="I43" s="47">
        <f t="shared" si="9"/>
        <v>45</v>
      </c>
      <c r="J43" s="47">
        <f t="shared" si="10"/>
        <v>0</v>
      </c>
      <c r="K43" s="47">
        <f t="shared" si="11"/>
        <v>0</v>
      </c>
      <c r="L43" s="47" t="str">
        <f t="shared" si="12"/>
        <v/>
      </c>
      <c r="M43" s="47" t="str">
        <f t="shared" si="13"/>
        <v/>
      </c>
      <c r="N43" s="47" t="str">
        <f t="shared" si="14"/>
        <v/>
      </c>
      <c r="O43" s="48">
        <f t="shared" si="15"/>
        <v>36</v>
      </c>
      <c r="P43" s="48">
        <f t="shared" si="16"/>
        <v>9</v>
      </c>
      <c r="Q43" s="40"/>
      <c r="R43" s="6" t="s">
        <v>68</v>
      </c>
      <c r="S43" s="11">
        <v>44709.0</v>
      </c>
      <c r="T43" s="50">
        <f>VLOOKUP(R43,'Run Reconcile'!$A$2:$M672,13,FALSE)</f>
        <v>45</v>
      </c>
      <c r="U43" s="51" t="str">
        <f t="shared" si="17"/>
        <v/>
      </c>
      <c r="V43" s="50"/>
      <c r="W43" s="50"/>
      <c r="X43" s="40"/>
      <c r="Y43" s="6" t="str">
        <f>IFERROR(__xludf.DUMMYFUNCTION("""COMPUTED_VALUE"""),"RUN-COMB_2022-05-28_RFR-049")</f>
        <v>RUN-COMB_2022-05-28_RFR-049</v>
      </c>
      <c r="Z43" s="11">
        <f>IFERROR(__xludf.DUMMYFUNCTION("""COMPUTED_VALUE"""),44709.0)</f>
        <v>44709</v>
      </c>
      <c r="AA43" s="47">
        <f t="array" ref="AA43">INDEX('RFR Data - preExcl'!AK$2:AK672,$AE43,1)</f>
        <v>45</v>
      </c>
      <c r="AB43" s="50">
        <f t="shared" si="18"/>
        <v>45</v>
      </c>
      <c r="AC43" s="50">
        <f t="array" ref="AC43">INDEX('RFR Data - preExcl'!AI$2:AI672,$AE43,1)</f>
        <v>0</v>
      </c>
      <c r="AD43" s="50">
        <f t="array" ref="AD43">INDEX('RFR Data - preExcl'!AF$2:AF672,$AE43,1)</f>
        <v>0</v>
      </c>
      <c r="AE43" s="52">
        <f>IFNA(MATCH(Y43,'RFR Data - preExcl'!A$2:A672,0),"")</f>
        <v>49</v>
      </c>
      <c r="AF43" s="40"/>
      <c r="AG43" s="56" t="s">
        <v>68</v>
      </c>
      <c r="AH43" s="54">
        <f>VLOOKUP(AG43,'Run Reconcile'!A$2:B672,2,FALSE)</f>
        <v>44709</v>
      </c>
      <c r="AI43" s="55">
        <f>COUNTIF('APS Tubes Import'!$V$2:$V672, AG43)
</f>
        <v>36</v>
      </c>
      <c r="AJ43" s="55">
        <f>COUNTIFS('APS Tubes Import'!V$2:V672, AG43, 'APS Tubes Import'!H$2:H672, "Negative")
</f>
        <v>36</v>
      </c>
      <c r="AK43" s="55">
        <f>COUNTIFS('APS Tubes Import'!V$2:V672, AG43, 'APS Tubes Import'!H$2:H672, "Positive")
</f>
        <v>0</v>
      </c>
      <c r="AL43" s="55">
        <f>COUNTIFS('APS Tubes Import'!V$2:V672, AG43, 'APS Tubes Import'!H$2:H672, "Inconclusive")
</f>
        <v>0</v>
      </c>
      <c r="AM43" s="55">
        <f>COUNTIFS('APS Tubes Import'!V$2:V672, AG43, 'APS Tubes Import'!H$2:H672, "Null")
</f>
        <v>0</v>
      </c>
      <c r="AN43" s="40"/>
      <c r="AO43" s="11">
        <f>'APS Tubes by Date Import'!B42</f>
        <v>44710</v>
      </c>
      <c r="AP43" s="50">
        <f>'APS Tubes by Date Import'!C42</f>
        <v>22</v>
      </c>
      <c r="AQ43" s="50">
        <f>'APS Tubes by Date Import'!D42</f>
        <v>22</v>
      </c>
      <c r="AR43" s="50">
        <f>'APS Tubes by Date Import'!E42</f>
        <v>0</v>
      </c>
      <c r="AS43" s="50">
        <f>'APS Tubes by Date Import'!F42</f>
        <v>0</v>
      </c>
      <c r="AT43" s="50">
        <f>'APS Tubes by Date Import'!G42</f>
        <v>0</v>
      </c>
      <c r="AU43" s="40"/>
    </row>
    <row r="44">
      <c r="A44" s="6" t="s">
        <v>69</v>
      </c>
      <c r="B44" s="43">
        <f>VLOOKUP(A44,'Run Reconcile'!A$2:B672,2,FALSE)</f>
        <v>44710</v>
      </c>
      <c r="C44" s="44">
        <f>COUNTIF('ALL Tube Results'!B43:B672, A44)
</f>
        <v>22</v>
      </c>
      <c r="D44" s="45">
        <f>COUNTIFS('ALL Tube Results'!$B43:$B672, $A44, 'ALL Tube Results'!$F43:$F672, "Negative")
</f>
        <v>22</v>
      </c>
      <c r="E44" s="45">
        <f>COUNTIFS('ALL Tube Results'!$B43:$B672, $A44, 'ALL Tube Results'!$F43:$F672, "Positive")
</f>
        <v>0</v>
      </c>
      <c r="F44" s="45">
        <f>COUNTIFS('ALL Tube Results'!$B43:$B672, $A44, 'ALL Tube Results'!$F43:$F672, "Inconclusive")
</f>
        <v>0</v>
      </c>
      <c r="G44" s="46">
        <f t="shared" si="7"/>
        <v>22</v>
      </c>
      <c r="H44" s="46" t="str">
        <f t="shared" si="8"/>
        <v/>
      </c>
      <c r="I44" s="47">
        <f t="shared" si="9"/>
        <v>22</v>
      </c>
      <c r="J44" s="47">
        <f t="shared" si="10"/>
        <v>0</v>
      </c>
      <c r="K44" s="47">
        <f t="shared" si="11"/>
        <v>0</v>
      </c>
      <c r="L44" s="47" t="str">
        <f t="shared" si="12"/>
        <v/>
      </c>
      <c r="M44" s="47" t="str">
        <f t="shared" si="13"/>
        <v/>
      </c>
      <c r="N44" s="47" t="str">
        <f t="shared" si="14"/>
        <v/>
      </c>
      <c r="O44" s="48">
        <f t="shared" si="15"/>
        <v>22</v>
      </c>
      <c r="P44" s="48" t="str">
        <f t="shared" si="16"/>
        <v/>
      </c>
      <c r="Q44" s="40"/>
      <c r="R44" s="6" t="s">
        <v>69</v>
      </c>
      <c r="S44" s="11">
        <v>44710.0</v>
      </c>
      <c r="T44" s="50">
        <f>VLOOKUP(R44,'Run Reconcile'!$A$2:$M672,13,FALSE)</f>
        <v>22</v>
      </c>
      <c r="U44" s="51" t="str">
        <f t="shared" si="17"/>
        <v/>
      </c>
      <c r="V44" s="50"/>
      <c r="W44" s="50"/>
      <c r="X44" s="40"/>
      <c r="Y44" s="6" t="str">
        <f>IFERROR(__xludf.DUMMYFUNCTION("""COMPUTED_VALUE"""),"RUN-COMB_2022-05-29_RFR-050")</f>
        <v>RUN-COMB_2022-05-29_RFR-050</v>
      </c>
      <c r="Z44" s="11">
        <f>IFERROR(__xludf.DUMMYFUNCTION("""COMPUTED_VALUE"""),44710.0)</f>
        <v>44710</v>
      </c>
      <c r="AA44" s="47">
        <f t="array" ref="AA44">INDEX('RFR Data - preExcl'!AK$2:AK672,$AE44,1)</f>
        <v>22</v>
      </c>
      <c r="AB44" s="50">
        <f t="shared" si="18"/>
        <v>22</v>
      </c>
      <c r="AC44" s="50">
        <f t="array" ref="AC44">INDEX('RFR Data - preExcl'!AI$2:AI672,$AE44,1)</f>
        <v>0</v>
      </c>
      <c r="AD44" s="50">
        <f t="array" ref="AD44">INDEX('RFR Data - preExcl'!AF$2:AF672,$AE44,1)</f>
        <v>0</v>
      </c>
      <c r="AE44" s="52">
        <f>IFNA(MATCH(Y44,'RFR Data - preExcl'!A$2:A672,0),"")</f>
        <v>50</v>
      </c>
      <c r="AF44" s="40"/>
      <c r="AG44" s="56" t="s">
        <v>69</v>
      </c>
      <c r="AH44" s="54">
        <f>VLOOKUP(AG44,'Run Reconcile'!A$2:B672,2,FALSE)</f>
        <v>44710</v>
      </c>
      <c r="AI44" s="55">
        <f>COUNTIF('APS Tubes Import'!$V$2:$V672, AG44)
</f>
        <v>22</v>
      </c>
      <c r="AJ44" s="55">
        <f>COUNTIFS('APS Tubes Import'!V$2:V672, AG44, 'APS Tubes Import'!H$2:H672, "Negative")
</f>
        <v>22</v>
      </c>
      <c r="AK44" s="55">
        <f>COUNTIFS('APS Tubes Import'!V$2:V672, AG44, 'APS Tubes Import'!H$2:H672, "Positive")
</f>
        <v>0</v>
      </c>
      <c r="AL44" s="55">
        <f>COUNTIFS('APS Tubes Import'!V$2:V672, AG44, 'APS Tubes Import'!H$2:H672, "Inconclusive")
</f>
        <v>0</v>
      </c>
      <c r="AM44" s="55">
        <f>COUNTIFS('APS Tubes Import'!V$2:V672, AG44, 'APS Tubes Import'!H$2:H672, "Null")
</f>
        <v>0</v>
      </c>
      <c r="AN44" s="40"/>
      <c r="AO44" s="11">
        <f>'APS Tubes by Date Import'!B43</f>
        <v>44711</v>
      </c>
      <c r="AP44" s="50">
        <f>'APS Tubes by Date Import'!C43</f>
        <v>24</v>
      </c>
      <c r="AQ44" s="50">
        <f>'APS Tubes by Date Import'!D43</f>
        <v>24</v>
      </c>
      <c r="AR44" s="50">
        <f>'APS Tubes by Date Import'!E43</f>
        <v>0</v>
      </c>
      <c r="AS44" s="50">
        <f>'APS Tubes by Date Import'!F43</f>
        <v>0</v>
      </c>
      <c r="AT44" s="50">
        <f>'APS Tubes by Date Import'!G43</f>
        <v>0</v>
      </c>
      <c r="AU44" s="40"/>
    </row>
    <row r="45">
      <c r="A45" s="6" t="s">
        <v>70</v>
      </c>
      <c r="B45" s="43">
        <f>VLOOKUP(A45,'Run Reconcile'!A$2:B672,2,FALSE)</f>
        <v>44711</v>
      </c>
      <c r="C45" s="44">
        <f>COUNTIF('ALL Tube Results'!B44:B672, A45)
</f>
        <v>24</v>
      </c>
      <c r="D45" s="45">
        <f>COUNTIFS('ALL Tube Results'!$B44:$B672, $A45, 'ALL Tube Results'!$F44:$F672, "Negative")
</f>
        <v>24</v>
      </c>
      <c r="E45" s="45">
        <f>COUNTIFS('ALL Tube Results'!$B44:$B672, $A45, 'ALL Tube Results'!$F44:$F672, "Positive")
</f>
        <v>0</v>
      </c>
      <c r="F45" s="45">
        <f>COUNTIFS('ALL Tube Results'!$B44:$B672, $A45, 'ALL Tube Results'!$F44:$F672, "Inconclusive")
</f>
        <v>0</v>
      </c>
      <c r="G45" s="46">
        <f t="shared" si="7"/>
        <v>24</v>
      </c>
      <c r="H45" s="46" t="str">
        <f t="shared" si="8"/>
        <v/>
      </c>
      <c r="I45" s="47">
        <f t="shared" si="9"/>
        <v>24</v>
      </c>
      <c r="J45" s="47">
        <f t="shared" si="10"/>
        <v>0</v>
      </c>
      <c r="K45" s="47">
        <f t="shared" si="11"/>
        <v>0</v>
      </c>
      <c r="L45" s="47" t="str">
        <f t="shared" si="12"/>
        <v/>
      </c>
      <c r="M45" s="47" t="str">
        <f t="shared" si="13"/>
        <v/>
      </c>
      <c r="N45" s="47" t="str">
        <f t="shared" si="14"/>
        <v/>
      </c>
      <c r="O45" s="48">
        <f t="shared" si="15"/>
        <v>24</v>
      </c>
      <c r="P45" s="48" t="str">
        <f t="shared" si="16"/>
        <v/>
      </c>
      <c r="Q45" s="40"/>
      <c r="R45" s="6" t="s">
        <v>70</v>
      </c>
      <c r="S45" s="11">
        <v>44711.0</v>
      </c>
      <c r="T45" s="50">
        <f>VLOOKUP(R45,'Run Reconcile'!$A$2:$M672,13,FALSE)</f>
        <v>24</v>
      </c>
      <c r="U45" s="51" t="str">
        <f t="shared" si="17"/>
        <v/>
      </c>
      <c r="V45" s="50"/>
      <c r="W45" s="50"/>
      <c r="X45" s="40"/>
      <c r="Y45" s="6" t="str">
        <f>IFERROR(__xludf.DUMMYFUNCTION("""COMPUTED_VALUE"""),"RUN-COMB_2022-05-30_RFR-051")</f>
        <v>RUN-COMB_2022-05-30_RFR-051</v>
      </c>
      <c r="Z45" s="11">
        <f>IFERROR(__xludf.DUMMYFUNCTION("""COMPUTED_VALUE"""),44711.0)</f>
        <v>44711</v>
      </c>
      <c r="AA45" s="47">
        <f t="array" ref="AA45">INDEX('RFR Data - preExcl'!AK$2:AK672,$AE45,1)</f>
        <v>24</v>
      </c>
      <c r="AB45" s="50">
        <f t="shared" si="18"/>
        <v>24</v>
      </c>
      <c r="AC45" s="50">
        <f t="array" ref="AC45">INDEX('RFR Data - preExcl'!AI$2:AI672,$AE45,1)</f>
        <v>0</v>
      </c>
      <c r="AD45" s="50">
        <f t="array" ref="AD45">INDEX('RFR Data - preExcl'!AF$2:AF672,$AE45,1)</f>
        <v>0</v>
      </c>
      <c r="AE45" s="52">
        <f>IFNA(MATCH(Y45,'RFR Data - preExcl'!A$2:A672,0),"")</f>
        <v>51</v>
      </c>
      <c r="AF45" s="40"/>
      <c r="AG45" s="56" t="s">
        <v>70</v>
      </c>
      <c r="AH45" s="54">
        <f>VLOOKUP(AG45,'Run Reconcile'!A$2:B672,2,FALSE)</f>
        <v>44711</v>
      </c>
      <c r="AI45" s="55">
        <f>COUNTIF('APS Tubes Import'!$V$2:$V672, AG45)
</f>
        <v>24</v>
      </c>
      <c r="AJ45" s="55">
        <f>COUNTIFS('APS Tubes Import'!V$2:V672, AG45, 'APS Tubes Import'!H$2:H672, "Negative")
</f>
        <v>24</v>
      </c>
      <c r="AK45" s="55">
        <f>COUNTIFS('APS Tubes Import'!V$2:V672, AG45, 'APS Tubes Import'!H$2:H672, "Positive")
</f>
        <v>0</v>
      </c>
      <c r="AL45" s="55">
        <f>COUNTIFS('APS Tubes Import'!V$2:V672, AG45, 'APS Tubes Import'!H$2:H672, "Inconclusive")
</f>
        <v>0</v>
      </c>
      <c r="AM45" s="55">
        <f>COUNTIFS('APS Tubes Import'!V$2:V672, AG45, 'APS Tubes Import'!H$2:H672, "Null")
</f>
        <v>0</v>
      </c>
      <c r="AN45" s="40"/>
      <c r="AO45" s="11">
        <f>'APS Tubes by Date Import'!B44</f>
        <v>44712</v>
      </c>
      <c r="AP45" s="50">
        <f>'APS Tubes by Date Import'!C44</f>
        <v>20</v>
      </c>
      <c r="AQ45" s="50">
        <f>'APS Tubes by Date Import'!D44</f>
        <v>19</v>
      </c>
      <c r="AR45" s="50">
        <f>'APS Tubes by Date Import'!E44</f>
        <v>1</v>
      </c>
      <c r="AS45" s="50">
        <f>'APS Tubes by Date Import'!F44</f>
        <v>0</v>
      </c>
      <c r="AT45" s="50">
        <f>'APS Tubes by Date Import'!G44</f>
        <v>0</v>
      </c>
      <c r="AU45" s="40"/>
    </row>
    <row r="46">
      <c r="A46" s="6" t="s">
        <v>71</v>
      </c>
      <c r="B46" s="43">
        <f>VLOOKUP(A46,'Run Reconcile'!A$2:B672,2,FALSE)</f>
        <v>44712</v>
      </c>
      <c r="C46" s="44">
        <f>COUNTIF('ALL Tube Results'!B45:B672, A46)
</f>
        <v>20</v>
      </c>
      <c r="D46" s="45">
        <f>COUNTIFS('ALL Tube Results'!$B45:$B672, $A46, 'ALL Tube Results'!$F45:$F672, "Negative")
</f>
        <v>19</v>
      </c>
      <c r="E46" s="45">
        <f>COUNTIFS('ALL Tube Results'!$B45:$B672, $A46, 'ALL Tube Results'!$F45:$F672, "Positive")
</f>
        <v>1</v>
      </c>
      <c r="F46" s="45">
        <f>COUNTIFS('ALL Tube Results'!$B45:$B672, $A46, 'ALL Tube Results'!$F45:$F672, "Inconclusive")
</f>
        <v>0</v>
      </c>
      <c r="G46" s="46">
        <f t="shared" si="7"/>
        <v>20</v>
      </c>
      <c r="H46" s="46" t="str">
        <f t="shared" si="8"/>
        <v/>
      </c>
      <c r="I46" s="47">
        <f t="shared" si="9"/>
        <v>20</v>
      </c>
      <c r="J46" s="47">
        <f t="shared" si="10"/>
        <v>1</v>
      </c>
      <c r="K46" s="47">
        <f t="shared" si="11"/>
        <v>0</v>
      </c>
      <c r="L46" s="47" t="str">
        <f t="shared" si="12"/>
        <v/>
      </c>
      <c r="M46" s="47" t="str">
        <f t="shared" si="13"/>
        <v/>
      </c>
      <c r="N46" s="47" t="str">
        <f t="shared" si="14"/>
        <v/>
      </c>
      <c r="O46" s="48">
        <f t="shared" si="15"/>
        <v>20</v>
      </c>
      <c r="P46" s="48" t="str">
        <f t="shared" si="16"/>
        <v/>
      </c>
      <c r="Q46" s="40"/>
      <c r="R46" s="6" t="s">
        <v>71</v>
      </c>
      <c r="S46" s="11">
        <v>44712.0</v>
      </c>
      <c r="T46" s="50">
        <f>VLOOKUP(R46,'Run Reconcile'!$A$2:$M672,13,FALSE)</f>
        <v>20</v>
      </c>
      <c r="U46" s="51" t="str">
        <f t="shared" si="17"/>
        <v/>
      </c>
      <c r="V46" s="50"/>
      <c r="W46" s="50"/>
      <c r="X46" s="40"/>
      <c r="Y46" s="6" t="str">
        <f>IFERROR(__xludf.DUMMYFUNCTION("""COMPUTED_VALUE"""),"RUN-COMB_2022-05-31_RFR-052")</f>
        <v>RUN-COMB_2022-05-31_RFR-052</v>
      </c>
      <c r="Z46" s="11">
        <f>IFERROR(__xludf.DUMMYFUNCTION("""COMPUTED_VALUE"""),44712.0)</f>
        <v>44712</v>
      </c>
      <c r="AA46" s="47">
        <f t="array" ref="AA46">INDEX('RFR Data - preExcl'!AK$2:AK672,$AE46,1)</f>
        <v>20</v>
      </c>
      <c r="AB46" s="50">
        <f t="shared" si="18"/>
        <v>19</v>
      </c>
      <c r="AC46" s="50">
        <f t="array" ref="AC46">INDEX('RFR Data - preExcl'!AI$2:AI672,$AE46,1)</f>
        <v>1</v>
      </c>
      <c r="AD46" s="50">
        <f t="array" ref="AD46">INDEX('RFR Data - preExcl'!AF$2:AF672,$AE46,1)</f>
        <v>0</v>
      </c>
      <c r="AE46" s="52">
        <f>IFNA(MATCH(Y46,'RFR Data - preExcl'!A$2:A672,0),"")</f>
        <v>52</v>
      </c>
      <c r="AF46" s="40"/>
      <c r="AG46" s="56" t="s">
        <v>71</v>
      </c>
      <c r="AH46" s="54">
        <f>VLOOKUP(AG46,'Run Reconcile'!A$2:B672,2,FALSE)</f>
        <v>44712</v>
      </c>
      <c r="AI46" s="55">
        <f>COUNTIF('APS Tubes Import'!$V$2:$V672, AG46)
</f>
        <v>20</v>
      </c>
      <c r="AJ46" s="55">
        <f>COUNTIFS('APS Tubes Import'!V$2:V672, AG46, 'APS Tubes Import'!H$2:H672, "Negative")
</f>
        <v>19</v>
      </c>
      <c r="AK46" s="55">
        <f>COUNTIFS('APS Tubes Import'!V$2:V672, AG46, 'APS Tubes Import'!H$2:H672, "Positive")
</f>
        <v>1</v>
      </c>
      <c r="AL46" s="55">
        <f>COUNTIFS('APS Tubes Import'!V$2:V672, AG46, 'APS Tubes Import'!H$2:H672, "Inconclusive")
</f>
        <v>0</v>
      </c>
      <c r="AM46" s="55">
        <f>COUNTIFS('APS Tubes Import'!V$2:V672, AG46, 'APS Tubes Import'!H$2:H672, "Null")
</f>
        <v>0</v>
      </c>
      <c r="AN46" s="40"/>
      <c r="AO46" s="11">
        <f>'APS Tubes by Date Import'!B45</f>
        <v>44713</v>
      </c>
      <c r="AP46" s="50">
        <f>'APS Tubes by Date Import'!C45</f>
        <v>16</v>
      </c>
      <c r="AQ46" s="50">
        <f>'APS Tubes by Date Import'!D45</f>
        <v>16</v>
      </c>
      <c r="AR46" s="50">
        <f>'APS Tubes by Date Import'!E45</f>
        <v>0</v>
      </c>
      <c r="AS46" s="50">
        <f>'APS Tubes by Date Import'!F45</f>
        <v>0</v>
      </c>
      <c r="AT46" s="50">
        <f>'APS Tubes by Date Import'!G45</f>
        <v>0</v>
      </c>
      <c r="AU46" s="40"/>
    </row>
    <row r="47">
      <c r="A47" s="6" t="s">
        <v>72</v>
      </c>
      <c r="B47" s="43">
        <f>VLOOKUP(A47,'Run Reconcile'!A$2:B672,2,FALSE)</f>
        <v>44713</v>
      </c>
      <c r="C47" s="44">
        <f>COUNTIF('ALL Tube Results'!B46:B672, A47)
</f>
        <v>16</v>
      </c>
      <c r="D47" s="45">
        <f>COUNTIFS('ALL Tube Results'!$B46:$B672, $A47, 'ALL Tube Results'!$F46:$F672, "Negative")
</f>
        <v>16</v>
      </c>
      <c r="E47" s="45">
        <f>COUNTIFS('ALL Tube Results'!$B46:$B672, $A47, 'ALL Tube Results'!$F46:$F672, "Positive")
</f>
        <v>0</v>
      </c>
      <c r="F47" s="45">
        <f>COUNTIFS('ALL Tube Results'!$B46:$B672, $A47, 'ALL Tube Results'!$F46:$F672, "Inconclusive")
</f>
        <v>0</v>
      </c>
      <c r="G47" s="46">
        <f t="shared" si="7"/>
        <v>16</v>
      </c>
      <c r="H47" s="46" t="str">
        <f t="shared" si="8"/>
        <v/>
      </c>
      <c r="I47" s="47">
        <f t="shared" si="9"/>
        <v>16</v>
      </c>
      <c r="J47" s="47">
        <f t="shared" si="10"/>
        <v>0</v>
      </c>
      <c r="K47" s="47">
        <f t="shared" si="11"/>
        <v>0</v>
      </c>
      <c r="L47" s="47" t="str">
        <f t="shared" si="12"/>
        <v/>
      </c>
      <c r="M47" s="47" t="str">
        <f t="shared" si="13"/>
        <v/>
      </c>
      <c r="N47" s="47" t="str">
        <f t="shared" si="14"/>
        <v/>
      </c>
      <c r="O47" s="48">
        <f t="shared" si="15"/>
        <v>16</v>
      </c>
      <c r="P47" s="48" t="str">
        <f t="shared" si="16"/>
        <v/>
      </c>
      <c r="Q47" s="40"/>
      <c r="R47" s="6" t="s">
        <v>72</v>
      </c>
      <c r="S47" s="11">
        <v>44713.0</v>
      </c>
      <c r="T47" s="50">
        <f>VLOOKUP(R47,'Run Reconcile'!$A$2:$M672,13,FALSE)</f>
        <v>16</v>
      </c>
      <c r="U47" s="51" t="str">
        <f t="shared" si="17"/>
        <v/>
      </c>
      <c r="V47" s="50"/>
      <c r="W47" s="50"/>
      <c r="X47" s="40"/>
      <c r="Y47" s="6" t="str">
        <f>IFERROR(__xludf.DUMMYFUNCTION("""COMPUTED_VALUE"""),"RUN-COMB_2022-06-01_RFR-053")</f>
        <v>RUN-COMB_2022-06-01_RFR-053</v>
      </c>
      <c r="Z47" s="11">
        <f>IFERROR(__xludf.DUMMYFUNCTION("""COMPUTED_VALUE"""),44713.0)</f>
        <v>44713</v>
      </c>
      <c r="AA47" s="47">
        <f t="array" ref="AA47">INDEX('RFR Data - preExcl'!AK$2:AK672,$AE47,1)</f>
        <v>16</v>
      </c>
      <c r="AB47" s="50">
        <f t="shared" si="18"/>
        <v>16</v>
      </c>
      <c r="AC47" s="50">
        <f t="array" ref="AC47">INDEX('RFR Data - preExcl'!AI$2:AI672,$AE47,1)</f>
        <v>0</v>
      </c>
      <c r="AD47" s="50">
        <f t="array" ref="AD47">INDEX('RFR Data - preExcl'!AF$2:AF672,$AE47,1)</f>
        <v>0</v>
      </c>
      <c r="AE47" s="52">
        <f>IFNA(MATCH(Y47,'RFR Data - preExcl'!A$2:A672,0),"")</f>
        <v>53</v>
      </c>
      <c r="AF47" s="40"/>
      <c r="AG47" s="56" t="s">
        <v>72</v>
      </c>
      <c r="AH47" s="54">
        <f>VLOOKUP(AG47,'Run Reconcile'!A$2:B672,2,FALSE)</f>
        <v>44713</v>
      </c>
      <c r="AI47" s="55">
        <f>COUNTIF('APS Tubes Import'!$V$2:$V672, AG47)
</f>
        <v>16</v>
      </c>
      <c r="AJ47" s="55">
        <f>COUNTIFS('APS Tubes Import'!V$2:V672, AG47, 'APS Tubes Import'!H$2:H672, "Negative")
</f>
        <v>16</v>
      </c>
      <c r="AK47" s="55">
        <f>COUNTIFS('APS Tubes Import'!V$2:V672, AG47, 'APS Tubes Import'!H$2:H672, "Positive")
</f>
        <v>0</v>
      </c>
      <c r="AL47" s="55">
        <f>COUNTIFS('APS Tubes Import'!V$2:V672, AG47, 'APS Tubes Import'!H$2:H672, "Inconclusive")
</f>
        <v>0</v>
      </c>
      <c r="AM47" s="55">
        <f>COUNTIFS('APS Tubes Import'!V$2:V672, AG47, 'APS Tubes Import'!H$2:H672, "Null")
</f>
        <v>0</v>
      </c>
      <c r="AN47" s="40"/>
      <c r="AO47" s="11">
        <f>'APS Tubes by Date Import'!B46</f>
        <v>44714</v>
      </c>
      <c r="AP47" s="50">
        <f>'APS Tubes by Date Import'!C46</f>
        <v>31</v>
      </c>
      <c r="AQ47" s="50">
        <f>'APS Tubes by Date Import'!D46</f>
        <v>31</v>
      </c>
      <c r="AR47" s="50">
        <f>'APS Tubes by Date Import'!E46</f>
        <v>0</v>
      </c>
      <c r="AS47" s="50">
        <f>'APS Tubes by Date Import'!F46</f>
        <v>0</v>
      </c>
      <c r="AT47" s="50">
        <f>'APS Tubes by Date Import'!G46</f>
        <v>0</v>
      </c>
      <c r="AU47" s="40"/>
    </row>
    <row r="48">
      <c r="A48" s="6" t="s">
        <v>73</v>
      </c>
      <c r="B48" s="43">
        <f>VLOOKUP(A48,'Run Reconcile'!A$2:B672,2,FALSE)</f>
        <v>44714</v>
      </c>
      <c r="C48" s="44">
        <f>COUNTIF('ALL Tube Results'!B47:B672, A48)
</f>
        <v>31</v>
      </c>
      <c r="D48" s="45">
        <f>COUNTIFS('ALL Tube Results'!$B47:$B672, $A48, 'ALL Tube Results'!$F47:$F672, "Negative")
</f>
        <v>31</v>
      </c>
      <c r="E48" s="45">
        <f>COUNTIFS('ALL Tube Results'!$B47:$B672, $A48, 'ALL Tube Results'!$F47:$F672, "Positive")
</f>
        <v>0</v>
      </c>
      <c r="F48" s="45">
        <f>COUNTIFS('ALL Tube Results'!$B47:$B672, $A48, 'ALL Tube Results'!$F47:$F672, "Inconclusive")
</f>
        <v>0</v>
      </c>
      <c r="G48" s="46">
        <f t="shared" si="7"/>
        <v>31</v>
      </c>
      <c r="H48" s="46" t="str">
        <f t="shared" si="8"/>
        <v/>
      </c>
      <c r="I48" s="47">
        <f t="shared" si="9"/>
        <v>31</v>
      </c>
      <c r="J48" s="47">
        <f t="shared" si="10"/>
        <v>0</v>
      </c>
      <c r="K48" s="47">
        <f t="shared" si="11"/>
        <v>0</v>
      </c>
      <c r="L48" s="47" t="str">
        <f t="shared" si="12"/>
        <v/>
      </c>
      <c r="M48" s="47" t="str">
        <f t="shared" si="13"/>
        <v/>
      </c>
      <c r="N48" s="47" t="str">
        <f t="shared" si="14"/>
        <v/>
      </c>
      <c r="O48" s="48">
        <f t="shared" si="15"/>
        <v>31</v>
      </c>
      <c r="P48" s="48" t="str">
        <f t="shared" si="16"/>
        <v/>
      </c>
      <c r="Q48" s="40"/>
      <c r="R48" s="6" t="s">
        <v>73</v>
      </c>
      <c r="S48" s="11">
        <v>44714.0</v>
      </c>
      <c r="T48" s="50">
        <f>VLOOKUP(R48,'Run Reconcile'!$A$2:$M672,13,FALSE)</f>
        <v>31</v>
      </c>
      <c r="U48" s="51" t="str">
        <f t="shared" si="17"/>
        <v/>
      </c>
      <c r="V48" s="50"/>
      <c r="W48" s="50"/>
      <c r="X48" s="40"/>
      <c r="Y48" s="6" t="str">
        <f>IFERROR(__xludf.DUMMYFUNCTION("""COMPUTED_VALUE"""),"RUN-COMB_2022-06-02_RFR-054")</f>
        <v>RUN-COMB_2022-06-02_RFR-054</v>
      </c>
      <c r="Z48" s="11">
        <f>IFERROR(__xludf.DUMMYFUNCTION("""COMPUTED_VALUE"""),44714.0)</f>
        <v>44714</v>
      </c>
      <c r="AA48" s="47">
        <f t="array" ref="AA48">INDEX('RFR Data - preExcl'!AK$2:AK672,$AE48,1)</f>
        <v>31</v>
      </c>
      <c r="AB48" s="50">
        <f t="shared" si="18"/>
        <v>31</v>
      </c>
      <c r="AC48" s="50">
        <f t="array" ref="AC48">INDEX('RFR Data - preExcl'!AI$2:AI672,$AE48,1)</f>
        <v>0</v>
      </c>
      <c r="AD48" s="50">
        <f t="array" ref="AD48">INDEX('RFR Data - preExcl'!AF$2:AF672,$AE48,1)</f>
        <v>0</v>
      </c>
      <c r="AE48" s="52">
        <f>IFNA(MATCH(Y48,'RFR Data - preExcl'!A$2:A672,0),"")</f>
        <v>54</v>
      </c>
      <c r="AF48" s="40"/>
      <c r="AG48" s="56" t="s">
        <v>73</v>
      </c>
      <c r="AH48" s="54">
        <f>VLOOKUP(AG48,'Run Reconcile'!A$2:B672,2,FALSE)</f>
        <v>44714</v>
      </c>
      <c r="AI48" s="55">
        <f>COUNTIF('APS Tubes Import'!$V$2:$V672, AG48)
</f>
        <v>31</v>
      </c>
      <c r="AJ48" s="55">
        <f>COUNTIFS('APS Tubes Import'!V$2:V672, AG48, 'APS Tubes Import'!H$2:H672, "Negative")
</f>
        <v>31</v>
      </c>
      <c r="AK48" s="55">
        <f>COUNTIFS('APS Tubes Import'!V$2:V672, AG48, 'APS Tubes Import'!H$2:H672, "Positive")
</f>
        <v>0</v>
      </c>
      <c r="AL48" s="55">
        <f>COUNTIFS('APS Tubes Import'!V$2:V672, AG48, 'APS Tubes Import'!H$2:H672, "Inconclusive")
</f>
        <v>0</v>
      </c>
      <c r="AM48" s="55">
        <f>COUNTIFS('APS Tubes Import'!V$2:V672, AG48, 'APS Tubes Import'!H$2:H672, "Null")
</f>
        <v>0</v>
      </c>
      <c r="AN48" s="40"/>
      <c r="AO48" s="11">
        <f>'APS Tubes by Date Import'!B47</f>
        <v>44715</v>
      </c>
      <c r="AP48" s="50">
        <f>'APS Tubes by Date Import'!C47</f>
        <v>23</v>
      </c>
      <c r="AQ48" s="50">
        <f>'APS Tubes by Date Import'!D47</f>
        <v>23</v>
      </c>
      <c r="AR48" s="50">
        <f>'APS Tubes by Date Import'!E47</f>
        <v>0</v>
      </c>
      <c r="AS48" s="50">
        <f>'APS Tubes by Date Import'!F47</f>
        <v>0</v>
      </c>
      <c r="AT48" s="50">
        <f>'APS Tubes by Date Import'!G47</f>
        <v>0</v>
      </c>
      <c r="AU48" s="40"/>
    </row>
    <row r="49">
      <c r="A49" s="6" t="s">
        <v>74</v>
      </c>
      <c r="B49" s="43">
        <f>VLOOKUP(A49,'Run Reconcile'!A$2:B672,2,FALSE)</f>
        <v>44715</v>
      </c>
      <c r="C49" s="44">
        <f>COUNTIF('ALL Tube Results'!B48:B672, A49)
</f>
        <v>23</v>
      </c>
      <c r="D49" s="45">
        <f>COUNTIFS('ALL Tube Results'!$B48:$B672, $A49, 'ALL Tube Results'!$F48:$F672, "Negative")
</f>
        <v>23</v>
      </c>
      <c r="E49" s="45">
        <f>COUNTIFS('ALL Tube Results'!$B48:$B672, $A49, 'ALL Tube Results'!$F48:$F672, "Positive")
</f>
        <v>0</v>
      </c>
      <c r="F49" s="45">
        <f>COUNTIFS('ALL Tube Results'!$B48:$B672, $A49, 'ALL Tube Results'!$F48:$F672, "Inconclusive")
</f>
        <v>0</v>
      </c>
      <c r="G49" s="46">
        <f t="shared" si="7"/>
        <v>23</v>
      </c>
      <c r="H49" s="46" t="str">
        <f t="shared" si="8"/>
        <v/>
      </c>
      <c r="I49" s="47">
        <f t="shared" si="9"/>
        <v>23</v>
      </c>
      <c r="J49" s="47">
        <f t="shared" si="10"/>
        <v>0</v>
      </c>
      <c r="K49" s="47">
        <f t="shared" si="11"/>
        <v>0</v>
      </c>
      <c r="L49" s="47" t="str">
        <f t="shared" si="12"/>
        <v/>
      </c>
      <c r="M49" s="47" t="str">
        <f t="shared" si="13"/>
        <v/>
      </c>
      <c r="N49" s="47" t="str">
        <f t="shared" si="14"/>
        <v/>
      </c>
      <c r="O49" s="48">
        <f t="shared" si="15"/>
        <v>23</v>
      </c>
      <c r="P49" s="48" t="str">
        <f t="shared" si="16"/>
        <v/>
      </c>
      <c r="Q49" s="40"/>
      <c r="R49" s="6" t="s">
        <v>74</v>
      </c>
      <c r="S49" s="11">
        <v>44715.0</v>
      </c>
      <c r="T49" s="50">
        <f>VLOOKUP(R49,'Run Reconcile'!$A$2:$M672,13,FALSE)</f>
        <v>23</v>
      </c>
      <c r="U49" s="51" t="str">
        <f t="shared" si="17"/>
        <v/>
      </c>
      <c r="V49" s="50"/>
      <c r="W49" s="50"/>
      <c r="X49" s="40"/>
      <c r="Y49" s="6" t="str">
        <f>IFERROR(__xludf.DUMMYFUNCTION("""COMPUTED_VALUE"""),"RUN-COMB_2022-06-03_RFR-055")</f>
        <v>RUN-COMB_2022-06-03_RFR-055</v>
      </c>
      <c r="Z49" s="11">
        <f>IFERROR(__xludf.DUMMYFUNCTION("""COMPUTED_VALUE"""),44715.0)</f>
        <v>44715</v>
      </c>
      <c r="AA49" s="47">
        <f t="array" ref="AA49">INDEX('RFR Data - preExcl'!AK$2:AK672,$AE49,1)</f>
        <v>23</v>
      </c>
      <c r="AB49" s="50">
        <f t="shared" si="18"/>
        <v>23</v>
      </c>
      <c r="AC49" s="50">
        <f t="array" ref="AC49">INDEX('RFR Data - preExcl'!AI$2:AI672,$AE49,1)</f>
        <v>0</v>
      </c>
      <c r="AD49" s="50">
        <f t="array" ref="AD49">INDEX('RFR Data - preExcl'!AF$2:AF672,$AE49,1)</f>
        <v>0</v>
      </c>
      <c r="AE49" s="52">
        <f>IFNA(MATCH(Y49,'RFR Data - preExcl'!A$2:A672,0),"")</f>
        <v>55</v>
      </c>
      <c r="AF49" s="40"/>
      <c r="AG49" s="56" t="s">
        <v>74</v>
      </c>
      <c r="AH49" s="54">
        <f>VLOOKUP(AG49,'Run Reconcile'!A$2:B672,2,FALSE)</f>
        <v>44715</v>
      </c>
      <c r="AI49" s="55">
        <f>COUNTIF('APS Tubes Import'!$V$2:$V672, AG49)
</f>
        <v>23</v>
      </c>
      <c r="AJ49" s="55">
        <f>COUNTIFS('APS Tubes Import'!V$2:V672, AG49, 'APS Tubes Import'!H$2:H672, "Negative")
</f>
        <v>23</v>
      </c>
      <c r="AK49" s="55">
        <f>COUNTIFS('APS Tubes Import'!V$2:V672, AG49, 'APS Tubes Import'!H$2:H672, "Positive")
</f>
        <v>0</v>
      </c>
      <c r="AL49" s="55">
        <f>COUNTIFS('APS Tubes Import'!V$2:V672, AG49, 'APS Tubes Import'!H$2:H672, "Inconclusive")
</f>
        <v>0</v>
      </c>
      <c r="AM49" s="55">
        <f>COUNTIFS('APS Tubes Import'!V$2:V672, AG49, 'APS Tubes Import'!H$2:H672, "Null")
</f>
        <v>0</v>
      </c>
      <c r="AN49" s="40"/>
      <c r="AO49" s="11">
        <f>'APS Tubes by Date Import'!B48</f>
        <v>44718</v>
      </c>
      <c r="AP49" s="50">
        <f>'APS Tubes by Date Import'!C48</f>
        <v>2</v>
      </c>
      <c r="AQ49" s="50">
        <f>'APS Tubes by Date Import'!D48</f>
        <v>1</v>
      </c>
      <c r="AR49" s="50">
        <f>'APS Tubes by Date Import'!E48</f>
        <v>1</v>
      </c>
      <c r="AS49" s="50">
        <f>'APS Tubes by Date Import'!F48</f>
        <v>0</v>
      </c>
      <c r="AT49" s="50">
        <f>'APS Tubes by Date Import'!G48</f>
        <v>0</v>
      </c>
      <c r="AU49" s="40"/>
    </row>
    <row r="50">
      <c r="A50" s="6" t="s">
        <v>75</v>
      </c>
      <c r="B50" s="43">
        <f>VLOOKUP(A50,'Run Reconcile'!A$2:B672,2,FALSE)</f>
        <v>44718</v>
      </c>
      <c r="C50" s="44">
        <f>COUNTIF('ALL Tube Results'!B49:B672, A50)
</f>
        <v>30</v>
      </c>
      <c r="D50" s="45">
        <f>COUNTIFS('ALL Tube Results'!$B49:$B672, $A50, 'ALL Tube Results'!$F49:$F672, "Negative")
</f>
        <v>29</v>
      </c>
      <c r="E50" s="45">
        <f>COUNTIFS('ALL Tube Results'!$B49:$B672, $A50, 'ALL Tube Results'!$F49:$F672, "Positive")
</f>
        <v>1</v>
      </c>
      <c r="F50" s="45">
        <f>COUNTIFS('ALL Tube Results'!$B49:$B672, $A50, 'ALL Tube Results'!$F49:$F672, "Inconclusive")
</f>
        <v>0</v>
      </c>
      <c r="G50" s="46">
        <f t="shared" si="7"/>
        <v>30</v>
      </c>
      <c r="H50" s="46" t="str">
        <f t="shared" si="8"/>
        <v/>
      </c>
      <c r="I50" s="47">
        <f t="shared" si="9"/>
        <v>30</v>
      </c>
      <c r="J50" s="47">
        <f t="shared" si="10"/>
        <v>1</v>
      </c>
      <c r="K50" s="47">
        <f t="shared" si="11"/>
        <v>0</v>
      </c>
      <c r="L50" s="47" t="str">
        <f t="shared" si="12"/>
        <v/>
      </c>
      <c r="M50" s="47" t="str">
        <f t="shared" si="13"/>
        <v/>
      </c>
      <c r="N50" s="47" t="str">
        <f t="shared" si="14"/>
        <v/>
      </c>
      <c r="O50" s="48">
        <f t="shared" si="15"/>
        <v>2</v>
      </c>
      <c r="P50" s="48">
        <f t="shared" si="16"/>
        <v>28</v>
      </c>
      <c r="Q50" s="40"/>
      <c r="R50" s="6" t="s">
        <v>75</v>
      </c>
      <c r="S50" s="11">
        <v>44718.0</v>
      </c>
      <c r="T50" s="50">
        <f>VLOOKUP(R50,'Run Reconcile'!$A$2:$M672,13,FALSE)</f>
        <v>30</v>
      </c>
      <c r="U50" s="51" t="str">
        <f t="shared" si="17"/>
        <v/>
      </c>
      <c r="V50" s="50"/>
      <c r="W50" s="50"/>
      <c r="X50" s="40"/>
      <c r="Y50" s="6" t="str">
        <f>IFERROR(__xludf.DUMMYFUNCTION("""COMPUTED_VALUE"""),"RUN-COMB_2022-06-06_RFR-056")</f>
        <v>RUN-COMB_2022-06-06_RFR-056</v>
      </c>
      <c r="Z50" s="11">
        <f>IFERROR(__xludf.DUMMYFUNCTION("""COMPUTED_VALUE"""),44718.0)</f>
        <v>44718</v>
      </c>
      <c r="AA50" s="47">
        <f t="array" ref="AA50">INDEX('RFR Data - preExcl'!AK$2:AK672,$AE50,1)</f>
        <v>30</v>
      </c>
      <c r="AB50" s="50">
        <f t="shared" si="18"/>
        <v>29</v>
      </c>
      <c r="AC50" s="50">
        <f t="array" ref="AC50">INDEX('RFR Data - preExcl'!AI$2:AI672,$AE50,1)</f>
        <v>1</v>
      </c>
      <c r="AD50" s="50">
        <f t="array" ref="AD50">INDEX('RFR Data - preExcl'!AF$2:AF672,$AE50,1)</f>
        <v>0</v>
      </c>
      <c r="AE50" s="52">
        <f>IFNA(MATCH(Y50,'RFR Data - preExcl'!A$2:A672,0),"")</f>
        <v>56</v>
      </c>
      <c r="AF50" s="40"/>
      <c r="AG50" s="56" t="s">
        <v>75</v>
      </c>
      <c r="AH50" s="54">
        <f>VLOOKUP(AG50,'Run Reconcile'!A$2:B672,2,FALSE)</f>
        <v>44718</v>
      </c>
      <c r="AI50" s="55">
        <f>COUNTIF('APS Tubes Import'!$V$2:$V672, AG50)
</f>
        <v>2</v>
      </c>
      <c r="AJ50" s="55">
        <f>COUNTIFS('APS Tubes Import'!V$2:V672, AG50, 'APS Tubes Import'!H$2:H672, "Negative")
</f>
        <v>1</v>
      </c>
      <c r="AK50" s="55">
        <f>COUNTIFS('APS Tubes Import'!V$2:V672, AG50, 'APS Tubes Import'!H$2:H672, "Positive")
</f>
        <v>1</v>
      </c>
      <c r="AL50" s="55">
        <f>COUNTIFS('APS Tubes Import'!V$2:V672, AG50, 'APS Tubes Import'!H$2:H672, "Inconclusive")
</f>
        <v>0</v>
      </c>
      <c r="AM50" s="55">
        <f>COUNTIFS('APS Tubes Import'!V$2:V672, AG50, 'APS Tubes Import'!H$2:H672, "Null")
</f>
        <v>0</v>
      </c>
      <c r="AN50" s="40"/>
      <c r="AO50" s="11">
        <f>'APS Tubes by Date Import'!B49</f>
        <v>44719</v>
      </c>
      <c r="AP50" s="50">
        <f>'APS Tubes by Date Import'!C49</f>
        <v>16</v>
      </c>
      <c r="AQ50" s="50">
        <f>'APS Tubes by Date Import'!D49</f>
        <v>16</v>
      </c>
      <c r="AR50" s="50">
        <f>'APS Tubes by Date Import'!E49</f>
        <v>0</v>
      </c>
      <c r="AS50" s="50">
        <f>'APS Tubes by Date Import'!F49</f>
        <v>0</v>
      </c>
      <c r="AT50" s="50">
        <f>'APS Tubes by Date Import'!G49</f>
        <v>0</v>
      </c>
      <c r="AU50" s="40"/>
    </row>
    <row r="51">
      <c r="A51" s="6" t="s">
        <v>76</v>
      </c>
      <c r="B51" s="43">
        <f>VLOOKUP(A51,'Run Reconcile'!A$2:B672,2,FALSE)</f>
        <v>44719</v>
      </c>
      <c r="C51" s="44">
        <f>COUNTIF('ALL Tube Results'!B50:B672, A51)
</f>
        <v>16</v>
      </c>
      <c r="D51" s="45">
        <f>COUNTIFS('ALL Tube Results'!$B50:$B672, $A51, 'ALL Tube Results'!$F50:$F672, "Negative")
</f>
        <v>16</v>
      </c>
      <c r="E51" s="45">
        <f>COUNTIFS('ALL Tube Results'!$B50:$B672, $A51, 'ALL Tube Results'!$F50:$F672, "Positive")
</f>
        <v>0</v>
      </c>
      <c r="F51" s="45">
        <f>COUNTIFS('ALL Tube Results'!$B50:$B672, $A51, 'ALL Tube Results'!$F50:$F672, "Inconclusive")
</f>
        <v>0</v>
      </c>
      <c r="G51" s="46">
        <f t="shared" si="7"/>
        <v>16</v>
      </c>
      <c r="H51" s="46" t="str">
        <f t="shared" si="8"/>
        <v/>
      </c>
      <c r="I51" s="47">
        <f t="shared" si="9"/>
        <v>16</v>
      </c>
      <c r="J51" s="47">
        <f t="shared" si="10"/>
        <v>0</v>
      </c>
      <c r="K51" s="47">
        <f t="shared" si="11"/>
        <v>0</v>
      </c>
      <c r="L51" s="47" t="str">
        <f t="shared" si="12"/>
        <v/>
      </c>
      <c r="M51" s="47" t="str">
        <f t="shared" si="13"/>
        <v/>
      </c>
      <c r="N51" s="47" t="str">
        <f t="shared" si="14"/>
        <v/>
      </c>
      <c r="O51" s="48">
        <f t="shared" si="15"/>
        <v>16</v>
      </c>
      <c r="P51" s="48" t="str">
        <f t="shared" si="16"/>
        <v/>
      </c>
      <c r="Q51" s="40"/>
      <c r="R51" s="6" t="s">
        <v>76</v>
      </c>
      <c r="S51" s="11">
        <v>44719.0</v>
      </c>
      <c r="T51" s="50">
        <f>VLOOKUP(R51,'Run Reconcile'!$A$2:$M672,13,FALSE)</f>
        <v>16</v>
      </c>
      <c r="U51" s="51" t="str">
        <f t="shared" si="17"/>
        <v/>
      </c>
      <c r="V51" s="50"/>
      <c r="W51" s="50"/>
      <c r="X51" s="40"/>
      <c r="Y51" s="6" t="str">
        <f>IFERROR(__xludf.DUMMYFUNCTION("""COMPUTED_VALUE"""),"RUN-COMB_2022-06-07_RFR-058")</f>
        <v>RUN-COMB_2022-06-07_RFR-058</v>
      </c>
      <c r="Z51" s="11">
        <f>IFERROR(__xludf.DUMMYFUNCTION("""COMPUTED_VALUE"""),44719.0)</f>
        <v>44719</v>
      </c>
      <c r="AA51" s="47">
        <f t="array" ref="AA51">INDEX('RFR Data - preExcl'!AK$2:AK672,$AE51,1)</f>
        <v>16</v>
      </c>
      <c r="AB51" s="50">
        <f t="shared" si="18"/>
        <v>16</v>
      </c>
      <c r="AC51" s="50">
        <f t="array" ref="AC51">INDEX('RFR Data - preExcl'!AI$2:AI672,$AE51,1)</f>
        <v>0</v>
      </c>
      <c r="AD51" s="50">
        <f t="array" ref="AD51">INDEX('RFR Data - preExcl'!AF$2:AF672,$AE51,1)</f>
        <v>0</v>
      </c>
      <c r="AE51" s="52">
        <f>IFNA(MATCH(Y51,'RFR Data - preExcl'!A$2:A672,0),"")</f>
        <v>58</v>
      </c>
      <c r="AF51" s="40"/>
      <c r="AG51" s="56" t="s">
        <v>76</v>
      </c>
      <c r="AH51" s="54">
        <f>VLOOKUP(AG51,'Run Reconcile'!A$2:B672,2,FALSE)</f>
        <v>44719</v>
      </c>
      <c r="AI51" s="55">
        <f>COUNTIF('APS Tubes Import'!$V$2:$V672, AG51)
</f>
        <v>16</v>
      </c>
      <c r="AJ51" s="55">
        <f>COUNTIFS('APS Tubes Import'!V$2:V672, AG51, 'APS Tubes Import'!H$2:H672, "Negative")
</f>
        <v>16</v>
      </c>
      <c r="AK51" s="55">
        <f>COUNTIFS('APS Tubes Import'!V$2:V672, AG51, 'APS Tubes Import'!H$2:H672, "Positive")
</f>
        <v>0</v>
      </c>
      <c r="AL51" s="55">
        <f>COUNTIFS('APS Tubes Import'!V$2:V672, AG51, 'APS Tubes Import'!H$2:H672, "Inconclusive")
</f>
        <v>0</v>
      </c>
      <c r="AM51" s="55">
        <f>COUNTIFS('APS Tubes Import'!V$2:V672, AG51, 'APS Tubes Import'!H$2:H672, "Null")
</f>
        <v>0</v>
      </c>
      <c r="AN51" s="40"/>
      <c r="AO51" s="11">
        <f>'APS Tubes by Date Import'!B50</f>
        <v>44720</v>
      </c>
      <c r="AP51" s="50">
        <f>'APS Tubes by Date Import'!C50</f>
        <v>17</v>
      </c>
      <c r="AQ51" s="50">
        <f>'APS Tubes by Date Import'!D50</f>
        <v>17</v>
      </c>
      <c r="AR51" s="50">
        <f>'APS Tubes by Date Import'!E50</f>
        <v>0</v>
      </c>
      <c r="AS51" s="50">
        <f>'APS Tubes by Date Import'!F50</f>
        <v>0</v>
      </c>
      <c r="AT51" s="50">
        <f>'APS Tubes by Date Import'!G50</f>
        <v>0</v>
      </c>
      <c r="AU51" s="40"/>
    </row>
    <row r="52">
      <c r="A52" s="6" t="s">
        <v>77</v>
      </c>
      <c r="B52" s="43">
        <f>VLOOKUP(A52,'Run Reconcile'!A$2:B672,2,FALSE)</f>
        <v>44720</v>
      </c>
      <c r="C52" s="44">
        <f>COUNTIF('ALL Tube Results'!B51:B672, A52)
</f>
        <v>17</v>
      </c>
      <c r="D52" s="45">
        <f>COUNTIFS('ALL Tube Results'!$B51:$B672, $A52, 'ALL Tube Results'!$F51:$F672, "Negative")
</f>
        <v>17</v>
      </c>
      <c r="E52" s="45">
        <f>COUNTIFS('ALL Tube Results'!$B51:$B672, $A52, 'ALL Tube Results'!$F51:$F672, "Positive")
</f>
        <v>0</v>
      </c>
      <c r="F52" s="45">
        <f>COUNTIFS('ALL Tube Results'!$B51:$B672, $A52, 'ALL Tube Results'!$F51:$F672, "Inconclusive")
</f>
        <v>0</v>
      </c>
      <c r="G52" s="46">
        <f t="shared" si="7"/>
        <v>17</v>
      </c>
      <c r="H52" s="46" t="str">
        <f t="shared" si="8"/>
        <v/>
      </c>
      <c r="I52" s="47">
        <f t="shared" si="9"/>
        <v>17</v>
      </c>
      <c r="J52" s="47">
        <f t="shared" si="10"/>
        <v>0</v>
      </c>
      <c r="K52" s="47">
        <f t="shared" si="11"/>
        <v>0</v>
      </c>
      <c r="L52" s="47" t="str">
        <f t="shared" si="12"/>
        <v/>
      </c>
      <c r="M52" s="47" t="str">
        <f t="shared" si="13"/>
        <v/>
      </c>
      <c r="N52" s="47" t="str">
        <f t="shared" si="14"/>
        <v/>
      </c>
      <c r="O52" s="48">
        <f t="shared" si="15"/>
        <v>17</v>
      </c>
      <c r="P52" s="48" t="str">
        <f t="shared" si="16"/>
        <v/>
      </c>
      <c r="Q52" s="40"/>
      <c r="R52" s="6" t="s">
        <v>77</v>
      </c>
      <c r="S52" s="11">
        <v>44720.0</v>
      </c>
      <c r="T52" s="50">
        <f>VLOOKUP(R52,'Run Reconcile'!$A$2:$M672,13,FALSE)</f>
        <v>17</v>
      </c>
      <c r="U52" s="51" t="str">
        <f t="shared" si="17"/>
        <v/>
      </c>
      <c r="V52" s="50"/>
      <c r="W52" s="50"/>
      <c r="X52" s="40"/>
      <c r="Y52" s="6" t="str">
        <f>IFERROR(__xludf.DUMMYFUNCTION("""COMPUTED_VALUE"""),"RUN-COMB_2022-06-08_RFR-059")</f>
        <v>RUN-COMB_2022-06-08_RFR-059</v>
      </c>
      <c r="Z52" s="11">
        <f>IFERROR(__xludf.DUMMYFUNCTION("""COMPUTED_VALUE"""),44720.0)</f>
        <v>44720</v>
      </c>
      <c r="AA52" s="47">
        <f t="array" ref="AA52">INDEX('RFR Data - preExcl'!AK$2:AK672,$AE52,1)</f>
        <v>17</v>
      </c>
      <c r="AB52" s="50">
        <f t="shared" si="18"/>
        <v>17</v>
      </c>
      <c r="AC52" s="50">
        <f t="array" ref="AC52">INDEX('RFR Data - preExcl'!AI$2:AI672,$AE52,1)</f>
        <v>0</v>
      </c>
      <c r="AD52" s="50">
        <f t="array" ref="AD52">INDEX('RFR Data - preExcl'!AF$2:AF672,$AE52,1)</f>
        <v>0</v>
      </c>
      <c r="AE52" s="52">
        <f>IFNA(MATCH(Y52,'RFR Data - preExcl'!A$2:A672,0),"")</f>
        <v>59</v>
      </c>
      <c r="AF52" s="40"/>
      <c r="AG52" s="56" t="s">
        <v>77</v>
      </c>
      <c r="AH52" s="54">
        <f>VLOOKUP(AG52,'Run Reconcile'!A$2:B672,2,FALSE)</f>
        <v>44720</v>
      </c>
      <c r="AI52" s="55">
        <f>COUNTIF('APS Tubes Import'!$V$2:$V672, AG52)
</f>
        <v>17</v>
      </c>
      <c r="AJ52" s="55">
        <f>COUNTIFS('APS Tubes Import'!V$2:V672, AG52, 'APS Tubes Import'!H$2:H672, "Negative")
</f>
        <v>17</v>
      </c>
      <c r="AK52" s="55">
        <f>COUNTIFS('APS Tubes Import'!V$2:V672, AG52, 'APS Tubes Import'!H$2:H672, "Positive")
</f>
        <v>0</v>
      </c>
      <c r="AL52" s="55">
        <f>COUNTIFS('APS Tubes Import'!V$2:V672, AG52, 'APS Tubes Import'!H$2:H672, "Inconclusive")
</f>
        <v>0</v>
      </c>
      <c r="AM52" s="55">
        <f>COUNTIFS('APS Tubes Import'!V$2:V672, AG52, 'APS Tubes Import'!H$2:H672, "Null")
</f>
        <v>0</v>
      </c>
      <c r="AN52" s="40"/>
      <c r="AO52" s="11">
        <f>'APS Tubes by Date Import'!B51</f>
        <v>44721</v>
      </c>
      <c r="AP52" s="50">
        <f>'APS Tubes by Date Import'!C51</f>
        <v>20</v>
      </c>
      <c r="AQ52" s="50">
        <f>'APS Tubes by Date Import'!D51</f>
        <v>20</v>
      </c>
      <c r="AR52" s="50">
        <f>'APS Tubes by Date Import'!E51</f>
        <v>0</v>
      </c>
      <c r="AS52" s="50">
        <f>'APS Tubes by Date Import'!F51</f>
        <v>0</v>
      </c>
      <c r="AT52" s="50">
        <f>'APS Tubes by Date Import'!G51</f>
        <v>0</v>
      </c>
      <c r="AU52" s="40"/>
    </row>
    <row r="53">
      <c r="A53" s="6" t="s">
        <v>78</v>
      </c>
      <c r="B53" s="43">
        <f>VLOOKUP(A53,'Run Reconcile'!A$2:B672,2,FALSE)</f>
        <v>44721</v>
      </c>
      <c r="C53" s="44">
        <f>COUNTIF('ALL Tube Results'!B52:B672, A53)
</f>
        <v>42</v>
      </c>
      <c r="D53" s="45">
        <f>COUNTIFS('ALL Tube Results'!$B52:$B672, $A53, 'ALL Tube Results'!$F52:$F672, "Negative")
</f>
        <v>40</v>
      </c>
      <c r="E53" s="45">
        <f>COUNTIFS('ALL Tube Results'!$B52:$B672, $A53, 'ALL Tube Results'!$F52:$F672, "Positive")
</f>
        <v>2</v>
      </c>
      <c r="F53" s="45">
        <f>COUNTIFS('ALL Tube Results'!$B52:$B672, $A53, 'ALL Tube Results'!$F52:$F672, "Inconclusive")
</f>
        <v>0</v>
      </c>
      <c r="G53" s="46">
        <f t="shared" si="7"/>
        <v>42</v>
      </c>
      <c r="H53" s="46" t="str">
        <f t="shared" si="8"/>
        <v/>
      </c>
      <c r="I53" s="47">
        <f t="shared" si="9"/>
        <v>42</v>
      </c>
      <c r="J53" s="47">
        <f t="shared" si="10"/>
        <v>2</v>
      </c>
      <c r="K53" s="47">
        <f t="shared" si="11"/>
        <v>0</v>
      </c>
      <c r="L53" s="47" t="str">
        <f t="shared" si="12"/>
        <v/>
      </c>
      <c r="M53" s="47" t="str">
        <f t="shared" si="13"/>
        <v/>
      </c>
      <c r="N53" s="47" t="str">
        <f t="shared" si="14"/>
        <v/>
      </c>
      <c r="O53" s="48">
        <f t="shared" si="15"/>
        <v>20</v>
      </c>
      <c r="P53" s="48">
        <f t="shared" si="16"/>
        <v>22</v>
      </c>
      <c r="Q53" s="40"/>
      <c r="R53" s="6" t="s">
        <v>78</v>
      </c>
      <c r="S53" s="11">
        <v>44721.0</v>
      </c>
      <c r="T53" s="50">
        <f>VLOOKUP(R53,'Run Reconcile'!$A$2:$M672,13,FALSE)</f>
        <v>42</v>
      </c>
      <c r="U53" s="51" t="str">
        <f t="shared" si="17"/>
        <v/>
      </c>
      <c r="V53" s="50"/>
      <c r="W53" s="50"/>
      <c r="X53" s="40"/>
      <c r="Y53" s="6" t="str">
        <f>IFERROR(__xludf.DUMMYFUNCTION("""COMPUTED_VALUE"""),"RUN-COMB_2022-06-09_RFR-060")</f>
        <v>RUN-COMB_2022-06-09_RFR-060</v>
      </c>
      <c r="Z53" s="11">
        <f>IFERROR(__xludf.DUMMYFUNCTION("""COMPUTED_VALUE"""),44721.0)</f>
        <v>44721</v>
      </c>
      <c r="AA53" s="47">
        <f t="array" ref="AA53">INDEX('RFR Data - preExcl'!AK$2:AK672,$AE53,1)</f>
        <v>42</v>
      </c>
      <c r="AB53" s="50">
        <f t="shared" si="18"/>
        <v>40</v>
      </c>
      <c r="AC53" s="50">
        <f t="array" ref="AC53">INDEX('RFR Data - preExcl'!AI$2:AI672,$AE53,1)</f>
        <v>2</v>
      </c>
      <c r="AD53" s="50">
        <f t="array" ref="AD53">INDEX('RFR Data - preExcl'!AF$2:AF672,$AE53,1)</f>
        <v>0</v>
      </c>
      <c r="AE53" s="52">
        <f>IFNA(MATCH(Y53,'RFR Data - preExcl'!A$2:A672,0),"")</f>
        <v>60</v>
      </c>
      <c r="AF53" s="40"/>
      <c r="AG53" s="56" t="s">
        <v>78</v>
      </c>
      <c r="AH53" s="54">
        <f>VLOOKUP(AG53,'Run Reconcile'!A$2:B672,2,FALSE)</f>
        <v>44721</v>
      </c>
      <c r="AI53" s="55">
        <f>COUNTIF('APS Tubes Import'!$V$2:$V672, AG53)
</f>
        <v>20</v>
      </c>
      <c r="AJ53" s="55">
        <f>COUNTIFS('APS Tubes Import'!V$2:V672, AG53, 'APS Tubes Import'!H$2:H672, "Negative")
</f>
        <v>20</v>
      </c>
      <c r="AK53" s="55">
        <f>COUNTIFS('APS Tubes Import'!V$2:V672, AG53, 'APS Tubes Import'!H$2:H672, "Positive")
</f>
        <v>0</v>
      </c>
      <c r="AL53" s="55">
        <f>COUNTIFS('APS Tubes Import'!V$2:V672, AG53, 'APS Tubes Import'!H$2:H672, "Inconclusive")
</f>
        <v>0</v>
      </c>
      <c r="AM53" s="55">
        <f>COUNTIFS('APS Tubes Import'!V$2:V672, AG53, 'APS Tubes Import'!H$2:H672, "Null")
</f>
        <v>0</v>
      </c>
      <c r="AN53" s="40"/>
      <c r="AO53" s="11">
        <f>'APS Tubes by Date Import'!B52</f>
        <v>44739</v>
      </c>
      <c r="AP53" s="50">
        <f>'APS Tubes by Date Import'!C52</f>
        <v>24</v>
      </c>
      <c r="AQ53" s="50">
        <f>'APS Tubes by Date Import'!D52</f>
        <v>20</v>
      </c>
      <c r="AR53" s="50">
        <f>'APS Tubes by Date Import'!E52</f>
        <v>3</v>
      </c>
      <c r="AS53" s="50">
        <f>'APS Tubes by Date Import'!F52</f>
        <v>1</v>
      </c>
      <c r="AT53" s="50">
        <f>'APS Tubes by Date Import'!G52</f>
        <v>0</v>
      </c>
      <c r="AU53" s="40"/>
    </row>
    <row r="54">
      <c r="A54" s="6" t="s">
        <v>79</v>
      </c>
      <c r="B54" s="43">
        <f>VLOOKUP(A54,'Run Reconcile'!A$2:B672,2,FALSE)</f>
        <v>44722</v>
      </c>
      <c r="C54" s="44">
        <f>COUNTIF('ALL Tube Results'!B53:B672, A54)
</f>
        <v>25</v>
      </c>
      <c r="D54" s="45">
        <f>COUNTIFS('ALL Tube Results'!$B53:$B672, $A54, 'ALL Tube Results'!$F53:$F672, "Negative")
</f>
        <v>25</v>
      </c>
      <c r="E54" s="45">
        <f>COUNTIFS('ALL Tube Results'!$B53:$B672, $A54, 'ALL Tube Results'!$F53:$F672, "Positive")
</f>
        <v>0</v>
      </c>
      <c r="F54" s="45">
        <f>COUNTIFS('ALL Tube Results'!$B53:$B672, $A54, 'ALL Tube Results'!$F53:$F672, "Inconclusive")
</f>
        <v>0</v>
      </c>
      <c r="G54" s="46">
        <f t="shared" si="7"/>
        <v>25</v>
      </c>
      <c r="H54" s="46" t="str">
        <f t="shared" si="8"/>
        <v/>
      </c>
      <c r="I54" s="47" t="str">
        <f t="shared" si="9"/>
        <v/>
      </c>
      <c r="J54" s="47" t="str">
        <f t="shared" si="10"/>
        <v/>
      </c>
      <c r="K54" s="47" t="str">
        <f t="shared" si="11"/>
        <v/>
      </c>
      <c r="L54" s="47">
        <f t="shared" si="12"/>
        <v>25</v>
      </c>
      <c r="M54" s="47" t="str">
        <f t="shared" si="13"/>
        <v/>
      </c>
      <c r="N54" s="47" t="str">
        <f t="shared" si="14"/>
        <v/>
      </c>
      <c r="O54" s="48" t="str">
        <f t="shared" si="15"/>
        <v/>
      </c>
      <c r="P54" s="48">
        <f t="shared" si="16"/>
        <v>25</v>
      </c>
      <c r="Q54" s="40"/>
      <c r="R54" s="6" t="s">
        <v>79</v>
      </c>
      <c r="S54" s="11">
        <v>44722.0</v>
      </c>
      <c r="T54" s="50">
        <f>VLOOKUP(R54,'Run Reconcile'!$A$2:$M672,13,FALSE)</f>
        <v>25</v>
      </c>
      <c r="U54" s="51" t="str">
        <f t="shared" si="17"/>
        <v/>
      </c>
      <c r="V54" s="50"/>
      <c r="W54" s="50"/>
      <c r="X54" s="40"/>
      <c r="Y54" s="6" t="str">
        <f>IFERROR(__xludf.DUMMYFUNCTION("""COMPUTED_VALUE"""),"RUN-COMB_2022-06-27_RFR-061")</f>
        <v>RUN-COMB_2022-06-27_RFR-061</v>
      </c>
      <c r="Z54" s="11">
        <f>IFERROR(__xludf.DUMMYFUNCTION("""COMPUTED_VALUE"""),44739.0)</f>
        <v>44739</v>
      </c>
      <c r="AA54" s="47">
        <f t="array" ref="AA54">INDEX('RFR Data - preExcl'!AK$2:AK672,$AE54,1)</f>
        <v>24</v>
      </c>
      <c r="AB54" s="50">
        <f t="shared" si="18"/>
        <v>20</v>
      </c>
      <c r="AC54" s="50">
        <f t="array" ref="AC54">INDEX('RFR Data - preExcl'!AI$2:AI672,$AE54,1)</f>
        <v>3</v>
      </c>
      <c r="AD54" s="50">
        <f t="array" ref="AD54">INDEX('RFR Data - preExcl'!AF$2:AF672,$AE54,1)</f>
        <v>1</v>
      </c>
      <c r="AE54" s="52">
        <f>IFNA(MATCH(Y54,'RFR Data - preExcl'!A$2:A672,0),"")</f>
        <v>61</v>
      </c>
      <c r="AF54" s="40"/>
      <c r="AG54" s="56" t="s">
        <v>80</v>
      </c>
      <c r="AH54" s="54">
        <f>VLOOKUP(AG54,'Run Reconcile'!A$2:B672,2,FALSE)</f>
        <v>44739</v>
      </c>
      <c r="AI54" s="55">
        <f>COUNTIF('APS Tubes Import'!$V$2:$V672, AG54)
</f>
        <v>24</v>
      </c>
      <c r="AJ54" s="55">
        <f>COUNTIFS('APS Tubes Import'!V$2:V672, AG54, 'APS Tubes Import'!H$2:H672, "Negative")
</f>
        <v>20</v>
      </c>
      <c r="AK54" s="55">
        <f>COUNTIFS('APS Tubes Import'!V$2:V672, AG54, 'APS Tubes Import'!H$2:H672, "Positive")
</f>
        <v>3</v>
      </c>
      <c r="AL54" s="55">
        <f>COUNTIFS('APS Tubes Import'!V$2:V672, AG54, 'APS Tubes Import'!H$2:H672, "Inconclusive")
</f>
        <v>1</v>
      </c>
      <c r="AM54" s="55">
        <f>COUNTIFS('APS Tubes Import'!V$2:V672, AG54, 'APS Tubes Import'!H$2:H672, "Null")
</f>
        <v>0</v>
      </c>
      <c r="AN54" s="40"/>
      <c r="AO54" s="11">
        <f>'APS Tubes by Date Import'!B53</f>
        <v>44740</v>
      </c>
      <c r="AP54" s="50">
        <f>'APS Tubes by Date Import'!C53</f>
        <v>25</v>
      </c>
      <c r="AQ54" s="50">
        <f>'APS Tubes by Date Import'!D53</f>
        <v>24</v>
      </c>
      <c r="AR54" s="50">
        <f>'APS Tubes by Date Import'!E53</f>
        <v>0</v>
      </c>
      <c r="AS54" s="50">
        <f>'APS Tubes by Date Import'!F53</f>
        <v>1</v>
      </c>
      <c r="AT54" s="50">
        <f>'APS Tubes by Date Import'!G53</f>
        <v>0</v>
      </c>
      <c r="AU54" s="40"/>
    </row>
    <row r="55">
      <c r="A55" s="6" t="s">
        <v>80</v>
      </c>
      <c r="B55" s="43">
        <f>VLOOKUP(A55,'Run Reconcile'!A$2:B672,2,FALSE)</f>
        <v>44739</v>
      </c>
      <c r="C55" s="44">
        <f>COUNTIF('ALL Tube Results'!B54:B672, A55)
</f>
        <v>24</v>
      </c>
      <c r="D55" s="45">
        <f>COUNTIFS('ALL Tube Results'!$B54:$B672, $A55, 'ALL Tube Results'!$F54:$F672, "Negative")
</f>
        <v>20</v>
      </c>
      <c r="E55" s="45">
        <f>COUNTIFS('ALL Tube Results'!$B54:$B672, $A55, 'ALL Tube Results'!$F54:$F672, "Positive")
</f>
        <v>3</v>
      </c>
      <c r="F55" s="45">
        <f>COUNTIFS('ALL Tube Results'!$B54:$B672, $A55, 'ALL Tube Results'!$F54:$F672, "Inconclusive")
</f>
        <v>1</v>
      </c>
      <c r="G55" s="46">
        <f t="shared" si="7"/>
        <v>24</v>
      </c>
      <c r="H55" s="46" t="str">
        <f t="shared" si="8"/>
        <v/>
      </c>
      <c r="I55" s="47">
        <f t="shared" si="9"/>
        <v>24</v>
      </c>
      <c r="J55" s="47">
        <f t="shared" si="10"/>
        <v>3</v>
      </c>
      <c r="K55" s="47">
        <f t="shared" si="11"/>
        <v>1</v>
      </c>
      <c r="L55" s="47" t="str">
        <f t="shared" si="12"/>
        <v/>
      </c>
      <c r="M55" s="47" t="str">
        <f t="shared" si="13"/>
        <v/>
      </c>
      <c r="N55" s="47" t="str">
        <f t="shared" si="14"/>
        <v/>
      </c>
      <c r="O55" s="48">
        <f t="shared" si="15"/>
        <v>24</v>
      </c>
      <c r="P55" s="48" t="str">
        <f t="shared" si="16"/>
        <v/>
      </c>
      <c r="Q55" s="40"/>
      <c r="R55" s="6" t="s">
        <v>80</v>
      </c>
      <c r="S55" s="11">
        <v>44739.0</v>
      </c>
      <c r="T55" s="50">
        <f>VLOOKUP(R55,'Run Reconcile'!$A$2:$M672,13,FALSE)</f>
        <v>24</v>
      </c>
      <c r="U55" s="51" t="str">
        <f t="shared" si="17"/>
        <v/>
      </c>
      <c r="V55" s="50"/>
      <c r="W55" s="50"/>
      <c r="X55" s="40"/>
      <c r="Y55" s="6" t="str">
        <f>IFERROR(__xludf.DUMMYFUNCTION("""COMPUTED_VALUE"""),"RUN-COMB_2022-06-28_RFR-063")</f>
        <v>RUN-COMB_2022-06-28_RFR-063</v>
      </c>
      <c r="Z55" s="11">
        <f>IFERROR(__xludf.DUMMYFUNCTION("""COMPUTED_VALUE"""),44740.0)</f>
        <v>44740</v>
      </c>
      <c r="AA55" s="47">
        <f t="array" ref="AA55">INDEX('RFR Data - preExcl'!AK$2:AK672,$AE55,1)</f>
        <v>25</v>
      </c>
      <c r="AB55" s="50">
        <f t="shared" si="18"/>
        <v>24</v>
      </c>
      <c r="AC55" s="50">
        <f t="array" ref="AC55">INDEX('RFR Data - preExcl'!AI$2:AI672,$AE55,1)</f>
        <v>0</v>
      </c>
      <c r="AD55" s="50">
        <f t="array" ref="AD55">INDEX('RFR Data - preExcl'!AF$2:AF672,$AE55,1)</f>
        <v>1</v>
      </c>
      <c r="AE55" s="52">
        <f>IFNA(MATCH(Y55,'RFR Data - preExcl'!A$2:A672,0),"")</f>
        <v>63</v>
      </c>
      <c r="AF55" s="40"/>
      <c r="AG55" s="56" t="s">
        <v>81</v>
      </c>
      <c r="AH55" s="54">
        <f>VLOOKUP(AG55,'Run Reconcile'!A$2:B672,2,FALSE)</f>
        <v>44740</v>
      </c>
      <c r="AI55" s="55">
        <f>COUNTIF('APS Tubes Import'!$V$2:$V672, AG55)
</f>
        <v>25</v>
      </c>
      <c r="AJ55" s="55">
        <f>COUNTIFS('APS Tubes Import'!V$2:V672, AG55, 'APS Tubes Import'!H$2:H672, "Negative")
</f>
        <v>24</v>
      </c>
      <c r="AK55" s="55">
        <f>COUNTIFS('APS Tubes Import'!V$2:V672, AG55, 'APS Tubes Import'!H$2:H672, "Positive")
</f>
        <v>0</v>
      </c>
      <c r="AL55" s="55">
        <f>COUNTIFS('APS Tubes Import'!V$2:V672, AG55, 'APS Tubes Import'!H$2:H672, "Inconclusive")
</f>
        <v>1</v>
      </c>
      <c r="AM55" s="55">
        <f>COUNTIFS('APS Tubes Import'!V$2:V672, AG55, 'APS Tubes Import'!H$2:H672, "Null")
</f>
        <v>0</v>
      </c>
      <c r="AN55" s="40"/>
      <c r="AO55" s="11">
        <f>'APS Tubes by Date Import'!B54</f>
        <v>44741</v>
      </c>
      <c r="AP55" s="50">
        <f>'APS Tubes by Date Import'!D54</f>
        <v>17</v>
      </c>
      <c r="AQ55" s="50">
        <f>'APS Tubes by Date Import'!E54</f>
        <v>0</v>
      </c>
      <c r="AR55" s="50">
        <f>'APS Tubes by Date Import'!F54</f>
        <v>0</v>
      </c>
      <c r="AS55" s="50">
        <f>'APS Tubes by Date Import'!G54</f>
        <v>0</v>
      </c>
      <c r="AT55" s="50">
        <f>'APS Tubes by Date Import'!G54</f>
        <v>0</v>
      </c>
      <c r="AU55" s="40"/>
    </row>
    <row r="56">
      <c r="A56" s="6" t="s">
        <v>81</v>
      </c>
      <c r="B56" s="43">
        <f>VLOOKUP(A56,'Run Reconcile'!A$2:B672,2,FALSE)</f>
        <v>44740</v>
      </c>
      <c r="C56" s="44">
        <f>COUNTIF('ALL Tube Results'!B55:B672, A56)
</f>
        <v>25</v>
      </c>
      <c r="D56" s="45">
        <f>COUNTIFS('ALL Tube Results'!$B55:$B672, $A56, 'ALL Tube Results'!$F55:$F672, "Negative")
</f>
        <v>24</v>
      </c>
      <c r="E56" s="45">
        <f>COUNTIFS('ALL Tube Results'!$B55:$B672, $A56, 'ALL Tube Results'!$F55:$F672, "Positive")
</f>
        <v>0</v>
      </c>
      <c r="F56" s="45">
        <f>COUNTIFS('ALL Tube Results'!$B55:$B672, $A56, 'ALL Tube Results'!$F55:$F672, "Inconclusive")
</f>
        <v>1</v>
      </c>
      <c r="G56" s="46">
        <f t="shared" si="7"/>
        <v>25</v>
      </c>
      <c r="H56" s="46" t="str">
        <f t="shared" si="8"/>
        <v/>
      </c>
      <c r="I56" s="47">
        <f t="shared" si="9"/>
        <v>25</v>
      </c>
      <c r="J56" s="47">
        <f t="shared" si="10"/>
        <v>0</v>
      </c>
      <c r="K56" s="47">
        <f t="shared" si="11"/>
        <v>1</v>
      </c>
      <c r="L56" s="47" t="str">
        <f t="shared" si="12"/>
        <v/>
      </c>
      <c r="M56" s="47" t="str">
        <f t="shared" si="13"/>
        <v/>
      </c>
      <c r="N56" s="47" t="str">
        <f t="shared" si="14"/>
        <v/>
      </c>
      <c r="O56" s="48">
        <f t="shared" si="15"/>
        <v>25</v>
      </c>
      <c r="P56" s="48" t="str">
        <f t="shared" si="16"/>
        <v/>
      </c>
      <c r="Q56" s="40"/>
      <c r="R56" s="6" t="s">
        <v>81</v>
      </c>
      <c r="S56" s="11">
        <v>44740.0</v>
      </c>
      <c r="T56" s="50">
        <f>VLOOKUP(R56,'Run Reconcile'!$A$2:$M672,13,FALSE)</f>
        <v>25</v>
      </c>
      <c r="U56" s="51" t="str">
        <f t="shared" si="17"/>
        <v/>
      </c>
      <c r="V56" s="50"/>
      <c r="W56" s="50"/>
      <c r="X56" s="40"/>
      <c r="Y56" s="6" t="str">
        <f>IFERROR(__xludf.DUMMYFUNCTION("""COMPUTED_VALUE"""),"RUN-COMB_2022-06-29_RFR-065")</f>
        <v>RUN-COMB_2022-06-29_RFR-065</v>
      </c>
      <c r="Z56" s="11">
        <f>IFERROR(__xludf.DUMMYFUNCTION("""COMPUTED_VALUE"""),44741.0)</f>
        <v>44741</v>
      </c>
      <c r="AA56" s="47">
        <f t="array" ref="AA56">INDEX('RFR Data - preExcl'!AK$2:AK672,$AE56,1)</f>
        <v>17</v>
      </c>
      <c r="AB56" s="50">
        <f t="shared" si="18"/>
        <v>17</v>
      </c>
      <c r="AC56" s="50">
        <f t="array" ref="AC56">INDEX('RFR Data - preExcl'!AI$2:AI672,$AE56,1)</f>
        <v>0</v>
      </c>
      <c r="AD56" s="50">
        <f t="array" ref="AD56">INDEX('RFR Data - preExcl'!AF$2:AF672,$AE56,1)</f>
        <v>0</v>
      </c>
      <c r="AE56" s="52">
        <f>IFNA(MATCH(Y56,'RFR Data - preExcl'!A$2:A672,0),"")</f>
        <v>65</v>
      </c>
      <c r="AF56" s="40"/>
      <c r="AG56" s="56" t="s">
        <v>82</v>
      </c>
      <c r="AH56" s="54">
        <f>VLOOKUP(AG56,'Run Reconcile'!A$2:B672,2,FALSE)</f>
        <v>44741</v>
      </c>
      <c r="AI56" s="55">
        <f>COUNTIF('APS Tubes Import'!$V$2:$V672, AG56)
</f>
        <v>17</v>
      </c>
      <c r="AJ56" s="55">
        <f>COUNTIFS('APS Tubes Import'!V$2:V672, AG56, 'APS Tubes Import'!H$2:H672, "Negative")
</f>
        <v>17</v>
      </c>
      <c r="AK56" s="55">
        <f>COUNTIFS('APS Tubes Import'!V$2:V672, AG56, 'APS Tubes Import'!H$2:H672, "Positive")
</f>
        <v>0</v>
      </c>
      <c r="AL56" s="55">
        <f>COUNTIFS('APS Tubes Import'!V$2:V672, AG56, 'APS Tubes Import'!H$2:H672, "Inconclusive")
</f>
        <v>0</v>
      </c>
      <c r="AM56" s="55">
        <f>COUNTIFS('APS Tubes Import'!V$2:V672, AG56, 'APS Tubes Import'!H$2:H672, "Null")
</f>
        <v>0</v>
      </c>
      <c r="AN56" s="40"/>
      <c r="AO56" s="11">
        <f>'APS Tubes by Date Import'!B55</f>
        <v>44743</v>
      </c>
      <c r="AP56" s="50">
        <f>'APS Tubes by Date Import'!D55</f>
        <v>23</v>
      </c>
      <c r="AQ56" s="50">
        <f>'APS Tubes by Date Import'!E55</f>
        <v>0</v>
      </c>
      <c r="AR56" s="50">
        <f>'APS Tubes by Date Import'!F55</f>
        <v>1</v>
      </c>
      <c r="AS56" s="50">
        <f>'APS Tubes by Date Import'!G55</f>
        <v>0</v>
      </c>
      <c r="AT56" s="50">
        <f>'APS Tubes by Date Import'!G55</f>
        <v>0</v>
      </c>
      <c r="AU56" s="40"/>
    </row>
    <row r="57">
      <c r="A57" s="6" t="s">
        <v>82</v>
      </c>
      <c r="B57" s="43">
        <f>VLOOKUP(A57,'Run Reconcile'!A$2:B672,2,FALSE)</f>
        <v>44741</v>
      </c>
      <c r="C57" s="44">
        <f>COUNTIF('ALL Tube Results'!B56:B672, A57)
</f>
        <v>17</v>
      </c>
      <c r="D57" s="45">
        <f>COUNTIFS('ALL Tube Results'!$B56:$B672, $A57, 'ALL Tube Results'!$F56:$F672, "Negative")
</f>
        <v>17</v>
      </c>
      <c r="E57" s="45">
        <f>COUNTIFS('ALL Tube Results'!$B56:$B672, $A57, 'ALL Tube Results'!$F56:$F672, "Positive")
</f>
        <v>0</v>
      </c>
      <c r="F57" s="45">
        <f>COUNTIFS('ALL Tube Results'!$B56:$B672, $A57, 'ALL Tube Results'!$F56:$F672, "Inconclusive")
</f>
        <v>0</v>
      </c>
      <c r="G57" s="46">
        <f t="shared" si="7"/>
        <v>17</v>
      </c>
      <c r="H57" s="46" t="str">
        <f t="shared" si="8"/>
        <v/>
      </c>
      <c r="I57" s="47">
        <f t="shared" si="9"/>
        <v>17</v>
      </c>
      <c r="J57" s="47">
        <f t="shared" si="10"/>
        <v>0</v>
      </c>
      <c r="K57" s="47">
        <f t="shared" si="11"/>
        <v>0</v>
      </c>
      <c r="L57" s="47" t="str">
        <f t="shared" si="12"/>
        <v/>
      </c>
      <c r="M57" s="47" t="str">
        <f t="shared" si="13"/>
        <v/>
      </c>
      <c r="N57" s="47" t="str">
        <f t="shared" si="14"/>
        <v/>
      </c>
      <c r="O57" s="48">
        <f t="shared" si="15"/>
        <v>17</v>
      </c>
      <c r="P57" s="48" t="str">
        <f t="shared" si="16"/>
        <v/>
      </c>
      <c r="Q57" s="40"/>
      <c r="R57" s="6" t="s">
        <v>82</v>
      </c>
      <c r="S57" s="11">
        <v>44741.0</v>
      </c>
      <c r="T57" s="50">
        <f>VLOOKUP(R57,'Run Reconcile'!$A$2:$M672,13,FALSE)</f>
        <v>17</v>
      </c>
      <c r="U57" s="51" t="str">
        <f t="shared" si="17"/>
        <v/>
      </c>
      <c r="V57" s="50"/>
      <c r="W57" s="50"/>
      <c r="X57" s="40"/>
      <c r="Y57" s="6" t="str">
        <f>IFERROR(__xludf.DUMMYFUNCTION("""COMPUTED_VALUE"""),"RUN-COMB_2022-06-30_RFR-066")</f>
        <v>RUN-COMB_2022-06-30_RFR-066</v>
      </c>
      <c r="Z57" s="11">
        <f>IFERROR(__xludf.DUMMYFUNCTION("""COMPUTED_VALUE"""),44742.0)</f>
        <v>44742</v>
      </c>
      <c r="AA57" s="47">
        <f t="array" ref="AA57">INDEX('RFR Data - preExcl'!AK$2:AK672,$AE57,1)</f>
        <v>35</v>
      </c>
      <c r="AB57" s="50">
        <f t="shared" si="18"/>
        <v>34</v>
      </c>
      <c r="AC57" s="50">
        <f t="array" ref="AC57">INDEX('RFR Data - preExcl'!AI$2:AI672,$AE57,1)</f>
        <v>1</v>
      </c>
      <c r="AD57" s="50">
        <f t="array" ref="AD57">INDEX('RFR Data - preExcl'!AF$2:AF672,$AE57,1)</f>
        <v>0</v>
      </c>
      <c r="AE57" s="52">
        <f>IFNA(MATCH(Y57,'RFR Data - preExcl'!A$2:A672,0),"")</f>
        <v>66</v>
      </c>
      <c r="AF57" s="40"/>
      <c r="AG57" s="56" t="s">
        <v>83</v>
      </c>
      <c r="AH57" s="54">
        <f>VLOOKUP(AG57,'Run Reconcile'!A$2:B672,2,FALSE)</f>
        <v>44743</v>
      </c>
      <c r="AI57" s="55">
        <f>COUNTIF('APS Tubes Import'!$V$2:$V672, AG57)
</f>
        <v>24</v>
      </c>
      <c r="AJ57" s="55">
        <f>COUNTIFS('APS Tubes Import'!V$2:V672, AG57, 'APS Tubes Import'!H$2:H672, "Negative")
</f>
        <v>23</v>
      </c>
      <c r="AK57" s="55">
        <f>COUNTIFS('APS Tubes Import'!V$2:V672, AG57, 'APS Tubes Import'!H$2:H672, "Positive")
</f>
        <v>0</v>
      </c>
      <c r="AL57" s="55">
        <f>COUNTIFS('APS Tubes Import'!V$2:V672, AG57, 'APS Tubes Import'!H$2:H672, "Inconclusive")
</f>
        <v>1</v>
      </c>
      <c r="AM57" s="55">
        <f>COUNTIFS('APS Tubes Import'!V$2:V672, AG57, 'APS Tubes Import'!H$2:H672, "Null")
</f>
        <v>0</v>
      </c>
      <c r="AN57" s="40"/>
      <c r="AO57" s="11">
        <f>'APS Tubes by Date Import'!B56</f>
        <v>44746</v>
      </c>
      <c r="AP57" s="50">
        <f>'APS Tubes by Date Import'!D56</f>
        <v>35</v>
      </c>
      <c r="AQ57" s="50">
        <f>'APS Tubes by Date Import'!E56</f>
        <v>1</v>
      </c>
      <c r="AR57" s="50">
        <f>'APS Tubes by Date Import'!F56</f>
        <v>0</v>
      </c>
      <c r="AS57" s="50">
        <f>'APS Tubes by Date Import'!G56</f>
        <v>0</v>
      </c>
      <c r="AT57" s="50">
        <f>'APS Tubes by Date Import'!G56</f>
        <v>0</v>
      </c>
      <c r="AU57" s="40"/>
    </row>
    <row r="58">
      <c r="A58" s="6" t="s">
        <v>84</v>
      </c>
      <c r="B58" s="43">
        <f>VLOOKUP(A58,'Run Reconcile'!A$2:B672,2,FALSE)</f>
        <v>44742</v>
      </c>
      <c r="C58" s="44">
        <f>COUNTIF('ALL Tube Results'!B57:B672, A58)
</f>
        <v>35</v>
      </c>
      <c r="D58" s="45">
        <f>COUNTIFS('ALL Tube Results'!$B57:$B672, $A58, 'ALL Tube Results'!$F57:$F672, "Negative")
</f>
        <v>34</v>
      </c>
      <c r="E58" s="45">
        <f>COUNTIFS('ALL Tube Results'!$B57:$B672, $A58, 'ALL Tube Results'!$F57:$F672, "Positive")
</f>
        <v>1</v>
      </c>
      <c r="F58" s="45">
        <f>COUNTIFS('ALL Tube Results'!$B57:$B672, $A58, 'ALL Tube Results'!$F57:$F672, "Inconclusive")
</f>
        <v>0</v>
      </c>
      <c r="G58" s="46">
        <f t="shared" si="7"/>
        <v>35</v>
      </c>
      <c r="H58" s="46" t="str">
        <f t="shared" si="8"/>
        <v/>
      </c>
      <c r="I58" s="47">
        <f t="shared" si="9"/>
        <v>35</v>
      </c>
      <c r="J58" s="47">
        <f t="shared" si="10"/>
        <v>1</v>
      </c>
      <c r="K58" s="47">
        <f t="shared" si="11"/>
        <v>0</v>
      </c>
      <c r="L58" s="47" t="str">
        <f t="shared" si="12"/>
        <v/>
      </c>
      <c r="M58" s="47" t="str">
        <f t="shared" si="13"/>
        <v/>
      </c>
      <c r="N58" s="47" t="str">
        <f t="shared" si="14"/>
        <v/>
      </c>
      <c r="O58" s="48" t="str">
        <f t="shared" si="15"/>
        <v/>
      </c>
      <c r="P58" s="48">
        <f t="shared" si="16"/>
        <v>35</v>
      </c>
      <c r="Q58" s="40"/>
      <c r="R58" s="6" t="s">
        <v>84</v>
      </c>
      <c r="S58" s="11">
        <v>44742.0</v>
      </c>
      <c r="T58" s="50">
        <f>VLOOKUP(R58,'Run Reconcile'!$A$2:$M672,13,FALSE)</f>
        <v>35</v>
      </c>
      <c r="U58" s="51" t="str">
        <f t="shared" si="17"/>
        <v/>
      </c>
      <c r="V58" s="50"/>
      <c r="W58" s="50"/>
      <c r="X58" s="40"/>
      <c r="Y58" s="6" t="str">
        <f>IFERROR(__xludf.DUMMYFUNCTION("""COMPUTED_VALUE"""),"RUN-COMB_2022-07-01_RFR-068")</f>
        <v>RUN-COMB_2022-07-01_RFR-068</v>
      </c>
      <c r="Z58" s="11">
        <f>IFERROR(__xludf.DUMMYFUNCTION("""COMPUTED_VALUE"""),44743.0)</f>
        <v>44743</v>
      </c>
      <c r="AA58" s="47">
        <f t="array" ref="AA58">INDEX('RFR Data - preExcl'!AK$2:AK672,$AE58,1)</f>
        <v>24</v>
      </c>
      <c r="AB58" s="50">
        <f t="shared" si="18"/>
        <v>23</v>
      </c>
      <c r="AC58" s="50">
        <f t="array" ref="AC58">INDEX('RFR Data - preExcl'!AI$2:AI672,$AE58,1)</f>
        <v>0</v>
      </c>
      <c r="AD58" s="50">
        <f t="array" ref="AD58">INDEX('RFR Data - preExcl'!AF$2:AF672,$AE58,1)</f>
        <v>1</v>
      </c>
      <c r="AE58" s="52">
        <f>IFNA(MATCH(Y58,'RFR Data - preExcl'!A$2:A672,0),"")</f>
        <v>68</v>
      </c>
      <c r="AF58" s="40"/>
      <c r="AG58" s="56" t="s">
        <v>85</v>
      </c>
      <c r="AH58" s="54">
        <f>VLOOKUP(AG58,'Run Reconcile'!A$2:B672,2,FALSE)</f>
        <v>44746</v>
      </c>
      <c r="AI58" s="55">
        <f>COUNTIF('APS Tubes Import'!$V$2:$V672, AG58)
</f>
        <v>36</v>
      </c>
      <c r="AJ58" s="55">
        <f>COUNTIFS('APS Tubes Import'!V$2:V672, AG58, 'APS Tubes Import'!H$2:H672, "Negative")
</f>
        <v>35</v>
      </c>
      <c r="AK58" s="55">
        <f>COUNTIFS('APS Tubes Import'!V$2:V672, AG58, 'APS Tubes Import'!H$2:H672, "Positive")
</f>
        <v>1</v>
      </c>
      <c r="AL58" s="55">
        <f>COUNTIFS('APS Tubes Import'!V$2:V672, AG58, 'APS Tubes Import'!H$2:H672, "Inconclusive")
</f>
        <v>0</v>
      </c>
      <c r="AM58" s="55">
        <f>COUNTIFS('APS Tubes Import'!V$2:V672, AG58, 'APS Tubes Import'!H$2:H672, "Null")
</f>
        <v>0</v>
      </c>
      <c r="AN58" s="40"/>
      <c r="AO58" s="11">
        <f>'APS Tubes by Date Import'!B57</f>
        <v>44747</v>
      </c>
      <c r="AP58" s="50">
        <f>'APS Tubes by Date Import'!D57</f>
        <v>19</v>
      </c>
      <c r="AQ58" s="50">
        <f>'APS Tubes by Date Import'!E57</f>
        <v>0</v>
      </c>
      <c r="AR58" s="50">
        <f>'APS Tubes by Date Import'!F57</f>
        <v>0</v>
      </c>
      <c r="AS58" s="50">
        <f>'APS Tubes by Date Import'!G57</f>
        <v>0</v>
      </c>
      <c r="AT58" s="50">
        <f>'APS Tubes by Date Import'!G57</f>
        <v>0</v>
      </c>
      <c r="AU58" s="40"/>
    </row>
    <row r="59">
      <c r="A59" s="6" t="s">
        <v>83</v>
      </c>
      <c r="B59" s="43">
        <f>VLOOKUP(A59,'Run Reconcile'!A$2:B672,2,FALSE)</f>
        <v>44743</v>
      </c>
      <c r="C59" s="44">
        <f>COUNTIF('ALL Tube Results'!B58:B672, A59)
</f>
        <v>24</v>
      </c>
      <c r="D59" s="45">
        <f>COUNTIFS('ALL Tube Results'!$B58:$B672, $A59, 'ALL Tube Results'!$F58:$F672, "Negative")
</f>
        <v>23</v>
      </c>
      <c r="E59" s="45">
        <f>COUNTIFS('ALL Tube Results'!$B58:$B672, $A59, 'ALL Tube Results'!$F58:$F672, "Positive")
</f>
        <v>0</v>
      </c>
      <c r="F59" s="45">
        <f>COUNTIFS('ALL Tube Results'!$B58:$B672, $A59, 'ALL Tube Results'!$F58:$F672, "Inconclusive")
</f>
        <v>1</v>
      </c>
      <c r="G59" s="46">
        <f t="shared" si="7"/>
        <v>24</v>
      </c>
      <c r="H59" s="46" t="str">
        <f t="shared" si="8"/>
        <v/>
      </c>
      <c r="I59" s="47">
        <f t="shared" si="9"/>
        <v>24</v>
      </c>
      <c r="J59" s="47">
        <f t="shared" si="10"/>
        <v>0</v>
      </c>
      <c r="K59" s="47">
        <f t="shared" si="11"/>
        <v>1</v>
      </c>
      <c r="L59" s="47" t="str">
        <f t="shared" si="12"/>
        <v/>
      </c>
      <c r="M59" s="47" t="str">
        <f t="shared" si="13"/>
        <v/>
      </c>
      <c r="N59" s="47" t="str">
        <f t="shared" si="14"/>
        <v/>
      </c>
      <c r="O59" s="48">
        <f t="shared" si="15"/>
        <v>24</v>
      </c>
      <c r="P59" s="48" t="str">
        <f t="shared" si="16"/>
        <v/>
      </c>
      <c r="Q59" s="40"/>
      <c r="R59" s="6" t="s">
        <v>83</v>
      </c>
      <c r="S59" s="11">
        <v>44743.0</v>
      </c>
      <c r="T59" s="50">
        <f>VLOOKUP(R59,'Run Reconcile'!$A$2:$M672,13,FALSE)</f>
        <v>24</v>
      </c>
      <c r="U59" s="51" t="str">
        <f t="shared" si="17"/>
        <v/>
      </c>
      <c r="V59" s="50"/>
      <c r="W59" s="50"/>
      <c r="X59" s="40"/>
      <c r="Y59" s="6" t="str">
        <f>IFERROR(__xludf.DUMMYFUNCTION("""COMPUTED_VALUE"""),"RUN-COMB_2022-07-04_RFR-070")</f>
        <v>RUN-COMB_2022-07-04_RFR-070</v>
      </c>
      <c r="Z59" s="11">
        <f>IFERROR(__xludf.DUMMYFUNCTION("""COMPUTED_VALUE"""),44746.0)</f>
        <v>44746</v>
      </c>
      <c r="AA59" s="47">
        <f t="array" ref="AA59">INDEX('RFR Data - preExcl'!AK$2:AK672,$AE59,1)</f>
        <v>36</v>
      </c>
      <c r="AB59" s="50">
        <f t="shared" si="18"/>
        <v>35</v>
      </c>
      <c r="AC59" s="50">
        <f t="array" ref="AC59">INDEX('RFR Data - preExcl'!AI$2:AI672,$AE59,1)</f>
        <v>1</v>
      </c>
      <c r="AD59" s="50">
        <f t="array" ref="AD59">INDEX('RFR Data - preExcl'!AF$2:AF672,$AE59,1)</f>
        <v>0</v>
      </c>
      <c r="AE59" s="52">
        <f>IFNA(MATCH(Y59,'RFR Data - preExcl'!A$2:A672,0),"")</f>
        <v>70</v>
      </c>
      <c r="AF59" s="40"/>
      <c r="AG59" s="56" t="s">
        <v>86</v>
      </c>
      <c r="AH59" s="54">
        <f>VLOOKUP(AG59,'Run Reconcile'!A$2:B672,2,FALSE)</f>
        <v>44747</v>
      </c>
      <c r="AI59" s="55">
        <f>COUNTIF('APS Tubes Import'!$V$2:$V672, AG59)
</f>
        <v>19</v>
      </c>
      <c r="AJ59" s="55">
        <f>COUNTIFS('APS Tubes Import'!V$2:V672, AG59, 'APS Tubes Import'!H$2:H672, "Negative")
</f>
        <v>19</v>
      </c>
      <c r="AK59" s="55">
        <f>COUNTIFS('APS Tubes Import'!V$2:V672, AG59, 'APS Tubes Import'!H$2:H672, "Positive")
</f>
        <v>0</v>
      </c>
      <c r="AL59" s="55">
        <f>COUNTIFS('APS Tubes Import'!V$2:V672, AG59, 'APS Tubes Import'!H$2:H672, "Inconclusive")
</f>
        <v>0</v>
      </c>
      <c r="AM59" s="55">
        <f>COUNTIFS('APS Tubes Import'!V$2:V672, AG59, 'APS Tubes Import'!H$2:H672, "Null")
</f>
        <v>0</v>
      </c>
      <c r="AN59" s="40"/>
      <c r="AO59" s="11">
        <f>'APS Tubes by Date Import'!B58</f>
        <v>44748</v>
      </c>
      <c r="AP59" s="50">
        <f>'APS Tubes by Date Import'!D58</f>
        <v>17</v>
      </c>
      <c r="AQ59" s="50">
        <f>'APS Tubes by Date Import'!E58</f>
        <v>0</v>
      </c>
      <c r="AR59" s="50">
        <f>'APS Tubes by Date Import'!F58</f>
        <v>0</v>
      </c>
      <c r="AS59" s="50">
        <f>'APS Tubes by Date Import'!G58</f>
        <v>0</v>
      </c>
      <c r="AT59" s="50">
        <f>'APS Tubes by Date Import'!G58</f>
        <v>0</v>
      </c>
      <c r="AU59" s="40"/>
    </row>
    <row r="60">
      <c r="A60" s="6" t="s">
        <v>85</v>
      </c>
      <c r="B60" s="43">
        <f>VLOOKUP(A60,'Run Reconcile'!A$2:B672,2,FALSE)</f>
        <v>44746</v>
      </c>
      <c r="C60" s="44">
        <f>COUNTIF('ALL Tube Results'!B59:B672, A60)
</f>
        <v>36</v>
      </c>
      <c r="D60" s="45">
        <f>COUNTIFS('ALL Tube Results'!$B59:$B672, $A60, 'ALL Tube Results'!$F59:$F672, "Negative")
</f>
        <v>35</v>
      </c>
      <c r="E60" s="45">
        <f>COUNTIFS('ALL Tube Results'!$B59:$B672, $A60, 'ALL Tube Results'!$F59:$F672, "Positive")
</f>
        <v>1</v>
      </c>
      <c r="F60" s="45">
        <f>COUNTIFS('ALL Tube Results'!$B59:$B672, $A60, 'ALL Tube Results'!$F59:$F672, "Inconclusive")
</f>
        <v>0</v>
      </c>
      <c r="G60" s="46">
        <f t="shared" si="7"/>
        <v>36</v>
      </c>
      <c r="H60" s="46" t="str">
        <f t="shared" si="8"/>
        <v/>
      </c>
      <c r="I60" s="47">
        <f t="shared" si="9"/>
        <v>36</v>
      </c>
      <c r="J60" s="47">
        <f t="shared" si="10"/>
        <v>1</v>
      </c>
      <c r="K60" s="47">
        <f t="shared" si="11"/>
        <v>0</v>
      </c>
      <c r="L60" s="47" t="str">
        <f t="shared" si="12"/>
        <v/>
      </c>
      <c r="M60" s="47" t="str">
        <f t="shared" si="13"/>
        <v/>
      </c>
      <c r="N60" s="47" t="str">
        <f t="shared" si="14"/>
        <v/>
      </c>
      <c r="O60" s="48">
        <f t="shared" si="15"/>
        <v>36</v>
      </c>
      <c r="P60" s="48" t="str">
        <f t="shared" si="16"/>
        <v/>
      </c>
      <c r="Q60" s="40"/>
      <c r="R60" s="6" t="s">
        <v>85</v>
      </c>
      <c r="S60" s="11">
        <v>44746.0</v>
      </c>
      <c r="T60" s="50">
        <f>VLOOKUP(R60,'Run Reconcile'!$A$2:$M672,13,FALSE)</f>
        <v>36</v>
      </c>
      <c r="U60" s="51" t="str">
        <f t="shared" si="17"/>
        <v/>
      </c>
      <c r="V60" s="50"/>
      <c r="W60" s="50"/>
      <c r="X60" s="40"/>
      <c r="Y60" s="6" t="str">
        <f>IFERROR(__xludf.DUMMYFUNCTION("""COMPUTED_VALUE"""),"RUN-COMB_2022-07-05_RFR-071")</f>
        <v>RUN-COMB_2022-07-05_RFR-071</v>
      </c>
      <c r="Z60" s="11">
        <f>IFERROR(__xludf.DUMMYFUNCTION("""COMPUTED_VALUE"""),44747.0)</f>
        <v>44747</v>
      </c>
      <c r="AA60" s="47">
        <f t="array" ref="AA60">INDEX('RFR Data - preExcl'!AK$2:AK672,$AE60,1)</f>
        <v>19</v>
      </c>
      <c r="AB60" s="50">
        <f t="shared" si="18"/>
        <v>19</v>
      </c>
      <c r="AC60" s="50">
        <f t="array" ref="AC60">INDEX('RFR Data - preExcl'!AI$2:AI672,$AE60,1)</f>
        <v>0</v>
      </c>
      <c r="AD60" s="50">
        <f t="array" ref="AD60">INDEX('RFR Data - preExcl'!AF$2:AF672,$AE60,1)</f>
        <v>0</v>
      </c>
      <c r="AE60" s="52">
        <f>IFNA(MATCH(Y60,'RFR Data - preExcl'!A$2:A672,0),"")</f>
        <v>71</v>
      </c>
      <c r="AF60" s="40"/>
      <c r="AG60" s="56" t="s">
        <v>87</v>
      </c>
      <c r="AH60" s="54">
        <f>VLOOKUP(AG60,'Run Reconcile'!A$2:B672,2,FALSE)</f>
        <v>44748</v>
      </c>
      <c r="AI60" s="55">
        <f>COUNTIF('APS Tubes Import'!$V$2:$V672, AG60)
</f>
        <v>17</v>
      </c>
      <c r="AJ60" s="55">
        <f>COUNTIFS('APS Tubes Import'!V$2:V672, AG60, 'APS Tubes Import'!H$2:H672, "Negative")
</f>
        <v>17</v>
      </c>
      <c r="AK60" s="55">
        <f>COUNTIFS('APS Tubes Import'!V$2:V672, AG60, 'APS Tubes Import'!H$2:H672, "Positive")
</f>
        <v>0</v>
      </c>
      <c r="AL60" s="55">
        <f>COUNTIFS('APS Tubes Import'!V$2:V672, AG60, 'APS Tubes Import'!H$2:H672, "Inconclusive")
</f>
        <v>0</v>
      </c>
      <c r="AM60" s="55">
        <f>COUNTIFS('APS Tubes Import'!V$2:V672, AG60, 'APS Tubes Import'!H$2:H672, "Null")
</f>
        <v>0</v>
      </c>
      <c r="AN60" s="40"/>
      <c r="AO60" s="11">
        <f>'APS Tubes by Date Import'!B59</f>
        <v>44749</v>
      </c>
      <c r="AP60" s="50">
        <f>'APS Tubes by Date Import'!D59</f>
        <v>34</v>
      </c>
      <c r="AQ60" s="50">
        <f>'APS Tubes by Date Import'!E59</f>
        <v>0</v>
      </c>
      <c r="AR60" s="50">
        <f>'APS Tubes by Date Import'!F59</f>
        <v>0</v>
      </c>
      <c r="AS60" s="50">
        <f>'APS Tubes by Date Import'!G59</f>
        <v>0</v>
      </c>
      <c r="AT60" s="50">
        <f>'APS Tubes by Date Import'!G59</f>
        <v>0</v>
      </c>
      <c r="AU60" s="40"/>
    </row>
    <row r="61">
      <c r="A61" s="6" t="s">
        <v>86</v>
      </c>
      <c r="B61" s="43">
        <f>VLOOKUP(A61,'Run Reconcile'!A$2:B672,2,FALSE)</f>
        <v>44747</v>
      </c>
      <c r="C61" s="44">
        <f>COUNTIF('ALL Tube Results'!B60:B672, A61)
</f>
        <v>19</v>
      </c>
      <c r="D61" s="45">
        <f>COUNTIFS('ALL Tube Results'!$B60:$B672, $A61, 'ALL Tube Results'!$F60:$F672, "Negative")
</f>
        <v>19</v>
      </c>
      <c r="E61" s="45">
        <f>COUNTIFS('ALL Tube Results'!$B60:$B672, $A61, 'ALL Tube Results'!$F60:$F672, "Positive")
</f>
        <v>0</v>
      </c>
      <c r="F61" s="45">
        <f>COUNTIFS('ALL Tube Results'!$B60:$B672, $A61, 'ALL Tube Results'!$F60:$F672, "Inconclusive")
</f>
        <v>0</v>
      </c>
      <c r="G61" s="46">
        <f t="shared" si="7"/>
        <v>19</v>
      </c>
      <c r="H61" s="46" t="str">
        <f t="shared" si="8"/>
        <v/>
      </c>
      <c r="I61" s="47">
        <f t="shared" si="9"/>
        <v>19</v>
      </c>
      <c r="J61" s="47">
        <f t="shared" si="10"/>
        <v>0</v>
      </c>
      <c r="K61" s="47">
        <f t="shared" si="11"/>
        <v>0</v>
      </c>
      <c r="L61" s="47" t="str">
        <f t="shared" si="12"/>
        <v/>
      </c>
      <c r="M61" s="47" t="str">
        <f t="shared" si="13"/>
        <v/>
      </c>
      <c r="N61" s="47" t="str">
        <f t="shared" si="14"/>
        <v/>
      </c>
      <c r="O61" s="48">
        <f t="shared" si="15"/>
        <v>19</v>
      </c>
      <c r="P61" s="48" t="str">
        <f t="shared" si="16"/>
        <v/>
      </c>
      <c r="Q61" s="40"/>
      <c r="R61" s="6" t="s">
        <v>86</v>
      </c>
      <c r="S61" s="11">
        <v>44747.0</v>
      </c>
      <c r="T61" s="50">
        <f>VLOOKUP(R61,'Run Reconcile'!$A$2:$M672,13,FALSE)</f>
        <v>19</v>
      </c>
      <c r="U61" s="51" t="str">
        <f t="shared" si="17"/>
        <v/>
      </c>
      <c r="V61" s="50"/>
      <c r="W61" s="50"/>
      <c r="X61" s="40"/>
      <c r="Y61" s="6" t="str">
        <f>IFERROR(__xludf.DUMMYFUNCTION("""COMPUTED_VALUE"""),"RUN-COMB_2022-07-06_RFR-072")</f>
        <v>RUN-COMB_2022-07-06_RFR-072</v>
      </c>
      <c r="Z61" s="11">
        <f>IFERROR(__xludf.DUMMYFUNCTION("""COMPUTED_VALUE"""),44748.0)</f>
        <v>44748</v>
      </c>
      <c r="AA61" s="47">
        <f t="array" ref="AA61">INDEX('RFR Data - preExcl'!AK$2:AK672,$AE61,1)</f>
        <v>17</v>
      </c>
      <c r="AB61" s="50">
        <f t="shared" si="18"/>
        <v>17</v>
      </c>
      <c r="AC61" s="50">
        <f t="array" ref="AC61">INDEX('RFR Data - preExcl'!AI$2:AI672,$AE61,1)</f>
        <v>0</v>
      </c>
      <c r="AD61" s="50">
        <f t="array" ref="AD61">INDEX('RFR Data - preExcl'!AF$2:AF672,$AE61,1)</f>
        <v>0</v>
      </c>
      <c r="AE61" s="52">
        <f>IFNA(MATCH(Y61,'RFR Data - preExcl'!A$2:A672,0),"")</f>
        <v>72</v>
      </c>
      <c r="AF61" s="40"/>
      <c r="AG61" s="56" t="s">
        <v>88</v>
      </c>
      <c r="AH61" s="54">
        <f>VLOOKUP(AG61,'Run Reconcile'!A$2:B672,2,FALSE)</f>
        <v>44749</v>
      </c>
      <c r="AI61" s="55">
        <f>COUNTIF('APS Tubes Import'!$V$2:$V672, AG61)
</f>
        <v>34</v>
      </c>
      <c r="AJ61" s="55">
        <f>COUNTIFS('APS Tubes Import'!V$2:V672, AG61, 'APS Tubes Import'!H$2:H672, "Negative")
</f>
        <v>34</v>
      </c>
      <c r="AK61" s="55">
        <f>COUNTIFS('APS Tubes Import'!V$2:V672, AG61, 'APS Tubes Import'!H$2:H672, "Positive")
</f>
        <v>0</v>
      </c>
      <c r="AL61" s="55">
        <f>COUNTIFS('APS Tubes Import'!V$2:V672, AG61, 'APS Tubes Import'!H$2:H672, "Inconclusive")
</f>
        <v>0</v>
      </c>
      <c r="AM61" s="55">
        <f>COUNTIFS('APS Tubes Import'!V$2:V672, AG61, 'APS Tubes Import'!H$2:H672, "Null")
</f>
        <v>0</v>
      </c>
      <c r="AN61" s="40"/>
      <c r="AO61" s="11">
        <f>'APS Tubes by Date Import'!B60</f>
        <v>44750</v>
      </c>
      <c r="AP61" s="50">
        <f>'APS Tubes by Date Import'!D60</f>
        <v>25</v>
      </c>
      <c r="AQ61" s="50">
        <f>'APS Tubes by Date Import'!E60</f>
        <v>0</v>
      </c>
      <c r="AR61" s="50">
        <f>'APS Tubes by Date Import'!F60</f>
        <v>0</v>
      </c>
      <c r="AS61" s="50">
        <f>'APS Tubes by Date Import'!G60</f>
        <v>0</v>
      </c>
      <c r="AT61" s="50">
        <f>'APS Tubes by Date Import'!G60</f>
        <v>0</v>
      </c>
      <c r="AU61" s="40"/>
    </row>
    <row r="62">
      <c r="A62" s="6" t="s">
        <v>87</v>
      </c>
      <c r="B62" s="43">
        <f>VLOOKUP(A62,'Run Reconcile'!A$2:B672,2,FALSE)</f>
        <v>44748</v>
      </c>
      <c r="C62" s="44">
        <f>COUNTIF('ALL Tube Results'!B61:B672, A62)
</f>
        <v>17</v>
      </c>
      <c r="D62" s="45">
        <f>COUNTIFS('ALL Tube Results'!$B61:$B672, $A62, 'ALL Tube Results'!$F61:$F672, "Negative")
</f>
        <v>17</v>
      </c>
      <c r="E62" s="45">
        <f>COUNTIFS('ALL Tube Results'!$B61:$B672, $A62, 'ALL Tube Results'!$F61:$F672, "Positive")
</f>
        <v>0</v>
      </c>
      <c r="F62" s="45">
        <f>COUNTIFS('ALL Tube Results'!$B61:$B672, $A62, 'ALL Tube Results'!$F61:$F672, "Inconclusive")
</f>
        <v>0</v>
      </c>
      <c r="G62" s="46">
        <f t="shared" si="7"/>
        <v>17</v>
      </c>
      <c r="H62" s="46" t="str">
        <f t="shared" si="8"/>
        <v/>
      </c>
      <c r="I62" s="47">
        <f t="shared" si="9"/>
        <v>17</v>
      </c>
      <c r="J62" s="47">
        <f t="shared" si="10"/>
        <v>0</v>
      </c>
      <c r="K62" s="47">
        <f t="shared" si="11"/>
        <v>0</v>
      </c>
      <c r="L62" s="47" t="str">
        <f t="shared" si="12"/>
        <v/>
      </c>
      <c r="M62" s="47" t="str">
        <f t="shared" si="13"/>
        <v/>
      </c>
      <c r="N62" s="47" t="str">
        <f t="shared" si="14"/>
        <v/>
      </c>
      <c r="O62" s="48">
        <f t="shared" si="15"/>
        <v>17</v>
      </c>
      <c r="P62" s="48" t="str">
        <f t="shared" si="16"/>
        <v/>
      </c>
      <c r="Q62" s="40"/>
      <c r="R62" s="6" t="s">
        <v>87</v>
      </c>
      <c r="S62" s="11">
        <v>44748.0</v>
      </c>
      <c r="T62" s="50">
        <f>VLOOKUP(R62,'Run Reconcile'!$A$2:$M672,13,FALSE)</f>
        <v>17</v>
      </c>
      <c r="U62" s="51" t="str">
        <f t="shared" si="17"/>
        <v/>
      </c>
      <c r="V62" s="50"/>
      <c r="W62" s="50"/>
      <c r="X62" s="40"/>
      <c r="Y62" s="6" t="str">
        <f>IFERROR(__xludf.DUMMYFUNCTION("""COMPUTED_VALUE"""),"RUN-COMB_2022-07-08_RFR-074")</f>
        <v>RUN-COMB_2022-07-08_RFR-074</v>
      </c>
      <c r="Z62" s="11">
        <f>IFERROR(__xludf.DUMMYFUNCTION("""COMPUTED_VALUE"""),44750.0)</f>
        <v>44750</v>
      </c>
      <c r="AA62" s="47">
        <f t="array" ref="AA62">INDEX('RFR Data - preExcl'!AK$2:AK672,$AE62,1)</f>
        <v>26</v>
      </c>
      <c r="AB62" s="50">
        <f t="shared" si="18"/>
        <v>26</v>
      </c>
      <c r="AC62" s="50">
        <f t="array" ref="AC62">INDEX('RFR Data - preExcl'!AI$2:AI672,$AE62,1)</f>
        <v>0</v>
      </c>
      <c r="AD62" s="50">
        <f t="array" ref="AD62">INDEX('RFR Data - preExcl'!AF$2:AF672,$AE62,1)</f>
        <v>0</v>
      </c>
      <c r="AE62" s="52">
        <f>IFNA(MATCH(Y62,'RFR Data - preExcl'!A$2:A672,0),"")</f>
        <v>74</v>
      </c>
      <c r="AF62" s="40"/>
      <c r="AG62" s="56" t="s">
        <v>89</v>
      </c>
      <c r="AH62" s="54">
        <f>VLOOKUP(AG62,'Run Reconcile'!A$2:B672,2,FALSE)</f>
        <v>44750</v>
      </c>
      <c r="AI62" s="55">
        <f>COUNTIF('APS Tubes Import'!$V$2:$V672, AG62)
</f>
        <v>25</v>
      </c>
      <c r="AJ62" s="55">
        <f>COUNTIFS('APS Tubes Import'!V$2:V672, AG62, 'APS Tubes Import'!H$2:H672, "Negative")
</f>
        <v>25</v>
      </c>
      <c r="AK62" s="55">
        <f>COUNTIFS('APS Tubes Import'!V$2:V672, AG62, 'APS Tubes Import'!H$2:H672, "Positive")
</f>
        <v>0</v>
      </c>
      <c r="AL62" s="55">
        <f>COUNTIFS('APS Tubes Import'!V$2:V672, AG62, 'APS Tubes Import'!H$2:H672, "Inconclusive")
</f>
        <v>0</v>
      </c>
      <c r="AM62" s="55">
        <f>COUNTIFS('APS Tubes Import'!V$2:V672, AG62, 'APS Tubes Import'!H$2:H672, "Null")
</f>
        <v>0</v>
      </c>
      <c r="AN62" s="40"/>
      <c r="AO62" s="11">
        <f>'APS Tubes by Date Import'!B61</f>
        <v>44753</v>
      </c>
      <c r="AP62" s="50">
        <f>'APS Tubes by Date Import'!D61</f>
        <v>27</v>
      </c>
      <c r="AQ62" s="50">
        <f>'APS Tubes by Date Import'!E61</f>
        <v>0</v>
      </c>
      <c r="AR62" s="50">
        <f>'APS Tubes by Date Import'!F61</f>
        <v>0</v>
      </c>
      <c r="AS62" s="50">
        <f>'APS Tubes by Date Import'!G61</f>
        <v>0</v>
      </c>
      <c r="AT62" s="50">
        <f>'APS Tubes by Date Import'!G61</f>
        <v>0</v>
      </c>
      <c r="AU62" s="40"/>
    </row>
    <row r="63">
      <c r="A63" s="6" t="s">
        <v>88</v>
      </c>
      <c r="B63" s="43">
        <f>VLOOKUP(A63,'Run Reconcile'!A$2:B672,2,FALSE)</f>
        <v>44749</v>
      </c>
      <c r="C63" s="44">
        <f>COUNTIF('ALL Tube Results'!B62:B672, A63)
</f>
        <v>34</v>
      </c>
      <c r="D63" s="45">
        <f>COUNTIFS('ALL Tube Results'!$B62:$B672, $A63, 'ALL Tube Results'!$F62:$F672, "Negative")
</f>
        <v>34</v>
      </c>
      <c r="E63" s="45">
        <f>COUNTIFS('ALL Tube Results'!$B62:$B672, $A63, 'ALL Tube Results'!$F62:$F672, "Positive")
</f>
        <v>0</v>
      </c>
      <c r="F63" s="45">
        <f>COUNTIFS('ALL Tube Results'!$B62:$B672, $A63, 'ALL Tube Results'!$F62:$F672, "Inconclusive")
</f>
        <v>0</v>
      </c>
      <c r="G63" s="46">
        <f t="shared" si="7"/>
        <v>34</v>
      </c>
      <c r="H63" s="46" t="str">
        <f t="shared" si="8"/>
        <v/>
      </c>
      <c r="I63" s="47" t="str">
        <f t="shared" si="9"/>
        <v/>
      </c>
      <c r="J63" s="47" t="str">
        <f t="shared" si="10"/>
        <v/>
      </c>
      <c r="K63" s="47" t="str">
        <f t="shared" si="11"/>
        <v/>
      </c>
      <c r="L63" s="47">
        <f t="shared" si="12"/>
        <v>34</v>
      </c>
      <c r="M63" s="47" t="str">
        <f t="shared" si="13"/>
        <v/>
      </c>
      <c r="N63" s="47" t="str">
        <f t="shared" si="14"/>
        <v/>
      </c>
      <c r="O63" s="48">
        <f t="shared" si="15"/>
        <v>34</v>
      </c>
      <c r="P63" s="48" t="str">
        <f t="shared" si="16"/>
        <v/>
      </c>
      <c r="Q63" s="40"/>
      <c r="R63" s="6" t="s">
        <v>88</v>
      </c>
      <c r="S63" s="11">
        <v>44749.0</v>
      </c>
      <c r="T63" s="50">
        <f>VLOOKUP(R63,'Run Reconcile'!$A$2:$M672,13,FALSE)</f>
        <v>34</v>
      </c>
      <c r="U63" s="51" t="str">
        <f t="shared" si="17"/>
        <v/>
      </c>
      <c r="V63" s="50"/>
      <c r="W63" s="50"/>
      <c r="X63" s="40"/>
      <c r="Y63" s="6" t="str">
        <f>IFERROR(__xludf.DUMMYFUNCTION("""COMPUTED_VALUE"""),"RUN-COMB_2022-07-11_RFR-075")</f>
        <v>RUN-COMB_2022-07-11_RFR-075</v>
      </c>
      <c r="Z63" s="11">
        <f>IFERROR(__xludf.DUMMYFUNCTION("""COMPUTED_VALUE"""),44753.0)</f>
        <v>44753</v>
      </c>
      <c r="AA63" s="47">
        <f t="array" ref="AA63">INDEX('RFR Data - preExcl'!AK$2:AK672,$AE63,1)</f>
        <v>27</v>
      </c>
      <c r="AB63" s="50">
        <f t="shared" si="18"/>
        <v>27</v>
      </c>
      <c r="AC63" s="50">
        <f t="array" ref="AC63">INDEX('RFR Data - preExcl'!AI$2:AI672,$AE63,1)</f>
        <v>0</v>
      </c>
      <c r="AD63" s="50">
        <f t="array" ref="AD63">INDEX('RFR Data - preExcl'!AF$2:AF672,$AE63,1)</f>
        <v>0</v>
      </c>
      <c r="AE63" s="52">
        <f>IFNA(MATCH(Y63,'RFR Data - preExcl'!A$2:A672,0),"")</f>
        <v>75</v>
      </c>
      <c r="AF63" s="40"/>
      <c r="AG63" s="56" t="s">
        <v>90</v>
      </c>
      <c r="AH63" s="54">
        <f>VLOOKUP(AG63,'Run Reconcile'!A$2:B672,2,FALSE)</f>
        <v>44753</v>
      </c>
      <c r="AI63" s="55">
        <f>COUNTIF('APS Tubes Import'!$V$2:$V672, AG63)
</f>
        <v>27</v>
      </c>
      <c r="AJ63" s="55">
        <f>COUNTIFS('APS Tubes Import'!V$2:V672, AG63, 'APS Tubes Import'!H$2:H672, "Negative")
</f>
        <v>27</v>
      </c>
      <c r="AK63" s="55">
        <f>COUNTIFS('APS Tubes Import'!V$2:V672, AG63, 'APS Tubes Import'!H$2:H672, "Positive")
</f>
        <v>0</v>
      </c>
      <c r="AL63" s="55">
        <f>COUNTIFS('APS Tubes Import'!V$2:V672, AG63, 'APS Tubes Import'!H$2:H672, "Inconclusive")
</f>
        <v>0</v>
      </c>
      <c r="AM63" s="55">
        <f>COUNTIFS('APS Tubes Import'!V$2:V672, AG63, 'APS Tubes Import'!H$2:H672, "Null")
</f>
        <v>0</v>
      </c>
      <c r="AN63" s="40"/>
      <c r="AO63" s="11">
        <f>'APS Tubes by Date Import'!B62</f>
        <v>44754</v>
      </c>
      <c r="AP63" s="50">
        <f>'APS Tubes by Date Import'!D62</f>
        <v>19</v>
      </c>
      <c r="AQ63" s="50">
        <f>'APS Tubes by Date Import'!E62</f>
        <v>0</v>
      </c>
      <c r="AR63" s="50">
        <f>'APS Tubes by Date Import'!F62</f>
        <v>0</v>
      </c>
      <c r="AS63" s="50">
        <f>'APS Tubes by Date Import'!G62</f>
        <v>0</v>
      </c>
      <c r="AT63" s="50">
        <f>'APS Tubes by Date Import'!G62</f>
        <v>0</v>
      </c>
      <c r="AU63" s="40"/>
    </row>
    <row r="64">
      <c r="A64" s="6" t="s">
        <v>89</v>
      </c>
      <c r="B64" s="43">
        <f>VLOOKUP(A64,'Run Reconcile'!A$2:B672,2,FALSE)</f>
        <v>44750</v>
      </c>
      <c r="C64" s="44">
        <f>COUNTIF('ALL Tube Results'!B63:B672, A64)
</f>
        <v>26</v>
      </c>
      <c r="D64" s="45">
        <f>COUNTIFS('ALL Tube Results'!$B63:$B672, $A64, 'ALL Tube Results'!$F63:$F672, "Negative")
</f>
        <v>26</v>
      </c>
      <c r="E64" s="45">
        <f>COUNTIFS('ALL Tube Results'!$B63:$B672, $A64, 'ALL Tube Results'!$F63:$F672, "Positive")
</f>
        <v>0</v>
      </c>
      <c r="F64" s="45">
        <f>COUNTIFS('ALL Tube Results'!$B63:$B672, $A64, 'ALL Tube Results'!$F63:$F672, "Inconclusive")
</f>
        <v>0</v>
      </c>
      <c r="G64" s="46">
        <f t="shared" si="7"/>
        <v>26</v>
      </c>
      <c r="H64" s="46" t="str">
        <f t="shared" si="8"/>
        <v/>
      </c>
      <c r="I64" s="47">
        <f t="shared" si="9"/>
        <v>26</v>
      </c>
      <c r="J64" s="47">
        <f t="shared" si="10"/>
        <v>0</v>
      </c>
      <c r="K64" s="47">
        <f t="shared" si="11"/>
        <v>0</v>
      </c>
      <c r="L64" s="47" t="str">
        <f t="shared" si="12"/>
        <v/>
      </c>
      <c r="M64" s="47" t="str">
        <f t="shared" si="13"/>
        <v/>
      </c>
      <c r="N64" s="47" t="str">
        <f t="shared" si="14"/>
        <v/>
      </c>
      <c r="O64" s="48">
        <f t="shared" si="15"/>
        <v>25</v>
      </c>
      <c r="P64" s="48">
        <f t="shared" si="16"/>
        <v>1</v>
      </c>
      <c r="Q64" s="40"/>
      <c r="R64" s="6" t="s">
        <v>89</v>
      </c>
      <c r="S64" s="11">
        <v>44750.0</v>
      </c>
      <c r="T64" s="50">
        <f>VLOOKUP(R64,'Run Reconcile'!$A$2:$M672,13,FALSE)</f>
        <v>26</v>
      </c>
      <c r="U64" s="51" t="str">
        <f t="shared" si="17"/>
        <v/>
      </c>
      <c r="V64" s="50"/>
      <c r="W64" s="50"/>
      <c r="X64" s="40"/>
      <c r="Y64" s="6" t="str">
        <f>IFERROR(__xludf.DUMMYFUNCTION("""COMPUTED_VALUE"""),"RUN-COMB_2022-07-12_RFR-076")</f>
        <v>RUN-COMB_2022-07-12_RFR-076</v>
      </c>
      <c r="Z64" s="11">
        <f>IFERROR(__xludf.DUMMYFUNCTION("""COMPUTED_VALUE"""),44754.0)</f>
        <v>44754</v>
      </c>
      <c r="AA64" s="47">
        <f t="array" ref="AA64">INDEX('RFR Data - preExcl'!AK$2:AK672,$AE64,1)</f>
        <v>19</v>
      </c>
      <c r="AB64" s="50">
        <f t="shared" si="18"/>
        <v>19</v>
      </c>
      <c r="AC64" s="50">
        <f t="array" ref="AC64">INDEX('RFR Data - preExcl'!AI$2:AI672,$AE64,1)</f>
        <v>0</v>
      </c>
      <c r="AD64" s="50">
        <f t="array" ref="AD64">INDEX('RFR Data - preExcl'!AF$2:AF672,$AE64,1)</f>
        <v>0</v>
      </c>
      <c r="AE64" s="52">
        <f>IFNA(MATCH(Y64,'RFR Data - preExcl'!A$2:A672,0),"")</f>
        <v>76</v>
      </c>
      <c r="AF64" s="40"/>
      <c r="AG64" s="56" t="s">
        <v>91</v>
      </c>
      <c r="AH64" s="54">
        <f>VLOOKUP(AG64,'Run Reconcile'!A$2:B672,2,FALSE)</f>
        <v>44754</v>
      </c>
      <c r="AI64" s="55">
        <f>COUNTIF('APS Tubes Import'!$V$2:$V672, AG64)
</f>
        <v>19</v>
      </c>
      <c r="AJ64" s="55">
        <f>COUNTIFS('APS Tubes Import'!V$2:V672, AG64, 'APS Tubes Import'!H$2:H672, "Negative")
</f>
        <v>19</v>
      </c>
      <c r="AK64" s="55">
        <f>COUNTIFS('APS Tubes Import'!V$2:V672, AG64, 'APS Tubes Import'!H$2:H672, "Positive")
</f>
        <v>0</v>
      </c>
      <c r="AL64" s="55">
        <f>COUNTIFS('APS Tubes Import'!V$2:V672, AG64, 'APS Tubes Import'!H$2:H672, "Inconclusive")
</f>
        <v>0</v>
      </c>
      <c r="AM64" s="55">
        <f>COUNTIFS('APS Tubes Import'!V$2:V672, AG64, 'APS Tubes Import'!H$2:H672, "Null")
</f>
        <v>0</v>
      </c>
      <c r="AN64" s="40"/>
      <c r="AO64" s="11">
        <f>'APS Tubes by Date Import'!B63</f>
        <v>44755</v>
      </c>
      <c r="AP64" s="50">
        <f>'APS Tubes by Date Import'!D63</f>
        <v>17</v>
      </c>
      <c r="AQ64" s="50">
        <f>'APS Tubes by Date Import'!E63</f>
        <v>0</v>
      </c>
      <c r="AR64" s="50">
        <f>'APS Tubes by Date Import'!F63</f>
        <v>0</v>
      </c>
      <c r="AS64" s="50">
        <f>'APS Tubes by Date Import'!G63</f>
        <v>0</v>
      </c>
      <c r="AT64" s="50">
        <f>'APS Tubes by Date Import'!G63</f>
        <v>0</v>
      </c>
      <c r="AU64" s="40"/>
    </row>
    <row r="65">
      <c r="A65" s="6" t="s">
        <v>90</v>
      </c>
      <c r="B65" s="43">
        <f>VLOOKUP(A65,'Run Reconcile'!A$2:B672,2,FALSE)</f>
        <v>44753</v>
      </c>
      <c r="C65" s="44">
        <f>COUNTIF('ALL Tube Results'!B64:B672, A65)
</f>
        <v>27</v>
      </c>
      <c r="D65" s="45">
        <f>COUNTIFS('ALL Tube Results'!$B64:$B672, $A65, 'ALL Tube Results'!$F64:$F672, "Negative")
</f>
        <v>27</v>
      </c>
      <c r="E65" s="45">
        <f>COUNTIFS('ALL Tube Results'!$B64:$B672, $A65, 'ALL Tube Results'!$F64:$F672, "Positive")
</f>
        <v>0</v>
      </c>
      <c r="F65" s="45">
        <f>COUNTIFS('ALL Tube Results'!$B64:$B672, $A65, 'ALL Tube Results'!$F64:$F672, "Inconclusive")
</f>
        <v>0</v>
      </c>
      <c r="G65" s="46">
        <f t="shared" si="7"/>
        <v>27</v>
      </c>
      <c r="H65" s="46" t="str">
        <f t="shared" si="8"/>
        <v/>
      </c>
      <c r="I65" s="47">
        <f t="shared" si="9"/>
        <v>27</v>
      </c>
      <c r="J65" s="47">
        <f t="shared" si="10"/>
        <v>0</v>
      </c>
      <c r="K65" s="47">
        <f t="shared" si="11"/>
        <v>0</v>
      </c>
      <c r="L65" s="47" t="str">
        <f t="shared" si="12"/>
        <v/>
      </c>
      <c r="M65" s="47" t="str">
        <f t="shared" si="13"/>
        <v/>
      </c>
      <c r="N65" s="47" t="str">
        <f t="shared" si="14"/>
        <v/>
      </c>
      <c r="O65" s="48">
        <f t="shared" si="15"/>
        <v>27</v>
      </c>
      <c r="P65" s="48" t="str">
        <f t="shared" si="16"/>
        <v/>
      </c>
      <c r="Q65" s="40"/>
      <c r="R65" s="6" t="s">
        <v>90</v>
      </c>
      <c r="S65" s="11">
        <v>44753.0</v>
      </c>
      <c r="T65" s="50">
        <f>VLOOKUP(R65,'Run Reconcile'!$A$2:$M672,13,FALSE)</f>
        <v>27</v>
      </c>
      <c r="U65" s="51" t="str">
        <f t="shared" si="17"/>
        <v/>
      </c>
      <c r="V65" s="50"/>
      <c r="W65" s="50"/>
      <c r="X65" s="40"/>
      <c r="Y65" s="6" t="str">
        <f>IFERROR(__xludf.DUMMYFUNCTION("""COMPUTED_VALUE"""),"RUN-COMB_2022-07-13_RFR-077")</f>
        <v>RUN-COMB_2022-07-13_RFR-077</v>
      </c>
      <c r="Z65" s="11">
        <f>IFERROR(__xludf.DUMMYFUNCTION("""COMPUTED_VALUE"""),44755.0)</f>
        <v>44755</v>
      </c>
      <c r="AA65" s="47">
        <f t="array" ref="AA65">INDEX('RFR Data - preExcl'!AK$2:AK672,$AE65,1)</f>
        <v>17</v>
      </c>
      <c r="AB65" s="50">
        <f t="shared" si="18"/>
        <v>17</v>
      </c>
      <c r="AC65" s="50">
        <f t="array" ref="AC65">INDEX('RFR Data - preExcl'!AI$2:AI672,$AE65,1)</f>
        <v>0</v>
      </c>
      <c r="AD65" s="50">
        <f t="array" ref="AD65">INDEX('RFR Data - preExcl'!AF$2:AF672,$AE65,1)</f>
        <v>0</v>
      </c>
      <c r="AE65" s="52">
        <f>IFNA(MATCH(Y65,'RFR Data - preExcl'!A$2:A672,0),"")</f>
        <v>77</v>
      </c>
      <c r="AF65" s="40"/>
      <c r="AG65" s="56" t="s">
        <v>92</v>
      </c>
      <c r="AH65" s="54">
        <f>VLOOKUP(AG65,'Run Reconcile'!A$2:B672,2,FALSE)</f>
        <v>44755</v>
      </c>
      <c r="AI65" s="55">
        <f>COUNTIF('APS Tubes Import'!$V$2:$V672, AG65)
</f>
        <v>17</v>
      </c>
      <c r="AJ65" s="55">
        <f>COUNTIFS('APS Tubes Import'!V$2:V672, AG65, 'APS Tubes Import'!H$2:H672, "Negative")
</f>
        <v>17</v>
      </c>
      <c r="AK65" s="55">
        <f>COUNTIFS('APS Tubes Import'!V$2:V672, AG65, 'APS Tubes Import'!H$2:H672, "Positive")
</f>
        <v>0</v>
      </c>
      <c r="AL65" s="55">
        <f>COUNTIFS('APS Tubes Import'!V$2:V672, AG65, 'APS Tubes Import'!H$2:H672, "Inconclusive")
</f>
        <v>0</v>
      </c>
      <c r="AM65" s="55">
        <f>COUNTIFS('APS Tubes Import'!V$2:V672, AG65, 'APS Tubes Import'!H$2:H672, "Null")
</f>
        <v>0</v>
      </c>
      <c r="AN65" s="40"/>
      <c r="AO65" s="11">
        <f>'APS Tubes by Date Import'!B64</f>
        <v>44756</v>
      </c>
      <c r="AP65" s="50">
        <f>'APS Tubes by Date Import'!D64</f>
        <v>36</v>
      </c>
      <c r="AQ65" s="50">
        <f>'APS Tubes by Date Import'!E64</f>
        <v>0</v>
      </c>
      <c r="AR65" s="50">
        <f>'APS Tubes by Date Import'!F64</f>
        <v>0</v>
      </c>
      <c r="AS65" s="50">
        <f>'APS Tubes by Date Import'!G64</f>
        <v>0</v>
      </c>
      <c r="AT65" s="50">
        <f>'APS Tubes by Date Import'!G64</f>
        <v>0</v>
      </c>
      <c r="AU65" s="40"/>
    </row>
    <row r="66">
      <c r="A66" s="6" t="s">
        <v>91</v>
      </c>
      <c r="B66" s="43">
        <f>VLOOKUP(A66,'Run Reconcile'!A$2:B672,2,FALSE)</f>
        <v>44754</v>
      </c>
      <c r="C66" s="44">
        <f>COUNTIF('ALL Tube Results'!B65:B672, A66)
</f>
        <v>19</v>
      </c>
      <c r="D66" s="45">
        <f>COUNTIFS('ALL Tube Results'!$B65:$B672, $A66, 'ALL Tube Results'!$F65:$F672, "Negative")
</f>
        <v>19</v>
      </c>
      <c r="E66" s="45">
        <f>COUNTIFS('ALL Tube Results'!$B65:$B672, $A66, 'ALL Tube Results'!$F65:$F672, "Positive")
</f>
        <v>0</v>
      </c>
      <c r="F66" s="45">
        <f>COUNTIFS('ALL Tube Results'!$B65:$B672, $A66, 'ALL Tube Results'!$F65:$F672, "Inconclusive")
</f>
        <v>0</v>
      </c>
      <c r="G66" s="46">
        <f t="shared" si="7"/>
        <v>19</v>
      </c>
      <c r="H66" s="46" t="str">
        <f t="shared" si="8"/>
        <v/>
      </c>
      <c r="I66" s="47">
        <f t="shared" si="9"/>
        <v>19</v>
      </c>
      <c r="J66" s="47">
        <f t="shared" si="10"/>
        <v>0</v>
      </c>
      <c r="K66" s="47">
        <f t="shared" si="11"/>
        <v>0</v>
      </c>
      <c r="L66" s="47" t="str">
        <f t="shared" si="12"/>
        <v/>
      </c>
      <c r="M66" s="47" t="str">
        <f t="shared" si="13"/>
        <v/>
      </c>
      <c r="N66" s="47" t="str">
        <f t="shared" si="14"/>
        <v/>
      </c>
      <c r="O66" s="48">
        <f t="shared" si="15"/>
        <v>19</v>
      </c>
      <c r="P66" s="48" t="str">
        <f t="shared" si="16"/>
        <v/>
      </c>
      <c r="Q66" s="40"/>
      <c r="R66" s="6" t="s">
        <v>91</v>
      </c>
      <c r="S66" s="11">
        <v>44754.0</v>
      </c>
      <c r="T66" s="50">
        <f>VLOOKUP(R66,'Run Reconcile'!$A$2:$M672,13,FALSE)</f>
        <v>19</v>
      </c>
      <c r="U66" s="51" t="str">
        <f t="shared" si="17"/>
        <v/>
      </c>
      <c r="V66" s="50"/>
      <c r="W66" s="50"/>
      <c r="X66" s="40"/>
      <c r="Y66" s="6" t="str">
        <f>IFERROR(__xludf.DUMMYFUNCTION("""COMPUTED_VALUE"""),"RUN-COMB_2022-07-14_RFR-078")</f>
        <v>RUN-COMB_2022-07-14_RFR-078</v>
      </c>
      <c r="Z66" s="11">
        <f>IFERROR(__xludf.DUMMYFUNCTION("""COMPUTED_VALUE"""),44756.0)</f>
        <v>44756</v>
      </c>
      <c r="AA66" s="47">
        <f t="array" ref="AA66">INDEX('RFR Data - preExcl'!AK$2:AK672,$AE66,1)</f>
        <v>36</v>
      </c>
      <c r="AB66" s="50">
        <f t="shared" si="18"/>
        <v>36</v>
      </c>
      <c r="AC66" s="50">
        <f t="array" ref="AC66">INDEX('RFR Data - preExcl'!AI$2:AI672,$AE66,1)</f>
        <v>0</v>
      </c>
      <c r="AD66" s="50">
        <f t="array" ref="AD66">INDEX('RFR Data - preExcl'!AF$2:AF672,$AE66,1)</f>
        <v>0</v>
      </c>
      <c r="AE66" s="52">
        <f>IFNA(MATCH(Y66,'RFR Data - preExcl'!A$2:A672,0),"")</f>
        <v>78</v>
      </c>
      <c r="AF66" s="40"/>
      <c r="AG66" s="56" t="s">
        <v>93</v>
      </c>
      <c r="AH66" s="54">
        <f>VLOOKUP(AG66,'Run Reconcile'!A$2:B672,2,FALSE)</f>
        <v>44756</v>
      </c>
      <c r="AI66" s="55">
        <f>COUNTIF('APS Tubes Import'!$V$2:$V672, AG66)
</f>
        <v>36</v>
      </c>
      <c r="AJ66" s="55">
        <f>COUNTIFS('APS Tubes Import'!V$2:V672, AG66, 'APS Tubes Import'!H$2:H672, "Negative")
</f>
        <v>36</v>
      </c>
      <c r="AK66" s="55">
        <f>COUNTIFS('APS Tubes Import'!V$2:V672, AG66, 'APS Tubes Import'!H$2:H672, "Positive")
</f>
        <v>0</v>
      </c>
      <c r="AL66" s="55">
        <f>COUNTIFS('APS Tubes Import'!V$2:V672, AG66, 'APS Tubes Import'!H$2:H672, "Inconclusive")
</f>
        <v>0</v>
      </c>
      <c r="AM66" s="55">
        <f>COUNTIFS('APS Tubes Import'!V$2:V672, AG66, 'APS Tubes Import'!H$2:H672, "Null")
</f>
        <v>0</v>
      </c>
      <c r="AN66" s="40"/>
      <c r="AO66" s="11">
        <f>'APS Tubes by Date Import'!B65</f>
        <v>44757</v>
      </c>
      <c r="AP66" s="50">
        <f>'APS Tubes by Date Import'!D65</f>
        <v>23</v>
      </c>
      <c r="AQ66" s="50">
        <f>'APS Tubes by Date Import'!E65</f>
        <v>0</v>
      </c>
      <c r="AR66" s="50">
        <f>'APS Tubes by Date Import'!F65</f>
        <v>0</v>
      </c>
      <c r="AS66" s="50">
        <f>'APS Tubes by Date Import'!G65</f>
        <v>0</v>
      </c>
      <c r="AT66" s="50">
        <f>'APS Tubes by Date Import'!G65</f>
        <v>0</v>
      </c>
      <c r="AU66" s="40"/>
    </row>
    <row r="67">
      <c r="A67" s="6" t="s">
        <v>92</v>
      </c>
      <c r="B67" s="43">
        <f>VLOOKUP(A67,'Run Reconcile'!A$2:B672,2,FALSE)</f>
        <v>44755</v>
      </c>
      <c r="C67" s="44">
        <f>COUNTIF('ALL Tube Results'!B66:B672, A67)
</f>
        <v>17</v>
      </c>
      <c r="D67" s="45">
        <f>COUNTIFS('ALL Tube Results'!$B66:$B672, $A67, 'ALL Tube Results'!$F66:$F672, "Negative")
</f>
        <v>17</v>
      </c>
      <c r="E67" s="45">
        <f>COUNTIFS('ALL Tube Results'!$B66:$B672, $A67, 'ALL Tube Results'!$F66:$F672, "Positive")
</f>
        <v>0</v>
      </c>
      <c r="F67" s="45">
        <f>COUNTIFS('ALL Tube Results'!$B66:$B672, $A67, 'ALL Tube Results'!$F66:$F672, "Inconclusive")
</f>
        <v>0</v>
      </c>
      <c r="G67" s="46">
        <f t="shared" si="7"/>
        <v>17</v>
      </c>
      <c r="H67" s="46" t="str">
        <f t="shared" si="8"/>
        <v/>
      </c>
      <c r="I67" s="47">
        <f t="shared" si="9"/>
        <v>17</v>
      </c>
      <c r="J67" s="47">
        <f t="shared" si="10"/>
        <v>0</v>
      </c>
      <c r="K67" s="47">
        <f t="shared" si="11"/>
        <v>0</v>
      </c>
      <c r="L67" s="47" t="str">
        <f t="shared" si="12"/>
        <v/>
      </c>
      <c r="M67" s="47" t="str">
        <f t="shared" si="13"/>
        <v/>
      </c>
      <c r="N67" s="47" t="str">
        <f t="shared" si="14"/>
        <v/>
      </c>
      <c r="O67" s="48">
        <f t="shared" si="15"/>
        <v>17</v>
      </c>
      <c r="P67" s="48" t="str">
        <f t="shared" si="16"/>
        <v/>
      </c>
      <c r="Q67" s="40"/>
      <c r="R67" s="6" t="s">
        <v>92</v>
      </c>
      <c r="S67" s="11">
        <v>44755.0</v>
      </c>
      <c r="T67" s="50">
        <f>VLOOKUP(R67,'Run Reconcile'!$A$2:$M672,13,FALSE)</f>
        <v>17</v>
      </c>
      <c r="U67" s="51" t="str">
        <f t="shared" si="17"/>
        <v/>
      </c>
      <c r="V67" s="50"/>
      <c r="W67" s="50"/>
      <c r="X67" s="40"/>
      <c r="Y67" s="6" t="str">
        <f>IFERROR(__xludf.DUMMYFUNCTION("""COMPUTED_VALUE"""),"RUN-COMB_2022-07-15_RFR-079")</f>
        <v>RUN-COMB_2022-07-15_RFR-079</v>
      </c>
      <c r="Z67" s="11">
        <f>IFERROR(__xludf.DUMMYFUNCTION("""COMPUTED_VALUE"""),44757.0)</f>
        <v>44757</v>
      </c>
      <c r="AA67" s="47">
        <f t="array" ref="AA67">INDEX('RFR Data - preExcl'!AK$2:AK672,$AE67,1)</f>
        <v>24</v>
      </c>
      <c r="AB67" s="50">
        <f t="shared" si="18"/>
        <v>24</v>
      </c>
      <c r="AC67" s="50">
        <f t="array" ref="AC67">INDEX('RFR Data - preExcl'!AI$2:AI672,$AE67,1)</f>
        <v>0</v>
      </c>
      <c r="AD67" s="50">
        <f t="array" ref="AD67">INDEX('RFR Data - preExcl'!AF$2:AF672,$AE67,1)</f>
        <v>0</v>
      </c>
      <c r="AE67" s="52">
        <f>IFNA(MATCH(Y67,'RFR Data - preExcl'!A$2:A672,0),"")</f>
        <v>79</v>
      </c>
      <c r="AF67" s="40"/>
      <c r="AG67" s="56" t="s">
        <v>94</v>
      </c>
      <c r="AH67" s="54">
        <f>VLOOKUP(AG67,'Run Reconcile'!A$2:B672,2,FALSE)</f>
        <v>44757</v>
      </c>
      <c r="AI67" s="55">
        <f>COUNTIF('APS Tubes Import'!$V$2:$V672, AG67)
</f>
        <v>23</v>
      </c>
      <c r="AJ67" s="55">
        <f>COUNTIFS('APS Tubes Import'!V$2:V672, AG67, 'APS Tubes Import'!H$2:H672, "Negative")
</f>
        <v>23</v>
      </c>
      <c r="AK67" s="55">
        <f>COUNTIFS('APS Tubes Import'!V$2:V672, AG67, 'APS Tubes Import'!H$2:H672, "Positive")
</f>
        <v>0</v>
      </c>
      <c r="AL67" s="55">
        <f>COUNTIFS('APS Tubes Import'!V$2:V672, AG67, 'APS Tubes Import'!H$2:H672, "Inconclusive")
</f>
        <v>0</v>
      </c>
      <c r="AM67" s="55">
        <f>COUNTIFS('APS Tubes Import'!V$2:V672, AG67, 'APS Tubes Import'!H$2:H672, "Null")
</f>
        <v>0</v>
      </c>
      <c r="AN67" s="40"/>
      <c r="AO67" s="11">
        <f>'APS Tubes by Date Import'!B66</f>
        <v>44761</v>
      </c>
      <c r="AP67" s="50">
        <f>'APS Tubes by Date Import'!D66</f>
        <v>32</v>
      </c>
      <c r="AQ67" s="50">
        <f>'APS Tubes by Date Import'!E66</f>
        <v>1</v>
      </c>
      <c r="AR67" s="50">
        <f>'APS Tubes by Date Import'!F66</f>
        <v>0</v>
      </c>
      <c r="AS67" s="50">
        <f>'APS Tubes by Date Import'!G66</f>
        <v>0</v>
      </c>
      <c r="AT67" s="50">
        <f>'APS Tubes by Date Import'!G66</f>
        <v>0</v>
      </c>
      <c r="AU67" s="40"/>
    </row>
    <row r="68">
      <c r="A68" s="6" t="s">
        <v>93</v>
      </c>
      <c r="B68" s="43">
        <f>VLOOKUP(A68,'Run Reconcile'!A$2:B672,2,FALSE)</f>
        <v>44756</v>
      </c>
      <c r="C68" s="44">
        <f>COUNTIF('ALL Tube Results'!B67:B672, A68)
</f>
        <v>36</v>
      </c>
      <c r="D68" s="45">
        <f>COUNTIFS('ALL Tube Results'!$B67:$B672, $A68, 'ALL Tube Results'!$F67:$F672, "Negative")
</f>
        <v>36</v>
      </c>
      <c r="E68" s="45">
        <f>COUNTIFS('ALL Tube Results'!$B67:$B672, $A68, 'ALL Tube Results'!$F67:$F672, "Positive")
</f>
        <v>0</v>
      </c>
      <c r="F68" s="45">
        <f>COUNTIFS('ALL Tube Results'!$B67:$B672, $A68, 'ALL Tube Results'!$F67:$F672, "Inconclusive")
</f>
        <v>0</v>
      </c>
      <c r="G68" s="46">
        <f t="shared" si="7"/>
        <v>36</v>
      </c>
      <c r="H68" s="46" t="str">
        <f t="shared" si="8"/>
        <v/>
      </c>
      <c r="I68" s="47">
        <f t="shared" si="9"/>
        <v>36</v>
      </c>
      <c r="J68" s="47">
        <f t="shared" si="10"/>
        <v>0</v>
      </c>
      <c r="K68" s="47">
        <f t="shared" si="11"/>
        <v>0</v>
      </c>
      <c r="L68" s="47" t="str">
        <f t="shared" si="12"/>
        <v/>
      </c>
      <c r="M68" s="47" t="str">
        <f t="shared" si="13"/>
        <v/>
      </c>
      <c r="N68" s="47" t="str">
        <f t="shared" si="14"/>
        <v/>
      </c>
      <c r="O68" s="48">
        <f t="shared" si="15"/>
        <v>36</v>
      </c>
      <c r="P68" s="48" t="str">
        <f t="shared" si="16"/>
        <v/>
      </c>
      <c r="Q68" s="40"/>
      <c r="R68" s="6" t="s">
        <v>93</v>
      </c>
      <c r="S68" s="11">
        <v>44756.0</v>
      </c>
      <c r="T68" s="50">
        <f>VLOOKUP(R68,'Run Reconcile'!$A$2:$M672,13,FALSE)</f>
        <v>36</v>
      </c>
      <c r="U68" s="51" t="str">
        <f t="shared" si="17"/>
        <v/>
      </c>
      <c r="V68" s="50"/>
      <c r="W68" s="50"/>
      <c r="X68" s="40"/>
      <c r="Y68" s="6" t="str">
        <f>IFERROR(__xludf.DUMMYFUNCTION("""COMPUTED_VALUE"""),"RUN-COMB_2022-07-18_RFR-080")</f>
        <v>RUN-COMB_2022-07-18_RFR-080</v>
      </c>
      <c r="Z68" s="11">
        <f>IFERROR(__xludf.DUMMYFUNCTION("""COMPUTED_VALUE"""),44760.0)</f>
        <v>44760</v>
      </c>
      <c r="AA68" s="47">
        <f t="array" ref="AA68">INDEX('RFR Data - preExcl'!AK$2:AK672,$AE68,1)</f>
        <v>46</v>
      </c>
      <c r="AB68" s="50">
        <f t="shared" si="18"/>
        <v>45</v>
      </c>
      <c r="AC68" s="50">
        <f t="array" ref="AC68">INDEX('RFR Data - preExcl'!AI$2:AI672,$AE68,1)</f>
        <v>1</v>
      </c>
      <c r="AD68" s="50">
        <f t="array" ref="AD68">INDEX('RFR Data - preExcl'!AF$2:AF672,$AE68,1)</f>
        <v>0</v>
      </c>
      <c r="AE68" s="52">
        <f>IFNA(MATCH(Y68,'RFR Data - preExcl'!A$2:A672,0),"")</f>
        <v>80</v>
      </c>
      <c r="AF68" s="40"/>
      <c r="AG68" s="56" t="s">
        <v>95</v>
      </c>
      <c r="AH68" s="54">
        <f>VLOOKUP(AG68,'Run Reconcile'!A$2:B672,2,FALSE)</f>
        <v>44761</v>
      </c>
      <c r="AI68" s="55">
        <f>COUNTIF('APS Tubes Import'!$V$2:$V672, AG68)
</f>
        <v>33</v>
      </c>
      <c r="AJ68" s="55">
        <f>COUNTIFS('APS Tubes Import'!V$2:V672, AG68, 'APS Tubes Import'!H$2:H672, "Negative")
</f>
        <v>32</v>
      </c>
      <c r="AK68" s="55">
        <f>COUNTIFS('APS Tubes Import'!V$2:V672, AG68, 'APS Tubes Import'!H$2:H672, "Positive")
</f>
        <v>1</v>
      </c>
      <c r="AL68" s="55">
        <f>COUNTIFS('APS Tubes Import'!V$2:V672, AG68, 'APS Tubes Import'!H$2:H672, "Inconclusive")
</f>
        <v>0</v>
      </c>
      <c r="AM68" s="55">
        <f>COUNTIFS('APS Tubes Import'!V$2:V672, AG68, 'APS Tubes Import'!H$2:H672, "Null")
</f>
        <v>0</v>
      </c>
      <c r="AN68" s="40"/>
      <c r="AO68" s="11">
        <f>'APS Tubes by Date Import'!B67</f>
        <v>44762</v>
      </c>
      <c r="AP68" s="50">
        <f>'APS Tubes by Date Import'!D67</f>
        <v>27</v>
      </c>
      <c r="AQ68" s="50">
        <f>'APS Tubes by Date Import'!E67</f>
        <v>0</v>
      </c>
      <c r="AR68" s="50">
        <f>'APS Tubes by Date Import'!F67</f>
        <v>0</v>
      </c>
      <c r="AS68" s="50">
        <f>'APS Tubes by Date Import'!G67</f>
        <v>0</v>
      </c>
      <c r="AT68" s="50">
        <f>'APS Tubes by Date Import'!G67</f>
        <v>0</v>
      </c>
      <c r="AU68" s="40"/>
    </row>
    <row r="69">
      <c r="A69" s="6" t="s">
        <v>94</v>
      </c>
      <c r="B69" s="43">
        <f>VLOOKUP(A69,'Run Reconcile'!A$2:B672,2,FALSE)</f>
        <v>44757</v>
      </c>
      <c r="C69" s="44">
        <f>COUNTIF('ALL Tube Results'!B68:B672, A69)
</f>
        <v>24</v>
      </c>
      <c r="D69" s="45">
        <f>COUNTIFS('ALL Tube Results'!$B68:$B672, $A69, 'ALL Tube Results'!$F68:$F672, "Negative")
</f>
        <v>24</v>
      </c>
      <c r="E69" s="45">
        <f>COUNTIFS('ALL Tube Results'!$B68:$B672, $A69, 'ALL Tube Results'!$F68:$F672, "Positive")
</f>
        <v>0</v>
      </c>
      <c r="F69" s="45">
        <f>COUNTIFS('ALL Tube Results'!$B68:$B672, $A69, 'ALL Tube Results'!$F68:$F672, "Inconclusive")
</f>
        <v>0</v>
      </c>
      <c r="G69" s="46">
        <f t="shared" si="7"/>
        <v>24</v>
      </c>
      <c r="H69" s="46" t="str">
        <f t="shared" si="8"/>
        <v/>
      </c>
      <c r="I69" s="47">
        <f t="shared" si="9"/>
        <v>24</v>
      </c>
      <c r="J69" s="47">
        <f t="shared" si="10"/>
        <v>0</v>
      </c>
      <c r="K69" s="47">
        <f t="shared" si="11"/>
        <v>0</v>
      </c>
      <c r="L69" s="47" t="str">
        <f t="shared" si="12"/>
        <v/>
      </c>
      <c r="M69" s="47" t="str">
        <f t="shared" si="13"/>
        <v/>
      </c>
      <c r="N69" s="47" t="str">
        <f t="shared" si="14"/>
        <v/>
      </c>
      <c r="O69" s="48">
        <f t="shared" si="15"/>
        <v>23</v>
      </c>
      <c r="P69" s="48">
        <f t="shared" si="16"/>
        <v>1</v>
      </c>
      <c r="Q69" s="40"/>
      <c r="R69" s="6" t="s">
        <v>94</v>
      </c>
      <c r="S69" s="11">
        <v>44757.0</v>
      </c>
      <c r="T69" s="50">
        <f>VLOOKUP(R69,'Run Reconcile'!$A$2:$M672,13,FALSE)</f>
        <v>24</v>
      </c>
      <c r="U69" s="51" t="str">
        <f t="shared" si="17"/>
        <v/>
      </c>
      <c r="V69" s="50"/>
      <c r="W69" s="50"/>
      <c r="X69" s="40"/>
      <c r="Y69" s="6" t="str">
        <f>IFERROR(__xludf.DUMMYFUNCTION("""COMPUTED_VALUE"""),"RUN-COMB_2022-07-19_RFR-082")</f>
        <v>RUN-COMB_2022-07-19_RFR-082</v>
      </c>
      <c r="Z69" s="11">
        <f>IFERROR(__xludf.DUMMYFUNCTION("""COMPUTED_VALUE"""),44761.0)</f>
        <v>44761</v>
      </c>
      <c r="AA69" s="47">
        <f t="array" ref="AA69">INDEX('RFR Data - preExcl'!AK$2:AK672,$AE69,1)</f>
        <v>33</v>
      </c>
      <c r="AB69" s="50">
        <f t="shared" si="18"/>
        <v>32</v>
      </c>
      <c r="AC69" s="50">
        <f t="array" ref="AC69">INDEX('RFR Data - preExcl'!AI$2:AI672,$AE69,1)</f>
        <v>1</v>
      </c>
      <c r="AD69" s="50">
        <f t="array" ref="AD69">INDEX('RFR Data - preExcl'!AF$2:AF672,$AE69,1)</f>
        <v>0</v>
      </c>
      <c r="AE69" s="52">
        <f>IFNA(MATCH(Y69,'RFR Data - preExcl'!A$2:A672,0),"")</f>
        <v>82</v>
      </c>
      <c r="AF69" s="40"/>
      <c r="AG69" s="56" t="s">
        <v>96</v>
      </c>
      <c r="AH69" s="54">
        <f>VLOOKUP(AG69,'Run Reconcile'!A$2:B672,2,FALSE)</f>
        <v>44762</v>
      </c>
      <c r="AI69" s="55">
        <f>COUNTIF('APS Tubes Import'!$V$2:$V672, AG69)
</f>
        <v>27</v>
      </c>
      <c r="AJ69" s="55">
        <f>COUNTIFS('APS Tubes Import'!V$2:V672, AG69, 'APS Tubes Import'!H$2:H672, "Negative")
</f>
        <v>27</v>
      </c>
      <c r="AK69" s="55">
        <f>COUNTIFS('APS Tubes Import'!V$2:V672, AG69, 'APS Tubes Import'!H$2:H672, "Positive")
</f>
        <v>0</v>
      </c>
      <c r="AL69" s="55">
        <f>COUNTIFS('APS Tubes Import'!V$2:V672, AG69, 'APS Tubes Import'!H$2:H672, "Inconclusive")
</f>
        <v>0</v>
      </c>
      <c r="AM69" s="55">
        <f>COUNTIFS('APS Tubes Import'!V$2:V672, AG69, 'APS Tubes Import'!H$2:H672, "Null")
</f>
        <v>0</v>
      </c>
      <c r="AN69" s="40"/>
      <c r="AO69" s="11">
        <f>'APS Tubes by Date Import'!B68</f>
        <v>44764</v>
      </c>
      <c r="AP69" s="50">
        <f>'APS Tubes by Date Import'!D68</f>
        <v>35</v>
      </c>
      <c r="AQ69" s="50">
        <f>'APS Tubes by Date Import'!E68</f>
        <v>2</v>
      </c>
      <c r="AR69" s="50">
        <f>'APS Tubes by Date Import'!F68</f>
        <v>0</v>
      </c>
      <c r="AS69" s="50">
        <f>'APS Tubes by Date Import'!G68</f>
        <v>0</v>
      </c>
      <c r="AT69" s="50">
        <f>'APS Tubes by Date Import'!G68</f>
        <v>0</v>
      </c>
      <c r="AU69" s="40"/>
    </row>
    <row r="70">
      <c r="A70" s="6" t="s">
        <v>97</v>
      </c>
      <c r="B70" s="43">
        <f>VLOOKUP(A70,'Run Reconcile'!A$2:B672,2,FALSE)</f>
        <v>44760</v>
      </c>
      <c r="C70" s="44">
        <f>COUNTIF('ALL Tube Results'!B69:B672, A70)
</f>
        <v>46</v>
      </c>
      <c r="D70" s="45">
        <f>COUNTIFS('ALL Tube Results'!$B69:$B672, $A70, 'ALL Tube Results'!$F69:$F672, "Negative")
</f>
        <v>45</v>
      </c>
      <c r="E70" s="45">
        <f>COUNTIFS('ALL Tube Results'!$B69:$B672, $A70, 'ALL Tube Results'!$F69:$F672, "Positive")
</f>
        <v>1</v>
      </c>
      <c r="F70" s="45">
        <f>COUNTIFS('ALL Tube Results'!$B69:$B672, $A70, 'ALL Tube Results'!$F69:$F672, "Inconclusive")
</f>
        <v>0</v>
      </c>
      <c r="G70" s="46">
        <f t="shared" si="7"/>
        <v>46</v>
      </c>
      <c r="H70" s="46" t="str">
        <f t="shared" si="8"/>
        <v/>
      </c>
      <c r="I70" s="47">
        <f t="shared" si="9"/>
        <v>46</v>
      </c>
      <c r="J70" s="47">
        <f t="shared" si="10"/>
        <v>1</v>
      </c>
      <c r="K70" s="47">
        <f t="shared" si="11"/>
        <v>0</v>
      </c>
      <c r="L70" s="47" t="str">
        <f t="shared" si="12"/>
        <v/>
      </c>
      <c r="M70" s="47" t="str">
        <f t="shared" si="13"/>
        <v/>
      </c>
      <c r="N70" s="47" t="str">
        <f t="shared" si="14"/>
        <v/>
      </c>
      <c r="O70" s="48" t="str">
        <f t="shared" si="15"/>
        <v/>
      </c>
      <c r="P70" s="48">
        <f t="shared" si="16"/>
        <v>46</v>
      </c>
      <c r="Q70" s="40"/>
      <c r="R70" s="6" t="s">
        <v>97</v>
      </c>
      <c r="S70" s="11">
        <v>44760.0</v>
      </c>
      <c r="T70" s="50">
        <f>VLOOKUP(R70,'Run Reconcile'!$A$2:$M672,13,FALSE)</f>
        <v>46</v>
      </c>
      <c r="U70" s="51" t="str">
        <f t="shared" si="17"/>
        <v/>
      </c>
      <c r="V70" s="50"/>
      <c r="W70" s="50"/>
      <c r="X70" s="40"/>
      <c r="Y70" s="6" t="str">
        <f>IFERROR(__xludf.DUMMYFUNCTION("""COMPUTED_VALUE"""),"RUN-COMB_2022-07-20_RFR-084")</f>
        <v>RUN-COMB_2022-07-20_RFR-084</v>
      </c>
      <c r="Z70" s="11">
        <f>IFERROR(__xludf.DUMMYFUNCTION("""COMPUTED_VALUE"""),44762.0)</f>
        <v>44762</v>
      </c>
      <c r="AA70" s="47">
        <f t="array" ref="AA70">INDEX('RFR Data - preExcl'!AK$2:AK672,$AE70,1)</f>
        <v>27</v>
      </c>
      <c r="AB70" s="50">
        <f t="shared" si="18"/>
        <v>27</v>
      </c>
      <c r="AC70" s="50">
        <f t="array" ref="AC70">INDEX('RFR Data - preExcl'!AI$2:AI672,$AE70,1)</f>
        <v>0</v>
      </c>
      <c r="AD70" s="50">
        <f t="array" ref="AD70">INDEX('RFR Data - preExcl'!AF$2:AF672,$AE70,1)</f>
        <v>0</v>
      </c>
      <c r="AE70" s="52">
        <f>IFNA(MATCH(Y70,'RFR Data - preExcl'!A$2:A672,0),"")</f>
        <v>84</v>
      </c>
      <c r="AF70" s="40"/>
      <c r="AG70" s="56" t="s">
        <v>98</v>
      </c>
      <c r="AH70" s="54">
        <f>VLOOKUP(AG70,'Run Reconcile'!A$2:B672,2,FALSE)</f>
        <v>44764</v>
      </c>
      <c r="AI70" s="55">
        <f>COUNTIF('APS Tubes Import'!$V$2:$V672, AG70)
</f>
        <v>37</v>
      </c>
      <c r="AJ70" s="55">
        <f>COUNTIFS('APS Tubes Import'!V$2:V672, AG70, 'APS Tubes Import'!H$2:H672, "Negative")
</f>
        <v>35</v>
      </c>
      <c r="AK70" s="55">
        <f>COUNTIFS('APS Tubes Import'!V$2:V672, AG70, 'APS Tubes Import'!H$2:H672, "Positive")
</f>
        <v>2</v>
      </c>
      <c r="AL70" s="55">
        <f>COUNTIFS('APS Tubes Import'!V$2:V672, AG70, 'APS Tubes Import'!H$2:H672, "Inconclusive")
</f>
        <v>0</v>
      </c>
      <c r="AM70" s="55">
        <f>COUNTIFS('APS Tubes Import'!V$2:V672, AG70, 'APS Tubes Import'!H$2:H672, "Null")
</f>
        <v>0</v>
      </c>
      <c r="AN70" s="40"/>
      <c r="AO70" s="11">
        <f>'APS Tubes by Date Import'!B69</f>
        <v>44774</v>
      </c>
      <c r="AP70" s="50">
        <f>'APS Tubes by Date Import'!D69</f>
        <v>24</v>
      </c>
      <c r="AQ70" s="50">
        <f>'APS Tubes by Date Import'!E69</f>
        <v>0</v>
      </c>
      <c r="AR70" s="50">
        <f>'APS Tubes by Date Import'!F69</f>
        <v>0</v>
      </c>
      <c r="AS70" s="50">
        <f>'APS Tubes by Date Import'!G69</f>
        <v>0</v>
      </c>
      <c r="AT70" s="50">
        <f>'APS Tubes by Date Import'!G69</f>
        <v>0</v>
      </c>
      <c r="AU70" s="40"/>
    </row>
    <row r="71">
      <c r="A71" s="6" t="s">
        <v>95</v>
      </c>
      <c r="B71" s="43">
        <f>VLOOKUP(A71,'Run Reconcile'!A$2:B672,2,FALSE)</f>
        <v>44761</v>
      </c>
      <c r="C71" s="44">
        <f>COUNTIF('ALL Tube Results'!B70:B672, A71)
</f>
        <v>33</v>
      </c>
      <c r="D71" s="45">
        <f>COUNTIFS('ALL Tube Results'!$B70:$B672, $A71, 'ALL Tube Results'!$F70:$F672, "Negative")
</f>
        <v>32</v>
      </c>
      <c r="E71" s="45">
        <f>COUNTIFS('ALL Tube Results'!$B70:$B672, $A71, 'ALL Tube Results'!$F70:$F672, "Positive")
</f>
        <v>1</v>
      </c>
      <c r="F71" s="45">
        <f>COUNTIFS('ALL Tube Results'!$B70:$B672, $A71, 'ALL Tube Results'!$F70:$F672, "Inconclusive")
</f>
        <v>0</v>
      </c>
      <c r="G71" s="46">
        <f t="shared" si="7"/>
        <v>33</v>
      </c>
      <c r="H71" s="46" t="str">
        <f t="shared" si="8"/>
        <v/>
      </c>
      <c r="I71" s="47">
        <f t="shared" si="9"/>
        <v>33</v>
      </c>
      <c r="J71" s="47">
        <f t="shared" si="10"/>
        <v>1</v>
      </c>
      <c r="K71" s="47">
        <f t="shared" si="11"/>
        <v>0</v>
      </c>
      <c r="L71" s="47" t="str">
        <f t="shared" si="12"/>
        <v/>
      </c>
      <c r="M71" s="47" t="str">
        <f t="shared" si="13"/>
        <v/>
      </c>
      <c r="N71" s="47" t="str">
        <f t="shared" si="14"/>
        <v/>
      </c>
      <c r="O71" s="48">
        <f t="shared" si="15"/>
        <v>33</v>
      </c>
      <c r="P71" s="48" t="str">
        <f t="shared" si="16"/>
        <v/>
      </c>
      <c r="Q71" s="40"/>
      <c r="R71" s="6" t="s">
        <v>95</v>
      </c>
      <c r="S71" s="11">
        <v>44761.0</v>
      </c>
      <c r="T71" s="50">
        <f>VLOOKUP(R71,'Run Reconcile'!$A$2:$M672,13,FALSE)</f>
        <v>33</v>
      </c>
      <c r="U71" s="51" t="str">
        <f t="shared" si="17"/>
        <v/>
      </c>
      <c r="V71" s="50"/>
      <c r="W71" s="50"/>
      <c r="X71" s="40"/>
      <c r="Y71" s="6" t="str">
        <f>IFERROR(__xludf.DUMMYFUNCTION("""COMPUTED_VALUE"""),"RUN-COMB_2022-07-21_RFR-086")</f>
        <v>RUN-COMB_2022-07-21_RFR-086</v>
      </c>
      <c r="Z71" s="11">
        <f>IFERROR(__xludf.DUMMYFUNCTION("""COMPUTED_VALUE"""),44763.0)</f>
        <v>44763</v>
      </c>
      <c r="AA71" s="47">
        <f t="array" ref="AA71">INDEX('RFR Data - preExcl'!AK$2:AK672,$AE71,1)</f>
        <v>57</v>
      </c>
      <c r="AB71" s="50">
        <f t="shared" si="18"/>
        <v>57</v>
      </c>
      <c r="AC71" s="50">
        <f t="array" ref="AC71">INDEX('RFR Data - preExcl'!AI$2:AI672,$AE71,1)</f>
        <v>0</v>
      </c>
      <c r="AD71" s="50">
        <f t="array" ref="AD71">INDEX('RFR Data - preExcl'!AF$2:AF672,$AE71,1)</f>
        <v>0</v>
      </c>
      <c r="AE71" s="52">
        <f>IFNA(MATCH(Y71,'RFR Data - preExcl'!A$2:A672,0),"")</f>
        <v>86</v>
      </c>
      <c r="AF71" s="40"/>
      <c r="AG71" s="56" t="s">
        <v>99</v>
      </c>
      <c r="AH71" s="54">
        <f>VLOOKUP(AG71,'Run Reconcile'!A$2:B672,2,FALSE)</f>
        <v>44774</v>
      </c>
      <c r="AI71" s="55">
        <f>COUNTIF('APS Tubes Import'!$V$2:$V672, AG71)
</f>
        <v>24</v>
      </c>
      <c r="AJ71" s="55">
        <f>COUNTIFS('APS Tubes Import'!V$2:V672, AG71, 'APS Tubes Import'!H$2:H672, "Negative")
</f>
        <v>24</v>
      </c>
      <c r="AK71" s="55">
        <f>COUNTIFS('APS Tubes Import'!V$2:V672, AG71, 'APS Tubes Import'!H$2:H672, "Positive")
</f>
        <v>0</v>
      </c>
      <c r="AL71" s="55">
        <f>COUNTIFS('APS Tubes Import'!V$2:V672, AG71, 'APS Tubes Import'!H$2:H672, "Inconclusive")
</f>
        <v>0</v>
      </c>
      <c r="AM71" s="55">
        <f>COUNTIFS('APS Tubes Import'!V$2:V672, AG71, 'APS Tubes Import'!H$2:H672, "Null")
</f>
        <v>0</v>
      </c>
      <c r="AN71" s="40"/>
      <c r="AO71" s="11">
        <f>'APS Tubes by Date Import'!B70</f>
        <v>44775</v>
      </c>
      <c r="AP71" s="50">
        <f>'APS Tubes by Date Import'!D70</f>
        <v>17</v>
      </c>
      <c r="AQ71" s="50">
        <f>'APS Tubes by Date Import'!E70</f>
        <v>0</v>
      </c>
      <c r="AR71" s="50">
        <f>'APS Tubes by Date Import'!F70</f>
        <v>0</v>
      </c>
      <c r="AS71" s="50">
        <f>'APS Tubes by Date Import'!G70</f>
        <v>0</v>
      </c>
      <c r="AT71" s="50">
        <f>'APS Tubes by Date Import'!G70</f>
        <v>0</v>
      </c>
      <c r="AU71" s="40"/>
    </row>
    <row r="72">
      <c r="A72" s="6" t="s">
        <v>96</v>
      </c>
      <c r="B72" s="43">
        <f>VLOOKUP(A72,'Run Reconcile'!A$2:B672,2,FALSE)</f>
        <v>44762</v>
      </c>
      <c r="C72" s="44">
        <f>COUNTIF('ALL Tube Results'!B71:B672, A72)
</f>
        <v>27</v>
      </c>
      <c r="D72" s="45">
        <f>COUNTIFS('ALL Tube Results'!$B71:$B672, $A72, 'ALL Tube Results'!$F71:$F672, "Negative")
</f>
        <v>27</v>
      </c>
      <c r="E72" s="45">
        <f>COUNTIFS('ALL Tube Results'!$B71:$B672, $A72, 'ALL Tube Results'!$F71:$F672, "Positive")
</f>
        <v>0</v>
      </c>
      <c r="F72" s="45">
        <f>COUNTIFS('ALL Tube Results'!$B71:$B672, $A72, 'ALL Tube Results'!$F71:$F672, "Inconclusive")
</f>
        <v>0</v>
      </c>
      <c r="G72" s="46">
        <f t="shared" si="7"/>
        <v>27</v>
      </c>
      <c r="H72" s="46" t="str">
        <f t="shared" si="8"/>
        <v/>
      </c>
      <c r="I72" s="47">
        <f t="shared" si="9"/>
        <v>27</v>
      </c>
      <c r="J72" s="47">
        <f t="shared" si="10"/>
        <v>0</v>
      </c>
      <c r="K72" s="47">
        <f t="shared" si="11"/>
        <v>0</v>
      </c>
      <c r="L72" s="47" t="str">
        <f t="shared" si="12"/>
        <v/>
      </c>
      <c r="M72" s="47" t="str">
        <f t="shared" si="13"/>
        <v/>
      </c>
      <c r="N72" s="47" t="str">
        <f t="shared" si="14"/>
        <v/>
      </c>
      <c r="O72" s="48">
        <f t="shared" si="15"/>
        <v>27</v>
      </c>
      <c r="P72" s="48" t="str">
        <f t="shared" si="16"/>
        <v/>
      </c>
      <c r="Q72" s="40"/>
      <c r="R72" s="6" t="s">
        <v>96</v>
      </c>
      <c r="S72" s="11">
        <v>44762.0</v>
      </c>
      <c r="T72" s="50">
        <f>VLOOKUP(R72,'Run Reconcile'!$A$2:$M672,13,FALSE)</f>
        <v>27</v>
      </c>
      <c r="U72" s="51" t="str">
        <f t="shared" si="17"/>
        <v/>
      </c>
      <c r="V72" s="50"/>
      <c r="W72" s="50"/>
      <c r="X72" s="40"/>
      <c r="Y72" s="6" t="str">
        <f>IFERROR(__xludf.DUMMYFUNCTION("""COMPUTED_VALUE"""),"RUN-COMB_2022-07-22_RFR-085")</f>
        <v>RUN-COMB_2022-07-22_RFR-085</v>
      </c>
      <c r="Z72" s="11">
        <f>IFERROR(__xludf.DUMMYFUNCTION("""COMPUTED_VALUE"""),44764.0)</f>
        <v>44764</v>
      </c>
      <c r="AA72" s="47">
        <f t="array" ref="AA72">INDEX('RFR Data - preExcl'!AK$2:AK672,$AE72,1)</f>
        <v>37</v>
      </c>
      <c r="AB72" s="50">
        <f t="shared" si="18"/>
        <v>35</v>
      </c>
      <c r="AC72" s="50">
        <f t="array" ref="AC72">INDEX('RFR Data - preExcl'!AI$2:AI672,$AE72,1)</f>
        <v>2</v>
      </c>
      <c r="AD72" s="50">
        <f t="array" ref="AD72">INDEX('RFR Data - preExcl'!AF$2:AF672,$AE72,1)</f>
        <v>0</v>
      </c>
      <c r="AE72" s="52">
        <f>IFNA(MATCH(Y72,'RFR Data - preExcl'!A$2:A672,0),"")</f>
        <v>85</v>
      </c>
      <c r="AF72" s="40"/>
      <c r="AG72" s="56" t="s">
        <v>100</v>
      </c>
      <c r="AH72" s="54">
        <f>VLOOKUP(AG72,'Run Reconcile'!A$2:B672,2,FALSE)</f>
        <v>44775</v>
      </c>
      <c r="AI72" s="55">
        <f>COUNTIF('APS Tubes Import'!$V$2:$V672, AG72)
</f>
        <v>17</v>
      </c>
      <c r="AJ72" s="55">
        <f>COUNTIFS('APS Tubes Import'!V$2:V672, AG72, 'APS Tubes Import'!H$2:H672, "Negative")
</f>
        <v>17</v>
      </c>
      <c r="AK72" s="55">
        <f>COUNTIFS('APS Tubes Import'!V$2:V672, AG72, 'APS Tubes Import'!H$2:H672, "Positive")
</f>
        <v>0</v>
      </c>
      <c r="AL72" s="55">
        <f>COUNTIFS('APS Tubes Import'!V$2:V672, AG72, 'APS Tubes Import'!H$2:H672, "Inconclusive")
</f>
        <v>0</v>
      </c>
      <c r="AM72" s="55">
        <f>COUNTIFS('APS Tubes Import'!V$2:V672, AG72, 'APS Tubes Import'!H$2:H672, "Null")
</f>
        <v>0</v>
      </c>
      <c r="AN72" s="40"/>
      <c r="AO72" s="11">
        <f>'APS Tubes by Date Import'!B71</f>
        <v>44776</v>
      </c>
      <c r="AP72" s="50">
        <f>'APS Tubes by Date Import'!D71</f>
        <v>13</v>
      </c>
      <c r="AQ72" s="50">
        <f>'APS Tubes by Date Import'!E71</f>
        <v>0</v>
      </c>
      <c r="AR72" s="50">
        <f>'APS Tubes by Date Import'!F71</f>
        <v>0</v>
      </c>
      <c r="AS72" s="50">
        <f>'APS Tubes by Date Import'!G71</f>
        <v>0</v>
      </c>
      <c r="AT72" s="50">
        <f>'APS Tubes by Date Import'!G71</f>
        <v>0</v>
      </c>
      <c r="AU72" s="40"/>
    </row>
    <row r="73">
      <c r="A73" s="6" t="s">
        <v>101</v>
      </c>
      <c r="B73" s="43">
        <f>VLOOKUP(A73,'Run Reconcile'!A$2:B672,2,FALSE)</f>
        <v>44763</v>
      </c>
      <c r="C73" s="44">
        <f>COUNTIF('ALL Tube Results'!B72:B672, A73)
</f>
        <v>57</v>
      </c>
      <c r="D73" s="45">
        <f>COUNTIFS('ALL Tube Results'!$B72:$B672, $A73, 'ALL Tube Results'!$F72:$F672, "Negative")
</f>
        <v>57</v>
      </c>
      <c r="E73" s="45">
        <f>COUNTIFS('ALL Tube Results'!$B72:$B672, $A73, 'ALL Tube Results'!$F72:$F672, "Positive")
</f>
        <v>0</v>
      </c>
      <c r="F73" s="45">
        <f>COUNTIFS('ALL Tube Results'!$B72:$B672, $A73, 'ALL Tube Results'!$F72:$F672, "Inconclusive")
</f>
        <v>0</v>
      </c>
      <c r="G73" s="46">
        <f t="shared" si="7"/>
        <v>57</v>
      </c>
      <c r="H73" s="46" t="str">
        <f t="shared" si="8"/>
        <v/>
      </c>
      <c r="I73" s="47">
        <f t="shared" si="9"/>
        <v>57</v>
      </c>
      <c r="J73" s="47">
        <f t="shared" si="10"/>
        <v>0</v>
      </c>
      <c r="K73" s="47">
        <f t="shared" si="11"/>
        <v>0</v>
      </c>
      <c r="L73" s="47" t="str">
        <f t="shared" si="12"/>
        <v/>
      </c>
      <c r="M73" s="47" t="str">
        <f t="shared" si="13"/>
        <v/>
      </c>
      <c r="N73" s="47" t="str">
        <f t="shared" si="14"/>
        <v/>
      </c>
      <c r="O73" s="48" t="str">
        <f t="shared" si="15"/>
        <v/>
      </c>
      <c r="P73" s="48">
        <f t="shared" si="16"/>
        <v>57</v>
      </c>
      <c r="Q73" s="40"/>
      <c r="R73" s="6" t="s">
        <v>101</v>
      </c>
      <c r="S73" s="11">
        <v>44763.0</v>
      </c>
      <c r="T73" s="50">
        <f>VLOOKUP(R73,'Run Reconcile'!$A$2:$M672,13,FALSE)</f>
        <v>57</v>
      </c>
      <c r="U73" s="51" t="str">
        <f t="shared" si="17"/>
        <v/>
      </c>
      <c r="V73" s="50"/>
      <c r="W73" s="50"/>
      <c r="X73" s="40"/>
      <c r="Y73" s="6" t="str">
        <f>IFERROR(__xludf.DUMMYFUNCTION("""COMPUTED_VALUE"""),"RUN-COMB_2022-08-01_RFR-088")</f>
        <v>RUN-COMB_2022-08-01_RFR-088</v>
      </c>
      <c r="Z73" s="11">
        <f>IFERROR(__xludf.DUMMYFUNCTION("""COMPUTED_VALUE"""),44774.0)</f>
        <v>44774</v>
      </c>
      <c r="AA73" s="47">
        <f t="array" ref="AA73">INDEX('RFR Data - preExcl'!AK$2:AK672,$AE73,1)</f>
        <v>24</v>
      </c>
      <c r="AB73" s="50">
        <f t="shared" si="18"/>
        <v>24</v>
      </c>
      <c r="AC73" s="50">
        <f t="array" ref="AC73">INDEX('RFR Data - preExcl'!AI$2:AI672,$AE73,1)</f>
        <v>0</v>
      </c>
      <c r="AD73" s="50">
        <f t="array" ref="AD73">INDEX('RFR Data - preExcl'!AF$2:AF672,$AE73,1)</f>
        <v>0</v>
      </c>
      <c r="AE73" s="52">
        <f>IFNA(MATCH(Y73,'RFR Data - preExcl'!A$2:A672,0),"")</f>
        <v>88</v>
      </c>
      <c r="AF73" s="40"/>
      <c r="AG73" s="56" t="s">
        <v>102</v>
      </c>
      <c r="AH73" s="54">
        <f>VLOOKUP(AG73,'Run Reconcile'!A$2:B672,2,FALSE)</f>
        <v>44776</v>
      </c>
      <c r="AI73" s="55">
        <f>COUNTIF('APS Tubes Import'!$V$2:$V672, AG73)
</f>
        <v>13</v>
      </c>
      <c r="AJ73" s="55">
        <f>COUNTIFS('APS Tubes Import'!V$2:V672, AG73, 'APS Tubes Import'!H$2:H672, "Negative")
</f>
        <v>13</v>
      </c>
      <c r="AK73" s="55">
        <f>COUNTIFS('APS Tubes Import'!V$2:V672, AG73, 'APS Tubes Import'!H$2:H672, "Positive")
</f>
        <v>0</v>
      </c>
      <c r="AL73" s="55">
        <f>COUNTIFS('APS Tubes Import'!V$2:V672, AG73, 'APS Tubes Import'!H$2:H672, "Inconclusive")
</f>
        <v>0</v>
      </c>
      <c r="AM73" s="55">
        <f>COUNTIFS('APS Tubes Import'!V$2:V672, AG73, 'APS Tubes Import'!H$2:H672, "Null")
</f>
        <v>0</v>
      </c>
      <c r="AN73" s="40"/>
      <c r="AO73" s="11">
        <f>'APS Tubes by Date Import'!B72</f>
        <v>44781</v>
      </c>
      <c r="AP73" s="50">
        <f>'APS Tubes by Date Import'!D72</f>
        <v>25</v>
      </c>
      <c r="AQ73" s="50">
        <f>'APS Tubes by Date Import'!E72</f>
        <v>1</v>
      </c>
      <c r="AR73" s="50">
        <f>'APS Tubes by Date Import'!F72</f>
        <v>0</v>
      </c>
      <c r="AS73" s="50">
        <f>'APS Tubes by Date Import'!G72</f>
        <v>0</v>
      </c>
      <c r="AT73" s="50">
        <f>'APS Tubes by Date Import'!G72</f>
        <v>0</v>
      </c>
      <c r="AU73" s="40"/>
    </row>
    <row r="74">
      <c r="A74" s="6" t="s">
        <v>98</v>
      </c>
      <c r="B74" s="43">
        <f>VLOOKUP(A74,'Run Reconcile'!A$2:B672,2,FALSE)</f>
        <v>44764</v>
      </c>
      <c r="C74" s="44">
        <f>COUNTIF('ALL Tube Results'!B73:B672, A74)
</f>
        <v>37</v>
      </c>
      <c r="D74" s="45">
        <f>COUNTIFS('ALL Tube Results'!$B73:$B672, $A74, 'ALL Tube Results'!$F73:$F672, "Negative")
</f>
        <v>35</v>
      </c>
      <c r="E74" s="45">
        <f>COUNTIFS('ALL Tube Results'!$B73:$B672, $A74, 'ALL Tube Results'!$F73:$F672, "Positive")
</f>
        <v>2</v>
      </c>
      <c r="F74" s="45">
        <f>COUNTIFS('ALL Tube Results'!$B73:$B672, $A74, 'ALL Tube Results'!$F73:$F672, "Inconclusive")
</f>
        <v>0</v>
      </c>
      <c r="G74" s="46">
        <f t="shared" si="7"/>
        <v>37</v>
      </c>
      <c r="H74" s="46" t="str">
        <f t="shared" si="8"/>
        <v/>
      </c>
      <c r="I74" s="47">
        <f t="shared" si="9"/>
        <v>37</v>
      </c>
      <c r="J74" s="47">
        <f t="shared" si="10"/>
        <v>2</v>
      </c>
      <c r="K74" s="47">
        <f t="shared" si="11"/>
        <v>0</v>
      </c>
      <c r="L74" s="47" t="str">
        <f t="shared" si="12"/>
        <v/>
      </c>
      <c r="M74" s="47" t="str">
        <f t="shared" si="13"/>
        <v/>
      </c>
      <c r="N74" s="47" t="str">
        <f t="shared" si="14"/>
        <v/>
      </c>
      <c r="O74" s="48">
        <f t="shared" si="15"/>
        <v>37</v>
      </c>
      <c r="P74" s="48" t="str">
        <f t="shared" si="16"/>
        <v/>
      </c>
      <c r="Q74" s="40"/>
      <c r="R74" s="6" t="s">
        <v>98</v>
      </c>
      <c r="S74" s="11">
        <v>44764.0</v>
      </c>
      <c r="T74" s="50">
        <f>VLOOKUP(R74,'Run Reconcile'!$A$2:$M672,13,FALSE)</f>
        <v>37</v>
      </c>
      <c r="U74" s="51" t="str">
        <f t="shared" si="17"/>
        <v/>
      </c>
      <c r="V74" s="50"/>
      <c r="W74" s="50"/>
      <c r="X74" s="40"/>
      <c r="Y74" s="6" t="str">
        <f>IFERROR(__xludf.DUMMYFUNCTION("""COMPUTED_VALUE"""),"RUN-COMB_2022-08-02_RFR-090")</f>
        <v>RUN-COMB_2022-08-02_RFR-090</v>
      </c>
      <c r="Z74" s="11">
        <f>IFERROR(__xludf.DUMMYFUNCTION("""COMPUTED_VALUE"""),44775.0)</f>
        <v>44775</v>
      </c>
      <c r="AA74" s="47">
        <f t="array" ref="AA74">INDEX('RFR Data - preExcl'!AK$2:AK672,$AE74,1)</f>
        <v>17</v>
      </c>
      <c r="AB74" s="50">
        <f t="shared" si="18"/>
        <v>17</v>
      </c>
      <c r="AC74" s="50">
        <f t="array" ref="AC74">INDEX('RFR Data - preExcl'!AI$2:AI672,$AE74,1)</f>
        <v>0</v>
      </c>
      <c r="AD74" s="50">
        <f t="array" ref="AD74">INDEX('RFR Data - preExcl'!AF$2:AF672,$AE74,1)</f>
        <v>0</v>
      </c>
      <c r="AE74" s="52">
        <f>IFNA(MATCH(Y74,'RFR Data - preExcl'!A$2:A672,0),"")</f>
        <v>90</v>
      </c>
      <c r="AF74" s="40"/>
      <c r="AG74" s="56" t="s">
        <v>103</v>
      </c>
      <c r="AH74" s="54">
        <f>VLOOKUP(AG74,'Run Reconcile'!A$2:B672,2,FALSE)</f>
        <v>44781</v>
      </c>
      <c r="AI74" s="55">
        <f>COUNTIF('APS Tubes Import'!$V$2:$V672, AG74)
</f>
        <v>26</v>
      </c>
      <c r="AJ74" s="55">
        <f>COUNTIFS('APS Tubes Import'!V$2:V672, AG74, 'APS Tubes Import'!H$2:H672, "Negative")
</f>
        <v>25</v>
      </c>
      <c r="AK74" s="55">
        <f>COUNTIFS('APS Tubes Import'!V$2:V672, AG74, 'APS Tubes Import'!H$2:H672, "Positive")
</f>
        <v>1</v>
      </c>
      <c r="AL74" s="55">
        <f>COUNTIFS('APS Tubes Import'!V$2:V672, AG74, 'APS Tubes Import'!H$2:H672, "Inconclusive")
</f>
        <v>0</v>
      </c>
      <c r="AM74" s="55">
        <f>COUNTIFS('APS Tubes Import'!V$2:V672, AG74, 'APS Tubes Import'!H$2:H672, "Null")
</f>
        <v>0</v>
      </c>
      <c r="AN74" s="40"/>
      <c r="AO74" s="11">
        <f>'APS Tubes by Date Import'!B73</f>
        <v>44782</v>
      </c>
      <c r="AP74" s="50">
        <f>'APS Tubes by Date Import'!D73</f>
        <v>20</v>
      </c>
      <c r="AQ74" s="50">
        <f>'APS Tubes by Date Import'!E73</f>
        <v>0</v>
      </c>
      <c r="AR74" s="50">
        <f>'APS Tubes by Date Import'!F73</f>
        <v>0</v>
      </c>
      <c r="AS74" s="50">
        <f>'APS Tubes by Date Import'!G73</f>
        <v>0</v>
      </c>
      <c r="AT74" s="50">
        <f>'APS Tubes by Date Import'!G73</f>
        <v>0</v>
      </c>
      <c r="AU74" s="40"/>
    </row>
    <row r="75">
      <c r="A75" s="6" t="s">
        <v>99</v>
      </c>
      <c r="B75" s="43">
        <f>VLOOKUP(A75,'Run Reconcile'!A$2:B672,2,FALSE)</f>
        <v>44774</v>
      </c>
      <c r="C75" s="44">
        <f>COUNTIF('ALL Tube Results'!B74:B672, A75)
</f>
        <v>24</v>
      </c>
      <c r="D75" s="45">
        <f>COUNTIFS('ALL Tube Results'!$B74:$B672, $A75, 'ALL Tube Results'!$F74:$F672, "Negative")
</f>
        <v>24</v>
      </c>
      <c r="E75" s="45">
        <f>COUNTIFS('ALL Tube Results'!$B74:$B672, $A75, 'ALL Tube Results'!$F74:$F672, "Positive")
</f>
        <v>0</v>
      </c>
      <c r="F75" s="45">
        <f>COUNTIFS('ALL Tube Results'!$B74:$B672, $A75, 'ALL Tube Results'!$F74:$F672, "Inconclusive")
</f>
        <v>0</v>
      </c>
      <c r="G75" s="46">
        <f t="shared" si="7"/>
        <v>24</v>
      </c>
      <c r="H75" s="46" t="str">
        <f t="shared" si="8"/>
        <v/>
      </c>
      <c r="I75" s="47">
        <f t="shared" si="9"/>
        <v>24</v>
      </c>
      <c r="J75" s="47">
        <f t="shared" si="10"/>
        <v>0</v>
      </c>
      <c r="K75" s="47">
        <f t="shared" si="11"/>
        <v>0</v>
      </c>
      <c r="L75" s="47" t="str">
        <f t="shared" si="12"/>
        <v/>
      </c>
      <c r="M75" s="47" t="str">
        <f t="shared" si="13"/>
        <v/>
      </c>
      <c r="N75" s="47" t="str">
        <f t="shared" si="14"/>
        <v/>
      </c>
      <c r="O75" s="48">
        <f t="shared" si="15"/>
        <v>24</v>
      </c>
      <c r="P75" s="48" t="str">
        <f t="shared" si="16"/>
        <v/>
      </c>
      <c r="Q75" s="40"/>
      <c r="R75" s="6" t="s">
        <v>99</v>
      </c>
      <c r="S75" s="11">
        <v>44774.0</v>
      </c>
      <c r="T75" s="50">
        <f>VLOOKUP(R75,'Run Reconcile'!$A$2:$M672,13,FALSE)</f>
        <v>24</v>
      </c>
      <c r="U75" s="51" t="str">
        <f t="shared" si="17"/>
        <v/>
      </c>
      <c r="V75" s="50"/>
      <c r="W75" s="50"/>
      <c r="X75" s="40"/>
      <c r="Y75" s="6" t="str">
        <f>IFERROR(__xludf.DUMMYFUNCTION("""COMPUTED_VALUE"""),"RUN-COMB_2022-08-04_RFR-091")</f>
        <v>RUN-COMB_2022-08-04_RFR-091</v>
      </c>
      <c r="Z75" s="11">
        <f>IFERROR(__xludf.DUMMYFUNCTION("""COMPUTED_VALUE"""),44777.0)</f>
        <v>44777</v>
      </c>
      <c r="AA75" s="47">
        <f t="array" ref="AA75">INDEX('RFR Data - preExcl'!AK$2:AK672,$AE75,1)</f>
        <v>32</v>
      </c>
      <c r="AB75" s="50">
        <f t="shared" si="18"/>
        <v>32</v>
      </c>
      <c r="AC75" s="50">
        <f t="array" ref="AC75">INDEX('RFR Data - preExcl'!AI$2:AI672,$AE75,1)</f>
        <v>0</v>
      </c>
      <c r="AD75" s="50">
        <f t="array" ref="AD75">INDEX('RFR Data - preExcl'!AF$2:AF672,$AE75,1)</f>
        <v>0</v>
      </c>
      <c r="AE75" s="52">
        <f>IFNA(MATCH(Y75,'RFR Data - preExcl'!A$2:A672,0),"")</f>
        <v>91</v>
      </c>
      <c r="AF75" s="40"/>
      <c r="AG75" s="56" t="s">
        <v>104</v>
      </c>
      <c r="AH75" s="54">
        <f>VLOOKUP(AG75,'Run Reconcile'!A$2:B672,2,FALSE)</f>
        <v>44782</v>
      </c>
      <c r="AI75" s="55">
        <f>COUNTIF('APS Tubes Import'!$V$2:$V672, AG75)
</f>
        <v>20</v>
      </c>
      <c r="AJ75" s="55">
        <f>COUNTIFS('APS Tubes Import'!V$2:V672, AG75, 'APS Tubes Import'!H$2:H672, "Negative")
</f>
        <v>20</v>
      </c>
      <c r="AK75" s="55">
        <f>COUNTIFS('APS Tubes Import'!V$2:V672, AG75, 'APS Tubes Import'!H$2:H672, "Positive")
</f>
        <v>0</v>
      </c>
      <c r="AL75" s="55">
        <f>COUNTIFS('APS Tubes Import'!V$2:V672, AG75, 'APS Tubes Import'!H$2:H672, "Inconclusive")
</f>
        <v>0</v>
      </c>
      <c r="AM75" s="55">
        <f>COUNTIFS('APS Tubes Import'!V$2:V672, AG75, 'APS Tubes Import'!H$2:H672, "Null")
</f>
        <v>0</v>
      </c>
      <c r="AN75" s="40"/>
      <c r="AO75" s="11">
        <f>'APS Tubes by Date Import'!B74</f>
        <v>44783</v>
      </c>
      <c r="AP75" s="50">
        <f>'APS Tubes by Date Import'!D74</f>
        <v>16</v>
      </c>
      <c r="AQ75" s="50">
        <f>'APS Tubes by Date Import'!E74</f>
        <v>0</v>
      </c>
      <c r="AR75" s="50">
        <f>'APS Tubes by Date Import'!F74</f>
        <v>0</v>
      </c>
      <c r="AS75" s="50">
        <f>'APS Tubes by Date Import'!G74</f>
        <v>0</v>
      </c>
      <c r="AT75" s="50">
        <f>'APS Tubes by Date Import'!G74</f>
        <v>0</v>
      </c>
      <c r="AU75" s="40"/>
    </row>
    <row r="76">
      <c r="A76" s="6" t="s">
        <v>100</v>
      </c>
      <c r="B76" s="43">
        <f>VLOOKUP(A76,'Run Reconcile'!A$2:B672,2,FALSE)</f>
        <v>44775</v>
      </c>
      <c r="C76" s="44">
        <f>COUNTIF('ALL Tube Results'!B75:B672, A76)
</f>
        <v>17</v>
      </c>
      <c r="D76" s="45">
        <f>COUNTIFS('ALL Tube Results'!$B75:$B672, $A76, 'ALL Tube Results'!$F75:$F672, "Negative")
</f>
        <v>17</v>
      </c>
      <c r="E76" s="45">
        <f>COUNTIFS('ALL Tube Results'!$B75:$B672, $A76, 'ALL Tube Results'!$F75:$F672, "Positive")
</f>
        <v>0</v>
      </c>
      <c r="F76" s="45">
        <f>COUNTIFS('ALL Tube Results'!$B75:$B672, $A76, 'ALL Tube Results'!$F75:$F672, "Inconclusive")
</f>
        <v>0</v>
      </c>
      <c r="G76" s="46">
        <f t="shared" si="7"/>
        <v>17</v>
      </c>
      <c r="H76" s="46" t="str">
        <f t="shared" si="8"/>
        <v/>
      </c>
      <c r="I76" s="47">
        <f t="shared" si="9"/>
        <v>17</v>
      </c>
      <c r="J76" s="47">
        <f t="shared" si="10"/>
        <v>0</v>
      </c>
      <c r="K76" s="47">
        <f t="shared" si="11"/>
        <v>0</v>
      </c>
      <c r="L76" s="47" t="str">
        <f t="shared" si="12"/>
        <v/>
      </c>
      <c r="M76" s="47" t="str">
        <f t="shared" si="13"/>
        <v/>
      </c>
      <c r="N76" s="47" t="str">
        <f t="shared" si="14"/>
        <v/>
      </c>
      <c r="O76" s="48">
        <f t="shared" si="15"/>
        <v>17</v>
      </c>
      <c r="P76" s="48" t="str">
        <f t="shared" si="16"/>
        <v/>
      </c>
      <c r="Q76" s="40"/>
      <c r="R76" s="6" t="s">
        <v>100</v>
      </c>
      <c r="S76" s="11">
        <v>44775.0</v>
      </c>
      <c r="T76" s="50">
        <f>VLOOKUP(R76,'Run Reconcile'!$A$2:$M672,13,FALSE)</f>
        <v>17</v>
      </c>
      <c r="U76" s="51" t="str">
        <f t="shared" si="17"/>
        <v/>
      </c>
      <c r="V76" s="50"/>
      <c r="W76" s="50"/>
      <c r="X76" s="40"/>
      <c r="Y76" s="6" t="str">
        <f>IFERROR(__xludf.DUMMYFUNCTION("""COMPUTED_VALUE"""),"RUN-COMB_2022-08-08_RFR-092")</f>
        <v>RUN-COMB_2022-08-08_RFR-092</v>
      </c>
      <c r="Z76" s="11">
        <f>IFERROR(__xludf.DUMMYFUNCTION("""COMPUTED_VALUE"""),44781.0)</f>
        <v>44781</v>
      </c>
      <c r="AA76" s="47">
        <f t="array" ref="AA76">INDEX('RFR Data - preExcl'!AK$2:AK672,$AE76,1)</f>
        <v>26</v>
      </c>
      <c r="AB76" s="50">
        <f t="shared" si="18"/>
        <v>25</v>
      </c>
      <c r="AC76" s="50">
        <f t="array" ref="AC76">INDEX('RFR Data - preExcl'!AI$2:AI672,$AE76,1)</f>
        <v>1</v>
      </c>
      <c r="AD76" s="50">
        <f t="array" ref="AD76">INDEX('RFR Data - preExcl'!AF$2:AF672,$AE76,1)</f>
        <v>0</v>
      </c>
      <c r="AE76" s="52">
        <f>IFNA(MATCH(Y76,'RFR Data - preExcl'!A$2:A672,0),"")</f>
        <v>92</v>
      </c>
      <c r="AF76" s="40"/>
      <c r="AG76" s="56" t="s">
        <v>105</v>
      </c>
      <c r="AH76" s="54">
        <f>VLOOKUP(AG76,'Run Reconcile'!A$2:B672,2,FALSE)</f>
        <v>44783</v>
      </c>
      <c r="AI76" s="55">
        <f>COUNTIF('APS Tubes Import'!$V$2:$V672, AG76)
</f>
        <v>16</v>
      </c>
      <c r="AJ76" s="55">
        <f>COUNTIFS('APS Tubes Import'!V$2:V672, AG76, 'APS Tubes Import'!H$2:H672, "Negative")
</f>
        <v>16</v>
      </c>
      <c r="AK76" s="55">
        <f>COUNTIFS('APS Tubes Import'!V$2:V672, AG76, 'APS Tubes Import'!H$2:H672, "Positive")
</f>
        <v>0</v>
      </c>
      <c r="AL76" s="55">
        <f>COUNTIFS('APS Tubes Import'!V$2:V672, AG76, 'APS Tubes Import'!H$2:H672, "Inconclusive")
</f>
        <v>0</v>
      </c>
      <c r="AM76" s="55">
        <f>COUNTIFS('APS Tubes Import'!V$2:V672, AG76, 'APS Tubes Import'!H$2:H672, "Null")
</f>
        <v>0</v>
      </c>
      <c r="AN76" s="40"/>
      <c r="AO76" s="6" t="str">
        <f>'APS Tubes by Date Import'!B75</f>
        <v/>
      </c>
      <c r="AP76" s="50" t="str">
        <f>'APS Tubes by Date Import'!D75</f>
        <v/>
      </c>
      <c r="AQ76" s="50" t="str">
        <f>'APS Tubes by Date Import'!E75</f>
        <v/>
      </c>
      <c r="AR76" s="50" t="str">
        <f>'APS Tubes by Date Import'!F75</f>
        <v/>
      </c>
      <c r="AS76" s="50" t="str">
        <f>'APS Tubes by Date Import'!G75</f>
        <v/>
      </c>
      <c r="AU76" s="40"/>
    </row>
    <row r="77">
      <c r="A77" s="6" t="s">
        <v>102</v>
      </c>
      <c r="B77" s="43">
        <f>VLOOKUP(A77,'Run Reconcile'!A$2:B672,2,FALSE)</f>
        <v>44776</v>
      </c>
      <c r="C77" s="44">
        <f>COUNTIF('ALL Tube Results'!B76:B672, A77)
</f>
        <v>13</v>
      </c>
      <c r="D77" s="45">
        <f>COUNTIFS('ALL Tube Results'!$B76:$B672, $A77, 'ALL Tube Results'!$F76:$F672, "Negative")
</f>
        <v>13</v>
      </c>
      <c r="E77" s="45">
        <f>COUNTIFS('ALL Tube Results'!$B76:$B672, $A77, 'ALL Tube Results'!$F76:$F672, "Positive")
</f>
        <v>0</v>
      </c>
      <c r="F77" s="45">
        <f>COUNTIFS('ALL Tube Results'!$B76:$B672, $A77, 'ALL Tube Results'!$F76:$F672, "Inconclusive")
</f>
        <v>0</v>
      </c>
      <c r="G77" s="46">
        <f t="shared" si="7"/>
        <v>13</v>
      </c>
      <c r="H77" s="46" t="str">
        <f t="shared" si="8"/>
        <v/>
      </c>
      <c r="I77" s="47" t="str">
        <f t="shared" si="9"/>
        <v/>
      </c>
      <c r="J77" s="47" t="str">
        <f t="shared" si="10"/>
        <v/>
      </c>
      <c r="K77" s="47" t="str">
        <f t="shared" si="11"/>
        <v/>
      </c>
      <c r="L77" s="47">
        <f t="shared" si="12"/>
        <v>13</v>
      </c>
      <c r="M77" s="47" t="str">
        <f t="shared" si="13"/>
        <v/>
      </c>
      <c r="N77" s="47" t="str">
        <f t="shared" si="14"/>
        <v/>
      </c>
      <c r="O77" s="48">
        <f t="shared" si="15"/>
        <v>13</v>
      </c>
      <c r="P77" s="48" t="str">
        <f t="shared" si="16"/>
        <v/>
      </c>
      <c r="Q77" s="40"/>
      <c r="R77" s="6" t="s">
        <v>102</v>
      </c>
      <c r="S77" s="11">
        <v>44776.0</v>
      </c>
      <c r="T77" s="50">
        <f>VLOOKUP(R77,'Run Reconcile'!$A$2:$M672,13,FALSE)</f>
        <v>13</v>
      </c>
      <c r="U77" s="51" t="str">
        <f t="shared" si="17"/>
        <v/>
      </c>
      <c r="V77" s="50"/>
      <c r="W77" s="50"/>
      <c r="X77" s="40"/>
      <c r="Y77" s="6" t="str">
        <f>IFERROR(__xludf.DUMMYFUNCTION("""COMPUTED_VALUE"""),"RUN-COMB_2022-08-09_RFR-094")</f>
        <v>RUN-COMB_2022-08-09_RFR-094</v>
      </c>
      <c r="Z77" s="11">
        <f>IFERROR(__xludf.DUMMYFUNCTION("""COMPUTED_VALUE"""),44782.0)</f>
        <v>44782</v>
      </c>
      <c r="AA77" s="47">
        <f t="array" ref="AA77">INDEX('RFR Data - preExcl'!AK$2:AK672,$AE77,1)</f>
        <v>20</v>
      </c>
      <c r="AB77" s="50">
        <f t="shared" si="18"/>
        <v>20</v>
      </c>
      <c r="AC77" s="50">
        <f t="array" ref="AC77">INDEX('RFR Data - preExcl'!AI$2:AI672,$AE77,1)</f>
        <v>0</v>
      </c>
      <c r="AD77" s="50">
        <f t="array" ref="AD77">INDEX('RFR Data - preExcl'!AF$2:AF672,$AE77,1)</f>
        <v>0</v>
      </c>
      <c r="AE77" s="52">
        <f>IFNA(MATCH(Y77,'RFR Data - preExcl'!A$2:A672,0),"")</f>
        <v>94</v>
      </c>
      <c r="AF77" s="40"/>
      <c r="AG77" s="56"/>
      <c r="AN77" s="40"/>
      <c r="AO77" s="6" t="str">
        <f>'APS Tubes by Date Import'!B76</f>
        <v/>
      </c>
      <c r="AP77" s="50" t="str">
        <f>'APS Tubes by Date Import'!D76</f>
        <v/>
      </c>
      <c r="AQ77" s="50" t="str">
        <f>'APS Tubes by Date Import'!E76</f>
        <v/>
      </c>
      <c r="AR77" s="50" t="str">
        <f>'APS Tubes by Date Import'!F76</f>
        <v/>
      </c>
      <c r="AS77" s="50" t="str">
        <f>'APS Tubes by Date Import'!G76</f>
        <v/>
      </c>
      <c r="AU77" s="40"/>
    </row>
    <row r="78">
      <c r="A78" s="6" t="s">
        <v>106</v>
      </c>
      <c r="B78" s="43">
        <f>VLOOKUP(A78,'Run Reconcile'!A$2:B672,2,FALSE)</f>
        <v>44777</v>
      </c>
      <c r="C78" s="44">
        <f>COUNTIF('ALL Tube Results'!B77:B672, A78)
</f>
        <v>32</v>
      </c>
      <c r="D78" s="45">
        <f>COUNTIFS('ALL Tube Results'!$B77:$B672, $A78, 'ALL Tube Results'!$F77:$F672, "Negative")
</f>
        <v>32</v>
      </c>
      <c r="E78" s="45">
        <f>COUNTIFS('ALL Tube Results'!$B77:$B672, $A78, 'ALL Tube Results'!$F77:$F672, "Positive")
</f>
        <v>0</v>
      </c>
      <c r="F78" s="45">
        <f>COUNTIFS('ALL Tube Results'!$B77:$B672, $A78, 'ALL Tube Results'!$F77:$F672, "Inconclusive")
</f>
        <v>0</v>
      </c>
      <c r="G78" s="46">
        <f t="shared" si="7"/>
        <v>32</v>
      </c>
      <c r="H78" s="46" t="str">
        <f t="shared" si="8"/>
        <v/>
      </c>
      <c r="I78" s="47">
        <f t="shared" si="9"/>
        <v>32</v>
      </c>
      <c r="J78" s="47">
        <f t="shared" si="10"/>
        <v>0</v>
      </c>
      <c r="K78" s="47">
        <f t="shared" si="11"/>
        <v>0</v>
      </c>
      <c r="L78" s="47" t="str">
        <f t="shared" si="12"/>
        <v/>
      </c>
      <c r="M78" s="47" t="str">
        <f t="shared" si="13"/>
        <v/>
      </c>
      <c r="N78" s="47" t="str">
        <f t="shared" si="14"/>
        <v/>
      </c>
      <c r="O78" s="48" t="str">
        <f t="shared" si="15"/>
        <v/>
      </c>
      <c r="P78" s="48">
        <f t="shared" si="16"/>
        <v>32</v>
      </c>
      <c r="Q78" s="40"/>
      <c r="R78" s="6" t="s">
        <v>106</v>
      </c>
      <c r="S78" s="11">
        <v>44777.0</v>
      </c>
      <c r="T78" s="50">
        <f>VLOOKUP(R78,'Run Reconcile'!$A$2:$M672,13,FALSE)</f>
        <v>32</v>
      </c>
      <c r="U78" s="51" t="str">
        <f t="shared" si="17"/>
        <v/>
      </c>
      <c r="V78" s="50"/>
      <c r="W78" s="50"/>
      <c r="X78" s="40"/>
      <c r="Y78" s="6" t="str">
        <f>IFERROR(__xludf.DUMMYFUNCTION("""COMPUTED_VALUE"""),"RUN-COMB_2022-08-15_RFR-095")</f>
        <v>RUN-COMB_2022-08-15_RFR-095</v>
      </c>
      <c r="Z78" s="11">
        <f>IFERROR(__xludf.DUMMYFUNCTION("""COMPUTED_VALUE"""),44788.0)</f>
        <v>44788</v>
      </c>
      <c r="AA78" s="47">
        <f t="array" ref="AA78">INDEX('RFR Data - preExcl'!AK$2:AK672,$AE78,1)</f>
        <v>37</v>
      </c>
      <c r="AB78" s="50">
        <f t="shared" si="18"/>
        <v>37</v>
      </c>
      <c r="AC78" s="50">
        <f t="array" ref="AC78">INDEX('RFR Data - preExcl'!AI$2:AI672,$AE78,1)</f>
        <v>0</v>
      </c>
      <c r="AD78" s="50">
        <f t="array" ref="AD78">INDEX('RFR Data - preExcl'!AF$2:AF672,$AE78,1)</f>
        <v>0</v>
      </c>
      <c r="AE78" s="52">
        <f>IFNA(MATCH(Y78,'RFR Data - preExcl'!A$2:A672,0),"")</f>
        <v>95</v>
      </c>
      <c r="AF78" s="40"/>
      <c r="AN78" s="40"/>
      <c r="AO78" s="6" t="str">
        <f>'APS Tubes by Date Import'!B77</f>
        <v/>
      </c>
      <c r="AP78" s="50" t="str">
        <f>'APS Tubes by Date Import'!D77</f>
        <v/>
      </c>
      <c r="AQ78" s="50" t="str">
        <f>'APS Tubes by Date Import'!E77</f>
        <v/>
      </c>
      <c r="AR78" s="50" t="str">
        <f>'APS Tubes by Date Import'!F77</f>
        <v/>
      </c>
      <c r="AS78" s="50" t="str">
        <f>'APS Tubes by Date Import'!G77</f>
        <v/>
      </c>
      <c r="AU78" s="40"/>
    </row>
    <row r="79">
      <c r="A79" s="6" t="s">
        <v>103</v>
      </c>
      <c r="B79" s="43">
        <f>VLOOKUP(A79,'Run Reconcile'!A$2:B672,2,FALSE)</f>
        <v>44781</v>
      </c>
      <c r="C79" s="44">
        <f>COUNTIF('ALL Tube Results'!B78:B672, A79)
</f>
        <v>26</v>
      </c>
      <c r="D79" s="45">
        <f>COUNTIFS('ALL Tube Results'!$B78:$B672, $A79, 'ALL Tube Results'!$F78:$F672, "Negative")
</f>
        <v>25</v>
      </c>
      <c r="E79" s="45">
        <f>COUNTIFS('ALL Tube Results'!$B78:$B672, $A79, 'ALL Tube Results'!$F78:$F672, "Positive")
</f>
        <v>1</v>
      </c>
      <c r="F79" s="45">
        <f>COUNTIFS('ALL Tube Results'!$B78:$B672, $A79, 'ALL Tube Results'!$F78:$F672, "Inconclusive")
</f>
        <v>0</v>
      </c>
      <c r="G79" s="46">
        <f t="shared" si="7"/>
        <v>26</v>
      </c>
      <c r="H79" s="46" t="str">
        <f t="shared" si="8"/>
        <v/>
      </c>
      <c r="I79" s="47">
        <f t="shared" si="9"/>
        <v>26</v>
      </c>
      <c r="J79" s="47">
        <f t="shared" si="10"/>
        <v>1</v>
      </c>
      <c r="K79" s="47">
        <f t="shared" si="11"/>
        <v>0</v>
      </c>
      <c r="L79" s="47" t="str">
        <f t="shared" si="12"/>
        <v/>
      </c>
      <c r="M79" s="47" t="str">
        <f t="shared" si="13"/>
        <v/>
      </c>
      <c r="N79" s="47" t="str">
        <f t="shared" si="14"/>
        <v/>
      </c>
      <c r="O79" s="48">
        <f t="shared" si="15"/>
        <v>26</v>
      </c>
      <c r="P79" s="48" t="str">
        <f t="shared" si="16"/>
        <v/>
      </c>
      <c r="Q79" s="40"/>
      <c r="R79" s="6" t="s">
        <v>103</v>
      </c>
      <c r="S79" s="11">
        <v>44781.0</v>
      </c>
      <c r="T79" s="50">
        <f>VLOOKUP(R79,'Run Reconcile'!$A$2:$M672,13,FALSE)</f>
        <v>26</v>
      </c>
      <c r="U79" s="51" t="str">
        <f t="shared" si="17"/>
        <v/>
      </c>
      <c r="V79" s="50"/>
      <c r="W79" s="50"/>
      <c r="X79" s="40"/>
      <c r="Z79" s="11"/>
      <c r="AA79" s="50"/>
      <c r="AB79" s="50"/>
      <c r="AC79" s="50"/>
      <c r="AD79" s="50"/>
      <c r="AE79" s="52"/>
      <c r="AF79" s="40"/>
      <c r="AN79" s="40"/>
      <c r="AO79" s="6" t="str">
        <f>'APS Tubes by Date Import'!B78</f>
        <v/>
      </c>
      <c r="AP79" s="50" t="str">
        <f>'APS Tubes by Date Import'!D78</f>
        <v/>
      </c>
      <c r="AQ79" s="50" t="str">
        <f>'APS Tubes by Date Import'!E78</f>
        <v/>
      </c>
      <c r="AR79" s="50" t="str">
        <f>'APS Tubes by Date Import'!F78</f>
        <v/>
      </c>
      <c r="AS79" s="50" t="str">
        <f>'APS Tubes by Date Import'!G78</f>
        <v/>
      </c>
      <c r="AU79" s="40"/>
    </row>
    <row r="80">
      <c r="A80" s="6" t="s">
        <v>104</v>
      </c>
      <c r="B80" s="43">
        <f>VLOOKUP(A80,'Run Reconcile'!A$2:B672,2,FALSE)</f>
        <v>44782</v>
      </c>
      <c r="C80" s="44">
        <f>COUNTIF('ALL Tube Results'!B79:B672, A80)
</f>
        <v>20</v>
      </c>
      <c r="D80" s="45">
        <f>COUNTIFS('ALL Tube Results'!$B79:$B672, $A80, 'ALL Tube Results'!$F79:$F672, "Negative")
</f>
        <v>20</v>
      </c>
      <c r="E80" s="45">
        <f>COUNTIFS('ALL Tube Results'!$B79:$B672, $A80, 'ALL Tube Results'!$F79:$F672, "Positive")
</f>
        <v>0</v>
      </c>
      <c r="F80" s="45">
        <f>COUNTIFS('ALL Tube Results'!$B79:$B672, $A80, 'ALL Tube Results'!$F79:$F672, "Inconclusive")
</f>
        <v>0</v>
      </c>
      <c r="G80" s="46">
        <f t="shared" si="7"/>
        <v>20</v>
      </c>
      <c r="H80" s="46" t="str">
        <f t="shared" si="8"/>
        <v/>
      </c>
      <c r="I80" s="47">
        <f t="shared" si="9"/>
        <v>20</v>
      </c>
      <c r="J80" s="47">
        <f t="shared" si="10"/>
        <v>0</v>
      </c>
      <c r="K80" s="47">
        <f t="shared" si="11"/>
        <v>0</v>
      </c>
      <c r="L80" s="47" t="str">
        <f t="shared" si="12"/>
        <v/>
      </c>
      <c r="M80" s="47" t="str">
        <f t="shared" si="13"/>
        <v/>
      </c>
      <c r="N80" s="47" t="str">
        <f t="shared" si="14"/>
        <v/>
      </c>
      <c r="O80" s="48">
        <f t="shared" si="15"/>
        <v>20</v>
      </c>
      <c r="P80" s="48" t="str">
        <f t="shared" si="16"/>
        <v/>
      </c>
      <c r="Q80" s="40"/>
      <c r="R80" s="6" t="s">
        <v>104</v>
      </c>
      <c r="S80" s="11">
        <v>44782.0</v>
      </c>
      <c r="T80" s="50">
        <f>VLOOKUP(R80,'Run Reconcile'!$A$2:$M672,13,FALSE)</f>
        <v>20</v>
      </c>
      <c r="U80" s="51" t="str">
        <f t="shared" si="17"/>
        <v/>
      </c>
      <c r="V80" s="50"/>
      <c r="W80" s="50"/>
      <c r="X80" s="40"/>
      <c r="Z80" s="11"/>
      <c r="AA80" s="50"/>
      <c r="AB80" s="50"/>
      <c r="AC80" s="50"/>
      <c r="AD80" s="50"/>
      <c r="AE80" s="52"/>
      <c r="AF80" s="40"/>
      <c r="AN80" s="40"/>
      <c r="AP80" s="50"/>
      <c r="AQ80" s="50"/>
      <c r="AR80" s="50"/>
      <c r="AS80" s="50"/>
      <c r="AU80" s="40"/>
    </row>
    <row r="81">
      <c r="A81" s="6" t="s">
        <v>105</v>
      </c>
      <c r="B81" s="43">
        <f>VLOOKUP(A81,'Run Reconcile'!A$2:B672,2,FALSE)</f>
        <v>44783</v>
      </c>
      <c r="C81" s="44">
        <f>COUNTIF('ALL Tube Results'!B80:B672, A81)
</f>
        <v>16</v>
      </c>
      <c r="D81" s="45">
        <f>COUNTIFS('ALL Tube Results'!$B80:$B672, $A81, 'ALL Tube Results'!$F80:$F672, "Negative")
</f>
        <v>16</v>
      </c>
      <c r="E81" s="45">
        <f>COUNTIFS('ALL Tube Results'!$B80:$B672, $A81, 'ALL Tube Results'!$F80:$F672, "Positive")
</f>
        <v>0</v>
      </c>
      <c r="F81" s="45">
        <f>COUNTIFS('ALL Tube Results'!$B80:$B672, $A81, 'ALL Tube Results'!$F80:$F672, "Inconclusive")
</f>
        <v>0</v>
      </c>
      <c r="G81" s="46">
        <f t="shared" si="7"/>
        <v>16</v>
      </c>
      <c r="H81" s="46" t="str">
        <f t="shared" si="8"/>
        <v/>
      </c>
      <c r="I81" s="47" t="str">
        <f t="shared" si="9"/>
        <v/>
      </c>
      <c r="J81" s="47" t="str">
        <f t="shared" si="10"/>
        <v/>
      </c>
      <c r="K81" s="47" t="str">
        <f t="shared" si="11"/>
        <v/>
      </c>
      <c r="L81" s="47">
        <f t="shared" si="12"/>
        <v>16</v>
      </c>
      <c r="M81" s="47" t="str">
        <f t="shared" si="13"/>
        <v/>
      </c>
      <c r="N81" s="47" t="str">
        <f t="shared" si="14"/>
        <v/>
      </c>
      <c r="O81" s="48">
        <f t="shared" si="15"/>
        <v>16</v>
      </c>
      <c r="P81" s="48" t="str">
        <f t="shared" si="16"/>
        <v/>
      </c>
      <c r="Q81" s="40"/>
      <c r="R81" s="6" t="s">
        <v>105</v>
      </c>
      <c r="S81" s="11">
        <v>44783.0</v>
      </c>
      <c r="T81" s="50">
        <f>VLOOKUP(R81,'Run Reconcile'!$A$2:$M672,13,FALSE)</f>
        <v>16</v>
      </c>
      <c r="U81" s="51" t="str">
        <f t="shared" si="17"/>
        <v/>
      </c>
      <c r="V81" s="50"/>
      <c r="W81" s="50"/>
      <c r="X81" s="40"/>
      <c r="Z81" s="11"/>
      <c r="AA81" s="50"/>
      <c r="AB81" s="50"/>
      <c r="AC81" s="50"/>
      <c r="AD81" s="50"/>
      <c r="AE81" s="52"/>
      <c r="AF81" s="40"/>
      <c r="AN81" s="40"/>
      <c r="AP81" s="50"/>
      <c r="AQ81" s="50"/>
      <c r="AR81" s="50"/>
      <c r="AS81" s="50"/>
      <c r="AU81" s="40"/>
    </row>
    <row r="82">
      <c r="A82" s="6" t="s">
        <v>107</v>
      </c>
      <c r="B82" s="43">
        <f>VLOOKUP(A82,'Run Reconcile'!A$2:B672,2,FALSE)</f>
        <v>44788</v>
      </c>
      <c r="C82" s="44">
        <f>COUNTIF('ALL Tube Results'!B81:B672, A82)
</f>
        <v>37</v>
      </c>
      <c r="D82" s="45">
        <f>COUNTIFS('ALL Tube Results'!$B81:$B672, $A82, 'ALL Tube Results'!$F81:$F672, "Negative")
</f>
        <v>37</v>
      </c>
      <c r="E82" s="45">
        <f>COUNTIFS('ALL Tube Results'!$B81:$B672, $A82, 'ALL Tube Results'!$F81:$F672, "Positive")
</f>
        <v>0</v>
      </c>
      <c r="F82" s="45">
        <f>COUNTIFS('ALL Tube Results'!$B81:$B672, $A82, 'ALL Tube Results'!$F81:$F672, "Inconclusive")
</f>
        <v>0</v>
      </c>
      <c r="G82" s="46">
        <f t="shared" si="7"/>
        <v>37</v>
      </c>
      <c r="H82" s="46" t="str">
        <f t="shared" si="8"/>
        <v/>
      </c>
      <c r="I82" s="47">
        <f t="shared" si="9"/>
        <v>37</v>
      </c>
      <c r="J82" s="47">
        <f t="shared" si="10"/>
        <v>0</v>
      </c>
      <c r="K82" s="47">
        <f t="shared" si="11"/>
        <v>0</v>
      </c>
      <c r="L82" s="47" t="str">
        <f t="shared" si="12"/>
        <v/>
      </c>
      <c r="M82" s="47" t="str">
        <f t="shared" si="13"/>
        <v/>
      </c>
      <c r="N82" s="47" t="str">
        <f t="shared" si="14"/>
        <v/>
      </c>
      <c r="O82" s="48" t="str">
        <f t="shared" si="15"/>
        <v/>
      </c>
      <c r="P82" s="48">
        <f t="shared" si="16"/>
        <v>37</v>
      </c>
      <c r="Q82" s="40"/>
      <c r="R82" s="6" t="s">
        <v>107</v>
      </c>
      <c r="S82" s="11">
        <v>44788.0</v>
      </c>
      <c r="T82" s="50">
        <f>VLOOKUP(R82,'Run Reconcile'!$A$2:$M672,13,FALSE)</f>
        <v>37</v>
      </c>
      <c r="U82" s="51" t="str">
        <f t="shared" si="17"/>
        <v/>
      </c>
      <c r="V82" s="50"/>
      <c r="W82" s="50"/>
      <c r="X82" s="40"/>
      <c r="Z82" s="11"/>
      <c r="AA82" s="50"/>
      <c r="AB82" s="50"/>
      <c r="AC82" s="50"/>
      <c r="AD82" s="50"/>
      <c r="AE82" s="52"/>
      <c r="AF82" s="40"/>
      <c r="AN82" s="40"/>
      <c r="AP82" s="50"/>
      <c r="AQ82" s="50"/>
      <c r="AR82" s="50"/>
      <c r="AS82" s="50"/>
      <c r="AU82" s="40"/>
    </row>
    <row r="83">
      <c r="A83" s="6"/>
      <c r="B83" s="50"/>
      <c r="C83" s="50"/>
      <c r="D83" s="50"/>
      <c r="E83" s="50"/>
      <c r="F83" s="50"/>
      <c r="G83" s="50"/>
      <c r="H83" s="50"/>
      <c r="I83" s="50"/>
      <c r="J83" s="50"/>
      <c r="K83" s="50"/>
      <c r="L83" s="50"/>
      <c r="M83" s="57"/>
      <c r="N83" s="57"/>
      <c r="O83" s="57"/>
      <c r="P83" s="57"/>
      <c r="Q83" s="40"/>
      <c r="R83" s="6"/>
      <c r="S83" s="11"/>
      <c r="T83" s="50"/>
      <c r="U83" s="51"/>
      <c r="V83" s="50"/>
      <c r="W83" s="50"/>
      <c r="X83" s="40"/>
      <c r="Z83" s="11"/>
      <c r="AA83" s="50"/>
      <c r="AB83" s="50"/>
      <c r="AC83" s="50"/>
      <c r="AD83" s="50"/>
      <c r="AE83" s="52"/>
      <c r="AF83" s="40"/>
      <c r="AN83" s="40"/>
      <c r="AP83" s="50"/>
      <c r="AQ83" s="50"/>
      <c r="AR83" s="50"/>
      <c r="AS83" s="50"/>
      <c r="AU83" s="40"/>
    </row>
    <row r="84">
      <c r="A84" s="58"/>
      <c r="B84" s="50"/>
      <c r="C84" s="50"/>
      <c r="D84" s="50"/>
      <c r="E84" s="50"/>
      <c r="Q84" s="40"/>
      <c r="R84" s="6"/>
      <c r="S84" s="11"/>
      <c r="T84" s="50"/>
      <c r="U84" s="51"/>
      <c r="V84" s="50"/>
      <c r="W84" s="50"/>
      <c r="X84" s="40"/>
      <c r="Z84" s="11"/>
      <c r="AA84" s="50"/>
      <c r="AB84" s="50"/>
      <c r="AC84" s="50"/>
      <c r="AD84" s="50"/>
      <c r="AE84" s="52"/>
      <c r="AF84" s="40"/>
      <c r="AN84" s="40"/>
      <c r="AP84" s="50"/>
      <c r="AQ84" s="50"/>
      <c r="AR84" s="50"/>
      <c r="AS84" s="50"/>
      <c r="AU84" s="40"/>
    </row>
    <row r="85">
      <c r="B85" s="50"/>
      <c r="C85" s="50"/>
      <c r="D85" s="50"/>
      <c r="E85" s="50"/>
      <c r="Q85" s="40"/>
      <c r="R85" s="6"/>
      <c r="S85" s="11"/>
      <c r="T85" s="50"/>
      <c r="U85" s="51"/>
      <c r="V85" s="50"/>
      <c r="W85" s="50"/>
      <c r="X85" s="40"/>
      <c r="Z85" s="11"/>
      <c r="AA85" s="50"/>
      <c r="AB85" s="50"/>
      <c r="AC85" s="50"/>
      <c r="AD85" s="50"/>
      <c r="AE85" s="52"/>
      <c r="AF85" s="40"/>
      <c r="AN85" s="40"/>
      <c r="AP85" s="50"/>
      <c r="AQ85" s="50"/>
      <c r="AR85" s="50"/>
      <c r="AS85" s="50"/>
      <c r="AU85" s="40"/>
    </row>
    <row r="86">
      <c r="B86" s="50"/>
      <c r="C86" s="50"/>
      <c r="D86" s="50"/>
      <c r="E86" s="50"/>
      <c r="Q86" s="40"/>
      <c r="R86" s="6"/>
      <c r="S86" s="11"/>
      <c r="T86" s="50"/>
      <c r="U86" s="51" t="str">
        <f t="shared" ref="U86:U100" si="19">IF(EXACT(A85,R85),IFERROR(0/0,""),FALSE)</f>
        <v/>
      </c>
      <c r="V86" s="50"/>
      <c r="W86" s="50"/>
      <c r="X86" s="40"/>
      <c r="Z86" s="11"/>
      <c r="AA86" s="50"/>
      <c r="AB86" s="50"/>
      <c r="AC86" s="50"/>
      <c r="AD86" s="50"/>
      <c r="AE86" s="52"/>
      <c r="AF86" s="40"/>
      <c r="AN86" s="40"/>
      <c r="AP86" s="50"/>
      <c r="AQ86" s="50"/>
      <c r="AR86" s="50"/>
      <c r="AS86" s="50"/>
      <c r="AU86" s="40"/>
    </row>
    <row r="87">
      <c r="B87" s="50"/>
      <c r="C87" s="50"/>
      <c r="D87" s="50"/>
      <c r="E87" s="50"/>
      <c r="Q87" s="40"/>
      <c r="R87" s="6"/>
      <c r="S87" s="11"/>
      <c r="T87" s="50"/>
      <c r="U87" s="51" t="str">
        <f t="shared" si="19"/>
        <v/>
      </c>
      <c r="V87" s="50"/>
      <c r="W87" s="50"/>
      <c r="X87" s="40"/>
      <c r="Z87" s="11"/>
      <c r="AA87" s="50"/>
      <c r="AB87" s="50"/>
      <c r="AC87" s="50"/>
      <c r="AD87" s="50"/>
      <c r="AE87" s="52"/>
      <c r="AF87" s="40"/>
      <c r="AN87" s="40"/>
      <c r="AP87" s="50"/>
      <c r="AQ87" s="50"/>
      <c r="AR87" s="50"/>
      <c r="AS87" s="50"/>
      <c r="AU87" s="40"/>
    </row>
    <row r="88">
      <c r="B88" s="50"/>
      <c r="C88" s="50"/>
      <c r="D88" s="50"/>
      <c r="E88" s="50"/>
      <c r="Q88" s="40"/>
      <c r="R88" s="6"/>
      <c r="S88" s="11"/>
      <c r="T88" s="50"/>
      <c r="U88" s="51" t="str">
        <f t="shared" si="19"/>
        <v/>
      </c>
      <c r="V88" s="50"/>
      <c r="W88" s="50"/>
      <c r="X88" s="40"/>
      <c r="Z88" s="11"/>
      <c r="AA88" s="50"/>
      <c r="AB88" s="50"/>
      <c r="AC88" s="50"/>
      <c r="AD88" s="50"/>
      <c r="AE88" s="52"/>
      <c r="AF88" s="40"/>
      <c r="AN88" s="40"/>
      <c r="AP88" s="50"/>
      <c r="AQ88" s="50"/>
      <c r="AR88" s="50"/>
      <c r="AS88" s="50"/>
      <c r="AU88" s="40"/>
    </row>
    <row r="89">
      <c r="B89" s="50"/>
      <c r="C89" s="50"/>
      <c r="D89" s="50"/>
      <c r="E89" s="50"/>
      <c r="Q89" s="40"/>
      <c r="R89" s="6"/>
      <c r="S89" s="11"/>
      <c r="T89" s="50"/>
      <c r="U89" s="51" t="str">
        <f t="shared" si="19"/>
        <v/>
      </c>
      <c r="V89" s="50"/>
      <c r="W89" s="50"/>
      <c r="X89" s="40"/>
      <c r="Z89" s="11"/>
      <c r="AA89" s="50"/>
      <c r="AB89" s="50"/>
      <c r="AC89" s="50"/>
      <c r="AD89" s="50"/>
      <c r="AE89" s="52"/>
      <c r="AF89" s="40"/>
      <c r="AN89" s="40"/>
      <c r="AP89" s="50"/>
      <c r="AQ89" s="50"/>
      <c r="AR89" s="50"/>
      <c r="AS89" s="50"/>
      <c r="AU89" s="40"/>
    </row>
    <row r="90">
      <c r="B90" s="50"/>
      <c r="C90" s="50"/>
      <c r="D90" s="50"/>
      <c r="E90" s="50"/>
      <c r="Q90" s="40"/>
      <c r="R90" s="6"/>
      <c r="S90" s="11"/>
      <c r="T90" s="50"/>
      <c r="U90" s="51" t="str">
        <f t="shared" si="19"/>
        <v/>
      </c>
      <c r="V90" s="50"/>
      <c r="W90" s="50"/>
      <c r="X90" s="40"/>
      <c r="Z90" s="11"/>
      <c r="AA90" s="50"/>
      <c r="AB90" s="50"/>
      <c r="AC90" s="50"/>
      <c r="AD90" s="50"/>
      <c r="AE90" s="52"/>
      <c r="AF90" s="40"/>
      <c r="AN90" s="40"/>
      <c r="AP90" s="50"/>
      <c r="AQ90" s="50"/>
      <c r="AR90" s="50"/>
      <c r="AS90" s="50"/>
      <c r="AU90" s="40"/>
    </row>
    <row r="91">
      <c r="B91" s="50"/>
      <c r="C91" s="50"/>
      <c r="D91" s="50"/>
      <c r="E91" s="50"/>
      <c r="Q91" s="40"/>
      <c r="R91" s="6"/>
      <c r="S91" s="11"/>
      <c r="T91" s="50"/>
      <c r="U91" s="51" t="str">
        <f t="shared" si="19"/>
        <v/>
      </c>
      <c r="V91" s="50"/>
      <c r="W91" s="50"/>
      <c r="X91" s="40"/>
      <c r="Z91" s="11"/>
      <c r="AA91" s="50"/>
      <c r="AB91" s="50"/>
      <c r="AC91" s="50"/>
      <c r="AD91" s="50"/>
      <c r="AE91" s="52"/>
      <c r="AF91" s="40"/>
      <c r="AN91" s="40"/>
      <c r="AP91" s="50"/>
      <c r="AQ91" s="50"/>
      <c r="AR91" s="50"/>
      <c r="AS91" s="50"/>
      <c r="AU91" s="40"/>
    </row>
    <row r="92">
      <c r="B92" s="50"/>
      <c r="C92" s="50"/>
      <c r="D92" s="50"/>
      <c r="E92" s="50"/>
      <c r="Q92" s="40"/>
      <c r="R92" s="6"/>
      <c r="S92" s="11"/>
      <c r="T92" s="50"/>
      <c r="U92" s="51" t="str">
        <f t="shared" si="19"/>
        <v/>
      </c>
      <c r="V92" s="50"/>
      <c r="W92" s="50"/>
      <c r="X92" s="40"/>
      <c r="Z92" s="11"/>
      <c r="AA92" s="50"/>
      <c r="AB92" s="50"/>
      <c r="AC92" s="50"/>
      <c r="AD92" s="50"/>
      <c r="AE92" s="52"/>
      <c r="AF92" s="40"/>
      <c r="AN92" s="40"/>
      <c r="AP92" s="50"/>
      <c r="AQ92" s="50"/>
      <c r="AR92" s="50"/>
      <c r="AS92" s="50"/>
      <c r="AU92" s="40"/>
    </row>
    <row r="93">
      <c r="B93" s="50"/>
      <c r="C93" s="50"/>
      <c r="D93" s="50"/>
      <c r="E93" s="50"/>
      <c r="Q93" s="40"/>
      <c r="R93" s="6"/>
      <c r="S93" s="11"/>
      <c r="T93" s="50"/>
      <c r="U93" s="51" t="str">
        <f t="shared" si="19"/>
        <v/>
      </c>
      <c r="V93" s="50"/>
      <c r="W93" s="50"/>
      <c r="X93" s="40"/>
      <c r="Z93" s="11"/>
      <c r="AA93" s="50"/>
      <c r="AB93" s="50"/>
      <c r="AC93" s="50"/>
      <c r="AD93" s="50"/>
      <c r="AE93" s="52"/>
      <c r="AF93" s="40"/>
      <c r="AN93" s="40"/>
      <c r="AP93" s="50"/>
      <c r="AQ93" s="50"/>
      <c r="AR93" s="50"/>
      <c r="AS93" s="50"/>
      <c r="AU93" s="40"/>
    </row>
    <row r="94">
      <c r="B94" s="50"/>
      <c r="C94" s="50"/>
      <c r="D94" s="50"/>
      <c r="E94" s="50"/>
      <c r="Q94" s="40"/>
      <c r="R94" s="6"/>
      <c r="S94" s="11"/>
      <c r="T94" s="50"/>
      <c r="U94" s="51" t="str">
        <f t="shared" si="19"/>
        <v/>
      </c>
      <c r="V94" s="50"/>
      <c r="W94" s="50"/>
      <c r="X94" s="40"/>
      <c r="Z94" s="11"/>
      <c r="AA94" s="50"/>
      <c r="AB94" s="50"/>
      <c r="AC94" s="50"/>
      <c r="AD94" s="50"/>
      <c r="AE94" s="52"/>
      <c r="AF94" s="40"/>
      <c r="AN94" s="40"/>
      <c r="AP94" s="50"/>
      <c r="AQ94" s="50"/>
      <c r="AR94" s="50"/>
      <c r="AS94" s="50"/>
      <c r="AU94" s="40"/>
    </row>
    <row r="95">
      <c r="B95" s="50"/>
      <c r="C95" s="50"/>
      <c r="D95" s="50"/>
      <c r="E95" s="50"/>
      <c r="Q95" s="40"/>
      <c r="R95" s="6"/>
      <c r="S95" s="11"/>
      <c r="T95" s="50"/>
      <c r="U95" s="51" t="str">
        <f t="shared" si="19"/>
        <v/>
      </c>
      <c r="V95" s="50"/>
      <c r="W95" s="50"/>
      <c r="X95" s="40"/>
      <c r="Z95" s="11"/>
      <c r="AA95" s="50"/>
      <c r="AB95" s="50"/>
      <c r="AC95" s="50"/>
      <c r="AD95" s="50"/>
      <c r="AE95" s="52"/>
      <c r="AF95" s="40"/>
      <c r="AN95" s="40"/>
      <c r="AP95" s="50"/>
      <c r="AQ95" s="50"/>
      <c r="AR95" s="50"/>
      <c r="AS95" s="50"/>
      <c r="AU95" s="40"/>
    </row>
    <row r="96">
      <c r="B96" s="50"/>
      <c r="C96" s="50"/>
      <c r="D96" s="50"/>
      <c r="E96" s="50"/>
      <c r="Q96" s="40"/>
      <c r="R96" s="6"/>
      <c r="S96" s="11"/>
      <c r="T96" s="50"/>
      <c r="U96" s="51" t="str">
        <f t="shared" si="19"/>
        <v/>
      </c>
      <c r="V96" s="50"/>
      <c r="W96" s="50"/>
      <c r="X96" s="40"/>
      <c r="Z96" s="11"/>
      <c r="AA96" s="50"/>
      <c r="AB96" s="50"/>
      <c r="AC96" s="50"/>
      <c r="AD96" s="50"/>
      <c r="AE96" s="52"/>
      <c r="AF96" s="40"/>
      <c r="AN96" s="40"/>
      <c r="AP96" s="50"/>
      <c r="AQ96" s="50"/>
      <c r="AR96" s="50"/>
      <c r="AS96" s="50"/>
      <c r="AU96" s="40"/>
    </row>
    <row r="97">
      <c r="B97" s="50"/>
      <c r="C97" s="50"/>
      <c r="D97" s="50"/>
      <c r="E97" s="50"/>
      <c r="Q97" s="40"/>
      <c r="R97" s="6"/>
      <c r="S97" s="11"/>
      <c r="T97" s="50"/>
      <c r="U97" s="51" t="str">
        <f t="shared" si="19"/>
        <v/>
      </c>
      <c r="V97" s="50"/>
      <c r="W97" s="50"/>
      <c r="X97" s="40"/>
      <c r="Z97" s="11"/>
      <c r="AA97" s="50"/>
      <c r="AB97" s="50"/>
      <c r="AC97" s="50"/>
      <c r="AD97" s="50"/>
      <c r="AE97" s="52"/>
      <c r="AF97" s="40"/>
      <c r="AN97" s="40"/>
      <c r="AP97" s="50"/>
      <c r="AQ97" s="50"/>
      <c r="AR97" s="50"/>
      <c r="AS97" s="50"/>
      <c r="AU97" s="40"/>
    </row>
    <row r="98">
      <c r="B98" s="50"/>
      <c r="C98" s="50"/>
      <c r="D98" s="50"/>
      <c r="E98" s="50"/>
      <c r="Q98" s="40"/>
      <c r="R98" s="6"/>
      <c r="S98" s="11"/>
      <c r="T98" s="50"/>
      <c r="U98" s="51" t="str">
        <f t="shared" si="19"/>
        <v/>
      </c>
      <c r="V98" s="50"/>
      <c r="W98" s="50"/>
      <c r="X98" s="40"/>
      <c r="Z98" s="11"/>
      <c r="AA98" s="50"/>
      <c r="AB98" s="50"/>
      <c r="AC98" s="50"/>
      <c r="AD98" s="50"/>
      <c r="AE98" s="52"/>
      <c r="AF98" s="40"/>
      <c r="AN98" s="40"/>
      <c r="AP98" s="50"/>
      <c r="AQ98" s="50"/>
      <c r="AR98" s="50"/>
      <c r="AS98" s="50"/>
      <c r="AU98" s="40"/>
    </row>
    <row r="99">
      <c r="B99" s="50"/>
      <c r="C99" s="50"/>
      <c r="D99" s="50"/>
      <c r="E99" s="50"/>
      <c r="Q99" s="40"/>
      <c r="R99" s="6"/>
      <c r="S99" s="11"/>
      <c r="T99" s="50"/>
      <c r="U99" s="51" t="str">
        <f t="shared" si="19"/>
        <v/>
      </c>
      <c r="V99" s="50"/>
      <c r="W99" s="50"/>
      <c r="X99" s="40"/>
      <c r="Z99" s="11"/>
      <c r="AA99" s="50"/>
      <c r="AB99" s="50"/>
      <c r="AC99" s="50"/>
      <c r="AD99" s="50"/>
      <c r="AE99" s="52"/>
      <c r="AF99" s="40"/>
      <c r="AN99" s="40"/>
      <c r="AP99" s="50"/>
      <c r="AQ99" s="50"/>
      <c r="AR99" s="50"/>
      <c r="AS99" s="50"/>
      <c r="AU99" s="40"/>
    </row>
    <row r="100">
      <c r="B100" s="50"/>
      <c r="C100" s="50"/>
      <c r="D100" s="50"/>
      <c r="E100" s="50"/>
      <c r="Q100" s="40"/>
      <c r="R100" s="6"/>
      <c r="S100" s="11"/>
      <c r="T100" s="50"/>
      <c r="U100" s="51" t="str">
        <f t="shared" si="19"/>
        <v/>
      </c>
      <c r="V100" s="50"/>
      <c r="W100" s="50"/>
      <c r="X100" s="40"/>
      <c r="Z100" s="11"/>
      <c r="AA100" s="50"/>
      <c r="AB100" s="50"/>
      <c r="AC100" s="50"/>
      <c r="AD100" s="50"/>
      <c r="AE100" s="52"/>
      <c r="AF100" s="40"/>
      <c r="AN100" s="40"/>
      <c r="AP100" s="50"/>
      <c r="AQ100" s="50"/>
      <c r="AR100" s="50"/>
      <c r="AS100" s="50"/>
      <c r="AU100" s="40"/>
    </row>
    <row r="101">
      <c r="B101" s="50"/>
      <c r="C101" s="50"/>
      <c r="D101" s="50"/>
      <c r="E101" s="50"/>
      <c r="Q101" s="40"/>
      <c r="R101" s="6"/>
      <c r="S101" s="11"/>
      <c r="T101" s="50"/>
      <c r="U101" s="51"/>
      <c r="V101" s="50"/>
      <c r="W101" s="50"/>
      <c r="X101" s="40"/>
      <c r="Z101" s="11"/>
      <c r="AA101" s="50"/>
      <c r="AB101" s="50"/>
      <c r="AC101" s="50"/>
      <c r="AD101" s="50"/>
      <c r="AE101" s="52"/>
      <c r="AF101" s="40"/>
      <c r="AN101" s="40"/>
      <c r="AP101" s="50"/>
      <c r="AQ101" s="50"/>
      <c r="AR101" s="50"/>
      <c r="AS101" s="50"/>
      <c r="AU101" s="40"/>
    </row>
    <row r="102">
      <c r="B102" s="50"/>
      <c r="C102" s="50"/>
      <c r="D102" s="50"/>
      <c r="E102" s="50"/>
      <c r="Q102" s="40"/>
      <c r="R102" s="6"/>
      <c r="S102" s="11"/>
      <c r="T102" s="50"/>
      <c r="U102" s="51"/>
      <c r="V102" s="50"/>
      <c r="W102" s="50"/>
      <c r="X102" s="40"/>
      <c r="Z102" s="11"/>
      <c r="AA102" s="50"/>
      <c r="AB102" s="50"/>
      <c r="AC102" s="50"/>
      <c r="AD102" s="50"/>
      <c r="AE102" s="52"/>
      <c r="AF102" s="40"/>
      <c r="AN102" s="40"/>
      <c r="AP102" s="50"/>
      <c r="AQ102" s="50"/>
      <c r="AR102" s="50"/>
      <c r="AS102" s="50"/>
      <c r="AU102" s="40"/>
    </row>
    <row r="103">
      <c r="B103" s="50"/>
      <c r="C103" s="50"/>
      <c r="D103" s="50"/>
      <c r="E103" s="50"/>
      <c r="Q103" s="40"/>
      <c r="R103" s="6"/>
      <c r="S103" s="11"/>
      <c r="T103" s="50"/>
      <c r="U103" s="51"/>
      <c r="V103" s="50"/>
      <c r="W103" s="50"/>
      <c r="X103" s="40"/>
      <c r="Z103" s="11"/>
      <c r="AA103" s="50"/>
      <c r="AB103" s="50"/>
      <c r="AC103" s="50"/>
      <c r="AD103" s="50"/>
      <c r="AE103" s="52"/>
      <c r="AF103" s="40"/>
      <c r="AN103" s="40"/>
      <c r="AP103" s="50"/>
      <c r="AQ103" s="50"/>
      <c r="AR103" s="50"/>
      <c r="AS103" s="50"/>
      <c r="AU103" s="40"/>
    </row>
    <row r="104">
      <c r="B104" s="50"/>
      <c r="C104" s="50"/>
      <c r="D104" s="50"/>
      <c r="E104" s="50"/>
      <c r="Q104" s="40"/>
      <c r="R104" s="6"/>
      <c r="S104" s="11"/>
      <c r="T104" s="50"/>
      <c r="U104" s="51"/>
      <c r="V104" s="50"/>
      <c r="W104" s="50"/>
      <c r="X104" s="40"/>
      <c r="Z104" s="11"/>
      <c r="AA104" s="50"/>
      <c r="AB104" s="50"/>
      <c r="AC104" s="50"/>
      <c r="AD104" s="50"/>
      <c r="AE104" s="52"/>
      <c r="AF104" s="40"/>
      <c r="AN104" s="40"/>
      <c r="AP104" s="50"/>
      <c r="AQ104" s="50"/>
      <c r="AR104" s="50"/>
      <c r="AS104" s="50"/>
      <c r="AU104" s="40"/>
    </row>
    <row r="105">
      <c r="B105" s="50"/>
      <c r="C105" s="50"/>
      <c r="D105" s="50"/>
      <c r="E105" s="50"/>
      <c r="Q105" s="40"/>
      <c r="R105" s="6"/>
      <c r="S105" s="11"/>
      <c r="T105" s="50"/>
      <c r="U105" s="51"/>
      <c r="V105" s="50"/>
      <c r="W105" s="50"/>
      <c r="X105" s="40"/>
      <c r="Z105" s="11"/>
      <c r="AA105" s="50"/>
      <c r="AB105" s="50"/>
      <c r="AC105" s="50"/>
      <c r="AD105" s="50"/>
      <c r="AE105" s="52"/>
      <c r="AF105" s="40"/>
      <c r="AN105" s="40"/>
      <c r="AP105" s="50"/>
      <c r="AQ105" s="50"/>
      <c r="AR105" s="50"/>
      <c r="AS105" s="50"/>
      <c r="AU105" s="40"/>
    </row>
    <row r="106">
      <c r="B106" s="50"/>
      <c r="C106" s="50"/>
      <c r="D106" s="50"/>
      <c r="E106" s="50"/>
      <c r="Q106" s="40"/>
      <c r="R106" s="6"/>
      <c r="S106" s="11"/>
      <c r="T106" s="50"/>
      <c r="U106" s="51"/>
      <c r="V106" s="50"/>
      <c r="W106" s="50"/>
      <c r="X106" s="40"/>
      <c r="Z106" s="11"/>
      <c r="AA106" s="50"/>
      <c r="AB106" s="50"/>
      <c r="AC106" s="50"/>
      <c r="AD106" s="50"/>
      <c r="AE106" s="52"/>
      <c r="AF106" s="40"/>
      <c r="AN106" s="40"/>
      <c r="AP106" s="50"/>
      <c r="AQ106" s="50"/>
      <c r="AR106" s="50"/>
      <c r="AS106" s="50"/>
      <c r="AU106" s="40"/>
    </row>
    <row r="107">
      <c r="B107" s="50"/>
      <c r="C107" s="50"/>
      <c r="D107" s="50"/>
      <c r="E107" s="50"/>
      <c r="Q107" s="40"/>
      <c r="R107" s="6"/>
      <c r="S107" s="11"/>
      <c r="T107" s="50"/>
      <c r="U107" s="51"/>
      <c r="V107" s="50"/>
      <c r="W107" s="50"/>
      <c r="X107" s="40"/>
      <c r="Z107" s="11"/>
      <c r="AA107" s="50"/>
      <c r="AB107" s="50"/>
      <c r="AC107" s="50"/>
      <c r="AD107" s="50"/>
      <c r="AE107" s="52"/>
      <c r="AF107" s="40"/>
      <c r="AN107" s="40"/>
      <c r="AP107" s="50"/>
      <c r="AQ107" s="50"/>
      <c r="AR107" s="50"/>
      <c r="AS107" s="50"/>
      <c r="AU107" s="40"/>
    </row>
    <row r="108">
      <c r="B108" s="50"/>
      <c r="C108" s="50"/>
      <c r="D108" s="50"/>
      <c r="E108" s="50"/>
      <c r="Q108" s="40"/>
      <c r="R108" s="6"/>
      <c r="S108" s="11"/>
      <c r="T108" s="50"/>
      <c r="U108" s="51"/>
      <c r="V108" s="50"/>
      <c r="W108" s="50"/>
      <c r="X108" s="40"/>
      <c r="Z108" s="11"/>
      <c r="AA108" s="50"/>
      <c r="AB108" s="50"/>
      <c r="AC108" s="50"/>
      <c r="AD108" s="50"/>
      <c r="AE108" s="52"/>
      <c r="AF108" s="40"/>
      <c r="AN108" s="40"/>
      <c r="AP108" s="50"/>
      <c r="AQ108" s="50"/>
      <c r="AR108" s="50"/>
      <c r="AS108" s="50"/>
      <c r="AU108" s="40"/>
    </row>
    <row r="109">
      <c r="B109" s="50"/>
      <c r="C109" s="50"/>
      <c r="D109" s="50"/>
      <c r="E109" s="50"/>
      <c r="Q109" s="40"/>
      <c r="R109" s="6"/>
      <c r="S109" s="11"/>
      <c r="T109" s="50"/>
      <c r="U109" s="51"/>
      <c r="V109" s="50"/>
      <c r="W109" s="50"/>
      <c r="X109" s="40"/>
      <c r="Z109" s="11"/>
      <c r="AA109" s="50"/>
      <c r="AB109" s="50"/>
      <c r="AC109" s="50"/>
      <c r="AD109" s="50"/>
      <c r="AE109" s="52"/>
      <c r="AF109" s="40"/>
      <c r="AN109" s="40"/>
      <c r="AP109" s="50"/>
      <c r="AQ109" s="50"/>
      <c r="AR109" s="50"/>
      <c r="AS109" s="50"/>
      <c r="AU109" s="40"/>
    </row>
    <row r="110">
      <c r="B110" s="50"/>
      <c r="C110" s="50"/>
      <c r="D110" s="50"/>
      <c r="E110" s="50"/>
      <c r="Q110" s="40"/>
      <c r="R110" s="6"/>
      <c r="S110" s="11"/>
      <c r="T110" s="50"/>
      <c r="U110" s="51"/>
      <c r="V110" s="50"/>
      <c r="W110" s="50"/>
      <c r="X110" s="40"/>
      <c r="Z110" s="11"/>
      <c r="AA110" s="50"/>
      <c r="AB110" s="50"/>
      <c r="AC110" s="50"/>
      <c r="AD110" s="50"/>
      <c r="AE110" s="52"/>
      <c r="AF110" s="40"/>
      <c r="AN110" s="40"/>
      <c r="AP110" s="50"/>
      <c r="AQ110" s="50"/>
      <c r="AR110" s="50"/>
      <c r="AS110" s="50"/>
      <c r="AU110" s="40"/>
    </row>
    <row r="111">
      <c r="B111" s="50"/>
      <c r="C111" s="50"/>
      <c r="D111" s="50"/>
      <c r="E111" s="50"/>
      <c r="Q111" s="40"/>
      <c r="R111" s="6"/>
      <c r="S111" s="11"/>
      <c r="T111" s="50"/>
      <c r="U111" s="51"/>
      <c r="V111" s="50"/>
      <c r="W111" s="50"/>
      <c r="X111" s="40"/>
      <c r="Z111" s="11"/>
      <c r="AA111" s="50"/>
      <c r="AB111" s="50"/>
      <c r="AC111" s="50"/>
      <c r="AD111" s="50"/>
      <c r="AE111" s="52"/>
      <c r="AF111" s="40"/>
      <c r="AN111" s="40"/>
      <c r="AP111" s="50"/>
      <c r="AQ111" s="50"/>
      <c r="AR111" s="50"/>
      <c r="AS111" s="50"/>
      <c r="AU111" s="40"/>
    </row>
    <row r="112">
      <c r="B112" s="50"/>
      <c r="C112" s="50"/>
      <c r="D112" s="50"/>
      <c r="E112" s="50"/>
      <c r="Q112" s="40"/>
      <c r="R112" s="6"/>
      <c r="S112" s="11"/>
      <c r="T112" s="50"/>
      <c r="U112" s="51"/>
      <c r="V112" s="50"/>
      <c r="W112" s="50"/>
      <c r="X112" s="40"/>
      <c r="Z112" s="11"/>
      <c r="AA112" s="50"/>
      <c r="AB112" s="50"/>
      <c r="AC112" s="50"/>
      <c r="AD112" s="50"/>
      <c r="AE112" s="52"/>
      <c r="AF112" s="40"/>
      <c r="AN112" s="40"/>
      <c r="AP112" s="50"/>
      <c r="AQ112" s="50"/>
      <c r="AR112" s="50"/>
      <c r="AS112" s="50"/>
      <c r="AU112" s="40"/>
    </row>
    <row r="113">
      <c r="B113" s="50"/>
      <c r="C113" s="50"/>
      <c r="D113" s="50"/>
      <c r="E113" s="50"/>
      <c r="Q113" s="40"/>
      <c r="R113" s="6"/>
      <c r="S113" s="11"/>
      <c r="T113" s="50"/>
      <c r="U113" s="51"/>
      <c r="V113" s="50"/>
      <c r="W113" s="50"/>
      <c r="X113" s="40"/>
      <c r="Z113" s="11"/>
      <c r="AA113" s="50"/>
      <c r="AB113" s="50"/>
      <c r="AC113" s="50"/>
      <c r="AD113" s="50"/>
      <c r="AE113" s="52"/>
      <c r="AF113" s="40"/>
      <c r="AN113" s="40"/>
      <c r="AP113" s="50"/>
      <c r="AQ113" s="50"/>
      <c r="AR113" s="50"/>
      <c r="AS113" s="50"/>
      <c r="AU113" s="40"/>
    </row>
    <row r="114">
      <c r="B114" s="50"/>
      <c r="C114" s="50"/>
      <c r="D114" s="50"/>
      <c r="E114" s="50"/>
      <c r="Q114" s="40"/>
      <c r="R114" s="6"/>
      <c r="S114" s="11"/>
      <c r="T114" s="50"/>
      <c r="U114" s="51"/>
      <c r="V114" s="50"/>
      <c r="W114" s="50"/>
      <c r="X114" s="40"/>
      <c r="Z114" s="11"/>
      <c r="AA114" s="50"/>
      <c r="AB114" s="50"/>
      <c r="AC114" s="50"/>
      <c r="AD114" s="50"/>
      <c r="AE114" s="52"/>
      <c r="AF114" s="40"/>
      <c r="AN114" s="40"/>
      <c r="AP114" s="50"/>
      <c r="AQ114" s="50"/>
      <c r="AR114" s="50"/>
      <c r="AS114" s="50"/>
      <c r="AU114" s="40"/>
    </row>
    <row r="115">
      <c r="B115" s="50"/>
      <c r="C115" s="50"/>
      <c r="D115" s="50"/>
      <c r="E115" s="50"/>
      <c r="Q115" s="40"/>
      <c r="R115" s="6"/>
      <c r="S115" s="11"/>
      <c r="T115" s="50"/>
      <c r="U115" s="51"/>
      <c r="V115" s="50"/>
      <c r="W115" s="50"/>
      <c r="X115" s="40"/>
      <c r="Z115" s="11"/>
      <c r="AA115" s="50"/>
      <c r="AB115" s="50"/>
      <c r="AC115" s="50"/>
      <c r="AD115" s="50"/>
      <c r="AE115" s="52"/>
      <c r="AF115" s="40"/>
      <c r="AN115" s="40"/>
      <c r="AP115" s="50"/>
      <c r="AQ115" s="50"/>
      <c r="AR115" s="50"/>
      <c r="AS115" s="50"/>
      <c r="AU115" s="40"/>
    </row>
    <row r="116">
      <c r="B116" s="50"/>
      <c r="C116" s="50"/>
      <c r="D116" s="50"/>
      <c r="E116" s="50"/>
      <c r="Q116" s="40"/>
      <c r="R116" s="6"/>
      <c r="S116" s="11"/>
      <c r="T116" s="50"/>
      <c r="U116" s="51"/>
      <c r="V116" s="50"/>
      <c r="W116" s="50"/>
      <c r="X116" s="40"/>
      <c r="Z116" s="11"/>
      <c r="AA116" s="50"/>
      <c r="AB116" s="50"/>
      <c r="AC116" s="50"/>
      <c r="AD116" s="50"/>
      <c r="AE116" s="52"/>
      <c r="AF116" s="40"/>
      <c r="AN116" s="40"/>
      <c r="AP116" s="50"/>
      <c r="AQ116" s="50"/>
      <c r="AR116" s="50"/>
      <c r="AS116" s="50"/>
      <c r="AU116" s="40"/>
    </row>
    <row r="117">
      <c r="B117" s="50"/>
      <c r="C117" s="50"/>
      <c r="D117" s="50"/>
      <c r="E117" s="50"/>
      <c r="Q117" s="40"/>
      <c r="R117" s="6"/>
      <c r="S117" s="11"/>
      <c r="T117" s="50"/>
      <c r="U117" s="51"/>
      <c r="V117" s="50"/>
      <c r="W117" s="50"/>
      <c r="X117" s="40"/>
      <c r="Z117" s="11"/>
      <c r="AA117" s="50"/>
      <c r="AB117" s="50"/>
      <c r="AC117" s="50"/>
      <c r="AD117" s="50"/>
      <c r="AE117" s="52"/>
      <c r="AF117" s="40"/>
      <c r="AN117" s="40"/>
      <c r="AP117" s="50"/>
      <c r="AQ117" s="50"/>
      <c r="AR117" s="50"/>
      <c r="AS117" s="50"/>
      <c r="AU117" s="40"/>
    </row>
    <row r="118">
      <c r="B118" s="50"/>
      <c r="C118" s="50"/>
      <c r="D118" s="50"/>
      <c r="E118" s="50"/>
      <c r="Q118" s="40"/>
      <c r="R118" s="6"/>
      <c r="S118" s="11"/>
      <c r="T118" s="50"/>
      <c r="U118" s="51"/>
      <c r="V118" s="50"/>
      <c r="W118" s="50"/>
      <c r="X118" s="40"/>
      <c r="Z118" s="11"/>
      <c r="AA118" s="50"/>
      <c r="AB118" s="50"/>
      <c r="AC118" s="50"/>
      <c r="AD118" s="50"/>
      <c r="AE118" s="52"/>
      <c r="AF118" s="40"/>
      <c r="AN118" s="40"/>
      <c r="AP118" s="50"/>
      <c r="AQ118" s="50"/>
      <c r="AR118" s="50"/>
      <c r="AS118" s="50"/>
      <c r="AU118" s="40"/>
    </row>
    <row r="119">
      <c r="B119" s="50"/>
      <c r="C119" s="50"/>
      <c r="D119" s="50"/>
      <c r="E119" s="50"/>
      <c r="Q119" s="40"/>
      <c r="R119" s="6"/>
      <c r="S119" s="11"/>
      <c r="T119" s="50"/>
      <c r="U119" s="51"/>
      <c r="V119" s="50"/>
      <c r="W119" s="50"/>
      <c r="X119" s="40"/>
      <c r="Z119" s="11"/>
      <c r="AA119" s="50"/>
      <c r="AB119" s="50"/>
      <c r="AC119" s="50"/>
      <c r="AD119" s="50"/>
      <c r="AE119" s="52"/>
      <c r="AF119" s="40"/>
      <c r="AN119" s="40"/>
      <c r="AP119" s="50"/>
      <c r="AQ119" s="50"/>
      <c r="AR119" s="50"/>
      <c r="AS119" s="50"/>
      <c r="AU119" s="40"/>
    </row>
    <row r="120">
      <c r="B120" s="50"/>
      <c r="C120" s="50"/>
      <c r="D120" s="50"/>
      <c r="E120" s="50"/>
      <c r="Q120" s="40"/>
      <c r="R120" s="6"/>
      <c r="S120" s="11"/>
      <c r="T120" s="50"/>
      <c r="U120" s="51"/>
      <c r="V120" s="50"/>
      <c r="W120" s="50"/>
      <c r="X120" s="40"/>
      <c r="Z120" s="11"/>
      <c r="AA120" s="50"/>
      <c r="AB120" s="50"/>
      <c r="AC120" s="50"/>
      <c r="AD120" s="50"/>
      <c r="AE120" s="52"/>
      <c r="AF120" s="40"/>
      <c r="AN120" s="40"/>
      <c r="AP120" s="50"/>
      <c r="AQ120" s="50"/>
      <c r="AR120" s="50"/>
      <c r="AS120" s="50"/>
      <c r="AU120" s="40"/>
    </row>
    <row r="121">
      <c r="B121" s="50"/>
      <c r="C121" s="50"/>
      <c r="D121" s="50"/>
      <c r="E121" s="50"/>
      <c r="Q121" s="40"/>
      <c r="R121" s="6"/>
      <c r="S121" s="11"/>
      <c r="T121" s="50"/>
      <c r="U121" s="51"/>
      <c r="V121" s="50"/>
      <c r="W121" s="50"/>
      <c r="X121" s="40"/>
      <c r="Z121" s="11"/>
      <c r="AA121" s="50"/>
      <c r="AB121" s="50"/>
      <c r="AC121" s="50"/>
      <c r="AD121" s="50"/>
      <c r="AE121" s="52"/>
      <c r="AF121" s="40"/>
      <c r="AN121" s="40"/>
      <c r="AP121" s="50"/>
      <c r="AQ121" s="50"/>
      <c r="AR121" s="50"/>
      <c r="AS121" s="50"/>
      <c r="AU121" s="40"/>
    </row>
    <row r="122">
      <c r="B122" s="50"/>
      <c r="C122" s="50"/>
      <c r="D122" s="50"/>
      <c r="E122" s="50"/>
      <c r="Q122" s="40"/>
      <c r="R122" s="6"/>
      <c r="S122" s="11"/>
      <c r="T122" s="50"/>
      <c r="U122" s="51"/>
      <c r="V122" s="50"/>
      <c r="W122" s="50"/>
      <c r="X122" s="40"/>
      <c r="Z122" s="11"/>
      <c r="AA122" s="50"/>
      <c r="AB122" s="50"/>
      <c r="AC122" s="50"/>
      <c r="AD122" s="50"/>
      <c r="AE122" s="52"/>
      <c r="AF122" s="40"/>
      <c r="AN122" s="40"/>
      <c r="AP122" s="50"/>
      <c r="AQ122" s="50"/>
      <c r="AR122" s="50"/>
      <c r="AS122" s="50"/>
      <c r="AU122" s="40"/>
    </row>
    <row r="123">
      <c r="B123" s="50"/>
      <c r="C123" s="50"/>
      <c r="D123" s="50"/>
      <c r="E123" s="50"/>
      <c r="Q123" s="40"/>
      <c r="R123" s="6"/>
      <c r="S123" s="11"/>
      <c r="T123" s="50"/>
      <c r="U123" s="51"/>
      <c r="V123" s="50"/>
      <c r="W123" s="50"/>
      <c r="X123" s="40"/>
      <c r="Z123" s="11"/>
      <c r="AA123" s="50"/>
      <c r="AB123" s="50"/>
      <c r="AC123" s="50"/>
      <c r="AD123" s="50"/>
      <c r="AE123" s="52"/>
      <c r="AF123" s="40"/>
      <c r="AN123" s="40"/>
      <c r="AP123" s="50"/>
      <c r="AQ123" s="50"/>
      <c r="AR123" s="50"/>
      <c r="AS123" s="50"/>
      <c r="AU123" s="40"/>
    </row>
    <row r="124">
      <c r="B124" s="50"/>
      <c r="C124" s="50"/>
      <c r="D124" s="50"/>
      <c r="E124" s="50"/>
      <c r="Q124" s="40"/>
      <c r="R124" s="6"/>
      <c r="S124" s="11"/>
      <c r="T124" s="50"/>
      <c r="U124" s="51"/>
      <c r="V124" s="50"/>
      <c r="W124" s="50"/>
      <c r="X124" s="40"/>
      <c r="Z124" s="11"/>
      <c r="AA124" s="50"/>
      <c r="AB124" s="50"/>
      <c r="AC124" s="50"/>
      <c r="AD124" s="50"/>
      <c r="AE124" s="52"/>
      <c r="AF124" s="40"/>
      <c r="AN124" s="40"/>
      <c r="AP124" s="50"/>
      <c r="AQ124" s="50"/>
      <c r="AR124" s="50"/>
      <c r="AS124" s="50"/>
      <c r="AU124" s="40"/>
    </row>
    <row r="125">
      <c r="B125" s="50"/>
      <c r="C125" s="50"/>
      <c r="D125" s="50"/>
      <c r="E125" s="50"/>
      <c r="Q125" s="40"/>
      <c r="R125" s="6"/>
      <c r="S125" s="11"/>
      <c r="T125" s="50"/>
      <c r="U125" s="51"/>
      <c r="V125" s="50"/>
      <c r="W125" s="50"/>
      <c r="X125" s="40"/>
      <c r="Z125" s="11"/>
      <c r="AA125" s="50"/>
      <c r="AB125" s="50"/>
      <c r="AC125" s="50"/>
      <c r="AD125" s="50"/>
      <c r="AE125" s="52"/>
      <c r="AF125" s="40"/>
      <c r="AN125" s="40"/>
      <c r="AP125" s="50"/>
      <c r="AQ125" s="50"/>
      <c r="AR125" s="50"/>
      <c r="AS125" s="50"/>
      <c r="AU125" s="40"/>
    </row>
    <row r="126">
      <c r="B126" s="50"/>
      <c r="C126" s="50"/>
      <c r="D126" s="50"/>
      <c r="E126" s="50"/>
      <c r="Q126" s="40"/>
      <c r="R126" s="6"/>
      <c r="S126" s="11"/>
      <c r="T126" s="50"/>
      <c r="U126" s="51"/>
      <c r="V126" s="50"/>
      <c r="W126" s="50"/>
      <c r="X126" s="40"/>
      <c r="Z126" s="11"/>
      <c r="AA126" s="50"/>
      <c r="AB126" s="50"/>
      <c r="AC126" s="50"/>
      <c r="AD126" s="50"/>
      <c r="AE126" s="52"/>
      <c r="AF126" s="40"/>
      <c r="AN126" s="40"/>
      <c r="AP126" s="50"/>
      <c r="AQ126" s="50"/>
      <c r="AR126" s="50"/>
      <c r="AS126" s="50"/>
      <c r="AU126" s="40"/>
    </row>
    <row r="127">
      <c r="B127" s="50"/>
      <c r="C127" s="50"/>
      <c r="D127" s="50"/>
      <c r="E127" s="50"/>
      <c r="Q127" s="40"/>
      <c r="R127" s="6"/>
      <c r="S127" s="11"/>
      <c r="T127" s="50"/>
      <c r="U127" s="51"/>
      <c r="V127" s="50"/>
      <c r="W127" s="50"/>
      <c r="X127" s="40"/>
      <c r="Z127" s="11"/>
      <c r="AA127" s="50"/>
      <c r="AB127" s="50"/>
      <c r="AC127" s="50"/>
      <c r="AD127" s="50"/>
      <c r="AE127" s="52"/>
      <c r="AF127" s="40"/>
      <c r="AN127" s="40"/>
      <c r="AP127" s="50"/>
      <c r="AQ127" s="50"/>
      <c r="AR127" s="50"/>
      <c r="AS127" s="50"/>
      <c r="AU127" s="40"/>
    </row>
    <row r="128">
      <c r="B128" s="50"/>
      <c r="C128" s="50"/>
      <c r="D128" s="50"/>
      <c r="E128" s="50"/>
      <c r="Q128" s="40"/>
      <c r="R128" s="6"/>
      <c r="S128" s="11"/>
      <c r="T128" s="50"/>
      <c r="U128" s="51"/>
      <c r="V128" s="50"/>
      <c r="W128" s="50"/>
      <c r="X128" s="40"/>
      <c r="Z128" s="11"/>
      <c r="AA128" s="50"/>
      <c r="AB128" s="50"/>
      <c r="AC128" s="50"/>
      <c r="AD128" s="50"/>
      <c r="AE128" s="52"/>
      <c r="AF128" s="40"/>
      <c r="AN128" s="40"/>
      <c r="AP128" s="50"/>
      <c r="AQ128" s="50"/>
      <c r="AR128" s="50"/>
      <c r="AS128" s="50"/>
      <c r="AU128" s="40"/>
    </row>
    <row r="129">
      <c r="B129" s="50"/>
      <c r="C129" s="50"/>
      <c r="D129" s="50"/>
      <c r="E129" s="50"/>
      <c r="Q129" s="40"/>
      <c r="R129" s="6"/>
      <c r="S129" s="11"/>
      <c r="T129" s="50"/>
      <c r="U129" s="51"/>
      <c r="V129" s="50"/>
      <c r="W129" s="50"/>
      <c r="X129" s="40"/>
      <c r="Z129" s="11"/>
      <c r="AA129" s="50"/>
      <c r="AB129" s="50"/>
      <c r="AC129" s="50"/>
      <c r="AD129" s="50"/>
      <c r="AE129" s="52"/>
      <c r="AF129" s="40"/>
      <c r="AN129" s="40"/>
      <c r="AP129" s="50"/>
      <c r="AQ129" s="50"/>
      <c r="AR129" s="50"/>
      <c r="AS129" s="50"/>
      <c r="AU129" s="40"/>
    </row>
    <row r="130">
      <c r="B130" s="50"/>
      <c r="C130" s="50"/>
      <c r="D130" s="50"/>
      <c r="E130" s="50"/>
      <c r="Q130" s="40"/>
      <c r="R130" s="6"/>
      <c r="S130" s="11"/>
      <c r="T130" s="50"/>
      <c r="U130" s="51"/>
      <c r="V130" s="50"/>
      <c r="W130" s="50"/>
      <c r="X130" s="40"/>
      <c r="Z130" s="11"/>
      <c r="AA130" s="50"/>
      <c r="AB130" s="50"/>
      <c r="AC130" s="50"/>
      <c r="AD130" s="50"/>
      <c r="AE130" s="52"/>
      <c r="AF130" s="40"/>
      <c r="AN130" s="40"/>
      <c r="AP130" s="50"/>
      <c r="AQ130" s="50"/>
      <c r="AR130" s="50"/>
      <c r="AS130" s="50"/>
      <c r="AU130" s="40"/>
    </row>
    <row r="131">
      <c r="B131" s="50"/>
      <c r="C131" s="50"/>
      <c r="D131" s="50"/>
      <c r="E131" s="50"/>
      <c r="Q131" s="40"/>
      <c r="R131" s="6"/>
      <c r="S131" s="11"/>
      <c r="T131" s="50"/>
      <c r="U131" s="51"/>
      <c r="V131" s="50"/>
      <c r="W131" s="50"/>
      <c r="X131" s="40"/>
      <c r="Z131" s="11"/>
      <c r="AA131" s="50"/>
      <c r="AB131" s="50"/>
      <c r="AC131" s="50"/>
      <c r="AD131" s="50"/>
      <c r="AE131" s="52"/>
      <c r="AF131" s="40"/>
      <c r="AN131" s="40"/>
      <c r="AP131" s="50"/>
      <c r="AQ131" s="50"/>
      <c r="AR131" s="50"/>
      <c r="AS131" s="50"/>
      <c r="AU131" s="40"/>
    </row>
    <row r="132">
      <c r="B132" s="50"/>
      <c r="C132" s="50"/>
      <c r="D132" s="50"/>
      <c r="E132" s="50"/>
      <c r="Q132" s="40"/>
      <c r="R132" s="6"/>
      <c r="S132" s="11"/>
      <c r="T132" s="50"/>
      <c r="U132" s="51"/>
      <c r="V132" s="50"/>
      <c r="W132" s="50"/>
      <c r="X132" s="40"/>
      <c r="Z132" s="11"/>
      <c r="AA132" s="50"/>
      <c r="AB132" s="50"/>
      <c r="AC132" s="50"/>
      <c r="AD132" s="50"/>
      <c r="AE132" s="52"/>
      <c r="AF132" s="40"/>
      <c r="AN132" s="40"/>
      <c r="AP132" s="50"/>
      <c r="AQ132" s="50"/>
      <c r="AR132" s="50"/>
      <c r="AS132" s="50"/>
      <c r="AU132" s="40"/>
    </row>
    <row r="133">
      <c r="B133" s="50"/>
      <c r="C133" s="50"/>
      <c r="D133" s="50"/>
      <c r="E133" s="50"/>
      <c r="Q133" s="40"/>
      <c r="R133" s="6"/>
      <c r="S133" s="11"/>
      <c r="T133" s="50"/>
      <c r="U133" s="51"/>
      <c r="V133" s="50"/>
      <c r="W133" s="50"/>
      <c r="X133" s="40"/>
      <c r="Z133" s="11"/>
      <c r="AA133" s="50"/>
      <c r="AB133" s="50"/>
      <c r="AC133" s="50"/>
      <c r="AD133" s="50"/>
      <c r="AE133" s="52"/>
      <c r="AF133" s="40"/>
      <c r="AN133" s="40"/>
      <c r="AP133" s="50"/>
      <c r="AQ133" s="50"/>
      <c r="AR133" s="50"/>
      <c r="AS133" s="50"/>
      <c r="AU133" s="40"/>
    </row>
    <row r="134">
      <c r="B134" s="50"/>
      <c r="C134" s="50"/>
      <c r="D134" s="50"/>
      <c r="E134" s="50"/>
      <c r="Q134" s="40"/>
      <c r="R134" s="6"/>
      <c r="S134" s="11"/>
      <c r="T134" s="50"/>
      <c r="U134" s="51"/>
      <c r="V134" s="50"/>
      <c r="W134" s="50"/>
      <c r="X134" s="40"/>
      <c r="Z134" s="11"/>
      <c r="AA134" s="50"/>
      <c r="AB134" s="50"/>
      <c r="AC134" s="50"/>
      <c r="AD134" s="50"/>
      <c r="AE134" s="52"/>
      <c r="AF134" s="40"/>
      <c r="AN134" s="40"/>
      <c r="AP134" s="50"/>
      <c r="AQ134" s="50"/>
      <c r="AR134" s="50"/>
      <c r="AS134" s="50"/>
      <c r="AU134" s="40"/>
    </row>
    <row r="135">
      <c r="B135" s="50"/>
      <c r="C135" s="50"/>
      <c r="D135" s="50"/>
      <c r="E135" s="50"/>
      <c r="Q135" s="40"/>
      <c r="R135" s="6"/>
      <c r="S135" s="11"/>
      <c r="T135" s="50"/>
      <c r="U135" s="51"/>
      <c r="V135" s="50"/>
      <c r="W135" s="50"/>
      <c r="X135" s="40"/>
      <c r="Z135" s="11"/>
      <c r="AA135" s="50"/>
      <c r="AB135" s="50"/>
      <c r="AC135" s="50"/>
      <c r="AD135" s="50"/>
      <c r="AE135" s="52"/>
      <c r="AF135" s="40"/>
      <c r="AN135" s="40"/>
      <c r="AP135" s="50"/>
      <c r="AQ135" s="50"/>
      <c r="AR135" s="50"/>
      <c r="AS135" s="50"/>
      <c r="AU135" s="40"/>
    </row>
    <row r="136">
      <c r="B136" s="50"/>
      <c r="C136" s="50"/>
      <c r="D136" s="50"/>
      <c r="E136" s="50"/>
      <c r="Q136" s="40"/>
      <c r="R136" s="6"/>
      <c r="S136" s="11"/>
      <c r="T136" s="50"/>
      <c r="U136" s="51"/>
      <c r="V136" s="50"/>
      <c r="W136" s="50"/>
      <c r="X136" s="40"/>
      <c r="Z136" s="11"/>
      <c r="AA136" s="50"/>
      <c r="AB136" s="50"/>
      <c r="AC136" s="50"/>
      <c r="AD136" s="50"/>
      <c r="AE136" s="52"/>
      <c r="AF136" s="40"/>
      <c r="AN136" s="40"/>
      <c r="AP136" s="50"/>
      <c r="AQ136" s="50"/>
      <c r="AR136" s="50"/>
      <c r="AS136" s="50"/>
      <c r="AU136" s="40"/>
    </row>
    <row r="137">
      <c r="B137" s="50"/>
      <c r="C137" s="50"/>
      <c r="D137" s="50"/>
      <c r="E137" s="50"/>
      <c r="Q137" s="40"/>
      <c r="R137" s="6"/>
      <c r="S137" s="11"/>
      <c r="T137" s="50"/>
      <c r="U137" s="51"/>
      <c r="V137" s="50"/>
      <c r="W137" s="50"/>
      <c r="X137" s="40"/>
      <c r="Z137" s="11"/>
      <c r="AA137" s="50"/>
      <c r="AB137" s="50"/>
      <c r="AC137" s="50"/>
      <c r="AD137" s="50"/>
      <c r="AE137" s="52"/>
      <c r="AF137" s="40"/>
      <c r="AN137" s="40"/>
      <c r="AP137" s="50"/>
      <c r="AQ137" s="50"/>
      <c r="AR137" s="50"/>
      <c r="AS137" s="50"/>
      <c r="AU137" s="40"/>
    </row>
    <row r="138">
      <c r="B138" s="50"/>
      <c r="C138" s="50"/>
      <c r="D138" s="50"/>
      <c r="E138" s="50"/>
      <c r="Q138" s="40"/>
      <c r="R138" s="6"/>
      <c r="S138" s="11"/>
      <c r="T138" s="50"/>
      <c r="U138" s="51"/>
      <c r="V138" s="50"/>
      <c r="W138" s="50"/>
      <c r="X138" s="40"/>
      <c r="Z138" s="11"/>
      <c r="AA138" s="50"/>
      <c r="AB138" s="50"/>
      <c r="AC138" s="50"/>
      <c r="AD138" s="50"/>
      <c r="AE138" s="52"/>
      <c r="AF138" s="40"/>
      <c r="AN138" s="40"/>
      <c r="AP138" s="50"/>
      <c r="AQ138" s="50"/>
      <c r="AR138" s="50"/>
      <c r="AS138" s="50"/>
      <c r="AU138" s="40"/>
    </row>
    <row r="139">
      <c r="B139" s="50"/>
      <c r="C139" s="50"/>
      <c r="D139" s="50"/>
      <c r="E139" s="50"/>
      <c r="Q139" s="40"/>
      <c r="R139" s="6"/>
      <c r="S139" s="11"/>
      <c r="T139" s="50"/>
      <c r="U139" s="51"/>
      <c r="V139" s="50"/>
      <c r="W139" s="50"/>
      <c r="X139" s="40"/>
      <c r="Z139" s="11"/>
      <c r="AA139" s="50"/>
      <c r="AB139" s="50"/>
      <c r="AC139" s="50"/>
      <c r="AD139" s="50"/>
      <c r="AE139" s="52"/>
      <c r="AF139" s="40"/>
      <c r="AN139" s="40"/>
      <c r="AP139" s="50"/>
      <c r="AQ139" s="50"/>
      <c r="AR139" s="50"/>
      <c r="AS139" s="50"/>
      <c r="AU139" s="40"/>
    </row>
    <row r="140">
      <c r="B140" s="50"/>
      <c r="C140" s="50"/>
      <c r="D140" s="50"/>
      <c r="E140" s="50"/>
      <c r="Q140" s="40"/>
      <c r="R140" s="6"/>
      <c r="S140" s="11"/>
      <c r="T140" s="50"/>
      <c r="U140" s="51"/>
      <c r="V140" s="50"/>
      <c r="W140" s="50"/>
      <c r="X140" s="40"/>
      <c r="Z140" s="11"/>
      <c r="AA140" s="50"/>
      <c r="AB140" s="50"/>
      <c r="AC140" s="50"/>
      <c r="AD140" s="50"/>
      <c r="AE140" s="52"/>
      <c r="AF140" s="40"/>
      <c r="AN140" s="40"/>
      <c r="AP140" s="50"/>
      <c r="AQ140" s="50"/>
      <c r="AR140" s="50"/>
      <c r="AS140" s="50"/>
      <c r="AU140" s="40"/>
    </row>
    <row r="141">
      <c r="B141" s="50"/>
      <c r="C141" s="50"/>
      <c r="D141" s="50"/>
      <c r="E141" s="50"/>
      <c r="Q141" s="40"/>
      <c r="R141" s="6"/>
      <c r="S141" s="11"/>
      <c r="T141" s="50"/>
      <c r="U141" s="51"/>
      <c r="V141" s="50"/>
      <c r="W141" s="50"/>
      <c r="X141" s="40"/>
      <c r="Z141" s="11"/>
      <c r="AA141" s="50"/>
      <c r="AB141" s="50"/>
      <c r="AC141" s="50"/>
      <c r="AD141" s="50"/>
      <c r="AE141" s="52"/>
      <c r="AF141" s="40"/>
      <c r="AN141" s="40"/>
      <c r="AP141" s="50"/>
      <c r="AQ141" s="50"/>
      <c r="AR141" s="50"/>
      <c r="AS141" s="50"/>
      <c r="AU141" s="40"/>
    </row>
    <row r="142">
      <c r="B142" s="50"/>
      <c r="C142" s="50"/>
      <c r="D142" s="50"/>
      <c r="E142" s="50"/>
      <c r="Q142" s="40"/>
      <c r="R142" s="6"/>
      <c r="S142" s="11"/>
      <c r="T142" s="50"/>
      <c r="U142" s="51"/>
      <c r="V142" s="50"/>
      <c r="W142" s="50"/>
      <c r="X142" s="40"/>
      <c r="Z142" s="11"/>
      <c r="AA142" s="50"/>
      <c r="AB142" s="50"/>
      <c r="AC142" s="50"/>
      <c r="AD142" s="50"/>
      <c r="AE142" s="52"/>
      <c r="AF142" s="40"/>
      <c r="AN142" s="40"/>
      <c r="AP142" s="50"/>
      <c r="AQ142" s="50"/>
      <c r="AR142" s="50"/>
      <c r="AS142" s="50"/>
      <c r="AU142" s="40"/>
    </row>
    <row r="143">
      <c r="B143" s="50"/>
      <c r="C143" s="50"/>
      <c r="D143" s="50"/>
      <c r="E143" s="50"/>
      <c r="Q143" s="40"/>
      <c r="R143" s="6"/>
      <c r="S143" s="11"/>
      <c r="T143" s="50"/>
      <c r="U143" s="51"/>
      <c r="V143" s="50"/>
      <c r="W143" s="50"/>
      <c r="X143" s="40"/>
      <c r="Z143" s="11"/>
      <c r="AA143" s="50"/>
      <c r="AB143" s="50"/>
      <c r="AC143" s="50"/>
      <c r="AD143" s="50"/>
      <c r="AE143" s="52"/>
      <c r="AF143" s="40"/>
      <c r="AN143" s="40"/>
      <c r="AP143" s="50"/>
      <c r="AQ143" s="50"/>
      <c r="AR143" s="50"/>
      <c r="AS143" s="50"/>
      <c r="AU143" s="40"/>
    </row>
    <row r="144">
      <c r="B144" s="50"/>
      <c r="C144" s="50"/>
      <c r="D144" s="50"/>
      <c r="E144" s="50"/>
      <c r="Q144" s="40"/>
      <c r="R144" s="6"/>
      <c r="S144" s="11"/>
      <c r="T144" s="50"/>
      <c r="U144" s="51"/>
      <c r="V144" s="50"/>
      <c r="W144" s="50"/>
      <c r="X144" s="40"/>
      <c r="Z144" s="11"/>
      <c r="AA144" s="50"/>
      <c r="AB144" s="50"/>
      <c r="AC144" s="50"/>
      <c r="AD144" s="50"/>
      <c r="AE144" s="52"/>
      <c r="AF144" s="40"/>
      <c r="AN144" s="40"/>
      <c r="AP144" s="50"/>
      <c r="AQ144" s="50"/>
      <c r="AR144" s="50"/>
      <c r="AS144" s="50"/>
      <c r="AU144" s="40"/>
    </row>
    <row r="145">
      <c r="B145" s="50"/>
      <c r="C145" s="50"/>
      <c r="D145" s="50"/>
      <c r="E145" s="50"/>
      <c r="Q145" s="40"/>
      <c r="R145" s="6"/>
      <c r="S145" s="11"/>
      <c r="T145" s="50"/>
      <c r="U145" s="51"/>
      <c r="V145" s="50"/>
      <c r="W145" s="50"/>
      <c r="X145" s="40"/>
      <c r="Z145" s="11"/>
      <c r="AA145" s="50"/>
      <c r="AB145" s="50"/>
      <c r="AC145" s="50"/>
      <c r="AD145" s="50"/>
      <c r="AE145" s="52"/>
      <c r="AF145" s="40"/>
      <c r="AN145" s="40"/>
      <c r="AP145" s="50"/>
      <c r="AQ145" s="50"/>
      <c r="AR145" s="50"/>
      <c r="AS145" s="50"/>
      <c r="AU145" s="40"/>
    </row>
    <row r="146">
      <c r="B146" s="50"/>
      <c r="C146" s="50"/>
      <c r="D146" s="50"/>
      <c r="E146" s="50"/>
      <c r="Q146" s="40"/>
      <c r="R146" s="6"/>
      <c r="S146" s="11"/>
      <c r="T146" s="50"/>
      <c r="U146" s="51"/>
      <c r="V146" s="50"/>
      <c r="W146" s="50"/>
      <c r="X146" s="40"/>
      <c r="Z146" s="11"/>
      <c r="AA146" s="50"/>
      <c r="AB146" s="50"/>
      <c r="AC146" s="50"/>
      <c r="AD146" s="50"/>
      <c r="AE146" s="52"/>
      <c r="AF146" s="40"/>
      <c r="AN146" s="40"/>
      <c r="AP146" s="50"/>
      <c r="AQ146" s="50"/>
      <c r="AR146" s="50"/>
      <c r="AS146" s="50"/>
      <c r="AU146" s="40"/>
    </row>
    <row r="147">
      <c r="B147" s="50"/>
      <c r="C147" s="50"/>
      <c r="D147" s="50"/>
      <c r="E147" s="50"/>
      <c r="Q147" s="40"/>
      <c r="R147" s="6"/>
      <c r="S147" s="11"/>
      <c r="T147" s="50"/>
      <c r="U147" s="51"/>
      <c r="V147" s="50"/>
      <c r="W147" s="50"/>
      <c r="X147" s="40"/>
      <c r="Z147" s="11"/>
      <c r="AA147" s="50"/>
      <c r="AB147" s="50"/>
      <c r="AC147" s="50"/>
      <c r="AD147" s="50"/>
      <c r="AE147" s="52"/>
      <c r="AF147" s="40"/>
      <c r="AN147" s="40"/>
      <c r="AP147" s="50"/>
      <c r="AQ147" s="50"/>
      <c r="AR147" s="50"/>
      <c r="AS147" s="50"/>
      <c r="AU147" s="40"/>
    </row>
    <row r="148">
      <c r="B148" s="50"/>
      <c r="C148" s="50"/>
      <c r="D148" s="50"/>
      <c r="E148" s="50"/>
      <c r="Q148" s="40"/>
      <c r="R148" s="6"/>
      <c r="S148" s="11"/>
      <c r="T148" s="50"/>
      <c r="U148" s="51"/>
      <c r="V148" s="50"/>
      <c r="W148" s="50"/>
      <c r="X148" s="40"/>
      <c r="Z148" s="11"/>
      <c r="AA148" s="50"/>
      <c r="AB148" s="50"/>
      <c r="AC148" s="50"/>
      <c r="AD148" s="50"/>
      <c r="AE148" s="52"/>
      <c r="AF148" s="40"/>
      <c r="AN148" s="40"/>
      <c r="AP148" s="50"/>
      <c r="AQ148" s="50"/>
      <c r="AR148" s="50"/>
      <c r="AS148" s="50"/>
      <c r="AU148" s="40"/>
    </row>
    <row r="149">
      <c r="B149" s="50"/>
      <c r="C149" s="50"/>
      <c r="D149" s="50"/>
      <c r="E149" s="50"/>
      <c r="Q149" s="40"/>
      <c r="R149" s="6"/>
      <c r="S149" s="11"/>
      <c r="T149" s="50"/>
      <c r="U149" s="51"/>
      <c r="V149" s="50"/>
      <c r="W149" s="50"/>
      <c r="X149" s="40"/>
      <c r="Z149" s="11"/>
      <c r="AA149" s="50"/>
      <c r="AB149" s="50"/>
      <c r="AC149" s="50"/>
      <c r="AD149" s="50"/>
      <c r="AE149" s="52"/>
      <c r="AF149" s="40"/>
      <c r="AN149" s="40"/>
      <c r="AP149" s="50"/>
      <c r="AQ149" s="50"/>
      <c r="AR149" s="50"/>
      <c r="AS149" s="50"/>
      <c r="AU149" s="40"/>
    </row>
    <row r="150">
      <c r="B150" s="50"/>
      <c r="C150" s="50"/>
      <c r="D150" s="50"/>
      <c r="E150" s="50"/>
      <c r="Q150" s="40"/>
      <c r="R150" s="6"/>
      <c r="S150" s="11"/>
      <c r="T150" s="50"/>
      <c r="U150" s="51"/>
      <c r="V150" s="50"/>
      <c r="W150" s="50"/>
      <c r="X150" s="40"/>
      <c r="Z150" s="11"/>
      <c r="AA150" s="50"/>
      <c r="AB150" s="50"/>
      <c r="AC150" s="50"/>
      <c r="AD150" s="50"/>
      <c r="AE150" s="52"/>
      <c r="AF150" s="40"/>
      <c r="AN150" s="40"/>
      <c r="AP150" s="50"/>
      <c r="AQ150" s="50"/>
      <c r="AR150" s="50"/>
      <c r="AS150" s="50"/>
      <c r="AU150" s="40"/>
    </row>
    <row r="151">
      <c r="B151" s="50"/>
      <c r="C151" s="50"/>
      <c r="D151" s="50"/>
      <c r="E151" s="50"/>
      <c r="Q151" s="40"/>
      <c r="R151" s="6"/>
      <c r="S151" s="11"/>
      <c r="T151" s="50"/>
      <c r="U151" s="51"/>
      <c r="V151" s="50"/>
      <c r="W151" s="50"/>
      <c r="X151" s="40"/>
      <c r="Z151" s="11"/>
      <c r="AA151" s="50"/>
      <c r="AB151" s="50"/>
      <c r="AC151" s="50"/>
      <c r="AD151" s="50"/>
      <c r="AE151" s="52"/>
      <c r="AF151" s="40"/>
      <c r="AN151" s="40"/>
      <c r="AP151" s="50"/>
      <c r="AQ151" s="50"/>
      <c r="AR151" s="50"/>
      <c r="AS151" s="50"/>
      <c r="AU151" s="40"/>
    </row>
    <row r="152">
      <c r="B152" s="50"/>
      <c r="C152" s="50"/>
      <c r="D152" s="50"/>
      <c r="E152" s="50"/>
      <c r="Q152" s="40"/>
      <c r="R152" s="6"/>
      <c r="S152" s="11"/>
      <c r="T152" s="50"/>
      <c r="U152" s="51"/>
      <c r="V152" s="50"/>
      <c r="W152" s="50"/>
      <c r="X152" s="40"/>
      <c r="Z152" s="11"/>
      <c r="AA152" s="50"/>
      <c r="AB152" s="50"/>
      <c r="AC152" s="50"/>
      <c r="AD152" s="50"/>
      <c r="AE152" s="52"/>
      <c r="AF152" s="40"/>
      <c r="AN152" s="40"/>
      <c r="AP152" s="50"/>
      <c r="AQ152" s="50"/>
      <c r="AR152" s="50"/>
      <c r="AS152" s="50"/>
      <c r="AU152" s="40"/>
    </row>
    <row r="153">
      <c r="B153" s="50"/>
      <c r="C153" s="50"/>
      <c r="D153" s="50"/>
      <c r="E153" s="50"/>
      <c r="Q153" s="40"/>
      <c r="R153" s="6"/>
      <c r="S153" s="11"/>
      <c r="T153" s="50"/>
      <c r="U153" s="51"/>
      <c r="V153" s="50"/>
      <c r="W153" s="50"/>
      <c r="X153" s="40"/>
      <c r="Z153" s="11"/>
      <c r="AA153" s="50"/>
      <c r="AB153" s="50"/>
      <c r="AC153" s="50"/>
      <c r="AD153" s="50"/>
      <c r="AE153" s="52"/>
      <c r="AF153" s="40"/>
      <c r="AN153" s="40"/>
      <c r="AP153" s="50"/>
      <c r="AQ153" s="50"/>
      <c r="AR153" s="50"/>
      <c r="AS153" s="50"/>
      <c r="AU153" s="40"/>
    </row>
    <row r="154">
      <c r="B154" s="50"/>
      <c r="C154" s="50"/>
      <c r="D154" s="50"/>
      <c r="E154" s="50"/>
      <c r="Q154" s="40"/>
      <c r="R154" s="6"/>
      <c r="S154" s="11"/>
      <c r="T154" s="50"/>
      <c r="U154" s="51"/>
      <c r="V154" s="50"/>
      <c r="W154" s="50"/>
      <c r="X154" s="40"/>
      <c r="Z154" s="11"/>
      <c r="AA154" s="50"/>
      <c r="AB154" s="50"/>
      <c r="AC154" s="50"/>
      <c r="AD154" s="50"/>
      <c r="AE154" s="52"/>
      <c r="AF154" s="40"/>
      <c r="AN154" s="40"/>
      <c r="AP154" s="50"/>
      <c r="AQ154" s="50"/>
      <c r="AR154" s="50"/>
      <c r="AS154" s="50"/>
      <c r="AU154" s="40"/>
    </row>
    <row r="155">
      <c r="B155" s="50"/>
      <c r="C155" s="50"/>
      <c r="D155" s="50"/>
      <c r="E155" s="50"/>
      <c r="Q155" s="40"/>
      <c r="R155" s="6"/>
      <c r="S155" s="11"/>
      <c r="T155" s="50"/>
      <c r="U155" s="51"/>
      <c r="V155" s="50"/>
      <c r="W155" s="50"/>
      <c r="X155" s="40"/>
      <c r="Z155" s="11"/>
      <c r="AA155" s="50"/>
      <c r="AB155" s="50"/>
      <c r="AC155" s="50"/>
      <c r="AD155" s="50"/>
      <c r="AE155" s="52"/>
      <c r="AF155" s="40"/>
      <c r="AN155" s="40"/>
      <c r="AP155" s="50"/>
      <c r="AQ155" s="50"/>
      <c r="AR155" s="50"/>
      <c r="AS155" s="50"/>
      <c r="AU155" s="40"/>
    </row>
    <row r="156">
      <c r="B156" s="50"/>
      <c r="C156" s="50"/>
      <c r="D156" s="50"/>
      <c r="E156" s="50"/>
      <c r="Q156" s="40"/>
      <c r="R156" s="6"/>
      <c r="S156" s="11"/>
      <c r="T156" s="50"/>
      <c r="U156" s="51"/>
      <c r="V156" s="50"/>
      <c r="W156" s="50"/>
      <c r="X156" s="40"/>
      <c r="Z156" s="11"/>
      <c r="AA156" s="50"/>
      <c r="AB156" s="50"/>
      <c r="AC156" s="50"/>
      <c r="AD156" s="50"/>
      <c r="AE156" s="52"/>
      <c r="AF156" s="40"/>
      <c r="AN156" s="40"/>
      <c r="AP156" s="50"/>
      <c r="AQ156" s="50"/>
      <c r="AR156" s="50"/>
      <c r="AS156" s="50"/>
      <c r="AU156" s="40"/>
    </row>
    <row r="157">
      <c r="B157" s="50"/>
      <c r="C157" s="50"/>
      <c r="D157" s="50"/>
      <c r="E157" s="50"/>
      <c r="Q157" s="40"/>
      <c r="R157" s="6"/>
      <c r="S157" s="11"/>
      <c r="T157" s="50"/>
      <c r="U157" s="51"/>
      <c r="V157" s="50"/>
      <c r="W157" s="50"/>
      <c r="X157" s="40"/>
      <c r="Z157" s="11"/>
      <c r="AA157" s="50"/>
      <c r="AB157" s="50"/>
      <c r="AC157" s="50"/>
      <c r="AD157" s="50"/>
      <c r="AE157" s="52"/>
      <c r="AF157" s="40"/>
      <c r="AN157" s="40"/>
      <c r="AP157" s="50"/>
      <c r="AQ157" s="50"/>
      <c r="AR157" s="50"/>
      <c r="AS157" s="50"/>
      <c r="AU157" s="40"/>
    </row>
    <row r="158">
      <c r="B158" s="50"/>
      <c r="C158" s="50"/>
      <c r="D158" s="50"/>
      <c r="E158" s="50"/>
      <c r="Q158" s="40"/>
      <c r="R158" s="6"/>
      <c r="S158" s="11"/>
      <c r="T158" s="50"/>
      <c r="U158" s="51"/>
      <c r="V158" s="50"/>
      <c r="W158" s="50"/>
      <c r="X158" s="40"/>
      <c r="Z158" s="11"/>
      <c r="AA158" s="50"/>
      <c r="AB158" s="50"/>
      <c r="AC158" s="50"/>
      <c r="AD158" s="50"/>
      <c r="AE158" s="52"/>
      <c r="AF158" s="40"/>
      <c r="AN158" s="40"/>
      <c r="AP158" s="50"/>
      <c r="AQ158" s="50"/>
      <c r="AR158" s="50"/>
      <c r="AS158" s="50"/>
      <c r="AU158" s="40"/>
    </row>
    <row r="159">
      <c r="B159" s="50"/>
      <c r="C159" s="50"/>
      <c r="D159" s="50"/>
      <c r="E159" s="50"/>
      <c r="Q159" s="40"/>
      <c r="R159" s="6"/>
      <c r="S159" s="11"/>
      <c r="T159" s="50"/>
      <c r="U159" s="51"/>
      <c r="V159" s="50"/>
      <c r="W159" s="50"/>
      <c r="X159" s="40"/>
      <c r="Z159" s="11"/>
      <c r="AA159" s="50"/>
      <c r="AB159" s="50"/>
      <c r="AC159" s="50"/>
      <c r="AD159" s="50"/>
      <c r="AE159" s="52"/>
      <c r="AF159" s="40"/>
      <c r="AN159" s="40"/>
      <c r="AP159" s="50"/>
      <c r="AQ159" s="50"/>
      <c r="AR159" s="50"/>
      <c r="AS159" s="50"/>
      <c r="AU159" s="40"/>
    </row>
    <row r="160">
      <c r="B160" s="50"/>
      <c r="C160" s="50"/>
      <c r="D160" s="50"/>
      <c r="E160" s="50"/>
      <c r="Q160" s="40"/>
      <c r="R160" s="6"/>
      <c r="S160" s="11"/>
      <c r="T160" s="50"/>
      <c r="U160" s="51"/>
      <c r="V160" s="50"/>
      <c r="W160" s="50"/>
      <c r="X160" s="40"/>
      <c r="Z160" s="11"/>
      <c r="AA160" s="50"/>
      <c r="AB160" s="50"/>
      <c r="AC160" s="50"/>
      <c r="AD160" s="50"/>
      <c r="AE160" s="52"/>
      <c r="AF160" s="40"/>
      <c r="AN160" s="40"/>
      <c r="AP160" s="50"/>
      <c r="AQ160" s="50"/>
      <c r="AR160" s="50"/>
      <c r="AS160" s="50"/>
      <c r="AU160" s="40"/>
    </row>
    <row r="161">
      <c r="B161" s="50"/>
      <c r="C161" s="50"/>
      <c r="D161" s="50"/>
      <c r="E161" s="50"/>
      <c r="Q161" s="40"/>
      <c r="R161" s="6"/>
      <c r="S161" s="11"/>
      <c r="T161" s="50"/>
      <c r="U161" s="51"/>
      <c r="V161" s="50"/>
      <c r="W161" s="50"/>
      <c r="X161" s="40"/>
      <c r="Z161" s="11"/>
      <c r="AA161" s="50"/>
      <c r="AB161" s="50"/>
      <c r="AC161" s="50"/>
      <c r="AD161" s="50"/>
      <c r="AE161" s="52"/>
      <c r="AF161" s="40"/>
      <c r="AN161" s="40"/>
      <c r="AP161" s="50"/>
      <c r="AQ161" s="50"/>
      <c r="AR161" s="50"/>
      <c r="AS161" s="50"/>
      <c r="AU161" s="40"/>
    </row>
    <row r="162">
      <c r="B162" s="50"/>
      <c r="C162" s="50"/>
      <c r="D162" s="50"/>
      <c r="E162" s="50"/>
      <c r="Q162" s="40"/>
      <c r="R162" s="6"/>
      <c r="S162" s="11"/>
      <c r="T162" s="50"/>
      <c r="U162" s="51"/>
      <c r="V162" s="50"/>
      <c r="W162" s="50"/>
      <c r="X162" s="40"/>
      <c r="Z162" s="11"/>
      <c r="AA162" s="50"/>
      <c r="AB162" s="50"/>
      <c r="AC162" s="50"/>
      <c r="AD162" s="50"/>
      <c r="AE162" s="52"/>
      <c r="AF162" s="40"/>
      <c r="AN162" s="40"/>
      <c r="AP162" s="50"/>
      <c r="AQ162" s="50"/>
      <c r="AR162" s="50"/>
      <c r="AS162" s="50"/>
      <c r="AU162" s="40"/>
    </row>
    <row r="163">
      <c r="B163" s="50"/>
      <c r="C163" s="50"/>
      <c r="D163" s="50"/>
      <c r="E163" s="50"/>
      <c r="Q163" s="40"/>
      <c r="R163" s="6"/>
      <c r="S163" s="11"/>
      <c r="T163" s="50"/>
      <c r="U163" s="51"/>
      <c r="V163" s="50"/>
      <c r="W163" s="50"/>
      <c r="X163" s="40"/>
      <c r="Z163" s="11"/>
      <c r="AA163" s="50"/>
      <c r="AB163" s="50"/>
      <c r="AC163" s="50"/>
      <c r="AD163" s="50"/>
      <c r="AE163" s="52"/>
      <c r="AF163" s="40"/>
      <c r="AN163" s="40"/>
      <c r="AP163" s="50"/>
      <c r="AQ163" s="50"/>
      <c r="AR163" s="50"/>
      <c r="AS163" s="50"/>
      <c r="AU163" s="40"/>
    </row>
    <row r="164">
      <c r="B164" s="50"/>
      <c r="C164" s="50"/>
      <c r="D164" s="50"/>
      <c r="E164" s="50"/>
      <c r="Q164" s="40"/>
      <c r="R164" s="6"/>
      <c r="S164" s="11"/>
      <c r="T164" s="50"/>
      <c r="U164" s="51"/>
      <c r="V164" s="50"/>
      <c r="W164" s="50"/>
      <c r="X164" s="40"/>
      <c r="Z164" s="11"/>
      <c r="AA164" s="50"/>
      <c r="AB164" s="50"/>
      <c r="AC164" s="50"/>
      <c r="AD164" s="50"/>
      <c r="AE164" s="52"/>
      <c r="AF164" s="40"/>
      <c r="AN164" s="40"/>
      <c r="AP164" s="50"/>
      <c r="AQ164" s="50"/>
      <c r="AR164" s="50"/>
      <c r="AS164" s="50"/>
      <c r="AU164" s="40"/>
    </row>
    <row r="165">
      <c r="B165" s="50"/>
      <c r="C165" s="50"/>
      <c r="D165" s="50"/>
      <c r="E165" s="50"/>
      <c r="Q165" s="40"/>
      <c r="R165" s="6"/>
      <c r="S165" s="11"/>
      <c r="T165" s="50"/>
      <c r="U165" s="51"/>
      <c r="V165" s="50"/>
      <c r="W165" s="50"/>
      <c r="X165" s="40"/>
      <c r="Z165" s="11"/>
      <c r="AA165" s="50"/>
      <c r="AB165" s="50"/>
      <c r="AC165" s="50"/>
      <c r="AD165" s="50"/>
      <c r="AE165" s="52"/>
      <c r="AF165" s="40"/>
      <c r="AN165" s="40"/>
      <c r="AP165" s="50"/>
      <c r="AQ165" s="50"/>
      <c r="AR165" s="50"/>
      <c r="AS165" s="50"/>
      <c r="AU165" s="40"/>
    </row>
    <row r="166">
      <c r="B166" s="50"/>
      <c r="C166" s="50"/>
      <c r="D166" s="50"/>
      <c r="E166" s="50"/>
      <c r="Q166" s="40"/>
      <c r="R166" s="6"/>
      <c r="S166" s="11"/>
      <c r="T166" s="50"/>
      <c r="U166" s="51"/>
      <c r="V166" s="50"/>
      <c r="W166" s="50"/>
      <c r="X166" s="40"/>
      <c r="Z166" s="11"/>
      <c r="AA166" s="50"/>
      <c r="AB166" s="50"/>
      <c r="AC166" s="50"/>
      <c r="AD166" s="50"/>
      <c r="AE166" s="52"/>
      <c r="AF166" s="40"/>
      <c r="AN166" s="40"/>
      <c r="AP166" s="50"/>
      <c r="AQ166" s="50"/>
      <c r="AR166" s="50"/>
      <c r="AS166" s="50"/>
      <c r="AU166" s="40"/>
    </row>
    <row r="167">
      <c r="B167" s="50"/>
      <c r="C167" s="50"/>
      <c r="D167" s="50"/>
      <c r="E167" s="50"/>
      <c r="Q167" s="40"/>
      <c r="R167" s="6"/>
      <c r="S167" s="11"/>
      <c r="T167" s="50"/>
      <c r="U167" s="51"/>
      <c r="V167" s="50"/>
      <c r="W167" s="50"/>
      <c r="X167" s="40"/>
      <c r="Z167" s="11"/>
      <c r="AA167" s="50"/>
      <c r="AB167" s="50"/>
      <c r="AC167" s="50"/>
      <c r="AD167" s="50"/>
      <c r="AE167" s="52"/>
      <c r="AF167" s="40"/>
      <c r="AN167" s="40"/>
      <c r="AP167" s="50"/>
      <c r="AQ167" s="50"/>
      <c r="AR167" s="50"/>
      <c r="AS167" s="50"/>
      <c r="AU167" s="40"/>
    </row>
    <row r="168">
      <c r="B168" s="50"/>
      <c r="C168" s="50"/>
      <c r="D168" s="50"/>
      <c r="E168" s="50"/>
      <c r="Q168" s="40"/>
      <c r="R168" s="6"/>
      <c r="S168" s="11"/>
      <c r="T168" s="50"/>
      <c r="U168" s="51"/>
      <c r="V168" s="50"/>
      <c r="W168" s="50"/>
      <c r="X168" s="40"/>
      <c r="Z168" s="11"/>
      <c r="AA168" s="50"/>
      <c r="AB168" s="50"/>
      <c r="AC168" s="50"/>
      <c r="AD168" s="50"/>
      <c r="AE168" s="52"/>
      <c r="AF168" s="40"/>
      <c r="AN168" s="40"/>
      <c r="AP168" s="50"/>
      <c r="AQ168" s="50"/>
      <c r="AR168" s="50"/>
      <c r="AS168" s="50"/>
      <c r="AU168" s="40"/>
    </row>
    <row r="169">
      <c r="B169" s="50"/>
      <c r="C169" s="50"/>
      <c r="D169" s="50"/>
      <c r="E169" s="50"/>
      <c r="Q169" s="40"/>
      <c r="R169" s="6"/>
      <c r="S169" s="11"/>
      <c r="T169" s="50"/>
      <c r="U169" s="51"/>
      <c r="V169" s="50"/>
      <c r="W169" s="50"/>
      <c r="X169" s="40"/>
      <c r="Z169" s="11"/>
      <c r="AA169" s="50"/>
      <c r="AB169" s="50"/>
      <c r="AC169" s="50"/>
      <c r="AD169" s="50"/>
      <c r="AE169" s="52"/>
      <c r="AF169" s="40"/>
      <c r="AN169" s="40"/>
      <c r="AP169" s="50"/>
      <c r="AQ169" s="50"/>
      <c r="AR169" s="50"/>
      <c r="AS169" s="50"/>
      <c r="AU169" s="40"/>
    </row>
    <row r="170">
      <c r="B170" s="50"/>
      <c r="C170" s="50"/>
      <c r="D170" s="50"/>
      <c r="E170" s="50"/>
      <c r="Q170" s="40"/>
      <c r="R170" s="6"/>
      <c r="S170" s="11"/>
      <c r="T170" s="50"/>
      <c r="U170" s="51"/>
      <c r="V170" s="50"/>
      <c r="W170" s="50"/>
      <c r="X170" s="40"/>
      <c r="Z170" s="11"/>
      <c r="AA170" s="50"/>
      <c r="AB170" s="50"/>
      <c r="AC170" s="50"/>
      <c r="AD170" s="50"/>
      <c r="AE170" s="52"/>
      <c r="AF170" s="40"/>
      <c r="AN170" s="40"/>
      <c r="AP170" s="50"/>
      <c r="AQ170" s="50"/>
      <c r="AR170" s="50"/>
      <c r="AS170" s="50"/>
      <c r="AU170" s="40"/>
    </row>
    <row r="171">
      <c r="B171" s="50"/>
      <c r="C171" s="50"/>
      <c r="D171" s="50"/>
      <c r="E171" s="50"/>
      <c r="Q171" s="40"/>
      <c r="R171" s="6"/>
      <c r="S171" s="11"/>
      <c r="T171" s="50"/>
      <c r="U171" s="51"/>
      <c r="V171" s="50"/>
      <c r="W171" s="50"/>
      <c r="X171" s="40"/>
      <c r="Z171" s="11"/>
      <c r="AA171" s="50"/>
      <c r="AB171" s="50"/>
      <c r="AC171" s="50"/>
      <c r="AD171" s="50"/>
      <c r="AE171" s="52"/>
      <c r="AF171" s="40"/>
      <c r="AN171" s="40"/>
      <c r="AP171" s="50"/>
      <c r="AQ171" s="50"/>
      <c r="AR171" s="50"/>
      <c r="AS171" s="50"/>
      <c r="AU171" s="40"/>
    </row>
    <row r="172">
      <c r="B172" s="50"/>
      <c r="C172" s="50"/>
      <c r="D172" s="50"/>
      <c r="E172" s="50"/>
      <c r="Q172" s="40"/>
      <c r="R172" s="6"/>
      <c r="S172" s="11"/>
      <c r="T172" s="50"/>
      <c r="U172" s="51"/>
      <c r="V172" s="50"/>
      <c r="W172" s="50"/>
      <c r="X172" s="40"/>
      <c r="Z172" s="11"/>
      <c r="AA172" s="50"/>
      <c r="AB172" s="50"/>
      <c r="AC172" s="50"/>
      <c r="AD172" s="50"/>
      <c r="AE172" s="52"/>
      <c r="AF172" s="40"/>
      <c r="AN172" s="40"/>
      <c r="AP172" s="50"/>
      <c r="AQ172" s="50"/>
      <c r="AR172" s="50"/>
      <c r="AS172" s="50"/>
      <c r="AU172" s="40"/>
    </row>
    <row r="173">
      <c r="B173" s="50"/>
      <c r="C173" s="50"/>
      <c r="D173" s="50"/>
      <c r="E173" s="50"/>
      <c r="Q173" s="40"/>
      <c r="R173" s="6"/>
      <c r="S173" s="11"/>
      <c r="T173" s="50"/>
      <c r="U173" s="51"/>
      <c r="V173" s="50"/>
      <c r="W173" s="50"/>
      <c r="X173" s="40"/>
      <c r="Z173" s="11"/>
      <c r="AA173" s="50"/>
      <c r="AB173" s="50"/>
      <c r="AC173" s="50"/>
      <c r="AD173" s="50"/>
      <c r="AE173" s="52"/>
      <c r="AF173" s="40"/>
      <c r="AN173" s="40"/>
      <c r="AP173" s="50"/>
      <c r="AQ173" s="50"/>
      <c r="AR173" s="50"/>
      <c r="AS173" s="50"/>
      <c r="AU173" s="40"/>
    </row>
    <row r="174">
      <c r="B174" s="50"/>
      <c r="C174" s="50"/>
      <c r="D174" s="50"/>
      <c r="E174" s="50"/>
      <c r="Q174" s="40"/>
      <c r="R174" s="6"/>
      <c r="S174" s="11"/>
      <c r="T174" s="50"/>
      <c r="U174" s="51"/>
      <c r="V174" s="50"/>
      <c r="W174" s="50"/>
      <c r="X174" s="40"/>
      <c r="Z174" s="11"/>
      <c r="AA174" s="50"/>
      <c r="AB174" s="50"/>
      <c r="AC174" s="50"/>
      <c r="AD174" s="50"/>
      <c r="AE174" s="52"/>
      <c r="AF174" s="40"/>
      <c r="AN174" s="40"/>
      <c r="AP174" s="50"/>
      <c r="AQ174" s="50"/>
      <c r="AR174" s="50"/>
      <c r="AS174" s="50"/>
      <c r="AU174" s="40"/>
    </row>
    <row r="175">
      <c r="B175" s="50"/>
      <c r="C175" s="50"/>
      <c r="D175" s="50"/>
      <c r="E175" s="50"/>
      <c r="Q175" s="40"/>
      <c r="R175" s="6"/>
      <c r="S175" s="11"/>
      <c r="T175" s="50"/>
      <c r="U175" s="51"/>
      <c r="V175" s="50"/>
      <c r="W175" s="50"/>
      <c r="X175" s="40"/>
      <c r="Z175" s="11"/>
      <c r="AA175" s="50"/>
      <c r="AB175" s="50"/>
      <c r="AC175" s="50"/>
      <c r="AD175" s="50"/>
      <c r="AE175" s="52"/>
      <c r="AF175" s="40"/>
      <c r="AN175" s="40"/>
      <c r="AP175" s="50"/>
      <c r="AQ175" s="50"/>
      <c r="AR175" s="50"/>
      <c r="AS175" s="50"/>
      <c r="AU175" s="40"/>
    </row>
    <row r="176">
      <c r="B176" s="50"/>
      <c r="C176" s="50"/>
      <c r="D176" s="50"/>
      <c r="E176" s="50"/>
      <c r="Q176" s="40"/>
      <c r="R176" s="6"/>
      <c r="S176" s="11"/>
      <c r="T176" s="50"/>
      <c r="U176" s="51"/>
      <c r="V176" s="50"/>
      <c r="W176" s="50"/>
      <c r="X176" s="40"/>
      <c r="Z176" s="11"/>
      <c r="AA176" s="50"/>
      <c r="AB176" s="50"/>
      <c r="AC176" s="50"/>
      <c r="AD176" s="50"/>
      <c r="AE176" s="52"/>
      <c r="AF176" s="40"/>
      <c r="AN176" s="40"/>
      <c r="AP176" s="50"/>
      <c r="AQ176" s="50"/>
      <c r="AR176" s="50"/>
      <c r="AS176" s="50"/>
      <c r="AU176" s="40"/>
    </row>
    <row r="177">
      <c r="B177" s="50"/>
      <c r="C177" s="50"/>
      <c r="D177" s="50"/>
      <c r="E177" s="50"/>
      <c r="Q177" s="40"/>
      <c r="R177" s="6"/>
      <c r="S177" s="11"/>
      <c r="T177" s="50"/>
      <c r="U177" s="51"/>
      <c r="V177" s="50"/>
      <c r="W177" s="50"/>
      <c r="X177" s="40"/>
      <c r="Z177" s="11"/>
      <c r="AA177" s="50"/>
      <c r="AB177" s="50"/>
      <c r="AC177" s="50"/>
      <c r="AD177" s="50"/>
      <c r="AE177" s="52"/>
      <c r="AF177" s="40"/>
      <c r="AN177" s="40"/>
      <c r="AP177" s="50"/>
      <c r="AQ177" s="50"/>
      <c r="AR177" s="50"/>
      <c r="AS177" s="50"/>
      <c r="AU177" s="40"/>
    </row>
    <row r="178">
      <c r="B178" s="50"/>
      <c r="C178" s="50"/>
      <c r="D178" s="50"/>
      <c r="E178" s="50"/>
      <c r="Q178" s="40"/>
      <c r="R178" s="6"/>
      <c r="S178" s="11"/>
      <c r="T178" s="50"/>
      <c r="U178" s="51"/>
      <c r="V178" s="50"/>
      <c r="W178" s="50"/>
      <c r="X178" s="40"/>
      <c r="Z178" s="11"/>
      <c r="AA178" s="50"/>
      <c r="AB178" s="50"/>
      <c r="AC178" s="50"/>
      <c r="AD178" s="50"/>
      <c r="AE178" s="52"/>
      <c r="AF178" s="40"/>
      <c r="AN178" s="40"/>
      <c r="AP178" s="50"/>
      <c r="AQ178" s="50"/>
      <c r="AR178" s="50"/>
      <c r="AS178" s="50"/>
      <c r="AU178" s="40"/>
    </row>
    <row r="179">
      <c r="B179" s="50"/>
      <c r="C179" s="50"/>
      <c r="D179" s="50"/>
      <c r="E179" s="50"/>
      <c r="Q179" s="40"/>
      <c r="R179" s="6"/>
      <c r="S179" s="11"/>
      <c r="T179" s="50"/>
      <c r="U179" s="51"/>
      <c r="V179" s="50"/>
      <c r="W179" s="50"/>
      <c r="X179" s="40"/>
      <c r="Z179" s="11"/>
      <c r="AA179" s="50"/>
      <c r="AB179" s="50"/>
      <c r="AC179" s="50"/>
      <c r="AD179" s="50"/>
      <c r="AE179" s="52"/>
      <c r="AF179" s="40"/>
      <c r="AN179" s="40"/>
      <c r="AP179" s="50"/>
      <c r="AQ179" s="50"/>
      <c r="AR179" s="50"/>
      <c r="AS179" s="50"/>
      <c r="AU179" s="40"/>
    </row>
    <row r="180">
      <c r="B180" s="50"/>
      <c r="C180" s="50"/>
      <c r="D180" s="50"/>
      <c r="E180" s="50"/>
      <c r="Q180" s="40"/>
      <c r="R180" s="6"/>
      <c r="S180" s="11"/>
      <c r="T180" s="50"/>
      <c r="U180" s="51"/>
      <c r="V180" s="50"/>
      <c r="W180" s="50"/>
      <c r="X180" s="40"/>
      <c r="Z180" s="11"/>
      <c r="AA180" s="50"/>
      <c r="AB180" s="50"/>
      <c r="AC180" s="50"/>
      <c r="AD180" s="50"/>
      <c r="AE180" s="52"/>
      <c r="AF180" s="40"/>
      <c r="AN180" s="40"/>
      <c r="AP180" s="50"/>
      <c r="AQ180" s="50"/>
      <c r="AR180" s="50"/>
      <c r="AS180" s="50"/>
      <c r="AU180" s="40"/>
    </row>
    <row r="181">
      <c r="B181" s="50"/>
      <c r="C181" s="50"/>
      <c r="D181" s="50"/>
      <c r="E181" s="50"/>
      <c r="Q181" s="40"/>
      <c r="S181" s="11"/>
      <c r="T181" s="50"/>
      <c r="U181" s="51"/>
      <c r="V181" s="50"/>
      <c r="W181" s="50"/>
      <c r="X181" s="40"/>
      <c r="Z181" s="11"/>
      <c r="AA181" s="50"/>
      <c r="AB181" s="50"/>
      <c r="AC181" s="50"/>
      <c r="AD181" s="50"/>
      <c r="AE181" s="52"/>
      <c r="AF181" s="40"/>
      <c r="AN181" s="40"/>
      <c r="AP181" s="50"/>
      <c r="AQ181" s="50"/>
      <c r="AR181" s="50"/>
      <c r="AS181" s="50"/>
      <c r="AU181" s="40"/>
    </row>
    <row r="182">
      <c r="B182" s="50"/>
      <c r="C182" s="50"/>
      <c r="D182" s="50"/>
      <c r="E182" s="50"/>
      <c r="Q182" s="40"/>
      <c r="S182" s="11"/>
      <c r="T182" s="50"/>
      <c r="U182" s="51"/>
      <c r="V182" s="50"/>
      <c r="W182" s="50"/>
      <c r="X182" s="40"/>
      <c r="Z182" s="11"/>
      <c r="AA182" s="50"/>
      <c r="AB182" s="50"/>
      <c r="AC182" s="50"/>
      <c r="AD182" s="50"/>
      <c r="AE182" s="52"/>
      <c r="AF182" s="40"/>
      <c r="AN182" s="40"/>
      <c r="AP182" s="50"/>
      <c r="AQ182" s="50"/>
      <c r="AR182" s="50"/>
      <c r="AS182" s="50"/>
      <c r="AU182" s="40"/>
    </row>
    <row r="183">
      <c r="B183" s="50"/>
      <c r="C183" s="50"/>
      <c r="D183" s="50"/>
      <c r="E183" s="50"/>
      <c r="Q183" s="40"/>
      <c r="S183" s="11"/>
      <c r="T183" s="50"/>
      <c r="U183" s="51"/>
      <c r="V183" s="50"/>
      <c r="W183" s="50"/>
      <c r="X183" s="40"/>
      <c r="Z183" s="11"/>
      <c r="AA183" s="50"/>
      <c r="AB183" s="50"/>
      <c r="AC183" s="50"/>
      <c r="AD183" s="50"/>
      <c r="AE183" s="52"/>
      <c r="AF183" s="40"/>
      <c r="AN183" s="40"/>
      <c r="AP183" s="50"/>
      <c r="AQ183" s="50"/>
      <c r="AR183" s="50"/>
      <c r="AS183" s="50"/>
      <c r="AU183" s="40"/>
    </row>
    <row r="184">
      <c r="B184" s="50"/>
      <c r="C184" s="50"/>
      <c r="D184" s="50"/>
      <c r="E184" s="50"/>
      <c r="Q184" s="40"/>
      <c r="S184" s="11"/>
      <c r="T184" s="50"/>
      <c r="U184" s="51"/>
      <c r="V184" s="50"/>
      <c r="W184" s="50"/>
      <c r="X184" s="40"/>
      <c r="Z184" s="11"/>
      <c r="AA184" s="50"/>
      <c r="AB184" s="50"/>
      <c r="AC184" s="50"/>
      <c r="AD184" s="50"/>
      <c r="AE184" s="52"/>
      <c r="AF184" s="40"/>
      <c r="AN184" s="40"/>
      <c r="AP184" s="50"/>
      <c r="AQ184" s="50"/>
      <c r="AR184" s="50"/>
      <c r="AS184" s="50"/>
      <c r="AU184" s="40"/>
    </row>
    <row r="185">
      <c r="B185" s="50"/>
      <c r="C185" s="50"/>
      <c r="D185" s="50"/>
      <c r="E185" s="50"/>
      <c r="Q185" s="40"/>
      <c r="S185" s="11"/>
      <c r="T185" s="50"/>
      <c r="U185" s="51"/>
      <c r="V185" s="50"/>
      <c r="W185" s="50"/>
      <c r="X185" s="40"/>
      <c r="Z185" s="11"/>
      <c r="AA185" s="50"/>
      <c r="AB185" s="50"/>
      <c r="AC185" s="50"/>
      <c r="AD185" s="50"/>
      <c r="AE185" s="52"/>
      <c r="AF185" s="40"/>
      <c r="AN185" s="40"/>
      <c r="AP185" s="50"/>
      <c r="AQ185" s="50"/>
      <c r="AR185" s="50"/>
      <c r="AS185" s="50"/>
      <c r="AU185" s="40"/>
    </row>
    <row r="186">
      <c r="B186" s="50"/>
      <c r="C186" s="50"/>
      <c r="D186" s="50"/>
      <c r="E186" s="50"/>
      <c r="Q186" s="40"/>
      <c r="S186" s="11"/>
      <c r="T186" s="50"/>
      <c r="U186" s="51"/>
      <c r="V186" s="50"/>
      <c r="W186" s="50"/>
      <c r="X186" s="40"/>
      <c r="Z186" s="11"/>
      <c r="AA186" s="50"/>
      <c r="AB186" s="50"/>
      <c r="AC186" s="50"/>
      <c r="AD186" s="50"/>
      <c r="AE186" s="52"/>
      <c r="AF186" s="40"/>
      <c r="AN186" s="40"/>
      <c r="AP186" s="50"/>
      <c r="AQ186" s="50"/>
      <c r="AR186" s="50"/>
      <c r="AS186" s="50"/>
      <c r="AU186" s="40"/>
    </row>
    <row r="187">
      <c r="B187" s="50"/>
      <c r="C187" s="50"/>
      <c r="D187" s="50"/>
      <c r="E187" s="50"/>
      <c r="Q187" s="40"/>
      <c r="S187" s="11"/>
      <c r="T187" s="50"/>
      <c r="U187" s="51"/>
      <c r="V187" s="50"/>
      <c r="W187" s="50"/>
      <c r="X187" s="40"/>
      <c r="Z187" s="11"/>
      <c r="AA187" s="50"/>
      <c r="AB187" s="50"/>
      <c r="AC187" s="50"/>
      <c r="AD187" s="50"/>
      <c r="AE187" s="52"/>
      <c r="AF187" s="40"/>
      <c r="AN187" s="40"/>
      <c r="AP187" s="50"/>
      <c r="AQ187" s="50"/>
      <c r="AR187" s="50"/>
      <c r="AS187" s="50"/>
      <c r="AU187" s="40"/>
    </row>
    <row r="188">
      <c r="B188" s="50"/>
      <c r="C188" s="50"/>
      <c r="D188" s="50"/>
      <c r="E188" s="50"/>
      <c r="Q188" s="40"/>
      <c r="S188" s="11"/>
      <c r="T188" s="50"/>
      <c r="U188" s="51"/>
      <c r="V188" s="50"/>
      <c r="W188" s="50"/>
      <c r="X188" s="40"/>
      <c r="Z188" s="11"/>
      <c r="AA188" s="50"/>
      <c r="AB188" s="50"/>
      <c r="AC188" s="50"/>
      <c r="AD188" s="50"/>
      <c r="AE188" s="52"/>
      <c r="AF188" s="40"/>
      <c r="AN188" s="40"/>
      <c r="AP188" s="50"/>
      <c r="AQ188" s="50"/>
      <c r="AR188" s="50"/>
      <c r="AS188" s="50"/>
      <c r="AU188" s="40"/>
    </row>
    <row r="189">
      <c r="B189" s="50"/>
      <c r="C189" s="50"/>
      <c r="D189" s="50"/>
      <c r="E189" s="50"/>
      <c r="Q189" s="40"/>
      <c r="S189" s="11"/>
      <c r="T189" s="50"/>
      <c r="U189" s="51"/>
      <c r="V189" s="50"/>
      <c r="W189" s="50"/>
      <c r="X189" s="40"/>
      <c r="Z189" s="11"/>
      <c r="AA189" s="50"/>
      <c r="AB189" s="50"/>
      <c r="AC189" s="50"/>
      <c r="AD189" s="50"/>
      <c r="AE189" s="52"/>
      <c r="AF189" s="40"/>
      <c r="AN189" s="40"/>
      <c r="AP189" s="50"/>
      <c r="AQ189" s="50"/>
      <c r="AR189" s="50"/>
      <c r="AS189" s="50"/>
      <c r="AU189" s="40"/>
    </row>
    <row r="190">
      <c r="B190" s="50"/>
      <c r="C190" s="50"/>
      <c r="D190" s="50"/>
      <c r="E190" s="50"/>
      <c r="Q190" s="40"/>
      <c r="S190" s="11"/>
      <c r="T190" s="50"/>
      <c r="U190" s="51"/>
      <c r="V190" s="50"/>
      <c r="W190" s="50"/>
      <c r="X190" s="40"/>
      <c r="Z190" s="11"/>
      <c r="AA190" s="50"/>
      <c r="AB190" s="50"/>
      <c r="AC190" s="50"/>
      <c r="AD190" s="50"/>
      <c r="AE190" s="52"/>
      <c r="AF190" s="40"/>
      <c r="AN190" s="40"/>
      <c r="AP190" s="50"/>
      <c r="AQ190" s="50"/>
      <c r="AR190" s="50"/>
      <c r="AS190" s="50"/>
      <c r="AU190" s="40"/>
    </row>
    <row r="191">
      <c r="B191" s="50"/>
      <c r="C191" s="50"/>
      <c r="D191" s="50"/>
      <c r="E191" s="50"/>
      <c r="Q191" s="40"/>
      <c r="S191" s="11"/>
      <c r="T191" s="50"/>
      <c r="U191" s="51"/>
      <c r="V191" s="50"/>
      <c r="W191" s="50"/>
      <c r="X191" s="40"/>
      <c r="Z191" s="11"/>
      <c r="AA191" s="50"/>
      <c r="AB191" s="50"/>
      <c r="AC191" s="50"/>
      <c r="AD191" s="50"/>
      <c r="AE191" s="52"/>
      <c r="AF191" s="40"/>
      <c r="AN191" s="40"/>
      <c r="AP191" s="50"/>
      <c r="AQ191" s="50"/>
      <c r="AR191" s="50"/>
      <c r="AS191" s="50"/>
      <c r="AU191" s="40"/>
    </row>
    <row r="192">
      <c r="B192" s="50"/>
      <c r="C192" s="50"/>
      <c r="D192" s="50"/>
      <c r="E192" s="50"/>
      <c r="Q192" s="40"/>
      <c r="S192" s="11"/>
      <c r="T192" s="50"/>
      <c r="U192" s="51"/>
      <c r="V192" s="50"/>
      <c r="W192" s="50"/>
      <c r="X192" s="40"/>
      <c r="Z192" s="11"/>
      <c r="AA192" s="50"/>
      <c r="AB192" s="50"/>
      <c r="AC192" s="50"/>
      <c r="AD192" s="50"/>
      <c r="AE192" s="52"/>
      <c r="AF192" s="40"/>
      <c r="AN192" s="40"/>
      <c r="AP192" s="50"/>
      <c r="AQ192" s="50"/>
      <c r="AR192" s="50"/>
      <c r="AS192" s="50"/>
      <c r="AU192" s="40"/>
    </row>
    <row r="193">
      <c r="B193" s="50"/>
      <c r="C193" s="50"/>
      <c r="D193" s="50"/>
      <c r="E193" s="50"/>
      <c r="Q193" s="40"/>
      <c r="S193" s="11"/>
      <c r="T193" s="50"/>
      <c r="U193" s="51"/>
      <c r="V193" s="50"/>
      <c r="W193" s="50"/>
      <c r="X193" s="40"/>
      <c r="Z193" s="11"/>
      <c r="AA193" s="50"/>
      <c r="AB193" s="50"/>
      <c r="AC193" s="50"/>
      <c r="AD193" s="50"/>
      <c r="AE193" s="52"/>
      <c r="AF193" s="40"/>
      <c r="AN193" s="40"/>
      <c r="AP193" s="50"/>
      <c r="AQ193" s="50"/>
      <c r="AR193" s="50"/>
      <c r="AS193" s="50"/>
      <c r="AU193" s="40"/>
    </row>
    <row r="194">
      <c r="B194" s="50"/>
      <c r="C194" s="50"/>
      <c r="D194" s="50"/>
      <c r="E194" s="50"/>
      <c r="Q194" s="40"/>
      <c r="S194" s="11"/>
      <c r="T194" s="50"/>
      <c r="U194" s="51"/>
      <c r="V194" s="50"/>
      <c r="W194" s="50"/>
      <c r="X194" s="40"/>
      <c r="Z194" s="11"/>
      <c r="AA194" s="50"/>
      <c r="AB194" s="50"/>
      <c r="AC194" s="50"/>
      <c r="AD194" s="50"/>
      <c r="AE194" s="52"/>
      <c r="AF194" s="40"/>
      <c r="AN194" s="40"/>
      <c r="AP194" s="50"/>
      <c r="AQ194" s="50"/>
      <c r="AR194" s="50"/>
      <c r="AS194" s="50"/>
      <c r="AU194" s="40"/>
    </row>
    <row r="195">
      <c r="B195" s="50"/>
      <c r="C195" s="50"/>
      <c r="D195" s="50"/>
      <c r="E195" s="50"/>
      <c r="Q195" s="40"/>
      <c r="S195" s="11"/>
      <c r="T195" s="50"/>
      <c r="U195" s="51"/>
      <c r="V195" s="50"/>
      <c r="W195" s="50"/>
      <c r="X195" s="40"/>
      <c r="Z195" s="11"/>
      <c r="AA195" s="50"/>
      <c r="AB195" s="50"/>
      <c r="AC195" s="50"/>
      <c r="AD195" s="50"/>
      <c r="AE195" s="52"/>
      <c r="AF195" s="40"/>
      <c r="AN195" s="40"/>
      <c r="AP195" s="50"/>
      <c r="AQ195" s="50"/>
      <c r="AR195" s="50"/>
      <c r="AS195" s="50"/>
      <c r="AU195" s="40"/>
    </row>
    <row r="196">
      <c r="B196" s="50"/>
      <c r="C196" s="50"/>
      <c r="D196" s="50"/>
      <c r="E196" s="50"/>
      <c r="Q196" s="40"/>
      <c r="S196" s="11"/>
      <c r="T196" s="50"/>
      <c r="U196" s="51"/>
      <c r="V196" s="50"/>
      <c r="W196" s="50"/>
      <c r="X196" s="40"/>
      <c r="Z196" s="11"/>
      <c r="AA196" s="50"/>
      <c r="AB196" s="50"/>
      <c r="AC196" s="50"/>
      <c r="AD196" s="50"/>
      <c r="AE196" s="52"/>
      <c r="AF196" s="40"/>
      <c r="AN196" s="40"/>
      <c r="AP196" s="50"/>
      <c r="AQ196" s="50"/>
      <c r="AR196" s="50"/>
      <c r="AS196" s="50"/>
      <c r="AU196" s="40"/>
    </row>
    <row r="197">
      <c r="B197" s="50"/>
      <c r="C197" s="50"/>
      <c r="D197" s="50"/>
      <c r="E197" s="50"/>
      <c r="Q197" s="40"/>
      <c r="S197" s="11"/>
      <c r="T197" s="50"/>
      <c r="U197" s="51"/>
      <c r="V197" s="50"/>
      <c r="W197" s="50"/>
      <c r="X197" s="40"/>
      <c r="Z197" s="11"/>
      <c r="AA197" s="50"/>
      <c r="AB197" s="50"/>
      <c r="AC197" s="50"/>
      <c r="AD197" s="50"/>
      <c r="AE197" s="52"/>
      <c r="AF197" s="40"/>
      <c r="AN197" s="40"/>
      <c r="AP197" s="50"/>
      <c r="AQ197" s="50"/>
      <c r="AR197" s="50"/>
      <c r="AS197" s="50"/>
      <c r="AU197" s="40"/>
    </row>
    <row r="198">
      <c r="B198" s="50"/>
      <c r="C198" s="50"/>
      <c r="D198" s="50"/>
      <c r="E198" s="50"/>
      <c r="Q198" s="40"/>
      <c r="S198" s="11"/>
      <c r="T198" s="50"/>
      <c r="U198" s="51"/>
      <c r="V198" s="50"/>
      <c r="W198" s="50"/>
      <c r="X198" s="40"/>
      <c r="Z198" s="11"/>
      <c r="AA198" s="50"/>
      <c r="AB198" s="50"/>
      <c r="AC198" s="50"/>
      <c r="AD198" s="50"/>
      <c r="AE198" s="52"/>
      <c r="AF198" s="40"/>
      <c r="AN198" s="40"/>
      <c r="AP198" s="50"/>
      <c r="AQ198" s="50"/>
      <c r="AR198" s="50"/>
      <c r="AS198" s="50"/>
      <c r="AU198" s="40"/>
    </row>
    <row r="199">
      <c r="B199" s="50"/>
      <c r="C199" s="50"/>
      <c r="D199" s="50"/>
      <c r="E199" s="50"/>
      <c r="Q199" s="40"/>
      <c r="S199" s="11"/>
      <c r="T199" s="50"/>
      <c r="U199" s="51"/>
      <c r="V199" s="50"/>
      <c r="W199" s="50"/>
      <c r="X199" s="40"/>
      <c r="Z199" s="11"/>
      <c r="AA199" s="50"/>
      <c r="AB199" s="50"/>
      <c r="AC199" s="50"/>
      <c r="AD199" s="50"/>
      <c r="AE199" s="52"/>
      <c r="AF199" s="40"/>
      <c r="AN199" s="40"/>
      <c r="AP199" s="50"/>
      <c r="AQ199" s="50"/>
      <c r="AR199" s="50"/>
      <c r="AS199" s="50"/>
      <c r="AU199" s="40"/>
    </row>
    <row r="200">
      <c r="B200" s="50"/>
      <c r="C200" s="50"/>
      <c r="D200" s="50"/>
      <c r="E200" s="50"/>
      <c r="Q200" s="40"/>
      <c r="S200" s="11"/>
      <c r="T200" s="50"/>
      <c r="U200" s="51"/>
      <c r="V200" s="50"/>
      <c r="W200" s="50"/>
      <c r="X200" s="40"/>
      <c r="Z200" s="11"/>
      <c r="AA200" s="50"/>
      <c r="AB200" s="50"/>
      <c r="AC200" s="50"/>
      <c r="AD200" s="50"/>
      <c r="AE200" s="52"/>
      <c r="AF200" s="40"/>
      <c r="AN200" s="40"/>
      <c r="AP200" s="50"/>
      <c r="AQ200" s="50"/>
      <c r="AR200" s="50"/>
      <c r="AS200" s="50"/>
      <c r="AU200" s="40"/>
    </row>
    <row r="201">
      <c r="B201" s="50"/>
      <c r="C201" s="50"/>
      <c r="D201" s="50"/>
      <c r="E201" s="50"/>
      <c r="Q201" s="40"/>
      <c r="S201" s="11"/>
      <c r="T201" s="50"/>
      <c r="U201" s="51"/>
      <c r="V201" s="50"/>
      <c r="W201" s="50"/>
      <c r="X201" s="40"/>
      <c r="Z201" s="11"/>
      <c r="AA201" s="50"/>
      <c r="AB201" s="50"/>
      <c r="AC201" s="50"/>
      <c r="AD201" s="50"/>
      <c r="AE201" s="52"/>
      <c r="AF201" s="40"/>
      <c r="AN201" s="40"/>
      <c r="AP201" s="50"/>
      <c r="AQ201" s="50"/>
      <c r="AR201" s="50"/>
      <c r="AS201" s="50"/>
      <c r="AU201" s="40"/>
    </row>
    <row r="202">
      <c r="B202" s="50"/>
      <c r="C202" s="50"/>
      <c r="D202" s="50"/>
      <c r="E202" s="50"/>
      <c r="Q202" s="40"/>
      <c r="S202" s="11"/>
      <c r="T202" s="50"/>
      <c r="U202" s="51"/>
      <c r="V202" s="50"/>
      <c r="W202" s="50"/>
      <c r="X202" s="40"/>
      <c r="Z202" s="11"/>
      <c r="AA202" s="50"/>
      <c r="AB202" s="50"/>
      <c r="AC202" s="50"/>
      <c r="AD202" s="50"/>
      <c r="AE202" s="52"/>
      <c r="AF202" s="40"/>
      <c r="AN202" s="40"/>
      <c r="AP202" s="50"/>
      <c r="AQ202" s="50"/>
      <c r="AR202" s="50"/>
      <c r="AS202" s="50"/>
      <c r="AU202" s="40"/>
    </row>
    <row r="203">
      <c r="B203" s="50"/>
      <c r="C203" s="50"/>
      <c r="D203" s="50"/>
      <c r="E203" s="50"/>
      <c r="Q203" s="40"/>
      <c r="S203" s="11"/>
      <c r="T203" s="50"/>
      <c r="U203" s="51"/>
      <c r="V203" s="50"/>
      <c r="W203" s="50"/>
      <c r="X203" s="40"/>
      <c r="Z203" s="11"/>
      <c r="AA203" s="50"/>
      <c r="AB203" s="50"/>
      <c r="AC203" s="50"/>
      <c r="AD203" s="50"/>
      <c r="AE203" s="52"/>
      <c r="AF203" s="40"/>
      <c r="AN203" s="40"/>
      <c r="AP203" s="50"/>
      <c r="AQ203" s="50"/>
      <c r="AR203" s="50"/>
      <c r="AS203" s="50"/>
      <c r="AU203" s="40"/>
    </row>
    <row r="204">
      <c r="B204" s="50"/>
      <c r="C204" s="50"/>
      <c r="D204" s="50"/>
      <c r="E204" s="50"/>
      <c r="Q204" s="40"/>
      <c r="S204" s="11"/>
      <c r="T204" s="50"/>
      <c r="U204" s="51"/>
      <c r="V204" s="50"/>
      <c r="W204" s="50"/>
      <c r="X204" s="40"/>
      <c r="Z204" s="11"/>
      <c r="AA204" s="50"/>
      <c r="AB204" s="50"/>
      <c r="AC204" s="50"/>
      <c r="AD204" s="50"/>
      <c r="AE204" s="52"/>
      <c r="AF204" s="40"/>
      <c r="AN204" s="40"/>
      <c r="AP204" s="50"/>
      <c r="AQ204" s="50"/>
      <c r="AR204" s="50"/>
      <c r="AS204" s="50"/>
      <c r="AU204" s="40"/>
    </row>
    <row r="205">
      <c r="B205" s="50"/>
      <c r="C205" s="50"/>
      <c r="D205" s="50"/>
      <c r="E205" s="50"/>
      <c r="Q205" s="40"/>
      <c r="S205" s="11"/>
      <c r="T205" s="50"/>
      <c r="U205" s="51"/>
      <c r="V205" s="50"/>
      <c r="W205" s="50"/>
      <c r="X205" s="40"/>
      <c r="Z205" s="11"/>
      <c r="AA205" s="50"/>
      <c r="AB205" s="50"/>
      <c r="AC205" s="50"/>
      <c r="AD205" s="50"/>
      <c r="AE205" s="52"/>
      <c r="AF205" s="40"/>
      <c r="AN205" s="40"/>
      <c r="AP205" s="50"/>
      <c r="AQ205" s="50"/>
      <c r="AR205" s="50"/>
      <c r="AS205" s="50"/>
      <c r="AU205" s="40"/>
    </row>
    <row r="206">
      <c r="B206" s="50"/>
      <c r="C206" s="50"/>
      <c r="D206" s="50"/>
      <c r="E206" s="50"/>
      <c r="Q206" s="40"/>
      <c r="S206" s="11"/>
      <c r="T206" s="50"/>
      <c r="U206" s="51"/>
      <c r="V206" s="50"/>
      <c r="W206" s="50"/>
      <c r="X206" s="40"/>
      <c r="Z206" s="11"/>
      <c r="AA206" s="50"/>
      <c r="AB206" s="50"/>
      <c r="AC206" s="50"/>
      <c r="AD206" s="50"/>
      <c r="AE206" s="52"/>
      <c r="AF206" s="40"/>
      <c r="AN206" s="40"/>
      <c r="AP206" s="50"/>
      <c r="AQ206" s="50"/>
      <c r="AR206" s="50"/>
      <c r="AS206" s="50"/>
      <c r="AU206" s="40"/>
    </row>
    <row r="207">
      <c r="B207" s="50"/>
      <c r="C207" s="50"/>
      <c r="D207" s="50"/>
      <c r="E207" s="50"/>
      <c r="Q207" s="40"/>
      <c r="S207" s="11"/>
      <c r="T207" s="50"/>
      <c r="U207" s="51"/>
      <c r="V207" s="50"/>
      <c r="W207" s="50"/>
      <c r="X207" s="40"/>
      <c r="Z207" s="11"/>
      <c r="AA207" s="50"/>
      <c r="AB207" s="50"/>
      <c r="AC207" s="50"/>
      <c r="AD207" s="50"/>
      <c r="AE207" s="52"/>
      <c r="AF207" s="40"/>
      <c r="AN207" s="40"/>
      <c r="AP207" s="50"/>
      <c r="AQ207" s="50"/>
      <c r="AR207" s="50"/>
      <c r="AS207" s="50"/>
      <c r="AU207" s="40"/>
    </row>
    <row r="208">
      <c r="B208" s="50"/>
      <c r="C208" s="50"/>
      <c r="D208" s="50"/>
      <c r="E208" s="50"/>
      <c r="Q208" s="40"/>
      <c r="S208" s="11"/>
      <c r="T208" s="50"/>
      <c r="U208" s="51"/>
      <c r="V208" s="50"/>
      <c r="W208" s="50"/>
      <c r="X208" s="40"/>
      <c r="Z208" s="11"/>
      <c r="AA208" s="50"/>
      <c r="AB208" s="50"/>
      <c r="AC208" s="50"/>
      <c r="AD208" s="50"/>
      <c r="AE208" s="52"/>
      <c r="AF208" s="40"/>
      <c r="AN208" s="40"/>
      <c r="AP208" s="50"/>
      <c r="AQ208" s="50"/>
      <c r="AR208" s="50"/>
      <c r="AS208" s="50"/>
      <c r="AU208" s="40"/>
    </row>
    <row r="209">
      <c r="B209" s="50"/>
      <c r="C209" s="50"/>
      <c r="D209" s="50"/>
      <c r="E209" s="50"/>
      <c r="Q209" s="40"/>
      <c r="S209" s="11"/>
      <c r="T209" s="50"/>
      <c r="U209" s="51"/>
      <c r="V209" s="50"/>
      <c r="W209" s="50"/>
      <c r="X209" s="40"/>
      <c r="Z209" s="11"/>
      <c r="AA209" s="50"/>
      <c r="AB209" s="50"/>
      <c r="AC209" s="50"/>
      <c r="AD209" s="50"/>
      <c r="AE209" s="52"/>
      <c r="AF209" s="40"/>
      <c r="AN209" s="40"/>
      <c r="AP209" s="50"/>
      <c r="AQ209" s="50"/>
      <c r="AR209" s="50"/>
      <c r="AS209" s="50"/>
      <c r="AU209" s="40"/>
    </row>
    <row r="210">
      <c r="B210" s="50"/>
      <c r="C210" s="50"/>
      <c r="D210" s="50"/>
      <c r="E210" s="50"/>
      <c r="Q210" s="40"/>
      <c r="S210" s="11"/>
      <c r="T210" s="50"/>
      <c r="U210" s="51"/>
      <c r="V210" s="50"/>
      <c r="W210" s="50"/>
      <c r="X210" s="40"/>
      <c r="Z210" s="11"/>
      <c r="AA210" s="50"/>
      <c r="AB210" s="50"/>
      <c r="AC210" s="50"/>
      <c r="AD210" s="50"/>
      <c r="AE210" s="52"/>
      <c r="AF210" s="40"/>
      <c r="AN210" s="40"/>
      <c r="AP210" s="50"/>
      <c r="AQ210" s="50"/>
      <c r="AR210" s="50"/>
      <c r="AS210" s="50"/>
      <c r="AU210" s="40"/>
    </row>
    <row r="211">
      <c r="B211" s="50"/>
      <c r="C211" s="50"/>
      <c r="D211" s="50"/>
      <c r="E211" s="50"/>
      <c r="Q211" s="40"/>
      <c r="S211" s="11"/>
      <c r="T211" s="50"/>
      <c r="U211" s="51"/>
      <c r="V211" s="50"/>
      <c r="W211" s="50"/>
      <c r="X211" s="40"/>
      <c r="Z211" s="11"/>
      <c r="AA211" s="50"/>
      <c r="AB211" s="50"/>
      <c r="AC211" s="50"/>
      <c r="AD211" s="50"/>
      <c r="AE211" s="52"/>
      <c r="AF211" s="40"/>
      <c r="AN211" s="40"/>
      <c r="AP211" s="50"/>
      <c r="AQ211" s="50"/>
      <c r="AR211" s="50"/>
      <c r="AS211" s="50"/>
      <c r="AU211" s="40"/>
    </row>
    <row r="212">
      <c r="B212" s="50"/>
      <c r="C212" s="50"/>
      <c r="D212" s="50"/>
      <c r="E212" s="50"/>
      <c r="Q212" s="40"/>
      <c r="S212" s="11"/>
      <c r="T212" s="50"/>
      <c r="U212" s="51"/>
      <c r="V212" s="50"/>
      <c r="W212" s="50"/>
      <c r="X212" s="40"/>
      <c r="Z212" s="11"/>
      <c r="AA212" s="50"/>
      <c r="AB212" s="50"/>
      <c r="AC212" s="50"/>
      <c r="AD212" s="50"/>
      <c r="AE212" s="52"/>
      <c r="AF212" s="40"/>
      <c r="AN212" s="40"/>
      <c r="AP212" s="50"/>
      <c r="AQ212" s="50"/>
      <c r="AR212" s="50"/>
      <c r="AS212" s="50"/>
      <c r="AU212" s="40"/>
    </row>
    <row r="213">
      <c r="B213" s="50"/>
      <c r="C213" s="50"/>
      <c r="D213" s="50"/>
      <c r="E213" s="50"/>
      <c r="Q213" s="40"/>
      <c r="S213" s="11"/>
      <c r="T213" s="50"/>
      <c r="U213" s="51"/>
      <c r="V213" s="50"/>
      <c r="W213" s="50"/>
      <c r="X213" s="40"/>
      <c r="Z213" s="11"/>
      <c r="AA213" s="50"/>
      <c r="AB213" s="50"/>
      <c r="AC213" s="50"/>
      <c r="AD213" s="50"/>
      <c r="AE213" s="52"/>
      <c r="AF213" s="40"/>
      <c r="AN213" s="40"/>
      <c r="AP213" s="50"/>
      <c r="AQ213" s="50"/>
      <c r="AR213" s="50"/>
      <c r="AS213" s="50"/>
      <c r="AU213" s="40"/>
    </row>
    <row r="214">
      <c r="B214" s="50"/>
      <c r="C214" s="50"/>
      <c r="D214" s="50"/>
      <c r="E214" s="50"/>
      <c r="Q214" s="40"/>
      <c r="S214" s="11"/>
      <c r="T214" s="50"/>
      <c r="U214" s="51"/>
      <c r="V214" s="50"/>
      <c r="W214" s="50"/>
      <c r="X214" s="40"/>
      <c r="Z214" s="11"/>
      <c r="AA214" s="50"/>
      <c r="AB214" s="50"/>
      <c r="AC214" s="50"/>
      <c r="AD214" s="50"/>
      <c r="AE214" s="52"/>
      <c r="AF214" s="40"/>
      <c r="AN214" s="40"/>
      <c r="AP214" s="50"/>
      <c r="AQ214" s="50"/>
      <c r="AR214" s="50"/>
      <c r="AS214" s="50"/>
      <c r="AU214" s="40"/>
    </row>
    <row r="215">
      <c r="B215" s="50"/>
      <c r="C215" s="50"/>
      <c r="D215" s="50"/>
      <c r="E215" s="50"/>
      <c r="Q215" s="40"/>
      <c r="S215" s="11"/>
      <c r="T215" s="50"/>
      <c r="U215" s="51"/>
      <c r="V215" s="50"/>
      <c r="W215" s="50"/>
      <c r="X215" s="40"/>
      <c r="Z215" s="11"/>
      <c r="AA215" s="50"/>
      <c r="AB215" s="50"/>
      <c r="AC215" s="50"/>
      <c r="AD215" s="50"/>
      <c r="AE215" s="52"/>
      <c r="AF215" s="40"/>
      <c r="AN215" s="40"/>
      <c r="AP215" s="50"/>
      <c r="AQ215" s="50"/>
      <c r="AR215" s="50"/>
      <c r="AS215" s="50"/>
      <c r="AU215" s="40"/>
    </row>
    <row r="216">
      <c r="B216" s="50"/>
      <c r="C216" s="50"/>
      <c r="D216" s="50"/>
      <c r="E216" s="50"/>
      <c r="Q216" s="40"/>
      <c r="S216" s="11"/>
      <c r="T216" s="50"/>
      <c r="U216" s="51"/>
      <c r="V216" s="50"/>
      <c r="W216" s="50"/>
      <c r="X216" s="40"/>
      <c r="Z216" s="11"/>
      <c r="AA216" s="50"/>
      <c r="AB216" s="50"/>
      <c r="AC216" s="50"/>
      <c r="AD216" s="50"/>
      <c r="AE216" s="52"/>
      <c r="AF216" s="40"/>
      <c r="AN216" s="40"/>
      <c r="AP216" s="50"/>
      <c r="AQ216" s="50"/>
      <c r="AR216" s="50"/>
      <c r="AS216" s="50"/>
      <c r="AU216" s="40"/>
    </row>
    <row r="217">
      <c r="B217" s="50"/>
      <c r="C217" s="50"/>
      <c r="D217" s="50"/>
      <c r="E217" s="50"/>
      <c r="Q217" s="40"/>
      <c r="S217" s="11"/>
      <c r="T217" s="50"/>
      <c r="U217" s="51"/>
      <c r="V217" s="50"/>
      <c r="W217" s="50"/>
      <c r="X217" s="40"/>
      <c r="Z217" s="11"/>
      <c r="AA217" s="50"/>
      <c r="AB217" s="50"/>
      <c r="AC217" s="50"/>
      <c r="AD217" s="50"/>
      <c r="AE217" s="52"/>
      <c r="AF217" s="40"/>
      <c r="AN217" s="40"/>
      <c r="AP217" s="50"/>
      <c r="AQ217" s="50"/>
      <c r="AR217" s="50"/>
      <c r="AS217" s="50"/>
      <c r="AU217" s="40"/>
    </row>
    <row r="218">
      <c r="B218" s="50"/>
      <c r="C218" s="50"/>
      <c r="D218" s="50"/>
      <c r="E218" s="50"/>
      <c r="Q218" s="40"/>
      <c r="S218" s="11"/>
      <c r="T218" s="50"/>
      <c r="U218" s="51"/>
      <c r="V218" s="50"/>
      <c r="W218" s="50"/>
      <c r="X218" s="40"/>
      <c r="Z218" s="11"/>
      <c r="AA218" s="50"/>
      <c r="AB218" s="50"/>
      <c r="AC218" s="50"/>
      <c r="AD218" s="50"/>
      <c r="AE218" s="52"/>
      <c r="AF218" s="40"/>
      <c r="AN218" s="40"/>
      <c r="AP218" s="50"/>
      <c r="AQ218" s="50"/>
      <c r="AR218" s="50"/>
      <c r="AS218" s="50"/>
      <c r="AU218" s="40"/>
    </row>
    <row r="219">
      <c r="B219" s="50"/>
      <c r="C219" s="50"/>
      <c r="D219" s="50"/>
      <c r="E219" s="50"/>
      <c r="Q219" s="40"/>
      <c r="S219" s="11"/>
      <c r="T219" s="50"/>
      <c r="U219" s="51"/>
      <c r="V219" s="50"/>
      <c r="W219" s="50"/>
      <c r="X219" s="40"/>
      <c r="Z219" s="11"/>
      <c r="AA219" s="50"/>
      <c r="AB219" s="50"/>
      <c r="AC219" s="50"/>
      <c r="AD219" s="50"/>
      <c r="AE219" s="52"/>
      <c r="AF219" s="40"/>
      <c r="AN219" s="40"/>
      <c r="AP219" s="50"/>
      <c r="AQ219" s="50"/>
      <c r="AR219" s="50"/>
      <c r="AS219" s="50"/>
      <c r="AU219" s="40"/>
    </row>
    <row r="220">
      <c r="B220" s="50"/>
      <c r="C220" s="50"/>
      <c r="D220" s="50"/>
      <c r="E220" s="50"/>
      <c r="Q220" s="40"/>
      <c r="S220" s="11"/>
      <c r="T220" s="50"/>
      <c r="U220" s="51"/>
      <c r="V220" s="50"/>
      <c r="W220" s="50"/>
      <c r="X220" s="40"/>
      <c r="Z220" s="11"/>
      <c r="AA220" s="50"/>
      <c r="AB220" s="50"/>
      <c r="AC220" s="50"/>
      <c r="AD220" s="50"/>
      <c r="AE220" s="52"/>
      <c r="AF220" s="40"/>
      <c r="AN220" s="40"/>
      <c r="AP220" s="50"/>
      <c r="AQ220" s="50"/>
      <c r="AR220" s="50"/>
      <c r="AS220" s="50"/>
      <c r="AU220" s="40"/>
    </row>
    <row r="221">
      <c r="B221" s="50"/>
      <c r="C221" s="50"/>
      <c r="D221" s="50"/>
      <c r="E221" s="50"/>
      <c r="Q221" s="40"/>
      <c r="S221" s="11"/>
      <c r="T221" s="50"/>
      <c r="U221" s="51"/>
      <c r="V221" s="50"/>
      <c r="W221" s="50"/>
      <c r="X221" s="40"/>
      <c r="Z221" s="11"/>
      <c r="AA221" s="50"/>
      <c r="AB221" s="50"/>
      <c r="AC221" s="50"/>
      <c r="AD221" s="50"/>
      <c r="AE221" s="52"/>
      <c r="AF221" s="40"/>
      <c r="AN221" s="40"/>
      <c r="AP221" s="50"/>
      <c r="AQ221" s="50"/>
      <c r="AR221" s="50"/>
      <c r="AS221" s="50"/>
      <c r="AU221" s="40"/>
    </row>
    <row r="222">
      <c r="B222" s="50"/>
      <c r="C222" s="50"/>
      <c r="D222" s="50"/>
      <c r="E222" s="50"/>
      <c r="Q222" s="40"/>
      <c r="S222" s="11"/>
      <c r="T222" s="50"/>
      <c r="U222" s="51"/>
      <c r="V222" s="50"/>
      <c r="W222" s="50"/>
      <c r="X222" s="40"/>
      <c r="Z222" s="11"/>
      <c r="AA222" s="50"/>
      <c r="AB222" s="50"/>
      <c r="AC222" s="50"/>
      <c r="AD222" s="50"/>
      <c r="AE222" s="52"/>
      <c r="AF222" s="40"/>
      <c r="AN222" s="40"/>
      <c r="AP222" s="50"/>
      <c r="AQ222" s="50"/>
      <c r="AR222" s="50"/>
      <c r="AS222" s="50"/>
      <c r="AU222" s="40"/>
    </row>
    <row r="223">
      <c r="B223" s="50"/>
      <c r="C223" s="50"/>
      <c r="D223" s="50"/>
      <c r="E223" s="50"/>
      <c r="Q223" s="40"/>
      <c r="S223" s="11"/>
      <c r="T223" s="50"/>
      <c r="U223" s="51"/>
      <c r="V223" s="50"/>
      <c r="W223" s="50"/>
      <c r="X223" s="40"/>
      <c r="Z223" s="11"/>
      <c r="AA223" s="50"/>
      <c r="AB223" s="50"/>
      <c r="AC223" s="50"/>
      <c r="AD223" s="50"/>
      <c r="AE223" s="52"/>
      <c r="AF223" s="40"/>
      <c r="AN223" s="40"/>
      <c r="AP223" s="50"/>
      <c r="AQ223" s="50"/>
      <c r="AR223" s="50"/>
      <c r="AS223" s="50"/>
      <c r="AU223" s="40"/>
    </row>
    <row r="224">
      <c r="B224" s="50"/>
      <c r="C224" s="50"/>
      <c r="D224" s="50"/>
      <c r="E224" s="50"/>
      <c r="Q224" s="40"/>
      <c r="S224" s="11"/>
      <c r="T224" s="50"/>
      <c r="U224" s="51"/>
      <c r="V224" s="50"/>
      <c r="W224" s="50"/>
      <c r="X224" s="40"/>
      <c r="Z224" s="11"/>
      <c r="AA224" s="50"/>
      <c r="AB224" s="50"/>
      <c r="AC224" s="50"/>
      <c r="AD224" s="50"/>
      <c r="AE224" s="52"/>
      <c r="AF224" s="40"/>
      <c r="AN224" s="40"/>
      <c r="AP224" s="50"/>
      <c r="AQ224" s="50"/>
      <c r="AR224" s="50"/>
      <c r="AS224" s="50"/>
      <c r="AU224" s="40"/>
    </row>
    <row r="225">
      <c r="B225" s="50"/>
      <c r="C225" s="50"/>
      <c r="D225" s="50"/>
      <c r="E225" s="50"/>
      <c r="Q225" s="40"/>
      <c r="S225" s="11"/>
      <c r="T225" s="50"/>
      <c r="U225" s="51"/>
      <c r="V225" s="50"/>
      <c r="W225" s="50"/>
      <c r="X225" s="40"/>
      <c r="Z225" s="11"/>
      <c r="AA225" s="50"/>
      <c r="AB225" s="50"/>
      <c r="AC225" s="50"/>
      <c r="AD225" s="50"/>
      <c r="AE225" s="52"/>
      <c r="AF225" s="40"/>
      <c r="AN225" s="40"/>
      <c r="AP225" s="50"/>
      <c r="AQ225" s="50"/>
      <c r="AR225" s="50"/>
      <c r="AS225" s="50"/>
      <c r="AU225" s="40"/>
    </row>
    <row r="226">
      <c r="B226" s="50"/>
      <c r="C226" s="50"/>
      <c r="D226" s="50"/>
      <c r="E226" s="50"/>
      <c r="Q226" s="40"/>
      <c r="S226" s="11"/>
      <c r="T226" s="50"/>
      <c r="U226" s="51"/>
      <c r="V226" s="50"/>
      <c r="W226" s="50"/>
      <c r="X226" s="40"/>
      <c r="Z226" s="11"/>
      <c r="AA226" s="50"/>
      <c r="AB226" s="50"/>
      <c r="AC226" s="50"/>
      <c r="AD226" s="50"/>
      <c r="AE226" s="52"/>
      <c r="AF226" s="40"/>
      <c r="AN226" s="40"/>
      <c r="AP226" s="50"/>
      <c r="AQ226" s="50"/>
      <c r="AR226" s="50"/>
      <c r="AS226" s="50"/>
      <c r="AU226" s="40"/>
    </row>
    <row r="227">
      <c r="B227" s="50"/>
      <c r="C227" s="50"/>
      <c r="D227" s="50"/>
      <c r="E227" s="50"/>
      <c r="Q227" s="40"/>
      <c r="S227" s="11"/>
      <c r="T227" s="50"/>
      <c r="U227" s="51"/>
      <c r="V227" s="50"/>
      <c r="W227" s="50"/>
      <c r="X227" s="40"/>
      <c r="Z227" s="11"/>
      <c r="AA227" s="50"/>
      <c r="AB227" s="50"/>
      <c r="AC227" s="50"/>
      <c r="AD227" s="50"/>
      <c r="AE227" s="52"/>
      <c r="AF227" s="40"/>
      <c r="AN227" s="40"/>
      <c r="AP227" s="50"/>
      <c r="AQ227" s="50"/>
      <c r="AR227" s="50"/>
      <c r="AS227" s="50"/>
      <c r="AU227" s="40"/>
    </row>
    <row r="228">
      <c r="B228" s="50"/>
      <c r="C228" s="50"/>
      <c r="D228" s="50"/>
      <c r="E228" s="50"/>
      <c r="Q228" s="40"/>
      <c r="S228" s="11"/>
      <c r="T228" s="50"/>
      <c r="U228" s="51"/>
      <c r="V228" s="50"/>
      <c r="W228" s="50"/>
      <c r="X228" s="40"/>
      <c r="Z228" s="11"/>
      <c r="AA228" s="50"/>
      <c r="AB228" s="50"/>
      <c r="AC228" s="50"/>
      <c r="AD228" s="50"/>
      <c r="AE228" s="52"/>
      <c r="AF228" s="40"/>
      <c r="AN228" s="40"/>
      <c r="AP228" s="50"/>
      <c r="AQ228" s="50"/>
      <c r="AR228" s="50"/>
      <c r="AS228" s="50"/>
      <c r="AU228" s="40"/>
    </row>
    <row r="229">
      <c r="B229" s="50"/>
      <c r="C229" s="50"/>
      <c r="D229" s="50"/>
      <c r="E229" s="50"/>
      <c r="Q229" s="40"/>
      <c r="S229" s="11"/>
      <c r="T229" s="50"/>
      <c r="U229" s="51"/>
      <c r="V229" s="50"/>
      <c r="W229" s="50"/>
      <c r="X229" s="40"/>
      <c r="Z229" s="11"/>
      <c r="AA229" s="50"/>
      <c r="AB229" s="50"/>
      <c r="AC229" s="50"/>
      <c r="AD229" s="50"/>
      <c r="AE229" s="52"/>
      <c r="AF229" s="40"/>
      <c r="AN229" s="40"/>
      <c r="AP229" s="50"/>
      <c r="AQ229" s="50"/>
      <c r="AR229" s="50"/>
      <c r="AS229" s="50"/>
      <c r="AU229" s="40"/>
    </row>
    <row r="230">
      <c r="B230" s="50"/>
      <c r="C230" s="50"/>
      <c r="D230" s="50"/>
      <c r="E230" s="50"/>
      <c r="Q230" s="40"/>
      <c r="S230" s="11"/>
      <c r="T230" s="50"/>
      <c r="U230" s="51"/>
      <c r="V230" s="50"/>
      <c r="W230" s="50"/>
      <c r="X230" s="40"/>
      <c r="Z230" s="11"/>
      <c r="AA230" s="50"/>
      <c r="AB230" s="50"/>
      <c r="AC230" s="50"/>
      <c r="AD230" s="50"/>
      <c r="AE230" s="52"/>
      <c r="AF230" s="40"/>
      <c r="AN230" s="40"/>
      <c r="AP230" s="50"/>
      <c r="AQ230" s="50"/>
      <c r="AR230" s="50"/>
      <c r="AS230" s="50"/>
      <c r="AU230" s="40"/>
    </row>
    <row r="231">
      <c r="B231" s="50"/>
      <c r="C231" s="50"/>
      <c r="D231" s="50"/>
      <c r="E231" s="50"/>
      <c r="Q231" s="40"/>
      <c r="S231" s="11"/>
      <c r="T231" s="50"/>
      <c r="U231" s="51"/>
      <c r="V231" s="50"/>
      <c r="W231" s="50"/>
      <c r="X231" s="40"/>
      <c r="Z231" s="11"/>
      <c r="AA231" s="50"/>
      <c r="AB231" s="50"/>
      <c r="AC231" s="50"/>
      <c r="AD231" s="50"/>
      <c r="AE231" s="52"/>
      <c r="AF231" s="40"/>
      <c r="AN231" s="40"/>
      <c r="AP231" s="50"/>
      <c r="AQ231" s="50"/>
      <c r="AR231" s="50"/>
      <c r="AS231" s="50"/>
      <c r="AU231" s="40"/>
    </row>
    <row r="232">
      <c r="B232" s="50"/>
      <c r="C232" s="50"/>
      <c r="D232" s="50"/>
      <c r="E232" s="50"/>
      <c r="Q232" s="40"/>
      <c r="S232" s="11"/>
      <c r="T232" s="50"/>
      <c r="U232" s="51"/>
      <c r="V232" s="50"/>
      <c r="W232" s="50"/>
      <c r="X232" s="40"/>
      <c r="Z232" s="11"/>
      <c r="AA232" s="50"/>
      <c r="AB232" s="50"/>
      <c r="AC232" s="50"/>
      <c r="AD232" s="50"/>
      <c r="AE232" s="52"/>
      <c r="AF232" s="40"/>
      <c r="AN232" s="40"/>
      <c r="AP232" s="50"/>
      <c r="AQ232" s="50"/>
      <c r="AR232" s="50"/>
      <c r="AS232" s="50"/>
      <c r="AU232" s="40"/>
    </row>
    <row r="233">
      <c r="B233" s="50"/>
      <c r="C233" s="50"/>
      <c r="D233" s="50"/>
      <c r="E233" s="50"/>
      <c r="Q233" s="40"/>
      <c r="S233" s="11"/>
      <c r="T233" s="50"/>
      <c r="U233" s="51"/>
      <c r="V233" s="50"/>
      <c r="W233" s="50"/>
      <c r="X233" s="40"/>
      <c r="Z233" s="11"/>
      <c r="AA233" s="50"/>
      <c r="AB233" s="50"/>
      <c r="AC233" s="50"/>
      <c r="AD233" s="50"/>
      <c r="AE233" s="52"/>
      <c r="AF233" s="40"/>
      <c r="AN233" s="40"/>
      <c r="AP233" s="50"/>
      <c r="AQ233" s="50"/>
      <c r="AR233" s="50"/>
      <c r="AS233" s="50"/>
      <c r="AU233" s="40"/>
    </row>
    <row r="234">
      <c r="B234" s="50"/>
      <c r="C234" s="50"/>
      <c r="D234" s="50"/>
      <c r="E234" s="50"/>
      <c r="Q234" s="40"/>
      <c r="S234" s="11"/>
      <c r="T234" s="50"/>
      <c r="U234" s="51"/>
      <c r="V234" s="50"/>
      <c r="W234" s="50"/>
      <c r="X234" s="40"/>
      <c r="Z234" s="11"/>
      <c r="AA234" s="50"/>
      <c r="AB234" s="50"/>
      <c r="AC234" s="50"/>
      <c r="AD234" s="50"/>
      <c r="AE234" s="52"/>
      <c r="AF234" s="40"/>
      <c r="AN234" s="40"/>
      <c r="AP234" s="50"/>
      <c r="AQ234" s="50"/>
      <c r="AR234" s="50"/>
      <c r="AS234" s="50"/>
      <c r="AU234" s="40"/>
    </row>
    <row r="235">
      <c r="B235" s="50"/>
      <c r="C235" s="50"/>
      <c r="D235" s="50"/>
      <c r="E235" s="50"/>
      <c r="Q235" s="40"/>
      <c r="S235" s="11"/>
      <c r="T235" s="50"/>
      <c r="U235" s="51"/>
      <c r="V235" s="50"/>
      <c r="W235" s="50"/>
      <c r="X235" s="40"/>
      <c r="Z235" s="11"/>
      <c r="AA235" s="50"/>
      <c r="AB235" s="50"/>
      <c r="AC235" s="50"/>
      <c r="AD235" s="50"/>
      <c r="AE235" s="52"/>
      <c r="AF235" s="40"/>
      <c r="AN235" s="40"/>
      <c r="AP235" s="50"/>
      <c r="AQ235" s="50"/>
      <c r="AR235" s="50"/>
      <c r="AS235" s="50"/>
      <c r="AU235" s="40"/>
    </row>
    <row r="236">
      <c r="B236" s="50"/>
      <c r="C236" s="50"/>
      <c r="D236" s="50"/>
      <c r="E236" s="50"/>
      <c r="Q236" s="40"/>
      <c r="S236" s="11"/>
      <c r="T236" s="50"/>
      <c r="U236" s="51"/>
      <c r="V236" s="50"/>
      <c r="W236" s="50"/>
      <c r="X236" s="40"/>
      <c r="Z236" s="11"/>
      <c r="AA236" s="50"/>
      <c r="AB236" s="50"/>
      <c r="AC236" s="50"/>
      <c r="AD236" s="50"/>
      <c r="AE236" s="52"/>
      <c r="AF236" s="40"/>
      <c r="AN236" s="40"/>
      <c r="AP236" s="50"/>
      <c r="AQ236" s="50"/>
      <c r="AR236" s="50"/>
      <c r="AS236" s="50"/>
      <c r="AU236" s="40"/>
    </row>
    <row r="237">
      <c r="B237" s="50"/>
      <c r="C237" s="50"/>
      <c r="D237" s="50"/>
      <c r="E237" s="50"/>
      <c r="Q237" s="40"/>
      <c r="S237" s="11"/>
      <c r="T237" s="50"/>
      <c r="U237" s="51"/>
      <c r="V237" s="50"/>
      <c r="W237" s="50"/>
      <c r="X237" s="40"/>
      <c r="Z237" s="11"/>
      <c r="AA237" s="50"/>
      <c r="AB237" s="50"/>
      <c r="AC237" s="50"/>
      <c r="AD237" s="50"/>
      <c r="AE237" s="52"/>
      <c r="AF237" s="40"/>
      <c r="AN237" s="40"/>
      <c r="AP237" s="50"/>
      <c r="AQ237" s="50"/>
      <c r="AR237" s="50"/>
      <c r="AS237" s="50"/>
      <c r="AU237" s="40"/>
    </row>
    <row r="238">
      <c r="B238" s="50"/>
      <c r="C238" s="50"/>
      <c r="D238" s="50"/>
      <c r="E238" s="50"/>
      <c r="Q238" s="40"/>
      <c r="S238" s="11"/>
      <c r="T238" s="50"/>
      <c r="U238" s="51"/>
      <c r="V238" s="50"/>
      <c r="W238" s="50"/>
      <c r="X238" s="40"/>
      <c r="Z238" s="11"/>
      <c r="AA238" s="50"/>
      <c r="AB238" s="50"/>
      <c r="AC238" s="50"/>
      <c r="AD238" s="50"/>
      <c r="AE238" s="52"/>
      <c r="AF238" s="40"/>
      <c r="AN238" s="40"/>
      <c r="AP238" s="50"/>
      <c r="AQ238" s="50"/>
      <c r="AR238" s="50"/>
      <c r="AS238" s="50"/>
      <c r="AU238" s="40"/>
    </row>
    <row r="239">
      <c r="B239" s="50"/>
      <c r="C239" s="50"/>
      <c r="D239" s="50"/>
      <c r="E239" s="50"/>
      <c r="Q239" s="40"/>
      <c r="S239" s="11"/>
      <c r="T239" s="50"/>
      <c r="U239" s="51"/>
      <c r="V239" s="50"/>
      <c r="W239" s="50"/>
      <c r="X239" s="40"/>
      <c r="Z239" s="11"/>
      <c r="AA239" s="50"/>
      <c r="AB239" s="50"/>
      <c r="AC239" s="50"/>
      <c r="AD239" s="50"/>
      <c r="AE239" s="52"/>
      <c r="AF239" s="40"/>
      <c r="AN239" s="40"/>
      <c r="AP239" s="50"/>
      <c r="AQ239" s="50"/>
      <c r="AR239" s="50"/>
      <c r="AS239" s="50"/>
      <c r="AU239" s="40"/>
    </row>
    <row r="240">
      <c r="B240" s="50"/>
      <c r="C240" s="50"/>
      <c r="D240" s="50"/>
      <c r="E240" s="50"/>
      <c r="Q240" s="40"/>
      <c r="S240" s="11"/>
      <c r="T240" s="50"/>
      <c r="U240" s="51"/>
      <c r="V240" s="50"/>
      <c r="W240" s="50"/>
      <c r="X240" s="40"/>
      <c r="Z240" s="11"/>
      <c r="AA240" s="50"/>
      <c r="AB240" s="50"/>
      <c r="AC240" s="50"/>
      <c r="AD240" s="50"/>
      <c r="AE240" s="52"/>
      <c r="AF240" s="40"/>
      <c r="AN240" s="40"/>
      <c r="AP240" s="50"/>
      <c r="AQ240" s="50"/>
      <c r="AR240" s="50"/>
      <c r="AS240" s="50"/>
      <c r="AU240" s="40"/>
    </row>
    <row r="241">
      <c r="B241" s="50"/>
      <c r="C241" s="50"/>
      <c r="D241" s="50"/>
      <c r="E241" s="50"/>
      <c r="Q241" s="40"/>
      <c r="S241" s="11"/>
      <c r="T241" s="50"/>
      <c r="U241" s="51"/>
      <c r="V241" s="50"/>
      <c r="W241" s="50"/>
      <c r="X241" s="40"/>
      <c r="Z241" s="11"/>
      <c r="AA241" s="50"/>
      <c r="AB241" s="50"/>
      <c r="AC241" s="50"/>
      <c r="AD241" s="50"/>
      <c r="AE241" s="52"/>
      <c r="AF241" s="40"/>
      <c r="AN241" s="40"/>
      <c r="AP241" s="50"/>
      <c r="AQ241" s="50"/>
      <c r="AR241" s="50"/>
      <c r="AS241" s="50"/>
      <c r="AU241" s="40"/>
    </row>
    <row r="242">
      <c r="B242" s="50"/>
      <c r="C242" s="50"/>
      <c r="D242" s="50"/>
      <c r="E242" s="50"/>
      <c r="Q242" s="40"/>
      <c r="S242" s="11"/>
      <c r="T242" s="50"/>
      <c r="U242" s="51"/>
      <c r="V242" s="50"/>
      <c r="W242" s="50"/>
      <c r="X242" s="40"/>
      <c r="Z242" s="11"/>
      <c r="AA242" s="50"/>
      <c r="AB242" s="50"/>
      <c r="AC242" s="50"/>
      <c r="AD242" s="50"/>
      <c r="AE242" s="52"/>
      <c r="AF242" s="40"/>
      <c r="AN242" s="40"/>
      <c r="AP242" s="50"/>
      <c r="AQ242" s="50"/>
      <c r="AR242" s="50"/>
      <c r="AS242" s="50"/>
      <c r="AU242" s="40"/>
    </row>
    <row r="243">
      <c r="B243" s="50"/>
      <c r="C243" s="50"/>
      <c r="D243" s="50"/>
      <c r="E243" s="50"/>
      <c r="Q243" s="40"/>
      <c r="S243" s="11"/>
      <c r="T243" s="50"/>
      <c r="U243" s="51"/>
      <c r="V243" s="50"/>
      <c r="W243" s="50"/>
      <c r="X243" s="40"/>
      <c r="Z243" s="11"/>
      <c r="AA243" s="50"/>
      <c r="AB243" s="50"/>
      <c r="AC243" s="50"/>
      <c r="AD243" s="50"/>
      <c r="AE243" s="52"/>
      <c r="AF243" s="40"/>
      <c r="AN243" s="40"/>
      <c r="AP243" s="50"/>
      <c r="AQ243" s="50"/>
      <c r="AR243" s="50"/>
      <c r="AS243" s="50"/>
      <c r="AU243" s="40"/>
    </row>
    <row r="244">
      <c r="B244" s="50"/>
      <c r="C244" s="50"/>
      <c r="D244" s="50"/>
      <c r="E244" s="50"/>
      <c r="Q244" s="40"/>
      <c r="S244" s="11"/>
      <c r="T244" s="50"/>
      <c r="U244" s="51"/>
      <c r="V244" s="50"/>
      <c r="W244" s="50"/>
      <c r="X244" s="40"/>
      <c r="Z244" s="11"/>
      <c r="AA244" s="50"/>
      <c r="AB244" s="50"/>
      <c r="AC244" s="50"/>
      <c r="AD244" s="50"/>
      <c r="AE244" s="52"/>
      <c r="AF244" s="40"/>
      <c r="AN244" s="40"/>
      <c r="AP244" s="50"/>
      <c r="AQ244" s="50"/>
      <c r="AR244" s="50"/>
      <c r="AS244" s="50"/>
      <c r="AU244" s="40"/>
    </row>
    <row r="245">
      <c r="B245" s="50"/>
      <c r="C245" s="50"/>
      <c r="D245" s="50"/>
      <c r="E245" s="50"/>
      <c r="Q245" s="40"/>
      <c r="S245" s="11"/>
      <c r="T245" s="50"/>
      <c r="U245" s="51"/>
      <c r="V245" s="50"/>
      <c r="W245" s="50"/>
      <c r="X245" s="40"/>
      <c r="Z245" s="11"/>
      <c r="AA245" s="50"/>
      <c r="AB245" s="50"/>
      <c r="AC245" s="50"/>
      <c r="AD245" s="50"/>
      <c r="AE245" s="52"/>
      <c r="AF245" s="40"/>
      <c r="AN245" s="40"/>
      <c r="AP245" s="50"/>
      <c r="AQ245" s="50"/>
      <c r="AR245" s="50"/>
      <c r="AS245" s="50"/>
      <c r="AU245" s="40"/>
    </row>
    <row r="246">
      <c r="B246" s="50"/>
      <c r="C246" s="50"/>
      <c r="D246" s="50"/>
      <c r="E246" s="50"/>
      <c r="Q246" s="40"/>
      <c r="S246" s="11"/>
      <c r="T246" s="50"/>
      <c r="U246" s="51"/>
      <c r="V246" s="50"/>
      <c r="W246" s="50"/>
      <c r="X246" s="40"/>
      <c r="Z246" s="11"/>
      <c r="AA246" s="50"/>
      <c r="AB246" s="50"/>
      <c r="AC246" s="50"/>
      <c r="AD246" s="50"/>
      <c r="AE246" s="52"/>
      <c r="AF246" s="40"/>
      <c r="AN246" s="40"/>
      <c r="AP246" s="50"/>
      <c r="AQ246" s="50"/>
      <c r="AR246" s="50"/>
      <c r="AS246" s="50"/>
      <c r="AU246" s="40"/>
    </row>
    <row r="247">
      <c r="B247" s="50"/>
      <c r="C247" s="50"/>
      <c r="D247" s="50"/>
      <c r="E247" s="50"/>
      <c r="Q247" s="40"/>
      <c r="S247" s="11"/>
      <c r="T247" s="50"/>
      <c r="U247" s="51"/>
      <c r="V247" s="50"/>
      <c r="W247" s="50"/>
      <c r="X247" s="40"/>
      <c r="Z247" s="11"/>
      <c r="AA247" s="50"/>
      <c r="AB247" s="50"/>
      <c r="AC247" s="50"/>
      <c r="AD247" s="50"/>
      <c r="AE247" s="52"/>
      <c r="AF247" s="40"/>
      <c r="AN247" s="40"/>
      <c r="AP247" s="50"/>
      <c r="AQ247" s="50"/>
      <c r="AR247" s="50"/>
      <c r="AS247" s="50"/>
      <c r="AU247" s="40"/>
    </row>
    <row r="248">
      <c r="B248" s="50"/>
      <c r="C248" s="50"/>
      <c r="D248" s="50"/>
      <c r="E248" s="50"/>
      <c r="Q248" s="40"/>
      <c r="S248" s="11"/>
      <c r="T248" s="50"/>
      <c r="U248" s="51"/>
      <c r="V248" s="50"/>
      <c r="W248" s="50"/>
      <c r="X248" s="40"/>
      <c r="Z248" s="11"/>
      <c r="AA248" s="50"/>
      <c r="AB248" s="50"/>
      <c r="AC248" s="50"/>
      <c r="AD248" s="50"/>
      <c r="AE248" s="52"/>
      <c r="AF248" s="40"/>
      <c r="AN248" s="40"/>
      <c r="AP248" s="50"/>
      <c r="AQ248" s="50"/>
      <c r="AR248" s="50"/>
      <c r="AS248" s="50"/>
      <c r="AU248" s="40"/>
    </row>
    <row r="249">
      <c r="B249" s="50"/>
      <c r="C249" s="50"/>
      <c r="D249" s="50"/>
      <c r="E249" s="50"/>
      <c r="Q249" s="40"/>
      <c r="S249" s="11"/>
      <c r="T249" s="50"/>
      <c r="U249" s="51"/>
      <c r="V249" s="50"/>
      <c r="W249" s="50"/>
      <c r="X249" s="40"/>
      <c r="Z249" s="11"/>
      <c r="AA249" s="50"/>
      <c r="AB249" s="50"/>
      <c r="AC249" s="50"/>
      <c r="AD249" s="50"/>
      <c r="AE249" s="52"/>
      <c r="AF249" s="40"/>
      <c r="AN249" s="40"/>
      <c r="AP249" s="50"/>
      <c r="AQ249" s="50"/>
      <c r="AR249" s="50"/>
      <c r="AS249" s="50"/>
      <c r="AU249" s="40"/>
    </row>
    <row r="250">
      <c r="B250" s="50"/>
      <c r="C250" s="50"/>
      <c r="D250" s="50"/>
      <c r="E250" s="50"/>
      <c r="Q250" s="40"/>
      <c r="S250" s="11"/>
      <c r="T250" s="50"/>
      <c r="U250" s="51"/>
      <c r="V250" s="50"/>
      <c r="W250" s="50"/>
      <c r="X250" s="40"/>
      <c r="Z250" s="11"/>
      <c r="AA250" s="50"/>
      <c r="AB250" s="50"/>
      <c r="AC250" s="50"/>
      <c r="AD250" s="50"/>
      <c r="AE250" s="52"/>
      <c r="AF250" s="40"/>
      <c r="AN250" s="40"/>
      <c r="AP250" s="50"/>
      <c r="AQ250" s="50"/>
      <c r="AR250" s="50"/>
      <c r="AS250" s="50"/>
      <c r="AU250" s="40"/>
    </row>
    <row r="251">
      <c r="B251" s="50"/>
      <c r="C251" s="50"/>
      <c r="D251" s="50"/>
      <c r="E251" s="50"/>
      <c r="Q251" s="40"/>
      <c r="S251" s="11"/>
      <c r="T251" s="50"/>
      <c r="U251" s="51"/>
      <c r="V251" s="50"/>
      <c r="W251" s="50"/>
      <c r="X251" s="40"/>
      <c r="Z251" s="11"/>
      <c r="AA251" s="50"/>
      <c r="AB251" s="50"/>
      <c r="AC251" s="50"/>
      <c r="AD251" s="50"/>
      <c r="AE251" s="52"/>
      <c r="AF251" s="40"/>
      <c r="AN251" s="40"/>
      <c r="AP251" s="50"/>
      <c r="AQ251" s="50"/>
      <c r="AR251" s="50"/>
      <c r="AS251" s="50"/>
      <c r="AU251" s="40"/>
    </row>
    <row r="252">
      <c r="B252" s="50"/>
      <c r="C252" s="50"/>
      <c r="D252" s="50"/>
      <c r="E252" s="50"/>
      <c r="Q252" s="40"/>
      <c r="S252" s="11"/>
      <c r="T252" s="50"/>
      <c r="U252" s="51"/>
      <c r="V252" s="50"/>
      <c r="W252" s="50"/>
      <c r="X252" s="40"/>
      <c r="Z252" s="11"/>
      <c r="AA252" s="50"/>
      <c r="AB252" s="50"/>
      <c r="AC252" s="50"/>
      <c r="AD252" s="50"/>
      <c r="AE252" s="52"/>
      <c r="AF252" s="40"/>
      <c r="AN252" s="40"/>
      <c r="AP252" s="50"/>
      <c r="AQ252" s="50"/>
      <c r="AR252" s="50"/>
      <c r="AS252" s="50"/>
      <c r="AU252" s="40"/>
    </row>
    <row r="253">
      <c r="B253" s="50"/>
      <c r="C253" s="50"/>
      <c r="D253" s="50"/>
      <c r="E253" s="50"/>
      <c r="Q253" s="40"/>
      <c r="S253" s="11"/>
      <c r="T253" s="50"/>
      <c r="U253" s="51"/>
      <c r="V253" s="50"/>
      <c r="W253" s="50"/>
      <c r="X253" s="40"/>
      <c r="Z253" s="11"/>
      <c r="AA253" s="50"/>
      <c r="AB253" s="50"/>
      <c r="AC253" s="50"/>
      <c r="AD253" s="50"/>
      <c r="AE253" s="52"/>
      <c r="AF253" s="40"/>
      <c r="AN253" s="40"/>
      <c r="AP253" s="50"/>
      <c r="AQ253" s="50"/>
      <c r="AR253" s="50"/>
      <c r="AS253" s="50"/>
      <c r="AU253" s="40"/>
    </row>
    <row r="254">
      <c r="B254" s="50"/>
      <c r="C254" s="50"/>
      <c r="D254" s="50"/>
      <c r="E254" s="50"/>
      <c r="Q254" s="40"/>
      <c r="S254" s="11"/>
      <c r="T254" s="50"/>
      <c r="U254" s="51"/>
      <c r="V254" s="50"/>
      <c r="W254" s="50"/>
      <c r="X254" s="40"/>
      <c r="Z254" s="11"/>
      <c r="AA254" s="50"/>
      <c r="AB254" s="50"/>
      <c r="AC254" s="50"/>
      <c r="AD254" s="50"/>
      <c r="AE254" s="52"/>
      <c r="AF254" s="40"/>
      <c r="AN254" s="40"/>
      <c r="AP254" s="50"/>
      <c r="AQ254" s="50"/>
      <c r="AR254" s="50"/>
      <c r="AS254" s="50"/>
      <c r="AU254" s="40"/>
    </row>
    <row r="255">
      <c r="B255" s="50"/>
      <c r="C255" s="50"/>
      <c r="D255" s="50"/>
      <c r="E255" s="50"/>
      <c r="Q255" s="40"/>
      <c r="S255" s="11"/>
      <c r="T255" s="50"/>
      <c r="U255" s="51"/>
      <c r="V255" s="50"/>
      <c r="W255" s="50"/>
      <c r="X255" s="40"/>
      <c r="Z255" s="11"/>
      <c r="AA255" s="50"/>
      <c r="AB255" s="50"/>
      <c r="AC255" s="50"/>
      <c r="AD255" s="50"/>
      <c r="AE255" s="52"/>
      <c r="AF255" s="40"/>
      <c r="AN255" s="40"/>
      <c r="AP255" s="50"/>
      <c r="AQ255" s="50"/>
      <c r="AR255" s="50"/>
      <c r="AS255" s="50"/>
      <c r="AU255" s="40"/>
    </row>
    <row r="256">
      <c r="B256" s="50"/>
      <c r="C256" s="50"/>
      <c r="D256" s="50"/>
      <c r="E256" s="50"/>
      <c r="Q256" s="40"/>
      <c r="S256" s="11"/>
      <c r="T256" s="50"/>
      <c r="U256" s="51"/>
      <c r="V256" s="50"/>
      <c r="W256" s="50"/>
      <c r="X256" s="40"/>
      <c r="Z256" s="11"/>
      <c r="AA256" s="50"/>
      <c r="AB256" s="50"/>
      <c r="AC256" s="50"/>
      <c r="AD256" s="50"/>
      <c r="AE256" s="52"/>
      <c r="AF256" s="40"/>
      <c r="AN256" s="40"/>
      <c r="AP256" s="50"/>
      <c r="AQ256" s="50"/>
      <c r="AR256" s="50"/>
      <c r="AS256" s="50"/>
      <c r="AU256" s="40"/>
    </row>
    <row r="257">
      <c r="B257" s="50"/>
      <c r="C257" s="50"/>
      <c r="D257" s="50"/>
      <c r="E257" s="50"/>
      <c r="Q257" s="40"/>
      <c r="S257" s="11"/>
      <c r="T257" s="50"/>
      <c r="U257" s="51"/>
      <c r="V257" s="50"/>
      <c r="W257" s="50"/>
      <c r="X257" s="40"/>
      <c r="Z257" s="11"/>
      <c r="AA257" s="50"/>
      <c r="AB257" s="50"/>
      <c r="AC257" s="50"/>
      <c r="AD257" s="50"/>
      <c r="AE257" s="52"/>
      <c r="AF257" s="40"/>
      <c r="AN257" s="40"/>
      <c r="AP257" s="50"/>
      <c r="AQ257" s="50"/>
      <c r="AR257" s="50"/>
      <c r="AS257" s="50"/>
      <c r="AU257" s="40"/>
    </row>
    <row r="258">
      <c r="B258" s="50"/>
      <c r="C258" s="50"/>
      <c r="D258" s="50"/>
      <c r="E258" s="50"/>
      <c r="Q258" s="40"/>
      <c r="S258" s="11"/>
      <c r="T258" s="50"/>
      <c r="U258" s="51"/>
      <c r="V258" s="50"/>
      <c r="W258" s="50"/>
      <c r="X258" s="40"/>
      <c r="Z258" s="11"/>
      <c r="AA258" s="50"/>
      <c r="AB258" s="50"/>
      <c r="AC258" s="50"/>
      <c r="AD258" s="50"/>
      <c r="AE258" s="52"/>
      <c r="AF258" s="40"/>
      <c r="AN258" s="40"/>
      <c r="AP258" s="50"/>
      <c r="AQ258" s="50"/>
      <c r="AR258" s="50"/>
      <c r="AS258" s="50"/>
      <c r="AU258" s="40"/>
    </row>
    <row r="259">
      <c r="B259" s="50"/>
      <c r="C259" s="50"/>
      <c r="D259" s="50"/>
      <c r="E259" s="50"/>
      <c r="Q259" s="40"/>
      <c r="S259" s="11"/>
      <c r="T259" s="50"/>
      <c r="U259" s="51"/>
      <c r="V259" s="50"/>
      <c r="W259" s="50"/>
      <c r="X259" s="40"/>
      <c r="Z259" s="11"/>
      <c r="AA259" s="50"/>
      <c r="AB259" s="50"/>
      <c r="AC259" s="50"/>
      <c r="AD259" s="50"/>
      <c r="AE259" s="52"/>
      <c r="AF259" s="40"/>
      <c r="AN259" s="40"/>
      <c r="AP259" s="50"/>
      <c r="AQ259" s="50"/>
      <c r="AR259" s="50"/>
      <c r="AS259" s="50"/>
      <c r="AU259" s="40"/>
    </row>
    <row r="260">
      <c r="B260" s="50"/>
      <c r="C260" s="50"/>
      <c r="D260" s="50"/>
      <c r="E260" s="50"/>
      <c r="Q260" s="40"/>
      <c r="S260" s="11"/>
      <c r="T260" s="50"/>
      <c r="U260" s="51"/>
      <c r="V260" s="50"/>
      <c r="W260" s="50"/>
      <c r="X260" s="40"/>
      <c r="Z260" s="11"/>
      <c r="AA260" s="50"/>
      <c r="AB260" s="50"/>
      <c r="AC260" s="50"/>
      <c r="AD260" s="50"/>
      <c r="AE260" s="52"/>
      <c r="AF260" s="40"/>
      <c r="AN260" s="40"/>
      <c r="AP260" s="50"/>
      <c r="AQ260" s="50"/>
      <c r="AR260" s="50"/>
      <c r="AS260" s="50"/>
      <c r="AU260" s="40"/>
    </row>
    <row r="261">
      <c r="B261" s="50"/>
      <c r="C261" s="50"/>
      <c r="D261" s="50"/>
      <c r="E261" s="50"/>
      <c r="Q261" s="40"/>
      <c r="S261" s="11"/>
      <c r="T261" s="50"/>
      <c r="U261" s="51"/>
      <c r="V261" s="50"/>
      <c r="W261" s="50"/>
      <c r="X261" s="40"/>
      <c r="Z261" s="11"/>
      <c r="AA261" s="50"/>
      <c r="AB261" s="50"/>
      <c r="AC261" s="50"/>
      <c r="AD261" s="50"/>
      <c r="AE261" s="52"/>
      <c r="AF261" s="40"/>
      <c r="AN261" s="40"/>
      <c r="AP261" s="50"/>
      <c r="AQ261" s="50"/>
      <c r="AR261" s="50"/>
      <c r="AS261" s="50"/>
      <c r="AU261" s="40"/>
    </row>
    <row r="262">
      <c r="B262" s="50"/>
      <c r="C262" s="50"/>
      <c r="D262" s="50"/>
      <c r="E262" s="50"/>
      <c r="Q262" s="40"/>
      <c r="S262" s="11"/>
      <c r="T262" s="50"/>
      <c r="U262" s="51"/>
      <c r="V262" s="50"/>
      <c r="W262" s="50"/>
      <c r="X262" s="40"/>
      <c r="Z262" s="11"/>
      <c r="AA262" s="50"/>
      <c r="AB262" s="50"/>
      <c r="AC262" s="50"/>
      <c r="AD262" s="50"/>
      <c r="AE262" s="52"/>
      <c r="AF262" s="40"/>
      <c r="AN262" s="40"/>
      <c r="AP262" s="50"/>
      <c r="AQ262" s="50"/>
      <c r="AR262" s="50"/>
      <c r="AS262" s="50"/>
      <c r="AU262" s="40"/>
    </row>
    <row r="263">
      <c r="B263" s="50"/>
      <c r="C263" s="50"/>
      <c r="D263" s="50"/>
      <c r="E263" s="50"/>
      <c r="Q263" s="40"/>
      <c r="S263" s="11"/>
      <c r="T263" s="50"/>
      <c r="U263" s="51"/>
      <c r="V263" s="50"/>
      <c r="W263" s="50"/>
      <c r="X263" s="40"/>
      <c r="Z263" s="11"/>
      <c r="AA263" s="50"/>
      <c r="AB263" s="50"/>
      <c r="AC263" s="50"/>
      <c r="AD263" s="50"/>
      <c r="AE263" s="52"/>
      <c r="AF263" s="40"/>
      <c r="AN263" s="40"/>
      <c r="AP263" s="50"/>
      <c r="AQ263" s="50"/>
      <c r="AR263" s="50"/>
      <c r="AS263" s="50"/>
      <c r="AU263" s="40"/>
    </row>
    <row r="264">
      <c r="B264" s="50"/>
      <c r="C264" s="50"/>
      <c r="D264" s="50"/>
      <c r="E264" s="50"/>
      <c r="Q264" s="40"/>
      <c r="S264" s="11"/>
      <c r="T264" s="50"/>
      <c r="U264" s="51"/>
      <c r="V264" s="50"/>
      <c r="W264" s="50"/>
      <c r="X264" s="40"/>
      <c r="Z264" s="11"/>
      <c r="AA264" s="50"/>
      <c r="AB264" s="50"/>
      <c r="AC264" s="50"/>
      <c r="AD264" s="50"/>
      <c r="AE264" s="52"/>
      <c r="AF264" s="40"/>
      <c r="AN264" s="40"/>
      <c r="AP264" s="50"/>
      <c r="AQ264" s="50"/>
      <c r="AR264" s="50"/>
      <c r="AS264" s="50"/>
      <c r="AU264" s="40"/>
    </row>
    <row r="265">
      <c r="B265" s="50"/>
      <c r="C265" s="50"/>
      <c r="D265" s="50"/>
      <c r="E265" s="50"/>
      <c r="Q265" s="40"/>
      <c r="S265" s="11"/>
      <c r="T265" s="50"/>
      <c r="U265" s="51"/>
      <c r="V265" s="50"/>
      <c r="W265" s="50"/>
      <c r="X265" s="40"/>
      <c r="Z265" s="11"/>
      <c r="AA265" s="50"/>
      <c r="AB265" s="50"/>
      <c r="AC265" s="50"/>
      <c r="AD265" s="50"/>
      <c r="AE265" s="52"/>
      <c r="AF265" s="40"/>
      <c r="AN265" s="40"/>
      <c r="AP265" s="50"/>
      <c r="AQ265" s="50"/>
      <c r="AR265" s="50"/>
      <c r="AS265" s="50"/>
      <c r="AU265" s="40"/>
    </row>
    <row r="266">
      <c r="B266" s="50"/>
      <c r="C266" s="50"/>
      <c r="D266" s="50"/>
      <c r="E266" s="50"/>
      <c r="Q266" s="40"/>
      <c r="S266" s="11"/>
      <c r="T266" s="50"/>
      <c r="U266" s="51"/>
      <c r="V266" s="50"/>
      <c r="W266" s="50"/>
      <c r="X266" s="40"/>
      <c r="Z266" s="11"/>
      <c r="AA266" s="50"/>
      <c r="AB266" s="50"/>
      <c r="AC266" s="50"/>
      <c r="AD266" s="50"/>
      <c r="AE266" s="52"/>
      <c r="AF266" s="40"/>
      <c r="AN266" s="40"/>
      <c r="AP266" s="50"/>
      <c r="AQ266" s="50"/>
      <c r="AR266" s="50"/>
      <c r="AS266" s="50"/>
      <c r="AU266" s="40"/>
    </row>
    <row r="267">
      <c r="B267" s="50"/>
      <c r="C267" s="50"/>
      <c r="D267" s="50"/>
      <c r="E267" s="50"/>
      <c r="Q267" s="40"/>
      <c r="S267" s="11"/>
      <c r="T267" s="50"/>
      <c r="U267" s="51"/>
      <c r="V267" s="50"/>
      <c r="W267" s="50"/>
      <c r="X267" s="40"/>
      <c r="Z267" s="11"/>
      <c r="AA267" s="50"/>
      <c r="AB267" s="50"/>
      <c r="AC267" s="50"/>
      <c r="AD267" s="50"/>
      <c r="AE267" s="52"/>
      <c r="AF267" s="40"/>
      <c r="AN267" s="40"/>
      <c r="AP267" s="50"/>
      <c r="AQ267" s="50"/>
      <c r="AR267" s="50"/>
      <c r="AS267" s="50"/>
      <c r="AU267" s="40"/>
    </row>
    <row r="268">
      <c r="B268" s="50"/>
      <c r="C268" s="50"/>
      <c r="D268" s="50"/>
      <c r="E268" s="50"/>
      <c r="Q268" s="40"/>
      <c r="S268" s="11"/>
      <c r="T268" s="50"/>
      <c r="U268" s="51"/>
      <c r="V268" s="50"/>
      <c r="W268" s="50"/>
      <c r="X268" s="40"/>
      <c r="Z268" s="11"/>
      <c r="AA268" s="50"/>
      <c r="AB268" s="50"/>
      <c r="AC268" s="50"/>
      <c r="AD268" s="50"/>
      <c r="AE268" s="52"/>
      <c r="AF268" s="40"/>
      <c r="AN268" s="40"/>
      <c r="AP268" s="50"/>
      <c r="AQ268" s="50"/>
      <c r="AR268" s="50"/>
      <c r="AS268" s="50"/>
      <c r="AU268" s="40"/>
    </row>
    <row r="269">
      <c r="B269" s="50"/>
      <c r="C269" s="50"/>
      <c r="D269" s="50"/>
      <c r="E269" s="50"/>
      <c r="Q269" s="40"/>
      <c r="S269" s="11"/>
      <c r="T269" s="50"/>
      <c r="U269" s="51"/>
      <c r="V269" s="50"/>
      <c r="W269" s="50"/>
      <c r="X269" s="40"/>
      <c r="Z269" s="11"/>
      <c r="AA269" s="50"/>
      <c r="AB269" s="50"/>
      <c r="AC269" s="50"/>
      <c r="AD269" s="50"/>
      <c r="AE269" s="52"/>
      <c r="AF269" s="40"/>
      <c r="AN269" s="40"/>
      <c r="AP269" s="50"/>
      <c r="AQ269" s="50"/>
      <c r="AR269" s="50"/>
      <c r="AS269" s="50"/>
      <c r="AU269" s="40"/>
    </row>
    <row r="270">
      <c r="B270" s="50"/>
      <c r="C270" s="50"/>
      <c r="D270" s="50"/>
      <c r="E270" s="50"/>
      <c r="Q270" s="40"/>
      <c r="S270" s="11"/>
      <c r="T270" s="50"/>
      <c r="U270" s="51"/>
      <c r="V270" s="50"/>
      <c r="W270" s="50"/>
      <c r="X270" s="40"/>
      <c r="Z270" s="11"/>
      <c r="AA270" s="50"/>
      <c r="AB270" s="50"/>
      <c r="AC270" s="50"/>
      <c r="AD270" s="50"/>
      <c r="AE270" s="52"/>
      <c r="AF270" s="40"/>
      <c r="AN270" s="40"/>
      <c r="AP270" s="50"/>
      <c r="AQ270" s="50"/>
      <c r="AR270" s="50"/>
      <c r="AS270" s="50"/>
      <c r="AU270" s="40"/>
    </row>
    <row r="271">
      <c r="B271" s="50"/>
      <c r="C271" s="50"/>
      <c r="D271" s="50"/>
      <c r="E271" s="50"/>
      <c r="Q271" s="40"/>
      <c r="S271" s="11"/>
      <c r="T271" s="50"/>
      <c r="U271" s="51"/>
      <c r="V271" s="50"/>
      <c r="W271" s="50"/>
      <c r="X271" s="40"/>
      <c r="Z271" s="11"/>
      <c r="AA271" s="50"/>
      <c r="AB271" s="50"/>
      <c r="AC271" s="50"/>
      <c r="AD271" s="50"/>
      <c r="AE271" s="52"/>
      <c r="AF271" s="40"/>
      <c r="AN271" s="40"/>
      <c r="AP271" s="50"/>
      <c r="AQ271" s="50"/>
      <c r="AR271" s="50"/>
      <c r="AS271" s="50"/>
      <c r="AU271" s="40"/>
    </row>
    <row r="272">
      <c r="B272" s="50"/>
      <c r="C272" s="50"/>
      <c r="D272" s="50"/>
      <c r="E272" s="50"/>
      <c r="Q272" s="40"/>
      <c r="S272" s="11"/>
      <c r="T272" s="50"/>
      <c r="U272" s="51"/>
      <c r="V272" s="50"/>
      <c r="W272" s="50"/>
      <c r="X272" s="40"/>
      <c r="Z272" s="11"/>
      <c r="AA272" s="50"/>
      <c r="AB272" s="50"/>
      <c r="AC272" s="50"/>
      <c r="AD272" s="50"/>
      <c r="AE272" s="52"/>
      <c r="AF272" s="40"/>
      <c r="AN272" s="40"/>
      <c r="AP272" s="50"/>
      <c r="AQ272" s="50"/>
      <c r="AR272" s="50"/>
      <c r="AS272" s="50"/>
      <c r="AU272" s="40"/>
    </row>
    <row r="273">
      <c r="B273" s="50"/>
      <c r="C273" s="50"/>
      <c r="D273" s="50"/>
      <c r="E273" s="50"/>
      <c r="Q273" s="40"/>
      <c r="S273" s="11"/>
      <c r="T273" s="50"/>
      <c r="U273" s="51"/>
      <c r="V273" s="50"/>
      <c r="W273" s="50"/>
      <c r="X273" s="40"/>
      <c r="Z273" s="11"/>
      <c r="AA273" s="50"/>
      <c r="AB273" s="50"/>
      <c r="AC273" s="50"/>
      <c r="AD273" s="50"/>
      <c r="AE273" s="52"/>
      <c r="AF273" s="40"/>
      <c r="AN273" s="40"/>
      <c r="AP273" s="50"/>
      <c r="AQ273" s="50"/>
      <c r="AR273" s="50"/>
      <c r="AS273" s="50"/>
      <c r="AU273" s="40"/>
    </row>
    <row r="274">
      <c r="B274" s="50"/>
      <c r="C274" s="50"/>
      <c r="D274" s="50"/>
      <c r="E274" s="50"/>
      <c r="Q274" s="40"/>
      <c r="S274" s="11"/>
      <c r="T274" s="50"/>
      <c r="U274" s="51"/>
      <c r="V274" s="50"/>
      <c r="W274" s="50"/>
      <c r="X274" s="40"/>
      <c r="Z274" s="11"/>
      <c r="AA274" s="50"/>
      <c r="AB274" s="50"/>
      <c r="AC274" s="50"/>
      <c r="AD274" s="50"/>
      <c r="AE274" s="52"/>
      <c r="AF274" s="40"/>
      <c r="AN274" s="40"/>
      <c r="AP274" s="50"/>
      <c r="AQ274" s="50"/>
      <c r="AR274" s="50"/>
      <c r="AS274" s="50"/>
      <c r="AU274" s="40"/>
    </row>
    <row r="275">
      <c r="B275" s="50"/>
      <c r="C275" s="50"/>
      <c r="D275" s="50"/>
      <c r="E275" s="50"/>
      <c r="Q275" s="40"/>
      <c r="S275" s="11"/>
      <c r="T275" s="50"/>
      <c r="U275" s="51"/>
      <c r="V275" s="50"/>
      <c r="W275" s="50"/>
      <c r="X275" s="40"/>
      <c r="Z275" s="11"/>
      <c r="AA275" s="50"/>
      <c r="AB275" s="50"/>
      <c r="AC275" s="50"/>
      <c r="AD275" s="50"/>
      <c r="AE275" s="52"/>
      <c r="AF275" s="40"/>
      <c r="AN275" s="40"/>
      <c r="AP275" s="50"/>
      <c r="AQ275" s="50"/>
      <c r="AR275" s="50"/>
      <c r="AS275" s="50"/>
      <c r="AU275" s="40"/>
    </row>
    <row r="276">
      <c r="B276" s="50"/>
      <c r="C276" s="50"/>
      <c r="D276" s="50"/>
      <c r="E276" s="50"/>
      <c r="Q276" s="40"/>
      <c r="S276" s="11"/>
      <c r="T276" s="50"/>
      <c r="U276" s="51"/>
      <c r="V276" s="50"/>
      <c r="W276" s="50"/>
      <c r="X276" s="40"/>
      <c r="Z276" s="11"/>
      <c r="AA276" s="50"/>
      <c r="AB276" s="50"/>
      <c r="AC276" s="50"/>
      <c r="AD276" s="50"/>
      <c r="AE276" s="52"/>
      <c r="AF276" s="40"/>
      <c r="AN276" s="40"/>
      <c r="AP276" s="50"/>
      <c r="AQ276" s="50"/>
      <c r="AR276" s="50"/>
      <c r="AS276" s="50"/>
      <c r="AU276" s="40"/>
    </row>
    <row r="277">
      <c r="B277" s="50"/>
      <c r="C277" s="50"/>
      <c r="D277" s="50"/>
      <c r="E277" s="50"/>
      <c r="Q277" s="40"/>
      <c r="S277" s="11"/>
      <c r="T277" s="50"/>
      <c r="U277" s="51"/>
      <c r="V277" s="50"/>
      <c r="W277" s="50"/>
      <c r="X277" s="40"/>
      <c r="Z277" s="11"/>
      <c r="AA277" s="50"/>
      <c r="AB277" s="50"/>
      <c r="AC277" s="50"/>
      <c r="AD277" s="50"/>
      <c r="AE277" s="52"/>
      <c r="AF277" s="40"/>
      <c r="AN277" s="40"/>
      <c r="AP277" s="50"/>
      <c r="AQ277" s="50"/>
      <c r="AR277" s="50"/>
      <c r="AS277" s="50"/>
      <c r="AU277" s="40"/>
    </row>
    <row r="278">
      <c r="B278" s="50"/>
      <c r="C278" s="50"/>
      <c r="D278" s="50"/>
      <c r="E278" s="50"/>
      <c r="Q278" s="40"/>
      <c r="S278" s="11"/>
      <c r="T278" s="50"/>
      <c r="U278" s="51"/>
      <c r="V278" s="50"/>
      <c r="W278" s="50"/>
      <c r="X278" s="40"/>
      <c r="Z278" s="11"/>
      <c r="AA278" s="50"/>
      <c r="AB278" s="50"/>
      <c r="AC278" s="50"/>
      <c r="AD278" s="50"/>
      <c r="AE278" s="52"/>
      <c r="AF278" s="40"/>
      <c r="AN278" s="40"/>
      <c r="AP278" s="50"/>
      <c r="AQ278" s="50"/>
      <c r="AR278" s="50"/>
      <c r="AS278" s="50"/>
      <c r="AU278" s="40"/>
    </row>
    <row r="279">
      <c r="B279" s="50"/>
      <c r="C279" s="50"/>
      <c r="D279" s="50"/>
      <c r="E279" s="50"/>
      <c r="Q279" s="40"/>
      <c r="S279" s="11"/>
      <c r="T279" s="50"/>
      <c r="U279" s="51"/>
      <c r="V279" s="50"/>
      <c r="W279" s="50"/>
      <c r="X279" s="40"/>
      <c r="Z279" s="11"/>
      <c r="AA279" s="50"/>
      <c r="AB279" s="50"/>
      <c r="AC279" s="50"/>
      <c r="AD279" s="50"/>
      <c r="AE279" s="52"/>
      <c r="AF279" s="40"/>
      <c r="AN279" s="40"/>
      <c r="AP279" s="50"/>
      <c r="AQ279" s="50"/>
      <c r="AR279" s="50"/>
      <c r="AS279" s="50"/>
      <c r="AU279" s="40"/>
    </row>
    <row r="280">
      <c r="B280" s="50"/>
      <c r="C280" s="50"/>
      <c r="D280" s="50"/>
      <c r="E280" s="50"/>
      <c r="Q280" s="40"/>
      <c r="S280" s="11"/>
      <c r="T280" s="50"/>
      <c r="U280" s="51"/>
      <c r="V280" s="50"/>
      <c r="W280" s="50"/>
      <c r="X280" s="40"/>
      <c r="Z280" s="11"/>
      <c r="AA280" s="50"/>
      <c r="AB280" s="50"/>
      <c r="AC280" s="50"/>
      <c r="AD280" s="50"/>
      <c r="AE280" s="52"/>
      <c r="AF280" s="40"/>
      <c r="AN280" s="40"/>
      <c r="AP280" s="50"/>
      <c r="AQ280" s="50"/>
      <c r="AR280" s="50"/>
      <c r="AS280" s="50"/>
      <c r="AU280" s="40"/>
    </row>
    <row r="281">
      <c r="B281" s="50"/>
      <c r="C281" s="50"/>
      <c r="D281" s="50"/>
      <c r="E281" s="50"/>
      <c r="Q281" s="40"/>
      <c r="S281" s="11"/>
      <c r="T281" s="50"/>
      <c r="U281" s="51"/>
      <c r="V281" s="50"/>
      <c r="W281" s="50"/>
      <c r="X281" s="40"/>
      <c r="Z281" s="11"/>
      <c r="AA281" s="50"/>
      <c r="AB281" s="50"/>
      <c r="AC281" s="50"/>
      <c r="AD281" s="50"/>
      <c r="AE281" s="52"/>
      <c r="AF281" s="40"/>
      <c r="AN281" s="40"/>
      <c r="AP281" s="50"/>
      <c r="AQ281" s="50"/>
      <c r="AR281" s="50"/>
      <c r="AS281" s="50"/>
      <c r="AU281" s="40"/>
    </row>
    <row r="282">
      <c r="B282" s="50"/>
      <c r="C282" s="50"/>
      <c r="D282" s="50"/>
      <c r="E282" s="50"/>
      <c r="Q282" s="40"/>
      <c r="S282" s="11"/>
      <c r="T282" s="50"/>
      <c r="U282" s="51"/>
      <c r="V282" s="50"/>
      <c r="W282" s="50"/>
      <c r="X282" s="40"/>
      <c r="Z282" s="11"/>
      <c r="AA282" s="50"/>
      <c r="AB282" s="50"/>
      <c r="AC282" s="50"/>
      <c r="AD282" s="50"/>
      <c r="AE282" s="52"/>
      <c r="AF282" s="40"/>
      <c r="AN282" s="40"/>
      <c r="AP282" s="50"/>
      <c r="AQ282" s="50"/>
      <c r="AR282" s="50"/>
      <c r="AS282" s="50"/>
      <c r="AU282" s="40"/>
    </row>
    <row r="283">
      <c r="B283" s="50"/>
      <c r="C283" s="50"/>
      <c r="D283" s="50"/>
      <c r="E283" s="50"/>
      <c r="Q283" s="40"/>
      <c r="S283" s="11"/>
      <c r="T283" s="50"/>
      <c r="U283" s="51"/>
      <c r="V283" s="50"/>
      <c r="W283" s="50"/>
      <c r="X283" s="40"/>
      <c r="Z283" s="11"/>
      <c r="AA283" s="50"/>
      <c r="AB283" s="50"/>
      <c r="AC283" s="50"/>
      <c r="AD283" s="50"/>
      <c r="AE283" s="52"/>
      <c r="AF283" s="40"/>
      <c r="AN283" s="40"/>
      <c r="AP283" s="50"/>
      <c r="AQ283" s="50"/>
      <c r="AR283" s="50"/>
      <c r="AS283" s="50"/>
      <c r="AU283" s="40"/>
    </row>
    <row r="284">
      <c r="B284" s="50"/>
      <c r="C284" s="50"/>
      <c r="D284" s="50"/>
      <c r="E284" s="50"/>
      <c r="Q284" s="40"/>
      <c r="S284" s="11"/>
      <c r="T284" s="50"/>
      <c r="U284" s="51"/>
      <c r="V284" s="50"/>
      <c r="W284" s="50"/>
      <c r="X284" s="40"/>
      <c r="Z284" s="11"/>
      <c r="AA284" s="50"/>
      <c r="AB284" s="50"/>
      <c r="AC284" s="50"/>
      <c r="AD284" s="50"/>
      <c r="AE284" s="52"/>
      <c r="AF284" s="40"/>
      <c r="AN284" s="40"/>
      <c r="AP284" s="50"/>
      <c r="AQ284" s="50"/>
      <c r="AR284" s="50"/>
      <c r="AS284" s="50"/>
      <c r="AU284" s="40"/>
    </row>
    <row r="285">
      <c r="B285" s="50"/>
      <c r="C285" s="50"/>
      <c r="D285" s="50"/>
      <c r="E285" s="50"/>
      <c r="Q285" s="40"/>
      <c r="S285" s="11"/>
      <c r="T285" s="50"/>
      <c r="U285" s="51"/>
      <c r="V285" s="50"/>
      <c r="W285" s="50"/>
      <c r="X285" s="40"/>
      <c r="Z285" s="11"/>
      <c r="AA285" s="50"/>
      <c r="AB285" s="50"/>
      <c r="AC285" s="50"/>
      <c r="AD285" s="50"/>
      <c r="AE285" s="52"/>
      <c r="AF285" s="40"/>
      <c r="AN285" s="40"/>
      <c r="AP285" s="50"/>
      <c r="AQ285" s="50"/>
      <c r="AR285" s="50"/>
      <c r="AS285" s="50"/>
      <c r="AU285" s="40"/>
    </row>
    <row r="286">
      <c r="B286" s="50"/>
      <c r="C286" s="50"/>
      <c r="D286" s="50"/>
      <c r="E286" s="50"/>
      <c r="Q286" s="40"/>
      <c r="S286" s="11"/>
      <c r="T286" s="50"/>
      <c r="U286" s="51"/>
      <c r="V286" s="50"/>
      <c r="W286" s="50"/>
      <c r="X286" s="40"/>
      <c r="Z286" s="11"/>
      <c r="AA286" s="50"/>
      <c r="AB286" s="50"/>
      <c r="AC286" s="50"/>
      <c r="AD286" s="50"/>
      <c r="AE286" s="52"/>
      <c r="AF286" s="40"/>
      <c r="AN286" s="40"/>
      <c r="AP286" s="50"/>
      <c r="AQ286" s="50"/>
      <c r="AR286" s="50"/>
      <c r="AS286" s="50"/>
      <c r="AU286" s="40"/>
    </row>
    <row r="287">
      <c r="B287" s="50"/>
      <c r="C287" s="50"/>
      <c r="D287" s="50"/>
      <c r="E287" s="50"/>
      <c r="Q287" s="40"/>
      <c r="S287" s="11"/>
      <c r="T287" s="50"/>
      <c r="U287" s="51"/>
      <c r="V287" s="50"/>
      <c r="W287" s="50"/>
      <c r="X287" s="40"/>
      <c r="Z287" s="11"/>
      <c r="AA287" s="50"/>
      <c r="AB287" s="50"/>
      <c r="AC287" s="50"/>
      <c r="AD287" s="50"/>
      <c r="AE287" s="52"/>
      <c r="AF287" s="40"/>
      <c r="AN287" s="40"/>
      <c r="AP287" s="50"/>
      <c r="AQ287" s="50"/>
      <c r="AR287" s="50"/>
      <c r="AS287" s="50"/>
      <c r="AU287" s="40"/>
    </row>
    <row r="288">
      <c r="B288" s="50"/>
      <c r="C288" s="50"/>
      <c r="D288" s="50"/>
      <c r="E288" s="50"/>
      <c r="Q288" s="40"/>
      <c r="S288" s="11"/>
      <c r="T288" s="50"/>
      <c r="U288" s="51"/>
      <c r="V288" s="50"/>
      <c r="W288" s="50"/>
      <c r="X288" s="40"/>
      <c r="Z288" s="11"/>
      <c r="AA288" s="50"/>
      <c r="AB288" s="50"/>
      <c r="AC288" s="50"/>
      <c r="AD288" s="50"/>
      <c r="AE288" s="52"/>
      <c r="AF288" s="40"/>
      <c r="AN288" s="40"/>
      <c r="AP288" s="50"/>
      <c r="AQ288" s="50"/>
      <c r="AR288" s="50"/>
      <c r="AS288" s="50"/>
      <c r="AU288" s="40"/>
    </row>
    <row r="289">
      <c r="B289" s="50"/>
      <c r="C289" s="50"/>
      <c r="D289" s="50"/>
      <c r="E289" s="50"/>
      <c r="Q289" s="40"/>
      <c r="S289" s="11"/>
      <c r="T289" s="50"/>
      <c r="U289" s="51"/>
      <c r="V289" s="50"/>
      <c r="W289" s="50"/>
      <c r="X289" s="40"/>
      <c r="Z289" s="11"/>
      <c r="AA289" s="50"/>
      <c r="AB289" s="50"/>
      <c r="AC289" s="50"/>
      <c r="AD289" s="50"/>
      <c r="AE289" s="52"/>
      <c r="AF289" s="40"/>
      <c r="AN289" s="40"/>
      <c r="AP289" s="50"/>
      <c r="AQ289" s="50"/>
      <c r="AR289" s="50"/>
      <c r="AS289" s="50"/>
      <c r="AU289" s="40"/>
    </row>
    <row r="290">
      <c r="B290" s="50"/>
      <c r="C290" s="50"/>
      <c r="D290" s="50"/>
      <c r="E290" s="50"/>
      <c r="Q290" s="40"/>
      <c r="S290" s="11"/>
      <c r="T290" s="50"/>
      <c r="U290" s="51"/>
      <c r="V290" s="50"/>
      <c r="W290" s="50"/>
      <c r="X290" s="40"/>
      <c r="Z290" s="11"/>
      <c r="AA290" s="50"/>
      <c r="AB290" s="50"/>
      <c r="AC290" s="50"/>
      <c r="AD290" s="50"/>
      <c r="AE290" s="52"/>
      <c r="AF290" s="40"/>
      <c r="AN290" s="40"/>
      <c r="AP290" s="50"/>
      <c r="AQ290" s="50"/>
      <c r="AR290" s="50"/>
      <c r="AS290" s="50"/>
      <c r="AU290" s="40"/>
    </row>
    <row r="291">
      <c r="B291" s="50"/>
      <c r="C291" s="50"/>
      <c r="D291" s="50"/>
      <c r="E291" s="50"/>
      <c r="Q291" s="40"/>
      <c r="S291" s="11"/>
      <c r="T291" s="50"/>
      <c r="U291" s="51"/>
      <c r="V291" s="50"/>
      <c r="W291" s="50"/>
      <c r="X291" s="40"/>
      <c r="Z291" s="11"/>
      <c r="AA291" s="50"/>
      <c r="AB291" s="50"/>
      <c r="AC291" s="50"/>
      <c r="AD291" s="50"/>
      <c r="AE291" s="52"/>
      <c r="AF291" s="40"/>
      <c r="AN291" s="40"/>
      <c r="AP291" s="50"/>
      <c r="AQ291" s="50"/>
      <c r="AR291" s="50"/>
      <c r="AS291" s="50"/>
      <c r="AU291" s="40"/>
    </row>
    <row r="292">
      <c r="B292" s="50"/>
      <c r="C292" s="50"/>
      <c r="D292" s="50"/>
      <c r="E292" s="50"/>
      <c r="Q292" s="40"/>
      <c r="S292" s="11"/>
      <c r="T292" s="50"/>
      <c r="U292" s="51"/>
      <c r="V292" s="50"/>
      <c r="W292" s="50"/>
      <c r="X292" s="40"/>
      <c r="Z292" s="11"/>
      <c r="AA292" s="50"/>
      <c r="AB292" s="50"/>
      <c r="AC292" s="50"/>
      <c r="AD292" s="50"/>
      <c r="AE292" s="52"/>
      <c r="AF292" s="40"/>
      <c r="AN292" s="40"/>
      <c r="AP292" s="50"/>
      <c r="AQ292" s="50"/>
      <c r="AR292" s="50"/>
      <c r="AS292" s="50"/>
      <c r="AU292" s="40"/>
    </row>
    <row r="293">
      <c r="B293" s="50"/>
      <c r="C293" s="50"/>
      <c r="D293" s="50"/>
      <c r="E293" s="50"/>
      <c r="Q293" s="40"/>
      <c r="S293" s="11"/>
      <c r="T293" s="50"/>
      <c r="U293" s="51"/>
      <c r="V293" s="50"/>
      <c r="W293" s="50"/>
      <c r="X293" s="40"/>
      <c r="Z293" s="11"/>
      <c r="AA293" s="50"/>
      <c r="AB293" s="50"/>
      <c r="AC293" s="50"/>
      <c r="AD293" s="50"/>
      <c r="AE293" s="52"/>
      <c r="AF293" s="40"/>
      <c r="AN293" s="40"/>
      <c r="AP293" s="50"/>
      <c r="AQ293" s="50"/>
      <c r="AR293" s="50"/>
      <c r="AS293" s="50"/>
      <c r="AU293" s="40"/>
    </row>
    <row r="294">
      <c r="B294" s="50"/>
      <c r="C294" s="50"/>
      <c r="D294" s="50"/>
      <c r="E294" s="50"/>
      <c r="Q294" s="40"/>
      <c r="S294" s="11"/>
      <c r="T294" s="50"/>
      <c r="U294" s="51"/>
      <c r="V294" s="50"/>
      <c r="W294" s="50"/>
      <c r="X294" s="40"/>
      <c r="Z294" s="11"/>
      <c r="AA294" s="50"/>
      <c r="AB294" s="50"/>
      <c r="AC294" s="50"/>
      <c r="AD294" s="50"/>
      <c r="AE294" s="52"/>
      <c r="AF294" s="40"/>
      <c r="AN294" s="40"/>
      <c r="AP294" s="50"/>
      <c r="AQ294" s="50"/>
      <c r="AR294" s="50"/>
      <c r="AS294" s="50"/>
      <c r="AU294" s="40"/>
    </row>
    <row r="295">
      <c r="B295" s="50"/>
      <c r="C295" s="50"/>
      <c r="D295" s="50"/>
      <c r="E295" s="50"/>
      <c r="Q295" s="40"/>
      <c r="S295" s="11"/>
      <c r="T295" s="50"/>
      <c r="U295" s="51"/>
      <c r="V295" s="50"/>
      <c r="W295" s="50"/>
      <c r="X295" s="40"/>
      <c r="Z295" s="11"/>
      <c r="AA295" s="50"/>
      <c r="AB295" s="50"/>
      <c r="AC295" s="50"/>
      <c r="AD295" s="50"/>
      <c r="AE295" s="52"/>
      <c r="AF295" s="40"/>
      <c r="AN295" s="40"/>
      <c r="AP295" s="50"/>
      <c r="AQ295" s="50"/>
      <c r="AR295" s="50"/>
      <c r="AS295" s="50"/>
      <c r="AU295" s="40"/>
    </row>
    <row r="296">
      <c r="B296" s="50"/>
      <c r="C296" s="50"/>
      <c r="D296" s="50"/>
      <c r="E296" s="50"/>
      <c r="Q296" s="40"/>
      <c r="S296" s="11"/>
      <c r="T296" s="50"/>
      <c r="U296" s="51"/>
      <c r="V296" s="50"/>
      <c r="W296" s="50"/>
      <c r="X296" s="40"/>
      <c r="Z296" s="11"/>
      <c r="AA296" s="50"/>
      <c r="AB296" s="50"/>
      <c r="AC296" s="50"/>
      <c r="AD296" s="50"/>
      <c r="AE296" s="52"/>
      <c r="AF296" s="40"/>
      <c r="AN296" s="40"/>
      <c r="AP296" s="50"/>
      <c r="AQ296" s="50"/>
      <c r="AR296" s="50"/>
      <c r="AS296" s="50"/>
      <c r="AU296" s="40"/>
    </row>
    <row r="297">
      <c r="B297" s="50"/>
      <c r="C297" s="50"/>
      <c r="D297" s="50"/>
      <c r="E297" s="50"/>
      <c r="Q297" s="40"/>
      <c r="S297" s="11"/>
      <c r="T297" s="50"/>
      <c r="U297" s="51"/>
      <c r="V297" s="50"/>
      <c r="W297" s="50"/>
      <c r="X297" s="40"/>
      <c r="Z297" s="11"/>
      <c r="AA297" s="50"/>
      <c r="AB297" s="50"/>
      <c r="AC297" s="50"/>
      <c r="AD297" s="50"/>
      <c r="AE297" s="52"/>
      <c r="AF297" s="40"/>
      <c r="AN297" s="40"/>
      <c r="AP297" s="50"/>
      <c r="AQ297" s="50"/>
      <c r="AR297" s="50"/>
      <c r="AS297" s="50"/>
      <c r="AU297" s="40"/>
    </row>
    <row r="298">
      <c r="B298" s="50"/>
      <c r="C298" s="50"/>
      <c r="D298" s="50"/>
      <c r="E298" s="50"/>
      <c r="Q298" s="40"/>
      <c r="S298" s="11"/>
      <c r="T298" s="50"/>
      <c r="U298" s="51"/>
      <c r="V298" s="50"/>
      <c r="W298" s="50"/>
      <c r="X298" s="40"/>
      <c r="Z298" s="11"/>
      <c r="AA298" s="50"/>
      <c r="AB298" s="50"/>
      <c r="AC298" s="50"/>
      <c r="AD298" s="50"/>
      <c r="AE298" s="52"/>
      <c r="AF298" s="40"/>
      <c r="AN298" s="40"/>
      <c r="AP298" s="50"/>
      <c r="AQ298" s="50"/>
      <c r="AR298" s="50"/>
      <c r="AS298" s="50"/>
      <c r="AU298" s="40"/>
    </row>
    <row r="299">
      <c r="B299" s="50"/>
      <c r="C299" s="50"/>
      <c r="D299" s="50"/>
      <c r="E299" s="50"/>
      <c r="Q299" s="40"/>
      <c r="S299" s="11"/>
      <c r="T299" s="50"/>
      <c r="U299" s="51"/>
      <c r="V299" s="50"/>
      <c r="W299" s="50"/>
      <c r="X299" s="40"/>
      <c r="Z299" s="11"/>
      <c r="AA299" s="50"/>
      <c r="AB299" s="50"/>
      <c r="AC299" s="50"/>
      <c r="AD299" s="50"/>
      <c r="AE299" s="52"/>
      <c r="AF299" s="40"/>
      <c r="AN299" s="40"/>
      <c r="AP299" s="50"/>
      <c r="AQ299" s="50"/>
      <c r="AR299" s="50"/>
      <c r="AS299" s="50"/>
      <c r="AU299" s="40"/>
    </row>
    <row r="300">
      <c r="B300" s="50"/>
      <c r="C300" s="50"/>
      <c r="D300" s="50"/>
      <c r="E300" s="50"/>
      <c r="Q300" s="40"/>
      <c r="S300" s="11"/>
      <c r="T300" s="50"/>
      <c r="U300" s="51"/>
      <c r="V300" s="50"/>
      <c r="W300" s="50"/>
      <c r="X300" s="40"/>
      <c r="Z300" s="11"/>
      <c r="AA300" s="50"/>
      <c r="AB300" s="50"/>
      <c r="AC300" s="50"/>
      <c r="AD300" s="50"/>
      <c r="AE300" s="52"/>
      <c r="AF300" s="40"/>
      <c r="AN300" s="40"/>
      <c r="AP300" s="50"/>
      <c r="AQ300" s="50"/>
      <c r="AR300" s="50"/>
      <c r="AS300" s="50"/>
      <c r="AU300" s="40"/>
    </row>
    <row r="301">
      <c r="B301" s="50"/>
      <c r="C301" s="50"/>
      <c r="D301" s="50"/>
      <c r="E301" s="50"/>
      <c r="Q301" s="40"/>
      <c r="S301" s="11"/>
      <c r="T301" s="50"/>
      <c r="U301" s="51"/>
      <c r="V301" s="50"/>
      <c r="W301" s="50"/>
      <c r="X301" s="40"/>
      <c r="Z301" s="11"/>
      <c r="AA301" s="50"/>
      <c r="AB301" s="50"/>
      <c r="AC301" s="50"/>
      <c r="AD301" s="50"/>
      <c r="AE301" s="52"/>
      <c r="AF301" s="40"/>
      <c r="AN301" s="40"/>
      <c r="AP301" s="50"/>
      <c r="AQ301" s="50"/>
      <c r="AR301" s="50"/>
      <c r="AS301" s="50"/>
      <c r="AU301" s="40"/>
    </row>
    <row r="302">
      <c r="B302" s="50"/>
      <c r="C302" s="50"/>
      <c r="D302" s="50"/>
      <c r="E302" s="50"/>
      <c r="Q302" s="40"/>
      <c r="S302" s="11"/>
      <c r="T302" s="50"/>
      <c r="U302" s="51"/>
      <c r="V302" s="50"/>
      <c r="W302" s="50"/>
      <c r="X302" s="40"/>
      <c r="Z302" s="11"/>
      <c r="AA302" s="50"/>
      <c r="AB302" s="50"/>
      <c r="AC302" s="50"/>
      <c r="AD302" s="50"/>
      <c r="AE302" s="52"/>
      <c r="AF302" s="40"/>
      <c r="AN302" s="40"/>
      <c r="AP302" s="50"/>
      <c r="AQ302" s="50"/>
      <c r="AR302" s="50"/>
      <c r="AS302" s="50"/>
      <c r="AU302" s="40"/>
    </row>
    <row r="303">
      <c r="B303" s="50"/>
      <c r="C303" s="50"/>
      <c r="D303" s="50"/>
      <c r="E303" s="50"/>
      <c r="Q303" s="40"/>
      <c r="S303" s="11"/>
      <c r="T303" s="50"/>
      <c r="U303" s="51"/>
      <c r="V303" s="50"/>
      <c r="W303" s="50"/>
      <c r="X303" s="40"/>
      <c r="Z303" s="11"/>
      <c r="AA303" s="50"/>
      <c r="AB303" s="50"/>
      <c r="AC303" s="50"/>
      <c r="AD303" s="50"/>
      <c r="AE303" s="52"/>
      <c r="AF303" s="40"/>
      <c r="AN303" s="40"/>
      <c r="AP303" s="50"/>
      <c r="AQ303" s="50"/>
      <c r="AR303" s="50"/>
      <c r="AS303" s="50"/>
      <c r="AU303" s="40"/>
    </row>
    <row r="304">
      <c r="B304" s="50"/>
      <c r="C304" s="50"/>
      <c r="D304" s="50"/>
      <c r="E304" s="50"/>
      <c r="Q304" s="40"/>
      <c r="S304" s="11"/>
      <c r="T304" s="50"/>
      <c r="U304" s="51"/>
      <c r="V304" s="50"/>
      <c r="W304" s="50"/>
      <c r="X304" s="40"/>
      <c r="Z304" s="11"/>
      <c r="AA304" s="50"/>
      <c r="AB304" s="50"/>
      <c r="AC304" s="50"/>
      <c r="AD304" s="50"/>
      <c r="AE304" s="52"/>
      <c r="AF304" s="40"/>
      <c r="AN304" s="40"/>
      <c r="AP304" s="50"/>
      <c r="AQ304" s="50"/>
      <c r="AR304" s="50"/>
      <c r="AS304" s="50"/>
      <c r="AU304" s="40"/>
    </row>
    <row r="305">
      <c r="B305" s="50"/>
      <c r="C305" s="50"/>
      <c r="D305" s="50"/>
      <c r="E305" s="50"/>
      <c r="Q305" s="40"/>
      <c r="S305" s="11"/>
      <c r="T305" s="50"/>
      <c r="U305" s="51"/>
      <c r="V305" s="50"/>
      <c r="W305" s="50"/>
      <c r="X305" s="40"/>
      <c r="Z305" s="11"/>
      <c r="AA305" s="50"/>
      <c r="AB305" s="50"/>
      <c r="AC305" s="50"/>
      <c r="AD305" s="50"/>
      <c r="AE305" s="52"/>
      <c r="AF305" s="40"/>
      <c r="AN305" s="40"/>
      <c r="AP305" s="50"/>
      <c r="AQ305" s="50"/>
      <c r="AR305" s="50"/>
      <c r="AS305" s="50"/>
      <c r="AU305" s="40"/>
    </row>
    <row r="306">
      <c r="B306" s="50"/>
      <c r="C306" s="50"/>
      <c r="D306" s="50"/>
      <c r="E306" s="50"/>
      <c r="Q306" s="40"/>
      <c r="S306" s="11"/>
      <c r="T306" s="50"/>
      <c r="U306" s="51"/>
      <c r="V306" s="50"/>
      <c r="W306" s="50"/>
      <c r="X306" s="40"/>
      <c r="Z306" s="11"/>
      <c r="AA306" s="50"/>
      <c r="AB306" s="50"/>
      <c r="AC306" s="50"/>
      <c r="AD306" s="50"/>
      <c r="AE306" s="52"/>
      <c r="AF306" s="40"/>
      <c r="AN306" s="40"/>
      <c r="AP306" s="50"/>
      <c r="AQ306" s="50"/>
      <c r="AR306" s="50"/>
      <c r="AS306" s="50"/>
      <c r="AU306" s="40"/>
    </row>
    <row r="307">
      <c r="B307" s="50"/>
      <c r="C307" s="50"/>
      <c r="D307" s="50"/>
      <c r="E307" s="50"/>
      <c r="Q307" s="40"/>
      <c r="S307" s="11"/>
      <c r="T307" s="50"/>
      <c r="U307" s="51"/>
      <c r="V307" s="50"/>
      <c r="W307" s="50"/>
      <c r="X307" s="40"/>
      <c r="Z307" s="11"/>
      <c r="AA307" s="50"/>
      <c r="AB307" s="50"/>
      <c r="AC307" s="50"/>
      <c r="AD307" s="50"/>
      <c r="AE307" s="52"/>
      <c r="AF307" s="40"/>
      <c r="AN307" s="40"/>
      <c r="AP307" s="50"/>
      <c r="AQ307" s="50"/>
      <c r="AR307" s="50"/>
      <c r="AS307" s="50"/>
      <c r="AU307" s="40"/>
    </row>
    <row r="308">
      <c r="B308" s="50"/>
      <c r="C308" s="50"/>
      <c r="D308" s="50"/>
      <c r="E308" s="50"/>
      <c r="Q308" s="40"/>
      <c r="S308" s="11"/>
      <c r="T308" s="50"/>
      <c r="U308" s="51"/>
      <c r="V308" s="50"/>
      <c r="W308" s="50"/>
      <c r="X308" s="40"/>
      <c r="Z308" s="11"/>
      <c r="AA308" s="50"/>
      <c r="AB308" s="50"/>
      <c r="AC308" s="50"/>
      <c r="AD308" s="50"/>
      <c r="AE308" s="52"/>
      <c r="AF308" s="40"/>
      <c r="AN308" s="40"/>
      <c r="AP308" s="50"/>
      <c r="AQ308" s="50"/>
      <c r="AR308" s="50"/>
      <c r="AS308" s="50"/>
      <c r="AU308" s="40"/>
    </row>
    <row r="309">
      <c r="B309" s="50"/>
      <c r="C309" s="50"/>
      <c r="D309" s="50"/>
      <c r="E309" s="50"/>
      <c r="Q309" s="40"/>
      <c r="S309" s="11"/>
      <c r="T309" s="50"/>
      <c r="U309" s="51"/>
      <c r="V309" s="50"/>
      <c r="W309" s="50"/>
      <c r="X309" s="40"/>
      <c r="Z309" s="11"/>
      <c r="AA309" s="50"/>
      <c r="AB309" s="50"/>
      <c r="AC309" s="50"/>
      <c r="AD309" s="50"/>
      <c r="AE309" s="52"/>
      <c r="AF309" s="40"/>
      <c r="AN309" s="40"/>
      <c r="AP309" s="50"/>
      <c r="AQ309" s="50"/>
      <c r="AR309" s="50"/>
      <c r="AS309" s="50"/>
      <c r="AU309" s="40"/>
    </row>
    <row r="310">
      <c r="B310" s="50"/>
      <c r="C310" s="50"/>
      <c r="D310" s="50"/>
      <c r="E310" s="50"/>
      <c r="Q310" s="40"/>
      <c r="S310" s="11"/>
      <c r="T310" s="50"/>
      <c r="U310" s="51"/>
      <c r="V310" s="50"/>
      <c r="W310" s="50"/>
      <c r="X310" s="40"/>
      <c r="Z310" s="11"/>
      <c r="AA310" s="50"/>
      <c r="AB310" s="50"/>
      <c r="AC310" s="50"/>
      <c r="AD310" s="50"/>
      <c r="AE310" s="52"/>
      <c r="AF310" s="40"/>
      <c r="AN310" s="40"/>
      <c r="AP310" s="50"/>
      <c r="AQ310" s="50"/>
      <c r="AR310" s="50"/>
      <c r="AS310" s="50"/>
      <c r="AU310" s="40"/>
    </row>
    <row r="311">
      <c r="B311" s="50"/>
      <c r="C311" s="50"/>
      <c r="D311" s="50"/>
      <c r="E311" s="50"/>
      <c r="Q311" s="40"/>
      <c r="S311" s="11"/>
      <c r="T311" s="50"/>
      <c r="U311" s="51"/>
      <c r="V311" s="50"/>
      <c r="W311" s="50"/>
      <c r="X311" s="40"/>
      <c r="Z311" s="11"/>
      <c r="AA311" s="50"/>
      <c r="AB311" s="50"/>
      <c r="AC311" s="50"/>
      <c r="AD311" s="50"/>
      <c r="AE311" s="52"/>
      <c r="AF311" s="40"/>
      <c r="AN311" s="40"/>
      <c r="AP311" s="50"/>
      <c r="AQ311" s="50"/>
      <c r="AR311" s="50"/>
      <c r="AS311" s="50"/>
      <c r="AU311" s="40"/>
    </row>
    <row r="312">
      <c r="B312" s="50"/>
      <c r="C312" s="50"/>
      <c r="D312" s="50"/>
      <c r="E312" s="50"/>
      <c r="Q312" s="40"/>
      <c r="S312" s="11"/>
      <c r="T312" s="50"/>
      <c r="U312" s="51"/>
      <c r="V312" s="50"/>
      <c r="W312" s="50"/>
      <c r="X312" s="40"/>
      <c r="Z312" s="11"/>
      <c r="AA312" s="50"/>
      <c r="AB312" s="50"/>
      <c r="AC312" s="50"/>
      <c r="AD312" s="50"/>
      <c r="AE312" s="52"/>
      <c r="AF312" s="40"/>
      <c r="AN312" s="40"/>
      <c r="AP312" s="50"/>
      <c r="AQ312" s="50"/>
      <c r="AR312" s="50"/>
      <c r="AS312" s="50"/>
      <c r="AU312" s="40"/>
    </row>
    <row r="313">
      <c r="B313" s="50"/>
      <c r="C313" s="50"/>
      <c r="D313" s="50"/>
      <c r="E313" s="50"/>
      <c r="Q313" s="40"/>
      <c r="S313" s="11"/>
      <c r="T313" s="50"/>
      <c r="U313" s="51"/>
      <c r="V313" s="50"/>
      <c r="W313" s="50"/>
      <c r="X313" s="40"/>
      <c r="Z313" s="11"/>
      <c r="AA313" s="50"/>
      <c r="AB313" s="50"/>
      <c r="AC313" s="50"/>
      <c r="AD313" s="50"/>
      <c r="AE313" s="52"/>
      <c r="AF313" s="40"/>
      <c r="AN313" s="40"/>
      <c r="AP313" s="50"/>
      <c r="AQ313" s="50"/>
      <c r="AR313" s="50"/>
      <c r="AS313" s="50"/>
      <c r="AU313" s="40"/>
    </row>
    <row r="314">
      <c r="B314" s="50"/>
      <c r="C314" s="50"/>
      <c r="D314" s="50"/>
      <c r="E314" s="50"/>
      <c r="Q314" s="40"/>
      <c r="S314" s="11"/>
      <c r="T314" s="50"/>
      <c r="U314" s="51"/>
      <c r="V314" s="50"/>
      <c r="W314" s="50"/>
      <c r="X314" s="40"/>
      <c r="Z314" s="11"/>
      <c r="AA314" s="50"/>
      <c r="AB314" s="50"/>
      <c r="AC314" s="50"/>
      <c r="AD314" s="50"/>
      <c r="AE314" s="52"/>
      <c r="AF314" s="40"/>
      <c r="AN314" s="40"/>
      <c r="AP314" s="50"/>
      <c r="AQ314" s="50"/>
      <c r="AR314" s="50"/>
      <c r="AS314" s="50"/>
      <c r="AU314" s="40"/>
    </row>
    <row r="315">
      <c r="B315" s="50"/>
      <c r="C315" s="50"/>
      <c r="D315" s="50"/>
      <c r="E315" s="50"/>
      <c r="Q315" s="40"/>
      <c r="S315" s="11"/>
      <c r="T315" s="50"/>
      <c r="U315" s="51"/>
      <c r="V315" s="50"/>
      <c r="W315" s="50"/>
      <c r="X315" s="40"/>
      <c r="Z315" s="11"/>
      <c r="AA315" s="50"/>
      <c r="AB315" s="50"/>
      <c r="AC315" s="50"/>
      <c r="AD315" s="50"/>
      <c r="AE315" s="52"/>
      <c r="AF315" s="40"/>
      <c r="AN315" s="40"/>
      <c r="AP315" s="50"/>
      <c r="AQ315" s="50"/>
      <c r="AR315" s="50"/>
      <c r="AS315" s="50"/>
      <c r="AU315" s="40"/>
    </row>
    <row r="316">
      <c r="B316" s="50"/>
      <c r="C316" s="50"/>
      <c r="D316" s="50"/>
      <c r="E316" s="50"/>
      <c r="Q316" s="40"/>
      <c r="S316" s="11"/>
      <c r="T316" s="50"/>
      <c r="U316" s="51"/>
      <c r="V316" s="50"/>
      <c r="W316" s="50"/>
      <c r="X316" s="40"/>
      <c r="Z316" s="11"/>
      <c r="AA316" s="50"/>
      <c r="AB316" s="50"/>
      <c r="AC316" s="50"/>
      <c r="AD316" s="50"/>
      <c r="AE316" s="52"/>
      <c r="AF316" s="40"/>
      <c r="AN316" s="40"/>
      <c r="AP316" s="50"/>
      <c r="AQ316" s="50"/>
      <c r="AR316" s="50"/>
      <c r="AS316" s="50"/>
      <c r="AU316" s="40"/>
    </row>
    <row r="317">
      <c r="B317" s="50"/>
      <c r="C317" s="50"/>
      <c r="D317" s="50"/>
      <c r="E317" s="50"/>
      <c r="Q317" s="40"/>
      <c r="S317" s="11"/>
      <c r="T317" s="50"/>
      <c r="U317" s="51"/>
      <c r="V317" s="50"/>
      <c r="W317" s="50"/>
      <c r="X317" s="40"/>
      <c r="Z317" s="11"/>
      <c r="AA317" s="50"/>
      <c r="AB317" s="50"/>
      <c r="AC317" s="50"/>
      <c r="AD317" s="50"/>
      <c r="AE317" s="52"/>
      <c r="AF317" s="40"/>
      <c r="AN317" s="40"/>
      <c r="AP317" s="50"/>
      <c r="AQ317" s="50"/>
      <c r="AR317" s="50"/>
      <c r="AS317" s="50"/>
      <c r="AU317" s="40"/>
    </row>
    <row r="318">
      <c r="B318" s="50"/>
      <c r="C318" s="50"/>
      <c r="D318" s="50"/>
      <c r="E318" s="50"/>
      <c r="Q318" s="40"/>
      <c r="S318" s="11"/>
      <c r="T318" s="50"/>
      <c r="U318" s="51"/>
      <c r="V318" s="50"/>
      <c r="W318" s="50"/>
      <c r="X318" s="40"/>
      <c r="Z318" s="11"/>
      <c r="AA318" s="50"/>
      <c r="AB318" s="50"/>
      <c r="AC318" s="50"/>
      <c r="AD318" s="50"/>
      <c r="AE318" s="52"/>
      <c r="AF318" s="40"/>
      <c r="AN318" s="40"/>
      <c r="AP318" s="50"/>
      <c r="AQ318" s="50"/>
      <c r="AR318" s="50"/>
      <c r="AS318" s="50"/>
      <c r="AU318" s="40"/>
    </row>
    <row r="319">
      <c r="B319" s="50"/>
      <c r="C319" s="50"/>
      <c r="D319" s="50"/>
      <c r="E319" s="50"/>
      <c r="Q319" s="40"/>
      <c r="S319" s="11"/>
      <c r="T319" s="50"/>
      <c r="U319" s="51"/>
      <c r="V319" s="50"/>
      <c r="W319" s="50"/>
      <c r="X319" s="40"/>
      <c r="Z319" s="11"/>
      <c r="AA319" s="50"/>
      <c r="AB319" s="50"/>
      <c r="AC319" s="50"/>
      <c r="AD319" s="50"/>
      <c r="AE319" s="52"/>
      <c r="AF319" s="40"/>
      <c r="AN319" s="40"/>
      <c r="AP319" s="50"/>
      <c r="AQ319" s="50"/>
      <c r="AR319" s="50"/>
      <c r="AS319" s="50"/>
      <c r="AU319" s="40"/>
    </row>
    <row r="320">
      <c r="B320" s="50"/>
      <c r="C320" s="50"/>
      <c r="D320" s="50"/>
      <c r="E320" s="50"/>
      <c r="Q320" s="40"/>
      <c r="S320" s="11"/>
      <c r="T320" s="50"/>
      <c r="U320" s="51"/>
      <c r="V320" s="50"/>
      <c r="W320" s="50"/>
      <c r="X320" s="40"/>
      <c r="Z320" s="11"/>
      <c r="AA320" s="50"/>
      <c r="AB320" s="50"/>
      <c r="AC320" s="50"/>
      <c r="AD320" s="50"/>
      <c r="AE320" s="52"/>
      <c r="AF320" s="40"/>
      <c r="AN320" s="40"/>
      <c r="AP320" s="50"/>
      <c r="AQ320" s="50"/>
      <c r="AR320" s="50"/>
      <c r="AS320" s="50"/>
      <c r="AU320" s="40"/>
    </row>
    <row r="321">
      <c r="B321" s="50"/>
      <c r="C321" s="50"/>
      <c r="D321" s="50"/>
      <c r="E321" s="50"/>
      <c r="Q321" s="40"/>
      <c r="S321" s="11"/>
      <c r="T321" s="50"/>
      <c r="U321" s="51"/>
      <c r="V321" s="50"/>
      <c r="W321" s="50"/>
      <c r="X321" s="40"/>
      <c r="Z321" s="11"/>
      <c r="AA321" s="50"/>
      <c r="AB321" s="50"/>
      <c r="AC321" s="50"/>
      <c r="AD321" s="50"/>
      <c r="AE321" s="52"/>
      <c r="AF321" s="40"/>
      <c r="AN321" s="40"/>
      <c r="AP321" s="50"/>
      <c r="AQ321" s="50"/>
      <c r="AR321" s="50"/>
      <c r="AS321" s="50"/>
      <c r="AU321" s="40"/>
    </row>
    <row r="322">
      <c r="B322" s="50"/>
      <c r="C322" s="50"/>
      <c r="D322" s="50"/>
      <c r="E322" s="50"/>
      <c r="Q322" s="40"/>
      <c r="S322" s="11"/>
      <c r="T322" s="50"/>
      <c r="U322" s="51"/>
      <c r="V322" s="50"/>
      <c r="W322" s="50"/>
      <c r="X322" s="40"/>
      <c r="Z322" s="11"/>
      <c r="AA322" s="50"/>
      <c r="AB322" s="50"/>
      <c r="AC322" s="50"/>
      <c r="AD322" s="50"/>
      <c r="AE322" s="52"/>
      <c r="AF322" s="40"/>
      <c r="AN322" s="40"/>
      <c r="AP322" s="50"/>
      <c r="AQ322" s="50"/>
      <c r="AR322" s="50"/>
      <c r="AS322" s="50"/>
      <c r="AU322" s="40"/>
    </row>
    <row r="323">
      <c r="B323" s="50"/>
      <c r="C323" s="50"/>
      <c r="D323" s="50"/>
      <c r="E323" s="50"/>
      <c r="Q323" s="40"/>
      <c r="S323" s="11"/>
      <c r="T323" s="50"/>
      <c r="U323" s="51"/>
      <c r="V323" s="50"/>
      <c r="W323" s="50"/>
      <c r="X323" s="40"/>
      <c r="Z323" s="11"/>
      <c r="AA323" s="50"/>
      <c r="AB323" s="50"/>
      <c r="AC323" s="50"/>
      <c r="AD323" s="50"/>
      <c r="AE323" s="52"/>
      <c r="AF323" s="40"/>
      <c r="AN323" s="40"/>
      <c r="AP323" s="50"/>
      <c r="AQ323" s="50"/>
      <c r="AR323" s="50"/>
      <c r="AS323" s="50"/>
      <c r="AU323" s="40"/>
    </row>
    <row r="324">
      <c r="B324" s="50"/>
      <c r="C324" s="50"/>
      <c r="D324" s="50"/>
      <c r="E324" s="50"/>
      <c r="Q324" s="40"/>
      <c r="S324" s="11"/>
      <c r="T324" s="50"/>
      <c r="U324" s="51"/>
      <c r="V324" s="50"/>
      <c r="W324" s="50"/>
      <c r="X324" s="40"/>
      <c r="Z324" s="11"/>
      <c r="AA324" s="50"/>
      <c r="AB324" s="50"/>
      <c r="AC324" s="50"/>
      <c r="AD324" s="50"/>
      <c r="AE324" s="52"/>
      <c r="AF324" s="40"/>
      <c r="AN324" s="40"/>
      <c r="AP324" s="50"/>
      <c r="AQ324" s="50"/>
      <c r="AR324" s="50"/>
      <c r="AS324" s="50"/>
      <c r="AU324" s="40"/>
    </row>
    <row r="325">
      <c r="B325" s="50"/>
      <c r="C325" s="50"/>
      <c r="D325" s="50"/>
      <c r="E325" s="50"/>
      <c r="Q325" s="40"/>
      <c r="S325" s="11"/>
      <c r="T325" s="50"/>
      <c r="U325" s="51"/>
      <c r="V325" s="50"/>
      <c r="W325" s="50"/>
      <c r="X325" s="40"/>
      <c r="Z325" s="11"/>
      <c r="AA325" s="50"/>
      <c r="AB325" s="50"/>
      <c r="AC325" s="50"/>
      <c r="AD325" s="50"/>
      <c r="AE325" s="52"/>
      <c r="AF325" s="40"/>
      <c r="AN325" s="40"/>
      <c r="AP325" s="50"/>
      <c r="AQ325" s="50"/>
      <c r="AR325" s="50"/>
      <c r="AS325" s="50"/>
      <c r="AU325" s="40"/>
    </row>
    <row r="326">
      <c r="B326" s="50"/>
      <c r="C326" s="50"/>
      <c r="D326" s="50"/>
      <c r="E326" s="50"/>
      <c r="Q326" s="40"/>
      <c r="S326" s="11"/>
      <c r="T326" s="50"/>
      <c r="U326" s="51"/>
      <c r="V326" s="50"/>
      <c r="W326" s="50"/>
      <c r="X326" s="40"/>
      <c r="Z326" s="11"/>
      <c r="AA326" s="50"/>
      <c r="AB326" s="50"/>
      <c r="AC326" s="50"/>
      <c r="AD326" s="50"/>
      <c r="AE326" s="52"/>
      <c r="AF326" s="40"/>
      <c r="AN326" s="40"/>
      <c r="AP326" s="50"/>
      <c r="AQ326" s="50"/>
      <c r="AR326" s="50"/>
      <c r="AS326" s="50"/>
      <c r="AU326" s="40"/>
    </row>
    <row r="327">
      <c r="B327" s="50"/>
      <c r="C327" s="50"/>
      <c r="D327" s="50"/>
      <c r="E327" s="50"/>
      <c r="Q327" s="40"/>
      <c r="S327" s="11"/>
      <c r="T327" s="50"/>
      <c r="U327" s="51"/>
      <c r="V327" s="50"/>
      <c r="W327" s="50"/>
      <c r="X327" s="40"/>
      <c r="Z327" s="11"/>
      <c r="AA327" s="50"/>
      <c r="AB327" s="50"/>
      <c r="AC327" s="50"/>
      <c r="AD327" s="50"/>
      <c r="AE327" s="52"/>
      <c r="AF327" s="40"/>
      <c r="AN327" s="40"/>
      <c r="AP327" s="50"/>
      <c r="AQ327" s="50"/>
      <c r="AR327" s="50"/>
      <c r="AS327" s="50"/>
      <c r="AU327" s="40"/>
    </row>
    <row r="328">
      <c r="B328" s="50"/>
      <c r="C328" s="50"/>
      <c r="D328" s="50"/>
      <c r="E328" s="50"/>
      <c r="Q328" s="40"/>
      <c r="S328" s="11"/>
      <c r="T328" s="50"/>
      <c r="U328" s="51"/>
      <c r="V328" s="50"/>
      <c r="W328" s="50"/>
      <c r="X328" s="40"/>
      <c r="Z328" s="11"/>
      <c r="AA328" s="50"/>
      <c r="AB328" s="50"/>
      <c r="AC328" s="50"/>
      <c r="AD328" s="50"/>
      <c r="AE328" s="52"/>
      <c r="AF328" s="40"/>
      <c r="AN328" s="40"/>
      <c r="AP328" s="50"/>
      <c r="AQ328" s="50"/>
      <c r="AR328" s="50"/>
      <c r="AS328" s="50"/>
      <c r="AU328" s="40"/>
    </row>
    <row r="329">
      <c r="B329" s="50"/>
      <c r="C329" s="50"/>
      <c r="D329" s="50"/>
      <c r="E329" s="50"/>
      <c r="Q329" s="40"/>
      <c r="S329" s="11"/>
      <c r="T329" s="50"/>
      <c r="U329" s="51"/>
      <c r="V329" s="50"/>
      <c r="W329" s="50"/>
      <c r="X329" s="40"/>
      <c r="Z329" s="11"/>
      <c r="AA329" s="50"/>
      <c r="AB329" s="50"/>
      <c r="AC329" s="50"/>
      <c r="AD329" s="50"/>
      <c r="AE329" s="52"/>
      <c r="AF329" s="40"/>
      <c r="AN329" s="40"/>
      <c r="AP329" s="50"/>
      <c r="AQ329" s="50"/>
      <c r="AR329" s="50"/>
      <c r="AS329" s="50"/>
      <c r="AU329" s="40"/>
    </row>
    <row r="330">
      <c r="B330" s="50"/>
      <c r="C330" s="50"/>
      <c r="D330" s="50"/>
      <c r="E330" s="50"/>
      <c r="Q330" s="40"/>
      <c r="S330" s="11"/>
      <c r="T330" s="50"/>
      <c r="U330" s="51"/>
      <c r="V330" s="50"/>
      <c r="W330" s="50"/>
      <c r="X330" s="40"/>
      <c r="Z330" s="11"/>
      <c r="AA330" s="50"/>
      <c r="AB330" s="50"/>
      <c r="AC330" s="50"/>
      <c r="AD330" s="50"/>
      <c r="AE330" s="52"/>
      <c r="AF330" s="40"/>
      <c r="AN330" s="40"/>
      <c r="AP330" s="50"/>
      <c r="AQ330" s="50"/>
      <c r="AR330" s="50"/>
      <c r="AS330" s="50"/>
      <c r="AU330" s="40"/>
    </row>
    <row r="331">
      <c r="B331" s="50"/>
      <c r="C331" s="50"/>
      <c r="D331" s="50"/>
      <c r="E331" s="50"/>
      <c r="Q331" s="40"/>
      <c r="S331" s="11"/>
      <c r="T331" s="50"/>
      <c r="U331" s="51"/>
      <c r="V331" s="50"/>
      <c r="W331" s="50"/>
      <c r="X331" s="40"/>
      <c r="Z331" s="11"/>
      <c r="AA331" s="50"/>
      <c r="AB331" s="50"/>
      <c r="AC331" s="50"/>
      <c r="AD331" s="50"/>
      <c r="AE331" s="52"/>
      <c r="AF331" s="40"/>
      <c r="AN331" s="40"/>
      <c r="AP331" s="50"/>
      <c r="AQ331" s="50"/>
      <c r="AR331" s="50"/>
      <c r="AS331" s="50"/>
      <c r="AU331" s="40"/>
    </row>
    <row r="332">
      <c r="B332" s="50"/>
      <c r="C332" s="50"/>
      <c r="D332" s="50"/>
      <c r="E332" s="50"/>
      <c r="Q332" s="40"/>
      <c r="S332" s="11"/>
      <c r="T332" s="50"/>
      <c r="U332" s="51"/>
      <c r="V332" s="50"/>
      <c r="W332" s="50"/>
      <c r="X332" s="40"/>
      <c r="Z332" s="11"/>
      <c r="AA332" s="50"/>
      <c r="AB332" s="50"/>
      <c r="AC332" s="50"/>
      <c r="AD332" s="50"/>
      <c r="AE332" s="52"/>
      <c r="AF332" s="40"/>
      <c r="AN332" s="40"/>
      <c r="AP332" s="50"/>
      <c r="AQ332" s="50"/>
      <c r="AR332" s="50"/>
      <c r="AS332" s="50"/>
      <c r="AU332" s="40"/>
    </row>
    <row r="333">
      <c r="B333" s="50"/>
      <c r="C333" s="50"/>
      <c r="D333" s="50"/>
      <c r="E333" s="50"/>
      <c r="Q333" s="40"/>
      <c r="S333" s="11"/>
      <c r="T333" s="50"/>
      <c r="U333" s="51"/>
      <c r="V333" s="50"/>
      <c r="W333" s="50"/>
      <c r="X333" s="40"/>
      <c r="Z333" s="11"/>
      <c r="AA333" s="50"/>
      <c r="AB333" s="50"/>
      <c r="AC333" s="50"/>
      <c r="AD333" s="50"/>
      <c r="AE333" s="52"/>
      <c r="AF333" s="40"/>
      <c r="AN333" s="40"/>
      <c r="AP333" s="50"/>
      <c r="AQ333" s="50"/>
      <c r="AR333" s="50"/>
      <c r="AS333" s="50"/>
      <c r="AU333" s="40"/>
    </row>
    <row r="334">
      <c r="B334" s="50"/>
      <c r="C334" s="50"/>
      <c r="D334" s="50"/>
      <c r="E334" s="50"/>
      <c r="Q334" s="40"/>
      <c r="S334" s="11"/>
      <c r="T334" s="50"/>
      <c r="U334" s="51"/>
      <c r="V334" s="50"/>
      <c r="W334" s="50"/>
      <c r="X334" s="40"/>
      <c r="Z334" s="11"/>
      <c r="AA334" s="50"/>
      <c r="AB334" s="50"/>
      <c r="AC334" s="50"/>
      <c r="AD334" s="50"/>
      <c r="AE334" s="52"/>
      <c r="AF334" s="40"/>
      <c r="AN334" s="40"/>
      <c r="AP334" s="50"/>
      <c r="AQ334" s="50"/>
      <c r="AR334" s="50"/>
      <c r="AS334" s="50"/>
      <c r="AU334" s="40"/>
    </row>
    <row r="335">
      <c r="B335" s="50"/>
      <c r="C335" s="50"/>
      <c r="D335" s="50"/>
      <c r="E335" s="50"/>
      <c r="Q335" s="40"/>
      <c r="S335" s="11"/>
      <c r="T335" s="50"/>
      <c r="U335" s="51"/>
      <c r="V335" s="50"/>
      <c r="W335" s="50"/>
      <c r="X335" s="40"/>
      <c r="Z335" s="11"/>
      <c r="AA335" s="50"/>
      <c r="AB335" s="50"/>
      <c r="AC335" s="50"/>
      <c r="AD335" s="50"/>
      <c r="AE335" s="52"/>
      <c r="AF335" s="40"/>
      <c r="AN335" s="40"/>
      <c r="AP335" s="50"/>
      <c r="AQ335" s="50"/>
      <c r="AR335" s="50"/>
      <c r="AS335" s="50"/>
      <c r="AU335" s="40"/>
    </row>
    <row r="336">
      <c r="B336" s="50"/>
      <c r="C336" s="50"/>
      <c r="D336" s="50"/>
      <c r="E336" s="50"/>
      <c r="Q336" s="40"/>
      <c r="S336" s="11"/>
      <c r="T336" s="50"/>
      <c r="U336" s="51"/>
      <c r="V336" s="50"/>
      <c r="W336" s="50"/>
      <c r="X336" s="40"/>
      <c r="Z336" s="11"/>
      <c r="AA336" s="50"/>
      <c r="AB336" s="50"/>
      <c r="AC336" s="50"/>
      <c r="AD336" s="50"/>
      <c r="AE336" s="52"/>
      <c r="AF336" s="40"/>
      <c r="AN336" s="40"/>
      <c r="AP336" s="50"/>
      <c r="AQ336" s="50"/>
      <c r="AR336" s="50"/>
      <c r="AS336" s="50"/>
      <c r="AU336" s="40"/>
    </row>
    <row r="337">
      <c r="B337" s="50"/>
      <c r="C337" s="50"/>
      <c r="D337" s="50"/>
      <c r="E337" s="50"/>
      <c r="Q337" s="40"/>
      <c r="S337" s="11"/>
      <c r="T337" s="50"/>
      <c r="U337" s="51"/>
      <c r="V337" s="50"/>
      <c r="W337" s="50"/>
      <c r="X337" s="40"/>
      <c r="Z337" s="11"/>
      <c r="AA337" s="50"/>
      <c r="AB337" s="50"/>
      <c r="AC337" s="50"/>
      <c r="AD337" s="50"/>
      <c r="AE337" s="52"/>
      <c r="AF337" s="40"/>
      <c r="AN337" s="40"/>
      <c r="AP337" s="50"/>
      <c r="AQ337" s="50"/>
      <c r="AR337" s="50"/>
      <c r="AS337" s="50"/>
      <c r="AU337" s="40"/>
    </row>
    <row r="338">
      <c r="B338" s="50"/>
      <c r="C338" s="50"/>
      <c r="D338" s="50"/>
      <c r="E338" s="50"/>
      <c r="Q338" s="40"/>
      <c r="S338" s="11"/>
      <c r="T338" s="50"/>
      <c r="U338" s="51"/>
      <c r="V338" s="50"/>
      <c r="W338" s="50"/>
      <c r="X338" s="40"/>
      <c r="Z338" s="11"/>
      <c r="AA338" s="50"/>
      <c r="AB338" s="50"/>
      <c r="AC338" s="50"/>
      <c r="AD338" s="50"/>
      <c r="AE338" s="52"/>
      <c r="AF338" s="40"/>
      <c r="AN338" s="40"/>
      <c r="AP338" s="50"/>
      <c r="AQ338" s="50"/>
      <c r="AR338" s="50"/>
      <c r="AS338" s="50"/>
      <c r="AU338" s="40"/>
    </row>
    <row r="339">
      <c r="B339" s="50"/>
      <c r="C339" s="50"/>
      <c r="D339" s="50"/>
      <c r="E339" s="50"/>
      <c r="Q339" s="40"/>
      <c r="S339" s="11"/>
      <c r="T339" s="50"/>
      <c r="U339" s="51"/>
      <c r="V339" s="50"/>
      <c r="W339" s="50"/>
      <c r="X339" s="40"/>
      <c r="Z339" s="11"/>
      <c r="AA339" s="50"/>
      <c r="AB339" s="50"/>
      <c r="AC339" s="50"/>
      <c r="AD339" s="50"/>
      <c r="AE339" s="52"/>
      <c r="AF339" s="40"/>
      <c r="AN339" s="40"/>
      <c r="AP339" s="50"/>
      <c r="AQ339" s="50"/>
      <c r="AR339" s="50"/>
      <c r="AS339" s="50"/>
      <c r="AU339" s="40"/>
    </row>
    <row r="340">
      <c r="B340" s="50"/>
      <c r="C340" s="50"/>
      <c r="D340" s="50"/>
      <c r="E340" s="50"/>
      <c r="Q340" s="40"/>
      <c r="S340" s="11"/>
      <c r="T340" s="50"/>
      <c r="U340" s="51"/>
      <c r="V340" s="50"/>
      <c r="W340" s="50"/>
      <c r="X340" s="40"/>
      <c r="Z340" s="11"/>
      <c r="AA340" s="50"/>
      <c r="AB340" s="50"/>
      <c r="AC340" s="50"/>
      <c r="AD340" s="50"/>
      <c r="AE340" s="52"/>
      <c r="AF340" s="40"/>
      <c r="AN340" s="40"/>
      <c r="AP340" s="50"/>
      <c r="AQ340" s="50"/>
      <c r="AR340" s="50"/>
      <c r="AS340" s="50"/>
      <c r="AU340" s="40"/>
    </row>
    <row r="341">
      <c r="B341" s="50"/>
      <c r="C341" s="50"/>
      <c r="D341" s="50"/>
      <c r="E341" s="50"/>
      <c r="Q341" s="40"/>
      <c r="S341" s="11"/>
      <c r="T341" s="50"/>
      <c r="U341" s="51"/>
      <c r="V341" s="50"/>
      <c r="W341" s="50"/>
      <c r="X341" s="40"/>
      <c r="Z341" s="11"/>
      <c r="AA341" s="50"/>
      <c r="AB341" s="50"/>
      <c r="AC341" s="50"/>
      <c r="AD341" s="50"/>
      <c r="AE341" s="52"/>
      <c r="AF341" s="40"/>
      <c r="AN341" s="40"/>
      <c r="AP341" s="50"/>
      <c r="AQ341" s="50"/>
      <c r="AR341" s="50"/>
      <c r="AS341" s="50"/>
      <c r="AU341" s="40"/>
    </row>
    <row r="342">
      <c r="B342" s="50"/>
      <c r="C342" s="50"/>
      <c r="D342" s="50"/>
      <c r="E342" s="50"/>
      <c r="Q342" s="40"/>
      <c r="S342" s="11"/>
      <c r="T342" s="50"/>
      <c r="U342" s="51"/>
      <c r="V342" s="50"/>
      <c r="W342" s="50"/>
      <c r="X342" s="40"/>
      <c r="Z342" s="11"/>
      <c r="AA342" s="50"/>
      <c r="AB342" s="50"/>
      <c r="AC342" s="50"/>
      <c r="AD342" s="50"/>
      <c r="AE342" s="52"/>
      <c r="AF342" s="40"/>
      <c r="AN342" s="40"/>
      <c r="AP342" s="50"/>
      <c r="AQ342" s="50"/>
      <c r="AR342" s="50"/>
      <c r="AS342" s="50"/>
      <c r="AU342" s="40"/>
    </row>
    <row r="343">
      <c r="B343" s="50"/>
      <c r="C343" s="50"/>
      <c r="D343" s="50"/>
      <c r="E343" s="50"/>
      <c r="Q343" s="40"/>
      <c r="S343" s="11"/>
      <c r="T343" s="50"/>
      <c r="U343" s="51"/>
      <c r="V343" s="50"/>
      <c r="W343" s="50"/>
      <c r="X343" s="40"/>
      <c r="Z343" s="11"/>
      <c r="AA343" s="50"/>
      <c r="AB343" s="50"/>
      <c r="AC343" s="50"/>
      <c r="AD343" s="50"/>
      <c r="AE343" s="52"/>
      <c r="AF343" s="40"/>
      <c r="AN343" s="40"/>
      <c r="AP343" s="50"/>
      <c r="AQ343" s="50"/>
      <c r="AR343" s="50"/>
      <c r="AS343" s="50"/>
      <c r="AU343" s="40"/>
    </row>
    <row r="344">
      <c r="B344" s="50"/>
      <c r="C344" s="50"/>
      <c r="D344" s="50"/>
      <c r="E344" s="50"/>
      <c r="Q344" s="40"/>
      <c r="S344" s="11"/>
      <c r="T344" s="50"/>
      <c r="U344" s="51"/>
      <c r="V344" s="50"/>
      <c r="W344" s="50"/>
      <c r="X344" s="40"/>
      <c r="Z344" s="11"/>
      <c r="AA344" s="50"/>
      <c r="AB344" s="50"/>
      <c r="AC344" s="50"/>
      <c r="AD344" s="50"/>
      <c r="AE344" s="52"/>
      <c r="AF344" s="40"/>
      <c r="AN344" s="40"/>
      <c r="AP344" s="50"/>
      <c r="AQ344" s="50"/>
      <c r="AR344" s="50"/>
      <c r="AS344" s="50"/>
      <c r="AU344" s="40"/>
    </row>
    <row r="345">
      <c r="B345" s="50"/>
      <c r="C345" s="50"/>
      <c r="D345" s="50"/>
      <c r="E345" s="50"/>
      <c r="Q345" s="40"/>
      <c r="S345" s="11"/>
      <c r="T345" s="50"/>
      <c r="U345" s="51"/>
      <c r="V345" s="50"/>
      <c r="W345" s="50"/>
      <c r="X345" s="40"/>
      <c r="Z345" s="11"/>
      <c r="AA345" s="50"/>
      <c r="AB345" s="50"/>
      <c r="AC345" s="50"/>
      <c r="AD345" s="50"/>
      <c r="AE345" s="52"/>
      <c r="AF345" s="40"/>
      <c r="AN345" s="40"/>
      <c r="AP345" s="50"/>
      <c r="AQ345" s="50"/>
      <c r="AR345" s="50"/>
      <c r="AS345" s="50"/>
      <c r="AU345" s="40"/>
    </row>
    <row r="346">
      <c r="B346" s="50"/>
      <c r="C346" s="50"/>
      <c r="D346" s="50"/>
      <c r="E346" s="50"/>
      <c r="Q346" s="40"/>
      <c r="S346" s="11"/>
      <c r="T346" s="50"/>
      <c r="U346" s="51"/>
      <c r="V346" s="50"/>
      <c r="W346" s="50"/>
      <c r="X346" s="40"/>
      <c r="Z346" s="11"/>
      <c r="AA346" s="50"/>
      <c r="AB346" s="50"/>
      <c r="AC346" s="50"/>
      <c r="AD346" s="50"/>
      <c r="AE346" s="52"/>
      <c r="AF346" s="40"/>
      <c r="AN346" s="40"/>
      <c r="AP346" s="50"/>
      <c r="AQ346" s="50"/>
      <c r="AR346" s="50"/>
      <c r="AS346" s="50"/>
      <c r="AU346" s="40"/>
    </row>
    <row r="347">
      <c r="B347" s="50"/>
      <c r="C347" s="50"/>
      <c r="D347" s="50"/>
      <c r="E347" s="50"/>
      <c r="Q347" s="40"/>
      <c r="S347" s="11"/>
      <c r="T347" s="50"/>
      <c r="U347" s="51"/>
      <c r="V347" s="50"/>
      <c r="W347" s="50"/>
      <c r="X347" s="40"/>
      <c r="Z347" s="11"/>
      <c r="AA347" s="50"/>
      <c r="AB347" s="50"/>
      <c r="AC347" s="50"/>
      <c r="AD347" s="50"/>
      <c r="AE347" s="52"/>
      <c r="AF347" s="40"/>
      <c r="AN347" s="40"/>
      <c r="AP347" s="50"/>
      <c r="AQ347" s="50"/>
      <c r="AR347" s="50"/>
      <c r="AS347" s="50"/>
      <c r="AU347" s="40"/>
    </row>
    <row r="348">
      <c r="B348" s="50"/>
      <c r="C348" s="50"/>
      <c r="D348" s="50"/>
      <c r="E348" s="50"/>
      <c r="Q348" s="40"/>
      <c r="S348" s="11"/>
      <c r="T348" s="50"/>
      <c r="U348" s="51"/>
      <c r="V348" s="50"/>
      <c r="W348" s="50"/>
      <c r="X348" s="40"/>
      <c r="Z348" s="11"/>
      <c r="AA348" s="50"/>
      <c r="AB348" s="50"/>
      <c r="AC348" s="50"/>
      <c r="AD348" s="50"/>
      <c r="AE348" s="52"/>
      <c r="AF348" s="40"/>
      <c r="AN348" s="40"/>
      <c r="AP348" s="50"/>
      <c r="AQ348" s="50"/>
      <c r="AR348" s="50"/>
      <c r="AS348" s="50"/>
      <c r="AU348" s="40"/>
    </row>
    <row r="349">
      <c r="B349" s="50"/>
      <c r="C349" s="50"/>
      <c r="D349" s="50"/>
      <c r="E349" s="50"/>
      <c r="Q349" s="40"/>
      <c r="S349" s="11"/>
      <c r="T349" s="50"/>
      <c r="U349" s="51"/>
      <c r="V349" s="50"/>
      <c r="W349" s="50"/>
      <c r="X349" s="40"/>
      <c r="Z349" s="11"/>
      <c r="AA349" s="50"/>
      <c r="AB349" s="50"/>
      <c r="AC349" s="50"/>
      <c r="AD349" s="50"/>
      <c r="AE349" s="52"/>
      <c r="AF349" s="40"/>
      <c r="AN349" s="40"/>
      <c r="AP349" s="50"/>
      <c r="AQ349" s="50"/>
      <c r="AR349" s="50"/>
      <c r="AS349" s="50"/>
      <c r="AU349" s="40"/>
    </row>
    <row r="350">
      <c r="B350" s="50"/>
      <c r="C350" s="50"/>
      <c r="D350" s="50"/>
      <c r="E350" s="50"/>
      <c r="Q350" s="40"/>
      <c r="S350" s="11"/>
      <c r="T350" s="50"/>
      <c r="U350" s="51"/>
      <c r="V350" s="50"/>
      <c r="W350" s="50"/>
      <c r="X350" s="40"/>
      <c r="Z350" s="11"/>
      <c r="AA350" s="50"/>
      <c r="AB350" s="50"/>
      <c r="AC350" s="50"/>
      <c r="AD350" s="50"/>
      <c r="AE350" s="52"/>
      <c r="AF350" s="40"/>
      <c r="AN350" s="40"/>
      <c r="AP350" s="50"/>
      <c r="AQ350" s="50"/>
      <c r="AR350" s="50"/>
      <c r="AS350" s="50"/>
      <c r="AU350" s="40"/>
    </row>
    <row r="351">
      <c r="B351" s="50"/>
      <c r="C351" s="50"/>
      <c r="D351" s="50"/>
      <c r="E351" s="50"/>
      <c r="Q351" s="40"/>
      <c r="S351" s="11"/>
      <c r="T351" s="50"/>
      <c r="U351" s="51"/>
      <c r="V351" s="50"/>
      <c r="W351" s="50"/>
      <c r="X351" s="40"/>
      <c r="Z351" s="11"/>
      <c r="AA351" s="50"/>
      <c r="AB351" s="50"/>
      <c r="AC351" s="50"/>
      <c r="AD351" s="50"/>
      <c r="AE351" s="52"/>
      <c r="AF351" s="40"/>
      <c r="AN351" s="40"/>
      <c r="AP351" s="50"/>
      <c r="AQ351" s="50"/>
      <c r="AR351" s="50"/>
      <c r="AS351" s="50"/>
      <c r="AU351" s="40"/>
    </row>
    <row r="352">
      <c r="B352" s="50"/>
      <c r="C352" s="50"/>
      <c r="D352" s="50"/>
      <c r="E352" s="50"/>
      <c r="Q352" s="40"/>
      <c r="S352" s="11"/>
      <c r="T352" s="50"/>
      <c r="U352" s="51"/>
      <c r="V352" s="50"/>
      <c r="W352" s="50"/>
      <c r="X352" s="40"/>
      <c r="Z352" s="11"/>
      <c r="AA352" s="50"/>
      <c r="AB352" s="50"/>
      <c r="AC352" s="50"/>
      <c r="AD352" s="50"/>
      <c r="AE352" s="52"/>
      <c r="AF352" s="40"/>
      <c r="AN352" s="40"/>
      <c r="AP352" s="50"/>
      <c r="AQ352" s="50"/>
      <c r="AR352" s="50"/>
      <c r="AS352" s="50"/>
      <c r="AU352" s="40"/>
    </row>
    <row r="353">
      <c r="B353" s="50"/>
      <c r="C353" s="50"/>
      <c r="D353" s="50"/>
      <c r="E353" s="50"/>
      <c r="Q353" s="40"/>
      <c r="S353" s="11"/>
      <c r="T353" s="50"/>
      <c r="U353" s="51"/>
      <c r="V353" s="50"/>
      <c r="W353" s="50"/>
      <c r="X353" s="40"/>
      <c r="Z353" s="11"/>
      <c r="AA353" s="50"/>
      <c r="AB353" s="50"/>
      <c r="AC353" s="50"/>
      <c r="AD353" s="50"/>
      <c r="AE353" s="52"/>
      <c r="AF353" s="40"/>
      <c r="AN353" s="40"/>
      <c r="AP353" s="50"/>
      <c r="AQ353" s="50"/>
      <c r="AR353" s="50"/>
      <c r="AS353" s="50"/>
      <c r="AU353" s="40"/>
    </row>
    <row r="354">
      <c r="B354" s="50"/>
      <c r="C354" s="50"/>
      <c r="D354" s="50"/>
      <c r="E354" s="50"/>
      <c r="Q354" s="40"/>
      <c r="S354" s="11"/>
      <c r="T354" s="50"/>
      <c r="U354" s="51"/>
      <c r="V354" s="50"/>
      <c r="W354" s="50"/>
      <c r="X354" s="40"/>
      <c r="Z354" s="11"/>
      <c r="AA354" s="50"/>
      <c r="AB354" s="50"/>
      <c r="AC354" s="50"/>
      <c r="AD354" s="50"/>
      <c r="AE354" s="52"/>
      <c r="AF354" s="40"/>
      <c r="AN354" s="40"/>
      <c r="AP354" s="50"/>
      <c r="AQ354" s="50"/>
      <c r="AR354" s="50"/>
      <c r="AS354" s="50"/>
      <c r="AU354" s="40"/>
    </row>
    <row r="355">
      <c r="B355" s="50"/>
      <c r="C355" s="50"/>
      <c r="D355" s="50"/>
      <c r="E355" s="50"/>
      <c r="Q355" s="40"/>
      <c r="S355" s="11"/>
      <c r="T355" s="50"/>
      <c r="U355" s="51"/>
      <c r="V355" s="50"/>
      <c r="W355" s="50"/>
      <c r="X355" s="40"/>
      <c r="Z355" s="11"/>
      <c r="AA355" s="50"/>
      <c r="AB355" s="50"/>
      <c r="AC355" s="50"/>
      <c r="AD355" s="50"/>
      <c r="AE355" s="52"/>
      <c r="AF355" s="40"/>
      <c r="AN355" s="40"/>
      <c r="AP355" s="50"/>
      <c r="AQ355" s="50"/>
      <c r="AR355" s="50"/>
      <c r="AS355" s="50"/>
      <c r="AU355" s="40"/>
    </row>
    <row r="356">
      <c r="B356" s="50"/>
      <c r="C356" s="50"/>
      <c r="D356" s="50"/>
      <c r="E356" s="50"/>
      <c r="Q356" s="40"/>
      <c r="S356" s="11"/>
      <c r="T356" s="50"/>
      <c r="U356" s="51"/>
      <c r="V356" s="50"/>
      <c r="W356" s="50"/>
      <c r="X356" s="40"/>
      <c r="Z356" s="11"/>
      <c r="AA356" s="50"/>
      <c r="AB356" s="50"/>
      <c r="AC356" s="50"/>
      <c r="AD356" s="50"/>
      <c r="AE356" s="52"/>
      <c r="AF356" s="40"/>
      <c r="AN356" s="40"/>
      <c r="AP356" s="50"/>
      <c r="AQ356" s="50"/>
      <c r="AR356" s="50"/>
      <c r="AS356" s="50"/>
      <c r="AU356" s="40"/>
    </row>
    <row r="357">
      <c r="B357" s="50"/>
      <c r="C357" s="50"/>
      <c r="D357" s="50"/>
      <c r="E357" s="50"/>
      <c r="Q357" s="40"/>
      <c r="S357" s="11"/>
      <c r="T357" s="50"/>
      <c r="U357" s="51"/>
      <c r="V357" s="50"/>
      <c r="W357" s="50"/>
      <c r="X357" s="40"/>
      <c r="Z357" s="11"/>
      <c r="AA357" s="50"/>
      <c r="AB357" s="50"/>
      <c r="AC357" s="50"/>
      <c r="AD357" s="50"/>
      <c r="AE357" s="52"/>
      <c r="AF357" s="40"/>
      <c r="AN357" s="40"/>
      <c r="AP357" s="50"/>
      <c r="AQ357" s="50"/>
      <c r="AR357" s="50"/>
      <c r="AS357" s="50"/>
      <c r="AU357" s="40"/>
    </row>
    <row r="358">
      <c r="B358" s="50"/>
      <c r="C358" s="50"/>
      <c r="D358" s="50"/>
      <c r="E358" s="50"/>
      <c r="Q358" s="40"/>
      <c r="S358" s="11"/>
      <c r="T358" s="50"/>
      <c r="U358" s="51"/>
      <c r="V358" s="50"/>
      <c r="W358" s="50"/>
      <c r="X358" s="40"/>
      <c r="Z358" s="11"/>
      <c r="AA358" s="50"/>
      <c r="AB358" s="50"/>
      <c r="AC358" s="50"/>
      <c r="AD358" s="50"/>
      <c r="AE358" s="52"/>
      <c r="AF358" s="40"/>
      <c r="AN358" s="40"/>
      <c r="AP358" s="50"/>
      <c r="AQ358" s="50"/>
      <c r="AR358" s="50"/>
      <c r="AS358" s="50"/>
      <c r="AU358" s="40"/>
    </row>
    <row r="359">
      <c r="B359" s="50"/>
      <c r="C359" s="50"/>
      <c r="D359" s="50"/>
      <c r="E359" s="50"/>
      <c r="Q359" s="40"/>
      <c r="S359" s="11"/>
      <c r="T359" s="50"/>
      <c r="U359" s="51"/>
      <c r="V359" s="50"/>
      <c r="W359" s="50"/>
      <c r="X359" s="40"/>
      <c r="Z359" s="11"/>
      <c r="AA359" s="50"/>
      <c r="AB359" s="50"/>
      <c r="AC359" s="50"/>
      <c r="AD359" s="50"/>
      <c r="AE359" s="52"/>
      <c r="AF359" s="40"/>
      <c r="AN359" s="40"/>
      <c r="AP359" s="50"/>
      <c r="AQ359" s="50"/>
      <c r="AR359" s="50"/>
      <c r="AS359" s="50"/>
      <c r="AU359" s="40"/>
    </row>
    <row r="360">
      <c r="B360" s="50"/>
      <c r="C360" s="50"/>
      <c r="D360" s="50"/>
      <c r="E360" s="50"/>
      <c r="Q360" s="40"/>
      <c r="S360" s="11"/>
      <c r="T360" s="50"/>
      <c r="U360" s="51"/>
      <c r="V360" s="50"/>
      <c r="W360" s="50"/>
      <c r="X360" s="40"/>
      <c r="Z360" s="11"/>
      <c r="AA360" s="50"/>
      <c r="AB360" s="50"/>
      <c r="AC360" s="50"/>
      <c r="AD360" s="50"/>
      <c r="AE360" s="52"/>
      <c r="AF360" s="40"/>
      <c r="AN360" s="40"/>
      <c r="AP360" s="50"/>
      <c r="AQ360" s="50"/>
      <c r="AR360" s="50"/>
      <c r="AS360" s="50"/>
      <c r="AU360" s="40"/>
    </row>
    <row r="361">
      <c r="B361" s="50"/>
      <c r="C361" s="50"/>
      <c r="D361" s="50"/>
      <c r="E361" s="50"/>
      <c r="Q361" s="40"/>
      <c r="S361" s="11"/>
      <c r="T361" s="50"/>
      <c r="U361" s="51"/>
      <c r="V361" s="50"/>
      <c r="W361" s="50"/>
      <c r="X361" s="40"/>
      <c r="Z361" s="11"/>
      <c r="AA361" s="50"/>
      <c r="AB361" s="50"/>
      <c r="AC361" s="50"/>
      <c r="AD361" s="50"/>
      <c r="AE361" s="52"/>
      <c r="AF361" s="40"/>
      <c r="AN361" s="40"/>
      <c r="AP361" s="50"/>
      <c r="AQ361" s="50"/>
      <c r="AR361" s="50"/>
      <c r="AS361" s="50"/>
      <c r="AU361" s="40"/>
    </row>
    <row r="362">
      <c r="B362" s="50"/>
      <c r="C362" s="50"/>
      <c r="D362" s="50"/>
      <c r="E362" s="50"/>
      <c r="Q362" s="40"/>
      <c r="S362" s="11"/>
      <c r="T362" s="50"/>
      <c r="U362" s="51"/>
      <c r="V362" s="50"/>
      <c r="W362" s="50"/>
      <c r="X362" s="40"/>
      <c r="Z362" s="11"/>
      <c r="AA362" s="50"/>
      <c r="AB362" s="50"/>
      <c r="AC362" s="50"/>
      <c r="AD362" s="50"/>
      <c r="AE362" s="52"/>
      <c r="AF362" s="40"/>
      <c r="AN362" s="40"/>
      <c r="AP362" s="50"/>
      <c r="AQ362" s="50"/>
      <c r="AR362" s="50"/>
      <c r="AS362" s="50"/>
      <c r="AU362" s="40"/>
    </row>
    <row r="363">
      <c r="B363" s="50"/>
      <c r="C363" s="50"/>
      <c r="D363" s="50"/>
      <c r="E363" s="50"/>
      <c r="Q363" s="40"/>
      <c r="S363" s="11"/>
      <c r="T363" s="50"/>
      <c r="U363" s="51"/>
      <c r="V363" s="50"/>
      <c r="W363" s="50"/>
      <c r="X363" s="40"/>
      <c r="Z363" s="11"/>
      <c r="AA363" s="50"/>
      <c r="AB363" s="50"/>
      <c r="AC363" s="50"/>
      <c r="AD363" s="50"/>
      <c r="AE363" s="52"/>
      <c r="AF363" s="40"/>
      <c r="AN363" s="40"/>
      <c r="AP363" s="50"/>
      <c r="AQ363" s="50"/>
      <c r="AR363" s="50"/>
      <c r="AS363" s="50"/>
      <c r="AU363" s="40"/>
    </row>
    <row r="364">
      <c r="B364" s="50"/>
      <c r="C364" s="50"/>
      <c r="D364" s="50"/>
      <c r="E364" s="50"/>
      <c r="Q364" s="40"/>
      <c r="S364" s="11"/>
      <c r="T364" s="50"/>
      <c r="U364" s="51"/>
      <c r="V364" s="50"/>
      <c r="W364" s="50"/>
      <c r="X364" s="40"/>
      <c r="Z364" s="11"/>
      <c r="AA364" s="50"/>
      <c r="AB364" s="50"/>
      <c r="AC364" s="50"/>
      <c r="AD364" s="50"/>
      <c r="AE364" s="52"/>
      <c r="AF364" s="40"/>
      <c r="AN364" s="40"/>
      <c r="AP364" s="50"/>
      <c r="AQ364" s="50"/>
      <c r="AR364" s="50"/>
      <c r="AS364" s="50"/>
      <c r="AU364" s="40"/>
    </row>
    <row r="365">
      <c r="B365" s="50"/>
      <c r="C365" s="50"/>
      <c r="D365" s="50"/>
      <c r="E365" s="50"/>
      <c r="Q365" s="40"/>
      <c r="S365" s="11"/>
      <c r="T365" s="50"/>
      <c r="U365" s="51"/>
      <c r="V365" s="50"/>
      <c r="W365" s="50"/>
      <c r="X365" s="40"/>
      <c r="Z365" s="11"/>
      <c r="AA365" s="50"/>
      <c r="AB365" s="50"/>
      <c r="AC365" s="50"/>
      <c r="AD365" s="50"/>
      <c r="AE365" s="52"/>
      <c r="AF365" s="40"/>
      <c r="AN365" s="40"/>
      <c r="AP365" s="50"/>
      <c r="AQ365" s="50"/>
      <c r="AR365" s="50"/>
      <c r="AS365" s="50"/>
      <c r="AU365" s="40"/>
    </row>
    <row r="366">
      <c r="B366" s="50"/>
      <c r="C366" s="50"/>
      <c r="D366" s="50"/>
      <c r="E366" s="50"/>
      <c r="Q366" s="40"/>
      <c r="S366" s="11"/>
      <c r="T366" s="50"/>
      <c r="U366" s="51"/>
      <c r="V366" s="50"/>
      <c r="W366" s="50"/>
      <c r="X366" s="40"/>
      <c r="Z366" s="11"/>
      <c r="AA366" s="50"/>
      <c r="AB366" s="50"/>
      <c r="AC366" s="50"/>
      <c r="AD366" s="50"/>
      <c r="AE366" s="52"/>
      <c r="AF366" s="40"/>
      <c r="AN366" s="40"/>
      <c r="AP366" s="50"/>
      <c r="AQ366" s="50"/>
      <c r="AR366" s="50"/>
      <c r="AS366" s="50"/>
      <c r="AU366" s="40"/>
    </row>
    <row r="367">
      <c r="B367" s="50"/>
      <c r="C367" s="50"/>
      <c r="D367" s="50"/>
      <c r="E367" s="50"/>
      <c r="Q367" s="40"/>
      <c r="S367" s="11"/>
      <c r="T367" s="50"/>
      <c r="U367" s="51"/>
      <c r="V367" s="50"/>
      <c r="W367" s="50"/>
      <c r="X367" s="40"/>
      <c r="Z367" s="11"/>
      <c r="AA367" s="50"/>
      <c r="AB367" s="50"/>
      <c r="AC367" s="50"/>
      <c r="AD367" s="50"/>
      <c r="AE367" s="52"/>
      <c r="AF367" s="40"/>
      <c r="AN367" s="40"/>
      <c r="AP367" s="50"/>
      <c r="AQ367" s="50"/>
      <c r="AR367" s="50"/>
      <c r="AS367" s="50"/>
      <c r="AU367" s="40"/>
    </row>
    <row r="368">
      <c r="B368" s="50"/>
      <c r="C368" s="50"/>
      <c r="D368" s="50"/>
      <c r="E368" s="50"/>
      <c r="Q368" s="40"/>
      <c r="S368" s="11"/>
      <c r="T368" s="50"/>
      <c r="U368" s="51"/>
      <c r="V368" s="50"/>
      <c r="W368" s="50"/>
      <c r="X368" s="40"/>
      <c r="Z368" s="11"/>
      <c r="AA368" s="50"/>
      <c r="AB368" s="50"/>
      <c r="AC368" s="50"/>
      <c r="AD368" s="50"/>
      <c r="AE368" s="52"/>
      <c r="AF368" s="40"/>
      <c r="AN368" s="40"/>
      <c r="AP368" s="50"/>
      <c r="AQ368" s="50"/>
      <c r="AR368" s="50"/>
      <c r="AS368" s="50"/>
      <c r="AU368" s="40"/>
    </row>
    <row r="369">
      <c r="B369" s="50"/>
      <c r="C369" s="50"/>
      <c r="D369" s="50"/>
      <c r="E369" s="50"/>
      <c r="Q369" s="40"/>
      <c r="S369" s="11"/>
      <c r="T369" s="50"/>
      <c r="U369" s="51"/>
      <c r="V369" s="50"/>
      <c r="W369" s="50"/>
      <c r="X369" s="40"/>
      <c r="Z369" s="11"/>
      <c r="AA369" s="50"/>
      <c r="AB369" s="50"/>
      <c r="AC369" s="50"/>
      <c r="AD369" s="50"/>
      <c r="AE369" s="52"/>
      <c r="AF369" s="40"/>
      <c r="AN369" s="40"/>
      <c r="AP369" s="50"/>
      <c r="AQ369" s="50"/>
      <c r="AR369" s="50"/>
      <c r="AS369" s="50"/>
      <c r="AU369" s="40"/>
    </row>
    <row r="370">
      <c r="B370" s="50"/>
      <c r="C370" s="50"/>
      <c r="D370" s="50"/>
      <c r="E370" s="50"/>
      <c r="Q370" s="40"/>
      <c r="S370" s="11"/>
      <c r="T370" s="50"/>
      <c r="U370" s="51"/>
      <c r="V370" s="50"/>
      <c r="W370" s="50"/>
      <c r="X370" s="40"/>
      <c r="Z370" s="11"/>
      <c r="AA370" s="50"/>
      <c r="AB370" s="50"/>
      <c r="AC370" s="50"/>
      <c r="AD370" s="50"/>
      <c r="AE370" s="52"/>
      <c r="AF370" s="40"/>
      <c r="AN370" s="40"/>
      <c r="AP370" s="50"/>
      <c r="AQ370" s="50"/>
      <c r="AR370" s="50"/>
      <c r="AS370" s="50"/>
      <c r="AU370" s="40"/>
    </row>
    <row r="371">
      <c r="B371" s="50"/>
      <c r="C371" s="50"/>
      <c r="D371" s="50"/>
      <c r="E371" s="50"/>
      <c r="Q371" s="40"/>
      <c r="S371" s="11"/>
      <c r="T371" s="50"/>
      <c r="U371" s="51"/>
      <c r="V371" s="50"/>
      <c r="W371" s="50"/>
      <c r="X371" s="40"/>
      <c r="Z371" s="11"/>
      <c r="AA371" s="50"/>
      <c r="AB371" s="50"/>
      <c r="AC371" s="50"/>
      <c r="AD371" s="50"/>
      <c r="AE371" s="52"/>
      <c r="AF371" s="40"/>
      <c r="AN371" s="40"/>
      <c r="AP371" s="50"/>
      <c r="AQ371" s="50"/>
      <c r="AR371" s="50"/>
      <c r="AS371" s="50"/>
      <c r="AU371" s="40"/>
    </row>
    <row r="372">
      <c r="B372" s="50"/>
      <c r="C372" s="50"/>
      <c r="D372" s="50"/>
      <c r="E372" s="50"/>
      <c r="Q372" s="40"/>
      <c r="S372" s="11"/>
      <c r="T372" s="50"/>
      <c r="U372" s="51"/>
      <c r="V372" s="50"/>
      <c r="W372" s="50"/>
      <c r="X372" s="40"/>
      <c r="Z372" s="11"/>
      <c r="AA372" s="50"/>
      <c r="AB372" s="50"/>
      <c r="AC372" s="50"/>
      <c r="AD372" s="50"/>
      <c r="AE372" s="52"/>
      <c r="AF372" s="40"/>
      <c r="AN372" s="40"/>
      <c r="AP372" s="50"/>
      <c r="AQ372" s="50"/>
      <c r="AR372" s="50"/>
      <c r="AS372" s="50"/>
      <c r="AU372" s="40"/>
    </row>
    <row r="373">
      <c r="B373" s="50"/>
      <c r="C373" s="50"/>
      <c r="D373" s="50"/>
      <c r="E373" s="50"/>
      <c r="Q373" s="40"/>
      <c r="S373" s="11"/>
      <c r="T373" s="50"/>
      <c r="U373" s="51"/>
      <c r="V373" s="50"/>
      <c r="W373" s="50"/>
      <c r="X373" s="40"/>
      <c r="Z373" s="11"/>
      <c r="AA373" s="50"/>
      <c r="AB373" s="50"/>
      <c r="AC373" s="50"/>
      <c r="AD373" s="50"/>
      <c r="AE373" s="52"/>
      <c r="AF373" s="40"/>
      <c r="AN373" s="40"/>
      <c r="AP373" s="50"/>
      <c r="AQ373" s="50"/>
      <c r="AR373" s="50"/>
      <c r="AS373" s="50"/>
      <c r="AU373" s="40"/>
    </row>
    <row r="374">
      <c r="B374" s="50"/>
      <c r="C374" s="50"/>
      <c r="D374" s="50"/>
      <c r="E374" s="50"/>
      <c r="Q374" s="40"/>
      <c r="S374" s="11"/>
      <c r="T374" s="50"/>
      <c r="U374" s="51"/>
      <c r="V374" s="50"/>
      <c r="W374" s="50"/>
      <c r="X374" s="40"/>
      <c r="Z374" s="11"/>
      <c r="AA374" s="50"/>
      <c r="AB374" s="50"/>
      <c r="AC374" s="50"/>
      <c r="AD374" s="50"/>
      <c r="AE374" s="52"/>
      <c r="AF374" s="40"/>
      <c r="AN374" s="40"/>
      <c r="AP374" s="50"/>
      <c r="AQ374" s="50"/>
      <c r="AR374" s="50"/>
      <c r="AS374" s="50"/>
      <c r="AU374" s="40"/>
    </row>
    <row r="375">
      <c r="B375" s="50"/>
      <c r="C375" s="50"/>
      <c r="D375" s="50"/>
      <c r="E375" s="50"/>
      <c r="Q375" s="40"/>
      <c r="S375" s="11"/>
      <c r="T375" s="50"/>
      <c r="U375" s="51"/>
      <c r="V375" s="50"/>
      <c r="W375" s="50"/>
      <c r="X375" s="40"/>
      <c r="Z375" s="11"/>
      <c r="AA375" s="50"/>
      <c r="AB375" s="50"/>
      <c r="AC375" s="50"/>
      <c r="AD375" s="50"/>
      <c r="AE375" s="52"/>
      <c r="AF375" s="40"/>
      <c r="AN375" s="40"/>
      <c r="AP375" s="50"/>
      <c r="AQ375" s="50"/>
      <c r="AR375" s="50"/>
      <c r="AS375" s="50"/>
      <c r="AU375" s="40"/>
    </row>
    <row r="376">
      <c r="B376" s="50"/>
      <c r="C376" s="50"/>
      <c r="D376" s="50"/>
      <c r="E376" s="50"/>
      <c r="Q376" s="40"/>
      <c r="S376" s="11"/>
      <c r="T376" s="50"/>
      <c r="U376" s="51"/>
      <c r="V376" s="50"/>
      <c r="W376" s="50"/>
      <c r="X376" s="40"/>
      <c r="Z376" s="11"/>
      <c r="AA376" s="50"/>
      <c r="AB376" s="50"/>
      <c r="AC376" s="50"/>
      <c r="AD376" s="50"/>
      <c r="AE376" s="52"/>
      <c r="AF376" s="40"/>
      <c r="AN376" s="40"/>
      <c r="AP376" s="50"/>
      <c r="AQ376" s="50"/>
      <c r="AR376" s="50"/>
      <c r="AS376" s="50"/>
      <c r="AU376" s="40"/>
    </row>
    <row r="377">
      <c r="B377" s="50"/>
      <c r="C377" s="50"/>
      <c r="D377" s="50"/>
      <c r="E377" s="50"/>
      <c r="Q377" s="40"/>
      <c r="S377" s="11"/>
      <c r="T377" s="50"/>
      <c r="U377" s="51"/>
      <c r="V377" s="50"/>
      <c r="W377" s="50"/>
      <c r="X377" s="40"/>
      <c r="Z377" s="11"/>
      <c r="AA377" s="50"/>
      <c r="AB377" s="50"/>
      <c r="AC377" s="50"/>
      <c r="AD377" s="50"/>
      <c r="AE377" s="52"/>
      <c r="AF377" s="40"/>
      <c r="AN377" s="40"/>
      <c r="AP377" s="50"/>
      <c r="AQ377" s="50"/>
      <c r="AR377" s="50"/>
      <c r="AS377" s="50"/>
      <c r="AU377" s="40"/>
    </row>
    <row r="378">
      <c r="B378" s="50"/>
      <c r="C378" s="50"/>
      <c r="D378" s="50"/>
      <c r="E378" s="50"/>
      <c r="Q378" s="40"/>
      <c r="S378" s="11"/>
      <c r="T378" s="50"/>
      <c r="U378" s="51"/>
      <c r="V378" s="50"/>
      <c r="W378" s="50"/>
      <c r="X378" s="40"/>
      <c r="Z378" s="11"/>
      <c r="AA378" s="50"/>
      <c r="AB378" s="50"/>
      <c r="AC378" s="50"/>
      <c r="AD378" s="50"/>
      <c r="AE378" s="52"/>
      <c r="AF378" s="40"/>
      <c r="AN378" s="40"/>
      <c r="AP378" s="50"/>
      <c r="AQ378" s="50"/>
      <c r="AR378" s="50"/>
      <c r="AS378" s="50"/>
      <c r="AU378" s="40"/>
    </row>
    <row r="379">
      <c r="B379" s="50"/>
      <c r="C379" s="50"/>
      <c r="D379" s="50"/>
      <c r="E379" s="50"/>
      <c r="Q379" s="40"/>
      <c r="S379" s="11"/>
      <c r="T379" s="50"/>
      <c r="U379" s="51"/>
      <c r="V379" s="50"/>
      <c r="W379" s="50"/>
      <c r="X379" s="40"/>
      <c r="Z379" s="11"/>
      <c r="AA379" s="50"/>
      <c r="AB379" s="50"/>
      <c r="AC379" s="50"/>
      <c r="AD379" s="50"/>
      <c r="AE379" s="52"/>
      <c r="AF379" s="40"/>
      <c r="AN379" s="40"/>
      <c r="AP379" s="50"/>
      <c r="AQ379" s="50"/>
      <c r="AR379" s="50"/>
      <c r="AS379" s="50"/>
      <c r="AU379" s="40"/>
    </row>
    <row r="380">
      <c r="B380" s="50"/>
      <c r="C380" s="50"/>
      <c r="D380" s="50"/>
      <c r="E380" s="50"/>
      <c r="Q380" s="40"/>
      <c r="S380" s="11"/>
      <c r="T380" s="50"/>
      <c r="U380" s="51"/>
      <c r="V380" s="50"/>
      <c r="W380" s="50"/>
      <c r="X380" s="40"/>
      <c r="Z380" s="11"/>
      <c r="AA380" s="50"/>
      <c r="AB380" s="50"/>
      <c r="AC380" s="50"/>
      <c r="AD380" s="50"/>
      <c r="AE380" s="52"/>
      <c r="AF380" s="40"/>
      <c r="AN380" s="40"/>
      <c r="AP380" s="50"/>
      <c r="AQ380" s="50"/>
      <c r="AR380" s="50"/>
      <c r="AS380" s="50"/>
      <c r="AU380" s="40"/>
    </row>
    <row r="381">
      <c r="B381" s="50"/>
      <c r="C381" s="50"/>
      <c r="D381" s="50"/>
      <c r="E381" s="50"/>
      <c r="Q381" s="40"/>
      <c r="S381" s="11"/>
      <c r="T381" s="50"/>
      <c r="U381" s="51"/>
      <c r="V381" s="50"/>
      <c r="W381" s="50"/>
      <c r="X381" s="40"/>
      <c r="Z381" s="11"/>
      <c r="AA381" s="50"/>
      <c r="AB381" s="50"/>
      <c r="AC381" s="50"/>
      <c r="AD381" s="50"/>
      <c r="AE381" s="52"/>
      <c r="AF381" s="40"/>
      <c r="AN381" s="40"/>
      <c r="AP381" s="50"/>
      <c r="AQ381" s="50"/>
      <c r="AR381" s="50"/>
      <c r="AS381" s="50"/>
      <c r="AU381" s="40"/>
    </row>
    <row r="382">
      <c r="B382" s="50"/>
      <c r="C382" s="50"/>
      <c r="D382" s="50"/>
      <c r="E382" s="50"/>
      <c r="Q382" s="40"/>
      <c r="S382" s="11"/>
      <c r="T382" s="50"/>
      <c r="U382" s="51"/>
      <c r="V382" s="50"/>
      <c r="W382" s="50"/>
      <c r="X382" s="40"/>
      <c r="Z382" s="11"/>
      <c r="AA382" s="50"/>
      <c r="AB382" s="50"/>
      <c r="AC382" s="50"/>
      <c r="AD382" s="50"/>
      <c r="AE382" s="52"/>
      <c r="AF382" s="40"/>
      <c r="AN382" s="40"/>
      <c r="AP382" s="50"/>
      <c r="AQ382" s="50"/>
      <c r="AR382" s="50"/>
      <c r="AS382" s="50"/>
      <c r="AU382" s="40"/>
    </row>
    <row r="383">
      <c r="B383" s="50"/>
      <c r="C383" s="50"/>
      <c r="D383" s="50"/>
      <c r="E383" s="50"/>
      <c r="Q383" s="40"/>
      <c r="S383" s="11"/>
      <c r="T383" s="50"/>
      <c r="U383" s="51"/>
      <c r="V383" s="50"/>
      <c r="W383" s="50"/>
      <c r="X383" s="40"/>
      <c r="Z383" s="11"/>
      <c r="AA383" s="50"/>
      <c r="AB383" s="50"/>
      <c r="AC383" s="50"/>
      <c r="AD383" s="50"/>
      <c r="AE383" s="52"/>
      <c r="AF383" s="40"/>
      <c r="AN383" s="40"/>
      <c r="AP383" s="50"/>
      <c r="AQ383" s="50"/>
      <c r="AR383" s="50"/>
      <c r="AS383" s="50"/>
      <c r="AU383" s="40"/>
    </row>
    <row r="384">
      <c r="B384" s="50"/>
      <c r="C384" s="50"/>
      <c r="D384" s="50"/>
      <c r="E384" s="50"/>
      <c r="Q384" s="40"/>
      <c r="S384" s="11"/>
      <c r="T384" s="50"/>
      <c r="U384" s="51"/>
      <c r="V384" s="50"/>
      <c r="W384" s="50"/>
      <c r="X384" s="40"/>
      <c r="Z384" s="11"/>
      <c r="AA384" s="50"/>
      <c r="AB384" s="50"/>
      <c r="AC384" s="50"/>
      <c r="AD384" s="50"/>
      <c r="AE384" s="52"/>
      <c r="AF384" s="40"/>
      <c r="AN384" s="40"/>
      <c r="AP384" s="50"/>
      <c r="AQ384" s="50"/>
      <c r="AR384" s="50"/>
      <c r="AS384" s="50"/>
      <c r="AU384" s="40"/>
    </row>
    <row r="385">
      <c r="B385" s="50"/>
      <c r="C385" s="50"/>
      <c r="D385" s="50"/>
      <c r="E385" s="50"/>
      <c r="Q385" s="40"/>
      <c r="S385" s="11"/>
      <c r="T385" s="50"/>
      <c r="U385" s="51"/>
      <c r="V385" s="50"/>
      <c r="W385" s="50"/>
      <c r="X385" s="40"/>
      <c r="Z385" s="11"/>
      <c r="AA385" s="50"/>
      <c r="AB385" s="50"/>
      <c r="AC385" s="50"/>
      <c r="AD385" s="50"/>
      <c r="AE385" s="52"/>
      <c r="AF385" s="40"/>
      <c r="AN385" s="40"/>
      <c r="AP385" s="50"/>
      <c r="AQ385" s="50"/>
      <c r="AR385" s="50"/>
      <c r="AS385" s="50"/>
      <c r="AU385" s="40"/>
    </row>
    <row r="386">
      <c r="B386" s="50"/>
      <c r="C386" s="50"/>
      <c r="D386" s="50"/>
      <c r="E386" s="50"/>
      <c r="Q386" s="40"/>
      <c r="S386" s="11"/>
      <c r="T386" s="50"/>
      <c r="U386" s="51"/>
      <c r="V386" s="50"/>
      <c r="W386" s="50"/>
      <c r="X386" s="40"/>
      <c r="Z386" s="11"/>
      <c r="AA386" s="50"/>
      <c r="AB386" s="50"/>
      <c r="AC386" s="50"/>
      <c r="AD386" s="50"/>
      <c r="AE386" s="52"/>
      <c r="AF386" s="40"/>
      <c r="AN386" s="40"/>
      <c r="AP386" s="50"/>
      <c r="AQ386" s="50"/>
      <c r="AR386" s="50"/>
      <c r="AS386" s="50"/>
      <c r="AU386" s="40"/>
    </row>
    <row r="387">
      <c r="B387" s="50"/>
      <c r="C387" s="50"/>
      <c r="D387" s="50"/>
      <c r="E387" s="50"/>
      <c r="Q387" s="40"/>
      <c r="S387" s="11"/>
      <c r="T387" s="50"/>
      <c r="U387" s="51"/>
      <c r="V387" s="50"/>
      <c r="W387" s="50"/>
      <c r="X387" s="40"/>
      <c r="Z387" s="11"/>
      <c r="AA387" s="50"/>
      <c r="AB387" s="50"/>
      <c r="AC387" s="50"/>
      <c r="AD387" s="50"/>
      <c r="AE387" s="52"/>
      <c r="AF387" s="40"/>
      <c r="AN387" s="40"/>
      <c r="AP387" s="50"/>
      <c r="AQ387" s="50"/>
      <c r="AR387" s="50"/>
      <c r="AS387" s="50"/>
      <c r="AU387" s="40"/>
    </row>
    <row r="388">
      <c r="B388" s="50"/>
      <c r="C388" s="50"/>
      <c r="D388" s="50"/>
      <c r="E388" s="50"/>
      <c r="Q388" s="40"/>
      <c r="S388" s="11"/>
      <c r="T388" s="50"/>
      <c r="U388" s="51"/>
      <c r="V388" s="50"/>
      <c r="W388" s="50"/>
      <c r="X388" s="40"/>
      <c r="Z388" s="11"/>
      <c r="AA388" s="50"/>
      <c r="AB388" s="50"/>
      <c r="AC388" s="50"/>
      <c r="AD388" s="50"/>
      <c r="AE388" s="52"/>
      <c r="AF388" s="40"/>
      <c r="AN388" s="40"/>
      <c r="AP388" s="50"/>
      <c r="AQ388" s="50"/>
      <c r="AR388" s="50"/>
      <c r="AS388" s="50"/>
      <c r="AU388" s="40"/>
    </row>
    <row r="389">
      <c r="B389" s="50"/>
      <c r="C389" s="50"/>
      <c r="D389" s="50"/>
      <c r="E389" s="50"/>
      <c r="Q389" s="40"/>
      <c r="S389" s="11"/>
      <c r="T389" s="50"/>
      <c r="U389" s="51"/>
      <c r="V389" s="50"/>
      <c r="W389" s="50"/>
      <c r="X389" s="40"/>
      <c r="Z389" s="11"/>
      <c r="AA389" s="50"/>
      <c r="AB389" s="50"/>
      <c r="AC389" s="50"/>
      <c r="AD389" s="50"/>
      <c r="AE389" s="52"/>
      <c r="AF389" s="40"/>
      <c r="AN389" s="40"/>
      <c r="AP389" s="50"/>
      <c r="AQ389" s="50"/>
      <c r="AR389" s="50"/>
      <c r="AS389" s="50"/>
      <c r="AU389" s="40"/>
    </row>
    <row r="390">
      <c r="B390" s="50"/>
      <c r="C390" s="50"/>
      <c r="D390" s="50"/>
      <c r="E390" s="50"/>
      <c r="Q390" s="40"/>
      <c r="S390" s="11"/>
      <c r="T390" s="50"/>
      <c r="U390" s="51"/>
      <c r="V390" s="50"/>
      <c r="W390" s="50"/>
      <c r="X390" s="40"/>
      <c r="Z390" s="11"/>
      <c r="AA390" s="50"/>
      <c r="AB390" s="50"/>
      <c r="AC390" s="50"/>
      <c r="AD390" s="50"/>
      <c r="AE390" s="52"/>
      <c r="AF390" s="40"/>
      <c r="AN390" s="40"/>
      <c r="AP390" s="50"/>
      <c r="AQ390" s="50"/>
      <c r="AR390" s="50"/>
      <c r="AS390" s="50"/>
      <c r="AU390" s="40"/>
    </row>
    <row r="391">
      <c r="B391" s="50"/>
      <c r="C391" s="50"/>
      <c r="D391" s="50"/>
      <c r="E391" s="50"/>
      <c r="Q391" s="40"/>
      <c r="S391" s="11"/>
      <c r="T391" s="50"/>
      <c r="U391" s="51"/>
      <c r="V391" s="50"/>
      <c r="W391" s="50"/>
      <c r="X391" s="40"/>
      <c r="Z391" s="11"/>
      <c r="AA391" s="50"/>
      <c r="AB391" s="50"/>
      <c r="AC391" s="50"/>
      <c r="AD391" s="50"/>
      <c r="AE391" s="52"/>
      <c r="AF391" s="40"/>
      <c r="AN391" s="40"/>
      <c r="AP391" s="50"/>
      <c r="AQ391" s="50"/>
      <c r="AR391" s="50"/>
      <c r="AS391" s="50"/>
      <c r="AU391" s="40"/>
    </row>
    <row r="392">
      <c r="B392" s="50"/>
      <c r="C392" s="50"/>
      <c r="D392" s="50"/>
      <c r="E392" s="50"/>
      <c r="Q392" s="40"/>
      <c r="S392" s="11"/>
      <c r="T392" s="50"/>
      <c r="U392" s="51"/>
      <c r="V392" s="50"/>
      <c r="W392" s="50"/>
      <c r="X392" s="40"/>
      <c r="Z392" s="11"/>
      <c r="AA392" s="50"/>
      <c r="AB392" s="50"/>
      <c r="AC392" s="50"/>
      <c r="AD392" s="50"/>
      <c r="AE392" s="52"/>
      <c r="AF392" s="40"/>
      <c r="AN392" s="40"/>
      <c r="AP392" s="50"/>
      <c r="AQ392" s="50"/>
      <c r="AR392" s="50"/>
      <c r="AS392" s="50"/>
      <c r="AU392" s="40"/>
    </row>
    <row r="393">
      <c r="B393" s="50"/>
      <c r="C393" s="50"/>
      <c r="D393" s="50"/>
      <c r="E393" s="50"/>
      <c r="Q393" s="40"/>
      <c r="S393" s="11"/>
      <c r="T393" s="50"/>
      <c r="U393" s="51"/>
      <c r="V393" s="50"/>
      <c r="W393" s="50"/>
      <c r="X393" s="40"/>
      <c r="Z393" s="11"/>
      <c r="AA393" s="50"/>
      <c r="AB393" s="50"/>
      <c r="AC393" s="50"/>
      <c r="AD393" s="50"/>
      <c r="AE393" s="52"/>
      <c r="AF393" s="40"/>
      <c r="AN393" s="40"/>
      <c r="AP393" s="50"/>
      <c r="AQ393" s="50"/>
      <c r="AR393" s="50"/>
      <c r="AS393" s="50"/>
      <c r="AU393" s="40"/>
    </row>
    <row r="394">
      <c r="B394" s="50"/>
      <c r="C394" s="50"/>
      <c r="D394" s="50"/>
      <c r="E394" s="50"/>
      <c r="Q394" s="40"/>
      <c r="S394" s="11"/>
      <c r="T394" s="50"/>
      <c r="U394" s="51"/>
      <c r="V394" s="50"/>
      <c r="W394" s="50"/>
      <c r="X394" s="40"/>
      <c r="Z394" s="11"/>
      <c r="AA394" s="50"/>
      <c r="AB394" s="50"/>
      <c r="AC394" s="50"/>
      <c r="AD394" s="50"/>
      <c r="AE394" s="52"/>
      <c r="AF394" s="40"/>
      <c r="AN394" s="40"/>
      <c r="AP394" s="50"/>
      <c r="AQ394" s="50"/>
      <c r="AR394" s="50"/>
      <c r="AS394" s="50"/>
      <c r="AU394" s="40"/>
    </row>
    <row r="395">
      <c r="B395" s="50"/>
      <c r="C395" s="50"/>
      <c r="D395" s="50"/>
      <c r="E395" s="50"/>
      <c r="Q395" s="40"/>
      <c r="S395" s="11"/>
      <c r="T395" s="50"/>
      <c r="U395" s="51"/>
      <c r="V395" s="50"/>
      <c r="W395" s="50"/>
      <c r="X395" s="40"/>
      <c r="Z395" s="11"/>
      <c r="AA395" s="50"/>
      <c r="AB395" s="50"/>
      <c r="AC395" s="50"/>
      <c r="AD395" s="50"/>
      <c r="AE395" s="52"/>
      <c r="AF395" s="40"/>
      <c r="AN395" s="40"/>
      <c r="AP395" s="50"/>
      <c r="AQ395" s="50"/>
      <c r="AR395" s="50"/>
      <c r="AS395" s="50"/>
      <c r="AU395" s="40"/>
    </row>
    <row r="396">
      <c r="B396" s="50"/>
      <c r="C396" s="50"/>
      <c r="D396" s="50"/>
      <c r="E396" s="50"/>
      <c r="Q396" s="40"/>
      <c r="S396" s="11"/>
      <c r="T396" s="50"/>
      <c r="U396" s="51"/>
      <c r="V396" s="50"/>
      <c r="W396" s="50"/>
      <c r="X396" s="40"/>
      <c r="Z396" s="11"/>
      <c r="AA396" s="50"/>
      <c r="AB396" s="50"/>
      <c r="AC396" s="50"/>
      <c r="AD396" s="50"/>
      <c r="AE396" s="52"/>
      <c r="AF396" s="40"/>
      <c r="AN396" s="40"/>
      <c r="AP396" s="50"/>
      <c r="AQ396" s="50"/>
      <c r="AR396" s="50"/>
      <c r="AS396" s="50"/>
      <c r="AU396" s="40"/>
    </row>
    <row r="397">
      <c r="B397" s="50"/>
      <c r="C397" s="50"/>
      <c r="D397" s="50"/>
      <c r="E397" s="50"/>
      <c r="Q397" s="40"/>
      <c r="S397" s="11"/>
      <c r="T397" s="50"/>
      <c r="U397" s="51"/>
      <c r="V397" s="50"/>
      <c r="W397" s="50"/>
      <c r="X397" s="40"/>
      <c r="Z397" s="11"/>
      <c r="AA397" s="50"/>
      <c r="AB397" s="50"/>
      <c r="AC397" s="50"/>
      <c r="AD397" s="50"/>
      <c r="AE397" s="52"/>
      <c r="AF397" s="40"/>
      <c r="AN397" s="40"/>
      <c r="AP397" s="50"/>
      <c r="AQ397" s="50"/>
      <c r="AR397" s="50"/>
      <c r="AS397" s="50"/>
      <c r="AU397" s="40"/>
    </row>
    <row r="398">
      <c r="B398" s="50"/>
      <c r="C398" s="50"/>
      <c r="D398" s="50"/>
      <c r="E398" s="50"/>
      <c r="Q398" s="40"/>
      <c r="S398" s="11"/>
      <c r="T398" s="50"/>
      <c r="U398" s="51"/>
      <c r="V398" s="50"/>
      <c r="W398" s="50"/>
      <c r="X398" s="40"/>
      <c r="Z398" s="11"/>
      <c r="AA398" s="50"/>
      <c r="AB398" s="50"/>
      <c r="AC398" s="50"/>
      <c r="AD398" s="50"/>
      <c r="AE398" s="52"/>
      <c r="AF398" s="40"/>
      <c r="AN398" s="40"/>
      <c r="AP398" s="50"/>
      <c r="AQ398" s="50"/>
      <c r="AR398" s="50"/>
      <c r="AS398" s="50"/>
      <c r="AU398" s="40"/>
    </row>
    <row r="399">
      <c r="B399" s="50"/>
      <c r="C399" s="50"/>
      <c r="D399" s="50"/>
      <c r="E399" s="50"/>
      <c r="Q399" s="40"/>
      <c r="S399" s="11"/>
      <c r="T399" s="50"/>
      <c r="U399" s="51"/>
      <c r="V399" s="50"/>
      <c r="W399" s="50"/>
      <c r="X399" s="40"/>
      <c r="Z399" s="11"/>
      <c r="AA399" s="50"/>
      <c r="AB399" s="50"/>
      <c r="AC399" s="50"/>
      <c r="AD399" s="50"/>
      <c r="AE399" s="52"/>
      <c r="AF399" s="40"/>
      <c r="AN399" s="40"/>
      <c r="AP399" s="50"/>
      <c r="AQ399" s="50"/>
      <c r="AR399" s="50"/>
      <c r="AS399" s="50"/>
      <c r="AU399" s="40"/>
    </row>
    <row r="400">
      <c r="B400" s="50"/>
      <c r="C400" s="50"/>
      <c r="D400" s="50"/>
      <c r="E400" s="50"/>
      <c r="Q400" s="40"/>
      <c r="S400" s="11"/>
      <c r="T400" s="50"/>
      <c r="U400" s="51"/>
      <c r="V400" s="50"/>
      <c r="W400" s="50"/>
      <c r="X400" s="40"/>
      <c r="Z400" s="11"/>
      <c r="AA400" s="50"/>
      <c r="AB400" s="50"/>
      <c r="AC400" s="50"/>
      <c r="AD400" s="50"/>
      <c r="AE400" s="52"/>
      <c r="AF400" s="40"/>
      <c r="AN400" s="40"/>
      <c r="AP400" s="50"/>
      <c r="AQ400" s="50"/>
      <c r="AR400" s="50"/>
      <c r="AS400" s="50"/>
      <c r="AU400" s="40"/>
    </row>
    <row r="401">
      <c r="B401" s="50"/>
      <c r="C401" s="50"/>
      <c r="D401" s="50"/>
      <c r="E401" s="50"/>
      <c r="Q401" s="40"/>
      <c r="S401" s="11"/>
      <c r="T401" s="50"/>
      <c r="U401" s="51"/>
      <c r="V401" s="50"/>
      <c r="W401" s="50"/>
      <c r="X401" s="40"/>
      <c r="Z401" s="11"/>
      <c r="AA401" s="50"/>
      <c r="AB401" s="50"/>
      <c r="AC401" s="50"/>
      <c r="AD401" s="50"/>
      <c r="AE401" s="52"/>
      <c r="AF401" s="40"/>
      <c r="AN401" s="40"/>
      <c r="AP401" s="50"/>
      <c r="AQ401" s="50"/>
      <c r="AR401" s="50"/>
      <c r="AS401" s="50"/>
      <c r="AU401" s="40"/>
    </row>
    <row r="402">
      <c r="B402" s="50"/>
      <c r="C402" s="50"/>
      <c r="D402" s="50"/>
      <c r="E402" s="50"/>
      <c r="Q402" s="40"/>
      <c r="S402" s="11"/>
      <c r="T402" s="50"/>
      <c r="U402" s="51"/>
      <c r="V402" s="50"/>
      <c r="W402" s="50"/>
      <c r="X402" s="40"/>
      <c r="Z402" s="11"/>
      <c r="AA402" s="50"/>
      <c r="AB402" s="50"/>
      <c r="AC402" s="50"/>
      <c r="AD402" s="50"/>
      <c r="AE402" s="52"/>
      <c r="AF402" s="40"/>
      <c r="AN402" s="40"/>
      <c r="AP402" s="50"/>
      <c r="AQ402" s="50"/>
      <c r="AR402" s="50"/>
      <c r="AS402" s="50"/>
      <c r="AU402" s="40"/>
    </row>
    <row r="403">
      <c r="B403" s="50"/>
      <c r="C403" s="50"/>
      <c r="D403" s="50"/>
      <c r="E403" s="50"/>
      <c r="Q403" s="40"/>
      <c r="S403" s="11"/>
      <c r="T403" s="50"/>
      <c r="U403" s="51"/>
      <c r="V403" s="50"/>
      <c r="W403" s="50"/>
      <c r="X403" s="40"/>
      <c r="Z403" s="11"/>
      <c r="AA403" s="50"/>
      <c r="AB403" s="50"/>
      <c r="AC403" s="50"/>
      <c r="AD403" s="50"/>
      <c r="AE403" s="52"/>
      <c r="AF403" s="40"/>
      <c r="AN403" s="40"/>
      <c r="AP403" s="50"/>
      <c r="AQ403" s="50"/>
      <c r="AR403" s="50"/>
      <c r="AS403" s="50"/>
      <c r="AU403" s="40"/>
    </row>
    <row r="404">
      <c r="B404" s="50"/>
      <c r="C404" s="50"/>
      <c r="D404" s="50"/>
      <c r="E404" s="50"/>
      <c r="Q404" s="40"/>
      <c r="S404" s="11"/>
      <c r="T404" s="50"/>
      <c r="U404" s="51"/>
      <c r="V404" s="50"/>
      <c r="W404" s="50"/>
      <c r="X404" s="40"/>
      <c r="Z404" s="11"/>
      <c r="AA404" s="50"/>
      <c r="AB404" s="50"/>
      <c r="AC404" s="50"/>
      <c r="AD404" s="50"/>
      <c r="AE404" s="52"/>
      <c r="AF404" s="40"/>
      <c r="AN404" s="40"/>
      <c r="AP404" s="50"/>
      <c r="AQ404" s="50"/>
      <c r="AR404" s="50"/>
      <c r="AS404" s="50"/>
      <c r="AU404" s="40"/>
    </row>
    <row r="405">
      <c r="B405" s="50"/>
      <c r="C405" s="50"/>
      <c r="D405" s="50"/>
      <c r="E405" s="50"/>
      <c r="Q405" s="40"/>
      <c r="S405" s="11"/>
      <c r="T405" s="50"/>
      <c r="U405" s="51"/>
      <c r="V405" s="50"/>
      <c r="W405" s="50"/>
      <c r="X405" s="40"/>
      <c r="Z405" s="11"/>
      <c r="AA405" s="50"/>
      <c r="AB405" s="50"/>
      <c r="AC405" s="50"/>
      <c r="AD405" s="50"/>
      <c r="AE405" s="52"/>
      <c r="AF405" s="40"/>
      <c r="AN405" s="40"/>
      <c r="AP405" s="50"/>
      <c r="AQ405" s="50"/>
      <c r="AR405" s="50"/>
      <c r="AS405" s="50"/>
      <c r="AU405" s="40"/>
    </row>
    <row r="406">
      <c r="B406" s="50"/>
      <c r="C406" s="50"/>
      <c r="D406" s="50"/>
      <c r="E406" s="50"/>
      <c r="Q406" s="40"/>
      <c r="S406" s="11"/>
      <c r="T406" s="50"/>
      <c r="U406" s="51"/>
      <c r="V406" s="50"/>
      <c r="W406" s="50"/>
      <c r="X406" s="40"/>
      <c r="Z406" s="11"/>
      <c r="AA406" s="50"/>
      <c r="AB406" s="50"/>
      <c r="AC406" s="50"/>
      <c r="AD406" s="50"/>
      <c r="AE406" s="52"/>
      <c r="AF406" s="40"/>
      <c r="AN406" s="40"/>
      <c r="AP406" s="50"/>
      <c r="AQ406" s="50"/>
      <c r="AR406" s="50"/>
      <c r="AS406" s="50"/>
      <c r="AU406" s="40"/>
    </row>
    <row r="407">
      <c r="B407" s="50"/>
      <c r="C407" s="50"/>
      <c r="D407" s="50"/>
      <c r="E407" s="50"/>
      <c r="Q407" s="40"/>
      <c r="S407" s="11"/>
      <c r="T407" s="50"/>
      <c r="U407" s="51"/>
      <c r="V407" s="50"/>
      <c r="W407" s="50"/>
      <c r="X407" s="40"/>
      <c r="Z407" s="11"/>
      <c r="AA407" s="50"/>
      <c r="AB407" s="50"/>
      <c r="AC407" s="50"/>
      <c r="AD407" s="50"/>
      <c r="AE407" s="52"/>
      <c r="AF407" s="40"/>
      <c r="AN407" s="40"/>
      <c r="AP407" s="50"/>
      <c r="AQ407" s="50"/>
      <c r="AR407" s="50"/>
      <c r="AS407" s="50"/>
      <c r="AU407" s="40"/>
    </row>
    <row r="408">
      <c r="B408" s="50"/>
      <c r="C408" s="50"/>
      <c r="D408" s="50"/>
      <c r="E408" s="50"/>
      <c r="Q408" s="40"/>
      <c r="S408" s="11"/>
      <c r="T408" s="50"/>
      <c r="U408" s="51"/>
      <c r="V408" s="50"/>
      <c r="W408" s="50"/>
      <c r="X408" s="40"/>
      <c r="Z408" s="11"/>
      <c r="AA408" s="50"/>
      <c r="AB408" s="50"/>
      <c r="AC408" s="50"/>
      <c r="AD408" s="50"/>
      <c r="AE408" s="52"/>
      <c r="AF408" s="40"/>
      <c r="AN408" s="40"/>
      <c r="AP408" s="50"/>
      <c r="AQ408" s="50"/>
      <c r="AR408" s="50"/>
      <c r="AS408" s="50"/>
      <c r="AU408" s="40"/>
    </row>
    <row r="409">
      <c r="B409" s="50"/>
      <c r="C409" s="50"/>
      <c r="D409" s="50"/>
      <c r="E409" s="50"/>
      <c r="Q409" s="40"/>
      <c r="S409" s="11"/>
      <c r="T409" s="50"/>
      <c r="U409" s="51"/>
      <c r="V409" s="50"/>
      <c r="W409" s="50"/>
      <c r="X409" s="40"/>
      <c r="Z409" s="11"/>
      <c r="AA409" s="50"/>
      <c r="AB409" s="50"/>
      <c r="AC409" s="50"/>
      <c r="AD409" s="50"/>
      <c r="AE409" s="52"/>
      <c r="AF409" s="40"/>
      <c r="AN409" s="40"/>
      <c r="AP409" s="50"/>
      <c r="AQ409" s="50"/>
      <c r="AR409" s="50"/>
      <c r="AS409" s="50"/>
      <c r="AU409" s="40"/>
    </row>
    <row r="410">
      <c r="B410" s="50"/>
      <c r="C410" s="50"/>
      <c r="D410" s="50"/>
      <c r="E410" s="50"/>
      <c r="Q410" s="40"/>
      <c r="S410" s="11"/>
      <c r="T410" s="50"/>
      <c r="U410" s="51"/>
      <c r="V410" s="50"/>
      <c r="W410" s="50"/>
      <c r="X410" s="40"/>
      <c r="Z410" s="11"/>
      <c r="AA410" s="50"/>
      <c r="AB410" s="50"/>
      <c r="AC410" s="50"/>
      <c r="AD410" s="50"/>
      <c r="AE410" s="52"/>
      <c r="AF410" s="40"/>
      <c r="AN410" s="40"/>
      <c r="AP410" s="50"/>
      <c r="AQ410" s="50"/>
      <c r="AR410" s="50"/>
      <c r="AS410" s="50"/>
      <c r="AU410" s="40"/>
    </row>
    <row r="411">
      <c r="B411" s="50"/>
      <c r="C411" s="50"/>
      <c r="D411" s="50"/>
      <c r="E411" s="50"/>
      <c r="Q411" s="40"/>
      <c r="S411" s="11"/>
      <c r="T411" s="50"/>
      <c r="U411" s="51"/>
      <c r="V411" s="50"/>
      <c r="W411" s="50"/>
      <c r="X411" s="40"/>
      <c r="Z411" s="11"/>
      <c r="AA411" s="50"/>
      <c r="AB411" s="50"/>
      <c r="AC411" s="50"/>
      <c r="AD411" s="50"/>
      <c r="AE411" s="52"/>
      <c r="AF411" s="40"/>
      <c r="AN411" s="40"/>
      <c r="AP411" s="50"/>
      <c r="AQ411" s="50"/>
      <c r="AR411" s="50"/>
      <c r="AS411" s="50"/>
      <c r="AU411" s="40"/>
    </row>
    <row r="412">
      <c r="B412" s="50"/>
      <c r="C412" s="50"/>
      <c r="D412" s="50"/>
      <c r="E412" s="50"/>
      <c r="Q412" s="40"/>
      <c r="S412" s="11"/>
      <c r="T412" s="50"/>
      <c r="U412" s="51"/>
      <c r="V412" s="50"/>
      <c r="W412" s="50"/>
      <c r="X412" s="40"/>
      <c r="Z412" s="11"/>
      <c r="AA412" s="50"/>
      <c r="AB412" s="50"/>
      <c r="AC412" s="50"/>
      <c r="AD412" s="50"/>
      <c r="AE412" s="52"/>
      <c r="AF412" s="40"/>
      <c r="AN412" s="40"/>
      <c r="AP412" s="50"/>
      <c r="AQ412" s="50"/>
      <c r="AR412" s="50"/>
      <c r="AS412" s="50"/>
      <c r="AU412" s="40"/>
    </row>
    <row r="413">
      <c r="B413" s="50"/>
      <c r="C413" s="50"/>
      <c r="D413" s="50"/>
      <c r="E413" s="50"/>
      <c r="Q413" s="40"/>
      <c r="S413" s="11"/>
      <c r="T413" s="50"/>
      <c r="U413" s="51"/>
      <c r="V413" s="50"/>
      <c r="W413" s="50"/>
      <c r="X413" s="40"/>
      <c r="Z413" s="11"/>
      <c r="AA413" s="50"/>
      <c r="AB413" s="50"/>
      <c r="AC413" s="50"/>
      <c r="AD413" s="50"/>
      <c r="AE413" s="52"/>
      <c r="AF413" s="40"/>
      <c r="AN413" s="40"/>
      <c r="AP413" s="50"/>
      <c r="AQ413" s="50"/>
      <c r="AR413" s="50"/>
      <c r="AS413" s="50"/>
      <c r="AU413" s="40"/>
    </row>
    <row r="414">
      <c r="B414" s="50"/>
      <c r="C414" s="50"/>
      <c r="D414" s="50"/>
      <c r="E414" s="50"/>
      <c r="Q414" s="40"/>
      <c r="S414" s="11"/>
      <c r="T414" s="50"/>
      <c r="U414" s="51"/>
      <c r="V414" s="50"/>
      <c r="W414" s="50"/>
      <c r="X414" s="40"/>
      <c r="Z414" s="11"/>
      <c r="AA414" s="50"/>
      <c r="AB414" s="50"/>
      <c r="AC414" s="50"/>
      <c r="AD414" s="50"/>
      <c r="AE414" s="52"/>
      <c r="AF414" s="40"/>
      <c r="AN414" s="40"/>
      <c r="AP414" s="50"/>
      <c r="AQ414" s="50"/>
      <c r="AR414" s="50"/>
      <c r="AS414" s="50"/>
      <c r="AU414" s="40"/>
    </row>
    <row r="415">
      <c r="B415" s="50"/>
      <c r="C415" s="50"/>
      <c r="D415" s="50"/>
      <c r="E415" s="50"/>
      <c r="Q415" s="40"/>
      <c r="S415" s="11"/>
      <c r="T415" s="50"/>
      <c r="U415" s="51"/>
      <c r="V415" s="50"/>
      <c r="W415" s="50"/>
      <c r="X415" s="40"/>
      <c r="Z415" s="11"/>
      <c r="AA415" s="50"/>
      <c r="AB415" s="50"/>
      <c r="AC415" s="50"/>
      <c r="AD415" s="50"/>
      <c r="AE415" s="52"/>
      <c r="AF415" s="40"/>
      <c r="AN415" s="40"/>
      <c r="AP415" s="50"/>
      <c r="AQ415" s="50"/>
      <c r="AR415" s="50"/>
      <c r="AS415" s="50"/>
      <c r="AU415" s="40"/>
    </row>
    <row r="416">
      <c r="B416" s="50"/>
      <c r="C416" s="50"/>
      <c r="D416" s="50"/>
      <c r="E416" s="50"/>
      <c r="Q416" s="40"/>
      <c r="S416" s="11"/>
      <c r="T416" s="50"/>
      <c r="U416" s="51"/>
      <c r="V416" s="50"/>
      <c r="W416" s="50"/>
      <c r="X416" s="40"/>
      <c r="Z416" s="11"/>
      <c r="AA416" s="50"/>
      <c r="AB416" s="50"/>
      <c r="AC416" s="50"/>
      <c r="AD416" s="50"/>
      <c r="AE416" s="52"/>
      <c r="AF416" s="40"/>
      <c r="AN416" s="40"/>
      <c r="AP416" s="50"/>
      <c r="AQ416" s="50"/>
      <c r="AR416" s="50"/>
      <c r="AS416" s="50"/>
      <c r="AU416" s="40"/>
    </row>
    <row r="417">
      <c r="B417" s="50"/>
      <c r="C417" s="50"/>
      <c r="D417" s="50"/>
      <c r="E417" s="50"/>
      <c r="Q417" s="40"/>
      <c r="S417" s="11"/>
      <c r="T417" s="50"/>
      <c r="U417" s="51"/>
      <c r="V417" s="50"/>
      <c r="W417" s="50"/>
      <c r="X417" s="40"/>
      <c r="Z417" s="11"/>
      <c r="AA417" s="50"/>
      <c r="AB417" s="50"/>
      <c r="AC417" s="50"/>
      <c r="AD417" s="50"/>
      <c r="AE417" s="52"/>
      <c r="AF417" s="40"/>
      <c r="AN417" s="40"/>
      <c r="AP417" s="50"/>
      <c r="AQ417" s="50"/>
      <c r="AR417" s="50"/>
      <c r="AS417" s="50"/>
      <c r="AU417" s="40"/>
    </row>
    <row r="418">
      <c r="B418" s="50"/>
      <c r="C418" s="50"/>
      <c r="D418" s="50"/>
      <c r="E418" s="50"/>
      <c r="Q418" s="40"/>
      <c r="S418" s="11"/>
      <c r="T418" s="50"/>
      <c r="U418" s="51"/>
      <c r="V418" s="50"/>
      <c r="W418" s="50"/>
      <c r="X418" s="40"/>
      <c r="Z418" s="11"/>
      <c r="AA418" s="50"/>
      <c r="AB418" s="50"/>
      <c r="AC418" s="50"/>
      <c r="AD418" s="50"/>
      <c r="AE418" s="52"/>
      <c r="AF418" s="40"/>
      <c r="AN418" s="40"/>
      <c r="AP418" s="50"/>
      <c r="AQ418" s="50"/>
      <c r="AR418" s="50"/>
      <c r="AS418" s="50"/>
      <c r="AU418" s="40"/>
    </row>
    <row r="419">
      <c r="B419" s="50"/>
      <c r="C419" s="50"/>
      <c r="D419" s="50"/>
      <c r="E419" s="50"/>
      <c r="Q419" s="40"/>
      <c r="S419" s="11"/>
      <c r="T419" s="50"/>
      <c r="U419" s="51"/>
      <c r="V419" s="50"/>
      <c r="W419" s="50"/>
      <c r="X419" s="40"/>
      <c r="Z419" s="11"/>
      <c r="AA419" s="50"/>
      <c r="AB419" s="50"/>
      <c r="AC419" s="50"/>
      <c r="AD419" s="50"/>
      <c r="AE419" s="52"/>
      <c r="AF419" s="40"/>
      <c r="AN419" s="40"/>
      <c r="AP419" s="50"/>
      <c r="AQ419" s="50"/>
      <c r="AR419" s="50"/>
      <c r="AS419" s="50"/>
      <c r="AU419" s="40"/>
    </row>
    <row r="420">
      <c r="B420" s="50"/>
      <c r="C420" s="50"/>
      <c r="D420" s="50"/>
      <c r="E420" s="50"/>
      <c r="Q420" s="40"/>
      <c r="S420" s="11"/>
      <c r="T420" s="50"/>
      <c r="U420" s="51"/>
      <c r="V420" s="50"/>
      <c r="W420" s="50"/>
      <c r="X420" s="40"/>
      <c r="Z420" s="11"/>
      <c r="AA420" s="50"/>
      <c r="AB420" s="50"/>
      <c r="AC420" s="50"/>
      <c r="AD420" s="50"/>
      <c r="AE420" s="52"/>
      <c r="AF420" s="40"/>
      <c r="AN420" s="40"/>
      <c r="AP420" s="50"/>
      <c r="AQ420" s="50"/>
      <c r="AR420" s="50"/>
      <c r="AS420" s="50"/>
      <c r="AU420" s="40"/>
    </row>
    <row r="421">
      <c r="B421" s="50"/>
      <c r="C421" s="50"/>
      <c r="D421" s="50"/>
      <c r="E421" s="50"/>
      <c r="Q421" s="40"/>
      <c r="S421" s="11"/>
      <c r="T421" s="50"/>
      <c r="U421" s="51"/>
      <c r="V421" s="50"/>
      <c r="W421" s="50"/>
      <c r="X421" s="40"/>
      <c r="Z421" s="11"/>
      <c r="AA421" s="50"/>
      <c r="AB421" s="50"/>
      <c r="AC421" s="50"/>
      <c r="AD421" s="50"/>
      <c r="AE421" s="52"/>
      <c r="AF421" s="40"/>
      <c r="AN421" s="40"/>
      <c r="AP421" s="50"/>
      <c r="AQ421" s="50"/>
      <c r="AR421" s="50"/>
      <c r="AS421" s="50"/>
      <c r="AU421" s="40"/>
    </row>
    <row r="422">
      <c r="B422" s="50"/>
      <c r="C422" s="50"/>
      <c r="D422" s="50"/>
      <c r="E422" s="50"/>
      <c r="Q422" s="40"/>
      <c r="S422" s="11"/>
      <c r="T422" s="50"/>
      <c r="U422" s="51"/>
      <c r="V422" s="50"/>
      <c r="W422" s="50"/>
      <c r="X422" s="40"/>
      <c r="Z422" s="11"/>
      <c r="AA422" s="50"/>
      <c r="AB422" s="50"/>
      <c r="AC422" s="50"/>
      <c r="AD422" s="50"/>
      <c r="AE422" s="52"/>
      <c r="AF422" s="40"/>
      <c r="AN422" s="40"/>
      <c r="AP422" s="50"/>
      <c r="AQ422" s="50"/>
      <c r="AR422" s="50"/>
      <c r="AS422" s="50"/>
      <c r="AU422" s="40"/>
    </row>
    <row r="423">
      <c r="B423" s="50"/>
      <c r="C423" s="50"/>
      <c r="D423" s="50"/>
      <c r="E423" s="50"/>
      <c r="Q423" s="40"/>
      <c r="S423" s="11"/>
      <c r="T423" s="50"/>
      <c r="U423" s="51"/>
      <c r="V423" s="50"/>
      <c r="W423" s="50"/>
      <c r="X423" s="40"/>
      <c r="Z423" s="11"/>
      <c r="AA423" s="50"/>
      <c r="AB423" s="50"/>
      <c r="AC423" s="50"/>
      <c r="AD423" s="50"/>
      <c r="AE423" s="52"/>
      <c r="AF423" s="40"/>
      <c r="AN423" s="40"/>
      <c r="AP423" s="50"/>
      <c r="AQ423" s="50"/>
      <c r="AR423" s="50"/>
      <c r="AS423" s="50"/>
      <c r="AU423" s="40"/>
    </row>
    <row r="424">
      <c r="B424" s="50"/>
      <c r="C424" s="50"/>
      <c r="D424" s="50"/>
      <c r="E424" s="50"/>
      <c r="Q424" s="40"/>
      <c r="S424" s="11"/>
      <c r="T424" s="50"/>
      <c r="U424" s="51"/>
      <c r="V424" s="50"/>
      <c r="W424" s="50"/>
      <c r="X424" s="40"/>
      <c r="Z424" s="11"/>
      <c r="AA424" s="50"/>
      <c r="AB424" s="50"/>
      <c r="AC424" s="50"/>
      <c r="AD424" s="50"/>
      <c r="AE424" s="52"/>
      <c r="AF424" s="40"/>
      <c r="AN424" s="40"/>
      <c r="AP424" s="50"/>
      <c r="AQ424" s="50"/>
      <c r="AR424" s="50"/>
      <c r="AS424" s="50"/>
      <c r="AU424" s="40"/>
    </row>
    <row r="425">
      <c r="B425" s="50"/>
      <c r="C425" s="50"/>
      <c r="D425" s="50"/>
      <c r="E425" s="50"/>
      <c r="Q425" s="40"/>
      <c r="S425" s="11"/>
      <c r="T425" s="50"/>
      <c r="U425" s="51"/>
      <c r="V425" s="50"/>
      <c r="W425" s="50"/>
      <c r="X425" s="40"/>
      <c r="Z425" s="11"/>
      <c r="AA425" s="50"/>
      <c r="AB425" s="50"/>
      <c r="AC425" s="50"/>
      <c r="AD425" s="50"/>
      <c r="AE425" s="52"/>
      <c r="AF425" s="40"/>
      <c r="AN425" s="40"/>
      <c r="AP425" s="50"/>
      <c r="AQ425" s="50"/>
      <c r="AR425" s="50"/>
      <c r="AS425" s="50"/>
      <c r="AU425" s="40"/>
    </row>
    <row r="426">
      <c r="B426" s="50"/>
      <c r="C426" s="50"/>
      <c r="D426" s="50"/>
      <c r="E426" s="50"/>
      <c r="Q426" s="40"/>
      <c r="S426" s="11"/>
      <c r="T426" s="50"/>
      <c r="U426" s="51"/>
      <c r="V426" s="50"/>
      <c r="W426" s="50"/>
      <c r="X426" s="40"/>
      <c r="Z426" s="11"/>
      <c r="AA426" s="50"/>
      <c r="AB426" s="50"/>
      <c r="AC426" s="50"/>
      <c r="AD426" s="50"/>
      <c r="AE426" s="52"/>
      <c r="AF426" s="40"/>
      <c r="AN426" s="40"/>
      <c r="AP426" s="50"/>
      <c r="AQ426" s="50"/>
      <c r="AR426" s="50"/>
      <c r="AS426" s="50"/>
      <c r="AU426" s="40"/>
    </row>
    <row r="427">
      <c r="B427" s="50"/>
      <c r="C427" s="50"/>
      <c r="D427" s="50"/>
      <c r="E427" s="50"/>
      <c r="Q427" s="40"/>
      <c r="S427" s="11"/>
      <c r="T427" s="50"/>
      <c r="U427" s="51"/>
      <c r="V427" s="50"/>
      <c r="W427" s="50"/>
      <c r="X427" s="40"/>
      <c r="Z427" s="11"/>
      <c r="AA427" s="50"/>
      <c r="AB427" s="50"/>
      <c r="AC427" s="50"/>
      <c r="AD427" s="50"/>
      <c r="AE427" s="52"/>
      <c r="AF427" s="40"/>
      <c r="AN427" s="40"/>
      <c r="AP427" s="50"/>
      <c r="AQ427" s="50"/>
      <c r="AR427" s="50"/>
      <c r="AS427" s="50"/>
      <c r="AU427" s="40"/>
    </row>
    <row r="428">
      <c r="B428" s="50"/>
      <c r="C428" s="50"/>
      <c r="D428" s="50"/>
      <c r="E428" s="50"/>
      <c r="Q428" s="40"/>
      <c r="S428" s="11"/>
      <c r="T428" s="50"/>
      <c r="U428" s="51"/>
      <c r="V428" s="50"/>
      <c r="W428" s="50"/>
      <c r="X428" s="40"/>
      <c r="Z428" s="11"/>
      <c r="AA428" s="50"/>
      <c r="AB428" s="50"/>
      <c r="AC428" s="50"/>
      <c r="AD428" s="50"/>
      <c r="AE428" s="52"/>
      <c r="AF428" s="40"/>
      <c r="AN428" s="40"/>
      <c r="AP428" s="50"/>
      <c r="AQ428" s="50"/>
      <c r="AR428" s="50"/>
      <c r="AS428" s="50"/>
      <c r="AU428" s="40"/>
    </row>
    <row r="429">
      <c r="B429" s="50"/>
      <c r="C429" s="50"/>
      <c r="D429" s="50"/>
      <c r="E429" s="50"/>
      <c r="Q429" s="40"/>
      <c r="S429" s="11"/>
      <c r="T429" s="50"/>
      <c r="U429" s="51"/>
      <c r="V429" s="50"/>
      <c r="W429" s="50"/>
      <c r="X429" s="40"/>
      <c r="Z429" s="11"/>
      <c r="AA429" s="50"/>
      <c r="AB429" s="50"/>
      <c r="AC429" s="50"/>
      <c r="AD429" s="50"/>
      <c r="AE429" s="52"/>
      <c r="AF429" s="40"/>
      <c r="AN429" s="40"/>
      <c r="AP429" s="50"/>
      <c r="AQ429" s="50"/>
      <c r="AR429" s="50"/>
      <c r="AS429" s="50"/>
      <c r="AU429" s="40"/>
    </row>
    <row r="430">
      <c r="B430" s="50"/>
      <c r="C430" s="50"/>
      <c r="D430" s="50"/>
      <c r="E430" s="50"/>
      <c r="Q430" s="40"/>
      <c r="S430" s="11"/>
      <c r="T430" s="50"/>
      <c r="U430" s="51"/>
      <c r="V430" s="50"/>
      <c r="W430" s="50"/>
      <c r="X430" s="40"/>
      <c r="Z430" s="11"/>
      <c r="AA430" s="50"/>
      <c r="AB430" s="50"/>
      <c r="AC430" s="50"/>
      <c r="AD430" s="50"/>
      <c r="AE430" s="52"/>
      <c r="AF430" s="40"/>
      <c r="AN430" s="40"/>
      <c r="AP430" s="50"/>
      <c r="AQ430" s="50"/>
      <c r="AR430" s="50"/>
      <c r="AS430" s="50"/>
      <c r="AU430" s="40"/>
    </row>
    <row r="431">
      <c r="B431" s="50"/>
      <c r="C431" s="50"/>
      <c r="D431" s="50"/>
      <c r="E431" s="50"/>
      <c r="Q431" s="40"/>
      <c r="S431" s="11"/>
      <c r="T431" s="50"/>
      <c r="U431" s="51"/>
      <c r="V431" s="50"/>
      <c r="W431" s="50"/>
      <c r="X431" s="40"/>
      <c r="Z431" s="11"/>
      <c r="AA431" s="50"/>
      <c r="AB431" s="50"/>
      <c r="AC431" s="50"/>
      <c r="AD431" s="50"/>
      <c r="AE431" s="52"/>
      <c r="AF431" s="40"/>
      <c r="AN431" s="40"/>
      <c r="AP431" s="50"/>
      <c r="AQ431" s="50"/>
      <c r="AR431" s="50"/>
      <c r="AS431" s="50"/>
      <c r="AU431" s="40"/>
    </row>
    <row r="432">
      <c r="B432" s="50"/>
      <c r="C432" s="50"/>
      <c r="D432" s="50"/>
      <c r="E432" s="50"/>
      <c r="Q432" s="40"/>
      <c r="S432" s="11"/>
      <c r="T432" s="50"/>
      <c r="U432" s="51"/>
      <c r="V432" s="50"/>
      <c r="W432" s="50"/>
      <c r="X432" s="40"/>
      <c r="Z432" s="11"/>
      <c r="AA432" s="50"/>
      <c r="AB432" s="50"/>
      <c r="AC432" s="50"/>
      <c r="AD432" s="50"/>
      <c r="AE432" s="52"/>
      <c r="AF432" s="40"/>
      <c r="AN432" s="40"/>
      <c r="AP432" s="50"/>
      <c r="AQ432" s="50"/>
      <c r="AR432" s="50"/>
      <c r="AS432" s="50"/>
      <c r="AU432" s="40"/>
    </row>
    <row r="433">
      <c r="B433" s="50"/>
      <c r="C433" s="50"/>
      <c r="D433" s="50"/>
      <c r="E433" s="50"/>
      <c r="Q433" s="40"/>
      <c r="S433" s="11"/>
      <c r="T433" s="50"/>
      <c r="U433" s="51"/>
      <c r="V433" s="50"/>
      <c r="W433" s="50"/>
      <c r="X433" s="40"/>
      <c r="Z433" s="11"/>
      <c r="AA433" s="50"/>
      <c r="AB433" s="50"/>
      <c r="AC433" s="50"/>
      <c r="AD433" s="50"/>
      <c r="AE433" s="52"/>
      <c r="AF433" s="40"/>
      <c r="AN433" s="40"/>
      <c r="AP433" s="50"/>
      <c r="AQ433" s="50"/>
      <c r="AR433" s="50"/>
      <c r="AS433" s="50"/>
      <c r="AU433" s="40"/>
    </row>
    <row r="434">
      <c r="B434" s="50"/>
      <c r="C434" s="50"/>
      <c r="D434" s="50"/>
      <c r="E434" s="50"/>
      <c r="Q434" s="40"/>
      <c r="S434" s="11"/>
      <c r="T434" s="50"/>
      <c r="U434" s="51"/>
      <c r="V434" s="50"/>
      <c r="W434" s="50"/>
      <c r="X434" s="40"/>
      <c r="Z434" s="11"/>
      <c r="AA434" s="50"/>
      <c r="AB434" s="50"/>
      <c r="AC434" s="50"/>
      <c r="AD434" s="50"/>
      <c r="AE434" s="52"/>
      <c r="AF434" s="40"/>
      <c r="AN434" s="40"/>
      <c r="AP434" s="50"/>
      <c r="AQ434" s="50"/>
      <c r="AR434" s="50"/>
      <c r="AS434" s="50"/>
      <c r="AU434" s="40"/>
    </row>
    <row r="435">
      <c r="B435" s="50"/>
      <c r="C435" s="50"/>
      <c r="D435" s="50"/>
      <c r="E435" s="50"/>
      <c r="Q435" s="40"/>
      <c r="S435" s="11"/>
      <c r="T435" s="50"/>
      <c r="U435" s="51"/>
      <c r="V435" s="50"/>
      <c r="W435" s="50"/>
      <c r="X435" s="40"/>
      <c r="Z435" s="11"/>
      <c r="AA435" s="50"/>
      <c r="AB435" s="50"/>
      <c r="AC435" s="50"/>
      <c r="AD435" s="50"/>
      <c r="AE435" s="52"/>
      <c r="AF435" s="40"/>
      <c r="AN435" s="40"/>
      <c r="AP435" s="50"/>
      <c r="AQ435" s="50"/>
      <c r="AR435" s="50"/>
      <c r="AS435" s="50"/>
      <c r="AU435" s="40"/>
    </row>
    <row r="436">
      <c r="B436" s="50"/>
      <c r="C436" s="50"/>
      <c r="D436" s="50"/>
      <c r="E436" s="50"/>
      <c r="Q436" s="40"/>
      <c r="S436" s="11"/>
      <c r="T436" s="50"/>
      <c r="U436" s="51"/>
      <c r="V436" s="50"/>
      <c r="W436" s="50"/>
      <c r="X436" s="40"/>
      <c r="Z436" s="11"/>
      <c r="AA436" s="50"/>
      <c r="AB436" s="50"/>
      <c r="AC436" s="50"/>
      <c r="AD436" s="50"/>
      <c r="AE436" s="52"/>
      <c r="AF436" s="40"/>
      <c r="AN436" s="40"/>
      <c r="AP436" s="50"/>
      <c r="AQ436" s="50"/>
      <c r="AR436" s="50"/>
      <c r="AS436" s="50"/>
      <c r="AU436" s="40"/>
    </row>
    <row r="437">
      <c r="B437" s="50"/>
      <c r="C437" s="50"/>
      <c r="D437" s="50"/>
      <c r="E437" s="50"/>
      <c r="Q437" s="40"/>
      <c r="S437" s="11"/>
      <c r="T437" s="50"/>
      <c r="U437" s="51"/>
      <c r="V437" s="50"/>
      <c r="W437" s="50"/>
      <c r="X437" s="40"/>
      <c r="Z437" s="11"/>
      <c r="AA437" s="50"/>
      <c r="AB437" s="50"/>
      <c r="AC437" s="50"/>
      <c r="AD437" s="50"/>
      <c r="AE437" s="52"/>
      <c r="AF437" s="40"/>
      <c r="AN437" s="40"/>
      <c r="AP437" s="50"/>
      <c r="AQ437" s="50"/>
      <c r="AR437" s="50"/>
      <c r="AS437" s="50"/>
      <c r="AU437" s="40"/>
    </row>
    <row r="438">
      <c r="B438" s="50"/>
      <c r="C438" s="50"/>
      <c r="D438" s="50"/>
      <c r="E438" s="50"/>
      <c r="Q438" s="40"/>
      <c r="S438" s="11"/>
      <c r="T438" s="50"/>
      <c r="U438" s="51"/>
      <c r="V438" s="50"/>
      <c r="W438" s="50"/>
      <c r="X438" s="40"/>
      <c r="Z438" s="11"/>
      <c r="AA438" s="50"/>
      <c r="AB438" s="50"/>
      <c r="AC438" s="50"/>
      <c r="AD438" s="50"/>
      <c r="AE438" s="52"/>
      <c r="AF438" s="40"/>
      <c r="AN438" s="40"/>
      <c r="AP438" s="50"/>
      <c r="AQ438" s="50"/>
      <c r="AR438" s="50"/>
      <c r="AS438" s="50"/>
      <c r="AU438" s="40"/>
    </row>
    <row r="439">
      <c r="B439" s="50"/>
      <c r="C439" s="50"/>
      <c r="D439" s="50"/>
      <c r="E439" s="50"/>
      <c r="Q439" s="40"/>
      <c r="S439" s="11"/>
      <c r="T439" s="50"/>
      <c r="U439" s="51"/>
      <c r="V439" s="50"/>
      <c r="W439" s="50"/>
      <c r="X439" s="40"/>
      <c r="Z439" s="11"/>
      <c r="AA439" s="50"/>
      <c r="AB439" s="50"/>
      <c r="AC439" s="50"/>
      <c r="AD439" s="50"/>
      <c r="AE439" s="52"/>
      <c r="AF439" s="40"/>
      <c r="AN439" s="40"/>
      <c r="AP439" s="50"/>
      <c r="AQ439" s="50"/>
      <c r="AR439" s="50"/>
      <c r="AS439" s="50"/>
      <c r="AU439" s="40"/>
    </row>
    <row r="440">
      <c r="B440" s="50"/>
      <c r="C440" s="50"/>
      <c r="D440" s="50"/>
      <c r="E440" s="50"/>
      <c r="Q440" s="40"/>
      <c r="S440" s="11"/>
      <c r="T440" s="50"/>
      <c r="U440" s="51"/>
      <c r="V440" s="50"/>
      <c r="W440" s="50"/>
      <c r="X440" s="40"/>
      <c r="Z440" s="11"/>
      <c r="AA440" s="50"/>
      <c r="AB440" s="50"/>
      <c r="AC440" s="50"/>
      <c r="AD440" s="50"/>
      <c r="AE440" s="52"/>
      <c r="AF440" s="40"/>
      <c r="AN440" s="40"/>
      <c r="AP440" s="50"/>
      <c r="AQ440" s="50"/>
      <c r="AR440" s="50"/>
      <c r="AS440" s="50"/>
      <c r="AU440" s="40"/>
    </row>
    <row r="441">
      <c r="B441" s="50"/>
      <c r="C441" s="50"/>
      <c r="D441" s="50"/>
      <c r="E441" s="50"/>
      <c r="Q441" s="40"/>
      <c r="S441" s="11"/>
      <c r="T441" s="50"/>
      <c r="U441" s="51"/>
      <c r="V441" s="50"/>
      <c r="W441" s="50"/>
      <c r="X441" s="40"/>
      <c r="Z441" s="11"/>
      <c r="AA441" s="50"/>
      <c r="AB441" s="50"/>
      <c r="AC441" s="50"/>
      <c r="AD441" s="50"/>
      <c r="AE441" s="52"/>
      <c r="AF441" s="40"/>
      <c r="AN441" s="40"/>
      <c r="AP441" s="50"/>
      <c r="AQ441" s="50"/>
      <c r="AR441" s="50"/>
      <c r="AS441" s="50"/>
      <c r="AU441" s="40"/>
    </row>
    <row r="442">
      <c r="B442" s="50"/>
      <c r="C442" s="50"/>
      <c r="D442" s="50"/>
      <c r="E442" s="50"/>
      <c r="Q442" s="40"/>
      <c r="S442" s="11"/>
      <c r="T442" s="50"/>
      <c r="U442" s="51"/>
      <c r="V442" s="50"/>
      <c r="W442" s="50"/>
      <c r="X442" s="40"/>
      <c r="Z442" s="11"/>
      <c r="AA442" s="50"/>
      <c r="AB442" s="50"/>
      <c r="AC442" s="50"/>
      <c r="AD442" s="50"/>
      <c r="AE442" s="52"/>
      <c r="AF442" s="40"/>
      <c r="AN442" s="40"/>
      <c r="AP442" s="50"/>
      <c r="AQ442" s="50"/>
      <c r="AR442" s="50"/>
      <c r="AS442" s="50"/>
      <c r="AU442" s="40"/>
    </row>
    <row r="443">
      <c r="B443" s="50"/>
      <c r="C443" s="50"/>
      <c r="D443" s="50"/>
      <c r="E443" s="50"/>
      <c r="Q443" s="40"/>
      <c r="S443" s="11"/>
      <c r="T443" s="50"/>
      <c r="U443" s="51"/>
      <c r="V443" s="50"/>
      <c r="W443" s="50"/>
      <c r="X443" s="40"/>
      <c r="Z443" s="11"/>
      <c r="AA443" s="50"/>
      <c r="AB443" s="50"/>
      <c r="AC443" s="50"/>
      <c r="AD443" s="50"/>
      <c r="AE443" s="52"/>
      <c r="AF443" s="40"/>
      <c r="AN443" s="40"/>
      <c r="AP443" s="50"/>
      <c r="AQ443" s="50"/>
      <c r="AR443" s="50"/>
      <c r="AS443" s="50"/>
      <c r="AU443" s="40"/>
    </row>
    <row r="444">
      <c r="B444" s="50"/>
      <c r="C444" s="50"/>
      <c r="D444" s="50"/>
      <c r="E444" s="50"/>
      <c r="Q444" s="40"/>
      <c r="S444" s="11"/>
      <c r="T444" s="50"/>
      <c r="U444" s="51"/>
      <c r="V444" s="50"/>
      <c r="W444" s="50"/>
      <c r="X444" s="40"/>
      <c r="Z444" s="11"/>
      <c r="AA444" s="50"/>
      <c r="AB444" s="50"/>
      <c r="AC444" s="50"/>
      <c r="AD444" s="50"/>
      <c r="AE444" s="52"/>
      <c r="AF444" s="40"/>
      <c r="AN444" s="40"/>
      <c r="AP444" s="50"/>
      <c r="AQ444" s="50"/>
      <c r="AR444" s="50"/>
      <c r="AS444" s="50"/>
      <c r="AU444" s="40"/>
    </row>
    <row r="445">
      <c r="B445" s="50"/>
      <c r="C445" s="50"/>
      <c r="D445" s="50"/>
      <c r="E445" s="50"/>
      <c r="Q445" s="40"/>
      <c r="S445" s="11"/>
      <c r="T445" s="50"/>
      <c r="U445" s="51"/>
      <c r="V445" s="50"/>
      <c r="W445" s="50"/>
      <c r="X445" s="40"/>
      <c r="Z445" s="11"/>
      <c r="AA445" s="50"/>
      <c r="AB445" s="50"/>
      <c r="AC445" s="50"/>
      <c r="AD445" s="50"/>
      <c r="AE445" s="52"/>
      <c r="AF445" s="40"/>
      <c r="AN445" s="40"/>
      <c r="AP445" s="50"/>
      <c r="AQ445" s="50"/>
      <c r="AR445" s="50"/>
      <c r="AS445" s="50"/>
      <c r="AU445" s="40"/>
    </row>
    <row r="446">
      <c r="B446" s="50"/>
      <c r="C446" s="50"/>
      <c r="D446" s="50"/>
      <c r="E446" s="50"/>
      <c r="Q446" s="40"/>
      <c r="S446" s="11"/>
      <c r="T446" s="50"/>
      <c r="U446" s="51"/>
      <c r="V446" s="50"/>
      <c r="W446" s="50"/>
      <c r="X446" s="40"/>
      <c r="Z446" s="11"/>
      <c r="AA446" s="50"/>
      <c r="AB446" s="50"/>
      <c r="AC446" s="50"/>
      <c r="AD446" s="50"/>
      <c r="AE446" s="52"/>
      <c r="AF446" s="40"/>
      <c r="AN446" s="40"/>
      <c r="AP446" s="50"/>
      <c r="AQ446" s="50"/>
      <c r="AR446" s="50"/>
      <c r="AS446" s="50"/>
      <c r="AU446" s="40"/>
    </row>
    <row r="447">
      <c r="B447" s="50"/>
      <c r="C447" s="50"/>
      <c r="D447" s="50"/>
      <c r="E447" s="50"/>
      <c r="Q447" s="40"/>
      <c r="S447" s="11"/>
      <c r="T447" s="50"/>
      <c r="U447" s="51"/>
      <c r="V447" s="50"/>
      <c r="W447" s="50"/>
      <c r="X447" s="40"/>
      <c r="Z447" s="11"/>
      <c r="AA447" s="50"/>
      <c r="AB447" s="50"/>
      <c r="AC447" s="50"/>
      <c r="AD447" s="50"/>
      <c r="AE447" s="52"/>
      <c r="AF447" s="40"/>
      <c r="AN447" s="40"/>
      <c r="AP447" s="50"/>
      <c r="AQ447" s="50"/>
      <c r="AR447" s="50"/>
      <c r="AS447" s="50"/>
      <c r="AU447" s="40"/>
    </row>
    <row r="448">
      <c r="B448" s="50"/>
      <c r="C448" s="50"/>
      <c r="D448" s="50"/>
      <c r="E448" s="50"/>
      <c r="Q448" s="40"/>
      <c r="S448" s="11"/>
      <c r="T448" s="50"/>
      <c r="U448" s="51"/>
      <c r="V448" s="50"/>
      <c r="W448" s="50"/>
      <c r="X448" s="40"/>
      <c r="Z448" s="11"/>
      <c r="AA448" s="50"/>
      <c r="AB448" s="50"/>
      <c r="AC448" s="50"/>
      <c r="AD448" s="50"/>
      <c r="AE448" s="52"/>
      <c r="AF448" s="40"/>
      <c r="AN448" s="40"/>
      <c r="AP448" s="50"/>
      <c r="AQ448" s="50"/>
      <c r="AR448" s="50"/>
      <c r="AS448" s="50"/>
      <c r="AU448" s="40"/>
    </row>
    <row r="449">
      <c r="B449" s="50"/>
      <c r="C449" s="50"/>
      <c r="D449" s="50"/>
      <c r="E449" s="50"/>
      <c r="Q449" s="40"/>
      <c r="S449" s="11"/>
      <c r="T449" s="50"/>
      <c r="U449" s="51"/>
      <c r="V449" s="50"/>
      <c r="W449" s="50"/>
      <c r="X449" s="40"/>
      <c r="Z449" s="11"/>
      <c r="AA449" s="50"/>
      <c r="AB449" s="50"/>
      <c r="AC449" s="50"/>
      <c r="AD449" s="50"/>
      <c r="AE449" s="52"/>
      <c r="AF449" s="40"/>
      <c r="AN449" s="40"/>
      <c r="AP449" s="50"/>
      <c r="AQ449" s="50"/>
      <c r="AR449" s="50"/>
      <c r="AS449" s="50"/>
      <c r="AU449" s="40"/>
    </row>
    <row r="450">
      <c r="B450" s="50"/>
      <c r="C450" s="50"/>
      <c r="D450" s="50"/>
      <c r="E450" s="50"/>
      <c r="Q450" s="40"/>
      <c r="S450" s="11"/>
      <c r="T450" s="50"/>
      <c r="U450" s="51"/>
      <c r="V450" s="50"/>
      <c r="W450" s="50"/>
      <c r="X450" s="40"/>
      <c r="Z450" s="11"/>
      <c r="AA450" s="50"/>
      <c r="AB450" s="50"/>
      <c r="AC450" s="50"/>
      <c r="AD450" s="50"/>
      <c r="AE450" s="52"/>
      <c r="AF450" s="40"/>
      <c r="AN450" s="40"/>
      <c r="AP450" s="50"/>
      <c r="AQ450" s="50"/>
      <c r="AR450" s="50"/>
      <c r="AS450" s="50"/>
      <c r="AU450" s="40"/>
    </row>
    <row r="451">
      <c r="B451" s="50"/>
      <c r="C451" s="50"/>
      <c r="D451" s="50"/>
      <c r="E451" s="50"/>
      <c r="Q451" s="40"/>
      <c r="S451" s="11"/>
      <c r="T451" s="50"/>
      <c r="U451" s="51"/>
      <c r="V451" s="50"/>
      <c r="W451" s="50"/>
      <c r="X451" s="40"/>
      <c r="Z451" s="11"/>
      <c r="AA451" s="50"/>
      <c r="AB451" s="50"/>
      <c r="AC451" s="50"/>
      <c r="AD451" s="50"/>
      <c r="AE451" s="52"/>
      <c r="AF451" s="40"/>
      <c r="AN451" s="40"/>
      <c r="AP451" s="50"/>
      <c r="AQ451" s="50"/>
      <c r="AR451" s="50"/>
      <c r="AS451" s="50"/>
      <c r="AU451" s="40"/>
    </row>
    <row r="452">
      <c r="B452" s="50"/>
      <c r="C452" s="50"/>
      <c r="D452" s="50"/>
      <c r="E452" s="50"/>
      <c r="Q452" s="40"/>
      <c r="S452" s="11"/>
      <c r="T452" s="50"/>
      <c r="U452" s="51"/>
      <c r="V452" s="50"/>
      <c r="W452" s="50"/>
      <c r="X452" s="40"/>
      <c r="Z452" s="11"/>
      <c r="AA452" s="50"/>
      <c r="AB452" s="50"/>
      <c r="AC452" s="50"/>
      <c r="AD452" s="50"/>
      <c r="AE452" s="52"/>
      <c r="AF452" s="40"/>
      <c r="AN452" s="40"/>
      <c r="AP452" s="50"/>
      <c r="AQ452" s="50"/>
      <c r="AR452" s="50"/>
      <c r="AS452" s="50"/>
      <c r="AU452" s="40"/>
    </row>
    <row r="453">
      <c r="B453" s="50"/>
      <c r="C453" s="50"/>
      <c r="D453" s="50"/>
      <c r="E453" s="50"/>
      <c r="Q453" s="40"/>
      <c r="S453" s="11"/>
      <c r="T453" s="50"/>
      <c r="U453" s="51"/>
      <c r="V453" s="50"/>
      <c r="W453" s="50"/>
      <c r="X453" s="40"/>
      <c r="Z453" s="11"/>
      <c r="AA453" s="50"/>
      <c r="AB453" s="50"/>
      <c r="AC453" s="50"/>
      <c r="AD453" s="50"/>
      <c r="AE453" s="52"/>
      <c r="AF453" s="40"/>
      <c r="AN453" s="40"/>
      <c r="AP453" s="50"/>
      <c r="AQ453" s="50"/>
      <c r="AR453" s="50"/>
      <c r="AS453" s="50"/>
      <c r="AU453" s="40"/>
    </row>
    <row r="454">
      <c r="B454" s="50"/>
      <c r="C454" s="50"/>
      <c r="D454" s="50"/>
      <c r="E454" s="50"/>
      <c r="Q454" s="40"/>
      <c r="S454" s="11"/>
      <c r="T454" s="50"/>
      <c r="U454" s="51"/>
      <c r="V454" s="50"/>
      <c r="W454" s="50"/>
      <c r="X454" s="40"/>
      <c r="Z454" s="11"/>
      <c r="AA454" s="50"/>
      <c r="AB454" s="50"/>
      <c r="AC454" s="50"/>
      <c r="AD454" s="50"/>
      <c r="AE454" s="52"/>
      <c r="AF454" s="40"/>
      <c r="AN454" s="40"/>
      <c r="AP454" s="50"/>
      <c r="AQ454" s="50"/>
      <c r="AR454" s="50"/>
      <c r="AS454" s="50"/>
      <c r="AU454" s="40"/>
    </row>
    <row r="455">
      <c r="B455" s="50"/>
      <c r="C455" s="50"/>
      <c r="D455" s="50"/>
      <c r="E455" s="50"/>
      <c r="Q455" s="40"/>
      <c r="S455" s="11"/>
      <c r="T455" s="50"/>
      <c r="U455" s="51"/>
      <c r="V455" s="50"/>
      <c r="W455" s="50"/>
      <c r="X455" s="40"/>
      <c r="Z455" s="11"/>
      <c r="AA455" s="50"/>
      <c r="AB455" s="50"/>
      <c r="AC455" s="50"/>
      <c r="AD455" s="50"/>
      <c r="AE455" s="52"/>
      <c r="AF455" s="40"/>
      <c r="AN455" s="40"/>
      <c r="AP455" s="50"/>
      <c r="AQ455" s="50"/>
      <c r="AR455" s="50"/>
      <c r="AS455" s="50"/>
      <c r="AU455" s="40"/>
    </row>
    <row r="456">
      <c r="B456" s="50"/>
      <c r="C456" s="50"/>
      <c r="D456" s="50"/>
      <c r="E456" s="50"/>
      <c r="Q456" s="40"/>
      <c r="S456" s="11"/>
      <c r="T456" s="50"/>
      <c r="U456" s="51"/>
      <c r="V456" s="50"/>
      <c r="W456" s="50"/>
      <c r="X456" s="40"/>
      <c r="Z456" s="11"/>
      <c r="AA456" s="50"/>
      <c r="AB456" s="50"/>
      <c r="AC456" s="50"/>
      <c r="AD456" s="50"/>
      <c r="AE456" s="52"/>
      <c r="AF456" s="40"/>
      <c r="AN456" s="40"/>
      <c r="AP456" s="50"/>
      <c r="AQ456" s="50"/>
      <c r="AR456" s="50"/>
      <c r="AS456" s="50"/>
      <c r="AU456" s="40"/>
    </row>
    <row r="457">
      <c r="B457" s="50"/>
      <c r="C457" s="50"/>
      <c r="D457" s="50"/>
      <c r="E457" s="50"/>
      <c r="Q457" s="40"/>
      <c r="S457" s="11"/>
      <c r="T457" s="50"/>
      <c r="U457" s="51"/>
      <c r="V457" s="50"/>
      <c r="W457" s="50"/>
      <c r="X457" s="40"/>
      <c r="Z457" s="11"/>
      <c r="AA457" s="50"/>
      <c r="AB457" s="50"/>
      <c r="AC457" s="50"/>
      <c r="AD457" s="50"/>
      <c r="AE457" s="52"/>
      <c r="AF457" s="40"/>
      <c r="AN457" s="40"/>
      <c r="AP457" s="50"/>
      <c r="AQ457" s="50"/>
      <c r="AR457" s="50"/>
      <c r="AS457" s="50"/>
      <c r="AU457" s="40"/>
    </row>
    <row r="458">
      <c r="B458" s="50"/>
      <c r="C458" s="50"/>
      <c r="D458" s="50"/>
      <c r="E458" s="50"/>
      <c r="Q458" s="40"/>
      <c r="S458" s="11"/>
      <c r="T458" s="50"/>
      <c r="U458" s="51"/>
      <c r="V458" s="50"/>
      <c r="W458" s="50"/>
      <c r="X458" s="40"/>
      <c r="Z458" s="11"/>
      <c r="AA458" s="50"/>
      <c r="AB458" s="50"/>
      <c r="AC458" s="50"/>
      <c r="AD458" s="50"/>
      <c r="AE458" s="52"/>
      <c r="AF458" s="40"/>
      <c r="AN458" s="40"/>
      <c r="AP458" s="50"/>
      <c r="AQ458" s="50"/>
      <c r="AR458" s="50"/>
      <c r="AS458" s="50"/>
      <c r="AU458" s="40"/>
    </row>
    <row r="459">
      <c r="B459" s="50"/>
      <c r="C459" s="50"/>
      <c r="D459" s="50"/>
      <c r="E459" s="50"/>
      <c r="Q459" s="40"/>
      <c r="S459" s="11"/>
      <c r="T459" s="50"/>
      <c r="U459" s="51"/>
      <c r="V459" s="50"/>
      <c r="W459" s="50"/>
      <c r="X459" s="40"/>
      <c r="Z459" s="11"/>
      <c r="AA459" s="50"/>
      <c r="AB459" s="50"/>
      <c r="AC459" s="50"/>
      <c r="AD459" s="50"/>
      <c r="AE459" s="52"/>
      <c r="AF459" s="40"/>
      <c r="AN459" s="40"/>
      <c r="AP459" s="50"/>
      <c r="AQ459" s="50"/>
      <c r="AR459" s="50"/>
      <c r="AS459" s="50"/>
      <c r="AU459" s="40"/>
    </row>
    <row r="460">
      <c r="B460" s="50"/>
      <c r="C460" s="50"/>
      <c r="D460" s="50"/>
      <c r="E460" s="50"/>
      <c r="Q460" s="40"/>
      <c r="S460" s="11"/>
      <c r="T460" s="50"/>
      <c r="U460" s="51"/>
      <c r="V460" s="50"/>
      <c r="W460" s="50"/>
      <c r="X460" s="40"/>
      <c r="Z460" s="11"/>
      <c r="AA460" s="50"/>
      <c r="AB460" s="50"/>
      <c r="AC460" s="50"/>
      <c r="AD460" s="50"/>
      <c r="AE460" s="52"/>
      <c r="AF460" s="40"/>
      <c r="AN460" s="40"/>
      <c r="AP460" s="50"/>
      <c r="AQ460" s="50"/>
      <c r="AR460" s="50"/>
      <c r="AS460" s="50"/>
      <c r="AU460" s="40"/>
    </row>
    <row r="461">
      <c r="B461" s="50"/>
      <c r="C461" s="50"/>
      <c r="D461" s="50"/>
      <c r="E461" s="50"/>
      <c r="Q461" s="40"/>
      <c r="S461" s="11"/>
      <c r="T461" s="50"/>
      <c r="U461" s="51"/>
      <c r="V461" s="50"/>
      <c r="W461" s="50"/>
      <c r="X461" s="40"/>
      <c r="Z461" s="11"/>
      <c r="AA461" s="50"/>
      <c r="AB461" s="50"/>
      <c r="AC461" s="50"/>
      <c r="AD461" s="50"/>
      <c r="AE461" s="52"/>
      <c r="AF461" s="40"/>
      <c r="AN461" s="40"/>
      <c r="AP461" s="50"/>
      <c r="AQ461" s="50"/>
      <c r="AR461" s="50"/>
      <c r="AS461" s="50"/>
      <c r="AU461" s="40"/>
    </row>
    <row r="462">
      <c r="B462" s="50"/>
      <c r="C462" s="50"/>
      <c r="D462" s="50"/>
      <c r="E462" s="50"/>
      <c r="Q462" s="40"/>
      <c r="S462" s="11"/>
      <c r="T462" s="50"/>
      <c r="U462" s="51"/>
      <c r="V462" s="50"/>
      <c r="W462" s="50"/>
      <c r="X462" s="40"/>
      <c r="Z462" s="11"/>
      <c r="AA462" s="50"/>
      <c r="AB462" s="50"/>
      <c r="AC462" s="50"/>
      <c r="AD462" s="50"/>
      <c r="AE462" s="52"/>
      <c r="AF462" s="40"/>
      <c r="AN462" s="40"/>
      <c r="AP462" s="50"/>
      <c r="AQ462" s="50"/>
      <c r="AR462" s="50"/>
      <c r="AS462" s="50"/>
      <c r="AU462" s="40"/>
    </row>
    <row r="463">
      <c r="B463" s="50"/>
      <c r="C463" s="50"/>
      <c r="D463" s="50"/>
      <c r="E463" s="50"/>
      <c r="Q463" s="40"/>
      <c r="S463" s="11"/>
      <c r="T463" s="50"/>
      <c r="U463" s="51"/>
      <c r="V463" s="50"/>
      <c r="W463" s="50"/>
      <c r="X463" s="40"/>
      <c r="Z463" s="11"/>
      <c r="AA463" s="50"/>
      <c r="AB463" s="50"/>
      <c r="AC463" s="50"/>
      <c r="AD463" s="50"/>
      <c r="AE463" s="52"/>
      <c r="AF463" s="40"/>
      <c r="AN463" s="40"/>
      <c r="AP463" s="50"/>
      <c r="AQ463" s="50"/>
      <c r="AR463" s="50"/>
      <c r="AS463" s="50"/>
      <c r="AU463" s="40"/>
    </row>
    <row r="464">
      <c r="B464" s="50"/>
      <c r="C464" s="50"/>
      <c r="D464" s="50"/>
      <c r="E464" s="50"/>
      <c r="Q464" s="40"/>
      <c r="S464" s="11"/>
      <c r="T464" s="50"/>
      <c r="U464" s="51"/>
      <c r="V464" s="50"/>
      <c r="W464" s="50"/>
      <c r="X464" s="40"/>
      <c r="Z464" s="11"/>
      <c r="AA464" s="50"/>
      <c r="AB464" s="50"/>
      <c r="AC464" s="50"/>
      <c r="AD464" s="50"/>
      <c r="AE464" s="52"/>
      <c r="AF464" s="40"/>
      <c r="AN464" s="40"/>
      <c r="AP464" s="50"/>
      <c r="AQ464" s="50"/>
      <c r="AR464" s="50"/>
      <c r="AS464" s="50"/>
      <c r="AU464" s="40"/>
    </row>
    <row r="465">
      <c r="B465" s="50"/>
      <c r="C465" s="50"/>
      <c r="D465" s="50"/>
      <c r="E465" s="50"/>
      <c r="Q465" s="40"/>
      <c r="S465" s="11"/>
      <c r="T465" s="50"/>
      <c r="U465" s="51"/>
      <c r="V465" s="50"/>
      <c r="W465" s="50"/>
      <c r="X465" s="40"/>
      <c r="Z465" s="11"/>
      <c r="AA465" s="50"/>
      <c r="AB465" s="50"/>
      <c r="AC465" s="50"/>
      <c r="AD465" s="50"/>
      <c r="AE465" s="52"/>
      <c r="AF465" s="40"/>
      <c r="AN465" s="40"/>
      <c r="AP465" s="50"/>
      <c r="AQ465" s="50"/>
      <c r="AR465" s="50"/>
      <c r="AS465" s="50"/>
      <c r="AU465" s="40"/>
    </row>
    <row r="466">
      <c r="B466" s="50"/>
      <c r="C466" s="50"/>
      <c r="D466" s="50"/>
      <c r="E466" s="50"/>
      <c r="Q466" s="40"/>
      <c r="S466" s="11"/>
      <c r="T466" s="50"/>
      <c r="U466" s="51"/>
      <c r="V466" s="50"/>
      <c r="W466" s="50"/>
      <c r="X466" s="40"/>
      <c r="Z466" s="11"/>
      <c r="AA466" s="50"/>
      <c r="AB466" s="50"/>
      <c r="AC466" s="50"/>
      <c r="AD466" s="50"/>
      <c r="AE466" s="52"/>
      <c r="AF466" s="40"/>
      <c r="AN466" s="40"/>
      <c r="AP466" s="50"/>
      <c r="AQ466" s="50"/>
      <c r="AR466" s="50"/>
      <c r="AS466" s="50"/>
      <c r="AU466" s="40"/>
    </row>
    <row r="467">
      <c r="B467" s="50"/>
      <c r="C467" s="50"/>
      <c r="D467" s="50"/>
      <c r="E467" s="50"/>
      <c r="Q467" s="40"/>
      <c r="S467" s="11"/>
      <c r="T467" s="50"/>
      <c r="U467" s="51"/>
      <c r="V467" s="50"/>
      <c r="W467" s="50"/>
      <c r="X467" s="40"/>
      <c r="Z467" s="11"/>
      <c r="AA467" s="50"/>
      <c r="AB467" s="50"/>
      <c r="AC467" s="50"/>
      <c r="AD467" s="50"/>
      <c r="AE467" s="52"/>
      <c r="AF467" s="40"/>
      <c r="AN467" s="40"/>
      <c r="AP467" s="50"/>
      <c r="AQ467" s="50"/>
      <c r="AR467" s="50"/>
      <c r="AS467" s="50"/>
      <c r="AU467" s="40"/>
    </row>
    <row r="468">
      <c r="B468" s="50"/>
      <c r="C468" s="50"/>
      <c r="D468" s="50"/>
      <c r="E468" s="50"/>
      <c r="Q468" s="40"/>
      <c r="S468" s="11"/>
      <c r="T468" s="50"/>
      <c r="U468" s="51"/>
      <c r="V468" s="50"/>
      <c r="W468" s="50"/>
      <c r="X468" s="40"/>
      <c r="Z468" s="11"/>
      <c r="AA468" s="50"/>
      <c r="AB468" s="50"/>
      <c r="AC468" s="50"/>
      <c r="AD468" s="50"/>
      <c r="AE468" s="52"/>
      <c r="AF468" s="40"/>
      <c r="AN468" s="40"/>
      <c r="AP468" s="50"/>
      <c r="AQ468" s="50"/>
      <c r="AR468" s="50"/>
      <c r="AS468" s="50"/>
      <c r="AU468" s="40"/>
    </row>
    <row r="469">
      <c r="B469" s="50"/>
      <c r="C469" s="50"/>
      <c r="D469" s="50"/>
      <c r="E469" s="50"/>
      <c r="Q469" s="40"/>
      <c r="S469" s="11"/>
      <c r="T469" s="50"/>
      <c r="U469" s="51"/>
      <c r="V469" s="50"/>
      <c r="W469" s="50"/>
      <c r="X469" s="40"/>
      <c r="Z469" s="11"/>
      <c r="AA469" s="50"/>
      <c r="AB469" s="50"/>
      <c r="AC469" s="50"/>
      <c r="AD469" s="50"/>
      <c r="AE469" s="52"/>
      <c r="AF469" s="40"/>
      <c r="AN469" s="40"/>
      <c r="AP469" s="50"/>
      <c r="AQ469" s="50"/>
      <c r="AR469" s="50"/>
      <c r="AS469" s="50"/>
      <c r="AU469" s="40"/>
    </row>
    <row r="470">
      <c r="B470" s="50"/>
      <c r="C470" s="50"/>
      <c r="D470" s="50"/>
      <c r="E470" s="50"/>
      <c r="Q470" s="40"/>
      <c r="S470" s="11"/>
      <c r="T470" s="50"/>
      <c r="U470" s="51"/>
      <c r="V470" s="50"/>
      <c r="W470" s="50"/>
      <c r="X470" s="40"/>
      <c r="Z470" s="11"/>
      <c r="AA470" s="50"/>
      <c r="AB470" s="50"/>
      <c r="AC470" s="50"/>
      <c r="AD470" s="50"/>
      <c r="AE470" s="52"/>
      <c r="AF470" s="40"/>
      <c r="AN470" s="40"/>
      <c r="AP470" s="50"/>
      <c r="AQ470" s="50"/>
      <c r="AR470" s="50"/>
      <c r="AS470" s="50"/>
      <c r="AU470" s="40"/>
    </row>
    <row r="471">
      <c r="B471" s="50"/>
      <c r="C471" s="50"/>
      <c r="D471" s="50"/>
      <c r="E471" s="50"/>
      <c r="Q471" s="40"/>
      <c r="S471" s="11"/>
      <c r="T471" s="50"/>
      <c r="U471" s="51"/>
      <c r="V471" s="50"/>
      <c r="W471" s="50"/>
      <c r="X471" s="40"/>
      <c r="Z471" s="11"/>
      <c r="AA471" s="50"/>
      <c r="AB471" s="50"/>
      <c r="AC471" s="50"/>
      <c r="AD471" s="50"/>
      <c r="AE471" s="52"/>
      <c r="AF471" s="40"/>
      <c r="AN471" s="40"/>
      <c r="AP471" s="50"/>
      <c r="AQ471" s="50"/>
      <c r="AR471" s="50"/>
      <c r="AS471" s="50"/>
      <c r="AU471" s="40"/>
    </row>
    <row r="472">
      <c r="B472" s="50"/>
      <c r="C472" s="50"/>
      <c r="D472" s="50"/>
      <c r="E472" s="50"/>
      <c r="Q472" s="40"/>
      <c r="S472" s="11"/>
      <c r="T472" s="50"/>
      <c r="U472" s="51"/>
      <c r="V472" s="50"/>
      <c r="W472" s="50"/>
      <c r="X472" s="40"/>
      <c r="Z472" s="11"/>
      <c r="AA472" s="50"/>
      <c r="AB472" s="50"/>
      <c r="AC472" s="50"/>
      <c r="AD472" s="50"/>
      <c r="AE472" s="52"/>
      <c r="AF472" s="40"/>
      <c r="AN472" s="40"/>
      <c r="AP472" s="50"/>
      <c r="AQ472" s="50"/>
      <c r="AR472" s="50"/>
      <c r="AS472" s="50"/>
      <c r="AU472" s="40"/>
    </row>
    <row r="473">
      <c r="B473" s="50"/>
      <c r="C473" s="50"/>
      <c r="D473" s="50"/>
      <c r="E473" s="50"/>
      <c r="Q473" s="40"/>
      <c r="S473" s="11"/>
      <c r="T473" s="50"/>
      <c r="U473" s="51"/>
      <c r="V473" s="50"/>
      <c r="W473" s="50"/>
      <c r="X473" s="40"/>
      <c r="Z473" s="11"/>
      <c r="AA473" s="50"/>
      <c r="AB473" s="50"/>
      <c r="AC473" s="50"/>
      <c r="AD473" s="50"/>
      <c r="AE473" s="52"/>
      <c r="AF473" s="40"/>
      <c r="AN473" s="40"/>
      <c r="AP473" s="50"/>
      <c r="AQ473" s="50"/>
      <c r="AR473" s="50"/>
      <c r="AS473" s="50"/>
      <c r="AU473" s="40"/>
    </row>
    <row r="474">
      <c r="B474" s="50"/>
      <c r="C474" s="50"/>
      <c r="D474" s="50"/>
      <c r="E474" s="50"/>
      <c r="Q474" s="40"/>
      <c r="S474" s="11"/>
      <c r="T474" s="50"/>
      <c r="U474" s="51"/>
      <c r="V474" s="50"/>
      <c r="W474" s="50"/>
      <c r="X474" s="40"/>
      <c r="Z474" s="11"/>
      <c r="AA474" s="50"/>
      <c r="AB474" s="50"/>
      <c r="AC474" s="50"/>
      <c r="AD474" s="50"/>
      <c r="AE474" s="52"/>
      <c r="AF474" s="40"/>
      <c r="AN474" s="40"/>
      <c r="AP474" s="50"/>
      <c r="AQ474" s="50"/>
      <c r="AR474" s="50"/>
      <c r="AS474" s="50"/>
      <c r="AU474" s="40"/>
    </row>
    <row r="475">
      <c r="B475" s="50"/>
      <c r="C475" s="50"/>
      <c r="D475" s="50"/>
      <c r="E475" s="50"/>
      <c r="Q475" s="40"/>
      <c r="S475" s="11"/>
      <c r="T475" s="50"/>
      <c r="U475" s="51"/>
      <c r="V475" s="50"/>
      <c r="W475" s="50"/>
      <c r="X475" s="40"/>
      <c r="Z475" s="11"/>
      <c r="AA475" s="50"/>
      <c r="AB475" s="50"/>
      <c r="AC475" s="50"/>
      <c r="AD475" s="50"/>
      <c r="AE475" s="52"/>
      <c r="AF475" s="40"/>
      <c r="AN475" s="40"/>
      <c r="AP475" s="50"/>
      <c r="AQ475" s="50"/>
      <c r="AR475" s="50"/>
      <c r="AS475" s="50"/>
      <c r="AU475" s="40"/>
    </row>
    <row r="476">
      <c r="B476" s="50"/>
      <c r="C476" s="50"/>
      <c r="D476" s="50"/>
      <c r="E476" s="50"/>
      <c r="Q476" s="40"/>
      <c r="S476" s="11"/>
      <c r="T476" s="50"/>
      <c r="U476" s="51"/>
      <c r="V476" s="50"/>
      <c r="W476" s="50"/>
      <c r="X476" s="40"/>
      <c r="Z476" s="11"/>
      <c r="AA476" s="50"/>
      <c r="AB476" s="50"/>
      <c r="AC476" s="50"/>
      <c r="AD476" s="50"/>
      <c r="AE476" s="52"/>
      <c r="AF476" s="40"/>
      <c r="AN476" s="40"/>
      <c r="AP476" s="50"/>
      <c r="AQ476" s="50"/>
      <c r="AR476" s="50"/>
      <c r="AS476" s="50"/>
      <c r="AU476" s="40"/>
    </row>
    <row r="477">
      <c r="B477" s="50"/>
      <c r="C477" s="50"/>
      <c r="D477" s="50"/>
      <c r="E477" s="50"/>
      <c r="Q477" s="40"/>
      <c r="S477" s="11"/>
      <c r="T477" s="50"/>
      <c r="U477" s="51"/>
      <c r="V477" s="50"/>
      <c r="W477" s="50"/>
      <c r="X477" s="40"/>
      <c r="Z477" s="11"/>
      <c r="AA477" s="50"/>
      <c r="AB477" s="50"/>
      <c r="AC477" s="50"/>
      <c r="AD477" s="50"/>
      <c r="AE477" s="52"/>
      <c r="AF477" s="40"/>
      <c r="AN477" s="40"/>
      <c r="AP477" s="50"/>
      <c r="AQ477" s="50"/>
      <c r="AR477" s="50"/>
      <c r="AS477" s="50"/>
      <c r="AU477" s="40"/>
    </row>
    <row r="478">
      <c r="B478" s="50"/>
      <c r="C478" s="50"/>
      <c r="D478" s="50"/>
      <c r="E478" s="50"/>
      <c r="Q478" s="40"/>
      <c r="S478" s="11"/>
      <c r="T478" s="50"/>
      <c r="U478" s="51"/>
      <c r="V478" s="50"/>
      <c r="W478" s="50"/>
      <c r="X478" s="40"/>
      <c r="Z478" s="11"/>
      <c r="AA478" s="50"/>
      <c r="AB478" s="50"/>
      <c r="AC478" s="50"/>
      <c r="AD478" s="50"/>
      <c r="AE478" s="52"/>
      <c r="AF478" s="40"/>
      <c r="AN478" s="40"/>
      <c r="AP478" s="50"/>
      <c r="AQ478" s="50"/>
      <c r="AR478" s="50"/>
      <c r="AS478" s="50"/>
      <c r="AU478" s="40"/>
    </row>
    <row r="479">
      <c r="B479" s="50"/>
      <c r="C479" s="50"/>
      <c r="D479" s="50"/>
      <c r="E479" s="50"/>
      <c r="Q479" s="40"/>
      <c r="S479" s="11"/>
      <c r="T479" s="50"/>
      <c r="U479" s="51"/>
      <c r="V479" s="50"/>
      <c r="W479" s="50"/>
      <c r="X479" s="40"/>
      <c r="Z479" s="11"/>
      <c r="AA479" s="50"/>
      <c r="AB479" s="50"/>
      <c r="AC479" s="50"/>
      <c r="AD479" s="50"/>
      <c r="AE479" s="52"/>
      <c r="AF479" s="40"/>
      <c r="AN479" s="40"/>
      <c r="AP479" s="50"/>
      <c r="AQ479" s="50"/>
      <c r="AR479" s="50"/>
      <c r="AS479" s="50"/>
      <c r="AU479" s="40"/>
    </row>
    <row r="480">
      <c r="B480" s="50"/>
      <c r="C480" s="50"/>
      <c r="D480" s="50"/>
      <c r="E480" s="50"/>
      <c r="Q480" s="40"/>
      <c r="S480" s="11"/>
      <c r="T480" s="50"/>
      <c r="U480" s="51"/>
      <c r="V480" s="50"/>
      <c r="W480" s="50"/>
      <c r="X480" s="40"/>
      <c r="Z480" s="11"/>
      <c r="AA480" s="50"/>
      <c r="AB480" s="50"/>
      <c r="AC480" s="50"/>
      <c r="AD480" s="50"/>
      <c r="AE480" s="52"/>
      <c r="AF480" s="40"/>
      <c r="AN480" s="40"/>
      <c r="AP480" s="50"/>
      <c r="AQ480" s="50"/>
      <c r="AR480" s="50"/>
      <c r="AS480" s="50"/>
      <c r="AU480" s="40"/>
    </row>
    <row r="481">
      <c r="B481" s="50"/>
      <c r="C481" s="50"/>
      <c r="D481" s="50"/>
      <c r="E481" s="50"/>
      <c r="Q481" s="40"/>
      <c r="S481" s="11"/>
      <c r="T481" s="50"/>
      <c r="U481" s="51"/>
      <c r="V481" s="50"/>
      <c r="W481" s="50"/>
      <c r="X481" s="40"/>
      <c r="Z481" s="11"/>
      <c r="AA481" s="50"/>
      <c r="AB481" s="50"/>
      <c r="AC481" s="50"/>
      <c r="AD481" s="50"/>
      <c r="AE481" s="52"/>
      <c r="AF481" s="40"/>
      <c r="AN481" s="40"/>
      <c r="AP481" s="50"/>
      <c r="AQ481" s="50"/>
      <c r="AR481" s="50"/>
      <c r="AS481" s="50"/>
      <c r="AU481" s="40"/>
    </row>
    <row r="482">
      <c r="B482" s="50"/>
      <c r="C482" s="50"/>
      <c r="D482" s="50"/>
      <c r="E482" s="50"/>
      <c r="Q482" s="40"/>
      <c r="S482" s="11"/>
      <c r="T482" s="50"/>
      <c r="U482" s="51"/>
      <c r="V482" s="50"/>
      <c r="W482" s="50"/>
      <c r="X482" s="40"/>
      <c r="Z482" s="11"/>
      <c r="AA482" s="50"/>
      <c r="AB482" s="50"/>
      <c r="AC482" s="50"/>
      <c r="AD482" s="50"/>
      <c r="AE482" s="52"/>
      <c r="AF482" s="40"/>
      <c r="AN482" s="40"/>
      <c r="AP482" s="50"/>
      <c r="AQ482" s="50"/>
      <c r="AR482" s="50"/>
      <c r="AS482" s="50"/>
      <c r="AU482" s="40"/>
    </row>
    <row r="483">
      <c r="B483" s="50"/>
      <c r="C483" s="50"/>
      <c r="D483" s="50"/>
      <c r="E483" s="50"/>
      <c r="Q483" s="40"/>
      <c r="S483" s="11"/>
      <c r="T483" s="50"/>
      <c r="U483" s="51"/>
      <c r="V483" s="50"/>
      <c r="W483" s="50"/>
      <c r="X483" s="40"/>
      <c r="Z483" s="11"/>
      <c r="AA483" s="50"/>
      <c r="AB483" s="50"/>
      <c r="AC483" s="50"/>
      <c r="AD483" s="50"/>
      <c r="AE483" s="52"/>
      <c r="AF483" s="40"/>
      <c r="AN483" s="40"/>
      <c r="AP483" s="50"/>
      <c r="AQ483" s="50"/>
      <c r="AR483" s="50"/>
      <c r="AS483" s="50"/>
      <c r="AU483" s="40"/>
    </row>
    <row r="484">
      <c r="B484" s="50"/>
      <c r="C484" s="50"/>
      <c r="D484" s="50"/>
      <c r="E484" s="50"/>
      <c r="Q484" s="40"/>
      <c r="S484" s="11"/>
      <c r="T484" s="50"/>
      <c r="U484" s="51"/>
      <c r="V484" s="50"/>
      <c r="W484" s="50"/>
      <c r="X484" s="40"/>
      <c r="Z484" s="11"/>
      <c r="AA484" s="50"/>
      <c r="AB484" s="50"/>
      <c r="AC484" s="50"/>
      <c r="AD484" s="50"/>
      <c r="AE484" s="52"/>
      <c r="AF484" s="40"/>
      <c r="AN484" s="40"/>
      <c r="AP484" s="50"/>
      <c r="AQ484" s="50"/>
      <c r="AR484" s="50"/>
      <c r="AS484" s="50"/>
      <c r="AU484" s="40"/>
    </row>
    <row r="485">
      <c r="B485" s="50"/>
      <c r="C485" s="50"/>
      <c r="D485" s="50"/>
      <c r="E485" s="50"/>
      <c r="Q485" s="40"/>
      <c r="S485" s="11"/>
      <c r="T485" s="50"/>
      <c r="U485" s="51"/>
      <c r="V485" s="50"/>
      <c r="W485" s="50"/>
      <c r="X485" s="40"/>
      <c r="Z485" s="11"/>
      <c r="AA485" s="50"/>
      <c r="AB485" s="50"/>
      <c r="AC485" s="50"/>
      <c r="AD485" s="50"/>
      <c r="AE485" s="52"/>
      <c r="AF485" s="40"/>
      <c r="AN485" s="40"/>
      <c r="AP485" s="50"/>
      <c r="AQ485" s="50"/>
      <c r="AR485" s="50"/>
      <c r="AS485" s="50"/>
      <c r="AU485" s="40"/>
    </row>
    <row r="486">
      <c r="B486" s="50"/>
      <c r="C486" s="50"/>
      <c r="D486" s="50"/>
      <c r="E486" s="50"/>
      <c r="Q486" s="40"/>
      <c r="S486" s="11"/>
      <c r="T486" s="50"/>
      <c r="U486" s="51"/>
      <c r="V486" s="50"/>
      <c r="W486" s="50"/>
      <c r="X486" s="40"/>
      <c r="Z486" s="11"/>
      <c r="AA486" s="50"/>
      <c r="AB486" s="50"/>
      <c r="AC486" s="50"/>
      <c r="AD486" s="50"/>
      <c r="AE486" s="52"/>
      <c r="AF486" s="40"/>
      <c r="AN486" s="40"/>
      <c r="AP486" s="50"/>
      <c r="AQ486" s="50"/>
      <c r="AR486" s="50"/>
      <c r="AS486" s="50"/>
      <c r="AU486" s="40"/>
    </row>
    <row r="487">
      <c r="B487" s="50"/>
      <c r="C487" s="50"/>
      <c r="D487" s="50"/>
      <c r="E487" s="50"/>
      <c r="Q487" s="40"/>
      <c r="S487" s="11"/>
      <c r="T487" s="50"/>
      <c r="U487" s="51"/>
      <c r="V487" s="50"/>
      <c r="W487" s="50"/>
      <c r="X487" s="40"/>
      <c r="Z487" s="11"/>
      <c r="AA487" s="50"/>
      <c r="AB487" s="50"/>
      <c r="AC487" s="50"/>
      <c r="AD487" s="50"/>
      <c r="AE487" s="52"/>
      <c r="AF487" s="40"/>
      <c r="AN487" s="40"/>
      <c r="AP487" s="50"/>
      <c r="AQ487" s="50"/>
      <c r="AR487" s="50"/>
      <c r="AS487" s="50"/>
      <c r="AU487" s="40"/>
    </row>
    <row r="488">
      <c r="B488" s="50"/>
      <c r="C488" s="50"/>
      <c r="D488" s="50"/>
      <c r="E488" s="50"/>
      <c r="Q488" s="40"/>
      <c r="S488" s="11"/>
      <c r="T488" s="50"/>
      <c r="U488" s="51"/>
      <c r="V488" s="50"/>
      <c r="W488" s="50"/>
      <c r="X488" s="40"/>
      <c r="Z488" s="11"/>
      <c r="AA488" s="50"/>
      <c r="AB488" s="50"/>
      <c r="AC488" s="50"/>
      <c r="AD488" s="50"/>
      <c r="AE488" s="52"/>
      <c r="AF488" s="40"/>
      <c r="AN488" s="40"/>
      <c r="AP488" s="50"/>
      <c r="AQ488" s="50"/>
      <c r="AR488" s="50"/>
      <c r="AS488" s="50"/>
      <c r="AU488" s="40"/>
    </row>
    <row r="489">
      <c r="B489" s="50"/>
      <c r="C489" s="50"/>
      <c r="D489" s="50"/>
      <c r="E489" s="50"/>
      <c r="Q489" s="40"/>
      <c r="S489" s="11"/>
      <c r="T489" s="50"/>
      <c r="U489" s="51"/>
      <c r="V489" s="50"/>
      <c r="W489" s="50"/>
      <c r="X489" s="40"/>
      <c r="Z489" s="11"/>
      <c r="AA489" s="50"/>
      <c r="AB489" s="50"/>
      <c r="AC489" s="50"/>
      <c r="AD489" s="50"/>
      <c r="AE489" s="52"/>
      <c r="AF489" s="40"/>
      <c r="AN489" s="40"/>
      <c r="AP489" s="50"/>
      <c r="AQ489" s="50"/>
      <c r="AR489" s="50"/>
      <c r="AS489" s="50"/>
      <c r="AU489" s="40"/>
    </row>
    <row r="490">
      <c r="B490" s="50"/>
      <c r="C490" s="50"/>
      <c r="D490" s="50"/>
      <c r="E490" s="50"/>
      <c r="Q490" s="40"/>
      <c r="S490" s="11"/>
      <c r="T490" s="50"/>
      <c r="U490" s="51"/>
      <c r="V490" s="50"/>
      <c r="W490" s="50"/>
      <c r="X490" s="40"/>
      <c r="Z490" s="11"/>
      <c r="AA490" s="50"/>
      <c r="AB490" s="50"/>
      <c r="AC490" s="50"/>
      <c r="AD490" s="50"/>
      <c r="AE490" s="52"/>
      <c r="AF490" s="40"/>
      <c r="AN490" s="40"/>
      <c r="AP490" s="50"/>
      <c r="AQ490" s="50"/>
      <c r="AR490" s="50"/>
      <c r="AS490" s="50"/>
      <c r="AU490" s="40"/>
    </row>
    <row r="491">
      <c r="B491" s="50"/>
      <c r="C491" s="50"/>
      <c r="D491" s="50"/>
      <c r="E491" s="50"/>
      <c r="Q491" s="40"/>
      <c r="S491" s="11"/>
      <c r="T491" s="50"/>
      <c r="U491" s="51"/>
      <c r="V491" s="50"/>
      <c r="W491" s="50"/>
      <c r="X491" s="40"/>
      <c r="Z491" s="11"/>
      <c r="AA491" s="50"/>
      <c r="AB491" s="50"/>
      <c r="AC491" s="50"/>
      <c r="AD491" s="50"/>
      <c r="AE491" s="52"/>
      <c r="AF491" s="40"/>
      <c r="AN491" s="40"/>
      <c r="AP491" s="50"/>
      <c r="AQ491" s="50"/>
      <c r="AR491" s="50"/>
      <c r="AS491" s="50"/>
      <c r="AU491" s="40"/>
    </row>
    <row r="492">
      <c r="B492" s="50"/>
      <c r="C492" s="50"/>
      <c r="D492" s="50"/>
      <c r="E492" s="50"/>
      <c r="Q492" s="40"/>
      <c r="S492" s="11"/>
      <c r="T492" s="50"/>
      <c r="U492" s="51"/>
      <c r="V492" s="50"/>
      <c r="W492" s="50"/>
      <c r="X492" s="40"/>
      <c r="Z492" s="11"/>
      <c r="AA492" s="50"/>
      <c r="AB492" s="50"/>
      <c r="AC492" s="50"/>
      <c r="AD492" s="50"/>
      <c r="AE492" s="52"/>
      <c r="AF492" s="40"/>
      <c r="AN492" s="40"/>
      <c r="AP492" s="50"/>
      <c r="AQ492" s="50"/>
      <c r="AR492" s="50"/>
      <c r="AS492" s="50"/>
      <c r="AU492" s="40"/>
    </row>
    <row r="493">
      <c r="B493" s="50"/>
      <c r="C493" s="50"/>
      <c r="D493" s="50"/>
      <c r="E493" s="50"/>
      <c r="Q493" s="40"/>
      <c r="S493" s="11"/>
      <c r="T493" s="50"/>
      <c r="U493" s="51"/>
      <c r="V493" s="50"/>
      <c r="W493" s="50"/>
      <c r="X493" s="40"/>
      <c r="Z493" s="11"/>
      <c r="AA493" s="50"/>
      <c r="AB493" s="50"/>
      <c r="AC493" s="50"/>
      <c r="AD493" s="50"/>
      <c r="AE493" s="52"/>
      <c r="AF493" s="40"/>
      <c r="AN493" s="40"/>
      <c r="AP493" s="50"/>
      <c r="AQ493" s="50"/>
      <c r="AR493" s="50"/>
      <c r="AS493" s="50"/>
      <c r="AU493" s="40"/>
    </row>
    <row r="494">
      <c r="B494" s="50"/>
      <c r="C494" s="50"/>
      <c r="D494" s="50"/>
      <c r="E494" s="50"/>
      <c r="Q494" s="40"/>
      <c r="S494" s="11"/>
      <c r="T494" s="50"/>
      <c r="U494" s="51"/>
      <c r="V494" s="50"/>
      <c r="W494" s="50"/>
      <c r="X494" s="40"/>
      <c r="Z494" s="11"/>
      <c r="AA494" s="50"/>
      <c r="AB494" s="50"/>
      <c r="AC494" s="50"/>
      <c r="AD494" s="50"/>
      <c r="AE494" s="52"/>
      <c r="AF494" s="40"/>
      <c r="AN494" s="40"/>
      <c r="AP494" s="50"/>
      <c r="AQ494" s="50"/>
      <c r="AR494" s="50"/>
      <c r="AS494" s="50"/>
      <c r="AU494" s="40"/>
    </row>
    <row r="495">
      <c r="B495" s="50"/>
      <c r="C495" s="50"/>
      <c r="D495" s="50"/>
      <c r="E495" s="50"/>
      <c r="Q495" s="40"/>
      <c r="S495" s="11"/>
      <c r="T495" s="50"/>
      <c r="U495" s="51"/>
      <c r="V495" s="50"/>
      <c r="W495" s="50"/>
      <c r="X495" s="40"/>
      <c r="Z495" s="11"/>
      <c r="AA495" s="50"/>
      <c r="AB495" s="50"/>
      <c r="AC495" s="50"/>
      <c r="AD495" s="50"/>
      <c r="AE495" s="52"/>
      <c r="AF495" s="40"/>
      <c r="AN495" s="40"/>
      <c r="AP495" s="50"/>
      <c r="AQ495" s="50"/>
      <c r="AR495" s="50"/>
      <c r="AS495" s="50"/>
      <c r="AU495" s="40"/>
    </row>
    <row r="496">
      <c r="B496" s="50"/>
      <c r="C496" s="50"/>
      <c r="D496" s="50"/>
      <c r="E496" s="50"/>
      <c r="Q496" s="40"/>
      <c r="S496" s="11"/>
      <c r="T496" s="50"/>
      <c r="U496" s="51"/>
      <c r="V496" s="50"/>
      <c r="W496" s="50"/>
      <c r="X496" s="40"/>
      <c r="Z496" s="11"/>
      <c r="AA496" s="50"/>
      <c r="AB496" s="50"/>
      <c r="AC496" s="50"/>
      <c r="AD496" s="50"/>
      <c r="AE496" s="52"/>
      <c r="AF496" s="40"/>
      <c r="AN496" s="40"/>
      <c r="AP496" s="50"/>
      <c r="AQ496" s="50"/>
      <c r="AR496" s="50"/>
      <c r="AS496" s="50"/>
      <c r="AU496" s="40"/>
    </row>
    <row r="497">
      <c r="B497" s="50"/>
      <c r="C497" s="50"/>
      <c r="D497" s="50"/>
      <c r="E497" s="50"/>
      <c r="Q497" s="40"/>
      <c r="S497" s="11"/>
      <c r="T497" s="50"/>
      <c r="U497" s="51"/>
      <c r="V497" s="50"/>
      <c r="W497" s="50"/>
      <c r="X497" s="40"/>
      <c r="Z497" s="11"/>
      <c r="AA497" s="50"/>
      <c r="AB497" s="50"/>
      <c r="AC497" s="50"/>
      <c r="AD497" s="50"/>
      <c r="AE497" s="52"/>
      <c r="AF497" s="40"/>
      <c r="AN497" s="40"/>
      <c r="AP497" s="50"/>
      <c r="AQ497" s="50"/>
      <c r="AR497" s="50"/>
      <c r="AS497" s="50"/>
      <c r="AU497" s="40"/>
    </row>
    <row r="498">
      <c r="B498" s="50"/>
      <c r="C498" s="50"/>
      <c r="D498" s="50"/>
      <c r="E498" s="50"/>
      <c r="Q498" s="40"/>
      <c r="S498" s="11"/>
      <c r="T498" s="50"/>
      <c r="U498" s="51"/>
      <c r="V498" s="50"/>
      <c r="W498" s="50"/>
      <c r="X498" s="40"/>
      <c r="Z498" s="11"/>
      <c r="AA498" s="50"/>
      <c r="AB498" s="50"/>
      <c r="AC498" s="50"/>
      <c r="AD498" s="50"/>
      <c r="AE498" s="52"/>
      <c r="AF498" s="40"/>
      <c r="AN498" s="40"/>
      <c r="AP498" s="50"/>
      <c r="AQ498" s="50"/>
      <c r="AR498" s="50"/>
      <c r="AS498" s="50"/>
      <c r="AU498" s="40"/>
    </row>
    <row r="499">
      <c r="B499" s="50"/>
      <c r="C499" s="50"/>
      <c r="D499" s="50"/>
      <c r="E499" s="50"/>
      <c r="Q499" s="40"/>
      <c r="S499" s="11"/>
      <c r="T499" s="50"/>
      <c r="U499" s="51"/>
      <c r="V499" s="50"/>
      <c r="W499" s="50"/>
      <c r="X499" s="40"/>
      <c r="Z499" s="11"/>
      <c r="AA499" s="50"/>
      <c r="AB499" s="50"/>
      <c r="AC499" s="50"/>
      <c r="AD499" s="50"/>
      <c r="AE499" s="52"/>
      <c r="AF499" s="40"/>
      <c r="AN499" s="40"/>
      <c r="AP499" s="50"/>
      <c r="AQ499" s="50"/>
      <c r="AR499" s="50"/>
      <c r="AS499" s="50"/>
      <c r="AU499" s="40"/>
    </row>
    <row r="500">
      <c r="B500" s="50"/>
      <c r="C500" s="50"/>
      <c r="D500" s="50"/>
      <c r="E500" s="50"/>
      <c r="Q500" s="40"/>
      <c r="S500" s="11"/>
      <c r="T500" s="50"/>
      <c r="U500" s="51"/>
      <c r="V500" s="50"/>
      <c r="W500" s="50"/>
      <c r="X500" s="40"/>
      <c r="Z500" s="11"/>
      <c r="AA500" s="50"/>
      <c r="AB500" s="50"/>
      <c r="AC500" s="50"/>
      <c r="AD500" s="50"/>
      <c r="AE500" s="52"/>
      <c r="AF500" s="40"/>
      <c r="AN500" s="40"/>
      <c r="AP500" s="50"/>
      <c r="AQ500" s="50"/>
      <c r="AR500" s="50"/>
      <c r="AS500" s="50"/>
      <c r="AU500" s="40"/>
    </row>
    <row r="501">
      <c r="B501" s="50"/>
      <c r="C501" s="50"/>
      <c r="D501" s="50"/>
      <c r="E501" s="50"/>
      <c r="Q501" s="40"/>
      <c r="S501" s="11"/>
      <c r="T501" s="50"/>
      <c r="U501" s="51"/>
      <c r="V501" s="50"/>
      <c r="W501" s="50"/>
      <c r="X501" s="40"/>
      <c r="Z501" s="11"/>
      <c r="AA501" s="50"/>
      <c r="AB501" s="50"/>
      <c r="AC501" s="50"/>
      <c r="AD501" s="50"/>
      <c r="AE501" s="52"/>
      <c r="AF501" s="40"/>
      <c r="AN501" s="40"/>
      <c r="AP501" s="50"/>
      <c r="AQ501" s="50"/>
      <c r="AR501" s="50"/>
      <c r="AS501" s="50"/>
      <c r="AU501" s="40"/>
    </row>
    <row r="502">
      <c r="B502" s="50"/>
      <c r="C502" s="50"/>
      <c r="D502" s="50"/>
      <c r="E502" s="50"/>
      <c r="Q502" s="40"/>
      <c r="S502" s="11"/>
      <c r="T502" s="50"/>
      <c r="U502" s="51"/>
      <c r="V502" s="50"/>
      <c r="W502" s="50"/>
      <c r="X502" s="40"/>
      <c r="Z502" s="11"/>
      <c r="AA502" s="50"/>
      <c r="AB502" s="50"/>
      <c r="AC502" s="50"/>
      <c r="AD502" s="50"/>
      <c r="AE502" s="52"/>
      <c r="AF502" s="40"/>
      <c r="AN502" s="40"/>
      <c r="AP502" s="50"/>
      <c r="AQ502" s="50"/>
      <c r="AR502" s="50"/>
      <c r="AS502" s="50"/>
      <c r="AU502" s="40"/>
    </row>
    <row r="503">
      <c r="B503" s="50"/>
      <c r="C503" s="50"/>
      <c r="D503" s="50"/>
      <c r="E503" s="50"/>
      <c r="Q503" s="40"/>
      <c r="S503" s="11"/>
      <c r="T503" s="50"/>
      <c r="U503" s="51"/>
      <c r="V503" s="50"/>
      <c r="W503" s="50"/>
      <c r="X503" s="40"/>
      <c r="Z503" s="11"/>
      <c r="AA503" s="50"/>
      <c r="AB503" s="50"/>
      <c r="AC503" s="50"/>
      <c r="AD503" s="50"/>
      <c r="AE503" s="52"/>
      <c r="AF503" s="40"/>
      <c r="AN503" s="40"/>
      <c r="AP503" s="50"/>
      <c r="AQ503" s="50"/>
      <c r="AR503" s="50"/>
      <c r="AS503" s="50"/>
      <c r="AU503" s="40"/>
    </row>
    <row r="504">
      <c r="B504" s="50"/>
      <c r="C504" s="50"/>
      <c r="D504" s="50"/>
      <c r="E504" s="50"/>
      <c r="Q504" s="40"/>
      <c r="S504" s="11"/>
      <c r="T504" s="50"/>
      <c r="U504" s="51"/>
      <c r="V504" s="50"/>
      <c r="W504" s="50"/>
      <c r="X504" s="40"/>
      <c r="Z504" s="11"/>
      <c r="AA504" s="50"/>
      <c r="AB504" s="50"/>
      <c r="AC504" s="50"/>
      <c r="AD504" s="50"/>
      <c r="AE504" s="52"/>
      <c r="AF504" s="40"/>
      <c r="AN504" s="40"/>
      <c r="AP504" s="50"/>
      <c r="AQ504" s="50"/>
      <c r="AR504" s="50"/>
      <c r="AS504" s="50"/>
      <c r="AU504" s="40"/>
    </row>
    <row r="505">
      <c r="B505" s="50"/>
      <c r="C505" s="50"/>
      <c r="D505" s="50"/>
      <c r="E505" s="50"/>
      <c r="Q505" s="40"/>
      <c r="S505" s="11"/>
      <c r="T505" s="50"/>
      <c r="U505" s="51"/>
      <c r="V505" s="50"/>
      <c r="W505" s="50"/>
      <c r="X505" s="40"/>
      <c r="Z505" s="11"/>
      <c r="AA505" s="50"/>
      <c r="AB505" s="50"/>
      <c r="AC505" s="50"/>
      <c r="AD505" s="50"/>
      <c r="AE505" s="52"/>
      <c r="AF505" s="40"/>
      <c r="AN505" s="40"/>
      <c r="AP505" s="50"/>
      <c r="AQ505" s="50"/>
      <c r="AR505" s="50"/>
      <c r="AS505" s="50"/>
      <c r="AU505" s="40"/>
    </row>
    <row r="506">
      <c r="B506" s="50"/>
      <c r="C506" s="50"/>
      <c r="D506" s="50"/>
      <c r="E506" s="50"/>
      <c r="Q506" s="40"/>
      <c r="S506" s="11"/>
      <c r="T506" s="50"/>
      <c r="U506" s="51"/>
      <c r="V506" s="50"/>
      <c r="W506" s="50"/>
      <c r="X506" s="40"/>
      <c r="Z506" s="11"/>
      <c r="AA506" s="50"/>
      <c r="AB506" s="50"/>
      <c r="AC506" s="50"/>
      <c r="AD506" s="50"/>
      <c r="AE506" s="52"/>
      <c r="AF506" s="40"/>
      <c r="AN506" s="40"/>
      <c r="AP506" s="50"/>
      <c r="AQ506" s="50"/>
      <c r="AR506" s="50"/>
      <c r="AS506" s="50"/>
      <c r="AU506" s="40"/>
    </row>
    <row r="507">
      <c r="B507" s="50"/>
      <c r="C507" s="50"/>
      <c r="D507" s="50"/>
      <c r="E507" s="50"/>
      <c r="Q507" s="40"/>
      <c r="S507" s="11"/>
      <c r="T507" s="50"/>
      <c r="U507" s="51"/>
      <c r="V507" s="50"/>
      <c r="W507" s="50"/>
      <c r="X507" s="40"/>
      <c r="Z507" s="11"/>
      <c r="AA507" s="50"/>
      <c r="AB507" s="50"/>
      <c r="AC507" s="50"/>
      <c r="AD507" s="50"/>
      <c r="AE507" s="52"/>
      <c r="AF507" s="40"/>
      <c r="AN507" s="40"/>
      <c r="AP507" s="50"/>
      <c r="AQ507" s="50"/>
      <c r="AR507" s="50"/>
      <c r="AS507" s="50"/>
      <c r="AU507" s="40"/>
    </row>
    <row r="508">
      <c r="B508" s="50"/>
      <c r="C508" s="50"/>
      <c r="D508" s="50"/>
      <c r="E508" s="50"/>
      <c r="Q508" s="40"/>
      <c r="S508" s="11"/>
      <c r="T508" s="50"/>
      <c r="U508" s="51"/>
      <c r="V508" s="50"/>
      <c r="W508" s="50"/>
      <c r="X508" s="40"/>
      <c r="Z508" s="11"/>
      <c r="AA508" s="50"/>
      <c r="AB508" s="50"/>
      <c r="AC508" s="50"/>
      <c r="AD508" s="50"/>
      <c r="AE508" s="52"/>
      <c r="AF508" s="40"/>
      <c r="AN508" s="40"/>
      <c r="AP508" s="50"/>
      <c r="AQ508" s="50"/>
      <c r="AR508" s="50"/>
      <c r="AS508" s="50"/>
      <c r="AU508" s="40"/>
    </row>
    <row r="509">
      <c r="B509" s="50"/>
      <c r="C509" s="50"/>
      <c r="D509" s="50"/>
      <c r="E509" s="50"/>
      <c r="Q509" s="40"/>
      <c r="S509" s="11"/>
      <c r="T509" s="50"/>
      <c r="U509" s="51"/>
      <c r="V509" s="50"/>
      <c r="W509" s="50"/>
      <c r="X509" s="40"/>
      <c r="Z509" s="11"/>
      <c r="AA509" s="50"/>
      <c r="AB509" s="50"/>
      <c r="AC509" s="50"/>
      <c r="AD509" s="50"/>
      <c r="AE509" s="52"/>
      <c r="AF509" s="40"/>
      <c r="AN509" s="40"/>
      <c r="AP509" s="50"/>
      <c r="AQ509" s="50"/>
      <c r="AR509" s="50"/>
      <c r="AS509" s="50"/>
      <c r="AU509" s="40"/>
    </row>
    <row r="510">
      <c r="B510" s="50"/>
      <c r="C510" s="50"/>
      <c r="D510" s="50"/>
      <c r="E510" s="50"/>
      <c r="Q510" s="40"/>
      <c r="S510" s="11"/>
      <c r="T510" s="50"/>
      <c r="U510" s="51"/>
      <c r="V510" s="50"/>
      <c r="W510" s="50"/>
      <c r="X510" s="40"/>
      <c r="Z510" s="11"/>
      <c r="AA510" s="50"/>
      <c r="AB510" s="50"/>
      <c r="AC510" s="50"/>
      <c r="AD510" s="50"/>
      <c r="AE510" s="52"/>
      <c r="AF510" s="40"/>
      <c r="AN510" s="40"/>
      <c r="AP510" s="50"/>
      <c r="AQ510" s="50"/>
      <c r="AR510" s="50"/>
      <c r="AS510" s="50"/>
      <c r="AU510" s="40"/>
    </row>
    <row r="511">
      <c r="B511" s="50"/>
      <c r="C511" s="50"/>
      <c r="D511" s="50"/>
      <c r="E511" s="50"/>
      <c r="Q511" s="40"/>
      <c r="S511" s="11"/>
      <c r="T511" s="50"/>
      <c r="U511" s="51"/>
      <c r="V511" s="50"/>
      <c r="W511" s="50"/>
      <c r="X511" s="40"/>
      <c r="Z511" s="11"/>
      <c r="AA511" s="50"/>
      <c r="AB511" s="50"/>
      <c r="AC511" s="50"/>
      <c r="AD511" s="50"/>
      <c r="AE511" s="52"/>
      <c r="AF511" s="40"/>
      <c r="AN511" s="40"/>
      <c r="AP511" s="50"/>
      <c r="AQ511" s="50"/>
      <c r="AR511" s="50"/>
      <c r="AS511" s="50"/>
      <c r="AU511" s="40"/>
    </row>
    <row r="512">
      <c r="B512" s="50"/>
      <c r="C512" s="50"/>
      <c r="D512" s="50"/>
      <c r="E512" s="50"/>
      <c r="Q512" s="40"/>
      <c r="S512" s="11"/>
      <c r="T512" s="50"/>
      <c r="U512" s="51"/>
      <c r="V512" s="50"/>
      <c r="W512" s="50"/>
      <c r="X512" s="40"/>
      <c r="Z512" s="11"/>
      <c r="AA512" s="50"/>
      <c r="AB512" s="50"/>
      <c r="AC512" s="50"/>
      <c r="AD512" s="50"/>
      <c r="AE512" s="52"/>
      <c r="AF512" s="40"/>
      <c r="AN512" s="40"/>
      <c r="AP512" s="50"/>
      <c r="AQ512" s="50"/>
      <c r="AR512" s="50"/>
      <c r="AS512" s="50"/>
      <c r="AU512" s="40"/>
    </row>
    <row r="513">
      <c r="B513" s="50"/>
      <c r="C513" s="50"/>
      <c r="D513" s="50"/>
      <c r="E513" s="50"/>
      <c r="Q513" s="40"/>
      <c r="S513" s="11"/>
      <c r="T513" s="50"/>
      <c r="U513" s="51"/>
      <c r="V513" s="50"/>
      <c r="W513" s="50"/>
      <c r="X513" s="40"/>
      <c r="Z513" s="11"/>
      <c r="AA513" s="50"/>
      <c r="AB513" s="50"/>
      <c r="AC513" s="50"/>
      <c r="AD513" s="50"/>
      <c r="AE513" s="52"/>
      <c r="AF513" s="40"/>
      <c r="AN513" s="40"/>
      <c r="AP513" s="50"/>
      <c r="AQ513" s="50"/>
      <c r="AR513" s="50"/>
      <c r="AS513" s="50"/>
      <c r="AU513" s="40"/>
    </row>
    <row r="514">
      <c r="B514" s="50"/>
      <c r="C514" s="50"/>
      <c r="D514" s="50"/>
      <c r="E514" s="50"/>
      <c r="Q514" s="40"/>
      <c r="S514" s="11"/>
      <c r="T514" s="50"/>
      <c r="U514" s="51"/>
      <c r="V514" s="50"/>
      <c r="W514" s="50"/>
      <c r="X514" s="40"/>
      <c r="Z514" s="11"/>
      <c r="AA514" s="50"/>
      <c r="AB514" s="50"/>
      <c r="AC514" s="50"/>
      <c r="AD514" s="50"/>
      <c r="AE514" s="52"/>
      <c r="AF514" s="40"/>
      <c r="AN514" s="40"/>
      <c r="AP514" s="50"/>
      <c r="AQ514" s="50"/>
      <c r="AR514" s="50"/>
      <c r="AS514" s="50"/>
      <c r="AU514" s="40"/>
    </row>
    <row r="515">
      <c r="B515" s="50"/>
      <c r="C515" s="50"/>
      <c r="D515" s="50"/>
      <c r="E515" s="50"/>
      <c r="Q515" s="40"/>
      <c r="S515" s="11"/>
      <c r="T515" s="50"/>
      <c r="U515" s="51"/>
      <c r="V515" s="50"/>
      <c r="W515" s="50"/>
      <c r="X515" s="40"/>
      <c r="Z515" s="11"/>
      <c r="AA515" s="50"/>
      <c r="AB515" s="50"/>
      <c r="AC515" s="50"/>
      <c r="AD515" s="50"/>
      <c r="AE515" s="52"/>
      <c r="AF515" s="40"/>
      <c r="AN515" s="40"/>
      <c r="AP515" s="50"/>
      <c r="AQ515" s="50"/>
      <c r="AR515" s="50"/>
      <c r="AS515" s="50"/>
      <c r="AU515" s="40"/>
    </row>
    <row r="516">
      <c r="B516" s="50"/>
      <c r="C516" s="50"/>
      <c r="D516" s="50"/>
      <c r="E516" s="50"/>
      <c r="Q516" s="40"/>
      <c r="S516" s="11"/>
      <c r="T516" s="50"/>
      <c r="U516" s="51"/>
      <c r="V516" s="50"/>
      <c r="W516" s="50"/>
      <c r="X516" s="40"/>
      <c r="Z516" s="11"/>
      <c r="AA516" s="50"/>
      <c r="AB516" s="50"/>
      <c r="AC516" s="50"/>
      <c r="AD516" s="50"/>
      <c r="AE516" s="52"/>
      <c r="AF516" s="40"/>
      <c r="AN516" s="40"/>
      <c r="AP516" s="50"/>
      <c r="AQ516" s="50"/>
      <c r="AR516" s="50"/>
      <c r="AS516" s="50"/>
      <c r="AU516" s="40"/>
    </row>
    <row r="517">
      <c r="B517" s="50"/>
      <c r="C517" s="50"/>
      <c r="D517" s="50"/>
      <c r="E517" s="50"/>
      <c r="Q517" s="40"/>
      <c r="S517" s="11"/>
      <c r="T517" s="50"/>
      <c r="U517" s="51"/>
      <c r="V517" s="50"/>
      <c r="W517" s="50"/>
      <c r="X517" s="40"/>
      <c r="Z517" s="11"/>
      <c r="AA517" s="50"/>
      <c r="AB517" s="50"/>
      <c r="AC517" s="50"/>
      <c r="AD517" s="50"/>
      <c r="AE517" s="52"/>
      <c r="AF517" s="40"/>
      <c r="AN517" s="40"/>
      <c r="AP517" s="50"/>
      <c r="AQ517" s="50"/>
      <c r="AR517" s="50"/>
      <c r="AS517" s="50"/>
      <c r="AU517" s="40"/>
    </row>
    <row r="518">
      <c r="B518" s="50"/>
      <c r="C518" s="50"/>
      <c r="D518" s="50"/>
      <c r="E518" s="50"/>
      <c r="Q518" s="40"/>
      <c r="S518" s="11"/>
      <c r="T518" s="50"/>
      <c r="U518" s="51"/>
      <c r="V518" s="50"/>
      <c r="W518" s="50"/>
      <c r="X518" s="40"/>
      <c r="Z518" s="11"/>
      <c r="AA518" s="50"/>
      <c r="AB518" s="50"/>
      <c r="AC518" s="50"/>
      <c r="AD518" s="50"/>
      <c r="AE518" s="52"/>
      <c r="AF518" s="40"/>
      <c r="AN518" s="40"/>
      <c r="AP518" s="50"/>
      <c r="AQ518" s="50"/>
      <c r="AR518" s="50"/>
      <c r="AS518" s="50"/>
      <c r="AU518" s="40"/>
    </row>
    <row r="519">
      <c r="B519" s="50"/>
      <c r="C519" s="50"/>
      <c r="D519" s="50"/>
      <c r="E519" s="50"/>
      <c r="Q519" s="40"/>
      <c r="S519" s="11"/>
      <c r="T519" s="50"/>
      <c r="U519" s="51"/>
      <c r="V519" s="50"/>
      <c r="W519" s="50"/>
      <c r="X519" s="40"/>
      <c r="Z519" s="11"/>
      <c r="AA519" s="50"/>
      <c r="AB519" s="50"/>
      <c r="AC519" s="50"/>
      <c r="AD519" s="50"/>
      <c r="AE519" s="52"/>
      <c r="AF519" s="40"/>
      <c r="AN519" s="40"/>
      <c r="AP519" s="50"/>
      <c r="AQ519" s="50"/>
      <c r="AR519" s="50"/>
      <c r="AS519" s="50"/>
      <c r="AU519" s="40"/>
    </row>
    <row r="520">
      <c r="B520" s="50"/>
      <c r="C520" s="50"/>
      <c r="D520" s="50"/>
      <c r="E520" s="50"/>
      <c r="Q520" s="40"/>
      <c r="S520" s="11"/>
      <c r="T520" s="50"/>
      <c r="U520" s="51"/>
      <c r="V520" s="50"/>
      <c r="W520" s="50"/>
      <c r="X520" s="40"/>
      <c r="Z520" s="11"/>
      <c r="AA520" s="50"/>
      <c r="AB520" s="50"/>
      <c r="AC520" s="50"/>
      <c r="AD520" s="50"/>
      <c r="AE520" s="52"/>
      <c r="AF520" s="40"/>
      <c r="AN520" s="40"/>
      <c r="AP520" s="50"/>
      <c r="AQ520" s="50"/>
      <c r="AR520" s="50"/>
      <c r="AS520" s="50"/>
      <c r="AU520" s="40"/>
    </row>
    <row r="521">
      <c r="B521" s="50"/>
      <c r="C521" s="50"/>
      <c r="D521" s="50"/>
      <c r="E521" s="50"/>
      <c r="Q521" s="40"/>
      <c r="S521" s="11"/>
      <c r="T521" s="50"/>
      <c r="U521" s="51"/>
      <c r="V521" s="50"/>
      <c r="W521" s="50"/>
      <c r="X521" s="40"/>
      <c r="Z521" s="11"/>
      <c r="AA521" s="50"/>
      <c r="AB521" s="50"/>
      <c r="AC521" s="50"/>
      <c r="AD521" s="50"/>
      <c r="AE521" s="52"/>
      <c r="AF521" s="40"/>
      <c r="AN521" s="40"/>
      <c r="AP521" s="50"/>
      <c r="AQ521" s="50"/>
      <c r="AR521" s="50"/>
      <c r="AS521" s="50"/>
      <c r="AU521" s="40"/>
    </row>
    <row r="522">
      <c r="B522" s="50"/>
      <c r="C522" s="50"/>
      <c r="D522" s="50"/>
      <c r="E522" s="50"/>
      <c r="Q522" s="40"/>
      <c r="S522" s="11"/>
      <c r="T522" s="50"/>
      <c r="U522" s="51"/>
      <c r="V522" s="50"/>
      <c r="W522" s="50"/>
      <c r="X522" s="40"/>
      <c r="Z522" s="11"/>
      <c r="AA522" s="50"/>
      <c r="AB522" s="50"/>
      <c r="AC522" s="50"/>
      <c r="AD522" s="50"/>
      <c r="AE522" s="52"/>
      <c r="AF522" s="40"/>
      <c r="AN522" s="40"/>
      <c r="AP522" s="50"/>
      <c r="AQ522" s="50"/>
      <c r="AR522" s="50"/>
      <c r="AS522" s="50"/>
      <c r="AU522" s="40"/>
    </row>
    <row r="523">
      <c r="B523" s="50"/>
      <c r="C523" s="50"/>
      <c r="D523" s="50"/>
      <c r="E523" s="50"/>
      <c r="Q523" s="40"/>
      <c r="S523" s="11"/>
      <c r="T523" s="50"/>
      <c r="U523" s="51"/>
      <c r="V523" s="50"/>
      <c r="W523" s="50"/>
      <c r="X523" s="40"/>
      <c r="Z523" s="11"/>
      <c r="AA523" s="50"/>
      <c r="AB523" s="50"/>
      <c r="AC523" s="50"/>
      <c r="AD523" s="50"/>
      <c r="AE523" s="52"/>
      <c r="AF523" s="40"/>
      <c r="AN523" s="40"/>
      <c r="AP523" s="50"/>
      <c r="AQ523" s="50"/>
      <c r="AR523" s="50"/>
      <c r="AS523" s="50"/>
      <c r="AU523" s="40"/>
    </row>
    <row r="524">
      <c r="B524" s="50"/>
      <c r="C524" s="50"/>
      <c r="D524" s="50"/>
      <c r="E524" s="50"/>
      <c r="Q524" s="40"/>
      <c r="S524" s="11"/>
      <c r="T524" s="50"/>
      <c r="U524" s="51"/>
      <c r="V524" s="50"/>
      <c r="W524" s="50"/>
      <c r="X524" s="40"/>
      <c r="Z524" s="11"/>
      <c r="AA524" s="50"/>
      <c r="AB524" s="50"/>
      <c r="AC524" s="50"/>
      <c r="AD524" s="50"/>
      <c r="AE524" s="52"/>
      <c r="AF524" s="40"/>
      <c r="AN524" s="40"/>
      <c r="AP524" s="50"/>
      <c r="AQ524" s="50"/>
      <c r="AR524" s="50"/>
      <c r="AS524" s="50"/>
      <c r="AU524" s="40"/>
    </row>
    <row r="525">
      <c r="B525" s="50"/>
      <c r="C525" s="50"/>
      <c r="D525" s="50"/>
      <c r="E525" s="50"/>
      <c r="Q525" s="40"/>
      <c r="S525" s="11"/>
      <c r="T525" s="50"/>
      <c r="U525" s="51"/>
      <c r="V525" s="50"/>
      <c r="W525" s="50"/>
      <c r="X525" s="40"/>
      <c r="Z525" s="11"/>
      <c r="AA525" s="50"/>
      <c r="AB525" s="50"/>
      <c r="AC525" s="50"/>
      <c r="AD525" s="50"/>
      <c r="AE525" s="52"/>
      <c r="AF525" s="40"/>
      <c r="AN525" s="40"/>
      <c r="AP525" s="50"/>
      <c r="AQ525" s="50"/>
      <c r="AR525" s="50"/>
      <c r="AS525" s="50"/>
      <c r="AU525" s="40"/>
    </row>
    <row r="526">
      <c r="B526" s="50"/>
      <c r="C526" s="50"/>
      <c r="D526" s="50"/>
      <c r="E526" s="50"/>
      <c r="Q526" s="40"/>
      <c r="S526" s="11"/>
      <c r="T526" s="50"/>
      <c r="U526" s="51"/>
      <c r="V526" s="50"/>
      <c r="W526" s="50"/>
      <c r="X526" s="40"/>
      <c r="Z526" s="11"/>
      <c r="AA526" s="50"/>
      <c r="AB526" s="50"/>
      <c r="AC526" s="50"/>
      <c r="AD526" s="50"/>
      <c r="AE526" s="52"/>
      <c r="AF526" s="40"/>
      <c r="AN526" s="40"/>
      <c r="AP526" s="50"/>
      <c r="AQ526" s="50"/>
      <c r="AR526" s="50"/>
      <c r="AS526" s="50"/>
      <c r="AU526" s="40"/>
    </row>
    <row r="527">
      <c r="B527" s="50"/>
      <c r="C527" s="50"/>
      <c r="D527" s="50"/>
      <c r="E527" s="50"/>
      <c r="Q527" s="40"/>
      <c r="S527" s="11"/>
      <c r="T527" s="50"/>
      <c r="U527" s="51"/>
      <c r="V527" s="50"/>
      <c r="W527" s="50"/>
      <c r="X527" s="40"/>
      <c r="Z527" s="11"/>
      <c r="AA527" s="50"/>
      <c r="AB527" s="50"/>
      <c r="AC527" s="50"/>
      <c r="AD527" s="50"/>
      <c r="AE527" s="52"/>
      <c r="AF527" s="40"/>
      <c r="AN527" s="40"/>
      <c r="AP527" s="50"/>
      <c r="AQ527" s="50"/>
      <c r="AR527" s="50"/>
      <c r="AS527" s="50"/>
      <c r="AU527" s="40"/>
    </row>
    <row r="528">
      <c r="B528" s="50"/>
      <c r="C528" s="50"/>
      <c r="D528" s="50"/>
      <c r="E528" s="50"/>
      <c r="Q528" s="40"/>
      <c r="S528" s="11"/>
      <c r="T528" s="50"/>
      <c r="U528" s="51"/>
      <c r="V528" s="50"/>
      <c r="W528" s="50"/>
      <c r="X528" s="40"/>
      <c r="Z528" s="11"/>
      <c r="AA528" s="50"/>
      <c r="AB528" s="50"/>
      <c r="AC528" s="50"/>
      <c r="AD528" s="50"/>
      <c r="AE528" s="52"/>
      <c r="AF528" s="40"/>
      <c r="AN528" s="40"/>
      <c r="AP528" s="50"/>
      <c r="AQ528" s="50"/>
      <c r="AR528" s="50"/>
      <c r="AS528" s="50"/>
      <c r="AU528" s="40"/>
    </row>
    <row r="529">
      <c r="B529" s="50"/>
      <c r="C529" s="50"/>
      <c r="D529" s="50"/>
      <c r="E529" s="50"/>
      <c r="Q529" s="40"/>
      <c r="S529" s="11"/>
      <c r="T529" s="50"/>
      <c r="U529" s="51"/>
      <c r="V529" s="50"/>
      <c r="W529" s="50"/>
      <c r="X529" s="40"/>
      <c r="Z529" s="11"/>
      <c r="AA529" s="50"/>
      <c r="AB529" s="50"/>
      <c r="AC529" s="50"/>
      <c r="AD529" s="50"/>
      <c r="AE529" s="52"/>
      <c r="AF529" s="40"/>
      <c r="AN529" s="40"/>
      <c r="AP529" s="50"/>
      <c r="AQ529" s="50"/>
      <c r="AR529" s="50"/>
      <c r="AS529" s="50"/>
      <c r="AU529" s="40"/>
    </row>
    <row r="530">
      <c r="B530" s="50"/>
      <c r="C530" s="50"/>
      <c r="D530" s="50"/>
      <c r="E530" s="50"/>
      <c r="Q530" s="40"/>
      <c r="S530" s="11"/>
      <c r="T530" s="50"/>
      <c r="U530" s="51"/>
      <c r="V530" s="50"/>
      <c r="W530" s="50"/>
      <c r="X530" s="40"/>
      <c r="Z530" s="11"/>
      <c r="AA530" s="50"/>
      <c r="AB530" s="50"/>
      <c r="AC530" s="50"/>
      <c r="AD530" s="50"/>
      <c r="AE530" s="52"/>
      <c r="AF530" s="40"/>
      <c r="AN530" s="40"/>
      <c r="AP530" s="50"/>
      <c r="AQ530" s="50"/>
      <c r="AR530" s="50"/>
      <c r="AS530" s="50"/>
      <c r="AU530" s="40"/>
    </row>
    <row r="531">
      <c r="B531" s="50"/>
      <c r="C531" s="50"/>
      <c r="D531" s="50"/>
      <c r="E531" s="50"/>
      <c r="Q531" s="40"/>
      <c r="S531" s="11"/>
      <c r="T531" s="50"/>
      <c r="U531" s="51"/>
      <c r="V531" s="50"/>
      <c r="W531" s="50"/>
      <c r="X531" s="40"/>
      <c r="Z531" s="11"/>
      <c r="AA531" s="50"/>
      <c r="AB531" s="50"/>
      <c r="AC531" s="50"/>
      <c r="AD531" s="50"/>
      <c r="AE531" s="52"/>
      <c r="AF531" s="40"/>
      <c r="AN531" s="40"/>
      <c r="AP531" s="50"/>
      <c r="AQ531" s="50"/>
      <c r="AR531" s="50"/>
      <c r="AS531" s="50"/>
      <c r="AU531" s="40"/>
    </row>
    <row r="532">
      <c r="B532" s="50"/>
      <c r="C532" s="50"/>
      <c r="D532" s="50"/>
      <c r="E532" s="50"/>
      <c r="Q532" s="40"/>
      <c r="S532" s="11"/>
      <c r="T532" s="50"/>
      <c r="U532" s="51"/>
      <c r="V532" s="50"/>
      <c r="W532" s="50"/>
      <c r="X532" s="40"/>
      <c r="Z532" s="11"/>
      <c r="AA532" s="50"/>
      <c r="AB532" s="50"/>
      <c r="AC532" s="50"/>
      <c r="AD532" s="50"/>
      <c r="AE532" s="52"/>
      <c r="AF532" s="40"/>
      <c r="AN532" s="40"/>
      <c r="AP532" s="50"/>
      <c r="AQ532" s="50"/>
      <c r="AR532" s="50"/>
      <c r="AS532" s="50"/>
      <c r="AU532" s="40"/>
    </row>
    <row r="533">
      <c r="B533" s="50"/>
      <c r="C533" s="50"/>
      <c r="D533" s="50"/>
      <c r="E533" s="50"/>
      <c r="Q533" s="40"/>
      <c r="S533" s="11"/>
      <c r="T533" s="50"/>
      <c r="U533" s="51"/>
      <c r="V533" s="50"/>
      <c r="W533" s="50"/>
      <c r="X533" s="40"/>
      <c r="Z533" s="11"/>
      <c r="AA533" s="50"/>
      <c r="AB533" s="50"/>
      <c r="AC533" s="50"/>
      <c r="AD533" s="50"/>
      <c r="AE533" s="52"/>
      <c r="AF533" s="40"/>
      <c r="AN533" s="40"/>
      <c r="AP533" s="50"/>
      <c r="AQ533" s="50"/>
      <c r="AR533" s="50"/>
      <c r="AS533" s="50"/>
      <c r="AU533" s="40"/>
    </row>
    <row r="534">
      <c r="B534" s="50"/>
      <c r="C534" s="50"/>
      <c r="D534" s="50"/>
      <c r="E534" s="50"/>
      <c r="Q534" s="40"/>
      <c r="S534" s="11"/>
      <c r="T534" s="50"/>
      <c r="U534" s="51"/>
      <c r="V534" s="50"/>
      <c r="W534" s="50"/>
      <c r="X534" s="40"/>
      <c r="Z534" s="11"/>
      <c r="AA534" s="50"/>
      <c r="AB534" s="50"/>
      <c r="AC534" s="50"/>
      <c r="AD534" s="50"/>
      <c r="AE534" s="52"/>
      <c r="AF534" s="40"/>
      <c r="AN534" s="40"/>
      <c r="AP534" s="50"/>
      <c r="AQ534" s="50"/>
      <c r="AR534" s="50"/>
      <c r="AS534" s="50"/>
      <c r="AU534" s="40"/>
    </row>
    <row r="535">
      <c r="B535" s="50"/>
      <c r="C535" s="50"/>
      <c r="D535" s="50"/>
      <c r="E535" s="50"/>
      <c r="Q535" s="40"/>
      <c r="S535" s="11"/>
      <c r="T535" s="50"/>
      <c r="U535" s="51"/>
      <c r="V535" s="50"/>
      <c r="W535" s="50"/>
      <c r="X535" s="40"/>
      <c r="Z535" s="11"/>
      <c r="AA535" s="50"/>
      <c r="AB535" s="50"/>
      <c r="AC535" s="50"/>
      <c r="AD535" s="50"/>
      <c r="AE535" s="52"/>
      <c r="AF535" s="40"/>
      <c r="AN535" s="40"/>
      <c r="AP535" s="50"/>
      <c r="AQ535" s="50"/>
      <c r="AR535" s="50"/>
      <c r="AS535" s="50"/>
      <c r="AU535" s="40"/>
    </row>
    <row r="536">
      <c r="B536" s="50"/>
      <c r="C536" s="50"/>
      <c r="D536" s="50"/>
      <c r="E536" s="50"/>
      <c r="Q536" s="40"/>
      <c r="S536" s="11"/>
      <c r="T536" s="50"/>
      <c r="U536" s="51"/>
      <c r="V536" s="50"/>
      <c r="W536" s="50"/>
      <c r="X536" s="40"/>
      <c r="Z536" s="11"/>
      <c r="AA536" s="50"/>
      <c r="AB536" s="50"/>
      <c r="AC536" s="50"/>
      <c r="AD536" s="50"/>
      <c r="AE536" s="52"/>
      <c r="AF536" s="40"/>
      <c r="AN536" s="40"/>
      <c r="AP536" s="50"/>
      <c r="AQ536" s="50"/>
      <c r="AR536" s="50"/>
      <c r="AS536" s="50"/>
      <c r="AU536" s="40"/>
    </row>
    <row r="537">
      <c r="B537" s="50"/>
      <c r="C537" s="50"/>
      <c r="D537" s="50"/>
      <c r="E537" s="50"/>
      <c r="Q537" s="40"/>
      <c r="S537" s="11"/>
      <c r="T537" s="50"/>
      <c r="U537" s="51"/>
      <c r="V537" s="50"/>
      <c r="W537" s="50"/>
      <c r="X537" s="40"/>
      <c r="Z537" s="11"/>
      <c r="AA537" s="50"/>
      <c r="AB537" s="50"/>
      <c r="AC537" s="50"/>
      <c r="AD537" s="50"/>
      <c r="AE537" s="52"/>
      <c r="AF537" s="40"/>
      <c r="AN537" s="40"/>
      <c r="AP537" s="50"/>
      <c r="AQ537" s="50"/>
      <c r="AR537" s="50"/>
      <c r="AS537" s="50"/>
      <c r="AU537" s="40"/>
    </row>
    <row r="538">
      <c r="B538" s="50"/>
      <c r="C538" s="50"/>
      <c r="D538" s="50"/>
      <c r="E538" s="50"/>
      <c r="Q538" s="40"/>
      <c r="S538" s="11"/>
      <c r="T538" s="50"/>
      <c r="U538" s="51"/>
      <c r="V538" s="50"/>
      <c r="W538" s="50"/>
      <c r="X538" s="40"/>
      <c r="Z538" s="11"/>
      <c r="AA538" s="50"/>
      <c r="AB538" s="50"/>
      <c r="AC538" s="50"/>
      <c r="AD538" s="50"/>
      <c r="AE538" s="52"/>
      <c r="AF538" s="40"/>
      <c r="AN538" s="40"/>
      <c r="AP538" s="50"/>
      <c r="AQ538" s="50"/>
      <c r="AR538" s="50"/>
      <c r="AS538" s="50"/>
      <c r="AU538" s="40"/>
    </row>
    <row r="539">
      <c r="B539" s="50"/>
      <c r="C539" s="50"/>
      <c r="D539" s="50"/>
      <c r="E539" s="50"/>
      <c r="Q539" s="40"/>
      <c r="S539" s="11"/>
      <c r="T539" s="50"/>
      <c r="U539" s="51"/>
      <c r="V539" s="50"/>
      <c r="W539" s="50"/>
      <c r="X539" s="40"/>
      <c r="Z539" s="11"/>
      <c r="AA539" s="50"/>
      <c r="AB539" s="50"/>
      <c r="AC539" s="50"/>
      <c r="AD539" s="50"/>
      <c r="AE539" s="52"/>
      <c r="AF539" s="40"/>
      <c r="AN539" s="40"/>
      <c r="AP539" s="50"/>
      <c r="AQ539" s="50"/>
      <c r="AR539" s="50"/>
      <c r="AS539" s="50"/>
      <c r="AU539" s="40"/>
    </row>
    <row r="540">
      <c r="B540" s="50"/>
      <c r="C540" s="50"/>
      <c r="D540" s="50"/>
      <c r="E540" s="50"/>
      <c r="Q540" s="40"/>
      <c r="S540" s="11"/>
      <c r="T540" s="50"/>
      <c r="U540" s="51"/>
      <c r="V540" s="50"/>
      <c r="W540" s="50"/>
      <c r="X540" s="40"/>
      <c r="Z540" s="11"/>
      <c r="AA540" s="50"/>
      <c r="AB540" s="50"/>
      <c r="AC540" s="50"/>
      <c r="AD540" s="50"/>
      <c r="AE540" s="52"/>
      <c r="AF540" s="40"/>
      <c r="AN540" s="40"/>
      <c r="AP540" s="50"/>
      <c r="AQ540" s="50"/>
      <c r="AR540" s="50"/>
      <c r="AS540" s="50"/>
      <c r="AU540" s="40"/>
    </row>
    <row r="541">
      <c r="B541" s="50"/>
      <c r="C541" s="50"/>
      <c r="D541" s="50"/>
      <c r="E541" s="50"/>
      <c r="Q541" s="40"/>
      <c r="S541" s="11"/>
      <c r="T541" s="50"/>
      <c r="U541" s="51"/>
      <c r="V541" s="50"/>
      <c r="W541" s="50"/>
      <c r="X541" s="40"/>
      <c r="Z541" s="11"/>
      <c r="AA541" s="50"/>
      <c r="AB541" s="50"/>
      <c r="AC541" s="50"/>
      <c r="AD541" s="50"/>
      <c r="AE541" s="52"/>
      <c r="AF541" s="40"/>
      <c r="AN541" s="40"/>
      <c r="AP541" s="50"/>
      <c r="AQ541" s="50"/>
      <c r="AR541" s="50"/>
      <c r="AS541" s="50"/>
      <c r="AU541" s="40"/>
    </row>
    <row r="542">
      <c r="B542" s="50"/>
      <c r="C542" s="50"/>
      <c r="D542" s="50"/>
      <c r="E542" s="50"/>
      <c r="Q542" s="40"/>
      <c r="S542" s="11"/>
      <c r="T542" s="50"/>
      <c r="U542" s="51"/>
      <c r="V542" s="50"/>
      <c r="W542" s="50"/>
      <c r="X542" s="40"/>
      <c r="Z542" s="11"/>
      <c r="AA542" s="50"/>
      <c r="AB542" s="50"/>
      <c r="AC542" s="50"/>
      <c r="AD542" s="50"/>
      <c r="AE542" s="52"/>
      <c r="AF542" s="40"/>
      <c r="AN542" s="40"/>
      <c r="AP542" s="50"/>
      <c r="AQ542" s="50"/>
      <c r="AR542" s="50"/>
      <c r="AS542" s="50"/>
      <c r="AU542" s="40"/>
    </row>
    <row r="543">
      <c r="B543" s="50"/>
      <c r="C543" s="50"/>
      <c r="D543" s="50"/>
      <c r="E543" s="50"/>
      <c r="Q543" s="40"/>
      <c r="S543" s="11"/>
      <c r="T543" s="50"/>
      <c r="U543" s="51"/>
      <c r="V543" s="50"/>
      <c r="W543" s="50"/>
      <c r="X543" s="40"/>
      <c r="Z543" s="11"/>
      <c r="AA543" s="50"/>
      <c r="AB543" s="50"/>
      <c r="AC543" s="50"/>
      <c r="AD543" s="50"/>
      <c r="AE543" s="52"/>
      <c r="AF543" s="40"/>
      <c r="AN543" s="40"/>
      <c r="AP543" s="50"/>
      <c r="AQ543" s="50"/>
      <c r="AR543" s="50"/>
      <c r="AS543" s="50"/>
      <c r="AU543" s="40"/>
    </row>
    <row r="544">
      <c r="B544" s="50"/>
      <c r="C544" s="50"/>
      <c r="D544" s="50"/>
      <c r="E544" s="50"/>
      <c r="Q544" s="40"/>
      <c r="S544" s="11"/>
      <c r="T544" s="50"/>
      <c r="U544" s="51"/>
      <c r="V544" s="50"/>
      <c r="W544" s="50"/>
      <c r="X544" s="40"/>
      <c r="Z544" s="11"/>
      <c r="AA544" s="50"/>
      <c r="AB544" s="50"/>
      <c r="AC544" s="50"/>
      <c r="AD544" s="50"/>
      <c r="AE544" s="52"/>
      <c r="AF544" s="40"/>
      <c r="AN544" s="40"/>
      <c r="AP544" s="50"/>
      <c r="AQ544" s="50"/>
      <c r="AR544" s="50"/>
      <c r="AS544" s="50"/>
      <c r="AU544" s="40"/>
    </row>
    <row r="545">
      <c r="B545" s="50"/>
      <c r="C545" s="50"/>
      <c r="D545" s="50"/>
      <c r="E545" s="50"/>
      <c r="Q545" s="40"/>
      <c r="S545" s="11"/>
      <c r="T545" s="50"/>
      <c r="U545" s="51"/>
      <c r="V545" s="50"/>
      <c r="W545" s="50"/>
      <c r="X545" s="40"/>
      <c r="Z545" s="11"/>
      <c r="AA545" s="50"/>
      <c r="AB545" s="50"/>
      <c r="AC545" s="50"/>
      <c r="AD545" s="50"/>
      <c r="AE545" s="52"/>
      <c r="AF545" s="40"/>
      <c r="AN545" s="40"/>
      <c r="AP545" s="50"/>
      <c r="AQ545" s="50"/>
      <c r="AR545" s="50"/>
      <c r="AS545" s="50"/>
      <c r="AU545" s="40"/>
    </row>
    <row r="546">
      <c r="B546" s="50"/>
      <c r="C546" s="50"/>
      <c r="D546" s="50"/>
      <c r="E546" s="50"/>
      <c r="Q546" s="40"/>
      <c r="S546" s="11"/>
      <c r="T546" s="50"/>
      <c r="U546" s="51"/>
      <c r="V546" s="50"/>
      <c r="W546" s="50"/>
      <c r="X546" s="40"/>
      <c r="Z546" s="11"/>
      <c r="AA546" s="50"/>
      <c r="AB546" s="50"/>
      <c r="AC546" s="50"/>
      <c r="AD546" s="50"/>
      <c r="AE546" s="52"/>
      <c r="AF546" s="40"/>
      <c r="AN546" s="40"/>
      <c r="AP546" s="50"/>
      <c r="AQ546" s="50"/>
      <c r="AR546" s="50"/>
      <c r="AS546" s="50"/>
      <c r="AU546" s="40"/>
    </row>
    <row r="547">
      <c r="B547" s="50"/>
      <c r="C547" s="50"/>
      <c r="D547" s="50"/>
      <c r="E547" s="50"/>
      <c r="Q547" s="40"/>
      <c r="S547" s="11"/>
      <c r="T547" s="50"/>
      <c r="U547" s="51"/>
      <c r="V547" s="50"/>
      <c r="W547" s="50"/>
      <c r="X547" s="40"/>
      <c r="Z547" s="11"/>
      <c r="AA547" s="50"/>
      <c r="AB547" s="50"/>
      <c r="AC547" s="50"/>
      <c r="AD547" s="50"/>
      <c r="AE547" s="52"/>
      <c r="AF547" s="40"/>
      <c r="AN547" s="40"/>
      <c r="AP547" s="50"/>
      <c r="AQ547" s="50"/>
      <c r="AR547" s="50"/>
      <c r="AS547" s="50"/>
      <c r="AU547" s="40"/>
    </row>
    <row r="548">
      <c r="B548" s="50"/>
      <c r="C548" s="50"/>
      <c r="D548" s="50"/>
      <c r="E548" s="50"/>
      <c r="Q548" s="40"/>
      <c r="S548" s="11"/>
      <c r="T548" s="50"/>
      <c r="U548" s="51"/>
      <c r="V548" s="50"/>
      <c r="W548" s="50"/>
      <c r="X548" s="40"/>
      <c r="Z548" s="11"/>
      <c r="AA548" s="50"/>
      <c r="AB548" s="50"/>
      <c r="AC548" s="50"/>
      <c r="AD548" s="50"/>
      <c r="AE548" s="52"/>
      <c r="AF548" s="40"/>
      <c r="AN548" s="40"/>
      <c r="AP548" s="50"/>
      <c r="AQ548" s="50"/>
      <c r="AR548" s="50"/>
      <c r="AS548" s="50"/>
      <c r="AU548" s="40"/>
    </row>
    <row r="549">
      <c r="B549" s="50"/>
      <c r="C549" s="50"/>
      <c r="D549" s="50"/>
      <c r="E549" s="50"/>
      <c r="Q549" s="40"/>
      <c r="S549" s="11"/>
      <c r="T549" s="50"/>
      <c r="U549" s="51"/>
      <c r="V549" s="50"/>
      <c r="W549" s="50"/>
      <c r="X549" s="40"/>
      <c r="Z549" s="11"/>
      <c r="AA549" s="50"/>
      <c r="AB549" s="50"/>
      <c r="AC549" s="50"/>
      <c r="AD549" s="50"/>
      <c r="AE549" s="52"/>
      <c r="AF549" s="40"/>
      <c r="AN549" s="40"/>
      <c r="AP549" s="50"/>
      <c r="AQ549" s="50"/>
      <c r="AR549" s="50"/>
      <c r="AS549" s="50"/>
      <c r="AU549" s="40"/>
    </row>
    <row r="550">
      <c r="B550" s="50"/>
      <c r="C550" s="50"/>
      <c r="D550" s="50"/>
      <c r="E550" s="50"/>
      <c r="Q550" s="40"/>
      <c r="S550" s="11"/>
      <c r="T550" s="50"/>
      <c r="U550" s="51"/>
      <c r="V550" s="50"/>
      <c r="W550" s="50"/>
      <c r="X550" s="40"/>
      <c r="Z550" s="11"/>
      <c r="AA550" s="50"/>
      <c r="AB550" s="50"/>
      <c r="AC550" s="50"/>
      <c r="AD550" s="50"/>
      <c r="AE550" s="52"/>
      <c r="AF550" s="40"/>
      <c r="AN550" s="40"/>
      <c r="AP550" s="50"/>
      <c r="AQ550" s="50"/>
      <c r="AR550" s="50"/>
      <c r="AS550" s="50"/>
      <c r="AU550" s="40"/>
    </row>
    <row r="551">
      <c r="B551" s="50"/>
      <c r="C551" s="50"/>
      <c r="D551" s="50"/>
      <c r="E551" s="50"/>
      <c r="Q551" s="40"/>
      <c r="S551" s="11"/>
      <c r="T551" s="50"/>
      <c r="U551" s="51"/>
      <c r="V551" s="50"/>
      <c r="W551" s="50"/>
      <c r="X551" s="40"/>
      <c r="Z551" s="11"/>
      <c r="AA551" s="50"/>
      <c r="AB551" s="50"/>
      <c r="AC551" s="50"/>
      <c r="AD551" s="50"/>
      <c r="AE551" s="52"/>
      <c r="AF551" s="40"/>
      <c r="AN551" s="40"/>
      <c r="AP551" s="50"/>
      <c r="AQ551" s="50"/>
      <c r="AR551" s="50"/>
      <c r="AS551" s="50"/>
      <c r="AU551" s="40"/>
    </row>
    <row r="552">
      <c r="B552" s="50"/>
      <c r="C552" s="50"/>
      <c r="D552" s="50"/>
      <c r="E552" s="50"/>
      <c r="Q552" s="40"/>
      <c r="S552" s="11"/>
      <c r="T552" s="50"/>
      <c r="U552" s="51"/>
      <c r="V552" s="50"/>
      <c r="W552" s="50"/>
      <c r="X552" s="40"/>
      <c r="Z552" s="11"/>
      <c r="AA552" s="50"/>
      <c r="AB552" s="50"/>
      <c r="AC552" s="50"/>
      <c r="AD552" s="50"/>
      <c r="AE552" s="52"/>
      <c r="AF552" s="40"/>
      <c r="AN552" s="40"/>
      <c r="AP552" s="50"/>
      <c r="AQ552" s="50"/>
      <c r="AR552" s="50"/>
      <c r="AS552" s="50"/>
      <c r="AU552" s="40"/>
    </row>
    <row r="553">
      <c r="B553" s="50"/>
      <c r="C553" s="50"/>
      <c r="D553" s="50"/>
      <c r="E553" s="50"/>
      <c r="Q553" s="40"/>
      <c r="S553" s="11"/>
      <c r="T553" s="50"/>
      <c r="U553" s="51"/>
      <c r="V553" s="50"/>
      <c r="W553" s="50"/>
      <c r="X553" s="40"/>
      <c r="Z553" s="11"/>
      <c r="AA553" s="50"/>
      <c r="AB553" s="50"/>
      <c r="AC553" s="50"/>
      <c r="AD553" s="50"/>
      <c r="AE553" s="52"/>
      <c r="AF553" s="40"/>
      <c r="AN553" s="40"/>
      <c r="AP553" s="50"/>
      <c r="AQ553" s="50"/>
      <c r="AR553" s="50"/>
      <c r="AS553" s="50"/>
      <c r="AU553" s="40"/>
    </row>
    <row r="554">
      <c r="B554" s="50"/>
      <c r="C554" s="50"/>
      <c r="D554" s="50"/>
      <c r="E554" s="50"/>
      <c r="Q554" s="40"/>
      <c r="S554" s="11"/>
      <c r="T554" s="50"/>
      <c r="U554" s="51"/>
      <c r="V554" s="50"/>
      <c r="W554" s="50"/>
      <c r="X554" s="40"/>
      <c r="Z554" s="11"/>
      <c r="AA554" s="50"/>
      <c r="AB554" s="50"/>
      <c r="AC554" s="50"/>
      <c r="AD554" s="50"/>
      <c r="AE554" s="52"/>
      <c r="AF554" s="40"/>
      <c r="AN554" s="40"/>
      <c r="AP554" s="50"/>
      <c r="AQ554" s="50"/>
      <c r="AR554" s="50"/>
      <c r="AS554" s="50"/>
      <c r="AU554" s="40"/>
    </row>
    <row r="555">
      <c r="B555" s="50"/>
      <c r="C555" s="50"/>
      <c r="D555" s="50"/>
      <c r="E555" s="50"/>
      <c r="Q555" s="40"/>
      <c r="S555" s="11"/>
      <c r="T555" s="50"/>
      <c r="U555" s="51"/>
      <c r="V555" s="50"/>
      <c r="W555" s="50"/>
      <c r="X555" s="40"/>
      <c r="Z555" s="11"/>
      <c r="AA555" s="50"/>
      <c r="AB555" s="50"/>
      <c r="AC555" s="50"/>
      <c r="AD555" s="50"/>
      <c r="AE555" s="52"/>
      <c r="AF555" s="40"/>
      <c r="AN555" s="40"/>
      <c r="AP555" s="50"/>
      <c r="AQ555" s="50"/>
      <c r="AR555" s="50"/>
      <c r="AS555" s="50"/>
      <c r="AU555" s="40"/>
    </row>
    <row r="556">
      <c r="B556" s="50"/>
      <c r="C556" s="50"/>
      <c r="D556" s="50"/>
      <c r="E556" s="50"/>
      <c r="Q556" s="40"/>
      <c r="S556" s="11"/>
      <c r="T556" s="50"/>
      <c r="U556" s="51"/>
      <c r="V556" s="50"/>
      <c r="W556" s="50"/>
      <c r="X556" s="40"/>
      <c r="Z556" s="11"/>
      <c r="AA556" s="50"/>
      <c r="AB556" s="50"/>
      <c r="AC556" s="50"/>
      <c r="AD556" s="50"/>
      <c r="AE556" s="52"/>
      <c r="AF556" s="40"/>
      <c r="AN556" s="40"/>
      <c r="AP556" s="50"/>
      <c r="AQ556" s="50"/>
      <c r="AR556" s="50"/>
      <c r="AS556" s="50"/>
      <c r="AU556" s="40"/>
    </row>
    <row r="557">
      <c r="B557" s="50"/>
      <c r="C557" s="50"/>
      <c r="D557" s="50"/>
      <c r="E557" s="50"/>
      <c r="Q557" s="40"/>
      <c r="S557" s="11"/>
      <c r="T557" s="50"/>
      <c r="U557" s="51"/>
      <c r="V557" s="50"/>
      <c r="W557" s="50"/>
      <c r="X557" s="40"/>
      <c r="Z557" s="11"/>
      <c r="AA557" s="50"/>
      <c r="AB557" s="50"/>
      <c r="AC557" s="50"/>
      <c r="AD557" s="50"/>
      <c r="AE557" s="52"/>
      <c r="AF557" s="40"/>
      <c r="AN557" s="40"/>
      <c r="AP557" s="50"/>
      <c r="AQ557" s="50"/>
      <c r="AR557" s="50"/>
      <c r="AS557" s="50"/>
      <c r="AU557" s="40"/>
    </row>
    <row r="558">
      <c r="B558" s="50"/>
      <c r="C558" s="50"/>
      <c r="D558" s="50"/>
      <c r="E558" s="50"/>
      <c r="Q558" s="40"/>
      <c r="S558" s="11"/>
      <c r="T558" s="50"/>
      <c r="U558" s="51"/>
      <c r="V558" s="50"/>
      <c r="W558" s="50"/>
      <c r="X558" s="40"/>
      <c r="Z558" s="11"/>
      <c r="AA558" s="50"/>
      <c r="AB558" s="50"/>
      <c r="AC558" s="50"/>
      <c r="AD558" s="50"/>
      <c r="AE558" s="52"/>
      <c r="AF558" s="40"/>
      <c r="AN558" s="40"/>
      <c r="AP558" s="50"/>
      <c r="AQ558" s="50"/>
      <c r="AR558" s="50"/>
      <c r="AS558" s="50"/>
      <c r="AU558" s="40"/>
    </row>
    <row r="559">
      <c r="B559" s="50"/>
      <c r="C559" s="50"/>
      <c r="D559" s="50"/>
      <c r="E559" s="50"/>
      <c r="Q559" s="40"/>
      <c r="S559" s="11"/>
      <c r="T559" s="50"/>
      <c r="U559" s="51"/>
      <c r="V559" s="50"/>
      <c r="W559" s="50"/>
      <c r="X559" s="40"/>
      <c r="Z559" s="11"/>
      <c r="AA559" s="50"/>
      <c r="AB559" s="50"/>
      <c r="AC559" s="50"/>
      <c r="AD559" s="50"/>
      <c r="AE559" s="52"/>
      <c r="AF559" s="40"/>
      <c r="AN559" s="40"/>
      <c r="AP559" s="50"/>
      <c r="AQ559" s="50"/>
      <c r="AR559" s="50"/>
      <c r="AS559" s="50"/>
      <c r="AU559" s="40"/>
    </row>
    <row r="560">
      <c r="B560" s="50"/>
      <c r="C560" s="50"/>
      <c r="D560" s="50"/>
      <c r="E560" s="50"/>
      <c r="Q560" s="40"/>
      <c r="S560" s="11"/>
      <c r="T560" s="50"/>
      <c r="U560" s="51"/>
      <c r="V560" s="50"/>
      <c r="W560" s="50"/>
      <c r="X560" s="40"/>
      <c r="Z560" s="11"/>
      <c r="AA560" s="50"/>
      <c r="AB560" s="50"/>
      <c r="AC560" s="50"/>
      <c r="AD560" s="50"/>
      <c r="AE560" s="52"/>
      <c r="AF560" s="40"/>
      <c r="AN560" s="40"/>
      <c r="AP560" s="50"/>
      <c r="AQ560" s="50"/>
      <c r="AR560" s="50"/>
      <c r="AS560" s="50"/>
      <c r="AU560" s="40"/>
    </row>
    <row r="561">
      <c r="B561" s="50"/>
      <c r="C561" s="50"/>
      <c r="D561" s="50"/>
      <c r="E561" s="50"/>
      <c r="Q561" s="40"/>
      <c r="S561" s="11"/>
      <c r="T561" s="50"/>
      <c r="U561" s="51"/>
      <c r="V561" s="50"/>
      <c r="W561" s="50"/>
      <c r="X561" s="40"/>
      <c r="Z561" s="11"/>
      <c r="AA561" s="50"/>
      <c r="AB561" s="50"/>
      <c r="AC561" s="50"/>
      <c r="AD561" s="50"/>
      <c r="AE561" s="52"/>
      <c r="AF561" s="40"/>
      <c r="AN561" s="40"/>
      <c r="AP561" s="50"/>
      <c r="AQ561" s="50"/>
      <c r="AR561" s="50"/>
      <c r="AS561" s="50"/>
      <c r="AU561" s="40"/>
    </row>
    <row r="562">
      <c r="B562" s="50"/>
      <c r="C562" s="50"/>
      <c r="D562" s="50"/>
      <c r="E562" s="50"/>
      <c r="Q562" s="40"/>
      <c r="S562" s="11"/>
      <c r="T562" s="50"/>
      <c r="U562" s="51"/>
      <c r="V562" s="50"/>
      <c r="W562" s="50"/>
      <c r="X562" s="40"/>
      <c r="Z562" s="11"/>
      <c r="AA562" s="50"/>
      <c r="AB562" s="50"/>
      <c r="AC562" s="50"/>
      <c r="AD562" s="50"/>
      <c r="AE562" s="52"/>
      <c r="AF562" s="40"/>
      <c r="AN562" s="40"/>
      <c r="AP562" s="50"/>
      <c r="AQ562" s="50"/>
      <c r="AR562" s="50"/>
      <c r="AS562" s="50"/>
      <c r="AU562" s="40"/>
    </row>
    <row r="563">
      <c r="B563" s="50"/>
      <c r="C563" s="50"/>
      <c r="D563" s="50"/>
      <c r="E563" s="50"/>
      <c r="Q563" s="40"/>
      <c r="S563" s="11"/>
      <c r="T563" s="50"/>
      <c r="U563" s="51"/>
      <c r="V563" s="50"/>
      <c r="W563" s="50"/>
      <c r="X563" s="40"/>
      <c r="Z563" s="11"/>
      <c r="AA563" s="50"/>
      <c r="AB563" s="50"/>
      <c r="AC563" s="50"/>
      <c r="AD563" s="50"/>
      <c r="AE563" s="52"/>
      <c r="AF563" s="40"/>
      <c r="AN563" s="40"/>
      <c r="AP563" s="50"/>
      <c r="AQ563" s="50"/>
      <c r="AR563" s="50"/>
      <c r="AS563" s="50"/>
      <c r="AU563" s="40"/>
    </row>
    <row r="564">
      <c r="B564" s="50"/>
      <c r="C564" s="50"/>
      <c r="D564" s="50"/>
      <c r="E564" s="50"/>
      <c r="Q564" s="40"/>
      <c r="S564" s="11"/>
      <c r="T564" s="50"/>
      <c r="U564" s="51"/>
      <c r="V564" s="50"/>
      <c r="W564" s="50"/>
      <c r="X564" s="40"/>
      <c r="Z564" s="11"/>
      <c r="AA564" s="50"/>
      <c r="AB564" s="50"/>
      <c r="AC564" s="50"/>
      <c r="AD564" s="50"/>
      <c r="AE564" s="52"/>
      <c r="AF564" s="40"/>
      <c r="AN564" s="40"/>
      <c r="AP564" s="50"/>
      <c r="AQ564" s="50"/>
      <c r="AR564" s="50"/>
      <c r="AS564" s="50"/>
      <c r="AU564" s="40"/>
    </row>
    <row r="565">
      <c r="B565" s="50"/>
      <c r="C565" s="50"/>
      <c r="D565" s="50"/>
      <c r="E565" s="50"/>
      <c r="Q565" s="40"/>
      <c r="S565" s="11"/>
      <c r="T565" s="50"/>
      <c r="U565" s="51"/>
      <c r="V565" s="50"/>
      <c r="W565" s="50"/>
      <c r="X565" s="40"/>
      <c r="Z565" s="11"/>
      <c r="AA565" s="50"/>
      <c r="AB565" s="50"/>
      <c r="AC565" s="50"/>
      <c r="AD565" s="50"/>
      <c r="AE565" s="52"/>
      <c r="AF565" s="40"/>
      <c r="AN565" s="40"/>
      <c r="AP565" s="50"/>
      <c r="AQ565" s="50"/>
      <c r="AR565" s="50"/>
      <c r="AS565" s="50"/>
      <c r="AU565" s="40"/>
    </row>
    <row r="566">
      <c r="B566" s="50"/>
      <c r="C566" s="50"/>
      <c r="D566" s="50"/>
      <c r="E566" s="50"/>
      <c r="Q566" s="40"/>
      <c r="S566" s="11"/>
      <c r="T566" s="50"/>
      <c r="U566" s="51"/>
      <c r="V566" s="50"/>
      <c r="W566" s="50"/>
      <c r="X566" s="40"/>
      <c r="Z566" s="11"/>
      <c r="AA566" s="50"/>
      <c r="AB566" s="50"/>
      <c r="AC566" s="50"/>
      <c r="AD566" s="50"/>
      <c r="AE566" s="52"/>
      <c r="AF566" s="40"/>
      <c r="AN566" s="40"/>
      <c r="AP566" s="50"/>
      <c r="AQ566" s="50"/>
      <c r="AR566" s="50"/>
      <c r="AS566" s="50"/>
      <c r="AU566" s="40"/>
    </row>
    <row r="567">
      <c r="B567" s="50"/>
      <c r="C567" s="50"/>
      <c r="D567" s="50"/>
      <c r="E567" s="50"/>
      <c r="Q567" s="40"/>
      <c r="S567" s="11"/>
      <c r="T567" s="50"/>
      <c r="U567" s="51"/>
      <c r="V567" s="50"/>
      <c r="W567" s="50"/>
      <c r="X567" s="40"/>
      <c r="Z567" s="11"/>
      <c r="AA567" s="50"/>
      <c r="AB567" s="50"/>
      <c r="AC567" s="50"/>
      <c r="AD567" s="50"/>
      <c r="AE567" s="52"/>
      <c r="AF567" s="40"/>
      <c r="AN567" s="40"/>
      <c r="AP567" s="50"/>
      <c r="AQ567" s="50"/>
      <c r="AR567" s="50"/>
      <c r="AS567" s="50"/>
      <c r="AU567" s="40"/>
    </row>
    <row r="568">
      <c r="B568" s="50"/>
      <c r="C568" s="50"/>
      <c r="D568" s="50"/>
      <c r="E568" s="50"/>
      <c r="Q568" s="40"/>
      <c r="S568" s="11"/>
      <c r="T568" s="50"/>
      <c r="U568" s="51"/>
      <c r="V568" s="50"/>
      <c r="W568" s="50"/>
      <c r="X568" s="40"/>
      <c r="Z568" s="11"/>
      <c r="AA568" s="50"/>
      <c r="AB568" s="50"/>
      <c r="AC568" s="50"/>
      <c r="AD568" s="50"/>
      <c r="AE568" s="52"/>
      <c r="AF568" s="40"/>
      <c r="AN568" s="40"/>
      <c r="AP568" s="50"/>
      <c r="AQ568" s="50"/>
      <c r="AR568" s="50"/>
      <c r="AS568" s="50"/>
      <c r="AU568" s="40"/>
    </row>
    <row r="569">
      <c r="B569" s="50"/>
      <c r="C569" s="50"/>
      <c r="D569" s="50"/>
      <c r="E569" s="50"/>
      <c r="Q569" s="40"/>
      <c r="S569" s="11"/>
      <c r="T569" s="50"/>
      <c r="U569" s="51"/>
      <c r="V569" s="50"/>
      <c r="W569" s="50"/>
      <c r="X569" s="40"/>
      <c r="Z569" s="11"/>
      <c r="AA569" s="50"/>
      <c r="AB569" s="50"/>
      <c r="AC569" s="50"/>
      <c r="AD569" s="50"/>
      <c r="AE569" s="52"/>
      <c r="AF569" s="40"/>
      <c r="AN569" s="40"/>
      <c r="AP569" s="50"/>
      <c r="AQ569" s="50"/>
      <c r="AR569" s="50"/>
      <c r="AS569" s="50"/>
      <c r="AU569" s="40"/>
    </row>
    <row r="570">
      <c r="B570" s="50"/>
      <c r="C570" s="50"/>
      <c r="D570" s="50"/>
      <c r="E570" s="50"/>
      <c r="Q570" s="40"/>
      <c r="S570" s="11"/>
      <c r="T570" s="50"/>
      <c r="U570" s="51"/>
      <c r="V570" s="50"/>
      <c r="W570" s="50"/>
      <c r="X570" s="40"/>
      <c r="Z570" s="11"/>
      <c r="AA570" s="50"/>
      <c r="AB570" s="50"/>
      <c r="AC570" s="50"/>
      <c r="AD570" s="50"/>
      <c r="AE570" s="52"/>
      <c r="AF570" s="40"/>
      <c r="AN570" s="40"/>
      <c r="AP570" s="50"/>
      <c r="AQ570" s="50"/>
      <c r="AR570" s="50"/>
      <c r="AS570" s="50"/>
      <c r="AU570" s="40"/>
    </row>
    <row r="571">
      <c r="B571" s="50"/>
      <c r="C571" s="50"/>
      <c r="D571" s="50"/>
      <c r="E571" s="50"/>
      <c r="Q571" s="40"/>
      <c r="S571" s="11"/>
      <c r="T571" s="50"/>
      <c r="U571" s="51"/>
      <c r="V571" s="50"/>
      <c r="W571" s="50"/>
      <c r="X571" s="40"/>
      <c r="Z571" s="11"/>
      <c r="AA571" s="50"/>
      <c r="AB571" s="50"/>
      <c r="AC571" s="50"/>
      <c r="AD571" s="50"/>
      <c r="AE571" s="52"/>
      <c r="AF571" s="40"/>
      <c r="AN571" s="40"/>
      <c r="AP571" s="50"/>
      <c r="AQ571" s="50"/>
      <c r="AR571" s="50"/>
      <c r="AS571" s="50"/>
      <c r="AU571" s="40"/>
    </row>
    <row r="572">
      <c r="B572" s="50"/>
      <c r="C572" s="50"/>
      <c r="D572" s="50"/>
      <c r="E572" s="50"/>
      <c r="Q572" s="40"/>
      <c r="S572" s="11"/>
      <c r="T572" s="50"/>
      <c r="U572" s="51"/>
      <c r="V572" s="50"/>
      <c r="W572" s="50"/>
      <c r="X572" s="40"/>
      <c r="Z572" s="11"/>
      <c r="AA572" s="50"/>
      <c r="AB572" s="50"/>
      <c r="AC572" s="50"/>
      <c r="AD572" s="50"/>
      <c r="AE572" s="52"/>
      <c r="AF572" s="40"/>
      <c r="AN572" s="40"/>
      <c r="AP572" s="50"/>
      <c r="AQ572" s="50"/>
      <c r="AR572" s="50"/>
      <c r="AS572" s="50"/>
      <c r="AU572" s="40"/>
    </row>
    <row r="573">
      <c r="B573" s="50"/>
      <c r="C573" s="50"/>
      <c r="D573" s="50"/>
      <c r="E573" s="50"/>
      <c r="Q573" s="40"/>
      <c r="S573" s="11"/>
      <c r="T573" s="50"/>
      <c r="U573" s="51"/>
      <c r="V573" s="50"/>
      <c r="W573" s="50"/>
      <c r="X573" s="40"/>
      <c r="Z573" s="11"/>
      <c r="AA573" s="50"/>
      <c r="AB573" s="50"/>
      <c r="AC573" s="50"/>
      <c r="AD573" s="50"/>
      <c r="AE573" s="52"/>
      <c r="AF573" s="40"/>
      <c r="AN573" s="40"/>
      <c r="AP573" s="50"/>
      <c r="AQ573" s="50"/>
      <c r="AR573" s="50"/>
      <c r="AS573" s="50"/>
      <c r="AU573" s="40"/>
    </row>
    <row r="574">
      <c r="B574" s="50"/>
      <c r="C574" s="50"/>
      <c r="D574" s="50"/>
      <c r="E574" s="50"/>
      <c r="Q574" s="40"/>
      <c r="S574" s="11"/>
      <c r="T574" s="50"/>
      <c r="U574" s="51"/>
      <c r="V574" s="50"/>
      <c r="W574" s="50"/>
      <c r="X574" s="40"/>
      <c r="Z574" s="11"/>
      <c r="AA574" s="50"/>
      <c r="AB574" s="50"/>
      <c r="AC574" s="50"/>
      <c r="AD574" s="50"/>
      <c r="AE574" s="52"/>
      <c r="AF574" s="40"/>
      <c r="AN574" s="40"/>
      <c r="AP574" s="50"/>
      <c r="AQ574" s="50"/>
      <c r="AR574" s="50"/>
      <c r="AS574" s="50"/>
      <c r="AU574" s="40"/>
    </row>
    <row r="575">
      <c r="B575" s="50"/>
      <c r="C575" s="50"/>
      <c r="D575" s="50"/>
      <c r="E575" s="50"/>
      <c r="Q575" s="40"/>
      <c r="S575" s="11"/>
      <c r="T575" s="50"/>
      <c r="U575" s="51"/>
      <c r="V575" s="50"/>
      <c r="W575" s="50"/>
      <c r="X575" s="40"/>
      <c r="Z575" s="11"/>
      <c r="AA575" s="50"/>
      <c r="AB575" s="50"/>
      <c r="AC575" s="50"/>
      <c r="AD575" s="50"/>
      <c r="AE575" s="52"/>
      <c r="AF575" s="40"/>
      <c r="AN575" s="40"/>
      <c r="AP575" s="50"/>
      <c r="AQ575" s="50"/>
      <c r="AR575" s="50"/>
      <c r="AS575" s="50"/>
      <c r="AU575" s="40"/>
    </row>
    <row r="576">
      <c r="B576" s="50"/>
      <c r="C576" s="50"/>
      <c r="D576" s="50"/>
      <c r="E576" s="50"/>
      <c r="Q576" s="40"/>
      <c r="S576" s="11"/>
      <c r="T576" s="50"/>
      <c r="U576" s="51"/>
      <c r="V576" s="50"/>
      <c r="W576" s="50"/>
      <c r="X576" s="40"/>
      <c r="Z576" s="11"/>
      <c r="AA576" s="50"/>
      <c r="AB576" s="50"/>
      <c r="AC576" s="50"/>
      <c r="AD576" s="50"/>
      <c r="AE576" s="52"/>
      <c r="AF576" s="40"/>
      <c r="AN576" s="40"/>
      <c r="AP576" s="50"/>
      <c r="AQ576" s="50"/>
      <c r="AR576" s="50"/>
      <c r="AS576" s="50"/>
      <c r="AU576" s="40"/>
    </row>
    <row r="577">
      <c r="B577" s="50"/>
      <c r="C577" s="50"/>
      <c r="D577" s="50"/>
      <c r="E577" s="50"/>
      <c r="Q577" s="40"/>
      <c r="S577" s="11"/>
      <c r="T577" s="50"/>
      <c r="U577" s="51"/>
      <c r="V577" s="50"/>
      <c r="W577" s="50"/>
      <c r="X577" s="40"/>
      <c r="Z577" s="11"/>
      <c r="AA577" s="50"/>
      <c r="AB577" s="50"/>
      <c r="AC577" s="50"/>
      <c r="AD577" s="50"/>
      <c r="AE577" s="52"/>
      <c r="AF577" s="40"/>
      <c r="AN577" s="40"/>
      <c r="AP577" s="50"/>
      <c r="AQ577" s="50"/>
      <c r="AR577" s="50"/>
      <c r="AS577" s="50"/>
      <c r="AU577" s="40"/>
    </row>
    <row r="578">
      <c r="B578" s="50"/>
      <c r="C578" s="50"/>
      <c r="D578" s="50"/>
      <c r="E578" s="50"/>
      <c r="Q578" s="40"/>
      <c r="S578" s="11"/>
      <c r="T578" s="50"/>
      <c r="U578" s="51"/>
      <c r="V578" s="50"/>
      <c r="W578" s="50"/>
      <c r="X578" s="40"/>
      <c r="Z578" s="11"/>
      <c r="AA578" s="50"/>
      <c r="AB578" s="50"/>
      <c r="AC578" s="50"/>
      <c r="AD578" s="50"/>
      <c r="AE578" s="52"/>
      <c r="AF578" s="40"/>
      <c r="AN578" s="40"/>
      <c r="AP578" s="50"/>
      <c r="AQ578" s="50"/>
      <c r="AR578" s="50"/>
      <c r="AS578" s="50"/>
      <c r="AU578" s="40"/>
    </row>
    <row r="579">
      <c r="B579" s="50"/>
      <c r="C579" s="50"/>
      <c r="D579" s="50"/>
      <c r="E579" s="50"/>
      <c r="Q579" s="40"/>
      <c r="S579" s="11"/>
      <c r="T579" s="50"/>
      <c r="U579" s="51"/>
      <c r="V579" s="50"/>
      <c r="W579" s="50"/>
      <c r="X579" s="40"/>
      <c r="Z579" s="11"/>
      <c r="AA579" s="50"/>
      <c r="AB579" s="50"/>
      <c r="AC579" s="50"/>
      <c r="AD579" s="50"/>
      <c r="AE579" s="52"/>
      <c r="AF579" s="40"/>
      <c r="AN579" s="40"/>
      <c r="AP579" s="50"/>
      <c r="AQ579" s="50"/>
      <c r="AR579" s="50"/>
      <c r="AS579" s="50"/>
      <c r="AU579" s="40"/>
    </row>
    <row r="580">
      <c r="B580" s="50"/>
      <c r="C580" s="50"/>
      <c r="D580" s="50"/>
      <c r="E580" s="50"/>
      <c r="Q580" s="40"/>
      <c r="S580" s="11"/>
      <c r="T580" s="50"/>
      <c r="U580" s="51"/>
      <c r="V580" s="50"/>
      <c r="W580" s="50"/>
      <c r="X580" s="40"/>
      <c r="Z580" s="11"/>
      <c r="AA580" s="50"/>
      <c r="AB580" s="50"/>
      <c r="AC580" s="50"/>
      <c r="AD580" s="50"/>
      <c r="AE580" s="52"/>
      <c r="AF580" s="40"/>
      <c r="AN580" s="40"/>
      <c r="AP580" s="50"/>
      <c r="AQ580" s="50"/>
      <c r="AR580" s="50"/>
      <c r="AS580" s="50"/>
      <c r="AU580" s="40"/>
    </row>
    <row r="581">
      <c r="B581" s="50"/>
      <c r="C581" s="50"/>
      <c r="D581" s="50"/>
      <c r="E581" s="50"/>
      <c r="Q581" s="40"/>
      <c r="S581" s="11"/>
      <c r="T581" s="50"/>
      <c r="U581" s="51"/>
      <c r="V581" s="50"/>
      <c r="W581" s="50"/>
      <c r="X581" s="40"/>
      <c r="Z581" s="11"/>
      <c r="AA581" s="50"/>
      <c r="AB581" s="50"/>
      <c r="AC581" s="50"/>
      <c r="AD581" s="50"/>
      <c r="AE581" s="52"/>
      <c r="AF581" s="40"/>
      <c r="AN581" s="40"/>
      <c r="AP581" s="50"/>
      <c r="AQ581" s="50"/>
      <c r="AR581" s="50"/>
      <c r="AS581" s="50"/>
      <c r="AU581" s="40"/>
    </row>
    <row r="582">
      <c r="B582" s="50"/>
      <c r="C582" s="50"/>
      <c r="D582" s="50"/>
      <c r="E582" s="50"/>
      <c r="Q582" s="40"/>
      <c r="S582" s="11"/>
      <c r="T582" s="50"/>
      <c r="U582" s="51"/>
      <c r="V582" s="50"/>
      <c r="W582" s="50"/>
      <c r="X582" s="40"/>
      <c r="Z582" s="11"/>
      <c r="AA582" s="50"/>
      <c r="AB582" s="50"/>
      <c r="AC582" s="50"/>
      <c r="AD582" s="50"/>
      <c r="AE582" s="52"/>
      <c r="AF582" s="40"/>
      <c r="AN582" s="40"/>
      <c r="AP582" s="50"/>
      <c r="AQ582" s="50"/>
      <c r="AR582" s="50"/>
      <c r="AS582" s="50"/>
      <c r="AU582" s="40"/>
    </row>
    <row r="583">
      <c r="B583" s="50"/>
      <c r="C583" s="50"/>
      <c r="D583" s="50"/>
      <c r="E583" s="50"/>
      <c r="Q583" s="40"/>
      <c r="S583" s="11"/>
      <c r="T583" s="50"/>
      <c r="U583" s="51"/>
      <c r="V583" s="50"/>
      <c r="W583" s="50"/>
      <c r="X583" s="40"/>
      <c r="Z583" s="11"/>
      <c r="AA583" s="50"/>
      <c r="AB583" s="50"/>
      <c r="AC583" s="50"/>
      <c r="AD583" s="50"/>
      <c r="AE583" s="52"/>
      <c r="AF583" s="40"/>
      <c r="AN583" s="40"/>
      <c r="AP583" s="50"/>
      <c r="AQ583" s="50"/>
      <c r="AR583" s="50"/>
      <c r="AS583" s="50"/>
      <c r="AU583" s="40"/>
    </row>
    <row r="584">
      <c r="B584" s="50"/>
      <c r="C584" s="50"/>
      <c r="D584" s="50"/>
      <c r="E584" s="50"/>
      <c r="Q584" s="40"/>
      <c r="S584" s="11"/>
      <c r="T584" s="50"/>
      <c r="U584" s="51"/>
      <c r="V584" s="50"/>
      <c r="W584" s="50"/>
      <c r="X584" s="40"/>
      <c r="Z584" s="11"/>
      <c r="AA584" s="50"/>
      <c r="AB584" s="50"/>
      <c r="AC584" s="50"/>
      <c r="AD584" s="50"/>
      <c r="AE584" s="52"/>
      <c r="AF584" s="40"/>
      <c r="AN584" s="40"/>
      <c r="AP584" s="50"/>
      <c r="AQ584" s="50"/>
      <c r="AR584" s="50"/>
      <c r="AS584" s="50"/>
      <c r="AU584" s="40"/>
    </row>
    <row r="585">
      <c r="B585" s="50"/>
      <c r="C585" s="50"/>
      <c r="D585" s="50"/>
      <c r="E585" s="50"/>
      <c r="Q585" s="40"/>
      <c r="S585" s="11"/>
      <c r="T585" s="50"/>
      <c r="U585" s="51"/>
      <c r="V585" s="50"/>
      <c r="W585" s="50"/>
      <c r="X585" s="40"/>
      <c r="Z585" s="11"/>
      <c r="AA585" s="50"/>
      <c r="AB585" s="50"/>
      <c r="AC585" s="50"/>
      <c r="AD585" s="50"/>
      <c r="AE585" s="52"/>
      <c r="AF585" s="40"/>
      <c r="AN585" s="40"/>
      <c r="AP585" s="50"/>
      <c r="AQ585" s="50"/>
      <c r="AR585" s="50"/>
      <c r="AS585" s="50"/>
      <c r="AU585" s="40"/>
    </row>
    <row r="586">
      <c r="B586" s="50"/>
      <c r="C586" s="50"/>
      <c r="D586" s="50"/>
      <c r="E586" s="50"/>
      <c r="Q586" s="40"/>
      <c r="S586" s="11"/>
      <c r="T586" s="50"/>
      <c r="U586" s="51"/>
      <c r="V586" s="50"/>
      <c r="W586" s="50"/>
      <c r="X586" s="40"/>
      <c r="Z586" s="11"/>
      <c r="AA586" s="50"/>
      <c r="AB586" s="50"/>
      <c r="AC586" s="50"/>
      <c r="AD586" s="50"/>
      <c r="AE586" s="52"/>
      <c r="AF586" s="40"/>
      <c r="AN586" s="40"/>
      <c r="AP586" s="50"/>
      <c r="AQ586" s="50"/>
      <c r="AR586" s="50"/>
      <c r="AS586" s="50"/>
      <c r="AU586" s="40"/>
    </row>
    <row r="587">
      <c r="B587" s="50"/>
      <c r="C587" s="50"/>
      <c r="D587" s="50"/>
      <c r="E587" s="50"/>
      <c r="Q587" s="40"/>
      <c r="S587" s="11"/>
      <c r="T587" s="50"/>
      <c r="U587" s="51"/>
      <c r="V587" s="50"/>
      <c r="W587" s="50"/>
      <c r="X587" s="40"/>
      <c r="Z587" s="11"/>
      <c r="AA587" s="50"/>
      <c r="AB587" s="50"/>
      <c r="AC587" s="50"/>
      <c r="AD587" s="50"/>
      <c r="AE587" s="52"/>
      <c r="AF587" s="40"/>
      <c r="AN587" s="40"/>
      <c r="AP587" s="50"/>
      <c r="AQ587" s="50"/>
      <c r="AR587" s="50"/>
      <c r="AS587" s="50"/>
      <c r="AU587" s="40"/>
    </row>
    <row r="588">
      <c r="B588" s="50"/>
      <c r="C588" s="50"/>
      <c r="D588" s="50"/>
      <c r="E588" s="50"/>
      <c r="Q588" s="40"/>
      <c r="S588" s="11"/>
      <c r="T588" s="50"/>
      <c r="U588" s="51"/>
      <c r="V588" s="50"/>
      <c r="W588" s="50"/>
      <c r="X588" s="40"/>
      <c r="Z588" s="11"/>
      <c r="AA588" s="50"/>
      <c r="AB588" s="50"/>
      <c r="AC588" s="50"/>
      <c r="AD588" s="50"/>
      <c r="AE588" s="52"/>
      <c r="AF588" s="40"/>
      <c r="AN588" s="40"/>
      <c r="AP588" s="50"/>
      <c r="AQ588" s="50"/>
      <c r="AR588" s="50"/>
      <c r="AS588" s="50"/>
      <c r="AU588" s="40"/>
    </row>
    <row r="589">
      <c r="B589" s="50"/>
      <c r="C589" s="50"/>
      <c r="D589" s="50"/>
      <c r="E589" s="50"/>
      <c r="Q589" s="40"/>
      <c r="S589" s="11"/>
      <c r="T589" s="50"/>
      <c r="U589" s="51"/>
      <c r="V589" s="50"/>
      <c r="W589" s="50"/>
      <c r="X589" s="40"/>
      <c r="Z589" s="11"/>
      <c r="AA589" s="50"/>
      <c r="AB589" s="50"/>
      <c r="AC589" s="50"/>
      <c r="AD589" s="50"/>
      <c r="AE589" s="52"/>
      <c r="AF589" s="40"/>
      <c r="AN589" s="40"/>
      <c r="AP589" s="50"/>
      <c r="AQ589" s="50"/>
      <c r="AR589" s="50"/>
      <c r="AS589" s="50"/>
      <c r="AU589" s="40"/>
    </row>
    <row r="590">
      <c r="B590" s="50"/>
      <c r="C590" s="50"/>
      <c r="D590" s="50"/>
      <c r="E590" s="50"/>
      <c r="Q590" s="40"/>
      <c r="S590" s="11"/>
      <c r="T590" s="50"/>
      <c r="U590" s="51"/>
      <c r="V590" s="50"/>
      <c r="W590" s="50"/>
      <c r="X590" s="40"/>
      <c r="Z590" s="11"/>
      <c r="AA590" s="50"/>
      <c r="AB590" s="50"/>
      <c r="AC590" s="50"/>
      <c r="AD590" s="50"/>
      <c r="AE590" s="52"/>
      <c r="AF590" s="40"/>
      <c r="AN590" s="40"/>
      <c r="AP590" s="50"/>
      <c r="AQ590" s="50"/>
      <c r="AR590" s="50"/>
      <c r="AS590" s="50"/>
      <c r="AU590" s="40"/>
    </row>
    <row r="591">
      <c r="B591" s="50"/>
      <c r="C591" s="50"/>
      <c r="D591" s="50"/>
      <c r="E591" s="50"/>
      <c r="Q591" s="40"/>
      <c r="S591" s="11"/>
      <c r="T591" s="50"/>
      <c r="U591" s="51"/>
      <c r="V591" s="50"/>
      <c r="W591" s="50"/>
      <c r="X591" s="40"/>
      <c r="Z591" s="11"/>
      <c r="AA591" s="50"/>
      <c r="AB591" s="50"/>
      <c r="AC591" s="50"/>
      <c r="AD591" s="50"/>
      <c r="AE591" s="52"/>
      <c r="AF591" s="40"/>
      <c r="AN591" s="40"/>
      <c r="AP591" s="50"/>
      <c r="AQ591" s="50"/>
      <c r="AR591" s="50"/>
      <c r="AS591" s="50"/>
      <c r="AU591" s="40"/>
    </row>
    <row r="592">
      <c r="B592" s="50"/>
      <c r="C592" s="50"/>
      <c r="D592" s="50"/>
      <c r="E592" s="50"/>
      <c r="Q592" s="40"/>
      <c r="S592" s="11"/>
      <c r="T592" s="50"/>
      <c r="U592" s="51"/>
      <c r="V592" s="50"/>
      <c r="W592" s="50"/>
      <c r="X592" s="40"/>
      <c r="Z592" s="11"/>
      <c r="AA592" s="50"/>
      <c r="AB592" s="50"/>
      <c r="AC592" s="50"/>
      <c r="AD592" s="50"/>
      <c r="AE592" s="52"/>
      <c r="AF592" s="40"/>
      <c r="AN592" s="40"/>
      <c r="AP592" s="50"/>
      <c r="AQ592" s="50"/>
      <c r="AR592" s="50"/>
      <c r="AS592" s="50"/>
      <c r="AU592" s="40"/>
    </row>
    <row r="593">
      <c r="B593" s="50"/>
      <c r="C593" s="50"/>
      <c r="D593" s="50"/>
      <c r="E593" s="50"/>
      <c r="Q593" s="40"/>
      <c r="S593" s="11"/>
      <c r="T593" s="50"/>
      <c r="U593" s="51"/>
      <c r="V593" s="50"/>
      <c r="W593" s="50"/>
      <c r="X593" s="40"/>
      <c r="Z593" s="11"/>
      <c r="AA593" s="50"/>
      <c r="AB593" s="50"/>
      <c r="AC593" s="50"/>
      <c r="AD593" s="50"/>
      <c r="AE593" s="52"/>
      <c r="AF593" s="40"/>
      <c r="AN593" s="40"/>
      <c r="AP593" s="50"/>
      <c r="AQ593" s="50"/>
      <c r="AR593" s="50"/>
      <c r="AS593" s="50"/>
      <c r="AU593" s="40"/>
    </row>
    <row r="594">
      <c r="B594" s="50"/>
      <c r="C594" s="50"/>
      <c r="D594" s="50"/>
      <c r="E594" s="50"/>
      <c r="Q594" s="40"/>
      <c r="S594" s="11"/>
      <c r="T594" s="50"/>
      <c r="U594" s="51"/>
      <c r="V594" s="50"/>
      <c r="W594" s="50"/>
      <c r="X594" s="40"/>
      <c r="Z594" s="11"/>
      <c r="AA594" s="50"/>
      <c r="AB594" s="50"/>
      <c r="AC594" s="50"/>
      <c r="AD594" s="50"/>
      <c r="AE594" s="52"/>
      <c r="AF594" s="40"/>
      <c r="AN594" s="40"/>
      <c r="AP594" s="50"/>
      <c r="AQ594" s="50"/>
      <c r="AR594" s="50"/>
      <c r="AS594" s="50"/>
      <c r="AU594" s="40"/>
    </row>
    <row r="595">
      <c r="B595" s="50"/>
      <c r="C595" s="50"/>
      <c r="D595" s="50"/>
      <c r="E595" s="50"/>
      <c r="Q595" s="40"/>
      <c r="S595" s="11"/>
      <c r="T595" s="50"/>
      <c r="U595" s="51"/>
      <c r="V595" s="50"/>
      <c r="W595" s="50"/>
      <c r="X595" s="40"/>
      <c r="Z595" s="11"/>
      <c r="AA595" s="50"/>
      <c r="AB595" s="50"/>
      <c r="AC595" s="50"/>
      <c r="AD595" s="50"/>
      <c r="AE595" s="52"/>
      <c r="AF595" s="40"/>
      <c r="AN595" s="40"/>
      <c r="AP595" s="50"/>
      <c r="AQ595" s="50"/>
      <c r="AR595" s="50"/>
      <c r="AS595" s="50"/>
      <c r="AU595" s="40"/>
    </row>
    <row r="596">
      <c r="B596" s="50"/>
      <c r="C596" s="50"/>
      <c r="D596" s="50"/>
      <c r="E596" s="50"/>
      <c r="Q596" s="40"/>
      <c r="S596" s="11"/>
      <c r="T596" s="50"/>
      <c r="U596" s="51"/>
      <c r="V596" s="50"/>
      <c r="W596" s="50"/>
      <c r="X596" s="40"/>
      <c r="Z596" s="11"/>
      <c r="AA596" s="50"/>
      <c r="AB596" s="50"/>
      <c r="AC596" s="50"/>
      <c r="AD596" s="50"/>
      <c r="AE596" s="52"/>
      <c r="AF596" s="40"/>
      <c r="AN596" s="40"/>
      <c r="AP596" s="50"/>
      <c r="AQ596" s="50"/>
      <c r="AR596" s="50"/>
      <c r="AS596" s="50"/>
      <c r="AU596" s="40"/>
    </row>
    <row r="597">
      <c r="B597" s="50"/>
      <c r="C597" s="50"/>
      <c r="D597" s="50"/>
      <c r="E597" s="50"/>
      <c r="Q597" s="40"/>
      <c r="S597" s="11"/>
      <c r="T597" s="50"/>
      <c r="U597" s="51"/>
      <c r="V597" s="50"/>
      <c r="W597" s="50"/>
      <c r="X597" s="40"/>
      <c r="Z597" s="11"/>
      <c r="AA597" s="50"/>
      <c r="AB597" s="50"/>
      <c r="AC597" s="50"/>
      <c r="AD597" s="50"/>
      <c r="AE597" s="52"/>
      <c r="AF597" s="40"/>
      <c r="AN597" s="40"/>
      <c r="AP597" s="50"/>
      <c r="AQ597" s="50"/>
      <c r="AR597" s="50"/>
      <c r="AS597" s="50"/>
      <c r="AU597" s="40"/>
    </row>
    <row r="598">
      <c r="B598" s="50"/>
      <c r="C598" s="50"/>
      <c r="D598" s="50"/>
      <c r="E598" s="50"/>
      <c r="Q598" s="40"/>
      <c r="S598" s="11"/>
      <c r="T598" s="50"/>
      <c r="U598" s="51"/>
      <c r="V598" s="50"/>
      <c r="W598" s="50"/>
      <c r="X598" s="40"/>
      <c r="Z598" s="11"/>
      <c r="AA598" s="50"/>
      <c r="AB598" s="50"/>
      <c r="AC598" s="50"/>
      <c r="AD598" s="50"/>
      <c r="AE598" s="52"/>
      <c r="AF598" s="40"/>
      <c r="AN598" s="40"/>
      <c r="AP598" s="50"/>
      <c r="AQ598" s="50"/>
      <c r="AR598" s="50"/>
      <c r="AS598" s="50"/>
      <c r="AU598" s="40"/>
    </row>
    <row r="599">
      <c r="B599" s="50"/>
      <c r="C599" s="50"/>
      <c r="D599" s="50"/>
      <c r="E599" s="50"/>
      <c r="Q599" s="40"/>
      <c r="S599" s="11"/>
      <c r="T599" s="50"/>
      <c r="U599" s="51"/>
      <c r="V599" s="50"/>
      <c r="W599" s="50"/>
      <c r="X599" s="40"/>
      <c r="Z599" s="11"/>
      <c r="AA599" s="50"/>
      <c r="AB599" s="50"/>
      <c r="AC599" s="50"/>
      <c r="AD599" s="50"/>
      <c r="AE599" s="52"/>
      <c r="AF599" s="40"/>
      <c r="AN599" s="40"/>
      <c r="AP599" s="50"/>
      <c r="AQ599" s="50"/>
      <c r="AR599" s="50"/>
      <c r="AS599" s="50"/>
      <c r="AU599" s="40"/>
    </row>
    <row r="600">
      <c r="B600" s="50"/>
      <c r="C600" s="50"/>
      <c r="D600" s="50"/>
      <c r="E600" s="50"/>
      <c r="Q600" s="40"/>
      <c r="S600" s="11"/>
      <c r="T600" s="50"/>
      <c r="U600" s="51"/>
      <c r="V600" s="50"/>
      <c r="W600" s="50"/>
      <c r="X600" s="40"/>
      <c r="Z600" s="11"/>
      <c r="AA600" s="50"/>
      <c r="AB600" s="50"/>
      <c r="AC600" s="50"/>
      <c r="AD600" s="50"/>
      <c r="AE600" s="52"/>
      <c r="AF600" s="40"/>
      <c r="AN600" s="40"/>
      <c r="AP600" s="50"/>
      <c r="AQ600" s="50"/>
      <c r="AR600" s="50"/>
      <c r="AS600" s="50"/>
      <c r="AU600" s="40"/>
    </row>
    <row r="601">
      <c r="B601" s="50"/>
      <c r="C601" s="50"/>
      <c r="D601" s="50"/>
      <c r="E601" s="50"/>
      <c r="Q601" s="40"/>
      <c r="S601" s="11"/>
      <c r="T601" s="50"/>
      <c r="U601" s="51"/>
      <c r="V601" s="50"/>
      <c r="W601" s="50"/>
      <c r="X601" s="40"/>
      <c r="Z601" s="11"/>
      <c r="AA601" s="50"/>
      <c r="AB601" s="50"/>
      <c r="AC601" s="50"/>
      <c r="AD601" s="50"/>
      <c r="AE601" s="52"/>
      <c r="AF601" s="40"/>
      <c r="AN601" s="40"/>
      <c r="AP601" s="50"/>
      <c r="AQ601" s="50"/>
      <c r="AR601" s="50"/>
      <c r="AS601" s="50"/>
      <c r="AU601" s="40"/>
    </row>
    <row r="602">
      <c r="B602" s="50"/>
      <c r="C602" s="50"/>
      <c r="D602" s="50"/>
      <c r="E602" s="50"/>
      <c r="Q602" s="40"/>
      <c r="S602" s="11"/>
      <c r="T602" s="50"/>
      <c r="U602" s="51"/>
      <c r="V602" s="50"/>
      <c r="W602" s="50"/>
      <c r="X602" s="40"/>
      <c r="Z602" s="11"/>
      <c r="AA602" s="50"/>
      <c r="AB602" s="50"/>
      <c r="AC602" s="50"/>
      <c r="AD602" s="50"/>
      <c r="AE602" s="52"/>
      <c r="AF602" s="40"/>
      <c r="AN602" s="40"/>
      <c r="AP602" s="50"/>
      <c r="AQ602" s="50"/>
      <c r="AR602" s="50"/>
      <c r="AS602" s="50"/>
      <c r="AU602" s="40"/>
    </row>
    <row r="603">
      <c r="B603" s="50"/>
      <c r="C603" s="50"/>
      <c r="D603" s="50"/>
      <c r="E603" s="50"/>
      <c r="Q603" s="40"/>
      <c r="S603" s="11"/>
      <c r="T603" s="50"/>
      <c r="U603" s="51"/>
      <c r="V603" s="50"/>
      <c r="W603" s="50"/>
      <c r="X603" s="40"/>
      <c r="Z603" s="11"/>
      <c r="AA603" s="50"/>
      <c r="AB603" s="50"/>
      <c r="AC603" s="50"/>
      <c r="AD603" s="50"/>
      <c r="AE603" s="52"/>
      <c r="AF603" s="40"/>
      <c r="AN603" s="40"/>
      <c r="AP603" s="50"/>
      <c r="AQ603" s="50"/>
      <c r="AR603" s="50"/>
      <c r="AS603" s="50"/>
      <c r="AU603" s="40"/>
    </row>
    <row r="604">
      <c r="B604" s="50"/>
      <c r="C604" s="50"/>
      <c r="D604" s="50"/>
      <c r="E604" s="50"/>
      <c r="Q604" s="40"/>
      <c r="S604" s="11"/>
      <c r="T604" s="50"/>
      <c r="U604" s="51"/>
      <c r="V604" s="50"/>
      <c r="W604" s="50"/>
      <c r="X604" s="40"/>
      <c r="Z604" s="11"/>
      <c r="AA604" s="50"/>
      <c r="AB604" s="50"/>
      <c r="AC604" s="50"/>
      <c r="AD604" s="50"/>
      <c r="AE604" s="52"/>
      <c r="AF604" s="40"/>
      <c r="AN604" s="40"/>
      <c r="AP604" s="50"/>
      <c r="AQ604" s="50"/>
      <c r="AR604" s="50"/>
      <c r="AS604" s="50"/>
      <c r="AU604" s="40"/>
    </row>
    <row r="605">
      <c r="B605" s="50"/>
      <c r="C605" s="50"/>
      <c r="D605" s="50"/>
      <c r="E605" s="50"/>
      <c r="Q605" s="40"/>
      <c r="S605" s="11"/>
      <c r="T605" s="50"/>
      <c r="U605" s="51"/>
      <c r="V605" s="50"/>
      <c r="W605" s="50"/>
      <c r="X605" s="40"/>
      <c r="Z605" s="11"/>
      <c r="AA605" s="50"/>
      <c r="AB605" s="50"/>
      <c r="AC605" s="50"/>
      <c r="AD605" s="50"/>
      <c r="AE605" s="52"/>
      <c r="AF605" s="40"/>
      <c r="AN605" s="40"/>
      <c r="AP605" s="50"/>
      <c r="AQ605" s="50"/>
      <c r="AR605" s="50"/>
      <c r="AS605" s="50"/>
      <c r="AU605" s="40"/>
    </row>
    <row r="606">
      <c r="B606" s="50"/>
      <c r="C606" s="50"/>
      <c r="D606" s="50"/>
      <c r="E606" s="50"/>
      <c r="Q606" s="40"/>
      <c r="S606" s="11"/>
      <c r="T606" s="50"/>
      <c r="U606" s="51"/>
      <c r="V606" s="50"/>
      <c r="W606" s="50"/>
      <c r="X606" s="40"/>
      <c r="Z606" s="11"/>
      <c r="AA606" s="50"/>
      <c r="AB606" s="50"/>
      <c r="AC606" s="50"/>
      <c r="AD606" s="50"/>
      <c r="AE606" s="52"/>
      <c r="AF606" s="40"/>
      <c r="AN606" s="40"/>
      <c r="AP606" s="50"/>
      <c r="AQ606" s="50"/>
      <c r="AR606" s="50"/>
      <c r="AS606" s="50"/>
      <c r="AU606" s="40"/>
    </row>
    <row r="607">
      <c r="B607" s="50"/>
      <c r="C607" s="50"/>
      <c r="D607" s="50"/>
      <c r="E607" s="50"/>
      <c r="Q607" s="40"/>
      <c r="S607" s="11"/>
      <c r="T607" s="50"/>
      <c r="U607" s="51"/>
      <c r="V607" s="50"/>
      <c r="W607" s="50"/>
      <c r="X607" s="40"/>
      <c r="Z607" s="11"/>
      <c r="AA607" s="50"/>
      <c r="AB607" s="50"/>
      <c r="AC607" s="50"/>
      <c r="AD607" s="50"/>
      <c r="AE607" s="52"/>
      <c r="AF607" s="40"/>
      <c r="AN607" s="40"/>
      <c r="AP607" s="50"/>
      <c r="AQ607" s="50"/>
      <c r="AR607" s="50"/>
      <c r="AS607" s="50"/>
      <c r="AU607" s="40"/>
    </row>
    <row r="608">
      <c r="B608" s="50"/>
      <c r="C608" s="50"/>
      <c r="D608" s="50"/>
      <c r="E608" s="50"/>
      <c r="Q608" s="40"/>
      <c r="S608" s="11"/>
      <c r="T608" s="50"/>
      <c r="U608" s="51"/>
      <c r="V608" s="50"/>
      <c r="W608" s="50"/>
      <c r="X608" s="40"/>
      <c r="Z608" s="11"/>
      <c r="AA608" s="50"/>
      <c r="AB608" s="50"/>
      <c r="AC608" s="50"/>
      <c r="AD608" s="50"/>
      <c r="AE608" s="52"/>
      <c r="AF608" s="40"/>
      <c r="AN608" s="40"/>
      <c r="AP608" s="50"/>
      <c r="AQ608" s="50"/>
      <c r="AR608" s="50"/>
      <c r="AS608" s="50"/>
      <c r="AU608" s="40"/>
    </row>
    <row r="609">
      <c r="B609" s="50"/>
      <c r="C609" s="50"/>
      <c r="D609" s="50"/>
      <c r="E609" s="50"/>
      <c r="Q609" s="40"/>
      <c r="S609" s="11"/>
      <c r="T609" s="50"/>
      <c r="U609" s="51"/>
      <c r="V609" s="50"/>
      <c r="W609" s="50"/>
      <c r="X609" s="40"/>
      <c r="Z609" s="11"/>
      <c r="AA609" s="50"/>
      <c r="AB609" s="50"/>
      <c r="AC609" s="50"/>
      <c r="AD609" s="50"/>
      <c r="AE609" s="52"/>
      <c r="AF609" s="40"/>
      <c r="AN609" s="40"/>
      <c r="AP609" s="50"/>
      <c r="AQ609" s="50"/>
      <c r="AR609" s="50"/>
      <c r="AS609" s="50"/>
      <c r="AU609" s="40"/>
    </row>
    <row r="610">
      <c r="B610" s="50"/>
      <c r="C610" s="50"/>
      <c r="D610" s="50"/>
      <c r="E610" s="50"/>
      <c r="Q610" s="40"/>
      <c r="S610" s="11"/>
      <c r="T610" s="50"/>
      <c r="U610" s="51"/>
      <c r="V610" s="50"/>
      <c r="W610" s="50"/>
      <c r="X610" s="40"/>
      <c r="Z610" s="11"/>
      <c r="AA610" s="50"/>
      <c r="AB610" s="50"/>
      <c r="AC610" s="50"/>
      <c r="AD610" s="50"/>
      <c r="AE610" s="52"/>
      <c r="AF610" s="40"/>
      <c r="AN610" s="40"/>
      <c r="AP610" s="50"/>
      <c r="AQ610" s="50"/>
      <c r="AR610" s="50"/>
      <c r="AS610" s="50"/>
      <c r="AU610" s="40"/>
    </row>
    <row r="611">
      <c r="B611" s="50"/>
      <c r="C611" s="50"/>
      <c r="D611" s="50"/>
      <c r="E611" s="50"/>
      <c r="Q611" s="40"/>
      <c r="S611" s="11"/>
      <c r="T611" s="50"/>
      <c r="U611" s="51"/>
      <c r="V611" s="50"/>
      <c r="W611" s="50"/>
      <c r="X611" s="40"/>
      <c r="Z611" s="11"/>
      <c r="AA611" s="50"/>
      <c r="AB611" s="50"/>
      <c r="AC611" s="50"/>
      <c r="AD611" s="50"/>
      <c r="AE611" s="52"/>
      <c r="AF611" s="40"/>
      <c r="AN611" s="40"/>
      <c r="AP611" s="50"/>
      <c r="AQ611" s="50"/>
      <c r="AR611" s="50"/>
      <c r="AS611" s="50"/>
      <c r="AU611" s="40"/>
    </row>
    <row r="612">
      <c r="B612" s="50"/>
      <c r="C612" s="50"/>
      <c r="D612" s="50"/>
      <c r="E612" s="50"/>
      <c r="Q612" s="40"/>
      <c r="S612" s="11"/>
      <c r="T612" s="50"/>
      <c r="U612" s="51"/>
      <c r="V612" s="50"/>
      <c r="W612" s="50"/>
      <c r="X612" s="40"/>
      <c r="Z612" s="11"/>
      <c r="AA612" s="50"/>
      <c r="AB612" s="50"/>
      <c r="AC612" s="50"/>
      <c r="AD612" s="50"/>
      <c r="AE612" s="52"/>
      <c r="AF612" s="40"/>
      <c r="AN612" s="40"/>
      <c r="AP612" s="50"/>
      <c r="AQ612" s="50"/>
      <c r="AR612" s="50"/>
      <c r="AS612" s="50"/>
      <c r="AU612" s="40"/>
    </row>
    <row r="613">
      <c r="B613" s="50"/>
      <c r="C613" s="50"/>
      <c r="D613" s="50"/>
      <c r="E613" s="50"/>
      <c r="Q613" s="40"/>
      <c r="S613" s="11"/>
      <c r="T613" s="50"/>
      <c r="U613" s="51"/>
      <c r="V613" s="50"/>
      <c r="W613" s="50"/>
      <c r="X613" s="40"/>
      <c r="Z613" s="11"/>
      <c r="AA613" s="50"/>
      <c r="AB613" s="50"/>
      <c r="AC613" s="50"/>
      <c r="AD613" s="50"/>
      <c r="AE613" s="52"/>
      <c r="AF613" s="40"/>
      <c r="AN613" s="40"/>
      <c r="AP613" s="50"/>
      <c r="AQ613" s="50"/>
      <c r="AR613" s="50"/>
      <c r="AS613" s="50"/>
      <c r="AU613" s="40"/>
    </row>
    <row r="614">
      <c r="B614" s="50"/>
      <c r="C614" s="50"/>
      <c r="D614" s="50"/>
      <c r="E614" s="50"/>
      <c r="Q614" s="40"/>
      <c r="S614" s="11"/>
      <c r="T614" s="50"/>
      <c r="U614" s="51"/>
      <c r="V614" s="50"/>
      <c r="W614" s="50"/>
      <c r="X614" s="40"/>
      <c r="Z614" s="11"/>
      <c r="AA614" s="50"/>
      <c r="AB614" s="50"/>
      <c r="AC614" s="50"/>
      <c r="AD614" s="50"/>
      <c r="AE614" s="52"/>
      <c r="AF614" s="40"/>
      <c r="AN614" s="40"/>
      <c r="AP614" s="50"/>
      <c r="AQ614" s="50"/>
      <c r="AR614" s="50"/>
      <c r="AS614" s="50"/>
      <c r="AU614" s="40"/>
    </row>
    <row r="615">
      <c r="B615" s="50"/>
      <c r="C615" s="50"/>
      <c r="D615" s="50"/>
      <c r="E615" s="50"/>
      <c r="Q615" s="40"/>
      <c r="S615" s="11"/>
      <c r="T615" s="50"/>
      <c r="U615" s="51"/>
      <c r="V615" s="50"/>
      <c r="W615" s="50"/>
      <c r="X615" s="40"/>
      <c r="Z615" s="11"/>
      <c r="AA615" s="50"/>
      <c r="AB615" s="50"/>
      <c r="AC615" s="50"/>
      <c r="AD615" s="50"/>
      <c r="AE615" s="52"/>
      <c r="AF615" s="40"/>
      <c r="AN615" s="40"/>
      <c r="AP615" s="50"/>
      <c r="AQ615" s="50"/>
      <c r="AR615" s="50"/>
      <c r="AS615" s="50"/>
      <c r="AU615" s="40"/>
    </row>
    <row r="616">
      <c r="B616" s="50"/>
      <c r="C616" s="50"/>
      <c r="D616" s="50"/>
      <c r="E616" s="50"/>
      <c r="Q616" s="40"/>
      <c r="S616" s="11"/>
      <c r="T616" s="50"/>
      <c r="U616" s="51"/>
      <c r="V616" s="50"/>
      <c r="W616" s="50"/>
      <c r="X616" s="40"/>
      <c r="Z616" s="11"/>
      <c r="AA616" s="50"/>
      <c r="AB616" s="50"/>
      <c r="AC616" s="50"/>
      <c r="AD616" s="50"/>
      <c r="AE616" s="52"/>
      <c r="AF616" s="40"/>
      <c r="AN616" s="40"/>
      <c r="AP616" s="50"/>
      <c r="AQ616" s="50"/>
      <c r="AR616" s="50"/>
      <c r="AS616" s="50"/>
      <c r="AU616" s="40"/>
    </row>
    <row r="617">
      <c r="B617" s="50"/>
      <c r="C617" s="50"/>
      <c r="D617" s="50"/>
      <c r="E617" s="50"/>
      <c r="Q617" s="40"/>
      <c r="S617" s="11"/>
      <c r="T617" s="50"/>
      <c r="U617" s="51"/>
      <c r="V617" s="50"/>
      <c r="W617" s="50"/>
      <c r="X617" s="40"/>
      <c r="Z617" s="11"/>
      <c r="AA617" s="50"/>
      <c r="AB617" s="50"/>
      <c r="AC617" s="50"/>
      <c r="AD617" s="50"/>
      <c r="AE617" s="52"/>
      <c r="AF617" s="40"/>
      <c r="AN617" s="40"/>
      <c r="AP617" s="50"/>
      <c r="AQ617" s="50"/>
      <c r="AR617" s="50"/>
      <c r="AS617" s="50"/>
      <c r="AU617" s="40"/>
    </row>
    <row r="618">
      <c r="B618" s="50"/>
      <c r="C618" s="50"/>
      <c r="D618" s="50"/>
      <c r="E618" s="50"/>
      <c r="Q618" s="40"/>
      <c r="S618" s="11"/>
      <c r="T618" s="50"/>
      <c r="U618" s="51"/>
      <c r="V618" s="50"/>
      <c r="W618" s="50"/>
      <c r="X618" s="40"/>
      <c r="Z618" s="11"/>
      <c r="AA618" s="50"/>
      <c r="AB618" s="50"/>
      <c r="AC618" s="50"/>
      <c r="AD618" s="50"/>
      <c r="AE618" s="52"/>
      <c r="AF618" s="40"/>
      <c r="AN618" s="40"/>
      <c r="AP618" s="50"/>
      <c r="AQ618" s="50"/>
      <c r="AR618" s="50"/>
      <c r="AS618" s="50"/>
      <c r="AU618" s="40"/>
    </row>
    <row r="619">
      <c r="B619" s="50"/>
      <c r="C619" s="50"/>
      <c r="D619" s="50"/>
      <c r="E619" s="50"/>
      <c r="Q619" s="40"/>
      <c r="S619" s="11"/>
      <c r="T619" s="50"/>
      <c r="U619" s="51"/>
      <c r="V619" s="50"/>
      <c r="W619" s="50"/>
      <c r="X619" s="40"/>
      <c r="Z619" s="11"/>
      <c r="AA619" s="50"/>
      <c r="AB619" s="50"/>
      <c r="AC619" s="50"/>
      <c r="AD619" s="50"/>
      <c r="AE619" s="52"/>
      <c r="AF619" s="40"/>
      <c r="AN619" s="40"/>
      <c r="AP619" s="50"/>
      <c r="AQ619" s="50"/>
      <c r="AR619" s="50"/>
      <c r="AS619" s="50"/>
      <c r="AU619" s="40"/>
    </row>
    <row r="620">
      <c r="B620" s="50"/>
      <c r="C620" s="50"/>
      <c r="D620" s="50"/>
      <c r="E620" s="50"/>
      <c r="Q620" s="40"/>
      <c r="S620" s="11"/>
      <c r="T620" s="50"/>
      <c r="U620" s="51"/>
      <c r="V620" s="50"/>
      <c r="W620" s="50"/>
      <c r="X620" s="40"/>
      <c r="Z620" s="11"/>
      <c r="AA620" s="50"/>
      <c r="AB620" s="50"/>
      <c r="AC620" s="50"/>
      <c r="AD620" s="50"/>
      <c r="AE620" s="52"/>
      <c r="AF620" s="40"/>
      <c r="AN620" s="40"/>
      <c r="AP620" s="50"/>
      <c r="AQ620" s="50"/>
      <c r="AR620" s="50"/>
      <c r="AS620" s="50"/>
      <c r="AU620" s="40"/>
    </row>
    <row r="621">
      <c r="B621" s="50"/>
      <c r="C621" s="50"/>
      <c r="D621" s="50"/>
      <c r="E621" s="50"/>
      <c r="Q621" s="40"/>
      <c r="S621" s="11"/>
      <c r="T621" s="50"/>
      <c r="U621" s="51"/>
      <c r="V621" s="50"/>
      <c r="W621" s="50"/>
      <c r="X621" s="40"/>
      <c r="Z621" s="11"/>
      <c r="AA621" s="50"/>
      <c r="AB621" s="50"/>
      <c r="AC621" s="50"/>
      <c r="AD621" s="50"/>
      <c r="AE621" s="52"/>
      <c r="AF621" s="40"/>
      <c r="AN621" s="40"/>
      <c r="AP621" s="50"/>
      <c r="AQ621" s="50"/>
      <c r="AR621" s="50"/>
      <c r="AS621" s="50"/>
      <c r="AU621" s="40"/>
    </row>
    <row r="622">
      <c r="B622" s="50"/>
      <c r="C622" s="50"/>
      <c r="D622" s="50"/>
      <c r="E622" s="50"/>
      <c r="Q622" s="40"/>
      <c r="S622" s="11"/>
      <c r="T622" s="50"/>
      <c r="U622" s="51"/>
      <c r="V622" s="50"/>
      <c r="W622" s="50"/>
      <c r="X622" s="40"/>
      <c r="Z622" s="11"/>
      <c r="AA622" s="50"/>
      <c r="AB622" s="50"/>
      <c r="AC622" s="50"/>
      <c r="AD622" s="50"/>
      <c r="AE622" s="52"/>
      <c r="AF622" s="40"/>
      <c r="AN622" s="40"/>
      <c r="AP622" s="50"/>
      <c r="AQ622" s="50"/>
      <c r="AR622" s="50"/>
      <c r="AS622" s="50"/>
      <c r="AU622" s="40"/>
    </row>
    <row r="623">
      <c r="B623" s="50"/>
      <c r="C623" s="50"/>
      <c r="D623" s="50"/>
      <c r="E623" s="50"/>
      <c r="Q623" s="40"/>
      <c r="S623" s="11"/>
      <c r="T623" s="50"/>
      <c r="U623" s="51"/>
      <c r="V623" s="50"/>
      <c r="W623" s="50"/>
      <c r="X623" s="40"/>
      <c r="Z623" s="11"/>
      <c r="AA623" s="50"/>
      <c r="AB623" s="50"/>
      <c r="AC623" s="50"/>
      <c r="AD623" s="50"/>
      <c r="AE623" s="52"/>
      <c r="AF623" s="40"/>
      <c r="AN623" s="40"/>
      <c r="AP623" s="50"/>
      <c r="AQ623" s="50"/>
      <c r="AR623" s="50"/>
      <c r="AS623" s="50"/>
      <c r="AU623" s="40"/>
    </row>
    <row r="624">
      <c r="B624" s="50"/>
      <c r="C624" s="50"/>
      <c r="D624" s="50"/>
      <c r="E624" s="50"/>
      <c r="Q624" s="40"/>
      <c r="S624" s="11"/>
      <c r="T624" s="50"/>
      <c r="U624" s="51"/>
      <c r="V624" s="50"/>
      <c r="W624" s="50"/>
      <c r="X624" s="40"/>
      <c r="Z624" s="11"/>
      <c r="AA624" s="50"/>
      <c r="AB624" s="50"/>
      <c r="AC624" s="50"/>
      <c r="AD624" s="50"/>
      <c r="AE624" s="52"/>
      <c r="AF624" s="40"/>
      <c r="AN624" s="40"/>
      <c r="AP624" s="50"/>
      <c r="AQ624" s="50"/>
      <c r="AR624" s="50"/>
      <c r="AS624" s="50"/>
      <c r="AU624" s="40"/>
    </row>
    <row r="625">
      <c r="B625" s="50"/>
      <c r="C625" s="50"/>
      <c r="D625" s="50"/>
      <c r="E625" s="50"/>
      <c r="Q625" s="40"/>
      <c r="S625" s="11"/>
      <c r="T625" s="50"/>
      <c r="U625" s="51"/>
      <c r="V625" s="50"/>
      <c r="W625" s="50"/>
      <c r="X625" s="40"/>
      <c r="Z625" s="11"/>
      <c r="AA625" s="50"/>
      <c r="AB625" s="50"/>
      <c r="AC625" s="50"/>
      <c r="AD625" s="50"/>
      <c r="AE625" s="52"/>
      <c r="AF625" s="40"/>
      <c r="AN625" s="40"/>
      <c r="AP625" s="50"/>
      <c r="AQ625" s="50"/>
      <c r="AR625" s="50"/>
      <c r="AS625" s="50"/>
      <c r="AU625" s="40"/>
    </row>
    <row r="626">
      <c r="B626" s="50"/>
      <c r="C626" s="50"/>
      <c r="D626" s="50"/>
      <c r="E626" s="50"/>
      <c r="Q626" s="40"/>
      <c r="S626" s="11"/>
      <c r="T626" s="50"/>
      <c r="U626" s="51"/>
      <c r="V626" s="50"/>
      <c r="W626" s="50"/>
      <c r="X626" s="40"/>
      <c r="Z626" s="11"/>
      <c r="AA626" s="50"/>
      <c r="AB626" s="50"/>
      <c r="AC626" s="50"/>
      <c r="AD626" s="50"/>
      <c r="AE626" s="52"/>
      <c r="AF626" s="40"/>
      <c r="AN626" s="40"/>
      <c r="AP626" s="50"/>
      <c r="AQ626" s="50"/>
      <c r="AR626" s="50"/>
      <c r="AS626" s="50"/>
      <c r="AU626" s="40"/>
    </row>
    <row r="627">
      <c r="B627" s="50"/>
      <c r="C627" s="50"/>
      <c r="D627" s="50"/>
      <c r="E627" s="50"/>
      <c r="Q627" s="40"/>
      <c r="S627" s="11"/>
      <c r="T627" s="50"/>
      <c r="U627" s="51"/>
      <c r="V627" s="50"/>
      <c r="W627" s="50"/>
      <c r="X627" s="40"/>
      <c r="Z627" s="11"/>
      <c r="AA627" s="50"/>
      <c r="AB627" s="50"/>
      <c r="AC627" s="50"/>
      <c r="AD627" s="50"/>
      <c r="AE627" s="52"/>
      <c r="AF627" s="40"/>
      <c r="AN627" s="40"/>
      <c r="AP627" s="50"/>
      <c r="AQ627" s="50"/>
      <c r="AR627" s="50"/>
      <c r="AS627" s="50"/>
      <c r="AU627" s="40"/>
    </row>
    <row r="628">
      <c r="B628" s="50"/>
      <c r="C628" s="50"/>
      <c r="D628" s="50"/>
      <c r="E628" s="50"/>
      <c r="Q628" s="40"/>
      <c r="S628" s="11"/>
      <c r="T628" s="50"/>
      <c r="U628" s="51"/>
      <c r="V628" s="50"/>
      <c r="W628" s="50"/>
      <c r="X628" s="40"/>
      <c r="Z628" s="11"/>
      <c r="AA628" s="50"/>
      <c r="AB628" s="50"/>
      <c r="AC628" s="50"/>
      <c r="AD628" s="50"/>
      <c r="AE628" s="52"/>
      <c r="AF628" s="40"/>
      <c r="AN628" s="40"/>
      <c r="AP628" s="50"/>
      <c r="AQ628" s="50"/>
      <c r="AR628" s="50"/>
      <c r="AS628" s="50"/>
      <c r="AU628" s="40"/>
    </row>
    <row r="629">
      <c r="B629" s="50"/>
      <c r="C629" s="50"/>
      <c r="D629" s="50"/>
      <c r="E629" s="50"/>
      <c r="Q629" s="40"/>
      <c r="S629" s="11"/>
      <c r="T629" s="50"/>
      <c r="U629" s="51"/>
      <c r="V629" s="50"/>
      <c r="W629" s="50"/>
      <c r="X629" s="40"/>
      <c r="Z629" s="11"/>
      <c r="AA629" s="50"/>
      <c r="AB629" s="50"/>
      <c r="AC629" s="50"/>
      <c r="AD629" s="50"/>
      <c r="AE629" s="52"/>
      <c r="AF629" s="40"/>
      <c r="AN629" s="40"/>
      <c r="AP629" s="50"/>
      <c r="AQ629" s="50"/>
      <c r="AR629" s="50"/>
      <c r="AS629" s="50"/>
      <c r="AU629" s="40"/>
    </row>
    <row r="630">
      <c r="B630" s="50"/>
      <c r="C630" s="50"/>
      <c r="D630" s="50"/>
      <c r="E630" s="50"/>
      <c r="Q630" s="40"/>
      <c r="S630" s="11"/>
      <c r="T630" s="50"/>
      <c r="U630" s="51"/>
      <c r="V630" s="50"/>
      <c r="W630" s="50"/>
      <c r="X630" s="40"/>
      <c r="Z630" s="11"/>
      <c r="AA630" s="50"/>
      <c r="AB630" s="50"/>
      <c r="AC630" s="50"/>
      <c r="AD630" s="50"/>
      <c r="AE630" s="52"/>
      <c r="AF630" s="40"/>
      <c r="AN630" s="40"/>
      <c r="AP630" s="50"/>
      <c r="AQ630" s="50"/>
      <c r="AR630" s="50"/>
      <c r="AS630" s="50"/>
      <c r="AU630" s="40"/>
    </row>
    <row r="631">
      <c r="B631" s="50"/>
      <c r="C631" s="50"/>
      <c r="D631" s="50"/>
      <c r="E631" s="50"/>
      <c r="Q631" s="40"/>
      <c r="S631" s="11"/>
      <c r="T631" s="50"/>
      <c r="U631" s="51"/>
      <c r="V631" s="50"/>
      <c r="W631" s="50"/>
      <c r="X631" s="40"/>
      <c r="Z631" s="11"/>
      <c r="AA631" s="50"/>
      <c r="AB631" s="50"/>
      <c r="AC631" s="50"/>
      <c r="AD631" s="50"/>
      <c r="AE631" s="52"/>
      <c r="AF631" s="40"/>
      <c r="AN631" s="40"/>
      <c r="AP631" s="50"/>
      <c r="AQ631" s="50"/>
      <c r="AR631" s="50"/>
      <c r="AS631" s="50"/>
      <c r="AU631" s="40"/>
    </row>
    <row r="632">
      <c r="B632" s="50"/>
      <c r="C632" s="50"/>
      <c r="D632" s="50"/>
      <c r="E632" s="50"/>
      <c r="Q632" s="40"/>
      <c r="S632" s="11"/>
      <c r="T632" s="50"/>
      <c r="U632" s="51"/>
      <c r="V632" s="50"/>
      <c r="W632" s="50"/>
      <c r="X632" s="40"/>
      <c r="Z632" s="11"/>
      <c r="AA632" s="50"/>
      <c r="AB632" s="50"/>
      <c r="AC632" s="50"/>
      <c r="AD632" s="50"/>
      <c r="AE632" s="52"/>
      <c r="AF632" s="40"/>
      <c r="AN632" s="40"/>
      <c r="AP632" s="50"/>
      <c r="AQ632" s="50"/>
      <c r="AR632" s="50"/>
      <c r="AS632" s="50"/>
      <c r="AU632" s="40"/>
    </row>
    <row r="633">
      <c r="B633" s="50"/>
      <c r="C633" s="50"/>
      <c r="D633" s="50"/>
      <c r="E633" s="50"/>
      <c r="Q633" s="40"/>
      <c r="S633" s="11"/>
      <c r="T633" s="50"/>
      <c r="U633" s="51"/>
      <c r="V633" s="50"/>
      <c r="W633" s="50"/>
      <c r="X633" s="40"/>
      <c r="Z633" s="11"/>
      <c r="AA633" s="50"/>
      <c r="AB633" s="50"/>
      <c r="AC633" s="50"/>
      <c r="AD633" s="50"/>
      <c r="AE633" s="52"/>
      <c r="AF633" s="40"/>
      <c r="AN633" s="40"/>
      <c r="AP633" s="50"/>
      <c r="AQ633" s="50"/>
      <c r="AR633" s="50"/>
      <c r="AS633" s="50"/>
      <c r="AU633" s="40"/>
    </row>
    <row r="634">
      <c r="B634" s="50"/>
      <c r="C634" s="50"/>
      <c r="D634" s="50"/>
      <c r="E634" s="50"/>
      <c r="Q634" s="40"/>
      <c r="S634" s="11"/>
      <c r="T634" s="50"/>
      <c r="U634" s="51"/>
      <c r="V634" s="50"/>
      <c r="W634" s="50"/>
      <c r="X634" s="40"/>
      <c r="Z634" s="11"/>
      <c r="AA634" s="50"/>
      <c r="AB634" s="50"/>
      <c r="AC634" s="50"/>
      <c r="AD634" s="50"/>
      <c r="AE634" s="52"/>
      <c r="AF634" s="40"/>
      <c r="AN634" s="40"/>
      <c r="AP634" s="50"/>
      <c r="AQ634" s="50"/>
      <c r="AR634" s="50"/>
      <c r="AS634" s="50"/>
      <c r="AU634" s="40"/>
    </row>
    <row r="635">
      <c r="B635" s="50"/>
      <c r="C635" s="50"/>
      <c r="D635" s="50"/>
      <c r="E635" s="50"/>
      <c r="Q635" s="40"/>
      <c r="S635" s="11"/>
      <c r="T635" s="50"/>
      <c r="U635" s="51"/>
      <c r="V635" s="50"/>
      <c r="W635" s="50"/>
      <c r="X635" s="40"/>
      <c r="Z635" s="11"/>
      <c r="AA635" s="50"/>
      <c r="AB635" s="50"/>
      <c r="AC635" s="50"/>
      <c r="AD635" s="50"/>
      <c r="AE635" s="52"/>
      <c r="AF635" s="40"/>
      <c r="AN635" s="40"/>
      <c r="AP635" s="50"/>
      <c r="AQ635" s="50"/>
      <c r="AR635" s="50"/>
      <c r="AS635" s="50"/>
      <c r="AU635" s="40"/>
    </row>
    <row r="636">
      <c r="B636" s="50"/>
      <c r="C636" s="50"/>
      <c r="D636" s="50"/>
      <c r="E636" s="50"/>
      <c r="Q636" s="40"/>
      <c r="S636" s="11"/>
      <c r="T636" s="50"/>
      <c r="U636" s="51"/>
      <c r="V636" s="50"/>
      <c r="W636" s="50"/>
      <c r="X636" s="40"/>
      <c r="Z636" s="11"/>
      <c r="AA636" s="50"/>
      <c r="AB636" s="50"/>
      <c r="AC636" s="50"/>
      <c r="AD636" s="50"/>
      <c r="AE636" s="52"/>
      <c r="AF636" s="40"/>
      <c r="AN636" s="40"/>
      <c r="AP636" s="50"/>
      <c r="AQ636" s="50"/>
      <c r="AR636" s="50"/>
      <c r="AS636" s="50"/>
      <c r="AU636" s="40"/>
    </row>
    <row r="637">
      <c r="B637" s="50"/>
      <c r="C637" s="50"/>
      <c r="D637" s="50"/>
      <c r="E637" s="50"/>
      <c r="Q637" s="40"/>
      <c r="S637" s="11"/>
      <c r="T637" s="50"/>
      <c r="U637" s="51"/>
      <c r="V637" s="50"/>
      <c r="W637" s="50"/>
      <c r="X637" s="40"/>
      <c r="Z637" s="11"/>
      <c r="AA637" s="50"/>
      <c r="AB637" s="50"/>
      <c r="AC637" s="50"/>
      <c r="AD637" s="50"/>
      <c r="AE637" s="52"/>
      <c r="AF637" s="40"/>
      <c r="AN637" s="40"/>
      <c r="AP637" s="50"/>
      <c r="AQ637" s="50"/>
      <c r="AR637" s="50"/>
      <c r="AS637" s="50"/>
      <c r="AU637" s="40"/>
    </row>
    <row r="638">
      <c r="B638" s="50"/>
      <c r="C638" s="50"/>
      <c r="D638" s="50"/>
      <c r="E638" s="50"/>
      <c r="Q638" s="40"/>
      <c r="S638" s="11"/>
      <c r="T638" s="50"/>
      <c r="U638" s="51"/>
      <c r="V638" s="50"/>
      <c r="W638" s="50"/>
      <c r="X638" s="40"/>
      <c r="Z638" s="11"/>
      <c r="AA638" s="50"/>
      <c r="AB638" s="50"/>
      <c r="AC638" s="50"/>
      <c r="AD638" s="50"/>
      <c r="AE638" s="52"/>
      <c r="AF638" s="40"/>
      <c r="AN638" s="40"/>
      <c r="AP638" s="50"/>
      <c r="AQ638" s="50"/>
      <c r="AR638" s="50"/>
      <c r="AS638" s="50"/>
      <c r="AU638" s="40"/>
    </row>
    <row r="639">
      <c r="B639" s="50"/>
      <c r="C639" s="50"/>
      <c r="D639" s="50"/>
      <c r="E639" s="50"/>
      <c r="Q639" s="40"/>
      <c r="S639" s="11"/>
      <c r="T639" s="50"/>
      <c r="U639" s="51"/>
      <c r="V639" s="50"/>
      <c r="W639" s="50"/>
      <c r="X639" s="40"/>
      <c r="Z639" s="11"/>
      <c r="AA639" s="50"/>
      <c r="AB639" s="50"/>
      <c r="AC639" s="50"/>
      <c r="AD639" s="50"/>
      <c r="AE639" s="52"/>
      <c r="AF639" s="40"/>
      <c r="AN639" s="40"/>
      <c r="AP639" s="50"/>
      <c r="AQ639" s="50"/>
      <c r="AR639" s="50"/>
      <c r="AS639" s="50"/>
      <c r="AU639" s="40"/>
    </row>
    <row r="640">
      <c r="B640" s="50"/>
      <c r="C640" s="50"/>
      <c r="D640" s="50"/>
      <c r="E640" s="50"/>
      <c r="Q640" s="40"/>
      <c r="S640" s="11"/>
      <c r="T640" s="50"/>
      <c r="U640" s="51"/>
      <c r="V640" s="50"/>
      <c r="W640" s="50"/>
      <c r="X640" s="40"/>
      <c r="Z640" s="11"/>
      <c r="AA640" s="50"/>
      <c r="AB640" s="50"/>
      <c r="AC640" s="50"/>
      <c r="AD640" s="50"/>
      <c r="AE640" s="52"/>
      <c r="AF640" s="40"/>
      <c r="AN640" s="40"/>
      <c r="AP640" s="50"/>
      <c r="AQ640" s="50"/>
      <c r="AR640" s="50"/>
      <c r="AS640" s="50"/>
      <c r="AU640" s="40"/>
    </row>
    <row r="641">
      <c r="B641" s="50"/>
      <c r="C641" s="50"/>
      <c r="D641" s="50"/>
      <c r="E641" s="50"/>
      <c r="Q641" s="40"/>
      <c r="S641" s="11"/>
      <c r="T641" s="50"/>
      <c r="U641" s="51"/>
      <c r="V641" s="50"/>
      <c r="W641" s="50"/>
      <c r="X641" s="40"/>
      <c r="Z641" s="11"/>
      <c r="AA641" s="50"/>
      <c r="AB641" s="50"/>
      <c r="AC641" s="50"/>
      <c r="AD641" s="50"/>
      <c r="AE641" s="52"/>
      <c r="AF641" s="40"/>
      <c r="AN641" s="40"/>
      <c r="AP641" s="50"/>
      <c r="AQ641" s="50"/>
      <c r="AR641" s="50"/>
      <c r="AS641" s="50"/>
      <c r="AU641" s="40"/>
    </row>
    <row r="642">
      <c r="B642" s="50"/>
      <c r="C642" s="50"/>
      <c r="D642" s="50"/>
      <c r="E642" s="50"/>
      <c r="Q642" s="40"/>
      <c r="S642" s="11"/>
      <c r="T642" s="50"/>
      <c r="U642" s="51"/>
      <c r="V642" s="50"/>
      <c r="W642" s="50"/>
      <c r="X642" s="40"/>
      <c r="Z642" s="11"/>
      <c r="AA642" s="50"/>
      <c r="AB642" s="50"/>
      <c r="AC642" s="50"/>
      <c r="AD642" s="50"/>
      <c r="AE642" s="52"/>
      <c r="AF642" s="40"/>
      <c r="AN642" s="40"/>
      <c r="AP642" s="50"/>
      <c r="AQ642" s="50"/>
      <c r="AR642" s="50"/>
      <c r="AS642" s="50"/>
      <c r="AU642" s="40"/>
    </row>
    <row r="643">
      <c r="B643" s="50"/>
      <c r="C643" s="50"/>
      <c r="D643" s="50"/>
      <c r="E643" s="50"/>
      <c r="Q643" s="40"/>
      <c r="S643" s="11"/>
      <c r="T643" s="50"/>
      <c r="U643" s="51"/>
      <c r="V643" s="50"/>
      <c r="W643" s="50"/>
      <c r="X643" s="40"/>
      <c r="Z643" s="11"/>
      <c r="AA643" s="50"/>
      <c r="AB643" s="50"/>
      <c r="AC643" s="50"/>
      <c r="AD643" s="50"/>
      <c r="AE643" s="52"/>
      <c r="AF643" s="40"/>
      <c r="AN643" s="40"/>
      <c r="AP643" s="50"/>
      <c r="AQ643" s="50"/>
      <c r="AR643" s="50"/>
      <c r="AS643" s="50"/>
      <c r="AU643" s="40"/>
    </row>
    <row r="644">
      <c r="B644" s="50"/>
      <c r="C644" s="50"/>
      <c r="D644" s="50"/>
      <c r="E644" s="50"/>
      <c r="Q644" s="40"/>
      <c r="S644" s="11"/>
      <c r="T644" s="50"/>
      <c r="U644" s="51"/>
      <c r="V644" s="50"/>
      <c r="W644" s="50"/>
      <c r="X644" s="40"/>
      <c r="Z644" s="11"/>
      <c r="AA644" s="50"/>
      <c r="AB644" s="50"/>
      <c r="AC644" s="50"/>
      <c r="AD644" s="50"/>
      <c r="AE644" s="52"/>
      <c r="AF644" s="40"/>
      <c r="AN644" s="40"/>
      <c r="AP644" s="50"/>
      <c r="AQ644" s="50"/>
      <c r="AR644" s="50"/>
      <c r="AS644" s="50"/>
      <c r="AU644" s="40"/>
    </row>
    <row r="645">
      <c r="B645" s="50"/>
      <c r="C645" s="50"/>
      <c r="D645" s="50"/>
      <c r="E645" s="50"/>
      <c r="Q645" s="40"/>
      <c r="S645" s="11"/>
      <c r="T645" s="50"/>
      <c r="U645" s="51"/>
      <c r="V645" s="50"/>
      <c r="W645" s="50"/>
      <c r="X645" s="40"/>
      <c r="Z645" s="11"/>
      <c r="AA645" s="50"/>
      <c r="AB645" s="50"/>
      <c r="AC645" s="50"/>
      <c r="AD645" s="50"/>
      <c r="AE645" s="52"/>
      <c r="AF645" s="40"/>
      <c r="AN645" s="40"/>
      <c r="AP645" s="50"/>
      <c r="AQ645" s="50"/>
      <c r="AR645" s="50"/>
      <c r="AS645" s="50"/>
      <c r="AU645" s="40"/>
    </row>
    <row r="646">
      <c r="B646" s="50"/>
      <c r="C646" s="50"/>
      <c r="D646" s="50"/>
      <c r="E646" s="50"/>
      <c r="Q646" s="40"/>
      <c r="S646" s="11"/>
      <c r="T646" s="50"/>
      <c r="U646" s="51"/>
      <c r="V646" s="50"/>
      <c r="W646" s="50"/>
      <c r="X646" s="40"/>
      <c r="Z646" s="11"/>
      <c r="AA646" s="50"/>
      <c r="AB646" s="50"/>
      <c r="AC646" s="50"/>
      <c r="AD646" s="50"/>
      <c r="AE646" s="52"/>
      <c r="AF646" s="40"/>
      <c r="AN646" s="40"/>
      <c r="AP646" s="50"/>
      <c r="AQ646" s="50"/>
      <c r="AR646" s="50"/>
      <c r="AS646" s="50"/>
      <c r="AU646" s="40"/>
    </row>
    <row r="647">
      <c r="B647" s="50"/>
      <c r="C647" s="50"/>
      <c r="D647" s="50"/>
      <c r="E647" s="50"/>
      <c r="Q647" s="40"/>
      <c r="S647" s="11"/>
      <c r="T647" s="50"/>
      <c r="U647" s="51"/>
      <c r="V647" s="50"/>
      <c r="W647" s="50"/>
      <c r="X647" s="40"/>
      <c r="Z647" s="11"/>
      <c r="AA647" s="50"/>
      <c r="AB647" s="50"/>
      <c r="AC647" s="50"/>
      <c r="AD647" s="50"/>
      <c r="AE647" s="52"/>
      <c r="AF647" s="40"/>
      <c r="AN647" s="40"/>
      <c r="AP647" s="50"/>
      <c r="AQ647" s="50"/>
      <c r="AR647" s="50"/>
      <c r="AS647" s="50"/>
      <c r="AU647" s="40"/>
    </row>
    <row r="648">
      <c r="B648" s="50"/>
      <c r="C648" s="50"/>
      <c r="D648" s="50"/>
      <c r="E648" s="50"/>
      <c r="Q648" s="40"/>
      <c r="S648" s="11"/>
      <c r="T648" s="50"/>
      <c r="U648" s="51"/>
      <c r="V648" s="50"/>
      <c r="W648" s="50"/>
      <c r="X648" s="40"/>
      <c r="Z648" s="11"/>
      <c r="AA648" s="50"/>
      <c r="AB648" s="50"/>
      <c r="AC648" s="50"/>
      <c r="AD648" s="50"/>
      <c r="AE648" s="52"/>
      <c r="AF648" s="40"/>
      <c r="AN648" s="40"/>
      <c r="AP648" s="50"/>
      <c r="AQ648" s="50"/>
      <c r="AR648" s="50"/>
      <c r="AS648" s="50"/>
      <c r="AU648" s="40"/>
    </row>
    <row r="649">
      <c r="B649" s="50"/>
      <c r="C649" s="50"/>
      <c r="D649" s="50"/>
      <c r="E649" s="50"/>
      <c r="Q649" s="40"/>
      <c r="S649" s="11"/>
      <c r="T649" s="50"/>
      <c r="U649" s="51"/>
      <c r="V649" s="50"/>
      <c r="W649" s="50"/>
      <c r="X649" s="40"/>
      <c r="Z649" s="11"/>
      <c r="AA649" s="50"/>
      <c r="AB649" s="50"/>
      <c r="AC649" s="50"/>
      <c r="AD649" s="50"/>
      <c r="AE649" s="52"/>
      <c r="AF649" s="40"/>
      <c r="AN649" s="40"/>
      <c r="AP649" s="50"/>
      <c r="AQ649" s="50"/>
      <c r="AR649" s="50"/>
      <c r="AS649" s="50"/>
      <c r="AU649" s="40"/>
    </row>
    <row r="650">
      <c r="B650" s="50"/>
      <c r="C650" s="50"/>
      <c r="D650" s="50"/>
      <c r="E650" s="50"/>
      <c r="Q650" s="40"/>
      <c r="S650" s="11"/>
      <c r="T650" s="50"/>
      <c r="U650" s="51"/>
      <c r="V650" s="50"/>
      <c r="W650" s="50"/>
      <c r="X650" s="40"/>
      <c r="Z650" s="11"/>
      <c r="AA650" s="50"/>
      <c r="AB650" s="50"/>
      <c r="AC650" s="50"/>
      <c r="AD650" s="50"/>
      <c r="AE650" s="52"/>
      <c r="AF650" s="40"/>
      <c r="AN650" s="40"/>
      <c r="AP650" s="50"/>
      <c r="AQ650" s="50"/>
      <c r="AR650" s="50"/>
      <c r="AS650" s="50"/>
      <c r="AU650" s="40"/>
    </row>
    <row r="651">
      <c r="B651" s="50"/>
      <c r="C651" s="50"/>
      <c r="D651" s="50"/>
      <c r="E651" s="50"/>
      <c r="Q651" s="40"/>
      <c r="S651" s="11"/>
      <c r="T651" s="50"/>
      <c r="U651" s="51"/>
      <c r="V651" s="50"/>
      <c r="W651" s="50"/>
      <c r="X651" s="40"/>
      <c r="Z651" s="11"/>
      <c r="AA651" s="50"/>
      <c r="AB651" s="50"/>
      <c r="AC651" s="50"/>
      <c r="AD651" s="50"/>
      <c r="AE651" s="52"/>
      <c r="AF651" s="40"/>
      <c r="AN651" s="40"/>
      <c r="AP651" s="50"/>
      <c r="AQ651" s="50"/>
      <c r="AR651" s="50"/>
      <c r="AS651" s="50"/>
      <c r="AU651" s="40"/>
    </row>
    <row r="652">
      <c r="B652" s="50"/>
      <c r="C652" s="50"/>
      <c r="D652" s="50"/>
      <c r="E652" s="50"/>
      <c r="Q652" s="40"/>
      <c r="S652" s="11"/>
      <c r="T652" s="50"/>
      <c r="U652" s="51"/>
      <c r="V652" s="50"/>
      <c r="W652" s="50"/>
      <c r="X652" s="40"/>
      <c r="Z652" s="11"/>
      <c r="AA652" s="50"/>
      <c r="AB652" s="50"/>
      <c r="AC652" s="50"/>
      <c r="AD652" s="50"/>
      <c r="AE652" s="52"/>
      <c r="AF652" s="40"/>
      <c r="AN652" s="40"/>
      <c r="AP652" s="50"/>
      <c r="AQ652" s="50"/>
      <c r="AR652" s="50"/>
      <c r="AS652" s="50"/>
      <c r="AU652" s="40"/>
    </row>
    <row r="653">
      <c r="B653" s="50"/>
      <c r="C653" s="50"/>
      <c r="D653" s="50"/>
      <c r="E653" s="50"/>
      <c r="Q653" s="40"/>
      <c r="S653" s="11"/>
      <c r="T653" s="50"/>
      <c r="U653" s="51"/>
      <c r="V653" s="50"/>
      <c r="W653" s="50"/>
      <c r="X653" s="40"/>
      <c r="Z653" s="11"/>
      <c r="AA653" s="50"/>
      <c r="AB653" s="50"/>
      <c r="AC653" s="50"/>
      <c r="AD653" s="50"/>
      <c r="AE653" s="52"/>
      <c r="AF653" s="40"/>
      <c r="AN653" s="40"/>
      <c r="AP653" s="50"/>
      <c r="AQ653" s="50"/>
      <c r="AR653" s="50"/>
      <c r="AS653" s="50"/>
      <c r="AU653" s="40"/>
    </row>
    <row r="654">
      <c r="B654" s="50"/>
      <c r="C654" s="50"/>
      <c r="D654" s="50"/>
      <c r="E654" s="50"/>
      <c r="Q654" s="40"/>
      <c r="S654" s="11"/>
      <c r="T654" s="50"/>
      <c r="U654" s="51"/>
      <c r="V654" s="50"/>
      <c r="W654" s="50"/>
      <c r="X654" s="40"/>
      <c r="Z654" s="11"/>
      <c r="AA654" s="50"/>
      <c r="AB654" s="50"/>
      <c r="AC654" s="50"/>
      <c r="AD654" s="50"/>
      <c r="AE654" s="52"/>
      <c r="AF654" s="40"/>
      <c r="AN654" s="40"/>
      <c r="AP654" s="50"/>
      <c r="AQ654" s="50"/>
      <c r="AR654" s="50"/>
      <c r="AS654" s="50"/>
      <c r="AU654" s="40"/>
    </row>
    <row r="655">
      <c r="B655" s="50"/>
      <c r="C655" s="50"/>
      <c r="D655" s="50"/>
      <c r="E655" s="50"/>
      <c r="Q655" s="40"/>
      <c r="S655" s="11"/>
      <c r="T655" s="50"/>
      <c r="U655" s="51"/>
      <c r="V655" s="50"/>
      <c r="W655" s="50"/>
      <c r="X655" s="40"/>
      <c r="Z655" s="11"/>
      <c r="AA655" s="50"/>
      <c r="AB655" s="50"/>
      <c r="AC655" s="50"/>
      <c r="AD655" s="50"/>
      <c r="AE655" s="52"/>
      <c r="AF655" s="40"/>
      <c r="AN655" s="40"/>
      <c r="AP655" s="50"/>
      <c r="AQ655" s="50"/>
      <c r="AR655" s="50"/>
      <c r="AS655" s="50"/>
      <c r="AU655" s="40"/>
    </row>
    <row r="656">
      <c r="B656" s="50"/>
      <c r="C656" s="50"/>
      <c r="D656" s="50"/>
      <c r="E656" s="50"/>
      <c r="Q656" s="40"/>
      <c r="S656" s="11"/>
      <c r="T656" s="50"/>
      <c r="U656" s="51"/>
      <c r="V656" s="50"/>
      <c r="W656" s="50"/>
      <c r="X656" s="40"/>
      <c r="Z656" s="11"/>
      <c r="AA656" s="50"/>
      <c r="AB656" s="50"/>
      <c r="AC656" s="50"/>
      <c r="AD656" s="50"/>
      <c r="AE656" s="52"/>
      <c r="AF656" s="40"/>
      <c r="AN656" s="40"/>
      <c r="AP656" s="50"/>
      <c r="AQ656" s="50"/>
      <c r="AR656" s="50"/>
      <c r="AS656" s="50"/>
      <c r="AU656" s="40"/>
    </row>
    <row r="657">
      <c r="B657" s="50"/>
      <c r="C657" s="50"/>
      <c r="D657" s="50"/>
      <c r="E657" s="50"/>
      <c r="Q657" s="40"/>
      <c r="S657" s="11"/>
      <c r="T657" s="50"/>
      <c r="U657" s="51"/>
      <c r="V657" s="50"/>
      <c r="W657" s="50"/>
      <c r="X657" s="40"/>
      <c r="Z657" s="11"/>
      <c r="AA657" s="50"/>
      <c r="AB657" s="50"/>
      <c r="AC657" s="50"/>
      <c r="AD657" s="50"/>
      <c r="AE657" s="52"/>
      <c r="AF657" s="40"/>
      <c r="AN657" s="40"/>
      <c r="AP657" s="50"/>
      <c r="AQ657" s="50"/>
      <c r="AR657" s="50"/>
      <c r="AS657" s="50"/>
      <c r="AU657" s="40"/>
    </row>
    <row r="658">
      <c r="B658" s="50"/>
      <c r="C658" s="50"/>
      <c r="D658" s="50"/>
      <c r="E658" s="50"/>
      <c r="Q658" s="40"/>
      <c r="S658" s="11"/>
      <c r="T658" s="50"/>
      <c r="U658" s="51"/>
      <c r="V658" s="50"/>
      <c r="W658" s="50"/>
      <c r="X658" s="40"/>
      <c r="Z658" s="11"/>
      <c r="AA658" s="50"/>
      <c r="AB658" s="50"/>
      <c r="AC658" s="50"/>
      <c r="AD658" s="50"/>
      <c r="AE658" s="52"/>
      <c r="AF658" s="40"/>
      <c r="AN658" s="40"/>
      <c r="AP658" s="50"/>
      <c r="AQ658" s="50"/>
      <c r="AR658" s="50"/>
      <c r="AS658" s="50"/>
      <c r="AU658" s="40"/>
    </row>
    <row r="659">
      <c r="B659" s="50"/>
      <c r="C659" s="50"/>
      <c r="D659" s="50"/>
      <c r="E659" s="50"/>
      <c r="Q659" s="40"/>
      <c r="S659" s="11"/>
      <c r="T659" s="50"/>
      <c r="U659" s="51"/>
      <c r="V659" s="50"/>
      <c r="W659" s="50"/>
      <c r="X659" s="40"/>
      <c r="Z659" s="11"/>
      <c r="AA659" s="50"/>
      <c r="AB659" s="50"/>
      <c r="AC659" s="50"/>
      <c r="AD659" s="50"/>
      <c r="AE659" s="52"/>
      <c r="AF659" s="40"/>
      <c r="AN659" s="40"/>
      <c r="AP659" s="50"/>
      <c r="AQ659" s="50"/>
      <c r="AR659" s="50"/>
      <c r="AS659" s="50"/>
      <c r="AU659" s="40"/>
    </row>
    <row r="660">
      <c r="B660" s="50"/>
      <c r="C660" s="50"/>
      <c r="D660" s="50"/>
      <c r="E660" s="50"/>
      <c r="Q660" s="40"/>
      <c r="S660" s="11"/>
      <c r="T660" s="50"/>
      <c r="U660" s="51"/>
      <c r="V660" s="50"/>
      <c r="W660" s="50"/>
      <c r="X660" s="40"/>
      <c r="Z660" s="11"/>
      <c r="AA660" s="50"/>
      <c r="AB660" s="50"/>
      <c r="AC660" s="50"/>
      <c r="AD660" s="50"/>
      <c r="AE660" s="52"/>
      <c r="AF660" s="40"/>
      <c r="AN660" s="40"/>
      <c r="AP660" s="50"/>
      <c r="AQ660" s="50"/>
      <c r="AR660" s="50"/>
      <c r="AS660" s="50"/>
      <c r="AU660" s="40"/>
    </row>
    <row r="661">
      <c r="B661" s="50"/>
      <c r="C661" s="50"/>
      <c r="D661" s="50"/>
      <c r="E661" s="50"/>
      <c r="Q661" s="40"/>
      <c r="S661" s="11"/>
      <c r="T661" s="50"/>
      <c r="U661" s="51"/>
      <c r="V661" s="50"/>
      <c r="W661" s="50"/>
      <c r="X661" s="40"/>
      <c r="Z661" s="11"/>
      <c r="AA661" s="50"/>
      <c r="AB661" s="50"/>
      <c r="AC661" s="50"/>
      <c r="AD661" s="50"/>
      <c r="AE661" s="52"/>
      <c r="AF661" s="40"/>
      <c r="AN661" s="40"/>
      <c r="AP661" s="50"/>
      <c r="AQ661" s="50"/>
      <c r="AR661" s="50"/>
      <c r="AS661" s="50"/>
      <c r="AU661" s="40"/>
    </row>
    <row r="662">
      <c r="B662" s="50"/>
      <c r="C662" s="50"/>
      <c r="D662" s="50"/>
      <c r="E662" s="50"/>
      <c r="Q662" s="40"/>
      <c r="S662" s="11"/>
      <c r="T662" s="50"/>
      <c r="U662" s="51"/>
      <c r="V662" s="50"/>
      <c r="W662" s="50"/>
      <c r="X662" s="40"/>
      <c r="Z662" s="11"/>
      <c r="AA662" s="50"/>
      <c r="AB662" s="50"/>
      <c r="AC662" s="50"/>
      <c r="AD662" s="50"/>
      <c r="AE662" s="52"/>
      <c r="AF662" s="40"/>
      <c r="AN662" s="40"/>
      <c r="AP662" s="50"/>
      <c r="AQ662" s="50"/>
      <c r="AR662" s="50"/>
      <c r="AS662" s="50"/>
      <c r="AU662" s="40"/>
    </row>
    <row r="663">
      <c r="B663" s="50"/>
      <c r="C663" s="50"/>
      <c r="D663" s="50"/>
      <c r="E663" s="50"/>
      <c r="Q663" s="40"/>
      <c r="S663" s="11"/>
      <c r="T663" s="50"/>
      <c r="U663" s="51"/>
      <c r="V663" s="50"/>
      <c r="W663" s="50"/>
      <c r="X663" s="40"/>
      <c r="Z663" s="11"/>
      <c r="AA663" s="50"/>
      <c r="AB663" s="50"/>
      <c r="AC663" s="50"/>
      <c r="AD663" s="50"/>
      <c r="AE663" s="52"/>
      <c r="AF663" s="40"/>
      <c r="AN663" s="40"/>
      <c r="AP663" s="50"/>
      <c r="AQ663" s="50"/>
      <c r="AR663" s="50"/>
      <c r="AS663" s="50"/>
      <c r="AU663" s="40"/>
    </row>
    <row r="664">
      <c r="B664" s="50"/>
      <c r="C664" s="50"/>
      <c r="D664" s="50"/>
      <c r="E664" s="50"/>
      <c r="Q664" s="40"/>
      <c r="S664" s="11"/>
      <c r="T664" s="50"/>
      <c r="U664" s="51"/>
      <c r="V664" s="50"/>
      <c r="W664" s="50"/>
      <c r="X664" s="40"/>
      <c r="Z664" s="11"/>
      <c r="AA664" s="50"/>
      <c r="AB664" s="50"/>
      <c r="AC664" s="50"/>
      <c r="AD664" s="50"/>
      <c r="AE664" s="52"/>
      <c r="AF664" s="40"/>
      <c r="AN664" s="40"/>
      <c r="AP664" s="50"/>
      <c r="AQ664" s="50"/>
      <c r="AR664" s="50"/>
      <c r="AS664" s="50"/>
      <c r="AU664" s="40"/>
    </row>
    <row r="665">
      <c r="B665" s="50"/>
      <c r="C665" s="50"/>
      <c r="D665" s="50"/>
      <c r="E665" s="50"/>
      <c r="Q665" s="40"/>
      <c r="S665" s="11"/>
      <c r="T665" s="50"/>
      <c r="U665" s="51"/>
      <c r="V665" s="50"/>
      <c r="W665" s="50"/>
      <c r="X665" s="40"/>
      <c r="Z665" s="11"/>
      <c r="AA665" s="50"/>
      <c r="AB665" s="50"/>
      <c r="AC665" s="50"/>
      <c r="AD665" s="50"/>
      <c r="AE665" s="52"/>
      <c r="AF665" s="40"/>
      <c r="AN665" s="40"/>
      <c r="AP665" s="50"/>
      <c r="AQ665" s="50"/>
      <c r="AR665" s="50"/>
      <c r="AS665" s="50"/>
      <c r="AU665" s="40"/>
    </row>
    <row r="666">
      <c r="B666" s="50"/>
      <c r="C666" s="50"/>
      <c r="D666" s="50"/>
      <c r="E666" s="50"/>
      <c r="Q666" s="40"/>
      <c r="S666" s="11"/>
      <c r="T666" s="50"/>
      <c r="U666" s="51"/>
      <c r="V666" s="50"/>
      <c r="W666" s="50"/>
      <c r="X666" s="40"/>
      <c r="Z666" s="11"/>
      <c r="AA666" s="50"/>
      <c r="AB666" s="50"/>
      <c r="AC666" s="50"/>
      <c r="AD666" s="50"/>
      <c r="AE666" s="52"/>
      <c r="AF666" s="40"/>
      <c r="AN666" s="40"/>
      <c r="AP666" s="50"/>
      <c r="AQ666" s="50"/>
      <c r="AR666" s="50"/>
      <c r="AS666" s="50"/>
      <c r="AU666" s="40"/>
    </row>
    <row r="667">
      <c r="B667" s="50"/>
      <c r="C667" s="50"/>
      <c r="D667" s="50"/>
      <c r="E667" s="50"/>
      <c r="Q667" s="40"/>
      <c r="S667" s="11"/>
      <c r="T667" s="50"/>
      <c r="U667" s="51"/>
      <c r="V667" s="50"/>
      <c r="W667" s="50"/>
      <c r="X667" s="40"/>
      <c r="Z667" s="11"/>
      <c r="AA667" s="50"/>
      <c r="AB667" s="50"/>
      <c r="AC667" s="50"/>
      <c r="AD667" s="50"/>
      <c r="AE667" s="52"/>
      <c r="AF667" s="40"/>
      <c r="AN667" s="40"/>
      <c r="AP667" s="50"/>
      <c r="AQ667" s="50"/>
      <c r="AR667" s="50"/>
      <c r="AS667" s="50"/>
      <c r="AU667" s="40"/>
    </row>
    <row r="668">
      <c r="B668" s="50"/>
      <c r="C668" s="50"/>
      <c r="D668" s="50"/>
      <c r="E668" s="50"/>
      <c r="Q668" s="40"/>
      <c r="S668" s="11"/>
      <c r="T668" s="50"/>
      <c r="U668" s="51"/>
      <c r="V668" s="50"/>
      <c r="W668" s="50"/>
      <c r="X668" s="40"/>
      <c r="Z668" s="11"/>
      <c r="AA668" s="50"/>
      <c r="AB668" s="50"/>
      <c r="AC668" s="50"/>
      <c r="AD668" s="50"/>
      <c r="AE668" s="52"/>
      <c r="AF668" s="40"/>
      <c r="AN668" s="40"/>
      <c r="AP668" s="50"/>
      <c r="AQ668" s="50"/>
      <c r="AR668" s="50"/>
      <c r="AS668" s="50"/>
      <c r="AU668" s="40"/>
    </row>
    <row r="669">
      <c r="B669" s="50"/>
      <c r="C669" s="50"/>
      <c r="D669" s="50"/>
      <c r="E669" s="50"/>
      <c r="Q669" s="40"/>
      <c r="S669" s="11"/>
      <c r="T669" s="50"/>
      <c r="U669" s="51"/>
      <c r="V669" s="50"/>
      <c r="W669" s="50"/>
      <c r="X669" s="40"/>
      <c r="Z669" s="11"/>
      <c r="AA669" s="50"/>
      <c r="AB669" s="50"/>
      <c r="AC669" s="50"/>
      <c r="AD669" s="50"/>
      <c r="AE669" s="52"/>
      <c r="AF669" s="40"/>
      <c r="AN669" s="40"/>
      <c r="AP669" s="50"/>
      <c r="AQ669" s="50"/>
      <c r="AR669" s="50"/>
      <c r="AS669" s="50"/>
      <c r="AU669" s="40"/>
    </row>
    <row r="670">
      <c r="B670" s="50"/>
      <c r="C670" s="50"/>
      <c r="D670" s="50"/>
      <c r="E670" s="50"/>
      <c r="Q670" s="40"/>
      <c r="S670" s="11"/>
      <c r="T670" s="50"/>
      <c r="U670" s="51"/>
      <c r="V670" s="50"/>
      <c r="W670" s="50"/>
      <c r="X670" s="40"/>
      <c r="Z670" s="11"/>
      <c r="AA670" s="50"/>
      <c r="AB670" s="50"/>
      <c r="AC670" s="50"/>
      <c r="AD670" s="50"/>
      <c r="AE670" s="52"/>
      <c r="AF670" s="40"/>
      <c r="AN670" s="40"/>
      <c r="AP670" s="50"/>
      <c r="AQ670" s="50"/>
      <c r="AR670" s="50"/>
      <c r="AS670" s="50"/>
      <c r="AU670" s="40"/>
    </row>
    <row r="671">
      <c r="B671" s="50"/>
      <c r="C671" s="50"/>
      <c r="D671" s="50"/>
      <c r="E671" s="50"/>
      <c r="Q671" s="40"/>
      <c r="S671" s="11"/>
      <c r="T671" s="50"/>
      <c r="U671" s="51"/>
      <c r="V671" s="50"/>
      <c r="W671" s="50"/>
      <c r="X671" s="40"/>
      <c r="Z671" s="11"/>
      <c r="AA671" s="50"/>
      <c r="AB671" s="50"/>
      <c r="AC671" s="50"/>
      <c r="AD671" s="50"/>
      <c r="AE671" s="52"/>
      <c r="AF671" s="40"/>
      <c r="AN671" s="40"/>
      <c r="AP671" s="50"/>
      <c r="AQ671" s="50"/>
      <c r="AR671" s="50"/>
      <c r="AS671" s="50"/>
      <c r="AU671" s="40"/>
    </row>
    <row r="672">
      <c r="B672" s="50"/>
      <c r="C672" s="50"/>
      <c r="D672" s="50"/>
      <c r="E672" s="50"/>
      <c r="Q672" s="40"/>
      <c r="S672" s="11"/>
      <c r="T672" s="50"/>
      <c r="U672" s="51"/>
      <c r="V672" s="50"/>
      <c r="W672" s="50"/>
      <c r="X672" s="40"/>
      <c r="Z672" s="11"/>
      <c r="AA672" s="50"/>
      <c r="AB672" s="50"/>
      <c r="AC672" s="50"/>
      <c r="AD672" s="50"/>
      <c r="AE672" s="52"/>
      <c r="AF672" s="40"/>
      <c r="AN672" s="40"/>
      <c r="AP672" s="50"/>
      <c r="AQ672" s="50"/>
      <c r="AR672" s="50"/>
      <c r="AS672" s="50"/>
      <c r="AU672" s="40"/>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63"/>
    <col customWidth="1" min="3" max="3" width="11.25"/>
    <col customWidth="1" min="4" max="5" width="12.38"/>
    <col customWidth="1" min="7" max="7" width="14.5"/>
    <col customWidth="1" min="8" max="8" width="7.88"/>
    <col customWidth="1" min="9" max="9" width="8.88"/>
    <col customWidth="1" min="10" max="10" width="9.63"/>
    <col customWidth="1" min="11" max="11" width="12.13"/>
    <col customWidth="1" min="14" max="14" width="11.63"/>
    <col customWidth="1" min="17" max="17" width="35.13"/>
    <col customWidth="1" min="18" max="18" width="7.13"/>
    <col customWidth="1" min="19" max="19" width="3.13"/>
    <col customWidth="1" min="20" max="20" width="28.38"/>
    <col customWidth="1" min="21" max="21" width="13.88"/>
    <col customWidth="1" min="22" max="22" width="14.75"/>
    <col customWidth="1" min="24" max="24" width="2.88"/>
    <col customWidth="1" min="25" max="25" width="36.13"/>
    <col customWidth="1" min="26" max="26" width="17.0"/>
    <col customWidth="1" min="27" max="27" width="11.63"/>
    <col customWidth="1" min="29" max="29" width="2.0"/>
    <col customWidth="1" min="30" max="30" width="33.38"/>
    <col customWidth="1" min="32" max="32" width="2.63"/>
    <col customWidth="1" min="36" max="38" width="9.5"/>
  </cols>
  <sheetData>
    <row r="1">
      <c r="A1" s="59" t="s">
        <v>108</v>
      </c>
      <c r="B1" s="59" t="s">
        <v>109</v>
      </c>
      <c r="C1" s="60" t="s">
        <v>110</v>
      </c>
      <c r="D1" s="61" t="s">
        <v>111</v>
      </c>
      <c r="E1" s="62" t="str">
        <f>'RFR Data - preExcl'!E1</f>
        <v>RAW Num of Samples (Gform)</v>
      </c>
      <c r="F1" s="62" t="str">
        <f>'RFR Data - preExcl'!Z1</f>
        <v>Num Rxn Including Controls (from paper form)</v>
      </c>
      <c r="G1" s="60" t="s">
        <v>112</v>
      </c>
      <c r="H1" s="62" t="str">
        <f>'RFR Data - preExcl'!AK1</f>
        <v>RFR Audit
Num
Run Tubes</v>
      </c>
      <c r="I1" s="62" t="s">
        <v>113</v>
      </c>
      <c r="J1" s="62" t="s">
        <v>114</v>
      </c>
      <c r="K1" s="62" t="str">
        <f>'APS Tubes by Date Import'!J1</f>
        <v>All Non-Null Tubes Resulted Same Day?</v>
      </c>
      <c r="L1" s="63" t="str">
        <f>IF(SUM(L3:L103)&gt;0,"Num NULL &gt; 0 NEEDS CHANGE", "Num NULL = 0 OK")</f>
        <v>Num NULL = 0 OK</v>
      </c>
      <c r="M1" s="64" t="s">
        <v>115</v>
      </c>
      <c r="N1" s="63" t="s">
        <v>116</v>
      </c>
      <c r="O1" s="63" t="s">
        <v>117</v>
      </c>
      <c r="P1" s="59" t="s">
        <v>118</v>
      </c>
      <c r="Q1" s="65" t="s">
        <v>119</v>
      </c>
      <c r="R1" s="14" t="s">
        <v>26</v>
      </c>
      <c r="S1" s="29"/>
      <c r="T1" s="59" t="s">
        <v>120</v>
      </c>
      <c r="U1" s="59" t="s">
        <v>121</v>
      </c>
      <c r="V1" s="66" t="s">
        <v>122</v>
      </c>
      <c r="W1" s="67" t="s">
        <v>123</v>
      </c>
      <c r="X1" s="68"/>
      <c r="Y1" s="69" t="s">
        <v>124</v>
      </c>
      <c r="Z1" s="70">
        <f>COUNTA(Z2:Z179)</f>
        <v>19</v>
      </c>
      <c r="AA1" s="14" t="s">
        <v>125</v>
      </c>
      <c r="AB1" s="14" t="s">
        <v>126</v>
      </c>
      <c r="AC1" s="39"/>
      <c r="AD1" s="14" t="s">
        <v>127</v>
      </c>
      <c r="AE1" s="71">
        <f>SUM(AE2:AE179)</f>
        <v>63</v>
      </c>
      <c r="AF1" s="40"/>
      <c r="AG1" s="64" t="s">
        <v>115</v>
      </c>
      <c r="AH1" s="63" t="s">
        <v>116</v>
      </c>
      <c r="AI1" s="63" t="s">
        <v>117</v>
      </c>
    </row>
    <row r="2">
      <c r="A2" s="6" t="str">
        <f t="array" ref="A2:B81">SORT(UNIQUE(T2:U179),2,TRUE)</f>
        <v>RUN-COMB_2022-03-20_RFR-001</v>
      </c>
      <c r="B2" s="11">
        <v>44640.0</v>
      </c>
      <c r="C2" s="72"/>
      <c r="D2" s="72">
        <v>27.0</v>
      </c>
      <c r="E2" s="50">
        <f t="array" ref="E2">IF(OR(ISBLANK($A2),$C2),IFERROR(0/0,""),INDEX('RFR Data - preExcl'!E$2:E179,$R2,1))</f>
        <v>20</v>
      </c>
      <c r="F2" s="50">
        <f t="array" ref="F2">IF(OR(ISBLANK($A2),$C2),IFERROR(0/0,""),INDEX('RFR Data - preExcl'!Z$2:Z179,$R2,1))</f>
        <v>20</v>
      </c>
      <c r="G2" s="50">
        <f t="array" ref="G2">IF(OR(ISBLANK(A2),C2),IFERROR(0/0,""),INDEX('RFR Data - preExcl'!AC$2:AC179,$R2,1))</f>
        <v>18</v>
      </c>
      <c r="H2" s="50">
        <f t="array" ref="H2">IF(OR(ISBLANK(A2),C2),IFERROR(0/0,""),INDEX('RFR Data - preExcl'!AK$2:AK179,$R2,1))</f>
        <v>18</v>
      </c>
      <c r="I2" s="50">
        <f t="array" ref="I2">IF(OR(ISBLANK(A2),C2),IFERROR(0/0,""),INDEX('RFR Data - preExcl'!AL$2:AL179,$R2,1))</f>
        <v>1</v>
      </c>
      <c r="J2" s="50">
        <f>IFERROR(VLOOKUP($B2,'APS Tubes by Date Import'!$B$2:$J179,2,FALSE),"")</f>
        <v>18</v>
      </c>
      <c r="K2" s="50" t="b">
        <f>IFERROR(VLOOKUP($B2,'APS Tubes by Date Import'!$B$2:$J179,9,FALSE),"")</f>
        <v>1</v>
      </c>
      <c r="L2" s="50">
        <f>IFNA(VLOOKUP($B2,'APS Tubes by Date Import'!$B$2:$J179,6,FALSE),"")</f>
        <v>0</v>
      </c>
      <c r="M2" s="73">
        <f t="shared" ref="M2:M6" si="2">H2</f>
        <v>18</v>
      </c>
      <c r="N2" s="50">
        <f t="shared" ref="N2:N80" si="3">M2-J2</f>
        <v>0</v>
      </c>
      <c r="O2" s="74">
        <v>0.0</v>
      </c>
      <c r="P2" s="75" t="b">
        <f t="shared" ref="P2:P81" si="4">IF(ISBLANK(N2),IFERROR(0/0,""),IF(AND(O2&lt;=10,NOT(COUNTIF($B$2:$B179, B2)&gt;1)),TRUE,IFERROR(0/0,"")))</f>
        <v>1</v>
      </c>
      <c r="Q2" s="76" t="s">
        <v>128</v>
      </c>
      <c r="R2" s="77">
        <f>IFNA(MATCH(A2,'RFR Data - preExcl'!A$2:A179,0),"")</f>
        <v>1</v>
      </c>
      <c r="S2" s="40"/>
      <c r="T2" s="19" t="str">
        <f>IF(EXACT('RFR Data - preExcl'!W2,"Initial"),'RFR Data - preExcl'!A2,IFERROR(0/0,""))</f>
        <v>RUN-COMB_2022-03-20_RFR-001</v>
      </c>
      <c r="U2" s="7">
        <f>IF(EXACT('RFR Data - preExcl'!W2,"Initial"),'RFR Data - preExcl'!U2,IFERROR(0/0,""))</f>
        <v>44640</v>
      </c>
      <c r="X2" s="40"/>
      <c r="Y2" s="49" t="str">
        <f>IFERROR(__xludf.DUMMYFUNCTION("SORT(FILTER('RFR Data - preExcl'!A2:B179,'RFR Data - preExcl'!$W2:$W179=""Re-run""))
"),"RUN-COMB_2022-03-20_RFR-003_Re-run")</f>
        <v>RUN-COMB_2022-03-20_RFR-003_Re-run</v>
      </c>
      <c r="Z2" s="78">
        <f>IFERROR(__xludf.DUMMYFUNCTION("""COMPUTED_VALUE"""),44641.43800925926)</f>
        <v>44641.43801</v>
      </c>
      <c r="AA2" s="45">
        <f>VLOOKUP($Y2,'RFR Data - preExcl'!$A$2:$AK179,29,FALSE)</f>
        <v>6</v>
      </c>
      <c r="AB2" s="45">
        <f>VLOOKUP($Y2,'RFR Data - preExcl'!$A$2:$AK179,37,FALSE)</f>
        <v>2</v>
      </c>
      <c r="AC2" s="79"/>
      <c r="AD2" s="49" t="str">
        <f>IFERROR(__xludf.DUMMYFUNCTION("SORT(FILTER(A2:A179,ISNUMBER(SEARCH(""APS"",A2:A179))))
"),"RUN-COMB_2022-07-07_APS-001")</f>
        <v>RUN-COMB_2022-07-07_APS-001</v>
      </c>
      <c r="AE2" s="45">
        <f t="shared" ref="AE2:AE4" si="5">VLOOKUP(AD2,A2:M179,13,FALSE)</f>
        <v>34</v>
      </c>
      <c r="AF2" s="40"/>
      <c r="AG2" s="73">
        <v>18.0</v>
      </c>
      <c r="AH2" s="50">
        <v>0.0</v>
      </c>
      <c r="AI2" s="74">
        <v>0.0</v>
      </c>
      <c r="AJ2" s="50">
        <f t="shared" ref="AJ2:AL2" si="1">AG2-M2</f>
        <v>0</v>
      </c>
      <c r="AK2" s="50">
        <f t="shared" si="1"/>
        <v>0</v>
      </c>
      <c r="AL2" s="50">
        <f t="shared" si="1"/>
        <v>0</v>
      </c>
    </row>
    <row r="3">
      <c r="A3" s="6" t="s">
        <v>29</v>
      </c>
      <c r="B3" s="11">
        <v>44641.0</v>
      </c>
      <c r="C3" s="50"/>
      <c r="D3" s="72">
        <v>29.0</v>
      </c>
      <c r="E3" s="50">
        <f t="array" ref="E3">IF(OR(ISBLANK($A3),C3),IFERROR(0/0,""),INDEX('RFR Data - preExcl'!E$2:E179,$R3,1))</f>
        <v>27</v>
      </c>
      <c r="F3" s="50">
        <f t="array" ref="F3">IF(OR(ISBLANK($A3),$C3),IFERROR(0/0,""),INDEX('RFR Data - preExcl'!Z$2:Z179,$R3,1))</f>
        <v>29</v>
      </c>
      <c r="G3" s="50">
        <f t="array" ref="G3">IF(OR(ISBLANK(A3),C3),IFERROR(0/0,""),INDEX('RFR Data - preExcl'!AC$2:AC179,$R3,1))</f>
        <v>27</v>
      </c>
      <c r="H3" s="50">
        <f t="array" ref="H3">IF(OR(ISBLANK(A3),C3),IFERROR(0/0,""),INDEX('RFR Data - preExcl'!AK$2:AK179,$R3,1))</f>
        <v>27</v>
      </c>
      <c r="I3" s="50">
        <f t="array" ref="I3">IF(OR(ISBLANK(A3),C3),IFERROR(0/0,""),INDEX('RFR Data - preExcl'!AL$2:AL179,$R3,1))</f>
        <v>4</v>
      </c>
      <c r="J3" s="50">
        <f>IFERROR(VLOOKUP($B3,'APS Tubes by Date Import'!$B$2:$J179,2,FALSE),"")</f>
        <v>26</v>
      </c>
      <c r="K3" s="50" t="b">
        <f>IFERROR(VLOOKUP($B3,'APS Tubes by Date Import'!$B$2:$J179,9,FALSE),"")</f>
        <v>1</v>
      </c>
      <c r="L3" s="50">
        <f>IFNA(VLOOKUP($B3,'APS Tubes by Date Import'!$B$2:$J179,6,FALSE),"")</f>
        <v>0</v>
      </c>
      <c r="M3" s="73">
        <f t="shared" si="2"/>
        <v>27</v>
      </c>
      <c r="N3" s="50">
        <f t="shared" si="3"/>
        <v>1</v>
      </c>
      <c r="O3" s="74">
        <v>4.9</v>
      </c>
      <c r="P3" s="75" t="b">
        <f t="shared" si="4"/>
        <v>1</v>
      </c>
      <c r="Q3" s="76" t="s">
        <v>129</v>
      </c>
      <c r="R3" s="77">
        <f>IFNA(MATCH(A3,'RFR Data - preExcl'!A$2:A179,0),"")</f>
        <v>2</v>
      </c>
      <c r="S3" s="40"/>
      <c r="T3" s="19" t="str">
        <f>IF(EXACT('RFR Data - preExcl'!W3,"Initial"),'RFR Data - preExcl'!A3,IFERROR(0/0,""))</f>
        <v>RUN-COMB_2022-03-21_RFR-002</v>
      </c>
      <c r="U3" s="7">
        <f>IF(EXACT('RFR Data - preExcl'!W3,"Initial"),'RFR Data - preExcl'!U3,IFERROR(0/0,""))</f>
        <v>44641</v>
      </c>
      <c r="X3" s="40"/>
      <c r="Y3" s="80" t="str">
        <f>IFERROR(__xludf.DUMMYFUNCTION("""COMPUTED_VALUE"""),"RUN-COMB_2022-03-22_RFR-005_Re-run")</f>
        <v>RUN-COMB_2022-03-22_RFR-005_Re-run</v>
      </c>
      <c r="Z3" s="78">
        <f>IFERROR(__xludf.DUMMYFUNCTION("""COMPUTED_VALUE"""),44642.363171296296)</f>
        <v>44642.36317</v>
      </c>
      <c r="AA3" s="45">
        <f>VLOOKUP($Y3,'RFR Data - preExcl'!$A$2:$AK179,29,FALSE)</f>
        <v>6</v>
      </c>
      <c r="AB3" s="45">
        <f>VLOOKUP($Y3,'RFR Data - preExcl'!$A$2:$AK179,37,FALSE)</f>
        <v>2</v>
      </c>
      <c r="AC3" s="79"/>
      <c r="AD3" s="81" t="str">
        <f>IFERROR(__xludf.DUMMYFUNCTION("""COMPUTED_VALUE"""),"RUN-COMB_2022-08-03_APS-002")</f>
        <v>RUN-COMB_2022-08-03_APS-002</v>
      </c>
      <c r="AE3" s="45">
        <f t="shared" si="5"/>
        <v>13</v>
      </c>
      <c r="AF3" s="40"/>
      <c r="AG3" s="73">
        <v>27.0</v>
      </c>
      <c r="AH3" s="50">
        <v>1.0</v>
      </c>
      <c r="AI3" s="74">
        <v>4.9</v>
      </c>
      <c r="AJ3" s="50">
        <f t="shared" ref="AJ3:AL3" si="6">AG3-M3</f>
        <v>0</v>
      </c>
      <c r="AK3" s="50">
        <f t="shared" si="6"/>
        <v>0</v>
      </c>
      <c r="AL3" s="50">
        <f t="shared" si="6"/>
        <v>0</v>
      </c>
    </row>
    <row r="4">
      <c r="A4" s="6" t="s">
        <v>30</v>
      </c>
      <c r="B4" s="11">
        <v>44642.0</v>
      </c>
      <c r="C4" s="72"/>
      <c r="D4" s="72">
        <v>18.0</v>
      </c>
      <c r="E4" s="82">
        <f t="array" ref="E4">IF(OR(ISBLANK($A4),C4),IFERROR(0/0,""),INDEX('RFR Data - preExcl'!E$2:E179,$R4,1))</f>
        <v>18</v>
      </c>
      <c r="F4" s="50">
        <f t="array" ref="F4">IF(OR(ISBLANK($A4),$C4),IFERROR(0/0,""),INDEX('RFR Data - preExcl'!Z$2:Z179,$R4,1))</f>
        <v>24</v>
      </c>
      <c r="G4" s="50">
        <f t="array" ref="G4">IF(OR(ISBLANK(A4),C4),IFERROR(0/0,""),INDEX('RFR Data - preExcl'!AC$2:AC179,$R4,1))</f>
        <v>22</v>
      </c>
      <c r="H4" s="82">
        <f t="array" ref="H4">IF(OR(ISBLANK(A4),C4),IFERROR(0/0,""),INDEX('RFR Data - preExcl'!AK$2:AK179,$R4,1))</f>
        <v>18</v>
      </c>
      <c r="I4" s="50">
        <f t="array" ref="I4">IF(OR(ISBLANK(A4),C4),IFERROR(0/0,""),INDEX('RFR Data - preExcl'!AL$2:AL179,$R4,1))</f>
        <v>4</v>
      </c>
      <c r="J4" s="82">
        <f>IFERROR(VLOOKUP($B4,'APS Tubes by Date Import'!$B$2:$J179,2,FALSE),"")</f>
        <v>18</v>
      </c>
      <c r="K4" s="50" t="b">
        <f>IFERROR(VLOOKUP($B4,'APS Tubes by Date Import'!$B$2:$J179,9,FALSE),"")</f>
        <v>1</v>
      </c>
      <c r="L4" s="50">
        <f>IFNA(VLOOKUP($B4,'APS Tubes by Date Import'!$B$2:$J179,6,FALSE),"")</f>
        <v>0</v>
      </c>
      <c r="M4" s="83">
        <f t="shared" si="2"/>
        <v>18</v>
      </c>
      <c r="N4" s="50">
        <f t="shared" si="3"/>
        <v>0</v>
      </c>
      <c r="O4" s="74">
        <v>0.0</v>
      </c>
      <c r="P4" s="75" t="b">
        <f t="shared" si="4"/>
        <v>1</v>
      </c>
      <c r="Q4" s="84" t="str">
        <f t="shared" ref="Q4:Q6" si="8">IFS(OR(O4=0.1,O4=1.1,O4=2.1),"NULL &gt; NEG",O4=3, "Delete NULL",TRUE,IFERROR(0/0,""))</f>
        <v/>
      </c>
      <c r="R4" s="77">
        <f>IFNA(MATCH(A4,'RFR Data - preExcl'!A$2:A179,0),"")</f>
        <v>4</v>
      </c>
      <c r="S4" s="40"/>
      <c r="T4" s="19" t="str">
        <f>IF(EXACT('RFR Data - preExcl'!W4,"Initial"),'RFR Data - preExcl'!A4,IFERROR(0/0,""))</f>
        <v/>
      </c>
      <c r="U4" s="7" t="str">
        <f>IF(EXACT('RFR Data - preExcl'!W4,"Initial"),'RFR Data - preExcl'!U4,IFERROR(0/0,""))</f>
        <v/>
      </c>
      <c r="X4" s="40"/>
      <c r="Y4" s="80" t="str">
        <f>IFERROR(__xludf.DUMMYFUNCTION("""COMPUTED_VALUE"""),"RUN-COMB_2022-04-15_RFR-019_Re-run")</f>
        <v>RUN-COMB_2022-04-15_RFR-019_Re-run</v>
      </c>
      <c r="Z4" s="78">
        <f>IFERROR(__xludf.DUMMYFUNCTION("""COMPUTED_VALUE"""),44666.37614583333)</f>
        <v>44666.37615</v>
      </c>
      <c r="AA4" s="45">
        <f>VLOOKUP($Y4,'RFR Data - preExcl'!$A$2:$AK179,29,FALSE)</f>
        <v>6</v>
      </c>
      <c r="AB4" s="45">
        <f>VLOOKUP($Y4,'RFR Data - preExcl'!$A$2:$AK179,37,FALSE)</f>
        <v>1</v>
      </c>
      <c r="AC4" s="79"/>
      <c r="AD4" s="81" t="str">
        <f>IFERROR(__xludf.DUMMYFUNCTION("""COMPUTED_VALUE"""),"RUN-COMB_2022-08-10_APS-003")</f>
        <v>RUN-COMB_2022-08-10_APS-003</v>
      </c>
      <c r="AE4" s="45">
        <f t="shared" si="5"/>
        <v>16</v>
      </c>
      <c r="AF4" s="40"/>
      <c r="AG4" s="83">
        <v>18.0</v>
      </c>
      <c r="AH4" s="50">
        <v>0.0</v>
      </c>
      <c r="AI4" s="74">
        <v>0.0</v>
      </c>
      <c r="AJ4" s="50">
        <f t="shared" ref="AJ4:AL4" si="7">AG4-M4</f>
        <v>0</v>
      </c>
      <c r="AK4" s="50">
        <f t="shared" si="7"/>
        <v>0</v>
      </c>
      <c r="AL4" s="50">
        <f t="shared" si="7"/>
        <v>0</v>
      </c>
    </row>
    <row r="5">
      <c r="A5" s="6" t="s">
        <v>31</v>
      </c>
      <c r="B5" s="11">
        <v>44643.0</v>
      </c>
      <c r="C5" s="72"/>
      <c r="D5" s="72">
        <v>32.0</v>
      </c>
      <c r="E5" s="50">
        <f t="array" ref="E5">IF(OR(ISBLANK($A5),C5),IFERROR(0/0,""),INDEX('RFR Data - preExcl'!E$2:E179,$R5,1))</f>
        <v>32</v>
      </c>
      <c r="F5" s="50">
        <f t="array" ref="F5">IF(OR(ISBLANK($A5),$C5),IFERROR(0/0,""),INDEX('RFR Data - preExcl'!Z$2:Z179,$R5,1))</f>
        <v>34</v>
      </c>
      <c r="G5" s="50">
        <f t="array" ref="G5">IF(OR(ISBLANK(A5),C5),IFERROR(0/0,""),INDEX('RFR Data - preExcl'!AC$2:AC179,$R5,1))</f>
        <v>32</v>
      </c>
      <c r="H5" s="50">
        <f t="array" ref="H5">IF(OR(ISBLANK(A5),C5),IFERROR(0/0,""),INDEX('RFR Data - preExcl'!AK$2:AK179,$R5,1))</f>
        <v>32</v>
      </c>
      <c r="I5" s="50">
        <f t="array" ref="I5">IF(OR(ISBLANK(A5),C5),IFERROR(0/0,""),INDEX('RFR Data - preExcl'!AL$2:AL179,$R5,1))</f>
        <v>0</v>
      </c>
      <c r="J5" s="50">
        <f>IFERROR(VLOOKUP($B5,'APS Tubes by Date Import'!$B$2:$J179,2,FALSE),"")</f>
        <v>32</v>
      </c>
      <c r="K5" s="50" t="b">
        <f>IFERROR(VLOOKUP($B5,'APS Tubes by Date Import'!$B$2:$J179,9,FALSE),"")</f>
        <v>1</v>
      </c>
      <c r="L5" s="50">
        <f>IFNA(VLOOKUP($B5,'APS Tubes by Date Import'!$B$2:$J179,6,FALSE),"")</f>
        <v>0</v>
      </c>
      <c r="M5" s="73">
        <f t="shared" si="2"/>
        <v>32</v>
      </c>
      <c r="N5" s="50">
        <f t="shared" si="3"/>
        <v>0</v>
      </c>
      <c r="O5" s="74">
        <v>0.1</v>
      </c>
      <c r="P5" s="75" t="b">
        <f t="shared" si="4"/>
        <v>1</v>
      </c>
      <c r="Q5" s="84" t="str">
        <f t="shared" si="8"/>
        <v>NULL &gt; NEG</v>
      </c>
      <c r="R5" s="77">
        <f>IFNA(MATCH(A5,'RFR Data - preExcl'!A$2:A179,0),"")</f>
        <v>6</v>
      </c>
      <c r="S5" s="40"/>
      <c r="T5" s="19" t="str">
        <f>IF(EXACT('RFR Data - preExcl'!W5,"Initial"),'RFR Data - preExcl'!A5,IFERROR(0/0,""))</f>
        <v>RUN-COMB_2022-03-22_RFR-004</v>
      </c>
      <c r="U5" s="7">
        <f>IF(EXACT('RFR Data - preExcl'!W5,"Initial"),'RFR Data - preExcl'!U5,IFERROR(0/0,""))</f>
        <v>44642</v>
      </c>
      <c r="X5" s="40"/>
      <c r="Y5" s="80" t="str">
        <f>IFERROR(__xludf.DUMMYFUNCTION("""COMPUTED_VALUE"""),"RUN-COMB_2022-04-19_RFR-023_Re-run")</f>
        <v>RUN-COMB_2022-04-19_RFR-023_Re-run</v>
      </c>
      <c r="Z5" s="78">
        <f>IFERROR(__xludf.DUMMYFUNCTION("""COMPUTED_VALUE"""),44670.40241898148)</f>
        <v>44670.40242</v>
      </c>
      <c r="AA5" s="45">
        <f>VLOOKUP($Y5,'RFR Data - preExcl'!$A$2:$AK179,29,FALSE)</f>
        <v>3</v>
      </c>
      <c r="AB5" s="45">
        <f>VLOOKUP($Y5,'RFR Data - preExcl'!$A$2:$AK179,37,FALSE)</f>
        <v>1</v>
      </c>
      <c r="AC5" s="79"/>
      <c r="AD5" s="50"/>
      <c r="AE5" s="50"/>
      <c r="AF5" s="40"/>
      <c r="AG5" s="73">
        <v>32.0</v>
      </c>
      <c r="AH5" s="50">
        <v>0.0</v>
      </c>
      <c r="AI5" s="74">
        <v>0.1</v>
      </c>
      <c r="AJ5" s="50">
        <f t="shared" ref="AJ5:AL5" si="9">AG5-M5</f>
        <v>0</v>
      </c>
      <c r="AK5" s="50">
        <f t="shared" si="9"/>
        <v>0</v>
      </c>
      <c r="AL5" s="50">
        <f t="shared" si="9"/>
        <v>0</v>
      </c>
    </row>
    <row r="6">
      <c r="A6" s="6" t="s">
        <v>32</v>
      </c>
      <c r="B6" s="11">
        <v>44644.0</v>
      </c>
      <c r="C6" s="50"/>
      <c r="D6" s="72">
        <v>23.0</v>
      </c>
      <c r="E6" s="50">
        <f t="array" ref="E6">IF(OR(ISBLANK($A6),C6),IFERROR(0/0,""),INDEX('RFR Data - preExcl'!E$2:E179,$R6,1))</f>
        <v>24</v>
      </c>
      <c r="F6" s="50">
        <f t="array" ref="F6">IF(OR(ISBLANK($A6),$C6),IFERROR(0/0,""),INDEX('RFR Data - preExcl'!Z$2:Z179,$R6,1))</f>
        <v>25</v>
      </c>
      <c r="G6" s="50">
        <f t="array" ref="G6">IF(OR(ISBLANK(A6),C6),IFERROR(0/0,""),INDEX('RFR Data - preExcl'!AC$2:AC179,$R6,1))</f>
        <v>23</v>
      </c>
      <c r="H6" s="50">
        <f t="array" ref="H6">IF(OR(ISBLANK(A6),C6),IFERROR(0/0,""),INDEX('RFR Data - preExcl'!AK$2:AK179,$R6,1))</f>
        <v>23</v>
      </c>
      <c r="I6" s="50">
        <f t="array" ref="I6">IF(OR(ISBLANK(A6),C6),IFERROR(0/0,""),INDEX('RFR Data - preExcl'!AL$2:AL179,$R6,1))</f>
        <v>0</v>
      </c>
      <c r="J6" s="50">
        <f>IFERROR(VLOOKUP($B6,'APS Tubes by Date Import'!$B$2:$J179,2,FALSE),"")</f>
        <v>23</v>
      </c>
      <c r="K6" s="50" t="b">
        <f>IFERROR(VLOOKUP($B6,'APS Tubes by Date Import'!$B$2:$J179,9,FALSE),"")</f>
        <v>1</v>
      </c>
      <c r="L6" s="50">
        <f>IFNA(VLOOKUP($B6,'APS Tubes by Date Import'!$B$2:$J179,6,FALSE),"")</f>
        <v>0</v>
      </c>
      <c r="M6" s="73">
        <f t="shared" si="2"/>
        <v>23</v>
      </c>
      <c r="N6" s="50">
        <f t="shared" si="3"/>
        <v>0</v>
      </c>
      <c r="O6" s="74">
        <v>0.0</v>
      </c>
      <c r="P6" s="75" t="b">
        <f t="shared" si="4"/>
        <v>1</v>
      </c>
      <c r="Q6" s="84" t="str">
        <f t="shared" si="8"/>
        <v/>
      </c>
      <c r="R6" s="77">
        <f>IFNA(MATCH(A6,'RFR Data - preExcl'!A$2:A179,0),"")</f>
        <v>7</v>
      </c>
      <c r="S6" s="40"/>
      <c r="T6" s="19" t="str">
        <f>IF(EXACT('RFR Data - preExcl'!W6,"Initial"),'RFR Data - preExcl'!A6,IFERROR(0/0,""))</f>
        <v/>
      </c>
      <c r="U6" s="7" t="str">
        <f>IF(EXACT('RFR Data - preExcl'!W6,"Initial"),'RFR Data - preExcl'!U6,IFERROR(0/0,""))</f>
        <v/>
      </c>
      <c r="X6" s="40"/>
      <c r="Y6" s="80" t="str">
        <f>IFERROR(__xludf.DUMMYFUNCTION("""COMPUTED_VALUE"""),"RUN-COMB_2022-04-21_RFR-026_Re-run")</f>
        <v>RUN-COMB_2022-04-21_RFR-026_Re-run</v>
      </c>
      <c r="Z6" s="78">
        <f>IFERROR(__xludf.DUMMYFUNCTION("""COMPUTED_VALUE"""),44672.61074074074)</f>
        <v>44672.61074</v>
      </c>
      <c r="AA6" s="45">
        <f>VLOOKUP($Y6,'RFR Data - preExcl'!$A$2:$AK179,29,FALSE)</f>
        <v>6</v>
      </c>
      <c r="AB6" s="45">
        <f>VLOOKUP($Y6,'RFR Data - preExcl'!$A$2:$AK179,37,FALSE)</f>
        <v>2</v>
      </c>
      <c r="AC6" s="79"/>
      <c r="AD6" s="50"/>
      <c r="AE6" s="50"/>
      <c r="AF6" s="40"/>
      <c r="AG6" s="73">
        <v>23.0</v>
      </c>
      <c r="AH6" s="50">
        <v>0.0</v>
      </c>
      <c r="AI6" s="74">
        <v>0.0</v>
      </c>
      <c r="AJ6" s="50">
        <f t="shared" ref="AJ6:AL6" si="10">AG6-M6</f>
        <v>0</v>
      </c>
      <c r="AK6" s="50">
        <f t="shared" si="10"/>
        <v>0</v>
      </c>
      <c r="AL6" s="50">
        <f t="shared" si="10"/>
        <v>0</v>
      </c>
    </row>
    <row r="7">
      <c r="A7" s="6" t="s">
        <v>33</v>
      </c>
      <c r="B7" s="11">
        <v>44653.0</v>
      </c>
      <c r="C7" s="50"/>
      <c r="D7" s="72"/>
      <c r="E7" s="50">
        <f t="array" ref="E7">IF(OR(ISBLANK($A7),C7),IFERROR(0/0,""),INDEX('RFR Data - preExcl'!E$2:E179,$R7,1))</f>
        <v>8</v>
      </c>
      <c r="F7" s="50">
        <f t="array" ref="F7">IF(OR(ISBLANK($A7),$C7),IFERROR(0/0,""),INDEX('RFR Data - preExcl'!Z$2:Z179,$R7,1))</f>
        <v>8</v>
      </c>
      <c r="G7" s="50">
        <f t="array" ref="G7">IF(OR(ISBLANK(A7),C7),IFERROR(0/0,""),INDEX('RFR Data - preExcl'!AC$2:AC179,$R7,1))</f>
        <v>6</v>
      </c>
      <c r="H7" s="85">
        <f t="array" ref="H7">IF(OR(ISBLANK(A7),C7),IFERROR(0/0,""),INDEX('RFR Data - preExcl'!AK$2:AK179,$R7,1))</f>
        <v>6</v>
      </c>
      <c r="I7" s="50">
        <f t="array" ref="I7">IF(OR(ISBLANK(A7),C7),IFERROR(0/0,""),INDEX('RFR Data - preExcl'!AL$2:AL179,$R7,1))</f>
        <v>0</v>
      </c>
      <c r="J7" s="82">
        <f>IFERROR(VLOOKUP($B7,'APS Tubes by Date Import'!$B$2:$J179,2,FALSE),"")</f>
        <v>2</v>
      </c>
      <c r="K7" s="50" t="b">
        <f>IFERROR(VLOOKUP($B7,'APS Tubes by Date Import'!$B$2:$J179,9,FALSE),"")</f>
        <v>1</v>
      </c>
      <c r="L7" s="50">
        <f>IFNA(VLOOKUP($B7,'APS Tubes by Date Import'!$B$2:$J179,6,FALSE),"")</f>
        <v>0</v>
      </c>
      <c r="M7" s="86">
        <v>2.0</v>
      </c>
      <c r="N7" s="50">
        <f t="shared" si="3"/>
        <v>0</v>
      </c>
      <c r="O7" s="74">
        <v>4.9</v>
      </c>
      <c r="P7" s="75" t="b">
        <f t="shared" si="4"/>
        <v>1</v>
      </c>
      <c r="Q7" s="76" t="s">
        <v>130</v>
      </c>
      <c r="R7" s="77">
        <f>IFNA(MATCH(A7,'RFR Data - preExcl'!A$2:A179,0),"")</f>
        <v>8</v>
      </c>
      <c r="S7" s="40"/>
      <c r="T7" s="19" t="str">
        <f>IF(EXACT('RFR Data - preExcl'!W7,"Initial"),'RFR Data - preExcl'!A7,IFERROR(0/0,""))</f>
        <v>RUN-COMB_2022-03-23_RFR-006</v>
      </c>
      <c r="U7" s="7">
        <f>IF(EXACT('RFR Data - preExcl'!W7,"Initial"),'RFR Data - preExcl'!U7,IFERROR(0/0,""))</f>
        <v>44643</v>
      </c>
      <c r="X7" s="40"/>
      <c r="Y7" s="80" t="str">
        <f>IFERROR(__xludf.DUMMYFUNCTION("""COMPUTED_VALUE"""),"RUN-COMB_2022-04-25_RFR-029_Re-run")</f>
        <v>RUN-COMB_2022-04-25_RFR-029_Re-run</v>
      </c>
      <c r="Z7" s="78">
        <f>IFERROR(__xludf.DUMMYFUNCTION("""COMPUTED_VALUE"""),44676.85018518518)</f>
        <v>44676.85019</v>
      </c>
      <c r="AA7" s="45">
        <f>VLOOKUP($Y7,'RFR Data - preExcl'!$A$2:$AK179,29,FALSE)</f>
        <v>6</v>
      </c>
      <c r="AB7" s="45">
        <f>VLOOKUP($Y7,'RFR Data - preExcl'!$A$2:$AK179,37,FALSE)</f>
        <v>2</v>
      </c>
      <c r="AC7" s="79"/>
      <c r="AD7" s="50"/>
      <c r="AE7" s="50"/>
      <c r="AF7" s="40"/>
      <c r="AG7" s="86">
        <v>2.0</v>
      </c>
      <c r="AH7" s="50">
        <v>0.0</v>
      </c>
      <c r="AI7" s="74">
        <v>4.9</v>
      </c>
      <c r="AJ7" s="50">
        <f t="shared" ref="AJ7:AL7" si="11">AG7-M7</f>
        <v>0</v>
      </c>
      <c r="AK7" s="50">
        <f t="shared" si="11"/>
        <v>0</v>
      </c>
      <c r="AL7" s="50">
        <f t="shared" si="11"/>
        <v>0</v>
      </c>
    </row>
    <row r="8">
      <c r="A8" s="6" t="s">
        <v>34</v>
      </c>
      <c r="B8" s="11">
        <v>44655.0</v>
      </c>
      <c r="C8" s="50"/>
      <c r="D8" s="72">
        <v>27.0</v>
      </c>
      <c r="E8" s="50">
        <f t="array" ref="E8">IF(OR(ISBLANK($A8),C8),IFERROR(0/0,""),INDEX('RFR Data - preExcl'!E$2:E179,$R8,1))</f>
        <v>27</v>
      </c>
      <c r="F8" s="50">
        <f t="array" ref="F8">IF(OR(ISBLANK($A8),$C8),IFERROR(0/0,""),INDEX('RFR Data - preExcl'!Z$2:Z179,$R8,1))</f>
        <v>29</v>
      </c>
      <c r="G8" s="50">
        <f t="array" ref="G8">IF(OR(ISBLANK(A8),C8),IFERROR(0/0,""),INDEX('RFR Data - preExcl'!AC$2:AC179,$R8,1))</f>
        <v>27</v>
      </c>
      <c r="H8" s="50">
        <f t="array" ref="H8">IF(OR(ISBLANK(A8),C8),IFERROR(0/0,""),INDEX('RFR Data - preExcl'!AK$2:AK179,$R8,1))</f>
        <v>27</v>
      </c>
      <c r="I8" s="50">
        <f t="array" ref="I8">IF(OR(ISBLANK(A8),C8),IFERROR(0/0,""),INDEX('RFR Data - preExcl'!AL$2:AL179,$R8,1))</f>
        <v>0</v>
      </c>
      <c r="J8" s="50">
        <f>IFERROR(VLOOKUP($B8,'APS Tubes by Date Import'!$B$2:$J179,2,FALSE),"")</f>
        <v>24</v>
      </c>
      <c r="K8" s="50" t="str">
        <f>IFERROR(VLOOKUP($B8,'APS Tubes by Date Import'!$B$2:$J179,9,FALSE),"")</f>
        <v/>
      </c>
      <c r="L8" s="50">
        <f>IFNA(VLOOKUP($B8,'APS Tubes by Date Import'!$B$2:$J179,6,FALSE),"")</f>
        <v>0</v>
      </c>
      <c r="M8" s="73">
        <f t="shared" ref="M8:M60" si="13">H8</f>
        <v>27</v>
      </c>
      <c r="N8" s="50">
        <f t="shared" si="3"/>
        <v>3</v>
      </c>
      <c r="O8" s="74">
        <v>2.1</v>
      </c>
      <c r="P8" s="75" t="b">
        <f t="shared" si="4"/>
        <v>1</v>
      </c>
      <c r="Q8" s="76" t="s">
        <v>131</v>
      </c>
      <c r="R8" s="77">
        <f>IFNA(MATCH(A8,'RFR Data - preExcl'!A$2:A179,0),"")</f>
        <v>9</v>
      </c>
      <c r="S8" s="40"/>
      <c r="T8" s="19" t="str">
        <f>IF(EXACT('RFR Data - preExcl'!W8,"Initial"),'RFR Data - preExcl'!A8,IFERROR(0/0,""))</f>
        <v>RUN-COMB_2022-03-24_RFR-007</v>
      </c>
      <c r="U8" s="7">
        <f>IF(EXACT('RFR Data - preExcl'!W8,"Initial"),'RFR Data - preExcl'!U8,IFERROR(0/0,""))</f>
        <v>44644</v>
      </c>
      <c r="X8" s="40"/>
      <c r="Y8" s="80" t="str">
        <f>IFERROR(__xludf.DUMMYFUNCTION("""COMPUTED_VALUE"""),"RUN-COMB_2022-04-28_RFR-033_Re-run")</f>
        <v>RUN-COMB_2022-04-28_RFR-033_Re-run</v>
      </c>
      <c r="Z8" s="78">
        <f>IFERROR(__xludf.DUMMYFUNCTION("""COMPUTED_VALUE"""),44679.39148148148)</f>
        <v>44679.39148</v>
      </c>
      <c r="AA8" s="45">
        <f>VLOOKUP($Y8,'RFR Data - preExcl'!$A$2:$AK179,29,FALSE)</f>
        <v>6</v>
      </c>
      <c r="AB8" s="45">
        <f>VLOOKUP($Y8,'RFR Data - preExcl'!$A$2:$AK179,37,FALSE)</f>
        <v>2</v>
      </c>
      <c r="AC8" s="79"/>
      <c r="AD8" s="50"/>
      <c r="AE8" s="50"/>
      <c r="AF8" s="40"/>
      <c r="AG8" s="73">
        <v>27.0</v>
      </c>
      <c r="AH8" s="50">
        <v>3.0</v>
      </c>
      <c r="AI8" s="74">
        <v>2.1</v>
      </c>
      <c r="AJ8" s="50">
        <f t="shared" ref="AJ8:AL8" si="12">AG8-M8</f>
        <v>0</v>
      </c>
      <c r="AK8" s="50">
        <f t="shared" si="12"/>
        <v>0</v>
      </c>
      <c r="AL8" s="50">
        <f t="shared" si="12"/>
        <v>0</v>
      </c>
    </row>
    <row r="9">
      <c r="A9" s="6" t="s">
        <v>35</v>
      </c>
      <c r="B9" s="11">
        <v>44656.0</v>
      </c>
      <c r="C9" s="50"/>
      <c r="D9" s="72">
        <v>24.0</v>
      </c>
      <c r="E9" s="50">
        <f t="array" ref="E9">IF(OR(ISBLANK($A9),C9),IFERROR(0/0,""),INDEX('RFR Data - preExcl'!E$2:E179,$R9,1))</f>
        <v>24</v>
      </c>
      <c r="F9" s="50">
        <f t="array" ref="F9">IF(OR(ISBLANK($A9),$C9),IFERROR(0/0,""),INDEX('RFR Data - preExcl'!Z$2:Z179,$R9,1))</f>
        <v>26</v>
      </c>
      <c r="G9" s="50">
        <f t="array" ref="G9">IF(OR(ISBLANK(A9),C9),IFERROR(0/0,""),INDEX('RFR Data - preExcl'!AC$2:AC179,$R9,1))</f>
        <v>24</v>
      </c>
      <c r="H9" s="50">
        <f t="array" ref="H9">IF(OR(ISBLANK(A9),C9),IFERROR(0/0,""),INDEX('RFR Data - preExcl'!AK$2:AK179,$R9,1))</f>
        <v>24</v>
      </c>
      <c r="I9" s="50">
        <f t="array" ref="I9">IF(OR(ISBLANK(A9),C9),IFERROR(0/0,""),INDEX('RFR Data - preExcl'!AL$2:AL179,$R9,1))</f>
        <v>0</v>
      </c>
      <c r="J9" s="50">
        <f>IFERROR(VLOOKUP($B9,'APS Tubes by Date Import'!$B$2:$J179,2,FALSE),"")</f>
        <v>20</v>
      </c>
      <c r="K9" s="50" t="b">
        <f>IFERROR(VLOOKUP($B9,'APS Tubes by Date Import'!$B$2:$J179,9,FALSE),"")</f>
        <v>1</v>
      </c>
      <c r="L9" s="50">
        <f>IFNA(VLOOKUP($B9,'APS Tubes by Date Import'!$B$2:$J179,6,FALSE),"")</f>
        <v>0</v>
      </c>
      <c r="M9" s="73">
        <f t="shared" si="13"/>
        <v>24</v>
      </c>
      <c r="N9" s="50">
        <f t="shared" si="3"/>
        <v>4</v>
      </c>
      <c r="O9" s="74">
        <v>2.1</v>
      </c>
      <c r="P9" s="75" t="b">
        <f t="shared" si="4"/>
        <v>1</v>
      </c>
      <c r="Q9" s="84" t="str">
        <f t="shared" ref="Q9:Q17" si="15">IFS(OR(O9=0.1,O9=1.1,O9=2.1),"NULL &gt; NEG",O9=3, "Delete NULL",TRUE,IFERROR(0/0,""))</f>
        <v>NULL &gt; NEG</v>
      </c>
      <c r="R9" s="77">
        <f>IFNA(MATCH(A9,'RFR Data - preExcl'!A$2:A179,0),"")</f>
        <v>10</v>
      </c>
      <c r="S9" s="40"/>
      <c r="T9" s="19" t="str">
        <f>IF(EXACT('RFR Data - preExcl'!W9,"Initial"),'RFR Data - preExcl'!A9,IFERROR(0/0,""))</f>
        <v>RUN-COMB_2022-04-02_RFR-008</v>
      </c>
      <c r="U9" s="7">
        <f>IF(EXACT('RFR Data - preExcl'!W9,"Initial"),'RFR Data - preExcl'!U9,IFERROR(0/0,""))</f>
        <v>44653</v>
      </c>
      <c r="X9" s="40"/>
      <c r="Y9" s="80" t="str">
        <f>IFERROR(__xludf.DUMMYFUNCTION("""COMPUTED_VALUE"""),"RUN-COMB_2022-05-25_RFR-046_Re-run")</f>
        <v>RUN-COMB_2022-05-25_RFR-046_Re-run</v>
      </c>
      <c r="Z9" s="78">
        <f>IFERROR(__xludf.DUMMYFUNCTION("""COMPUTED_VALUE"""),44706.853854166664)</f>
        <v>44706.85385</v>
      </c>
      <c r="AA9" s="45">
        <f>VLOOKUP($Y9,'RFR Data - preExcl'!$A$2:$AK179,29,FALSE)</f>
        <v>3</v>
      </c>
      <c r="AB9" s="45">
        <f>VLOOKUP($Y9,'RFR Data - preExcl'!$A$2:$AK179,37,FALSE)</f>
        <v>1</v>
      </c>
      <c r="AC9" s="79"/>
      <c r="AD9" s="50"/>
      <c r="AE9" s="50"/>
      <c r="AF9" s="40"/>
      <c r="AG9" s="73">
        <v>24.0</v>
      </c>
      <c r="AH9" s="50">
        <v>4.0</v>
      </c>
      <c r="AI9" s="74">
        <v>2.1</v>
      </c>
      <c r="AJ9" s="50">
        <f t="shared" ref="AJ9:AL9" si="14">AG9-M9</f>
        <v>0</v>
      </c>
      <c r="AK9" s="50">
        <f t="shared" si="14"/>
        <v>0</v>
      </c>
      <c r="AL9" s="50">
        <f t="shared" si="14"/>
        <v>0</v>
      </c>
    </row>
    <row r="10">
      <c r="A10" s="6" t="s">
        <v>36</v>
      </c>
      <c r="B10" s="11">
        <v>44657.0</v>
      </c>
      <c r="C10" s="50"/>
      <c r="D10" s="72">
        <v>24.0</v>
      </c>
      <c r="E10" s="50">
        <f t="array" ref="E10">IF(OR(ISBLANK($A10),C10),IFERROR(0/0,""),INDEX('RFR Data - preExcl'!E$2:E179,$R10,1))</f>
        <v>24</v>
      </c>
      <c r="F10" s="50">
        <f t="array" ref="F10">IF(OR(ISBLANK($A10),$C10),IFERROR(0/0,""),INDEX('RFR Data - preExcl'!Z$2:Z179,$R10,1))</f>
        <v>26</v>
      </c>
      <c r="G10" s="50">
        <f t="array" ref="G10">IF(OR(ISBLANK(A10),C10),IFERROR(0/0,""),INDEX('RFR Data - preExcl'!AC$2:AC179,$R10,1))</f>
        <v>24</v>
      </c>
      <c r="H10" s="50">
        <f t="array" ref="H10">IF(OR(ISBLANK(A10),C10),IFERROR(0/0,""),INDEX('RFR Data - preExcl'!AK$2:AK179,$R10,1))</f>
        <v>24</v>
      </c>
      <c r="I10" s="50">
        <f t="array" ref="I10">IF(OR(ISBLANK(A10),C10),IFERROR(0/0,""),INDEX('RFR Data - preExcl'!AL$2:AL179,$R10,1))</f>
        <v>0</v>
      </c>
      <c r="J10" s="50">
        <f>IFERROR(VLOOKUP($B10,'APS Tubes by Date Import'!$B$2:$J179,2,FALSE),"")</f>
        <v>18</v>
      </c>
      <c r="K10" s="50" t="str">
        <f>IFERROR(VLOOKUP($B10,'APS Tubes by Date Import'!$B$2:$J179,9,FALSE),"")</f>
        <v/>
      </c>
      <c r="L10" s="50">
        <f>IFNA(VLOOKUP($B10,'APS Tubes by Date Import'!$B$2:$J179,6,FALSE),"")</f>
        <v>0</v>
      </c>
      <c r="M10" s="73">
        <f t="shared" si="13"/>
        <v>24</v>
      </c>
      <c r="N10" s="50">
        <f t="shared" si="3"/>
        <v>6</v>
      </c>
      <c r="O10" s="74">
        <v>2.1</v>
      </c>
      <c r="P10" s="75" t="b">
        <f t="shared" si="4"/>
        <v>1</v>
      </c>
      <c r="Q10" s="84" t="str">
        <f t="shared" si="15"/>
        <v>NULL &gt; NEG</v>
      </c>
      <c r="R10" s="77">
        <f>IFNA(MATCH(A10,'RFR Data - preExcl'!A$2:A179,0),"")</f>
        <v>11</v>
      </c>
      <c r="S10" s="40"/>
      <c r="T10" s="19" t="str">
        <f>IF(EXACT('RFR Data - preExcl'!W10,"Initial"),'RFR Data - preExcl'!A10,IFERROR(0/0,""))</f>
        <v>RUN-COMB_2022-04-04_RFR-009</v>
      </c>
      <c r="U10" s="7">
        <f>IF(EXACT('RFR Data - preExcl'!W10,"Initial"),'RFR Data - preExcl'!U10,IFERROR(0/0,""))</f>
        <v>44655</v>
      </c>
      <c r="X10" s="40"/>
      <c r="Y10" s="80" t="str">
        <f>IFERROR(__xludf.DUMMYFUNCTION("""COMPUTED_VALUE"""),"RUN-COMB_2022-06-06_RFR-057_Re-run")</f>
        <v>RUN-COMB_2022-06-06_RFR-057_Re-run</v>
      </c>
      <c r="Z10" s="78">
        <f>IFERROR(__xludf.DUMMYFUNCTION("""COMPUTED_VALUE"""),44718.849016203705)</f>
        <v>44718.84902</v>
      </c>
      <c r="AA10" s="45">
        <f>VLOOKUP($Y10,'RFR Data - preExcl'!$A$2:$AK179,29,FALSE)</f>
        <v>3</v>
      </c>
      <c r="AB10" s="45">
        <f>VLOOKUP($Y10,'RFR Data - preExcl'!$A$2:$AK179,37,FALSE)</f>
        <v>1</v>
      </c>
      <c r="AC10" s="79"/>
      <c r="AD10" s="50"/>
      <c r="AE10" s="50"/>
      <c r="AF10" s="40"/>
      <c r="AG10" s="73">
        <v>24.0</v>
      </c>
      <c r="AH10" s="50">
        <v>6.0</v>
      </c>
      <c r="AI10" s="74">
        <v>2.1</v>
      </c>
      <c r="AJ10" s="50">
        <f t="shared" ref="AJ10:AL10" si="16">AG10-M10</f>
        <v>0</v>
      </c>
      <c r="AK10" s="50">
        <f t="shared" si="16"/>
        <v>0</v>
      </c>
      <c r="AL10" s="50">
        <f t="shared" si="16"/>
        <v>0</v>
      </c>
    </row>
    <row r="11">
      <c r="A11" s="11" t="s">
        <v>37</v>
      </c>
      <c r="B11" s="11">
        <v>44658.0</v>
      </c>
      <c r="C11" s="50"/>
      <c r="D11" s="72">
        <v>37.0</v>
      </c>
      <c r="E11" s="50">
        <f t="array" ref="E11">IF(OR(ISBLANK($A11),C11),IFERROR(0/0,""),INDEX('RFR Data - preExcl'!E$2:E179,$R11,1))</f>
        <v>36</v>
      </c>
      <c r="F11" s="50">
        <f t="array" ref="F11">IF(OR(ISBLANK($A11),$C11),IFERROR(0/0,""),INDEX('RFR Data - preExcl'!Z$2:Z179,$R11,1))</f>
        <v>39</v>
      </c>
      <c r="G11" s="50">
        <f t="array" ref="G11">IF(OR(ISBLANK(A11),C11),IFERROR(0/0,""),INDEX('RFR Data - preExcl'!AC$2:AC179,$R11,1))</f>
        <v>37</v>
      </c>
      <c r="H11" s="50">
        <f t="array" ref="H11">IF(OR(ISBLANK(A11),C11),IFERROR(0/0,""),INDEX('RFR Data - preExcl'!AK$2:AK179,$R11,1))</f>
        <v>37</v>
      </c>
      <c r="I11" s="50">
        <f t="array" ref="I11">IF(OR(ISBLANK(A11),C11),IFERROR(0/0,""),INDEX('RFR Data - preExcl'!AL$2:AL179,$R11,1))</f>
        <v>0</v>
      </c>
      <c r="J11" s="50">
        <f>IFERROR(VLOOKUP($B11,'APS Tubes by Date Import'!$B$2:$J179,2,FALSE),"")</f>
        <v>35</v>
      </c>
      <c r="K11" s="50" t="b">
        <f>IFERROR(VLOOKUP($B11,'APS Tubes by Date Import'!$B$2:$J179,9,FALSE),"")</f>
        <v>1</v>
      </c>
      <c r="L11" s="50">
        <f>IFNA(VLOOKUP($B11,'APS Tubes by Date Import'!$B$2:$J179,6,FALSE),"")</f>
        <v>0</v>
      </c>
      <c r="M11" s="73">
        <f t="shared" si="13"/>
        <v>37</v>
      </c>
      <c r="N11" s="50">
        <f t="shared" si="3"/>
        <v>2</v>
      </c>
      <c r="O11" s="74">
        <v>2.0</v>
      </c>
      <c r="P11" s="75" t="b">
        <f t="shared" si="4"/>
        <v>1</v>
      </c>
      <c r="Q11" s="84" t="str">
        <f t="shared" si="15"/>
        <v/>
      </c>
      <c r="R11" s="77">
        <f>IFNA(MATCH(A11,'RFR Data - preExcl'!A$2:A179,0),"")</f>
        <v>12</v>
      </c>
      <c r="S11" s="40"/>
      <c r="T11" s="19" t="str">
        <f>IF(EXACT('RFR Data - preExcl'!W11,"Initial"),'RFR Data - preExcl'!A11,IFERROR(0/0,""))</f>
        <v>RUN-COMB_2022-04-05_RFR-010</v>
      </c>
      <c r="U11" s="7">
        <f>IF(EXACT('RFR Data - preExcl'!W11,"Initial"),'RFR Data - preExcl'!U11,IFERROR(0/0,""))</f>
        <v>44656</v>
      </c>
      <c r="X11" s="40"/>
      <c r="Y11" s="80" t="str">
        <f>IFERROR(__xludf.DUMMYFUNCTION("""COMPUTED_VALUE"""),"RUN-COMB_2022-06-27_RFR-062_Re-run")</f>
        <v>RUN-COMB_2022-06-27_RFR-062_Re-run</v>
      </c>
      <c r="Z11" s="78">
        <f>IFERROR(__xludf.DUMMYFUNCTION("""COMPUTED_VALUE"""),44739.86890046296)</f>
        <v>44739.8689</v>
      </c>
      <c r="AA11" s="45">
        <f>VLOOKUP($Y11,'RFR Data - preExcl'!$A$2:$AK179,29,FALSE)</f>
        <v>15</v>
      </c>
      <c r="AB11" s="45">
        <f>VLOOKUP($Y11,'RFR Data - preExcl'!$A$2:$AK179,37,FALSE)</f>
        <v>5</v>
      </c>
      <c r="AC11" s="79"/>
      <c r="AD11" s="50"/>
      <c r="AE11" s="50"/>
      <c r="AF11" s="40"/>
      <c r="AG11" s="73">
        <v>37.0</v>
      </c>
      <c r="AH11" s="50">
        <v>2.0</v>
      </c>
      <c r="AI11" s="74">
        <v>2.0</v>
      </c>
      <c r="AJ11" s="50">
        <f t="shared" ref="AJ11:AL11" si="17">AG11-M11</f>
        <v>0</v>
      </c>
      <c r="AK11" s="50">
        <f t="shared" si="17"/>
        <v>0</v>
      </c>
      <c r="AL11" s="50">
        <f t="shared" si="17"/>
        <v>0</v>
      </c>
    </row>
    <row r="12">
      <c r="A12" s="6" t="s">
        <v>38</v>
      </c>
      <c r="B12" s="11">
        <v>44659.0</v>
      </c>
      <c r="C12" s="50"/>
      <c r="D12" s="72">
        <v>26.0</v>
      </c>
      <c r="E12" s="50">
        <f t="array" ref="E12">IF(OR(ISBLANK($A12),C12),IFERROR(0/0,""),INDEX('RFR Data - preExcl'!E$2:E179,$R12,1))</f>
        <v>30</v>
      </c>
      <c r="F12" s="50">
        <f t="array" ref="F12">IF(OR(ISBLANK($A12),$C12),IFERROR(0/0,""),INDEX('RFR Data - preExcl'!Z$2:Z179,$R12,1))</f>
        <v>32</v>
      </c>
      <c r="G12" s="50">
        <f t="array" ref="G12">IF(OR(ISBLANK(A12),C12),IFERROR(0/0,""),INDEX('RFR Data - preExcl'!AC$2:AC179,$R12,1))</f>
        <v>30</v>
      </c>
      <c r="H12" s="50">
        <f t="array" ref="H12">IF(OR(ISBLANK(A12),C12),IFERROR(0/0,""),INDEX('RFR Data - preExcl'!AK$2:AK179,$R12,1))</f>
        <v>30</v>
      </c>
      <c r="I12" s="50">
        <f t="array" ref="I12">IF(OR(ISBLANK(A12),C12),IFERROR(0/0,""),INDEX('RFR Data - preExcl'!AL$2:AL179,$R12,1))</f>
        <v>0</v>
      </c>
      <c r="J12" s="50">
        <f>IFERROR(VLOOKUP($B12,'APS Tubes by Date Import'!$B$2:$J179,2,FALSE),"")</f>
        <v>30</v>
      </c>
      <c r="K12" s="50" t="b">
        <f>IFERROR(VLOOKUP($B12,'APS Tubes by Date Import'!$B$2:$J179,9,FALSE),"")</f>
        <v>1</v>
      </c>
      <c r="L12" s="50">
        <f>IFNA(VLOOKUP($B12,'APS Tubes by Date Import'!$B$2:$J179,6,FALSE),"")</f>
        <v>0</v>
      </c>
      <c r="M12" s="73">
        <f t="shared" si="13"/>
        <v>30</v>
      </c>
      <c r="N12" s="50">
        <f t="shared" si="3"/>
        <v>0</v>
      </c>
      <c r="O12" s="74">
        <v>0.0</v>
      </c>
      <c r="P12" s="75" t="b">
        <f t="shared" si="4"/>
        <v>1</v>
      </c>
      <c r="Q12" s="84" t="str">
        <f t="shared" si="15"/>
        <v/>
      </c>
      <c r="R12" s="77">
        <f>IFNA(MATCH(A12,'RFR Data - preExcl'!A$2:A179,0),"")</f>
        <v>13</v>
      </c>
      <c r="S12" s="40"/>
      <c r="T12" s="19" t="str">
        <f>IF(EXACT('RFR Data - preExcl'!W12,"Initial"),'RFR Data - preExcl'!A12,IFERROR(0/0,""))</f>
        <v>RUN-COMB_2022-04-06_RFR-011</v>
      </c>
      <c r="U12" s="7">
        <f>IF(EXACT('RFR Data - preExcl'!W12,"Initial"),'RFR Data - preExcl'!U12,IFERROR(0/0,""))</f>
        <v>44657</v>
      </c>
      <c r="X12" s="40"/>
      <c r="Y12" s="80" t="str">
        <f>IFERROR(__xludf.DUMMYFUNCTION("""COMPUTED_VALUE"""),"RUN-COMB_2022-06-28_RFR-064_Re-run")</f>
        <v>RUN-COMB_2022-06-28_RFR-064_Re-run</v>
      </c>
      <c r="Z12" s="78">
        <f>IFERROR(__xludf.DUMMYFUNCTION("""COMPUTED_VALUE"""),44740.38730324074)</f>
        <v>44740.3873</v>
      </c>
      <c r="AA12" s="45">
        <f>VLOOKUP($Y12,'RFR Data - preExcl'!$A$2:$AK179,29,FALSE)</f>
        <v>3</v>
      </c>
      <c r="AB12" s="45">
        <f>VLOOKUP($Y12,'RFR Data - preExcl'!$A$2:$AK179,37,FALSE)</f>
        <v>1</v>
      </c>
      <c r="AC12" s="79"/>
      <c r="AD12" s="50"/>
      <c r="AE12" s="50"/>
      <c r="AF12" s="40"/>
      <c r="AG12" s="73">
        <v>30.0</v>
      </c>
      <c r="AH12" s="50">
        <v>0.0</v>
      </c>
      <c r="AI12" s="74">
        <v>0.0</v>
      </c>
      <c r="AJ12" s="50">
        <f t="shared" ref="AJ12:AL12" si="18">AG12-M12</f>
        <v>0</v>
      </c>
      <c r="AK12" s="50">
        <f t="shared" si="18"/>
        <v>0</v>
      </c>
      <c r="AL12" s="50">
        <f t="shared" si="18"/>
        <v>0</v>
      </c>
    </row>
    <row r="13">
      <c r="A13" s="6" t="s">
        <v>39</v>
      </c>
      <c r="B13" s="11">
        <v>44662.0</v>
      </c>
      <c r="C13" s="50"/>
      <c r="D13" s="72">
        <v>30.0</v>
      </c>
      <c r="E13" s="50">
        <f t="array" ref="E13">IF(OR(ISBLANK($A13),C13),IFERROR(0/0,""),INDEX('RFR Data - preExcl'!E$2:E179,$R13,1))</f>
        <v>24</v>
      </c>
      <c r="F13" s="50" t="str">
        <f t="array" ref="F13">IF(OR(ISBLANK($A13),$C13),IFERROR(0/0,""),INDEX('RFR Data - preExcl'!Z$2:Z179,$R13,1))</f>
        <v/>
      </c>
      <c r="G13" s="50">
        <f t="array" ref="G13">IF(OR(ISBLANK(A13),C13),IFERROR(0/0,""),INDEX('RFR Data - preExcl'!AC$2:AC179,$R13,1))</f>
        <v>24</v>
      </c>
      <c r="H13" s="50">
        <f t="array" ref="H13">IF(OR(ISBLANK(A13),C13),IFERROR(0/0,""),INDEX('RFR Data - preExcl'!AK$2:AK179,$R13,1))</f>
        <v>24</v>
      </c>
      <c r="I13" s="50">
        <f t="array" ref="I13">IF(OR(ISBLANK(A13),C13),IFERROR(0/0,""),INDEX('RFR Data - preExcl'!AL$2:AL179,$R13,1))</f>
        <v>0</v>
      </c>
      <c r="J13" s="50">
        <f>IFERROR(VLOOKUP($B13,'APS Tubes by Date Import'!$B$2:$J179,2,FALSE),"")</f>
        <v>24</v>
      </c>
      <c r="K13" s="50" t="b">
        <f>IFERROR(VLOOKUP($B13,'APS Tubes by Date Import'!$B$2:$J179,9,FALSE),"")</f>
        <v>1</v>
      </c>
      <c r="L13" s="50">
        <f>IFNA(VLOOKUP($B13,'APS Tubes by Date Import'!$B$2:$J179,6,FALSE),"")</f>
        <v>0</v>
      </c>
      <c r="M13" s="73">
        <f t="shared" si="13"/>
        <v>24</v>
      </c>
      <c r="N13" s="50">
        <f t="shared" si="3"/>
        <v>0</v>
      </c>
      <c r="O13" s="74">
        <v>0.0</v>
      </c>
      <c r="P13" s="75" t="b">
        <f t="shared" si="4"/>
        <v>1</v>
      </c>
      <c r="Q13" s="84" t="str">
        <f t="shared" si="15"/>
        <v/>
      </c>
      <c r="R13" s="77">
        <f>IFNA(MATCH(A13,'RFR Data - preExcl'!A$2:A179,0),"")</f>
        <v>14</v>
      </c>
      <c r="S13" s="40"/>
      <c r="T13" s="19" t="str">
        <f>IF(EXACT('RFR Data - preExcl'!W13,"Initial"),'RFR Data - preExcl'!A13,IFERROR(0/0,""))</f>
        <v>RUN-COMB_2022-04-07_RFR-012</v>
      </c>
      <c r="U13" s="7">
        <f>IF(EXACT('RFR Data - preExcl'!W13,"Initial"),'RFR Data - preExcl'!U13,IFERROR(0/0,""))</f>
        <v>44658</v>
      </c>
      <c r="X13" s="40"/>
      <c r="Y13" s="80" t="str">
        <f>IFERROR(__xludf.DUMMYFUNCTION("""COMPUTED_VALUE"""),"RUN-COMB_2022-06-30_RFR-067_Re-run")</f>
        <v>RUN-COMB_2022-06-30_RFR-067_Re-run</v>
      </c>
      <c r="Z13" s="78">
        <f>IFERROR(__xludf.DUMMYFUNCTION("""COMPUTED_VALUE"""),44742.39900462963)</f>
        <v>44742.399</v>
      </c>
      <c r="AA13" s="45">
        <f>VLOOKUP($Y13,'RFR Data - preExcl'!$A$2:$AK179,29,FALSE)</f>
        <v>3</v>
      </c>
      <c r="AB13" s="45">
        <f>VLOOKUP($Y13,'RFR Data - preExcl'!$A$2:$AK179,37,FALSE)</f>
        <v>1</v>
      </c>
      <c r="AC13" s="79"/>
      <c r="AD13" s="50"/>
      <c r="AE13" s="50"/>
      <c r="AF13" s="40"/>
      <c r="AG13" s="73">
        <v>24.0</v>
      </c>
      <c r="AH13" s="50">
        <v>0.0</v>
      </c>
      <c r="AI13" s="74">
        <v>0.0</v>
      </c>
      <c r="AJ13" s="50">
        <f t="shared" ref="AJ13:AL13" si="19">AG13-M13</f>
        <v>0</v>
      </c>
      <c r="AK13" s="50">
        <f t="shared" si="19"/>
        <v>0</v>
      </c>
      <c r="AL13" s="50">
        <f t="shared" si="19"/>
        <v>0</v>
      </c>
    </row>
    <row r="14">
      <c r="A14" s="6" t="s">
        <v>40</v>
      </c>
      <c r="B14" s="11">
        <v>44663.0</v>
      </c>
      <c r="C14" s="50"/>
      <c r="D14" s="72">
        <v>23.0</v>
      </c>
      <c r="E14" s="50">
        <f t="array" ref="E14">IF(OR(ISBLANK($A14),C14),IFERROR(0/0,""),INDEX('RFR Data - preExcl'!E$2:E179,$R14,1))</f>
        <v>23</v>
      </c>
      <c r="F14" s="50">
        <f t="array" ref="F14">IF(OR(ISBLANK($A14),$C14),IFERROR(0/0,""),INDEX('RFR Data - preExcl'!Z$2:Z179,$R14,1))</f>
        <v>25</v>
      </c>
      <c r="G14" s="50">
        <f t="array" ref="G14">IF(OR(ISBLANK(A14),C14),IFERROR(0/0,""),INDEX('RFR Data - preExcl'!AC$2:AC179,$R14,1))</f>
        <v>23</v>
      </c>
      <c r="H14" s="50">
        <f t="array" ref="H14">IF(OR(ISBLANK(A14),C14),IFERROR(0/0,""),INDEX('RFR Data - preExcl'!AK$2:AK179,$R14,1))</f>
        <v>23</v>
      </c>
      <c r="I14" s="50">
        <f t="array" ref="I14">IF(OR(ISBLANK(A14),C14),IFERROR(0/0,""),INDEX('RFR Data - preExcl'!AL$2:AL179,$R14,1))</f>
        <v>0</v>
      </c>
      <c r="J14" s="50">
        <f>IFERROR(VLOOKUP($B14,'APS Tubes by Date Import'!$B$2:$J179,2,FALSE),"")</f>
        <v>23</v>
      </c>
      <c r="K14" s="50" t="b">
        <f>IFERROR(VLOOKUP($B14,'APS Tubes by Date Import'!$B$2:$J179,9,FALSE),"")</f>
        <v>1</v>
      </c>
      <c r="L14" s="50">
        <f>IFNA(VLOOKUP($B14,'APS Tubes by Date Import'!$B$2:$J179,6,FALSE),"")</f>
        <v>0</v>
      </c>
      <c r="M14" s="73">
        <f t="shared" si="13"/>
        <v>23</v>
      </c>
      <c r="N14" s="50">
        <f t="shared" si="3"/>
        <v>0</v>
      </c>
      <c r="O14" s="74">
        <v>0.0</v>
      </c>
      <c r="P14" s="75" t="b">
        <f t="shared" si="4"/>
        <v>1</v>
      </c>
      <c r="Q14" s="84" t="str">
        <f t="shared" si="15"/>
        <v/>
      </c>
      <c r="R14" s="77">
        <f>IFNA(MATCH(A14,'RFR Data - preExcl'!A$2:A179,0),"")</f>
        <v>15</v>
      </c>
      <c r="S14" s="40"/>
      <c r="T14" s="19" t="str">
        <f>IF(EXACT('RFR Data - preExcl'!W14,"Initial"),'RFR Data - preExcl'!A14,IFERROR(0/0,""))</f>
        <v>RUN-COMB_2022-04-08_RFR-013</v>
      </c>
      <c r="U14" s="7">
        <f>IF(EXACT('RFR Data - preExcl'!W14,"Initial"),'RFR Data - preExcl'!U14,IFERROR(0/0,""))</f>
        <v>44659</v>
      </c>
      <c r="X14" s="40"/>
      <c r="Y14" s="80" t="str">
        <f>IFERROR(__xludf.DUMMYFUNCTION("""COMPUTED_VALUE"""),"RUN-COMB_2022-07-01_RFR-069_Re-run")</f>
        <v>RUN-COMB_2022-07-01_RFR-069_Re-run</v>
      </c>
      <c r="Z14" s="78">
        <f>IFERROR(__xludf.DUMMYFUNCTION("""COMPUTED_VALUE"""),44743.37934027778)</f>
        <v>44743.37934</v>
      </c>
      <c r="AA14" s="45">
        <f>VLOOKUP($Y14,'RFR Data - preExcl'!$A$2:$AK179,29,FALSE)</f>
        <v>3</v>
      </c>
      <c r="AB14" s="45">
        <f>VLOOKUP($Y14,'RFR Data - preExcl'!$A$2:$AK179,37,FALSE)</f>
        <v>1</v>
      </c>
      <c r="AC14" s="79"/>
      <c r="AD14" s="50"/>
      <c r="AE14" s="50"/>
      <c r="AF14" s="40"/>
      <c r="AG14" s="73">
        <v>23.0</v>
      </c>
      <c r="AH14" s="50">
        <v>0.0</v>
      </c>
      <c r="AI14" s="74">
        <v>0.0</v>
      </c>
      <c r="AJ14" s="50">
        <f t="shared" ref="AJ14:AL14" si="20">AG14-M14</f>
        <v>0</v>
      </c>
      <c r="AK14" s="50">
        <f t="shared" si="20"/>
        <v>0</v>
      </c>
      <c r="AL14" s="50">
        <f t="shared" si="20"/>
        <v>0</v>
      </c>
    </row>
    <row r="15">
      <c r="A15" s="6" t="s">
        <v>41</v>
      </c>
      <c r="B15" s="11">
        <v>44664.0</v>
      </c>
      <c r="C15" s="50"/>
      <c r="D15" s="72">
        <v>21.0</v>
      </c>
      <c r="E15" s="50">
        <f t="array" ref="E15">IF(OR(ISBLANK($A15),C15),IFERROR(0/0,""),INDEX('RFR Data - preExcl'!E$2:E179,$R15,1))</f>
        <v>21</v>
      </c>
      <c r="F15" s="50">
        <f t="array" ref="F15">IF(OR(ISBLANK($A15),$C15),IFERROR(0/0,""),INDEX('RFR Data - preExcl'!Z$2:Z179,$R15,1))</f>
        <v>23</v>
      </c>
      <c r="G15" s="50">
        <f t="array" ref="G15">IF(OR(ISBLANK(A15),C15),IFERROR(0/0,""),INDEX('RFR Data - preExcl'!AC$2:AC179,$R15,1))</f>
        <v>21</v>
      </c>
      <c r="H15" s="50">
        <f t="array" ref="H15">IF(OR(ISBLANK(A15),C15),IFERROR(0/0,""),INDEX('RFR Data - preExcl'!AK$2:AK179,$R15,1))</f>
        <v>21</v>
      </c>
      <c r="I15" s="50">
        <f t="array" ref="I15">IF(OR(ISBLANK(A15),C15),IFERROR(0/0,""),INDEX('RFR Data - preExcl'!AL$2:AL179,$R15,1))</f>
        <v>0</v>
      </c>
      <c r="J15" s="50">
        <f>IFERROR(VLOOKUP($B15,'APS Tubes by Date Import'!$B$2:$J179,2,FALSE),"")</f>
        <v>21</v>
      </c>
      <c r="K15" s="50" t="str">
        <f>IFERROR(VLOOKUP($B15,'APS Tubes by Date Import'!$B$2:$J179,9,FALSE),"")</f>
        <v/>
      </c>
      <c r="L15" s="50">
        <f>IFNA(VLOOKUP($B15,'APS Tubes by Date Import'!$B$2:$J179,6,FALSE),"")</f>
        <v>0</v>
      </c>
      <c r="M15" s="73">
        <f t="shared" si="13"/>
        <v>21</v>
      </c>
      <c r="N15" s="50">
        <f t="shared" si="3"/>
        <v>0</v>
      </c>
      <c r="O15" s="74">
        <v>3.0</v>
      </c>
      <c r="P15" s="75" t="b">
        <f t="shared" si="4"/>
        <v>1</v>
      </c>
      <c r="Q15" s="84" t="str">
        <f t="shared" si="15"/>
        <v>Delete NULL</v>
      </c>
      <c r="R15" s="77">
        <f>IFNA(MATCH(A15,'RFR Data - preExcl'!A$2:A179,0),"")</f>
        <v>16</v>
      </c>
      <c r="S15" s="40"/>
      <c r="T15" s="19" t="str">
        <f>IF(EXACT('RFR Data - preExcl'!W15,"Initial"),'RFR Data - preExcl'!A15,IFERROR(0/0,""))</f>
        <v>RUN-COMB_2022-04-11_RFR-014</v>
      </c>
      <c r="U15" s="7">
        <f>IF(EXACT('RFR Data - preExcl'!W15,"Initial"),'RFR Data - preExcl'!U15,IFERROR(0/0,""))</f>
        <v>44662</v>
      </c>
      <c r="X15" s="40"/>
      <c r="Y15" s="80" t="str">
        <f>IFERROR(__xludf.DUMMYFUNCTION("""COMPUTED_VALUE"""),"RUN-COMB_2022-07-06_RFR-073_Re-run")</f>
        <v>RUN-COMB_2022-07-06_RFR-073_Re-run</v>
      </c>
      <c r="Z15" s="78">
        <f>IFERROR(__xludf.DUMMYFUNCTION("""COMPUTED_VALUE"""),44748.36131944445)</f>
        <v>44748.36132</v>
      </c>
      <c r="AA15" s="45">
        <f>VLOOKUP($Y15,'RFR Data - preExcl'!$A$2:$AK179,29,FALSE)</f>
        <v>3</v>
      </c>
      <c r="AB15" s="45">
        <f>VLOOKUP($Y15,'RFR Data - preExcl'!$A$2:$AK179,37,FALSE)</f>
        <v>1</v>
      </c>
      <c r="AC15" s="79"/>
      <c r="AD15" s="50"/>
      <c r="AE15" s="50"/>
      <c r="AF15" s="40"/>
      <c r="AG15" s="73">
        <v>21.0</v>
      </c>
      <c r="AH15" s="50">
        <v>0.0</v>
      </c>
      <c r="AI15" s="74">
        <v>3.0</v>
      </c>
      <c r="AJ15" s="50">
        <f t="shared" ref="AJ15:AL15" si="21">AG15-M15</f>
        <v>0</v>
      </c>
      <c r="AK15" s="50">
        <f t="shared" si="21"/>
        <v>0</v>
      </c>
      <c r="AL15" s="50">
        <f t="shared" si="21"/>
        <v>0</v>
      </c>
    </row>
    <row r="16">
      <c r="A16" s="6" t="s">
        <v>42</v>
      </c>
      <c r="B16" s="11">
        <v>44665.0</v>
      </c>
      <c r="C16" s="50"/>
      <c r="D16" s="72">
        <v>29.0</v>
      </c>
      <c r="E16" s="50">
        <f t="array" ref="E16">IF(OR(ISBLANK($A16),C16),IFERROR(0/0,""),INDEX('RFR Data - preExcl'!E$2:E179,$R16,1))</f>
        <v>29</v>
      </c>
      <c r="F16" s="50">
        <f t="array" ref="F16">IF(OR(ISBLANK($A16),$C16),IFERROR(0/0,""),INDEX('RFR Data - preExcl'!Z$2:Z179,$R16,1))</f>
        <v>31</v>
      </c>
      <c r="G16" s="50">
        <f t="array" ref="G16">IF(OR(ISBLANK(A16),C16),IFERROR(0/0,""),INDEX('RFR Data - preExcl'!AC$2:AC179,$R16,1))</f>
        <v>29</v>
      </c>
      <c r="H16" s="50">
        <f t="array" ref="H16">IF(OR(ISBLANK(A16),C16),IFERROR(0/0,""),INDEX('RFR Data - preExcl'!AK$2:AK179,$R16,1))</f>
        <v>29</v>
      </c>
      <c r="I16" s="50">
        <f t="array" ref="I16">IF(OR(ISBLANK(A16),C16),IFERROR(0/0,""),INDEX('RFR Data - preExcl'!AL$2:AL179,$R16,1))</f>
        <v>0</v>
      </c>
      <c r="J16" s="50">
        <f>IFERROR(VLOOKUP($B16,'APS Tubes by Date Import'!$B$2:$J179,2,FALSE),"")</f>
        <v>29</v>
      </c>
      <c r="K16" s="50" t="b">
        <f>IFERROR(VLOOKUP($B16,'APS Tubes by Date Import'!$B$2:$J179,9,FALSE),"")</f>
        <v>1</v>
      </c>
      <c r="L16" s="50">
        <f>IFNA(VLOOKUP($B16,'APS Tubes by Date Import'!$B$2:$J179,6,FALSE),"")</f>
        <v>0</v>
      </c>
      <c r="M16" s="73">
        <f t="shared" si="13"/>
        <v>29</v>
      </c>
      <c r="N16" s="50">
        <f t="shared" si="3"/>
        <v>0</v>
      </c>
      <c r="O16" s="74">
        <v>0.0</v>
      </c>
      <c r="P16" s="75" t="b">
        <f t="shared" si="4"/>
        <v>1</v>
      </c>
      <c r="Q16" s="84" t="str">
        <f t="shared" si="15"/>
        <v/>
      </c>
      <c r="R16" s="77">
        <f>IFNA(MATCH(A16,'RFR Data - preExcl'!A$2:A179,0),"")</f>
        <v>17</v>
      </c>
      <c r="S16" s="40"/>
      <c r="T16" s="19" t="str">
        <f>IF(EXACT('RFR Data - preExcl'!W16,"Initial"),'RFR Data - preExcl'!A16,IFERROR(0/0,""))</f>
        <v>RUN-COMB_2022-04-12_RFR-015</v>
      </c>
      <c r="U16" s="7">
        <f>IF(EXACT('RFR Data - preExcl'!W16,"Initial"),'RFR Data - preExcl'!U16,IFERROR(0/0,""))</f>
        <v>44663</v>
      </c>
      <c r="X16" s="40"/>
      <c r="Y16" s="80" t="str">
        <f>IFERROR(__xludf.DUMMYFUNCTION("""COMPUTED_VALUE"""),"RUN-COMB_2022-07-18_RFR-081_Re-run")</f>
        <v>RUN-COMB_2022-07-18_RFR-081_Re-run</v>
      </c>
      <c r="Z16" s="78">
        <f>IFERROR(__xludf.DUMMYFUNCTION("""COMPUTED_VALUE"""),44760.861226851855)</f>
        <v>44760.86123</v>
      </c>
      <c r="AA16" s="45">
        <f>VLOOKUP($Y16,'RFR Data - preExcl'!$A$2:$AK179,29,FALSE)</f>
        <v>6</v>
      </c>
      <c r="AB16" s="45">
        <f>VLOOKUP($Y16,'RFR Data - preExcl'!$A$2:$AK179,37,FALSE)</f>
        <v>2</v>
      </c>
      <c r="AC16" s="79"/>
      <c r="AD16" s="50"/>
      <c r="AE16" s="50"/>
      <c r="AF16" s="40"/>
      <c r="AG16" s="73">
        <v>29.0</v>
      </c>
      <c r="AH16" s="50">
        <v>0.0</v>
      </c>
      <c r="AI16" s="74">
        <v>0.0</v>
      </c>
      <c r="AJ16" s="50">
        <f t="shared" ref="AJ16:AL16" si="22">AG16-M16</f>
        <v>0</v>
      </c>
      <c r="AK16" s="50">
        <f t="shared" si="22"/>
        <v>0</v>
      </c>
      <c r="AL16" s="50">
        <f t="shared" si="22"/>
        <v>0</v>
      </c>
    </row>
    <row r="17">
      <c r="A17" s="6" t="s">
        <v>43</v>
      </c>
      <c r="B17" s="11">
        <v>44666.0</v>
      </c>
      <c r="C17" s="50"/>
      <c r="D17" s="50"/>
      <c r="E17" s="50">
        <f t="array" ref="E17">IF(OR(ISBLANK($A17),C17),IFERROR(0/0,""),INDEX('RFR Data - preExcl'!E$2:E179,$R17,1))</f>
        <v>23</v>
      </c>
      <c r="F17" s="50">
        <f t="array" ref="F17">IF(OR(ISBLANK($A17),$C17),IFERROR(0/0,""),INDEX('RFR Data - preExcl'!Z$2:Z179,$R17,1))</f>
        <v>25</v>
      </c>
      <c r="G17" s="50">
        <f t="array" ref="G17">IF(OR(ISBLANK(A17),C17),IFERROR(0/0,""),INDEX('RFR Data - preExcl'!AC$2:AC179,$R17,1))</f>
        <v>23</v>
      </c>
      <c r="H17" s="50">
        <f t="array" ref="H17">IF(OR(ISBLANK(A17),C17),IFERROR(0/0,""),INDEX('RFR Data - preExcl'!AK$2:AK179,$R17,1))</f>
        <v>23</v>
      </c>
      <c r="I17" s="50">
        <f t="array" ref="I17">IF(OR(ISBLANK(A17),C17),IFERROR(0/0,""),INDEX('RFR Data - preExcl'!AL$2:AL179,$R17,1))</f>
        <v>4</v>
      </c>
      <c r="J17" s="50">
        <f>IFERROR(VLOOKUP($B17,'APS Tubes by Date Import'!$B$2:$J179,2,FALSE),"")</f>
        <v>23</v>
      </c>
      <c r="K17" s="50" t="b">
        <f>IFERROR(VLOOKUP($B17,'APS Tubes by Date Import'!$B$2:$J179,9,FALSE),"")</f>
        <v>1</v>
      </c>
      <c r="L17" s="50">
        <f>IFNA(VLOOKUP($B17,'APS Tubes by Date Import'!$B$2:$J179,6,FALSE),"")</f>
        <v>0</v>
      </c>
      <c r="M17" s="73">
        <f t="shared" si="13"/>
        <v>23</v>
      </c>
      <c r="N17" s="50">
        <f t="shared" si="3"/>
        <v>0</v>
      </c>
      <c r="O17" s="74">
        <v>0.1</v>
      </c>
      <c r="P17" s="75" t="b">
        <f t="shared" si="4"/>
        <v>1</v>
      </c>
      <c r="Q17" s="84" t="str">
        <f t="shared" si="15"/>
        <v>NULL &gt; NEG</v>
      </c>
      <c r="R17" s="77">
        <f>IFNA(MATCH(A17,'RFR Data - preExcl'!A$2:A179,0),"")</f>
        <v>18</v>
      </c>
      <c r="S17" s="40"/>
      <c r="T17" s="19" t="str">
        <f>IF(EXACT('RFR Data - preExcl'!W17,"Initial"),'RFR Data - preExcl'!A17,IFERROR(0/0,""))</f>
        <v>RUN-COMB_2022-04-13_RFR-016</v>
      </c>
      <c r="U17" s="7">
        <f>IF(EXACT('RFR Data - preExcl'!W17,"Initial"),'RFR Data - preExcl'!U17,IFERROR(0/0,""))</f>
        <v>44664</v>
      </c>
      <c r="X17" s="40"/>
      <c r="Y17" s="80" t="str">
        <f>IFERROR(__xludf.DUMMYFUNCTION("""COMPUTED_VALUE"""),"RUN-COMB_2022-07-19_RFR-083_Re-run")</f>
        <v>RUN-COMB_2022-07-19_RFR-083_Re-run</v>
      </c>
      <c r="Z17" s="78">
        <f>IFERROR(__xludf.DUMMYFUNCTION("""COMPUTED_VALUE"""),44761.37069444444)</f>
        <v>44761.37069</v>
      </c>
      <c r="AA17" s="45">
        <f>VLOOKUP($Y17,'RFR Data - preExcl'!$A$2:$AK179,29,FALSE)</f>
        <v>3</v>
      </c>
      <c r="AB17" s="45">
        <f>VLOOKUP($Y17,'RFR Data - preExcl'!$A$2:$AK179,37,FALSE)</f>
        <v>1</v>
      </c>
      <c r="AC17" s="79"/>
      <c r="AD17" s="50"/>
      <c r="AE17" s="50"/>
      <c r="AF17" s="40"/>
      <c r="AG17" s="73">
        <v>23.0</v>
      </c>
      <c r="AH17" s="50">
        <v>0.0</v>
      </c>
      <c r="AI17" s="74">
        <v>0.1</v>
      </c>
      <c r="AJ17" s="50">
        <f t="shared" ref="AJ17:AL17" si="23">AG17-M17</f>
        <v>0</v>
      </c>
      <c r="AK17" s="50">
        <f t="shared" si="23"/>
        <v>0</v>
      </c>
      <c r="AL17" s="50">
        <f t="shared" si="23"/>
        <v>0</v>
      </c>
    </row>
    <row r="18">
      <c r="A18" s="6" t="s">
        <v>44</v>
      </c>
      <c r="B18" s="11">
        <v>44669.0</v>
      </c>
      <c r="C18" s="50"/>
      <c r="D18" s="72">
        <v>36.0</v>
      </c>
      <c r="E18" s="50">
        <f t="array" ref="E18">IF(OR(ISBLANK($A18),C18),IFERROR(0/0,""),INDEX('RFR Data - preExcl'!E$2:E179,$R18,1))</f>
        <v>4</v>
      </c>
      <c r="F18" s="50">
        <f t="array" ref="F18">IF(OR(ISBLANK($A18),$C18),IFERROR(0/0,""),INDEX('RFR Data - preExcl'!Z$2:Z179,$R18,1))</f>
        <v>6</v>
      </c>
      <c r="G18" s="50">
        <f t="array" ref="G18">IF(OR(ISBLANK(A18),C18),IFERROR(0/0,""),INDEX('RFR Data - preExcl'!AC$2:AC179,$R18,1))</f>
        <v>4</v>
      </c>
      <c r="H18" s="87">
        <f t="array" ref="H18">IF(OR(ISBLANK(A18),C18),IFERROR(0/0,""),INDEX('RFR Data - preExcl'!AK$2:AK179,$R18,1))</f>
        <v>4</v>
      </c>
      <c r="I18" s="50">
        <f t="array" ref="I18">IF(OR(ISBLANK(A18),C18),IFERROR(0/0,""),INDEX('RFR Data - preExcl'!AL$2:AL179,$R18,1))</f>
        <v>0</v>
      </c>
      <c r="J18" s="87">
        <v>4.0</v>
      </c>
      <c r="K18" s="50" t="b">
        <f>IFERROR(VLOOKUP($B18,'APS Tubes by Date Import'!$B$2:$J179,9,FALSE),"")</f>
        <v>1</v>
      </c>
      <c r="L18" s="50">
        <f>IFNA(VLOOKUP($B18,'APS Tubes by Date Import'!$B$2:$J179,6,FALSE),"")</f>
        <v>0</v>
      </c>
      <c r="M18" s="73">
        <f t="shared" si="13"/>
        <v>4</v>
      </c>
      <c r="N18" s="50">
        <f t="shared" si="3"/>
        <v>0</v>
      </c>
      <c r="O18" s="74">
        <v>5.0</v>
      </c>
      <c r="P18" s="75" t="str">
        <f t="shared" si="4"/>
        <v/>
      </c>
      <c r="Q18" s="76" t="s">
        <v>132</v>
      </c>
      <c r="R18" s="77">
        <f>IFNA(MATCH(A18,'RFR Data - preExcl'!A$2:A179,0),"")</f>
        <v>20</v>
      </c>
      <c r="S18" s="40"/>
      <c r="T18" s="19" t="str">
        <f>IF(EXACT('RFR Data - preExcl'!W18,"Initial"),'RFR Data - preExcl'!A18,IFERROR(0/0,""))</f>
        <v>RUN-COMB_2022-04-14_RFR-017</v>
      </c>
      <c r="U18" s="7">
        <f>IF(EXACT('RFR Data - preExcl'!W18,"Initial"),'RFR Data - preExcl'!U18,IFERROR(0/0,""))</f>
        <v>44665</v>
      </c>
      <c r="X18" s="40"/>
      <c r="Y18" s="80" t="str">
        <f>IFERROR(__xludf.DUMMYFUNCTION("""COMPUTED_VALUE"""),"RUN-COMB_2022-07-22_RFR-087_Re-run")</f>
        <v>RUN-COMB_2022-07-22_RFR-087_Re-run</v>
      </c>
      <c r="Z18" s="78">
        <f>IFERROR(__xludf.DUMMYFUNCTION("""COMPUTED_VALUE"""),44764.3921412037)</f>
        <v>44764.39214</v>
      </c>
      <c r="AA18" s="45">
        <f>VLOOKUP($Y18,'RFR Data - preExcl'!$A$2:$AK179,29,FALSE)</f>
        <v>6</v>
      </c>
      <c r="AB18" s="45">
        <f>VLOOKUP($Y18,'RFR Data - preExcl'!$A$2:$AK179,37,FALSE)</f>
        <v>2</v>
      </c>
      <c r="AC18" s="79"/>
      <c r="AD18" s="50"/>
      <c r="AE18" s="50"/>
      <c r="AF18" s="40"/>
      <c r="AG18" s="73">
        <v>4.0</v>
      </c>
      <c r="AH18" s="50">
        <v>0.0</v>
      </c>
      <c r="AI18" s="74">
        <v>5.0</v>
      </c>
      <c r="AJ18" s="50">
        <f t="shared" ref="AJ18:AL18" si="24">AG18-M18</f>
        <v>0</v>
      </c>
      <c r="AK18" s="50">
        <f t="shared" si="24"/>
        <v>0</v>
      </c>
      <c r="AL18" s="50">
        <f t="shared" si="24"/>
        <v>0</v>
      </c>
    </row>
    <row r="19">
      <c r="A19" s="88" t="s">
        <v>45</v>
      </c>
      <c r="B19" s="89">
        <v>44669.0</v>
      </c>
      <c r="C19" s="50"/>
      <c r="D19" s="72"/>
      <c r="E19" s="50">
        <f t="array" ref="E19">IF(OR(ISBLANK($A19),C19),IFERROR(0/0,""),INDEX('RFR Data - preExcl'!E$2:E179,$R19,1))</f>
        <v>32</v>
      </c>
      <c r="F19" s="50">
        <f t="array" ref="F19">IF(OR(ISBLANK($A19),$C19),IFERROR(0/0,""),INDEX('RFR Data - preExcl'!Z$2:Z179,$R19,1))</f>
        <v>34</v>
      </c>
      <c r="G19" s="50">
        <f t="array" ref="G19">IF(OR(ISBLANK(A19),C19),IFERROR(0/0,""),INDEX('RFR Data - preExcl'!AC$2:AC179,$R19,1))</f>
        <v>32</v>
      </c>
      <c r="H19" s="90">
        <f t="array" ref="H19">IF(OR(ISBLANK(A19),C19),IFERROR(0/0,""),INDEX('RFR Data - preExcl'!AK$2:AK179,$R19,1))</f>
        <v>32</v>
      </c>
      <c r="I19" s="50">
        <f t="array" ref="I19">IF(OR(ISBLANK(A19),C19),IFERROR(0/0,""),INDEX('RFR Data - preExcl'!AL$2:AL179,$R19,1))</f>
        <v>0</v>
      </c>
      <c r="J19" s="90">
        <v>32.0</v>
      </c>
      <c r="K19" s="50" t="b">
        <f>IFERROR(VLOOKUP($B19,'APS Tubes by Date Import'!$B$2:$J179,9,FALSE),"")</f>
        <v>1</v>
      </c>
      <c r="L19" s="50">
        <f>IFNA(VLOOKUP($B19,'APS Tubes by Date Import'!$B$2:$J179,6,FALSE),"")</f>
        <v>0</v>
      </c>
      <c r="M19" s="73">
        <f t="shared" si="13"/>
        <v>32</v>
      </c>
      <c r="N19" s="50">
        <f t="shared" si="3"/>
        <v>0</v>
      </c>
      <c r="O19" s="74">
        <v>5.0</v>
      </c>
      <c r="P19" s="75" t="str">
        <f t="shared" si="4"/>
        <v/>
      </c>
      <c r="Q19" s="76" t="s">
        <v>132</v>
      </c>
      <c r="R19" s="77">
        <f>IFNA(MATCH(A19,'RFR Data - preExcl'!A$2:A179,0),"")</f>
        <v>21</v>
      </c>
      <c r="S19" s="40"/>
      <c r="T19" s="19" t="str">
        <f>IF(EXACT('RFR Data - preExcl'!W19,"Initial"),'RFR Data - preExcl'!A19,IFERROR(0/0,""))</f>
        <v>RUN-COMB_2022-04-15_RFR-018</v>
      </c>
      <c r="U19" s="7">
        <f>IF(EXACT('RFR Data - preExcl'!W19,"Initial"),'RFR Data - preExcl'!U19,IFERROR(0/0,""))</f>
        <v>44666</v>
      </c>
      <c r="X19" s="40"/>
      <c r="Y19" s="80" t="str">
        <f>IFERROR(__xludf.DUMMYFUNCTION("""COMPUTED_VALUE"""),"RUN-COMB_2022-08-01_RFR-089_Re-run")</f>
        <v>RUN-COMB_2022-08-01_RFR-089_Re-run</v>
      </c>
      <c r="Z19" s="78">
        <f>IFERROR(__xludf.DUMMYFUNCTION("""COMPUTED_VALUE"""),44774.77869212963)</f>
        <v>44774.77869</v>
      </c>
      <c r="AA19" s="45">
        <f>VLOOKUP($Y19,'RFR Data - preExcl'!$A$2:$AK179,29,FALSE)</f>
        <v>3</v>
      </c>
      <c r="AB19" s="45">
        <f>VLOOKUP($Y19,'RFR Data - preExcl'!$A$2:$AK179,37,FALSE)</f>
        <v>1</v>
      </c>
      <c r="AC19" s="79"/>
      <c r="AD19" s="50"/>
      <c r="AE19" s="50"/>
      <c r="AF19" s="40"/>
      <c r="AG19" s="73">
        <v>32.0</v>
      </c>
      <c r="AH19" s="50">
        <v>0.0</v>
      </c>
      <c r="AI19" s="74">
        <v>5.0</v>
      </c>
      <c r="AJ19" s="50">
        <f t="shared" ref="AJ19:AL19" si="25">AG19-M19</f>
        <v>0</v>
      </c>
      <c r="AK19" s="50">
        <f t="shared" si="25"/>
        <v>0</v>
      </c>
      <c r="AL19" s="50">
        <f t="shared" si="25"/>
        <v>0</v>
      </c>
    </row>
    <row r="20">
      <c r="A20" s="6" t="s">
        <v>46</v>
      </c>
      <c r="B20" s="11">
        <v>44670.0</v>
      </c>
      <c r="C20" s="50"/>
      <c r="D20" s="72">
        <v>18.0</v>
      </c>
      <c r="E20" s="50">
        <f t="array" ref="E20">IF(OR(ISBLANK($A20),C20),IFERROR(0/0,""),INDEX('RFR Data - preExcl'!E$2:E179,$R20,1))</f>
        <v>18</v>
      </c>
      <c r="F20" s="50">
        <f t="array" ref="F20">IF(OR(ISBLANK($A20),$C20),IFERROR(0/0,""),INDEX('RFR Data - preExcl'!Z$2:Z179,$R20,1))</f>
        <v>20</v>
      </c>
      <c r="G20" s="50">
        <f t="array" ref="G20">IF(OR(ISBLANK(A20),C20),IFERROR(0/0,""),INDEX('RFR Data - preExcl'!AC$2:AC179,$R20,1))</f>
        <v>18</v>
      </c>
      <c r="H20" s="50">
        <f t="array" ref="H20">IF(OR(ISBLANK(A20),C20),IFERROR(0/0,""),INDEX('RFR Data - preExcl'!AK$2:AK179,$R20,1))</f>
        <v>18</v>
      </c>
      <c r="I20" s="50">
        <f t="array" ref="I20">IF(OR(ISBLANK(A20),C20),IFERROR(0/0,""),INDEX('RFR Data - preExcl'!AL$2:AL179,$R20,1))</f>
        <v>1</v>
      </c>
      <c r="J20" s="50">
        <f>IFERROR(VLOOKUP($B20,'APS Tubes by Date Import'!$B$2:$J179,2,FALSE),"")</f>
        <v>18</v>
      </c>
      <c r="K20" s="50" t="b">
        <f>IFERROR(VLOOKUP($B20,'APS Tubes by Date Import'!$B$2:$J179,9,FALSE),"")</f>
        <v>1</v>
      </c>
      <c r="L20" s="50">
        <f>IFNA(VLOOKUP($B20,'APS Tubes by Date Import'!$B$2:$J179,6,FALSE),"")</f>
        <v>0</v>
      </c>
      <c r="M20" s="73">
        <f t="shared" si="13"/>
        <v>18</v>
      </c>
      <c r="N20" s="50">
        <f t="shared" si="3"/>
        <v>0</v>
      </c>
      <c r="O20" s="74">
        <v>0.0</v>
      </c>
      <c r="P20" s="75" t="b">
        <f t="shared" si="4"/>
        <v>1</v>
      </c>
      <c r="Q20" s="84" t="str">
        <f t="shared" ref="Q20:Q34" si="27">IFS(OR(O20=0.1,O20=1.1,O20=2.1),"NULL &gt; NEG",O20=3, "Delete NULL",TRUE,IFERROR(0/0,""))</f>
        <v/>
      </c>
      <c r="R20" s="77">
        <f>IFNA(MATCH(A20,'RFR Data - preExcl'!A$2:A179,0),"")</f>
        <v>22</v>
      </c>
      <c r="S20" s="40"/>
      <c r="T20" s="19" t="str">
        <f>IF(EXACT('RFR Data - preExcl'!W20,"Initial"),'RFR Data - preExcl'!A20,IFERROR(0/0,""))</f>
        <v/>
      </c>
      <c r="U20" s="7" t="str">
        <f>IF(EXACT('RFR Data - preExcl'!W20,"Initial"),'RFR Data - preExcl'!U20,IFERROR(0/0,""))</f>
        <v/>
      </c>
      <c r="X20" s="40"/>
      <c r="Y20" s="80" t="str">
        <f>IFERROR(__xludf.DUMMYFUNCTION("""COMPUTED_VALUE"""),"RUN-COMB_2022-08-08_RFR-093_Re-run")</f>
        <v>RUN-COMB_2022-08-08_RFR-093_Re-run</v>
      </c>
      <c r="Z20" s="78">
        <f>IFERROR(__xludf.DUMMYFUNCTION("""COMPUTED_VALUE"""),44781.80358796296)</f>
        <v>44781.80359</v>
      </c>
      <c r="AA20" s="45">
        <f>VLOOKUP($Y20,'RFR Data - preExcl'!$A$2:$AK179,29,FALSE)</f>
        <v>6</v>
      </c>
      <c r="AB20" s="45">
        <f>VLOOKUP($Y20,'RFR Data - preExcl'!$A$2:$AK179,37,FALSE)</f>
        <v>2</v>
      </c>
      <c r="AC20" s="79"/>
      <c r="AD20" s="50"/>
      <c r="AE20" s="50"/>
      <c r="AF20" s="40"/>
      <c r="AG20" s="73">
        <v>18.0</v>
      </c>
      <c r="AH20" s="50">
        <v>0.0</v>
      </c>
      <c r="AI20" s="74">
        <v>0.0</v>
      </c>
      <c r="AJ20" s="50">
        <f t="shared" ref="AJ20:AL20" si="26">AG20-M20</f>
        <v>0</v>
      </c>
      <c r="AK20" s="50">
        <f t="shared" si="26"/>
        <v>0</v>
      </c>
      <c r="AL20" s="50">
        <f t="shared" si="26"/>
        <v>0</v>
      </c>
    </row>
    <row r="21">
      <c r="A21" s="6" t="s">
        <v>47</v>
      </c>
      <c r="B21" s="11">
        <v>44671.0</v>
      </c>
      <c r="C21" s="50"/>
      <c r="D21" s="72">
        <v>14.0</v>
      </c>
      <c r="E21" s="50">
        <f t="array" ref="E21">IF(OR(ISBLANK($A21),C21),IFERROR(0/0,""),INDEX('RFR Data - preExcl'!E$2:E179,$R21,1))</f>
        <v>14</v>
      </c>
      <c r="F21" s="50">
        <f t="array" ref="F21">IF(OR(ISBLANK($A21),$C21),IFERROR(0/0,""),INDEX('RFR Data - preExcl'!Z$2:Z179,$R21,1))</f>
        <v>16</v>
      </c>
      <c r="G21" s="50">
        <f t="array" ref="G21">IF(OR(ISBLANK(A21),C21),IFERROR(0/0,""),INDEX('RFR Data - preExcl'!AC$2:AC179,$R21,1))</f>
        <v>14</v>
      </c>
      <c r="H21" s="50">
        <f t="array" ref="H21">IF(OR(ISBLANK(A21),C21),IFERROR(0/0,""),INDEX('RFR Data - preExcl'!AK$2:AK179,$R21,1))</f>
        <v>14</v>
      </c>
      <c r="I21" s="50">
        <f t="array" ref="I21">IF(OR(ISBLANK(A21),C21),IFERROR(0/0,""),INDEX('RFR Data - preExcl'!AL$2:AL179,$R21,1))</f>
        <v>0</v>
      </c>
      <c r="J21" s="50">
        <f>IFERROR(VLOOKUP($B21,'APS Tubes by Date Import'!$B$2:$J179,2,FALSE),"")</f>
        <v>14</v>
      </c>
      <c r="K21" s="50" t="b">
        <f>IFERROR(VLOOKUP($B21,'APS Tubes by Date Import'!$B$2:$J179,9,FALSE),"")</f>
        <v>1</v>
      </c>
      <c r="L21" s="50">
        <f>IFNA(VLOOKUP($B21,'APS Tubes by Date Import'!$B$2:$J179,6,FALSE),"")</f>
        <v>0</v>
      </c>
      <c r="M21" s="73">
        <f t="shared" si="13"/>
        <v>14</v>
      </c>
      <c r="N21" s="50">
        <f t="shared" si="3"/>
        <v>0</v>
      </c>
      <c r="O21" s="74">
        <v>0.1</v>
      </c>
      <c r="P21" s="75" t="b">
        <f t="shared" si="4"/>
        <v>1</v>
      </c>
      <c r="Q21" s="84" t="str">
        <f t="shared" si="27"/>
        <v>NULL &gt; NEG</v>
      </c>
      <c r="R21" s="77">
        <f>IFNA(MATCH(A21,'RFR Data - preExcl'!A$2:A179,0),"")</f>
        <v>24</v>
      </c>
      <c r="S21" s="40"/>
      <c r="T21" s="19" t="str">
        <f>IF(EXACT('RFR Data - preExcl'!W21,"Initial"),'RFR Data - preExcl'!A21,IFERROR(0/0,""))</f>
        <v>RUN-COMB_2022-04-18_RFR-020</v>
      </c>
      <c r="U21" s="7">
        <f>IF(EXACT('RFR Data - preExcl'!W21,"Initial"),'RFR Data - preExcl'!U21,IFERROR(0/0,""))</f>
        <v>44669</v>
      </c>
      <c r="X21" s="40"/>
      <c r="Z21" s="50"/>
      <c r="AA21" s="50"/>
      <c r="AC21" s="40"/>
      <c r="AF21" s="40"/>
      <c r="AG21" s="73">
        <v>14.0</v>
      </c>
      <c r="AH21" s="50">
        <v>0.0</v>
      </c>
      <c r="AI21" s="74">
        <v>0.1</v>
      </c>
      <c r="AJ21" s="50">
        <f t="shared" ref="AJ21:AL21" si="28">AG21-M21</f>
        <v>0</v>
      </c>
      <c r="AK21" s="50">
        <f t="shared" si="28"/>
        <v>0</v>
      </c>
      <c r="AL21" s="50">
        <f t="shared" si="28"/>
        <v>0</v>
      </c>
    </row>
    <row r="22">
      <c r="A22" s="6" t="s">
        <v>48</v>
      </c>
      <c r="B22" s="11">
        <v>44672.0</v>
      </c>
      <c r="C22" s="50"/>
      <c r="D22" s="72">
        <v>40.0</v>
      </c>
      <c r="E22" s="50">
        <f t="array" ref="E22">IF(OR(ISBLANK($A22),C22),IFERROR(0/0,""),INDEX('RFR Data - preExcl'!E$2:E179,$R22,1))</f>
        <v>40</v>
      </c>
      <c r="F22" s="50">
        <f t="array" ref="F22">IF(OR(ISBLANK($A22),$C22),IFERROR(0/0,""),INDEX('RFR Data - preExcl'!Z$2:Z179,$R22,1))</f>
        <v>42</v>
      </c>
      <c r="G22" s="50">
        <f t="array" ref="G22">IF(OR(ISBLANK(A22),C22),IFERROR(0/0,""),INDEX('RFR Data - preExcl'!AC$2:AC179,$R22,1))</f>
        <v>40</v>
      </c>
      <c r="H22" s="50">
        <f t="array" ref="H22">IF(OR(ISBLANK(A22),C22),IFERROR(0/0,""),INDEX('RFR Data - preExcl'!AK$2:AK179,$R22,1))</f>
        <v>40</v>
      </c>
      <c r="I22" s="50">
        <f t="array" ref="I22">IF(OR(ISBLANK(A22),C22),IFERROR(0/0,""),INDEX('RFR Data - preExcl'!AL$2:AL179,$R22,1))</f>
        <v>4</v>
      </c>
      <c r="J22" s="50">
        <f>IFERROR(VLOOKUP($B22,'APS Tubes by Date Import'!$B$2:$J179,2,FALSE),"")</f>
        <v>40</v>
      </c>
      <c r="K22" s="50" t="b">
        <f>IFERROR(VLOOKUP($B22,'APS Tubes by Date Import'!$B$2:$J179,9,FALSE),"")</f>
        <v>1</v>
      </c>
      <c r="L22" s="50">
        <f>IFNA(VLOOKUP($B22,'APS Tubes by Date Import'!$B$2:$J179,6,FALSE),"")</f>
        <v>0</v>
      </c>
      <c r="M22" s="73">
        <f t="shared" si="13"/>
        <v>40</v>
      </c>
      <c r="N22" s="50">
        <f t="shared" si="3"/>
        <v>0</v>
      </c>
      <c r="O22" s="74">
        <v>0.0</v>
      </c>
      <c r="P22" s="75" t="b">
        <f t="shared" si="4"/>
        <v>1</v>
      </c>
      <c r="Q22" s="84" t="str">
        <f t="shared" si="27"/>
        <v/>
      </c>
      <c r="R22" s="77">
        <f>IFNA(MATCH(A22,'RFR Data - preExcl'!A$2:A179,0),"")</f>
        <v>25</v>
      </c>
      <c r="S22" s="40"/>
      <c r="T22" s="19" t="str">
        <f>IF(EXACT('RFR Data - preExcl'!W22,"Initial"),'RFR Data - preExcl'!A22,IFERROR(0/0,""))</f>
        <v>RUN-COMB_2022-04-18_RFR-021</v>
      </c>
      <c r="U22" s="7">
        <f>IF(EXACT('RFR Data - preExcl'!W22,"Initial"),'RFR Data - preExcl'!U22,IFERROR(0/0,""))</f>
        <v>44669</v>
      </c>
      <c r="X22" s="40"/>
      <c r="Z22" s="50"/>
      <c r="AA22" s="50"/>
      <c r="AC22" s="40"/>
      <c r="AF22" s="40"/>
      <c r="AG22" s="73">
        <v>40.0</v>
      </c>
      <c r="AH22" s="50">
        <v>0.0</v>
      </c>
      <c r="AI22" s="74">
        <v>0.0</v>
      </c>
      <c r="AJ22" s="50">
        <f t="shared" ref="AJ22:AL22" si="29">AG22-M22</f>
        <v>0</v>
      </c>
      <c r="AK22" s="50">
        <f t="shared" si="29"/>
        <v>0</v>
      </c>
      <c r="AL22" s="50">
        <f t="shared" si="29"/>
        <v>0</v>
      </c>
    </row>
    <row r="23">
      <c r="A23" s="6" t="s">
        <v>49</v>
      </c>
      <c r="B23" s="11">
        <v>44673.0</v>
      </c>
      <c r="C23" s="50"/>
      <c r="D23" s="72">
        <v>26.0</v>
      </c>
      <c r="E23" s="50">
        <f t="array" ref="E23">IF(OR(ISBLANK($A23),C23),IFERROR(0/0,""),INDEX('RFR Data - preExcl'!E$2:E179,$R23,1))</f>
        <v>26</v>
      </c>
      <c r="F23" s="50">
        <f t="array" ref="F23">IF(OR(ISBLANK($A23),$C23),IFERROR(0/0,""),INDEX('RFR Data - preExcl'!Z$2:Z179,$R23,1))</f>
        <v>28</v>
      </c>
      <c r="G23" s="50">
        <f t="array" ref="G23">IF(OR(ISBLANK(A23),C23),IFERROR(0/0,""),INDEX('RFR Data - preExcl'!AC$2:AC179,$R23,1))</f>
        <v>26</v>
      </c>
      <c r="H23" s="50">
        <f t="array" ref="H23">IF(OR(ISBLANK(A23),C23),IFERROR(0/0,""),INDEX('RFR Data - preExcl'!AK$2:AK179,$R23,1))</f>
        <v>26</v>
      </c>
      <c r="I23" s="50">
        <f t="array" ref="I23">IF(OR(ISBLANK(A23),C23),IFERROR(0/0,""),INDEX('RFR Data - preExcl'!AL$2:AL179,$R23,1))</f>
        <v>0</v>
      </c>
      <c r="J23" s="50">
        <f>IFERROR(VLOOKUP($B23,'APS Tubes by Date Import'!$B$2:$J179,2,FALSE),"")</f>
        <v>26</v>
      </c>
      <c r="K23" s="50" t="b">
        <f>IFERROR(VLOOKUP($B23,'APS Tubes by Date Import'!$B$2:$J179,9,FALSE),"")</f>
        <v>1</v>
      </c>
      <c r="L23" s="50">
        <f>IFNA(VLOOKUP($B23,'APS Tubes by Date Import'!$B$2:$J179,6,FALSE),"")</f>
        <v>0</v>
      </c>
      <c r="M23" s="73">
        <f t="shared" si="13"/>
        <v>26</v>
      </c>
      <c r="N23" s="50">
        <f t="shared" si="3"/>
        <v>0</v>
      </c>
      <c r="O23" s="74">
        <v>0.0</v>
      </c>
      <c r="P23" s="75" t="b">
        <f t="shared" si="4"/>
        <v>1</v>
      </c>
      <c r="Q23" s="84" t="str">
        <f t="shared" si="27"/>
        <v/>
      </c>
      <c r="R23" s="77">
        <f>IFNA(MATCH(A23,'RFR Data - preExcl'!A$2:A179,0),"")</f>
        <v>27</v>
      </c>
      <c r="S23" s="40"/>
      <c r="T23" s="19" t="str">
        <f>IF(EXACT('RFR Data - preExcl'!W23,"Initial"),'RFR Data - preExcl'!A23,IFERROR(0/0,""))</f>
        <v>RUN-COMB_2022-04-19_RFR-022</v>
      </c>
      <c r="U23" s="7">
        <f>IF(EXACT('RFR Data - preExcl'!W23,"Initial"),'RFR Data - preExcl'!U23,IFERROR(0/0,""))</f>
        <v>44670</v>
      </c>
      <c r="X23" s="40"/>
      <c r="Z23" s="50"/>
      <c r="AA23" s="50"/>
      <c r="AC23" s="40"/>
      <c r="AF23" s="40"/>
      <c r="AG23" s="73">
        <v>26.0</v>
      </c>
      <c r="AH23" s="50">
        <v>0.0</v>
      </c>
      <c r="AI23" s="74">
        <v>0.0</v>
      </c>
      <c r="AJ23" s="50">
        <f t="shared" ref="AJ23:AL23" si="30">AG23-M23</f>
        <v>0</v>
      </c>
      <c r="AK23" s="50">
        <f t="shared" si="30"/>
        <v>0</v>
      </c>
      <c r="AL23" s="50">
        <f t="shared" si="30"/>
        <v>0</v>
      </c>
    </row>
    <row r="24">
      <c r="A24" s="91" t="s">
        <v>50</v>
      </c>
      <c r="B24" s="92">
        <v>44676.0</v>
      </c>
      <c r="C24" s="50"/>
      <c r="D24" s="72">
        <v>26.0</v>
      </c>
      <c r="E24" s="50">
        <f t="array" ref="E24">IF(OR(ISBLANK($A24),C24),IFERROR(0/0,""),INDEX('RFR Data - preExcl'!E$2:E179,$R24,1))</f>
        <v>26</v>
      </c>
      <c r="F24" s="50">
        <f t="array" ref="F24">IF(OR(ISBLANK($A24),$C24),IFERROR(0/0,""),INDEX('RFR Data - preExcl'!Z$2:Z179,$R24,1))</f>
        <v>28</v>
      </c>
      <c r="G24" s="50">
        <f t="array" ref="G24">IF(OR(ISBLANK(A24),C24),IFERROR(0/0,""),INDEX('RFR Data - preExcl'!AC$2:AC179,$R24,1))</f>
        <v>26</v>
      </c>
      <c r="H24" s="50">
        <f t="array" ref="H24">IF(OR(ISBLANK(A24),C24),IFERROR(0/0,""),INDEX('RFR Data - preExcl'!AK$2:AK179,$R24,1))</f>
        <v>26</v>
      </c>
      <c r="I24" s="50">
        <f t="array" ref="I24">IF(OR(ISBLANK(A24),C24),IFERROR(0/0,""),INDEX('RFR Data - preExcl'!AL$2:AL179,$R24,1))</f>
        <v>4</v>
      </c>
      <c r="J24" s="50">
        <f>IFERROR(VLOOKUP($B24,'APS Tubes by Date Import'!$B$2:$J179,2,FALSE),"")</f>
        <v>26</v>
      </c>
      <c r="K24" s="50" t="b">
        <f>IFERROR(VLOOKUP($B24,'APS Tubes by Date Import'!$B$2:$J179,9,FALSE),"")</f>
        <v>1</v>
      </c>
      <c r="L24" s="50">
        <f>IFNA(VLOOKUP($B24,'APS Tubes by Date Import'!$B$2:$J179,6,FALSE),"")</f>
        <v>0</v>
      </c>
      <c r="M24" s="73">
        <f t="shared" si="13"/>
        <v>26</v>
      </c>
      <c r="N24" s="50">
        <f t="shared" si="3"/>
        <v>0</v>
      </c>
      <c r="O24" s="74">
        <v>0.0</v>
      </c>
      <c r="P24" s="75" t="b">
        <f t="shared" si="4"/>
        <v>1</v>
      </c>
      <c r="Q24" s="84" t="str">
        <f t="shared" si="27"/>
        <v/>
      </c>
      <c r="R24" s="77">
        <f>IFNA(MATCH(A24,'RFR Data - preExcl'!A$2:A179,0),"")</f>
        <v>28</v>
      </c>
      <c r="S24" s="40"/>
      <c r="T24" s="19" t="str">
        <f>IF(EXACT('RFR Data - preExcl'!W24,"Initial"),'RFR Data - preExcl'!A24,IFERROR(0/0,""))</f>
        <v/>
      </c>
      <c r="U24" s="7" t="str">
        <f>IF(EXACT('RFR Data - preExcl'!W24,"Initial"),'RFR Data - preExcl'!U24,IFERROR(0/0,""))</f>
        <v/>
      </c>
      <c r="X24" s="40"/>
      <c r="Z24" s="50"/>
      <c r="AA24" s="50"/>
      <c r="AC24" s="40"/>
      <c r="AF24" s="40"/>
      <c r="AG24" s="73">
        <v>26.0</v>
      </c>
      <c r="AH24" s="50">
        <v>0.0</v>
      </c>
      <c r="AI24" s="74">
        <v>0.0</v>
      </c>
      <c r="AJ24" s="50">
        <f t="shared" ref="AJ24:AL24" si="31">AG24-M24</f>
        <v>0</v>
      </c>
      <c r="AK24" s="50">
        <f t="shared" si="31"/>
        <v>0</v>
      </c>
      <c r="AL24" s="50">
        <f t="shared" si="31"/>
        <v>0</v>
      </c>
    </row>
    <row r="25">
      <c r="A25" s="6" t="s">
        <v>51</v>
      </c>
      <c r="B25" s="11">
        <v>44677.0</v>
      </c>
      <c r="C25" s="50"/>
      <c r="D25" s="72">
        <v>13.0</v>
      </c>
      <c r="E25" s="50">
        <f t="array" ref="E25">IF(OR(ISBLANK($A25),C25),IFERROR(0/0,""),INDEX('RFR Data - preExcl'!E$2:E179,$R25,1))</f>
        <v>13</v>
      </c>
      <c r="F25" s="50">
        <f t="array" ref="F25">IF(OR(ISBLANK($A25),$C25),IFERROR(0/0,""),INDEX('RFR Data - preExcl'!Z$2:Z179,$R25,1))</f>
        <v>15</v>
      </c>
      <c r="G25" s="50">
        <f t="array" ref="G25">IF(OR(ISBLANK(A25),C25),IFERROR(0/0,""),INDEX('RFR Data - preExcl'!AC$2:AC179,$R25,1))</f>
        <v>13</v>
      </c>
      <c r="H25" s="50">
        <f t="array" ref="H25">IF(OR(ISBLANK(A25),C25),IFERROR(0/0,""),INDEX('RFR Data - preExcl'!AK$2:AK179,$R25,1))</f>
        <v>13</v>
      </c>
      <c r="I25" s="50">
        <f t="array" ref="I25">IF(OR(ISBLANK(A25),C25),IFERROR(0/0,""),INDEX('RFR Data - preExcl'!AL$2:AL179,$R25,1))</f>
        <v>0</v>
      </c>
      <c r="J25" s="50">
        <f>IFERROR(VLOOKUP($B25,'APS Tubes by Date Import'!$B$2:$J179,2,FALSE),"")</f>
        <v>13</v>
      </c>
      <c r="K25" s="50" t="b">
        <f>IFERROR(VLOOKUP($B25,'APS Tubes by Date Import'!$B$2:$J179,9,FALSE),"")</f>
        <v>1</v>
      </c>
      <c r="L25" s="50">
        <f>IFNA(VLOOKUP($B25,'APS Tubes by Date Import'!$B$2:$J179,6,FALSE),"")</f>
        <v>0</v>
      </c>
      <c r="M25" s="73">
        <f t="shared" si="13"/>
        <v>13</v>
      </c>
      <c r="N25" s="50">
        <f t="shared" si="3"/>
        <v>0</v>
      </c>
      <c r="O25" s="74">
        <v>0.0</v>
      </c>
      <c r="P25" s="75" t="b">
        <f t="shared" si="4"/>
        <v>1</v>
      </c>
      <c r="Q25" s="84" t="str">
        <f t="shared" si="27"/>
        <v/>
      </c>
      <c r="R25" s="77">
        <f>IFNA(MATCH(A25,'RFR Data - preExcl'!A$2:A179,0),"")</f>
        <v>30</v>
      </c>
      <c r="S25" s="40"/>
      <c r="T25" s="19" t="str">
        <f>IF(EXACT('RFR Data - preExcl'!W25,"Initial"),'RFR Data - preExcl'!A25,IFERROR(0/0,""))</f>
        <v>RUN-COMB_2022-04-20_RFR-024</v>
      </c>
      <c r="U25" s="7">
        <f>IF(EXACT('RFR Data - preExcl'!W25,"Initial"),'RFR Data - preExcl'!U25,IFERROR(0/0,""))</f>
        <v>44671</v>
      </c>
      <c r="X25" s="40"/>
      <c r="Z25" s="50"/>
      <c r="AA25" s="50"/>
      <c r="AC25" s="40"/>
      <c r="AF25" s="40"/>
      <c r="AG25" s="73">
        <v>13.0</v>
      </c>
      <c r="AH25" s="50">
        <v>0.0</v>
      </c>
      <c r="AI25" s="74">
        <v>0.0</v>
      </c>
      <c r="AJ25" s="50">
        <f t="shared" ref="AJ25:AL25" si="32">AG25-M25</f>
        <v>0</v>
      </c>
      <c r="AK25" s="50">
        <f t="shared" si="32"/>
        <v>0</v>
      </c>
      <c r="AL25" s="50">
        <f t="shared" si="32"/>
        <v>0</v>
      </c>
    </row>
    <row r="26">
      <c r="A26" s="6" t="s">
        <v>52</v>
      </c>
      <c r="B26" s="11">
        <v>44678.0</v>
      </c>
      <c r="C26" s="50"/>
      <c r="D26" s="72">
        <v>15.0</v>
      </c>
      <c r="E26" s="50">
        <f t="array" ref="E26">IF(OR(ISBLANK($A26),C26),IFERROR(0/0,""),INDEX('RFR Data - preExcl'!E$2:E179,$R26,1))</f>
        <v>15</v>
      </c>
      <c r="F26" s="50">
        <f t="array" ref="F26">IF(OR(ISBLANK($A26),$C26),IFERROR(0/0,""),INDEX('RFR Data - preExcl'!Z$2:Z179,$R26,1))</f>
        <v>17</v>
      </c>
      <c r="G26" s="50">
        <f t="array" ref="G26">IF(OR(ISBLANK(A26),C26),IFERROR(0/0,""),INDEX('RFR Data - preExcl'!AC$2:AC179,$R26,1))</f>
        <v>15</v>
      </c>
      <c r="H26" s="50">
        <f t="array" ref="H26">IF(OR(ISBLANK(A26),C26),IFERROR(0/0,""),INDEX('RFR Data - preExcl'!AK$2:AK179,$R26,1))</f>
        <v>15</v>
      </c>
      <c r="I26" s="50">
        <f t="array" ref="I26">IF(OR(ISBLANK(A26),C26),IFERROR(0/0,""),INDEX('RFR Data - preExcl'!AL$2:AL179,$R26,1))</f>
        <v>0</v>
      </c>
      <c r="J26" s="50">
        <f>IFERROR(VLOOKUP($B26,'APS Tubes by Date Import'!$B$2:$J179,2,FALSE),"")</f>
        <v>15</v>
      </c>
      <c r="K26" s="50" t="b">
        <f>IFERROR(VLOOKUP($B26,'APS Tubes by Date Import'!$B$2:$J179,9,FALSE),"")</f>
        <v>1</v>
      </c>
      <c r="L26" s="50">
        <f>IFNA(VLOOKUP($B26,'APS Tubes by Date Import'!$B$2:$J179,6,FALSE),"")</f>
        <v>0</v>
      </c>
      <c r="M26" s="73">
        <f t="shared" si="13"/>
        <v>15</v>
      </c>
      <c r="N26" s="50">
        <f t="shared" si="3"/>
        <v>0</v>
      </c>
      <c r="O26" s="74">
        <v>0.1</v>
      </c>
      <c r="P26" s="75" t="b">
        <f t="shared" si="4"/>
        <v>1</v>
      </c>
      <c r="Q26" s="84" t="str">
        <f t="shared" si="27"/>
        <v>NULL &gt; NEG</v>
      </c>
      <c r="R26" s="77">
        <f>IFNA(MATCH(A26,'RFR Data - preExcl'!A$2:A179,0),"")</f>
        <v>31</v>
      </c>
      <c r="S26" s="40"/>
      <c r="T26" s="19" t="str">
        <f>IF(EXACT('RFR Data - preExcl'!W26,"Initial"),'RFR Data - preExcl'!A26,IFERROR(0/0,""))</f>
        <v>RUN-COMB_2022-04-21_RFR-025</v>
      </c>
      <c r="U26" s="7">
        <f>IF(EXACT('RFR Data - preExcl'!W26,"Initial"),'RFR Data - preExcl'!U26,IFERROR(0/0,""))</f>
        <v>44672</v>
      </c>
      <c r="X26" s="40"/>
      <c r="Z26" s="50"/>
      <c r="AA26" s="50"/>
      <c r="AC26" s="40"/>
      <c r="AF26" s="40"/>
      <c r="AG26" s="73">
        <v>15.0</v>
      </c>
      <c r="AH26" s="50">
        <v>0.0</v>
      </c>
      <c r="AI26" s="74">
        <v>0.1</v>
      </c>
      <c r="AJ26" s="50">
        <f t="shared" ref="AJ26:AL26" si="33">AG26-M26</f>
        <v>0</v>
      </c>
      <c r="AK26" s="50">
        <f t="shared" si="33"/>
        <v>0</v>
      </c>
      <c r="AL26" s="50">
        <f t="shared" si="33"/>
        <v>0</v>
      </c>
    </row>
    <row r="27">
      <c r="A27" s="6" t="s">
        <v>53</v>
      </c>
      <c r="B27" s="11">
        <v>44679.0</v>
      </c>
      <c r="C27" s="50"/>
      <c r="D27" s="72">
        <v>33.0</v>
      </c>
      <c r="E27" s="50">
        <f t="array" ref="E27">IF(OR(ISBLANK($A27),C27),IFERROR(0/0,""),INDEX('RFR Data - preExcl'!E$2:E179,$R27,1))</f>
        <v>33</v>
      </c>
      <c r="F27" s="50">
        <f t="array" ref="F27">IF(OR(ISBLANK($A27),$C27),IFERROR(0/0,""),INDEX('RFR Data - preExcl'!Z$2:Z179,$R27,1))</f>
        <v>35</v>
      </c>
      <c r="G27" s="50">
        <f t="array" ref="G27">IF(OR(ISBLANK(A27),C27),IFERROR(0/0,""),INDEX('RFR Data - preExcl'!AC$2:AC179,$R27,1))</f>
        <v>33</v>
      </c>
      <c r="H27" s="50">
        <f t="array" ref="H27">IF(OR(ISBLANK(A27),C27),IFERROR(0/0,""),INDEX('RFR Data - preExcl'!AK$2:AK179,$R27,1))</f>
        <v>33</v>
      </c>
      <c r="I27" s="50">
        <f t="array" ref="I27">IF(OR(ISBLANK(A27),C27),IFERROR(0/0,""),INDEX('RFR Data - preExcl'!AL$2:AL179,$R27,1))</f>
        <v>1</v>
      </c>
      <c r="J27" s="50">
        <f>IFERROR(VLOOKUP($B27,'APS Tubes by Date Import'!$B$2:$J179,2,FALSE),"")</f>
        <v>33</v>
      </c>
      <c r="K27" s="50" t="b">
        <f>IFERROR(VLOOKUP($B27,'APS Tubes by Date Import'!$B$2:$J179,9,FALSE),"")</f>
        <v>1</v>
      </c>
      <c r="L27" s="50">
        <f>IFNA(VLOOKUP($B27,'APS Tubes by Date Import'!$B$2:$J179,6,FALSE),"")</f>
        <v>0</v>
      </c>
      <c r="M27" s="73">
        <f t="shared" si="13"/>
        <v>33</v>
      </c>
      <c r="N27" s="50">
        <f t="shared" si="3"/>
        <v>0</v>
      </c>
      <c r="O27" s="74">
        <v>0.0</v>
      </c>
      <c r="P27" s="75" t="b">
        <f t="shared" si="4"/>
        <v>1</v>
      </c>
      <c r="Q27" s="84" t="str">
        <f t="shared" si="27"/>
        <v/>
      </c>
      <c r="R27" s="77">
        <f>IFNA(MATCH(A27,'RFR Data - preExcl'!A$2:A179,0),"")</f>
        <v>32</v>
      </c>
      <c r="S27" s="40"/>
      <c r="T27" s="19" t="str">
        <f>IF(EXACT('RFR Data - preExcl'!W27,"Initial"),'RFR Data - preExcl'!A27,IFERROR(0/0,""))</f>
        <v/>
      </c>
      <c r="U27" s="7" t="str">
        <f>IF(EXACT('RFR Data - preExcl'!W27,"Initial"),'RFR Data - preExcl'!U27,IFERROR(0/0,""))</f>
        <v/>
      </c>
      <c r="X27" s="40"/>
      <c r="Z27" s="50"/>
      <c r="AA27" s="50"/>
      <c r="AC27" s="40"/>
      <c r="AF27" s="40"/>
      <c r="AG27" s="73">
        <v>33.0</v>
      </c>
      <c r="AH27" s="50">
        <v>0.0</v>
      </c>
      <c r="AI27" s="74">
        <v>0.0</v>
      </c>
      <c r="AJ27" s="50">
        <f t="shared" ref="AJ27:AL27" si="34">AG27-M27</f>
        <v>0</v>
      </c>
      <c r="AK27" s="50">
        <f t="shared" si="34"/>
        <v>0</v>
      </c>
      <c r="AL27" s="50">
        <f t="shared" si="34"/>
        <v>0</v>
      </c>
    </row>
    <row r="28">
      <c r="A28" s="93" t="s">
        <v>54</v>
      </c>
      <c r="B28" s="94">
        <v>44680.0</v>
      </c>
      <c r="C28" s="95"/>
      <c r="D28" s="96">
        <v>21.0</v>
      </c>
      <c r="E28" s="95">
        <f t="array" ref="E28">IF(OR(ISBLANK($A28),C28),IFERROR(0/0,""),INDEX('RFR Data - preExcl'!E$2:E179,$R28,1))</f>
        <v>21</v>
      </c>
      <c r="F28" s="95">
        <f t="array" ref="F28">IF(OR(ISBLANK($A28),$C28),IFERROR(0/0,""),INDEX('RFR Data - preExcl'!Z$2:Z179,$R28,1))</f>
        <v>23</v>
      </c>
      <c r="G28" s="95">
        <f t="array" ref="G28">IF(OR(ISBLANK(A28),C28),IFERROR(0/0,""),INDEX('RFR Data - preExcl'!AC$2:AC179,$R28,1))</f>
        <v>21</v>
      </c>
      <c r="H28" s="95">
        <f t="array" ref="H28">IF(OR(ISBLANK(A28),C28),IFERROR(0/0,""),INDEX('RFR Data - preExcl'!AK$2:AK179,$R28,1))</f>
        <v>21</v>
      </c>
      <c r="I28" s="95">
        <f t="array" ref="I28">IF(OR(ISBLANK(A28),C28),IFERROR(0/0,""),INDEX('RFR Data - preExcl'!AL$2:AL179,$R28,1))</f>
        <v>4</v>
      </c>
      <c r="J28" s="50">
        <f>IFERROR(VLOOKUP($B28,'APS Tubes by Date Import'!$B$2:$J179,2,FALSE),"")</f>
        <v>21</v>
      </c>
      <c r="K28" s="50" t="b">
        <f>IFERROR(VLOOKUP($B28,'APS Tubes by Date Import'!$B$2:$J179,9,FALSE),"")</f>
        <v>1</v>
      </c>
      <c r="L28" s="50">
        <f>IFNA(VLOOKUP($B28,'APS Tubes by Date Import'!$B$2:$J179,6,FALSE),"")</f>
        <v>0</v>
      </c>
      <c r="M28" s="73">
        <f t="shared" si="13"/>
        <v>21</v>
      </c>
      <c r="N28" s="50">
        <f t="shared" si="3"/>
        <v>0</v>
      </c>
      <c r="O28" s="74">
        <v>0.0</v>
      </c>
      <c r="P28" s="75" t="b">
        <f t="shared" si="4"/>
        <v>1</v>
      </c>
      <c r="Q28" s="84" t="str">
        <f t="shared" si="27"/>
        <v/>
      </c>
      <c r="R28" s="77">
        <f>IFNA(MATCH(A28,'RFR Data - preExcl'!A$2:A179,0),"")</f>
        <v>34</v>
      </c>
      <c r="S28" s="40"/>
      <c r="T28" s="19" t="str">
        <f>IF(EXACT('RFR Data - preExcl'!W28,"Initial"),'RFR Data - preExcl'!A28,IFERROR(0/0,""))</f>
        <v>RUN-COMB_2022-04-22_RFR-027</v>
      </c>
      <c r="U28" s="7">
        <f>IF(EXACT('RFR Data - preExcl'!W28,"Initial"),'RFR Data - preExcl'!U28,IFERROR(0/0,""))</f>
        <v>44673</v>
      </c>
      <c r="X28" s="40"/>
      <c r="Z28" s="50"/>
      <c r="AA28" s="50"/>
      <c r="AC28" s="40"/>
      <c r="AF28" s="40"/>
      <c r="AG28" s="73">
        <v>21.0</v>
      </c>
      <c r="AH28" s="50">
        <v>0.0</v>
      </c>
      <c r="AI28" s="74">
        <v>0.0</v>
      </c>
      <c r="AJ28" s="50">
        <f t="shared" ref="AJ28:AL28" si="35">AG28-M28</f>
        <v>0</v>
      </c>
      <c r="AK28" s="50">
        <f t="shared" si="35"/>
        <v>0</v>
      </c>
      <c r="AL28" s="50">
        <f t="shared" si="35"/>
        <v>0</v>
      </c>
    </row>
    <row r="29">
      <c r="A29" s="6" t="s">
        <v>55</v>
      </c>
      <c r="B29" s="11">
        <v>44690.0</v>
      </c>
      <c r="C29" s="50"/>
      <c r="D29" s="72">
        <v>30.0</v>
      </c>
      <c r="E29" s="50">
        <f t="array" ref="E29">IF(OR(ISBLANK($A29),C29),IFERROR(0/0,""),INDEX('RFR Data - preExcl'!E$2:E179,$R29,1))</f>
        <v>30</v>
      </c>
      <c r="F29" s="50">
        <f t="array" ref="F29">IF(OR(ISBLANK($A29),$C29),IFERROR(0/0,""),INDEX('RFR Data - preExcl'!Z$2:Z179,$R29,1))</f>
        <v>32</v>
      </c>
      <c r="G29" s="50">
        <f t="array" ref="G29">IF(OR(ISBLANK(A29),C29),IFERROR(0/0,""),INDEX('RFR Data - preExcl'!AC$2:AC179,$R29,1))</f>
        <v>30</v>
      </c>
      <c r="H29" s="50">
        <f t="array" ref="H29">IF(OR(ISBLANK(A29),C29),IFERROR(0/0,""),INDEX('RFR Data - preExcl'!AK$2:AK179,$R29,1))</f>
        <v>30</v>
      </c>
      <c r="I29" s="50">
        <f t="array" ref="I29">IF(OR(ISBLANK(A29),C29),IFERROR(0/0,""),INDEX('RFR Data - preExcl'!AL$2:AL179,$R29,1))</f>
        <v>0</v>
      </c>
      <c r="J29" s="50">
        <f>IFERROR(VLOOKUP($B29,'APS Tubes by Date Import'!$B$2:$J179,2,FALSE),"")</f>
        <v>30</v>
      </c>
      <c r="K29" s="50" t="b">
        <f>IFERROR(VLOOKUP($B29,'APS Tubes by Date Import'!$B$2:$J179,9,FALSE),"")</f>
        <v>1</v>
      </c>
      <c r="L29" s="50">
        <f>IFNA(VLOOKUP($B29,'APS Tubes by Date Import'!$B$2:$J179,6,FALSE),"")</f>
        <v>0</v>
      </c>
      <c r="M29" s="73">
        <f t="shared" si="13"/>
        <v>30</v>
      </c>
      <c r="N29" s="50">
        <f t="shared" si="3"/>
        <v>0</v>
      </c>
      <c r="O29" s="74">
        <v>0.0</v>
      </c>
      <c r="P29" s="75" t="b">
        <f t="shared" si="4"/>
        <v>1</v>
      </c>
      <c r="Q29" s="84" t="str">
        <f t="shared" si="27"/>
        <v/>
      </c>
      <c r="R29" s="77">
        <f>IFNA(MATCH(A29,'RFR Data - preExcl'!A$2:A179,0),"")</f>
        <v>35</v>
      </c>
      <c r="S29" s="40"/>
      <c r="T29" s="19" t="str">
        <f>IF(EXACT('RFR Data - preExcl'!W29,"Initial"),'RFR Data - preExcl'!A29,IFERROR(0/0,""))</f>
        <v>RUN-COMB_2022-04-25_RFR-028</v>
      </c>
      <c r="U29" s="7">
        <f>IF(EXACT('RFR Data - preExcl'!W29,"Initial"),'RFR Data - preExcl'!U29,IFERROR(0/0,""))</f>
        <v>44676</v>
      </c>
      <c r="X29" s="40"/>
      <c r="Z29" s="50"/>
      <c r="AA29" s="50"/>
      <c r="AC29" s="40"/>
      <c r="AF29" s="40"/>
      <c r="AG29" s="73">
        <v>30.0</v>
      </c>
      <c r="AH29" s="50">
        <v>0.0</v>
      </c>
      <c r="AI29" s="74">
        <v>0.0</v>
      </c>
      <c r="AJ29" s="50">
        <f t="shared" ref="AJ29:AL29" si="36">AG29-M29</f>
        <v>0</v>
      </c>
      <c r="AK29" s="50">
        <f t="shared" si="36"/>
        <v>0</v>
      </c>
      <c r="AL29" s="50">
        <f t="shared" si="36"/>
        <v>0</v>
      </c>
    </row>
    <row r="30">
      <c r="A30" s="6" t="s">
        <v>56</v>
      </c>
      <c r="B30" s="11">
        <v>44691.0</v>
      </c>
      <c r="C30" s="50"/>
      <c r="D30" s="72">
        <v>14.0</v>
      </c>
      <c r="E30" s="50">
        <f t="array" ref="E30">IF(OR(ISBLANK($A30),C30),IFERROR(0/0,""),INDEX('RFR Data - preExcl'!E$2:E179,$R30,1))</f>
        <v>14</v>
      </c>
      <c r="F30" s="50">
        <f t="array" ref="F30">IF(OR(ISBLANK($A30),$C30),IFERROR(0/0,""),INDEX('RFR Data - preExcl'!Z$2:Z179,$R30,1))</f>
        <v>16</v>
      </c>
      <c r="G30" s="50">
        <f t="array" ref="G30">IF(OR(ISBLANK(A30),C30),IFERROR(0/0,""),INDEX('RFR Data - preExcl'!AC$2:AC179,$R30,1))</f>
        <v>14</v>
      </c>
      <c r="H30" s="50">
        <f t="array" ref="H30">IF(OR(ISBLANK(A30),C30),IFERROR(0/0,""),INDEX('RFR Data - preExcl'!AK$2:AK179,$R30,1))</f>
        <v>14</v>
      </c>
      <c r="I30" s="50">
        <f t="array" ref="I30">IF(OR(ISBLANK(A30),C30),IFERROR(0/0,""),INDEX('RFR Data - preExcl'!AL$2:AL179,$R30,1))</f>
        <v>0</v>
      </c>
      <c r="J30" s="50">
        <f>IFERROR(VLOOKUP($B30,'APS Tubes by Date Import'!$B$2:$J179,2,FALSE),"")</f>
        <v>14</v>
      </c>
      <c r="K30" s="50" t="b">
        <f>IFERROR(VLOOKUP($B30,'APS Tubes by Date Import'!$B$2:$J179,9,FALSE),"")</f>
        <v>1</v>
      </c>
      <c r="L30" s="50">
        <f>IFNA(VLOOKUP($B30,'APS Tubes by Date Import'!$B$2:$J179,6,FALSE),"")</f>
        <v>0</v>
      </c>
      <c r="M30" s="73">
        <f t="shared" si="13"/>
        <v>14</v>
      </c>
      <c r="N30" s="50">
        <f t="shared" si="3"/>
        <v>0</v>
      </c>
      <c r="O30" s="74">
        <v>0.1</v>
      </c>
      <c r="P30" s="75" t="b">
        <f t="shared" si="4"/>
        <v>1</v>
      </c>
      <c r="Q30" s="84" t="str">
        <f t="shared" si="27"/>
        <v>NULL &gt; NEG</v>
      </c>
      <c r="R30" s="77">
        <f>IFNA(MATCH(A30,'RFR Data - preExcl'!A$2:A179,0),"")</f>
        <v>36</v>
      </c>
      <c r="S30" s="40"/>
      <c r="T30" s="19" t="str">
        <f>IF(EXACT('RFR Data - preExcl'!W30,"Initial"),'RFR Data - preExcl'!A30,IFERROR(0/0,""))</f>
        <v/>
      </c>
      <c r="U30" s="7" t="str">
        <f>IF(EXACT('RFR Data - preExcl'!W30,"Initial"),'RFR Data - preExcl'!U30,IFERROR(0/0,""))</f>
        <v/>
      </c>
      <c r="X30" s="40"/>
      <c r="Z30" s="50"/>
      <c r="AA30" s="50"/>
      <c r="AC30" s="40"/>
      <c r="AF30" s="40"/>
      <c r="AG30" s="73">
        <v>14.0</v>
      </c>
      <c r="AH30" s="50">
        <v>0.0</v>
      </c>
      <c r="AI30" s="74">
        <v>0.1</v>
      </c>
      <c r="AJ30" s="50">
        <f t="shared" ref="AJ30:AL30" si="37">AG30-M30</f>
        <v>0</v>
      </c>
      <c r="AK30" s="50">
        <f t="shared" si="37"/>
        <v>0</v>
      </c>
      <c r="AL30" s="50">
        <f t="shared" si="37"/>
        <v>0</v>
      </c>
    </row>
    <row r="31">
      <c r="A31" s="6" t="s">
        <v>57</v>
      </c>
      <c r="B31" s="11">
        <v>44692.0</v>
      </c>
      <c r="C31" s="50"/>
      <c r="D31" s="72">
        <v>20.0</v>
      </c>
      <c r="E31" s="50">
        <f t="array" ref="E31">IF(OR(ISBLANK($A31),C31),IFERROR(0/0,""),INDEX('RFR Data - preExcl'!E$2:E179,$R31,1))</f>
        <v>18</v>
      </c>
      <c r="F31" s="50">
        <f t="array" ref="F31">IF(OR(ISBLANK($A31),$C31),IFERROR(0/0,""),INDEX('RFR Data - preExcl'!Z$2:Z179,$R31,1))</f>
        <v>20</v>
      </c>
      <c r="G31" s="50">
        <f t="array" ref="G31">IF(OR(ISBLANK(A31),C31),IFERROR(0/0,""),INDEX('RFR Data - preExcl'!AC$2:AC179,$R31,1))</f>
        <v>18</v>
      </c>
      <c r="H31" s="50">
        <f t="array" ref="H31">IF(OR(ISBLANK(A31),C31),IFERROR(0/0,""),INDEX('RFR Data - preExcl'!AK$2:AK179,$R31,1))</f>
        <v>18</v>
      </c>
      <c r="I31" s="50">
        <f t="array" ref="I31">IF(OR(ISBLANK(A31),C31),IFERROR(0/0,""),INDEX('RFR Data - preExcl'!AL$2:AL179,$R31,1))</f>
        <v>0</v>
      </c>
      <c r="J31" s="50">
        <f>IFERROR(VLOOKUP($B31,'APS Tubes by Date Import'!$B$2:$J179,2,FALSE),"")</f>
        <v>18</v>
      </c>
      <c r="K31" s="50" t="b">
        <f>IFERROR(VLOOKUP($B31,'APS Tubes by Date Import'!$B$2:$J179,9,FALSE),"")</f>
        <v>1</v>
      </c>
      <c r="L31" s="50">
        <f>IFNA(VLOOKUP($B31,'APS Tubes by Date Import'!$B$2:$J179,6,FALSE),"")</f>
        <v>0</v>
      </c>
      <c r="M31" s="73">
        <f t="shared" si="13"/>
        <v>18</v>
      </c>
      <c r="N31" s="50">
        <f t="shared" si="3"/>
        <v>0</v>
      </c>
      <c r="O31" s="74">
        <v>0.1</v>
      </c>
      <c r="P31" s="75" t="b">
        <f t="shared" si="4"/>
        <v>1</v>
      </c>
      <c r="Q31" s="84" t="str">
        <f t="shared" si="27"/>
        <v>NULL &gt; NEG</v>
      </c>
      <c r="R31" s="77">
        <f>IFNA(MATCH(A31,'RFR Data - preExcl'!A$2:A179,0),"")</f>
        <v>37</v>
      </c>
      <c r="S31" s="40"/>
      <c r="T31" s="19" t="str">
        <f>IF(EXACT('RFR Data - preExcl'!W31,"Initial"),'RFR Data - preExcl'!A31,IFERROR(0/0,""))</f>
        <v>RUN-COMB_2022-04-26_RFR-030</v>
      </c>
      <c r="U31" s="7">
        <f>IF(EXACT('RFR Data - preExcl'!W31,"Initial"),'RFR Data - preExcl'!U31,IFERROR(0/0,""))</f>
        <v>44677</v>
      </c>
      <c r="X31" s="40"/>
      <c r="Z31" s="50"/>
      <c r="AA31" s="50"/>
      <c r="AC31" s="40"/>
      <c r="AF31" s="40"/>
      <c r="AG31" s="73">
        <v>18.0</v>
      </c>
      <c r="AH31" s="50">
        <v>0.0</v>
      </c>
      <c r="AI31" s="74">
        <v>0.1</v>
      </c>
      <c r="AJ31" s="50">
        <f t="shared" ref="AJ31:AL31" si="38">AG31-M31</f>
        <v>0</v>
      </c>
      <c r="AK31" s="50">
        <f t="shared" si="38"/>
        <v>0</v>
      </c>
      <c r="AL31" s="50">
        <f t="shared" si="38"/>
        <v>0</v>
      </c>
    </row>
    <row r="32">
      <c r="A32" s="6" t="s">
        <v>58</v>
      </c>
      <c r="B32" s="11">
        <v>44693.0</v>
      </c>
      <c r="C32" s="50"/>
      <c r="D32" s="72">
        <v>33.0</v>
      </c>
      <c r="E32" s="50">
        <f t="array" ref="E32">IF(OR(ISBLANK($A32),C32),IFERROR(0/0,""),INDEX('RFR Data - preExcl'!E$2:E179,$R32,1))</f>
        <v>33</v>
      </c>
      <c r="F32" s="50">
        <f t="array" ref="F32">IF(OR(ISBLANK($A32),$C32),IFERROR(0/0,""),INDEX('RFR Data - preExcl'!Z$2:Z179,$R32,1))</f>
        <v>35</v>
      </c>
      <c r="G32" s="50">
        <f t="array" ref="G32">IF(OR(ISBLANK(A32),C32),IFERROR(0/0,""),INDEX('RFR Data - preExcl'!AC$2:AC179,$R32,1))</f>
        <v>33</v>
      </c>
      <c r="H32" s="50">
        <f t="array" ref="H32">IF(OR(ISBLANK(A32),C32),IFERROR(0/0,""),INDEX('RFR Data - preExcl'!AK$2:AK179,$R32,1))</f>
        <v>33</v>
      </c>
      <c r="I32" s="50">
        <f t="array" ref="I32">IF(OR(ISBLANK(A32),C32),IFERROR(0/0,""),INDEX('RFR Data - preExcl'!AL$2:AL179,$R32,1))</f>
        <v>0</v>
      </c>
      <c r="J32" s="50">
        <f>IFERROR(VLOOKUP($B32,'APS Tubes by Date Import'!$B$2:$J179,2,FALSE),"")</f>
        <v>33</v>
      </c>
      <c r="K32" s="50" t="b">
        <f>IFERROR(VLOOKUP($B32,'APS Tubes by Date Import'!$B$2:$J179,9,FALSE),"")</f>
        <v>1</v>
      </c>
      <c r="L32" s="50">
        <f>IFNA(VLOOKUP($B32,'APS Tubes by Date Import'!$B$2:$J179,6,FALSE),"")</f>
        <v>0</v>
      </c>
      <c r="M32" s="73">
        <f t="shared" si="13"/>
        <v>33</v>
      </c>
      <c r="N32" s="50">
        <f t="shared" si="3"/>
        <v>0</v>
      </c>
      <c r="O32" s="74">
        <v>0.1</v>
      </c>
      <c r="P32" s="75" t="b">
        <f t="shared" si="4"/>
        <v>1</v>
      </c>
      <c r="Q32" s="84" t="str">
        <f t="shared" si="27"/>
        <v>NULL &gt; NEG</v>
      </c>
      <c r="R32" s="77">
        <f>IFNA(MATCH(A32,'RFR Data - preExcl'!A$2:A179,0),"")</f>
        <v>38</v>
      </c>
      <c r="S32" s="40"/>
      <c r="T32" s="19" t="str">
        <f>IF(EXACT('RFR Data - preExcl'!W32,"Initial"),'RFR Data - preExcl'!A32,IFERROR(0/0,""))</f>
        <v>RUN-COMB_2022-04-27_RFR-031</v>
      </c>
      <c r="U32" s="7">
        <f>IF(EXACT('RFR Data - preExcl'!W32,"Initial"),'RFR Data - preExcl'!U32,IFERROR(0/0,""))</f>
        <v>44678</v>
      </c>
      <c r="X32" s="40"/>
      <c r="Z32" s="50"/>
      <c r="AA32" s="50"/>
      <c r="AC32" s="40"/>
      <c r="AF32" s="40"/>
      <c r="AG32" s="73">
        <v>33.0</v>
      </c>
      <c r="AH32" s="50">
        <v>0.0</v>
      </c>
      <c r="AI32" s="74">
        <v>0.1</v>
      </c>
      <c r="AJ32" s="50">
        <f t="shared" ref="AJ32:AL32" si="39">AG32-M32</f>
        <v>0</v>
      </c>
      <c r="AK32" s="50">
        <f t="shared" si="39"/>
        <v>0</v>
      </c>
      <c r="AL32" s="50">
        <f t="shared" si="39"/>
        <v>0</v>
      </c>
    </row>
    <row r="33">
      <c r="A33" s="6" t="s">
        <v>59</v>
      </c>
      <c r="B33" s="11">
        <v>44694.0</v>
      </c>
      <c r="C33" s="72"/>
      <c r="D33" s="72">
        <v>17.0</v>
      </c>
      <c r="E33" s="50">
        <f t="array" ref="E33">IF(OR(ISBLANK($A33),C33),IFERROR(0/0,""),INDEX('RFR Data - preExcl'!E$2:E179,$R33,1))</f>
        <v>17</v>
      </c>
      <c r="F33" s="50">
        <f t="array" ref="F33">IF(OR(ISBLANK($A33),$C33),IFERROR(0/0,""),INDEX('RFR Data - preExcl'!Z$2:Z179,$R33,1))</f>
        <v>19</v>
      </c>
      <c r="G33" s="50">
        <f t="array" ref="G33">IF(OR(ISBLANK(A33),C33),IFERROR(0/0,""),INDEX('RFR Data - preExcl'!AC$2:AC179,$R33,1))</f>
        <v>17</v>
      </c>
      <c r="H33" s="50">
        <f t="array" ref="H33">IF(OR(ISBLANK(A33),C33),IFERROR(0/0,""),INDEX('RFR Data - preExcl'!AK$2:AK179,$R33,1))</f>
        <v>17</v>
      </c>
      <c r="I33" s="50">
        <f t="array" ref="I33">IF(OR(ISBLANK(A33),C33),IFERROR(0/0,""),INDEX('RFR Data - preExcl'!AL$2:AL179,$R33,1))</f>
        <v>0</v>
      </c>
      <c r="J33" s="50">
        <f>IFERROR(VLOOKUP($B33,'APS Tubes by Date Import'!$B$2:$J179,2,FALSE),"")</f>
        <v>17</v>
      </c>
      <c r="K33" s="50" t="b">
        <f>IFERROR(VLOOKUP($B33,'APS Tubes by Date Import'!$B$2:$J179,9,FALSE),"")</f>
        <v>1</v>
      </c>
      <c r="L33" s="50">
        <f>IFNA(VLOOKUP($B33,'APS Tubes by Date Import'!$B$2:$J179,6,FALSE),"")</f>
        <v>0</v>
      </c>
      <c r="M33" s="73">
        <f t="shared" si="13"/>
        <v>17</v>
      </c>
      <c r="N33" s="50">
        <f t="shared" si="3"/>
        <v>0</v>
      </c>
      <c r="O33" s="97">
        <v>4.5</v>
      </c>
      <c r="P33" s="75" t="b">
        <f t="shared" si="4"/>
        <v>1</v>
      </c>
      <c r="Q33" s="84" t="str">
        <f t="shared" si="27"/>
        <v/>
      </c>
      <c r="R33" s="77">
        <f>IFNA(MATCH(A33,'RFR Data - preExcl'!A$2:A179,0),"")</f>
        <v>39</v>
      </c>
      <c r="S33" s="40"/>
      <c r="T33" s="19" t="str">
        <f>IF(EXACT('RFR Data - preExcl'!W33,"Initial"),'RFR Data - preExcl'!A33,IFERROR(0/0,""))</f>
        <v>RUN-COMB_2022-04-28_RFR-032</v>
      </c>
      <c r="U33" s="7">
        <f>IF(EXACT('RFR Data - preExcl'!W33,"Initial"),'RFR Data - preExcl'!U33,IFERROR(0/0,""))</f>
        <v>44679</v>
      </c>
      <c r="X33" s="40"/>
      <c r="Z33" s="50"/>
      <c r="AA33" s="50"/>
      <c r="AC33" s="40"/>
      <c r="AF33" s="40"/>
      <c r="AG33" s="73">
        <v>17.0</v>
      </c>
      <c r="AH33" s="98">
        <f t="shared" ref="AH33:AI33" si="40">N33</f>
        <v>0</v>
      </c>
      <c r="AI33" s="99">
        <f t="shared" si="40"/>
        <v>4.5</v>
      </c>
      <c r="AJ33" s="50">
        <f t="shared" ref="AJ33:AL33" si="41">AG33-M33</f>
        <v>0</v>
      </c>
      <c r="AK33" s="50">
        <f t="shared" si="41"/>
        <v>0</v>
      </c>
      <c r="AL33" s="50">
        <f t="shared" si="41"/>
        <v>0</v>
      </c>
    </row>
    <row r="34">
      <c r="A34" s="6" t="s">
        <v>60</v>
      </c>
      <c r="B34" s="11">
        <v>44697.0</v>
      </c>
      <c r="C34" s="50"/>
      <c r="D34" s="72">
        <v>26.0</v>
      </c>
      <c r="E34" s="50">
        <f t="array" ref="E34">IF(OR(ISBLANK($A34),C34),IFERROR(0/0,""),INDEX('RFR Data - preExcl'!E$2:E179,$R34,1))</f>
        <v>26</v>
      </c>
      <c r="F34" s="50">
        <f t="array" ref="F34">IF(OR(ISBLANK($A34),$C34),IFERROR(0/0,""),INDEX('RFR Data - preExcl'!Z$2:Z179,$R34,1))</f>
        <v>28</v>
      </c>
      <c r="G34" s="50">
        <f t="array" ref="G34">IF(OR(ISBLANK(A34),C34),IFERROR(0/0,""),INDEX('RFR Data - preExcl'!AC$2:AC179,$R34,1))</f>
        <v>26</v>
      </c>
      <c r="H34" s="50">
        <f t="array" ref="H34">IF(OR(ISBLANK(A34),C34),IFERROR(0/0,""),INDEX('RFR Data - preExcl'!AK$2:AK179,$R34,1))</f>
        <v>26</v>
      </c>
      <c r="I34" s="50">
        <f t="array" ref="I34">IF(OR(ISBLANK(A34),C34),IFERROR(0/0,""),INDEX('RFR Data - preExcl'!AL$2:AL179,$R34,1))</f>
        <v>0</v>
      </c>
      <c r="J34" s="50">
        <f>IFERROR(VLOOKUP($B34,'APS Tubes by Date Import'!$B$2:$J179,2,FALSE),"")</f>
        <v>26</v>
      </c>
      <c r="K34" s="50" t="b">
        <f>IFERROR(VLOOKUP($B34,'APS Tubes by Date Import'!$B$2:$J179,9,FALSE),"")</f>
        <v>1</v>
      </c>
      <c r="L34" s="50">
        <f>IFNA(VLOOKUP($B34,'APS Tubes by Date Import'!$B$2:$J179,6,FALSE),"")</f>
        <v>0</v>
      </c>
      <c r="M34" s="73">
        <f t="shared" si="13"/>
        <v>26</v>
      </c>
      <c r="N34" s="50">
        <f t="shared" si="3"/>
        <v>0</v>
      </c>
      <c r="O34" s="74">
        <v>0.1</v>
      </c>
      <c r="P34" s="75" t="b">
        <f t="shared" si="4"/>
        <v>1</v>
      </c>
      <c r="Q34" s="84" t="str">
        <f t="shared" si="27"/>
        <v>NULL &gt; NEG</v>
      </c>
      <c r="R34" s="77">
        <f>IFNA(MATCH(A34,'RFR Data - preExcl'!A$2:A179,0),"")</f>
        <v>40</v>
      </c>
      <c r="S34" s="40"/>
      <c r="T34" s="19" t="str">
        <f>IF(EXACT('RFR Data - preExcl'!W34,"Initial"),'RFR Data - preExcl'!A34,IFERROR(0/0,""))</f>
        <v/>
      </c>
      <c r="U34" s="7" t="str">
        <f>IF(EXACT('RFR Data - preExcl'!W34,"Initial"),'RFR Data - preExcl'!U34,IFERROR(0/0,""))</f>
        <v/>
      </c>
      <c r="X34" s="40"/>
      <c r="Z34" s="50"/>
      <c r="AA34" s="50"/>
      <c r="AC34" s="40"/>
      <c r="AF34" s="40"/>
      <c r="AG34" s="73">
        <v>26.0</v>
      </c>
      <c r="AH34" s="50">
        <v>0.0</v>
      </c>
      <c r="AI34" s="74">
        <v>0.1</v>
      </c>
      <c r="AJ34" s="50">
        <f t="shared" ref="AJ34:AL34" si="42">AG34-M34</f>
        <v>0</v>
      </c>
      <c r="AK34" s="50">
        <f t="shared" si="42"/>
        <v>0</v>
      </c>
      <c r="AL34" s="50">
        <f t="shared" si="42"/>
        <v>0</v>
      </c>
    </row>
    <row r="35">
      <c r="A35" s="6" t="s">
        <v>61</v>
      </c>
      <c r="B35" s="11">
        <v>44698.0</v>
      </c>
      <c r="C35" s="50"/>
      <c r="D35" s="72">
        <v>12.0</v>
      </c>
      <c r="E35" s="50">
        <f t="array" ref="E35">IF(OR(ISBLANK($A35),C35),IFERROR(0/0,""),INDEX('RFR Data - preExcl'!E$2:E179,$R35,1))</f>
        <v>12</v>
      </c>
      <c r="F35" s="50">
        <f t="array" ref="F35">IF(OR(ISBLANK($A35),$C35),IFERROR(0/0,""),INDEX('RFR Data - preExcl'!Z$2:Z179,$R35,1))</f>
        <v>15</v>
      </c>
      <c r="G35" s="50">
        <f t="array" ref="G35">IF(OR(ISBLANK(A35),C35),IFERROR(0/0,""),INDEX('RFR Data - preExcl'!AC$2:AC179,$R35,1))</f>
        <v>13</v>
      </c>
      <c r="H35" s="50">
        <f t="array" ref="H35">IF(OR(ISBLANK(A35),C35),IFERROR(0/0,""),INDEX('RFR Data - preExcl'!AK$2:AK179,$R35,1))</f>
        <v>13</v>
      </c>
      <c r="I35" s="50">
        <f t="array" ref="I35">IF(OR(ISBLANK(A35),C35),IFERROR(0/0,""),INDEX('RFR Data - preExcl'!AL$2:AL179,$R35,1))</f>
        <v>0</v>
      </c>
      <c r="J35" s="50">
        <f>IFERROR(VLOOKUP($B35,'APS Tubes by Date Import'!$B$2:$J179,2,FALSE),"")</f>
        <v>13</v>
      </c>
      <c r="K35" s="50" t="b">
        <f>IFERROR(VLOOKUP($B35,'APS Tubes by Date Import'!$B$2:$J179,9,FALSE),"")</f>
        <v>1</v>
      </c>
      <c r="L35" s="50">
        <f>IFNA(VLOOKUP($B35,'APS Tubes by Date Import'!$B$2:$J179,6,FALSE),"")</f>
        <v>0</v>
      </c>
      <c r="M35" s="73">
        <f t="shared" si="13"/>
        <v>13</v>
      </c>
      <c r="N35" s="50">
        <f t="shared" si="3"/>
        <v>0</v>
      </c>
      <c r="O35" s="74">
        <v>0.1</v>
      </c>
      <c r="P35" s="75" t="b">
        <f t="shared" si="4"/>
        <v>1</v>
      </c>
      <c r="Q35" s="76" t="s">
        <v>133</v>
      </c>
      <c r="R35" s="77">
        <f>IFNA(MATCH(A35,'RFR Data - preExcl'!A$2:A179,0),"")</f>
        <v>41</v>
      </c>
      <c r="S35" s="40"/>
      <c r="T35" s="19" t="str">
        <f>IF(EXACT('RFR Data - preExcl'!W35,"Initial"),'RFR Data - preExcl'!A35,IFERROR(0/0,""))</f>
        <v>RUN-COMB_2022-04-29_RFR-034</v>
      </c>
      <c r="U35" s="7">
        <f>IF(EXACT('RFR Data - preExcl'!W35,"Initial"),'RFR Data - preExcl'!U35,IFERROR(0/0,""))</f>
        <v>44680</v>
      </c>
      <c r="X35" s="40"/>
      <c r="Z35" s="50"/>
      <c r="AA35" s="50"/>
      <c r="AC35" s="40"/>
      <c r="AF35" s="40"/>
      <c r="AG35" s="73">
        <v>13.0</v>
      </c>
      <c r="AH35" s="50">
        <v>0.0</v>
      </c>
      <c r="AI35" s="74">
        <v>0.1</v>
      </c>
      <c r="AJ35" s="50">
        <f t="shared" ref="AJ35:AL35" si="43">AG35-M35</f>
        <v>0</v>
      </c>
      <c r="AK35" s="50">
        <f t="shared" si="43"/>
        <v>0</v>
      </c>
      <c r="AL35" s="50">
        <f t="shared" si="43"/>
        <v>0</v>
      </c>
    </row>
    <row r="36">
      <c r="A36" s="6" t="s">
        <v>62</v>
      </c>
      <c r="B36" s="11">
        <v>44699.0</v>
      </c>
      <c r="C36" s="50"/>
      <c r="D36" s="72">
        <v>10.0</v>
      </c>
      <c r="E36" s="50">
        <f t="array" ref="E36">IF(OR(ISBLANK($A36),C36),IFERROR(0/0,""),INDEX('RFR Data - preExcl'!E$2:E179,$R36,1))</f>
        <v>37</v>
      </c>
      <c r="F36" s="50">
        <f t="array" ref="F36">IF(OR(ISBLANK($A36),$C36),IFERROR(0/0,""),INDEX('RFR Data - preExcl'!Z$2:Z179,$R36,1))</f>
        <v>12</v>
      </c>
      <c r="G36" s="50">
        <f t="array" ref="G36">IF(OR(ISBLANK(A36),C36),IFERROR(0/0,""),INDEX('RFR Data - preExcl'!AC$2:AC179,$R36,1))</f>
        <v>10</v>
      </c>
      <c r="H36" s="50">
        <f t="array" ref="H36">IF(OR(ISBLANK(A36),C36),IFERROR(0/0,""),INDEX('RFR Data - preExcl'!AK$2:AK179,$R36,1))</f>
        <v>10</v>
      </c>
      <c r="I36" s="50">
        <f t="array" ref="I36">IF(OR(ISBLANK(A36),C36),IFERROR(0/0,""),INDEX('RFR Data - preExcl'!AL$2:AL179,$R36,1))</f>
        <v>0</v>
      </c>
      <c r="J36" s="50">
        <f>IFERROR(VLOOKUP($B36,'APS Tubes by Date Import'!$B$2:$J179,2,FALSE),"")</f>
        <v>10</v>
      </c>
      <c r="K36" s="50" t="b">
        <f>IFERROR(VLOOKUP($B36,'APS Tubes by Date Import'!$B$2:$J179,9,FALSE),"")</f>
        <v>1</v>
      </c>
      <c r="L36" s="50">
        <f>IFNA(VLOOKUP($B36,'APS Tubes by Date Import'!$B$2:$J179,6,FALSE),"")</f>
        <v>0</v>
      </c>
      <c r="M36" s="73">
        <f t="shared" si="13"/>
        <v>10</v>
      </c>
      <c r="N36" s="50">
        <f t="shared" si="3"/>
        <v>0</v>
      </c>
      <c r="O36" s="74">
        <v>0.1</v>
      </c>
      <c r="P36" s="75" t="b">
        <f t="shared" si="4"/>
        <v>1</v>
      </c>
      <c r="Q36" s="84" t="str">
        <f t="shared" ref="Q36:Q45" si="45">IFS(OR(O36=0.1,O36=1.1,O36=2.1),"NULL &gt; NEG",O36=3, "Delete NULL",TRUE,IFERROR(0/0,""))</f>
        <v>NULL &gt; NEG</v>
      </c>
      <c r="R36" s="77">
        <f>IFNA(MATCH(A36,'RFR Data - preExcl'!A$2:A179,0),"")</f>
        <v>42</v>
      </c>
      <c r="S36" s="40"/>
      <c r="T36" s="19" t="str">
        <f>IF(EXACT('RFR Data - preExcl'!W36,"Initial"),'RFR Data - preExcl'!A36,IFERROR(0/0,""))</f>
        <v>RUN-COMB_2022-05-09_RFR-035</v>
      </c>
      <c r="U36" s="7">
        <f>IF(EXACT('RFR Data - preExcl'!W36,"Initial"),'RFR Data - preExcl'!U36,IFERROR(0/0,""))</f>
        <v>44690</v>
      </c>
      <c r="X36" s="40"/>
      <c r="Z36" s="50"/>
      <c r="AA36" s="50"/>
      <c r="AC36" s="40"/>
      <c r="AF36" s="40"/>
      <c r="AG36" s="73">
        <v>10.0</v>
      </c>
      <c r="AH36" s="50">
        <v>0.0</v>
      </c>
      <c r="AI36" s="74">
        <v>0.1</v>
      </c>
      <c r="AJ36" s="50">
        <f t="shared" ref="AJ36:AL36" si="44">AG36-M36</f>
        <v>0</v>
      </c>
      <c r="AK36" s="50">
        <f t="shared" si="44"/>
        <v>0</v>
      </c>
      <c r="AL36" s="50">
        <f t="shared" si="44"/>
        <v>0</v>
      </c>
    </row>
    <row r="37">
      <c r="A37" s="6" t="s">
        <v>63</v>
      </c>
      <c r="B37" s="11">
        <v>44700.0</v>
      </c>
      <c r="C37" s="50"/>
      <c r="D37" s="72">
        <v>37.0</v>
      </c>
      <c r="E37" s="50">
        <f t="array" ref="E37">IF(OR(ISBLANK($A37),C37),IFERROR(0/0,""),INDEX('RFR Data - preExcl'!E$2:E179,$R37,1))</f>
        <v>37</v>
      </c>
      <c r="F37" s="50">
        <f t="array" ref="F37">IF(OR(ISBLANK($A37),$C37),IFERROR(0/0,""),INDEX('RFR Data - preExcl'!Z$2:Z179,$R37,1))</f>
        <v>39</v>
      </c>
      <c r="G37" s="50">
        <f t="array" ref="G37">IF(OR(ISBLANK(A37),C37),IFERROR(0/0,""),INDEX('RFR Data - preExcl'!AC$2:AC179,$R37,1))</f>
        <v>37</v>
      </c>
      <c r="H37" s="50">
        <f t="array" ref="H37">IF(OR(ISBLANK(A37),C37),IFERROR(0/0,""),INDEX('RFR Data - preExcl'!AK$2:AK179,$R37,1))</f>
        <v>37</v>
      </c>
      <c r="I37" s="50">
        <f t="array" ref="I37">IF(OR(ISBLANK(A37),C37),IFERROR(0/0,""),INDEX('RFR Data - preExcl'!AL$2:AL179,$R37,1))</f>
        <v>0</v>
      </c>
      <c r="J37" s="50">
        <f>IFERROR(VLOOKUP($B37,'APS Tubes by Date Import'!$B$2:$J179,2,FALSE),"")</f>
        <v>37</v>
      </c>
      <c r="K37" s="50" t="b">
        <f>IFERROR(VLOOKUP($B37,'APS Tubes by Date Import'!$B$2:$J179,9,FALSE),"")</f>
        <v>1</v>
      </c>
      <c r="L37" s="50">
        <f>IFNA(VLOOKUP($B37,'APS Tubes by Date Import'!$B$2:$J179,6,FALSE),"")</f>
        <v>0</v>
      </c>
      <c r="M37" s="73">
        <f t="shared" si="13"/>
        <v>37</v>
      </c>
      <c r="N37" s="50">
        <f t="shared" si="3"/>
        <v>0</v>
      </c>
      <c r="O37" s="74">
        <v>0.1</v>
      </c>
      <c r="P37" s="75" t="b">
        <f t="shared" si="4"/>
        <v>1</v>
      </c>
      <c r="Q37" s="84" t="str">
        <f t="shared" si="45"/>
        <v>NULL &gt; NEG</v>
      </c>
      <c r="R37" s="77">
        <f>IFNA(MATCH(A37,'RFR Data - preExcl'!A$2:A179,0),"")</f>
        <v>43</v>
      </c>
      <c r="S37" s="40"/>
      <c r="T37" s="19" t="str">
        <f>IF(EXACT('RFR Data - preExcl'!W37,"Initial"),'RFR Data - preExcl'!A37,IFERROR(0/0,""))</f>
        <v>RUN-COMB_2022-05-10_RFR-036</v>
      </c>
      <c r="U37" s="7">
        <f>IF(EXACT('RFR Data - preExcl'!W37,"Initial"),'RFR Data - preExcl'!U37,IFERROR(0/0,""))</f>
        <v>44691</v>
      </c>
      <c r="X37" s="40"/>
      <c r="Z37" s="50"/>
      <c r="AA37" s="50"/>
      <c r="AC37" s="40"/>
      <c r="AF37" s="40"/>
      <c r="AG37" s="73">
        <v>37.0</v>
      </c>
      <c r="AH37" s="50">
        <v>0.0</v>
      </c>
      <c r="AI37" s="74">
        <v>0.1</v>
      </c>
      <c r="AJ37" s="50">
        <f t="shared" ref="AJ37:AL37" si="46">AG37-M37</f>
        <v>0</v>
      </c>
      <c r="AK37" s="50">
        <f t="shared" si="46"/>
        <v>0</v>
      </c>
      <c r="AL37" s="50">
        <f t="shared" si="46"/>
        <v>0</v>
      </c>
    </row>
    <row r="38">
      <c r="A38" s="6" t="s">
        <v>64</v>
      </c>
      <c r="B38" s="11">
        <v>44701.0</v>
      </c>
      <c r="C38" s="50"/>
      <c r="D38" s="72">
        <v>13.0</v>
      </c>
      <c r="E38" s="50">
        <f t="array" ref="E38">IF(OR(ISBLANK($A38),C38),IFERROR(0/0,""),INDEX('RFR Data - preExcl'!E$2:E179,$R38,1))</f>
        <v>13</v>
      </c>
      <c r="F38" s="50">
        <f t="array" ref="F38">IF(OR(ISBLANK($A38),$C38),IFERROR(0/0,""),INDEX('RFR Data - preExcl'!Z$2:Z179,$R38,1))</f>
        <v>15</v>
      </c>
      <c r="G38" s="50">
        <f t="array" ref="G38">IF(OR(ISBLANK(A38),C38),IFERROR(0/0,""),INDEX('RFR Data - preExcl'!AC$2:AC179,$R38,1))</f>
        <v>13</v>
      </c>
      <c r="H38" s="50">
        <f t="array" ref="H38">IF(OR(ISBLANK(A38),C38),IFERROR(0/0,""),INDEX('RFR Data - preExcl'!AK$2:AK179,$R38,1))</f>
        <v>13</v>
      </c>
      <c r="I38" s="50">
        <f t="array" ref="I38">IF(OR(ISBLANK(A38),C38),IFERROR(0/0,""),INDEX('RFR Data - preExcl'!AL$2:AL179,$R38,1))</f>
        <v>0</v>
      </c>
      <c r="J38" s="50">
        <f>IFERROR(VLOOKUP($B38,'APS Tubes by Date Import'!$B$2:$J179,2,FALSE),"")</f>
        <v>13</v>
      </c>
      <c r="K38" s="50" t="b">
        <f>IFERROR(VLOOKUP($B38,'APS Tubes by Date Import'!$B$2:$J179,9,FALSE),"")</f>
        <v>1</v>
      </c>
      <c r="L38" s="50">
        <f>IFNA(VLOOKUP($B38,'APS Tubes by Date Import'!$B$2:$J179,6,FALSE),"")</f>
        <v>0</v>
      </c>
      <c r="M38" s="73">
        <f t="shared" si="13"/>
        <v>13</v>
      </c>
      <c r="N38" s="50">
        <f t="shared" si="3"/>
        <v>0</v>
      </c>
      <c r="O38" s="74">
        <v>0.1</v>
      </c>
      <c r="P38" s="75" t="b">
        <f t="shared" si="4"/>
        <v>1</v>
      </c>
      <c r="Q38" s="84" t="str">
        <f t="shared" si="45"/>
        <v>NULL &gt; NEG</v>
      </c>
      <c r="R38" s="77">
        <f>IFNA(MATCH(A38,'RFR Data - preExcl'!A$2:A179,0),"")</f>
        <v>44</v>
      </c>
      <c r="S38" s="40"/>
      <c r="T38" s="19" t="str">
        <f>IF(EXACT('RFR Data - preExcl'!W38,"Initial"),'RFR Data - preExcl'!A38,IFERROR(0/0,""))</f>
        <v>RUN-COMB_2022-05-11_RFR-037</v>
      </c>
      <c r="U38" s="7">
        <f>IF(EXACT('RFR Data - preExcl'!W38,"Initial"),'RFR Data - preExcl'!U38,IFERROR(0/0,""))</f>
        <v>44692</v>
      </c>
      <c r="X38" s="40"/>
      <c r="Z38" s="50"/>
      <c r="AA38" s="50"/>
      <c r="AC38" s="40"/>
      <c r="AF38" s="40"/>
      <c r="AG38" s="73">
        <v>13.0</v>
      </c>
      <c r="AH38" s="50">
        <v>0.0</v>
      </c>
      <c r="AI38" s="74">
        <v>0.1</v>
      </c>
      <c r="AJ38" s="50">
        <f t="shared" ref="AJ38:AL38" si="47">AG38-M38</f>
        <v>0</v>
      </c>
      <c r="AK38" s="50">
        <f t="shared" si="47"/>
        <v>0</v>
      </c>
      <c r="AL38" s="50">
        <f t="shared" si="47"/>
        <v>0</v>
      </c>
    </row>
    <row r="39">
      <c r="A39" s="6" t="s">
        <v>65</v>
      </c>
      <c r="B39" s="11">
        <v>44706.0</v>
      </c>
      <c r="C39" s="50"/>
      <c r="D39" s="72">
        <v>32.0</v>
      </c>
      <c r="E39" s="50">
        <f t="array" ref="E39">IF(OR(ISBLANK($A39),C39),IFERROR(0/0,""),INDEX('RFR Data - preExcl'!E$2:E179,$R39,1))</f>
        <v>32</v>
      </c>
      <c r="F39" s="50">
        <f t="array" ref="F39">IF(OR(ISBLANK($A39),$C39),IFERROR(0/0,""),INDEX('RFR Data - preExcl'!Z$2:Z179,$R39,1))</f>
        <v>34</v>
      </c>
      <c r="G39" s="50">
        <f t="array" ref="G39">IF(OR(ISBLANK(A39),C39),IFERROR(0/0,""),INDEX('RFR Data - preExcl'!AC$2:AC179,$R39,1))</f>
        <v>32</v>
      </c>
      <c r="H39" s="50">
        <f t="array" ref="H39">IF(OR(ISBLANK(A39),C39),IFERROR(0/0,""),INDEX('RFR Data - preExcl'!AK$2:AK179,$R39,1))</f>
        <v>32</v>
      </c>
      <c r="I39" s="50">
        <f t="array" ref="I39">IF(OR(ISBLANK(A39),C39),IFERROR(0/0,""),INDEX('RFR Data - preExcl'!AL$2:AL179,$R39,1))</f>
        <v>0</v>
      </c>
      <c r="J39" s="50">
        <f>IFERROR(VLOOKUP($B39,'APS Tubes by Date Import'!$B$2:$J179,2,FALSE),"")</f>
        <v>32</v>
      </c>
      <c r="K39" s="50" t="b">
        <f>IFERROR(VLOOKUP($B39,'APS Tubes by Date Import'!$B$2:$J179,9,FALSE),"")</f>
        <v>1</v>
      </c>
      <c r="L39" s="50">
        <f>IFNA(VLOOKUP($B39,'APS Tubes by Date Import'!$B$2:$J179,6,FALSE),"")</f>
        <v>0</v>
      </c>
      <c r="M39" s="73">
        <f t="shared" si="13"/>
        <v>32</v>
      </c>
      <c r="N39" s="50">
        <f t="shared" si="3"/>
        <v>0</v>
      </c>
      <c r="O39" s="74">
        <v>3.0</v>
      </c>
      <c r="P39" s="75" t="b">
        <f t="shared" si="4"/>
        <v>1</v>
      </c>
      <c r="Q39" s="84" t="str">
        <f t="shared" si="45"/>
        <v>Delete NULL</v>
      </c>
      <c r="R39" s="77">
        <f>IFNA(MATCH(A39,'RFR Data - preExcl'!A$2:A179,0),"")</f>
        <v>45</v>
      </c>
      <c r="S39" s="40"/>
      <c r="T39" s="19" t="str">
        <f>IF(EXACT('RFR Data - preExcl'!W39,"Initial"),'RFR Data - preExcl'!A39,IFERROR(0/0,""))</f>
        <v>RUN-COMB_2022-05-12_RFR-038</v>
      </c>
      <c r="U39" s="7">
        <f>IF(EXACT('RFR Data - preExcl'!W39,"Initial"),'RFR Data - preExcl'!U39,IFERROR(0/0,""))</f>
        <v>44693</v>
      </c>
      <c r="X39" s="40"/>
      <c r="Z39" s="50"/>
      <c r="AA39" s="50"/>
      <c r="AC39" s="40"/>
      <c r="AF39" s="40"/>
      <c r="AG39" s="73">
        <v>32.0</v>
      </c>
      <c r="AH39" s="50">
        <v>0.0</v>
      </c>
      <c r="AI39" s="74">
        <v>3.0</v>
      </c>
      <c r="AJ39" s="50">
        <f t="shared" ref="AJ39:AL39" si="48">AG39-M39</f>
        <v>0</v>
      </c>
      <c r="AK39" s="50">
        <f t="shared" si="48"/>
        <v>0</v>
      </c>
      <c r="AL39" s="50">
        <f t="shared" si="48"/>
        <v>0</v>
      </c>
    </row>
    <row r="40">
      <c r="A40" s="6" t="s">
        <v>66</v>
      </c>
      <c r="B40" s="11">
        <v>44707.0</v>
      </c>
      <c r="C40" s="50"/>
      <c r="D40" s="72">
        <v>19.0</v>
      </c>
      <c r="E40" s="50">
        <f t="array" ref="E40">IF(OR(ISBLANK($A40),C40),IFERROR(0/0,""),INDEX('RFR Data - preExcl'!E$2:E179,$R40,1))</f>
        <v>19</v>
      </c>
      <c r="F40" s="50">
        <f t="array" ref="F40">IF(OR(ISBLANK($A40),$C40),IFERROR(0/0,""),INDEX('RFR Data - preExcl'!Z$2:Z179,$R40,1))</f>
        <v>21</v>
      </c>
      <c r="G40" s="50">
        <f t="array" ref="G40">IF(OR(ISBLANK(A40),C40),IFERROR(0/0,""),INDEX('RFR Data - preExcl'!AC$2:AC179,$R40,1))</f>
        <v>19</v>
      </c>
      <c r="H40" s="50">
        <f t="array" ref="H40">IF(OR(ISBLANK(A40),C40),IFERROR(0/0,""),INDEX('RFR Data - preExcl'!AK$2:AK179,$R40,1))</f>
        <v>19</v>
      </c>
      <c r="I40" s="50">
        <f t="array" ref="I40">IF(OR(ISBLANK(A40),C40),IFERROR(0/0,""),INDEX('RFR Data - preExcl'!AL$2:AL179,$R40,1))</f>
        <v>0</v>
      </c>
      <c r="J40" s="50">
        <f>IFERROR(VLOOKUP($B40,'APS Tubes by Date Import'!$B$2:$J179,2,FALSE),"")</f>
        <v>19</v>
      </c>
      <c r="K40" s="50" t="b">
        <f>IFERROR(VLOOKUP($B40,'APS Tubes by Date Import'!$B$2:$J179,9,FALSE),"")</f>
        <v>1</v>
      </c>
      <c r="L40" s="50">
        <f>IFNA(VLOOKUP($B40,'APS Tubes by Date Import'!$B$2:$J179,6,FALSE),"")</f>
        <v>0</v>
      </c>
      <c r="M40" s="73">
        <f t="shared" si="13"/>
        <v>19</v>
      </c>
      <c r="N40" s="50">
        <f t="shared" si="3"/>
        <v>0</v>
      </c>
      <c r="O40" s="74">
        <v>0.1</v>
      </c>
      <c r="P40" s="75" t="b">
        <f t="shared" si="4"/>
        <v>1</v>
      </c>
      <c r="Q40" s="84" t="str">
        <f t="shared" si="45"/>
        <v>NULL &gt; NEG</v>
      </c>
      <c r="R40" s="77">
        <f>IFNA(MATCH(A40,'RFR Data - preExcl'!A$2:A179,0),"")</f>
        <v>47</v>
      </c>
      <c r="S40" s="40"/>
      <c r="T40" s="19" t="str">
        <f>IF(EXACT('RFR Data - preExcl'!W40,"Initial"),'RFR Data - preExcl'!A40,IFERROR(0/0,""))</f>
        <v>RUN-COMB_2022-05-13_RFR-039</v>
      </c>
      <c r="U40" s="7">
        <f>IF(EXACT('RFR Data - preExcl'!W40,"Initial"),'RFR Data - preExcl'!U40,IFERROR(0/0,""))</f>
        <v>44694</v>
      </c>
      <c r="X40" s="40"/>
      <c r="Z40" s="50"/>
      <c r="AA40" s="50"/>
      <c r="AC40" s="40"/>
      <c r="AF40" s="40"/>
      <c r="AG40" s="73">
        <v>19.0</v>
      </c>
      <c r="AH40" s="50">
        <v>0.0</v>
      </c>
      <c r="AI40" s="74">
        <v>0.1</v>
      </c>
      <c r="AJ40" s="50">
        <f t="shared" ref="AJ40:AL40" si="49">AG40-M40</f>
        <v>0</v>
      </c>
      <c r="AK40" s="50">
        <f t="shared" si="49"/>
        <v>0</v>
      </c>
      <c r="AL40" s="50">
        <f t="shared" si="49"/>
        <v>0</v>
      </c>
    </row>
    <row r="41">
      <c r="A41" s="6" t="s">
        <v>67</v>
      </c>
      <c r="B41" s="11">
        <v>44708.0</v>
      </c>
      <c r="C41" s="50"/>
      <c r="D41" s="72">
        <v>19.0</v>
      </c>
      <c r="E41" s="50">
        <f t="array" ref="E41">IF(OR(ISBLANK($A41),C41),IFERROR(0/0,""),INDEX('RFR Data - preExcl'!E$2:E179,$R41,1))</f>
        <v>19</v>
      </c>
      <c r="F41" s="50">
        <f t="array" ref="F41">IF(OR(ISBLANK($A41),$C41),IFERROR(0/0,""),INDEX('RFR Data - preExcl'!Z$2:Z179,$R41,1))</f>
        <v>21</v>
      </c>
      <c r="G41" s="50">
        <f t="array" ref="G41">IF(OR(ISBLANK(A41),C41),IFERROR(0/0,""),INDEX('RFR Data - preExcl'!AC$2:AC179,$R41,1))</f>
        <v>19</v>
      </c>
      <c r="H41" s="50">
        <f t="array" ref="H41">IF(OR(ISBLANK(A41),C41),IFERROR(0/0,""),INDEX('RFR Data - preExcl'!AK$2:AK179,$R41,1))</f>
        <v>19</v>
      </c>
      <c r="I41" s="50">
        <f t="array" ref="I41">IF(OR(ISBLANK(A41),C41),IFERROR(0/0,""),INDEX('RFR Data - preExcl'!AL$2:AL179,$R41,1))</f>
        <v>0</v>
      </c>
      <c r="J41" s="50">
        <f>IFERROR(VLOOKUP($B41,'APS Tubes by Date Import'!$B$2:$J179,2,FALSE),"")</f>
        <v>19</v>
      </c>
      <c r="K41" s="50" t="b">
        <f>IFERROR(VLOOKUP($B41,'APS Tubes by Date Import'!$B$2:$J179,9,FALSE),"")</f>
        <v>1</v>
      </c>
      <c r="L41" s="50">
        <f>IFNA(VLOOKUP($B41,'APS Tubes by Date Import'!$B$2:$J179,6,FALSE),"")</f>
        <v>0</v>
      </c>
      <c r="M41" s="73">
        <f t="shared" si="13"/>
        <v>19</v>
      </c>
      <c r="N41" s="50">
        <f t="shared" si="3"/>
        <v>0</v>
      </c>
      <c r="O41" s="74">
        <v>0.1</v>
      </c>
      <c r="P41" s="75" t="b">
        <f t="shared" si="4"/>
        <v>1</v>
      </c>
      <c r="Q41" s="84" t="str">
        <f t="shared" si="45"/>
        <v>NULL &gt; NEG</v>
      </c>
      <c r="R41" s="77">
        <f>IFNA(MATCH(A41,'RFR Data - preExcl'!A$2:A179,0),"")</f>
        <v>48</v>
      </c>
      <c r="S41" s="40"/>
      <c r="T41" s="19" t="str">
        <f>IF(EXACT('RFR Data - preExcl'!W41,"Initial"),'RFR Data - preExcl'!A41,IFERROR(0/0,""))</f>
        <v>RUN-COMB_2022-05-16_RFR-040</v>
      </c>
      <c r="U41" s="7">
        <f>IF(EXACT('RFR Data - preExcl'!W41,"Initial"),'RFR Data - preExcl'!U41,IFERROR(0/0,""))</f>
        <v>44697</v>
      </c>
      <c r="X41" s="40"/>
      <c r="Z41" s="50"/>
      <c r="AA41" s="50"/>
      <c r="AC41" s="40"/>
      <c r="AF41" s="40"/>
      <c r="AG41" s="73">
        <v>19.0</v>
      </c>
      <c r="AH41" s="50">
        <v>0.0</v>
      </c>
      <c r="AI41" s="74">
        <v>0.1</v>
      </c>
      <c r="AJ41" s="50">
        <f t="shared" ref="AJ41:AL41" si="50">AG41-M41</f>
        <v>0</v>
      </c>
      <c r="AK41" s="50">
        <f t="shared" si="50"/>
        <v>0</v>
      </c>
      <c r="AL41" s="50">
        <f t="shared" si="50"/>
        <v>0</v>
      </c>
    </row>
    <row r="42">
      <c r="A42" s="6" t="s">
        <v>68</v>
      </c>
      <c r="B42" s="11">
        <v>44709.0</v>
      </c>
      <c r="C42" s="50"/>
      <c r="D42" s="72">
        <v>44.0</v>
      </c>
      <c r="E42" s="50">
        <f t="array" ref="E42">IF(OR(ISBLANK($A42),C42),IFERROR(0/0,""),INDEX('RFR Data - preExcl'!E$2:E179,$R42,1))</f>
        <v>44</v>
      </c>
      <c r="F42" s="50">
        <f t="array" ref="F42">IF(OR(ISBLANK($A42),$C42),IFERROR(0/0,""),INDEX('RFR Data - preExcl'!Z$2:Z179,$R42,1))</f>
        <v>47</v>
      </c>
      <c r="G42" s="50">
        <f t="array" ref="G42">IF(OR(ISBLANK(A42),C42),IFERROR(0/0,""),INDEX('RFR Data - preExcl'!AC$2:AC179,$R42,1))</f>
        <v>45</v>
      </c>
      <c r="H42" s="50">
        <f t="array" ref="H42">IF(OR(ISBLANK(A42),C42),IFERROR(0/0,""),INDEX('RFR Data - preExcl'!AK$2:AK179,$R42,1))</f>
        <v>45</v>
      </c>
      <c r="I42" s="50">
        <f t="array" ref="I42">IF(OR(ISBLANK(A42),C42),IFERROR(0/0,""),INDEX('RFR Data - preExcl'!AL$2:AL179,$R42,1))</f>
        <v>0</v>
      </c>
      <c r="J42" s="50">
        <f>IFERROR(VLOOKUP($B42,'APS Tubes by Date Import'!$B$2:$J179,2,FALSE),"")</f>
        <v>36</v>
      </c>
      <c r="K42" s="50" t="b">
        <f>IFERROR(VLOOKUP($B42,'APS Tubes by Date Import'!$B$2:$J179,9,FALSE),"")</f>
        <v>1</v>
      </c>
      <c r="L42" s="50">
        <f>IFNA(VLOOKUP($B42,'APS Tubes by Date Import'!$B$2:$J179,6,FALSE),"")</f>
        <v>0</v>
      </c>
      <c r="M42" s="73">
        <f t="shared" si="13"/>
        <v>45</v>
      </c>
      <c r="N42" s="50">
        <f t="shared" si="3"/>
        <v>9</v>
      </c>
      <c r="O42" s="74">
        <v>4.9</v>
      </c>
      <c r="P42" s="75" t="b">
        <f t="shared" si="4"/>
        <v>1</v>
      </c>
      <c r="Q42" s="84" t="str">
        <f t="shared" si="45"/>
        <v/>
      </c>
      <c r="R42" s="77">
        <f>IFNA(MATCH(A42,'RFR Data - preExcl'!A$2:A179,0),"")</f>
        <v>49</v>
      </c>
      <c r="S42" s="40"/>
      <c r="T42" s="19" t="str">
        <f>IF(EXACT('RFR Data - preExcl'!W42,"Initial"),'RFR Data - preExcl'!A42,IFERROR(0/0,""))</f>
        <v>RUN-COMB_2022-05-17_RFR-041</v>
      </c>
      <c r="U42" s="7">
        <f>IF(EXACT('RFR Data - preExcl'!W42,"Initial"),'RFR Data - preExcl'!U42,IFERROR(0/0,""))</f>
        <v>44698</v>
      </c>
      <c r="X42" s="40"/>
      <c r="Z42" s="50"/>
      <c r="AA42" s="50"/>
      <c r="AC42" s="40"/>
      <c r="AF42" s="40"/>
      <c r="AG42" s="73">
        <v>45.0</v>
      </c>
      <c r="AH42" s="50">
        <v>9.0</v>
      </c>
      <c r="AI42" s="74">
        <v>4.9</v>
      </c>
      <c r="AJ42" s="50">
        <f t="shared" ref="AJ42:AL42" si="51">AG42-M42</f>
        <v>0</v>
      </c>
      <c r="AK42" s="50">
        <f t="shared" si="51"/>
        <v>0</v>
      </c>
      <c r="AL42" s="50">
        <f t="shared" si="51"/>
        <v>0</v>
      </c>
    </row>
    <row r="43">
      <c r="A43" s="6" t="s">
        <v>69</v>
      </c>
      <c r="B43" s="11">
        <v>44710.0</v>
      </c>
      <c r="C43" s="50"/>
      <c r="D43" s="72">
        <v>22.0</v>
      </c>
      <c r="E43" s="50">
        <f t="array" ref="E43">IF(OR(ISBLANK($A43),C43),IFERROR(0/0,""),INDEX('RFR Data - preExcl'!E$2:E179,$R43,1))</f>
        <v>22</v>
      </c>
      <c r="F43" s="50">
        <f t="array" ref="F43">IF(OR(ISBLANK($A43),$C43),IFERROR(0/0,""),INDEX('RFR Data - preExcl'!Z$2:Z179,$R43,1))</f>
        <v>24</v>
      </c>
      <c r="G43" s="50">
        <f t="array" ref="G43">IF(OR(ISBLANK(A43),C43),IFERROR(0/0,""),INDEX('RFR Data - preExcl'!AC$2:AC179,$R43,1))</f>
        <v>22</v>
      </c>
      <c r="H43" s="50">
        <f t="array" ref="H43">IF(OR(ISBLANK(A43),C43),IFERROR(0/0,""),INDEX('RFR Data - preExcl'!AK$2:AK179,$R43,1))</f>
        <v>22</v>
      </c>
      <c r="I43" s="50">
        <f t="array" ref="I43">IF(OR(ISBLANK(A43),C43),IFERROR(0/0,""),INDEX('RFR Data - preExcl'!AL$2:AL179,$R43,1))</f>
        <v>0</v>
      </c>
      <c r="J43" s="50">
        <f>IFERROR(VLOOKUP($B43,'APS Tubes by Date Import'!$B$2:$J179,2,FALSE),"")</f>
        <v>22</v>
      </c>
      <c r="K43" s="50" t="b">
        <f>IFERROR(VLOOKUP($B43,'APS Tubes by Date Import'!$B$2:$J179,9,FALSE),"")</f>
        <v>1</v>
      </c>
      <c r="L43" s="50">
        <f>IFNA(VLOOKUP($B43,'APS Tubes by Date Import'!$B$2:$J179,6,FALSE),"")</f>
        <v>0</v>
      </c>
      <c r="M43" s="73">
        <f t="shared" si="13"/>
        <v>22</v>
      </c>
      <c r="N43" s="50">
        <f t="shared" si="3"/>
        <v>0</v>
      </c>
      <c r="O43" s="74">
        <v>0.1</v>
      </c>
      <c r="P43" s="75" t="b">
        <f t="shared" si="4"/>
        <v>1</v>
      </c>
      <c r="Q43" s="84" t="str">
        <f t="shared" si="45"/>
        <v>NULL &gt; NEG</v>
      </c>
      <c r="R43" s="77">
        <f>IFNA(MATCH(A43,'RFR Data - preExcl'!A$2:A179,0),"")</f>
        <v>50</v>
      </c>
      <c r="S43" s="40"/>
      <c r="T43" s="19" t="str">
        <f>IF(EXACT('RFR Data - preExcl'!W43,"Initial"),'RFR Data - preExcl'!A43,IFERROR(0/0,""))</f>
        <v>RUN-COMB_2022-05-18_RFR-042</v>
      </c>
      <c r="U43" s="7">
        <f>IF(EXACT('RFR Data - preExcl'!W43,"Initial"),'RFR Data - preExcl'!U43,IFERROR(0/0,""))</f>
        <v>44699</v>
      </c>
      <c r="X43" s="40"/>
      <c r="Z43" s="50"/>
      <c r="AA43" s="50"/>
      <c r="AC43" s="40"/>
      <c r="AF43" s="40"/>
      <c r="AG43" s="73">
        <v>22.0</v>
      </c>
      <c r="AH43" s="50">
        <v>0.0</v>
      </c>
      <c r="AI43" s="74">
        <v>0.1</v>
      </c>
      <c r="AJ43" s="50">
        <f t="shared" ref="AJ43:AL43" si="52">AG43-M43</f>
        <v>0</v>
      </c>
      <c r="AK43" s="50">
        <f t="shared" si="52"/>
        <v>0</v>
      </c>
      <c r="AL43" s="50">
        <f t="shared" si="52"/>
        <v>0</v>
      </c>
    </row>
    <row r="44">
      <c r="A44" s="6" t="s">
        <v>70</v>
      </c>
      <c r="B44" s="11">
        <v>44711.0</v>
      </c>
      <c r="C44" s="50"/>
      <c r="D44" s="72">
        <v>24.0</v>
      </c>
      <c r="E44" s="50">
        <f t="array" ref="E44">IF(OR(ISBLANK($A44),C44),IFERROR(0/0,""),INDEX('RFR Data - preExcl'!E$2:E179,$R44,1))</f>
        <v>24</v>
      </c>
      <c r="F44" s="50">
        <f t="array" ref="F44">IF(OR(ISBLANK($A44),$C44),IFERROR(0/0,""),INDEX('RFR Data - preExcl'!Z$2:Z179,$R44,1))</f>
        <v>26</v>
      </c>
      <c r="G44" s="50">
        <f t="array" ref="G44">IF(OR(ISBLANK(A44),C44),IFERROR(0/0,""),INDEX('RFR Data - preExcl'!AC$2:AC179,$R44,1))</f>
        <v>24</v>
      </c>
      <c r="H44" s="50">
        <f t="array" ref="H44">IF(OR(ISBLANK(A44),C44),IFERROR(0/0,""),INDEX('RFR Data - preExcl'!AK$2:AK179,$R44,1))</f>
        <v>24</v>
      </c>
      <c r="I44" s="50">
        <f t="array" ref="I44">IF(OR(ISBLANK(A44),C44),IFERROR(0/0,""),INDEX('RFR Data - preExcl'!AL$2:AL179,$R44,1))</f>
        <v>0</v>
      </c>
      <c r="J44" s="50">
        <f>IFERROR(VLOOKUP($B44,'APS Tubes by Date Import'!$B$2:$J179,2,FALSE),"")</f>
        <v>24</v>
      </c>
      <c r="K44" s="50" t="b">
        <f>IFERROR(VLOOKUP($B44,'APS Tubes by Date Import'!$B$2:$J179,9,FALSE),"")</f>
        <v>1</v>
      </c>
      <c r="L44" s="50">
        <f>IFNA(VLOOKUP($B44,'APS Tubes by Date Import'!$B$2:$J179,6,FALSE),"")</f>
        <v>0</v>
      </c>
      <c r="M44" s="73">
        <f t="shared" si="13"/>
        <v>24</v>
      </c>
      <c r="N44" s="50">
        <f t="shared" si="3"/>
        <v>0</v>
      </c>
      <c r="O44" s="74">
        <v>0.1</v>
      </c>
      <c r="P44" s="75" t="b">
        <f t="shared" si="4"/>
        <v>1</v>
      </c>
      <c r="Q44" s="84" t="str">
        <f t="shared" si="45"/>
        <v>NULL &gt; NEG</v>
      </c>
      <c r="R44" s="77">
        <f>IFNA(MATCH(A44,'RFR Data - preExcl'!A$2:A179,0),"")</f>
        <v>51</v>
      </c>
      <c r="S44" s="40"/>
      <c r="T44" s="19" t="str">
        <f>IF(EXACT('RFR Data - preExcl'!W44,"Initial"),'RFR Data - preExcl'!A44,IFERROR(0/0,""))</f>
        <v>RUN-COMB_2022-05-19_RFR-043</v>
      </c>
      <c r="U44" s="7">
        <f>IF(EXACT('RFR Data - preExcl'!W44,"Initial"),'RFR Data - preExcl'!U44,IFERROR(0/0,""))</f>
        <v>44700</v>
      </c>
      <c r="X44" s="40"/>
      <c r="Y44" s="6" t="str">
        <f>IF(EXACT('RFR Data - preExcl'!W44,"Re-run"),'RFR Data - preExcl'!A44,IFERROR(0/0,""))</f>
        <v/>
      </c>
      <c r="Z44" s="50"/>
      <c r="AA44" s="50"/>
      <c r="AC44" s="40"/>
      <c r="AF44" s="40"/>
      <c r="AG44" s="73">
        <v>24.0</v>
      </c>
      <c r="AH44" s="50">
        <v>0.0</v>
      </c>
      <c r="AI44" s="74">
        <v>0.1</v>
      </c>
      <c r="AJ44" s="50">
        <f t="shared" ref="AJ44:AL44" si="53">AG44-M44</f>
        <v>0</v>
      </c>
      <c r="AK44" s="50">
        <f t="shared" si="53"/>
        <v>0</v>
      </c>
      <c r="AL44" s="50">
        <f t="shared" si="53"/>
        <v>0</v>
      </c>
    </row>
    <row r="45">
      <c r="A45" s="93" t="s">
        <v>71</v>
      </c>
      <c r="B45" s="94">
        <v>44712.0</v>
      </c>
      <c r="C45" s="95"/>
      <c r="D45" s="96">
        <v>20.0</v>
      </c>
      <c r="E45" s="95">
        <f t="array" ref="E45">IF(OR(ISBLANK($A45),C45),IFERROR(0/0,""),INDEX('RFR Data - preExcl'!E$2:E179,$R45,1))</f>
        <v>20</v>
      </c>
      <c r="F45" s="95">
        <f t="array" ref="F45">IF(OR(ISBLANK($A45),$C45),IFERROR(0/0,""),INDEX('RFR Data - preExcl'!Z$2:Z179,$R45,1))</f>
        <v>22</v>
      </c>
      <c r="G45" s="95">
        <f t="array" ref="G45">IF(OR(ISBLANK(A45),C45),IFERROR(0/0,""),INDEX('RFR Data - preExcl'!AC$2:AC179,$R45,1))</f>
        <v>20</v>
      </c>
      <c r="H45" s="95">
        <f t="array" ref="H45">IF(OR(ISBLANK(A45),C45),IFERROR(0/0,""),INDEX('RFR Data - preExcl'!AK$2:AK179,$R45,1))</f>
        <v>20</v>
      </c>
      <c r="I45" s="95">
        <f t="array" ref="I45">IF(OR(ISBLANK(A45),C45),IFERROR(0/0,""),INDEX('RFR Data - preExcl'!AL$2:AL179,$R45,1))</f>
        <v>4</v>
      </c>
      <c r="J45" s="50">
        <f>IFERROR(VLOOKUP($B45,'APS Tubes by Date Import'!$B$2:$J179,2,FALSE),"")</f>
        <v>20</v>
      </c>
      <c r="K45" s="50" t="b">
        <f>IFERROR(VLOOKUP($B45,'APS Tubes by Date Import'!$B$2:$J179,9,FALSE),"")</f>
        <v>1</v>
      </c>
      <c r="L45" s="50">
        <f>IFNA(VLOOKUP($B45,'APS Tubes by Date Import'!$B$2:$J179,6,FALSE),"")</f>
        <v>0</v>
      </c>
      <c r="M45" s="73">
        <f t="shared" si="13"/>
        <v>20</v>
      </c>
      <c r="N45" s="50">
        <f t="shared" si="3"/>
        <v>0</v>
      </c>
      <c r="O45" s="74">
        <v>0.1</v>
      </c>
      <c r="P45" s="75" t="b">
        <f t="shared" si="4"/>
        <v>1</v>
      </c>
      <c r="Q45" s="84" t="str">
        <f t="shared" si="45"/>
        <v>NULL &gt; NEG</v>
      </c>
      <c r="R45" s="77">
        <f>IFNA(MATCH(A45,'RFR Data - preExcl'!A$2:A179,0),"")</f>
        <v>52</v>
      </c>
      <c r="S45" s="40"/>
      <c r="T45" s="19" t="str">
        <f>IF(EXACT('RFR Data - preExcl'!W45,"Initial"),'RFR Data - preExcl'!A45,IFERROR(0/0,""))</f>
        <v>RUN-COMB_2022-05-20_RFR-044</v>
      </c>
      <c r="U45" s="7">
        <f>IF(EXACT('RFR Data - preExcl'!W45,"Initial"),'RFR Data - preExcl'!U45,IFERROR(0/0,""))</f>
        <v>44701</v>
      </c>
      <c r="X45" s="40"/>
      <c r="Y45" s="6" t="str">
        <f>IF(EXACT('RFR Data - preExcl'!W45,"Re-run"),'RFR Data - preExcl'!A45,IFERROR(0/0,""))</f>
        <v/>
      </c>
      <c r="Z45" s="50"/>
      <c r="AA45" s="50"/>
      <c r="AC45" s="40"/>
      <c r="AF45" s="40"/>
      <c r="AG45" s="73">
        <v>20.0</v>
      </c>
      <c r="AH45" s="50">
        <v>0.0</v>
      </c>
      <c r="AI45" s="74">
        <v>0.1</v>
      </c>
      <c r="AJ45" s="50">
        <f t="shared" ref="AJ45:AL45" si="54">AG45-M45</f>
        <v>0</v>
      </c>
      <c r="AK45" s="50">
        <f t="shared" si="54"/>
        <v>0</v>
      </c>
      <c r="AL45" s="50">
        <f t="shared" si="54"/>
        <v>0</v>
      </c>
    </row>
    <row r="46">
      <c r="A46" s="6" t="s">
        <v>72</v>
      </c>
      <c r="B46" s="11">
        <v>44713.0</v>
      </c>
      <c r="C46" s="50"/>
      <c r="D46" s="72">
        <v>16.0</v>
      </c>
      <c r="E46" s="50">
        <f t="array" ref="E46">IF(OR(ISBLANK($A46),C46),IFERROR(0/0,""),INDEX('RFR Data - preExcl'!E$2:E179,$R46,1))</f>
        <v>15</v>
      </c>
      <c r="F46" s="50">
        <f t="array" ref="F46">IF(OR(ISBLANK($A46),$C46),IFERROR(0/0,""),INDEX('RFR Data - preExcl'!Z$2:Z179,$R46,1))</f>
        <v>18</v>
      </c>
      <c r="G46" s="50">
        <f t="array" ref="G46">IF(OR(ISBLANK(A46),C46),IFERROR(0/0,""),INDEX('RFR Data - preExcl'!AC$2:AC179,$R46,1))</f>
        <v>16</v>
      </c>
      <c r="H46" s="50">
        <f t="array" ref="H46">IF(OR(ISBLANK(A46),C46),IFERROR(0/0,""),INDEX('RFR Data - preExcl'!AK$2:AK179,$R46,1))</f>
        <v>16</v>
      </c>
      <c r="I46" s="50">
        <f t="array" ref="I46">IF(OR(ISBLANK(A46),C46),IFERROR(0/0,""),INDEX('RFR Data - preExcl'!AL$2:AL179,$R46,1))</f>
        <v>0</v>
      </c>
      <c r="J46" s="50">
        <f>IFERROR(VLOOKUP($B46,'APS Tubes by Date Import'!$B$2:$J179,2,FALSE),"")</f>
        <v>16</v>
      </c>
      <c r="K46" s="50" t="b">
        <f>IFERROR(VLOOKUP($B46,'APS Tubes by Date Import'!$B$2:$J179,9,FALSE),"")</f>
        <v>1</v>
      </c>
      <c r="L46" s="50">
        <f>IFNA(VLOOKUP($B46,'APS Tubes by Date Import'!$B$2:$J179,6,FALSE),"")</f>
        <v>0</v>
      </c>
      <c r="M46" s="73">
        <f t="shared" si="13"/>
        <v>16</v>
      </c>
      <c r="N46" s="50">
        <f t="shared" si="3"/>
        <v>0</v>
      </c>
      <c r="O46" s="74">
        <v>0.1</v>
      </c>
      <c r="P46" s="75" t="b">
        <f t="shared" si="4"/>
        <v>1</v>
      </c>
      <c r="Q46" s="76" t="s">
        <v>134</v>
      </c>
      <c r="R46" s="77">
        <f>IFNA(MATCH(A46,'RFR Data - preExcl'!A$2:A179,0),"")</f>
        <v>53</v>
      </c>
      <c r="S46" s="40"/>
      <c r="T46" s="19" t="str">
        <f>IF(EXACT('RFR Data - preExcl'!W46,"Initial"),'RFR Data - preExcl'!A46,IFERROR(0/0,""))</f>
        <v>RUN-COMB_2022-05-25_RFR-045</v>
      </c>
      <c r="U46" s="7">
        <f>IF(EXACT('RFR Data - preExcl'!W46,"Initial"),'RFR Data - preExcl'!U46,IFERROR(0/0,""))</f>
        <v>44706</v>
      </c>
      <c r="X46" s="40"/>
      <c r="Y46" s="100"/>
      <c r="Z46" s="50"/>
      <c r="AA46" s="50"/>
      <c r="AC46" s="40"/>
      <c r="AF46" s="40"/>
      <c r="AG46" s="73">
        <v>16.0</v>
      </c>
      <c r="AH46" s="50">
        <v>0.0</v>
      </c>
      <c r="AI46" s="74">
        <v>0.1</v>
      </c>
      <c r="AJ46" s="50">
        <f t="shared" ref="AJ46:AL46" si="55">AG46-M46</f>
        <v>0</v>
      </c>
      <c r="AK46" s="50">
        <f t="shared" si="55"/>
        <v>0</v>
      </c>
      <c r="AL46" s="50">
        <f t="shared" si="55"/>
        <v>0</v>
      </c>
    </row>
    <row r="47">
      <c r="A47" s="6" t="s">
        <v>73</v>
      </c>
      <c r="B47" s="11">
        <v>44714.0</v>
      </c>
      <c r="C47" s="50"/>
      <c r="D47" s="72">
        <v>31.0</v>
      </c>
      <c r="E47" s="50">
        <f t="array" ref="E47">IF(OR(ISBLANK($A47),C47),IFERROR(0/0,""),INDEX('RFR Data - preExcl'!E$2:E179,$R47,1))</f>
        <v>31</v>
      </c>
      <c r="F47" s="50">
        <f t="array" ref="F47">IF(OR(ISBLANK($A47),$C47),IFERROR(0/0,""),INDEX('RFR Data - preExcl'!Z$2:Z179,$R47,1))</f>
        <v>33</v>
      </c>
      <c r="G47" s="50">
        <f t="array" ref="G47">IF(OR(ISBLANK(A47),C47),IFERROR(0/0,""),INDEX('RFR Data - preExcl'!AC$2:AC179,$R47,1))</f>
        <v>31</v>
      </c>
      <c r="H47" s="50">
        <f t="array" ref="H47">IF(OR(ISBLANK(A47),C47),IFERROR(0/0,""),INDEX('RFR Data - preExcl'!AK$2:AK179,$R47,1))</f>
        <v>31</v>
      </c>
      <c r="I47" s="50">
        <f t="array" ref="I47">IF(OR(ISBLANK(A47),C47),IFERROR(0/0,""),INDEX('RFR Data - preExcl'!AL$2:AL179,$R47,1))</f>
        <v>0</v>
      </c>
      <c r="J47" s="50">
        <f>IFERROR(VLOOKUP($B47,'APS Tubes by Date Import'!$B$2:$J179,2,FALSE),"")</f>
        <v>31</v>
      </c>
      <c r="K47" s="50" t="b">
        <f>IFERROR(VLOOKUP($B47,'APS Tubes by Date Import'!$B$2:$J179,9,FALSE),"")</f>
        <v>1</v>
      </c>
      <c r="L47" s="50">
        <f>IFNA(VLOOKUP($B47,'APS Tubes by Date Import'!$B$2:$J179,6,FALSE),"")</f>
        <v>0</v>
      </c>
      <c r="M47" s="73">
        <f t="shared" si="13"/>
        <v>31</v>
      </c>
      <c r="N47" s="50">
        <f t="shared" si="3"/>
        <v>0</v>
      </c>
      <c r="O47" s="74">
        <v>0.1</v>
      </c>
      <c r="P47" s="75" t="b">
        <f t="shared" si="4"/>
        <v>1</v>
      </c>
      <c r="Q47" s="84" t="str">
        <f t="shared" ref="Q47:Q48" si="57">IFS(OR(O47=0.1,O47=1.1,O47=2.1),"NULL &gt; NEG",O47=3, "Delete NULL",TRUE,IFERROR(0/0,""))</f>
        <v>NULL &gt; NEG</v>
      </c>
      <c r="R47" s="77">
        <f>IFNA(MATCH(A47,'RFR Data - preExcl'!A$2:A179,0),"")</f>
        <v>54</v>
      </c>
      <c r="S47" s="40"/>
      <c r="T47" s="19" t="str">
        <f>IF(EXACT('RFR Data - preExcl'!W47,"Initial"),'RFR Data - preExcl'!A47,IFERROR(0/0,""))</f>
        <v/>
      </c>
      <c r="U47" s="7" t="str">
        <f>IF(EXACT('RFR Data - preExcl'!W47,"Initial"),'RFR Data - preExcl'!U47,IFERROR(0/0,""))</f>
        <v/>
      </c>
      <c r="X47" s="40"/>
      <c r="Y47" s="100"/>
      <c r="Z47" s="50"/>
      <c r="AA47" s="50"/>
      <c r="AC47" s="40"/>
      <c r="AF47" s="40"/>
      <c r="AG47" s="73">
        <v>31.0</v>
      </c>
      <c r="AH47" s="50">
        <v>0.0</v>
      </c>
      <c r="AI47" s="74">
        <v>0.1</v>
      </c>
      <c r="AJ47" s="50">
        <f t="shared" ref="AJ47:AL47" si="56">AG47-M47</f>
        <v>0</v>
      </c>
      <c r="AK47" s="50">
        <f t="shared" si="56"/>
        <v>0</v>
      </c>
      <c r="AL47" s="50">
        <f t="shared" si="56"/>
        <v>0</v>
      </c>
    </row>
    <row r="48">
      <c r="A48" s="6" t="s">
        <v>74</v>
      </c>
      <c r="B48" s="11">
        <v>44715.0</v>
      </c>
      <c r="C48" s="50"/>
      <c r="D48" s="72">
        <v>23.0</v>
      </c>
      <c r="E48" s="50">
        <f t="array" ref="E48">IF(OR(ISBLANK($A48),C48),IFERROR(0/0,""),INDEX('RFR Data - preExcl'!E$2:E179,$R48,1))</f>
        <v>23</v>
      </c>
      <c r="F48" s="50">
        <f t="array" ref="F48">IF(OR(ISBLANK($A48),$C48),IFERROR(0/0,""),INDEX('RFR Data - preExcl'!Z$2:Z179,$R48,1))</f>
        <v>25</v>
      </c>
      <c r="G48" s="50">
        <f t="array" ref="G48">IF(OR(ISBLANK(A48),C48),IFERROR(0/0,""),INDEX('RFR Data - preExcl'!AC$2:AC179,$R48,1))</f>
        <v>23</v>
      </c>
      <c r="H48" s="50">
        <f t="array" ref="H48">IF(OR(ISBLANK(A48),C48),IFERROR(0/0,""),INDEX('RFR Data - preExcl'!AK$2:AK179,$R48,1))</f>
        <v>23</v>
      </c>
      <c r="I48" s="50">
        <f t="array" ref="I48">IF(OR(ISBLANK(A48),C48),IFERROR(0/0,""),INDEX('RFR Data - preExcl'!AL$2:AL179,$R48,1))</f>
        <v>0</v>
      </c>
      <c r="J48" s="50">
        <f>IFERROR(VLOOKUP($B48,'APS Tubes by Date Import'!$B$2:$J179,2,FALSE),"")</f>
        <v>23</v>
      </c>
      <c r="K48" s="50" t="b">
        <f>IFERROR(VLOOKUP($B48,'APS Tubes by Date Import'!$B$2:$J179,9,FALSE),"")</f>
        <v>1</v>
      </c>
      <c r="L48" s="50">
        <f>IFNA(VLOOKUP($B48,'APS Tubes by Date Import'!$B$2:$J179,6,FALSE),"")</f>
        <v>0</v>
      </c>
      <c r="M48" s="73">
        <f t="shared" si="13"/>
        <v>23</v>
      </c>
      <c r="N48" s="50">
        <f t="shared" si="3"/>
        <v>0</v>
      </c>
      <c r="O48" s="74">
        <v>0.1</v>
      </c>
      <c r="P48" s="75" t="b">
        <f t="shared" si="4"/>
        <v>1</v>
      </c>
      <c r="Q48" s="84" t="str">
        <f t="shared" si="57"/>
        <v>NULL &gt; NEG</v>
      </c>
      <c r="R48" s="77">
        <f>IFNA(MATCH(A48,'RFR Data - preExcl'!A$2:A179,0),"")</f>
        <v>55</v>
      </c>
      <c r="S48" s="40"/>
      <c r="T48" s="19" t="str">
        <f>IF(EXACT('RFR Data - preExcl'!W48,"Initial"),'RFR Data - preExcl'!A48,IFERROR(0/0,""))</f>
        <v>RUN-COMB_2022-05-26_RFR-047</v>
      </c>
      <c r="U48" s="7">
        <f>IF(EXACT('RFR Data - preExcl'!W48,"Initial"),'RFR Data - preExcl'!U48,IFERROR(0/0,""))</f>
        <v>44707</v>
      </c>
      <c r="X48" s="40"/>
      <c r="Y48" s="100"/>
      <c r="Z48" s="50"/>
      <c r="AA48" s="50"/>
      <c r="AC48" s="40"/>
      <c r="AF48" s="40"/>
      <c r="AG48" s="73">
        <v>23.0</v>
      </c>
      <c r="AH48" s="50">
        <v>0.0</v>
      </c>
      <c r="AI48" s="74">
        <v>0.1</v>
      </c>
      <c r="AJ48" s="50">
        <f t="shared" ref="AJ48:AL48" si="58">AG48-M48</f>
        <v>0</v>
      </c>
      <c r="AK48" s="50">
        <f t="shared" si="58"/>
        <v>0</v>
      </c>
      <c r="AL48" s="50">
        <f t="shared" si="58"/>
        <v>0</v>
      </c>
    </row>
    <row r="49">
      <c r="A49" s="6" t="s">
        <v>75</v>
      </c>
      <c r="B49" s="11">
        <v>44718.0</v>
      </c>
      <c r="C49" s="50"/>
      <c r="D49" s="72">
        <v>30.0</v>
      </c>
      <c r="E49" s="50">
        <f t="array" ref="E49">IF(OR(ISBLANK($A49),C49),IFERROR(0/0,""),INDEX('RFR Data - preExcl'!E$2:E179,$R49,1))</f>
        <v>30</v>
      </c>
      <c r="F49" s="50">
        <f t="array" ref="F49">IF(OR(ISBLANK($A49),$C49),IFERROR(0/0,""),INDEX('RFR Data - preExcl'!Z$2:Z179,$R49,1))</f>
        <v>32</v>
      </c>
      <c r="G49" s="50">
        <f t="array" ref="G49">IF(OR(ISBLANK(A49),C49),IFERROR(0/0,""),INDEX('RFR Data - preExcl'!AC$2:AC179,$R49,1))</f>
        <v>30</v>
      </c>
      <c r="H49" s="50">
        <f t="array" ref="H49">IF(OR(ISBLANK(A49),C49),IFERROR(0/0,""),INDEX('RFR Data - preExcl'!AK$2:AK179,$R49,1))</f>
        <v>30</v>
      </c>
      <c r="I49" s="50">
        <f t="array" ref="I49">IF(OR(ISBLANK(A49),C49),IFERROR(0/0,""),INDEX('RFR Data - preExcl'!AL$2:AL179,$R49,1))</f>
        <v>4</v>
      </c>
      <c r="J49" s="50">
        <f>IFERROR(VLOOKUP($B49,'APS Tubes by Date Import'!$B$2:$J179,2,FALSE),"")</f>
        <v>2</v>
      </c>
      <c r="K49" s="50" t="b">
        <f>IFERROR(VLOOKUP($B49,'APS Tubes by Date Import'!$B$2:$J179,9,FALSE),"")</f>
        <v>1</v>
      </c>
      <c r="L49" s="50">
        <f>IFNA(VLOOKUP($B49,'APS Tubes by Date Import'!$B$2:$J179,6,FALSE),"")</f>
        <v>0</v>
      </c>
      <c r="M49" s="73">
        <f t="shared" si="13"/>
        <v>30</v>
      </c>
      <c r="N49" s="50">
        <f t="shared" si="3"/>
        <v>28</v>
      </c>
      <c r="O49" s="101">
        <v>4.9</v>
      </c>
      <c r="P49" s="75" t="b">
        <f t="shared" si="4"/>
        <v>1</v>
      </c>
      <c r="Q49" s="102" t="s">
        <v>135</v>
      </c>
      <c r="R49" s="77">
        <f>IFNA(MATCH(A49,'RFR Data - preExcl'!A$2:A179,0),"")</f>
        <v>56</v>
      </c>
      <c r="S49" s="40"/>
      <c r="T49" s="19" t="str">
        <f>IF(EXACT('RFR Data - preExcl'!W49,"Initial"),'RFR Data - preExcl'!A49,IFERROR(0/0,""))</f>
        <v>RUN-COMB_2022-05-27_RFR-048</v>
      </c>
      <c r="U49" s="7">
        <f>IF(EXACT('RFR Data - preExcl'!W49,"Initial"),'RFR Data - preExcl'!U49,IFERROR(0/0,""))</f>
        <v>44708</v>
      </c>
      <c r="X49" s="40"/>
      <c r="Y49" s="100"/>
      <c r="Z49" s="50"/>
      <c r="AA49" s="50"/>
      <c r="AC49" s="40"/>
      <c r="AF49" s="40"/>
      <c r="AG49" s="73">
        <v>30.0</v>
      </c>
      <c r="AH49" s="50">
        <v>28.0</v>
      </c>
      <c r="AI49" s="101">
        <v>4.9</v>
      </c>
      <c r="AJ49" s="50">
        <f t="shared" ref="AJ49:AL49" si="59">AG49-M49</f>
        <v>0</v>
      </c>
      <c r="AK49" s="50">
        <f t="shared" si="59"/>
        <v>0</v>
      </c>
      <c r="AL49" s="50">
        <f t="shared" si="59"/>
        <v>0</v>
      </c>
    </row>
    <row r="50">
      <c r="A50" s="91" t="s">
        <v>76</v>
      </c>
      <c r="B50" s="92">
        <v>44719.0</v>
      </c>
      <c r="C50" s="50"/>
      <c r="D50" s="72">
        <v>16.0</v>
      </c>
      <c r="E50" s="50">
        <f t="array" ref="E50">IF(OR(ISBLANK($A50),C50),IFERROR(0/0,""),INDEX('RFR Data - preExcl'!E$2:E179,$R50,1))</f>
        <v>16</v>
      </c>
      <c r="F50" s="50">
        <f t="array" ref="F50">IF(OR(ISBLANK($A50),$C50),IFERROR(0/0,""),INDEX('RFR Data - preExcl'!Z$2:Z179,$R50,1))</f>
        <v>18</v>
      </c>
      <c r="G50" s="50">
        <f t="array" ref="G50">IF(OR(ISBLANK(A50),C50),IFERROR(0/0,""),INDEX('RFR Data - preExcl'!AC$2:AC179,$R50,1))</f>
        <v>16</v>
      </c>
      <c r="H50" s="50">
        <f t="array" ref="H50">IF(OR(ISBLANK(A50),C50),IFERROR(0/0,""),INDEX('RFR Data - preExcl'!AK$2:AK179,$R50,1))</f>
        <v>16</v>
      </c>
      <c r="I50" s="50">
        <f t="array" ref="I50">IF(OR(ISBLANK(A50),C50),IFERROR(0/0,""),INDEX('RFR Data - preExcl'!AL$2:AL179,$R50,1))</f>
        <v>0</v>
      </c>
      <c r="J50" s="50">
        <f>IFERROR(VLOOKUP($B50,'APS Tubes by Date Import'!$B$2:$J179,2,FALSE),"")</f>
        <v>16</v>
      </c>
      <c r="K50" s="50" t="b">
        <f>IFERROR(VLOOKUP($B50,'APS Tubes by Date Import'!$B$2:$J179,9,FALSE),"")</f>
        <v>1</v>
      </c>
      <c r="L50" s="50">
        <f>IFNA(VLOOKUP($B50,'APS Tubes by Date Import'!$B$2:$J179,6,FALSE),"")</f>
        <v>0</v>
      </c>
      <c r="M50" s="73">
        <f t="shared" si="13"/>
        <v>16</v>
      </c>
      <c r="N50" s="50">
        <f t="shared" si="3"/>
        <v>0</v>
      </c>
      <c r="O50" s="74">
        <v>0.1</v>
      </c>
      <c r="P50" s="75" t="b">
        <f t="shared" si="4"/>
        <v>1</v>
      </c>
      <c r="Q50" s="84" t="str">
        <f t="shared" ref="Q50:Q51" si="61">IFS(OR(O50=0.1,O50=1.1,O50=2.1),"NULL &gt; NEG",O50=3, "Delete NULL",TRUE,IFERROR(0/0,""))</f>
        <v>NULL &gt; NEG</v>
      </c>
      <c r="R50" s="77">
        <f>IFNA(MATCH(A50,'RFR Data - preExcl'!A$2:A179,0),"")</f>
        <v>58</v>
      </c>
      <c r="S50" s="40"/>
      <c r="T50" s="19" t="str">
        <f>IF(EXACT('RFR Data - preExcl'!W50,"Initial"),'RFR Data - preExcl'!A50,IFERROR(0/0,""))</f>
        <v>RUN-COMB_2022-05-28_RFR-049</v>
      </c>
      <c r="U50" s="7">
        <f>IF(EXACT('RFR Data - preExcl'!W50,"Initial"),'RFR Data - preExcl'!U50,IFERROR(0/0,""))</f>
        <v>44709</v>
      </c>
      <c r="X50" s="40"/>
      <c r="Y50" s="100"/>
      <c r="Z50" s="50"/>
      <c r="AA50" s="50"/>
      <c r="AC50" s="40"/>
      <c r="AF50" s="40"/>
      <c r="AG50" s="73">
        <v>16.0</v>
      </c>
      <c r="AH50" s="50">
        <v>0.0</v>
      </c>
      <c r="AI50" s="74">
        <v>0.1</v>
      </c>
      <c r="AJ50" s="50">
        <f t="shared" ref="AJ50:AL50" si="60">AG50-M50</f>
        <v>0</v>
      </c>
      <c r="AK50" s="50">
        <f t="shared" si="60"/>
        <v>0</v>
      </c>
      <c r="AL50" s="50">
        <f t="shared" si="60"/>
        <v>0</v>
      </c>
    </row>
    <row r="51">
      <c r="A51" s="6" t="s">
        <v>77</v>
      </c>
      <c r="B51" s="11">
        <v>44720.0</v>
      </c>
      <c r="C51" s="50"/>
      <c r="D51" s="72">
        <v>17.0</v>
      </c>
      <c r="E51" s="50">
        <f t="array" ref="E51">IF(OR(ISBLANK($A51),C51),IFERROR(0/0,""),INDEX('RFR Data - preExcl'!E$2:E179,$R51,1))</f>
        <v>17</v>
      </c>
      <c r="F51" s="50">
        <f t="array" ref="F51">IF(OR(ISBLANK($A51),$C51),IFERROR(0/0,""),INDEX('RFR Data - preExcl'!Z$2:Z179,$R51,1))</f>
        <v>19</v>
      </c>
      <c r="G51" s="50">
        <f t="array" ref="G51">IF(OR(ISBLANK(A51),C51),IFERROR(0/0,""),INDEX('RFR Data - preExcl'!AC$2:AC179,$R51,1))</f>
        <v>17</v>
      </c>
      <c r="H51" s="50">
        <f t="array" ref="H51">IF(OR(ISBLANK(A51),C51),IFERROR(0/0,""),INDEX('RFR Data - preExcl'!AK$2:AK179,$R51,1))</f>
        <v>17</v>
      </c>
      <c r="I51" s="50">
        <f t="array" ref="I51">IF(OR(ISBLANK(A51),C51),IFERROR(0/0,""),INDEX('RFR Data - preExcl'!AL$2:AL179,$R51,1))</f>
        <v>0</v>
      </c>
      <c r="J51" s="50">
        <f>IFERROR(VLOOKUP($B51,'APS Tubes by Date Import'!$B$2:$J179,2,FALSE),"")</f>
        <v>17</v>
      </c>
      <c r="K51" s="50" t="b">
        <f>IFERROR(VLOOKUP($B51,'APS Tubes by Date Import'!$B$2:$J179,9,FALSE),"")</f>
        <v>1</v>
      </c>
      <c r="L51" s="50">
        <f>IFNA(VLOOKUP($B51,'APS Tubes by Date Import'!$B$2:$J179,6,FALSE),"")</f>
        <v>0</v>
      </c>
      <c r="M51" s="73">
        <f t="shared" si="13"/>
        <v>17</v>
      </c>
      <c r="N51" s="50">
        <f t="shared" si="3"/>
        <v>0</v>
      </c>
      <c r="O51" s="74">
        <v>0.1</v>
      </c>
      <c r="P51" s="75" t="b">
        <f t="shared" si="4"/>
        <v>1</v>
      </c>
      <c r="Q51" s="84" t="str">
        <f t="shared" si="61"/>
        <v>NULL &gt; NEG</v>
      </c>
      <c r="R51" s="77">
        <f>IFNA(MATCH(A51,'RFR Data - preExcl'!A$2:A179,0),"")</f>
        <v>59</v>
      </c>
      <c r="S51" s="40"/>
      <c r="T51" s="19" t="str">
        <f>IF(EXACT('RFR Data - preExcl'!W51,"Initial"),'RFR Data - preExcl'!A51,IFERROR(0/0,""))</f>
        <v>RUN-COMB_2022-05-29_RFR-050</v>
      </c>
      <c r="U51" s="7">
        <f>IF(EXACT('RFR Data - preExcl'!W51,"Initial"),'RFR Data - preExcl'!U51,IFERROR(0/0,""))</f>
        <v>44710</v>
      </c>
      <c r="X51" s="40"/>
      <c r="Y51" s="100"/>
      <c r="Z51" s="50"/>
      <c r="AA51" s="50"/>
      <c r="AC51" s="40"/>
      <c r="AF51" s="40"/>
      <c r="AG51" s="73">
        <v>17.0</v>
      </c>
      <c r="AH51" s="50">
        <v>0.0</v>
      </c>
      <c r="AI51" s="74">
        <v>0.1</v>
      </c>
      <c r="AJ51" s="50">
        <f t="shared" ref="AJ51:AL51" si="62">AG51-M51</f>
        <v>0</v>
      </c>
      <c r="AK51" s="50">
        <f t="shared" si="62"/>
        <v>0</v>
      </c>
      <c r="AL51" s="50">
        <f t="shared" si="62"/>
        <v>0</v>
      </c>
    </row>
    <row r="52">
      <c r="A52" s="6" t="s">
        <v>78</v>
      </c>
      <c r="B52" s="11">
        <v>44721.0</v>
      </c>
      <c r="C52" s="50"/>
      <c r="D52" s="72">
        <v>42.0</v>
      </c>
      <c r="E52" s="50">
        <f t="array" ref="E52">IF(OR(ISBLANK($A52),C52),IFERROR(0/0,""),INDEX('RFR Data - preExcl'!E$2:E179,$R52,1))</f>
        <v>42</v>
      </c>
      <c r="F52" s="50">
        <f t="array" ref="F52">IF(OR(ISBLANK($A52),$C52),IFERROR(0/0,""),INDEX('RFR Data - preExcl'!Z$2:Z179,$R52,1))</f>
        <v>44</v>
      </c>
      <c r="G52" s="50">
        <f t="array" ref="G52">IF(OR(ISBLANK(A52),C52),IFERROR(0/0,""),INDEX('RFR Data - preExcl'!AC$2:AC179,$R52,1))</f>
        <v>42</v>
      </c>
      <c r="H52" s="50">
        <f t="array" ref="H52">IF(OR(ISBLANK(A52),C52),IFERROR(0/0,""),INDEX('RFR Data - preExcl'!AK$2:AK179,$R52,1))</f>
        <v>42</v>
      </c>
      <c r="I52" s="50">
        <f t="array" ref="I52">IF(OR(ISBLANK(A52),C52),IFERROR(0/0,""),INDEX('RFR Data - preExcl'!AL$2:AL179,$R52,1))</f>
        <v>4</v>
      </c>
      <c r="J52" s="50">
        <f>IFERROR(VLOOKUP($B52,'APS Tubes by Date Import'!$B$2:$J179,2,FALSE),"")</f>
        <v>20</v>
      </c>
      <c r="K52" s="50" t="b">
        <f>IFERROR(VLOOKUP($B52,'APS Tubes by Date Import'!$B$2:$J179,9,FALSE),"")</f>
        <v>1</v>
      </c>
      <c r="L52" s="50">
        <f>IFNA(VLOOKUP($B52,'APS Tubes by Date Import'!$B$2:$J179,6,FALSE),"")</f>
        <v>0</v>
      </c>
      <c r="M52" s="73">
        <f t="shared" si="13"/>
        <v>42</v>
      </c>
      <c r="N52" s="50">
        <f t="shared" si="3"/>
        <v>22</v>
      </c>
      <c r="O52" s="74">
        <v>4.9</v>
      </c>
      <c r="P52" s="75" t="b">
        <f t="shared" si="4"/>
        <v>1</v>
      </c>
      <c r="Q52" s="84" t="s">
        <v>136</v>
      </c>
      <c r="R52" s="77">
        <f>IFNA(MATCH(A52,'RFR Data - preExcl'!A$2:A179,0),"")</f>
        <v>60</v>
      </c>
      <c r="S52" s="40"/>
      <c r="T52" s="19" t="str">
        <f>IF(EXACT('RFR Data - preExcl'!W52,"Initial"),'RFR Data - preExcl'!A52,IFERROR(0/0,""))</f>
        <v>RUN-COMB_2022-05-30_RFR-051</v>
      </c>
      <c r="U52" s="7">
        <f>IF(EXACT('RFR Data - preExcl'!W52,"Initial"),'RFR Data - preExcl'!U52,IFERROR(0/0,""))</f>
        <v>44711</v>
      </c>
      <c r="X52" s="40"/>
      <c r="Y52" s="100"/>
      <c r="Z52" s="50"/>
      <c r="AA52" s="50"/>
      <c r="AC52" s="40"/>
      <c r="AF52" s="40"/>
      <c r="AG52" s="73">
        <v>42.0</v>
      </c>
      <c r="AH52" s="50">
        <v>22.0</v>
      </c>
      <c r="AI52" s="74">
        <v>4.9</v>
      </c>
      <c r="AJ52" s="50">
        <f t="shared" ref="AJ52:AL52" si="63">AG52-M52</f>
        <v>0</v>
      </c>
      <c r="AK52" s="50">
        <f t="shared" si="63"/>
        <v>0</v>
      </c>
      <c r="AL52" s="50">
        <f t="shared" si="63"/>
        <v>0</v>
      </c>
    </row>
    <row r="53">
      <c r="A53" s="6" t="s">
        <v>80</v>
      </c>
      <c r="B53" s="11">
        <v>44739.0</v>
      </c>
      <c r="C53" s="50"/>
      <c r="D53" s="72">
        <v>22.0</v>
      </c>
      <c r="E53" s="50">
        <f t="array" ref="E53">IF(OR(ISBLANK($A53),C53),IFERROR(0/0,""),INDEX('RFR Data - preExcl'!E$2:E179,$R53,1))</f>
        <v>22</v>
      </c>
      <c r="F53" s="50">
        <f t="array" ref="F53">IF(OR(ISBLANK($A53),$C53),IFERROR(0/0,""),INDEX('RFR Data - preExcl'!Z$2:Z179,$R53,1))</f>
        <v>26</v>
      </c>
      <c r="G53" s="50">
        <f t="array" ref="G53">IF(OR(ISBLANK(A53),C53),IFERROR(0/0,""),INDEX('RFR Data - preExcl'!AC$2:AC179,$R53,1))</f>
        <v>24</v>
      </c>
      <c r="H53" s="50">
        <f t="array" ref="H53">IF(OR(ISBLANK(A53),C53),IFERROR(0/0,""),INDEX('RFR Data - preExcl'!AK$2:AK179,$R53,1))</f>
        <v>24</v>
      </c>
      <c r="I53" s="50">
        <f t="array" ref="I53">IF(OR(ISBLANK(A53),C53),IFERROR(0/0,""),INDEX('RFR Data - preExcl'!AL$2:AL179,$R53,1))</f>
        <v>4</v>
      </c>
      <c r="J53" s="50">
        <f>IFERROR(VLOOKUP($B53,'APS Tubes by Date Import'!$B$2:$J179,2,FALSE),"")</f>
        <v>24</v>
      </c>
      <c r="K53" s="50" t="b">
        <f>IFERROR(VLOOKUP($B53,'APS Tubes by Date Import'!$B$2:$J179,9,FALSE),"")</f>
        <v>1</v>
      </c>
      <c r="L53" s="50">
        <f>IFNA(VLOOKUP($B53,'APS Tubes by Date Import'!$B$2:$J179,6,FALSE),"")</f>
        <v>0</v>
      </c>
      <c r="M53" s="73">
        <f t="shared" si="13"/>
        <v>24</v>
      </c>
      <c r="N53" s="50">
        <f t="shared" si="3"/>
        <v>0</v>
      </c>
      <c r="O53" s="103">
        <v>0.3</v>
      </c>
      <c r="P53" s="75" t="b">
        <f t="shared" si="4"/>
        <v>1</v>
      </c>
      <c r="Q53" s="102" t="s">
        <v>135</v>
      </c>
      <c r="R53" s="77">
        <f>IFNA(MATCH(A53,'RFR Data - preExcl'!A$2:A179,0),"")</f>
        <v>61</v>
      </c>
      <c r="S53" s="40"/>
      <c r="T53" s="19" t="str">
        <f>IF(EXACT('RFR Data - preExcl'!W53,"Initial"),'RFR Data - preExcl'!A53,IFERROR(0/0,""))</f>
        <v>RUN-COMB_2022-05-31_RFR-052</v>
      </c>
      <c r="U53" s="7">
        <f>IF(EXACT('RFR Data - preExcl'!W53,"Initial"),'RFR Data - preExcl'!U53,IFERROR(0/0,""))</f>
        <v>44712</v>
      </c>
      <c r="X53" s="40"/>
      <c r="Y53" s="100"/>
      <c r="Z53" s="50"/>
      <c r="AA53" s="50"/>
      <c r="AC53" s="40"/>
      <c r="AF53" s="40"/>
      <c r="AG53" s="73">
        <v>24.0</v>
      </c>
      <c r="AH53" s="50">
        <v>0.0</v>
      </c>
      <c r="AI53" s="103">
        <v>0.3</v>
      </c>
      <c r="AJ53" s="50">
        <f t="shared" ref="AJ53:AL53" si="64">AG53-M53</f>
        <v>0</v>
      </c>
      <c r="AK53" s="50">
        <f t="shared" si="64"/>
        <v>0</v>
      </c>
      <c r="AL53" s="50">
        <f t="shared" si="64"/>
        <v>0</v>
      </c>
    </row>
    <row r="54">
      <c r="A54" s="80" t="s">
        <v>81</v>
      </c>
      <c r="B54" s="104">
        <v>44740.0</v>
      </c>
      <c r="C54" s="50"/>
      <c r="D54" s="72">
        <v>25.0</v>
      </c>
      <c r="E54" s="50">
        <f t="array" ref="E54">IF(OR(ISBLANK($A54),C54),IFERROR(0/0,""),INDEX('RFR Data - preExcl'!E$2:E179,$R54,1))</f>
        <v>25</v>
      </c>
      <c r="F54" s="50">
        <f t="array" ref="F54">IF(OR(ISBLANK($A54),$C54),IFERROR(0/0,""),INDEX('RFR Data - preExcl'!Z$2:Z179,$R54,1))</f>
        <v>27</v>
      </c>
      <c r="G54" s="50">
        <f t="array" ref="G54">IF(OR(ISBLANK(A54),C54),IFERROR(0/0,""),INDEX('RFR Data - preExcl'!AC$2:AC179,$R54,1))</f>
        <v>25</v>
      </c>
      <c r="H54" s="50">
        <f t="array" ref="H54">IF(OR(ISBLANK(A54),C54),IFERROR(0/0,""),INDEX('RFR Data - preExcl'!AK$2:AK179,$R54,1))</f>
        <v>25</v>
      </c>
      <c r="I54" s="50">
        <f t="array" ref="I54">IF(OR(ISBLANK(A54),C54),IFERROR(0/0,""),INDEX('RFR Data - preExcl'!AL$2:AL179,$R54,1))</f>
        <v>4</v>
      </c>
      <c r="J54" s="50">
        <f>IFERROR(VLOOKUP($B54,'APS Tubes by Date Import'!$B$2:$J179,2,FALSE),"")</f>
        <v>25</v>
      </c>
      <c r="K54" s="50" t="b">
        <f>IFERROR(VLOOKUP($B54,'APS Tubes by Date Import'!$B$2:$J179,9,FALSE),"")</f>
        <v>1</v>
      </c>
      <c r="L54" s="50">
        <f>IFNA(VLOOKUP($B54,'APS Tubes by Date Import'!$B$2:$J179,6,FALSE),"")</f>
        <v>0</v>
      </c>
      <c r="M54" s="73">
        <f t="shared" si="13"/>
        <v>25</v>
      </c>
      <c r="N54" s="50">
        <f t="shared" si="3"/>
        <v>0</v>
      </c>
      <c r="O54" s="103">
        <v>0.3</v>
      </c>
      <c r="P54" s="75" t="b">
        <f t="shared" si="4"/>
        <v>1</v>
      </c>
      <c r="Q54" s="105" t="s">
        <v>135</v>
      </c>
      <c r="R54" s="77">
        <f>IFNA(MATCH(A54,'RFR Data - preExcl'!A$2:A179,0),"")</f>
        <v>63</v>
      </c>
      <c r="S54" s="40"/>
      <c r="T54" s="19" t="str">
        <f>IF(EXACT('RFR Data - preExcl'!W54,"Initial"),'RFR Data - preExcl'!A54,IFERROR(0/0,""))</f>
        <v>RUN-COMB_2022-06-01_RFR-053</v>
      </c>
      <c r="U54" s="7">
        <f>IF(EXACT('RFR Data - preExcl'!W54,"Initial"),'RFR Data - preExcl'!U54,IFERROR(0/0,""))</f>
        <v>44713</v>
      </c>
      <c r="X54" s="40"/>
      <c r="Y54" s="100"/>
      <c r="Z54" s="50"/>
      <c r="AA54" s="50"/>
      <c r="AC54" s="40"/>
      <c r="AF54" s="40"/>
      <c r="AG54" s="73">
        <v>25.0</v>
      </c>
      <c r="AH54" s="50">
        <v>0.0</v>
      </c>
      <c r="AI54" s="103">
        <v>0.3</v>
      </c>
      <c r="AJ54" s="50">
        <f t="shared" ref="AJ54:AL54" si="65">AG54-M54</f>
        <v>0</v>
      </c>
      <c r="AK54" s="50">
        <f t="shared" si="65"/>
        <v>0</v>
      </c>
      <c r="AL54" s="50">
        <f t="shared" si="65"/>
        <v>0</v>
      </c>
    </row>
    <row r="55">
      <c r="A55" s="80" t="s">
        <v>82</v>
      </c>
      <c r="B55" s="104">
        <v>44741.0</v>
      </c>
      <c r="C55" s="50"/>
      <c r="D55" s="72">
        <v>17.0</v>
      </c>
      <c r="E55" s="50">
        <f t="array" ref="E55">IF(OR(ISBLANK($A55),C55),IFERROR(0/0,""),INDEX('RFR Data - preExcl'!E$2:E179,$R55,1))</f>
        <v>17</v>
      </c>
      <c r="F55" s="50">
        <f t="array" ref="F55">IF(OR(ISBLANK($A55),$C55),IFERROR(0/0,""),INDEX('RFR Data - preExcl'!Z$2:Z179,$R55,1))</f>
        <v>19</v>
      </c>
      <c r="G55" s="50">
        <f t="array" ref="G55">IF(OR(ISBLANK(A55),C55),IFERROR(0/0,""),INDEX('RFR Data - preExcl'!AC$2:AC179,$R55,1))</f>
        <v>17</v>
      </c>
      <c r="H55" s="50">
        <f t="array" ref="H55">IF(OR(ISBLANK(A55),C55),IFERROR(0/0,""),INDEX('RFR Data - preExcl'!AK$2:AK179,$R55,1))</f>
        <v>17</v>
      </c>
      <c r="I55" s="50">
        <f t="array" ref="I55">IF(OR(ISBLANK(A55),C55),IFERROR(0/0,""),INDEX('RFR Data - preExcl'!AL$2:AL179,$R55,1))</f>
        <v>0</v>
      </c>
      <c r="J55" s="50">
        <f>IFERROR(VLOOKUP($B55,'APS Tubes by Date Import'!$B$2:$J179,2,FALSE),"")</f>
        <v>17</v>
      </c>
      <c r="K55" s="50" t="b">
        <f>IFERROR(VLOOKUP($B55,'APS Tubes by Date Import'!$B$2:$J179,9,FALSE),"")</f>
        <v>1</v>
      </c>
      <c r="L55" s="50">
        <f>IFNA(VLOOKUP($B55,'APS Tubes by Date Import'!$B$2:$J179,6,FALSE),"")</f>
        <v>0</v>
      </c>
      <c r="M55" s="73">
        <f t="shared" si="13"/>
        <v>17</v>
      </c>
      <c r="N55" s="50">
        <f t="shared" si="3"/>
        <v>0</v>
      </c>
      <c r="O55" s="74">
        <v>0.1</v>
      </c>
      <c r="P55" s="75" t="b">
        <f t="shared" si="4"/>
        <v>1</v>
      </c>
      <c r="Q55" s="84" t="str">
        <f>IFS(OR(O55=0.1,O55=1.1,O55=2.1),"NULL &gt; NEG",O55=3, "Delete NULL",TRUE,IFERROR(0/0,""))</f>
        <v>NULL &gt; NEG</v>
      </c>
      <c r="R55" s="77">
        <f>IFNA(MATCH(A55,'RFR Data - preExcl'!A$2:A179,0),"")</f>
        <v>65</v>
      </c>
      <c r="S55" s="40"/>
      <c r="T55" s="19" t="str">
        <f>IF(EXACT('RFR Data - preExcl'!W55,"Initial"),'RFR Data - preExcl'!A55,IFERROR(0/0,""))</f>
        <v>RUN-COMB_2022-06-02_RFR-054</v>
      </c>
      <c r="U55" s="7">
        <f>IF(EXACT('RFR Data - preExcl'!W55,"Initial"),'RFR Data - preExcl'!U55,IFERROR(0/0,""))</f>
        <v>44714</v>
      </c>
      <c r="X55" s="40"/>
      <c r="Y55" s="100"/>
      <c r="Z55" s="50"/>
      <c r="AA55" s="50"/>
      <c r="AC55" s="40"/>
      <c r="AF55" s="40"/>
      <c r="AG55" s="73">
        <v>17.0</v>
      </c>
      <c r="AH55" s="50">
        <v>0.0</v>
      </c>
      <c r="AI55" s="74">
        <v>0.1</v>
      </c>
      <c r="AJ55" s="50">
        <f t="shared" ref="AJ55:AL55" si="66">AG55-M55</f>
        <v>0</v>
      </c>
      <c r="AK55" s="50">
        <f t="shared" si="66"/>
        <v>0</v>
      </c>
      <c r="AL55" s="50">
        <f t="shared" si="66"/>
        <v>0</v>
      </c>
    </row>
    <row r="56">
      <c r="A56" s="93" t="s">
        <v>84</v>
      </c>
      <c r="B56" s="94">
        <v>44742.0</v>
      </c>
      <c r="C56" s="95"/>
      <c r="D56" s="96">
        <v>35.0</v>
      </c>
      <c r="E56" s="95">
        <f t="array" ref="E56">IF(OR(ISBLANK($A56),C56),IFERROR(0/0,""),INDEX('RFR Data - preExcl'!E$2:E179,$R56,1))</f>
        <v>35</v>
      </c>
      <c r="F56" s="95">
        <f t="array" ref="F56">IF(OR(ISBLANK($A56),$C56),IFERROR(0/0,""),INDEX('RFR Data - preExcl'!Z$2:Z179,$R56,1))</f>
        <v>37</v>
      </c>
      <c r="G56" s="95">
        <f t="array" ref="G56">IF(OR(ISBLANK(A56),C56),IFERROR(0/0,""),INDEX('RFR Data - preExcl'!AC$2:AC179,$R56,1))</f>
        <v>35</v>
      </c>
      <c r="H56" s="95">
        <f t="array" ref="H56">IF(OR(ISBLANK(A56),C56),IFERROR(0/0,""),INDEX('RFR Data - preExcl'!AK$2:AK179,$R56,1))</f>
        <v>35</v>
      </c>
      <c r="I56" s="95">
        <f t="array" ref="I56">IF(OR(ISBLANK(A56),C56),IFERROR(0/0,""),INDEX('RFR Data - preExcl'!AL$2:AL179,$R56,1))</f>
        <v>4</v>
      </c>
      <c r="J56" s="95" t="str">
        <f>IFERROR(VLOOKUP($B56,'APS Tubes by Date Import'!$B$2:$J179,2,FALSE),"")</f>
        <v/>
      </c>
      <c r="K56" s="95" t="str">
        <f>IFERROR(VLOOKUP($B56,'APS Tubes by Date Import'!$B$2:$J179,9,FALSE),"")</f>
        <v/>
      </c>
      <c r="L56" s="95" t="str">
        <f>IFNA(VLOOKUP($B56,'APS Tubes by Date Import'!$B$2:$J179,6,FALSE),"")</f>
        <v/>
      </c>
      <c r="M56" s="73">
        <f t="shared" si="13"/>
        <v>35</v>
      </c>
      <c r="N56" s="50">
        <f t="shared" si="3"/>
        <v>35</v>
      </c>
      <c r="O56" s="74">
        <v>9.0</v>
      </c>
      <c r="P56" s="75" t="b">
        <f t="shared" si="4"/>
        <v>1</v>
      </c>
      <c r="Q56" s="106" t="s">
        <v>137</v>
      </c>
      <c r="R56" s="77">
        <f>IFNA(MATCH(A56,'RFR Data - preExcl'!A$2:A179,0),"")</f>
        <v>66</v>
      </c>
      <c r="S56" s="40"/>
      <c r="T56" s="19" t="str">
        <f>IF(EXACT('RFR Data - preExcl'!W56,"Initial"),'RFR Data - preExcl'!A56,IFERROR(0/0,""))</f>
        <v>RUN-COMB_2022-06-03_RFR-055</v>
      </c>
      <c r="U56" s="7">
        <f>IF(EXACT('RFR Data - preExcl'!W56,"Initial"),'RFR Data - preExcl'!U56,IFERROR(0/0,""))</f>
        <v>44715</v>
      </c>
      <c r="X56" s="40"/>
      <c r="Y56" s="100"/>
      <c r="Z56" s="50"/>
      <c r="AA56" s="50"/>
      <c r="AC56" s="40"/>
      <c r="AF56" s="40"/>
      <c r="AG56" s="73">
        <v>35.0</v>
      </c>
      <c r="AH56" s="50">
        <v>35.0</v>
      </c>
      <c r="AI56" s="74">
        <v>9.0</v>
      </c>
      <c r="AJ56" s="50">
        <f t="shared" ref="AJ56:AL56" si="67">AG56-M56</f>
        <v>0</v>
      </c>
      <c r="AK56" s="50">
        <f t="shared" si="67"/>
        <v>0</v>
      </c>
      <c r="AL56" s="50">
        <f t="shared" si="67"/>
        <v>0</v>
      </c>
    </row>
    <row r="57">
      <c r="A57" s="6" t="s">
        <v>83</v>
      </c>
      <c r="B57" s="11">
        <v>44743.0</v>
      </c>
      <c r="C57" s="50"/>
      <c r="D57" s="72">
        <v>24.0</v>
      </c>
      <c r="E57" s="50">
        <f t="array" ref="E57">IF(OR(ISBLANK($A57),C57),IFERROR(0/0,""),INDEX('RFR Data - preExcl'!E$2:E179,$R57,1))</f>
        <v>24</v>
      </c>
      <c r="F57" s="50">
        <f t="array" ref="F57">IF(OR(ISBLANK($A57),$C57),IFERROR(0/0,""),INDEX('RFR Data - preExcl'!Z$2:Z179,$R57,1))</f>
        <v>26</v>
      </c>
      <c r="G57" s="50">
        <f t="array" ref="G57">IF(OR(ISBLANK(A57),C57),IFERROR(0/0,""),INDEX('RFR Data - preExcl'!AC$2:AC179,$R57,1))</f>
        <v>24</v>
      </c>
      <c r="H57" s="50">
        <f t="array" ref="H57">IF(OR(ISBLANK(A57),C57),IFERROR(0/0,""),INDEX('RFR Data - preExcl'!AK$2:AK179,$R57,1))</f>
        <v>24</v>
      </c>
      <c r="I57" s="50">
        <f t="array" ref="I57">IF(OR(ISBLANK(A57),C57),IFERROR(0/0,""),INDEX('RFR Data - preExcl'!AL$2:AL179,$R57,1))</f>
        <v>4</v>
      </c>
      <c r="J57" s="50">
        <f>IFERROR(VLOOKUP($B57,'APS Tubes by Date Import'!$B$2:$J179,2,FALSE),"")</f>
        <v>24</v>
      </c>
      <c r="K57" s="50" t="b">
        <f>IFERROR(VLOOKUP($B57,'APS Tubes by Date Import'!$B$2:$J179,9,FALSE),"")</f>
        <v>1</v>
      </c>
      <c r="L57" s="50">
        <f>IFNA(VLOOKUP($B57,'APS Tubes by Date Import'!$B$2:$J179,6,FALSE),"")</f>
        <v>0</v>
      </c>
      <c r="M57" s="73">
        <f t="shared" si="13"/>
        <v>24</v>
      </c>
      <c r="N57" s="50">
        <f t="shared" si="3"/>
        <v>0</v>
      </c>
      <c r="O57" s="74">
        <v>10.0</v>
      </c>
      <c r="P57" s="75" t="b">
        <f t="shared" si="4"/>
        <v>1</v>
      </c>
      <c r="Q57" s="102" t="s">
        <v>138</v>
      </c>
      <c r="R57" s="77">
        <f>IFNA(MATCH(A57,'RFR Data - preExcl'!A$2:A179,0),"")</f>
        <v>68</v>
      </c>
      <c r="S57" s="40"/>
      <c r="T57" s="19" t="str">
        <f>IF(EXACT('RFR Data - preExcl'!W57,"Initial"),'RFR Data - preExcl'!A57,IFERROR(0/0,""))</f>
        <v>RUN-COMB_2022-06-06_RFR-056</v>
      </c>
      <c r="U57" s="7">
        <f>IF(EXACT('RFR Data - preExcl'!W57,"Initial"),'RFR Data - preExcl'!U57,IFERROR(0/0,""))</f>
        <v>44718</v>
      </c>
      <c r="X57" s="40"/>
      <c r="Y57" s="100"/>
      <c r="Z57" s="50"/>
      <c r="AA57" s="50"/>
      <c r="AC57" s="40"/>
      <c r="AF57" s="40"/>
      <c r="AG57" s="73">
        <v>24.0</v>
      </c>
      <c r="AH57" s="50">
        <v>0.0</v>
      </c>
      <c r="AI57" s="74">
        <v>10.0</v>
      </c>
      <c r="AJ57" s="50">
        <f t="shared" ref="AJ57:AL57" si="68">AG57-M57</f>
        <v>0</v>
      </c>
      <c r="AK57" s="50">
        <f t="shared" si="68"/>
        <v>0</v>
      </c>
      <c r="AL57" s="50">
        <f t="shared" si="68"/>
        <v>0</v>
      </c>
    </row>
    <row r="58">
      <c r="A58" s="6" t="s">
        <v>85</v>
      </c>
      <c r="B58" s="11">
        <v>44746.0</v>
      </c>
      <c r="C58" s="50"/>
      <c r="D58" s="72">
        <v>36.0</v>
      </c>
      <c r="E58" s="50">
        <f t="array" ref="E58">IF(OR(ISBLANK($A58),C58),IFERROR(0/0,""),INDEX('RFR Data - preExcl'!E$2:E179,$R58,1))</f>
        <v>36</v>
      </c>
      <c r="F58" s="50">
        <f t="array" ref="F58">IF(OR(ISBLANK($A58),$C58),IFERROR(0/0,""),INDEX('RFR Data - preExcl'!Z$2:Z179,$R58,1))</f>
        <v>38</v>
      </c>
      <c r="G58" s="50">
        <f t="array" ref="G58">IF(OR(ISBLANK(A58),C58),IFERROR(0/0,""),INDEX('RFR Data - preExcl'!AC$2:AC179,$R58,1))</f>
        <v>36</v>
      </c>
      <c r="H58" s="50">
        <f t="array" ref="H58">IF(OR(ISBLANK(A58),C58),IFERROR(0/0,""),INDEX('RFR Data - preExcl'!AK$2:AK179,$R58,1))</f>
        <v>36</v>
      </c>
      <c r="I58" s="50">
        <f t="array" ref="I58">IF(OR(ISBLANK(A58),C58),IFERROR(0/0,""),INDEX('RFR Data - preExcl'!AL$2:AL179,$R58,1))</f>
        <v>4</v>
      </c>
      <c r="J58" s="50">
        <f>IFERROR(VLOOKUP($B58,'APS Tubes by Date Import'!$B$2:$J179,2,FALSE),"")</f>
        <v>36</v>
      </c>
      <c r="K58" s="50" t="b">
        <f>IFERROR(VLOOKUP($B58,'APS Tubes by Date Import'!$B$2:$J179,9,FALSE),"")</f>
        <v>1</v>
      </c>
      <c r="L58" s="50">
        <f>IFNA(VLOOKUP($B58,'APS Tubes by Date Import'!$B$2:$J179,6,FALSE),"")</f>
        <v>0</v>
      </c>
      <c r="M58" s="73">
        <f t="shared" si="13"/>
        <v>36</v>
      </c>
      <c r="N58" s="50">
        <f t="shared" si="3"/>
        <v>0</v>
      </c>
      <c r="O58" s="74">
        <v>0.1</v>
      </c>
      <c r="P58" s="75" t="b">
        <f t="shared" si="4"/>
        <v>1</v>
      </c>
      <c r="Q58" s="84" t="str">
        <f t="shared" ref="Q58:Q60" si="70">IFS(OR(O58=0.1,O58=1.1,O58=2.1),"NULL &gt; NEG",O58=3, "Delete NULL",TRUE,IFERROR(0/0,""))</f>
        <v>NULL &gt; NEG</v>
      </c>
      <c r="R58" s="77">
        <f>IFNA(MATCH(A58,'RFR Data - preExcl'!A$2:A179,0),"")</f>
        <v>70</v>
      </c>
      <c r="S58" s="40"/>
      <c r="T58" s="19" t="str">
        <f>IF(EXACT('RFR Data - preExcl'!W58,"Initial"),'RFR Data - preExcl'!A58,IFERROR(0/0,""))</f>
        <v/>
      </c>
      <c r="U58" s="7" t="str">
        <f>IF(EXACT('RFR Data - preExcl'!W58,"Initial"),'RFR Data - preExcl'!U58,IFERROR(0/0,""))</f>
        <v/>
      </c>
      <c r="X58" s="40"/>
      <c r="Y58" s="100"/>
      <c r="Z58" s="50"/>
      <c r="AA58" s="50"/>
      <c r="AC58" s="40"/>
      <c r="AF58" s="40"/>
      <c r="AG58" s="73">
        <v>36.0</v>
      </c>
      <c r="AH58" s="50">
        <v>0.0</v>
      </c>
      <c r="AI58" s="74">
        <v>0.1</v>
      </c>
      <c r="AJ58" s="50">
        <f t="shared" ref="AJ58:AL58" si="69">AG58-M58</f>
        <v>0</v>
      </c>
      <c r="AK58" s="50">
        <f t="shared" si="69"/>
        <v>0</v>
      </c>
      <c r="AL58" s="50">
        <f t="shared" si="69"/>
        <v>0</v>
      </c>
    </row>
    <row r="59">
      <c r="A59" s="6" t="s">
        <v>86</v>
      </c>
      <c r="B59" s="11">
        <v>44747.0</v>
      </c>
      <c r="C59" s="50"/>
      <c r="D59" s="72">
        <v>19.0</v>
      </c>
      <c r="E59" s="50">
        <f t="array" ref="E59">IF(OR(ISBLANK($A59),C59),IFERROR(0/0,""),INDEX('RFR Data - preExcl'!E$2:E179,$R59,1))</f>
        <v>19</v>
      </c>
      <c r="F59" s="50">
        <f t="array" ref="F59">IF(OR(ISBLANK($A59),$C59),IFERROR(0/0,""),INDEX('RFR Data - preExcl'!Z$2:Z179,$R59,1))</f>
        <v>21</v>
      </c>
      <c r="G59" s="50">
        <f t="array" ref="G59">IF(OR(ISBLANK(A59),C59),IFERROR(0/0,""),INDEX('RFR Data - preExcl'!AC$2:AC179,$R59,1))</f>
        <v>19</v>
      </c>
      <c r="H59" s="50">
        <f t="array" ref="H59">IF(OR(ISBLANK(A59),C59),IFERROR(0/0,""),INDEX('RFR Data - preExcl'!AK$2:AK179,$R59,1))</f>
        <v>19</v>
      </c>
      <c r="I59" s="50">
        <f t="array" ref="I59">IF(OR(ISBLANK(A59),C59),IFERROR(0/0,""),INDEX('RFR Data - preExcl'!AL$2:AL179,$R59,1))</f>
        <v>0</v>
      </c>
      <c r="J59" s="50">
        <f>IFERROR(VLOOKUP($B59,'APS Tubes by Date Import'!$B$2:$J179,2,FALSE),"")</f>
        <v>19</v>
      </c>
      <c r="K59" s="50" t="b">
        <f>IFERROR(VLOOKUP($B59,'APS Tubes by Date Import'!$B$2:$J179,9,FALSE),"")</f>
        <v>1</v>
      </c>
      <c r="L59" s="50">
        <f>IFNA(VLOOKUP($B59,'APS Tubes by Date Import'!$B$2:$J179,6,FALSE),"")</f>
        <v>0</v>
      </c>
      <c r="M59" s="73">
        <f t="shared" si="13"/>
        <v>19</v>
      </c>
      <c r="N59" s="50">
        <f t="shared" si="3"/>
        <v>0</v>
      </c>
      <c r="O59" s="74">
        <v>0.1</v>
      </c>
      <c r="P59" s="75" t="b">
        <f t="shared" si="4"/>
        <v>1</v>
      </c>
      <c r="Q59" s="84" t="str">
        <f t="shared" si="70"/>
        <v>NULL &gt; NEG</v>
      </c>
      <c r="R59" s="77">
        <f>IFNA(MATCH(A59,'RFR Data - preExcl'!A$2:A179,0),"")</f>
        <v>71</v>
      </c>
      <c r="S59" s="40"/>
      <c r="T59" s="19" t="str">
        <f>IF(EXACT('RFR Data - preExcl'!W59,"Initial"),'RFR Data - preExcl'!A59,IFERROR(0/0,""))</f>
        <v>RUN-COMB_2022-06-07_RFR-058</v>
      </c>
      <c r="U59" s="7">
        <f>IF(EXACT('RFR Data - preExcl'!W59,"Initial"),'RFR Data - preExcl'!U59,IFERROR(0/0,""))</f>
        <v>44719</v>
      </c>
      <c r="X59" s="40"/>
      <c r="Y59" s="100"/>
      <c r="Z59" s="50"/>
      <c r="AA59" s="50"/>
      <c r="AC59" s="40"/>
      <c r="AF59" s="40"/>
      <c r="AG59" s="73">
        <v>19.0</v>
      </c>
      <c r="AH59" s="50">
        <v>0.0</v>
      </c>
      <c r="AI59" s="74">
        <v>0.1</v>
      </c>
      <c r="AJ59" s="50">
        <f t="shared" ref="AJ59:AL59" si="71">AG59-M59</f>
        <v>0</v>
      </c>
      <c r="AK59" s="50">
        <f t="shared" si="71"/>
        <v>0</v>
      </c>
      <c r="AL59" s="50">
        <f t="shared" si="71"/>
        <v>0</v>
      </c>
    </row>
    <row r="60">
      <c r="A60" s="6" t="s">
        <v>87</v>
      </c>
      <c r="B60" s="11">
        <v>44748.0</v>
      </c>
      <c r="C60" s="50"/>
      <c r="D60" s="72">
        <v>17.0</v>
      </c>
      <c r="E60" s="50">
        <f t="array" ref="E60">IF(OR(ISBLANK($A60),C60),IFERROR(0/0,""),INDEX('RFR Data - preExcl'!E$2:E179,$R60,1))</f>
        <v>17</v>
      </c>
      <c r="F60" s="50">
        <f t="array" ref="F60">IF(OR(ISBLANK($A60),$C60),IFERROR(0/0,""),INDEX('RFR Data - preExcl'!Z$2:Z179,$R60,1))</f>
        <v>19</v>
      </c>
      <c r="G60" s="50">
        <f t="array" ref="G60">IF(OR(ISBLANK(A60),C60),IFERROR(0/0,""),INDEX('RFR Data - preExcl'!AC$2:AC179,$R60,1))</f>
        <v>17</v>
      </c>
      <c r="H60" s="50">
        <f t="array" ref="H60">IF(OR(ISBLANK(A60),C60),IFERROR(0/0,""),INDEX('RFR Data - preExcl'!AK$2:AK179,$R60,1))</f>
        <v>17</v>
      </c>
      <c r="I60" s="50">
        <f t="array" ref="I60">IF(OR(ISBLANK(A60),C60),IFERROR(0/0,""),INDEX('RFR Data - preExcl'!AL$2:AL179,$R60,1))</f>
        <v>1</v>
      </c>
      <c r="J60" s="50">
        <f>IFERROR(VLOOKUP($B60,'APS Tubes by Date Import'!$B$2:$J179,2,FALSE),"")</f>
        <v>17</v>
      </c>
      <c r="K60" s="50" t="b">
        <f>IFERROR(VLOOKUP($B60,'APS Tubes by Date Import'!$B$2:$J179,9,FALSE),"")</f>
        <v>1</v>
      </c>
      <c r="L60" s="50">
        <f>IFNA(VLOOKUP($B60,'APS Tubes by Date Import'!$B$2:$J179,6,FALSE),"")</f>
        <v>0</v>
      </c>
      <c r="M60" s="73">
        <f t="shared" si="13"/>
        <v>17</v>
      </c>
      <c r="N60" s="50">
        <f t="shared" si="3"/>
        <v>0</v>
      </c>
      <c r="O60" s="74">
        <v>0.1</v>
      </c>
      <c r="P60" s="75" t="b">
        <f t="shared" si="4"/>
        <v>1</v>
      </c>
      <c r="Q60" s="84" t="str">
        <f t="shared" si="70"/>
        <v>NULL &gt; NEG</v>
      </c>
      <c r="R60" s="77">
        <f>IFNA(MATCH(A60,'RFR Data - preExcl'!A$2:A179,0),"")</f>
        <v>72</v>
      </c>
      <c r="S60" s="40"/>
      <c r="T60" s="19" t="str">
        <f>IF(EXACT('RFR Data - preExcl'!W60,"Initial"),'RFR Data - preExcl'!A60,IFERROR(0/0,""))</f>
        <v>RUN-COMB_2022-06-08_RFR-059</v>
      </c>
      <c r="U60" s="7">
        <f>IF(EXACT('RFR Data - preExcl'!W60,"Initial"),'RFR Data - preExcl'!U60,IFERROR(0/0,""))</f>
        <v>44720</v>
      </c>
      <c r="X60" s="40"/>
      <c r="Y60" s="100"/>
      <c r="Z60" s="50"/>
      <c r="AA60" s="50"/>
      <c r="AC60" s="40"/>
      <c r="AF60" s="40"/>
      <c r="AG60" s="73">
        <v>17.0</v>
      </c>
      <c r="AH60" s="50">
        <v>0.0</v>
      </c>
      <c r="AI60" s="74">
        <v>0.1</v>
      </c>
      <c r="AJ60" s="50">
        <f t="shared" ref="AJ60:AL60" si="72">AG60-M60</f>
        <v>0</v>
      </c>
      <c r="AK60" s="50">
        <f t="shared" si="72"/>
        <v>0</v>
      </c>
      <c r="AL60" s="50">
        <f t="shared" si="72"/>
        <v>0</v>
      </c>
    </row>
    <row r="61">
      <c r="A61" s="6" t="s">
        <v>88</v>
      </c>
      <c r="B61" s="11">
        <v>44749.0</v>
      </c>
      <c r="C61" s="107" t="b">
        <v>1</v>
      </c>
      <c r="D61" s="72">
        <v>34.0</v>
      </c>
      <c r="E61" s="108" t="str">
        <f t="array" ref="E61">IF(OR(ISBLANK($A61),C61),IFERROR(0/0,""),INDEX('RFR Data - preExcl'!E$2:E179,$R61,1))</f>
        <v/>
      </c>
      <c r="F61" s="108" t="str">
        <f t="array" ref="F61">IF(OR(ISBLANK($A61),$C61),IFERROR(0/0,""),INDEX('RFR Data - preExcl'!Z$2:Z179,$R61,1))</f>
        <v/>
      </c>
      <c r="G61" s="108" t="str">
        <f t="array" ref="G61">IF(OR(ISBLANK(A61),C61),IFERROR(0/0,""),INDEX('RFR Data - preExcl'!AC$2:AC179,$R61,1))</f>
        <v/>
      </c>
      <c r="H61" s="108" t="str">
        <f t="array" ref="H61">IF(OR(ISBLANK(A61),C61),IFERROR(0/0,""),INDEX('RFR Data - preExcl'!AK$2:AK179,$R61,1))</f>
        <v/>
      </c>
      <c r="I61" s="108" t="str">
        <f t="array" ref="I61">IF(OR(ISBLANK(A61),C61),IFERROR(0/0,""),INDEX('RFR Data - preExcl'!AL$2:AL179,$R61,1))</f>
        <v/>
      </c>
      <c r="J61" s="50">
        <f>IFERROR(VLOOKUP($B61,'APS Tubes by Date Import'!$B$2:$J179,2,FALSE),"")</f>
        <v>34</v>
      </c>
      <c r="K61" s="50" t="b">
        <f>IFERROR(VLOOKUP($B61,'APS Tubes by Date Import'!$B$2:$J179,9,FALSE),"")</f>
        <v>1</v>
      </c>
      <c r="L61" s="50">
        <f>IFNA(VLOOKUP($B61,'APS Tubes by Date Import'!$B$2:$J179,6,FALSE),"")</f>
        <v>0</v>
      </c>
      <c r="M61" s="108">
        <f>J61</f>
        <v>34</v>
      </c>
      <c r="N61" s="50">
        <f t="shared" si="3"/>
        <v>0</v>
      </c>
      <c r="O61" s="74">
        <v>8.0</v>
      </c>
      <c r="P61" s="75" t="b">
        <f t="shared" si="4"/>
        <v>1</v>
      </c>
      <c r="Q61" s="109" t="s">
        <v>136</v>
      </c>
      <c r="R61" s="77" t="str">
        <f>IFNA(MATCH(A61,'RFR Data - preExcl'!A$2:A179,0),"")</f>
        <v/>
      </c>
      <c r="S61" s="40"/>
      <c r="T61" s="19" t="str">
        <f>IF(EXACT('RFR Data - preExcl'!W61,"Initial"),'RFR Data - preExcl'!A61,IFERROR(0/0,""))</f>
        <v>RUN-COMB_2022-06-09_RFR-060</v>
      </c>
      <c r="U61" s="7">
        <f>IF(EXACT('RFR Data - preExcl'!W61,"Initial"),'RFR Data - preExcl'!U61,IFERROR(0/0,""))</f>
        <v>44721</v>
      </c>
      <c r="X61" s="40"/>
      <c r="Y61" s="100"/>
      <c r="Z61" s="50"/>
      <c r="AA61" s="50"/>
      <c r="AC61" s="40"/>
      <c r="AF61" s="40"/>
      <c r="AG61" s="72">
        <v>34.0</v>
      </c>
      <c r="AH61" s="50">
        <v>0.0</v>
      </c>
      <c r="AI61" s="74">
        <v>8.0</v>
      </c>
      <c r="AJ61" s="50">
        <f t="shared" ref="AJ61:AL61" si="73">AG61-M61</f>
        <v>0</v>
      </c>
      <c r="AK61" s="50">
        <f t="shared" si="73"/>
        <v>0</v>
      </c>
      <c r="AL61" s="50">
        <f t="shared" si="73"/>
        <v>0</v>
      </c>
    </row>
    <row r="62">
      <c r="A62" s="6" t="s">
        <v>89</v>
      </c>
      <c r="B62" s="11">
        <v>44750.0</v>
      </c>
      <c r="C62" s="72"/>
      <c r="D62" s="72">
        <v>26.0</v>
      </c>
      <c r="E62" s="50">
        <f t="array" ref="E62">IF(OR(ISBLANK($A62),C62),IFERROR(0/0,""),INDEX('RFR Data - preExcl'!E$2:E179,$R62,1))</f>
        <v>26</v>
      </c>
      <c r="F62" s="50">
        <f t="array" ref="F62">IF(OR(ISBLANK($A62),$C62),IFERROR(0/0,""),INDEX('RFR Data - preExcl'!Z$2:Z179,$R62,1))</f>
        <v>28</v>
      </c>
      <c r="G62" s="50">
        <f t="array" ref="G62">IF(OR(ISBLANK(A62),C62),IFERROR(0/0,""),INDEX('RFR Data - preExcl'!AC$2:AC179,$R62,1))</f>
        <v>26</v>
      </c>
      <c r="H62" s="50">
        <f t="array" ref="H62">IF(OR(ISBLANK(A62),C62),IFERROR(0/0,""),INDEX('RFR Data - preExcl'!AK$2:AK179,$R62,1))</f>
        <v>26</v>
      </c>
      <c r="I62" s="50">
        <f t="array" ref="I62">IF(OR(ISBLANK(A62),C62),IFERROR(0/0,""),INDEX('RFR Data - preExcl'!AL$2:AL179,$R62,1))</f>
        <v>0</v>
      </c>
      <c r="J62" s="50">
        <f>IFERROR(VLOOKUP($B62,'APS Tubes by Date Import'!$B$2:$J179,2,FALSE),"")</f>
        <v>25</v>
      </c>
      <c r="K62" s="50" t="b">
        <f>IFERROR(VLOOKUP($B62,'APS Tubes by Date Import'!$B$2:$J179,9,FALSE),"")</f>
        <v>1</v>
      </c>
      <c r="L62" s="50">
        <f>IFNA(VLOOKUP($B62,'APS Tubes by Date Import'!$B$2:$J179,6,FALSE),"")</f>
        <v>0</v>
      </c>
      <c r="M62" s="73">
        <f t="shared" ref="M62:M74" si="75">H62</f>
        <v>26</v>
      </c>
      <c r="N62" s="50">
        <f t="shared" si="3"/>
        <v>1</v>
      </c>
      <c r="O62" s="74">
        <v>2.1</v>
      </c>
      <c r="P62" s="75" t="b">
        <f t="shared" si="4"/>
        <v>1</v>
      </c>
      <c r="Q62" s="84" t="str">
        <f t="shared" ref="Q62:Q67" si="76">IFS(OR(O62=0.1,O62=1.1,O62=2.1),"NULL &gt; NEG",O62=3, "Delete NULL",TRUE,IFERROR(0/0,""))</f>
        <v>NULL &gt; NEG</v>
      </c>
      <c r="R62" s="77">
        <f>IFNA(MATCH(A62,'RFR Data - preExcl'!A$2:A179,0),"")</f>
        <v>74</v>
      </c>
      <c r="S62" s="40"/>
      <c r="T62" s="19" t="str">
        <f>IF(EXACT('RFR Data - preExcl'!W62,"Initial"),'RFR Data - preExcl'!A62,IFERROR(0/0,""))</f>
        <v>RUN-COMB_2022-06-27_RFR-061</v>
      </c>
      <c r="U62" s="7">
        <f>IF(EXACT('RFR Data - preExcl'!W62,"Initial"),'RFR Data - preExcl'!U62,IFERROR(0/0,""))</f>
        <v>44739</v>
      </c>
      <c r="X62" s="40"/>
      <c r="Y62" s="100"/>
      <c r="Z62" s="50"/>
      <c r="AA62" s="50"/>
      <c r="AC62" s="40"/>
      <c r="AF62" s="40"/>
      <c r="AG62" s="73">
        <v>26.0</v>
      </c>
      <c r="AH62" s="50">
        <v>1.0</v>
      </c>
      <c r="AI62" s="74">
        <v>2.1</v>
      </c>
      <c r="AJ62" s="50">
        <f t="shared" ref="AJ62:AL62" si="74">AG62-M62</f>
        <v>0</v>
      </c>
      <c r="AK62" s="50">
        <f t="shared" si="74"/>
        <v>0</v>
      </c>
      <c r="AL62" s="50">
        <f t="shared" si="74"/>
        <v>0</v>
      </c>
    </row>
    <row r="63">
      <c r="A63" s="6" t="s">
        <v>90</v>
      </c>
      <c r="B63" s="11">
        <v>44753.0</v>
      </c>
      <c r="C63" s="50"/>
      <c r="D63" s="72">
        <v>27.0</v>
      </c>
      <c r="E63" s="50">
        <f t="array" ref="E63">IF(OR(ISBLANK($A63),C63),IFERROR(0/0,""),INDEX('RFR Data - preExcl'!E$2:E179,$R63,1))</f>
        <v>27</v>
      </c>
      <c r="F63" s="50">
        <f t="array" ref="F63">IF(OR(ISBLANK($A63),$C63),IFERROR(0/0,""),INDEX('RFR Data - preExcl'!Z$2:Z179,$R63,1))</f>
        <v>29</v>
      </c>
      <c r="G63" s="50">
        <f t="array" ref="G63">IF(OR(ISBLANK(A63),C63),IFERROR(0/0,""),INDEX('RFR Data - preExcl'!AC$2:AC179,$R63,1))</f>
        <v>27</v>
      </c>
      <c r="H63" s="50">
        <f t="array" ref="H63">IF(OR(ISBLANK(A63),C63),IFERROR(0/0,""),INDEX('RFR Data - preExcl'!AK$2:AK179,$R63,1))</f>
        <v>27</v>
      </c>
      <c r="I63" s="50">
        <f t="array" ref="I63">IF(OR(ISBLANK(A63),C63),IFERROR(0/0,""),INDEX('RFR Data - preExcl'!AL$2:AL179,$R63,1))</f>
        <v>0</v>
      </c>
      <c r="J63" s="50">
        <f>IFERROR(VLOOKUP($B63,'APS Tubes by Date Import'!$B$2:$J179,2,FALSE),"")</f>
        <v>27</v>
      </c>
      <c r="K63" s="50" t="b">
        <f>IFERROR(VLOOKUP($B63,'APS Tubes by Date Import'!$B$2:$J179,9,FALSE),"")</f>
        <v>1</v>
      </c>
      <c r="L63" s="50">
        <f>IFNA(VLOOKUP($B63,'APS Tubes by Date Import'!$B$2:$J179,6,FALSE),"")</f>
        <v>0</v>
      </c>
      <c r="M63" s="73">
        <f t="shared" si="75"/>
        <v>27</v>
      </c>
      <c r="N63" s="50">
        <f t="shared" si="3"/>
        <v>0</v>
      </c>
      <c r="O63" s="74">
        <v>0.1</v>
      </c>
      <c r="P63" s="75" t="b">
        <f t="shared" si="4"/>
        <v>1</v>
      </c>
      <c r="Q63" s="84" t="str">
        <f t="shared" si="76"/>
        <v>NULL &gt; NEG</v>
      </c>
      <c r="R63" s="77">
        <f>IFNA(MATCH(A63,'RFR Data - preExcl'!A$2:A179,0),"")</f>
        <v>75</v>
      </c>
      <c r="S63" s="40"/>
      <c r="T63" s="19" t="str">
        <f>IF(EXACT('RFR Data - preExcl'!W63,"Initial"),'RFR Data - preExcl'!A63,IFERROR(0/0,""))</f>
        <v/>
      </c>
      <c r="U63" s="7" t="str">
        <f>IF(EXACT('RFR Data - preExcl'!W63,"Initial"),'RFR Data - preExcl'!U63,IFERROR(0/0,""))</f>
        <v/>
      </c>
      <c r="X63" s="40"/>
      <c r="Y63" s="100"/>
      <c r="Z63" s="50"/>
      <c r="AA63" s="50"/>
      <c r="AC63" s="40"/>
      <c r="AF63" s="40"/>
      <c r="AG63" s="73">
        <v>27.0</v>
      </c>
      <c r="AH63" s="50">
        <v>0.0</v>
      </c>
      <c r="AI63" s="74">
        <v>0.1</v>
      </c>
      <c r="AJ63" s="50">
        <f t="shared" ref="AJ63:AL63" si="77">AG63-M63</f>
        <v>0</v>
      </c>
      <c r="AK63" s="50">
        <f t="shared" si="77"/>
        <v>0</v>
      </c>
      <c r="AL63" s="50">
        <f t="shared" si="77"/>
        <v>0</v>
      </c>
    </row>
    <row r="64">
      <c r="A64" s="6" t="s">
        <v>91</v>
      </c>
      <c r="B64" s="11">
        <v>44754.0</v>
      </c>
      <c r="C64" s="50"/>
      <c r="D64" s="72">
        <v>19.0</v>
      </c>
      <c r="E64" s="50">
        <f t="array" ref="E64">IF(OR(ISBLANK($A64),C64),IFERROR(0/0,""),INDEX('RFR Data - preExcl'!E$2:E179,$R64,1))</f>
        <v>19</v>
      </c>
      <c r="F64" s="50">
        <f t="array" ref="F64">IF(OR(ISBLANK($A64),$C64),IFERROR(0/0,""),INDEX('RFR Data - preExcl'!Z$2:Z179,$R64,1))</f>
        <v>21</v>
      </c>
      <c r="G64" s="50">
        <f t="array" ref="G64">IF(OR(ISBLANK(A64),C64),IFERROR(0/0,""),INDEX('RFR Data - preExcl'!AC$2:AC179,$R64,1))</f>
        <v>19</v>
      </c>
      <c r="H64" s="50">
        <f t="array" ref="H64">IF(OR(ISBLANK(A64),C64),IFERROR(0/0,""),INDEX('RFR Data - preExcl'!AK$2:AK179,$R64,1))</f>
        <v>19</v>
      </c>
      <c r="I64" s="50">
        <f t="array" ref="I64">IF(OR(ISBLANK(A64),C64),IFERROR(0/0,""),INDEX('RFR Data - preExcl'!AL$2:AL179,$R64,1))</f>
        <v>0</v>
      </c>
      <c r="J64" s="50">
        <f>IFERROR(VLOOKUP($B64,'APS Tubes by Date Import'!$B$2:$J179,2,FALSE),"")</f>
        <v>19</v>
      </c>
      <c r="K64" s="50" t="b">
        <f>IFERROR(VLOOKUP($B64,'APS Tubes by Date Import'!$B$2:$J179,9,FALSE),"")</f>
        <v>1</v>
      </c>
      <c r="L64" s="50">
        <f>IFNA(VLOOKUP($B64,'APS Tubes by Date Import'!$B$2:$J179,6,FALSE),"")</f>
        <v>0</v>
      </c>
      <c r="M64" s="73">
        <f t="shared" si="75"/>
        <v>19</v>
      </c>
      <c r="N64" s="50">
        <f t="shared" si="3"/>
        <v>0</v>
      </c>
      <c r="O64" s="74">
        <v>0.1</v>
      </c>
      <c r="P64" s="75" t="b">
        <f t="shared" si="4"/>
        <v>1</v>
      </c>
      <c r="Q64" s="84" t="str">
        <f t="shared" si="76"/>
        <v>NULL &gt; NEG</v>
      </c>
      <c r="R64" s="77">
        <f>IFNA(MATCH(A64,'RFR Data - preExcl'!A$2:A179,0),"")</f>
        <v>76</v>
      </c>
      <c r="S64" s="40"/>
      <c r="T64" s="19" t="str">
        <f>IF(EXACT('RFR Data - preExcl'!W64,"Initial"),'RFR Data - preExcl'!A64,IFERROR(0/0,""))</f>
        <v>RUN-COMB_2022-06-28_RFR-063</v>
      </c>
      <c r="U64" s="7">
        <f>IF(EXACT('RFR Data - preExcl'!W64,"Initial"),'RFR Data - preExcl'!U64,IFERROR(0/0,""))</f>
        <v>44740</v>
      </c>
      <c r="X64" s="40"/>
      <c r="Z64" s="50"/>
      <c r="AA64" s="50"/>
      <c r="AC64" s="40"/>
      <c r="AF64" s="40"/>
      <c r="AG64" s="73">
        <v>19.0</v>
      </c>
      <c r="AH64" s="50">
        <v>0.0</v>
      </c>
      <c r="AI64" s="74">
        <v>0.1</v>
      </c>
      <c r="AJ64" s="50">
        <f t="shared" ref="AJ64:AL64" si="78">AG64-M64</f>
        <v>0</v>
      </c>
      <c r="AK64" s="50">
        <f t="shared" si="78"/>
        <v>0</v>
      </c>
      <c r="AL64" s="50">
        <f t="shared" si="78"/>
        <v>0</v>
      </c>
    </row>
    <row r="65">
      <c r="A65" s="6" t="s">
        <v>92</v>
      </c>
      <c r="B65" s="11">
        <v>44755.0</v>
      </c>
      <c r="C65" s="50"/>
      <c r="D65" s="72">
        <v>17.0</v>
      </c>
      <c r="E65" s="50">
        <f t="array" ref="E65">IF(OR(ISBLANK($A65),C65),IFERROR(0/0,""),INDEX('RFR Data - preExcl'!E$2:E179,$R65,1))</f>
        <v>17</v>
      </c>
      <c r="F65" s="50">
        <f t="array" ref="F65">IF(OR(ISBLANK($A65),$C65),IFERROR(0/0,""),INDEX('RFR Data - preExcl'!Z$2:Z179,$R65,1))</f>
        <v>19</v>
      </c>
      <c r="G65" s="50">
        <f t="array" ref="G65">IF(OR(ISBLANK(A65),C65),IFERROR(0/0,""),INDEX('RFR Data - preExcl'!AC$2:AC179,$R65,1))</f>
        <v>17</v>
      </c>
      <c r="H65" s="50">
        <f t="array" ref="H65">IF(OR(ISBLANK(A65),C65),IFERROR(0/0,""),INDEX('RFR Data - preExcl'!AK$2:AK179,$R65,1))</f>
        <v>17</v>
      </c>
      <c r="I65" s="50">
        <f t="array" ref="I65">IF(OR(ISBLANK(A65),C65),IFERROR(0/0,""),INDEX('RFR Data - preExcl'!AL$2:AL179,$R65,1))</f>
        <v>0</v>
      </c>
      <c r="J65" s="50">
        <f>IFERROR(VLOOKUP($B65,'APS Tubes by Date Import'!$B$2:$J179,2,FALSE),"")</f>
        <v>17</v>
      </c>
      <c r="K65" s="50" t="b">
        <f>IFERROR(VLOOKUP($B65,'APS Tubes by Date Import'!$B$2:$J179,9,FALSE),"")</f>
        <v>1</v>
      </c>
      <c r="L65" s="50">
        <f>IFNA(VLOOKUP($B65,'APS Tubes by Date Import'!$B$2:$J179,6,FALSE),"")</f>
        <v>0</v>
      </c>
      <c r="M65" s="73">
        <f t="shared" si="75"/>
        <v>17</v>
      </c>
      <c r="N65" s="50">
        <f t="shared" si="3"/>
        <v>0</v>
      </c>
      <c r="O65" s="74">
        <v>0.1</v>
      </c>
      <c r="P65" s="75" t="b">
        <f t="shared" si="4"/>
        <v>1</v>
      </c>
      <c r="Q65" s="84" t="str">
        <f t="shared" si="76"/>
        <v>NULL &gt; NEG</v>
      </c>
      <c r="R65" s="77">
        <f>IFNA(MATCH(A65,'RFR Data - preExcl'!A$2:A179,0),"")</f>
        <v>77</v>
      </c>
      <c r="S65" s="40"/>
      <c r="T65" s="19" t="str">
        <f>IF(EXACT('RFR Data - preExcl'!W65,"Initial"),'RFR Data - preExcl'!A65,IFERROR(0/0,""))</f>
        <v/>
      </c>
      <c r="U65" s="7" t="str">
        <f>IF(EXACT('RFR Data - preExcl'!W65,"Initial"),'RFR Data - preExcl'!U65,IFERROR(0/0,""))</f>
        <v/>
      </c>
      <c r="X65" s="40"/>
      <c r="Z65" s="50"/>
      <c r="AA65" s="50"/>
      <c r="AC65" s="40"/>
      <c r="AF65" s="40"/>
      <c r="AG65" s="73">
        <v>17.0</v>
      </c>
      <c r="AH65" s="50">
        <v>0.0</v>
      </c>
      <c r="AI65" s="74">
        <v>0.1</v>
      </c>
      <c r="AJ65" s="50">
        <f t="shared" ref="AJ65:AL65" si="79">AG65-M65</f>
        <v>0</v>
      </c>
      <c r="AK65" s="50">
        <f t="shared" si="79"/>
        <v>0</v>
      </c>
      <c r="AL65" s="50">
        <f t="shared" si="79"/>
        <v>0</v>
      </c>
    </row>
    <row r="66">
      <c r="A66" s="6" t="s">
        <v>93</v>
      </c>
      <c r="B66" s="11">
        <v>44756.0</v>
      </c>
      <c r="C66" s="50"/>
      <c r="D66" s="72">
        <v>36.0</v>
      </c>
      <c r="E66" s="50">
        <f t="array" ref="E66">IF(OR(ISBLANK($A66),C66),IFERROR(0/0,""),INDEX('RFR Data - preExcl'!E$2:E179,$R66,1))</f>
        <v>36</v>
      </c>
      <c r="F66" s="50">
        <f t="array" ref="F66">IF(OR(ISBLANK($A66),$C66),IFERROR(0/0,""),INDEX('RFR Data - preExcl'!Z$2:Z179,$R66,1))</f>
        <v>38</v>
      </c>
      <c r="G66" s="50">
        <f t="array" ref="G66">IF(OR(ISBLANK(A66),C66),IFERROR(0/0,""),INDEX('RFR Data - preExcl'!AC$2:AC179,$R66,1))</f>
        <v>36</v>
      </c>
      <c r="H66" s="50">
        <f t="array" ref="H66">IF(OR(ISBLANK(A66),C66),IFERROR(0/0,""),INDEX('RFR Data - preExcl'!AK$2:AK179,$R66,1))</f>
        <v>36</v>
      </c>
      <c r="I66" s="50">
        <f t="array" ref="I66">IF(OR(ISBLANK(A66),C66),IFERROR(0/0,""),INDEX('RFR Data - preExcl'!AL$2:AL179,$R66,1))</f>
        <v>0</v>
      </c>
      <c r="J66" s="50">
        <f>IFERROR(VLOOKUP($B66,'APS Tubes by Date Import'!$B$2:$J179,2,FALSE),"")</f>
        <v>36</v>
      </c>
      <c r="K66" s="50" t="b">
        <f>IFERROR(VLOOKUP($B66,'APS Tubes by Date Import'!$B$2:$J179,9,FALSE),"")</f>
        <v>1</v>
      </c>
      <c r="L66" s="50">
        <f>IFNA(VLOOKUP($B66,'APS Tubes by Date Import'!$B$2:$J179,6,FALSE),"")</f>
        <v>0</v>
      </c>
      <c r="M66" s="73">
        <f t="shared" si="75"/>
        <v>36</v>
      </c>
      <c r="N66" s="50">
        <f t="shared" si="3"/>
        <v>0</v>
      </c>
      <c r="O66" s="74">
        <v>0.1</v>
      </c>
      <c r="P66" s="75" t="b">
        <f t="shared" si="4"/>
        <v>1</v>
      </c>
      <c r="Q66" s="84" t="str">
        <f t="shared" si="76"/>
        <v>NULL &gt; NEG</v>
      </c>
      <c r="R66" s="77">
        <f>IFNA(MATCH(A66,'RFR Data - preExcl'!A$2:A179,0),"")</f>
        <v>78</v>
      </c>
      <c r="S66" s="40"/>
      <c r="T66" s="19" t="str">
        <f>IF(EXACT('RFR Data - preExcl'!W66,"Initial"),'RFR Data - preExcl'!A66,IFERROR(0/0,""))</f>
        <v>RUN-COMB_2022-06-29_RFR-065</v>
      </c>
      <c r="U66" s="7">
        <f>IF(EXACT('RFR Data - preExcl'!W66,"Initial"),'RFR Data - preExcl'!U66,IFERROR(0/0,""))</f>
        <v>44741</v>
      </c>
      <c r="X66" s="40"/>
      <c r="Z66" s="50"/>
      <c r="AA66" s="50"/>
      <c r="AC66" s="40"/>
      <c r="AF66" s="40"/>
      <c r="AG66" s="73">
        <v>36.0</v>
      </c>
      <c r="AH66" s="50">
        <v>0.0</v>
      </c>
      <c r="AI66" s="74">
        <v>0.1</v>
      </c>
      <c r="AJ66" s="50">
        <f t="shared" ref="AJ66:AL66" si="80">AG66-M66</f>
        <v>0</v>
      </c>
      <c r="AK66" s="50">
        <f t="shared" si="80"/>
        <v>0</v>
      </c>
      <c r="AL66" s="50">
        <f t="shared" si="80"/>
        <v>0</v>
      </c>
    </row>
    <row r="67">
      <c r="A67" s="6" t="s">
        <v>94</v>
      </c>
      <c r="B67" s="11">
        <v>44757.0</v>
      </c>
      <c r="C67" s="50"/>
      <c r="D67" s="72">
        <v>24.0</v>
      </c>
      <c r="E67" s="50">
        <f t="array" ref="E67">IF(OR(ISBLANK($A67),C67),IFERROR(0/0,""),INDEX('RFR Data - preExcl'!E$2:E179,$R67,1))</f>
        <v>24</v>
      </c>
      <c r="F67" s="50">
        <f t="array" ref="F67">IF(OR(ISBLANK($A67),$C67),IFERROR(0/0,""),INDEX('RFR Data - preExcl'!Z$2:Z179,$R67,1))</f>
        <v>26</v>
      </c>
      <c r="G67" s="50">
        <f t="array" ref="G67">IF(OR(ISBLANK(A67),C67),IFERROR(0/0,""),INDEX('RFR Data - preExcl'!AC$2:AC179,$R67,1))</f>
        <v>24</v>
      </c>
      <c r="H67" s="50">
        <f t="array" ref="H67">IF(OR(ISBLANK(A67),C67),IFERROR(0/0,""),INDEX('RFR Data - preExcl'!AK$2:AK179,$R67,1))</f>
        <v>24</v>
      </c>
      <c r="I67" s="50">
        <f t="array" ref="I67">IF(OR(ISBLANK(A67),C67),IFERROR(0/0,""),INDEX('RFR Data - preExcl'!AL$2:AL179,$R67,1))</f>
        <v>0</v>
      </c>
      <c r="J67" s="50">
        <f>IFERROR(VLOOKUP($B67,'APS Tubes by Date Import'!$B$2:$J179,2,FALSE),"")</f>
        <v>23</v>
      </c>
      <c r="K67" s="50" t="b">
        <f>IFERROR(VLOOKUP($B67,'APS Tubes by Date Import'!$B$2:$J179,9,FALSE),"")</f>
        <v>1</v>
      </c>
      <c r="L67" s="50">
        <f>IFNA(VLOOKUP($B67,'APS Tubes by Date Import'!$B$2:$J179,6,FALSE),"")</f>
        <v>0</v>
      </c>
      <c r="M67" s="73">
        <f t="shared" si="75"/>
        <v>24</v>
      </c>
      <c r="N67" s="50">
        <f t="shared" si="3"/>
        <v>1</v>
      </c>
      <c r="O67" s="74">
        <v>2.1</v>
      </c>
      <c r="P67" s="75" t="b">
        <f t="shared" si="4"/>
        <v>1</v>
      </c>
      <c r="Q67" s="84" t="str">
        <f t="shared" si="76"/>
        <v>NULL &gt; NEG</v>
      </c>
      <c r="R67" s="77">
        <f>IFNA(MATCH(A67,'RFR Data - preExcl'!A$2:A179,0),"")</f>
        <v>79</v>
      </c>
      <c r="S67" s="40"/>
      <c r="T67" s="19" t="str">
        <f>IF(EXACT('RFR Data - preExcl'!W67,"Initial"),'RFR Data - preExcl'!A67,IFERROR(0/0,""))</f>
        <v>RUN-COMB_2022-06-30_RFR-066</v>
      </c>
      <c r="U67" s="7">
        <f>IF(EXACT('RFR Data - preExcl'!W67,"Initial"),'RFR Data - preExcl'!U67,IFERROR(0/0,""))</f>
        <v>44742</v>
      </c>
      <c r="X67" s="40"/>
      <c r="Z67" s="50"/>
      <c r="AA67" s="50"/>
      <c r="AC67" s="40"/>
      <c r="AF67" s="40"/>
      <c r="AG67" s="73">
        <v>24.0</v>
      </c>
      <c r="AH67" s="50">
        <v>1.0</v>
      </c>
      <c r="AI67" s="74">
        <v>2.1</v>
      </c>
      <c r="AJ67" s="50">
        <f t="shared" ref="AJ67:AL67" si="81">AG67-M67</f>
        <v>0</v>
      </c>
      <c r="AK67" s="50">
        <f t="shared" si="81"/>
        <v>0</v>
      </c>
      <c r="AL67" s="50">
        <f t="shared" si="81"/>
        <v>0</v>
      </c>
    </row>
    <row r="68">
      <c r="A68" s="93" t="s">
        <v>97</v>
      </c>
      <c r="B68" s="94">
        <v>44760.0</v>
      </c>
      <c r="C68" s="95"/>
      <c r="D68" s="96">
        <v>46.0</v>
      </c>
      <c r="E68" s="95">
        <f t="array" ref="E68">IF(OR(ISBLANK($A68),C68),IFERROR(0/0,""),INDEX('RFR Data - preExcl'!E$2:E179,$R68,1))</f>
        <v>46</v>
      </c>
      <c r="F68" s="95">
        <f t="array" ref="F68">IF(OR(ISBLANK($A68),$C68),IFERROR(0/0,""),INDEX('RFR Data - preExcl'!Z$2:Z179,$R68,1))</f>
        <v>48</v>
      </c>
      <c r="G68" s="95">
        <f t="array" ref="G68">IF(OR(ISBLANK(A68),C68),IFERROR(0/0,""),INDEX('RFR Data - preExcl'!AC$2:AC179,$R68,1))</f>
        <v>46</v>
      </c>
      <c r="H68" s="95">
        <f t="array" ref="H68">IF(OR(ISBLANK(A68),C68),IFERROR(0/0,""),INDEX('RFR Data - preExcl'!AK$2:AK179,$R68,1))</f>
        <v>46</v>
      </c>
      <c r="I68" s="95">
        <f t="array" ref="I68">IF(OR(ISBLANK(A68),C68),IFERROR(0/0,""),INDEX('RFR Data - preExcl'!AL$2:AL179,$R68,1))</f>
        <v>4</v>
      </c>
      <c r="J68" s="95" t="str">
        <f>IFERROR(VLOOKUP($B68,'APS Tubes by Date Import'!$B$2:$J179,2,FALSE),"")</f>
        <v/>
      </c>
      <c r="K68" s="95" t="str">
        <f>IFERROR(VLOOKUP($B68,'APS Tubes by Date Import'!$B$2:$J179,9,FALSE),"")</f>
        <v/>
      </c>
      <c r="L68" s="95" t="str">
        <f>IFNA(VLOOKUP($B68,'APS Tubes by Date Import'!$B$2:$J179,6,FALSE),"")</f>
        <v/>
      </c>
      <c r="M68" s="73">
        <f t="shared" si="75"/>
        <v>46</v>
      </c>
      <c r="N68" s="50">
        <f t="shared" si="3"/>
        <v>46</v>
      </c>
      <c r="O68" s="110">
        <v>9.0</v>
      </c>
      <c r="P68" s="75" t="b">
        <f t="shared" si="4"/>
        <v>1</v>
      </c>
      <c r="Q68" s="106" t="s">
        <v>137</v>
      </c>
      <c r="R68" s="77">
        <f>IFNA(MATCH(A68,'RFR Data - preExcl'!A$2:A179,0),"")</f>
        <v>80</v>
      </c>
      <c r="S68" s="40"/>
      <c r="T68" s="19" t="str">
        <f>IF(EXACT('RFR Data - preExcl'!W68,"Initial"),'RFR Data - preExcl'!A68,IFERROR(0/0,""))</f>
        <v/>
      </c>
      <c r="U68" s="7" t="str">
        <f>IF(EXACT('RFR Data - preExcl'!W68,"Initial"),'RFR Data - preExcl'!U68,IFERROR(0/0,""))</f>
        <v/>
      </c>
      <c r="X68" s="40"/>
      <c r="Z68" s="50"/>
      <c r="AA68" s="50"/>
      <c r="AC68" s="40"/>
      <c r="AF68" s="40"/>
      <c r="AG68" s="73">
        <v>46.0</v>
      </c>
      <c r="AH68" s="50">
        <v>46.0</v>
      </c>
      <c r="AI68" s="110">
        <v>9.0</v>
      </c>
      <c r="AJ68" s="50">
        <f t="shared" ref="AJ68:AL68" si="82">AG68-M68</f>
        <v>0</v>
      </c>
      <c r="AK68" s="50">
        <f t="shared" si="82"/>
        <v>0</v>
      </c>
      <c r="AL68" s="50">
        <f t="shared" si="82"/>
        <v>0</v>
      </c>
    </row>
    <row r="69">
      <c r="A69" s="6" t="s">
        <v>95</v>
      </c>
      <c r="B69" s="11">
        <v>44761.0</v>
      </c>
      <c r="C69" s="50"/>
      <c r="D69" s="72">
        <v>32.0</v>
      </c>
      <c r="E69" s="50">
        <f t="array" ref="E69">IF(OR(ISBLANK($A69),C69),IFERROR(0/0,""),INDEX('RFR Data - preExcl'!E$2:E179,$R69,1))</f>
        <v>33</v>
      </c>
      <c r="F69" s="50">
        <f t="array" ref="F69">IF(OR(ISBLANK($A69),$C69),IFERROR(0/0,""),INDEX('RFR Data - preExcl'!Z$2:Z179,$R69,1))</f>
        <v>35</v>
      </c>
      <c r="G69" s="50">
        <f t="array" ref="G69">IF(OR(ISBLANK(A69),C69),IFERROR(0/0,""),INDEX('RFR Data - preExcl'!AC$2:AC179,$R69,1))</f>
        <v>33</v>
      </c>
      <c r="H69" s="50">
        <f t="array" ref="H69">IF(OR(ISBLANK(A69),C69),IFERROR(0/0,""),INDEX('RFR Data - preExcl'!AK$2:AK179,$R69,1))</f>
        <v>33</v>
      </c>
      <c r="I69" s="50">
        <f t="array" ref="I69">IF(OR(ISBLANK(A69),C69),IFERROR(0/0,""),INDEX('RFR Data - preExcl'!AL$2:AL179,$R69,1))</f>
        <v>4</v>
      </c>
      <c r="J69" s="50">
        <f>IFERROR(VLOOKUP($B69,'APS Tubes by Date Import'!$B$2:$J179,2,FALSE),"")</f>
        <v>33</v>
      </c>
      <c r="K69" s="50" t="b">
        <f>IFERROR(VLOOKUP($B69,'APS Tubes by Date Import'!$B$2:$J179,9,FALSE),"")</f>
        <v>1</v>
      </c>
      <c r="L69" s="50">
        <f>IFNA(VLOOKUP($B69,'APS Tubes by Date Import'!$B$2:$J179,6,FALSE),"")</f>
        <v>0</v>
      </c>
      <c r="M69" s="73">
        <f t="shared" si="75"/>
        <v>33</v>
      </c>
      <c r="N69" s="50">
        <f t="shared" si="3"/>
        <v>0</v>
      </c>
      <c r="O69" s="101">
        <v>0.3</v>
      </c>
      <c r="P69" s="75" t="b">
        <f t="shared" si="4"/>
        <v>1</v>
      </c>
      <c r="Q69" s="102" t="s">
        <v>135</v>
      </c>
      <c r="R69" s="77">
        <f>IFNA(MATCH(A69,'RFR Data - preExcl'!A$2:A179,0),"")</f>
        <v>82</v>
      </c>
      <c r="S69" s="40"/>
      <c r="T69" s="19" t="str">
        <f>IF(EXACT('RFR Data - preExcl'!W69,"Initial"),'RFR Data - preExcl'!A69,IFERROR(0/0,""))</f>
        <v>RUN-COMB_2022-07-01_RFR-068</v>
      </c>
      <c r="U69" s="7">
        <f>IF(EXACT('RFR Data - preExcl'!W69,"Initial"),'RFR Data - preExcl'!U69,IFERROR(0/0,""))</f>
        <v>44743</v>
      </c>
      <c r="X69" s="40"/>
      <c r="Z69" s="50"/>
      <c r="AA69" s="50"/>
      <c r="AC69" s="40"/>
      <c r="AF69" s="40"/>
      <c r="AG69" s="73">
        <v>33.0</v>
      </c>
      <c r="AH69" s="50">
        <v>0.0</v>
      </c>
      <c r="AI69" s="101">
        <v>0.3</v>
      </c>
      <c r="AJ69" s="50">
        <f t="shared" ref="AJ69:AL69" si="83">AG69-M69</f>
        <v>0</v>
      </c>
      <c r="AK69" s="50">
        <f t="shared" si="83"/>
        <v>0</v>
      </c>
      <c r="AL69" s="50">
        <f t="shared" si="83"/>
        <v>0</v>
      </c>
    </row>
    <row r="70">
      <c r="A70" s="6" t="s">
        <v>96</v>
      </c>
      <c r="B70" s="11">
        <v>44762.0</v>
      </c>
      <c r="C70" s="50"/>
      <c r="D70" s="72">
        <v>27.0</v>
      </c>
      <c r="E70" s="50">
        <f t="array" ref="E70">IF(OR(ISBLANK($A70),C70),IFERROR(0/0,""),INDEX('RFR Data - preExcl'!E$2:E179,$R70,1))</f>
        <v>27</v>
      </c>
      <c r="F70" s="50">
        <f t="array" ref="F70">IF(OR(ISBLANK($A70),$C70),IFERROR(0/0,""),INDEX('RFR Data - preExcl'!Z$2:Z179,$R70,1))</f>
        <v>29</v>
      </c>
      <c r="G70" s="50">
        <f t="array" ref="G70">IF(OR(ISBLANK(A70),C70),IFERROR(0/0,""),INDEX('RFR Data - preExcl'!AC$2:AC179,$R70,1))</f>
        <v>27</v>
      </c>
      <c r="H70" s="50">
        <f t="array" ref="H70">IF(OR(ISBLANK(A70),C70),IFERROR(0/0,""),INDEX('RFR Data - preExcl'!AK$2:AK179,$R70,1))</f>
        <v>27</v>
      </c>
      <c r="I70" s="50">
        <f t="array" ref="I70">IF(OR(ISBLANK(A70),C70),IFERROR(0/0,""),INDEX('RFR Data - preExcl'!AL$2:AL179,$R70,1))</f>
        <v>0</v>
      </c>
      <c r="J70" s="50">
        <f>IFERROR(VLOOKUP($B70,'APS Tubes by Date Import'!$B$2:$J179,2,FALSE),"")</f>
        <v>27</v>
      </c>
      <c r="K70" s="50" t="b">
        <f>IFERROR(VLOOKUP($B70,'APS Tubes by Date Import'!$B$2:$J179,9,FALSE),"")</f>
        <v>1</v>
      </c>
      <c r="L70" s="50">
        <f>IFNA(VLOOKUP($B70,'APS Tubes by Date Import'!$B$2:$J179,6,FALSE),"")</f>
        <v>0</v>
      </c>
      <c r="M70" s="73">
        <f t="shared" si="75"/>
        <v>27</v>
      </c>
      <c r="N70" s="50">
        <f t="shared" si="3"/>
        <v>0</v>
      </c>
      <c r="O70" s="74">
        <v>0.1</v>
      </c>
      <c r="P70" s="75" t="b">
        <f t="shared" si="4"/>
        <v>1</v>
      </c>
      <c r="Q70" s="84" t="str">
        <f>IFS(OR(O70=0.1,O70=1.1,O70=2.1),"NULL &gt; NEG",O70=3, "Delete NULL",TRUE,IFERROR(0/0,""))</f>
        <v>NULL &gt; NEG</v>
      </c>
      <c r="R70" s="77">
        <f>IFNA(MATCH(A70,'RFR Data - preExcl'!A$2:A179,0),"")</f>
        <v>84</v>
      </c>
      <c r="S70" s="40"/>
      <c r="T70" s="19" t="str">
        <f>IF(EXACT('RFR Data - preExcl'!W70,"Initial"),'RFR Data - preExcl'!A70,IFERROR(0/0,""))</f>
        <v/>
      </c>
      <c r="U70" s="7" t="str">
        <f>IF(EXACT('RFR Data - preExcl'!W70,"Initial"),'RFR Data - preExcl'!U70,IFERROR(0/0,""))</f>
        <v/>
      </c>
      <c r="X70" s="40"/>
      <c r="Z70" s="50"/>
      <c r="AA70" s="50"/>
      <c r="AC70" s="40"/>
      <c r="AF70" s="40"/>
      <c r="AG70" s="73">
        <v>27.0</v>
      </c>
      <c r="AH70" s="50">
        <v>0.0</v>
      </c>
      <c r="AI70" s="74">
        <v>0.1</v>
      </c>
      <c r="AJ70" s="50">
        <f t="shared" ref="AJ70:AL70" si="84">AG70-M70</f>
        <v>0</v>
      </c>
      <c r="AK70" s="50">
        <f t="shared" si="84"/>
        <v>0</v>
      </c>
      <c r="AL70" s="50">
        <f t="shared" si="84"/>
        <v>0</v>
      </c>
    </row>
    <row r="71">
      <c r="A71" s="93" t="s">
        <v>101</v>
      </c>
      <c r="B71" s="94">
        <v>44763.0</v>
      </c>
      <c r="C71" s="95"/>
      <c r="D71" s="96">
        <v>57.0</v>
      </c>
      <c r="E71" s="95">
        <f t="array" ref="E71">IF(OR(ISBLANK($A71),C71),IFERROR(0/0,""),INDEX('RFR Data - preExcl'!E$2:E179,$R71,1))</f>
        <v>59</v>
      </c>
      <c r="F71" s="95">
        <f t="array" ref="F71">IF(OR(ISBLANK($A71),$C71),IFERROR(0/0,""),INDEX('RFR Data - preExcl'!Z$2:Z179,$R71,1))</f>
        <v>59</v>
      </c>
      <c r="G71" s="95">
        <f t="array" ref="G71">IF(OR(ISBLANK(A71),C71),IFERROR(0/0,""),INDEX('RFR Data - preExcl'!AC$2:AC179,$R71,1))</f>
        <v>57</v>
      </c>
      <c r="H71" s="95">
        <f t="array" ref="H71">IF(OR(ISBLANK(A71),C71),IFERROR(0/0,""),INDEX('RFR Data - preExcl'!AK$2:AK179,$R71,1))</f>
        <v>57</v>
      </c>
      <c r="I71" s="95">
        <f t="array" ref="I71">IF(OR(ISBLANK(A71),C71),IFERROR(0/0,""),INDEX('RFR Data - preExcl'!AL$2:AL179,$R71,1))</f>
        <v>0</v>
      </c>
      <c r="J71" s="95" t="str">
        <f>IFERROR(VLOOKUP($B71,'APS Tubes by Date Import'!$B$2:$J179,2,FALSE),"")</f>
        <v/>
      </c>
      <c r="K71" s="95" t="str">
        <f>IFERROR(VLOOKUP($B71,'APS Tubes by Date Import'!$B$2:$J179,9,FALSE),"")</f>
        <v/>
      </c>
      <c r="L71" s="95" t="str">
        <f>IFNA(VLOOKUP($B71,'APS Tubes by Date Import'!$B$2:$J179,6,FALSE),"")</f>
        <v/>
      </c>
      <c r="M71" s="73">
        <f t="shared" si="75"/>
        <v>57</v>
      </c>
      <c r="N71" s="50">
        <f t="shared" si="3"/>
        <v>57</v>
      </c>
      <c r="O71" s="110">
        <v>9.0</v>
      </c>
      <c r="P71" s="75" t="b">
        <f t="shared" si="4"/>
        <v>1</v>
      </c>
      <c r="Q71" s="106" t="s">
        <v>137</v>
      </c>
      <c r="R71" s="77">
        <f>IFNA(MATCH(A71,'RFR Data - preExcl'!A$2:A179,0),"")</f>
        <v>86</v>
      </c>
      <c r="S71" s="40"/>
      <c r="T71" s="19" t="str">
        <f>IF(EXACT('RFR Data - preExcl'!W71,"Initial"),'RFR Data - preExcl'!A71,IFERROR(0/0,""))</f>
        <v>RUN-COMB_2022-07-04_RFR-070</v>
      </c>
      <c r="U71" s="7">
        <f>IF(EXACT('RFR Data - preExcl'!W71,"Initial"),'RFR Data - preExcl'!U71,IFERROR(0/0,""))</f>
        <v>44746</v>
      </c>
      <c r="X71" s="40"/>
      <c r="Z71" s="50"/>
      <c r="AA71" s="50"/>
      <c r="AC71" s="40"/>
      <c r="AF71" s="40"/>
      <c r="AG71" s="73">
        <v>57.0</v>
      </c>
      <c r="AH71" s="50">
        <v>57.0</v>
      </c>
      <c r="AI71" s="110">
        <v>9.0</v>
      </c>
      <c r="AJ71" s="50">
        <f t="shared" ref="AJ71:AL71" si="85">AG71-M71</f>
        <v>0</v>
      </c>
      <c r="AK71" s="50">
        <f t="shared" si="85"/>
        <v>0</v>
      </c>
      <c r="AL71" s="50">
        <f t="shared" si="85"/>
        <v>0</v>
      </c>
    </row>
    <row r="72">
      <c r="A72" s="6" t="s">
        <v>98</v>
      </c>
      <c r="B72" s="11">
        <v>44764.0</v>
      </c>
      <c r="C72" s="50"/>
      <c r="D72" s="72">
        <v>37.0</v>
      </c>
      <c r="E72" s="50">
        <f t="array" ref="E72">IF(OR(ISBLANK($A72),C72),IFERROR(0/0,""),INDEX('RFR Data - preExcl'!E$2:E179,$R72,1))</f>
        <v>37</v>
      </c>
      <c r="F72" s="50">
        <f t="array" ref="F72">IF(OR(ISBLANK($A72),$C72),IFERROR(0/0,""),INDEX('RFR Data - preExcl'!Z$2:Z179,$R72,1))</f>
        <v>39</v>
      </c>
      <c r="G72" s="50">
        <f t="array" ref="G72">IF(OR(ISBLANK(A72),C72),IFERROR(0/0,""),INDEX('RFR Data - preExcl'!AC$2:AC179,$R72,1))</f>
        <v>37</v>
      </c>
      <c r="H72" s="50">
        <f t="array" ref="H72">IF(OR(ISBLANK(A72),C72),IFERROR(0/0,""),INDEX('RFR Data - preExcl'!AK$2:AK179,$R72,1))</f>
        <v>37</v>
      </c>
      <c r="I72" s="50">
        <f t="array" ref="I72">IF(OR(ISBLANK(A72),C72),IFERROR(0/0,""),INDEX('RFR Data - preExcl'!AL$2:AL179,$R72,1))</f>
        <v>4</v>
      </c>
      <c r="J72" s="50">
        <f>IFERROR(VLOOKUP($B72,'APS Tubes by Date Import'!$B$2:$J179,2,FALSE),"")</f>
        <v>37</v>
      </c>
      <c r="K72" s="50" t="b">
        <f>IFERROR(VLOOKUP($B72,'APS Tubes by Date Import'!$B$2:$J179,9,FALSE),"")</f>
        <v>1</v>
      </c>
      <c r="L72" s="50">
        <f>IFNA(VLOOKUP($B72,'APS Tubes by Date Import'!$B$2:$J179,6,FALSE),"")</f>
        <v>0</v>
      </c>
      <c r="M72" s="73">
        <f t="shared" si="75"/>
        <v>37</v>
      </c>
      <c r="N72" s="50">
        <f t="shared" si="3"/>
        <v>0</v>
      </c>
      <c r="O72" s="101">
        <v>0.3</v>
      </c>
      <c r="P72" s="75" t="b">
        <f t="shared" si="4"/>
        <v>1</v>
      </c>
      <c r="Q72" s="102" t="s">
        <v>135</v>
      </c>
      <c r="R72" s="77">
        <f>IFNA(MATCH(A72,'RFR Data - preExcl'!A$2:A179,0),"")</f>
        <v>85</v>
      </c>
      <c r="S72" s="40"/>
      <c r="T72" s="19" t="str">
        <f>IF(EXACT('RFR Data - preExcl'!W72,"Initial"),'RFR Data - preExcl'!A72,IFERROR(0/0,""))</f>
        <v>RUN-COMB_2022-07-05_RFR-071</v>
      </c>
      <c r="U72" s="7">
        <f>IF(EXACT('RFR Data - preExcl'!W72,"Initial"),'RFR Data - preExcl'!U72,IFERROR(0/0,""))</f>
        <v>44747</v>
      </c>
      <c r="X72" s="40"/>
      <c r="Z72" s="50"/>
      <c r="AA72" s="50"/>
      <c r="AC72" s="40"/>
      <c r="AF72" s="40"/>
      <c r="AG72" s="73">
        <v>37.0</v>
      </c>
      <c r="AH72" s="50">
        <v>0.0</v>
      </c>
      <c r="AI72" s="101">
        <v>0.3</v>
      </c>
      <c r="AJ72" s="50">
        <f t="shared" ref="AJ72:AL72" si="86">AG72-M72</f>
        <v>0</v>
      </c>
      <c r="AK72" s="50">
        <f t="shared" si="86"/>
        <v>0</v>
      </c>
      <c r="AL72" s="50">
        <f t="shared" si="86"/>
        <v>0</v>
      </c>
    </row>
    <row r="73">
      <c r="A73" s="6" t="s">
        <v>99</v>
      </c>
      <c r="B73" s="11">
        <v>44774.0</v>
      </c>
      <c r="C73" s="50"/>
      <c r="D73" s="72">
        <v>28.0</v>
      </c>
      <c r="E73" s="50">
        <f t="array" ref="E73">IF(OR(ISBLANK($A73),C73),IFERROR(0/0,""),INDEX('RFR Data - preExcl'!E$2:E179,$R73,1))</f>
        <v>24</v>
      </c>
      <c r="F73" s="50">
        <f t="array" ref="F73">IF(OR(ISBLANK($A73),$C73),IFERROR(0/0,""),INDEX('RFR Data - preExcl'!Z$2:Z179,$R73,1))</f>
        <v>26</v>
      </c>
      <c r="G73" s="50">
        <f t="array" ref="G73">IF(OR(ISBLANK(A73),C73),IFERROR(0/0,""),INDEX('RFR Data - preExcl'!AC$2:AC179,$R73,1))</f>
        <v>24</v>
      </c>
      <c r="H73" s="50">
        <f t="array" ref="H73">IF(OR(ISBLANK(A73),C73),IFERROR(0/0,""),INDEX('RFR Data - preExcl'!AK$2:AK179,$R73,1))</f>
        <v>24</v>
      </c>
      <c r="I73" s="50">
        <f t="array" ref="I73">IF(OR(ISBLANK(A73),C73),IFERROR(0/0,""),INDEX('RFR Data - preExcl'!AL$2:AL179,$R73,1))</f>
        <v>1</v>
      </c>
      <c r="J73" s="50">
        <f>IFERROR(VLOOKUP($B73,'APS Tubes by Date Import'!$B$2:$J179,2,FALSE),"")</f>
        <v>24</v>
      </c>
      <c r="K73" s="50" t="b">
        <f>IFERROR(VLOOKUP($B73,'APS Tubes by Date Import'!$B$2:$J179,9,FALSE),"")</f>
        <v>1</v>
      </c>
      <c r="L73" s="50">
        <f>IFNA(VLOOKUP($B73,'APS Tubes by Date Import'!$B$2:$J179,6,FALSE),"")</f>
        <v>0</v>
      </c>
      <c r="M73" s="73">
        <f t="shared" si="75"/>
        <v>24</v>
      </c>
      <c r="N73" s="50">
        <f t="shared" si="3"/>
        <v>0</v>
      </c>
      <c r="O73" s="74">
        <v>0.1</v>
      </c>
      <c r="P73" s="75" t="b">
        <f t="shared" si="4"/>
        <v>1</v>
      </c>
      <c r="Q73" s="84" t="str">
        <f t="shared" ref="Q73:Q74" si="88">IFS(OR(O73=0.1,O73=1.1,O73=2.1),"NULL &gt; NEG",O73=3, "Delete NULL",TRUE,IFERROR(0/0,""))</f>
        <v>NULL &gt; NEG</v>
      </c>
      <c r="R73" s="77">
        <f>IFNA(MATCH(A73,'RFR Data - preExcl'!A$2:A179,0),"")</f>
        <v>88</v>
      </c>
      <c r="S73" s="40"/>
      <c r="T73" s="19" t="str">
        <f>IF(EXACT('RFR Data - preExcl'!W73,"Initial"),'RFR Data - preExcl'!A73,IFERROR(0/0,""))</f>
        <v>RUN-COMB_2022-07-06_RFR-072</v>
      </c>
      <c r="U73" s="7">
        <f>IF(EXACT('RFR Data - preExcl'!W73,"Initial"),'RFR Data - preExcl'!U73,IFERROR(0/0,""))</f>
        <v>44748</v>
      </c>
      <c r="X73" s="40"/>
      <c r="Z73" s="50"/>
      <c r="AA73" s="50"/>
      <c r="AC73" s="40"/>
      <c r="AF73" s="40"/>
      <c r="AG73" s="73">
        <v>24.0</v>
      </c>
      <c r="AH73" s="50">
        <v>0.0</v>
      </c>
      <c r="AI73" s="74">
        <v>0.1</v>
      </c>
      <c r="AJ73" s="50">
        <f t="shared" ref="AJ73:AL73" si="87">AG73-M73</f>
        <v>0</v>
      </c>
      <c r="AK73" s="50">
        <f t="shared" si="87"/>
        <v>0</v>
      </c>
      <c r="AL73" s="50">
        <f t="shared" si="87"/>
        <v>0</v>
      </c>
    </row>
    <row r="74">
      <c r="A74" s="6" t="s">
        <v>100</v>
      </c>
      <c r="B74" s="11">
        <v>44775.0</v>
      </c>
      <c r="C74" s="50"/>
      <c r="D74" s="72">
        <v>28.0</v>
      </c>
      <c r="E74" s="50">
        <f t="array" ref="E74">IF(OR(ISBLANK($A74),C74),IFERROR(0/0,""),INDEX('RFR Data - preExcl'!E$2:E179,$R74,1))</f>
        <v>17</v>
      </c>
      <c r="F74" s="50">
        <f t="array" ref="F74">IF(OR(ISBLANK($A74),$C74),IFERROR(0/0,""),INDEX('RFR Data - preExcl'!Z$2:Z179,$R74,1))</f>
        <v>19</v>
      </c>
      <c r="G74" s="50">
        <f t="array" ref="G74">IF(OR(ISBLANK(A74),C74),IFERROR(0/0,""),INDEX('RFR Data - preExcl'!AC$2:AC179,$R74,1))</f>
        <v>17</v>
      </c>
      <c r="H74" s="50">
        <f t="array" ref="H74">IF(OR(ISBLANK(A74),C74),IFERROR(0/0,""),INDEX('RFR Data - preExcl'!AK$2:AK179,$R74,1))</f>
        <v>17</v>
      </c>
      <c r="I74" s="50">
        <f t="array" ref="I74">IF(OR(ISBLANK(A74),C74),IFERROR(0/0,""),INDEX('RFR Data - preExcl'!AL$2:AL179,$R74,1))</f>
        <v>0</v>
      </c>
      <c r="J74" s="50">
        <f>IFERROR(VLOOKUP($B74,'APS Tubes by Date Import'!$B$2:$J179,2,FALSE),"")</f>
        <v>17</v>
      </c>
      <c r="K74" s="50" t="b">
        <f>IFERROR(VLOOKUP($B74,'APS Tubes by Date Import'!$B$2:$J179,9,FALSE),"")</f>
        <v>1</v>
      </c>
      <c r="L74" s="50">
        <f>IFNA(VLOOKUP($B74,'APS Tubes by Date Import'!$B$2:$J179,6,FALSE),"")</f>
        <v>0</v>
      </c>
      <c r="M74" s="73">
        <f t="shared" si="75"/>
        <v>17</v>
      </c>
      <c r="N74" s="50">
        <f t="shared" si="3"/>
        <v>0</v>
      </c>
      <c r="O74" s="74">
        <v>0.1</v>
      </c>
      <c r="P74" s="75" t="b">
        <f t="shared" si="4"/>
        <v>1</v>
      </c>
      <c r="Q74" s="84" t="str">
        <f t="shared" si="88"/>
        <v>NULL &gt; NEG</v>
      </c>
      <c r="R74" s="77">
        <f>IFNA(MATCH(A74,'RFR Data - preExcl'!A$2:A179,0),"")</f>
        <v>90</v>
      </c>
      <c r="S74" s="40"/>
      <c r="T74" s="19" t="str">
        <f>IF(EXACT('RFR Data - preExcl'!W74,"Initial"),'RFR Data - preExcl'!A74,IFERROR(0/0,""))</f>
        <v/>
      </c>
      <c r="U74" s="7" t="str">
        <f>IF(EXACT('RFR Data - preExcl'!W74,"Initial"),'RFR Data - preExcl'!U74,IFERROR(0/0,""))</f>
        <v/>
      </c>
      <c r="X74" s="40"/>
      <c r="Z74" s="50"/>
      <c r="AA74" s="50"/>
      <c r="AC74" s="40"/>
      <c r="AF74" s="40"/>
      <c r="AG74" s="73">
        <v>17.0</v>
      </c>
      <c r="AH74" s="50">
        <v>0.0</v>
      </c>
      <c r="AI74" s="74">
        <v>0.1</v>
      </c>
      <c r="AJ74" s="50">
        <f t="shared" ref="AJ74:AL74" si="89">AG74-M74</f>
        <v>0</v>
      </c>
      <c r="AK74" s="50">
        <f t="shared" si="89"/>
        <v>0</v>
      </c>
      <c r="AL74" s="50">
        <f t="shared" si="89"/>
        <v>0</v>
      </c>
    </row>
    <row r="75">
      <c r="A75" s="6" t="s">
        <v>102</v>
      </c>
      <c r="B75" s="11">
        <v>44776.0</v>
      </c>
      <c r="C75" s="107" t="b">
        <v>1</v>
      </c>
      <c r="D75" s="50"/>
      <c r="E75" s="108"/>
      <c r="F75" s="108"/>
      <c r="G75" s="108"/>
      <c r="H75" s="108"/>
      <c r="I75" s="108"/>
      <c r="J75" s="50">
        <f>IFERROR(VLOOKUP($B75,'APS Tubes by Date Import'!$B$2:$J179,2,FALSE),"")</f>
        <v>13</v>
      </c>
      <c r="K75" s="50" t="b">
        <f>IFERROR(VLOOKUP($B75,'APS Tubes by Date Import'!$B$2:$J179,9,FALSE),"")</f>
        <v>1</v>
      </c>
      <c r="L75" s="50">
        <f>IFNA(VLOOKUP($B75,'APS Tubes by Date Import'!$B$2:$J179,6,FALSE),"")</f>
        <v>0</v>
      </c>
      <c r="M75" s="108">
        <f>J75</f>
        <v>13</v>
      </c>
      <c r="N75" s="50">
        <f t="shared" si="3"/>
        <v>0</v>
      </c>
      <c r="O75" s="74">
        <v>8.0</v>
      </c>
      <c r="P75" s="75" t="b">
        <f t="shared" si="4"/>
        <v>1</v>
      </c>
      <c r="Q75" s="109" t="s">
        <v>136</v>
      </c>
      <c r="R75" s="77" t="str">
        <f>IFNA(MATCH(A75,'RFR Data - preExcl'!A$2:A179,0),"")</f>
        <v/>
      </c>
      <c r="S75" s="40"/>
      <c r="T75" s="19" t="str">
        <f>IF(EXACT('RFR Data - preExcl'!W75,"Initial"),'RFR Data - preExcl'!A75,IFERROR(0/0,""))</f>
        <v>RUN-COMB_2022-07-08_RFR-074</v>
      </c>
      <c r="U75" s="7">
        <f>IF(EXACT('RFR Data - preExcl'!W75,"Initial"),'RFR Data - preExcl'!U75,IFERROR(0/0,""))</f>
        <v>44750</v>
      </c>
      <c r="X75" s="40"/>
      <c r="Z75" s="50"/>
      <c r="AA75" s="50"/>
      <c r="AC75" s="40"/>
      <c r="AF75" s="40"/>
      <c r="AG75" s="50">
        <v>13.0</v>
      </c>
      <c r="AH75" s="50">
        <v>0.0</v>
      </c>
      <c r="AI75" s="74">
        <v>8.0</v>
      </c>
      <c r="AJ75" s="50">
        <f t="shared" ref="AJ75:AL75" si="90">AG75-M75</f>
        <v>0</v>
      </c>
      <c r="AK75" s="50">
        <f t="shared" si="90"/>
        <v>0</v>
      </c>
      <c r="AL75" s="50">
        <f t="shared" si="90"/>
        <v>0</v>
      </c>
    </row>
    <row r="76">
      <c r="A76" s="93" t="s">
        <v>106</v>
      </c>
      <c r="B76" s="94">
        <v>44777.0</v>
      </c>
      <c r="C76" s="96"/>
      <c r="D76" s="95"/>
      <c r="E76" s="95">
        <f t="array" ref="E76">IF(ISBLANK($A76),IFERROR(0/0,""),INDEX('RFR Data - preExcl'!E$2:E179,$R76,1))</f>
        <v>32</v>
      </c>
      <c r="F76" s="95"/>
      <c r="G76" s="95">
        <f t="array" ref="G76">IF(ISBLANK($A76),IFERROR(0/0,""),INDEX('RFR Data - preExcl'!AC$2:AC179,$R76,1))</f>
        <v>32</v>
      </c>
      <c r="H76" s="95">
        <f t="array" ref="H76">IF(ISBLANK($A76),IFERROR(0/0,""),INDEX('RFR Data - preExcl'!AK$2:AK179,$R76,1))</f>
        <v>32</v>
      </c>
      <c r="I76" s="95">
        <f t="array" ref="I76">IF(ISBLANK($A76),IFERROR(0/0,""),INDEX('RFR Data - preExcl'!AL$2:AL179,$R76,1))</f>
        <v>0</v>
      </c>
      <c r="J76" s="95" t="str">
        <f>IFERROR(VLOOKUP($B76,'APS Tubes by Date Import'!$B$2:$J179,2,FALSE),"")</f>
        <v/>
      </c>
      <c r="K76" s="95" t="str">
        <f>IFERROR(VLOOKUP($B76,'APS Tubes by Date Import'!$B$2:$J179,9,FALSE),"")</f>
        <v/>
      </c>
      <c r="L76" s="95" t="str">
        <f>IFNA(VLOOKUP($B76,'APS Tubes by Date Import'!$B$2:$J179,6,FALSE),"")</f>
        <v/>
      </c>
      <c r="M76" s="73">
        <f t="shared" ref="M76:M78" si="92">H76</f>
        <v>32</v>
      </c>
      <c r="N76" s="50">
        <f t="shared" si="3"/>
        <v>32</v>
      </c>
      <c r="O76" s="110">
        <v>9.0</v>
      </c>
      <c r="P76" s="75" t="b">
        <f t="shared" si="4"/>
        <v>1</v>
      </c>
      <c r="Q76" s="106" t="s">
        <v>137</v>
      </c>
      <c r="R76" s="77">
        <f>IFNA(MATCH(A76,'RFR Data - preExcl'!A$2:A179,0),"")</f>
        <v>91</v>
      </c>
      <c r="S76" s="40"/>
      <c r="T76" s="19" t="str">
        <f>IF(EXACT('RFR Data - preExcl'!W76,"Initial"),'RFR Data - preExcl'!A76,IFERROR(0/0,""))</f>
        <v>RUN-COMB_2022-07-11_RFR-075</v>
      </c>
      <c r="U76" s="7">
        <f>IF(EXACT('RFR Data - preExcl'!W76,"Initial"),'RFR Data - preExcl'!U76,IFERROR(0/0,""))</f>
        <v>44753</v>
      </c>
      <c r="X76" s="40"/>
      <c r="Z76" s="50"/>
      <c r="AA76" s="50"/>
      <c r="AC76" s="40"/>
      <c r="AF76" s="40"/>
      <c r="AG76" s="73">
        <v>32.0</v>
      </c>
      <c r="AH76" s="50">
        <v>32.0</v>
      </c>
      <c r="AI76" s="110">
        <v>9.0</v>
      </c>
      <c r="AJ76" s="50">
        <f t="shared" ref="AJ76:AL76" si="91">AG76-M76</f>
        <v>0</v>
      </c>
      <c r="AK76" s="50">
        <f t="shared" si="91"/>
        <v>0</v>
      </c>
      <c r="AL76" s="50">
        <f t="shared" si="91"/>
        <v>0</v>
      </c>
    </row>
    <row r="77">
      <c r="A77" s="6" t="s">
        <v>103</v>
      </c>
      <c r="B77" s="11">
        <v>44781.0</v>
      </c>
      <c r="C77" s="50"/>
      <c r="D77" s="50"/>
      <c r="E77" s="50">
        <f t="array" ref="E77">IF(ISBLANK($A77),IFERROR(0/0,""),INDEX('RFR Data - preExcl'!E$2:E179,$R77,1))</f>
        <v>26</v>
      </c>
      <c r="F77" s="50"/>
      <c r="G77" s="50">
        <f t="array" ref="G77">IF(ISBLANK($A77),IFERROR(0/0,""),INDEX('RFR Data - preExcl'!AC$2:AC179,$R77,1))</f>
        <v>26</v>
      </c>
      <c r="H77" s="50">
        <f t="array" ref="H77">IF(ISBLANK($A77),IFERROR(0/0,""),INDEX('RFR Data - preExcl'!AK$2:AK179,$R77,1))</f>
        <v>26</v>
      </c>
      <c r="I77" s="50">
        <f t="array" ref="I77">IF(ISBLANK($A77),IFERROR(0/0,""),INDEX('RFR Data - preExcl'!AL$2:AL179,$R77,1))</f>
        <v>4</v>
      </c>
      <c r="J77" s="50">
        <f>IFERROR(VLOOKUP($B77,'APS Tubes by Date Import'!$B$2:$J179,2,FALSE),"")</f>
        <v>26</v>
      </c>
      <c r="K77" s="50" t="b">
        <f>IFERROR(VLOOKUP($B77,'APS Tubes by Date Import'!$B$2:$J179,9,FALSE),"")</f>
        <v>1</v>
      </c>
      <c r="L77" s="50">
        <f>IFNA(VLOOKUP($B77,'APS Tubes by Date Import'!$B$2:$J179,6,FALSE),"")</f>
        <v>0</v>
      </c>
      <c r="M77" s="73">
        <f t="shared" si="92"/>
        <v>26</v>
      </c>
      <c r="N77" s="50">
        <f t="shared" si="3"/>
        <v>0</v>
      </c>
      <c r="O77" s="101">
        <v>0.3</v>
      </c>
      <c r="P77" s="75" t="b">
        <f t="shared" si="4"/>
        <v>1</v>
      </c>
      <c r="Q77" s="102" t="s">
        <v>135</v>
      </c>
      <c r="R77" s="77">
        <f>IFNA(MATCH(A77,'RFR Data - preExcl'!A$2:A179,0),"")</f>
        <v>92</v>
      </c>
      <c r="S77" s="40"/>
      <c r="T77" s="19" t="str">
        <f>IF(EXACT('RFR Data - preExcl'!W77,"Initial"),'RFR Data - preExcl'!A77,IFERROR(0/0,""))</f>
        <v>RUN-COMB_2022-07-12_RFR-076</v>
      </c>
      <c r="U77" s="7">
        <f>IF(EXACT('RFR Data - preExcl'!W77,"Initial"),'RFR Data - preExcl'!U77,IFERROR(0/0,""))</f>
        <v>44754</v>
      </c>
      <c r="X77" s="40"/>
      <c r="Z77" s="50"/>
      <c r="AA77" s="50"/>
      <c r="AC77" s="40"/>
      <c r="AF77" s="40"/>
      <c r="AG77" s="73">
        <v>26.0</v>
      </c>
      <c r="AH77" s="50">
        <v>0.0</v>
      </c>
      <c r="AI77" s="101">
        <v>0.3</v>
      </c>
      <c r="AJ77" s="50">
        <f t="shared" ref="AJ77:AL77" si="93">AG77-M77</f>
        <v>0</v>
      </c>
      <c r="AK77" s="50">
        <f t="shared" si="93"/>
        <v>0</v>
      </c>
      <c r="AL77" s="50">
        <f t="shared" si="93"/>
        <v>0</v>
      </c>
    </row>
    <row r="78">
      <c r="A78" s="6" t="s">
        <v>104</v>
      </c>
      <c r="B78" s="11">
        <v>44782.0</v>
      </c>
      <c r="C78" s="50"/>
      <c r="D78" s="72">
        <v>28.0</v>
      </c>
      <c r="E78" s="50">
        <f t="array" ref="E78">IF(ISBLANK($A78),IFERROR(0/0,""),INDEX('RFR Data - preExcl'!E$2:E179,$R78,1))</f>
        <v>20</v>
      </c>
      <c r="F78" s="50"/>
      <c r="G78" s="50">
        <f t="array" ref="G78">IF(ISBLANK($A78),IFERROR(0/0,""),INDEX('RFR Data - preExcl'!AC$2:AC179,$R78,1))</f>
        <v>20</v>
      </c>
      <c r="H78" s="50">
        <f t="array" ref="H78">IF(ISBLANK($A78),IFERROR(0/0,""),INDEX('RFR Data - preExcl'!AK$2:AK179,$R78,1))</f>
        <v>20</v>
      </c>
      <c r="I78" s="50">
        <f t="array" ref="I78">IF(ISBLANK($A78),IFERROR(0/0,""),INDEX('RFR Data - preExcl'!AL$2:AL179,$R78,1))</f>
        <v>0</v>
      </c>
      <c r="J78" s="50">
        <f>IFERROR(VLOOKUP($B78,'APS Tubes by Date Import'!$B$2:$J179,2,FALSE),"")</f>
        <v>20</v>
      </c>
      <c r="K78" s="50" t="b">
        <f>IFERROR(VLOOKUP($B78,'APS Tubes by Date Import'!$B$2:$J179,9,FALSE),"")</f>
        <v>1</v>
      </c>
      <c r="L78" s="50">
        <f>IFNA(VLOOKUP($B78,'APS Tubes by Date Import'!$B$2:$J179,6,FALSE),"")</f>
        <v>0</v>
      </c>
      <c r="M78" s="73">
        <f t="shared" si="92"/>
        <v>20</v>
      </c>
      <c r="N78" s="50">
        <f t="shared" si="3"/>
        <v>0</v>
      </c>
      <c r="O78" s="74">
        <v>0.1</v>
      </c>
      <c r="P78" s="75" t="b">
        <f t="shared" si="4"/>
        <v>1</v>
      </c>
      <c r="Q78" s="84" t="str">
        <f>IFS(OR(O78=0.1,O78=1.1,O78=2.1),"NULL &gt; NEG",O78=3, "Delete NULL",TRUE,IFERROR(0/0,""))</f>
        <v>NULL &gt; NEG</v>
      </c>
      <c r="R78" s="77">
        <f>IFNA(MATCH(A78,'RFR Data - preExcl'!A$2:A179,0),"")</f>
        <v>94</v>
      </c>
      <c r="S78" s="40"/>
      <c r="T78" s="19" t="str">
        <f>IF(EXACT('RFR Data - preExcl'!W78,"Initial"),'RFR Data - preExcl'!A78,IFERROR(0/0,""))</f>
        <v>RUN-COMB_2022-07-13_RFR-077</v>
      </c>
      <c r="U78" s="7">
        <f>IF(EXACT('RFR Data - preExcl'!W78,"Initial"),'RFR Data - preExcl'!U78,IFERROR(0/0,""))</f>
        <v>44755</v>
      </c>
      <c r="X78" s="40"/>
      <c r="Z78" s="50"/>
      <c r="AA78" s="50"/>
      <c r="AC78" s="40"/>
      <c r="AF78" s="40"/>
      <c r="AG78" s="73">
        <v>20.0</v>
      </c>
      <c r="AH78" s="50">
        <v>0.0</v>
      </c>
      <c r="AI78" s="74">
        <v>0.1</v>
      </c>
      <c r="AJ78" s="50">
        <f t="shared" ref="AJ78:AL78" si="94">AG78-M78</f>
        <v>0</v>
      </c>
      <c r="AK78" s="50">
        <f t="shared" si="94"/>
        <v>0</v>
      </c>
      <c r="AL78" s="50">
        <f t="shared" si="94"/>
        <v>0</v>
      </c>
    </row>
    <row r="79">
      <c r="A79" s="6" t="s">
        <v>105</v>
      </c>
      <c r="B79" s="11">
        <v>44783.0</v>
      </c>
      <c r="C79" s="107" t="b">
        <v>1</v>
      </c>
      <c r="D79" s="72">
        <v>22.0</v>
      </c>
      <c r="E79" s="50"/>
      <c r="F79" s="50"/>
      <c r="G79" s="50"/>
      <c r="H79" s="50"/>
      <c r="I79" s="50"/>
      <c r="J79" s="50">
        <f>IFERROR(VLOOKUP($B79,'APS Tubes by Date Import'!$B$2:$J179,2,FALSE),"")</f>
        <v>16</v>
      </c>
      <c r="K79" s="50" t="b">
        <f>IFERROR(VLOOKUP($B79,'APS Tubes by Date Import'!$B$2:$J179,9,FALSE),"")</f>
        <v>1</v>
      </c>
      <c r="L79" s="50">
        <f>IFNA(VLOOKUP($B79,'APS Tubes by Date Import'!$B$2:$J179,6,FALSE),"")</f>
        <v>0</v>
      </c>
      <c r="M79" s="108">
        <f>J79</f>
        <v>16</v>
      </c>
      <c r="N79" s="50">
        <f t="shared" si="3"/>
        <v>0</v>
      </c>
      <c r="O79" s="74">
        <v>8.0</v>
      </c>
      <c r="P79" s="75" t="b">
        <f t="shared" si="4"/>
        <v>1</v>
      </c>
      <c r="Q79" s="109" t="s">
        <v>136</v>
      </c>
      <c r="R79" s="77" t="str">
        <f>IFNA(MATCH(A79,'RFR Data - preExcl'!A$2:A179,0),"")</f>
        <v/>
      </c>
      <c r="S79" s="40"/>
      <c r="T79" s="19" t="str">
        <f>IF(EXACT('RFR Data - preExcl'!W79,"Initial"),'RFR Data - preExcl'!A79,IFERROR(0/0,""))</f>
        <v>RUN-COMB_2022-07-14_RFR-078</v>
      </c>
      <c r="U79" s="7">
        <f>IF(EXACT('RFR Data - preExcl'!W79,"Initial"),'RFR Data - preExcl'!U79,IFERROR(0/0,""))</f>
        <v>44756</v>
      </c>
      <c r="X79" s="40"/>
      <c r="Z79" s="50"/>
      <c r="AA79" s="50"/>
      <c r="AC79" s="40"/>
      <c r="AF79" s="40"/>
      <c r="AG79" s="50">
        <v>16.0</v>
      </c>
      <c r="AH79" s="50">
        <v>0.0</v>
      </c>
      <c r="AI79" s="74">
        <v>8.0</v>
      </c>
      <c r="AJ79" s="50">
        <f t="shared" ref="AJ79:AL79" si="95">AG79-M79</f>
        <v>0</v>
      </c>
      <c r="AK79" s="50">
        <f t="shared" si="95"/>
        <v>0</v>
      </c>
      <c r="AL79" s="50">
        <f t="shared" si="95"/>
        <v>0</v>
      </c>
    </row>
    <row r="80">
      <c r="A80" s="93" t="s">
        <v>107</v>
      </c>
      <c r="B80" s="94">
        <v>44788.0</v>
      </c>
      <c r="C80" s="96"/>
      <c r="D80" s="96">
        <v>18.0</v>
      </c>
      <c r="E80" s="95">
        <f t="array" ref="E80">IF(ISBLANK($A80),IFERROR(0/0,""),INDEX('RFR Data - preExcl'!E$2:E179,$R80,1))</f>
        <v>37</v>
      </c>
      <c r="F80" s="95"/>
      <c r="G80" s="95">
        <f t="array" ref="G80">IF(ISBLANK($A80),IFERROR(0/0,""),INDEX('RFR Data - preExcl'!AC$2:AC179,$R80,1))</f>
        <v>37</v>
      </c>
      <c r="H80" s="95">
        <f t="array" ref="H80">IF(ISBLANK($A80),IFERROR(0/0,""),INDEX('RFR Data - preExcl'!AK$2:AK179,$R80,1))</f>
        <v>37</v>
      </c>
      <c r="I80" s="95">
        <f t="array" ref="I80">IF(ISBLANK($A80),IFERROR(0/0,""),INDEX('RFR Data - preExcl'!AL$2:AL179,$R80,1))</f>
        <v>0</v>
      </c>
      <c r="J80" s="95" t="str">
        <f>IFERROR(VLOOKUP($B80,'APS Tubes by Date Import'!$B$2:$J179,2,FALSE),"")</f>
        <v/>
      </c>
      <c r="K80" s="95" t="str">
        <f>IFERROR(VLOOKUP($B80,'APS Tubes by Date Import'!$B$2:$J179,9,FALSE),"")</f>
        <v/>
      </c>
      <c r="L80" s="95" t="str">
        <f>IFNA(VLOOKUP($B80,'APS Tubes by Date Import'!$B$2:$J179,6,FALSE),"")</f>
        <v/>
      </c>
      <c r="M80" s="73">
        <f>H80</f>
        <v>37</v>
      </c>
      <c r="N80" s="50">
        <f t="shared" si="3"/>
        <v>37</v>
      </c>
      <c r="O80" s="110">
        <v>9.0</v>
      </c>
      <c r="P80" s="75" t="b">
        <f t="shared" si="4"/>
        <v>1</v>
      </c>
      <c r="Q80" s="106" t="s">
        <v>137</v>
      </c>
      <c r="R80" s="77">
        <f>IFNA(MATCH(A80,'RFR Data - preExcl'!A$2:A179,0),"")</f>
        <v>95</v>
      </c>
      <c r="S80" s="40"/>
      <c r="T80" s="19" t="str">
        <f>IF(EXACT('RFR Data - preExcl'!W80,"Initial"),'RFR Data - preExcl'!A80,IFERROR(0/0,""))</f>
        <v>RUN-COMB_2022-07-15_RFR-079</v>
      </c>
      <c r="U80" s="7">
        <f>IF(EXACT('RFR Data - preExcl'!W80,"Initial"),'RFR Data - preExcl'!U80,IFERROR(0/0,""))</f>
        <v>44757</v>
      </c>
      <c r="X80" s="40"/>
      <c r="Z80" s="50"/>
      <c r="AA80" s="50"/>
      <c r="AC80" s="40"/>
      <c r="AF80" s="40"/>
      <c r="AG80" s="73">
        <v>37.0</v>
      </c>
      <c r="AH80" s="50">
        <v>37.0</v>
      </c>
      <c r="AI80" s="110">
        <v>9.0</v>
      </c>
      <c r="AJ80" s="50">
        <f t="shared" ref="AJ80:AL80" si="96">AG80-M80</f>
        <v>0</v>
      </c>
      <c r="AK80" s="50">
        <f t="shared" si="96"/>
        <v>0</v>
      </c>
      <c r="AL80" s="50">
        <f t="shared" si="96"/>
        <v>0</v>
      </c>
    </row>
    <row r="81">
      <c r="A81" s="6"/>
      <c r="B81" s="11"/>
      <c r="C81" s="50"/>
      <c r="D81" s="50"/>
      <c r="E81" s="50" t="str">
        <f t="array" ref="E81">IF(ISBLANK($A81),IFERROR(0/0,""),INDEX('RFR Data - preExcl'!E$2:E179,$R81,1))</f>
        <v/>
      </c>
      <c r="F81" s="50"/>
      <c r="G81" s="50" t="str">
        <f t="array" ref="G81">IF(ISBLANK($A81),IFERROR(0/0,""),INDEX('RFR Data - preExcl'!AC$2:AC179,$R81,1))</f>
        <v/>
      </c>
      <c r="H81" s="50" t="str">
        <f t="array" ref="H81">IF(ISBLANK($A81),IFERROR(0/0,""),INDEX('RFR Data - preExcl'!AK$2:AK179,$R81,1))</f>
        <v/>
      </c>
      <c r="I81" s="50" t="str">
        <f t="array" ref="I81">IF(ISBLANK($A81),IFERROR(0/0,""),INDEX('RFR Data - preExcl'!AL$2:AL179,$R81,1))</f>
        <v/>
      </c>
      <c r="J81" s="50" t="str">
        <f>IFERROR(VLOOKUP($B81,'APS Tubes by Date Import'!$B$2:$J179,2,FALSE),"")</f>
        <v/>
      </c>
      <c r="K81" s="50" t="str">
        <f>IFERROR(VLOOKUP($B81,'APS Tubes by Date Import'!$B$2:$J179,9,FALSE),"")</f>
        <v/>
      </c>
      <c r="L81" s="50" t="str">
        <f>IFNA(VLOOKUP($B81,'APS Tubes by Date Import'!$B$2:$J179,6,FALSE),"")</f>
        <v/>
      </c>
      <c r="M81" s="50"/>
      <c r="N81" s="50"/>
      <c r="P81" s="54" t="str">
        <f t="shared" si="4"/>
        <v/>
      </c>
      <c r="R81" s="77" t="str">
        <f>IFNA(MATCH(A81,'RFR Data - preExcl'!A$2:A179,0),"")</f>
        <v/>
      </c>
      <c r="S81" s="40"/>
      <c r="T81" s="19" t="str">
        <f>IF(EXACT('RFR Data - preExcl'!W81,"Initial"),'RFR Data - preExcl'!A81,IFERROR(0/0,""))</f>
        <v>RUN-COMB_2022-07-18_RFR-080</v>
      </c>
      <c r="U81" s="7">
        <f>IF(EXACT('RFR Data - preExcl'!W81,"Initial"),'RFR Data - preExcl'!U81,IFERROR(0/0,""))</f>
        <v>44760</v>
      </c>
      <c r="X81" s="40"/>
      <c r="Z81" s="50"/>
      <c r="AA81" s="50"/>
      <c r="AC81" s="40"/>
      <c r="AF81" s="40"/>
      <c r="AJ81" s="50">
        <f t="shared" ref="AJ81:AL81" si="97">AG81-M81</f>
        <v>0</v>
      </c>
      <c r="AK81" s="50">
        <f t="shared" si="97"/>
        <v>0</v>
      </c>
      <c r="AL81" s="50">
        <f t="shared" si="97"/>
        <v>0</v>
      </c>
    </row>
    <row r="82">
      <c r="A82" s="111"/>
      <c r="B82" s="112"/>
      <c r="C82" s="113"/>
      <c r="D82" s="113"/>
      <c r="E82" s="113"/>
      <c r="F82" s="113"/>
      <c r="G82" s="113"/>
      <c r="H82" s="113"/>
      <c r="I82" s="113"/>
      <c r="J82" s="113"/>
      <c r="K82" s="113"/>
      <c r="L82" s="113"/>
      <c r="M82" s="113"/>
      <c r="N82" s="113"/>
      <c r="O82" s="114"/>
      <c r="P82" s="115"/>
      <c r="Q82" s="116"/>
      <c r="R82" s="117"/>
      <c r="S82" s="40"/>
      <c r="T82" s="19" t="str">
        <f>IF(EXACT('RFR Data - preExcl'!W82,"Initial"),'RFR Data - preExcl'!A82,IFERROR(0/0,""))</f>
        <v/>
      </c>
      <c r="U82" s="7" t="str">
        <f>IF(EXACT('RFR Data - preExcl'!W82,"Initial"),'RFR Data - preExcl'!U82,IFERROR(0/0,""))</f>
        <v/>
      </c>
      <c r="X82" s="40"/>
      <c r="Z82" s="50"/>
      <c r="AA82" s="50"/>
      <c r="AC82" s="40"/>
      <c r="AF82" s="40"/>
      <c r="AG82" s="113"/>
      <c r="AH82" s="113"/>
      <c r="AI82" s="114"/>
      <c r="AJ82" s="50">
        <f t="shared" ref="AJ82:AL82" si="98">AG82-M82</f>
        <v>0</v>
      </c>
      <c r="AK82" s="50">
        <f t="shared" si="98"/>
        <v>0</v>
      </c>
      <c r="AL82" s="50">
        <f t="shared" si="98"/>
        <v>0</v>
      </c>
    </row>
    <row r="83">
      <c r="A83" s="118" t="s">
        <v>79</v>
      </c>
      <c r="B83" s="119">
        <v>44722.0</v>
      </c>
      <c r="C83" s="107" t="b">
        <v>1</v>
      </c>
      <c r="D83" s="72">
        <v>25.0</v>
      </c>
      <c r="E83" s="50"/>
      <c r="F83" s="50"/>
      <c r="G83" s="50"/>
      <c r="H83" s="50"/>
      <c r="I83" s="50"/>
      <c r="J83" s="50"/>
      <c r="K83" s="50"/>
      <c r="L83" s="50"/>
      <c r="M83" s="72">
        <v>25.0</v>
      </c>
      <c r="N83" s="50">
        <f>M83-J83</f>
        <v>25</v>
      </c>
      <c r="O83" s="74">
        <v>10.0</v>
      </c>
      <c r="P83" s="54"/>
      <c r="Q83" s="120" t="s">
        <v>139</v>
      </c>
      <c r="R83" s="77"/>
      <c r="S83" s="40"/>
      <c r="T83" s="19" t="str">
        <f>IF(EXACT('RFR Data - preExcl'!W83,"Initial"),'RFR Data - preExcl'!A83,IFERROR(0/0,""))</f>
        <v>RUN-COMB_2022-07-19_RFR-082</v>
      </c>
      <c r="U83" s="7">
        <f>IF(EXACT('RFR Data - preExcl'!W83,"Initial"),'RFR Data - preExcl'!U83,IFERROR(0/0,""))</f>
        <v>44761</v>
      </c>
      <c r="X83" s="40"/>
      <c r="Z83" s="50"/>
      <c r="AA83" s="50"/>
      <c r="AC83" s="40"/>
      <c r="AF83" s="40"/>
      <c r="AG83" s="72">
        <v>25.0</v>
      </c>
      <c r="AH83" s="50">
        <v>25.0</v>
      </c>
      <c r="AI83" s="74">
        <v>10.0</v>
      </c>
      <c r="AJ83" s="50">
        <f t="shared" ref="AJ83:AL83" si="99">AG83-M83</f>
        <v>0</v>
      </c>
      <c r="AK83" s="50">
        <f t="shared" si="99"/>
        <v>0</v>
      </c>
      <c r="AL83" s="50">
        <f t="shared" si="99"/>
        <v>0</v>
      </c>
    </row>
    <row r="84">
      <c r="B84" s="11"/>
      <c r="C84" s="50"/>
      <c r="D84" s="50"/>
      <c r="E84" s="50"/>
      <c r="F84" s="50"/>
      <c r="G84" s="50"/>
      <c r="H84" s="50"/>
      <c r="I84" s="50"/>
      <c r="J84" s="50"/>
      <c r="K84" s="50"/>
      <c r="L84" s="50"/>
      <c r="M84" s="50"/>
      <c r="N84" s="50"/>
      <c r="O84" s="121"/>
      <c r="P84" s="109"/>
      <c r="Q84" s="109"/>
      <c r="R84" s="77"/>
      <c r="S84" s="40"/>
      <c r="T84" s="19" t="str">
        <f>IF(EXACT('RFR Data - preExcl'!W84,"Initial"),'RFR Data - preExcl'!A84,IFERROR(0/0,""))</f>
        <v/>
      </c>
      <c r="U84" s="7" t="str">
        <f>IF(EXACT('RFR Data - preExcl'!W84,"Initial"),'RFR Data - preExcl'!U84,IFERROR(0/0,""))</f>
        <v/>
      </c>
      <c r="X84" s="40"/>
      <c r="Z84" s="50"/>
      <c r="AA84" s="50"/>
      <c r="AC84" s="40"/>
      <c r="AF84" s="40"/>
      <c r="AG84" s="50"/>
      <c r="AH84" s="50"/>
      <c r="AI84" s="74"/>
    </row>
    <row r="85">
      <c r="B85" s="11"/>
      <c r="C85" s="50"/>
      <c r="D85" s="50"/>
      <c r="E85" s="50"/>
      <c r="F85" s="50"/>
      <c r="G85" s="50"/>
      <c r="H85" s="50"/>
      <c r="I85" s="50"/>
      <c r="J85" s="50"/>
      <c r="K85" s="50"/>
      <c r="L85" s="50"/>
      <c r="M85" s="50"/>
      <c r="N85" s="50"/>
      <c r="O85" s="121"/>
      <c r="P85" s="54"/>
      <c r="Q85" s="109"/>
      <c r="R85" s="77"/>
      <c r="S85" s="40"/>
      <c r="T85" s="19" t="str">
        <f>IF(EXACT('RFR Data - preExcl'!W85,"Initial"),'RFR Data - preExcl'!A85,IFERROR(0/0,""))</f>
        <v>RUN-COMB_2022-07-20_RFR-084</v>
      </c>
      <c r="U85" s="7">
        <f>IF(EXACT('RFR Data - preExcl'!W85,"Initial"),'RFR Data - preExcl'!U85,IFERROR(0/0,""))</f>
        <v>44762</v>
      </c>
      <c r="X85" s="40"/>
      <c r="Z85" s="50"/>
      <c r="AA85" s="50"/>
      <c r="AC85" s="40"/>
      <c r="AF85" s="40"/>
      <c r="AG85" s="50"/>
      <c r="AH85" s="50"/>
      <c r="AI85" s="74"/>
    </row>
    <row r="86">
      <c r="B86" s="11"/>
      <c r="C86" s="50"/>
      <c r="D86" s="50"/>
      <c r="E86" s="50"/>
      <c r="F86" s="50"/>
      <c r="G86" s="50"/>
      <c r="H86" s="50"/>
      <c r="I86" s="50"/>
      <c r="J86" s="50"/>
      <c r="K86" s="50"/>
      <c r="L86" s="50"/>
      <c r="M86" s="50"/>
      <c r="N86" s="55"/>
      <c r="O86" s="72"/>
      <c r="Q86" s="109"/>
      <c r="R86" s="122"/>
      <c r="S86" s="40"/>
      <c r="T86" s="19" t="str">
        <f>IF(EXACT('RFR Data - preExcl'!W86,"Initial"),'RFR Data - preExcl'!A86,IFERROR(0/0,""))</f>
        <v>RUN-COMB_2022-07-22_RFR-085</v>
      </c>
      <c r="U86" s="7">
        <f>IF(EXACT('RFR Data - preExcl'!W86,"Initial"),'RFR Data - preExcl'!U86,IFERROR(0/0,""))</f>
        <v>44764</v>
      </c>
      <c r="X86" s="40"/>
      <c r="Z86" s="50"/>
      <c r="AA86" s="50"/>
      <c r="AC86" s="40"/>
      <c r="AF86" s="40"/>
      <c r="AG86" s="50"/>
      <c r="AH86" s="50"/>
      <c r="AI86" s="74"/>
    </row>
    <row r="87">
      <c r="C87" s="50"/>
      <c r="D87" s="50"/>
      <c r="E87" s="50"/>
      <c r="F87" s="50"/>
      <c r="G87" s="50"/>
      <c r="H87" s="50"/>
      <c r="I87" s="50"/>
      <c r="J87" s="50"/>
      <c r="K87" s="50"/>
      <c r="L87" s="50"/>
      <c r="M87" s="50"/>
      <c r="N87" s="55"/>
      <c r="O87" s="72"/>
      <c r="Q87" s="109"/>
      <c r="R87" s="122"/>
      <c r="S87" s="40"/>
      <c r="T87" s="19" t="str">
        <f>IF(EXACT('RFR Data - preExcl'!W87,"Initial"),'RFR Data - preExcl'!A87,IFERROR(0/0,""))</f>
        <v>RUN-COMB_2022-07-21_RFR-086</v>
      </c>
      <c r="U87" s="7">
        <f>IF(EXACT('RFR Data - preExcl'!W87,"Initial"),'RFR Data - preExcl'!U87,IFERROR(0/0,""))</f>
        <v>44763</v>
      </c>
      <c r="W87" s="100"/>
      <c r="X87" s="40"/>
      <c r="Z87" s="50"/>
      <c r="AA87" s="50"/>
      <c r="AC87" s="40"/>
      <c r="AF87" s="40"/>
      <c r="AG87" s="50"/>
      <c r="AH87" s="50"/>
      <c r="AI87" s="74"/>
    </row>
    <row r="88">
      <c r="C88" s="50"/>
      <c r="D88" s="50"/>
      <c r="E88" s="50"/>
      <c r="F88" s="50"/>
      <c r="G88" s="50"/>
      <c r="H88" s="50"/>
      <c r="I88" s="50"/>
      <c r="J88" s="50"/>
      <c r="K88" s="50"/>
      <c r="L88" s="50"/>
      <c r="M88" s="50"/>
      <c r="N88" s="55"/>
      <c r="O88" s="72"/>
      <c r="R88" s="122"/>
      <c r="S88" s="40"/>
      <c r="T88" s="19" t="str">
        <f>IF(EXACT('RFR Data - preExcl'!W88,"Initial"),'RFR Data - preExcl'!A88,IFERROR(0/0,""))</f>
        <v/>
      </c>
      <c r="U88" s="7" t="str">
        <f>IF(EXACT('RFR Data - preExcl'!W88,"Initial"),'RFR Data - preExcl'!U88,IFERROR(0/0,""))</f>
        <v/>
      </c>
      <c r="W88" s="100"/>
      <c r="X88" s="40"/>
      <c r="Z88" s="50"/>
      <c r="AA88" s="50"/>
      <c r="AC88" s="40"/>
      <c r="AF88" s="40"/>
      <c r="AG88" s="50"/>
      <c r="AH88" s="50"/>
      <c r="AI88" s="74"/>
    </row>
    <row r="89">
      <c r="C89" s="50"/>
      <c r="D89" s="50"/>
      <c r="E89" s="50"/>
      <c r="F89" s="50"/>
      <c r="G89" s="50"/>
      <c r="H89" s="50"/>
      <c r="I89" s="50"/>
      <c r="J89" s="50"/>
      <c r="K89" s="50"/>
      <c r="L89" s="50"/>
      <c r="M89" s="50"/>
      <c r="N89" s="55"/>
      <c r="O89" s="72"/>
      <c r="R89" s="122"/>
      <c r="S89" s="40"/>
      <c r="T89" s="19" t="str">
        <f>IF(EXACT('RFR Data - preExcl'!W89,"Initial"),'RFR Data - preExcl'!A89,IFERROR(0/0,""))</f>
        <v>RUN-COMB_2022-08-01_RFR-088</v>
      </c>
      <c r="U89" s="7">
        <f>IF(EXACT('RFR Data - preExcl'!W89,"Initial"),'RFR Data - preExcl'!U89,IFERROR(0/0,""))</f>
        <v>44774</v>
      </c>
      <c r="W89" s="100"/>
      <c r="X89" s="40"/>
      <c r="Z89" s="50"/>
      <c r="AA89" s="50"/>
      <c r="AC89" s="40"/>
      <c r="AF89" s="40"/>
      <c r="AG89" s="72"/>
      <c r="AH89" s="50"/>
      <c r="AI89" s="74"/>
    </row>
    <row r="90">
      <c r="C90" s="50"/>
      <c r="D90" s="50"/>
      <c r="E90" s="50"/>
      <c r="F90" s="50"/>
      <c r="G90" s="50"/>
      <c r="H90" s="50"/>
      <c r="I90" s="50"/>
      <c r="J90" s="50"/>
      <c r="K90" s="50"/>
      <c r="L90" s="50"/>
      <c r="M90" s="50"/>
      <c r="N90" s="55"/>
      <c r="O90" s="72"/>
      <c r="R90" s="122"/>
      <c r="S90" s="40"/>
      <c r="T90" s="19" t="str">
        <f>IF(EXACT('RFR Data - preExcl'!W90,"Initial"),'RFR Data - preExcl'!A90,IFERROR(0/0,""))</f>
        <v/>
      </c>
      <c r="U90" s="7" t="str">
        <f>IF(EXACT('RFR Data - preExcl'!W90,"Initial"),'RFR Data - preExcl'!U90,IFERROR(0/0,""))</f>
        <v/>
      </c>
      <c r="W90" s="100"/>
      <c r="X90" s="40"/>
      <c r="Z90" s="50"/>
      <c r="AA90" s="50"/>
      <c r="AC90" s="40"/>
      <c r="AF90" s="40"/>
      <c r="AG90" s="50"/>
      <c r="AH90" s="50"/>
      <c r="AI90" s="74"/>
    </row>
    <row r="91">
      <c r="C91" s="50"/>
      <c r="D91" s="50"/>
      <c r="E91" s="50"/>
      <c r="F91" s="50"/>
      <c r="G91" s="50"/>
      <c r="H91" s="50"/>
      <c r="I91" s="50"/>
      <c r="J91" s="50"/>
      <c r="K91" s="50"/>
      <c r="L91" s="50"/>
      <c r="M91" s="50"/>
      <c r="N91" s="55"/>
      <c r="O91" s="72"/>
      <c r="R91" s="122"/>
      <c r="S91" s="40"/>
      <c r="T91" s="19" t="str">
        <f>IF(EXACT('RFR Data - preExcl'!W91,"Initial"),'RFR Data - preExcl'!A91,IFERROR(0/0,""))</f>
        <v>RUN-COMB_2022-08-02_RFR-090</v>
      </c>
      <c r="U91" s="7">
        <f>IF(EXACT('RFR Data - preExcl'!W91,"Initial"),'RFR Data - preExcl'!U91,IFERROR(0/0,""))</f>
        <v>44775</v>
      </c>
      <c r="W91" s="100"/>
      <c r="X91" s="40"/>
      <c r="Z91" s="50"/>
      <c r="AA91" s="50"/>
      <c r="AC91" s="40"/>
      <c r="AF91" s="40"/>
      <c r="AG91" s="50"/>
      <c r="AH91" s="50"/>
      <c r="AI91" s="74"/>
    </row>
    <row r="92">
      <c r="C92" s="50"/>
      <c r="D92" s="50"/>
      <c r="E92" s="50"/>
      <c r="F92" s="50"/>
      <c r="G92" s="50"/>
      <c r="H92" s="50"/>
      <c r="I92" s="50"/>
      <c r="J92" s="50"/>
      <c r="K92" s="50"/>
      <c r="L92" s="50"/>
      <c r="M92" s="50"/>
      <c r="N92" s="55"/>
      <c r="O92" s="72"/>
      <c r="R92" s="122"/>
      <c r="S92" s="40"/>
      <c r="T92" s="19" t="str">
        <f>IF(EXACT('RFR Data - preExcl'!W92,"Initial"),'RFR Data - preExcl'!A92,IFERROR(0/0,""))</f>
        <v>RUN-COMB_2022-08-04_RFR-091</v>
      </c>
      <c r="U92" s="7">
        <f>IF(EXACT('RFR Data - preExcl'!W92,"Initial"),'RFR Data - preExcl'!U92,IFERROR(0/0,""))</f>
        <v>44777</v>
      </c>
      <c r="W92" s="100"/>
      <c r="X92" s="40"/>
      <c r="Z92" s="50"/>
      <c r="AA92" s="50"/>
      <c r="AC92" s="40"/>
      <c r="AF92" s="40"/>
      <c r="AG92" s="50"/>
      <c r="AH92" s="50"/>
      <c r="AI92" s="74"/>
    </row>
    <row r="93">
      <c r="C93" s="50"/>
      <c r="D93" s="50"/>
      <c r="E93" s="50"/>
      <c r="F93" s="50"/>
      <c r="G93" s="50"/>
      <c r="H93" s="50"/>
      <c r="I93" s="50"/>
      <c r="J93" s="50"/>
      <c r="K93" s="50"/>
      <c r="L93" s="50"/>
      <c r="M93" s="50"/>
      <c r="N93" s="55"/>
      <c r="O93" s="72"/>
      <c r="R93" s="122"/>
      <c r="S93" s="40"/>
      <c r="T93" s="19" t="str">
        <f>IF(EXACT('RFR Data - preExcl'!W93,"Initial"),'RFR Data - preExcl'!A93,IFERROR(0/0,""))</f>
        <v>RUN-COMB_2022-08-08_RFR-092</v>
      </c>
      <c r="U93" s="7">
        <f>IF(EXACT('RFR Data - preExcl'!W93,"Initial"),'RFR Data - preExcl'!U93,IFERROR(0/0,""))</f>
        <v>44781</v>
      </c>
      <c r="W93" s="100"/>
      <c r="X93" s="40"/>
      <c r="Z93" s="50"/>
      <c r="AA93" s="50"/>
      <c r="AC93" s="40"/>
      <c r="AF93" s="40"/>
      <c r="AG93" s="50"/>
      <c r="AH93" s="50"/>
      <c r="AI93" s="74"/>
    </row>
    <row r="94">
      <c r="C94" s="50"/>
      <c r="D94" s="50"/>
      <c r="E94" s="50"/>
      <c r="F94" s="50"/>
      <c r="G94" s="50"/>
      <c r="H94" s="50"/>
      <c r="I94" s="50"/>
      <c r="J94" s="50"/>
      <c r="K94" s="50"/>
      <c r="L94" s="50"/>
      <c r="M94" s="50"/>
      <c r="N94" s="55"/>
      <c r="O94" s="72"/>
      <c r="R94" s="122"/>
      <c r="S94" s="40"/>
      <c r="T94" s="19" t="str">
        <f>IF(EXACT('RFR Data - preExcl'!W94,"Initial"),'RFR Data - preExcl'!A94,IFERROR(0/0,""))</f>
        <v/>
      </c>
      <c r="U94" s="7" t="str">
        <f>IF(EXACT('RFR Data - preExcl'!W94,"Initial"),'RFR Data - preExcl'!U94,IFERROR(0/0,""))</f>
        <v/>
      </c>
      <c r="W94" s="100"/>
      <c r="X94" s="40"/>
      <c r="Z94" s="50"/>
      <c r="AA94" s="50"/>
      <c r="AC94" s="40"/>
      <c r="AF94" s="40"/>
      <c r="AG94" s="50"/>
      <c r="AH94" s="50"/>
      <c r="AI94" s="74"/>
    </row>
    <row r="95">
      <c r="C95" s="50"/>
      <c r="D95" s="50"/>
      <c r="E95" s="50"/>
      <c r="F95" s="50"/>
      <c r="G95" s="50"/>
      <c r="H95" s="50"/>
      <c r="I95" s="50"/>
      <c r="J95" s="50"/>
      <c r="K95" s="50"/>
      <c r="L95" s="50"/>
      <c r="M95" s="50"/>
      <c r="N95" s="55"/>
      <c r="O95" s="72"/>
      <c r="R95" s="122"/>
      <c r="S95" s="40"/>
      <c r="T95" s="19" t="str">
        <f>IF(EXACT('RFR Data - preExcl'!W95,"Initial"),'RFR Data - preExcl'!A95,IFERROR(0/0,""))</f>
        <v>RUN-COMB_2022-08-09_RFR-094</v>
      </c>
      <c r="U95" s="7">
        <f>IF(EXACT('RFR Data - preExcl'!W95,"Initial"),'RFR Data - preExcl'!U95,IFERROR(0/0,""))</f>
        <v>44782</v>
      </c>
      <c r="W95" s="100"/>
      <c r="X95" s="40"/>
      <c r="Z95" s="50"/>
      <c r="AA95" s="50"/>
      <c r="AC95" s="40"/>
      <c r="AF95" s="40"/>
      <c r="AG95" s="50"/>
      <c r="AH95" s="50"/>
      <c r="AI95" s="74"/>
    </row>
    <row r="96">
      <c r="C96" s="50"/>
      <c r="D96" s="50"/>
      <c r="E96" s="50"/>
      <c r="F96" s="50"/>
      <c r="G96" s="50"/>
      <c r="H96" s="50"/>
      <c r="I96" s="50"/>
      <c r="J96" s="50"/>
      <c r="K96" s="50"/>
      <c r="L96" s="50"/>
      <c r="M96" s="50"/>
      <c r="N96" s="55"/>
      <c r="O96" s="72"/>
      <c r="R96" s="122"/>
      <c r="S96" s="40"/>
      <c r="T96" s="19" t="str">
        <f>IF(EXACT('RFR Data - preExcl'!W96,"Initial"),'RFR Data - preExcl'!A96,IFERROR(0/0,""))</f>
        <v>RUN-COMB_2022-08-15_RFR-095</v>
      </c>
      <c r="U96" s="7">
        <f>IF(EXACT('RFR Data - preExcl'!W96,"Initial"),'RFR Data - preExcl'!U96,IFERROR(0/0,""))</f>
        <v>44788</v>
      </c>
      <c r="W96" s="100"/>
      <c r="X96" s="40"/>
      <c r="Z96" s="50"/>
      <c r="AA96" s="50"/>
      <c r="AC96" s="40"/>
      <c r="AF96" s="40"/>
      <c r="AG96" s="50"/>
      <c r="AH96" s="50"/>
      <c r="AI96" s="74"/>
    </row>
    <row r="97">
      <c r="C97" s="50"/>
      <c r="D97" s="50"/>
      <c r="E97" s="50"/>
      <c r="F97" s="50"/>
      <c r="G97" s="50"/>
      <c r="H97" s="50"/>
      <c r="I97" s="50"/>
      <c r="J97" s="50"/>
      <c r="K97" s="50"/>
      <c r="L97" s="50"/>
      <c r="M97" s="50"/>
      <c r="N97" s="55"/>
      <c r="O97" s="72"/>
      <c r="R97" s="122"/>
      <c r="S97" s="40"/>
      <c r="T97" s="19" t="str">
        <f>IF(EXACT('RFR Data - preExcl'!W97,"Initial"),'RFR Data - preExcl'!A97,IFERROR(0/0,""))</f>
        <v/>
      </c>
      <c r="U97" s="7" t="str">
        <f>IF(EXACT('RFR Data - preExcl'!W97,"Initial"),'RFR Data - preExcl'!U97,IFERROR(0/0,""))</f>
        <v/>
      </c>
      <c r="W97" s="100" t="str">
        <f>IF(COUNTIF(U$2:U$49,V104)=0,MAX(W$1:W62)+1,IFERROR(0/0,""))</f>
        <v/>
      </c>
      <c r="X97" s="40"/>
      <c r="Z97" s="50"/>
      <c r="AA97" s="50"/>
      <c r="AC97" s="40"/>
      <c r="AF97" s="40"/>
      <c r="AG97" s="50"/>
      <c r="AH97" s="50"/>
      <c r="AI97" s="74"/>
    </row>
    <row r="98">
      <c r="C98" s="50"/>
      <c r="D98" s="50"/>
      <c r="E98" s="50"/>
      <c r="F98" s="50"/>
      <c r="G98" s="50"/>
      <c r="H98" s="50"/>
      <c r="I98" s="50"/>
      <c r="J98" s="50"/>
      <c r="K98" s="50"/>
      <c r="L98" s="50"/>
      <c r="M98" s="50"/>
      <c r="N98" s="55"/>
      <c r="O98" s="72"/>
      <c r="R98" s="122"/>
      <c r="S98" s="40"/>
      <c r="T98" s="19" t="str">
        <f>IF(EXACT('RFR Data - preExcl'!W98,"Initial"),'RFR Data - preExcl'!A98,IFERROR(0/0,""))</f>
        <v/>
      </c>
      <c r="U98" s="7" t="str">
        <f>IF(EXACT('RFR Data - preExcl'!W98,"Initial"),'RFR Data - preExcl'!U98,IFERROR(0/0,""))</f>
        <v/>
      </c>
      <c r="W98" s="51" t="s">
        <v>140</v>
      </c>
      <c r="X98" s="40"/>
      <c r="Z98" s="50"/>
      <c r="AA98" s="50"/>
      <c r="AC98" s="40"/>
      <c r="AF98" s="40"/>
      <c r="AG98" s="50"/>
      <c r="AH98" s="50"/>
      <c r="AI98" s="74"/>
    </row>
    <row r="99">
      <c r="C99" s="50"/>
      <c r="D99" s="50"/>
      <c r="E99" s="50"/>
      <c r="F99" s="50"/>
      <c r="G99" s="50"/>
      <c r="H99" s="50"/>
      <c r="I99" s="50"/>
      <c r="J99" s="50"/>
      <c r="K99" s="50"/>
      <c r="L99" s="50"/>
      <c r="M99" s="50"/>
      <c r="N99" s="55"/>
      <c r="O99" s="72"/>
      <c r="R99" s="122"/>
      <c r="S99" s="40"/>
      <c r="T99" s="19" t="str">
        <f>IF(EXACT('RFR Data - preExcl'!W99,"Initial"),'RFR Data - preExcl'!A99,IFERROR(0/0,""))</f>
        <v/>
      </c>
      <c r="U99" s="7" t="str">
        <f>IF(EXACT('RFR Data - preExcl'!W99,"Initial"),'RFR Data - preExcl'!U99,IFERROR(0/0,""))</f>
        <v/>
      </c>
      <c r="W99" s="123">
        <v>0.0</v>
      </c>
      <c r="X99" s="40"/>
      <c r="Z99" s="50"/>
      <c r="AA99" s="50"/>
      <c r="AC99" s="40"/>
      <c r="AF99" s="40"/>
      <c r="AG99" s="50"/>
      <c r="AH99" s="50"/>
      <c r="AI99" s="74"/>
    </row>
    <row r="100">
      <c r="C100" s="50"/>
      <c r="D100" s="50"/>
      <c r="E100" s="50"/>
      <c r="F100" s="50"/>
      <c r="G100" s="50"/>
      <c r="H100" s="50"/>
      <c r="I100" s="50"/>
      <c r="J100" s="50"/>
      <c r="K100" s="50"/>
      <c r="L100" s="50"/>
      <c r="M100" s="50"/>
      <c r="N100" s="55"/>
      <c r="O100" s="72"/>
      <c r="R100" s="122"/>
      <c r="S100" s="40"/>
      <c r="T100" s="124" t="str">
        <f>IF(AND(NOT(ISBLANK(U100)),NOT(ISBLANK(V100)),NOT(ISBLANK(W99))),CONCATENATE("RUN-",'Process Ref'!$A$1,"_",TEXT(V100,"YYYY-MM-DD"),"_APS-",TEXT(W99,"000")),IFERROR(0/0,""))</f>
        <v/>
      </c>
      <c r="U100" s="124" t="str">
        <f t="shared" ref="U100:U179" si="100">IF(COUNTIF(U$2:U$99,V100)=0,V100,IFERROR(0/0,""))</f>
        <v/>
      </c>
      <c r="V100" s="125">
        <f t="array" ref="V100:V1096">SORT('APS Tubes by Date Import'!B2:B179,1,TRUE)</f>
        <v>44640</v>
      </c>
      <c r="W100" s="126" t="str">
        <f t="shared" ref="W100:W101" si="101">IF(NOT(ISBLANK(U100)),MAX(W$1:W98)+1,IFERROR(0/0,""))</f>
        <v/>
      </c>
      <c r="X100" s="40"/>
      <c r="Z100" s="50"/>
      <c r="AA100" s="50"/>
      <c r="AC100" s="40"/>
      <c r="AF100" s="40"/>
      <c r="AG100" s="50"/>
      <c r="AH100" s="50"/>
      <c r="AI100" s="74"/>
    </row>
    <row r="101">
      <c r="C101" s="50"/>
      <c r="D101" s="50"/>
      <c r="E101" s="50"/>
      <c r="F101" s="50"/>
      <c r="G101" s="50"/>
      <c r="H101" s="50"/>
      <c r="I101" s="50"/>
      <c r="J101" s="50"/>
      <c r="K101" s="50"/>
      <c r="L101" s="50"/>
      <c r="M101" s="50"/>
      <c r="N101" s="55"/>
      <c r="O101" s="72"/>
      <c r="R101" s="122"/>
      <c r="S101" s="40"/>
      <c r="T101" s="19" t="str">
        <f>IF(AND(NOT(ISBLANK(U101)),NOT(ISBLANK(V101)),NOT(ISBLANK(W101))),CONCATENATE("RUN-",'Process Ref'!$A$1,"_",TEXT(V101,"YYYY-MM-DD"),"_APS-",TEXT(W101,"000")),IFERROR(0/0,""))</f>
        <v/>
      </c>
      <c r="U101" s="19" t="str">
        <f t="shared" si="100"/>
        <v/>
      </c>
      <c r="V101" s="11">
        <v>44641.0</v>
      </c>
      <c r="W101" s="127" t="str">
        <f t="shared" si="101"/>
        <v/>
      </c>
      <c r="X101" s="40"/>
      <c r="Z101" s="50"/>
      <c r="AA101" s="50"/>
      <c r="AC101" s="40"/>
      <c r="AF101" s="40"/>
      <c r="AG101" s="50"/>
      <c r="AH101" s="50"/>
      <c r="AI101" s="74"/>
    </row>
    <row r="102">
      <c r="C102" s="50"/>
      <c r="D102" s="50"/>
      <c r="E102" s="50"/>
      <c r="F102" s="50"/>
      <c r="G102" s="50"/>
      <c r="H102" s="50"/>
      <c r="I102" s="50"/>
      <c r="J102" s="50"/>
      <c r="K102" s="50"/>
      <c r="L102" s="50"/>
      <c r="M102" s="50"/>
      <c r="N102" s="55"/>
      <c r="O102" s="72"/>
      <c r="R102" s="122"/>
      <c r="S102" s="40"/>
      <c r="T102" s="19" t="str">
        <f>IF(AND(NOT(ISBLANK(U102)),NOT(ISBLANK(V102)),NOT(ISBLANK(W102))),CONCATENATE("RUN-",'Process Ref'!$A$1,"_",TEXT(V102,"YYYY-MM-DD"),"_APS-",TEXT(W102,"000")),IFERROR(0/0,""))</f>
        <v/>
      </c>
      <c r="U102" s="19" t="str">
        <f t="shared" si="100"/>
        <v/>
      </c>
      <c r="V102" s="11">
        <v>44642.0</v>
      </c>
      <c r="W102" s="127" t="str">
        <f t="shared" ref="W102:W179" si="102">IF(NOT(ISBLANK(U102)),MAX(W$1:W101)+1,IFERROR(0/0,""))</f>
        <v/>
      </c>
      <c r="X102" s="40"/>
      <c r="Z102" s="50"/>
      <c r="AA102" s="50"/>
      <c r="AC102" s="40"/>
      <c r="AF102" s="40"/>
      <c r="AG102" s="50"/>
      <c r="AH102" s="50"/>
      <c r="AI102" s="74"/>
    </row>
    <row r="103">
      <c r="C103" s="50"/>
      <c r="D103" s="50"/>
      <c r="E103" s="50"/>
      <c r="F103" s="50"/>
      <c r="G103" s="50"/>
      <c r="H103" s="50"/>
      <c r="I103" s="50"/>
      <c r="J103" s="50"/>
      <c r="K103" s="50"/>
      <c r="L103" s="50"/>
      <c r="M103" s="50"/>
      <c r="N103" s="55"/>
      <c r="O103" s="72"/>
      <c r="R103" s="122"/>
      <c r="S103" s="40"/>
      <c r="T103" s="19" t="str">
        <f>IF(AND(NOT(ISBLANK(U103)),NOT(ISBLANK(V103)),NOT(ISBLANK(W103))),CONCATENATE("RUN-",'Process Ref'!$A$1,"_",TEXT(V103,"YYYY-MM-DD"),"_APS-",TEXT(W103,"000")),IFERROR(0/0,""))</f>
        <v/>
      </c>
      <c r="U103" s="19" t="str">
        <f t="shared" si="100"/>
        <v/>
      </c>
      <c r="V103" s="11">
        <v>44643.0</v>
      </c>
      <c r="W103" s="127" t="str">
        <f t="shared" si="102"/>
        <v/>
      </c>
      <c r="X103" s="40"/>
      <c r="Z103" s="50"/>
      <c r="AA103" s="50"/>
      <c r="AC103" s="40"/>
      <c r="AF103" s="40"/>
      <c r="AG103" s="50"/>
      <c r="AH103" s="50"/>
      <c r="AI103" s="74"/>
    </row>
    <row r="104">
      <c r="C104" s="50"/>
      <c r="D104" s="50"/>
      <c r="E104" s="50"/>
      <c r="F104" s="50"/>
      <c r="G104" s="50"/>
      <c r="H104" s="50"/>
      <c r="I104" s="50"/>
      <c r="J104" s="50"/>
      <c r="K104" s="50"/>
      <c r="L104" s="50"/>
      <c r="M104" s="50"/>
      <c r="N104" s="55"/>
      <c r="O104" s="72"/>
      <c r="R104" s="122"/>
      <c r="S104" s="40"/>
      <c r="T104" s="19" t="str">
        <f>IF(AND(NOT(ISBLANK(U104)),NOT(ISBLANK(V104)),NOT(ISBLANK(W104))),CONCATENATE("RUN-",'Process Ref'!$A$1,"_",TEXT(V104,"YYYY-MM-DD"),"_APS-",TEXT(W104,"000")),IFERROR(0/0,""))</f>
        <v/>
      </c>
      <c r="U104" s="19" t="str">
        <f t="shared" si="100"/>
        <v/>
      </c>
      <c r="V104" s="11">
        <v>44644.0</v>
      </c>
      <c r="W104" s="127" t="str">
        <f t="shared" si="102"/>
        <v/>
      </c>
      <c r="X104" s="40"/>
      <c r="Z104" s="50"/>
      <c r="AA104" s="50"/>
      <c r="AC104" s="40"/>
      <c r="AF104" s="40"/>
      <c r="AG104" s="50"/>
      <c r="AH104" s="50"/>
      <c r="AI104" s="74"/>
    </row>
    <row r="105">
      <c r="C105" s="50"/>
      <c r="D105" s="50"/>
      <c r="E105" s="50"/>
      <c r="F105" s="50"/>
      <c r="G105" s="50"/>
      <c r="H105" s="50"/>
      <c r="I105" s="50"/>
      <c r="J105" s="50"/>
      <c r="K105" s="50"/>
      <c r="L105" s="50"/>
      <c r="M105" s="50"/>
      <c r="N105" s="55"/>
      <c r="O105" s="72"/>
      <c r="R105" s="122"/>
      <c r="S105" s="40"/>
      <c r="T105" s="19" t="str">
        <f>IF(AND(NOT(ISBLANK(U105)),NOT(ISBLANK(V105)),NOT(ISBLANK(W105))),CONCATENATE("RUN-",'Process Ref'!$A$1,"_",TEXT(V105,"YYYY-MM-DD"),"_APS-",TEXT(W105,"000")),IFERROR(0/0,""))</f>
        <v/>
      </c>
      <c r="U105" s="19" t="str">
        <f t="shared" si="100"/>
        <v/>
      </c>
      <c r="V105" s="11">
        <v>44653.0</v>
      </c>
      <c r="W105" s="127" t="str">
        <f t="shared" si="102"/>
        <v/>
      </c>
      <c r="X105" s="40"/>
      <c r="Z105" s="50"/>
      <c r="AA105" s="50"/>
      <c r="AC105" s="40"/>
      <c r="AF105" s="40"/>
      <c r="AG105" s="50"/>
      <c r="AH105" s="50"/>
      <c r="AI105" s="74"/>
    </row>
    <row r="106">
      <c r="C106" s="50"/>
      <c r="D106" s="50"/>
      <c r="E106" s="50"/>
      <c r="F106" s="50"/>
      <c r="G106" s="50"/>
      <c r="H106" s="50"/>
      <c r="I106" s="50"/>
      <c r="J106" s="50"/>
      <c r="K106" s="50"/>
      <c r="L106" s="50"/>
      <c r="M106" s="50"/>
      <c r="N106" s="55"/>
      <c r="O106" s="72"/>
      <c r="R106" s="122"/>
      <c r="S106" s="40"/>
      <c r="T106" s="19" t="str">
        <f>IF(AND(NOT(ISBLANK(U106)),NOT(ISBLANK(V106)),NOT(ISBLANK(W106))),CONCATENATE("RUN-",'Process Ref'!$A$1,"_",TEXT(V106,"YYYY-MM-DD"),"_APS-",TEXT(W106,"000")),IFERROR(0/0,""))</f>
        <v/>
      </c>
      <c r="U106" s="19" t="str">
        <f t="shared" si="100"/>
        <v/>
      </c>
      <c r="V106" s="11">
        <v>44655.0</v>
      </c>
      <c r="W106" s="127" t="str">
        <f t="shared" si="102"/>
        <v/>
      </c>
      <c r="X106" s="40"/>
      <c r="Z106" s="50"/>
      <c r="AA106" s="50"/>
      <c r="AC106" s="40"/>
      <c r="AF106" s="40"/>
      <c r="AG106" s="50"/>
      <c r="AH106" s="50"/>
      <c r="AI106" s="74"/>
    </row>
    <row r="107">
      <c r="C107" s="50"/>
      <c r="D107" s="50"/>
      <c r="E107" s="50"/>
      <c r="F107" s="50"/>
      <c r="G107" s="50"/>
      <c r="H107" s="50"/>
      <c r="I107" s="50"/>
      <c r="J107" s="50"/>
      <c r="K107" s="50"/>
      <c r="L107" s="50"/>
      <c r="M107" s="50"/>
      <c r="N107" s="55"/>
      <c r="O107" s="72"/>
      <c r="R107" s="122"/>
      <c r="S107" s="40"/>
      <c r="T107" s="19" t="str">
        <f>IF(AND(NOT(ISBLANK(U107)),NOT(ISBLANK(V107)),NOT(ISBLANK(W107))),CONCATENATE("RUN-",'Process Ref'!$A$1,"_",TEXT(V107,"YYYY-MM-DD"),"_APS-",TEXT(W107,"000")),IFERROR(0/0,""))</f>
        <v/>
      </c>
      <c r="U107" s="19" t="str">
        <f t="shared" si="100"/>
        <v/>
      </c>
      <c r="V107" s="11">
        <v>44656.0</v>
      </c>
      <c r="W107" s="127" t="str">
        <f t="shared" si="102"/>
        <v/>
      </c>
      <c r="X107" s="40"/>
      <c r="Z107" s="50"/>
      <c r="AA107" s="50"/>
      <c r="AC107" s="40"/>
      <c r="AF107" s="40"/>
      <c r="AG107" s="50"/>
      <c r="AH107" s="50"/>
      <c r="AI107" s="74"/>
    </row>
    <row r="108">
      <c r="C108" s="50"/>
      <c r="D108" s="50"/>
      <c r="E108" s="50"/>
      <c r="F108" s="50"/>
      <c r="G108" s="50"/>
      <c r="H108" s="50"/>
      <c r="I108" s="50"/>
      <c r="J108" s="50"/>
      <c r="K108" s="50"/>
      <c r="L108" s="50"/>
      <c r="M108" s="50"/>
      <c r="N108" s="55"/>
      <c r="O108" s="72"/>
      <c r="R108" s="122"/>
      <c r="S108" s="40"/>
      <c r="T108" s="19" t="str">
        <f>IF(AND(NOT(ISBLANK(U108)),NOT(ISBLANK(V108)),NOT(ISBLANK(W108))),CONCATENATE("RUN-",'Process Ref'!$A$1,"_",TEXT(V108,"YYYY-MM-DD"),"_APS-",TEXT(W108,"000")),IFERROR(0/0,""))</f>
        <v/>
      </c>
      <c r="U108" s="19" t="str">
        <f t="shared" si="100"/>
        <v/>
      </c>
      <c r="V108" s="11">
        <v>44657.0</v>
      </c>
      <c r="W108" s="127" t="str">
        <f t="shared" si="102"/>
        <v/>
      </c>
      <c r="X108" s="40"/>
      <c r="Z108" s="50"/>
      <c r="AA108" s="50"/>
      <c r="AC108" s="40"/>
      <c r="AF108" s="40"/>
      <c r="AG108" s="50"/>
      <c r="AH108" s="50"/>
      <c r="AI108" s="74"/>
    </row>
    <row r="109">
      <c r="C109" s="50"/>
      <c r="D109" s="50"/>
      <c r="E109" s="50"/>
      <c r="F109" s="50"/>
      <c r="G109" s="50"/>
      <c r="H109" s="50"/>
      <c r="I109" s="50"/>
      <c r="J109" s="50"/>
      <c r="K109" s="50"/>
      <c r="L109" s="50"/>
      <c r="M109" s="50"/>
      <c r="N109" s="55"/>
      <c r="O109" s="72"/>
      <c r="R109" s="122"/>
      <c r="S109" s="40"/>
      <c r="T109" s="19" t="str">
        <f>IF(AND(NOT(ISBLANK(U109)),NOT(ISBLANK(V109)),NOT(ISBLANK(W109))),CONCATENATE("RUN-",'Process Ref'!$A$1,"_",TEXT(V109,"YYYY-MM-DD"),"_APS-",TEXT(W109,"000")),IFERROR(0/0,""))</f>
        <v/>
      </c>
      <c r="U109" s="19" t="str">
        <f t="shared" si="100"/>
        <v/>
      </c>
      <c r="V109" s="11">
        <v>44658.0</v>
      </c>
      <c r="W109" s="127" t="str">
        <f t="shared" si="102"/>
        <v/>
      </c>
      <c r="X109" s="40"/>
      <c r="Z109" s="50"/>
      <c r="AA109" s="50"/>
      <c r="AC109" s="40"/>
      <c r="AF109" s="40"/>
      <c r="AG109" s="50"/>
      <c r="AH109" s="50"/>
      <c r="AI109" s="74"/>
    </row>
    <row r="110">
      <c r="C110" s="50"/>
      <c r="D110" s="50"/>
      <c r="E110" s="50"/>
      <c r="F110" s="50"/>
      <c r="G110" s="50"/>
      <c r="H110" s="50"/>
      <c r="I110" s="50"/>
      <c r="J110" s="50"/>
      <c r="K110" s="50"/>
      <c r="L110" s="50"/>
      <c r="M110" s="50"/>
      <c r="N110" s="55"/>
      <c r="O110" s="72"/>
      <c r="R110" s="122"/>
      <c r="S110" s="40"/>
      <c r="T110" s="19" t="str">
        <f>IF(AND(NOT(ISBLANK(U110)),NOT(ISBLANK(V110)),NOT(ISBLANK(W110))),CONCATENATE("RUN-",'Process Ref'!$A$1,"_",TEXT(V110,"YYYY-MM-DD"),"_APS-",TEXT(W110,"000")),IFERROR(0/0,""))</f>
        <v/>
      </c>
      <c r="U110" s="19" t="str">
        <f t="shared" si="100"/>
        <v/>
      </c>
      <c r="V110" s="11">
        <v>44659.0</v>
      </c>
      <c r="W110" s="127" t="str">
        <f t="shared" si="102"/>
        <v/>
      </c>
      <c r="X110" s="40"/>
      <c r="Z110" s="50"/>
      <c r="AA110" s="50"/>
      <c r="AC110" s="40"/>
      <c r="AF110" s="40"/>
      <c r="AG110" s="50"/>
      <c r="AH110" s="50"/>
      <c r="AI110" s="74"/>
    </row>
    <row r="111">
      <c r="C111" s="50"/>
      <c r="D111" s="50"/>
      <c r="E111" s="50"/>
      <c r="F111" s="50"/>
      <c r="G111" s="50"/>
      <c r="H111" s="50"/>
      <c r="I111" s="50"/>
      <c r="J111" s="50"/>
      <c r="K111" s="50"/>
      <c r="L111" s="50"/>
      <c r="M111" s="50"/>
      <c r="N111" s="55"/>
      <c r="O111" s="72"/>
      <c r="R111" s="122"/>
      <c r="S111" s="40"/>
      <c r="T111" s="19" t="str">
        <f>IF(AND(NOT(ISBLANK(U111)),NOT(ISBLANK(V111)),NOT(ISBLANK(W111))),CONCATENATE("RUN-",'Process Ref'!$A$1,"_",TEXT(V111,"YYYY-MM-DD"),"_APS-",TEXT(W111,"000")),IFERROR(0/0,""))</f>
        <v/>
      </c>
      <c r="U111" s="19" t="str">
        <f t="shared" si="100"/>
        <v/>
      </c>
      <c r="V111" s="11">
        <v>44662.0</v>
      </c>
      <c r="W111" s="127" t="str">
        <f t="shared" si="102"/>
        <v/>
      </c>
      <c r="X111" s="40"/>
      <c r="Z111" s="50"/>
      <c r="AA111" s="50"/>
      <c r="AC111" s="40"/>
      <c r="AF111" s="40"/>
      <c r="AG111" s="50"/>
      <c r="AH111" s="50"/>
      <c r="AI111" s="74"/>
    </row>
    <row r="112">
      <c r="C112" s="50"/>
      <c r="D112" s="50"/>
      <c r="E112" s="50"/>
      <c r="F112" s="50"/>
      <c r="G112" s="50"/>
      <c r="H112" s="50"/>
      <c r="I112" s="50"/>
      <c r="J112" s="50"/>
      <c r="K112" s="50"/>
      <c r="L112" s="50"/>
      <c r="M112" s="50"/>
      <c r="N112" s="55"/>
      <c r="O112" s="72"/>
      <c r="R112" s="122"/>
      <c r="S112" s="40"/>
      <c r="T112" s="19" t="str">
        <f>IF(AND(NOT(ISBLANK(U112)),NOT(ISBLANK(V112)),NOT(ISBLANK(W112))),CONCATENATE("RUN-",'Process Ref'!$A$1,"_",TEXT(V112,"YYYY-MM-DD"),"_APS-",TEXT(W112,"000")),IFERROR(0/0,""))</f>
        <v/>
      </c>
      <c r="U112" s="19" t="str">
        <f t="shared" si="100"/>
        <v/>
      </c>
      <c r="V112" s="11">
        <v>44663.0</v>
      </c>
      <c r="W112" s="127" t="str">
        <f t="shared" si="102"/>
        <v/>
      </c>
      <c r="X112" s="40"/>
      <c r="Z112" s="50"/>
      <c r="AA112" s="50"/>
      <c r="AC112" s="40"/>
      <c r="AF112" s="40"/>
      <c r="AG112" s="50"/>
      <c r="AH112" s="50"/>
      <c r="AI112" s="74"/>
    </row>
    <row r="113">
      <c r="C113" s="50"/>
      <c r="D113" s="50"/>
      <c r="E113" s="50"/>
      <c r="F113" s="50"/>
      <c r="G113" s="50"/>
      <c r="H113" s="50"/>
      <c r="I113" s="50"/>
      <c r="J113" s="50"/>
      <c r="K113" s="50"/>
      <c r="L113" s="50"/>
      <c r="M113" s="50"/>
      <c r="N113" s="55"/>
      <c r="O113" s="72"/>
      <c r="R113" s="122"/>
      <c r="S113" s="40"/>
      <c r="T113" s="19" t="str">
        <f>IF(AND(NOT(ISBLANK(U113)),NOT(ISBLANK(V113)),NOT(ISBLANK(W113))),CONCATENATE("RUN-",'Process Ref'!$A$1,"_",TEXT(V113,"YYYY-MM-DD"),"_APS-",TEXT(W113,"000")),IFERROR(0/0,""))</f>
        <v/>
      </c>
      <c r="U113" s="19" t="str">
        <f t="shared" si="100"/>
        <v/>
      </c>
      <c r="V113" s="11">
        <v>44664.0</v>
      </c>
      <c r="W113" s="127" t="str">
        <f t="shared" si="102"/>
        <v/>
      </c>
      <c r="X113" s="40"/>
      <c r="Z113" s="50"/>
      <c r="AA113" s="50"/>
      <c r="AC113" s="40"/>
      <c r="AF113" s="40"/>
      <c r="AG113" s="50"/>
      <c r="AH113" s="50"/>
      <c r="AI113" s="74"/>
    </row>
    <row r="114">
      <c r="C114" s="50"/>
      <c r="D114" s="50"/>
      <c r="E114" s="50"/>
      <c r="F114" s="50"/>
      <c r="G114" s="50"/>
      <c r="H114" s="50"/>
      <c r="I114" s="50"/>
      <c r="J114" s="50"/>
      <c r="K114" s="50"/>
      <c r="L114" s="50"/>
      <c r="M114" s="50"/>
      <c r="N114" s="55"/>
      <c r="O114" s="72"/>
      <c r="R114" s="122"/>
      <c r="S114" s="40"/>
      <c r="T114" s="19" t="str">
        <f>IF(AND(NOT(ISBLANK(U114)),NOT(ISBLANK(V114)),NOT(ISBLANK(W114))),CONCATENATE("RUN-",'Process Ref'!$A$1,"_",TEXT(V114,"YYYY-MM-DD"),"_APS-",TEXT(W114,"000")),IFERROR(0/0,""))</f>
        <v/>
      </c>
      <c r="U114" s="19" t="str">
        <f t="shared" si="100"/>
        <v/>
      </c>
      <c r="V114" s="11">
        <v>44665.0</v>
      </c>
      <c r="W114" s="127" t="str">
        <f t="shared" si="102"/>
        <v/>
      </c>
      <c r="X114" s="40"/>
      <c r="Z114" s="50"/>
      <c r="AA114" s="50"/>
      <c r="AC114" s="40"/>
      <c r="AF114" s="40"/>
      <c r="AG114" s="50"/>
      <c r="AH114" s="50"/>
      <c r="AI114" s="74"/>
    </row>
    <row r="115">
      <c r="C115" s="50"/>
      <c r="D115" s="50"/>
      <c r="E115" s="50"/>
      <c r="F115" s="50"/>
      <c r="G115" s="50"/>
      <c r="H115" s="50"/>
      <c r="I115" s="50"/>
      <c r="J115" s="50"/>
      <c r="K115" s="50"/>
      <c r="L115" s="50"/>
      <c r="M115" s="50"/>
      <c r="N115" s="55"/>
      <c r="O115" s="72"/>
      <c r="R115" s="122"/>
      <c r="S115" s="40"/>
      <c r="T115" s="19" t="str">
        <f>IF(AND(NOT(ISBLANK(U115)),NOT(ISBLANK(V115)),NOT(ISBLANK(W115))),CONCATENATE("RUN-",'Process Ref'!$A$1,"_",TEXT(V115,"YYYY-MM-DD"),"_APS-",TEXT(W115,"000")),IFERROR(0/0,""))</f>
        <v/>
      </c>
      <c r="U115" s="19" t="str">
        <f t="shared" si="100"/>
        <v/>
      </c>
      <c r="V115" s="11">
        <v>44666.0</v>
      </c>
      <c r="W115" s="127" t="str">
        <f t="shared" si="102"/>
        <v/>
      </c>
      <c r="X115" s="40"/>
      <c r="Z115" s="50"/>
      <c r="AA115" s="50"/>
      <c r="AC115" s="40"/>
      <c r="AF115" s="40"/>
      <c r="AG115" s="50"/>
      <c r="AH115" s="50"/>
      <c r="AI115" s="74"/>
    </row>
    <row r="116">
      <c r="C116" s="50"/>
      <c r="D116" s="50"/>
      <c r="E116" s="50"/>
      <c r="F116" s="50"/>
      <c r="G116" s="50"/>
      <c r="H116" s="50"/>
      <c r="I116" s="50"/>
      <c r="J116" s="50"/>
      <c r="K116" s="50"/>
      <c r="L116" s="50"/>
      <c r="M116" s="50"/>
      <c r="N116" s="55"/>
      <c r="O116" s="72"/>
      <c r="R116" s="122"/>
      <c r="S116" s="40"/>
      <c r="T116" s="19" t="str">
        <f>IF(AND(NOT(ISBLANK(U116)),NOT(ISBLANK(V116)),NOT(ISBLANK(W116))),CONCATENATE("RUN-",'Process Ref'!$A$1,"_",TEXT(V116,"YYYY-MM-DD"),"_APS-",TEXT(W116,"000")),IFERROR(0/0,""))</f>
        <v/>
      </c>
      <c r="U116" s="19" t="str">
        <f t="shared" si="100"/>
        <v/>
      </c>
      <c r="V116" s="11">
        <v>44669.0</v>
      </c>
      <c r="W116" s="127" t="str">
        <f t="shared" si="102"/>
        <v/>
      </c>
      <c r="X116" s="40"/>
      <c r="Z116" s="50"/>
      <c r="AA116" s="50"/>
      <c r="AC116" s="40"/>
      <c r="AF116" s="40"/>
      <c r="AG116" s="50"/>
      <c r="AH116" s="50"/>
      <c r="AI116" s="74"/>
    </row>
    <row r="117">
      <c r="C117" s="50"/>
      <c r="D117" s="50"/>
      <c r="E117" s="50"/>
      <c r="F117" s="50"/>
      <c r="G117" s="50"/>
      <c r="H117" s="50"/>
      <c r="I117" s="50"/>
      <c r="J117" s="50"/>
      <c r="K117" s="50"/>
      <c r="L117" s="50"/>
      <c r="M117" s="50"/>
      <c r="N117" s="55"/>
      <c r="O117" s="72"/>
      <c r="R117" s="122"/>
      <c r="S117" s="40"/>
      <c r="T117" s="19" t="str">
        <f>IF(AND(NOT(ISBLANK(U117)),NOT(ISBLANK(V117)),NOT(ISBLANK(W117))),CONCATENATE("RUN-",'Process Ref'!$A$1,"_",TEXT(V117,"YYYY-MM-DD"),"_APS-",TEXT(W117,"000")),IFERROR(0/0,""))</f>
        <v/>
      </c>
      <c r="U117" s="19" t="str">
        <f t="shared" si="100"/>
        <v/>
      </c>
      <c r="V117" s="11">
        <v>44670.0</v>
      </c>
      <c r="W117" s="127" t="str">
        <f t="shared" si="102"/>
        <v/>
      </c>
      <c r="X117" s="40"/>
      <c r="Z117" s="50"/>
      <c r="AA117" s="50"/>
      <c r="AC117" s="40"/>
      <c r="AF117" s="40"/>
      <c r="AG117" s="50"/>
      <c r="AH117" s="50"/>
      <c r="AI117" s="74"/>
    </row>
    <row r="118">
      <c r="C118" s="50"/>
      <c r="D118" s="50"/>
      <c r="E118" s="50"/>
      <c r="F118" s="50"/>
      <c r="G118" s="50"/>
      <c r="H118" s="50"/>
      <c r="I118" s="50"/>
      <c r="J118" s="50"/>
      <c r="K118" s="50"/>
      <c r="L118" s="50"/>
      <c r="M118" s="50"/>
      <c r="N118" s="55"/>
      <c r="O118" s="72"/>
      <c r="R118" s="122"/>
      <c r="S118" s="40"/>
      <c r="T118" s="19" t="str">
        <f>IF(AND(NOT(ISBLANK(U118)),NOT(ISBLANK(V118)),NOT(ISBLANK(W118))),CONCATENATE("RUN-",'Process Ref'!$A$1,"_",TEXT(V118,"YYYY-MM-DD"),"_APS-",TEXT(W118,"000")),IFERROR(0/0,""))</f>
        <v/>
      </c>
      <c r="U118" s="19" t="str">
        <f t="shared" si="100"/>
        <v/>
      </c>
      <c r="V118" s="11">
        <v>44671.0</v>
      </c>
      <c r="W118" s="127" t="str">
        <f t="shared" si="102"/>
        <v/>
      </c>
      <c r="X118" s="40"/>
      <c r="Z118" s="50"/>
      <c r="AA118" s="50"/>
      <c r="AC118" s="40"/>
      <c r="AF118" s="40"/>
      <c r="AG118" s="50"/>
      <c r="AH118" s="50"/>
      <c r="AI118" s="74"/>
    </row>
    <row r="119">
      <c r="C119" s="50"/>
      <c r="D119" s="50"/>
      <c r="E119" s="50"/>
      <c r="F119" s="50"/>
      <c r="G119" s="50"/>
      <c r="H119" s="50"/>
      <c r="I119" s="50"/>
      <c r="J119" s="50"/>
      <c r="K119" s="50"/>
      <c r="L119" s="50"/>
      <c r="M119" s="50"/>
      <c r="N119" s="55"/>
      <c r="O119" s="72"/>
      <c r="R119" s="122"/>
      <c r="S119" s="40"/>
      <c r="T119" s="19" t="str">
        <f>IF(AND(NOT(ISBLANK(U119)),NOT(ISBLANK(V119)),NOT(ISBLANK(W119))),CONCATENATE("RUN-",'Process Ref'!$A$1,"_",TEXT(V119,"YYYY-MM-DD"),"_APS-",TEXT(W119,"000")),IFERROR(0/0,""))</f>
        <v/>
      </c>
      <c r="U119" s="19" t="str">
        <f t="shared" si="100"/>
        <v/>
      </c>
      <c r="V119" s="11">
        <v>44672.0</v>
      </c>
      <c r="W119" s="127" t="str">
        <f t="shared" si="102"/>
        <v/>
      </c>
      <c r="X119" s="40"/>
      <c r="Z119" s="50"/>
      <c r="AA119" s="50"/>
      <c r="AC119" s="40"/>
      <c r="AF119" s="40"/>
      <c r="AG119" s="50"/>
      <c r="AH119" s="50"/>
      <c r="AI119" s="74"/>
    </row>
    <row r="120">
      <c r="C120" s="50"/>
      <c r="D120" s="50"/>
      <c r="E120" s="50"/>
      <c r="F120" s="50"/>
      <c r="G120" s="50"/>
      <c r="H120" s="50"/>
      <c r="I120" s="50"/>
      <c r="J120" s="50"/>
      <c r="K120" s="50"/>
      <c r="L120" s="50"/>
      <c r="M120" s="50"/>
      <c r="N120" s="55"/>
      <c r="O120" s="72"/>
      <c r="R120" s="122"/>
      <c r="S120" s="40"/>
      <c r="T120" s="19" t="str">
        <f>IF(AND(NOT(ISBLANK(U120)),NOT(ISBLANK(V120)),NOT(ISBLANK(W120))),CONCATENATE("RUN-",'Process Ref'!$A$1,"_",TEXT(V120,"YYYY-MM-DD"),"_APS-",TEXT(W120,"000")),IFERROR(0/0,""))</f>
        <v/>
      </c>
      <c r="U120" s="19" t="str">
        <f t="shared" si="100"/>
        <v/>
      </c>
      <c r="V120" s="11">
        <v>44673.0</v>
      </c>
      <c r="W120" s="127" t="str">
        <f t="shared" si="102"/>
        <v/>
      </c>
      <c r="X120" s="40"/>
      <c r="Z120" s="50"/>
      <c r="AA120" s="50"/>
      <c r="AC120" s="40"/>
      <c r="AF120" s="40"/>
      <c r="AG120" s="50"/>
      <c r="AH120" s="50"/>
      <c r="AI120" s="74"/>
    </row>
    <row r="121">
      <c r="C121" s="50"/>
      <c r="D121" s="50"/>
      <c r="E121" s="50"/>
      <c r="F121" s="50"/>
      <c r="G121" s="50"/>
      <c r="H121" s="50"/>
      <c r="I121" s="50"/>
      <c r="J121" s="50"/>
      <c r="K121" s="50"/>
      <c r="L121" s="50"/>
      <c r="M121" s="50"/>
      <c r="N121" s="55"/>
      <c r="O121" s="72"/>
      <c r="R121" s="122"/>
      <c r="S121" s="40"/>
      <c r="T121" s="19" t="str">
        <f>IF(AND(NOT(ISBLANK(U121)),NOT(ISBLANK(V121)),NOT(ISBLANK(W121))),CONCATENATE("RUN-",'Process Ref'!$A$1,"_",TEXT(V121,"YYYY-MM-DD"),"_APS-",TEXT(W121,"000")),IFERROR(0/0,""))</f>
        <v/>
      </c>
      <c r="U121" s="19" t="str">
        <f t="shared" si="100"/>
        <v/>
      </c>
      <c r="V121" s="11">
        <v>44676.0</v>
      </c>
      <c r="W121" s="127" t="str">
        <f t="shared" si="102"/>
        <v/>
      </c>
      <c r="X121" s="40"/>
      <c r="Z121" s="50"/>
      <c r="AA121" s="50"/>
      <c r="AC121" s="40"/>
      <c r="AF121" s="40"/>
      <c r="AG121" s="50"/>
      <c r="AH121" s="50"/>
      <c r="AI121" s="74"/>
    </row>
    <row r="122">
      <c r="C122" s="50"/>
      <c r="D122" s="50"/>
      <c r="E122" s="50"/>
      <c r="F122" s="50"/>
      <c r="G122" s="50"/>
      <c r="H122" s="50"/>
      <c r="I122" s="50"/>
      <c r="J122" s="50"/>
      <c r="K122" s="50"/>
      <c r="L122" s="50"/>
      <c r="M122" s="50"/>
      <c r="N122" s="55"/>
      <c r="O122" s="72"/>
      <c r="R122" s="122"/>
      <c r="S122" s="40"/>
      <c r="T122" s="19" t="str">
        <f>IF(AND(NOT(ISBLANK(U122)),NOT(ISBLANK(V122)),NOT(ISBLANK(W122))),CONCATENATE("RUN-",'Process Ref'!$A$1,"_",TEXT(V122,"YYYY-MM-DD"),"_APS-",TEXT(W122,"000")),IFERROR(0/0,""))</f>
        <v/>
      </c>
      <c r="U122" s="19" t="str">
        <f t="shared" si="100"/>
        <v/>
      </c>
      <c r="V122" s="11">
        <v>44677.0</v>
      </c>
      <c r="W122" s="127" t="str">
        <f t="shared" si="102"/>
        <v/>
      </c>
      <c r="X122" s="40"/>
      <c r="Z122" s="50"/>
      <c r="AA122" s="50"/>
      <c r="AC122" s="40"/>
      <c r="AF122" s="40"/>
      <c r="AG122" s="50"/>
      <c r="AH122" s="50"/>
      <c r="AI122" s="74"/>
    </row>
    <row r="123">
      <c r="C123" s="50"/>
      <c r="D123" s="50"/>
      <c r="E123" s="50"/>
      <c r="F123" s="50"/>
      <c r="G123" s="50"/>
      <c r="H123" s="50"/>
      <c r="I123" s="50"/>
      <c r="J123" s="50"/>
      <c r="K123" s="50"/>
      <c r="L123" s="50"/>
      <c r="M123" s="50"/>
      <c r="N123" s="55"/>
      <c r="O123" s="72"/>
      <c r="R123" s="122"/>
      <c r="S123" s="40"/>
      <c r="T123" s="19" t="str">
        <f>IF(AND(NOT(ISBLANK(U123)),NOT(ISBLANK(V123)),NOT(ISBLANK(W123))),CONCATENATE("RUN-",'Process Ref'!$A$1,"_",TEXT(V123,"YYYY-MM-DD"),"_APS-",TEXT(W123,"000")),IFERROR(0/0,""))</f>
        <v/>
      </c>
      <c r="U123" s="19" t="str">
        <f t="shared" si="100"/>
        <v/>
      </c>
      <c r="V123" s="11">
        <v>44678.0</v>
      </c>
      <c r="W123" s="127" t="str">
        <f t="shared" si="102"/>
        <v/>
      </c>
      <c r="X123" s="40"/>
      <c r="Z123" s="50"/>
      <c r="AA123" s="50"/>
      <c r="AC123" s="40"/>
      <c r="AF123" s="40"/>
      <c r="AG123" s="50"/>
      <c r="AH123" s="50"/>
      <c r="AI123" s="74"/>
    </row>
    <row r="124">
      <c r="C124" s="50"/>
      <c r="D124" s="50"/>
      <c r="E124" s="50"/>
      <c r="F124" s="50"/>
      <c r="G124" s="50"/>
      <c r="H124" s="50"/>
      <c r="I124" s="50"/>
      <c r="J124" s="50"/>
      <c r="K124" s="50"/>
      <c r="L124" s="50"/>
      <c r="M124" s="50"/>
      <c r="N124" s="55"/>
      <c r="O124" s="72"/>
      <c r="R124" s="122"/>
      <c r="S124" s="40"/>
      <c r="T124" s="19" t="str">
        <f>IF(AND(NOT(ISBLANK(U124)),NOT(ISBLANK(V124)),NOT(ISBLANK(W124))),CONCATENATE("RUN-",'Process Ref'!$A$1,"_",TEXT(V124,"YYYY-MM-DD"),"_APS-",TEXT(W124,"000")),IFERROR(0/0,""))</f>
        <v/>
      </c>
      <c r="U124" s="19" t="str">
        <f t="shared" si="100"/>
        <v/>
      </c>
      <c r="V124" s="11">
        <v>44679.0</v>
      </c>
      <c r="W124" s="127" t="str">
        <f t="shared" si="102"/>
        <v/>
      </c>
      <c r="X124" s="40"/>
      <c r="Z124" s="50"/>
      <c r="AA124" s="50"/>
      <c r="AC124" s="40"/>
      <c r="AF124" s="40"/>
      <c r="AG124" s="50"/>
      <c r="AH124" s="50"/>
      <c r="AI124" s="74"/>
    </row>
    <row r="125">
      <c r="C125" s="50"/>
      <c r="D125" s="50"/>
      <c r="E125" s="50"/>
      <c r="F125" s="50"/>
      <c r="G125" s="50"/>
      <c r="H125" s="50"/>
      <c r="I125" s="50"/>
      <c r="J125" s="50"/>
      <c r="K125" s="50"/>
      <c r="L125" s="50"/>
      <c r="M125" s="50"/>
      <c r="N125" s="55"/>
      <c r="O125" s="72"/>
      <c r="R125" s="122"/>
      <c r="S125" s="40"/>
      <c r="T125" s="19" t="str">
        <f>IF(AND(NOT(ISBLANK(U125)),NOT(ISBLANK(V125)),NOT(ISBLANK(W125))),CONCATENATE("RUN-",'Process Ref'!$A$1,"_",TEXT(V125,"YYYY-MM-DD"),"_APS-",TEXT(W125,"000")),IFERROR(0/0,""))</f>
        <v/>
      </c>
      <c r="U125" s="19" t="str">
        <f t="shared" si="100"/>
        <v/>
      </c>
      <c r="V125" s="11">
        <v>44680.0</v>
      </c>
      <c r="W125" s="127" t="str">
        <f t="shared" si="102"/>
        <v/>
      </c>
      <c r="X125" s="40"/>
      <c r="Z125" s="50"/>
      <c r="AA125" s="50"/>
      <c r="AC125" s="40"/>
      <c r="AF125" s="40"/>
      <c r="AG125" s="50"/>
      <c r="AH125" s="50"/>
      <c r="AI125" s="74"/>
    </row>
    <row r="126">
      <c r="C126" s="50"/>
      <c r="D126" s="50"/>
      <c r="E126" s="50"/>
      <c r="F126" s="50"/>
      <c r="G126" s="50"/>
      <c r="H126" s="50"/>
      <c r="I126" s="50"/>
      <c r="J126" s="50"/>
      <c r="K126" s="50"/>
      <c r="L126" s="50"/>
      <c r="M126" s="50"/>
      <c r="N126" s="55"/>
      <c r="O126" s="72"/>
      <c r="R126" s="122"/>
      <c r="S126" s="40"/>
      <c r="T126" s="19" t="str">
        <f>IF(AND(NOT(ISBLANK(U126)),NOT(ISBLANK(V126)),NOT(ISBLANK(W126))),CONCATENATE("RUN-",'Process Ref'!$A$1,"_",TEXT(V126,"YYYY-MM-DD"),"_APS-",TEXT(W126,"000")),IFERROR(0/0,""))</f>
        <v/>
      </c>
      <c r="U126" s="19" t="str">
        <f t="shared" si="100"/>
        <v/>
      </c>
      <c r="V126" s="11">
        <v>44690.0</v>
      </c>
      <c r="W126" s="127" t="str">
        <f t="shared" si="102"/>
        <v/>
      </c>
      <c r="X126" s="40"/>
      <c r="Z126" s="50"/>
      <c r="AA126" s="50"/>
      <c r="AC126" s="40"/>
      <c r="AF126" s="40"/>
      <c r="AG126" s="50"/>
      <c r="AH126" s="50"/>
      <c r="AI126" s="74"/>
    </row>
    <row r="127">
      <c r="C127" s="50"/>
      <c r="D127" s="50"/>
      <c r="E127" s="50"/>
      <c r="F127" s="50"/>
      <c r="G127" s="50"/>
      <c r="H127" s="50"/>
      <c r="I127" s="50"/>
      <c r="J127" s="50"/>
      <c r="K127" s="50"/>
      <c r="L127" s="50"/>
      <c r="M127" s="50"/>
      <c r="N127" s="55"/>
      <c r="O127" s="72"/>
      <c r="R127" s="122"/>
      <c r="S127" s="40"/>
      <c r="T127" s="19" t="str">
        <f>IF(AND(NOT(ISBLANK(U127)),NOT(ISBLANK(V127)),NOT(ISBLANK(W127))),CONCATENATE("RUN-",'Process Ref'!$A$1,"_",TEXT(V127,"YYYY-MM-DD"),"_APS-",TEXT(W127,"000")),IFERROR(0/0,""))</f>
        <v/>
      </c>
      <c r="U127" s="19" t="str">
        <f t="shared" si="100"/>
        <v/>
      </c>
      <c r="V127" s="11">
        <v>44691.0</v>
      </c>
      <c r="W127" s="127" t="str">
        <f t="shared" si="102"/>
        <v/>
      </c>
      <c r="X127" s="40"/>
      <c r="Z127" s="50"/>
      <c r="AA127" s="50"/>
      <c r="AC127" s="40"/>
      <c r="AF127" s="40"/>
      <c r="AG127" s="50"/>
      <c r="AH127" s="50"/>
      <c r="AI127" s="74"/>
    </row>
    <row r="128">
      <c r="C128" s="50"/>
      <c r="D128" s="50"/>
      <c r="E128" s="50"/>
      <c r="F128" s="50"/>
      <c r="G128" s="50"/>
      <c r="H128" s="50"/>
      <c r="I128" s="50"/>
      <c r="J128" s="50"/>
      <c r="K128" s="50"/>
      <c r="L128" s="50"/>
      <c r="M128" s="50"/>
      <c r="N128" s="55"/>
      <c r="O128" s="72"/>
      <c r="R128" s="122"/>
      <c r="S128" s="40"/>
      <c r="T128" s="19" t="str">
        <f>IF(AND(NOT(ISBLANK(U128)),NOT(ISBLANK(V128)),NOT(ISBLANK(W128))),CONCATENATE("RUN-",'Process Ref'!$A$1,"_",TEXT(V128,"YYYY-MM-DD"),"_APS-",TEXT(W128,"000")),IFERROR(0/0,""))</f>
        <v/>
      </c>
      <c r="U128" s="19" t="str">
        <f t="shared" si="100"/>
        <v/>
      </c>
      <c r="V128" s="11">
        <v>44692.0</v>
      </c>
      <c r="W128" s="127" t="str">
        <f t="shared" si="102"/>
        <v/>
      </c>
      <c r="X128" s="40"/>
      <c r="Z128" s="50"/>
      <c r="AA128" s="50"/>
      <c r="AC128" s="40"/>
      <c r="AF128" s="40"/>
      <c r="AG128" s="50"/>
      <c r="AH128" s="50"/>
      <c r="AI128" s="74"/>
    </row>
    <row r="129">
      <c r="C129" s="50"/>
      <c r="D129" s="50"/>
      <c r="E129" s="50"/>
      <c r="F129" s="50"/>
      <c r="G129" s="50"/>
      <c r="H129" s="50"/>
      <c r="I129" s="50"/>
      <c r="J129" s="50"/>
      <c r="K129" s="50"/>
      <c r="L129" s="50"/>
      <c r="M129" s="50"/>
      <c r="N129" s="55"/>
      <c r="O129" s="72"/>
      <c r="R129" s="122"/>
      <c r="S129" s="40"/>
      <c r="T129" s="19" t="str">
        <f>IF(AND(NOT(ISBLANK(U129)),NOT(ISBLANK(V129)),NOT(ISBLANK(W129))),CONCATENATE("RUN-",'Process Ref'!$A$1,"_",TEXT(V129,"YYYY-MM-DD"),"_APS-",TEXT(W129,"000")),IFERROR(0/0,""))</f>
        <v/>
      </c>
      <c r="U129" s="19" t="str">
        <f t="shared" si="100"/>
        <v/>
      </c>
      <c r="V129" s="11">
        <v>44693.0</v>
      </c>
      <c r="W129" s="127" t="str">
        <f t="shared" si="102"/>
        <v/>
      </c>
      <c r="X129" s="40"/>
      <c r="Z129" s="50"/>
      <c r="AA129" s="50"/>
      <c r="AC129" s="40"/>
      <c r="AF129" s="40"/>
      <c r="AG129" s="50"/>
      <c r="AH129" s="50"/>
      <c r="AI129" s="74"/>
    </row>
    <row r="130">
      <c r="C130" s="50"/>
      <c r="D130" s="50"/>
      <c r="E130" s="50"/>
      <c r="F130" s="50"/>
      <c r="G130" s="50"/>
      <c r="H130" s="50"/>
      <c r="I130" s="50"/>
      <c r="J130" s="50"/>
      <c r="K130" s="50"/>
      <c r="L130" s="50"/>
      <c r="M130" s="50"/>
      <c r="N130" s="55"/>
      <c r="O130" s="72"/>
      <c r="R130" s="122"/>
      <c r="S130" s="40"/>
      <c r="T130" s="19" t="str">
        <f>IF(AND(NOT(ISBLANK(U130)),NOT(ISBLANK(V130)),NOT(ISBLANK(W130))),CONCATENATE("RUN-",'Process Ref'!$A$1,"_",TEXT(V130,"YYYY-MM-DD"),"_APS-",TEXT(W130,"000")),IFERROR(0/0,""))</f>
        <v/>
      </c>
      <c r="U130" s="19" t="str">
        <f t="shared" si="100"/>
        <v/>
      </c>
      <c r="V130" s="11">
        <v>44694.0</v>
      </c>
      <c r="W130" s="127" t="str">
        <f t="shared" si="102"/>
        <v/>
      </c>
      <c r="X130" s="40"/>
      <c r="Z130" s="50"/>
      <c r="AA130" s="50"/>
      <c r="AC130" s="40"/>
      <c r="AF130" s="40"/>
      <c r="AG130" s="50"/>
      <c r="AH130" s="50"/>
      <c r="AI130" s="74"/>
    </row>
    <row r="131">
      <c r="C131" s="50"/>
      <c r="D131" s="50"/>
      <c r="E131" s="50"/>
      <c r="F131" s="50"/>
      <c r="G131" s="50"/>
      <c r="H131" s="50"/>
      <c r="I131" s="50"/>
      <c r="J131" s="50"/>
      <c r="K131" s="50"/>
      <c r="L131" s="50"/>
      <c r="M131" s="50"/>
      <c r="N131" s="55"/>
      <c r="O131" s="72"/>
      <c r="R131" s="122"/>
      <c r="S131" s="40"/>
      <c r="T131" s="19" t="str">
        <f>IF(AND(NOT(ISBLANK(U131)),NOT(ISBLANK(V131)),NOT(ISBLANK(W131))),CONCATENATE("RUN-",'Process Ref'!$A$1,"_",TEXT(V131,"YYYY-MM-DD"),"_APS-",TEXT(W131,"000")),IFERROR(0/0,""))</f>
        <v/>
      </c>
      <c r="U131" s="19" t="str">
        <f t="shared" si="100"/>
        <v/>
      </c>
      <c r="V131" s="11">
        <v>44697.0</v>
      </c>
      <c r="W131" s="127" t="str">
        <f t="shared" si="102"/>
        <v/>
      </c>
      <c r="X131" s="40"/>
      <c r="Z131" s="50"/>
      <c r="AA131" s="50"/>
      <c r="AC131" s="40"/>
      <c r="AF131" s="40"/>
      <c r="AG131" s="50"/>
      <c r="AH131" s="50"/>
      <c r="AI131" s="74"/>
    </row>
    <row r="132">
      <c r="C132" s="50"/>
      <c r="D132" s="50"/>
      <c r="E132" s="50"/>
      <c r="F132" s="50"/>
      <c r="G132" s="50"/>
      <c r="H132" s="50"/>
      <c r="I132" s="50"/>
      <c r="J132" s="50"/>
      <c r="K132" s="50"/>
      <c r="L132" s="50"/>
      <c r="M132" s="50"/>
      <c r="N132" s="55"/>
      <c r="O132" s="72"/>
      <c r="R132" s="122"/>
      <c r="S132" s="40"/>
      <c r="T132" s="19" t="str">
        <f>IF(AND(NOT(ISBLANK(U132)),NOT(ISBLANK(V132)),NOT(ISBLANK(W132))),CONCATENATE("RUN-",'Process Ref'!$A$1,"_",TEXT(V132,"YYYY-MM-DD"),"_APS-",TEXT(W132,"000")),IFERROR(0/0,""))</f>
        <v/>
      </c>
      <c r="U132" s="19" t="str">
        <f t="shared" si="100"/>
        <v/>
      </c>
      <c r="V132" s="11">
        <v>44698.0</v>
      </c>
      <c r="W132" s="127" t="str">
        <f t="shared" si="102"/>
        <v/>
      </c>
      <c r="X132" s="40"/>
      <c r="Z132" s="50"/>
      <c r="AA132" s="50"/>
      <c r="AC132" s="40"/>
      <c r="AF132" s="40"/>
      <c r="AG132" s="50"/>
      <c r="AH132" s="50"/>
      <c r="AI132" s="74"/>
    </row>
    <row r="133">
      <c r="C133" s="50"/>
      <c r="D133" s="50"/>
      <c r="E133" s="50"/>
      <c r="F133" s="50"/>
      <c r="G133" s="50"/>
      <c r="H133" s="50"/>
      <c r="I133" s="50"/>
      <c r="J133" s="50"/>
      <c r="K133" s="50"/>
      <c r="L133" s="50"/>
      <c r="M133" s="50"/>
      <c r="N133" s="55"/>
      <c r="O133" s="72"/>
      <c r="R133" s="122"/>
      <c r="S133" s="40"/>
      <c r="T133" s="19" t="str">
        <f>IF(AND(NOT(ISBLANK(U133)),NOT(ISBLANK(V133)),NOT(ISBLANK(W133))),CONCATENATE("RUN-",'Process Ref'!$A$1,"_",TEXT(V133,"YYYY-MM-DD"),"_APS-",TEXT(W133,"000")),IFERROR(0/0,""))</f>
        <v/>
      </c>
      <c r="U133" s="19" t="str">
        <f t="shared" si="100"/>
        <v/>
      </c>
      <c r="V133" s="11">
        <v>44699.0</v>
      </c>
      <c r="W133" s="127" t="str">
        <f t="shared" si="102"/>
        <v/>
      </c>
      <c r="X133" s="40"/>
      <c r="Z133" s="50"/>
      <c r="AA133" s="50"/>
      <c r="AC133" s="40"/>
      <c r="AF133" s="40"/>
      <c r="AG133" s="50"/>
      <c r="AH133" s="50"/>
      <c r="AI133" s="74"/>
    </row>
    <row r="134">
      <c r="C134" s="50"/>
      <c r="D134" s="50"/>
      <c r="E134" s="50"/>
      <c r="F134" s="50"/>
      <c r="G134" s="50"/>
      <c r="H134" s="50"/>
      <c r="I134" s="50"/>
      <c r="J134" s="50"/>
      <c r="K134" s="50"/>
      <c r="L134" s="50"/>
      <c r="M134" s="50"/>
      <c r="N134" s="55"/>
      <c r="O134" s="72"/>
      <c r="R134" s="122"/>
      <c r="S134" s="40"/>
      <c r="T134" s="19" t="str">
        <f>IF(AND(NOT(ISBLANK(U134)),NOT(ISBLANK(V134)),NOT(ISBLANK(W134))),CONCATENATE("RUN-",'Process Ref'!$A$1,"_",TEXT(V134,"YYYY-MM-DD"),"_APS-",TEXT(W134,"000")),IFERROR(0/0,""))</f>
        <v/>
      </c>
      <c r="U134" s="19" t="str">
        <f t="shared" si="100"/>
        <v/>
      </c>
      <c r="V134" s="11">
        <v>44700.0</v>
      </c>
      <c r="W134" s="127" t="str">
        <f t="shared" si="102"/>
        <v/>
      </c>
      <c r="X134" s="40"/>
      <c r="Z134" s="50"/>
      <c r="AA134" s="50"/>
      <c r="AC134" s="40"/>
      <c r="AF134" s="40"/>
      <c r="AG134" s="50"/>
      <c r="AH134" s="50"/>
      <c r="AI134" s="74"/>
    </row>
    <row r="135">
      <c r="C135" s="50"/>
      <c r="D135" s="50"/>
      <c r="E135" s="50"/>
      <c r="F135" s="50"/>
      <c r="G135" s="50"/>
      <c r="H135" s="50"/>
      <c r="I135" s="50"/>
      <c r="J135" s="50"/>
      <c r="K135" s="50"/>
      <c r="L135" s="50"/>
      <c r="M135" s="50"/>
      <c r="N135" s="55"/>
      <c r="O135" s="72"/>
      <c r="R135" s="122"/>
      <c r="S135" s="40"/>
      <c r="T135" s="19" t="str">
        <f>IF(AND(NOT(ISBLANK(U135)),NOT(ISBLANK(V135)),NOT(ISBLANK(W135))),CONCATENATE("RUN-",'Process Ref'!$A$1,"_",TEXT(V135,"YYYY-MM-DD"),"_APS-",TEXT(W135,"000")),IFERROR(0/0,""))</f>
        <v/>
      </c>
      <c r="U135" s="19" t="str">
        <f t="shared" si="100"/>
        <v/>
      </c>
      <c r="V135" s="11">
        <v>44701.0</v>
      </c>
      <c r="W135" s="127" t="str">
        <f t="shared" si="102"/>
        <v/>
      </c>
      <c r="X135" s="40"/>
      <c r="Z135" s="50"/>
      <c r="AA135" s="50"/>
      <c r="AC135" s="40"/>
      <c r="AF135" s="40"/>
      <c r="AG135" s="50"/>
      <c r="AH135" s="50"/>
      <c r="AI135" s="74"/>
    </row>
    <row r="136">
      <c r="C136" s="50"/>
      <c r="D136" s="50"/>
      <c r="E136" s="50"/>
      <c r="F136" s="50"/>
      <c r="G136" s="50"/>
      <c r="H136" s="50"/>
      <c r="I136" s="50"/>
      <c r="J136" s="50"/>
      <c r="K136" s="50"/>
      <c r="L136" s="50"/>
      <c r="M136" s="50"/>
      <c r="N136" s="55"/>
      <c r="O136" s="72"/>
      <c r="R136" s="122"/>
      <c r="S136" s="40"/>
      <c r="T136" s="19" t="str">
        <f>IF(AND(NOT(ISBLANK(U136)),NOT(ISBLANK(V136)),NOT(ISBLANK(W136))),CONCATENATE("RUN-",'Process Ref'!$A$1,"_",TEXT(V136,"YYYY-MM-DD"),"_APS-",TEXT(W136,"000")),IFERROR(0/0,""))</f>
        <v/>
      </c>
      <c r="U136" s="19" t="str">
        <f t="shared" si="100"/>
        <v/>
      </c>
      <c r="V136" s="11">
        <v>44706.0</v>
      </c>
      <c r="W136" s="127" t="str">
        <f t="shared" si="102"/>
        <v/>
      </c>
      <c r="X136" s="40"/>
      <c r="Z136" s="50"/>
      <c r="AA136" s="50"/>
      <c r="AC136" s="40"/>
      <c r="AF136" s="40"/>
      <c r="AG136" s="50"/>
      <c r="AH136" s="50"/>
      <c r="AI136" s="74"/>
    </row>
    <row r="137">
      <c r="C137" s="50"/>
      <c r="D137" s="50"/>
      <c r="E137" s="50"/>
      <c r="F137" s="50"/>
      <c r="G137" s="50"/>
      <c r="H137" s="50"/>
      <c r="I137" s="50"/>
      <c r="J137" s="50"/>
      <c r="K137" s="50"/>
      <c r="L137" s="50"/>
      <c r="M137" s="50"/>
      <c r="N137" s="55"/>
      <c r="O137" s="72"/>
      <c r="R137" s="122"/>
      <c r="S137" s="40"/>
      <c r="T137" s="19" t="str">
        <f>IF(AND(NOT(ISBLANK(U137)),NOT(ISBLANK(V137)),NOT(ISBLANK(W137))),CONCATENATE("RUN-",'Process Ref'!$A$1,"_",TEXT(V137,"YYYY-MM-DD"),"_APS-",TEXT(W137,"000")),IFERROR(0/0,""))</f>
        <v/>
      </c>
      <c r="U137" s="19" t="str">
        <f t="shared" si="100"/>
        <v/>
      </c>
      <c r="V137" s="11">
        <v>44707.0</v>
      </c>
      <c r="W137" s="127" t="str">
        <f t="shared" si="102"/>
        <v/>
      </c>
      <c r="X137" s="40"/>
      <c r="Z137" s="50"/>
      <c r="AA137" s="50"/>
      <c r="AC137" s="40"/>
      <c r="AF137" s="40"/>
      <c r="AG137" s="50"/>
      <c r="AH137" s="50"/>
      <c r="AI137" s="74"/>
    </row>
    <row r="138">
      <c r="C138" s="50"/>
      <c r="D138" s="50"/>
      <c r="E138" s="50"/>
      <c r="F138" s="50"/>
      <c r="G138" s="50"/>
      <c r="H138" s="50"/>
      <c r="I138" s="50"/>
      <c r="J138" s="50"/>
      <c r="K138" s="50"/>
      <c r="L138" s="50"/>
      <c r="M138" s="50"/>
      <c r="N138" s="55"/>
      <c r="O138" s="72"/>
      <c r="R138" s="122"/>
      <c r="S138" s="40"/>
      <c r="T138" s="19" t="str">
        <f>IF(AND(NOT(ISBLANK(U138)),NOT(ISBLANK(V138)),NOT(ISBLANK(W138))),CONCATENATE("RUN-",'Process Ref'!$A$1,"_",TEXT(V138,"YYYY-MM-DD"),"_APS-",TEXT(W138,"000")),IFERROR(0/0,""))</f>
        <v/>
      </c>
      <c r="U138" s="19" t="str">
        <f t="shared" si="100"/>
        <v/>
      </c>
      <c r="V138" s="11">
        <v>44708.0</v>
      </c>
      <c r="W138" s="127" t="str">
        <f t="shared" si="102"/>
        <v/>
      </c>
      <c r="X138" s="40"/>
      <c r="Z138" s="50"/>
      <c r="AA138" s="50"/>
      <c r="AC138" s="40"/>
      <c r="AF138" s="40"/>
      <c r="AG138" s="50"/>
      <c r="AH138" s="50"/>
      <c r="AI138" s="74"/>
    </row>
    <row r="139">
      <c r="C139" s="50"/>
      <c r="D139" s="50"/>
      <c r="E139" s="50"/>
      <c r="F139" s="50"/>
      <c r="G139" s="50"/>
      <c r="H139" s="50"/>
      <c r="I139" s="50"/>
      <c r="J139" s="50"/>
      <c r="K139" s="50"/>
      <c r="L139" s="50"/>
      <c r="M139" s="50"/>
      <c r="N139" s="55"/>
      <c r="O139" s="72"/>
      <c r="R139" s="122"/>
      <c r="S139" s="40"/>
      <c r="T139" s="19" t="str">
        <f>IF(AND(NOT(ISBLANK(U139)),NOT(ISBLANK(V139)),NOT(ISBLANK(W139))),CONCATENATE("RUN-",'Process Ref'!$A$1,"_",TEXT(V139,"YYYY-MM-DD"),"_APS-",TEXT(W139,"000")),IFERROR(0/0,""))</f>
        <v/>
      </c>
      <c r="U139" s="19" t="str">
        <f t="shared" si="100"/>
        <v/>
      </c>
      <c r="V139" s="11">
        <v>44709.0</v>
      </c>
      <c r="W139" s="127" t="str">
        <f t="shared" si="102"/>
        <v/>
      </c>
      <c r="X139" s="40"/>
      <c r="Z139" s="50"/>
      <c r="AA139" s="50"/>
      <c r="AC139" s="40"/>
      <c r="AF139" s="40"/>
      <c r="AG139" s="50"/>
      <c r="AH139" s="50"/>
      <c r="AI139" s="74"/>
    </row>
    <row r="140">
      <c r="C140" s="50"/>
      <c r="D140" s="50"/>
      <c r="E140" s="50"/>
      <c r="F140" s="50"/>
      <c r="G140" s="50"/>
      <c r="H140" s="50"/>
      <c r="I140" s="50"/>
      <c r="J140" s="50"/>
      <c r="K140" s="50"/>
      <c r="L140" s="50"/>
      <c r="M140" s="50"/>
      <c r="N140" s="55"/>
      <c r="O140" s="72"/>
      <c r="R140" s="122"/>
      <c r="S140" s="40"/>
      <c r="T140" s="19" t="str">
        <f>IF(AND(NOT(ISBLANK(U140)),NOT(ISBLANK(V140)),NOT(ISBLANK(W140))),CONCATENATE("RUN-",'Process Ref'!$A$1,"_",TEXT(V140,"YYYY-MM-DD"),"_APS-",TEXT(W140,"000")),IFERROR(0/0,""))</f>
        <v/>
      </c>
      <c r="U140" s="19" t="str">
        <f t="shared" si="100"/>
        <v/>
      </c>
      <c r="V140" s="11">
        <v>44710.0</v>
      </c>
      <c r="W140" s="127" t="str">
        <f t="shared" si="102"/>
        <v/>
      </c>
      <c r="X140" s="40"/>
      <c r="Z140" s="50"/>
      <c r="AA140" s="50"/>
      <c r="AC140" s="40"/>
      <c r="AF140" s="40"/>
      <c r="AG140" s="50"/>
      <c r="AH140" s="50"/>
      <c r="AI140" s="74"/>
    </row>
    <row r="141">
      <c r="C141" s="50"/>
      <c r="D141" s="50"/>
      <c r="E141" s="50"/>
      <c r="F141" s="50"/>
      <c r="G141" s="50"/>
      <c r="H141" s="50"/>
      <c r="I141" s="50"/>
      <c r="J141" s="50"/>
      <c r="K141" s="50"/>
      <c r="L141" s="50"/>
      <c r="M141" s="50"/>
      <c r="N141" s="55"/>
      <c r="O141" s="72"/>
      <c r="R141" s="122"/>
      <c r="S141" s="40"/>
      <c r="T141" s="19" t="str">
        <f>IF(AND(NOT(ISBLANK(U141)),NOT(ISBLANK(V141)),NOT(ISBLANK(W141))),CONCATENATE("RUN-",'Process Ref'!$A$1,"_",TEXT(V141,"YYYY-MM-DD"),"_APS-",TEXT(W141,"000")),IFERROR(0/0,""))</f>
        <v/>
      </c>
      <c r="U141" s="19" t="str">
        <f t="shared" si="100"/>
        <v/>
      </c>
      <c r="V141" s="11">
        <v>44711.0</v>
      </c>
      <c r="W141" s="127" t="str">
        <f t="shared" si="102"/>
        <v/>
      </c>
      <c r="X141" s="40"/>
      <c r="Z141" s="50"/>
      <c r="AA141" s="50"/>
      <c r="AC141" s="40"/>
      <c r="AF141" s="40"/>
      <c r="AG141" s="50"/>
      <c r="AH141" s="50"/>
      <c r="AI141" s="74"/>
    </row>
    <row r="142">
      <c r="C142" s="50"/>
      <c r="D142" s="50"/>
      <c r="E142" s="50"/>
      <c r="F142" s="50"/>
      <c r="G142" s="50"/>
      <c r="H142" s="50"/>
      <c r="I142" s="50"/>
      <c r="J142" s="50"/>
      <c r="K142" s="50"/>
      <c r="L142" s="50"/>
      <c r="M142" s="50"/>
      <c r="N142" s="55"/>
      <c r="O142" s="72"/>
      <c r="R142" s="122"/>
      <c r="S142" s="40"/>
      <c r="T142" s="19" t="str">
        <f>IF(AND(NOT(ISBLANK(U142)),NOT(ISBLANK(V142)),NOT(ISBLANK(W142))),CONCATENATE("RUN-",'Process Ref'!$A$1,"_",TEXT(V142,"YYYY-MM-DD"),"_APS-",TEXT(W142,"000")),IFERROR(0/0,""))</f>
        <v/>
      </c>
      <c r="U142" s="19" t="str">
        <f t="shared" si="100"/>
        <v/>
      </c>
      <c r="V142" s="11">
        <v>44712.0</v>
      </c>
      <c r="W142" s="127" t="str">
        <f t="shared" si="102"/>
        <v/>
      </c>
      <c r="X142" s="40"/>
      <c r="Z142" s="50"/>
      <c r="AA142" s="50"/>
      <c r="AC142" s="40"/>
      <c r="AF142" s="40"/>
      <c r="AG142" s="50"/>
      <c r="AH142" s="50"/>
      <c r="AI142" s="74"/>
    </row>
    <row r="143">
      <c r="C143" s="50"/>
      <c r="D143" s="50"/>
      <c r="E143" s="50"/>
      <c r="F143" s="50"/>
      <c r="G143" s="50"/>
      <c r="H143" s="50"/>
      <c r="I143" s="50"/>
      <c r="J143" s="50"/>
      <c r="K143" s="50"/>
      <c r="L143" s="50"/>
      <c r="M143" s="50"/>
      <c r="N143" s="55"/>
      <c r="O143" s="72"/>
      <c r="R143" s="122"/>
      <c r="S143" s="40"/>
      <c r="T143" s="19" t="str">
        <f>IF(AND(NOT(ISBLANK(U143)),NOT(ISBLANK(V143)),NOT(ISBLANK(W143))),CONCATENATE("RUN-",'Process Ref'!$A$1,"_",TEXT(V143,"YYYY-MM-DD"),"_APS-",TEXT(W143,"000")),IFERROR(0/0,""))</f>
        <v/>
      </c>
      <c r="U143" s="19" t="str">
        <f t="shared" si="100"/>
        <v/>
      </c>
      <c r="V143" s="11">
        <v>44713.0</v>
      </c>
      <c r="W143" s="127" t="str">
        <f t="shared" si="102"/>
        <v/>
      </c>
      <c r="X143" s="40"/>
      <c r="Z143" s="50"/>
      <c r="AA143" s="50"/>
      <c r="AC143" s="40"/>
      <c r="AF143" s="40"/>
      <c r="AG143" s="50"/>
      <c r="AH143" s="50"/>
      <c r="AI143" s="74"/>
    </row>
    <row r="144">
      <c r="C144" s="50"/>
      <c r="D144" s="50"/>
      <c r="E144" s="50"/>
      <c r="F144" s="50"/>
      <c r="G144" s="50"/>
      <c r="H144" s="50"/>
      <c r="I144" s="50"/>
      <c r="J144" s="50"/>
      <c r="K144" s="50"/>
      <c r="L144" s="50"/>
      <c r="M144" s="50"/>
      <c r="N144" s="55"/>
      <c r="O144" s="72"/>
      <c r="R144" s="122"/>
      <c r="S144" s="40"/>
      <c r="T144" s="19" t="str">
        <f>IF(AND(NOT(ISBLANK(U144)),NOT(ISBLANK(V144)),NOT(ISBLANK(W144))),CONCATENATE("RUN-",'Process Ref'!$A$1,"_",TEXT(V144,"YYYY-MM-DD"),"_APS-",TEXT(W144,"000")),IFERROR(0/0,""))</f>
        <v/>
      </c>
      <c r="U144" s="19" t="str">
        <f t="shared" si="100"/>
        <v/>
      </c>
      <c r="V144" s="11">
        <v>44714.0</v>
      </c>
      <c r="W144" s="127" t="str">
        <f t="shared" si="102"/>
        <v/>
      </c>
      <c r="X144" s="40"/>
      <c r="Z144" s="50"/>
      <c r="AA144" s="50"/>
      <c r="AC144" s="40"/>
      <c r="AF144" s="40"/>
      <c r="AG144" s="72"/>
      <c r="AH144" s="50"/>
      <c r="AI144" s="74"/>
    </row>
    <row r="145">
      <c r="C145" s="50"/>
      <c r="D145" s="50"/>
      <c r="E145" s="50"/>
      <c r="F145" s="50"/>
      <c r="G145" s="50"/>
      <c r="H145" s="50"/>
      <c r="I145" s="50"/>
      <c r="J145" s="50"/>
      <c r="K145" s="50"/>
      <c r="L145" s="50"/>
      <c r="M145" s="50"/>
      <c r="N145" s="55"/>
      <c r="O145" s="72"/>
      <c r="R145" s="122"/>
      <c r="S145" s="40"/>
      <c r="T145" s="19" t="str">
        <f>IF(AND(NOT(ISBLANK(U145)),NOT(ISBLANK(V145)),NOT(ISBLANK(W145))),CONCATENATE("RUN-",'Process Ref'!$A$1,"_",TEXT(V145,"YYYY-MM-DD"),"_APS-",TEXT(W145,"000")),IFERROR(0/0,""))</f>
        <v/>
      </c>
      <c r="U145" s="19" t="str">
        <f t="shared" si="100"/>
        <v/>
      </c>
      <c r="V145" s="11">
        <v>44715.0</v>
      </c>
      <c r="W145" s="127" t="str">
        <f t="shared" si="102"/>
        <v/>
      </c>
      <c r="X145" s="40"/>
      <c r="Z145" s="50"/>
      <c r="AA145" s="50"/>
      <c r="AC145" s="40"/>
      <c r="AF145" s="40"/>
      <c r="AG145" s="50"/>
      <c r="AH145" s="50"/>
      <c r="AI145" s="74"/>
    </row>
    <row r="146">
      <c r="C146" s="50"/>
      <c r="D146" s="50"/>
      <c r="E146" s="50"/>
      <c r="F146" s="50"/>
      <c r="G146" s="50"/>
      <c r="H146" s="50"/>
      <c r="I146" s="50"/>
      <c r="J146" s="50"/>
      <c r="K146" s="50"/>
      <c r="L146" s="50"/>
      <c r="M146" s="50"/>
      <c r="N146" s="55"/>
      <c r="O146" s="72"/>
      <c r="R146" s="122"/>
      <c r="S146" s="40"/>
      <c r="T146" s="19" t="str">
        <f>IF(AND(NOT(ISBLANK(U146)),NOT(ISBLANK(V146)),NOT(ISBLANK(W146))),CONCATENATE("RUN-",'Process Ref'!$A$1,"_",TEXT(V146,"YYYY-MM-DD"),"_APS-",TEXT(W146,"000")),IFERROR(0/0,""))</f>
        <v/>
      </c>
      <c r="U146" s="19" t="str">
        <f t="shared" si="100"/>
        <v/>
      </c>
      <c r="V146" s="11">
        <v>44718.0</v>
      </c>
      <c r="W146" s="127" t="str">
        <f t="shared" si="102"/>
        <v/>
      </c>
      <c r="X146" s="40"/>
      <c r="Z146" s="50"/>
      <c r="AA146" s="50"/>
      <c r="AC146" s="40"/>
      <c r="AF146" s="40"/>
      <c r="AG146" s="50"/>
      <c r="AH146" s="50"/>
      <c r="AI146" s="74"/>
    </row>
    <row r="147">
      <c r="C147" s="50"/>
      <c r="D147" s="50"/>
      <c r="E147" s="50"/>
      <c r="F147" s="50"/>
      <c r="G147" s="50"/>
      <c r="H147" s="50"/>
      <c r="I147" s="50"/>
      <c r="J147" s="50"/>
      <c r="K147" s="50"/>
      <c r="L147" s="50"/>
      <c r="M147" s="50"/>
      <c r="N147" s="55"/>
      <c r="O147" s="72"/>
      <c r="R147" s="122"/>
      <c r="S147" s="40"/>
      <c r="T147" s="19" t="str">
        <f>IF(AND(NOT(ISBLANK(U147)),NOT(ISBLANK(V147)),NOT(ISBLANK(W147))),CONCATENATE("RUN-",'Process Ref'!$A$1,"_",TEXT(V147,"YYYY-MM-DD"),"_APS-",TEXT(W147,"000")),IFERROR(0/0,""))</f>
        <v/>
      </c>
      <c r="U147" s="19" t="str">
        <f t="shared" si="100"/>
        <v/>
      </c>
      <c r="V147" s="11">
        <v>44719.0</v>
      </c>
      <c r="W147" s="127" t="str">
        <f t="shared" si="102"/>
        <v/>
      </c>
      <c r="X147" s="40"/>
      <c r="Z147" s="50"/>
      <c r="AA147" s="50"/>
      <c r="AC147" s="40"/>
      <c r="AF147" s="40"/>
      <c r="AG147" s="50"/>
      <c r="AH147" s="50"/>
      <c r="AI147" s="74"/>
    </row>
    <row r="148">
      <c r="C148" s="50"/>
      <c r="D148" s="50"/>
      <c r="E148" s="50"/>
      <c r="F148" s="50"/>
      <c r="G148" s="50"/>
      <c r="H148" s="50"/>
      <c r="I148" s="50"/>
      <c r="J148" s="50"/>
      <c r="K148" s="50"/>
      <c r="L148" s="50"/>
      <c r="M148" s="50"/>
      <c r="N148" s="55"/>
      <c r="O148" s="72"/>
      <c r="R148" s="122"/>
      <c r="S148" s="40"/>
      <c r="T148" s="19" t="str">
        <f>IF(AND(NOT(ISBLANK(U148)),NOT(ISBLANK(V148)),NOT(ISBLANK(W148))),CONCATENATE("RUN-",'Process Ref'!$A$1,"_",TEXT(V148,"YYYY-MM-DD"),"_APS-",TEXT(W148,"000")),IFERROR(0/0,""))</f>
        <v/>
      </c>
      <c r="U148" s="19" t="str">
        <f t="shared" si="100"/>
        <v/>
      </c>
      <c r="V148" s="11">
        <v>44720.0</v>
      </c>
      <c r="W148" s="127" t="str">
        <f t="shared" si="102"/>
        <v/>
      </c>
      <c r="X148" s="40"/>
      <c r="Z148" s="50"/>
      <c r="AA148" s="50"/>
      <c r="AC148" s="40"/>
      <c r="AF148" s="40"/>
      <c r="AG148" s="50"/>
      <c r="AH148" s="50"/>
      <c r="AI148" s="74"/>
    </row>
    <row r="149">
      <c r="C149" s="50"/>
      <c r="D149" s="50"/>
      <c r="E149" s="50"/>
      <c r="F149" s="50"/>
      <c r="G149" s="50"/>
      <c r="H149" s="50"/>
      <c r="I149" s="50"/>
      <c r="J149" s="50"/>
      <c r="K149" s="50"/>
      <c r="L149" s="50"/>
      <c r="M149" s="50"/>
      <c r="N149" s="55"/>
      <c r="O149" s="72"/>
      <c r="R149" s="122"/>
      <c r="S149" s="40"/>
      <c r="T149" s="19" t="str">
        <f>IF(AND(NOT(ISBLANK(U149)),NOT(ISBLANK(V149)),NOT(ISBLANK(W149))),CONCATENATE("RUN-",'Process Ref'!$A$1,"_",TEXT(V149,"YYYY-MM-DD"),"_APS-",TEXT(W149,"000")),IFERROR(0/0,""))</f>
        <v/>
      </c>
      <c r="U149" s="19" t="str">
        <f t="shared" si="100"/>
        <v/>
      </c>
      <c r="V149" s="128">
        <v>44721.0</v>
      </c>
      <c r="W149" s="127" t="str">
        <f t="shared" si="102"/>
        <v/>
      </c>
      <c r="X149" s="40"/>
      <c r="Z149" s="50"/>
      <c r="AA149" s="50"/>
      <c r="AC149" s="40"/>
      <c r="AF149" s="40"/>
      <c r="AG149" s="50"/>
      <c r="AH149" s="50"/>
      <c r="AI149" s="74"/>
    </row>
    <row r="150">
      <c r="C150" s="50"/>
      <c r="D150" s="50"/>
      <c r="E150" s="50"/>
      <c r="F150" s="50"/>
      <c r="G150" s="50"/>
      <c r="H150" s="50"/>
      <c r="I150" s="50"/>
      <c r="J150" s="50"/>
      <c r="K150" s="50"/>
      <c r="L150" s="50"/>
      <c r="M150" s="50"/>
      <c r="N150" s="55"/>
      <c r="O150" s="72"/>
      <c r="R150" s="122"/>
      <c r="S150" s="40"/>
      <c r="T150" s="19" t="str">
        <f>IF(AND(NOT(ISBLANK(U150)),NOT(ISBLANK(V150)),NOT(ISBLANK(W150))),CONCATENATE("RUN-",'Process Ref'!$A$1,"_",TEXT(V150,"YYYY-MM-DD"),"_APS-",TEXT(W150,"000")),IFERROR(0/0,""))</f>
        <v/>
      </c>
      <c r="U150" s="19" t="str">
        <f t="shared" si="100"/>
        <v/>
      </c>
      <c r="V150" s="128">
        <v>44739.0</v>
      </c>
      <c r="W150" s="127" t="str">
        <f t="shared" si="102"/>
        <v/>
      </c>
      <c r="X150" s="40"/>
      <c r="Z150" s="50"/>
      <c r="AA150" s="50"/>
      <c r="AC150" s="40"/>
      <c r="AF150" s="40"/>
      <c r="AG150" s="50"/>
      <c r="AH150" s="50"/>
      <c r="AI150" s="74"/>
    </row>
    <row r="151">
      <c r="C151" s="50"/>
      <c r="D151" s="50"/>
      <c r="E151" s="50"/>
      <c r="F151" s="50"/>
      <c r="G151" s="50"/>
      <c r="H151" s="50"/>
      <c r="I151" s="50"/>
      <c r="J151" s="50"/>
      <c r="K151" s="50"/>
      <c r="L151" s="50"/>
      <c r="M151" s="50"/>
      <c r="N151" s="55"/>
      <c r="O151" s="72"/>
      <c r="R151" s="122"/>
      <c r="S151" s="40"/>
      <c r="T151" s="19" t="str">
        <f>IF(AND(NOT(ISBLANK(U151)),NOT(ISBLANK(V151)),NOT(ISBLANK(W151))),CONCATENATE("RUN-",'Process Ref'!$A$1,"_",TEXT(V151,"YYYY-MM-DD"),"_APS-",TEXT(W151,"000")),IFERROR(0/0,""))</f>
        <v/>
      </c>
      <c r="U151" s="19" t="str">
        <f t="shared" si="100"/>
        <v/>
      </c>
      <c r="V151" s="128">
        <v>44740.0</v>
      </c>
      <c r="W151" s="127" t="str">
        <f t="shared" si="102"/>
        <v/>
      </c>
      <c r="X151" s="40"/>
      <c r="Z151" s="50"/>
      <c r="AA151" s="50"/>
      <c r="AC151" s="40"/>
      <c r="AF151" s="40"/>
      <c r="AG151" s="50"/>
      <c r="AH151" s="50"/>
      <c r="AI151" s="74"/>
    </row>
    <row r="152">
      <c r="C152" s="50"/>
      <c r="D152" s="50"/>
      <c r="E152" s="50"/>
      <c r="F152" s="50"/>
      <c r="G152" s="50"/>
      <c r="H152" s="50"/>
      <c r="I152" s="50"/>
      <c r="J152" s="50"/>
      <c r="K152" s="50"/>
      <c r="L152" s="50"/>
      <c r="M152" s="50"/>
      <c r="N152" s="55"/>
      <c r="O152" s="72"/>
      <c r="R152" s="122"/>
      <c r="S152" s="40"/>
      <c r="T152" s="19" t="str">
        <f>IF(AND(NOT(ISBLANK(U152)),NOT(ISBLANK(V152)),NOT(ISBLANK(W152))),CONCATENATE("RUN-",'Process Ref'!$A$1,"_",TEXT(V152,"YYYY-MM-DD"),"_APS-",TEXT(W152,"000")),IFERROR(0/0,""))</f>
        <v/>
      </c>
      <c r="U152" s="19" t="str">
        <f t="shared" si="100"/>
        <v/>
      </c>
      <c r="V152" s="128">
        <v>44741.0</v>
      </c>
      <c r="W152" s="127" t="str">
        <f t="shared" si="102"/>
        <v/>
      </c>
      <c r="X152" s="40"/>
      <c r="Z152" s="50"/>
      <c r="AA152" s="50"/>
      <c r="AC152" s="40"/>
      <c r="AF152" s="40"/>
      <c r="AG152" s="50"/>
      <c r="AH152" s="50"/>
      <c r="AI152" s="74"/>
    </row>
    <row r="153">
      <c r="C153" s="50"/>
      <c r="D153" s="50"/>
      <c r="E153" s="50"/>
      <c r="F153" s="50"/>
      <c r="G153" s="50"/>
      <c r="H153" s="50"/>
      <c r="I153" s="50"/>
      <c r="J153" s="50"/>
      <c r="K153" s="50"/>
      <c r="L153" s="50"/>
      <c r="M153" s="50"/>
      <c r="N153" s="55"/>
      <c r="O153" s="72"/>
      <c r="R153" s="122"/>
      <c r="S153" s="40"/>
      <c r="T153" s="19" t="str">
        <f>IF(AND(NOT(ISBLANK(U153)),NOT(ISBLANK(V153)),NOT(ISBLANK(W153))),CONCATENATE("RUN-",'Process Ref'!$A$1,"_",TEXT(V153,"YYYY-MM-DD"),"_APS-",TEXT(W153,"000")),IFERROR(0/0,""))</f>
        <v/>
      </c>
      <c r="U153" s="19" t="str">
        <f t="shared" si="100"/>
        <v/>
      </c>
      <c r="V153" s="128">
        <v>44743.0</v>
      </c>
      <c r="W153" s="127" t="str">
        <f t="shared" si="102"/>
        <v/>
      </c>
      <c r="X153" s="40"/>
      <c r="Z153" s="50"/>
      <c r="AA153" s="50"/>
      <c r="AC153" s="40"/>
      <c r="AF153" s="40"/>
      <c r="AG153" s="50"/>
      <c r="AH153" s="50"/>
      <c r="AI153" s="74"/>
    </row>
    <row r="154">
      <c r="C154" s="50"/>
      <c r="D154" s="50"/>
      <c r="E154" s="50"/>
      <c r="F154" s="50"/>
      <c r="G154" s="50"/>
      <c r="H154" s="50"/>
      <c r="I154" s="50"/>
      <c r="J154" s="50"/>
      <c r="K154" s="50"/>
      <c r="L154" s="50"/>
      <c r="M154" s="50"/>
      <c r="N154" s="55"/>
      <c r="O154" s="72"/>
      <c r="R154" s="122"/>
      <c r="S154" s="40"/>
      <c r="T154" s="19" t="str">
        <f>IF(AND(NOT(ISBLANK(U154)),NOT(ISBLANK(V154)),NOT(ISBLANK(W154))),CONCATENATE("RUN-",'Process Ref'!$A$1,"_",TEXT(V154,"YYYY-MM-DD"),"_APS-",TEXT(W154,"000")),IFERROR(0/0,""))</f>
        <v/>
      </c>
      <c r="U154" s="19" t="str">
        <f t="shared" si="100"/>
        <v/>
      </c>
      <c r="V154" s="128">
        <v>44746.0</v>
      </c>
      <c r="W154" s="127" t="str">
        <f t="shared" si="102"/>
        <v/>
      </c>
      <c r="X154" s="40"/>
      <c r="Z154" s="50"/>
      <c r="AA154" s="50"/>
      <c r="AC154" s="40"/>
      <c r="AF154" s="40"/>
      <c r="AG154" s="50"/>
      <c r="AH154" s="50"/>
      <c r="AI154" s="74"/>
    </row>
    <row r="155">
      <c r="C155" s="50"/>
      <c r="D155" s="50"/>
      <c r="E155" s="50"/>
      <c r="F155" s="50"/>
      <c r="G155" s="50"/>
      <c r="H155" s="50"/>
      <c r="I155" s="50"/>
      <c r="J155" s="50"/>
      <c r="K155" s="50"/>
      <c r="L155" s="50"/>
      <c r="M155" s="50"/>
      <c r="N155" s="55"/>
      <c r="O155" s="72"/>
      <c r="R155" s="122"/>
      <c r="S155" s="40"/>
      <c r="T155" s="19" t="str">
        <f>IF(AND(NOT(ISBLANK(U155)),NOT(ISBLANK(V155)),NOT(ISBLANK(W155))),CONCATENATE("RUN-",'Process Ref'!$A$1,"_",TEXT(V155,"YYYY-MM-DD"),"_APS-",TEXT(W155,"000")),IFERROR(0/0,""))</f>
        <v/>
      </c>
      <c r="U155" s="19" t="str">
        <f t="shared" si="100"/>
        <v/>
      </c>
      <c r="V155" s="128">
        <v>44747.0</v>
      </c>
      <c r="W155" s="127" t="str">
        <f t="shared" si="102"/>
        <v/>
      </c>
      <c r="X155" s="40"/>
      <c r="Z155" s="50"/>
      <c r="AA155" s="50"/>
      <c r="AC155" s="40"/>
      <c r="AF155" s="40"/>
      <c r="AG155" s="50"/>
      <c r="AH155" s="50"/>
      <c r="AI155" s="74"/>
    </row>
    <row r="156">
      <c r="C156" s="50"/>
      <c r="D156" s="50"/>
      <c r="E156" s="50"/>
      <c r="F156" s="50"/>
      <c r="G156" s="50"/>
      <c r="H156" s="50"/>
      <c r="I156" s="50"/>
      <c r="J156" s="50"/>
      <c r="K156" s="50"/>
      <c r="L156" s="50"/>
      <c r="M156" s="50"/>
      <c r="N156" s="55"/>
      <c r="O156" s="72"/>
      <c r="R156" s="122"/>
      <c r="S156" s="40"/>
      <c r="T156" s="19" t="str">
        <f>IF(AND(NOT(ISBLANK(U156)),NOT(ISBLANK(V156)),NOT(ISBLANK(W156))),CONCATENATE("RUN-",'Process Ref'!$A$1,"_",TEXT(V156,"YYYY-MM-DD"),"_APS-",TEXT(W156,"000")),IFERROR(0/0,""))</f>
        <v/>
      </c>
      <c r="U156" s="19" t="str">
        <f t="shared" si="100"/>
        <v/>
      </c>
      <c r="V156" s="128">
        <v>44748.0</v>
      </c>
      <c r="W156" s="127" t="str">
        <f t="shared" si="102"/>
        <v/>
      </c>
      <c r="X156" s="40"/>
      <c r="Z156" s="50"/>
      <c r="AA156" s="50"/>
      <c r="AC156" s="40"/>
      <c r="AF156" s="40"/>
      <c r="AG156" s="50"/>
      <c r="AH156" s="50"/>
      <c r="AI156" s="74"/>
    </row>
    <row r="157">
      <c r="C157" s="50"/>
      <c r="D157" s="50"/>
      <c r="E157" s="50"/>
      <c r="F157" s="50"/>
      <c r="G157" s="50"/>
      <c r="H157" s="50"/>
      <c r="I157" s="50"/>
      <c r="J157" s="50"/>
      <c r="K157" s="50"/>
      <c r="L157" s="50"/>
      <c r="M157" s="50"/>
      <c r="N157" s="55"/>
      <c r="O157" s="72"/>
      <c r="R157" s="122"/>
      <c r="S157" s="40"/>
      <c r="T157" s="19" t="str">
        <f>IF(AND(NOT(ISBLANK(U157)),NOT(ISBLANK(V157)),NOT(ISBLANK(W157))),CONCATENATE("RUN-",'Process Ref'!$A$1,"_",TEXT(V157,"YYYY-MM-DD"),"_APS-",TEXT(W157,"000")),IFERROR(0/0,""))</f>
        <v>RUN-COMB_2022-07-07_APS-001</v>
      </c>
      <c r="U157" s="7">
        <f t="shared" si="100"/>
        <v>44749</v>
      </c>
      <c r="V157" s="128">
        <v>44749.0</v>
      </c>
      <c r="W157" s="127">
        <f t="shared" si="102"/>
        <v>1</v>
      </c>
      <c r="X157" s="40"/>
      <c r="Z157" s="50"/>
      <c r="AA157" s="50"/>
      <c r="AC157" s="40"/>
      <c r="AF157" s="40"/>
      <c r="AG157" s="50"/>
      <c r="AH157" s="50"/>
      <c r="AI157" s="74"/>
    </row>
    <row r="158">
      <c r="C158" s="50"/>
      <c r="D158" s="50"/>
      <c r="E158" s="50"/>
      <c r="F158" s="50"/>
      <c r="G158" s="50"/>
      <c r="H158" s="50"/>
      <c r="I158" s="50"/>
      <c r="J158" s="50"/>
      <c r="K158" s="50"/>
      <c r="L158" s="50"/>
      <c r="M158" s="50"/>
      <c r="N158" s="55"/>
      <c r="O158" s="72"/>
      <c r="R158" s="122"/>
      <c r="S158" s="40"/>
      <c r="T158" s="19" t="str">
        <f>IF(AND(NOT(ISBLANK(U158)),NOT(ISBLANK(V158)),NOT(ISBLANK(W158))),CONCATENATE("RUN-",'Process Ref'!$A$1,"_",TEXT(V158,"YYYY-MM-DD"),"_APS-",TEXT(W158,"000")),IFERROR(0/0,""))</f>
        <v/>
      </c>
      <c r="U158" s="19" t="str">
        <f t="shared" si="100"/>
        <v/>
      </c>
      <c r="V158" s="128">
        <v>44750.0</v>
      </c>
      <c r="W158" s="127" t="str">
        <f t="shared" si="102"/>
        <v/>
      </c>
      <c r="X158" s="40"/>
      <c r="Z158" s="50"/>
      <c r="AA158" s="50"/>
      <c r="AC158" s="40"/>
      <c r="AF158" s="40"/>
      <c r="AG158" s="50"/>
      <c r="AH158" s="50"/>
      <c r="AI158" s="74"/>
    </row>
    <row r="159">
      <c r="C159" s="50"/>
      <c r="D159" s="50"/>
      <c r="E159" s="50"/>
      <c r="F159" s="50"/>
      <c r="G159" s="50"/>
      <c r="H159" s="50"/>
      <c r="I159" s="50"/>
      <c r="J159" s="50"/>
      <c r="K159" s="50"/>
      <c r="L159" s="50"/>
      <c r="M159" s="50"/>
      <c r="N159" s="55"/>
      <c r="O159" s="72"/>
      <c r="R159" s="122"/>
      <c r="S159" s="40"/>
      <c r="T159" s="19" t="str">
        <f>IF(AND(NOT(ISBLANK(U159)),NOT(ISBLANK(V159)),NOT(ISBLANK(W159))),CONCATENATE("RUN-",'Process Ref'!$A$1,"_",TEXT(V159,"YYYY-MM-DD"),"_APS-",TEXT(W159,"000")),IFERROR(0/0,""))</f>
        <v/>
      </c>
      <c r="U159" s="19" t="str">
        <f t="shared" si="100"/>
        <v/>
      </c>
      <c r="V159" s="128">
        <v>44753.0</v>
      </c>
      <c r="W159" s="127" t="str">
        <f t="shared" si="102"/>
        <v/>
      </c>
      <c r="X159" s="40"/>
      <c r="Z159" s="50"/>
      <c r="AA159" s="50"/>
      <c r="AC159" s="40"/>
      <c r="AF159" s="40"/>
      <c r="AG159" s="50"/>
      <c r="AH159" s="50"/>
      <c r="AI159" s="74"/>
    </row>
    <row r="160">
      <c r="C160" s="50"/>
      <c r="D160" s="50"/>
      <c r="E160" s="50"/>
      <c r="F160" s="50"/>
      <c r="G160" s="50"/>
      <c r="H160" s="50"/>
      <c r="I160" s="50"/>
      <c r="J160" s="50"/>
      <c r="K160" s="50"/>
      <c r="L160" s="50"/>
      <c r="M160" s="50"/>
      <c r="N160" s="50"/>
      <c r="O160" s="72"/>
      <c r="R160" s="122"/>
      <c r="S160" s="40"/>
      <c r="T160" s="19" t="str">
        <f>IF(AND(NOT(ISBLANK(U160)),NOT(ISBLANK(V160)),NOT(ISBLANK(W160))),CONCATENATE("RUN-",'Process Ref'!$A$1,"_",TEXT(V160,"YYYY-MM-DD"),"_APS-",TEXT(W160,"000")),IFERROR(0/0,""))</f>
        <v/>
      </c>
      <c r="U160" s="19" t="str">
        <f t="shared" si="100"/>
        <v/>
      </c>
      <c r="V160" s="128">
        <v>44754.0</v>
      </c>
      <c r="W160" s="127" t="str">
        <f t="shared" si="102"/>
        <v/>
      </c>
      <c r="X160" s="40"/>
      <c r="Z160" s="50"/>
      <c r="AA160" s="50"/>
      <c r="AC160" s="40"/>
      <c r="AF160" s="40"/>
      <c r="AG160" s="50"/>
      <c r="AH160" s="50"/>
      <c r="AI160" s="74"/>
    </row>
    <row r="161">
      <c r="C161" s="50"/>
      <c r="D161" s="50"/>
      <c r="E161" s="50"/>
      <c r="F161" s="50"/>
      <c r="G161" s="50"/>
      <c r="H161" s="50"/>
      <c r="I161" s="50"/>
      <c r="J161" s="50"/>
      <c r="K161" s="50"/>
      <c r="L161" s="50"/>
      <c r="M161" s="50"/>
      <c r="N161" s="50"/>
      <c r="O161" s="72"/>
      <c r="R161" s="122"/>
      <c r="S161" s="40"/>
      <c r="T161" s="19" t="str">
        <f>IF(AND(NOT(ISBLANK(U161)),NOT(ISBLANK(V161)),NOT(ISBLANK(W161))),CONCATENATE("RUN-",'Process Ref'!$A$1,"_",TEXT(V161,"YYYY-MM-DD"),"_APS-",TEXT(W161,"000")),IFERROR(0/0,""))</f>
        <v/>
      </c>
      <c r="U161" s="19" t="str">
        <f t="shared" si="100"/>
        <v/>
      </c>
      <c r="V161" s="128">
        <v>44755.0</v>
      </c>
      <c r="W161" s="127" t="str">
        <f t="shared" si="102"/>
        <v/>
      </c>
      <c r="X161" s="40"/>
      <c r="Z161" s="50"/>
      <c r="AA161" s="50"/>
      <c r="AC161" s="40"/>
      <c r="AF161" s="40"/>
      <c r="AG161" s="50"/>
      <c r="AH161" s="50"/>
      <c r="AI161" s="74"/>
    </row>
    <row r="162">
      <c r="C162" s="50"/>
      <c r="D162" s="50"/>
      <c r="E162" s="50"/>
      <c r="F162" s="50"/>
      <c r="G162" s="50"/>
      <c r="H162" s="50"/>
      <c r="I162" s="50"/>
      <c r="J162" s="50"/>
      <c r="K162" s="50"/>
      <c r="L162" s="50"/>
      <c r="M162" s="50"/>
      <c r="N162" s="50"/>
      <c r="O162" s="72"/>
      <c r="R162" s="122"/>
      <c r="S162" s="40"/>
      <c r="T162" s="19" t="str">
        <f>IF(AND(NOT(ISBLANK(U162)),NOT(ISBLANK(V162)),NOT(ISBLANK(W162))),CONCATENATE("RUN-",'Process Ref'!$A$1,"_",TEXT(V162,"YYYY-MM-DD"),"_APS-",TEXT(W162,"000")),IFERROR(0/0,""))</f>
        <v/>
      </c>
      <c r="U162" s="19" t="str">
        <f t="shared" si="100"/>
        <v/>
      </c>
      <c r="V162" s="128">
        <v>44756.0</v>
      </c>
      <c r="W162" s="127" t="str">
        <f t="shared" si="102"/>
        <v/>
      </c>
      <c r="X162" s="40"/>
      <c r="Z162" s="50"/>
      <c r="AA162" s="50"/>
      <c r="AC162" s="40"/>
      <c r="AF162" s="40"/>
      <c r="AG162" s="50"/>
      <c r="AH162" s="50"/>
      <c r="AI162" s="74"/>
    </row>
    <row r="163">
      <c r="C163" s="50"/>
      <c r="D163" s="50"/>
      <c r="E163" s="50"/>
      <c r="F163" s="50"/>
      <c r="G163" s="50"/>
      <c r="H163" s="50"/>
      <c r="I163" s="50"/>
      <c r="J163" s="50"/>
      <c r="K163" s="50"/>
      <c r="L163" s="50"/>
      <c r="M163" s="50"/>
      <c r="N163" s="50"/>
      <c r="O163" s="72"/>
      <c r="R163" s="122"/>
      <c r="S163" s="40"/>
      <c r="T163" s="19" t="str">
        <f>IF(AND(NOT(ISBLANK(U163)),NOT(ISBLANK(V163)),NOT(ISBLANK(W163))),CONCATENATE("RUN-",'Process Ref'!$A$1,"_",TEXT(V163,"YYYY-MM-DD"),"_APS-",TEXT(W163,"000")),IFERROR(0/0,""))</f>
        <v/>
      </c>
      <c r="U163" s="19" t="str">
        <f t="shared" si="100"/>
        <v/>
      </c>
      <c r="V163" s="128">
        <v>44757.0</v>
      </c>
      <c r="W163" s="127" t="str">
        <f t="shared" si="102"/>
        <v/>
      </c>
      <c r="X163" s="40"/>
      <c r="Z163" s="50"/>
      <c r="AA163" s="50"/>
      <c r="AC163" s="40"/>
      <c r="AF163" s="40"/>
      <c r="AG163" s="50"/>
      <c r="AH163" s="50"/>
      <c r="AI163" s="74"/>
    </row>
    <row r="164">
      <c r="C164" s="50"/>
      <c r="D164" s="50"/>
      <c r="E164" s="50"/>
      <c r="F164" s="50"/>
      <c r="G164" s="50"/>
      <c r="H164" s="50"/>
      <c r="I164" s="50"/>
      <c r="J164" s="50"/>
      <c r="K164" s="50"/>
      <c r="L164" s="50"/>
      <c r="M164" s="50"/>
      <c r="N164" s="50"/>
      <c r="O164" s="72"/>
      <c r="R164" s="122"/>
      <c r="S164" s="40"/>
      <c r="T164" s="19" t="str">
        <f>IF(AND(NOT(ISBLANK(U164)),NOT(ISBLANK(V164)),NOT(ISBLANK(W164))),CONCATENATE("RUN-",'Process Ref'!$A$1,"_",TEXT(V164,"YYYY-MM-DD"),"_APS-",TEXT(W164,"000")),IFERROR(0/0,""))</f>
        <v/>
      </c>
      <c r="U164" s="19" t="str">
        <f t="shared" si="100"/>
        <v/>
      </c>
      <c r="V164" s="128">
        <v>44761.0</v>
      </c>
      <c r="W164" s="127" t="str">
        <f t="shared" si="102"/>
        <v/>
      </c>
      <c r="X164" s="40"/>
      <c r="Z164" s="50"/>
      <c r="AA164" s="50"/>
      <c r="AC164" s="40"/>
      <c r="AF164" s="40"/>
      <c r="AG164" s="50"/>
      <c r="AH164" s="50"/>
      <c r="AI164" s="121"/>
    </row>
    <row r="165">
      <c r="C165" s="50"/>
      <c r="D165" s="50"/>
      <c r="E165" s="50"/>
      <c r="F165" s="50"/>
      <c r="G165" s="50"/>
      <c r="H165" s="50"/>
      <c r="I165" s="50"/>
      <c r="J165" s="50"/>
      <c r="K165" s="50"/>
      <c r="L165" s="50"/>
      <c r="M165" s="50"/>
      <c r="N165" s="50"/>
      <c r="O165" s="72"/>
      <c r="R165" s="122"/>
      <c r="S165" s="40"/>
      <c r="T165" s="19" t="str">
        <f>IF(AND(NOT(ISBLANK(U165)),NOT(ISBLANK(V165)),NOT(ISBLANK(W165))),CONCATENATE("RUN-",'Process Ref'!$A$1,"_",TEXT(V165,"YYYY-MM-DD"),"_APS-",TEXT(W165,"000")),IFERROR(0/0,""))</f>
        <v/>
      </c>
      <c r="U165" s="19" t="str">
        <f t="shared" si="100"/>
        <v/>
      </c>
      <c r="V165" s="128">
        <v>44762.0</v>
      </c>
      <c r="W165" s="127" t="str">
        <f t="shared" si="102"/>
        <v/>
      </c>
      <c r="X165" s="40"/>
      <c r="Z165" s="50"/>
      <c r="AA165" s="50"/>
      <c r="AC165" s="40"/>
      <c r="AF165" s="40"/>
      <c r="AG165" s="72"/>
      <c r="AH165" s="50"/>
      <c r="AI165" s="74"/>
    </row>
    <row r="166">
      <c r="C166" s="50"/>
      <c r="D166" s="50"/>
      <c r="E166" s="50"/>
      <c r="F166" s="50"/>
      <c r="G166" s="50"/>
      <c r="H166" s="50"/>
      <c r="I166" s="50"/>
      <c r="J166" s="50"/>
      <c r="K166" s="50"/>
      <c r="L166" s="50"/>
      <c r="M166" s="50"/>
      <c r="N166" s="50"/>
      <c r="O166" s="72"/>
      <c r="R166" s="122"/>
      <c r="S166" s="40"/>
      <c r="T166" s="19" t="str">
        <f>IF(AND(NOT(ISBLANK(U166)),NOT(ISBLANK(V166)),NOT(ISBLANK(W166))),CONCATENATE("RUN-",'Process Ref'!$A$1,"_",TEXT(V166,"YYYY-MM-DD"),"_APS-",TEXT(W166,"000")),IFERROR(0/0,""))</f>
        <v/>
      </c>
      <c r="U166" s="19" t="str">
        <f t="shared" si="100"/>
        <v/>
      </c>
      <c r="V166" s="128">
        <v>44764.0</v>
      </c>
      <c r="W166" s="127" t="str">
        <f t="shared" si="102"/>
        <v/>
      </c>
      <c r="X166" s="40"/>
      <c r="Z166" s="50"/>
      <c r="AA166" s="50"/>
      <c r="AC166" s="40"/>
      <c r="AF166" s="40"/>
    </row>
    <row r="167">
      <c r="C167" s="50"/>
      <c r="D167" s="50"/>
      <c r="E167" s="50"/>
      <c r="F167" s="50"/>
      <c r="G167" s="50"/>
      <c r="H167" s="50"/>
      <c r="I167" s="50"/>
      <c r="J167" s="50"/>
      <c r="K167" s="50"/>
      <c r="L167" s="50"/>
      <c r="M167" s="50"/>
      <c r="N167" s="50"/>
      <c r="O167" s="72"/>
      <c r="R167" s="122"/>
      <c r="S167" s="40"/>
      <c r="T167" s="19" t="str">
        <f>IF(AND(NOT(ISBLANK(U167)),NOT(ISBLANK(V167)),NOT(ISBLANK(W167))),CONCATENATE("RUN-",'Process Ref'!$A$1,"_",TEXT(V167,"YYYY-MM-DD"),"_APS-",TEXT(W167,"000")),IFERROR(0/0,""))</f>
        <v/>
      </c>
      <c r="U167" s="19" t="str">
        <f t="shared" si="100"/>
        <v/>
      </c>
      <c r="V167" s="128">
        <v>44774.0</v>
      </c>
      <c r="W167" s="127" t="str">
        <f t="shared" si="102"/>
        <v/>
      </c>
      <c r="X167" s="40"/>
      <c r="Z167" s="50"/>
      <c r="AA167" s="50"/>
      <c r="AC167" s="40"/>
      <c r="AF167" s="40"/>
    </row>
    <row r="168">
      <c r="C168" s="50"/>
      <c r="D168" s="50"/>
      <c r="E168" s="50"/>
      <c r="F168" s="50"/>
      <c r="G168" s="50"/>
      <c r="H168" s="50"/>
      <c r="I168" s="50"/>
      <c r="J168" s="50"/>
      <c r="K168" s="50"/>
      <c r="L168" s="50"/>
      <c r="M168" s="50"/>
      <c r="N168" s="50"/>
      <c r="O168" s="72"/>
      <c r="R168" s="122"/>
      <c r="S168" s="40"/>
      <c r="T168" s="19" t="str">
        <f>IF(AND(NOT(ISBLANK(U168)),NOT(ISBLANK(V168)),NOT(ISBLANK(W168))),CONCATENATE("RUN-",'Process Ref'!$A$1,"_",TEXT(V168,"YYYY-MM-DD"),"_APS-",TEXT(W168,"000")),IFERROR(0/0,""))</f>
        <v/>
      </c>
      <c r="U168" s="19" t="str">
        <f t="shared" si="100"/>
        <v/>
      </c>
      <c r="V168" s="128">
        <v>44775.0</v>
      </c>
      <c r="W168" s="127" t="str">
        <f t="shared" si="102"/>
        <v/>
      </c>
      <c r="X168" s="40"/>
      <c r="Z168" s="50"/>
      <c r="AA168" s="50"/>
      <c r="AC168" s="40"/>
      <c r="AF168" s="40"/>
    </row>
    <row r="169">
      <c r="C169" s="50"/>
      <c r="D169" s="50"/>
      <c r="E169" s="50"/>
      <c r="F169" s="50"/>
      <c r="G169" s="50"/>
      <c r="H169" s="50"/>
      <c r="I169" s="50"/>
      <c r="J169" s="50"/>
      <c r="K169" s="50"/>
      <c r="L169" s="50"/>
      <c r="M169" s="50"/>
      <c r="N169" s="50"/>
      <c r="O169" s="72"/>
      <c r="R169" s="122"/>
      <c r="S169" s="40"/>
      <c r="T169" s="19" t="str">
        <f>IF(AND(NOT(ISBLANK(U169)),NOT(ISBLANK(V169)),NOT(ISBLANK(W169))),CONCATENATE("RUN-",'Process Ref'!$A$1,"_",TEXT(V169,"YYYY-MM-DD"),"_APS-",TEXT(W169,"000")),IFERROR(0/0,""))</f>
        <v>RUN-COMB_2022-08-03_APS-002</v>
      </c>
      <c r="U169" s="7">
        <f t="shared" si="100"/>
        <v>44776</v>
      </c>
      <c r="V169" s="128">
        <v>44776.0</v>
      </c>
      <c r="W169" s="127">
        <f t="shared" si="102"/>
        <v>2</v>
      </c>
      <c r="X169" s="40"/>
      <c r="Z169" s="50"/>
      <c r="AA169" s="50"/>
      <c r="AC169" s="40"/>
      <c r="AF169" s="40"/>
    </row>
    <row r="170">
      <c r="C170" s="50"/>
      <c r="D170" s="50"/>
      <c r="E170" s="50"/>
      <c r="F170" s="50"/>
      <c r="G170" s="50"/>
      <c r="H170" s="50"/>
      <c r="I170" s="50"/>
      <c r="J170" s="50"/>
      <c r="K170" s="50"/>
      <c r="L170" s="50"/>
      <c r="M170" s="50"/>
      <c r="N170" s="50"/>
      <c r="O170" s="72"/>
      <c r="R170" s="122"/>
      <c r="S170" s="40"/>
      <c r="T170" s="19" t="str">
        <f>IF(AND(NOT(ISBLANK(U170)),NOT(ISBLANK(V170)),NOT(ISBLANK(W170))),CONCATENATE("RUN-",'Process Ref'!$A$1,"_",TEXT(V170,"YYYY-MM-DD"),"_APS-",TEXT(W170,"000")),IFERROR(0/0,""))</f>
        <v/>
      </c>
      <c r="U170" s="19" t="str">
        <f t="shared" si="100"/>
        <v/>
      </c>
      <c r="V170" s="128">
        <v>44781.0</v>
      </c>
      <c r="W170" s="127" t="str">
        <f t="shared" si="102"/>
        <v/>
      </c>
      <c r="X170" s="40"/>
      <c r="Z170" s="50"/>
      <c r="AA170" s="50"/>
      <c r="AC170" s="40"/>
      <c r="AF170" s="40"/>
    </row>
    <row r="171">
      <c r="C171" s="50"/>
      <c r="D171" s="50"/>
      <c r="E171" s="50"/>
      <c r="F171" s="50"/>
      <c r="G171" s="50"/>
      <c r="H171" s="50"/>
      <c r="I171" s="50"/>
      <c r="J171" s="50"/>
      <c r="K171" s="50"/>
      <c r="L171" s="50"/>
      <c r="M171" s="50"/>
      <c r="N171" s="50"/>
      <c r="O171" s="72"/>
      <c r="R171" s="122"/>
      <c r="S171" s="40"/>
      <c r="T171" s="19" t="str">
        <f>IF(AND(NOT(ISBLANK(U171)),NOT(ISBLANK(V171)),NOT(ISBLANK(W171))),CONCATENATE("RUN-",'Process Ref'!$A$1,"_",TEXT(V171,"YYYY-MM-DD"),"_APS-",TEXT(W171,"000")),IFERROR(0/0,""))</f>
        <v/>
      </c>
      <c r="U171" s="19" t="str">
        <f t="shared" si="100"/>
        <v/>
      </c>
      <c r="V171" s="128">
        <v>44782.0</v>
      </c>
      <c r="W171" s="127" t="str">
        <f t="shared" si="102"/>
        <v/>
      </c>
      <c r="X171" s="40"/>
      <c r="Z171" s="50"/>
      <c r="AA171" s="50"/>
      <c r="AC171" s="40"/>
      <c r="AF171" s="40"/>
    </row>
    <row r="172">
      <c r="C172" s="50"/>
      <c r="D172" s="50"/>
      <c r="E172" s="50"/>
      <c r="F172" s="50"/>
      <c r="G172" s="50"/>
      <c r="H172" s="50"/>
      <c r="I172" s="50"/>
      <c r="J172" s="50"/>
      <c r="K172" s="50"/>
      <c r="L172" s="50"/>
      <c r="M172" s="50"/>
      <c r="N172" s="50"/>
      <c r="O172" s="72"/>
      <c r="R172" s="122"/>
      <c r="S172" s="40"/>
      <c r="T172" s="19" t="str">
        <f>IF(AND(NOT(ISBLANK(U172)),NOT(ISBLANK(V172)),NOT(ISBLANK(W172))),CONCATENATE("RUN-",'Process Ref'!$A$1,"_",TEXT(V172,"YYYY-MM-DD"),"_APS-",TEXT(W172,"000")),IFERROR(0/0,""))</f>
        <v>RUN-COMB_2022-08-10_APS-003</v>
      </c>
      <c r="U172" s="7">
        <f t="shared" si="100"/>
        <v>44783</v>
      </c>
      <c r="V172" s="128">
        <v>44783.0</v>
      </c>
      <c r="W172" s="127">
        <f t="shared" si="102"/>
        <v>3</v>
      </c>
      <c r="X172" s="40"/>
      <c r="Z172" s="50"/>
      <c r="AA172" s="50"/>
      <c r="AC172" s="40"/>
      <c r="AF172" s="40"/>
    </row>
    <row r="173">
      <c r="C173" s="50"/>
      <c r="D173" s="50"/>
      <c r="E173" s="50"/>
      <c r="F173" s="50"/>
      <c r="G173" s="50"/>
      <c r="H173" s="50"/>
      <c r="I173" s="50"/>
      <c r="J173" s="50"/>
      <c r="K173" s="50"/>
      <c r="L173" s="50"/>
      <c r="M173" s="50"/>
      <c r="N173" s="50"/>
      <c r="O173" s="72"/>
      <c r="R173" s="122"/>
      <c r="S173" s="40"/>
      <c r="T173" s="19" t="str">
        <f>IF(AND(NOT(ISBLANK(U173)),NOT(ISBLANK(V173)),NOT(ISBLANK(W173))),CONCATENATE("RUN-",'Process Ref'!$A$1,"_",TEXT(V173,"YYYY-MM-DD"),"_APS-",TEXT(W173,"000")),IFERROR(0/0,""))</f>
        <v/>
      </c>
      <c r="U173" s="19" t="str">
        <f t="shared" si="100"/>
        <v/>
      </c>
      <c r="V173" s="100"/>
      <c r="W173" s="127" t="str">
        <f t="shared" si="102"/>
        <v/>
      </c>
      <c r="X173" s="40"/>
      <c r="Z173" s="50"/>
      <c r="AA173" s="50"/>
      <c r="AC173" s="40"/>
      <c r="AF173" s="40"/>
    </row>
    <row r="174">
      <c r="C174" s="50"/>
      <c r="D174" s="50"/>
      <c r="E174" s="50"/>
      <c r="F174" s="50"/>
      <c r="G174" s="50"/>
      <c r="H174" s="50"/>
      <c r="I174" s="50"/>
      <c r="J174" s="50"/>
      <c r="K174" s="50"/>
      <c r="L174" s="50"/>
      <c r="M174" s="50"/>
      <c r="N174" s="50"/>
      <c r="O174" s="72"/>
      <c r="R174" s="122"/>
      <c r="S174" s="40"/>
      <c r="T174" s="19" t="str">
        <f>IF(AND(NOT(ISBLANK(U174)),NOT(ISBLANK(V174)),NOT(ISBLANK(W174))),CONCATENATE("RUN-",'Process Ref'!$A$1,"_",TEXT(V174,"YYYY-MM-DD"),"_APS-",TEXT(W174,"000")),IFERROR(0/0,""))</f>
        <v/>
      </c>
      <c r="U174" s="19" t="str">
        <f t="shared" si="100"/>
        <v/>
      </c>
      <c r="V174" s="100"/>
      <c r="W174" s="127" t="str">
        <f t="shared" si="102"/>
        <v/>
      </c>
      <c r="X174" s="40"/>
      <c r="Z174" s="50"/>
      <c r="AA174" s="50"/>
      <c r="AC174" s="40"/>
      <c r="AF174" s="40"/>
    </row>
    <row r="175">
      <c r="C175" s="50"/>
      <c r="D175" s="50"/>
      <c r="E175" s="50"/>
      <c r="F175" s="50"/>
      <c r="G175" s="50"/>
      <c r="H175" s="50"/>
      <c r="I175" s="50"/>
      <c r="J175" s="50"/>
      <c r="K175" s="50"/>
      <c r="L175" s="50"/>
      <c r="M175" s="50"/>
      <c r="N175" s="50"/>
      <c r="O175" s="72"/>
      <c r="R175" s="122"/>
      <c r="S175" s="40"/>
      <c r="T175" s="19" t="str">
        <f>IF(AND(NOT(ISBLANK(U175)),NOT(ISBLANK(V175)),NOT(ISBLANK(W175))),CONCATENATE("RUN-",'Process Ref'!$A$1,"_",TEXT(V175,"YYYY-MM-DD"),"_APS-",TEXT(W175,"000")),IFERROR(0/0,""))</f>
        <v/>
      </c>
      <c r="U175" s="19" t="str">
        <f t="shared" si="100"/>
        <v/>
      </c>
      <c r="V175" s="100"/>
      <c r="W175" s="127" t="str">
        <f t="shared" si="102"/>
        <v/>
      </c>
      <c r="X175" s="40"/>
      <c r="Z175" s="50"/>
      <c r="AA175" s="50"/>
      <c r="AC175" s="40"/>
      <c r="AF175" s="40"/>
    </row>
    <row r="176">
      <c r="C176" s="50"/>
      <c r="D176" s="50"/>
      <c r="E176" s="50"/>
      <c r="F176" s="50"/>
      <c r="G176" s="50"/>
      <c r="H176" s="50"/>
      <c r="I176" s="50"/>
      <c r="J176" s="50"/>
      <c r="K176" s="50"/>
      <c r="L176" s="50"/>
      <c r="M176" s="50"/>
      <c r="N176" s="50"/>
      <c r="O176" s="72"/>
      <c r="R176" s="122"/>
      <c r="S176" s="40"/>
      <c r="T176" s="19" t="str">
        <f>IF(AND(NOT(ISBLANK(U176)),NOT(ISBLANK(V176)),NOT(ISBLANK(W176))),CONCATENATE("RUN-",'Process Ref'!$A$1,"_",TEXT(V176,"YYYY-MM-DD"),"_APS-",TEXT(W176,"000")),IFERROR(0/0,""))</f>
        <v/>
      </c>
      <c r="U176" s="19" t="str">
        <f t="shared" si="100"/>
        <v/>
      </c>
      <c r="V176" s="100"/>
      <c r="W176" s="127" t="str">
        <f t="shared" si="102"/>
        <v/>
      </c>
      <c r="X176" s="40"/>
      <c r="Z176" s="50"/>
      <c r="AA176" s="50"/>
      <c r="AC176" s="40"/>
      <c r="AF176" s="40"/>
    </row>
    <row r="177">
      <c r="C177" s="50"/>
      <c r="D177" s="50"/>
      <c r="E177" s="50"/>
      <c r="F177" s="50"/>
      <c r="G177" s="50"/>
      <c r="H177" s="50"/>
      <c r="I177" s="50"/>
      <c r="J177" s="50"/>
      <c r="K177" s="50"/>
      <c r="L177" s="50"/>
      <c r="M177" s="50"/>
      <c r="N177" s="50"/>
      <c r="O177" s="72"/>
      <c r="R177" s="122"/>
      <c r="S177" s="40"/>
      <c r="T177" s="19" t="str">
        <f>IF(AND(NOT(ISBLANK(U177)),NOT(ISBLANK(V177)),NOT(ISBLANK(W177))),CONCATENATE("RUN-",'Process Ref'!$A$1,"_",TEXT(V177,"YYYY-MM-DD"),"_APS-",TEXT(W177,"000")),IFERROR(0/0,""))</f>
        <v/>
      </c>
      <c r="U177" s="19" t="str">
        <f t="shared" si="100"/>
        <v/>
      </c>
      <c r="V177" s="100"/>
      <c r="W177" s="127" t="str">
        <f t="shared" si="102"/>
        <v/>
      </c>
      <c r="X177" s="40"/>
      <c r="Z177" s="50"/>
      <c r="AA177" s="50"/>
      <c r="AC177" s="40"/>
      <c r="AF177" s="40"/>
    </row>
    <row r="178">
      <c r="C178" s="50"/>
      <c r="D178" s="50"/>
      <c r="E178" s="50"/>
      <c r="F178" s="50"/>
      <c r="G178" s="50"/>
      <c r="H178" s="50"/>
      <c r="I178" s="50"/>
      <c r="J178" s="50"/>
      <c r="K178" s="50"/>
      <c r="L178" s="50"/>
      <c r="M178" s="50"/>
      <c r="N178" s="50"/>
      <c r="O178" s="72"/>
      <c r="R178" s="122"/>
      <c r="S178" s="40"/>
      <c r="T178" s="19" t="str">
        <f>IF(AND(NOT(ISBLANK(U178)),NOT(ISBLANK(V178)),NOT(ISBLANK(W178))),CONCATENATE("RUN-",'Process Ref'!$A$1,"_",TEXT(V178,"YYYY-MM-DD"),"_APS-",TEXT(W178,"000")),IFERROR(0/0,""))</f>
        <v/>
      </c>
      <c r="U178" s="19" t="str">
        <f t="shared" si="100"/>
        <v/>
      </c>
      <c r="V178" s="100"/>
      <c r="W178" s="127" t="str">
        <f t="shared" si="102"/>
        <v/>
      </c>
      <c r="X178" s="40"/>
      <c r="Z178" s="50"/>
      <c r="AA178" s="50"/>
      <c r="AC178" s="40"/>
      <c r="AF178" s="40"/>
    </row>
    <row r="179">
      <c r="C179" s="50"/>
      <c r="D179" s="50"/>
      <c r="E179" s="50"/>
      <c r="F179" s="50"/>
      <c r="G179" s="50"/>
      <c r="H179" s="50"/>
      <c r="I179" s="50"/>
      <c r="J179" s="50"/>
      <c r="K179" s="50"/>
      <c r="L179" s="50"/>
      <c r="M179" s="50"/>
      <c r="N179" s="50"/>
      <c r="O179" s="72"/>
      <c r="R179" s="122"/>
      <c r="S179" s="40"/>
      <c r="T179" s="19" t="str">
        <f>IF(AND(NOT(ISBLANK(U179)),NOT(ISBLANK(V179)),NOT(ISBLANK(W179))),CONCATENATE("RUN-",'Process Ref'!$A$1,"_",TEXT(V179,"YYYY-MM-DD"),"_APS-",TEXT(W179,"000")),IFERROR(0/0,""))</f>
        <v/>
      </c>
      <c r="U179" s="19" t="str">
        <f t="shared" si="100"/>
        <v/>
      </c>
      <c r="V179" s="100"/>
      <c r="W179" s="127" t="str">
        <f t="shared" si="102"/>
        <v/>
      </c>
      <c r="X179" s="40"/>
      <c r="Z179" s="50"/>
      <c r="AA179" s="50"/>
      <c r="AC179" s="40"/>
      <c r="AF179" s="40"/>
    </row>
  </sheetData>
  <conditionalFormatting sqref="L1">
    <cfRule type="expression" dxfId="0" priority="1">
      <formula>SUM(L3:L179)&gt;0</formula>
    </cfRule>
  </conditionalFormatting>
  <conditionalFormatting sqref="L1">
    <cfRule type="expression" dxfId="1" priority="2">
      <formula>SUM(L3:L179)=0</formula>
    </cfRule>
  </conditionalFormatting>
  <conditionalFormatting sqref="N2:N179 AH2:AH166">
    <cfRule type="colorScale" priority="3">
      <colorScale>
        <cfvo type="formula" val="-1"/>
        <cfvo type="formula" val="0"/>
        <cfvo type="formula" val="1"/>
        <color rgb="FFCC0000"/>
        <color rgb="FF6AA84F"/>
        <color rgb="FF3C78D8"/>
      </colorScale>
    </cfRule>
  </conditionalFormatting>
  <conditionalFormatting sqref="L1:L179">
    <cfRule type="cellIs" dxfId="2" priority="4" operator="greaterThan">
      <formula>0</formula>
    </cfRule>
  </conditionalFormatting>
  <conditionalFormatting sqref="A2:B179">
    <cfRule type="expression" dxfId="3" priority="5">
      <formula>$C2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32.63"/>
    <col customWidth="1" min="2" max="2" width="16.63"/>
    <col min="3" max="5" width="12.63" outlineLevel="1"/>
    <col customWidth="1" min="6" max="6" width="15.63" outlineLevel="1"/>
    <col customWidth="1" min="11" max="11" width="23.0"/>
    <col customWidth="1" min="12" max="12" width="11.75"/>
    <col customWidth="1" min="13" max="13" width="12.0"/>
    <col customWidth="1" min="22" max="22" width="11.88"/>
    <col customWidth="1" min="23" max="23" width="8.38"/>
    <col customWidth="1" min="32" max="32" width="9.5"/>
    <col customWidth="1" min="35" max="35" width="9.38"/>
    <col customWidth="1" min="36" max="36" width="11.25"/>
    <col customWidth="1" min="37" max="37" width="10.88"/>
    <col customWidth="1" min="39" max="39" width="9.75"/>
    <col customWidth="1" min="40" max="42" width="10.13"/>
    <col customWidth="1" min="43" max="43" width="10.25"/>
    <col min="44" max="44" width="12.63" outlineLevel="1"/>
    <col customWidth="1" min="45" max="46" width="30.75" outlineLevel="1"/>
    <col customWidth="1" min="47" max="47" width="15.0" outlineLevel="1"/>
    <col customWidth="1" min="50" max="51" width="10.0"/>
    <col customWidth="1" min="52" max="52" width="7.5"/>
    <col customWidth="1" min="53" max="53" width="12.0"/>
    <col customWidth="1" min="55" max="55" width="8.25"/>
    <col customWidth="1" min="56" max="56" width="11.0"/>
    <col customWidth="1" min="57" max="57" width="12.25"/>
    <col customWidth="1" min="58" max="59" width="15.0"/>
    <col customWidth="1" min="60" max="62" width="11.0"/>
    <col customWidth="1" min="63" max="63" width="9.88"/>
    <col customWidth="1" min="64" max="64" width="13.0"/>
    <col customWidth="1" min="65" max="65" width="11.5"/>
    <col customWidth="1" min="66" max="72" width="15.0"/>
    <col customWidth="1" min="73" max="73" width="2.63"/>
    <col customWidth="1" min="74" max="74" width="12.63"/>
    <col customWidth="1" min="75" max="81" width="15.0"/>
  </cols>
  <sheetData>
    <row r="1">
      <c r="A1" s="62" t="s">
        <v>8</v>
      </c>
      <c r="B1" s="129" t="s">
        <v>141</v>
      </c>
      <c r="C1" s="129" t="s">
        <v>142</v>
      </c>
      <c r="D1" s="129" t="s">
        <v>143</v>
      </c>
      <c r="E1" s="15" t="s">
        <v>144</v>
      </c>
      <c r="F1" s="129" t="s">
        <v>145</v>
      </c>
      <c r="G1" s="129" t="s">
        <v>146</v>
      </c>
      <c r="H1" s="129" t="s">
        <v>147</v>
      </c>
      <c r="I1" s="129" t="s">
        <v>148</v>
      </c>
      <c r="J1" s="15" t="s">
        <v>149</v>
      </c>
      <c r="K1" s="130" t="s">
        <v>150</v>
      </c>
      <c r="L1" s="15" t="s">
        <v>151</v>
      </c>
      <c r="M1" s="15" t="s">
        <v>152</v>
      </c>
      <c r="N1" s="15" t="s">
        <v>153</v>
      </c>
      <c r="O1" s="15" t="s">
        <v>154</v>
      </c>
      <c r="P1" s="131" t="s">
        <v>155</v>
      </c>
      <c r="Q1" s="15" t="s">
        <v>156</v>
      </c>
      <c r="R1" s="15" t="s">
        <v>157</v>
      </c>
      <c r="S1" s="15" t="s">
        <v>158</v>
      </c>
      <c r="T1" s="132" t="s">
        <v>159</v>
      </c>
      <c r="U1" s="15" t="s">
        <v>160</v>
      </c>
      <c r="V1" s="15" t="s">
        <v>161</v>
      </c>
      <c r="W1" s="15" t="s">
        <v>162</v>
      </c>
      <c r="X1" s="15" t="s">
        <v>163</v>
      </c>
      <c r="Y1" s="15" t="s">
        <v>164</v>
      </c>
      <c r="Z1" s="15" t="s">
        <v>165</v>
      </c>
      <c r="AA1" s="62" t="s">
        <v>166</v>
      </c>
      <c r="AB1" s="133" t="s">
        <v>167</v>
      </c>
      <c r="AC1" s="15" t="s">
        <v>168</v>
      </c>
      <c r="AD1" s="15" t="s">
        <v>169</v>
      </c>
      <c r="AE1" s="134" t="s">
        <v>170</v>
      </c>
      <c r="AF1" s="135" t="s">
        <v>171</v>
      </c>
      <c r="AG1" s="15" t="s">
        <v>172</v>
      </c>
      <c r="AH1" s="136" t="s">
        <v>173</v>
      </c>
      <c r="AI1" s="137" t="s">
        <v>174</v>
      </c>
      <c r="AJ1" s="15" t="s">
        <v>175</v>
      </c>
      <c r="AK1" s="138" t="s">
        <v>126</v>
      </c>
      <c r="AL1" s="15" t="s">
        <v>176</v>
      </c>
      <c r="AM1" s="15" t="s">
        <v>177</v>
      </c>
      <c r="AN1" s="62" t="s">
        <v>178</v>
      </c>
      <c r="AO1" s="62" t="str">
        <f>IF(COUNT(AO2:AO96),"ERROR","TRT CHECK")</f>
        <v>TRT CHECK</v>
      </c>
      <c r="AP1" s="131" t="s">
        <v>179</v>
      </c>
      <c r="AQ1" s="62" t="s">
        <v>180</v>
      </c>
      <c r="AR1" s="139" t="s">
        <v>181</v>
      </c>
      <c r="AS1" s="140" t="s">
        <v>182</v>
      </c>
      <c r="AT1" s="15" t="s">
        <v>183</v>
      </c>
      <c r="AU1" s="15" t="s">
        <v>184</v>
      </c>
      <c r="AV1" s="15" t="s">
        <v>185</v>
      </c>
      <c r="AW1" s="15" t="s">
        <v>186</v>
      </c>
      <c r="AX1" s="131" t="s">
        <v>187</v>
      </c>
      <c r="AY1" s="62" t="s">
        <v>188</v>
      </c>
      <c r="AZ1" s="141" t="s">
        <v>189</v>
      </c>
      <c r="BA1" s="142" t="s">
        <v>190</v>
      </c>
      <c r="BB1" s="62" t="s">
        <v>191</v>
      </c>
      <c r="BC1" s="62" t="s">
        <v>192</v>
      </c>
      <c r="BD1" s="62" t="str">
        <f>AK1</f>
        <v>RFR Audit
Num
Run Tubes</v>
      </c>
      <c r="BE1" s="143" t="s">
        <v>193</v>
      </c>
      <c r="BF1" s="62" t="s">
        <v>194</v>
      </c>
      <c r="BG1" s="62" t="s">
        <v>108</v>
      </c>
      <c r="BH1" s="62" t="str">
        <f>E1</f>
        <v>RAW Num of Samples (Gform)</v>
      </c>
      <c r="BI1" s="62" t="str">
        <f>Z1</f>
        <v>Num Rxn Including Controls (from paper form)</v>
      </c>
      <c r="BJ1" s="62" t="str">
        <f>AK1</f>
        <v>RFR Audit
Num
Run Tubes</v>
      </c>
      <c r="BK1" s="62" t="s">
        <v>113</v>
      </c>
      <c r="BL1" s="62" t="s">
        <v>195</v>
      </c>
      <c r="BM1" s="62" t="s">
        <v>114</v>
      </c>
      <c r="BN1" s="62" t="s">
        <v>196</v>
      </c>
      <c r="BO1" s="144" t="str">
        <f>IF(SUM(BO2:BO100)&gt;0,"Num NULL &gt; 0 NEEDS CHANGE", "Num NULL = 0 OK")</f>
        <v>#N/A</v>
      </c>
      <c r="BP1" s="62" t="s">
        <v>115</v>
      </c>
      <c r="BQ1" s="15" t="s">
        <v>197</v>
      </c>
      <c r="BR1" s="15" t="s">
        <v>117</v>
      </c>
      <c r="BS1" s="62" t="s">
        <v>198</v>
      </c>
      <c r="BT1" s="131" t="s">
        <v>119</v>
      </c>
      <c r="BU1" s="145"/>
      <c r="BV1" s="146" t="str">
        <f>CONCATENATE("Initial Inconclusives ",SUM(BV2:BV96))</f>
        <v>Initial Inconclusives 3</v>
      </c>
      <c r="BW1" s="36"/>
      <c r="BX1" s="15"/>
      <c r="BY1" s="15"/>
      <c r="BZ1" s="15"/>
      <c r="CA1" s="15"/>
      <c r="CB1" s="15"/>
      <c r="CC1" s="15"/>
    </row>
    <row r="2">
      <c r="A2" s="147" t="str">
        <f>CONCATENATE("RUN-",'Process Ref'!$A$1,"_",TEXT(U2,"YYYY-MM-DD"),"_RFR-",TEXT(AR2,"000"),IF(EXACT(W2,"Initial"),"",CONCATENATE("_",W2)))</f>
        <v>RUN-COMB_2022-03-20_RFR-001</v>
      </c>
      <c r="B2" s="148">
        <v>44641.43212962963</v>
      </c>
      <c r="C2" s="149"/>
      <c r="D2" s="149" t="s">
        <v>199</v>
      </c>
      <c r="E2" s="121">
        <v>20.0</v>
      </c>
      <c r="F2" s="149" t="s">
        <v>200</v>
      </c>
      <c r="G2" s="150" t="s">
        <v>201</v>
      </c>
      <c r="H2" s="151"/>
      <c r="I2" s="151" t="s">
        <v>202</v>
      </c>
      <c r="J2" s="121">
        <v>2.0</v>
      </c>
      <c r="K2" s="152"/>
      <c r="L2" s="149"/>
      <c r="M2" s="153"/>
      <c r="N2" s="153"/>
      <c r="O2" s="154"/>
      <c r="P2" s="155" t="b">
        <v>0</v>
      </c>
      <c r="Q2" s="155" t="b">
        <v>0</v>
      </c>
      <c r="R2" s="51"/>
      <c r="S2" s="155" t="b">
        <v>0</v>
      </c>
      <c r="T2" s="156" t="b">
        <v>1</v>
      </c>
      <c r="U2" s="157">
        <v>44640.0</v>
      </c>
      <c r="V2" s="158">
        <v>0.8402777777777778</v>
      </c>
      <c r="W2" s="149" t="s">
        <v>203</v>
      </c>
      <c r="X2" s="51"/>
      <c r="Y2" s="155" t="b">
        <v>0</v>
      </c>
      <c r="Z2" s="121">
        <v>20.0</v>
      </c>
      <c r="AA2" s="159">
        <f t="shared" ref="AA2:AA96" si="1">IF(ISBLANK(Z2),IFERROR(0/0,""),Z2-E2)</f>
        <v>0</v>
      </c>
      <c r="AB2" s="160" t="b">
        <v>1</v>
      </c>
      <c r="AC2" s="121">
        <v>18.0</v>
      </c>
      <c r="AD2" s="121">
        <v>2.0</v>
      </c>
      <c r="AE2" s="121">
        <v>2.0</v>
      </c>
      <c r="AF2" s="161">
        <v>0.0</v>
      </c>
      <c r="AG2" s="121">
        <v>0.0</v>
      </c>
      <c r="AH2" s="162">
        <v>0.0</v>
      </c>
      <c r="AI2" s="163">
        <v>0.0</v>
      </c>
      <c r="AJ2" s="121" t="b">
        <v>0</v>
      </c>
      <c r="AK2" s="164">
        <v>18.0</v>
      </c>
      <c r="AL2" s="121">
        <v>1.0</v>
      </c>
      <c r="AM2" s="121">
        <v>2.0</v>
      </c>
      <c r="AN2" s="159" t="str">
        <f>IFNA(VLOOKUP($A2,'Tube Reactions'!$J$2:$K96,2,FALSE),"")</f>
        <v/>
      </c>
      <c r="AO2" s="165" t="str">
        <f t="shared" ref="AO2:AO96" si="2">IF(AND(AM2&gt;0,AM2&lt;&gt;AN2),"NOT EQUAL","")</f>
        <v>NOT EQUAL</v>
      </c>
      <c r="AP2" s="166" t="str">
        <f t="shared" ref="AP2:AP96" si="3">IF(ISTEXT(H2),"", "Absent")</f>
        <v>Absent</v>
      </c>
      <c r="AQ2" s="167" t="b">
        <f t="shared" ref="AQ2:AQ96" si="4">NOT(ISBLANK(H2))</f>
        <v>0</v>
      </c>
      <c r="AR2" s="168">
        <v>1.0</v>
      </c>
      <c r="AS2" s="169"/>
      <c r="AT2" s="149"/>
      <c r="AU2" s="121" t="s">
        <v>204</v>
      </c>
      <c r="AV2" s="170">
        <v>20.0</v>
      </c>
      <c r="AW2" s="121" t="b">
        <v>1</v>
      </c>
      <c r="AX2" s="171"/>
      <c r="AY2" s="159">
        <f t="shared" ref="AY2:AY96" si="5">AV2-AC2</f>
        <v>2</v>
      </c>
      <c r="AZ2" s="172"/>
      <c r="BA2" s="173" t="b">
        <v>0</v>
      </c>
      <c r="BB2" s="165" t="str">
        <f t="shared" ref="BB2:BB96" si="6">IF(BA2,IF(EXACT(W2,"Initial"),TRUE,FALSE),"")</f>
        <v/>
      </c>
      <c r="BC2" s="159" t="str">
        <f t="shared" ref="BC2:BC96" si="7">IF(BB2,IF(AL2=0,TRUE,AL2),"")</f>
        <v/>
      </c>
      <c r="BD2" s="159" t="str">
        <f t="shared" ref="BD2:BD96" si="8">IF(BC2,AK2,"")</f>
        <v/>
      </c>
      <c r="BE2" s="174"/>
      <c r="BF2" s="175">
        <f t="shared" ref="BF2:BF77" si="9">IF(EXACT($W2,"Initial"),$U2,IFERROR(0/0,""))</f>
        <v>44640</v>
      </c>
      <c r="BG2" s="165" t="str">
        <f t="shared" ref="BG2:BG77" si="10">IF(EXACT($W2,"Initial"),$A2,IFERROR(0/0,""))</f>
        <v>RUN-COMB_2022-03-20_RFR-001</v>
      </c>
      <c r="BH2" s="159">
        <f t="shared" ref="BH2:BH77" si="11">IF(EXACT($W2,"Initial"),E2,IFERROR(0/0,""))</f>
        <v>20</v>
      </c>
      <c r="BI2" s="159">
        <f t="shared" ref="BI2:BI77" si="12">IF(EXACT($W2,"Initial"),Z2,IFERROR(0/0,""))</f>
        <v>20</v>
      </c>
      <c r="BJ2" s="159">
        <f t="shared" ref="BJ2:BJ77" si="13">IF(EXACT($W2,"Initial"),$AK2,IFERROR(0/0,""))</f>
        <v>18</v>
      </c>
      <c r="BK2" s="159">
        <f t="shared" ref="BK2:BK77" si="14">IF(EXACT($W2,"Initial"),$AL2,IFERROR(0/0,""))</f>
        <v>1</v>
      </c>
      <c r="BL2" s="175">
        <f>VLOOKUP(FLOOR($B2,1),'APS Tubes by Date Import'!$B$2:$L96,1,FALSE)</f>
        <v>44641</v>
      </c>
      <c r="BM2" s="176">
        <f>IF(ISBLANK($BL2),IFERROR(0/0,""),VLOOKUP(FLOOR($B2,1),'APS Tubes by Date Import'!$B$2:$L96,2,FALSE))</f>
        <v>26</v>
      </c>
      <c r="BN2" s="75">
        <f>VLOOKUP(FLOOR($B2,1),'APS Tubes by Date Import'!$B2:$L96,11,FALSE)</f>
        <v>44641</v>
      </c>
      <c r="BO2" s="159">
        <f>VLOOKUP(FLOOR($B2,1),'APS Tubes by Date Import'!$B2:$I96,6,FALSE)</f>
        <v>0</v>
      </c>
      <c r="BP2" s="159">
        <f t="shared" ref="BP2:BP77" si="15">BJ2</f>
        <v>18</v>
      </c>
      <c r="BQ2" s="177">
        <f t="shared" ref="BQ2:BQ77" si="16">BP2-BM2</f>
        <v>-8</v>
      </c>
      <c r="BR2" s="149"/>
      <c r="BS2" s="175" t="b">
        <f t="shared" ref="BS2:BS96" si="17">IF(ISBLANK(BP2),IFERROR(0/0,""),IF($BR2&lt;=4,TRUE,IFERROR(0/0,"")))</f>
        <v>1</v>
      </c>
      <c r="BT2" s="178" t="str">
        <f t="shared" ref="BT2:BT77" si="18">IFS(OR(BR2=0.1,BR2=1.1,BR2=2.1),"NULL &gt; NEG",BR2=3, "Delete NULL",TRUE,IFERROR(0/0,""))</f>
        <v/>
      </c>
      <c r="BU2" s="179"/>
      <c r="BV2" s="180">
        <f t="shared" ref="BV2:BV96" si="19">IF(EXACT($W2,"Initial"),AF2,IFERROR(0/0,""))</f>
        <v>0</v>
      </c>
      <c r="BW2" s="181"/>
      <c r="BX2" s="181"/>
      <c r="BY2" s="181"/>
      <c r="BZ2" s="181"/>
      <c r="CA2" s="181"/>
      <c r="CB2" s="181"/>
      <c r="CC2" s="181"/>
    </row>
    <row r="3">
      <c r="A3" s="147" t="str">
        <f>CONCATENATE("RUN-",'Process Ref'!$A$1,"_",TEXT(U3,"YYYY-MM-DD"),"_RFR-",TEXT(AR3,"000"),IF(EXACT(W3,"Initial"),"",CONCATENATE("_",W3)))</f>
        <v>RUN-COMB_2022-03-21_RFR-002</v>
      </c>
      <c r="B3" s="148">
        <v>44641.40175925926</v>
      </c>
      <c r="C3" s="149"/>
      <c r="D3" s="149" t="s">
        <v>199</v>
      </c>
      <c r="E3" s="121">
        <v>27.0</v>
      </c>
      <c r="F3" s="149" t="s">
        <v>205</v>
      </c>
      <c r="G3" s="150" t="s">
        <v>206</v>
      </c>
      <c r="H3" s="151"/>
      <c r="I3" s="151" t="s">
        <v>207</v>
      </c>
      <c r="J3" s="121" t="s">
        <v>208</v>
      </c>
      <c r="K3" s="182" t="s">
        <v>209</v>
      </c>
      <c r="L3" s="149"/>
      <c r="M3" s="153"/>
      <c r="N3" s="153"/>
      <c r="O3" s="154"/>
      <c r="P3" s="155" t="b">
        <v>0</v>
      </c>
      <c r="Q3" s="155" t="b">
        <v>0</v>
      </c>
      <c r="R3" s="51"/>
      <c r="S3" s="155" t="b">
        <v>0</v>
      </c>
      <c r="T3" s="156" t="b">
        <v>0</v>
      </c>
      <c r="U3" s="157">
        <v>44641.0</v>
      </c>
      <c r="V3" s="158">
        <v>0.4166666666666667</v>
      </c>
      <c r="W3" s="149" t="s">
        <v>203</v>
      </c>
      <c r="X3" s="149" t="s">
        <v>210</v>
      </c>
      <c r="Y3" s="155" t="b">
        <v>1</v>
      </c>
      <c r="Z3" s="121">
        <v>29.0</v>
      </c>
      <c r="AA3" s="159">
        <f t="shared" si="1"/>
        <v>2</v>
      </c>
      <c r="AB3" s="160" t="b">
        <v>0</v>
      </c>
      <c r="AC3" s="121">
        <v>27.0</v>
      </c>
      <c r="AD3" s="121">
        <v>0.0</v>
      </c>
      <c r="AE3" s="121">
        <v>0.0</v>
      </c>
      <c r="AF3" s="161">
        <v>0.0</v>
      </c>
      <c r="AG3" s="121">
        <v>1.0</v>
      </c>
      <c r="AH3" s="162">
        <v>1.0</v>
      </c>
      <c r="AI3" s="163">
        <v>1.0</v>
      </c>
      <c r="AJ3" s="121" t="b">
        <v>0</v>
      </c>
      <c r="AK3" s="164">
        <v>27.0</v>
      </c>
      <c r="AL3" s="121">
        <v>4.0</v>
      </c>
      <c r="AM3" s="121">
        <v>1.0</v>
      </c>
      <c r="AN3" s="159" t="str">
        <f>IFNA(VLOOKUP($A3,'Tube Reactions'!$J$2:$K96,2,FALSE),"")</f>
        <v/>
      </c>
      <c r="AO3" s="165" t="str">
        <f t="shared" si="2"/>
        <v>NOT EQUAL</v>
      </c>
      <c r="AP3" s="166" t="str">
        <f t="shared" si="3"/>
        <v>Absent</v>
      </c>
      <c r="AQ3" s="167" t="b">
        <f t="shared" si="4"/>
        <v>0</v>
      </c>
      <c r="AR3" s="168">
        <v>2.0</v>
      </c>
      <c r="AS3" s="169"/>
      <c r="AT3" s="149"/>
      <c r="AU3" s="121" t="s">
        <v>204</v>
      </c>
      <c r="AV3" s="170">
        <v>29.0</v>
      </c>
      <c r="AW3" s="121" t="b">
        <v>0</v>
      </c>
      <c r="AX3" s="166"/>
      <c r="AY3" s="159">
        <f t="shared" si="5"/>
        <v>2</v>
      </c>
      <c r="AZ3" s="172"/>
      <c r="BA3" s="173" t="b">
        <v>1</v>
      </c>
      <c r="BB3" s="165" t="b">
        <f t="shared" si="6"/>
        <v>1</v>
      </c>
      <c r="BC3" s="159">
        <f t="shared" si="7"/>
        <v>4</v>
      </c>
      <c r="BD3" s="159">
        <f t="shared" si="8"/>
        <v>27</v>
      </c>
      <c r="BE3" s="174"/>
      <c r="BF3" s="175">
        <f t="shared" si="9"/>
        <v>44641</v>
      </c>
      <c r="BG3" s="165" t="str">
        <f t="shared" si="10"/>
        <v>RUN-COMB_2022-03-21_RFR-002</v>
      </c>
      <c r="BH3" s="159">
        <f t="shared" si="11"/>
        <v>27</v>
      </c>
      <c r="BI3" s="159">
        <f t="shared" si="12"/>
        <v>29</v>
      </c>
      <c r="BJ3" s="159">
        <f t="shared" si="13"/>
        <v>27</v>
      </c>
      <c r="BK3" s="159">
        <f t="shared" si="14"/>
        <v>4</v>
      </c>
      <c r="BL3" s="183" t="str">
        <f>IFNA(IF(VLOOKUP(FLOOR($B3,1),'APS Tubes by Date Import'!$B$2:$L96,1,FALSE)=FLOOR($BL2,1),IFERROR(0/0,""),VLOOKUP(FLOOR($B3,1),'APS Tubes by Date Import'!$B$2:$L96,1,FALSE)),"")</f>
        <v/>
      </c>
      <c r="BM3" s="176" t="str">
        <f>IF(ISBLANK($BL3),IFERROR(0/0,""),VLOOKUP(FLOOR($B3,1),'APS Tubes by Date Import'!$B$2:$L96,2,FALSE))</f>
        <v/>
      </c>
      <c r="BN3" s="75">
        <f>VLOOKUP(FLOOR($B3,1),'APS Tubes by Date Import'!$B3:$L96,11,FALSE)</f>
        <v>44641</v>
      </c>
      <c r="BO3" s="159">
        <f>VLOOKUP(FLOOR($B3,1),'APS Tubes by Date Import'!$B3:$I96,6,FALSE)</f>
        <v>0</v>
      </c>
      <c r="BP3" s="159">
        <f t="shared" si="15"/>
        <v>27</v>
      </c>
      <c r="BQ3" s="177">
        <f t="shared" si="16"/>
        <v>27</v>
      </c>
      <c r="BR3" s="149"/>
      <c r="BS3" s="175" t="b">
        <f t="shared" si="17"/>
        <v>1</v>
      </c>
      <c r="BT3" s="178" t="str">
        <f t="shared" si="18"/>
        <v/>
      </c>
      <c r="BU3" s="179"/>
      <c r="BV3" s="180">
        <f t="shared" si="19"/>
        <v>0</v>
      </c>
      <c r="BW3" s="181"/>
      <c r="BX3" s="181"/>
      <c r="BY3" s="181"/>
      <c r="BZ3" s="181"/>
      <c r="CA3" s="181"/>
      <c r="CB3" s="181"/>
      <c r="CC3" s="181"/>
    </row>
    <row r="4">
      <c r="A4" s="147" t="str">
        <f>CONCATENATE("RUN-",'Process Ref'!$A$1,"_",TEXT(U4,"YYYY-MM-DD"),"_RFR-",TEXT(AR4,"000"),IF(EXACT(W4,"Initial"),"",CONCATENATE("_",W4)))</f>
        <v>RUN-COMB_2022-03-20_RFR-003_Re-run</v>
      </c>
      <c r="B4" s="148">
        <v>44641.43800925926</v>
      </c>
      <c r="C4" s="149"/>
      <c r="D4" s="149" t="s">
        <v>199</v>
      </c>
      <c r="E4" s="121">
        <v>8.0</v>
      </c>
      <c r="F4" s="149" t="s">
        <v>211</v>
      </c>
      <c r="G4" s="150" t="s">
        <v>212</v>
      </c>
      <c r="H4" s="151"/>
      <c r="I4" s="151" t="s">
        <v>213</v>
      </c>
      <c r="J4" s="121" t="s">
        <v>214</v>
      </c>
      <c r="K4" s="182" t="s">
        <v>215</v>
      </c>
      <c r="L4" s="149"/>
      <c r="M4" s="153"/>
      <c r="N4" s="153"/>
      <c r="O4" s="154"/>
      <c r="P4" s="155" t="b">
        <v>0</v>
      </c>
      <c r="Q4" s="155" t="b">
        <v>0</v>
      </c>
      <c r="R4" s="51"/>
      <c r="S4" s="155" t="b">
        <v>0</v>
      </c>
      <c r="T4" s="156" t="b">
        <v>1</v>
      </c>
      <c r="U4" s="157">
        <v>44640.0</v>
      </c>
      <c r="V4" s="158">
        <v>0.875</v>
      </c>
      <c r="W4" s="149" t="s">
        <v>216</v>
      </c>
      <c r="X4" s="51"/>
      <c r="Y4" s="155" t="b">
        <v>0</v>
      </c>
      <c r="Z4" s="121">
        <v>8.0</v>
      </c>
      <c r="AA4" s="159">
        <f t="shared" si="1"/>
        <v>0</v>
      </c>
      <c r="AB4" s="160" t="b">
        <v>1</v>
      </c>
      <c r="AC4" s="121">
        <v>6.0</v>
      </c>
      <c r="AD4" s="121">
        <v>0.0</v>
      </c>
      <c r="AE4" s="184">
        <v>0.0</v>
      </c>
      <c r="AF4" s="161">
        <v>0.0</v>
      </c>
      <c r="AG4" s="121">
        <v>0.0</v>
      </c>
      <c r="AH4" s="162">
        <v>0.0</v>
      </c>
      <c r="AI4" s="163">
        <v>0.0</v>
      </c>
      <c r="AJ4" s="121" t="b">
        <v>0</v>
      </c>
      <c r="AK4" s="164">
        <v>2.0</v>
      </c>
      <c r="AL4" s="121">
        <v>0.0</v>
      </c>
      <c r="AM4" s="55" t="str">
        <f>IF(EXACT(W4,"Initial"),"Audit","")</f>
        <v/>
      </c>
      <c r="AN4" s="159" t="str">
        <f>IFNA(VLOOKUP($A4,'Tube Reactions'!$J$2:$K96,2,FALSE),"")</f>
        <v/>
      </c>
      <c r="AO4" s="165" t="str">
        <f t="shared" si="2"/>
        <v/>
      </c>
      <c r="AP4" s="166" t="str">
        <f t="shared" si="3"/>
        <v>Absent</v>
      </c>
      <c r="AQ4" s="167" t="b">
        <f t="shared" si="4"/>
        <v>0</v>
      </c>
      <c r="AR4" s="185">
        <v>3.0</v>
      </c>
      <c r="AS4" s="169"/>
      <c r="AT4" s="149"/>
      <c r="AU4" s="121" t="s">
        <v>204</v>
      </c>
      <c r="AV4" s="170">
        <v>8.0</v>
      </c>
      <c r="AW4" s="121" t="b">
        <v>0</v>
      </c>
      <c r="AX4" s="171"/>
      <c r="AY4" s="159">
        <f t="shared" si="5"/>
        <v>2</v>
      </c>
      <c r="AZ4" s="172"/>
      <c r="BA4" s="173" t="b">
        <v>0</v>
      </c>
      <c r="BB4" s="165" t="str">
        <f t="shared" si="6"/>
        <v/>
      </c>
      <c r="BC4" s="159" t="str">
        <f t="shared" si="7"/>
        <v/>
      </c>
      <c r="BD4" s="159" t="str">
        <f t="shared" si="8"/>
        <v/>
      </c>
      <c r="BE4" s="174"/>
      <c r="BF4" s="175" t="str">
        <f t="shared" si="9"/>
        <v/>
      </c>
      <c r="BG4" s="165" t="str">
        <f t="shared" si="10"/>
        <v/>
      </c>
      <c r="BH4" s="159" t="str">
        <f t="shared" si="11"/>
        <v/>
      </c>
      <c r="BI4" s="159" t="str">
        <f t="shared" si="12"/>
        <v/>
      </c>
      <c r="BJ4" s="159" t="str">
        <f t="shared" si="13"/>
        <v/>
      </c>
      <c r="BK4" s="159" t="str">
        <f t="shared" si="14"/>
        <v/>
      </c>
      <c r="BL4" s="183">
        <f>IFNA(IF(VLOOKUP(FLOOR($B4,1),'APS Tubes by Date Import'!$B$2:$L96,1,FALSE)=FLOOR($BL3,1),IFERROR(0/0,""),VLOOKUP(FLOOR($B4,1),'APS Tubes by Date Import'!$B$2:$L96,1,FALSE)),"")</f>
        <v>44641</v>
      </c>
      <c r="BM4" s="176">
        <f>IF(ISBLANK($BL4),IFERROR(0/0,""),VLOOKUP(FLOOR($B4,1),'APS Tubes by Date Import'!$B$2:$L96,2,FALSE))</f>
        <v>26</v>
      </c>
      <c r="BN4" s="159" t="str">
        <f>VLOOKUP(FLOOR($B4,1),'APS Tubes by Date Import'!$B4:$L96,11,FALSE)</f>
        <v>#N/A</v>
      </c>
      <c r="BO4" s="159" t="str">
        <f>VLOOKUP(FLOOR($B4,1),'APS Tubes by Date Import'!$B4:$I96,6,FALSE)</f>
        <v>#N/A</v>
      </c>
      <c r="BP4" s="159" t="str">
        <f t="shared" si="15"/>
        <v/>
      </c>
      <c r="BQ4" s="177">
        <f t="shared" si="16"/>
        <v>-26</v>
      </c>
      <c r="BR4" s="149"/>
      <c r="BS4" s="175" t="str">
        <f t="shared" si="17"/>
        <v/>
      </c>
      <c r="BT4" s="178" t="str">
        <f t="shared" si="18"/>
        <v/>
      </c>
      <c r="BU4" s="179"/>
      <c r="BV4" s="180" t="str">
        <f t="shared" si="19"/>
        <v/>
      </c>
      <c r="BW4" s="181"/>
      <c r="BX4" s="181"/>
      <c r="BY4" s="181"/>
      <c r="BZ4" s="181"/>
      <c r="CA4" s="181"/>
      <c r="CB4" s="181"/>
      <c r="CC4" s="181"/>
    </row>
    <row r="5">
      <c r="A5" s="147" t="str">
        <f>CONCATENATE("RUN-",'Process Ref'!$A$1,"_",TEXT(U5,"YYYY-MM-DD"),"_RFR-",TEXT(AR5,"000"),IF(EXACT(W5,"Initial"),"",CONCATENATE("_",W5)))</f>
        <v>RUN-COMB_2022-03-22_RFR-004</v>
      </c>
      <c r="B5" s="148">
        <v>44642.36184027778</v>
      </c>
      <c r="C5" s="149"/>
      <c r="D5" s="149" t="s">
        <v>199</v>
      </c>
      <c r="E5" s="121">
        <v>18.0</v>
      </c>
      <c r="F5" s="149" t="s">
        <v>217</v>
      </c>
      <c r="G5" s="151" t="s">
        <v>218</v>
      </c>
      <c r="H5" s="151"/>
      <c r="I5" s="151" t="s">
        <v>219</v>
      </c>
      <c r="J5" s="121">
        <v>2.0</v>
      </c>
      <c r="K5" s="186" t="s">
        <v>220</v>
      </c>
      <c r="L5" s="149"/>
      <c r="M5" s="153"/>
      <c r="N5" s="153"/>
      <c r="O5" s="154"/>
      <c r="P5" s="155" t="b">
        <v>0</v>
      </c>
      <c r="Q5" s="155" t="b">
        <v>0</v>
      </c>
      <c r="R5" s="51"/>
      <c r="S5" s="155" t="b">
        <v>0</v>
      </c>
      <c r="T5" s="156" t="b">
        <v>1</v>
      </c>
      <c r="U5" s="157">
        <v>44642.0</v>
      </c>
      <c r="V5" s="158">
        <v>0.40625</v>
      </c>
      <c r="W5" s="149" t="s">
        <v>203</v>
      </c>
      <c r="X5" s="51"/>
      <c r="Y5" s="155" t="b">
        <v>0</v>
      </c>
      <c r="Z5" s="121">
        <v>24.0</v>
      </c>
      <c r="AA5" s="159">
        <f t="shared" si="1"/>
        <v>6</v>
      </c>
      <c r="AB5" s="160" t="b">
        <v>1</v>
      </c>
      <c r="AC5" s="121">
        <v>22.0</v>
      </c>
      <c r="AD5" s="121">
        <v>2.0</v>
      </c>
      <c r="AE5" s="184">
        <v>2.0</v>
      </c>
      <c r="AF5" s="161">
        <v>0.0</v>
      </c>
      <c r="AG5" s="121">
        <v>0.0</v>
      </c>
      <c r="AH5" s="162">
        <v>0.0</v>
      </c>
      <c r="AI5" s="163">
        <v>0.0</v>
      </c>
      <c r="AJ5" s="121" t="b">
        <v>0</v>
      </c>
      <c r="AK5" s="187">
        <v>18.0</v>
      </c>
      <c r="AL5" s="121">
        <v>4.0</v>
      </c>
      <c r="AM5" s="121">
        <v>2.0</v>
      </c>
      <c r="AN5" s="159" t="str">
        <f>IFNA(VLOOKUP($A5,'Tube Reactions'!$J$2:$K96,2,FALSE),"")</f>
        <v/>
      </c>
      <c r="AO5" s="165" t="str">
        <f t="shared" si="2"/>
        <v>NOT EQUAL</v>
      </c>
      <c r="AP5" s="166" t="str">
        <f t="shared" si="3"/>
        <v>Absent</v>
      </c>
      <c r="AQ5" s="167" t="b">
        <f t="shared" si="4"/>
        <v>0</v>
      </c>
      <c r="AR5" s="185">
        <v>4.0</v>
      </c>
      <c r="AS5" s="188" t="s">
        <v>221</v>
      </c>
      <c r="AT5" s="149"/>
      <c r="AU5" s="121" t="s">
        <v>204</v>
      </c>
      <c r="AV5" s="170">
        <v>24.0</v>
      </c>
      <c r="AW5" s="121" t="b">
        <v>1</v>
      </c>
      <c r="AX5" s="171"/>
      <c r="AY5" s="159">
        <f t="shared" si="5"/>
        <v>2</v>
      </c>
      <c r="AZ5" s="172"/>
      <c r="BA5" s="173" t="b">
        <v>0</v>
      </c>
      <c r="BB5" s="165" t="str">
        <f t="shared" si="6"/>
        <v/>
      </c>
      <c r="BC5" s="159" t="str">
        <f t="shared" si="7"/>
        <v/>
      </c>
      <c r="BD5" s="159" t="str">
        <f t="shared" si="8"/>
        <v/>
      </c>
      <c r="BE5" s="174"/>
      <c r="BF5" s="175">
        <f t="shared" si="9"/>
        <v>44642</v>
      </c>
      <c r="BG5" s="165" t="str">
        <f t="shared" si="10"/>
        <v>RUN-COMB_2022-03-22_RFR-004</v>
      </c>
      <c r="BH5" s="159">
        <f t="shared" si="11"/>
        <v>18</v>
      </c>
      <c r="BI5" s="159">
        <f t="shared" si="12"/>
        <v>24</v>
      </c>
      <c r="BJ5" s="159">
        <f t="shared" si="13"/>
        <v>18</v>
      </c>
      <c r="BK5" s="159">
        <f t="shared" si="14"/>
        <v>4</v>
      </c>
      <c r="BL5" s="183">
        <f>IFNA(IF(VLOOKUP(FLOOR($B5,1),'APS Tubes by Date Import'!$B$2:$L96,1,FALSE)=FLOOR($BL4,1),IFERROR(0/0,""),VLOOKUP(FLOOR($B5,1),'APS Tubes by Date Import'!$B$2:$L96,1,FALSE)),"")</f>
        <v>44642</v>
      </c>
      <c r="BM5" s="176">
        <f>IF(ISBLANK($BL5),IFERROR(0/0,""),VLOOKUP(FLOOR($B5,1),'APS Tubes by Date Import'!$B$2:$L96,2,FALSE))</f>
        <v>18</v>
      </c>
      <c r="BN5" s="159" t="str">
        <f>VLOOKUP(FLOOR($B5,1),'APS Tubes by Date Import'!$B5:$L96,11,FALSE)</f>
        <v>#N/A</v>
      </c>
      <c r="BO5" s="159" t="str">
        <f>VLOOKUP(FLOOR($B5,1),'APS Tubes by Date Import'!$B5:$I96,6,FALSE)</f>
        <v>#N/A</v>
      </c>
      <c r="BP5" s="159">
        <f t="shared" si="15"/>
        <v>18</v>
      </c>
      <c r="BQ5" s="177">
        <f t="shared" si="16"/>
        <v>0</v>
      </c>
      <c r="BR5" s="149"/>
      <c r="BS5" s="175" t="b">
        <f t="shared" si="17"/>
        <v>1</v>
      </c>
      <c r="BT5" s="178" t="str">
        <f t="shared" si="18"/>
        <v/>
      </c>
      <c r="BU5" s="179"/>
      <c r="BV5" s="180">
        <f t="shared" si="19"/>
        <v>0</v>
      </c>
      <c r="BW5" s="181"/>
      <c r="BX5" s="181"/>
      <c r="BY5" s="181"/>
      <c r="BZ5" s="181"/>
      <c r="CA5" s="181"/>
      <c r="CB5" s="181"/>
      <c r="CC5" s="181"/>
    </row>
    <row r="6">
      <c r="A6" s="147" t="str">
        <f>CONCATENATE("RUN-",'Process Ref'!$A$1,"_",TEXT(U6,"YYYY-MM-DD"),"_RFR-",TEXT(AR6,"000"),IF(EXACT(W6,"Initial"),"",CONCATENATE("_",W6)))</f>
        <v>RUN-COMB_2022-03-22_RFR-005_Re-run</v>
      </c>
      <c r="B6" s="148">
        <v>44642.363171296296</v>
      </c>
      <c r="C6" s="149"/>
      <c r="D6" s="149" t="s">
        <v>199</v>
      </c>
      <c r="E6" s="121">
        <v>2.0</v>
      </c>
      <c r="F6" s="149" t="s">
        <v>222</v>
      </c>
      <c r="G6" s="151" t="s">
        <v>223</v>
      </c>
      <c r="H6" s="189"/>
      <c r="I6" s="190" t="s">
        <v>224</v>
      </c>
      <c r="J6" s="121" t="s">
        <v>214</v>
      </c>
      <c r="K6" s="182" t="s">
        <v>225</v>
      </c>
      <c r="L6" s="149"/>
      <c r="M6" s="153"/>
      <c r="N6" s="153"/>
      <c r="O6" s="154"/>
      <c r="P6" s="155" t="b">
        <v>0</v>
      </c>
      <c r="Q6" s="155" t="b">
        <v>0</v>
      </c>
      <c r="R6" s="51"/>
      <c r="S6" s="155" t="b">
        <v>0</v>
      </c>
      <c r="T6" s="156" t="b">
        <v>1</v>
      </c>
      <c r="U6" s="157">
        <v>44642.0</v>
      </c>
      <c r="V6" s="158">
        <v>0.4479166666666667</v>
      </c>
      <c r="W6" s="149" t="s">
        <v>216</v>
      </c>
      <c r="X6" s="51"/>
      <c r="Y6" s="155" t="b">
        <v>0</v>
      </c>
      <c r="Z6" s="121">
        <v>8.0</v>
      </c>
      <c r="AA6" s="159">
        <f t="shared" si="1"/>
        <v>6</v>
      </c>
      <c r="AB6" s="160" t="b">
        <v>1</v>
      </c>
      <c r="AC6" s="121">
        <v>6.0</v>
      </c>
      <c r="AD6" s="121">
        <v>0.0</v>
      </c>
      <c r="AE6" s="184">
        <v>0.0</v>
      </c>
      <c r="AF6" s="161">
        <v>0.0</v>
      </c>
      <c r="AG6" s="121">
        <v>0.0</v>
      </c>
      <c r="AH6" s="162">
        <v>0.0</v>
      </c>
      <c r="AI6" s="163">
        <v>0.0</v>
      </c>
      <c r="AJ6" s="121" t="b">
        <v>0</v>
      </c>
      <c r="AK6" s="164">
        <v>2.0</v>
      </c>
      <c r="AL6" s="121">
        <v>0.0</v>
      </c>
      <c r="AM6" s="121"/>
      <c r="AN6" s="159" t="str">
        <f>IFNA(VLOOKUP($A6,'Tube Reactions'!$J$2:$K96,2,FALSE),"")</f>
        <v/>
      </c>
      <c r="AO6" s="165" t="str">
        <f t="shared" si="2"/>
        <v/>
      </c>
      <c r="AP6" s="166" t="str">
        <f t="shared" si="3"/>
        <v>Absent</v>
      </c>
      <c r="AQ6" s="167" t="b">
        <f t="shared" si="4"/>
        <v>0</v>
      </c>
      <c r="AR6" s="185">
        <v>5.0</v>
      </c>
      <c r="AS6" s="169"/>
      <c r="AT6" s="149"/>
      <c r="AU6" s="121" t="s">
        <v>204</v>
      </c>
      <c r="AV6" s="170">
        <v>8.0</v>
      </c>
      <c r="AW6" s="162" t="b">
        <v>1</v>
      </c>
      <c r="AX6" s="171"/>
      <c r="AY6" s="159">
        <f t="shared" si="5"/>
        <v>2</v>
      </c>
      <c r="AZ6" s="172"/>
      <c r="BA6" s="173" t="b">
        <v>0</v>
      </c>
      <c r="BB6" s="165" t="str">
        <f t="shared" si="6"/>
        <v/>
      </c>
      <c r="BC6" s="159" t="str">
        <f t="shared" si="7"/>
        <v/>
      </c>
      <c r="BD6" s="159" t="str">
        <f t="shared" si="8"/>
        <v/>
      </c>
      <c r="BE6" s="174"/>
      <c r="BF6" s="175" t="str">
        <f t="shared" si="9"/>
        <v/>
      </c>
      <c r="BG6" s="165" t="str">
        <f t="shared" si="10"/>
        <v/>
      </c>
      <c r="BH6" s="159" t="str">
        <f t="shared" si="11"/>
        <v/>
      </c>
      <c r="BI6" s="159" t="str">
        <f t="shared" si="12"/>
        <v/>
      </c>
      <c r="BJ6" s="159" t="str">
        <f t="shared" si="13"/>
        <v/>
      </c>
      <c r="BK6" s="159" t="str">
        <f t="shared" si="14"/>
        <v/>
      </c>
      <c r="BL6" s="183" t="str">
        <f>IFNA(IF(VLOOKUP(FLOOR($B6,1),'APS Tubes by Date Import'!$B$2:$L96,1,FALSE)=FLOOR($BL5,1),IFERROR(0/0,""),VLOOKUP(FLOOR($B6,1),'APS Tubes by Date Import'!$B$2:$L96,1,FALSE)),"")</f>
        <v/>
      </c>
      <c r="BM6" s="176" t="str">
        <f>IF(ISBLANK($BL6),IFERROR(0/0,""),VLOOKUP(FLOOR($B6,1),'APS Tubes by Date Import'!$B$2:$L96,2,FALSE))</f>
        <v/>
      </c>
      <c r="BN6" s="159" t="str">
        <f>VLOOKUP(FLOOR($B6,1),'APS Tubes by Date Import'!$B6:$L96,11,FALSE)</f>
        <v>#N/A</v>
      </c>
      <c r="BO6" s="159" t="str">
        <f>VLOOKUP(FLOOR($B6,1),'APS Tubes by Date Import'!$B6:$I96,6,FALSE)</f>
        <v>#N/A</v>
      </c>
      <c r="BP6" s="159" t="str">
        <f t="shared" si="15"/>
        <v/>
      </c>
      <c r="BQ6" s="177">
        <f t="shared" si="16"/>
        <v>0</v>
      </c>
      <c r="BR6" s="149"/>
      <c r="BS6" s="175" t="str">
        <f t="shared" si="17"/>
        <v/>
      </c>
      <c r="BT6" s="178" t="str">
        <f t="shared" si="18"/>
        <v/>
      </c>
      <c r="BU6" s="179"/>
      <c r="BV6" s="180" t="str">
        <f t="shared" si="19"/>
        <v/>
      </c>
      <c r="BW6" s="181"/>
      <c r="BX6" s="181"/>
      <c r="BY6" s="181"/>
      <c r="BZ6" s="181"/>
      <c r="CA6" s="181"/>
      <c r="CB6" s="181"/>
      <c r="CC6" s="181"/>
    </row>
    <row r="7">
      <c r="A7" s="147" t="str">
        <f>CONCATENATE("RUN-",'Process Ref'!$A$1,"_",TEXT(U7,"YYYY-MM-DD"),"_RFR-",TEXT(AR7,"000"),IF(EXACT(W7,"Initial"),"",CONCATENATE("_",W7)))</f>
        <v>RUN-COMB_2022-03-23_RFR-006</v>
      </c>
      <c r="B7" s="148">
        <v>44643.4025</v>
      </c>
      <c r="C7" s="149"/>
      <c r="D7" s="149" t="s">
        <v>199</v>
      </c>
      <c r="E7" s="121">
        <v>32.0</v>
      </c>
      <c r="F7" s="149" t="s">
        <v>226</v>
      </c>
      <c r="G7" s="151" t="s">
        <v>227</v>
      </c>
      <c r="H7" s="151"/>
      <c r="I7" s="151" t="s">
        <v>228</v>
      </c>
      <c r="J7" s="121" t="s">
        <v>214</v>
      </c>
      <c r="K7" s="152"/>
      <c r="L7" s="149"/>
      <c r="M7" s="153"/>
      <c r="N7" s="153"/>
      <c r="O7" s="154"/>
      <c r="P7" s="155" t="b">
        <v>0</v>
      </c>
      <c r="Q7" s="155" t="b">
        <v>0</v>
      </c>
      <c r="R7" s="51"/>
      <c r="S7" s="155" t="b">
        <v>0</v>
      </c>
      <c r="T7" s="156" t="b">
        <v>0</v>
      </c>
      <c r="U7" s="157">
        <v>44643.0</v>
      </c>
      <c r="V7" s="158">
        <v>0.4583333333333333</v>
      </c>
      <c r="W7" s="149" t="s">
        <v>203</v>
      </c>
      <c r="X7" s="51"/>
      <c r="Y7" s="155" t="b">
        <v>0</v>
      </c>
      <c r="Z7" s="121">
        <v>34.0</v>
      </c>
      <c r="AA7" s="159">
        <f t="shared" si="1"/>
        <v>2</v>
      </c>
      <c r="AB7" s="160" t="b">
        <v>0</v>
      </c>
      <c r="AC7" s="121">
        <v>32.0</v>
      </c>
      <c r="AD7" s="121">
        <v>0.0</v>
      </c>
      <c r="AE7" s="184">
        <v>0.0</v>
      </c>
      <c r="AF7" s="161">
        <v>0.0</v>
      </c>
      <c r="AG7" s="121">
        <v>0.0</v>
      </c>
      <c r="AH7" s="162">
        <v>0.0</v>
      </c>
      <c r="AI7" s="163">
        <v>0.0</v>
      </c>
      <c r="AJ7" s="121" t="b">
        <v>0</v>
      </c>
      <c r="AK7" s="164">
        <v>32.0</v>
      </c>
      <c r="AL7" s="121">
        <v>0.0</v>
      </c>
      <c r="AM7" s="121">
        <v>0.0</v>
      </c>
      <c r="AN7" s="159" t="str">
        <f>IFNA(VLOOKUP($A7,'Tube Reactions'!$J$2:$K96,2,FALSE),"")</f>
        <v/>
      </c>
      <c r="AO7" s="165" t="str">
        <f t="shared" si="2"/>
        <v/>
      </c>
      <c r="AP7" s="166" t="str">
        <f t="shared" si="3"/>
        <v>Absent</v>
      </c>
      <c r="AQ7" s="167" t="b">
        <f t="shared" si="4"/>
        <v>0</v>
      </c>
      <c r="AR7" s="185">
        <v>6.0</v>
      </c>
      <c r="AS7" s="169"/>
      <c r="AT7" s="149"/>
      <c r="AU7" s="121" t="s">
        <v>204</v>
      </c>
      <c r="AV7" s="170">
        <v>34.0</v>
      </c>
      <c r="AW7" s="121" t="b">
        <v>1</v>
      </c>
      <c r="AX7" s="171"/>
      <c r="AY7" s="159">
        <f t="shared" si="5"/>
        <v>2</v>
      </c>
      <c r="AZ7" s="172"/>
      <c r="BA7" s="173" t="b">
        <v>1</v>
      </c>
      <c r="BB7" s="165" t="b">
        <f t="shared" si="6"/>
        <v>1</v>
      </c>
      <c r="BC7" s="159" t="b">
        <f t="shared" si="7"/>
        <v>1</v>
      </c>
      <c r="BD7" s="159">
        <f t="shared" si="8"/>
        <v>32</v>
      </c>
      <c r="BE7" s="174"/>
      <c r="BF7" s="175">
        <f t="shared" si="9"/>
        <v>44643</v>
      </c>
      <c r="BG7" s="165" t="str">
        <f t="shared" si="10"/>
        <v>RUN-COMB_2022-03-23_RFR-006</v>
      </c>
      <c r="BH7" s="159">
        <f t="shared" si="11"/>
        <v>32</v>
      </c>
      <c r="BI7" s="159">
        <f t="shared" si="12"/>
        <v>34</v>
      </c>
      <c r="BJ7" s="159">
        <f t="shared" si="13"/>
        <v>32</v>
      </c>
      <c r="BK7" s="159">
        <f t="shared" si="14"/>
        <v>0</v>
      </c>
      <c r="BL7" s="183">
        <f>IFNA(IF(VLOOKUP(FLOOR($B7,1),'APS Tubes by Date Import'!$B$2:$L96,1,FALSE)=FLOOR($BL6,1),IFERROR(0/0,""),VLOOKUP(FLOOR($B7,1),'APS Tubes by Date Import'!$B$2:$L96,1,FALSE)),"")</f>
        <v>44643</v>
      </c>
      <c r="BM7" s="176">
        <f>IF(ISBLANK($BL7),IFERROR(0/0,""),VLOOKUP(FLOOR($B7,1),'APS Tubes by Date Import'!$B$2:$L96,2,FALSE))</f>
        <v>32</v>
      </c>
      <c r="BN7" s="159" t="str">
        <f>VLOOKUP(FLOOR($B7,1),'APS Tubes by Date Import'!$B7:$L96,11,FALSE)</f>
        <v>#N/A</v>
      </c>
      <c r="BO7" s="159" t="str">
        <f>VLOOKUP(FLOOR($B7,1),'APS Tubes by Date Import'!$B7:$I96,6,FALSE)</f>
        <v>#N/A</v>
      </c>
      <c r="BP7" s="159">
        <f t="shared" si="15"/>
        <v>32</v>
      </c>
      <c r="BQ7" s="177">
        <f t="shared" si="16"/>
        <v>0</v>
      </c>
      <c r="BR7" s="149"/>
      <c r="BS7" s="175" t="b">
        <f t="shared" si="17"/>
        <v>1</v>
      </c>
      <c r="BT7" s="178" t="str">
        <f t="shared" si="18"/>
        <v/>
      </c>
      <c r="BU7" s="179"/>
      <c r="BV7" s="180">
        <f t="shared" si="19"/>
        <v>0</v>
      </c>
      <c r="BW7" s="181"/>
      <c r="BX7" s="181"/>
      <c r="BY7" s="181"/>
      <c r="BZ7" s="181"/>
      <c r="CA7" s="181"/>
      <c r="CB7" s="181"/>
      <c r="CC7" s="181"/>
    </row>
    <row r="8">
      <c r="A8" s="147" t="str">
        <f>CONCATENATE("RUN-",'Process Ref'!$A$1,"_",TEXT(U8,"YYYY-MM-DD"),"_RFR-",TEXT(AR8,"000"),IF(EXACT(W8,"Initial"),"",CONCATENATE("_",W8)))</f>
        <v>RUN-COMB_2022-03-24_RFR-007</v>
      </c>
      <c r="B8" s="148">
        <v>44644.357881944445</v>
      </c>
      <c r="C8" s="149"/>
      <c r="D8" s="149" t="s">
        <v>199</v>
      </c>
      <c r="E8" s="121">
        <v>24.0</v>
      </c>
      <c r="F8" s="149" t="s">
        <v>229</v>
      </c>
      <c r="G8" s="150" t="s">
        <v>230</v>
      </c>
      <c r="H8" s="189"/>
      <c r="I8" s="190" t="s">
        <v>231</v>
      </c>
      <c r="J8" s="121">
        <v>0.0</v>
      </c>
      <c r="K8" s="152"/>
      <c r="L8" s="149"/>
      <c r="M8" s="153"/>
      <c r="N8" s="153"/>
      <c r="O8" s="154"/>
      <c r="P8" s="155" t="b">
        <v>0</v>
      </c>
      <c r="Q8" s="155" t="b">
        <v>0</v>
      </c>
      <c r="R8" s="51"/>
      <c r="S8" s="155" t="b">
        <v>0</v>
      </c>
      <c r="T8" s="156" t="b">
        <v>0</v>
      </c>
      <c r="U8" s="157">
        <v>44644.0</v>
      </c>
      <c r="V8" s="158">
        <v>0.4166666666666667</v>
      </c>
      <c r="W8" s="149" t="s">
        <v>203</v>
      </c>
      <c r="X8" s="51"/>
      <c r="Y8" s="155" t="b">
        <v>0</v>
      </c>
      <c r="Z8" s="121">
        <v>25.0</v>
      </c>
      <c r="AA8" s="159">
        <f t="shared" si="1"/>
        <v>1</v>
      </c>
      <c r="AB8" s="160" t="b">
        <v>1</v>
      </c>
      <c r="AC8" s="121">
        <v>23.0</v>
      </c>
      <c r="AD8" s="121">
        <v>0.0</v>
      </c>
      <c r="AE8" s="184">
        <v>0.0</v>
      </c>
      <c r="AF8" s="161">
        <v>0.0</v>
      </c>
      <c r="AG8" s="121">
        <v>0.0</v>
      </c>
      <c r="AH8" s="162">
        <v>0.0</v>
      </c>
      <c r="AI8" s="163">
        <v>0.0</v>
      </c>
      <c r="AJ8" s="121" t="b">
        <v>0</v>
      </c>
      <c r="AK8" s="164">
        <v>23.0</v>
      </c>
      <c r="AL8" s="121">
        <v>0.0</v>
      </c>
      <c r="AM8" s="121">
        <v>0.0</v>
      </c>
      <c r="AN8" s="159" t="str">
        <f>IFNA(VLOOKUP($A8,'Tube Reactions'!$J$2:$K96,2,FALSE),"")</f>
        <v/>
      </c>
      <c r="AO8" s="165" t="str">
        <f t="shared" si="2"/>
        <v/>
      </c>
      <c r="AP8" s="166" t="str">
        <f t="shared" si="3"/>
        <v>Absent</v>
      </c>
      <c r="AQ8" s="167" t="b">
        <f t="shared" si="4"/>
        <v>0</v>
      </c>
      <c r="AR8" s="185">
        <v>7.0</v>
      </c>
      <c r="AS8" s="169"/>
      <c r="AT8" s="149"/>
      <c r="AU8" s="121" t="s">
        <v>204</v>
      </c>
      <c r="AV8" s="55">
        <v>25.0</v>
      </c>
      <c r="AW8" s="149" t="b">
        <v>1</v>
      </c>
      <c r="AX8" s="171"/>
      <c r="AY8" s="159">
        <f t="shared" si="5"/>
        <v>2</v>
      </c>
      <c r="AZ8" s="172"/>
      <c r="BA8" s="173" t="b">
        <v>1</v>
      </c>
      <c r="BB8" s="165" t="b">
        <f t="shared" si="6"/>
        <v>1</v>
      </c>
      <c r="BC8" s="159" t="b">
        <f t="shared" si="7"/>
        <v>1</v>
      </c>
      <c r="BD8" s="159">
        <f t="shared" si="8"/>
        <v>23</v>
      </c>
      <c r="BE8" s="174"/>
      <c r="BF8" s="175">
        <f t="shared" si="9"/>
        <v>44644</v>
      </c>
      <c r="BG8" s="165" t="str">
        <f t="shared" si="10"/>
        <v>RUN-COMB_2022-03-24_RFR-007</v>
      </c>
      <c r="BH8" s="159">
        <f t="shared" si="11"/>
        <v>24</v>
      </c>
      <c r="BI8" s="159">
        <f t="shared" si="12"/>
        <v>25</v>
      </c>
      <c r="BJ8" s="159">
        <f t="shared" si="13"/>
        <v>23</v>
      </c>
      <c r="BK8" s="159">
        <f t="shared" si="14"/>
        <v>0</v>
      </c>
      <c r="BL8" s="183">
        <f>IFNA(IF(VLOOKUP(FLOOR($B8,1),'APS Tubes by Date Import'!$B$2:$L96,1,FALSE)=FLOOR($BL7,1),IFERROR(0/0,""),VLOOKUP(FLOOR($B8,1),'APS Tubes by Date Import'!$B$2:$L96,1,FALSE)),"")</f>
        <v>44644</v>
      </c>
      <c r="BM8" s="176">
        <f>IF(ISBLANK($BL8),IFERROR(0/0,""),VLOOKUP(FLOOR($B8,1),'APS Tubes by Date Import'!$B$2:$L96,2,FALSE))</f>
        <v>23</v>
      </c>
      <c r="BN8" s="159" t="str">
        <f>VLOOKUP(FLOOR($B8,1),'APS Tubes by Date Import'!$B8:$L96,11,FALSE)</f>
        <v>#N/A</v>
      </c>
      <c r="BO8" s="159" t="str">
        <f>VLOOKUP(FLOOR($B8,1),'APS Tubes by Date Import'!$B8:$I96,6,FALSE)</f>
        <v>#N/A</v>
      </c>
      <c r="BP8" s="159">
        <f t="shared" si="15"/>
        <v>23</v>
      </c>
      <c r="BQ8" s="177">
        <f t="shared" si="16"/>
        <v>0</v>
      </c>
      <c r="BR8" s="149"/>
      <c r="BS8" s="175" t="b">
        <f t="shared" si="17"/>
        <v>1</v>
      </c>
      <c r="BT8" s="178" t="str">
        <f t="shared" si="18"/>
        <v/>
      </c>
      <c r="BU8" s="179"/>
      <c r="BV8" s="180">
        <f t="shared" si="19"/>
        <v>0</v>
      </c>
      <c r="BW8" s="181"/>
      <c r="BX8" s="181"/>
      <c r="BY8" s="181"/>
      <c r="BZ8" s="181"/>
      <c r="CA8" s="181"/>
      <c r="CB8" s="181"/>
      <c r="CC8" s="181"/>
    </row>
    <row r="9">
      <c r="A9" s="147" t="str">
        <f>CONCATENATE("RUN-",'Process Ref'!$A$1,"_",TEXT(U9,"YYYY-MM-DD"),"_RFR-",TEXT(AR9,"000"),IF(EXACT(W9,"Initial"),"",CONCATENATE("_",W9)))</f>
        <v>RUN-COMB_2022-04-02_RFR-008</v>
      </c>
      <c r="B9" s="148">
        <v>44653.58746527778</v>
      </c>
      <c r="C9" s="149"/>
      <c r="D9" s="149" t="s">
        <v>199</v>
      </c>
      <c r="E9" s="121">
        <v>8.0</v>
      </c>
      <c r="F9" s="149" t="s">
        <v>232</v>
      </c>
      <c r="G9" s="150" t="s">
        <v>233</v>
      </c>
      <c r="H9" s="189"/>
      <c r="I9" s="190" t="s">
        <v>234</v>
      </c>
      <c r="J9" s="121">
        <v>0.0</v>
      </c>
      <c r="K9" s="152"/>
      <c r="L9" s="149"/>
      <c r="M9" s="153"/>
      <c r="N9" s="153"/>
      <c r="O9" s="154"/>
      <c r="P9" s="155" t="b">
        <v>0</v>
      </c>
      <c r="Q9" s="155" t="b">
        <v>0</v>
      </c>
      <c r="R9" s="51"/>
      <c r="S9" s="155" t="b">
        <v>0</v>
      </c>
      <c r="T9" s="156" t="b">
        <v>0</v>
      </c>
      <c r="U9" s="157">
        <v>44653.0</v>
      </c>
      <c r="V9" s="158">
        <v>0.6979166666666666</v>
      </c>
      <c r="W9" s="149" t="s">
        <v>203</v>
      </c>
      <c r="X9" s="51"/>
      <c r="Y9" s="155" t="b">
        <v>0</v>
      </c>
      <c r="Z9" s="121">
        <v>8.0</v>
      </c>
      <c r="AA9" s="159">
        <f t="shared" si="1"/>
        <v>0</v>
      </c>
      <c r="AB9" s="160" t="b">
        <v>1</v>
      </c>
      <c r="AC9" s="121">
        <v>6.0</v>
      </c>
      <c r="AD9" s="121">
        <v>0.0</v>
      </c>
      <c r="AE9" s="184">
        <v>0.0</v>
      </c>
      <c r="AF9" s="161">
        <v>0.0</v>
      </c>
      <c r="AG9" s="121">
        <v>0.0</v>
      </c>
      <c r="AH9" s="162">
        <v>0.0</v>
      </c>
      <c r="AI9" s="163">
        <v>0.0</v>
      </c>
      <c r="AJ9" s="121" t="b">
        <v>0</v>
      </c>
      <c r="AK9" s="164">
        <v>6.0</v>
      </c>
      <c r="AL9" s="121">
        <v>0.0</v>
      </c>
      <c r="AM9" s="121">
        <v>0.0</v>
      </c>
      <c r="AN9" s="159" t="str">
        <f>IFNA(VLOOKUP($A9,'Tube Reactions'!$J$2:$K96,2,FALSE),"")</f>
        <v/>
      </c>
      <c r="AO9" s="165" t="str">
        <f t="shared" si="2"/>
        <v/>
      </c>
      <c r="AP9" s="166" t="str">
        <f t="shared" si="3"/>
        <v>Absent</v>
      </c>
      <c r="AQ9" s="167" t="b">
        <f t="shared" si="4"/>
        <v>0</v>
      </c>
      <c r="AR9" s="185">
        <v>8.0</v>
      </c>
      <c r="AS9" s="169"/>
      <c r="AT9" s="149"/>
      <c r="AU9" s="121" t="s">
        <v>204</v>
      </c>
      <c r="AV9" s="55">
        <v>8.0</v>
      </c>
      <c r="AW9" s="149" t="b">
        <v>1</v>
      </c>
      <c r="AX9" s="171"/>
      <c r="AY9" s="159">
        <f t="shared" si="5"/>
        <v>2</v>
      </c>
      <c r="AZ9" s="172"/>
      <c r="BA9" s="173" t="b">
        <v>1</v>
      </c>
      <c r="BB9" s="165" t="b">
        <f t="shared" si="6"/>
        <v>1</v>
      </c>
      <c r="BC9" s="159" t="b">
        <f t="shared" si="7"/>
        <v>1</v>
      </c>
      <c r="BD9" s="159">
        <f t="shared" si="8"/>
        <v>6</v>
      </c>
      <c r="BE9" s="174"/>
      <c r="BF9" s="175">
        <f t="shared" si="9"/>
        <v>44653</v>
      </c>
      <c r="BG9" s="165" t="str">
        <f t="shared" si="10"/>
        <v>RUN-COMB_2022-04-02_RFR-008</v>
      </c>
      <c r="BH9" s="159">
        <f t="shared" si="11"/>
        <v>8</v>
      </c>
      <c r="BI9" s="159">
        <f t="shared" si="12"/>
        <v>8</v>
      </c>
      <c r="BJ9" s="159">
        <f t="shared" si="13"/>
        <v>6</v>
      </c>
      <c r="BK9" s="159">
        <f t="shared" si="14"/>
        <v>0</v>
      </c>
      <c r="BL9" s="183">
        <f>IFNA(IF(VLOOKUP(FLOOR($B9,1),'APS Tubes by Date Import'!$B$2:$L96,1,FALSE)=FLOOR($BL8,1),IFERROR(0/0,""),VLOOKUP(FLOOR($B9,1),'APS Tubes by Date Import'!$B$2:$L96,1,FALSE)),"")</f>
        <v>44653</v>
      </c>
      <c r="BM9" s="176">
        <f>IF(ISBLANK($BL9),IFERROR(0/0,""),VLOOKUP(FLOOR($B9,1),'APS Tubes by Date Import'!$B$2:$L96,2,FALSE))</f>
        <v>2</v>
      </c>
      <c r="BN9" s="159" t="str">
        <f>VLOOKUP(FLOOR($B9,1),'APS Tubes by Date Import'!$B9:$L96,11,FALSE)</f>
        <v>#N/A</v>
      </c>
      <c r="BO9" s="159" t="str">
        <f>VLOOKUP(FLOOR($B9,1),'APS Tubes by Date Import'!$B9:$I96,6,FALSE)</f>
        <v>#N/A</v>
      </c>
      <c r="BP9" s="159">
        <f t="shared" si="15"/>
        <v>6</v>
      </c>
      <c r="BQ9" s="177">
        <f t="shared" si="16"/>
        <v>4</v>
      </c>
      <c r="BR9" s="149"/>
      <c r="BS9" s="175" t="b">
        <f t="shared" si="17"/>
        <v>1</v>
      </c>
      <c r="BT9" s="178" t="str">
        <f t="shared" si="18"/>
        <v/>
      </c>
      <c r="BU9" s="179"/>
      <c r="BV9" s="180">
        <f t="shared" si="19"/>
        <v>0</v>
      </c>
      <c r="BW9" s="181"/>
      <c r="BX9" s="181"/>
      <c r="BY9" s="181"/>
      <c r="BZ9" s="181"/>
      <c r="CA9" s="181"/>
      <c r="CB9" s="181"/>
      <c r="CC9" s="181"/>
    </row>
    <row r="10">
      <c r="A10" s="147" t="str">
        <f>CONCATENATE("RUN-",'Process Ref'!$A$1,"_",TEXT(U10,"YYYY-MM-DD"),"_RFR-",TEXT(AR10,"000"),IF(EXACT(W10,"Initial"),"",CONCATENATE("_",W10)))</f>
        <v>RUN-COMB_2022-04-04_RFR-009</v>
      </c>
      <c r="B10" s="148">
        <v>44655.813206018516</v>
      </c>
      <c r="C10" s="149"/>
      <c r="D10" s="149" t="s">
        <v>199</v>
      </c>
      <c r="E10" s="121">
        <v>27.0</v>
      </c>
      <c r="F10" s="149" t="s">
        <v>235</v>
      </c>
      <c r="G10" s="150" t="s">
        <v>236</v>
      </c>
      <c r="H10" s="150"/>
      <c r="I10" s="150" t="s">
        <v>237</v>
      </c>
      <c r="J10" s="121" t="s">
        <v>214</v>
      </c>
      <c r="K10" s="152"/>
      <c r="L10" s="149"/>
      <c r="M10" s="153"/>
      <c r="N10" s="153"/>
      <c r="O10" s="154"/>
      <c r="P10" s="155" t="b">
        <v>0</v>
      </c>
      <c r="Q10" s="155" t="b">
        <v>0</v>
      </c>
      <c r="R10" s="51"/>
      <c r="S10" s="155" t="b">
        <v>0</v>
      </c>
      <c r="T10" s="156" t="b">
        <v>0</v>
      </c>
      <c r="U10" s="157">
        <v>44655.0</v>
      </c>
      <c r="V10" s="158">
        <v>0.9166666666666666</v>
      </c>
      <c r="W10" s="149" t="s">
        <v>203</v>
      </c>
      <c r="X10" s="51"/>
      <c r="Y10" s="155" t="b">
        <v>0</v>
      </c>
      <c r="Z10" s="121">
        <v>29.0</v>
      </c>
      <c r="AA10" s="159">
        <f t="shared" si="1"/>
        <v>2</v>
      </c>
      <c r="AB10" s="160" t="b">
        <v>0</v>
      </c>
      <c r="AC10" s="121">
        <v>27.0</v>
      </c>
      <c r="AD10" s="121">
        <v>0.0</v>
      </c>
      <c r="AE10" s="184">
        <v>0.0</v>
      </c>
      <c r="AF10" s="161">
        <v>0.0</v>
      </c>
      <c r="AG10" s="121">
        <v>0.0</v>
      </c>
      <c r="AH10" s="162">
        <v>0.0</v>
      </c>
      <c r="AI10" s="163">
        <v>0.0</v>
      </c>
      <c r="AJ10" s="121" t="b">
        <v>0</v>
      </c>
      <c r="AK10" s="164">
        <v>27.0</v>
      </c>
      <c r="AL10" s="121">
        <v>0.0</v>
      </c>
      <c r="AM10" s="121">
        <v>0.0</v>
      </c>
      <c r="AN10" s="159" t="str">
        <f>IFNA(VLOOKUP($A10,'Tube Reactions'!$J$2:$K96,2,FALSE),"")</f>
        <v/>
      </c>
      <c r="AO10" s="165" t="str">
        <f t="shared" si="2"/>
        <v/>
      </c>
      <c r="AP10" s="166" t="str">
        <f t="shared" si="3"/>
        <v>Absent</v>
      </c>
      <c r="AQ10" s="167" t="b">
        <f t="shared" si="4"/>
        <v>0</v>
      </c>
      <c r="AR10" s="185">
        <v>9.0</v>
      </c>
      <c r="AS10" s="169"/>
      <c r="AT10" s="149"/>
      <c r="AU10" s="121" t="s">
        <v>204</v>
      </c>
      <c r="AV10" s="170">
        <v>29.0</v>
      </c>
      <c r="AW10" s="121" t="b">
        <v>1</v>
      </c>
      <c r="AX10" s="171"/>
      <c r="AY10" s="159">
        <f t="shared" si="5"/>
        <v>2</v>
      </c>
      <c r="AZ10" s="172"/>
      <c r="BA10" s="173" t="b">
        <v>1</v>
      </c>
      <c r="BB10" s="165" t="b">
        <f t="shared" si="6"/>
        <v>1</v>
      </c>
      <c r="BC10" s="159" t="b">
        <f t="shared" si="7"/>
        <v>1</v>
      </c>
      <c r="BD10" s="159">
        <f t="shared" si="8"/>
        <v>27</v>
      </c>
      <c r="BE10" s="174"/>
      <c r="BF10" s="175">
        <f t="shared" si="9"/>
        <v>44655</v>
      </c>
      <c r="BG10" s="165" t="str">
        <f t="shared" si="10"/>
        <v>RUN-COMB_2022-04-04_RFR-009</v>
      </c>
      <c r="BH10" s="159">
        <f t="shared" si="11"/>
        <v>27</v>
      </c>
      <c r="BI10" s="159">
        <f t="shared" si="12"/>
        <v>29</v>
      </c>
      <c r="BJ10" s="159">
        <f t="shared" si="13"/>
        <v>27</v>
      </c>
      <c r="BK10" s="159">
        <f t="shared" si="14"/>
        <v>0</v>
      </c>
      <c r="BL10" s="183">
        <f>IFNA(IF(VLOOKUP(FLOOR($B10,1),'APS Tubes by Date Import'!$B$2:$L96,1,FALSE)=FLOOR($BL9,1),IFERROR(0/0,""),VLOOKUP(FLOOR($B10,1),'APS Tubes by Date Import'!$B$2:$L96,1,FALSE)),"")</f>
        <v>44655</v>
      </c>
      <c r="BM10" s="176">
        <f>IF(ISBLANK($BL10),IFERROR(0/0,""),VLOOKUP(FLOOR($B10,1),'APS Tubes by Date Import'!$B$2:$L96,2,FALSE))</f>
        <v>24</v>
      </c>
      <c r="BN10" s="159" t="str">
        <f>VLOOKUP(FLOOR($B10,1),'APS Tubes by Date Import'!$B10:$L96,11,FALSE)</f>
        <v>#N/A</v>
      </c>
      <c r="BO10" s="159" t="str">
        <f>VLOOKUP(FLOOR($B10,1),'APS Tubes by Date Import'!$B10:$I96,6,FALSE)</f>
        <v>#N/A</v>
      </c>
      <c r="BP10" s="159">
        <f t="shared" si="15"/>
        <v>27</v>
      </c>
      <c r="BQ10" s="177">
        <f t="shared" si="16"/>
        <v>3</v>
      </c>
      <c r="BR10" s="149"/>
      <c r="BS10" s="175" t="b">
        <f t="shared" si="17"/>
        <v>1</v>
      </c>
      <c r="BT10" s="178" t="str">
        <f t="shared" si="18"/>
        <v/>
      </c>
      <c r="BU10" s="179"/>
      <c r="BV10" s="180">
        <f t="shared" si="19"/>
        <v>0</v>
      </c>
      <c r="BW10" s="181"/>
      <c r="BX10" s="181"/>
      <c r="BY10" s="181"/>
      <c r="BZ10" s="181"/>
      <c r="CA10" s="181"/>
      <c r="CB10" s="181"/>
      <c r="CC10" s="181"/>
    </row>
    <row r="11">
      <c r="A11" s="147" t="str">
        <f>CONCATENATE("RUN-",'Process Ref'!$A$1,"_",TEXT(U11,"YYYY-MM-DD"),"_RFR-",TEXT(AR11,"000"),IF(EXACT(W11,"Initial"),"",CONCATENATE("_",W11)))</f>
        <v>RUN-COMB_2022-04-05_RFR-010</v>
      </c>
      <c r="B11" s="148">
        <v>44656.36954861111</v>
      </c>
      <c r="C11" s="149"/>
      <c r="D11" s="149" t="s">
        <v>199</v>
      </c>
      <c r="E11" s="121">
        <v>24.0</v>
      </c>
      <c r="F11" s="149" t="s">
        <v>238</v>
      </c>
      <c r="G11" s="150" t="s">
        <v>239</v>
      </c>
      <c r="H11" s="150"/>
      <c r="I11" s="150" t="s">
        <v>240</v>
      </c>
      <c r="J11" s="121">
        <v>0.0</v>
      </c>
      <c r="K11" s="152"/>
      <c r="L11" s="149"/>
      <c r="M11" s="153"/>
      <c r="N11" s="153"/>
      <c r="O11" s="154"/>
      <c r="P11" s="155" t="b">
        <v>0</v>
      </c>
      <c r="Q11" s="155" t="b">
        <v>0</v>
      </c>
      <c r="R11" s="51"/>
      <c r="S11" s="155" t="b">
        <v>0</v>
      </c>
      <c r="T11" s="156" t="b">
        <v>0</v>
      </c>
      <c r="U11" s="157">
        <v>44656.0</v>
      </c>
      <c r="V11" s="158">
        <v>0.4791666666666667</v>
      </c>
      <c r="W11" s="149" t="s">
        <v>203</v>
      </c>
      <c r="X11" s="51"/>
      <c r="Y11" s="155" t="b">
        <v>0</v>
      </c>
      <c r="Z11" s="121">
        <v>26.0</v>
      </c>
      <c r="AA11" s="159">
        <f t="shared" si="1"/>
        <v>2</v>
      </c>
      <c r="AB11" s="160" t="b">
        <v>0</v>
      </c>
      <c r="AC11" s="121">
        <v>24.0</v>
      </c>
      <c r="AD11" s="121">
        <v>0.0</v>
      </c>
      <c r="AE11" s="184">
        <v>0.0</v>
      </c>
      <c r="AF11" s="161">
        <v>0.0</v>
      </c>
      <c r="AG11" s="121">
        <v>0.0</v>
      </c>
      <c r="AH11" s="162">
        <v>0.0</v>
      </c>
      <c r="AI11" s="163">
        <v>0.0</v>
      </c>
      <c r="AJ11" s="121" t="b">
        <v>0</v>
      </c>
      <c r="AK11" s="164">
        <v>24.0</v>
      </c>
      <c r="AL11" s="121">
        <v>0.0</v>
      </c>
      <c r="AM11" s="121">
        <v>0.0</v>
      </c>
      <c r="AN11" s="159" t="str">
        <f>IFNA(VLOOKUP($A11,'Tube Reactions'!$J$2:$K96,2,FALSE),"")</f>
        <v/>
      </c>
      <c r="AO11" s="165" t="str">
        <f t="shared" si="2"/>
        <v/>
      </c>
      <c r="AP11" s="166" t="str">
        <f t="shared" si="3"/>
        <v>Absent</v>
      </c>
      <c r="AQ11" s="167" t="b">
        <f t="shared" si="4"/>
        <v>0</v>
      </c>
      <c r="AR11" s="185">
        <v>10.0</v>
      </c>
      <c r="AS11" s="169"/>
      <c r="AT11" s="149"/>
      <c r="AU11" s="121" t="s">
        <v>204</v>
      </c>
      <c r="AV11" s="170">
        <v>26.0</v>
      </c>
      <c r="AW11" s="121" t="b">
        <v>1</v>
      </c>
      <c r="AX11" s="171"/>
      <c r="AY11" s="159">
        <f t="shared" si="5"/>
        <v>2</v>
      </c>
      <c r="AZ11" s="172"/>
      <c r="BA11" s="173" t="b">
        <v>1</v>
      </c>
      <c r="BB11" s="165" t="b">
        <f t="shared" si="6"/>
        <v>1</v>
      </c>
      <c r="BC11" s="159" t="b">
        <f t="shared" si="7"/>
        <v>1</v>
      </c>
      <c r="BD11" s="159">
        <f t="shared" si="8"/>
        <v>24</v>
      </c>
      <c r="BE11" s="174"/>
      <c r="BF11" s="175">
        <f t="shared" si="9"/>
        <v>44656</v>
      </c>
      <c r="BG11" s="165" t="str">
        <f t="shared" si="10"/>
        <v>RUN-COMB_2022-04-05_RFR-010</v>
      </c>
      <c r="BH11" s="159">
        <f t="shared" si="11"/>
        <v>24</v>
      </c>
      <c r="BI11" s="159">
        <f t="shared" si="12"/>
        <v>26</v>
      </c>
      <c r="BJ11" s="159">
        <f t="shared" si="13"/>
        <v>24</v>
      </c>
      <c r="BK11" s="159">
        <f t="shared" si="14"/>
        <v>0</v>
      </c>
      <c r="BL11" s="183">
        <f>IFNA(IF(VLOOKUP(FLOOR($B11,1),'APS Tubes by Date Import'!$B$2:$L96,1,FALSE)=FLOOR($BL10,1),IFERROR(0/0,""),VLOOKUP(FLOOR($B11,1),'APS Tubes by Date Import'!$B$2:$L96,1,FALSE)),"")</f>
        <v>44656</v>
      </c>
      <c r="BM11" s="176">
        <f>IF(ISBLANK($BL11),IFERROR(0/0,""),VLOOKUP(FLOOR($B11,1),'APS Tubes by Date Import'!$B$2:$L96,2,FALSE))</f>
        <v>20</v>
      </c>
      <c r="BN11" s="159" t="str">
        <f>VLOOKUP(FLOOR($B11,1),'APS Tubes by Date Import'!$B11:$L96,11,FALSE)</f>
        <v>#N/A</v>
      </c>
      <c r="BO11" s="159" t="str">
        <f>VLOOKUP(FLOOR($B11,1),'APS Tubes by Date Import'!$B11:$I96,6,FALSE)</f>
        <v>#N/A</v>
      </c>
      <c r="BP11" s="159">
        <f t="shared" si="15"/>
        <v>24</v>
      </c>
      <c r="BQ11" s="177">
        <f t="shared" si="16"/>
        <v>4</v>
      </c>
      <c r="BR11" s="149"/>
      <c r="BS11" s="175" t="b">
        <f t="shared" si="17"/>
        <v>1</v>
      </c>
      <c r="BT11" s="178" t="str">
        <f t="shared" si="18"/>
        <v/>
      </c>
      <c r="BU11" s="179"/>
      <c r="BV11" s="180">
        <f t="shared" si="19"/>
        <v>0</v>
      </c>
      <c r="BW11" s="181"/>
      <c r="BX11" s="181"/>
      <c r="BY11" s="181"/>
      <c r="BZ11" s="181"/>
      <c r="CA11" s="181"/>
      <c r="CB11" s="181"/>
      <c r="CC11" s="181"/>
    </row>
    <row r="12">
      <c r="A12" s="147" t="str">
        <f>CONCATENATE("RUN-",'Process Ref'!$A$1,"_",TEXT(U12,"YYYY-MM-DD"),"_RFR-",TEXT(AR12,"000"),IF(EXACT(W12,"Initial"),"",CONCATENATE("_",W12)))</f>
        <v>RUN-COMB_2022-04-06_RFR-011</v>
      </c>
      <c r="B12" s="148">
        <v>44657.3543287037</v>
      </c>
      <c r="C12" s="149"/>
      <c r="D12" s="149" t="s">
        <v>199</v>
      </c>
      <c r="E12" s="121">
        <v>24.0</v>
      </c>
      <c r="F12" s="149" t="s">
        <v>241</v>
      </c>
      <c r="G12" s="151" t="s">
        <v>242</v>
      </c>
      <c r="H12" s="151"/>
      <c r="I12" s="151" t="s">
        <v>243</v>
      </c>
      <c r="J12" s="121" t="s">
        <v>214</v>
      </c>
      <c r="K12" s="152"/>
      <c r="L12" s="149"/>
      <c r="M12" s="153"/>
      <c r="N12" s="153"/>
      <c r="O12" s="154"/>
      <c r="P12" s="155" t="b">
        <v>0</v>
      </c>
      <c r="Q12" s="155" t="b">
        <v>0</v>
      </c>
      <c r="R12" s="51"/>
      <c r="S12" s="155" t="b">
        <v>0</v>
      </c>
      <c r="T12" s="156" t="b">
        <v>0</v>
      </c>
      <c r="U12" s="157">
        <v>44657.0</v>
      </c>
      <c r="V12" s="158">
        <v>0.4791666666666667</v>
      </c>
      <c r="W12" s="149" t="s">
        <v>203</v>
      </c>
      <c r="X12" s="149"/>
      <c r="Y12" s="155" t="b">
        <v>0</v>
      </c>
      <c r="Z12" s="121">
        <v>26.0</v>
      </c>
      <c r="AA12" s="159">
        <f t="shared" si="1"/>
        <v>2</v>
      </c>
      <c r="AB12" s="160" t="b">
        <v>0</v>
      </c>
      <c r="AC12" s="121">
        <v>24.0</v>
      </c>
      <c r="AD12" s="121">
        <v>0.0</v>
      </c>
      <c r="AE12" s="184">
        <v>0.0</v>
      </c>
      <c r="AF12" s="161">
        <v>0.0</v>
      </c>
      <c r="AG12" s="121">
        <v>0.0</v>
      </c>
      <c r="AH12" s="162">
        <v>0.0</v>
      </c>
      <c r="AI12" s="163">
        <v>0.0</v>
      </c>
      <c r="AJ12" s="121" t="b">
        <v>0</v>
      </c>
      <c r="AK12" s="164">
        <v>24.0</v>
      </c>
      <c r="AL12" s="121">
        <v>0.0</v>
      </c>
      <c r="AM12" s="121">
        <v>0.0</v>
      </c>
      <c r="AN12" s="159" t="str">
        <f>IFNA(VLOOKUP($A12,'Tube Reactions'!$J$2:$K96,2,FALSE),"")</f>
        <v/>
      </c>
      <c r="AO12" s="165" t="str">
        <f t="shared" si="2"/>
        <v/>
      </c>
      <c r="AP12" s="166" t="str">
        <f t="shared" si="3"/>
        <v>Absent</v>
      </c>
      <c r="AQ12" s="167" t="b">
        <f t="shared" si="4"/>
        <v>0</v>
      </c>
      <c r="AR12" s="185">
        <v>11.0</v>
      </c>
      <c r="AS12" s="169"/>
      <c r="AT12" s="149"/>
      <c r="AU12" s="121" t="s">
        <v>204</v>
      </c>
      <c r="AV12" s="170">
        <v>26.0</v>
      </c>
      <c r="AW12" s="121" t="b">
        <v>1</v>
      </c>
      <c r="AX12" s="171"/>
      <c r="AY12" s="159">
        <f t="shared" si="5"/>
        <v>2</v>
      </c>
      <c r="AZ12" s="172"/>
      <c r="BA12" s="173" t="b">
        <v>1</v>
      </c>
      <c r="BB12" s="165" t="b">
        <f t="shared" si="6"/>
        <v>1</v>
      </c>
      <c r="BC12" s="159" t="b">
        <f t="shared" si="7"/>
        <v>1</v>
      </c>
      <c r="BD12" s="159">
        <f t="shared" si="8"/>
        <v>24</v>
      </c>
      <c r="BE12" s="174"/>
      <c r="BF12" s="175">
        <f t="shared" si="9"/>
        <v>44657</v>
      </c>
      <c r="BG12" s="165" t="str">
        <f t="shared" si="10"/>
        <v>RUN-COMB_2022-04-06_RFR-011</v>
      </c>
      <c r="BH12" s="159">
        <f t="shared" si="11"/>
        <v>24</v>
      </c>
      <c r="BI12" s="159">
        <f t="shared" si="12"/>
        <v>26</v>
      </c>
      <c r="BJ12" s="159">
        <f t="shared" si="13"/>
        <v>24</v>
      </c>
      <c r="BK12" s="159">
        <f t="shared" si="14"/>
        <v>0</v>
      </c>
      <c r="BL12" s="183">
        <f>IFNA(IF(VLOOKUP(FLOOR($B12,1),'APS Tubes by Date Import'!$B$2:$L96,1,FALSE)=FLOOR($BL11,1),IFERROR(0/0,""),VLOOKUP(FLOOR($B12,1),'APS Tubes by Date Import'!$B$2:$L96,1,FALSE)),"")</f>
        <v>44657</v>
      </c>
      <c r="BM12" s="176">
        <f>IF(ISBLANK($BL12),IFERROR(0/0,""),VLOOKUP(FLOOR($B12,1),'APS Tubes by Date Import'!$B$2:$L96,2,FALSE))</f>
        <v>18</v>
      </c>
      <c r="BN12" s="159" t="str">
        <f>VLOOKUP(FLOOR($B12,1),'APS Tubes by Date Import'!$B12:$L96,11,FALSE)</f>
        <v>#N/A</v>
      </c>
      <c r="BO12" s="159" t="str">
        <f>VLOOKUP(FLOOR($B12,1),'APS Tubes by Date Import'!$B12:$I96,6,FALSE)</f>
        <v>#N/A</v>
      </c>
      <c r="BP12" s="159">
        <f t="shared" si="15"/>
        <v>24</v>
      </c>
      <c r="BQ12" s="177">
        <f t="shared" si="16"/>
        <v>6</v>
      </c>
      <c r="BR12" s="149"/>
      <c r="BS12" s="175" t="b">
        <f t="shared" si="17"/>
        <v>1</v>
      </c>
      <c r="BT12" s="178" t="str">
        <f t="shared" si="18"/>
        <v/>
      </c>
      <c r="BU12" s="179"/>
      <c r="BV12" s="180">
        <f t="shared" si="19"/>
        <v>0</v>
      </c>
      <c r="BW12" s="181"/>
      <c r="BX12" s="181"/>
      <c r="BY12" s="181"/>
      <c r="BZ12" s="181"/>
      <c r="CA12" s="181"/>
      <c r="CB12" s="181"/>
      <c r="CC12" s="181"/>
    </row>
    <row r="13">
      <c r="A13" s="147" t="str">
        <f>CONCATENATE("RUN-",'Process Ref'!$A$1,"_",TEXT(U13,"YYYY-MM-DD"),"_RFR-",TEXT(AR13,"000"),IF(EXACT(W13,"Initial"),"",CONCATENATE("_",W13)))</f>
        <v>RUN-COMB_2022-04-07_RFR-012</v>
      </c>
      <c r="B13" s="148">
        <v>44658.371886574074</v>
      </c>
      <c r="C13" s="149"/>
      <c r="D13" s="149" t="s">
        <v>199</v>
      </c>
      <c r="E13" s="121">
        <v>36.0</v>
      </c>
      <c r="F13" s="149" t="s">
        <v>244</v>
      </c>
      <c r="G13" s="151" t="s">
        <v>245</v>
      </c>
      <c r="H13" s="189"/>
      <c r="I13" s="190" t="s">
        <v>246</v>
      </c>
      <c r="J13" s="121" t="s">
        <v>208</v>
      </c>
      <c r="K13" s="182" t="s">
        <v>208</v>
      </c>
      <c r="L13" s="149"/>
      <c r="M13" s="153"/>
      <c r="N13" s="153"/>
      <c r="O13" s="154"/>
      <c r="P13" s="155" t="b">
        <v>0</v>
      </c>
      <c r="Q13" s="155" t="b">
        <v>0</v>
      </c>
      <c r="R13" s="51"/>
      <c r="S13" s="155" t="b">
        <v>0</v>
      </c>
      <c r="T13" s="156" t="b">
        <v>0</v>
      </c>
      <c r="U13" s="157">
        <v>44658.0</v>
      </c>
      <c r="V13" s="158">
        <v>0.49166666666666664</v>
      </c>
      <c r="W13" s="149" t="s">
        <v>203</v>
      </c>
      <c r="X13" s="51"/>
      <c r="Y13" s="155" t="b">
        <v>0</v>
      </c>
      <c r="Z13" s="121">
        <v>39.0</v>
      </c>
      <c r="AA13" s="159">
        <f t="shared" si="1"/>
        <v>3</v>
      </c>
      <c r="AB13" s="160" t="b">
        <v>1</v>
      </c>
      <c r="AC13" s="121">
        <v>37.0</v>
      </c>
      <c r="AD13" s="121">
        <v>0.0</v>
      </c>
      <c r="AE13" s="184">
        <v>0.0</v>
      </c>
      <c r="AF13" s="161">
        <v>0.0</v>
      </c>
      <c r="AG13" s="121">
        <v>0.0</v>
      </c>
      <c r="AH13" s="162">
        <v>0.0</v>
      </c>
      <c r="AI13" s="163">
        <v>0.0</v>
      </c>
      <c r="AJ13" s="121" t="b">
        <v>0</v>
      </c>
      <c r="AK13" s="164">
        <v>37.0</v>
      </c>
      <c r="AL13" s="121">
        <v>0.0</v>
      </c>
      <c r="AM13" s="121">
        <v>0.0</v>
      </c>
      <c r="AN13" s="159" t="str">
        <f>IFNA(VLOOKUP($A13,'Tube Reactions'!$J$2:$K96,2,FALSE),"")</f>
        <v/>
      </c>
      <c r="AO13" s="165" t="str">
        <f t="shared" si="2"/>
        <v/>
      </c>
      <c r="AP13" s="166" t="str">
        <f t="shared" si="3"/>
        <v>Absent</v>
      </c>
      <c r="AQ13" s="167" t="b">
        <f t="shared" si="4"/>
        <v>0</v>
      </c>
      <c r="AR13" s="185">
        <v>12.0</v>
      </c>
      <c r="AS13" s="169"/>
      <c r="AT13" s="149"/>
      <c r="AU13" s="121" t="s">
        <v>204</v>
      </c>
      <c r="AV13" s="170">
        <v>39.0</v>
      </c>
      <c r="AW13" s="162" t="b">
        <v>1</v>
      </c>
      <c r="AX13" s="171"/>
      <c r="AY13" s="159">
        <f t="shared" si="5"/>
        <v>2</v>
      </c>
      <c r="AZ13" s="172"/>
      <c r="BA13" s="173" t="b">
        <v>1</v>
      </c>
      <c r="BB13" s="165" t="b">
        <f t="shared" si="6"/>
        <v>1</v>
      </c>
      <c r="BC13" s="159" t="b">
        <f t="shared" si="7"/>
        <v>1</v>
      </c>
      <c r="BD13" s="159">
        <f t="shared" si="8"/>
        <v>37</v>
      </c>
      <c r="BE13" s="174"/>
      <c r="BF13" s="175">
        <f t="shared" si="9"/>
        <v>44658</v>
      </c>
      <c r="BG13" s="165" t="str">
        <f t="shared" si="10"/>
        <v>RUN-COMB_2022-04-07_RFR-012</v>
      </c>
      <c r="BH13" s="159">
        <f t="shared" si="11"/>
        <v>36</v>
      </c>
      <c r="BI13" s="159">
        <f t="shared" si="12"/>
        <v>39</v>
      </c>
      <c r="BJ13" s="159">
        <f t="shared" si="13"/>
        <v>37</v>
      </c>
      <c r="BK13" s="159">
        <f t="shared" si="14"/>
        <v>0</v>
      </c>
      <c r="BL13" s="183">
        <f>IFNA(IF(VLOOKUP(FLOOR($B13,1),'APS Tubes by Date Import'!$B$2:$L96,1,FALSE)=FLOOR($BL12,1),IFERROR(0/0,""),VLOOKUP(FLOOR($B13,1),'APS Tubes by Date Import'!$B$2:$L96,1,FALSE)),"")</f>
        <v>44658</v>
      </c>
      <c r="BM13" s="176">
        <f>IF(ISBLANK($BL13),IFERROR(0/0,""),VLOOKUP(FLOOR($B13,1),'APS Tubes by Date Import'!$B$2:$L96,2,FALSE))</f>
        <v>35</v>
      </c>
      <c r="BN13" s="159" t="str">
        <f>VLOOKUP(FLOOR($B13,1),'APS Tubes by Date Import'!$B13:$L96,11,FALSE)</f>
        <v>#N/A</v>
      </c>
      <c r="BO13" s="159" t="str">
        <f>VLOOKUP(FLOOR($B13,1),'APS Tubes by Date Import'!$B13:$I96,6,FALSE)</f>
        <v>#N/A</v>
      </c>
      <c r="BP13" s="159">
        <f t="shared" si="15"/>
        <v>37</v>
      </c>
      <c r="BQ13" s="177">
        <f t="shared" si="16"/>
        <v>2</v>
      </c>
      <c r="BR13" s="149"/>
      <c r="BS13" s="175" t="b">
        <f t="shared" si="17"/>
        <v>1</v>
      </c>
      <c r="BT13" s="178" t="str">
        <f t="shared" si="18"/>
        <v/>
      </c>
      <c r="BU13" s="179"/>
      <c r="BV13" s="180">
        <f t="shared" si="19"/>
        <v>0</v>
      </c>
      <c r="BW13" s="181"/>
      <c r="BX13" s="181"/>
      <c r="BY13" s="181"/>
      <c r="BZ13" s="181"/>
      <c r="CA13" s="181"/>
      <c r="CB13" s="181"/>
      <c r="CC13" s="181"/>
    </row>
    <row r="14">
      <c r="A14" s="147" t="str">
        <f>CONCATENATE("RUN-",'Process Ref'!$A$1,"_",TEXT(U14,"YYYY-MM-DD"),"_RFR-",TEXT(AR14,"000"),IF(EXACT(W14,"Initial"),"",CONCATENATE("_",W14)))</f>
        <v>RUN-COMB_2022-04-08_RFR-013</v>
      </c>
      <c r="B14" s="148">
        <v>44659.35175925926</v>
      </c>
      <c r="C14" s="149"/>
      <c r="D14" s="149" t="s">
        <v>199</v>
      </c>
      <c r="E14" s="121">
        <v>30.0</v>
      </c>
      <c r="F14" s="149" t="s">
        <v>247</v>
      </c>
      <c r="G14" s="150" t="s">
        <v>248</v>
      </c>
      <c r="H14" s="150"/>
      <c r="I14" s="150" t="s">
        <v>249</v>
      </c>
      <c r="J14" s="121" t="s">
        <v>214</v>
      </c>
      <c r="K14" s="152"/>
      <c r="L14" s="149"/>
      <c r="M14" s="153"/>
      <c r="N14" s="153"/>
      <c r="O14" s="154"/>
      <c r="P14" s="155" t="b">
        <v>0</v>
      </c>
      <c r="Q14" s="155" t="b">
        <v>0</v>
      </c>
      <c r="R14" s="51"/>
      <c r="S14" s="155" t="b">
        <v>0</v>
      </c>
      <c r="T14" s="156" t="b">
        <v>0</v>
      </c>
      <c r="U14" s="157">
        <v>44659.0</v>
      </c>
      <c r="V14" s="158">
        <v>0.46875</v>
      </c>
      <c r="W14" s="149" t="s">
        <v>203</v>
      </c>
      <c r="X14" s="51"/>
      <c r="Y14" s="155" t="b">
        <v>0</v>
      </c>
      <c r="Z14" s="121">
        <v>32.0</v>
      </c>
      <c r="AA14" s="159">
        <f t="shared" si="1"/>
        <v>2</v>
      </c>
      <c r="AB14" s="160" t="b">
        <v>0</v>
      </c>
      <c r="AC14" s="121">
        <v>30.0</v>
      </c>
      <c r="AD14" s="121">
        <v>0.0</v>
      </c>
      <c r="AE14" s="184">
        <v>0.0</v>
      </c>
      <c r="AF14" s="161">
        <v>0.0</v>
      </c>
      <c r="AG14" s="121">
        <v>0.0</v>
      </c>
      <c r="AH14" s="162">
        <v>0.0</v>
      </c>
      <c r="AI14" s="163">
        <v>0.0</v>
      </c>
      <c r="AJ14" s="121" t="b">
        <v>0</v>
      </c>
      <c r="AK14" s="164">
        <v>30.0</v>
      </c>
      <c r="AL14" s="121">
        <v>0.0</v>
      </c>
      <c r="AM14" s="121">
        <v>0.0</v>
      </c>
      <c r="AN14" s="159" t="str">
        <f>IFNA(VLOOKUP($A14,'Tube Reactions'!$J$2:$K96,2,FALSE),"")</f>
        <v/>
      </c>
      <c r="AO14" s="165" t="str">
        <f t="shared" si="2"/>
        <v/>
      </c>
      <c r="AP14" s="166" t="str">
        <f t="shared" si="3"/>
        <v>Absent</v>
      </c>
      <c r="AQ14" s="167" t="b">
        <f t="shared" si="4"/>
        <v>0</v>
      </c>
      <c r="AR14" s="185">
        <v>13.0</v>
      </c>
      <c r="AS14" s="169"/>
      <c r="AT14" s="149"/>
      <c r="AU14" s="121" t="s">
        <v>204</v>
      </c>
      <c r="AV14" s="170">
        <v>32.0</v>
      </c>
      <c r="AW14" s="121" t="b">
        <v>1</v>
      </c>
      <c r="AX14" s="171"/>
      <c r="AY14" s="159">
        <f t="shared" si="5"/>
        <v>2</v>
      </c>
      <c r="AZ14" s="172"/>
      <c r="BA14" s="173" t="b">
        <v>1</v>
      </c>
      <c r="BB14" s="165" t="b">
        <f t="shared" si="6"/>
        <v>1</v>
      </c>
      <c r="BC14" s="159" t="b">
        <f t="shared" si="7"/>
        <v>1</v>
      </c>
      <c r="BD14" s="159">
        <f t="shared" si="8"/>
        <v>30</v>
      </c>
      <c r="BE14" s="174"/>
      <c r="BF14" s="175">
        <f t="shared" si="9"/>
        <v>44659</v>
      </c>
      <c r="BG14" s="165" t="str">
        <f t="shared" si="10"/>
        <v>RUN-COMB_2022-04-08_RFR-013</v>
      </c>
      <c r="BH14" s="159">
        <f t="shared" si="11"/>
        <v>30</v>
      </c>
      <c r="BI14" s="159">
        <f t="shared" si="12"/>
        <v>32</v>
      </c>
      <c r="BJ14" s="159">
        <f t="shared" si="13"/>
        <v>30</v>
      </c>
      <c r="BK14" s="159">
        <f t="shared" si="14"/>
        <v>0</v>
      </c>
      <c r="BL14" s="183">
        <f>IFNA(IF(VLOOKUP(FLOOR($B14,1),'APS Tubes by Date Import'!$B$2:$L96,1,FALSE)=FLOOR($BL13,1),IFERROR(0/0,""),VLOOKUP(FLOOR($B14,1),'APS Tubes by Date Import'!$B$2:$L96,1,FALSE)),"")</f>
        <v>44659</v>
      </c>
      <c r="BM14" s="176">
        <f>IF(ISBLANK($BL14),IFERROR(0/0,""),VLOOKUP(FLOOR($B14,1),'APS Tubes by Date Import'!$B$2:$L96,2,FALSE))</f>
        <v>30</v>
      </c>
      <c r="BN14" s="159" t="str">
        <f>VLOOKUP(FLOOR($B14,1),'APS Tubes by Date Import'!$B14:$L96,11,FALSE)</f>
        <v>#N/A</v>
      </c>
      <c r="BO14" s="159" t="str">
        <f>VLOOKUP(FLOOR($B14,1),'APS Tubes by Date Import'!$B14:$I96,6,FALSE)</f>
        <v>#N/A</v>
      </c>
      <c r="BP14" s="159">
        <f t="shared" si="15"/>
        <v>30</v>
      </c>
      <c r="BQ14" s="177">
        <f t="shared" si="16"/>
        <v>0</v>
      </c>
      <c r="BR14" s="149"/>
      <c r="BS14" s="175" t="b">
        <f t="shared" si="17"/>
        <v>1</v>
      </c>
      <c r="BT14" s="178" t="str">
        <f t="shared" si="18"/>
        <v/>
      </c>
      <c r="BU14" s="179"/>
      <c r="BV14" s="180">
        <f t="shared" si="19"/>
        <v>0</v>
      </c>
      <c r="BW14" s="181"/>
      <c r="BX14" s="181"/>
      <c r="BY14" s="181"/>
      <c r="BZ14" s="181"/>
      <c r="CA14" s="181"/>
      <c r="CB14" s="181"/>
      <c r="CC14" s="181"/>
    </row>
    <row r="15">
      <c r="A15" s="147" t="str">
        <f>CONCATENATE("RUN-",'Process Ref'!$A$1,"_",TEXT(U15,"YYYY-MM-DD"),"_RFR-",TEXT(AR15,"000"),IF(EXACT(W15,"Initial"),"",CONCATENATE("_",W15)))</f>
        <v>RUN-COMB_2022-04-11_RFR-014</v>
      </c>
      <c r="B15" s="148">
        <v>44662.80504629629</v>
      </c>
      <c r="C15" s="149"/>
      <c r="D15" s="149" t="s">
        <v>199</v>
      </c>
      <c r="E15" s="121">
        <v>24.0</v>
      </c>
      <c r="F15" s="149" t="s">
        <v>250</v>
      </c>
      <c r="G15" s="150" t="s">
        <v>251</v>
      </c>
      <c r="H15" s="150"/>
      <c r="I15" s="150" t="s">
        <v>252</v>
      </c>
      <c r="J15" s="121">
        <v>0.0</v>
      </c>
      <c r="K15" s="152"/>
      <c r="L15" s="149"/>
      <c r="M15" s="153"/>
      <c r="N15" s="153"/>
      <c r="O15" s="153"/>
      <c r="P15" s="155" t="b">
        <v>0</v>
      </c>
      <c r="Q15" s="155" t="b">
        <v>0</v>
      </c>
      <c r="R15" s="51"/>
      <c r="S15" s="155" t="b">
        <v>0</v>
      </c>
      <c r="T15" s="156" t="b">
        <v>0</v>
      </c>
      <c r="U15" s="157">
        <v>44662.0</v>
      </c>
      <c r="V15" s="158">
        <v>0.6666666666666666</v>
      </c>
      <c r="W15" s="149" t="s">
        <v>203</v>
      </c>
      <c r="X15" s="51"/>
      <c r="Y15" s="155" t="b">
        <v>0</v>
      </c>
      <c r="Z15" s="121"/>
      <c r="AA15" s="159" t="str">
        <f t="shared" si="1"/>
        <v/>
      </c>
      <c r="AB15" s="160" t="b">
        <v>1</v>
      </c>
      <c r="AC15" s="121">
        <v>24.0</v>
      </c>
      <c r="AD15" s="121">
        <v>0.0</v>
      </c>
      <c r="AE15" s="184">
        <v>0.0</v>
      </c>
      <c r="AF15" s="161">
        <v>0.0</v>
      </c>
      <c r="AG15" s="121">
        <v>0.0</v>
      </c>
      <c r="AH15" s="162">
        <v>0.0</v>
      </c>
      <c r="AI15" s="163">
        <v>0.0</v>
      </c>
      <c r="AJ15" s="121" t="b">
        <v>0</v>
      </c>
      <c r="AK15" s="164">
        <v>24.0</v>
      </c>
      <c r="AL15" s="121">
        <v>0.0</v>
      </c>
      <c r="AM15" s="121">
        <v>0.0</v>
      </c>
      <c r="AN15" s="159" t="str">
        <f>IFNA(VLOOKUP($A15,'Tube Reactions'!$J$2:$K96,2,FALSE),"")</f>
        <v/>
      </c>
      <c r="AO15" s="165" t="str">
        <f t="shared" si="2"/>
        <v/>
      </c>
      <c r="AP15" s="166" t="str">
        <f t="shared" si="3"/>
        <v>Absent</v>
      </c>
      <c r="AQ15" s="167" t="b">
        <f t="shared" si="4"/>
        <v>0</v>
      </c>
      <c r="AR15" s="185">
        <v>14.0</v>
      </c>
      <c r="AS15" s="169"/>
      <c r="AT15" s="149"/>
      <c r="AU15" s="121" t="s">
        <v>204</v>
      </c>
      <c r="AV15" s="170">
        <v>26.0</v>
      </c>
      <c r="AW15" s="121" t="b">
        <v>1</v>
      </c>
      <c r="AX15" s="171"/>
      <c r="AY15" s="159">
        <f t="shared" si="5"/>
        <v>2</v>
      </c>
      <c r="AZ15" s="172"/>
      <c r="BA15" s="173" t="b">
        <v>1</v>
      </c>
      <c r="BB15" s="165" t="b">
        <f t="shared" si="6"/>
        <v>1</v>
      </c>
      <c r="BC15" s="159" t="b">
        <f t="shared" si="7"/>
        <v>1</v>
      </c>
      <c r="BD15" s="159">
        <f t="shared" si="8"/>
        <v>24</v>
      </c>
      <c r="BE15" s="174"/>
      <c r="BF15" s="175">
        <f t="shared" si="9"/>
        <v>44662</v>
      </c>
      <c r="BG15" s="165" t="str">
        <f t="shared" si="10"/>
        <v>RUN-COMB_2022-04-11_RFR-014</v>
      </c>
      <c r="BH15" s="159">
        <f t="shared" si="11"/>
        <v>24</v>
      </c>
      <c r="BI15" s="159" t="str">
        <f t="shared" si="12"/>
        <v/>
      </c>
      <c r="BJ15" s="159">
        <f t="shared" si="13"/>
        <v>24</v>
      </c>
      <c r="BK15" s="159">
        <f t="shared" si="14"/>
        <v>0</v>
      </c>
      <c r="BL15" s="183">
        <f>IFNA(IF(VLOOKUP(FLOOR($B15,1),'APS Tubes by Date Import'!$B$2:$L96,1,FALSE)=FLOOR($BL14,1),IFERROR(0/0,""),VLOOKUP(FLOOR($B15,1),'APS Tubes by Date Import'!$B$2:$L96,1,FALSE)),"")</f>
        <v>44662</v>
      </c>
      <c r="BM15" s="176">
        <f>IF(ISBLANK($BL15),IFERROR(0/0,""),VLOOKUP(FLOOR($B15,1),'APS Tubes by Date Import'!$B$2:$L96,2,FALSE))</f>
        <v>24</v>
      </c>
      <c r="BN15" s="159" t="str">
        <f>VLOOKUP(FLOOR($B15,1),'APS Tubes by Date Import'!$B15:$L96,11,FALSE)</f>
        <v>#N/A</v>
      </c>
      <c r="BO15" s="159" t="str">
        <f>VLOOKUP(FLOOR($B15,1),'APS Tubes by Date Import'!$B15:$I96,6,FALSE)</f>
        <v>#N/A</v>
      </c>
      <c r="BP15" s="159">
        <f t="shared" si="15"/>
        <v>24</v>
      </c>
      <c r="BQ15" s="177">
        <f t="shared" si="16"/>
        <v>0</v>
      </c>
      <c r="BR15" s="149"/>
      <c r="BS15" s="175" t="b">
        <f t="shared" si="17"/>
        <v>1</v>
      </c>
      <c r="BT15" s="178" t="str">
        <f t="shared" si="18"/>
        <v/>
      </c>
      <c r="BU15" s="179"/>
      <c r="BV15" s="180">
        <f t="shared" si="19"/>
        <v>0</v>
      </c>
      <c r="BW15" s="181"/>
      <c r="BX15" s="181"/>
      <c r="BY15" s="181"/>
      <c r="BZ15" s="181"/>
      <c r="CA15" s="181"/>
      <c r="CB15" s="181"/>
      <c r="CC15" s="181"/>
    </row>
    <row r="16">
      <c r="A16" s="147" t="str">
        <f>CONCATENATE("RUN-",'Process Ref'!$A$1,"_",TEXT(U16,"YYYY-MM-DD"),"_RFR-",TEXT(AR16,"000"),IF(EXACT(W16,"Initial"),"",CONCATENATE("_",W16)))</f>
        <v>RUN-COMB_2022-04-12_RFR-015</v>
      </c>
      <c r="B16" s="148">
        <v>44663.353125</v>
      </c>
      <c r="C16" s="149"/>
      <c r="D16" s="149" t="s">
        <v>199</v>
      </c>
      <c r="E16" s="121">
        <v>23.0</v>
      </c>
      <c r="F16" s="149" t="s">
        <v>253</v>
      </c>
      <c r="G16" s="151" t="s">
        <v>254</v>
      </c>
      <c r="H16" s="151"/>
      <c r="I16" s="151" t="s">
        <v>255</v>
      </c>
      <c r="J16" s="121">
        <v>0.0</v>
      </c>
      <c r="K16" s="152"/>
      <c r="L16" s="149"/>
      <c r="M16" s="153"/>
      <c r="N16" s="153"/>
      <c r="O16" s="153"/>
      <c r="P16" s="155" t="b">
        <v>0</v>
      </c>
      <c r="Q16" s="155" t="b">
        <v>0</v>
      </c>
      <c r="R16" s="51"/>
      <c r="S16" s="155" t="b">
        <v>0</v>
      </c>
      <c r="T16" s="156" t="b">
        <v>0</v>
      </c>
      <c r="U16" s="157">
        <v>44663.0</v>
      </c>
      <c r="V16" s="158">
        <v>0.4166666666666667</v>
      </c>
      <c r="W16" s="149" t="s">
        <v>203</v>
      </c>
      <c r="X16" s="51"/>
      <c r="Y16" s="155" t="b">
        <v>0</v>
      </c>
      <c r="Z16" s="121">
        <v>25.0</v>
      </c>
      <c r="AA16" s="159">
        <f t="shared" si="1"/>
        <v>2</v>
      </c>
      <c r="AB16" s="160" t="b">
        <v>0</v>
      </c>
      <c r="AC16" s="121">
        <v>23.0</v>
      </c>
      <c r="AD16" s="121">
        <v>0.0</v>
      </c>
      <c r="AE16" s="184">
        <v>0.0</v>
      </c>
      <c r="AF16" s="161">
        <v>0.0</v>
      </c>
      <c r="AG16" s="121">
        <v>0.0</v>
      </c>
      <c r="AH16" s="162">
        <v>0.0</v>
      </c>
      <c r="AI16" s="163">
        <v>0.0</v>
      </c>
      <c r="AJ16" s="121" t="b">
        <v>0</v>
      </c>
      <c r="AK16" s="164">
        <v>23.0</v>
      </c>
      <c r="AL16" s="121">
        <v>0.0</v>
      </c>
      <c r="AM16" s="121">
        <v>0.0</v>
      </c>
      <c r="AN16" s="159" t="str">
        <f>IFNA(VLOOKUP($A16,'Tube Reactions'!$J$2:$K96,2,FALSE),"")</f>
        <v/>
      </c>
      <c r="AO16" s="165" t="str">
        <f t="shared" si="2"/>
        <v/>
      </c>
      <c r="AP16" s="166" t="str">
        <f t="shared" si="3"/>
        <v>Absent</v>
      </c>
      <c r="AQ16" s="167" t="b">
        <f t="shared" si="4"/>
        <v>0</v>
      </c>
      <c r="AR16" s="185">
        <v>15.0</v>
      </c>
      <c r="AS16" s="169"/>
      <c r="AT16" s="149"/>
      <c r="AU16" s="121" t="s">
        <v>204</v>
      </c>
      <c r="AV16" s="170">
        <v>25.0</v>
      </c>
      <c r="AW16" s="149" t="b">
        <v>1</v>
      </c>
      <c r="AX16" s="171"/>
      <c r="AY16" s="159">
        <f t="shared" si="5"/>
        <v>2</v>
      </c>
      <c r="AZ16" s="172"/>
      <c r="BA16" s="173" t="b">
        <v>1</v>
      </c>
      <c r="BB16" s="165" t="b">
        <f t="shared" si="6"/>
        <v>1</v>
      </c>
      <c r="BC16" s="159" t="b">
        <f t="shared" si="7"/>
        <v>1</v>
      </c>
      <c r="BD16" s="159">
        <f t="shared" si="8"/>
        <v>23</v>
      </c>
      <c r="BE16" s="174"/>
      <c r="BF16" s="175">
        <f t="shared" si="9"/>
        <v>44663</v>
      </c>
      <c r="BG16" s="165" t="str">
        <f t="shared" si="10"/>
        <v>RUN-COMB_2022-04-12_RFR-015</v>
      </c>
      <c r="BH16" s="159">
        <f t="shared" si="11"/>
        <v>23</v>
      </c>
      <c r="BI16" s="159">
        <f t="shared" si="12"/>
        <v>25</v>
      </c>
      <c r="BJ16" s="159">
        <f t="shared" si="13"/>
        <v>23</v>
      </c>
      <c r="BK16" s="159">
        <f t="shared" si="14"/>
        <v>0</v>
      </c>
      <c r="BL16" s="183">
        <f>IFNA(IF(VLOOKUP(FLOOR($B16,1),'APS Tubes by Date Import'!$B$2:$L96,1,FALSE)=FLOOR($BL15,1),IFERROR(0/0,""),VLOOKUP(FLOOR($B16,1),'APS Tubes by Date Import'!$B$2:$L96,1,FALSE)),"")</f>
        <v>44663</v>
      </c>
      <c r="BM16" s="176">
        <f>IF(ISBLANK($BL16),IFERROR(0/0,""),VLOOKUP(FLOOR($B16,1),'APS Tubes by Date Import'!$B$2:$L96,2,FALSE))</f>
        <v>23</v>
      </c>
      <c r="BN16" s="159" t="str">
        <f>VLOOKUP(FLOOR($B16,1),'APS Tubes by Date Import'!$B16:$L96,11,FALSE)</f>
        <v>#N/A</v>
      </c>
      <c r="BO16" s="159" t="str">
        <f>VLOOKUP(FLOOR($B16,1),'APS Tubes by Date Import'!$B16:$I96,6,FALSE)</f>
        <v>#N/A</v>
      </c>
      <c r="BP16" s="159">
        <f t="shared" si="15"/>
        <v>23</v>
      </c>
      <c r="BQ16" s="177">
        <f t="shared" si="16"/>
        <v>0</v>
      </c>
      <c r="BR16" s="149"/>
      <c r="BS16" s="175" t="b">
        <f t="shared" si="17"/>
        <v>1</v>
      </c>
      <c r="BT16" s="178" t="str">
        <f t="shared" si="18"/>
        <v/>
      </c>
      <c r="BU16" s="179"/>
      <c r="BV16" s="180">
        <f t="shared" si="19"/>
        <v>0</v>
      </c>
      <c r="BW16" s="181"/>
      <c r="BX16" s="181"/>
      <c r="BY16" s="181"/>
      <c r="BZ16" s="181"/>
      <c r="CA16" s="181"/>
      <c r="CB16" s="181"/>
      <c r="CC16" s="181"/>
    </row>
    <row r="17">
      <c r="A17" s="147" t="str">
        <f>CONCATENATE("RUN-",'Process Ref'!$A$1,"_",TEXT(U17,"YYYY-MM-DD"),"_RFR-",TEXT(AR17,"000"),IF(EXACT(W17,"Initial"),"",CONCATENATE("_",W17)))</f>
        <v>RUN-COMB_2022-04-13_RFR-016</v>
      </c>
      <c r="B17" s="148">
        <v>44664.43311342593</v>
      </c>
      <c r="C17" s="149"/>
      <c r="D17" s="149" t="s">
        <v>199</v>
      </c>
      <c r="E17" s="121">
        <v>21.0</v>
      </c>
      <c r="F17" s="149" t="s">
        <v>256</v>
      </c>
      <c r="G17" s="151" t="s">
        <v>257</v>
      </c>
      <c r="H17" s="189"/>
      <c r="I17" s="190" t="s">
        <v>258</v>
      </c>
      <c r="J17" s="121" t="s">
        <v>208</v>
      </c>
      <c r="K17" s="182" t="s">
        <v>208</v>
      </c>
      <c r="L17" s="149"/>
      <c r="M17" s="153"/>
      <c r="N17" s="153"/>
      <c r="O17" s="154"/>
      <c r="P17" s="155" t="b">
        <v>0</v>
      </c>
      <c r="Q17" s="155" t="b">
        <v>0</v>
      </c>
      <c r="R17" s="51"/>
      <c r="S17" s="155" t="b">
        <v>0</v>
      </c>
      <c r="T17" s="156" t="b">
        <v>0</v>
      </c>
      <c r="U17" s="157">
        <v>44664.0</v>
      </c>
      <c r="V17" s="158">
        <v>0.4791666666666667</v>
      </c>
      <c r="W17" s="149" t="s">
        <v>203</v>
      </c>
      <c r="X17" s="51"/>
      <c r="Y17" s="155" t="b">
        <v>0</v>
      </c>
      <c r="Z17" s="121">
        <v>23.0</v>
      </c>
      <c r="AA17" s="159">
        <f t="shared" si="1"/>
        <v>2</v>
      </c>
      <c r="AB17" s="160" t="b">
        <v>0</v>
      </c>
      <c r="AC17" s="121">
        <v>21.0</v>
      </c>
      <c r="AD17" s="121">
        <v>0.0</v>
      </c>
      <c r="AE17" s="184">
        <v>0.0</v>
      </c>
      <c r="AF17" s="161">
        <v>0.0</v>
      </c>
      <c r="AG17" s="121">
        <v>0.0</v>
      </c>
      <c r="AH17" s="162">
        <v>0.0</v>
      </c>
      <c r="AI17" s="163">
        <v>0.0</v>
      </c>
      <c r="AJ17" s="121" t="b">
        <v>0</v>
      </c>
      <c r="AK17" s="164">
        <v>21.0</v>
      </c>
      <c r="AL17" s="121">
        <v>0.0</v>
      </c>
      <c r="AM17" s="121">
        <v>0.0</v>
      </c>
      <c r="AN17" s="159" t="str">
        <f>IFNA(VLOOKUP($A17,'Tube Reactions'!$J$2:$K96,2,FALSE),"")</f>
        <v/>
      </c>
      <c r="AO17" s="165" t="str">
        <f t="shared" si="2"/>
        <v/>
      </c>
      <c r="AP17" s="166" t="str">
        <f t="shared" si="3"/>
        <v>Absent</v>
      </c>
      <c r="AQ17" s="167" t="b">
        <f t="shared" si="4"/>
        <v>0</v>
      </c>
      <c r="AR17" s="185">
        <v>16.0</v>
      </c>
      <c r="AS17" s="169"/>
      <c r="AT17" s="149"/>
      <c r="AU17" s="121" t="s">
        <v>204</v>
      </c>
      <c r="AV17" s="170">
        <v>23.0</v>
      </c>
      <c r="AW17" s="162" t="b">
        <v>1</v>
      </c>
      <c r="AX17" s="171"/>
      <c r="AY17" s="159">
        <f t="shared" si="5"/>
        <v>2</v>
      </c>
      <c r="AZ17" s="172"/>
      <c r="BA17" s="173" t="b">
        <v>1</v>
      </c>
      <c r="BB17" s="165" t="b">
        <f t="shared" si="6"/>
        <v>1</v>
      </c>
      <c r="BC17" s="159" t="b">
        <f t="shared" si="7"/>
        <v>1</v>
      </c>
      <c r="BD17" s="159">
        <f t="shared" si="8"/>
        <v>21</v>
      </c>
      <c r="BE17" s="174"/>
      <c r="BF17" s="175">
        <f t="shared" si="9"/>
        <v>44664</v>
      </c>
      <c r="BG17" s="165" t="str">
        <f t="shared" si="10"/>
        <v>RUN-COMB_2022-04-13_RFR-016</v>
      </c>
      <c r="BH17" s="159">
        <f t="shared" si="11"/>
        <v>21</v>
      </c>
      <c r="BI17" s="159">
        <f t="shared" si="12"/>
        <v>23</v>
      </c>
      <c r="BJ17" s="159">
        <f t="shared" si="13"/>
        <v>21</v>
      </c>
      <c r="BK17" s="159">
        <f t="shared" si="14"/>
        <v>0</v>
      </c>
      <c r="BL17" s="183">
        <f>IFNA(IF(VLOOKUP(FLOOR($B17,1),'APS Tubes by Date Import'!$B$2:$L96,1,FALSE)=FLOOR($BL16,1),IFERROR(0/0,""),VLOOKUP(FLOOR($B17,1),'APS Tubes by Date Import'!$B$2:$L96,1,FALSE)),"")</f>
        <v>44664</v>
      </c>
      <c r="BM17" s="176">
        <f>IF(ISBLANK($BL17),IFERROR(0/0,""),VLOOKUP(FLOOR($B17,1),'APS Tubes by Date Import'!$B$2:$L96,2,FALSE))</f>
        <v>21</v>
      </c>
      <c r="BN17" s="159" t="str">
        <f>VLOOKUP(FLOOR($B17,1),'APS Tubes by Date Import'!$B17:$L96,11,FALSE)</f>
        <v>#N/A</v>
      </c>
      <c r="BO17" s="159" t="str">
        <f>VLOOKUP(FLOOR($B17,1),'APS Tubes by Date Import'!$B17:$I96,6,FALSE)</f>
        <v>#N/A</v>
      </c>
      <c r="BP17" s="159">
        <f t="shared" si="15"/>
        <v>21</v>
      </c>
      <c r="BQ17" s="177">
        <f t="shared" si="16"/>
        <v>0</v>
      </c>
      <c r="BR17" s="149"/>
      <c r="BS17" s="175" t="b">
        <f t="shared" si="17"/>
        <v>1</v>
      </c>
      <c r="BT17" s="178" t="str">
        <f t="shared" si="18"/>
        <v/>
      </c>
      <c r="BU17" s="179"/>
      <c r="BV17" s="180">
        <f t="shared" si="19"/>
        <v>0</v>
      </c>
      <c r="BW17" s="181"/>
      <c r="BX17" s="181"/>
      <c r="BY17" s="181"/>
      <c r="BZ17" s="181"/>
      <c r="CA17" s="181"/>
      <c r="CB17" s="181"/>
      <c r="CC17" s="181"/>
    </row>
    <row r="18">
      <c r="A18" s="147" t="str">
        <f>CONCATENATE("RUN-",'Process Ref'!$A$1,"_",TEXT(U18,"YYYY-MM-DD"),"_RFR-",TEXT(AR18,"000"),IF(EXACT(W18,"Initial"),"",CONCATENATE("_",W18)))</f>
        <v>RUN-COMB_2022-04-14_RFR-017</v>
      </c>
      <c r="B18" s="148">
        <v>44665.3608912037</v>
      </c>
      <c r="C18" s="149"/>
      <c r="D18" s="149" t="s">
        <v>199</v>
      </c>
      <c r="E18" s="121">
        <v>29.0</v>
      </c>
      <c r="F18" s="149" t="s">
        <v>259</v>
      </c>
      <c r="G18" s="150" t="s">
        <v>260</v>
      </c>
      <c r="H18" s="150"/>
      <c r="I18" s="150" t="s">
        <v>261</v>
      </c>
      <c r="J18" s="121">
        <v>0.0</v>
      </c>
      <c r="K18" s="152"/>
      <c r="L18" s="149"/>
      <c r="M18" s="153"/>
      <c r="N18" s="153"/>
      <c r="O18" s="154"/>
      <c r="P18" s="155" t="b">
        <v>0</v>
      </c>
      <c r="Q18" s="155" t="b">
        <v>0</v>
      </c>
      <c r="R18" s="51"/>
      <c r="S18" s="155" t="b">
        <v>0</v>
      </c>
      <c r="T18" s="156" t="b">
        <v>0</v>
      </c>
      <c r="U18" s="157">
        <v>44665.0</v>
      </c>
      <c r="V18" s="158">
        <v>0.4270833333333333</v>
      </c>
      <c r="W18" s="149" t="s">
        <v>203</v>
      </c>
      <c r="X18" s="51"/>
      <c r="Y18" s="155" t="b">
        <v>0</v>
      </c>
      <c r="Z18" s="121">
        <v>31.0</v>
      </c>
      <c r="AA18" s="159">
        <f t="shared" si="1"/>
        <v>2</v>
      </c>
      <c r="AB18" s="160" t="b">
        <v>0</v>
      </c>
      <c r="AC18" s="121">
        <v>29.0</v>
      </c>
      <c r="AD18" s="121">
        <v>0.0</v>
      </c>
      <c r="AE18" s="184">
        <v>0.0</v>
      </c>
      <c r="AF18" s="161">
        <v>0.0</v>
      </c>
      <c r="AG18" s="121">
        <v>0.0</v>
      </c>
      <c r="AH18" s="162">
        <v>0.0</v>
      </c>
      <c r="AI18" s="163">
        <v>0.0</v>
      </c>
      <c r="AJ18" s="121" t="b">
        <v>0</v>
      </c>
      <c r="AK18" s="164">
        <v>29.0</v>
      </c>
      <c r="AL18" s="121">
        <v>0.0</v>
      </c>
      <c r="AM18" s="121">
        <v>0.0</v>
      </c>
      <c r="AN18" s="159" t="str">
        <f>IFNA(VLOOKUP($A18,'Tube Reactions'!$J$2:$K96,2,FALSE),"")</f>
        <v/>
      </c>
      <c r="AO18" s="165" t="str">
        <f t="shared" si="2"/>
        <v/>
      </c>
      <c r="AP18" s="166" t="str">
        <f t="shared" si="3"/>
        <v>Absent</v>
      </c>
      <c r="AQ18" s="167" t="b">
        <f t="shared" si="4"/>
        <v>0</v>
      </c>
      <c r="AR18" s="185">
        <v>17.0</v>
      </c>
      <c r="AS18" s="169"/>
      <c r="AT18" s="149"/>
      <c r="AU18" s="121" t="s">
        <v>204</v>
      </c>
      <c r="AV18" s="170">
        <v>31.0</v>
      </c>
      <c r="AW18" s="121" t="b">
        <v>0</v>
      </c>
      <c r="AX18" s="171"/>
      <c r="AY18" s="159">
        <f t="shared" si="5"/>
        <v>2</v>
      </c>
      <c r="AZ18" s="172"/>
      <c r="BA18" s="173" t="b">
        <v>1</v>
      </c>
      <c r="BB18" s="165" t="b">
        <f t="shared" si="6"/>
        <v>1</v>
      </c>
      <c r="BC18" s="159" t="b">
        <f t="shared" si="7"/>
        <v>1</v>
      </c>
      <c r="BD18" s="159">
        <f t="shared" si="8"/>
        <v>29</v>
      </c>
      <c r="BE18" s="174"/>
      <c r="BF18" s="175">
        <f t="shared" si="9"/>
        <v>44665</v>
      </c>
      <c r="BG18" s="165" t="str">
        <f t="shared" si="10"/>
        <v>RUN-COMB_2022-04-14_RFR-017</v>
      </c>
      <c r="BH18" s="159">
        <f t="shared" si="11"/>
        <v>29</v>
      </c>
      <c r="BI18" s="159">
        <f t="shared" si="12"/>
        <v>31</v>
      </c>
      <c r="BJ18" s="159">
        <f t="shared" si="13"/>
        <v>29</v>
      </c>
      <c r="BK18" s="159">
        <f t="shared" si="14"/>
        <v>0</v>
      </c>
      <c r="BL18" s="183">
        <f>IFNA(IF(VLOOKUP(FLOOR($B18,1),'APS Tubes by Date Import'!$B$2:$L96,1,FALSE)=FLOOR($BL17,1),IFERROR(0/0,""),VLOOKUP(FLOOR($B18,1),'APS Tubes by Date Import'!$B$2:$L96,1,FALSE)),"")</f>
        <v>44665</v>
      </c>
      <c r="BM18" s="176">
        <f>IF(ISBLANK($BL18),IFERROR(0/0,""),VLOOKUP(FLOOR($B18,1),'APS Tubes by Date Import'!$B$2:$L96,2,FALSE))</f>
        <v>29</v>
      </c>
      <c r="BN18" s="159" t="str">
        <f>VLOOKUP(FLOOR($B18,1),'APS Tubes by Date Import'!$B18:$L96,11,FALSE)</f>
        <v>#N/A</v>
      </c>
      <c r="BO18" s="159" t="str">
        <f>VLOOKUP(FLOOR($B18,1),'APS Tubes by Date Import'!$B18:$I96,6,FALSE)</f>
        <v>#N/A</v>
      </c>
      <c r="BP18" s="159">
        <f t="shared" si="15"/>
        <v>29</v>
      </c>
      <c r="BQ18" s="177">
        <f t="shared" si="16"/>
        <v>0</v>
      </c>
      <c r="BR18" s="149"/>
      <c r="BS18" s="175" t="b">
        <f t="shared" si="17"/>
        <v>1</v>
      </c>
      <c r="BT18" s="178" t="str">
        <f t="shared" si="18"/>
        <v/>
      </c>
      <c r="BU18" s="179"/>
      <c r="BV18" s="180">
        <f t="shared" si="19"/>
        <v>0</v>
      </c>
      <c r="BW18" s="181"/>
      <c r="BX18" s="181"/>
      <c r="BY18" s="181"/>
      <c r="BZ18" s="181"/>
      <c r="CA18" s="181"/>
      <c r="CB18" s="181"/>
      <c r="CC18" s="181"/>
    </row>
    <row r="19">
      <c r="A19" s="147" t="str">
        <f>CONCATENATE("RUN-",'Process Ref'!$A$1,"_",TEXT(U19,"YYYY-MM-DD"),"_RFR-",TEXT(AR19,"000"),IF(EXACT(W19,"Initial"),"",CONCATENATE("_",W19)))</f>
        <v>RUN-COMB_2022-04-15_RFR-018</v>
      </c>
      <c r="B19" s="148">
        <v>44666.37388888889</v>
      </c>
      <c r="C19" s="149"/>
      <c r="D19" s="149" t="s">
        <v>199</v>
      </c>
      <c r="E19" s="121">
        <v>23.0</v>
      </c>
      <c r="F19" s="149" t="s">
        <v>262</v>
      </c>
      <c r="G19" s="150" t="s">
        <v>263</v>
      </c>
      <c r="H19" s="150"/>
      <c r="I19" s="150" t="s">
        <v>264</v>
      </c>
      <c r="J19" s="121">
        <v>1.0</v>
      </c>
      <c r="K19" s="182" t="s">
        <v>265</v>
      </c>
      <c r="L19" s="149"/>
      <c r="M19" s="153"/>
      <c r="N19" s="153">
        <v>2.2</v>
      </c>
      <c r="O19" s="154"/>
      <c r="P19" s="155" t="b">
        <v>1</v>
      </c>
      <c r="Q19" s="155" t="b">
        <v>0</v>
      </c>
      <c r="R19" s="51"/>
      <c r="S19" s="155" t="b">
        <v>0</v>
      </c>
      <c r="T19" s="156" t="b">
        <v>1</v>
      </c>
      <c r="U19" s="157">
        <v>44666.0</v>
      </c>
      <c r="V19" s="158">
        <v>0.4166666666666667</v>
      </c>
      <c r="W19" s="149" t="s">
        <v>203</v>
      </c>
      <c r="X19" s="51"/>
      <c r="Y19" s="155" t="b">
        <v>1</v>
      </c>
      <c r="Z19" s="121">
        <v>25.0</v>
      </c>
      <c r="AA19" s="159">
        <f t="shared" si="1"/>
        <v>2</v>
      </c>
      <c r="AB19" s="160" t="b">
        <v>0</v>
      </c>
      <c r="AC19" s="121">
        <v>23.0</v>
      </c>
      <c r="AD19" s="121">
        <v>0.0</v>
      </c>
      <c r="AE19" s="184">
        <v>0.0</v>
      </c>
      <c r="AF19" s="161">
        <v>0.0</v>
      </c>
      <c r="AG19" s="121">
        <v>1.0</v>
      </c>
      <c r="AH19" s="162">
        <v>1.0</v>
      </c>
      <c r="AI19" s="163">
        <v>0.0</v>
      </c>
      <c r="AJ19" s="121" t="b">
        <v>0</v>
      </c>
      <c r="AK19" s="164">
        <v>23.0</v>
      </c>
      <c r="AL19" s="121">
        <v>4.0</v>
      </c>
      <c r="AM19" s="121">
        <v>1.0</v>
      </c>
      <c r="AN19" s="159" t="str">
        <f>IFNA(VLOOKUP($A19,'Tube Reactions'!$J$2:$K96,2,FALSE),"")</f>
        <v/>
      </c>
      <c r="AO19" s="165" t="str">
        <f t="shared" si="2"/>
        <v>NOT EQUAL</v>
      </c>
      <c r="AP19" s="166" t="str">
        <f t="shared" si="3"/>
        <v>Absent</v>
      </c>
      <c r="AQ19" s="167" t="b">
        <f t="shared" si="4"/>
        <v>0</v>
      </c>
      <c r="AR19" s="185">
        <v>18.0</v>
      </c>
      <c r="AS19" s="169"/>
      <c r="AT19" s="149"/>
      <c r="AU19" s="121" t="s">
        <v>204</v>
      </c>
      <c r="AV19" s="170">
        <v>25.0</v>
      </c>
      <c r="AW19" s="121" t="b">
        <v>1</v>
      </c>
      <c r="AX19" s="171"/>
      <c r="AY19" s="159">
        <f t="shared" si="5"/>
        <v>2</v>
      </c>
      <c r="AZ19" s="172"/>
      <c r="BA19" s="173" t="b">
        <v>0</v>
      </c>
      <c r="BB19" s="165" t="str">
        <f t="shared" si="6"/>
        <v/>
      </c>
      <c r="BC19" s="159" t="str">
        <f t="shared" si="7"/>
        <v/>
      </c>
      <c r="BD19" s="159" t="str">
        <f t="shared" si="8"/>
        <v/>
      </c>
      <c r="BE19" s="174"/>
      <c r="BF19" s="175">
        <f t="shared" si="9"/>
        <v>44666</v>
      </c>
      <c r="BG19" s="165" t="str">
        <f t="shared" si="10"/>
        <v>RUN-COMB_2022-04-15_RFR-018</v>
      </c>
      <c r="BH19" s="159">
        <f t="shared" si="11"/>
        <v>23</v>
      </c>
      <c r="BI19" s="159">
        <f t="shared" si="12"/>
        <v>25</v>
      </c>
      <c r="BJ19" s="159">
        <f t="shared" si="13"/>
        <v>23</v>
      </c>
      <c r="BK19" s="159">
        <f t="shared" si="14"/>
        <v>4</v>
      </c>
      <c r="BL19" s="183">
        <f>IFNA(IF(VLOOKUP(FLOOR($B19,1),'APS Tubes by Date Import'!$B$2:$L96,1,FALSE)=FLOOR($BL18,1),IFERROR(0/0,""),VLOOKUP(FLOOR($B19,1),'APS Tubes by Date Import'!$B$2:$L96,1,FALSE)),"")</f>
        <v>44666</v>
      </c>
      <c r="BM19" s="176">
        <f>IF(ISBLANK($BL19),IFERROR(0/0,""),VLOOKUP(FLOOR($B19,1),'APS Tubes by Date Import'!$B$2:$L96,2,FALSE))</f>
        <v>23</v>
      </c>
      <c r="BN19" s="159" t="str">
        <f>VLOOKUP(FLOOR($B19,1),'APS Tubes by Date Import'!$B19:$L96,11,FALSE)</f>
        <v>#N/A</v>
      </c>
      <c r="BO19" s="159" t="str">
        <f>VLOOKUP(FLOOR($B19,1),'APS Tubes by Date Import'!$B19:$I96,6,FALSE)</f>
        <v>#N/A</v>
      </c>
      <c r="BP19" s="159">
        <f t="shared" si="15"/>
        <v>23</v>
      </c>
      <c r="BQ19" s="177">
        <f t="shared" si="16"/>
        <v>0</v>
      </c>
      <c r="BR19" s="149"/>
      <c r="BS19" s="175" t="b">
        <f t="shared" si="17"/>
        <v>1</v>
      </c>
      <c r="BT19" s="178" t="str">
        <f t="shared" si="18"/>
        <v/>
      </c>
      <c r="BU19" s="179"/>
      <c r="BV19" s="180">
        <f t="shared" si="19"/>
        <v>0</v>
      </c>
      <c r="BW19" s="181"/>
      <c r="BX19" s="181"/>
      <c r="BY19" s="181"/>
      <c r="BZ19" s="181"/>
      <c r="CA19" s="181"/>
      <c r="CB19" s="181"/>
      <c r="CC19" s="181"/>
    </row>
    <row r="20">
      <c r="A20" s="147" t="str">
        <f>CONCATENATE("RUN-",'Process Ref'!$A$1,"_",TEXT(U20,"YYYY-MM-DD"),"_RFR-",TEXT(AR20,"000"),IF(EXACT(W20,"Initial"),"",CONCATENATE("_",W20)))</f>
        <v>RUN-COMB_2022-04-15_RFR-019_Re-run</v>
      </c>
      <c r="B20" s="148">
        <v>44666.37614583333</v>
      </c>
      <c r="C20" s="149"/>
      <c r="D20" s="149" t="s">
        <v>199</v>
      </c>
      <c r="E20" s="121">
        <v>1.0</v>
      </c>
      <c r="F20" s="149" t="s">
        <v>266</v>
      </c>
      <c r="G20" s="151" t="s">
        <v>267</v>
      </c>
      <c r="H20" s="151"/>
      <c r="I20" s="151" t="s">
        <v>268</v>
      </c>
      <c r="J20" s="121">
        <v>0.0</v>
      </c>
      <c r="K20" s="152"/>
      <c r="L20" s="149"/>
      <c r="M20" s="153">
        <v>1.2</v>
      </c>
      <c r="N20" s="153"/>
      <c r="O20" s="153"/>
      <c r="P20" s="155" t="b">
        <v>0</v>
      </c>
      <c r="Q20" s="155" t="b">
        <v>0</v>
      </c>
      <c r="R20" s="51"/>
      <c r="S20" s="155" t="b">
        <v>0</v>
      </c>
      <c r="T20" s="156" t="b">
        <v>1</v>
      </c>
      <c r="U20" s="157">
        <v>44666.0</v>
      </c>
      <c r="V20" s="158">
        <v>0.4583333333333333</v>
      </c>
      <c r="W20" s="149" t="s">
        <v>216</v>
      </c>
      <c r="X20" s="51"/>
      <c r="Y20" s="155" t="b">
        <v>0</v>
      </c>
      <c r="Z20" s="121">
        <v>8.0</v>
      </c>
      <c r="AA20" s="159">
        <f t="shared" si="1"/>
        <v>7</v>
      </c>
      <c r="AB20" s="160" t="b">
        <v>1</v>
      </c>
      <c r="AC20" s="121">
        <v>6.0</v>
      </c>
      <c r="AD20" s="121">
        <v>0.0</v>
      </c>
      <c r="AE20" s="184">
        <v>0.0</v>
      </c>
      <c r="AF20" s="161">
        <v>0.0</v>
      </c>
      <c r="AG20" s="121">
        <v>0.0</v>
      </c>
      <c r="AH20" s="162">
        <v>0.0</v>
      </c>
      <c r="AI20" s="163">
        <v>0.0</v>
      </c>
      <c r="AJ20" s="121" t="b">
        <v>1</v>
      </c>
      <c r="AK20" s="164">
        <v>1.0</v>
      </c>
      <c r="AL20" s="121">
        <v>0.0</v>
      </c>
      <c r="AM20" s="55" t="str">
        <f>IF(EXACT(W20,"Initial"),"Audit","")</f>
        <v/>
      </c>
      <c r="AN20" s="159" t="str">
        <f>IFNA(VLOOKUP($A20,'Tube Reactions'!$J$2:$K96,2,FALSE),"")</f>
        <v/>
      </c>
      <c r="AO20" s="165" t="str">
        <f t="shared" si="2"/>
        <v/>
      </c>
      <c r="AP20" s="166" t="str">
        <f t="shared" si="3"/>
        <v>Absent</v>
      </c>
      <c r="AQ20" s="167" t="b">
        <f t="shared" si="4"/>
        <v>0</v>
      </c>
      <c r="AR20" s="185">
        <v>19.0</v>
      </c>
      <c r="AS20" s="169"/>
      <c r="AT20" s="149"/>
      <c r="AU20" s="121" t="s">
        <v>204</v>
      </c>
      <c r="AV20" s="170">
        <v>8.0</v>
      </c>
      <c r="AW20" s="149" t="b">
        <v>1</v>
      </c>
      <c r="AX20" s="171"/>
      <c r="AY20" s="159">
        <f t="shared" si="5"/>
        <v>2</v>
      </c>
      <c r="AZ20" s="172"/>
      <c r="BA20" s="173" t="b">
        <v>0</v>
      </c>
      <c r="BB20" s="165" t="str">
        <f t="shared" si="6"/>
        <v/>
      </c>
      <c r="BC20" s="159" t="str">
        <f t="shared" si="7"/>
        <v/>
      </c>
      <c r="BD20" s="159" t="str">
        <f t="shared" si="8"/>
        <v/>
      </c>
      <c r="BE20" s="174"/>
      <c r="BF20" s="175" t="str">
        <f t="shared" si="9"/>
        <v/>
      </c>
      <c r="BG20" s="165" t="str">
        <f t="shared" si="10"/>
        <v/>
      </c>
      <c r="BH20" s="159" t="str">
        <f t="shared" si="11"/>
        <v/>
      </c>
      <c r="BI20" s="159" t="str">
        <f t="shared" si="12"/>
        <v/>
      </c>
      <c r="BJ20" s="159" t="str">
        <f t="shared" si="13"/>
        <v/>
      </c>
      <c r="BK20" s="159" t="str">
        <f t="shared" si="14"/>
        <v/>
      </c>
      <c r="BL20" s="183" t="str">
        <f>IFNA(IF(VLOOKUP(FLOOR($B20,1),'APS Tubes by Date Import'!$B$2:$L96,1,FALSE)=FLOOR($BL19,1),IFERROR(0/0,""),VLOOKUP(FLOOR($B20,1),'APS Tubes by Date Import'!$B$2:$L96,1,FALSE)),"")</f>
        <v/>
      </c>
      <c r="BM20" s="176" t="str">
        <f>IF(ISBLANK($BL20),IFERROR(0/0,""),VLOOKUP(FLOOR($B20,1),'APS Tubes by Date Import'!$B$2:$L96,2,FALSE))</f>
        <v/>
      </c>
      <c r="BN20" s="159" t="str">
        <f>VLOOKUP(FLOOR($B20,1),'APS Tubes by Date Import'!$B20:$L96,11,FALSE)</f>
        <v>#N/A</v>
      </c>
      <c r="BO20" s="159" t="str">
        <f>VLOOKUP(FLOOR($B20,1),'APS Tubes by Date Import'!$B20:$I96,6,FALSE)</f>
        <v>#N/A</v>
      </c>
      <c r="BP20" s="159" t="str">
        <f t="shared" si="15"/>
        <v/>
      </c>
      <c r="BQ20" s="177">
        <f t="shared" si="16"/>
        <v>0</v>
      </c>
      <c r="BR20" s="149"/>
      <c r="BS20" s="175" t="str">
        <f t="shared" si="17"/>
        <v/>
      </c>
      <c r="BT20" s="178" t="str">
        <f t="shared" si="18"/>
        <v/>
      </c>
      <c r="BU20" s="179"/>
      <c r="BV20" s="180" t="str">
        <f t="shared" si="19"/>
        <v/>
      </c>
      <c r="BW20" s="181"/>
      <c r="BX20" s="181"/>
      <c r="BY20" s="181"/>
      <c r="BZ20" s="181"/>
      <c r="CA20" s="181"/>
      <c r="CB20" s="181"/>
      <c r="CC20" s="181"/>
    </row>
    <row r="21">
      <c r="A21" s="147" t="str">
        <f>CONCATENATE("RUN-",'Process Ref'!$A$1,"_",TEXT(U21,"YYYY-MM-DD"),"_RFR-",TEXT(AR21,"000"),IF(EXACT(W21,"Initial"),"",CONCATENATE("_",W21)))</f>
        <v>RUN-COMB_2022-04-18_RFR-020</v>
      </c>
      <c r="B21" s="148">
        <v>44669.76548611111</v>
      </c>
      <c r="C21" s="149"/>
      <c r="D21" s="149" t="s">
        <v>199</v>
      </c>
      <c r="E21" s="121">
        <v>4.0</v>
      </c>
      <c r="F21" s="149" t="s">
        <v>269</v>
      </c>
      <c r="G21" s="151" t="s">
        <v>270</v>
      </c>
      <c r="H21" s="189"/>
      <c r="I21" s="190" t="s">
        <v>271</v>
      </c>
      <c r="J21" s="121" t="s">
        <v>214</v>
      </c>
      <c r="K21" s="152"/>
      <c r="L21" s="149"/>
      <c r="M21" s="153"/>
      <c r="N21" s="153"/>
      <c r="O21" s="154"/>
      <c r="P21" s="155" t="b">
        <v>0</v>
      </c>
      <c r="Q21" s="155" t="b">
        <v>0</v>
      </c>
      <c r="R21" s="51"/>
      <c r="S21" s="155" t="b">
        <v>0</v>
      </c>
      <c r="T21" s="156" t="b">
        <v>0</v>
      </c>
      <c r="U21" s="157">
        <v>44669.0</v>
      </c>
      <c r="V21" s="158">
        <v>0.8402777777777778</v>
      </c>
      <c r="W21" s="149" t="s">
        <v>203</v>
      </c>
      <c r="X21" s="51"/>
      <c r="Y21" s="155" t="b">
        <v>0</v>
      </c>
      <c r="Z21" s="121">
        <v>6.0</v>
      </c>
      <c r="AA21" s="159">
        <f t="shared" si="1"/>
        <v>2</v>
      </c>
      <c r="AB21" s="160" t="b">
        <v>0</v>
      </c>
      <c r="AC21" s="121">
        <v>4.0</v>
      </c>
      <c r="AD21" s="121">
        <v>0.0</v>
      </c>
      <c r="AE21" s="184">
        <v>0.0</v>
      </c>
      <c r="AF21" s="161">
        <v>0.0</v>
      </c>
      <c r="AG21" s="121">
        <v>0.0</v>
      </c>
      <c r="AH21" s="162">
        <v>0.0</v>
      </c>
      <c r="AI21" s="163">
        <v>0.0</v>
      </c>
      <c r="AJ21" s="121" t="b">
        <v>0</v>
      </c>
      <c r="AK21" s="164">
        <v>4.0</v>
      </c>
      <c r="AL21" s="121">
        <v>0.0</v>
      </c>
      <c r="AM21" s="121">
        <v>0.0</v>
      </c>
      <c r="AN21" s="159" t="str">
        <f>IFNA(VLOOKUP($A21,'Tube Reactions'!$J$2:$K96,2,FALSE),"")</f>
        <v/>
      </c>
      <c r="AO21" s="165" t="str">
        <f t="shared" si="2"/>
        <v/>
      </c>
      <c r="AP21" s="166" t="str">
        <f t="shared" si="3"/>
        <v>Absent</v>
      </c>
      <c r="AQ21" s="167" t="b">
        <f t="shared" si="4"/>
        <v>0</v>
      </c>
      <c r="AR21" s="185">
        <v>20.0</v>
      </c>
      <c r="AS21" s="169"/>
      <c r="AT21" s="149"/>
      <c r="AU21" s="121" t="s">
        <v>204</v>
      </c>
      <c r="AV21" s="170">
        <v>6.0</v>
      </c>
      <c r="AW21" s="162" t="b">
        <v>1</v>
      </c>
      <c r="AX21" s="171"/>
      <c r="AY21" s="159">
        <f t="shared" si="5"/>
        <v>2</v>
      </c>
      <c r="AZ21" s="172"/>
      <c r="BA21" s="173" t="b">
        <v>0</v>
      </c>
      <c r="BB21" s="165" t="str">
        <f t="shared" si="6"/>
        <v/>
      </c>
      <c r="BC21" s="159" t="str">
        <f t="shared" si="7"/>
        <v/>
      </c>
      <c r="BD21" s="159" t="str">
        <f t="shared" si="8"/>
        <v/>
      </c>
      <c r="BE21" s="174"/>
      <c r="BF21" s="175">
        <f t="shared" si="9"/>
        <v>44669</v>
      </c>
      <c r="BG21" s="165" t="str">
        <f t="shared" si="10"/>
        <v>RUN-COMB_2022-04-18_RFR-020</v>
      </c>
      <c r="BH21" s="159">
        <f t="shared" si="11"/>
        <v>4</v>
      </c>
      <c r="BI21" s="159">
        <f t="shared" si="12"/>
        <v>6</v>
      </c>
      <c r="BJ21" s="159">
        <f t="shared" si="13"/>
        <v>4</v>
      </c>
      <c r="BK21" s="159">
        <f t="shared" si="14"/>
        <v>0</v>
      </c>
      <c r="BL21" s="183">
        <f>IFNA(IF(VLOOKUP(FLOOR($B21,1),'APS Tubes by Date Import'!$B$2:$L96,1,FALSE)=FLOOR($BL20,1),IFERROR(0/0,""),VLOOKUP(FLOOR($B21,1),'APS Tubes by Date Import'!$B$2:$L96,1,FALSE)),"")</f>
        <v>44669</v>
      </c>
      <c r="BM21" s="176">
        <f>IF(ISBLANK($BL21),IFERROR(0/0,""),VLOOKUP(FLOOR($B21,1),'APS Tubes by Date Import'!$B$2:$L96,2,FALSE))</f>
        <v>36</v>
      </c>
      <c r="BN21" s="159" t="str">
        <f>VLOOKUP(FLOOR($B21,1),'APS Tubes by Date Import'!$B21:$L96,11,FALSE)</f>
        <v>#N/A</v>
      </c>
      <c r="BO21" s="159" t="str">
        <f>VLOOKUP(FLOOR($B21,1),'APS Tubes by Date Import'!$B21:$I96,6,FALSE)</f>
        <v>#N/A</v>
      </c>
      <c r="BP21" s="159">
        <f t="shared" si="15"/>
        <v>4</v>
      </c>
      <c r="BQ21" s="177">
        <f t="shared" si="16"/>
        <v>-32</v>
      </c>
      <c r="BR21" s="149"/>
      <c r="BS21" s="175" t="b">
        <f t="shared" si="17"/>
        <v>1</v>
      </c>
      <c r="BT21" s="178" t="str">
        <f t="shared" si="18"/>
        <v/>
      </c>
      <c r="BU21" s="179"/>
      <c r="BV21" s="180">
        <f t="shared" si="19"/>
        <v>0</v>
      </c>
      <c r="BW21" s="181"/>
      <c r="BX21" s="181"/>
      <c r="BY21" s="181"/>
      <c r="BZ21" s="181"/>
      <c r="CA21" s="181"/>
      <c r="CB21" s="181"/>
      <c r="CC21" s="181"/>
    </row>
    <row r="22">
      <c r="A22" s="147" t="str">
        <f>CONCATENATE("RUN-",'Process Ref'!$A$1,"_",TEXT(U22,"YYYY-MM-DD"),"_RFR-",TEXT(AR22,"000"),IF(EXACT(W22,"Initial"),"",CONCATENATE("_",W22)))</f>
        <v>RUN-COMB_2022-04-18_RFR-021</v>
      </c>
      <c r="B22" s="148">
        <v>44669.812002314815</v>
      </c>
      <c r="C22" s="149"/>
      <c r="D22" s="149" t="s">
        <v>199</v>
      </c>
      <c r="E22" s="121">
        <v>32.0</v>
      </c>
      <c r="F22" s="149" t="s">
        <v>272</v>
      </c>
      <c r="G22" s="150" t="s">
        <v>273</v>
      </c>
      <c r="H22" s="150"/>
      <c r="I22" s="150" t="s">
        <v>274</v>
      </c>
      <c r="J22" s="121">
        <v>0.0</v>
      </c>
      <c r="K22" s="191"/>
      <c r="L22" s="149"/>
      <c r="M22" s="153"/>
      <c r="N22" s="153"/>
      <c r="O22" s="154"/>
      <c r="P22" s="155" t="b">
        <v>0</v>
      </c>
      <c r="Q22" s="155" t="b">
        <v>0</v>
      </c>
      <c r="R22" s="51"/>
      <c r="S22" s="155" t="b">
        <v>0</v>
      </c>
      <c r="T22" s="156" t="b">
        <v>0</v>
      </c>
      <c r="U22" s="157">
        <v>44669.0</v>
      </c>
      <c r="V22" s="158">
        <v>0.8958333333333334</v>
      </c>
      <c r="W22" s="149" t="s">
        <v>203</v>
      </c>
      <c r="X22" s="51"/>
      <c r="Y22" s="155" t="b">
        <v>0</v>
      </c>
      <c r="Z22" s="121">
        <v>34.0</v>
      </c>
      <c r="AA22" s="159">
        <f t="shared" si="1"/>
        <v>2</v>
      </c>
      <c r="AB22" s="160" t="b">
        <v>0</v>
      </c>
      <c r="AC22" s="121">
        <v>32.0</v>
      </c>
      <c r="AD22" s="121">
        <v>0.0</v>
      </c>
      <c r="AE22" s="184">
        <v>0.0</v>
      </c>
      <c r="AF22" s="161">
        <v>0.0</v>
      </c>
      <c r="AG22" s="121">
        <v>0.0</v>
      </c>
      <c r="AH22" s="162">
        <v>0.0</v>
      </c>
      <c r="AI22" s="163">
        <v>0.0</v>
      </c>
      <c r="AJ22" s="121" t="b">
        <v>0</v>
      </c>
      <c r="AK22" s="164">
        <v>32.0</v>
      </c>
      <c r="AL22" s="121">
        <v>0.0</v>
      </c>
      <c r="AM22" s="121">
        <v>0.0</v>
      </c>
      <c r="AN22" s="159" t="str">
        <f>IFNA(VLOOKUP($A22,'Tube Reactions'!$J$2:$K96,2,FALSE),"")</f>
        <v/>
      </c>
      <c r="AO22" s="165" t="str">
        <f t="shared" si="2"/>
        <v/>
      </c>
      <c r="AP22" s="166" t="str">
        <f t="shared" si="3"/>
        <v>Absent</v>
      </c>
      <c r="AQ22" s="167" t="b">
        <f t="shared" si="4"/>
        <v>0</v>
      </c>
      <c r="AR22" s="185">
        <v>21.0</v>
      </c>
      <c r="AS22" s="169"/>
      <c r="AT22" s="149"/>
      <c r="AU22" s="121" t="s">
        <v>204</v>
      </c>
      <c r="AV22" s="170">
        <v>34.0</v>
      </c>
      <c r="AW22" s="121" t="b">
        <v>0</v>
      </c>
      <c r="AX22" s="171"/>
      <c r="AY22" s="159">
        <f t="shared" si="5"/>
        <v>2</v>
      </c>
      <c r="AZ22" s="172"/>
      <c r="BA22" s="173" t="b">
        <v>0</v>
      </c>
      <c r="BB22" s="165" t="str">
        <f t="shared" si="6"/>
        <v/>
      </c>
      <c r="BC22" s="159" t="str">
        <f t="shared" si="7"/>
        <v/>
      </c>
      <c r="BD22" s="159" t="str">
        <f t="shared" si="8"/>
        <v/>
      </c>
      <c r="BE22" s="174"/>
      <c r="BF22" s="175">
        <f t="shared" si="9"/>
        <v>44669</v>
      </c>
      <c r="BG22" s="165" t="str">
        <f t="shared" si="10"/>
        <v>RUN-COMB_2022-04-18_RFR-021</v>
      </c>
      <c r="BH22" s="159">
        <f t="shared" si="11"/>
        <v>32</v>
      </c>
      <c r="BI22" s="159">
        <f t="shared" si="12"/>
        <v>34</v>
      </c>
      <c r="BJ22" s="159">
        <f t="shared" si="13"/>
        <v>32</v>
      </c>
      <c r="BK22" s="159">
        <f t="shared" si="14"/>
        <v>0</v>
      </c>
      <c r="BL22" s="183" t="str">
        <f>IFNA(IF(VLOOKUP(FLOOR($B22,1),'APS Tubes by Date Import'!$B$2:$L96,1,FALSE)=FLOOR($BL21,1),IFERROR(0/0,""),VLOOKUP(FLOOR($B22,1),'APS Tubes by Date Import'!$B$2:$L96,1,FALSE)),"")</f>
        <v/>
      </c>
      <c r="BM22" s="176" t="str">
        <f>IF(ISBLANK($BL22),IFERROR(0/0,""),VLOOKUP(FLOOR($B22,1),'APS Tubes by Date Import'!$B$2:$L96,2,FALSE))</f>
        <v/>
      </c>
      <c r="BN22" s="159" t="str">
        <f>VLOOKUP(FLOOR($B22,1),'APS Tubes by Date Import'!$B22:$L96,11,FALSE)</f>
        <v>#N/A</v>
      </c>
      <c r="BO22" s="159" t="str">
        <f>VLOOKUP(FLOOR($B22,1),'APS Tubes by Date Import'!$B22:$I96,6,FALSE)</f>
        <v>#N/A</v>
      </c>
      <c r="BP22" s="159">
        <f t="shared" si="15"/>
        <v>32</v>
      </c>
      <c r="BQ22" s="177">
        <f t="shared" si="16"/>
        <v>32</v>
      </c>
      <c r="BR22" s="149"/>
      <c r="BS22" s="175" t="b">
        <f t="shared" si="17"/>
        <v>1</v>
      </c>
      <c r="BT22" s="178" t="str">
        <f t="shared" si="18"/>
        <v/>
      </c>
      <c r="BU22" s="179"/>
      <c r="BV22" s="180">
        <f t="shared" si="19"/>
        <v>0</v>
      </c>
      <c r="BW22" s="181"/>
      <c r="BX22" s="181"/>
      <c r="BY22" s="181"/>
      <c r="BZ22" s="181"/>
      <c r="CA22" s="181"/>
      <c r="CB22" s="181"/>
      <c r="CC22" s="181"/>
    </row>
    <row r="23">
      <c r="A23" s="147" t="str">
        <f>CONCATENATE("RUN-",'Process Ref'!$A$1,"_",TEXT(U23,"YYYY-MM-DD"),"_RFR-",TEXT(AR23,"000"),IF(EXACT(W23,"Initial"),"",CONCATENATE("_",W23)))</f>
        <v>RUN-COMB_2022-04-19_RFR-022</v>
      </c>
      <c r="B23" s="148">
        <v>44670.39942129629</v>
      </c>
      <c r="C23" s="149"/>
      <c r="D23" s="149" t="s">
        <v>199</v>
      </c>
      <c r="E23" s="121">
        <v>18.0</v>
      </c>
      <c r="F23" s="149" t="s">
        <v>275</v>
      </c>
      <c r="G23" s="150" t="s">
        <v>276</v>
      </c>
      <c r="H23" s="150"/>
      <c r="I23" s="150" t="s">
        <v>277</v>
      </c>
      <c r="J23" s="121">
        <v>1.0</v>
      </c>
      <c r="K23" s="152"/>
      <c r="L23" s="149"/>
      <c r="M23" s="153"/>
      <c r="N23" s="153"/>
      <c r="O23" s="154"/>
      <c r="P23" s="155" t="b">
        <v>0</v>
      </c>
      <c r="Q23" s="155" t="b">
        <v>0</v>
      </c>
      <c r="R23" s="51"/>
      <c r="S23" s="155" t="b">
        <v>0</v>
      </c>
      <c r="T23" s="156" t="b">
        <v>1</v>
      </c>
      <c r="U23" s="157">
        <v>44670.0</v>
      </c>
      <c r="V23" s="158">
        <v>0.4583333333333333</v>
      </c>
      <c r="W23" s="149" t="s">
        <v>203</v>
      </c>
      <c r="X23" s="51"/>
      <c r="Y23" s="155" t="b">
        <v>0</v>
      </c>
      <c r="Z23" s="121">
        <v>20.0</v>
      </c>
      <c r="AA23" s="159">
        <f t="shared" si="1"/>
        <v>2</v>
      </c>
      <c r="AB23" s="160" t="b">
        <v>0</v>
      </c>
      <c r="AC23" s="121">
        <v>18.0</v>
      </c>
      <c r="AD23" s="121">
        <v>1.0</v>
      </c>
      <c r="AE23" s="184">
        <v>1.0</v>
      </c>
      <c r="AF23" s="161">
        <v>0.0</v>
      </c>
      <c r="AG23" s="121">
        <v>0.0</v>
      </c>
      <c r="AH23" s="162">
        <v>0.0</v>
      </c>
      <c r="AI23" s="163">
        <v>0.0</v>
      </c>
      <c r="AJ23" s="121" t="b">
        <v>0</v>
      </c>
      <c r="AK23" s="164">
        <v>18.0</v>
      </c>
      <c r="AL23" s="121">
        <v>1.0</v>
      </c>
      <c r="AM23" s="121">
        <v>1.0</v>
      </c>
      <c r="AN23" s="159" t="str">
        <f>IFNA(VLOOKUP($A23,'Tube Reactions'!$J$2:$K96,2,FALSE),"")</f>
        <v/>
      </c>
      <c r="AO23" s="165" t="str">
        <f t="shared" si="2"/>
        <v>NOT EQUAL</v>
      </c>
      <c r="AP23" s="166" t="str">
        <f t="shared" si="3"/>
        <v>Absent</v>
      </c>
      <c r="AQ23" s="167" t="b">
        <f t="shared" si="4"/>
        <v>0</v>
      </c>
      <c r="AR23" s="185">
        <v>22.0</v>
      </c>
      <c r="AS23" s="169"/>
      <c r="AT23" s="149"/>
      <c r="AU23" s="121" t="s">
        <v>204</v>
      </c>
      <c r="AV23" s="170">
        <v>20.0</v>
      </c>
      <c r="AW23" s="121" t="b">
        <v>1</v>
      </c>
      <c r="AX23" s="171"/>
      <c r="AY23" s="159">
        <f t="shared" si="5"/>
        <v>2</v>
      </c>
      <c r="AZ23" s="172"/>
      <c r="BA23" s="173" t="b">
        <v>0</v>
      </c>
      <c r="BB23" s="165" t="str">
        <f t="shared" si="6"/>
        <v/>
      </c>
      <c r="BC23" s="159" t="str">
        <f t="shared" si="7"/>
        <v/>
      </c>
      <c r="BD23" s="159" t="str">
        <f t="shared" si="8"/>
        <v/>
      </c>
      <c r="BE23" s="174"/>
      <c r="BF23" s="175">
        <f t="shared" si="9"/>
        <v>44670</v>
      </c>
      <c r="BG23" s="165" t="str">
        <f t="shared" si="10"/>
        <v>RUN-COMB_2022-04-19_RFR-022</v>
      </c>
      <c r="BH23" s="159">
        <f t="shared" si="11"/>
        <v>18</v>
      </c>
      <c r="BI23" s="159">
        <f t="shared" si="12"/>
        <v>20</v>
      </c>
      <c r="BJ23" s="159">
        <f t="shared" si="13"/>
        <v>18</v>
      </c>
      <c r="BK23" s="159">
        <f t="shared" si="14"/>
        <v>1</v>
      </c>
      <c r="BL23" s="183">
        <f>IFNA(IF(VLOOKUP(FLOOR($B23,1),'APS Tubes by Date Import'!$B$2:$L96,1,FALSE)=FLOOR($BL22,1),IFERROR(0/0,""),VLOOKUP(FLOOR($B23,1),'APS Tubes by Date Import'!$B$2:$L96,1,FALSE)),"")</f>
        <v>44670</v>
      </c>
      <c r="BM23" s="176">
        <f>IF(ISBLANK($BL23),IFERROR(0/0,""),VLOOKUP(FLOOR($B23,1),'APS Tubes by Date Import'!$B$2:$L96,2,FALSE))</f>
        <v>18</v>
      </c>
      <c r="BN23" s="159" t="str">
        <f>VLOOKUP(FLOOR($B23,1),'APS Tubes by Date Import'!$B23:$L96,11,FALSE)</f>
        <v>#N/A</v>
      </c>
      <c r="BO23" s="159" t="str">
        <f>VLOOKUP(FLOOR($B23,1),'APS Tubes by Date Import'!$B23:$I96,6,FALSE)</f>
        <v>#N/A</v>
      </c>
      <c r="BP23" s="159">
        <f t="shared" si="15"/>
        <v>18</v>
      </c>
      <c r="BQ23" s="177">
        <f t="shared" si="16"/>
        <v>0</v>
      </c>
      <c r="BR23" s="149"/>
      <c r="BS23" s="175" t="b">
        <f t="shared" si="17"/>
        <v>1</v>
      </c>
      <c r="BT23" s="178" t="str">
        <f t="shared" si="18"/>
        <v/>
      </c>
      <c r="BU23" s="179"/>
      <c r="BV23" s="180">
        <f t="shared" si="19"/>
        <v>0</v>
      </c>
      <c r="BW23" s="181"/>
      <c r="BX23" s="181"/>
      <c r="BY23" s="181"/>
      <c r="BZ23" s="181"/>
      <c r="CA23" s="181"/>
      <c r="CB23" s="181"/>
      <c r="CC23" s="181"/>
    </row>
    <row r="24">
      <c r="A24" s="147" t="str">
        <f>CONCATENATE("RUN-",'Process Ref'!$A$1,"_",TEXT(U24,"YYYY-MM-DD"),"_RFR-",TEXT(AR24,"000"),IF(EXACT(W24,"Initial"),"",CONCATENATE("_",W24)))</f>
        <v>RUN-COMB_2022-04-19_RFR-023_Re-run</v>
      </c>
      <c r="B24" s="148">
        <v>44670.40241898148</v>
      </c>
      <c r="C24" s="149"/>
      <c r="D24" s="149" t="s">
        <v>199</v>
      </c>
      <c r="E24" s="121">
        <v>1.0</v>
      </c>
      <c r="F24" s="149" t="s">
        <v>278</v>
      </c>
      <c r="G24" s="151" t="s">
        <v>279</v>
      </c>
      <c r="H24" s="151"/>
      <c r="I24" s="151" t="s">
        <v>280</v>
      </c>
      <c r="J24" s="121">
        <v>0.0</v>
      </c>
      <c r="K24" s="152"/>
      <c r="L24" s="149"/>
      <c r="M24" s="153"/>
      <c r="N24" s="153"/>
      <c r="O24" s="154"/>
      <c r="P24" s="155" t="b">
        <v>0</v>
      </c>
      <c r="Q24" s="155" t="b">
        <v>0</v>
      </c>
      <c r="R24" s="51"/>
      <c r="S24" s="155" t="b">
        <v>0</v>
      </c>
      <c r="T24" s="156" t="b">
        <v>1</v>
      </c>
      <c r="U24" s="157">
        <v>44670.0</v>
      </c>
      <c r="V24" s="158">
        <v>0.4791666666666667</v>
      </c>
      <c r="W24" s="149" t="s">
        <v>216</v>
      </c>
      <c r="X24" s="149" t="s">
        <v>281</v>
      </c>
      <c r="Y24" s="155" t="b">
        <v>0</v>
      </c>
      <c r="Z24" s="121">
        <v>5.0</v>
      </c>
      <c r="AA24" s="159">
        <f t="shared" si="1"/>
        <v>4</v>
      </c>
      <c r="AB24" s="160" t="b">
        <v>1</v>
      </c>
      <c r="AC24" s="121">
        <v>3.0</v>
      </c>
      <c r="AD24" s="121">
        <v>0.0</v>
      </c>
      <c r="AE24" s="184">
        <v>0.0</v>
      </c>
      <c r="AF24" s="161">
        <v>0.0</v>
      </c>
      <c r="AG24" s="121">
        <v>0.0</v>
      </c>
      <c r="AH24" s="162">
        <v>0.0</v>
      </c>
      <c r="AI24" s="163">
        <v>0.0</v>
      </c>
      <c r="AJ24" s="121" t="b">
        <v>0</v>
      </c>
      <c r="AK24" s="164">
        <v>1.0</v>
      </c>
      <c r="AL24" s="121">
        <v>0.0</v>
      </c>
      <c r="AM24" s="55" t="str">
        <f>IF(EXACT(W24,"Initial"),"Audit","")</f>
        <v/>
      </c>
      <c r="AN24" s="159" t="str">
        <f>IFNA(VLOOKUP($A24,'Tube Reactions'!$J$2:$K96,2,FALSE),"")</f>
        <v/>
      </c>
      <c r="AO24" s="165" t="str">
        <f t="shared" si="2"/>
        <v/>
      </c>
      <c r="AP24" s="166" t="str">
        <f t="shared" si="3"/>
        <v>Absent</v>
      </c>
      <c r="AQ24" s="167" t="b">
        <f t="shared" si="4"/>
        <v>0</v>
      </c>
      <c r="AR24" s="185">
        <v>23.0</v>
      </c>
      <c r="AS24" s="169"/>
      <c r="AT24" s="149"/>
      <c r="AU24" s="121" t="s">
        <v>204</v>
      </c>
      <c r="AV24" s="170">
        <v>5.0</v>
      </c>
      <c r="AW24" s="121" t="b">
        <v>1</v>
      </c>
      <c r="AX24" s="171"/>
      <c r="AY24" s="159">
        <f t="shared" si="5"/>
        <v>2</v>
      </c>
      <c r="AZ24" s="172"/>
      <c r="BA24" s="173" t="b">
        <v>0</v>
      </c>
      <c r="BB24" s="165" t="str">
        <f t="shared" si="6"/>
        <v/>
      </c>
      <c r="BC24" s="159" t="str">
        <f t="shared" si="7"/>
        <v/>
      </c>
      <c r="BD24" s="159" t="str">
        <f t="shared" si="8"/>
        <v/>
      </c>
      <c r="BE24" s="174"/>
      <c r="BF24" s="175" t="str">
        <f t="shared" si="9"/>
        <v/>
      </c>
      <c r="BG24" s="165" t="str">
        <f t="shared" si="10"/>
        <v/>
      </c>
      <c r="BH24" s="159" t="str">
        <f t="shared" si="11"/>
        <v/>
      </c>
      <c r="BI24" s="159" t="str">
        <f t="shared" si="12"/>
        <v/>
      </c>
      <c r="BJ24" s="159" t="str">
        <f t="shared" si="13"/>
        <v/>
      </c>
      <c r="BK24" s="159" t="str">
        <f t="shared" si="14"/>
        <v/>
      </c>
      <c r="BL24" s="183" t="str">
        <f>IFNA(IF(VLOOKUP(FLOOR($B24,1),'APS Tubes by Date Import'!$B$2:$L96,1,FALSE)=FLOOR($BL23,1),IFERROR(0/0,""),VLOOKUP(FLOOR($B24,1),'APS Tubes by Date Import'!$B$2:$L96,1,FALSE)),"")</f>
        <v/>
      </c>
      <c r="BM24" s="176" t="str">
        <f>IF(ISBLANK($BL24),IFERROR(0/0,""),VLOOKUP(FLOOR($B24,1),'APS Tubes by Date Import'!$B$2:$L96,2,FALSE))</f>
        <v/>
      </c>
      <c r="BN24" s="159" t="str">
        <f>VLOOKUP(FLOOR($B24,1),'APS Tubes by Date Import'!$B24:$L96,11,FALSE)</f>
        <v>#N/A</v>
      </c>
      <c r="BO24" s="159" t="str">
        <f>VLOOKUP(FLOOR($B24,1),'APS Tubes by Date Import'!$B24:$I96,6,FALSE)</f>
        <v>#N/A</v>
      </c>
      <c r="BP24" s="159" t="str">
        <f t="shared" si="15"/>
        <v/>
      </c>
      <c r="BQ24" s="177">
        <f t="shared" si="16"/>
        <v>0</v>
      </c>
      <c r="BR24" s="149"/>
      <c r="BS24" s="175" t="str">
        <f t="shared" si="17"/>
        <v/>
      </c>
      <c r="BT24" s="178" t="str">
        <f t="shared" si="18"/>
        <v/>
      </c>
      <c r="BU24" s="179"/>
      <c r="BV24" s="180" t="str">
        <f t="shared" si="19"/>
        <v/>
      </c>
      <c r="BW24" s="181"/>
      <c r="BX24" s="181"/>
      <c r="BY24" s="181"/>
      <c r="BZ24" s="181"/>
      <c r="CA24" s="181"/>
      <c r="CB24" s="181"/>
      <c r="CC24" s="181"/>
    </row>
    <row r="25">
      <c r="A25" s="147" t="str">
        <f>CONCATENATE("RUN-",'Process Ref'!$A$1,"_",TEXT(U25,"YYYY-MM-DD"),"_RFR-",TEXT(AR25,"000"),IF(EXACT(W25,"Initial"),"",CONCATENATE("_",W25)))</f>
        <v>RUN-COMB_2022-04-20_RFR-024</v>
      </c>
      <c r="B25" s="148">
        <v>44671.38144675926</v>
      </c>
      <c r="C25" s="149"/>
      <c r="D25" s="149" t="s">
        <v>199</v>
      </c>
      <c r="E25" s="121">
        <v>14.0</v>
      </c>
      <c r="F25" s="149" t="s">
        <v>282</v>
      </c>
      <c r="G25" s="151" t="s">
        <v>283</v>
      </c>
      <c r="H25" s="189"/>
      <c r="I25" s="190" t="s">
        <v>284</v>
      </c>
      <c r="J25" s="121" t="s">
        <v>208</v>
      </c>
      <c r="K25" s="152"/>
      <c r="L25" s="149"/>
      <c r="M25" s="153"/>
      <c r="N25" s="153"/>
      <c r="O25" s="154"/>
      <c r="P25" s="155" t="b">
        <v>0</v>
      </c>
      <c r="Q25" s="155" t="b">
        <v>0</v>
      </c>
      <c r="R25" s="51"/>
      <c r="S25" s="155" t="b">
        <v>0</v>
      </c>
      <c r="T25" s="156" t="b">
        <v>0</v>
      </c>
      <c r="U25" s="157">
        <v>44671.0</v>
      </c>
      <c r="V25" s="158">
        <v>0.4583333333333333</v>
      </c>
      <c r="W25" s="149" t="s">
        <v>203</v>
      </c>
      <c r="X25" s="51"/>
      <c r="Y25" s="155" t="b">
        <v>0</v>
      </c>
      <c r="Z25" s="121">
        <v>16.0</v>
      </c>
      <c r="AA25" s="159">
        <f t="shared" si="1"/>
        <v>2</v>
      </c>
      <c r="AB25" s="160" t="b">
        <v>0</v>
      </c>
      <c r="AC25" s="121">
        <v>14.0</v>
      </c>
      <c r="AD25" s="121">
        <v>0.0</v>
      </c>
      <c r="AE25" s="184">
        <v>0.0</v>
      </c>
      <c r="AF25" s="161">
        <v>0.0</v>
      </c>
      <c r="AG25" s="121">
        <v>0.0</v>
      </c>
      <c r="AH25" s="162">
        <v>0.0</v>
      </c>
      <c r="AI25" s="163">
        <v>0.0</v>
      </c>
      <c r="AJ25" s="121" t="b">
        <v>0</v>
      </c>
      <c r="AK25" s="164">
        <v>14.0</v>
      </c>
      <c r="AL25" s="121">
        <v>0.0</v>
      </c>
      <c r="AM25" s="121">
        <v>0.0</v>
      </c>
      <c r="AN25" s="159" t="str">
        <f>IFNA(VLOOKUP($A25,'Tube Reactions'!$J$2:$K96,2,FALSE),"")</f>
        <v/>
      </c>
      <c r="AO25" s="165" t="str">
        <f t="shared" si="2"/>
        <v/>
      </c>
      <c r="AP25" s="166" t="str">
        <f t="shared" si="3"/>
        <v>Absent</v>
      </c>
      <c r="AQ25" s="167" t="b">
        <f t="shared" si="4"/>
        <v>0</v>
      </c>
      <c r="AR25" s="185">
        <v>24.0</v>
      </c>
      <c r="AS25" s="169"/>
      <c r="AT25" s="149"/>
      <c r="AU25" s="121" t="s">
        <v>204</v>
      </c>
      <c r="AV25" s="170">
        <v>16.0</v>
      </c>
      <c r="AW25" s="162" t="b">
        <v>0</v>
      </c>
      <c r="AX25" s="171"/>
      <c r="AY25" s="159">
        <f t="shared" si="5"/>
        <v>2</v>
      </c>
      <c r="AZ25" s="172"/>
      <c r="BA25" s="173" t="b">
        <v>1</v>
      </c>
      <c r="BB25" s="165" t="b">
        <f t="shared" si="6"/>
        <v>1</v>
      </c>
      <c r="BC25" s="159" t="b">
        <f t="shared" si="7"/>
        <v>1</v>
      </c>
      <c r="BD25" s="159">
        <f t="shared" si="8"/>
        <v>14</v>
      </c>
      <c r="BE25" s="174"/>
      <c r="BF25" s="175">
        <f t="shared" si="9"/>
        <v>44671</v>
      </c>
      <c r="BG25" s="165" t="str">
        <f t="shared" si="10"/>
        <v>RUN-COMB_2022-04-20_RFR-024</v>
      </c>
      <c r="BH25" s="159">
        <f t="shared" si="11"/>
        <v>14</v>
      </c>
      <c r="BI25" s="159">
        <f t="shared" si="12"/>
        <v>16</v>
      </c>
      <c r="BJ25" s="159">
        <f t="shared" si="13"/>
        <v>14</v>
      </c>
      <c r="BK25" s="159">
        <f t="shared" si="14"/>
        <v>0</v>
      </c>
      <c r="BL25" s="183">
        <f>IFNA(IF(VLOOKUP(FLOOR($B25,1),'APS Tubes by Date Import'!$B$2:$L96,1,FALSE)=FLOOR($BL24,1),IFERROR(0/0,""),VLOOKUP(FLOOR($B25,1),'APS Tubes by Date Import'!$B$2:$L96,1,FALSE)),"")</f>
        <v>44671</v>
      </c>
      <c r="BM25" s="176">
        <f>IF(ISBLANK($BL25),IFERROR(0/0,""),VLOOKUP(FLOOR($B25,1),'APS Tubes by Date Import'!$B$2:$L96,2,FALSE))</f>
        <v>14</v>
      </c>
      <c r="BN25" s="159" t="str">
        <f>VLOOKUP(FLOOR($B25,1),'APS Tubes by Date Import'!$B25:$L96,11,FALSE)</f>
        <v>#N/A</v>
      </c>
      <c r="BO25" s="159" t="str">
        <f>VLOOKUP(FLOOR($B25,1),'APS Tubes by Date Import'!$B25:$I96,6,FALSE)</f>
        <v>#N/A</v>
      </c>
      <c r="BP25" s="159">
        <f t="shared" si="15"/>
        <v>14</v>
      </c>
      <c r="BQ25" s="177">
        <f t="shared" si="16"/>
        <v>0</v>
      </c>
      <c r="BR25" s="149"/>
      <c r="BS25" s="175" t="b">
        <f t="shared" si="17"/>
        <v>1</v>
      </c>
      <c r="BT25" s="178" t="str">
        <f t="shared" si="18"/>
        <v/>
      </c>
      <c r="BU25" s="179"/>
      <c r="BV25" s="180">
        <f t="shared" si="19"/>
        <v>0</v>
      </c>
      <c r="BW25" s="181"/>
      <c r="BX25" s="181"/>
      <c r="BY25" s="181"/>
      <c r="BZ25" s="181"/>
      <c r="CA25" s="181"/>
      <c r="CB25" s="181"/>
      <c r="CC25" s="181"/>
    </row>
    <row r="26">
      <c r="A26" s="147" t="str">
        <f>CONCATENATE("RUN-",'Process Ref'!$A$1,"_",TEXT(U26,"YYYY-MM-DD"),"_RFR-",TEXT(AR26,"000"),IF(EXACT(W26,"Initial"),"",CONCATENATE("_",W26)))</f>
        <v>RUN-COMB_2022-04-21_RFR-025</v>
      </c>
      <c r="B26" s="148">
        <v>44672.608981481484</v>
      </c>
      <c r="C26" s="149"/>
      <c r="D26" s="149" t="s">
        <v>199</v>
      </c>
      <c r="E26" s="121">
        <v>40.0</v>
      </c>
      <c r="F26" s="149" t="s">
        <v>285</v>
      </c>
      <c r="G26" s="150" t="s">
        <v>286</v>
      </c>
      <c r="H26" s="150"/>
      <c r="I26" s="150" t="s">
        <v>287</v>
      </c>
      <c r="J26" s="121">
        <v>2.0</v>
      </c>
      <c r="K26" s="152"/>
      <c r="L26" s="149"/>
      <c r="M26" s="153"/>
      <c r="N26" s="153"/>
      <c r="O26" s="154"/>
      <c r="P26" s="155" t="b">
        <v>0</v>
      </c>
      <c r="Q26" s="155" t="b">
        <v>0</v>
      </c>
      <c r="R26" s="51"/>
      <c r="S26" s="155" t="b">
        <v>0</v>
      </c>
      <c r="T26" s="156" t="b">
        <v>1</v>
      </c>
      <c r="U26" s="157">
        <v>44672.0</v>
      </c>
      <c r="V26" s="158">
        <v>0.5</v>
      </c>
      <c r="W26" s="149" t="s">
        <v>203</v>
      </c>
      <c r="X26" s="51"/>
      <c r="Y26" s="155" t="b">
        <v>1</v>
      </c>
      <c r="Z26" s="121">
        <v>42.0</v>
      </c>
      <c r="AA26" s="159">
        <f t="shared" si="1"/>
        <v>2</v>
      </c>
      <c r="AB26" s="160" t="b">
        <v>0</v>
      </c>
      <c r="AC26" s="121">
        <v>40.0</v>
      </c>
      <c r="AD26" s="121">
        <v>0.0</v>
      </c>
      <c r="AE26" s="184">
        <v>0.0</v>
      </c>
      <c r="AF26" s="161">
        <v>0.0</v>
      </c>
      <c r="AG26" s="121">
        <v>2.0</v>
      </c>
      <c r="AH26" s="162">
        <v>2.0</v>
      </c>
      <c r="AI26" s="163">
        <v>1.0</v>
      </c>
      <c r="AJ26" s="121" t="b">
        <v>0</v>
      </c>
      <c r="AK26" s="164">
        <v>40.0</v>
      </c>
      <c r="AL26" s="121">
        <v>4.0</v>
      </c>
      <c r="AM26" s="121">
        <v>2.0</v>
      </c>
      <c r="AN26" s="159" t="str">
        <f>IFNA(VLOOKUP($A26,'Tube Reactions'!$J$2:$K96,2,FALSE),"")</f>
        <v/>
      </c>
      <c r="AO26" s="165" t="str">
        <f t="shared" si="2"/>
        <v>NOT EQUAL</v>
      </c>
      <c r="AP26" s="166" t="str">
        <f t="shared" si="3"/>
        <v>Absent</v>
      </c>
      <c r="AQ26" s="167" t="b">
        <f t="shared" si="4"/>
        <v>0</v>
      </c>
      <c r="AR26" s="185">
        <v>25.0</v>
      </c>
      <c r="AS26" s="169"/>
      <c r="AT26" s="149"/>
      <c r="AU26" s="121" t="s">
        <v>204</v>
      </c>
      <c r="AV26" s="170">
        <v>42.0</v>
      </c>
      <c r="AW26" s="121" t="b">
        <v>0</v>
      </c>
      <c r="AX26" s="171"/>
      <c r="AY26" s="159">
        <f t="shared" si="5"/>
        <v>2</v>
      </c>
      <c r="AZ26" s="172"/>
      <c r="BA26" s="173" t="b">
        <v>0</v>
      </c>
      <c r="BB26" s="165" t="str">
        <f t="shared" si="6"/>
        <v/>
      </c>
      <c r="BC26" s="159" t="str">
        <f t="shared" si="7"/>
        <v/>
      </c>
      <c r="BD26" s="159" t="str">
        <f t="shared" si="8"/>
        <v/>
      </c>
      <c r="BE26" s="174"/>
      <c r="BF26" s="175">
        <f t="shared" si="9"/>
        <v>44672</v>
      </c>
      <c r="BG26" s="165" t="str">
        <f t="shared" si="10"/>
        <v>RUN-COMB_2022-04-21_RFR-025</v>
      </c>
      <c r="BH26" s="159">
        <f t="shared" si="11"/>
        <v>40</v>
      </c>
      <c r="BI26" s="159">
        <f t="shared" si="12"/>
        <v>42</v>
      </c>
      <c r="BJ26" s="159">
        <f t="shared" si="13"/>
        <v>40</v>
      </c>
      <c r="BK26" s="159">
        <f t="shared" si="14"/>
        <v>4</v>
      </c>
      <c r="BL26" s="183">
        <f>IFNA(IF(VLOOKUP(FLOOR($B26,1),'APS Tubes by Date Import'!$B$2:$L96,1,FALSE)=FLOOR($BL25,1),IFERROR(0/0,""),VLOOKUP(FLOOR($B26,1),'APS Tubes by Date Import'!$B$2:$L96,1,FALSE)),"")</f>
        <v>44672</v>
      </c>
      <c r="BM26" s="176">
        <f>IF(ISBLANK($BL26),IFERROR(0/0,""),VLOOKUP(FLOOR($B26,1),'APS Tubes by Date Import'!$B$2:$L96,2,FALSE))</f>
        <v>40</v>
      </c>
      <c r="BN26" s="159" t="str">
        <f>VLOOKUP(FLOOR($B26,1),'APS Tubes by Date Import'!$B26:$L96,11,FALSE)</f>
        <v>#N/A</v>
      </c>
      <c r="BO26" s="159" t="str">
        <f>VLOOKUP(FLOOR($B26,1),'APS Tubes by Date Import'!$B26:$I96,6,FALSE)</f>
        <v>#N/A</v>
      </c>
      <c r="BP26" s="159">
        <f t="shared" si="15"/>
        <v>40</v>
      </c>
      <c r="BQ26" s="177">
        <f t="shared" si="16"/>
        <v>0</v>
      </c>
      <c r="BR26" s="149"/>
      <c r="BS26" s="175" t="b">
        <f t="shared" si="17"/>
        <v>1</v>
      </c>
      <c r="BT26" s="178" t="str">
        <f t="shared" si="18"/>
        <v/>
      </c>
      <c r="BU26" s="179"/>
      <c r="BV26" s="180">
        <f t="shared" si="19"/>
        <v>0</v>
      </c>
      <c r="BW26" s="181"/>
      <c r="BX26" s="181"/>
      <c r="BY26" s="181"/>
      <c r="BZ26" s="181"/>
      <c r="CA26" s="181"/>
      <c r="CB26" s="181"/>
      <c r="CC26" s="181"/>
    </row>
    <row r="27">
      <c r="A27" s="147" t="str">
        <f>CONCATENATE("RUN-",'Process Ref'!$A$1,"_",TEXT(U27,"YYYY-MM-DD"),"_RFR-",TEXT(AR27,"000"),IF(EXACT(W27,"Initial"),"",CONCATENATE("_",W27)))</f>
        <v>RUN-COMB_2022-04-21_RFR-026_Re-run</v>
      </c>
      <c r="B27" s="148">
        <v>44672.61074074074</v>
      </c>
      <c r="C27" s="149"/>
      <c r="D27" s="149" t="s">
        <v>199</v>
      </c>
      <c r="E27" s="121">
        <v>2.0</v>
      </c>
      <c r="F27" s="149" t="s">
        <v>288</v>
      </c>
      <c r="G27" s="151" t="s">
        <v>289</v>
      </c>
      <c r="H27" s="151"/>
      <c r="I27" s="151" t="s">
        <v>290</v>
      </c>
      <c r="J27" s="121">
        <v>1.0</v>
      </c>
      <c r="K27" s="182" t="s">
        <v>291</v>
      </c>
      <c r="L27" s="149"/>
      <c r="M27" s="153">
        <v>1.2</v>
      </c>
      <c r="N27" s="153"/>
      <c r="O27" s="154"/>
      <c r="P27" s="155" t="b">
        <v>0</v>
      </c>
      <c r="Q27" s="155" t="b">
        <v>0</v>
      </c>
      <c r="R27" s="51"/>
      <c r="S27" s="155" t="b">
        <v>0</v>
      </c>
      <c r="T27" s="156" t="b">
        <v>1</v>
      </c>
      <c r="U27" s="157">
        <v>44672.0</v>
      </c>
      <c r="V27" s="158">
        <v>0.5208333333333334</v>
      </c>
      <c r="W27" s="149" t="s">
        <v>216</v>
      </c>
      <c r="X27" s="149" t="s">
        <v>292</v>
      </c>
      <c r="Y27" s="155" t="b">
        <v>0</v>
      </c>
      <c r="Z27" s="121">
        <v>8.0</v>
      </c>
      <c r="AA27" s="159">
        <f t="shared" si="1"/>
        <v>6</v>
      </c>
      <c r="AB27" s="160" t="b">
        <v>1</v>
      </c>
      <c r="AC27" s="121">
        <v>6.0</v>
      </c>
      <c r="AD27" s="121">
        <v>0.0</v>
      </c>
      <c r="AE27" s="184">
        <v>0.0</v>
      </c>
      <c r="AF27" s="161">
        <v>0.0</v>
      </c>
      <c r="AG27" s="121">
        <v>3.0</v>
      </c>
      <c r="AH27" s="162">
        <v>1.0</v>
      </c>
      <c r="AI27" s="163">
        <v>1.0</v>
      </c>
      <c r="AJ27" s="121" t="b">
        <v>0</v>
      </c>
      <c r="AK27" s="164">
        <v>2.0</v>
      </c>
      <c r="AL27" s="121">
        <v>4.0</v>
      </c>
      <c r="AM27" s="55" t="str">
        <f>IF(EXACT(W27,"Initial"),"Audit","")</f>
        <v/>
      </c>
      <c r="AN27" s="159" t="str">
        <f>IFNA(VLOOKUP($A27,'Tube Reactions'!$J$2:$K96,2,FALSE),"")</f>
        <v/>
      </c>
      <c r="AO27" s="165" t="str">
        <f t="shared" si="2"/>
        <v/>
      </c>
      <c r="AP27" s="166" t="str">
        <f t="shared" si="3"/>
        <v>Absent</v>
      </c>
      <c r="AQ27" s="167" t="b">
        <f t="shared" si="4"/>
        <v>0</v>
      </c>
      <c r="AR27" s="185">
        <v>26.0</v>
      </c>
      <c r="AS27" s="169"/>
      <c r="AT27" s="149"/>
      <c r="AU27" s="121" t="s">
        <v>204</v>
      </c>
      <c r="AV27" s="170">
        <v>8.0</v>
      </c>
      <c r="AW27" s="121" t="b">
        <v>1</v>
      </c>
      <c r="AX27" s="171"/>
      <c r="AY27" s="159">
        <f t="shared" si="5"/>
        <v>2</v>
      </c>
      <c r="AZ27" s="172"/>
      <c r="BA27" s="173" t="b">
        <v>0</v>
      </c>
      <c r="BB27" s="165" t="str">
        <f t="shared" si="6"/>
        <v/>
      </c>
      <c r="BC27" s="159" t="str">
        <f t="shared" si="7"/>
        <v/>
      </c>
      <c r="BD27" s="159" t="str">
        <f t="shared" si="8"/>
        <v/>
      </c>
      <c r="BE27" s="174"/>
      <c r="BF27" s="175" t="str">
        <f t="shared" si="9"/>
        <v/>
      </c>
      <c r="BG27" s="165" t="str">
        <f t="shared" si="10"/>
        <v/>
      </c>
      <c r="BH27" s="159" t="str">
        <f t="shared" si="11"/>
        <v/>
      </c>
      <c r="BI27" s="159" t="str">
        <f t="shared" si="12"/>
        <v/>
      </c>
      <c r="BJ27" s="159" t="str">
        <f t="shared" si="13"/>
        <v/>
      </c>
      <c r="BK27" s="159" t="str">
        <f t="shared" si="14"/>
        <v/>
      </c>
      <c r="BL27" s="183" t="str">
        <f>IFNA(IF(VLOOKUP(FLOOR($B27,1),'APS Tubes by Date Import'!$B$2:$L96,1,FALSE)=FLOOR($BL26,1),IFERROR(0/0,""),VLOOKUP(FLOOR($B27,1),'APS Tubes by Date Import'!$B$2:$L96,1,FALSE)),"")</f>
        <v/>
      </c>
      <c r="BM27" s="176" t="str">
        <f>IF(ISBLANK($BL27),IFERROR(0/0,""),VLOOKUP(FLOOR($B27,1),'APS Tubes by Date Import'!$B$2:$L96,2,FALSE))</f>
        <v/>
      </c>
      <c r="BN27" s="159" t="str">
        <f>VLOOKUP(FLOOR($B27,1),'APS Tubes by Date Import'!$B27:$L96,11,FALSE)</f>
        <v>#N/A</v>
      </c>
      <c r="BO27" s="159" t="str">
        <f>VLOOKUP(FLOOR($B27,1),'APS Tubes by Date Import'!$B27:$I96,6,FALSE)</f>
        <v>#N/A</v>
      </c>
      <c r="BP27" s="159" t="str">
        <f t="shared" si="15"/>
        <v/>
      </c>
      <c r="BQ27" s="177">
        <f t="shared" si="16"/>
        <v>0</v>
      </c>
      <c r="BR27" s="149"/>
      <c r="BS27" s="175" t="str">
        <f t="shared" si="17"/>
        <v/>
      </c>
      <c r="BT27" s="178" t="str">
        <f t="shared" si="18"/>
        <v/>
      </c>
      <c r="BU27" s="179"/>
      <c r="BV27" s="180" t="str">
        <f t="shared" si="19"/>
        <v/>
      </c>
      <c r="BW27" s="181"/>
      <c r="BX27" s="181"/>
      <c r="BY27" s="181"/>
      <c r="BZ27" s="181"/>
      <c r="CA27" s="181"/>
      <c r="CB27" s="181"/>
      <c r="CC27" s="181"/>
    </row>
    <row r="28">
      <c r="A28" s="147" t="str">
        <f>CONCATENATE("RUN-",'Process Ref'!$A$1,"_",TEXT(U28,"YYYY-MM-DD"),"_RFR-",TEXT(AR28,"000"),IF(EXACT(W28,"Initial"),"",CONCATENATE("_",W28)))</f>
        <v>RUN-COMB_2022-04-22_RFR-027</v>
      </c>
      <c r="B28" s="148">
        <v>44673.37180555556</v>
      </c>
      <c r="C28" s="149"/>
      <c r="D28" s="149" t="s">
        <v>199</v>
      </c>
      <c r="E28" s="121">
        <v>26.0</v>
      </c>
      <c r="F28" s="149" t="s">
        <v>293</v>
      </c>
      <c r="G28" s="151" t="s">
        <v>294</v>
      </c>
      <c r="H28" s="189"/>
      <c r="I28" s="190" t="s">
        <v>295</v>
      </c>
      <c r="J28" s="121">
        <v>0.0</v>
      </c>
      <c r="K28" s="152"/>
      <c r="L28" s="149"/>
      <c r="M28" s="153"/>
      <c r="N28" s="153"/>
      <c r="O28" s="154"/>
      <c r="P28" s="155" t="b">
        <v>0</v>
      </c>
      <c r="Q28" s="155" t="b">
        <v>0</v>
      </c>
      <c r="R28" s="51"/>
      <c r="S28" s="155" t="b">
        <v>0</v>
      </c>
      <c r="T28" s="156" t="b">
        <v>0</v>
      </c>
      <c r="U28" s="157">
        <v>44673.0</v>
      </c>
      <c r="V28" s="158">
        <v>0.46875</v>
      </c>
      <c r="W28" s="149" t="s">
        <v>203</v>
      </c>
      <c r="X28" s="51"/>
      <c r="Y28" s="155" t="b">
        <v>0</v>
      </c>
      <c r="Z28" s="121">
        <v>28.0</v>
      </c>
      <c r="AA28" s="159">
        <f t="shared" si="1"/>
        <v>2</v>
      </c>
      <c r="AB28" s="160" t="b">
        <v>0</v>
      </c>
      <c r="AC28" s="121">
        <v>26.0</v>
      </c>
      <c r="AD28" s="121">
        <v>0.0</v>
      </c>
      <c r="AE28" s="184">
        <v>0.0</v>
      </c>
      <c r="AF28" s="161">
        <v>0.0</v>
      </c>
      <c r="AG28" s="121">
        <v>0.0</v>
      </c>
      <c r="AH28" s="162">
        <v>0.0</v>
      </c>
      <c r="AI28" s="163">
        <v>0.0</v>
      </c>
      <c r="AJ28" s="121" t="b">
        <v>0</v>
      </c>
      <c r="AK28" s="164">
        <v>26.0</v>
      </c>
      <c r="AL28" s="121">
        <v>0.0</v>
      </c>
      <c r="AM28" s="121">
        <v>0.0</v>
      </c>
      <c r="AN28" s="159" t="str">
        <f>IFNA(VLOOKUP($A28,'Tube Reactions'!$J$2:$K96,2,FALSE),"")</f>
        <v/>
      </c>
      <c r="AO28" s="165" t="str">
        <f t="shared" si="2"/>
        <v/>
      </c>
      <c r="AP28" s="166" t="str">
        <f t="shared" si="3"/>
        <v>Absent</v>
      </c>
      <c r="AQ28" s="167" t="b">
        <f t="shared" si="4"/>
        <v>0</v>
      </c>
      <c r="AR28" s="185">
        <v>27.0</v>
      </c>
      <c r="AS28" s="169"/>
      <c r="AT28" s="149"/>
      <c r="AU28" s="121" t="s">
        <v>204</v>
      </c>
      <c r="AV28" s="170">
        <v>28.0</v>
      </c>
      <c r="AW28" s="162" t="b">
        <v>0</v>
      </c>
      <c r="AX28" s="171"/>
      <c r="AY28" s="159">
        <f t="shared" si="5"/>
        <v>2</v>
      </c>
      <c r="AZ28" s="172"/>
      <c r="BA28" s="173" t="b">
        <v>1</v>
      </c>
      <c r="BB28" s="165" t="b">
        <f t="shared" si="6"/>
        <v>1</v>
      </c>
      <c r="BC28" s="159" t="b">
        <f t="shared" si="7"/>
        <v>1</v>
      </c>
      <c r="BD28" s="159">
        <f t="shared" si="8"/>
        <v>26</v>
      </c>
      <c r="BE28" s="174"/>
      <c r="BF28" s="175">
        <f t="shared" si="9"/>
        <v>44673</v>
      </c>
      <c r="BG28" s="165" t="str">
        <f t="shared" si="10"/>
        <v>RUN-COMB_2022-04-22_RFR-027</v>
      </c>
      <c r="BH28" s="159">
        <f t="shared" si="11"/>
        <v>26</v>
      </c>
      <c r="BI28" s="159">
        <f t="shared" si="12"/>
        <v>28</v>
      </c>
      <c r="BJ28" s="159">
        <f t="shared" si="13"/>
        <v>26</v>
      </c>
      <c r="BK28" s="159">
        <f t="shared" si="14"/>
        <v>0</v>
      </c>
      <c r="BL28" s="183">
        <f>IFNA(IF(VLOOKUP(FLOOR($B28,1),'APS Tubes by Date Import'!$B$2:$L96,1,FALSE)=FLOOR($BL27,1),IFERROR(0/0,""),VLOOKUP(FLOOR($B28,1),'APS Tubes by Date Import'!$B$2:$L96,1,FALSE)),"")</f>
        <v>44673</v>
      </c>
      <c r="BM28" s="176">
        <f>IF(ISBLANK($BL28),IFERROR(0/0,""),VLOOKUP(FLOOR($B28,1),'APS Tubes by Date Import'!$B$2:$L96,2,FALSE))</f>
        <v>26</v>
      </c>
      <c r="BN28" s="159" t="str">
        <f>VLOOKUP(FLOOR($B28,1),'APS Tubes by Date Import'!$B28:$L96,11,FALSE)</f>
        <v>#N/A</v>
      </c>
      <c r="BO28" s="159" t="str">
        <f>VLOOKUP(FLOOR($B28,1),'APS Tubes by Date Import'!$B28:$I96,6,FALSE)</f>
        <v>#N/A</v>
      </c>
      <c r="BP28" s="159">
        <f t="shared" si="15"/>
        <v>26</v>
      </c>
      <c r="BQ28" s="177">
        <f t="shared" si="16"/>
        <v>0</v>
      </c>
      <c r="BR28" s="149"/>
      <c r="BS28" s="175" t="b">
        <f t="shared" si="17"/>
        <v>1</v>
      </c>
      <c r="BT28" s="178" t="str">
        <f t="shared" si="18"/>
        <v/>
      </c>
      <c r="BU28" s="179"/>
      <c r="BV28" s="180">
        <f t="shared" si="19"/>
        <v>0</v>
      </c>
      <c r="BW28" s="181"/>
      <c r="BX28" s="181"/>
      <c r="BY28" s="181"/>
      <c r="BZ28" s="181"/>
      <c r="CA28" s="181"/>
      <c r="CB28" s="181"/>
      <c r="CC28" s="181"/>
    </row>
    <row r="29">
      <c r="A29" s="147" t="str">
        <f>CONCATENATE("RUN-",'Process Ref'!$A$1,"_",TEXT(U29,"YYYY-MM-DD"),"_RFR-",TEXT(AR29,"000"),IF(EXACT(W29,"Initial"),"",CONCATENATE("_",W29)))</f>
        <v>RUN-COMB_2022-04-25_RFR-028</v>
      </c>
      <c r="B29" s="148">
        <v>44676.81386574074</v>
      </c>
      <c r="C29" s="149"/>
      <c r="D29" s="149" t="s">
        <v>199</v>
      </c>
      <c r="E29" s="121">
        <v>26.0</v>
      </c>
      <c r="F29" s="149" t="s">
        <v>296</v>
      </c>
      <c r="G29" s="151" t="s">
        <v>297</v>
      </c>
      <c r="H29" s="151"/>
      <c r="I29" s="151" t="s">
        <v>298</v>
      </c>
      <c r="J29" s="121">
        <v>2.0</v>
      </c>
      <c r="K29" s="152"/>
      <c r="L29" s="149"/>
      <c r="M29" s="153"/>
      <c r="N29" s="153">
        <v>2.2</v>
      </c>
      <c r="O29" s="154"/>
      <c r="P29" s="155" t="b">
        <v>1</v>
      </c>
      <c r="Q29" s="155" t="b">
        <v>0</v>
      </c>
      <c r="R29" s="51"/>
      <c r="S29" s="155" t="b">
        <v>0</v>
      </c>
      <c r="T29" s="156" t="b">
        <v>1</v>
      </c>
      <c r="U29" s="157">
        <v>44676.0</v>
      </c>
      <c r="V29" s="158">
        <v>0.8854166666666666</v>
      </c>
      <c r="W29" s="149" t="s">
        <v>203</v>
      </c>
      <c r="X29" s="51"/>
      <c r="Y29" s="155" t="b">
        <v>0</v>
      </c>
      <c r="Z29" s="121">
        <v>28.0</v>
      </c>
      <c r="AA29" s="159">
        <f t="shared" si="1"/>
        <v>2</v>
      </c>
      <c r="AB29" s="160" t="b">
        <v>0</v>
      </c>
      <c r="AC29" s="121">
        <v>26.0</v>
      </c>
      <c r="AD29" s="121">
        <v>1.0</v>
      </c>
      <c r="AE29" s="184">
        <v>1.0</v>
      </c>
      <c r="AF29" s="161">
        <v>0.0</v>
      </c>
      <c r="AG29" s="121">
        <v>1.0</v>
      </c>
      <c r="AH29" s="162">
        <v>1.0</v>
      </c>
      <c r="AI29" s="163">
        <v>1.0</v>
      </c>
      <c r="AJ29" s="121" t="b">
        <v>0</v>
      </c>
      <c r="AK29" s="164">
        <v>26.0</v>
      </c>
      <c r="AL29" s="121">
        <v>4.0</v>
      </c>
      <c r="AM29" s="121">
        <v>2.0</v>
      </c>
      <c r="AN29" s="159" t="str">
        <f>IFNA(VLOOKUP($A29,'Tube Reactions'!$J$2:$K96,2,FALSE),"")</f>
        <v/>
      </c>
      <c r="AO29" s="165" t="str">
        <f t="shared" si="2"/>
        <v>NOT EQUAL</v>
      </c>
      <c r="AP29" s="166" t="str">
        <f t="shared" si="3"/>
        <v>Absent</v>
      </c>
      <c r="AQ29" s="167" t="b">
        <f t="shared" si="4"/>
        <v>0</v>
      </c>
      <c r="AR29" s="185">
        <v>28.0</v>
      </c>
      <c r="AS29" s="169"/>
      <c r="AT29" s="149"/>
      <c r="AU29" s="121" t="s">
        <v>204</v>
      </c>
      <c r="AV29" s="170">
        <v>28.0</v>
      </c>
      <c r="AW29" s="121" t="b">
        <v>0</v>
      </c>
      <c r="AX29" s="171"/>
      <c r="AY29" s="159">
        <f t="shared" si="5"/>
        <v>2</v>
      </c>
      <c r="AZ29" s="172"/>
      <c r="BA29" s="173" t="b">
        <v>0</v>
      </c>
      <c r="BB29" s="165" t="str">
        <f t="shared" si="6"/>
        <v/>
      </c>
      <c r="BC29" s="159" t="str">
        <f t="shared" si="7"/>
        <v/>
      </c>
      <c r="BD29" s="159" t="str">
        <f t="shared" si="8"/>
        <v/>
      </c>
      <c r="BE29" s="174"/>
      <c r="BF29" s="175">
        <f t="shared" si="9"/>
        <v>44676</v>
      </c>
      <c r="BG29" s="165" t="str">
        <f t="shared" si="10"/>
        <v>RUN-COMB_2022-04-25_RFR-028</v>
      </c>
      <c r="BH29" s="159">
        <f t="shared" si="11"/>
        <v>26</v>
      </c>
      <c r="BI29" s="159">
        <f t="shared" si="12"/>
        <v>28</v>
      </c>
      <c r="BJ29" s="159">
        <f t="shared" si="13"/>
        <v>26</v>
      </c>
      <c r="BK29" s="159">
        <f t="shared" si="14"/>
        <v>4</v>
      </c>
      <c r="BL29" s="183">
        <f>IFNA(IF(VLOOKUP(FLOOR($B29,1),'APS Tubes by Date Import'!$B$2:$L96,1,FALSE)=FLOOR($BL28,1),IFERROR(0/0,""),VLOOKUP(FLOOR($B29,1),'APS Tubes by Date Import'!$B$2:$L96,1,FALSE)),"")</f>
        <v>44676</v>
      </c>
      <c r="BM29" s="176">
        <f>IF(ISBLANK($BL29),IFERROR(0/0,""),VLOOKUP(FLOOR($B29,1),'APS Tubes by Date Import'!$B$2:$L96,2,FALSE))</f>
        <v>26</v>
      </c>
      <c r="BN29" s="159" t="str">
        <f>VLOOKUP(FLOOR($B29,1),'APS Tubes by Date Import'!$B29:$L96,11,FALSE)</f>
        <v>#N/A</v>
      </c>
      <c r="BO29" s="159" t="str">
        <f>VLOOKUP(FLOOR($B29,1),'APS Tubes by Date Import'!$B29:$I96,6,FALSE)</f>
        <v>#N/A</v>
      </c>
      <c r="BP29" s="159">
        <f t="shared" si="15"/>
        <v>26</v>
      </c>
      <c r="BQ29" s="177">
        <f t="shared" si="16"/>
        <v>0</v>
      </c>
      <c r="BR29" s="149"/>
      <c r="BS29" s="175" t="b">
        <f t="shared" si="17"/>
        <v>1</v>
      </c>
      <c r="BT29" s="178" t="str">
        <f t="shared" si="18"/>
        <v/>
      </c>
      <c r="BU29" s="179"/>
      <c r="BV29" s="180">
        <f t="shared" si="19"/>
        <v>0</v>
      </c>
      <c r="BW29" s="181"/>
      <c r="BX29" s="181"/>
      <c r="BY29" s="181"/>
      <c r="BZ29" s="181"/>
      <c r="CA29" s="181"/>
      <c r="CB29" s="181"/>
      <c r="CC29" s="181"/>
    </row>
    <row r="30">
      <c r="A30" s="147" t="str">
        <f>CONCATENATE("RUN-",'Process Ref'!$A$1,"_",TEXT(U30,"YYYY-MM-DD"),"_RFR-",TEXT(AR30,"000"),IF(EXACT(W30,"Initial"),"",CONCATENATE("_",W30)))</f>
        <v>RUN-COMB_2022-04-25_RFR-029_Re-run</v>
      </c>
      <c r="B30" s="148">
        <v>44676.85018518518</v>
      </c>
      <c r="C30" s="149"/>
      <c r="D30" s="149" t="s">
        <v>199</v>
      </c>
      <c r="E30" s="121">
        <v>2.0</v>
      </c>
      <c r="F30" s="149" t="s">
        <v>299</v>
      </c>
      <c r="G30" s="151" t="s">
        <v>300</v>
      </c>
      <c r="H30" s="189"/>
      <c r="I30" s="190" t="s">
        <v>301</v>
      </c>
      <c r="J30" s="121">
        <v>1.0</v>
      </c>
      <c r="K30" s="152"/>
      <c r="L30" s="149"/>
      <c r="M30" s="153"/>
      <c r="N30" s="153"/>
      <c r="O30" s="154"/>
      <c r="P30" s="155" t="b">
        <v>0</v>
      </c>
      <c r="Q30" s="155" t="b">
        <v>0</v>
      </c>
      <c r="R30" s="51"/>
      <c r="S30" s="155" t="b">
        <v>0</v>
      </c>
      <c r="T30" s="156" t="b">
        <v>1</v>
      </c>
      <c r="U30" s="157">
        <v>44676.0</v>
      </c>
      <c r="V30" s="158">
        <v>0.9097222222222222</v>
      </c>
      <c r="W30" s="149" t="s">
        <v>216</v>
      </c>
      <c r="X30" s="149" t="s">
        <v>302</v>
      </c>
      <c r="Y30" s="155" t="b">
        <v>0</v>
      </c>
      <c r="Z30" s="121">
        <v>8.0</v>
      </c>
      <c r="AA30" s="159">
        <f t="shared" si="1"/>
        <v>6</v>
      </c>
      <c r="AB30" s="160" t="b">
        <v>1</v>
      </c>
      <c r="AC30" s="121">
        <v>6.0</v>
      </c>
      <c r="AD30" s="121">
        <v>0.0</v>
      </c>
      <c r="AE30" s="184">
        <v>0.0</v>
      </c>
      <c r="AF30" s="161">
        <v>0.0</v>
      </c>
      <c r="AG30" s="121">
        <v>3.0</v>
      </c>
      <c r="AH30" s="162">
        <v>1.0</v>
      </c>
      <c r="AI30" s="163">
        <v>1.0</v>
      </c>
      <c r="AJ30" s="121" t="b">
        <v>0</v>
      </c>
      <c r="AK30" s="164">
        <v>2.0</v>
      </c>
      <c r="AL30" s="121">
        <v>4.0</v>
      </c>
      <c r="AM30" s="55" t="str">
        <f>IF(EXACT(W30,"Initial"),"Audit","")</f>
        <v/>
      </c>
      <c r="AN30" s="159" t="str">
        <f>IFNA(VLOOKUP($A30,'Tube Reactions'!$J$2:$K96,2,FALSE),"")</f>
        <v/>
      </c>
      <c r="AO30" s="165" t="str">
        <f t="shared" si="2"/>
        <v/>
      </c>
      <c r="AP30" s="166" t="str">
        <f t="shared" si="3"/>
        <v>Absent</v>
      </c>
      <c r="AQ30" s="167" t="b">
        <f t="shared" si="4"/>
        <v>0</v>
      </c>
      <c r="AR30" s="185">
        <v>29.0</v>
      </c>
      <c r="AS30" s="169"/>
      <c r="AT30" s="149"/>
      <c r="AU30" s="121" t="s">
        <v>204</v>
      </c>
      <c r="AV30" s="170">
        <v>8.0</v>
      </c>
      <c r="AW30" s="162" t="b">
        <v>1</v>
      </c>
      <c r="AX30" s="171"/>
      <c r="AY30" s="159">
        <f t="shared" si="5"/>
        <v>2</v>
      </c>
      <c r="AZ30" s="172"/>
      <c r="BA30" s="173" t="b">
        <v>0</v>
      </c>
      <c r="BB30" s="165" t="str">
        <f t="shared" si="6"/>
        <v/>
      </c>
      <c r="BC30" s="159" t="str">
        <f t="shared" si="7"/>
        <v/>
      </c>
      <c r="BD30" s="159" t="str">
        <f t="shared" si="8"/>
        <v/>
      </c>
      <c r="BE30" s="174"/>
      <c r="BF30" s="175" t="str">
        <f t="shared" si="9"/>
        <v/>
      </c>
      <c r="BG30" s="165" t="str">
        <f t="shared" si="10"/>
        <v/>
      </c>
      <c r="BH30" s="159" t="str">
        <f t="shared" si="11"/>
        <v/>
      </c>
      <c r="BI30" s="159" t="str">
        <f t="shared" si="12"/>
        <v/>
      </c>
      <c r="BJ30" s="159" t="str">
        <f t="shared" si="13"/>
        <v/>
      </c>
      <c r="BK30" s="159" t="str">
        <f t="shared" si="14"/>
        <v/>
      </c>
      <c r="BL30" s="183" t="str">
        <f>IFNA(IF(VLOOKUP(FLOOR($B30,1),'APS Tubes by Date Import'!$B$2:$L96,1,FALSE)=FLOOR($BL29,1),IFERROR(0/0,""),VLOOKUP(FLOOR($B30,1),'APS Tubes by Date Import'!$B$2:$L96,1,FALSE)),"")</f>
        <v/>
      </c>
      <c r="BM30" s="176" t="str">
        <f>IF(ISBLANK($BL30),IFERROR(0/0,""),VLOOKUP(FLOOR($B30,1),'APS Tubes by Date Import'!$B$2:$L96,2,FALSE))</f>
        <v/>
      </c>
      <c r="BN30" s="159" t="str">
        <f>VLOOKUP(FLOOR($B30,1),'APS Tubes by Date Import'!$B30:$L96,11,FALSE)</f>
        <v>#N/A</v>
      </c>
      <c r="BO30" s="159" t="str">
        <f>VLOOKUP(FLOOR($B30,1),'APS Tubes by Date Import'!$B30:$I96,6,FALSE)</f>
        <v>#N/A</v>
      </c>
      <c r="BP30" s="159" t="str">
        <f t="shared" si="15"/>
        <v/>
      </c>
      <c r="BQ30" s="177">
        <f t="shared" si="16"/>
        <v>0</v>
      </c>
      <c r="BR30" s="149"/>
      <c r="BS30" s="175" t="str">
        <f t="shared" si="17"/>
        <v/>
      </c>
      <c r="BT30" s="178" t="str">
        <f t="shared" si="18"/>
        <v/>
      </c>
      <c r="BU30" s="179"/>
      <c r="BV30" s="180" t="str">
        <f t="shared" si="19"/>
        <v/>
      </c>
      <c r="BW30" s="181"/>
      <c r="BX30" s="181"/>
      <c r="BY30" s="181"/>
      <c r="BZ30" s="181"/>
      <c r="CA30" s="181"/>
      <c r="CB30" s="181"/>
      <c r="CC30" s="181"/>
    </row>
    <row r="31">
      <c r="A31" s="147" t="str">
        <f>CONCATENATE("RUN-",'Process Ref'!$A$1,"_",TEXT(U31,"YYYY-MM-DD"),"_RFR-",TEXT(AR31,"000"),IF(EXACT(W31,"Initial"),"",CONCATENATE("_",W31)))</f>
        <v>RUN-COMB_2022-04-26_RFR-030</v>
      </c>
      <c r="B31" s="148">
        <v>44677.34166666667</v>
      </c>
      <c r="C31" s="149"/>
      <c r="D31" s="149" t="s">
        <v>199</v>
      </c>
      <c r="E31" s="121">
        <v>13.0</v>
      </c>
      <c r="F31" s="149" t="s">
        <v>303</v>
      </c>
      <c r="G31" s="151" t="s">
        <v>304</v>
      </c>
      <c r="H31" s="151"/>
      <c r="I31" s="151" t="s">
        <v>305</v>
      </c>
      <c r="J31" s="121">
        <v>0.0</v>
      </c>
      <c r="K31" s="152"/>
      <c r="L31" s="149"/>
      <c r="M31" s="153"/>
      <c r="N31" s="153"/>
      <c r="O31" s="154"/>
      <c r="P31" s="155" t="b">
        <v>0</v>
      </c>
      <c r="Q31" s="155" t="b">
        <v>0</v>
      </c>
      <c r="R31" s="51"/>
      <c r="S31" s="155" t="b">
        <v>0</v>
      </c>
      <c r="T31" s="156" t="b">
        <v>0</v>
      </c>
      <c r="U31" s="157">
        <v>44677.0</v>
      </c>
      <c r="V31" s="158">
        <v>0.4166666666666667</v>
      </c>
      <c r="W31" s="149" t="s">
        <v>203</v>
      </c>
      <c r="X31" s="51"/>
      <c r="Y31" s="155" t="b">
        <v>0</v>
      </c>
      <c r="Z31" s="121">
        <v>15.0</v>
      </c>
      <c r="AA31" s="159">
        <f t="shared" si="1"/>
        <v>2</v>
      </c>
      <c r="AB31" s="160" t="b">
        <v>0</v>
      </c>
      <c r="AC31" s="121">
        <v>13.0</v>
      </c>
      <c r="AD31" s="121">
        <v>0.0</v>
      </c>
      <c r="AE31" s="184">
        <v>0.0</v>
      </c>
      <c r="AF31" s="161">
        <v>0.0</v>
      </c>
      <c r="AG31" s="121">
        <v>0.0</v>
      </c>
      <c r="AH31" s="162">
        <v>0.0</v>
      </c>
      <c r="AI31" s="163">
        <v>0.0</v>
      </c>
      <c r="AJ31" s="121" t="b">
        <v>0</v>
      </c>
      <c r="AK31" s="164">
        <v>13.0</v>
      </c>
      <c r="AL31" s="121">
        <v>0.0</v>
      </c>
      <c r="AM31" s="121">
        <v>0.0</v>
      </c>
      <c r="AN31" s="159" t="str">
        <f>IFNA(VLOOKUP($A31,'Tube Reactions'!$J$2:$K96,2,FALSE),"")</f>
        <v/>
      </c>
      <c r="AO31" s="165" t="str">
        <f t="shared" si="2"/>
        <v/>
      </c>
      <c r="AP31" s="166" t="str">
        <f t="shared" si="3"/>
        <v>Absent</v>
      </c>
      <c r="AQ31" s="167" t="b">
        <f t="shared" si="4"/>
        <v>0</v>
      </c>
      <c r="AR31" s="185">
        <v>30.0</v>
      </c>
      <c r="AS31" s="169"/>
      <c r="AT31" s="149"/>
      <c r="AU31" s="121" t="s">
        <v>204</v>
      </c>
      <c r="AV31" s="170">
        <v>15.0</v>
      </c>
      <c r="AW31" s="121" t="b">
        <v>1</v>
      </c>
      <c r="AX31" s="171"/>
      <c r="AY31" s="159">
        <f t="shared" si="5"/>
        <v>2</v>
      </c>
      <c r="AZ31" s="172"/>
      <c r="BA31" s="173" t="b">
        <v>1</v>
      </c>
      <c r="BB31" s="165" t="b">
        <f t="shared" si="6"/>
        <v>1</v>
      </c>
      <c r="BC31" s="159" t="b">
        <f t="shared" si="7"/>
        <v>1</v>
      </c>
      <c r="BD31" s="159">
        <f t="shared" si="8"/>
        <v>13</v>
      </c>
      <c r="BE31" s="174"/>
      <c r="BF31" s="175">
        <f t="shared" si="9"/>
        <v>44677</v>
      </c>
      <c r="BG31" s="165" t="str">
        <f t="shared" si="10"/>
        <v>RUN-COMB_2022-04-26_RFR-030</v>
      </c>
      <c r="BH31" s="159">
        <f t="shared" si="11"/>
        <v>13</v>
      </c>
      <c r="BI31" s="159">
        <f t="shared" si="12"/>
        <v>15</v>
      </c>
      <c r="BJ31" s="159">
        <f t="shared" si="13"/>
        <v>13</v>
      </c>
      <c r="BK31" s="159">
        <f t="shared" si="14"/>
        <v>0</v>
      </c>
      <c r="BL31" s="183">
        <f>IFNA(IF(VLOOKUP(FLOOR($B31,1),'APS Tubes by Date Import'!$B$2:$L96,1,FALSE)=FLOOR($BL30,1),IFERROR(0/0,""),VLOOKUP(FLOOR($B31,1),'APS Tubes by Date Import'!$B$2:$L96,1,FALSE)),"")</f>
        <v>44677</v>
      </c>
      <c r="BM31" s="176">
        <f>IF(ISBLANK($BL31),IFERROR(0/0,""),VLOOKUP(FLOOR($B31,1),'APS Tubes by Date Import'!$B$2:$L96,2,FALSE))</f>
        <v>13</v>
      </c>
      <c r="BN31" s="159" t="str">
        <f>VLOOKUP(FLOOR($B31,1),'APS Tubes by Date Import'!$B31:$L96,11,FALSE)</f>
        <v>#N/A</v>
      </c>
      <c r="BO31" s="159" t="str">
        <f>VLOOKUP(FLOOR($B31,1),'APS Tubes by Date Import'!$B31:$I96,6,FALSE)</f>
        <v>#N/A</v>
      </c>
      <c r="BP31" s="159">
        <f t="shared" si="15"/>
        <v>13</v>
      </c>
      <c r="BQ31" s="177">
        <f t="shared" si="16"/>
        <v>0</v>
      </c>
      <c r="BR31" s="149"/>
      <c r="BS31" s="175" t="b">
        <f t="shared" si="17"/>
        <v>1</v>
      </c>
      <c r="BT31" s="178" t="str">
        <f t="shared" si="18"/>
        <v/>
      </c>
      <c r="BU31" s="179"/>
      <c r="BV31" s="180">
        <f t="shared" si="19"/>
        <v>0</v>
      </c>
      <c r="BW31" s="181"/>
      <c r="BX31" s="181"/>
      <c r="BY31" s="181"/>
      <c r="BZ31" s="181"/>
      <c r="CA31" s="181"/>
      <c r="CB31" s="181"/>
      <c r="CC31" s="181"/>
    </row>
    <row r="32">
      <c r="A32" s="147" t="str">
        <f>CONCATENATE("RUN-",'Process Ref'!$A$1,"_",TEXT(U32,"YYYY-MM-DD"),"_RFR-",TEXT(AR32,"000"),IF(EXACT(W32,"Initial"),"",CONCATENATE("_",W32)))</f>
        <v>RUN-COMB_2022-04-27_RFR-031</v>
      </c>
      <c r="B32" s="148">
        <v>44678.34847222222</v>
      </c>
      <c r="C32" s="149"/>
      <c r="D32" s="149" t="s">
        <v>199</v>
      </c>
      <c r="E32" s="121">
        <v>15.0</v>
      </c>
      <c r="F32" s="149" t="s">
        <v>306</v>
      </c>
      <c r="G32" s="151" t="s">
        <v>307</v>
      </c>
      <c r="H32" s="189"/>
      <c r="I32" s="190" t="s">
        <v>308</v>
      </c>
      <c r="J32" s="55"/>
      <c r="K32" s="152"/>
      <c r="L32" s="149"/>
      <c r="M32" s="153"/>
      <c r="N32" s="153"/>
      <c r="O32" s="154"/>
      <c r="P32" s="155" t="b">
        <v>0</v>
      </c>
      <c r="Q32" s="155" t="b">
        <v>0</v>
      </c>
      <c r="R32" s="51"/>
      <c r="S32" s="155" t="b">
        <v>0</v>
      </c>
      <c r="T32" s="156" t="b">
        <v>0</v>
      </c>
      <c r="U32" s="157">
        <v>44678.0</v>
      </c>
      <c r="V32" s="158">
        <v>0.4479166666666667</v>
      </c>
      <c r="W32" s="149" t="s">
        <v>203</v>
      </c>
      <c r="X32" s="51"/>
      <c r="Y32" s="155" t="b">
        <v>0</v>
      </c>
      <c r="Z32" s="121">
        <v>17.0</v>
      </c>
      <c r="AA32" s="159">
        <f t="shared" si="1"/>
        <v>2</v>
      </c>
      <c r="AB32" s="160" t="b">
        <v>0</v>
      </c>
      <c r="AC32" s="121">
        <v>15.0</v>
      </c>
      <c r="AD32" s="121">
        <v>0.0</v>
      </c>
      <c r="AE32" s="184">
        <v>0.0</v>
      </c>
      <c r="AF32" s="161">
        <v>0.0</v>
      </c>
      <c r="AG32" s="121">
        <v>0.0</v>
      </c>
      <c r="AH32" s="162">
        <v>0.0</v>
      </c>
      <c r="AI32" s="163">
        <v>0.0</v>
      </c>
      <c r="AJ32" s="121" t="b">
        <v>0</v>
      </c>
      <c r="AK32" s="164">
        <v>15.0</v>
      </c>
      <c r="AL32" s="121">
        <v>0.0</v>
      </c>
      <c r="AM32" s="121">
        <v>0.0</v>
      </c>
      <c r="AN32" s="159" t="str">
        <f>IFNA(VLOOKUP($A32,'Tube Reactions'!$J$2:$K96,2,FALSE),"")</f>
        <v/>
      </c>
      <c r="AO32" s="165" t="str">
        <f t="shared" si="2"/>
        <v/>
      </c>
      <c r="AP32" s="166" t="str">
        <f t="shared" si="3"/>
        <v>Absent</v>
      </c>
      <c r="AQ32" s="167" t="b">
        <f t="shared" si="4"/>
        <v>0</v>
      </c>
      <c r="AR32" s="185">
        <v>31.0</v>
      </c>
      <c r="AS32" s="169"/>
      <c r="AT32" s="149"/>
      <c r="AU32" s="121" t="s">
        <v>204</v>
      </c>
      <c r="AV32" s="170">
        <v>17.0</v>
      </c>
      <c r="AW32" s="162" t="b">
        <v>0</v>
      </c>
      <c r="AX32" s="171"/>
      <c r="AY32" s="159">
        <f t="shared" si="5"/>
        <v>2</v>
      </c>
      <c r="AZ32" s="172"/>
      <c r="BA32" s="173" t="b">
        <v>1</v>
      </c>
      <c r="BB32" s="165" t="b">
        <f t="shared" si="6"/>
        <v>1</v>
      </c>
      <c r="BC32" s="159" t="b">
        <f t="shared" si="7"/>
        <v>1</v>
      </c>
      <c r="BD32" s="159">
        <f t="shared" si="8"/>
        <v>15</v>
      </c>
      <c r="BE32" s="174"/>
      <c r="BF32" s="175">
        <f t="shared" si="9"/>
        <v>44678</v>
      </c>
      <c r="BG32" s="165" t="str">
        <f t="shared" si="10"/>
        <v>RUN-COMB_2022-04-27_RFR-031</v>
      </c>
      <c r="BH32" s="159">
        <f t="shared" si="11"/>
        <v>15</v>
      </c>
      <c r="BI32" s="159">
        <f t="shared" si="12"/>
        <v>17</v>
      </c>
      <c r="BJ32" s="159">
        <f t="shared" si="13"/>
        <v>15</v>
      </c>
      <c r="BK32" s="159">
        <f t="shared" si="14"/>
        <v>0</v>
      </c>
      <c r="BL32" s="183">
        <f>IFNA(IF(VLOOKUP(FLOOR($B32,1),'APS Tubes by Date Import'!$B$2:$L96,1,FALSE)=FLOOR($BL31,1),IFERROR(0/0,""),VLOOKUP(FLOOR($B32,1),'APS Tubes by Date Import'!$B$2:$L96,1,FALSE)),"")</f>
        <v>44678</v>
      </c>
      <c r="BM32" s="176">
        <f>IF(ISBLANK($BL32),IFERROR(0/0,""),VLOOKUP(FLOOR($B32,1),'APS Tubes by Date Import'!$B$2:$L96,2,FALSE))</f>
        <v>15</v>
      </c>
      <c r="BN32" s="159" t="str">
        <f>VLOOKUP(FLOOR($B32,1),'APS Tubes by Date Import'!$B32:$L96,11,FALSE)</f>
        <v>#N/A</v>
      </c>
      <c r="BO32" s="159" t="str">
        <f>VLOOKUP(FLOOR($B32,1),'APS Tubes by Date Import'!$B32:$I96,6,FALSE)</f>
        <v>#N/A</v>
      </c>
      <c r="BP32" s="159">
        <f t="shared" si="15"/>
        <v>15</v>
      </c>
      <c r="BQ32" s="177">
        <f t="shared" si="16"/>
        <v>0</v>
      </c>
      <c r="BR32" s="149"/>
      <c r="BS32" s="175" t="b">
        <f t="shared" si="17"/>
        <v>1</v>
      </c>
      <c r="BT32" s="178" t="str">
        <f t="shared" si="18"/>
        <v/>
      </c>
      <c r="BU32" s="179"/>
      <c r="BV32" s="180">
        <f t="shared" si="19"/>
        <v>0</v>
      </c>
      <c r="BW32" s="181"/>
      <c r="BX32" s="181"/>
      <c r="BY32" s="181"/>
      <c r="BZ32" s="181"/>
      <c r="CA32" s="181"/>
      <c r="CB32" s="181"/>
      <c r="CC32" s="181"/>
    </row>
    <row r="33">
      <c r="A33" s="147" t="str">
        <f>CONCATENATE("RUN-",'Process Ref'!$A$1,"_",TEXT(U33,"YYYY-MM-DD"),"_RFR-",TEXT(AR33,"000"),IF(EXACT(W33,"Initial"),"",CONCATENATE("_",W33)))</f>
        <v>RUN-COMB_2022-04-28_RFR-032</v>
      </c>
      <c r="B33" s="148">
        <v>44679.38642361111</v>
      </c>
      <c r="C33" s="149"/>
      <c r="D33" s="149" t="s">
        <v>199</v>
      </c>
      <c r="E33" s="121">
        <v>33.0</v>
      </c>
      <c r="F33" s="149" t="s">
        <v>309</v>
      </c>
      <c r="G33" s="150" t="s">
        <v>310</v>
      </c>
      <c r="H33" s="150"/>
      <c r="I33" s="150" t="s">
        <v>311</v>
      </c>
      <c r="J33" s="121">
        <v>2.0</v>
      </c>
      <c r="K33" s="152"/>
      <c r="L33" s="149"/>
      <c r="M33" s="153"/>
      <c r="N33" s="153">
        <v>2.1</v>
      </c>
      <c r="O33" s="154"/>
      <c r="P33" s="155" t="b">
        <v>1</v>
      </c>
      <c r="Q33" s="155" t="b">
        <v>0</v>
      </c>
      <c r="R33" s="51"/>
      <c r="S33" s="155" t="b">
        <v>0</v>
      </c>
      <c r="T33" s="156" t="b">
        <v>1</v>
      </c>
      <c r="U33" s="157">
        <v>44679.0</v>
      </c>
      <c r="V33" s="158">
        <v>0.4583333333333333</v>
      </c>
      <c r="W33" s="149" t="s">
        <v>203</v>
      </c>
      <c r="X33" s="51"/>
      <c r="Y33" s="155" t="b">
        <v>0</v>
      </c>
      <c r="Z33" s="121">
        <v>35.0</v>
      </c>
      <c r="AA33" s="159">
        <f t="shared" si="1"/>
        <v>2</v>
      </c>
      <c r="AB33" s="160" t="b">
        <v>0</v>
      </c>
      <c r="AC33" s="121">
        <v>33.0</v>
      </c>
      <c r="AD33" s="121">
        <v>1.0</v>
      </c>
      <c r="AE33" s="184">
        <v>1.0</v>
      </c>
      <c r="AF33" s="161">
        <v>0.0</v>
      </c>
      <c r="AG33" s="121">
        <v>0.0</v>
      </c>
      <c r="AH33" s="162">
        <v>0.0</v>
      </c>
      <c r="AI33" s="163">
        <v>0.0</v>
      </c>
      <c r="AJ33" s="121" t="b">
        <v>0</v>
      </c>
      <c r="AK33" s="164">
        <v>33.0</v>
      </c>
      <c r="AL33" s="121">
        <v>1.0</v>
      </c>
      <c r="AM33" s="121">
        <v>2.0</v>
      </c>
      <c r="AN33" s="159" t="str">
        <f>IFNA(VLOOKUP($A33,'Tube Reactions'!$J$2:$K96,2,FALSE),"")</f>
        <v/>
      </c>
      <c r="AO33" s="165" t="str">
        <f t="shared" si="2"/>
        <v>NOT EQUAL</v>
      </c>
      <c r="AP33" s="166" t="str">
        <f t="shared" si="3"/>
        <v>Absent</v>
      </c>
      <c r="AQ33" s="167" t="b">
        <f t="shared" si="4"/>
        <v>0</v>
      </c>
      <c r="AR33" s="185">
        <v>32.0</v>
      </c>
      <c r="AS33" s="169"/>
      <c r="AT33" s="149"/>
      <c r="AU33" s="121" t="s">
        <v>204</v>
      </c>
      <c r="AV33" s="170">
        <v>35.0</v>
      </c>
      <c r="AW33" s="121" t="b">
        <v>0</v>
      </c>
      <c r="AX33" s="171"/>
      <c r="AY33" s="159">
        <f t="shared" si="5"/>
        <v>2</v>
      </c>
      <c r="AZ33" s="172"/>
      <c r="BA33" s="173" t="b">
        <v>0</v>
      </c>
      <c r="BB33" s="165" t="str">
        <f t="shared" si="6"/>
        <v/>
      </c>
      <c r="BC33" s="159" t="str">
        <f t="shared" si="7"/>
        <v/>
      </c>
      <c r="BD33" s="159" t="str">
        <f t="shared" si="8"/>
        <v/>
      </c>
      <c r="BE33" s="174"/>
      <c r="BF33" s="175">
        <f t="shared" si="9"/>
        <v>44679</v>
      </c>
      <c r="BG33" s="165" t="str">
        <f t="shared" si="10"/>
        <v>RUN-COMB_2022-04-28_RFR-032</v>
      </c>
      <c r="BH33" s="159">
        <f t="shared" si="11"/>
        <v>33</v>
      </c>
      <c r="BI33" s="159">
        <f t="shared" si="12"/>
        <v>35</v>
      </c>
      <c r="BJ33" s="159">
        <f t="shared" si="13"/>
        <v>33</v>
      </c>
      <c r="BK33" s="159">
        <f t="shared" si="14"/>
        <v>1</v>
      </c>
      <c r="BL33" s="183">
        <f>IFNA(IF(VLOOKUP(FLOOR($B33,1),'APS Tubes by Date Import'!$B$2:$L96,1,FALSE)=FLOOR($BL32,1),IFERROR(0/0,""),VLOOKUP(FLOOR($B33,1),'APS Tubes by Date Import'!$B$2:$L96,1,FALSE)),"")</f>
        <v>44679</v>
      </c>
      <c r="BM33" s="176">
        <f>IF(ISBLANK($BL33),IFERROR(0/0,""),VLOOKUP(FLOOR($B33,1),'APS Tubes by Date Import'!$B$2:$L96,2,FALSE))</f>
        <v>33</v>
      </c>
      <c r="BN33" s="159" t="str">
        <f>VLOOKUP(FLOOR($B33,1),'APS Tubes by Date Import'!$B33:$L96,11,FALSE)</f>
        <v>#N/A</v>
      </c>
      <c r="BO33" s="159" t="str">
        <f>VLOOKUP(FLOOR($B33,1),'APS Tubes by Date Import'!$B33:$I96,6,FALSE)</f>
        <v>#N/A</v>
      </c>
      <c r="BP33" s="159">
        <f t="shared" si="15"/>
        <v>33</v>
      </c>
      <c r="BQ33" s="177">
        <f t="shared" si="16"/>
        <v>0</v>
      </c>
      <c r="BR33" s="149"/>
      <c r="BS33" s="175" t="b">
        <f t="shared" si="17"/>
        <v>1</v>
      </c>
      <c r="BT33" s="178" t="str">
        <f t="shared" si="18"/>
        <v/>
      </c>
      <c r="BU33" s="179"/>
      <c r="BV33" s="180">
        <f t="shared" si="19"/>
        <v>0</v>
      </c>
      <c r="BW33" s="181"/>
      <c r="BX33" s="181"/>
      <c r="BY33" s="181"/>
      <c r="BZ33" s="181"/>
      <c r="CA33" s="181"/>
      <c r="CB33" s="181"/>
      <c r="CC33" s="181"/>
    </row>
    <row r="34">
      <c r="A34" s="147" t="str">
        <f>CONCATENATE("RUN-",'Process Ref'!$A$1,"_",TEXT(U34,"YYYY-MM-DD"),"_RFR-",TEXT(AR34,"000"),IF(EXACT(W34,"Initial"),"",CONCATENATE("_",W34)))</f>
        <v>RUN-COMB_2022-04-28_RFR-033_Re-run</v>
      </c>
      <c r="B34" s="148">
        <v>44679.39148148148</v>
      </c>
      <c r="C34" s="149"/>
      <c r="D34" s="149" t="s">
        <v>199</v>
      </c>
      <c r="E34" s="121">
        <v>2.0</v>
      </c>
      <c r="F34" s="149" t="s">
        <v>312</v>
      </c>
      <c r="G34" s="150" t="s">
        <v>313</v>
      </c>
      <c r="H34" s="150"/>
      <c r="I34" s="150" t="s">
        <v>314</v>
      </c>
      <c r="J34" s="121">
        <v>0.0</v>
      </c>
      <c r="K34" s="152"/>
      <c r="L34" s="149"/>
      <c r="M34" s="153">
        <v>1.2</v>
      </c>
      <c r="N34" s="153"/>
      <c r="O34" s="154"/>
      <c r="P34" s="155" t="b">
        <v>0</v>
      </c>
      <c r="Q34" s="155" t="b">
        <v>0</v>
      </c>
      <c r="R34" s="51"/>
      <c r="S34" s="155" t="b">
        <v>0</v>
      </c>
      <c r="T34" s="156" t="b">
        <v>1</v>
      </c>
      <c r="U34" s="157">
        <v>44679.0</v>
      </c>
      <c r="V34" s="158">
        <v>0.4895833333333333</v>
      </c>
      <c r="W34" s="149" t="s">
        <v>216</v>
      </c>
      <c r="X34" s="149" t="s">
        <v>315</v>
      </c>
      <c r="Y34" s="155" t="b">
        <v>0</v>
      </c>
      <c r="Z34" s="121">
        <v>8.0</v>
      </c>
      <c r="AA34" s="159">
        <f t="shared" si="1"/>
        <v>6</v>
      </c>
      <c r="AB34" s="160" t="b">
        <v>1</v>
      </c>
      <c r="AC34" s="121">
        <v>6.0</v>
      </c>
      <c r="AD34" s="121">
        <v>0.0</v>
      </c>
      <c r="AE34" s="184">
        <v>0.0</v>
      </c>
      <c r="AF34" s="161">
        <v>0.0</v>
      </c>
      <c r="AG34" s="121">
        <v>0.0</v>
      </c>
      <c r="AH34" s="162">
        <v>0.0</v>
      </c>
      <c r="AI34" s="163">
        <v>0.0</v>
      </c>
      <c r="AJ34" s="121" t="b">
        <v>0</v>
      </c>
      <c r="AK34" s="164">
        <v>2.0</v>
      </c>
      <c r="AL34" s="121">
        <v>0.0</v>
      </c>
      <c r="AM34" s="55" t="str">
        <f>IF(EXACT(W34,"Initial"),"Audit","")</f>
        <v/>
      </c>
      <c r="AN34" s="159" t="str">
        <f>IFNA(VLOOKUP($A34,'Tube Reactions'!$J$2:$K96,2,FALSE),"")</f>
        <v/>
      </c>
      <c r="AO34" s="165" t="str">
        <f t="shared" si="2"/>
        <v/>
      </c>
      <c r="AP34" s="166" t="str">
        <f t="shared" si="3"/>
        <v>Absent</v>
      </c>
      <c r="AQ34" s="167" t="b">
        <f t="shared" si="4"/>
        <v>0</v>
      </c>
      <c r="AR34" s="185">
        <v>33.0</v>
      </c>
      <c r="AS34" s="169"/>
      <c r="AT34" s="149"/>
      <c r="AU34" s="121" t="s">
        <v>204</v>
      </c>
      <c r="AV34" s="170">
        <v>8.0</v>
      </c>
      <c r="AW34" s="121" t="b">
        <v>0</v>
      </c>
      <c r="AX34" s="171"/>
      <c r="AY34" s="159">
        <f t="shared" si="5"/>
        <v>2</v>
      </c>
      <c r="AZ34" s="172"/>
      <c r="BA34" s="173" t="b">
        <v>0</v>
      </c>
      <c r="BB34" s="165" t="str">
        <f t="shared" si="6"/>
        <v/>
      </c>
      <c r="BC34" s="159" t="str">
        <f t="shared" si="7"/>
        <v/>
      </c>
      <c r="BD34" s="159" t="str">
        <f t="shared" si="8"/>
        <v/>
      </c>
      <c r="BE34" s="174"/>
      <c r="BF34" s="175" t="str">
        <f t="shared" si="9"/>
        <v/>
      </c>
      <c r="BG34" s="165" t="str">
        <f t="shared" si="10"/>
        <v/>
      </c>
      <c r="BH34" s="159" t="str">
        <f t="shared" si="11"/>
        <v/>
      </c>
      <c r="BI34" s="159" t="str">
        <f t="shared" si="12"/>
        <v/>
      </c>
      <c r="BJ34" s="159" t="str">
        <f t="shared" si="13"/>
        <v/>
      </c>
      <c r="BK34" s="159" t="str">
        <f t="shared" si="14"/>
        <v/>
      </c>
      <c r="BL34" s="183" t="str">
        <f>IFNA(IF(VLOOKUP(FLOOR($B34,1),'APS Tubes by Date Import'!$B$2:$L96,1,FALSE)=FLOOR($BL33,1),IFERROR(0/0,""),VLOOKUP(FLOOR($B34,1),'APS Tubes by Date Import'!$B$2:$L96,1,FALSE)),"")</f>
        <v/>
      </c>
      <c r="BM34" s="176" t="str">
        <f>IF(ISBLANK($BL34),IFERROR(0/0,""),VLOOKUP(FLOOR($B34,1),'APS Tubes by Date Import'!$B$2:$L96,2,FALSE))</f>
        <v/>
      </c>
      <c r="BN34" s="159" t="str">
        <f>VLOOKUP(FLOOR($B34,1),'APS Tubes by Date Import'!$B34:$L96,11,FALSE)</f>
        <v>#N/A</v>
      </c>
      <c r="BO34" s="159" t="str">
        <f>VLOOKUP(FLOOR($B34,1),'APS Tubes by Date Import'!$B34:$I96,6,FALSE)</f>
        <v>#N/A</v>
      </c>
      <c r="BP34" s="159" t="str">
        <f t="shared" si="15"/>
        <v/>
      </c>
      <c r="BQ34" s="177">
        <f t="shared" si="16"/>
        <v>0</v>
      </c>
      <c r="BR34" s="149"/>
      <c r="BS34" s="175" t="str">
        <f t="shared" si="17"/>
        <v/>
      </c>
      <c r="BT34" s="178" t="str">
        <f t="shared" si="18"/>
        <v/>
      </c>
      <c r="BU34" s="179"/>
      <c r="BV34" s="180" t="str">
        <f t="shared" si="19"/>
        <v/>
      </c>
      <c r="BW34" s="181"/>
      <c r="BX34" s="181"/>
      <c r="BY34" s="181"/>
      <c r="BZ34" s="181"/>
      <c r="CA34" s="181"/>
      <c r="CB34" s="181"/>
      <c r="CC34" s="181"/>
    </row>
    <row r="35">
      <c r="A35" s="147" t="str">
        <f>CONCATENATE("RUN-",'Process Ref'!$A$1,"_",TEXT(U35,"YYYY-MM-DD"),"_RFR-",TEXT(AR35,"000"),IF(EXACT(W35,"Initial"),"",CONCATENATE("_",W35)))</f>
        <v>RUN-COMB_2022-04-29_RFR-034</v>
      </c>
      <c r="B35" s="148">
        <v>44680.35885416667</v>
      </c>
      <c r="C35" s="149"/>
      <c r="D35" s="149" t="s">
        <v>199</v>
      </c>
      <c r="E35" s="121">
        <v>21.0</v>
      </c>
      <c r="F35" s="149" t="s">
        <v>316</v>
      </c>
      <c r="G35" s="151" t="s">
        <v>317</v>
      </c>
      <c r="H35" s="151"/>
      <c r="I35" s="151" t="s">
        <v>318</v>
      </c>
      <c r="J35" s="121">
        <v>1.0</v>
      </c>
      <c r="K35" s="182" t="s">
        <v>319</v>
      </c>
      <c r="L35" s="149"/>
      <c r="M35" s="153"/>
      <c r="N35" s="153">
        <v>2.2</v>
      </c>
      <c r="O35" s="154"/>
      <c r="P35" s="155" t="b">
        <v>1</v>
      </c>
      <c r="Q35" s="155" t="b">
        <v>0</v>
      </c>
      <c r="R35" s="51"/>
      <c r="S35" s="155" t="b">
        <v>0</v>
      </c>
      <c r="T35" s="156" t="b">
        <v>0</v>
      </c>
      <c r="U35" s="157">
        <v>44680.0</v>
      </c>
      <c r="V35" s="158">
        <v>0.4375</v>
      </c>
      <c r="W35" s="149" t="s">
        <v>203</v>
      </c>
      <c r="X35" s="149" t="s">
        <v>320</v>
      </c>
      <c r="Y35" s="155" t="b">
        <v>0</v>
      </c>
      <c r="Z35" s="121">
        <v>23.0</v>
      </c>
      <c r="AA35" s="159">
        <f t="shared" si="1"/>
        <v>2</v>
      </c>
      <c r="AB35" s="160" t="b">
        <v>0</v>
      </c>
      <c r="AC35" s="121">
        <v>21.0</v>
      </c>
      <c r="AD35" s="121">
        <v>0.0</v>
      </c>
      <c r="AE35" s="184">
        <v>0.0</v>
      </c>
      <c r="AF35" s="161">
        <v>0.0</v>
      </c>
      <c r="AG35" s="121">
        <v>1.0</v>
      </c>
      <c r="AH35" s="162">
        <v>1.0</v>
      </c>
      <c r="AI35" s="163">
        <v>1.0</v>
      </c>
      <c r="AJ35" s="121" t="b">
        <v>0</v>
      </c>
      <c r="AK35" s="164">
        <v>21.0</v>
      </c>
      <c r="AL35" s="121">
        <v>4.0</v>
      </c>
      <c r="AM35" s="121">
        <v>1.0</v>
      </c>
      <c r="AN35" s="159" t="str">
        <f>IFNA(VLOOKUP($A35,'Tube Reactions'!$J$2:$K96,2,FALSE),"")</f>
        <v/>
      </c>
      <c r="AO35" s="165" t="str">
        <f t="shared" si="2"/>
        <v>NOT EQUAL</v>
      </c>
      <c r="AP35" s="166" t="str">
        <f t="shared" si="3"/>
        <v>Absent</v>
      </c>
      <c r="AQ35" s="167" t="b">
        <f t="shared" si="4"/>
        <v>0</v>
      </c>
      <c r="AR35" s="185">
        <v>34.0</v>
      </c>
      <c r="AS35" s="169"/>
      <c r="AT35" s="149"/>
      <c r="AU35" s="121" t="s">
        <v>204</v>
      </c>
      <c r="AV35" s="170">
        <v>23.0</v>
      </c>
      <c r="AW35" s="121" t="b">
        <v>1</v>
      </c>
      <c r="AX35" s="171"/>
      <c r="AY35" s="159">
        <f t="shared" si="5"/>
        <v>2</v>
      </c>
      <c r="AZ35" s="172"/>
      <c r="BA35" s="173" t="b">
        <v>1</v>
      </c>
      <c r="BB35" s="165" t="b">
        <f t="shared" si="6"/>
        <v>1</v>
      </c>
      <c r="BC35" s="159">
        <f t="shared" si="7"/>
        <v>4</v>
      </c>
      <c r="BD35" s="159">
        <f t="shared" si="8"/>
        <v>21</v>
      </c>
      <c r="BE35" s="174"/>
      <c r="BF35" s="175">
        <f t="shared" si="9"/>
        <v>44680</v>
      </c>
      <c r="BG35" s="165" t="str">
        <f t="shared" si="10"/>
        <v>RUN-COMB_2022-04-29_RFR-034</v>
      </c>
      <c r="BH35" s="159">
        <f t="shared" si="11"/>
        <v>21</v>
      </c>
      <c r="BI35" s="159">
        <f t="shared" si="12"/>
        <v>23</v>
      </c>
      <c r="BJ35" s="159">
        <f t="shared" si="13"/>
        <v>21</v>
      </c>
      <c r="BK35" s="159">
        <f t="shared" si="14"/>
        <v>4</v>
      </c>
      <c r="BL35" s="183">
        <f>IFNA(IF(VLOOKUP(FLOOR($B35,1),'APS Tubes by Date Import'!$B$2:$L96,1,FALSE)=FLOOR($BL34,1),IFERROR(0/0,""),VLOOKUP(FLOOR($B35,1),'APS Tubes by Date Import'!$B$2:$L96,1,FALSE)),"")</f>
        <v>44680</v>
      </c>
      <c r="BM35" s="176">
        <f>IF(ISBLANK($BL35),IFERROR(0/0,""),VLOOKUP(FLOOR($B35,1),'APS Tubes by Date Import'!$B$2:$L96,2,FALSE))</f>
        <v>21</v>
      </c>
      <c r="BN35" s="159" t="str">
        <f>VLOOKUP(FLOOR($B35,1),'APS Tubes by Date Import'!$B35:$L96,11,FALSE)</f>
        <v>#N/A</v>
      </c>
      <c r="BO35" s="159" t="str">
        <f>VLOOKUP(FLOOR($B35,1),'APS Tubes by Date Import'!$B35:$I96,6,FALSE)</f>
        <v>#N/A</v>
      </c>
      <c r="BP35" s="159">
        <f t="shared" si="15"/>
        <v>21</v>
      </c>
      <c r="BQ35" s="177">
        <f t="shared" si="16"/>
        <v>0</v>
      </c>
      <c r="BR35" s="149"/>
      <c r="BS35" s="175" t="b">
        <f t="shared" si="17"/>
        <v>1</v>
      </c>
      <c r="BT35" s="178" t="str">
        <f t="shared" si="18"/>
        <v/>
      </c>
      <c r="BU35" s="179"/>
      <c r="BV35" s="180">
        <f t="shared" si="19"/>
        <v>0</v>
      </c>
      <c r="BW35" s="181"/>
      <c r="BX35" s="181"/>
      <c r="BY35" s="181"/>
      <c r="BZ35" s="181"/>
      <c r="CA35" s="181"/>
      <c r="CB35" s="181"/>
      <c r="CC35" s="181"/>
    </row>
    <row r="36">
      <c r="A36" s="147" t="str">
        <f>CONCATENATE("RUN-",'Process Ref'!$A$1,"_",TEXT(U36,"YYYY-MM-DD"),"_RFR-",TEXT(AR36,"000"),IF(EXACT(W36,"Initial"),"",CONCATENATE("_",W36)))</f>
        <v>RUN-COMB_2022-05-09_RFR-035</v>
      </c>
      <c r="B36" s="148">
        <v>44690.801516203705</v>
      </c>
      <c r="C36" s="149"/>
      <c r="D36" s="149" t="s">
        <v>199</v>
      </c>
      <c r="E36" s="121">
        <v>30.0</v>
      </c>
      <c r="F36" s="149" t="s">
        <v>321</v>
      </c>
      <c r="G36" s="151" t="s">
        <v>322</v>
      </c>
      <c r="H36" s="189"/>
      <c r="I36" s="190" t="s">
        <v>323</v>
      </c>
      <c r="J36" s="121">
        <v>0.0</v>
      </c>
      <c r="K36" s="152"/>
      <c r="L36" s="149"/>
      <c r="M36" s="153"/>
      <c r="N36" s="153"/>
      <c r="O36" s="154"/>
      <c r="P36" s="155" t="b">
        <v>0</v>
      </c>
      <c r="Q36" s="155" t="b">
        <v>0</v>
      </c>
      <c r="R36" s="51"/>
      <c r="S36" s="155" t="b">
        <v>0</v>
      </c>
      <c r="T36" s="156" t="b">
        <v>0</v>
      </c>
      <c r="U36" s="157">
        <v>44690.0</v>
      </c>
      <c r="V36" s="158">
        <v>0.4166666666666667</v>
      </c>
      <c r="W36" s="149" t="s">
        <v>203</v>
      </c>
      <c r="X36" s="51"/>
      <c r="Y36" s="155" t="b">
        <v>0</v>
      </c>
      <c r="Z36" s="121">
        <v>32.0</v>
      </c>
      <c r="AA36" s="159">
        <f t="shared" si="1"/>
        <v>2</v>
      </c>
      <c r="AB36" s="160" t="b">
        <v>0</v>
      </c>
      <c r="AC36" s="121">
        <v>30.0</v>
      </c>
      <c r="AD36" s="121">
        <v>0.0</v>
      </c>
      <c r="AE36" s="184">
        <v>0.0</v>
      </c>
      <c r="AF36" s="161">
        <v>0.0</v>
      </c>
      <c r="AG36" s="121">
        <v>0.0</v>
      </c>
      <c r="AH36" s="162">
        <v>0.0</v>
      </c>
      <c r="AI36" s="163">
        <v>0.0</v>
      </c>
      <c r="AJ36" s="121" t="b">
        <v>0</v>
      </c>
      <c r="AK36" s="164">
        <v>30.0</v>
      </c>
      <c r="AL36" s="121">
        <v>0.0</v>
      </c>
      <c r="AM36" s="121">
        <v>0.0</v>
      </c>
      <c r="AN36" s="159" t="str">
        <f>IFNA(VLOOKUP($A36,'Tube Reactions'!$J$2:$K96,2,FALSE),"")</f>
        <v/>
      </c>
      <c r="AO36" s="165" t="str">
        <f t="shared" si="2"/>
        <v/>
      </c>
      <c r="AP36" s="166" t="str">
        <f t="shared" si="3"/>
        <v>Absent</v>
      </c>
      <c r="AQ36" s="167" t="b">
        <f t="shared" si="4"/>
        <v>0</v>
      </c>
      <c r="AR36" s="185">
        <v>35.0</v>
      </c>
      <c r="AS36" s="169"/>
      <c r="AT36" s="149"/>
      <c r="AU36" s="121" t="s">
        <v>204</v>
      </c>
      <c r="AV36" s="170">
        <v>32.0</v>
      </c>
      <c r="AW36" s="162" t="b">
        <v>1</v>
      </c>
      <c r="AX36" s="171"/>
      <c r="AY36" s="159">
        <f t="shared" si="5"/>
        <v>2</v>
      </c>
      <c r="AZ36" s="172"/>
      <c r="BA36" s="173" t="b">
        <v>1</v>
      </c>
      <c r="BB36" s="165" t="b">
        <f t="shared" si="6"/>
        <v>1</v>
      </c>
      <c r="BC36" s="159" t="b">
        <f t="shared" si="7"/>
        <v>1</v>
      </c>
      <c r="BD36" s="159">
        <f t="shared" si="8"/>
        <v>30</v>
      </c>
      <c r="BE36" s="174"/>
      <c r="BF36" s="175">
        <f t="shared" si="9"/>
        <v>44690</v>
      </c>
      <c r="BG36" s="165" t="str">
        <f t="shared" si="10"/>
        <v>RUN-COMB_2022-05-09_RFR-035</v>
      </c>
      <c r="BH36" s="159">
        <f t="shared" si="11"/>
        <v>30</v>
      </c>
      <c r="BI36" s="159">
        <f t="shared" si="12"/>
        <v>32</v>
      </c>
      <c r="BJ36" s="159">
        <f t="shared" si="13"/>
        <v>30</v>
      </c>
      <c r="BK36" s="159">
        <f t="shared" si="14"/>
        <v>0</v>
      </c>
      <c r="BL36" s="183">
        <f>IFNA(IF(VLOOKUP(FLOOR($B36,1),'APS Tubes by Date Import'!$B$2:$L96,1,FALSE)=FLOOR($BL35,1),IFERROR(0/0,""),VLOOKUP(FLOOR($B36,1),'APS Tubes by Date Import'!$B$2:$L96,1,FALSE)),"")</f>
        <v>44690</v>
      </c>
      <c r="BM36" s="176">
        <f>IF(ISBLANK($BL36),IFERROR(0/0,""),VLOOKUP(FLOOR($B36,1),'APS Tubes by Date Import'!$B$2:$L96,2,FALSE))</f>
        <v>30</v>
      </c>
      <c r="BN36" s="159" t="str">
        <f>VLOOKUP(FLOOR($B36,1),'APS Tubes by Date Import'!$B36:$L96,11,FALSE)</f>
        <v>#N/A</v>
      </c>
      <c r="BO36" s="159" t="str">
        <f>VLOOKUP(FLOOR($B36,1),'APS Tubes by Date Import'!$B36:$I96,6,FALSE)</f>
        <v>#N/A</v>
      </c>
      <c r="BP36" s="159">
        <f t="shared" si="15"/>
        <v>30</v>
      </c>
      <c r="BQ36" s="177">
        <f t="shared" si="16"/>
        <v>0</v>
      </c>
      <c r="BR36" s="149"/>
      <c r="BS36" s="175" t="b">
        <f t="shared" si="17"/>
        <v>1</v>
      </c>
      <c r="BT36" s="178" t="str">
        <f t="shared" si="18"/>
        <v/>
      </c>
      <c r="BU36" s="179"/>
      <c r="BV36" s="180">
        <f t="shared" si="19"/>
        <v>0</v>
      </c>
      <c r="BW36" s="181"/>
      <c r="BX36" s="181"/>
      <c r="BY36" s="181"/>
      <c r="BZ36" s="181"/>
      <c r="CA36" s="181"/>
      <c r="CB36" s="181"/>
      <c r="CC36" s="181"/>
    </row>
    <row r="37">
      <c r="A37" s="147" t="str">
        <f>CONCATENATE("RUN-",'Process Ref'!$A$1,"_",TEXT(U37,"YYYY-MM-DD"),"_RFR-",TEXT(AR37,"000"),IF(EXACT(W37,"Initial"),"",CONCATENATE("_",W37)))</f>
        <v>RUN-COMB_2022-05-10_RFR-036</v>
      </c>
      <c r="B37" s="148">
        <v>44691.381585648145</v>
      </c>
      <c r="C37" s="149"/>
      <c r="D37" s="149" t="s">
        <v>199</v>
      </c>
      <c r="E37" s="121">
        <v>14.0</v>
      </c>
      <c r="F37" s="149" t="s">
        <v>324</v>
      </c>
      <c r="G37" s="150" t="s">
        <v>325</v>
      </c>
      <c r="H37" s="150"/>
      <c r="I37" s="150" t="s">
        <v>326</v>
      </c>
      <c r="J37" s="55"/>
      <c r="K37" s="152"/>
      <c r="L37" s="149"/>
      <c r="M37" s="153"/>
      <c r="N37" s="153"/>
      <c r="O37" s="154"/>
      <c r="P37" s="155" t="b">
        <v>0</v>
      </c>
      <c r="Q37" s="155" t="b">
        <v>0</v>
      </c>
      <c r="R37" s="51"/>
      <c r="S37" s="155" t="b">
        <v>0</v>
      </c>
      <c r="T37" s="156" t="b">
        <v>0</v>
      </c>
      <c r="U37" s="157">
        <v>44691.0</v>
      </c>
      <c r="V37" s="158">
        <v>0.4895833333333333</v>
      </c>
      <c r="W37" s="149" t="s">
        <v>203</v>
      </c>
      <c r="X37" s="51"/>
      <c r="Y37" s="155" t="b">
        <v>0</v>
      </c>
      <c r="Z37" s="121">
        <v>16.0</v>
      </c>
      <c r="AA37" s="159">
        <f t="shared" si="1"/>
        <v>2</v>
      </c>
      <c r="AB37" s="160" t="b">
        <v>0</v>
      </c>
      <c r="AC37" s="121">
        <v>14.0</v>
      </c>
      <c r="AD37" s="121">
        <v>0.0</v>
      </c>
      <c r="AE37" s="184">
        <v>0.0</v>
      </c>
      <c r="AF37" s="161">
        <v>0.0</v>
      </c>
      <c r="AG37" s="121">
        <v>0.0</v>
      </c>
      <c r="AH37" s="162">
        <v>0.0</v>
      </c>
      <c r="AI37" s="163">
        <v>0.0</v>
      </c>
      <c r="AJ37" s="121" t="b">
        <v>0</v>
      </c>
      <c r="AK37" s="164">
        <v>14.0</v>
      </c>
      <c r="AL37" s="121">
        <v>0.0</v>
      </c>
      <c r="AM37" s="121">
        <v>0.0</v>
      </c>
      <c r="AN37" s="159" t="str">
        <f>IFNA(VLOOKUP($A37,'Tube Reactions'!$J$2:$K96,2,FALSE),"")</f>
        <v/>
      </c>
      <c r="AO37" s="165" t="str">
        <f t="shared" si="2"/>
        <v/>
      </c>
      <c r="AP37" s="166" t="str">
        <f t="shared" si="3"/>
        <v>Absent</v>
      </c>
      <c r="AQ37" s="167" t="b">
        <f t="shared" si="4"/>
        <v>0</v>
      </c>
      <c r="AR37" s="185">
        <v>36.0</v>
      </c>
      <c r="AS37" s="169"/>
      <c r="AT37" s="149"/>
      <c r="AU37" s="121" t="s">
        <v>204</v>
      </c>
      <c r="AV37" s="170">
        <v>16.0</v>
      </c>
      <c r="AW37" s="121" t="b">
        <v>1</v>
      </c>
      <c r="AX37" s="171"/>
      <c r="AY37" s="159">
        <f t="shared" si="5"/>
        <v>2</v>
      </c>
      <c r="AZ37" s="172"/>
      <c r="BA37" s="173" t="b">
        <v>1</v>
      </c>
      <c r="BB37" s="165" t="b">
        <f t="shared" si="6"/>
        <v>1</v>
      </c>
      <c r="BC37" s="159" t="b">
        <f t="shared" si="7"/>
        <v>1</v>
      </c>
      <c r="BD37" s="159">
        <f t="shared" si="8"/>
        <v>14</v>
      </c>
      <c r="BE37" s="174"/>
      <c r="BF37" s="175">
        <f t="shared" si="9"/>
        <v>44691</v>
      </c>
      <c r="BG37" s="165" t="str">
        <f t="shared" si="10"/>
        <v>RUN-COMB_2022-05-10_RFR-036</v>
      </c>
      <c r="BH37" s="159">
        <f t="shared" si="11"/>
        <v>14</v>
      </c>
      <c r="BI37" s="159">
        <f t="shared" si="12"/>
        <v>16</v>
      </c>
      <c r="BJ37" s="159">
        <f t="shared" si="13"/>
        <v>14</v>
      </c>
      <c r="BK37" s="159">
        <f t="shared" si="14"/>
        <v>0</v>
      </c>
      <c r="BL37" s="183">
        <f>IFNA(IF(VLOOKUP(FLOOR($B37,1),'APS Tubes by Date Import'!$B$2:$L96,1,FALSE)=FLOOR($BL36,1),IFERROR(0/0,""),VLOOKUP(FLOOR($B37,1),'APS Tubes by Date Import'!$B$2:$L96,1,FALSE)),"")</f>
        <v>44691</v>
      </c>
      <c r="BM37" s="176">
        <f>IF(ISBLANK($BL37),IFERROR(0/0,""),VLOOKUP(FLOOR($B37,1),'APS Tubes by Date Import'!$B$2:$L96,2,FALSE))</f>
        <v>14</v>
      </c>
      <c r="BN37" s="159" t="str">
        <f>VLOOKUP(FLOOR($B37,1),'APS Tubes by Date Import'!$B37:$L96,11,FALSE)</f>
        <v>#N/A</v>
      </c>
      <c r="BO37" s="159" t="str">
        <f>VLOOKUP(FLOOR($B37,1),'APS Tubes by Date Import'!$B37:$I96,6,FALSE)</f>
        <v>#N/A</v>
      </c>
      <c r="BP37" s="159">
        <f t="shared" si="15"/>
        <v>14</v>
      </c>
      <c r="BQ37" s="177">
        <f t="shared" si="16"/>
        <v>0</v>
      </c>
      <c r="BR37" s="149"/>
      <c r="BS37" s="175" t="b">
        <f t="shared" si="17"/>
        <v>1</v>
      </c>
      <c r="BT37" s="178" t="str">
        <f t="shared" si="18"/>
        <v/>
      </c>
      <c r="BU37" s="179"/>
      <c r="BV37" s="180">
        <f t="shared" si="19"/>
        <v>0</v>
      </c>
      <c r="BW37" s="181"/>
      <c r="BX37" s="181"/>
      <c r="BY37" s="181"/>
      <c r="BZ37" s="181"/>
      <c r="CA37" s="181"/>
      <c r="CB37" s="181"/>
      <c r="CC37" s="181"/>
    </row>
    <row r="38">
      <c r="A38" s="147" t="str">
        <f>CONCATENATE("RUN-",'Process Ref'!$A$1,"_",TEXT(U38,"YYYY-MM-DD"),"_RFR-",TEXT(AR38,"000"),IF(EXACT(W38,"Initial"),"",CONCATENATE("_",W38)))</f>
        <v>RUN-COMB_2022-05-11_RFR-037</v>
      </c>
      <c r="B38" s="148">
        <v>44692.35303240741</v>
      </c>
      <c r="C38" s="149"/>
      <c r="D38" s="149" t="s">
        <v>199</v>
      </c>
      <c r="E38" s="121">
        <v>18.0</v>
      </c>
      <c r="F38" s="149" t="s">
        <v>327</v>
      </c>
      <c r="G38" s="150" t="s">
        <v>328</v>
      </c>
      <c r="H38" s="150"/>
      <c r="I38" s="150" t="s">
        <v>329</v>
      </c>
      <c r="J38" s="121">
        <v>0.0</v>
      </c>
      <c r="K38" s="152"/>
      <c r="L38" s="149"/>
      <c r="M38" s="153">
        <v>1.2</v>
      </c>
      <c r="N38" s="153"/>
      <c r="O38" s="154"/>
      <c r="P38" s="155" t="b">
        <v>0</v>
      </c>
      <c r="Q38" s="155" t="b">
        <v>0</v>
      </c>
      <c r="R38" s="51"/>
      <c r="S38" s="155" t="b">
        <v>0</v>
      </c>
      <c r="T38" s="156" t="b">
        <v>0</v>
      </c>
      <c r="U38" s="157">
        <v>44692.0</v>
      </c>
      <c r="V38" s="158">
        <v>0.4791666666666667</v>
      </c>
      <c r="W38" s="149" t="s">
        <v>203</v>
      </c>
      <c r="X38" s="51"/>
      <c r="Y38" s="155" t="b">
        <v>0</v>
      </c>
      <c r="Z38" s="121">
        <v>20.0</v>
      </c>
      <c r="AA38" s="159">
        <f t="shared" si="1"/>
        <v>2</v>
      </c>
      <c r="AB38" s="160" t="b">
        <v>0</v>
      </c>
      <c r="AC38" s="121">
        <v>18.0</v>
      </c>
      <c r="AD38" s="121">
        <v>0.0</v>
      </c>
      <c r="AE38" s="184">
        <v>0.0</v>
      </c>
      <c r="AF38" s="161">
        <v>0.0</v>
      </c>
      <c r="AG38" s="121">
        <v>0.0</v>
      </c>
      <c r="AH38" s="162">
        <v>0.0</v>
      </c>
      <c r="AI38" s="163">
        <v>0.0</v>
      </c>
      <c r="AJ38" s="121" t="b">
        <v>0</v>
      </c>
      <c r="AK38" s="164">
        <v>18.0</v>
      </c>
      <c r="AL38" s="121">
        <v>0.0</v>
      </c>
      <c r="AM38" s="121">
        <v>0.0</v>
      </c>
      <c r="AN38" s="159" t="str">
        <f>IFNA(VLOOKUP($A38,'Tube Reactions'!$J$2:$K96,2,FALSE),"")</f>
        <v/>
      </c>
      <c r="AO38" s="165" t="str">
        <f t="shared" si="2"/>
        <v/>
      </c>
      <c r="AP38" s="166" t="str">
        <f t="shared" si="3"/>
        <v>Absent</v>
      </c>
      <c r="AQ38" s="167" t="b">
        <f t="shared" si="4"/>
        <v>0</v>
      </c>
      <c r="AR38" s="185">
        <v>37.0</v>
      </c>
      <c r="AS38" s="169"/>
      <c r="AT38" s="149"/>
      <c r="AU38" s="121" t="s">
        <v>204</v>
      </c>
      <c r="AV38" s="170">
        <v>20.0</v>
      </c>
      <c r="AW38" s="121" t="b">
        <v>1</v>
      </c>
      <c r="AX38" s="171"/>
      <c r="AY38" s="159">
        <f t="shared" si="5"/>
        <v>2</v>
      </c>
      <c r="AZ38" s="172"/>
      <c r="BA38" s="173" t="b">
        <v>1</v>
      </c>
      <c r="BB38" s="165" t="b">
        <f t="shared" si="6"/>
        <v>1</v>
      </c>
      <c r="BC38" s="159" t="b">
        <f t="shared" si="7"/>
        <v>1</v>
      </c>
      <c r="BD38" s="159">
        <f t="shared" si="8"/>
        <v>18</v>
      </c>
      <c r="BE38" s="174"/>
      <c r="BF38" s="175">
        <f t="shared" si="9"/>
        <v>44692</v>
      </c>
      <c r="BG38" s="165" t="str">
        <f t="shared" si="10"/>
        <v>RUN-COMB_2022-05-11_RFR-037</v>
      </c>
      <c r="BH38" s="159">
        <f t="shared" si="11"/>
        <v>18</v>
      </c>
      <c r="BI38" s="159">
        <f t="shared" si="12"/>
        <v>20</v>
      </c>
      <c r="BJ38" s="159">
        <f t="shared" si="13"/>
        <v>18</v>
      </c>
      <c r="BK38" s="159">
        <f t="shared" si="14"/>
        <v>0</v>
      </c>
      <c r="BL38" s="183">
        <f>IFNA(IF(VLOOKUP(FLOOR($B38,1),'APS Tubes by Date Import'!$B$2:$L96,1,FALSE)=FLOOR($BL37,1),IFERROR(0/0,""),VLOOKUP(FLOOR($B38,1),'APS Tubes by Date Import'!$B$2:$L96,1,FALSE)),"")</f>
        <v>44692</v>
      </c>
      <c r="BM38" s="176">
        <f>IF(ISBLANK($BL38),IFERROR(0/0,""),VLOOKUP(FLOOR($B38,1),'APS Tubes by Date Import'!$B$2:$L96,2,FALSE))</f>
        <v>18</v>
      </c>
      <c r="BN38" s="159" t="str">
        <f>VLOOKUP(FLOOR($B38,1),'APS Tubes by Date Import'!$B38:$L96,11,FALSE)</f>
        <v>#N/A</v>
      </c>
      <c r="BO38" s="159" t="str">
        <f>VLOOKUP(FLOOR($B38,1),'APS Tubes by Date Import'!$B38:$I96,6,FALSE)</f>
        <v>#N/A</v>
      </c>
      <c r="BP38" s="159">
        <f t="shared" si="15"/>
        <v>18</v>
      </c>
      <c r="BQ38" s="177">
        <f t="shared" si="16"/>
        <v>0</v>
      </c>
      <c r="BR38" s="149"/>
      <c r="BS38" s="175" t="b">
        <f t="shared" si="17"/>
        <v>1</v>
      </c>
      <c r="BT38" s="178" t="str">
        <f t="shared" si="18"/>
        <v/>
      </c>
      <c r="BU38" s="179"/>
      <c r="BV38" s="180">
        <f t="shared" si="19"/>
        <v>0</v>
      </c>
      <c r="BW38" s="181"/>
      <c r="BX38" s="181"/>
      <c r="BY38" s="181"/>
      <c r="BZ38" s="181"/>
      <c r="CA38" s="181"/>
      <c r="CB38" s="181"/>
      <c r="CC38" s="181"/>
    </row>
    <row r="39">
      <c r="A39" s="147" t="str">
        <f>CONCATENATE("RUN-",'Process Ref'!$A$1,"_",TEXT(U39,"YYYY-MM-DD"),"_RFR-",TEXT(AR39,"000"),IF(EXACT(W39,"Initial"),"",CONCATENATE("_",W39)))</f>
        <v>RUN-COMB_2022-05-12_RFR-038</v>
      </c>
      <c r="B39" s="148">
        <v>44693.33857638889</v>
      </c>
      <c r="C39" s="149"/>
      <c r="D39" s="149" t="s">
        <v>199</v>
      </c>
      <c r="E39" s="121">
        <v>33.0</v>
      </c>
      <c r="F39" s="149" t="s">
        <v>330</v>
      </c>
      <c r="G39" s="151" t="s">
        <v>331</v>
      </c>
      <c r="H39" s="151"/>
      <c r="I39" s="151" t="s">
        <v>332</v>
      </c>
      <c r="J39" s="55"/>
      <c r="K39" s="152"/>
      <c r="L39" s="149"/>
      <c r="M39" s="153"/>
      <c r="N39" s="153"/>
      <c r="O39" s="154"/>
      <c r="P39" s="155" t="b">
        <v>0</v>
      </c>
      <c r="Q39" s="155" t="b">
        <v>0</v>
      </c>
      <c r="R39" s="51"/>
      <c r="S39" s="155" t="b">
        <v>0</v>
      </c>
      <c r="T39" s="156" t="b">
        <v>0</v>
      </c>
      <c r="U39" s="157">
        <v>44693.0</v>
      </c>
      <c r="V39" s="158">
        <v>0.46875</v>
      </c>
      <c r="W39" s="149" t="s">
        <v>203</v>
      </c>
      <c r="X39" s="51"/>
      <c r="Y39" s="155" t="b">
        <v>0</v>
      </c>
      <c r="Z39" s="121">
        <v>35.0</v>
      </c>
      <c r="AA39" s="159">
        <f t="shared" si="1"/>
        <v>2</v>
      </c>
      <c r="AB39" s="160" t="b">
        <v>0</v>
      </c>
      <c r="AC39" s="121">
        <v>33.0</v>
      </c>
      <c r="AD39" s="121">
        <v>0.0</v>
      </c>
      <c r="AE39" s="184">
        <v>0.0</v>
      </c>
      <c r="AF39" s="161">
        <v>0.0</v>
      </c>
      <c r="AG39" s="121">
        <v>0.0</v>
      </c>
      <c r="AH39" s="162">
        <v>0.0</v>
      </c>
      <c r="AI39" s="163">
        <v>0.0</v>
      </c>
      <c r="AJ39" s="121" t="b">
        <v>0</v>
      </c>
      <c r="AK39" s="164">
        <v>33.0</v>
      </c>
      <c r="AL39" s="121">
        <v>0.0</v>
      </c>
      <c r="AM39" s="121">
        <v>0.0</v>
      </c>
      <c r="AN39" s="159" t="str">
        <f>IFNA(VLOOKUP($A39,'Tube Reactions'!$J$2:$K96,2,FALSE),"")</f>
        <v/>
      </c>
      <c r="AO39" s="165" t="str">
        <f t="shared" si="2"/>
        <v/>
      </c>
      <c r="AP39" s="166" t="str">
        <f t="shared" si="3"/>
        <v>Absent</v>
      </c>
      <c r="AQ39" s="167" t="b">
        <f t="shared" si="4"/>
        <v>0</v>
      </c>
      <c r="AR39" s="185">
        <v>38.0</v>
      </c>
      <c r="AS39" s="169"/>
      <c r="AT39" s="149"/>
      <c r="AU39" s="121" t="s">
        <v>204</v>
      </c>
      <c r="AV39" s="170">
        <v>35.0</v>
      </c>
      <c r="AW39" s="121" t="b">
        <v>1</v>
      </c>
      <c r="AX39" s="171"/>
      <c r="AY39" s="159">
        <f t="shared" si="5"/>
        <v>2</v>
      </c>
      <c r="AZ39" s="172"/>
      <c r="BA39" s="173" t="b">
        <v>1</v>
      </c>
      <c r="BB39" s="165" t="b">
        <f t="shared" si="6"/>
        <v>1</v>
      </c>
      <c r="BC39" s="159" t="b">
        <f t="shared" si="7"/>
        <v>1</v>
      </c>
      <c r="BD39" s="159">
        <f t="shared" si="8"/>
        <v>33</v>
      </c>
      <c r="BE39" s="174"/>
      <c r="BF39" s="175">
        <f t="shared" si="9"/>
        <v>44693</v>
      </c>
      <c r="BG39" s="165" t="str">
        <f t="shared" si="10"/>
        <v>RUN-COMB_2022-05-12_RFR-038</v>
      </c>
      <c r="BH39" s="159">
        <f t="shared" si="11"/>
        <v>33</v>
      </c>
      <c r="BI39" s="159">
        <f t="shared" si="12"/>
        <v>35</v>
      </c>
      <c r="BJ39" s="159">
        <f t="shared" si="13"/>
        <v>33</v>
      </c>
      <c r="BK39" s="159">
        <f t="shared" si="14"/>
        <v>0</v>
      </c>
      <c r="BL39" s="183">
        <f>IFNA(IF(VLOOKUP(FLOOR($B39,1),'APS Tubes by Date Import'!$B$2:$L96,1,FALSE)=FLOOR($BL38,1),IFERROR(0/0,""),VLOOKUP(FLOOR($B39,1),'APS Tubes by Date Import'!$B$2:$L96,1,FALSE)),"")</f>
        <v>44693</v>
      </c>
      <c r="BM39" s="176">
        <f>IF(ISBLANK($BL39),IFERROR(0/0,""),VLOOKUP(FLOOR($B39,1),'APS Tubes by Date Import'!$B$2:$L96,2,FALSE))</f>
        <v>33</v>
      </c>
      <c r="BN39" s="159" t="str">
        <f>VLOOKUP(FLOOR($B39,1),'APS Tubes by Date Import'!$B39:$L96,11,FALSE)</f>
        <v>#N/A</v>
      </c>
      <c r="BO39" s="159" t="str">
        <f>VLOOKUP(FLOOR($B39,1),'APS Tubes by Date Import'!$B39:$I96,6,FALSE)</f>
        <v>#N/A</v>
      </c>
      <c r="BP39" s="159">
        <f t="shared" si="15"/>
        <v>33</v>
      </c>
      <c r="BQ39" s="177">
        <f t="shared" si="16"/>
        <v>0</v>
      </c>
      <c r="BR39" s="149"/>
      <c r="BS39" s="175" t="b">
        <f t="shared" si="17"/>
        <v>1</v>
      </c>
      <c r="BT39" s="178" t="str">
        <f t="shared" si="18"/>
        <v/>
      </c>
      <c r="BU39" s="179"/>
      <c r="BV39" s="180">
        <f t="shared" si="19"/>
        <v>0</v>
      </c>
      <c r="BW39" s="181"/>
      <c r="BX39" s="181"/>
      <c r="BY39" s="181"/>
      <c r="BZ39" s="181"/>
      <c r="CA39" s="181"/>
      <c r="CB39" s="181"/>
      <c r="CC39" s="181"/>
    </row>
    <row r="40">
      <c r="A40" s="147" t="str">
        <f>CONCATENATE("RUN-",'Process Ref'!$A$1,"_",TEXT(U40,"YYYY-MM-DD"),"_RFR-",TEXT(AR40,"000"),IF(EXACT(W40,"Initial"),"",CONCATENATE("_",W40)))</f>
        <v>RUN-COMB_2022-05-13_RFR-039</v>
      </c>
      <c r="B40" s="148">
        <v>44694.346238425926</v>
      </c>
      <c r="C40" s="149"/>
      <c r="D40" s="149" t="s">
        <v>199</v>
      </c>
      <c r="E40" s="121">
        <v>17.0</v>
      </c>
      <c r="F40" s="149" t="s">
        <v>333</v>
      </c>
      <c r="G40" s="151" t="s">
        <v>334</v>
      </c>
      <c r="H40" s="151"/>
      <c r="I40" s="151" t="s">
        <v>335</v>
      </c>
      <c r="J40" s="55"/>
      <c r="K40" s="152"/>
      <c r="L40" s="149"/>
      <c r="M40" s="153"/>
      <c r="N40" s="153"/>
      <c r="O40" s="154"/>
      <c r="P40" s="155" t="b">
        <v>0</v>
      </c>
      <c r="Q40" s="155" t="b">
        <v>0</v>
      </c>
      <c r="R40" s="51"/>
      <c r="S40" s="155" t="b">
        <v>0</v>
      </c>
      <c r="T40" s="156" t="b">
        <v>0</v>
      </c>
      <c r="U40" s="192">
        <v>44694.0</v>
      </c>
      <c r="V40" s="158">
        <v>0.46875</v>
      </c>
      <c r="W40" s="149" t="s">
        <v>203</v>
      </c>
      <c r="X40" s="51"/>
      <c r="Y40" s="155" t="b">
        <v>0</v>
      </c>
      <c r="Z40" s="121">
        <v>19.0</v>
      </c>
      <c r="AA40" s="159">
        <f t="shared" si="1"/>
        <v>2</v>
      </c>
      <c r="AB40" s="160" t="b">
        <v>0</v>
      </c>
      <c r="AC40" s="121">
        <v>17.0</v>
      </c>
      <c r="AD40" s="121">
        <v>0.0</v>
      </c>
      <c r="AE40" s="184">
        <v>0.0</v>
      </c>
      <c r="AF40" s="161">
        <v>0.0</v>
      </c>
      <c r="AG40" s="121">
        <v>0.0</v>
      </c>
      <c r="AH40" s="162">
        <v>0.0</v>
      </c>
      <c r="AI40" s="163">
        <v>0.0</v>
      </c>
      <c r="AJ40" s="121" t="b">
        <v>0</v>
      </c>
      <c r="AK40" s="164">
        <v>17.0</v>
      </c>
      <c r="AL40" s="121">
        <v>0.0</v>
      </c>
      <c r="AM40" s="121">
        <v>0.0</v>
      </c>
      <c r="AN40" s="159" t="str">
        <f>IFNA(VLOOKUP($A40,'Tube Reactions'!$J$2:$K96,2,FALSE),"")</f>
        <v/>
      </c>
      <c r="AO40" s="165" t="str">
        <f t="shared" si="2"/>
        <v/>
      </c>
      <c r="AP40" s="166" t="str">
        <f t="shared" si="3"/>
        <v>Absent</v>
      </c>
      <c r="AQ40" s="167" t="b">
        <f t="shared" si="4"/>
        <v>0</v>
      </c>
      <c r="AR40" s="185">
        <v>39.0</v>
      </c>
      <c r="AS40" s="193"/>
      <c r="AT40" s="149"/>
      <c r="AU40" s="121" t="s">
        <v>204</v>
      </c>
      <c r="AV40" s="170">
        <v>19.0</v>
      </c>
      <c r="AW40" s="121" t="b">
        <v>1</v>
      </c>
      <c r="AX40" s="171"/>
      <c r="AY40" s="159">
        <f t="shared" si="5"/>
        <v>2</v>
      </c>
      <c r="AZ40" s="172"/>
      <c r="BA40" s="173" t="b">
        <v>1</v>
      </c>
      <c r="BB40" s="165" t="b">
        <f t="shared" si="6"/>
        <v>1</v>
      </c>
      <c r="BC40" s="159" t="b">
        <f t="shared" si="7"/>
        <v>1</v>
      </c>
      <c r="BD40" s="159">
        <f t="shared" si="8"/>
        <v>17</v>
      </c>
      <c r="BE40" s="174"/>
      <c r="BF40" s="175">
        <f t="shared" si="9"/>
        <v>44694</v>
      </c>
      <c r="BG40" s="165" t="str">
        <f t="shared" si="10"/>
        <v>RUN-COMB_2022-05-13_RFR-039</v>
      </c>
      <c r="BH40" s="159">
        <f t="shared" si="11"/>
        <v>17</v>
      </c>
      <c r="BI40" s="159">
        <f t="shared" si="12"/>
        <v>19</v>
      </c>
      <c r="BJ40" s="159">
        <f t="shared" si="13"/>
        <v>17</v>
      </c>
      <c r="BK40" s="159">
        <f t="shared" si="14"/>
        <v>0</v>
      </c>
      <c r="BL40" s="183">
        <f>IFNA(IF(VLOOKUP(FLOOR($B40,1),'APS Tubes by Date Import'!$B$2:$L96,1,FALSE)=FLOOR($BL39,1),IFERROR(0/0,""),VLOOKUP(FLOOR($B40,1),'APS Tubes by Date Import'!$B$2:$L96,1,FALSE)),"")</f>
        <v>44694</v>
      </c>
      <c r="BM40" s="176">
        <f>IF(ISBLANK($BL40),IFERROR(0/0,""),VLOOKUP(FLOOR($B40,1),'APS Tubes by Date Import'!$B$2:$L96,2,FALSE))</f>
        <v>17</v>
      </c>
      <c r="BN40" s="159" t="str">
        <f>VLOOKUP(FLOOR($B40,1),'APS Tubes by Date Import'!$B40:$L96,11,FALSE)</f>
        <v>#N/A</v>
      </c>
      <c r="BO40" s="159" t="str">
        <f>VLOOKUP(FLOOR($B40,1),'APS Tubes by Date Import'!$B40:$I96,6,FALSE)</f>
        <v>#N/A</v>
      </c>
      <c r="BP40" s="159">
        <f t="shared" si="15"/>
        <v>17</v>
      </c>
      <c r="BQ40" s="177">
        <f t="shared" si="16"/>
        <v>0</v>
      </c>
      <c r="BR40" s="149"/>
      <c r="BS40" s="175" t="b">
        <f t="shared" si="17"/>
        <v>1</v>
      </c>
      <c r="BT40" s="178" t="str">
        <f t="shared" si="18"/>
        <v/>
      </c>
      <c r="BU40" s="179"/>
      <c r="BV40" s="180">
        <f t="shared" si="19"/>
        <v>0</v>
      </c>
      <c r="BW40" s="181"/>
      <c r="BX40" s="181"/>
      <c r="BY40" s="181"/>
      <c r="BZ40" s="181"/>
      <c r="CA40" s="181"/>
      <c r="CB40" s="181"/>
      <c r="CC40" s="181"/>
    </row>
    <row r="41">
      <c r="A41" s="147" t="str">
        <f>CONCATENATE("RUN-",'Process Ref'!$A$1,"_",TEXT(U41,"YYYY-MM-DD"),"_RFR-",TEXT(AR41,"000"),IF(EXACT(W41,"Initial"),"",CONCATENATE("_",W41)))</f>
        <v>RUN-COMB_2022-05-16_RFR-040</v>
      </c>
      <c r="B41" s="148">
        <v>44697.81481481482</v>
      </c>
      <c r="C41" s="149"/>
      <c r="D41" s="149" t="s">
        <v>199</v>
      </c>
      <c r="E41" s="121">
        <v>26.0</v>
      </c>
      <c r="F41" s="149" t="s">
        <v>336</v>
      </c>
      <c r="G41" s="150" t="s">
        <v>337</v>
      </c>
      <c r="H41" s="150"/>
      <c r="I41" s="150" t="s">
        <v>338</v>
      </c>
      <c r="J41" s="121">
        <v>0.0</v>
      </c>
      <c r="K41" s="152"/>
      <c r="L41" s="149"/>
      <c r="M41" s="153"/>
      <c r="N41" s="153"/>
      <c r="O41" s="154"/>
      <c r="P41" s="155" t="b">
        <v>0</v>
      </c>
      <c r="Q41" s="155" t="b">
        <v>0</v>
      </c>
      <c r="R41" s="51"/>
      <c r="S41" s="155" t="b">
        <v>0</v>
      </c>
      <c r="T41" s="156" t="b">
        <v>0</v>
      </c>
      <c r="U41" s="157">
        <v>44697.0</v>
      </c>
      <c r="V41" s="158">
        <v>0.46875</v>
      </c>
      <c r="W41" s="149" t="s">
        <v>203</v>
      </c>
      <c r="X41" s="51"/>
      <c r="Y41" s="155" t="b">
        <v>0</v>
      </c>
      <c r="Z41" s="121">
        <v>28.0</v>
      </c>
      <c r="AA41" s="159">
        <f t="shared" si="1"/>
        <v>2</v>
      </c>
      <c r="AB41" s="160" t="b">
        <v>0</v>
      </c>
      <c r="AC41" s="121">
        <v>26.0</v>
      </c>
      <c r="AD41" s="121">
        <v>0.0</v>
      </c>
      <c r="AE41" s="184">
        <v>0.0</v>
      </c>
      <c r="AF41" s="161">
        <v>0.0</v>
      </c>
      <c r="AG41" s="121">
        <v>0.0</v>
      </c>
      <c r="AH41" s="162">
        <v>0.0</v>
      </c>
      <c r="AI41" s="163">
        <v>0.0</v>
      </c>
      <c r="AJ41" s="121" t="b">
        <v>0</v>
      </c>
      <c r="AK41" s="164">
        <v>26.0</v>
      </c>
      <c r="AL41" s="121">
        <v>0.0</v>
      </c>
      <c r="AM41" s="121">
        <v>0.0</v>
      </c>
      <c r="AN41" s="159" t="str">
        <f>IFNA(VLOOKUP($A41,'Tube Reactions'!$J$2:$K96,2,FALSE),"")</f>
        <v/>
      </c>
      <c r="AO41" s="165" t="str">
        <f t="shared" si="2"/>
        <v/>
      </c>
      <c r="AP41" s="166" t="str">
        <f t="shared" si="3"/>
        <v>Absent</v>
      </c>
      <c r="AQ41" s="167" t="b">
        <f t="shared" si="4"/>
        <v>0</v>
      </c>
      <c r="AR41" s="185">
        <v>40.0</v>
      </c>
      <c r="AS41" s="169"/>
      <c r="AT41" s="149"/>
      <c r="AU41" s="121" t="s">
        <v>204</v>
      </c>
      <c r="AV41" s="170">
        <v>28.0</v>
      </c>
      <c r="AW41" s="121" t="b">
        <v>1</v>
      </c>
      <c r="AX41" s="171"/>
      <c r="AY41" s="159">
        <f t="shared" si="5"/>
        <v>2</v>
      </c>
      <c r="AZ41" s="172"/>
      <c r="BA41" s="173" t="b">
        <v>1</v>
      </c>
      <c r="BB41" s="165" t="b">
        <f t="shared" si="6"/>
        <v>1</v>
      </c>
      <c r="BC41" s="159" t="b">
        <f t="shared" si="7"/>
        <v>1</v>
      </c>
      <c r="BD41" s="159">
        <f t="shared" si="8"/>
        <v>26</v>
      </c>
      <c r="BE41" s="174"/>
      <c r="BF41" s="175">
        <f t="shared" si="9"/>
        <v>44697</v>
      </c>
      <c r="BG41" s="165" t="str">
        <f t="shared" si="10"/>
        <v>RUN-COMB_2022-05-16_RFR-040</v>
      </c>
      <c r="BH41" s="159">
        <f t="shared" si="11"/>
        <v>26</v>
      </c>
      <c r="BI41" s="159">
        <f t="shared" si="12"/>
        <v>28</v>
      </c>
      <c r="BJ41" s="159">
        <f t="shared" si="13"/>
        <v>26</v>
      </c>
      <c r="BK41" s="159">
        <f t="shared" si="14"/>
        <v>0</v>
      </c>
      <c r="BL41" s="183">
        <f>IFNA(IF(VLOOKUP(FLOOR($B41,1),'APS Tubes by Date Import'!$B$2:$L96,1,FALSE)=FLOOR($BL40,1),IFERROR(0/0,""),VLOOKUP(FLOOR($B41,1),'APS Tubes by Date Import'!$B$2:$L96,1,FALSE)),"")</f>
        <v>44697</v>
      </c>
      <c r="BM41" s="176">
        <f>IF(ISBLANK($BL41),IFERROR(0/0,""),VLOOKUP(FLOOR($B41,1),'APS Tubes by Date Import'!$B$2:$L96,2,FALSE))</f>
        <v>26</v>
      </c>
      <c r="BN41" s="159" t="str">
        <f>VLOOKUP(FLOOR($B41,1),'APS Tubes by Date Import'!$B41:$L96,11,FALSE)</f>
        <v>#N/A</v>
      </c>
      <c r="BO41" s="159" t="str">
        <f>VLOOKUP(FLOOR($B41,1),'APS Tubes by Date Import'!$B41:$I96,6,FALSE)</f>
        <v>#N/A</v>
      </c>
      <c r="BP41" s="159">
        <f t="shared" si="15"/>
        <v>26</v>
      </c>
      <c r="BQ41" s="177">
        <f t="shared" si="16"/>
        <v>0</v>
      </c>
      <c r="BR41" s="149"/>
      <c r="BS41" s="175" t="b">
        <f t="shared" si="17"/>
        <v>1</v>
      </c>
      <c r="BT41" s="178" t="str">
        <f t="shared" si="18"/>
        <v/>
      </c>
      <c r="BU41" s="179"/>
      <c r="BV41" s="180">
        <f t="shared" si="19"/>
        <v>0</v>
      </c>
      <c r="BW41" s="181"/>
      <c r="BX41" s="181"/>
      <c r="BY41" s="181"/>
      <c r="BZ41" s="181"/>
      <c r="CA41" s="181"/>
      <c r="CB41" s="181"/>
      <c r="CC41" s="181"/>
    </row>
    <row r="42">
      <c r="A42" s="147" t="str">
        <f>CONCATENATE("RUN-",'Process Ref'!$A$1,"_",TEXT(U42,"YYYY-MM-DD"),"_RFR-",TEXT(AR42,"000"),IF(EXACT(W42,"Initial"),"",CONCATENATE("_",W42)))</f>
        <v>RUN-COMB_2022-05-17_RFR-041</v>
      </c>
      <c r="B42" s="148">
        <v>44698.34186342593</v>
      </c>
      <c r="C42" s="149"/>
      <c r="D42" s="149" t="s">
        <v>199</v>
      </c>
      <c r="E42" s="121">
        <v>12.0</v>
      </c>
      <c r="F42" s="149" t="s">
        <v>339</v>
      </c>
      <c r="G42" s="151" t="s">
        <v>340</v>
      </c>
      <c r="H42" s="151"/>
      <c r="I42" s="151" t="s">
        <v>341</v>
      </c>
      <c r="J42" s="121">
        <v>0.0</v>
      </c>
      <c r="K42" s="152"/>
      <c r="L42" s="149"/>
      <c r="M42" s="153">
        <v>1.2</v>
      </c>
      <c r="N42" s="153"/>
      <c r="O42" s="154"/>
      <c r="P42" s="155" t="b">
        <v>0</v>
      </c>
      <c r="Q42" s="155" t="b">
        <v>0</v>
      </c>
      <c r="R42" s="51"/>
      <c r="S42" s="155" t="b">
        <v>0</v>
      </c>
      <c r="T42" s="156" t="b">
        <v>0</v>
      </c>
      <c r="U42" s="157">
        <v>44698.0</v>
      </c>
      <c r="V42" s="158">
        <v>0.46875</v>
      </c>
      <c r="W42" s="149" t="s">
        <v>203</v>
      </c>
      <c r="X42" s="51"/>
      <c r="Y42" s="155" t="b">
        <v>0</v>
      </c>
      <c r="Z42" s="121">
        <v>15.0</v>
      </c>
      <c r="AA42" s="159">
        <f t="shared" si="1"/>
        <v>3</v>
      </c>
      <c r="AB42" s="160" t="b">
        <v>1</v>
      </c>
      <c r="AC42" s="121">
        <v>13.0</v>
      </c>
      <c r="AD42" s="121">
        <v>0.0</v>
      </c>
      <c r="AE42" s="184">
        <v>0.0</v>
      </c>
      <c r="AF42" s="161">
        <v>0.0</v>
      </c>
      <c r="AG42" s="121">
        <v>0.0</v>
      </c>
      <c r="AH42" s="162">
        <v>0.0</v>
      </c>
      <c r="AI42" s="163">
        <v>0.0</v>
      </c>
      <c r="AJ42" s="121" t="b">
        <v>0</v>
      </c>
      <c r="AK42" s="164">
        <v>13.0</v>
      </c>
      <c r="AL42" s="121">
        <v>0.0</v>
      </c>
      <c r="AM42" s="121">
        <v>0.0</v>
      </c>
      <c r="AN42" s="159" t="str">
        <f>IFNA(VLOOKUP($A42,'Tube Reactions'!$J$2:$K96,2,FALSE),"")</f>
        <v/>
      </c>
      <c r="AO42" s="165" t="str">
        <f t="shared" si="2"/>
        <v/>
      </c>
      <c r="AP42" s="166" t="str">
        <f t="shared" si="3"/>
        <v>Absent</v>
      </c>
      <c r="AQ42" s="167" t="b">
        <f t="shared" si="4"/>
        <v>0</v>
      </c>
      <c r="AR42" s="185">
        <v>41.0</v>
      </c>
      <c r="AS42" s="169"/>
      <c r="AT42" s="149"/>
      <c r="AU42" s="121" t="s">
        <v>204</v>
      </c>
      <c r="AV42" s="170">
        <v>15.0</v>
      </c>
      <c r="AW42" s="121" t="b">
        <v>1</v>
      </c>
      <c r="AX42" s="171"/>
      <c r="AY42" s="159">
        <f t="shared" si="5"/>
        <v>2</v>
      </c>
      <c r="AZ42" s="172"/>
      <c r="BA42" s="173" t="b">
        <v>1</v>
      </c>
      <c r="BB42" s="165" t="b">
        <f t="shared" si="6"/>
        <v>1</v>
      </c>
      <c r="BC42" s="159" t="b">
        <f t="shared" si="7"/>
        <v>1</v>
      </c>
      <c r="BD42" s="159">
        <f t="shared" si="8"/>
        <v>13</v>
      </c>
      <c r="BE42" s="174"/>
      <c r="BF42" s="175">
        <f t="shared" si="9"/>
        <v>44698</v>
      </c>
      <c r="BG42" s="165" t="str">
        <f t="shared" si="10"/>
        <v>RUN-COMB_2022-05-17_RFR-041</v>
      </c>
      <c r="BH42" s="159">
        <f t="shared" si="11"/>
        <v>12</v>
      </c>
      <c r="BI42" s="159">
        <f t="shared" si="12"/>
        <v>15</v>
      </c>
      <c r="BJ42" s="159">
        <f t="shared" si="13"/>
        <v>13</v>
      </c>
      <c r="BK42" s="159">
        <f t="shared" si="14"/>
        <v>0</v>
      </c>
      <c r="BL42" s="183">
        <f>IFNA(IF(VLOOKUP(FLOOR($B42,1),'APS Tubes by Date Import'!$B$2:$L96,1,FALSE)=FLOOR($BL41,1),IFERROR(0/0,""),VLOOKUP(FLOOR($B42,1),'APS Tubes by Date Import'!$B$2:$L96,1,FALSE)),"")</f>
        <v>44698</v>
      </c>
      <c r="BM42" s="176">
        <f>IF(ISBLANK($BL42),IFERROR(0/0,""),VLOOKUP(FLOOR($B42,1),'APS Tubes by Date Import'!$B$2:$L96,2,FALSE))</f>
        <v>13</v>
      </c>
      <c r="BN42" s="159" t="str">
        <f>VLOOKUP(FLOOR($B42,1),'APS Tubes by Date Import'!$B42:$L96,11,FALSE)</f>
        <v>#N/A</v>
      </c>
      <c r="BO42" s="159" t="str">
        <f>VLOOKUP(FLOOR($B42,1),'APS Tubes by Date Import'!$B42:$I96,6,FALSE)</f>
        <v>#N/A</v>
      </c>
      <c r="BP42" s="159">
        <f t="shared" si="15"/>
        <v>13</v>
      </c>
      <c r="BQ42" s="177">
        <f t="shared" si="16"/>
        <v>0</v>
      </c>
      <c r="BR42" s="149"/>
      <c r="BS42" s="175" t="b">
        <f t="shared" si="17"/>
        <v>1</v>
      </c>
      <c r="BT42" s="178" t="str">
        <f t="shared" si="18"/>
        <v/>
      </c>
      <c r="BU42" s="179"/>
      <c r="BV42" s="180">
        <f t="shared" si="19"/>
        <v>0</v>
      </c>
      <c r="BW42" s="181"/>
      <c r="BX42" s="181"/>
      <c r="BY42" s="181"/>
      <c r="BZ42" s="181"/>
      <c r="CA42" s="181"/>
      <c r="CB42" s="181"/>
      <c r="CC42" s="181"/>
    </row>
    <row r="43">
      <c r="A43" s="147" t="str">
        <f>CONCATENATE("RUN-",'Process Ref'!$A$1,"_",TEXT(U43,"YYYY-MM-DD"),"_RFR-",TEXT(AR43,"000"),IF(EXACT(W43,"Initial"),"",CONCATENATE("_",W43)))</f>
        <v>RUN-COMB_2022-05-18_RFR-042</v>
      </c>
      <c r="B43" s="148">
        <v>44700.34700231482</v>
      </c>
      <c r="C43" s="149"/>
      <c r="D43" s="149" t="s">
        <v>199</v>
      </c>
      <c r="E43" s="121">
        <v>37.0</v>
      </c>
      <c r="F43" s="149" t="s">
        <v>342</v>
      </c>
      <c r="G43" s="151" t="s">
        <v>343</v>
      </c>
      <c r="H43" s="151"/>
      <c r="I43" s="151" t="s">
        <v>344</v>
      </c>
      <c r="J43" s="121">
        <v>0.0</v>
      </c>
      <c r="K43" s="152"/>
      <c r="L43" s="149"/>
      <c r="M43" s="153"/>
      <c r="N43" s="153"/>
      <c r="O43" s="154"/>
      <c r="P43" s="155" t="b">
        <v>0</v>
      </c>
      <c r="Q43" s="155" t="b">
        <v>0</v>
      </c>
      <c r="R43" s="51"/>
      <c r="S43" s="155" t="b">
        <v>0</v>
      </c>
      <c r="T43" s="156" t="b">
        <v>0</v>
      </c>
      <c r="U43" s="157">
        <v>44699.0</v>
      </c>
      <c r="V43" s="158">
        <v>0.4930555555555556</v>
      </c>
      <c r="W43" s="149" t="s">
        <v>203</v>
      </c>
      <c r="X43" s="51"/>
      <c r="Y43" s="155" t="b">
        <v>0</v>
      </c>
      <c r="Z43" s="121">
        <v>12.0</v>
      </c>
      <c r="AA43" s="159">
        <f t="shared" si="1"/>
        <v>-25</v>
      </c>
      <c r="AB43" s="160" t="b">
        <v>1</v>
      </c>
      <c r="AC43" s="121">
        <v>10.0</v>
      </c>
      <c r="AD43" s="121">
        <v>0.0</v>
      </c>
      <c r="AE43" s="184">
        <v>0.0</v>
      </c>
      <c r="AF43" s="161">
        <v>0.0</v>
      </c>
      <c r="AG43" s="121">
        <v>0.0</v>
      </c>
      <c r="AH43" s="162">
        <v>0.0</v>
      </c>
      <c r="AI43" s="163">
        <v>0.0</v>
      </c>
      <c r="AJ43" s="121" t="b">
        <v>0</v>
      </c>
      <c r="AK43" s="164">
        <v>10.0</v>
      </c>
      <c r="AL43" s="121">
        <v>0.0</v>
      </c>
      <c r="AM43" s="121">
        <v>0.0</v>
      </c>
      <c r="AN43" s="159" t="str">
        <f>IFNA(VLOOKUP($A43,'Tube Reactions'!$J$2:$K96,2,FALSE),"")</f>
        <v/>
      </c>
      <c r="AO43" s="165" t="str">
        <f t="shared" si="2"/>
        <v/>
      </c>
      <c r="AP43" s="166" t="str">
        <f t="shared" si="3"/>
        <v>Absent</v>
      </c>
      <c r="AQ43" s="167" t="b">
        <f t="shared" si="4"/>
        <v>0</v>
      </c>
      <c r="AR43" s="185">
        <v>42.0</v>
      </c>
      <c r="AS43" s="169"/>
      <c r="AT43" s="149"/>
      <c r="AU43" s="121" t="s">
        <v>204</v>
      </c>
      <c r="AV43" s="170">
        <v>12.0</v>
      </c>
      <c r="AW43" s="121" t="b">
        <v>1</v>
      </c>
      <c r="AX43" s="171"/>
      <c r="AY43" s="159">
        <f t="shared" si="5"/>
        <v>2</v>
      </c>
      <c r="AZ43" s="172"/>
      <c r="BA43" s="173" t="b">
        <v>1</v>
      </c>
      <c r="BB43" s="165" t="b">
        <f t="shared" si="6"/>
        <v>1</v>
      </c>
      <c r="BC43" s="159" t="b">
        <f t="shared" si="7"/>
        <v>1</v>
      </c>
      <c r="BD43" s="159">
        <f t="shared" si="8"/>
        <v>10</v>
      </c>
      <c r="BE43" s="174"/>
      <c r="BF43" s="175">
        <f t="shared" si="9"/>
        <v>44699</v>
      </c>
      <c r="BG43" s="165" t="str">
        <f t="shared" si="10"/>
        <v>RUN-COMB_2022-05-18_RFR-042</v>
      </c>
      <c r="BH43" s="159">
        <f t="shared" si="11"/>
        <v>37</v>
      </c>
      <c r="BI43" s="159">
        <f t="shared" si="12"/>
        <v>12</v>
      </c>
      <c r="BJ43" s="159">
        <f t="shared" si="13"/>
        <v>10</v>
      </c>
      <c r="BK43" s="159">
        <f t="shared" si="14"/>
        <v>0</v>
      </c>
      <c r="BL43" s="183">
        <f>IFNA(IF(VLOOKUP(FLOOR($B43,1),'APS Tubes by Date Import'!$B$2:$L96,1,FALSE)=FLOOR($BL42,1),IFERROR(0/0,""),VLOOKUP(FLOOR($B43,1),'APS Tubes by Date Import'!$B$2:$L96,1,FALSE)),"")</f>
        <v>44700</v>
      </c>
      <c r="BM43" s="176">
        <f>IF(ISBLANK($BL43),IFERROR(0/0,""),VLOOKUP(FLOOR($B43,1),'APS Tubes by Date Import'!$B$2:$L96,2,FALSE))</f>
        <v>37</v>
      </c>
      <c r="BN43" s="159" t="str">
        <f>VLOOKUP(FLOOR($B43,1),'APS Tubes by Date Import'!$B43:$L96,11,FALSE)</f>
        <v>#N/A</v>
      </c>
      <c r="BO43" s="159" t="str">
        <f>VLOOKUP(FLOOR($B43,1),'APS Tubes by Date Import'!$B43:$I96,6,FALSE)</f>
        <v>#N/A</v>
      </c>
      <c r="BP43" s="159">
        <f t="shared" si="15"/>
        <v>10</v>
      </c>
      <c r="BQ43" s="177">
        <f t="shared" si="16"/>
        <v>-27</v>
      </c>
      <c r="BR43" s="149"/>
      <c r="BS43" s="175" t="b">
        <f t="shared" si="17"/>
        <v>1</v>
      </c>
      <c r="BT43" s="178" t="str">
        <f t="shared" si="18"/>
        <v/>
      </c>
      <c r="BU43" s="179"/>
      <c r="BV43" s="180">
        <f t="shared" si="19"/>
        <v>0</v>
      </c>
      <c r="BW43" s="181"/>
      <c r="BX43" s="181"/>
      <c r="BY43" s="181"/>
      <c r="BZ43" s="181"/>
      <c r="CA43" s="181"/>
      <c r="CB43" s="181"/>
      <c r="CC43" s="181"/>
    </row>
    <row r="44">
      <c r="A44" s="147" t="str">
        <f>CONCATENATE("RUN-",'Process Ref'!$A$1,"_",TEXT(U44,"YYYY-MM-DD"),"_RFR-",TEXT(AR44,"000"),IF(EXACT(W44,"Initial"),"",CONCATENATE("_",W44)))</f>
        <v>RUN-COMB_2022-05-19_RFR-043</v>
      </c>
      <c r="B44" s="148">
        <v>44700.36545138889</v>
      </c>
      <c r="C44" s="149"/>
      <c r="D44" s="149" t="s">
        <v>199</v>
      </c>
      <c r="E44" s="121">
        <v>37.0</v>
      </c>
      <c r="F44" s="149" t="s">
        <v>345</v>
      </c>
      <c r="G44" s="150" t="s">
        <v>346</v>
      </c>
      <c r="H44" s="150"/>
      <c r="I44" s="150" t="s">
        <v>347</v>
      </c>
      <c r="J44" s="121">
        <v>0.0</v>
      </c>
      <c r="K44" s="152"/>
      <c r="L44" s="149"/>
      <c r="M44" s="153"/>
      <c r="N44" s="153"/>
      <c r="O44" s="154"/>
      <c r="P44" s="155" t="b">
        <v>0</v>
      </c>
      <c r="Q44" s="155" t="b">
        <v>0</v>
      </c>
      <c r="R44" s="51"/>
      <c r="S44" s="155" t="b">
        <v>0</v>
      </c>
      <c r="T44" s="156" t="b">
        <v>0</v>
      </c>
      <c r="U44" s="157">
        <v>44700.0</v>
      </c>
      <c r="V44" s="158">
        <v>0.4895833333333333</v>
      </c>
      <c r="W44" s="149" t="s">
        <v>203</v>
      </c>
      <c r="X44" s="51"/>
      <c r="Y44" s="155" t="b">
        <v>0</v>
      </c>
      <c r="Z44" s="121">
        <v>39.0</v>
      </c>
      <c r="AA44" s="159">
        <f t="shared" si="1"/>
        <v>2</v>
      </c>
      <c r="AB44" s="160" t="b">
        <v>0</v>
      </c>
      <c r="AC44" s="121">
        <v>37.0</v>
      </c>
      <c r="AD44" s="121">
        <v>0.0</v>
      </c>
      <c r="AE44" s="184">
        <v>0.0</v>
      </c>
      <c r="AF44" s="161">
        <v>0.0</v>
      </c>
      <c r="AG44" s="121">
        <v>0.0</v>
      </c>
      <c r="AH44" s="162">
        <v>0.0</v>
      </c>
      <c r="AI44" s="163">
        <v>0.0</v>
      </c>
      <c r="AJ44" s="121" t="b">
        <v>0</v>
      </c>
      <c r="AK44" s="164">
        <v>37.0</v>
      </c>
      <c r="AL44" s="121">
        <v>0.0</v>
      </c>
      <c r="AM44" s="121">
        <v>0.0</v>
      </c>
      <c r="AN44" s="159" t="str">
        <f>IFNA(VLOOKUP($A44,'Tube Reactions'!$J$2:$K96,2,FALSE),"")</f>
        <v/>
      </c>
      <c r="AO44" s="165" t="str">
        <f t="shared" si="2"/>
        <v/>
      </c>
      <c r="AP44" s="166" t="str">
        <f t="shared" si="3"/>
        <v>Absent</v>
      </c>
      <c r="AQ44" s="167" t="b">
        <f t="shared" si="4"/>
        <v>0</v>
      </c>
      <c r="AR44" s="185">
        <v>43.0</v>
      </c>
      <c r="AS44" s="169"/>
      <c r="AT44" s="149"/>
      <c r="AU44" s="121" t="s">
        <v>204</v>
      </c>
      <c r="AV44" s="170">
        <v>39.0</v>
      </c>
      <c r="AW44" s="121" t="b">
        <v>1</v>
      </c>
      <c r="AX44" s="171"/>
      <c r="AY44" s="159">
        <f t="shared" si="5"/>
        <v>2</v>
      </c>
      <c r="AZ44" s="172"/>
      <c r="BA44" s="173" t="b">
        <v>1</v>
      </c>
      <c r="BB44" s="165" t="b">
        <f t="shared" si="6"/>
        <v>1</v>
      </c>
      <c r="BC44" s="159" t="b">
        <f t="shared" si="7"/>
        <v>1</v>
      </c>
      <c r="BD44" s="159">
        <f t="shared" si="8"/>
        <v>37</v>
      </c>
      <c r="BE44" s="174"/>
      <c r="BF44" s="175">
        <f t="shared" si="9"/>
        <v>44700</v>
      </c>
      <c r="BG44" s="165" t="str">
        <f t="shared" si="10"/>
        <v>RUN-COMB_2022-05-19_RFR-043</v>
      </c>
      <c r="BH44" s="159">
        <f t="shared" si="11"/>
        <v>37</v>
      </c>
      <c r="BI44" s="159">
        <f t="shared" si="12"/>
        <v>39</v>
      </c>
      <c r="BJ44" s="159">
        <f t="shared" si="13"/>
        <v>37</v>
      </c>
      <c r="BK44" s="159">
        <f t="shared" si="14"/>
        <v>0</v>
      </c>
      <c r="BL44" s="183" t="str">
        <f>IFNA(IF(VLOOKUP(FLOOR($B44,1),'APS Tubes by Date Import'!$B$2:$L96,1,FALSE)=FLOOR($BL43,1),IFERROR(0/0,""),VLOOKUP(FLOOR($B44,1),'APS Tubes by Date Import'!$B$2:$L96,1,FALSE)),"")</f>
        <v/>
      </c>
      <c r="BM44" s="176" t="str">
        <f>IF(ISBLANK($BL44),IFERROR(0/0,""),VLOOKUP(FLOOR($B44,1),'APS Tubes by Date Import'!$B$2:$L96,2,FALSE))</f>
        <v/>
      </c>
      <c r="BN44" s="159" t="str">
        <f>VLOOKUP(FLOOR($B44,1),'APS Tubes by Date Import'!$B44:$L96,11,FALSE)</f>
        <v>#N/A</v>
      </c>
      <c r="BO44" s="159" t="str">
        <f>VLOOKUP(FLOOR($B44,1),'APS Tubes by Date Import'!$B44:$I96,6,FALSE)</f>
        <v>#N/A</v>
      </c>
      <c r="BP44" s="159">
        <f t="shared" si="15"/>
        <v>37</v>
      </c>
      <c r="BQ44" s="177">
        <f t="shared" si="16"/>
        <v>37</v>
      </c>
      <c r="BR44" s="149"/>
      <c r="BS44" s="175" t="b">
        <f t="shared" si="17"/>
        <v>1</v>
      </c>
      <c r="BT44" s="178" t="str">
        <f t="shared" si="18"/>
        <v/>
      </c>
      <c r="BU44" s="179"/>
      <c r="BV44" s="180">
        <f t="shared" si="19"/>
        <v>0</v>
      </c>
      <c r="BW44" s="181"/>
      <c r="BX44" s="181"/>
      <c r="BY44" s="181"/>
      <c r="BZ44" s="181"/>
      <c r="CA44" s="181"/>
      <c r="CB44" s="181"/>
      <c r="CC44" s="181"/>
    </row>
    <row r="45">
      <c r="A45" s="147" t="str">
        <f>CONCATENATE("RUN-",'Process Ref'!$A$1,"_",TEXT(U45,"YYYY-MM-DD"),"_RFR-",TEXT(AR45,"000"),IF(EXACT(W45,"Initial"),"",CONCATENATE("_",W45)))</f>
        <v>RUN-COMB_2022-05-20_RFR-044</v>
      </c>
      <c r="B45" s="148">
        <v>44701.61802083333</v>
      </c>
      <c r="C45" s="149"/>
      <c r="D45" s="149" t="s">
        <v>199</v>
      </c>
      <c r="E45" s="121">
        <v>13.0</v>
      </c>
      <c r="F45" s="149" t="s">
        <v>348</v>
      </c>
      <c r="G45" s="150" t="s">
        <v>349</v>
      </c>
      <c r="H45" s="150"/>
      <c r="I45" s="150" t="s">
        <v>350</v>
      </c>
      <c r="J45" s="55"/>
      <c r="K45" s="152"/>
      <c r="L45" s="149"/>
      <c r="M45" s="153"/>
      <c r="N45" s="153"/>
      <c r="O45" s="154"/>
      <c r="P45" s="155" t="b">
        <v>0</v>
      </c>
      <c r="Q45" s="155" t="b">
        <v>0</v>
      </c>
      <c r="R45" s="51"/>
      <c r="S45" s="155" t="b">
        <v>0</v>
      </c>
      <c r="T45" s="156" t="b">
        <v>0</v>
      </c>
      <c r="U45" s="157">
        <v>44701.0</v>
      </c>
      <c r="V45" s="158">
        <v>0.4930555555555556</v>
      </c>
      <c r="W45" s="149" t="s">
        <v>203</v>
      </c>
      <c r="X45" s="51"/>
      <c r="Y45" s="155" t="b">
        <v>0</v>
      </c>
      <c r="Z45" s="121">
        <v>15.0</v>
      </c>
      <c r="AA45" s="159">
        <f t="shared" si="1"/>
        <v>2</v>
      </c>
      <c r="AB45" s="160" t="b">
        <v>0</v>
      </c>
      <c r="AC45" s="121">
        <v>13.0</v>
      </c>
      <c r="AD45" s="121">
        <v>0.0</v>
      </c>
      <c r="AE45" s="184">
        <v>0.0</v>
      </c>
      <c r="AF45" s="161">
        <v>0.0</v>
      </c>
      <c r="AG45" s="121">
        <v>0.0</v>
      </c>
      <c r="AH45" s="162">
        <v>0.0</v>
      </c>
      <c r="AI45" s="163">
        <v>0.0</v>
      </c>
      <c r="AJ45" s="121" t="b">
        <v>0</v>
      </c>
      <c r="AK45" s="164">
        <v>13.0</v>
      </c>
      <c r="AL45" s="121">
        <v>0.0</v>
      </c>
      <c r="AM45" s="121">
        <v>0.0</v>
      </c>
      <c r="AN45" s="159" t="str">
        <f>IFNA(VLOOKUP($A45,'Tube Reactions'!$J$2:$K96,2,FALSE),"")</f>
        <v/>
      </c>
      <c r="AO45" s="165" t="str">
        <f t="shared" si="2"/>
        <v/>
      </c>
      <c r="AP45" s="166" t="str">
        <f t="shared" si="3"/>
        <v>Absent</v>
      </c>
      <c r="AQ45" s="167" t="b">
        <f t="shared" si="4"/>
        <v>0</v>
      </c>
      <c r="AR45" s="185">
        <v>44.0</v>
      </c>
      <c r="AS45" s="169"/>
      <c r="AT45" s="149"/>
      <c r="AU45" s="121" t="s">
        <v>204</v>
      </c>
      <c r="AV45" s="170">
        <v>15.0</v>
      </c>
      <c r="AW45" s="121" t="b">
        <v>1</v>
      </c>
      <c r="AX45" s="171"/>
      <c r="AY45" s="159">
        <f t="shared" si="5"/>
        <v>2</v>
      </c>
      <c r="AZ45" s="172"/>
      <c r="BA45" s="173" t="b">
        <v>1</v>
      </c>
      <c r="BB45" s="165" t="b">
        <f t="shared" si="6"/>
        <v>1</v>
      </c>
      <c r="BC45" s="159" t="b">
        <f t="shared" si="7"/>
        <v>1</v>
      </c>
      <c r="BD45" s="159">
        <f t="shared" si="8"/>
        <v>13</v>
      </c>
      <c r="BE45" s="174"/>
      <c r="BF45" s="175">
        <f t="shared" si="9"/>
        <v>44701</v>
      </c>
      <c r="BG45" s="165" t="str">
        <f t="shared" si="10"/>
        <v>RUN-COMB_2022-05-20_RFR-044</v>
      </c>
      <c r="BH45" s="159">
        <f t="shared" si="11"/>
        <v>13</v>
      </c>
      <c r="BI45" s="159">
        <f t="shared" si="12"/>
        <v>15</v>
      </c>
      <c r="BJ45" s="159">
        <f t="shared" si="13"/>
        <v>13</v>
      </c>
      <c r="BK45" s="159">
        <f t="shared" si="14"/>
        <v>0</v>
      </c>
      <c r="BL45" s="183">
        <f>IFNA(IF(VLOOKUP(FLOOR($B45,1),'APS Tubes by Date Import'!$B$2:$L96,1,FALSE)=FLOOR($BL44,1),IFERROR(0/0,""),VLOOKUP(FLOOR($B45,1),'APS Tubes by Date Import'!$B$2:$L96,1,FALSE)),"")</f>
        <v>44701</v>
      </c>
      <c r="BM45" s="176">
        <f>IF(ISBLANK($BL45),IFERROR(0/0,""),VLOOKUP(FLOOR($B45,1),'APS Tubes by Date Import'!$B$2:$L96,2,FALSE))</f>
        <v>13</v>
      </c>
      <c r="BN45" s="159" t="str">
        <f>VLOOKUP(FLOOR($B45,1),'APS Tubes by Date Import'!$B45:$L96,11,FALSE)</f>
        <v>#N/A</v>
      </c>
      <c r="BO45" s="159" t="str">
        <f>VLOOKUP(FLOOR($B45,1),'APS Tubes by Date Import'!$B45:$I96,6,FALSE)</f>
        <v>#N/A</v>
      </c>
      <c r="BP45" s="159">
        <f t="shared" si="15"/>
        <v>13</v>
      </c>
      <c r="BQ45" s="177">
        <f t="shared" si="16"/>
        <v>0</v>
      </c>
      <c r="BR45" s="149"/>
      <c r="BS45" s="175" t="b">
        <f t="shared" si="17"/>
        <v>1</v>
      </c>
      <c r="BT45" s="178" t="str">
        <f t="shared" si="18"/>
        <v/>
      </c>
      <c r="BU45" s="179"/>
      <c r="BV45" s="180">
        <f t="shared" si="19"/>
        <v>0</v>
      </c>
      <c r="BW45" s="181"/>
      <c r="BX45" s="181"/>
      <c r="BY45" s="181"/>
      <c r="BZ45" s="181"/>
      <c r="CA45" s="181"/>
      <c r="CB45" s="181"/>
      <c r="CC45" s="181"/>
    </row>
    <row r="46">
      <c r="A46" s="147" t="str">
        <f>CONCATENATE("RUN-",'Process Ref'!$A$1,"_",TEXT(U46,"YYYY-MM-DD"),"_RFR-",TEXT(AR46,"000"),IF(EXACT(W46,"Initial"),"",CONCATENATE("_",W46)))</f>
        <v>RUN-COMB_2022-05-25_RFR-045</v>
      </c>
      <c r="B46" s="148">
        <v>44706.8353125</v>
      </c>
      <c r="C46" s="149"/>
      <c r="D46" s="149" t="s">
        <v>199</v>
      </c>
      <c r="E46" s="121">
        <v>32.0</v>
      </c>
      <c r="F46" s="149" t="s">
        <v>351</v>
      </c>
      <c r="G46" s="150" t="s">
        <v>352</v>
      </c>
      <c r="H46" s="150"/>
      <c r="I46" s="150" t="s">
        <v>353</v>
      </c>
      <c r="J46" s="121">
        <v>1.0</v>
      </c>
      <c r="K46" s="182" t="s">
        <v>354</v>
      </c>
      <c r="L46" s="149"/>
      <c r="M46" s="153"/>
      <c r="N46" s="153">
        <v>2.1</v>
      </c>
      <c r="O46" s="154"/>
      <c r="P46" s="155" t="b">
        <v>1</v>
      </c>
      <c r="Q46" s="155" t="b">
        <v>0</v>
      </c>
      <c r="R46" s="51"/>
      <c r="S46" s="155" t="b">
        <v>0</v>
      </c>
      <c r="T46" s="156" t="b">
        <v>1</v>
      </c>
      <c r="U46" s="157">
        <v>44706.0</v>
      </c>
      <c r="V46" s="158">
        <v>0.40625</v>
      </c>
      <c r="W46" s="149" t="s">
        <v>203</v>
      </c>
      <c r="X46" s="51"/>
      <c r="Y46" s="155" t="b">
        <v>1</v>
      </c>
      <c r="Z46" s="121">
        <v>34.0</v>
      </c>
      <c r="AA46" s="159">
        <f t="shared" si="1"/>
        <v>2</v>
      </c>
      <c r="AB46" s="160" t="b">
        <v>0</v>
      </c>
      <c r="AC46" s="121">
        <v>32.0</v>
      </c>
      <c r="AD46" s="121">
        <v>0.0</v>
      </c>
      <c r="AE46" s="184">
        <v>0.0</v>
      </c>
      <c r="AF46" s="161">
        <v>0.0</v>
      </c>
      <c r="AG46" s="121">
        <v>0.0</v>
      </c>
      <c r="AH46" s="162">
        <v>0.0</v>
      </c>
      <c r="AI46" s="163">
        <v>0.0</v>
      </c>
      <c r="AJ46" s="121" t="b">
        <v>0</v>
      </c>
      <c r="AK46" s="164">
        <v>32.0</v>
      </c>
      <c r="AL46" s="121">
        <v>0.0</v>
      </c>
      <c r="AM46" s="121">
        <v>1.0</v>
      </c>
      <c r="AN46" s="159" t="str">
        <f>IFNA(VLOOKUP($A46,'Tube Reactions'!$J$2:$K96,2,FALSE),"")</f>
        <v/>
      </c>
      <c r="AO46" s="165" t="str">
        <f t="shared" si="2"/>
        <v>NOT EQUAL</v>
      </c>
      <c r="AP46" s="166" t="str">
        <f t="shared" si="3"/>
        <v>Absent</v>
      </c>
      <c r="AQ46" s="167" t="b">
        <f t="shared" si="4"/>
        <v>0</v>
      </c>
      <c r="AR46" s="185">
        <v>45.0</v>
      </c>
      <c r="AS46" s="169"/>
      <c r="AT46" s="149"/>
      <c r="AU46" s="121" t="s">
        <v>204</v>
      </c>
      <c r="AV46" s="170">
        <v>34.0</v>
      </c>
      <c r="AW46" s="121" t="b">
        <v>1</v>
      </c>
      <c r="AX46" s="171"/>
      <c r="AY46" s="159">
        <f t="shared" si="5"/>
        <v>2</v>
      </c>
      <c r="AZ46" s="172"/>
      <c r="BA46" s="173" t="b">
        <v>0</v>
      </c>
      <c r="BB46" s="165" t="str">
        <f t="shared" si="6"/>
        <v/>
      </c>
      <c r="BC46" s="159" t="str">
        <f t="shared" si="7"/>
        <v/>
      </c>
      <c r="BD46" s="159" t="str">
        <f t="shared" si="8"/>
        <v/>
      </c>
      <c r="BE46" s="174"/>
      <c r="BF46" s="175">
        <f t="shared" si="9"/>
        <v>44706</v>
      </c>
      <c r="BG46" s="165" t="str">
        <f t="shared" si="10"/>
        <v>RUN-COMB_2022-05-25_RFR-045</v>
      </c>
      <c r="BH46" s="159">
        <f t="shared" si="11"/>
        <v>32</v>
      </c>
      <c r="BI46" s="159">
        <f t="shared" si="12"/>
        <v>34</v>
      </c>
      <c r="BJ46" s="159">
        <f t="shared" si="13"/>
        <v>32</v>
      </c>
      <c r="BK46" s="159">
        <f t="shared" si="14"/>
        <v>0</v>
      </c>
      <c r="BL46" s="183">
        <f>IFNA(IF(VLOOKUP(FLOOR($B46,1),'APS Tubes by Date Import'!$B$2:$L96,1,FALSE)=FLOOR($BL45,1),IFERROR(0/0,""),VLOOKUP(FLOOR($B46,1),'APS Tubes by Date Import'!$B$2:$L96,1,FALSE)),"")</f>
        <v>44706</v>
      </c>
      <c r="BM46" s="176">
        <f>IF(ISBLANK($BL46),IFERROR(0/0,""),VLOOKUP(FLOOR($B46,1),'APS Tubes by Date Import'!$B$2:$L96,2,FALSE))</f>
        <v>32</v>
      </c>
      <c r="BN46" s="159" t="str">
        <f>VLOOKUP(FLOOR($B46,1),'APS Tubes by Date Import'!$B46:$L96,11,FALSE)</f>
        <v>#N/A</v>
      </c>
      <c r="BO46" s="159" t="str">
        <f>VLOOKUP(FLOOR($B46,1),'APS Tubes by Date Import'!$B46:$I96,6,FALSE)</f>
        <v>#N/A</v>
      </c>
      <c r="BP46" s="159">
        <f t="shared" si="15"/>
        <v>32</v>
      </c>
      <c r="BQ46" s="177">
        <f t="shared" si="16"/>
        <v>0</v>
      </c>
      <c r="BR46" s="149"/>
      <c r="BS46" s="175" t="b">
        <f t="shared" si="17"/>
        <v>1</v>
      </c>
      <c r="BT46" s="178" t="str">
        <f t="shared" si="18"/>
        <v/>
      </c>
      <c r="BU46" s="179"/>
      <c r="BV46" s="180">
        <f t="shared" si="19"/>
        <v>0</v>
      </c>
      <c r="BW46" s="181"/>
      <c r="BX46" s="181"/>
      <c r="BY46" s="181"/>
      <c r="BZ46" s="181"/>
      <c r="CA46" s="181"/>
      <c r="CB46" s="181"/>
      <c r="CC46" s="181"/>
    </row>
    <row r="47">
      <c r="A47" s="147" t="str">
        <f>CONCATENATE("RUN-",'Process Ref'!$A$1,"_",TEXT(U47,"YYYY-MM-DD"),"_RFR-",TEXT(AR47,"000"),IF(EXACT(W47,"Initial"),"",CONCATENATE("_",W47)))</f>
        <v>RUN-COMB_2022-05-25_RFR-046_Re-run</v>
      </c>
      <c r="B47" s="148">
        <v>44706.853854166664</v>
      </c>
      <c r="C47" s="149"/>
      <c r="D47" s="149" t="s">
        <v>199</v>
      </c>
      <c r="E47" s="121">
        <v>1.0</v>
      </c>
      <c r="F47" s="149" t="s">
        <v>355</v>
      </c>
      <c r="G47" s="151" t="s">
        <v>356</v>
      </c>
      <c r="H47" s="151"/>
      <c r="I47" s="151" t="s">
        <v>357</v>
      </c>
      <c r="J47" s="121">
        <v>0.0</v>
      </c>
      <c r="K47" s="152"/>
      <c r="L47" s="149"/>
      <c r="M47" s="153">
        <v>1.2</v>
      </c>
      <c r="N47" s="153"/>
      <c r="O47" s="154"/>
      <c r="P47" s="155" t="b">
        <v>0</v>
      </c>
      <c r="Q47" s="155" t="b">
        <v>0</v>
      </c>
      <c r="R47" s="51"/>
      <c r="S47" s="155" t="b">
        <v>0</v>
      </c>
      <c r="T47" s="156" t="b">
        <v>1</v>
      </c>
      <c r="U47" s="157">
        <v>44706.0</v>
      </c>
      <c r="V47" s="158">
        <v>0.4270833333333333</v>
      </c>
      <c r="W47" s="149" t="s">
        <v>216</v>
      </c>
      <c r="X47" s="51"/>
      <c r="Y47" s="155" t="b">
        <v>0</v>
      </c>
      <c r="Z47" s="121">
        <v>5.0</v>
      </c>
      <c r="AA47" s="159">
        <f t="shared" si="1"/>
        <v>4</v>
      </c>
      <c r="AB47" s="160" t="b">
        <v>1</v>
      </c>
      <c r="AC47" s="121">
        <v>3.0</v>
      </c>
      <c r="AD47" s="121">
        <v>0.0</v>
      </c>
      <c r="AE47" s="184">
        <v>0.0</v>
      </c>
      <c r="AF47" s="161">
        <v>0.0</v>
      </c>
      <c r="AG47" s="121">
        <v>0.0</v>
      </c>
      <c r="AH47" s="162">
        <v>0.0</v>
      </c>
      <c r="AI47" s="163">
        <v>0.0</v>
      </c>
      <c r="AJ47" s="121" t="b">
        <v>0</v>
      </c>
      <c r="AK47" s="164">
        <v>1.0</v>
      </c>
      <c r="AL47" s="121">
        <v>0.0</v>
      </c>
      <c r="AM47" s="55" t="str">
        <f>IF(EXACT(W47,"Initial"),"Audit","")</f>
        <v/>
      </c>
      <c r="AN47" s="159" t="str">
        <f>IFNA(VLOOKUP($A47,'Tube Reactions'!$J$2:$K96,2,FALSE),"")</f>
        <v/>
      </c>
      <c r="AO47" s="165" t="str">
        <f t="shared" si="2"/>
        <v/>
      </c>
      <c r="AP47" s="166" t="str">
        <f t="shared" si="3"/>
        <v>Absent</v>
      </c>
      <c r="AQ47" s="167" t="b">
        <f t="shared" si="4"/>
        <v>0</v>
      </c>
      <c r="AR47" s="185">
        <v>46.0</v>
      </c>
      <c r="AS47" s="169"/>
      <c r="AT47" s="149"/>
      <c r="AU47" s="121" t="s">
        <v>204</v>
      </c>
      <c r="AV47" s="170">
        <v>5.0</v>
      </c>
      <c r="AW47" s="121" t="b">
        <v>1</v>
      </c>
      <c r="AX47" s="171"/>
      <c r="AY47" s="159">
        <f t="shared" si="5"/>
        <v>2</v>
      </c>
      <c r="AZ47" s="172"/>
      <c r="BA47" s="173" t="b">
        <v>0</v>
      </c>
      <c r="BB47" s="165" t="str">
        <f t="shared" si="6"/>
        <v/>
      </c>
      <c r="BC47" s="159" t="str">
        <f t="shared" si="7"/>
        <v/>
      </c>
      <c r="BD47" s="159" t="str">
        <f t="shared" si="8"/>
        <v/>
      </c>
      <c r="BE47" s="174"/>
      <c r="BF47" s="175" t="str">
        <f t="shared" si="9"/>
        <v/>
      </c>
      <c r="BG47" s="165" t="str">
        <f t="shared" si="10"/>
        <v/>
      </c>
      <c r="BH47" s="159" t="str">
        <f t="shared" si="11"/>
        <v/>
      </c>
      <c r="BI47" s="159" t="str">
        <f t="shared" si="12"/>
        <v/>
      </c>
      <c r="BJ47" s="159" t="str">
        <f t="shared" si="13"/>
        <v/>
      </c>
      <c r="BK47" s="159" t="str">
        <f t="shared" si="14"/>
        <v/>
      </c>
      <c r="BL47" s="183" t="str">
        <f>IFNA(IF(VLOOKUP(FLOOR($B47,1),'APS Tubes by Date Import'!$B$2:$L96,1,FALSE)=FLOOR($BL46,1),IFERROR(0/0,""),VLOOKUP(FLOOR($B47,1),'APS Tubes by Date Import'!$B$2:$L96,1,FALSE)),"")</f>
        <v/>
      </c>
      <c r="BM47" s="176" t="str">
        <f>IF(ISBLANK($BL47),IFERROR(0/0,""),VLOOKUP(FLOOR($B47,1),'APS Tubes by Date Import'!$B$2:$L96,2,FALSE))</f>
        <v/>
      </c>
      <c r="BN47" s="159" t="str">
        <f>VLOOKUP(FLOOR($B47,1),'APS Tubes by Date Import'!$B47:$L96,11,FALSE)</f>
        <v>#N/A</v>
      </c>
      <c r="BO47" s="159" t="str">
        <f>VLOOKUP(FLOOR($B47,1),'APS Tubes by Date Import'!$B47:$I96,6,FALSE)</f>
        <v>#N/A</v>
      </c>
      <c r="BP47" s="159" t="str">
        <f t="shared" si="15"/>
        <v/>
      </c>
      <c r="BQ47" s="177">
        <f t="shared" si="16"/>
        <v>0</v>
      </c>
      <c r="BR47" s="149"/>
      <c r="BS47" s="175" t="str">
        <f t="shared" si="17"/>
        <v/>
      </c>
      <c r="BT47" s="178" t="str">
        <f t="shared" si="18"/>
        <v/>
      </c>
      <c r="BU47" s="179"/>
      <c r="BV47" s="180" t="str">
        <f t="shared" si="19"/>
        <v/>
      </c>
      <c r="BW47" s="181"/>
      <c r="BX47" s="181"/>
      <c r="BY47" s="181"/>
      <c r="BZ47" s="181"/>
      <c r="CA47" s="181"/>
      <c r="CB47" s="181"/>
      <c r="CC47" s="181"/>
    </row>
    <row r="48">
      <c r="A48" s="147" t="str">
        <f>CONCATENATE("RUN-",'Process Ref'!$A$1,"_",TEXT(U48,"YYYY-MM-DD"),"_RFR-",TEXT(AR48,"000"),IF(EXACT(W48,"Initial"),"",CONCATENATE("_",W48)))</f>
        <v>RUN-COMB_2022-05-26_RFR-047</v>
      </c>
      <c r="B48" s="148">
        <v>44707.368425925924</v>
      </c>
      <c r="C48" s="149"/>
      <c r="D48" s="149" t="s">
        <v>199</v>
      </c>
      <c r="E48" s="121">
        <v>19.0</v>
      </c>
      <c r="F48" s="149" t="s">
        <v>358</v>
      </c>
      <c r="G48" s="151" t="s">
        <v>359</v>
      </c>
      <c r="H48" s="151"/>
      <c r="I48" s="151" t="s">
        <v>360</v>
      </c>
      <c r="J48" s="121">
        <v>0.0</v>
      </c>
      <c r="K48" s="152"/>
      <c r="L48" s="149"/>
      <c r="M48" s="153"/>
      <c r="N48" s="153"/>
      <c r="O48" s="154"/>
      <c r="P48" s="155" t="b">
        <v>0</v>
      </c>
      <c r="Q48" s="155" t="b">
        <v>0</v>
      </c>
      <c r="R48" s="51"/>
      <c r="S48" s="155" t="b">
        <v>0</v>
      </c>
      <c r="T48" s="156" t="b">
        <v>0</v>
      </c>
      <c r="U48" s="157">
        <v>44707.0</v>
      </c>
      <c r="V48" s="158">
        <v>0.5</v>
      </c>
      <c r="W48" s="149" t="s">
        <v>203</v>
      </c>
      <c r="X48" s="51"/>
      <c r="Y48" s="155" t="b">
        <v>0</v>
      </c>
      <c r="Z48" s="121">
        <v>21.0</v>
      </c>
      <c r="AA48" s="159">
        <f t="shared" si="1"/>
        <v>2</v>
      </c>
      <c r="AB48" s="160" t="b">
        <v>0</v>
      </c>
      <c r="AC48" s="121">
        <v>19.0</v>
      </c>
      <c r="AD48" s="121">
        <v>0.0</v>
      </c>
      <c r="AE48" s="184">
        <v>0.0</v>
      </c>
      <c r="AF48" s="161">
        <v>0.0</v>
      </c>
      <c r="AG48" s="121">
        <v>0.0</v>
      </c>
      <c r="AH48" s="162">
        <v>0.0</v>
      </c>
      <c r="AI48" s="163">
        <v>0.0</v>
      </c>
      <c r="AJ48" s="121" t="b">
        <v>0</v>
      </c>
      <c r="AK48" s="164">
        <v>19.0</v>
      </c>
      <c r="AL48" s="121">
        <v>0.0</v>
      </c>
      <c r="AM48" s="121">
        <v>0.0</v>
      </c>
      <c r="AN48" s="159" t="str">
        <f>IFNA(VLOOKUP($A48,'Tube Reactions'!$J$2:$K96,2,FALSE),"")</f>
        <v/>
      </c>
      <c r="AO48" s="165" t="str">
        <f t="shared" si="2"/>
        <v/>
      </c>
      <c r="AP48" s="166" t="str">
        <f t="shared" si="3"/>
        <v>Absent</v>
      </c>
      <c r="AQ48" s="167" t="b">
        <f t="shared" si="4"/>
        <v>0</v>
      </c>
      <c r="AR48" s="185">
        <v>47.0</v>
      </c>
      <c r="AS48" s="169"/>
      <c r="AT48" s="149"/>
      <c r="AU48" s="121" t="s">
        <v>204</v>
      </c>
      <c r="AV48" s="55">
        <v>21.0</v>
      </c>
      <c r="AW48" s="149" t="b">
        <v>1</v>
      </c>
      <c r="AX48" s="171"/>
      <c r="AY48" s="159">
        <f t="shared" si="5"/>
        <v>2</v>
      </c>
      <c r="AZ48" s="172"/>
      <c r="BA48" s="173" t="b">
        <v>1</v>
      </c>
      <c r="BB48" s="165" t="b">
        <f t="shared" si="6"/>
        <v>1</v>
      </c>
      <c r="BC48" s="159" t="b">
        <f t="shared" si="7"/>
        <v>1</v>
      </c>
      <c r="BD48" s="159">
        <f t="shared" si="8"/>
        <v>19</v>
      </c>
      <c r="BE48" s="174"/>
      <c r="BF48" s="175">
        <f t="shared" si="9"/>
        <v>44707</v>
      </c>
      <c r="BG48" s="165" t="str">
        <f t="shared" si="10"/>
        <v>RUN-COMB_2022-05-26_RFR-047</v>
      </c>
      <c r="BH48" s="159">
        <f t="shared" si="11"/>
        <v>19</v>
      </c>
      <c r="BI48" s="159">
        <f t="shared" si="12"/>
        <v>21</v>
      </c>
      <c r="BJ48" s="159">
        <f t="shared" si="13"/>
        <v>19</v>
      </c>
      <c r="BK48" s="159">
        <f t="shared" si="14"/>
        <v>0</v>
      </c>
      <c r="BL48" s="183">
        <f>IFNA(IF(VLOOKUP(FLOOR($B48,1),'APS Tubes by Date Import'!$B$2:$L96,1,FALSE)=FLOOR($BL47,1),IFERROR(0/0,""),VLOOKUP(FLOOR($B48,1),'APS Tubes by Date Import'!$B$2:$L96,1,FALSE)),"")</f>
        <v>44707</v>
      </c>
      <c r="BM48" s="176">
        <f>IF(ISBLANK($BL48),IFERROR(0/0,""),VLOOKUP(FLOOR($B48,1),'APS Tubes by Date Import'!$B$2:$L96,2,FALSE))</f>
        <v>19</v>
      </c>
      <c r="BN48" s="159" t="str">
        <f>VLOOKUP(FLOOR($B48,1),'APS Tubes by Date Import'!$B48:$L96,11,FALSE)</f>
        <v>#N/A</v>
      </c>
      <c r="BO48" s="159" t="str">
        <f>VLOOKUP(FLOOR($B48,1),'APS Tubes by Date Import'!$B48:$I96,6,FALSE)</f>
        <v>#N/A</v>
      </c>
      <c r="BP48" s="159">
        <f t="shared" si="15"/>
        <v>19</v>
      </c>
      <c r="BQ48" s="177">
        <f t="shared" si="16"/>
        <v>0</v>
      </c>
      <c r="BR48" s="149"/>
      <c r="BS48" s="175" t="b">
        <f t="shared" si="17"/>
        <v>1</v>
      </c>
      <c r="BT48" s="178" t="str">
        <f t="shared" si="18"/>
        <v/>
      </c>
      <c r="BU48" s="179"/>
      <c r="BV48" s="180">
        <f t="shared" si="19"/>
        <v>0</v>
      </c>
      <c r="BW48" s="181"/>
      <c r="BX48" s="181"/>
      <c r="BY48" s="181"/>
      <c r="BZ48" s="181"/>
      <c r="CA48" s="181"/>
      <c r="CB48" s="181"/>
      <c r="CC48" s="181"/>
    </row>
    <row r="49">
      <c r="A49" s="147" t="str">
        <f>CONCATENATE("RUN-",'Process Ref'!$A$1,"_",TEXT(U49,"YYYY-MM-DD"),"_RFR-",TEXT(AR49,"000"),IF(EXACT(W49,"Initial"),"",CONCATENATE("_",W49)))</f>
        <v>RUN-COMB_2022-05-27_RFR-048</v>
      </c>
      <c r="B49" s="148">
        <v>44709.215729166666</v>
      </c>
      <c r="C49" s="149"/>
      <c r="D49" s="149" t="s">
        <v>199</v>
      </c>
      <c r="E49" s="121">
        <v>19.0</v>
      </c>
      <c r="F49" s="149" t="s">
        <v>361</v>
      </c>
      <c r="G49" s="150" t="s">
        <v>362</v>
      </c>
      <c r="H49" s="150"/>
      <c r="I49" s="150" t="s">
        <v>363</v>
      </c>
      <c r="J49" s="121">
        <v>0.0</v>
      </c>
      <c r="K49" s="152"/>
      <c r="L49" s="149"/>
      <c r="M49" s="153"/>
      <c r="N49" s="153"/>
      <c r="O49" s="154"/>
      <c r="P49" s="155" t="b">
        <v>0</v>
      </c>
      <c r="Q49" s="155" t="b">
        <v>0</v>
      </c>
      <c r="R49" s="51"/>
      <c r="S49" s="155" t="b">
        <v>0</v>
      </c>
      <c r="T49" s="156" t="b">
        <v>0</v>
      </c>
      <c r="U49" s="157">
        <v>44708.0</v>
      </c>
      <c r="V49" s="158">
        <v>0.5</v>
      </c>
      <c r="W49" s="149" t="s">
        <v>203</v>
      </c>
      <c r="X49" s="51"/>
      <c r="Y49" s="155" t="b">
        <v>0</v>
      </c>
      <c r="Z49" s="121">
        <v>21.0</v>
      </c>
      <c r="AA49" s="159">
        <f t="shared" si="1"/>
        <v>2</v>
      </c>
      <c r="AB49" s="160" t="b">
        <v>0</v>
      </c>
      <c r="AC49" s="121">
        <v>19.0</v>
      </c>
      <c r="AD49" s="121">
        <v>0.0</v>
      </c>
      <c r="AE49" s="184">
        <v>0.0</v>
      </c>
      <c r="AF49" s="161">
        <v>0.0</v>
      </c>
      <c r="AG49" s="121">
        <v>0.0</v>
      </c>
      <c r="AH49" s="162">
        <v>0.0</v>
      </c>
      <c r="AI49" s="163">
        <v>0.0</v>
      </c>
      <c r="AJ49" s="121" t="b">
        <v>0</v>
      </c>
      <c r="AK49" s="164">
        <v>19.0</v>
      </c>
      <c r="AL49" s="121">
        <v>0.0</v>
      </c>
      <c r="AM49" s="121">
        <v>0.0</v>
      </c>
      <c r="AN49" s="159" t="str">
        <f>IFNA(VLOOKUP($A49,'Tube Reactions'!$J$2:$K96,2,FALSE),"")</f>
        <v/>
      </c>
      <c r="AO49" s="165" t="str">
        <f t="shared" si="2"/>
        <v/>
      </c>
      <c r="AP49" s="166" t="str">
        <f t="shared" si="3"/>
        <v>Absent</v>
      </c>
      <c r="AQ49" s="167" t="b">
        <f t="shared" si="4"/>
        <v>0</v>
      </c>
      <c r="AR49" s="185">
        <v>48.0</v>
      </c>
      <c r="AS49" s="169"/>
      <c r="AT49" s="149"/>
      <c r="AU49" s="121" t="s">
        <v>204</v>
      </c>
      <c r="AV49" s="170">
        <v>21.0</v>
      </c>
      <c r="AW49" s="121" t="b">
        <v>1</v>
      </c>
      <c r="AX49" s="171"/>
      <c r="AY49" s="159">
        <f t="shared" si="5"/>
        <v>2</v>
      </c>
      <c r="AZ49" s="172"/>
      <c r="BA49" s="173" t="b">
        <v>1</v>
      </c>
      <c r="BB49" s="165" t="b">
        <f t="shared" si="6"/>
        <v>1</v>
      </c>
      <c r="BC49" s="159" t="b">
        <f t="shared" si="7"/>
        <v>1</v>
      </c>
      <c r="BD49" s="159">
        <f t="shared" si="8"/>
        <v>19</v>
      </c>
      <c r="BE49" s="174"/>
      <c r="BF49" s="175">
        <f t="shared" si="9"/>
        <v>44708</v>
      </c>
      <c r="BG49" s="165" t="str">
        <f t="shared" si="10"/>
        <v>RUN-COMB_2022-05-27_RFR-048</v>
      </c>
      <c r="BH49" s="159">
        <f t="shared" si="11"/>
        <v>19</v>
      </c>
      <c r="BI49" s="159">
        <f t="shared" si="12"/>
        <v>21</v>
      </c>
      <c r="BJ49" s="159">
        <f t="shared" si="13"/>
        <v>19</v>
      </c>
      <c r="BK49" s="159">
        <f t="shared" si="14"/>
        <v>0</v>
      </c>
      <c r="BL49" s="183">
        <f>IFNA(IF(VLOOKUP(FLOOR($B49,1),'APS Tubes by Date Import'!$B$2:$L96,1,FALSE)=FLOOR($BL48,1),IFERROR(0/0,""),VLOOKUP(FLOOR($B49,1),'APS Tubes by Date Import'!$B$2:$L96,1,FALSE)),"")</f>
        <v>44709</v>
      </c>
      <c r="BM49" s="176">
        <f>IF(ISBLANK($BL49),IFERROR(0/0,""),VLOOKUP(FLOOR($B49,1),'APS Tubes by Date Import'!$B$2:$L96,2,FALSE))</f>
        <v>36</v>
      </c>
      <c r="BN49" s="159" t="str">
        <f>VLOOKUP(FLOOR($B49,1),'APS Tubes by Date Import'!$B49:$L96,11,FALSE)</f>
        <v>#N/A</v>
      </c>
      <c r="BO49" s="159" t="str">
        <f>VLOOKUP(FLOOR($B49,1),'APS Tubes by Date Import'!$B49:$I96,6,FALSE)</f>
        <v>#N/A</v>
      </c>
      <c r="BP49" s="159">
        <f t="shared" si="15"/>
        <v>19</v>
      </c>
      <c r="BQ49" s="177">
        <f t="shared" si="16"/>
        <v>-17</v>
      </c>
      <c r="BR49" s="149"/>
      <c r="BS49" s="175" t="b">
        <f t="shared" si="17"/>
        <v>1</v>
      </c>
      <c r="BT49" s="178" t="str">
        <f t="shared" si="18"/>
        <v/>
      </c>
      <c r="BU49" s="179"/>
      <c r="BV49" s="180">
        <f t="shared" si="19"/>
        <v>0</v>
      </c>
      <c r="BW49" s="181"/>
      <c r="BX49" s="181"/>
      <c r="BY49" s="181"/>
      <c r="BZ49" s="181"/>
      <c r="CA49" s="181"/>
      <c r="CB49" s="181"/>
      <c r="CC49" s="181"/>
    </row>
    <row r="50">
      <c r="A50" s="147" t="str">
        <f>CONCATENATE("RUN-",'Process Ref'!$A$1,"_",TEXT(U50,"YYYY-MM-DD"),"_RFR-",TEXT(AR50,"000"),IF(EXACT(W50,"Initial"),"",CONCATENATE("_",W50)))</f>
        <v>RUN-COMB_2022-05-28_RFR-049</v>
      </c>
      <c r="B50" s="148">
        <v>44709.367060185185</v>
      </c>
      <c r="C50" s="149"/>
      <c r="D50" s="149" t="s">
        <v>199</v>
      </c>
      <c r="E50" s="121">
        <v>44.0</v>
      </c>
      <c r="F50" s="149" t="s">
        <v>364</v>
      </c>
      <c r="G50" s="150" t="s">
        <v>365</v>
      </c>
      <c r="H50" s="150"/>
      <c r="I50" s="150" t="s">
        <v>366</v>
      </c>
      <c r="J50" s="121">
        <v>0.0</v>
      </c>
      <c r="K50" s="152"/>
      <c r="L50" s="149"/>
      <c r="M50" s="153">
        <v>1.2</v>
      </c>
      <c r="N50" s="153"/>
      <c r="O50" s="154"/>
      <c r="P50" s="155" t="b">
        <v>0</v>
      </c>
      <c r="Q50" s="155" t="b">
        <v>0</v>
      </c>
      <c r="R50" s="51"/>
      <c r="S50" s="155" t="b">
        <v>0</v>
      </c>
      <c r="T50" s="156" t="b">
        <v>0</v>
      </c>
      <c r="U50" s="157">
        <v>44709.0</v>
      </c>
      <c r="V50" s="158"/>
      <c r="W50" s="149" t="s">
        <v>203</v>
      </c>
      <c r="X50" s="51"/>
      <c r="Y50" s="155" t="b">
        <v>0</v>
      </c>
      <c r="Z50" s="121">
        <v>47.0</v>
      </c>
      <c r="AA50" s="159">
        <f t="shared" si="1"/>
        <v>3</v>
      </c>
      <c r="AB50" s="160" t="b">
        <v>1</v>
      </c>
      <c r="AC50" s="121">
        <v>45.0</v>
      </c>
      <c r="AD50" s="121">
        <v>0.0</v>
      </c>
      <c r="AE50" s="184">
        <v>0.0</v>
      </c>
      <c r="AF50" s="161">
        <v>0.0</v>
      </c>
      <c r="AG50" s="121">
        <v>0.0</v>
      </c>
      <c r="AH50" s="162">
        <v>0.0</v>
      </c>
      <c r="AI50" s="163">
        <v>0.0</v>
      </c>
      <c r="AJ50" s="121" t="b">
        <v>0</v>
      </c>
      <c r="AK50" s="164">
        <v>45.0</v>
      </c>
      <c r="AL50" s="121">
        <v>0.0</v>
      </c>
      <c r="AM50" s="121">
        <v>0.0</v>
      </c>
      <c r="AN50" s="159" t="str">
        <f>IFNA(VLOOKUP($A50,'Tube Reactions'!$J$2:$K96,2,FALSE),"")</f>
        <v/>
      </c>
      <c r="AO50" s="165" t="str">
        <f t="shared" si="2"/>
        <v/>
      </c>
      <c r="AP50" s="166" t="str">
        <f t="shared" si="3"/>
        <v>Absent</v>
      </c>
      <c r="AQ50" s="167" t="b">
        <f t="shared" si="4"/>
        <v>0</v>
      </c>
      <c r="AR50" s="185">
        <v>49.0</v>
      </c>
      <c r="AS50" s="169"/>
      <c r="AT50" s="149"/>
      <c r="AU50" s="121" t="s">
        <v>204</v>
      </c>
      <c r="AV50" s="170">
        <v>47.0</v>
      </c>
      <c r="AW50" s="121" t="b">
        <v>1</v>
      </c>
      <c r="AX50" s="171"/>
      <c r="AY50" s="159">
        <f t="shared" si="5"/>
        <v>2</v>
      </c>
      <c r="AZ50" s="172"/>
      <c r="BA50" s="173" t="b">
        <v>1</v>
      </c>
      <c r="BB50" s="165" t="b">
        <f t="shared" si="6"/>
        <v>1</v>
      </c>
      <c r="BC50" s="159" t="b">
        <f t="shared" si="7"/>
        <v>1</v>
      </c>
      <c r="BD50" s="159">
        <f t="shared" si="8"/>
        <v>45</v>
      </c>
      <c r="BE50" s="174"/>
      <c r="BF50" s="175">
        <f t="shared" si="9"/>
        <v>44709</v>
      </c>
      <c r="BG50" s="165" t="str">
        <f t="shared" si="10"/>
        <v>RUN-COMB_2022-05-28_RFR-049</v>
      </c>
      <c r="BH50" s="159">
        <f t="shared" si="11"/>
        <v>44</v>
      </c>
      <c r="BI50" s="159">
        <f t="shared" si="12"/>
        <v>47</v>
      </c>
      <c r="BJ50" s="159">
        <f t="shared" si="13"/>
        <v>45</v>
      </c>
      <c r="BK50" s="159">
        <f t="shared" si="14"/>
        <v>0</v>
      </c>
      <c r="BL50" s="183" t="str">
        <f>IFNA(IF(VLOOKUP(FLOOR($B50,1),'APS Tubes by Date Import'!$B$2:$L96,1,FALSE)=FLOOR($BL49,1),IFERROR(0/0,""),VLOOKUP(FLOOR($B50,1),'APS Tubes by Date Import'!$B$2:$L96,1,FALSE)),"")</f>
        <v/>
      </c>
      <c r="BM50" s="176" t="str">
        <f>IF(ISBLANK($BL50),IFERROR(0/0,""),VLOOKUP(FLOOR($B50,1),'APS Tubes by Date Import'!$B$2:$L96,2,FALSE))</f>
        <v/>
      </c>
      <c r="BN50" s="159" t="str">
        <f>VLOOKUP(FLOOR($B50,1),'APS Tubes by Date Import'!$B50:$L96,11,FALSE)</f>
        <v>#N/A</v>
      </c>
      <c r="BO50" s="159" t="str">
        <f>VLOOKUP(FLOOR($B50,1),'APS Tubes by Date Import'!$B50:$I96,6,FALSE)</f>
        <v>#N/A</v>
      </c>
      <c r="BP50" s="159">
        <f t="shared" si="15"/>
        <v>45</v>
      </c>
      <c r="BQ50" s="177">
        <f t="shared" si="16"/>
        <v>45</v>
      </c>
      <c r="BR50" s="149"/>
      <c r="BS50" s="175" t="b">
        <f t="shared" si="17"/>
        <v>1</v>
      </c>
      <c r="BT50" s="178" t="str">
        <f t="shared" si="18"/>
        <v/>
      </c>
      <c r="BU50" s="179"/>
      <c r="BV50" s="180">
        <f t="shared" si="19"/>
        <v>0</v>
      </c>
      <c r="BW50" s="181"/>
      <c r="BX50" s="181"/>
      <c r="BY50" s="181"/>
      <c r="BZ50" s="181"/>
      <c r="CA50" s="181"/>
      <c r="CB50" s="181"/>
      <c r="CC50" s="181"/>
    </row>
    <row r="51">
      <c r="A51" s="147" t="str">
        <f>CONCATENATE("RUN-",'Process Ref'!$A$1,"_",TEXT(U51,"YYYY-MM-DD"),"_RFR-",TEXT(AR51,"000"),IF(EXACT(W51,"Initial"),"",CONCATENATE("_",W51)))</f>
        <v>RUN-COMB_2022-05-29_RFR-050</v>
      </c>
      <c r="B51" s="148">
        <v>44710.33526620371</v>
      </c>
      <c r="C51" s="149"/>
      <c r="D51" s="149" t="s">
        <v>199</v>
      </c>
      <c r="E51" s="121">
        <v>22.0</v>
      </c>
      <c r="F51" s="149" t="s">
        <v>367</v>
      </c>
      <c r="G51" s="150" t="s">
        <v>368</v>
      </c>
      <c r="H51" s="150"/>
      <c r="I51" s="150" t="s">
        <v>369</v>
      </c>
      <c r="J51" s="121">
        <v>0.0</v>
      </c>
      <c r="K51" s="152"/>
      <c r="L51" s="149"/>
      <c r="M51" s="153"/>
      <c r="N51" s="153"/>
      <c r="O51" s="154"/>
      <c r="P51" s="155" t="b">
        <v>0</v>
      </c>
      <c r="Q51" s="155" t="b">
        <v>0</v>
      </c>
      <c r="R51" s="51"/>
      <c r="S51" s="155" t="b">
        <v>0</v>
      </c>
      <c r="T51" s="156" t="b">
        <v>0</v>
      </c>
      <c r="U51" s="157">
        <v>44710.0</v>
      </c>
      <c r="V51" s="158">
        <v>0.4583333333333333</v>
      </c>
      <c r="W51" s="149" t="s">
        <v>203</v>
      </c>
      <c r="X51" s="51"/>
      <c r="Y51" s="155" t="b">
        <v>0</v>
      </c>
      <c r="Z51" s="121">
        <v>24.0</v>
      </c>
      <c r="AA51" s="159">
        <f t="shared" si="1"/>
        <v>2</v>
      </c>
      <c r="AB51" s="160" t="b">
        <v>0</v>
      </c>
      <c r="AC51" s="121">
        <v>22.0</v>
      </c>
      <c r="AD51" s="121">
        <v>0.0</v>
      </c>
      <c r="AE51" s="184">
        <v>0.0</v>
      </c>
      <c r="AF51" s="161">
        <v>0.0</v>
      </c>
      <c r="AG51" s="121">
        <v>0.0</v>
      </c>
      <c r="AH51" s="162">
        <v>0.0</v>
      </c>
      <c r="AI51" s="163">
        <v>0.0</v>
      </c>
      <c r="AJ51" s="121" t="b">
        <v>0</v>
      </c>
      <c r="AK51" s="164">
        <v>22.0</v>
      </c>
      <c r="AL51" s="121">
        <v>0.0</v>
      </c>
      <c r="AM51" s="121">
        <v>0.0</v>
      </c>
      <c r="AN51" s="159" t="str">
        <f>IFNA(VLOOKUP($A51,'Tube Reactions'!$J$2:$K96,2,FALSE),"")</f>
        <v/>
      </c>
      <c r="AO51" s="165" t="str">
        <f t="shared" si="2"/>
        <v/>
      </c>
      <c r="AP51" s="166" t="str">
        <f t="shared" si="3"/>
        <v>Absent</v>
      </c>
      <c r="AQ51" s="167" t="b">
        <f t="shared" si="4"/>
        <v>0</v>
      </c>
      <c r="AR51" s="185">
        <v>50.0</v>
      </c>
      <c r="AS51" s="169"/>
      <c r="AT51" s="149"/>
      <c r="AU51" s="121" t="s">
        <v>204</v>
      </c>
      <c r="AV51" s="170">
        <v>24.0</v>
      </c>
      <c r="AW51" s="121" t="b">
        <v>1</v>
      </c>
      <c r="AX51" s="171"/>
      <c r="AY51" s="159">
        <f t="shared" si="5"/>
        <v>2</v>
      </c>
      <c r="AZ51" s="172"/>
      <c r="BA51" s="173" t="b">
        <v>1</v>
      </c>
      <c r="BB51" s="165" t="b">
        <f t="shared" si="6"/>
        <v>1</v>
      </c>
      <c r="BC51" s="159" t="b">
        <f t="shared" si="7"/>
        <v>1</v>
      </c>
      <c r="BD51" s="159">
        <f t="shared" si="8"/>
        <v>22</v>
      </c>
      <c r="BE51" s="174"/>
      <c r="BF51" s="175">
        <f t="shared" si="9"/>
        <v>44710</v>
      </c>
      <c r="BG51" s="165" t="str">
        <f t="shared" si="10"/>
        <v>RUN-COMB_2022-05-29_RFR-050</v>
      </c>
      <c r="BH51" s="159">
        <f t="shared" si="11"/>
        <v>22</v>
      </c>
      <c r="BI51" s="159">
        <f t="shared" si="12"/>
        <v>24</v>
      </c>
      <c r="BJ51" s="159">
        <f t="shared" si="13"/>
        <v>22</v>
      </c>
      <c r="BK51" s="159">
        <f t="shared" si="14"/>
        <v>0</v>
      </c>
      <c r="BL51" s="183">
        <f>IFNA(IF(VLOOKUP(FLOOR($B51,1),'APS Tubes by Date Import'!$B$2:$L96,1,FALSE)=FLOOR($BL50,1),IFERROR(0/0,""),VLOOKUP(FLOOR($B51,1),'APS Tubes by Date Import'!$B$2:$L96,1,FALSE)),"")</f>
        <v>44710</v>
      </c>
      <c r="BM51" s="176">
        <f>IF(ISBLANK($BL51),IFERROR(0/0,""),VLOOKUP(FLOOR($B51,1),'APS Tubes by Date Import'!$B$2:$L96,2,FALSE))</f>
        <v>22</v>
      </c>
      <c r="BN51" s="159" t="str">
        <f>VLOOKUP(FLOOR($B51,1),'APS Tubes by Date Import'!$B51:$L96,11,FALSE)</f>
        <v>#N/A</v>
      </c>
      <c r="BO51" s="159" t="str">
        <f>VLOOKUP(FLOOR($B51,1),'APS Tubes by Date Import'!$B51:$I96,6,FALSE)</f>
        <v>#N/A</v>
      </c>
      <c r="BP51" s="159">
        <f t="shared" si="15"/>
        <v>22</v>
      </c>
      <c r="BQ51" s="177">
        <f t="shared" si="16"/>
        <v>0</v>
      </c>
      <c r="BR51" s="149"/>
      <c r="BS51" s="175" t="b">
        <f t="shared" si="17"/>
        <v>1</v>
      </c>
      <c r="BT51" s="178" t="str">
        <f t="shared" si="18"/>
        <v/>
      </c>
      <c r="BU51" s="179"/>
      <c r="BV51" s="180">
        <f t="shared" si="19"/>
        <v>0</v>
      </c>
      <c r="BW51" s="181"/>
      <c r="BX51" s="181"/>
      <c r="BY51" s="181"/>
      <c r="BZ51" s="181"/>
      <c r="CA51" s="181"/>
      <c r="CB51" s="181"/>
      <c r="CC51" s="181"/>
    </row>
    <row r="52">
      <c r="A52" s="147" t="str">
        <f>CONCATENATE("RUN-",'Process Ref'!$A$1,"_",TEXT(U52,"YYYY-MM-DD"),"_RFR-",TEXT(AR52,"000"),IF(EXACT(W52,"Initial"),"",CONCATENATE("_",W52)))</f>
        <v>RUN-COMB_2022-05-30_RFR-051</v>
      </c>
      <c r="B52" s="148">
        <v>44711.80725694444</v>
      </c>
      <c r="C52" s="149"/>
      <c r="D52" s="149" t="s">
        <v>199</v>
      </c>
      <c r="E52" s="121">
        <v>24.0</v>
      </c>
      <c r="F52" s="149" t="s">
        <v>370</v>
      </c>
      <c r="G52" s="150" t="s">
        <v>371</v>
      </c>
      <c r="H52" s="150"/>
      <c r="I52" s="150" t="s">
        <v>372</v>
      </c>
      <c r="J52" s="121">
        <v>0.0</v>
      </c>
      <c r="K52" s="152"/>
      <c r="L52" s="149"/>
      <c r="M52" s="153"/>
      <c r="N52" s="153"/>
      <c r="O52" s="154"/>
      <c r="P52" s="155" t="b">
        <v>0</v>
      </c>
      <c r="Q52" s="155" t="b">
        <v>0</v>
      </c>
      <c r="R52" s="51"/>
      <c r="S52" s="155" t="b">
        <v>0</v>
      </c>
      <c r="T52" s="156" t="b">
        <v>0</v>
      </c>
      <c r="U52" s="157">
        <v>44711.0</v>
      </c>
      <c r="V52" s="158">
        <v>0.9305555555555556</v>
      </c>
      <c r="W52" s="149" t="s">
        <v>203</v>
      </c>
      <c r="X52" s="51"/>
      <c r="Y52" s="155" t="b">
        <v>0</v>
      </c>
      <c r="Z52" s="121">
        <v>26.0</v>
      </c>
      <c r="AA52" s="159">
        <f t="shared" si="1"/>
        <v>2</v>
      </c>
      <c r="AB52" s="160" t="b">
        <v>0</v>
      </c>
      <c r="AC52" s="121">
        <v>24.0</v>
      </c>
      <c r="AD52" s="121">
        <v>0.0</v>
      </c>
      <c r="AE52" s="184">
        <v>0.0</v>
      </c>
      <c r="AF52" s="161">
        <v>0.0</v>
      </c>
      <c r="AG52" s="121">
        <v>0.0</v>
      </c>
      <c r="AH52" s="162">
        <v>0.0</v>
      </c>
      <c r="AI52" s="163">
        <v>0.0</v>
      </c>
      <c r="AJ52" s="121" t="b">
        <v>0</v>
      </c>
      <c r="AK52" s="164">
        <v>24.0</v>
      </c>
      <c r="AL52" s="121">
        <v>0.0</v>
      </c>
      <c r="AM52" s="121">
        <v>0.0</v>
      </c>
      <c r="AN52" s="159" t="str">
        <f>IFNA(VLOOKUP($A52,'Tube Reactions'!$J$2:$K96,2,FALSE),"")</f>
        <v/>
      </c>
      <c r="AO52" s="165" t="str">
        <f t="shared" si="2"/>
        <v/>
      </c>
      <c r="AP52" s="166" t="str">
        <f t="shared" si="3"/>
        <v>Absent</v>
      </c>
      <c r="AQ52" s="167" t="b">
        <f t="shared" si="4"/>
        <v>0</v>
      </c>
      <c r="AR52" s="185">
        <v>51.0</v>
      </c>
      <c r="AS52" s="169"/>
      <c r="AT52" s="149"/>
      <c r="AU52" s="121" t="s">
        <v>204</v>
      </c>
      <c r="AV52" s="170">
        <v>26.0</v>
      </c>
      <c r="AW52" s="121" t="b">
        <v>0</v>
      </c>
      <c r="AX52" s="171"/>
      <c r="AY52" s="159">
        <f t="shared" si="5"/>
        <v>2</v>
      </c>
      <c r="AZ52" s="172"/>
      <c r="BA52" s="173" t="b">
        <v>1</v>
      </c>
      <c r="BB52" s="165" t="b">
        <f t="shared" si="6"/>
        <v>1</v>
      </c>
      <c r="BC52" s="159" t="b">
        <f t="shared" si="7"/>
        <v>1</v>
      </c>
      <c r="BD52" s="159">
        <f t="shared" si="8"/>
        <v>24</v>
      </c>
      <c r="BE52" s="174"/>
      <c r="BF52" s="175">
        <f t="shared" si="9"/>
        <v>44711</v>
      </c>
      <c r="BG52" s="165" t="str">
        <f t="shared" si="10"/>
        <v>RUN-COMB_2022-05-30_RFR-051</v>
      </c>
      <c r="BH52" s="159">
        <f t="shared" si="11"/>
        <v>24</v>
      </c>
      <c r="BI52" s="159">
        <f t="shared" si="12"/>
        <v>26</v>
      </c>
      <c r="BJ52" s="159">
        <f t="shared" si="13"/>
        <v>24</v>
      </c>
      <c r="BK52" s="159">
        <f t="shared" si="14"/>
        <v>0</v>
      </c>
      <c r="BL52" s="183">
        <f>IFNA(IF(VLOOKUP(FLOOR($B52,1),'APS Tubes by Date Import'!$B$2:$L96,1,FALSE)=FLOOR($BL51,1),IFERROR(0/0,""),VLOOKUP(FLOOR($B52,1),'APS Tubes by Date Import'!$B$2:$L96,1,FALSE)),"")</f>
        <v>44711</v>
      </c>
      <c r="BM52" s="176">
        <f>IF(ISBLANK($BL52),IFERROR(0/0,""),VLOOKUP(FLOOR($B52,1),'APS Tubes by Date Import'!$B$2:$L96,2,FALSE))</f>
        <v>24</v>
      </c>
      <c r="BN52" s="159" t="str">
        <f>VLOOKUP(FLOOR($B52,1),'APS Tubes by Date Import'!$B52:$L96,11,FALSE)</f>
        <v>#N/A</v>
      </c>
      <c r="BO52" s="159" t="str">
        <f>VLOOKUP(FLOOR($B52,1),'APS Tubes by Date Import'!$B52:$I96,6,FALSE)</f>
        <v>#N/A</v>
      </c>
      <c r="BP52" s="159">
        <f t="shared" si="15"/>
        <v>24</v>
      </c>
      <c r="BQ52" s="177">
        <f t="shared" si="16"/>
        <v>0</v>
      </c>
      <c r="BR52" s="149"/>
      <c r="BS52" s="175" t="b">
        <f t="shared" si="17"/>
        <v>1</v>
      </c>
      <c r="BT52" s="178" t="str">
        <f t="shared" si="18"/>
        <v/>
      </c>
      <c r="BU52" s="179"/>
      <c r="BV52" s="180">
        <f t="shared" si="19"/>
        <v>0</v>
      </c>
      <c r="BW52" s="181"/>
      <c r="BX52" s="181"/>
      <c r="BY52" s="181"/>
      <c r="BZ52" s="181"/>
      <c r="CA52" s="181"/>
      <c r="CB52" s="181"/>
      <c r="CC52" s="181"/>
    </row>
    <row r="53">
      <c r="A53" s="147" t="str">
        <f>CONCATENATE("RUN-",'Process Ref'!$A$1,"_",TEXT(U53,"YYYY-MM-DD"),"_RFR-",TEXT(AR53,"000"),IF(EXACT(W53,"Initial"),"",CONCATENATE("_",W53)))</f>
        <v>RUN-COMB_2022-05-31_RFR-052</v>
      </c>
      <c r="B53" s="148">
        <v>44712.36958333333</v>
      </c>
      <c r="C53" s="149"/>
      <c r="D53" s="149" t="s">
        <v>199</v>
      </c>
      <c r="E53" s="121">
        <v>20.0</v>
      </c>
      <c r="F53" s="149" t="s">
        <v>373</v>
      </c>
      <c r="G53" s="151" t="s">
        <v>374</v>
      </c>
      <c r="H53" s="151"/>
      <c r="I53" s="151" t="s">
        <v>375</v>
      </c>
      <c r="J53" s="121">
        <v>1.0</v>
      </c>
      <c r="K53" s="194" t="s">
        <v>376</v>
      </c>
      <c r="L53" s="149"/>
      <c r="M53" s="153"/>
      <c r="N53" s="153"/>
      <c r="O53" s="154"/>
      <c r="P53" s="155" t="b">
        <v>0</v>
      </c>
      <c r="Q53" s="155" t="b">
        <v>0</v>
      </c>
      <c r="R53" s="51"/>
      <c r="S53" s="155" t="b">
        <v>0</v>
      </c>
      <c r="T53" s="156" t="b">
        <v>0</v>
      </c>
      <c r="U53" s="157">
        <v>44712.0</v>
      </c>
      <c r="V53" s="158">
        <v>0.49375</v>
      </c>
      <c r="W53" s="149" t="s">
        <v>203</v>
      </c>
      <c r="X53" s="51"/>
      <c r="Y53" s="155" t="b">
        <v>0</v>
      </c>
      <c r="Z53" s="121">
        <v>22.0</v>
      </c>
      <c r="AA53" s="159">
        <f t="shared" si="1"/>
        <v>2</v>
      </c>
      <c r="AB53" s="160" t="b">
        <v>0</v>
      </c>
      <c r="AC53" s="121">
        <v>20.0</v>
      </c>
      <c r="AD53" s="121">
        <v>0.0</v>
      </c>
      <c r="AE53" s="184">
        <v>0.0</v>
      </c>
      <c r="AF53" s="161">
        <v>0.0</v>
      </c>
      <c r="AG53" s="121">
        <v>1.0</v>
      </c>
      <c r="AH53" s="162">
        <v>1.0</v>
      </c>
      <c r="AI53" s="163">
        <v>1.0</v>
      </c>
      <c r="AJ53" s="121" t="b">
        <v>0</v>
      </c>
      <c r="AK53" s="164">
        <v>20.0</v>
      </c>
      <c r="AL53" s="121">
        <v>4.0</v>
      </c>
      <c r="AM53" s="121">
        <v>1.0</v>
      </c>
      <c r="AN53" s="159" t="str">
        <f>IFNA(VLOOKUP($A53,'Tube Reactions'!$J$2:$K96,2,FALSE),"")</f>
        <v/>
      </c>
      <c r="AO53" s="165" t="str">
        <f t="shared" si="2"/>
        <v>NOT EQUAL</v>
      </c>
      <c r="AP53" s="166" t="str">
        <f t="shared" si="3"/>
        <v>Absent</v>
      </c>
      <c r="AQ53" s="167" t="b">
        <f t="shared" si="4"/>
        <v>0</v>
      </c>
      <c r="AR53" s="185">
        <v>52.0</v>
      </c>
      <c r="AS53" s="169"/>
      <c r="AT53" s="149"/>
      <c r="AU53" s="121" t="s">
        <v>204</v>
      </c>
      <c r="AV53" s="170">
        <v>22.0</v>
      </c>
      <c r="AW53" s="121" t="b">
        <v>1</v>
      </c>
      <c r="AX53" s="171"/>
      <c r="AY53" s="159">
        <f t="shared" si="5"/>
        <v>2</v>
      </c>
      <c r="AZ53" s="172"/>
      <c r="BA53" s="173" t="b">
        <v>1</v>
      </c>
      <c r="BB53" s="165" t="b">
        <f t="shared" si="6"/>
        <v>1</v>
      </c>
      <c r="BC53" s="159">
        <f t="shared" si="7"/>
        <v>4</v>
      </c>
      <c r="BD53" s="159">
        <f t="shared" si="8"/>
        <v>20</v>
      </c>
      <c r="BE53" s="174"/>
      <c r="BF53" s="175">
        <f t="shared" si="9"/>
        <v>44712</v>
      </c>
      <c r="BG53" s="165" t="str">
        <f t="shared" si="10"/>
        <v>RUN-COMB_2022-05-31_RFR-052</v>
      </c>
      <c r="BH53" s="159">
        <f t="shared" si="11"/>
        <v>20</v>
      </c>
      <c r="BI53" s="159">
        <f t="shared" si="12"/>
        <v>22</v>
      </c>
      <c r="BJ53" s="159">
        <f t="shared" si="13"/>
        <v>20</v>
      </c>
      <c r="BK53" s="159">
        <f t="shared" si="14"/>
        <v>4</v>
      </c>
      <c r="BL53" s="183">
        <f>IFNA(IF(VLOOKUP(FLOOR($B53,1),'APS Tubes by Date Import'!$B$2:$L96,1,FALSE)=FLOOR($BL52,1),IFERROR(0/0,""),VLOOKUP(FLOOR($B53,1),'APS Tubes by Date Import'!$B$2:$L96,1,FALSE)),"")</f>
        <v>44712</v>
      </c>
      <c r="BM53" s="176">
        <f>IF(ISBLANK($BL53),IFERROR(0/0,""),VLOOKUP(FLOOR($B53,1),'APS Tubes by Date Import'!$B$2:$L96,2,FALSE))</f>
        <v>20</v>
      </c>
      <c r="BN53" s="159" t="str">
        <f>VLOOKUP(FLOOR($B53,1),'APS Tubes by Date Import'!$B53:$L96,11,FALSE)</f>
        <v>#N/A</v>
      </c>
      <c r="BO53" s="159" t="str">
        <f>VLOOKUP(FLOOR($B53,1),'APS Tubes by Date Import'!$B53:$I96,6,FALSE)</f>
        <v>#N/A</v>
      </c>
      <c r="BP53" s="159">
        <f t="shared" si="15"/>
        <v>20</v>
      </c>
      <c r="BQ53" s="177">
        <f t="shared" si="16"/>
        <v>0</v>
      </c>
      <c r="BR53" s="149"/>
      <c r="BS53" s="175" t="b">
        <f t="shared" si="17"/>
        <v>1</v>
      </c>
      <c r="BT53" s="178" t="str">
        <f t="shared" si="18"/>
        <v/>
      </c>
      <c r="BU53" s="179"/>
      <c r="BV53" s="180">
        <f t="shared" si="19"/>
        <v>0</v>
      </c>
      <c r="BW53" s="181"/>
      <c r="BX53" s="181"/>
      <c r="BY53" s="181"/>
      <c r="BZ53" s="181"/>
      <c r="CA53" s="181"/>
      <c r="CB53" s="181"/>
      <c r="CC53" s="181"/>
    </row>
    <row r="54">
      <c r="A54" s="147" t="str">
        <f>CONCATENATE("RUN-",'Process Ref'!$A$1,"_",TEXT(U54,"YYYY-MM-DD"),"_RFR-",TEXT(AR54,"000"),IF(EXACT(W54,"Initial"),"",CONCATENATE("_",W54)))</f>
        <v>RUN-COMB_2022-06-01_RFR-053</v>
      </c>
      <c r="B54" s="148">
        <v>44713.40798611111</v>
      </c>
      <c r="C54" s="149"/>
      <c r="D54" s="149" t="s">
        <v>199</v>
      </c>
      <c r="E54" s="121">
        <v>15.0</v>
      </c>
      <c r="F54" s="149" t="s">
        <v>377</v>
      </c>
      <c r="G54" s="151" t="s">
        <v>378</v>
      </c>
      <c r="H54" s="189"/>
      <c r="I54" s="190" t="s">
        <v>379</v>
      </c>
      <c r="J54" s="121">
        <v>0.0</v>
      </c>
      <c r="K54" s="152"/>
      <c r="L54" s="149"/>
      <c r="M54" s="153"/>
      <c r="N54" s="153"/>
      <c r="O54" s="154"/>
      <c r="P54" s="155" t="b">
        <v>0</v>
      </c>
      <c r="Q54" s="155" t="b">
        <v>0</v>
      </c>
      <c r="R54" s="51"/>
      <c r="S54" s="155" t="b">
        <v>0</v>
      </c>
      <c r="T54" s="156" t="b">
        <v>0</v>
      </c>
      <c r="U54" s="157">
        <v>44713.0</v>
      </c>
      <c r="V54" s="158">
        <v>0.4930555555555556</v>
      </c>
      <c r="W54" s="149" t="s">
        <v>203</v>
      </c>
      <c r="X54" s="51"/>
      <c r="Y54" s="155" t="b">
        <v>0</v>
      </c>
      <c r="Z54" s="121">
        <v>18.0</v>
      </c>
      <c r="AA54" s="159">
        <f t="shared" si="1"/>
        <v>3</v>
      </c>
      <c r="AB54" s="160" t="b">
        <v>1</v>
      </c>
      <c r="AC54" s="121">
        <v>16.0</v>
      </c>
      <c r="AD54" s="121">
        <v>0.0</v>
      </c>
      <c r="AE54" s="184">
        <v>0.0</v>
      </c>
      <c r="AF54" s="161">
        <v>0.0</v>
      </c>
      <c r="AG54" s="121">
        <v>0.0</v>
      </c>
      <c r="AH54" s="162">
        <v>0.0</v>
      </c>
      <c r="AI54" s="163">
        <v>0.0</v>
      </c>
      <c r="AJ54" s="121" t="b">
        <v>0</v>
      </c>
      <c r="AK54" s="164">
        <v>16.0</v>
      </c>
      <c r="AL54" s="121">
        <v>0.0</v>
      </c>
      <c r="AM54" s="121">
        <v>0.0</v>
      </c>
      <c r="AN54" s="159" t="str">
        <f>IFNA(VLOOKUP($A54,'Tube Reactions'!$J$2:$K96,2,FALSE),"")</f>
        <v/>
      </c>
      <c r="AO54" s="165" t="str">
        <f t="shared" si="2"/>
        <v/>
      </c>
      <c r="AP54" s="166" t="str">
        <f t="shared" si="3"/>
        <v>Absent</v>
      </c>
      <c r="AQ54" s="167" t="b">
        <f t="shared" si="4"/>
        <v>0</v>
      </c>
      <c r="AR54" s="185">
        <v>53.0</v>
      </c>
      <c r="AS54" s="169"/>
      <c r="AT54" s="149"/>
      <c r="AU54" s="121" t="s">
        <v>204</v>
      </c>
      <c r="AV54" s="170">
        <v>18.0</v>
      </c>
      <c r="AW54" s="162" t="b">
        <v>1</v>
      </c>
      <c r="AX54" s="171"/>
      <c r="AY54" s="159">
        <f t="shared" si="5"/>
        <v>2</v>
      </c>
      <c r="AZ54" s="172"/>
      <c r="BA54" s="173" t="b">
        <v>1</v>
      </c>
      <c r="BB54" s="165" t="b">
        <f t="shared" si="6"/>
        <v>1</v>
      </c>
      <c r="BC54" s="159" t="b">
        <f t="shared" si="7"/>
        <v>1</v>
      </c>
      <c r="BD54" s="159">
        <f t="shared" si="8"/>
        <v>16</v>
      </c>
      <c r="BE54" s="174"/>
      <c r="BF54" s="175">
        <f t="shared" si="9"/>
        <v>44713</v>
      </c>
      <c r="BG54" s="165" t="str">
        <f t="shared" si="10"/>
        <v>RUN-COMB_2022-06-01_RFR-053</v>
      </c>
      <c r="BH54" s="159">
        <f t="shared" si="11"/>
        <v>15</v>
      </c>
      <c r="BI54" s="159">
        <f t="shared" si="12"/>
        <v>18</v>
      </c>
      <c r="BJ54" s="159">
        <f t="shared" si="13"/>
        <v>16</v>
      </c>
      <c r="BK54" s="159">
        <f t="shared" si="14"/>
        <v>0</v>
      </c>
      <c r="BL54" s="183">
        <f>IFNA(IF(VLOOKUP(FLOOR($B54,1),'APS Tubes by Date Import'!$B$2:$L96,1,FALSE)=FLOOR($BL53,1),IFERROR(0/0,""),VLOOKUP(FLOOR($B54,1),'APS Tubes by Date Import'!$B$2:$L96,1,FALSE)),"")</f>
        <v>44713</v>
      </c>
      <c r="BM54" s="176">
        <f>IF(ISBLANK($BL54),IFERROR(0/0,""),VLOOKUP(FLOOR($B54,1),'APS Tubes by Date Import'!$B$2:$L96,2,FALSE))</f>
        <v>16</v>
      </c>
      <c r="BN54" s="159" t="str">
        <f>VLOOKUP(FLOOR($B54,1),'APS Tubes by Date Import'!$B54:$L96,11,FALSE)</f>
        <v>#N/A</v>
      </c>
      <c r="BO54" s="159" t="str">
        <f>VLOOKUP(FLOOR($B54,1),'APS Tubes by Date Import'!$B54:$I96,6,FALSE)</f>
        <v>#N/A</v>
      </c>
      <c r="BP54" s="159">
        <f t="shared" si="15"/>
        <v>16</v>
      </c>
      <c r="BQ54" s="177">
        <f t="shared" si="16"/>
        <v>0</v>
      </c>
      <c r="BR54" s="149"/>
      <c r="BS54" s="175" t="b">
        <f t="shared" si="17"/>
        <v>1</v>
      </c>
      <c r="BT54" s="178" t="str">
        <f t="shared" si="18"/>
        <v/>
      </c>
      <c r="BU54" s="179"/>
      <c r="BV54" s="180">
        <f t="shared" si="19"/>
        <v>0</v>
      </c>
      <c r="BW54" s="181"/>
      <c r="BX54" s="181"/>
      <c r="BY54" s="181"/>
      <c r="BZ54" s="181"/>
      <c r="CA54" s="181"/>
      <c r="CB54" s="181"/>
      <c r="CC54" s="181"/>
    </row>
    <row r="55">
      <c r="A55" s="147" t="str">
        <f>CONCATENATE("RUN-",'Process Ref'!$A$1,"_",TEXT(U55,"YYYY-MM-DD"),"_RFR-",TEXT(AR55,"000"),IF(EXACT(W55,"Initial"),"",CONCATENATE("_",W55)))</f>
        <v>RUN-COMB_2022-06-02_RFR-054</v>
      </c>
      <c r="B55" s="148">
        <v>44714.37237268518</v>
      </c>
      <c r="C55" s="149"/>
      <c r="D55" s="149" t="s">
        <v>199</v>
      </c>
      <c r="E55" s="121">
        <v>31.0</v>
      </c>
      <c r="F55" s="149" t="s">
        <v>380</v>
      </c>
      <c r="G55" s="150" t="s">
        <v>381</v>
      </c>
      <c r="H55" s="150"/>
      <c r="I55" s="150" t="s">
        <v>382</v>
      </c>
      <c r="J55" s="121">
        <v>0.0</v>
      </c>
      <c r="K55" s="152"/>
      <c r="L55" s="149"/>
      <c r="M55" s="153"/>
      <c r="N55" s="153"/>
      <c r="O55" s="154"/>
      <c r="P55" s="155" t="b">
        <v>0</v>
      </c>
      <c r="Q55" s="155" t="b">
        <v>0</v>
      </c>
      <c r="R55" s="51"/>
      <c r="S55" s="155" t="b">
        <v>0</v>
      </c>
      <c r="T55" s="156" t="b">
        <v>0</v>
      </c>
      <c r="U55" s="157">
        <v>44714.0</v>
      </c>
      <c r="V55" s="158">
        <v>0.4930555555555556</v>
      </c>
      <c r="W55" s="149" t="s">
        <v>203</v>
      </c>
      <c r="X55" s="51"/>
      <c r="Y55" s="155" t="b">
        <v>0</v>
      </c>
      <c r="Z55" s="121">
        <v>33.0</v>
      </c>
      <c r="AA55" s="159">
        <f t="shared" si="1"/>
        <v>2</v>
      </c>
      <c r="AB55" s="160" t="b">
        <v>0</v>
      </c>
      <c r="AC55" s="121">
        <v>31.0</v>
      </c>
      <c r="AD55" s="121">
        <v>0.0</v>
      </c>
      <c r="AE55" s="184">
        <v>0.0</v>
      </c>
      <c r="AF55" s="161">
        <v>0.0</v>
      </c>
      <c r="AG55" s="121">
        <v>0.0</v>
      </c>
      <c r="AH55" s="162">
        <v>0.0</v>
      </c>
      <c r="AI55" s="163">
        <v>0.0</v>
      </c>
      <c r="AJ55" s="121" t="b">
        <v>0</v>
      </c>
      <c r="AK55" s="164">
        <v>31.0</v>
      </c>
      <c r="AL55" s="121">
        <v>0.0</v>
      </c>
      <c r="AM55" s="121">
        <v>0.0</v>
      </c>
      <c r="AN55" s="159" t="str">
        <f>IFNA(VLOOKUP($A55,'Tube Reactions'!$J$2:$K96,2,FALSE),"")</f>
        <v/>
      </c>
      <c r="AO55" s="165" t="str">
        <f t="shared" si="2"/>
        <v/>
      </c>
      <c r="AP55" s="166" t="str">
        <f t="shared" si="3"/>
        <v>Absent</v>
      </c>
      <c r="AQ55" s="167" t="b">
        <f t="shared" si="4"/>
        <v>0</v>
      </c>
      <c r="AR55" s="185">
        <v>54.0</v>
      </c>
      <c r="AS55" s="169"/>
      <c r="AT55" s="149"/>
      <c r="AU55" s="121" t="s">
        <v>204</v>
      </c>
      <c r="AV55" s="170">
        <v>33.0</v>
      </c>
      <c r="AW55" s="121" t="b">
        <v>1</v>
      </c>
      <c r="AX55" s="171"/>
      <c r="AY55" s="159">
        <f t="shared" si="5"/>
        <v>2</v>
      </c>
      <c r="AZ55" s="172"/>
      <c r="BA55" s="173" t="b">
        <v>1</v>
      </c>
      <c r="BB55" s="165" t="b">
        <f t="shared" si="6"/>
        <v>1</v>
      </c>
      <c r="BC55" s="159" t="b">
        <f t="shared" si="7"/>
        <v>1</v>
      </c>
      <c r="BD55" s="159">
        <f t="shared" si="8"/>
        <v>31</v>
      </c>
      <c r="BE55" s="174"/>
      <c r="BF55" s="175">
        <f t="shared" si="9"/>
        <v>44714</v>
      </c>
      <c r="BG55" s="165" t="str">
        <f t="shared" si="10"/>
        <v>RUN-COMB_2022-06-02_RFR-054</v>
      </c>
      <c r="BH55" s="159">
        <f t="shared" si="11"/>
        <v>31</v>
      </c>
      <c r="BI55" s="159">
        <f t="shared" si="12"/>
        <v>33</v>
      </c>
      <c r="BJ55" s="159">
        <f t="shared" si="13"/>
        <v>31</v>
      </c>
      <c r="BK55" s="159">
        <f t="shared" si="14"/>
        <v>0</v>
      </c>
      <c r="BL55" s="183">
        <f>IFNA(IF(VLOOKUP(FLOOR($B55,1),'APS Tubes by Date Import'!$B$2:$L96,1,FALSE)=FLOOR($BL54,1),IFERROR(0/0,""),VLOOKUP(FLOOR($B55,1),'APS Tubes by Date Import'!$B$2:$L96,1,FALSE)),"")</f>
        <v>44714</v>
      </c>
      <c r="BM55" s="176">
        <f>IF(ISBLANK($BL55),IFERROR(0/0,""),VLOOKUP(FLOOR($B55,1),'APS Tubes by Date Import'!$B$2:$L96,2,FALSE))</f>
        <v>31</v>
      </c>
      <c r="BN55" s="159" t="str">
        <f>VLOOKUP(FLOOR($B55,1),'APS Tubes by Date Import'!$B55:$L96,11,FALSE)</f>
        <v>#N/A</v>
      </c>
      <c r="BO55" s="159" t="str">
        <f>VLOOKUP(FLOOR($B55,1),'APS Tubes by Date Import'!$B55:$I96,6,FALSE)</f>
        <v>#N/A</v>
      </c>
      <c r="BP55" s="159">
        <f t="shared" si="15"/>
        <v>31</v>
      </c>
      <c r="BQ55" s="177">
        <f t="shared" si="16"/>
        <v>0</v>
      </c>
      <c r="BR55" s="149"/>
      <c r="BS55" s="175" t="b">
        <f t="shared" si="17"/>
        <v>1</v>
      </c>
      <c r="BT55" s="178" t="str">
        <f t="shared" si="18"/>
        <v/>
      </c>
      <c r="BU55" s="179"/>
      <c r="BV55" s="180">
        <f t="shared" si="19"/>
        <v>0</v>
      </c>
      <c r="BW55" s="181"/>
      <c r="BX55" s="181"/>
      <c r="BY55" s="181"/>
      <c r="BZ55" s="181"/>
      <c r="CA55" s="181"/>
      <c r="CB55" s="181"/>
      <c r="CC55" s="181"/>
    </row>
    <row r="56">
      <c r="A56" s="147" t="str">
        <f>CONCATENATE("RUN-",'Process Ref'!$A$1,"_",TEXT(U56,"YYYY-MM-DD"),"_RFR-",TEXT(AR56,"000"),IF(EXACT(W56,"Initial"),"",CONCATENATE("_",W56)))</f>
        <v>RUN-COMB_2022-06-03_RFR-055</v>
      </c>
      <c r="B56" s="148">
        <v>44715.37449074074</v>
      </c>
      <c r="C56" s="149"/>
      <c r="D56" s="149" t="s">
        <v>199</v>
      </c>
      <c r="E56" s="121">
        <v>23.0</v>
      </c>
      <c r="F56" s="149" t="s">
        <v>383</v>
      </c>
      <c r="G56" s="151" t="s">
        <v>384</v>
      </c>
      <c r="H56" s="151"/>
      <c r="I56" s="151" t="s">
        <v>385</v>
      </c>
      <c r="J56" s="55"/>
      <c r="K56" s="152"/>
      <c r="L56" s="149"/>
      <c r="M56" s="153"/>
      <c r="N56" s="153"/>
      <c r="O56" s="154"/>
      <c r="P56" s="155" t="b">
        <v>0</v>
      </c>
      <c r="Q56" s="155" t="b">
        <v>0</v>
      </c>
      <c r="R56" s="51"/>
      <c r="S56" s="155" t="b">
        <v>0</v>
      </c>
      <c r="T56" s="156" t="b">
        <v>0</v>
      </c>
      <c r="U56" s="157">
        <v>44715.0</v>
      </c>
      <c r="V56" s="158">
        <v>0.4979166666666667</v>
      </c>
      <c r="W56" s="149" t="s">
        <v>203</v>
      </c>
      <c r="X56" s="51"/>
      <c r="Y56" s="155" t="b">
        <v>0</v>
      </c>
      <c r="Z56" s="121">
        <v>25.0</v>
      </c>
      <c r="AA56" s="159">
        <f t="shared" si="1"/>
        <v>2</v>
      </c>
      <c r="AB56" s="160" t="b">
        <v>0</v>
      </c>
      <c r="AC56" s="121">
        <v>23.0</v>
      </c>
      <c r="AD56" s="121">
        <v>0.0</v>
      </c>
      <c r="AE56" s="184">
        <v>0.0</v>
      </c>
      <c r="AF56" s="161">
        <v>0.0</v>
      </c>
      <c r="AG56" s="121">
        <v>0.0</v>
      </c>
      <c r="AH56" s="162">
        <v>0.0</v>
      </c>
      <c r="AI56" s="163">
        <v>0.0</v>
      </c>
      <c r="AJ56" s="121" t="b">
        <v>0</v>
      </c>
      <c r="AK56" s="164">
        <v>23.0</v>
      </c>
      <c r="AL56" s="121">
        <v>0.0</v>
      </c>
      <c r="AM56" s="121">
        <v>0.0</v>
      </c>
      <c r="AN56" s="159" t="str">
        <f>IFNA(VLOOKUP($A56,'Tube Reactions'!$J$2:$K96,2,FALSE),"")</f>
        <v/>
      </c>
      <c r="AO56" s="165" t="str">
        <f t="shared" si="2"/>
        <v/>
      </c>
      <c r="AP56" s="166" t="str">
        <f t="shared" si="3"/>
        <v>Absent</v>
      </c>
      <c r="AQ56" s="167" t="b">
        <f t="shared" si="4"/>
        <v>0</v>
      </c>
      <c r="AR56" s="185">
        <v>55.0</v>
      </c>
      <c r="AS56" s="169"/>
      <c r="AT56" s="149"/>
      <c r="AU56" s="121" t="s">
        <v>204</v>
      </c>
      <c r="AV56" s="170">
        <v>25.0</v>
      </c>
      <c r="AW56" s="121" t="b">
        <v>0</v>
      </c>
      <c r="AX56" s="171"/>
      <c r="AY56" s="159">
        <f t="shared" si="5"/>
        <v>2</v>
      </c>
      <c r="AZ56" s="172"/>
      <c r="BA56" s="173" t="b">
        <v>1</v>
      </c>
      <c r="BB56" s="165" t="b">
        <f t="shared" si="6"/>
        <v>1</v>
      </c>
      <c r="BC56" s="159" t="b">
        <f t="shared" si="7"/>
        <v>1</v>
      </c>
      <c r="BD56" s="159">
        <f t="shared" si="8"/>
        <v>23</v>
      </c>
      <c r="BE56" s="174"/>
      <c r="BF56" s="175">
        <f t="shared" si="9"/>
        <v>44715</v>
      </c>
      <c r="BG56" s="165" t="str">
        <f t="shared" si="10"/>
        <v>RUN-COMB_2022-06-03_RFR-055</v>
      </c>
      <c r="BH56" s="159">
        <f t="shared" si="11"/>
        <v>23</v>
      </c>
      <c r="BI56" s="159">
        <f t="shared" si="12"/>
        <v>25</v>
      </c>
      <c r="BJ56" s="159">
        <f t="shared" si="13"/>
        <v>23</v>
      </c>
      <c r="BK56" s="159">
        <f t="shared" si="14"/>
        <v>0</v>
      </c>
      <c r="BL56" s="183">
        <f>IFNA(IF(VLOOKUP(FLOOR($B56,1),'APS Tubes by Date Import'!$B$2:$L96,1,FALSE)=FLOOR($BL55,1),IFERROR(0/0,""),VLOOKUP(FLOOR($B56,1),'APS Tubes by Date Import'!$B$2:$L96,1,FALSE)),"")</f>
        <v>44715</v>
      </c>
      <c r="BM56" s="176">
        <f>IF(ISBLANK($BL56),IFERROR(0/0,""),VLOOKUP(FLOOR($B56,1),'APS Tubes by Date Import'!$B$2:$L96,2,FALSE))</f>
        <v>23</v>
      </c>
      <c r="BN56" s="159" t="str">
        <f>VLOOKUP(FLOOR($B56,1),'APS Tubes by Date Import'!$B56:$L96,11,FALSE)</f>
        <v>#N/A</v>
      </c>
      <c r="BO56" s="159" t="str">
        <f>VLOOKUP(FLOOR($B56,1),'APS Tubes by Date Import'!$B56:$I96,6,FALSE)</f>
        <v>#N/A</v>
      </c>
      <c r="BP56" s="159">
        <f t="shared" si="15"/>
        <v>23</v>
      </c>
      <c r="BQ56" s="177">
        <f t="shared" si="16"/>
        <v>0</v>
      </c>
      <c r="BR56" s="149"/>
      <c r="BS56" s="175" t="b">
        <f t="shared" si="17"/>
        <v>1</v>
      </c>
      <c r="BT56" s="178" t="str">
        <f t="shared" si="18"/>
        <v/>
      </c>
      <c r="BU56" s="179"/>
      <c r="BV56" s="180">
        <f t="shared" si="19"/>
        <v>0</v>
      </c>
      <c r="BW56" s="181"/>
      <c r="BX56" s="181"/>
      <c r="BY56" s="181"/>
      <c r="BZ56" s="181"/>
      <c r="CA56" s="181"/>
      <c r="CB56" s="181"/>
      <c r="CC56" s="181"/>
    </row>
    <row r="57">
      <c r="A57" s="147" t="str">
        <f>CONCATENATE("RUN-",'Process Ref'!$A$1,"_",TEXT(U57,"YYYY-MM-DD"),"_RFR-",TEXT(AR57,"000"),IF(EXACT(W57,"Initial"),"",CONCATENATE("_",W57)))</f>
        <v>RUN-COMB_2022-06-06_RFR-056</v>
      </c>
      <c r="B57" s="148">
        <v>44718.84748842593</v>
      </c>
      <c r="C57" s="149"/>
      <c r="D57" s="149" t="s">
        <v>199</v>
      </c>
      <c r="E57" s="121">
        <v>30.0</v>
      </c>
      <c r="F57" s="149" t="s">
        <v>386</v>
      </c>
      <c r="G57" s="151" t="s">
        <v>387</v>
      </c>
      <c r="H57" s="151"/>
      <c r="I57" s="151" t="s">
        <v>388</v>
      </c>
      <c r="J57" s="121">
        <v>1.0</v>
      </c>
      <c r="K57" s="152"/>
      <c r="L57" s="149"/>
      <c r="M57" s="153"/>
      <c r="N57" s="153">
        <v>2.2</v>
      </c>
      <c r="O57" s="154"/>
      <c r="P57" s="155" t="b">
        <v>1</v>
      </c>
      <c r="Q57" s="155" t="b">
        <v>0</v>
      </c>
      <c r="R57" s="51"/>
      <c r="S57" s="155" t="b">
        <v>0</v>
      </c>
      <c r="T57" s="156" t="b">
        <v>1</v>
      </c>
      <c r="U57" s="157">
        <v>44718.0</v>
      </c>
      <c r="V57" s="158">
        <v>0.9270833333333334</v>
      </c>
      <c r="W57" s="149" t="s">
        <v>203</v>
      </c>
      <c r="X57" s="149" t="s">
        <v>389</v>
      </c>
      <c r="Y57" s="155" t="b">
        <v>1</v>
      </c>
      <c r="Z57" s="121">
        <v>32.0</v>
      </c>
      <c r="AA57" s="159">
        <f t="shared" si="1"/>
        <v>2</v>
      </c>
      <c r="AB57" s="160" t="b">
        <v>0</v>
      </c>
      <c r="AC57" s="121">
        <v>30.0</v>
      </c>
      <c r="AD57" s="121">
        <v>0.0</v>
      </c>
      <c r="AE57" s="184">
        <v>0.0</v>
      </c>
      <c r="AF57" s="161">
        <v>0.0</v>
      </c>
      <c r="AG57" s="121">
        <v>1.0</v>
      </c>
      <c r="AH57" s="162">
        <v>1.0</v>
      </c>
      <c r="AI57" s="163">
        <v>1.0</v>
      </c>
      <c r="AJ57" s="121" t="b">
        <v>0</v>
      </c>
      <c r="AK57" s="164">
        <v>30.0</v>
      </c>
      <c r="AL57" s="121">
        <v>4.0</v>
      </c>
      <c r="AM57" s="121">
        <v>1.0</v>
      </c>
      <c r="AN57" s="159" t="str">
        <f>IFNA(VLOOKUP($A57,'Tube Reactions'!$J$2:$K96,2,FALSE),"")</f>
        <v/>
      </c>
      <c r="AO57" s="165" t="str">
        <f t="shared" si="2"/>
        <v>NOT EQUAL</v>
      </c>
      <c r="AP57" s="166" t="str">
        <f t="shared" si="3"/>
        <v>Absent</v>
      </c>
      <c r="AQ57" s="167" t="b">
        <f t="shared" si="4"/>
        <v>0</v>
      </c>
      <c r="AR57" s="185">
        <v>56.0</v>
      </c>
      <c r="AS57" s="169"/>
      <c r="AT57" s="149"/>
      <c r="AU57" s="121" t="s">
        <v>204</v>
      </c>
      <c r="AV57" s="55">
        <v>32.0</v>
      </c>
      <c r="AW57" s="149" t="b">
        <v>0</v>
      </c>
      <c r="AX57" s="171"/>
      <c r="AY57" s="159">
        <f t="shared" si="5"/>
        <v>2</v>
      </c>
      <c r="AZ57" s="172"/>
      <c r="BA57" s="173" t="b">
        <v>0</v>
      </c>
      <c r="BB57" s="165" t="str">
        <f t="shared" si="6"/>
        <v/>
      </c>
      <c r="BC57" s="159" t="str">
        <f t="shared" si="7"/>
        <v/>
      </c>
      <c r="BD57" s="159" t="str">
        <f t="shared" si="8"/>
        <v/>
      </c>
      <c r="BE57" s="174"/>
      <c r="BF57" s="175">
        <f t="shared" si="9"/>
        <v>44718</v>
      </c>
      <c r="BG57" s="165" t="str">
        <f t="shared" si="10"/>
        <v>RUN-COMB_2022-06-06_RFR-056</v>
      </c>
      <c r="BH57" s="159">
        <f t="shared" si="11"/>
        <v>30</v>
      </c>
      <c r="BI57" s="159">
        <f t="shared" si="12"/>
        <v>32</v>
      </c>
      <c r="BJ57" s="159">
        <f t="shared" si="13"/>
        <v>30</v>
      </c>
      <c r="BK57" s="159">
        <f t="shared" si="14"/>
        <v>4</v>
      </c>
      <c r="BL57" s="183">
        <f>IFNA(IF(VLOOKUP(FLOOR($B57,1),'APS Tubes by Date Import'!$B$2:$L96,1,FALSE)=FLOOR($BL56,1),IFERROR(0/0,""),VLOOKUP(FLOOR($B57,1),'APS Tubes by Date Import'!$B$2:$L96,1,FALSE)),"")</f>
        <v>44718</v>
      </c>
      <c r="BM57" s="176">
        <f>IF(ISBLANK($BL57),IFERROR(0/0,""),VLOOKUP(FLOOR($B57,1),'APS Tubes by Date Import'!$B$2:$L96,2,FALSE))</f>
        <v>2</v>
      </c>
      <c r="BN57" s="159" t="str">
        <f>VLOOKUP(FLOOR($B57,1),'APS Tubes by Date Import'!$B57:$L96,11,FALSE)</f>
        <v>#N/A</v>
      </c>
      <c r="BO57" s="159" t="str">
        <f>VLOOKUP(FLOOR($B57,1),'APS Tubes by Date Import'!$B57:$I96,6,FALSE)</f>
        <v>#N/A</v>
      </c>
      <c r="BP57" s="159">
        <f t="shared" si="15"/>
        <v>30</v>
      </c>
      <c r="BQ57" s="177">
        <f t="shared" si="16"/>
        <v>28</v>
      </c>
      <c r="BR57" s="149"/>
      <c r="BS57" s="175" t="b">
        <f t="shared" si="17"/>
        <v>1</v>
      </c>
      <c r="BT57" s="178" t="str">
        <f t="shared" si="18"/>
        <v/>
      </c>
      <c r="BU57" s="179"/>
      <c r="BV57" s="180">
        <f t="shared" si="19"/>
        <v>0</v>
      </c>
      <c r="BW57" s="181"/>
      <c r="BX57" s="181"/>
      <c r="BY57" s="181"/>
      <c r="BZ57" s="181"/>
      <c r="CA57" s="181"/>
      <c r="CB57" s="181"/>
      <c r="CC57" s="181"/>
    </row>
    <row r="58">
      <c r="A58" s="147" t="str">
        <f>CONCATENATE("RUN-",'Process Ref'!$A$1,"_",TEXT(U58,"YYYY-MM-DD"),"_RFR-",TEXT(AR58,"000"),IF(EXACT(W58,"Initial"),"",CONCATENATE("_",W58)))</f>
        <v>RUN-COMB_2022-06-06_RFR-057_Re-run</v>
      </c>
      <c r="B58" s="148">
        <v>44718.849016203705</v>
      </c>
      <c r="C58" s="149"/>
      <c r="D58" s="149" t="s">
        <v>199</v>
      </c>
      <c r="E58" s="121">
        <v>1.0</v>
      </c>
      <c r="F58" s="149" t="s">
        <v>390</v>
      </c>
      <c r="G58" s="151" t="s">
        <v>391</v>
      </c>
      <c r="H58" s="151"/>
      <c r="I58" s="151" t="s">
        <v>392</v>
      </c>
      <c r="J58" s="55"/>
      <c r="K58" s="182" t="s">
        <v>393</v>
      </c>
      <c r="L58" s="149"/>
      <c r="M58" s="153">
        <v>1.2</v>
      </c>
      <c r="N58" s="153"/>
      <c r="O58" s="154"/>
      <c r="P58" s="155" t="b">
        <v>0</v>
      </c>
      <c r="Q58" s="155" t="b">
        <v>0</v>
      </c>
      <c r="R58" s="51"/>
      <c r="S58" s="155" t="b">
        <v>0</v>
      </c>
      <c r="T58" s="156" t="b">
        <v>1</v>
      </c>
      <c r="U58" s="157">
        <v>44718.0</v>
      </c>
      <c r="V58" s="158">
        <v>0.9583333333333334</v>
      </c>
      <c r="W58" s="149" t="s">
        <v>216</v>
      </c>
      <c r="X58" s="149" t="s">
        <v>394</v>
      </c>
      <c r="Y58" s="155" t="b">
        <v>0</v>
      </c>
      <c r="Z58" s="121">
        <v>5.0</v>
      </c>
      <c r="AA58" s="159">
        <f t="shared" si="1"/>
        <v>4</v>
      </c>
      <c r="AB58" s="160" t="b">
        <v>1</v>
      </c>
      <c r="AC58" s="121">
        <v>3.0</v>
      </c>
      <c r="AD58" s="121">
        <v>0.0</v>
      </c>
      <c r="AE58" s="184">
        <v>0.0</v>
      </c>
      <c r="AF58" s="161">
        <v>0.0</v>
      </c>
      <c r="AG58" s="121">
        <v>3.0</v>
      </c>
      <c r="AH58" s="162">
        <v>1.0</v>
      </c>
      <c r="AI58" s="163">
        <v>1.0</v>
      </c>
      <c r="AJ58" s="121" t="b">
        <v>0</v>
      </c>
      <c r="AK58" s="164">
        <v>1.0</v>
      </c>
      <c r="AL58" s="121">
        <v>4.0</v>
      </c>
      <c r="AM58" s="55" t="str">
        <f>IF(EXACT(W58,"Initial"),"Audit","")</f>
        <v/>
      </c>
      <c r="AN58" s="159" t="str">
        <f>IFNA(VLOOKUP($A58,'Tube Reactions'!$J$2:$K96,2,FALSE),"")</f>
        <v/>
      </c>
      <c r="AO58" s="165" t="str">
        <f t="shared" si="2"/>
        <v/>
      </c>
      <c r="AP58" s="166" t="str">
        <f t="shared" si="3"/>
        <v>Absent</v>
      </c>
      <c r="AQ58" s="167" t="b">
        <f t="shared" si="4"/>
        <v>0</v>
      </c>
      <c r="AR58" s="185">
        <v>57.0</v>
      </c>
      <c r="AS58" s="169"/>
      <c r="AT58" s="149"/>
      <c r="AU58" s="121" t="s">
        <v>204</v>
      </c>
      <c r="AV58" s="170">
        <v>5.0</v>
      </c>
      <c r="AW58" s="121" t="b">
        <v>1</v>
      </c>
      <c r="AX58" s="171"/>
      <c r="AY58" s="159">
        <f t="shared" si="5"/>
        <v>2</v>
      </c>
      <c r="AZ58" s="172"/>
      <c r="BA58" s="173" t="b">
        <v>0</v>
      </c>
      <c r="BB58" s="165" t="str">
        <f t="shared" si="6"/>
        <v/>
      </c>
      <c r="BC58" s="159" t="str">
        <f t="shared" si="7"/>
        <v/>
      </c>
      <c r="BD58" s="159" t="str">
        <f t="shared" si="8"/>
        <v/>
      </c>
      <c r="BE58" s="174"/>
      <c r="BF58" s="175" t="str">
        <f t="shared" si="9"/>
        <v/>
      </c>
      <c r="BG58" s="165" t="str">
        <f t="shared" si="10"/>
        <v/>
      </c>
      <c r="BH58" s="159" t="str">
        <f t="shared" si="11"/>
        <v/>
      </c>
      <c r="BI58" s="159" t="str">
        <f t="shared" si="12"/>
        <v/>
      </c>
      <c r="BJ58" s="159" t="str">
        <f t="shared" si="13"/>
        <v/>
      </c>
      <c r="BK58" s="159" t="str">
        <f t="shared" si="14"/>
        <v/>
      </c>
      <c r="BL58" s="183" t="str">
        <f>IFNA(IF(VLOOKUP(FLOOR($B58,1),'APS Tubes by Date Import'!$B$2:$L96,1,FALSE)=FLOOR($BL57,1),IFERROR(0/0,""),VLOOKUP(FLOOR($B58,1),'APS Tubes by Date Import'!$B$2:$L96,1,FALSE)),"")</f>
        <v/>
      </c>
      <c r="BM58" s="176" t="str">
        <f>IF(ISBLANK($BL58),IFERROR(0/0,""),VLOOKUP(FLOOR($B58,1),'APS Tubes by Date Import'!$B$2:$L96,2,FALSE))</f>
        <v/>
      </c>
      <c r="BN58" s="159" t="str">
        <f>VLOOKUP(FLOOR($B58,1),'APS Tubes by Date Import'!$B58:$L96,11,FALSE)</f>
        <v>#N/A</v>
      </c>
      <c r="BO58" s="159" t="str">
        <f>VLOOKUP(FLOOR($B58,1),'APS Tubes by Date Import'!$B58:$I96,6,FALSE)</f>
        <v>#N/A</v>
      </c>
      <c r="BP58" s="159" t="str">
        <f t="shared" si="15"/>
        <v/>
      </c>
      <c r="BQ58" s="177">
        <f t="shared" si="16"/>
        <v>0</v>
      </c>
      <c r="BR58" s="149"/>
      <c r="BS58" s="175" t="str">
        <f t="shared" si="17"/>
        <v/>
      </c>
      <c r="BT58" s="178" t="str">
        <f t="shared" si="18"/>
        <v/>
      </c>
      <c r="BU58" s="179"/>
      <c r="BV58" s="180" t="str">
        <f t="shared" si="19"/>
        <v/>
      </c>
      <c r="BW58" s="181"/>
      <c r="BX58" s="181"/>
      <c r="BY58" s="181"/>
      <c r="BZ58" s="181"/>
      <c r="CA58" s="181"/>
      <c r="CB58" s="181"/>
      <c r="CC58" s="181"/>
    </row>
    <row r="59">
      <c r="A59" s="147" t="str">
        <f>CONCATENATE("RUN-",'Process Ref'!$A$1,"_",TEXT(U59,"YYYY-MM-DD"),"_RFR-",TEXT(AR59,"000"),IF(EXACT(W59,"Initial"),"",CONCATENATE("_",W59)))</f>
        <v>RUN-COMB_2022-06-07_RFR-058</v>
      </c>
      <c r="B59" s="148">
        <v>44719.35030092593</v>
      </c>
      <c r="C59" s="149"/>
      <c r="D59" s="149" t="s">
        <v>199</v>
      </c>
      <c r="E59" s="121">
        <v>16.0</v>
      </c>
      <c r="F59" s="149" t="s">
        <v>395</v>
      </c>
      <c r="G59" s="151" t="s">
        <v>396</v>
      </c>
      <c r="H59" s="151"/>
      <c r="I59" s="151" t="s">
        <v>397</v>
      </c>
      <c r="J59" s="55"/>
      <c r="K59" s="191"/>
      <c r="L59" s="149"/>
      <c r="M59" s="153"/>
      <c r="N59" s="153"/>
      <c r="O59" s="154"/>
      <c r="P59" s="155" t="b">
        <v>0</v>
      </c>
      <c r="Q59" s="155" t="b">
        <v>0</v>
      </c>
      <c r="R59" s="51"/>
      <c r="S59" s="155" t="b">
        <v>0</v>
      </c>
      <c r="T59" s="156" t="b">
        <v>0</v>
      </c>
      <c r="U59" s="157">
        <v>44719.0</v>
      </c>
      <c r="V59" s="158">
        <v>0.4756944444444444</v>
      </c>
      <c r="W59" s="149" t="s">
        <v>203</v>
      </c>
      <c r="X59" s="51"/>
      <c r="Y59" s="155" t="b">
        <v>0</v>
      </c>
      <c r="Z59" s="121">
        <v>18.0</v>
      </c>
      <c r="AA59" s="159">
        <f t="shared" si="1"/>
        <v>2</v>
      </c>
      <c r="AB59" s="160" t="b">
        <v>0</v>
      </c>
      <c r="AC59" s="121">
        <v>16.0</v>
      </c>
      <c r="AD59" s="121">
        <v>0.0</v>
      </c>
      <c r="AE59" s="184">
        <v>0.0</v>
      </c>
      <c r="AF59" s="161">
        <v>0.0</v>
      </c>
      <c r="AG59" s="121">
        <v>0.0</v>
      </c>
      <c r="AH59" s="162">
        <v>0.0</v>
      </c>
      <c r="AI59" s="163">
        <v>0.0</v>
      </c>
      <c r="AJ59" s="121" t="b">
        <v>0</v>
      </c>
      <c r="AK59" s="164">
        <v>16.0</v>
      </c>
      <c r="AL59" s="121">
        <v>0.0</v>
      </c>
      <c r="AM59" s="121">
        <v>0.0</v>
      </c>
      <c r="AN59" s="159" t="str">
        <f>IFNA(VLOOKUP($A59,'Tube Reactions'!$J$2:$K96,2,FALSE),"")</f>
        <v/>
      </c>
      <c r="AO59" s="165" t="str">
        <f t="shared" si="2"/>
        <v/>
      </c>
      <c r="AP59" s="166" t="str">
        <f t="shared" si="3"/>
        <v>Absent</v>
      </c>
      <c r="AQ59" s="167" t="b">
        <f t="shared" si="4"/>
        <v>0</v>
      </c>
      <c r="AR59" s="185">
        <v>58.0</v>
      </c>
      <c r="AS59" s="169"/>
      <c r="AT59" s="149"/>
      <c r="AU59" s="121" t="s">
        <v>204</v>
      </c>
      <c r="AV59" s="170">
        <v>18.0</v>
      </c>
      <c r="AW59" s="162" t="b">
        <v>1</v>
      </c>
      <c r="AX59" s="171"/>
      <c r="AY59" s="159">
        <f t="shared" si="5"/>
        <v>2</v>
      </c>
      <c r="AZ59" s="172"/>
      <c r="BA59" s="173" t="b">
        <v>1</v>
      </c>
      <c r="BB59" s="165" t="b">
        <f t="shared" si="6"/>
        <v>1</v>
      </c>
      <c r="BC59" s="159" t="b">
        <f t="shared" si="7"/>
        <v>1</v>
      </c>
      <c r="BD59" s="159">
        <f t="shared" si="8"/>
        <v>16</v>
      </c>
      <c r="BE59" s="174"/>
      <c r="BF59" s="175">
        <f t="shared" si="9"/>
        <v>44719</v>
      </c>
      <c r="BG59" s="165" t="str">
        <f t="shared" si="10"/>
        <v>RUN-COMB_2022-06-07_RFR-058</v>
      </c>
      <c r="BH59" s="159">
        <f t="shared" si="11"/>
        <v>16</v>
      </c>
      <c r="BI59" s="159">
        <f t="shared" si="12"/>
        <v>18</v>
      </c>
      <c r="BJ59" s="159">
        <f t="shared" si="13"/>
        <v>16</v>
      </c>
      <c r="BK59" s="159">
        <f t="shared" si="14"/>
        <v>0</v>
      </c>
      <c r="BL59" s="183">
        <f>IFNA(IF(VLOOKUP(FLOOR($B59,1),'APS Tubes by Date Import'!$B$2:$L96,1,FALSE)=FLOOR($BL58,1),IFERROR(0/0,""),VLOOKUP(FLOOR($B59,1),'APS Tubes by Date Import'!$B$2:$L96,1,FALSE)),"")</f>
        <v>44719</v>
      </c>
      <c r="BM59" s="176">
        <f>IF(ISBLANK($BL59),IFERROR(0/0,""),VLOOKUP(FLOOR($B59,1),'APS Tubes by Date Import'!$B$2:$L96,2,FALSE))</f>
        <v>16</v>
      </c>
      <c r="BN59" s="159" t="str">
        <f>VLOOKUP(FLOOR($B59,1),'APS Tubes by Date Import'!$B59:$L96,11,FALSE)</f>
        <v>#N/A</v>
      </c>
      <c r="BO59" s="159" t="str">
        <f>VLOOKUP(FLOOR($B59,1),'APS Tubes by Date Import'!$B59:$I96,6,FALSE)</f>
        <v>#N/A</v>
      </c>
      <c r="BP59" s="159">
        <f t="shared" si="15"/>
        <v>16</v>
      </c>
      <c r="BQ59" s="177">
        <f t="shared" si="16"/>
        <v>0</v>
      </c>
      <c r="BR59" s="149"/>
      <c r="BS59" s="175" t="b">
        <f t="shared" si="17"/>
        <v>1</v>
      </c>
      <c r="BT59" s="178" t="str">
        <f t="shared" si="18"/>
        <v/>
      </c>
      <c r="BU59" s="179"/>
      <c r="BV59" s="180">
        <f t="shared" si="19"/>
        <v>0</v>
      </c>
      <c r="BW59" s="181"/>
      <c r="BX59" s="181"/>
      <c r="BY59" s="181"/>
      <c r="BZ59" s="181"/>
      <c r="CA59" s="181"/>
      <c r="CB59" s="181"/>
      <c r="CC59" s="181"/>
    </row>
    <row r="60">
      <c r="A60" s="147" t="str">
        <f>CONCATENATE("RUN-",'Process Ref'!$A$1,"_",TEXT(U60,"YYYY-MM-DD"),"_RFR-",TEXT(AR60,"000"),IF(EXACT(W60,"Initial"),"",CONCATENATE("_",W60)))</f>
        <v>RUN-COMB_2022-06-08_RFR-059</v>
      </c>
      <c r="B60" s="148">
        <v>44720.36965277778</v>
      </c>
      <c r="C60" s="149"/>
      <c r="D60" s="149" t="s">
        <v>199</v>
      </c>
      <c r="E60" s="121">
        <v>17.0</v>
      </c>
      <c r="F60" s="149" t="s">
        <v>395</v>
      </c>
      <c r="G60" s="150" t="s">
        <v>398</v>
      </c>
      <c r="H60" s="150"/>
      <c r="I60" s="150" t="s">
        <v>399</v>
      </c>
      <c r="J60" s="55"/>
      <c r="K60" s="152"/>
      <c r="L60" s="149"/>
      <c r="M60" s="153"/>
      <c r="N60" s="153"/>
      <c r="O60" s="154"/>
      <c r="P60" s="155" t="b">
        <v>0</v>
      </c>
      <c r="Q60" s="155" t="b">
        <v>0</v>
      </c>
      <c r="R60" s="51"/>
      <c r="S60" s="155" t="b">
        <v>0</v>
      </c>
      <c r="T60" s="156" t="b">
        <v>0</v>
      </c>
      <c r="U60" s="157">
        <v>44720.0</v>
      </c>
      <c r="V60" s="158">
        <v>0.4930555555555556</v>
      </c>
      <c r="W60" s="149" t="s">
        <v>203</v>
      </c>
      <c r="X60" s="51"/>
      <c r="Y60" s="155" t="b">
        <v>0</v>
      </c>
      <c r="Z60" s="121">
        <v>19.0</v>
      </c>
      <c r="AA60" s="159">
        <f t="shared" si="1"/>
        <v>2</v>
      </c>
      <c r="AB60" s="160" t="b">
        <v>0</v>
      </c>
      <c r="AC60" s="121">
        <v>17.0</v>
      </c>
      <c r="AD60" s="121">
        <v>0.0</v>
      </c>
      <c r="AE60" s="184">
        <v>0.0</v>
      </c>
      <c r="AF60" s="161">
        <v>0.0</v>
      </c>
      <c r="AG60" s="121">
        <v>0.0</v>
      </c>
      <c r="AH60" s="162">
        <v>0.0</v>
      </c>
      <c r="AI60" s="163">
        <v>0.0</v>
      </c>
      <c r="AJ60" s="121" t="b">
        <v>0</v>
      </c>
      <c r="AK60" s="164">
        <v>17.0</v>
      </c>
      <c r="AL60" s="121">
        <v>0.0</v>
      </c>
      <c r="AM60" s="121">
        <v>0.0</v>
      </c>
      <c r="AN60" s="159" t="str">
        <f>IFNA(VLOOKUP($A60,'Tube Reactions'!$J$2:$K96,2,FALSE),"")</f>
        <v/>
      </c>
      <c r="AO60" s="165" t="str">
        <f t="shared" si="2"/>
        <v/>
      </c>
      <c r="AP60" s="166" t="str">
        <f t="shared" si="3"/>
        <v>Absent</v>
      </c>
      <c r="AQ60" s="167" t="b">
        <f t="shared" si="4"/>
        <v>0</v>
      </c>
      <c r="AR60" s="185">
        <v>59.0</v>
      </c>
      <c r="AS60" s="169"/>
      <c r="AT60" s="149"/>
      <c r="AU60" s="121" t="s">
        <v>204</v>
      </c>
      <c r="AV60" s="55">
        <v>19.0</v>
      </c>
      <c r="AW60" s="149" t="b">
        <v>0</v>
      </c>
      <c r="AX60" s="171"/>
      <c r="AY60" s="159">
        <f t="shared" si="5"/>
        <v>2</v>
      </c>
      <c r="AZ60" s="172"/>
      <c r="BA60" s="173" t="b">
        <v>1</v>
      </c>
      <c r="BB60" s="165" t="b">
        <f t="shared" si="6"/>
        <v>1</v>
      </c>
      <c r="BC60" s="159" t="b">
        <f t="shared" si="7"/>
        <v>1</v>
      </c>
      <c r="BD60" s="159">
        <f t="shared" si="8"/>
        <v>17</v>
      </c>
      <c r="BE60" s="174"/>
      <c r="BF60" s="175">
        <f t="shared" si="9"/>
        <v>44720</v>
      </c>
      <c r="BG60" s="165" t="str">
        <f t="shared" si="10"/>
        <v>RUN-COMB_2022-06-08_RFR-059</v>
      </c>
      <c r="BH60" s="159">
        <f t="shared" si="11"/>
        <v>17</v>
      </c>
      <c r="BI60" s="159">
        <f t="shared" si="12"/>
        <v>19</v>
      </c>
      <c r="BJ60" s="159">
        <f t="shared" si="13"/>
        <v>17</v>
      </c>
      <c r="BK60" s="159">
        <f t="shared" si="14"/>
        <v>0</v>
      </c>
      <c r="BL60" s="183">
        <f>IFNA(IF(VLOOKUP(FLOOR($B60,1),'APS Tubes by Date Import'!$B$2:$L96,1,FALSE)=FLOOR($BL59,1),IFERROR(0/0,""),VLOOKUP(FLOOR($B60,1),'APS Tubes by Date Import'!$B$2:$L96,1,FALSE)),"")</f>
        <v>44720</v>
      </c>
      <c r="BM60" s="176">
        <f>IF(ISBLANK($BL60),IFERROR(0/0,""),VLOOKUP(FLOOR($B60,1),'APS Tubes by Date Import'!$B$2:$L96,2,FALSE))</f>
        <v>17</v>
      </c>
      <c r="BN60" s="159" t="str">
        <f>VLOOKUP(FLOOR($B60,1),'APS Tubes by Date Import'!$B60:$L96,11,FALSE)</f>
        <v>#N/A</v>
      </c>
      <c r="BO60" s="159" t="str">
        <f>VLOOKUP(FLOOR($B60,1),'APS Tubes by Date Import'!$B60:$I96,6,FALSE)</f>
        <v>#N/A</v>
      </c>
      <c r="BP60" s="159">
        <f t="shared" si="15"/>
        <v>17</v>
      </c>
      <c r="BQ60" s="177">
        <f t="shared" si="16"/>
        <v>0</v>
      </c>
      <c r="BR60" s="149"/>
      <c r="BS60" s="175" t="b">
        <f t="shared" si="17"/>
        <v>1</v>
      </c>
      <c r="BT60" s="178" t="str">
        <f t="shared" si="18"/>
        <v/>
      </c>
      <c r="BU60" s="179"/>
      <c r="BV60" s="180">
        <f t="shared" si="19"/>
        <v>0</v>
      </c>
      <c r="BW60" s="181"/>
      <c r="BX60" s="181"/>
      <c r="BY60" s="181"/>
      <c r="BZ60" s="181"/>
      <c r="CA60" s="181"/>
      <c r="CB60" s="181"/>
      <c r="CC60" s="181"/>
    </row>
    <row r="61">
      <c r="A61" s="147" t="str">
        <f>CONCATENATE("RUN-",'Process Ref'!$A$1,"_",TEXT(U61,"YYYY-MM-DD"),"_RFR-",TEXT(AR61,"000"),IF(EXACT(W61,"Initial"),"",CONCATENATE("_",W61)))</f>
        <v>RUN-COMB_2022-06-09_RFR-060</v>
      </c>
      <c r="B61" s="148">
        <v>44721.354733796295</v>
      </c>
      <c r="C61" s="149"/>
      <c r="D61" s="149" t="s">
        <v>199</v>
      </c>
      <c r="E61" s="121">
        <v>42.0</v>
      </c>
      <c r="F61" s="149" t="s">
        <v>400</v>
      </c>
      <c r="G61" s="150" t="s">
        <v>401</v>
      </c>
      <c r="H61" s="150"/>
      <c r="I61" s="150" t="s">
        <v>402</v>
      </c>
      <c r="J61" s="55"/>
      <c r="K61" s="182" t="s">
        <v>403</v>
      </c>
      <c r="L61" s="149"/>
      <c r="M61" s="153"/>
      <c r="N61" s="153"/>
      <c r="O61" s="154"/>
      <c r="P61" s="155" t="b">
        <v>0</v>
      </c>
      <c r="Q61" s="155" t="b">
        <v>0</v>
      </c>
      <c r="R61" s="51"/>
      <c r="S61" s="155" t="b">
        <v>0</v>
      </c>
      <c r="T61" s="156" t="b">
        <v>0</v>
      </c>
      <c r="U61" s="157">
        <v>44721.0</v>
      </c>
      <c r="V61" s="158"/>
      <c r="W61" s="149" t="s">
        <v>203</v>
      </c>
      <c r="X61" s="51"/>
      <c r="Y61" s="155" t="b">
        <v>0</v>
      </c>
      <c r="Z61" s="121">
        <v>44.0</v>
      </c>
      <c r="AA61" s="159">
        <f t="shared" si="1"/>
        <v>2</v>
      </c>
      <c r="AB61" s="160" t="b">
        <v>0</v>
      </c>
      <c r="AC61" s="121">
        <v>42.0</v>
      </c>
      <c r="AD61" s="121">
        <v>0.0</v>
      </c>
      <c r="AE61" s="184">
        <v>0.0</v>
      </c>
      <c r="AF61" s="161">
        <v>0.0</v>
      </c>
      <c r="AG61" s="121">
        <v>2.0</v>
      </c>
      <c r="AH61" s="162">
        <v>2.0</v>
      </c>
      <c r="AI61" s="163">
        <v>2.0</v>
      </c>
      <c r="AJ61" s="121" t="b">
        <v>0</v>
      </c>
      <c r="AK61" s="164">
        <v>42.0</v>
      </c>
      <c r="AL61" s="121">
        <v>4.0</v>
      </c>
      <c r="AM61" s="121">
        <v>2.0</v>
      </c>
      <c r="AN61" s="159" t="str">
        <f>IFNA(VLOOKUP($A61,'Tube Reactions'!$J$2:$K96,2,FALSE),"")</f>
        <v/>
      </c>
      <c r="AO61" s="165" t="str">
        <f t="shared" si="2"/>
        <v>NOT EQUAL</v>
      </c>
      <c r="AP61" s="166" t="str">
        <f t="shared" si="3"/>
        <v>Absent</v>
      </c>
      <c r="AQ61" s="167" t="b">
        <f t="shared" si="4"/>
        <v>0</v>
      </c>
      <c r="AR61" s="185">
        <v>60.0</v>
      </c>
      <c r="AS61" s="169"/>
      <c r="AT61" s="149"/>
      <c r="AU61" s="121" t="s">
        <v>204</v>
      </c>
      <c r="AV61" s="170">
        <v>44.0</v>
      </c>
      <c r="AW61" s="121" t="b">
        <v>0</v>
      </c>
      <c r="AX61" s="171"/>
      <c r="AY61" s="159">
        <f t="shared" si="5"/>
        <v>2</v>
      </c>
      <c r="AZ61" s="172"/>
      <c r="BA61" s="173" t="b">
        <v>1</v>
      </c>
      <c r="BB61" s="165" t="b">
        <f t="shared" si="6"/>
        <v>1</v>
      </c>
      <c r="BC61" s="159">
        <f t="shared" si="7"/>
        <v>4</v>
      </c>
      <c r="BD61" s="159">
        <f t="shared" si="8"/>
        <v>42</v>
      </c>
      <c r="BE61" s="174"/>
      <c r="BF61" s="175">
        <f t="shared" si="9"/>
        <v>44721</v>
      </c>
      <c r="BG61" s="165" t="str">
        <f t="shared" si="10"/>
        <v>RUN-COMB_2022-06-09_RFR-060</v>
      </c>
      <c r="BH61" s="159">
        <f t="shared" si="11"/>
        <v>42</v>
      </c>
      <c r="BI61" s="159">
        <f t="shared" si="12"/>
        <v>44</v>
      </c>
      <c r="BJ61" s="159">
        <f t="shared" si="13"/>
        <v>42</v>
      </c>
      <c r="BK61" s="159">
        <f t="shared" si="14"/>
        <v>4</v>
      </c>
      <c r="BL61" s="183">
        <f>IFNA(IF(VLOOKUP(FLOOR($B61,1),'APS Tubes by Date Import'!$B$2:$L96,1,FALSE)=FLOOR($BL60,1),IFERROR(0/0,""),VLOOKUP(FLOOR($B61,1),'APS Tubes by Date Import'!$B$2:$L96,1,FALSE)),"")</f>
        <v>44721</v>
      </c>
      <c r="BM61" s="176">
        <f>IF(ISBLANK($BL61),IFERROR(0/0,""),VLOOKUP(FLOOR($B61,1),'APS Tubes by Date Import'!$B$2:$L96,2,FALSE))</f>
        <v>20</v>
      </c>
      <c r="BN61" s="159" t="str">
        <f>VLOOKUP(FLOOR($B61,1),'APS Tubes by Date Import'!$B61:$L96,11,FALSE)</f>
        <v>#N/A</v>
      </c>
      <c r="BO61" s="159" t="str">
        <f>VLOOKUP(FLOOR($B61,1),'APS Tubes by Date Import'!$B61:$I96,6,FALSE)</f>
        <v>#N/A</v>
      </c>
      <c r="BP61" s="159">
        <f t="shared" si="15"/>
        <v>42</v>
      </c>
      <c r="BQ61" s="177">
        <f t="shared" si="16"/>
        <v>22</v>
      </c>
      <c r="BR61" s="149"/>
      <c r="BS61" s="175" t="b">
        <f t="shared" si="17"/>
        <v>1</v>
      </c>
      <c r="BT61" s="178" t="str">
        <f t="shared" si="18"/>
        <v/>
      </c>
      <c r="BU61" s="179"/>
      <c r="BV61" s="180">
        <f t="shared" si="19"/>
        <v>0</v>
      </c>
      <c r="BW61" s="181"/>
      <c r="BX61" s="181"/>
      <c r="BY61" s="181"/>
      <c r="BZ61" s="181"/>
      <c r="CA61" s="181"/>
      <c r="CB61" s="181"/>
      <c r="CC61" s="181"/>
    </row>
    <row r="62">
      <c r="A62" s="147" t="str">
        <f>CONCATENATE("RUN-",'Process Ref'!$A$1,"_",TEXT(U62,"YYYY-MM-DD"),"_RFR-",TEXT(AR62,"000"),IF(EXACT(W62,"Initial"),"",CONCATENATE("_",W62)))</f>
        <v>RUN-COMB_2022-06-27_RFR-061</v>
      </c>
      <c r="B62" s="148">
        <v>44739.867638888885</v>
      </c>
      <c r="C62" s="149"/>
      <c r="D62" s="149" t="s">
        <v>199</v>
      </c>
      <c r="E62" s="121">
        <v>22.0</v>
      </c>
      <c r="F62" s="149" t="s">
        <v>404</v>
      </c>
      <c r="G62" s="150" t="s">
        <v>405</v>
      </c>
      <c r="H62" s="150"/>
      <c r="I62" s="150" t="s">
        <v>406</v>
      </c>
      <c r="J62" s="121">
        <v>5.0</v>
      </c>
      <c r="K62" s="182" t="s">
        <v>407</v>
      </c>
      <c r="L62" s="149"/>
      <c r="M62" s="153">
        <v>1.2</v>
      </c>
      <c r="N62" s="153">
        <v>2.1</v>
      </c>
      <c r="O62" s="154"/>
      <c r="P62" s="155" t="b">
        <v>1</v>
      </c>
      <c r="Q62" s="155" t="b">
        <v>0</v>
      </c>
      <c r="R62" s="51"/>
      <c r="S62" s="155" t="b">
        <v>0</v>
      </c>
      <c r="T62" s="156" t="b">
        <v>1</v>
      </c>
      <c r="U62" s="157">
        <v>44739.0</v>
      </c>
      <c r="V62" s="158">
        <v>0.9270833333333334</v>
      </c>
      <c r="W62" s="149" t="s">
        <v>203</v>
      </c>
      <c r="X62" s="149" t="s">
        <v>408</v>
      </c>
      <c r="Y62" s="155" t="b">
        <v>1</v>
      </c>
      <c r="Z62" s="121">
        <v>26.0</v>
      </c>
      <c r="AA62" s="159">
        <f t="shared" si="1"/>
        <v>4</v>
      </c>
      <c r="AB62" s="160" t="b">
        <v>1</v>
      </c>
      <c r="AC62" s="121">
        <v>24.0</v>
      </c>
      <c r="AD62" s="121">
        <v>0.0</v>
      </c>
      <c r="AE62" s="184">
        <v>0.0</v>
      </c>
      <c r="AF62" s="161">
        <v>1.0</v>
      </c>
      <c r="AG62" s="121">
        <v>4.0</v>
      </c>
      <c r="AH62" s="162">
        <v>4.0</v>
      </c>
      <c r="AI62" s="163">
        <v>3.0</v>
      </c>
      <c r="AJ62" s="121" t="b">
        <v>0</v>
      </c>
      <c r="AK62" s="164">
        <v>24.0</v>
      </c>
      <c r="AL62" s="121">
        <v>4.0</v>
      </c>
      <c r="AM62" s="121">
        <v>5.0</v>
      </c>
      <c r="AN62" s="159" t="str">
        <f>IFNA(VLOOKUP($A62,'Tube Reactions'!$J$2:$K96,2,FALSE),"")</f>
        <v/>
      </c>
      <c r="AO62" s="165" t="str">
        <f t="shared" si="2"/>
        <v>NOT EQUAL</v>
      </c>
      <c r="AP62" s="166" t="str">
        <f t="shared" si="3"/>
        <v>Absent</v>
      </c>
      <c r="AQ62" s="167" t="b">
        <f t="shared" si="4"/>
        <v>0</v>
      </c>
      <c r="AR62" s="185">
        <v>61.0</v>
      </c>
      <c r="AS62" s="188" t="s">
        <v>409</v>
      </c>
      <c r="AT62" s="149"/>
      <c r="AU62" s="121" t="s">
        <v>204</v>
      </c>
      <c r="AV62" s="170">
        <v>26.0</v>
      </c>
      <c r="AW62" s="121" t="b">
        <v>0</v>
      </c>
      <c r="AX62" s="171"/>
      <c r="AY62" s="159">
        <f t="shared" si="5"/>
        <v>2</v>
      </c>
      <c r="AZ62" s="172"/>
      <c r="BA62" s="173" t="b">
        <v>0</v>
      </c>
      <c r="BB62" s="165" t="str">
        <f t="shared" si="6"/>
        <v/>
      </c>
      <c r="BC62" s="159" t="str">
        <f t="shared" si="7"/>
        <v/>
      </c>
      <c r="BD62" s="159" t="str">
        <f t="shared" si="8"/>
        <v/>
      </c>
      <c r="BE62" s="174"/>
      <c r="BF62" s="175">
        <f t="shared" si="9"/>
        <v>44739</v>
      </c>
      <c r="BG62" s="165" t="str">
        <f t="shared" si="10"/>
        <v>RUN-COMB_2022-06-27_RFR-061</v>
      </c>
      <c r="BH62" s="159">
        <f t="shared" si="11"/>
        <v>22</v>
      </c>
      <c r="BI62" s="159">
        <f t="shared" si="12"/>
        <v>26</v>
      </c>
      <c r="BJ62" s="159">
        <f t="shared" si="13"/>
        <v>24</v>
      </c>
      <c r="BK62" s="159">
        <f t="shared" si="14"/>
        <v>4</v>
      </c>
      <c r="BL62" s="183">
        <f>IFNA(IF(VLOOKUP(FLOOR($B62,1),'APS Tubes by Date Import'!$B$2:$L96,1,FALSE)=FLOOR($BL61,1),IFERROR(0/0,""),VLOOKUP(FLOOR($B62,1),'APS Tubes by Date Import'!$B$2:$L96,1,FALSE)),"")</f>
        <v>44739</v>
      </c>
      <c r="BM62" s="176">
        <f>IF(ISBLANK($BL62),IFERROR(0/0,""),VLOOKUP(FLOOR($B62,1),'APS Tubes by Date Import'!$B$2:$L96,2,FALSE))</f>
        <v>24</v>
      </c>
      <c r="BN62" s="159" t="str">
        <f>VLOOKUP(FLOOR($B62,1),'APS Tubes by Date Import'!$B62:$L96,11,FALSE)</f>
        <v>#N/A</v>
      </c>
      <c r="BO62" s="159" t="str">
        <f>VLOOKUP(FLOOR($B62,1),'APS Tubes by Date Import'!$B62:$I96,6,FALSE)</f>
        <v>#N/A</v>
      </c>
      <c r="BP62" s="159">
        <f t="shared" si="15"/>
        <v>24</v>
      </c>
      <c r="BQ62" s="177">
        <f t="shared" si="16"/>
        <v>0</v>
      </c>
      <c r="BR62" s="149"/>
      <c r="BS62" s="175" t="b">
        <f t="shared" si="17"/>
        <v>1</v>
      </c>
      <c r="BT62" s="178" t="str">
        <f t="shared" si="18"/>
        <v/>
      </c>
      <c r="BU62" s="179"/>
      <c r="BV62" s="180">
        <f t="shared" si="19"/>
        <v>1</v>
      </c>
      <c r="BW62" s="181"/>
      <c r="BX62" s="181"/>
      <c r="BY62" s="181"/>
      <c r="BZ62" s="181"/>
      <c r="CA62" s="181"/>
      <c r="CB62" s="181"/>
      <c r="CC62" s="181"/>
    </row>
    <row r="63">
      <c r="A63" s="147" t="str">
        <f>CONCATENATE("RUN-",'Process Ref'!$A$1,"_",TEXT(U63,"YYYY-MM-DD"),"_RFR-",TEXT(AR63,"000"),IF(EXACT(W63,"Initial"),"",CONCATENATE("_",W63)))</f>
        <v>RUN-COMB_2022-06-27_RFR-062_Re-run</v>
      </c>
      <c r="B63" s="148">
        <v>44739.86890046296</v>
      </c>
      <c r="C63" s="149"/>
      <c r="D63" s="149" t="s">
        <v>199</v>
      </c>
      <c r="E63" s="121">
        <v>5.0</v>
      </c>
      <c r="F63" s="149" t="s">
        <v>410</v>
      </c>
      <c r="G63" s="150" t="s">
        <v>411</v>
      </c>
      <c r="H63" s="150"/>
      <c r="I63" s="150" t="s">
        <v>412</v>
      </c>
      <c r="J63" s="55"/>
      <c r="K63" s="182" t="s">
        <v>413</v>
      </c>
      <c r="L63" s="149"/>
      <c r="M63" s="153">
        <v>1.2</v>
      </c>
      <c r="N63" s="153"/>
      <c r="O63" s="154"/>
      <c r="P63" s="155" t="b">
        <v>0</v>
      </c>
      <c r="Q63" s="155" t="b">
        <v>0</v>
      </c>
      <c r="R63" s="51"/>
      <c r="S63" s="155" t="b">
        <v>0</v>
      </c>
      <c r="T63" s="156" t="b">
        <v>1</v>
      </c>
      <c r="U63" s="157">
        <v>44739.0</v>
      </c>
      <c r="V63" s="158">
        <v>0.9513888888888888</v>
      </c>
      <c r="W63" s="149" t="s">
        <v>216</v>
      </c>
      <c r="X63" s="149" t="s">
        <v>414</v>
      </c>
      <c r="Y63" s="155" t="b">
        <v>1</v>
      </c>
      <c r="Z63" s="121">
        <v>17.0</v>
      </c>
      <c r="AA63" s="159">
        <f t="shared" si="1"/>
        <v>12</v>
      </c>
      <c r="AB63" s="160" t="b">
        <v>1</v>
      </c>
      <c r="AC63" s="121">
        <v>15.0</v>
      </c>
      <c r="AD63" s="121">
        <v>0.0</v>
      </c>
      <c r="AE63" s="184">
        <v>1.0</v>
      </c>
      <c r="AF63" s="161">
        <v>1.0</v>
      </c>
      <c r="AG63" s="121">
        <v>10.0</v>
      </c>
      <c r="AH63" s="162">
        <v>3.0</v>
      </c>
      <c r="AI63" s="163">
        <v>3.0</v>
      </c>
      <c r="AJ63" s="121" t="b">
        <v>0</v>
      </c>
      <c r="AK63" s="164">
        <v>5.0</v>
      </c>
      <c r="AL63" s="121">
        <v>4.0</v>
      </c>
      <c r="AM63" s="55" t="str">
        <f>IF(EXACT(W63,"Initial"),"Audit","")</f>
        <v/>
      </c>
      <c r="AN63" s="159" t="str">
        <f>IFNA(VLOOKUP($A63,'Tube Reactions'!$J$2:$K96,2,FALSE),"")</f>
        <v/>
      </c>
      <c r="AO63" s="165" t="str">
        <f t="shared" si="2"/>
        <v/>
      </c>
      <c r="AP63" s="166" t="str">
        <f t="shared" si="3"/>
        <v>Absent</v>
      </c>
      <c r="AQ63" s="167" t="b">
        <f t="shared" si="4"/>
        <v>0</v>
      </c>
      <c r="AR63" s="185">
        <v>62.0</v>
      </c>
      <c r="AS63" s="169"/>
      <c r="AT63" s="149"/>
      <c r="AU63" s="121" t="s">
        <v>204</v>
      </c>
      <c r="AV63" s="170">
        <v>17.0</v>
      </c>
      <c r="AW63" s="121" t="b">
        <v>0</v>
      </c>
      <c r="AX63" s="171"/>
      <c r="AY63" s="159">
        <f t="shared" si="5"/>
        <v>2</v>
      </c>
      <c r="AZ63" s="172"/>
      <c r="BA63" s="173" t="b">
        <v>0</v>
      </c>
      <c r="BB63" s="165" t="str">
        <f t="shared" si="6"/>
        <v/>
      </c>
      <c r="BC63" s="159" t="str">
        <f t="shared" si="7"/>
        <v/>
      </c>
      <c r="BD63" s="159" t="str">
        <f t="shared" si="8"/>
        <v/>
      </c>
      <c r="BE63" s="174"/>
      <c r="BF63" s="175" t="str">
        <f t="shared" si="9"/>
        <v/>
      </c>
      <c r="BG63" s="165" t="str">
        <f t="shared" si="10"/>
        <v/>
      </c>
      <c r="BH63" s="159" t="str">
        <f t="shared" si="11"/>
        <v/>
      </c>
      <c r="BI63" s="159" t="str">
        <f t="shared" si="12"/>
        <v/>
      </c>
      <c r="BJ63" s="159" t="str">
        <f t="shared" si="13"/>
        <v/>
      </c>
      <c r="BK63" s="159" t="str">
        <f t="shared" si="14"/>
        <v/>
      </c>
      <c r="BL63" s="183" t="str">
        <f>IFNA(IF(VLOOKUP(FLOOR($B63,1),'APS Tubes by Date Import'!$B$2:$L96,1,FALSE)=FLOOR($BL62,1),IFERROR(0/0,""),VLOOKUP(FLOOR($B63,1),'APS Tubes by Date Import'!$B$2:$L96,1,FALSE)),"")</f>
        <v/>
      </c>
      <c r="BM63" s="176" t="str">
        <f>IF(ISBLANK($BL63),IFERROR(0/0,""),VLOOKUP(FLOOR($B63,1),'APS Tubes by Date Import'!$B$2:$L96,2,FALSE))</f>
        <v/>
      </c>
      <c r="BN63" s="159" t="str">
        <f>VLOOKUP(FLOOR($B63,1),'APS Tubes by Date Import'!$B63:$L96,11,FALSE)</f>
        <v>#N/A</v>
      </c>
      <c r="BO63" s="159" t="str">
        <f>VLOOKUP(FLOOR($B63,1),'APS Tubes by Date Import'!$B63:$I96,6,FALSE)</f>
        <v>#N/A</v>
      </c>
      <c r="BP63" s="159" t="str">
        <f t="shared" si="15"/>
        <v/>
      </c>
      <c r="BQ63" s="177">
        <f t="shared" si="16"/>
        <v>0</v>
      </c>
      <c r="BR63" s="149"/>
      <c r="BS63" s="175" t="str">
        <f t="shared" si="17"/>
        <v/>
      </c>
      <c r="BT63" s="178" t="str">
        <f t="shared" si="18"/>
        <v/>
      </c>
      <c r="BU63" s="179"/>
      <c r="BV63" s="180" t="str">
        <f t="shared" si="19"/>
        <v/>
      </c>
      <c r="BW63" s="181"/>
      <c r="BX63" s="181"/>
      <c r="BY63" s="181"/>
      <c r="BZ63" s="181"/>
      <c r="CA63" s="181"/>
      <c r="CB63" s="181"/>
      <c r="CC63" s="181"/>
    </row>
    <row r="64">
      <c r="A64" s="147" t="str">
        <f>CONCATENATE("RUN-",'Process Ref'!$A$1,"_",TEXT(U64,"YYYY-MM-DD"),"_RFR-",TEXT(AR64,"000"),IF(EXACT(W64,"Initial"),"",CONCATENATE("_",W64)))</f>
        <v>RUN-COMB_2022-06-28_RFR-063</v>
      </c>
      <c r="B64" s="148">
        <v>44740.37401620371</v>
      </c>
      <c r="C64" s="149"/>
      <c r="D64" s="149" t="s">
        <v>199</v>
      </c>
      <c r="E64" s="121">
        <v>25.0</v>
      </c>
      <c r="F64" s="149" t="s">
        <v>415</v>
      </c>
      <c r="G64" s="150" t="s">
        <v>416</v>
      </c>
      <c r="H64" s="150"/>
      <c r="I64" s="150" t="s">
        <v>417</v>
      </c>
      <c r="J64" s="121">
        <v>1.0</v>
      </c>
      <c r="K64" s="182" t="s">
        <v>418</v>
      </c>
      <c r="L64" s="149"/>
      <c r="M64" s="153">
        <v>1.2</v>
      </c>
      <c r="N64" s="153">
        <v>2.1</v>
      </c>
      <c r="O64" s="154"/>
      <c r="P64" s="155" t="b">
        <v>1</v>
      </c>
      <c r="Q64" s="155" t="b">
        <v>0</v>
      </c>
      <c r="R64" s="51"/>
      <c r="S64" s="155" t="b">
        <v>0</v>
      </c>
      <c r="T64" s="156" t="b">
        <v>1</v>
      </c>
      <c r="U64" s="157">
        <v>44740.0</v>
      </c>
      <c r="V64" s="158">
        <v>0.46875</v>
      </c>
      <c r="W64" s="149" t="s">
        <v>203</v>
      </c>
      <c r="X64" s="51"/>
      <c r="Y64" s="155" t="b">
        <v>0</v>
      </c>
      <c r="Z64" s="121">
        <v>27.0</v>
      </c>
      <c r="AA64" s="159">
        <f t="shared" si="1"/>
        <v>2</v>
      </c>
      <c r="AB64" s="160" t="b">
        <v>0</v>
      </c>
      <c r="AC64" s="121">
        <v>25.0</v>
      </c>
      <c r="AD64" s="121">
        <v>0.0</v>
      </c>
      <c r="AE64" s="184">
        <v>0.0</v>
      </c>
      <c r="AF64" s="161">
        <v>1.0</v>
      </c>
      <c r="AG64" s="121">
        <v>1.0</v>
      </c>
      <c r="AH64" s="162">
        <v>1.0</v>
      </c>
      <c r="AI64" s="163">
        <v>0.0</v>
      </c>
      <c r="AJ64" s="121" t="b">
        <v>0</v>
      </c>
      <c r="AK64" s="164">
        <v>25.0</v>
      </c>
      <c r="AL64" s="121">
        <v>4.0</v>
      </c>
      <c r="AM64" s="121">
        <v>1.0</v>
      </c>
      <c r="AN64" s="159" t="str">
        <f>IFNA(VLOOKUP($A64,'Tube Reactions'!$J$2:$K96,2,FALSE),"")</f>
        <v/>
      </c>
      <c r="AO64" s="165" t="str">
        <f t="shared" si="2"/>
        <v>NOT EQUAL</v>
      </c>
      <c r="AP64" s="166" t="str">
        <f t="shared" si="3"/>
        <v>Absent</v>
      </c>
      <c r="AQ64" s="167" t="b">
        <f t="shared" si="4"/>
        <v>0</v>
      </c>
      <c r="AR64" s="185">
        <v>63.0</v>
      </c>
      <c r="AS64" s="169"/>
      <c r="AT64" s="149"/>
      <c r="AU64" s="121" t="s">
        <v>204</v>
      </c>
      <c r="AV64" s="170">
        <v>27.0</v>
      </c>
      <c r="AW64" s="121" t="b">
        <v>0</v>
      </c>
      <c r="AX64" s="171"/>
      <c r="AY64" s="159">
        <f t="shared" si="5"/>
        <v>2</v>
      </c>
      <c r="AZ64" s="172"/>
      <c r="BA64" s="173" t="b">
        <v>0</v>
      </c>
      <c r="BB64" s="165" t="str">
        <f t="shared" si="6"/>
        <v/>
      </c>
      <c r="BC64" s="159" t="str">
        <f t="shared" si="7"/>
        <v/>
      </c>
      <c r="BD64" s="159" t="str">
        <f t="shared" si="8"/>
        <v/>
      </c>
      <c r="BE64" s="174"/>
      <c r="BF64" s="175">
        <f t="shared" si="9"/>
        <v>44740</v>
      </c>
      <c r="BG64" s="165" t="str">
        <f t="shared" si="10"/>
        <v>RUN-COMB_2022-06-28_RFR-063</v>
      </c>
      <c r="BH64" s="159">
        <f t="shared" si="11"/>
        <v>25</v>
      </c>
      <c r="BI64" s="159">
        <f t="shared" si="12"/>
        <v>27</v>
      </c>
      <c r="BJ64" s="159">
        <f t="shared" si="13"/>
        <v>25</v>
      </c>
      <c r="BK64" s="159">
        <f t="shared" si="14"/>
        <v>4</v>
      </c>
      <c r="BL64" s="183">
        <f>IFNA(IF(VLOOKUP(FLOOR($B64,1),'APS Tubes by Date Import'!$B$2:$L96,1,FALSE)=FLOOR($BL63,1),IFERROR(0/0,""),VLOOKUP(FLOOR($B64,1),'APS Tubes by Date Import'!$B$2:$L96,1,FALSE)),"")</f>
        <v>44740</v>
      </c>
      <c r="BM64" s="176">
        <f>IF(ISBLANK($BL64),IFERROR(0/0,""),VLOOKUP(FLOOR($B64,1),'APS Tubes by Date Import'!$B$2:$L96,2,FALSE))</f>
        <v>25</v>
      </c>
      <c r="BN64" s="159" t="str">
        <f>VLOOKUP(FLOOR($B64,1),'APS Tubes by Date Import'!$B64:$L96,11,FALSE)</f>
        <v>#N/A</v>
      </c>
      <c r="BO64" s="159" t="str">
        <f>VLOOKUP(FLOOR($B64,1),'APS Tubes by Date Import'!$B64:$I96,6,FALSE)</f>
        <v>#N/A</v>
      </c>
      <c r="BP64" s="159">
        <f t="shared" si="15"/>
        <v>25</v>
      </c>
      <c r="BQ64" s="177">
        <f t="shared" si="16"/>
        <v>0</v>
      </c>
      <c r="BR64" s="149"/>
      <c r="BS64" s="175" t="b">
        <f t="shared" si="17"/>
        <v>1</v>
      </c>
      <c r="BT64" s="178" t="str">
        <f t="shared" si="18"/>
        <v/>
      </c>
      <c r="BU64" s="179"/>
      <c r="BV64" s="180">
        <f t="shared" si="19"/>
        <v>1</v>
      </c>
      <c r="BW64" s="181"/>
      <c r="BX64" s="181"/>
      <c r="BY64" s="181"/>
      <c r="BZ64" s="181"/>
      <c r="CA64" s="181"/>
      <c r="CB64" s="181"/>
      <c r="CC64" s="181"/>
    </row>
    <row r="65">
      <c r="A65" s="147" t="str">
        <f>CONCATENATE("RUN-",'Process Ref'!$A$1,"_",TEXT(U65,"YYYY-MM-DD"),"_RFR-",TEXT(AR65,"000"),IF(EXACT(W65,"Initial"),"",CONCATENATE("_",W65)))</f>
        <v>RUN-COMB_2022-06-28_RFR-064_Re-run</v>
      </c>
      <c r="B65" s="148">
        <v>44740.38730324074</v>
      </c>
      <c r="C65" s="149"/>
      <c r="D65" s="149" t="s">
        <v>199</v>
      </c>
      <c r="E65" s="121">
        <v>1.0</v>
      </c>
      <c r="F65" s="149" t="s">
        <v>419</v>
      </c>
      <c r="G65" s="150" t="s">
        <v>420</v>
      </c>
      <c r="H65" s="150"/>
      <c r="I65" s="150" t="s">
        <v>421</v>
      </c>
      <c r="J65" s="121">
        <v>1.0</v>
      </c>
      <c r="K65" s="182" t="s">
        <v>422</v>
      </c>
      <c r="L65" s="149"/>
      <c r="M65" s="153"/>
      <c r="N65" s="153"/>
      <c r="O65" s="153"/>
      <c r="P65" s="155" t="b">
        <v>0</v>
      </c>
      <c r="Q65" s="155" t="b">
        <v>0</v>
      </c>
      <c r="R65" s="51"/>
      <c r="S65" s="155" t="b">
        <v>0</v>
      </c>
      <c r="T65" s="156" t="b">
        <v>1</v>
      </c>
      <c r="U65" s="157">
        <v>44740.0</v>
      </c>
      <c r="V65" s="158">
        <v>0.5</v>
      </c>
      <c r="W65" s="149" t="s">
        <v>216</v>
      </c>
      <c r="X65" s="51"/>
      <c r="Y65" s="155" t="b">
        <v>0</v>
      </c>
      <c r="Z65" s="121">
        <v>5.0</v>
      </c>
      <c r="AA65" s="159">
        <f t="shared" si="1"/>
        <v>4</v>
      </c>
      <c r="AB65" s="160" t="b">
        <v>1</v>
      </c>
      <c r="AC65" s="121">
        <v>3.0</v>
      </c>
      <c r="AD65" s="121">
        <v>0.0</v>
      </c>
      <c r="AE65" s="184">
        <v>0.0</v>
      </c>
      <c r="AF65" s="161">
        <v>1.0</v>
      </c>
      <c r="AG65" s="121">
        <v>1.0</v>
      </c>
      <c r="AH65" s="162">
        <v>0.0</v>
      </c>
      <c r="AI65" s="163">
        <v>0.0</v>
      </c>
      <c r="AJ65" s="121" t="b">
        <v>0</v>
      </c>
      <c r="AK65" s="164">
        <v>1.0</v>
      </c>
      <c r="AL65" s="121">
        <v>4.0</v>
      </c>
      <c r="AM65" s="55" t="str">
        <f>IF(EXACT(W65,"Initial"),"Audit","")</f>
        <v/>
      </c>
      <c r="AN65" s="159" t="str">
        <f>IFNA(VLOOKUP($A65,'Tube Reactions'!$J$2:$K96,2,FALSE),"")</f>
        <v/>
      </c>
      <c r="AO65" s="165" t="str">
        <f t="shared" si="2"/>
        <v/>
      </c>
      <c r="AP65" s="166" t="str">
        <f t="shared" si="3"/>
        <v>Absent</v>
      </c>
      <c r="AQ65" s="167" t="b">
        <f t="shared" si="4"/>
        <v>0</v>
      </c>
      <c r="AR65" s="185">
        <v>64.0</v>
      </c>
      <c r="AS65" s="169"/>
      <c r="AT65" s="149"/>
      <c r="AU65" s="121" t="s">
        <v>204</v>
      </c>
      <c r="AV65" s="170">
        <v>5.0</v>
      </c>
      <c r="AW65" s="121" t="b">
        <v>1</v>
      </c>
      <c r="AX65" s="171"/>
      <c r="AY65" s="159">
        <f t="shared" si="5"/>
        <v>2</v>
      </c>
      <c r="AZ65" s="172"/>
      <c r="BA65" s="173" t="b">
        <v>0</v>
      </c>
      <c r="BB65" s="165" t="str">
        <f t="shared" si="6"/>
        <v/>
      </c>
      <c r="BC65" s="159" t="str">
        <f t="shared" si="7"/>
        <v/>
      </c>
      <c r="BD65" s="159" t="str">
        <f t="shared" si="8"/>
        <v/>
      </c>
      <c r="BE65" s="174"/>
      <c r="BF65" s="175" t="str">
        <f t="shared" si="9"/>
        <v/>
      </c>
      <c r="BG65" s="165" t="str">
        <f t="shared" si="10"/>
        <v/>
      </c>
      <c r="BH65" s="159" t="str">
        <f t="shared" si="11"/>
        <v/>
      </c>
      <c r="BI65" s="159" t="str">
        <f t="shared" si="12"/>
        <v/>
      </c>
      <c r="BJ65" s="159" t="str">
        <f t="shared" si="13"/>
        <v/>
      </c>
      <c r="BK65" s="159" t="str">
        <f t="shared" si="14"/>
        <v/>
      </c>
      <c r="BL65" s="183" t="str">
        <f>IFNA(IF(VLOOKUP(FLOOR($B65,1),'APS Tubes by Date Import'!$B$2:$L96,1,FALSE)=FLOOR($BL64,1),IFERROR(0/0,""),VLOOKUP(FLOOR($B65,1),'APS Tubes by Date Import'!$B$2:$L96,1,FALSE)),"")</f>
        <v/>
      </c>
      <c r="BM65" s="176" t="str">
        <f>IF(ISBLANK($BL65),IFERROR(0/0,""),VLOOKUP(FLOOR($B65,1),'APS Tubes by Date Import'!$B$2:$L96,2,FALSE))</f>
        <v/>
      </c>
      <c r="BN65" s="159" t="str">
        <f>VLOOKUP(FLOOR($B65,1),'APS Tubes by Date Import'!$B65:$L96,11,FALSE)</f>
        <v>#N/A</v>
      </c>
      <c r="BO65" s="159" t="str">
        <f>VLOOKUP(FLOOR($B65,1),'APS Tubes by Date Import'!$B65:$I96,6,FALSE)</f>
        <v>#N/A</v>
      </c>
      <c r="BP65" s="159" t="str">
        <f t="shared" si="15"/>
        <v/>
      </c>
      <c r="BQ65" s="177">
        <f t="shared" si="16"/>
        <v>0</v>
      </c>
      <c r="BR65" s="149"/>
      <c r="BS65" s="175" t="str">
        <f t="shared" si="17"/>
        <v/>
      </c>
      <c r="BT65" s="178" t="str">
        <f t="shared" si="18"/>
        <v/>
      </c>
      <c r="BU65" s="179"/>
      <c r="BV65" s="180" t="str">
        <f t="shared" si="19"/>
        <v/>
      </c>
      <c r="BW65" s="181"/>
      <c r="BX65" s="181"/>
      <c r="BY65" s="181"/>
      <c r="BZ65" s="181"/>
      <c r="CA65" s="181"/>
      <c r="CB65" s="181"/>
      <c r="CC65" s="181"/>
    </row>
    <row r="66">
      <c r="A66" s="147" t="str">
        <f>CONCATENATE("RUN-",'Process Ref'!$A$1,"_",TEXT(U66,"YYYY-MM-DD"),"_RFR-",TEXT(AR66,"000"),IF(EXACT(W66,"Initial"),"",CONCATENATE("_",W66)))</f>
        <v>RUN-COMB_2022-06-29_RFR-065</v>
      </c>
      <c r="B66" s="148">
        <v>44741.39383101852</v>
      </c>
      <c r="C66" s="149"/>
      <c r="D66" s="149" t="s">
        <v>199</v>
      </c>
      <c r="E66" s="121">
        <v>17.0</v>
      </c>
      <c r="F66" s="149" t="s">
        <v>423</v>
      </c>
      <c r="G66" s="150" t="s">
        <v>424</v>
      </c>
      <c r="H66" s="150"/>
      <c r="I66" s="150" t="s">
        <v>425</v>
      </c>
      <c r="J66" s="121">
        <v>0.0</v>
      </c>
      <c r="K66" s="152"/>
      <c r="L66" s="149"/>
      <c r="M66" s="153"/>
      <c r="N66" s="153"/>
      <c r="O66" s="154"/>
      <c r="P66" s="155" t="b">
        <v>0</v>
      </c>
      <c r="Q66" s="155" t="b">
        <v>0</v>
      </c>
      <c r="R66" s="51"/>
      <c r="S66" s="155" t="b">
        <v>0</v>
      </c>
      <c r="T66" s="156" t="b">
        <v>0</v>
      </c>
      <c r="U66" s="157">
        <v>44741.0</v>
      </c>
      <c r="V66" s="158"/>
      <c r="W66" s="149" t="s">
        <v>203</v>
      </c>
      <c r="X66" s="51"/>
      <c r="Y66" s="155" t="b">
        <v>0</v>
      </c>
      <c r="Z66" s="121">
        <v>19.0</v>
      </c>
      <c r="AA66" s="159">
        <f t="shared" si="1"/>
        <v>2</v>
      </c>
      <c r="AB66" s="160" t="b">
        <v>0</v>
      </c>
      <c r="AC66" s="121">
        <v>17.0</v>
      </c>
      <c r="AD66" s="121">
        <v>0.0</v>
      </c>
      <c r="AE66" s="184">
        <v>0.0</v>
      </c>
      <c r="AF66" s="161">
        <v>0.0</v>
      </c>
      <c r="AG66" s="121">
        <v>0.0</v>
      </c>
      <c r="AH66" s="162">
        <v>0.0</v>
      </c>
      <c r="AI66" s="163">
        <v>0.0</v>
      </c>
      <c r="AJ66" s="121" t="b">
        <v>0</v>
      </c>
      <c r="AK66" s="164">
        <v>17.0</v>
      </c>
      <c r="AL66" s="121">
        <v>0.0</v>
      </c>
      <c r="AM66" s="121">
        <v>0.0</v>
      </c>
      <c r="AN66" s="159" t="str">
        <f>IFNA(VLOOKUP($A66,'Tube Reactions'!$J$2:$K96,2,FALSE),"")</f>
        <v/>
      </c>
      <c r="AO66" s="165" t="str">
        <f t="shared" si="2"/>
        <v/>
      </c>
      <c r="AP66" s="166" t="str">
        <f t="shared" si="3"/>
        <v>Absent</v>
      </c>
      <c r="AQ66" s="167" t="b">
        <f t="shared" si="4"/>
        <v>0</v>
      </c>
      <c r="AR66" s="185">
        <v>65.0</v>
      </c>
      <c r="AS66" s="169"/>
      <c r="AT66" s="149"/>
      <c r="AU66" s="121" t="s">
        <v>204</v>
      </c>
      <c r="AV66" s="55">
        <v>19.0</v>
      </c>
      <c r="AW66" s="149" t="b">
        <v>0</v>
      </c>
      <c r="AX66" s="171"/>
      <c r="AY66" s="159">
        <f t="shared" si="5"/>
        <v>2</v>
      </c>
      <c r="AZ66" s="172"/>
      <c r="BA66" s="173" t="b">
        <v>1</v>
      </c>
      <c r="BB66" s="165" t="b">
        <f t="shared" si="6"/>
        <v>1</v>
      </c>
      <c r="BC66" s="159" t="b">
        <f t="shared" si="7"/>
        <v>1</v>
      </c>
      <c r="BD66" s="159">
        <f t="shared" si="8"/>
        <v>17</v>
      </c>
      <c r="BE66" s="174"/>
      <c r="BF66" s="175">
        <f t="shared" si="9"/>
        <v>44741</v>
      </c>
      <c r="BG66" s="165" t="str">
        <f t="shared" si="10"/>
        <v>RUN-COMB_2022-06-29_RFR-065</v>
      </c>
      <c r="BH66" s="159">
        <f t="shared" si="11"/>
        <v>17</v>
      </c>
      <c r="BI66" s="159">
        <f t="shared" si="12"/>
        <v>19</v>
      </c>
      <c r="BJ66" s="159">
        <f t="shared" si="13"/>
        <v>17</v>
      </c>
      <c r="BK66" s="159">
        <f t="shared" si="14"/>
        <v>0</v>
      </c>
      <c r="BL66" s="183">
        <f>IFNA(IF(VLOOKUP(FLOOR($B66,1),'APS Tubes by Date Import'!$B$2:$L96,1,FALSE)=FLOOR($BL65,1),IFERROR(0/0,""),VLOOKUP(FLOOR($B66,1),'APS Tubes by Date Import'!$B$2:$L96,1,FALSE)),"")</f>
        <v>44741</v>
      </c>
      <c r="BM66" s="176">
        <f>IF(ISBLANK($BL66),IFERROR(0/0,""),VLOOKUP(FLOOR($B66,1),'APS Tubes by Date Import'!$B$2:$L96,2,FALSE))</f>
        <v>17</v>
      </c>
      <c r="BN66" s="159" t="str">
        <f>VLOOKUP(FLOOR($B66,1),'APS Tubes by Date Import'!$B66:$L96,11,FALSE)</f>
        <v>#N/A</v>
      </c>
      <c r="BO66" s="159" t="str">
        <f>VLOOKUP(FLOOR($B66,1),'APS Tubes by Date Import'!$B66:$I96,6,FALSE)</f>
        <v>#N/A</v>
      </c>
      <c r="BP66" s="159">
        <f t="shared" si="15"/>
        <v>17</v>
      </c>
      <c r="BQ66" s="177">
        <f t="shared" si="16"/>
        <v>0</v>
      </c>
      <c r="BR66" s="149"/>
      <c r="BS66" s="175" t="b">
        <f t="shared" si="17"/>
        <v>1</v>
      </c>
      <c r="BT66" s="178" t="str">
        <f t="shared" si="18"/>
        <v/>
      </c>
      <c r="BU66" s="179"/>
      <c r="BV66" s="180">
        <f t="shared" si="19"/>
        <v>0</v>
      </c>
      <c r="BW66" s="181"/>
      <c r="BX66" s="181"/>
      <c r="BY66" s="181"/>
      <c r="BZ66" s="181"/>
      <c r="CA66" s="181"/>
      <c r="CB66" s="181"/>
      <c r="CC66" s="181"/>
    </row>
    <row r="67">
      <c r="A67" s="147" t="str">
        <f>CONCATENATE("RUN-",'Process Ref'!$A$1,"_",TEXT(U67,"YYYY-MM-DD"),"_RFR-",TEXT(AR67,"000"),IF(EXACT(W67,"Initial"),"",CONCATENATE("_",W67)))</f>
        <v>RUN-COMB_2022-06-30_RFR-066</v>
      </c>
      <c r="B67" s="148">
        <v>44742.36</v>
      </c>
      <c r="C67" s="149"/>
      <c r="D67" s="149" t="s">
        <v>199</v>
      </c>
      <c r="E67" s="121">
        <v>35.0</v>
      </c>
      <c r="F67" s="149" t="s">
        <v>426</v>
      </c>
      <c r="G67" s="150" t="s">
        <v>427</v>
      </c>
      <c r="H67" s="150"/>
      <c r="I67" s="150" t="s">
        <v>428</v>
      </c>
      <c r="J67" s="121">
        <v>1.0</v>
      </c>
      <c r="K67" s="152"/>
      <c r="L67" s="149"/>
      <c r="M67" s="153"/>
      <c r="N67" s="153"/>
      <c r="O67" s="153"/>
      <c r="P67" s="155" t="b">
        <v>0</v>
      </c>
      <c r="Q67" s="155" t="b">
        <v>0</v>
      </c>
      <c r="R67" s="51"/>
      <c r="S67" s="155" t="b">
        <v>0</v>
      </c>
      <c r="T67" s="156" t="b">
        <v>1</v>
      </c>
      <c r="U67" s="157">
        <v>44742.0</v>
      </c>
      <c r="V67" s="158">
        <v>0.4826388888888889</v>
      </c>
      <c r="W67" s="149" t="s">
        <v>203</v>
      </c>
      <c r="X67" s="149" t="s">
        <v>429</v>
      </c>
      <c r="Y67" s="155" t="b">
        <v>1</v>
      </c>
      <c r="Z67" s="121">
        <v>37.0</v>
      </c>
      <c r="AA67" s="159">
        <f t="shared" si="1"/>
        <v>2</v>
      </c>
      <c r="AB67" s="160" t="b">
        <v>0</v>
      </c>
      <c r="AC67" s="121">
        <v>35.0</v>
      </c>
      <c r="AD67" s="121">
        <v>0.0</v>
      </c>
      <c r="AE67" s="184">
        <v>0.0</v>
      </c>
      <c r="AF67" s="161">
        <v>0.0</v>
      </c>
      <c r="AG67" s="121">
        <v>1.0</v>
      </c>
      <c r="AH67" s="162">
        <v>1.0</v>
      </c>
      <c r="AI67" s="163">
        <v>1.0</v>
      </c>
      <c r="AJ67" s="121" t="b">
        <v>0</v>
      </c>
      <c r="AK67" s="164">
        <v>35.0</v>
      </c>
      <c r="AL67" s="121">
        <v>4.0</v>
      </c>
      <c r="AM67" s="121">
        <v>1.0</v>
      </c>
      <c r="AN67" s="159" t="str">
        <f>IFNA(VLOOKUP($A67,'Tube Reactions'!$J$2:$K96,2,FALSE),"")</f>
        <v/>
      </c>
      <c r="AO67" s="165" t="str">
        <f t="shared" si="2"/>
        <v>NOT EQUAL</v>
      </c>
      <c r="AP67" s="166" t="str">
        <f t="shared" si="3"/>
        <v>Absent</v>
      </c>
      <c r="AQ67" s="167" t="b">
        <f t="shared" si="4"/>
        <v>0</v>
      </c>
      <c r="AR67" s="185">
        <v>66.0</v>
      </c>
      <c r="AS67" s="169"/>
      <c r="AT67" s="149"/>
      <c r="AU67" s="121" t="s">
        <v>204</v>
      </c>
      <c r="AV67" s="170">
        <v>37.0</v>
      </c>
      <c r="AW67" s="162" t="b">
        <v>0</v>
      </c>
      <c r="AX67" s="171"/>
      <c r="AY67" s="159">
        <f t="shared" si="5"/>
        <v>2</v>
      </c>
      <c r="AZ67" s="172"/>
      <c r="BA67" s="173" t="b">
        <v>0</v>
      </c>
      <c r="BB67" s="165" t="str">
        <f t="shared" si="6"/>
        <v/>
      </c>
      <c r="BC67" s="159" t="str">
        <f t="shared" si="7"/>
        <v/>
      </c>
      <c r="BD67" s="159" t="str">
        <f t="shared" si="8"/>
        <v/>
      </c>
      <c r="BE67" s="174"/>
      <c r="BF67" s="175">
        <f t="shared" si="9"/>
        <v>44742</v>
      </c>
      <c r="BG67" s="165" t="str">
        <f t="shared" si="10"/>
        <v>RUN-COMB_2022-06-30_RFR-066</v>
      </c>
      <c r="BH67" s="159">
        <f t="shared" si="11"/>
        <v>35</v>
      </c>
      <c r="BI67" s="159">
        <f t="shared" si="12"/>
        <v>37</v>
      </c>
      <c r="BJ67" s="159">
        <f t="shared" si="13"/>
        <v>35</v>
      </c>
      <c r="BK67" s="159">
        <f t="shared" si="14"/>
        <v>4</v>
      </c>
      <c r="BL67" s="183" t="str">
        <f>IFNA(IF(VLOOKUP(FLOOR($B67,1),'APS Tubes by Date Import'!$B$2:$L96,1,FALSE)=FLOOR($BL66,1),IFERROR(0/0,""),VLOOKUP(FLOOR($B67,1),'APS Tubes by Date Import'!$B$2:$L96,1,FALSE)),"")</f>
        <v/>
      </c>
      <c r="BM67" s="176" t="str">
        <f>IF(ISBLANK($BL67),IFERROR(0/0,""),VLOOKUP(FLOOR($B67,1),'APS Tubes by Date Import'!$B$2:$L96,2,FALSE))</f>
        <v/>
      </c>
      <c r="BN67" s="159" t="str">
        <f>VLOOKUP(FLOOR($B67,1),'APS Tubes by Date Import'!$B67:$L96,11,FALSE)</f>
        <v>#N/A</v>
      </c>
      <c r="BO67" s="159" t="str">
        <f>VLOOKUP(FLOOR($B67,1),'APS Tubes by Date Import'!$B67:$I96,6,FALSE)</f>
        <v>#N/A</v>
      </c>
      <c r="BP67" s="159">
        <f t="shared" si="15"/>
        <v>35</v>
      </c>
      <c r="BQ67" s="177">
        <f t="shared" si="16"/>
        <v>35</v>
      </c>
      <c r="BR67" s="149"/>
      <c r="BS67" s="175" t="b">
        <f t="shared" si="17"/>
        <v>1</v>
      </c>
      <c r="BT67" s="178" t="str">
        <f t="shared" si="18"/>
        <v/>
      </c>
      <c r="BU67" s="179"/>
      <c r="BV67" s="180">
        <f t="shared" si="19"/>
        <v>0</v>
      </c>
      <c r="BW67" s="181"/>
      <c r="BX67" s="181"/>
      <c r="BY67" s="181"/>
      <c r="BZ67" s="181"/>
      <c r="CA67" s="181"/>
      <c r="CB67" s="181"/>
      <c r="CC67" s="181"/>
    </row>
    <row r="68">
      <c r="A68" s="147" t="str">
        <f>CONCATENATE("RUN-",'Process Ref'!$A$1,"_",TEXT(U68,"YYYY-MM-DD"),"_RFR-",TEXT(AR68,"000"),IF(EXACT(W68,"Initial"),"",CONCATENATE("_",W68)))</f>
        <v>RUN-COMB_2022-06-30_RFR-067_Re-run</v>
      </c>
      <c r="B68" s="148">
        <v>44742.39900462963</v>
      </c>
      <c r="C68" s="149"/>
      <c r="D68" s="149" t="s">
        <v>199</v>
      </c>
      <c r="E68" s="121">
        <v>1.0</v>
      </c>
      <c r="F68" s="149" t="s">
        <v>430</v>
      </c>
      <c r="G68" s="150" t="s">
        <v>431</v>
      </c>
      <c r="H68" s="150"/>
      <c r="I68" s="150" t="s">
        <v>432</v>
      </c>
      <c r="J68" s="55"/>
      <c r="K68" s="152"/>
      <c r="L68" s="149"/>
      <c r="M68" s="153">
        <v>1.2</v>
      </c>
      <c r="N68" s="153"/>
      <c r="O68" s="154"/>
      <c r="P68" s="155" t="b">
        <v>0</v>
      </c>
      <c r="Q68" s="155" t="b">
        <v>0</v>
      </c>
      <c r="R68" s="51"/>
      <c r="S68" s="155" t="b">
        <v>0</v>
      </c>
      <c r="T68" s="156" t="b">
        <v>1</v>
      </c>
      <c r="U68" s="157">
        <v>44742.0</v>
      </c>
      <c r="V68" s="158">
        <v>0.5104166666666666</v>
      </c>
      <c r="W68" s="149" t="s">
        <v>216</v>
      </c>
      <c r="X68" s="149" t="s">
        <v>433</v>
      </c>
      <c r="Y68" s="155" t="b">
        <v>0</v>
      </c>
      <c r="Z68" s="121">
        <v>5.0</v>
      </c>
      <c r="AA68" s="159">
        <f t="shared" si="1"/>
        <v>4</v>
      </c>
      <c r="AB68" s="160" t="b">
        <v>1</v>
      </c>
      <c r="AC68" s="121">
        <v>3.0</v>
      </c>
      <c r="AD68" s="121">
        <v>0.0</v>
      </c>
      <c r="AE68" s="184">
        <v>0.0</v>
      </c>
      <c r="AF68" s="161">
        <v>0.0</v>
      </c>
      <c r="AG68" s="121">
        <v>3.0</v>
      </c>
      <c r="AH68" s="162">
        <v>1.0</v>
      </c>
      <c r="AI68" s="163">
        <v>1.0</v>
      </c>
      <c r="AJ68" s="121" t="b">
        <v>0</v>
      </c>
      <c r="AK68" s="164">
        <v>1.0</v>
      </c>
      <c r="AL68" s="121">
        <v>4.0</v>
      </c>
      <c r="AM68" s="55" t="str">
        <f>IF(EXACT(W68,"Initial"),"Audit","")</f>
        <v/>
      </c>
      <c r="AN68" s="159" t="str">
        <f>IFNA(VLOOKUP($A68,'Tube Reactions'!$J$2:$K96,2,FALSE),"")</f>
        <v/>
      </c>
      <c r="AO68" s="165" t="str">
        <f t="shared" si="2"/>
        <v/>
      </c>
      <c r="AP68" s="166" t="str">
        <f t="shared" si="3"/>
        <v>Absent</v>
      </c>
      <c r="AQ68" s="167" t="b">
        <f t="shared" si="4"/>
        <v>0</v>
      </c>
      <c r="AR68" s="185">
        <v>67.0</v>
      </c>
      <c r="AS68" s="169"/>
      <c r="AT68" s="149"/>
      <c r="AU68" s="121" t="s">
        <v>204</v>
      </c>
      <c r="AV68" s="170">
        <v>5.0</v>
      </c>
      <c r="AW68" s="121" t="b">
        <v>0</v>
      </c>
      <c r="AX68" s="171"/>
      <c r="AY68" s="159">
        <f t="shared" si="5"/>
        <v>2</v>
      </c>
      <c r="AZ68" s="172"/>
      <c r="BA68" s="173" t="b">
        <v>0</v>
      </c>
      <c r="BB68" s="165" t="str">
        <f t="shared" si="6"/>
        <v/>
      </c>
      <c r="BC68" s="159" t="str">
        <f t="shared" si="7"/>
        <v/>
      </c>
      <c r="BD68" s="159" t="str">
        <f t="shared" si="8"/>
        <v/>
      </c>
      <c r="BE68" s="174"/>
      <c r="BF68" s="175" t="str">
        <f t="shared" si="9"/>
        <v/>
      </c>
      <c r="BG68" s="165" t="str">
        <f t="shared" si="10"/>
        <v/>
      </c>
      <c r="BH68" s="159" t="str">
        <f t="shared" si="11"/>
        <v/>
      </c>
      <c r="BI68" s="159" t="str">
        <f t="shared" si="12"/>
        <v/>
      </c>
      <c r="BJ68" s="159" t="str">
        <f t="shared" si="13"/>
        <v/>
      </c>
      <c r="BK68" s="159" t="str">
        <f t="shared" si="14"/>
        <v/>
      </c>
      <c r="BL68" s="183" t="str">
        <f>IFNA(IF(VLOOKUP(FLOOR($B68,1),'APS Tubes by Date Import'!$B$2:$L96,1,FALSE)=FLOOR($BL67,1),IFERROR(0/0,""),VLOOKUP(FLOOR($B68,1),'APS Tubes by Date Import'!$B$2:$L96,1,FALSE)),"")</f>
        <v/>
      </c>
      <c r="BM68" s="176" t="str">
        <f>IF(ISBLANK($BL68),IFERROR(0/0,""),VLOOKUP(FLOOR($B68,1),'APS Tubes by Date Import'!$B$2:$L96,2,FALSE))</f>
        <v/>
      </c>
      <c r="BN68" s="159" t="str">
        <f>VLOOKUP(FLOOR($B68,1),'APS Tubes by Date Import'!$B68:$L96,11,FALSE)</f>
        <v>#N/A</v>
      </c>
      <c r="BO68" s="159" t="str">
        <f>VLOOKUP(FLOOR($B68,1),'APS Tubes by Date Import'!$B68:$I96,6,FALSE)</f>
        <v>#N/A</v>
      </c>
      <c r="BP68" s="159" t="str">
        <f t="shared" si="15"/>
        <v/>
      </c>
      <c r="BQ68" s="177">
        <f t="shared" si="16"/>
        <v>0</v>
      </c>
      <c r="BR68" s="149"/>
      <c r="BS68" s="175" t="str">
        <f t="shared" si="17"/>
        <v/>
      </c>
      <c r="BT68" s="178" t="str">
        <f t="shared" si="18"/>
        <v/>
      </c>
      <c r="BU68" s="179"/>
      <c r="BV68" s="180" t="str">
        <f t="shared" si="19"/>
        <v/>
      </c>
      <c r="BW68" s="181"/>
      <c r="BX68" s="181"/>
      <c r="BY68" s="181"/>
      <c r="BZ68" s="181"/>
      <c r="CA68" s="181"/>
      <c r="CB68" s="181"/>
      <c r="CC68" s="181"/>
    </row>
    <row r="69">
      <c r="A69" s="147" t="str">
        <f>CONCATENATE("RUN-",'Process Ref'!$A$1,"_",TEXT(U69,"YYYY-MM-DD"),"_RFR-",TEXT(AR69,"000"),IF(EXACT(W69,"Initial"),"",CONCATENATE("_",W69)))</f>
        <v>RUN-COMB_2022-07-01_RFR-068</v>
      </c>
      <c r="B69" s="148">
        <v>44743.37825231482</v>
      </c>
      <c r="C69" s="149"/>
      <c r="D69" s="149" t="s">
        <v>199</v>
      </c>
      <c r="E69" s="121">
        <v>24.0</v>
      </c>
      <c r="F69" s="149" t="s">
        <v>434</v>
      </c>
      <c r="G69" s="150" t="s">
        <v>435</v>
      </c>
      <c r="H69" s="150"/>
      <c r="I69" s="150" t="s">
        <v>436</v>
      </c>
      <c r="J69" s="121">
        <v>1.0</v>
      </c>
      <c r="K69" s="152"/>
      <c r="L69" s="149"/>
      <c r="M69" s="153"/>
      <c r="N69" s="153"/>
      <c r="O69" s="154"/>
      <c r="P69" s="155" t="b">
        <v>0</v>
      </c>
      <c r="Q69" s="155" t="b">
        <v>0</v>
      </c>
      <c r="R69" s="51"/>
      <c r="S69" s="155" t="b">
        <v>0</v>
      </c>
      <c r="T69" s="156" t="b">
        <v>1</v>
      </c>
      <c r="U69" s="157">
        <v>44743.0</v>
      </c>
      <c r="V69" s="158">
        <v>0.4791666666666667</v>
      </c>
      <c r="W69" s="149" t="s">
        <v>203</v>
      </c>
      <c r="X69" s="51"/>
      <c r="Y69" s="155" t="b">
        <v>0</v>
      </c>
      <c r="Z69" s="121">
        <v>26.0</v>
      </c>
      <c r="AA69" s="159">
        <f t="shared" si="1"/>
        <v>2</v>
      </c>
      <c r="AB69" s="160" t="b">
        <v>0</v>
      </c>
      <c r="AC69" s="121">
        <v>24.0</v>
      </c>
      <c r="AD69" s="121">
        <v>0.0</v>
      </c>
      <c r="AE69" s="184">
        <v>0.0</v>
      </c>
      <c r="AF69" s="195">
        <v>1.0</v>
      </c>
      <c r="AG69" s="121">
        <v>1.0</v>
      </c>
      <c r="AH69" s="162">
        <v>1.0</v>
      </c>
      <c r="AI69" s="196">
        <v>0.0</v>
      </c>
      <c r="AJ69" s="121" t="b">
        <v>0</v>
      </c>
      <c r="AK69" s="164">
        <v>24.0</v>
      </c>
      <c r="AL69" s="121">
        <v>4.0</v>
      </c>
      <c r="AM69" s="121">
        <v>1.0</v>
      </c>
      <c r="AN69" s="159" t="str">
        <f>IFNA(VLOOKUP($A69,'Tube Reactions'!$J$2:$K96,2,FALSE),"")</f>
        <v/>
      </c>
      <c r="AO69" s="165" t="str">
        <f t="shared" si="2"/>
        <v>NOT EQUAL</v>
      </c>
      <c r="AP69" s="166" t="str">
        <f t="shared" si="3"/>
        <v>Absent</v>
      </c>
      <c r="AQ69" s="167" t="b">
        <f t="shared" si="4"/>
        <v>0</v>
      </c>
      <c r="AR69" s="185">
        <v>68.0</v>
      </c>
      <c r="AS69" s="188" t="s">
        <v>437</v>
      </c>
      <c r="AT69" s="149"/>
      <c r="AU69" s="121" t="s">
        <v>204</v>
      </c>
      <c r="AV69" s="170">
        <v>26.0</v>
      </c>
      <c r="AW69" s="121" t="b">
        <v>0</v>
      </c>
      <c r="AX69" s="171"/>
      <c r="AY69" s="159">
        <f t="shared" si="5"/>
        <v>2</v>
      </c>
      <c r="AZ69" s="172"/>
      <c r="BA69" s="173" t="b">
        <v>0</v>
      </c>
      <c r="BB69" s="165" t="str">
        <f t="shared" si="6"/>
        <v/>
      </c>
      <c r="BC69" s="159" t="str">
        <f t="shared" si="7"/>
        <v/>
      </c>
      <c r="BD69" s="159" t="str">
        <f t="shared" si="8"/>
        <v/>
      </c>
      <c r="BE69" s="174"/>
      <c r="BF69" s="175">
        <f t="shared" si="9"/>
        <v>44743</v>
      </c>
      <c r="BG69" s="165" t="str">
        <f t="shared" si="10"/>
        <v>RUN-COMB_2022-07-01_RFR-068</v>
      </c>
      <c r="BH69" s="159">
        <f t="shared" si="11"/>
        <v>24</v>
      </c>
      <c r="BI69" s="159">
        <f t="shared" si="12"/>
        <v>26</v>
      </c>
      <c r="BJ69" s="159">
        <f t="shared" si="13"/>
        <v>24</v>
      </c>
      <c r="BK69" s="159">
        <f t="shared" si="14"/>
        <v>4</v>
      </c>
      <c r="BL69" s="183">
        <f>IFNA(IF(VLOOKUP(FLOOR($B69,1),'APS Tubes by Date Import'!$B$2:$L96,1,FALSE)=FLOOR($BL68,1),IFERROR(0/0,""),VLOOKUP(FLOOR($B69,1),'APS Tubes by Date Import'!$B$2:$L96,1,FALSE)),"")</f>
        <v>44743</v>
      </c>
      <c r="BM69" s="176">
        <f>IF(ISBLANK($BL69),IFERROR(0/0,""),VLOOKUP(FLOOR($B69,1),'APS Tubes by Date Import'!$B$2:$L96,2,FALSE))</f>
        <v>24</v>
      </c>
      <c r="BN69" s="159" t="str">
        <f>VLOOKUP(FLOOR($B69,1),'APS Tubes by Date Import'!$B69:$L96,11,FALSE)</f>
        <v>#N/A</v>
      </c>
      <c r="BO69" s="159" t="str">
        <f>VLOOKUP(FLOOR($B69,1),'APS Tubes by Date Import'!$B69:$I96,6,FALSE)</f>
        <v>#N/A</v>
      </c>
      <c r="BP69" s="159">
        <f t="shared" si="15"/>
        <v>24</v>
      </c>
      <c r="BQ69" s="177">
        <f t="shared" si="16"/>
        <v>0</v>
      </c>
      <c r="BR69" s="149"/>
      <c r="BS69" s="175" t="b">
        <f t="shared" si="17"/>
        <v>1</v>
      </c>
      <c r="BT69" s="178" t="str">
        <f t="shared" si="18"/>
        <v/>
      </c>
      <c r="BU69" s="179"/>
      <c r="BV69" s="180">
        <f t="shared" si="19"/>
        <v>1</v>
      </c>
      <c r="BW69" s="181"/>
      <c r="BX69" s="181"/>
      <c r="BY69" s="181"/>
      <c r="BZ69" s="181"/>
      <c r="CA69" s="181"/>
      <c r="CB69" s="181"/>
      <c r="CC69" s="181"/>
    </row>
    <row r="70">
      <c r="A70" s="147" t="str">
        <f>CONCATENATE("RUN-",'Process Ref'!$A$1,"_",TEXT(U70,"YYYY-MM-DD"),"_RFR-",TEXT(AR70,"000"),IF(EXACT(W70,"Initial"),"",CONCATENATE("_",W70)))</f>
        <v>RUN-COMB_2022-07-01_RFR-069_Re-run</v>
      </c>
      <c r="B70" s="148">
        <v>44743.37934027778</v>
      </c>
      <c r="C70" s="149"/>
      <c r="D70" s="149" t="s">
        <v>199</v>
      </c>
      <c r="E70" s="121">
        <v>1.0</v>
      </c>
      <c r="F70" s="149" t="s">
        <v>438</v>
      </c>
      <c r="G70" s="150" t="s">
        <v>439</v>
      </c>
      <c r="H70" s="150"/>
      <c r="I70" s="150" t="s">
        <v>440</v>
      </c>
      <c r="J70" s="121">
        <v>1.0</v>
      </c>
      <c r="K70" s="152"/>
      <c r="L70" s="149"/>
      <c r="M70" s="153">
        <v>1.2</v>
      </c>
      <c r="N70" s="153"/>
      <c r="O70" s="154"/>
      <c r="P70" s="155" t="b">
        <v>0</v>
      </c>
      <c r="Q70" s="155" t="b">
        <v>0</v>
      </c>
      <c r="R70" s="51"/>
      <c r="S70" s="155" t="b">
        <v>0</v>
      </c>
      <c r="T70" s="156" t="b">
        <v>1</v>
      </c>
      <c r="U70" s="157">
        <v>44743.0</v>
      </c>
      <c r="V70" s="158">
        <v>0.0</v>
      </c>
      <c r="W70" s="149" t="s">
        <v>216</v>
      </c>
      <c r="X70" s="149" t="s">
        <v>441</v>
      </c>
      <c r="Y70" s="155" t="b">
        <v>0</v>
      </c>
      <c r="Z70" s="121">
        <v>5.0</v>
      </c>
      <c r="AA70" s="159">
        <f t="shared" si="1"/>
        <v>4</v>
      </c>
      <c r="AB70" s="160" t="b">
        <v>1</v>
      </c>
      <c r="AC70" s="121">
        <v>3.0</v>
      </c>
      <c r="AD70" s="121">
        <v>0.0</v>
      </c>
      <c r="AE70" s="184">
        <v>1.0</v>
      </c>
      <c r="AF70" s="161">
        <v>1.0</v>
      </c>
      <c r="AG70" s="121">
        <v>1.0</v>
      </c>
      <c r="AH70" s="162">
        <v>0.0</v>
      </c>
      <c r="AI70" s="163">
        <v>0.0</v>
      </c>
      <c r="AJ70" s="121" t="b">
        <v>0</v>
      </c>
      <c r="AK70" s="164">
        <v>1.0</v>
      </c>
      <c r="AL70" s="121">
        <v>2.0</v>
      </c>
      <c r="AM70" s="55" t="str">
        <f>IF(EXACT(W70,"Initial"),"Audit","")</f>
        <v/>
      </c>
      <c r="AN70" s="159" t="str">
        <f>IFNA(VLOOKUP($A70,'Tube Reactions'!$J$2:$K96,2,FALSE),"")</f>
        <v/>
      </c>
      <c r="AO70" s="165" t="str">
        <f t="shared" si="2"/>
        <v/>
      </c>
      <c r="AP70" s="166" t="str">
        <f t="shared" si="3"/>
        <v>Absent</v>
      </c>
      <c r="AQ70" s="167" t="b">
        <f t="shared" si="4"/>
        <v>0</v>
      </c>
      <c r="AR70" s="185">
        <v>69.0</v>
      </c>
      <c r="AS70" s="188" t="s">
        <v>437</v>
      </c>
      <c r="AT70" s="149"/>
      <c r="AU70" s="121" t="s">
        <v>204</v>
      </c>
      <c r="AV70" s="170">
        <v>5.0</v>
      </c>
      <c r="AW70" s="121" t="b">
        <v>0</v>
      </c>
      <c r="AX70" s="171"/>
      <c r="AY70" s="159">
        <f t="shared" si="5"/>
        <v>2</v>
      </c>
      <c r="AZ70" s="172"/>
      <c r="BA70" s="173" t="b">
        <v>0</v>
      </c>
      <c r="BB70" s="165" t="str">
        <f t="shared" si="6"/>
        <v/>
      </c>
      <c r="BC70" s="159" t="str">
        <f t="shared" si="7"/>
        <v/>
      </c>
      <c r="BD70" s="159" t="str">
        <f t="shared" si="8"/>
        <v/>
      </c>
      <c r="BE70" s="174"/>
      <c r="BF70" s="175" t="str">
        <f t="shared" si="9"/>
        <v/>
      </c>
      <c r="BG70" s="165" t="str">
        <f t="shared" si="10"/>
        <v/>
      </c>
      <c r="BH70" s="159" t="str">
        <f t="shared" si="11"/>
        <v/>
      </c>
      <c r="BI70" s="159" t="str">
        <f t="shared" si="12"/>
        <v/>
      </c>
      <c r="BJ70" s="159" t="str">
        <f t="shared" si="13"/>
        <v/>
      </c>
      <c r="BK70" s="159" t="str">
        <f t="shared" si="14"/>
        <v/>
      </c>
      <c r="BL70" s="183" t="str">
        <f>IFNA(IF(VLOOKUP(FLOOR($B70,1),'APS Tubes by Date Import'!$B$2:$L96,1,FALSE)=FLOOR($BL69,1),IFERROR(0/0,""),VLOOKUP(FLOOR($B70,1),'APS Tubes by Date Import'!$B$2:$L96,1,FALSE)),"")</f>
        <v/>
      </c>
      <c r="BM70" s="176" t="str">
        <f>IF(ISBLANK($BL70),IFERROR(0/0,""),VLOOKUP(FLOOR($B70,1),'APS Tubes by Date Import'!$B$2:$L96,2,FALSE))</f>
        <v/>
      </c>
      <c r="BN70" s="159" t="str">
        <f>VLOOKUP(FLOOR($B70,1),'APS Tubes by Date Import'!$B70:$L96,11,FALSE)</f>
        <v>#N/A</v>
      </c>
      <c r="BO70" s="159" t="str">
        <f>VLOOKUP(FLOOR($B70,1),'APS Tubes by Date Import'!$B70:$I96,6,FALSE)</f>
        <v>#N/A</v>
      </c>
      <c r="BP70" s="159" t="str">
        <f t="shared" si="15"/>
        <v/>
      </c>
      <c r="BQ70" s="177">
        <f t="shared" si="16"/>
        <v>0</v>
      </c>
      <c r="BR70" s="149"/>
      <c r="BS70" s="175" t="str">
        <f t="shared" si="17"/>
        <v/>
      </c>
      <c r="BT70" s="178" t="str">
        <f t="shared" si="18"/>
        <v/>
      </c>
      <c r="BU70" s="179"/>
      <c r="BV70" s="180" t="str">
        <f t="shared" si="19"/>
        <v/>
      </c>
      <c r="BW70" s="181"/>
      <c r="BX70" s="181"/>
      <c r="BY70" s="181"/>
      <c r="BZ70" s="181"/>
      <c r="CA70" s="181"/>
      <c r="CB70" s="181"/>
      <c r="CC70" s="181"/>
    </row>
    <row r="71" ht="16.5" customHeight="1">
      <c r="A71" s="147" t="str">
        <f>CONCATENATE("RUN-",'Process Ref'!$A$1,"_",TEXT(U71,"YYYY-MM-DD"),"_RFR-",TEXT(AR71,"000"),IF(EXACT(W71,"Initial"),"",CONCATENATE("_",W71)))</f>
        <v>RUN-COMB_2022-07-04_RFR-070</v>
      </c>
      <c r="B71" s="148">
        <v>44746.81658564815</v>
      </c>
      <c r="C71" s="149"/>
      <c r="D71" s="149" t="s">
        <v>199</v>
      </c>
      <c r="E71" s="121">
        <v>36.0</v>
      </c>
      <c r="F71" s="149" t="s">
        <v>442</v>
      </c>
      <c r="G71" s="150" t="s">
        <v>443</v>
      </c>
      <c r="H71" s="150"/>
      <c r="I71" s="150" t="s">
        <v>444</v>
      </c>
      <c r="J71" s="121">
        <v>1.0</v>
      </c>
      <c r="K71" s="182" t="s">
        <v>445</v>
      </c>
      <c r="L71" s="149"/>
      <c r="M71" s="153"/>
      <c r="N71" s="153"/>
      <c r="O71" s="154"/>
      <c r="P71" s="155" t="b">
        <v>0</v>
      </c>
      <c r="Q71" s="155" t="b">
        <v>0</v>
      </c>
      <c r="R71" s="51"/>
      <c r="S71" s="155" t="b">
        <v>0</v>
      </c>
      <c r="T71" s="156" t="b">
        <v>0</v>
      </c>
      <c r="U71" s="157">
        <v>44746.0</v>
      </c>
      <c r="V71" s="158">
        <v>0.9375</v>
      </c>
      <c r="W71" s="149" t="s">
        <v>203</v>
      </c>
      <c r="X71" s="51"/>
      <c r="Y71" s="155" t="b">
        <v>0</v>
      </c>
      <c r="Z71" s="121">
        <v>38.0</v>
      </c>
      <c r="AA71" s="159">
        <f t="shared" si="1"/>
        <v>2</v>
      </c>
      <c r="AB71" s="160" t="b">
        <v>0</v>
      </c>
      <c r="AC71" s="121">
        <v>36.0</v>
      </c>
      <c r="AD71" s="121">
        <v>0.0</v>
      </c>
      <c r="AE71" s="184">
        <v>0.0</v>
      </c>
      <c r="AF71" s="161">
        <v>0.0</v>
      </c>
      <c r="AG71" s="121">
        <v>1.0</v>
      </c>
      <c r="AH71" s="162">
        <v>1.0</v>
      </c>
      <c r="AI71" s="163">
        <v>1.0</v>
      </c>
      <c r="AJ71" s="121" t="b">
        <v>0</v>
      </c>
      <c r="AK71" s="164">
        <v>36.0</v>
      </c>
      <c r="AL71" s="121">
        <v>4.0</v>
      </c>
      <c r="AM71" s="121">
        <v>1.0</v>
      </c>
      <c r="AN71" s="159" t="str">
        <f>IFNA(VLOOKUP($A71,'Tube Reactions'!$J$2:$K96,2,FALSE),"")</f>
        <v/>
      </c>
      <c r="AO71" s="165" t="str">
        <f t="shared" si="2"/>
        <v>NOT EQUAL</v>
      </c>
      <c r="AP71" s="166" t="str">
        <f t="shared" si="3"/>
        <v>Absent</v>
      </c>
      <c r="AQ71" s="167" t="b">
        <f t="shared" si="4"/>
        <v>0</v>
      </c>
      <c r="AR71" s="185">
        <v>70.0</v>
      </c>
      <c r="AS71" s="169"/>
      <c r="AT71" s="149"/>
      <c r="AU71" s="121" t="s">
        <v>204</v>
      </c>
      <c r="AV71" s="170">
        <v>38.0</v>
      </c>
      <c r="AW71" s="121" t="b">
        <v>1</v>
      </c>
      <c r="AX71" s="171"/>
      <c r="AY71" s="159">
        <f t="shared" si="5"/>
        <v>2</v>
      </c>
      <c r="AZ71" s="172"/>
      <c r="BA71" s="173" t="b">
        <v>1</v>
      </c>
      <c r="BB71" s="165" t="b">
        <f t="shared" si="6"/>
        <v>1</v>
      </c>
      <c r="BC71" s="159">
        <f t="shared" si="7"/>
        <v>4</v>
      </c>
      <c r="BD71" s="159">
        <f t="shared" si="8"/>
        <v>36</v>
      </c>
      <c r="BE71" s="174"/>
      <c r="BF71" s="175">
        <f t="shared" si="9"/>
        <v>44746</v>
      </c>
      <c r="BG71" s="165" t="str">
        <f t="shared" si="10"/>
        <v>RUN-COMB_2022-07-04_RFR-070</v>
      </c>
      <c r="BH71" s="159">
        <f t="shared" si="11"/>
        <v>36</v>
      </c>
      <c r="BI71" s="159">
        <f t="shared" si="12"/>
        <v>38</v>
      </c>
      <c r="BJ71" s="159">
        <f t="shared" si="13"/>
        <v>36</v>
      </c>
      <c r="BK71" s="159">
        <f t="shared" si="14"/>
        <v>4</v>
      </c>
      <c r="BL71" s="183">
        <f>IFNA(IF(VLOOKUP(FLOOR($B71,1),'APS Tubes by Date Import'!$B$2:$L96,1,FALSE)=FLOOR($BL70,1),IFERROR(0/0,""),VLOOKUP(FLOOR($B71,1),'APS Tubes by Date Import'!$B$2:$L96,1,FALSE)),"")</f>
        <v>44746</v>
      </c>
      <c r="BM71" s="176">
        <f>IF(ISBLANK($BL71),IFERROR(0/0,""),VLOOKUP(FLOOR($B71,1),'APS Tubes by Date Import'!$B$2:$L96,2,FALSE))</f>
        <v>36</v>
      </c>
      <c r="BN71" s="159" t="str">
        <f>VLOOKUP(FLOOR($B71,1),'APS Tubes by Date Import'!$B71:$L96,11,FALSE)</f>
        <v>#N/A</v>
      </c>
      <c r="BO71" s="159" t="str">
        <f>VLOOKUP(FLOOR($B71,1),'APS Tubes by Date Import'!$B71:$I96,6,FALSE)</f>
        <v>#N/A</v>
      </c>
      <c r="BP71" s="159">
        <f t="shared" si="15"/>
        <v>36</v>
      </c>
      <c r="BQ71" s="177">
        <f t="shared" si="16"/>
        <v>0</v>
      </c>
      <c r="BR71" s="149"/>
      <c r="BS71" s="175" t="b">
        <f t="shared" si="17"/>
        <v>1</v>
      </c>
      <c r="BT71" s="178" t="str">
        <f t="shared" si="18"/>
        <v/>
      </c>
      <c r="BU71" s="179"/>
      <c r="BV71" s="180">
        <f t="shared" si="19"/>
        <v>0</v>
      </c>
      <c r="BW71" s="181"/>
      <c r="BX71" s="181"/>
      <c r="BY71" s="181"/>
      <c r="BZ71" s="181"/>
      <c r="CA71" s="181"/>
      <c r="CB71" s="181"/>
      <c r="CC71" s="181"/>
    </row>
    <row r="72">
      <c r="A72" s="147" t="str">
        <f>CONCATENATE("RUN-",'Process Ref'!$A$1,"_",TEXT(U72,"YYYY-MM-DD"),"_RFR-",TEXT(AR72,"000"),IF(EXACT(W72,"Initial"),"",CONCATENATE("_",W72)))</f>
        <v>RUN-COMB_2022-07-05_RFR-071</v>
      </c>
      <c r="B72" s="148">
        <v>44747.40489583334</v>
      </c>
      <c r="C72" s="149"/>
      <c r="D72" s="149" t="s">
        <v>199</v>
      </c>
      <c r="E72" s="121">
        <v>19.0</v>
      </c>
      <c r="F72" s="149" t="s">
        <v>446</v>
      </c>
      <c r="G72" s="150" t="s">
        <v>447</v>
      </c>
      <c r="H72" s="150"/>
      <c r="I72" s="150" t="s">
        <v>448</v>
      </c>
      <c r="J72" s="121">
        <v>0.0</v>
      </c>
      <c r="K72" s="182"/>
      <c r="L72" s="149"/>
      <c r="M72" s="153"/>
      <c r="N72" s="153"/>
      <c r="O72" s="154"/>
      <c r="P72" s="155" t="b">
        <v>0</v>
      </c>
      <c r="Q72" s="155" t="b">
        <v>0</v>
      </c>
      <c r="R72" s="51"/>
      <c r="S72" s="155" t="b">
        <v>0</v>
      </c>
      <c r="T72" s="156" t="b">
        <v>0</v>
      </c>
      <c r="U72" s="157">
        <v>44747.0</v>
      </c>
      <c r="V72" s="158">
        <v>0.5</v>
      </c>
      <c r="W72" s="149" t="s">
        <v>203</v>
      </c>
      <c r="X72" s="51"/>
      <c r="Y72" s="155" t="b">
        <v>0</v>
      </c>
      <c r="Z72" s="121">
        <v>21.0</v>
      </c>
      <c r="AA72" s="159">
        <f t="shared" si="1"/>
        <v>2</v>
      </c>
      <c r="AB72" s="160" t="b">
        <v>0</v>
      </c>
      <c r="AC72" s="121">
        <v>19.0</v>
      </c>
      <c r="AD72" s="121">
        <v>0.0</v>
      </c>
      <c r="AE72" s="184">
        <v>0.0</v>
      </c>
      <c r="AF72" s="161">
        <v>0.0</v>
      </c>
      <c r="AG72" s="121">
        <v>0.0</v>
      </c>
      <c r="AH72" s="162">
        <v>0.0</v>
      </c>
      <c r="AI72" s="163">
        <v>0.0</v>
      </c>
      <c r="AJ72" s="121" t="b">
        <v>0</v>
      </c>
      <c r="AK72" s="164">
        <v>19.0</v>
      </c>
      <c r="AL72" s="121">
        <v>0.0</v>
      </c>
      <c r="AM72" s="121">
        <v>0.0</v>
      </c>
      <c r="AN72" s="159" t="str">
        <f>IFNA(VLOOKUP($A72,'Tube Reactions'!$J$2:$K96,2,FALSE),"")</f>
        <v/>
      </c>
      <c r="AO72" s="165" t="str">
        <f t="shared" si="2"/>
        <v/>
      </c>
      <c r="AP72" s="166" t="str">
        <f t="shared" si="3"/>
        <v>Absent</v>
      </c>
      <c r="AQ72" s="167" t="b">
        <f t="shared" si="4"/>
        <v>0</v>
      </c>
      <c r="AR72" s="185">
        <v>71.0</v>
      </c>
      <c r="AS72" s="169"/>
      <c r="AT72" s="149"/>
      <c r="AU72" s="121" t="s">
        <v>204</v>
      </c>
      <c r="AV72" s="170">
        <v>21.0</v>
      </c>
      <c r="AW72" s="121" t="b">
        <v>0</v>
      </c>
      <c r="AX72" s="171"/>
      <c r="AY72" s="159">
        <f t="shared" si="5"/>
        <v>2</v>
      </c>
      <c r="AZ72" s="172"/>
      <c r="BA72" s="173" t="b">
        <v>1</v>
      </c>
      <c r="BB72" s="165" t="b">
        <f t="shared" si="6"/>
        <v>1</v>
      </c>
      <c r="BC72" s="159" t="b">
        <f t="shared" si="7"/>
        <v>1</v>
      </c>
      <c r="BD72" s="159">
        <f t="shared" si="8"/>
        <v>19</v>
      </c>
      <c r="BE72" s="174"/>
      <c r="BF72" s="175">
        <f t="shared" si="9"/>
        <v>44747</v>
      </c>
      <c r="BG72" s="165" t="str">
        <f t="shared" si="10"/>
        <v>RUN-COMB_2022-07-05_RFR-071</v>
      </c>
      <c r="BH72" s="159">
        <f t="shared" si="11"/>
        <v>19</v>
      </c>
      <c r="BI72" s="159">
        <f t="shared" si="12"/>
        <v>21</v>
      </c>
      <c r="BJ72" s="159">
        <f t="shared" si="13"/>
        <v>19</v>
      </c>
      <c r="BK72" s="159">
        <f t="shared" si="14"/>
        <v>0</v>
      </c>
      <c r="BL72" s="183">
        <f>IFNA(IF(VLOOKUP(FLOOR($B72,1),'APS Tubes by Date Import'!$B$2:$L96,1,FALSE)=FLOOR($BL71,1),IFERROR(0/0,""),VLOOKUP(FLOOR($B72,1),'APS Tubes by Date Import'!$B$2:$L96,1,FALSE)),"")</f>
        <v>44747</v>
      </c>
      <c r="BM72" s="176">
        <f>IF(ISBLANK($BL72),IFERROR(0/0,""),VLOOKUP(FLOOR($B72,1),'APS Tubes by Date Import'!$B$2:$L96,2,FALSE))</f>
        <v>19</v>
      </c>
      <c r="BN72" s="159" t="str">
        <f>VLOOKUP(FLOOR($B72,1),'APS Tubes by Date Import'!$B72:$L96,11,FALSE)</f>
        <v>#N/A</v>
      </c>
      <c r="BO72" s="159" t="str">
        <f>VLOOKUP(FLOOR($B72,1),'APS Tubes by Date Import'!$B72:$I96,6,FALSE)</f>
        <v>#N/A</v>
      </c>
      <c r="BP72" s="159">
        <f t="shared" si="15"/>
        <v>19</v>
      </c>
      <c r="BQ72" s="177">
        <f t="shared" si="16"/>
        <v>0</v>
      </c>
      <c r="BR72" s="149"/>
      <c r="BS72" s="175" t="b">
        <f t="shared" si="17"/>
        <v>1</v>
      </c>
      <c r="BT72" s="178" t="str">
        <f t="shared" si="18"/>
        <v/>
      </c>
      <c r="BU72" s="179"/>
      <c r="BV72" s="180">
        <f t="shared" si="19"/>
        <v>0</v>
      </c>
      <c r="BW72" s="181"/>
      <c r="BX72" s="181"/>
      <c r="BY72" s="181"/>
      <c r="BZ72" s="181"/>
      <c r="CA72" s="181"/>
      <c r="CB72" s="181"/>
      <c r="CC72" s="181"/>
    </row>
    <row r="73">
      <c r="A73" s="147" t="str">
        <f>CONCATENATE("RUN-",'Process Ref'!$A$1,"_",TEXT(U73,"YYYY-MM-DD"),"_RFR-",TEXT(AR73,"000"),IF(EXACT(W73,"Initial"),"",CONCATENATE("_",W73)))</f>
        <v>RUN-COMB_2022-07-06_RFR-072</v>
      </c>
      <c r="B73" s="148">
        <v>44748.34341435185</v>
      </c>
      <c r="C73" s="149"/>
      <c r="D73" s="149" t="s">
        <v>199</v>
      </c>
      <c r="E73" s="121">
        <v>17.0</v>
      </c>
      <c r="F73" s="149" t="s">
        <v>449</v>
      </c>
      <c r="G73" s="150" t="s">
        <v>450</v>
      </c>
      <c r="H73" s="150"/>
      <c r="I73" s="150" t="s">
        <v>451</v>
      </c>
      <c r="J73" s="121">
        <v>1.0</v>
      </c>
      <c r="K73" s="182" t="s">
        <v>452</v>
      </c>
      <c r="L73" s="149"/>
      <c r="M73" s="153"/>
      <c r="N73" s="153"/>
      <c r="O73" s="154"/>
      <c r="P73" s="155" t="b">
        <v>0</v>
      </c>
      <c r="Q73" s="155" t="b">
        <v>0</v>
      </c>
      <c r="R73" s="51"/>
      <c r="S73" s="155" t="b">
        <v>0</v>
      </c>
      <c r="T73" s="156" t="b">
        <v>1</v>
      </c>
      <c r="U73" s="157">
        <v>44748.0</v>
      </c>
      <c r="V73" s="158">
        <v>0.46875</v>
      </c>
      <c r="W73" s="149" t="s">
        <v>203</v>
      </c>
      <c r="X73" s="51"/>
      <c r="Y73" s="155" t="b">
        <v>0</v>
      </c>
      <c r="Z73" s="121">
        <v>19.0</v>
      </c>
      <c r="AA73" s="159">
        <f t="shared" si="1"/>
        <v>2</v>
      </c>
      <c r="AB73" s="160" t="b">
        <v>0</v>
      </c>
      <c r="AC73" s="121">
        <v>17.0</v>
      </c>
      <c r="AD73" s="121">
        <v>1.0</v>
      </c>
      <c r="AE73" s="184">
        <v>1.0</v>
      </c>
      <c r="AF73" s="161">
        <v>0.0</v>
      </c>
      <c r="AG73" s="121">
        <v>0.0</v>
      </c>
      <c r="AH73" s="162">
        <v>0.0</v>
      </c>
      <c r="AI73" s="163">
        <v>0.0</v>
      </c>
      <c r="AJ73" s="121" t="b">
        <v>0</v>
      </c>
      <c r="AK73" s="164">
        <v>17.0</v>
      </c>
      <c r="AL73" s="121">
        <v>1.0</v>
      </c>
      <c r="AM73" s="121">
        <v>1.0</v>
      </c>
      <c r="AN73" s="159" t="str">
        <f>IFNA(VLOOKUP($A73,'Tube Reactions'!$J$2:$K96,2,FALSE),"")</f>
        <v/>
      </c>
      <c r="AO73" s="165" t="str">
        <f t="shared" si="2"/>
        <v>NOT EQUAL</v>
      </c>
      <c r="AP73" s="166" t="str">
        <f t="shared" si="3"/>
        <v>Absent</v>
      </c>
      <c r="AQ73" s="167" t="b">
        <f t="shared" si="4"/>
        <v>0</v>
      </c>
      <c r="AR73" s="185">
        <v>72.0</v>
      </c>
      <c r="AS73" s="169"/>
      <c r="AT73" s="149"/>
      <c r="AU73" s="121" t="s">
        <v>204</v>
      </c>
      <c r="AV73" s="170">
        <v>19.0</v>
      </c>
      <c r="AW73" s="121" t="b">
        <v>0</v>
      </c>
      <c r="AX73" s="171"/>
      <c r="AY73" s="159">
        <f t="shared" si="5"/>
        <v>2</v>
      </c>
      <c r="AZ73" s="172"/>
      <c r="BA73" s="173" t="b">
        <v>0</v>
      </c>
      <c r="BB73" s="165" t="str">
        <f t="shared" si="6"/>
        <v/>
      </c>
      <c r="BC73" s="159" t="str">
        <f t="shared" si="7"/>
        <v/>
      </c>
      <c r="BD73" s="159" t="str">
        <f t="shared" si="8"/>
        <v/>
      </c>
      <c r="BE73" s="174"/>
      <c r="BF73" s="175">
        <f t="shared" si="9"/>
        <v>44748</v>
      </c>
      <c r="BG73" s="165" t="str">
        <f t="shared" si="10"/>
        <v>RUN-COMB_2022-07-06_RFR-072</v>
      </c>
      <c r="BH73" s="159">
        <f t="shared" si="11"/>
        <v>17</v>
      </c>
      <c r="BI73" s="159">
        <f t="shared" si="12"/>
        <v>19</v>
      </c>
      <c r="BJ73" s="159">
        <f t="shared" si="13"/>
        <v>17</v>
      </c>
      <c r="BK73" s="159">
        <f t="shared" si="14"/>
        <v>1</v>
      </c>
      <c r="BL73" s="183">
        <f>IFNA(IF(VLOOKUP(FLOOR($B73,1),'APS Tubes by Date Import'!$B$2:$L96,1,FALSE)=FLOOR($BL72,1),IFERROR(0/0,""),VLOOKUP(FLOOR($B73,1),'APS Tubes by Date Import'!$B$2:$L96,1,FALSE)),"")</f>
        <v>44748</v>
      </c>
      <c r="BM73" s="176">
        <f>IF(ISBLANK($BL73),IFERROR(0/0,""),VLOOKUP(FLOOR($B73,1),'APS Tubes by Date Import'!$B$2:$L96,2,FALSE))</f>
        <v>17</v>
      </c>
      <c r="BN73" s="159" t="str">
        <f>VLOOKUP(FLOOR($B73,1),'APS Tubes by Date Import'!$B73:$L96,11,FALSE)</f>
        <v>#N/A</v>
      </c>
      <c r="BO73" s="159" t="str">
        <f>VLOOKUP(FLOOR($B73,1),'APS Tubes by Date Import'!$B73:$I96,6,FALSE)</f>
        <v>#N/A</v>
      </c>
      <c r="BP73" s="159">
        <f t="shared" si="15"/>
        <v>17</v>
      </c>
      <c r="BQ73" s="177">
        <f t="shared" si="16"/>
        <v>0</v>
      </c>
      <c r="BR73" s="149"/>
      <c r="BS73" s="175" t="b">
        <f t="shared" si="17"/>
        <v>1</v>
      </c>
      <c r="BT73" s="178" t="str">
        <f t="shared" si="18"/>
        <v/>
      </c>
      <c r="BU73" s="179"/>
      <c r="BV73" s="180">
        <f t="shared" si="19"/>
        <v>0</v>
      </c>
      <c r="BW73" s="181"/>
      <c r="BX73" s="181"/>
      <c r="BY73" s="181"/>
      <c r="BZ73" s="181"/>
      <c r="CA73" s="181"/>
      <c r="CB73" s="181"/>
      <c r="CC73" s="181"/>
    </row>
    <row r="74">
      <c r="A74" s="147" t="str">
        <f>CONCATENATE("RUN-",'Process Ref'!$A$1,"_",TEXT(U74,"YYYY-MM-DD"),"_RFR-",TEXT(AR74,"000"),IF(EXACT(W74,"Initial"),"",CONCATENATE("_",W74)))</f>
        <v>RUN-COMB_2022-07-06_RFR-073_Re-run</v>
      </c>
      <c r="B74" s="148">
        <v>44748.36131944445</v>
      </c>
      <c r="C74" s="149"/>
      <c r="D74" s="149" t="s">
        <v>199</v>
      </c>
      <c r="E74" s="121">
        <v>1.0</v>
      </c>
      <c r="F74" s="149" t="s">
        <v>453</v>
      </c>
      <c r="G74" s="150" t="s">
        <v>454</v>
      </c>
      <c r="H74" s="150"/>
      <c r="I74" s="150" t="s">
        <v>455</v>
      </c>
      <c r="J74" s="55"/>
      <c r="K74" s="152"/>
      <c r="L74" s="149"/>
      <c r="M74" s="153"/>
      <c r="N74" s="153"/>
      <c r="O74" s="154"/>
      <c r="P74" s="155" t="b">
        <v>0</v>
      </c>
      <c r="Q74" s="155" t="b">
        <v>0</v>
      </c>
      <c r="R74" s="51"/>
      <c r="S74" s="155" t="b">
        <v>0</v>
      </c>
      <c r="T74" s="156" t="b">
        <v>1</v>
      </c>
      <c r="U74" s="157">
        <v>44748.0</v>
      </c>
      <c r="V74" s="158">
        <v>0.4861111111111111</v>
      </c>
      <c r="W74" s="149" t="s">
        <v>216</v>
      </c>
      <c r="X74" s="51"/>
      <c r="Y74" s="155" t="b">
        <v>0</v>
      </c>
      <c r="Z74" s="121">
        <v>5.0</v>
      </c>
      <c r="AA74" s="159">
        <f t="shared" si="1"/>
        <v>4</v>
      </c>
      <c r="AB74" s="160" t="b">
        <v>1</v>
      </c>
      <c r="AC74" s="121">
        <v>3.0</v>
      </c>
      <c r="AD74" s="121">
        <v>0.0</v>
      </c>
      <c r="AE74" s="184">
        <v>0.0</v>
      </c>
      <c r="AF74" s="161">
        <v>0.0</v>
      </c>
      <c r="AG74" s="121">
        <v>0.0</v>
      </c>
      <c r="AH74" s="162">
        <v>0.0</v>
      </c>
      <c r="AI74" s="163">
        <v>0.0</v>
      </c>
      <c r="AJ74" s="121" t="b">
        <v>0</v>
      </c>
      <c r="AK74" s="164">
        <v>1.0</v>
      </c>
      <c r="AL74" s="121">
        <v>0.0</v>
      </c>
      <c r="AM74" s="55" t="str">
        <f>IF(EXACT(W74,"Initial"),"Audit","")</f>
        <v/>
      </c>
      <c r="AN74" s="159" t="str">
        <f>IFNA(VLOOKUP($A74,'Tube Reactions'!$J$2:$K96,2,FALSE),"")</f>
        <v/>
      </c>
      <c r="AO74" s="165" t="str">
        <f t="shared" si="2"/>
        <v/>
      </c>
      <c r="AP74" s="166" t="str">
        <f t="shared" si="3"/>
        <v>Absent</v>
      </c>
      <c r="AQ74" s="167" t="b">
        <f t="shared" si="4"/>
        <v>0</v>
      </c>
      <c r="AR74" s="185">
        <v>73.0</v>
      </c>
      <c r="AS74" s="169"/>
      <c r="AT74" s="149"/>
      <c r="AU74" s="121" t="s">
        <v>204</v>
      </c>
      <c r="AV74" s="197">
        <v>5.0</v>
      </c>
      <c r="AW74" s="121" t="b">
        <v>1</v>
      </c>
      <c r="AX74" s="171"/>
      <c r="AY74" s="159">
        <f t="shared" si="5"/>
        <v>2</v>
      </c>
      <c r="AZ74" s="172"/>
      <c r="BA74" s="173" t="b">
        <v>0</v>
      </c>
      <c r="BB74" s="165" t="str">
        <f t="shared" si="6"/>
        <v/>
      </c>
      <c r="BC74" s="159" t="str">
        <f t="shared" si="7"/>
        <v/>
      </c>
      <c r="BD74" s="159" t="str">
        <f t="shared" si="8"/>
        <v/>
      </c>
      <c r="BE74" s="174"/>
      <c r="BF74" s="175" t="str">
        <f t="shared" si="9"/>
        <v/>
      </c>
      <c r="BG74" s="165" t="str">
        <f t="shared" si="10"/>
        <v/>
      </c>
      <c r="BH74" s="159" t="str">
        <f t="shared" si="11"/>
        <v/>
      </c>
      <c r="BI74" s="159" t="str">
        <f t="shared" si="12"/>
        <v/>
      </c>
      <c r="BJ74" s="159" t="str">
        <f t="shared" si="13"/>
        <v/>
      </c>
      <c r="BK74" s="159" t="str">
        <f t="shared" si="14"/>
        <v/>
      </c>
      <c r="BL74" s="183" t="str">
        <f>IFNA(IF(VLOOKUP(FLOOR($B74,1),'APS Tubes by Date Import'!$B$2:$L96,1,FALSE)=FLOOR($BL73,1),IFERROR(0/0,""),VLOOKUP(FLOOR($B74,1),'APS Tubes by Date Import'!$B$2:$L96,1,FALSE)),"")</f>
        <v/>
      </c>
      <c r="BM74" s="176" t="str">
        <f>IF(ISBLANK($BL74),IFERROR(0/0,""),VLOOKUP(FLOOR($B74,1),'APS Tubes by Date Import'!$B$2:$L96,2,FALSE))</f>
        <v/>
      </c>
      <c r="BN74" s="159" t="str">
        <f>VLOOKUP(FLOOR($B74,1),'APS Tubes by Date Import'!$B74:$L96,11,FALSE)</f>
        <v>#N/A</v>
      </c>
      <c r="BO74" s="159" t="str">
        <f>VLOOKUP(FLOOR($B74,1),'APS Tubes by Date Import'!$B74:$I96,6,FALSE)</f>
        <v>#N/A</v>
      </c>
      <c r="BP74" s="159" t="str">
        <f t="shared" si="15"/>
        <v/>
      </c>
      <c r="BQ74" s="177">
        <f t="shared" si="16"/>
        <v>0</v>
      </c>
      <c r="BR74" s="149"/>
      <c r="BS74" s="175" t="str">
        <f t="shared" si="17"/>
        <v/>
      </c>
      <c r="BT74" s="178" t="str">
        <f t="shared" si="18"/>
        <v/>
      </c>
      <c r="BU74" s="179"/>
      <c r="BV74" s="180" t="str">
        <f t="shared" si="19"/>
        <v/>
      </c>
      <c r="BW74" s="181"/>
      <c r="BX74" s="181"/>
      <c r="BY74" s="181"/>
      <c r="BZ74" s="181"/>
      <c r="CA74" s="181"/>
      <c r="CB74" s="181"/>
      <c r="CC74" s="181"/>
    </row>
    <row r="75">
      <c r="A75" s="147" t="str">
        <f>CONCATENATE("RUN-",'Process Ref'!$A$1,"_",TEXT(U75,"YYYY-MM-DD"),"_RFR-",TEXT(AR75,"000"),IF(EXACT(W75,"Initial"),"",CONCATENATE("_",W75)))</f>
        <v>RUN-COMB_2022-07-08_RFR-074</v>
      </c>
      <c r="B75" s="148">
        <v>44750.48269675926</v>
      </c>
      <c r="C75" s="149"/>
      <c r="D75" s="149" t="s">
        <v>199</v>
      </c>
      <c r="E75" s="121">
        <v>26.0</v>
      </c>
      <c r="F75" s="149" t="s">
        <v>456</v>
      </c>
      <c r="G75" s="150" t="s">
        <v>457</v>
      </c>
      <c r="H75" s="150"/>
      <c r="I75" s="150" t="s">
        <v>458</v>
      </c>
      <c r="J75" s="55"/>
      <c r="K75" s="152"/>
      <c r="L75" s="149"/>
      <c r="M75" s="153"/>
      <c r="N75" s="153"/>
      <c r="O75" s="154"/>
      <c r="P75" s="155" t="b">
        <v>0</v>
      </c>
      <c r="Q75" s="155" t="b">
        <v>0</v>
      </c>
      <c r="R75" s="51"/>
      <c r="S75" s="155" t="b">
        <v>0</v>
      </c>
      <c r="T75" s="156" t="b">
        <v>0</v>
      </c>
      <c r="U75" s="157">
        <v>44750.0</v>
      </c>
      <c r="V75" s="158"/>
      <c r="W75" s="149" t="s">
        <v>203</v>
      </c>
      <c r="X75" s="51"/>
      <c r="Y75" s="155" t="b">
        <v>0</v>
      </c>
      <c r="Z75" s="121">
        <v>28.0</v>
      </c>
      <c r="AA75" s="159">
        <f t="shared" si="1"/>
        <v>2</v>
      </c>
      <c r="AB75" s="160" t="b">
        <v>0</v>
      </c>
      <c r="AC75" s="121">
        <v>26.0</v>
      </c>
      <c r="AD75" s="121">
        <v>0.0</v>
      </c>
      <c r="AE75" s="184">
        <v>0.0</v>
      </c>
      <c r="AF75" s="161">
        <v>0.0</v>
      </c>
      <c r="AG75" s="121">
        <v>0.0</v>
      </c>
      <c r="AH75" s="162">
        <v>0.0</v>
      </c>
      <c r="AI75" s="163">
        <v>0.0</v>
      </c>
      <c r="AJ75" s="121" t="b">
        <v>0</v>
      </c>
      <c r="AK75" s="164">
        <v>26.0</v>
      </c>
      <c r="AL75" s="121">
        <v>0.0</v>
      </c>
      <c r="AM75" s="121">
        <v>0.0</v>
      </c>
      <c r="AN75" s="159" t="str">
        <f>IFNA(VLOOKUP($A75,'Tube Reactions'!$J$2:$K96,2,FALSE),"")</f>
        <v/>
      </c>
      <c r="AO75" s="165" t="str">
        <f t="shared" si="2"/>
        <v/>
      </c>
      <c r="AP75" s="166" t="str">
        <f t="shared" si="3"/>
        <v>Absent</v>
      </c>
      <c r="AQ75" s="167" t="b">
        <f t="shared" si="4"/>
        <v>0</v>
      </c>
      <c r="AR75" s="185">
        <v>74.0</v>
      </c>
      <c r="AS75" s="169"/>
      <c r="AT75" s="149"/>
      <c r="AU75" s="121" t="s">
        <v>204</v>
      </c>
      <c r="AV75" s="121">
        <v>28.0</v>
      </c>
      <c r="AW75" s="149" t="b">
        <v>1</v>
      </c>
      <c r="AX75" s="171"/>
      <c r="AY75" s="159">
        <f t="shared" si="5"/>
        <v>2</v>
      </c>
      <c r="AZ75" s="172"/>
      <c r="BA75" s="173" t="b">
        <v>1</v>
      </c>
      <c r="BB75" s="165" t="b">
        <f t="shared" si="6"/>
        <v>1</v>
      </c>
      <c r="BC75" s="159" t="b">
        <f t="shared" si="7"/>
        <v>1</v>
      </c>
      <c r="BD75" s="159">
        <f t="shared" si="8"/>
        <v>26</v>
      </c>
      <c r="BE75" s="174"/>
      <c r="BF75" s="175">
        <f t="shared" si="9"/>
        <v>44750</v>
      </c>
      <c r="BG75" s="165" t="str">
        <f t="shared" si="10"/>
        <v>RUN-COMB_2022-07-08_RFR-074</v>
      </c>
      <c r="BH75" s="159">
        <f t="shared" si="11"/>
        <v>26</v>
      </c>
      <c r="BI75" s="159">
        <f t="shared" si="12"/>
        <v>28</v>
      </c>
      <c r="BJ75" s="159">
        <f t="shared" si="13"/>
        <v>26</v>
      </c>
      <c r="BK75" s="159">
        <f t="shared" si="14"/>
        <v>0</v>
      </c>
      <c r="BL75" s="183">
        <f>IFNA(IF(VLOOKUP(FLOOR($B75,1),'APS Tubes by Date Import'!$B$2:$L96,1,FALSE)=FLOOR($BL74,1),IFERROR(0/0,""),VLOOKUP(FLOOR($B75,1),'APS Tubes by Date Import'!$B$2:$L96,1,FALSE)),"")</f>
        <v>44750</v>
      </c>
      <c r="BM75" s="176">
        <f>IF(ISBLANK($BL75),IFERROR(0/0,""),VLOOKUP(FLOOR($B75,1),'APS Tubes by Date Import'!$B$2:$L96,2,FALSE))</f>
        <v>25</v>
      </c>
      <c r="BN75" s="159" t="str">
        <f>VLOOKUP(FLOOR($B75,1),'APS Tubes by Date Import'!$B96:$L999,11,FALSE)</f>
        <v>#REF!</v>
      </c>
      <c r="BO75" s="159" t="str">
        <f>VLOOKUP(FLOOR($B75,1),'APS Tubes by Date Import'!$B96:$I999,6,FALSE)</f>
        <v>#REF!</v>
      </c>
      <c r="BP75" s="159">
        <f t="shared" si="15"/>
        <v>26</v>
      </c>
      <c r="BQ75" s="177">
        <f t="shared" si="16"/>
        <v>1</v>
      </c>
      <c r="BR75" s="149"/>
      <c r="BS75" s="175" t="b">
        <f t="shared" si="17"/>
        <v>1</v>
      </c>
      <c r="BT75" s="178" t="str">
        <f t="shared" si="18"/>
        <v/>
      </c>
      <c r="BU75" s="179"/>
      <c r="BV75" s="180">
        <f t="shared" si="19"/>
        <v>0</v>
      </c>
      <c r="BW75" s="181"/>
      <c r="BX75" s="181"/>
      <c r="BY75" s="181"/>
      <c r="BZ75" s="181"/>
      <c r="CA75" s="181"/>
      <c r="CB75" s="181"/>
      <c r="CC75" s="181"/>
    </row>
    <row r="76">
      <c r="A76" s="147" t="str">
        <f>CONCATENATE("RUN-",'Process Ref'!$A$1,"_",TEXT(U76,"YYYY-MM-DD"),"_RFR-",TEXT(AR76,"000"),IF(EXACT(W76,"Initial"),"",CONCATENATE("_",W76)))</f>
        <v>RUN-COMB_2022-07-11_RFR-075</v>
      </c>
      <c r="B76" s="148">
        <v>44753.789502314816</v>
      </c>
      <c r="C76" s="149"/>
      <c r="D76" s="149" t="s">
        <v>199</v>
      </c>
      <c r="E76" s="121">
        <v>27.0</v>
      </c>
      <c r="F76" s="149" t="s">
        <v>459</v>
      </c>
      <c r="G76" s="150" t="s">
        <v>460</v>
      </c>
      <c r="H76" s="150"/>
      <c r="I76" s="150" t="s">
        <v>461</v>
      </c>
      <c r="J76" s="121">
        <v>0.0</v>
      </c>
      <c r="K76" s="152"/>
      <c r="L76" s="149"/>
      <c r="M76" s="153"/>
      <c r="N76" s="153"/>
      <c r="O76" s="154"/>
      <c r="P76" s="155" t="b">
        <v>0</v>
      </c>
      <c r="Q76" s="155" t="b">
        <v>0</v>
      </c>
      <c r="R76" s="51"/>
      <c r="S76" s="155" t="b">
        <v>0</v>
      </c>
      <c r="T76" s="156" t="b">
        <v>0</v>
      </c>
      <c r="U76" s="157">
        <v>44753.0</v>
      </c>
      <c r="V76" s="158">
        <v>0.9131944444444444</v>
      </c>
      <c r="W76" s="149" t="s">
        <v>203</v>
      </c>
      <c r="X76" s="51"/>
      <c r="Y76" s="155" t="b">
        <v>0</v>
      </c>
      <c r="Z76" s="121">
        <v>29.0</v>
      </c>
      <c r="AA76" s="159">
        <f t="shared" si="1"/>
        <v>2</v>
      </c>
      <c r="AB76" s="160" t="b">
        <v>0</v>
      </c>
      <c r="AC76" s="121">
        <v>27.0</v>
      </c>
      <c r="AD76" s="121">
        <v>0.0</v>
      </c>
      <c r="AE76" s="184">
        <v>0.0</v>
      </c>
      <c r="AF76" s="161">
        <v>0.0</v>
      </c>
      <c r="AG76" s="121">
        <v>0.0</v>
      </c>
      <c r="AH76" s="162">
        <v>0.0</v>
      </c>
      <c r="AI76" s="163">
        <v>0.0</v>
      </c>
      <c r="AJ76" s="121" t="b">
        <v>0</v>
      </c>
      <c r="AK76" s="164">
        <v>27.0</v>
      </c>
      <c r="AL76" s="121">
        <v>0.0</v>
      </c>
      <c r="AM76" s="121">
        <v>0.0</v>
      </c>
      <c r="AN76" s="159" t="str">
        <f>IFNA(VLOOKUP($A76,'Tube Reactions'!$J$2:$K96,2,FALSE),"")</f>
        <v/>
      </c>
      <c r="AO76" s="165" t="str">
        <f t="shared" si="2"/>
        <v/>
      </c>
      <c r="AP76" s="166" t="str">
        <f t="shared" si="3"/>
        <v>Absent</v>
      </c>
      <c r="AQ76" s="167" t="b">
        <f t="shared" si="4"/>
        <v>0</v>
      </c>
      <c r="AR76" s="185">
        <v>75.0</v>
      </c>
      <c r="AS76" s="169"/>
      <c r="AT76" s="149"/>
      <c r="AU76" s="121" t="s">
        <v>204</v>
      </c>
      <c r="AV76" s="197">
        <v>29.0</v>
      </c>
      <c r="AW76" s="121" t="b">
        <v>1</v>
      </c>
      <c r="AX76" s="171"/>
      <c r="AY76" s="159">
        <f t="shared" si="5"/>
        <v>2</v>
      </c>
      <c r="AZ76" s="172"/>
      <c r="BA76" s="173" t="b">
        <v>1</v>
      </c>
      <c r="BB76" s="165" t="b">
        <f t="shared" si="6"/>
        <v>1</v>
      </c>
      <c r="BC76" s="159" t="b">
        <f t="shared" si="7"/>
        <v>1</v>
      </c>
      <c r="BD76" s="159">
        <f t="shared" si="8"/>
        <v>27</v>
      </c>
      <c r="BE76" s="174"/>
      <c r="BF76" s="175">
        <f t="shared" si="9"/>
        <v>44753</v>
      </c>
      <c r="BG76" s="165" t="str">
        <f t="shared" si="10"/>
        <v>RUN-COMB_2022-07-11_RFR-075</v>
      </c>
      <c r="BH76" s="159">
        <f t="shared" si="11"/>
        <v>27</v>
      </c>
      <c r="BI76" s="159">
        <f t="shared" si="12"/>
        <v>29</v>
      </c>
      <c r="BJ76" s="159">
        <f t="shared" si="13"/>
        <v>27</v>
      </c>
      <c r="BK76" s="159">
        <f t="shared" si="14"/>
        <v>0</v>
      </c>
      <c r="BL76" s="183">
        <f>IFNA(IF(VLOOKUP(FLOOR($B76,1),'APS Tubes by Date Import'!$B$2:$L96,1,FALSE)=FLOOR($BL75,1),IFERROR(0/0,""),VLOOKUP(FLOOR($B76,1),'APS Tubes by Date Import'!$B$2:$L96,1,FALSE)),"")</f>
        <v>44753</v>
      </c>
      <c r="BM76" s="176">
        <f>IF(ISBLANK($BL76),IFERROR(0/0,""),VLOOKUP(FLOOR($B76,1),'APS Tubes by Date Import'!$B$2:$L96,2,FALSE))</f>
        <v>27</v>
      </c>
      <c r="BN76" s="159" t="str">
        <f>VLOOKUP(FLOOR($B76,1),'APS Tubes by Date Import'!$B96:$L999,11,FALSE)</f>
        <v>#REF!</v>
      </c>
      <c r="BO76" s="159" t="str">
        <f>VLOOKUP(FLOOR($B76,1),'APS Tubes by Date Import'!$B96:$I999,6,FALSE)</f>
        <v>#REF!</v>
      </c>
      <c r="BP76" s="159">
        <f t="shared" si="15"/>
        <v>27</v>
      </c>
      <c r="BQ76" s="177">
        <f t="shared" si="16"/>
        <v>0</v>
      </c>
      <c r="BR76" s="149"/>
      <c r="BS76" s="175" t="b">
        <f t="shared" si="17"/>
        <v>1</v>
      </c>
      <c r="BT76" s="178" t="str">
        <f t="shared" si="18"/>
        <v/>
      </c>
      <c r="BU76" s="179"/>
      <c r="BV76" s="180">
        <f t="shared" si="19"/>
        <v>0</v>
      </c>
      <c r="BW76" s="181"/>
      <c r="BX76" s="181"/>
      <c r="BY76" s="181"/>
      <c r="BZ76" s="181"/>
      <c r="CA76" s="181"/>
      <c r="CB76" s="181"/>
      <c r="CC76" s="181"/>
    </row>
    <row r="77">
      <c r="A77" s="147" t="str">
        <f>CONCATENATE("RUN-",'Process Ref'!$A$1,"_",TEXT(U77,"YYYY-MM-DD"),"_RFR-",TEXT(AR77,"000"),IF(EXACT(W77,"Initial"),"",CONCATENATE("_",W77)))</f>
        <v>RUN-COMB_2022-07-12_RFR-076</v>
      </c>
      <c r="B77" s="148">
        <v>44754.37537037037</v>
      </c>
      <c r="C77" s="149"/>
      <c r="D77" s="149" t="s">
        <v>199</v>
      </c>
      <c r="E77" s="121">
        <v>19.0</v>
      </c>
      <c r="F77" s="149" t="s">
        <v>462</v>
      </c>
      <c r="G77" s="150" t="s">
        <v>463</v>
      </c>
      <c r="H77" s="150"/>
      <c r="I77" s="150" t="s">
        <v>464</v>
      </c>
      <c r="J77" s="55"/>
      <c r="K77" s="152"/>
      <c r="L77" s="149"/>
      <c r="M77" s="153"/>
      <c r="N77" s="153"/>
      <c r="O77" s="153"/>
      <c r="P77" s="155" t="b">
        <v>0</v>
      </c>
      <c r="Q77" s="155" t="b">
        <v>0</v>
      </c>
      <c r="R77" s="51"/>
      <c r="S77" s="155" t="b">
        <v>0</v>
      </c>
      <c r="T77" s="156" t="b">
        <v>0</v>
      </c>
      <c r="U77" s="157">
        <v>44754.0</v>
      </c>
      <c r="V77" s="158">
        <v>0.5</v>
      </c>
      <c r="W77" s="149" t="s">
        <v>203</v>
      </c>
      <c r="X77" s="51"/>
      <c r="Y77" s="155" t="b">
        <v>0</v>
      </c>
      <c r="Z77" s="121">
        <v>21.0</v>
      </c>
      <c r="AA77" s="159">
        <f t="shared" si="1"/>
        <v>2</v>
      </c>
      <c r="AB77" s="160" t="b">
        <v>0</v>
      </c>
      <c r="AC77" s="121">
        <v>19.0</v>
      </c>
      <c r="AD77" s="121">
        <v>0.0</v>
      </c>
      <c r="AE77" s="184">
        <v>0.0</v>
      </c>
      <c r="AF77" s="161">
        <v>0.0</v>
      </c>
      <c r="AG77" s="121">
        <v>0.0</v>
      </c>
      <c r="AH77" s="162">
        <v>0.0</v>
      </c>
      <c r="AI77" s="163">
        <v>0.0</v>
      </c>
      <c r="AJ77" s="121" t="b">
        <v>0</v>
      </c>
      <c r="AK77" s="164">
        <v>19.0</v>
      </c>
      <c r="AL77" s="121">
        <v>0.0</v>
      </c>
      <c r="AM77" s="121">
        <v>0.0</v>
      </c>
      <c r="AN77" s="159" t="str">
        <f>IFNA(VLOOKUP($A77,'Tube Reactions'!$J$2:$K96,2,FALSE),"")</f>
        <v/>
      </c>
      <c r="AO77" s="165" t="str">
        <f t="shared" si="2"/>
        <v/>
      </c>
      <c r="AP77" s="166" t="str">
        <f t="shared" si="3"/>
        <v>Absent</v>
      </c>
      <c r="AQ77" s="167" t="b">
        <f t="shared" si="4"/>
        <v>0</v>
      </c>
      <c r="AR77" s="185">
        <v>76.0</v>
      </c>
      <c r="AS77" s="169"/>
      <c r="AT77" s="149"/>
      <c r="AU77" s="121" t="s">
        <v>204</v>
      </c>
      <c r="AV77" s="197">
        <v>21.0</v>
      </c>
      <c r="AW77" s="121" t="b">
        <v>1</v>
      </c>
      <c r="AX77" s="171"/>
      <c r="AY77" s="159">
        <f t="shared" si="5"/>
        <v>2</v>
      </c>
      <c r="AZ77" s="172"/>
      <c r="BA77" s="173" t="b">
        <v>1</v>
      </c>
      <c r="BB77" s="165" t="b">
        <f t="shared" si="6"/>
        <v>1</v>
      </c>
      <c r="BC77" s="159" t="b">
        <f t="shared" si="7"/>
        <v>1</v>
      </c>
      <c r="BD77" s="159">
        <f t="shared" si="8"/>
        <v>19</v>
      </c>
      <c r="BE77" s="174"/>
      <c r="BF77" s="175">
        <f t="shared" si="9"/>
        <v>44754</v>
      </c>
      <c r="BG77" s="165" t="str">
        <f t="shared" si="10"/>
        <v>RUN-COMB_2022-07-12_RFR-076</v>
      </c>
      <c r="BH77" s="159">
        <f t="shared" si="11"/>
        <v>19</v>
      </c>
      <c r="BI77" s="159">
        <f t="shared" si="12"/>
        <v>21</v>
      </c>
      <c r="BJ77" s="159">
        <f t="shared" si="13"/>
        <v>19</v>
      </c>
      <c r="BK77" s="159">
        <f t="shared" si="14"/>
        <v>0</v>
      </c>
      <c r="BL77" s="183">
        <f>IFNA(IF(VLOOKUP(FLOOR($B77,1),'APS Tubes by Date Import'!$B$2:$L96,1,FALSE)=FLOOR($BL76,1),IFERROR(0/0,""),VLOOKUP(FLOOR($B77,1),'APS Tubes by Date Import'!$B$2:$L96,1,FALSE)),"")</f>
        <v>44754</v>
      </c>
      <c r="BM77" s="176">
        <f>IF(ISBLANK($BL77),IFERROR(0/0,""),VLOOKUP(FLOOR($B77,1),'APS Tubes by Date Import'!$B$2:$L96,2,FALSE))</f>
        <v>19</v>
      </c>
      <c r="BN77" s="159" t="str">
        <f>VLOOKUP(FLOOR($B77,1),'APS Tubes by Date Import'!$B96:$L999,11,FALSE)</f>
        <v>#REF!</v>
      </c>
      <c r="BO77" s="159" t="str">
        <f>VLOOKUP(FLOOR($B77,1),'APS Tubes by Date Import'!$B96:$I999,6,FALSE)</f>
        <v>#REF!</v>
      </c>
      <c r="BP77" s="159">
        <f t="shared" si="15"/>
        <v>19</v>
      </c>
      <c r="BQ77" s="177">
        <f t="shared" si="16"/>
        <v>0</v>
      </c>
      <c r="BR77" s="149"/>
      <c r="BS77" s="175" t="b">
        <f t="shared" si="17"/>
        <v>1</v>
      </c>
      <c r="BT77" s="178" t="str">
        <f t="shared" si="18"/>
        <v/>
      </c>
      <c r="BU77" s="179"/>
      <c r="BV77" s="180">
        <f t="shared" si="19"/>
        <v>0</v>
      </c>
      <c r="BW77" s="181"/>
      <c r="BX77" s="181"/>
      <c r="BY77" s="181"/>
      <c r="BZ77" s="181"/>
      <c r="CA77" s="181"/>
      <c r="CB77" s="181"/>
      <c r="CC77" s="181"/>
    </row>
    <row r="78">
      <c r="A78" s="147" t="str">
        <f>CONCATENATE("RUN-",'Process Ref'!$A$1,"_",TEXT(U78,"YYYY-MM-DD"),"_RFR-",TEXT(AR78,"000"),IF(EXACT(W78,"Initial"),"",CONCATENATE("_",W78)))</f>
        <v>RUN-COMB_2022-07-13_RFR-077</v>
      </c>
      <c r="B78" s="148">
        <v>44755.46233796296</v>
      </c>
      <c r="C78" s="149"/>
      <c r="D78" s="149" t="s">
        <v>199</v>
      </c>
      <c r="E78" s="121">
        <v>17.0</v>
      </c>
      <c r="F78" s="149" t="s">
        <v>465</v>
      </c>
      <c r="G78" s="150" t="s">
        <v>466</v>
      </c>
      <c r="H78" s="150"/>
      <c r="I78" s="150" t="s">
        <v>467</v>
      </c>
      <c r="J78" s="55"/>
      <c r="K78" s="152"/>
      <c r="L78" s="149"/>
      <c r="M78" s="153"/>
      <c r="N78" s="153"/>
      <c r="O78" s="154"/>
      <c r="P78" s="155" t="b">
        <v>0</v>
      </c>
      <c r="Q78" s="155" t="b">
        <v>0</v>
      </c>
      <c r="R78" s="51"/>
      <c r="S78" s="155" t="b">
        <v>0</v>
      </c>
      <c r="T78" s="156" t="b">
        <v>0</v>
      </c>
      <c r="U78" s="157">
        <v>44755.0</v>
      </c>
      <c r="V78" s="158">
        <v>0.5</v>
      </c>
      <c r="W78" s="149" t="s">
        <v>203</v>
      </c>
      <c r="X78" s="51"/>
      <c r="Y78" s="155" t="b">
        <v>0</v>
      </c>
      <c r="Z78" s="121">
        <v>19.0</v>
      </c>
      <c r="AA78" s="159">
        <f t="shared" si="1"/>
        <v>2</v>
      </c>
      <c r="AB78" s="160" t="b">
        <v>0</v>
      </c>
      <c r="AC78" s="121">
        <v>17.0</v>
      </c>
      <c r="AD78" s="121">
        <v>0.0</v>
      </c>
      <c r="AE78" s="184">
        <v>0.0</v>
      </c>
      <c r="AF78" s="161">
        <v>0.0</v>
      </c>
      <c r="AG78" s="121">
        <v>0.0</v>
      </c>
      <c r="AH78" s="162">
        <v>0.0</v>
      </c>
      <c r="AI78" s="163">
        <v>0.0</v>
      </c>
      <c r="AJ78" s="121" t="b">
        <v>0</v>
      </c>
      <c r="AK78" s="164">
        <v>17.0</v>
      </c>
      <c r="AL78" s="121">
        <v>0.0</v>
      </c>
      <c r="AM78" s="121">
        <v>0.0</v>
      </c>
      <c r="AN78" s="159" t="str">
        <f>IFNA(VLOOKUP($A78,'Tube Reactions'!$J$2:$K96,2,FALSE),"")</f>
        <v/>
      </c>
      <c r="AO78" s="165" t="str">
        <f t="shared" si="2"/>
        <v/>
      </c>
      <c r="AP78" s="166" t="str">
        <f t="shared" si="3"/>
        <v>Absent</v>
      </c>
      <c r="AQ78" s="167" t="b">
        <f t="shared" si="4"/>
        <v>0</v>
      </c>
      <c r="AR78" s="185">
        <v>77.0</v>
      </c>
      <c r="AS78" s="169"/>
      <c r="AT78" s="149"/>
      <c r="AU78" s="121" t="s">
        <v>204</v>
      </c>
      <c r="AV78" s="121">
        <v>19.0</v>
      </c>
      <c r="AW78" s="149" t="b">
        <v>1</v>
      </c>
      <c r="AX78" s="171"/>
      <c r="AY78" s="159">
        <f t="shared" si="5"/>
        <v>2</v>
      </c>
      <c r="AZ78" s="172"/>
      <c r="BA78" s="173" t="b">
        <v>1</v>
      </c>
      <c r="BB78" s="165" t="b">
        <f t="shared" si="6"/>
        <v>1</v>
      </c>
      <c r="BC78" s="159" t="b">
        <f t="shared" si="7"/>
        <v>1</v>
      </c>
      <c r="BD78" s="159">
        <f t="shared" si="8"/>
        <v>17</v>
      </c>
      <c r="BE78" s="174"/>
      <c r="BF78" s="109"/>
      <c r="BG78" s="149"/>
      <c r="BH78" s="121"/>
      <c r="BI78" s="121"/>
      <c r="BJ78" s="121"/>
      <c r="BK78" s="121"/>
      <c r="BL78" s="198"/>
      <c r="BM78" s="184"/>
      <c r="BN78" s="121"/>
      <c r="BO78" s="121"/>
      <c r="BP78" s="121"/>
      <c r="BQ78" s="121"/>
      <c r="BR78" s="149"/>
      <c r="BS78" s="109" t="str">
        <f t="shared" si="17"/>
        <v/>
      </c>
      <c r="BT78" s="109" t="str">
        <f t="shared" ref="BT78:BT96" si="20">IFS(BR78=2,"NULL &gt; NEG",BR78=3, "Delete NULL",TRUE,IFERROR(0/0,""))</f>
        <v/>
      </c>
      <c r="BU78" s="199"/>
      <c r="BV78" s="180">
        <f t="shared" si="19"/>
        <v>0</v>
      </c>
      <c r="BW78" s="109"/>
      <c r="BX78" s="109"/>
      <c r="BY78" s="109"/>
      <c r="BZ78" s="109"/>
      <c r="CA78" s="109"/>
      <c r="CB78" s="109"/>
      <c r="CC78" s="109"/>
    </row>
    <row r="79">
      <c r="A79" s="147" t="str">
        <f>CONCATENATE("RUN-",'Process Ref'!$A$1,"_",TEXT(U79,"YYYY-MM-DD"),"_RFR-",TEXT(AR79,"000"),IF(EXACT(W79,"Initial"),"",CONCATENATE("_",W79)))</f>
        <v>RUN-COMB_2022-07-14_RFR-078</v>
      </c>
      <c r="B79" s="148">
        <v>44756.37517361111</v>
      </c>
      <c r="C79" s="149"/>
      <c r="D79" s="149" t="s">
        <v>199</v>
      </c>
      <c r="E79" s="121">
        <v>36.0</v>
      </c>
      <c r="F79" s="149" t="s">
        <v>468</v>
      </c>
      <c r="G79" s="150" t="s">
        <v>469</v>
      </c>
      <c r="H79" s="150"/>
      <c r="I79" s="150" t="s">
        <v>470</v>
      </c>
      <c r="J79" s="55"/>
      <c r="K79" s="152"/>
      <c r="L79" s="149"/>
      <c r="M79" s="153"/>
      <c r="N79" s="153"/>
      <c r="O79" s="154"/>
      <c r="P79" s="155" t="b">
        <v>0</v>
      </c>
      <c r="Q79" s="155" t="b">
        <v>0</v>
      </c>
      <c r="R79" s="51"/>
      <c r="S79" s="155" t="b">
        <v>0</v>
      </c>
      <c r="T79" s="156" t="b">
        <v>0</v>
      </c>
      <c r="U79" s="157">
        <v>44756.0</v>
      </c>
      <c r="V79" s="158">
        <v>0.5</v>
      </c>
      <c r="W79" s="149" t="s">
        <v>203</v>
      </c>
      <c r="X79" s="51"/>
      <c r="Y79" s="155" t="b">
        <v>0</v>
      </c>
      <c r="Z79" s="121">
        <v>38.0</v>
      </c>
      <c r="AA79" s="159">
        <f t="shared" si="1"/>
        <v>2</v>
      </c>
      <c r="AB79" s="160" t="b">
        <v>0</v>
      </c>
      <c r="AC79" s="121">
        <v>36.0</v>
      </c>
      <c r="AD79" s="121">
        <v>0.0</v>
      </c>
      <c r="AE79" s="184">
        <v>0.0</v>
      </c>
      <c r="AF79" s="161">
        <v>0.0</v>
      </c>
      <c r="AG79" s="121">
        <v>0.0</v>
      </c>
      <c r="AH79" s="162">
        <v>0.0</v>
      </c>
      <c r="AI79" s="163">
        <v>0.0</v>
      </c>
      <c r="AJ79" s="121" t="b">
        <v>0</v>
      </c>
      <c r="AK79" s="164">
        <v>36.0</v>
      </c>
      <c r="AL79" s="121">
        <v>0.0</v>
      </c>
      <c r="AM79" s="121">
        <v>0.0</v>
      </c>
      <c r="AN79" s="159" t="str">
        <f>IFNA(VLOOKUP($A79,'Tube Reactions'!$J$2:$K96,2,FALSE),"")</f>
        <v/>
      </c>
      <c r="AO79" s="165" t="str">
        <f t="shared" si="2"/>
        <v/>
      </c>
      <c r="AP79" s="166" t="str">
        <f t="shared" si="3"/>
        <v>Absent</v>
      </c>
      <c r="AQ79" s="167" t="b">
        <f t="shared" si="4"/>
        <v>0</v>
      </c>
      <c r="AR79" s="185">
        <v>78.0</v>
      </c>
      <c r="AS79" s="169"/>
      <c r="AT79" s="149"/>
      <c r="AU79" s="121" t="s">
        <v>204</v>
      </c>
      <c r="AV79" s="197">
        <v>38.0</v>
      </c>
      <c r="AW79" s="121" t="b">
        <v>1</v>
      </c>
      <c r="AX79" s="171"/>
      <c r="AY79" s="159">
        <f t="shared" si="5"/>
        <v>2</v>
      </c>
      <c r="AZ79" s="172"/>
      <c r="BA79" s="173" t="b">
        <v>1</v>
      </c>
      <c r="BB79" s="165" t="b">
        <f t="shared" si="6"/>
        <v>1</v>
      </c>
      <c r="BC79" s="159" t="b">
        <f t="shared" si="7"/>
        <v>1</v>
      </c>
      <c r="BD79" s="159">
        <f t="shared" si="8"/>
        <v>36</v>
      </c>
      <c r="BE79" s="174"/>
      <c r="BF79" s="109"/>
      <c r="BG79" s="149"/>
      <c r="BH79" s="121"/>
      <c r="BI79" s="121"/>
      <c r="BJ79" s="121"/>
      <c r="BK79" s="121"/>
      <c r="BL79" s="198"/>
      <c r="BM79" s="184"/>
      <c r="BN79" s="121"/>
      <c r="BO79" s="121"/>
      <c r="BP79" s="121"/>
      <c r="BQ79" s="121"/>
      <c r="BR79" s="149"/>
      <c r="BS79" s="109" t="str">
        <f t="shared" si="17"/>
        <v/>
      </c>
      <c r="BT79" s="109" t="str">
        <f t="shared" si="20"/>
        <v/>
      </c>
      <c r="BU79" s="199"/>
      <c r="BV79" s="180">
        <f t="shared" si="19"/>
        <v>0</v>
      </c>
      <c r="BW79" s="109"/>
      <c r="BX79" s="109"/>
      <c r="BY79" s="109"/>
      <c r="BZ79" s="109"/>
      <c r="CA79" s="109"/>
      <c r="CB79" s="109"/>
      <c r="CC79" s="109"/>
    </row>
    <row r="80">
      <c r="A80" s="147" t="str">
        <f>CONCATENATE("RUN-",'Process Ref'!$A$1,"_",TEXT(U80,"YYYY-MM-DD"),"_RFR-",TEXT(AR80,"000"),IF(EXACT(W80,"Initial"),"",CONCATENATE("_",W80)))</f>
        <v>RUN-COMB_2022-07-15_RFR-079</v>
      </c>
      <c r="B80" s="148">
        <v>44757.38148148148</v>
      </c>
      <c r="C80" s="149"/>
      <c r="D80" s="149" t="s">
        <v>199</v>
      </c>
      <c r="E80" s="121">
        <v>24.0</v>
      </c>
      <c r="F80" s="149" t="s">
        <v>471</v>
      </c>
      <c r="G80" s="150" t="s">
        <v>472</v>
      </c>
      <c r="H80" s="150"/>
      <c r="I80" s="150" t="s">
        <v>473</v>
      </c>
      <c r="J80" s="55"/>
      <c r="K80" s="191"/>
      <c r="L80" s="149"/>
      <c r="M80" s="153"/>
      <c r="N80" s="153"/>
      <c r="O80" s="154"/>
      <c r="P80" s="155" t="b">
        <v>0</v>
      </c>
      <c r="Q80" s="155" t="b">
        <v>0</v>
      </c>
      <c r="R80" s="51"/>
      <c r="S80" s="155" t="b">
        <v>0</v>
      </c>
      <c r="T80" s="156" t="b">
        <v>0</v>
      </c>
      <c r="U80" s="157">
        <v>44757.0</v>
      </c>
      <c r="V80" s="158">
        <v>0.5</v>
      </c>
      <c r="W80" s="149" t="s">
        <v>203</v>
      </c>
      <c r="X80" s="51"/>
      <c r="Y80" s="155" t="b">
        <v>0</v>
      </c>
      <c r="Z80" s="121">
        <v>26.0</v>
      </c>
      <c r="AA80" s="159">
        <f t="shared" si="1"/>
        <v>2</v>
      </c>
      <c r="AB80" s="160" t="b">
        <v>0</v>
      </c>
      <c r="AC80" s="121">
        <v>24.0</v>
      </c>
      <c r="AD80" s="121">
        <v>0.0</v>
      </c>
      <c r="AE80" s="184">
        <v>0.0</v>
      </c>
      <c r="AF80" s="161">
        <v>0.0</v>
      </c>
      <c r="AG80" s="121">
        <v>0.0</v>
      </c>
      <c r="AH80" s="162">
        <v>0.0</v>
      </c>
      <c r="AI80" s="163">
        <v>0.0</v>
      </c>
      <c r="AJ80" s="121" t="b">
        <v>0</v>
      </c>
      <c r="AK80" s="164">
        <v>24.0</v>
      </c>
      <c r="AL80" s="200">
        <v>0.0</v>
      </c>
      <c r="AM80" s="121">
        <v>0.0</v>
      </c>
      <c r="AN80" s="159" t="str">
        <f>IFNA(VLOOKUP($A80,'Tube Reactions'!$J$2:$K96,2,FALSE),"")</f>
        <v/>
      </c>
      <c r="AO80" s="165" t="str">
        <f t="shared" si="2"/>
        <v/>
      </c>
      <c r="AP80" s="166" t="str">
        <f t="shared" si="3"/>
        <v>Absent</v>
      </c>
      <c r="AQ80" s="167" t="b">
        <f t="shared" si="4"/>
        <v>0</v>
      </c>
      <c r="AR80" s="185">
        <v>79.0</v>
      </c>
      <c r="AS80" s="169"/>
      <c r="AT80" s="149"/>
      <c r="AU80" s="121" t="s">
        <v>204</v>
      </c>
      <c r="AV80" s="197">
        <v>26.0</v>
      </c>
      <c r="AW80" s="149" t="b">
        <v>1</v>
      </c>
      <c r="AX80" s="171"/>
      <c r="AY80" s="159">
        <f t="shared" si="5"/>
        <v>2</v>
      </c>
      <c r="AZ80" s="172"/>
      <c r="BA80" s="173" t="b">
        <v>1</v>
      </c>
      <c r="BB80" s="165" t="b">
        <f t="shared" si="6"/>
        <v>1</v>
      </c>
      <c r="BC80" s="159" t="b">
        <f t="shared" si="7"/>
        <v>1</v>
      </c>
      <c r="BD80" s="159">
        <f t="shared" si="8"/>
        <v>24</v>
      </c>
      <c r="BE80" s="174"/>
      <c r="BF80" s="109"/>
      <c r="BG80" s="149"/>
      <c r="BH80" s="121"/>
      <c r="BI80" s="121"/>
      <c r="BJ80" s="121"/>
      <c r="BK80" s="121"/>
      <c r="BL80" s="198"/>
      <c r="BM80" s="184"/>
      <c r="BN80" s="121"/>
      <c r="BO80" s="121"/>
      <c r="BP80" s="121"/>
      <c r="BQ80" s="121"/>
      <c r="BR80" s="149"/>
      <c r="BS80" s="109" t="str">
        <f t="shared" si="17"/>
        <v/>
      </c>
      <c r="BT80" s="109" t="str">
        <f t="shared" si="20"/>
        <v/>
      </c>
      <c r="BU80" s="199"/>
      <c r="BV80" s="180">
        <f t="shared" si="19"/>
        <v>0</v>
      </c>
      <c r="BW80" s="109"/>
      <c r="BX80" s="109"/>
      <c r="BY80" s="109"/>
      <c r="BZ80" s="109"/>
      <c r="CA80" s="109"/>
      <c r="CB80" s="109"/>
      <c r="CC80" s="109"/>
    </row>
    <row r="81">
      <c r="A81" s="147" t="str">
        <f>CONCATENATE("RUN-",'Process Ref'!$A$1,"_",TEXT(U81,"YYYY-MM-DD"),"_RFR-",TEXT(AR81,"000"),IF(EXACT(W81,"Initial"),"",CONCATENATE("_",W81)))</f>
        <v>RUN-COMB_2022-07-18_RFR-080</v>
      </c>
      <c r="B81" s="148">
        <v>44760.82444444444</v>
      </c>
      <c r="C81" s="149"/>
      <c r="D81" s="149" t="s">
        <v>199</v>
      </c>
      <c r="E81" s="121">
        <v>46.0</v>
      </c>
      <c r="F81" s="149" t="s">
        <v>474</v>
      </c>
      <c r="G81" s="150" t="s">
        <v>475</v>
      </c>
      <c r="H81" s="150"/>
      <c r="I81" s="150" t="s">
        <v>476</v>
      </c>
      <c r="J81" s="121">
        <v>2.0</v>
      </c>
      <c r="K81" s="152"/>
      <c r="L81" s="149"/>
      <c r="M81" s="153"/>
      <c r="N81" s="153">
        <v>2.2</v>
      </c>
      <c r="O81" s="153"/>
      <c r="P81" s="155" t="b">
        <v>1</v>
      </c>
      <c r="Q81" s="155" t="b">
        <v>0</v>
      </c>
      <c r="R81" s="51"/>
      <c r="S81" s="155" t="b">
        <v>0</v>
      </c>
      <c r="T81" s="156" t="b">
        <v>1</v>
      </c>
      <c r="U81" s="157">
        <v>44760.0</v>
      </c>
      <c r="V81" s="158">
        <v>0.9465277777777777</v>
      </c>
      <c r="W81" s="149" t="s">
        <v>203</v>
      </c>
      <c r="X81" s="51"/>
      <c r="Y81" s="155" t="b">
        <v>1</v>
      </c>
      <c r="Z81" s="121">
        <v>48.0</v>
      </c>
      <c r="AA81" s="159">
        <f t="shared" si="1"/>
        <v>2</v>
      </c>
      <c r="AB81" s="160" t="b">
        <v>0</v>
      </c>
      <c r="AC81" s="121">
        <v>46.0</v>
      </c>
      <c r="AD81" s="121">
        <v>0.0</v>
      </c>
      <c r="AE81" s="184">
        <v>0.0</v>
      </c>
      <c r="AF81" s="161">
        <v>0.0</v>
      </c>
      <c r="AG81" s="121">
        <v>2.0</v>
      </c>
      <c r="AH81" s="162">
        <v>2.0</v>
      </c>
      <c r="AI81" s="163">
        <v>1.0</v>
      </c>
      <c r="AJ81" s="121" t="b">
        <v>0</v>
      </c>
      <c r="AK81" s="164">
        <v>46.0</v>
      </c>
      <c r="AL81" s="121">
        <v>4.0</v>
      </c>
      <c r="AM81" s="121">
        <v>2.0</v>
      </c>
      <c r="AN81" s="159" t="str">
        <f>IFNA(VLOOKUP($A81,'Tube Reactions'!$J$2:$K96,2,FALSE),"")</f>
        <v/>
      </c>
      <c r="AO81" s="165" t="str">
        <f t="shared" si="2"/>
        <v>NOT EQUAL</v>
      </c>
      <c r="AP81" s="166" t="str">
        <f t="shared" si="3"/>
        <v>Absent</v>
      </c>
      <c r="AQ81" s="167" t="b">
        <f t="shared" si="4"/>
        <v>0</v>
      </c>
      <c r="AR81" s="185">
        <v>80.0</v>
      </c>
      <c r="AS81" s="169"/>
      <c r="AT81" s="149"/>
      <c r="AU81" s="121" t="s">
        <v>204</v>
      </c>
      <c r="AV81" s="197">
        <v>48.0</v>
      </c>
      <c r="AW81" s="121" t="b">
        <v>0</v>
      </c>
      <c r="AX81" s="171"/>
      <c r="AY81" s="159">
        <f t="shared" si="5"/>
        <v>2</v>
      </c>
      <c r="AZ81" s="172"/>
      <c r="BA81" s="173" t="b">
        <v>0</v>
      </c>
      <c r="BB81" s="165" t="str">
        <f t="shared" si="6"/>
        <v/>
      </c>
      <c r="BC81" s="159" t="str">
        <f t="shared" si="7"/>
        <v/>
      </c>
      <c r="BD81" s="159" t="str">
        <f t="shared" si="8"/>
        <v/>
      </c>
      <c r="BE81" s="174"/>
      <c r="BF81" s="109"/>
      <c r="BG81" s="149"/>
      <c r="BH81" s="121"/>
      <c r="BI81" s="121"/>
      <c r="BJ81" s="121"/>
      <c r="BK81" s="121"/>
      <c r="BL81" s="198"/>
      <c r="BM81" s="184"/>
      <c r="BN81" s="121"/>
      <c r="BO81" s="121"/>
      <c r="BP81" s="121"/>
      <c r="BQ81" s="121"/>
      <c r="BR81" s="149"/>
      <c r="BS81" s="109" t="str">
        <f t="shared" si="17"/>
        <v/>
      </c>
      <c r="BT81" s="109" t="str">
        <f t="shared" si="20"/>
        <v/>
      </c>
      <c r="BU81" s="199"/>
      <c r="BV81" s="180">
        <f t="shared" si="19"/>
        <v>0</v>
      </c>
      <c r="BW81" s="109"/>
      <c r="BX81" s="109"/>
      <c r="BY81" s="109"/>
      <c r="BZ81" s="109"/>
      <c r="CA81" s="109"/>
      <c r="CB81" s="109"/>
      <c r="CC81" s="109"/>
    </row>
    <row r="82">
      <c r="A82" s="147" t="str">
        <f>CONCATENATE("RUN-",'Process Ref'!$A$1,"_",TEXT(U82,"YYYY-MM-DD"),"_RFR-",TEXT(AR82,"000"),IF(EXACT(W82,"Initial"),"",CONCATENATE("_",W82)))</f>
        <v>RUN-COMB_2022-07-18_RFR-081_Re-run</v>
      </c>
      <c r="B82" s="148">
        <v>44760.861226851855</v>
      </c>
      <c r="C82" s="149"/>
      <c r="D82" s="149" t="s">
        <v>199</v>
      </c>
      <c r="E82" s="121">
        <v>2.0</v>
      </c>
      <c r="F82" s="149" t="s">
        <v>477</v>
      </c>
      <c r="G82" s="150" t="s">
        <v>478</v>
      </c>
      <c r="H82" s="150"/>
      <c r="I82" s="150" t="s">
        <v>479</v>
      </c>
      <c r="J82" s="55"/>
      <c r="K82" s="152"/>
      <c r="L82" s="149"/>
      <c r="M82" s="153">
        <v>1.2</v>
      </c>
      <c r="N82" s="153"/>
      <c r="O82" s="154"/>
      <c r="P82" s="155" t="b">
        <v>0</v>
      </c>
      <c r="Q82" s="155" t="b">
        <v>0</v>
      </c>
      <c r="R82" s="51"/>
      <c r="S82" s="155" t="b">
        <v>0</v>
      </c>
      <c r="T82" s="156" t="b">
        <v>1</v>
      </c>
      <c r="U82" s="157">
        <v>44760.0</v>
      </c>
      <c r="V82" s="158">
        <v>0.96875</v>
      </c>
      <c r="W82" s="149" t="s">
        <v>216</v>
      </c>
      <c r="X82" s="51"/>
      <c r="Y82" s="155" t="b">
        <v>0</v>
      </c>
      <c r="Z82" s="121">
        <v>8.0</v>
      </c>
      <c r="AA82" s="159">
        <f t="shared" si="1"/>
        <v>6</v>
      </c>
      <c r="AB82" s="160" t="b">
        <v>1</v>
      </c>
      <c r="AC82" s="121">
        <v>6.0</v>
      </c>
      <c r="AD82" s="121">
        <v>0.0</v>
      </c>
      <c r="AE82" s="184">
        <v>0.0</v>
      </c>
      <c r="AF82" s="161">
        <v>0.0</v>
      </c>
      <c r="AG82" s="121">
        <v>2.0</v>
      </c>
      <c r="AH82" s="162">
        <v>1.0</v>
      </c>
      <c r="AI82" s="163">
        <v>1.0</v>
      </c>
      <c r="AJ82" s="121" t="b">
        <v>0</v>
      </c>
      <c r="AK82" s="164">
        <v>2.0</v>
      </c>
      <c r="AL82" s="121">
        <v>4.0</v>
      </c>
      <c r="AM82" s="55" t="str">
        <f>IF(EXACT(W82,"Initial"),"Audit","")</f>
        <v/>
      </c>
      <c r="AN82" s="159" t="str">
        <f>IFNA(VLOOKUP($A82,'Tube Reactions'!$J$2:$K96,2,FALSE),"")</f>
        <v/>
      </c>
      <c r="AO82" s="165" t="str">
        <f t="shared" si="2"/>
        <v/>
      </c>
      <c r="AP82" s="166" t="str">
        <f t="shared" si="3"/>
        <v>Absent</v>
      </c>
      <c r="AQ82" s="167" t="b">
        <f t="shared" si="4"/>
        <v>0</v>
      </c>
      <c r="AR82" s="185">
        <v>81.0</v>
      </c>
      <c r="AS82" s="169"/>
      <c r="AT82" s="149"/>
      <c r="AU82" s="121" t="s">
        <v>204</v>
      </c>
      <c r="AV82" s="197">
        <v>8.0</v>
      </c>
      <c r="AW82" s="121" t="b">
        <v>0</v>
      </c>
      <c r="AX82" s="171"/>
      <c r="AY82" s="159">
        <f t="shared" si="5"/>
        <v>2</v>
      </c>
      <c r="AZ82" s="172"/>
      <c r="BA82" s="173" t="b">
        <v>0</v>
      </c>
      <c r="BB82" s="165" t="str">
        <f t="shared" si="6"/>
        <v/>
      </c>
      <c r="BC82" s="159" t="str">
        <f t="shared" si="7"/>
        <v/>
      </c>
      <c r="BD82" s="159" t="str">
        <f t="shared" si="8"/>
        <v/>
      </c>
      <c r="BE82" s="174"/>
      <c r="BF82" s="109"/>
      <c r="BG82" s="149"/>
      <c r="BH82" s="121"/>
      <c r="BI82" s="121"/>
      <c r="BJ82" s="121"/>
      <c r="BK82" s="121"/>
      <c r="BL82" s="198"/>
      <c r="BM82" s="184"/>
      <c r="BN82" s="121"/>
      <c r="BO82" s="121"/>
      <c r="BP82" s="121"/>
      <c r="BQ82" s="121"/>
      <c r="BR82" s="149"/>
      <c r="BS82" s="109" t="str">
        <f t="shared" si="17"/>
        <v/>
      </c>
      <c r="BT82" s="109" t="str">
        <f t="shared" si="20"/>
        <v/>
      </c>
      <c r="BU82" s="199"/>
      <c r="BV82" s="180" t="str">
        <f t="shared" si="19"/>
        <v/>
      </c>
      <c r="BW82" s="109"/>
      <c r="BX82" s="109"/>
      <c r="BY82" s="109"/>
      <c r="BZ82" s="109"/>
      <c r="CA82" s="109"/>
      <c r="CB82" s="109"/>
      <c r="CC82" s="109"/>
    </row>
    <row r="83">
      <c r="A83" s="147" t="str">
        <f>CONCATENATE("RUN-",'Process Ref'!$A$1,"_",TEXT(U83,"YYYY-MM-DD"),"_RFR-",TEXT(AR83,"000"),IF(EXACT(W83,"Initial"),"",CONCATENATE("_",W83)))</f>
        <v>RUN-COMB_2022-07-19_RFR-082</v>
      </c>
      <c r="B83" s="148">
        <v>44761.35435185185</v>
      </c>
      <c r="C83" s="149"/>
      <c r="D83" s="149" t="s">
        <v>199</v>
      </c>
      <c r="E83" s="121">
        <v>33.0</v>
      </c>
      <c r="F83" s="149" t="s">
        <v>480</v>
      </c>
      <c r="G83" s="150" t="s">
        <v>481</v>
      </c>
      <c r="H83" s="150"/>
      <c r="I83" s="150" t="s">
        <v>482</v>
      </c>
      <c r="J83" s="121">
        <v>1.0</v>
      </c>
      <c r="K83" s="152"/>
      <c r="L83" s="149"/>
      <c r="M83" s="153"/>
      <c r="N83" s="153">
        <v>2.2</v>
      </c>
      <c r="O83" s="153"/>
      <c r="P83" s="155" t="b">
        <v>1</v>
      </c>
      <c r="Q83" s="155" t="b">
        <v>0</v>
      </c>
      <c r="R83" s="51"/>
      <c r="S83" s="155" t="b">
        <v>0</v>
      </c>
      <c r="T83" s="156" t="b">
        <v>1</v>
      </c>
      <c r="U83" s="157">
        <v>44761.0</v>
      </c>
      <c r="V83" s="158">
        <v>0.4791666666666667</v>
      </c>
      <c r="W83" s="149" t="s">
        <v>203</v>
      </c>
      <c r="X83" s="149" t="s">
        <v>483</v>
      </c>
      <c r="Y83" s="155" t="b">
        <v>0</v>
      </c>
      <c r="Z83" s="121">
        <v>35.0</v>
      </c>
      <c r="AA83" s="159">
        <f t="shared" si="1"/>
        <v>2</v>
      </c>
      <c r="AB83" s="160" t="b">
        <v>0</v>
      </c>
      <c r="AC83" s="121">
        <v>33.0</v>
      </c>
      <c r="AD83" s="121">
        <v>0.0</v>
      </c>
      <c r="AE83" s="184">
        <v>0.0</v>
      </c>
      <c r="AF83" s="161">
        <v>0.0</v>
      </c>
      <c r="AG83" s="121">
        <v>1.0</v>
      </c>
      <c r="AH83" s="162">
        <v>1.0</v>
      </c>
      <c r="AI83" s="163">
        <v>1.0</v>
      </c>
      <c r="AJ83" s="121" t="b">
        <v>0</v>
      </c>
      <c r="AK83" s="164">
        <v>33.0</v>
      </c>
      <c r="AL83" s="121">
        <v>4.0</v>
      </c>
      <c r="AM83" s="121">
        <v>1.0</v>
      </c>
      <c r="AN83" s="159" t="str">
        <f>IFNA(VLOOKUP($A83,'Tube Reactions'!$J$2:$K96,2,FALSE),"")</f>
        <v/>
      </c>
      <c r="AO83" s="165" t="str">
        <f t="shared" si="2"/>
        <v>NOT EQUAL</v>
      </c>
      <c r="AP83" s="166" t="str">
        <f t="shared" si="3"/>
        <v>Absent</v>
      </c>
      <c r="AQ83" s="167" t="b">
        <f t="shared" si="4"/>
        <v>0</v>
      </c>
      <c r="AR83" s="185">
        <v>82.0</v>
      </c>
      <c r="AS83" s="169"/>
      <c r="AT83" s="149"/>
      <c r="AU83" s="121" t="s">
        <v>204</v>
      </c>
      <c r="AV83" s="197">
        <v>35.0</v>
      </c>
      <c r="AW83" s="121" t="b">
        <v>0</v>
      </c>
      <c r="AX83" s="171"/>
      <c r="AY83" s="159">
        <f t="shared" si="5"/>
        <v>2</v>
      </c>
      <c r="AZ83" s="172"/>
      <c r="BA83" s="173" t="b">
        <v>0</v>
      </c>
      <c r="BB83" s="165" t="str">
        <f t="shared" si="6"/>
        <v/>
      </c>
      <c r="BC83" s="159" t="str">
        <f t="shared" si="7"/>
        <v/>
      </c>
      <c r="BD83" s="159" t="str">
        <f t="shared" si="8"/>
        <v/>
      </c>
      <c r="BE83" s="174"/>
      <c r="BF83" s="109"/>
      <c r="BG83" s="149"/>
      <c r="BH83" s="121"/>
      <c r="BI83" s="121"/>
      <c r="BJ83" s="121"/>
      <c r="BK83" s="121"/>
      <c r="BL83" s="198"/>
      <c r="BM83" s="184"/>
      <c r="BN83" s="121"/>
      <c r="BO83" s="121"/>
      <c r="BP83" s="121"/>
      <c r="BQ83" s="121"/>
      <c r="BR83" s="149"/>
      <c r="BS83" s="109" t="str">
        <f t="shared" si="17"/>
        <v/>
      </c>
      <c r="BT83" s="109" t="str">
        <f t="shared" si="20"/>
        <v/>
      </c>
      <c r="BU83" s="199"/>
      <c r="BV83" s="180">
        <f t="shared" si="19"/>
        <v>0</v>
      </c>
      <c r="BW83" s="109"/>
      <c r="BX83" s="109"/>
      <c r="BY83" s="109"/>
      <c r="BZ83" s="109"/>
      <c r="CA83" s="109"/>
      <c r="CB83" s="109"/>
      <c r="CC83" s="109"/>
    </row>
    <row r="84">
      <c r="A84" s="147" t="str">
        <f>CONCATENATE("RUN-",'Process Ref'!$A$1,"_",TEXT(U84,"YYYY-MM-DD"),"_RFR-",TEXT(AR84,"000"),IF(EXACT(W84,"Initial"),"",CONCATENATE("_",W84)))</f>
        <v>RUN-COMB_2022-07-19_RFR-083_Re-run</v>
      </c>
      <c r="B84" s="148">
        <v>44761.37069444444</v>
      </c>
      <c r="C84" s="149"/>
      <c r="D84" s="149" t="s">
        <v>199</v>
      </c>
      <c r="E84" s="121">
        <v>1.0</v>
      </c>
      <c r="F84" s="149" t="s">
        <v>484</v>
      </c>
      <c r="G84" s="150" t="s">
        <v>485</v>
      </c>
      <c r="H84" s="150"/>
      <c r="I84" s="150" t="s">
        <v>486</v>
      </c>
      <c r="J84" s="55"/>
      <c r="K84" s="152"/>
      <c r="L84" s="149"/>
      <c r="M84" s="153">
        <v>1.2</v>
      </c>
      <c r="N84" s="153"/>
      <c r="O84" s="154"/>
      <c r="P84" s="155" t="b">
        <v>0</v>
      </c>
      <c r="Q84" s="155" t="b">
        <v>0</v>
      </c>
      <c r="R84" s="51"/>
      <c r="S84" s="155" t="b">
        <v>0</v>
      </c>
      <c r="T84" s="156" t="b">
        <v>1</v>
      </c>
      <c r="U84" s="157">
        <v>44761.0</v>
      </c>
      <c r="V84" s="158">
        <v>0.49444444444444446</v>
      </c>
      <c r="W84" s="149" t="s">
        <v>216</v>
      </c>
      <c r="X84" s="51"/>
      <c r="Y84" s="155" t="b">
        <v>0</v>
      </c>
      <c r="Z84" s="121">
        <v>5.0</v>
      </c>
      <c r="AA84" s="159">
        <f t="shared" si="1"/>
        <v>4</v>
      </c>
      <c r="AB84" s="160" t="b">
        <v>1</v>
      </c>
      <c r="AC84" s="121">
        <v>3.0</v>
      </c>
      <c r="AD84" s="121">
        <v>0.0</v>
      </c>
      <c r="AE84" s="184">
        <v>0.0</v>
      </c>
      <c r="AF84" s="161">
        <v>0.0</v>
      </c>
      <c r="AG84" s="121">
        <v>3.0</v>
      </c>
      <c r="AH84" s="162">
        <v>1.0</v>
      </c>
      <c r="AI84" s="163">
        <v>1.0</v>
      </c>
      <c r="AJ84" s="121" t="b">
        <v>0</v>
      </c>
      <c r="AK84" s="164">
        <v>1.0</v>
      </c>
      <c r="AL84" s="121">
        <v>4.0</v>
      </c>
      <c r="AM84" s="55" t="str">
        <f>IF(EXACT(W84,"Initial"),"Audit","")</f>
        <v/>
      </c>
      <c r="AN84" s="159" t="str">
        <f>IFNA(VLOOKUP($A84,'Tube Reactions'!$J$2:$K96,2,FALSE),"")</f>
        <v/>
      </c>
      <c r="AO84" s="165" t="str">
        <f t="shared" si="2"/>
        <v/>
      </c>
      <c r="AP84" s="166" t="str">
        <f t="shared" si="3"/>
        <v>Absent</v>
      </c>
      <c r="AQ84" s="167" t="b">
        <f t="shared" si="4"/>
        <v>0</v>
      </c>
      <c r="AR84" s="185">
        <v>83.0</v>
      </c>
      <c r="AS84" s="169"/>
      <c r="AT84" s="149"/>
      <c r="AU84" s="121" t="s">
        <v>204</v>
      </c>
      <c r="AV84" s="121">
        <v>5.0</v>
      </c>
      <c r="AW84" s="149" t="b">
        <v>0</v>
      </c>
      <c r="AX84" s="171"/>
      <c r="AY84" s="159">
        <f t="shared" si="5"/>
        <v>2</v>
      </c>
      <c r="AZ84" s="172"/>
      <c r="BA84" s="173" t="b">
        <v>0</v>
      </c>
      <c r="BB84" s="165" t="str">
        <f t="shared" si="6"/>
        <v/>
      </c>
      <c r="BC84" s="159" t="str">
        <f t="shared" si="7"/>
        <v/>
      </c>
      <c r="BD84" s="159" t="str">
        <f t="shared" si="8"/>
        <v/>
      </c>
      <c r="BE84" s="174"/>
      <c r="BF84" s="109"/>
      <c r="BG84" s="149"/>
      <c r="BH84" s="121"/>
      <c r="BI84" s="121"/>
      <c r="BJ84" s="121"/>
      <c r="BK84" s="121"/>
      <c r="BL84" s="198"/>
      <c r="BM84" s="184"/>
      <c r="BN84" s="121"/>
      <c r="BO84" s="121"/>
      <c r="BP84" s="121"/>
      <c r="BQ84" s="121"/>
      <c r="BR84" s="149"/>
      <c r="BS84" s="109" t="str">
        <f t="shared" si="17"/>
        <v/>
      </c>
      <c r="BT84" s="109" t="str">
        <f t="shared" si="20"/>
        <v/>
      </c>
      <c r="BU84" s="199"/>
      <c r="BV84" s="180" t="str">
        <f t="shared" si="19"/>
        <v/>
      </c>
      <c r="BW84" s="109"/>
      <c r="BX84" s="109"/>
      <c r="BY84" s="109"/>
      <c r="BZ84" s="109"/>
      <c r="CA84" s="109"/>
      <c r="CB84" s="109"/>
      <c r="CC84" s="109"/>
    </row>
    <row r="85">
      <c r="A85" s="147" t="str">
        <f>CONCATENATE("RUN-",'Process Ref'!$A$1,"_",TEXT(U85,"YYYY-MM-DD"),"_RFR-",TEXT(AR85,"000"),IF(EXACT(W85,"Initial"),"",CONCATENATE("_",W85)))</f>
        <v>RUN-COMB_2022-07-20_RFR-084</v>
      </c>
      <c r="B85" s="148">
        <v>44762.5759375</v>
      </c>
      <c r="C85" s="149"/>
      <c r="D85" s="149" t="s">
        <v>199</v>
      </c>
      <c r="E85" s="121">
        <v>27.0</v>
      </c>
      <c r="F85" s="149" t="s">
        <v>487</v>
      </c>
      <c r="G85" s="150" t="s">
        <v>488</v>
      </c>
      <c r="H85" s="150"/>
      <c r="I85" s="150" t="s">
        <v>489</v>
      </c>
      <c r="J85" s="55"/>
      <c r="K85" s="152"/>
      <c r="L85" s="149"/>
      <c r="M85" s="153"/>
      <c r="N85" s="153"/>
      <c r="O85" s="154"/>
      <c r="P85" s="155" t="b">
        <v>0</v>
      </c>
      <c r="Q85" s="155" t="b">
        <v>0</v>
      </c>
      <c r="R85" s="51"/>
      <c r="S85" s="155" t="b">
        <v>0</v>
      </c>
      <c r="T85" s="156" t="b">
        <v>0</v>
      </c>
      <c r="U85" s="157">
        <v>44762.0</v>
      </c>
      <c r="V85" s="158">
        <v>0.4895833333333333</v>
      </c>
      <c r="W85" s="149" t="s">
        <v>203</v>
      </c>
      <c r="X85" s="51"/>
      <c r="Y85" s="155" t="b">
        <v>0</v>
      </c>
      <c r="Z85" s="121">
        <v>29.0</v>
      </c>
      <c r="AA85" s="159">
        <f t="shared" si="1"/>
        <v>2</v>
      </c>
      <c r="AB85" s="160" t="b">
        <v>0</v>
      </c>
      <c r="AC85" s="121">
        <v>27.0</v>
      </c>
      <c r="AD85" s="121">
        <v>0.0</v>
      </c>
      <c r="AE85" s="184">
        <v>0.0</v>
      </c>
      <c r="AF85" s="161">
        <v>0.0</v>
      </c>
      <c r="AG85" s="121">
        <v>0.0</v>
      </c>
      <c r="AH85" s="162">
        <v>0.0</v>
      </c>
      <c r="AI85" s="163">
        <v>0.0</v>
      </c>
      <c r="AJ85" s="121" t="b">
        <v>0</v>
      </c>
      <c r="AK85" s="164">
        <v>27.0</v>
      </c>
      <c r="AL85" s="121">
        <v>0.0</v>
      </c>
      <c r="AM85" s="121">
        <v>0.0</v>
      </c>
      <c r="AN85" s="159" t="str">
        <f>IFNA(VLOOKUP($A85,'Tube Reactions'!$J$2:$K96,2,FALSE),"")</f>
        <v/>
      </c>
      <c r="AO85" s="165" t="str">
        <f t="shared" si="2"/>
        <v/>
      </c>
      <c r="AP85" s="166" t="str">
        <f t="shared" si="3"/>
        <v>Absent</v>
      </c>
      <c r="AQ85" s="167" t="b">
        <f t="shared" si="4"/>
        <v>0</v>
      </c>
      <c r="AR85" s="185">
        <v>84.0</v>
      </c>
      <c r="AS85" s="169"/>
      <c r="AT85" s="149"/>
      <c r="AU85" s="121" t="s">
        <v>204</v>
      </c>
      <c r="AV85" s="197">
        <v>29.0</v>
      </c>
      <c r="AW85" s="121" t="b">
        <v>1</v>
      </c>
      <c r="AX85" s="171"/>
      <c r="AY85" s="159">
        <f t="shared" si="5"/>
        <v>2</v>
      </c>
      <c r="AZ85" s="172"/>
      <c r="BA85" s="173" t="b">
        <v>1</v>
      </c>
      <c r="BB85" s="165" t="b">
        <f t="shared" si="6"/>
        <v>1</v>
      </c>
      <c r="BC85" s="159" t="b">
        <f t="shared" si="7"/>
        <v>1</v>
      </c>
      <c r="BD85" s="159">
        <f t="shared" si="8"/>
        <v>27</v>
      </c>
      <c r="BE85" s="174"/>
      <c r="BF85" s="109"/>
      <c r="BG85" s="149"/>
      <c r="BH85" s="121"/>
      <c r="BI85" s="121"/>
      <c r="BJ85" s="121"/>
      <c r="BK85" s="121"/>
      <c r="BL85" s="198"/>
      <c r="BM85" s="184"/>
      <c r="BN85" s="121"/>
      <c r="BO85" s="121"/>
      <c r="BP85" s="121"/>
      <c r="BQ85" s="121"/>
      <c r="BR85" s="149"/>
      <c r="BS85" s="109" t="str">
        <f t="shared" si="17"/>
        <v/>
      </c>
      <c r="BT85" s="109" t="str">
        <f t="shared" si="20"/>
        <v/>
      </c>
      <c r="BU85" s="199"/>
      <c r="BV85" s="180">
        <f t="shared" si="19"/>
        <v>0</v>
      </c>
      <c r="BW85" s="109"/>
      <c r="BX85" s="109"/>
      <c r="BY85" s="109"/>
      <c r="BZ85" s="109"/>
      <c r="CA85" s="109"/>
      <c r="CB85" s="109"/>
      <c r="CC85" s="109"/>
    </row>
    <row r="86">
      <c r="A86" s="147" t="str">
        <f>CONCATENATE("RUN-",'Process Ref'!$A$1,"_",TEXT(U86,"YYYY-MM-DD"),"_RFR-",TEXT(AR86,"000"),IF(EXACT(W86,"Initial"),"",CONCATENATE("_",W86)))</f>
        <v>RUN-COMB_2022-07-22_RFR-085</v>
      </c>
      <c r="B86" s="148">
        <v>44764.35763888889</v>
      </c>
      <c r="C86" s="149"/>
      <c r="D86" s="149" t="s">
        <v>199</v>
      </c>
      <c r="E86" s="121">
        <v>37.0</v>
      </c>
      <c r="F86" s="149" t="s">
        <v>490</v>
      </c>
      <c r="G86" s="150" t="s">
        <v>491</v>
      </c>
      <c r="H86" s="150"/>
      <c r="I86" s="150" t="s">
        <v>492</v>
      </c>
      <c r="J86" s="121">
        <v>2.0</v>
      </c>
      <c r="K86" s="182" t="s">
        <v>493</v>
      </c>
      <c r="L86" s="149"/>
      <c r="M86" s="153"/>
      <c r="N86" s="153">
        <v>2.2</v>
      </c>
      <c r="O86" s="154"/>
      <c r="P86" s="155" t="b">
        <v>1</v>
      </c>
      <c r="Q86" s="155" t="b">
        <v>0</v>
      </c>
      <c r="R86" s="51"/>
      <c r="S86" s="155" t="b">
        <v>0</v>
      </c>
      <c r="T86" s="156" t="b">
        <v>1</v>
      </c>
      <c r="U86" s="157">
        <v>44764.0</v>
      </c>
      <c r="V86" s="158">
        <v>0.4791666666666667</v>
      </c>
      <c r="W86" s="149" t="s">
        <v>203</v>
      </c>
      <c r="X86" s="51"/>
      <c r="Y86" s="155" t="b">
        <v>0</v>
      </c>
      <c r="Z86" s="121">
        <v>39.0</v>
      </c>
      <c r="AA86" s="159">
        <f t="shared" si="1"/>
        <v>2</v>
      </c>
      <c r="AB86" s="160" t="b">
        <v>0</v>
      </c>
      <c r="AC86" s="121">
        <v>37.0</v>
      </c>
      <c r="AD86" s="121">
        <v>0.0</v>
      </c>
      <c r="AE86" s="184">
        <v>0.0</v>
      </c>
      <c r="AF86" s="161">
        <v>0.0</v>
      </c>
      <c r="AG86" s="121">
        <v>2.0</v>
      </c>
      <c r="AH86" s="162">
        <v>2.0</v>
      </c>
      <c r="AI86" s="163">
        <v>2.0</v>
      </c>
      <c r="AJ86" s="121" t="b">
        <v>0</v>
      </c>
      <c r="AK86" s="164">
        <v>37.0</v>
      </c>
      <c r="AL86" s="121">
        <v>4.0</v>
      </c>
      <c r="AM86" s="121">
        <v>2.0</v>
      </c>
      <c r="AN86" s="159" t="str">
        <f>IFNA(VLOOKUP($A86,'Tube Reactions'!$J$2:$K96,2,FALSE),"")</f>
        <v/>
      </c>
      <c r="AO86" s="165" t="str">
        <f t="shared" si="2"/>
        <v>NOT EQUAL</v>
      </c>
      <c r="AP86" s="166" t="str">
        <f t="shared" si="3"/>
        <v>Absent</v>
      </c>
      <c r="AQ86" s="167" t="b">
        <f t="shared" si="4"/>
        <v>0</v>
      </c>
      <c r="AR86" s="185">
        <v>85.0</v>
      </c>
      <c r="AS86" s="169"/>
      <c r="AT86" s="149"/>
      <c r="AU86" s="121" t="s">
        <v>204</v>
      </c>
      <c r="AV86" s="197">
        <v>39.0</v>
      </c>
      <c r="AW86" s="121" t="b">
        <v>0</v>
      </c>
      <c r="AX86" s="171"/>
      <c r="AY86" s="159">
        <f t="shared" si="5"/>
        <v>2</v>
      </c>
      <c r="AZ86" s="172"/>
      <c r="BA86" s="173" t="b">
        <v>1</v>
      </c>
      <c r="BB86" s="165" t="b">
        <f t="shared" si="6"/>
        <v>1</v>
      </c>
      <c r="BC86" s="159">
        <f t="shared" si="7"/>
        <v>4</v>
      </c>
      <c r="BD86" s="159">
        <f t="shared" si="8"/>
        <v>37</v>
      </c>
      <c r="BE86" s="174"/>
      <c r="BF86" s="109"/>
      <c r="BG86" s="149"/>
      <c r="BH86" s="121"/>
      <c r="BI86" s="121"/>
      <c r="BJ86" s="121"/>
      <c r="BK86" s="121"/>
      <c r="BL86" s="198"/>
      <c r="BM86" s="184"/>
      <c r="BN86" s="121"/>
      <c r="BO86" s="121"/>
      <c r="BP86" s="121"/>
      <c r="BQ86" s="121"/>
      <c r="BR86" s="149"/>
      <c r="BS86" s="109" t="str">
        <f t="shared" si="17"/>
        <v/>
      </c>
      <c r="BT86" s="109" t="str">
        <f t="shared" si="20"/>
        <v/>
      </c>
      <c r="BU86" s="199"/>
      <c r="BV86" s="180">
        <f t="shared" si="19"/>
        <v>0</v>
      </c>
      <c r="BW86" s="109"/>
      <c r="BX86" s="109"/>
      <c r="BY86" s="109"/>
      <c r="BZ86" s="109"/>
      <c r="CA86" s="109"/>
      <c r="CB86" s="109"/>
      <c r="CC86" s="109"/>
    </row>
    <row r="87">
      <c r="A87" s="147" t="str">
        <f>CONCATENATE("RUN-",'Process Ref'!$A$1,"_",TEXT(U87,"YYYY-MM-DD"),"_RFR-",TEXT(AR87,"000"),IF(EXACT(W87,"Initial"),"",CONCATENATE("_",W87)))</f>
        <v>RUN-COMB_2022-07-21_RFR-086</v>
      </c>
      <c r="B87" s="148">
        <v>44764.37125</v>
      </c>
      <c r="C87" s="149"/>
      <c r="D87" s="149" t="s">
        <v>199</v>
      </c>
      <c r="E87" s="121">
        <v>59.0</v>
      </c>
      <c r="F87" s="149" t="s">
        <v>494</v>
      </c>
      <c r="G87" s="150" t="s">
        <v>495</v>
      </c>
      <c r="H87" s="150"/>
      <c r="I87" s="150" t="s">
        <v>496</v>
      </c>
      <c r="J87" s="55"/>
      <c r="K87" s="152"/>
      <c r="L87" s="149"/>
      <c r="M87" s="153"/>
      <c r="N87" s="153"/>
      <c r="O87" s="154"/>
      <c r="P87" s="155" t="b">
        <v>0</v>
      </c>
      <c r="Q87" s="155" t="b">
        <v>0</v>
      </c>
      <c r="R87" s="51"/>
      <c r="S87" s="155" t="b">
        <v>0</v>
      </c>
      <c r="T87" s="156" t="b">
        <v>0</v>
      </c>
      <c r="U87" s="157">
        <v>44763.0</v>
      </c>
      <c r="V87" s="158">
        <v>0.4652777777777778</v>
      </c>
      <c r="W87" s="149" t="s">
        <v>203</v>
      </c>
      <c r="X87" s="51"/>
      <c r="Y87" s="155" t="b">
        <v>0</v>
      </c>
      <c r="Z87" s="121">
        <v>59.0</v>
      </c>
      <c r="AA87" s="159">
        <f t="shared" si="1"/>
        <v>0</v>
      </c>
      <c r="AB87" s="160" t="b">
        <v>1</v>
      </c>
      <c r="AC87" s="121">
        <v>57.0</v>
      </c>
      <c r="AD87" s="121">
        <v>0.0</v>
      </c>
      <c r="AE87" s="184">
        <v>0.0</v>
      </c>
      <c r="AF87" s="161">
        <v>0.0</v>
      </c>
      <c r="AG87" s="121">
        <v>0.0</v>
      </c>
      <c r="AH87" s="162">
        <v>0.0</v>
      </c>
      <c r="AI87" s="163">
        <v>0.0</v>
      </c>
      <c r="AJ87" s="121" t="b">
        <v>0</v>
      </c>
      <c r="AK87" s="164">
        <v>57.0</v>
      </c>
      <c r="AL87" s="121">
        <v>0.0</v>
      </c>
      <c r="AM87" s="121">
        <v>0.0</v>
      </c>
      <c r="AN87" s="159" t="str">
        <f>IFNA(VLOOKUP($A87,'Tube Reactions'!$J$2:$K96,2,FALSE),"")</f>
        <v/>
      </c>
      <c r="AO87" s="165" t="str">
        <f t="shared" si="2"/>
        <v/>
      </c>
      <c r="AP87" s="166" t="str">
        <f t="shared" si="3"/>
        <v>Absent</v>
      </c>
      <c r="AQ87" s="167" t="b">
        <f t="shared" si="4"/>
        <v>0</v>
      </c>
      <c r="AR87" s="185">
        <v>86.0</v>
      </c>
      <c r="AS87" s="169"/>
      <c r="AT87" s="149"/>
      <c r="AU87" s="121" t="s">
        <v>204</v>
      </c>
      <c r="AV87" s="121">
        <v>59.0</v>
      </c>
      <c r="AW87" s="149" t="b">
        <v>1</v>
      </c>
      <c r="AX87" s="171"/>
      <c r="AY87" s="159">
        <f t="shared" si="5"/>
        <v>2</v>
      </c>
      <c r="AZ87" s="172"/>
      <c r="BA87" s="173" t="b">
        <v>1</v>
      </c>
      <c r="BB87" s="165" t="b">
        <f t="shared" si="6"/>
        <v>1</v>
      </c>
      <c r="BC87" s="159" t="b">
        <f t="shared" si="7"/>
        <v>1</v>
      </c>
      <c r="BD87" s="159">
        <f t="shared" si="8"/>
        <v>57</v>
      </c>
      <c r="BE87" s="174"/>
      <c r="BF87" s="109"/>
      <c r="BG87" s="149"/>
      <c r="BH87" s="121"/>
      <c r="BI87" s="121"/>
      <c r="BJ87" s="121"/>
      <c r="BK87" s="121"/>
      <c r="BL87" s="198"/>
      <c r="BM87" s="184"/>
      <c r="BN87" s="121"/>
      <c r="BO87" s="121"/>
      <c r="BP87" s="121"/>
      <c r="BQ87" s="121"/>
      <c r="BR87" s="149"/>
      <c r="BS87" s="109" t="str">
        <f t="shared" si="17"/>
        <v/>
      </c>
      <c r="BT87" s="109" t="str">
        <f t="shared" si="20"/>
        <v/>
      </c>
      <c r="BU87" s="199"/>
      <c r="BV87" s="180">
        <f t="shared" si="19"/>
        <v>0</v>
      </c>
      <c r="BW87" s="109"/>
      <c r="BX87" s="109"/>
      <c r="BY87" s="109"/>
      <c r="BZ87" s="109"/>
      <c r="CA87" s="109"/>
      <c r="CB87" s="109"/>
      <c r="CC87" s="109"/>
    </row>
    <row r="88">
      <c r="A88" s="147" t="str">
        <f>CONCATENATE("RUN-",'Process Ref'!$A$1,"_",TEXT(U88,"YYYY-MM-DD"),"_RFR-",TEXT(AR88,"000"),IF(EXACT(W88,"Initial"),"",CONCATENATE("_",W88)))</f>
        <v>RUN-COMB_2022-07-22_RFR-087_Re-run</v>
      </c>
      <c r="B88" s="148">
        <v>44764.3921412037</v>
      </c>
      <c r="C88" s="149"/>
      <c r="D88" s="149" t="s">
        <v>199</v>
      </c>
      <c r="E88" s="121">
        <v>2.0</v>
      </c>
      <c r="F88" s="149" t="s">
        <v>497</v>
      </c>
      <c r="G88" s="150" t="s">
        <v>498</v>
      </c>
      <c r="H88" s="150"/>
      <c r="I88" s="150" t="s">
        <v>499</v>
      </c>
      <c r="J88" s="55"/>
      <c r="K88" s="152"/>
      <c r="L88" s="149"/>
      <c r="M88" s="153">
        <v>1.2</v>
      </c>
      <c r="N88" s="153"/>
      <c r="O88" s="154"/>
      <c r="P88" s="155" t="b">
        <v>0</v>
      </c>
      <c r="Q88" s="155" t="b">
        <v>0</v>
      </c>
      <c r="R88" s="51"/>
      <c r="S88" s="155" t="b">
        <v>0</v>
      </c>
      <c r="T88" s="156" t="b">
        <v>1</v>
      </c>
      <c r="U88" s="157">
        <v>44764.0</v>
      </c>
      <c r="V88" s="158">
        <v>0.5159722222222223</v>
      </c>
      <c r="W88" s="149" t="s">
        <v>216</v>
      </c>
      <c r="X88" s="51"/>
      <c r="Y88" s="155" t="b">
        <v>0</v>
      </c>
      <c r="Z88" s="121">
        <v>8.0</v>
      </c>
      <c r="AA88" s="159">
        <f t="shared" si="1"/>
        <v>6</v>
      </c>
      <c r="AB88" s="160" t="b">
        <v>1</v>
      </c>
      <c r="AC88" s="121">
        <v>6.0</v>
      </c>
      <c r="AD88" s="121">
        <v>0.0</v>
      </c>
      <c r="AE88" s="184">
        <v>0.0</v>
      </c>
      <c r="AF88" s="161">
        <v>0.0</v>
      </c>
      <c r="AG88" s="121">
        <v>6.0</v>
      </c>
      <c r="AH88" s="162">
        <v>2.0</v>
      </c>
      <c r="AI88" s="163">
        <v>2.0</v>
      </c>
      <c r="AJ88" s="121" t="b">
        <v>0</v>
      </c>
      <c r="AK88" s="164">
        <v>2.0</v>
      </c>
      <c r="AL88" s="121">
        <v>4.0</v>
      </c>
      <c r="AM88" s="55" t="str">
        <f>IF(EXACT(W88,"Initial"),"Audit","")</f>
        <v/>
      </c>
      <c r="AN88" s="159" t="str">
        <f>IFNA(VLOOKUP($A88,'Tube Reactions'!$J$2:$K96,2,FALSE),"")</f>
        <v/>
      </c>
      <c r="AO88" s="165" t="str">
        <f t="shared" si="2"/>
        <v/>
      </c>
      <c r="AP88" s="166" t="str">
        <f t="shared" si="3"/>
        <v>Absent</v>
      </c>
      <c r="AQ88" s="167" t="b">
        <f t="shared" si="4"/>
        <v>0</v>
      </c>
      <c r="AR88" s="185">
        <v>87.0</v>
      </c>
      <c r="AS88" s="169"/>
      <c r="AT88" s="149"/>
      <c r="AU88" s="121" t="s">
        <v>204</v>
      </c>
      <c r="AV88" s="197">
        <v>8.0</v>
      </c>
      <c r="AW88" s="121" t="b">
        <v>0</v>
      </c>
      <c r="AX88" s="171"/>
      <c r="AY88" s="159">
        <f t="shared" si="5"/>
        <v>2</v>
      </c>
      <c r="AZ88" s="172"/>
      <c r="BA88" s="173" t="b">
        <v>1</v>
      </c>
      <c r="BB88" s="165" t="b">
        <f t="shared" si="6"/>
        <v>0</v>
      </c>
      <c r="BC88" s="159" t="str">
        <f t="shared" si="7"/>
        <v/>
      </c>
      <c r="BD88" s="159" t="str">
        <f t="shared" si="8"/>
        <v/>
      </c>
      <c r="BE88" s="174"/>
      <c r="BF88" s="109"/>
      <c r="BG88" s="149"/>
      <c r="BH88" s="121"/>
      <c r="BI88" s="121"/>
      <c r="BJ88" s="121"/>
      <c r="BK88" s="121"/>
      <c r="BL88" s="198"/>
      <c r="BM88" s="184"/>
      <c r="BN88" s="121"/>
      <c r="BO88" s="121"/>
      <c r="BP88" s="121"/>
      <c r="BQ88" s="121"/>
      <c r="BR88" s="149"/>
      <c r="BS88" s="109" t="str">
        <f t="shared" si="17"/>
        <v/>
      </c>
      <c r="BT88" s="109" t="str">
        <f t="shared" si="20"/>
        <v/>
      </c>
      <c r="BU88" s="199"/>
      <c r="BV88" s="180" t="str">
        <f t="shared" si="19"/>
        <v/>
      </c>
      <c r="BW88" s="109"/>
      <c r="BX88" s="109"/>
      <c r="BY88" s="109"/>
      <c r="BZ88" s="109"/>
      <c r="CA88" s="109"/>
      <c r="CB88" s="109"/>
      <c r="CC88" s="109"/>
    </row>
    <row r="89">
      <c r="A89" s="147" t="str">
        <f>CONCATENATE("RUN-",'Process Ref'!$A$1,"_",TEXT(U89,"YYYY-MM-DD"),"_RFR-",TEXT(AR89,"000"),IF(EXACT(W89,"Initial"),"",CONCATENATE("_",W89)))</f>
        <v>RUN-COMB_2022-08-01_RFR-088</v>
      </c>
      <c r="B89" s="148">
        <v>44774.760775462964</v>
      </c>
      <c r="C89" s="149"/>
      <c r="D89" s="149" t="s">
        <v>199</v>
      </c>
      <c r="E89" s="121">
        <v>24.0</v>
      </c>
      <c r="F89" s="149" t="s">
        <v>500</v>
      </c>
      <c r="G89" s="150" t="s">
        <v>501</v>
      </c>
      <c r="H89" s="150"/>
      <c r="I89" s="150" t="s">
        <v>502</v>
      </c>
      <c r="J89" s="121">
        <v>1.0</v>
      </c>
      <c r="K89" s="182" t="s">
        <v>503</v>
      </c>
      <c r="L89" s="149"/>
      <c r="M89" s="153"/>
      <c r="N89" s="153"/>
      <c r="O89" s="154"/>
      <c r="P89" s="155" t="b">
        <v>0</v>
      </c>
      <c r="Q89" s="155" t="b">
        <v>0</v>
      </c>
      <c r="R89" s="51"/>
      <c r="S89" s="155" t="b">
        <v>0</v>
      </c>
      <c r="T89" s="156" t="b">
        <v>1</v>
      </c>
      <c r="U89" s="157">
        <v>44774.0</v>
      </c>
      <c r="V89" s="158">
        <v>0.8854166666666666</v>
      </c>
      <c r="W89" s="149" t="s">
        <v>203</v>
      </c>
      <c r="X89" s="51"/>
      <c r="Y89" s="155" t="b">
        <v>0</v>
      </c>
      <c r="Z89" s="121">
        <v>26.0</v>
      </c>
      <c r="AA89" s="159">
        <f t="shared" si="1"/>
        <v>2</v>
      </c>
      <c r="AB89" s="160" t="b">
        <v>0</v>
      </c>
      <c r="AC89" s="121">
        <v>24.0</v>
      </c>
      <c r="AD89" s="121">
        <v>1.0</v>
      </c>
      <c r="AE89" s="184">
        <v>1.0</v>
      </c>
      <c r="AF89" s="161">
        <v>0.0</v>
      </c>
      <c r="AG89" s="121">
        <v>0.0</v>
      </c>
      <c r="AH89" s="162">
        <v>0.0</v>
      </c>
      <c r="AI89" s="163">
        <v>0.0</v>
      </c>
      <c r="AJ89" s="121" t="b">
        <v>0</v>
      </c>
      <c r="AK89" s="164">
        <v>24.0</v>
      </c>
      <c r="AL89" s="121">
        <v>1.0</v>
      </c>
      <c r="AM89" s="121">
        <v>1.0</v>
      </c>
      <c r="AN89" s="159" t="str">
        <f>IFNA(VLOOKUP($A89,'Tube Reactions'!$J$2:$K96,2,FALSE),"")</f>
        <v/>
      </c>
      <c r="AO89" s="165" t="str">
        <f t="shared" si="2"/>
        <v>NOT EQUAL</v>
      </c>
      <c r="AP89" s="166" t="str">
        <f t="shared" si="3"/>
        <v>Absent</v>
      </c>
      <c r="AQ89" s="167" t="b">
        <f t="shared" si="4"/>
        <v>0</v>
      </c>
      <c r="AR89" s="185">
        <v>88.0</v>
      </c>
      <c r="AS89" s="169"/>
      <c r="AT89" s="149"/>
      <c r="AU89" s="121" t="s">
        <v>204</v>
      </c>
      <c r="AV89" s="197">
        <v>26.0</v>
      </c>
      <c r="AW89" s="121" t="b">
        <v>0</v>
      </c>
      <c r="AX89" s="171"/>
      <c r="AY89" s="159">
        <f t="shared" si="5"/>
        <v>2</v>
      </c>
      <c r="AZ89" s="172"/>
      <c r="BA89" s="173" t="b">
        <v>0</v>
      </c>
      <c r="BB89" s="165" t="str">
        <f t="shared" si="6"/>
        <v/>
      </c>
      <c r="BC89" s="159" t="str">
        <f t="shared" si="7"/>
        <v/>
      </c>
      <c r="BD89" s="159" t="str">
        <f t="shared" si="8"/>
        <v/>
      </c>
      <c r="BE89" s="174"/>
      <c r="BF89" s="109"/>
      <c r="BG89" s="149"/>
      <c r="BH89" s="121"/>
      <c r="BI89" s="121"/>
      <c r="BJ89" s="121"/>
      <c r="BK89" s="121"/>
      <c r="BL89" s="198"/>
      <c r="BM89" s="184"/>
      <c r="BN89" s="121"/>
      <c r="BO89" s="121"/>
      <c r="BP89" s="121"/>
      <c r="BQ89" s="121"/>
      <c r="BR89" s="149"/>
      <c r="BS89" s="109" t="str">
        <f t="shared" si="17"/>
        <v/>
      </c>
      <c r="BT89" s="109" t="str">
        <f t="shared" si="20"/>
        <v/>
      </c>
      <c r="BU89" s="199"/>
      <c r="BV89" s="180">
        <f t="shared" si="19"/>
        <v>0</v>
      </c>
      <c r="BW89" s="109"/>
      <c r="BX89" s="109"/>
      <c r="BY89" s="109"/>
      <c r="BZ89" s="109"/>
      <c r="CA89" s="109"/>
      <c r="CB89" s="109"/>
      <c r="CC89" s="109"/>
    </row>
    <row r="90">
      <c r="A90" s="147" t="str">
        <f>CONCATENATE("RUN-",'Process Ref'!$A$1,"_",TEXT(U90,"YYYY-MM-DD"),"_RFR-",TEXT(AR90,"000"),IF(EXACT(W90,"Initial"),"",CONCATENATE("_",W90)))</f>
        <v>RUN-COMB_2022-08-01_RFR-089_Re-run</v>
      </c>
      <c r="B90" s="148">
        <v>44774.77869212963</v>
      </c>
      <c r="C90" s="149"/>
      <c r="D90" s="149" t="s">
        <v>199</v>
      </c>
      <c r="E90" s="121">
        <v>1.0</v>
      </c>
      <c r="F90" s="149" t="s">
        <v>504</v>
      </c>
      <c r="G90" s="150" t="s">
        <v>505</v>
      </c>
      <c r="H90" s="150"/>
      <c r="I90" s="150" t="s">
        <v>506</v>
      </c>
      <c r="J90" s="55"/>
      <c r="K90" s="152"/>
      <c r="L90" s="149"/>
      <c r="M90" s="153">
        <v>1.2</v>
      </c>
      <c r="N90" s="153"/>
      <c r="O90" s="154"/>
      <c r="P90" s="155" t="b">
        <v>0</v>
      </c>
      <c r="Q90" s="155" t="b">
        <v>0</v>
      </c>
      <c r="R90" s="51"/>
      <c r="S90" s="155" t="b">
        <v>0</v>
      </c>
      <c r="T90" s="156" t="b">
        <v>1</v>
      </c>
      <c r="U90" s="157">
        <v>44774.0</v>
      </c>
      <c r="V90" s="158">
        <v>0.9027777777777778</v>
      </c>
      <c r="W90" s="149" t="s">
        <v>216</v>
      </c>
      <c r="X90" s="51"/>
      <c r="Y90" s="155" t="b">
        <v>0</v>
      </c>
      <c r="Z90" s="121">
        <v>5.0</v>
      </c>
      <c r="AA90" s="159">
        <f t="shared" si="1"/>
        <v>4</v>
      </c>
      <c r="AB90" s="160" t="b">
        <v>1</v>
      </c>
      <c r="AC90" s="121">
        <v>3.0</v>
      </c>
      <c r="AD90" s="121">
        <v>0.0</v>
      </c>
      <c r="AE90" s="184">
        <v>0.0</v>
      </c>
      <c r="AF90" s="161">
        <v>0.0</v>
      </c>
      <c r="AG90" s="121">
        <v>0.0</v>
      </c>
      <c r="AH90" s="162">
        <v>0.0</v>
      </c>
      <c r="AI90" s="163">
        <v>0.0</v>
      </c>
      <c r="AJ90" s="121" t="b">
        <v>0</v>
      </c>
      <c r="AK90" s="164">
        <v>1.0</v>
      </c>
      <c r="AL90" s="121">
        <v>0.0</v>
      </c>
      <c r="AM90" s="55" t="str">
        <f>IF(EXACT(W90,"Initial"),"Audit","")</f>
        <v/>
      </c>
      <c r="AN90" s="159" t="str">
        <f>IFNA(VLOOKUP($A90,'Tube Reactions'!$J$2:$K96,2,FALSE),"")</f>
        <v/>
      </c>
      <c r="AO90" s="165" t="str">
        <f t="shared" si="2"/>
        <v/>
      </c>
      <c r="AP90" s="166" t="str">
        <f t="shared" si="3"/>
        <v>Absent</v>
      </c>
      <c r="AQ90" s="167" t="b">
        <f t="shared" si="4"/>
        <v>0</v>
      </c>
      <c r="AR90" s="185">
        <v>89.0</v>
      </c>
      <c r="AS90" s="169"/>
      <c r="AT90" s="149"/>
      <c r="AU90" s="121" t="s">
        <v>204</v>
      </c>
      <c r="AV90" s="197">
        <v>5.0</v>
      </c>
      <c r="AW90" s="121" t="b">
        <v>1</v>
      </c>
      <c r="AX90" s="171"/>
      <c r="AY90" s="159">
        <f t="shared" si="5"/>
        <v>2</v>
      </c>
      <c r="AZ90" s="172"/>
      <c r="BA90" s="173" t="b">
        <v>0</v>
      </c>
      <c r="BB90" s="165" t="str">
        <f t="shared" si="6"/>
        <v/>
      </c>
      <c r="BC90" s="159" t="str">
        <f t="shared" si="7"/>
        <v/>
      </c>
      <c r="BD90" s="159" t="str">
        <f t="shared" si="8"/>
        <v/>
      </c>
      <c r="BE90" s="174"/>
      <c r="BF90" s="109"/>
      <c r="BG90" s="149"/>
      <c r="BH90" s="121"/>
      <c r="BI90" s="121"/>
      <c r="BJ90" s="121"/>
      <c r="BK90" s="121"/>
      <c r="BL90" s="198"/>
      <c r="BM90" s="184"/>
      <c r="BN90" s="121"/>
      <c r="BO90" s="121"/>
      <c r="BP90" s="121"/>
      <c r="BQ90" s="121"/>
      <c r="BR90" s="149"/>
      <c r="BS90" s="109" t="str">
        <f t="shared" si="17"/>
        <v/>
      </c>
      <c r="BT90" s="109" t="str">
        <f t="shared" si="20"/>
        <v/>
      </c>
      <c r="BU90" s="199"/>
      <c r="BV90" s="180" t="str">
        <f t="shared" si="19"/>
        <v/>
      </c>
      <c r="BW90" s="109"/>
      <c r="BX90" s="109"/>
      <c r="BY90" s="109"/>
      <c r="BZ90" s="109"/>
      <c r="CA90" s="109"/>
      <c r="CB90" s="109"/>
      <c r="CC90" s="109"/>
    </row>
    <row r="91">
      <c r="A91" s="147" t="str">
        <f>CONCATENATE("RUN-",'Process Ref'!$A$1,"_",TEXT(U91,"YYYY-MM-DD"),"_RFR-",TEXT(AR91,"000"),IF(EXACT(W91,"Initial"),"",CONCATENATE("_",W91)))</f>
        <v>RUN-COMB_2022-08-02_RFR-090</v>
      </c>
      <c r="B91" s="148">
        <v>44775.39351851852</v>
      </c>
      <c r="C91" s="149"/>
      <c r="D91" s="149" t="s">
        <v>199</v>
      </c>
      <c r="E91" s="121">
        <v>17.0</v>
      </c>
      <c r="F91" s="149" t="s">
        <v>507</v>
      </c>
      <c r="G91" s="150" t="s">
        <v>508</v>
      </c>
      <c r="H91" s="150"/>
      <c r="I91" s="150" t="s">
        <v>509</v>
      </c>
      <c r="J91" s="55"/>
      <c r="K91" s="152"/>
      <c r="L91" s="149"/>
      <c r="M91" s="153"/>
      <c r="N91" s="153"/>
      <c r="O91" s="154"/>
      <c r="P91" s="155" t="b">
        <v>0</v>
      </c>
      <c r="Q91" s="155" t="b">
        <v>0</v>
      </c>
      <c r="R91" s="51"/>
      <c r="S91" s="155" t="b">
        <v>0</v>
      </c>
      <c r="T91" s="156" t="b">
        <v>0</v>
      </c>
      <c r="U91" s="157">
        <v>44775.0</v>
      </c>
      <c r="V91" s="158">
        <v>0.5138888888888888</v>
      </c>
      <c r="W91" s="149" t="s">
        <v>203</v>
      </c>
      <c r="X91" s="51"/>
      <c r="Y91" s="155" t="b">
        <v>0</v>
      </c>
      <c r="Z91" s="121">
        <v>19.0</v>
      </c>
      <c r="AA91" s="159">
        <f t="shared" si="1"/>
        <v>2</v>
      </c>
      <c r="AB91" s="160" t="b">
        <v>0</v>
      </c>
      <c r="AC91" s="121">
        <v>17.0</v>
      </c>
      <c r="AD91" s="121">
        <v>0.0</v>
      </c>
      <c r="AE91" s="184">
        <v>0.0</v>
      </c>
      <c r="AF91" s="161">
        <v>0.0</v>
      </c>
      <c r="AG91" s="121">
        <v>0.0</v>
      </c>
      <c r="AH91" s="162">
        <v>0.0</v>
      </c>
      <c r="AI91" s="163">
        <v>0.0</v>
      </c>
      <c r="AJ91" s="121" t="b">
        <v>0</v>
      </c>
      <c r="AK91" s="164">
        <v>17.0</v>
      </c>
      <c r="AL91" s="121">
        <v>0.0</v>
      </c>
      <c r="AM91" s="121">
        <v>0.0</v>
      </c>
      <c r="AN91" s="159" t="str">
        <f>IFNA(VLOOKUP($A91,'Tube Reactions'!$J$2:$K96,2,FALSE),"")</f>
        <v/>
      </c>
      <c r="AO91" s="165" t="str">
        <f t="shared" si="2"/>
        <v/>
      </c>
      <c r="AP91" s="166" t="str">
        <f t="shared" si="3"/>
        <v>Absent</v>
      </c>
      <c r="AQ91" s="167" t="b">
        <f t="shared" si="4"/>
        <v>0</v>
      </c>
      <c r="AR91" s="185">
        <v>90.0</v>
      </c>
      <c r="AS91" s="169"/>
      <c r="AT91" s="149"/>
      <c r="AU91" s="121" t="s">
        <v>204</v>
      </c>
      <c r="AV91" s="197">
        <v>19.0</v>
      </c>
      <c r="AW91" s="121" t="b">
        <v>1</v>
      </c>
      <c r="AX91" s="171"/>
      <c r="AY91" s="159">
        <f t="shared" si="5"/>
        <v>2</v>
      </c>
      <c r="AZ91" s="172"/>
      <c r="BA91" s="173" t="b">
        <v>1</v>
      </c>
      <c r="BB91" s="165" t="b">
        <f t="shared" si="6"/>
        <v>1</v>
      </c>
      <c r="BC91" s="159" t="b">
        <f t="shared" si="7"/>
        <v>1</v>
      </c>
      <c r="BD91" s="159">
        <f t="shared" si="8"/>
        <v>17</v>
      </c>
      <c r="BE91" s="174"/>
      <c r="BF91" s="109"/>
      <c r="BG91" s="149"/>
      <c r="BH91" s="121"/>
      <c r="BI91" s="121"/>
      <c r="BJ91" s="121"/>
      <c r="BK91" s="121"/>
      <c r="BL91" s="198"/>
      <c r="BM91" s="184"/>
      <c r="BN91" s="121"/>
      <c r="BO91" s="121"/>
      <c r="BP91" s="121"/>
      <c r="BQ91" s="121"/>
      <c r="BR91" s="149"/>
      <c r="BS91" s="109" t="str">
        <f t="shared" si="17"/>
        <v/>
      </c>
      <c r="BT91" s="109" t="str">
        <f t="shared" si="20"/>
        <v/>
      </c>
      <c r="BU91" s="199"/>
      <c r="BV91" s="180">
        <f t="shared" si="19"/>
        <v>0</v>
      </c>
      <c r="BW91" s="109"/>
      <c r="BX91" s="109"/>
      <c r="BY91" s="109"/>
      <c r="BZ91" s="109"/>
      <c r="CA91" s="109"/>
      <c r="CB91" s="109"/>
      <c r="CC91" s="109"/>
    </row>
    <row r="92">
      <c r="A92" s="147" t="str">
        <f>CONCATENATE("RUN-",'Process Ref'!$A$1,"_",TEXT(U92,"YYYY-MM-DD"),"_RFR-",TEXT(AR92,"000"),IF(EXACT(W92,"Initial"),"",CONCATENATE("_",W92)))</f>
        <v>RUN-COMB_2022-08-04_RFR-091</v>
      </c>
      <c r="B92" s="148">
        <v>44777.33013888889</v>
      </c>
      <c r="C92" s="149"/>
      <c r="D92" s="149" t="s">
        <v>199</v>
      </c>
      <c r="E92" s="121">
        <v>32.0</v>
      </c>
      <c r="F92" s="149" t="s">
        <v>510</v>
      </c>
      <c r="G92" s="150" t="s">
        <v>511</v>
      </c>
      <c r="H92" s="150"/>
      <c r="I92" s="150" t="s">
        <v>512</v>
      </c>
      <c r="J92" s="121" t="s">
        <v>513</v>
      </c>
      <c r="K92" s="182" t="s">
        <v>513</v>
      </c>
      <c r="L92" s="149"/>
      <c r="M92" s="153"/>
      <c r="N92" s="153"/>
      <c r="O92" s="154"/>
      <c r="P92" s="155" t="b">
        <v>0</v>
      </c>
      <c r="Q92" s="155" t="b">
        <v>0</v>
      </c>
      <c r="R92" s="51"/>
      <c r="S92" s="155" t="b">
        <v>0</v>
      </c>
      <c r="T92" s="156" t="b">
        <v>0</v>
      </c>
      <c r="U92" s="157">
        <v>44777.0</v>
      </c>
      <c r="V92" s="158"/>
      <c r="W92" s="149" t="s">
        <v>203</v>
      </c>
      <c r="X92" s="51"/>
      <c r="Y92" s="155" t="b">
        <v>0</v>
      </c>
      <c r="Z92" s="121">
        <v>34.0</v>
      </c>
      <c r="AA92" s="159">
        <f t="shared" si="1"/>
        <v>2</v>
      </c>
      <c r="AB92" s="160" t="b">
        <v>0</v>
      </c>
      <c r="AC92" s="121">
        <v>32.0</v>
      </c>
      <c r="AD92" s="121">
        <v>0.0</v>
      </c>
      <c r="AE92" s="184">
        <v>0.0</v>
      </c>
      <c r="AF92" s="161">
        <v>0.0</v>
      </c>
      <c r="AG92" s="121">
        <v>0.0</v>
      </c>
      <c r="AH92" s="162">
        <v>0.0</v>
      </c>
      <c r="AI92" s="163">
        <v>0.0</v>
      </c>
      <c r="AJ92" s="121" t="b">
        <v>0</v>
      </c>
      <c r="AK92" s="164">
        <v>32.0</v>
      </c>
      <c r="AL92" s="121">
        <v>0.0</v>
      </c>
      <c r="AM92" s="121">
        <v>0.0</v>
      </c>
      <c r="AN92" s="159" t="str">
        <f>IFNA(VLOOKUP($A92,'Tube Reactions'!$J$2:$K96,2,FALSE),"")</f>
        <v/>
      </c>
      <c r="AO92" s="165" t="str">
        <f t="shared" si="2"/>
        <v/>
      </c>
      <c r="AP92" s="166" t="str">
        <f t="shared" si="3"/>
        <v>Absent</v>
      </c>
      <c r="AQ92" s="167" t="b">
        <f t="shared" si="4"/>
        <v>0</v>
      </c>
      <c r="AR92" s="185">
        <v>91.0</v>
      </c>
      <c r="AS92" s="169"/>
      <c r="AT92" s="149"/>
      <c r="AU92" s="121" t="s">
        <v>204</v>
      </c>
      <c r="AV92" s="197">
        <v>34.0</v>
      </c>
      <c r="AW92" s="121" t="b">
        <v>1</v>
      </c>
      <c r="AX92" s="171"/>
      <c r="AY92" s="159">
        <f t="shared" si="5"/>
        <v>2</v>
      </c>
      <c r="AZ92" s="172"/>
      <c r="BA92" s="173" t="b">
        <v>1</v>
      </c>
      <c r="BB92" s="165" t="b">
        <f t="shared" si="6"/>
        <v>1</v>
      </c>
      <c r="BC92" s="159" t="b">
        <f t="shared" si="7"/>
        <v>1</v>
      </c>
      <c r="BD92" s="159">
        <f t="shared" si="8"/>
        <v>32</v>
      </c>
      <c r="BE92" s="174"/>
      <c r="BF92" s="109"/>
      <c r="BG92" s="149"/>
      <c r="BH92" s="121"/>
      <c r="BI92" s="121"/>
      <c r="BJ92" s="121"/>
      <c r="BK92" s="121"/>
      <c r="BL92" s="198"/>
      <c r="BM92" s="184"/>
      <c r="BN92" s="121"/>
      <c r="BO92" s="121"/>
      <c r="BP92" s="121"/>
      <c r="BQ92" s="121"/>
      <c r="BR92" s="149"/>
      <c r="BS92" s="109" t="str">
        <f t="shared" si="17"/>
        <v/>
      </c>
      <c r="BT92" s="109" t="str">
        <f t="shared" si="20"/>
        <v/>
      </c>
      <c r="BU92" s="199"/>
      <c r="BV92" s="180">
        <f t="shared" si="19"/>
        <v>0</v>
      </c>
      <c r="BW92" s="109"/>
      <c r="BX92" s="109"/>
      <c r="BY92" s="109"/>
      <c r="BZ92" s="109"/>
      <c r="CA92" s="109"/>
      <c r="CB92" s="109"/>
      <c r="CC92" s="109"/>
    </row>
    <row r="93">
      <c r="A93" s="147" t="str">
        <f>CONCATENATE("RUN-",'Process Ref'!$A$1,"_",TEXT(U93,"YYYY-MM-DD"),"_RFR-",TEXT(AR93,"000"),IF(EXACT(W93,"Initial"),"",CONCATENATE("_",W93)))</f>
        <v>RUN-COMB_2022-08-08_RFR-092</v>
      </c>
      <c r="B93" s="148">
        <v>44781.77416666667</v>
      </c>
      <c r="C93" s="149"/>
      <c r="D93" s="149" t="s">
        <v>199</v>
      </c>
      <c r="E93" s="121">
        <v>26.0</v>
      </c>
      <c r="F93" s="149" t="s">
        <v>514</v>
      </c>
      <c r="G93" s="150" t="s">
        <v>515</v>
      </c>
      <c r="H93" s="150"/>
      <c r="I93" s="150" t="s">
        <v>516</v>
      </c>
      <c r="J93" s="121">
        <v>2.0</v>
      </c>
      <c r="K93" s="152"/>
      <c r="L93" s="149"/>
      <c r="M93" s="153"/>
      <c r="N93" s="153">
        <v>2.2</v>
      </c>
      <c r="O93" s="154"/>
      <c r="P93" s="155" t="b">
        <v>1</v>
      </c>
      <c r="Q93" s="155" t="b">
        <v>0</v>
      </c>
      <c r="R93" s="51"/>
      <c r="S93" s="155" t="b">
        <v>0</v>
      </c>
      <c r="T93" s="156" t="b">
        <v>1</v>
      </c>
      <c r="U93" s="157">
        <v>44781.0</v>
      </c>
      <c r="V93" s="158">
        <v>0.9013888888888889</v>
      </c>
      <c r="W93" s="149" t="s">
        <v>203</v>
      </c>
      <c r="X93" s="51"/>
      <c r="Y93" s="155" t="b">
        <v>0</v>
      </c>
      <c r="Z93" s="121">
        <v>28.0</v>
      </c>
      <c r="AA93" s="159">
        <f t="shared" si="1"/>
        <v>2</v>
      </c>
      <c r="AB93" s="160" t="b">
        <v>0</v>
      </c>
      <c r="AC93" s="121">
        <v>26.0</v>
      </c>
      <c r="AD93" s="121">
        <v>1.0</v>
      </c>
      <c r="AE93" s="184">
        <v>1.0</v>
      </c>
      <c r="AF93" s="161">
        <v>0.0</v>
      </c>
      <c r="AG93" s="121">
        <v>1.0</v>
      </c>
      <c r="AH93" s="162">
        <v>1.0</v>
      </c>
      <c r="AI93" s="163">
        <v>1.0</v>
      </c>
      <c r="AJ93" s="121" t="b">
        <v>0</v>
      </c>
      <c r="AK93" s="164">
        <v>26.0</v>
      </c>
      <c r="AL93" s="121">
        <v>4.0</v>
      </c>
      <c r="AM93" s="121">
        <v>2.0</v>
      </c>
      <c r="AN93" s="159" t="str">
        <f>IFNA(VLOOKUP($A93,'Tube Reactions'!$J$2:$K96,2,FALSE),"")</f>
        <v/>
      </c>
      <c r="AO93" s="165" t="str">
        <f t="shared" si="2"/>
        <v>NOT EQUAL</v>
      </c>
      <c r="AP93" s="166" t="str">
        <f t="shared" si="3"/>
        <v>Absent</v>
      </c>
      <c r="AQ93" s="167" t="b">
        <f t="shared" si="4"/>
        <v>0</v>
      </c>
      <c r="AR93" s="185">
        <v>92.0</v>
      </c>
      <c r="AS93" s="169"/>
      <c r="AT93" s="149"/>
      <c r="AU93" s="121" t="s">
        <v>204</v>
      </c>
      <c r="AV93" s="197">
        <v>28.0</v>
      </c>
      <c r="AW93" s="121" t="b">
        <v>0</v>
      </c>
      <c r="AX93" s="171"/>
      <c r="AY93" s="159">
        <f t="shared" si="5"/>
        <v>2</v>
      </c>
      <c r="AZ93" s="172"/>
      <c r="BA93" s="173" t="b">
        <v>0</v>
      </c>
      <c r="BB93" s="165" t="str">
        <f t="shared" si="6"/>
        <v/>
      </c>
      <c r="BC93" s="159" t="str">
        <f t="shared" si="7"/>
        <v/>
      </c>
      <c r="BD93" s="159" t="str">
        <f t="shared" si="8"/>
        <v/>
      </c>
      <c r="BE93" s="174"/>
      <c r="BF93" s="109"/>
      <c r="BG93" s="149"/>
      <c r="BH93" s="121"/>
      <c r="BI93" s="121"/>
      <c r="BJ93" s="121"/>
      <c r="BK93" s="121"/>
      <c r="BL93" s="198"/>
      <c r="BM93" s="184"/>
      <c r="BN93" s="121"/>
      <c r="BO93" s="121"/>
      <c r="BP93" s="121"/>
      <c r="BQ93" s="121"/>
      <c r="BR93" s="149"/>
      <c r="BS93" s="109" t="str">
        <f t="shared" si="17"/>
        <v/>
      </c>
      <c r="BT93" s="109" t="str">
        <f t="shared" si="20"/>
        <v/>
      </c>
      <c r="BU93" s="199"/>
      <c r="BV93" s="180">
        <f t="shared" si="19"/>
        <v>0</v>
      </c>
      <c r="BW93" s="109"/>
      <c r="BX93" s="109"/>
      <c r="BY93" s="109"/>
      <c r="BZ93" s="109"/>
      <c r="CA93" s="109"/>
      <c r="CB93" s="109"/>
      <c r="CC93" s="109"/>
    </row>
    <row r="94">
      <c r="A94" s="147" t="str">
        <f>CONCATENATE("RUN-",'Process Ref'!$A$1,"_",TEXT(U94,"YYYY-MM-DD"),"_RFR-",TEXT(AR94,"000"),IF(EXACT(W94,"Initial"),"",CONCATENATE("_",W94)))</f>
        <v>RUN-COMB_2022-08-08_RFR-093_Re-run</v>
      </c>
      <c r="B94" s="148">
        <v>44781.80358796296</v>
      </c>
      <c r="C94" s="149"/>
      <c r="D94" s="149" t="s">
        <v>199</v>
      </c>
      <c r="E94" s="121">
        <v>2.0</v>
      </c>
      <c r="F94" s="149" t="s">
        <v>517</v>
      </c>
      <c r="G94" s="150" t="s">
        <v>518</v>
      </c>
      <c r="H94" s="150"/>
      <c r="I94" s="150" t="s">
        <v>519</v>
      </c>
      <c r="J94" s="55"/>
      <c r="K94" s="152"/>
      <c r="L94" s="149"/>
      <c r="M94" s="153">
        <v>1.2</v>
      </c>
      <c r="N94" s="153"/>
      <c r="O94" s="154"/>
      <c r="P94" s="155" t="b">
        <v>0</v>
      </c>
      <c r="Q94" s="155" t="b">
        <v>0</v>
      </c>
      <c r="R94" s="51"/>
      <c r="S94" s="155" t="b">
        <v>0</v>
      </c>
      <c r="T94" s="156" t="b">
        <v>0</v>
      </c>
      <c r="U94" s="157">
        <v>44781.0</v>
      </c>
      <c r="V94" s="158">
        <v>0.9270833333333334</v>
      </c>
      <c r="W94" s="149" t="s">
        <v>216</v>
      </c>
      <c r="X94" s="51"/>
      <c r="Y94" s="155" t="b">
        <v>0</v>
      </c>
      <c r="Z94" s="121">
        <v>8.0</v>
      </c>
      <c r="AA94" s="159">
        <f t="shared" si="1"/>
        <v>6</v>
      </c>
      <c r="AB94" s="160" t="b">
        <v>1</v>
      </c>
      <c r="AC94" s="121">
        <v>6.0</v>
      </c>
      <c r="AD94" s="121">
        <v>0.0</v>
      </c>
      <c r="AE94" s="184">
        <v>0.0</v>
      </c>
      <c r="AF94" s="161">
        <v>0.0</v>
      </c>
      <c r="AG94" s="121">
        <v>3.0</v>
      </c>
      <c r="AH94" s="162">
        <v>1.0</v>
      </c>
      <c r="AI94" s="163">
        <v>1.0</v>
      </c>
      <c r="AJ94" s="121" t="b">
        <v>0</v>
      </c>
      <c r="AK94" s="164">
        <v>2.0</v>
      </c>
      <c r="AL94" s="121">
        <v>4.0</v>
      </c>
      <c r="AM94" s="55" t="str">
        <f>IF(EXACT(W94,"Initial"),"Audit","")</f>
        <v/>
      </c>
      <c r="AN94" s="159" t="str">
        <f>IFNA(VLOOKUP($A94,'Tube Reactions'!$J$2:$K96,2,FALSE),"")</f>
        <v/>
      </c>
      <c r="AO94" s="165" t="str">
        <f t="shared" si="2"/>
        <v/>
      </c>
      <c r="AP94" s="166" t="str">
        <f t="shared" si="3"/>
        <v>Absent</v>
      </c>
      <c r="AQ94" s="167" t="b">
        <f t="shared" si="4"/>
        <v>0</v>
      </c>
      <c r="AR94" s="185">
        <v>93.0</v>
      </c>
      <c r="AS94" s="169"/>
      <c r="AT94" s="149"/>
      <c r="AU94" s="121" t="s">
        <v>204</v>
      </c>
      <c r="AV94" s="197">
        <v>8.0</v>
      </c>
      <c r="AW94" s="121" t="b">
        <v>0</v>
      </c>
      <c r="AX94" s="171"/>
      <c r="AY94" s="159">
        <f t="shared" si="5"/>
        <v>2</v>
      </c>
      <c r="AZ94" s="172"/>
      <c r="BA94" s="173" t="b">
        <v>0</v>
      </c>
      <c r="BB94" s="165" t="str">
        <f t="shared" si="6"/>
        <v/>
      </c>
      <c r="BC94" s="159" t="str">
        <f t="shared" si="7"/>
        <v/>
      </c>
      <c r="BD94" s="159" t="str">
        <f t="shared" si="8"/>
        <v/>
      </c>
      <c r="BE94" s="174"/>
      <c r="BF94" s="109"/>
      <c r="BG94" s="149"/>
      <c r="BH94" s="121"/>
      <c r="BI94" s="121"/>
      <c r="BJ94" s="121"/>
      <c r="BK94" s="121"/>
      <c r="BL94" s="198"/>
      <c r="BM94" s="184"/>
      <c r="BN94" s="121"/>
      <c r="BO94" s="121"/>
      <c r="BP94" s="121"/>
      <c r="BQ94" s="121"/>
      <c r="BR94" s="149"/>
      <c r="BS94" s="109" t="str">
        <f t="shared" si="17"/>
        <v/>
      </c>
      <c r="BT94" s="109" t="str">
        <f t="shared" si="20"/>
        <v/>
      </c>
      <c r="BU94" s="199"/>
      <c r="BV94" s="180" t="str">
        <f t="shared" si="19"/>
        <v/>
      </c>
      <c r="BW94" s="109"/>
      <c r="BX94" s="109"/>
      <c r="BY94" s="109"/>
      <c r="BZ94" s="109"/>
      <c r="CA94" s="109"/>
      <c r="CB94" s="109"/>
      <c r="CC94" s="109"/>
    </row>
    <row r="95">
      <c r="A95" s="147" t="str">
        <f>CONCATENATE("RUN-",'Process Ref'!$A$1,"_",TEXT(U95,"YYYY-MM-DD"),"_RFR-",TEXT(AR95,"000"),IF(EXACT(W95,"Initial"),"",CONCATENATE("_",W95)))</f>
        <v>RUN-COMB_2022-08-09_RFR-094</v>
      </c>
      <c r="B95" s="148">
        <v>44783.29902777778</v>
      </c>
      <c r="C95" s="149"/>
      <c r="D95" s="149" t="s">
        <v>199</v>
      </c>
      <c r="E95" s="121">
        <v>20.0</v>
      </c>
      <c r="F95" s="149" t="s">
        <v>520</v>
      </c>
      <c r="G95" s="150" t="s">
        <v>521</v>
      </c>
      <c r="H95" s="150"/>
      <c r="I95" s="150" t="s">
        <v>522</v>
      </c>
      <c r="J95" s="55"/>
      <c r="K95" s="152"/>
      <c r="L95" s="149"/>
      <c r="M95" s="153"/>
      <c r="N95" s="153"/>
      <c r="O95" s="154"/>
      <c r="P95" s="155" t="b">
        <v>0</v>
      </c>
      <c r="Q95" s="155" t="b">
        <v>0</v>
      </c>
      <c r="R95" s="51"/>
      <c r="S95" s="155" t="b">
        <v>0</v>
      </c>
      <c r="T95" s="156" t="b">
        <v>0</v>
      </c>
      <c r="U95" s="157">
        <v>44782.0</v>
      </c>
      <c r="V95" s="158">
        <v>0.5</v>
      </c>
      <c r="W95" s="149" t="s">
        <v>203</v>
      </c>
      <c r="X95" s="51"/>
      <c r="Y95" s="155" t="b">
        <v>0</v>
      </c>
      <c r="Z95" s="121">
        <v>22.0</v>
      </c>
      <c r="AA95" s="159">
        <f t="shared" si="1"/>
        <v>2</v>
      </c>
      <c r="AB95" s="160" t="b">
        <v>0</v>
      </c>
      <c r="AC95" s="121">
        <v>20.0</v>
      </c>
      <c r="AD95" s="121">
        <v>0.0</v>
      </c>
      <c r="AE95" s="184">
        <v>0.0</v>
      </c>
      <c r="AF95" s="161">
        <v>0.0</v>
      </c>
      <c r="AG95" s="121">
        <v>0.0</v>
      </c>
      <c r="AH95" s="162">
        <v>0.0</v>
      </c>
      <c r="AI95" s="163">
        <v>0.0</v>
      </c>
      <c r="AJ95" s="121" t="b">
        <v>0</v>
      </c>
      <c r="AK95" s="164">
        <v>20.0</v>
      </c>
      <c r="AL95" s="121">
        <v>0.0</v>
      </c>
      <c r="AM95" s="121">
        <v>0.0</v>
      </c>
      <c r="AN95" s="159" t="str">
        <f>IFNA(VLOOKUP($A95,'Tube Reactions'!$J$2:$K96,2,FALSE),"")</f>
        <v/>
      </c>
      <c r="AO95" s="165" t="str">
        <f t="shared" si="2"/>
        <v/>
      </c>
      <c r="AP95" s="166" t="str">
        <f t="shared" si="3"/>
        <v>Absent</v>
      </c>
      <c r="AQ95" s="167" t="b">
        <f t="shared" si="4"/>
        <v>0</v>
      </c>
      <c r="AR95" s="185">
        <v>94.0</v>
      </c>
      <c r="AS95" s="169"/>
      <c r="AT95" s="149"/>
      <c r="AU95" s="121" t="s">
        <v>204</v>
      </c>
      <c r="AV95" s="197">
        <v>22.0</v>
      </c>
      <c r="AW95" s="121" t="b">
        <v>1</v>
      </c>
      <c r="AX95" s="171"/>
      <c r="AY95" s="159">
        <f t="shared" si="5"/>
        <v>2</v>
      </c>
      <c r="AZ95" s="172"/>
      <c r="BA95" s="173" t="b">
        <v>1</v>
      </c>
      <c r="BB95" s="165" t="b">
        <f t="shared" si="6"/>
        <v>1</v>
      </c>
      <c r="BC95" s="159" t="b">
        <f t="shared" si="7"/>
        <v>1</v>
      </c>
      <c r="BD95" s="159">
        <f t="shared" si="8"/>
        <v>20</v>
      </c>
      <c r="BE95" s="174"/>
      <c r="BF95" s="109"/>
      <c r="BG95" s="149"/>
      <c r="BH95" s="121"/>
      <c r="BI95" s="121"/>
      <c r="BJ95" s="121"/>
      <c r="BK95" s="121"/>
      <c r="BL95" s="198"/>
      <c r="BM95" s="184"/>
      <c r="BN95" s="121"/>
      <c r="BO95" s="121"/>
      <c r="BP95" s="121"/>
      <c r="BQ95" s="121"/>
      <c r="BR95" s="149"/>
      <c r="BS95" s="109" t="str">
        <f t="shared" si="17"/>
        <v/>
      </c>
      <c r="BT95" s="109" t="str">
        <f t="shared" si="20"/>
        <v/>
      </c>
      <c r="BU95" s="199"/>
      <c r="BV95" s="180">
        <f t="shared" si="19"/>
        <v>0</v>
      </c>
      <c r="BW95" s="109"/>
      <c r="BX95" s="109"/>
      <c r="BY95" s="109"/>
      <c r="BZ95" s="109"/>
      <c r="CA95" s="109"/>
      <c r="CB95" s="109"/>
      <c r="CC95" s="109"/>
    </row>
    <row r="96">
      <c r="A96" s="147" t="str">
        <f>CONCATENATE("RUN-",'Process Ref'!$A$1,"_",TEXT(U96,"YYYY-MM-DD"),"_RFR-",TEXT(AR96,"000"),IF(EXACT(W96,"Initial"),"",CONCATENATE("_",W96)))</f>
        <v>RUN-COMB_2022-08-15_RFR-095</v>
      </c>
      <c r="B96" s="148">
        <v>44788.810324074075</v>
      </c>
      <c r="C96" s="149"/>
      <c r="D96" s="149" t="s">
        <v>199</v>
      </c>
      <c r="E96" s="121">
        <v>37.0</v>
      </c>
      <c r="F96" s="149" t="s">
        <v>523</v>
      </c>
      <c r="G96" s="150" t="s">
        <v>524</v>
      </c>
      <c r="H96" s="150"/>
      <c r="I96" s="150" t="s">
        <v>525</v>
      </c>
      <c r="J96" s="55"/>
      <c r="K96" s="152"/>
      <c r="L96" s="149"/>
      <c r="M96" s="153">
        <v>1.2</v>
      </c>
      <c r="N96" s="153"/>
      <c r="O96" s="154"/>
      <c r="P96" s="155" t="b">
        <v>0</v>
      </c>
      <c r="Q96" s="155" t="b">
        <v>0</v>
      </c>
      <c r="R96" s="51"/>
      <c r="S96" s="155" t="b">
        <v>0</v>
      </c>
      <c r="T96" s="156" t="b">
        <v>0</v>
      </c>
      <c r="U96" s="157">
        <v>44788.0</v>
      </c>
      <c r="V96" s="158"/>
      <c r="W96" s="149" t="s">
        <v>203</v>
      </c>
      <c r="X96" s="51"/>
      <c r="Y96" s="155" t="b">
        <v>0</v>
      </c>
      <c r="Z96" s="121">
        <v>39.0</v>
      </c>
      <c r="AA96" s="159">
        <f t="shared" si="1"/>
        <v>2</v>
      </c>
      <c r="AB96" s="160" t="b">
        <v>0</v>
      </c>
      <c r="AC96" s="121">
        <v>37.0</v>
      </c>
      <c r="AD96" s="121">
        <v>0.0</v>
      </c>
      <c r="AE96" s="184">
        <v>0.0</v>
      </c>
      <c r="AF96" s="161">
        <v>0.0</v>
      </c>
      <c r="AG96" s="121">
        <v>0.0</v>
      </c>
      <c r="AH96" s="162">
        <v>0.0</v>
      </c>
      <c r="AI96" s="163">
        <v>0.0</v>
      </c>
      <c r="AJ96" s="121" t="b">
        <v>0</v>
      </c>
      <c r="AK96" s="164">
        <v>37.0</v>
      </c>
      <c r="AL96" s="121">
        <v>0.0</v>
      </c>
      <c r="AM96" s="121">
        <v>0.0</v>
      </c>
      <c r="AN96" s="159" t="str">
        <f>IFNA(VLOOKUP($A96,'Tube Reactions'!$J$2:$K96,2,FALSE),"")</f>
        <v/>
      </c>
      <c r="AO96" s="165" t="str">
        <f t="shared" si="2"/>
        <v/>
      </c>
      <c r="AP96" s="166" t="str">
        <f t="shared" si="3"/>
        <v>Absent</v>
      </c>
      <c r="AQ96" s="167" t="b">
        <f t="shared" si="4"/>
        <v>0</v>
      </c>
      <c r="AR96" s="185">
        <v>95.0</v>
      </c>
      <c r="AS96" s="169"/>
      <c r="AT96" s="149"/>
      <c r="AU96" s="121" t="s">
        <v>204</v>
      </c>
      <c r="AV96" s="197">
        <v>39.0</v>
      </c>
      <c r="AW96" s="121" t="b">
        <v>1</v>
      </c>
      <c r="AX96" s="171"/>
      <c r="AY96" s="159">
        <f t="shared" si="5"/>
        <v>2</v>
      </c>
      <c r="AZ96" s="172"/>
      <c r="BA96" s="173" t="b">
        <v>1</v>
      </c>
      <c r="BB96" s="165" t="b">
        <f t="shared" si="6"/>
        <v>1</v>
      </c>
      <c r="BC96" s="159" t="b">
        <f t="shared" si="7"/>
        <v>1</v>
      </c>
      <c r="BD96" s="159">
        <f t="shared" si="8"/>
        <v>37</v>
      </c>
      <c r="BE96" s="174"/>
      <c r="BF96" s="109"/>
      <c r="BG96" s="149"/>
      <c r="BH96" s="121"/>
      <c r="BI96" s="121"/>
      <c r="BJ96" s="121"/>
      <c r="BK96" s="121"/>
      <c r="BL96" s="198"/>
      <c r="BM96" s="184"/>
      <c r="BN96" s="121"/>
      <c r="BO96" s="121"/>
      <c r="BP96" s="121"/>
      <c r="BQ96" s="121"/>
      <c r="BR96" s="149"/>
      <c r="BS96" s="109" t="str">
        <f t="shared" si="17"/>
        <v/>
      </c>
      <c r="BT96" s="109" t="str">
        <f t="shared" si="20"/>
        <v/>
      </c>
      <c r="BU96" s="199"/>
      <c r="BV96" s="180">
        <f t="shared" si="19"/>
        <v>0</v>
      </c>
      <c r="BW96" s="109"/>
      <c r="BX96" s="109"/>
      <c r="BY96" s="109"/>
      <c r="BZ96" s="109"/>
      <c r="CA96" s="109"/>
      <c r="CB96" s="109"/>
      <c r="CC96" s="109"/>
    </row>
  </sheetData>
  <customSheetViews>
    <customSheetView guid="{4584C169-EC47-454F-A4C7-F4A5FB33BBFF}" filter="1" showAutoFilter="1">
      <autoFilter ref="$A$1:$BC$96">
        <filterColumn colId="37">
          <filters>
            <filter val="1"/>
          </filters>
        </filterColumn>
      </autoFilter>
    </customSheetView>
  </customSheetViews>
  <conditionalFormatting sqref="AX2:AX96">
    <cfRule type="cellIs" dxfId="4" priority="1" operator="equal">
      <formula>"FALSE"</formula>
    </cfRule>
  </conditionalFormatting>
  <conditionalFormatting sqref="AY2:AY96">
    <cfRule type="cellIs" dxfId="5" priority="2" operator="greaterThan">
      <formula>2</formula>
    </cfRule>
  </conditionalFormatting>
  <conditionalFormatting sqref="AY2:AY96">
    <cfRule type="cellIs" dxfId="4" priority="3" operator="lessThan">
      <formula>2</formula>
    </cfRule>
  </conditionalFormatting>
  <conditionalFormatting sqref="BB2:BB96">
    <cfRule type="cellIs" dxfId="0" priority="4" operator="equal">
      <formula>"FALSE"</formula>
    </cfRule>
  </conditionalFormatting>
  <conditionalFormatting sqref="AE2:AE96">
    <cfRule type="cellIs" dxfId="6" priority="5" operator="greaterThan">
      <formula>0</formula>
    </cfRule>
  </conditionalFormatting>
  <conditionalFormatting sqref="AF2:AF96">
    <cfRule type="cellIs" dxfId="7" priority="6" operator="greaterThan">
      <formula>0</formula>
    </cfRule>
  </conditionalFormatting>
  <conditionalFormatting sqref="AH2:AH96">
    <cfRule type="cellIs" dxfId="4" priority="7" operator="greaterThan">
      <formula>0</formula>
    </cfRule>
  </conditionalFormatting>
  <conditionalFormatting sqref="BQ2:BQ96">
    <cfRule type="colorScale" priority="8">
      <colorScale>
        <cfvo type="formula" val="-1"/>
        <cfvo type="formula" val="0"/>
        <cfvo type="formula" val="1"/>
        <color rgb="FFE06666"/>
        <color rgb="FF93C47D"/>
        <color rgb="FF6D9EEB"/>
      </colorScale>
    </cfRule>
  </conditionalFormatting>
  <conditionalFormatting sqref="B2:B96 BS2:BS96">
    <cfRule type="expression" dxfId="8" priority="9">
      <formula>$BR2&gt;=5</formula>
    </cfRule>
  </conditionalFormatting>
  <conditionalFormatting sqref="BO2:BO96">
    <cfRule type="cellIs" dxfId="2" priority="10" operator="greaterThan">
      <formula>0</formula>
    </cfRule>
  </conditionalFormatting>
  <conditionalFormatting sqref="BO1">
    <cfRule type="expression" dxfId="0" priority="11">
      <formula>SUM(BO2:BO96)&gt;0</formula>
    </cfRule>
  </conditionalFormatting>
  <conditionalFormatting sqref="BO1">
    <cfRule type="expression" dxfId="1" priority="12">
      <formula>SUM(BO2:BO96)=0</formula>
    </cfRule>
  </conditionalFormatting>
  <conditionalFormatting sqref="AW2:AW96">
    <cfRule type="cellIs" dxfId="8" priority="13" operator="equal">
      <formula>"TRUE"</formula>
    </cfRule>
  </conditionalFormatting>
  <conditionalFormatting sqref="P2:Q96">
    <cfRule type="cellIs" dxfId="9" priority="14" operator="equal">
      <formula>"TRUE"</formula>
    </cfRule>
  </conditionalFormatting>
  <conditionalFormatting sqref="S2:T96">
    <cfRule type="cellIs" dxfId="10" priority="15" operator="equal">
      <formula>"TRUE"</formula>
    </cfRule>
  </conditionalFormatting>
  <conditionalFormatting sqref="Y2:Y96">
    <cfRule type="cellIs" dxfId="6" priority="16" operator="equal">
      <formula>"TRUE"</formula>
    </cfRule>
  </conditionalFormatting>
  <conditionalFormatting sqref="AI2:AI96">
    <cfRule type="cellIs" dxfId="11" priority="17" operator="greaterThan">
      <formula>0</formula>
    </cfRule>
  </conditionalFormatting>
  <dataValidations>
    <dataValidation type="list" allowBlank="1" sqref="AP2:AP96">
      <formula1>'Process Ref'!$M$4:$M$9</formula1>
    </dataValidation>
  </dataValidations>
  <hyperlinks>
    <hyperlink r:id="rId2" ref="G2"/>
    <hyperlink r:id="rId3" ref="I2"/>
    <hyperlink r:id="rId4" ref="G3"/>
    <hyperlink r:id="rId5" ref="I3"/>
    <hyperlink r:id="rId6" ref="G4"/>
    <hyperlink r:id="rId7" ref="I4"/>
    <hyperlink r:id="rId8" ref="G5"/>
    <hyperlink r:id="rId9" ref="I5"/>
    <hyperlink r:id="rId10" ref="G6"/>
    <hyperlink r:id="rId11" ref="I6"/>
    <hyperlink r:id="rId12" ref="G7"/>
    <hyperlink r:id="rId13" ref="I7"/>
    <hyperlink r:id="rId14" ref="G8"/>
    <hyperlink r:id="rId15" ref="I8"/>
    <hyperlink r:id="rId16" ref="G9"/>
    <hyperlink r:id="rId17" ref="I9"/>
    <hyperlink r:id="rId18" ref="G10"/>
    <hyperlink r:id="rId19" ref="I10"/>
    <hyperlink r:id="rId20" ref="G11"/>
    <hyperlink r:id="rId21" ref="I11"/>
    <hyperlink r:id="rId22" ref="G12"/>
    <hyperlink r:id="rId23" ref="I12"/>
    <hyperlink r:id="rId24" ref="G13"/>
    <hyperlink r:id="rId25" ref="I13"/>
    <hyperlink r:id="rId26" ref="G14"/>
    <hyperlink r:id="rId27" ref="I14"/>
    <hyperlink r:id="rId28" ref="G15"/>
    <hyperlink r:id="rId29" ref="I15"/>
    <hyperlink r:id="rId30" ref="G16"/>
    <hyperlink r:id="rId31" ref="I16"/>
    <hyperlink r:id="rId32" ref="G17"/>
    <hyperlink r:id="rId33" ref="I17"/>
    <hyperlink r:id="rId34" ref="G18"/>
    <hyperlink r:id="rId35" ref="I18"/>
    <hyperlink r:id="rId36" ref="G19"/>
    <hyperlink r:id="rId37" ref="I19"/>
    <hyperlink r:id="rId38" ref="G20"/>
    <hyperlink r:id="rId39" ref="I20"/>
    <hyperlink r:id="rId40" ref="G21"/>
    <hyperlink r:id="rId41" ref="I21"/>
    <hyperlink r:id="rId42" ref="G22"/>
    <hyperlink r:id="rId43" ref="I22"/>
    <hyperlink r:id="rId44" ref="G23"/>
    <hyperlink r:id="rId45" ref="I23"/>
    <hyperlink r:id="rId46" ref="G24"/>
    <hyperlink r:id="rId47" ref="I24"/>
    <hyperlink r:id="rId48" ref="G25"/>
    <hyperlink r:id="rId49" ref="I25"/>
    <hyperlink r:id="rId50" ref="G26"/>
    <hyperlink r:id="rId51" ref="I26"/>
    <hyperlink r:id="rId52" ref="G27"/>
    <hyperlink r:id="rId53" ref="I27"/>
    <hyperlink r:id="rId54" ref="G28"/>
    <hyperlink r:id="rId55" ref="I28"/>
    <hyperlink r:id="rId56" ref="G29"/>
    <hyperlink r:id="rId57" ref="I29"/>
    <hyperlink r:id="rId58" ref="G30"/>
    <hyperlink r:id="rId59" ref="I30"/>
    <hyperlink r:id="rId60" ref="G31"/>
    <hyperlink r:id="rId61" ref="I31"/>
    <hyperlink r:id="rId62" ref="G32"/>
    <hyperlink r:id="rId63" ref="I32"/>
    <hyperlink r:id="rId64" ref="G33"/>
    <hyperlink r:id="rId65" ref="I33"/>
    <hyperlink r:id="rId66" ref="G34"/>
    <hyperlink r:id="rId67" ref="I34"/>
    <hyperlink r:id="rId68" ref="G35"/>
    <hyperlink r:id="rId69" ref="I35"/>
    <hyperlink r:id="rId70" ref="G36"/>
    <hyperlink r:id="rId71" ref="I36"/>
    <hyperlink r:id="rId72" ref="G37"/>
    <hyperlink r:id="rId73" ref="I37"/>
    <hyperlink r:id="rId74" ref="G38"/>
    <hyperlink r:id="rId75" ref="I38"/>
    <hyperlink r:id="rId76" ref="G39"/>
    <hyperlink r:id="rId77" ref="I39"/>
    <hyperlink r:id="rId78" ref="G40"/>
    <hyperlink r:id="rId79" ref="I40"/>
    <hyperlink r:id="rId80" ref="G41"/>
    <hyperlink r:id="rId81" ref="I41"/>
    <hyperlink r:id="rId82" ref="G42"/>
    <hyperlink r:id="rId83" ref="I42"/>
    <hyperlink r:id="rId84" ref="G43"/>
    <hyperlink r:id="rId85" ref="I43"/>
    <hyperlink r:id="rId86" ref="G44"/>
    <hyperlink r:id="rId87" ref="I44"/>
    <hyperlink r:id="rId88" ref="G45"/>
    <hyperlink r:id="rId89" ref="I45"/>
    <hyperlink r:id="rId90" ref="G46"/>
    <hyperlink r:id="rId91" ref="I46"/>
    <hyperlink r:id="rId92" ref="G47"/>
    <hyperlink r:id="rId93" ref="I47"/>
    <hyperlink r:id="rId94" ref="G48"/>
    <hyperlink r:id="rId95" ref="I48"/>
    <hyperlink r:id="rId96" ref="G49"/>
    <hyperlink r:id="rId97" ref="I49"/>
    <hyperlink r:id="rId98" ref="G50"/>
    <hyperlink r:id="rId99" ref="I50"/>
    <hyperlink r:id="rId100" ref="G51"/>
    <hyperlink r:id="rId101" ref="I51"/>
    <hyperlink r:id="rId102" ref="G52"/>
    <hyperlink r:id="rId103" ref="I52"/>
    <hyperlink r:id="rId104" ref="G53"/>
    <hyperlink r:id="rId105" ref="I53"/>
    <hyperlink r:id="rId106" ref="G54"/>
    <hyperlink r:id="rId107" ref="I54"/>
    <hyperlink r:id="rId108" ref="G55"/>
    <hyperlink r:id="rId109" ref="I55"/>
    <hyperlink r:id="rId110" ref="G56"/>
    <hyperlink r:id="rId111" ref="I56"/>
    <hyperlink r:id="rId112" ref="G57"/>
    <hyperlink r:id="rId113" ref="I57"/>
    <hyperlink r:id="rId114" ref="G58"/>
    <hyperlink r:id="rId115" ref="I58"/>
    <hyperlink r:id="rId116" ref="G59"/>
    <hyperlink r:id="rId117" ref="I59"/>
    <hyperlink r:id="rId118" ref="G60"/>
    <hyperlink r:id="rId119" ref="I60"/>
    <hyperlink r:id="rId120" ref="G61"/>
    <hyperlink r:id="rId121" ref="I61"/>
    <hyperlink r:id="rId122" ref="G62"/>
    <hyperlink r:id="rId123" ref="I62"/>
    <hyperlink r:id="rId124" ref="G63"/>
    <hyperlink r:id="rId125" ref="I63"/>
    <hyperlink r:id="rId126" ref="G64"/>
    <hyperlink r:id="rId127" ref="I64"/>
    <hyperlink r:id="rId128" ref="G65"/>
    <hyperlink r:id="rId129" ref="I65"/>
    <hyperlink r:id="rId130" ref="G66"/>
    <hyperlink r:id="rId131" ref="I66"/>
    <hyperlink r:id="rId132" ref="G67"/>
    <hyperlink r:id="rId133" ref="I67"/>
    <hyperlink r:id="rId134" ref="G68"/>
    <hyperlink r:id="rId135" ref="I68"/>
    <hyperlink r:id="rId136" ref="G69"/>
    <hyperlink r:id="rId137" ref="I69"/>
    <hyperlink r:id="rId138" ref="G70"/>
    <hyperlink r:id="rId139" ref="I70"/>
    <hyperlink r:id="rId140" ref="G71"/>
    <hyperlink r:id="rId141" ref="I71"/>
    <hyperlink r:id="rId142" ref="G72"/>
    <hyperlink r:id="rId143" ref="I72"/>
    <hyperlink r:id="rId144" ref="G73"/>
    <hyperlink r:id="rId145" ref="I73"/>
    <hyperlink r:id="rId146" ref="G74"/>
    <hyperlink r:id="rId147" ref="I74"/>
    <hyperlink r:id="rId148" ref="G75"/>
    <hyperlink r:id="rId149" ref="I75"/>
    <hyperlink r:id="rId150" ref="G76"/>
    <hyperlink r:id="rId151" ref="I76"/>
    <hyperlink r:id="rId152" ref="G77"/>
    <hyperlink r:id="rId153" ref="I77"/>
    <hyperlink r:id="rId154" ref="G78"/>
    <hyperlink r:id="rId155" ref="I78"/>
    <hyperlink r:id="rId156" ref="G79"/>
    <hyperlink r:id="rId157" ref="I79"/>
    <hyperlink r:id="rId158" ref="G80"/>
    <hyperlink r:id="rId159" ref="I80"/>
    <hyperlink r:id="rId160" ref="G81"/>
    <hyperlink r:id="rId161" ref="I81"/>
    <hyperlink r:id="rId162" ref="G82"/>
    <hyperlink r:id="rId163" ref="I82"/>
    <hyperlink r:id="rId164" ref="G83"/>
    <hyperlink r:id="rId165" ref="I83"/>
    <hyperlink r:id="rId166" ref="G84"/>
    <hyperlink r:id="rId167" ref="I84"/>
    <hyperlink r:id="rId168" ref="G85"/>
    <hyperlink r:id="rId169" ref="I85"/>
    <hyperlink r:id="rId170" ref="G86"/>
    <hyperlink r:id="rId171" ref="I86"/>
    <hyperlink r:id="rId172" ref="G87"/>
    <hyperlink r:id="rId173" ref="I87"/>
    <hyperlink r:id="rId174" ref="G88"/>
    <hyperlink r:id="rId175" ref="I88"/>
    <hyperlink r:id="rId176" ref="G89"/>
    <hyperlink r:id="rId177" ref="I89"/>
    <hyperlink r:id="rId178" ref="G90"/>
    <hyperlink r:id="rId179" ref="I90"/>
    <hyperlink r:id="rId180" ref="G91"/>
    <hyperlink r:id="rId181" ref="I91"/>
    <hyperlink r:id="rId182" ref="G92"/>
    <hyperlink r:id="rId183" ref="I92"/>
    <hyperlink r:id="rId184" ref="G93"/>
    <hyperlink r:id="rId185" ref="I93"/>
    <hyperlink r:id="rId186" ref="G94"/>
    <hyperlink r:id="rId187" ref="I94"/>
    <hyperlink r:id="rId188" ref="G95"/>
    <hyperlink r:id="rId189" ref="I95"/>
    <hyperlink r:id="rId190" ref="G96"/>
    <hyperlink r:id="rId191" ref="I96"/>
  </hyperlinks>
  <drawing r:id="rId192"/>
  <legacyDrawing r:id="rId19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3.13"/>
    <col customWidth="1" min="3" max="3" width="12.75"/>
    <col customWidth="1" min="4" max="4" width="4.0"/>
    <col customWidth="1" min="5" max="5" width="3.63"/>
    <col customWidth="1" min="6" max="6" width="4.0"/>
    <col customWidth="1" min="7" max="7" width="11.38"/>
    <col customWidth="1" min="8" max="8" width="11.25"/>
    <col customWidth="1" min="9" max="9" width="10.0"/>
    <col customWidth="1" min="10" max="10" width="9.38"/>
    <col customWidth="1" min="11" max="11" width="10.13"/>
    <col customWidth="1" min="12" max="12" width="14.88"/>
    <col customWidth="1" min="13" max="15" width="14.38"/>
    <col customWidth="1" min="18" max="18" width="27.25"/>
    <col customWidth="1" min="19" max="20" width="12.13"/>
    <col customWidth="1" min="21" max="21" width="33.25"/>
    <col customWidth="1" min="22" max="22" width="27.25"/>
    <col customWidth="1" min="25" max="25" width="20.88"/>
    <col customWidth="1" min="26" max="26" width="7.0"/>
  </cols>
  <sheetData>
    <row r="1">
      <c r="A1" s="201" t="str">
        <f>IFERROR(__xludf.DUMMYFUNCTION("IMPORTRANGE('APS Tubes by Date Import'!$A$2,""APS Tubes!$A1:$C"")"),"TUBE ID")</f>
        <v>TUBE ID</v>
      </c>
      <c r="B1" s="36" t="str">
        <f>IFERROR(__xludf.DUMMYFUNCTION("""COMPUTED_VALUE"""),"COLLECTION DATE")</f>
        <v>COLLECTION DATE</v>
      </c>
      <c r="C1" s="36" t="str">
        <f>IFERROR(__xludf.DUMMYFUNCTION("""COMPUTED_VALUE"""),"COLLECTION TIME")</f>
        <v>COLLECTION TIME</v>
      </c>
      <c r="D1" s="36"/>
      <c r="E1" s="36"/>
      <c r="F1" s="36"/>
      <c r="G1" s="202" t="str">
        <f>IFERROR(__xludf.DUMMYFUNCTION("IMPORTRANGE('APS Tubes by Date Import'!$A$2,""APS Tubes!$G1:$N"")"),"APP
RESULT")</f>
        <v>APP
RESULT</v>
      </c>
      <c r="H1" s="36" t="str">
        <f>IFERROR(__xludf.DUMMYFUNCTION("""COMPUTED_VALUE"""),"FINAL RESULT")</f>
        <v>FINAL RESULT</v>
      </c>
      <c r="I1" s="15" t="str">
        <f>IFERROR(__xludf.DUMMYFUNCTION("""COMPUTED_VALUE"""),"RESULT DATE")</f>
        <v>RESULT DATE</v>
      </c>
      <c r="J1" s="15" t="str">
        <f>IFERROR(__xludf.DUMMYFUNCTION("""COMPUTED_VALUE"""),"RESULT TIME")</f>
        <v>RESULT TIME</v>
      </c>
      <c r="K1" s="203" t="str">
        <f>IFERROR(__xludf.DUMMYFUNCTION("""COMPUTED_VALUE"""),"Result Correct Code")</f>
        <v>Result Correct Code</v>
      </c>
      <c r="L1" s="36" t="str">
        <f>IFERROR(__xludf.DUMMYFUNCTION("""COMPUTED_VALUE"""),"Correction Notes")</f>
        <v>Correction Notes</v>
      </c>
      <c r="M1" s="62" t="str">
        <f>IFERROR(__xludf.DUMMYFUNCTION("""COMPUTED_VALUE"""),"NOTE")</f>
        <v>NOTE</v>
      </c>
      <c r="N1" s="62" t="str">
        <f>IFERROR(__xludf.DUMMYFUNCTION("""COMPUTED_VALUE"""),"NUM SAMPLES (Pool Level)")</f>
        <v>NUM SAMPLES (Pool Level)</v>
      </c>
      <c r="O1" s="62" t="s">
        <v>526</v>
      </c>
      <c r="P1" s="4" t="str">
        <f>IFERROR(__xludf.DUMMYFUNCTION("IMPORTRANGE('APS Tubes by Date Import'!$A$2,""APS Tubes PHI!$Q1:$Q"")"),"#REF!")</f>
        <v>#REF!</v>
      </c>
      <c r="Q1" s="4" t="s">
        <v>527</v>
      </c>
      <c r="R1" s="4" t="s">
        <v>528</v>
      </c>
      <c r="S1" s="62" t="s">
        <v>529</v>
      </c>
      <c r="T1" s="62" t="s">
        <v>530</v>
      </c>
      <c r="U1" s="4" t="s">
        <v>531</v>
      </c>
      <c r="V1" s="4" t="s">
        <v>532</v>
      </c>
      <c r="W1" s="15" t="s">
        <v>533</v>
      </c>
      <c r="X1" s="15" t="s">
        <v>534</v>
      </c>
      <c r="Y1" s="204" t="str">
        <f>IF(Z1=0,"IN SYNC!","NOT IN SYNC - VALUES IN BOOLEAN COLS (CYAN)")</f>
        <v>IN SYNC!</v>
      </c>
      <c r="Z1" s="167">
        <f>COUNTIF($Y$2:$Z1679,TRUE)</f>
        <v>0</v>
      </c>
    </row>
    <row r="2">
      <c r="A2" s="205" t="str">
        <f>IFERROR(__xludf.DUMMYFUNCTION("""COMPUTED_VALUE"""),"MA124")</f>
        <v>MA124</v>
      </c>
      <c r="B2" s="206">
        <f>IFERROR(__xludf.DUMMYFUNCTION("""COMPUTED_VALUE"""),44640.0)</f>
        <v>44640</v>
      </c>
      <c r="C2" s="207">
        <f>IFERROR(__xludf.DUMMYFUNCTION("""COMPUTED_VALUE"""),0.669537037037037)</f>
        <v>0.669537037</v>
      </c>
      <c r="D2" s="50"/>
      <c r="E2" s="58"/>
      <c r="F2" s="58"/>
      <c r="G2" s="58" t="str">
        <f>IFERROR(__xludf.DUMMYFUNCTION("""COMPUTED_VALUE"""),"Inconclusive")</f>
        <v>Inconclusive</v>
      </c>
      <c r="H2" s="206" t="str">
        <f>IFERROR(__xludf.DUMMYFUNCTION("""COMPUTED_VALUE"""),"Negative")</f>
        <v>Negative</v>
      </c>
      <c r="I2" s="207">
        <f>IFERROR(__xludf.DUMMYFUNCTION("""COMPUTED_VALUE"""),44640.0)</f>
        <v>44640</v>
      </c>
      <c r="J2" s="208">
        <f>IFERROR(__xludf.DUMMYFUNCTION("""COMPUTED_VALUE"""),0.7697685185185185)</f>
        <v>0.7697685185</v>
      </c>
      <c r="K2" s="50">
        <f>IFERROR(__xludf.DUMMYFUNCTION("""COMPUTED_VALUE"""),2.5)</f>
        <v>2.5</v>
      </c>
      <c r="L2" s="58"/>
      <c r="M2" s="55"/>
      <c r="N2" s="55">
        <f>IFERROR(__xludf.DUMMYFUNCTION("""COMPUTED_VALUE"""),1.0)</f>
        <v>1</v>
      </c>
      <c r="O2" s="55" t="b">
        <f t="shared" ref="O2:O1673" si="3">IF(B2&lt;&gt;B1,TRUE,IFERROR(0/0,""))</f>
        <v>1</v>
      </c>
      <c r="P2" s="209"/>
      <c r="Q2" s="210" t="b">
        <f>VLOOKUP($B2,'Run Reconcile'!B$2:P1679,15,FALSE)</f>
        <v>1</v>
      </c>
      <c r="R2" s="211" t="str">
        <f t="array" ref="R2">IF($Q2, INDEX('Run Reconcile'!A$2:A1679,MATCH(B2,'Run Reconcile'!B$2:B1679,0),1),IFERROR(0/0,""))</f>
        <v>RUN-COMB_2022-03-20_RFR-001</v>
      </c>
      <c r="S2" s="165" t="str">
        <f t="shared" ref="S2:T2" si="1">IF(COUNTIF(W$2:W1679, $A2) &gt; 0,TRUE,IFERROR(0/0,""))</f>
        <v/>
      </c>
      <c r="T2" s="165" t="str">
        <f t="shared" si="1"/>
        <v/>
      </c>
      <c r="U2" s="147" t="str">
        <f t="array" ref="U2">IF(ISBLANK($R2), IF($S2,VLOOKUP($B2+1,'RFR Data - preExcl'!$BF$2:$BG1679,2,FALSE),IF($T2,INDEX('RFR Data - preExcl'!$BF$2:$BG1679,MATCH($B2,'RFR Data - preExcl'!$BF$2:$BF1679,0)+1,2),VLOOKUP($B2,'RFR Data - preExcl'!$BF$2:$BG1679,2,FALSE))),IFERROR(0/0,""))</f>
        <v/>
      </c>
      <c r="V2" s="212" t="str">
        <f t="shared" ref="V2:V1673" si="5">CONCATENATE($R2,$U2)</f>
        <v>RUN-COMB_2022-03-20_RFR-001</v>
      </c>
      <c r="W2" s="51"/>
      <c r="X2" s="51"/>
      <c r="Y2" s="147" t="str">
        <f t="shared" ref="Y2:Z2" si="2">IF(_xlfn.ISFORMULA(S2),IFERROR(0/0,""),TRUE)</f>
        <v/>
      </c>
      <c r="Z2" s="147" t="str">
        <f t="shared" si="2"/>
        <v/>
      </c>
    </row>
    <row r="3">
      <c r="A3" s="6" t="str">
        <f>IFERROR(__xludf.DUMMYFUNCTION("""COMPUTED_VALUE"""),"MA212")</f>
        <v>MA212</v>
      </c>
      <c r="B3" s="206">
        <f>IFERROR(__xludf.DUMMYFUNCTION("""COMPUTED_VALUE"""),44640.0)</f>
        <v>44640</v>
      </c>
      <c r="C3" s="207">
        <f>IFERROR(__xludf.DUMMYFUNCTION("""COMPUTED_VALUE"""),0.6711689814814815)</f>
        <v>0.6711689815</v>
      </c>
      <c r="D3" s="50"/>
      <c r="E3" s="58"/>
      <c r="F3" s="58"/>
      <c r="G3" s="58" t="str">
        <f>IFERROR(__xludf.DUMMYFUNCTION("""COMPUTED_VALUE"""),"Negative")</f>
        <v>Negative</v>
      </c>
      <c r="H3" s="206" t="str">
        <f>IFERROR(__xludf.DUMMYFUNCTION("""COMPUTED_VALUE"""),"Negative")</f>
        <v>Negative</v>
      </c>
      <c r="I3" s="207">
        <f>IFERROR(__xludf.DUMMYFUNCTION("""COMPUTED_VALUE"""),44640.0)</f>
        <v>44640</v>
      </c>
      <c r="J3" s="208">
        <f>IFERROR(__xludf.DUMMYFUNCTION("""COMPUTED_VALUE"""),0.7695717592592592)</f>
        <v>0.7695717593</v>
      </c>
      <c r="K3" s="50"/>
      <c r="L3" s="6"/>
      <c r="M3" s="55"/>
      <c r="N3" s="55">
        <f>IFERROR(__xludf.DUMMYFUNCTION("""COMPUTED_VALUE"""),1.0)</f>
        <v>1</v>
      </c>
      <c r="O3" s="55" t="str">
        <f t="shared" si="3"/>
        <v/>
      </c>
      <c r="P3" s="209"/>
      <c r="Q3" s="75" t="b">
        <f>VLOOKUP($B3,'Run Reconcile'!B$2:P1679,15,FALSE)</f>
        <v>1</v>
      </c>
      <c r="R3" s="211" t="str">
        <f t="array" ref="R3">IF($Q3, INDEX('Run Reconcile'!A$2:A1679,MATCH(B3,'Run Reconcile'!B$2:B1679,0),1),IFERROR(0/0,""))</f>
        <v>RUN-COMB_2022-03-20_RFR-001</v>
      </c>
      <c r="S3" s="165" t="str">
        <f t="shared" ref="S3:T3" si="4">IF(COUNTIF(W$2:W1679, $A3) &gt; 0,TRUE,IFERROR(0/0,""))</f>
        <v/>
      </c>
      <c r="T3" s="165" t="str">
        <f t="shared" si="4"/>
        <v/>
      </c>
      <c r="U3" s="147" t="str">
        <f t="array" ref="U3">IF(ISBLANK($R3), IF($S3,VLOOKUP($B3+1,'RFR Data - preExcl'!$BF$2:$BG1679,2,FALSE),IF($T3,INDEX('RFR Data - preExcl'!$BF$2:$BG1679,MATCH($B3,'RFR Data - preExcl'!$BF$2:$BF1679,0)+1,2),VLOOKUP($B3,'RFR Data - preExcl'!$BF$2:$BG1679,2,FALSE))),IFERROR(0/0,""))</f>
        <v/>
      </c>
      <c r="V3" s="212" t="str">
        <f t="shared" si="5"/>
        <v>RUN-COMB_2022-03-20_RFR-001</v>
      </c>
      <c r="W3" s="51"/>
      <c r="X3" s="51"/>
      <c r="Y3" s="147" t="str">
        <f t="shared" ref="Y3:Z3" si="6">IF(_xlfn.ISFORMULA(S3),IFERROR(0/0,""),TRUE)</f>
        <v/>
      </c>
      <c r="Z3" s="147" t="str">
        <f t="shared" si="6"/>
        <v/>
      </c>
    </row>
    <row r="4">
      <c r="A4" s="6" t="str">
        <f>IFERROR(__xludf.DUMMYFUNCTION("""COMPUTED_VALUE"""),"MA145")</f>
        <v>MA145</v>
      </c>
      <c r="B4" s="206">
        <f>IFERROR(__xludf.DUMMYFUNCTION("""COMPUTED_VALUE"""),44640.0)</f>
        <v>44640</v>
      </c>
      <c r="C4" s="207">
        <f>IFERROR(__xludf.DUMMYFUNCTION("""COMPUTED_VALUE"""),0.6772800925925926)</f>
        <v>0.6772800926</v>
      </c>
      <c r="D4" s="50"/>
      <c r="E4" s="58"/>
      <c r="F4" s="58"/>
      <c r="G4" s="58" t="str">
        <f>IFERROR(__xludf.DUMMYFUNCTION("""COMPUTED_VALUE"""),"Negative")</f>
        <v>Negative</v>
      </c>
      <c r="H4" s="206" t="str">
        <f>IFERROR(__xludf.DUMMYFUNCTION("""COMPUTED_VALUE"""),"Negative")</f>
        <v>Negative</v>
      </c>
      <c r="I4" s="207">
        <f>IFERROR(__xludf.DUMMYFUNCTION("""COMPUTED_VALUE"""),44640.0)</f>
        <v>44640</v>
      </c>
      <c r="J4" s="208">
        <f>IFERROR(__xludf.DUMMYFUNCTION("""COMPUTED_VALUE"""),0.7695717592592592)</f>
        <v>0.7695717593</v>
      </c>
      <c r="K4" s="50"/>
      <c r="L4" s="6"/>
      <c r="M4" s="55"/>
      <c r="N4" s="55">
        <f>IFERROR(__xludf.DUMMYFUNCTION("""COMPUTED_VALUE"""),1.0)</f>
        <v>1</v>
      </c>
      <c r="O4" s="55" t="str">
        <f t="shared" si="3"/>
        <v/>
      </c>
      <c r="P4" s="209"/>
      <c r="Q4" s="75" t="b">
        <f>VLOOKUP($B4,'Run Reconcile'!B$2:P1679,15,FALSE)</f>
        <v>1</v>
      </c>
      <c r="R4" s="211" t="str">
        <f t="array" ref="R4">IF($Q4, INDEX('Run Reconcile'!A$2:A1679,MATCH(B4,'Run Reconcile'!B$2:B1679,0),1),IFERROR(0/0,""))</f>
        <v>RUN-COMB_2022-03-20_RFR-001</v>
      </c>
      <c r="S4" s="165" t="str">
        <f t="shared" ref="S4:T4" si="7">IF(COUNTIF(W$2:W1679, $A4) &gt; 0,TRUE,IFERROR(0/0,""))</f>
        <v/>
      </c>
      <c r="T4" s="165" t="str">
        <f t="shared" si="7"/>
        <v/>
      </c>
      <c r="U4" s="147" t="str">
        <f t="array" ref="U4">IF(ISBLANK($R4), IF($S4,VLOOKUP($B4+1,'RFR Data - preExcl'!$BF$2:$BG1679,2,FALSE),IF($T4,INDEX('RFR Data - preExcl'!$BF$2:$BG1679,MATCH($B4,'RFR Data - preExcl'!$BF$2:$BF1679,0)+1,2),VLOOKUP($B4,'RFR Data - preExcl'!$BF$2:$BG1679,2,FALSE))),IFERROR(0/0,""))</f>
        <v/>
      </c>
      <c r="V4" s="212" t="str">
        <f t="shared" si="5"/>
        <v>RUN-COMB_2022-03-20_RFR-001</v>
      </c>
      <c r="W4" s="51"/>
      <c r="X4" s="51"/>
      <c r="Y4" s="147" t="str">
        <f t="shared" ref="Y4:Z4" si="8">IF(_xlfn.ISFORMULA(S4),IFERROR(0/0,""),TRUE)</f>
        <v/>
      </c>
      <c r="Z4" s="147" t="str">
        <f t="shared" si="8"/>
        <v/>
      </c>
    </row>
    <row r="5">
      <c r="A5" s="6" t="str">
        <f>IFERROR(__xludf.DUMMYFUNCTION("""COMPUTED_VALUE"""),"MA61")</f>
        <v>MA61</v>
      </c>
      <c r="B5" s="206">
        <f>IFERROR(__xludf.DUMMYFUNCTION("""COMPUTED_VALUE"""),44640.0)</f>
        <v>44640</v>
      </c>
      <c r="C5" s="207">
        <f>IFERROR(__xludf.DUMMYFUNCTION("""COMPUTED_VALUE"""),0.6777893518518519)</f>
        <v>0.6777893519</v>
      </c>
      <c r="D5" s="50"/>
      <c r="E5" s="58"/>
      <c r="F5" s="58"/>
      <c r="G5" s="58" t="str">
        <f>IFERROR(__xludf.DUMMYFUNCTION("""COMPUTED_VALUE"""),"Negative")</f>
        <v>Negative</v>
      </c>
      <c r="H5" s="206" t="str">
        <f>IFERROR(__xludf.DUMMYFUNCTION("""COMPUTED_VALUE"""),"Negative")</f>
        <v>Negative</v>
      </c>
      <c r="I5" s="207">
        <f>IFERROR(__xludf.DUMMYFUNCTION("""COMPUTED_VALUE"""),44640.0)</f>
        <v>44640</v>
      </c>
      <c r="J5" s="208">
        <f>IFERROR(__xludf.DUMMYFUNCTION("""COMPUTED_VALUE"""),0.7695717592592592)</f>
        <v>0.7695717593</v>
      </c>
      <c r="K5" s="50"/>
      <c r="L5" s="6"/>
      <c r="M5" s="55"/>
      <c r="N5" s="55">
        <f>IFERROR(__xludf.DUMMYFUNCTION("""COMPUTED_VALUE"""),1.0)</f>
        <v>1</v>
      </c>
      <c r="O5" s="55" t="str">
        <f t="shared" si="3"/>
        <v/>
      </c>
      <c r="P5" s="209"/>
      <c r="Q5" s="75" t="b">
        <f>VLOOKUP($B5,'Run Reconcile'!B$2:P1679,15,FALSE)</f>
        <v>1</v>
      </c>
      <c r="R5" s="211" t="str">
        <f t="array" ref="R5">IF($Q5, INDEX('Run Reconcile'!A$2:A1679,MATCH(B5,'Run Reconcile'!B$2:B1679,0),1),IFERROR(0/0,""))</f>
        <v>RUN-COMB_2022-03-20_RFR-001</v>
      </c>
      <c r="S5" s="165" t="str">
        <f t="shared" ref="S5:T5" si="9">IF(COUNTIF(W$2:W1679, $A5) &gt; 0,TRUE,IFERROR(0/0,""))</f>
        <v/>
      </c>
      <c r="T5" s="165" t="str">
        <f t="shared" si="9"/>
        <v/>
      </c>
      <c r="U5" s="147" t="str">
        <f t="array" ref="U5">IF(ISBLANK($R5), IF($S5,VLOOKUP($B5+1,'RFR Data - preExcl'!$BF$2:$BG1679,2,FALSE),IF($T5,INDEX('RFR Data - preExcl'!$BF$2:$BG1679,MATCH($B5,'RFR Data - preExcl'!$BF$2:$BF1679,0)+1,2),VLOOKUP($B5,'RFR Data - preExcl'!$BF$2:$BG1679,2,FALSE))),IFERROR(0/0,""))</f>
        <v/>
      </c>
      <c r="V5" s="212" t="str">
        <f t="shared" si="5"/>
        <v>RUN-COMB_2022-03-20_RFR-001</v>
      </c>
      <c r="W5" s="51"/>
      <c r="X5" s="51"/>
      <c r="Y5" s="147" t="str">
        <f t="shared" ref="Y5:Z5" si="10">IF(_xlfn.ISFORMULA(S5),IFERROR(0/0,""),TRUE)</f>
        <v/>
      </c>
      <c r="Z5" s="147" t="str">
        <f t="shared" si="10"/>
        <v/>
      </c>
    </row>
    <row r="6">
      <c r="A6" s="6" t="str">
        <f>IFERROR(__xludf.DUMMYFUNCTION("""COMPUTED_VALUE"""),"MA236")</f>
        <v>MA236</v>
      </c>
      <c r="B6" s="206">
        <f>IFERROR(__xludf.DUMMYFUNCTION("""COMPUTED_VALUE"""),44640.0)</f>
        <v>44640</v>
      </c>
      <c r="C6" s="207">
        <f>IFERROR(__xludf.DUMMYFUNCTION("""COMPUTED_VALUE"""),0.6791898148148148)</f>
        <v>0.6791898148</v>
      </c>
      <c r="D6" s="50"/>
      <c r="E6" s="58"/>
      <c r="F6" s="58"/>
      <c r="G6" s="58" t="str">
        <f>IFERROR(__xludf.DUMMYFUNCTION("""COMPUTED_VALUE"""),"Negative")</f>
        <v>Negative</v>
      </c>
      <c r="H6" s="206" t="str">
        <f>IFERROR(__xludf.DUMMYFUNCTION("""COMPUTED_VALUE"""),"Negative")</f>
        <v>Negative</v>
      </c>
      <c r="I6" s="207">
        <f>IFERROR(__xludf.DUMMYFUNCTION("""COMPUTED_VALUE"""),44640.0)</f>
        <v>44640</v>
      </c>
      <c r="J6" s="208">
        <f>IFERROR(__xludf.DUMMYFUNCTION("""COMPUTED_VALUE"""),0.7695717592592592)</f>
        <v>0.7695717593</v>
      </c>
      <c r="K6" s="50"/>
      <c r="L6" s="6"/>
      <c r="M6" s="55"/>
      <c r="N6" s="55">
        <f>IFERROR(__xludf.DUMMYFUNCTION("""COMPUTED_VALUE"""),1.0)</f>
        <v>1</v>
      </c>
      <c r="O6" s="55" t="str">
        <f t="shared" si="3"/>
        <v/>
      </c>
      <c r="P6" s="209"/>
      <c r="Q6" s="75" t="b">
        <f>VLOOKUP($B6,'Run Reconcile'!B$2:P1679,15,FALSE)</f>
        <v>1</v>
      </c>
      <c r="R6" s="211" t="str">
        <f t="array" ref="R6">IF($Q6, INDEX('Run Reconcile'!A$2:A1679,MATCH(B6,'Run Reconcile'!B$2:B1679,0),1),IFERROR(0/0,""))</f>
        <v>RUN-COMB_2022-03-20_RFR-001</v>
      </c>
      <c r="S6" s="165" t="str">
        <f t="shared" ref="S6:T6" si="11">IF(COUNTIF(W$2:W1679, $A6) &gt; 0,TRUE,IFERROR(0/0,""))</f>
        <v/>
      </c>
      <c r="T6" s="165" t="str">
        <f t="shared" si="11"/>
        <v/>
      </c>
      <c r="U6" s="147" t="str">
        <f t="array" ref="U6">IF(ISBLANK($R6), IF($S6,VLOOKUP($B6+1,'RFR Data - preExcl'!$BF$2:$BG1679,2,FALSE),IF($T6,INDEX('RFR Data - preExcl'!$BF$2:$BG1679,MATCH($B6,'RFR Data - preExcl'!$BF$2:$BF1679,0)+1,2),VLOOKUP($B6,'RFR Data - preExcl'!$BF$2:$BG1679,2,FALSE))),IFERROR(0/0,""))</f>
        <v/>
      </c>
      <c r="V6" s="212" t="str">
        <f t="shared" si="5"/>
        <v>RUN-COMB_2022-03-20_RFR-001</v>
      </c>
      <c r="W6" s="51"/>
      <c r="X6" s="51"/>
      <c r="Y6" s="147" t="str">
        <f t="shared" ref="Y6:Z6" si="12">IF(_xlfn.ISFORMULA(S6),IFERROR(0/0,""),TRUE)</f>
        <v/>
      </c>
      <c r="Z6" s="147" t="str">
        <f t="shared" si="12"/>
        <v/>
      </c>
    </row>
    <row r="7">
      <c r="A7" s="6" t="str">
        <f>IFERROR(__xludf.DUMMYFUNCTION("""COMPUTED_VALUE"""),"MA232")</f>
        <v>MA232</v>
      </c>
      <c r="B7" s="206">
        <f>IFERROR(__xludf.DUMMYFUNCTION("""COMPUTED_VALUE"""),44640.0)</f>
        <v>44640</v>
      </c>
      <c r="C7" s="207">
        <f>IFERROR(__xludf.DUMMYFUNCTION("""COMPUTED_VALUE"""),0.680625)</f>
        <v>0.680625</v>
      </c>
      <c r="D7" s="50"/>
      <c r="E7" s="58"/>
      <c r="F7" s="58"/>
      <c r="G7" s="58" t="str">
        <f>IFERROR(__xludf.DUMMYFUNCTION("""COMPUTED_VALUE"""),"Negative")</f>
        <v>Negative</v>
      </c>
      <c r="H7" s="206" t="str">
        <f>IFERROR(__xludf.DUMMYFUNCTION("""COMPUTED_VALUE"""),"Negative")</f>
        <v>Negative</v>
      </c>
      <c r="I7" s="207">
        <f>IFERROR(__xludf.DUMMYFUNCTION("""COMPUTED_VALUE"""),44640.0)</f>
        <v>44640</v>
      </c>
      <c r="J7" s="208">
        <f>IFERROR(__xludf.DUMMYFUNCTION("""COMPUTED_VALUE"""),0.7695717592592592)</f>
        <v>0.7695717593</v>
      </c>
      <c r="K7" s="50"/>
      <c r="L7" s="6"/>
      <c r="M7" s="55"/>
      <c r="N7" s="55">
        <f>IFERROR(__xludf.DUMMYFUNCTION("""COMPUTED_VALUE"""),1.0)</f>
        <v>1</v>
      </c>
      <c r="O7" s="55" t="str">
        <f t="shared" si="3"/>
        <v/>
      </c>
      <c r="P7" s="209"/>
      <c r="Q7" s="75" t="b">
        <f>VLOOKUP($B7,'Run Reconcile'!B$2:P1679,15,FALSE)</f>
        <v>1</v>
      </c>
      <c r="R7" s="211" t="str">
        <f t="array" ref="R7">IF($Q7, INDEX('Run Reconcile'!A$2:A1679,MATCH(B7,'Run Reconcile'!B$2:B1679,0),1),IFERROR(0/0,""))</f>
        <v>RUN-COMB_2022-03-20_RFR-001</v>
      </c>
      <c r="S7" s="165" t="str">
        <f t="shared" ref="S7:T7" si="13">IF(COUNTIF(W$2:W1679, $A7) &gt; 0,TRUE,IFERROR(0/0,""))</f>
        <v/>
      </c>
      <c r="T7" s="165" t="str">
        <f t="shared" si="13"/>
        <v/>
      </c>
      <c r="U7" s="147" t="str">
        <f t="array" ref="U7">IF(ISBLANK($R7), IF($S7,VLOOKUP($B7+1,'RFR Data - preExcl'!$BF$2:$BG1679,2,FALSE),IF($T7,INDEX('RFR Data - preExcl'!$BF$2:$BG1679,MATCH($B7,'RFR Data - preExcl'!$BF$2:$BF1679,0)+1,2),VLOOKUP($B7,'RFR Data - preExcl'!$BF$2:$BG1679,2,FALSE))),IFERROR(0/0,""))</f>
        <v/>
      </c>
      <c r="V7" s="212" t="str">
        <f t="shared" si="5"/>
        <v>RUN-COMB_2022-03-20_RFR-001</v>
      </c>
      <c r="W7" s="51"/>
      <c r="X7" s="51"/>
      <c r="Y7" s="147" t="str">
        <f t="shared" ref="Y7:Z7" si="14">IF(_xlfn.ISFORMULA(S7),IFERROR(0/0,""),TRUE)</f>
        <v/>
      </c>
      <c r="Z7" s="147" t="str">
        <f t="shared" si="14"/>
        <v/>
      </c>
    </row>
    <row r="8">
      <c r="A8" s="6" t="str">
        <f>IFERROR(__xludf.DUMMYFUNCTION("""COMPUTED_VALUE"""),"MA138")</f>
        <v>MA138</v>
      </c>
      <c r="B8" s="206">
        <f>IFERROR(__xludf.DUMMYFUNCTION("""COMPUTED_VALUE"""),44640.0)</f>
        <v>44640</v>
      </c>
      <c r="C8" s="207">
        <f>IFERROR(__xludf.DUMMYFUNCTION("""COMPUTED_VALUE"""),0.6821296296296296)</f>
        <v>0.6821296296</v>
      </c>
      <c r="D8" s="50"/>
      <c r="E8" s="58"/>
      <c r="F8" s="58"/>
      <c r="G8" s="58" t="str">
        <f>IFERROR(__xludf.DUMMYFUNCTION("""COMPUTED_VALUE"""),"Negative")</f>
        <v>Negative</v>
      </c>
      <c r="H8" s="206" t="str">
        <f>IFERROR(__xludf.DUMMYFUNCTION("""COMPUTED_VALUE"""),"Negative")</f>
        <v>Negative</v>
      </c>
      <c r="I8" s="207">
        <f>IFERROR(__xludf.DUMMYFUNCTION("""COMPUTED_VALUE"""),44640.0)</f>
        <v>44640</v>
      </c>
      <c r="J8" s="208">
        <f>IFERROR(__xludf.DUMMYFUNCTION("""COMPUTED_VALUE"""),0.7695717592592592)</f>
        <v>0.7695717593</v>
      </c>
      <c r="K8" s="50"/>
      <c r="L8" s="6"/>
      <c r="M8" s="55"/>
      <c r="N8" s="55">
        <f>IFERROR(__xludf.DUMMYFUNCTION("""COMPUTED_VALUE"""),1.0)</f>
        <v>1</v>
      </c>
      <c r="O8" s="55" t="str">
        <f t="shared" si="3"/>
        <v/>
      </c>
      <c r="P8" s="209"/>
      <c r="Q8" s="75" t="b">
        <f>VLOOKUP($B8,'Run Reconcile'!B$2:P1679,15,FALSE)</f>
        <v>1</v>
      </c>
      <c r="R8" s="211" t="str">
        <f t="array" ref="R8">IF($Q8, INDEX('Run Reconcile'!A$2:A1679,MATCH(B8,'Run Reconcile'!B$2:B1679,0),1),IFERROR(0/0,""))</f>
        <v>RUN-COMB_2022-03-20_RFR-001</v>
      </c>
      <c r="S8" s="165" t="str">
        <f t="shared" ref="S8:T8" si="15">IF(COUNTIF(W$2:W1679, $A8) &gt; 0,TRUE,IFERROR(0/0,""))</f>
        <v/>
      </c>
      <c r="T8" s="165" t="str">
        <f t="shared" si="15"/>
        <v/>
      </c>
      <c r="U8" s="147" t="str">
        <f t="array" ref="U8">IF(ISBLANK($R8), IF($S8,VLOOKUP($B8+1,'RFR Data - preExcl'!$BF$2:$BG1679,2,FALSE),IF($T8,INDEX('RFR Data - preExcl'!$BF$2:$BG1679,MATCH($B8,'RFR Data - preExcl'!$BF$2:$BF1679,0)+1,2),VLOOKUP($B8,'RFR Data - preExcl'!$BF$2:$BG1679,2,FALSE))),IFERROR(0/0,""))</f>
        <v/>
      </c>
      <c r="V8" s="212" t="str">
        <f t="shared" si="5"/>
        <v>RUN-COMB_2022-03-20_RFR-001</v>
      </c>
      <c r="W8" s="51"/>
      <c r="X8" s="51"/>
      <c r="Y8" s="147" t="str">
        <f t="shared" ref="Y8:Z8" si="16">IF(_xlfn.ISFORMULA(S8),IFERROR(0/0,""),TRUE)</f>
        <v/>
      </c>
      <c r="Z8" s="147" t="str">
        <f t="shared" si="16"/>
        <v/>
      </c>
    </row>
    <row r="9">
      <c r="A9" s="6" t="str">
        <f>IFERROR(__xludf.DUMMYFUNCTION("""COMPUTED_VALUE"""),"MA73")</f>
        <v>MA73</v>
      </c>
      <c r="B9" s="206">
        <f>IFERROR(__xludf.DUMMYFUNCTION("""COMPUTED_VALUE"""),44640.0)</f>
        <v>44640</v>
      </c>
      <c r="C9" s="207">
        <f>IFERROR(__xludf.DUMMYFUNCTION("""COMPUTED_VALUE"""),0.6849537037037037)</f>
        <v>0.6849537037</v>
      </c>
      <c r="D9" s="50"/>
      <c r="E9" s="58"/>
      <c r="F9" s="58"/>
      <c r="G9" s="58" t="str">
        <f>IFERROR(__xludf.DUMMYFUNCTION("""COMPUTED_VALUE"""),"Negative")</f>
        <v>Negative</v>
      </c>
      <c r="H9" s="206" t="str">
        <f>IFERROR(__xludf.DUMMYFUNCTION("""COMPUTED_VALUE"""),"Negative")</f>
        <v>Negative</v>
      </c>
      <c r="I9" s="207">
        <f>IFERROR(__xludf.DUMMYFUNCTION("""COMPUTED_VALUE"""),44640.0)</f>
        <v>44640</v>
      </c>
      <c r="J9" s="208">
        <f>IFERROR(__xludf.DUMMYFUNCTION("""COMPUTED_VALUE"""),0.7695717592592592)</f>
        <v>0.7695717593</v>
      </c>
      <c r="K9" s="50"/>
      <c r="L9" s="6"/>
      <c r="M9" s="55"/>
      <c r="N9" s="55">
        <f>IFERROR(__xludf.DUMMYFUNCTION("""COMPUTED_VALUE"""),1.0)</f>
        <v>1</v>
      </c>
      <c r="O9" s="55" t="str">
        <f t="shared" si="3"/>
        <v/>
      </c>
      <c r="P9" s="209"/>
      <c r="Q9" s="75" t="b">
        <f>VLOOKUP($B9,'Run Reconcile'!B$2:P1679,15,FALSE)</f>
        <v>1</v>
      </c>
      <c r="R9" s="211" t="str">
        <f t="array" ref="R9">IF($Q9, INDEX('Run Reconcile'!A$2:A1679,MATCH(B9,'Run Reconcile'!B$2:B1679,0),1),IFERROR(0/0,""))</f>
        <v>RUN-COMB_2022-03-20_RFR-001</v>
      </c>
      <c r="S9" s="165" t="str">
        <f t="shared" ref="S9:T9" si="17">IF(COUNTIF(W$2:W1679, $A9) &gt; 0,TRUE,IFERROR(0/0,""))</f>
        <v/>
      </c>
      <c r="T9" s="165" t="str">
        <f t="shared" si="17"/>
        <v/>
      </c>
      <c r="U9" s="147" t="str">
        <f t="array" ref="U9">IF(ISBLANK($R9), IF($S9,VLOOKUP($B9+1,'RFR Data - preExcl'!$BF$2:$BG1679,2,FALSE),IF($T9,INDEX('RFR Data - preExcl'!$BF$2:$BG1679,MATCH($B9,'RFR Data - preExcl'!$BF$2:$BF1679,0)+1,2),VLOOKUP($B9,'RFR Data - preExcl'!$BF$2:$BG1679,2,FALSE))),IFERROR(0/0,""))</f>
        <v/>
      </c>
      <c r="V9" s="212" t="str">
        <f t="shared" si="5"/>
        <v>RUN-COMB_2022-03-20_RFR-001</v>
      </c>
      <c r="W9" s="51"/>
      <c r="X9" s="51"/>
      <c r="Y9" s="147" t="str">
        <f t="shared" ref="Y9:Z9" si="18">IF(_xlfn.ISFORMULA(S9),IFERROR(0/0,""),TRUE)</f>
        <v/>
      </c>
      <c r="Z9" s="147" t="str">
        <f t="shared" si="18"/>
        <v/>
      </c>
    </row>
    <row r="10">
      <c r="A10" s="6" t="str">
        <f>IFERROR(__xludf.DUMMYFUNCTION("""COMPUTED_VALUE"""),"MA147")</f>
        <v>MA147</v>
      </c>
      <c r="B10" s="206">
        <f>IFERROR(__xludf.DUMMYFUNCTION("""COMPUTED_VALUE"""),44640.0)</f>
        <v>44640</v>
      </c>
      <c r="C10" s="207">
        <f>IFERROR(__xludf.DUMMYFUNCTION("""COMPUTED_VALUE"""),0.686400462962963)</f>
        <v>0.686400463</v>
      </c>
      <c r="D10" s="50"/>
      <c r="E10" s="58"/>
      <c r="F10" s="58"/>
      <c r="G10" s="58" t="str">
        <f>IFERROR(__xludf.DUMMYFUNCTION("""COMPUTED_VALUE"""),"Negative")</f>
        <v>Negative</v>
      </c>
      <c r="H10" s="206" t="str">
        <f>IFERROR(__xludf.DUMMYFUNCTION("""COMPUTED_VALUE"""),"Negative")</f>
        <v>Negative</v>
      </c>
      <c r="I10" s="207">
        <f>IFERROR(__xludf.DUMMYFUNCTION("""COMPUTED_VALUE"""),44640.0)</f>
        <v>44640</v>
      </c>
      <c r="J10" s="208">
        <f>IFERROR(__xludf.DUMMYFUNCTION("""COMPUTED_VALUE"""),0.7695717592592592)</f>
        <v>0.7695717593</v>
      </c>
      <c r="K10" s="50"/>
      <c r="L10" s="6"/>
      <c r="M10" s="55"/>
      <c r="N10" s="55">
        <f>IFERROR(__xludf.DUMMYFUNCTION("""COMPUTED_VALUE"""),1.0)</f>
        <v>1</v>
      </c>
      <c r="O10" s="55" t="str">
        <f t="shared" si="3"/>
        <v/>
      </c>
      <c r="P10" s="209"/>
      <c r="Q10" s="75" t="b">
        <f>VLOOKUP($B10,'Run Reconcile'!B$2:P1679,15,FALSE)</f>
        <v>1</v>
      </c>
      <c r="R10" s="211" t="str">
        <f t="array" ref="R10">IF($Q10, INDEX('Run Reconcile'!A$2:A1679,MATCH(B10,'Run Reconcile'!B$2:B1679,0),1),IFERROR(0/0,""))</f>
        <v>RUN-COMB_2022-03-20_RFR-001</v>
      </c>
      <c r="S10" s="165" t="str">
        <f t="shared" ref="S10:T10" si="19">IF(COUNTIF(W$2:W1679, $A10) &gt; 0,TRUE,IFERROR(0/0,""))</f>
        <v/>
      </c>
      <c r="T10" s="165" t="str">
        <f t="shared" si="19"/>
        <v/>
      </c>
      <c r="U10" s="147" t="str">
        <f t="array" ref="U10">IF(ISBLANK($R10), IF($S10,VLOOKUP($B10+1,'RFR Data - preExcl'!$BF$2:$BG1679,2,FALSE),IF($T10,INDEX('RFR Data - preExcl'!$BF$2:$BG1679,MATCH($B10,'RFR Data - preExcl'!$BF$2:$BF1679,0)+1,2),VLOOKUP($B10,'RFR Data - preExcl'!$BF$2:$BG1679,2,FALSE))),IFERROR(0/0,""))</f>
        <v/>
      </c>
      <c r="V10" s="212" t="str">
        <f t="shared" si="5"/>
        <v>RUN-COMB_2022-03-20_RFR-001</v>
      </c>
      <c r="W10" s="51"/>
      <c r="X10" s="51"/>
      <c r="Y10" s="147" t="str">
        <f t="shared" ref="Y10:Z10" si="20">IF(_xlfn.ISFORMULA(S10),IFERROR(0/0,""),TRUE)</f>
        <v/>
      </c>
      <c r="Z10" s="147" t="str">
        <f t="shared" si="20"/>
        <v/>
      </c>
    </row>
    <row r="11">
      <c r="A11" s="6" t="str">
        <f>IFERROR(__xludf.DUMMYFUNCTION("""COMPUTED_VALUE"""),"MA160")</f>
        <v>MA160</v>
      </c>
      <c r="B11" s="206">
        <f>IFERROR(__xludf.DUMMYFUNCTION("""COMPUTED_VALUE"""),44640.0)</f>
        <v>44640</v>
      </c>
      <c r="C11" s="207">
        <f>IFERROR(__xludf.DUMMYFUNCTION("""COMPUTED_VALUE"""),0.6880208333333333)</f>
        <v>0.6880208333</v>
      </c>
      <c r="D11" s="50"/>
      <c r="E11" s="58"/>
      <c r="F11" s="58"/>
      <c r="G11" s="58" t="str">
        <f>IFERROR(__xludf.DUMMYFUNCTION("""COMPUTED_VALUE"""),"Negative")</f>
        <v>Negative</v>
      </c>
      <c r="H11" s="206" t="str">
        <f>IFERROR(__xludf.DUMMYFUNCTION("""COMPUTED_VALUE"""),"Negative")</f>
        <v>Negative</v>
      </c>
      <c r="I11" s="207">
        <f>IFERROR(__xludf.DUMMYFUNCTION("""COMPUTED_VALUE"""),44640.0)</f>
        <v>44640</v>
      </c>
      <c r="J11" s="208">
        <f>IFERROR(__xludf.DUMMYFUNCTION("""COMPUTED_VALUE"""),0.7695717592592592)</f>
        <v>0.7695717593</v>
      </c>
      <c r="K11" s="50"/>
      <c r="L11" s="6"/>
      <c r="M11" s="55"/>
      <c r="N11" s="55">
        <f>IFERROR(__xludf.DUMMYFUNCTION("""COMPUTED_VALUE"""),1.0)</f>
        <v>1</v>
      </c>
      <c r="O11" s="55" t="str">
        <f t="shared" si="3"/>
        <v/>
      </c>
      <c r="P11" s="209"/>
      <c r="Q11" s="75" t="b">
        <f>VLOOKUP($B11,'Run Reconcile'!B$2:P1679,15,FALSE)</f>
        <v>1</v>
      </c>
      <c r="R11" s="211" t="str">
        <f t="array" ref="R11">IF($Q11, INDEX('Run Reconcile'!A$2:A1679,MATCH(B11,'Run Reconcile'!B$2:B1679,0),1),IFERROR(0/0,""))</f>
        <v>RUN-COMB_2022-03-20_RFR-001</v>
      </c>
      <c r="S11" s="165" t="str">
        <f t="shared" ref="S11:T11" si="21">IF(COUNTIF(W$2:W1679, $A11) &gt; 0,TRUE,IFERROR(0/0,""))</f>
        <v/>
      </c>
      <c r="T11" s="165" t="str">
        <f t="shared" si="21"/>
        <v/>
      </c>
      <c r="U11" s="147" t="str">
        <f t="array" ref="U11">IF(ISBLANK($R11), IF($S11,VLOOKUP($B11+1,'RFR Data - preExcl'!$BF$2:$BG1679,2,FALSE),IF($T11,INDEX('RFR Data - preExcl'!$BF$2:$BG1679,MATCH($B11,'RFR Data - preExcl'!$BF$2:$BF1679,0)+1,2),VLOOKUP($B11,'RFR Data - preExcl'!$BF$2:$BG1679,2,FALSE))),IFERROR(0/0,""))</f>
        <v/>
      </c>
      <c r="V11" s="212" t="str">
        <f t="shared" si="5"/>
        <v>RUN-COMB_2022-03-20_RFR-001</v>
      </c>
      <c r="W11" s="51"/>
      <c r="X11" s="51"/>
      <c r="Y11" s="147" t="str">
        <f t="shared" ref="Y11:Z11" si="22">IF(_xlfn.ISFORMULA(S11),IFERROR(0/0,""),TRUE)</f>
        <v/>
      </c>
      <c r="Z11" s="147" t="str">
        <f t="shared" si="22"/>
        <v/>
      </c>
    </row>
    <row r="12">
      <c r="A12" s="6" t="str">
        <f>IFERROR(__xludf.DUMMYFUNCTION("""COMPUTED_VALUE"""),"MA179")</f>
        <v>MA179</v>
      </c>
      <c r="B12" s="206">
        <f>IFERROR(__xludf.DUMMYFUNCTION("""COMPUTED_VALUE"""),44640.0)</f>
        <v>44640</v>
      </c>
      <c r="C12" s="207">
        <f>IFERROR(__xludf.DUMMYFUNCTION("""COMPUTED_VALUE"""),0.6901273148148148)</f>
        <v>0.6901273148</v>
      </c>
      <c r="D12" s="50"/>
      <c r="E12" s="58"/>
      <c r="F12" s="58"/>
      <c r="G12" s="58" t="str">
        <f>IFERROR(__xludf.DUMMYFUNCTION("""COMPUTED_VALUE"""),"Negative")</f>
        <v>Negative</v>
      </c>
      <c r="H12" s="206" t="str">
        <f>IFERROR(__xludf.DUMMYFUNCTION("""COMPUTED_VALUE"""),"Negative")</f>
        <v>Negative</v>
      </c>
      <c r="I12" s="207">
        <f>IFERROR(__xludf.DUMMYFUNCTION("""COMPUTED_VALUE"""),44640.0)</f>
        <v>44640</v>
      </c>
      <c r="J12" s="208">
        <f>IFERROR(__xludf.DUMMYFUNCTION("""COMPUTED_VALUE"""),0.7695717592592592)</f>
        <v>0.7695717593</v>
      </c>
      <c r="K12" s="50"/>
      <c r="L12" s="6"/>
      <c r="M12" s="55"/>
      <c r="N12" s="55">
        <f>IFERROR(__xludf.DUMMYFUNCTION("""COMPUTED_VALUE"""),1.0)</f>
        <v>1</v>
      </c>
      <c r="O12" s="55" t="str">
        <f t="shared" si="3"/>
        <v/>
      </c>
      <c r="P12" s="209"/>
      <c r="Q12" s="75" t="b">
        <f>VLOOKUP($B12,'Run Reconcile'!B$2:P1679,15,FALSE)</f>
        <v>1</v>
      </c>
      <c r="R12" s="211" t="str">
        <f t="array" ref="R12">IF($Q12, INDEX('Run Reconcile'!A$2:A1679,MATCH(B12,'Run Reconcile'!B$2:B1679,0),1),IFERROR(0/0,""))</f>
        <v>RUN-COMB_2022-03-20_RFR-001</v>
      </c>
      <c r="S12" s="165" t="str">
        <f t="shared" ref="S12:T12" si="23">IF(COUNTIF(W$2:W1679, $A12) &gt; 0,TRUE,IFERROR(0/0,""))</f>
        <v/>
      </c>
      <c r="T12" s="165" t="str">
        <f t="shared" si="23"/>
        <v/>
      </c>
      <c r="U12" s="147" t="str">
        <f t="array" ref="U12">IF(ISBLANK($R12), IF($S12,VLOOKUP($B12+1,'RFR Data - preExcl'!$BF$2:$BG1679,2,FALSE),IF($T12,INDEX('RFR Data - preExcl'!$BF$2:$BG1679,MATCH($B12,'RFR Data - preExcl'!$BF$2:$BF1679,0)+1,2),VLOOKUP($B12,'RFR Data - preExcl'!$BF$2:$BG1679,2,FALSE))),IFERROR(0/0,""))</f>
        <v/>
      </c>
      <c r="V12" s="212" t="str">
        <f t="shared" si="5"/>
        <v>RUN-COMB_2022-03-20_RFR-001</v>
      </c>
      <c r="W12" s="51"/>
      <c r="X12" s="51"/>
      <c r="Y12" s="147" t="str">
        <f t="shared" ref="Y12:Z12" si="24">IF(_xlfn.ISFORMULA(S12),IFERROR(0/0,""),TRUE)</f>
        <v/>
      </c>
      <c r="Z12" s="147" t="str">
        <f t="shared" si="24"/>
        <v/>
      </c>
    </row>
    <row r="13">
      <c r="A13" s="6" t="str">
        <f>IFERROR(__xludf.DUMMYFUNCTION("""COMPUTED_VALUE"""),"MA149")</f>
        <v>MA149</v>
      </c>
      <c r="B13" s="206">
        <f>IFERROR(__xludf.DUMMYFUNCTION("""COMPUTED_VALUE"""),44640.0)</f>
        <v>44640</v>
      </c>
      <c r="C13" s="207">
        <f>IFERROR(__xludf.DUMMYFUNCTION("""COMPUTED_VALUE"""),0.6930671296296296)</f>
        <v>0.6930671296</v>
      </c>
      <c r="D13" s="50"/>
      <c r="E13" s="58"/>
      <c r="F13" s="58"/>
      <c r="G13" s="58" t="str">
        <f>IFERROR(__xludf.DUMMYFUNCTION("""COMPUTED_VALUE"""),"Negative")</f>
        <v>Negative</v>
      </c>
      <c r="H13" s="206" t="str">
        <f>IFERROR(__xludf.DUMMYFUNCTION("""COMPUTED_VALUE"""),"Negative")</f>
        <v>Negative</v>
      </c>
      <c r="I13" s="207">
        <f>IFERROR(__xludf.DUMMYFUNCTION("""COMPUTED_VALUE"""),44640.0)</f>
        <v>44640</v>
      </c>
      <c r="J13" s="208">
        <f>IFERROR(__xludf.DUMMYFUNCTION("""COMPUTED_VALUE"""),0.7695833333333333)</f>
        <v>0.7695833333</v>
      </c>
      <c r="K13" s="50"/>
      <c r="L13" s="6"/>
      <c r="M13" s="55"/>
      <c r="N13" s="55">
        <f>IFERROR(__xludf.DUMMYFUNCTION("""COMPUTED_VALUE"""),1.0)</f>
        <v>1</v>
      </c>
      <c r="O13" s="55" t="str">
        <f t="shared" si="3"/>
        <v/>
      </c>
      <c r="P13" s="209"/>
      <c r="Q13" s="75" t="b">
        <f>VLOOKUP($B13,'Run Reconcile'!B$2:P1679,15,FALSE)</f>
        <v>1</v>
      </c>
      <c r="R13" s="211" t="str">
        <f t="array" ref="R13">IF($Q13, INDEX('Run Reconcile'!A$2:A1679,MATCH(B13,'Run Reconcile'!B$2:B1679,0),1),IFERROR(0/0,""))</f>
        <v>RUN-COMB_2022-03-20_RFR-001</v>
      </c>
      <c r="S13" s="165" t="str">
        <f t="shared" ref="S13:T13" si="25">IF(COUNTIF(W$2:W1679, $A13) &gt; 0,TRUE,IFERROR(0/0,""))</f>
        <v/>
      </c>
      <c r="T13" s="165" t="str">
        <f t="shared" si="25"/>
        <v/>
      </c>
      <c r="U13" s="147" t="str">
        <f t="array" ref="U13">IF(ISBLANK($R13), IF($S13,VLOOKUP($B13+1,'RFR Data - preExcl'!$BF$2:$BG1679,2,FALSE),IF($T13,INDEX('RFR Data - preExcl'!$BF$2:$BG1679,MATCH($B13,'RFR Data - preExcl'!$BF$2:$BF1679,0)+1,2),VLOOKUP($B13,'RFR Data - preExcl'!$BF$2:$BG1679,2,FALSE))),IFERROR(0/0,""))</f>
        <v/>
      </c>
      <c r="V13" s="212" t="str">
        <f t="shared" si="5"/>
        <v>RUN-COMB_2022-03-20_RFR-001</v>
      </c>
      <c r="W13" s="51"/>
      <c r="X13" s="51"/>
      <c r="Y13" s="147" t="str">
        <f t="shared" ref="Y13:Z13" si="26">IF(_xlfn.ISFORMULA(S13),IFERROR(0/0,""),TRUE)</f>
        <v/>
      </c>
      <c r="Z13" s="147" t="str">
        <f t="shared" si="26"/>
        <v/>
      </c>
    </row>
    <row r="14">
      <c r="A14" s="6" t="str">
        <f>IFERROR(__xludf.DUMMYFUNCTION("""COMPUTED_VALUE"""),"MA126")</f>
        <v>MA126</v>
      </c>
      <c r="B14" s="206">
        <f>IFERROR(__xludf.DUMMYFUNCTION("""COMPUTED_VALUE"""),44640.0)</f>
        <v>44640</v>
      </c>
      <c r="C14" s="207">
        <f>IFERROR(__xludf.DUMMYFUNCTION("""COMPUTED_VALUE"""),0.6937962962962962)</f>
        <v>0.6937962963</v>
      </c>
      <c r="D14" s="50"/>
      <c r="E14" s="58"/>
      <c r="F14" s="58"/>
      <c r="G14" s="58" t="str">
        <f>IFERROR(__xludf.DUMMYFUNCTION("""COMPUTED_VALUE"""),"Inconclusive")</f>
        <v>Inconclusive</v>
      </c>
      <c r="H14" s="206" t="str">
        <f>IFERROR(__xludf.DUMMYFUNCTION("""COMPUTED_VALUE"""),"Negative")</f>
        <v>Negative</v>
      </c>
      <c r="I14" s="207">
        <f>IFERROR(__xludf.DUMMYFUNCTION("""COMPUTED_VALUE"""),44640.0)</f>
        <v>44640</v>
      </c>
      <c r="J14" s="208">
        <f>IFERROR(__xludf.DUMMYFUNCTION("""COMPUTED_VALUE"""),0.7697685185185185)</f>
        <v>0.7697685185</v>
      </c>
      <c r="K14" s="50">
        <f>IFERROR(__xludf.DUMMYFUNCTION("""COMPUTED_VALUE"""),2.5)</f>
        <v>2.5</v>
      </c>
      <c r="L14" s="6"/>
      <c r="M14" s="55"/>
      <c r="N14" s="55">
        <f>IFERROR(__xludf.DUMMYFUNCTION("""COMPUTED_VALUE"""),1.0)</f>
        <v>1</v>
      </c>
      <c r="O14" s="55" t="str">
        <f t="shared" si="3"/>
        <v/>
      </c>
      <c r="P14" s="209"/>
      <c r="Q14" s="75" t="b">
        <f>VLOOKUP($B14,'Run Reconcile'!B$2:P1679,15,FALSE)</f>
        <v>1</v>
      </c>
      <c r="R14" s="211" t="str">
        <f t="array" ref="R14">IF($Q14, INDEX('Run Reconcile'!A$2:A1679,MATCH(B14,'Run Reconcile'!B$2:B1679,0),1),IFERROR(0/0,""))</f>
        <v>RUN-COMB_2022-03-20_RFR-001</v>
      </c>
      <c r="S14" s="165" t="str">
        <f t="shared" ref="S14:T14" si="27">IF(COUNTIF(W$2:W1679, $A14) &gt; 0,TRUE,IFERROR(0/0,""))</f>
        <v/>
      </c>
      <c r="T14" s="165" t="str">
        <f t="shared" si="27"/>
        <v/>
      </c>
      <c r="U14" s="147" t="str">
        <f t="array" ref="U14">IF(ISBLANK($R14), IF($S14,VLOOKUP($B14+1,'RFR Data - preExcl'!$BF$2:$BG1679,2,FALSE),IF($T14,INDEX('RFR Data - preExcl'!$BF$2:$BG1679,MATCH($B14,'RFR Data - preExcl'!$BF$2:$BF1679,0)+1,2),VLOOKUP($B14,'RFR Data - preExcl'!$BF$2:$BG1679,2,FALSE))),IFERROR(0/0,""))</f>
        <v/>
      </c>
      <c r="V14" s="212" t="str">
        <f t="shared" si="5"/>
        <v>RUN-COMB_2022-03-20_RFR-001</v>
      </c>
      <c r="W14" s="51"/>
      <c r="X14" s="51"/>
      <c r="Y14" s="147" t="str">
        <f t="shared" ref="Y14:Z14" si="28">IF(_xlfn.ISFORMULA(S14),IFERROR(0/0,""),TRUE)</f>
        <v/>
      </c>
      <c r="Z14" s="147" t="str">
        <f t="shared" si="28"/>
        <v/>
      </c>
    </row>
    <row r="15">
      <c r="A15" s="6" t="str">
        <f>IFERROR(__xludf.DUMMYFUNCTION("""COMPUTED_VALUE"""),"MA137")</f>
        <v>MA137</v>
      </c>
      <c r="B15" s="206">
        <f>IFERROR(__xludf.DUMMYFUNCTION("""COMPUTED_VALUE"""),44640.0)</f>
        <v>44640</v>
      </c>
      <c r="C15" s="207">
        <f>IFERROR(__xludf.DUMMYFUNCTION("""COMPUTED_VALUE"""),0.6952430555555555)</f>
        <v>0.6952430556</v>
      </c>
      <c r="D15" s="50"/>
      <c r="E15" s="58"/>
      <c r="F15" s="58"/>
      <c r="G15" s="58" t="str">
        <f>IFERROR(__xludf.DUMMYFUNCTION("""COMPUTED_VALUE"""),"Negative")</f>
        <v>Negative</v>
      </c>
      <c r="H15" s="206" t="str">
        <f>IFERROR(__xludf.DUMMYFUNCTION("""COMPUTED_VALUE"""),"Negative")</f>
        <v>Negative</v>
      </c>
      <c r="I15" s="207">
        <f>IFERROR(__xludf.DUMMYFUNCTION("""COMPUTED_VALUE"""),44640.0)</f>
        <v>44640</v>
      </c>
      <c r="J15" s="208">
        <f>IFERROR(__xludf.DUMMYFUNCTION("""COMPUTED_VALUE"""),0.7695833333333333)</f>
        <v>0.7695833333</v>
      </c>
      <c r="K15" s="50"/>
      <c r="L15" s="6"/>
      <c r="M15" s="55"/>
      <c r="N15" s="55">
        <f>IFERROR(__xludf.DUMMYFUNCTION("""COMPUTED_VALUE"""),1.0)</f>
        <v>1</v>
      </c>
      <c r="O15" s="55" t="str">
        <f t="shared" si="3"/>
        <v/>
      </c>
      <c r="P15" s="209"/>
      <c r="Q15" s="75" t="b">
        <f>VLOOKUP($B15,'Run Reconcile'!B$2:P1679,15,FALSE)</f>
        <v>1</v>
      </c>
      <c r="R15" s="211" t="str">
        <f t="array" ref="R15">IF($Q15, INDEX('Run Reconcile'!A$2:A1679,MATCH(B15,'Run Reconcile'!B$2:B1679,0),1),IFERROR(0/0,""))</f>
        <v>RUN-COMB_2022-03-20_RFR-001</v>
      </c>
      <c r="S15" s="165" t="str">
        <f t="shared" ref="S15:T15" si="29">IF(COUNTIF(W$2:W1679, $A15) &gt; 0,TRUE,IFERROR(0/0,""))</f>
        <v/>
      </c>
      <c r="T15" s="165" t="str">
        <f t="shared" si="29"/>
        <v/>
      </c>
      <c r="U15" s="147" t="str">
        <f t="array" ref="U15">IF(ISBLANK($R15), IF($S15,VLOOKUP($B15+1,'RFR Data - preExcl'!$BF$2:$BG1679,2,FALSE),IF($T15,INDEX('RFR Data - preExcl'!$BF$2:$BG1679,MATCH($B15,'RFR Data - preExcl'!$BF$2:$BF1679,0)+1,2),VLOOKUP($B15,'RFR Data - preExcl'!$BF$2:$BG1679,2,FALSE))),IFERROR(0/0,""))</f>
        <v/>
      </c>
      <c r="V15" s="212" t="str">
        <f t="shared" si="5"/>
        <v>RUN-COMB_2022-03-20_RFR-001</v>
      </c>
      <c r="W15" s="51"/>
      <c r="X15" s="51"/>
      <c r="Y15" s="147" t="str">
        <f t="shared" ref="Y15:Z15" si="30">IF(_xlfn.ISFORMULA(S15),IFERROR(0/0,""),TRUE)</f>
        <v/>
      </c>
      <c r="Z15" s="147" t="str">
        <f t="shared" si="30"/>
        <v/>
      </c>
    </row>
    <row r="16">
      <c r="A16" s="6" t="str">
        <f>IFERROR(__xludf.DUMMYFUNCTION("""COMPUTED_VALUE"""),"MA161")</f>
        <v>MA161</v>
      </c>
      <c r="B16" s="206">
        <f>IFERROR(__xludf.DUMMYFUNCTION("""COMPUTED_VALUE"""),44640.0)</f>
        <v>44640</v>
      </c>
      <c r="C16" s="207">
        <f>IFERROR(__xludf.DUMMYFUNCTION("""COMPUTED_VALUE"""),0.697511574074074)</f>
        <v>0.6975115741</v>
      </c>
      <c r="D16" s="50"/>
      <c r="E16" s="58"/>
      <c r="F16" s="58"/>
      <c r="G16" s="58" t="str">
        <f>IFERROR(__xludf.DUMMYFUNCTION("""COMPUTED_VALUE"""),"Negative")</f>
        <v>Negative</v>
      </c>
      <c r="H16" s="206" t="str">
        <f>IFERROR(__xludf.DUMMYFUNCTION("""COMPUTED_VALUE"""),"Negative")</f>
        <v>Negative</v>
      </c>
      <c r="I16" s="207">
        <f>IFERROR(__xludf.DUMMYFUNCTION("""COMPUTED_VALUE"""),44640.0)</f>
        <v>44640</v>
      </c>
      <c r="J16" s="208">
        <f>IFERROR(__xludf.DUMMYFUNCTION("""COMPUTED_VALUE"""),0.7695833333333333)</f>
        <v>0.7695833333</v>
      </c>
      <c r="K16" s="50"/>
      <c r="L16" s="6"/>
      <c r="M16" s="55"/>
      <c r="N16" s="55">
        <f>IFERROR(__xludf.DUMMYFUNCTION("""COMPUTED_VALUE"""),1.0)</f>
        <v>1</v>
      </c>
      <c r="O16" s="55" t="str">
        <f t="shared" si="3"/>
        <v/>
      </c>
      <c r="P16" s="209"/>
      <c r="Q16" s="75" t="b">
        <f>VLOOKUP($B16,'Run Reconcile'!B$2:P1679,15,FALSE)</f>
        <v>1</v>
      </c>
      <c r="R16" s="211" t="str">
        <f t="array" ref="R16">IF($Q16, INDEX('Run Reconcile'!A$2:A1679,MATCH(B16,'Run Reconcile'!B$2:B1679,0),1),IFERROR(0/0,""))</f>
        <v>RUN-COMB_2022-03-20_RFR-001</v>
      </c>
      <c r="S16" s="165" t="str">
        <f t="shared" ref="S16:T16" si="31">IF(COUNTIF(W$2:W1679, $A16) &gt; 0,TRUE,IFERROR(0/0,""))</f>
        <v/>
      </c>
      <c r="T16" s="165" t="str">
        <f t="shared" si="31"/>
        <v/>
      </c>
      <c r="U16" s="147" t="str">
        <f t="array" ref="U16">IF(ISBLANK($R16), IF($S16,VLOOKUP($B16+1,'RFR Data - preExcl'!$BF$2:$BG1679,2,FALSE),IF($T16,INDEX('RFR Data - preExcl'!$BF$2:$BG1679,MATCH($B16,'RFR Data - preExcl'!$BF$2:$BF1679,0)+1,2),VLOOKUP($B16,'RFR Data - preExcl'!$BF$2:$BG1679,2,FALSE))),IFERROR(0/0,""))</f>
        <v/>
      </c>
      <c r="V16" s="212" t="str">
        <f t="shared" si="5"/>
        <v>RUN-COMB_2022-03-20_RFR-001</v>
      </c>
      <c r="W16" s="51"/>
      <c r="X16" s="51"/>
      <c r="Y16" s="147" t="str">
        <f t="shared" ref="Y16:Z16" si="32">IF(_xlfn.ISFORMULA(S16),IFERROR(0/0,""),TRUE)</f>
        <v/>
      </c>
      <c r="Z16" s="147" t="str">
        <f t="shared" si="32"/>
        <v/>
      </c>
    </row>
    <row r="17">
      <c r="A17" s="6" t="str">
        <f>IFERROR(__xludf.DUMMYFUNCTION("""COMPUTED_VALUE"""),"MA121")</f>
        <v>MA121</v>
      </c>
      <c r="B17" s="206">
        <f>IFERROR(__xludf.DUMMYFUNCTION("""COMPUTED_VALUE"""),44640.0)</f>
        <v>44640</v>
      </c>
      <c r="C17" s="207">
        <f>IFERROR(__xludf.DUMMYFUNCTION("""COMPUTED_VALUE"""),0.7017476851851852)</f>
        <v>0.7017476852</v>
      </c>
      <c r="D17" s="50"/>
      <c r="E17" s="58"/>
      <c r="F17" s="58"/>
      <c r="G17" s="58" t="str">
        <f>IFERROR(__xludf.DUMMYFUNCTION("""COMPUTED_VALUE"""),"Negative")</f>
        <v>Negative</v>
      </c>
      <c r="H17" s="206" t="str">
        <f>IFERROR(__xludf.DUMMYFUNCTION("""COMPUTED_VALUE"""),"Negative")</f>
        <v>Negative</v>
      </c>
      <c r="I17" s="207">
        <f>IFERROR(__xludf.DUMMYFUNCTION("""COMPUTED_VALUE"""),44640.0)</f>
        <v>44640</v>
      </c>
      <c r="J17" s="208">
        <f>IFERROR(__xludf.DUMMYFUNCTION("""COMPUTED_VALUE"""),0.7695833333333333)</f>
        <v>0.7695833333</v>
      </c>
      <c r="K17" s="50"/>
      <c r="L17" s="6"/>
      <c r="M17" s="55"/>
      <c r="N17" s="55">
        <f>IFERROR(__xludf.DUMMYFUNCTION("""COMPUTED_VALUE"""),1.0)</f>
        <v>1</v>
      </c>
      <c r="O17" s="55" t="str">
        <f t="shared" si="3"/>
        <v/>
      </c>
      <c r="P17" s="209"/>
      <c r="Q17" s="75" t="b">
        <f>VLOOKUP($B17,'Run Reconcile'!B$2:P1679,15,FALSE)</f>
        <v>1</v>
      </c>
      <c r="R17" s="211" t="str">
        <f t="array" ref="R17">IF($Q17, INDEX('Run Reconcile'!A$2:A1679,MATCH(B17,'Run Reconcile'!B$2:B1679,0),1),IFERROR(0/0,""))</f>
        <v>RUN-COMB_2022-03-20_RFR-001</v>
      </c>
      <c r="S17" s="165" t="str">
        <f t="shared" ref="S17:T17" si="33">IF(COUNTIF(W$2:W1679, $A17) &gt; 0,TRUE,IFERROR(0/0,""))</f>
        <v/>
      </c>
      <c r="T17" s="165" t="str">
        <f t="shared" si="33"/>
        <v/>
      </c>
      <c r="U17" s="147" t="str">
        <f t="array" ref="U17">IF(ISBLANK($R17), IF($S17,VLOOKUP($B17+1,'RFR Data - preExcl'!$BF$2:$BG1679,2,FALSE),IF($T17,INDEX('RFR Data - preExcl'!$BF$2:$BG1679,MATCH($B17,'RFR Data - preExcl'!$BF$2:$BF1679,0)+1,2),VLOOKUP($B17,'RFR Data - preExcl'!$BF$2:$BG1679,2,FALSE))),IFERROR(0/0,""))</f>
        <v/>
      </c>
      <c r="V17" s="212" t="str">
        <f t="shared" si="5"/>
        <v>RUN-COMB_2022-03-20_RFR-001</v>
      </c>
      <c r="W17" s="51"/>
      <c r="X17" s="51"/>
      <c r="Y17" s="147" t="str">
        <f t="shared" ref="Y17:Z17" si="34">IF(_xlfn.ISFORMULA(S17),IFERROR(0/0,""),TRUE)</f>
        <v/>
      </c>
      <c r="Z17" s="147" t="str">
        <f t="shared" si="34"/>
        <v/>
      </c>
    </row>
    <row r="18">
      <c r="A18" s="6" t="str">
        <f>IFERROR(__xludf.DUMMYFUNCTION("""COMPUTED_VALUE"""),"MA188")</f>
        <v>MA188</v>
      </c>
      <c r="B18" s="206">
        <f>IFERROR(__xludf.DUMMYFUNCTION("""COMPUTED_VALUE"""),44640.0)</f>
        <v>44640</v>
      </c>
      <c r="C18" s="207">
        <f>IFERROR(__xludf.DUMMYFUNCTION("""COMPUTED_VALUE"""),0.7490277777777777)</f>
        <v>0.7490277778</v>
      </c>
      <c r="D18" s="50"/>
      <c r="E18" s="58"/>
      <c r="F18" s="58"/>
      <c r="G18" s="58" t="str">
        <f>IFERROR(__xludf.DUMMYFUNCTION("""COMPUTED_VALUE"""),"Negative")</f>
        <v>Negative</v>
      </c>
      <c r="H18" s="206" t="str">
        <f>IFERROR(__xludf.DUMMYFUNCTION("""COMPUTED_VALUE"""),"Negative")</f>
        <v>Negative</v>
      </c>
      <c r="I18" s="207">
        <f>IFERROR(__xludf.DUMMYFUNCTION("""COMPUTED_VALUE"""),44640.0)</f>
        <v>44640</v>
      </c>
      <c r="J18" s="208">
        <f>IFERROR(__xludf.DUMMYFUNCTION("""COMPUTED_VALUE"""),0.7695833333333333)</f>
        <v>0.7695833333</v>
      </c>
      <c r="K18" s="50"/>
      <c r="L18" s="6"/>
      <c r="M18" s="55"/>
      <c r="N18" s="55">
        <f>IFERROR(__xludf.DUMMYFUNCTION("""COMPUTED_VALUE"""),1.0)</f>
        <v>1</v>
      </c>
      <c r="O18" s="55" t="str">
        <f t="shared" si="3"/>
        <v/>
      </c>
      <c r="P18" s="209"/>
      <c r="Q18" s="75" t="b">
        <f>VLOOKUP($B18,'Run Reconcile'!B$2:P1679,15,FALSE)</f>
        <v>1</v>
      </c>
      <c r="R18" s="211" t="str">
        <f t="array" ref="R18">IF($Q18, INDEX('Run Reconcile'!A$2:A1679,MATCH(B18,'Run Reconcile'!B$2:B1679,0),1),IFERROR(0/0,""))</f>
        <v>RUN-COMB_2022-03-20_RFR-001</v>
      </c>
      <c r="S18" s="165" t="str">
        <f t="shared" ref="S18:T18" si="35">IF(COUNTIF(W$2:W1679, $A18) &gt; 0,TRUE,IFERROR(0/0,""))</f>
        <v/>
      </c>
      <c r="T18" s="165" t="str">
        <f t="shared" si="35"/>
        <v/>
      </c>
      <c r="U18" s="147" t="str">
        <f t="array" ref="U18">IF(ISBLANK($R18), IF($S18,VLOOKUP($B18+1,'RFR Data - preExcl'!$BF$2:$BG1679,2,FALSE),IF($T18,INDEX('RFR Data - preExcl'!$BF$2:$BG1679,MATCH($B18,'RFR Data - preExcl'!$BF$2:$BF1679,0)+1,2),VLOOKUP($B18,'RFR Data - preExcl'!$BF$2:$BG1679,2,FALSE))),IFERROR(0/0,""))</f>
        <v/>
      </c>
      <c r="V18" s="212" t="str">
        <f t="shared" si="5"/>
        <v>RUN-COMB_2022-03-20_RFR-001</v>
      </c>
      <c r="W18" s="51"/>
      <c r="X18" s="51"/>
      <c r="Y18" s="147" t="str">
        <f t="shared" ref="Y18:Z18" si="36">IF(_xlfn.ISFORMULA(S18),IFERROR(0/0,""),TRUE)</f>
        <v/>
      </c>
      <c r="Z18" s="147" t="str">
        <f t="shared" si="36"/>
        <v/>
      </c>
    </row>
    <row r="19">
      <c r="A19" s="6" t="str">
        <f>IFERROR(__xludf.DUMMYFUNCTION("""COMPUTED_VALUE"""),"MA127")</f>
        <v>MA127</v>
      </c>
      <c r="B19" s="206">
        <f>IFERROR(__xludf.DUMMYFUNCTION("""COMPUTED_VALUE"""),44640.0)</f>
        <v>44640</v>
      </c>
      <c r="C19" s="207">
        <f>IFERROR(__xludf.DUMMYFUNCTION("""COMPUTED_VALUE"""),0.7511921296296297)</f>
        <v>0.7511921296</v>
      </c>
      <c r="D19" s="50"/>
      <c r="E19" s="58"/>
      <c r="F19" s="58"/>
      <c r="G19" s="58" t="str">
        <f>IFERROR(__xludf.DUMMYFUNCTION("""COMPUTED_VALUE"""),"Negative")</f>
        <v>Negative</v>
      </c>
      <c r="H19" s="206" t="str">
        <f>IFERROR(__xludf.DUMMYFUNCTION("""COMPUTED_VALUE"""),"Negative")</f>
        <v>Negative</v>
      </c>
      <c r="I19" s="207">
        <f>IFERROR(__xludf.DUMMYFUNCTION("""COMPUTED_VALUE"""),44640.0)</f>
        <v>44640</v>
      </c>
      <c r="J19" s="208">
        <f>IFERROR(__xludf.DUMMYFUNCTION("""COMPUTED_VALUE"""),0.7695833333333333)</f>
        <v>0.7695833333</v>
      </c>
      <c r="K19" s="50"/>
      <c r="L19" s="6"/>
      <c r="M19" s="55"/>
      <c r="N19" s="55">
        <f>IFERROR(__xludf.DUMMYFUNCTION("""COMPUTED_VALUE"""),1.0)</f>
        <v>1</v>
      </c>
      <c r="O19" s="55" t="str">
        <f t="shared" si="3"/>
        <v/>
      </c>
      <c r="P19" s="209"/>
      <c r="Q19" s="75" t="b">
        <f>VLOOKUP($B19,'Run Reconcile'!B$2:P1679,15,FALSE)</f>
        <v>1</v>
      </c>
      <c r="R19" s="211" t="str">
        <f t="array" ref="R19">IF($Q19, INDEX('Run Reconcile'!A$2:A1679,MATCH(B19,'Run Reconcile'!B$2:B1679,0),1),IFERROR(0/0,""))</f>
        <v>RUN-COMB_2022-03-20_RFR-001</v>
      </c>
      <c r="S19" s="165" t="str">
        <f t="shared" ref="S19:T19" si="37">IF(COUNTIF(W$2:W1679, $A19) &gt; 0,TRUE,IFERROR(0/0,""))</f>
        <v/>
      </c>
      <c r="T19" s="165" t="str">
        <f t="shared" si="37"/>
        <v/>
      </c>
      <c r="U19" s="147" t="str">
        <f t="array" ref="U19">IF(ISBLANK($R19), IF($S19,VLOOKUP($B19+1,'RFR Data - preExcl'!$BF$2:$BG1679,2,FALSE),IF($T19,INDEX('RFR Data - preExcl'!$BF$2:$BG1679,MATCH($B19,'RFR Data - preExcl'!$BF$2:$BF1679,0)+1,2),VLOOKUP($B19,'RFR Data - preExcl'!$BF$2:$BG1679,2,FALSE))),IFERROR(0/0,""))</f>
        <v/>
      </c>
      <c r="V19" s="212" t="str">
        <f t="shared" si="5"/>
        <v>RUN-COMB_2022-03-20_RFR-001</v>
      </c>
      <c r="W19" s="51"/>
      <c r="X19" s="51"/>
      <c r="Y19" s="147" t="str">
        <f t="shared" ref="Y19:Z19" si="38">IF(_xlfn.ISFORMULA(S19),IFERROR(0/0,""),TRUE)</f>
        <v/>
      </c>
      <c r="Z19" s="147" t="str">
        <f t="shared" si="38"/>
        <v/>
      </c>
    </row>
    <row r="20">
      <c r="A20" s="6" t="str">
        <f>IFERROR(__xludf.DUMMYFUNCTION("""COMPUTED_VALUE"""),"MA220A")</f>
        <v>MA220A</v>
      </c>
      <c r="B20" s="206">
        <f>IFERROR(__xludf.DUMMYFUNCTION("""COMPUTED_VALUE"""),44641.0)</f>
        <v>44641</v>
      </c>
      <c r="C20" s="207">
        <f>IFERROR(__xludf.DUMMYFUNCTION("""COMPUTED_VALUE"""),0.25679398148148147)</f>
        <v>0.2567939815</v>
      </c>
      <c r="D20" s="50"/>
      <c r="E20" s="58"/>
      <c r="F20" s="58"/>
      <c r="G20" s="58" t="str">
        <f>IFERROR(__xludf.DUMMYFUNCTION("""COMPUTED_VALUE"""),"Null")</f>
        <v>Null</v>
      </c>
      <c r="H20" s="206" t="str">
        <f>IFERROR(__xludf.DUMMYFUNCTION("""COMPUTED_VALUE"""),"Negative")</f>
        <v>Negative</v>
      </c>
      <c r="I20" s="207"/>
      <c r="J20" s="50"/>
      <c r="K20" s="50">
        <f>IFERROR(__xludf.DUMMYFUNCTION("""COMPUTED_VALUE"""),2.0)</f>
        <v>2</v>
      </c>
      <c r="L20" s="6" t="str">
        <f>IFERROR(__xludf.DUMMYFUNCTION("""COMPUTED_VALUE"""),"With all Null corrected to Neg, Collect count still short by 1 tube")</f>
        <v>With all Null corrected to Neg, Collect count still short by 1 tube</v>
      </c>
      <c r="M20" s="55"/>
      <c r="N20" s="55">
        <f>IFERROR(__xludf.DUMMYFUNCTION("""COMPUTED_VALUE"""),1.0)</f>
        <v>1</v>
      </c>
      <c r="O20" s="55" t="b">
        <f t="shared" si="3"/>
        <v>1</v>
      </c>
      <c r="P20" s="209"/>
      <c r="Q20" s="75" t="b">
        <f>VLOOKUP($B20,'Run Reconcile'!B$2:P1679,15,FALSE)</f>
        <v>1</v>
      </c>
      <c r="R20" s="211" t="str">
        <f t="array" ref="R20">IF($Q20, INDEX('Run Reconcile'!A$2:A1679,MATCH(B20,'Run Reconcile'!B$2:B1679,0),1),IFERROR(0/0,""))</f>
        <v>RUN-COMB_2022-03-21_RFR-002</v>
      </c>
      <c r="S20" s="165" t="str">
        <f t="shared" ref="S20:T20" si="39">IF(COUNTIF(W$2:W1679, $A20) &gt; 0,TRUE,IFERROR(0/0,""))</f>
        <v/>
      </c>
      <c r="T20" s="165" t="str">
        <f t="shared" si="39"/>
        <v/>
      </c>
      <c r="U20" s="147" t="str">
        <f t="array" ref="U20">IF(ISBLANK($R20), IF($S20,VLOOKUP($B20+1,'RFR Data - preExcl'!$BF$2:$BG1679,2,FALSE),IF($T20,INDEX('RFR Data - preExcl'!$BF$2:$BG1679,MATCH($B20,'RFR Data - preExcl'!$BF$2:$BF1679,0)+1,2),VLOOKUP($B20,'RFR Data - preExcl'!$BF$2:$BG1679,2,FALSE))),IFERROR(0/0,""))</f>
        <v/>
      </c>
      <c r="V20" s="212" t="str">
        <f t="shared" si="5"/>
        <v>RUN-COMB_2022-03-21_RFR-002</v>
      </c>
      <c r="W20" s="51"/>
      <c r="X20" s="51"/>
      <c r="Y20" s="147" t="str">
        <f t="shared" ref="Y20:Z20" si="40">IF(_xlfn.ISFORMULA(S20),IFERROR(0/0,""),TRUE)</f>
        <v/>
      </c>
      <c r="Z20" s="147" t="str">
        <f t="shared" si="40"/>
        <v/>
      </c>
    </row>
    <row r="21">
      <c r="A21" s="6" t="str">
        <f>IFERROR(__xludf.DUMMYFUNCTION("""COMPUTED_VALUE"""),"MA220")</f>
        <v>MA220</v>
      </c>
      <c r="B21" s="206">
        <f>IFERROR(__xludf.DUMMYFUNCTION("""COMPUTED_VALUE"""),44641.0)</f>
        <v>44641</v>
      </c>
      <c r="C21" s="207">
        <f>IFERROR(__xludf.DUMMYFUNCTION("""COMPUTED_VALUE"""),0.2574884259259259)</f>
        <v>0.2574884259</v>
      </c>
      <c r="D21" s="50"/>
      <c r="E21" s="58"/>
      <c r="F21" s="58"/>
      <c r="G21" s="58" t="str">
        <f>IFERROR(__xludf.DUMMYFUNCTION("""COMPUTED_VALUE"""),"Negative")</f>
        <v>Negative</v>
      </c>
      <c r="H21" s="206" t="str">
        <f>IFERROR(__xludf.DUMMYFUNCTION("""COMPUTED_VALUE"""),"Negative")</f>
        <v>Negative</v>
      </c>
      <c r="I21" s="207">
        <f>IFERROR(__xludf.DUMMYFUNCTION("""COMPUTED_VALUE"""),44641.0)</f>
        <v>44641</v>
      </c>
      <c r="J21" s="208">
        <f>IFERROR(__xludf.DUMMYFUNCTION("""COMPUTED_VALUE"""),0.40728009259259257)</f>
        <v>0.4072800926</v>
      </c>
      <c r="K21" s="50"/>
      <c r="L21" s="6"/>
      <c r="M21" s="55"/>
      <c r="N21" s="55">
        <f>IFERROR(__xludf.DUMMYFUNCTION("""COMPUTED_VALUE"""),1.0)</f>
        <v>1</v>
      </c>
      <c r="O21" s="55" t="str">
        <f t="shared" si="3"/>
        <v/>
      </c>
      <c r="P21" s="209"/>
      <c r="Q21" s="75" t="b">
        <f>VLOOKUP($B21,'Run Reconcile'!B$2:P1679,15,FALSE)</f>
        <v>1</v>
      </c>
      <c r="R21" s="211" t="str">
        <f t="array" ref="R21">IF($Q21, INDEX('Run Reconcile'!A$2:A1679,MATCH(B21,'Run Reconcile'!B$2:B1679,0),1),IFERROR(0/0,""))</f>
        <v>RUN-COMB_2022-03-21_RFR-002</v>
      </c>
      <c r="S21" s="165" t="str">
        <f t="shared" ref="S21:T21" si="41">IF(COUNTIF(W$2:W1679, $A21) &gt; 0,TRUE,IFERROR(0/0,""))</f>
        <v/>
      </c>
      <c r="T21" s="165" t="str">
        <f t="shared" si="41"/>
        <v/>
      </c>
      <c r="U21" s="147" t="str">
        <f t="array" ref="U21">IF(ISBLANK($R21), IF($S21,VLOOKUP($B21+1,'RFR Data - preExcl'!$BF$2:$BG1679,2,FALSE),IF($T21,INDEX('RFR Data - preExcl'!$BF$2:$BG1679,MATCH($B21,'RFR Data - preExcl'!$BF$2:$BF1679,0)+1,2),VLOOKUP($B21,'RFR Data - preExcl'!$BF$2:$BG1679,2,FALSE))),IFERROR(0/0,""))</f>
        <v/>
      </c>
      <c r="V21" s="212" t="str">
        <f t="shared" si="5"/>
        <v>RUN-COMB_2022-03-21_RFR-002</v>
      </c>
      <c r="W21" s="51"/>
      <c r="X21" s="51"/>
      <c r="Y21" s="147" t="str">
        <f t="shared" ref="Y21:Z21" si="42">IF(_xlfn.ISFORMULA(S21),IFERROR(0/0,""),TRUE)</f>
        <v/>
      </c>
      <c r="Z21" s="147" t="str">
        <f t="shared" si="42"/>
        <v/>
      </c>
    </row>
    <row r="22">
      <c r="A22" s="6" t="str">
        <f>IFERROR(__xludf.DUMMYFUNCTION("""COMPUTED_VALUE"""),"MA208")</f>
        <v>MA208</v>
      </c>
      <c r="B22" s="206">
        <f>IFERROR(__xludf.DUMMYFUNCTION("""COMPUTED_VALUE"""),44641.0)</f>
        <v>44641</v>
      </c>
      <c r="C22" s="207">
        <f>IFERROR(__xludf.DUMMYFUNCTION("""COMPUTED_VALUE"""),0.2580208333333333)</f>
        <v>0.2580208333</v>
      </c>
      <c r="D22" s="50"/>
      <c r="E22" s="58"/>
      <c r="F22" s="58"/>
      <c r="G22" s="58" t="str">
        <f>IFERROR(__xludf.DUMMYFUNCTION("""COMPUTED_VALUE"""),"Negative")</f>
        <v>Negative</v>
      </c>
      <c r="H22" s="206" t="str">
        <f>IFERROR(__xludf.DUMMYFUNCTION("""COMPUTED_VALUE"""),"Negative")</f>
        <v>Negative</v>
      </c>
      <c r="I22" s="207">
        <f>IFERROR(__xludf.DUMMYFUNCTION("""COMPUTED_VALUE"""),44641.0)</f>
        <v>44641</v>
      </c>
      <c r="J22" s="208">
        <f>IFERROR(__xludf.DUMMYFUNCTION("""COMPUTED_VALUE"""),0.40728009259259257)</f>
        <v>0.4072800926</v>
      </c>
      <c r="K22" s="50"/>
      <c r="L22" s="6"/>
      <c r="M22" s="55"/>
      <c r="N22" s="55">
        <f>IFERROR(__xludf.DUMMYFUNCTION("""COMPUTED_VALUE"""),1.0)</f>
        <v>1</v>
      </c>
      <c r="O22" s="55" t="str">
        <f t="shared" si="3"/>
        <v/>
      </c>
      <c r="P22" s="209"/>
      <c r="Q22" s="75" t="b">
        <f>VLOOKUP($B22,'Run Reconcile'!B$2:P1679,15,FALSE)</f>
        <v>1</v>
      </c>
      <c r="R22" s="211" t="str">
        <f t="array" ref="R22">IF($Q22, INDEX('Run Reconcile'!A$2:A1679,MATCH(B22,'Run Reconcile'!B$2:B1679,0),1),IFERROR(0/0,""))</f>
        <v>RUN-COMB_2022-03-21_RFR-002</v>
      </c>
      <c r="S22" s="165" t="str">
        <f t="shared" ref="S22:T22" si="43">IF(COUNTIF(W$2:W1679, $A22) &gt; 0,TRUE,IFERROR(0/0,""))</f>
        <v/>
      </c>
      <c r="T22" s="165" t="str">
        <f t="shared" si="43"/>
        <v/>
      </c>
      <c r="U22" s="147" t="str">
        <f t="array" ref="U22">IF(ISBLANK($R22), IF($S22,VLOOKUP($B22+1,'RFR Data - preExcl'!$BF$2:$BG1679,2,FALSE),IF($T22,INDEX('RFR Data - preExcl'!$BF$2:$BG1679,MATCH($B22,'RFR Data - preExcl'!$BF$2:$BF1679,0)+1,2),VLOOKUP($B22,'RFR Data - preExcl'!$BF$2:$BG1679,2,FALSE))),IFERROR(0/0,""))</f>
        <v/>
      </c>
      <c r="V22" s="212" t="str">
        <f t="shared" si="5"/>
        <v>RUN-COMB_2022-03-21_RFR-002</v>
      </c>
      <c r="W22" s="51"/>
      <c r="X22" s="51"/>
      <c r="Y22" s="147" t="str">
        <f t="shared" ref="Y22:Z22" si="44">IF(_xlfn.ISFORMULA(S22),IFERROR(0/0,""),TRUE)</f>
        <v/>
      </c>
      <c r="Z22" s="147" t="str">
        <f t="shared" si="44"/>
        <v/>
      </c>
    </row>
    <row r="23">
      <c r="A23" s="6" t="str">
        <f>IFERROR(__xludf.DUMMYFUNCTION("""COMPUTED_VALUE"""),"MA89")</f>
        <v>MA89</v>
      </c>
      <c r="B23" s="206">
        <f>IFERROR(__xludf.DUMMYFUNCTION("""COMPUTED_VALUE"""),44641.0)</f>
        <v>44641</v>
      </c>
      <c r="C23" s="207">
        <f>IFERROR(__xludf.DUMMYFUNCTION("""COMPUTED_VALUE"""),0.2601273148148148)</f>
        <v>0.2601273148</v>
      </c>
      <c r="D23" s="50"/>
      <c r="E23" s="58"/>
      <c r="F23" s="58"/>
      <c r="G23" s="58" t="str">
        <f>IFERROR(__xludf.DUMMYFUNCTION("""COMPUTED_VALUE"""),"Negative")</f>
        <v>Negative</v>
      </c>
      <c r="H23" s="206" t="str">
        <f>IFERROR(__xludf.DUMMYFUNCTION("""COMPUTED_VALUE"""),"Negative")</f>
        <v>Negative</v>
      </c>
      <c r="I23" s="207">
        <f>IFERROR(__xludf.DUMMYFUNCTION("""COMPUTED_VALUE"""),44641.0)</f>
        <v>44641</v>
      </c>
      <c r="J23" s="208">
        <f>IFERROR(__xludf.DUMMYFUNCTION("""COMPUTED_VALUE"""),0.40728009259259257)</f>
        <v>0.4072800926</v>
      </c>
      <c r="K23" s="50"/>
      <c r="L23" s="6"/>
      <c r="M23" s="55"/>
      <c r="N23" s="55">
        <f>IFERROR(__xludf.DUMMYFUNCTION("""COMPUTED_VALUE"""),1.0)</f>
        <v>1</v>
      </c>
      <c r="O23" s="55" t="str">
        <f t="shared" si="3"/>
        <v/>
      </c>
      <c r="P23" s="209"/>
      <c r="Q23" s="75" t="b">
        <f>VLOOKUP($B23,'Run Reconcile'!B$2:P1679,15,FALSE)</f>
        <v>1</v>
      </c>
      <c r="R23" s="211" t="str">
        <f t="array" ref="R23">IF($Q23, INDEX('Run Reconcile'!A$2:A1679,MATCH(B23,'Run Reconcile'!B$2:B1679,0),1),IFERROR(0/0,""))</f>
        <v>RUN-COMB_2022-03-21_RFR-002</v>
      </c>
      <c r="S23" s="165" t="str">
        <f t="shared" ref="S23:T23" si="45">IF(COUNTIF(W$2:W1679, $A23) &gt; 0,TRUE,IFERROR(0/0,""))</f>
        <v/>
      </c>
      <c r="T23" s="165" t="str">
        <f t="shared" si="45"/>
        <v/>
      </c>
      <c r="U23" s="147" t="str">
        <f t="array" ref="U23">IF(ISBLANK($R23), IF($S23,VLOOKUP($B23+1,'RFR Data - preExcl'!$BF$2:$BG1679,2,FALSE),IF($T23,INDEX('RFR Data - preExcl'!$BF$2:$BG1679,MATCH($B23,'RFR Data - preExcl'!$BF$2:$BF1679,0)+1,2),VLOOKUP($B23,'RFR Data - preExcl'!$BF$2:$BG1679,2,FALSE))),IFERROR(0/0,""))</f>
        <v/>
      </c>
      <c r="V23" s="212" t="str">
        <f t="shared" si="5"/>
        <v>RUN-COMB_2022-03-21_RFR-002</v>
      </c>
      <c r="W23" s="51"/>
      <c r="X23" s="51"/>
      <c r="Y23" s="147" t="str">
        <f t="shared" ref="Y23:Z23" si="46">IF(_xlfn.ISFORMULA(S23),IFERROR(0/0,""),TRUE)</f>
        <v/>
      </c>
      <c r="Z23" s="147" t="str">
        <f t="shared" si="46"/>
        <v/>
      </c>
    </row>
    <row r="24">
      <c r="A24" s="6" t="str">
        <f>IFERROR(__xludf.DUMMYFUNCTION("""COMPUTED_VALUE"""),"MA26")</f>
        <v>MA26</v>
      </c>
      <c r="B24" s="206">
        <f>IFERROR(__xludf.DUMMYFUNCTION("""COMPUTED_VALUE"""),44641.0)</f>
        <v>44641</v>
      </c>
      <c r="C24" s="207">
        <f>IFERROR(__xludf.DUMMYFUNCTION("""COMPUTED_VALUE"""),0.2610300925925926)</f>
        <v>0.2610300926</v>
      </c>
      <c r="D24" s="50"/>
      <c r="E24" s="58"/>
      <c r="F24" s="58"/>
      <c r="G24" s="58" t="str">
        <f>IFERROR(__xludf.DUMMYFUNCTION("""COMPUTED_VALUE"""),"Null")</f>
        <v>Null</v>
      </c>
      <c r="H24" s="206" t="str">
        <f>IFERROR(__xludf.DUMMYFUNCTION("""COMPUTED_VALUE"""),"Negative")</f>
        <v>Negative</v>
      </c>
      <c r="I24" s="207"/>
      <c r="J24" s="50"/>
      <c r="K24" s="50">
        <f>IFERROR(__xludf.DUMMYFUNCTION("""COMPUTED_VALUE"""),2.0)</f>
        <v>2</v>
      </c>
      <c r="L24" s="6" t="str">
        <f>IFERROR(__xludf.DUMMYFUNCTION("""COMPUTED_VALUE"""),"With all Null corrected to Neg, Collect count still short by 1 tube")</f>
        <v>With all Null corrected to Neg, Collect count still short by 1 tube</v>
      </c>
      <c r="M24" s="55"/>
      <c r="N24" s="55">
        <f>IFERROR(__xludf.DUMMYFUNCTION("""COMPUTED_VALUE"""),1.0)</f>
        <v>1</v>
      </c>
      <c r="O24" s="55" t="str">
        <f t="shared" si="3"/>
        <v/>
      </c>
      <c r="P24" s="209"/>
      <c r="Q24" s="75" t="b">
        <f>VLOOKUP($B24,'Run Reconcile'!B$2:P1679,15,FALSE)</f>
        <v>1</v>
      </c>
      <c r="R24" s="211" t="str">
        <f t="array" ref="R24">IF($Q24, INDEX('Run Reconcile'!A$2:A1679,MATCH(B24,'Run Reconcile'!B$2:B1679,0),1),IFERROR(0/0,""))</f>
        <v>RUN-COMB_2022-03-21_RFR-002</v>
      </c>
      <c r="S24" s="165" t="str">
        <f t="shared" ref="S24:T24" si="47">IF(COUNTIF(W$2:W1679, $A24) &gt; 0,TRUE,IFERROR(0/0,""))</f>
        <v/>
      </c>
      <c r="T24" s="165" t="str">
        <f t="shared" si="47"/>
        <v/>
      </c>
      <c r="U24" s="147" t="str">
        <f t="array" ref="U24">IF(ISBLANK($R24), IF($S24,VLOOKUP($B24+1,'RFR Data - preExcl'!$BF$2:$BG1679,2,FALSE),IF($T24,INDEX('RFR Data - preExcl'!$BF$2:$BG1679,MATCH($B24,'RFR Data - preExcl'!$BF$2:$BF1679,0)+1,2),VLOOKUP($B24,'RFR Data - preExcl'!$BF$2:$BG1679,2,FALSE))),IFERROR(0/0,""))</f>
        <v/>
      </c>
      <c r="V24" s="212" t="str">
        <f t="shared" si="5"/>
        <v>RUN-COMB_2022-03-21_RFR-002</v>
      </c>
      <c r="W24" s="51"/>
      <c r="X24" s="51"/>
      <c r="Y24" s="147" t="str">
        <f t="shared" ref="Y24:Z24" si="48">IF(_xlfn.ISFORMULA(S24),IFERROR(0/0,""),TRUE)</f>
        <v/>
      </c>
      <c r="Z24" s="147" t="str">
        <f t="shared" si="48"/>
        <v/>
      </c>
    </row>
    <row r="25">
      <c r="A25" s="6" t="str">
        <f>IFERROR(__xludf.DUMMYFUNCTION("""COMPUTED_VALUE"""),"MA109")</f>
        <v>MA109</v>
      </c>
      <c r="B25" s="206">
        <f>IFERROR(__xludf.DUMMYFUNCTION("""COMPUTED_VALUE"""),44641.0)</f>
        <v>44641</v>
      </c>
      <c r="C25" s="207">
        <f>IFERROR(__xludf.DUMMYFUNCTION("""COMPUTED_VALUE"""),0.2630439814814815)</f>
        <v>0.2630439815</v>
      </c>
      <c r="D25" s="50"/>
      <c r="E25" s="58"/>
      <c r="F25" s="58"/>
      <c r="G25" s="58" t="str">
        <f>IFERROR(__xludf.DUMMYFUNCTION("""COMPUTED_VALUE"""),"Negative")</f>
        <v>Negative</v>
      </c>
      <c r="H25" s="206" t="str">
        <f>IFERROR(__xludf.DUMMYFUNCTION("""COMPUTED_VALUE"""),"Negative")</f>
        <v>Negative</v>
      </c>
      <c r="I25" s="207">
        <f>IFERROR(__xludf.DUMMYFUNCTION("""COMPUTED_VALUE"""),44641.0)</f>
        <v>44641</v>
      </c>
      <c r="J25" s="208">
        <f>IFERROR(__xludf.DUMMYFUNCTION("""COMPUTED_VALUE"""),0.40728009259259257)</f>
        <v>0.4072800926</v>
      </c>
      <c r="K25" s="50"/>
      <c r="L25" s="6"/>
      <c r="M25" s="55"/>
      <c r="N25" s="55">
        <f>IFERROR(__xludf.DUMMYFUNCTION("""COMPUTED_VALUE"""),1.0)</f>
        <v>1</v>
      </c>
      <c r="O25" s="55" t="str">
        <f t="shared" si="3"/>
        <v/>
      </c>
      <c r="P25" s="209"/>
      <c r="Q25" s="75" t="b">
        <f>VLOOKUP($B25,'Run Reconcile'!B$2:P1679,15,FALSE)</f>
        <v>1</v>
      </c>
      <c r="R25" s="211" t="str">
        <f t="array" ref="R25">IF($Q25, INDEX('Run Reconcile'!A$2:A1679,MATCH(B25,'Run Reconcile'!B$2:B1679,0),1),IFERROR(0/0,""))</f>
        <v>RUN-COMB_2022-03-21_RFR-002</v>
      </c>
      <c r="S25" s="165" t="str">
        <f t="shared" ref="S25:T25" si="49">IF(COUNTIF(W$2:W1679, $A25) &gt; 0,TRUE,IFERROR(0/0,""))</f>
        <v/>
      </c>
      <c r="T25" s="165" t="str">
        <f t="shared" si="49"/>
        <v/>
      </c>
      <c r="U25" s="147" t="str">
        <f t="array" ref="U25">IF(ISBLANK($R25), IF($S25,VLOOKUP($B25+1,'RFR Data - preExcl'!$BF$2:$BG1679,2,FALSE),IF($T25,INDEX('RFR Data - preExcl'!$BF$2:$BG1679,MATCH($B25,'RFR Data - preExcl'!$BF$2:$BF1679,0)+1,2),VLOOKUP($B25,'RFR Data - preExcl'!$BF$2:$BG1679,2,FALSE))),IFERROR(0/0,""))</f>
        <v/>
      </c>
      <c r="V25" s="212" t="str">
        <f t="shared" si="5"/>
        <v>RUN-COMB_2022-03-21_RFR-002</v>
      </c>
      <c r="W25" s="51"/>
      <c r="X25" s="51"/>
      <c r="Y25" s="147" t="str">
        <f t="shared" ref="Y25:Z25" si="50">IF(_xlfn.ISFORMULA(S25),IFERROR(0/0,""),TRUE)</f>
        <v/>
      </c>
      <c r="Z25" s="147" t="str">
        <f t="shared" si="50"/>
        <v/>
      </c>
    </row>
    <row r="26">
      <c r="A26" s="6" t="str">
        <f>IFERROR(__xludf.DUMMYFUNCTION("""COMPUTED_VALUE"""),"MA134")</f>
        <v>MA134</v>
      </c>
      <c r="B26" s="206">
        <f>IFERROR(__xludf.DUMMYFUNCTION("""COMPUTED_VALUE"""),44641.0)</f>
        <v>44641</v>
      </c>
      <c r="C26" s="207">
        <f>IFERROR(__xludf.DUMMYFUNCTION("""COMPUTED_VALUE"""),0.2639814814814815)</f>
        <v>0.2639814815</v>
      </c>
      <c r="D26" s="50"/>
      <c r="E26" s="58"/>
      <c r="F26" s="58"/>
      <c r="G26" s="58" t="str">
        <f>IFERROR(__xludf.DUMMYFUNCTION("""COMPUTED_VALUE"""),"Null")</f>
        <v>Null</v>
      </c>
      <c r="H26" s="206" t="str">
        <f>IFERROR(__xludf.DUMMYFUNCTION("""COMPUTED_VALUE"""),"Negative")</f>
        <v>Negative</v>
      </c>
      <c r="I26" s="207"/>
      <c r="J26" s="50"/>
      <c r="K26" s="50">
        <f>IFERROR(__xludf.DUMMYFUNCTION("""COMPUTED_VALUE"""),2.0)</f>
        <v>2</v>
      </c>
      <c r="L26" s="6" t="str">
        <f>IFERROR(__xludf.DUMMYFUNCTION("""COMPUTED_VALUE"""),"With all Null corrected to Neg, Collect count still short by 1 tube")</f>
        <v>With all Null corrected to Neg, Collect count still short by 1 tube</v>
      </c>
      <c r="M26" s="55"/>
      <c r="N26" s="55">
        <f>IFERROR(__xludf.DUMMYFUNCTION("""COMPUTED_VALUE"""),1.0)</f>
        <v>1</v>
      </c>
      <c r="O26" s="55" t="str">
        <f t="shared" si="3"/>
        <v/>
      </c>
      <c r="P26" s="209"/>
      <c r="Q26" s="75" t="b">
        <f>VLOOKUP($B26,'Run Reconcile'!B$2:P1679,15,FALSE)</f>
        <v>1</v>
      </c>
      <c r="R26" s="211" t="str">
        <f t="array" ref="R26">IF($Q26, INDEX('Run Reconcile'!A$2:A1679,MATCH(B26,'Run Reconcile'!B$2:B1679,0),1),IFERROR(0/0,""))</f>
        <v>RUN-COMB_2022-03-21_RFR-002</v>
      </c>
      <c r="S26" s="165" t="str">
        <f t="shared" ref="S26:T26" si="51">IF(COUNTIF(W$2:W1679, $A26) &gt; 0,TRUE,IFERROR(0/0,""))</f>
        <v/>
      </c>
      <c r="T26" s="165" t="str">
        <f t="shared" si="51"/>
        <v/>
      </c>
      <c r="U26" s="147" t="str">
        <f t="array" ref="U26">IF(ISBLANK($R26), IF($S26,VLOOKUP($B26+1,'RFR Data - preExcl'!$BF$2:$BG1679,2,FALSE),IF($T26,INDEX('RFR Data - preExcl'!$BF$2:$BG1679,MATCH($B26,'RFR Data - preExcl'!$BF$2:$BF1679,0)+1,2),VLOOKUP($B26,'RFR Data - preExcl'!$BF$2:$BG1679,2,FALSE))),IFERROR(0/0,""))</f>
        <v/>
      </c>
      <c r="V26" s="212" t="str">
        <f t="shared" si="5"/>
        <v>RUN-COMB_2022-03-21_RFR-002</v>
      </c>
      <c r="W26" s="51"/>
      <c r="X26" s="51"/>
      <c r="Y26" s="147" t="str">
        <f t="shared" ref="Y26:Z26" si="52">IF(_xlfn.ISFORMULA(S26),IFERROR(0/0,""),TRUE)</f>
        <v/>
      </c>
      <c r="Z26" s="147" t="str">
        <f t="shared" si="52"/>
        <v/>
      </c>
    </row>
    <row r="27">
      <c r="A27" s="6" t="str">
        <f>IFERROR(__xludf.DUMMYFUNCTION("""COMPUTED_VALUE"""),"MA168")</f>
        <v>MA168</v>
      </c>
      <c r="B27" s="206">
        <f>IFERROR(__xludf.DUMMYFUNCTION("""COMPUTED_VALUE"""),44641.0)</f>
        <v>44641</v>
      </c>
      <c r="C27" s="207">
        <f>IFERROR(__xludf.DUMMYFUNCTION("""COMPUTED_VALUE"""),0.26494212962962965)</f>
        <v>0.2649421296</v>
      </c>
      <c r="D27" s="50"/>
      <c r="E27" s="58"/>
      <c r="F27" s="58"/>
      <c r="G27" s="58" t="str">
        <f>IFERROR(__xludf.DUMMYFUNCTION("""COMPUTED_VALUE"""),"Negative")</f>
        <v>Negative</v>
      </c>
      <c r="H27" s="206" t="str">
        <f>IFERROR(__xludf.DUMMYFUNCTION("""COMPUTED_VALUE"""),"Negative")</f>
        <v>Negative</v>
      </c>
      <c r="I27" s="207">
        <f>IFERROR(__xludf.DUMMYFUNCTION("""COMPUTED_VALUE"""),44641.0)</f>
        <v>44641</v>
      </c>
      <c r="J27" s="208">
        <f>IFERROR(__xludf.DUMMYFUNCTION("""COMPUTED_VALUE"""),0.40728009259259257)</f>
        <v>0.4072800926</v>
      </c>
      <c r="K27" s="50"/>
      <c r="L27" s="6"/>
      <c r="M27" s="55"/>
      <c r="N27" s="55">
        <f>IFERROR(__xludf.DUMMYFUNCTION("""COMPUTED_VALUE"""),1.0)</f>
        <v>1</v>
      </c>
      <c r="O27" s="55" t="str">
        <f t="shared" si="3"/>
        <v/>
      </c>
      <c r="P27" s="209"/>
      <c r="Q27" s="75" t="b">
        <f>VLOOKUP($B27,'Run Reconcile'!B$2:P1679,15,FALSE)</f>
        <v>1</v>
      </c>
      <c r="R27" s="211" t="str">
        <f t="array" ref="R27">IF($Q27, INDEX('Run Reconcile'!A$2:A1679,MATCH(B27,'Run Reconcile'!B$2:B1679,0),1),IFERROR(0/0,""))</f>
        <v>RUN-COMB_2022-03-21_RFR-002</v>
      </c>
      <c r="S27" s="165" t="str">
        <f t="shared" ref="S27:T27" si="53">IF(COUNTIF(W$2:W1679, $A27) &gt; 0,TRUE,IFERROR(0/0,""))</f>
        <v/>
      </c>
      <c r="T27" s="165" t="str">
        <f t="shared" si="53"/>
        <v/>
      </c>
      <c r="U27" s="147" t="str">
        <f t="array" ref="U27">IF(ISBLANK($R27), IF($S27,VLOOKUP($B27+1,'RFR Data - preExcl'!$BF$2:$BG1679,2,FALSE),IF($T27,INDEX('RFR Data - preExcl'!$BF$2:$BG1679,MATCH($B27,'RFR Data - preExcl'!$BF$2:$BF1679,0)+1,2),VLOOKUP($B27,'RFR Data - preExcl'!$BF$2:$BG1679,2,FALSE))),IFERROR(0/0,""))</f>
        <v/>
      </c>
      <c r="V27" s="212" t="str">
        <f t="shared" si="5"/>
        <v>RUN-COMB_2022-03-21_RFR-002</v>
      </c>
      <c r="W27" s="51"/>
      <c r="X27" s="51"/>
      <c r="Y27" s="147" t="str">
        <f t="shared" ref="Y27:Z27" si="54">IF(_xlfn.ISFORMULA(S27),IFERROR(0/0,""),TRUE)</f>
        <v/>
      </c>
      <c r="Z27" s="147" t="str">
        <f t="shared" si="54"/>
        <v/>
      </c>
    </row>
    <row r="28">
      <c r="A28" s="6" t="str">
        <f>IFERROR(__xludf.DUMMYFUNCTION("""COMPUTED_VALUE"""),"MA148")</f>
        <v>MA148</v>
      </c>
      <c r="B28" s="206">
        <f>IFERROR(__xludf.DUMMYFUNCTION("""COMPUTED_VALUE"""),44641.0)</f>
        <v>44641</v>
      </c>
      <c r="C28" s="207">
        <f>IFERROR(__xludf.DUMMYFUNCTION("""COMPUTED_VALUE"""),0.2669097222222222)</f>
        <v>0.2669097222</v>
      </c>
      <c r="D28" s="50"/>
      <c r="E28" s="58"/>
      <c r="F28" s="58"/>
      <c r="G28" s="58" t="str">
        <f>IFERROR(__xludf.DUMMYFUNCTION("""COMPUTED_VALUE"""),"Negative")</f>
        <v>Negative</v>
      </c>
      <c r="H28" s="206" t="str">
        <f>IFERROR(__xludf.DUMMYFUNCTION("""COMPUTED_VALUE"""),"Negative")</f>
        <v>Negative</v>
      </c>
      <c r="I28" s="207">
        <f>IFERROR(__xludf.DUMMYFUNCTION("""COMPUTED_VALUE"""),44641.0)</f>
        <v>44641</v>
      </c>
      <c r="J28" s="208">
        <f>IFERROR(__xludf.DUMMYFUNCTION("""COMPUTED_VALUE"""),0.40729166666666666)</f>
        <v>0.4072916667</v>
      </c>
      <c r="K28" s="50"/>
      <c r="L28" s="6"/>
      <c r="M28" s="55"/>
      <c r="N28" s="55">
        <f>IFERROR(__xludf.DUMMYFUNCTION("""COMPUTED_VALUE"""),1.0)</f>
        <v>1</v>
      </c>
      <c r="O28" s="55" t="str">
        <f t="shared" si="3"/>
        <v/>
      </c>
      <c r="P28" s="209"/>
      <c r="Q28" s="75" t="b">
        <f>VLOOKUP($B28,'Run Reconcile'!B$2:P1679,15,FALSE)</f>
        <v>1</v>
      </c>
      <c r="R28" s="211" t="str">
        <f t="array" ref="R28">IF($Q28, INDEX('Run Reconcile'!A$2:A1679,MATCH(B28,'Run Reconcile'!B$2:B1679,0),1),IFERROR(0/0,""))</f>
        <v>RUN-COMB_2022-03-21_RFR-002</v>
      </c>
      <c r="S28" s="165" t="str">
        <f t="shared" ref="S28:T28" si="55">IF(COUNTIF(W$2:W1679, $A28) &gt; 0,TRUE,IFERROR(0/0,""))</f>
        <v/>
      </c>
      <c r="T28" s="165" t="str">
        <f t="shared" si="55"/>
        <v/>
      </c>
      <c r="U28" s="147" t="str">
        <f t="array" ref="U28">IF(ISBLANK($R28), IF($S28,VLOOKUP($B28+1,'RFR Data - preExcl'!$BF$2:$BG1679,2,FALSE),IF($T28,INDEX('RFR Data - preExcl'!$BF$2:$BG1679,MATCH($B28,'RFR Data - preExcl'!$BF$2:$BF1679,0)+1,2),VLOOKUP($B28,'RFR Data - preExcl'!$BF$2:$BG1679,2,FALSE))),IFERROR(0/0,""))</f>
        <v/>
      </c>
      <c r="V28" s="212" t="str">
        <f t="shared" si="5"/>
        <v>RUN-COMB_2022-03-21_RFR-002</v>
      </c>
      <c r="W28" s="51"/>
      <c r="X28" s="51"/>
      <c r="Y28" s="147" t="str">
        <f t="shared" ref="Y28:Z28" si="56">IF(_xlfn.ISFORMULA(S28),IFERROR(0/0,""),TRUE)</f>
        <v/>
      </c>
      <c r="Z28" s="147" t="str">
        <f t="shared" si="56"/>
        <v/>
      </c>
    </row>
    <row r="29">
      <c r="A29" s="6" t="str">
        <f>IFERROR(__xludf.DUMMYFUNCTION("""COMPUTED_VALUE"""),"MA140")</f>
        <v>MA140</v>
      </c>
      <c r="B29" s="206">
        <f>IFERROR(__xludf.DUMMYFUNCTION("""COMPUTED_VALUE"""),44641.0)</f>
        <v>44641</v>
      </c>
      <c r="C29" s="207">
        <f>IFERROR(__xludf.DUMMYFUNCTION("""COMPUTED_VALUE"""),0.2682986111111111)</f>
        <v>0.2682986111</v>
      </c>
      <c r="D29" s="50"/>
      <c r="E29" s="58"/>
      <c r="F29" s="58"/>
      <c r="G29" s="58" t="str">
        <f>IFERROR(__xludf.DUMMYFUNCTION("""COMPUTED_VALUE"""),"Null")</f>
        <v>Null</v>
      </c>
      <c r="H29" s="206" t="str">
        <f>IFERROR(__xludf.DUMMYFUNCTION("""COMPUTED_VALUE"""),"Negative")</f>
        <v>Negative</v>
      </c>
      <c r="I29" s="207"/>
      <c r="J29" s="50"/>
      <c r="K29" s="50">
        <f>IFERROR(__xludf.DUMMYFUNCTION("""COMPUTED_VALUE"""),2.0)</f>
        <v>2</v>
      </c>
      <c r="L29" s="6" t="str">
        <f>IFERROR(__xludf.DUMMYFUNCTION("""COMPUTED_VALUE"""),"With all Null corrected to Neg, Collect count still short by 1 tube")</f>
        <v>With all Null corrected to Neg, Collect count still short by 1 tube</v>
      </c>
      <c r="M29" s="55"/>
      <c r="N29" s="55">
        <f>IFERROR(__xludf.DUMMYFUNCTION("""COMPUTED_VALUE"""),1.0)</f>
        <v>1</v>
      </c>
      <c r="O29" s="55" t="str">
        <f t="shared" si="3"/>
        <v/>
      </c>
      <c r="P29" s="209"/>
      <c r="Q29" s="75" t="b">
        <f>VLOOKUP($B29,'Run Reconcile'!B$2:P1679,15,FALSE)</f>
        <v>1</v>
      </c>
      <c r="R29" s="211" t="str">
        <f t="array" ref="R29">IF($Q29, INDEX('Run Reconcile'!A$2:A1679,MATCH(B29,'Run Reconcile'!B$2:B1679,0),1),IFERROR(0/0,""))</f>
        <v>RUN-COMB_2022-03-21_RFR-002</v>
      </c>
      <c r="S29" s="165" t="str">
        <f t="shared" ref="S29:T29" si="57">IF(COUNTIF(W$2:W1679, $A29) &gt; 0,TRUE,IFERROR(0/0,""))</f>
        <v/>
      </c>
      <c r="T29" s="165" t="str">
        <f t="shared" si="57"/>
        <v/>
      </c>
      <c r="U29" s="147" t="str">
        <f t="array" ref="U29">IF(ISBLANK($R29), IF($S29,VLOOKUP($B29+1,'RFR Data - preExcl'!$BF$2:$BG1679,2,FALSE),IF($T29,INDEX('RFR Data - preExcl'!$BF$2:$BG1679,MATCH($B29,'RFR Data - preExcl'!$BF$2:$BF1679,0)+1,2),VLOOKUP($B29,'RFR Data - preExcl'!$BF$2:$BG1679,2,FALSE))),IFERROR(0/0,""))</f>
        <v/>
      </c>
      <c r="V29" s="212" t="str">
        <f t="shared" si="5"/>
        <v>RUN-COMB_2022-03-21_RFR-002</v>
      </c>
      <c r="W29" s="51"/>
      <c r="X29" s="51"/>
      <c r="Y29" s="147" t="str">
        <f t="shared" ref="Y29:Z29" si="58">IF(_xlfn.ISFORMULA(S29),IFERROR(0/0,""),TRUE)</f>
        <v/>
      </c>
      <c r="Z29" s="147" t="str">
        <f t="shared" si="58"/>
        <v/>
      </c>
    </row>
    <row r="30">
      <c r="A30" s="6" t="str">
        <f>IFERROR(__xludf.DUMMYFUNCTION("""COMPUTED_VALUE"""),"MA183")</f>
        <v>MA183</v>
      </c>
      <c r="B30" s="206">
        <f>IFERROR(__xludf.DUMMYFUNCTION("""COMPUTED_VALUE"""),44641.0)</f>
        <v>44641</v>
      </c>
      <c r="C30" s="207">
        <f>IFERROR(__xludf.DUMMYFUNCTION("""COMPUTED_VALUE"""),0.269212962962963)</f>
        <v>0.269212963</v>
      </c>
      <c r="D30" s="50"/>
      <c r="E30" s="58"/>
      <c r="F30" s="58"/>
      <c r="G30" s="58" t="str">
        <f>IFERROR(__xludf.DUMMYFUNCTION("""COMPUTED_VALUE"""),"Negative")</f>
        <v>Negative</v>
      </c>
      <c r="H30" s="206" t="str">
        <f>IFERROR(__xludf.DUMMYFUNCTION("""COMPUTED_VALUE"""),"Negative")</f>
        <v>Negative</v>
      </c>
      <c r="I30" s="207">
        <f>IFERROR(__xludf.DUMMYFUNCTION("""COMPUTED_VALUE"""),44641.0)</f>
        <v>44641</v>
      </c>
      <c r="J30" s="208">
        <f>IFERROR(__xludf.DUMMYFUNCTION("""COMPUTED_VALUE"""),0.40729166666666666)</f>
        <v>0.4072916667</v>
      </c>
      <c r="K30" s="50"/>
      <c r="L30" s="6"/>
      <c r="M30" s="55"/>
      <c r="N30" s="55">
        <f>IFERROR(__xludf.DUMMYFUNCTION("""COMPUTED_VALUE"""),1.0)</f>
        <v>1</v>
      </c>
      <c r="O30" s="55" t="str">
        <f t="shared" si="3"/>
        <v/>
      </c>
      <c r="P30" s="209"/>
      <c r="Q30" s="75" t="b">
        <f>VLOOKUP($B30,'Run Reconcile'!B$2:P1679,15,FALSE)</f>
        <v>1</v>
      </c>
      <c r="R30" s="211" t="str">
        <f t="array" ref="R30">IF($Q30, INDEX('Run Reconcile'!A$2:A1679,MATCH(B30,'Run Reconcile'!B$2:B1679,0),1),IFERROR(0/0,""))</f>
        <v>RUN-COMB_2022-03-21_RFR-002</v>
      </c>
      <c r="S30" s="165" t="str">
        <f t="shared" ref="S30:T30" si="59">IF(COUNTIF(W$2:W1679, $A30) &gt; 0,TRUE,IFERROR(0/0,""))</f>
        <v/>
      </c>
      <c r="T30" s="165" t="str">
        <f t="shared" si="59"/>
        <v/>
      </c>
      <c r="U30" s="147" t="str">
        <f t="array" ref="U30">IF(ISBLANK($R30), IF($S30,VLOOKUP($B30+1,'RFR Data - preExcl'!$BF$2:$BG1679,2,FALSE),IF($T30,INDEX('RFR Data - preExcl'!$BF$2:$BG1679,MATCH($B30,'RFR Data - preExcl'!$BF$2:$BF1679,0)+1,2),VLOOKUP($B30,'RFR Data - preExcl'!$BF$2:$BG1679,2,FALSE))),IFERROR(0/0,""))</f>
        <v/>
      </c>
      <c r="V30" s="212" t="str">
        <f t="shared" si="5"/>
        <v>RUN-COMB_2022-03-21_RFR-002</v>
      </c>
      <c r="W30" s="51"/>
      <c r="X30" s="51"/>
      <c r="Y30" s="147" t="str">
        <f t="shared" ref="Y30:Z30" si="60">IF(_xlfn.ISFORMULA(S30),IFERROR(0/0,""),TRUE)</f>
        <v/>
      </c>
      <c r="Z30" s="147" t="str">
        <f t="shared" si="60"/>
        <v/>
      </c>
    </row>
    <row r="31">
      <c r="A31" s="6" t="str">
        <f>IFERROR(__xludf.DUMMYFUNCTION("""COMPUTED_VALUE"""),"MA81")</f>
        <v>MA81</v>
      </c>
      <c r="B31" s="206">
        <f>IFERROR(__xludf.DUMMYFUNCTION("""COMPUTED_VALUE"""),44641.0)</f>
        <v>44641</v>
      </c>
      <c r="C31" s="207">
        <f>IFERROR(__xludf.DUMMYFUNCTION("""COMPUTED_VALUE"""),0.2703935185185185)</f>
        <v>0.2703935185</v>
      </c>
      <c r="D31" s="50"/>
      <c r="E31" s="58"/>
      <c r="F31" s="58"/>
      <c r="G31" s="58" t="str">
        <f>IFERROR(__xludf.DUMMYFUNCTION("""COMPUTED_VALUE"""),"Negative")</f>
        <v>Negative</v>
      </c>
      <c r="H31" s="206" t="str">
        <f>IFERROR(__xludf.DUMMYFUNCTION("""COMPUTED_VALUE"""),"Negative")</f>
        <v>Negative</v>
      </c>
      <c r="I31" s="207">
        <f>IFERROR(__xludf.DUMMYFUNCTION("""COMPUTED_VALUE"""),44641.0)</f>
        <v>44641</v>
      </c>
      <c r="J31" s="208">
        <f>IFERROR(__xludf.DUMMYFUNCTION("""COMPUTED_VALUE"""),0.40729166666666666)</f>
        <v>0.4072916667</v>
      </c>
      <c r="K31" s="50"/>
      <c r="L31" s="6"/>
      <c r="M31" s="55"/>
      <c r="N31" s="55">
        <f>IFERROR(__xludf.DUMMYFUNCTION("""COMPUTED_VALUE"""),1.0)</f>
        <v>1</v>
      </c>
      <c r="O31" s="55" t="str">
        <f t="shared" si="3"/>
        <v/>
      </c>
      <c r="P31" s="209"/>
      <c r="Q31" s="75" t="b">
        <f>VLOOKUP($B31,'Run Reconcile'!B$2:P1679,15,FALSE)</f>
        <v>1</v>
      </c>
      <c r="R31" s="211" t="str">
        <f t="array" ref="R31">IF($Q31, INDEX('Run Reconcile'!A$2:A1679,MATCH(B31,'Run Reconcile'!B$2:B1679,0),1),IFERROR(0/0,""))</f>
        <v>RUN-COMB_2022-03-21_RFR-002</v>
      </c>
      <c r="S31" s="165" t="str">
        <f t="shared" ref="S31:T31" si="61">IF(COUNTIF(W$2:W1679, $A31) &gt; 0,TRUE,IFERROR(0/0,""))</f>
        <v/>
      </c>
      <c r="T31" s="165" t="str">
        <f t="shared" si="61"/>
        <v/>
      </c>
      <c r="U31" s="147" t="str">
        <f t="array" ref="U31">IF(ISBLANK($R31), IF($S31,VLOOKUP($B31+1,'RFR Data - preExcl'!$BF$2:$BG1679,2,FALSE),IF($T31,INDEX('RFR Data - preExcl'!$BF$2:$BG1679,MATCH($B31,'RFR Data - preExcl'!$BF$2:$BF1679,0)+1,2),VLOOKUP($B31,'RFR Data - preExcl'!$BF$2:$BG1679,2,FALSE))),IFERROR(0/0,""))</f>
        <v/>
      </c>
      <c r="V31" s="212" t="str">
        <f t="shared" si="5"/>
        <v>RUN-COMB_2022-03-21_RFR-002</v>
      </c>
      <c r="W31" s="51"/>
      <c r="X31" s="51"/>
      <c r="Y31" s="147" t="str">
        <f t="shared" ref="Y31:Z31" si="62">IF(_xlfn.ISFORMULA(S31),IFERROR(0/0,""),TRUE)</f>
        <v/>
      </c>
      <c r="Z31" s="147" t="str">
        <f t="shared" si="62"/>
        <v/>
      </c>
    </row>
    <row r="32">
      <c r="A32" s="6" t="str">
        <f>IFERROR(__xludf.DUMMYFUNCTION("""COMPUTED_VALUE"""),"MA159")</f>
        <v>MA159</v>
      </c>
      <c r="B32" s="206">
        <f>IFERROR(__xludf.DUMMYFUNCTION("""COMPUTED_VALUE"""),44641.0)</f>
        <v>44641</v>
      </c>
      <c r="C32" s="207">
        <f>IFERROR(__xludf.DUMMYFUNCTION("""COMPUTED_VALUE"""),0.27143518518518517)</f>
        <v>0.2714351852</v>
      </c>
      <c r="D32" s="50"/>
      <c r="E32" s="58"/>
      <c r="F32" s="58"/>
      <c r="G32" s="58" t="str">
        <f>IFERROR(__xludf.DUMMYFUNCTION("""COMPUTED_VALUE"""),"Negative")</f>
        <v>Negative</v>
      </c>
      <c r="H32" s="206" t="str">
        <f>IFERROR(__xludf.DUMMYFUNCTION("""COMPUTED_VALUE"""),"Negative")</f>
        <v>Negative</v>
      </c>
      <c r="I32" s="207">
        <f>IFERROR(__xludf.DUMMYFUNCTION("""COMPUTED_VALUE"""),44641.0)</f>
        <v>44641</v>
      </c>
      <c r="J32" s="208">
        <f>IFERROR(__xludf.DUMMYFUNCTION("""COMPUTED_VALUE"""),0.40729166666666666)</f>
        <v>0.4072916667</v>
      </c>
      <c r="K32" s="50"/>
      <c r="L32" s="6"/>
      <c r="M32" s="55"/>
      <c r="N32" s="55">
        <f>IFERROR(__xludf.DUMMYFUNCTION("""COMPUTED_VALUE"""),1.0)</f>
        <v>1</v>
      </c>
      <c r="O32" s="55" t="str">
        <f t="shared" si="3"/>
        <v/>
      </c>
      <c r="P32" s="209"/>
      <c r="Q32" s="75" t="b">
        <f>VLOOKUP($B32,'Run Reconcile'!B$2:P1679,15,FALSE)</f>
        <v>1</v>
      </c>
      <c r="R32" s="211" t="str">
        <f t="array" ref="R32">IF($Q32, INDEX('Run Reconcile'!A$2:A1679,MATCH(B32,'Run Reconcile'!B$2:B1679,0),1),IFERROR(0/0,""))</f>
        <v>RUN-COMB_2022-03-21_RFR-002</v>
      </c>
      <c r="S32" s="165" t="str">
        <f t="shared" ref="S32:T32" si="63">IF(COUNTIF(W$2:W1679, $A32) &gt; 0,TRUE,IFERROR(0/0,""))</f>
        <v/>
      </c>
      <c r="T32" s="165" t="str">
        <f t="shared" si="63"/>
        <v/>
      </c>
      <c r="U32" s="147" t="str">
        <f t="array" ref="U32">IF(ISBLANK($R32), IF($S32,VLOOKUP($B32+1,'RFR Data - preExcl'!$BF$2:$BG1679,2,FALSE),IF($T32,INDEX('RFR Data - preExcl'!$BF$2:$BG1679,MATCH($B32,'RFR Data - preExcl'!$BF$2:$BF1679,0)+1,2),VLOOKUP($B32,'RFR Data - preExcl'!$BF$2:$BG1679,2,FALSE))),IFERROR(0/0,""))</f>
        <v/>
      </c>
      <c r="V32" s="212" t="str">
        <f t="shared" si="5"/>
        <v>RUN-COMB_2022-03-21_RFR-002</v>
      </c>
      <c r="W32" s="51"/>
      <c r="X32" s="51"/>
      <c r="Y32" s="147" t="str">
        <f t="shared" ref="Y32:Z32" si="64">IF(_xlfn.ISFORMULA(S32),IFERROR(0/0,""),TRUE)</f>
        <v/>
      </c>
      <c r="Z32" s="147" t="str">
        <f t="shared" si="64"/>
        <v/>
      </c>
    </row>
    <row r="33">
      <c r="A33" s="6" t="str">
        <f>IFERROR(__xludf.DUMMYFUNCTION("""COMPUTED_VALUE"""),"MA93")</f>
        <v>MA93</v>
      </c>
      <c r="B33" s="206">
        <f>IFERROR(__xludf.DUMMYFUNCTION("""COMPUTED_VALUE"""),44641.0)</f>
        <v>44641</v>
      </c>
      <c r="C33" s="207">
        <f>IFERROR(__xludf.DUMMYFUNCTION("""COMPUTED_VALUE"""),0.2725578703703704)</f>
        <v>0.2725578704</v>
      </c>
      <c r="D33" s="50"/>
      <c r="E33" s="58"/>
      <c r="F33" s="58"/>
      <c r="G33" s="58" t="str">
        <f>IFERROR(__xludf.DUMMYFUNCTION("""COMPUTED_VALUE"""),"Negative")</f>
        <v>Negative</v>
      </c>
      <c r="H33" s="206" t="str">
        <f>IFERROR(__xludf.DUMMYFUNCTION("""COMPUTED_VALUE"""),"Negative")</f>
        <v>Negative</v>
      </c>
      <c r="I33" s="207">
        <f>IFERROR(__xludf.DUMMYFUNCTION("""COMPUTED_VALUE"""),44641.0)</f>
        <v>44641</v>
      </c>
      <c r="J33" s="208">
        <f>IFERROR(__xludf.DUMMYFUNCTION("""COMPUTED_VALUE"""),0.40729166666666666)</f>
        <v>0.4072916667</v>
      </c>
      <c r="K33" s="50"/>
      <c r="L33" s="6"/>
      <c r="M33" s="55"/>
      <c r="N33" s="55">
        <f>IFERROR(__xludf.DUMMYFUNCTION("""COMPUTED_VALUE"""),1.0)</f>
        <v>1</v>
      </c>
      <c r="O33" s="55" t="str">
        <f t="shared" si="3"/>
        <v/>
      </c>
      <c r="P33" s="209"/>
      <c r="Q33" s="75" t="b">
        <f>VLOOKUP($B33,'Run Reconcile'!B$2:P1679,15,FALSE)</f>
        <v>1</v>
      </c>
      <c r="R33" s="211" t="str">
        <f t="array" ref="R33">IF($Q33, INDEX('Run Reconcile'!A$2:A1679,MATCH(B33,'Run Reconcile'!B$2:B1679,0),1),IFERROR(0/0,""))</f>
        <v>RUN-COMB_2022-03-21_RFR-002</v>
      </c>
      <c r="S33" s="165" t="str">
        <f t="shared" ref="S33:T33" si="65">IF(COUNTIF(W$2:W1679, $A33) &gt; 0,TRUE,IFERROR(0/0,""))</f>
        <v/>
      </c>
      <c r="T33" s="165" t="str">
        <f t="shared" si="65"/>
        <v/>
      </c>
      <c r="U33" s="147" t="str">
        <f t="array" ref="U33">IF(ISBLANK($R33), IF($S33,VLOOKUP($B33+1,'RFR Data - preExcl'!$BF$2:$BG1679,2,FALSE),IF($T33,INDEX('RFR Data - preExcl'!$BF$2:$BG1679,MATCH($B33,'RFR Data - preExcl'!$BF$2:$BF1679,0)+1,2),VLOOKUP($B33,'RFR Data - preExcl'!$BF$2:$BG1679,2,FALSE))),IFERROR(0/0,""))</f>
        <v/>
      </c>
      <c r="V33" s="212" t="str">
        <f t="shared" si="5"/>
        <v>RUN-COMB_2022-03-21_RFR-002</v>
      </c>
      <c r="W33" s="51"/>
      <c r="X33" s="51"/>
      <c r="Y33" s="147" t="str">
        <f t="shared" ref="Y33:Z33" si="66">IF(_xlfn.ISFORMULA(S33),IFERROR(0/0,""),TRUE)</f>
        <v/>
      </c>
      <c r="Z33" s="147" t="str">
        <f t="shared" si="66"/>
        <v/>
      </c>
    </row>
    <row r="34">
      <c r="A34" s="6" t="str">
        <f>IFERROR(__xludf.DUMMYFUNCTION("""COMPUTED_VALUE"""),"MA153")</f>
        <v>MA153</v>
      </c>
      <c r="B34" s="206">
        <f>IFERROR(__xludf.DUMMYFUNCTION("""COMPUTED_VALUE"""),44641.0)</f>
        <v>44641</v>
      </c>
      <c r="C34" s="207">
        <f>IFERROR(__xludf.DUMMYFUNCTION("""COMPUTED_VALUE"""),0.27534722222222224)</f>
        <v>0.2753472222</v>
      </c>
      <c r="D34" s="50"/>
      <c r="E34" s="58"/>
      <c r="F34" s="58"/>
      <c r="G34" s="58" t="str">
        <f>IFERROR(__xludf.DUMMYFUNCTION("""COMPUTED_VALUE"""),"Negative")</f>
        <v>Negative</v>
      </c>
      <c r="H34" s="206" t="str">
        <f>IFERROR(__xludf.DUMMYFUNCTION("""COMPUTED_VALUE"""),"Negative")</f>
        <v>Negative</v>
      </c>
      <c r="I34" s="207">
        <f>IFERROR(__xludf.DUMMYFUNCTION("""COMPUTED_VALUE"""),44641.0)</f>
        <v>44641</v>
      </c>
      <c r="J34" s="208">
        <f>IFERROR(__xludf.DUMMYFUNCTION("""COMPUTED_VALUE"""),0.40729166666666666)</f>
        <v>0.4072916667</v>
      </c>
      <c r="K34" s="50"/>
      <c r="L34" s="6"/>
      <c r="M34" s="55"/>
      <c r="N34" s="55">
        <f>IFERROR(__xludf.DUMMYFUNCTION("""COMPUTED_VALUE"""),1.0)</f>
        <v>1</v>
      </c>
      <c r="O34" s="55" t="str">
        <f t="shared" si="3"/>
        <v/>
      </c>
      <c r="P34" s="209"/>
      <c r="Q34" s="75" t="b">
        <f>VLOOKUP($B34,'Run Reconcile'!B$2:P1679,15,FALSE)</f>
        <v>1</v>
      </c>
      <c r="R34" s="211" t="str">
        <f t="array" ref="R34">IF($Q34, INDEX('Run Reconcile'!A$2:A1679,MATCH(B34,'Run Reconcile'!B$2:B1679,0),1),IFERROR(0/0,""))</f>
        <v>RUN-COMB_2022-03-21_RFR-002</v>
      </c>
      <c r="S34" s="165" t="str">
        <f t="shared" ref="S34:T34" si="67">IF(COUNTIF(W$2:W1679, $A34) &gt; 0,TRUE,IFERROR(0/0,""))</f>
        <v/>
      </c>
      <c r="T34" s="165" t="str">
        <f t="shared" si="67"/>
        <v/>
      </c>
      <c r="U34" s="147" t="str">
        <f t="array" ref="U34">IF(ISBLANK($R34), IF($S34,VLOOKUP($B34+1,'RFR Data - preExcl'!$BF$2:$BG1679,2,FALSE),IF($T34,INDEX('RFR Data - preExcl'!$BF$2:$BG1679,MATCH($B34,'RFR Data - preExcl'!$BF$2:$BF1679,0)+1,2),VLOOKUP($B34,'RFR Data - preExcl'!$BF$2:$BG1679,2,FALSE))),IFERROR(0/0,""))</f>
        <v/>
      </c>
      <c r="V34" s="212" t="str">
        <f t="shared" si="5"/>
        <v>RUN-COMB_2022-03-21_RFR-002</v>
      </c>
      <c r="W34" s="51"/>
      <c r="X34" s="51"/>
      <c r="Y34" s="147" t="str">
        <f t="shared" ref="Y34:Z34" si="68">IF(_xlfn.ISFORMULA(S34),IFERROR(0/0,""),TRUE)</f>
        <v/>
      </c>
      <c r="Z34" s="147" t="str">
        <f t="shared" si="68"/>
        <v/>
      </c>
    </row>
    <row r="35">
      <c r="A35" s="6" t="str">
        <f>IFERROR(__xludf.DUMMYFUNCTION("""COMPUTED_VALUE"""),"MA105")</f>
        <v>MA105</v>
      </c>
      <c r="B35" s="206">
        <f>IFERROR(__xludf.DUMMYFUNCTION("""COMPUTED_VALUE"""),44641.0)</f>
        <v>44641</v>
      </c>
      <c r="C35" s="207">
        <f>IFERROR(__xludf.DUMMYFUNCTION("""COMPUTED_VALUE"""),0.27630787037037036)</f>
        <v>0.2763078704</v>
      </c>
      <c r="D35" s="50"/>
      <c r="E35" s="58"/>
      <c r="F35" s="58"/>
      <c r="G35" s="58" t="str">
        <f>IFERROR(__xludf.DUMMYFUNCTION("""COMPUTED_VALUE"""),"Negative")</f>
        <v>Negative</v>
      </c>
      <c r="H35" s="206" t="str">
        <f>IFERROR(__xludf.DUMMYFUNCTION("""COMPUTED_VALUE"""),"Negative")</f>
        <v>Negative</v>
      </c>
      <c r="I35" s="207">
        <f>IFERROR(__xludf.DUMMYFUNCTION("""COMPUTED_VALUE"""),44641.0)</f>
        <v>44641</v>
      </c>
      <c r="J35" s="208">
        <f>IFERROR(__xludf.DUMMYFUNCTION("""COMPUTED_VALUE"""),0.40729166666666666)</f>
        <v>0.4072916667</v>
      </c>
      <c r="K35" s="50"/>
      <c r="L35" s="6"/>
      <c r="M35" s="55"/>
      <c r="N35" s="55">
        <f>IFERROR(__xludf.DUMMYFUNCTION("""COMPUTED_VALUE"""),1.0)</f>
        <v>1</v>
      </c>
      <c r="O35" s="55" t="str">
        <f t="shared" si="3"/>
        <v/>
      </c>
      <c r="P35" s="209"/>
      <c r="Q35" s="75" t="b">
        <f>VLOOKUP($B35,'Run Reconcile'!B$2:P1679,15,FALSE)</f>
        <v>1</v>
      </c>
      <c r="R35" s="211" t="str">
        <f t="array" ref="R35">IF($Q35, INDEX('Run Reconcile'!A$2:A1679,MATCH(B35,'Run Reconcile'!B$2:B1679,0),1),IFERROR(0/0,""))</f>
        <v>RUN-COMB_2022-03-21_RFR-002</v>
      </c>
      <c r="S35" s="165" t="str">
        <f t="shared" ref="S35:T35" si="69">IF(COUNTIF(W$2:W1679, $A35) &gt; 0,TRUE,IFERROR(0/0,""))</f>
        <v/>
      </c>
      <c r="T35" s="165" t="str">
        <f t="shared" si="69"/>
        <v/>
      </c>
      <c r="U35" s="147" t="str">
        <f t="array" ref="U35">IF(ISBLANK($R35), IF($S35,VLOOKUP($B35+1,'RFR Data - preExcl'!$BF$2:$BG1679,2,FALSE),IF($T35,INDEX('RFR Data - preExcl'!$BF$2:$BG1679,MATCH($B35,'RFR Data - preExcl'!$BF$2:$BF1679,0)+1,2),VLOOKUP($B35,'RFR Data - preExcl'!$BF$2:$BG1679,2,FALSE))),IFERROR(0/0,""))</f>
        <v/>
      </c>
      <c r="V35" s="212" t="str">
        <f t="shared" si="5"/>
        <v>RUN-COMB_2022-03-21_RFR-002</v>
      </c>
      <c r="W35" s="51"/>
      <c r="X35" s="51"/>
      <c r="Y35" s="147" t="str">
        <f t="shared" ref="Y35:Z35" si="70">IF(_xlfn.ISFORMULA(S35),IFERROR(0/0,""),TRUE)</f>
        <v/>
      </c>
      <c r="Z35" s="147" t="str">
        <f t="shared" si="70"/>
        <v/>
      </c>
    </row>
    <row r="36">
      <c r="A36" s="6" t="str">
        <f>IFERROR(__xludf.DUMMYFUNCTION("""COMPUTED_VALUE"""),"MA200")</f>
        <v>MA200</v>
      </c>
      <c r="B36" s="206">
        <f>IFERROR(__xludf.DUMMYFUNCTION("""COMPUTED_VALUE"""),44641.0)</f>
        <v>44641</v>
      </c>
      <c r="C36" s="207">
        <f>IFERROR(__xludf.DUMMYFUNCTION("""COMPUTED_VALUE"""),0.2772800925925926)</f>
        <v>0.2772800926</v>
      </c>
      <c r="D36" s="50"/>
      <c r="E36" s="58"/>
      <c r="F36" s="58"/>
      <c r="G36" s="58" t="str">
        <f>IFERROR(__xludf.DUMMYFUNCTION("""COMPUTED_VALUE"""),"Negative")</f>
        <v>Negative</v>
      </c>
      <c r="H36" s="206" t="str">
        <f>IFERROR(__xludf.DUMMYFUNCTION("""COMPUTED_VALUE"""),"Negative")</f>
        <v>Negative</v>
      </c>
      <c r="I36" s="207">
        <f>IFERROR(__xludf.DUMMYFUNCTION("""COMPUTED_VALUE"""),44641.0)</f>
        <v>44641</v>
      </c>
      <c r="J36" s="208">
        <f>IFERROR(__xludf.DUMMYFUNCTION("""COMPUTED_VALUE"""),0.40730324074074076)</f>
        <v>0.4073032407</v>
      </c>
      <c r="K36" s="50"/>
      <c r="L36" s="6"/>
      <c r="M36" s="55"/>
      <c r="N36" s="55">
        <f>IFERROR(__xludf.DUMMYFUNCTION("""COMPUTED_VALUE"""),1.0)</f>
        <v>1</v>
      </c>
      <c r="O36" s="55" t="str">
        <f t="shared" si="3"/>
        <v/>
      </c>
      <c r="P36" s="209"/>
      <c r="Q36" s="75" t="b">
        <f>VLOOKUP($B36,'Run Reconcile'!B$2:P1679,15,FALSE)</f>
        <v>1</v>
      </c>
      <c r="R36" s="211" t="str">
        <f t="array" ref="R36">IF($Q36, INDEX('Run Reconcile'!A$2:A1679,MATCH(B36,'Run Reconcile'!B$2:B1679,0),1),IFERROR(0/0,""))</f>
        <v>RUN-COMB_2022-03-21_RFR-002</v>
      </c>
      <c r="S36" s="165" t="str">
        <f t="shared" ref="S36:T36" si="71">IF(COUNTIF(W$2:W1679, $A36) &gt; 0,TRUE,IFERROR(0/0,""))</f>
        <v/>
      </c>
      <c r="T36" s="165" t="str">
        <f t="shared" si="71"/>
        <v/>
      </c>
      <c r="U36" s="147" t="str">
        <f t="array" ref="U36">IF(ISBLANK($R36), IF($S36,VLOOKUP($B36+1,'RFR Data - preExcl'!$BF$2:$BG1679,2,FALSE),IF($T36,INDEX('RFR Data - preExcl'!$BF$2:$BG1679,MATCH($B36,'RFR Data - preExcl'!$BF$2:$BF1679,0)+1,2),VLOOKUP($B36,'RFR Data - preExcl'!$BF$2:$BG1679,2,FALSE))),IFERROR(0/0,""))</f>
        <v/>
      </c>
      <c r="V36" s="212" t="str">
        <f t="shared" si="5"/>
        <v>RUN-COMB_2022-03-21_RFR-002</v>
      </c>
      <c r="W36" s="51"/>
      <c r="X36" s="51"/>
      <c r="Y36" s="147" t="str">
        <f t="shared" ref="Y36:Z36" si="72">IF(_xlfn.ISFORMULA(S36),IFERROR(0/0,""),TRUE)</f>
        <v/>
      </c>
      <c r="Z36" s="147" t="str">
        <f t="shared" si="72"/>
        <v/>
      </c>
    </row>
    <row r="37">
      <c r="A37" s="6" t="str">
        <f>IFERROR(__xludf.DUMMYFUNCTION("""COMPUTED_VALUE"""),"MA199")</f>
        <v>MA199</v>
      </c>
      <c r="B37" s="206">
        <f>IFERROR(__xludf.DUMMYFUNCTION("""COMPUTED_VALUE"""),44641.0)</f>
        <v>44641</v>
      </c>
      <c r="C37" s="207">
        <f>IFERROR(__xludf.DUMMYFUNCTION("""COMPUTED_VALUE"""),0.2790162037037037)</f>
        <v>0.2790162037</v>
      </c>
      <c r="D37" s="50"/>
      <c r="E37" s="58"/>
      <c r="F37" s="58"/>
      <c r="G37" s="58" t="str">
        <f>IFERROR(__xludf.DUMMYFUNCTION("""COMPUTED_VALUE"""),"Positive")</f>
        <v>Positive</v>
      </c>
      <c r="H37" s="206" t="str">
        <f>IFERROR(__xludf.DUMMYFUNCTION("""COMPUTED_VALUE"""),"Positive")</f>
        <v>Positive</v>
      </c>
      <c r="I37" s="207">
        <f>IFERROR(__xludf.DUMMYFUNCTION("""COMPUTED_VALUE"""),44641.0)</f>
        <v>44641</v>
      </c>
      <c r="J37" s="208">
        <f>IFERROR(__xludf.DUMMYFUNCTION("""COMPUTED_VALUE"""),0.4075347222222222)</f>
        <v>0.4075347222</v>
      </c>
      <c r="K37" s="50"/>
      <c r="L37" s="6"/>
      <c r="M37" s="55"/>
      <c r="N37" s="55">
        <f>IFERROR(__xludf.DUMMYFUNCTION("""COMPUTED_VALUE"""),1.0)</f>
        <v>1</v>
      </c>
      <c r="O37" s="55" t="str">
        <f t="shared" si="3"/>
        <v/>
      </c>
      <c r="P37" s="209"/>
      <c r="Q37" s="75" t="b">
        <f>VLOOKUP($B37,'Run Reconcile'!B$2:P1679,15,FALSE)</f>
        <v>1</v>
      </c>
      <c r="R37" s="211" t="str">
        <f t="array" ref="R37">IF($Q37, INDEX('Run Reconcile'!A$2:A1679,MATCH(B37,'Run Reconcile'!B$2:B1679,0),1),IFERROR(0/0,""))</f>
        <v>RUN-COMB_2022-03-21_RFR-002</v>
      </c>
      <c r="S37" s="165" t="str">
        <f t="shared" ref="S37:T37" si="73">IF(COUNTIF(W$2:W1679, $A37) &gt; 0,TRUE,IFERROR(0/0,""))</f>
        <v/>
      </c>
      <c r="T37" s="165" t="str">
        <f t="shared" si="73"/>
        <v/>
      </c>
      <c r="U37" s="147" t="str">
        <f t="array" ref="U37">IF(ISBLANK($R37), IF($S37,VLOOKUP($B37+1,'RFR Data - preExcl'!$BF$2:$BG1679,2,FALSE),IF($T37,INDEX('RFR Data - preExcl'!$BF$2:$BG1679,MATCH($B37,'RFR Data - preExcl'!$BF$2:$BF1679,0)+1,2),VLOOKUP($B37,'RFR Data - preExcl'!$BF$2:$BG1679,2,FALSE))),IFERROR(0/0,""))</f>
        <v/>
      </c>
      <c r="V37" s="212" t="str">
        <f t="shared" si="5"/>
        <v>RUN-COMB_2022-03-21_RFR-002</v>
      </c>
      <c r="W37" s="51"/>
      <c r="X37" s="51"/>
      <c r="Y37" s="147" t="str">
        <f t="shared" ref="Y37:Z37" si="74">IF(_xlfn.ISFORMULA(S37),IFERROR(0/0,""),TRUE)</f>
        <v/>
      </c>
      <c r="Z37" s="147" t="str">
        <f t="shared" si="74"/>
        <v/>
      </c>
    </row>
    <row r="38">
      <c r="A38" s="6" t="str">
        <f>IFERROR(__xludf.DUMMYFUNCTION("""COMPUTED_VALUE"""),"MA131")</f>
        <v>MA131</v>
      </c>
      <c r="B38" s="206">
        <f>IFERROR(__xludf.DUMMYFUNCTION("""COMPUTED_VALUE"""),44641.0)</f>
        <v>44641</v>
      </c>
      <c r="C38" s="207">
        <f>IFERROR(__xludf.DUMMYFUNCTION("""COMPUTED_VALUE"""),0.2806018518518518)</f>
        <v>0.2806018519</v>
      </c>
      <c r="D38" s="50"/>
      <c r="E38" s="58"/>
      <c r="F38" s="58"/>
      <c r="G38" s="58" t="str">
        <f>IFERROR(__xludf.DUMMYFUNCTION("""COMPUTED_VALUE"""),"Negative")</f>
        <v>Negative</v>
      </c>
      <c r="H38" s="206" t="str">
        <f>IFERROR(__xludf.DUMMYFUNCTION("""COMPUTED_VALUE"""),"Negative")</f>
        <v>Negative</v>
      </c>
      <c r="I38" s="207">
        <f>IFERROR(__xludf.DUMMYFUNCTION("""COMPUTED_VALUE"""),44641.0)</f>
        <v>44641</v>
      </c>
      <c r="J38" s="208">
        <f>IFERROR(__xludf.DUMMYFUNCTION("""COMPUTED_VALUE"""),0.40730324074074076)</f>
        <v>0.4073032407</v>
      </c>
      <c r="K38" s="50"/>
      <c r="L38" s="6"/>
      <c r="M38" s="55"/>
      <c r="N38" s="55">
        <f>IFERROR(__xludf.DUMMYFUNCTION("""COMPUTED_VALUE"""),1.0)</f>
        <v>1</v>
      </c>
      <c r="O38" s="55" t="str">
        <f t="shared" si="3"/>
        <v/>
      </c>
      <c r="P38" s="209"/>
      <c r="Q38" s="75" t="b">
        <f>VLOOKUP($B38,'Run Reconcile'!B$2:P1679,15,FALSE)</f>
        <v>1</v>
      </c>
      <c r="R38" s="211" t="str">
        <f t="array" ref="R38">IF($Q38, INDEX('Run Reconcile'!A$2:A1679,MATCH(B38,'Run Reconcile'!B$2:B1679,0),1),IFERROR(0/0,""))</f>
        <v>RUN-COMB_2022-03-21_RFR-002</v>
      </c>
      <c r="S38" s="165" t="str">
        <f t="shared" ref="S38:T38" si="75">IF(COUNTIF(W$2:W1679, $A38) &gt; 0,TRUE,IFERROR(0/0,""))</f>
        <v/>
      </c>
      <c r="T38" s="165" t="str">
        <f t="shared" si="75"/>
        <v/>
      </c>
      <c r="U38" s="147" t="str">
        <f t="array" ref="U38">IF(ISBLANK($R38), IF($S38,VLOOKUP($B38+1,'RFR Data - preExcl'!$BF$2:$BG1679,2,FALSE),IF($T38,INDEX('RFR Data - preExcl'!$BF$2:$BG1679,MATCH($B38,'RFR Data - preExcl'!$BF$2:$BF1679,0)+1,2),VLOOKUP($B38,'RFR Data - preExcl'!$BF$2:$BG1679,2,FALSE))),IFERROR(0/0,""))</f>
        <v/>
      </c>
      <c r="V38" s="212" t="str">
        <f t="shared" si="5"/>
        <v>RUN-COMB_2022-03-21_RFR-002</v>
      </c>
      <c r="W38" s="51"/>
      <c r="X38" s="51"/>
      <c r="Y38" s="147" t="str">
        <f t="shared" ref="Y38:Z38" si="76">IF(_xlfn.ISFORMULA(S38),IFERROR(0/0,""),TRUE)</f>
        <v/>
      </c>
      <c r="Z38" s="147" t="str">
        <f t="shared" si="76"/>
        <v/>
      </c>
    </row>
    <row r="39">
      <c r="A39" s="6" t="str">
        <f>IFERROR(__xludf.DUMMYFUNCTION("""COMPUTED_VALUE"""),"MA133")</f>
        <v>MA133</v>
      </c>
      <c r="B39" s="206">
        <f>IFERROR(__xludf.DUMMYFUNCTION("""COMPUTED_VALUE"""),44641.0)</f>
        <v>44641</v>
      </c>
      <c r="C39" s="207">
        <f>IFERROR(__xludf.DUMMYFUNCTION("""COMPUTED_VALUE"""),0.28292824074074074)</f>
        <v>0.2829282407</v>
      </c>
      <c r="D39" s="50"/>
      <c r="E39" s="58"/>
      <c r="F39" s="58"/>
      <c r="G39" s="58" t="str">
        <f>IFERROR(__xludf.DUMMYFUNCTION("""COMPUTED_VALUE"""),"Negative")</f>
        <v>Negative</v>
      </c>
      <c r="H39" s="206" t="str">
        <f>IFERROR(__xludf.DUMMYFUNCTION("""COMPUTED_VALUE"""),"Negative")</f>
        <v>Negative</v>
      </c>
      <c r="I39" s="207">
        <f>IFERROR(__xludf.DUMMYFUNCTION("""COMPUTED_VALUE"""),44641.0)</f>
        <v>44641</v>
      </c>
      <c r="J39" s="208">
        <f>IFERROR(__xludf.DUMMYFUNCTION("""COMPUTED_VALUE"""),0.40730324074074076)</f>
        <v>0.4073032407</v>
      </c>
      <c r="K39" s="50"/>
      <c r="L39" s="6"/>
      <c r="M39" s="55"/>
      <c r="N39" s="55">
        <f>IFERROR(__xludf.DUMMYFUNCTION("""COMPUTED_VALUE"""),1.0)</f>
        <v>1</v>
      </c>
      <c r="O39" s="55" t="str">
        <f t="shared" si="3"/>
        <v/>
      </c>
      <c r="P39" s="209"/>
      <c r="Q39" s="75" t="b">
        <f>VLOOKUP($B39,'Run Reconcile'!B$2:P1679,15,FALSE)</f>
        <v>1</v>
      </c>
      <c r="R39" s="211" t="str">
        <f t="array" ref="R39">IF($Q39, INDEX('Run Reconcile'!A$2:A1679,MATCH(B39,'Run Reconcile'!B$2:B1679,0),1),IFERROR(0/0,""))</f>
        <v>RUN-COMB_2022-03-21_RFR-002</v>
      </c>
      <c r="S39" s="165" t="str">
        <f t="shared" ref="S39:T39" si="77">IF(COUNTIF(W$2:W1679, $A39) &gt; 0,TRUE,IFERROR(0/0,""))</f>
        <v/>
      </c>
      <c r="T39" s="165" t="str">
        <f t="shared" si="77"/>
        <v/>
      </c>
      <c r="U39" s="147" t="str">
        <f t="array" ref="U39">IF(ISBLANK($R39), IF($S39,VLOOKUP($B39+1,'RFR Data - preExcl'!$BF$2:$BG1679,2,FALSE),IF($T39,INDEX('RFR Data - preExcl'!$BF$2:$BG1679,MATCH($B39,'RFR Data - preExcl'!$BF$2:$BF1679,0)+1,2),VLOOKUP($B39,'RFR Data - preExcl'!$BF$2:$BG1679,2,FALSE))),IFERROR(0/0,""))</f>
        <v/>
      </c>
      <c r="V39" s="212" t="str">
        <f t="shared" si="5"/>
        <v>RUN-COMB_2022-03-21_RFR-002</v>
      </c>
      <c r="W39" s="51"/>
      <c r="X39" s="51"/>
      <c r="Y39" s="147" t="str">
        <f t="shared" ref="Y39:Z39" si="78">IF(_xlfn.ISFORMULA(S39),IFERROR(0/0,""),TRUE)</f>
        <v/>
      </c>
      <c r="Z39" s="147" t="str">
        <f t="shared" si="78"/>
        <v/>
      </c>
    </row>
    <row r="40">
      <c r="A40" s="6" t="str">
        <f>IFERROR(__xludf.DUMMYFUNCTION("""COMPUTED_VALUE"""),"MA167")</f>
        <v>MA167</v>
      </c>
      <c r="B40" s="206">
        <f>IFERROR(__xludf.DUMMYFUNCTION("""COMPUTED_VALUE"""),44641.0)</f>
        <v>44641</v>
      </c>
      <c r="C40" s="207">
        <f>IFERROR(__xludf.DUMMYFUNCTION("""COMPUTED_VALUE"""),0.2843287037037037)</f>
        <v>0.2843287037</v>
      </c>
      <c r="D40" s="50"/>
      <c r="E40" s="58"/>
      <c r="F40" s="58"/>
      <c r="G40" s="58" t="str">
        <f>IFERROR(__xludf.DUMMYFUNCTION("""COMPUTED_VALUE"""),"Negative")</f>
        <v>Negative</v>
      </c>
      <c r="H40" s="206" t="str">
        <f>IFERROR(__xludf.DUMMYFUNCTION("""COMPUTED_VALUE"""),"Negative")</f>
        <v>Negative</v>
      </c>
      <c r="I40" s="207">
        <f>IFERROR(__xludf.DUMMYFUNCTION("""COMPUTED_VALUE"""),44641.0)</f>
        <v>44641</v>
      </c>
      <c r="J40" s="208">
        <f>IFERROR(__xludf.DUMMYFUNCTION("""COMPUTED_VALUE"""),0.40730324074074076)</f>
        <v>0.4073032407</v>
      </c>
      <c r="K40" s="50"/>
      <c r="L40" s="6"/>
      <c r="M40" s="55"/>
      <c r="N40" s="55">
        <f>IFERROR(__xludf.DUMMYFUNCTION("""COMPUTED_VALUE"""),1.0)</f>
        <v>1</v>
      </c>
      <c r="O40" s="55" t="str">
        <f t="shared" si="3"/>
        <v/>
      </c>
      <c r="P40" s="209"/>
      <c r="Q40" s="75" t="b">
        <f>VLOOKUP($B40,'Run Reconcile'!B$2:P1679,15,FALSE)</f>
        <v>1</v>
      </c>
      <c r="R40" s="211" t="str">
        <f t="array" ref="R40">IF($Q40, INDEX('Run Reconcile'!A$2:A1679,MATCH(B40,'Run Reconcile'!B$2:B1679,0),1),IFERROR(0/0,""))</f>
        <v>RUN-COMB_2022-03-21_RFR-002</v>
      </c>
      <c r="S40" s="165" t="str">
        <f t="shared" ref="S40:T40" si="79">IF(COUNTIF(W$2:W1679, $A40) &gt; 0,TRUE,IFERROR(0/0,""))</f>
        <v/>
      </c>
      <c r="T40" s="165" t="str">
        <f t="shared" si="79"/>
        <v/>
      </c>
      <c r="U40" s="147" t="str">
        <f t="array" ref="U40">IF(ISBLANK($R40), IF($S40,VLOOKUP($B40+1,'RFR Data - preExcl'!$BF$2:$BG1679,2,FALSE),IF($T40,INDEX('RFR Data - preExcl'!$BF$2:$BG1679,MATCH($B40,'RFR Data - preExcl'!$BF$2:$BF1679,0)+1,2),VLOOKUP($B40,'RFR Data - preExcl'!$BF$2:$BG1679,2,FALSE))),IFERROR(0/0,""))</f>
        <v/>
      </c>
      <c r="V40" s="212" t="str">
        <f t="shared" si="5"/>
        <v>RUN-COMB_2022-03-21_RFR-002</v>
      </c>
      <c r="W40" s="51"/>
      <c r="X40" s="51"/>
      <c r="Y40" s="147" t="str">
        <f t="shared" ref="Y40:Z40" si="80">IF(_xlfn.ISFORMULA(S40),IFERROR(0/0,""),TRUE)</f>
        <v/>
      </c>
      <c r="Z40" s="147" t="str">
        <f t="shared" si="80"/>
        <v/>
      </c>
    </row>
    <row r="41">
      <c r="A41" s="6" t="str">
        <f>IFERROR(__xludf.DUMMYFUNCTION("""COMPUTED_VALUE"""),"MA106")</f>
        <v>MA106</v>
      </c>
      <c r="B41" s="206">
        <f>IFERROR(__xludf.DUMMYFUNCTION("""COMPUTED_VALUE"""),44641.0)</f>
        <v>44641</v>
      </c>
      <c r="C41" s="207">
        <f>IFERROR(__xludf.DUMMYFUNCTION("""COMPUTED_VALUE"""),0.41238425925925926)</f>
        <v>0.4123842593</v>
      </c>
      <c r="D41" s="50"/>
      <c r="E41" s="58"/>
      <c r="F41" s="58"/>
      <c r="G41" s="58" t="str">
        <f>IFERROR(__xludf.DUMMYFUNCTION("""COMPUTED_VALUE"""),"Null")</f>
        <v>Null</v>
      </c>
      <c r="H41" s="206" t="str">
        <f>IFERROR(__xludf.DUMMYFUNCTION("""COMPUTED_VALUE"""),"Negative")</f>
        <v>Negative</v>
      </c>
      <c r="I41" s="207"/>
      <c r="J41" s="50"/>
      <c r="K41" s="50">
        <f>IFERROR(__xludf.DUMMYFUNCTION("""COMPUTED_VALUE"""),2.0)</f>
        <v>2</v>
      </c>
      <c r="L41" s="6" t="str">
        <f>IFERROR(__xludf.DUMMYFUNCTION("""COMPUTED_VALUE"""),"With all Null corrected to Neg, Collect count still short by 1 tube")</f>
        <v>With all Null corrected to Neg, Collect count still short by 1 tube</v>
      </c>
      <c r="M41" s="55"/>
      <c r="N41" s="55">
        <f>IFERROR(__xludf.DUMMYFUNCTION("""COMPUTED_VALUE"""),1.0)</f>
        <v>1</v>
      </c>
      <c r="O41" s="55" t="str">
        <f t="shared" si="3"/>
        <v/>
      </c>
      <c r="P41" s="209"/>
      <c r="Q41" s="75" t="b">
        <f>VLOOKUP($B41,'Run Reconcile'!B$2:P1679,15,FALSE)</f>
        <v>1</v>
      </c>
      <c r="R41" s="211" t="str">
        <f t="array" ref="R41">IF($Q41, INDEX('Run Reconcile'!A$2:A1679,MATCH(B41,'Run Reconcile'!B$2:B1679,0),1),IFERROR(0/0,""))</f>
        <v>RUN-COMB_2022-03-21_RFR-002</v>
      </c>
      <c r="S41" s="165" t="str">
        <f t="shared" ref="S41:T41" si="81">IF(COUNTIF(W$2:W1679, $A41) &gt; 0,TRUE,IFERROR(0/0,""))</f>
        <v/>
      </c>
      <c r="T41" s="165" t="str">
        <f t="shared" si="81"/>
        <v/>
      </c>
      <c r="U41" s="147" t="str">
        <f t="array" ref="U41">IF(ISBLANK($R41), IF($S41,VLOOKUP($B41+1,'RFR Data - preExcl'!$BF$2:$BG1679,2,FALSE),IF($T41,INDEX('RFR Data - preExcl'!$BF$2:$BG1679,MATCH($B41,'RFR Data - preExcl'!$BF$2:$BF1679,0)+1,2),VLOOKUP($B41,'RFR Data - preExcl'!$BF$2:$BG1679,2,FALSE))),IFERROR(0/0,""))</f>
        <v/>
      </c>
      <c r="V41" s="212" t="str">
        <f t="shared" si="5"/>
        <v>RUN-COMB_2022-03-21_RFR-002</v>
      </c>
      <c r="W41" s="51"/>
      <c r="X41" s="51"/>
      <c r="Y41" s="147" t="str">
        <f t="shared" ref="Y41:Z41" si="82">IF(_xlfn.ISFORMULA(S41),IFERROR(0/0,""),TRUE)</f>
        <v/>
      </c>
      <c r="Z41" s="147" t="str">
        <f t="shared" si="82"/>
        <v/>
      </c>
    </row>
    <row r="42">
      <c r="A42" s="6" t="str">
        <f>IFERROR(__xludf.DUMMYFUNCTION("""COMPUTED_VALUE"""),"MA157")</f>
        <v>MA157</v>
      </c>
      <c r="B42" s="206">
        <f>IFERROR(__xludf.DUMMYFUNCTION("""COMPUTED_VALUE"""),44641.0)</f>
        <v>44641</v>
      </c>
      <c r="C42" s="207">
        <f>IFERROR(__xludf.DUMMYFUNCTION("""COMPUTED_VALUE"""),0.41292824074074075)</f>
        <v>0.4129282407</v>
      </c>
      <c r="D42" s="50"/>
      <c r="E42" s="58"/>
      <c r="F42" s="58"/>
      <c r="G42" s="58" t="str">
        <f>IFERROR(__xludf.DUMMYFUNCTION("""COMPUTED_VALUE"""),"Null")</f>
        <v>Null</v>
      </c>
      <c r="H42" s="206" t="str">
        <f>IFERROR(__xludf.DUMMYFUNCTION("""COMPUTED_VALUE"""),"Negative")</f>
        <v>Negative</v>
      </c>
      <c r="I42" s="207"/>
      <c r="J42" s="50"/>
      <c r="K42" s="50">
        <f>IFERROR(__xludf.DUMMYFUNCTION("""COMPUTED_VALUE"""),2.0)</f>
        <v>2</v>
      </c>
      <c r="L42" s="6" t="str">
        <f>IFERROR(__xludf.DUMMYFUNCTION("""COMPUTED_VALUE"""),"With all Null corrected to Neg, Collect count still short by 1 tube")</f>
        <v>With all Null corrected to Neg, Collect count still short by 1 tube</v>
      </c>
      <c r="M42" s="55"/>
      <c r="N42" s="55">
        <f>IFERROR(__xludf.DUMMYFUNCTION("""COMPUTED_VALUE"""),1.0)</f>
        <v>1</v>
      </c>
      <c r="O42" s="55" t="str">
        <f t="shared" si="3"/>
        <v/>
      </c>
      <c r="P42" s="209"/>
      <c r="Q42" s="75" t="b">
        <f>VLOOKUP($B42,'Run Reconcile'!B$2:P1679,15,FALSE)</f>
        <v>1</v>
      </c>
      <c r="R42" s="211" t="str">
        <f t="array" ref="R42">IF($Q42, INDEX('Run Reconcile'!A$2:A1679,MATCH(B42,'Run Reconcile'!B$2:B1679,0),1),IFERROR(0/0,""))</f>
        <v>RUN-COMB_2022-03-21_RFR-002</v>
      </c>
      <c r="S42" s="165" t="str">
        <f t="shared" ref="S42:T42" si="83">IF(COUNTIF(W$2:W1679, $A42) &gt; 0,TRUE,IFERROR(0/0,""))</f>
        <v/>
      </c>
      <c r="T42" s="165" t="str">
        <f t="shared" si="83"/>
        <v/>
      </c>
      <c r="U42" s="147" t="str">
        <f t="array" ref="U42">IF(ISBLANK($R42), IF($S42,VLOOKUP($B42+1,'RFR Data - preExcl'!$BF$2:$BG1679,2,FALSE),IF($T42,INDEX('RFR Data - preExcl'!$BF$2:$BG1679,MATCH($B42,'RFR Data - preExcl'!$BF$2:$BF1679,0)+1,2),VLOOKUP($B42,'RFR Data - preExcl'!$BF$2:$BG1679,2,FALSE))),IFERROR(0/0,""))</f>
        <v/>
      </c>
      <c r="V42" s="212" t="str">
        <f t="shared" si="5"/>
        <v>RUN-COMB_2022-03-21_RFR-002</v>
      </c>
      <c r="W42" s="51"/>
      <c r="X42" s="51"/>
      <c r="Y42" s="147" t="str">
        <f t="shared" ref="Y42:Z42" si="84">IF(_xlfn.ISFORMULA(S42),IFERROR(0/0,""),TRUE)</f>
        <v/>
      </c>
      <c r="Z42" s="147" t="str">
        <f t="shared" si="84"/>
        <v/>
      </c>
    </row>
    <row r="43">
      <c r="A43" s="6" t="str">
        <f>IFERROR(__xludf.DUMMYFUNCTION("""COMPUTED_VALUE"""),"MA191")</f>
        <v>MA191</v>
      </c>
      <c r="B43" s="206">
        <f>IFERROR(__xludf.DUMMYFUNCTION("""COMPUTED_VALUE"""),44641.0)</f>
        <v>44641</v>
      </c>
      <c r="C43" s="207">
        <f>IFERROR(__xludf.DUMMYFUNCTION("""COMPUTED_VALUE"""),0.4133101851851852)</f>
        <v>0.4133101852</v>
      </c>
      <c r="D43" s="50"/>
      <c r="E43" s="58"/>
      <c r="F43" s="58"/>
      <c r="G43" s="58" t="str">
        <f>IFERROR(__xludf.DUMMYFUNCTION("""COMPUTED_VALUE"""),"Null")</f>
        <v>Null</v>
      </c>
      <c r="H43" s="206" t="str">
        <f>IFERROR(__xludf.DUMMYFUNCTION("""COMPUTED_VALUE"""),"Negative")</f>
        <v>Negative</v>
      </c>
      <c r="I43" s="207"/>
      <c r="J43" s="50"/>
      <c r="K43" s="50">
        <f>IFERROR(__xludf.DUMMYFUNCTION("""COMPUTED_VALUE"""),2.0)</f>
        <v>2</v>
      </c>
      <c r="L43" s="6" t="str">
        <f>IFERROR(__xludf.DUMMYFUNCTION("""COMPUTED_VALUE"""),"With all Null corrected to Neg, Collect count still short by 1 tube")</f>
        <v>With all Null corrected to Neg, Collect count still short by 1 tube</v>
      </c>
      <c r="M43" s="55"/>
      <c r="N43" s="55">
        <f>IFERROR(__xludf.DUMMYFUNCTION("""COMPUTED_VALUE"""),1.0)</f>
        <v>1</v>
      </c>
      <c r="O43" s="55" t="str">
        <f t="shared" si="3"/>
        <v/>
      </c>
      <c r="P43" s="209"/>
      <c r="Q43" s="75" t="b">
        <f>VLOOKUP($B43,'Run Reconcile'!B$2:P1679,15,FALSE)</f>
        <v>1</v>
      </c>
      <c r="R43" s="211" t="str">
        <f t="array" ref="R43">IF($Q43, INDEX('Run Reconcile'!A$2:A1679,MATCH(B43,'Run Reconcile'!B$2:B1679,0),1),IFERROR(0/0,""))</f>
        <v>RUN-COMB_2022-03-21_RFR-002</v>
      </c>
      <c r="S43" s="165" t="str">
        <f t="shared" ref="S43:T43" si="85">IF(COUNTIF(W$2:W1679, $A43) &gt; 0,TRUE,IFERROR(0/0,""))</f>
        <v/>
      </c>
      <c r="T43" s="165" t="str">
        <f t="shared" si="85"/>
        <v/>
      </c>
      <c r="U43" s="147" t="str">
        <f t="array" ref="U43">IF(ISBLANK($R43), IF($S43,VLOOKUP($B43+1,'RFR Data - preExcl'!$BF$2:$BG1679,2,FALSE),IF($T43,INDEX('RFR Data - preExcl'!$BF$2:$BG1679,MATCH($B43,'RFR Data - preExcl'!$BF$2:$BF1679,0)+1,2),VLOOKUP($B43,'RFR Data - preExcl'!$BF$2:$BG1679,2,FALSE))),IFERROR(0/0,""))</f>
        <v/>
      </c>
      <c r="V43" s="212" t="str">
        <f t="shared" si="5"/>
        <v>RUN-COMB_2022-03-21_RFR-002</v>
      </c>
      <c r="W43" s="51"/>
      <c r="X43" s="51"/>
      <c r="Y43" s="147" t="str">
        <f t="shared" ref="Y43:Z43" si="86">IF(_xlfn.ISFORMULA(S43),IFERROR(0/0,""),TRUE)</f>
        <v/>
      </c>
      <c r="Z43" s="147" t="str">
        <f t="shared" si="86"/>
        <v/>
      </c>
    </row>
    <row r="44">
      <c r="A44" s="6" t="str">
        <f>IFERROR(__xludf.DUMMYFUNCTION("""COMPUTED_VALUE"""),"MA142")</f>
        <v>MA142</v>
      </c>
      <c r="B44" s="206">
        <f>IFERROR(__xludf.DUMMYFUNCTION("""COMPUTED_VALUE"""),44641.0)</f>
        <v>44641</v>
      </c>
      <c r="C44" s="207">
        <f>IFERROR(__xludf.DUMMYFUNCTION("""COMPUTED_VALUE"""),0.4146990740740741)</f>
        <v>0.4146990741</v>
      </c>
      <c r="D44" s="50"/>
      <c r="E44" s="58"/>
      <c r="F44" s="58"/>
      <c r="G44" s="58" t="str">
        <f>IFERROR(__xludf.DUMMYFUNCTION("""COMPUTED_VALUE"""),"Null")</f>
        <v>Null</v>
      </c>
      <c r="H44" s="206" t="str">
        <f>IFERROR(__xludf.DUMMYFUNCTION("""COMPUTED_VALUE"""),"Negative")</f>
        <v>Negative</v>
      </c>
      <c r="I44" s="207"/>
      <c r="J44" s="50"/>
      <c r="K44" s="50">
        <f>IFERROR(__xludf.DUMMYFUNCTION("""COMPUTED_VALUE"""),2.0)</f>
        <v>2</v>
      </c>
      <c r="L44" s="6" t="str">
        <f>IFERROR(__xludf.DUMMYFUNCTION("""COMPUTED_VALUE"""),"With all Null corrected to Neg, Collect count still short by 1 tube")</f>
        <v>With all Null corrected to Neg, Collect count still short by 1 tube</v>
      </c>
      <c r="M44" s="55"/>
      <c r="N44" s="55">
        <f>IFERROR(__xludf.DUMMYFUNCTION("""COMPUTED_VALUE"""),1.0)</f>
        <v>1</v>
      </c>
      <c r="O44" s="55" t="str">
        <f t="shared" si="3"/>
        <v/>
      </c>
      <c r="P44" s="209"/>
      <c r="Q44" s="75" t="b">
        <f>VLOOKUP($B44,'Run Reconcile'!B$2:P1679,15,FALSE)</f>
        <v>1</v>
      </c>
      <c r="R44" s="211" t="str">
        <f t="array" ref="R44">IF($Q44, INDEX('Run Reconcile'!A$2:A1679,MATCH(B44,'Run Reconcile'!B$2:B1679,0),1),IFERROR(0/0,""))</f>
        <v>RUN-COMB_2022-03-21_RFR-002</v>
      </c>
      <c r="S44" s="165" t="str">
        <f t="shared" ref="S44:T44" si="87">IF(COUNTIF(W$2:W1679, $A44) &gt; 0,TRUE,IFERROR(0/0,""))</f>
        <v/>
      </c>
      <c r="T44" s="165" t="str">
        <f t="shared" si="87"/>
        <v/>
      </c>
      <c r="U44" s="147" t="str">
        <f t="array" ref="U44">IF(ISBLANK($R44), IF($S44,VLOOKUP($B44+1,'RFR Data - preExcl'!$BF$2:$BG1679,2,FALSE),IF($T44,INDEX('RFR Data - preExcl'!$BF$2:$BG1679,MATCH($B44,'RFR Data - preExcl'!$BF$2:$BF1679,0)+1,2),VLOOKUP($B44,'RFR Data - preExcl'!$BF$2:$BG1679,2,FALSE))),IFERROR(0/0,""))</f>
        <v/>
      </c>
      <c r="V44" s="212" t="str">
        <f t="shared" si="5"/>
        <v>RUN-COMB_2022-03-21_RFR-002</v>
      </c>
      <c r="W44" s="51"/>
      <c r="X44" s="51"/>
      <c r="Y44" s="147" t="str">
        <f t="shared" ref="Y44:Z44" si="88">IF(_xlfn.ISFORMULA(S44),IFERROR(0/0,""),TRUE)</f>
        <v/>
      </c>
      <c r="Z44" s="147" t="str">
        <f t="shared" si="88"/>
        <v/>
      </c>
    </row>
    <row r="45">
      <c r="A45" s="6" t="str">
        <f>IFERROR(__xludf.DUMMYFUNCTION("""COMPUTED_VALUE"""),"MA65")</f>
        <v>MA65</v>
      </c>
      <c r="B45" s="206">
        <f>IFERROR(__xludf.DUMMYFUNCTION("""COMPUTED_VALUE"""),44641.0)</f>
        <v>44641</v>
      </c>
      <c r="C45" s="207">
        <f>IFERROR(__xludf.DUMMYFUNCTION("""COMPUTED_VALUE"""),0.415474537037037)</f>
        <v>0.415474537</v>
      </c>
      <c r="D45" s="50"/>
      <c r="E45" s="58"/>
      <c r="F45" s="58"/>
      <c r="G45" s="58" t="str">
        <f>IFERROR(__xludf.DUMMYFUNCTION("""COMPUTED_VALUE"""),"Null")</f>
        <v>Null</v>
      </c>
      <c r="H45" s="206" t="str">
        <f>IFERROR(__xludf.DUMMYFUNCTION("""COMPUTED_VALUE"""),"Negative")</f>
        <v>Negative</v>
      </c>
      <c r="I45" s="207"/>
      <c r="J45" s="50"/>
      <c r="K45" s="50">
        <f>IFERROR(__xludf.DUMMYFUNCTION("""COMPUTED_VALUE"""),2.0)</f>
        <v>2</v>
      </c>
      <c r="L45" s="6" t="str">
        <f>IFERROR(__xludf.DUMMYFUNCTION("""COMPUTED_VALUE"""),"With all Null corrected to Neg, Collect count still short by 1 tube")</f>
        <v>With all Null corrected to Neg, Collect count still short by 1 tube</v>
      </c>
      <c r="M45" s="55"/>
      <c r="N45" s="55">
        <f>IFERROR(__xludf.DUMMYFUNCTION("""COMPUTED_VALUE"""),1.0)</f>
        <v>1</v>
      </c>
      <c r="O45" s="55" t="str">
        <f t="shared" si="3"/>
        <v/>
      </c>
      <c r="P45" s="209"/>
      <c r="Q45" s="75" t="b">
        <f>VLOOKUP($B45,'Run Reconcile'!B$2:P1679,15,FALSE)</f>
        <v>1</v>
      </c>
      <c r="R45" s="211" t="str">
        <f t="array" ref="R45">IF($Q45, INDEX('Run Reconcile'!A$2:A1679,MATCH(B45,'Run Reconcile'!B$2:B1679,0),1),IFERROR(0/0,""))</f>
        <v>RUN-COMB_2022-03-21_RFR-002</v>
      </c>
      <c r="S45" s="165" t="str">
        <f t="shared" ref="S45:T45" si="89">IF(COUNTIF(W$2:W1679, $A45) &gt; 0,TRUE,IFERROR(0/0,""))</f>
        <v/>
      </c>
      <c r="T45" s="165" t="str">
        <f t="shared" si="89"/>
        <v/>
      </c>
      <c r="U45" s="147" t="str">
        <f t="array" ref="U45">IF(ISBLANK($R45), IF($S45,VLOOKUP($B45+1,'RFR Data - preExcl'!$BF$2:$BG1679,2,FALSE),IF($T45,INDEX('RFR Data - preExcl'!$BF$2:$BG1679,MATCH($B45,'RFR Data - preExcl'!$BF$2:$BF1679,0)+1,2),VLOOKUP($B45,'RFR Data - preExcl'!$BF$2:$BG1679,2,FALSE))),IFERROR(0/0,""))</f>
        <v/>
      </c>
      <c r="V45" s="212" t="str">
        <f t="shared" si="5"/>
        <v>RUN-COMB_2022-03-21_RFR-002</v>
      </c>
      <c r="W45" s="51"/>
      <c r="X45" s="51"/>
      <c r="Y45" s="147" t="str">
        <f t="shared" ref="Y45:Z45" si="90">IF(_xlfn.ISFORMULA(S45),IFERROR(0/0,""),TRUE)</f>
        <v/>
      </c>
      <c r="Z45" s="147" t="str">
        <f t="shared" si="90"/>
        <v/>
      </c>
    </row>
    <row r="46">
      <c r="A46" s="6" t="str">
        <f>IFERROR(__xludf.DUMMYFUNCTION("""COMPUTED_VALUE"""),"MA172")</f>
        <v>MA172</v>
      </c>
      <c r="B46" s="206">
        <f>IFERROR(__xludf.DUMMYFUNCTION("""COMPUTED_VALUE"""),44642.0)</f>
        <v>44642</v>
      </c>
      <c r="C46" s="207">
        <f>IFERROR(__xludf.DUMMYFUNCTION("""COMPUTED_VALUE"""),0.24952546296296296)</f>
        <v>0.249525463</v>
      </c>
      <c r="D46" s="50"/>
      <c r="E46" s="58"/>
      <c r="F46" s="58"/>
      <c r="G46" s="58" t="str">
        <f>IFERROR(__xludf.DUMMYFUNCTION("""COMPUTED_VALUE"""),"Negative")</f>
        <v>Negative</v>
      </c>
      <c r="H46" s="206" t="str">
        <f>IFERROR(__xludf.DUMMYFUNCTION("""COMPUTED_VALUE"""),"Negative")</f>
        <v>Negative</v>
      </c>
      <c r="I46" s="207">
        <f>IFERROR(__xludf.DUMMYFUNCTION("""COMPUTED_VALUE"""),44642.0)</f>
        <v>44642</v>
      </c>
      <c r="J46" s="208">
        <f>IFERROR(__xludf.DUMMYFUNCTION("""COMPUTED_VALUE"""),0.34769675925925925)</f>
        <v>0.3476967593</v>
      </c>
      <c r="K46" s="50"/>
      <c r="L46" s="6"/>
      <c r="M46" s="55"/>
      <c r="N46" s="55">
        <f>IFERROR(__xludf.DUMMYFUNCTION("""COMPUTED_VALUE"""),1.0)</f>
        <v>1</v>
      </c>
      <c r="O46" s="55" t="b">
        <f t="shared" si="3"/>
        <v>1</v>
      </c>
      <c r="P46" s="209"/>
      <c r="Q46" s="75" t="b">
        <f>VLOOKUP($B46,'Run Reconcile'!B$2:P1679,15,FALSE)</f>
        <v>1</v>
      </c>
      <c r="R46" s="211" t="str">
        <f t="array" ref="R46">IF($Q46, INDEX('Run Reconcile'!A$2:A1679,MATCH(B46,'Run Reconcile'!B$2:B1679,0),1),IFERROR(0/0,""))</f>
        <v>RUN-COMB_2022-03-22_RFR-004</v>
      </c>
      <c r="S46" s="165" t="str">
        <f t="shared" ref="S46:T46" si="91">IF(COUNTIF(W$2:W1679, $A46) &gt; 0,TRUE,IFERROR(0/0,""))</f>
        <v/>
      </c>
      <c r="T46" s="165" t="str">
        <f t="shared" si="91"/>
        <v/>
      </c>
      <c r="U46" s="147" t="str">
        <f t="array" ref="U46">IF(ISBLANK($R46), IF($S46,VLOOKUP($B46+1,'RFR Data - preExcl'!$BF$2:$BG1679,2,FALSE),IF($T46,INDEX('RFR Data - preExcl'!$BF$2:$BG1679,MATCH($B46,'RFR Data - preExcl'!$BF$2:$BF1679,0)+1,2),VLOOKUP($B46,'RFR Data - preExcl'!$BF$2:$BG1679,2,FALSE))),IFERROR(0/0,""))</f>
        <v/>
      </c>
      <c r="V46" s="212" t="str">
        <f t="shared" si="5"/>
        <v>RUN-COMB_2022-03-22_RFR-004</v>
      </c>
      <c r="W46" s="51"/>
      <c r="X46" s="51"/>
      <c r="Y46" s="147" t="str">
        <f t="shared" ref="Y46:Z46" si="92">IF(_xlfn.ISFORMULA(S46),IFERROR(0/0,""),TRUE)</f>
        <v/>
      </c>
      <c r="Z46" s="147" t="str">
        <f t="shared" si="92"/>
        <v/>
      </c>
    </row>
    <row r="47">
      <c r="A47" s="6" t="str">
        <f>IFERROR(__xludf.DUMMYFUNCTION("""COMPUTED_VALUE"""),"MA224")</f>
        <v>MA224</v>
      </c>
      <c r="B47" s="206">
        <f>IFERROR(__xludf.DUMMYFUNCTION("""COMPUTED_VALUE"""),44642.0)</f>
        <v>44642</v>
      </c>
      <c r="C47" s="207">
        <f>IFERROR(__xludf.DUMMYFUNCTION("""COMPUTED_VALUE"""),0.25082175925925926)</f>
        <v>0.2508217593</v>
      </c>
      <c r="D47" s="50"/>
      <c r="E47" s="58"/>
      <c r="F47" s="58"/>
      <c r="G47" s="58" t="str">
        <f>IFERROR(__xludf.DUMMYFUNCTION("""COMPUTED_VALUE"""),"Negative")</f>
        <v>Negative</v>
      </c>
      <c r="H47" s="206" t="str">
        <f>IFERROR(__xludf.DUMMYFUNCTION("""COMPUTED_VALUE"""),"Negative")</f>
        <v>Negative</v>
      </c>
      <c r="I47" s="207">
        <f>IFERROR(__xludf.DUMMYFUNCTION("""COMPUTED_VALUE"""),44642.0)</f>
        <v>44642</v>
      </c>
      <c r="J47" s="208">
        <f>IFERROR(__xludf.DUMMYFUNCTION("""COMPUTED_VALUE"""),0.34769675925925925)</f>
        <v>0.3476967593</v>
      </c>
      <c r="K47" s="50"/>
      <c r="L47" s="6"/>
      <c r="M47" s="55"/>
      <c r="N47" s="55">
        <f>IFERROR(__xludf.DUMMYFUNCTION("""COMPUTED_VALUE"""),1.0)</f>
        <v>1</v>
      </c>
      <c r="O47" s="55" t="str">
        <f t="shared" si="3"/>
        <v/>
      </c>
      <c r="P47" s="209"/>
      <c r="Q47" s="75" t="b">
        <f>VLOOKUP($B47,'Run Reconcile'!B$2:P1679,15,FALSE)</f>
        <v>1</v>
      </c>
      <c r="R47" s="211" t="str">
        <f t="array" ref="R47">IF($Q47, INDEX('Run Reconcile'!A$2:A1679,MATCH(B47,'Run Reconcile'!B$2:B1679,0),1),IFERROR(0/0,""))</f>
        <v>RUN-COMB_2022-03-22_RFR-004</v>
      </c>
      <c r="S47" s="165" t="str">
        <f t="shared" ref="S47:T47" si="93">IF(COUNTIF(W$2:W1679, $A47) &gt; 0,TRUE,IFERROR(0/0,""))</f>
        <v/>
      </c>
      <c r="T47" s="165" t="str">
        <f t="shared" si="93"/>
        <v/>
      </c>
      <c r="U47" s="147" t="str">
        <f t="array" ref="U47">IF(ISBLANK($R47), IF($S47,VLOOKUP($B47+1,'RFR Data - preExcl'!$BF$2:$BG1679,2,FALSE),IF($T47,INDEX('RFR Data - preExcl'!$BF$2:$BG1679,MATCH($B47,'RFR Data - preExcl'!$BF$2:$BF1679,0)+1,2),VLOOKUP($B47,'RFR Data - preExcl'!$BF$2:$BG1679,2,FALSE))),IFERROR(0/0,""))</f>
        <v/>
      </c>
      <c r="V47" s="212" t="str">
        <f t="shared" si="5"/>
        <v>RUN-COMB_2022-03-22_RFR-004</v>
      </c>
      <c r="W47" s="51"/>
      <c r="X47" s="51"/>
      <c r="Y47" s="147" t="str">
        <f t="shared" ref="Y47:Z47" si="94">IF(_xlfn.ISFORMULA(S47),IFERROR(0/0,""),TRUE)</f>
        <v/>
      </c>
      <c r="Z47" s="147" t="str">
        <f t="shared" si="94"/>
        <v/>
      </c>
    </row>
    <row r="48">
      <c r="A48" s="6" t="str">
        <f>IFERROR(__xludf.DUMMYFUNCTION("""COMPUTED_VALUE"""),"MA151")</f>
        <v>MA151</v>
      </c>
      <c r="B48" s="206">
        <f>IFERROR(__xludf.DUMMYFUNCTION("""COMPUTED_VALUE"""),44642.0)</f>
        <v>44642</v>
      </c>
      <c r="C48" s="207">
        <f>IFERROR(__xludf.DUMMYFUNCTION("""COMPUTED_VALUE"""),0.2517361111111111)</f>
        <v>0.2517361111</v>
      </c>
      <c r="D48" s="50"/>
      <c r="E48" s="58"/>
      <c r="F48" s="58"/>
      <c r="G48" s="58" t="str">
        <f>IFERROR(__xludf.DUMMYFUNCTION("""COMPUTED_VALUE"""),"Negative")</f>
        <v>Negative</v>
      </c>
      <c r="H48" s="206" t="str">
        <f>IFERROR(__xludf.DUMMYFUNCTION("""COMPUTED_VALUE"""),"Negative")</f>
        <v>Negative</v>
      </c>
      <c r="I48" s="207">
        <f>IFERROR(__xludf.DUMMYFUNCTION("""COMPUTED_VALUE"""),44642.0)</f>
        <v>44642</v>
      </c>
      <c r="J48" s="208">
        <f>IFERROR(__xludf.DUMMYFUNCTION("""COMPUTED_VALUE"""),0.34769675925925925)</f>
        <v>0.3476967593</v>
      </c>
      <c r="K48" s="50"/>
      <c r="L48" s="6"/>
      <c r="M48" s="55"/>
      <c r="N48" s="55">
        <f>IFERROR(__xludf.DUMMYFUNCTION("""COMPUTED_VALUE"""),1.0)</f>
        <v>1</v>
      </c>
      <c r="O48" s="55" t="str">
        <f t="shared" si="3"/>
        <v/>
      </c>
      <c r="P48" s="209"/>
      <c r="Q48" s="75" t="b">
        <f>VLOOKUP($B48,'Run Reconcile'!B$2:P1679,15,FALSE)</f>
        <v>1</v>
      </c>
      <c r="R48" s="211" t="str">
        <f t="array" ref="R48">IF($Q48, INDEX('Run Reconcile'!A$2:A1679,MATCH(B48,'Run Reconcile'!B$2:B1679,0),1),IFERROR(0/0,""))</f>
        <v>RUN-COMB_2022-03-22_RFR-004</v>
      </c>
      <c r="S48" s="165" t="str">
        <f t="shared" ref="S48:T48" si="95">IF(COUNTIF(W$2:W1679, $A48) &gt; 0,TRUE,IFERROR(0/0,""))</f>
        <v/>
      </c>
      <c r="T48" s="165" t="str">
        <f t="shared" si="95"/>
        <v/>
      </c>
      <c r="U48" s="147" t="str">
        <f t="array" ref="U48">IF(ISBLANK($R48), IF($S48,VLOOKUP($B48+1,'RFR Data - preExcl'!$BF$2:$BG1679,2,FALSE),IF($T48,INDEX('RFR Data - preExcl'!$BF$2:$BG1679,MATCH($B48,'RFR Data - preExcl'!$BF$2:$BF1679,0)+1,2),VLOOKUP($B48,'RFR Data - preExcl'!$BF$2:$BG1679,2,FALSE))),IFERROR(0/0,""))</f>
        <v/>
      </c>
      <c r="V48" s="212" t="str">
        <f t="shared" si="5"/>
        <v>RUN-COMB_2022-03-22_RFR-004</v>
      </c>
      <c r="W48" s="51"/>
      <c r="X48" s="51"/>
      <c r="Y48" s="147" t="str">
        <f t="shared" ref="Y48:Z48" si="96">IF(_xlfn.ISFORMULA(S48),IFERROR(0/0,""),TRUE)</f>
        <v/>
      </c>
      <c r="Z48" s="147" t="str">
        <f t="shared" si="96"/>
        <v/>
      </c>
    </row>
    <row r="49">
      <c r="A49" s="6" t="str">
        <f>IFERROR(__xludf.DUMMYFUNCTION("""COMPUTED_VALUE"""),"MA216")</f>
        <v>MA216</v>
      </c>
      <c r="B49" s="206">
        <f>IFERROR(__xludf.DUMMYFUNCTION("""COMPUTED_VALUE"""),44642.0)</f>
        <v>44642</v>
      </c>
      <c r="C49" s="207">
        <f>IFERROR(__xludf.DUMMYFUNCTION("""COMPUTED_VALUE"""),0.2537152777777778)</f>
        <v>0.2537152778</v>
      </c>
      <c r="D49" s="50"/>
      <c r="E49" s="58"/>
      <c r="F49" s="58"/>
      <c r="G49" s="58" t="str">
        <f>IFERROR(__xludf.DUMMYFUNCTION("""COMPUTED_VALUE"""),"Inconclusive")</f>
        <v>Inconclusive</v>
      </c>
      <c r="H49" s="206" t="str">
        <f>IFERROR(__xludf.DUMMYFUNCTION("""COMPUTED_VALUE"""),"Negative")</f>
        <v>Negative</v>
      </c>
      <c r="I49" s="207">
        <f>IFERROR(__xludf.DUMMYFUNCTION("""COMPUTED_VALUE"""),44642.0)</f>
        <v>44642</v>
      </c>
      <c r="J49" s="208">
        <f>IFERROR(__xludf.DUMMYFUNCTION("""COMPUTED_VALUE"""),0.34793981481481484)</f>
        <v>0.3479398148</v>
      </c>
      <c r="K49" s="50">
        <f>IFERROR(__xludf.DUMMYFUNCTION("""COMPUTED_VALUE"""),2.5)</f>
        <v>2.5</v>
      </c>
      <c r="L49" s="6"/>
      <c r="M49" s="55"/>
      <c r="N49" s="55">
        <f>IFERROR(__xludf.DUMMYFUNCTION("""COMPUTED_VALUE"""),1.0)</f>
        <v>1</v>
      </c>
      <c r="O49" s="55" t="str">
        <f t="shared" si="3"/>
        <v/>
      </c>
      <c r="P49" s="209"/>
      <c r="Q49" s="75" t="b">
        <f>VLOOKUP($B49,'Run Reconcile'!B$2:P1679,15,FALSE)</f>
        <v>1</v>
      </c>
      <c r="R49" s="211" t="str">
        <f t="array" ref="R49">IF($Q49, INDEX('Run Reconcile'!A$2:A1679,MATCH(B49,'Run Reconcile'!B$2:B1679,0),1),IFERROR(0/0,""))</f>
        <v>RUN-COMB_2022-03-22_RFR-004</v>
      </c>
      <c r="S49" s="165" t="str">
        <f t="shared" ref="S49:T49" si="97">IF(COUNTIF(W$2:W1679, $A49) &gt; 0,TRUE,IFERROR(0/0,""))</f>
        <v/>
      </c>
      <c r="T49" s="165" t="str">
        <f t="shared" si="97"/>
        <v/>
      </c>
      <c r="U49" s="147" t="str">
        <f t="array" ref="U49">IF(ISBLANK($R49), IF($S49,VLOOKUP($B49+1,'RFR Data - preExcl'!$BF$2:$BG1679,2,FALSE),IF($T49,INDEX('RFR Data - preExcl'!$BF$2:$BG1679,MATCH($B49,'RFR Data - preExcl'!$BF$2:$BF1679,0)+1,2),VLOOKUP($B49,'RFR Data - preExcl'!$BF$2:$BG1679,2,FALSE))),IFERROR(0/0,""))</f>
        <v/>
      </c>
      <c r="V49" s="212" t="str">
        <f t="shared" si="5"/>
        <v>RUN-COMB_2022-03-22_RFR-004</v>
      </c>
      <c r="W49" s="51"/>
      <c r="X49" s="51"/>
      <c r="Y49" s="147" t="str">
        <f t="shared" ref="Y49:Z49" si="98">IF(_xlfn.ISFORMULA(S49),IFERROR(0/0,""),TRUE)</f>
        <v/>
      </c>
      <c r="Z49" s="147" t="str">
        <f t="shared" si="98"/>
        <v/>
      </c>
    </row>
    <row r="50">
      <c r="A50" s="6" t="str">
        <f>IFERROR(__xludf.DUMMYFUNCTION("""COMPUTED_VALUE"""),"MA187")</f>
        <v>MA187</v>
      </c>
      <c r="B50" s="206">
        <f>IFERROR(__xludf.DUMMYFUNCTION("""COMPUTED_VALUE"""),44642.0)</f>
        <v>44642</v>
      </c>
      <c r="C50" s="207">
        <f>IFERROR(__xludf.DUMMYFUNCTION("""COMPUTED_VALUE"""),0.25408564814814816)</f>
        <v>0.2540856481</v>
      </c>
      <c r="D50" s="50"/>
      <c r="E50" s="58"/>
      <c r="F50" s="58"/>
      <c r="G50" s="58" t="str">
        <f>IFERROR(__xludf.DUMMYFUNCTION("""COMPUTED_VALUE"""),"Negative")</f>
        <v>Negative</v>
      </c>
      <c r="H50" s="206" t="str">
        <f>IFERROR(__xludf.DUMMYFUNCTION("""COMPUTED_VALUE"""),"Negative")</f>
        <v>Negative</v>
      </c>
      <c r="I50" s="207">
        <f>IFERROR(__xludf.DUMMYFUNCTION("""COMPUTED_VALUE"""),44642.0)</f>
        <v>44642</v>
      </c>
      <c r="J50" s="208">
        <f>IFERROR(__xludf.DUMMYFUNCTION("""COMPUTED_VALUE"""),0.34769675925925925)</f>
        <v>0.3476967593</v>
      </c>
      <c r="K50" s="50"/>
      <c r="L50" s="6"/>
      <c r="M50" s="55"/>
      <c r="N50" s="55">
        <f>IFERROR(__xludf.DUMMYFUNCTION("""COMPUTED_VALUE"""),1.0)</f>
        <v>1</v>
      </c>
      <c r="O50" s="55" t="str">
        <f t="shared" si="3"/>
        <v/>
      </c>
      <c r="P50" s="209"/>
      <c r="Q50" s="75" t="b">
        <f>VLOOKUP($B50,'Run Reconcile'!B$2:P1679,15,FALSE)</f>
        <v>1</v>
      </c>
      <c r="R50" s="211" t="str">
        <f t="array" ref="R50">IF($Q50, INDEX('Run Reconcile'!A$2:A1679,MATCH(B50,'Run Reconcile'!B$2:B1679,0),1),IFERROR(0/0,""))</f>
        <v>RUN-COMB_2022-03-22_RFR-004</v>
      </c>
      <c r="S50" s="165" t="str">
        <f t="shared" ref="S50:T50" si="99">IF(COUNTIF(W$2:W1679, $A50) &gt; 0,TRUE,IFERROR(0/0,""))</f>
        <v/>
      </c>
      <c r="T50" s="165" t="str">
        <f t="shared" si="99"/>
        <v/>
      </c>
      <c r="U50" s="147" t="str">
        <f t="array" ref="U50">IF(ISBLANK($R50), IF($S50,VLOOKUP($B50+1,'RFR Data - preExcl'!$BF$2:$BG1679,2,FALSE),IF($T50,INDEX('RFR Data - preExcl'!$BF$2:$BG1679,MATCH($B50,'RFR Data - preExcl'!$BF$2:$BF1679,0)+1,2),VLOOKUP($B50,'RFR Data - preExcl'!$BF$2:$BG1679,2,FALSE))),IFERROR(0/0,""))</f>
        <v/>
      </c>
      <c r="V50" s="212" t="str">
        <f t="shared" si="5"/>
        <v>RUN-COMB_2022-03-22_RFR-004</v>
      </c>
      <c r="W50" s="51"/>
      <c r="X50" s="51"/>
      <c r="Y50" s="147" t="str">
        <f t="shared" ref="Y50:Z50" si="100">IF(_xlfn.ISFORMULA(S50),IFERROR(0/0,""),TRUE)</f>
        <v/>
      </c>
      <c r="Z50" s="147" t="str">
        <f t="shared" si="100"/>
        <v/>
      </c>
    </row>
    <row r="51">
      <c r="A51" s="6" t="str">
        <f>IFERROR(__xludf.DUMMYFUNCTION("""COMPUTED_VALUE"""),"MA102")</f>
        <v>MA102</v>
      </c>
      <c r="B51" s="206">
        <f>IFERROR(__xludf.DUMMYFUNCTION("""COMPUTED_VALUE"""),44642.0)</f>
        <v>44642</v>
      </c>
      <c r="C51" s="207">
        <f>IFERROR(__xludf.DUMMYFUNCTION("""COMPUTED_VALUE"""),0.25527777777777777)</f>
        <v>0.2552777778</v>
      </c>
      <c r="D51" s="50"/>
      <c r="E51" s="58"/>
      <c r="F51" s="58"/>
      <c r="G51" s="58" t="str">
        <f>IFERROR(__xludf.DUMMYFUNCTION("""COMPUTED_VALUE"""),"Negative")</f>
        <v>Negative</v>
      </c>
      <c r="H51" s="206" t="str">
        <f>IFERROR(__xludf.DUMMYFUNCTION("""COMPUTED_VALUE"""),"Negative")</f>
        <v>Negative</v>
      </c>
      <c r="I51" s="207">
        <f>IFERROR(__xludf.DUMMYFUNCTION("""COMPUTED_VALUE"""),44642.0)</f>
        <v>44642</v>
      </c>
      <c r="J51" s="208">
        <f>IFERROR(__xludf.DUMMYFUNCTION("""COMPUTED_VALUE"""),0.34770833333333334)</f>
        <v>0.3477083333</v>
      </c>
      <c r="K51" s="50"/>
      <c r="L51" s="6"/>
      <c r="M51" s="55"/>
      <c r="N51" s="55">
        <f>IFERROR(__xludf.DUMMYFUNCTION("""COMPUTED_VALUE"""),1.0)</f>
        <v>1</v>
      </c>
      <c r="O51" s="55" t="str">
        <f t="shared" si="3"/>
        <v/>
      </c>
      <c r="P51" s="209"/>
      <c r="Q51" s="75" t="b">
        <f>VLOOKUP($B51,'Run Reconcile'!B$2:P1679,15,FALSE)</f>
        <v>1</v>
      </c>
      <c r="R51" s="211" t="str">
        <f t="array" ref="R51">IF($Q51, INDEX('Run Reconcile'!A$2:A1679,MATCH(B51,'Run Reconcile'!B$2:B1679,0),1),IFERROR(0/0,""))</f>
        <v>RUN-COMB_2022-03-22_RFR-004</v>
      </c>
      <c r="S51" s="165" t="str">
        <f t="shared" ref="S51:T51" si="101">IF(COUNTIF(W$2:W1679, $A51) &gt; 0,TRUE,IFERROR(0/0,""))</f>
        <v/>
      </c>
      <c r="T51" s="165" t="str">
        <f t="shared" si="101"/>
        <v/>
      </c>
      <c r="U51" s="147" t="str">
        <f t="array" ref="U51">IF(ISBLANK($R51), IF($S51,VLOOKUP($B51+1,'RFR Data - preExcl'!$BF$2:$BG1679,2,FALSE),IF($T51,INDEX('RFR Data - preExcl'!$BF$2:$BG1679,MATCH($B51,'RFR Data - preExcl'!$BF$2:$BF1679,0)+1,2),VLOOKUP($B51,'RFR Data - preExcl'!$BF$2:$BG1679,2,FALSE))),IFERROR(0/0,""))</f>
        <v/>
      </c>
      <c r="V51" s="212" t="str">
        <f t="shared" si="5"/>
        <v>RUN-COMB_2022-03-22_RFR-004</v>
      </c>
      <c r="W51" s="51"/>
      <c r="X51" s="51"/>
      <c r="Y51" s="147" t="str">
        <f t="shared" ref="Y51:Z51" si="102">IF(_xlfn.ISFORMULA(S51),IFERROR(0/0,""),TRUE)</f>
        <v/>
      </c>
      <c r="Z51" s="147" t="str">
        <f t="shared" si="102"/>
        <v/>
      </c>
    </row>
    <row r="52">
      <c r="A52" s="6" t="str">
        <f>IFERROR(__xludf.DUMMYFUNCTION("""COMPUTED_VALUE"""),"MA129")</f>
        <v>MA129</v>
      </c>
      <c r="B52" s="206">
        <f>IFERROR(__xludf.DUMMYFUNCTION("""COMPUTED_VALUE"""),44642.0)</f>
        <v>44642</v>
      </c>
      <c r="C52" s="207">
        <f>IFERROR(__xludf.DUMMYFUNCTION("""COMPUTED_VALUE"""),0.2577199074074074)</f>
        <v>0.2577199074</v>
      </c>
      <c r="D52" s="50"/>
      <c r="E52" s="58"/>
      <c r="F52" s="58"/>
      <c r="G52" s="58" t="str">
        <f>IFERROR(__xludf.DUMMYFUNCTION("""COMPUTED_VALUE"""),"Negative")</f>
        <v>Negative</v>
      </c>
      <c r="H52" s="206" t="str">
        <f>IFERROR(__xludf.DUMMYFUNCTION("""COMPUTED_VALUE"""),"Negative")</f>
        <v>Negative</v>
      </c>
      <c r="I52" s="207">
        <f>IFERROR(__xludf.DUMMYFUNCTION("""COMPUTED_VALUE"""),44642.0)</f>
        <v>44642</v>
      </c>
      <c r="J52" s="208">
        <f>IFERROR(__xludf.DUMMYFUNCTION("""COMPUTED_VALUE"""),0.34770833333333334)</f>
        <v>0.3477083333</v>
      </c>
      <c r="K52" s="50"/>
      <c r="L52" s="6"/>
      <c r="M52" s="55"/>
      <c r="N52" s="55">
        <f>IFERROR(__xludf.DUMMYFUNCTION("""COMPUTED_VALUE"""),1.0)</f>
        <v>1</v>
      </c>
      <c r="O52" s="55" t="str">
        <f t="shared" si="3"/>
        <v/>
      </c>
      <c r="P52" s="209"/>
      <c r="Q52" s="75" t="b">
        <f>VLOOKUP($B52,'Run Reconcile'!B$2:P1679,15,FALSE)</f>
        <v>1</v>
      </c>
      <c r="R52" s="211" t="str">
        <f t="array" ref="R52">IF($Q52, INDEX('Run Reconcile'!A$2:A1679,MATCH(B52,'Run Reconcile'!B$2:B1679,0),1),IFERROR(0/0,""))</f>
        <v>RUN-COMB_2022-03-22_RFR-004</v>
      </c>
      <c r="S52" s="165" t="str">
        <f t="shared" ref="S52:T52" si="103">IF(COUNTIF(W$2:W1679, $A52) &gt; 0,TRUE,IFERROR(0/0,""))</f>
        <v/>
      </c>
      <c r="T52" s="165" t="str">
        <f t="shared" si="103"/>
        <v/>
      </c>
      <c r="U52" s="147" t="str">
        <f t="array" ref="U52">IF(ISBLANK($R52), IF($S52,VLOOKUP($B52+1,'RFR Data - preExcl'!$BF$2:$BG1679,2,FALSE),IF($T52,INDEX('RFR Data - preExcl'!$BF$2:$BG1679,MATCH($B52,'RFR Data - preExcl'!$BF$2:$BF1679,0)+1,2),VLOOKUP($B52,'RFR Data - preExcl'!$BF$2:$BG1679,2,FALSE))),IFERROR(0/0,""))</f>
        <v/>
      </c>
      <c r="V52" s="212" t="str">
        <f t="shared" si="5"/>
        <v>RUN-COMB_2022-03-22_RFR-004</v>
      </c>
      <c r="W52" s="51"/>
      <c r="X52" s="51"/>
      <c r="Y52" s="147" t="str">
        <f t="shared" ref="Y52:Z52" si="104">IF(_xlfn.ISFORMULA(S52),IFERROR(0/0,""),TRUE)</f>
        <v/>
      </c>
      <c r="Z52" s="147" t="str">
        <f t="shared" si="104"/>
        <v/>
      </c>
    </row>
    <row r="53">
      <c r="A53" s="6" t="str">
        <f>IFERROR(__xludf.DUMMYFUNCTION("""COMPUTED_VALUE"""),"MA204")</f>
        <v>MA204</v>
      </c>
      <c r="B53" s="206">
        <f>IFERROR(__xludf.DUMMYFUNCTION("""COMPUTED_VALUE"""),44642.0)</f>
        <v>44642</v>
      </c>
      <c r="C53" s="207">
        <f>IFERROR(__xludf.DUMMYFUNCTION("""COMPUTED_VALUE"""),0.25907407407407407)</f>
        <v>0.2590740741</v>
      </c>
      <c r="D53" s="50"/>
      <c r="E53" s="58"/>
      <c r="F53" s="58"/>
      <c r="G53" s="58" t="str">
        <f>IFERROR(__xludf.DUMMYFUNCTION("""COMPUTED_VALUE"""),"Negative")</f>
        <v>Negative</v>
      </c>
      <c r="H53" s="206" t="str">
        <f>IFERROR(__xludf.DUMMYFUNCTION("""COMPUTED_VALUE"""),"Negative")</f>
        <v>Negative</v>
      </c>
      <c r="I53" s="207">
        <f>IFERROR(__xludf.DUMMYFUNCTION("""COMPUTED_VALUE"""),44642.0)</f>
        <v>44642</v>
      </c>
      <c r="J53" s="208">
        <f>IFERROR(__xludf.DUMMYFUNCTION("""COMPUTED_VALUE"""),0.34770833333333334)</f>
        <v>0.3477083333</v>
      </c>
      <c r="K53" s="50"/>
      <c r="L53" s="6"/>
      <c r="M53" s="55"/>
      <c r="N53" s="55">
        <f>IFERROR(__xludf.DUMMYFUNCTION("""COMPUTED_VALUE"""),1.0)</f>
        <v>1</v>
      </c>
      <c r="O53" s="55" t="str">
        <f t="shared" si="3"/>
        <v/>
      </c>
      <c r="P53" s="209"/>
      <c r="Q53" s="75" t="b">
        <f>VLOOKUP($B53,'Run Reconcile'!B$2:P1679,15,FALSE)</f>
        <v>1</v>
      </c>
      <c r="R53" s="211" t="str">
        <f t="array" ref="R53">IF($Q53, INDEX('Run Reconcile'!A$2:A1679,MATCH(B53,'Run Reconcile'!B$2:B1679,0),1),IFERROR(0/0,""))</f>
        <v>RUN-COMB_2022-03-22_RFR-004</v>
      </c>
      <c r="S53" s="165" t="str">
        <f t="shared" ref="S53:T53" si="105">IF(COUNTIF(W$2:W1679, $A53) &gt; 0,TRUE,IFERROR(0/0,""))</f>
        <v/>
      </c>
      <c r="T53" s="165" t="str">
        <f t="shared" si="105"/>
        <v/>
      </c>
      <c r="U53" s="147" t="str">
        <f t="array" ref="U53">IF(ISBLANK($R53), IF($S53,VLOOKUP($B53+1,'RFR Data - preExcl'!$BF$2:$BG1679,2,FALSE),IF($T53,INDEX('RFR Data - preExcl'!$BF$2:$BG1679,MATCH($B53,'RFR Data - preExcl'!$BF$2:$BF1679,0)+1,2),VLOOKUP($B53,'RFR Data - preExcl'!$BF$2:$BG1679,2,FALSE))),IFERROR(0/0,""))</f>
        <v/>
      </c>
      <c r="V53" s="212" t="str">
        <f t="shared" si="5"/>
        <v>RUN-COMB_2022-03-22_RFR-004</v>
      </c>
      <c r="W53" s="51"/>
      <c r="X53" s="51"/>
      <c r="Y53" s="147" t="str">
        <f t="shared" ref="Y53:Z53" si="106">IF(_xlfn.ISFORMULA(S53),IFERROR(0/0,""),TRUE)</f>
        <v/>
      </c>
      <c r="Z53" s="147" t="str">
        <f t="shared" si="106"/>
        <v/>
      </c>
    </row>
    <row r="54">
      <c r="A54" s="6" t="str">
        <f>IFERROR(__xludf.DUMMYFUNCTION("""COMPUTED_VALUE"""),"MA97")</f>
        <v>MA97</v>
      </c>
      <c r="B54" s="206">
        <f>IFERROR(__xludf.DUMMYFUNCTION("""COMPUTED_VALUE"""),44642.0)</f>
        <v>44642</v>
      </c>
      <c r="C54" s="207">
        <f>IFERROR(__xludf.DUMMYFUNCTION("""COMPUTED_VALUE"""),0.26001157407407405)</f>
        <v>0.2600115741</v>
      </c>
      <c r="D54" s="50"/>
      <c r="E54" s="58"/>
      <c r="F54" s="58"/>
      <c r="G54" s="58" t="str">
        <f>IFERROR(__xludf.DUMMYFUNCTION("""COMPUTED_VALUE"""),"Negative")</f>
        <v>Negative</v>
      </c>
      <c r="H54" s="206" t="str">
        <f>IFERROR(__xludf.DUMMYFUNCTION("""COMPUTED_VALUE"""),"Negative")</f>
        <v>Negative</v>
      </c>
      <c r="I54" s="207">
        <f>IFERROR(__xludf.DUMMYFUNCTION("""COMPUTED_VALUE"""),44642.0)</f>
        <v>44642</v>
      </c>
      <c r="J54" s="208">
        <f>IFERROR(__xludf.DUMMYFUNCTION("""COMPUTED_VALUE"""),0.34770833333333334)</f>
        <v>0.3477083333</v>
      </c>
      <c r="K54" s="50"/>
      <c r="L54" s="6"/>
      <c r="M54" s="55"/>
      <c r="N54" s="55">
        <f>IFERROR(__xludf.DUMMYFUNCTION("""COMPUTED_VALUE"""),1.0)</f>
        <v>1</v>
      </c>
      <c r="O54" s="55" t="str">
        <f t="shared" si="3"/>
        <v/>
      </c>
      <c r="P54" s="209"/>
      <c r="Q54" s="75" t="b">
        <f>VLOOKUP($B54,'Run Reconcile'!B$2:P1679,15,FALSE)</f>
        <v>1</v>
      </c>
      <c r="R54" s="211" t="str">
        <f t="array" ref="R54">IF($Q54, INDEX('Run Reconcile'!A$2:A1679,MATCH(B54,'Run Reconcile'!B$2:B1679,0),1),IFERROR(0/0,""))</f>
        <v>RUN-COMB_2022-03-22_RFR-004</v>
      </c>
      <c r="S54" s="165" t="str">
        <f t="shared" ref="S54:T54" si="107">IF(COUNTIF(W$2:W1679, $A54) &gt; 0,TRUE,IFERROR(0/0,""))</f>
        <v/>
      </c>
      <c r="T54" s="165" t="str">
        <f t="shared" si="107"/>
        <v/>
      </c>
      <c r="U54" s="147" t="str">
        <f t="array" ref="U54">IF(ISBLANK($R54), IF($S54,VLOOKUP($B54+1,'RFR Data - preExcl'!$BF$2:$BG1679,2,FALSE),IF($T54,INDEX('RFR Data - preExcl'!$BF$2:$BG1679,MATCH($B54,'RFR Data - preExcl'!$BF$2:$BF1679,0)+1,2),VLOOKUP($B54,'RFR Data - preExcl'!$BF$2:$BG1679,2,FALSE))),IFERROR(0/0,""))</f>
        <v/>
      </c>
      <c r="V54" s="212" t="str">
        <f t="shared" si="5"/>
        <v>RUN-COMB_2022-03-22_RFR-004</v>
      </c>
      <c r="W54" s="51"/>
      <c r="X54" s="51"/>
      <c r="Y54" s="147" t="str">
        <f t="shared" ref="Y54:Z54" si="108">IF(_xlfn.ISFORMULA(S54),IFERROR(0/0,""),TRUE)</f>
        <v/>
      </c>
      <c r="Z54" s="147" t="str">
        <f t="shared" si="108"/>
        <v/>
      </c>
    </row>
    <row r="55">
      <c r="A55" s="6" t="str">
        <f>IFERROR(__xludf.DUMMYFUNCTION("""COMPUTED_VALUE"""),"MA155")</f>
        <v>MA155</v>
      </c>
      <c r="B55" s="206">
        <f>IFERROR(__xludf.DUMMYFUNCTION("""COMPUTED_VALUE"""),44642.0)</f>
        <v>44642</v>
      </c>
      <c r="C55" s="207">
        <f>IFERROR(__xludf.DUMMYFUNCTION("""COMPUTED_VALUE"""),0.2608333333333333)</f>
        <v>0.2608333333</v>
      </c>
      <c r="D55" s="50"/>
      <c r="E55" s="58"/>
      <c r="F55" s="58"/>
      <c r="G55" s="58" t="str">
        <f>IFERROR(__xludf.DUMMYFUNCTION("""COMPUTED_VALUE"""),"Negative")</f>
        <v>Negative</v>
      </c>
      <c r="H55" s="206" t="str">
        <f>IFERROR(__xludf.DUMMYFUNCTION("""COMPUTED_VALUE"""),"Negative")</f>
        <v>Negative</v>
      </c>
      <c r="I55" s="207">
        <f>IFERROR(__xludf.DUMMYFUNCTION("""COMPUTED_VALUE"""),44642.0)</f>
        <v>44642</v>
      </c>
      <c r="J55" s="208">
        <f>IFERROR(__xludf.DUMMYFUNCTION("""COMPUTED_VALUE"""),0.34770833333333334)</f>
        <v>0.3477083333</v>
      </c>
      <c r="K55" s="50"/>
      <c r="L55" s="6"/>
      <c r="M55" s="55"/>
      <c r="N55" s="55">
        <f>IFERROR(__xludf.DUMMYFUNCTION("""COMPUTED_VALUE"""),1.0)</f>
        <v>1</v>
      </c>
      <c r="O55" s="55" t="str">
        <f t="shared" si="3"/>
        <v/>
      </c>
      <c r="P55" s="209"/>
      <c r="Q55" s="75" t="b">
        <f>VLOOKUP($B55,'Run Reconcile'!B$2:P1679,15,FALSE)</f>
        <v>1</v>
      </c>
      <c r="R55" s="211" t="str">
        <f t="array" ref="R55">IF($Q55, INDEX('Run Reconcile'!A$2:A1679,MATCH(B55,'Run Reconcile'!B$2:B1679,0),1),IFERROR(0/0,""))</f>
        <v>RUN-COMB_2022-03-22_RFR-004</v>
      </c>
      <c r="S55" s="165" t="str">
        <f t="shared" ref="S55:T55" si="109">IF(COUNTIF(W$2:W1679, $A55) &gt; 0,TRUE,IFERROR(0/0,""))</f>
        <v/>
      </c>
      <c r="T55" s="165" t="str">
        <f t="shared" si="109"/>
        <v/>
      </c>
      <c r="U55" s="147" t="str">
        <f t="array" ref="U55">IF(ISBLANK($R55), IF($S55,VLOOKUP($B55+1,'RFR Data - preExcl'!$BF$2:$BG1679,2,FALSE),IF($T55,INDEX('RFR Data - preExcl'!$BF$2:$BG1679,MATCH($B55,'RFR Data - preExcl'!$BF$2:$BF1679,0)+1,2),VLOOKUP($B55,'RFR Data - preExcl'!$BF$2:$BG1679,2,FALSE))),IFERROR(0/0,""))</f>
        <v/>
      </c>
      <c r="V55" s="212" t="str">
        <f t="shared" si="5"/>
        <v>RUN-COMB_2022-03-22_RFR-004</v>
      </c>
      <c r="W55" s="51"/>
      <c r="X55" s="51"/>
      <c r="Y55" s="147" t="str">
        <f t="shared" ref="Y55:Z55" si="110">IF(_xlfn.ISFORMULA(S55),IFERROR(0/0,""),TRUE)</f>
        <v/>
      </c>
      <c r="Z55" s="147" t="str">
        <f t="shared" si="110"/>
        <v/>
      </c>
    </row>
    <row r="56">
      <c r="A56" s="6" t="str">
        <f>IFERROR(__xludf.DUMMYFUNCTION("""COMPUTED_VALUE"""),"MA117")</f>
        <v>MA117</v>
      </c>
      <c r="B56" s="206">
        <f>IFERROR(__xludf.DUMMYFUNCTION("""COMPUTED_VALUE"""),44642.0)</f>
        <v>44642</v>
      </c>
      <c r="C56" s="207">
        <f>IFERROR(__xludf.DUMMYFUNCTION("""COMPUTED_VALUE"""),0.2616087962962963)</f>
        <v>0.2616087963</v>
      </c>
      <c r="D56" s="50"/>
      <c r="E56" s="58"/>
      <c r="F56" s="58"/>
      <c r="G56" s="58" t="str">
        <f>IFERROR(__xludf.DUMMYFUNCTION("""COMPUTED_VALUE"""),"Negative")</f>
        <v>Negative</v>
      </c>
      <c r="H56" s="206" t="str">
        <f>IFERROR(__xludf.DUMMYFUNCTION("""COMPUTED_VALUE"""),"Negative")</f>
        <v>Negative</v>
      </c>
      <c r="I56" s="207">
        <f>IFERROR(__xludf.DUMMYFUNCTION("""COMPUTED_VALUE"""),44642.0)</f>
        <v>44642</v>
      </c>
      <c r="J56" s="208">
        <f>IFERROR(__xludf.DUMMYFUNCTION("""COMPUTED_VALUE"""),0.34770833333333334)</f>
        <v>0.3477083333</v>
      </c>
      <c r="K56" s="50"/>
      <c r="L56" s="6"/>
      <c r="M56" s="55"/>
      <c r="N56" s="55">
        <f>IFERROR(__xludf.DUMMYFUNCTION("""COMPUTED_VALUE"""),1.0)</f>
        <v>1</v>
      </c>
      <c r="O56" s="55" t="str">
        <f t="shared" si="3"/>
        <v/>
      </c>
      <c r="P56" s="209"/>
      <c r="Q56" s="75" t="b">
        <f>VLOOKUP($B56,'Run Reconcile'!B$2:P1679,15,FALSE)</f>
        <v>1</v>
      </c>
      <c r="R56" s="211" t="str">
        <f t="array" ref="R56">IF($Q56, INDEX('Run Reconcile'!A$2:A1679,MATCH(B56,'Run Reconcile'!B$2:B1679,0),1),IFERROR(0/0,""))</f>
        <v>RUN-COMB_2022-03-22_RFR-004</v>
      </c>
      <c r="S56" s="165" t="str">
        <f t="shared" ref="S56:T56" si="111">IF(COUNTIF(W$2:W1679, $A56) &gt; 0,TRUE,IFERROR(0/0,""))</f>
        <v/>
      </c>
      <c r="T56" s="165" t="str">
        <f t="shared" si="111"/>
        <v/>
      </c>
      <c r="U56" s="147" t="str">
        <f t="array" ref="U56">IF(ISBLANK($R56), IF($S56,VLOOKUP($B56+1,'RFR Data - preExcl'!$BF$2:$BG1679,2,FALSE),IF($T56,INDEX('RFR Data - preExcl'!$BF$2:$BG1679,MATCH($B56,'RFR Data - preExcl'!$BF$2:$BF1679,0)+1,2),VLOOKUP($B56,'RFR Data - preExcl'!$BF$2:$BG1679,2,FALSE))),IFERROR(0/0,""))</f>
        <v/>
      </c>
      <c r="V56" s="212" t="str">
        <f t="shared" si="5"/>
        <v>RUN-COMB_2022-03-22_RFR-004</v>
      </c>
      <c r="W56" s="51"/>
      <c r="X56" s="51"/>
      <c r="Y56" s="147" t="str">
        <f t="shared" ref="Y56:Z56" si="112">IF(_xlfn.ISFORMULA(S56),IFERROR(0/0,""),TRUE)</f>
        <v/>
      </c>
      <c r="Z56" s="147" t="str">
        <f t="shared" si="112"/>
        <v/>
      </c>
    </row>
    <row r="57">
      <c r="A57" s="6" t="str">
        <f>IFERROR(__xludf.DUMMYFUNCTION("""COMPUTED_VALUE"""),"MA139")</f>
        <v>MA139</v>
      </c>
      <c r="B57" s="206">
        <f>IFERROR(__xludf.DUMMYFUNCTION("""COMPUTED_VALUE"""),44642.0)</f>
        <v>44642</v>
      </c>
      <c r="C57" s="207">
        <f>IFERROR(__xludf.DUMMYFUNCTION("""COMPUTED_VALUE"""),0.26403935185185184)</f>
        <v>0.2640393519</v>
      </c>
      <c r="D57" s="50"/>
      <c r="E57" s="58"/>
      <c r="F57" s="58"/>
      <c r="G57" s="58" t="str">
        <f>IFERROR(__xludf.DUMMYFUNCTION("""COMPUTED_VALUE"""),"Negative")</f>
        <v>Negative</v>
      </c>
      <c r="H57" s="206" t="str">
        <f>IFERROR(__xludf.DUMMYFUNCTION("""COMPUTED_VALUE"""),"Negative")</f>
        <v>Negative</v>
      </c>
      <c r="I57" s="207">
        <f>IFERROR(__xludf.DUMMYFUNCTION("""COMPUTED_VALUE"""),44642.0)</f>
        <v>44642</v>
      </c>
      <c r="J57" s="208">
        <f>IFERROR(__xludf.DUMMYFUNCTION("""COMPUTED_VALUE"""),0.34770833333333334)</f>
        <v>0.3477083333</v>
      </c>
      <c r="K57" s="50"/>
      <c r="L57" s="6"/>
      <c r="M57" s="55"/>
      <c r="N57" s="55">
        <f>IFERROR(__xludf.DUMMYFUNCTION("""COMPUTED_VALUE"""),1.0)</f>
        <v>1</v>
      </c>
      <c r="O57" s="55" t="str">
        <f t="shared" si="3"/>
        <v/>
      </c>
      <c r="P57" s="209"/>
      <c r="Q57" s="75" t="b">
        <f>VLOOKUP($B57,'Run Reconcile'!B$2:P1679,15,FALSE)</f>
        <v>1</v>
      </c>
      <c r="R57" s="211" t="str">
        <f t="array" ref="R57">IF($Q57, INDEX('Run Reconcile'!A$2:A1679,MATCH(B57,'Run Reconcile'!B$2:B1679,0),1),IFERROR(0/0,""))</f>
        <v>RUN-COMB_2022-03-22_RFR-004</v>
      </c>
      <c r="S57" s="165" t="str">
        <f t="shared" ref="S57:T57" si="113">IF(COUNTIF(W$2:W1679, $A57) &gt; 0,TRUE,IFERROR(0/0,""))</f>
        <v/>
      </c>
      <c r="T57" s="165" t="str">
        <f t="shared" si="113"/>
        <v/>
      </c>
      <c r="U57" s="147" t="str">
        <f t="array" ref="U57">IF(ISBLANK($R57), IF($S57,VLOOKUP($B57+1,'RFR Data - preExcl'!$BF$2:$BG1679,2,FALSE),IF($T57,INDEX('RFR Data - preExcl'!$BF$2:$BG1679,MATCH($B57,'RFR Data - preExcl'!$BF$2:$BF1679,0)+1,2),VLOOKUP($B57,'RFR Data - preExcl'!$BF$2:$BG1679,2,FALSE))),IFERROR(0/0,""))</f>
        <v/>
      </c>
      <c r="V57" s="212" t="str">
        <f t="shared" si="5"/>
        <v>RUN-COMB_2022-03-22_RFR-004</v>
      </c>
      <c r="W57" s="51"/>
      <c r="X57" s="51"/>
      <c r="Y57" s="147" t="str">
        <f t="shared" ref="Y57:Z57" si="114">IF(_xlfn.ISFORMULA(S57),IFERROR(0/0,""),TRUE)</f>
        <v/>
      </c>
      <c r="Z57" s="147" t="str">
        <f t="shared" si="114"/>
        <v/>
      </c>
    </row>
    <row r="58">
      <c r="A58" s="6" t="str">
        <f>IFERROR(__xludf.DUMMYFUNCTION("""COMPUTED_VALUE"""),"MA152")</f>
        <v>MA152</v>
      </c>
      <c r="B58" s="206">
        <f>IFERROR(__xludf.DUMMYFUNCTION("""COMPUTED_VALUE"""),44642.0)</f>
        <v>44642</v>
      </c>
      <c r="C58" s="207">
        <f>IFERROR(__xludf.DUMMYFUNCTION("""COMPUTED_VALUE"""),0.26501157407407405)</f>
        <v>0.2650115741</v>
      </c>
      <c r="D58" s="50"/>
      <c r="E58" s="58"/>
      <c r="F58" s="58"/>
      <c r="G58" s="58" t="str">
        <f>IFERROR(__xludf.DUMMYFUNCTION("""COMPUTED_VALUE"""),"Negative")</f>
        <v>Negative</v>
      </c>
      <c r="H58" s="206" t="str">
        <f>IFERROR(__xludf.DUMMYFUNCTION("""COMPUTED_VALUE"""),"Negative")</f>
        <v>Negative</v>
      </c>
      <c r="I58" s="207">
        <f>IFERROR(__xludf.DUMMYFUNCTION("""COMPUTED_VALUE"""),44642.0)</f>
        <v>44642</v>
      </c>
      <c r="J58" s="208">
        <f>IFERROR(__xludf.DUMMYFUNCTION("""COMPUTED_VALUE"""),0.3477199074074074)</f>
        <v>0.3477199074</v>
      </c>
      <c r="K58" s="50"/>
      <c r="L58" s="6"/>
      <c r="M58" s="55"/>
      <c r="N58" s="55">
        <f>IFERROR(__xludf.DUMMYFUNCTION("""COMPUTED_VALUE"""),1.0)</f>
        <v>1</v>
      </c>
      <c r="O58" s="55" t="str">
        <f t="shared" si="3"/>
        <v/>
      </c>
      <c r="P58" s="209"/>
      <c r="Q58" s="75" t="b">
        <f>VLOOKUP($B58,'Run Reconcile'!B$2:P1679,15,FALSE)</f>
        <v>1</v>
      </c>
      <c r="R58" s="211" t="str">
        <f t="array" ref="R58">IF($Q58, INDEX('Run Reconcile'!A$2:A1679,MATCH(B58,'Run Reconcile'!B$2:B1679,0),1),IFERROR(0/0,""))</f>
        <v>RUN-COMB_2022-03-22_RFR-004</v>
      </c>
      <c r="S58" s="165" t="str">
        <f t="shared" ref="S58:T58" si="115">IF(COUNTIF(W$2:W1679, $A58) &gt; 0,TRUE,IFERROR(0/0,""))</f>
        <v/>
      </c>
      <c r="T58" s="165" t="str">
        <f t="shared" si="115"/>
        <v/>
      </c>
      <c r="U58" s="147" t="str">
        <f t="array" ref="U58">IF(ISBLANK($R58), IF($S58,VLOOKUP($B58+1,'RFR Data - preExcl'!$BF$2:$BG1679,2,FALSE),IF($T58,INDEX('RFR Data - preExcl'!$BF$2:$BG1679,MATCH($B58,'RFR Data - preExcl'!$BF$2:$BF1679,0)+1,2),VLOOKUP($B58,'RFR Data - preExcl'!$BF$2:$BG1679,2,FALSE))),IFERROR(0/0,""))</f>
        <v/>
      </c>
      <c r="V58" s="212" t="str">
        <f t="shared" si="5"/>
        <v>RUN-COMB_2022-03-22_RFR-004</v>
      </c>
      <c r="W58" s="51"/>
      <c r="X58" s="51"/>
      <c r="Y58" s="147" t="str">
        <f t="shared" ref="Y58:Z58" si="116">IF(_xlfn.ISFORMULA(S58),IFERROR(0/0,""),TRUE)</f>
        <v/>
      </c>
      <c r="Z58" s="147" t="str">
        <f t="shared" si="116"/>
        <v/>
      </c>
    </row>
    <row r="59">
      <c r="A59" s="6" t="str">
        <f>IFERROR(__xludf.DUMMYFUNCTION("""COMPUTED_VALUE"""),"MA174")</f>
        <v>MA174</v>
      </c>
      <c r="B59" s="206">
        <f>IFERROR(__xludf.DUMMYFUNCTION("""COMPUTED_VALUE"""),44642.0)</f>
        <v>44642</v>
      </c>
      <c r="C59" s="207">
        <f>IFERROR(__xludf.DUMMYFUNCTION("""COMPUTED_VALUE"""),0.266724537037037)</f>
        <v>0.266724537</v>
      </c>
      <c r="D59" s="50"/>
      <c r="E59" s="58"/>
      <c r="F59" s="58"/>
      <c r="G59" s="58" t="str">
        <f>IFERROR(__xludf.DUMMYFUNCTION("""COMPUTED_VALUE"""),"Negative")</f>
        <v>Negative</v>
      </c>
      <c r="H59" s="206" t="str">
        <f>IFERROR(__xludf.DUMMYFUNCTION("""COMPUTED_VALUE"""),"Negative")</f>
        <v>Negative</v>
      </c>
      <c r="I59" s="207">
        <f>IFERROR(__xludf.DUMMYFUNCTION("""COMPUTED_VALUE"""),44642.0)</f>
        <v>44642</v>
      </c>
      <c r="J59" s="208">
        <f>IFERROR(__xludf.DUMMYFUNCTION("""COMPUTED_VALUE"""),0.3477199074074074)</f>
        <v>0.3477199074</v>
      </c>
      <c r="K59" s="50"/>
      <c r="L59" s="6"/>
      <c r="M59" s="55"/>
      <c r="N59" s="55">
        <f>IFERROR(__xludf.DUMMYFUNCTION("""COMPUTED_VALUE"""),1.0)</f>
        <v>1</v>
      </c>
      <c r="O59" s="55" t="str">
        <f t="shared" si="3"/>
        <v/>
      </c>
      <c r="P59" s="209"/>
      <c r="Q59" s="75" t="b">
        <f>VLOOKUP($B59,'Run Reconcile'!B$2:P1679,15,FALSE)</f>
        <v>1</v>
      </c>
      <c r="R59" s="211" t="str">
        <f t="array" ref="R59">IF($Q59, INDEX('Run Reconcile'!A$2:A1679,MATCH(B59,'Run Reconcile'!B$2:B1679,0),1),IFERROR(0/0,""))</f>
        <v>RUN-COMB_2022-03-22_RFR-004</v>
      </c>
      <c r="S59" s="165" t="str">
        <f t="shared" ref="S59:T59" si="117">IF(COUNTIF(W$2:W1679, $A59) &gt; 0,TRUE,IFERROR(0/0,""))</f>
        <v/>
      </c>
      <c r="T59" s="165" t="str">
        <f t="shared" si="117"/>
        <v/>
      </c>
      <c r="U59" s="147" t="str">
        <f t="array" ref="U59">IF(ISBLANK($R59), IF($S59,VLOOKUP($B59+1,'RFR Data - preExcl'!$BF$2:$BG1679,2,FALSE),IF($T59,INDEX('RFR Data - preExcl'!$BF$2:$BG1679,MATCH($B59,'RFR Data - preExcl'!$BF$2:$BF1679,0)+1,2),VLOOKUP($B59,'RFR Data - preExcl'!$BF$2:$BG1679,2,FALSE))),IFERROR(0/0,""))</f>
        <v/>
      </c>
      <c r="V59" s="212" t="str">
        <f t="shared" si="5"/>
        <v>RUN-COMB_2022-03-22_RFR-004</v>
      </c>
      <c r="W59" s="51"/>
      <c r="X59" s="51"/>
      <c r="Y59" s="147" t="str">
        <f t="shared" ref="Y59:Z59" si="118">IF(_xlfn.ISFORMULA(S59),IFERROR(0/0,""),TRUE)</f>
        <v/>
      </c>
      <c r="Z59" s="147" t="str">
        <f t="shared" si="118"/>
        <v/>
      </c>
    </row>
    <row r="60">
      <c r="A60" s="6" t="str">
        <f>IFERROR(__xludf.DUMMYFUNCTION("""COMPUTED_VALUE"""),"MA143")</f>
        <v>MA143</v>
      </c>
      <c r="B60" s="206">
        <f>IFERROR(__xludf.DUMMYFUNCTION("""COMPUTED_VALUE"""),44642.0)</f>
        <v>44642</v>
      </c>
      <c r="C60" s="207">
        <f>IFERROR(__xludf.DUMMYFUNCTION("""COMPUTED_VALUE"""),0.2671412037037037)</f>
        <v>0.2671412037</v>
      </c>
      <c r="D60" s="50"/>
      <c r="E60" s="58"/>
      <c r="F60" s="58"/>
      <c r="G60" s="58" t="str">
        <f>IFERROR(__xludf.DUMMYFUNCTION("""COMPUTED_VALUE"""),"Negative")</f>
        <v>Negative</v>
      </c>
      <c r="H60" s="206" t="str">
        <f>IFERROR(__xludf.DUMMYFUNCTION("""COMPUTED_VALUE"""),"Negative")</f>
        <v>Negative</v>
      </c>
      <c r="I60" s="207">
        <f>IFERROR(__xludf.DUMMYFUNCTION("""COMPUTED_VALUE"""),44642.0)</f>
        <v>44642</v>
      </c>
      <c r="J60" s="208">
        <f>IFERROR(__xludf.DUMMYFUNCTION("""COMPUTED_VALUE"""),0.3477199074074074)</f>
        <v>0.3477199074</v>
      </c>
      <c r="K60" s="50"/>
      <c r="L60" s="6"/>
      <c r="M60" s="55"/>
      <c r="N60" s="55">
        <f>IFERROR(__xludf.DUMMYFUNCTION("""COMPUTED_VALUE"""),1.0)</f>
        <v>1</v>
      </c>
      <c r="O60" s="55" t="str">
        <f t="shared" si="3"/>
        <v/>
      </c>
      <c r="P60" s="209"/>
      <c r="Q60" s="75" t="b">
        <f>VLOOKUP($B60,'Run Reconcile'!B$2:P1679,15,FALSE)</f>
        <v>1</v>
      </c>
      <c r="R60" s="211" t="str">
        <f t="array" ref="R60">IF($Q60, INDEX('Run Reconcile'!A$2:A1679,MATCH(B60,'Run Reconcile'!B$2:B1679,0),1),IFERROR(0/0,""))</f>
        <v>RUN-COMB_2022-03-22_RFR-004</v>
      </c>
      <c r="S60" s="165" t="str">
        <f t="shared" ref="S60:T60" si="119">IF(COUNTIF(W$2:W1679, $A60) &gt; 0,TRUE,IFERROR(0/0,""))</f>
        <v/>
      </c>
      <c r="T60" s="165" t="str">
        <f t="shared" si="119"/>
        <v/>
      </c>
      <c r="U60" s="147" t="str">
        <f t="array" ref="U60">IF(ISBLANK($R60), IF($S60,VLOOKUP($B60+1,'RFR Data - preExcl'!$BF$2:$BG1679,2,FALSE),IF($T60,INDEX('RFR Data - preExcl'!$BF$2:$BG1679,MATCH($B60,'RFR Data - preExcl'!$BF$2:$BF1679,0)+1,2),VLOOKUP($B60,'RFR Data - preExcl'!$BF$2:$BG1679,2,FALSE))),IFERROR(0/0,""))</f>
        <v/>
      </c>
      <c r="V60" s="212" t="str">
        <f t="shared" si="5"/>
        <v>RUN-COMB_2022-03-22_RFR-004</v>
      </c>
      <c r="W60" s="51"/>
      <c r="X60" s="51"/>
      <c r="Y60" s="147" t="str">
        <f t="shared" ref="Y60:Z60" si="120">IF(_xlfn.ISFORMULA(S60),IFERROR(0/0,""),TRUE)</f>
        <v/>
      </c>
      <c r="Z60" s="147" t="str">
        <f t="shared" si="120"/>
        <v/>
      </c>
    </row>
    <row r="61">
      <c r="A61" s="6" t="str">
        <f>IFERROR(__xludf.DUMMYFUNCTION("""COMPUTED_VALUE"""),"MA228")</f>
        <v>MA228</v>
      </c>
      <c r="B61" s="206">
        <f>IFERROR(__xludf.DUMMYFUNCTION("""COMPUTED_VALUE"""),44642.0)</f>
        <v>44642</v>
      </c>
      <c r="C61" s="207">
        <f>IFERROR(__xludf.DUMMYFUNCTION("""COMPUTED_VALUE"""),0.2673726851851852)</f>
        <v>0.2673726852</v>
      </c>
      <c r="D61" s="50"/>
      <c r="E61" s="58"/>
      <c r="F61" s="58"/>
      <c r="G61" s="58" t="str">
        <f>IFERROR(__xludf.DUMMYFUNCTION("""COMPUTED_VALUE"""),"Negative")</f>
        <v>Negative</v>
      </c>
      <c r="H61" s="206" t="str">
        <f>IFERROR(__xludf.DUMMYFUNCTION("""COMPUTED_VALUE"""),"Negative")</f>
        <v>Negative</v>
      </c>
      <c r="I61" s="207">
        <f>IFERROR(__xludf.DUMMYFUNCTION("""COMPUTED_VALUE"""),44642.0)</f>
        <v>44642</v>
      </c>
      <c r="J61" s="208">
        <f>IFERROR(__xludf.DUMMYFUNCTION("""COMPUTED_VALUE"""),0.3477199074074074)</f>
        <v>0.3477199074</v>
      </c>
      <c r="K61" s="50"/>
      <c r="L61" s="6"/>
      <c r="M61" s="55"/>
      <c r="N61" s="55">
        <f>IFERROR(__xludf.DUMMYFUNCTION("""COMPUTED_VALUE"""),1.0)</f>
        <v>1</v>
      </c>
      <c r="O61" s="55" t="str">
        <f t="shared" si="3"/>
        <v/>
      </c>
      <c r="P61" s="209"/>
      <c r="Q61" s="75" t="b">
        <f>VLOOKUP($B61,'Run Reconcile'!B$2:P1679,15,FALSE)</f>
        <v>1</v>
      </c>
      <c r="R61" s="211" t="str">
        <f t="array" ref="R61">IF($Q61, INDEX('Run Reconcile'!A$2:A1679,MATCH(B61,'Run Reconcile'!B$2:B1679,0),1),IFERROR(0/0,""))</f>
        <v>RUN-COMB_2022-03-22_RFR-004</v>
      </c>
      <c r="S61" s="165" t="str">
        <f t="shared" ref="S61:T61" si="121">IF(COUNTIF(W$2:W1679, $A61) &gt; 0,TRUE,IFERROR(0/0,""))</f>
        <v/>
      </c>
      <c r="T61" s="165" t="str">
        <f t="shared" si="121"/>
        <v/>
      </c>
      <c r="U61" s="147" t="str">
        <f t="array" ref="U61">IF(ISBLANK($R61), IF($S61,VLOOKUP($B61+1,'RFR Data - preExcl'!$BF$2:$BG1679,2,FALSE),IF($T61,INDEX('RFR Data - preExcl'!$BF$2:$BG1679,MATCH($B61,'RFR Data - preExcl'!$BF$2:$BF1679,0)+1,2),VLOOKUP($B61,'RFR Data - preExcl'!$BF$2:$BG1679,2,FALSE))),IFERROR(0/0,""))</f>
        <v/>
      </c>
      <c r="V61" s="212" t="str">
        <f t="shared" si="5"/>
        <v>RUN-COMB_2022-03-22_RFR-004</v>
      </c>
      <c r="W61" s="51"/>
      <c r="X61" s="51"/>
      <c r="Y61" s="147" t="str">
        <f t="shared" ref="Y61:Z61" si="122">IF(_xlfn.ISFORMULA(S61),IFERROR(0/0,""),TRUE)</f>
        <v/>
      </c>
      <c r="Z61" s="147" t="str">
        <f t="shared" si="122"/>
        <v/>
      </c>
    </row>
    <row r="62">
      <c r="A62" s="6" t="str">
        <f>IFERROR(__xludf.DUMMYFUNCTION("""COMPUTED_VALUE"""),"MA180")</f>
        <v>MA180</v>
      </c>
      <c r="B62" s="206">
        <f>IFERROR(__xludf.DUMMYFUNCTION("""COMPUTED_VALUE"""),44642.0)</f>
        <v>44642</v>
      </c>
      <c r="C62" s="207">
        <f>IFERROR(__xludf.DUMMYFUNCTION("""COMPUTED_VALUE"""),0.2684490740740741)</f>
        <v>0.2684490741</v>
      </c>
      <c r="D62" s="50"/>
      <c r="E62" s="58"/>
      <c r="F62" s="58"/>
      <c r="G62" s="58" t="str">
        <f>IFERROR(__xludf.DUMMYFUNCTION("""COMPUTED_VALUE"""),"Inconclusive")</f>
        <v>Inconclusive</v>
      </c>
      <c r="H62" s="206" t="str">
        <f>IFERROR(__xludf.DUMMYFUNCTION("""COMPUTED_VALUE"""),"Negative")</f>
        <v>Negative</v>
      </c>
      <c r="I62" s="207">
        <f>IFERROR(__xludf.DUMMYFUNCTION("""COMPUTED_VALUE"""),44642.0)</f>
        <v>44642</v>
      </c>
      <c r="J62" s="208">
        <f>IFERROR(__xludf.DUMMYFUNCTION("""COMPUTED_VALUE"""),0.34793981481481484)</f>
        <v>0.3479398148</v>
      </c>
      <c r="K62" s="50">
        <f>IFERROR(__xludf.DUMMYFUNCTION("""COMPUTED_VALUE"""),2.5)</f>
        <v>2.5</v>
      </c>
      <c r="L62" s="6"/>
      <c r="M62" s="55"/>
      <c r="N62" s="55">
        <f>IFERROR(__xludf.DUMMYFUNCTION("""COMPUTED_VALUE"""),1.0)</f>
        <v>1</v>
      </c>
      <c r="O62" s="55" t="str">
        <f t="shared" si="3"/>
        <v/>
      </c>
      <c r="P62" s="209"/>
      <c r="Q62" s="75" t="b">
        <f>VLOOKUP($B62,'Run Reconcile'!B$2:P1679,15,FALSE)</f>
        <v>1</v>
      </c>
      <c r="R62" s="211" t="str">
        <f t="array" ref="R62">IF($Q62, INDEX('Run Reconcile'!A$2:A1679,MATCH(B62,'Run Reconcile'!B$2:B1679,0),1),IFERROR(0/0,""))</f>
        <v>RUN-COMB_2022-03-22_RFR-004</v>
      </c>
      <c r="S62" s="165" t="str">
        <f t="shared" ref="S62:T62" si="123">IF(COUNTIF(W$2:W1679, $A62) &gt; 0,TRUE,IFERROR(0/0,""))</f>
        <v/>
      </c>
      <c r="T62" s="165" t="str">
        <f t="shared" si="123"/>
        <v/>
      </c>
      <c r="U62" s="147" t="str">
        <f t="array" ref="U62">IF(ISBLANK($R62), IF($S62,VLOOKUP($B62+1,'RFR Data - preExcl'!$BF$2:$BG1679,2,FALSE),IF($T62,INDEX('RFR Data - preExcl'!$BF$2:$BG1679,MATCH($B62,'RFR Data - preExcl'!$BF$2:$BF1679,0)+1,2),VLOOKUP($B62,'RFR Data - preExcl'!$BF$2:$BG1679,2,FALSE))),IFERROR(0/0,""))</f>
        <v/>
      </c>
      <c r="V62" s="212" t="str">
        <f t="shared" si="5"/>
        <v>RUN-COMB_2022-03-22_RFR-004</v>
      </c>
      <c r="W62" s="51"/>
      <c r="X62" s="51"/>
      <c r="Y62" s="147" t="str">
        <f t="shared" ref="Y62:Z62" si="124">IF(_xlfn.ISFORMULA(S62),IFERROR(0/0,""),TRUE)</f>
        <v/>
      </c>
      <c r="Z62" s="147" t="str">
        <f t="shared" si="124"/>
        <v/>
      </c>
    </row>
    <row r="63">
      <c r="A63" s="6" t="str">
        <f>IFERROR(__xludf.DUMMYFUNCTION("""COMPUTED_VALUE"""),"MA110")</f>
        <v>MA110</v>
      </c>
      <c r="B63" s="206">
        <f>IFERROR(__xludf.DUMMYFUNCTION("""COMPUTED_VALUE"""),44642.0)</f>
        <v>44642</v>
      </c>
      <c r="C63" s="207">
        <f>IFERROR(__xludf.DUMMYFUNCTION("""COMPUTED_VALUE"""),0.34575231481481483)</f>
        <v>0.3457523148</v>
      </c>
      <c r="D63" s="50"/>
      <c r="E63" s="58"/>
      <c r="F63" s="58"/>
      <c r="G63" s="58" t="str">
        <f>IFERROR(__xludf.DUMMYFUNCTION("""COMPUTED_VALUE"""),"Negative")</f>
        <v>Negative</v>
      </c>
      <c r="H63" s="206" t="str">
        <f>IFERROR(__xludf.DUMMYFUNCTION("""COMPUTED_VALUE"""),"Negative")</f>
        <v>Negative</v>
      </c>
      <c r="I63" s="207">
        <f>IFERROR(__xludf.DUMMYFUNCTION("""COMPUTED_VALUE"""),44642.0)</f>
        <v>44642</v>
      </c>
      <c r="J63" s="208">
        <f>IFERROR(__xludf.DUMMYFUNCTION("""COMPUTED_VALUE"""),0.3477199074074074)</f>
        <v>0.3477199074</v>
      </c>
      <c r="K63" s="50"/>
      <c r="L63" s="6"/>
      <c r="M63" s="55"/>
      <c r="N63" s="55">
        <f>IFERROR(__xludf.DUMMYFUNCTION("""COMPUTED_VALUE"""),1.0)</f>
        <v>1</v>
      </c>
      <c r="O63" s="55" t="str">
        <f t="shared" si="3"/>
        <v/>
      </c>
      <c r="P63" s="209"/>
      <c r="Q63" s="75" t="b">
        <f>VLOOKUP($B63,'Run Reconcile'!B$2:P1679,15,FALSE)</f>
        <v>1</v>
      </c>
      <c r="R63" s="211" t="str">
        <f t="array" ref="R63">IF($Q63, INDEX('Run Reconcile'!A$2:A1679,MATCH(B63,'Run Reconcile'!B$2:B1679,0),1),IFERROR(0/0,""))</f>
        <v>RUN-COMB_2022-03-22_RFR-004</v>
      </c>
      <c r="S63" s="165" t="str">
        <f t="shared" ref="S63:T63" si="125">IF(COUNTIF(W$2:W1679, $A63) &gt; 0,TRUE,IFERROR(0/0,""))</f>
        <v/>
      </c>
      <c r="T63" s="165" t="str">
        <f t="shared" si="125"/>
        <v/>
      </c>
      <c r="U63" s="147" t="str">
        <f t="array" ref="U63">IF(ISBLANK($R63), IF($S63,VLOOKUP($B63+1,'RFR Data - preExcl'!$BF$2:$BG1679,2,FALSE),IF($T63,INDEX('RFR Data - preExcl'!$BF$2:$BG1679,MATCH($B63,'RFR Data - preExcl'!$BF$2:$BF1679,0)+1,2),VLOOKUP($B63,'RFR Data - preExcl'!$BF$2:$BG1679,2,FALSE))),IFERROR(0/0,""))</f>
        <v/>
      </c>
      <c r="V63" s="212" t="str">
        <f t="shared" si="5"/>
        <v>RUN-COMB_2022-03-22_RFR-004</v>
      </c>
      <c r="W63" s="51"/>
      <c r="X63" s="51"/>
      <c r="Y63" s="147" t="str">
        <f t="shared" ref="Y63:Z63" si="126">IF(_xlfn.ISFORMULA(S63),IFERROR(0/0,""),TRUE)</f>
        <v/>
      </c>
      <c r="Z63" s="147" t="str">
        <f t="shared" si="126"/>
        <v/>
      </c>
    </row>
    <row r="64">
      <c r="A64" s="6" t="str">
        <f>IFERROR(__xludf.DUMMYFUNCTION("""COMPUTED_VALUE"""),"FM3406")</f>
        <v>FM3406</v>
      </c>
      <c r="B64" s="206">
        <f>IFERROR(__xludf.DUMMYFUNCTION("""COMPUTED_VALUE"""),44643.0)</f>
        <v>44643</v>
      </c>
      <c r="C64" s="207">
        <f>IFERROR(__xludf.DUMMYFUNCTION("""COMPUTED_VALUE"""),0.2957060185185185)</f>
        <v>0.2957060185</v>
      </c>
      <c r="D64" s="50"/>
      <c r="E64" s="58"/>
      <c r="F64" s="58"/>
      <c r="G64" s="58" t="str">
        <f>IFERROR(__xludf.DUMMYFUNCTION("""COMPUTED_VALUE"""),"Negative")</f>
        <v>Negative</v>
      </c>
      <c r="H64" s="206" t="str">
        <f>IFERROR(__xludf.DUMMYFUNCTION("""COMPUTED_VALUE"""),"Negative")</f>
        <v>Negative</v>
      </c>
      <c r="I64" s="207">
        <f>IFERROR(__xludf.DUMMYFUNCTION("""COMPUTED_VALUE"""),44643.0)</f>
        <v>44643</v>
      </c>
      <c r="J64" s="208">
        <f>IFERROR(__xludf.DUMMYFUNCTION("""COMPUTED_VALUE"""),0.40493055555555557)</f>
        <v>0.4049305556</v>
      </c>
      <c r="K64" s="50"/>
      <c r="L64" s="6"/>
      <c r="M64" s="55"/>
      <c r="N64" s="55">
        <f>IFERROR(__xludf.DUMMYFUNCTION("""COMPUTED_VALUE"""),1.0)</f>
        <v>1</v>
      </c>
      <c r="O64" s="55" t="b">
        <f t="shared" si="3"/>
        <v>1</v>
      </c>
      <c r="P64" s="209"/>
      <c r="Q64" s="75" t="b">
        <f>VLOOKUP($B64,'Run Reconcile'!B$2:P1679,15,FALSE)</f>
        <v>1</v>
      </c>
      <c r="R64" s="211" t="str">
        <f t="array" ref="R64">IF($Q64, INDEX('Run Reconcile'!A$2:A1679,MATCH(B64,'Run Reconcile'!B$2:B1679,0),1),IFERROR(0/0,""))</f>
        <v>RUN-COMB_2022-03-23_RFR-006</v>
      </c>
      <c r="S64" s="165" t="str">
        <f t="shared" ref="S64:T64" si="127">IF(COUNTIF(W$2:W1679, $A64) &gt; 0,TRUE,IFERROR(0/0,""))</f>
        <v/>
      </c>
      <c r="T64" s="165" t="str">
        <f t="shared" si="127"/>
        <v/>
      </c>
      <c r="U64" s="147" t="str">
        <f t="array" ref="U64">IF(ISBLANK($R64), IF($S64,VLOOKUP($B64+1,'RFR Data - preExcl'!$BF$2:$BG1679,2,FALSE),IF($T64,INDEX('RFR Data - preExcl'!$BF$2:$BG1679,MATCH($B64,'RFR Data - preExcl'!$BF$2:$BF1679,0)+1,2),VLOOKUP($B64,'RFR Data - preExcl'!$BF$2:$BG1679,2,FALSE))),IFERROR(0/0,""))</f>
        <v/>
      </c>
      <c r="V64" s="212" t="str">
        <f t="shared" si="5"/>
        <v>RUN-COMB_2022-03-23_RFR-006</v>
      </c>
      <c r="W64" s="51"/>
      <c r="X64" s="51"/>
      <c r="Y64" s="147" t="str">
        <f t="shared" ref="Y64:Z64" si="128">IF(_xlfn.ISFORMULA(S64),IFERROR(0/0,""),TRUE)</f>
        <v/>
      </c>
      <c r="Z64" s="147" t="str">
        <f t="shared" si="128"/>
        <v/>
      </c>
    </row>
    <row r="65">
      <c r="A65" s="6" t="str">
        <f>IFERROR(__xludf.DUMMYFUNCTION("""COMPUTED_VALUE"""),"FM3453")</f>
        <v>FM3453</v>
      </c>
      <c r="B65" s="206">
        <f>IFERROR(__xludf.DUMMYFUNCTION("""COMPUTED_VALUE"""),44643.0)</f>
        <v>44643</v>
      </c>
      <c r="C65" s="207">
        <f>IFERROR(__xludf.DUMMYFUNCTION("""COMPUTED_VALUE"""),0.2965277777777778)</f>
        <v>0.2965277778</v>
      </c>
      <c r="D65" s="50"/>
      <c r="E65" s="58"/>
      <c r="F65" s="58"/>
      <c r="G65" s="58" t="str">
        <f>IFERROR(__xludf.DUMMYFUNCTION("""COMPUTED_VALUE"""),"Negative")</f>
        <v>Negative</v>
      </c>
      <c r="H65" s="206" t="str">
        <f>IFERROR(__xludf.DUMMYFUNCTION("""COMPUTED_VALUE"""),"Negative")</f>
        <v>Negative</v>
      </c>
      <c r="I65" s="207">
        <f>IFERROR(__xludf.DUMMYFUNCTION("""COMPUTED_VALUE"""),44643.0)</f>
        <v>44643</v>
      </c>
      <c r="J65" s="208">
        <f>IFERROR(__xludf.DUMMYFUNCTION("""COMPUTED_VALUE"""),0.4049421296296296)</f>
        <v>0.4049421296</v>
      </c>
      <c r="K65" s="50"/>
      <c r="L65" s="6"/>
      <c r="M65" s="55"/>
      <c r="N65" s="55">
        <f>IFERROR(__xludf.DUMMYFUNCTION("""COMPUTED_VALUE"""),1.0)</f>
        <v>1</v>
      </c>
      <c r="O65" s="55" t="str">
        <f t="shared" si="3"/>
        <v/>
      </c>
      <c r="P65" s="209"/>
      <c r="Q65" s="75" t="b">
        <f>VLOOKUP($B65,'Run Reconcile'!B$2:P1679,15,FALSE)</f>
        <v>1</v>
      </c>
      <c r="R65" s="211" t="str">
        <f t="array" ref="R65">IF($Q65, INDEX('Run Reconcile'!A$2:A1679,MATCH(B65,'Run Reconcile'!B$2:B1679,0),1),IFERROR(0/0,""))</f>
        <v>RUN-COMB_2022-03-23_RFR-006</v>
      </c>
      <c r="S65" s="165" t="str">
        <f t="shared" ref="S65:T65" si="129">IF(COUNTIF(W$2:W1679, $A65) &gt; 0,TRUE,IFERROR(0/0,""))</f>
        <v/>
      </c>
      <c r="T65" s="165" t="str">
        <f t="shared" si="129"/>
        <v/>
      </c>
      <c r="U65" s="147" t="str">
        <f t="array" ref="U65">IF(ISBLANK($R65), IF($S65,VLOOKUP($B65+1,'RFR Data - preExcl'!$BF$2:$BG1679,2,FALSE),IF($T65,INDEX('RFR Data - preExcl'!$BF$2:$BG1679,MATCH($B65,'RFR Data - preExcl'!$BF$2:$BF1679,0)+1,2),VLOOKUP($B65,'RFR Data - preExcl'!$BF$2:$BG1679,2,FALSE))),IFERROR(0/0,""))</f>
        <v/>
      </c>
      <c r="V65" s="212" t="str">
        <f t="shared" si="5"/>
        <v>RUN-COMB_2022-03-23_RFR-006</v>
      </c>
      <c r="W65" s="51"/>
      <c r="X65" s="51"/>
      <c r="Y65" s="147" t="str">
        <f t="shared" ref="Y65:Z65" si="130">IF(_xlfn.ISFORMULA(S65),IFERROR(0/0,""),TRUE)</f>
        <v/>
      </c>
      <c r="Z65" s="147" t="str">
        <f t="shared" si="130"/>
        <v/>
      </c>
    </row>
    <row r="66">
      <c r="A66" s="6" t="str">
        <f>IFERROR(__xludf.DUMMYFUNCTION("""COMPUTED_VALUE"""),"FM3419")</f>
        <v>FM3419</v>
      </c>
      <c r="B66" s="206">
        <f>IFERROR(__xludf.DUMMYFUNCTION("""COMPUTED_VALUE"""),44643.0)</f>
        <v>44643</v>
      </c>
      <c r="C66" s="207">
        <f>IFERROR(__xludf.DUMMYFUNCTION("""COMPUTED_VALUE"""),0.29689814814814813)</f>
        <v>0.2968981481</v>
      </c>
      <c r="D66" s="50"/>
      <c r="E66" s="58"/>
      <c r="F66" s="58"/>
      <c r="G66" s="58" t="str">
        <f>IFERROR(__xludf.DUMMYFUNCTION("""COMPUTED_VALUE"""),"Negative")</f>
        <v>Negative</v>
      </c>
      <c r="H66" s="206" t="str">
        <f>IFERROR(__xludf.DUMMYFUNCTION("""COMPUTED_VALUE"""),"Negative")</f>
        <v>Negative</v>
      </c>
      <c r="I66" s="207">
        <f>IFERROR(__xludf.DUMMYFUNCTION("""COMPUTED_VALUE"""),44643.0)</f>
        <v>44643</v>
      </c>
      <c r="J66" s="208">
        <f>IFERROR(__xludf.DUMMYFUNCTION("""COMPUTED_VALUE"""),0.4049421296296296)</f>
        <v>0.4049421296</v>
      </c>
      <c r="K66" s="50"/>
      <c r="L66" s="6"/>
      <c r="M66" s="55"/>
      <c r="N66" s="55">
        <f>IFERROR(__xludf.DUMMYFUNCTION("""COMPUTED_VALUE"""),1.0)</f>
        <v>1</v>
      </c>
      <c r="O66" s="55" t="str">
        <f t="shared" si="3"/>
        <v/>
      </c>
      <c r="P66" s="209"/>
      <c r="Q66" s="75" t="b">
        <f>VLOOKUP($B66,'Run Reconcile'!B$2:P1679,15,FALSE)</f>
        <v>1</v>
      </c>
      <c r="R66" s="211" t="str">
        <f t="array" ref="R66">IF($Q66, INDEX('Run Reconcile'!A$2:A1679,MATCH(B66,'Run Reconcile'!B$2:B1679,0),1),IFERROR(0/0,""))</f>
        <v>RUN-COMB_2022-03-23_RFR-006</v>
      </c>
      <c r="S66" s="165" t="str">
        <f t="shared" ref="S66:T66" si="131">IF(COUNTIF(W$2:W1679, $A66) &gt; 0,TRUE,IFERROR(0/0,""))</f>
        <v/>
      </c>
      <c r="T66" s="165" t="str">
        <f t="shared" si="131"/>
        <v/>
      </c>
      <c r="U66" s="147" t="str">
        <f t="array" ref="U66">IF(ISBLANK($R66), IF($S66,VLOOKUP($B66+1,'RFR Data - preExcl'!$BF$2:$BG1679,2,FALSE),IF($T66,INDEX('RFR Data - preExcl'!$BF$2:$BG1679,MATCH($B66,'RFR Data - preExcl'!$BF$2:$BF1679,0)+1,2),VLOOKUP($B66,'RFR Data - preExcl'!$BF$2:$BG1679,2,FALSE))),IFERROR(0/0,""))</f>
        <v/>
      </c>
      <c r="V66" s="212" t="str">
        <f t="shared" si="5"/>
        <v>RUN-COMB_2022-03-23_RFR-006</v>
      </c>
      <c r="W66" s="51"/>
      <c r="X66" s="51"/>
      <c r="Y66" s="147" t="str">
        <f t="shared" ref="Y66:Z66" si="132">IF(_xlfn.ISFORMULA(S66),IFERROR(0/0,""),TRUE)</f>
        <v/>
      </c>
      <c r="Z66" s="147" t="str">
        <f t="shared" si="132"/>
        <v/>
      </c>
    </row>
    <row r="67">
      <c r="A67" s="6" t="str">
        <f>IFERROR(__xludf.DUMMYFUNCTION("""COMPUTED_VALUE"""),"FM3425")</f>
        <v>FM3425</v>
      </c>
      <c r="B67" s="206">
        <f>IFERROR(__xludf.DUMMYFUNCTION("""COMPUTED_VALUE"""),44643.0)</f>
        <v>44643</v>
      </c>
      <c r="C67" s="207">
        <f>IFERROR(__xludf.DUMMYFUNCTION("""COMPUTED_VALUE"""),0.2993402777777778)</f>
        <v>0.2993402778</v>
      </c>
      <c r="D67" s="50"/>
      <c r="E67" s="58"/>
      <c r="F67" s="58"/>
      <c r="G67" s="58" t="str">
        <f>IFERROR(__xludf.DUMMYFUNCTION("""COMPUTED_VALUE"""),"Negative")</f>
        <v>Negative</v>
      </c>
      <c r="H67" s="206" t="str">
        <f>IFERROR(__xludf.DUMMYFUNCTION("""COMPUTED_VALUE"""),"Negative")</f>
        <v>Negative</v>
      </c>
      <c r="I67" s="207">
        <f>IFERROR(__xludf.DUMMYFUNCTION("""COMPUTED_VALUE"""),44643.0)</f>
        <v>44643</v>
      </c>
      <c r="J67" s="208">
        <f>IFERROR(__xludf.DUMMYFUNCTION("""COMPUTED_VALUE"""),0.4049421296296296)</f>
        <v>0.4049421296</v>
      </c>
      <c r="K67" s="50"/>
      <c r="L67" s="6"/>
      <c r="M67" s="55"/>
      <c r="N67" s="55">
        <f>IFERROR(__xludf.DUMMYFUNCTION("""COMPUTED_VALUE"""),1.0)</f>
        <v>1</v>
      </c>
      <c r="O67" s="55" t="str">
        <f t="shared" si="3"/>
        <v/>
      </c>
      <c r="P67" s="209"/>
      <c r="Q67" s="75" t="b">
        <f>VLOOKUP($B67,'Run Reconcile'!B$2:P1679,15,FALSE)</f>
        <v>1</v>
      </c>
      <c r="R67" s="211" t="str">
        <f t="array" ref="R67">IF($Q67, INDEX('Run Reconcile'!A$2:A1679,MATCH(B67,'Run Reconcile'!B$2:B1679,0),1),IFERROR(0/0,""))</f>
        <v>RUN-COMB_2022-03-23_RFR-006</v>
      </c>
      <c r="S67" s="165" t="str">
        <f t="shared" ref="S67:T67" si="133">IF(COUNTIF(W$2:W1679, $A67) &gt; 0,TRUE,IFERROR(0/0,""))</f>
        <v/>
      </c>
      <c r="T67" s="165" t="str">
        <f t="shared" si="133"/>
        <v/>
      </c>
      <c r="U67" s="147" t="str">
        <f t="array" ref="U67">IF(ISBLANK($R67), IF($S67,VLOOKUP($B67+1,'RFR Data - preExcl'!$BF$2:$BG1679,2,FALSE),IF($T67,INDEX('RFR Data - preExcl'!$BF$2:$BG1679,MATCH($B67,'RFR Data - preExcl'!$BF$2:$BF1679,0)+1,2),VLOOKUP($B67,'RFR Data - preExcl'!$BF$2:$BG1679,2,FALSE))),IFERROR(0/0,""))</f>
        <v/>
      </c>
      <c r="V67" s="212" t="str">
        <f t="shared" si="5"/>
        <v>RUN-COMB_2022-03-23_RFR-006</v>
      </c>
      <c r="W67" s="51"/>
      <c r="X67" s="51"/>
      <c r="Y67" s="147" t="str">
        <f t="shared" ref="Y67:Z67" si="134">IF(_xlfn.ISFORMULA(S67),IFERROR(0/0,""),TRUE)</f>
        <v/>
      </c>
      <c r="Z67" s="147" t="str">
        <f t="shared" si="134"/>
        <v/>
      </c>
    </row>
    <row r="68">
      <c r="A68" s="6" t="str">
        <f>IFERROR(__xludf.DUMMYFUNCTION("""COMPUTED_VALUE"""),"FM3433")</f>
        <v>FM3433</v>
      </c>
      <c r="B68" s="206">
        <f>IFERROR(__xludf.DUMMYFUNCTION("""COMPUTED_VALUE"""),44643.0)</f>
        <v>44643</v>
      </c>
      <c r="C68" s="207">
        <f>IFERROR(__xludf.DUMMYFUNCTION("""COMPUTED_VALUE"""),0.2996875)</f>
        <v>0.2996875</v>
      </c>
      <c r="D68" s="50"/>
      <c r="E68" s="58"/>
      <c r="F68" s="58"/>
      <c r="G68" s="58" t="str">
        <f>IFERROR(__xludf.DUMMYFUNCTION("""COMPUTED_VALUE"""),"Negative")</f>
        <v>Negative</v>
      </c>
      <c r="H68" s="206" t="str">
        <f>IFERROR(__xludf.DUMMYFUNCTION("""COMPUTED_VALUE"""),"Negative")</f>
        <v>Negative</v>
      </c>
      <c r="I68" s="207">
        <f>IFERROR(__xludf.DUMMYFUNCTION("""COMPUTED_VALUE"""),44643.0)</f>
        <v>44643</v>
      </c>
      <c r="J68" s="208">
        <f>IFERROR(__xludf.DUMMYFUNCTION("""COMPUTED_VALUE"""),0.4049537037037037)</f>
        <v>0.4049537037</v>
      </c>
      <c r="K68" s="50"/>
      <c r="L68" s="6"/>
      <c r="M68" s="55"/>
      <c r="N68" s="55">
        <f>IFERROR(__xludf.DUMMYFUNCTION("""COMPUTED_VALUE"""),1.0)</f>
        <v>1</v>
      </c>
      <c r="O68" s="55" t="str">
        <f t="shared" si="3"/>
        <v/>
      </c>
      <c r="P68" s="209"/>
      <c r="Q68" s="75" t="b">
        <f>VLOOKUP($B68,'Run Reconcile'!B$2:P1679,15,FALSE)</f>
        <v>1</v>
      </c>
      <c r="R68" s="211" t="str">
        <f t="array" ref="R68">IF($Q68, INDEX('Run Reconcile'!A$2:A1679,MATCH(B68,'Run Reconcile'!B$2:B1679,0),1),IFERROR(0/0,""))</f>
        <v>RUN-COMB_2022-03-23_RFR-006</v>
      </c>
      <c r="S68" s="165" t="str">
        <f t="shared" ref="S68:T68" si="135">IF(COUNTIF(W$2:W1679, $A68) &gt; 0,TRUE,IFERROR(0/0,""))</f>
        <v/>
      </c>
      <c r="T68" s="165" t="str">
        <f t="shared" si="135"/>
        <v/>
      </c>
      <c r="U68" s="147" t="str">
        <f t="array" ref="U68">IF(ISBLANK($R68), IF($S68,VLOOKUP($B68+1,'RFR Data - preExcl'!$BF$2:$BG1679,2,FALSE),IF($T68,INDEX('RFR Data - preExcl'!$BF$2:$BG1679,MATCH($B68,'RFR Data - preExcl'!$BF$2:$BF1679,0)+1,2),VLOOKUP($B68,'RFR Data - preExcl'!$BF$2:$BG1679,2,FALSE))),IFERROR(0/0,""))</f>
        <v/>
      </c>
      <c r="V68" s="212" t="str">
        <f t="shared" si="5"/>
        <v>RUN-COMB_2022-03-23_RFR-006</v>
      </c>
      <c r="W68" s="51"/>
      <c r="X68" s="51"/>
      <c r="Y68" s="147" t="str">
        <f t="shared" ref="Y68:Z68" si="136">IF(_xlfn.ISFORMULA(S68),IFERROR(0/0,""),TRUE)</f>
        <v/>
      </c>
      <c r="Z68" s="147" t="str">
        <f t="shared" si="136"/>
        <v/>
      </c>
    </row>
    <row r="69">
      <c r="A69" s="6" t="str">
        <f>IFERROR(__xludf.DUMMYFUNCTION("""COMPUTED_VALUE"""),"FM3423")</f>
        <v>FM3423</v>
      </c>
      <c r="B69" s="206">
        <f>IFERROR(__xludf.DUMMYFUNCTION("""COMPUTED_VALUE"""),44643.0)</f>
        <v>44643</v>
      </c>
      <c r="C69" s="207">
        <f>IFERROR(__xludf.DUMMYFUNCTION("""COMPUTED_VALUE"""),0.3016550925925926)</f>
        <v>0.3016550926</v>
      </c>
      <c r="D69" s="50"/>
      <c r="E69" s="58"/>
      <c r="F69" s="58"/>
      <c r="G69" s="58" t="str">
        <f>IFERROR(__xludf.DUMMYFUNCTION("""COMPUTED_VALUE"""),"Negative")</f>
        <v>Negative</v>
      </c>
      <c r="H69" s="206" t="str">
        <f>IFERROR(__xludf.DUMMYFUNCTION("""COMPUTED_VALUE"""),"Negative")</f>
        <v>Negative</v>
      </c>
      <c r="I69" s="207">
        <f>IFERROR(__xludf.DUMMYFUNCTION("""COMPUTED_VALUE"""),44643.0)</f>
        <v>44643</v>
      </c>
      <c r="J69" s="208">
        <f>IFERROR(__xludf.DUMMYFUNCTION("""COMPUTED_VALUE"""),0.4049652777777778)</f>
        <v>0.4049652778</v>
      </c>
      <c r="K69" s="50"/>
      <c r="L69" s="6"/>
      <c r="M69" s="55"/>
      <c r="N69" s="55">
        <f>IFERROR(__xludf.DUMMYFUNCTION("""COMPUTED_VALUE"""),1.0)</f>
        <v>1</v>
      </c>
      <c r="O69" s="55" t="str">
        <f t="shared" si="3"/>
        <v/>
      </c>
      <c r="P69" s="209"/>
      <c r="Q69" s="75" t="b">
        <f>VLOOKUP($B69,'Run Reconcile'!B$2:P1679,15,FALSE)</f>
        <v>1</v>
      </c>
      <c r="R69" s="211" t="str">
        <f t="array" ref="R69">IF($Q69, INDEX('Run Reconcile'!A$2:A1679,MATCH(B69,'Run Reconcile'!B$2:B1679,0),1),IFERROR(0/0,""))</f>
        <v>RUN-COMB_2022-03-23_RFR-006</v>
      </c>
      <c r="S69" s="165" t="str">
        <f t="shared" ref="S69:T69" si="137">IF(COUNTIF(W$2:W1679, $A69) &gt; 0,TRUE,IFERROR(0/0,""))</f>
        <v/>
      </c>
      <c r="T69" s="165" t="str">
        <f t="shared" si="137"/>
        <v/>
      </c>
      <c r="U69" s="147" t="str">
        <f t="array" ref="U69">IF(ISBLANK($R69), IF($S69,VLOOKUP($B69+1,'RFR Data - preExcl'!$BF$2:$BG1679,2,FALSE),IF($T69,INDEX('RFR Data - preExcl'!$BF$2:$BG1679,MATCH($B69,'RFR Data - preExcl'!$BF$2:$BF1679,0)+1,2),VLOOKUP($B69,'RFR Data - preExcl'!$BF$2:$BG1679,2,FALSE))),IFERROR(0/0,""))</f>
        <v/>
      </c>
      <c r="V69" s="212" t="str">
        <f t="shared" si="5"/>
        <v>RUN-COMB_2022-03-23_RFR-006</v>
      </c>
      <c r="W69" s="51"/>
      <c r="X69" s="51"/>
      <c r="Y69" s="147" t="str">
        <f t="shared" ref="Y69:Z69" si="138">IF(_xlfn.ISFORMULA(S69),IFERROR(0/0,""),TRUE)</f>
        <v/>
      </c>
      <c r="Z69" s="147" t="str">
        <f t="shared" si="138"/>
        <v/>
      </c>
    </row>
    <row r="70">
      <c r="A70" s="6" t="str">
        <f>IFERROR(__xludf.DUMMYFUNCTION("""COMPUTED_VALUE"""),"FM3678")</f>
        <v>FM3678</v>
      </c>
      <c r="B70" s="206">
        <f>IFERROR(__xludf.DUMMYFUNCTION("""COMPUTED_VALUE"""),44643.0)</f>
        <v>44643</v>
      </c>
      <c r="C70" s="207">
        <f>IFERROR(__xludf.DUMMYFUNCTION("""COMPUTED_VALUE"""),0.30202546296296295)</f>
        <v>0.302025463</v>
      </c>
      <c r="D70" s="50"/>
      <c r="E70" s="58"/>
      <c r="F70" s="58"/>
      <c r="G70" s="58" t="str">
        <f>IFERROR(__xludf.DUMMYFUNCTION("""COMPUTED_VALUE"""),"Negative")</f>
        <v>Negative</v>
      </c>
      <c r="H70" s="206" t="str">
        <f>IFERROR(__xludf.DUMMYFUNCTION("""COMPUTED_VALUE"""),"Negative")</f>
        <v>Negative</v>
      </c>
      <c r="I70" s="207">
        <f>IFERROR(__xludf.DUMMYFUNCTION("""COMPUTED_VALUE"""),44643.0)</f>
        <v>44643</v>
      </c>
      <c r="J70" s="208">
        <f>IFERROR(__xludf.DUMMYFUNCTION("""COMPUTED_VALUE"""),0.4049652777777778)</f>
        <v>0.4049652778</v>
      </c>
      <c r="K70" s="50"/>
      <c r="L70" s="6"/>
      <c r="M70" s="55"/>
      <c r="N70" s="55">
        <f>IFERROR(__xludf.DUMMYFUNCTION("""COMPUTED_VALUE"""),1.0)</f>
        <v>1</v>
      </c>
      <c r="O70" s="55" t="str">
        <f t="shared" si="3"/>
        <v/>
      </c>
      <c r="P70" s="209"/>
      <c r="Q70" s="75" t="b">
        <f>VLOOKUP($B70,'Run Reconcile'!B$2:P1679,15,FALSE)</f>
        <v>1</v>
      </c>
      <c r="R70" s="211" t="str">
        <f t="array" ref="R70">IF($Q70, INDEX('Run Reconcile'!A$2:A1679,MATCH(B70,'Run Reconcile'!B$2:B1679,0),1),IFERROR(0/0,""))</f>
        <v>RUN-COMB_2022-03-23_RFR-006</v>
      </c>
      <c r="S70" s="165" t="str">
        <f t="shared" ref="S70:T70" si="139">IF(COUNTIF(W$2:W1679, $A70) &gt; 0,TRUE,IFERROR(0/0,""))</f>
        <v/>
      </c>
      <c r="T70" s="165" t="str">
        <f t="shared" si="139"/>
        <v/>
      </c>
      <c r="U70" s="147" t="str">
        <f t="array" ref="U70">IF(ISBLANK($R70), IF($S70,VLOOKUP($B70+1,'RFR Data - preExcl'!$BF$2:$BG1679,2,FALSE),IF($T70,INDEX('RFR Data - preExcl'!$BF$2:$BG1679,MATCH($B70,'RFR Data - preExcl'!$BF$2:$BF1679,0)+1,2),VLOOKUP($B70,'RFR Data - preExcl'!$BF$2:$BG1679,2,FALSE))),IFERROR(0/0,""))</f>
        <v/>
      </c>
      <c r="V70" s="212" t="str">
        <f t="shared" si="5"/>
        <v>RUN-COMB_2022-03-23_RFR-006</v>
      </c>
      <c r="W70" s="51"/>
      <c r="X70" s="51"/>
      <c r="Y70" s="147" t="str">
        <f t="shared" ref="Y70:Z70" si="140">IF(_xlfn.ISFORMULA(S70),IFERROR(0/0,""),TRUE)</f>
        <v/>
      </c>
      <c r="Z70" s="147" t="str">
        <f t="shared" si="140"/>
        <v/>
      </c>
    </row>
    <row r="71">
      <c r="A71" s="6" t="str">
        <f>IFERROR(__xludf.DUMMYFUNCTION("""COMPUTED_VALUE"""),"FM3445")</f>
        <v>FM3445</v>
      </c>
      <c r="B71" s="206">
        <f>IFERROR(__xludf.DUMMYFUNCTION("""COMPUTED_VALUE"""),44643.0)</f>
        <v>44643</v>
      </c>
      <c r="C71" s="207">
        <f>IFERROR(__xludf.DUMMYFUNCTION("""COMPUTED_VALUE"""),0.30246527777777776)</f>
        <v>0.3024652778</v>
      </c>
      <c r="D71" s="50"/>
      <c r="E71" s="58"/>
      <c r="F71" s="58"/>
      <c r="G71" s="58" t="str">
        <f>IFERROR(__xludf.DUMMYFUNCTION("""COMPUTED_VALUE"""),"Negative")</f>
        <v>Negative</v>
      </c>
      <c r="H71" s="206" t="str">
        <f>IFERROR(__xludf.DUMMYFUNCTION("""COMPUTED_VALUE"""),"Negative")</f>
        <v>Negative</v>
      </c>
      <c r="I71" s="207">
        <f>IFERROR(__xludf.DUMMYFUNCTION("""COMPUTED_VALUE"""),44643.0)</f>
        <v>44643</v>
      </c>
      <c r="J71" s="208">
        <f>IFERROR(__xludf.DUMMYFUNCTION("""COMPUTED_VALUE"""),0.4049652777777778)</f>
        <v>0.4049652778</v>
      </c>
      <c r="K71" s="50"/>
      <c r="L71" s="6"/>
      <c r="M71" s="55"/>
      <c r="N71" s="55">
        <f>IFERROR(__xludf.DUMMYFUNCTION("""COMPUTED_VALUE"""),1.0)</f>
        <v>1</v>
      </c>
      <c r="O71" s="55" t="str">
        <f t="shared" si="3"/>
        <v/>
      </c>
      <c r="P71" s="209"/>
      <c r="Q71" s="75" t="b">
        <f>VLOOKUP($B71,'Run Reconcile'!B$2:P1679,15,FALSE)</f>
        <v>1</v>
      </c>
      <c r="R71" s="211" t="str">
        <f t="array" ref="R71">IF($Q71, INDEX('Run Reconcile'!A$2:A1679,MATCH(B71,'Run Reconcile'!B$2:B1679,0),1),IFERROR(0/0,""))</f>
        <v>RUN-COMB_2022-03-23_RFR-006</v>
      </c>
      <c r="S71" s="165" t="str">
        <f t="shared" ref="S71:T71" si="141">IF(COUNTIF(W$2:W1679, $A71) &gt; 0,TRUE,IFERROR(0/0,""))</f>
        <v/>
      </c>
      <c r="T71" s="165" t="str">
        <f t="shared" si="141"/>
        <v/>
      </c>
      <c r="U71" s="147" t="str">
        <f t="array" ref="U71">IF(ISBLANK($R71), IF($S71,VLOOKUP($B71+1,'RFR Data - preExcl'!$BF$2:$BG1679,2,FALSE),IF($T71,INDEX('RFR Data - preExcl'!$BF$2:$BG1679,MATCH($B71,'RFR Data - preExcl'!$BF$2:$BF1679,0)+1,2),VLOOKUP($B71,'RFR Data - preExcl'!$BF$2:$BG1679,2,FALSE))),IFERROR(0/0,""))</f>
        <v/>
      </c>
      <c r="V71" s="212" t="str">
        <f t="shared" si="5"/>
        <v>RUN-COMB_2022-03-23_RFR-006</v>
      </c>
      <c r="W71" s="51"/>
      <c r="X71" s="51"/>
      <c r="Y71" s="147" t="str">
        <f t="shared" ref="Y71:Z71" si="142">IF(_xlfn.ISFORMULA(S71),IFERROR(0/0,""),TRUE)</f>
        <v/>
      </c>
      <c r="Z71" s="147" t="str">
        <f t="shared" si="142"/>
        <v/>
      </c>
    </row>
    <row r="72">
      <c r="A72" s="6" t="str">
        <f>IFERROR(__xludf.DUMMYFUNCTION("""COMPUTED_VALUE"""),"FM3410")</f>
        <v>FM3410</v>
      </c>
      <c r="B72" s="206">
        <f>IFERROR(__xludf.DUMMYFUNCTION("""COMPUTED_VALUE"""),44643.0)</f>
        <v>44643</v>
      </c>
      <c r="C72" s="207">
        <f>IFERROR(__xludf.DUMMYFUNCTION("""COMPUTED_VALUE"""),0.3029050925925926)</f>
        <v>0.3029050926</v>
      </c>
      <c r="D72" s="50"/>
      <c r="E72" s="58"/>
      <c r="F72" s="58"/>
      <c r="G72" s="58" t="str">
        <f>IFERROR(__xludf.DUMMYFUNCTION("""COMPUTED_VALUE"""),"Negative")</f>
        <v>Negative</v>
      </c>
      <c r="H72" s="206" t="str">
        <f>IFERROR(__xludf.DUMMYFUNCTION("""COMPUTED_VALUE"""),"Negative")</f>
        <v>Negative</v>
      </c>
      <c r="I72" s="207">
        <f>IFERROR(__xludf.DUMMYFUNCTION("""COMPUTED_VALUE"""),44643.0)</f>
        <v>44643</v>
      </c>
      <c r="J72" s="208">
        <f>IFERROR(__xludf.DUMMYFUNCTION("""COMPUTED_VALUE"""),0.40497685185185184)</f>
        <v>0.4049768519</v>
      </c>
      <c r="K72" s="50"/>
      <c r="L72" s="6"/>
      <c r="M72" s="55"/>
      <c r="N72" s="55">
        <f>IFERROR(__xludf.DUMMYFUNCTION("""COMPUTED_VALUE"""),1.0)</f>
        <v>1</v>
      </c>
      <c r="O72" s="55" t="str">
        <f t="shared" si="3"/>
        <v/>
      </c>
      <c r="P72" s="209"/>
      <c r="Q72" s="75" t="b">
        <f>VLOOKUP($B72,'Run Reconcile'!B$2:P1679,15,FALSE)</f>
        <v>1</v>
      </c>
      <c r="R72" s="211" t="str">
        <f t="array" ref="R72">IF($Q72, INDEX('Run Reconcile'!A$2:A1679,MATCH(B72,'Run Reconcile'!B$2:B1679,0),1),IFERROR(0/0,""))</f>
        <v>RUN-COMB_2022-03-23_RFR-006</v>
      </c>
      <c r="S72" s="165" t="str">
        <f t="shared" ref="S72:T72" si="143">IF(COUNTIF(W$2:W1679, $A72) &gt; 0,TRUE,IFERROR(0/0,""))</f>
        <v/>
      </c>
      <c r="T72" s="165" t="str">
        <f t="shared" si="143"/>
        <v/>
      </c>
      <c r="U72" s="147" t="str">
        <f t="array" ref="U72">IF(ISBLANK($R72), IF($S72,VLOOKUP($B72+1,'RFR Data - preExcl'!$BF$2:$BG1679,2,FALSE),IF($T72,INDEX('RFR Data - preExcl'!$BF$2:$BG1679,MATCH($B72,'RFR Data - preExcl'!$BF$2:$BF1679,0)+1,2),VLOOKUP($B72,'RFR Data - preExcl'!$BF$2:$BG1679,2,FALSE))),IFERROR(0/0,""))</f>
        <v/>
      </c>
      <c r="V72" s="212" t="str">
        <f t="shared" si="5"/>
        <v>RUN-COMB_2022-03-23_RFR-006</v>
      </c>
      <c r="W72" s="51"/>
      <c r="X72" s="51"/>
      <c r="Y72" s="147" t="str">
        <f t="shared" ref="Y72:Z72" si="144">IF(_xlfn.ISFORMULA(S72),IFERROR(0/0,""),TRUE)</f>
        <v/>
      </c>
      <c r="Z72" s="147" t="str">
        <f t="shared" si="144"/>
        <v/>
      </c>
    </row>
    <row r="73">
      <c r="A73" s="6" t="str">
        <f>IFERROR(__xludf.DUMMYFUNCTION("""COMPUTED_VALUE"""),"FM3415")</f>
        <v>FM3415</v>
      </c>
      <c r="B73" s="206">
        <f>IFERROR(__xludf.DUMMYFUNCTION("""COMPUTED_VALUE"""),44643.0)</f>
        <v>44643</v>
      </c>
      <c r="C73" s="207">
        <f>IFERROR(__xludf.DUMMYFUNCTION("""COMPUTED_VALUE"""),0.3033449074074074)</f>
        <v>0.3033449074</v>
      </c>
      <c r="D73" s="50"/>
      <c r="E73" s="58"/>
      <c r="F73" s="58"/>
      <c r="G73" s="58" t="str">
        <f>IFERROR(__xludf.DUMMYFUNCTION("""COMPUTED_VALUE"""),"Negative")</f>
        <v>Negative</v>
      </c>
      <c r="H73" s="206" t="str">
        <f>IFERROR(__xludf.DUMMYFUNCTION("""COMPUTED_VALUE"""),"Negative")</f>
        <v>Negative</v>
      </c>
      <c r="I73" s="207">
        <f>IFERROR(__xludf.DUMMYFUNCTION("""COMPUTED_VALUE"""),44643.0)</f>
        <v>44643</v>
      </c>
      <c r="J73" s="208">
        <f>IFERROR(__xludf.DUMMYFUNCTION("""COMPUTED_VALUE"""),0.40497685185185184)</f>
        <v>0.4049768519</v>
      </c>
      <c r="K73" s="50"/>
      <c r="L73" s="6"/>
      <c r="M73" s="55"/>
      <c r="N73" s="55">
        <f>IFERROR(__xludf.DUMMYFUNCTION("""COMPUTED_VALUE"""),1.0)</f>
        <v>1</v>
      </c>
      <c r="O73" s="55" t="str">
        <f t="shared" si="3"/>
        <v/>
      </c>
      <c r="P73" s="209"/>
      <c r="Q73" s="75" t="b">
        <f>VLOOKUP($B73,'Run Reconcile'!B$2:P1679,15,FALSE)</f>
        <v>1</v>
      </c>
      <c r="R73" s="211" t="str">
        <f t="array" ref="R73">IF($Q73, INDEX('Run Reconcile'!A$2:A1679,MATCH(B73,'Run Reconcile'!B$2:B1679,0),1),IFERROR(0/0,""))</f>
        <v>RUN-COMB_2022-03-23_RFR-006</v>
      </c>
      <c r="S73" s="165" t="str">
        <f t="shared" ref="S73:T73" si="145">IF(COUNTIF(W$2:W1679, $A73) &gt; 0,TRUE,IFERROR(0/0,""))</f>
        <v/>
      </c>
      <c r="T73" s="165" t="str">
        <f t="shared" si="145"/>
        <v/>
      </c>
      <c r="U73" s="147" t="str">
        <f t="array" ref="U73">IF(ISBLANK($R73), IF($S73,VLOOKUP($B73+1,'RFR Data - preExcl'!$BF$2:$BG1679,2,FALSE),IF($T73,INDEX('RFR Data - preExcl'!$BF$2:$BG1679,MATCH($B73,'RFR Data - preExcl'!$BF$2:$BF1679,0)+1,2),VLOOKUP($B73,'RFR Data - preExcl'!$BF$2:$BG1679,2,FALSE))),IFERROR(0/0,""))</f>
        <v/>
      </c>
      <c r="V73" s="212" t="str">
        <f t="shared" si="5"/>
        <v>RUN-COMB_2022-03-23_RFR-006</v>
      </c>
      <c r="W73" s="51"/>
      <c r="X73" s="51"/>
      <c r="Y73" s="147" t="str">
        <f t="shared" ref="Y73:Z73" si="146">IF(_xlfn.ISFORMULA(S73),IFERROR(0/0,""),TRUE)</f>
        <v/>
      </c>
      <c r="Z73" s="147" t="str">
        <f t="shared" si="146"/>
        <v/>
      </c>
    </row>
    <row r="74">
      <c r="A74" s="6" t="str">
        <f>IFERROR(__xludf.DUMMYFUNCTION("""COMPUTED_VALUE"""),"FM3455")</f>
        <v>FM3455</v>
      </c>
      <c r="B74" s="206">
        <f>IFERROR(__xludf.DUMMYFUNCTION("""COMPUTED_VALUE"""),44643.0)</f>
        <v>44643</v>
      </c>
      <c r="C74" s="207">
        <f>IFERROR(__xludf.DUMMYFUNCTION("""COMPUTED_VALUE"""),0.3036921296296296)</f>
        <v>0.3036921296</v>
      </c>
      <c r="D74" s="50"/>
      <c r="E74" s="58"/>
      <c r="F74" s="58"/>
      <c r="G74" s="58" t="str">
        <f>IFERROR(__xludf.DUMMYFUNCTION("""COMPUTED_VALUE"""),"Negative")</f>
        <v>Negative</v>
      </c>
      <c r="H74" s="206" t="str">
        <f>IFERROR(__xludf.DUMMYFUNCTION("""COMPUTED_VALUE"""),"Negative")</f>
        <v>Negative</v>
      </c>
      <c r="I74" s="207">
        <f>IFERROR(__xludf.DUMMYFUNCTION("""COMPUTED_VALUE"""),44643.0)</f>
        <v>44643</v>
      </c>
      <c r="J74" s="208">
        <f>IFERROR(__xludf.DUMMYFUNCTION("""COMPUTED_VALUE"""),0.40497685185185184)</f>
        <v>0.4049768519</v>
      </c>
      <c r="K74" s="50"/>
      <c r="L74" s="6"/>
      <c r="M74" s="55"/>
      <c r="N74" s="55">
        <f>IFERROR(__xludf.DUMMYFUNCTION("""COMPUTED_VALUE"""),1.0)</f>
        <v>1</v>
      </c>
      <c r="O74" s="55" t="str">
        <f t="shared" si="3"/>
        <v/>
      </c>
      <c r="P74" s="209"/>
      <c r="Q74" s="75" t="b">
        <f>VLOOKUP($B74,'Run Reconcile'!B$2:P1679,15,FALSE)</f>
        <v>1</v>
      </c>
      <c r="R74" s="211" t="str">
        <f t="array" ref="R74">IF($Q74, INDEX('Run Reconcile'!A$2:A1679,MATCH(B74,'Run Reconcile'!B$2:B1679,0),1),IFERROR(0/0,""))</f>
        <v>RUN-COMB_2022-03-23_RFR-006</v>
      </c>
      <c r="S74" s="165" t="str">
        <f t="shared" ref="S74:T74" si="147">IF(COUNTIF(W$2:W1679, $A74) &gt; 0,TRUE,IFERROR(0/0,""))</f>
        <v/>
      </c>
      <c r="T74" s="165" t="str">
        <f t="shared" si="147"/>
        <v/>
      </c>
      <c r="U74" s="147" t="str">
        <f t="array" ref="U74">IF(ISBLANK($R74), IF($S74,VLOOKUP($B74+1,'RFR Data - preExcl'!$BF$2:$BG1679,2,FALSE),IF($T74,INDEX('RFR Data - preExcl'!$BF$2:$BG1679,MATCH($B74,'RFR Data - preExcl'!$BF$2:$BF1679,0)+1,2),VLOOKUP($B74,'RFR Data - preExcl'!$BF$2:$BG1679,2,FALSE))),IFERROR(0/0,""))</f>
        <v/>
      </c>
      <c r="V74" s="212" t="str">
        <f t="shared" si="5"/>
        <v>RUN-COMB_2022-03-23_RFR-006</v>
      </c>
      <c r="W74" s="51"/>
      <c r="X74" s="51"/>
      <c r="Y74" s="147" t="str">
        <f t="shared" ref="Y74:Z74" si="148">IF(_xlfn.ISFORMULA(S74),IFERROR(0/0,""),TRUE)</f>
        <v/>
      </c>
      <c r="Z74" s="147" t="str">
        <f t="shared" si="148"/>
        <v/>
      </c>
    </row>
    <row r="75">
      <c r="A75" s="6" t="str">
        <f>IFERROR(__xludf.DUMMYFUNCTION("""COMPUTED_VALUE"""),"FM3450")</f>
        <v>FM3450</v>
      </c>
      <c r="B75" s="206">
        <f>IFERROR(__xludf.DUMMYFUNCTION("""COMPUTED_VALUE"""),44643.0)</f>
        <v>44643</v>
      </c>
      <c r="C75" s="207">
        <f>IFERROR(__xludf.DUMMYFUNCTION("""COMPUTED_VALUE"""),0.3042592592592593)</f>
        <v>0.3042592593</v>
      </c>
      <c r="D75" s="50"/>
      <c r="E75" s="58"/>
      <c r="F75" s="58"/>
      <c r="G75" s="58" t="str">
        <f>IFERROR(__xludf.DUMMYFUNCTION("""COMPUTED_VALUE"""),"Negative")</f>
        <v>Negative</v>
      </c>
      <c r="H75" s="206" t="str">
        <f>IFERROR(__xludf.DUMMYFUNCTION("""COMPUTED_VALUE"""),"Negative")</f>
        <v>Negative</v>
      </c>
      <c r="I75" s="207">
        <f>IFERROR(__xludf.DUMMYFUNCTION("""COMPUTED_VALUE"""),44643.0)</f>
        <v>44643</v>
      </c>
      <c r="J75" s="208">
        <f>IFERROR(__xludf.DUMMYFUNCTION("""COMPUTED_VALUE"""),0.40498842592592593)</f>
        <v>0.4049884259</v>
      </c>
      <c r="K75" s="50"/>
      <c r="L75" s="6"/>
      <c r="M75" s="55"/>
      <c r="N75" s="55">
        <f>IFERROR(__xludf.DUMMYFUNCTION("""COMPUTED_VALUE"""),1.0)</f>
        <v>1</v>
      </c>
      <c r="O75" s="55" t="str">
        <f t="shared" si="3"/>
        <v/>
      </c>
      <c r="P75" s="209"/>
      <c r="Q75" s="75" t="b">
        <f>VLOOKUP($B75,'Run Reconcile'!B$2:P1679,15,FALSE)</f>
        <v>1</v>
      </c>
      <c r="R75" s="211" t="str">
        <f t="array" ref="R75">IF($Q75, INDEX('Run Reconcile'!A$2:A1679,MATCH(B75,'Run Reconcile'!B$2:B1679,0),1),IFERROR(0/0,""))</f>
        <v>RUN-COMB_2022-03-23_RFR-006</v>
      </c>
      <c r="S75" s="165" t="str">
        <f t="shared" ref="S75:T75" si="149">IF(COUNTIF(W$2:W1679, $A75) &gt; 0,TRUE,IFERROR(0/0,""))</f>
        <v/>
      </c>
      <c r="T75" s="165" t="str">
        <f t="shared" si="149"/>
        <v/>
      </c>
      <c r="U75" s="147" t="str">
        <f t="array" ref="U75">IF(ISBLANK($R75), IF($S75,VLOOKUP($B75+1,'RFR Data - preExcl'!$BF$2:$BG1679,2,FALSE),IF($T75,INDEX('RFR Data - preExcl'!$BF$2:$BG1679,MATCH($B75,'RFR Data - preExcl'!$BF$2:$BF1679,0)+1,2),VLOOKUP($B75,'RFR Data - preExcl'!$BF$2:$BG1679,2,FALSE))),IFERROR(0/0,""))</f>
        <v/>
      </c>
      <c r="V75" s="212" t="str">
        <f t="shared" si="5"/>
        <v>RUN-COMB_2022-03-23_RFR-006</v>
      </c>
      <c r="W75" s="51"/>
      <c r="X75" s="51"/>
      <c r="Y75" s="147" t="str">
        <f t="shared" ref="Y75:Z75" si="150">IF(_xlfn.ISFORMULA(S75),IFERROR(0/0,""),TRUE)</f>
        <v/>
      </c>
      <c r="Z75" s="147" t="str">
        <f t="shared" si="150"/>
        <v/>
      </c>
    </row>
    <row r="76">
      <c r="A76" s="6" t="str">
        <f>IFERROR(__xludf.DUMMYFUNCTION("""COMPUTED_VALUE"""),"FM3463")</f>
        <v>FM3463</v>
      </c>
      <c r="B76" s="206">
        <f>IFERROR(__xludf.DUMMYFUNCTION("""COMPUTED_VALUE"""),44643.0)</f>
        <v>44643</v>
      </c>
      <c r="C76" s="207">
        <f>IFERROR(__xludf.DUMMYFUNCTION("""COMPUTED_VALUE"""),0.30471064814814813)</f>
        <v>0.3047106481</v>
      </c>
      <c r="D76" s="50"/>
      <c r="E76" s="58"/>
      <c r="F76" s="58"/>
      <c r="G76" s="58" t="str">
        <f>IFERROR(__xludf.DUMMYFUNCTION("""COMPUTED_VALUE"""),"Negative")</f>
        <v>Negative</v>
      </c>
      <c r="H76" s="206" t="str">
        <f>IFERROR(__xludf.DUMMYFUNCTION("""COMPUTED_VALUE"""),"Negative")</f>
        <v>Negative</v>
      </c>
      <c r="I76" s="207">
        <f>IFERROR(__xludf.DUMMYFUNCTION("""COMPUTED_VALUE"""),44643.0)</f>
        <v>44643</v>
      </c>
      <c r="J76" s="208">
        <f>IFERROR(__xludf.DUMMYFUNCTION("""COMPUTED_VALUE"""),0.40498842592592593)</f>
        <v>0.4049884259</v>
      </c>
      <c r="K76" s="50"/>
      <c r="L76" s="6"/>
      <c r="M76" s="55"/>
      <c r="N76" s="55">
        <f>IFERROR(__xludf.DUMMYFUNCTION("""COMPUTED_VALUE"""),1.0)</f>
        <v>1</v>
      </c>
      <c r="O76" s="55" t="str">
        <f t="shared" si="3"/>
        <v/>
      </c>
      <c r="P76" s="209"/>
      <c r="Q76" s="75" t="b">
        <f>VLOOKUP($B76,'Run Reconcile'!B$2:P1679,15,FALSE)</f>
        <v>1</v>
      </c>
      <c r="R76" s="211" t="str">
        <f t="array" ref="R76">IF($Q76, INDEX('Run Reconcile'!A$2:A1679,MATCH(B76,'Run Reconcile'!B$2:B1679,0),1),IFERROR(0/0,""))</f>
        <v>RUN-COMB_2022-03-23_RFR-006</v>
      </c>
      <c r="S76" s="165" t="str">
        <f t="shared" ref="S76:T76" si="151">IF(COUNTIF(W$2:W1679, $A76) &gt; 0,TRUE,IFERROR(0/0,""))</f>
        <v/>
      </c>
      <c r="T76" s="165" t="str">
        <f t="shared" si="151"/>
        <v/>
      </c>
      <c r="U76" s="147" t="str">
        <f t="array" ref="U76">IF(ISBLANK($R76), IF($S76,VLOOKUP($B76+1,'RFR Data - preExcl'!$BF$2:$BG1679,2,FALSE),IF($T76,INDEX('RFR Data - preExcl'!$BF$2:$BG1679,MATCH($B76,'RFR Data - preExcl'!$BF$2:$BF1679,0)+1,2),VLOOKUP($B76,'RFR Data - preExcl'!$BF$2:$BG1679,2,FALSE))),IFERROR(0/0,""))</f>
        <v/>
      </c>
      <c r="V76" s="212" t="str">
        <f t="shared" si="5"/>
        <v>RUN-COMB_2022-03-23_RFR-006</v>
      </c>
      <c r="W76" s="51"/>
      <c r="X76" s="51"/>
      <c r="Y76" s="147" t="str">
        <f t="shared" ref="Y76:Z76" si="152">IF(_xlfn.ISFORMULA(S76),IFERROR(0/0,""),TRUE)</f>
        <v/>
      </c>
      <c r="Z76" s="147" t="str">
        <f t="shared" si="152"/>
        <v/>
      </c>
    </row>
    <row r="77">
      <c r="A77" s="6" t="str">
        <f>IFERROR(__xludf.DUMMYFUNCTION("""COMPUTED_VALUE"""),"FM3677")</f>
        <v>FM3677</v>
      </c>
      <c r="B77" s="206">
        <f>IFERROR(__xludf.DUMMYFUNCTION("""COMPUTED_VALUE"""),44643.0)</f>
        <v>44643</v>
      </c>
      <c r="C77" s="207">
        <f>IFERROR(__xludf.DUMMYFUNCTION("""COMPUTED_VALUE"""),0.30688657407407405)</f>
        <v>0.3068865741</v>
      </c>
      <c r="D77" s="50"/>
      <c r="E77" s="58"/>
      <c r="F77" s="58"/>
      <c r="G77" s="58" t="str">
        <f>IFERROR(__xludf.DUMMYFUNCTION("""COMPUTED_VALUE"""),"Negative")</f>
        <v>Negative</v>
      </c>
      <c r="H77" s="206" t="str">
        <f>IFERROR(__xludf.DUMMYFUNCTION("""COMPUTED_VALUE"""),"Negative")</f>
        <v>Negative</v>
      </c>
      <c r="I77" s="207">
        <f>IFERROR(__xludf.DUMMYFUNCTION("""COMPUTED_VALUE"""),44643.0)</f>
        <v>44643</v>
      </c>
      <c r="J77" s="208">
        <f>IFERROR(__xludf.DUMMYFUNCTION("""COMPUTED_VALUE"""),0.405)</f>
        <v>0.405</v>
      </c>
      <c r="K77" s="50"/>
      <c r="L77" s="6"/>
      <c r="M77" s="55"/>
      <c r="N77" s="55">
        <f>IFERROR(__xludf.DUMMYFUNCTION("""COMPUTED_VALUE"""),1.0)</f>
        <v>1</v>
      </c>
      <c r="O77" s="55" t="str">
        <f t="shared" si="3"/>
        <v/>
      </c>
      <c r="P77" s="209"/>
      <c r="Q77" s="75" t="b">
        <f>VLOOKUP($B77,'Run Reconcile'!B$2:P1679,15,FALSE)</f>
        <v>1</v>
      </c>
      <c r="R77" s="211" t="str">
        <f t="array" ref="R77">IF($Q77, INDEX('Run Reconcile'!A$2:A1679,MATCH(B77,'Run Reconcile'!B$2:B1679,0),1),IFERROR(0/0,""))</f>
        <v>RUN-COMB_2022-03-23_RFR-006</v>
      </c>
      <c r="S77" s="165" t="str">
        <f t="shared" ref="S77:T77" si="153">IF(COUNTIF(W$2:W1679, $A77) &gt; 0,TRUE,IFERROR(0/0,""))</f>
        <v/>
      </c>
      <c r="T77" s="165" t="str">
        <f t="shared" si="153"/>
        <v/>
      </c>
      <c r="U77" s="147" t="str">
        <f t="array" ref="U77">IF(ISBLANK($R77), IF($S77,VLOOKUP($B77+1,'RFR Data - preExcl'!$BF$2:$BG1679,2,FALSE),IF($T77,INDEX('RFR Data - preExcl'!$BF$2:$BG1679,MATCH($B77,'RFR Data - preExcl'!$BF$2:$BF1679,0)+1,2),VLOOKUP($B77,'RFR Data - preExcl'!$BF$2:$BG1679,2,FALSE))),IFERROR(0/0,""))</f>
        <v/>
      </c>
      <c r="V77" s="212" t="str">
        <f t="shared" si="5"/>
        <v>RUN-COMB_2022-03-23_RFR-006</v>
      </c>
      <c r="W77" s="51"/>
      <c r="X77" s="51"/>
      <c r="Y77" s="147" t="str">
        <f t="shared" ref="Y77:Z77" si="154">IF(_xlfn.ISFORMULA(S77),IFERROR(0/0,""),TRUE)</f>
        <v/>
      </c>
      <c r="Z77" s="147" t="str">
        <f t="shared" si="154"/>
        <v/>
      </c>
    </row>
    <row r="78">
      <c r="A78" s="6" t="str">
        <f>IFERROR(__xludf.DUMMYFUNCTION("""COMPUTED_VALUE"""),"FM3444")</f>
        <v>FM3444</v>
      </c>
      <c r="B78" s="206">
        <f>IFERROR(__xludf.DUMMYFUNCTION("""COMPUTED_VALUE"""),44643.0)</f>
        <v>44643</v>
      </c>
      <c r="C78" s="207">
        <f>IFERROR(__xludf.DUMMYFUNCTION("""COMPUTED_VALUE"""),0.3072685185185185)</f>
        <v>0.3072685185</v>
      </c>
      <c r="D78" s="50"/>
      <c r="E78" s="58"/>
      <c r="F78" s="58"/>
      <c r="G78" s="58" t="str">
        <f>IFERROR(__xludf.DUMMYFUNCTION("""COMPUTED_VALUE"""),"Negative")</f>
        <v>Negative</v>
      </c>
      <c r="H78" s="206" t="str">
        <f>IFERROR(__xludf.DUMMYFUNCTION("""COMPUTED_VALUE"""),"Negative")</f>
        <v>Negative</v>
      </c>
      <c r="I78" s="207">
        <f>IFERROR(__xludf.DUMMYFUNCTION("""COMPUTED_VALUE"""),44643.0)</f>
        <v>44643</v>
      </c>
      <c r="J78" s="208">
        <f>IFERROR(__xludf.DUMMYFUNCTION("""COMPUTED_VALUE"""),0.405)</f>
        <v>0.405</v>
      </c>
      <c r="K78" s="50"/>
      <c r="L78" s="6"/>
      <c r="M78" s="55"/>
      <c r="N78" s="55">
        <f>IFERROR(__xludf.DUMMYFUNCTION("""COMPUTED_VALUE"""),1.0)</f>
        <v>1</v>
      </c>
      <c r="O78" s="55" t="str">
        <f t="shared" si="3"/>
        <v/>
      </c>
      <c r="P78" s="209"/>
      <c r="Q78" s="75" t="b">
        <f>VLOOKUP($B78,'Run Reconcile'!B$2:P1679,15,FALSE)</f>
        <v>1</v>
      </c>
      <c r="R78" s="211" t="str">
        <f t="array" ref="R78">IF($Q78, INDEX('Run Reconcile'!A$2:A1679,MATCH(B78,'Run Reconcile'!B$2:B1679,0),1),IFERROR(0/0,""))</f>
        <v>RUN-COMB_2022-03-23_RFR-006</v>
      </c>
      <c r="S78" s="165" t="str">
        <f t="shared" ref="S78:T78" si="155">IF(COUNTIF(W$2:W1679, $A78) &gt; 0,TRUE,IFERROR(0/0,""))</f>
        <v/>
      </c>
      <c r="T78" s="165" t="str">
        <f t="shared" si="155"/>
        <v/>
      </c>
      <c r="U78" s="147" t="str">
        <f t="array" ref="U78">IF(ISBLANK($R78), IF($S78,VLOOKUP($B78+1,'RFR Data - preExcl'!$BF$2:$BG1679,2,FALSE),IF($T78,INDEX('RFR Data - preExcl'!$BF$2:$BG1679,MATCH($B78,'RFR Data - preExcl'!$BF$2:$BF1679,0)+1,2),VLOOKUP($B78,'RFR Data - preExcl'!$BF$2:$BG1679,2,FALSE))),IFERROR(0/0,""))</f>
        <v/>
      </c>
      <c r="V78" s="212" t="str">
        <f t="shared" si="5"/>
        <v>RUN-COMB_2022-03-23_RFR-006</v>
      </c>
      <c r="W78" s="51"/>
      <c r="X78" s="51"/>
      <c r="Y78" s="147" t="str">
        <f t="shared" ref="Y78:Z78" si="156">IF(_xlfn.ISFORMULA(S78),IFERROR(0/0,""),TRUE)</f>
        <v/>
      </c>
      <c r="Z78" s="147" t="str">
        <f t="shared" si="156"/>
        <v/>
      </c>
    </row>
    <row r="79">
      <c r="A79" s="6" t="str">
        <f>IFERROR(__xludf.DUMMYFUNCTION("""COMPUTED_VALUE"""),"FM3430")</f>
        <v>FM3430</v>
      </c>
      <c r="B79" s="206">
        <f>IFERROR(__xludf.DUMMYFUNCTION("""COMPUTED_VALUE"""),44643.0)</f>
        <v>44643</v>
      </c>
      <c r="C79" s="207">
        <f>IFERROR(__xludf.DUMMYFUNCTION("""COMPUTED_VALUE"""),0.30787037037037035)</f>
        <v>0.3078703704</v>
      </c>
      <c r="D79" s="50"/>
      <c r="E79" s="58"/>
      <c r="F79" s="58"/>
      <c r="G79" s="58" t="str">
        <f>IFERROR(__xludf.DUMMYFUNCTION("""COMPUTED_VALUE"""),"Negative")</f>
        <v>Negative</v>
      </c>
      <c r="H79" s="206" t="str">
        <f>IFERROR(__xludf.DUMMYFUNCTION("""COMPUTED_VALUE"""),"Negative")</f>
        <v>Negative</v>
      </c>
      <c r="I79" s="207">
        <f>IFERROR(__xludf.DUMMYFUNCTION("""COMPUTED_VALUE"""),44643.0)</f>
        <v>44643</v>
      </c>
      <c r="J79" s="208">
        <f>IFERROR(__xludf.DUMMYFUNCTION("""COMPUTED_VALUE"""),0.40501157407407407)</f>
        <v>0.4050115741</v>
      </c>
      <c r="K79" s="50"/>
      <c r="L79" s="6"/>
      <c r="M79" s="55"/>
      <c r="N79" s="55">
        <f>IFERROR(__xludf.DUMMYFUNCTION("""COMPUTED_VALUE"""),1.0)</f>
        <v>1</v>
      </c>
      <c r="O79" s="55" t="str">
        <f t="shared" si="3"/>
        <v/>
      </c>
      <c r="P79" s="209"/>
      <c r="Q79" s="75" t="b">
        <f>VLOOKUP($B79,'Run Reconcile'!B$2:P1679,15,FALSE)</f>
        <v>1</v>
      </c>
      <c r="R79" s="211" t="str">
        <f t="array" ref="R79">IF($Q79, INDEX('Run Reconcile'!A$2:A1679,MATCH(B79,'Run Reconcile'!B$2:B1679,0),1),IFERROR(0/0,""))</f>
        <v>RUN-COMB_2022-03-23_RFR-006</v>
      </c>
      <c r="S79" s="165" t="str">
        <f t="shared" ref="S79:T79" si="157">IF(COUNTIF(W$2:W1679, $A79) &gt; 0,TRUE,IFERROR(0/0,""))</f>
        <v/>
      </c>
      <c r="T79" s="165" t="str">
        <f t="shared" si="157"/>
        <v/>
      </c>
      <c r="U79" s="147" t="str">
        <f t="array" ref="U79">IF(ISBLANK($R79), IF($S79,VLOOKUP($B79+1,'RFR Data - preExcl'!$BF$2:$BG1679,2,FALSE),IF($T79,INDEX('RFR Data - preExcl'!$BF$2:$BG1679,MATCH($B79,'RFR Data - preExcl'!$BF$2:$BF1679,0)+1,2),VLOOKUP($B79,'RFR Data - preExcl'!$BF$2:$BG1679,2,FALSE))),IFERROR(0/0,""))</f>
        <v/>
      </c>
      <c r="V79" s="212" t="str">
        <f t="shared" si="5"/>
        <v>RUN-COMB_2022-03-23_RFR-006</v>
      </c>
      <c r="W79" s="51"/>
      <c r="X79" s="51"/>
      <c r="Y79" s="147" t="str">
        <f t="shared" ref="Y79:Z79" si="158">IF(_xlfn.ISFORMULA(S79),IFERROR(0/0,""),TRUE)</f>
        <v/>
      </c>
      <c r="Z79" s="147" t="str">
        <f t="shared" si="158"/>
        <v/>
      </c>
    </row>
    <row r="80">
      <c r="A80" s="6" t="str">
        <f>IFERROR(__xludf.DUMMYFUNCTION("""COMPUTED_VALUE"""),"FM3418")</f>
        <v>FM3418</v>
      </c>
      <c r="B80" s="206">
        <f>IFERROR(__xludf.DUMMYFUNCTION("""COMPUTED_VALUE"""),44643.0)</f>
        <v>44643</v>
      </c>
      <c r="C80" s="207">
        <f>IFERROR(__xludf.DUMMYFUNCTION("""COMPUTED_VALUE"""),0.30832175925925925)</f>
        <v>0.3083217593</v>
      </c>
      <c r="D80" s="50"/>
      <c r="E80" s="58"/>
      <c r="F80" s="58"/>
      <c r="G80" s="58" t="str">
        <f>IFERROR(__xludf.DUMMYFUNCTION("""COMPUTED_VALUE"""),"Negative")</f>
        <v>Negative</v>
      </c>
      <c r="H80" s="206" t="str">
        <f>IFERROR(__xludf.DUMMYFUNCTION("""COMPUTED_VALUE"""),"Negative")</f>
        <v>Negative</v>
      </c>
      <c r="I80" s="207">
        <f>IFERROR(__xludf.DUMMYFUNCTION("""COMPUTED_VALUE"""),44643.0)</f>
        <v>44643</v>
      </c>
      <c r="J80" s="208">
        <f>IFERROR(__xludf.DUMMYFUNCTION("""COMPUTED_VALUE"""),0.40501157407407407)</f>
        <v>0.4050115741</v>
      </c>
      <c r="K80" s="50"/>
      <c r="L80" s="6"/>
      <c r="M80" s="55"/>
      <c r="N80" s="55">
        <f>IFERROR(__xludf.DUMMYFUNCTION("""COMPUTED_VALUE"""),1.0)</f>
        <v>1</v>
      </c>
      <c r="O80" s="55" t="str">
        <f t="shared" si="3"/>
        <v/>
      </c>
      <c r="P80" s="209"/>
      <c r="Q80" s="75" t="b">
        <f>VLOOKUP($B80,'Run Reconcile'!B$2:P1679,15,FALSE)</f>
        <v>1</v>
      </c>
      <c r="R80" s="211" t="str">
        <f t="array" ref="R80">IF($Q80, INDEX('Run Reconcile'!A$2:A1679,MATCH(B80,'Run Reconcile'!B$2:B1679,0),1),IFERROR(0/0,""))</f>
        <v>RUN-COMB_2022-03-23_RFR-006</v>
      </c>
      <c r="S80" s="165" t="str">
        <f t="shared" ref="S80:T80" si="159">IF(COUNTIF(W$2:W1679, $A80) &gt; 0,TRUE,IFERROR(0/0,""))</f>
        <v/>
      </c>
      <c r="T80" s="165" t="str">
        <f t="shared" si="159"/>
        <v/>
      </c>
      <c r="U80" s="147" t="str">
        <f t="array" ref="U80">IF(ISBLANK($R80), IF($S80,VLOOKUP($B80+1,'RFR Data - preExcl'!$BF$2:$BG1679,2,FALSE),IF($T80,INDEX('RFR Data - preExcl'!$BF$2:$BG1679,MATCH($B80,'RFR Data - preExcl'!$BF$2:$BF1679,0)+1,2),VLOOKUP($B80,'RFR Data - preExcl'!$BF$2:$BG1679,2,FALSE))),IFERROR(0/0,""))</f>
        <v/>
      </c>
      <c r="V80" s="212" t="str">
        <f t="shared" si="5"/>
        <v>RUN-COMB_2022-03-23_RFR-006</v>
      </c>
      <c r="W80" s="51"/>
      <c r="X80" s="51"/>
      <c r="Y80" s="147" t="str">
        <f t="shared" ref="Y80:Z80" si="160">IF(_xlfn.ISFORMULA(S80),IFERROR(0/0,""),TRUE)</f>
        <v/>
      </c>
      <c r="Z80" s="147" t="str">
        <f t="shared" si="160"/>
        <v/>
      </c>
    </row>
    <row r="81">
      <c r="A81" s="6" t="str">
        <f>IFERROR(__xludf.DUMMYFUNCTION("""COMPUTED_VALUE"""),"FM3469")</f>
        <v>FM3469</v>
      </c>
      <c r="B81" s="206">
        <f>IFERROR(__xludf.DUMMYFUNCTION("""COMPUTED_VALUE"""),44643.0)</f>
        <v>44643</v>
      </c>
      <c r="C81" s="207">
        <f>IFERROR(__xludf.DUMMYFUNCTION("""COMPUTED_VALUE"""),0.30872685185185184)</f>
        <v>0.3087268519</v>
      </c>
      <c r="D81" s="50"/>
      <c r="E81" s="58"/>
      <c r="F81" s="58"/>
      <c r="G81" s="58" t="str">
        <f>IFERROR(__xludf.DUMMYFUNCTION("""COMPUTED_VALUE"""),"Negative")</f>
        <v>Negative</v>
      </c>
      <c r="H81" s="206" t="str">
        <f>IFERROR(__xludf.DUMMYFUNCTION("""COMPUTED_VALUE"""),"Negative")</f>
        <v>Negative</v>
      </c>
      <c r="I81" s="207">
        <f>IFERROR(__xludf.DUMMYFUNCTION("""COMPUTED_VALUE"""),44643.0)</f>
        <v>44643</v>
      </c>
      <c r="J81" s="208">
        <f>IFERROR(__xludf.DUMMYFUNCTION("""COMPUTED_VALUE"""),0.40502314814814816)</f>
        <v>0.4050231481</v>
      </c>
      <c r="K81" s="50"/>
      <c r="L81" s="6"/>
      <c r="M81" s="55"/>
      <c r="N81" s="55">
        <f>IFERROR(__xludf.DUMMYFUNCTION("""COMPUTED_VALUE"""),1.0)</f>
        <v>1</v>
      </c>
      <c r="O81" s="55" t="str">
        <f t="shared" si="3"/>
        <v/>
      </c>
      <c r="P81" s="209"/>
      <c r="Q81" s="75" t="b">
        <f>VLOOKUP($B81,'Run Reconcile'!B$2:P1679,15,FALSE)</f>
        <v>1</v>
      </c>
      <c r="R81" s="211" t="str">
        <f t="array" ref="R81">IF($Q81, INDEX('Run Reconcile'!A$2:A1679,MATCH(B81,'Run Reconcile'!B$2:B1679,0),1),IFERROR(0/0,""))</f>
        <v>RUN-COMB_2022-03-23_RFR-006</v>
      </c>
      <c r="S81" s="165" t="str">
        <f t="shared" ref="S81:T81" si="161">IF(COUNTIF(W$2:W1679, $A81) &gt; 0,TRUE,IFERROR(0/0,""))</f>
        <v/>
      </c>
      <c r="T81" s="165" t="str">
        <f t="shared" si="161"/>
        <v/>
      </c>
      <c r="U81" s="147" t="str">
        <f t="array" ref="U81">IF(ISBLANK($R81), IF($S81,VLOOKUP($B81+1,'RFR Data - preExcl'!$BF$2:$BG1679,2,FALSE),IF($T81,INDEX('RFR Data - preExcl'!$BF$2:$BG1679,MATCH($B81,'RFR Data - preExcl'!$BF$2:$BF1679,0)+1,2),VLOOKUP($B81,'RFR Data - preExcl'!$BF$2:$BG1679,2,FALSE))),IFERROR(0/0,""))</f>
        <v/>
      </c>
      <c r="V81" s="212" t="str">
        <f t="shared" si="5"/>
        <v>RUN-COMB_2022-03-23_RFR-006</v>
      </c>
      <c r="W81" s="51"/>
      <c r="X81" s="51"/>
      <c r="Y81" s="147" t="str">
        <f t="shared" ref="Y81:Z81" si="162">IF(_xlfn.ISFORMULA(S81),IFERROR(0/0,""),TRUE)</f>
        <v/>
      </c>
      <c r="Z81" s="147" t="str">
        <f t="shared" si="162"/>
        <v/>
      </c>
    </row>
    <row r="82">
      <c r="A82" s="6" t="str">
        <f>IFERROR(__xludf.DUMMYFUNCTION("""COMPUTED_VALUE"""),"FM3667")</f>
        <v>FM3667</v>
      </c>
      <c r="B82" s="206">
        <f>IFERROR(__xludf.DUMMYFUNCTION("""COMPUTED_VALUE"""),44643.0)</f>
        <v>44643</v>
      </c>
      <c r="C82" s="207">
        <f>IFERROR(__xludf.DUMMYFUNCTION("""COMPUTED_VALUE"""),0.3091203703703704)</f>
        <v>0.3091203704</v>
      </c>
      <c r="D82" s="50"/>
      <c r="E82" s="58"/>
      <c r="F82" s="58"/>
      <c r="G82" s="58" t="str">
        <f>IFERROR(__xludf.DUMMYFUNCTION("""COMPUTED_VALUE"""),"Negative")</f>
        <v>Negative</v>
      </c>
      <c r="H82" s="206" t="str">
        <f>IFERROR(__xludf.DUMMYFUNCTION("""COMPUTED_VALUE"""),"Negative")</f>
        <v>Negative</v>
      </c>
      <c r="I82" s="207">
        <f>IFERROR(__xludf.DUMMYFUNCTION("""COMPUTED_VALUE"""),44643.0)</f>
        <v>44643</v>
      </c>
      <c r="J82" s="208">
        <f>IFERROR(__xludf.DUMMYFUNCTION("""COMPUTED_VALUE"""),0.40502314814814816)</f>
        <v>0.4050231481</v>
      </c>
      <c r="K82" s="50"/>
      <c r="L82" s="6"/>
      <c r="M82" s="55"/>
      <c r="N82" s="55">
        <f>IFERROR(__xludf.DUMMYFUNCTION("""COMPUTED_VALUE"""),1.0)</f>
        <v>1</v>
      </c>
      <c r="O82" s="55" t="str">
        <f t="shared" si="3"/>
        <v/>
      </c>
      <c r="P82" s="209"/>
      <c r="Q82" s="75" t="b">
        <f>VLOOKUP($B82,'Run Reconcile'!B$2:P1679,15,FALSE)</f>
        <v>1</v>
      </c>
      <c r="R82" s="211" t="str">
        <f t="array" ref="R82">IF($Q82, INDEX('Run Reconcile'!A$2:A1679,MATCH(B82,'Run Reconcile'!B$2:B1679,0),1),IFERROR(0/0,""))</f>
        <v>RUN-COMB_2022-03-23_RFR-006</v>
      </c>
      <c r="S82" s="165" t="str">
        <f t="shared" ref="S82:T82" si="163">IF(COUNTIF(W$2:W1679, $A82) &gt; 0,TRUE,IFERROR(0/0,""))</f>
        <v/>
      </c>
      <c r="T82" s="165" t="str">
        <f t="shared" si="163"/>
        <v/>
      </c>
      <c r="U82" s="147" t="str">
        <f t="array" ref="U82">IF(ISBLANK($R82), IF($S82,VLOOKUP($B82+1,'RFR Data - preExcl'!$BF$2:$BG1679,2,FALSE),IF($T82,INDEX('RFR Data - preExcl'!$BF$2:$BG1679,MATCH($B82,'RFR Data - preExcl'!$BF$2:$BF1679,0)+1,2),VLOOKUP($B82,'RFR Data - preExcl'!$BF$2:$BG1679,2,FALSE))),IFERROR(0/0,""))</f>
        <v/>
      </c>
      <c r="V82" s="212" t="str">
        <f t="shared" si="5"/>
        <v>RUN-COMB_2022-03-23_RFR-006</v>
      </c>
      <c r="W82" s="51"/>
      <c r="X82" s="51"/>
      <c r="Y82" s="147" t="str">
        <f t="shared" ref="Y82:Z82" si="164">IF(_xlfn.ISFORMULA(S82),IFERROR(0/0,""),TRUE)</f>
        <v/>
      </c>
      <c r="Z82" s="147" t="str">
        <f t="shared" si="164"/>
        <v/>
      </c>
    </row>
    <row r="83">
      <c r="A83" s="6" t="str">
        <f>IFERROR(__xludf.DUMMYFUNCTION("""COMPUTED_VALUE"""),"FM3429")</f>
        <v>FM3429</v>
      </c>
      <c r="B83" s="206">
        <f>IFERROR(__xludf.DUMMYFUNCTION("""COMPUTED_VALUE"""),44643.0)</f>
        <v>44643</v>
      </c>
      <c r="C83" s="207">
        <f>IFERROR(__xludf.DUMMYFUNCTION("""COMPUTED_VALUE"""),0.30949074074074073)</f>
        <v>0.3094907407</v>
      </c>
      <c r="D83" s="50"/>
      <c r="E83" s="58"/>
      <c r="F83" s="58"/>
      <c r="G83" s="58" t="str">
        <f>IFERROR(__xludf.DUMMYFUNCTION("""COMPUTED_VALUE"""),"Negative")</f>
        <v>Negative</v>
      </c>
      <c r="H83" s="206" t="str">
        <f>IFERROR(__xludf.DUMMYFUNCTION("""COMPUTED_VALUE"""),"Negative")</f>
        <v>Negative</v>
      </c>
      <c r="I83" s="207">
        <f>IFERROR(__xludf.DUMMYFUNCTION("""COMPUTED_VALUE"""),44643.0)</f>
        <v>44643</v>
      </c>
      <c r="J83" s="208">
        <f>IFERROR(__xludf.DUMMYFUNCTION("""COMPUTED_VALUE"""),0.4050347222222222)</f>
        <v>0.4050347222</v>
      </c>
      <c r="K83" s="50"/>
      <c r="L83" s="6"/>
      <c r="M83" s="55"/>
      <c r="N83" s="55">
        <f>IFERROR(__xludf.DUMMYFUNCTION("""COMPUTED_VALUE"""),1.0)</f>
        <v>1</v>
      </c>
      <c r="O83" s="55" t="str">
        <f t="shared" si="3"/>
        <v/>
      </c>
      <c r="P83" s="209"/>
      <c r="Q83" s="75" t="b">
        <f>VLOOKUP($B83,'Run Reconcile'!B$2:P1679,15,FALSE)</f>
        <v>1</v>
      </c>
      <c r="R83" s="211" t="str">
        <f t="array" ref="R83">IF($Q83, INDEX('Run Reconcile'!A$2:A1679,MATCH(B83,'Run Reconcile'!B$2:B1679,0),1),IFERROR(0/0,""))</f>
        <v>RUN-COMB_2022-03-23_RFR-006</v>
      </c>
      <c r="S83" s="165" t="str">
        <f t="shared" ref="S83:T83" si="165">IF(COUNTIF(W$2:W1679, $A83) &gt; 0,TRUE,IFERROR(0/0,""))</f>
        <v/>
      </c>
      <c r="T83" s="165" t="str">
        <f t="shared" si="165"/>
        <v/>
      </c>
      <c r="U83" s="147" t="str">
        <f t="array" ref="U83">IF(ISBLANK($R83), IF($S83,VLOOKUP($B83+1,'RFR Data - preExcl'!$BF$2:$BG1679,2,FALSE),IF($T83,INDEX('RFR Data - preExcl'!$BF$2:$BG1679,MATCH($B83,'RFR Data - preExcl'!$BF$2:$BF1679,0)+1,2),VLOOKUP($B83,'RFR Data - preExcl'!$BF$2:$BG1679,2,FALSE))),IFERROR(0/0,""))</f>
        <v/>
      </c>
      <c r="V83" s="212" t="str">
        <f t="shared" si="5"/>
        <v>RUN-COMB_2022-03-23_RFR-006</v>
      </c>
      <c r="W83" s="51"/>
      <c r="X83" s="51"/>
      <c r="Y83" s="147" t="str">
        <f t="shared" ref="Y83:Z83" si="166">IF(_xlfn.ISFORMULA(S83),IFERROR(0/0,""),TRUE)</f>
        <v/>
      </c>
      <c r="Z83" s="147" t="str">
        <f t="shared" si="166"/>
        <v/>
      </c>
    </row>
    <row r="84">
      <c r="A84" s="6" t="str">
        <f>IFERROR(__xludf.DUMMYFUNCTION("""COMPUTED_VALUE"""),"FM3665")</f>
        <v>FM3665</v>
      </c>
      <c r="B84" s="206">
        <f>IFERROR(__xludf.DUMMYFUNCTION("""COMPUTED_VALUE"""),44643.0)</f>
        <v>44643</v>
      </c>
      <c r="C84" s="207">
        <f>IFERROR(__xludf.DUMMYFUNCTION("""COMPUTED_VALUE"""),0.3101041666666667)</f>
        <v>0.3101041667</v>
      </c>
      <c r="D84" s="50"/>
      <c r="E84" s="58"/>
      <c r="F84" s="58"/>
      <c r="G84" s="58" t="str">
        <f>IFERROR(__xludf.DUMMYFUNCTION("""COMPUTED_VALUE"""),"Negative")</f>
        <v>Negative</v>
      </c>
      <c r="H84" s="206" t="str">
        <f>IFERROR(__xludf.DUMMYFUNCTION("""COMPUTED_VALUE"""),"Negative")</f>
        <v>Negative</v>
      </c>
      <c r="I84" s="207">
        <f>IFERROR(__xludf.DUMMYFUNCTION("""COMPUTED_VALUE"""),44643.0)</f>
        <v>44643</v>
      </c>
      <c r="J84" s="208">
        <f>IFERROR(__xludf.DUMMYFUNCTION("""COMPUTED_VALUE"""),0.4050462962962963)</f>
        <v>0.4050462963</v>
      </c>
      <c r="K84" s="50"/>
      <c r="L84" s="6"/>
      <c r="M84" s="55"/>
      <c r="N84" s="55">
        <f>IFERROR(__xludf.DUMMYFUNCTION("""COMPUTED_VALUE"""),1.0)</f>
        <v>1</v>
      </c>
      <c r="O84" s="55" t="str">
        <f t="shared" si="3"/>
        <v/>
      </c>
      <c r="P84" s="209"/>
      <c r="Q84" s="75" t="b">
        <f>VLOOKUP($B84,'Run Reconcile'!B$2:P1679,15,FALSE)</f>
        <v>1</v>
      </c>
      <c r="R84" s="211" t="str">
        <f t="array" ref="R84">IF($Q84, INDEX('Run Reconcile'!A$2:A1679,MATCH(B84,'Run Reconcile'!B$2:B1679,0),1),IFERROR(0/0,""))</f>
        <v>RUN-COMB_2022-03-23_RFR-006</v>
      </c>
      <c r="S84" s="165" t="str">
        <f t="shared" ref="S84:T84" si="167">IF(COUNTIF(W$2:W1679, $A84) &gt; 0,TRUE,IFERROR(0/0,""))</f>
        <v/>
      </c>
      <c r="T84" s="165" t="str">
        <f t="shared" si="167"/>
        <v/>
      </c>
      <c r="U84" s="147" t="str">
        <f t="array" ref="U84">IF(ISBLANK($R84), IF($S84,VLOOKUP($B84+1,'RFR Data - preExcl'!$BF$2:$BG1679,2,FALSE),IF($T84,INDEX('RFR Data - preExcl'!$BF$2:$BG1679,MATCH($B84,'RFR Data - preExcl'!$BF$2:$BF1679,0)+1,2),VLOOKUP($B84,'RFR Data - preExcl'!$BF$2:$BG1679,2,FALSE))),IFERROR(0/0,""))</f>
        <v/>
      </c>
      <c r="V84" s="212" t="str">
        <f t="shared" si="5"/>
        <v>RUN-COMB_2022-03-23_RFR-006</v>
      </c>
      <c r="W84" s="51"/>
      <c r="X84" s="51"/>
      <c r="Y84" s="147" t="str">
        <f t="shared" ref="Y84:Z84" si="168">IF(_xlfn.ISFORMULA(S84),IFERROR(0/0,""),TRUE)</f>
        <v/>
      </c>
      <c r="Z84" s="147" t="str">
        <f t="shared" si="168"/>
        <v/>
      </c>
    </row>
    <row r="85">
      <c r="A85" s="6" t="str">
        <f>IFERROR(__xludf.DUMMYFUNCTION("""COMPUTED_VALUE"""),"FM3404")</f>
        <v>FM3404</v>
      </c>
      <c r="B85" s="206">
        <f>IFERROR(__xludf.DUMMYFUNCTION("""COMPUTED_VALUE"""),44643.0)</f>
        <v>44643</v>
      </c>
      <c r="C85" s="207">
        <f>IFERROR(__xludf.DUMMYFUNCTION("""COMPUTED_VALUE"""),0.3106712962962963)</f>
        <v>0.3106712963</v>
      </c>
      <c r="D85" s="50"/>
      <c r="E85" s="58"/>
      <c r="F85" s="58"/>
      <c r="G85" s="58" t="str">
        <f>IFERROR(__xludf.DUMMYFUNCTION("""COMPUTED_VALUE"""),"Negative")</f>
        <v>Negative</v>
      </c>
      <c r="H85" s="206" t="str">
        <f>IFERROR(__xludf.DUMMYFUNCTION("""COMPUTED_VALUE"""),"Negative")</f>
        <v>Negative</v>
      </c>
      <c r="I85" s="207">
        <f>IFERROR(__xludf.DUMMYFUNCTION("""COMPUTED_VALUE"""),44643.0)</f>
        <v>44643</v>
      </c>
      <c r="J85" s="208">
        <f>IFERROR(__xludf.DUMMYFUNCTION("""COMPUTED_VALUE"""),0.4050462962962963)</f>
        <v>0.4050462963</v>
      </c>
      <c r="K85" s="50"/>
      <c r="L85" s="6"/>
      <c r="M85" s="55"/>
      <c r="N85" s="55">
        <f>IFERROR(__xludf.DUMMYFUNCTION("""COMPUTED_VALUE"""),1.0)</f>
        <v>1</v>
      </c>
      <c r="O85" s="55" t="str">
        <f t="shared" si="3"/>
        <v/>
      </c>
      <c r="P85" s="209"/>
      <c r="Q85" s="75" t="b">
        <f>VLOOKUP($B85,'Run Reconcile'!B$2:P1679,15,FALSE)</f>
        <v>1</v>
      </c>
      <c r="R85" s="211" t="str">
        <f t="array" ref="R85">IF($Q85, INDEX('Run Reconcile'!A$2:A1679,MATCH(B85,'Run Reconcile'!B$2:B1679,0),1),IFERROR(0/0,""))</f>
        <v>RUN-COMB_2022-03-23_RFR-006</v>
      </c>
      <c r="S85" s="165" t="str">
        <f t="shared" ref="S85:T85" si="169">IF(COUNTIF(W$2:W1679, $A85) &gt; 0,TRUE,IFERROR(0/0,""))</f>
        <v/>
      </c>
      <c r="T85" s="165" t="str">
        <f t="shared" si="169"/>
        <v/>
      </c>
      <c r="U85" s="147" t="str">
        <f t="array" ref="U85">IF(ISBLANK($R85), IF($S85,VLOOKUP($B85+1,'RFR Data - preExcl'!$BF$2:$BG1679,2,FALSE),IF($T85,INDEX('RFR Data - preExcl'!$BF$2:$BG1679,MATCH($B85,'RFR Data - preExcl'!$BF$2:$BF1679,0)+1,2),VLOOKUP($B85,'RFR Data - preExcl'!$BF$2:$BG1679,2,FALSE))),IFERROR(0/0,""))</f>
        <v/>
      </c>
      <c r="V85" s="212" t="str">
        <f t="shared" si="5"/>
        <v>RUN-COMB_2022-03-23_RFR-006</v>
      </c>
      <c r="W85" s="51"/>
      <c r="X85" s="51"/>
      <c r="Y85" s="147" t="str">
        <f t="shared" ref="Y85:Z85" si="170">IF(_xlfn.ISFORMULA(S85),IFERROR(0/0,""),TRUE)</f>
        <v/>
      </c>
      <c r="Z85" s="147" t="str">
        <f t="shared" si="170"/>
        <v/>
      </c>
    </row>
    <row r="86">
      <c r="A86" s="6" t="str">
        <f>IFERROR(__xludf.DUMMYFUNCTION("""COMPUTED_VALUE"""),"FM3435")</f>
        <v>FM3435</v>
      </c>
      <c r="B86" s="206">
        <f>IFERROR(__xludf.DUMMYFUNCTION("""COMPUTED_VALUE"""),44643.0)</f>
        <v>44643</v>
      </c>
      <c r="C86" s="207">
        <f>IFERROR(__xludf.DUMMYFUNCTION("""COMPUTED_VALUE"""),0.3111921296296296)</f>
        <v>0.3111921296</v>
      </c>
      <c r="D86" s="50"/>
      <c r="E86" s="58"/>
      <c r="F86" s="58"/>
      <c r="G86" s="58" t="str">
        <f>IFERROR(__xludf.DUMMYFUNCTION("""COMPUTED_VALUE"""),"Negative")</f>
        <v>Negative</v>
      </c>
      <c r="H86" s="206" t="str">
        <f>IFERROR(__xludf.DUMMYFUNCTION("""COMPUTED_VALUE"""),"Negative")</f>
        <v>Negative</v>
      </c>
      <c r="I86" s="207">
        <f>IFERROR(__xludf.DUMMYFUNCTION("""COMPUTED_VALUE"""),44643.0)</f>
        <v>44643</v>
      </c>
      <c r="J86" s="208">
        <f>IFERROR(__xludf.DUMMYFUNCTION("""COMPUTED_VALUE"""),0.4050578703703704)</f>
        <v>0.4050578704</v>
      </c>
      <c r="K86" s="50"/>
      <c r="L86" s="6"/>
      <c r="M86" s="55"/>
      <c r="N86" s="55">
        <f>IFERROR(__xludf.DUMMYFUNCTION("""COMPUTED_VALUE"""),1.0)</f>
        <v>1</v>
      </c>
      <c r="O86" s="55" t="str">
        <f t="shared" si="3"/>
        <v/>
      </c>
      <c r="P86" s="209"/>
      <c r="Q86" s="75" t="b">
        <f>VLOOKUP($B86,'Run Reconcile'!B$2:P1679,15,FALSE)</f>
        <v>1</v>
      </c>
      <c r="R86" s="211" t="str">
        <f t="array" ref="R86">IF($Q86, INDEX('Run Reconcile'!A$2:A1679,MATCH(B86,'Run Reconcile'!B$2:B1679,0),1),IFERROR(0/0,""))</f>
        <v>RUN-COMB_2022-03-23_RFR-006</v>
      </c>
      <c r="S86" s="165" t="str">
        <f t="shared" ref="S86:T86" si="171">IF(COUNTIF(W$2:W1679, $A86) &gt; 0,TRUE,IFERROR(0/0,""))</f>
        <v/>
      </c>
      <c r="T86" s="165" t="str">
        <f t="shared" si="171"/>
        <v/>
      </c>
      <c r="U86" s="147" t="str">
        <f t="array" ref="U86">IF(ISBLANK($R86), IF($S86,VLOOKUP($B86+1,'RFR Data - preExcl'!$BF$2:$BG1679,2,FALSE),IF($T86,INDEX('RFR Data - preExcl'!$BF$2:$BG1679,MATCH($B86,'RFR Data - preExcl'!$BF$2:$BF1679,0)+1,2),VLOOKUP($B86,'RFR Data - preExcl'!$BF$2:$BG1679,2,FALSE))),IFERROR(0/0,""))</f>
        <v/>
      </c>
      <c r="V86" s="212" t="str">
        <f t="shared" si="5"/>
        <v>RUN-COMB_2022-03-23_RFR-006</v>
      </c>
      <c r="W86" s="51"/>
      <c r="X86" s="51"/>
      <c r="Y86" s="147" t="str">
        <f t="shared" ref="Y86:Z86" si="172">IF(_xlfn.ISFORMULA(S86),IFERROR(0/0,""),TRUE)</f>
        <v/>
      </c>
      <c r="Z86" s="147" t="str">
        <f t="shared" si="172"/>
        <v/>
      </c>
    </row>
    <row r="87">
      <c r="A87" s="6" t="str">
        <f>IFERROR(__xludf.DUMMYFUNCTION("""COMPUTED_VALUE"""),"FM3472")</f>
        <v>FM3472</v>
      </c>
      <c r="B87" s="206">
        <f>IFERROR(__xludf.DUMMYFUNCTION("""COMPUTED_VALUE"""),44643.0)</f>
        <v>44643</v>
      </c>
      <c r="C87" s="207">
        <f>IFERROR(__xludf.DUMMYFUNCTION("""COMPUTED_VALUE"""),0.3117476851851852)</f>
        <v>0.3117476852</v>
      </c>
      <c r="D87" s="50"/>
      <c r="E87" s="58"/>
      <c r="F87" s="58"/>
      <c r="G87" s="58" t="str">
        <f>IFERROR(__xludf.DUMMYFUNCTION("""COMPUTED_VALUE"""),"Negative")</f>
        <v>Negative</v>
      </c>
      <c r="H87" s="206" t="str">
        <f>IFERROR(__xludf.DUMMYFUNCTION("""COMPUTED_VALUE"""),"Negative")</f>
        <v>Negative</v>
      </c>
      <c r="I87" s="207">
        <f>IFERROR(__xludf.DUMMYFUNCTION("""COMPUTED_VALUE"""),44643.0)</f>
        <v>44643</v>
      </c>
      <c r="J87" s="208">
        <f>IFERROR(__xludf.DUMMYFUNCTION("""COMPUTED_VALUE"""),0.4050578703703704)</f>
        <v>0.4050578704</v>
      </c>
      <c r="K87" s="50"/>
      <c r="L87" s="6"/>
      <c r="M87" s="55"/>
      <c r="N87" s="55">
        <f>IFERROR(__xludf.DUMMYFUNCTION("""COMPUTED_VALUE"""),1.0)</f>
        <v>1</v>
      </c>
      <c r="O87" s="55" t="str">
        <f t="shared" si="3"/>
        <v/>
      </c>
      <c r="P87" s="209"/>
      <c r="Q87" s="75" t="b">
        <f>VLOOKUP($B87,'Run Reconcile'!B$2:P1679,15,FALSE)</f>
        <v>1</v>
      </c>
      <c r="R87" s="211" t="str">
        <f t="array" ref="R87">IF($Q87, INDEX('Run Reconcile'!A$2:A1679,MATCH(B87,'Run Reconcile'!B$2:B1679,0),1),IFERROR(0/0,""))</f>
        <v>RUN-COMB_2022-03-23_RFR-006</v>
      </c>
      <c r="S87" s="165" t="str">
        <f t="shared" ref="S87:T87" si="173">IF(COUNTIF(W$2:W1679, $A87) &gt; 0,TRUE,IFERROR(0/0,""))</f>
        <v/>
      </c>
      <c r="T87" s="165" t="str">
        <f t="shared" si="173"/>
        <v/>
      </c>
      <c r="U87" s="147" t="str">
        <f t="array" ref="U87">IF(ISBLANK($R87), IF($S87,VLOOKUP($B87+1,'RFR Data - preExcl'!$BF$2:$BG1679,2,FALSE),IF($T87,INDEX('RFR Data - preExcl'!$BF$2:$BG1679,MATCH($B87,'RFR Data - preExcl'!$BF$2:$BF1679,0)+1,2),VLOOKUP($B87,'RFR Data - preExcl'!$BF$2:$BG1679,2,FALSE))),IFERROR(0/0,""))</f>
        <v/>
      </c>
      <c r="V87" s="212" t="str">
        <f t="shared" si="5"/>
        <v>RUN-COMB_2022-03-23_RFR-006</v>
      </c>
      <c r="W87" s="51"/>
      <c r="X87" s="51"/>
      <c r="Y87" s="147" t="str">
        <f t="shared" ref="Y87:Z87" si="174">IF(_xlfn.ISFORMULA(S87),IFERROR(0/0,""),TRUE)</f>
        <v/>
      </c>
      <c r="Z87" s="147" t="str">
        <f t="shared" si="174"/>
        <v/>
      </c>
    </row>
    <row r="88">
      <c r="A88" s="6" t="str">
        <f>IFERROR(__xludf.DUMMYFUNCTION("""COMPUTED_VALUE"""),"FM3408")</f>
        <v>FM3408</v>
      </c>
      <c r="B88" s="206">
        <f>IFERROR(__xludf.DUMMYFUNCTION("""COMPUTED_VALUE"""),44643.0)</f>
        <v>44643</v>
      </c>
      <c r="C88" s="207">
        <f>IFERROR(__xludf.DUMMYFUNCTION("""COMPUTED_VALUE"""),0.3122337962962963)</f>
        <v>0.3122337963</v>
      </c>
      <c r="D88" s="50"/>
      <c r="E88" s="58"/>
      <c r="F88" s="58"/>
      <c r="G88" s="58" t="str">
        <f>IFERROR(__xludf.DUMMYFUNCTION("""COMPUTED_VALUE"""),"Negative")</f>
        <v>Negative</v>
      </c>
      <c r="H88" s="206" t="str">
        <f>IFERROR(__xludf.DUMMYFUNCTION("""COMPUTED_VALUE"""),"Negative")</f>
        <v>Negative</v>
      </c>
      <c r="I88" s="207">
        <f>IFERROR(__xludf.DUMMYFUNCTION("""COMPUTED_VALUE"""),44643.0)</f>
        <v>44643</v>
      </c>
      <c r="J88" s="208">
        <f>IFERROR(__xludf.DUMMYFUNCTION("""COMPUTED_VALUE"""),0.4050694444444444)</f>
        <v>0.4050694444</v>
      </c>
      <c r="K88" s="50"/>
      <c r="L88" s="6"/>
      <c r="M88" s="55"/>
      <c r="N88" s="55">
        <f>IFERROR(__xludf.DUMMYFUNCTION("""COMPUTED_VALUE"""),1.0)</f>
        <v>1</v>
      </c>
      <c r="O88" s="55" t="str">
        <f t="shared" si="3"/>
        <v/>
      </c>
      <c r="P88" s="209"/>
      <c r="Q88" s="75" t="b">
        <f>VLOOKUP($B88,'Run Reconcile'!B$2:P1679,15,FALSE)</f>
        <v>1</v>
      </c>
      <c r="R88" s="211" t="str">
        <f t="array" ref="R88">IF($Q88, INDEX('Run Reconcile'!A$2:A1679,MATCH(B88,'Run Reconcile'!B$2:B1679,0),1),IFERROR(0/0,""))</f>
        <v>RUN-COMB_2022-03-23_RFR-006</v>
      </c>
      <c r="S88" s="165" t="str">
        <f t="shared" ref="S88:T88" si="175">IF(COUNTIF(W$2:W1679, $A88) &gt; 0,TRUE,IFERROR(0/0,""))</f>
        <v/>
      </c>
      <c r="T88" s="165" t="str">
        <f t="shared" si="175"/>
        <v/>
      </c>
      <c r="U88" s="147" t="str">
        <f t="array" ref="U88">IF(ISBLANK($R88), IF($S88,VLOOKUP($B88+1,'RFR Data - preExcl'!$BF$2:$BG1679,2,FALSE),IF($T88,INDEX('RFR Data - preExcl'!$BF$2:$BG1679,MATCH($B88,'RFR Data - preExcl'!$BF$2:$BF1679,0)+1,2),VLOOKUP($B88,'RFR Data - preExcl'!$BF$2:$BG1679,2,FALSE))),IFERROR(0/0,""))</f>
        <v/>
      </c>
      <c r="V88" s="212" t="str">
        <f t="shared" si="5"/>
        <v>RUN-COMB_2022-03-23_RFR-006</v>
      </c>
      <c r="W88" s="51"/>
      <c r="X88" s="51"/>
      <c r="Y88" s="147" t="str">
        <f t="shared" ref="Y88:Z88" si="176">IF(_xlfn.ISFORMULA(S88),IFERROR(0/0,""),TRUE)</f>
        <v/>
      </c>
      <c r="Z88" s="147" t="str">
        <f t="shared" si="176"/>
        <v/>
      </c>
    </row>
    <row r="89">
      <c r="A89" s="6" t="str">
        <f>IFERROR(__xludf.DUMMYFUNCTION("""COMPUTED_VALUE"""),"FM3666")</f>
        <v>FM3666</v>
      </c>
      <c r="B89" s="206">
        <f>IFERROR(__xludf.DUMMYFUNCTION("""COMPUTED_VALUE"""),44643.0)</f>
        <v>44643</v>
      </c>
      <c r="C89" s="207">
        <f>IFERROR(__xludf.DUMMYFUNCTION("""COMPUTED_VALUE"""),0.3128356481481481)</f>
        <v>0.3128356481</v>
      </c>
      <c r="D89" s="50"/>
      <c r="E89" s="58"/>
      <c r="F89" s="58"/>
      <c r="G89" s="58" t="str">
        <f>IFERROR(__xludf.DUMMYFUNCTION("""COMPUTED_VALUE"""),"Negative")</f>
        <v>Negative</v>
      </c>
      <c r="H89" s="206" t="str">
        <f>IFERROR(__xludf.DUMMYFUNCTION("""COMPUTED_VALUE"""),"Negative")</f>
        <v>Negative</v>
      </c>
      <c r="I89" s="207">
        <f>IFERROR(__xludf.DUMMYFUNCTION("""COMPUTED_VALUE"""),44643.0)</f>
        <v>44643</v>
      </c>
      <c r="J89" s="208">
        <f>IFERROR(__xludf.DUMMYFUNCTION("""COMPUTED_VALUE"""),0.4050694444444444)</f>
        <v>0.4050694444</v>
      </c>
      <c r="K89" s="50"/>
      <c r="L89" s="6"/>
      <c r="M89" s="55"/>
      <c r="N89" s="55">
        <f>IFERROR(__xludf.DUMMYFUNCTION("""COMPUTED_VALUE"""),1.0)</f>
        <v>1</v>
      </c>
      <c r="O89" s="55" t="str">
        <f t="shared" si="3"/>
        <v/>
      </c>
      <c r="P89" s="209"/>
      <c r="Q89" s="75" t="b">
        <f>VLOOKUP($B89,'Run Reconcile'!B$2:P1679,15,FALSE)</f>
        <v>1</v>
      </c>
      <c r="R89" s="211" t="str">
        <f t="array" ref="R89">IF($Q89, INDEX('Run Reconcile'!A$2:A1679,MATCH(B89,'Run Reconcile'!B$2:B1679,0),1),IFERROR(0/0,""))</f>
        <v>RUN-COMB_2022-03-23_RFR-006</v>
      </c>
      <c r="S89" s="165" t="str">
        <f t="shared" ref="S89:T89" si="177">IF(COUNTIF(W$2:W1679, $A89) &gt; 0,TRUE,IFERROR(0/0,""))</f>
        <v/>
      </c>
      <c r="T89" s="165" t="str">
        <f t="shared" si="177"/>
        <v/>
      </c>
      <c r="U89" s="147" t="str">
        <f t="array" ref="U89">IF(ISBLANK($R89), IF($S89,VLOOKUP($B89+1,'RFR Data - preExcl'!$BF$2:$BG1679,2,FALSE),IF($T89,INDEX('RFR Data - preExcl'!$BF$2:$BG1679,MATCH($B89,'RFR Data - preExcl'!$BF$2:$BF1679,0)+1,2),VLOOKUP($B89,'RFR Data - preExcl'!$BF$2:$BG1679,2,FALSE))),IFERROR(0/0,""))</f>
        <v/>
      </c>
      <c r="V89" s="212" t="str">
        <f t="shared" si="5"/>
        <v>RUN-COMB_2022-03-23_RFR-006</v>
      </c>
      <c r="W89" s="51"/>
      <c r="X89" s="51"/>
      <c r="Y89" s="147" t="str">
        <f t="shared" ref="Y89:Z89" si="178">IF(_xlfn.ISFORMULA(S89),IFERROR(0/0,""),TRUE)</f>
        <v/>
      </c>
      <c r="Z89" s="147" t="str">
        <f t="shared" si="178"/>
        <v/>
      </c>
    </row>
    <row r="90">
      <c r="A90" s="6" t="str">
        <f>IFERROR(__xludf.DUMMYFUNCTION("""COMPUTED_VALUE"""),"FM3414")</f>
        <v>FM3414</v>
      </c>
      <c r="B90" s="206">
        <f>IFERROR(__xludf.DUMMYFUNCTION("""COMPUTED_VALUE"""),44643.0)</f>
        <v>44643</v>
      </c>
      <c r="C90" s="207">
        <f>IFERROR(__xludf.DUMMYFUNCTION("""COMPUTED_VALUE"""),0.3132986111111111)</f>
        <v>0.3132986111</v>
      </c>
      <c r="D90" s="50"/>
      <c r="E90" s="58"/>
      <c r="F90" s="58"/>
      <c r="G90" s="58" t="str">
        <f>IFERROR(__xludf.DUMMYFUNCTION("""COMPUTED_VALUE"""),"Negative")</f>
        <v>Negative</v>
      </c>
      <c r="H90" s="206" t="str">
        <f>IFERROR(__xludf.DUMMYFUNCTION("""COMPUTED_VALUE"""),"Negative")</f>
        <v>Negative</v>
      </c>
      <c r="I90" s="207">
        <f>IFERROR(__xludf.DUMMYFUNCTION("""COMPUTED_VALUE"""),44643.0)</f>
        <v>44643</v>
      </c>
      <c r="J90" s="208">
        <f>IFERROR(__xludf.DUMMYFUNCTION("""COMPUTED_VALUE"""),0.4050694444444444)</f>
        <v>0.4050694444</v>
      </c>
      <c r="K90" s="50"/>
      <c r="L90" s="6"/>
      <c r="M90" s="55"/>
      <c r="N90" s="55">
        <f>IFERROR(__xludf.DUMMYFUNCTION("""COMPUTED_VALUE"""),1.0)</f>
        <v>1</v>
      </c>
      <c r="O90" s="55" t="str">
        <f t="shared" si="3"/>
        <v/>
      </c>
      <c r="P90" s="209"/>
      <c r="Q90" s="75" t="b">
        <f>VLOOKUP($B90,'Run Reconcile'!B$2:P1679,15,FALSE)</f>
        <v>1</v>
      </c>
      <c r="R90" s="211" t="str">
        <f t="array" ref="R90">IF($Q90, INDEX('Run Reconcile'!A$2:A1679,MATCH(B90,'Run Reconcile'!B$2:B1679,0),1),IFERROR(0/0,""))</f>
        <v>RUN-COMB_2022-03-23_RFR-006</v>
      </c>
      <c r="S90" s="165" t="str">
        <f t="shared" ref="S90:T90" si="179">IF(COUNTIF(W$2:W1679, $A90) &gt; 0,TRUE,IFERROR(0/0,""))</f>
        <v/>
      </c>
      <c r="T90" s="165" t="str">
        <f t="shared" si="179"/>
        <v/>
      </c>
      <c r="U90" s="147" t="str">
        <f t="array" ref="U90">IF(ISBLANK($R90), IF($S90,VLOOKUP($B90+1,'RFR Data - preExcl'!$BF$2:$BG1679,2,FALSE),IF($T90,INDEX('RFR Data - preExcl'!$BF$2:$BG1679,MATCH($B90,'RFR Data - preExcl'!$BF$2:$BF1679,0)+1,2),VLOOKUP($B90,'RFR Data - preExcl'!$BF$2:$BG1679,2,FALSE))),IFERROR(0/0,""))</f>
        <v/>
      </c>
      <c r="V90" s="212" t="str">
        <f t="shared" si="5"/>
        <v>RUN-COMB_2022-03-23_RFR-006</v>
      </c>
      <c r="W90" s="51"/>
      <c r="X90" s="51"/>
      <c r="Y90" s="147" t="str">
        <f t="shared" ref="Y90:Z90" si="180">IF(_xlfn.ISFORMULA(S90),IFERROR(0/0,""),TRUE)</f>
        <v/>
      </c>
      <c r="Z90" s="147" t="str">
        <f t="shared" si="180"/>
        <v/>
      </c>
    </row>
    <row r="91">
      <c r="A91" s="6" t="str">
        <f>IFERROR(__xludf.DUMMYFUNCTION("""COMPUTED_VALUE"""),"FM3468")</f>
        <v>FM3468</v>
      </c>
      <c r="B91" s="206">
        <f>IFERROR(__xludf.DUMMYFUNCTION("""COMPUTED_VALUE"""),44643.0)</f>
        <v>44643</v>
      </c>
      <c r="C91" s="207">
        <f>IFERROR(__xludf.DUMMYFUNCTION("""COMPUTED_VALUE"""),0.31376157407407407)</f>
        <v>0.3137615741</v>
      </c>
      <c r="D91" s="50"/>
      <c r="E91" s="58"/>
      <c r="F91" s="58"/>
      <c r="G91" s="58" t="str">
        <f>IFERROR(__xludf.DUMMYFUNCTION("""COMPUTED_VALUE"""),"Negative")</f>
        <v>Negative</v>
      </c>
      <c r="H91" s="206" t="str">
        <f>IFERROR(__xludf.DUMMYFUNCTION("""COMPUTED_VALUE"""),"Negative")</f>
        <v>Negative</v>
      </c>
      <c r="I91" s="207">
        <f>IFERROR(__xludf.DUMMYFUNCTION("""COMPUTED_VALUE"""),44643.0)</f>
        <v>44643</v>
      </c>
      <c r="J91" s="208">
        <f>IFERROR(__xludf.DUMMYFUNCTION("""COMPUTED_VALUE"""),0.4050694444444444)</f>
        <v>0.4050694444</v>
      </c>
      <c r="K91" s="50"/>
      <c r="L91" s="6"/>
      <c r="M91" s="55"/>
      <c r="N91" s="55">
        <f>IFERROR(__xludf.DUMMYFUNCTION("""COMPUTED_VALUE"""),1.0)</f>
        <v>1</v>
      </c>
      <c r="O91" s="55" t="str">
        <f t="shared" si="3"/>
        <v/>
      </c>
      <c r="P91" s="209"/>
      <c r="Q91" s="75" t="b">
        <f>VLOOKUP($B91,'Run Reconcile'!B$2:P1679,15,FALSE)</f>
        <v>1</v>
      </c>
      <c r="R91" s="211" t="str">
        <f t="array" ref="R91">IF($Q91, INDEX('Run Reconcile'!A$2:A1679,MATCH(B91,'Run Reconcile'!B$2:B1679,0),1),IFERROR(0/0,""))</f>
        <v>RUN-COMB_2022-03-23_RFR-006</v>
      </c>
      <c r="S91" s="165" t="str">
        <f t="shared" ref="S91:T91" si="181">IF(COUNTIF(W$2:W1679, $A91) &gt; 0,TRUE,IFERROR(0/0,""))</f>
        <v/>
      </c>
      <c r="T91" s="165" t="str">
        <f t="shared" si="181"/>
        <v/>
      </c>
      <c r="U91" s="147" t="str">
        <f t="array" ref="U91">IF(ISBLANK($R91), IF($S91,VLOOKUP($B91+1,'RFR Data - preExcl'!$BF$2:$BG1679,2,FALSE),IF($T91,INDEX('RFR Data - preExcl'!$BF$2:$BG1679,MATCH($B91,'RFR Data - preExcl'!$BF$2:$BF1679,0)+1,2),VLOOKUP($B91,'RFR Data - preExcl'!$BF$2:$BG1679,2,FALSE))),IFERROR(0/0,""))</f>
        <v/>
      </c>
      <c r="V91" s="212" t="str">
        <f t="shared" si="5"/>
        <v>RUN-COMB_2022-03-23_RFR-006</v>
      </c>
      <c r="W91" s="51"/>
      <c r="X91" s="51"/>
      <c r="Y91" s="147" t="str">
        <f t="shared" ref="Y91:Z91" si="182">IF(_xlfn.ISFORMULA(S91),IFERROR(0/0,""),TRUE)</f>
        <v/>
      </c>
      <c r="Z91" s="147" t="str">
        <f t="shared" si="182"/>
        <v/>
      </c>
    </row>
    <row r="92">
      <c r="A92" s="6" t="str">
        <f>IFERROR(__xludf.DUMMYFUNCTION("""COMPUTED_VALUE"""),"FM3412")</f>
        <v>FM3412</v>
      </c>
      <c r="B92" s="206">
        <f>IFERROR(__xludf.DUMMYFUNCTION("""COMPUTED_VALUE"""),44643.0)</f>
        <v>44643</v>
      </c>
      <c r="C92" s="207">
        <f>IFERROR(__xludf.DUMMYFUNCTION("""COMPUTED_VALUE"""),0.314224537037037)</f>
        <v>0.314224537</v>
      </c>
      <c r="D92" s="50"/>
      <c r="E92" s="58"/>
      <c r="F92" s="58"/>
      <c r="G92" s="58" t="str">
        <f>IFERROR(__xludf.DUMMYFUNCTION("""COMPUTED_VALUE"""),"Negative")</f>
        <v>Negative</v>
      </c>
      <c r="H92" s="206" t="str">
        <f>IFERROR(__xludf.DUMMYFUNCTION("""COMPUTED_VALUE"""),"Negative")</f>
        <v>Negative</v>
      </c>
      <c r="I92" s="207">
        <f>IFERROR(__xludf.DUMMYFUNCTION("""COMPUTED_VALUE"""),44643.0)</f>
        <v>44643</v>
      </c>
      <c r="J92" s="208">
        <f>IFERROR(__xludf.DUMMYFUNCTION("""COMPUTED_VALUE"""),0.4050810185185185)</f>
        <v>0.4050810185</v>
      </c>
      <c r="K92" s="50"/>
      <c r="L92" s="6"/>
      <c r="M92" s="55"/>
      <c r="N92" s="55">
        <f>IFERROR(__xludf.DUMMYFUNCTION("""COMPUTED_VALUE"""),1.0)</f>
        <v>1</v>
      </c>
      <c r="O92" s="55" t="str">
        <f t="shared" si="3"/>
        <v/>
      </c>
      <c r="P92" s="209"/>
      <c r="Q92" s="75" t="b">
        <f>VLOOKUP($B92,'Run Reconcile'!B$2:P1679,15,FALSE)</f>
        <v>1</v>
      </c>
      <c r="R92" s="211" t="str">
        <f t="array" ref="R92">IF($Q92, INDEX('Run Reconcile'!A$2:A1679,MATCH(B92,'Run Reconcile'!B$2:B1679,0),1),IFERROR(0/0,""))</f>
        <v>RUN-COMB_2022-03-23_RFR-006</v>
      </c>
      <c r="S92" s="165" t="str">
        <f t="shared" ref="S92:T92" si="183">IF(COUNTIF(W$2:W1679, $A92) &gt; 0,TRUE,IFERROR(0/0,""))</f>
        <v/>
      </c>
      <c r="T92" s="165" t="str">
        <f t="shared" si="183"/>
        <v/>
      </c>
      <c r="U92" s="147" t="str">
        <f t="array" ref="U92">IF(ISBLANK($R92), IF($S92,VLOOKUP($B92+1,'RFR Data - preExcl'!$BF$2:$BG1679,2,FALSE),IF($T92,INDEX('RFR Data - preExcl'!$BF$2:$BG1679,MATCH($B92,'RFR Data - preExcl'!$BF$2:$BF1679,0)+1,2),VLOOKUP($B92,'RFR Data - preExcl'!$BF$2:$BG1679,2,FALSE))),IFERROR(0/0,""))</f>
        <v/>
      </c>
      <c r="V92" s="212" t="str">
        <f t="shared" si="5"/>
        <v>RUN-COMB_2022-03-23_RFR-006</v>
      </c>
      <c r="W92" s="51"/>
      <c r="X92" s="51"/>
      <c r="Y92" s="147" t="str">
        <f t="shared" ref="Y92:Z92" si="184">IF(_xlfn.ISFORMULA(S92),IFERROR(0/0,""),TRUE)</f>
        <v/>
      </c>
      <c r="Z92" s="147" t="str">
        <f t="shared" si="184"/>
        <v/>
      </c>
    </row>
    <row r="93">
      <c r="A93" s="6" t="str">
        <f>IFERROR(__xludf.DUMMYFUNCTION("""COMPUTED_VALUE"""),"FM3473")</f>
        <v>FM3473</v>
      </c>
      <c r="B93" s="206">
        <f>IFERROR(__xludf.DUMMYFUNCTION("""COMPUTED_VALUE"""),44643.0)</f>
        <v>44643</v>
      </c>
      <c r="C93" s="207">
        <f>IFERROR(__xludf.DUMMYFUNCTION("""COMPUTED_VALUE"""),0.31449074074074074)</f>
        <v>0.3144907407</v>
      </c>
      <c r="D93" s="50"/>
      <c r="E93" s="58"/>
      <c r="F93" s="58"/>
      <c r="G93" s="58" t="str">
        <f>IFERROR(__xludf.DUMMYFUNCTION("""COMPUTED_VALUE"""),"Negative")</f>
        <v>Negative</v>
      </c>
      <c r="H93" s="206" t="str">
        <f>IFERROR(__xludf.DUMMYFUNCTION("""COMPUTED_VALUE"""),"Negative")</f>
        <v>Negative</v>
      </c>
      <c r="I93" s="207">
        <f>IFERROR(__xludf.DUMMYFUNCTION("""COMPUTED_VALUE"""),44643.0)</f>
        <v>44643</v>
      </c>
      <c r="J93" s="208">
        <f>IFERROR(__xludf.DUMMYFUNCTION("""COMPUTED_VALUE"""),0.4050810185185185)</f>
        <v>0.4050810185</v>
      </c>
      <c r="K93" s="50"/>
      <c r="L93" s="6"/>
      <c r="M93" s="55"/>
      <c r="N93" s="55">
        <f>IFERROR(__xludf.DUMMYFUNCTION("""COMPUTED_VALUE"""),1.0)</f>
        <v>1</v>
      </c>
      <c r="O93" s="55" t="str">
        <f t="shared" si="3"/>
        <v/>
      </c>
      <c r="P93" s="209"/>
      <c r="Q93" s="75" t="b">
        <f>VLOOKUP($B93,'Run Reconcile'!B$2:P1679,15,FALSE)</f>
        <v>1</v>
      </c>
      <c r="R93" s="211" t="str">
        <f t="array" ref="R93">IF($Q93, INDEX('Run Reconcile'!A$2:A1679,MATCH(B93,'Run Reconcile'!B$2:B1679,0),1),IFERROR(0/0,""))</f>
        <v>RUN-COMB_2022-03-23_RFR-006</v>
      </c>
      <c r="S93" s="165" t="str">
        <f t="shared" ref="S93:T93" si="185">IF(COUNTIF(W$2:W1679, $A93) &gt; 0,TRUE,IFERROR(0/0,""))</f>
        <v/>
      </c>
      <c r="T93" s="165" t="str">
        <f t="shared" si="185"/>
        <v/>
      </c>
      <c r="U93" s="147" t="str">
        <f t="array" ref="U93">IF(ISBLANK($R93), IF($S93,VLOOKUP($B93+1,'RFR Data - preExcl'!$BF$2:$BG1679,2,FALSE),IF($T93,INDEX('RFR Data - preExcl'!$BF$2:$BG1679,MATCH($B93,'RFR Data - preExcl'!$BF$2:$BF1679,0)+1,2),VLOOKUP($B93,'RFR Data - preExcl'!$BF$2:$BG1679,2,FALSE))),IFERROR(0/0,""))</f>
        <v/>
      </c>
      <c r="V93" s="212" t="str">
        <f t="shared" si="5"/>
        <v>RUN-COMB_2022-03-23_RFR-006</v>
      </c>
      <c r="W93" s="51"/>
      <c r="X93" s="51"/>
      <c r="Y93" s="147" t="str">
        <f t="shared" ref="Y93:Z93" si="186">IF(_xlfn.ISFORMULA(S93),IFERROR(0/0,""),TRUE)</f>
        <v/>
      </c>
      <c r="Z93" s="147" t="str">
        <f t="shared" si="186"/>
        <v/>
      </c>
    </row>
    <row r="94">
      <c r="A94" s="6" t="str">
        <f>IFERROR(__xludf.DUMMYFUNCTION("""COMPUTED_VALUE"""),"FM3427")</f>
        <v>FM3427</v>
      </c>
      <c r="B94" s="206">
        <f>IFERROR(__xludf.DUMMYFUNCTION("""COMPUTED_VALUE"""),44643.0)</f>
        <v>44643</v>
      </c>
      <c r="C94" s="207">
        <f>IFERROR(__xludf.DUMMYFUNCTION("""COMPUTED_VALUE"""),0.32153935185185184)</f>
        <v>0.3215393519</v>
      </c>
      <c r="D94" s="50"/>
      <c r="E94" s="58"/>
      <c r="F94" s="58"/>
      <c r="G94" s="58" t="str">
        <f>IFERROR(__xludf.DUMMYFUNCTION("""COMPUTED_VALUE"""),"Negative")</f>
        <v>Negative</v>
      </c>
      <c r="H94" s="206" t="str">
        <f>IFERROR(__xludf.DUMMYFUNCTION("""COMPUTED_VALUE"""),"Negative")</f>
        <v>Negative</v>
      </c>
      <c r="I94" s="207">
        <f>IFERROR(__xludf.DUMMYFUNCTION("""COMPUTED_VALUE"""),44643.0)</f>
        <v>44643</v>
      </c>
      <c r="J94" s="208">
        <f>IFERROR(__xludf.DUMMYFUNCTION("""COMPUTED_VALUE"""),0.4050810185185185)</f>
        <v>0.4050810185</v>
      </c>
      <c r="K94" s="50"/>
      <c r="L94" s="6"/>
      <c r="M94" s="55"/>
      <c r="N94" s="55">
        <f>IFERROR(__xludf.DUMMYFUNCTION("""COMPUTED_VALUE"""),1.0)</f>
        <v>1</v>
      </c>
      <c r="O94" s="55" t="str">
        <f t="shared" si="3"/>
        <v/>
      </c>
      <c r="P94" s="209"/>
      <c r="Q94" s="75" t="b">
        <f>VLOOKUP($B94,'Run Reconcile'!B$2:P1679,15,FALSE)</f>
        <v>1</v>
      </c>
      <c r="R94" s="211" t="str">
        <f t="array" ref="R94">IF($Q94, INDEX('Run Reconcile'!A$2:A1679,MATCH(B94,'Run Reconcile'!B$2:B1679,0),1),IFERROR(0/0,""))</f>
        <v>RUN-COMB_2022-03-23_RFR-006</v>
      </c>
      <c r="S94" s="165" t="str">
        <f t="shared" ref="S94:T94" si="187">IF(COUNTIF(W$2:W1679, $A94) &gt; 0,TRUE,IFERROR(0/0,""))</f>
        <v/>
      </c>
      <c r="T94" s="165" t="str">
        <f t="shared" si="187"/>
        <v/>
      </c>
      <c r="U94" s="147" t="str">
        <f t="array" ref="U94">IF(ISBLANK($R94), IF($S94,VLOOKUP($B94+1,'RFR Data - preExcl'!$BF$2:$BG1679,2,FALSE),IF($T94,INDEX('RFR Data - preExcl'!$BF$2:$BG1679,MATCH($B94,'RFR Data - preExcl'!$BF$2:$BF1679,0)+1,2),VLOOKUP($B94,'RFR Data - preExcl'!$BF$2:$BG1679,2,FALSE))),IFERROR(0/0,""))</f>
        <v/>
      </c>
      <c r="V94" s="212" t="str">
        <f t="shared" si="5"/>
        <v>RUN-COMB_2022-03-23_RFR-006</v>
      </c>
      <c r="W94" s="51"/>
      <c r="X94" s="51"/>
      <c r="Y94" s="147" t="str">
        <f t="shared" ref="Y94:Z94" si="188">IF(_xlfn.ISFORMULA(S94),IFERROR(0/0,""),TRUE)</f>
        <v/>
      </c>
      <c r="Z94" s="147" t="str">
        <f t="shared" si="188"/>
        <v/>
      </c>
    </row>
    <row r="95">
      <c r="A95" s="6" t="str">
        <f>IFERROR(__xludf.DUMMYFUNCTION("""COMPUTED_VALUE"""),"FM3674")</f>
        <v>FM3674</v>
      </c>
      <c r="B95" s="206">
        <f>IFERROR(__xludf.DUMMYFUNCTION("""COMPUTED_VALUE"""),44643.0)</f>
        <v>44643</v>
      </c>
      <c r="C95" s="207">
        <f>IFERROR(__xludf.DUMMYFUNCTION("""COMPUTED_VALUE"""),0.39100694444444445)</f>
        <v>0.3910069444</v>
      </c>
      <c r="D95" s="50"/>
      <c r="E95" s="58"/>
      <c r="F95" s="58"/>
      <c r="G95" s="58" t="str">
        <f>IFERROR(__xludf.DUMMYFUNCTION("""COMPUTED_VALUE"""),"Null")</f>
        <v>Null</v>
      </c>
      <c r="H95" s="206" t="str">
        <f>IFERROR(__xludf.DUMMYFUNCTION("""COMPUTED_VALUE"""),"Negative")</f>
        <v>Negative</v>
      </c>
      <c r="I95" s="207"/>
      <c r="J95" s="50"/>
      <c r="K95" s="50">
        <f>IFERROR(__xludf.DUMMYFUNCTION("""COMPUTED_VALUE"""),2.0)</f>
        <v>2</v>
      </c>
      <c r="L95" s="6"/>
      <c r="M95" s="55"/>
      <c r="N95" s="55">
        <f>IFERROR(__xludf.DUMMYFUNCTION("""COMPUTED_VALUE"""),1.0)</f>
        <v>1</v>
      </c>
      <c r="O95" s="55" t="str">
        <f t="shared" si="3"/>
        <v/>
      </c>
      <c r="P95" s="209"/>
      <c r="Q95" s="75" t="b">
        <f>VLOOKUP($B95,'Run Reconcile'!B$2:P1679,15,FALSE)</f>
        <v>1</v>
      </c>
      <c r="R95" s="211" t="str">
        <f t="array" ref="R95">IF($Q95, INDEX('Run Reconcile'!A$2:A1679,MATCH(B95,'Run Reconcile'!B$2:B1679,0),1),IFERROR(0/0,""))</f>
        <v>RUN-COMB_2022-03-23_RFR-006</v>
      </c>
      <c r="S95" s="165" t="str">
        <f t="shared" ref="S95:T95" si="189">IF(COUNTIF(W$2:W1679, $A95) &gt; 0,TRUE,IFERROR(0/0,""))</f>
        <v/>
      </c>
      <c r="T95" s="165" t="str">
        <f t="shared" si="189"/>
        <v/>
      </c>
      <c r="U95" s="147" t="str">
        <f t="array" ref="U95">IF(ISBLANK($R95), IF($S95,VLOOKUP($B95+1,'RFR Data - preExcl'!$BF$2:$BG1679,2,FALSE),IF($T95,INDEX('RFR Data - preExcl'!$BF$2:$BG1679,MATCH($B95,'RFR Data - preExcl'!$BF$2:$BF1679,0)+1,2),VLOOKUP($B95,'RFR Data - preExcl'!$BF$2:$BG1679,2,FALSE))),IFERROR(0/0,""))</f>
        <v/>
      </c>
      <c r="V95" s="212" t="str">
        <f t="shared" si="5"/>
        <v>RUN-COMB_2022-03-23_RFR-006</v>
      </c>
      <c r="W95" s="51"/>
      <c r="X95" s="51"/>
      <c r="Y95" s="147" t="str">
        <f t="shared" ref="Y95:Z95" si="190">IF(_xlfn.ISFORMULA(S95),IFERROR(0/0,""),TRUE)</f>
        <v/>
      </c>
      <c r="Z95" s="147" t="str">
        <f t="shared" si="190"/>
        <v/>
      </c>
    </row>
    <row r="96">
      <c r="A96" s="6" t="str">
        <f>IFERROR(__xludf.DUMMYFUNCTION("""COMPUTED_VALUE"""),"FM3446")</f>
        <v>FM3446</v>
      </c>
      <c r="B96" s="206">
        <f>IFERROR(__xludf.DUMMYFUNCTION("""COMPUTED_VALUE"""),44644.0)</f>
        <v>44644</v>
      </c>
      <c r="C96" s="207">
        <f>IFERROR(__xludf.DUMMYFUNCTION("""COMPUTED_VALUE"""),0.32730324074074074)</f>
        <v>0.3273032407</v>
      </c>
      <c r="D96" s="50"/>
      <c r="E96" s="58"/>
      <c r="F96" s="58"/>
      <c r="G96" s="58" t="str">
        <f>IFERROR(__xludf.DUMMYFUNCTION("""COMPUTED_VALUE"""),"Negative")</f>
        <v>Negative</v>
      </c>
      <c r="H96" s="206" t="str">
        <f>IFERROR(__xludf.DUMMYFUNCTION("""COMPUTED_VALUE"""),"Negative")</f>
        <v>Negative</v>
      </c>
      <c r="I96" s="207">
        <f>IFERROR(__xludf.DUMMYFUNCTION("""COMPUTED_VALUE"""),44644.0)</f>
        <v>44644</v>
      </c>
      <c r="J96" s="208">
        <f>IFERROR(__xludf.DUMMYFUNCTION("""COMPUTED_VALUE"""),0.3545833333333333)</f>
        <v>0.3545833333</v>
      </c>
      <c r="K96" s="50"/>
      <c r="L96" s="6"/>
      <c r="M96" s="55"/>
      <c r="N96" s="55">
        <f>IFERROR(__xludf.DUMMYFUNCTION("""COMPUTED_VALUE"""),1.0)</f>
        <v>1</v>
      </c>
      <c r="O96" s="55" t="b">
        <f t="shared" si="3"/>
        <v>1</v>
      </c>
      <c r="P96" s="209"/>
      <c r="Q96" s="75" t="b">
        <f>VLOOKUP($B96,'Run Reconcile'!B$2:P1679,15,FALSE)</f>
        <v>1</v>
      </c>
      <c r="R96" s="211" t="str">
        <f t="array" ref="R96">IF($Q96, INDEX('Run Reconcile'!A$2:A1679,MATCH(B96,'Run Reconcile'!B$2:B1679,0),1),IFERROR(0/0,""))</f>
        <v>RUN-COMB_2022-03-24_RFR-007</v>
      </c>
      <c r="S96" s="165" t="str">
        <f t="shared" ref="S96:T96" si="191">IF(COUNTIF(W$2:W1679, $A96) &gt; 0,TRUE,IFERROR(0/0,""))</f>
        <v/>
      </c>
      <c r="T96" s="165" t="str">
        <f t="shared" si="191"/>
        <v/>
      </c>
      <c r="U96" s="147" t="str">
        <f t="array" ref="U96">IF(ISBLANK($R96), IF($S96,VLOOKUP($B96+1,'RFR Data - preExcl'!$BF$2:$BG1679,2,FALSE),IF($T96,INDEX('RFR Data - preExcl'!$BF$2:$BG1679,MATCH($B96,'RFR Data - preExcl'!$BF$2:$BF1679,0)+1,2),VLOOKUP($B96,'RFR Data - preExcl'!$BF$2:$BG1679,2,FALSE))),IFERROR(0/0,""))</f>
        <v/>
      </c>
      <c r="V96" s="212" t="str">
        <f t="shared" si="5"/>
        <v>RUN-COMB_2022-03-24_RFR-007</v>
      </c>
      <c r="W96" s="51"/>
      <c r="X96" s="51"/>
      <c r="Y96" s="147" t="str">
        <f t="shared" ref="Y96:Z96" si="192">IF(_xlfn.ISFORMULA(S96),IFERROR(0/0,""),TRUE)</f>
        <v/>
      </c>
      <c r="Z96" s="147" t="str">
        <f t="shared" si="192"/>
        <v/>
      </c>
    </row>
    <row r="97">
      <c r="A97" s="6" t="str">
        <f>IFERROR(__xludf.DUMMYFUNCTION("""COMPUTED_VALUE"""),"FM3480")</f>
        <v>FM3480</v>
      </c>
      <c r="B97" s="206">
        <f>IFERROR(__xludf.DUMMYFUNCTION("""COMPUTED_VALUE"""),44644.0)</f>
        <v>44644</v>
      </c>
      <c r="C97" s="207">
        <f>IFERROR(__xludf.DUMMYFUNCTION("""COMPUTED_VALUE"""),0.32836805555555554)</f>
        <v>0.3283680556</v>
      </c>
      <c r="D97" s="50"/>
      <c r="E97" s="58"/>
      <c r="F97" s="58"/>
      <c r="G97" s="58" t="str">
        <f>IFERROR(__xludf.DUMMYFUNCTION("""COMPUTED_VALUE"""),"Negative")</f>
        <v>Negative</v>
      </c>
      <c r="H97" s="206" t="str">
        <f>IFERROR(__xludf.DUMMYFUNCTION("""COMPUTED_VALUE"""),"Negative")</f>
        <v>Negative</v>
      </c>
      <c r="I97" s="207">
        <f>IFERROR(__xludf.DUMMYFUNCTION("""COMPUTED_VALUE"""),44644.0)</f>
        <v>44644</v>
      </c>
      <c r="J97" s="208">
        <f>IFERROR(__xludf.DUMMYFUNCTION("""COMPUTED_VALUE"""),0.3545833333333333)</f>
        <v>0.3545833333</v>
      </c>
      <c r="K97" s="50"/>
      <c r="L97" s="6"/>
      <c r="M97" s="55"/>
      <c r="N97" s="55">
        <f>IFERROR(__xludf.DUMMYFUNCTION("""COMPUTED_VALUE"""),1.0)</f>
        <v>1</v>
      </c>
      <c r="O97" s="55" t="str">
        <f t="shared" si="3"/>
        <v/>
      </c>
      <c r="P97" s="209"/>
      <c r="Q97" s="75" t="b">
        <f>VLOOKUP($B97,'Run Reconcile'!B$2:P1679,15,FALSE)</f>
        <v>1</v>
      </c>
      <c r="R97" s="211" t="str">
        <f t="array" ref="R97">IF($Q97, INDEX('Run Reconcile'!A$2:A1679,MATCH(B97,'Run Reconcile'!B$2:B1679,0),1),IFERROR(0/0,""))</f>
        <v>RUN-COMB_2022-03-24_RFR-007</v>
      </c>
      <c r="S97" s="165" t="str">
        <f t="shared" ref="S97:T97" si="193">IF(COUNTIF(W$2:W1679, $A97) &gt; 0,TRUE,IFERROR(0/0,""))</f>
        <v/>
      </c>
      <c r="T97" s="165" t="str">
        <f t="shared" si="193"/>
        <v/>
      </c>
      <c r="U97" s="147" t="str">
        <f t="array" ref="U97">IF(ISBLANK($R97), IF($S97,VLOOKUP($B97+1,'RFR Data - preExcl'!$BF$2:$BG1679,2,FALSE),IF($T97,INDEX('RFR Data - preExcl'!$BF$2:$BG1679,MATCH($B97,'RFR Data - preExcl'!$BF$2:$BF1679,0)+1,2),VLOOKUP($B97,'RFR Data - preExcl'!$BF$2:$BG1679,2,FALSE))),IFERROR(0/0,""))</f>
        <v/>
      </c>
      <c r="V97" s="212" t="str">
        <f t="shared" si="5"/>
        <v>RUN-COMB_2022-03-24_RFR-007</v>
      </c>
      <c r="W97" s="51"/>
      <c r="X97" s="51"/>
      <c r="Y97" s="147" t="str">
        <f t="shared" ref="Y97:Z97" si="194">IF(_xlfn.ISFORMULA(S97),IFERROR(0/0,""),TRUE)</f>
        <v/>
      </c>
      <c r="Z97" s="147" t="str">
        <f t="shared" si="194"/>
        <v/>
      </c>
    </row>
    <row r="98">
      <c r="A98" s="6" t="str">
        <f>IFERROR(__xludf.DUMMYFUNCTION("""COMPUTED_VALUE"""),"FM3466")</f>
        <v>FM3466</v>
      </c>
      <c r="B98" s="206">
        <f>IFERROR(__xludf.DUMMYFUNCTION("""COMPUTED_VALUE"""),44644.0)</f>
        <v>44644</v>
      </c>
      <c r="C98" s="207">
        <f>IFERROR(__xludf.DUMMYFUNCTION("""COMPUTED_VALUE"""),0.329849537037037)</f>
        <v>0.329849537</v>
      </c>
      <c r="D98" s="50"/>
      <c r="E98" s="58"/>
      <c r="F98" s="58"/>
      <c r="G98" s="58" t="str">
        <f>IFERROR(__xludf.DUMMYFUNCTION("""COMPUTED_VALUE"""),"Negative")</f>
        <v>Negative</v>
      </c>
      <c r="H98" s="206" t="str">
        <f>IFERROR(__xludf.DUMMYFUNCTION("""COMPUTED_VALUE"""),"Negative")</f>
        <v>Negative</v>
      </c>
      <c r="I98" s="207">
        <f>IFERROR(__xludf.DUMMYFUNCTION("""COMPUTED_VALUE"""),44644.0)</f>
        <v>44644</v>
      </c>
      <c r="J98" s="208">
        <f>IFERROR(__xludf.DUMMYFUNCTION("""COMPUTED_VALUE"""),0.3545833333333333)</f>
        <v>0.3545833333</v>
      </c>
      <c r="K98" s="50"/>
      <c r="L98" s="6"/>
      <c r="M98" s="55"/>
      <c r="N98" s="55">
        <f>IFERROR(__xludf.DUMMYFUNCTION("""COMPUTED_VALUE"""),1.0)</f>
        <v>1</v>
      </c>
      <c r="O98" s="55" t="str">
        <f t="shared" si="3"/>
        <v/>
      </c>
      <c r="P98" s="209"/>
      <c r="Q98" s="75" t="b">
        <f>VLOOKUP($B98,'Run Reconcile'!B$2:P1679,15,FALSE)</f>
        <v>1</v>
      </c>
      <c r="R98" s="211" t="str">
        <f t="array" ref="R98">IF($Q98, INDEX('Run Reconcile'!A$2:A1679,MATCH(B98,'Run Reconcile'!B$2:B1679,0),1),IFERROR(0/0,""))</f>
        <v>RUN-COMB_2022-03-24_RFR-007</v>
      </c>
      <c r="S98" s="165" t="str">
        <f t="shared" ref="S98:T98" si="195">IF(COUNTIF(W$2:W1679, $A98) &gt; 0,TRUE,IFERROR(0/0,""))</f>
        <v/>
      </c>
      <c r="T98" s="165" t="str">
        <f t="shared" si="195"/>
        <v/>
      </c>
      <c r="U98" s="147" t="str">
        <f t="array" ref="U98">IF(ISBLANK($R98), IF($S98,VLOOKUP($B98+1,'RFR Data - preExcl'!$BF$2:$BG1679,2,FALSE),IF($T98,INDEX('RFR Data - preExcl'!$BF$2:$BG1679,MATCH($B98,'RFR Data - preExcl'!$BF$2:$BF1679,0)+1,2),VLOOKUP($B98,'RFR Data - preExcl'!$BF$2:$BG1679,2,FALSE))),IFERROR(0/0,""))</f>
        <v/>
      </c>
      <c r="V98" s="212" t="str">
        <f t="shared" si="5"/>
        <v>RUN-COMB_2022-03-24_RFR-007</v>
      </c>
      <c r="W98" s="51"/>
      <c r="X98" s="51"/>
      <c r="Y98" s="147" t="str">
        <f t="shared" ref="Y98:Z98" si="196">IF(_xlfn.ISFORMULA(S98),IFERROR(0/0,""),TRUE)</f>
        <v/>
      </c>
      <c r="Z98" s="147" t="str">
        <f t="shared" si="196"/>
        <v/>
      </c>
    </row>
    <row r="99">
      <c r="A99" s="6" t="str">
        <f>IFERROR(__xludf.DUMMYFUNCTION("""COMPUTED_VALUE"""),"FM3458")</f>
        <v>FM3458</v>
      </c>
      <c r="B99" s="206">
        <f>IFERROR(__xludf.DUMMYFUNCTION("""COMPUTED_VALUE"""),44644.0)</f>
        <v>44644</v>
      </c>
      <c r="C99" s="207">
        <f>IFERROR(__xludf.DUMMYFUNCTION("""COMPUTED_VALUE"""),0.3305208333333333)</f>
        <v>0.3305208333</v>
      </c>
      <c r="D99" s="50"/>
      <c r="E99" s="58"/>
      <c r="F99" s="58"/>
      <c r="G99" s="58" t="str">
        <f>IFERROR(__xludf.DUMMYFUNCTION("""COMPUTED_VALUE"""),"Negative")</f>
        <v>Negative</v>
      </c>
      <c r="H99" s="206" t="str">
        <f>IFERROR(__xludf.DUMMYFUNCTION("""COMPUTED_VALUE"""),"Negative")</f>
        <v>Negative</v>
      </c>
      <c r="I99" s="207">
        <f>IFERROR(__xludf.DUMMYFUNCTION("""COMPUTED_VALUE"""),44644.0)</f>
        <v>44644</v>
      </c>
      <c r="J99" s="208">
        <f>IFERROR(__xludf.DUMMYFUNCTION("""COMPUTED_VALUE"""),0.3545949074074074)</f>
        <v>0.3545949074</v>
      </c>
      <c r="K99" s="50"/>
      <c r="L99" s="6"/>
      <c r="M99" s="55"/>
      <c r="N99" s="55">
        <f>IFERROR(__xludf.DUMMYFUNCTION("""COMPUTED_VALUE"""),1.0)</f>
        <v>1</v>
      </c>
      <c r="O99" s="55" t="str">
        <f t="shared" si="3"/>
        <v/>
      </c>
      <c r="P99" s="209"/>
      <c r="Q99" s="75" t="b">
        <f>VLOOKUP($B99,'Run Reconcile'!B$2:P1679,15,FALSE)</f>
        <v>1</v>
      </c>
      <c r="R99" s="211" t="str">
        <f t="array" ref="R99">IF($Q99, INDEX('Run Reconcile'!A$2:A1679,MATCH(B99,'Run Reconcile'!B$2:B1679,0),1),IFERROR(0/0,""))</f>
        <v>RUN-COMB_2022-03-24_RFR-007</v>
      </c>
      <c r="S99" s="165" t="str">
        <f t="shared" ref="S99:T99" si="197">IF(COUNTIF(W$2:W1679, $A99) &gt; 0,TRUE,IFERROR(0/0,""))</f>
        <v/>
      </c>
      <c r="T99" s="165" t="str">
        <f t="shared" si="197"/>
        <v/>
      </c>
      <c r="U99" s="147" t="str">
        <f t="array" ref="U99">IF(ISBLANK($R99), IF($S99,VLOOKUP($B99+1,'RFR Data - preExcl'!$BF$2:$BG1679,2,FALSE),IF($T99,INDEX('RFR Data - preExcl'!$BF$2:$BG1679,MATCH($B99,'RFR Data - preExcl'!$BF$2:$BF1679,0)+1,2),VLOOKUP($B99,'RFR Data - preExcl'!$BF$2:$BG1679,2,FALSE))),IFERROR(0/0,""))</f>
        <v/>
      </c>
      <c r="V99" s="212" t="str">
        <f t="shared" si="5"/>
        <v>RUN-COMB_2022-03-24_RFR-007</v>
      </c>
      <c r="W99" s="51"/>
      <c r="X99" s="51"/>
      <c r="Y99" s="147" t="str">
        <f t="shared" ref="Y99:Z99" si="198">IF(_xlfn.ISFORMULA(S99),IFERROR(0/0,""),TRUE)</f>
        <v/>
      </c>
      <c r="Z99" s="147" t="str">
        <f t="shared" si="198"/>
        <v/>
      </c>
    </row>
    <row r="100">
      <c r="A100" s="6" t="str">
        <f>IFERROR(__xludf.DUMMYFUNCTION("""COMPUTED_VALUE"""),"FM3441")</f>
        <v>FM3441</v>
      </c>
      <c r="B100" s="206">
        <f>IFERROR(__xludf.DUMMYFUNCTION("""COMPUTED_VALUE"""),44644.0)</f>
        <v>44644</v>
      </c>
      <c r="C100" s="207">
        <f>IFERROR(__xludf.DUMMYFUNCTION("""COMPUTED_VALUE"""),0.33096064814814813)</f>
        <v>0.3309606481</v>
      </c>
      <c r="D100" s="50"/>
      <c r="E100" s="58"/>
      <c r="F100" s="58"/>
      <c r="G100" s="58" t="str">
        <f>IFERROR(__xludf.DUMMYFUNCTION("""COMPUTED_VALUE"""),"Negative")</f>
        <v>Negative</v>
      </c>
      <c r="H100" s="206" t="str">
        <f>IFERROR(__xludf.DUMMYFUNCTION("""COMPUTED_VALUE"""),"Negative")</f>
        <v>Negative</v>
      </c>
      <c r="I100" s="207">
        <f>IFERROR(__xludf.DUMMYFUNCTION("""COMPUTED_VALUE"""),44644.0)</f>
        <v>44644</v>
      </c>
      <c r="J100" s="208">
        <f>IFERROR(__xludf.DUMMYFUNCTION("""COMPUTED_VALUE"""),0.3545949074074074)</f>
        <v>0.3545949074</v>
      </c>
      <c r="K100" s="50"/>
      <c r="L100" s="6"/>
      <c r="M100" s="55"/>
      <c r="N100" s="55">
        <f>IFERROR(__xludf.DUMMYFUNCTION("""COMPUTED_VALUE"""),1.0)</f>
        <v>1</v>
      </c>
      <c r="O100" s="55" t="str">
        <f t="shared" si="3"/>
        <v/>
      </c>
      <c r="P100" s="209"/>
      <c r="Q100" s="75" t="b">
        <f>VLOOKUP($B100,'Run Reconcile'!B$2:P1679,15,FALSE)</f>
        <v>1</v>
      </c>
      <c r="R100" s="211" t="str">
        <f t="array" ref="R100">IF($Q100, INDEX('Run Reconcile'!A$2:A1679,MATCH(B100,'Run Reconcile'!B$2:B1679,0),1),IFERROR(0/0,""))</f>
        <v>RUN-COMB_2022-03-24_RFR-007</v>
      </c>
      <c r="S100" s="165" t="str">
        <f t="shared" ref="S100:T100" si="199">IF(COUNTIF(W$2:W1679, $A100) &gt; 0,TRUE,IFERROR(0/0,""))</f>
        <v/>
      </c>
      <c r="T100" s="165" t="str">
        <f t="shared" si="199"/>
        <v/>
      </c>
      <c r="U100" s="147" t="str">
        <f t="array" ref="U100">IF(ISBLANK($R100), IF($S100,VLOOKUP($B100+1,'RFR Data - preExcl'!$BF$2:$BG1679,2,FALSE),IF($T100,INDEX('RFR Data - preExcl'!$BF$2:$BG1679,MATCH($B100,'RFR Data - preExcl'!$BF$2:$BF1679,0)+1,2),VLOOKUP($B100,'RFR Data - preExcl'!$BF$2:$BG1679,2,FALSE))),IFERROR(0/0,""))</f>
        <v/>
      </c>
      <c r="V100" s="212" t="str">
        <f t="shared" si="5"/>
        <v>RUN-COMB_2022-03-24_RFR-007</v>
      </c>
      <c r="W100" s="51"/>
      <c r="X100" s="51"/>
      <c r="Y100" s="147" t="str">
        <f t="shared" ref="Y100:Z100" si="200">IF(_xlfn.ISFORMULA(S100),IFERROR(0/0,""),TRUE)</f>
        <v/>
      </c>
      <c r="Z100" s="147" t="str">
        <f t="shared" si="200"/>
        <v/>
      </c>
    </row>
    <row r="101">
      <c r="A101" s="6" t="str">
        <f>IFERROR(__xludf.DUMMYFUNCTION("""COMPUTED_VALUE"""),"FM3464")</f>
        <v>FM3464</v>
      </c>
      <c r="B101" s="206">
        <f>IFERROR(__xludf.DUMMYFUNCTION("""COMPUTED_VALUE"""),44644.0)</f>
        <v>44644</v>
      </c>
      <c r="C101" s="207">
        <f>IFERROR(__xludf.DUMMYFUNCTION("""COMPUTED_VALUE"""),0.33253472222222225)</f>
        <v>0.3325347222</v>
      </c>
      <c r="D101" s="50"/>
      <c r="E101" s="58"/>
      <c r="F101" s="58"/>
      <c r="G101" s="58" t="str">
        <f>IFERROR(__xludf.DUMMYFUNCTION("""COMPUTED_VALUE"""),"Negative")</f>
        <v>Negative</v>
      </c>
      <c r="H101" s="206" t="str">
        <f>IFERROR(__xludf.DUMMYFUNCTION("""COMPUTED_VALUE"""),"Negative")</f>
        <v>Negative</v>
      </c>
      <c r="I101" s="207">
        <f>IFERROR(__xludf.DUMMYFUNCTION("""COMPUTED_VALUE"""),44644.0)</f>
        <v>44644</v>
      </c>
      <c r="J101" s="208">
        <f>IFERROR(__xludf.DUMMYFUNCTION("""COMPUTED_VALUE"""),0.3545949074074074)</f>
        <v>0.3545949074</v>
      </c>
      <c r="K101" s="50"/>
      <c r="L101" s="6"/>
      <c r="M101" s="55"/>
      <c r="N101" s="55">
        <f>IFERROR(__xludf.DUMMYFUNCTION("""COMPUTED_VALUE"""),1.0)</f>
        <v>1</v>
      </c>
      <c r="O101" s="55" t="str">
        <f t="shared" si="3"/>
        <v/>
      </c>
      <c r="P101" s="209"/>
      <c r="Q101" s="75" t="b">
        <f>VLOOKUP($B101,'Run Reconcile'!B$2:P1679,15,FALSE)</f>
        <v>1</v>
      </c>
      <c r="R101" s="211" t="str">
        <f t="array" ref="R101">IF($Q101, INDEX('Run Reconcile'!A$2:A1679,MATCH(B101,'Run Reconcile'!B$2:B1679,0),1),IFERROR(0/0,""))</f>
        <v>RUN-COMB_2022-03-24_RFR-007</v>
      </c>
      <c r="S101" s="165" t="str">
        <f t="shared" ref="S101:T101" si="201">IF(COUNTIF(W$2:W1679, $A101) &gt; 0,TRUE,IFERROR(0/0,""))</f>
        <v/>
      </c>
      <c r="T101" s="165" t="str">
        <f t="shared" si="201"/>
        <v/>
      </c>
      <c r="U101" s="147" t="str">
        <f t="array" ref="U101">IF(ISBLANK($R101), IF($S101,VLOOKUP($B101+1,'RFR Data - preExcl'!$BF$2:$BG1679,2,FALSE),IF($T101,INDEX('RFR Data - preExcl'!$BF$2:$BG1679,MATCH($B101,'RFR Data - preExcl'!$BF$2:$BF1679,0)+1,2),VLOOKUP($B101,'RFR Data - preExcl'!$BF$2:$BG1679,2,FALSE))),IFERROR(0/0,""))</f>
        <v/>
      </c>
      <c r="V101" s="212" t="str">
        <f t="shared" si="5"/>
        <v>RUN-COMB_2022-03-24_RFR-007</v>
      </c>
      <c r="W101" s="51"/>
      <c r="X101" s="51"/>
      <c r="Y101" s="147" t="str">
        <f t="shared" ref="Y101:Z101" si="202">IF(_xlfn.ISFORMULA(S101),IFERROR(0/0,""),TRUE)</f>
        <v/>
      </c>
      <c r="Z101" s="147" t="str">
        <f t="shared" si="202"/>
        <v/>
      </c>
    </row>
    <row r="102">
      <c r="A102" s="6" t="str">
        <f>IFERROR(__xludf.DUMMYFUNCTION("""COMPUTED_VALUE"""),"FM3673")</f>
        <v>FM3673</v>
      </c>
      <c r="B102" s="206">
        <f>IFERROR(__xludf.DUMMYFUNCTION("""COMPUTED_VALUE"""),44644.0)</f>
        <v>44644</v>
      </c>
      <c r="C102" s="207">
        <f>IFERROR(__xludf.DUMMYFUNCTION("""COMPUTED_VALUE"""),0.3336226851851852)</f>
        <v>0.3336226852</v>
      </c>
      <c r="D102" s="50"/>
      <c r="E102" s="58"/>
      <c r="F102" s="58"/>
      <c r="G102" s="58" t="str">
        <f>IFERROR(__xludf.DUMMYFUNCTION("""COMPUTED_VALUE"""),"Negative")</f>
        <v>Negative</v>
      </c>
      <c r="H102" s="206" t="str">
        <f>IFERROR(__xludf.DUMMYFUNCTION("""COMPUTED_VALUE"""),"Negative")</f>
        <v>Negative</v>
      </c>
      <c r="I102" s="207">
        <f>IFERROR(__xludf.DUMMYFUNCTION("""COMPUTED_VALUE"""),44644.0)</f>
        <v>44644</v>
      </c>
      <c r="J102" s="208">
        <f>IFERROR(__xludf.DUMMYFUNCTION("""COMPUTED_VALUE"""),0.3545949074074074)</f>
        <v>0.3545949074</v>
      </c>
      <c r="K102" s="50"/>
      <c r="L102" s="6"/>
      <c r="M102" s="55"/>
      <c r="N102" s="55">
        <f>IFERROR(__xludf.DUMMYFUNCTION("""COMPUTED_VALUE"""),1.0)</f>
        <v>1</v>
      </c>
      <c r="O102" s="55" t="str">
        <f t="shared" si="3"/>
        <v/>
      </c>
      <c r="P102" s="209"/>
      <c r="Q102" s="75" t="b">
        <f>VLOOKUP($B102,'Run Reconcile'!B$2:P1679,15,FALSE)</f>
        <v>1</v>
      </c>
      <c r="R102" s="211" t="str">
        <f t="array" ref="R102">IF($Q102, INDEX('Run Reconcile'!A$2:A1679,MATCH(B102,'Run Reconcile'!B$2:B1679,0),1),IFERROR(0/0,""))</f>
        <v>RUN-COMB_2022-03-24_RFR-007</v>
      </c>
      <c r="S102" s="165" t="str">
        <f t="shared" ref="S102:T102" si="203">IF(COUNTIF(W$2:W1679, $A102) &gt; 0,TRUE,IFERROR(0/0,""))</f>
        <v/>
      </c>
      <c r="T102" s="165" t="str">
        <f t="shared" si="203"/>
        <v/>
      </c>
      <c r="U102" s="147" t="str">
        <f t="array" ref="U102">IF(ISBLANK($R102), IF($S102,VLOOKUP($B102+1,'RFR Data - preExcl'!$BF$2:$BG1679,2,FALSE),IF($T102,INDEX('RFR Data - preExcl'!$BF$2:$BG1679,MATCH($B102,'RFR Data - preExcl'!$BF$2:$BF1679,0)+1,2),VLOOKUP($B102,'RFR Data - preExcl'!$BF$2:$BG1679,2,FALSE))),IFERROR(0/0,""))</f>
        <v/>
      </c>
      <c r="V102" s="212" t="str">
        <f t="shared" si="5"/>
        <v>RUN-COMB_2022-03-24_RFR-007</v>
      </c>
      <c r="W102" s="51"/>
      <c r="X102" s="51"/>
      <c r="Y102" s="147" t="str">
        <f t="shared" ref="Y102:Z102" si="204">IF(_xlfn.ISFORMULA(S102),IFERROR(0/0,""),TRUE)</f>
        <v/>
      </c>
      <c r="Z102" s="147" t="str">
        <f t="shared" si="204"/>
        <v/>
      </c>
    </row>
    <row r="103">
      <c r="A103" s="6" t="str">
        <f>IFERROR(__xludf.DUMMYFUNCTION("""COMPUTED_VALUE"""),"FM3479")</f>
        <v>FM3479</v>
      </c>
      <c r="B103" s="206">
        <f>IFERROR(__xludf.DUMMYFUNCTION("""COMPUTED_VALUE"""),44644.0)</f>
        <v>44644</v>
      </c>
      <c r="C103" s="207">
        <f>IFERROR(__xludf.DUMMYFUNCTION("""COMPUTED_VALUE"""),0.33422453703703703)</f>
        <v>0.334224537</v>
      </c>
      <c r="D103" s="50"/>
      <c r="E103" s="58"/>
      <c r="F103" s="58"/>
      <c r="G103" s="58" t="str">
        <f>IFERROR(__xludf.DUMMYFUNCTION("""COMPUTED_VALUE"""),"Negative")</f>
        <v>Negative</v>
      </c>
      <c r="H103" s="206" t="str">
        <f>IFERROR(__xludf.DUMMYFUNCTION("""COMPUTED_VALUE"""),"Negative")</f>
        <v>Negative</v>
      </c>
      <c r="I103" s="207">
        <f>IFERROR(__xludf.DUMMYFUNCTION("""COMPUTED_VALUE"""),44644.0)</f>
        <v>44644</v>
      </c>
      <c r="J103" s="208">
        <f>IFERROR(__xludf.DUMMYFUNCTION("""COMPUTED_VALUE"""),0.3545949074074074)</f>
        <v>0.3545949074</v>
      </c>
      <c r="K103" s="50"/>
      <c r="L103" s="6"/>
      <c r="M103" s="55"/>
      <c r="N103" s="55">
        <f>IFERROR(__xludf.DUMMYFUNCTION("""COMPUTED_VALUE"""),1.0)</f>
        <v>1</v>
      </c>
      <c r="O103" s="55" t="str">
        <f t="shared" si="3"/>
        <v/>
      </c>
      <c r="P103" s="209"/>
      <c r="Q103" s="75" t="b">
        <f>VLOOKUP($B103,'Run Reconcile'!B$2:P1679,15,FALSE)</f>
        <v>1</v>
      </c>
      <c r="R103" s="211" t="str">
        <f t="array" ref="R103">IF($Q103, INDEX('Run Reconcile'!A$2:A1679,MATCH(B103,'Run Reconcile'!B$2:B1679,0),1),IFERROR(0/0,""))</f>
        <v>RUN-COMB_2022-03-24_RFR-007</v>
      </c>
      <c r="S103" s="165" t="str">
        <f t="shared" ref="S103:T103" si="205">IF(COUNTIF(W$2:W1679, $A103) &gt; 0,TRUE,IFERROR(0/0,""))</f>
        <v/>
      </c>
      <c r="T103" s="165" t="str">
        <f t="shared" si="205"/>
        <v/>
      </c>
      <c r="U103" s="147" t="str">
        <f t="array" ref="U103">IF(ISBLANK($R103), IF($S103,VLOOKUP($B103+1,'RFR Data - preExcl'!$BF$2:$BG1679,2,FALSE),IF($T103,INDEX('RFR Data - preExcl'!$BF$2:$BG1679,MATCH($B103,'RFR Data - preExcl'!$BF$2:$BF1679,0)+1,2),VLOOKUP($B103,'RFR Data - preExcl'!$BF$2:$BG1679,2,FALSE))),IFERROR(0/0,""))</f>
        <v/>
      </c>
      <c r="V103" s="212" t="str">
        <f t="shared" si="5"/>
        <v>RUN-COMB_2022-03-24_RFR-007</v>
      </c>
      <c r="W103" s="51"/>
      <c r="X103" s="51"/>
      <c r="Y103" s="147" t="str">
        <f t="shared" ref="Y103:Z103" si="206">IF(_xlfn.ISFORMULA(S103),IFERROR(0/0,""),TRUE)</f>
        <v/>
      </c>
      <c r="Z103" s="147" t="str">
        <f t="shared" si="206"/>
        <v/>
      </c>
    </row>
    <row r="104">
      <c r="A104" s="6" t="str">
        <f>IFERROR(__xludf.DUMMYFUNCTION("""COMPUTED_VALUE"""),"FM3436")</f>
        <v>FM3436</v>
      </c>
      <c r="B104" s="206">
        <f>IFERROR(__xludf.DUMMYFUNCTION("""COMPUTED_VALUE"""),44644.0)</f>
        <v>44644</v>
      </c>
      <c r="C104" s="207">
        <f>IFERROR(__xludf.DUMMYFUNCTION("""COMPUTED_VALUE"""),0.3346296296296296)</f>
        <v>0.3346296296</v>
      </c>
      <c r="D104" s="50"/>
      <c r="E104" s="58"/>
      <c r="F104" s="58"/>
      <c r="G104" s="58" t="str">
        <f>IFERROR(__xludf.DUMMYFUNCTION("""COMPUTED_VALUE"""),"Negative")</f>
        <v>Negative</v>
      </c>
      <c r="H104" s="206" t="str">
        <f>IFERROR(__xludf.DUMMYFUNCTION("""COMPUTED_VALUE"""),"Negative")</f>
        <v>Negative</v>
      </c>
      <c r="I104" s="207">
        <f>IFERROR(__xludf.DUMMYFUNCTION("""COMPUTED_VALUE"""),44644.0)</f>
        <v>44644</v>
      </c>
      <c r="J104" s="208">
        <f>IFERROR(__xludf.DUMMYFUNCTION("""COMPUTED_VALUE"""),0.3545949074074074)</f>
        <v>0.3545949074</v>
      </c>
      <c r="K104" s="50"/>
      <c r="L104" s="6"/>
      <c r="M104" s="55"/>
      <c r="N104" s="55">
        <f>IFERROR(__xludf.DUMMYFUNCTION("""COMPUTED_VALUE"""),1.0)</f>
        <v>1</v>
      </c>
      <c r="O104" s="55" t="str">
        <f t="shared" si="3"/>
        <v/>
      </c>
      <c r="P104" s="209"/>
      <c r="Q104" s="75" t="b">
        <f>VLOOKUP($B104,'Run Reconcile'!B$2:P1679,15,FALSE)</f>
        <v>1</v>
      </c>
      <c r="R104" s="211" t="str">
        <f t="array" ref="R104">IF($Q104, INDEX('Run Reconcile'!A$2:A1679,MATCH(B104,'Run Reconcile'!B$2:B1679,0),1),IFERROR(0/0,""))</f>
        <v>RUN-COMB_2022-03-24_RFR-007</v>
      </c>
      <c r="S104" s="165" t="str">
        <f t="shared" ref="S104:T104" si="207">IF(COUNTIF(W$2:W1679, $A104) &gt; 0,TRUE,IFERROR(0/0,""))</f>
        <v/>
      </c>
      <c r="T104" s="165" t="str">
        <f t="shared" si="207"/>
        <v/>
      </c>
      <c r="U104" s="147" t="str">
        <f t="array" ref="U104">IF(ISBLANK($R104), IF($S104,VLOOKUP($B104+1,'RFR Data - preExcl'!$BF$2:$BG1679,2,FALSE),IF($T104,INDEX('RFR Data - preExcl'!$BF$2:$BG1679,MATCH($B104,'RFR Data - preExcl'!$BF$2:$BF1679,0)+1,2),VLOOKUP($B104,'RFR Data - preExcl'!$BF$2:$BG1679,2,FALSE))),IFERROR(0/0,""))</f>
        <v/>
      </c>
      <c r="V104" s="212" t="str">
        <f t="shared" si="5"/>
        <v>RUN-COMB_2022-03-24_RFR-007</v>
      </c>
      <c r="W104" s="51"/>
      <c r="X104" s="51"/>
      <c r="Y104" s="147" t="str">
        <f t="shared" ref="Y104:Z104" si="208">IF(_xlfn.ISFORMULA(S104),IFERROR(0/0,""),TRUE)</f>
        <v/>
      </c>
      <c r="Z104" s="147" t="str">
        <f t="shared" si="208"/>
        <v/>
      </c>
    </row>
    <row r="105">
      <c r="A105" s="6" t="str">
        <f>IFERROR(__xludf.DUMMYFUNCTION("""COMPUTED_VALUE"""),"FM3675")</f>
        <v>FM3675</v>
      </c>
      <c r="B105" s="206">
        <f>IFERROR(__xludf.DUMMYFUNCTION("""COMPUTED_VALUE"""),44644.0)</f>
        <v>44644</v>
      </c>
      <c r="C105" s="207">
        <f>IFERROR(__xludf.DUMMYFUNCTION("""COMPUTED_VALUE"""),0.3353935185185185)</f>
        <v>0.3353935185</v>
      </c>
      <c r="D105" s="50"/>
      <c r="E105" s="58"/>
      <c r="F105" s="58"/>
      <c r="G105" s="58" t="str">
        <f>IFERROR(__xludf.DUMMYFUNCTION("""COMPUTED_VALUE"""),"Negative")</f>
        <v>Negative</v>
      </c>
      <c r="H105" s="206" t="str">
        <f>IFERROR(__xludf.DUMMYFUNCTION("""COMPUTED_VALUE"""),"Negative")</f>
        <v>Negative</v>
      </c>
      <c r="I105" s="207">
        <f>IFERROR(__xludf.DUMMYFUNCTION("""COMPUTED_VALUE"""),44644.0)</f>
        <v>44644</v>
      </c>
      <c r="J105" s="208">
        <f>IFERROR(__xludf.DUMMYFUNCTION("""COMPUTED_VALUE"""),0.3545949074074074)</f>
        <v>0.3545949074</v>
      </c>
      <c r="K105" s="50"/>
      <c r="L105" s="6"/>
      <c r="M105" s="55"/>
      <c r="N105" s="55">
        <f>IFERROR(__xludf.DUMMYFUNCTION("""COMPUTED_VALUE"""),1.0)</f>
        <v>1</v>
      </c>
      <c r="O105" s="55" t="str">
        <f t="shared" si="3"/>
        <v/>
      </c>
      <c r="P105" s="209"/>
      <c r="Q105" s="75" t="b">
        <f>VLOOKUP($B105,'Run Reconcile'!B$2:P1679,15,FALSE)</f>
        <v>1</v>
      </c>
      <c r="R105" s="211" t="str">
        <f t="array" ref="R105">IF($Q105, INDEX('Run Reconcile'!A$2:A1679,MATCH(B105,'Run Reconcile'!B$2:B1679,0),1),IFERROR(0/0,""))</f>
        <v>RUN-COMB_2022-03-24_RFR-007</v>
      </c>
      <c r="S105" s="165" t="str">
        <f t="shared" ref="S105:T105" si="209">IF(COUNTIF(W$2:W1679, $A105) &gt; 0,TRUE,IFERROR(0/0,""))</f>
        <v/>
      </c>
      <c r="T105" s="165" t="str">
        <f t="shared" si="209"/>
        <v/>
      </c>
      <c r="U105" s="147" t="str">
        <f t="array" ref="U105">IF(ISBLANK($R105), IF($S105,VLOOKUP($B105+1,'RFR Data - preExcl'!$BF$2:$BG1679,2,FALSE),IF($T105,INDEX('RFR Data - preExcl'!$BF$2:$BG1679,MATCH($B105,'RFR Data - preExcl'!$BF$2:$BF1679,0)+1,2),VLOOKUP($B105,'RFR Data - preExcl'!$BF$2:$BG1679,2,FALSE))),IFERROR(0/0,""))</f>
        <v/>
      </c>
      <c r="V105" s="212" t="str">
        <f t="shared" si="5"/>
        <v>RUN-COMB_2022-03-24_RFR-007</v>
      </c>
      <c r="W105" s="51"/>
      <c r="X105" s="51"/>
      <c r="Y105" s="147" t="str">
        <f t="shared" ref="Y105:Z105" si="210">IF(_xlfn.ISFORMULA(S105),IFERROR(0/0,""),TRUE)</f>
        <v/>
      </c>
      <c r="Z105" s="147" t="str">
        <f t="shared" si="210"/>
        <v/>
      </c>
    </row>
    <row r="106">
      <c r="A106" s="6" t="str">
        <f>IFERROR(__xludf.DUMMYFUNCTION("""COMPUTED_VALUE"""),"FM3449")</f>
        <v>FM3449</v>
      </c>
      <c r="B106" s="206">
        <f>IFERROR(__xludf.DUMMYFUNCTION("""COMPUTED_VALUE"""),44644.0)</f>
        <v>44644</v>
      </c>
      <c r="C106" s="207">
        <f>IFERROR(__xludf.DUMMYFUNCTION("""COMPUTED_VALUE"""),0.3358101851851852)</f>
        <v>0.3358101852</v>
      </c>
      <c r="D106" s="50"/>
      <c r="E106" s="58"/>
      <c r="F106" s="58"/>
      <c r="G106" s="58" t="str">
        <f>IFERROR(__xludf.DUMMYFUNCTION("""COMPUTED_VALUE"""),"Negative")</f>
        <v>Negative</v>
      </c>
      <c r="H106" s="206" t="str">
        <f>IFERROR(__xludf.DUMMYFUNCTION("""COMPUTED_VALUE"""),"Negative")</f>
        <v>Negative</v>
      </c>
      <c r="I106" s="207">
        <f>IFERROR(__xludf.DUMMYFUNCTION("""COMPUTED_VALUE"""),44644.0)</f>
        <v>44644</v>
      </c>
      <c r="J106" s="208">
        <f>IFERROR(__xludf.DUMMYFUNCTION("""COMPUTED_VALUE"""),0.3545949074074074)</f>
        <v>0.3545949074</v>
      </c>
      <c r="K106" s="50"/>
      <c r="L106" s="6"/>
      <c r="M106" s="55"/>
      <c r="N106" s="55">
        <f>IFERROR(__xludf.DUMMYFUNCTION("""COMPUTED_VALUE"""),1.0)</f>
        <v>1</v>
      </c>
      <c r="O106" s="55" t="str">
        <f t="shared" si="3"/>
        <v/>
      </c>
      <c r="P106" s="209"/>
      <c r="Q106" s="75" t="b">
        <f>VLOOKUP($B106,'Run Reconcile'!B$2:P1679,15,FALSE)</f>
        <v>1</v>
      </c>
      <c r="R106" s="211" t="str">
        <f t="array" ref="R106">IF($Q106, INDEX('Run Reconcile'!A$2:A1679,MATCH(B106,'Run Reconcile'!B$2:B1679,0),1),IFERROR(0/0,""))</f>
        <v>RUN-COMB_2022-03-24_RFR-007</v>
      </c>
      <c r="S106" s="165" t="str">
        <f t="shared" ref="S106:T106" si="211">IF(COUNTIF(W$2:W1679, $A106) &gt; 0,TRUE,IFERROR(0/0,""))</f>
        <v/>
      </c>
      <c r="T106" s="165" t="str">
        <f t="shared" si="211"/>
        <v/>
      </c>
      <c r="U106" s="147" t="str">
        <f t="array" ref="U106">IF(ISBLANK($R106), IF($S106,VLOOKUP($B106+1,'RFR Data - preExcl'!$BF$2:$BG1679,2,FALSE),IF($T106,INDEX('RFR Data - preExcl'!$BF$2:$BG1679,MATCH($B106,'RFR Data - preExcl'!$BF$2:$BF1679,0)+1,2),VLOOKUP($B106,'RFR Data - preExcl'!$BF$2:$BG1679,2,FALSE))),IFERROR(0/0,""))</f>
        <v/>
      </c>
      <c r="V106" s="212" t="str">
        <f t="shared" si="5"/>
        <v>RUN-COMB_2022-03-24_RFR-007</v>
      </c>
      <c r="W106" s="51"/>
      <c r="X106" s="51"/>
      <c r="Y106" s="147" t="str">
        <f t="shared" ref="Y106:Z106" si="212">IF(_xlfn.ISFORMULA(S106),IFERROR(0/0,""),TRUE)</f>
        <v/>
      </c>
      <c r="Z106" s="147" t="str">
        <f t="shared" si="212"/>
        <v/>
      </c>
    </row>
    <row r="107">
      <c r="A107" s="6" t="str">
        <f>IFERROR(__xludf.DUMMYFUNCTION("""COMPUTED_VALUE"""),"FM3663")</f>
        <v>FM3663</v>
      </c>
      <c r="B107" s="206">
        <f>IFERROR(__xludf.DUMMYFUNCTION("""COMPUTED_VALUE"""),44644.0)</f>
        <v>44644</v>
      </c>
      <c r="C107" s="207">
        <f>IFERROR(__xludf.DUMMYFUNCTION("""COMPUTED_VALUE"""),0.33640046296296294)</f>
        <v>0.336400463</v>
      </c>
      <c r="D107" s="50"/>
      <c r="E107" s="58"/>
      <c r="F107" s="58"/>
      <c r="G107" s="58" t="str">
        <f>IFERROR(__xludf.DUMMYFUNCTION("""COMPUTED_VALUE"""),"Negative")</f>
        <v>Negative</v>
      </c>
      <c r="H107" s="206" t="str">
        <f>IFERROR(__xludf.DUMMYFUNCTION("""COMPUTED_VALUE"""),"Negative")</f>
        <v>Negative</v>
      </c>
      <c r="I107" s="207">
        <f>IFERROR(__xludf.DUMMYFUNCTION("""COMPUTED_VALUE"""),44644.0)</f>
        <v>44644</v>
      </c>
      <c r="J107" s="208">
        <f>IFERROR(__xludf.DUMMYFUNCTION("""COMPUTED_VALUE"""),0.3545949074074074)</f>
        <v>0.3545949074</v>
      </c>
      <c r="K107" s="50"/>
      <c r="L107" s="6"/>
      <c r="M107" s="55"/>
      <c r="N107" s="55">
        <f>IFERROR(__xludf.DUMMYFUNCTION("""COMPUTED_VALUE"""),1.0)</f>
        <v>1</v>
      </c>
      <c r="O107" s="55" t="str">
        <f t="shared" si="3"/>
        <v/>
      </c>
      <c r="P107" s="209"/>
      <c r="Q107" s="75" t="b">
        <f>VLOOKUP($B107,'Run Reconcile'!B$2:P1679,15,FALSE)</f>
        <v>1</v>
      </c>
      <c r="R107" s="211" t="str">
        <f t="array" ref="R107">IF($Q107, INDEX('Run Reconcile'!A$2:A1679,MATCH(B107,'Run Reconcile'!B$2:B1679,0),1),IFERROR(0/0,""))</f>
        <v>RUN-COMB_2022-03-24_RFR-007</v>
      </c>
      <c r="S107" s="165" t="str">
        <f t="shared" ref="S107:T107" si="213">IF(COUNTIF(W$2:W1679, $A107) &gt; 0,TRUE,IFERROR(0/0,""))</f>
        <v/>
      </c>
      <c r="T107" s="165" t="str">
        <f t="shared" si="213"/>
        <v/>
      </c>
      <c r="U107" s="147" t="str">
        <f t="array" ref="U107">IF(ISBLANK($R107), IF($S107,VLOOKUP($B107+1,'RFR Data - preExcl'!$BF$2:$BG1679,2,FALSE),IF($T107,INDEX('RFR Data - preExcl'!$BF$2:$BG1679,MATCH($B107,'RFR Data - preExcl'!$BF$2:$BF1679,0)+1,2),VLOOKUP($B107,'RFR Data - preExcl'!$BF$2:$BG1679,2,FALSE))),IFERROR(0/0,""))</f>
        <v/>
      </c>
      <c r="V107" s="212" t="str">
        <f t="shared" si="5"/>
        <v>RUN-COMB_2022-03-24_RFR-007</v>
      </c>
      <c r="W107" s="51"/>
      <c r="X107" s="51"/>
      <c r="Y107" s="147" t="str">
        <f t="shared" ref="Y107:Z107" si="214">IF(_xlfn.ISFORMULA(S107),IFERROR(0/0,""),TRUE)</f>
        <v/>
      </c>
      <c r="Z107" s="147" t="str">
        <f t="shared" si="214"/>
        <v/>
      </c>
    </row>
    <row r="108">
      <c r="A108" s="6" t="str">
        <f>IFERROR(__xludf.DUMMYFUNCTION("""COMPUTED_VALUE"""),"FM3426")</f>
        <v>FM3426</v>
      </c>
      <c r="B108" s="206">
        <f>IFERROR(__xludf.DUMMYFUNCTION("""COMPUTED_VALUE"""),44644.0)</f>
        <v>44644</v>
      </c>
      <c r="C108" s="207">
        <f>IFERROR(__xludf.DUMMYFUNCTION("""COMPUTED_VALUE"""),0.33689814814814817)</f>
        <v>0.3368981481</v>
      </c>
      <c r="D108" s="50"/>
      <c r="E108" s="58"/>
      <c r="F108" s="58"/>
      <c r="G108" s="58" t="str">
        <f>IFERROR(__xludf.DUMMYFUNCTION("""COMPUTED_VALUE"""),"Negative")</f>
        <v>Negative</v>
      </c>
      <c r="H108" s="206" t="str">
        <f>IFERROR(__xludf.DUMMYFUNCTION("""COMPUTED_VALUE"""),"Negative")</f>
        <v>Negative</v>
      </c>
      <c r="I108" s="207">
        <f>IFERROR(__xludf.DUMMYFUNCTION("""COMPUTED_VALUE"""),44644.0)</f>
        <v>44644</v>
      </c>
      <c r="J108" s="208">
        <f>IFERROR(__xludf.DUMMYFUNCTION("""COMPUTED_VALUE"""),0.3546064814814815)</f>
        <v>0.3546064815</v>
      </c>
      <c r="K108" s="50"/>
      <c r="L108" s="6"/>
      <c r="M108" s="55"/>
      <c r="N108" s="55">
        <f>IFERROR(__xludf.DUMMYFUNCTION("""COMPUTED_VALUE"""),1.0)</f>
        <v>1</v>
      </c>
      <c r="O108" s="55" t="str">
        <f t="shared" si="3"/>
        <v/>
      </c>
      <c r="P108" s="209"/>
      <c r="Q108" s="75" t="b">
        <f>VLOOKUP($B108,'Run Reconcile'!B$2:P1679,15,FALSE)</f>
        <v>1</v>
      </c>
      <c r="R108" s="211" t="str">
        <f t="array" ref="R108">IF($Q108, INDEX('Run Reconcile'!A$2:A1679,MATCH(B108,'Run Reconcile'!B$2:B1679,0),1),IFERROR(0/0,""))</f>
        <v>RUN-COMB_2022-03-24_RFR-007</v>
      </c>
      <c r="S108" s="165" t="str">
        <f t="shared" ref="S108:T108" si="215">IF(COUNTIF(W$2:W1679, $A108) &gt; 0,TRUE,IFERROR(0/0,""))</f>
        <v/>
      </c>
      <c r="T108" s="165" t="str">
        <f t="shared" si="215"/>
        <v/>
      </c>
      <c r="U108" s="147" t="str">
        <f t="array" ref="U108">IF(ISBLANK($R108), IF($S108,VLOOKUP($B108+1,'RFR Data - preExcl'!$BF$2:$BG1679,2,FALSE),IF($T108,INDEX('RFR Data - preExcl'!$BF$2:$BG1679,MATCH($B108,'RFR Data - preExcl'!$BF$2:$BF1679,0)+1,2),VLOOKUP($B108,'RFR Data - preExcl'!$BF$2:$BG1679,2,FALSE))),IFERROR(0/0,""))</f>
        <v/>
      </c>
      <c r="V108" s="212" t="str">
        <f t="shared" si="5"/>
        <v>RUN-COMB_2022-03-24_RFR-007</v>
      </c>
      <c r="W108" s="51"/>
      <c r="X108" s="51"/>
      <c r="Y108" s="147" t="str">
        <f t="shared" ref="Y108:Z108" si="216">IF(_xlfn.ISFORMULA(S108),IFERROR(0/0,""),TRUE)</f>
        <v/>
      </c>
      <c r="Z108" s="147" t="str">
        <f t="shared" si="216"/>
        <v/>
      </c>
    </row>
    <row r="109">
      <c r="A109" s="6" t="str">
        <f>IFERROR(__xludf.DUMMYFUNCTION("""COMPUTED_VALUE"""),"FM3434")</f>
        <v>FM3434</v>
      </c>
      <c r="B109" s="206">
        <f>IFERROR(__xludf.DUMMYFUNCTION("""COMPUTED_VALUE"""),44644.0)</f>
        <v>44644</v>
      </c>
      <c r="C109" s="207">
        <f>IFERROR(__xludf.DUMMYFUNCTION("""COMPUTED_VALUE"""),0.3372685185185185)</f>
        <v>0.3372685185</v>
      </c>
      <c r="D109" s="50"/>
      <c r="E109" s="58"/>
      <c r="F109" s="58"/>
      <c r="G109" s="58" t="str">
        <f>IFERROR(__xludf.DUMMYFUNCTION("""COMPUTED_VALUE"""),"Negative")</f>
        <v>Negative</v>
      </c>
      <c r="H109" s="206" t="str">
        <f>IFERROR(__xludf.DUMMYFUNCTION("""COMPUTED_VALUE"""),"Negative")</f>
        <v>Negative</v>
      </c>
      <c r="I109" s="207">
        <f>IFERROR(__xludf.DUMMYFUNCTION("""COMPUTED_VALUE"""),44644.0)</f>
        <v>44644</v>
      </c>
      <c r="J109" s="208">
        <f>IFERROR(__xludf.DUMMYFUNCTION("""COMPUTED_VALUE"""),0.3546064814814815)</f>
        <v>0.3546064815</v>
      </c>
      <c r="K109" s="50"/>
      <c r="L109" s="6"/>
      <c r="M109" s="55"/>
      <c r="N109" s="55">
        <f>IFERROR(__xludf.DUMMYFUNCTION("""COMPUTED_VALUE"""),1.0)</f>
        <v>1</v>
      </c>
      <c r="O109" s="55" t="str">
        <f t="shared" si="3"/>
        <v/>
      </c>
      <c r="P109" s="209"/>
      <c r="Q109" s="75" t="b">
        <f>VLOOKUP($B109,'Run Reconcile'!B$2:P1679,15,FALSE)</f>
        <v>1</v>
      </c>
      <c r="R109" s="211" t="str">
        <f t="array" ref="R109">IF($Q109, INDEX('Run Reconcile'!A$2:A1679,MATCH(B109,'Run Reconcile'!B$2:B1679,0),1),IFERROR(0/0,""))</f>
        <v>RUN-COMB_2022-03-24_RFR-007</v>
      </c>
      <c r="S109" s="165" t="str">
        <f t="shared" ref="S109:T109" si="217">IF(COUNTIF(W$2:W1679, $A109) &gt; 0,TRUE,IFERROR(0/0,""))</f>
        <v/>
      </c>
      <c r="T109" s="165" t="str">
        <f t="shared" si="217"/>
        <v/>
      </c>
      <c r="U109" s="147" t="str">
        <f t="array" ref="U109">IF(ISBLANK($R109), IF($S109,VLOOKUP($B109+1,'RFR Data - preExcl'!$BF$2:$BG1679,2,FALSE),IF($T109,INDEX('RFR Data - preExcl'!$BF$2:$BG1679,MATCH($B109,'RFR Data - preExcl'!$BF$2:$BF1679,0)+1,2),VLOOKUP($B109,'RFR Data - preExcl'!$BF$2:$BG1679,2,FALSE))),IFERROR(0/0,""))</f>
        <v/>
      </c>
      <c r="V109" s="212" t="str">
        <f t="shared" si="5"/>
        <v>RUN-COMB_2022-03-24_RFR-007</v>
      </c>
      <c r="W109" s="51"/>
      <c r="X109" s="51"/>
      <c r="Y109" s="147" t="str">
        <f t="shared" ref="Y109:Z109" si="218">IF(_xlfn.ISFORMULA(S109),IFERROR(0/0,""),TRUE)</f>
        <v/>
      </c>
      <c r="Z109" s="147" t="str">
        <f t="shared" si="218"/>
        <v/>
      </c>
    </row>
    <row r="110">
      <c r="A110" s="6" t="str">
        <f>IFERROR(__xludf.DUMMYFUNCTION("""COMPUTED_VALUE"""),"FM3454")</f>
        <v>FM3454</v>
      </c>
      <c r="B110" s="206">
        <f>IFERROR(__xludf.DUMMYFUNCTION("""COMPUTED_VALUE"""),44644.0)</f>
        <v>44644</v>
      </c>
      <c r="C110" s="207">
        <f>IFERROR(__xludf.DUMMYFUNCTION("""COMPUTED_VALUE"""),0.33761574074074074)</f>
        <v>0.3376157407</v>
      </c>
      <c r="D110" s="50"/>
      <c r="E110" s="58"/>
      <c r="F110" s="58"/>
      <c r="G110" s="58" t="str">
        <f>IFERROR(__xludf.DUMMYFUNCTION("""COMPUTED_VALUE"""),"Negative")</f>
        <v>Negative</v>
      </c>
      <c r="H110" s="206" t="str">
        <f>IFERROR(__xludf.DUMMYFUNCTION("""COMPUTED_VALUE"""),"Negative")</f>
        <v>Negative</v>
      </c>
      <c r="I110" s="207">
        <f>IFERROR(__xludf.DUMMYFUNCTION("""COMPUTED_VALUE"""),44644.0)</f>
        <v>44644</v>
      </c>
      <c r="J110" s="208">
        <f>IFERROR(__xludf.DUMMYFUNCTION("""COMPUTED_VALUE"""),0.3546064814814815)</f>
        <v>0.3546064815</v>
      </c>
      <c r="K110" s="50"/>
      <c r="L110" s="6"/>
      <c r="M110" s="55"/>
      <c r="N110" s="55">
        <f>IFERROR(__xludf.DUMMYFUNCTION("""COMPUTED_VALUE"""),1.0)</f>
        <v>1</v>
      </c>
      <c r="O110" s="55" t="str">
        <f t="shared" si="3"/>
        <v/>
      </c>
      <c r="P110" s="209"/>
      <c r="Q110" s="75" t="b">
        <f>VLOOKUP($B110,'Run Reconcile'!B$2:P1679,15,FALSE)</f>
        <v>1</v>
      </c>
      <c r="R110" s="211" t="str">
        <f t="array" ref="R110">IF($Q110, INDEX('Run Reconcile'!A$2:A1679,MATCH(B110,'Run Reconcile'!B$2:B1679,0),1),IFERROR(0/0,""))</f>
        <v>RUN-COMB_2022-03-24_RFR-007</v>
      </c>
      <c r="S110" s="165" t="str">
        <f t="shared" ref="S110:T110" si="219">IF(COUNTIF(W$2:W1679, $A110) &gt; 0,TRUE,IFERROR(0/0,""))</f>
        <v/>
      </c>
      <c r="T110" s="165" t="str">
        <f t="shared" si="219"/>
        <v/>
      </c>
      <c r="U110" s="147" t="str">
        <f t="array" ref="U110">IF(ISBLANK($R110), IF($S110,VLOOKUP($B110+1,'RFR Data - preExcl'!$BF$2:$BG1679,2,FALSE),IF($T110,INDEX('RFR Data - preExcl'!$BF$2:$BG1679,MATCH($B110,'RFR Data - preExcl'!$BF$2:$BF1679,0)+1,2),VLOOKUP($B110,'RFR Data - preExcl'!$BF$2:$BG1679,2,FALSE))),IFERROR(0/0,""))</f>
        <v/>
      </c>
      <c r="V110" s="212" t="str">
        <f t="shared" si="5"/>
        <v>RUN-COMB_2022-03-24_RFR-007</v>
      </c>
      <c r="W110" s="51"/>
      <c r="X110" s="51"/>
      <c r="Y110" s="147" t="str">
        <f t="shared" ref="Y110:Z110" si="220">IF(_xlfn.ISFORMULA(S110),IFERROR(0/0,""),TRUE)</f>
        <v/>
      </c>
      <c r="Z110" s="147" t="str">
        <f t="shared" si="220"/>
        <v/>
      </c>
    </row>
    <row r="111">
      <c r="A111" s="6" t="str">
        <f>IFERROR(__xludf.DUMMYFUNCTION("""COMPUTED_VALUE"""),"FM3456")</f>
        <v>FM3456</v>
      </c>
      <c r="B111" s="206">
        <f>IFERROR(__xludf.DUMMYFUNCTION("""COMPUTED_VALUE"""),44644.0)</f>
        <v>44644</v>
      </c>
      <c r="C111" s="207">
        <f>IFERROR(__xludf.DUMMYFUNCTION("""COMPUTED_VALUE"""),0.3379861111111111)</f>
        <v>0.3379861111</v>
      </c>
      <c r="D111" s="50"/>
      <c r="E111" s="58"/>
      <c r="F111" s="58"/>
      <c r="G111" s="58" t="str">
        <f>IFERROR(__xludf.DUMMYFUNCTION("""COMPUTED_VALUE"""),"Negative")</f>
        <v>Negative</v>
      </c>
      <c r="H111" s="206" t="str">
        <f>IFERROR(__xludf.DUMMYFUNCTION("""COMPUTED_VALUE"""),"Negative")</f>
        <v>Negative</v>
      </c>
      <c r="I111" s="207">
        <f>IFERROR(__xludf.DUMMYFUNCTION("""COMPUTED_VALUE"""),44644.0)</f>
        <v>44644</v>
      </c>
      <c r="J111" s="208">
        <f>IFERROR(__xludf.DUMMYFUNCTION("""COMPUTED_VALUE"""),0.3546064814814815)</f>
        <v>0.3546064815</v>
      </c>
      <c r="K111" s="50"/>
      <c r="L111" s="6"/>
      <c r="M111" s="55"/>
      <c r="N111" s="55">
        <f>IFERROR(__xludf.DUMMYFUNCTION("""COMPUTED_VALUE"""),1.0)</f>
        <v>1</v>
      </c>
      <c r="O111" s="55" t="str">
        <f t="shared" si="3"/>
        <v/>
      </c>
      <c r="P111" s="209"/>
      <c r="Q111" s="75" t="b">
        <f>VLOOKUP($B111,'Run Reconcile'!B$2:P1679,15,FALSE)</f>
        <v>1</v>
      </c>
      <c r="R111" s="211" t="str">
        <f t="array" ref="R111">IF($Q111, INDEX('Run Reconcile'!A$2:A1679,MATCH(B111,'Run Reconcile'!B$2:B1679,0),1),IFERROR(0/0,""))</f>
        <v>RUN-COMB_2022-03-24_RFR-007</v>
      </c>
      <c r="S111" s="165" t="str">
        <f t="shared" ref="S111:T111" si="221">IF(COUNTIF(W$2:W1679, $A111) &gt; 0,TRUE,IFERROR(0/0,""))</f>
        <v/>
      </c>
      <c r="T111" s="165" t="str">
        <f t="shared" si="221"/>
        <v/>
      </c>
      <c r="U111" s="147" t="str">
        <f t="array" ref="U111">IF(ISBLANK($R111), IF($S111,VLOOKUP($B111+1,'RFR Data - preExcl'!$BF$2:$BG1679,2,FALSE),IF($T111,INDEX('RFR Data - preExcl'!$BF$2:$BG1679,MATCH($B111,'RFR Data - preExcl'!$BF$2:$BF1679,0)+1,2),VLOOKUP($B111,'RFR Data - preExcl'!$BF$2:$BG1679,2,FALSE))),IFERROR(0/0,""))</f>
        <v/>
      </c>
      <c r="V111" s="212" t="str">
        <f t="shared" si="5"/>
        <v>RUN-COMB_2022-03-24_RFR-007</v>
      </c>
      <c r="W111" s="51"/>
      <c r="X111" s="51"/>
      <c r="Y111" s="147" t="str">
        <f t="shared" ref="Y111:Z111" si="222">IF(_xlfn.ISFORMULA(S111),IFERROR(0/0,""),TRUE)</f>
        <v/>
      </c>
      <c r="Z111" s="147" t="str">
        <f t="shared" si="222"/>
        <v/>
      </c>
    </row>
    <row r="112">
      <c r="A112" s="6" t="str">
        <f>IFERROR(__xludf.DUMMYFUNCTION("""COMPUTED_VALUE"""),"FM3471")</f>
        <v>FM3471</v>
      </c>
      <c r="B112" s="206">
        <f>IFERROR(__xludf.DUMMYFUNCTION("""COMPUTED_VALUE"""),44644.0)</f>
        <v>44644</v>
      </c>
      <c r="C112" s="207">
        <f>IFERROR(__xludf.DUMMYFUNCTION("""COMPUTED_VALUE"""),0.33858796296296295)</f>
        <v>0.338587963</v>
      </c>
      <c r="D112" s="50"/>
      <c r="E112" s="58"/>
      <c r="F112" s="58"/>
      <c r="G112" s="58" t="str">
        <f>IFERROR(__xludf.DUMMYFUNCTION("""COMPUTED_VALUE"""),"Negative")</f>
        <v>Negative</v>
      </c>
      <c r="H112" s="206" t="str">
        <f>IFERROR(__xludf.DUMMYFUNCTION("""COMPUTED_VALUE"""),"Negative")</f>
        <v>Negative</v>
      </c>
      <c r="I112" s="207">
        <f>IFERROR(__xludf.DUMMYFUNCTION("""COMPUTED_VALUE"""),44644.0)</f>
        <v>44644</v>
      </c>
      <c r="J112" s="208">
        <f>IFERROR(__xludf.DUMMYFUNCTION("""COMPUTED_VALUE"""),0.3546064814814815)</f>
        <v>0.3546064815</v>
      </c>
      <c r="K112" s="50"/>
      <c r="L112" s="6"/>
      <c r="M112" s="55"/>
      <c r="N112" s="55">
        <f>IFERROR(__xludf.DUMMYFUNCTION("""COMPUTED_VALUE"""),1.0)</f>
        <v>1</v>
      </c>
      <c r="O112" s="55" t="str">
        <f t="shared" si="3"/>
        <v/>
      </c>
      <c r="P112" s="209"/>
      <c r="Q112" s="75" t="b">
        <f>VLOOKUP($B112,'Run Reconcile'!B$2:P1679,15,FALSE)</f>
        <v>1</v>
      </c>
      <c r="R112" s="211" t="str">
        <f t="array" ref="R112">IF($Q112, INDEX('Run Reconcile'!A$2:A1679,MATCH(B112,'Run Reconcile'!B$2:B1679,0),1),IFERROR(0/0,""))</f>
        <v>RUN-COMB_2022-03-24_RFR-007</v>
      </c>
      <c r="S112" s="165" t="str">
        <f t="shared" ref="S112:T112" si="223">IF(COUNTIF(W$2:W1679, $A112) &gt; 0,TRUE,IFERROR(0/0,""))</f>
        <v/>
      </c>
      <c r="T112" s="165" t="str">
        <f t="shared" si="223"/>
        <v/>
      </c>
      <c r="U112" s="147" t="str">
        <f t="array" ref="U112">IF(ISBLANK($R112), IF($S112,VLOOKUP($B112+1,'RFR Data - preExcl'!$BF$2:$BG1679,2,FALSE),IF($T112,INDEX('RFR Data - preExcl'!$BF$2:$BG1679,MATCH($B112,'RFR Data - preExcl'!$BF$2:$BF1679,0)+1,2),VLOOKUP($B112,'RFR Data - preExcl'!$BF$2:$BG1679,2,FALSE))),IFERROR(0/0,""))</f>
        <v/>
      </c>
      <c r="V112" s="212" t="str">
        <f t="shared" si="5"/>
        <v>RUN-COMB_2022-03-24_RFR-007</v>
      </c>
      <c r="W112" s="51"/>
      <c r="X112" s="51"/>
      <c r="Y112" s="147" t="str">
        <f t="shared" ref="Y112:Z112" si="224">IF(_xlfn.ISFORMULA(S112),IFERROR(0/0,""),TRUE)</f>
        <v/>
      </c>
      <c r="Z112" s="147" t="str">
        <f t="shared" si="224"/>
        <v/>
      </c>
    </row>
    <row r="113">
      <c r="A113" s="6" t="str">
        <f>IFERROR(__xludf.DUMMYFUNCTION("""COMPUTED_VALUE"""),"FM3452")</f>
        <v>FM3452</v>
      </c>
      <c r="B113" s="206">
        <f>IFERROR(__xludf.DUMMYFUNCTION("""COMPUTED_VALUE"""),44644.0)</f>
        <v>44644</v>
      </c>
      <c r="C113" s="207">
        <f>IFERROR(__xludf.DUMMYFUNCTION("""COMPUTED_VALUE"""),0.33900462962962963)</f>
        <v>0.3390046296</v>
      </c>
      <c r="D113" s="50"/>
      <c r="E113" s="58"/>
      <c r="F113" s="58"/>
      <c r="G113" s="58" t="str">
        <f>IFERROR(__xludf.DUMMYFUNCTION("""COMPUTED_VALUE"""),"Negative")</f>
        <v>Negative</v>
      </c>
      <c r="H113" s="206" t="str">
        <f>IFERROR(__xludf.DUMMYFUNCTION("""COMPUTED_VALUE"""),"Negative")</f>
        <v>Negative</v>
      </c>
      <c r="I113" s="207">
        <f>IFERROR(__xludf.DUMMYFUNCTION("""COMPUTED_VALUE"""),44644.0)</f>
        <v>44644</v>
      </c>
      <c r="J113" s="208">
        <f>IFERROR(__xludf.DUMMYFUNCTION("""COMPUTED_VALUE"""),0.3546064814814815)</f>
        <v>0.3546064815</v>
      </c>
      <c r="K113" s="50"/>
      <c r="L113" s="6"/>
      <c r="M113" s="55"/>
      <c r="N113" s="55">
        <f>IFERROR(__xludf.DUMMYFUNCTION("""COMPUTED_VALUE"""),1.0)</f>
        <v>1</v>
      </c>
      <c r="O113" s="55" t="str">
        <f t="shared" si="3"/>
        <v/>
      </c>
      <c r="P113" s="209"/>
      <c r="Q113" s="75" t="b">
        <f>VLOOKUP($B113,'Run Reconcile'!B$2:P1679,15,FALSE)</f>
        <v>1</v>
      </c>
      <c r="R113" s="211" t="str">
        <f t="array" ref="R113">IF($Q113, INDEX('Run Reconcile'!A$2:A1679,MATCH(B113,'Run Reconcile'!B$2:B1679,0),1),IFERROR(0/0,""))</f>
        <v>RUN-COMB_2022-03-24_RFR-007</v>
      </c>
      <c r="S113" s="165" t="str">
        <f t="shared" ref="S113:T113" si="225">IF(COUNTIF(W$2:W1679, $A113) &gt; 0,TRUE,IFERROR(0/0,""))</f>
        <v/>
      </c>
      <c r="T113" s="165" t="str">
        <f t="shared" si="225"/>
        <v/>
      </c>
      <c r="U113" s="147" t="str">
        <f t="array" ref="U113">IF(ISBLANK($R113), IF($S113,VLOOKUP($B113+1,'RFR Data - preExcl'!$BF$2:$BG1679,2,FALSE),IF($T113,INDEX('RFR Data - preExcl'!$BF$2:$BG1679,MATCH($B113,'RFR Data - preExcl'!$BF$2:$BF1679,0)+1,2),VLOOKUP($B113,'RFR Data - preExcl'!$BF$2:$BG1679,2,FALSE))),IFERROR(0/0,""))</f>
        <v/>
      </c>
      <c r="V113" s="212" t="str">
        <f t="shared" si="5"/>
        <v>RUN-COMB_2022-03-24_RFR-007</v>
      </c>
      <c r="W113" s="51"/>
      <c r="X113" s="51"/>
      <c r="Y113" s="147" t="str">
        <f t="shared" ref="Y113:Z113" si="226">IF(_xlfn.ISFORMULA(S113),IFERROR(0/0,""),TRUE)</f>
        <v/>
      </c>
      <c r="Z113" s="147" t="str">
        <f t="shared" si="226"/>
        <v/>
      </c>
    </row>
    <row r="114">
      <c r="A114" s="6" t="str">
        <f>IFERROR(__xludf.DUMMYFUNCTION("""COMPUTED_VALUE"""),"FM3405")</f>
        <v>FM3405</v>
      </c>
      <c r="B114" s="206">
        <f>IFERROR(__xludf.DUMMYFUNCTION("""COMPUTED_VALUE"""),44644.0)</f>
        <v>44644</v>
      </c>
      <c r="C114" s="207">
        <f>IFERROR(__xludf.DUMMYFUNCTION("""COMPUTED_VALUE"""),0.33980324074074075)</f>
        <v>0.3398032407</v>
      </c>
      <c r="D114" s="50"/>
      <c r="E114" s="58"/>
      <c r="F114" s="58"/>
      <c r="G114" s="58" t="str">
        <f>IFERROR(__xludf.DUMMYFUNCTION("""COMPUTED_VALUE"""),"Negative")</f>
        <v>Negative</v>
      </c>
      <c r="H114" s="206" t="str">
        <f>IFERROR(__xludf.DUMMYFUNCTION("""COMPUTED_VALUE"""),"Negative")</f>
        <v>Negative</v>
      </c>
      <c r="I114" s="207">
        <f>IFERROR(__xludf.DUMMYFUNCTION("""COMPUTED_VALUE"""),44644.0)</f>
        <v>44644</v>
      </c>
      <c r="J114" s="208">
        <f>IFERROR(__xludf.DUMMYFUNCTION("""COMPUTED_VALUE"""),0.3546064814814815)</f>
        <v>0.3546064815</v>
      </c>
      <c r="K114" s="50"/>
      <c r="L114" s="6"/>
      <c r="M114" s="55"/>
      <c r="N114" s="55">
        <f>IFERROR(__xludf.DUMMYFUNCTION("""COMPUTED_VALUE"""),1.0)</f>
        <v>1</v>
      </c>
      <c r="O114" s="55" t="str">
        <f t="shared" si="3"/>
        <v/>
      </c>
      <c r="P114" s="209"/>
      <c r="Q114" s="75" t="b">
        <f>VLOOKUP($B114,'Run Reconcile'!B$2:P1679,15,FALSE)</f>
        <v>1</v>
      </c>
      <c r="R114" s="211" t="str">
        <f t="array" ref="R114">IF($Q114, INDEX('Run Reconcile'!A$2:A1679,MATCH(B114,'Run Reconcile'!B$2:B1679,0),1),IFERROR(0/0,""))</f>
        <v>RUN-COMB_2022-03-24_RFR-007</v>
      </c>
      <c r="S114" s="165" t="str">
        <f t="shared" ref="S114:T114" si="227">IF(COUNTIF(W$2:W1679, $A114) &gt; 0,TRUE,IFERROR(0/0,""))</f>
        <v/>
      </c>
      <c r="T114" s="165" t="str">
        <f t="shared" si="227"/>
        <v/>
      </c>
      <c r="U114" s="147" t="str">
        <f t="array" ref="U114">IF(ISBLANK($R114), IF($S114,VLOOKUP($B114+1,'RFR Data - preExcl'!$BF$2:$BG1679,2,FALSE),IF($T114,INDEX('RFR Data - preExcl'!$BF$2:$BG1679,MATCH($B114,'RFR Data - preExcl'!$BF$2:$BF1679,0)+1,2),VLOOKUP($B114,'RFR Data - preExcl'!$BF$2:$BG1679,2,FALSE))),IFERROR(0/0,""))</f>
        <v/>
      </c>
      <c r="V114" s="212" t="str">
        <f t="shared" si="5"/>
        <v>RUN-COMB_2022-03-24_RFR-007</v>
      </c>
      <c r="W114" s="51"/>
      <c r="X114" s="51"/>
      <c r="Y114" s="147" t="str">
        <f t="shared" ref="Y114:Z114" si="228">IF(_xlfn.ISFORMULA(S114),IFERROR(0/0,""),TRUE)</f>
        <v/>
      </c>
      <c r="Z114" s="147" t="str">
        <f t="shared" si="228"/>
        <v/>
      </c>
    </row>
    <row r="115">
      <c r="A115" s="6" t="str">
        <f>IFERROR(__xludf.DUMMYFUNCTION("""COMPUTED_VALUE"""),"FM3661")</f>
        <v>FM3661</v>
      </c>
      <c r="B115" s="206">
        <f>IFERROR(__xludf.DUMMYFUNCTION("""COMPUTED_VALUE"""),44644.0)</f>
        <v>44644</v>
      </c>
      <c r="C115" s="207">
        <f>IFERROR(__xludf.DUMMYFUNCTION("""COMPUTED_VALUE"""),0.3407060185185185)</f>
        <v>0.3407060185</v>
      </c>
      <c r="D115" s="50"/>
      <c r="E115" s="58"/>
      <c r="F115" s="58"/>
      <c r="G115" s="58" t="str">
        <f>IFERROR(__xludf.DUMMYFUNCTION("""COMPUTED_VALUE"""),"Negative")</f>
        <v>Negative</v>
      </c>
      <c r="H115" s="206" t="str">
        <f>IFERROR(__xludf.DUMMYFUNCTION("""COMPUTED_VALUE"""),"Negative")</f>
        <v>Negative</v>
      </c>
      <c r="I115" s="207">
        <f>IFERROR(__xludf.DUMMYFUNCTION("""COMPUTED_VALUE"""),44644.0)</f>
        <v>44644</v>
      </c>
      <c r="J115" s="208">
        <f>IFERROR(__xludf.DUMMYFUNCTION("""COMPUTED_VALUE"""),0.3546064814814815)</f>
        <v>0.3546064815</v>
      </c>
      <c r="K115" s="50"/>
      <c r="L115" s="6"/>
      <c r="M115" s="55"/>
      <c r="N115" s="55">
        <f>IFERROR(__xludf.DUMMYFUNCTION("""COMPUTED_VALUE"""),1.0)</f>
        <v>1</v>
      </c>
      <c r="O115" s="55" t="str">
        <f t="shared" si="3"/>
        <v/>
      </c>
      <c r="P115" s="209"/>
      <c r="Q115" s="75" t="b">
        <f>VLOOKUP($B115,'Run Reconcile'!B$2:P1679,15,FALSE)</f>
        <v>1</v>
      </c>
      <c r="R115" s="211" t="str">
        <f t="array" ref="R115">IF($Q115, INDEX('Run Reconcile'!A$2:A1679,MATCH(B115,'Run Reconcile'!B$2:B1679,0),1),IFERROR(0/0,""))</f>
        <v>RUN-COMB_2022-03-24_RFR-007</v>
      </c>
      <c r="S115" s="165" t="str">
        <f t="shared" ref="S115:T115" si="229">IF(COUNTIF(W$2:W1679, $A115) &gt; 0,TRUE,IFERROR(0/0,""))</f>
        <v/>
      </c>
      <c r="T115" s="165" t="str">
        <f t="shared" si="229"/>
        <v/>
      </c>
      <c r="U115" s="147" t="str">
        <f t="array" ref="U115">IF(ISBLANK($R115), IF($S115,VLOOKUP($B115+1,'RFR Data - preExcl'!$BF$2:$BG1679,2,FALSE),IF($T115,INDEX('RFR Data - preExcl'!$BF$2:$BG1679,MATCH($B115,'RFR Data - preExcl'!$BF$2:$BF1679,0)+1,2),VLOOKUP($B115,'RFR Data - preExcl'!$BF$2:$BG1679,2,FALSE))),IFERROR(0/0,""))</f>
        <v/>
      </c>
      <c r="V115" s="212" t="str">
        <f t="shared" si="5"/>
        <v>RUN-COMB_2022-03-24_RFR-007</v>
      </c>
      <c r="W115" s="51"/>
      <c r="X115" s="51"/>
      <c r="Y115" s="147" t="str">
        <f t="shared" ref="Y115:Z115" si="230">IF(_xlfn.ISFORMULA(S115),IFERROR(0/0,""),TRUE)</f>
        <v/>
      </c>
      <c r="Z115" s="147" t="str">
        <f t="shared" si="230"/>
        <v/>
      </c>
    </row>
    <row r="116">
      <c r="A116" s="6" t="str">
        <f>IFERROR(__xludf.DUMMYFUNCTION("""COMPUTED_VALUE"""),"FM3413")</f>
        <v>FM3413</v>
      </c>
      <c r="B116" s="206">
        <f>IFERROR(__xludf.DUMMYFUNCTION("""COMPUTED_VALUE"""),44644.0)</f>
        <v>44644</v>
      </c>
      <c r="C116" s="207">
        <f>IFERROR(__xludf.DUMMYFUNCTION("""COMPUTED_VALUE"""),0.34184027777777776)</f>
        <v>0.3418402778</v>
      </c>
      <c r="D116" s="50"/>
      <c r="E116" s="58"/>
      <c r="F116" s="58"/>
      <c r="G116" s="58" t="str">
        <f>IFERROR(__xludf.DUMMYFUNCTION("""COMPUTED_VALUE"""),"Negative")</f>
        <v>Negative</v>
      </c>
      <c r="H116" s="206" t="str">
        <f>IFERROR(__xludf.DUMMYFUNCTION("""COMPUTED_VALUE"""),"Negative")</f>
        <v>Negative</v>
      </c>
      <c r="I116" s="207">
        <f>IFERROR(__xludf.DUMMYFUNCTION("""COMPUTED_VALUE"""),44644.0)</f>
        <v>44644</v>
      </c>
      <c r="J116" s="208">
        <f>IFERROR(__xludf.DUMMYFUNCTION("""COMPUTED_VALUE"""),0.3546064814814815)</f>
        <v>0.3546064815</v>
      </c>
      <c r="K116" s="50"/>
      <c r="L116" s="6"/>
      <c r="M116" s="55"/>
      <c r="N116" s="55">
        <f>IFERROR(__xludf.DUMMYFUNCTION("""COMPUTED_VALUE"""),1.0)</f>
        <v>1</v>
      </c>
      <c r="O116" s="55" t="str">
        <f t="shared" si="3"/>
        <v/>
      </c>
      <c r="P116" s="209"/>
      <c r="Q116" s="75" t="b">
        <f>VLOOKUP($B116,'Run Reconcile'!B$2:P1679,15,FALSE)</f>
        <v>1</v>
      </c>
      <c r="R116" s="211" t="str">
        <f t="array" ref="R116">IF($Q116, INDEX('Run Reconcile'!A$2:A1679,MATCH(B116,'Run Reconcile'!B$2:B1679,0),1),IFERROR(0/0,""))</f>
        <v>RUN-COMB_2022-03-24_RFR-007</v>
      </c>
      <c r="S116" s="165" t="str">
        <f t="shared" ref="S116:T116" si="231">IF(COUNTIF(W$2:W1679, $A116) &gt; 0,TRUE,IFERROR(0/0,""))</f>
        <v/>
      </c>
      <c r="T116" s="165" t="str">
        <f t="shared" si="231"/>
        <v/>
      </c>
      <c r="U116" s="147" t="str">
        <f t="array" ref="U116">IF(ISBLANK($R116), IF($S116,VLOOKUP($B116+1,'RFR Data - preExcl'!$BF$2:$BG1679,2,FALSE),IF($T116,INDEX('RFR Data - preExcl'!$BF$2:$BG1679,MATCH($B116,'RFR Data - preExcl'!$BF$2:$BF1679,0)+1,2),VLOOKUP($B116,'RFR Data - preExcl'!$BF$2:$BG1679,2,FALSE))),IFERROR(0/0,""))</f>
        <v/>
      </c>
      <c r="V116" s="212" t="str">
        <f t="shared" si="5"/>
        <v>RUN-COMB_2022-03-24_RFR-007</v>
      </c>
      <c r="W116" s="51"/>
      <c r="X116" s="51"/>
      <c r="Y116" s="147" t="str">
        <f t="shared" ref="Y116:Z116" si="232">IF(_xlfn.ISFORMULA(S116),IFERROR(0/0,""),TRUE)</f>
        <v/>
      </c>
      <c r="Z116" s="147" t="str">
        <f t="shared" si="232"/>
        <v/>
      </c>
    </row>
    <row r="117">
      <c r="A117" s="6" t="str">
        <f>IFERROR(__xludf.DUMMYFUNCTION("""COMPUTED_VALUE"""),"FM3420")</f>
        <v>FM3420</v>
      </c>
      <c r="B117" s="206">
        <f>IFERROR(__xludf.DUMMYFUNCTION("""COMPUTED_VALUE"""),44644.0)</f>
        <v>44644</v>
      </c>
      <c r="C117" s="207">
        <f>IFERROR(__xludf.DUMMYFUNCTION("""COMPUTED_VALUE"""),0.34381944444444446)</f>
        <v>0.3438194444</v>
      </c>
      <c r="D117" s="50"/>
      <c r="E117" s="58"/>
      <c r="F117" s="58"/>
      <c r="G117" s="58" t="str">
        <f>IFERROR(__xludf.DUMMYFUNCTION("""COMPUTED_VALUE"""),"Negative")</f>
        <v>Negative</v>
      </c>
      <c r="H117" s="206" t="str">
        <f>IFERROR(__xludf.DUMMYFUNCTION("""COMPUTED_VALUE"""),"Negative")</f>
        <v>Negative</v>
      </c>
      <c r="I117" s="207">
        <f>IFERROR(__xludf.DUMMYFUNCTION("""COMPUTED_VALUE"""),44644.0)</f>
        <v>44644</v>
      </c>
      <c r="J117" s="208">
        <f>IFERROR(__xludf.DUMMYFUNCTION("""COMPUTED_VALUE"""),0.3546064814814815)</f>
        <v>0.3546064815</v>
      </c>
      <c r="K117" s="50"/>
      <c r="L117" s="6"/>
      <c r="M117" s="55"/>
      <c r="N117" s="55">
        <f>IFERROR(__xludf.DUMMYFUNCTION("""COMPUTED_VALUE"""),1.0)</f>
        <v>1</v>
      </c>
      <c r="O117" s="55" t="str">
        <f t="shared" si="3"/>
        <v/>
      </c>
      <c r="P117" s="209"/>
      <c r="Q117" s="75" t="b">
        <f>VLOOKUP($B117,'Run Reconcile'!B$2:P1679,15,FALSE)</f>
        <v>1</v>
      </c>
      <c r="R117" s="211" t="str">
        <f t="array" ref="R117">IF($Q117, INDEX('Run Reconcile'!A$2:A1679,MATCH(B117,'Run Reconcile'!B$2:B1679,0),1),IFERROR(0/0,""))</f>
        <v>RUN-COMB_2022-03-24_RFR-007</v>
      </c>
      <c r="S117" s="165" t="str">
        <f t="shared" ref="S117:T117" si="233">IF(COUNTIF(W$2:W1679, $A117) &gt; 0,TRUE,IFERROR(0/0,""))</f>
        <v/>
      </c>
      <c r="T117" s="165" t="str">
        <f t="shared" si="233"/>
        <v/>
      </c>
      <c r="U117" s="147" t="str">
        <f t="array" ref="U117">IF(ISBLANK($R117), IF($S117,VLOOKUP($B117+1,'RFR Data - preExcl'!$BF$2:$BG1679,2,FALSE),IF($T117,INDEX('RFR Data - preExcl'!$BF$2:$BG1679,MATCH($B117,'RFR Data - preExcl'!$BF$2:$BF1679,0)+1,2),VLOOKUP($B117,'RFR Data - preExcl'!$BF$2:$BG1679,2,FALSE))),IFERROR(0/0,""))</f>
        <v/>
      </c>
      <c r="V117" s="212" t="str">
        <f t="shared" si="5"/>
        <v>RUN-COMB_2022-03-24_RFR-007</v>
      </c>
      <c r="W117" s="51"/>
      <c r="X117" s="51"/>
      <c r="Y117" s="147" t="str">
        <f t="shared" ref="Y117:Z117" si="234">IF(_xlfn.ISFORMULA(S117),IFERROR(0/0,""),TRUE)</f>
        <v/>
      </c>
      <c r="Z117" s="147" t="str">
        <f t="shared" si="234"/>
        <v/>
      </c>
    </row>
    <row r="118">
      <c r="A118" s="6" t="str">
        <f>IFERROR(__xludf.DUMMYFUNCTION("""COMPUTED_VALUE"""),"FM3448")</f>
        <v>FM3448</v>
      </c>
      <c r="B118" s="206">
        <f>IFERROR(__xludf.DUMMYFUNCTION("""COMPUTED_VALUE"""),44644.0)</f>
        <v>44644</v>
      </c>
      <c r="C118" s="207">
        <f>IFERROR(__xludf.DUMMYFUNCTION("""COMPUTED_VALUE"""),0.34815972222222225)</f>
        <v>0.3481597222</v>
      </c>
      <c r="D118" s="50"/>
      <c r="E118" s="58"/>
      <c r="F118" s="58"/>
      <c r="G118" s="58" t="str">
        <f>IFERROR(__xludf.DUMMYFUNCTION("""COMPUTED_VALUE"""),"Negative")</f>
        <v>Negative</v>
      </c>
      <c r="H118" s="206" t="str">
        <f>IFERROR(__xludf.DUMMYFUNCTION("""COMPUTED_VALUE"""),"Negative")</f>
        <v>Negative</v>
      </c>
      <c r="I118" s="207">
        <f>IFERROR(__xludf.DUMMYFUNCTION("""COMPUTED_VALUE"""),44644.0)</f>
        <v>44644</v>
      </c>
      <c r="J118" s="208">
        <f>IFERROR(__xludf.DUMMYFUNCTION("""COMPUTED_VALUE"""),0.3546064814814815)</f>
        <v>0.3546064815</v>
      </c>
      <c r="K118" s="50"/>
      <c r="L118" s="6"/>
      <c r="M118" s="55"/>
      <c r="N118" s="55">
        <f>IFERROR(__xludf.DUMMYFUNCTION("""COMPUTED_VALUE"""),1.0)</f>
        <v>1</v>
      </c>
      <c r="O118" s="55" t="str">
        <f t="shared" si="3"/>
        <v/>
      </c>
      <c r="P118" s="209"/>
      <c r="Q118" s="75" t="b">
        <f>VLOOKUP($B118,'Run Reconcile'!B$2:P1679,15,FALSE)</f>
        <v>1</v>
      </c>
      <c r="R118" s="211" t="str">
        <f t="array" ref="R118">IF($Q118, INDEX('Run Reconcile'!A$2:A1679,MATCH(B118,'Run Reconcile'!B$2:B1679,0),1),IFERROR(0/0,""))</f>
        <v>RUN-COMB_2022-03-24_RFR-007</v>
      </c>
      <c r="S118" s="165" t="str">
        <f t="shared" ref="S118:T118" si="235">IF(COUNTIF(W$2:W1679, $A118) &gt; 0,TRUE,IFERROR(0/0,""))</f>
        <v/>
      </c>
      <c r="T118" s="165" t="str">
        <f t="shared" si="235"/>
        <v/>
      </c>
      <c r="U118" s="147" t="str">
        <f t="array" ref="U118">IF(ISBLANK($R118), IF($S118,VLOOKUP($B118+1,'RFR Data - preExcl'!$BF$2:$BG1679,2,FALSE),IF($T118,INDEX('RFR Data - preExcl'!$BF$2:$BG1679,MATCH($B118,'RFR Data - preExcl'!$BF$2:$BF1679,0)+1,2),VLOOKUP($B118,'RFR Data - preExcl'!$BF$2:$BG1679,2,FALSE))),IFERROR(0/0,""))</f>
        <v/>
      </c>
      <c r="V118" s="212" t="str">
        <f t="shared" si="5"/>
        <v>RUN-COMB_2022-03-24_RFR-007</v>
      </c>
      <c r="W118" s="51"/>
      <c r="X118" s="51"/>
      <c r="Y118" s="147" t="str">
        <f t="shared" ref="Y118:Z118" si="236">IF(_xlfn.ISFORMULA(S118),IFERROR(0/0,""),TRUE)</f>
        <v/>
      </c>
      <c r="Z118" s="147" t="str">
        <f t="shared" si="236"/>
        <v/>
      </c>
    </row>
    <row r="119">
      <c r="A119" s="6" t="str">
        <f>IFERROR(__xludf.DUMMYFUNCTION("""COMPUTED_VALUE"""),"FM3451")</f>
        <v>FM3451</v>
      </c>
      <c r="B119" s="206">
        <f>IFERROR(__xludf.DUMMYFUNCTION("""COMPUTED_VALUE"""),44653.0)</f>
        <v>44653</v>
      </c>
      <c r="C119" s="207">
        <f>IFERROR(__xludf.DUMMYFUNCTION("""COMPUTED_VALUE"""),0.5713194444444445)</f>
        <v>0.5713194444</v>
      </c>
      <c r="D119" s="50"/>
      <c r="E119" s="58"/>
      <c r="F119" s="58"/>
      <c r="G119" s="58" t="str">
        <f>IFERROR(__xludf.DUMMYFUNCTION("""COMPUTED_VALUE"""),"Negative")</f>
        <v>Negative</v>
      </c>
      <c r="H119" s="206" t="str">
        <f>IFERROR(__xludf.DUMMYFUNCTION("""COMPUTED_VALUE"""),"Negative")</f>
        <v>Negative</v>
      </c>
      <c r="I119" s="207">
        <f>IFERROR(__xludf.DUMMYFUNCTION("""COMPUTED_VALUE"""),44653.0)</f>
        <v>44653</v>
      </c>
      <c r="J119" s="208">
        <f>IFERROR(__xludf.DUMMYFUNCTION("""COMPUTED_VALUE"""),0.6237384259259259)</f>
        <v>0.6237384259</v>
      </c>
      <c r="K119" s="50"/>
      <c r="L119" s="6"/>
      <c r="M119" s="55"/>
      <c r="N119" s="55">
        <f>IFERROR(__xludf.DUMMYFUNCTION("""COMPUTED_VALUE"""),1.0)</f>
        <v>1</v>
      </c>
      <c r="O119" s="55" t="b">
        <f t="shared" si="3"/>
        <v>1</v>
      </c>
      <c r="P119" s="209"/>
      <c r="Q119" s="75" t="b">
        <f>VLOOKUP($B119,'Run Reconcile'!B$2:P1679,15,FALSE)</f>
        <v>1</v>
      </c>
      <c r="R119" s="211" t="str">
        <f t="array" ref="R119">IF($Q119, INDEX('Run Reconcile'!A$2:A1679,MATCH(B119,'Run Reconcile'!B$2:B1679,0),1),IFERROR(0/0,""))</f>
        <v>RUN-COMB_2022-04-02_RFR-008</v>
      </c>
      <c r="S119" s="165" t="str">
        <f t="shared" ref="S119:T119" si="237">IF(COUNTIF(W$2:W1679, $A119) &gt; 0,TRUE,IFERROR(0/0,""))</f>
        <v/>
      </c>
      <c r="T119" s="165" t="str">
        <f t="shared" si="237"/>
        <v/>
      </c>
      <c r="U119" s="147" t="str">
        <f t="array" ref="U119">IF(ISBLANK($R119), IF($S119,VLOOKUP($B119+1,'RFR Data - preExcl'!$BF$2:$BG1679,2,FALSE),IF($T119,INDEX('RFR Data - preExcl'!$BF$2:$BG1679,MATCH($B119,'RFR Data - preExcl'!$BF$2:$BF1679,0)+1,2),VLOOKUP($B119,'RFR Data - preExcl'!$BF$2:$BG1679,2,FALSE))),IFERROR(0/0,""))</f>
        <v/>
      </c>
      <c r="V119" s="212" t="str">
        <f t="shared" si="5"/>
        <v>RUN-COMB_2022-04-02_RFR-008</v>
      </c>
      <c r="W119" s="51"/>
      <c r="X119" s="51"/>
      <c r="Y119" s="147" t="str">
        <f t="shared" ref="Y119:Z119" si="238">IF(_xlfn.ISFORMULA(S119),IFERROR(0/0,""),TRUE)</f>
        <v/>
      </c>
      <c r="Z119" s="147" t="str">
        <f t="shared" si="238"/>
        <v/>
      </c>
    </row>
    <row r="120">
      <c r="A120" s="6" t="str">
        <f>IFERROR(__xludf.DUMMYFUNCTION("""COMPUTED_VALUE"""),"FM3457")</f>
        <v>FM3457</v>
      </c>
      <c r="B120" s="206">
        <f>IFERROR(__xludf.DUMMYFUNCTION("""COMPUTED_VALUE"""),44653.0)</f>
        <v>44653</v>
      </c>
      <c r="C120" s="207">
        <f>IFERROR(__xludf.DUMMYFUNCTION("""COMPUTED_VALUE"""),0.5717245370370371)</f>
        <v>0.571724537</v>
      </c>
      <c r="D120" s="50"/>
      <c r="E120" s="58"/>
      <c r="F120" s="58"/>
      <c r="G120" s="58" t="str">
        <f>IFERROR(__xludf.DUMMYFUNCTION("""COMPUTED_VALUE"""),"Negative")</f>
        <v>Negative</v>
      </c>
      <c r="H120" s="206" t="str">
        <f>IFERROR(__xludf.DUMMYFUNCTION("""COMPUTED_VALUE"""),"Negative")</f>
        <v>Negative</v>
      </c>
      <c r="I120" s="207">
        <f>IFERROR(__xludf.DUMMYFUNCTION("""COMPUTED_VALUE"""),44653.0)</f>
        <v>44653</v>
      </c>
      <c r="J120" s="208">
        <f>IFERROR(__xludf.DUMMYFUNCTION("""COMPUTED_VALUE"""),0.62375)</f>
        <v>0.62375</v>
      </c>
      <c r="K120" s="50"/>
      <c r="L120" s="6"/>
      <c r="M120" s="55"/>
      <c r="N120" s="55">
        <f>IFERROR(__xludf.DUMMYFUNCTION("""COMPUTED_VALUE"""),1.0)</f>
        <v>1</v>
      </c>
      <c r="O120" s="55" t="str">
        <f t="shared" si="3"/>
        <v/>
      </c>
      <c r="P120" s="209"/>
      <c r="Q120" s="75" t="b">
        <f>VLOOKUP($B120,'Run Reconcile'!B$2:P1679,15,FALSE)</f>
        <v>1</v>
      </c>
      <c r="R120" s="211" t="str">
        <f t="array" ref="R120">IF($Q120, INDEX('Run Reconcile'!A$2:A1679,MATCH(B120,'Run Reconcile'!B$2:B1679,0),1),IFERROR(0/0,""))</f>
        <v>RUN-COMB_2022-04-02_RFR-008</v>
      </c>
      <c r="S120" s="165" t="str">
        <f t="shared" ref="S120:T120" si="239">IF(COUNTIF(W$2:W1679, $A120) &gt; 0,TRUE,IFERROR(0/0,""))</f>
        <v/>
      </c>
      <c r="T120" s="165" t="str">
        <f t="shared" si="239"/>
        <v/>
      </c>
      <c r="U120" s="147" t="str">
        <f t="array" ref="U120">IF(ISBLANK($R120), IF($S120,VLOOKUP($B120+1,'RFR Data - preExcl'!$BF$2:$BG1679,2,FALSE),IF($T120,INDEX('RFR Data - preExcl'!$BF$2:$BG1679,MATCH($B120,'RFR Data - preExcl'!$BF$2:$BF1679,0)+1,2),VLOOKUP($B120,'RFR Data - preExcl'!$BF$2:$BG1679,2,FALSE))),IFERROR(0/0,""))</f>
        <v/>
      </c>
      <c r="V120" s="212" t="str">
        <f t="shared" si="5"/>
        <v>RUN-COMB_2022-04-02_RFR-008</v>
      </c>
      <c r="W120" s="51"/>
      <c r="X120" s="51"/>
      <c r="Y120" s="147" t="str">
        <f t="shared" ref="Y120:Z120" si="240">IF(_xlfn.ISFORMULA(S120),IFERROR(0/0,""),TRUE)</f>
        <v/>
      </c>
      <c r="Z120" s="147" t="str">
        <f t="shared" si="240"/>
        <v/>
      </c>
    </row>
    <row r="121">
      <c r="A121" s="6" t="str">
        <f>IFERROR(__xludf.DUMMYFUNCTION("""COMPUTED_VALUE"""),"FM3401")</f>
        <v>FM3401</v>
      </c>
      <c r="B121" s="206">
        <f>IFERROR(__xludf.DUMMYFUNCTION("""COMPUTED_VALUE"""),44655.0)</f>
        <v>44655</v>
      </c>
      <c r="C121" s="207">
        <f>IFERROR(__xludf.DUMMYFUNCTION("""COMPUTED_VALUE"""),0.7013310185185185)</f>
        <v>0.7013310185</v>
      </c>
      <c r="D121" s="50"/>
      <c r="E121" s="58"/>
      <c r="F121" s="58"/>
      <c r="G121" s="58" t="str">
        <f>IFERROR(__xludf.DUMMYFUNCTION("""COMPUTED_VALUE"""),"Negative")</f>
        <v>Negative</v>
      </c>
      <c r="H121" s="206" t="str">
        <f>IFERROR(__xludf.DUMMYFUNCTION("""COMPUTED_VALUE"""),"Negative")</f>
        <v>Negative</v>
      </c>
      <c r="I121" s="207">
        <f>IFERROR(__xludf.DUMMYFUNCTION("""COMPUTED_VALUE"""),44656.0)</f>
        <v>44656</v>
      </c>
      <c r="J121" s="208">
        <f>IFERROR(__xludf.DUMMYFUNCTION("""COMPUTED_VALUE"""),0.3671064814814815)</f>
        <v>0.3671064815</v>
      </c>
      <c r="K121" s="50"/>
      <c r="L121" s="6"/>
      <c r="M121" s="55"/>
      <c r="N121" s="55">
        <f>IFERROR(__xludf.DUMMYFUNCTION("""COMPUTED_VALUE"""),1.0)</f>
        <v>1</v>
      </c>
      <c r="O121" s="55" t="b">
        <f t="shared" si="3"/>
        <v>1</v>
      </c>
      <c r="P121" s="209"/>
      <c r="Q121" s="75" t="b">
        <f>VLOOKUP($B121,'Run Reconcile'!B$2:P1679,15,FALSE)</f>
        <v>1</v>
      </c>
      <c r="R121" s="211" t="str">
        <f t="array" ref="R121">IF($Q121, INDEX('Run Reconcile'!A$2:A1679,MATCH(B121,'Run Reconcile'!B$2:B1679,0),1),IFERROR(0/0,""))</f>
        <v>RUN-COMB_2022-04-04_RFR-009</v>
      </c>
      <c r="S121" s="165" t="str">
        <f t="shared" ref="S121:T121" si="241">IF(COUNTIF(W$2:W1679, $A121) &gt; 0,TRUE,IFERROR(0/0,""))</f>
        <v/>
      </c>
      <c r="T121" s="165" t="str">
        <f t="shared" si="241"/>
        <v/>
      </c>
      <c r="U121" s="147" t="str">
        <f t="array" ref="U121">IF(ISBLANK($R121), IF($S121,VLOOKUP($B121+1,'RFR Data - preExcl'!$BF$2:$BG1679,2,FALSE),IF($T121,INDEX('RFR Data - preExcl'!$BF$2:$BG1679,MATCH($B121,'RFR Data - preExcl'!$BF$2:$BF1679,0)+1,2),VLOOKUP($B121,'RFR Data - preExcl'!$BF$2:$BG1679,2,FALSE))),IFERROR(0/0,""))</f>
        <v/>
      </c>
      <c r="V121" s="212" t="str">
        <f t="shared" si="5"/>
        <v>RUN-COMB_2022-04-04_RFR-009</v>
      </c>
      <c r="W121" s="51"/>
      <c r="X121" s="51"/>
      <c r="Y121" s="147" t="str">
        <f t="shared" ref="Y121:Z121" si="242">IF(_xlfn.ISFORMULA(S121),IFERROR(0/0,""),TRUE)</f>
        <v/>
      </c>
      <c r="Z121" s="147" t="str">
        <f t="shared" si="242"/>
        <v/>
      </c>
    </row>
    <row r="122">
      <c r="A122" s="6" t="str">
        <f>IFERROR(__xludf.DUMMYFUNCTION("""COMPUTED_VALUE"""),"FM3437")</f>
        <v>FM3437</v>
      </c>
      <c r="B122" s="206">
        <f>IFERROR(__xludf.DUMMYFUNCTION("""COMPUTED_VALUE"""),44655.0)</f>
        <v>44655</v>
      </c>
      <c r="C122" s="207">
        <f>IFERROR(__xludf.DUMMYFUNCTION("""COMPUTED_VALUE"""),0.7022453703703704)</f>
        <v>0.7022453704</v>
      </c>
      <c r="D122" s="50"/>
      <c r="E122" s="58"/>
      <c r="F122" s="58"/>
      <c r="G122" s="58" t="str">
        <f>IFERROR(__xludf.DUMMYFUNCTION("""COMPUTED_VALUE"""),"Negative")</f>
        <v>Negative</v>
      </c>
      <c r="H122" s="206" t="str">
        <f>IFERROR(__xludf.DUMMYFUNCTION("""COMPUTED_VALUE"""),"Negative")</f>
        <v>Negative</v>
      </c>
      <c r="I122" s="207">
        <f>IFERROR(__xludf.DUMMYFUNCTION("""COMPUTED_VALUE"""),44656.0)</f>
        <v>44656</v>
      </c>
      <c r="J122" s="208">
        <f>IFERROR(__xludf.DUMMYFUNCTION("""COMPUTED_VALUE"""),0.3671064814814815)</f>
        <v>0.3671064815</v>
      </c>
      <c r="K122" s="50"/>
      <c r="L122" s="6"/>
      <c r="M122" s="55"/>
      <c r="N122" s="55">
        <f>IFERROR(__xludf.DUMMYFUNCTION("""COMPUTED_VALUE"""),1.0)</f>
        <v>1</v>
      </c>
      <c r="O122" s="55" t="str">
        <f t="shared" si="3"/>
        <v/>
      </c>
      <c r="P122" s="209"/>
      <c r="Q122" s="75" t="b">
        <f>VLOOKUP($B122,'Run Reconcile'!B$2:P1679,15,FALSE)</f>
        <v>1</v>
      </c>
      <c r="R122" s="211" t="str">
        <f t="array" ref="R122">IF($Q122, INDEX('Run Reconcile'!A$2:A1679,MATCH(B122,'Run Reconcile'!B$2:B1679,0),1),IFERROR(0/0,""))</f>
        <v>RUN-COMB_2022-04-04_RFR-009</v>
      </c>
      <c r="S122" s="165" t="str">
        <f t="shared" ref="S122:T122" si="243">IF(COUNTIF(W$2:W1679, $A122) &gt; 0,TRUE,IFERROR(0/0,""))</f>
        <v/>
      </c>
      <c r="T122" s="165" t="str">
        <f t="shared" si="243"/>
        <v/>
      </c>
      <c r="U122" s="147" t="str">
        <f t="array" ref="U122">IF(ISBLANK($R122), IF($S122,VLOOKUP($B122+1,'RFR Data - preExcl'!$BF$2:$BG1679,2,FALSE),IF($T122,INDEX('RFR Data - preExcl'!$BF$2:$BG1679,MATCH($B122,'RFR Data - preExcl'!$BF$2:$BF1679,0)+1,2),VLOOKUP($B122,'RFR Data - preExcl'!$BF$2:$BG1679,2,FALSE))),IFERROR(0/0,""))</f>
        <v/>
      </c>
      <c r="V122" s="212" t="str">
        <f t="shared" si="5"/>
        <v>RUN-COMB_2022-04-04_RFR-009</v>
      </c>
      <c r="W122" s="51"/>
      <c r="X122" s="51"/>
      <c r="Y122" s="147" t="str">
        <f t="shared" ref="Y122:Z122" si="244">IF(_xlfn.ISFORMULA(S122),IFERROR(0/0,""),TRUE)</f>
        <v/>
      </c>
      <c r="Z122" s="147" t="str">
        <f t="shared" si="244"/>
        <v/>
      </c>
    </row>
    <row r="123">
      <c r="A123" s="6" t="str">
        <f>IFERROR(__xludf.DUMMYFUNCTION("""COMPUTED_VALUE"""),"FM3459")</f>
        <v>FM3459</v>
      </c>
      <c r="B123" s="206">
        <f>IFERROR(__xludf.DUMMYFUNCTION("""COMPUTED_VALUE"""),44655.0)</f>
        <v>44655</v>
      </c>
      <c r="C123" s="207">
        <f>IFERROR(__xludf.DUMMYFUNCTION("""COMPUTED_VALUE"""),0.7028356481481481)</f>
        <v>0.7028356481</v>
      </c>
      <c r="D123" s="50"/>
      <c r="E123" s="58"/>
      <c r="F123" s="58"/>
      <c r="G123" s="58" t="str">
        <f>IFERROR(__xludf.DUMMYFUNCTION("""COMPUTED_VALUE"""),"Negative")</f>
        <v>Negative</v>
      </c>
      <c r="H123" s="206" t="str">
        <f>IFERROR(__xludf.DUMMYFUNCTION("""COMPUTED_VALUE"""),"Negative")</f>
        <v>Negative</v>
      </c>
      <c r="I123" s="207">
        <f>IFERROR(__xludf.DUMMYFUNCTION("""COMPUTED_VALUE"""),44656.0)</f>
        <v>44656</v>
      </c>
      <c r="J123" s="208">
        <f>IFERROR(__xludf.DUMMYFUNCTION("""COMPUTED_VALUE"""),0.3671064814814815)</f>
        <v>0.3671064815</v>
      </c>
      <c r="K123" s="50"/>
      <c r="L123" s="6"/>
      <c r="M123" s="55"/>
      <c r="N123" s="55">
        <f>IFERROR(__xludf.DUMMYFUNCTION("""COMPUTED_VALUE"""),1.0)</f>
        <v>1</v>
      </c>
      <c r="O123" s="55" t="str">
        <f t="shared" si="3"/>
        <v/>
      </c>
      <c r="P123" s="209"/>
      <c r="Q123" s="75" t="b">
        <f>VLOOKUP($B123,'Run Reconcile'!B$2:P1679,15,FALSE)</f>
        <v>1</v>
      </c>
      <c r="R123" s="211" t="str">
        <f t="array" ref="R123">IF($Q123, INDEX('Run Reconcile'!A$2:A1679,MATCH(B123,'Run Reconcile'!B$2:B1679,0),1),IFERROR(0/0,""))</f>
        <v>RUN-COMB_2022-04-04_RFR-009</v>
      </c>
      <c r="S123" s="165" t="str">
        <f t="shared" ref="S123:T123" si="245">IF(COUNTIF(W$2:W1679, $A123) &gt; 0,TRUE,IFERROR(0/0,""))</f>
        <v/>
      </c>
      <c r="T123" s="165" t="str">
        <f t="shared" si="245"/>
        <v/>
      </c>
      <c r="U123" s="147" t="str">
        <f t="array" ref="U123">IF(ISBLANK($R123), IF($S123,VLOOKUP($B123+1,'RFR Data - preExcl'!$BF$2:$BG1679,2,FALSE),IF($T123,INDEX('RFR Data - preExcl'!$BF$2:$BG1679,MATCH($B123,'RFR Data - preExcl'!$BF$2:$BF1679,0)+1,2),VLOOKUP($B123,'RFR Data - preExcl'!$BF$2:$BG1679,2,FALSE))),IFERROR(0/0,""))</f>
        <v/>
      </c>
      <c r="V123" s="212" t="str">
        <f t="shared" si="5"/>
        <v>RUN-COMB_2022-04-04_RFR-009</v>
      </c>
      <c r="W123" s="51"/>
      <c r="X123" s="51"/>
      <c r="Y123" s="147" t="str">
        <f t="shared" ref="Y123:Z123" si="246">IF(_xlfn.ISFORMULA(S123),IFERROR(0/0,""),TRUE)</f>
        <v/>
      </c>
      <c r="Z123" s="147" t="str">
        <f t="shared" si="246"/>
        <v/>
      </c>
    </row>
    <row r="124">
      <c r="A124" s="6" t="str">
        <f>IFERROR(__xludf.DUMMYFUNCTION("""COMPUTED_VALUE"""),"FM3680")</f>
        <v>FM3680</v>
      </c>
      <c r="B124" s="206">
        <f>IFERROR(__xludf.DUMMYFUNCTION("""COMPUTED_VALUE"""),44655.0)</f>
        <v>44655</v>
      </c>
      <c r="C124" s="207">
        <f>IFERROR(__xludf.DUMMYFUNCTION("""COMPUTED_VALUE"""),0.7033217592592592)</f>
        <v>0.7033217593</v>
      </c>
      <c r="D124" s="50"/>
      <c r="E124" s="58"/>
      <c r="F124" s="58"/>
      <c r="G124" s="58" t="str">
        <f>IFERROR(__xludf.DUMMYFUNCTION("""COMPUTED_VALUE"""),"Negative")</f>
        <v>Negative</v>
      </c>
      <c r="H124" s="206" t="str">
        <f>IFERROR(__xludf.DUMMYFUNCTION("""COMPUTED_VALUE"""),"Negative")</f>
        <v>Negative</v>
      </c>
      <c r="I124" s="207">
        <f>IFERROR(__xludf.DUMMYFUNCTION("""COMPUTED_VALUE"""),44656.0)</f>
        <v>44656</v>
      </c>
      <c r="J124" s="208">
        <f>IFERROR(__xludf.DUMMYFUNCTION("""COMPUTED_VALUE"""),0.3671064814814815)</f>
        <v>0.3671064815</v>
      </c>
      <c r="K124" s="50"/>
      <c r="L124" s="6"/>
      <c r="M124" s="55"/>
      <c r="N124" s="55">
        <f>IFERROR(__xludf.DUMMYFUNCTION("""COMPUTED_VALUE"""),1.0)</f>
        <v>1</v>
      </c>
      <c r="O124" s="55" t="str">
        <f t="shared" si="3"/>
        <v/>
      </c>
      <c r="P124" s="209"/>
      <c r="Q124" s="75" t="b">
        <f>VLOOKUP($B124,'Run Reconcile'!B$2:P1679,15,FALSE)</f>
        <v>1</v>
      </c>
      <c r="R124" s="211" t="str">
        <f t="array" ref="R124">IF($Q124, INDEX('Run Reconcile'!A$2:A1679,MATCH(B124,'Run Reconcile'!B$2:B1679,0),1),IFERROR(0/0,""))</f>
        <v>RUN-COMB_2022-04-04_RFR-009</v>
      </c>
      <c r="S124" s="165" t="str">
        <f t="shared" ref="S124:T124" si="247">IF(COUNTIF(W$2:W1679, $A124) &gt; 0,TRUE,IFERROR(0/0,""))</f>
        <v/>
      </c>
      <c r="T124" s="165" t="str">
        <f t="shared" si="247"/>
        <v/>
      </c>
      <c r="U124" s="147" t="str">
        <f t="array" ref="U124">IF(ISBLANK($R124), IF($S124,VLOOKUP($B124+1,'RFR Data - preExcl'!$BF$2:$BG1679,2,FALSE),IF($T124,INDEX('RFR Data - preExcl'!$BF$2:$BG1679,MATCH($B124,'RFR Data - preExcl'!$BF$2:$BF1679,0)+1,2),VLOOKUP($B124,'RFR Data - preExcl'!$BF$2:$BG1679,2,FALSE))),IFERROR(0/0,""))</f>
        <v/>
      </c>
      <c r="V124" s="212" t="str">
        <f t="shared" si="5"/>
        <v>RUN-COMB_2022-04-04_RFR-009</v>
      </c>
      <c r="W124" s="51"/>
      <c r="X124" s="51"/>
      <c r="Y124" s="147" t="str">
        <f t="shared" ref="Y124:Z124" si="248">IF(_xlfn.ISFORMULA(S124),IFERROR(0/0,""),TRUE)</f>
        <v/>
      </c>
      <c r="Z124" s="147" t="str">
        <f t="shared" si="248"/>
        <v/>
      </c>
    </row>
    <row r="125">
      <c r="A125" s="6" t="str">
        <f>IFERROR(__xludf.DUMMYFUNCTION("""COMPUTED_VALUE"""),"FM3467")</f>
        <v>FM3467</v>
      </c>
      <c r="B125" s="206">
        <f>IFERROR(__xludf.DUMMYFUNCTION("""COMPUTED_VALUE"""),44655.0)</f>
        <v>44655</v>
      </c>
      <c r="C125" s="207">
        <f>IFERROR(__xludf.DUMMYFUNCTION("""COMPUTED_VALUE"""),0.7044212962962964)</f>
        <v>0.7044212963</v>
      </c>
      <c r="D125" s="50"/>
      <c r="E125" s="58"/>
      <c r="F125" s="58"/>
      <c r="G125" s="58" t="str">
        <f>IFERROR(__xludf.DUMMYFUNCTION("""COMPUTED_VALUE"""),"Negative")</f>
        <v>Negative</v>
      </c>
      <c r="H125" s="206" t="str">
        <f>IFERROR(__xludf.DUMMYFUNCTION("""COMPUTED_VALUE"""),"Negative")</f>
        <v>Negative</v>
      </c>
      <c r="I125" s="207">
        <f>IFERROR(__xludf.DUMMYFUNCTION("""COMPUTED_VALUE"""),44656.0)</f>
        <v>44656</v>
      </c>
      <c r="J125" s="208">
        <f>IFERROR(__xludf.DUMMYFUNCTION("""COMPUTED_VALUE"""),0.3671064814814815)</f>
        <v>0.3671064815</v>
      </c>
      <c r="K125" s="50"/>
      <c r="L125" s="6"/>
      <c r="M125" s="55"/>
      <c r="N125" s="55">
        <f>IFERROR(__xludf.DUMMYFUNCTION("""COMPUTED_VALUE"""),1.0)</f>
        <v>1</v>
      </c>
      <c r="O125" s="55" t="str">
        <f t="shared" si="3"/>
        <v/>
      </c>
      <c r="P125" s="209"/>
      <c r="Q125" s="75" t="b">
        <f>VLOOKUP($B125,'Run Reconcile'!B$2:P1679,15,FALSE)</f>
        <v>1</v>
      </c>
      <c r="R125" s="211" t="str">
        <f t="array" ref="R125">IF($Q125, INDEX('Run Reconcile'!A$2:A1679,MATCH(B125,'Run Reconcile'!B$2:B1679,0),1),IFERROR(0/0,""))</f>
        <v>RUN-COMB_2022-04-04_RFR-009</v>
      </c>
      <c r="S125" s="165" t="str">
        <f t="shared" ref="S125:T125" si="249">IF(COUNTIF(W$2:W1679, $A125) &gt; 0,TRUE,IFERROR(0/0,""))</f>
        <v/>
      </c>
      <c r="T125" s="165" t="str">
        <f t="shared" si="249"/>
        <v/>
      </c>
      <c r="U125" s="147" t="str">
        <f t="array" ref="U125">IF(ISBLANK($R125), IF($S125,VLOOKUP($B125+1,'RFR Data - preExcl'!$BF$2:$BG1679,2,FALSE),IF($T125,INDEX('RFR Data - preExcl'!$BF$2:$BG1679,MATCH($B125,'RFR Data - preExcl'!$BF$2:$BF1679,0)+1,2),VLOOKUP($B125,'RFR Data - preExcl'!$BF$2:$BG1679,2,FALSE))),IFERROR(0/0,""))</f>
        <v/>
      </c>
      <c r="V125" s="212" t="str">
        <f t="shared" si="5"/>
        <v>RUN-COMB_2022-04-04_RFR-009</v>
      </c>
      <c r="W125" s="51"/>
      <c r="X125" s="51"/>
      <c r="Y125" s="147" t="str">
        <f t="shared" ref="Y125:Z125" si="250">IF(_xlfn.ISFORMULA(S125),IFERROR(0/0,""),TRUE)</f>
        <v/>
      </c>
      <c r="Z125" s="147" t="str">
        <f t="shared" si="250"/>
        <v/>
      </c>
    </row>
    <row r="126">
      <c r="A126" s="6" t="str">
        <f>IFERROR(__xludf.DUMMYFUNCTION("""COMPUTED_VALUE"""),"FM3439")</f>
        <v>FM3439</v>
      </c>
      <c r="B126" s="206">
        <f>IFERROR(__xludf.DUMMYFUNCTION("""COMPUTED_VALUE"""),44655.0)</f>
        <v>44655</v>
      </c>
      <c r="C126" s="207">
        <f>IFERROR(__xludf.DUMMYFUNCTION("""COMPUTED_VALUE"""),0.7048842592592592)</f>
        <v>0.7048842593</v>
      </c>
      <c r="D126" s="50"/>
      <c r="E126" s="58"/>
      <c r="F126" s="58"/>
      <c r="G126" s="58" t="str">
        <f>IFERROR(__xludf.DUMMYFUNCTION("""COMPUTED_VALUE"""),"Negative")</f>
        <v>Negative</v>
      </c>
      <c r="H126" s="206" t="str">
        <f>IFERROR(__xludf.DUMMYFUNCTION("""COMPUTED_VALUE"""),"Negative")</f>
        <v>Negative</v>
      </c>
      <c r="I126" s="207">
        <f>IFERROR(__xludf.DUMMYFUNCTION("""COMPUTED_VALUE"""),44656.0)</f>
        <v>44656</v>
      </c>
      <c r="J126" s="208">
        <f>IFERROR(__xludf.DUMMYFUNCTION("""COMPUTED_VALUE"""),0.3671064814814815)</f>
        <v>0.3671064815</v>
      </c>
      <c r="K126" s="50"/>
      <c r="L126" s="6"/>
      <c r="M126" s="55"/>
      <c r="N126" s="55">
        <f>IFERROR(__xludf.DUMMYFUNCTION("""COMPUTED_VALUE"""),1.0)</f>
        <v>1</v>
      </c>
      <c r="O126" s="55" t="str">
        <f t="shared" si="3"/>
        <v/>
      </c>
      <c r="P126" s="209"/>
      <c r="Q126" s="75" t="b">
        <f>VLOOKUP($B126,'Run Reconcile'!B$2:P1679,15,FALSE)</f>
        <v>1</v>
      </c>
      <c r="R126" s="211" t="str">
        <f t="array" ref="R126">IF($Q126, INDEX('Run Reconcile'!A$2:A1679,MATCH(B126,'Run Reconcile'!B$2:B1679,0),1),IFERROR(0/0,""))</f>
        <v>RUN-COMB_2022-04-04_RFR-009</v>
      </c>
      <c r="S126" s="165" t="str">
        <f t="shared" ref="S126:T126" si="251">IF(COUNTIF(W$2:W1679, $A126) &gt; 0,TRUE,IFERROR(0/0,""))</f>
        <v/>
      </c>
      <c r="T126" s="165" t="str">
        <f t="shared" si="251"/>
        <v/>
      </c>
      <c r="U126" s="147" t="str">
        <f t="array" ref="U126">IF(ISBLANK($R126), IF($S126,VLOOKUP($B126+1,'RFR Data - preExcl'!$BF$2:$BG1679,2,FALSE),IF($T126,INDEX('RFR Data - preExcl'!$BF$2:$BG1679,MATCH($B126,'RFR Data - preExcl'!$BF$2:$BF1679,0)+1,2),VLOOKUP($B126,'RFR Data - preExcl'!$BF$2:$BG1679,2,FALSE))),IFERROR(0/0,""))</f>
        <v/>
      </c>
      <c r="V126" s="212" t="str">
        <f t="shared" si="5"/>
        <v>RUN-COMB_2022-04-04_RFR-009</v>
      </c>
      <c r="W126" s="51"/>
      <c r="X126" s="51"/>
      <c r="Y126" s="147" t="str">
        <f t="shared" ref="Y126:Z126" si="252">IF(_xlfn.ISFORMULA(S126),IFERROR(0/0,""),TRUE)</f>
        <v/>
      </c>
      <c r="Z126" s="147" t="str">
        <f t="shared" si="252"/>
        <v/>
      </c>
    </row>
    <row r="127">
      <c r="A127" s="6" t="str">
        <f>IFERROR(__xludf.DUMMYFUNCTION("""COMPUTED_VALUE"""),"FM3440")</f>
        <v>FM3440</v>
      </c>
      <c r="B127" s="206">
        <f>IFERROR(__xludf.DUMMYFUNCTION("""COMPUTED_VALUE"""),44655.0)</f>
        <v>44655</v>
      </c>
      <c r="C127" s="207">
        <f>IFERROR(__xludf.DUMMYFUNCTION("""COMPUTED_VALUE"""),0.7059027777777778)</f>
        <v>0.7059027778</v>
      </c>
      <c r="D127" s="50"/>
      <c r="E127" s="58"/>
      <c r="F127" s="58"/>
      <c r="G127" s="58" t="str">
        <f>IFERROR(__xludf.DUMMYFUNCTION("""COMPUTED_VALUE"""),"Negative")</f>
        <v>Negative</v>
      </c>
      <c r="H127" s="206" t="str">
        <f>IFERROR(__xludf.DUMMYFUNCTION("""COMPUTED_VALUE"""),"Negative")</f>
        <v>Negative</v>
      </c>
      <c r="I127" s="207">
        <f>IFERROR(__xludf.DUMMYFUNCTION("""COMPUTED_VALUE"""),44656.0)</f>
        <v>44656</v>
      </c>
      <c r="J127" s="208">
        <f>IFERROR(__xludf.DUMMYFUNCTION("""COMPUTED_VALUE"""),0.3671064814814815)</f>
        <v>0.3671064815</v>
      </c>
      <c r="K127" s="50"/>
      <c r="L127" s="6"/>
      <c r="M127" s="55"/>
      <c r="N127" s="55">
        <f>IFERROR(__xludf.DUMMYFUNCTION("""COMPUTED_VALUE"""),1.0)</f>
        <v>1</v>
      </c>
      <c r="O127" s="55" t="str">
        <f t="shared" si="3"/>
        <v/>
      </c>
      <c r="P127" s="209"/>
      <c r="Q127" s="75" t="b">
        <f>VLOOKUP($B127,'Run Reconcile'!B$2:P1679,15,FALSE)</f>
        <v>1</v>
      </c>
      <c r="R127" s="211" t="str">
        <f t="array" ref="R127">IF($Q127, INDEX('Run Reconcile'!A$2:A1679,MATCH(B127,'Run Reconcile'!B$2:B1679,0),1),IFERROR(0/0,""))</f>
        <v>RUN-COMB_2022-04-04_RFR-009</v>
      </c>
      <c r="S127" s="165" t="str">
        <f t="shared" ref="S127:T127" si="253">IF(COUNTIF(W$2:W1679, $A127) &gt; 0,TRUE,IFERROR(0/0,""))</f>
        <v/>
      </c>
      <c r="T127" s="165" t="str">
        <f t="shared" si="253"/>
        <v/>
      </c>
      <c r="U127" s="147" t="str">
        <f t="array" ref="U127">IF(ISBLANK($R127), IF($S127,VLOOKUP($B127+1,'RFR Data - preExcl'!$BF$2:$BG1679,2,FALSE),IF($T127,INDEX('RFR Data - preExcl'!$BF$2:$BG1679,MATCH($B127,'RFR Data - preExcl'!$BF$2:$BF1679,0)+1,2),VLOOKUP($B127,'RFR Data - preExcl'!$BF$2:$BG1679,2,FALSE))),IFERROR(0/0,""))</f>
        <v/>
      </c>
      <c r="V127" s="212" t="str">
        <f t="shared" si="5"/>
        <v>RUN-COMB_2022-04-04_RFR-009</v>
      </c>
      <c r="W127" s="51"/>
      <c r="X127" s="51"/>
      <c r="Y127" s="147" t="str">
        <f t="shared" ref="Y127:Z127" si="254">IF(_xlfn.ISFORMULA(S127),IFERROR(0/0,""),TRUE)</f>
        <v/>
      </c>
      <c r="Z127" s="147" t="str">
        <f t="shared" si="254"/>
        <v/>
      </c>
    </row>
    <row r="128">
      <c r="A128" s="6" t="str">
        <f>IFERROR(__xludf.DUMMYFUNCTION("""COMPUTED_VALUE"""),"FM3442")</f>
        <v>FM3442</v>
      </c>
      <c r="B128" s="206">
        <f>IFERROR(__xludf.DUMMYFUNCTION("""COMPUTED_VALUE"""),44655.0)</f>
        <v>44655</v>
      </c>
      <c r="C128" s="207">
        <f>IFERROR(__xludf.DUMMYFUNCTION("""COMPUTED_VALUE"""),0.706412037037037)</f>
        <v>0.706412037</v>
      </c>
      <c r="D128" s="50"/>
      <c r="E128" s="58"/>
      <c r="F128" s="58"/>
      <c r="G128" s="58" t="str">
        <f>IFERROR(__xludf.DUMMYFUNCTION("""COMPUTED_VALUE"""),"Negative")</f>
        <v>Negative</v>
      </c>
      <c r="H128" s="206" t="str">
        <f>IFERROR(__xludf.DUMMYFUNCTION("""COMPUTED_VALUE"""),"Negative")</f>
        <v>Negative</v>
      </c>
      <c r="I128" s="207">
        <f>IFERROR(__xludf.DUMMYFUNCTION("""COMPUTED_VALUE"""),44656.0)</f>
        <v>44656</v>
      </c>
      <c r="J128" s="208">
        <f>IFERROR(__xludf.DUMMYFUNCTION("""COMPUTED_VALUE"""),0.36711805555555554)</f>
        <v>0.3671180556</v>
      </c>
      <c r="K128" s="50"/>
      <c r="L128" s="6"/>
      <c r="M128" s="55"/>
      <c r="N128" s="55">
        <f>IFERROR(__xludf.DUMMYFUNCTION("""COMPUTED_VALUE"""),1.0)</f>
        <v>1</v>
      </c>
      <c r="O128" s="55" t="str">
        <f t="shared" si="3"/>
        <v/>
      </c>
      <c r="P128" s="209"/>
      <c r="Q128" s="75" t="b">
        <f>VLOOKUP($B128,'Run Reconcile'!B$2:P1679,15,FALSE)</f>
        <v>1</v>
      </c>
      <c r="R128" s="211" t="str">
        <f t="array" ref="R128">IF($Q128, INDEX('Run Reconcile'!A$2:A1679,MATCH(B128,'Run Reconcile'!B$2:B1679,0),1),IFERROR(0/0,""))</f>
        <v>RUN-COMB_2022-04-04_RFR-009</v>
      </c>
      <c r="S128" s="165" t="str">
        <f t="shared" ref="S128:T128" si="255">IF(COUNTIF(W$2:W1679, $A128) &gt; 0,TRUE,IFERROR(0/0,""))</f>
        <v/>
      </c>
      <c r="T128" s="165" t="str">
        <f t="shared" si="255"/>
        <v/>
      </c>
      <c r="U128" s="147" t="str">
        <f t="array" ref="U128">IF(ISBLANK($R128), IF($S128,VLOOKUP($B128+1,'RFR Data - preExcl'!$BF$2:$BG1679,2,FALSE),IF($T128,INDEX('RFR Data - preExcl'!$BF$2:$BG1679,MATCH($B128,'RFR Data - preExcl'!$BF$2:$BF1679,0)+1,2),VLOOKUP($B128,'RFR Data - preExcl'!$BF$2:$BG1679,2,FALSE))),IFERROR(0/0,""))</f>
        <v/>
      </c>
      <c r="V128" s="212" t="str">
        <f t="shared" si="5"/>
        <v>RUN-COMB_2022-04-04_RFR-009</v>
      </c>
      <c r="W128" s="51"/>
      <c r="X128" s="51"/>
      <c r="Y128" s="147" t="str">
        <f t="shared" ref="Y128:Z128" si="256">IF(_xlfn.ISFORMULA(S128),IFERROR(0/0,""),TRUE)</f>
        <v/>
      </c>
      <c r="Z128" s="147" t="str">
        <f t="shared" si="256"/>
        <v/>
      </c>
    </row>
    <row r="129">
      <c r="A129" s="6" t="str">
        <f>IFERROR(__xludf.DUMMYFUNCTION("""COMPUTED_VALUE"""),"FM3465")</f>
        <v>FM3465</v>
      </c>
      <c r="B129" s="206">
        <f>IFERROR(__xludf.DUMMYFUNCTION("""COMPUTED_VALUE"""),44655.0)</f>
        <v>44655</v>
      </c>
      <c r="C129" s="207">
        <f>IFERROR(__xludf.DUMMYFUNCTION("""COMPUTED_VALUE"""),0.7079861111111111)</f>
        <v>0.7079861111</v>
      </c>
      <c r="D129" s="50"/>
      <c r="E129" s="58"/>
      <c r="F129" s="58"/>
      <c r="G129" s="58" t="str">
        <f>IFERROR(__xludf.DUMMYFUNCTION("""COMPUTED_VALUE"""),"Negative")</f>
        <v>Negative</v>
      </c>
      <c r="H129" s="206" t="str">
        <f>IFERROR(__xludf.DUMMYFUNCTION("""COMPUTED_VALUE"""),"Negative")</f>
        <v>Negative</v>
      </c>
      <c r="I129" s="207">
        <f>IFERROR(__xludf.DUMMYFUNCTION("""COMPUTED_VALUE"""),44656.0)</f>
        <v>44656</v>
      </c>
      <c r="J129" s="208">
        <f>IFERROR(__xludf.DUMMYFUNCTION("""COMPUTED_VALUE"""),0.36711805555555554)</f>
        <v>0.3671180556</v>
      </c>
      <c r="K129" s="50"/>
      <c r="L129" s="6"/>
      <c r="M129" s="55"/>
      <c r="N129" s="55">
        <f>IFERROR(__xludf.DUMMYFUNCTION("""COMPUTED_VALUE"""),1.0)</f>
        <v>1</v>
      </c>
      <c r="O129" s="55" t="str">
        <f t="shared" si="3"/>
        <v/>
      </c>
      <c r="P129" s="209"/>
      <c r="Q129" s="75" t="b">
        <f>VLOOKUP($B129,'Run Reconcile'!B$2:P1679,15,FALSE)</f>
        <v>1</v>
      </c>
      <c r="R129" s="211" t="str">
        <f t="array" ref="R129">IF($Q129, INDEX('Run Reconcile'!A$2:A1679,MATCH(B129,'Run Reconcile'!B$2:B1679,0),1),IFERROR(0/0,""))</f>
        <v>RUN-COMB_2022-04-04_RFR-009</v>
      </c>
      <c r="S129" s="165" t="str">
        <f t="shared" ref="S129:T129" si="257">IF(COUNTIF(W$2:W1679, $A129) &gt; 0,TRUE,IFERROR(0/0,""))</f>
        <v/>
      </c>
      <c r="T129" s="165" t="str">
        <f t="shared" si="257"/>
        <v/>
      </c>
      <c r="U129" s="147" t="str">
        <f t="array" ref="U129">IF(ISBLANK($R129), IF($S129,VLOOKUP($B129+1,'RFR Data - preExcl'!$BF$2:$BG1679,2,FALSE),IF($T129,INDEX('RFR Data - preExcl'!$BF$2:$BG1679,MATCH($B129,'RFR Data - preExcl'!$BF$2:$BF1679,0)+1,2),VLOOKUP($B129,'RFR Data - preExcl'!$BF$2:$BG1679,2,FALSE))),IFERROR(0/0,""))</f>
        <v/>
      </c>
      <c r="V129" s="212" t="str">
        <f t="shared" si="5"/>
        <v>RUN-COMB_2022-04-04_RFR-009</v>
      </c>
      <c r="W129" s="51"/>
      <c r="X129" s="51"/>
      <c r="Y129" s="147" t="str">
        <f t="shared" ref="Y129:Z129" si="258">IF(_xlfn.ISFORMULA(S129),IFERROR(0/0,""),TRUE)</f>
        <v/>
      </c>
      <c r="Z129" s="147" t="str">
        <f t="shared" si="258"/>
        <v/>
      </c>
    </row>
    <row r="130">
      <c r="A130" s="6" t="str">
        <f>IFERROR(__xludf.DUMMYFUNCTION("""COMPUTED_VALUE"""),"FM3411")</f>
        <v>FM3411</v>
      </c>
      <c r="B130" s="206">
        <f>IFERROR(__xludf.DUMMYFUNCTION("""COMPUTED_VALUE"""),44655.0)</f>
        <v>44655</v>
      </c>
      <c r="C130" s="207">
        <f>IFERROR(__xludf.DUMMYFUNCTION("""COMPUTED_VALUE"""),0.7088425925925926)</f>
        <v>0.7088425926</v>
      </c>
      <c r="D130" s="50"/>
      <c r="E130" s="58"/>
      <c r="F130" s="58"/>
      <c r="G130" s="58" t="str">
        <f>IFERROR(__xludf.DUMMYFUNCTION("""COMPUTED_VALUE"""),"Negative")</f>
        <v>Negative</v>
      </c>
      <c r="H130" s="206" t="str">
        <f>IFERROR(__xludf.DUMMYFUNCTION("""COMPUTED_VALUE"""),"Negative")</f>
        <v>Negative</v>
      </c>
      <c r="I130" s="207">
        <f>IFERROR(__xludf.DUMMYFUNCTION("""COMPUTED_VALUE"""),44656.0)</f>
        <v>44656</v>
      </c>
      <c r="J130" s="208">
        <f>IFERROR(__xludf.DUMMYFUNCTION("""COMPUTED_VALUE"""),0.36711805555555554)</f>
        <v>0.3671180556</v>
      </c>
      <c r="K130" s="50"/>
      <c r="L130" s="6"/>
      <c r="M130" s="55"/>
      <c r="N130" s="55">
        <f>IFERROR(__xludf.DUMMYFUNCTION("""COMPUTED_VALUE"""),1.0)</f>
        <v>1</v>
      </c>
      <c r="O130" s="55" t="str">
        <f t="shared" si="3"/>
        <v/>
      </c>
      <c r="P130" s="209"/>
      <c r="Q130" s="75" t="b">
        <f>VLOOKUP($B130,'Run Reconcile'!B$2:P1679,15,FALSE)</f>
        <v>1</v>
      </c>
      <c r="R130" s="211" t="str">
        <f t="array" ref="R130">IF($Q130, INDEX('Run Reconcile'!A$2:A1679,MATCH(B130,'Run Reconcile'!B$2:B1679,0),1),IFERROR(0/0,""))</f>
        <v>RUN-COMB_2022-04-04_RFR-009</v>
      </c>
      <c r="S130" s="165" t="str">
        <f t="shared" ref="S130:T130" si="259">IF(COUNTIF(W$2:W1679, $A130) &gt; 0,TRUE,IFERROR(0/0,""))</f>
        <v/>
      </c>
      <c r="T130" s="165" t="str">
        <f t="shared" si="259"/>
        <v/>
      </c>
      <c r="U130" s="147" t="str">
        <f t="array" ref="U130">IF(ISBLANK($R130), IF($S130,VLOOKUP($B130+1,'RFR Data - preExcl'!$BF$2:$BG1679,2,FALSE),IF($T130,INDEX('RFR Data - preExcl'!$BF$2:$BG1679,MATCH($B130,'RFR Data - preExcl'!$BF$2:$BF1679,0)+1,2),VLOOKUP($B130,'RFR Data - preExcl'!$BF$2:$BG1679,2,FALSE))),IFERROR(0/0,""))</f>
        <v/>
      </c>
      <c r="V130" s="212" t="str">
        <f t="shared" si="5"/>
        <v>RUN-COMB_2022-04-04_RFR-009</v>
      </c>
      <c r="W130" s="51"/>
      <c r="X130" s="51"/>
      <c r="Y130" s="147" t="str">
        <f t="shared" ref="Y130:Z130" si="260">IF(_xlfn.ISFORMULA(S130),IFERROR(0/0,""),TRUE)</f>
        <v/>
      </c>
      <c r="Z130" s="147" t="str">
        <f t="shared" si="260"/>
        <v/>
      </c>
    </row>
    <row r="131">
      <c r="A131" s="6" t="str">
        <f>IFERROR(__xludf.DUMMYFUNCTION("""COMPUTED_VALUE"""),"FM3432")</f>
        <v>FM3432</v>
      </c>
      <c r="B131" s="206">
        <f>IFERROR(__xludf.DUMMYFUNCTION("""COMPUTED_VALUE"""),44655.0)</f>
        <v>44655</v>
      </c>
      <c r="C131" s="207">
        <f>IFERROR(__xludf.DUMMYFUNCTION("""COMPUTED_VALUE"""),0.7099768518518519)</f>
        <v>0.7099768519</v>
      </c>
      <c r="D131" s="50"/>
      <c r="E131" s="58"/>
      <c r="F131" s="58"/>
      <c r="G131" s="58" t="str">
        <f>IFERROR(__xludf.DUMMYFUNCTION("""COMPUTED_VALUE"""),"Negative")</f>
        <v>Negative</v>
      </c>
      <c r="H131" s="206" t="str">
        <f>IFERROR(__xludf.DUMMYFUNCTION("""COMPUTED_VALUE"""),"Negative")</f>
        <v>Negative</v>
      </c>
      <c r="I131" s="207">
        <f>IFERROR(__xludf.DUMMYFUNCTION("""COMPUTED_VALUE"""),44656.0)</f>
        <v>44656</v>
      </c>
      <c r="J131" s="208">
        <f>IFERROR(__xludf.DUMMYFUNCTION("""COMPUTED_VALUE"""),0.36711805555555554)</f>
        <v>0.3671180556</v>
      </c>
      <c r="K131" s="50"/>
      <c r="L131" s="6"/>
      <c r="M131" s="55"/>
      <c r="N131" s="55">
        <f>IFERROR(__xludf.DUMMYFUNCTION("""COMPUTED_VALUE"""),1.0)</f>
        <v>1</v>
      </c>
      <c r="O131" s="55" t="str">
        <f t="shared" si="3"/>
        <v/>
      </c>
      <c r="P131" s="209"/>
      <c r="Q131" s="75" t="b">
        <f>VLOOKUP($B131,'Run Reconcile'!B$2:P1679,15,FALSE)</f>
        <v>1</v>
      </c>
      <c r="R131" s="211" t="str">
        <f t="array" ref="R131">IF($Q131, INDEX('Run Reconcile'!A$2:A1679,MATCH(B131,'Run Reconcile'!B$2:B1679,0),1),IFERROR(0/0,""))</f>
        <v>RUN-COMB_2022-04-04_RFR-009</v>
      </c>
      <c r="S131" s="165" t="str">
        <f t="shared" ref="S131:T131" si="261">IF(COUNTIF(W$2:W1679, $A131) &gt; 0,TRUE,IFERROR(0/0,""))</f>
        <v/>
      </c>
      <c r="T131" s="165" t="str">
        <f t="shared" si="261"/>
        <v/>
      </c>
      <c r="U131" s="147" t="str">
        <f t="array" ref="U131">IF(ISBLANK($R131), IF($S131,VLOOKUP($B131+1,'RFR Data - preExcl'!$BF$2:$BG1679,2,FALSE),IF($T131,INDEX('RFR Data - preExcl'!$BF$2:$BG1679,MATCH($B131,'RFR Data - preExcl'!$BF$2:$BF1679,0)+1,2),VLOOKUP($B131,'RFR Data - preExcl'!$BF$2:$BG1679,2,FALSE))),IFERROR(0/0,""))</f>
        <v/>
      </c>
      <c r="V131" s="212" t="str">
        <f t="shared" si="5"/>
        <v>RUN-COMB_2022-04-04_RFR-009</v>
      </c>
      <c r="W131" s="51"/>
      <c r="X131" s="51"/>
      <c r="Y131" s="147" t="str">
        <f t="shared" ref="Y131:Z131" si="262">IF(_xlfn.ISFORMULA(S131),IFERROR(0/0,""),TRUE)</f>
        <v/>
      </c>
      <c r="Z131" s="147" t="str">
        <f t="shared" si="262"/>
        <v/>
      </c>
    </row>
    <row r="132">
      <c r="A132" s="6" t="str">
        <f>IFERROR(__xludf.DUMMYFUNCTION("""COMPUTED_VALUE"""),"FM3474")</f>
        <v>FM3474</v>
      </c>
      <c r="B132" s="206">
        <f>IFERROR(__xludf.DUMMYFUNCTION("""COMPUTED_VALUE"""),44655.0)</f>
        <v>44655</v>
      </c>
      <c r="C132" s="207">
        <f>IFERROR(__xludf.DUMMYFUNCTION("""COMPUTED_VALUE"""),0.7107638888888889)</f>
        <v>0.7107638889</v>
      </c>
      <c r="D132" s="50"/>
      <c r="E132" s="58"/>
      <c r="F132" s="58"/>
      <c r="G132" s="58" t="str">
        <f>IFERROR(__xludf.DUMMYFUNCTION("""COMPUTED_VALUE"""),"Negative")</f>
        <v>Negative</v>
      </c>
      <c r="H132" s="206" t="str">
        <f>IFERROR(__xludf.DUMMYFUNCTION("""COMPUTED_VALUE"""),"Negative")</f>
        <v>Negative</v>
      </c>
      <c r="I132" s="207">
        <f>IFERROR(__xludf.DUMMYFUNCTION("""COMPUTED_VALUE"""),44656.0)</f>
        <v>44656</v>
      </c>
      <c r="J132" s="208">
        <f>IFERROR(__xludf.DUMMYFUNCTION("""COMPUTED_VALUE"""),0.36711805555555554)</f>
        <v>0.3671180556</v>
      </c>
      <c r="K132" s="50"/>
      <c r="L132" s="6"/>
      <c r="M132" s="55"/>
      <c r="N132" s="55">
        <f>IFERROR(__xludf.DUMMYFUNCTION("""COMPUTED_VALUE"""),1.0)</f>
        <v>1</v>
      </c>
      <c r="O132" s="55" t="str">
        <f t="shared" si="3"/>
        <v/>
      </c>
      <c r="P132" s="209"/>
      <c r="Q132" s="75" t="b">
        <f>VLOOKUP($B132,'Run Reconcile'!B$2:P1679,15,FALSE)</f>
        <v>1</v>
      </c>
      <c r="R132" s="211" t="str">
        <f t="array" ref="R132">IF($Q132, INDEX('Run Reconcile'!A$2:A1679,MATCH(B132,'Run Reconcile'!B$2:B1679,0),1),IFERROR(0/0,""))</f>
        <v>RUN-COMB_2022-04-04_RFR-009</v>
      </c>
      <c r="S132" s="165" t="str">
        <f t="shared" ref="S132:T132" si="263">IF(COUNTIF(W$2:W1679, $A132) &gt; 0,TRUE,IFERROR(0/0,""))</f>
        <v/>
      </c>
      <c r="T132" s="165" t="str">
        <f t="shared" si="263"/>
        <v/>
      </c>
      <c r="U132" s="147" t="str">
        <f t="array" ref="U132">IF(ISBLANK($R132), IF($S132,VLOOKUP($B132+1,'RFR Data - preExcl'!$BF$2:$BG1679,2,FALSE),IF($T132,INDEX('RFR Data - preExcl'!$BF$2:$BG1679,MATCH($B132,'RFR Data - preExcl'!$BF$2:$BF1679,0)+1,2),VLOOKUP($B132,'RFR Data - preExcl'!$BF$2:$BG1679,2,FALSE))),IFERROR(0/0,""))</f>
        <v/>
      </c>
      <c r="V132" s="212" t="str">
        <f t="shared" si="5"/>
        <v>RUN-COMB_2022-04-04_RFR-009</v>
      </c>
      <c r="W132" s="51"/>
      <c r="X132" s="51"/>
      <c r="Y132" s="147" t="str">
        <f t="shared" ref="Y132:Z132" si="264">IF(_xlfn.ISFORMULA(S132),IFERROR(0/0,""),TRUE)</f>
        <v/>
      </c>
      <c r="Z132" s="147" t="str">
        <f t="shared" si="264"/>
        <v/>
      </c>
    </row>
    <row r="133">
      <c r="A133" s="6" t="str">
        <f>IFERROR(__xludf.DUMMYFUNCTION("""COMPUTED_VALUE"""),"FM3475")</f>
        <v>FM3475</v>
      </c>
      <c r="B133" s="206">
        <f>IFERROR(__xludf.DUMMYFUNCTION("""COMPUTED_VALUE"""),44655.0)</f>
        <v>44655</v>
      </c>
      <c r="C133" s="207">
        <f>IFERROR(__xludf.DUMMYFUNCTION("""COMPUTED_VALUE"""),0.7112268518518519)</f>
        <v>0.7112268519</v>
      </c>
      <c r="D133" s="50"/>
      <c r="E133" s="58"/>
      <c r="F133" s="58"/>
      <c r="G133" s="58" t="str">
        <f>IFERROR(__xludf.DUMMYFUNCTION("""COMPUTED_VALUE"""),"Negative")</f>
        <v>Negative</v>
      </c>
      <c r="H133" s="206" t="str">
        <f>IFERROR(__xludf.DUMMYFUNCTION("""COMPUTED_VALUE"""),"Negative")</f>
        <v>Negative</v>
      </c>
      <c r="I133" s="207">
        <f>IFERROR(__xludf.DUMMYFUNCTION("""COMPUTED_VALUE"""),44656.0)</f>
        <v>44656</v>
      </c>
      <c r="J133" s="208">
        <f>IFERROR(__xludf.DUMMYFUNCTION("""COMPUTED_VALUE"""),0.36711805555555554)</f>
        <v>0.3671180556</v>
      </c>
      <c r="K133" s="50"/>
      <c r="L133" s="6"/>
      <c r="M133" s="55"/>
      <c r="N133" s="55">
        <f>IFERROR(__xludf.DUMMYFUNCTION("""COMPUTED_VALUE"""),1.0)</f>
        <v>1</v>
      </c>
      <c r="O133" s="55" t="str">
        <f t="shared" si="3"/>
        <v/>
      </c>
      <c r="P133" s="209"/>
      <c r="Q133" s="75" t="b">
        <f>VLOOKUP($B133,'Run Reconcile'!B$2:P1679,15,FALSE)</f>
        <v>1</v>
      </c>
      <c r="R133" s="211" t="str">
        <f t="array" ref="R133">IF($Q133, INDEX('Run Reconcile'!A$2:A1679,MATCH(B133,'Run Reconcile'!B$2:B1679,0),1),IFERROR(0/0,""))</f>
        <v>RUN-COMB_2022-04-04_RFR-009</v>
      </c>
      <c r="S133" s="165" t="str">
        <f t="shared" ref="S133:T133" si="265">IF(COUNTIF(W$2:W1679, $A133) &gt; 0,TRUE,IFERROR(0/0,""))</f>
        <v/>
      </c>
      <c r="T133" s="165" t="str">
        <f t="shared" si="265"/>
        <v/>
      </c>
      <c r="U133" s="147" t="str">
        <f t="array" ref="U133">IF(ISBLANK($R133), IF($S133,VLOOKUP($B133+1,'RFR Data - preExcl'!$BF$2:$BG1679,2,FALSE),IF($T133,INDEX('RFR Data - preExcl'!$BF$2:$BG1679,MATCH($B133,'RFR Data - preExcl'!$BF$2:$BF1679,0)+1,2),VLOOKUP($B133,'RFR Data - preExcl'!$BF$2:$BG1679,2,FALSE))),IFERROR(0/0,""))</f>
        <v/>
      </c>
      <c r="V133" s="212" t="str">
        <f t="shared" si="5"/>
        <v>RUN-COMB_2022-04-04_RFR-009</v>
      </c>
      <c r="W133" s="51"/>
      <c r="X133" s="51"/>
      <c r="Y133" s="147" t="str">
        <f t="shared" ref="Y133:Z133" si="266">IF(_xlfn.ISFORMULA(S133),IFERROR(0/0,""),TRUE)</f>
        <v/>
      </c>
      <c r="Z133" s="147" t="str">
        <f t="shared" si="266"/>
        <v/>
      </c>
    </row>
    <row r="134">
      <c r="A134" s="6" t="str">
        <f>IFERROR(__xludf.DUMMYFUNCTION("""COMPUTED_VALUE"""),"FM3462")</f>
        <v>FM3462</v>
      </c>
      <c r="B134" s="206">
        <f>IFERROR(__xludf.DUMMYFUNCTION("""COMPUTED_VALUE"""),44655.0)</f>
        <v>44655</v>
      </c>
      <c r="C134" s="207">
        <f>IFERROR(__xludf.DUMMYFUNCTION("""COMPUTED_VALUE"""),0.7118634259259259)</f>
        <v>0.7118634259</v>
      </c>
      <c r="D134" s="50"/>
      <c r="E134" s="58"/>
      <c r="F134" s="58"/>
      <c r="G134" s="58" t="str">
        <f>IFERROR(__xludf.DUMMYFUNCTION("""COMPUTED_VALUE"""),"Null")</f>
        <v>Null</v>
      </c>
      <c r="H134" s="206" t="str">
        <f>IFERROR(__xludf.DUMMYFUNCTION("""COMPUTED_VALUE"""),"Negative")</f>
        <v>Negative</v>
      </c>
      <c r="I134" s="207"/>
      <c r="J134" s="50"/>
      <c r="K134" s="50">
        <f>IFERROR(__xludf.DUMMYFUNCTION("""COMPUTED_VALUE"""),2.0)</f>
        <v>2</v>
      </c>
      <c r="L134" s="6"/>
      <c r="M134" s="55"/>
      <c r="N134" s="55">
        <f>IFERROR(__xludf.DUMMYFUNCTION("""COMPUTED_VALUE"""),1.0)</f>
        <v>1</v>
      </c>
      <c r="O134" s="55" t="str">
        <f t="shared" si="3"/>
        <v/>
      </c>
      <c r="P134" s="209"/>
      <c r="Q134" s="75" t="b">
        <f>VLOOKUP($B134,'Run Reconcile'!B$2:P1679,15,FALSE)</f>
        <v>1</v>
      </c>
      <c r="R134" s="211" t="str">
        <f t="array" ref="R134">IF($Q134, INDEX('Run Reconcile'!A$2:A1679,MATCH(B134,'Run Reconcile'!B$2:B1679,0),1),IFERROR(0/0,""))</f>
        <v>RUN-COMB_2022-04-04_RFR-009</v>
      </c>
      <c r="S134" s="165" t="str">
        <f t="shared" ref="S134:T134" si="267">IF(COUNTIF(W$2:W1679, $A134) &gt; 0,TRUE,IFERROR(0/0,""))</f>
        <v/>
      </c>
      <c r="T134" s="165" t="str">
        <f t="shared" si="267"/>
        <v/>
      </c>
      <c r="U134" s="147" t="str">
        <f t="array" ref="U134">IF(ISBLANK($R134), IF($S134,VLOOKUP($B134+1,'RFR Data - preExcl'!$BF$2:$BG1679,2,FALSE),IF($T134,INDEX('RFR Data - preExcl'!$BF$2:$BG1679,MATCH($B134,'RFR Data - preExcl'!$BF$2:$BF1679,0)+1,2),VLOOKUP($B134,'RFR Data - preExcl'!$BF$2:$BG1679,2,FALSE))),IFERROR(0/0,""))</f>
        <v/>
      </c>
      <c r="V134" s="212" t="str">
        <f t="shared" si="5"/>
        <v>RUN-COMB_2022-04-04_RFR-009</v>
      </c>
      <c r="W134" s="51"/>
      <c r="X134" s="51"/>
      <c r="Y134" s="147" t="str">
        <f t="shared" ref="Y134:Z134" si="268">IF(_xlfn.ISFORMULA(S134),IFERROR(0/0,""),TRUE)</f>
        <v/>
      </c>
      <c r="Z134" s="147" t="str">
        <f t="shared" si="268"/>
        <v/>
      </c>
    </row>
    <row r="135">
      <c r="A135" s="6" t="str">
        <f>IFERROR(__xludf.DUMMYFUNCTION("""COMPUTED_VALUE"""),"FM3407")</f>
        <v>FM3407</v>
      </c>
      <c r="B135" s="206">
        <f>IFERROR(__xludf.DUMMYFUNCTION("""COMPUTED_VALUE"""),44655.0)</f>
        <v>44655</v>
      </c>
      <c r="C135" s="207">
        <f>IFERROR(__xludf.DUMMYFUNCTION("""COMPUTED_VALUE"""),0.7124305555555556)</f>
        <v>0.7124305556</v>
      </c>
      <c r="D135" s="50"/>
      <c r="E135" s="58"/>
      <c r="F135" s="58"/>
      <c r="G135" s="58" t="str">
        <f>IFERROR(__xludf.DUMMYFUNCTION("""COMPUTED_VALUE"""),"Negative")</f>
        <v>Negative</v>
      </c>
      <c r="H135" s="206" t="str">
        <f>IFERROR(__xludf.DUMMYFUNCTION("""COMPUTED_VALUE"""),"Negative")</f>
        <v>Negative</v>
      </c>
      <c r="I135" s="207">
        <f>IFERROR(__xludf.DUMMYFUNCTION("""COMPUTED_VALUE"""),44656.0)</f>
        <v>44656</v>
      </c>
      <c r="J135" s="208">
        <f>IFERROR(__xludf.DUMMYFUNCTION("""COMPUTED_VALUE"""),0.36711805555555554)</f>
        <v>0.3671180556</v>
      </c>
      <c r="K135" s="50"/>
      <c r="L135" s="6"/>
      <c r="M135" s="55"/>
      <c r="N135" s="55">
        <f>IFERROR(__xludf.DUMMYFUNCTION("""COMPUTED_VALUE"""),1.0)</f>
        <v>1</v>
      </c>
      <c r="O135" s="55" t="str">
        <f t="shared" si="3"/>
        <v/>
      </c>
      <c r="P135" s="209"/>
      <c r="Q135" s="75" t="b">
        <f>VLOOKUP($B135,'Run Reconcile'!B$2:P1679,15,FALSE)</f>
        <v>1</v>
      </c>
      <c r="R135" s="211" t="str">
        <f t="array" ref="R135">IF($Q135, INDEX('Run Reconcile'!A$2:A1679,MATCH(B135,'Run Reconcile'!B$2:B1679,0),1),IFERROR(0/0,""))</f>
        <v>RUN-COMB_2022-04-04_RFR-009</v>
      </c>
      <c r="S135" s="165" t="str">
        <f t="shared" ref="S135:T135" si="269">IF(COUNTIF(W$2:W1679, $A135) &gt; 0,TRUE,IFERROR(0/0,""))</f>
        <v/>
      </c>
      <c r="T135" s="165" t="str">
        <f t="shared" si="269"/>
        <v/>
      </c>
      <c r="U135" s="147" t="str">
        <f t="array" ref="U135">IF(ISBLANK($R135), IF($S135,VLOOKUP($B135+1,'RFR Data - preExcl'!$BF$2:$BG1679,2,FALSE),IF($T135,INDEX('RFR Data - preExcl'!$BF$2:$BG1679,MATCH($B135,'RFR Data - preExcl'!$BF$2:$BF1679,0)+1,2),VLOOKUP($B135,'RFR Data - preExcl'!$BF$2:$BG1679,2,FALSE))),IFERROR(0/0,""))</f>
        <v/>
      </c>
      <c r="V135" s="212" t="str">
        <f t="shared" si="5"/>
        <v>RUN-COMB_2022-04-04_RFR-009</v>
      </c>
      <c r="W135" s="51"/>
      <c r="X135" s="51"/>
      <c r="Y135" s="147" t="str">
        <f t="shared" ref="Y135:Z135" si="270">IF(_xlfn.ISFORMULA(S135),IFERROR(0/0,""),TRUE)</f>
        <v/>
      </c>
      <c r="Z135" s="147" t="str">
        <f t="shared" si="270"/>
        <v/>
      </c>
    </row>
    <row r="136">
      <c r="A136" s="6" t="str">
        <f>IFERROR(__xludf.DUMMYFUNCTION("""COMPUTED_VALUE"""),"FM3679")</f>
        <v>FM3679</v>
      </c>
      <c r="B136" s="206">
        <f>IFERROR(__xludf.DUMMYFUNCTION("""COMPUTED_VALUE"""),44655.0)</f>
        <v>44655</v>
      </c>
      <c r="C136" s="207">
        <f>IFERROR(__xludf.DUMMYFUNCTION("""COMPUTED_VALUE"""),0.7130324074074074)</f>
        <v>0.7130324074</v>
      </c>
      <c r="D136" s="50"/>
      <c r="E136" s="58"/>
      <c r="F136" s="58"/>
      <c r="G136" s="58" t="str">
        <f>IFERROR(__xludf.DUMMYFUNCTION("""COMPUTED_VALUE"""),"Negative")</f>
        <v>Negative</v>
      </c>
      <c r="H136" s="206" t="str">
        <f>IFERROR(__xludf.DUMMYFUNCTION("""COMPUTED_VALUE"""),"Negative")</f>
        <v>Negative</v>
      </c>
      <c r="I136" s="207">
        <f>IFERROR(__xludf.DUMMYFUNCTION("""COMPUTED_VALUE"""),44656.0)</f>
        <v>44656</v>
      </c>
      <c r="J136" s="208">
        <f>IFERROR(__xludf.DUMMYFUNCTION("""COMPUTED_VALUE"""),0.36711805555555554)</f>
        <v>0.3671180556</v>
      </c>
      <c r="K136" s="50"/>
      <c r="L136" s="6"/>
      <c r="M136" s="55"/>
      <c r="N136" s="55">
        <f>IFERROR(__xludf.DUMMYFUNCTION("""COMPUTED_VALUE"""),1.0)</f>
        <v>1</v>
      </c>
      <c r="O136" s="55" t="str">
        <f t="shared" si="3"/>
        <v/>
      </c>
      <c r="P136" s="209"/>
      <c r="Q136" s="75" t="b">
        <f>VLOOKUP($B136,'Run Reconcile'!B$2:P1679,15,FALSE)</f>
        <v>1</v>
      </c>
      <c r="R136" s="211" t="str">
        <f t="array" ref="R136">IF($Q136, INDEX('Run Reconcile'!A$2:A1679,MATCH(B136,'Run Reconcile'!B$2:B1679,0),1),IFERROR(0/0,""))</f>
        <v>RUN-COMB_2022-04-04_RFR-009</v>
      </c>
      <c r="S136" s="165" t="str">
        <f t="shared" ref="S136:T136" si="271">IF(COUNTIF(W$2:W1679, $A136) &gt; 0,TRUE,IFERROR(0/0,""))</f>
        <v/>
      </c>
      <c r="T136" s="165" t="str">
        <f t="shared" si="271"/>
        <v/>
      </c>
      <c r="U136" s="147" t="str">
        <f t="array" ref="U136">IF(ISBLANK($R136), IF($S136,VLOOKUP($B136+1,'RFR Data - preExcl'!$BF$2:$BG1679,2,FALSE),IF($T136,INDEX('RFR Data - preExcl'!$BF$2:$BG1679,MATCH($B136,'RFR Data - preExcl'!$BF$2:$BF1679,0)+1,2),VLOOKUP($B136,'RFR Data - preExcl'!$BF$2:$BG1679,2,FALSE))),IFERROR(0/0,""))</f>
        <v/>
      </c>
      <c r="V136" s="212" t="str">
        <f t="shared" si="5"/>
        <v>RUN-COMB_2022-04-04_RFR-009</v>
      </c>
      <c r="W136" s="51"/>
      <c r="X136" s="51"/>
      <c r="Y136" s="147" t="str">
        <f t="shared" ref="Y136:Z136" si="272">IF(_xlfn.ISFORMULA(S136),IFERROR(0/0,""),TRUE)</f>
        <v/>
      </c>
      <c r="Z136" s="147" t="str">
        <f t="shared" si="272"/>
        <v/>
      </c>
    </row>
    <row r="137">
      <c r="A137" s="6" t="str">
        <f>IFERROR(__xludf.DUMMYFUNCTION("""COMPUTED_VALUE"""),"FM3664")</f>
        <v>FM3664</v>
      </c>
      <c r="B137" s="206">
        <f>IFERROR(__xludf.DUMMYFUNCTION("""COMPUTED_VALUE"""),44655.0)</f>
        <v>44655</v>
      </c>
      <c r="C137" s="207">
        <f>IFERROR(__xludf.DUMMYFUNCTION("""COMPUTED_VALUE"""),0.7134953703703704)</f>
        <v>0.7134953704</v>
      </c>
      <c r="D137" s="50"/>
      <c r="E137" s="58"/>
      <c r="F137" s="58"/>
      <c r="G137" s="58" t="str">
        <f>IFERROR(__xludf.DUMMYFUNCTION("""COMPUTED_VALUE"""),"Negative")</f>
        <v>Negative</v>
      </c>
      <c r="H137" s="206" t="str">
        <f>IFERROR(__xludf.DUMMYFUNCTION("""COMPUTED_VALUE"""),"Negative")</f>
        <v>Negative</v>
      </c>
      <c r="I137" s="207">
        <f>IFERROR(__xludf.DUMMYFUNCTION("""COMPUTED_VALUE"""),44656.0)</f>
        <v>44656</v>
      </c>
      <c r="J137" s="208">
        <f>IFERROR(__xludf.DUMMYFUNCTION("""COMPUTED_VALUE"""),0.36712962962962964)</f>
        <v>0.3671296296</v>
      </c>
      <c r="K137" s="50"/>
      <c r="L137" s="6"/>
      <c r="M137" s="55"/>
      <c r="N137" s="55">
        <f>IFERROR(__xludf.DUMMYFUNCTION("""COMPUTED_VALUE"""),1.0)</f>
        <v>1</v>
      </c>
      <c r="O137" s="55" t="str">
        <f t="shared" si="3"/>
        <v/>
      </c>
      <c r="P137" s="209"/>
      <c r="Q137" s="75" t="b">
        <f>VLOOKUP($B137,'Run Reconcile'!B$2:P1679,15,FALSE)</f>
        <v>1</v>
      </c>
      <c r="R137" s="211" t="str">
        <f t="array" ref="R137">IF($Q137, INDEX('Run Reconcile'!A$2:A1679,MATCH(B137,'Run Reconcile'!B$2:B1679,0),1),IFERROR(0/0,""))</f>
        <v>RUN-COMB_2022-04-04_RFR-009</v>
      </c>
      <c r="S137" s="165" t="str">
        <f t="shared" ref="S137:T137" si="273">IF(COUNTIF(W$2:W1679, $A137) &gt; 0,TRUE,IFERROR(0/0,""))</f>
        <v/>
      </c>
      <c r="T137" s="165" t="str">
        <f t="shared" si="273"/>
        <v/>
      </c>
      <c r="U137" s="147" t="str">
        <f t="array" ref="U137">IF(ISBLANK($R137), IF($S137,VLOOKUP($B137+1,'RFR Data - preExcl'!$BF$2:$BG1679,2,FALSE),IF($T137,INDEX('RFR Data - preExcl'!$BF$2:$BG1679,MATCH($B137,'RFR Data - preExcl'!$BF$2:$BF1679,0)+1,2),VLOOKUP($B137,'RFR Data - preExcl'!$BF$2:$BG1679,2,FALSE))),IFERROR(0/0,""))</f>
        <v/>
      </c>
      <c r="V137" s="212" t="str">
        <f t="shared" si="5"/>
        <v>RUN-COMB_2022-04-04_RFR-009</v>
      </c>
      <c r="W137" s="51"/>
      <c r="X137" s="51"/>
      <c r="Y137" s="147" t="str">
        <f t="shared" ref="Y137:Z137" si="274">IF(_xlfn.ISFORMULA(S137),IFERROR(0/0,""),TRUE)</f>
        <v/>
      </c>
      <c r="Z137" s="147" t="str">
        <f t="shared" si="274"/>
        <v/>
      </c>
    </row>
    <row r="138">
      <c r="A138" s="6" t="str">
        <f>IFERROR(__xludf.DUMMYFUNCTION("""COMPUTED_VALUE"""),"FM3906")</f>
        <v>FM3906</v>
      </c>
      <c r="B138" s="206">
        <f>IFERROR(__xludf.DUMMYFUNCTION("""COMPUTED_VALUE"""),44655.0)</f>
        <v>44655</v>
      </c>
      <c r="C138" s="207">
        <f>IFERROR(__xludf.DUMMYFUNCTION("""COMPUTED_VALUE"""),0.7150810185185185)</f>
        <v>0.7150810185</v>
      </c>
      <c r="D138" s="50"/>
      <c r="E138" s="58"/>
      <c r="F138" s="58"/>
      <c r="G138" s="58" t="str">
        <f>IFERROR(__xludf.DUMMYFUNCTION("""COMPUTED_VALUE"""),"Negative")</f>
        <v>Negative</v>
      </c>
      <c r="H138" s="206" t="str">
        <f>IFERROR(__xludf.DUMMYFUNCTION("""COMPUTED_VALUE"""),"Negative")</f>
        <v>Negative</v>
      </c>
      <c r="I138" s="207">
        <f>IFERROR(__xludf.DUMMYFUNCTION("""COMPUTED_VALUE"""),44656.0)</f>
        <v>44656</v>
      </c>
      <c r="J138" s="208">
        <f>IFERROR(__xludf.DUMMYFUNCTION("""COMPUTED_VALUE"""),0.36712962962962964)</f>
        <v>0.3671296296</v>
      </c>
      <c r="K138" s="50"/>
      <c r="L138" s="6"/>
      <c r="M138" s="55"/>
      <c r="N138" s="55">
        <f>IFERROR(__xludf.DUMMYFUNCTION("""COMPUTED_VALUE"""),1.0)</f>
        <v>1</v>
      </c>
      <c r="O138" s="55" t="str">
        <f t="shared" si="3"/>
        <v/>
      </c>
      <c r="P138" s="209"/>
      <c r="Q138" s="75" t="b">
        <f>VLOOKUP($B138,'Run Reconcile'!B$2:P1679,15,FALSE)</f>
        <v>1</v>
      </c>
      <c r="R138" s="211" t="str">
        <f t="array" ref="R138">IF($Q138, INDEX('Run Reconcile'!A$2:A1679,MATCH(B138,'Run Reconcile'!B$2:B1679,0),1),IFERROR(0/0,""))</f>
        <v>RUN-COMB_2022-04-04_RFR-009</v>
      </c>
      <c r="S138" s="165" t="str">
        <f t="shared" ref="S138:T138" si="275">IF(COUNTIF(W$2:W1679, $A138) &gt; 0,TRUE,IFERROR(0/0,""))</f>
        <v/>
      </c>
      <c r="T138" s="165" t="str">
        <f t="shared" si="275"/>
        <v/>
      </c>
      <c r="U138" s="147" t="str">
        <f t="array" ref="U138">IF(ISBLANK($R138), IF($S138,VLOOKUP($B138+1,'RFR Data - preExcl'!$BF$2:$BG1679,2,FALSE),IF($T138,INDEX('RFR Data - preExcl'!$BF$2:$BG1679,MATCH($B138,'RFR Data - preExcl'!$BF$2:$BF1679,0)+1,2),VLOOKUP($B138,'RFR Data - preExcl'!$BF$2:$BG1679,2,FALSE))),IFERROR(0/0,""))</f>
        <v/>
      </c>
      <c r="V138" s="212" t="str">
        <f t="shared" si="5"/>
        <v>RUN-COMB_2022-04-04_RFR-009</v>
      </c>
      <c r="W138" s="51"/>
      <c r="X138" s="51"/>
      <c r="Y138" s="147" t="str">
        <f t="shared" ref="Y138:Z138" si="276">IF(_xlfn.ISFORMULA(S138),IFERROR(0/0,""),TRUE)</f>
        <v/>
      </c>
      <c r="Z138" s="147" t="str">
        <f t="shared" si="276"/>
        <v/>
      </c>
    </row>
    <row r="139">
      <c r="A139" s="6" t="str">
        <f>IFERROR(__xludf.DUMMYFUNCTION("""COMPUTED_VALUE"""),"FM3668")</f>
        <v>FM3668</v>
      </c>
      <c r="B139" s="206">
        <f>IFERROR(__xludf.DUMMYFUNCTION("""COMPUTED_VALUE"""),44655.0)</f>
        <v>44655</v>
      </c>
      <c r="C139" s="207">
        <f>IFERROR(__xludf.DUMMYFUNCTION("""COMPUTED_VALUE"""),0.7158680555555555)</f>
        <v>0.7158680556</v>
      </c>
      <c r="D139" s="50"/>
      <c r="E139" s="58"/>
      <c r="F139" s="58"/>
      <c r="G139" s="58" t="str">
        <f>IFERROR(__xludf.DUMMYFUNCTION("""COMPUTED_VALUE"""),"Negative")</f>
        <v>Negative</v>
      </c>
      <c r="H139" s="206" t="str">
        <f>IFERROR(__xludf.DUMMYFUNCTION("""COMPUTED_VALUE"""),"Negative")</f>
        <v>Negative</v>
      </c>
      <c r="I139" s="207">
        <f>IFERROR(__xludf.DUMMYFUNCTION("""COMPUTED_VALUE"""),44656.0)</f>
        <v>44656</v>
      </c>
      <c r="J139" s="208">
        <f>IFERROR(__xludf.DUMMYFUNCTION("""COMPUTED_VALUE"""),0.36712962962962964)</f>
        <v>0.3671296296</v>
      </c>
      <c r="K139" s="50"/>
      <c r="L139" s="6"/>
      <c r="M139" s="55"/>
      <c r="N139" s="55">
        <f>IFERROR(__xludf.DUMMYFUNCTION("""COMPUTED_VALUE"""),1.0)</f>
        <v>1</v>
      </c>
      <c r="O139" s="55" t="str">
        <f t="shared" si="3"/>
        <v/>
      </c>
      <c r="P139" s="209"/>
      <c r="Q139" s="75" t="b">
        <f>VLOOKUP($B139,'Run Reconcile'!B$2:P1679,15,FALSE)</f>
        <v>1</v>
      </c>
      <c r="R139" s="211" t="str">
        <f t="array" ref="R139">IF($Q139, INDEX('Run Reconcile'!A$2:A1679,MATCH(B139,'Run Reconcile'!B$2:B1679,0),1),IFERROR(0/0,""))</f>
        <v>RUN-COMB_2022-04-04_RFR-009</v>
      </c>
      <c r="S139" s="165" t="str">
        <f t="shared" ref="S139:T139" si="277">IF(COUNTIF(W$2:W1679, $A139) &gt; 0,TRUE,IFERROR(0/0,""))</f>
        <v/>
      </c>
      <c r="T139" s="165" t="str">
        <f t="shared" si="277"/>
        <v/>
      </c>
      <c r="U139" s="147" t="str">
        <f t="array" ref="U139">IF(ISBLANK($R139), IF($S139,VLOOKUP($B139+1,'RFR Data - preExcl'!$BF$2:$BG1679,2,FALSE),IF($T139,INDEX('RFR Data - preExcl'!$BF$2:$BG1679,MATCH($B139,'RFR Data - preExcl'!$BF$2:$BF1679,0)+1,2),VLOOKUP($B139,'RFR Data - preExcl'!$BF$2:$BG1679,2,FALSE))),IFERROR(0/0,""))</f>
        <v/>
      </c>
      <c r="V139" s="212" t="str">
        <f t="shared" si="5"/>
        <v>RUN-COMB_2022-04-04_RFR-009</v>
      </c>
      <c r="W139" s="51"/>
      <c r="X139" s="51"/>
      <c r="Y139" s="147" t="str">
        <f t="shared" ref="Y139:Z139" si="278">IF(_xlfn.ISFORMULA(S139),IFERROR(0/0,""),TRUE)</f>
        <v/>
      </c>
      <c r="Z139" s="147" t="str">
        <f t="shared" si="278"/>
        <v/>
      </c>
    </row>
    <row r="140">
      <c r="A140" s="6" t="str">
        <f>IFERROR(__xludf.DUMMYFUNCTION("""COMPUTED_VALUE"""),"FM3976")</f>
        <v>FM3976</v>
      </c>
      <c r="B140" s="206">
        <f>IFERROR(__xludf.DUMMYFUNCTION("""COMPUTED_VALUE"""),44655.0)</f>
        <v>44655</v>
      </c>
      <c r="C140" s="207">
        <f>IFERROR(__xludf.DUMMYFUNCTION("""COMPUTED_VALUE"""),0.7170138888888888)</f>
        <v>0.7170138889</v>
      </c>
      <c r="D140" s="50"/>
      <c r="E140" s="58"/>
      <c r="F140" s="58"/>
      <c r="G140" s="58" t="str">
        <f>IFERROR(__xludf.DUMMYFUNCTION("""COMPUTED_VALUE"""),"Negative")</f>
        <v>Negative</v>
      </c>
      <c r="H140" s="206" t="str">
        <f>IFERROR(__xludf.DUMMYFUNCTION("""COMPUTED_VALUE"""),"Negative")</f>
        <v>Negative</v>
      </c>
      <c r="I140" s="207">
        <f>IFERROR(__xludf.DUMMYFUNCTION("""COMPUTED_VALUE"""),44656.0)</f>
        <v>44656</v>
      </c>
      <c r="J140" s="208">
        <f>IFERROR(__xludf.DUMMYFUNCTION("""COMPUTED_VALUE"""),0.36712962962962964)</f>
        <v>0.3671296296</v>
      </c>
      <c r="K140" s="50"/>
      <c r="L140" s="6"/>
      <c r="M140" s="55"/>
      <c r="N140" s="55">
        <f>IFERROR(__xludf.DUMMYFUNCTION("""COMPUTED_VALUE"""),1.0)</f>
        <v>1</v>
      </c>
      <c r="O140" s="55" t="str">
        <f t="shared" si="3"/>
        <v/>
      </c>
      <c r="P140" s="209"/>
      <c r="Q140" s="75" t="b">
        <f>VLOOKUP($B140,'Run Reconcile'!B$2:P1679,15,FALSE)</f>
        <v>1</v>
      </c>
      <c r="R140" s="211" t="str">
        <f t="array" ref="R140">IF($Q140, INDEX('Run Reconcile'!A$2:A1679,MATCH(B140,'Run Reconcile'!B$2:B1679,0),1),IFERROR(0/0,""))</f>
        <v>RUN-COMB_2022-04-04_RFR-009</v>
      </c>
      <c r="S140" s="165" t="str">
        <f t="shared" ref="S140:T140" si="279">IF(COUNTIF(W$2:W1679, $A140) &gt; 0,TRUE,IFERROR(0/0,""))</f>
        <v/>
      </c>
      <c r="T140" s="165" t="str">
        <f t="shared" si="279"/>
        <v/>
      </c>
      <c r="U140" s="147" t="str">
        <f t="array" ref="U140">IF(ISBLANK($R140), IF($S140,VLOOKUP($B140+1,'RFR Data - preExcl'!$BF$2:$BG1679,2,FALSE),IF($T140,INDEX('RFR Data - preExcl'!$BF$2:$BG1679,MATCH($B140,'RFR Data - preExcl'!$BF$2:$BF1679,0)+1,2),VLOOKUP($B140,'RFR Data - preExcl'!$BF$2:$BG1679,2,FALSE))),IFERROR(0/0,""))</f>
        <v/>
      </c>
      <c r="V140" s="212" t="str">
        <f t="shared" si="5"/>
        <v>RUN-COMB_2022-04-04_RFR-009</v>
      </c>
      <c r="W140" s="51"/>
      <c r="X140" s="51"/>
      <c r="Y140" s="147" t="str">
        <f t="shared" ref="Y140:Z140" si="280">IF(_xlfn.ISFORMULA(S140),IFERROR(0/0,""),TRUE)</f>
        <v/>
      </c>
      <c r="Z140" s="147" t="str">
        <f t="shared" si="280"/>
        <v/>
      </c>
    </row>
    <row r="141">
      <c r="A141" s="6" t="str">
        <f>IFERROR(__xludf.DUMMYFUNCTION("""COMPUTED_VALUE"""),"FM3922")</f>
        <v>FM3922</v>
      </c>
      <c r="B141" s="206">
        <f>IFERROR(__xludf.DUMMYFUNCTION("""COMPUTED_VALUE"""),44655.0)</f>
        <v>44655</v>
      </c>
      <c r="C141" s="207">
        <f>IFERROR(__xludf.DUMMYFUNCTION("""COMPUTED_VALUE"""),0.7175115740740741)</f>
        <v>0.7175115741</v>
      </c>
      <c r="D141" s="50"/>
      <c r="E141" s="58"/>
      <c r="F141" s="58"/>
      <c r="G141" s="58" t="str">
        <f>IFERROR(__xludf.DUMMYFUNCTION("""COMPUTED_VALUE"""),"Negative")</f>
        <v>Negative</v>
      </c>
      <c r="H141" s="206" t="str">
        <f>IFERROR(__xludf.DUMMYFUNCTION("""COMPUTED_VALUE"""),"Negative")</f>
        <v>Negative</v>
      </c>
      <c r="I141" s="207">
        <f>IFERROR(__xludf.DUMMYFUNCTION("""COMPUTED_VALUE"""),44656.0)</f>
        <v>44656</v>
      </c>
      <c r="J141" s="208">
        <f>IFERROR(__xludf.DUMMYFUNCTION("""COMPUTED_VALUE"""),0.36712962962962964)</f>
        <v>0.3671296296</v>
      </c>
      <c r="K141" s="50"/>
      <c r="L141" s="6"/>
      <c r="M141" s="55"/>
      <c r="N141" s="55">
        <f>IFERROR(__xludf.DUMMYFUNCTION("""COMPUTED_VALUE"""),1.0)</f>
        <v>1</v>
      </c>
      <c r="O141" s="55" t="str">
        <f t="shared" si="3"/>
        <v/>
      </c>
      <c r="P141" s="209"/>
      <c r="Q141" s="75" t="b">
        <f>VLOOKUP($B141,'Run Reconcile'!B$2:P1679,15,FALSE)</f>
        <v>1</v>
      </c>
      <c r="R141" s="211" t="str">
        <f t="array" ref="R141">IF($Q141, INDEX('Run Reconcile'!A$2:A1679,MATCH(B141,'Run Reconcile'!B$2:B1679,0),1),IFERROR(0/0,""))</f>
        <v>RUN-COMB_2022-04-04_RFR-009</v>
      </c>
      <c r="S141" s="165" t="str">
        <f t="shared" ref="S141:T141" si="281">IF(COUNTIF(W$2:W1679, $A141) &gt; 0,TRUE,IFERROR(0/0,""))</f>
        <v/>
      </c>
      <c r="T141" s="165" t="str">
        <f t="shared" si="281"/>
        <v/>
      </c>
      <c r="U141" s="147" t="str">
        <f t="array" ref="U141">IF(ISBLANK($R141), IF($S141,VLOOKUP($B141+1,'RFR Data - preExcl'!$BF$2:$BG1679,2,FALSE),IF($T141,INDEX('RFR Data - preExcl'!$BF$2:$BG1679,MATCH($B141,'RFR Data - preExcl'!$BF$2:$BF1679,0)+1,2),VLOOKUP($B141,'RFR Data - preExcl'!$BF$2:$BG1679,2,FALSE))),IFERROR(0/0,""))</f>
        <v/>
      </c>
      <c r="V141" s="212" t="str">
        <f t="shared" si="5"/>
        <v>RUN-COMB_2022-04-04_RFR-009</v>
      </c>
      <c r="W141" s="51"/>
      <c r="X141" s="51"/>
      <c r="Y141" s="147" t="str">
        <f t="shared" ref="Y141:Z141" si="282">IF(_xlfn.ISFORMULA(S141),IFERROR(0/0,""),TRUE)</f>
        <v/>
      </c>
      <c r="Z141" s="147" t="str">
        <f t="shared" si="282"/>
        <v/>
      </c>
    </row>
    <row r="142">
      <c r="A142" s="6" t="str">
        <f>IFERROR(__xludf.DUMMYFUNCTION("""COMPUTED_VALUE"""),"FM3477")</f>
        <v>FM3477</v>
      </c>
      <c r="B142" s="206">
        <f>IFERROR(__xludf.DUMMYFUNCTION("""COMPUTED_VALUE"""),44655.0)</f>
        <v>44655</v>
      </c>
      <c r="C142" s="207">
        <f>IFERROR(__xludf.DUMMYFUNCTION("""COMPUTED_VALUE"""),0.7179861111111111)</f>
        <v>0.7179861111</v>
      </c>
      <c r="D142" s="50"/>
      <c r="E142" s="58"/>
      <c r="F142" s="58"/>
      <c r="G142" s="58" t="str">
        <f>IFERROR(__xludf.DUMMYFUNCTION("""COMPUTED_VALUE"""),"Negative")</f>
        <v>Negative</v>
      </c>
      <c r="H142" s="206" t="str">
        <f>IFERROR(__xludf.DUMMYFUNCTION("""COMPUTED_VALUE"""),"Negative")</f>
        <v>Negative</v>
      </c>
      <c r="I142" s="207">
        <f>IFERROR(__xludf.DUMMYFUNCTION("""COMPUTED_VALUE"""),44656.0)</f>
        <v>44656</v>
      </c>
      <c r="J142" s="208">
        <f>IFERROR(__xludf.DUMMYFUNCTION("""COMPUTED_VALUE"""),0.36712962962962964)</f>
        <v>0.3671296296</v>
      </c>
      <c r="K142" s="50"/>
      <c r="L142" s="6"/>
      <c r="M142" s="55"/>
      <c r="N142" s="55">
        <f>IFERROR(__xludf.DUMMYFUNCTION("""COMPUTED_VALUE"""),1.0)</f>
        <v>1</v>
      </c>
      <c r="O142" s="55" t="str">
        <f t="shared" si="3"/>
        <v/>
      </c>
      <c r="P142" s="209"/>
      <c r="Q142" s="75" t="b">
        <f>VLOOKUP($B142,'Run Reconcile'!B$2:P1679,15,FALSE)</f>
        <v>1</v>
      </c>
      <c r="R142" s="211" t="str">
        <f t="array" ref="R142">IF($Q142, INDEX('Run Reconcile'!A$2:A1679,MATCH(B142,'Run Reconcile'!B$2:B1679,0),1),IFERROR(0/0,""))</f>
        <v>RUN-COMB_2022-04-04_RFR-009</v>
      </c>
      <c r="S142" s="165" t="str">
        <f t="shared" ref="S142:T142" si="283">IF(COUNTIF(W$2:W1679, $A142) &gt; 0,TRUE,IFERROR(0/0,""))</f>
        <v/>
      </c>
      <c r="T142" s="165" t="str">
        <f t="shared" si="283"/>
        <v/>
      </c>
      <c r="U142" s="147" t="str">
        <f t="array" ref="U142">IF(ISBLANK($R142), IF($S142,VLOOKUP($B142+1,'RFR Data - preExcl'!$BF$2:$BG1679,2,FALSE),IF($T142,INDEX('RFR Data - preExcl'!$BF$2:$BG1679,MATCH($B142,'RFR Data - preExcl'!$BF$2:$BF1679,0)+1,2),VLOOKUP($B142,'RFR Data - preExcl'!$BF$2:$BG1679,2,FALSE))),IFERROR(0/0,""))</f>
        <v/>
      </c>
      <c r="V142" s="212" t="str">
        <f t="shared" si="5"/>
        <v>RUN-COMB_2022-04-04_RFR-009</v>
      </c>
      <c r="W142" s="51"/>
      <c r="X142" s="51"/>
      <c r="Y142" s="147" t="str">
        <f t="shared" ref="Y142:Z142" si="284">IF(_xlfn.ISFORMULA(S142),IFERROR(0/0,""),TRUE)</f>
        <v/>
      </c>
      <c r="Z142" s="147" t="str">
        <f t="shared" si="284"/>
        <v/>
      </c>
    </row>
    <row r="143">
      <c r="A143" s="6" t="str">
        <f>IFERROR(__xludf.DUMMYFUNCTION("""COMPUTED_VALUE"""),"FM3478")</f>
        <v>FM3478</v>
      </c>
      <c r="B143" s="206">
        <f>IFERROR(__xludf.DUMMYFUNCTION("""COMPUTED_VALUE"""),44655.0)</f>
        <v>44655</v>
      </c>
      <c r="C143" s="207">
        <f>IFERROR(__xludf.DUMMYFUNCTION("""COMPUTED_VALUE"""),0.7322800925925926)</f>
        <v>0.7322800926</v>
      </c>
      <c r="D143" s="50"/>
      <c r="E143" s="58"/>
      <c r="F143" s="58"/>
      <c r="G143" s="58" t="str">
        <f>IFERROR(__xludf.DUMMYFUNCTION("""COMPUTED_VALUE"""),"Negative")</f>
        <v>Negative</v>
      </c>
      <c r="H143" s="206" t="str">
        <f>IFERROR(__xludf.DUMMYFUNCTION("""COMPUTED_VALUE"""),"Negative")</f>
        <v>Negative</v>
      </c>
      <c r="I143" s="207">
        <f>IFERROR(__xludf.DUMMYFUNCTION("""COMPUTED_VALUE"""),44656.0)</f>
        <v>44656</v>
      </c>
      <c r="J143" s="208">
        <f>IFERROR(__xludf.DUMMYFUNCTION("""COMPUTED_VALUE"""),0.36712962962962964)</f>
        <v>0.3671296296</v>
      </c>
      <c r="K143" s="50"/>
      <c r="L143" s="6"/>
      <c r="M143" s="55"/>
      <c r="N143" s="55">
        <f>IFERROR(__xludf.DUMMYFUNCTION("""COMPUTED_VALUE"""),1.0)</f>
        <v>1</v>
      </c>
      <c r="O143" s="55" t="str">
        <f t="shared" si="3"/>
        <v/>
      </c>
      <c r="P143" s="209"/>
      <c r="Q143" s="75" t="b">
        <f>VLOOKUP($B143,'Run Reconcile'!B$2:P1679,15,FALSE)</f>
        <v>1</v>
      </c>
      <c r="R143" s="211" t="str">
        <f t="array" ref="R143">IF($Q143, INDEX('Run Reconcile'!A$2:A1679,MATCH(B143,'Run Reconcile'!B$2:B1679,0),1),IFERROR(0/0,""))</f>
        <v>RUN-COMB_2022-04-04_RFR-009</v>
      </c>
      <c r="S143" s="165" t="str">
        <f t="shared" ref="S143:T143" si="285">IF(COUNTIF(W$2:W1679, $A143) &gt; 0,TRUE,IFERROR(0/0,""))</f>
        <v/>
      </c>
      <c r="T143" s="165" t="str">
        <f t="shared" si="285"/>
        <v/>
      </c>
      <c r="U143" s="147" t="str">
        <f t="array" ref="U143">IF(ISBLANK($R143), IF($S143,VLOOKUP($B143+1,'RFR Data - preExcl'!$BF$2:$BG1679,2,FALSE),IF($T143,INDEX('RFR Data - preExcl'!$BF$2:$BG1679,MATCH($B143,'RFR Data - preExcl'!$BF$2:$BF1679,0)+1,2),VLOOKUP($B143,'RFR Data - preExcl'!$BF$2:$BG1679,2,FALSE))),IFERROR(0/0,""))</f>
        <v/>
      </c>
      <c r="V143" s="212" t="str">
        <f t="shared" si="5"/>
        <v>RUN-COMB_2022-04-04_RFR-009</v>
      </c>
      <c r="W143" s="51"/>
      <c r="X143" s="51"/>
      <c r="Y143" s="147" t="str">
        <f t="shared" ref="Y143:Z143" si="286">IF(_xlfn.ISFORMULA(S143),IFERROR(0/0,""),TRUE)</f>
        <v/>
      </c>
      <c r="Z143" s="147" t="str">
        <f t="shared" si="286"/>
        <v/>
      </c>
    </row>
    <row r="144">
      <c r="A144" s="6" t="str">
        <f>IFERROR(__xludf.DUMMYFUNCTION("""COMPUTED_VALUE"""),"FM3417")</f>
        <v>FM3417</v>
      </c>
      <c r="B144" s="206">
        <f>IFERROR(__xludf.DUMMYFUNCTION("""COMPUTED_VALUE"""),44655.0)</f>
        <v>44655</v>
      </c>
      <c r="C144" s="207">
        <f>IFERROR(__xludf.DUMMYFUNCTION("""COMPUTED_VALUE"""),0.733761574074074)</f>
        <v>0.7337615741</v>
      </c>
      <c r="D144" s="50"/>
      <c r="E144" s="58"/>
      <c r="F144" s="58"/>
      <c r="G144" s="58" t="str">
        <f>IFERROR(__xludf.DUMMYFUNCTION("""COMPUTED_VALUE"""),"Negative")</f>
        <v>Negative</v>
      </c>
      <c r="H144" s="206" t="str">
        <f>IFERROR(__xludf.DUMMYFUNCTION("""COMPUTED_VALUE"""),"Negative")</f>
        <v>Negative</v>
      </c>
      <c r="I144" s="207">
        <f>IFERROR(__xludf.DUMMYFUNCTION("""COMPUTED_VALUE"""),44656.0)</f>
        <v>44656</v>
      </c>
      <c r="J144" s="208">
        <f>IFERROR(__xludf.DUMMYFUNCTION("""COMPUTED_VALUE"""),0.36712962962962964)</f>
        <v>0.3671296296</v>
      </c>
      <c r="K144" s="50"/>
      <c r="L144" s="6"/>
      <c r="M144" s="55"/>
      <c r="N144" s="55">
        <f>IFERROR(__xludf.DUMMYFUNCTION("""COMPUTED_VALUE"""),1.0)</f>
        <v>1</v>
      </c>
      <c r="O144" s="55" t="str">
        <f t="shared" si="3"/>
        <v/>
      </c>
      <c r="P144" s="209"/>
      <c r="Q144" s="75" t="b">
        <f>VLOOKUP($B144,'Run Reconcile'!B$2:P1679,15,FALSE)</f>
        <v>1</v>
      </c>
      <c r="R144" s="211" t="str">
        <f t="array" ref="R144">IF($Q144, INDEX('Run Reconcile'!A$2:A1679,MATCH(B144,'Run Reconcile'!B$2:B1679,0),1),IFERROR(0/0,""))</f>
        <v>RUN-COMB_2022-04-04_RFR-009</v>
      </c>
      <c r="S144" s="165" t="str">
        <f t="shared" ref="S144:T144" si="287">IF(COUNTIF(W$2:W1679, $A144) &gt; 0,TRUE,IFERROR(0/0,""))</f>
        <v/>
      </c>
      <c r="T144" s="165" t="str">
        <f t="shared" si="287"/>
        <v/>
      </c>
      <c r="U144" s="147" t="str">
        <f t="array" ref="U144">IF(ISBLANK($R144), IF($S144,VLOOKUP($B144+1,'RFR Data - preExcl'!$BF$2:$BG1679,2,FALSE),IF($T144,INDEX('RFR Data - preExcl'!$BF$2:$BG1679,MATCH($B144,'RFR Data - preExcl'!$BF$2:$BF1679,0)+1,2),VLOOKUP($B144,'RFR Data - preExcl'!$BF$2:$BG1679,2,FALSE))),IFERROR(0/0,""))</f>
        <v/>
      </c>
      <c r="V144" s="212" t="str">
        <f t="shared" si="5"/>
        <v>RUN-COMB_2022-04-04_RFR-009</v>
      </c>
      <c r="W144" s="51"/>
      <c r="X144" s="51"/>
      <c r="Y144" s="147" t="str">
        <f t="shared" ref="Y144:Z144" si="288">IF(_xlfn.ISFORMULA(S144),IFERROR(0/0,""),TRUE)</f>
        <v/>
      </c>
      <c r="Z144" s="147" t="str">
        <f t="shared" si="288"/>
        <v/>
      </c>
    </row>
    <row r="145">
      <c r="A145" s="6" t="str">
        <f>IFERROR(__xludf.DUMMYFUNCTION("""COMPUTED_VALUE"""),"FM3971")</f>
        <v>FM3971</v>
      </c>
      <c r="B145" s="206">
        <f>IFERROR(__xludf.DUMMYFUNCTION("""COMPUTED_VALUE"""),44656.0)</f>
        <v>44656</v>
      </c>
      <c r="C145" s="207">
        <f>IFERROR(__xludf.DUMMYFUNCTION("""COMPUTED_VALUE"""),0.2663425925925926)</f>
        <v>0.2663425926</v>
      </c>
      <c r="D145" s="50"/>
      <c r="E145" s="58"/>
      <c r="F145" s="58"/>
      <c r="G145" s="58" t="str">
        <f>IFERROR(__xludf.DUMMYFUNCTION("""COMPUTED_VALUE"""),"Negative")</f>
        <v>Negative</v>
      </c>
      <c r="H145" s="206" t="str">
        <f>IFERROR(__xludf.DUMMYFUNCTION("""COMPUTED_VALUE"""),"Negative")</f>
        <v>Negative</v>
      </c>
      <c r="I145" s="207">
        <f>IFERROR(__xludf.DUMMYFUNCTION("""COMPUTED_VALUE"""),44656.0)</f>
        <v>44656</v>
      </c>
      <c r="J145" s="208">
        <f>IFERROR(__xludf.DUMMYFUNCTION("""COMPUTED_VALUE"""),0.3671412037037037)</f>
        <v>0.3671412037</v>
      </c>
      <c r="K145" s="50"/>
      <c r="L145" s="6"/>
      <c r="M145" s="55"/>
      <c r="N145" s="55">
        <f>IFERROR(__xludf.DUMMYFUNCTION("""COMPUTED_VALUE"""),1.0)</f>
        <v>1</v>
      </c>
      <c r="O145" s="55" t="b">
        <f t="shared" si="3"/>
        <v>1</v>
      </c>
      <c r="P145" s="209"/>
      <c r="Q145" s="75" t="b">
        <f>VLOOKUP($B145,'Run Reconcile'!B$2:P1679,15,FALSE)</f>
        <v>1</v>
      </c>
      <c r="R145" s="211" t="str">
        <f t="array" ref="R145">IF($Q145, INDEX('Run Reconcile'!A$2:A1679,MATCH(B145,'Run Reconcile'!B$2:B1679,0),1),IFERROR(0/0,""))</f>
        <v>RUN-COMB_2022-04-05_RFR-010</v>
      </c>
      <c r="S145" s="165" t="str">
        <f t="shared" ref="S145:T145" si="289">IF(COUNTIF(W$2:W1679, $A145) &gt; 0,TRUE,IFERROR(0/0,""))</f>
        <v/>
      </c>
      <c r="T145" s="165" t="str">
        <f t="shared" si="289"/>
        <v/>
      </c>
      <c r="U145" s="147" t="str">
        <f t="array" ref="U145">IF(ISBLANK($R145), IF($S145,VLOOKUP($B145+1,'RFR Data - preExcl'!$BF$2:$BG1679,2,FALSE),IF($T145,INDEX('RFR Data - preExcl'!$BF$2:$BG1679,MATCH($B145,'RFR Data - preExcl'!$BF$2:$BF1679,0)+1,2),VLOOKUP($B145,'RFR Data - preExcl'!$BF$2:$BG1679,2,FALSE))),IFERROR(0/0,""))</f>
        <v/>
      </c>
      <c r="V145" s="212" t="str">
        <f t="shared" si="5"/>
        <v>RUN-COMB_2022-04-05_RFR-010</v>
      </c>
      <c r="W145" s="51"/>
      <c r="X145" s="51"/>
      <c r="Y145" s="147" t="str">
        <f t="shared" ref="Y145:Z145" si="290">IF(_xlfn.ISFORMULA(S145),IFERROR(0/0,""),TRUE)</f>
        <v/>
      </c>
      <c r="Z145" s="147" t="str">
        <f t="shared" si="290"/>
        <v/>
      </c>
    </row>
    <row r="146">
      <c r="A146" s="6" t="str">
        <f>IFERROR(__xludf.DUMMYFUNCTION("""COMPUTED_VALUE"""),"FM3982")</f>
        <v>FM3982</v>
      </c>
      <c r="B146" s="206">
        <f>IFERROR(__xludf.DUMMYFUNCTION("""COMPUTED_VALUE"""),44656.0)</f>
        <v>44656</v>
      </c>
      <c r="C146" s="207">
        <f>IFERROR(__xludf.DUMMYFUNCTION("""COMPUTED_VALUE"""),0.2669675925925926)</f>
        <v>0.2669675926</v>
      </c>
      <c r="D146" s="50"/>
      <c r="E146" s="58"/>
      <c r="F146" s="58"/>
      <c r="G146" s="58" t="str">
        <f>IFERROR(__xludf.DUMMYFUNCTION("""COMPUTED_VALUE"""),"Negative")</f>
        <v>Negative</v>
      </c>
      <c r="H146" s="206" t="str">
        <f>IFERROR(__xludf.DUMMYFUNCTION("""COMPUTED_VALUE"""),"Negative")</f>
        <v>Negative</v>
      </c>
      <c r="I146" s="207">
        <f>IFERROR(__xludf.DUMMYFUNCTION("""COMPUTED_VALUE"""),44656.0)</f>
        <v>44656</v>
      </c>
      <c r="J146" s="208">
        <f>IFERROR(__xludf.DUMMYFUNCTION("""COMPUTED_VALUE"""),0.3671412037037037)</f>
        <v>0.3671412037</v>
      </c>
      <c r="K146" s="50"/>
      <c r="L146" s="6"/>
      <c r="M146" s="55"/>
      <c r="N146" s="55">
        <f>IFERROR(__xludf.DUMMYFUNCTION("""COMPUTED_VALUE"""),1.0)</f>
        <v>1</v>
      </c>
      <c r="O146" s="55" t="str">
        <f t="shared" si="3"/>
        <v/>
      </c>
      <c r="P146" s="209"/>
      <c r="Q146" s="75" t="b">
        <f>VLOOKUP($B146,'Run Reconcile'!B$2:P1679,15,FALSE)</f>
        <v>1</v>
      </c>
      <c r="R146" s="211" t="str">
        <f t="array" ref="R146">IF($Q146, INDEX('Run Reconcile'!A$2:A1679,MATCH(B146,'Run Reconcile'!B$2:B1679,0),1),IFERROR(0/0,""))</f>
        <v>RUN-COMB_2022-04-05_RFR-010</v>
      </c>
      <c r="S146" s="165" t="str">
        <f t="shared" ref="S146:T146" si="291">IF(COUNTIF(W$2:W1679, $A146) &gt; 0,TRUE,IFERROR(0/0,""))</f>
        <v/>
      </c>
      <c r="T146" s="165" t="str">
        <f t="shared" si="291"/>
        <v/>
      </c>
      <c r="U146" s="147" t="str">
        <f t="array" ref="U146">IF(ISBLANK($R146), IF($S146,VLOOKUP($B146+1,'RFR Data - preExcl'!$BF$2:$BG1679,2,FALSE),IF($T146,INDEX('RFR Data - preExcl'!$BF$2:$BG1679,MATCH($B146,'RFR Data - preExcl'!$BF$2:$BF1679,0)+1,2),VLOOKUP($B146,'RFR Data - preExcl'!$BF$2:$BG1679,2,FALSE))),IFERROR(0/0,""))</f>
        <v/>
      </c>
      <c r="V146" s="212" t="str">
        <f t="shared" si="5"/>
        <v>RUN-COMB_2022-04-05_RFR-010</v>
      </c>
      <c r="W146" s="51"/>
      <c r="X146" s="51"/>
      <c r="Y146" s="147" t="str">
        <f t="shared" ref="Y146:Z146" si="292">IF(_xlfn.ISFORMULA(S146),IFERROR(0/0,""),TRUE)</f>
        <v/>
      </c>
      <c r="Z146" s="147" t="str">
        <f t="shared" si="292"/>
        <v/>
      </c>
    </row>
    <row r="147">
      <c r="A147" s="6" t="str">
        <f>IFERROR(__xludf.DUMMYFUNCTION("""COMPUTED_VALUE"""),"FM3917")</f>
        <v>FM3917</v>
      </c>
      <c r="B147" s="206">
        <f>IFERROR(__xludf.DUMMYFUNCTION("""COMPUTED_VALUE"""),44656.0)</f>
        <v>44656</v>
      </c>
      <c r="C147" s="207">
        <f>IFERROR(__xludf.DUMMYFUNCTION("""COMPUTED_VALUE"""),0.2675462962962963)</f>
        <v>0.2675462963</v>
      </c>
      <c r="D147" s="50"/>
      <c r="E147" s="58"/>
      <c r="F147" s="58"/>
      <c r="G147" s="58" t="str">
        <f>IFERROR(__xludf.DUMMYFUNCTION("""COMPUTED_VALUE"""),"Negative")</f>
        <v>Negative</v>
      </c>
      <c r="H147" s="206" t="str">
        <f>IFERROR(__xludf.DUMMYFUNCTION("""COMPUTED_VALUE"""),"Negative")</f>
        <v>Negative</v>
      </c>
      <c r="I147" s="207">
        <f>IFERROR(__xludf.DUMMYFUNCTION("""COMPUTED_VALUE"""),44656.0)</f>
        <v>44656</v>
      </c>
      <c r="J147" s="208">
        <f>IFERROR(__xludf.DUMMYFUNCTION("""COMPUTED_VALUE"""),0.3671412037037037)</f>
        <v>0.3671412037</v>
      </c>
      <c r="K147" s="50"/>
      <c r="L147" s="6"/>
      <c r="M147" s="55"/>
      <c r="N147" s="55">
        <f>IFERROR(__xludf.DUMMYFUNCTION("""COMPUTED_VALUE"""),1.0)</f>
        <v>1</v>
      </c>
      <c r="O147" s="55" t="str">
        <f t="shared" si="3"/>
        <v/>
      </c>
      <c r="P147" s="209"/>
      <c r="Q147" s="75" t="b">
        <f>VLOOKUP($B147,'Run Reconcile'!B$2:P1679,15,FALSE)</f>
        <v>1</v>
      </c>
      <c r="R147" s="211" t="str">
        <f t="array" ref="R147">IF($Q147, INDEX('Run Reconcile'!A$2:A1679,MATCH(B147,'Run Reconcile'!B$2:B1679,0),1),IFERROR(0/0,""))</f>
        <v>RUN-COMB_2022-04-05_RFR-010</v>
      </c>
      <c r="S147" s="165" t="str">
        <f t="shared" ref="S147:T147" si="293">IF(COUNTIF(W$2:W1679, $A147) &gt; 0,TRUE,IFERROR(0/0,""))</f>
        <v/>
      </c>
      <c r="T147" s="165" t="str">
        <f t="shared" si="293"/>
        <v/>
      </c>
      <c r="U147" s="147" t="str">
        <f t="array" ref="U147">IF(ISBLANK($R147), IF($S147,VLOOKUP($B147+1,'RFR Data - preExcl'!$BF$2:$BG1679,2,FALSE),IF($T147,INDEX('RFR Data - preExcl'!$BF$2:$BG1679,MATCH($B147,'RFR Data - preExcl'!$BF$2:$BF1679,0)+1,2),VLOOKUP($B147,'RFR Data - preExcl'!$BF$2:$BG1679,2,FALSE))),IFERROR(0/0,""))</f>
        <v/>
      </c>
      <c r="V147" s="212" t="str">
        <f t="shared" si="5"/>
        <v>RUN-COMB_2022-04-05_RFR-010</v>
      </c>
      <c r="W147" s="51"/>
      <c r="X147" s="51"/>
      <c r="Y147" s="147" t="str">
        <f t="shared" ref="Y147:Z147" si="294">IF(_xlfn.ISFORMULA(S147),IFERROR(0/0,""),TRUE)</f>
        <v/>
      </c>
      <c r="Z147" s="147" t="str">
        <f t="shared" si="294"/>
        <v/>
      </c>
    </row>
    <row r="148">
      <c r="A148" s="6" t="str">
        <f>IFERROR(__xludf.DUMMYFUNCTION("""COMPUTED_VALUE"""),"FM3979")</f>
        <v>FM3979</v>
      </c>
      <c r="B148" s="206">
        <f>IFERROR(__xludf.DUMMYFUNCTION("""COMPUTED_VALUE"""),44656.0)</f>
        <v>44656</v>
      </c>
      <c r="C148" s="207">
        <f>IFERROR(__xludf.DUMMYFUNCTION("""COMPUTED_VALUE"""),0.2746412037037037)</f>
        <v>0.2746412037</v>
      </c>
      <c r="D148" s="50"/>
      <c r="E148" s="58"/>
      <c r="F148" s="58"/>
      <c r="G148" s="58" t="str">
        <f>IFERROR(__xludf.DUMMYFUNCTION("""COMPUTED_VALUE"""),"Negative")</f>
        <v>Negative</v>
      </c>
      <c r="H148" s="206" t="str">
        <f>IFERROR(__xludf.DUMMYFUNCTION("""COMPUTED_VALUE"""),"Negative")</f>
        <v>Negative</v>
      </c>
      <c r="I148" s="207">
        <f>IFERROR(__xludf.DUMMYFUNCTION("""COMPUTED_VALUE"""),44656.0)</f>
        <v>44656</v>
      </c>
      <c r="J148" s="208">
        <f>IFERROR(__xludf.DUMMYFUNCTION("""COMPUTED_VALUE"""),0.3671527777777778)</f>
        <v>0.3671527778</v>
      </c>
      <c r="K148" s="50"/>
      <c r="L148" s="6"/>
      <c r="M148" s="55"/>
      <c r="N148" s="55">
        <f>IFERROR(__xludf.DUMMYFUNCTION("""COMPUTED_VALUE"""),1.0)</f>
        <v>1</v>
      </c>
      <c r="O148" s="55" t="str">
        <f t="shared" si="3"/>
        <v/>
      </c>
      <c r="P148" s="209"/>
      <c r="Q148" s="75" t="b">
        <f>VLOOKUP($B148,'Run Reconcile'!B$2:P1679,15,FALSE)</f>
        <v>1</v>
      </c>
      <c r="R148" s="211" t="str">
        <f t="array" ref="R148">IF($Q148, INDEX('Run Reconcile'!A$2:A1679,MATCH(B148,'Run Reconcile'!B$2:B1679,0),1),IFERROR(0/0,""))</f>
        <v>RUN-COMB_2022-04-05_RFR-010</v>
      </c>
      <c r="S148" s="165" t="str">
        <f t="shared" ref="S148:T148" si="295">IF(COUNTIF(W$2:W1679, $A148) &gt; 0,TRUE,IFERROR(0/0,""))</f>
        <v/>
      </c>
      <c r="T148" s="165" t="str">
        <f t="shared" si="295"/>
        <v/>
      </c>
      <c r="U148" s="147" t="str">
        <f t="array" ref="U148">IF(ISBLANK($R148), IF($S148,VLOOKUP($B148+1,'RFR Data - preExcl'!$BF$2:$BG1679,2,FALSE),IF($T148,INDEX('RFR Data - preExcl'!$BF$2:$BG1679,MATCH($B148,'RFR Data - preExcl'!$BF$2:$BF1679,0)+1,2),VLOOKUP($B148,'RFR Data - preExcl'!$BF$2:$BG1679,2,FALSE))),IFERROR(0/0,""))</f>
        <v/>
      </c>
      <c r="V148" s="212" t="str">
        <f t="shared" si="5"/>
        <v>RUN-COMB_2022-04-05_RFR-010</v>
      </c>
      <c r="W148" s="51"/>
      <c r="X148" s="51"/>
      <c r="Y148" s="147" t="str">
        <f t="shared" ref="Y148:Z148" si="296">IF(_xlfn.ISFORMULA(S148),IFERROR(0/0,""),TRUE)</f>
        <v/>
      </c>
      <c r="Z148" s="147" t="str">
        <f t="shared" si="296"/>
        <v/>
      </c>
    </row>
    <row r="149">
      <c r="A149" s="6" t="str">
        <f>IFERROR(__xludf.DUMMYFUNCTION("""COMPUTED_VALUE"""),"FM3907")</f>
        <v>FM3907</v>
      </c>
      <c r="B149" s="206">
        <f>IFERROR(__xludf.DUMMYFUNCTION("""COMPUTED_VALUE"""),44656.0)</f>
        <v>44656</v>
      </c>
      <c r="C149" s="207">
        <f>IFERROR(__xludf.DUMMYFUNCTION("""COMPUTED_VALUE"""),0.2751388888888889)</f>
        <v>0.2751388889</v>
      </c>
      <c r="D149" s="50"/>
      <c r="E149" s="58"/>
      <c r="F149" s="58"/>
      <c r="G149" s="58" t="str">
        <f>IFERROR(__xludf.DUMMYFUNCTION("""COMPUTED_VALUE"""),"Negative")</f>
        <v>Negative</v>
      </c>
      <c r="H149" s="206" t="str">
        <f>IFERROR(__xludf.DUMMYFUNCTION("""COMPUTED_VALUE"""),"Negative")</f>
        <v>Negative</v>
      </c>
      <c r="I149" s="207">
        <f>IFERROR(__xludf.DUMMYFUNCTION("""COMPUTED_VALUE"""),44656.0)</f>
        <v>44656</v>
      </c>
      <c r="J149" s="208">
        <f>IFERROR(__xludf.DUMMYFUNCTION("""COMPUTED_VALUE"""),0.3671527777777778)</f>
        <v>0.3671527778</v>
      </c>
      <c r="K149" s="50"/>
      <c r="L149" s="6"/>
      <c r="M149" s="55"/>
      <c r="N149" s="55">
        <f>IFERROR(__xludf.DUMMYFUNCTION("""COMPUTED_VALUE"""),1.0)</f>
        <v>1</v>
      </c>
      <c r="O149" s="55" t="str">
        <f t="shared" si="3"/>
        <v/>
      </c>
      <c r="P149" s="209"/>
      <c r="Q149" s="75" t="b">
        <f>VLOOKUP($B149,'Run Reconcile'!B$2:P1679,15,FALSE)</f>
        <v>1</v>
      </c>
      <c r="R149" s="211" t="str">
        <f t="array" ref="R149">IF($Q149, INDEX('Run Reconcile'!A$2:A1679,MATCH(B149,'Run Reconcile'!B$2:B1679,0),1),IFERROR(0/0,""))</f>
        <v>RUN-COMB_2022-04-05_RFR-010</v>
      </c>
      <c r="S149" s="165" t="str">
        <f t="shared" ref="S149:T149" si="297">IF(COUNTIF(W$2:W1679, $A149) &gt; 0,TRUE,IFERROR(0/0,""))</f>
        <v/>
      </c>
      <c r="T149" s="165" t="str">
        <f t="shared" si="297"/>
        <v/>
      </c>
      <c r="U149" s="147" t="str">
        <f t="array" ref="U149">IF(ISBLANK($R149), IF($S149,VLOOKUP($B149+1,'RFR Data - preExcl'!$BF$2:$BG1679,2,FALSE),IF($T149,INDEX('RFR Data - preExcl'!$BF$2:$BG1679,MATCH($B149,'RFR Data - preExcl'!$BF$2:$BF1679,0)+1,2),VLOOKUP($B149,'RFR Data - preExcl'!$BF$2:$BG1679,2,FALSE))),IFERROR(0/0,""))</f>
        <v/>
      </c>
      <c r="V149" s="212" t="str">
        <f t="shared" si="5"/>
        <v>RUN-COMB_2022-04-05_RFR-010</v>
      </c>
      <c r="W149" s="51"/>
      <c r="X149" s="51"/>
      <c r="Y149" s="147" t="str">
        <f t="shared" ref="Y149:Z149" si="298">IF(_xlfn.ISFORMULA(S149),IFERROR(0/0,""),TRUE)</f>
        <v/>
      </c>
      <c r="Z149" s="147" t="str">
        <f t="shared" si="298"/>
        <v/>
      </c>
    </row>
    <row r="150">
      <c r="A150" s="6" t="str">
        <f>IFERROR(__xludf.DUMMYFUNCTION("""COMPUTED_VALUE"""),"FM3980")</f>
        <v>FM3980</v>
      </c>
      <c r="B150" s="206">
        <f>IFERROR(__xludf.DUMMYFUNCTION("""COMPUTED_VALUE"""),44656.0)</f>
        <v>44656</v>
      </c>
      <c r="C150" s="207">
        <f>IFERROR(__xludf.DUMMYFUNCTION("""COMPUTED_VALUE"""),0.2761574074074074)</f>
        <v>0.2761574074</v>
      </c>
      <c r="D150" s="50"/>
      <c r="E150" s="58"/>
      <c r="F150" s="58"/>
      <c r="G150" s="58" t="str">
        <f>IFERROR(__xludf.DUMMYFUNCTION("""COMPUTED_VALUE"""),"Negative")</f>
        <v>Negative</v>
      </c>
      <c r="H150" s="206" t="str">
        <f>IFERROR(__xludf.DUMMYFUNCTION("""COMPUTED_VALUE"""),"Negative")</f>
        <v>Negative</v>
      </c>
      <c r="I150" s="207">
        <f>IFERROR(__xludf.DUMMYFUNCTION("""COMPUTED_VALUE"""),44656.0)</f>
        <v>44656</v>
      </c>
      <c r="J150" s="208">
        <f>IFERROR(__xludf.DUMMYFUNCTION("""COMPUTED_VALUE"""),0.3671527777777778)</f>
        <v>0.3671527778</v>
      </c>
      <c r="K150" s="50"/>
      <c r="L150" s="6"/>
      <c r="M150" s="55"/>
      <c r="N150" s="55">
        <f>IFERROR(__xludf.DUMMYFUNCTION("""COMPUTED_VALUE"""),1.0)</f>
        <v>1</v>
      </c>
      <c r="O150" s="55" t="str">
        <f t="shared" si="3"/>
        <v/>
      </c>
      <c r="P150" s="209"/>
      <c r="Q150" s="75" t="b">
        <f>VLOOKUP($B150,'Run Reconcile'!B$2:P1679,15,FALSE)</f>
        <v>1</v>
      </c>
      <c r="R150" s="211" t="str">
        <f t="array" ref="R150">IF($Q150, INDEX('Run Reconcile'!A$2:A1679,MATCH(B150,'Run Reconcile'!B$2:B1679,0),1),IFERROR(0/0,""))</f>
        <v>RUN-COMB_2022-04-05_RFR-010</v>
      </c>
      <c r="S150" s="165" t="str">
        <f t="shared" ref="S150:T150" si="299">IF(COUNTIF(W$2:W1679, $A150) &gt; 0,TRUE,IFERROR(0/0,""))</f>
        <v/>
      </c>
      <c r="T150" s="165" t="str">
        <f t="shared" si="299"/>
        <v/>
      </c>
      <c r="U150" s="147" t="str">
        <f t="array" ref="U150">IF(ISBLANK($R150), IF($S150,VLOOKUP($B150+1,'RFR Data - preExcl'!$BF$2:$BG1679,2,FALSE),IF($T150,INDEX('RFR Data - preExcl'!$BF$2:$BG1679,MATCH($B150,'RFR Data - preExcl'!$BF$2:$BF1679,0)+1,2),VLOOKUP($B150,'RFR Data - preExcl'!$BF$2:$BG1679,2,FALSE))),IFERROR(0/0,""))</f>
        <v/>
      </c>
      <c r="V150" s="212" t="str">
        <f t="shared" si="5"/>
        <v>RUN-COMB_2022-04-05_RFR-010</v>
      </c>
      <c r="W150" s="51"/>
      <c r="X150" s="51"/>
      <c r="Y150" s="147" t="str">
        <f t="shared" ref="Y150:Z150" si="300">IF(_xlfn.ISFORMULA(S150),IFERROR(0/0,""),TRUE)</f>
        <v/>
      </c>
      <c r="Z150" s="147" t="str">
        <f t="shared" si="300"/>
        <v/>
      </c>
    </row>
    <row r="151">
      <c r="A151" s="6" t="str">
        <f>IFERROR(__xludf.DUMMYFUNCTION("""COMPUTED_VALUE"""),"FM3939")</f>
        <v>FM3939</v>
      </c>
      <c r="B151" s="206">
        <f>IFERROR(__xludf.DUMMYFUNCTION("""COMPUTED_VALUE"""),44656.0)</f>
        <v>44656</v>
      </c>
      <c r="C151" s="207">
        <f>IFERROR(__xludf.DUMMYFUNCTION("""COMPUTED_VALUE"""),0.27890046296296295)</f>
        <v>0.278900463</v>
      </c>
      <c r="D151" s="50"/>
      <c r="E151" s="58"/>
      <c r="F151" s="58"/>
      <c r="G151" s="58" t="str">
        <f>IFERROR(__xludf.DUMMYFUNCTION("""COMPUTED_VALUE"""),"Negative")</f>
        <v>Negative</v>
      </c>
      <c r="H151" s="206" t="str">
        <f>IFERROR(__xludf.DUMMYFUNCTION("""COMPUTED_VALUE"""),"Negative")</f>
        <v>Negative</v>
      </c>
      <c r="I151" s="207">
        <f>IFERROR(__xludf.DUMMYFUNCTION("""COMPUTED_VALUE"""),44656.0)</f>
        <v>44656</v>
      </c>
      <c r="J151" s="208">
        <f>IFERROR(__xludf.DUMMYFUNCTION("""COMPUTED_VALUE"""),0.3671527777777778)</f>
        <v>0.3671527778</v>
      </c>
      <c r="K151" s="50"/>
      <c r="L151" s="6"/>
      <c r="M151" s="55"/>
      <c r="N151" s="55">
        <f>IFERROR(__xludf.DUMMYFUNCTION("""COMPUTED_VALUE"""),1.0)</f>
        <v>1</v>
      </c>
      <c r="O151" s="55" t="str">
        <f t="shared" si="3"/>
        <v/>
      </c>
      <c r="P151" s="209"/>
      <c r="Q151" s="75" t="b">
        <f>VLOOKUP($B151,'Run Reconcile'!B$2:P1679,15,FALSE)</f>
        <v>1</v>
      </c>
      <c r="R151" s="211" t="str">
        <f t="array" ref="R151">IF($Q151, INDEX('Run Reconcile'!A$2:A1679,MATCH(B151,'Run Reconcile'!B$2:B1679,0),1),IFERROR(0/0,""))</f>
        <v>RUN-COMB_2022-04-05_RFR-010</v>
      </c>
      <c r="S151" s="165" t="str">
        <f t="shared" ref="S151:T151" si="301">IF(COUNTIF(W$2:W1679, $A151) &gt; 0,TRUE,IFERROR(0/0,""))</f>
        <v/>
      </c>
      <c r="T151" s="165" t="str">
        <f t="shared" si="301"/>
        <v/>
      </c>
      <c r="U151" s="147" t="str">
        <f t="array" ref="U151">IF(ISBLANK($R151), IF($S151,VLOOKUP($B151+1,'RFR Data - preExcl'!$BF$2:$BG1679,2,FALSE),IF($T151,INDEX('RFR Data - preExcl'!$BF$2:$BG1679,MATCH($B151,'RFR Data - preExcl'!$BF$2:$BF1679,0)+1,2),VLOOKUP($B151,'RFR Data - preExcl'!$BF$2:$BG1679,2,FALSE))),IFERROR(0/0,""))</f>
        <v/>
      </c>
      <c r="V151" s="212" t="str">
        <f t="shared" si="5"/>
        <v>RUN-COMB_2022-04-05_RFR-010</v>
      </c>
      <c r="W151" s="51"/>
      <c r="X151" s="51"/>
      <c r="Y151" s="147" t="str">
        <f t="shared" ref="Y151:Z151" si="302">IF(_xlfn.ISFORMULA(S151),IFERROR(0/0,""),TRUE)</f>
        <v/>
      </c>
      <c r="Z151" s="147" t="str">
        <f t="shared" si="302"/>
        <v/>
      </c>
    </row>
    <row r="152">
      <c r="A152" s="6" t="str">
        <f>IFERROR(__xludf.DUMMYFUNCTION("""COMPUTED_VALUE"""),"FM3964")</f>
        <v>FM3964</v>
      </c>
      <c r="B152" s="206">
        <f>IFERROR(__xludf.DUMMYFUNCTION("""COMPUTED_VALUE"""),44656.0)</f>
        <v>44656</v>
      </c>
      <c r="C152" s="207">
        <f>IFERROR(__xludf.DUMMYFUNCTION("""COMPUTED_VALUE"""),0.28109953703703705)</f>
        <v>0.281099537</v>
      </c>
      <c r="D152" s="50"/>
      <c r="E152" s="58"/>
      <c r="F152" s="58"/>
      <c r="G152" s="58" t="str">
        <f>IFERROR(__xludf.DUMMYFUNCTION("""COMPUTED_VALUE"""),"Negative")</f>
        <v>Negative</v>
      </c>
      <c r="H152" s="206" t="str">
        <f>IFERROR(__xludf.DUMMYFUNCTION("""COMPUTED_VALUE"""),"Negative")</f>
        <v>Negative</v>
      </c>
      <c r="I152" s="207">
        <f>IFERROR(__xludf.DUMMYFUNCTION("""COMPUTED_VALUE"""),44656.0)</f>
        <v>44656</v>
      </c>
      <c r="J152" s="208">
        <f>IFERROR(__xludf.DUMMYFUNCTION("""COMPUTED_VALUE"""),0.3671527777777778)</f>
        <v>0.3671527778</v>
      </c>
      <c r="K152" s="50"/>
      <c r="L152" s="6"/>
      <c r="M152" s="55"/>
      <c r="N152" s="55">
        <f>IFERROR(__xludf.DUMMYFUNCTION("""COMPUTED_VALUE"""),1.0)</f>
        <v>1</v>
      </c>
      <c r="O152" s="55" t="str">
        <f t="shared" si="3"/>
        <v/>
      </c>
      <c r="P152" s="209"/>
      <c r="Q152" s="75" t="b">
        <f>VLOOKUP($B152,'Run Reconcile'!B$2:P1679,15,FALSE)</f>
        <v>1</v>
      </c>
      <c r="R152" s="211" t="str">
        <f t="array" ref="R152">IF($Q152, INDEX('Run Reconcile'!A$2:A1679,MATCH(B152,'Run Reconcile'!B$2:B1679,0),1),IFERROR(0/0,""))</f>
        <v>RUN-COMB_2022-04-05_RFR-010</v>
      </c>
      <c r="S152" s="165" t="str">
        <f t="shared" ref="S152:T152" si="303">IF(COUNTIF(W$2:W1679, $A152) &gt; 0,TRUE,IFERROR(0/0,""))</f>
        <v/>
      </c>
      <c r="T152" s="165" t="str">
        <f t="shared" si="303"/>
        <v/>
      </c>
      <c r="U152" s="147" t="str">
        <f t="array" ref="U152">IF(ISBLANK($R152), IF($S152,VLOOKUP($B152+1,'RFR Data - preExcl'!$BF$2:$BG1679,2,FALSE),IF($T152,INDEX('RFR Data - preExcl'!$BF$2:$BG1679,MATCH($B152,'RFR Data - preExcl'!$BF$2:$BF1679,0)+1,2),VLOOKUP($B152,'RFR Data - preExcl'!$BF$2:$BG1679,2,FALSE))),IFERROR(0/0,""))</f>
        <v/>
      </c>
      <c r="V152" s="212" t="str">
        <f t="shared" si="5"/>
        <v>RUN-COMB_2022-04-05_RFR-010</v>
      </c>
      <c r="W152" s="51"/>
      <c r="X152" s="51"/>
      <c r="Y152" s="147" t="str">
        <f t="shared" ref="Y152:Z152" si="304">IF(_xlfn.ISFORMULA(S152),IFERROR(0/0,""),TRUE)</f>
        <v/>
      </c>
      <c r="Z152" s="147" t="str">
        <f t="shared" si="304"/>
        <v/>
      </c>
    </row>
    <row r="153">
      <c r="A153" s="6" t="str">
        <f>IFERROR(__xludf.DUMMYFUNCTION("""COMPUTED_VALUE"""),"FM3972")</f>
        <v>FM3972</v>
      </c>
      <c r="B153" s="206">
        <f>IFERROR(__xludf.DUMMYFUNCTION("""COMPUTED_VALUE"""),44656.0)</f>
        <v>44656</v>
      </c>
      <c r="C153" s="207">
        <f>IFERROR(__xludf.DUMMYFUNCTION("""COMPUTED_VALUE"""),0.2817824074074074)</f>
        <v>0.2817824074</v>
      </c>
      <c r="D153" s="50"/>
      <c r="E153" s="58"/>
      <c r="F153" s="58"/>
      <c r="G153" s="58" t="str">
        <f>IFERROR(__xludf.DUMMYFUNCTION("""COMPUTED_VALUE"""),"Negative")</f>
        <v>Negative</v>
      </c>
      <c r="H153" s="206" t="str">
        <f>IFERROR(__xludf.DUMMYFUNCTION("""COMPUTED_VALUE"""),"Negative")</f>
        <v>Negative</v>
      </c>
      <c r="I153" s="207">
        <f>IFERROR(__xludf.DUMMYFUNCTION("""COMPUTED_VALUE"""),44656.0)</f>
        <v>44656</v>
      </c>
      <c r="J153" s="208">
        <f>IFERROR(__xludf.DUMMYFUNCTION("""COMPUTED_VALUE"""),0.36716435185185187)</f>
        <v>0.3671643519</v>
      </c>
      <c r="K153" s="50"/>
      <c r="L153" s="6"/>
      <c r="M153" s="55"/>
      <c r="N153" s="55">
        <f>IFERROR(__xludf.DUMMYFUNCTION("""COMPUTED_VALUE"""),1.0)</f>
        <v>1</v>
      </c>
      <c r="O153" s="55" t="str">
        <f t="shared" si="3"/>
        <v/>
      </c>
      <c r="P153" s="209"/>
      <c r="Q153" s="75" t="b">
        <f>VLOOKUP($B153,'Run Reconcile'!B$2:P1679,15,FALSE)</f>
        <v>1</v>
      </c>
      <c r="R153" s="211" t="str">
        <f t="array" ref="R153">IF($Q153, INDEX('Run Reconcile'!A$2:A1679,MATCH(B153,'Run Reconcile'!B$2:B1679,0),1),IFERROR(0/0,""))</f>
        <v>RUN-COMB_2022-04-05_RFR-010</v>
      </c>
      <c r="S153" s="165" t="str">
        <f t="shared" ref="S153:T153" si="305">IF(COUNTIF(W$2:W1679, $A153) &gt; 0,TRUE,IFERROR(0/0,""))</f>
        <v/>
      </c>
      <c r="T153" s="165" t="str">
        <f t="shared" si="305"/>
        <v/>
      </c>
      <c r="U153" s="147" t="str">
        <f t="array" ref="U153">IF(ISBLANK($R153), IF($S153,VLOOKUP($B153+1,'RFR Data - preExcl'!$BF$2:$BG1679,2,FALSE),IF($T153,INDEX('RFR Data - preExcl'!$BF$2:$BG1679,MATCH($B153,'RFR Data - preExcl'!$BF$2:$BF1679,0)+1,2),VLOOKUP($B153,'RFR Data - preExcl'!$BF$2:$BG1679,2,FALSE))),IFERROR(0/0,""))</f>
        <v/>
      </c>
      <c r="V153" s="212" t="str">
        <f t="shared" si="5"/>
        <v>RUN-COMB_2022-04-05_RFR-010</v>
      </c>
      <c r="W153" s="51"/>
      <c r="X153" s="51"/>
      <c r="Y153" s="147" t="str">
        <f t="shared" ref="Y153:Z153" si="306">IF(_xlfn.ISFORMULA(S153),IFERROR(0/0,""),TRUE)</f>
        <v/>
      </c>
      <c r="Z153" s="147" t="str">
        <f t="shared" si="306"/>
        <v/>
      </c>
    </row>
    <row r="154">
      <c r="A154" s="6" t="str">
        <f>IFERROR(__xludf.DUMMYFUNCTION("""COMPUTED_VALUE"""),"FM3443")</f>
        <v>FM3443</v>
      </c>
      <c r="B154" s="206">
        <f>IFERROR(__xludf.DUMMYFUNCTION("""COMPUTED_VALUE"""),44656.0)</f>
        <v>44656</v>
      </c>
      <c r="C154" s="207">
        <f>IFERROR(__xludf.DUMMYFUNCTION("""COMPUTED_VALUE"""),0.28239583333333335)</f>
        <v>0.2823958333</v>
      </c>
      <c r="D154" s="50"/>
      <c r="E154" s="58"/>
      <c r="F154" s="58"/>
      <c r="G154" s="58" t="str">
        <f>IFERROR(__xludf.DUMMYFUNCTION("""COMPUTED_VALUE"""),"Negative")</f>
        <v>Negative</v>
      </c>
      <c r="H154" s="206" t="str">
        <f>IFERROR(__xludf.DUMMYFUNCTION("""COMPUTED_VALUE"""),"Negative")</f>
        <v>Negative</v>
      </c>
      <c r="I154" s="207">
        <f>IFERROR(__xludf.DUMMYFUNCTION("""COMPUTED_VALUE"""),44656.0)</f>
        <v>44656</v>
      </c>
      <c r="J154" s="208">
        <f>IFERROR(__xludf.DUMMYFUNCTION("""COMPUTED_VALUE"""),0.36716435185185187)</f>
        <v>0.3671643519</v>
      </c>
      <c r="K154" s="50"/>
      <c r="L154" s="6"/>
      <c r="M154" s="55"/>
      <c r="N154" s="55">
        <f>IFERROR(__xludf.DUMMYFUNCTION("""COMPUTED_VALUE"""),1.0)</f>
        <v>1</v>
      </c>
      <c r="O154" s="55" t="str">
        <f t="shared" si="3"/>
        <v/>
      </c>
      <c r="P154" s="209"/>
      <c r="Q154" s="75" t="b">
        <f>VLOOKUP($B154,'Run Reconcile'!B$2:P1679,15,FALSE)</f>
        <v>1</v>
      </c>
      <c r="R154" s="211" t="str">
        <f t="array" ref="R154">IF($Q154, INDEX('Run Reconcile'!A$2:A1679,MATCH(B154,'Run Reconcile'!B$2:B1679,0),1),IFERROR(0/0,""))</f>
        <v>RUN-COMB_2022-04-05_RFR-010</v>
      </c>
      <c r="S154" s="165" t="str">
        <f t="shared" ref="S154:T154" si="307">IF(COUNTIF(W$2:W1679, $A154) &gt; 0,TRUE,IFERROR(0/0,""))</f>
        <v/>
      </c>
      <c r="T154" s="165" t="str">
        <f t="shared" si="307"/>
        <v/>
      </c>
      <c r="U154" s="147" t="str">
        <f t="array" ref="U154">IF(ISBLANK($R154), IF($S154,VLOOKUP($B154+1,'RFR Data - preExcl'!$BF$2:$BG1679,2,FALSE),IF($T154,INDEX('RFR Data - preExcl'!$BF$2:$BG1679,MATCH($B154,'RFR Data - preExcl'!$BF$2:$BF1679,0)+1,2),VLOOKUP($B154,'RFR Data - preExcl'!$BF$2:$BG1679,2,FALSE))),IFERROR(0/0,""))</f>
        <v/>
      </c>
      <c r="V154" s="212" t="str">
        <f t="shared" si="5"/>
        <v>RUN-COMB_2022-04-05_RFR-010</v>
      </c>
      <c r="W154" s="51"/>
      <c r="X154" s="51"/>
      <c r="Y154" s="147" t="str">
        <f t="shared" ref="Y154:Z154" si="308">IF(_xlfn.ISFORMULA(S154),IFERROR(0/0,""),TRUE)</f>
        <v/>
      </c>
      <c r="Z154" s="147" t="str">
        <f t="shared" si="308"/>
        <v/>
      </c>
    </row>
    <row r="155">
      <c r="A155" s="6" t="str">
        <f>IFERROR(__xludf.DUMMYFUNCTION("""COMPUTED_VALUE"""),"FM3934")</f>
        <v>FM3934</v>
      </c>
      <c r="B155" s="206">
        <f>IFERROR(__xludf.DUMMYFUNCTION("""COMPUTED_VALUE"""),44656.0)</f>
        <v>44656</v>
      </c>
      <c r="C155" s="207">
        <f>IFERROR(__xludf.DUMMYFUNCTION("""COMPUTED_VALUE"""),0.2829861111111111)</f>
        <v>0.2829861111</v>
      </c>
      <c r="D155" s="50"/>
      <c r="E155" s="58"/>
      <c r="F155" s="58"/>
      <c r="G155" s="58" t="str">
        <f>IFERROR(__xludf.DUMMYFUNCTION("""COMPUTED_VALUE"""),"Negative")</f>
        <v>Negative</v>
      </c>
      <c r="H155" s="206" t="str">
        <f>IFERROR(__xludf.DUMMYFUNCTION("""COMPUTED_VALUE"""),"Negative")</f>
        <v>Negative</v>
      </c>
      <c r="I155" s="207">
        <f>IFERROR(__xludf.DUMMYFUNCTION("""COMPUTED_VALUE"""),44656.0)</f>
        <v>44656</v>
      </c>
      <c r="J155" s="208">
        <f>IFERROR(__xludf.DUMMYFUNCTION("""COMPUTED_VALUE"""),0.36716435185185187)</f>
        <v>0.3671643519</v>
      </c>
      <c r="K155" s="50"/>
      <c r="L155" s="6"/>
      <c r="M155" s="55"/>
      <c r="N155" s="55">
        <f>IFERROR(__xludf.DUMMYFUNCTION("""COMPUTED_VALUE"""),1.0)</f>
        <v>1</v>
      </c>
      <c r="O155" s="55" t="str">
        <f t="shared" si="3"/>
        <v/>
      </c>
      <c r="P155" s="209"/>
      <c r="Q155" s="75" t="b">
        <f>VLOOKUP($B155,'Run Reconcile'!B$2:P1679,15,FALSE)</f>
        <v>1</v>
      </c>
      <c r="R155" s="211" t="str">
        <f t="array" ref="R155">IF($Q155, INDEX('Run Reconcile'!A$2:A1679,MATCH(B155,'Run Reconcile'!B$2:B1679,0),1),IFERROR(0/0,""))</f>
        <v>RUN-COMB_2022-04-05_RFR-010</v>
      </c>
      <c r="S155" s="165" t="str">
        <f t="shared" ref="S155:T155" si="309">IF(COUNTIF(W$2:W1679, $A155) &gt; 0,TRUE,IFERROR(0/0,""))</f>
        <v/>
      </c>
      <c r="T155" s="165" t="str">
        <f t="shared" si="309"/>
        <v/>
      </c>
      <c r="U155" s="147" t="str">
        <f t="array" ref="U155">IF(ISBLANK($R155), IF($S155,VLOOKUP($B155+1,'RFR Data - preExcl'!$BF$2:$BG1679,2,FALSE),IF($T155,INDEX('RFR Data - preExcl'!$BF$2:$BG1679,MATCH($B155,'RFR Data - preExcl'!$BF$2:$BF1679,0)+1,2),VLOOKUP($B155,'RFR Data - preExcl'!$BF$2:$BG1679,2,FALSE))),IFERROR(0/0,""))</f>
        <v/>
      </c>
      <c r="V155" s="212" t="str">
        <f t="shared" si="5"/>
        <v>RUN-COMB_2022-04-05_RFR-010</v>
      </c>
      <c r="W155" s="51"/>
      <c r="X155" s="51"/>
      <c r="Y155" s="147" t="str">
        <f t="shared" ref="Y155:Z155" si="310">IF(_xlfn.ISFORMULA(S155),IFERROR(0/0,""),TRUE)</f>
        <v/>
      </c>
      <c r="Z155" s="147" t="str">
        <f t="shared" si="310"/>
        <v/>
      </c>
    </row>
    <row r="156">
      <c r="A156" s="6" t="str">
        <f>IFERROR(__xludf.DUMMYFUNCTION("""COMPUTED_VALUE"""),"FM3672")</f>
        <v>FM3672</v>
      </c>
      <c r="B156" s="206">
        <f>IFERROR(__xludf.DUMMYFUNCTION("""COMPUTED_VALUE"""),44656.0)</f>
        <v>44656</v>
      </c>
      <c r="C156" s="207">
        <f>IFERROR(__xludf.DUMMYFUNCTION("""COMPUTED_VALUE"""),0.2837152777777778)</f>
        <v>0.2837152778</v>
      </c>
      <c r="D156" s="50"/>
      <c r="E156" s="58"/>
      <c r="F156" s="58"/>
      <c r="G156" s="58" t="str">
        <f>IFERROR(__xludf.DUMMYFUNCTION("""COMPUTED_VALUE"""),"Negative")</f>
        <v>Negative</v>
      </c>
      <c r="H156" s="206" t="str">
        <f>IFERROR(__xludf.DUMMYFUNCTION("""COMPUTED_VALUE"""),"Negative")</f>
        <v>Negative</v>
      </c>
      <c r="I156" s="207">
        <f>IFERROR(__xludf.DUMMYFUNCTION("""COMPUTED_VALUE"""),44656.0)</f>
        <v>44656</v>
      </c>
      <c r="J156" s="208">
        <f>IFERROR(__xludf.DUMMYFUNCTION("""COMPUTED_VALUE"""),0.3671759259259259)</f>
        <v>0.3671759259</v>
      </c>
      <c r="K156" s="50"/>
      <c r="L156" s="6"/>
      <c r="M156" s="55"/>
      <c r="N156" s="55">
        <f>IFERROR(__xludf.DUMMYFUNCTION("""COMPUTED_VALUE"""),1.0)</f>
        <v>1</v>
      </c>
      <c r="O156" s="55" t="str">
        <f t="shared" si="3"/>
        <v/>
      </c>
      <c r="P156" s="209"/>
      <c r="Q156" s="75" t="b">
        <f>VLOOKUP($B156,'Run Reconcile'!B$2:P1679,15,FALSE)</f>
        <v>1</v>
      </c>
      <c r="R156" s="211" t="str">
        <f t="array" ref="R156">IF($Q156, INDEX('Run Reconcile'!A$2:A1679,MATCH(B156,'Run Reconcile'!B$2:B1679,0),1),IFERROR(0/0,""))</f>
        <v>RUN-COMB_2022-04-05_RFR-010</v>
      </c>
      <c r="S156" s="165" t="str">
        <f t="shared" ref="S156:T156" si="311">IF(COUNTIF(W$2:W1679, $A156) &gt; 0,TRUE,IFERROR(0/0,""))</f>
        <v/>
      </c>
      <c r="T156" s="165" t="str">
        <f t="shared" si="311"/>
        <v/>
      </c>
      <c r="U156" s="147" t="str">
        <f t="array" ref="U156">IF(ISBLANK($R156), IF($S156,VLOOKUP($B156+1,'RFR Data - preExcl'!$BF$2:$BG1679,2,FALSE),IF($T156,INDEX('RFR Data - preExcl'!$BF$2:$BG1679,MATCH($B156,'RFR Data - preExcl'!$BF$2:$BF1679,0)+1,2),VLOOKUP($B156,'RFR Data - preExcl'!$BF$2:$BG1679,2,FALSE))),IFERROR(0/0,""))</f>
        <v/>
      </c>
      <c r="V156" s="212" t="str">
        <f t="shared" si="5"/>
        <v>RUN-COMB_2022-04-05_RFR-010</v>
      </c>
      <c r="W156" s="51"/>
      <c r="X156" s="51"/>
      <c r="Y156" s="147" t="str">
        <f t="shared" ref="Y156:Z156" si="312">IF(_xlfn.ISFORMULA(S156),IFERROR(0/0,""),TRUE)</f>
        <v/>
      </c>
      <c r="Z156" s="147" t="str">
        <f t="shared" si="312"/>
        <v/>
      </c>
    </row>
    <row r="157">
      <c r="A157" s="6" t="str">
        <f>IFERROR(__xludf.DUMMYFUNCTION("""COMPUTED_VALUE"""),"FM3920")</f>
        <v>FM3920</v>
      </c>
      <c r="B157" s="206">
        <f>IFERROR(__xludf.DUMMYFUNCTION("""COMPUTED_VALUE"""),44656.0)</f>
        <v>44656</v>
      </c>
      <c r="C157" s="207">
        <f>IFERROR(__xludf.DUMMYFUNCTION("""COMPUTED_VALUE"""),0.2842476851851852)</f>
        <v>0.2842476852</v>
      </c>
      <c r="D157" s="50"/>
      <c r="E157" s="58"/>
      <c r="F157" s="58"/>
      <c r="G157" s="58" t="str">
        <f>IFERROR(__xludf.DUMMYFUNCTION("""COMPUTED_VALUE"""),"Negative")</f>
        <v>Negative</v>
      </c>
      <c r="H157" s="206" t="str">
        <f>IFERROR(__xludf.DUMMYFUNCTION("""COMPUTED_VALUE"""),"Negative")</f>
        <v>Negative</v>
      </c>
      <c r="I157" s="207">
        <f>IFERROR(__xludf.DUMMYFUNCTION("""COMPUTED_VALUE"""),44656.0)</f>
        <v>44656</v>
      </c>
      <c r="J157" s="208">
        <f>IFERROR(__xludf.DUMMYFUNCTION("""COMPUTED_VALUE"""),0.3671759259259259)</f>
        <v>0.3671759259</v>
      </c>
      <c r="K157" s="50"/>
      <c r="L157" s="6"/>
      <c r="M157" s="55"/>
      <c r="N157" s="55">
        <f>IFERROR(__xludf.DUMMYFUNCTION("""COMPUTED_VALUE"""),1.0)</f>
        <v>1</v>
      </c>
      <c r="O157" s="55" t="str">
        <f t="shared" si="3"/>
        <v/>
      </c>
      <c r="P157" s="209"/>
      <c r="Q157" s="75" t="b">
        <f>VLOOKUP($B157,'Run Reconcile'!B$2:P1679,15,FALSE)</f>
        <v>1</v>
      </c>
      <c r="R157" s="211" t="str">
        <f t="array" ref="R157">IF($Q157, INDEX('Run Reconcile'!A$2:A1679,MATCH(B157,'Run Reconcile'!B$2:B1679,0),1),IFERROR(0/0,""))</f>
        <v>RUN-COMB_2022-04-05_RFR-010</v>
      </c>
      <c r="S157" s="165" t="str">
        <f t="shared" ref="S157:T157" si="313">IF(COUNTIF(W$2:W1679, $A157) &gt; 0,TRUE,IFERROR(0/0,""))</f>
        <v/>
      </c>
      <c r="T157" s="165" t="str">
        <f t="shared" si="313"/>
        <v/>
      </c>
      <c r="U157" s="147" t="str">
        <f t="array" ref="U157">IF(ISBLANK($R157), IF($S157,VLOOKUP($B157+1,'RFR Data - preExcl'!$BF$2:$BG1679,2,FALSE),IF($T157,INDEX('RFR Data - preExcl'!$BF$2:$BG1679,MATCH($B157,'RFR Data - preExcl'!$BF$2:$BF1679,0)+1,2),VLOOKUP($B157,'RFR Data - preExcl'!$BF$2:$BG1679,2,FALSE))),IFERROR(0/0,""))</f>
        <v/>
      </c>
      <c r="V157" s="212" t="str">
        <f t="shared" si="5"/>
        <v>RUN-COMB_2022-04-05_RFR-010</v>
      </c>
      <c r="W157" s="51"/>
      <c r="X157" s="51"/>
      <c r="Y157" s="147" t="str">
        <f t="shared" ref="Y157:Z157" si="314">IF(_xlfn.ISFORMULA(S157),IFERROR(0/0,""),TRUE)</f>
        <v/>
      </c>
      <c r="Z157" s="147" t="str">
        <f t="shared" si="314"/>
        <v/>
      </c>
    </row>
    <row r="158">
      <c r="A158" s="6" t="str">
        <f>IFERROR(__xludf.DUMMYFUNCTION("""COMPUTED_VALUE"""),"FM4009")</f>
        <v>FM4009</v>
      </c>
      <c r="B158" s="206">
        <f>IFERROR(__xludf.DUMMYFUNCTION("""COMPUTED_VALUE"""),44656.0)</f>
        <v>44656</v>
      </c>
      <c r="C158" s="207">
        <f>IFERROR(__xludf.DUMMYFUNCTION("""COMPUTED_VALUE"""),0.2853125)</f>
        <v>0.2853125</v>
      </c>
      <c r="D158" s="50"/>
      <c r="E158" s="58"/>
      <c r="F158" s="58"/>
      <c r="G158" s="58" t="str">
        <f>IFERROR(__xludf.DUMMYFUNCTION("""COMPUTED_VALUE"""),"Negative")</f>
        <v>Negative</v>
      </c>
      <c r="H158" s="206" t="str">
        <f>IFERROR(__xludf.DUMMYFUNCTION("""COMPUTED_VALUE"""),"Negative")</f>
        <v>Negative</v>
      </c>
      <c r="I158" s="207">
        <f>IFERROR(__xludf.DUMMYFUNCTION("""COMPUTED_VALUE"""),44656.0)</f>
        <v>44656</v>
      </c>
      <c r="J158" s="208">
        <f>IFERROR(__xludf.DUMMYFUNCTION("""COMPUTED_VALUE"""),0.3671759259259259)</f>
        <v>0.3671759259</v>
      </c>
      <c r="K158" s="50"/>
      <c r="L158" s="6"/>
      <c r="M158" s="55"/>
      <c r="N158" s="55">
        <f>IFERROR(__xludf.DUMMYFUNCTION("""COMPUTED_VALUE"""),1.0)</f>
        <v>1</v>
      </c>
      <c r="O158" s="55" t="str">
        <f t="shared" si="3"/>
        <v/>
      </c>
      <c r="P158" s="209"/>
      <c r="Q158" s="75" t="b">
        <f>VLOOKUP($B158,'Run Reconcile'!B$2:P1679,15,FALSE)</f>
        <v>1</v>
      </c>
      <c r="R158" s="211" t="str">
        <f t="array" ref="R158">IF($Q158, INDEX('Run Reconcile'!A$2:A1679,MATCH(B158,'Run Reconcile'!B$2:B1679,0),1),IFERROR(0/0,""))</f>
        <v>RUN-COMB_2022-04-05_RFR-010</v>
      </c>
      <c r="S158" s="165" t="str">
        <f t="shared" ref="S158:T158" si="315">IF(COUNTIF(W$2:W1679, $A158) &gt; 0,TRUE,IFERROR(0/0,""))</f>
        <v/>
      </c>
      <c r="T158" s="165" t="str">
        <f t="shared" si="315"/>
        <v/>
      </c>
      <c r="U158" s="147" t="str">
        <f t="array" ref="U158">IF(ISBLANK($R158), IF($S158,VLOOKUP($B158+1,'RFR Data - preExcl'!$BF$2:$BG1679,2,FALSE),IF($T158,INDEX('RFR Data - preExcl'!$BF$2:$BG1679,MATCH($B158,'RFR Data - preExcl'!$BF$2:$BF1679,0)+1,2),VLOOKUP($B158,'RFR Data - preExcl'!$BF$2:$BG1679,2,FALSE))),IFERROR(0/0,""))</f>
        <v/>
      </c>
      <c r="V158" s="212" t="str">
        <f t="shared" si="5"/>
        <v>RUN-COMB_2022-04-05_RFR-010</v>
      </c>
      <c r="W158" s="51"/>
      <c r="X158" s="51"/>
      <c r="Y158" s="147" t="str">
        <f t="shared" ref="Y158:Z158" si="316">IF(_xlfn.ISFORMULA(S158),IFERROR(0/0,""),TRUE)</f>
        <v/>
      </c>
      <c r="Z158" s="147" t="str">
        <f t="shared" si="316"/>
        <v/>
      </c>
    </row>
    <row r="159">
      <c r="A159" s="6" t="str">
        <f>IFERROR(__xludf.DUMMYFUNCTION("""COMPUTED_VALUE"""),"MA158")</f>
        <v>MA158</v>
      </c>
      <c r="B159" s="206">
        <f>IFERROR(__xludf.DUMMYFUNCTION("""COMPUTED_VALUE"""),44656.0)</f>
        <v>44656</v>
      </c>
      <c r="C159" s="207">
        <f>IFERROR(__xludf.DUMMYFUNCTION("""COMPUTED_VALUE"""),0.28587962962962965)</f>
        <v>0.2858796296</v>
      </c>
      <c r="D159" s="50"/>
      <c r="E159" s="58"/>
      <c r="F159" s="58"/>
      <c r="G159" s="58" t="str">
        <f>IFERROR(__xludf.DUMMYFUNCTION("""COMPUTED_VALUE"""),"Negative")</f>
        <v>Negative</v>
      </c>
      <c r="H159" s="206" t="str">
        <f>IFERROR(__xludf.DUMMYFUNCTION("""COMPUTED_VALUE"""),"Negative")</f>
        <v>Negative</v>
      </c>
      <c r="I159" s="207">
        <f>IFERROR(__xludf.DUMMYFUNCTION("""COMPUTED_VALUE"""),44656.0)</f>
        <v>44656</v>
      </c>
      <c r="J159" s="208">
        <f>IFERROR(__xludf.DUMMYFUNCTION("""COMPUTED_VALUE"""),0.3671759259259259)</f>
        <v>0.3671759259</v>
      </c>
      <c r="K159" s="50"/>
      <c r="L159" s="6"/>
      <c r="M159" s="55"/>
      <c r="N159" s="55">
        <f>IFERROR(__xludf.DUMMYFUNCTION("""COMPUTED_VALUE"""),1.0)</f>
        <v>1</v>
      </c>
      <c r="O159" s="55" t="str">
        <f t="shared" si="3"/>
        <v/>
      </c>
      <c r="P159" s="209"/>
      <c r="Q159" s="75" t="b">
        <f>VLOOKUP($B159,'Run Reconcile'!B$2:P1679,15,FALSE)</f>
        <v>1</v>
      </c>
      <c r="R159" s="211" t="str">
        <f t="array" ref="R159">IF($Q159, INDEX('Run Reconcile'!A$2:A1679,MATCH(B159,'Run Reconcile'!B$2:B1679,0),1),IFERROR(0/0,""))</f>
        <v>RUN-COMB_2022-04-05_RFR-010</v>
      </c>
      <c r="S159" s="165" t="str">
        <f t="shared" ref="S159:T159" si="317">IF(COUNTIF(W$2:W1679, $A159) &gt; 0,TRUE,IFERROR(0/0,""))</f>
        <v/>
      </c>
      <c r="T159" s="165" t="str">
        <f t="shared" si="317"/>
        <v/>
      </c>
      <c r="U159" s="147" t="str">
        <f t="array" ref="U159">IF(ISBLANK($R159), IF($S159,VLOOKUP($B159+1,'RFR Data - preExcl'!$BF$2:$BG1679,2,FALSE),IF($T159,INDEX('RFR Data - preExcl'!$BF$2:$BG1679,MATCH($B159,'RFR Data - preExcl'!$BF$2:$BF1679,0)+1,2),VLOOKUP($B159,'RFR Data - preExcl'!$BF$2:$BG1679,2,FALSE))),IFERROR(0/0,""))</f>
        <v/>
      </c>
      <c r="V159" s="212" t="str">
        <f t="shared" si="5"/>
        <v>RUN-COMB_2022-04-05_RFR-010</v>
      </c>
      <c r="W159" s="51"/>
      <c r="X159" s="51"/>
      <c r="Y159" s="147" t="str">
        <f t="shared" ref="Y159:Z159" si="318">IF(_xlfn.ISFORMULA(S159),IFERROR(0/0,""),TRUE)</f>
        <v/>
      </c>
      <c r="Z159" s="147" t="str">
        <f t="shared" si="318"/>
        <v/>
      </c>
    </row>
    <row r="160">
      <c r="A160" s="6" t="str">
        <f>IFERROR(__xludf.DUMMYFUNCTION("""COMPUTED_VALUE"""),"FM3921")</f>
        <v>FM3921</v>
      </c>
      <c r="B160" s="206">
        <f>IFERROR(__xludf.DUMMYFUNCTION("""COMPUTED_VALUE"""),44656.0)</f>
        <v>44656</v>
      </c>
      <c r="C160" s="207">
        <f>IFERROR(__xludf.DUMMYFUNCTION("""COMPUTED_VALUE"""),0.2863773148148148)</f>
        <v>0.2863773148</v>
      </c>
      <c r="D160" s="50"/>
      <c r="E160" s="58"/>
      <c r="F160" s="58"/>
      <c r="G160" s="58" t="str">
        <f>IFERROR(__xludf.DUMMYFUNCTION("""COMPUTED_VALUE"""),"Negative")</f>
        <v>Negative</v>
      </c>
      <c r="H160" s="206" t="str">
        <f>IFERROR(__xludf.DUMMYFUNCTION("""COMPUTED_VALUE"""),"Negative")</f>
        <v>Negative</v>
      </c>
      <c r="I160" s="207">
        <f>IFERROR(__xludf.DUMMYFUNCTION("""COMPUTED_VALUE"""),44656.0)</f>
        <v>44656</v>
      </c>
      <c r="J160" s="208">
        <f>IFERROR(__xludf.DUMMYFUNCTION("""COMPUTED_VALUE"""),0.3671875)</f>
        <v>0.3671875</v>
      </c>
      <c r="K160" s="50"/>
      <c r="L160" s="6"/>
      <c r="M160" s="55"/>
      <c r="N160" s="55">
        <f>IFERROR(__xludf.DUMMYFUNCTION("""COMPUTED_VALUE"""),1.0)</f>
        <v>1</v>
      </c>
      <c r="O160" s="55" t="str">
        <f t="shared" si="3"/>
        <v/>
      </c>
      <c r="P160" s="209"/>
      <c r="Q160" s="75" t="b">
        <f>VLOOKUP($B160,'Run Reconcile'!B$2:P1679,15,FALSE)</f>
        <v>1</v>
      </c>
      <c r="R160" s="211" t="str">
        <f t="array" ref="R160">IF($Q160, INDEX('Run Reconcile'!A$2:A1679,MATCH(B160,'Run Reconcile'!B$2:B1679,0),1),IFERROR(0/0,""))</f>
        <v>RUN-COMB_2022-04-05_RFR-010</v>
      </c>
      <c r="S160" s="165" t="str">
        <f t="shared" ref="S160:T160" si="319">IF(COUNTIF(W$2:W1679, $A160) &gt; 0,TRUE,IFERROR(0/0,""))</f>
        <v/>
      </c>
      <c r="T160" s="165" t="str">
        <f t="shared" si="319"/>
        <v/>
      </c>
      <c r="U160" s="147" t="str">
        <f t="array" ref="U160">IF(ISBLANK($R160), IF($S160,VLOOKUP($B160+1,'RFR Data - preExcl'!$BF$2:$BG1679,2,FALSE),IF($T160,INDEX('RFR Data - preExcl'!$BF$2:$BG1679,MATCH($B160,'RFR Data - preExcl'!$BF$2:$BF1679,0)+1,2),VLOOKUP($B160,'RFR Data - preExcl'!$BF$2:$BG1679,2,FALSE))),IFERROR(0/0,""))</f>
        <v/>
      </c>
      <c r="V160" s="212" t="str">
        <f t="shared" si="5"/>
        <v>RUN-COMB_2022-04-05_RFR-010</v>
      </c>
      <c r="W160" s="51"/>
      <c r="X160" s="51"/>
      <c r="Y160" s="147" t="str">
        <f t="shared" ref="Y160:Z160" si="320">IF(_xlfn.ISFORMULA(S160),IFERROR(0/0,""),TRUE)</f>
        <v/>
      </c>
      <c r="Z160" s="147" t="str">
        <f t="shared" si="320"/>
        <v/>
      </c>
    </row>
    <row r="161">
      <c r="A161" s="6" t="str">
        <f>IFERROR(__xludf.DUMMYFUNCTION("""COMPUTED_VALUE"""),"FM3912")</f>
        <v>FM3912</v>
      </c>
      <c r="B161" s="206">
        <f>IFERROR(__xludf.DUMMYFUNCTION("""COMPUTED_VALUE"""),44656.0)</f>
        <v>44656</v>
      </c>
      <c r="C161" s="207">
        <f>IFERROR(__xludf.DUMMYFUNCTION("""COMPUTED_VALUE"""),0.2869791666666667)</f>
        <v>0.2869791667</v>
      </c>
      <c r="D161" s="50"/>
      <c r="E161" s="58"/>
      <c r="F161" s="58"/>
      <c r="G161" s="58" t="str">
        <f>IFERROR(__xludf.DUMMYFUNCTION("""COMPUTED_VALUE"""),"Negative")</f>
        <v>Negative</v>
      </c>
      <c r="H161" s="206" t="str">
        <f>IFERROR(__xludf.DUMMYFUNCTION("""COMPUTED_VALUE"""),"Negative")</f>
        <v>Negative</v>
      </c>
      <c r="I161" s="207">
        <f>IFERROR(__xludf.DUMMYFUNCTION("""COMPUTED_VALUE"""),44656.0)</f>
        <v>44656</v>
      </c>
      <c r="J161" s="208">
        <f>IFERROR(__xludf.DUMMYFUNCTION("""COMPUTED_VALUE"""),0.3671875)</f>
        <v>0.3671875</v>
      </c>
      <c r="K161" s="50"/>
      <c r="L161" s="6"/>
      <c r="M161" s="55"/>
      <c r="N161" s="55">
        <f>IFERROR(__xludf.DUMMYFUNCTION("""COMPUTED_VALUE"""),1.0)</f>
        <v>1</v>
      </c>
      <c r="O161" s="55" t="str">
        <f t="shared" si="3"/>
        <v/>
      </c>
      <c r="P161" s="209"/>
      <c r="Q161" s="75" t="b">
        <f>VLOOKUP($B161,'Run Reconcile'!B$2:P1679,15,FALSE)</f>
        <v>1</v>
      </c>
      <c r="R161" s="211" t="str">
        <f t="array" ref="R161">IF($Q161, INDEX('Run Reconcile'!A$2:A1679,MATCH(B161,'Run Reconcile'!B$2:B1679,0),1),IFERROR(0/0,""))</f>
        <v>RUN-COMB_2022-04-05_RFR-010</v>
      </c>
      <c r="S161" s="165" t="str">
        <f t="shared" ref="S161:T161" si="321">IF(COUNTIF(W$2:W1679, $A161) &gt; 0,TRUE,IFERROR(0/0,""))</f>
        <v/>
      </c>
      <c r="T161" s="165" t="str">
        <f t="shared" si="321"/>
        <v/>
      </c>
      <c r="U161" s="147" t="str">
        <f t="array" ref="U161">IF(ISBLANK($R161), IF($S161,VLOOKUP($B161+1,'RFR Data - preExcl'!$BF$2:$BG1679,2,FALSE),IF($T161,INDEX('RFR Data - preExcl'!$BF$2:$BG1679,MATCH($B161,'RFR Data - preExcl'!$BF$2:$BF1679,0)+1,2),VLOOKUP($B161,'RFR Data - preExcl'!$BF$2:$BG1679,2,FALSE))),IFERROR(0/0,""))</f>
        <v/>
      </c>
      <c r="V161" s="212" t="str">
        <f t="shared" si="5"/>
        <v>RUN-COMB_2022-04-05_RFR-010</v>
      </c>
      <c r="W161" s="51"/>
      <c r="X161" s="51"/>
      <c r="Y161" s="147" t="str">
        <f t="shared" ref="Y161:Z161" si="322">IF(_xlfn.ISFORMULA(S161),IFERROR(0/0,""),TRUE)</f>
        <v/>
      </c>
      <c r="Z161" s="147" t="str">
        <f t="shared" si="322"/>
        <v/>
      </c>
    </row>
    <row r="162">
      <c r="A162" s="6" t="str">
        <f>IFERROR(__xludf.DUMMYFUNCTION("""COMPUTED_VALUE"""),"FM3671")</f>
        <v>FM3671</v>
      </c>
      <c r="B162" s="206">
        <f>IFERROR(__xludf.DUMMYFUNCTION("""COMPUTED_VALUE"""),44656.0)</f>
        <v>44656</v>
      </c>
      <c r="C162" s="207">
        <f>IFERROR(__xludf.DUMMYFUNCTION("""COMPUTED_VALUE"""),0.29444444444444445)</f>
        <v>0.2944444444</v>
      </c>
      <c r="D162" s="50"/>
      <c r="E162" s="58"/>
      <c r="F162" s="58"/>
      <c r="G162" s="58" t="str">
        <f>IFERROR(__xludf.DUMMYFUNCTION("""COMPUTED_VALUE"""),"Negative")</f>
        <v>Negative</v>
      </c>
      <c r="H162" s="206" t="str">
        <f>IFERROR(__xludf.DUMMYFUNCTION("""COMPUTED_VALUE"""),"Negative")</f>
        <v>Negative</v>
      </c>
      <c r="I162" s="207">
        <f>IFERROR(__xludf.DUMMYFUNCTION("""COMPUTED_VALUE"""),44656.0)</f>
        <v>44656</v>
      </c>
      <c r="J162" s="208">
        <f>IFERROR(__xludf.DUMMYFUNCTION("""COMPUTED_VALUE"""),0.3671875)</f>
        <v>0.3671875</v>
      </c>
      <c r="K162" s="50"/>
      <c r="L162" s="6"/>
      <c r="M162" s="55"/>
      <c r="N162" s="55">
        <f>IFERROR(__xludf.DUMMYFUNCTION("""COMPUTED_VALUE"""),1.0)</f>
        <v>1</v>
      </c>
      <c r="O162" s="55" t="str">
        <f t="shared" si="3"/>
        <v/>
      </c>
      <c r="P162" s="209"/>
      <c r="Q162" s="75" t="b">
        <f>VLOOKUP($B162,'Run Reconcile'!B$2:P1679,15,FALSE)</f>
        <v>1</v>
      </c>
      <c r="R162" s="211" t="str">
        <f t="array" ref="R162">IF($Q162, INDEX('Run Reconcile'!A$2:A1679,MATCH(B162,'Run Reconcile'!B$2:B1679,0),1),IFERROR(0/0,""))</f>
        <v>RUN-COMB_2022-04-05_RFR-010</v>
      </c>
      <c r="S162" s="165" t="str">
        <f t="shared" ref="S162:T162" si="323">IF(COUNTIF(W$2:W1679, $A162) &gt; 0,TRUE,IFERROR(0/0,""))</f>
        <v/>
      </c>
      <c r="T162" s="165" t="str">
        <f t="shared" si="323"/>
        <v/>
      </c>
      <c r="U162" s="147" t="str">
        <f t="array" ref="U162">IF(ISBLANK($R162), IF($S162,VLOOKUP($B162+1,'RFR Data - preExcl'!$BF$2:$BG1679,2,FALSE),IF($T162,INDEX('RFR Data - preExcl'!$BF$2:$BG1679,MATCH($B162,'RFR Data - preExcl'!$BF$2:$BF1679,0)+1,2),VLOOKUP($B162,'RFR Data - preExcl'!$BF$2:$BG1679,2,FALSE))),IFERROR(0/0,""))</f>
        <v/>
      </c>
      <c r="V162" s="212" t="str">
        <f t="shared" si="5"/>
        <v>RUN-COMB_2022-04-05_RFR-010</v>
      </c>
      <c r="W162" s="51"/>
      <c r="X162" s="51"/>
      <c r="Y162" s="147" t="str">
        <f t="shared" ref="Y162:Z162" si="324">IF(_xlfn.ISFORMULA(S162),IFERROR(0/0,""),TRUE)</f>
        <v/>
      </c>
      <c r="Z162" s="147" t="str">
        <f t="shared" si="324"/>
        <v/>
      </c>
    </row>
    <row r="163">
      <c r="A163" s="6" t="str">
        <f>IFERROR(__xludf.DUMMYFUNCTION("""COMPUTED_VALUE"""),"FM3402")</f>
        <v>FM3402</v>
      </c>
      <c r="B163" s="206">
        <f>IFERROR(__xludf.DUMMYFUNCTION("""COMPUTED_VALUE"""),44656.0)</f>
        <v>44656</v>
      </c>
      <c r="C163" s="207">
        <f>IFERROR(__xludf.DUMMYFUNCTION("""COMPUTED_VALUE"""),0.29493055555555553)</f>
        <v>0.2949305556</v>
      </c>
      <c r="D163" s="50"/>
      <c r="E163" s="58"/>
      <c r="F163" s="58"/>
      <c r="G163" s="58" t="str">
        <f>IFERROR(__xludf.DUMMYFUNCTION("""COMPUTED_VALUE"""),"Negative")</f>
        <v>Negative</v>
      </c>
      <c r="H163" s="206" t="str">
        <f>IFERROR(__xludf.DUMMYFUNCTION("""COMPUTED_VALUE"""),"Negative")</f>
        <v>Negative</v>
      </c>
      <c r="I163" s="207">
        <f>IFERROR(__xludf.DUMMYFUNCTION("""COMPUTED_VALUE"""),44656.0)</f>
        <v>44656</v>
      </c>
      <c r="J163" s="208">
        <f>IFERROR(__xludf.DUMMYFUNCTION("""COMPUTED_VALUE"""),0.3671875)</f>
        <v>0.3671875</v>
      </c>
      <c r="K163" s="50"/>
      <c r="L163" s="6"/>
      <c r="M163" s="55"/>
      <c r="N163" s="55">
        <f>IFERROR(__xludf.DUMMYFUNCTION("""COMPUTED_VALUE"""),1.0)</f>
        <v>1</v>
      </c>
      <c r="O163" s="55" t="str">
        <f t="shared" si="3"/>
        <v/>
      </c>
      <c r="P163" s="209"/>
      <c r="Q163" s="75" t="b">
        <f>VLOOKUP($B163,'Run Reconcile'!B$2:P1679,15,FALSE)</f>
        <v>1</v>
      </c>
      <c r="R163" s="211" t="str">
        <f t="array" ref="R163">IF($Q163, INDEX('Run Reconcile'!A$2:A1679,MATCH(B163,'Run Reconcile'!B$2:B1679,0),1),IFERROR(0/0,""))</f>
        <v>RUN-COMB_2022-04-05_RFR-010</v>
      </c>
      <c r="S163" s="165" t="str">
        <f t="shared" ref="S163:T163" si="325">IF(COUNTIF(W$2:W1679, $A163) &gt; 0,TRUE,IFERROR(0/0,""))</f>
        <v/>
      </c>
      <c r="T163" s="165" t="str">
        <f t="shared" si="325"/>
        <v/>
      </c>
      <c r="U163" s="147" t="str">
        <f t="array" ref="U163">IF(ISBLANK($R163), IF($S163,VLOOKUP($B163+1,'RFR Data - preExcl'!$BF$2:$BG1679,2,FALSE),IF($T163,INDEX('RFR Data - preExcl'!$BF$2:$BG1679,MATCH($B163,'RFR Data - preExcl'!$BF$2:$BF1679,0)+1,2),VLOOKUP($B163,'RFR Data - preExcl'!$BF$2:$BG1679,2,FALSE))),IFERROR(0/0,""))</f>
        <v/>
      </c>
      <c r="V163" s="212" t="str">
        <f t="shared" si="5"/>
        <v>RUN-COMB_2022-04-05_RFR-010</v>
      </c>
      <c r="W163" s="51"/>
      <c r="X163" s="51"/>
      <c r="Y163" s="147" t="str">
        <f t="shared" ref="Y163:Z163" si="326">IF(_xlfn.ISFORMULA(S163),IFERROR(0/0,""),TRUE)</f>
        <v/>
      </c>
      <c r="Z163" s="147" t="str">
        <f t="shared" si="326"/>
        <v/>
      </c>
    </row>
    <row r="164">
      <c r="A164" s="6" t="str">
        <f>IFERROR(__xludf.DUMMYFUNCTION("""COMPUTED_VALUE"""),"FM3911")</f>
        <v>FM3911</v>
      </c>
      <c r="B164" s="206">
        <f>IFERROR(__xludf.DUMMYFUNCTION("""COMPUTED_VALUE"""),44656.0)</f>
        <v>44656</v>
      </c>
      <c r="C164" s="207">
        <f>IFERROR(__xludf.DUMMYFUNCTION("""COMPUTED_VALUE"""),0.3059953703703704)</f>
        <v>0.3059953704</v>
      </c>
      <c r="D164" s="50"/>
      <c r="E164" s="58"/>
      <c r="F164" s="58"/>
      <c r="G164" s="58" t="str">
        <f>IFERROR(__xludf.DUMMYFUNCTION("""COMPUTED_VALUE"""),"Negative")</f>
        <v>Negative</v>
      </c>
      <c r="H164" s="206" t="str">
        <f>IFERROR(__xludf.DUMMYFUNCTION("""COMPUTED_VALUE"""),"Negative")</f>
        <v>Negative</v>
      </c>
      <c r="I164" s="207">
        <f>IFERROR(__xludf.DUMMYFUNCTION("""COMPUTED_VALUE"""),44656.0)</f>
        <v>44656</v>
      </c>
      <c r="J164" s="208">
        <f>IFERROR(__xludf.DUMMYFUNCTION("""COMPUTED_VALUE"""),0.3671875)</f>
        <v>0.3671875</v>
      </c>
      <c r="K164" s="50"/>
      <c r="L164" s="6"/>
      <c r="M164" s="55"/>
      <c r="N164" s="55">
        <f>IFERROR(__xludf.DUMMYFUNCTION("""COMPUTED_VALUE"""),1.0)</f>
        <v>1</v>
      </c>
      <c r="O164" s="55" t="str">
        <f t="shared" si="3"/>
        <v/>
      </c>
      <c r="P164" s="209"/>
      <c r="Q164" s="75" t="b">
        <f>VLOOKUP($B164,'Run Reconcile'!B$2:P1679,15,FALSE)</f>
        <v>1</v>
      </c>
      <c r="R164" s="211" t="str">
        <f t="array" ref="R164">IF($Q164, INDEX('Run Reconcile'!A$2:A1679,MATCH(B164,'Run Reconcile'!B$2:B1679,0),1),IFERROR(0/0,""))</f>
        <v>RUN-COMB_2022-04-05_RFR-010</v>
      </c>
      <c r="S164" s="165" t="str">
        <f t="shared" ref="S164:T164" si="327">IF(COUNTIF(W$2:W1679, $A164) &gt; 0,TRUE,IFERROR(0/0,""))</f>
        <v/>
      </c>
      <c r="T164" s="165" t="str">
        <f t="shared" si="327"/>
        <v/>
      </c>
      <c r="U164" s="147" t="str">
        <f t="array" ref="U164">IF(ISBLANK($R164), IF($S164,VLOOKUP($B164+1,'RFR Data - preExcl'!$BF$2:$BG1679,2,FALSE),IF($T164,INDEX('RFR Data - preExcl'!$BF$2:$BG1679,MATCH($B164,'RFR Data - preExcl'!$BF$2:$BF1679,0)+1,2),VLOOKUP($B164,'RFR Data - preExcl'!$BF$2:$BG1679,2,FALSE))),IFERROR(0/0,""))</f>
        <v/>
      </c>
      <c r="V164" s="212" t="str">
        <f t="shared" si="5"/>
        <v>RUN-COMB_2022-04-05_RFR-010</v>
      </c>
      <c r="W164" s="51"/>
      <c r="X164" s="51"/>
      <c r="Y164" s="147" t="str">
        <f t="shared" ref="Y164:Z164" si="328">IF(_xlfn.ISFORMULA(S164),IFERROR(0/0,""),TRUE)</f>
        <v/>
      </c>
      <c r="Z164" s="147" t="str">
        <f t="shared" si="328"/>
        <v/>
      </c>
    </row>
    <row r="165">
      <c r="A165" s="6" t="str">
        <f>IFERROR(__xludf.DUMMYFUNCTION("""COMPUTED_VALUE"""),"MA85")</f>
        <v>MA85</v>
      </c>
      <c r="B165" s="206">
        <f>IFERROR(__xludf.DUMMYFUNCTION("""COMPUTED_VALUE"""),44657.0)</f>
        <v>44657</v>
      </c>
      <c r="C165" s="207">
        <f>IFERROR(__xludf.DUMMYFUNCTION("""COMPUTED_VALUE"""),0.3190277777777778)</f>
        <v>0.3190277778</v>
      </c>
      <c r="D165" s="50"/>
      <c r="E165" s="58"/>
      <c r="F165" s="58"/>
      <c r="G165" s="58" t="str">
        <f>IFERROR(__xludf.DUMMYFUNCTION("""COMPUTED_VALUE"""),"Null")</f>
        <v>Null</v>
      </c>
      <c r="H165" s="206" t="str">
        <f>IFERROR(__xludf.DUMMYFUNCTION("""COMPUTED_VALUE"""),"Negative")</f>
        <v>Negative</v>
      </c>
      <c r="I165" s="207"/>
      <c r="J165" s="50"/>
      <c r="K165" s="50">
        <f>IFERROR(__xludf.DUMMYFUNCTION("""COMPUTED_VALUE"""),2.0)</f>
        <v>2</v>
      </c>
      <c r="L165" s="6"/>
      <c r="M165" s="55"/>
      <c r="N165" s="55">
        <f>IFERROR(__xludf.DUMMYFUNCTION("""COMPUTED_VALUE"""),1.0)</f>
        <v>1</v>
      </c>
      <c r="O165" s="55" t="b">
        <f t="shared" si="3"/>
        <v>1</v>
      </c>
      <c r="P165" s="209"/>
      <c r="Q165" s="75" t="b">
        <f>VLOOKUP($B165,'Run Reconcile'!B$2:P1679,15,FALSE)</f>
        <v>1</v>
      </c>
      <c r="R165" s="211" t="str">
        <f t="array" ref="R165">IF($Q165, INDEX('Run Reconcile'!A$2:A1679,MATCH(B165,'Run Reconcile'!B$2:B1679,0),1),IFERROR(0/0,""))</f>
        <v>RUN-COMB_2022-04-06_RFR-011</v>
      </c>
      <c r="S165" s="165" t="str">
        <f t="shared" ref="S165:T165" si="329">IF(COUNTIF(W$2:W1679, $A165) &gt; 0,TRUE,IFERROR(0/0,""))</f>
        <v/>
      </c>
      <c r="T165" s="165" t="str">
        <f t="shared" si="329"/>
        <v/>
      </c>
      <c r="U165" s="147" t="str">
        <f t="array" ref="U165">IF(ISBLANK($R165), IF($S165,VLOOKUP($B165+1,'RFR Data - preExcl'!$BF$2:$BG1679,2,FALSE),IF($T165,INDEX('RFR Data - preExcl'!$BF$2:$BG1679,MATCH($B165,'RFR Data - preExcl'!$BF$2:$BF1679,0)+1,2),VLOOKUP($B165,'RFR Data - preExcl'!$BF$2:$BG1679,2,FALSE))),IFERROR(0/0,""))</f>
        <v/>
      </c>
      <c r="V165" s="212" t="str">
        <f t="shared" si="5"/>
        <v>RUN-COMB_2022-04-06_RFR-011</v>
      </c>
      <c r="W165" s="51"/>
      <c r="X165" s="51"/>
      <c r="Y165" s="147" t="str">
        <f t="shared" ref="Y165:Z165" si="330">IF(_xlfn.ISFORMULA(S165),IFERROR(0/0,""),TRUE)</f>
        <v/>
      </c>
      <c r="Z165" s="147" t="str">
        <f t="shared" si="330"/>
        <v/>
      </c>
    </row>
    <row r="166">
      <c r="A166" s="6" t="str">
        <f>IFERROR(__xludf.DUMMYFUNCTION("""COMPUTED_VALUE"""),"FM3991")</f>
        <v>FM3991</v>
      </c>
      <c r="B166" s="206">
        <f>IFERROR(__xludf.DUMMYFUNCTION("""COMPUTED_VALUE"""),44657.0)</f>
        <v>44657</v>
      </c>
      <c r="C166" s="207">
        <f>IFERROR(__xludf.DUMMYFUNCTION("""COMPUTED_VALUE"""),0.3204513888888889)</f>
        <v>0.3204513889</v>
      </c>
      <c r="D166" s="50"/>
      <c r="E166" s="58"/>
      <c r="F166" s="58"/>
      <c r="G166" s="58" t="str">
        <f>IFERROR(__xludf.DUMMYFUNCTION("""COMPUTED_VALUE"""),"Negative")</f>
        <v>Negative</v>
      </c>
      <c r="H166" s="206" t="str">
        <f>IFERROR(__xludf.DUMMYFUNCTION("""COMPUTED_VALUE"""),"Negative")</f>
        <v>Negative</v>
      </c>
      <c r="I166" s="207">
        <f>IFERROR(__xludf.DUMMYFUNCTION("""COMPUTED_VALUE"""),44658.0)</f>
        <v>44658</v>
      </c>
      <c r="J166" s="208">
        <f>IFERROR(__xludf.DUMMYFUNCTION("""COMPUTED_VALUE"""),0.36635416666666665)</f>
        <v>0.3663541667</v>
      </c>
      <c r="K166" s="50"/>
      <c r="L166" s="6"/>
      <c r="M166" s="55"/>
      <c r="N166" s="55">
        <f>IFERROR(__xludf.DUMMYFUNCTION("""COMPUTED_VALUE"""),1.0)</f>
        <v>1</v>
      </c>
      <c r="O166" s="55" t="str">
        <f t="shared" si="3"/>
        <v/>
      </c>
      <c r="P166" s="209"/>
      <c r="Q166" s="75" t="b">
        <f>VLOOKUP($B166,'Run Reconcile'!B$2:P1679,15,FALSE)</f>
        <v>1</v>
      </c>
      <c r="R166" s="211" t="str">
        <f t="array" ref="R166">IF($Q166, INDEX('Run Reconcile'!A$2:A1679,MATCH(B166,'Run Reconcile'!B$2:B1679,0),1),IFERROR(0/0,""))</f>
        <v>RUN-COMB_2022-04-06_RFR-011</v>
      </c>
      <c r="S166" s="165" t="str">
        <f t="shared" ref="S166:T166" si="331">IF(COUNTIF(W$2:W1679, $A166) &gt; 0,TRUE,IFERROR(0/0,""))</f>
        <v/>
      </c>
      <c r="T166" s="165" t="str">
        <f t="shared" si="331"/>
        <v/>
      </c>
      <c r="U166" s="147" t="str">
        <f t="array" ref="U166">IF(ISBLANK($R166), IF($S166,VLOOKUP($B166+1,'RFR Data - preExcl'!$BF$2:$BG1679,2,FALSE),IF($T166,INDEX('RFR Data - preExcl'!$BF$2:$BG1679,MATCH($B166,'RFR Data - preExcl'!$BF$2:$BF1679,0)+1,2),VLOOKUP($B166,'RFR Data - preExcl'!$BF$2:$BG1679,2,FALSE))),IFERROR(0/0,""))</f>
        <v/>
      </c>
      <c r="V166" s="212" t="str">
        <f t="shared" si="5"/>
        <v>RUN-COMB_2022-04-06_RFR-011</v>
      </c>
      <c r="W166" s="51"/>
      <c r="X166" s="51"/>
      <c r="Y166" s="147" t="str">
        <f t="shared" ref="Y166:Z166" si="332">IF(_xlfn.ISFORMULA(S166),IFERROR(0/0,""),TRUE)</f>
        <v/>
      </c>
      <c r="Z166" s="147" t="str">
        <f t="shared" si="332"/>
        <v/>
      </c>
    </row>
    <row r="167">
      <c r="A167" s="6" t="str">
        <f>IFERROR(__xludf.DUMMYFUNCTION("""COMPUTED_VALUE"""),"FM3403")</f>
        <v>FM3403</v>
      </c>
      <c r="B167" s="206">
        <f>IFERROR(__xludf.DUMMYFUNCTION("""COMPUTED_VALUE"""),44657.0)</f>
        <v>44657</v>
      </c>
      <c r="C167" s="207">
        <f>IFERROR(__xludf.DUMMYFUNCTION("""COMPUTED_VALUE"""),0.3211805555555556)</f>
        <v>0.3211805556</v>
      </c>
      <c r="D167" s="50"/>
      <c r="E167" s="58"/>
      <c r="F167" s="58"/>
      <c r="G167" s="58" t="str">
        <f>IFERROR(__xludf.DUMMYFUNCTION("""COMPUTED_VALUE"""),"Negative")</f>
        <v>Negative</v>
      </c>
      <c r="H167" s="206" t="str">
        <f>IFERROR(__xludf.DUMMYFUNCTION("""COMPUTED_VALUE"""),"Negative")</f>
        <v>Negative</v>
      </c>
      <c r="I167" s="207">
        <f>IFERROR(__xludf.DUMMYFUNCTION("""COMPUTED_VALUE"""),44658.0)</f>
        <v>44658</v>
      </c>
      <c r="J167" s="208">
        <f>IFERROR(__xludf.DUMMYFUNCTION("""COMPUTED_VALUE"""),0.36636574074074074)</f>
        <v>0.3663657407</v>
      </c>
      <c r="K167" s="50"/>
      <c r="L167" s="6"/>
      <c r="M167" s="55"/>
      <c r="N167" s="55">
        <f>IFERROR(__xludf.DUMMYFUNCTION("""COMPUTED_VALUE"""),1.0)</f>
        <v>1</v>
      </c>
      <c r="O167" s="55" t="str">
        <f t="shared" si="3"/>
        <v/>
      </c>
      <c r="P167" s="209"/>
      <c r="Q167" s="75" t="b">
        <f>VLOOKUP($B167,'Run Reconcile'!B$2:P1679,15,FALSE)</f>
        <v>1</v>
      </c>
      <c r="R167" s="211" t="str">
        <f t="array" ref="R167">IF($Q167, INDEX('Run Reconcile'!A$2:A1679,MATCH(B167,'Run Reconcile'!B$2:B1679,0),1),IFERROR(0/0,""))</f>
        <v>RUN-COMB_2022-04-06_RFR-011</v>
      </c>
      <c r="S167" s="165" t="str">
        <f t="shared" ref="S167:T167" si="333">IF(COUNTIF(W$2:W1679, $A167) &gt; 0,TRUE,IFERROR(0/0,""))</f>
        <v/>
      </c>
      <c r="T167" s="165" t="str">
        <f t="shared" si="333"/>
        <v/>
      </c>
      <c r="U167" s="147" t="str">
        <f t="array" ref="U167">IF(ISBLANK($R167), IF($S167,VLOOKUP($B167+1,'RFR Data - preExcl'!$BF$2:$BG1679,2,FALSE),IF($T167,INDEX('RFR Data - preExcl'!$BF$2:$BG1679,MATCH($B167,'RFR Data - preExcl'!$BF$2:$BF1679,0)+1,2),VLOOKUP($B167,'RFR Data - preExcl'!$BF$2:$BG1679,2,FALSE))),IFERROR(0/0,""))</f>
        <v/>
      </c>
      <c r="V167" s="212" t="str">
        <f t="shared" si="5"/>
        <v>RUN-COMB_2022-04-06_RFR-011</v>
      </c>
      <c r="W167" s="51"/>
      <c r="X167" s="51"/>
      <c r="Y167" s="147" t="str">
        <f t="shared" ref="Y167:Z167" si="334">IF(_xlfn.ISFORMULA(S167),IFERROR(0/0,""),TRUE)</f>
        <v/>
      </c>
      <c r="Z167" s="147" t="str">
        <f t="shared" si="334"/>
        <v/>
      </c>
    </row>
    <row r="168">
      <c r="A168" s="6" t="str">
        <f>IFERROR(__xludf.DUMMYFUNCTION("""COMPUTED_VALUE"""),"FM4012")</f>
        <v>FM4012</v>
      </c>
      <c r="B168" s="206">
        <f>IFERROR(__xludf.DUMMYFUNCTION("""COMPUTED_VALUE"""),44657.0)</f>
        <v>44657</v>
      </c>
      <c r="C168" s="207">
        <f>IFERROR(__xludf.DUMMYFUNCTION("""COMPUTED_VALUE"""),0.3217361111111111)</f>
        <v>0.3217361111</v>
      </c>
      <c r="D168" s="50"/>
      <c r="E168" s="58"/>
      <c r="F168" s="58"/>
      <c r="G168" s="58" t="str">
        <f>IFERROR(__xludf.DUMMYFUNCTION("""COMPUTED_VALUE"""),"Negative")</f>
        <v>Negative</v>
      </c>
      <c r="H168" s="206" t="str">
        <f>IFERROR(__xludf.DUMMYFUNCTION("""COMPUTED_VALUE"""),"Negative")</f>
        <v>Negative</v>
      </c>
      <c r="I168" s="207">
        <f>IFERROR(__xludf.DUMMYFUNCTION("""COMPUTED_VALUE"""),44658.0)</f>
        <v>44658</v>
      </c>
      <c r="J168" s="208">
        <f>IFERROR(__xludf.DUMMYFUNCTION("""COMPUTED_VALUE"""),0.36636574074074074)</f>
        <v>0.3663657407</v>
      </c>
      <c r="K168" s="50"/>
      <c r="L168" s="6"/>
      <c r="M168" s="55"/>
      <c r="N168" s="55">
        <f>IFERROR(__xludf.DUMMYFUNCTION("""COMPUTED_VALUE"""),1.0)</f>
        <v>1</v>
      </c>
      <c r="O168" s="55" t="str">
        <f t="shared" si="3"/>
        <v/>
      </c>
      <c r="P168" s="209"/>
      <c r="Q168" s="75" t="b">
        <f>VLOOKUP($B168,'Run Reconcile'!B$2:P1679,15,FALSE)</f>
        <v>1</v>
      </c>
      <c r="R168" s="211" t="str">
        <f t="array" ref="R168">IF($Q168, INDEX('Run Reconcile'!A$2:A1679,MATCH(B168,'Run Reconcile'!B$2:B1679,0),1),IFERROR(0/0,""))</f>
        <v>RUN-COMB_2022-04-06_RFR-011</v>
      </c>
      <c r="S168" s="165" t="str">
        <f t="shared" ref="S168:T168" si="335">IF(COUNTIF(W$2:W1679, $A168) &gt; 0,TRUE,IFERROR(0/0,""))</f>
        <v/>
      </c>
      <c r="T168" s="165" t="str">
        <f t="shared" si="335"/>
        <v/>
      </c>
      <c r="U168" s="147" t="str">
        <f t="array" ref="U168">IF(ISBLANK($R168), IF($S168,VLOOKUP($B168+1,'RFR Data - preExcl'!$BF$2:$BG1679,2,FALSE),IF($T168,INDEX('RFR Data - preExcl'!$BF$2:$BG1679,MATCH($B168,'RFR Data - preExcl'!$BF$2:$BF1679,0)+1,2),VLOOKUP($B168,'RFR Data - preExcl'!$BF$2:$BG1679,2,FALSE))),IFERROR(0/0,""))</f>
        <v/>
      </c>
      <c r="V168" s="212" t="str">
        <f t="shared" si="5"/>
        <v>RUN-COMB_2022-04-06_RFR-011</v>
      </c>
      <c r="W168" s="51"/>
      <c r="X168" s="51"/>
      <c r="Y168" s="147" t="str">
        <f t="shared" ref="Y168:Z168" si="336">IF(_xlfn.ISFORMULA(S168),IFERROR(0/0,""),TRUE)</f>
        <v/>
      </c>
      <c r="Z168" s="147" t="str">
        <f t="shared" si="336"/>
        <v/>
      </c>
    </row>
    <row r="169">
      <c r="A169" s="6" t="str">
        <f>IFERROR(__xludf.DUMMYFUNCTION("""COMPUTED_VALUE"""),"FM4017")</f>
        <v>FM4017</v>
      </c>
      <c r="B169" s="206">
        <f>IFERROR(__xludf.DUMMYFUNCTION("""COMPUTED_VALUE"""),44657.0)</f>
        <v>44657</v>
      </c>
      <c r="C169" s="207">
        <f>IFERROR(__xludf.DUMMYFUNCTION("""COMPUTED_VALUE"""),0.32327546296296295)</f>
        <v>0.323275463</v>
      </c>
      <c r="D169" s="50"/>
      <c r="E169" s="58"/>
      <c r="F169" s="58"/>
      <c r="G169" s="58" t="str">
        <f>IFERROR(__xludf.DUMMYFUNCTION("""COMPUTED_VALUE"""),"Negative")</f>
        <v>Negative</v>
      </c>
      <c r="H169" s="206" t="str">
        <f>IFERROR(__xludf.DUMMYFUNCTION("""COMPUTED_VALUE"""),"Negative")</f>
        <v>Negative</v>
      </c>
      <c r="I169" s="207">
        <f>IFERROR(__xludf.DUMMYFUNCTION("""COMPUTED_VALUE"""),44658.0)</f>
        <v>44658</v>
      </c>
      <c r="J169" s="208">
        <f>IFERROR(__xludf.DUMMYFUNCTION("""COMPUTED_VALUE"""),0.36636574074074074)</f>
        <v>0.3663657407</v>
      </c>
      <c r="K169" s="50"/>
      <c r="L169" s="6"/>
      <c r="M169" s="55"/>
      <c r="N169" s="55">
        <f>IFERROR(__xludf.DUMMYFUNCTION("""COMPUTED_VALUE"""),1.0)</f>
        <v>1</v>
      </c>
      <c r="O169" s="55" t="str">
        <f t="shared" si="3"/>
        <v/>
      </c>
      <c r="P169" s="209"/>
      <c r="Q169" s="75" t="b">
        <f>VLOOKUP($B169,'Run Reconcile'!B$2:P1679,15,FALSE)</f>
        <v>1</v>
      </c>
      <c r="R169" s="211" t="str">
        <f t="array" ref="R169">IF($Q169, INDEX('Run Reconcile'!A$2:A1679,MATCH(B169,'Run Reconcile'!B$2:B1679,0),1),IFERROR(0/0,""))</f>
        <v>RUN-COMB_2022-04-06_RFR-011</v>
      </c>
      <c r="S169" s="165" t="str">
        <f t="shared" ref="S169:T169" si="337">IF(COUNTIF(W$2:W1679, $A169) &gt; 0,TRUE,IFERROR(0/0,""))</f>
        <v/>
      </c>
      <c r="T169" s="165" t="str">
        <f t="shared" si="337"/>
        <v/>
      </c>
      <c r="U169" s="147" t="str">
        <f t="array" ref="U169">IF(ISBLANK($R169), IF($S169,VLOOKUP($B169+1,'RFR Data - preExcl'!$BF$2:$BG1679,2,FALSE),IF($T169,INDEX('RFR Data - preExcl'!$BF$2:$BG1679,MATCH($B169,'RFR Data - preExcl'!$BF$2:$BF1679,0)+1,2),VLOOKUP($B169,'RFR Data - preExcl'!$BF$2:$BG1679,2,FALSE))),IFERROR(0/0,""))</f>
        <v/>
      </c>
      <c r="V169" s="212" t="str">
        <f t="shared" si="5"/>
        <v>RUN-COMB_2022-04-06_RFR-011</v>
      </c>
      <c r="W169" s="51"/>
      <c r="X169" s="51"/>
      <c r="Y169" s="147" t="str">
        <f t="shared" ref="Y169:Z169" si="338">IF(_xlfn.ISFORMULA(S169),IFERROR(0/0,""),TRUE)</f>
        <v/>
      </c>
      <c r="Z169" s="147" t="str">
        <f t="shared" si="338"/>
        <v/>
      </c>
    </row>
    <row r="170">
      <c r="A170" s="6" t="str">
        <f>IFERROR(__xludf.DUMMYFUNCTION("""COMPUTED_VALUE"""),"FM4020")</f>
        <v>FM4020</v>
      </c>
      <c r="B170" s="206">
        <f>IFERROR(__xludf.DUMMYFUNCTION("""COMPUTED_VALUE"""),44657.0)</f>
        <v>44657</v>
      </c>
      <c r="C170" s="207">
        <f>IFERROR(__xludf.DUMMYFUNCTION("""COMPUTED_VALUE"""),0.32383101851851853)</f>
        <v>0.3238310185</v>
      </c>
      <c r="D170" s="50"/>
      <c r="E170" s="58"/>
      <c r="F170" s="58"/>
      <c r="G170" s="58" t="str">
        <f>IFERROR(__xludf.DUMMYFUNCTION("""COMPUTED_VALUE"""),"Negative")</f>
        <v>Negative</v>
      </c>
      <c r="H170" s="206" t="str">
        <f>IFERROR(__xludf.DUMMYFUNCTION("""COMPUTED_VALUE"""),"Negative")</f>
        <v>Negative</v>
      </c>
      <c r="I170" s="207">
        <f>IFERROR(__xludf.DUMMYFUNCTION("""COMPUTED_VALUE"""),44658.0)</f>
        <v>44658</v>
      </c>
      <c r="J170" s="208">
        <f>IFERROR(__xludf.DUMMYFUNCTION("""COMPUTED_VALUE"""),0.36637731481481484)</f>
        <v>0.3663773148</v>
      </c>
      <c r="K170" s="50"/>
      <c r="L170" s="6"/>
      <c r="M170" s="55"/>
      <c r="N170" s="55">
        <f>IFERROR(__xludf.DUMMYFUNCTION("""COMPUTED_VALUE"""),1.0)</f>
        <v>1</v>
      </c>
      <c r="O170" s="55" t="str">
        <f t="shared" si="3"/>
        <v/>
      </c>
      <c r="P170" s="209"/>
      <c r="Q170" s="75" t="b">
        <f>VLOOKUP($B170,'Run Reconcile'!B$2:P1679,15,FALSE)</f>
        <v>1</v>
      </c>
      <c r="R170" s="211" t="str">
        <f t="array" ref="R170">IF($Q170, INDEX('Run Reconcile'!A$2:A1679,MATCH(B170,'Run Reconcile'!B$2:B1679,0),1),IFERROR(0/0,""))</f>
        <v>RUN-COMB_2022-04-06_RFR-011</v>
      </c>
      <c r="S170" s="165" t="str">
        <f t="shared" ref="S170:T170" si="339">IF(COUNTIF(W$2:W1679, $A170) &gt; 0,TRUE,IFERROR(0/0,""))</f>
        <v/>
      </c>
      <c r="T170" s="165" t="str">
        <f t="shared" si="339"/>
        <v/>
      </c>
      <c r="U170" s="147" t="str">
        <f t="array" ref="U170">IF(ISBLANK($R170), IF($S170,VLOOKUP($B170+1,'RFR Data - preExcl'!$BF$2:$BG1679,2,FALSE),IF($T170,INDEX('RFR Data - preExcl'!$BF$2:$BG1679,MATCH($B170,'RFR Data - preExcl'!$BF$2:$BF1679,0)+1,2),VLOOKUP($B170,'RFR Data - preExcl'!$BF$2:$BG1679,2,FALSE))),IFERROR(0/0,""))</f>
        <v/>
      </c>
      <c r="V170" s="212" t="str">
        <f t="shared" si="5"/>
        <v>RUN-COMB_2022-04-06_RFR-011</v>
      </c>
      <c r="W170" s="51"/>
      <c r="X170" s="51"/>
      <c r="Y170" s="147" t="str">
        <f t="shared" ref="Y170:Z170" si="340">IF(_xlfn.ISFORMULA(S170),IFERROR(0/0,""),TRUE)</f>
        <v/>
      </c>
      <c r="Z170" s="147" t="str">
        <f t="shared" si="340"/>
        <v/>
      </c>
    </row>
    <row r="171">
      <c r="A171" s="6" t="str">
        <f>IFERROR(__xludf.DUMMYFUNCTION("""COMPUTED_VALUE"""),"FM4013")</f>
        <v>FM4013</v>
      </c>
      <c r="B171" s="206">
        <f>IFERROR(__xludf.DUMMYFUNCTION("""COMPUTED_VALUE"""),44657.0)</f>
        <v>44657</v>
      </c>
      <c r="C171" s="207">
        <f>IFERROR(__xludf.DUMMYFUNCTION("""COMPUTED_VALUE"""),0.32438657407407406)</f>
        <v>0.3243865741</v>
      </c>
      <c r="D171" s="50"/>
      <c r="E171" s="58"/>
      <c r="F171" s="58"/>
      <c r="G171" s="58" t="str">
        <f>IFERROR(__xludf.DUMMYFUNCTION("""COMPUTED_VALUE"""),"Negative")</f>
        <v>Negative</v>
      </c>
      <c r="H171" s="206" t="str">
        <f>IFERROR(__xludf.DUMMYFUNCTION("""COMPUTED_VALUE"""),"Negative")</f>
        <v>Negative</v>
      </c>
      <c r="I171" s="207">
        <f>IFERROR(__xludf.DUMMYFUNCTION("""COMPUTED_VALUE"""),44658.0)</f>
        <v>44658</v>
      </c>
      <c r="J171" s="208">
        <f>IFERROR(__xludf.DUMMYFUNCTION("""COMPUTED_VALUE"""),0.36637731481481484)</f>
        <v>0.3663773148</v>
      </c>
      <c r="K171" s="50"/>
      <c r="L171" s="6"/>
      <c r="M171" s="55"/>
      <c r="N171" s="55">
        <f>IFERROR(__xludf.DUMMYFUNCTION("""COMPUTED_VALUE"""),1.0)</f>
        <v>1</v>
      </c>
      <c r="O171" s="55" t="str">
        <f t="shared" si="3"/>
        <v/>
      </c>
      <c r="P171" s="209"/>
      <c r="Q171" s="75" t="b">
        <f>VLOOKUP($B171,'Run Reconcile'!B$2:P1679,15,FALSE)</f>
        <v>1</v>
      </c>
      <c r="R171" s="211" t="str">
        <f t="array" ref="R171">IF($Q171, INDEX('Run Reconcile'!A$2:A1679,MATCH(B171,'Run Reconcile'!B$2:B1679,0),1),IFERROR(0/0,""))</f>
        <v>RUN-COMB_2022-04-06_RFR-011</v>
      </c>
      <c r="S171" s="165" t="str">
        <f t="shared" ref="S171:T171" si="341">IF(COUNTIF(W$2:W1679, $A171) &gt; 0,TRUE,IFERROR(0/0,""))</f>
        <v/>
      </c>
      <c r="T171" s="165" t="str">
        <f t="shared" si="341"/>
        <v/>
      </c>
      <c r="U171" s="147" t="str">
        <f t="array" ref="U171">IF(ISBLANK($R171), IF($S171,VLOOKUP($B171+1,'RFR Data - preExcl'!$BF$2:$BG1679,2,FALSE),IF($T171,INDEX('RFR Data - preExcl'!$BF$2:$BG1679,MATCH($B171,'RFR Data - preExcl'!$BF$2:$BF1679,0)+1,2),VLOOKUP($B171,'RFR Data - preExcl'!$BF$2:$BG1679,2,FALSE))),IFERROR(0/0,""))</f>
        <v/>
      </c>
      <c r="V171" s="212" t="str">
        <f t="shared" si="5"/>
        <v>RUN-COMB_2022-04-06_RFR-011</v>
      </c>
      <c r="W171" s="51"/>
      <c r="X171" s="51"/>
      <c r="Y171" s="147" t="str">
        <f t="shared" ref="Y171:Z171" si="342">IF(_xlfn.ISFORMULA(S171),IFERROR(0/0,""),TRUE)</f>
        <v/>
      </c>
      <c r="Z171" s="147" t="str">
        <f t="shared" si="342"/>
        <v/>
      </c>
    </row>
    <row r="172">
      <c r="A172" s="6" t="str">
        <f>IFERROR(__xludf.DUMMYFUNCTION("""COMPUTED_VALUE"""),"MA154")</f>
        <v>MA154</v>
      </c>
      <c r="B172" s="206">
        <f>IFERROR(__xludf.DUMMYFUNCTION("""COMPUTED_VALUE"""),44657.0)</f>
        <v>44657</v>
      </c>
      <c r="C172" s="207">
        <f>IFERROR(__xludf.DUMMYFUNCTION("""COMPUTED_VALUE"""),0.3249537037037037)</f>
        <v>0.3249537037</v>
      </c>
      <c r="D172" s="50"/>
      <c r="E172" s="58"/>
      <c r="F172" s="58"/>
      <c r="G172" s="58" t="str">
        <f>IFERROR(__xludf.DUMMYFUNCTION("""COMPUTED_VALUE"""),"Negative")</f>
        <v>Negative</v>
      </c>
      <c r="H172" s="206" t="str">
        <f>IFERROR(__xludf.DUMMYFUNCTION("""COMPUTED_VALUE"""),"Negative")</f>
        <v>Negative</v>
      </c>
      <c r="I172" s="207">
        <f>IFERROR(__xludf.DUMMYFUNCTION("""COMPUTED_VALUE"""),44658.0)</f>
        <v>44658</v>
      </c>
      <c r="J172" s="208">
        <f>IFERROR(__xludf.DUMMYFUNCTION("""COMPUTED_VALUE"""),0.36637731481481484)</f>
        <v>0.3663773148</v>
      </c>
      <c r="K172" s="50"/>
      <c r="L172" s="6"/>
      <c r="M172" s="55"/>
      <c r="N172" s="55">
        <f>IFERROR(__xludf.DUMMYFUNCTION("""COMPUTED_VALUE"""),1.0)</f>
        <v>1</v>
      </c>
      <c r="O172" s="55" t="str">
        <f t="shared" si="3"/>
        <v/>
      </c>
      <c r="P172" s="209"/>
      <c r="Q172" s="75" t="b">
        <f>VLOOKUP($B172,'Run Reconcile'!B$2:P1679,15,FALSE)</f>
        <v>1</v>
      </c>
      <c r="R172" s="211" t="str">
        <f t="array" ref="R172">IF($Q172, INDEX('Run Reconcile'!A$2:A1679,MATCH(B172,'Run Reconcile'!B$2:B1679,0),1),IFERROR(0/0,""))</f>
        <v>RUN-COMB_2022-04-06_RFR-011</v>
      </c>
      <c r="S172" s="165" t="str">
        <f t="shared" ref="S172:T172" si="343">IF(COUNTIF(W$2:W1679, $A172) &gt; 0,TRUE,IFERROR(0/0,""))</f>
        <v/>
      </c>
      <c r="T172" s="165" t="str">
        <f t="shared" si="343"/>
        <v/>
      </c>
      <c r="U172" s="147" t="str">
        <f t="array" ref="U172">IF(ISBLANK($R172), IF($S172,VLOOKUP($B172+1,'RFR Data - preExcl'!$BF$2:$BG1679,2,FALSE),IF($T172,INDEX('RFR Data - preExcl'!$BF$2:$BG1679,MATCH($B172,'RFR Data - preExcl'!$BF$2:$BF1679,0)+1,2),VLOOKUP($B172,'RFR Data - preExcl'!$BF$2:$BG1679,2,FALSE))),IFERROR(0/0,""))</f>
        <v/>
      </c>
      <c r="V172" s="212" t="str">
        <f t="shared" si="5"/>
        <v>RUN-COMB_2022-04-06_RFR-011</v>
      </c>
      <c r="W172" s="51"/>
      <c r="X172" s="51"/>
      <c r="Y172" s="147" t="str">
        <f t="shared" ref="Y172:Z172" si="344">IF(_xlfn.ISFORMULA(S172),IFERROR(0/0,""),TRUE)</f>
        <v/>
      </c>
      <c r="Z172" s="147" t="str">
        <f t="shared" si="344"/>
        <v/>
      </c>
    </row>
    <row r="173">
      <c r="A173" s="6" t="str">
        <f>IFERROR(__xludf.DUMMYFUNCTION("""COMPUTED_VALUE"""),"FM3963")</f>
        <v>FM3963</v>
      </c>
      <c r="B173" s="206">
        <f>IFERROR(__xludf.DUMMYFUNCTION("""COMPUTED_VALUE"""),44657.0)</f>
        <v>44657</v>
      </c>
      <c r="C173" s="207">
        <f>IFERROR(__xludf.DUMMYFUNCTION("""COMPUTED_VALUE"""),0.3263888888888889)</f>
        <v>0.3263888889</v>
      </c>
      <c r="D173" s="50"/>
      <c r="E173" s="58"/>
      <c r="F173" s="58"/>
      <c r="G173" s="58" t="str">
        <f>IFERROR(__xludf.DUMMYFUNCTION("""COMPUTED_VALUE"""),"Negative")</f>
        <v>Negative</v>
      </c>
      <c r="H173" s="206" t="str">
        <f>IFERROR(__xludf.DUMMYFUNCTION("""COMPUTED_VALUE"""),"Negative")</f>
        <v>Negative</v>
      </c>
      <c r="I173" s="207">
        <f>IFERROR(__xludf.DUMMYFUNCTION("""COMPUTED_VALUE"""),44658.0)</f>
        <v>44658</v>
      </c>
      <c r="J173" s="208">
        <f>IFERROR(__xludf.DUMMYFUNCTION("""COMPUTED_VALUE"""),0.3663888888888889)</f>
        <v>0.3663888889</v>
      </c>
      <c r="K173" s="50"/>
      <c r="L173" s="6"/>
      <c r="M173" s="55"/>
      <c r="N173" s="55">
        <f>IFERROR(__xludf.DUMMYFUNCTION("""COMPUTED_VALUE"""),1.0)</f>
        <v>1</v>
      </c>
      <c r="O173" s="55" t="str">
        <f t="shared" si="3"/>
        <v/>
      </c>
      <c r="P173" s="209"/>
      <c r="Q173" s="75" t="b">
        <f>VLOOKUP($B173,'Run Reconcile'!B$2:P1679,15,FALSE)</f>
        <v>1</v>
      </c>
      <c r="R173" s="211" t="str">
        <f t="array" ref="R173">IF($Q173, INDEX('Run Reconcile'!A$2:A1679,MATCH(B173,'Run Reconcile'!B$2:B1679,0),1),IFERROR(0/0,""))</f>
        <v>RUN-COMB_2022-04-06_RFR-011</v>
      </c>
      <c r="S173" s="165" t="str">
        <f t="shared" ref="S173:T173" si="345">IF(COUNTIF(W$2:W1679, $A173) &gt; 0,TRUE,IFERROR(0/0,""))</f>
        <v/>
      </c>
      <c r="T173" s="165" t="str">
        <f t="shared" si="345"/>
        <v/>
      </c>
      <c r="U173" s="147" t="str">
        <f t="array" ref="U173">IF(ISBLANK($R173), IF($S173,VLOOKUP($B173+1,'RFR Data - preExcl'!$BF$2:$BG1679,2,FALSE),IF($T173,INDEX('RFR Data - preExcl'!$BF$2:$BG1679,MATCH($B173,'RFR Data - preExcl'!$BF$2:$BF1679,0)+1,2),VLOOKUP($B173,'RFR Data - preExcl'!$BF$2:$BG1679,2,FALSE))),IFERROR(0/0,""))</f>
        <v/>
      </c>
      <c r="V173" s="212" t="str">
        <f t="shared" si="5"/>
        <v>RUN-COMB_2022-04-06_RFR-011</v>
      </c>
      <c r="W173" s="51"/>
      <c r="X173" s="51"/>
      <c r="Y173" s="147" t="str">
        <f t="shared" ref="Y173:Z173" si="346">IF(_xlfn.ISFORMULA(S173),IFERROR(0/0,""),TRUE)</f>
        <v/>
      </c>
      <c r="Z173" s="147" t="str">
        <f t="shared" si="346"/>
        <v/>
      </c>
    </row>
    <row r="174">
      <c r="A174" s="6" t="str">
        <f>IFERROR(__xludf.DUMMYFUNCTION("""COMPUTED_VALUE"""),"FM4001")</f>
        <v>FM4001</v>
      </c>
      <c r="B174" s="206">
        <f>IFERROR(__xludf.DUMMYFUNCTION("""COMPUTED_VALUE"""),44657.0)</f>
        <v>44657</v>
      </c>
      <c r="C174" s="207">
        <f>IFERROR(__xludf.DUMMYFUNCTION("""COMPUTED_VALUE"""),0.3269328703703704)</f>
        <v>0.3269328704</v>
      </c>
      <c r="D174" s="50"/>
      <c r="E174" s="58"/>
      <c r="F174" s="58"/>
      <c r="G174" s="58" t="str">
        <f>IFERROR(__xludf.DUMMYFUNCTION("""COMPUTED_VALUE"""),"Negative")</f>
        <v>Negative</v>
      </c>
      <c r="H174" s="206" t="str">
        <f>IFERROR(__xludf.DUMMYFUNCTION("""COMPUTED_VALUE"""),"Negative")</f>
        <v>Negative</v>
      </c>
      <c r="I174" s="207">
        <f>IFERROR(__xludf.DUMMYFUNCTION("""COMPUTED_VALUE"""),44658.0)</f>
        <v>44658</v>
      </c>
      <c r="J174" s="208">
        <f>IFERROR(__xludf.DUMMYFUNCTION("""COMPUTED_VALUE"""),0.3663888888888889)</f>
        <v>0.3663888889</v>
      </c>
      <c r="K174" s="50"/>
      <c r="L174" s="6"/>
      <c r="M174" s="55"/>
      <c r="N174" s="55">
        <f>IFERROR(__xludf.DUMMYFUNCTION("""COMPUTED_VALUE"""),1.0)</f>
        <v>1</v>
      </c>
      <c r="O174" s="55" t="str">
        <f t="shared" si="3"/>
        <v/>
      </c>
      <c r="P174" s="209"/>
      <c r="Q174" s="75" t="b">
        <f>VLOOKUP($B174,'Run Reconcile'!B$2:P1679,15,FALSE)</f>
        <v>1</v>
      </c>
      <c r="R174" s="211" t="str">
        <f t="array" ref="R174">IF($Q174, INDEX('Run Reconcile'!A$2:A1679,MATCH(B174,'Run Reconcile'!B$2:B1679,0),1),IFERROR(0/0,""))</f>
        <v>RUN-COMB_2022-04-06_RFR-011</v>
      </c>
      <c r="S174" s="165" t="str">
        <f t="shared" ref="S174:T174" si="347">IF(COUNTIF(W$2:W1679, $A174) &gt; 0,TRUE,IFERROR(0/0,""))</f>
        <v/>
      </c>
      <c r="T174" s="165" t="str">
        <f t="shared" si="347"/>
        <v/>
      </c>
      <c r="U174" s="147" t="str">
        <f t="array" ref="U174">IF(ISBLANK($R174), IF($S174,VLOOKUP($B174+1,'RFR Data - preExcl'!$BF$2:$BG1679,2,FALSE),IF($T174,INDEX('RFR Data - preExcl'!$BF$2:$BG1679,MATCH($B174,'RFR Data - preExcl'!$BF$2:$BF1679,0)+1,2),VLOOKUP($B174,'RFR Data - preExcl'!$BF$2:$BG1679,2,FALSE))),IFERROR(0/0,""))</f>
        <v/>
      </c>
      <c r="V174" s="212" t="str">
        <f t="shared" si="5"/>
        <v>RUN-COMB_2022-04-06_RFR-011</v>
      </c>
      <c r="W174" s="51"/>
      <c r="X174" s="51"/>
      <c r="Y174" s="147" t="str">
        <f t="shared" ref="Y174:Z174" si="348">IF(_xlfn.ISFORMULA(S174),IFERROR(0/0,""),TRUE)</f>
        <v/>
      </c>
      <c r="Z174" s="147" t="str">
        <f t="shared" si="348"/>
        <v/>
      </c>
    </row>
    <row r="175">
      <c r="A175" s="6" t="str">
        <f>IFERROR(__xludf.DUMMYFUNCTION("""COMPUTED_VALUE"""),"FM3901")</f>
        <v>FM3901</v>
      </c>
      <c r="B175" s="206">
        <f>IFERROR(__xludf.DUMMYFUNCTION("""COMPUTED_VALUE"""),44657.0)</f>
        <v>44657</v>
      </c>
      <c r="C175" s="207">
        <f>IFERROR(__xludf.DUMMYFUNCTION("""COMPUTED_VALUE"""),0.3275925925925926)</f>
        <v>0.3275925926</v>
      </c>
      <c r="D175" s="50"/>
      <c r="E175" s="58"/>
      <c r="F175" s="58"/>
      <c r="G175" s="58" t="str">
        <f>IFERROR(__xludf.DUMMYFUNCTION("""COMPUTED_VALUE"""),"Negative")</f>
        <v>Negative</v>
      </c>
      <c r="H175" s="206" t="str">
        <f>IFERROR(__xludf.DUMMYFUNCTION("""COMPUTED_VALUE"""),"Negative")</f>
        <v>Negative</v>
      </c>
      <c r="I175" s="207">
        <f>IFERROR(__xludf.DUMMYFUNCTION("""COMPUTED_VALUE"""),44658.0)</f>
        <v>44658</v>
      </c>
      <c r="J175" s="208">
        <f>IFERROR(__xludf.DUMMYFUNCTION("""COMPUTED_VALUE"""),0.3663888888888889)</f>
        <v>0.3663888889</v>
      </c>
      <c r="K175" s="50"/>
      <c r="L175" s="6" t="str">
        <f>IFERROR(__xludf.DUMMYFUNCTION("""COMPUTED_VALUE"""),"Strange case - replicate in RAW_APT but not RAW_APS, copy result info from resutled tube in RAW_APT")</f>
        <v>Strange case - replicate in RAW_APT but not RAW_APS, copy result info from resutled tube in RAW_APT</v>
      </c>
      <c r="M175" s="55"/>
      <c r="N175" s="55">
        <f>IFERROR(__xludf.DUMMYFUNCTION("""COMPUTED_VALUE"""),1.0)</f>
        <v>1</v>
      </c>
      <c r="O175" s="55" t="str">
        <f t="shared" si="3"/>
        <v/>
      </c>
      <c r="P175" s="209"/>
      <c r="Q175" s="75" t="b">
        <f>VLOOKUP($B175,'Run Reconcile'!B$2:P1679,15,FALSE)</f>
        <v>1</v>
      </c>
      <c r="R175" s="211" t="str">
        <f t="array" ref="R175">IF($Q175, INDEX('Run Reconcile'!A$2:A1679,MATCH(B175,'Run Reconcile'!B$2:B1679,0),1),IFERROR(0/0,""))</f>
        <v>RUN-COMB_2022-04-06_RFR-011</v>
      </c>
      <c r="S175" s="165" t="str">
        <f t="shared" ref="S175:T175" si="349">IF(COUNTIF(W$2:W1679, $A175) &gt; 0,TRUE,IFERROR(0/0,""))</f>
        <v/>
      </c>
      <c r="T175" s="165" t="str">
        <f t="shared" si="349"/>
        <v/>
      </c>
      <c r="U175" s="147" t="str">
        <f t="array" ref="U175">IF(ISBLANK($R175), IF($S175,VLOOKUP($B175+1,'RFR Data - preExcl'!$BF$2:$BG1679,2,FALSE),IF($T175,INDEX('RFR Data - preExcl'!$BF$2:$BG1679,MATCH($B175,'RFR Data - preExcl'!$BF$2:$BF1679,0)+1,2),VLOOKUP($B175,'RFR Data - preExcl'!$BF$2:$BG1679,2,FALSE))),IFERROR(0/0,""))</f>
        <v/>
      </c>
      <c r="V175" s="212" t="str">
        <f t="shared" si="5"/>
        <v>RUN-COMB_2022-04-06_RFR-011</v>
      </c>
      <c r="W175" s="51"/>
      <c r="X175" s="51"/>
      <c r="Y175" s="147" t="str">
        <f t="shared" ref="Y175:Z175" si="350">IF(_xlfn.ISFORMULA(S175),IFERROR(0/0,""),TRUE)</f>
        <v/>
      </c>
      <c r="Z175" s="147" t="str">
        <f t="shared" si="350"/>
        <v/>
      </c>
    </row>
    <row r="176">
      <c r="A176" s="6" t="str">
        <f>IFERROR(__xludf.DUMMYFUNCTION("""COMPUTED_VALUE"""),"FM3970")</f>
        <v>FM3970</v>
      </c>
      <c r="B176" s="206">
        <f>IFERROR(__xludf.DUMMYFUNCTION("""COMPUTED_VALUE"""),44657.0)</f>
        <v>44657</v>
      </c>
      <c r="C176" s="207">
        <f>IFERROR(__xludf.DUMMYFUNCTION("""COMPUTED_VALUE"""),0.3282175925925926)</f>
        <v>0.3282175926</v>
      </c>
      <c r="D176" s="50"/>
      <c r="E176" s="58"/>
      <c r="F176" s="58"/>
      <c r="G176" s="58" t="str">
        <f>IFERROR(__xludf.DUMMYFUNCTION("""COMPUTED_VALUE"""),"Negative")</f>
        <v>Negative</v>
      </c>
      <c r="H176" s="206" t="str">
        <f>IFERROR(__xludf.DUMMYFUNCTION("""COMPUTED_VALUE"""),"Negative")</f>
        <v>Negative</v>
      </c>
      <c r="I176" s="207">
        <f>IFERROR(__xludf.DUMMYFUNCTION("""COMPUTED_VALUE"""),44658.0)</f>
        <v>44658</v>
      </c>
      <c r="J176" s="208">
        <f>IFERROR(__xludf.DUMMYFUNCTION("""COMPUTED_VALUE"""),0.36640046296296297)</f>
        <v>0.366400463</v>
      </c>
      <c r="K176" s="50"/>
      <c r="L176" s="6"/>
      <c r="M176" s="55"/>
      <c r="N176" s="55">
        <f>IFERROR(__xludf.DUMMYFUNCTION("""COMPUTED_VALUE"""),1.0)</f>
        <v>1</v>
      </c>
      <c r="O176" s="55" t="str">
        <f t="shared" si="3"/>
        <v/>
      </c>
      <c r="P176" s="209"/>
      <c r="Q176" s="75" t="b">
        <f>VLOOKUP($B176,'Run Reconcile'!B$2:P1679,15,FALSE)</f>
        <v>1</v>
      </c>
      <c r="R176" s="211" t="str">
        <f t="array" ref="R176">IF($Q176, INDEX('Run Reconcile'!A$2:A1679,MATCH(B176,'Run Reconcile'!B$2:B1679,0),1),IFERROR(0/0,""))</f>
        <v>RUN-COMB_2022-04-06_RFR-011</v>
      </c>
      <c r="S176" s="165" t="str">
        <f t="shared" ref="S176:T176" si="351">IF(COUNTIF(W$2:W1679, $A176) &gt; 0,TRUE,IFERROR(0/0,""))</f>
        <v/>
      </c>
      <c r="T176" s="165" t="str">
        <f t="shared" si="351"/>
        <v/>
      </c>
      <c r="U176" s="147" t="str">
        <f t="array" ref="U176">IF(ISBLANK($R176), IF($S176,VLOOKUP($B176+1,'RFR Data - preExcl'!$BF$2:$BG1679,2,FALSE),IF($T176,INDEX('RFR Data - preExcl'!$BF$2:$BG1679,MATCH($B176,'RFR Data - preExcl'!$BF$2:$BF1679,0)+1,2),VLOOKUP($B176,'RFR Data - preExcl'!$BF$2:$BG1679,2,FALSE))),IFERROR(0/0,""))</f>
        <v/>
      </c>
      <c r="V176" s="212" t="str">
        <f t="shared" si="5"/>
        <v>RUN-COMB_2022-04-06_RFR-011</v>
      </c>
      <c r="W176" s="51"/>
      <c r="X176" s="51"/>
      <c r="Y176" s="147" t="str">
        <f t="shared" ref="Y176:Z176" si="352">IF(_xlfn.ISFORMULA(S176),IFERROR(0/0,""),TRUE)</f>
        <v/>
      </c>
      <c r="Z176" s="147" t="str">
        <f t="shared" si="352"/>
        <v/>
      </c>
    </row>
    <row r="177">
      <c r="A177" s="6" t="str">
        <f>IFERROR(__xludf.DUMMYFUNCTION("""COMPUTED_VALUE"""),"FM4018")</f>
        <v>FM4018</v>
      </c>
      <c r="B177" s="206">
        <f>IFERROR(__xludf.DUMMYFUNCTION("""COMPUTED_VALUE"""),44657.0)</f>
        <v>44657</v>
      </c>
      <c r="C177" s="207">
        <f>IFERROR(__xludf.DUMMYFUNCTION("""COMPUTED_VALUE"""),0.3297337962962963)</f>
        <v>0.3297337963</v>
      </c>
      <c r="D177" s="50"/>
      <c r="E177" s="58"/>
      <c r="F177" s="58"/>
      <c r="G177" s="58" t="str">
        <f>IFERROR(__xludf.DUMMYFUNCTION("""COMPUTED_VALUE"""),"Negative")</f>
        <v>Negative</v>
      </c>
      <c r="H177" s="206" t="str">
        <f>IFERROR(__xludf.DUMMYFUNCTION("""COMPUTED_VALUE"""),"Negative")</f>
        <v>Negative</v>
      </c>
      <c r="I177" s="207">
        <f>IFERROR(__xludf.DUMMYFUNCTION("""COMPUTED_VALUE"""),44658.0)</f>
        <v>44658</v>
      </c>
      <c r="J177" s="208">
        <f>IFERROR(__xludf.DUMMYFUNCTION("""COMPUTED_VALUE"""),0.36640046296296297)</f>
        <v>0.366400463</v>
      </c>
      <c r="K177" s="50"/>
      <c r="L177" s="6"/>
      <c r="M177" s="55"/>
      <c r="N177" s="55">
        <f>IFERROR(__xludf.DUMMYFUNCTION("""COMPUTED_VALUE"""),1.0)</f>
        <v>1</v>
      </c>
      <c r="O177" s="55" t="str">
        <f t="shared" si="3"/>
        <v/>
      </c>
      <c r="P177" s="209"/>
      <c r="Q177" s="75" t="b">
        <f>VLOOKUP($B177,'Run Reconcile'!B$2:P1679,15,FALSE)</f>
        <v>1</v>
      </c>
      <c r="R177" s="211" t="str">
        <f t="array" ref="R177">IF($Q177, INDEX('Run Reconcile'!A$2:A1679,MATCH(B177,'Run Reconcile'!B$2:B1679,0),1),IFERROR(0/0,""))</f>
        <v>RUN-COMB_2022-04-06_RFR-011</v>
      </c>
      <c r="S177" s="165" t="str">
        <f t="shared" ref="S177:T177" si="353">IF(COUNTIF(W$2:W1679, $A177) &gt; 0,TRUE,IFERROR(0/0,""))</f>
        <v/>
      </c>
      <c r="T177" s="165" t="str">
        <f t="shared" si="353"/>
        <v/>
      </c>
      <c r="U177" s="147" t="str">
        <f t="array" ref="U177">IF(ISBLANK($R177), IF($S177,VLOOKUP($B177+1,'RFR Data - preExcl'!$BF$2:$BG1679,2,FALSE),IF($T177,INDEX('RFR Data - preExcl'!$BF$2:$BG1679,MATCH($B177,'RFR Data - preExcl'!$BF$2:$BF1679,0)+1,2),VLOOKUP($B177,'RFR Data - preExcl'!$BF$2:$BG1679,2,FALSE))),IFERROR(0/0,""))</f>
        <v/>
      </c>
      <c r="V177" s="212" t="str">
        <f t="shared" si="5"/>
        <v>RUN-COMB_2022-04-06_RFR-011</v>
      </c>
      <c r="W177" s="51"/>
      <c r="X177" s="51"/>
      <c r="Y177" s="147" t="str">
        <f t="shared" ref="Y177:Z177" si="354">IF(_xlfn.ISFORMULA(S177),IFERROR(0/0,""),TRUE)</f>
        <v/>
      </c>
      <c r="Z177" s="147" t="str">
        <f t="shared" si="354"/>
        <v/>
      </c>
    </row>
    <row r="178">
      <c r="A178" s="6" t="str">
        <f>IFERROR(__xludf.DUMMYFUNCTION("""COMPUTED_VALUE"""),"FM3998")</f>
        <v>FM3998</v>
      </c>
      <c r="B178" s="206">
        <f>IFERROR(__xludf.DUMMYFUNCTION("""COMPUTED_VALUE"""),44657.0)</f>
        <v>44657</v>
      </c>
      <c r="C178" s="207">
        <f>IFERROR(__xludf.DUMMYFUNCTION("""COMPUTED_VALUE"""),0.3302777777777778)</f>
        <v>0.3302777778</v>
      </c>
      <c r="D178" s="50"/>
      <c r="E178" s="58"/>
      <c r="F178" s="58"/>
      <c r="G178" s="58" t="str">
        <f>IFERROR(__xludf.DUMMYFUNCTION("""COMPUTED_VALUE"""),"Negative")</f>
        <v>Negative</v>
      </c>
      <c r="H178" s="206" t="str">
        <f>IFERROR(__xludf.DUMMYFUNCTION("""COMPUTED_VALUE"""),"Negative")</f>
        <v>Negative</v>
      </c>
      <c r="I178" s="207">
        <f>IFERROR(__xludf.DUMMYFUNCTION("""COMPUTED_VALUE"""),44658.0)</f>
        <v>44658</v>
      </c>
      <c r="J178" s="208">
        <f>IFERROR(__xludf.DUMMYFUNCTION("""COMPUTED_VALUE"""),0.36641203703703706)</f>
        <v>0.366412037</v>
      </c>
      <c r="K178" s="50"/>
      <c r="L178" s="6"/>
      <c r="M178" s="55"/>
      <c r="N178" s="55">
        <f>IFERROR(__xludf.DUMMYFUNCTION("""COMPUTED_VALUE"""),1.0)</f>
        <v>1</v>
      </c>
      <c r="O178" s="55" t="str">
        <f t="shared" si="3"/>
        <v/>
      </c>
      <c r="P178" s="209"/>
      <c r="Q178" s="75" t="b">
        <f>VLOOKUP($B178,'Run Reconcile'!B$2:P1679,15,FALSE)</f>
        <v>1</v>
      </c>
      <c r="R178" s="211" t="str">
        <f t="array" ref="R178">IF($Q178, INDEX('Run Reconcile'!A$2:A1679,MATCH(B178,'Run Reconcile'!B$2:B1679,0),1),IFERROR(0/0,""))</f>
        <v>RUN-COMB_2022-04-06_RFR-011</v>
      </c>
      <c r="S178" s="165" t="str">
        <f t="shared" ref="S178:T178" si="355">IF(COUNTIF(W$2:W1679, $A178) &gt; 0,TRUE,IFERROR(0/0,""))</f>
        <v/>
      </c>
      <c r="T178" s="165" t="str">
        <f t="shared" si="355"/>
        <v/>
      </c>
      <c r="U178" s="147" t="str">
        <f t="array" ref="U178">IF(ISBLANK($R178), IF($S178,VLOOKUP($B178+1,'RFR Data - preExcl'!$BF$2:$BG1679,2,FALSE),IF($T178,INDEX('RFR Data - preExcl'!$BF$2:$BG1679,MATCH($B178,'RFR Data - preExcl'!$BF$2:$BF1679,0)+1,2),VLOOKUP($B178,'RFR Data - preExcl'!$BF$2:$BG1679,2,FALSE))),IFERROR(0/0,""))</f>
        <v/>
      </c>
      <c r="V178" s="212" t="str">
        <f t="shared" si="5"/>
        <v>RUN-COMB_2022-04-06_RFR-011</v>
      </c>
      <c r="W178" s="51"/>
      <c r="X178" s="51"/>
      <c r="Y178" s="147" t="str">
        <f t="shared" ref="Y178:Z178" si="356">IF(_xlfn.ISFORMULA(S178),IFERROR(0/0,""),TRUE)</f>
        <v/>
      </c>
      <c r="Z178" s="147" t="str">
        <f t="shared" si="356"/>
        <v/>
      </c>
    </row>
    <row r="179">
      <c r="A179" s="6" t="str">
        <f>IFERROR(__xludf.DUMMYFUNCTION("""COMPUTED_VALUE"""),"MA175")</f>
        <v>MA175</v>
      </c>
      <c r="B179" s="206">
        <f>IFERROR(__xludf.DUMMYFUNCTION("""COMPUTED_VALUE"""),44657.0)</f>
        <v>44657</v>
      </c>
      <c r="C179" s="207">
        <f>IFERROR(__xludf.DUMMYFUNCTION("""COMPUTED_VALUE"""),0.33087962962962963)</f>
        <v>0.3308796296</v>
      </c>
      <c r="D179" s="50"/>
      <c r="E179" s="58"/>
      <c r="F179" s="58"/>
      <c r="G179" s="58" t="str">
        <f>IFERROR(__xludf.DUMMYFUNCTION("""COMPUTED_VALUE"""),"Negative")</f>
        <v>Negative</v>
      </c>
      <c r="H179" s="206" t="str">
        <f>IFERROR(__xludf.DUMMYFUNCTION("""COMPUTED_VALUE"""),"Negative")</f>
        <v>Negative</v>
      </c>
      <c r="I179" s="207">
        <f>IFERROR(__xludf.DUMMYFUNCTION("""COMPUTED_VALUE"""),44658.0)</f>
        <v>44658</v>
      </c>
      <c r="J179" s="208">
        <f>IFERROR(__xludf.DUMMYFUNCTION("""COMPUTED_VALUE"""),0.36641203703703706)</f>
        <v>0.366412037</v>
      </c>
      <c r="K179" s="50"/>
      <c r="L179" s="6"/>
      <c r="M179" s="55"/>
      <c r="N179" s="55">
        <f>IFERROR(__xludf.DUMMYFUNCTION("""COMPUTED_VALUE"""),1.0)</f>
        <v>1</v>
      </c>
      <c r="O179" s="55" t="str">
        <f t="shared" si="3"/>
        <v/>
      </c>
      <c r="P179" s="209"/>
      <c r="Q179" s="75" t="b">
        <f>VLOOKUP($B179,'Run Reconcile'!B$2:P1679,15,FALSE)</f>
        <v>1</v>
      </c>
      <c r="R179" s="211" t="str">
        <f t="array" ref="R179">IF($Q179, INDEX('Run Reconcile'!A$2:A1679,MATCH(B179,'Run Reconcile'!B$2:B1679,0),1),IFERROR(0/0,""))</f>
        <v>RUN-COMB_2022-04-06_RFR-011</v>
      </c>
      <c r="S179" s="165" t="str">
        <f t="shared" ref="S179:T179" si="357">IF(COUNTIF(W$2:W1679, $A179) &gt; 0,TRUE,IFERROR(0/0,""))</f>
        <v/>
      </c>
      <c r="T179" s="165" t="str">
        <f t="shared" si="357"/>
        <v/>
      </c>
      <c r="U179" s="147" t="str">
        <f t="array" ref="U179">IF(ISBLANK($R179), IF($S179,VLOOKUP($B179+1,'RFR Data - preExcl'!$BF$2:$BG1679,2,FALSE),IF($T179,INDEX('RFR Data - preExcl'!$BF$2:$BG1679,MATCH($B179,'RFR Data - preExcl'!$BF$2:$BF1679,0)+1,2),VLOOKUP($B179,'RFR Data - preExcl'!$BF$2:$BG1679,2,FALSE))),IFERROR(0/0,""))</f>
        <v/>
      </c>
      <c r="V179" s="212" t="str">
        <f t="shared" si="5"/>
        <v>RUN-COMB_2022-04-06_RFR-011</v>
      </c>
      <c r="W179" s="51"/>
      <c r="X179" s="51"/>
      <c r="Y179" s="147" t="str">
        <f t="shared" ref="Y179:Z179" si="358">IF(_xlfn.ISFORMULA(S179),IFERROR(0/0,""),TRUE)</f>
        <v/>
      </c>
      <c r="Z179" s="147" t="str">
        <f t="shared" si="358"/>
        <v/>
      </c>
    </row>
    <row r="180">
      <c r="A180" s="6" t="str">
        <f>IFERROR(__xludf.DUMMYFUNCTION("""COMPUTED_VALUE"""),"FM3416")</f>
        <v>FM3416</v>
      </c>
      <c r="B180" s="206">
        <f>IFERROR(__xludf.DUMMYFUNCTION("""COMPUTED_VALUE"""),44657.0)</f>
        <v>44657</v>
      </c>
      <c r="C180" s="207">
        <f>IFERROR(__xludf.DUMMYFUNCTION("""COMPUTED_VALUE"""),0.33145833333333335)</f>
        <v>0.3314583333</v>
      </c>
      <c r="D180" s="50"/>
      <c r="E180" s="58"/>
      <c r="F180" s="58"/>
      <c r="G180" s="58" t="str">
        <f>IFERROR(__xludf.DUMMYFUNCTION("""COMPUTED_VALUE"""),"Negative")</f>
        <v>Negative</v>
      </c>
      <c r="H180" s="206" t="str">
        <f>IFERROR(__xludf.DUMMYFUNCTION("""COMPUTED_VALUE"""),"Negative")</f>
        <v>Negative</v>
      </c>
      <c r="I180" s="207">
        <f>IFERROR(__xludf.DUMMYFUNCTION("""COMPUTED_VALUE"""),44658.0)</f>
        <v>44658</v>
      </c>
      <c r="J180" s="208">
        <f>IFERROR(__xludf.DUMMYFUNCTION("""COMPUTED_VALUE"""),0.36641203703703706)</f>
        <v>0.366412037</v>
      </c>
      <c r="K180" s="50"/>
      <c r="L180" s="6"/>
      <c r="M180" s="55"/>
      <c r="N180" s="55">
        <f>IFERROR(__xludf.DUMMYFUNCTION("""COMPUTED_VALUE"""),1.0)</f>
        <v>1</v>
      </c>
      <c r="O180" s="55" t="str">
        <f t="shared" si="3"/>
        <v/>
      </c>
      <c r="P180" s="209"/>
      <c r="Q180" s="75" t="b">
        <f>VLOOKUP($B180,'Run Reconcile'!B$2:P1679,15,FALSE)</f>
        <v>1</v>
      </c>
      <c r="R180" s="211" t="str">
        <f t="array" ref="R180">IF($Q180, INDEX('Run Reconcile'!A$2:A1679,MATCH(B180,'Run Reconcile'!B$2:B1679,0),1),IFERROR(0/0,""))</f>
        <v>RUN-COMB_2022-04-06_RFR-011</v>
      </c>
      <c r="S180" s="165" t="str">
        <f t="shared" ref="S180:T180" si="359">IF(COUNTIF(W$2:W1679, $A180) &gt; 0,TRUE,IFERROR(0/0,""))</f>
        <v/>
      </c>
      <c r="T180" s="165" t="str">
        <f t="shared" si="359"/>
        <v/>
      </c>
      <c r="U180" s="147" t="str">
        <f t="array" ref="U180">IF(ISBLANK($R180), IF($S180,VLOOKUP($B180+1,'RFR Data - preExcl'!$BF$2:$BG1679,2,FALSE),IF($T180,INDEX('RFR Data - preExcl'!$BF$2:$BG1679,MATCH($B180,'RFR Data - preExcl'!$BF$2:$BF1679,0)+1,2),VLOOKUP($B180,'RFR Data - preExcl'!$BF$2:$BG1679,2,FALSE))),IFERROR(0/0,""))</f>
        <v/>
      </c>
      <c r="V180" s="212" t="str">
        <f t="shared" si="5"/>
        <v>RUN-COMB_2022-04-06_RFR-011</v>
      </c>
      <c r="W180" s="51"/>
      <c r="X180" s="51"/>
      <c r="Y180" s="147" t="str">
        <f t="shared" ref="Y180:Z180" si="360">IF(_xlfn.ISFORMULA(S180),IFERROR(0/0,""),TRUE)</f>
        <v/>
      </c>
      <c r="Z180" s="147" t="str">
        <f t="shared" si="360"/>
        <v/>
      </c>
    </row>
    <row r="181">
      <c r="A181" s="6" t="str">
        <f>IFERROR(__xludf.DUMMYFUNCTION("""COMPUTED_VALUE"""),"FM3936")</f>
        <v>FM3936</v>
      </c>
      <c r="B181" s="206">
        <f>IFERROR(__xludf.DUMMYFUNCTION("""COMPUTED_VALUE"""),44657.0)</f>
        <v>44657</v>
      </c>
      <c r="C181" s="207">
        <f>IFERROR(__xludf.DUMMYFUNCTION("""COMPUTED_VALUE"""),0.3321527777777778)</f>
        <v>0.3321527778</v>
      </c>
      <c r="D181" s="50"/>
      <c r="E181" s="58"/>
      <c r="F181" s="58"/>
      <c r="G181" s="58" t="str">
        <f>IFERROR(__xludf.DUMMYFUNCTION("""COMPUTED_VALUE"""),"Negative")</f>
        <v>Negative</v>
      </c>
      <c r="H181" s="206" t="str">
        <f>IFERROR(__xludf.DUMMYFUNCTION("""COMPUTED_VALUE"""),"Negative")</f>
        <v>Negative</v>
      </c>
      <c r="I181" s="207">
        <f>IFERROR(__xludf.DUMMYFUNCTION("""COMPUTED_VALUE"""),44658.0)</f>
        <v>44658</v>
      </c>
      <c r="J181" s="208">
        <f>IFERROR(__xludf.DUMMYFUNCTION("""COMPUTED_VALUE"""),0.3664236111111111)</f>
        <v>0.3664236111</v>
      </c>
      <c r="K181" s="50"/>
      <c r="L181" s="6"/>
      <c r="M181" s="55"/>
      <c r="N181" s="55">
        <f>IFERROR(__xludf.DUMMYFUNCTION("""COMPUTED_VALUE"""),1.0)</f>
        <v>1</v>
      </c>
      <c r="O181" s="55" t="str">
        <f t="shared" si="3"/>
        <v/>
      </c>
      <c r="P181" s="209"/>
      <c r="Q181" s="75" t="b">
        <f>VLOOKUP($B181,'Run Reconcile'!B$2:P1679,15,FALSE)</f>
        <v>1</v>
      </c>
      <c r="R181" s="211" t="str">
        <f t="array" ref="R181">IF($Q181, INDEX('Run Reconcile'!A$2:A1679,MATCH(B181,'Run Reconcile'!B$2:B1679,0),1),IFERROR(0/0,""))</f>
        <v>RUN-COMB_2022-04-06_RFR-011</v>
      </c>
      <c r="S181" s="165" t="str">
        <f t="shared" ref="S181:T181" si="361">IF(COUNTIF(W$2:W1679, $A181) &gt; 0,TRUE,IFERROR(0/0,""))</f>
        <v/>
      </c>
      <c r="T181" s="165" t="str">
        <f t="shared" si="361"/>
        <v/>
      </c>
      <c r="U181" s="147" t="str">
        <f t="array" ref="U181">IF(ISBLANK($R181), IF($S181,VLOOKUP($B181+1,'RFR Data - preExcl'!$BF$2:$BG1679,2,FALSE),IF($T181,INDEX('RFR Data - preExcl'!$BF$2:$BG1679,MATCH($B181,'RFR Data - preExcl'!$BF$2:$BF1679,0)+1,2),VLOOKUP($B181,'RFR Data - preExcl'!$BF$2:$BG1679,2,FALSE))),IFERROR(0/0,""))</f>
        <v/>
      </c>
      <c r="V181" s="212" t="str">
        <f t="shared" si="5"/>
        <v>RUN-COMB_2022-04-06_RFR-011</v>
      </c>
      <c r="W181" s="51"/>
      <c r="X181" s="51"/>
      <c r="Y181" s="147" t="str">
        <f t="shared" ref="Y181:Z181" si="362">IF(_xlfn.ISFORMULA(S181),IFERROR(0/0,""),TRUE)</f>
        <v/>
      </c>
      <c r="Z181" s="147" t="str">
        <f t="shared" si="362"/>
        <v/>
      </c>
    </row>
    <row r="182">
      <c r="A182" s="6" t="str">
        <f>IFERROR(__xludf.DUMMYFUNCTION("""COMPUTED_VALUE"""),"FM3935")</f>
        <v>FM3935</v>
      </c>
      <c r="B182" s="206">
        <f>IFERROR(__xludf.DUMMYFUNCTION("""COMPUTED_VALUE"""),44657.0)</f>
        <v>44657</v>
      </c>
      <c r="C182" s="207">
        <f>IFERROR(__xludf.DUMMYFUNCTION("""COMPUTED_VALUE"""),0.33297453703703705)</f>
        <v>0.332974537</v>
      </c>
      <c r="D182" s="50"/>
      <c r="E182" s="58"/>
      <c r="F182" s="58"/>
      <c r="G182" s="58" t="str">
        <f>IFERROR(__xludf.DUMMYFUNCTION("""COMPUTED_VALUE"""),"Negative")</f>
        <v>Negative</v>
      </c>
      <c r="H182" s="206" t="str">
        <f>IFERROR(__xludf.DUMMYFUNCTION("""COMPUTED_VALUE"""),"Negative")</f>
        <v>Negative</v>
      </c>
      <c r="I182" s="207">
        <f>IFERROR(__xludf.DUMMYFUNCTION("""COMPUTED_VALUE"""),44658.0)</f>
        <v>44658</v>
      </c>
      <c r="J182" s="208">
        <f>IFERROR(__xludf.DUMMYFUNCTION("""COMPUTED_VALUE"""),0.3664236111111111)</f>
        <v>0.3664236111</v>
      </c>
      <c r="K182" s="50"/>
      <c r="L182" s="6"/>
      <c r="M182" s="55"/>
      <c r="N182" s="55">
        <f>IFERROR(__xludf.DUMMYFUNCTION("""COMPUTED_VALUE"""),1.0)</f>
        <v>1</v>
      </c>
      <c r="O182" s="55" t="str">
        <f t="shared" si="3"/>
        <v/>
      </c>
      <c r="P182" s="209"/>
      <c r="Q182" s="75" t="b">
        <f>VLOOKUP($B182,'Run Reconcile'!B$2:P1679,15,FALSE)</f>
        <v>1</v>
      </c>
      <c r="R182" s="211" t="str">
        <f t="array" ref="R182">IF($Q182, INDEX('Run Reconcile'!A$2:A1679,MATCH(B182,'Run Reconcile'!B$2:B1679,0),1),IFERROR(0/0,""))</f>
        <v>RUN-COMB_2022-04-06_RFR-011</v>
      </c>
      <c r="S182" s="165" t="str">
        <f t="shared" ref="S182:T182" si="363">IF(COUNTIF(W$2:W1679, $A182) &gt; 0,TRUE,IFERROR(0/0,""))</f>
        <v/>
      </c>
      <c r="T182" s="165" t="str">
        <f t="shared" si="363"/>
        <v/>
      </c>
      <c r="U182" s="147" t="str">
        <f t="array" ref="U182">IF(ISBLANK($R182), IF($S182,VLOOKUP($B182+1,'RFR Data - preExcl'!$BF$2:$BG1679,2,FALSE),IF($T182,INDEX('RFR Data - preExcl'!$BF$2:$BG1679,MATCH($B182,'RFR Data - preExcl'!$BF$2:$BF1679,0)+1,2),VLOOKUP($B182,'RFR Data - preExcl'!$BF$2:$BG1679,2,FALSE))),IFERROR(0/0,""))</f>
        <v/>
      </c>
      <c r="V182" s="212" t="str">
        <f t="shared" si="5"/>
        <v>RUN-COMB_2022-04-06_RFR-011</v>
      </c>
      <c r="W182" s="51"/>
      <c r="X182" s="51"/>
      <c r="Y182" s="147" t="str">
        <f t="shared" ref="Y182:Z182" si="364">IF(_xlfn.ISFORMULA(S182),IFERROR(0/0,""),TRUE)</f>
        <v/>
      </c>
      <c r="Z182" s="147" t="str">
        <f t="shared" si="364"/>
        <v/>
      </c>
    </row>
    <row r="183">
      <c r="A183" s="6" t="str">
        <f>IFERROR(__xludf.DUMMYFUNCTION("""COMPUTED_VALUE"""),"FM3903")</f>
        <v>FM3903</v>
      </c>
      <c r="B183" s="206">
        <f>IFERROR(__xludf.DUMMYFUNCTION("""COMPUTED_VALUE"""),44658.0)</f>
        <v>44658</v>
      </c>
      <c r="C183" s="207">
        <f>IFERROR(__xludf.DUMMYFUNCTION("""COMPUTED_VALUE"""),0.32153935185185184)</f>
        <v>0.3215393519</v>
      </c>
      <c r="D183" s="50"/>
      <c r="E183" s="58"/>
      <c r="F183" s="58"/>
      <c r="G183" s="58" t="str">
        <f>IFERROR(__xludf.DUMMYFUNCTION("""COMPUTED_VALUE"""),"Negative")</f>
        <v>Negative</v>
      </c>
      <c r="H183" s="206" t="str">
        <f>IFERROR(__xludf.DUMMYFUNCTION("""COMPUTED_VALUE"""),"Negative")</f>
        <v>Negative</v>
      </c>
      <c r="I183" s="207">
        <f>IFERROR(__xludf.DUMMYFUNCTION("""COMPUTED_VALUE"""),44658.0)</f>
        <v>44658</v>
      </c>
      <c r="J183" s="208">
        <f>IFERROR(__xludf.DUMMYFUNCTION("""COMPUTED_VALUE"""),0.36645833333333333)</f>
        <v>0.3664583333</v>
      </c>
      <c r="K183" s="50"/>
      <c r="L183" s="6"/>
      <c r="M183" s="55"/>
      <c r="N183" s="55">
        <f>IFERROR(__xludf.DUMMYFUNCTION("""COMPUTED_VALUE"""),1.0)</f>
        <v>1</v>
      </c>
      <c r="O183" s="55" t="b">
        <f t="shared" si="3"/>
        <v>1</v>
      </c>
      <c r="P183" s="209"/>
      <c r="Q183" s="75" t="b">
        <f>VLOOKUP($B183,'Run Reconcile'!B$2:P1679,15,FALSE)</f>
        <v>1</v>
      </c>
      <c r="R183" s="211" t="str">
        <f t="array" ref="R183">IF($Q183, INDEX('Run Reconcile'!A$2:A1679,MATCH(B183,'Run Reconcile'!B$2:B1679,0),1),IFERROR(0/0,""))</f>
        <v>RUN-COMB_2022-04-07_RFR-012</v>
      </c>
      <c r="S183" s="165" t="str">
        <f t="shared" ref="S183:T183" si="365">IF(COUNTIF(W$2:W1679, $A183) &gt; 0,TRUE,IFERROR(0/0,""))</f>
        <v/>
      </c>
      <c r="T183" s="165" t="str">
        <f t="shared" si="365"/>
        <v/>
      </c>
      <c r="U183" s="147" t="str">
        <f t="array" ref="U183">IF(ISBLANK($R183), IF($S183,VLOOKUP($B183+1,'RFR Data - preExcl'!$BF$2:$BG1679,2,FALSE),IF($T183,INDEX('RFR Data - preExcl'!$BF$2:$BG1679,MATCH($B183,'RFR Data - preExcl'!$BF$2:$BF1679,0)+1,2),VLOOKUP($B183,'RFR Data - preExcl'!$BF$2:$BG1679,2,FALSE))),IFERROR(0/0,""))</f>
        <v/>
      </c>
      <c r="V183" s="212" t="str">
        <f t="shared" si="5"/>
        <v>RUN-COMB_2022-04-07_RFR-012</v>
      </c>
      <c r="W183" s="51"/>
      <c r="X183" s="51"/>
      <c r="Y183" s="147" t="str">
        <f t="shared" ref="Y183:Z183" si="366">IF(_xlfn.ISFORMULA(S183),IFERROR(0/0,""),TRUE)</f>
        <v/>
      </c>
      <c r="Z183" s="147" t="str">
        <f t="shared" si="366"/>
        <v/>
      </c>
    </row>
    <row r="184">
      <c r="A184" s="6" t="str">
        <f>IFERROR(__xludf.DUMMYFUNCTION("""COMPUTED_VALUE"""),"MA171")</f>
        <v>MA171</v>
      </c>
      <c r="B184" s="206">
        <f>IFERROR(__xludf.DUMMYFUNCTION("""COMPUTED_VALUE"""),44658.0)</f>
        <v>44658</v>
      </c>
      <c r="C184" s="207">
        <f>IFERROR(__xludf.DUMMYFUNCTION("""COMPUTED_VALUE"""),0.321724537037037)</f>
        <v>0.321724537</v>
      </c>
      <c r="D184" s="50"/>
      <c r="E184" s="58"/>
      <c r="F184" s="58"/>
      <c r="G184" s="58" t="str">
        <f>IFERROR(__xludf.DUMMYFUNCTION("""COMPUTED_VALUE"""),"Negative")</f>
        <v>Negative</v>
      </c>
      <c r="H184" s="206" t="str">
        <f>IFERROR(__xludf.DUMMYFUNCTION("""COMPUTED_VALUE"""),"Negative")</f>
        <v>Negative</v>
      </c>
      <c r="I184" s="207">
        <f>IFERROR(__xludf.DUMMYFUNCTION("""COMPUTED_VALUE"""),44658.0)</f>
        <v>44658</v>
      </c>
      <c r="J184" s="208">
        <f>IFERROR(__xludf.DUMMYFUNCTION("""COMPUTED_VALUE"""),0.36645833333333333)</f>
        <v>0.3664583333</v>
      </c>
      <c r="K184" s="50"/>
      <c r="L184" s="6"/>
      <c r="M184" s="55"/>
      <c r="N184" s="55">
        <f>IFERROR(__xludf.DUMMYFUNCTION("""COMPUTED_VALUE"""),1.0)</f>
        <v>1</v>
      </c>
      <c r="O184" s="55" t="str">
        <f t="shared" si="3"/>
        <v/>
      </c>
      <c r="P184" s="209"/>
      <c r="Q184" s="75" t="b">
        <f>VLOOKUP($B184,'Run Reconcile'!B$2:P1679,15,FALSE)</f>
        <v>1</v>
      </c>
      <c r="R184" s="211" t="str">
        <f t="array" ref="R184">IF($Q184, INDEX('Run Reconcile'!A$2:A1679,MATCH(B184,'Run Reconcile'!B$2:B1679,0),1),IFERROR(0/0,""))</f>
        <v>RUN-COMB_2022-04-07_RFR-012</v>
      </c>
      <c r="S184" s="165" t="str">
        <f t="shared" ref="S184:T184" si="367">IF(COUNTIF(W$2:W1679, $A184) &gt; 0,TRUE,IFERROR(0/0,""))</f>
        <v/>
      </c>
      <c r="T184" s="165" t="str">
        <f t="shared" si="367"/>
        <v/>
      </c>
      <c r="U184" s="147" t="str">
        <f t="array" ref="U184">IF(ISBLANK($R184), IF($S184,VLOOKUP($B184+1,'RFR Data - preExcl'!$BF$2:$BG1679,2,FALSE),IF($T184,INDEX('RFR Data - preExcl'!$BF$2:$BG1679,MATCH($B184,'RFR Data - preExcl'!$BF$2:$BF1679,0)+1,2),VLOOKUP($B184,'RFR Data - preExcl'!$BF$2:$BG1679,2,FALSE))),IFERROR(0/0,""))</f>
        <v/>
      </c>
      <c r="V184" s="212" t="str">
        <f t="shared" si="5"/>
        <v>RUN-COMB_2022-04-07_RFR-012</v>
      </c>
      <c r="W184" s="51"/>
      <c r="X184" s="51"/>
      <c r="Y184" s="147" t="str">
        <f t="shared" ref="Y184:Z184" si="368">IF(_xlfn.ISFORMULA(S184),IFERROR(0/0,""),TRUE)</f>
        <v/>
      </c>
      <c r="Z184" s="147" t="str">
        <f t="shared" si="368"/>
        <v/>
      </c>
    </row>
    <row r="185">
      <c r="A185" s="6" t="str">
        <f>IFERROR(__xludf.DUMMYFUNCTION("""COMPUTED_VALUE"""),"MA136")</f>
        <v>MA136</v>
      </c>
      <c r="B185" s="206">
        <f>IFERROR(__xludf.DUMMYFUNCTION("""COMPUTED_VALUE"""),44658.0)</f>
        <v>44658</v>
      </c>
      <c r="C185" s="207">
        <f>IFERROR(__xludf.DUMMYFUNCTION("""COMPUTED_VALUE"""),0.32266203703703705)</f>
        <v>0.322662037</v>
      </c>
      <c r="D185" s="50"/>
      <c r="E185" s="58"/>
      <c r="F185" s="58"/>
      <c r="G185" s="58" t="str">
        <f>IFERROR(__xludf.DUMMYFUNCTION("""COMPUTED_VALUE"""),"Negative")</f>
        <v>Negative</v>
      </c>
      <c r="H185" s="206" t="str">
        <f>IFERROR(__xludf.DUMMYFUNCTION("""COMPUTED_VALUE"""),"Negative")</f>
        <v>Negative</v>
      </c>
      <c r="I185" s="207">
        <f>IFERROR(__xludf.DUMMYFUNCTION("""COMPUTED_VALUE"""),44658.0)</f>
        <v>44658</v>
      </c>
      <c r="J185" s="208">
        <f>IFERROR(__xludf.DUMMYFUNCTION("""COMPUTED_VALUE"""),0.3664699074074074)</f>
        <v>0.3664699074</v>
      </c>
      <c r="K185" s="50"/>
      <c r="L185" s="6"/>
      <c r="M185" s="55"/>
      <c r="N185" s="55">
        <f>IFERROR(__xludf.DUMMYFUNCTION("""COMPUTED_VALUE"""),1.0)</f>
        <v>1</v>
      </c>
      <c r="O185" s="55" t="str">
        <f t="shared" si="3"/>
        <v/>
      </c>
      <c r="P185" s="209"/>
      <c r="Q185" s="75" t="b">
        <f>VLOOKUP($B185,'Run Reconcile'!B$2:P1679,15,FALSE)</f>
        <v>1</v>
      </c>
      <c r="R185" s="211" t="str">
        <f t="array" ref="R185">IF($Q185, INDEX('Run Reconcile'!A$2:A1679,MATCH(B185,'Run Reconcile'!B$2:B1679,0),1),IFERROR(0/0,""))</f>
        <v>RUN-COMB_2022-04-07_RFR-012</v>
      </c>
      <c r="S185" s="165" t="str">
        <f t="shared" ref="S185:T185" si="369">IF(COUNTIF(W$2:W1679, $A185) &gt; 0,TRUE,IFERROR(0/0,""))</f>
        <v/>
      </c>
      <c r="T185" s="165" t="str">
        <f t="shared" si="369"/>
        <v/>
      </c>
      <c r="U185" s="147" t="str">
        <f t="array" ref="U185">IF(ISBLANK($R185), IF($S185,VLOOKUP($B185+1,'RFR Data - preExcl'!$BF$2:$BG1679,2,FALSE),IF($T185,INDEX('RFR Data - preExcl'!$BF$2:$BG1679,MATCH($B185,'RFR Data - preExcl'!$BF$2:$BF1679,0)+1,2),VLOOKUP($B185,'RFR Data - preExcl'!$BF$2:$BG1679,2,FALSE))),IFERROR(0/0,""))</f>
        <v/>
      </c>
      <c r="V185" s="212" t="str">
        <f t="shared" si="5"/>
        <v>RUN-COMB_2022-04-07_RFR-012</v>
      </c>
      <c r="W185" s="51"/>
      <c r="X185" s="51"/>
      <c r="Y185" s="147" t="str">
        <f t="shared" ref="Y185:Z185" si="370">IF(_xlfn.ISFORMULA(S185),IFERROR(0/0,""),TRUE)</f>
        <v/>
      </c>
      <c r="Z185" s="147" t="str">
        <f t="shared" si="370"/>
        <v/>
      </c>
    </row>
    <row r="186">
      <c r="A186" s="6" t="str">
        <f>IFERROR(__xludf.DUMMYFUNCTION("""COMPUTED_VALUE"""),"MA176")</f>
        <v>MA176</v>
      </c>
      <c r="B186" s="206">
        <f>IFERROR(__xludf.DUMMYFUNCTION("""COMPUTED_VALUE"""),44658.0)</f>
        <v>44658</v>
      </c>
      <c r="C186" s="207">
        <f>IFERROR(__xludf.DUMMYFUNCTION("""COMPUTED_VALUE"""),0.32350694444444444)</f>
        <v>0.3235069444</v>
      </c>
      <c r="D186" s="50"/>
      <c r="E186" s="58"/>
      <c r="F186" s="58"/>
      <c r="G186" s="58" t="str">
        <f>IFERROR(__xludf.DUMMYFUNCTION("""COMPUTED_VALUE"""),"Negative")</f>
        <v>Negative</v>
      </c>
      <c r="H186" s="206" t="str">
        <f>IFERROR(__xludf.DUMMYFUNCTION("""COMPUTED_VALUE"""),"Negative")</f>
        <v>Negative</v>
      </c>
      <c r="I186" s="207">
        <f>IFERROR(__xludf.DUMMYFUNCTION("""COMPUTED_VALUE"""),44658.0)</f>
        <v>44658</v>
      </c>
      <c r="J186" s="208">
        <f>IFERROR(__xludf.DUMMYFUNCTION("""COMPUTED_VALUE"""),0.36648148148148146)</f>
        <v>0.3664814815</v>
      </c>
      <c r="K186" s="50"/>
      <c r="L186" s="6"/>
      <c r="M186" s="55"/>
      <c r="N186" s="55">
        <f>IFERROR(__xludf.DUMMYFUNCTION("""COMPUTED_VALUE"""),1.0)</f>
        <v>1</v>
      </c>
      <c r="O186" s="55" t="str">
        <f t="shared" si="3"/>
        <v/>
      </c>
      <c r="P186" s="209"/>
      <c r="Q186" s="75" t="b">
        <f>VLOOKUP($B186,'Run Reconcile'!B$2:P1679,15,FALSE)</f>
        <v>1</v>
      </c>
      <c r="R186" s="211" t="str">
        <f t="array" ref="R186">IF($Q186, INDEX('Run Reconcile'!A$2:A1679,MATCH(B186,'Run Reconcile'!B$2:B1679,0),1),IFERROR(0/0,""))</f>
        <v>RUN-COMB_2022-04-07_RFR-012</v>
      </c>
      <c r="S186" s="165" t="str">
        <f t="shared" ref="S186:T186" si="371">IF(COUNTIF(W$2:W1679, $A186) &gt; 0,TRUE,IFERROR(0/0,""))</f>
        <v/>
      </c>
      <c r="T186" s="165" t="str">
        <f t="shared" si="371"/>
        <v/>
      </c>
      <c r="U186" s="147" t="str">
        <f t="array" ref="U186">IF(ISBLANK($R186), IF($S186,VLOOKUP($B186+1,'RFR Data - preExcl'!$BF$2:$BG1679,2,FALSE),IF($T186,INDEX('RFR Data - preExcl'!$BF$2:$BG1679,MATCH($B186,'RFR Data - preExcl'!$BF$2:$BF1679,0)+1,2),VLOOKUP($B186,'RFR Data - preExcl'!$BF$2:$BG1679,2,FALSE))),IFERROR(0/0,""))</f>
        <v/>
      </c>
      <c r="V186" s="212" t="str">
        <f t="shared" si="5"/>
        <v>RUN-COMB_2022-04-07_RFR-012</v>
      </c>
      <c r="W186" s="51"/>
      <c r="X186" s="51"/>
      <c r="Y186" s="147" t="str">
        <f t="shared" ref="Y186:Z186" si="372">IF(_xlfn.ISFORMULA(S186),IFERROR(0/0,""),TRUE)</f>
        <v/>
      </c>
      <c r="Z186" s="147" t="str">
        <f t="shared" si="372"/>
        <v/>
      </c>
    </row>
    <row r="187">
      <c r="A187" s="6" t="str">
        <f>IFERROR(__xludf.DUMMYFUNCTION("""COMPUTED_VALUE"""),"FM4006")</f>
        <v>FM4006</v>
      </c>
      <c r="B187" s="206">
        <f>IFERROR(__xludf.DUMMYFUNCTION("""COMPUTED_VALUE"""),44658.0)</f>
        <v>44658</v>
      </c>
      <c r="C187" s="207">
        <f>IFERROR(__xludf.DUMMYFUNCTION("""COMPUTED_VALUE"""),0.32407407407407407)</f>
        <v>0.3240740741</v>
      </c>
      <c r="D187" s="50"/>
      <c r="E187" s="58"/>
      <c r="F187" s="58"/>
      <c r="G187" s="58" t="str">
        <f>IFERROR(__xludf.DUMMYFUNCTION("""COMPUTED_VALUE"""),"Negative")</f>
        <v>Negative</v>
      </c>
      <c r="H187" s="206" t="str">
        <f>IFERROR(__xludf.DUMMYFUNCTION("""COMPUTED_VALUE"""),"Negative")</f>
        <v>Negative</v>
      </c>
      <c r="I187" s="207">
        <f>IFERROR(__xludf.DUMMYFUNCTION("""COMPUTED_VALUE"""),44658.0)</f>
        <v>44658</v>
      </c>
      <c r="J187" s="208">
        <f>IFERROR(__xludf.DUMMYFUNCTION("""COMPUTED_VALUE"""),0.36649305555555556)</f>
        <v>0.3664930556</v>
      </c>
      <c r="K187" s="50"/>
      <c r="L187" s="6"/>
      <c r="M187" s="55"/>
      <c r="N187" s="55">
        <f>IFERROR(__xludf.DUMMYFUNCTION("""COMPUTED_VALUE"""),1.0)</f>
        <v>1</v>
      </c>
      <c r="O187" s="55" t="str">
        <f t="shared" si="3"/>
        <v/>
      </c>
      <c r="P187" s="209"/>
      <c r="Q187" s="75" t="b">
        <f>VLOOKUP($B187,'Run Reconcile'!B$2:P1679,15,FALSE)</f>
        <v>1</v>
      </c>
      <c r="R187" s="211" t="str">
        <f t="array" ref="R187">IF($Q187, INDEX('Run Reconcile'!A$2:A1679,MATCH(B187,'Run Reconcile'!B$2:B1679,0),1),IFERROR(0/0,""))</f>
        <v>RUN-COMB_2022-04-07_RFR-012</v>
      </c>
      <c r="S187" s="165" t="str">
        <f t="shared" ref="S187:T187" si="373">IF(COUNTIF(W$2:W1679, $A187) &gt; 0,TRUE,IFERROR(0/0,""))</f>
        <v/>
      </c>
      <c r="T187" s="165" t="str">
        <f t="shared" si="373"/>
        <v/>
      </c>
      <c r="U187" s="147" t="str">
        <f t="array" ref="U187">IF(ISBLANK($R187), IF($S187,VLOOKUP($B187+1,'RFR Data - preExcl'!$BF$2:$BG1679,2,FALSE),IF($T187,INDEX('RFR Data - preExcl'!$BF$2:$BG1679,MATCH($B187,'RFR Data - preExcl'!$BF$2:$BF1679,0)+1,2),VLOOKUP($B187,'RFR Data - preExcl'!$BF$2:$BG1679,2,FALSE))),IFERROR(0/0,""))</f>
        <v/>
      </c>
      <c r="V187" s="212" t="str">
        <f t="shared" si="5"/>
        <v>RUN-COMB_2022-04-07_RFR-012</v>
      </c>
      <c r="W187" s="51"/>
      <c r="X187" s="51"/>
      <c r="Y187" s="147" t="str">
        <f t="shared" ref="Y187:Z187" si="374">IF(_xlfn.ISFORMULA(S187),IFERROR(0/0,""),TRUE)</f>
        <v/>
      </c>
      <c r="Z187" s="147" t="str">
        <f t="shared" si="374"/>
        <v/>
      </c>
    </row>
    <row r="188">
      <c r="A188" s="6" t="str">
        <f>IFERROR(__xludf.DUMMYFUNCTION("""COMPUTED_VALUE"""),"MA125")</f>
        <v>MA125</v>
      </c>
      <c r="B188" s="206">
        <f>IFERROR(__xludf.DUMMYFUNCTION("""COMPUTED_VALUE"""),44658.0)</f>
        <v>44658</v>
      </c>
      <c r="C188" s="207">
        <f>IFERROR(__xludf.DUMMYFUNCTION("""COMPUTED_VALUE"""),0.3248611111111111)</f>
        <v>0.3248611111</v>
      </c>
      <c r="D188" s="50"/>
      <c r="E188" s="58"/>
      <c r="F188" s="58"/>
      <c r="G188" s="58" t="str">
        <f>IFERROR(__xludf.DUMMYFUNCTION("""COMPUTED_VALUE"""),"Negative")</f>
        <v>Negative</v>
      </c>
      <c r="H188" s="206" t="str">
        <f>IFERROR(__xludf.DUMMYFUNCTION("""COMPUTED_VALUE"""),"Negative")</f>
        <v>Negative</v>
      </c>
      <c r="I188" s="207">
        <f>IFERROR(__xludf.DUMMYFUNCTION("""COMPUTED_VALUE"""),44658.0)</f>
        <v>44658</v>
      </c>
      <c r="J188" s="208">
        <f>IFERROR(__xludf.DUMMYFUNCTION("""COMPUTED_VALUE"""),0.36650462962962965)</f>
        <v>0.3665046296</v>
      </c>
      <c r="K188" s="50"/>
      <c r="L188" s="6"/>
      <c r="M188" s="55"/>
      <c r="N188" s="55">
        <f>IFERROR(__xludf.DUMMYFUNCTION("""COMPUTED_VALUE"""),1.0)</f>
        <v>1</v>
      </c>
      <c r="O188" s="55" t="str">
        <f t="shared" si="3"/>
        <v/>
      </c>
      <c r="P188" s="209"/>
      <c r="Q188" s="75" t="b">
        <f>VLOOKUP($B188,'Run Reconcile'!B$2:P1679,15,FALSE)</f>
        <v>1</v>
      </c>
      <c r="R188" s="211" t="str">
        <f t="array" ref="R188">IF($Q188, INDEX('Run Reconcile'!A$2:A1679,MATCH(B188,'Run Reconcile'!B$2:B1679,0),1),IFERROR(0/0,""))</f>
        <v>RUN-COMB_2022-04-07_RFR-012</v>
      </c>
      <c r="S188" s="165" t="str">
        <f t="shared" ref="S188:T188" si="375">IF(COUNTIF(W$2:W1679, $A188) &gt; 0,TRUE,IFERROR(0/0,""))</f>
        <v/>
      </c>
      <c r="T188" s="165" t="str">
        <f t="shared" si="375"/>
        <v/>
      </c>
      <c r="U188" s="147" t="str">
        <f t="array" ref="U188">IF(ISBLANK($R188), IF($S188,VLOOKUP($B188+1,'RFR Data - preExcl'!$BF$2:$BG1679,2,FALSE),IF($T188,INDEX('RFR Data - preExcl'!$BF$2:$BG1679,MATCH($B188,'RFR Data - preExcl'!$BF$2:$BF1679,0)+1,2),VLOOKUP($B188,'RFR Data - preExcl'!$BF$2:$BG1679,2,FALSE))),IFERROR(0/0,""))</f>
        <v/>
      </c>
      <c r="V188" s="212" t="str">
        <f t="shared" si="5"/>
        <v>RUN-COMB_2022-04-07_RFR-012</v>
      </c>
      <c r="W188" s="51"/>
      <c r="X188" s="51"/>
      <c r="Y188" s="147" t="str">
        <f t="shared" ref="Y188:Z188" si="376">IF(_xlfn.ISFORMULA(S188),IFERROR(0/0,""),TRUE)</f>
        <v/>
      </c>
      <c r="Z188" s="147" t="str">
        <f t="shared" si="376"/>
        <v/>
      </c>
    </row>
    <row r="189">
      <c r="A189" s="6" t="str">
        <f>IFERROR(__xludf.DUMMYFUNCTION("""COMPUTED_VALUE"""),"FM3923")</f>
        <v>FM3923</v>
      </c>
      <c r="B189" s="206">
        <f>IFERROR(__xludf.DUMMYFUNCTION("""COMPUTED_VALUE"""),44658.0)</f>
        <v>44658</v>
      </c>
      <c r="C189" s="207">
        <f>IFERROR(__xludf.DUMMYFUNCTION("""COMPUTED_VALUE"""),0.32524305555555555)</f>
        <v>0.3252430556</v>
      </c>
      <c r="D189" s="50"/>
      <c r="E189" s="58"/>
      <c r="F189" s="58"/>
      <c r="G189" s="58" t="str">
        <f>IFERROR(__xludf.DUMMYFUNCTION("""COMPUTED_VALUE"""),"Negative")</f>
        <v>Negative</v>
      </c>
      <c r="H189" s="206" t="str">
        <f>IFERROR(__xludf.DUMMYFUNCTION("""COMPUTED_VALUE"""),"Negative")</f>
        <v>Negative</v>
      </c>
      <c r="I189" s="207">
        <f>IFERROR(__xludf.DUMMYFUNCTION("""COMPUTED_VALUE"""),44658.0)</f>
        <v>44658</v>
      </c>
      <c r="J189" s="208">
        <f>IFERROR(__xludf.DUMMYFUNCTION("""COMPUTED_VALUE"""),0.3665162037037037)</f>
        <v>0.3665162037</v>
      </c>
      <c r="K189" s="50"/>
      <c r="L189" s="6"/>
      <c r="M189" s="55"/>
      <c r="N189" s="55">
        <f>IFERROR(__xludf.DUMMYFUNCTION("""COMPUTED_VALUE"""),1.0)</f>
        <v>1</v>
      </c>
      <c r="O189" s="55" t="str">
        <f t="shared" si="3"/>
        <v/>
      </c>
      <c r="P189" s="209"/>
      <c r="Q189" s="75" t="b">
        <f>VLOOKUP($B189,'Run Reconcile'!B$2:P1679,15,FALSE)</f>
        <v>1</v>
      </c>
      <c r="R189" s="211" t="str">
        <f t="array" ref="R189">IF($Q189, INDEX('Run Reconcile'!A$2:A1679,MATCH(B189,'Run Reconcile'!B$2:B1679,0),1),IFERROR(0/0,""))</f>
        <v>RUN-COMB_2022-04-07_RFR-012</v>
      </c>
      <c r="S189" s="165" t="str">
        <f t="shared" ref="S189:T189" si="377">IF(COUNTIF(W$2:W1679, $A189) &gt; 0,TRUE,IFERROR(0/0,""))</f>
        <v/>
      </c>
      <c r="T189" s="165" t="str">
        <f t="shared" si="377"/>
        <v/>
      </c>
      <c r="U189" s="147" t="str">
        <f t="array" ref="U189">IF(ISBLANK($R189), IF($S189,VLOOKUP($B189+1,'RFR Data - preExcl'!$BF$2:$BG1679,2,FALSE),IF($T189,INDEX('RFR Data - preExcl'!$BF$2:$BG1679,MATCH($B189,'RFR Data - preExcl'!$BF$2:$BF1679,0)+1,2),VLOOKUP($B189,'RFR Data - preExcl'!$BF$2:$BG1679,2,FALSE))),IFERROR(0/0,""))</f>
        <v/>
      </c>
      <c r="V189" s="212" t="str">
        <f t="shared" si="5"/>
        <v>RUN-COMB_2022-04-07_RFR-012</v>
      </c>
      <c r="W189" s="51"/>
      <c r="X189" s="51"/>
      <c r="Y189" s="147" t="str">
        <f t="shared" ref="Y189:Z189" si="378">IF(_xlfn.ISFORMULA(S189),IFERROR(0/0,""),TRUE)</f>
        <v/>
      </c>
      <c r="Z189" s="147" t="str">
        <f t="shared" si="378"/>
        <v/>
      </c>
    </row>
    <row r="190">
      <c r="A190" s="6" t="str">
        <f>IFERROR(__xludf.DUMMYFUNCTION("""COMPUTED_VALUE"""),"FM4008")</f>
        <v>FM4008</v>
      </c>
      <c r="B190" s="206">
        <f>IFERROR(__xludf.DUMMYFUNCTION("""COMPUTED_VALUE"""),44658.0)</f>
        <v>44658</v>
      </c>
      <c r="C190" s="207">
        <f>IFERROR(__xludf.DUMMYFUNCTION("""COMPUTED_VALUE"""),0.32608796296296294)</f>
        <v>0.326087963</v>
      </c>
      <c r="D190" s="50"/>
      <c r="E190" s="58"/>
      <c r="F190" s="58"/>
      <c r="G190" s="58" t="str">
        <f>IFERROR(__xludf.DUMMYFUNCTION("""COMPUTED_VALUE"""),"Negative")</f>
        <v>Negative</v>
      </c>
      <c r="H190" s="206" t="str">
        <f>IFERROR(__xludf.DUMMYFUNCTION("""COMPUTED_VALUE"""),"Negative")</f>
        <v>Negative</v>
      </c>
      <c r="I190" s="207">
        <f>IFERROR(__xludf.DUMMYFUNCTION("""COMPUTED_VALUE"""),44658.0)</f>
        <v>44658</v>
      </c>
      <c r="J190" s="208">
        <f>IFERROR(__xludf.DUMMYFUNCTION("""COMPUTED_VALUE"""),0.3665277777777778)</f>
        <v>0.3665277778</v>
      </c>
      <c r="K190" s="50"/>
      <c r="L190" s="6"/>
      <c r="M190" s="55"/>
      <c r="N190" s="55">
        <f>IFERROR(__xludf.DUMMYFUNCTION("""COMPUTED_VALUE"""),1.0)</f>
        <v>1</v>
      </c>
      <c r="O190" s="55" t="str">
        <f t="shared" si="3"/>
        <v/>
      </c>
      <c r="P190" s="209"/>
      <c r="Q190" s="75" t="b">
        <f>VLOOKUP($B190,'Run Reconcile'!B$2:P1679,15,FALSE)</f>
        <v>1</v>
      </c>
      <c r="R190" s="211" t="str">
        <f t="array" ref="R190">IF($Q190, INDEX('Run Reconcile'!A$2:A1679,MATCH(B190,'Run Reconcile'!B$2:B1679,0),1),IFERROR(0/0,""))</f>
        <v>RUN-COMB_2022-04-07_RFR-012</v>
      </c>
      <c r="S190" s="165" t="str">
        <f t="shared" ref="S190:T190" si="379">IF(COUNTIF(W$2:W1679, $A190) &gt; 0,TRUE,IFERROR(0/0,""))</f>
        <v/>
      </c>
      <c r="T190" s="165" t="str">
        <f t="shared" si="379"/>
        <v/>
      </c>
      <c r="U190" s="147" t="str">
        <f t="array" ref="U190">IF(ISBLANK($R190), IF($S190,VLOOKUP($B190+1,'RFR Data - preExcl'!$BF$2:$BG1679,2,FALSE),IF($T190,INDEX('RFR Data - preExcl'!$BF$2:$BG1679,MATCH($B190,'RFR Data - preExcl'!$BF$2:$BF1679,0)+1,2),VLOOKUP($B190,'RFR Data - preExcl'!$BF$2:$BG1679,2,FALSE))),IFERROR(0/0,""))</f>
        <v/>
      </c>
      <c r="V190" s="212" t="str">
        <f t="shared" si="5"/>
        <v>RUN-COMB_2022-04-07_RFR-012</v>
      </c>
      <c r="W190" s="51"/>
      <c r="X190" s="51"/>
      <c r="Y190" s="147" t="str">
        <f t="shared" ref="Y190:Z190" si="380">IF(_xlfn.ISFORMULA(S190),IFERROR(0/0,""),TRUE)</f>
        <v/>
      </c>
      <c r="Z190" s="147" t="str">
        <f t="shared" si="380"/>
        <v/>
      </c>
    </row>
    <row r="191">
      <c r="A191" s="6" t="str">
        <f>IFERROR(__xludf.DUMMYFUNCTION("""COMPUTED_VALUE"""),"FM3908")</f>
        <v>FM3908</v>
      </c>
      <c r="B191" s="206">
        <f>IFERROR(__xludf.DUMMYFUNCTION("""COMPUTED_VALUE"""),44658.0)</f>
        <v>44658</v>
      </c>
      <c r="C191" s="207">
        <f>IFERROR(__xludf.DUMMYFUNCTION("""COMPUTED_VALUE"""),0.3272685185185185)</f>
        <v>0.3272685185</v>
      </c>
      <c r="D191" s="50"/>
      <c r="E191" s="58"/>
      <c r="F191" s="58"/>
      <c r="G191" s="58" t="str">
        <f>IFERROR(__xludf.DUMMYFUNCTION("""COMPUTED_VALUE"""),"Negative")</f>
        <v>Negative</v>
      </c>
      <c r="H191" s="206" t="str">
        <f>IFERROR(__xludf.DUMMYFUNCTION("""COMPUTED_VALUE"""),"Negative")</f>
        <v>Negative</v>
      </c>
      <c r="I191" s="207">
        <f>IFERROR(__xludf.DUMMYFUNCTION("""COMPUTED_VALUE"""),44658.0)</f>
        <v>44658</v>
      </c>
      <c r="J191" s="208">
        <f>IFERROR(__xludf.DUMMYFUNCTION("""COMPUTED_VALUE"""),0.3665277777777778)</f>
        <v>0.3665277778</v>
      </c>
      <c r="K191" s="50"/>
      <c r="L191" s="6"/>
      <c r="M191" s="55"/>
      <c r="N191" s="55">
        <f>IFERROR(__xludf.DUMMYFUNCTION("""COMPUTED_VALUE"""),1.0)</f>
        <v>1</v>
      </c>
      <c r="O191" s="55" t="str">
        <f t="shared" si="3"/>
        <v/>
      </c>
      <c r="P191" s="209"/>
      <c r="Q191" s="75" t="b">
        <f>VLOOKUP($B191,'Run Reconcile'!B$2:P1679,15,FALSE)</f>
        <v>1</v>
      </c>
      <c r="R191" s="211" t="str">
        <f t="array" ref="R191">IF($Q191, INDEX('Run Reconcile'!A$2:A1679,MATCH(B191,'Run Reconcile'!B$2:B1679,0),1),IFERROR(0/0,""))</f>
        <v>RUN-COMB_2022-04-07_RFR-012</v>
      </c>
      <c r="S191" s="165" t="str">
        <f t="shared" ref="S191:T191" si="381">IF(COUNTIF(W$2:W1679, $A191) &gt; 0,TRUE,IFERROR(0/0,""))</f>
        <v/>
      </c>
      <c r="T191" s="165" t="str">
        <f t="shared" si="381"/>
        <v/>
      </c>
      <c r="U191" s="147" t="str">
        <f t="array" ref="U191">IF(ISBLANK($R191), IF($S191,VLOOKUP($B191+1,'RFR Data - preExcl'!$BF$2:$BG1679,2,FALSE),IF($T191,INDEX('RFR Data - preExcl'!$BF$2:$BG1679,MATCH($B191,'RFR Data - preExcl'!$BF$2:$BF1679,0)+1,2),VLOOKUP($B191,'RFR Data - preExcl'!$BF$2:$BG1679,2,FALSE))),IFERROR(0/0,""))</f>
        <v/>
      </c>
      <c r="V191" s="212" t="str">
        <f t="shared" si="5"/>
        <v>RUN-COMB_2022-04-07_RFR-012</v>
      </c>
      <c r="W191" s="51"/>
      <c r="X191" s="51"/>
      <c r="Y191" s="147" t="str">
        <f t="shared" ref="Y191:Z191" si="382">IF(_xlfn.ISFORMULA(S191),IFERROR(0/0,""),TRUE)</f>
        <v/>
      </c>
      <c r="Z191" s="147" t="str">
        <f t="shared" si="382"/>
        <v/>
      </c>
    </row>
    <row r="192">
      <c r="A192" s="6" t="str">
        <f>IFERROR(__xludf.DUMMYFUNCTION("""COMPUTED_VALUE"""),"FM3933")</f>
        <v>FM3933</v>
      </c>
      <c r="B192" s="206">
        <f>IFERROR(__xludf.DUMMYFUNCTION("""COMPUTED_VALUE"""),44658.0)</f>
        <v>44658</v>
      </c>
      <c r="C192" s="207">
        <f>IFERROR(__xludf.DUMMYFUNCTION("""COMPUTED_VALUE"""),0.32763888888888887)</f>
        <v>0.3276388889</v>
      </c>
      <c r="D192" s="50"/>
      <c r="E192" s="58"/>
      <c r="F192" s="58"/>
      <c r="G192" s="58" t="str">
        <f>IFERROR(__xludf.DUMMYFUNCTION("""COMPUTED_VALUE"""),"Negative")</f>
        <v>Negative</v>
      </c>
      <c r="H192" s="206" t="str">
        <f>IFERROR(__xludf.DUMMYFUNCTION("""COMPUTED_VALUE"""),"Negative")</f>
        <v>Negative</v>
      </c>
      <c r="I192" s="207">
        <f>IFERROR(__xludf.DUMMYFUNCTION("""COMPUTED_VALUE"""),44658.0)</f>
        <v>44658</v>
      </c>
      <c r="J192" s="208">
        <f>IFERROR(__xludf.DUMMYFUNCTION("""COMPUTED_VALUE"""),0.3665393518518518)</f>
        <v>0.3665393519</v>
      </c>
      <c r="K192" s="50"/>
      <c r="L192" s="6"/>
      <c r="M192" s="55"/>
      <c r="N192" s="55">
        <f>IFERROR(__xludf.DUMMYFUNCTION("""COMPUTED_VALUE"""),1.0)</f>
        <v>1</v>
      </c>
      <c r="O192" s="55" t="str">
        <f t="shared" si="3"/>
        <v/>
      </c>
      <c r="P192" s="209"/>
      <c r="Q192" s="75" t="b">
        <f>VLOOKUP($B192,'Run Reconcile'!B$2:P1679,15,FALSE)</f>
        <v>1</v>
      </c>
      <c r="R192" s="211" t="str">
        <f t="array" ref="R192">IF($Q192, INDEX('Run Reconcile'!A$2:A1679,MATCH(B192,'Run Reconcile'!B$2:B1679,0),1),IFERROR(0/0,""))</f>
        <v>RUN-COMB_2022-04-07_RFR-012</v>
      </c>
      <c r="S192" s="165" t="str">
        <f t="shared" ref="S192:T192" si="383">IF(COUNTIF(W$2:W1679, $A192) &gt; 0,TRUE,IFERROR(0/0,""))</f>
        <v/>
      </c>
      <c r="T192" s="165" t="str">
        <f t="shared" si="383"/>
        <v/>
      </c>
      <c r="U192" s="147" t="str">
        <f t="array" ref="U192">IF(ISBLANK($R192), IF($S192,VLOOKUP($B192+1,'RFR Data - preExcl'!$BF$2:$BG1679,2,FALSE),IF($T192,INDEX('RFR Data - preExcl'!$BF$2:$BG1679,MATCH($B192,'RFR Data - preExcl'!$BF$2:$BF1679,0)+1,2),VLOOKUP($B192,'RFR Data - preExcl'!$BF$2:$BG1679,2,FALSE))),IFERROR(0/0,""))</f>
        <v/>
      </c>
      <c r="V192" s="212" t="str">
        <f t="shared" si="5"/>
        <v>RUN-COMB_2022-04-07_RFR-012</v>
      </c>
      <c r="W192" s="51"/>
      <c r="X192" s="51"/>
      <c r="Y192" s="147" t="str">
        <f t="shared" ref="Y192:Z192" si="384">IF(_xlfn.ISFORMULA(S192),IFERROR(0/0,""),TRUE)</f>
        <v/>
      </c>
      <c r="Z192" s="147" t="str">
        <f t="shared" si="384"/>
        <v/>
      </c>
    </row>
    <row r="193">
      <c r="A193" s="6" t="str">
        <f>IFERROR(__xludf.DUMMYFUNCTION("""COMPUTED_VALUE"""),"FM3931")</f>
        <v>FM3931</v>
      </c>
      <c r="B193" s="206">
        <f>IFERROR(__xludf.DUMMYFUNCTION("""COMPUTED_VALUE"""),44658.0)</f>
        <v>44658</v>
      </c>
      <c r="C193" s="207">
        <f>IFERROR(__xludf.DUMMYFUNCTION("""COMPUTED_VALUE"""),0.32797453703703705)</f>
        <v>0.327974537</v>
      </c>
      <c r="D193" s="50"/>
      <c r="E193" s="58"/>
      <c r="F193" s="58"/>
      <c r="G193" s="58" t="str">
        <f>IFERROR(__xludf.DUMMYFUNCTION("""COMPUTED_VALUE"""),"Negative")</f>
        <v>Negative</v>
      </c>
      <c r="H193" s="206" t="str">
        <f>IFERROR(__xludf.DUMMYFUNCTION("""COMPUTED_VALUE"""),"Negative")</f>
        <v>Negative</v>
      </c>
      <c r="I193" s="207">
        <f>IFERROR(__xludf.DUMMYFUNCTION("""COMPUTED_VALUE"""),44658.0)</f>
        <v>44658</v>
      </c>
      <c r="J193" s="208">
        <f>IFERROR(__xludf.DUMMYFUNCTION("""COMPUTED_VALUE"""),0.3665393518518518)</f>
        <v>0.3665393519</v>
      </c>
      <c r="K193" s="50"/>
      <c r="L193" s="6"/>
      <c r="M193" s="55"/>
      <c r="N193" s="55">
        <f>IFERROR(__xludf.DUMMYFUNCTION("""COMPUTED_VALUE"""),1.0)</f>
        <v>1</v>
      </c>
      <c r="O193" s="55" t="str">
        <f t="shared" si="3"/>
        <v/>
      </c>
      <c r="P193" s="209"/>
      <c r="Q193" s="75" t="b">
        <f>VLOOKUP($B193,'Run Reconcile'!B$2:P1679,15,FALSE)</f>
        <v>1</v>
      </c>
      <c r="R193" s="211" t="str">
        <f t="array" ref="R193">IF($Q193, INDEX('Run Reconcile'!A$2:A1679,MATCH(B193,'Run Reconcile'!B$2:B1679,0),1),IFERROR(0/0,""))</f>
        <v>RUN-COMB_2022-04-07_RFR-012</v>
      </c>
      <c r="S193" s="165" t="str">
        <f t="shared" ref="S193:T193" si="385">IF(COUNTIF(W$2:W1679, $A193) &gt; 0,TRUE,IFERROR(0/0,""))</f>
        <v/>
      </c>
      <c r="T193" s="165" t="str">
        <f t="shared" si="385"/>
        <v/>
      </c>
      <c r="U193" s="147" t="str">
        <f t="array" ref="U193">IF(ISBLANK($R193), IF($S193,VLOOKUP($B193+1,'RFR Data - preExcl'!$BF$2:$BG1679,2,FALSE),IF($T193,INDEX('RFR Data - preExcl'!$BF$2:$BG1679,MATCH($B193,'RFR Data - preExcl'!$BF$2:$BF1679,0)+1,2),VLOOKUP($B193,'RFR Data - preExcl'!$BF$2:$BG1679,2,FALSE))),IFERROR(0/0,""))</f>
        <v/>
      </c>
      <c r="V193" s="212" t="str">
        <f t="shared" si="5"/>
        <v>RUN-COMB_2022-04-07_RFR-012</v>
      </c>
      <c r="W193" s="51"/>
      <c r="X193" s="51"/>
      <c r="Y193" s="147" t="str">
        <f t="shared" ref="Y193:Z193" si="386">IF(_xlfn.ISFORMULA(S193),IFERROR(0/0,""),TRUE)</f>
        <v/>
      </c>
      <c r="Z193" s="147" t="str">
        <f t="shared" si="386"/>
        <v/>
      </c>
    </row>
    <row r="194">
      <c r="A194" s="6" t="str">
        <f>IFERROR(__xludf.DUMMYFUNCTION("""COMPUTED_VALUE"""),"FM3918")</f>
        <v>FM3918</v>
      </c>
      <c r="B194" s="206">
        <f>IFERROR(__xludf.DUMMYFUNCTION("""COMPUTED_VALUE"""),44658.0)</f>
        <v>44658</v>
      </c>
      <c r="C194" s="207">
        <f>IFERROR(__xludf.DUMMYFUNCTION("""COMPUTED_VALUE"""),0.3300462962962963)</f>
        <v>0.3300462963</v>
      </c>
      <c r="D194" s="50"/>
      <c r="E194" s="58"/>
      <c r="F194" s="58"/>
      <c r="G194" s="58" t="str">
        <f>IFERROR(__xludf.DUMMYFUNCTION("""COMPUTED_VALUE"""),"Negative")</f>
        <v>Negative</v>
      </c>
      <c r="H194" s="206" t="str">
        <f>IFERROR(__xludf.DUMMYFUNCTION("""COMPUTED_VALUE"""),"Negative")</f>
        <v>Negative</v>
      </c>
      <c r="I194" s="207">
        <f>IFERROR(__xludf.DUMMYFUNCTION("""COMPUTED_VALUE"""),44658.0)</f>
        <v>44658</v>
      </c>
      <c r="J194" s="208">
        <f>IFERROR(__xludf.DUMMYFUNCTION("""COMPUTED_VALUE"""),0.3665509259259259)</f>
        <v>0.3665509259</v>
      </c>
      <c r="K194" s="50"/>
      <c r="L194" s="6"/>
      <c r="M194" s="55"/>
      <c r="N194" s="55">
        <f>IFERROR(__xludf.DUMMYFUNCTION("""COMPUTED_VALUE"""),1.0)</f>
        <v>1</v>
      </c>
      <c r="O194" s="55" t="str">
        <f t="shared" si="3"/>
        <v/>
      </c>
      <c r="P194" s="209"/>
      <c r="Q194" s="75" t="b">
        <f>VLOOKUP($B194,'Run Reconcile'!B$2:P1679,15,FALSE)</f>
        <v>1</v>
      </c>
      <c r="R194" s="211" t="str">
        <f t="array" ref="R194">IF($Q194, INDEX('Run Reconcile'!A$2:A1679,MATCH(B194,'Run Reconcile'!B$2:B1679,0),1),IFERROR(0/0,""))</f>
        <v>RUN-COMB_2022-04-07_RFR-012</v>
      </c>
      <c r="S194" s="165" t="str">
        <f t="shared" ref="S194:T194" si="387">IF(COUNTIF(W$2:W1679, $A194) &gt; 0,TRUE,IFERROR(0/0,""))</f>
        <v/>
      </c>
      <c r="T194" s="165" t="str">
        <f t="shared" si="387"/>
        <v/>
      </c>
      <c r="U194" s="147" t="str">
        <f t="array" ref="U194">IF(ISBLANK($R194), IF($S194,VLOOKUP($B194+1,'RFR Data - preExcl'!$BF$2:$BG1679,2,FALSE),IF($T194,INDEX('RFR Data - preExcl'!$BF$2:$BG1679,MATCH($B194,'RFR Data - preExcl'!$BF$2:$BF1679,0)+1,2),VLOOKUP($B194,'RFR Data - preExcl'!$BF$2:$BG1679,2,FALSE))),IFERROR(0/0,""))</f>
        <v/>
      </c>
      <c r="V194" s="212" t="str">
        <f t="shared" si="5"/>
        <v>RUN-COMB_2022-04-07_RFR-012</v>
      </c>
      <c r="W194" s="51"/>
      <c r="X194" s="51"/>
      <c r="Y194" s="147" t="str">
        <f t="shared" ref="Y194:Z194" si="388">IF(_xlfn.ISFORMULA(S194),IFERROR(0/0,""),TRUE)</f>
        <v/>
      </c>
      <c r="Z194" s="147" t="str">
        <f t="shared" si="388"/>
        <v/>
      </c>
    </row>
    <row r="195">
      <c r="A195" s="6" t="str">
        <f>IFERROR(__xludf.DUMMYFUNCTION("""COMPUTED_VALUE"""),"FM4010")</f>
        <v>FM4010</v>
      </c>
      <c r="B195" s="206">
        <f>IFERROR(__xludf.DUMMYFUNCTION("""COMPUTED_VALUE"""),44658.0)</f>
        <v>44658</v>
      </c>
      <c r="C195" s="207">
        <f>IFERROR(__xludf.DUMMYFUNCTION("""COMPUTED_VALUE"""),0.3311574074074074)</f>
        <v>0.3311574074</v>
      </c>
      <c r="D195" s="50"/>
      <c r="E195" s="58"/>
      <c r="F195" s="58"/>
      <c r="G195" s="58" t="str">
        <f>IFERROR(__xludf.DUMMYFUNCTION("""COMPUTED_VALUE"""),"Negative")</f>
        <v>Negative</v>
      </c>
      <c r="H195" s="206" t="str">
        <f>IFERROR(__xludf.DUMMYFUNCTION("""COMPUTED_VALUE"""),"Negative")</f>
        <v>Negative</v>
      </c>
      <c r="I195" s="207">
        <f>IFERROR(__xludf.DUMMYFUNCTION("""COMPUTED_VALUE"""),44658.0)</f>
        <v>44658</v>
      </c>
      <c r="J195" s="208">
        <f>IFERROR(__xludf.DUMMYFUNCTION("""COMPUTED_VALUE"""),0.3665625)</f>
        <v>0.3665625</v>
      </c>
      <c r="K195" s="50"/>
      <c r="L195" s="6"/>
      <c r="M195" s="55"/>
      <c r="N195" s="55">
        <f>IFERROR(__xludf.DUMMYFUNCTION("""COMPUTED_VALUE"""),1.0)</f>
        <v>1</v>
      </c>
      <c r="O195" s="55" t="str">
        <f t="shared" si="3"/>
        <v/>
      </c>
      <c r="P195" s="209"/>
      <c r="Q195" s="75" t="b">
        <f>VLOOKUP($B195,'Run Reconcile'!B$2:P1679,15,FALSE)</f>
        <v>1</v>
      </c>
      <c r="R195" s="211" t="str">
        <f t="array" ref="R195">IF($Q195, INDEX('Run Reconcile'!A$2:A1679,MATCH(B195,'Run Reconcile'!B$2:B1679,0),1),IFERROR(0/0,""))</f>
        <v>RUN-COMB_2022-04-07_RFR-012</v>
      </c>
      <c r="S195" s="165" t="str">
        <f t="shared" ref="S195:T195" si="389">IF(COUNTIF(W$2:W1679, $A195) &gt; 0,TRUE,IFERROR(0/0,""))</f>
        <v/>
      </c>
      <c r="T195" s="165" t="str">
        <f t="shared" si="389"/>
        <v/>
      </c>
      <c r="U195" s="147" t="str">
        <f t="array" ref="U195">IF(ISBLANK($R195), IF($S195,VLOOKUP($B195+1,'RFR Data - preExcl'!$BF$2:$BG1679,2,FALSE),IF($T195,INDEX('RFR Data - preExcl'!$BF$2:$BG1679,MATCH($B195,'RFR Data - preExcl'!$BF$2:$BF1679,0)+1,2),VLOOKUP($B195,'RFR Data - preExcl'!$BF$2:$BG1679,2,FALSE))),IFERROR(0/0,""))</f>
        <v/>
      </c>
      <c r="V195" s="212" t="str">
        <f t="shared" si="5"/>
        <v>RUN-COMB_2022-04-07_RFR-012</v>
      </c>
      <c r="W195" s="51"/>
      <c r="X195" s="51"/>
      <c r="Y195" s="147" t="str">
        <f t="shared" ref="Y195:Z195" si="390">IF(_xlfn.ISFORMULA(S195),IFERROR(0/0,""),TRUE)</f>
        <v/>
      </c>
      <c r="Z195" s="147" t="str">
        <f t="shared" si="390"/>
        <v/>
      </c>
    </row>
    <row r="196">
      <c r="A196" s="6" t="str">
        <f>IFERROR(__xludf.DUMMYFUNCTION("""COMPUTED_VALUE"""),"FM3421")</f>
        <v>FM3421</v>
      </c>
      <c r="B196" s="206">
        <f>IFERROR(__xludf.DUMMYFUNCTION("""COMPUTED_VALUE"""),44658.0)</f>
        <v>44658</v>
      </c>
      <c r="C196" s="207">
        <f>IFERROR(__xludf.DUMMYFUNCTION("""COMPUTED_VALUE"""),0.3322453703703704)</f>
        <v>0.3322453704</v>
      </c>
      <c r="D196" s="50"/>
      <c r="E196" s="58"/>
      <c r="F196" s="58"/>
      <c r="G196" s="58" t="str">
        <f>IFERROR(__xludf.DUMMYFUNCTION("""COMPUTED_VALUE"""),"Negative")</f>
        <v>Negative</v>
      </c>
      <c r="H196" s="206" t="str">
        <f>IFERROR(__xludf.DUMMYFUNCTION("""COMPUTED_VALUE"""),"Negative")</f>
        <v>Negative</v>
      </c>
      <c r="I196" s="207">
        <f>IFERROR(__xludf.DUMMYFUNCTION("""COMPUTED_VALUE"""),44658.0)</f>
        <v>44658</v>
      </c>
      <c r="J196" s="208">
        <f>IFERROR(__xludf.DUMMYFUNCTION("""COMPUTED_VALUE"""),0.3665625)</f>
        <v>0.3665625</v>
      </c>
      <c r="K196" s="50"/>
      <c r="L196" s="6"/>
      <c r="M196" s="55"/>
      <c r="N196" s="55">
        <f>IFERROR(__xludf.DUMMYFUNCTION("""COMPUTED_VALUE"""),1.0)</f>
        <v>1</v>
      </c>
      <c r="O196" s="55" t="str">
        <f t="shared" si="3"/>
        <v/>
      </c>
      <c r="P196" s="209"/>
      <c r="Q196" s="75" t="b">
        <f>VLOOKUP($B196,'Run Reconcile'!B$2:P1679,15,FALSE)</f>
        <v>1</v>
      </c>
      <c r="R196" s="211" t="str">
        <f t="array" ref="R196">IF($Q196, INDEX('Run Reconcile'!A$2:A1679,MATCH(B196,'Run Reconcile'!B$2:B1679,0),1),IFERROR(0/0,""))</f>
        <v>RUN-COMB_2022-04-07_RFR-012</v>
      </c>
      <c r="S196" s="165" t="str">
        <f t="shared" ref="S196:T196" si="391">IF(COUNTIF(W$2:W1679, $A196) &gt; 0,TRUE,IFERROR(0/0,""))</f>
        <v/>
      </c>
      <c r="T196" s="165" t="str">
        <f t="shared" si="391"/>
        <v/>
      </c>
      <c r="U196" s="147" t="str">
        <f t="array" ref="U196">IF(ISBLANK($R196), IF($S196,VLOOKUP($B196+1,'RFR Data - preExcl'!$BF$2:$BG1679,2,FALSE),IF($T196,INDEX('RFR Data - preExcl'!$BF$2:$BG1679,MATCH($B196,'RFR Data - preExcl'!$BF$2:$BF1679,0)+1,2),VLOOKUP($B196,'RFR Data - preExcl'!$BF$2:$BG1679,2,FALSE))),IFERROR(0/0,""))</f>
        <v/>
      </c>
      <c r="V196" s="212" t="str">
        <f t="shared" si="5"/>
        <v>RUN-COMB_2022-04-07_RFR-012</v>
      </c>
      <c r="W196" s="51"/>
      <c r="X196" s="51"/>
      <c r="Y196" s="147" t="str">
        <f t="shared" ref="Y196:Z196" si="392">IF(_xlfn.ISFORMULA(S196),IFERROR(0/0,""),TRUE)</f>
        <v/>
      </c>
      <c r="Z196" s="147" t="str">
        <f t="shared" si="392"/>
        <v/>
      </c>
    </row>
    <row r="197">
      <c r="A197" s="6" t="str">
        <f>IFERROR(__xludf.DUMMYFUNCTION("""COMPUTED_VALUE"""),"FM3966")</f>
        <v>FM3966</v>
      </c>
      <c r="B197" s="206">
        <f>IFERROR(__xludf.DUMMYFUNCTION("""COMPUTED_VALUE"""),44658.0)</f>
        <v>44658</v>
      </c>
      <c r="C197" s="207">
        <f>IFERROR(__xludf.DUMMYFUNCTION("""COMPUTED_VALUE"""),0.33591435185185187)</f>
        <v>0.3359143519</v>
      </c>
      <c r="D197" s="50"/>
      <c r="E197" s="58"/>
      <c r="F197" s="58"/>
      <c r="G197" s="58" t="str">
        <f>IFERROR(__xludf.DUMMYFUNCTION("""COMPUTED_VALUE"""),"Negative")</f>
        <v>Negative</v>
      </c>
      <c r="H197" s="206" t="str">
        <f>IFERROR(__xludf.DUMMYFUNCTION("""COMPUTED_VALUE"""),"Negative")</f>
        <v>Negative</v>
      </c>
      <c r="I197" s="207">
        <f>IFERROR(__xludf.DUMMYFUNCTION("""COMPUTED_VALUE"""),44658.0)</f>
        <v>44658</v>
      </c>
      <c r="J197" s="208">
        <f>IFERROR(__xludf.DUMMYFUNCTION("""COMPUTED_VALUE"""),0.36657407407407405)</f>
        <v>0.3665740741</v>
      </c>
      <c r="K197" s="50"/>
      <c r="L197" s="6"/>
      <c r="M197" s="55"/>
      <c r="N197" s="55">
        <f>IFERROR(__xludf.DUMMYFUNCTION("""COMPUTED_VALUE"""),1.0)</f>
        <v>1</v>
      </c>
      <c r="O197" s="55" t="str">
        <f t="shared" si="3"/>
        <v/>
      </c>
      <c r="P197" s="209"/>
      <c r="Q197" s="75" t="b">
        <f>VLOOKUP($B197,'Run Reconcile'!B$2:P1679,15,FALSE)</f>
        <v>1</v>
      </c>
      <c r="R197" s="211" t="str">
        <f t="array" ref="R197">IF($Q197, INDEX('Run Reconcile'!A$2:A1679,MATCH(B197,'Run Reconcile'!B$2:B1679,0),1),IFERROR(0/0,""))</f>
        <v>RUN-COMB_2022-04-07_RFR-012</v>
      </c>
      <c r="S197" s="165" t="str">
        <f t="shared" ref="S197:T197" si="393">IF(COUNTIF(W$2:W1679, $A197) &gt; 0,TRUE,IFERROR(0/0,""))</f>
        <v/>
      </c>
      <c r="T197" s="165" t="str">
        <f t="shared" si="393"/>
        <v/>
      </c>
      <c r="U197" s="147" t="str">
        <f t="array" ref="U197">IF(ISBLANK($R197), IF($S197,VLOOKUP($B197+1,'RFR Data - preExcl'!$BF$2:$BG1679,2,FALSE),IF($T197,INDEX('RFR Data - preExcl'!$BF$2:$BG1679,MATCH($B197,'RFR Data - preExcl'!$BF$2:$BF1679,0)+1,2),VLOOKUP($B197,'RFR Data - preExcl'!$BF$2:$BG1679,2,FALSE))),IFERROR(0/0,""))</f>
        <v/>
      </c>
      <c r="V197" s="212" t="str">
        <f t="shared" si="5"/>
        <v>RUN-COMB_2022-04-07_RFR-012</v>
      </c>
      <c r="W197" s="51"/>
      <c r="X197" s="51"/>
      <c r="Y197" s="147" t="str">
        <f t="shared" ref="Y197:Z197" si="394">IF(_xlfn.ISFORMULA(S197),IFERROR(0/0,""),TRUE)</f>
        <v/>
      </c>
      <c r="Z197" s="147" t="str">
        <f t="shared" si="394"/>
        <v/>
      </c>
    </row>
    <row r="198">
      <c r="A198" s="6" t="str">
        <f>IFERROR(__xludf.DUMMYFUNCTION("""COMPUTED_VALUE"""),"FM3962")</f>
        <v>FM3962</v>
      </c>
      <c r="B198" s="206">
        <f>IFERROR(__xludf.DUMMYFUNCTION("""COMPUTED_VALUE"""),44658.0)</f>
        <v>44658</v>
      </c>
      <c r="C198" s="207">
        <f>IFERROR(__xludf.DUMMYFUNCTION("""COMPUTED_VALUE"""),0.33631944444444445)</f>
        <v>0.3363194444</v>
      </c>
      <c r="D198" s="50"/>
      <c r="E198" s="58"/>
      <c r="F198" s="58"/>
      <c r="G198" s="58" t="str">
        <f>IFERROR(__xludf.DUMMYFUNCTION("""COMPUTED_VALUE"""),"Negative")</f>
        <v>Negative</v>
      </c>
      <c r="H198" s="206" t="str">
        <f>IFERROR(__xludf.DUMMYFUNCTION("""COMPUTED_VALUE"""),"Negative")</f>
        <v>Negative</v>
      </c>
      <c r="I198" s="207">
        <f>IFERROR(__xludf.DUMMYFUNCTION("""COMPUTED_VALUE"""),44658.0)</f>
        <v>44658</v>
      </c>
      <c r="J198" s="208">
        <f>IFERROR(__xludf.DUMMYFUNCTION("""COMPUTED_VALUE"""),0.36657407407407405)</f>
        <v>0.3665740741</v>
      </c>
      <c r="K198" s="50"/>
      <c r="L198" s="6"/>
      <c r="M198" s="55"/>
      <c r="N198" s="55">
        <f>IFERROR(__xludf.DUMMYFUNCTION("""COMPUTED_VALUE"""),1.0)</f>
        <v>1</v>
      </c>
      <c r="O198" s="55" t="str">
        <f t="shared" si="3"/>
        <v/>
      </c>
      <c r="P198" s="209"/>
      <c r="Q198" s="75" t="b">
        <f>VLOOKUP($B198,'Run Reconcile'!B$2:P1679,15,FALSE)</f>
        <v>1</v>
      </c>
      <c r="R198" s="211" t="str">
        <f t="array" ref="R198">IF($Q198, INDEX('Run Reconcile'!A$2:A1679,MATCH(B198,'Run Reconcile'!B$2:B1679,0),1),IFERROR(0/0,""))</f>
        <v>RUN-COMB_2022-04-07_RFR-012</v>
      </c>
      <c r="S198" s="165" t="str">
        <f t="shared" ref="S198:T198" si="395">IF(COUNTIF(W$2:W1679, $A198) &gt; 0,TRUE,IFERROR(0/0,""))</f>
        <v/>
      </c>
      <c r="T198" s="165" t="str">
        <f t="shared" si="395"/>
        <v/>
      </c>
      <c r="U198" s="147" t="str">
        <f t="array" ref="U198">IF(ISBLANK($R198), IF($S198,VLOOKUP($B198+1,'RFR Data - preExcl'!$BF$2:$BG1679,2,FALSE),IF($T198,INDEX('RFR Data - preExcl'!$BF$2:$BG1679,MATCH($B198,'RFR Data - preExcl'!$BF$2:$BF1679,0)+1,2),VLOOKUP($B198,'RFR Data - preExcl'!$BF$2:$BG1679,2,FALSE))),IFERROR(0/0,""))</f>
        <v/>
      </c>
      <c r="V198" s="212" t="str">
        <f t="shared" si="5"/>
        <v>RUN-COMB_2022-04-07_RFR-012</v>
      </c>
      <c r="W198" s="51"/>
      <c r="X198" s="51"/>
      <c r="Y198" s="147" t="str">
        <f t="shared" ref="Y198:Z198" si="396">IF(_xlfn.ISFORMULA(S198),IFERROR(0/0,""),TRUE)</f>
        <v/>
      </c>
      <c r="Z198" s="147" t="str">
        <f t="shared" si="396"/>
        <v/>
      </c>
    </row>
    <row r="199">
      <c r="A199" s="6" t="str">
        <f>IFERROR(__xludf.DUMMYFUNCTION("""COMPUTED_VALUE"""),"FM3930")</f>
        <v>FM3930</v>
      </c>
      <c r="B199" s="206">
        <f>IFERROR(__xludf.DUMMYFUNCTION("""COMPUTED_VALUE"""),44658.0)</f>
        <v>44658</v>
      </c>
      <c r="C199" s="207">
        <f>IFERROR(__xludf.DUMMYFUNCTION("""COMPUTED_VALUE"""),0.33675925925925926)</f>
        <v>0.3367592593</v>
      </c>
      <c r="D199" s="50"/>
      <c r="E199" s="58"/>
      <c r="F199" s="58"/>
      <c r="G199" s="58" t="str">
        <f>IFERROR(__xludf.DUMMYFUNCTION("""COMPUTED_VALUE"""),"Negative")</f>
        <v>Negative</v>
      </c>
      <c r="H199" s="206" t="str">
        <f>IFERROR(__xludf.DUMMYFUNCTION("""COMPUTED_VALUE"""),"Negative")</f>
        <v>Negative</v>
      </c>
      <c r="I199" s="207">
        <f>IFERROR(__xludf.DUMMYFUNCTION("""COMPUTED_VALUE"""),44658.0)</f>
        <v>44658</v>
      </c>
      <c r="J199" s="208">
        <f>IFERROR(__xludf.DUMMYFUNCTION("""COMPUTED_VALUE"""),0.36657407407407405)</f>
        <v>0.3665740741</v>
      </c>
      <c r="K199" s="50"/>
      <c r="L199" s="6"/>
      <c r="M199" s="55"/>
      <c r="N199" s="55">
        <f>IFERROR(__xludf.DUMMYFUNCTION("""COMPUTED_VALUE"""),1.0)</f>
        <v>1</v>
      </c>
      <c r="O199" s="55" t="str">
        <f t="shared" si="3"/>
        <v/>
      </c>
      <c r="P199" s="209"/>
      <c r="Q199" s="75" t="b">
        <f>VLOOKUP($B199,'Run Reconcile'!B$2:P1679,15,FALSE)</f>
        <v>1</v>
      </c>
      <c r="R199" s="211" t="str">
        <f t="array" ref="R199">IF($Q199, INDEX('Run Reconcile'!A$2:A1679,MATCH(B199,'Run Reconcile'!B$2:B1679,0),1),IFERROR(0/0,""))</f>
        <v>RUN-COMB_2022-04-07_RFR-012</v>
      </c>
      <c r="S199" s="165" t="str">
        <f t="shared" ref="S199:T199" si="397">IF(COUNTIF(W$2:W1679, $A199) &gt; 0,TRUE,IFERROR(0/0,""))</f>
        <v/>
      </c>
      <c r="T199" s="165" t="str">
        <f t="shared" si="397"/>
        <v/>
      </c>
      <c r="U199" s="147" t="str">
        <f t="array" ref="U199">IF(ISBLANK($R199), IF($S199,VLOOKUP($B199+1,'RFR Data - preExcl'!$BF$2:$BG1679,2,FALSE),IF($T199,INDEX('RFR Data - preExcl'!$BF$2:$BG1679,MATCH($B199,'RFR Data - preExcl'!$BF$2:$BF1679,0)+1,2),VLOOKUP($B199,'RFR Data - preExcl'!$BF$2:$BG1679,2,FALSE))),IFERROR(0/0,""))</f>
        <v/>
      </c>
      <c r="V199" s="212" t="str">
        <f t="shared" si="5"/>
        <v>RUN-COMB_2022-04-07_RFR-012</v>
      </c>
      <c r="W199" s="51"/>
      <c r="X199" s="51"/>
      <c r="Y199" s="147" t="str">
        <f t="shared" ref="Y199:Z199" si="398">IF(_xlfn.ISFORMULA(S199),IFERROR(0/0,""),TRUE)</f>
        <v/>
      </c>
      <c r="Z199" s="147" t="str">
        <f t="shared" si="398"/>
        <v/>
      </c>
    </row>
    <row r="200">
      <c r="A200" s="6" t="str">
        <f>IFERROR(__xludf.DUMMYFUNCTION("""COMPUTED_VALUE"""),"FM3924")</f>
        <v>FM3924</v>
      </c>
      <c r="B200" s="206">
        <f>IFERROR(__xludf.DUMMYFUNCTION("""COMPUTED_VALUE"""),44658.0)</f>
        <v>44658</v>
      </c>
      <c r="C200" s="207">
        <f>IFERROR(__xludf.DUMMYFUNCTION("""COMPUTED_VALUE"""),0.3388425925925926)</f>
        <v>0.3388425926</v>
      </c>
      <c r="D200" s="50"/>
      <c r="E200" s="58"/>
      <c r="F200" s="58"/>
      <c r="G200" s="58" t="str">
        <f>IFERROR(__xludf.DUMMYFUNCTION("""COMPUTED_VALUE"""),"Negative")</f>
        <v>Negative</v>
      </c>
      <c r="H200" s="206" t="str">
        <f>IFERROR(__xludf.DUMMYFUNCTION("""COMPUTED_VALUE"""),"Negative")</f>
        <v>Negative</v>
      </c>
      <c r="I200" s="207">
        <f>IFERROR(__xludf.DUMMYFUNCTION("""COMPUTED_VALUE"""),44658.0)</f>
        <v>44658</v>
      </c>
      <c r="J200" s="208">
        <f>IFERROR(__xludf.DUMMYFUNCTION("""COMPUTED_VALUE"""),0.36658564814814815)</f>
        <v>0.3665856481</v>
      </c>
      <c r="K200" s="50"/>
      <c r="L200" s="6"/>
      <c r="M200" s="55"/>
      <c r="N200" s="55">
        <f>IFERROR(__xludf.DUMMYFUNCTION("""COMPUTED_VALUE"""),1.0)</f>
        <v>1</v>
      </c>
      <c r="O200" s="55" t="str">
        <f t="shared" si="3"/>
        <v/>
      </c>
      <c r="P200" s="209"/>
      <c r="Q200" s="75" t="b">
        <f>VLOOKUP($B200,'Run Reconcile'!B$2:P1679,15,FALSE)</f>
        <v>1</v>
      </c>
      <c r="R200" s="211" t="str">
        <f t="array" ref="R200">IF($Q200, INDEX('Run Reconcile'!A$2:A1679,MATCH(B200,'Run Reconcile'!B$2:B1679,0),1),IFERROR(0/0,""))</f>
        <v>RUN-COMB_2022-04-07_RFR-012</v>
      </c>
      <c r="S200" s="165" t="str">
        <f t="shared" ref="S200:T200" si="399">IF(COUNTIF(W$2:W1679, $A200) &gt; 0,TRUE,IFERROR(0/0,""))</f>
        <v/>
      </c>
      <c r="T200" s="165" t="str">
        <f t="shared" si="399"/>
        <v/>
      </c>
      <c r="U200" s="147" t="str">
        <f t="array" ref="U200">IF(ISBLANK($R200), IF($S200,VLOOKUP($B200+1,'RFR Data - preExcl'!$BF$2:$BG1679,2,FALSE),IF($T200,INDEX('RFR Data - preExcl'!$BF$2:$BG1679,MATCH($B200,'RFR Data - preExcl'!$BF$2:$BF1679,0)+1,2),VLOOKUP($B200,'RFR Data - preExcl'!$BF$2:$BG1679,2,FALSE))),IFERROR(0/0,""))</f>
        <v/>
      </c>
      <c r="V200" s="212" t="str">
        <f t="shared" si="5"/>
        <v>RUN-COMB_2022-04-07_RFR-012</v>
      </c>
      <c r="W200" s="51"/>
      <c r="X200" s="51"/>
      <c r="Y200" s="147" t="str">
        <f t="shared" ref="Y200:Z200" si="400">IF(_xlfn.ISFORMULA(S200),IFERROR(0/0,""),TRUE)</f>
        <v/>
      </c>
      <c r="Z200" s="147" t="str">
        <f t="shared" si="400"/>
        <v/>
      </c>
    </row>
    <row r="201">
      <c r="A201" s="6" t="str">
        <f>IFERROR(__xludf.DUMMYFUNCTION("""COMPUTED_VALUE"""),"FM3927")</f>
        <v>FM3927</v>
      </c>
      <c r="B201" s="206">
        <f>IFERROR(__xludf.DUMMYFUNCTION("""COMPUTED_VALUE"""),44658.0)</f>
        <v>44658</v>
      </c>
      <c r="C201" s="207">
        <f>IFERROR(__xludf.DUMMYFUNCTION("""COMPUTED_VALUE"""),0.33927083333333335)</f>
        <v>0.3392708333</v>
      </c>
      <c r="D201" s="50"/>
      <c r="E201" s="58"/>
      <c r="F201" s="58"/>
      <c r="G201" s="58" t="str">
        <f>IFERROR(__xludf.DUMMYFUNCTION("""COMPUTED_VALUE"""),"Negative")</f>
        <v>Negative</v>
      </c>
      <c r="H201" s="206" t="str">
        <f>IFERROR(__xludf.DUMMYFUNCTION("""COMPUTED_VALUE"""),"Negative")</f>
        <v>Negative</v>
      </c>
      <c r="I201" s="207">
        <f>IFERROR(__xludf.DUMMYFUNCTION("""COMPUTED_VALUE"""),44658.0)</f>
        <v>44658</v>
      </c>
      <c r="J201" s="208">
        <f>IFERROR(__xludf.DUMMYFUNCTION("""COMPUTED_VALUE"""),0.36658564814814815)</f>
        <v>0.3665856481</v>
      </c>
      <c r="K201" s="50"/>
      <c r="L201" s="6"/>
      <c r="M201" s="55"/>
      <c r="N201" s="55">
        <f>IFERROR(__xludf.DUMMYFUNCTION("""COMPUTED_VALUE"""),1.0)</f>
        <v>1</v>
      </c>
      <c r="O201" s="55" t="str">
        <f t="shared" si="3"/>
        <v/>
      </c>
      <c r="P201" s="209"/>
      <c r="Q201" s="75" t="b">
        <f>VLOOKUP($B201,'Run Reconcile'!B$2:P1679,15,FALSE)</f>
        <v>1</v>
      </c>
      <c r="R201" s="211" t="str">
        <f t="array" ref="R201">IF($Q201, INDEX('Run Reconcile'!A$2:A1679,MATCH(B201,'Run Reconcile'!B$2:B1679,0),1),IFERROR(0/0,""))</f>
        <v>RUN-COMB_2022-04-07_RFR-012</v>
      </c>
      <c r="S201" s="165" t="str">
        <f t="shared" ref="S201:T201" si="401">IF(COUNTIF(W$2:W1679, $A201) &gt; 0,TRUE,IFERROR(0/0,""))</f>
        <v/>
      </c>
      <c r="T201" s="165" t="str">
        <f t="shared" si="401"/>
        <v/>
      </c>
      <c r="U201" s="147" t="str">
        <f t="array" ref="U201">IF(ISBLANK($R201), IF($S201,VLOOKUP($B201+1,'RFR Data - preExcl'!$BF$2:$BG1679,2,FALSE),IF($T201,INDEX('RFR Data - preExcl'!$BF$2:$BG1679,MATCH($B201,'RFR Data - preExcl'!$BF$2:$BF1679,0)+1,2),VLOOKUP($B201,'RFR Data - preExcl'!$BF$2:$BG1679,2,FALSE))),IFERROR(0/0,""))</f>
        <v/>
      </c>
      <c r="V201" s="212" t="str">
        <f t="shared" si="5"/>
        <v>RUN-COMB_2022-04-07_RFR-012</v>
      </c>
      <c r="W201" s="51"/>
      <c r="X201" s="51"/>
      <c r="Y201" s="147" t="str">
        <f t="shared" ref="Y201:Z201" si="402">IF(_xlfn.ISFORMULA(S201),IFERROR(0/0,""),TRUE)</f>
        <v/>
      </c>
      <c r="Z201" s="147" t="str">
        <f t="shared" si="402"/>
        <v/>
      </c>
    </row>
    <row r="202">
      <c r="A202" s="6" t="str">
        <f>IFERROR(__xludf.DUMMYFUNCTION("""COMPUTED_VALUE"""),"FM4016")</f>
        <v>FM4016</v>
      </c>
      <c r="B202" s="206">
        <f>IFERROR(__xludf.DUMMYFUNCTION("""COMPUTED_VALUE"""),44658.0)</f>
        <v>44658</v>
      </c>
      <c r="C202" s="207">
        <f>IFERROR(__xludf.DUMMYFUNCTION("""COMPUTED_VALUE"""),0.33971064814814816)</f>
        <v>0.3397106481</v>
      </c>
      <c r="D202" s="50"/>
      <c r="E202" s="58"/>
      <c r="F202" s="58"/>
      <c r="G202" s="58" t="str">
        <f>IFERROR(__xludf.DUMMYFUNCTION("""COMPUTED_VALUE"""),"Negative")</f>
        <v>Negative</v>
      </c>
      <c r="H202" s="206" t="str">
        <f>IFERROR(__xludf.DUMMYFUNCTION("""COMPUTED_VALUE"""),"Negative")</f>
        <v>Negative</v>
      </c>
      <c r="I202" s="207">
        <f>IFERROR(__xludf.DUMMYFUNCTION("""COMPUTED_VALUE"""),44658.0)</f>
        <v>44658</v>
      </c>
      <c r="J202" s="208">
        <f>IFERROR(__xludf.DUMMYFUNCTION("""COMPUTED_VALUE"""),0.36659722222222224)</f>
        <v>0.3665972222</v>
      </c>
      <c r="K202" s="50"/>
      <c r="L202" s="6"/>
      <c r="M202" s="55"/>
      <c r="N202" s="55">
        <f>IFERROR(__xludf.DUMMYFUNCTION("""COMPUTED_VALUE"""),1.0)</f>
        <v>1</v>
      </c>
      <c r="O202" s="55" t="str">
        <f t="shared" si="3"/>
        <v/>
      </c>
      <c r="P202" s="209"/>
      <c r="Q202" s="75" t="b">
        <f>VLOOKUP($B202,'Run Reconcile'!B$2:P1679,15,FALSE)</f>
        <v>1</v>
      </c>
      <c r="R202" s="211" t="str">
        <f t="array" ref="R202">IF($Q202, INDEX('Run Reconcile'!A$2:A1679,MATCH(B202,'Run Reconcile'!B$2:B1679,0),1),IFERROR(0/0,""))</f>
        <v>RUN-COMB_2022-04-07_RFR-012</v>
      </c>
      <c r="S202" s="165" t="str">
        <f t="shared" ref="S202:T202" si="403">IF(COUNTIF(W$2:W1679, $A202) &gt; 0,TRUE,IFERROR(0/0,""))</f>
        <v/>
      </c>
      <c r="T202" s="165" t="str">
        <f t="shared" si="403"/>
        <v/>
      </c>
      <c r="U202" s="147" t="str">
        <f t="array" ref="U202">IF(ISBLANK($R202), IF($S202,VLOOKUP($B202+1,'RFR Data - preExcl'!$BF$2:$BG1679,2,FALSE),IF($T202,INDEX('RFR Data - preExcl'!$BF$2:$BG1679,MATCH($B202,'RFR Data - preExcl'!$BF$2:$BF1679,0)+1,2),VLOOKUP($B202,'RFR Data - preExcl'!$BF$2:$BG1679,2,FALSE))),IFERROR(0/0,""))</f>
        <v/>
      </c>
      <c r="V202" s="212" t="str">
        <f t="shared" si="5"/>
        <v>RUN-COMB_2022-04-07_RFR-012</v>
      </c>
      <c r="W202" s="51"/>
      <c r="X202" s="51"/>
      <c r="Y202" s="147" t="str">
        <f t="shared" ref="Y202:Z202" si="404">IF(_xlfn.ISFORMULA(S202),IFERROR(0/0,""),TRUE)</f>
        <v/>
      </c>
      <c r="Z202" s="147" t="str">
        <f t="shared" si="404"/>
        <v/>
      </c>
    </row>
    <row r="203">
      <c r="A203" s="6" t="str">
        <f>IFERROR(__xludf.DUMMYFUNCTION("""COMPUTED_VALUE"""),"FM3967")</f>
        <v>FM3967</v>
      </c>
      <c r="B203" s="206">
        <f>IFERROR(__xludf.DUMMYFUNCTION("""COMPUTED_VALUE"""),44658.0)</f>
        <v>44658</v>
      </c>
      <c r="C203" s="207">
        <f>IFERROR(__xludf.DUMMYFUNCTION("""COMPUTED_VALUE"""),0.3413310185185185)</f>
        <v>0.3413310185</v>
      </c>
      <c r="D203" s="50"/>
      <c r="E203" s="58"/>
      <c r="F203" s="58"/>
      <c r="G203" s="58" t="str">
        <f>IFERROR(__xludf.DUMMYFUNCTION("""COMPUTED_VALUE"""),"Negative")</f>
        <v>Negative</v>
      </c>
      <c r="H203" s="206" t="str">
        <f>IFERROR(__xludf.DUMMYFUNCTION("""COMPUTED_VALUE"""),"Negative")</f>
        <v>Negative</v>
      </c>
      <c r="I203" s="207">
        <f>IFERROR(__xludf.DUMMYFUNCTION("""COMPUTED_VALUE"""),44658.0)</f>
        <v>44658</v>
      </c>
      <c r="J203" s="208">
        <f>IFERROR(__xludf.DUMMYFUNCTION("""COMPUTED_VALUE"""),0.3666087962962963)</f>
        <v>0.3666087963</v>
      </c>
      <c r="K203" s="50"/>
      <c r="L203" s="6"/>
      <c r="M203" s="55"/>
      <c r="N203" s="55">
        <f>IFERROR(__xludf.DUMMYFUNCTION("""COMPUTED_VALUE"""),1.0)</f>
        <v>1</v>
      </c>
      <c r="O203" s="55" t="str">
        <f t="shared" si="3"/>
        <v/>
      </c>
      <c r="P203" s="209"/>
      <c r="Q203" s="75" t="b">
        <f>VLOOKUP($B203,'Run Reconcile'!B$2:P1679,15,FALSE)</f>
        <v>1</v>
      </c>
      <c r="R203" s="211" t="str">
        <f t="array" ref="R203">IF($Q203, INDEX('Run Reconcile'!A$2:A1679,MATCH(B203,'Run Reconcile'!B$2:B1679,0),1),IFERROR(0/0,""))</f>
        <v>RUN-COMB_2022-04-07_RFR-012</v>
      </c>
      <c r="S203" s="165" t="str">
        <f t="shared" ref="S203:T203" si="405">IF(COUNTIF(W$2:W1679, $A203) &gt; 0,TRUE,IFERROR(0/0,""))</f>
        <v/>
      </c>
      <c r="T203" s="165" t="str">
        <f t="shared" si="405"/>
        <v/>
      </c>
      <c r="U203" s="147" t="str">
        <f t="array" ref="U203">IF(ISBLANK($R203), IF($S203,VLOOKUP($B203+1,'RFR Data - preExcl'!$BF$2:$BG1679,2,FALSE),IF($T203,INDEX('RFR Data - preExcl'!$BF$2:$BG1679,MATCH($B203,'RFR Data - preExcl'!$BF$2:$BF1679,0)+1,2),VLOOKUP($B203,'RFR Data - preExcl'!$BF$2:$BG1679,2,FALSE))),IFERROR(0/0,""))</f>
        <v/>
      </c>
      <c r="V203" s="212" t="str">
        <f t="shared" si="5"/>
        <v>RUN-COMB_2022-04-07_RFR-012</v>
      </c>
      <c r="W203" s="51"/>
      <c r="X203" s="51"/>
      <c r="Y203" s="147" t="str">
        <f t="shared" ref="Y203:Z203" si="406">IF(_xlfn.ISFORMULA(S203),IFERROR(0/0,""),TRUE)</f>
        <v/>
      </c>
      <c r="Z203" s="147" t="str">
        <f t="shared" si="406"/>
        <v/>
      </c>
    </row>
    <row r="204">
      <c r="A204" s="6" t="str">
        <f>IFERROR(__xludf.DUMMYFUNCTION("""COMPUTED_VALUE"""),"FM4007")</f>
        <v>FM4007</v>
      </c>
      <c r="B204" s="206">
        <f>IFERROR(__xludf.DUMMYFUNCTION("""COMPUTED_VALUE"""),44658.0)</f>
        <v>44658</v>
      </c>
      <c r="C204" s="207">
        <f>IFERROR(__xludf.DUMMYFUNCTION("""COMPUTED_VALUE"""),0.3416898148148148)</f>
        <v>0.3416898148</v>
      </c>
      <c r="D204" s="50"/>
      <c r="E204" s="58"/>
      <c r="F204" s="58"/>
      <c r="G204" s="58" t="str">
        <f>IFERROR(__xludf.DUMMYFUNCTION("""COMPUTED_VALUE"""),"Negative")</f>
        <v>Negative</v>
      </c>
      <c r="H204" s="206" t="str">
        <f>IFERROR(__xludf.DUMMYFUNCTION("""COMPUTED_VALUE"""),"Negative")</f>
        <v>Negative</v>
      </c>
      <c r="I204" s="207">
        <f>IFERROR(__xludf.DUMMYFUNCTION("""COMPUTED_VALUE"""),44658.0)</f>
        <v>44658</v>
      </c>
      <c r="J204" s="208">
        <f>IFERROR(__xludf.DUMMYFUNCTION("""COMPUTED_VALUE"""),0.3666087962962963)</f>
        <v>0.3666087963</v>
      </c>
      <c r="K204" s="50"/>
      <c r="L204" s="6"/>
      <c r="M204" s="55"/>
      <c r="N204" s="55">
        <f>IFERROR(__xludf.DUMMYFUNCTION("""COMPUTED_VALUE"""),1.0)</f>
        <v>1</v>
      </c>
      <c r="O204" s="55" t="str">
        <f t="shared" si="3"/>
        <v/>
      </c>
      <c r="P204" s="209"/>
      <c r="Q204" s="75" t="b">
        <f>VLOOKUP($B204,'Run Reconcile'!B$2:P1679,15,FALSE)</f>
        <v>1</v>
      </c>
      <c r="R204" s="211" t="str">
        <f t="array" ref="R204">IF($Q204, INDEX('Run Reconcile'!A$2:A1679,MATCH(B204,'Run Reconcile'!B$2:B1679,0),1),IFERROR(0/0,""))</f>
        <v>RUN-COMB_2022-04-07_RFR-012</v>
      </c>
      <c r="S204" s="165" t="str">
        <f t="shared" ref="S204:T204" si="407">IF(COUNTIF(W$2:W1679, $A204) &gt; 0,TRUE,IFERROR(0/0,""))</f>
        <v/>
      </c>
      <c r="T204" s="165" t="str">
        <f t="shared" si="407"/>
        <v/>
      </c>
      <c r="U204" s="147" t="str">
        <f t="array" ref="U204">IF(ISBLANK($R204), IF($S204,VLOOKUP($B204+1,'RFR Data - preExcl'!$BF$2:$BG1679,2,FALSE),IF($T204,INDEX('RFR Data - preExcl'!$BF$2:$BG1679,MATCH($B204,'RFR Data - preExcl'!$BF$2:$BF1679,0)+1,2),VLOOKUP($B204,'RFR Data - preExcl'!$BF$2:$BG1679,2,FALSE))),IFERROR(0/0,""))</f>
        <v/>
      </c>
      <c r="V204" s="212" t="str">
        <f t="shared" si="5"/>
        <v>RUN-COMB_2022-04-07_RFR-012</v>
      </c>
      <c r="W204" s="51"/>
      <c r="X204" s="51"/>
      <c r="Y204" s="147" t="str">
        <f t="shared" ref="Y204:Z204" si="408">IF(_xlfn.ISFORMULA(S204),IFERROR(0/0,""),TRUE)</f>
        <v/>
      </c>
      <c r="Z204" s="147" t="str">
        <f t="shared" si="408"/>
        <v/>
      </c>
    </row>
    <row r="205">
      <c r="A205" s="6" t="str">
        <f>IFERROR(__xludf.DUMMYFUNCTION("""COMPUTED_VALUE"""),"FM3431")</f>
        <v>FM3431</v>
      </c>
      <c r="B205" s="206">
        <f>IFERROR(__xludf.DUMMYFUNCTION("""COMPUTED_VALUE"""),44658.0)</f>
        <v>44658</v>
      </c>
      <c r="C205" s="207">
        <f>IFERROR(__xludf.DUMMYFUNCTION("""COMPUTED_VALUE"""),0.34208333333333335)</f>
        <v>0.3420833333</v>
      </c>
      <c r="D205" s="50"/>
      <c r="E205" s="58"/>
      <c r="F205" s="58"/>
      <c r="G205" s="58" t="str">
        <f>IFERROR(__xludf.DUMMYFUNCTION("""COMPUTED_VALUE"""),"Negative")</f>
        <v>Negative</v>
      </c>
      <c r="H205" s="206" t="str">
        <f>IFERROR(__xludf.DUMMYFUNCTION("""COMPUTED_VALUE"""),"Negative")</f>
        <v>Negative</v>
      </c>
      <c r="I205" s="207">
        <f>IFERROR(__xludf.DUMMYFUNCTION("""COMPUTED_VALUE"""),44658.0)</f>
        <v>44658</v>
      </c>
      <c r="J205" s="208">
        <f>IFERROR(__xludf.DUMMYFUNCTION("""COMPUTED_VALUE"""),0.3666203703703704)</f>
        <v>0.3666203704</v>
      </c>
      <c r="K205" s="50"/>
      <c r="L205" s="6"/>
      <c r="M205" s="55"/>
      <c r="N205" s="55">
        <f>IFERROR(__xludf.DUMMYFUNCTION("""COMPUTED_VALUE"""),1.0)</f>
        <v>1</v>
      </c>
      <c r="O205" s="55" t="str">
        <f t="shared" si="3"/>
        <v/>
      </c>
      <c r="P205" s="209"/>
      <c r="Q205" s="75" t="b">
        <f>VLOOKUP($B205,'Run Reconcile'!B$2:P1679,15,FALSE)</f>
        <v>1</v>
      </c>
      <c r="R205" s="211" t="str">
        <f t="array" ref="R205">IF($Q205, INDEX('Run Reconcile'!A$2:A1679,MATCH(B205,'Run Reconcile'!B$2:B1679,0),1),IFERROR(0/0,""))</f>
        <v>RUN-COMB_2022-04-07_RFR-012</v>
      </c>
      <c r="S205" s="165" t="str">
        <f t="shared" ref="S205:T205" si="409">IF(COUNTIF(W$2:W1679, $A205) &gt; 0,TRUE,IFERROR(0/0,""))</f>
        <v/>
      </c>
      <c r="T205" s="165" t="str">
        <f t="shared" si="409"/>
        <v/>
      </c>
      <c r="U205" s="147" t="str">
        <f t="array" ref="U205">IF(ISBLANK($R205), IF($S205,VLOOKUP($B205+1,'RFR Data - preExcl'!$BF$2:$BG1679,2,FALSE),IF($T205,INDEX('RFR Data - preExcl'!$BF$2:$BG1679,MATCH($B205,'RFR Data - preExcl'!$BF$2:$BF1679,0)+1,2),VLOOKUP($B205,'RFR Data - preExcl'!$BF$2:$BG1679,2,FALSE))),IFERROR(0/0,""))</f>
        <v/>
      </c>
      <c r="V205" s="212" t="str">
        <f t="shared" si="5"/>
        <v>RUN-COMB_2022-04-07_RFR-012</v>
      </c>
      <c r="W205" s="51"/>
      <c r="X205" s="51"/>
      <c r="Y205" s="147" t="str">
        <f t="shared" ref="Y205:Z205" si="410">IF(_xlfn.ISFORMULA(S205),IFERROR(0/0,""),TRUE)</f>
        <v/>
      </c>
      <c r="Z205" s="147" t="str">
        <f t="shared" si="410"/>
        <v/>
      </c>
    </row>
    <row r="206">
      <c r="A206" s="6" t="str">
        <f>IFERROR(__xludf.DUMMYFUNCTION("""COMPUTED_VALUE"""),"MA169")</f>
        <v>MA169</v>
      </c>
      <c r="B206" s="206">
        <f>IFERROR(__xludf.DUMMYFUNCTION("""COMPUTED_VALUE"""),44658.0)</f>
        <v>44658</v>
      </c>
      <c r="C206" s="207">
        <f>IFERROR(__xludf.DUMMYFUNCTION("""COMPUTED_VALUE"""),0.34225694444444443)</f>
        <v>0.3422569444</v>
      </c>
      <c r="D206" s="50"/>
      <c r="E206" s="58"/>
      <c r="F206" s="58"/>
      <c r="G206" s="58" t="str">
        <f>IFERROR(__xludf.DUMMYFUNCTION("""COMPUTED_VALUE"""),"Negative")</f>
        <v>Negative</v>
      </c>
      <c r="H206" s="206" t="str">
        <f>IFERROR(__xludf.DUMMYFUNCTION("""COMPUTED_VALUE"""),"Negative")</f>
        <v>Negative</v>
      </c>
      <c r="I206" s="207">
        <f>IFERROR(__xludf.DUMMYFUNCTION("""COMPUTED_VALUE"""),44658.0)</f>
        <v>44658</v>
      </c>
      <c r="J206" s="208">
        <f>IFERROR(__xludf.DUMMYFUNCTION("""COMPUTED_VALUE"""),0.36663194444444447)</f>
        <v>0.3666319444</v>
      </c>
      <c r="K206" s="50"/>
      <c r="L206" s="6"/>
      <c r="M206" s="55"/>
      <c r="N206" s="55">
        <f>IFERROR(__xludf.DUMMYFUNCTION("""COMPUTED_VALUE"""),1.0)</f>
        <v>1</v>
      </c>
      <c r="O206" s="55" t="str">
        <f t="shared" si="3"/>
        <v/>
      </c>
      <c r="P206" s="209"/>
      <c r="Q206" s="75" t="b">
        <f>VLOOKUP($B206,'Run Reconcile'!B$2:P1679,15,FALSE)</f>
        <v>1</v>
      </c>
      <c r="R206" s="211" t="str">
        <f t="array" ref="R206">IF($Q206, INDEX('Run Reconcile'!A$2:A1679,MATCH(B206,'Run Reconcile'!B$2:B1679,0),1),IFERROR(0/0,""))</f>
        <v>RUN-COMB_2022-04-07_RFR-012</v>
      </c>
      <c r="S206" s="165" t="str">
        <f t="shared" ref="S206:T206" si="411">IF(COUNTIF(W$2:W1679, $A206) &gt; 0,TRUE,IFERROR(0/0,""))</f>
        <v/>
      </c>
      <c r="T206" s="165" t="str">
        <f t="shared" si="411"/>
        <v/>
      </c>
      <c r="U206" s="147" t="str">
        <f t="array" ref="U206">IF(ISBLANK($R206), IF($S206,VLOOKUP($B206+1,'RFR Data - preExcl'!$BF$2:$BG1679,2,FALSE),IF($T206,INDEX('RFR Data - preExcl'!$BF$2:$BG1679,MATCH($B206,'RFR Data - preExcl'!$BF$2:$BF1679,0)+1,2),VLOOKUP($B206,'RFR Data - preExcl'!$BF$2:$BG1679,2,FALSE))),IFERROR(0/0,""))</f>
        <v/>
      </c>
      <c r="V206" s="212" t="str">
        <f t="shared" si="5"/>
        <v>RUN-COMB_2022-04-07_RFR-012</v>
      </c>
      <c r="W206" s="51"/>
      <c r="X206" s="51"/>
      <c r="Y206" s="147" t="str">
        <f t="shared" ref="Y206:Z206" si="412">IF(_xlfn.ISFORMULA(S206),IFERROR(0/0,""),TRUE)</f>
        <v/>
      </c>
      <c r="Z206" s="147" t="str">
        <f t="shared" si="412"/>
        <v/>
      </c>
    </row>
    <row r="207">
      <c r="A207" s="6" t="str">
        <f>IFERROR(__xludf.DUMMYFUNCTION("""COMPUTED_VALUE"""),"FM3994")</f>
        <v>FM3994</v>
      </c>
      <c r="B207" s="206">
        <f>IFERROR(__xludf.DUMMYFUNCTION("""COMPUTED_VALUE"""),44658.0)</f>
        <v>44658</v>
      </c>
      <c r="C207" s="207">
        <f>IFERROR(__xludf.DUMMYFUNCTION("""COMPUTED_VALUE"""),0.3438657407407407)</f>
        <v>0.3438657407</v>
      </c>
      <c r="D207" s="50"/>
      <c r="E207" s="58"/>
      <c r="F207" s="58"/>
      <c r="G207" s="58" t="str">
        <f>IFERROR(__xludf.DUMMYFUNCTION("""COMPUTED_VALUE"""),"Negative")</f>
        <v>Negative</v>
      </c>
      <c r="H207" s="206" t="str">
        <f>IFERROR(__xludf.DUMMYFUNCTION("""COMPUTED_VALUE"""),"Negative")</f>
        <v>Negative</v>
      </c>
      <c r="I207" s="207">
        <f>IFERROR(__xludf.DUMMYFUNCTION("""COMPUTED_VALUE"""),44658.0)</f>
        <v>44658</v>
      </c>
      <c r="J207" s="208">
        <f>IFERROR(__xludf.DUMMYFUNCTION("""COMPUTED_VALUE"""),0.3666550925925926)</f>
        <v>0.3666550926</v>
      </c>
      <c r="K207" s="50"/>
      <c r="L207" s="6"/>
      <c r="M207" s="55"/>
      <c r="N207" s="55">
        <f>IFERROR(__xludf.DUMMYFUNCTION("""COMPUTED_VALUE"""),1.0)</f>
        <v>1</v>
      </c>
      <c r="O207" s="55" t="str">
        <f t="shared" si="3"/>
        <v/>
      </c>
      <c r="P207" s="209"/>
      <c r="Q207" s="75" t="b">
        <f>VLOOKUP($B207,'Run Reconcile'!B$2:P1679,15,FALSE)</f>
        <v>1</v>
      </c>
      <c r="R207" s="211" t="str">
        <f t="array" ref="R207">IF($Q207, INDEX('Run Reconcile'!A$2:A1679,MATCH(B207,'Run Reconcile'!B$2:B1679,0),1),IFERROR(0/0,""))</f>
        <v>RUN-COMB_2022-04-07_RFR-012</v>
      </c>
      <c r="S207" s="165" t="str">
        <f t="shared" ref="S207:T207" si="413">IF(COUNTIF(W$2:W1679, $A207) &gt; 0,TRUE,IFERROR(0/0,""))</f>
        <v/>
      </c>
      <c r="T207" s="165" t="str">
        <f t="shared" si="413"/>
        <v/>
      </c>
      <c r="U207" s="147" t="str">
        <f t="array" ref="U207">IF(ISBLANK($R207), IF($S207,VLOOKUP($B207+1,'RFR Data - preExcl'!$BF$2:$BG1679,2,FALSE),IF($T207,INDEX('RFR Data - preExcl'!$BF$2:$BG1679,MATCH($B207,'RFR Data - preExcl'!$BF$2:$BF1679,0)+1,2),VLOOKUP($B207,'RFR Data - preExcl'!$BF$2:$BG1679,2,FALSE))),IFERROR(0/0,""))</f>
        <v/>
      </c>
      <c r="V207" s="212" t="str">
        <f t="shared" si="5"/>
        <v>RUN-COMB_2022-04-07_RFR-012</v>
      </c>
      <c r="W207" s="51"/>
      <c r="X207" s="51"/>
      <c r="Y207" s="147" t="str">
        <f t="shared" ref="Y207:Z207" si="414">IF(_xlfn.ISFORMULA(S207),IFERROR(0/0,""),TRUE)</f>
        <v/>
      </c>
      <c r="Z207" s="147" t="str">
        <f t="shared" si="414"/>
        <v/>
      </c>
    </row>
    <row r="208">
      <c r="A208" s="6" t="str">
        <f>IFERROR(__xludf.DUMMYFUNCTION("""COMPUTED_VALUE"""),"FM3928")</f>
        <v>FM3928</v>
      </c>
      <c r="B208" s="206">
        <f>IFERROR(__xludf.DUMMYFUNCTION("""COMPUTED_VALUE"""),44658.0)</f>
        <v>44658</v>
      </c>
      <c r="C208" s="207">
        <f>IFERROR(__xludf.DUMMYFUNCTION("""COMPUTED_VALUE"""),0.3442939814814815)</f>
        <v>0.3442939815</v>
      </c>
      <c r="D208" s="50"/>
      <c r="E208" s="58"/>
      <c r="F208" s="58"/>
      <c r="G208" s="58" t="str">
        <f>IFERROR(__xludf.DUMMYFUNCTION("""COMPUTED_VALUE"""),"Negative")</f>
        <v>Negative</v>
      </c>
      <c r="H208" s="206" t="str">
        <f>IFERROR(__xludf.DUMMYFUNCTION("""COMPUTED_VALUE"""),"Negative")</f>
        <v>Negative</v>
      </c>
      <c r="I208" s="207">
        <f>IFERROR(__xludf.DUMMYFUNCTION("""COMPUTED_VALUE"""),44658.0)</f>
        <v>44658</v>
      </c>
      <c r="J208" s="208">
        <f>IFERROR(__xludf.DUMMYFUNCTION("""COMPUTED_VALUE"""),0.36666666666666664)</f>
        <v>0.3666666667</v>
      </c>
      <c r="K208" s="50"/>
      <c r="L208" s="6"/>
      <c r="M208" s="55"/>
      <c r="N208" s="55">
        <f>IFERROR(__xludf.DUMMYFUNCTION("""COMPUTED_VALUE"""),1.0)</f>
        <v>1</v>
      </c>
      <c r="O208" s="55" t="str">
        <f t="shared" si="3"/>
        <v/>
      </c>
      <c r="P208" s="209"/>
      <c r="Q208" s="75" t="b">
        <f>VLOOKUP($B208,'Run Reconcile'!B$2:P1679,15,FALSE)</f>
        <v>1</v>
      </c>
      <c r="R208" s="211" t="str">
        <f t="array" ref="R208">IF($Q208, INDEX('Run Reconcile'!A$2:A1679,MATCH(B208,'Run Reconcile'!B$2:B1679,0),1),IFERROR(0/0,""))</f>
        <v>RUN-COMB_2022-04-07_RFR-012</v>
      </c>
      <c r="S208" s="165" t="str">
        <f t="shared" ref="S208:T208" si="415">IF(COUNTIF(W$2:W1679, $A208) &gt; 0,TRUE,IFERROR(0/0,""))</f>
        <v/>
      </c>
      <c r="T208" s="165" t="str">
        <f t="shared" si="415"/>
        <v/>
      </c>
      <c r="U208" s="147" t="str">
        <f t="array" ref="U208">IF(ISBLANK($R208), IF($S208,VLOOKUP($B208+1,'RFR Data - preExcl'!$BF$2:$BG1679,2,FALSE),IF($T208,INDEX('RFR Data - preExcl'!$BF$2:$BG1679,MATCH($B208,'RFR Data - preExcl'!$BF$2:$BF1679,0)+1,2),VLOOKUP($B208,'RFR Data - preExcl'!$BF$2:$BG1679,2,FALSE))),IFERROR(0/0,""))</f>
        <v/>
      </c>
      <c r="V208" s="212" t="str">
        <f t="shared" si="5"/>
        <v>RUN-COMB_2022-04-07_RFR-012</v>
      </c>
      <c r="W208" s="51"/>
      <c r="X208" s="51"/>
      <c r="Y208" s="147" t="str">
        <f t="shared" ref="Y208:Z208" si="416">IF(_xlfn.ISFORMULA(S208),IFERROR(0/0,""),TRUE)</f>
        <v/>
      </c>
      <c r="Z208" s="147" t="str">
        <f t="shared" si="416"/>
        <v/>
      </c>
    </row>
    <row r="209">
      <c r="A209" s="6" t="str">
        <f>IFERROR(__xludf.DUMMYFUNCTION("""COMPUTED_VALUE"""),"FM3916")</f>
        <v>FM3916</v>
      </c>
      <c r="B209" s="206">
        <f>IFERROR(__xludf.DUMMYFUNCTION("""COMPUTED_VALUE"""),44658.0)</f>
        <v>44658</v>
      </c>
      <c r="C209" s="207">
        <f>IFERROR(__xludf.DUMMYFUNCTION("""COMPUTED_VALUE"""),0.34585648148148146)</f>
        <v>0.3458564815</v>
      </c>
      <c r="D209" s="50"/>
      <c r="E209" s="58"/>
      <c r="F209" s="58"/>
      <c r="G209" s="58" t="str">
        <f>IFERROR(__xludf.DUMMYFUNCTION("""COMPUTED_VALUE"""),"Negative")</f>
        <v>Negative</v>
      </c>
      <c r="H209" s="206" t="str">
        <f>IFERROR(__xludf.DUMMYFUNCTION("""COMPUTED_VALUE"""),"Negative")</f>
        <v>Negative</v>
      </c>
      <c r="I209" s="207">
        <f>IFERROR(__xludf.DUMMYFUNCTION("""COMPUTED_VALUE"""),44658.0)</f>
        <v>44658</v>
      </c>
      <c r="J209" s="208">
        <f>IFERROR(__xludf.DUMMYFUNCTION("""COMPUTED_VALUE"""),0.36667824074074074)</f>
        <v>0.3666782407</v>
      </c>
      <c r="K209" s="50"/>
      <c r="L209" s="6"/>
      <c r="M209" s="55"/>
      <c r="N209" s="55">
        <f>IFERROR(__xludf.DUMMYFUNCTION("""COMPUTED_VALUE"""),1.0)</f>
        <v>1</v>
      </c>
      <c r="O209" s="55" t="str">
        <f t="shared" si="3"/>
        <v/>
      </c>
      <c r="P209" s="209"/>
      <c r="Q209" s="75" t="b">
        <f>VLOOKUP($B209,'Run Reconcile'!B$2:P1679,15,FALSE)</f>
        <v>1</v>
      </c>
      <c r="R209" s="211" t="str">
        <f t="array" ref="R209">IF($Q209, INDEX('Run Reconcile'!A$2:A1679,MATCH(B209,'Run Reconcile'!B$2:B1679,0),1),IFERROR(0/0,""))</f>
        <v>RUN-COMB_2022-04-07_RFR-012</v>
      </c>
      <c r="S209" s="165" t="str">
        <f t="shared" ref="S209:T209" si="417">IF(COUNTIF(W$2:W1679, $A209) &gt; 0,TRUE,IFERROR(0/0,""))</f>
        <v/>
      </c>
      <c r="T209" s="165" t="str">
        <f t="shared" si="417"/>
        <v/>
      </c>
      <c r="U209" s="147" t="str">
        <f t="array" ref="U209">IF(ISBLANK($R209), IF($S209,VLOOKUP($B209+1,'RFR Data - preExcl'!$BF$2:$BG1679,2,FALSE),IF($T209,INDEX('RFR Data - preExcl'!$BF$2:$BG1679,MATCH($B209,'RFR Data - preExcl'!$BF$2:$BF1679,0)+1,2),VLOOKUP($B209,'RFR Data - preExcl'!$BF$2:$BG1679,2,FALSE))),IFERROR(0/0,""))</f>
        <v/>
      </c>
      <c r="V209" s="212" t="str">
        <f t="shared" si="5"/>
        <v>RUN-COMB_2022-04-07_RFR-012</v>
      </c>
      <c r="W209" s="51"/>
      <c r="X209" s="51"/>
      <c r="Y209" s="147" t="str">
        <f t="shared" ref="Y209:Z209" si="418">IF(_xlfn.ISFORMULA(S209),IFERROR(0/0,""),TRUE)</f>
        <v/>
      </c>
      <c r="Z209" s="147" t="str">
        <f t="shared" si="418"/>
        <v/>
      </c>
    </row>
    <row r="210">
      <c r="A210" s="6" t="str">
        <f>IFERROR(__xludf.DUMMYFUNCTION("""COMPUTED_VALUE"""),"FM3974")</f>
        <v>FM3974</v>
      </c>
      <c r="B210" s="206">
        <f>IFERROR(__xludf.DUMMYFUNCTION("""COMPUTED_VALUE"""),44658.0)</f>
        <v>44658</v>
      </c>
      <c r="C210" s="207">
        <f>IFERROR(__xludf.DUMMYFUNCTION("""COMPUTED_VALUE"""),0.34629629629629627)</f>
        <v>0.3462962963</v>
      </c>
      <c r="D210" s="50"/>
      <c r="E210" s="58"/>
      <c r="F210" s="58"/>
      <c r="G210" s="58" t="str">
        <f>IFERROR(__xludf.DUMMYFUNCTION("""COMPUTED_VALUE"""),"Negative")</f>
        <v>Negative</v>
      </c>
      <c r="H210" s="206" t="str">
        <f>IFERROR(__xludf.DUMMYFUNCTION("""COMPUTED_VALUE"""),"Negative")</f>
        <v>Negative</v>
      </c>
      <c r="I210" s="207">
        <f>IFERROR(__xludf.DUMMYFUNCTION("""COMPUTED_VALUE"""),44658.0)</f>
        <v>44658</v>
      </c>
      <c r="J210" s="208">
        <f>IFERROR(__xludf.DUMMYFUNCTION("""COMPUTED_VALUE"""),0.36668981481481483)</f>
        <v>0.3666898148</v>
      </c>
      <c r="K210" s="50"/>
      <c r="L210" s="6"/>
      <c r="M210" s="55"/>
      <c r="N210" s="55">
        <f>IFERROR(__xludf.DUMMYFUNCTION("""COMPUTED_VALUE"""),1.0)</f>
        <v>1</v>
      </c>
      <c r="O210" s="55" t="str">
        <f t="shared" si="3"/>
        <v/>
      </c>
      <c r="P210" s="209"/>
      <c r="Q210" s="75" t="b">
        <f>VLOOKUP($B210,'Run Reconcile'!B$2:P1679,15,FALSE)</f>
        <v>1</v>
      </c>
      <c r="R210" s="211" t="str">
        <f t="array" ref="R210">IF($Q210, INDEX('Run Reconcile'!A$2:A1679,MATCH(B210,'Run Reconcile'!B$2:B1679,0),1),IFERROR(0/0,""))</f>
        <v>RUN-COMB_2022-04-07_RFR-012</v>
      </c>
      <c r="S210" s="165" t="str">
        <f t="shared" ref="S210:T210" si="419">IF(COUNTIF(W$2:W1679, $A210) &gt; 0,TRUE,IFERROR(0/0,""))</f>
        <v/>
      </c>
      <c r="T210" s="165" t="str">
        <f t="shared" si="419"/>
        <v/>
      </c>
      <c r="U210" s="147" t="str">
        <f t="array" ref="U210">IF(ISBLANK($R210), IF($S210,VLOOKUP($B210+1,'RFR Data - preExcl'!$BF$2:$BG1679,2,FALSE),IF($T210,INDEX('RFR Data - preExcl'!$BF$2:$BG1679,MATCH($B210,'RFR Data - preExcl'!$BF$2:$BF1679,0)+1,2),VLOOKUP($B210,'RFR Data - preExcl'!$BF$2:$BG1679,2,FALSE))),IFERROR(0/0,""))</f>
        <v/>
      </c>
      <c r="V210" s="212" t="str">
        <f t="shared" si="5"/>
        <v>RUN-COMB_2022-04-07_RFR-012</v>
      </c>
      <c r="W210" s="51"/>
      <c r="X210" s="51"/>
      <c r="Y210" s="147" t="str">
        <f t="shared" ref="Y210:Z210" si="420">IF(_xlfn.ISFORMULA(S210),IFERROR(0/0,""),TRUE)</f>
        <v/>
      </c>
      <c r="Z210" s="147" t="str">
        <f t="shared" si="420"/>
        <v/>
      </c>
    </row>
    <row r="211">
      <c r="A211" s="6" t="str">
        <f>IFERROR(__xludf.DUMMYFUNCTION("""COMPUTED_VALUE"""),"FM3981")</f>
        <v>FM3981</v>
      </c>
      <c r="B211" s="206">
        <f>IFERROR(__xludf.DUMMYFUNCTION("""COMPUTED_VALUE"""),44658.0)</f>
        <v>44658</v>
      </c>
      <c r="C211" s="207">
        <f>IFERROR(__xludf.DUMMYFUNCTION("""COMPUTED_VALUE"""),0.34725694444444444)</f>
        <v>0.3472569444</v>
      </c>
      <c r="D211" s="50"/>
      <c r="E211" s="58"/>
      <c r="F211" s="58"/>
      <c r="G211" s="58" t="str">
        <f>IFERROR(__xludf.DUMMYFUNCTION("""COMPUTED_VALUE"""),"Negative")</f>
        <v>Negative</v>
      </c>
      <c r="H211" s="206" t="str">
        <f>IFERROR(__xludf.DUMMYFUNCTION("""COMPUTED_VALUE"""),"Negative")</f>
        <v>Negative</v>
      </c>
      <c r="I211" s="207">
        <f>IFERROR(__xludf.DUMMYFUNCTION("""COMPUTED_VALUE"""),44658.0)</f>
        <v>44658</v>
      </c>
      <c r="J211" s="208">
        <f>IFERROR(__xludf.DUMMYFUNCTION("""COMPUTED_VALUE"""),0.36668981481481483)</f>
        <v>0.3666898148</v>
      </c>
      <c r="K211" s="50"/>
      <c r="L211" s="6"/>
      <c r="M211" s="55"/>
      <c r="N211" s="55">
        <f>IFERROR(__xludf.DUMMYFUNCTION("""COMPUTED_VALUE"""),1.0)</f>
        <v>1</v>
      </c>
      <c r="O211" s="55" t="str">
        <f t="shared" si="3"/>
        <v/>
      </c>
      <c r="P211" s="209"/>
      <c r="Q211" s="75" t="b">
        <f>VLOOKUP($B211,'Run Reconcile'!B$2:P1679,15,FALSE)</f>
        <v>1</v>
      </c>
      <c r="R211" s="211" t="str">
        <f t="array" ref="R211">IF($Q211, INDEX('Run Reconcile'!A$2:A1679,MATCH(B211,'Run Reconcile'!B$2:B1679,0),1),IFERROR(0/0,""))</f>
        <v>RUN-COMB_2022-04-07_RFR-012</v>
      </c>
      <c r="S211" s="165" t="str">
        <f t="shared" ref="S211:T211" si="421">IF(COUNTIF(W$2:W1679, $A211) &gt; 0,TRUE,IFERROR(0/0,""))</f>
        <v/>
      </c>
      <c r="T211" s="165" t="str">
        <f t="shared" si="421"/>
        <v/>
      </c>
      <c r="U211" s="147" t="str">
        <f t="array" ref="U211">IF(ISBLANK($R211), IF($S211,VLOOKUP($B211+1,'RFR Data - preExcl'!$BF$2:$BG1679,2,FALSE),IF($T211,INDEX('RFR Data - preExcl'!$BF$2:$BG1679,MATCH($B211,'RFR Data - preExcl'!$BF$2:$BF1679,0)+1,2),VLOOKUP($B211,'RFR Data - preExcl'!$BF$2:$BG1679,2,FALSE))),IFERROR(0/0,""))</f>
        <v/>
      </c>
      <c r="V211" s="212" t="str">
        <f t="shared" si="5"/>
        <v>RUN-COMB_2022-04-07_RFR-012</v>
      </c>
      <c r="W211" s="51"/>
      <c r="X211" s="51"/>
      <c r="Y211" s="147" t="str">
        <f t="shared" ref="Y211:Z211" si="422">IF(_xlfn.ISFORMULA(S211),IFERROR(0/0,""),TRUE)</f>
        <v/>
      </c>
      <c r="Z211" s="147" t="str">
        <f t="shared" si="422"/>
        <v/>
      </c>
    </row>
    <row r="212">
      <c r="A212" s="6" t="str">
        <f>IFERROR(__xludf.DUMMYFUNCTION("""COMPUTED_VALUE"""),"FM3662")</f>
        <v>FM3662</v>
      </c>
      <c r="B212" s="206">
        <f>IFERROR(__xludf.DUMMYFUNCTION("""COMPUTED_VALUE"""),44658.0)</f>
        <v>44658</v>
      </c>
      <c r="C212" s="207">
        <f>IFERROR(__xludf.DUMMYFUNCTION("""COMPUTED_VALUE"""),0.3476388888888889)</f>
        <v>0.3476388889</v>
      </c>
      <c r="D212" s="50"/>
      <c r="E212" s="58"/>
      <c r="F212" s="58"/>
      <c r="G212" s="58" t="str">
        <f>IFERROR(__xludf.DUMMYFUNCTION("""COMPUTED_VALUE"""),"Negative")</f>
        <v>Negative</v>
      </c>
      <c r="H212" s="206" t="str">
        <f>IFERROR(__xludf.DUMMYFUNCTION("""COMPUTED_VALUE"""),"Negative")</f>
        <v>Negative</v>
      </c>
      <c r="I212" s="207">
        <f>IFERROR(__xludf.DUMMYFUNCTION("""COMPUTED_VALUE"""),44658.0)</f>
        <v>44658</v>
      </c>
      <c r="J212" s="208">
        <f>IFERROR(__xludf.DUMMYFUNCTION("""COMPUTED_VALUE"""),0.36670138888888887)</f>
        <v>0.3667013889</v>
      </c>
      <c r="K212" s="50"/>
      <c r="L212" s="6"/>
      <c r="M212" s="55"/>
      <c r="N212" s="55">
        <f>IFERROR(__xludf.DUMMYFUNCTION("""COMPUTED_VALUE"""),1.0)</f>
        <v>1</v>
      </c>
      <c r="O212" s="55" t="str">
        <f t="shared" si="3"/>
        <v/>
      </c>
      <c r="P212" s="209"/>
      <c r="Q212" s="75" t="b">
        <f>VLOOKUP($B212,'Run Reconcile'!B$2:P1679,15,FALSE)</f>
        <v>1</v>
      </c>
      <c r="R212" s="211" t="str">
        <f t="array" ref="R212">IF($Q212, INDEX('Run Reconcile'!A$2:A1679,MATCH(B212,'Run Reconcile'!B$2:B1679,0),1),IFERROR(0/0,""))</f>
        <v>RUN-COMB_2022-04-07_RFR-012</v>
      </c>
      <c r="S212" s="165" t="str">
        <f t="shared" ref="S212:T212" si="423">IF(COUNTIF(W$2:W1679, $A212) &gt; 0,TRUE,IFERROR(0/0,""))</f>
        <v/>
      </c>
      <c r="T212" s="165" t="str">
        <f t="shared" si="423"/>
        <v/>
      </c>
      <c r="U212" s="147" t="str">
        <f t="array" ref="U212">IF(ISBLANK($R212), IF($S212,VLOOKUP($B212+1,'RFR Data - preExcl'!$BF$2:$BG1679,2,FALSE),IF($T212,INDEX('RFR Data - preExcl'!$BF$2:$BG1679,MATCH($B212,'RFR Data - preExcl'!$BF$2:$BF1679,0)+1,2),VLOOKUP($B212,'RFR Data - preExcl'!$BF$2:$BG1679,2,FALSE))),IFERROR(0/0,""))</f>
        <v/>
      </c>
      <c r="V212" s="212" t="str">
        <f t="shared" si="5"/>
        <v>RUN-COMB_2022-04-07_RFR-012</v>
      </c>
      <c r="W212" s="51"/>
      <c r="X212" s="51"/>
      <c r="Y212" s="147" t="str">
        <f t="shared" ref="Y212:Z212" si="424">IF(_xlfn.ISFORMULA(S212),IFERROR(0/0,""),TRUE)</f>
        <v/>
      </c>
      <c r="Z212" s="147" t="str">
        <f t="shared" si="424"/>
        <v/>
      </c>
    </row>
    <row r="213">
      <c r="A213" s="6" t="str">
        <f>IFERROR(__xludf.DUMMYFUNCTION("""COMPUTED_VALUE"""),"FM3965")</f>
        <v>FM3965</v>
      </c>
      <c r="B213" s="206">
        <f>IFERROR(__xludf.DUMMYFUNCTION("""COMPUTED_VALUE"""),44658.0)</f>
        <v>44658</v>
      </c>
      <c r="C213" s="207">
        <f>IFERROR(__xludf.DUMMYFUNCTION("""COMPUTED_VALUE"""),0.3491666666666667)</f>
        <v>0.3491666667</v>
      </c>
      <c r="D213" s="50"/>
      <c r="E213" s="58"/>
      <c r="F213" s="58"/>
      <c r="G213" s="58" t="str">
        <f>IFERROR(__xludf.DUMMYFUNCTION("""COMPUTED_VALUE"""),"Negative")</f>
        <v>Negative</v>
      </c>
      <c r="H213" s="206" t="str">
        <f>IFERROR(__xludf.DUMMYFUNCTION("""COMPUTED_VALUE"""),"Negative")</f>
        <v>Negative</v>
      </c>
      <c r="I213" s="207">
        <f>IFERROR(__xludf.DUMMYFUNCTION("""COMPUTED_VALUE"""),44658.0)</f>
        <v>44658</v>
      </c>
      <c r="J213" s="208">
        <f>IFERROR(__xludf.DUMMYFUNCTION("""COMPUTED_VALUE"""),0.36671296296296296)</f>
        <v>0.366712963</v>
      </c>
      <c r="K213" s="50"/>
      <c r="L213" s="6"/>
      <c r="M213" s="55"/>
      <c r="N213" s="55">
        <f>IFERROR(__xludf.DUMMYFUNCTION("""COMPUTED_VALUE"""),1.0)</f>
        <v>1</v>
      </c>
      <c r="O213" s="55" t="str">
        <f t="shared" si="3"/>
        <v/>
      </c>
      <c r="P213" s="209"/>
      <c r="Q213" s="75" t="b">
        <f>VLOOKUP($B213,'Run Reconcile'!B$2:P1679,15,FALSE)</f>
        <v>1</v>
      </c>
      <c r="R213" s="211" t="str">
        <f t="array" ref="R213">IF($Q213, INDEX('Run Reconcile'!A$2:A1679,MATCH(B213,'Run Reconcile'!B$2:B1679,0),1),IFERROR(0/0,""))</f>
        <v>RUN-COMB_2022-04-07_RFR-012</v>
      </c>
      <c r="S213" s="165" t="str">
        <f t="shared" ref="S213:T213" si="425">IF(COUNTIF(W$2:W1679, $A213) &gt; 0,TRUE,IFERROR(0/0,""))</f>
        <v/>
      </c>
      <c r="T213" s="165" t="str">
        <f t="shared" si="425"/>
        <v/>
      </c>
      <c r="U213" s="147" t="str">
        <f t="array" ref="U213">IF(ISBLANK($R213), IF($S213,VLOOKUP($B213+1,'RFR Data - preExcl'!$BF$2:$BG1679,2,FALSE),IF($T213,INDEX('RFR Data - preExcl'!$BF$2:$BG1679,MATCH($B213,'RFR Data - preExcl'!$BF$2:$BF1679,0)+1,2),VLOOKUP($B213,'RFR Data - preExcl'!$BF$2:$BG1679,2,FALSE))),IFERROR(0/0,""))</f>
        <v/>
      </c>
      <c r="V213" s="212" t="str">
        <f t="shared" si="5"/>
        <v>RUN-COMB_2022-04-07_RFR-012</v>
      </c>
      <c r="W213" s="51"/>
      <c r="X213" s="51"/>
      <c r="Y213" s="147" t="str">
        <f t="shared" ref="Y213:Z213" si="426">IF(_xlfn.ISFORMULA(S213),IFERROR(0/0,""),TRUE)</f>
        <v/>
      </c>
      <c r="Z213" s="147" t="str">
        <f t="shared" si="426"/>
        <v/>
      </c>
    </row>
    <row r="214">
      <c r="A214" s="6" t="str">
        <f>IFERROR(__xludf.DUMMYFUNCTION("""COMPUTED_VALUE"""),"FM4005")</f>
        <v>FM4005</v>
      </c>
      <c r="B214" s="206">
        <f>IFERROR(__xludf.DUMMYFUNCTION("""COMPUTED_VALUE"""),44658.0)</f>
        <v>44658</v>
      </c>
      <c r="C214" s="207">
        <f>IFERROR(__xludf.DUMMYFUNCTION("""COMPUTED_VALUE"""),0.3496875)</f>
        <v>0.3496875</v>
      </c>
      <c r="D214" s="50"/>
      <c r="E214" s="58"/>
      <c r="F214" s="58"/>
      <c r="G214" s="58" t="str">
        <f>IFERROR(__xludf.DUMMYFUNCTION("""COMPUTED_VALUE"""),"Negative")</f>
        <v>Negative</v>
      </c>
      <c r="H214" s="206" t="str">
        <f>IFERROR(__xludf.DUMMYFUNCTION("""COMPUTED_VALUE"""),"Negative")</f>
        <v>Negative</v>
      </c>
      <c r="I214" s="207">
        <f>IFERROR(__xludf.DUMMYFUNCTION("""COMPUTED_VALUE"""),44658.0)</f>
        <v>44658</v>
      </c>
      <c r="J214" s="208">
        <f>IFERROR(__xludf.DUMMYFUNCTION("""COMPUTED_VALUE"""),0.36672453703703706)</f>
        <v>0.366724537</v>
      </c>
      <c r="K214" s="50"/>
      <c r="L214" s="6"/>
      <c r="M214" s="55"/>
      <c r="N214" s="55">
        <f>IFERROR(__xludf.DUMMYFUNCTION("""COMPUTED_VALUE"""),1.0)</f>
        <v>1</v>
      </c>
      <c r="O214" s="55" t="str">
        <f t="shared" si="3"/>
        <v/>
      </c>
      <c r="P214" s="209"/>
      <c r="Q214" s="75" t="b">
        <f>VLOOKUP($B214,'Run Reconcile'!B$2:P1679,15,FALSE)</f>
        <v>1</v>
      </c>
      <c r="R214" s="211" t="str">
        <f t="array" ref="R214">IF($Q214, INDEX('Run Reconcile'!A$2:A1679,MATCH(B214,'Run Reconcile'!B$2:B1679,0),1),IFERROR(0/0,""))</f>
        <v>RUN-COMB_2022-04-07_RFR-012</v>
      </c>
      <c r="S214" s="165" t="str">
        <f t="shared" ref="S214:T214" si="427">IF(COUNTIF(W$2:W1679, $A214) &gt; 0,TRUE,IFERROR(0/0,""))</f>
        <v/>
      </c>
      <c r="T214" s="165" t="str">
        <f t="shared" si="427"/>
        <v/>
      </c>
      <c r="U214" s="147" t="str">
        <f t="array" ref="U214">IF(ISBLANK($R214), IF($S214,VLOOKUP($B214+1,'RFR Data - preExcl'!$BF$2:$BG1679,2,FALSE),IF($T214,INDEX('RFR Data - preExcl'!$BF$2:$BG1679,MATCH($B214,'RFR Data - preExcl'!$BF$2:$BF1679,0)+1,2),VLOOKUP($B214,'RFR Data - preExcl'!$BF$2:$BG1679,2,FALSE))),IFERROR(0/0,""))</f>
        <v/>
      </c>
      <c r="V214" s="212" t="str">
        <f t="shared" si="5"/>
        <v>RUN-COMB_2022-04-07_RFR-012</v>
      </c>
      <c r="W214" s="51"/>
      <c r="X214" s="51"/>
      <c r="Y214" s="147" t="str">
        <f t="shared" ref="Y214:Z214" si="428">IF(_xlfn.ISFORMULA(S214),IFERROR(0/0,""),TRUE)</f>
        <v/>
      </c>
      <c r="Z214" s="147" t="str">
        <f t="shared" si="428"/>
        <v/>
      </c>
    </row>
    <row r="215">
      <c r="A215" s="6" t="str">
        <f>IFERROR(__xludf.DUMMYFUNCTION("""COMPUTED_VALUE"""),"MA164")</f>
        <v>MA164</v>
      </c>
      <c r="B215" s="206">
        <f>IFERROR(__xludf.DUMMYFUNCTION("""COMPUTED_VALUE"""),44658.0)</f>
        <v>44658</v>
      </c>
      <c r="C215" s="207">
        <f>IFERROR(__xludf.DUMMYFUNCTION("""COMPUTED_VALUE"""),0.3500347222222222)</f>
        <v>0.3500347222</v>
      </c>
      <c r="D215" s="50"/>
      <c r="E215" s="58"/>
      <c r="F215" s="58"/>
      <c r="G215" s="58" t="str">
        <f>IFERROR(__xludf.DUMMYFUNCTION("""COMPUTED_VALUE"""),"Negative")</f>
        <v>Negative</v>
      </c>
      <c r="H215" s="206" t="str">
        <f>IFERROR(__xludf.DUMMYFUNCTION("""COMPUTED_VALUE"""),"Negative")</f>
        <v>Negative</v>
      </c>
      <c r="I215" s="207">
        <f>IFERROR(__xludf.DUMMYFUNCTION("""COMPUTED_VALUE"""),44658.0)</f>
        <v>44658</v>
      </c>
      <c r="J215" s="208">
        <f>IFERROR(__xludf.DUMMYFUNCTION("""COMPUTED_VALUE"""),0.3667361111111111)</f>
        <v>0.3667361111</v>
      </c>
      <c r="K215" s="50"/>
      <c r="L215" s="6"/>
      <c r="M215" s="55"/>
      <c r="N215" s="55">
        <f>IFERROR(__xludf.DUMMYFUNCTION("""COMPUTED_VALUE"""),1.0)</f>
        <v>1</v>
      </c>
      <c r="O215" s="55" t="str">
        <f t="shared" si="3"/>
        <v/>
      </c>
      <c r="P215" s="209"/>
      <c r="Q215" s="75" t="b">
        <f>VLOOKUP($B215,'Run Reconcile'!B$2:P1679,15,FALSE)</f>
        <v>1</v>
      </c>
      <c r="R215" s="211" t="str">
        <f t="array" ref="R215">IF($Q215, INDEX('Run Reconcile'!A$2:A1679,MATCH(B215,'Run Reconcile'!B$2:B1679,0),1),IFERROR(0/0,""))</f>
        <v>RUN-COMB_2022-04-07_RFR-012</v>
      </c>
      <c r="S215" s="165" t="str">
        <f t="shared" ref="S215:T215" si="429">IF(COUNTIF(W$2:W1679, $A215) &gt; 0,TRUE,IFERROR(0/0,""))</f>
        <v/>
      </c>
      <c r="T215" s="165" t="str">
        <f t="shared" si="429"/>
        <v/>
      </c>
      <c r="U215" s="147" t="str">
        <f t="array" ref="U215">IF(ISBLANK($R215), IF($S215,VLOOKUP($B215+1,'RFR Data - preExcl'!$BF$2:$BG1679,2,FALSE),IF($T215,INDEX('RFR Data - preExcl'!$BF$2:$BG1679,MATCH($B215,'RFR Data - preExcl'!$BF$2:$BF1679,0)+1,2),VLOOKUP($B215,'RFR Data - preExcl'!$BF$2:$BG1679,2,FALSE))),IFERROR(0/0,""))</f>
        <v/>
      </c>
      <c r="V215" s="212" t="str">
        <f t="shared" si="5"/>
        <v>RUN-COMB_2022-04-07_RFR-012</v>
      </c>
      <c r="W215" s="51"/>
      <c r="X215" s="51"/>
      <c r="Y215" s="147" t="str">
        <f t="shared" ref="Y215:Z215" si="430">IF(_xlfn.ISFORMULA(S215),IFERROR(0/0,""),TRUE)</f>
        <v/>
      </c>
      <c r="Z215" s="147" t="str">
        <f t="shared" si="430"/>
        <v/>
      </c>
    </row>
    <row r="216">
      <c r="A216" s="6" t="str">
        <f>IFERROR(__xludf.DUMMYFUNCTION("""COMPUTED_VALUE"""),"FM3460")</f>
        <v>FM3460</v>
      </c>
      <c r="B216" s="206">
        <f>IFERROR(__xludf.DUMMYFUNCTION("""COMPUTED_VALUE"""),44658.0)</f>
        <v>44658</v>
      </c>
      <c r="C216" s="207">
        <f>IFERROR(__xludf.DUMMYFUNCTION("""COMPUTED_VALUE"""),0.350474537037037)</f>
        <v>0.350474537</v>
      </c>
      <c r="D216" s="50"/>
      <c r="E216" s="58"/>
      <c r="F216" s="58"/>
      <c r="G216" s="58" t="str">
        <f>IFERROR(__xludf.DUMMYFUNCTION("""COMPUTED_VALUE"""),"Negative")</f>
        <v>Negative</v>
      </c>
      <c r="H216" s="206" t="str">
        <f>IFERROR(__xludf.DUMMYFUNCTION("""COMPUTED_VALUE"""),"Negative")</f>
        <v>Negative</v>
      </c>
      <c r="I216" s="207">
        <f>IFERROR(__xludf.DUMMYFUNCTION("""COMPUTED_VALUE"""),44658.0)</f>
        <v>44658</v>
      </c>
      <c r="J216" s="208">
        <f>IFERROR(__xludf.DUMMYFUNCTION("""COMPUTED_VALUE"""),0.3667476851851852)</f>
        <v>0.3667476852</v>
      </c>
      <c r="K216" s="50"/>
      <c r="L216" s="6"/>
      <c r="M216" s="55"/>
      <c r="N216" s="55">
        <f>IFERROR(__xludf.DUMMYFUNCTION("""COMPUTED_VALUE"""),1.0)</f>
        <v>1</v>
      </c>
      <c r="O216" s="55" t="str">
        <f t="shared" si="3"/>
        <v/>
      </c>
      <c r="P216" s="209"/>
      <c r="Q216" s="75" t="b">
        <f>VLOOKUP($B216,'Run Reconcile'!B$2:P1679,15,FALSE)</f>
        <v>1</v>
      </c>
      <c r="R216" s="211" t="str">
        <f t="array" ref="R216">IF($Q216, INDEX('Run Reconcile'!A$2:A1679,MATCH(B216,'Run Reconcile'!B$2:B1679,0),1),IFERROR(0/0,""))</f>
        <v>RUN-COMB_2022-04-07_RFR-012</v>
      </c>
      <c r="S216" s="165" t="str">
        <f t="shared" ref="S216:T216" si="431">IF(COUNTIF(W$2:W1679, $A216) &gt; 0,TRUE,IFERROR(0/0,""))</f>
        <v/>
      </c>
      <c r="T216" s="165" t="str">
        <f t="shared" si="431"/>
        <v/>
      </c>
      <c r="U216" s="147" t="str">
        <f t="array" ref="U216">IF(ISBLANK($R216), IF($S216,VLOOKUP($B216+1,'RFR Data - preExcl'!$BF$2:$BG1679,2,FALSE),IF($T216,INDEX('RFR Data - preExcl'!$BF$2:$BG1679,MATCH($B216,'RFR Data - preExcl'!$BF$2:$BF1679,0)+1,2),VLOOKUP($B216,'RFR Data - preExcl'!$BF$2:$BG1679,2,FALSE))),IFERROR(0/0,""))</f>
        <v/>
      </c>
      <c r="V216" s="212" t="str">
        <f t="shared" si="5"/>
        <v>RUN-COMB_2022-04-07_RFR-012</v>
      </c>
      <c r="W216" s="51"/>
      <c r="X216" s="51"/>
      <c r="Y216" s="147" t="str">
        <f t="shared" ref="Y216:Z216" si="432">IF(_xlfn.ISFORMULA(S216),IFERROR(0/0,""),TRUE)</f>
        <v/>
      </c>
      <c r="Z216" s="147" t="str">
        <f t="shared" si="432"/>
        <v/>
      </c>
    </row>
    <row r="217">
      <c r="A217" s="6" t="str">
        <f>IFERROR(__xludf.DUMMYFUNCTION("""COMPUTED_VALUE"""),"FM3919")</f>
        <v>FM3919</v>
      </c>
      <c r="B217" s="206">
        <f>IFERROR(__xludf.DUMMYFUNCTION("""COMPUTED_VALUE"""),44658.0)</f>
        <v>44658</v>
      </c>
      <c r="C217" s="207">
        <f>IFERROR(__xludf.DUMMYFUNCTION("""COMPUTED_VALUE"""),0.3572106481481481)</f>
        <v>0.3572106481</v>
      </c>
      <c r="D217" s="50"/>
      <c r="E217" s="58"/>
      <c r="F217" s="58"/>
      <c r="G217" s="58" t="str">
        <f>IFERROR(__xludf.DUMMYFUNCTION("""COMPUTED_VALUE"""),"Negative")</f>
        <v>Negative</v>
      </c>
      <c r="H217" s="206" t="str">
        <f>IFERROR(__xludf.DUMMYFUNCTION("""COMPUTED_VALUE"""),"Negative")</f>
        <v>Negative</v>
      </c>
      <c r="I217" s="207">
        <f>IFERROR(__xludf.DUMMYFUNCTION("""COMPUTED_VALUE"""),44658.0)</f>
        <v>44658</v>
      </c>
      <c r="J217" s="208">
        <f>IFERROR(__xludf.DUMMYFUNCTION("""COMPUTED_VALUE"""),0.3667592592592593)</f>
        <v>0.3667592593</v>
      </c>
      <c r="K217" s="50"/>
      <c r="L217" s="6"/>
      <c r="M217" s="55"/>
      <c r="N217" s="55">
        <f>IFERROR(__xludf.DUMMYFUNCTION("""COMPUTED_VALUE"""),1.0)</f>
        <v>1</v>
      </c>
      <c r="O217" s="55" t="str">
        <f t="shared" si="3"/>
        <v/>
      </c>
      <c r="P217" s="209"/>
      <c r="Q217" s="75" t="b">
        <f>VLOOKUP($B217,'Run Reconcile'!B$2:P1679,15,FALSE)</f>
        <v>1</v>
      </c>
      <c r="R217" s="211" t="str">
        <f t="array" ref="R217">IF($Q217, INDEX('Run Reconcile'!A$2:A1679,MATCH(B217,'Run Reconcile'!B$2:B1679,0),1),IFERROR(0/0,""))</f>
        <v>RUN-COMB_2022-04-07_RFR-012</v>
      </c>
      <c r="S217" s="165" t="str">
        <f t="shared" ref="S217:T217" si="433">IF(COUNTIF(W$2:W1679, $A217) &gt; 0,TRUE,IFERROR(0/0,""))</f>
        <v/>
      </c>
      <c r="T217" s="165" t="str">
        <f t="shared" si="433"/>
        <v/>
      </c>
      <c r="U217" s="147" t="str">
        <f t="array" ref="U217">IF(ISBLANK($R217), IF($S217,VLOOKUP($B217+1,'RFR Data - preExcl'!$BF$2:$BG1679,2,FALSE),IF($T217,INDEX('RFR Data - preExcl'!$BF$2:$BG1679,MATCH($B217,'RFR Data - preExcl'!$BF$2:$BF1679,0)+1,2),VLOOKUP($B217,'RFR Data - preExcl'!$BF$2:$BG1679,2,FALSE))),IFERROR(0/0,""))</f>
        <v/>
      </c>
      <c r="V217" s="212" t="str">
        <f t="shared" si="5"/>
        <v>RUN-COMB_2022-04-07_RFR-012</v>
      </c>
      <c r="W217" s="51"/>
      <c r="X217" s="51"/>
      <c r="Y217" s="147" t="str">
        <f t="shared" ref="Y217:Z217" si="434">IF(_xlfn.ISFORMULA(S217),IFERROR(0/0,""),TRUE)</f>
        <v/>
      </c>
      <c r="Z217" s="147" t="str">
        <f t="shared" si="434"/>
        <v/>
      </c>
    </row>
    <row r="218">
      <c r="A218" s="6" t="str">
        <f>IFERROR(__xludf.DUMMYFUNCTION("""COMPUTED_VALUE"""),"FM3973")</f>
        <v>FM3973</v>
      </c>
      <c r="B218" s="206">
        <f>IFERROR(__xludf.DUMMYFUNCTION("""COMPUTED_VALUE"""),44659.0)</f>
        <v>44659</v>
      </c>
      <c r="C218" s="207">
        <f>IFERROR(__xludf.DUMMYFUNCTION("""COMPUTED_VALUE"""),0.3106597222222222)</f>
        <v>0.3106597222</v>
      </c>
      <c r="D218" s="50"/>
      <c r="E218" s="58"/>
      <c r="F218" s="58"/>
      <c r="G218" s="58" t="str">
        <f>IFERROR(__xludf.DUMMYFUNCTION("""COMPUTED_VALUE"""),"Negative")</f>
        <v>Negative</v>
      </c>
      <c r="H218" s="206" t="str">
        <f>IFERROR(__xludf.DUMMYFUNCTION("""COMPUTED_VALUE"""),"Negative")</f>
        <v>Negative</v>
      </c>
      <c r="I218" s="207">
        <f>IFERROR(__xludf.DUMMYFUNCTION("""COMPUTED_VALUE"""),44659.0)</f>
        <v>44659</v>
      </c>
      <c r="J218" s="208">
        <f>IFERROR(__xludf.DUMMYFUNCTION("""COMPUTED_VALUE"""),0.34724537037037034)</f>
        <v>0.3472453704</v>
      </c>
      <c r="K218" s="50"/>
      <c r="L218" s="6"/>
      <c r="M218" s="55"/>
      <c r="N218" s="55">
        <f>IFERROR(__xludf.DUMMYFUNCTION("""COMPUTED_VALUE"""),1.0)</f>
        <v>1</v>
      </c>
      <c r="O218" s="55" t="b">
        <f t="shared" si="3"/>
        <v>1</v>
      </c>
      <c r="P218" s="209"/>
      <c r="Q218" s="75" t="b">
        <f>VLOOKUP($B218,'Run Reconcile'!B$2:P1679,15,FALSE)</f>
        <v>1</v>
      </c>
      <c r="R218" s="211" t="str">
        <f t="array" ref="R218">IF($Q218, INDEX('Run Reconcile'!A$2:A1679,MATCH(B218,'Run Reconcile'!B$2:B1679,0),1),IFERROR(0/0,""))</f>
        <v>RUN-COMB_2022-04-08_RFR-013</v>
      </c>
      <c r="S218" s="165" t="str">
        <f t="shared" ref="S218:T218" si="435">IF(COUNTIF(W$2:W1679, $A218) &gt; 0,TRUE,IFERROR(0/0,""))</f>
        <v/>
      </c>
      <c r="T218" s="165" t="str">
        <f t="shared" si="435"/>
        <v/>
      </c>
      <c r="U218" s="147" t="str">
        <f t="array" ref="U218">IF(ISBLANK($R218), IF($S218,VLOOKUP($B218+1,'RFR Data - preExcl'!$BF$2:$BG1679,2,FALSE),IF($T218,INDEX('RFR Data - preExcl'!$BF$2:$BG1679,MATCH($B218,'RFR Data - preExcl'!$BF$2:$BF1679,0)+1,2),VLOOKUP($B218,'RFR Data - preExcl'!$BF$2:$BG1679,2,FALSE))),IFERROR(0/0,""))</f>
        <v/>
      </c>
      <c r="V218" s="212" t="str">
        <f t="shared" si="5"/>
        <v>RUN-COMB_2022-04-08_RFR-013</v>
      </c>
      <c r="W218" s="51"/>
      <c r="X218" s="51"/>
      <c r="Y218" s="147" t="str">
        <f t="shared" ref="Y218:Z218" si="436">IF(_xlfn.ISFORMULA(S218),IFERROR(0/0,""),TRUE)</f>
        <v/>
      </c>
      <c r="Z218" s="147" t="str">
        <f t="shared" si="436"/>
        <v/>
      </c>
    </row>
    <row r="219">
      <c r="A219" s="6" t="str">
        <f>IFERROR(__xludf.DUMMYFUNCTION("""COMPUTED_VALUE"""),"FM4002")</f>
        <v>FM4002</v>
      </c>
      <c r="B219" s="206">
        <f>IFERROR(__xludf.DUMMYFUNCTION("""COMPUTED_VALUE"""),44659.0)</f>
        <v>44659</v>
      </c>
      <c r="C219" s="207">
        <f>IFERROR(__xludf.DUMMYFUNCTION("""COMPUTED_VALUE"""),0.3112152777777778)</f>
        <v>0.3112152778</v>
      </c>
      <c r="D219" s="50"/>
      <c r="E219" s="58"/>
      <c r="F219" s="58"/>
      <c r="G219" s="58" t="str">
        <f>IFERROR(__xludf.DUMMYFUNCTION("""COMPUTED_VALUE"""),"Negative")</f>
        <v>Negative</v>
      </c>
      <c r="H219" s="206" t="str">
        <f>IFERROR(__xludf.DUMMYFUNCTION("""COMPUTED_VALUE"""),"Negative")</f>
        <v>Negative</v>
      </c>
      <c r="I219" s="207">
        <f>IFERROR(__xludf.DUMMYFUNCTION("""COMPUTED_VALUE"""),44659.0)</f>
        <v>44659</v>
      </c>
      <c r="J219" s="208">
        <f>IFERROR(__xludf.DUMMYFUNCTION("""COMPUTED_VALUE"""),0.34725694444444444)</f>
        <v>0.3472569444</v>
      </c>
      <c r="K219" s="50"/>
      <c r="L219" s="6"/>
      <c r="M219" s="55"/>
      <c r="N219" s="55">
        <f>IFERROR(__xludf.DUMMYFUNCTION("""COMPUTED_VALUE"""),1.0)</f>
        <v>1</v>
      </c>
      <c r="O219" s="55" t="str">
        <f t="shared" si="3"/>
        <v/>
      </c>
      <c r="P219" s="209"/>
      <c r="Q219" s="75" t="b">
        <f>VLOOKUP($B219,'Run Reconcile'!B$2:P1679,15,FALSE)</f>
        <v>1</v>
      </c>
      <c r="R219" s="211" t="str">
        <f t="array" ref="R219">IF($Q219, INDEX('Run Reconcile'!A$2:A1679,MATCH(B219,'Run Reconcile'!B$2:B1679,0),1),IFERROR(0/0,""))</f>
        <v>RUN-COMB_2022-04-08_RFR-013</v>
      </c>
      <c r="S219" s="165" t="str">
        <f t="shared" ref="S219:T219" si="437">IF(COUNTIF(W$2:W1679, $A219) &gt; 0,TRUE,IFERROR(0/0,""))</f>
        <v/>
      </c>
      <c r="T219" s="165" t="str">
        <f t="shared" si="437"/>
        <v/>
      </c>
      <c r="U219" s="147" t="str">
        <f t="array" ref="U219">IF(ISBLANK($R219), IF($S219,VLOOKUP($B219+1,'RFR Data - preExcl'!$BF$2:$BG1679,2,FALSE),IF($T219,INDEX('RFR Data - preExcl'!$BF$2:$BG1679,MATCH($B219,'RFR Data - preExcl'!$BF$2:$BF1679,0)+1,2),VLOOKUP($B219,'RFR Data - preExcl'!$BF$2:$BG1679,2,FALSE))),IFERROR(0/0,""))</f>
        <v/>
      </c>
      <c r="V219" s="212" t="str">
        <f t="shared" si="5"/>
        <v>RUN-COMB_2022-04-08_RFR-013</v>
      </c>
      <c r="W219" s="51"/>
      <c r="X219" s="51"/>
      <c r="Y219" s="147" t="str">
        <f t="shared" ref="Y219:Z219" si="438">IF(_xlfn.ISFORMULA(S219),IFERROR(0/0,""),TRUE)</f>
        <v/>
      </c>
      <c r="Z219" s="147" t="str">
        <f t="shared" si="438"/>
        <v/>
      </c>
    </row>
    <row r="220">
      <c r="A220" s="6" t="str">
        <f>IFERROR(__xludf.DUMMYFUNCTION("""COMPUTED_VALUE"""),"FM3968")</f>
        <v>FM3968</v>
      </c>
      <c r="B220" s="206">
        <f>IFERROR(__xludf.DUMMYFUNCTION("""COMPUTED_VALUE"""),44659.0)</f>
        <v>44659</v>
      </c>
      <c r="C220" s="207">
        <f>IFERROR(__xludf.DUMMYFUNCTION("""COMPUTED_VALUE"""),0.3116435185185185)</f>
        <v>0.3116435185</v>
      </c>
      <c r="D220" s="50"/>
      <c r="E220" s="58"/>
      <c r="F220" s="58"/>
      <c r="G220" s="58" t="str">
        <f>IFERROR(__xludf.DUMMYFUNCTION("""COMPUTED_VALUE"""),"Negative")</f>
        <v>Negative</v>
      </c>
      <c r="H220" s="206" t="str">
        <f>IFERROR(__xludf.DUMMYFUNCTION("""COMPUTED_VALUE"""),"Negative")</f>
        <v>Negative</v>
      </c>
      <c r="I220" s="207">
        <f>IFERROR(__xludf.DUMMYFUNCTION("""COMPUTED_VALUE"""),44659.0)</f>
        <v>44659</v>
      </c>
      <c r="J220" s="208">
        <f>IFERROR(__xludf.DUMMYFUNCTION("""COMPUTED_VALUE"""),0.34725694444444444)</f>
        <v>0.3472569444</v>
      </c>
      <c r="K220" s="50"/>
      <c r="L220" s="6"/>
      <c r="M220" s="55"/>
      <c r="N220" s="55">
        <f>IFERROR(__xludf.DUMMYFUNCTION("""COMPUTED_VALUE"""),1.0)</f>
        <v>1</v>
      </c>
      <c r="O220" s="55" t="str">
        <f t="shared" si="3"/>
        <v/>
      </c>
      <c r="P220" s="209"/>
      <c r="Q220" s="75" t="b">
        <f>VLOOKUP($B220,'Run Reconcile'!B$2:P1679,15,FALSE)</f>
        <v>1</v>
      </c>
      <c r="R220" s="211" t="str">
        <f t="array" ref="R220">IF($Q220, INDEX('Run Reconcile'!A$2:A1679,MATCH(B220,'Run Reconcile'!B$2:B1679,0),1),IFERROR(0/0,""))</f>
        <v>RUN-COMB_2022-04-08_RFR-013</v>
      </c>
      <c r="S220" s="165" t="str">
        <f t="shared" ref="S220:T220" si="439">IF(COUNTIF(W$2:W1679, $A220) &gt; 0,TRUE,IFERROR(0/0,""))</f>
        <v/>
      </c>
      <c r="T220" s="165" t="str">
        <f t="shared" si="439"/>
        <v/>
      </c>
      <c r="U220" s="147" t="str">
        <f t="array" ref="U220">IF(ISBLANK($R220), IF($S220,VLOOKUP($B220+1,'RFR Data - preExcl'!$BF$2:$BG1679,2,FALSE),IF($T220,INDEX('RFR Data - preExcl'!$BF$2:$BG1679,MATCH($B220,'RFR Data - preExcl'!$BF$2:$BF1679,0)+1,2),VLOOKUP($B220,'RFR Data - preExcl'!$BF$2:$BG1679,2,FALSE))),IFERROR(0/0,""))</f>
        <v/>
      </c>
      <c r="V220" s="212" t="str">
        <f t="shared" si="5"/>
        <v>RUN-COMB_2022-04-08_RFR-013</v>
      </c>
      <c r="W220" s="51"/>
      <c r="X220" s="51"/>
      <c r="Y220" s="147" t="str">
        <f t="shared" ref="Y220:Z220" si="440">IF(_xlfn.ISFORMULA(S220),IFERROR(0/0,""),TRUE)</f>
        <v/>
      </c>
      <c r="Z220" s="147" t="str">
        <f t="shared" si="440"/>
        <v/>
      </c>
    </row>
    <row r="221">
      <c r="A221" s="6" t="str">
        <f>IFERROR(__xludf.DUMMYFUNCTION("""COMPUTED_VALUE"""),"FM3422")</f>
        <v>FM3422</v>
      </c>
      <c r="B221" s="206">
        <f>IFERROR(__xludf.DUMMYFUNCTION("""COMPUTED_VALUE"""),44659.0)</f>
        <v>44659</v>
      </c>
      <c r="C221" s="207">
        <f>IFERROR(__xludf.DUMMYFUNCTION("""COMPUTED_VALUE"""),0.31494212962962964)</f>
        <v>0.3149421296</v>
      </c>
      <c r="D221" s="50"/>
      <c r="E221" s="58"/>
      <c r="F221" s="58"/>
      <c r="G221" s="58" t="str">
        <f>IFERROR(__xludf.DUMMYFUNCTION("""COMPUTED_VALUE"""),"Negative")</f>
        <v>Negative</v>
      </c>
      <c r="H221" s="206" t="str">
        <f>IFERROR(__xludf.DUMMYFUNCTION("""COMPUTED_VALUE"""),"Negative")</f>
        <v>Negative</v>
      </c>
      <c r="I221" s="207">
        <f>IFERROR(__xludf.DUMMYFUNCTION("""COMPUTED_VALUE"""),44659.0)</f>
        <v>44659</v>
      </c>
      <c r="J221" s="208">
        <f>IFERROR(__xludf.DUMMYFUNCTION("""COMPUTED_VALUE"""),0.34726851851851853)</f>
        <v>0.3472685185</v>
      </c>
      <c r="K221" s="50"/>
      <c r="L221" s="6"/>
      <c r="M221" s="55"/>
      <c r="N221" s="55">
        <f>IFERROR(__xludf.DUMMYFUNCTION("""COMPUTED_VALUE"""),1.0)</f>
        <v>1</v>
      </c>
      <c r="O221" s="55" t="str">
        <f t="shared" si="3"/>
        <v/>
      </c>
      <c r="P221" s="209"/>
      <c r="Q221" s="75" t="b">
        <f>VLOOKUP($B221,'Run Reconcile'!B$2:P1679,15,FALSE)</f>
        <v>1</v>
      </c>
      <c r="R221" s="211" t="str">
        <f t="array" ref="R221">IF($Q221, INDEX('Run Reconcile'!A$2:A1679,MATCH(B221,'Run Reconcile'!B$2:B1679,0),1),IFERROR(0/0,""))</f>
        <v>RUN-COMB_2022-04-08_RFR-013</v>
      </c>
      <c r="S221" s="165" t="str">
        <f t="shared" ref="S221:T221" si="441">IF(COUNTIF(W$2:W1679, $A221) &gt; 0,TRUE,IFERROR(0/0,""))</f>
        <v/>
      </c>
      <c r="T221" s="165" t="str">
        <f t="shared" si="441"/>
        <v/>
      </c>
      <c r="U221" s="147" t="str">
        <f t="array" ref="U221">IF(ISBLANK($R221), IF($S221,VLOOKUP($B221+1,'RFR Data - preExcl'!$BF$2:$BG1679,2,FALSE),IF($T221,INDEX('RFR Data - preExcl'!$BF$2:$BG1679,MATCH($B221,'RFR Data - preExcl'!$BF$2:$BF1679,0)+1,2),VLOOKUP($B221,'RFR Data - preExcl'!$BF$2:$BG1679,2,FALSE))),IFERROR(0/0,""))</f>
        <v/>
      </c>
      <c r="V221" s="212" t="str">
        <f t="shared" si="5"/>
        <v>RUN-COMB_2022-04-08_RFR-013</v>
      </c>
      <c r="W221" s="51"/>
      <c r="X221" s="51"/>
      <c r="Y221" s="147" t="str">
        <f t="shared" ref="Y221:Z221" si="442">IF(_xlfn.ISFORMULA(S221),IFERROR(0/0,""),TRUE)</f>
        <v/>
      </c>
      <c r="Z221" s="147" t="str">
        <f t="shared" si="442"/>
        <v/>
      </c>
    </row>
    <row r="222">
      <c r="A222" s="6" t="str">
        <f>IFERROR(__xludf.DUMMYFUNCTION("""COMPUTED_VALUE"""),"FM3940")</f>
        <v>FM3940</v>
      </c>
      <c r="B222" s="206">
        <f>IFERROR(__xludf.DUMMYFUNCTION("""COMPUTED_VALUE"""),44659.0)</f>
        <v>44659</v>
      </c>
      <c r="C222" s="207">
        <f>IFERROR(__xludf.DUMMYFUNCTION("""COMPUTED_VALUE"""),0.3155439814814815)</f>
        <v>0.3155439815</v>
      </c>
      <c r="D222" s="50"/>
      <c r="E222" s="58"/>
      <c r="F222" s="58"/>
      <c r="G222" s="58" t="str">
        <f>IFERROR(__xludf.DUMMYFUNCTION("""COMPUTED_VALUE"""),"Negative")</f>
        <v>Negative</v>
      </c>
      <c r="H222" s="206" t="str">
        <f>IFERROR(__xludf.DUMMYFUNCTION("""COMPUTED_VALUE"""),"Negative")</f>
        <v>Negative</v>
      </c>
      <c r="I222" s="207">
        <f>IFERROR(__xludf.DUMMYFUNCTION("""COMPUTED_VALUE"""),44659.0)</f>
        <v>44659</v>
      </c>
      <c r="J222" s="208">
        <f>IFERROR(__xludf.DUMMYFUNCTION("""COMPUTED_VALUE"""),0.34726851851851853)</f>
        <v>0.3472685185</v>
      </c>
      <c r="K222" s="50"/>
      <c r="L222" s="6"/>
      <c r="M222" s="55"/>
      <c r="N222" s="55">
        <f>IFERROR(__xludf.DUMMYFUNCTION("""COMPUTED_VALUE"""),1.0)</f>
        <v>1</v>
      </c>
      <c r="O222" s="55" t="str">
        <f t="shared" si="3"/>
        <v/>
      </c>
      <c r="P222" s="209"/>
      <c r="Q222" s="75" t="b">
        <f>VLOOKUP($B222,'Run Reconcile'!B$2:P1679,15,FALSE)</f>
        <v>1</v>
      </c>
      <c r="R222" s="211" t="str">
        <f t="array" ref="R222">IF($Q222, INDEX('Run Reconcile'!A$2:A1679,MATCH(B222,'Run Reconcile'!B$2:B1679,0),1),IFERROR(0/0,""))</f>
        <v>RUN-COMB_2022-04-08_RFR-013</v>
      </c>
      <c r="S222" s="165" t="str">
        <f t="shared" ref="S222:T222" si="443">IF(COUNTIF(W$2:W1679, $A222) &gt; 0,TRUE,IFERROR(0/0,""))</f>
        <v/>
      </c>
      <c r="T222" s="165" t="str">
        <f t="shared" si="443"/>
        <v/>
      </c>
      <c r="U222" s="147" t="str">
        <f t="array" ref="U222">IF(ISBLANK($R222), IF($S222,VLOOKUP($B222+1,'RFR Data - preExcl'!$BF$2:$BG1679,2,FALSE),IF($T222,INDEX('RFR Data - preExcl'!$BF$2:$BG1679,MATCH($B222,'RFR Data - preExcl'!$BF$2:$BF1679,0)+1,2),VLOOKUP($B222,'RFR Data - preExcl'!$BF$2:$BG1679,2,FALSE))),IFERROR(0/0,""))</f>
        <v/>
      </c>
      <c r="V222" s="212" t="str">
        <f t="shared" si="5"/>
        <v>RUN-COMB_2022-04-08_RFR-013</v>
      </c>
      <c r="W222" s="51"/>
      <c r="X222" s="51"/>
      <c r="Y222" s="147" t="str">
        <f t="shared" ref="Y222:Z222" si="444">IF(_xlfn.ISFORMULA(S222),IFERROR(0/0,""),TRUE)</f>
        <v/>
      </c>
      <c r="Z222" s="147" t="str">
        <f t="shared" si="444"/>
        <v/>
      </c>
    </row>
    <row r="223">
      <c r="A223" s="6" t="str">
        <f>IFERROR(__xludf.DUMMYFUNCTION("""COMPUTED_VALUE"""),"FM3985")</f>
        <v>FM3985</v>
      </c>
      <c r="B223" s="206">
        <f>IFERROR(__xludf.DUMMYFUNCTION("""COMPUTED_VALUE"""),44659.0)</f>
        <v>44659</v>
      </c>
      <c r="C223" s="207">
        <f>IFERROR(__xludf.DUMMYFUNCTION("""COMPUTED_VALUE"""),0.3163078703703704)</f>
        <v>0.3163078704</v>
      </c>
      <c r="D223" s="50"/>
      <c r="E223" s="58"/>
      <c r="F223" s="58"/>
      <c r="G223" s="58" t="str">
        <f>IFERROR(__xludf.DUMMYFUNCTION("""COMPUTED_VALUE"""),"Negative")</f>
        <v>Negative</v>
      </c>
      <c r="H223" s="206" t="str">
        <f>IFERROR(__xludf.DUMMYFUNCTION("""COMPUTED_VALUE"""),"Negative")</f>
        <v>Negative</v>
      </c>
      <c r="I223" s="207">
        <f>IFERROR(__xludf.DUMMYFUNCTION("""COMPUTED_VALUE"""),44659.0)</f>
        <v>44659</v>
      </c>
      <c r="J223" s="208">
        <f>IFERROR(__xludf.DUMMYFUNCTION("""COMPUTED_VALUE"""),0.34726851851851853)</f>
        <v>0.3472685185</v>
      </c>
      <c r="K223" s="50"/>
      <c r="L223" s="6"/>
      <c r="M223" s="55"/>
      <c r="N223" s="55">
        <f>IFERROR(__xludf.DUMMYFUNCTION("""COMPUTED_VALUE"""),1.0)</f>
        <v>1</v>
      </c>
      <c r="O223" s="55" t="str">
        <f t="shared" si="3"/>
        <v/>
      </c>
      <c r="P223" s="209"/>
      <c r="Q223" s="75" t="b">
        <f>VLOOKUP($B223,'Run Reconcile'!B$2:P1679,15,FALSE)</f>
        <v>1</v>
      </c>
      <c r="R223" s="211" t="str">
        <f t="array" ref="R223">IF($Q223, INDEX('Run Reconcile'!A$2:A1679,MATCH(B223,'Run Reconcile'!B$2:B1679,0),1),IFERROR(0/0,""))</f>
        <v>RUN-COMB_2022-04-08_RFR-013</v>
      </c>
      <c r="S223" s="165" t="str">
        <f t="shared" ref="S223:T223" si="445">IF(COUNTIF(W$2:W1679, $A223) &gt; 0,TRUE,IFERROR(0/0,""))</f>
        <v/>
      </c>
      <c r="T223" s="165" t="str">
        <f t="shared" si="445"/>
        <v/>
      </c>
      <c r="U223" s="147" t="str">
        <f t="array" ref="U223">IF(ISBLANK($R223), IF($S223,VLOOKUP($B223+1,'RFR Data - preExcl'!$BF$2:$BG1679,2,FALSE),IF($T223,INDEX('RFR Data - preExcl'!$BF$2:$BG1679,MATCH($B223,'RFR Data - preExcl'!$BF$2:$BF1679,0)+1,2),VLOOKUP($B223,'RFR Data - preExcl'!$BF$2:$BG1679,2,FALSE))),IFERROR(0/0,""))</f>
        <v/>
      </c>
      <c r="V223" s="212" t="str">
        <f t="shared" si="5"/>
        <v>RUN-COMB_2022-04-08_RFR-013</v>
      </c>
      <c r="W223" s="51"/>
      <c r="X223" s="51"/>
      <c r="Y223" s="147" t="str">
        <f t="shared" ref="Y223:Z223" si="446">IF(_xlfn.ISFORMULA(S223),IFERROR(0/0,""),TRUE)</f>
        <v/>
      </c>
      <c r="Z223" s="147" t="str">
        <f t="shared" si="446"/>
        <v/>
      </c>
    </row>
    <row r="224">
      <c r="A224" s="6" t="str">
        <f>IFERROR(__xludf.DUMMYFUNCTION("""COMPUTED_VALUE"""),"MA122")</f>
        <v>MA122</v>
      </c>
      <c r="B224" s="206">
        <f>IFERROR(__xludf.DUMMYFUNCTION("""COMPUTED_VALUE"""),44659.0)</f>
        <v>44659</v>
      </c>
      <c r="C224" s="207">
        <f>IFERROR(__xludf.DUMMYFUNCTION("""COMPUTED_VALUE"""),0.31667824074074075)</f>
        <v>0.3166782407</v>
      </c>
      <c r="D224" s="50"/>
      <c r="E224" s="58"/>
      <c r="F224" s="58"/>
      <c r="G224" s="58" t="str">
        <f>IFERROR(__xludf.DUMMYFUNCTION("""COMPUTED_VALUE"""),"Negative")</f>
        <v>Negative</v>
      </c>
      <c r="H224" s="206" t="str">
        <f>IFERROR(__xludf.DUMMYFUNCTION("""COMPUTED_VALUE"""),"Negative")</f>
        <v>Negative</v>
      </c>
      <c r="I224" s="207">
        <f>IFERROR(__xludf.DUMMYFUNCTION("""COMPUTED_VALUE"""),44659.0)</f>
        <v>44659</v>
      </c>
      <c r="J224" s="208">
        <f>IFERROR(__xludf.DUMMYFUNCTION("""COMPUTED_VALUE"""),0.34728009259259257)</f>
        <v>0.3472800926</v>
      </c>
      <c r="K224" s="50"/>
      <c r="L224" s="6"/>
      <c r="M224" s="55"/>
      <c r="N224" s="55">
        <f>IFERROR(__xludf.DUMMYFUNCTION("""COMPUTED_VALUE"""),1.0)</f>
        <v>1</v>
      </c>
      <c r="O224" s="55" t="str">
        <f t="shared" si="3"/>
        <v/>
      </c>
      <c r="P224" s="209"/>
      <c r="Q224" s="75" t="b">
        <f>VLOOKUP($B224,'Run Reconcile'!B$2:P1679,15,FALSE)</f>
        <v>1</v>
      </c>
      <c r="R224" s="211" t="str">
        <f t="array" ref="R224">IF($Q224, INDEX('Run Reconcile'!A$2:A1679,MATCH(B224,'Run Reconcile'!B$2:B1679,0),1),IFERROR(0/0,""))</f>
        <v>RUN-COMB_2022-04-08_RFR-013</v>
      </c>
      <c r="S224" s="165" t="str">
        <f t="shared" ref="S224:T224" si="447">IF(COUNTIF(W$2:W1679, $A224) &gt; 0,TRUE,IFERROR(0/0,""))</f>
        <v/>
      </c>
      <c r="T224" s="165" t="str">
        <f t="shared" si="447"/>
        <v/>
      </c>
      <c r="U224" s="147" t="str">
        <f t="array" ref="U224">IF(ISBLANK($R224), IF($S224,VLOOKUP($B224+1,'RFR Data - preExcl'!$BF$2:$BG1679,2,FALSE),IF($T224,INDEX('RFR Data - preExcl'!$BF$2:$BG1679,MATCH($B224,'RFR Data - preExcl'!$BF$2:$BF1679,0)+1,2),VLOOKUP($B224,'RFR Data - preExcl'!$BF$2:$BG1679,2,FALSE))),IFERROR(0/0,""))</f>
        <v/>
      </c>
      <c r="V224" s="212" t="str">
        <f t="shared" si="5"/>
        <v>RUN-COMB_2022-04-08_RFR-013</v>
      </c>
      <c r="W224" s="51"/>
      <c r="X224" s="51"/>
      <c r="Y224" s="147" t="str">
        <f t="shared" ref="Y224:Z224" si="448">IF(_xlfn.ISFORMULA(S224),IFERROR(0/0,""),TRUE)</f>
        <v/>
      </c>
      <c r="Z224" s="147" t="str">
        <f t="shared" si="448"/>
        <v/>
      </c>
    </row>
    <row r="225">
      <c r="A225" s="6" t="str">
        <f>IFERROR(__xludf.DUMMYFUNCTION("""COMPUTED_VALUE"""),"FM3996")</f>
        <v>FM3996</v>
      </c>
      <c r="B225" s="206">
        <f>IFERROR(__xludf.DUMMYFUNCTION("""COMPUTED_VALUE"""),44659.0)</f>
        <v>44659</v>
      </c>
      <c r="C225" s="207">
        <f>IFERROR(__xludf.DUMMYFUNCTION("""COMPUTED_VALUE"""),0.3170486111111111)</f>
        <v>0.3170486111</v>
      </c>
      <c r="D225" s="50"/>
      <c r="E225" s="58"/>
      <c r="F225" s="58"/>
      <c r="G225" s="58" t="str">
        <f>IFERROR(__xludf.DUMMYFUNCTION("""COMPUTED_VALUE"""),"Negative")</f>
        <v>Negative</v>
      </c>
      <c r="H225" s="206" t="str">
        <f>IFERROR(__xludf.DUMMYFUNCTION("""COMPUTED_VALUE"""),"Negative")</f>
        <v>Negative</v>
      </c>
      <c r="I225" s="207">
        <f>IFERROR(__xludf.DUMMYFUNCTION("""COMPUTED_VALUE"""),44659.0)</f>
        <v>44659</v>
      </c>
      <c r="J225" s="208">
        <f>IFERROR(__xludf.DUMMYFUNCTION("""COMPUTED_VALUE"""),0.34730324074074076)</f>
        <v>0.3473032407</v>
      </c>
      <c r="K225" s="50"/>
      <c r="L225" s="6"/>
      <c r="M225" s="55"/>
      <c r="N225" s="55">
        <f>IFERROR(__xludf.DUMMYFUNCTION("""COMPUTED_VALUE"""),1.0)</f>
        <v>1</v>
      </c>
      <c r="O225" s="55" t="str">
        <f t="shared" si="3"/>
        <v/>
      </c>
      <c r="P225" s="209"/>
      <c r="Q225" s="75" t="b">
        <f>VLOOKUP($B225,'Run Reconcile'!B$2:P1679,15,FALSE)</f>
        <v>1</v>
      </c>
      <c r="R225" s="211" t="str">
        <f t="array" ref="R225">IF($Q225, INDEX('Run Reconcile'!A$2:A1679,MATCH(B225,'Run Reconcile'!B$2:B1679,0),1),IFERROR(0/0,""))</f>
        <v>RUN-COMB_2022-04-08_RFR-013</v>
      </c>
      <c r="S225" s="165" t="str">
        <f t="shared" ref="S225:T225" si="449">IF(COUNTIF(W$2:W1679, $A225) &gt; 0,TRUE,IFERROR(0/0,""))</f>
        <v/>
      </c>
      <c r="T225" s="165" t="str">
        <f t="shared" si="449"/>
        <v/>
      </c>
      <c r="U225" s="147" t="str">
        <f t="array" ref="U225">IF(ISBLANK($R225), IF($S225,VLOOKUP($B225+1,'RFR Data - preExcl'!$BF$2:$BG1679,2,FALSE),IF($T225,INDEX('RFR Data - preExcl'!$BF$2:$BG1679,MATCH($B225,'RFR Data - preExcl'!$BF$2:$BF1679,0)+1,2),VLOOKUP($B225,'RFR Data - preExcl'!$BF$2:$BG1679,2,FALSE))),IFERROR(0/0,""))</f>
        <v/>
      </c>
      <c r="V225" s="212" t="str">
        <f t="shared" si="5"/>
        <v>RUN-COMB_2022-04-08_RFR-013</v>
      </c>
      <c r="W225" s="51"/>
      <c r="X225" s="51"/>
      <c r="Y225" s="147" t="str">
        <f t="shared" ref="Y225:Z225" si="450">IF(_xlfn.ISFORMULA(S225),IFERROR(0/0,""),TRUE)</f>
        <v/>
      </c>
      <c r="Z225" s="147" t="str">
        <f t="shared" si="450"/>
        <v/>
      </c>
    </row>
    <row r="226">
      <c r="A226" s="6" t="str">
        <f>IFERROR(__xludf.DUMMYFUNCTION("""COMPUTED_VALUE"""),"FM3997")</f>
        <v>FM3997</v>
      </c>
      <c r="B226" s="206">
        <f>IFERROR(__xludf.DUMMYFUNCTION("""COMPUTED_VALUE"""),44659.0)</f>
        <v>44659</v>
      </c>
      <c r="C226" s="207">
        <f>IFERROR(__xludf.DUMMYFUNCTION("""COMPUTED_VALUE"""),0.3176736111111111)</f>
        <v>0.3176736111</v>
      </c>
      <c r="D226" s="50"/>
      <c r="E226" s="58"/>
      <c r="F226" s="58"/>
      <c r="G226" s="58" t="str">
        <f>IFERROR(__xludf.DUMMYFUNCTION("""COMPUTED_VALUE"""),"Negative")</f>
        <v>Negative</v>
      </c>
      <c r="H226" s="206" t="str">
        <f>IFERROR(__xludf.DUMMYFUNCTION("""COMPUTED_VALUE"""),"Negative")</f>
        <v>Negative</v>
      </c>
      <c r="I226" s="207">
        <f>IFERROR(__xludf.DUMMYFUNCTION("""COMPUTED_VALUE"""),44659.0)</f>
        <v>44659</v>
      </c>
      <c r="J226" s="208">
        <f>IFERROR(__xludf.DUMMYFUNCTION("""COMPUTED_VALUE"""),0.34730324074074076)</f>
        <v>0.3473032407</v>
      </c>
      <c r="K226" s="50"/>
      <c r="L226" s="6"/>
      <c r="M226" s="55"/>
      <c r="N226" s="55">
        <f>IFERROR(__xludf.DUMMYFUNCTION("""COMPUTED_VALUE"""),1.0)</f>
        <v>1</v>
      </c>
      <c r="O226" s="55" t="str">
        <f t="shared" si="3"/>
        <v/>
      </c>
      <c r="P226" s="209"/>
      <c r="Q226" s="75" t="b">
        <f>VLOOKUP($B226,'Run Reconcile'!B$2:P1679,15,FALSE)</f>
        <v>1</v>
      </c>
      <c r="R226" s="211" t="str">
        <f t="array" ref="R226">IF($Q226, INDEX('Run Reconcile'!A$2:A1679,MATCH(B226,'Run Reconcile'!B$2:B1679,0),1),IFERROR(0/0,""))</f>
        <v>RUN-COMB_2022-04-08_RFR-013</v>
      </c>
      <c r="S226" s="165" t="str">
        <f t="shared" ref="S226:T226" si="451">IF(COUNTIF(W$2:W1679, $A226) &gt; 0,TRUE,IFERROR(0/0,""))</f>
        <v/>
      </c>
      <c r="T226" s="165" t="str">
        <f t="shared" si="451"/>
        <v/>
      </c>
      <c r="U226" s="147" t="str">
        <f t="array" ref="U226">IF(ISBLANK($R226), IF($S226,VLOOKUP($B226+1,'RFR Data - preExcl'!$BF$2:$BG1679,2,FALSE),IF($T226,INDEX('RFR Data - preExcl'!$BF$2:$BG1679,MATCH($B226,'RFR Data - preExcl'!$BF$2:$BF1679,0)+1,2),VLOOKUP($B226,'RFR Data - preExcl'!$BF$2:$BG1679,2,FALSE))),IFERROR(0/0,""))</f>
        <v/>
      </c>
      <c r="V226" s="212" t="str">
        <f t="shared" si="5"/>
        <v>RUN-COMB_2022-04-08_RFR-013</v>
      </c>
      <c r="W226" s="51"/>
      <c r="X226" s="51"/>
      <c r="Y226" s="147" t="str">
        <f t="shared" ref="Y226:Z226" si="452">IF(_xlfn.ISFORMULA(S226),IFERROR(0/0,""),TRUE)</f>
        <v/>
      </c>
      <c r="Z226" s="147" t="str">
        <f t="shared" si="452"/>
        <v/>
      </c>
    </row>
    <row r="227">
      <c r="A227" s="6" t="str">
        <f>IFERROR(__xludf.DUMMYFUNCTION("""COMPUTED_VALUE"""),"FM3409")</f>
        <v>FM3409</v>
      </c>
      <c r="B227" s="206">
        <f>IFERROR(__xludf.DUMMYFUNCTION("""COMPUTED_VALUE"""),44659.0)</f>
        <v>44659</v>
      </c>
      <c r="C227" s="207">
        <f>IFERROR(__xludf.DUMMYFUNCTION("""COMPUTED_VALUE"""),0.32016203703703705)</f>
        <v>0.320162037</v>
      </c>
      <c r="D227" s="50"/>
      <c r="E227" s="58"/>
      <c r="F227" s="58"/>
      <c r="G227" s="58" t="str">
        <f>IFERROR(__xludf.DUMMYFUNCTION("""COMPUTED_VALUE"""),"Negative")</f>
        <v>Negative</v>
      </c>
      <c r="H227" s="206" t="str">
        <f>IFERROR(__xludf.DUMMYFUNCTION("""COMPUTED_VALUE"""),"Negative")</f>
        <v>Negative</v>
      </c>
      <c r="I227" s="207">
        <f>IFERROR(__xludf.DUMMYFUNCTION("""COMPUTED_VALUE"""),44659.0)</f>
        <v>44659</v>
      </c>
      <c r="J227" s="208">
        <f>IFERROR(__xludf.DUMMYFUNCTION("""COMPUTED_VALUE"""),0.3473148148148148)</f>
        <v>0.3473148148</v>
      </c>
      <c r="K227" s="50"/>
      <c r="L227" s="6"/>
      <c r="M227" s="55"/>
      <c r="N227" s="55">
        <f>IFERROR(__xludf.DUMMYFUNCTION("""COMPUTED_VALUE"""),1.0)</f>
        <v>1</v>
      </c>
      <c r="O227" s="55" t="str">
        <f t="shared" si="3"/>
        <v/>
      </c>
      <c r="P227" s="209"/>
      <c r="Q227" s="75" t="b">
        <f>VLOOKUP($B227,'Run Reconcile'!B$2:P1679,15,FALSE)</f>
        <v>1</v>
      </c>
      <c r="R227" s="211" t="str">
        <f t="array" ref="R227">IF($Q227, INDEX('Run Reconcile'!A$2:A1679,MATCH(B227,'Run Reconcile'!B$2:B1679,0),1),IFERROR(0/0,""))</f>
        <v>RUN-COMB_2022-04-08_RFR-013</v>
      </c>
      <c r="S227" s="165" t="str">
        <f t="shared" ref="S227:T227" si="453">IF(COUNTIF(W$2:W1679, $A227) &gt; 0,TRUE,IFERROR(0/0,""))</f>
        <v/>
      </c>
      <c r="T227" s="165" t="str">
        <f t="shared" si="453"/>
        <v/>
      </c>
      <c r="U227" s="147" t="str">
        <f t="array" ref="U227">IF(ISBLANK($R227), IF($S227,VLOOKUP($B227+1,'RFR Data - preExcl'!$BF$2:$BG1679,2,FALSE),IF($T227,INDEX('RFR Data - preExcl'!$BF$2:$BG1679,MATCH($B227,'RFR Data - preExcl'!$BF$2:$BF1679,0)+1,2),VLOOKUP($B227,'RFR Data - preExcl'!$BF$2:$BG1679,2,FALSE))),IFERROR(0/0,""))</f>
        <v/>
      </c>
      <c r="V227" s="212" t="str">
        <f t="shared" si="5"/>
        <v>RUN-COMB_2022-04-08_RFR-013</v>
      </c>
      <c r="W227" s="51"/>
      <c r="X227" s="51"/>
      <c r="Y227" s="147" t="str">
        <f t="shared" ref="Y227:Z227" si="454">IF(_xlfn.ISFORMULA(S227),IFERROR(0/0,""),TRUE)</f>
        <v/>
      </c>
      <c r="Z227" s="147" t="str">
        <f t="shared" si="454"/>
        <v/>
      </c>
    </row>
    <row r="228">
      <c r="A228" s="6" t="str">
        <f>IFERROR(__xludf.DUMMYFUNCTION("""COMPUTED_VALUE"""),"FM3989")</f>
        <v>FM3989</v>
      </c>
      <c r="B228" s="206">
        <f>IFERROR(__xludf.DUMMYFUNCTION("""COMPUTED_VALUE"""),44659.0)</f>
        <v>44659</v>
      </c>
      <c r="C228" s="207">
        <f>IFERROR(__xludf.DUMMYFUNCTION("""COMPUTED_VALUE"""),0.3214699074074074)</f>
        <v>0.3214699074</v>
      </c>
      <c r="D228" s="50"/>
      <c r="E228" s="58"/>
      <c r="F228" s="58"/>
      <c r="G228" s="58" t="str">
        <f>IFERROR(__xludf.DUMMYFUNCTION("""COMPUTED_VALUE"""),"Negative")</f>
        <v>Negative</v>
      </c>
      <c r="H228" s="206" t="str">
        <f>IFERROR(__xludf.DUMMYFUNCTION("""COMPUTED_VALUE"""),"Negative")</f>
        <v>Negative</v>
      </c>
      <c r="I228" s="207">
        <f>IFERROR(__xludf.DUMMYFUNCTION("""COMPUTED_VALUE"""),44659.0)</f>
        <v>44659</v>
      </c>
      <c r="J228" s="208">
        <f>IFERROR(__xludf.DUMMYFUNCTION("""COMPUTED_VALUE"""),0.3473148148148148)</f>
        <v>0.3473148148</v>
      </c>
      <c r="K228" s="50"/>
      <c r="L228" s="6"/>
      <c r="M228" s="55"/>
      <c r="N228" s="55">
        <f>IFERROR(__xludf.DUMMYFUNCTION("""COMPUTED_VALUE"""),1.0)</f>
        <v>1</v>
      </c>
      <c r="O228" s="55" t="str">
        <f t="shared" si="3"/>
        <v/>
      </c>
      <c r="P228" s="209"/>
      <c r="Q228" s="75" t="b">
        <f>VLOOKUP($B228,'Run Reconcile'!B$2:P1679,15,FALSE)</f>
        <v>1</v>
      </c>
      <c r="R228" s="211" t="str">
        <f t="array" ref="R228">IF($Q228, INDEX('Run Reconcile'!A$2:A1679,MATCH(B228,'Run Reconcile'!B$2:B1679,0),1),IFERROR(0/0,""))</f>
        <v>RUN-COMB_2022-04-08_RFR-013</v>
      </c>
      <c r="S228" s="165" t="str">
        <f t="shared" ref="S228:T228" si="455">IF(COUNTIF(W$2:W1679, $A228) &gt; 0,TRUE,IFERROR(0/0,""))</f>
        <v/>
      </c>
      <c r="T228" s="165" t="str">
        <f t="shared" si="455"/>
        <v/>
      </c>
      <c r="U228" s="147" t="str">
        <f t="array" ref="U228">IF(ISBLANK($R228), IF($S228,VLOOKUP($B228+1,'RFR Data - preExcl'!$BF$2:$BG1679,2,FALSE),IF($T228,INDEX('RFR Data - preExcl'!$BF$2:$BG1679,MATCH($B228,'RFR Data - preExcl'!$BF$2:$BF1679,0)+1,2),VLOOKUP($B228,'RFR Data - preExcl'!$BF$2:$BG1679,2,FALSE))),IFERROR(0/0,""))</f>
        <v/>
      </c>
      <c r="V228" s="212" t="str">
        <f t="shared" si="5"/>
        <v>RUN-COMB_2022-04-08_RFR-013</v>
      </c>
      <c r="W228" s="51"/>
      <c r="X228" s="51"/>
      <c r="Y228" s="147" t="str">
        <f t="shared" ref="Y228:Z228" si="456">IF(_xlfn.ISFORMULA(S228),IFERROR(0/0,""),TRUE)</f>
        <v/>
      </c>
      <c r="Z228" s="147" t="str">
        <f t="shared" si="456"/>
        <v/>
      </c>
    </row>
    <row r="229">
      <c r="A229" s="6" t="str">
        <f>IFERROR(__xludf.DUMMYFUNCTION("""COMPUTED_VALUE"""),"FM3999")</f>
        <v>FM3999</v>
      </c>
      <c r="B229" s="206">
        <f>IFERROR(__xludf.DUMMYFUNCTION("""COMPUTED_VALUE"""),44659.0)</f>
        <v>44659</v>
      </c>
      <c r="C229" s="207">
        <f>IFERROR(__xludf.DUMMYFUNCTION("""COMPUTED_VALUE"""),0.323912037037037)</f>
        <v>0.323912037</v>
      </c>
      <c r="D229" s="50"/>
      <c r="E229" s="58"/>
      <c r="F229" s="58"/>
      <c r="G229" s="58" t="str">
        <f>IFERROR(__xludf.DUMMYFUNCTION("""COMPUTED_VALUE"""),"Negative")</f>
        <v>Negative</v>
      </c>
      <c r="H229" s="206" t="str">
        <f>IFERROR(__xludf.DUMMYFUNCTION("""COMPUTED_VALUE"""),"Negative")</f>
        <v>Negative</v>
      </c>
      <c r="I229" s="207">
        <f>IFERROR(__xludf.DUMMYFUNCTION("""COMPUTED_VALUE"""),44659.0)</f>
        <v>44659</v>
      </c>
      <c r="J229" s="208">
        <f>IFERROR(__xludf.DUMMYFUNCTION("""COMPUTED_VALUE"""),0.3473263888888889)</f>
        <v>0.3473263889</v>
      </c>
      <c r="K229" s="50"/>
      <c r="L229" s="6"/>
      <c r="M229" s="55"/>
      <c r="N229" s="55">
        <f>IFERROR(__xludf.DUMMYFUNCTION("""COMPUTED_VALUE"""),1.0)</f>
        <v>1</v>
      </c>
      <c r="O229" s="55" t="str">
        <f t="shared" si="3"/>
        <v/>
      </c>
      <c r="P229" s="209"/>
      <c r="Q229" s="75" t="b">
        <f>VLOOKUP($B229,'Run Reconcile'!B$2:P1679,15,FALSE)</f>
        <v>1</v>
      </c>
      <c r="R229" s="211" t="str">
        <f t="array" ref="R229">IF($Q229, INDEX('Run Reconcile'!A$2:A1679,MATCH(B229,'Run Reconcile'!B$2:B1679,0),1),IFERROR(0/0,""))</f>
        <v>RUN-COMB_2022-04-08_RFR-013</v>
      </c>
      <c r="S229" s="165" t="str">
        <f t="shared" ref="S229:T229" si="457">IF(COUNTIF(W$2:W1679, $A229) &gt; 0,TRUE,IFERROR(0/0,""))</f>
        <v/>
      </c>
      <c r="T229" s="165" t="str">
        <f t="shared" si="457"/>
        <v/>
      </c>
      <c r="U229" s="147" t="str">
        <f t="array" ref="U229">IF(ISBLANK($R229), IF($S229,VLOOKUP($B229+1,'RFR Data - preExcl'!$BF$2:$BG1679,2,FALSE),IF($T229,INDEX('RFR Data - preExcl'!$BF$2:$BG1679,MATCH($B229,'RFR Data - preExcl'!$BF$2:$BF1679,0)+1,2),VLOOKUP($B229,'RFR Data - preExcl'!$BF$2:$BG1679,2,FALSE))),IFERROR(0/0,""))</f>
        <v/>
      </c>
      <c r="V229" s="212" t="str">
        <f t="shared" si="5"/>
        <v>RUN-COMB_2022-04-08_RFR-013</v>
      </c>
      <c r="W229" s="51"/>
      <c r="X229" s="51"/>
      <c r="Y229" s="147" t="str">
        <f t="shared" ref="Y229:Z229" si="458">IF(_xlfn.ISFORMULA(S229),IFERROR(0/0,""),TRUE)</f>
        <v/>
      </c>
      <c r="Z229" s="147" t="str">
        <f t="shared" si="458"/>
        <v/>
      </c>
    </row>
    <row r="230">
      <c r="A230" s="6" t="str">
        <f>IFERROR(__xludf.DUMMYFUNCTION("""COMPUTED_VALUE"""),"FM3914")</f>
        <v>FM3914</v>
      </c>
      <c r="B230" s="206">
        <f>IFERROR(__xludf.DUMMYFUNCTION("""COMPUTED_VALUE"""),44659.0)</f>
        <v>44659</v>
      </c>
      <c r="C230" s="207">
        <f>IFERROR(__xludf.DUMMYFUNCTION("""COMPUTED_VALUE"""),0.3245486111111111)</f>
        <v>0.3245486111</v>
      </c>
      <c r="D230" s="50"/>
      <c r="E230" s="58"/>
      <c r="F230" s="58"/>
      <c r="G230" s="58" t="str">
        <f>IFERROR(__xludf.DUMMYFUNCTION("""COMPUTED_VALUE"""),"Negative")</f>
        <v>Negative</v>
      </c>
      <c r="H230" s="206" t="str">
        <f>IFERROR(__xludf.DUMMYFUNCTION("""COMPUTED_VALUE"""),"Negative")</f>
        <v>Negative</v>
      </c>
      <c r="I230" s="207">
        <f>IFERROR(__xludf.DUMMYFUNCTION("""COMPUTED_VALUE"""),44659.0)</f>
        <v>44659</v>
      </c>
      <c r="J230" s="208">
        <f>IFERROR(__xludf.DUMMYFUNCTION("""COMPUTED_VALUE"""),0.3473263888888889)</f>
        <v>0.3473263889</v>
      </c>
      <c r="K230" s="50"/>
      <c r="L230" s="6"/>
      <c r="M230" s="55"/>
      <c r="N230" s="55">
        <f>IFERROR(__xludf.DUMMYFUNCTION("""COMPUTED_VALUE"""),1.0)</f>
        <v>1</v>
      </c>
      <c r="O230" s="55" t="str">
        <f t="shared" si="3"/>
        <v/>
      </c>
      <c r="P230" s="209"/>
      <c r="Q230" s="75" t="b">
        <f>VLOOKUP($B230,'Run Reconcile'!B$2:P1679,15,FALSE)</f>
        <v>1</v>
      </c>
      <c r="R230" s="211" t="str">
        <f t="array" ref="R230">IF($Q230, INDEX('Run Reconcile'!A$2:A1679,MATCH(B230,'Run Reconcile'!B$2:B1679,0),1),IFERROR(0/0,""))</f>
        <v>RUN-COMB_2022-04-08_RFR-013</v>
      </c>
      <c r="S230" s="165" t="str">
        <f t="shared" ref="S230:T230" si="459">IF(COUNTIF(W$2:W1679, $A230) &gt; 0,TRUE,IFERROR(0/0,""))</f>
        <v/>
      </c>
      <c r="T230" s="165" t="str">
        <f t="shared" si="459"/>
        <v/>
      </c>
      <c r="U230" s="147" t="str">
        <f t="array" ref="U230">IF(ISBLANK($R230), IF($S230,VLOOKUP($B230+1,'RFR Data - preExcl'!$BF$2:$BG1679,2,FALSE),IF($T230,INDEX('RFR Data - preExcl'!$BF$2:$BG1679,MATCH($B230,'RFR Data - preExcl'!$BF$2:$BF1679,0)+1,2),VLOOKUP($B230,'RFR Data - preExcl'!$BF$2:$BG1679,2,FALSE))),IFERROR(0/0,""))</f>
        <v/>
      </c>
      <c r="V230" s="212" t="str">
        <f t="shared" si="5"/>
        <v>RUN-COMB_2022-04-08_RFR-013</v>
      </c>
      <c r="W230" s="51"/>
      <c r="X230" s="51"/>
      <c r="Y230" s="147" t="str">
        <f t="shared" ref="Y230:Z230" si="460">IF(_xlfn.ISFORMULA(S230),IFERROR(0/0,""),TRUE)</f>
        <v/>
      </c>
      <c r="Z230" s="147" t="str">
        <f t="shared" si="460"/>
        <v/>
      </c>
    </row>
    <row r="231">
      <c r="A231" s="6" t="str">
        <f>IFERROR(__xludf.DUMMYFUNCTION("""COMPUTED_VALUE"""),"FM3926")</f>
        <v>FM3926</v>
      </c>
      <c r="B231" s="206">
        <f>IFERROR(__xludf.DUMMYFUNCTION("""COMPUTED_VALUE"""),44659.0)</f>
        <v>44659</v>
      </c>
      <c r="C231" s="207">
        <f>IFERROR(__xludf.DUMMYFUNCTION("""COMPUTED_VALUE"""),0.32556712962962964)</f>
        <v>0.3255671296</v>
      </c>
      <c r="D231" s="50"/>
      <c r="E231" s="58"/>
      <c r="F231" s="58"/>
      <c r="G231" s="58" t="str">
        <f>IFERROR(__xludf.DUMMYFUNCTION("""COMPUTED_VALUE"""),"Negative")</f>
        <v>Negative</v>
      </c>
      <c r="H231" s="206" t="str">
        <f>IFERROR(__xludf.DUMMYFUNCTION("""COMPUTED_VALUE"""),"Negative")</f>
        <v>Negative</v>
      </c>
      <c r="I231" s="207">
        <f>IFERROR(__xludf.DUMMYFUNCTION("""COMPUTED_VALUE"""),44659.0)</f>
        <v>44659</v>
      </c>
      <c r="J231" s="208">
        <f>IFERROR(__xludf.DUMMYFUNCTION("""COMPUTED_VALUE"""),0.347337962962963)</f>
        <v>0.347337963</v>
      </c>
      <c r="K231" s="50"/>
      <c r="L231" s="6"/>
      <c r="M231" s="55"/>
      <c r="N231" s="55">
        <f>IFERROR(__xludf.DUMMYFUNCTION("""COMPUTED_VALUE"""),1.0)</f>
        <v>1</v>
      </c>
      <c r="O231" s="55" t="str">
        <f t="shared" si="3"/>
        <v/>
      </c>
      <c r="P231" s="209"/>
      <c r="Q231" s="75" t="b">
        <f>VLOOKUP($B231,'Run Reconcile'!B$2:P1679,15,FALSE)</f>
        <v>1</v>
      </c>
      <c r="R231" s="211" t="str">
        <f t="array" ref="R231">IF($Q231, INDEX('Run Reconcile'!A$2:A1679,MATCH(B231,'Run Reconcile'!B$2:B1679,0),1),IFERROR(0/0,""))</f>
        <v>RUN-COMB_2022-04-08_RFR-013</v>
      </c>
      <c r="S231" s="165" t="str">
        <f t="shared" ref="S231:T231" si="461">IF(COUNTIF(W$2:W1679, $A231) &gt; 0,TRUE,IFERROR(0/0,""))</f>
        <v/>
      </c>
      <c r="T231" s="165" t="str">
        <f t="shared" si="461"/>
        <v/>
      </c>
      <c r="U231" s="147" t="str">
        <f t="array" ref="U231">IF(ISBLANK($R231), IF($S231,VLOOKUP($B231+1,'RFR Data - preExcl'!$BF$2:$BG1679,2,FALSE),IF($T231,INDEX('RFR Data - preExcl'!$BF$2:$BG1679,MATCH($B231,'RFR Data - preExcl'!$BF$2:$BF1679,0)+1,2),VLOOKUP($B231,'RFR Data - preExcl'!$BF$2:$BG1679,2,FALSE))),IFERROR(0/0,""))</f>
        <v/>
      </c>
      <c r="V231" s="212" t="str">
        <f t="shared" si="5"/>
        <v>RUN-COMB_2022-04-08_RFR-013</v>
      </c>
      <c r="W231" s="51"/>
      <c r="X231" s="51"/>
      <c r="Y231" s="147" t="str">
        <f t="shared" ref="Y231:Z231" si="462">IF(_xlfn.ISFORMULA(S231),IFERROR(0/0,""),TRUE)</f>
        <v/>
      </c>
      <c r="Z231" s="147" t="str">
        <f t="shared" si="462"/>
        <v/>
      </c>
    </row>
    <row r="232">
      <c r="A232" s="6" t="str">
        <f>IFERROR(__xludf.DUMMYFUNCTION("""COMPUTED_VALUE"""),"MA173")</f>
        <v>MA173</v>
      </c>
      <c r="B232" s="206">
        <f>IFERROR(__xludf.DUMMYFUNCTION("""COMPUTED_VALUE"""),44659.0)</f>
        <v>44659</v>
      </c>
      <c r="C232" s="207">
        <f>IFERROR(__xludf.DUMMYFUNCTION("""COMPUTED_VALUE"""),0.3284375)</f>
        <v>0.3284375</v>
      </c>
      <c r="D232" s="50"/>
      <c r="E232" s="58"/>
      <c r="F232" s="58"/>
      <c r="G232" s="58" t="str">
        <f>IFERROR(__xludf.DUMMYFUNCTION("""COMPUTED_VALUE"""),"Negative")</f>
        <v>Negative</v>
      </c>
      <c r="H232" s="206" t="str">
        <f>IFERROR(__xludf.DUMMYFUNCTION("""COMPUTED_VALUE"""),"Negative")</f>
        <v>Negative</v>
      </c>
      <c r="I232" s="207">
        <f>IFERROR(__xludf.DUMMYFUNCTION("""COMPUTED_VALUE"""),44659.0)</f>
        <v>44659</v>
      </c>
      <c r="J232" s="208">
        <f>IFERROR(__xludf.DUMMYFUNCTION("""COMPUTED_VALUE"""),0.347337962962963)</f>
        <v>0.347337963</v>
      </c>
      <c r="K232" s="50"/>
      <c r="L232" s="6"/>
      <c r="M232" s="55"/>
      <c r="N232" s="55">
        <f>IFERROR(__xludf.DUMMYFUNCTION("""COMPUTED_VALUE"""),1.0)</f>
        <v>1</v>
      </c>
      <c r="O232" s="55" t="str">
        <f t="shared" si="3"/>
        <v/>
      </c>
      <c r="P232" s="209"/>
      <c r="Q232" s="75" t="b">
        <f>VLOOKUP($B232,'Run Reconcile'!B$2:P1679,15,FALSE)</f>
        <v>1</v>
      </c>
      <c r="R232" s="211" t="str">
        <f t="array" ref="R232">IF($Q232, INDEX('Run Reconcile'!A$2:A1679,MATCH(B232,'Run Reconcile'!B$2:B1679,0),1),IFERROR(0/0,""))</f>
        <v>RUN-COMB_2022-04-08_RFR-013</v>
      </c>
      <c r="S232" s="165" t="str">
        <f t="shared" ref="S232:T232" si="463">IF(COUNTIF(W$2:W1679, $A232) &gt; 0,TRUE,IFERROR(0/0,""))</f>
        <v/>
      </c>
      <c r="T232" s="165" t="str">
        <f t="shared" si="463"/>
        <v/>
      </c>
      <c r="U232" s="147" t="str">
        <f t="array" ref="U232">IF(ISBLANK($R232), IF($S232,VLOOKUP($B232+1,'RFR Data - preExcl'!$BF$2:$BG1679,2,FALSE),IF($T232,INDEX('RFR Data - preExcl'!$BF$2:$BG1679,MATCH($B232,'RFR Data - preExcl'!$BF$2:$BF1679,0)+1,2),VLOOKUP($B232,'RFR Data - preExcl'!$BF$2:$BG1679,2,FALSE))),IFERROR(0/0,""))</f>
        <v/>
      </c>
      <c r="V232" s="212" t="str">
        <f t="shared" si="5"/>
        <v>RUN-COMB_2022-04-08_RFR-013</v>
      </c>
      <c r="W232" s="51"/>
      <c r="X232" s="51"/>
      <c r="Y232" s="147" t="str">
        <f t="shared" ref="Y232:Z232" si="464">IF(_xlfn.ISFORMULA(S232),IFERROR(0/0,""),TRUE)</f>
        <v/>
      </c>
      <c r="Z232" s="147" t="str">
        <f t="shared" si="464"/>
        <v/>
      </c>
    </row>
    <row r="233">
      <c r="A233" s="6" t="str">
        <f>IFERROR(__xludf.DUMMYFUNCTION("""COMPUTED_VALUE"""),"MA146")</f>
        <v>MA146</v>
      </c>
      <c r="B233" s="206">
        <f>IFERROR(__xludf.DUMMYFUNCTION("""COMPUTED_VALUE"""),44659.0)</f>
        <v>44659</v>
      </c>
      <c r="C233" s="207">
        <f>IFERROR(__xludf.DUMMYFUNCTION("""COMPUTED_VALUE"""),0.32885416666666667)</f>
        <v>0.3288541667</v>
      </c>
      <c r="D233" s="50"/>
      <c r="E233" s="58"/>
      <c r="F233" s="58"/>
      <c r="G233" s="58" t="str">
        <f>IFERROR(__xludf.DUMMYFUNCTION("""COMPUTED_VALUE"""),"Negative")</f>
        <v>Negative</v>
      </c>
      <c r="H233" s="206" t="str">
        <f>IFERROR(__xludf.DUMMYFUNCTION("""COMPUTED_VALUE"""),"Negative")</f>
        <v>Negative</v>
      </c>
      <c r="I233" s="207">
        <f>IFERROR(__xludf.DUMMYFUNCTION("""COMPUTED_VALUE"""),44659.0)</f>
        <v>44659</v>
      </c>
      <c r="J233" s="208">
        <f>IFERROR(__xludf.DUMMYFUNCTION("""COMPUTED_VALUE"""),0.347337962962963)</f>
        <v>0.347337963</v>
      </c>
      <c r="K233" s="50"/>
      <c r="L233" s="6"/>
      <c r="M233" s="55"/>
      <c r="N233" s="55">
        <f>IFERROR(__xludf.DUMMYFUNCTION("""COMPUTED_VALUE"""),1.0)</f>
        <v>1</v>
      </c>
      <c r="O233" s="55" t="str">
        <f t="shared" si="3"/>
        <v/>
      </c>
      <c r="P233" s="209"/>
      <c r="Q233" s="75" t="b">
        <f>VLOOKUP($B233,'Run Reconcile'!B$2:P1679,15,FALSE)</f>
        <v>1</v>
      </c>
      <c r="R233" s="211" t="str">
        <f t="array" ref="R233">IF($Q233, INDEX('Run Reconcile'!A$2:A1679,MATCH(B233,'Run Reconcile'!B$2:B1679,0),1),IFERROR(0/0,""))</f>
        <v>RUN-COMB_2022-04-08_RFR-013</v>
      </c>
      <c r="S233" s="165" t="str">
        <f t="shared" ref="S233:T233" si="465">IF(COUNTIF(W$2:W1679, $A233) &gt; 0,TRUE,IFERROR(0/0,""))</f>
        <v/>
      </c>
      <c r="T233" s="165" t="str">
        <f t="shared" si="465"/>
        <v/>
      </c>
      <c r="U233" s="147" t="str">
        <f t="array" ref="U233">IF(ISBLANK($R233), IF($S233,VLOOKUP($B233+1,'RFR Data - preExcl'!$BF$2:$BG1679,2,FALSE),IF($T233,INDEX('RFR Data - preExcl'!$BF$2:$BG1679,MATCH($B233,'RFR Data - preExcl'!$BF$2:$BF1679,0)+1,2),VLOOKUP($B233,'RFR Data - preExcl'!$BF$2:$BG1679,2,FALSE))),IFERROR(0/0,""))</f>
        <v/>
      </c>
      <c r="V233" s="212" t="str">
        <f t="shared" si="5"/>
        <v>RUN-COMB_2022-04-08_RFR-013</v>
      </c>
      <c r="W233" s="51"/>
      <c r="X233" s="51"/>
      <c r="Y233" s="147" t="str">
        <f t="shared" ref="Y233:Z233" si="466">IF(_xlfn.ISFORMULA(S233),IFERROR(0/0,""),TRUE)</f>
        <v/>
      </c>
      <c r="Z233" s="147" t="str">
        <f t="shared" si="466"/>
        <v/>
      </c>
    </row>
    <row r="234">
      <c r="A234" s="6" t="str">
        <f>IFERROR(__xludf.DUMMYFUNCTION("""COMPUTED_VALUE"""),"FM3977")</f>
        <v>FM3977</v>
      </c>
      <c r="B234" s="206">
        <f>IFERROR(__xludf.DUMMYFUNCTION("""COMPUTED_VALUE"""),44659.0)</f>
        <v>44659</v>
      </c>
      <c r="C234" s="207">
        <f>IFERROR(__xludf.DUMMYFUNCTION("""COMPUTED_VALUE"""),0.32925925925925925)</f>
        <v>0.3292592593</v>
      </c>
      <c r="D234" s="50"/>
      <c r="E234" s="58"/>
      <c r="F234" s="58"/>
      <c r="G234" s="58" t="str">
        <f>IFERROR(__xludf.DUMMYFUNCTION("""COMPUTED_VALUE"""),"Negative")</f>
        <v>Negative</v>
      </c>
      <c r="H234" s="206" t="str">
        <f>IFERROR(__xludf.DUMMYFUNCTION("""COMPUTED_VALUE"""),"Negative")</f>
        <v>Negative</v>
      </c>
      <c r="I234" s="207">
        <f>IFERROR(__xludf.DUMMYFUNCTION("""COMPUTED_VALUE"""),44659.0)</f>
        <v>44659</v>
      </c>
      <c r="J234" s="208">
        <f>IFERROR(__xludf.DUMMYFUNCTION("""COMPUTED_VALUE"""),0.347349537037037)</f>
        <v>0.347349537</v>
      </c>
      <c r="K234" s="50"/>
      <c r="L234" s="6"/>
      <c r="M234" s="55"/>
      <c r="N234" s="55">
        <f>IFERROR(__xludf.DUMMYFUNCTION("""COMPUTED_VALUE"""),1.0)</f>
        <v>1</v>
      </c>
      <c r="O234" s="55" t="str">
        <f t="shared" si="3"/>
        <v/>
      </c>
      <c r="P234" s="209"/>
      <c r="Q234" s="75" t="b">
        <f>VLOOKUP($B234,'Run Reconcile'!B$2:P1679,15,FALSE)</f>
        <v>1</v>
      </c>
      <c r="R234" s="211" t="str">
        <f t="array" ref="R234">IF($Q234, INDEX('Run Reconcile'!A$2:A1679,MATCH(B234,'Run Reconcile'!B$2:B1679,0),1),IFERROR(0/0,""))</f>
        <v>RUN-COMB_2022-04-08_RFR-013</v>
      </c>
      <c r="S234" s="165" t="str">
        <f t="shared" ref="S234:T234" si="467">IF(COUNTIF(W$2:W1679, $A234) &gt; 0,TRUE,IFERROR(0/0,""))</f>
        <v/>
      </c>
      <c r="T234" s="165" t="str">
        <f t="shared" si="467"/>
        <v/>
      </c>
      <c r="U234" s="147" t="str">
        <f t="array" ref="U234">IF(ISBLANK($R234), IF($S234,VLOOKUP($B234+1,'RFR Data - preExcl'!$BF$2:$BG1679,2,FALSE),IF($T234,INDEX('RFR Data - preExcl'!$BF$2:$BG1679,MATCH($B234,'RFR Data - preExcl'!$BF$2:$BF1679,0)+1,2),VLOOKUP($B234,'RFR Data - preExcl'!$BF$2:$BG1679,2,FALSE))),IFERROR(0/0,""))</f>
        <v/>
      </c>
      <c r="V234" s="212" t="str">
        <f t="shared" si="5"/>
        <v>RUN-COMB_2022-04-08_RFR-013</v>
      </c>
      <c r="W234" s="51"/>
      <c r="X234" s="51"/>
      <c r="Y234" s="147" t="str">
        <f t="shared" ref="Y234:Z234" si="468">IF(_xlfn.ISFORMULA(S234),IFERROR(0/0,""),TRUE)</f>
        <v/>
      </c>
      <c r="Z234" s="147" t="str">
        <f t="shared" si="468"/>
        <v/>
      </c>
    </row>
    <row r="235">
      <c r="A235" s="6" t="str">
        <f>IFERROR(__xludf.DUMMYFUNCTION("""COMPUTED_VALUE"""),"FM3992")</f>
        <v>FM3992</v>
      </c>
      <c r="B235" s="206">
        <f>IFERROR(__xludf.DUMMYFUNCTION("""COMPUTED_VALUE"""),44659.0)</f>
        <v>44659</v>
      </c>
      <c r="C235" s="207">
        <f>IFERROR(__xludf.DUMMYFUNCTION("""COMPUTED_VALUE"""),0.33025462962962965)</f>
        <v>0.3302546296</v>
      </c>
      <c r="D235" s="50"/>
      <c r="E235" s="58"/>
      <c r="F235" s="58"/>
      <c r="G235" s="58" t="str">
        <f>IFERROR(__xludf.DUMMYFUNCTION("""COMPUTED_VALUE"""),"Negative")</f>
        <v>Negative</v>
      </c>
      <c r="H235" s="206" t="str">
        <f>IFERROR(__xludf.DUMMYFUNCTION("""COMPUTED_VALUE"""),"Negative")</f>
        <v>Negative</v>
      </c>
      <c r="I235" s="207">
        <f>IFERROR(__xludf.DUMMYFUNCTION("""COMPUTED_VALUE"""),44659.0)</f>
        <v>44659</v>
      </c>
      <c r="J235" s="208">
        <f>IFERROR(__xludf.DUMMYFUNCTION("""COMPUTED_VALUE"""),0.347349537037037)</f>
        <v>0.347349537</v>
      </c>
      <c r="K235" s="50"/>
      <c r="L235" s="6"/>
      <c r="M235" s="55"/>
      <c r="N235" s="55">
        <f>IFERROR(__xludf.DUMMYFUNCTION("""COMPUTED_VALUE"""),1.0)</f>
        <v>1</v>
      </c>
      <c r="O235" s="55" t="str">
        <f t="shared" si="3"/>
        <v/>
      </c>
      <c r="P235" s="209"/>
      <c r="Q235" s="75" t="b">
        <f>VLOOKUP($B235,'Run Reconcile'!B$2:P1679,15,FALSE)</f>
        <v>1</v>
      </c>
      <c r="R235" s="211" t="str">
        <f t="array" ref="R235">IF($Q235, INDEX('Run Reconcile'!A$2:A1679,MATCH(B235,'Run Reconcile'!B$2:B1679,0),1),IFERROR(0/0,""))</f>
        <v>RUN-COMB_2022-04-08_RFR-013</v>
      </c>
      <c r="S235" s="165" t="str">
        <f t="shared" ref="S235:T235" si="469">IF(COUNTIF(W$2:W1679, $A235) &gt; 0,TRUE,IFERROR(0/0,""))</f>
        <v/>
      </c>
      <c r="T235" s="165" t="str">
        <f t="shared" si="469"/>
        <v/>
      </c>
      <c r="U235" s="147" t="str">
        <f t="array" ref="U235">IF(ISBLANK($R235), IF($S235,VLOOKUP($B235+1,'RFR Data - preExcl'!$BF$2:$BG1679,2,FALSE),IF($T235,INDEX('RFR Data - preExcl'!$BF$2:$BG1679,MATCH($B235,'RFR Data - preExcl'!$BF$2:$BF1679,0)+1,2),VLOOKUP($B235,'RFR Data - preExcl'!$BF$2:$BG1679,2,FALSE))),IFERROR(0/0,""))</f>
        <v/>
      </c>
      <c r="V235" s="212" t="str">
        <f t="shared" si="5"/>
        <v>RUN-COMB_2022-04-08_RFR-013</v>
      </c>
      <c r="W235" s="51"/>
      <c r="X235" s="51"/>
      <c r="Y235" s="147" t="str">
        <f t="shared" ref="Y235:Z235" si="470">IF(_xlfn.ISFORMULA(S235),IFERROR(0/0,""),TRUE)</f>
        <v/>
      </c>
      <c r="Z235" s="147" t="str">
        <f t="shared" si="470"/>
        <v/>
      </c>
    </row>
    <row r="236">
      <c r="A236" s="6" t="str">
        <f>IFERROR(__xludf.DUMMYFUNCTION("""COMPUTED_VALUE"""),"FM3915")</f>
        <v>FM3915</v>
      </c>
      <c r="B236" s="206">
        <f>IFERROR(__xludf.DUMMYFUNCTION("""COMPUTED_VALUE"""),44659.0)</f>
        <v>44659</v>
      </c>
      <c r="C236" s="207">
        <f>IFERROR(__xludf.DUMMYFUNCTION("""COMPUTED_VALUE"""),0.3310416666666667)</f>
        <v>0.3310416667</v>
      </c>
      <c r="D236" s="50"/>
      <c r="E236" s="58"/>
      <c r="F236" s="58"/>
      <c r="G236" s="58" t="str">
        <f>IFERROR(__xludf.DUMMYFUNCTION("""COMPUTED_VALUE"""),"Negative")</f>
        <v>Negative</v>
      </c>
      <c r="H236" s="206" t="str">
        <f>IFERROR(__xludf.DUMMYFUNCTION("""COMPUTED_VALUE"""),"Negative")</f>
        <v>Negative</v>
      </c>
      <c r="I236" s="207">
        <f>IFERROR(__xludf.DUMMYFUNCTION("""COMPUTED_VALUE"""),44659.0)</f>
        <v>44659</v>
      </c>
      <c r="J236" s="208">
        <f>IFERROR(__xludf.DUMMYFUNCTION("""COMPUTED_VALUE"""),0.3473611111111111)</f>
        <v>0.3473611111</v>
      </c>
      <c r="K236" s="50"/>
      <c r="L236" s="6"/>
      <c r="M236" s="55"/>
      <c r="N236" s="55">
        <f>IFERROR(__xludf.DUMMYFUNCTION("""COMPUTED_VALUE"""),1.0)</f>
        <v>1</v>
      </c>
      <c r="O236" s="55" t="str">
        <f t="shared" si="3"/>
        <v/>
      </c>
      <c r="P236" s="209"/>
      <c r="Q236" s="75" t="b">
        <f>VLOOKUP($B236,'Run Reconcile'!B$2:P1679,15,FALSE)</f>
        <v>1</v>
      </c>
      <c r="R236" s="211" t="str">
        <f t="array" ref="R236">IF($Q236, INDEX('Run Reconcile'!A$2:A1679,MATCH(B236,'Run Reconcile'!B$2:B1679,0),1),IFERROR(0/0,""))</f>
        <v>RUN-COMB_2022-04-08_RFR-013</v>
      </c>
      <c r="S236" s="165" t="str">
        <f t="shared" ref="S236:T236" si="471">IF(COUNTIF(W$2:W1679, $A236) &gt; 0,TRUE,IFERROR(0/0,""))</f>
        <v/>
      </c>
      <c r="T236" s="165" t="str">
        <f t="shared" si="471"/>
        <v/>
      </c>
      <c r="U236" s="147" t="str">
        <f t="array" ref="U236">IF(ISBLANK($R236), IF($S236,VLOOKUP($B236+1,'RFR Data - preExcl'!$BF$2:$BG1679,2,FALSE),IF($T236,INDEX('RFR Data - preExcl'!$BF$2:$BG1679,MATCH($B236,'RFR Data - preExcl'!$BF$2:$BF1679,0)+1,2),VLOOKUP($B236,'RFR Data - preExcl'!$BF$2:$BG1679,2,FALSE))),IFERROR(0/0,""))</f>
        <v/>
      </c>
      <c r="V236" s="212" t="str">
        <f t="shared" si="5"/>
        <v>RUN-COMB_2022-04-08_RFR-013</v>
      </c>
      <c r="W236" s="51"/>
      <c r="X236" s="51"/>
      <c r="Y236" s="147" t="str">
        <f t="shared" ref="Y236:Z236" si="472">IF(_xlfn.ISFORMULA(S236),IFERROR(0/0,""),TRUE)</f>
        <v/>
      </c>
      <c r="Z236" s="147" t="str">
        <f t="shared" si="472"/>
        <v/>
      </c>
    </row>
    <row r="237">
      <c r="A237" s="6" t="str">
        <f>IFERROR(__xludf.DUMMYFUNCTION("""COMPUTED_VALUE"""),"FM3902")</f>
        <v>FM3902</v>
      </c>
      <c r="B237" s="206">
        <f>IFERROR(__xludf.DUMMYFUNCTION("""COMPUTED_VALUE"""),44659.0)</f>
        <v>44659</v>
      </c>
      <c r="C237" s="207">
        <f>IFERROR(__xludf.DUMMYFUNCTION("""COMPUTED_VALUE"""),0.3315972222222222)</f>
        <v>0.3315972222</v>
      </c>
      <c r="D237" s="50"/>
      <c r="E237" s="58"/>
      <c r="F237" s="58"/>
      <c r="G237" s="58" t="str">
        <f>IFERROR(__xludf.DUMMYFUNCTION("""COMPUTED_VALUE"""),"Negative")</f>
        <v>Negative</v>
      </c>
      <c r="H237" s="206" t="str">
        <f>IFERROR(__xludf.DUMMYFUNCTION("""COMPUTED_VALUE"""),"Negative")</f>
        <v>Negative</v>
      </c>
      <c r="I237" s="207">
        <f>IFERROR(__xludf.DUMMYFUNCTION("""COMPUTED_VALUE"""),44659.0)</f>
        <v>44659</v>
      </c>
      <c r="J237" s="208">
        <f>IFERROR(__xludf.DUMMYFUNCTION("""COMPUTED_VALUE"""),0.3473611111111111)</f>
        <v>0.3473611111</v>
      </c>
      <c r="K237" s="50"/>
      <c r="L237" s="6"/>
      <c r="M237" s="55"/>
      <c r="N237" s="55">
        <f>IFERROR(__xludf.DUMMYFUNCTION("""COMPUTED_VALUE"""),1.0)</f>
        <v>1</v>
      </c>
      <c r="O237" s="55" t="str">
        <f t="shared" si="3"/>
        <v/>
      </c>
      <c r="P237" s="209"/>
      <c r="Q237" s="75" t="b">
        <f>VLOOKUP($B237,'Run Reconcile'!B$2:P1679,15,FALSE)</f>
        <v>1</v>
      </c>
      <c r="R237" s="211" t="str">
        <f t="array" ref="R237">IF($Q237, INDEX('Run Reconcile'!A$2:A1679,MATCH(B237,'Run Reconcile'!B$2:B1679,0),1),IFERROR(0/0,""))</f>
        <v>RUN-COMB_2022-04-08_RFR-013</v>
      </c>
      <c r="S237" s="165" t="str">
        <f t="shared" ref="S237:T237" si="473">IF(COUNTIF(W$2:W1679, $A237) &gt; 0,TRUE,IFERROR(0/0,""))</f>
        <v/>
      </c>
      <c r="T237" s="165" t="str">
        <f t="shared" si="473"/>
        <v/>
      </c>
      <c r="U237" s="147" t="str">
        <f t="array" ref="U237">IF(ISBLANK($R237), IF($S237,VLOOKUP($B237+1,'RFR Data - preExcl'!$BF$2:$BG1679,2,FALSE),IF($T237,INDEX('RFR Data - preExcl'!$BF$2:$BG1679,MATCH($B237,'RFR Data - preExcl'!$BF$2:$BF1679,0)+1,2),VLOOKUP($B237,'RFR Data - preExcl'!$BF$2:$BG1679,2,FALSE))),IFERROR(0/0,""))</f>
        <v/>
      </c>
      <c r="V237" s="212" t="str">
        <f t="shared" si="5"/>
        <v>RUN-COMB_2022-04-08_RFR-013</v>
      </c>
      <c r="W237" s="51"/>
      <c r="X237" s="51"/>
      <c r="Y237" s="147" t="str">
        <f t="shared" ref="Y237:Z237" si="474">IF(_xlfn.ISFORMULA(S237),IFERROR(0/0,""),TRUE)</f>
        <v/>
      </c>
      <c r="Z237" s="147" t="str">
        <f t="shared" si="474"/>
        <v/>
      </c>
    </row>
    <row r="238">
      <c r="A238" s="6" t="str">
        <f>IFERROR(__xludf.DUMMYFUNCTION("""COMPUTED_VALUE"""),"MA128")</f>
        <v>MA128</v>
      </c>
      <c r="B238" s="206">
        <f>IFERROR(__xludf.DUMMYFUNCTION("""COMPUTED_VALUE"""),44659.0)</f>
        <v>44659</v>
      </c>
      <c r="C238" s="207">
        <f>IFERROR(__xludf.DUMMYFUNCTION("""COMPUTED_VALUE"""),0.3348726851851852)</f>
        <v>0.3348726852</v>
      </c>
      <c r="D238" s="50"/>
      <c r="E238" s="58"/>
      <c r="F238" s="58"/>
      <c r="G238" s="58" t="str">
        <f>IFERROR(__xludf.DUMMYFUNCTION("""COMPUTED_VALUE"""),"Negative")</f>
        <v>Negative</v>
      </c>
      <c r="H238" s="206" t="str">
        <f>IFERROR(__xludf.DUMMYFUNCTION("""COMPUTED_VALUE"""),"Negative")</f>
        <v>Negative</v>
      </c>
      <c r="I238" s="207">
        <f>IFERROR(__xludf.DUMMYFUNCTION("""COMPUTED_VALUE"""),44659.0)</f>
        <v>44659</v>
      </c>
      <c r="J238" s="208">
        <f>IFERROR(__xludf.DUMMYFUNCTION("""COMPUTED_VALUE"""),0.3473611111111111)</f>
        <v>0.3473611111</v>
      </c>
      <c r="K238" s="50"/>
      <c r="L238" s="6"/>
      <c r="M238" s="55"/>
      <c r="N238" s="55">
        <f>IFERROR(__xludf.DUMMYFUNCTION("""COMPUTED_VALUE"""),1.0)</f>
        <v>1</v>
      </c>
      <c r="O238" s="55" t="str">
        <f t="shared" si="3"/>
        <v/>
      </c>
      <c r="P238" s="209"/>
      <c r="Q238" s="75" t="b">
        <f>VLOOKUP($B238,'Run Reconcile'!B$2:P1679,15,FALSE)</f>
        <v>1</v>
      </c>
      <c r="R238" s="211" t="str">
        <f t="array" ref="R238">IF($Q238, INDEX('Run Reconcile'!A$2:A1679,MATCH(B238,'Run Reconcile'!B$2:B1679,0),1),IFERROR(0/0,""))</f>
        <v>RUN-COMB_2022-04-08_RFR-013</v>
      </c>
      <c r="S238" s="165" t="str">
        <f t="shared" ref="S238:T238" si="475">IF(COUNTIF(W$2:W1679, $A238) &gt; 0,TRUE,IFERROR(0/0,""))</f>
        <v/>
      </c>
      <c r="T238" s="165" t="str">
        <f t="shared" si="475"/>
        <v/>
      </c>
      <c r="U238" s="147" t="str">
        <f t="array" ref="U238">IF(ISBLANK($R238), IF($S238,VLOOKUP($B238+1,'RFR Data - preExcl'!$BF$2:$BG1679,2,FALSE),IF($T238,INDEX('RFR Data - preExcl'!$BF$2:$BG1679,MATCH($B238,'RFR Data - preExcl'!$BF$2:$BF1679,0)+1,2),VLOOKUP($B238,'RFR Data - preExcl'!$BF$2:$BG1679,2,FALSE))),IFERROR(0/0,""))</f>
        <v/>
      </c>
      <c r="V238" s="212" t="str">
        <f t="shared" si="5"/>
        <v>RUN-COMB_2022-04-08_RFR-013</v>
      </c>
      <c r="W238" s="51"/>
      <c r="X238" s="51"/>
      <c r="Y238" s="147" t="str">
        <f t="shared" ref="Y238:Z238" si="476">IF(_xlfn.ISFORMULA(S238),IFERROR(0/0,""),TRUE)</f>
        <v/>
      </c>
      <c r="Z238" s="147" t="str">
        <f t="shared" si="476"/>
        <v/>
      </c>
    </row>
    <row r="239">
      <c r="A239" s="6" t="str">
        <f>IFERROR(__xludf.DUMMYFUNCTION("""COMPUTED_VALUE"""),"FM4014")</f>
        <v>FM4014</v>
      </c>
      <c r="B239" s="206">
        <f>IFERROR(__xludf.DUMMYFUNCTION("""COMPUTED_VALUE"""),44659.0)</f>
        <v>44659</v>
      </c>
      <c r="C239" s="207">
        <f>IFERROR(__xludf.DUMMYFUNCTION("""COMPUTED_VALUE"""),0.33546296296296296)</f>
        <v>0.335462963</v>
      </c>
      <c r="D239" s="50"/>
      <c r="E239" s="58"/>
      <c r="F239" s="58"/>
      <c r="G239" s="58" t="str">
        <f>IFERROR(__xludf.DUMMYFUNCTION("""COMPUTED_VALUE"""),"Negative")</f>
        <v>Negative</v>
      </c>
      <c r="H239" s="206" t="str">
        <f>IFERROR(__xludf.DUMMYFUNCTION("""COMPUTED_VALUE"""),"Negative")</f>
        <v>Negative</v>
      </c>
      <c r="I239" s="207">
        <f>IFERROR(__xludf.DUMMYFUNCTION("""COMPUTED_VALUE"""),44659.0)</f>
        <v>44659</v>
      </c>
      <c r="J239" s="208">
        <f>IFERROR(__xludf.DUMMYFUNCTION("""COMPUTED_VALUE"""),0.34737268518518516)</f>
        <v>0.3473726852</v>
      </c>
      <c r="K239" s="50"/>
      <c r="L239" s="6"/>
      <c r="M239" s="55"/>
      <c r="N239" s="55">
        <f>IFERROR(__xludf.DUMMYFUNCTION("""COMPUTED_VALUE"""),1.0)</f>
        <v>1</v>
      </c>
      <c r="O239" s="55" t="str">
        <f t="shared" si="3"/>
        <v/>
      </c>
      <c r="P239" s="209"/>
      <c r="Q239" s="75" t="b">
        <f>VLOOKUP($B239,'Run Reconcile'!B$2:P1679,15,FALSE)</f>
        <v>1</v>
      </c>
      <c r="R239" s="211" t="str">
        <f t="array" ref="R239">IF($Q239, INDEX('Run Reconcile'!A$2:A1679,MATCH(B239,'Run Reconcile'!B$2:B1679,0),1),IFERROR(0/0,""))</f>
        <v>RUN-COMB_2022-04-08_RFR-013</v>
      </c>
      <c r="S239" s="165" t="str">
        <f t="shared" ref="S239:T239" si="477">IF(COUNTIF(W$2:W1679, $A239) &gt; 0,TRUE,IFERROR(0/0,""))</f>
        <v/>
      </c>
      <c r="T239" s="165" t="str">
        <f t="shared" si="477"/>
        <v/>
      </c>
      <c r="U239" s="147" t="str">
        <f t="array" ref="U239">IF(ISBLANK($R239), IF($S239,VLOOKUP($B239+1,'RFR Data - preExcl'!$BF$2:$BG1679,2,FALSE),IF($T239,INDEX('RFR Data - preExcl'!$BF$2:$BG1679,MATCH($B239,'RFR Data - preExcl'!$BF$2:$BF1679,0)+1,2),VLOOKUP($B239,'RFR Data - preExcl'!$BF$2:$BG1679,2,FALSE))),IFERROR(0/0,""))</f>
        <v/>
      </c>
      <c r="V239" s="212" t="str">
        <f t="shared" si="5"/>
        <v>RUN-COMB_2022-04-08_RFR-013</v>
      </c>
      <c r="W239" s="51"/>
      <c r="X239" s="51"/>
      <c r="Y239" s="147" t="str">
        <f t="shared" ref="Y239:Z239" si="478">IF(_xlfn.ISFORMULA(S239),IFERROR(0/0,""),TRUE)</f>
        <v/>
      </c>
      <c r="Z239" s="147" t="str">
        <f t="shared" si="478"/>
        <v/>
      </c>
    </row>
    <row r="240">
      <c r="A240" s="6" t="str">
        <f>IFERROR(__xludf.DUMMYFUNCTION("""COMPUTED_VALUE"""),"FM3909")</f>
        <v>FM3909</v>
      </c>
      <c r="B240" s="206">
        <f>IFERROR(__xludf.DUMMYFUNCTION("""COMPUTED_VALUE"""),44659.0)</f>
        <v>44659</v>
      </c>
      <c r="C240" s="207">
        <f>IFERROR(__xludf.DUMMYFUNCTION("""COMPUTED_VALUE"""),0.3362384259259259)</f>
        <v>0.3362384259</v>
      </c>
      <c r="D240" s="50"/>
      <c r="E240" s="58"/>
      <c r="F240" s="58"/>
      <c r="G240" s="58" t="str">
        <f>IFERROR(__xludf.DUMMYFUNCTION("""COMPUTED_VALUE"""),"Negative")</f>
        <v>Negative</v>
      </c>
      <c r="H240" s="206" t="str">
        <f>IFERROR(__xludf.DUMMYFUNCTION("""COMPUTED_VALUE"""),"Negative")</f>
        <v>Negative</v>
      </c>
      <c r="I240" s="207">
        <f>IFERROR(__xludf.DUMMYFUNCTION("""COMPUTED_VALUE"""),44659.0)</f>
        <v>44659</v>
      </c>
      <c r="J240" s="208">
        <f>IFERROR(__xludf.DUMMYFUNCTION("""COMPUTED_VALUE"""),0.34737268518518516)</f>
        <v>0.3473726852</v>
      </c>
      <c r="K240" s="50"/>
      <c r="L240" s="6"/>
      <c r="M240" s="55"/>
      <c r="N240" s="55">
        <f>IFERROR(__xludf.DUMMYFUNCTION("""COMPUTED_VALUE"""),1.0)</f>
        <v>1</v>
      </c>
      <c r="O240" s="55" t="str">
        <f t="shared" si="3"/>
        <v/>
      </c>
      <c r="P240" s="209"/>
      <c r="Q240" s="75" t="b">
        <f>VLOOKUP($B240,'Run Reconcile'!B$2:P1679,15,FALSE)</f>
        <v>1</v>
      </c>
      <c r="R240" s="211" t="str">
        <f t="array" ref="R240">IF($Q240, INDEX('Run Reconcile'!A$2:A1679,MATCH(B240,'Run Reconcile'!B$2:B1679,0),1),IFERROR(0/0,""))</f>
        <v>RUN-COMB_2022-04-08_RFR-013</v>
      </c>
      <c r="S240" s="165" t="str">
        <f t="shared" ref="S240:T240" si="479">IF(COUNTIF(W$2:W1679, $A240) &gt; 0,TRUE,IFERROR(0/0,""))</f>
        <v/>
      </c>
      <c r="T240" s="165" t="str">
        <f t="shared" si="479"/>
        <v/>
      </c>
      <c r="U240" s="147" t="str">
        <f t="array" ref="U240">IF(ISBLANK($R240), IF($S240,VLOOKUP($B240+1,'RFR Data - preExcl'!$BF$2:$BG1679,2,FALSE),IF($T240,INDEX('RFR Data - preExcl'!$BF$2:$BG1679,MATCH($B240,'RFR Data - preExcl'!$BF$2:$BF1679,0)+1,2),VLOOKUP($B240,'RFR Data - preExcl'!$BF$2:$BG1679,2,FALSE))),IFERROR(0/0,""))</f>
        <v/>
      </c>
      <c r="V240" s="212" t="str">
        <f t="shared" si="5"/>
        <v>RUN-COMB_2022-04-08_RFR-013</v>
      </c>
      <c r="W240" s="51"/>
      <c r="X240" s="51"/>
      <c r="Y240" s="147" t="str">
        <f t="shared" ref="Y240:Z240" si="480">IF(_xlfn.ISFORMULA(S240),IFERROR(0/0,""),TRUE)</f>
        <v/>
      </c>
      <c r="Z240" s="147" t="str">
        <f t="shared" si="480"/>
        <v/>
      </c>
    </row>
    <row r="241">
      <c r="A241" s="6" t="str">
        <f>IFERROR(__xludf.DUMMYFUNCTION("""COMPUTED_VALUE"""),"FM3438")</f>
        <v>FM3438</v>
      </c>
      <c r="B241" s="206">
        <f>IFERROR(__xludf.DUMMYFUNCTION("""COMPUTED_VALUE"""),44659.0)</f>
        <v>44659</v>
      </c>
      <c r="C241" s="207">
        <f>IFERROR(__xludf.DUMMYFUNCTION("""COMPUTED_VALUE"""),0.33666666666666667)</f>
        <v>0.3366666667</v>
      </c>
      <c r="D241" s="50"/>
      <c r="E241" s="58"/>
      <c r="F241" s="58"/>
      <c r="G241" s="58" t="str">
        <f>IFERROR(__xludf.DUMMYFUNCTION("""COMPUTED_VALUE"""),"Negative")</f>
        <v>Negative</v>
      </c>
      <c r="H241" s="206" t="str">
        <f>IFERROR(__xludf.DUMMYFUNCTION("""COMPUTED_VALUE"""),"Negative")</f>
        <v>Negative</v>
      </c>
      <c r="I241" s="207">
        <f>IFERROR(__xludf.DUMMYFUNCTION("""COMPUTED_VALUE"""),44659.0)</f>
        <v>44659</v>
      </c>
      <c r="J241" s="208">
        <f>IFERROR(__xludf.DUMMYFUNCTION("""COMPUTED_VALUE"""),0.34738425925925925)</f>
        <v>0.3473842593</v>
      </c>
      <c r="K241" s="50"/>
      <c r="L241" s="6"/>
      <c r="M241" s="55"/>
      <c r="N241" s="55">
        <f>IFERROR(__xludf.DUMMYFUNCTION("""COMPUTED_VALUE"""),1.0)</f>
        <v>1</v>
      </c>
      <c r="O241" s="55" t="str">
        <f t="shared" si="3"/>
        <v/>
      </c>
      <c r="P241" s="209"/>
      <c r="Q241" s="75" t="b">
        <f>VLOOKUP($B241,'Run Reconcile'!B$2:P1679,15,FALSE)</f>
        <v>1</v>
      </c>
      <c r="R241" s="211" t="str">
        <f t="array" ref="R241">IF($Q241, INDEX('Run Reconcile'!A$2:A1679,MATCH(B241,'Run Reconcile'!B$2:B1679,0),1),IFERROR(0/0,""))</f>
        <v>RUN-COMB_2022-04-08_RFR-013</v>
      </c>
      <c r="S241" s="165" t="str">
        <f t="shared" ref="S241:T241" si="481">IF(COUNTIF(W$2:W1679, $A241) &gt; 0,TRUE,IFERROR(0/0,""))</f>
        <v/>
      </c>
      <c r="T241" s="165" t="str">
        <f t="shared" si="481"/>
        <v/>
      </c>
      <c r="U241" s="147" t="str">
        <f t="array" ref="U241">IF(ISBLANK($R241), IF($S241,VLOOKUP($B241+1,'RFR Data - preExcl'!$BF$2:$BG1679,2,FALSE),IF($T241,INDEX('RFR Data - preExcl'!$BF$2:$BG1679,MATCH($B241,'RFR Data - preExcl'!$BF$2:$BF1679,0)+1,2),VLOOKUP($B241,'RFR Data - preExcl'!$BF$2:$BG1679,2,FALSE))),IFERROR(0/0,""))</f>
        <v/>
      </c>
      <c r="V241" s="212" t="str">
        <f t="shared" si="5"/>
        <v>RUN-COMB_2022-04-08_RFR-013</v>
      </c>
      <c r="W241" s="51"/>
      <c r="X241" s="51"/>
      <c r="Y241" s="147" t="str">
        <f t="shared" ref="Y241:Z241" si="482">IF(_xlfn.ISFORMULA(S241),IFERROR(0/0,""),TRUE)</f>
        <v/>
      </c>
      <c r="Z241" s="147" t="str">
        <f t="shared" si="482"/>
        <v/>
      </c>
    </row>
    <row r="242">
      <c r="A242" s="6" t="str">
        <f>IFERROR(__xludf.DUMMYFUNCTION("""COMPUTED_VALUE"""),"FM3961")</f>
        <v>FM3961</v>
      </c>
      <c r="B242" s="206">
        <f>IFERROR(__xludf.DUMMYFUNCTION("""COMPUTED_VALUE"""),44659.0)</f>
        <v>44659</v>
      </c>
      <c r="C242" s="207">
        <f>IFERROR(__xludf.DUMMYFUNCTION("""COMPUTED_VALUE"""),0.33769675925925924)</f>
        <v>0.3376967593</v>
      </c>
      <c r="D242" s="50"/>
      <c r="E242" s="58"/>
      <c r="F242" s="58"/>
      <c r="G242" s="58" t="str">
        <f>IFERROR(__xludf.DUMMYFUNCTION("""COMPUTED_VALUE"""),"Negative")</f>
        <v>Negative</v>
      </c>
      <c r="H242" s="206" t="str">
        <f>IFERROR(__xludf.DUMMYFUNCTION("""COMPUTED_VALUE"""),"Negative")</f>
        <v>Negative</v>
      </c>
      <c r="I242" s="207">
        <f>IFERROR(__xludf.DUMMYFUNCTION("""COMPUTED_VALUE"""),44659.0)</f>
        <v>44659</v>
      </c>
      <c r="J242" s="208">
        <f>IFERROR(__xludf.DUMMYFUNCTION("""COMPUTED_VALUE"""),0.34738425925925925)</f>
        <v>0.3473842593</v>
      </c>
      <c r="K242" s="50"/>
      <c r="L242" s="6"/>
      <c r="M242" s="55"/>
      <c r="N242" s="55">
        <f>IFERROR(__xludf.DUMMYFUNCTION("""COMPUTED_VALUE"""),1.0)</f>
        <v>1</v>
      </c>
      <c r="O242" s="55" t="str">
        <f t="shared" si="3"/>
        <v/>
      </c>
      <c r="P242" s="209"/>
      <c r="Q242" s="75" t="b">
        <f>VLOOKUP($B242,'Run Reconcile'!B$2:P1679,15,FALSE)</f>
        <v>1</v>
      </c>
      <c r="R242" s="211" t="str">
        <f t="array" ref="R242">IF($Q242, INDEX('Run Reconcile'!A$2:A1679,MATCH(B242,'Run Reconcile'!B$2:B1679,0),1),IFERROR(0/0,""))</f>
        <v>RUN-COMB_2022-04-08_RFR-013</v>
      </c>
      <c r="S242" s="165" t="str">
        <f t="shared" ref="S242:T242" si="483">IF(COUNTIF(W$2:W1679, $A242) &gt; 0,TRUE,IFERROR(0/0,""))</f>
        <v/>
      </c>
      <c r="T242" s="165" t="str">
        <f t="shared" si="483"/>
        <v/>
      </c>
      <c r="U242" s="147" t="str">
        <f t="array" ref="U242">IF(ISBLANK($R242), IF($S242,VLOOKUP($B242+1,'RFR Data - preExcl'!$BF$2:$BG1679,2,FALSE),IF($T242,INDEX('RFR Data - preExcl'!$BF$2:$BG1679,MATCH($B242,'RFR Data - preExcl'!$BF$2:$BF1679,0)+1,2),VLOOKUP($B242,'RFR Data - preExcl'!$BF$2:$BG1679,2,FALSE))),IFERROR(0/0,""))</f>
        <v/>
      </c>
      <c r="V242" s="212" t="str">
        <f t="shared" si="5"/>
        <v>RUN-COMB_2022-04-08_RFR-013</v>
      </c>
      <c r="W242" s="51"/>
      <c r="X242" s="51"/>
      <c r="Y242" s="147" t="str">
        <f t="shared" ref="Y242:Z242" si="484">IF(_xlfn.ISFORMULA(S242),IFERROR(0/0,""),TRUE)</f>
        <v/>
      </c>
      <c r="Z242" s="147" t="str">
        <f t="shared" si="484"/>
        <v/>
      </c>
    </row>
    <row r="243">
      <c r="A243" s="6" t="str">
        <f>IFERROR(__xludf.DUMMYFUNCTION("""COMPUTED_VALUE"""),"FM3904")</f>
        <v>FM3904</v>
      </c>
      <c r="B243" s="206">
        <f>IFERROR(__xludf.DUMMYFUNCTION("""COMPUTED_VALUE"""),44659.0)</f>
        <v>44659</v>
      </c>
      <c r="C243" s="207">
        <f>IFERROR(__xludf.DUMMYFUNCTION("""COMPUTED_VALUE"""),0.3390972222222222)</f>
        <v>0.3390972222</v>
      </c>
      <c r="D243" s="50"/>
      <c r="E243" s="58"/>
      <c r="F243" s="58"/>
      <c r="G243" s="58" t="str">
        <f>IFERROR(__xludf.DUMMYFUNCTION("""COMPUTED_VALUE"""),"Negative")</f>
        <v>Negative</v>
      </c>
      <c r="H243" s="206" t="str">
        <f>IFERROR(__xludf.DUMMYFUNCTION("""COMPUTED_VALUE"""),"Negative")</f>
        <v>Negative</v>
      </c>
      <c r="I243" s="207">
        <f>IFERROR(__xludf.DUMMYFUNCTION("""COMPUTED_VALUE"""),44659.0)</f>
        <v>44659</v>
      </c>
      <c r="J243" s="208">
        <f>IFERROR(__xludf.DUMMYFUNCTION("""COMPUTED_VALUE"""),0.34739583333333335)</f>
        <v>0.3473958333</v>
      </c>
      <c r="K243" s="50"/>
      <c r="L243" s="6"/>
      <c r="M243" s="55"/>
      <c r="N243" s="55">
        <f>IFERROR(__xludf.DUMMYFUNCTION("""COMPUTED_VALUE"""),1.0)</f>
        <v>1</v>
      </c>
      <c r="O243" s="55" t="str">
        <f t="shared" si="3"/>
        <v/>
      </c>
      <c r="P243" s="209"/>
      <c r="Q243" s="75" t="b">
        <f>VLOOKUP($B243,'Run Reconcile'!B$2:P1679,15,FALSE)</f>
        <v>1</v>
      </c>
      <c r="R243" s="211" t="str">
        <f t="array" ref="R243">IF($Q243, INDEX('Run Reconcile'!A$2:A1679,MATCH(B243,'Run Reconcile'!B$2:B1679,0),1),IFERROR(0/0,""))</f>
        <v>RUN-COMB_2022-04-08_RFR-013</v>
      </c>
      <c r="S243" s="165" t="str">
        <f t="shared" ref="S243:T243" si="485">IF(COUNTIF(W$2:W1679, $A243) &gt; 0,TRUE,IFERROR(0/0,""))</f>
        <v/>
      </c>
      <c r="T243" s="165" t="str">
        <f t="shared" si="485"/>
        <v/>
      </c>
      <c r="U243" s="147" t="str">
        <f t="array" ref="U243">IF(ISBLANK($R243), IF($S243,VLOOKUP($B243+1,'RFR Data - preExcl'!$BF$2:$BG1679,2,FALSE),IF($T243,INDEX('RFR Data - preExcl'!$BF$2:$BG1679,MATCH($B243,'RFR Data - preExcl'!$BF$2:$BF1679,0)+1,2),VLOOKUP($B243,'RFR Data - preExcl'!$BF$2:$BG1679,2,FALSE))),IFERROR(0/0,""))</f>
        <v/>
      </c>
      <c r="V243" s="212" t="str">
        <f t="shared" si="5"/>
        <v>RUN-COMB_2022-04-08_RFR-013</v>
      </c>
      <c r="W243" s="51"/>
      <c r="X243" s="51"/>
      <c r="Y243" s="147" t="str">
        <f t="shared" ref="Y243:Z243" si="486">IF(_xlfn.ISFORMULA(S243),IFERROR(0/0,""),TRUE)</f>
        <v/>
      </c>
      <c r="Z243" s="147" t="str">
        <f t="shared" si="486"/>
        <v/>
      </c>
    </row>
    <row r="244">
      <c r="A244" s="6" t="str">
        <f>IFERROR(__xludf.DUMMYFUNCTION("""COMPUTED_VALUE"""),"FM4015")</f>
        <v>FM4015</v>
      </c>
      <c r="B244" s="206">
        <f>IFERROR(__xludf.DUMMYFUNCTION("""COMPUTED_VALUE"""),44659.0)</f>
        <v>44659</v>
      </c>
      <c r="C244" s="207">
        <f>IFERROR(__xludf.DUMMYFUNCTION("""COMPUTED_VALUE"""),0.33975694444444443)</f>
        <v>0.3397569444</v>
      </c>
      <c r="D244" s="50"/>
      <c r="E244" s="58"/>
      <c r="F244" s="58"/>
      <c r="G244" s="58" t="str">
        <f>IFERROR(__xludf.DUMMYFUNCTION("""COMPUTED_VALUE"""),"Negative")</f>
        <v>Negative</v>
      </c>
      <c r="H244" s="206" t="str">
        <f>IFERROR(__xludf.DUMMYFUNCTION("""COMPUTED_VALUE"""),"Negative")</f>
        <v>Negative</v>
      </c>
      <c r="I244" s="207">
        <f>IFERROR(__xludf.DUMMYFUNCTION("""COMPUTED_VALUE"""),44659.0)</f>
        <v>44659</v>
      </c>
      <c r="J244" s="208">
        <f>IFERROR(__xludf.DUMMYFUNCTION("""COMPUTED_VALUE"""),0.34739583333333335)</f>
        <v>0.3473958333</v>
      </c>
      <c r="K244" s="50"/>
      <c r="L244" s="6"/>
      <c r="M244" s="55"/>
      <c r="N244" s="55">
        <f>IFERROR(__xludf.DUMMYFUNCTION("""COMPUTED_VALUE"""),1.0)</f>
        <v>1</v>
      </c>
      <c r="O244" s="55" t="str">
        <f t="shared" si="3"/>
        <v/>
      </c>
      <c r="P244" s="209"/>
      <c r="Q244" s="75" t="b">
        <f>VLOOKUP($B244,'Run Reconcile'!B$2:P1679,15,FALSE)</f>
        <v>1</v>
      </c>
      <c r="R244" s="211" t="str">
        <f t="array" ref="R244">IF($Q244, INDEX('Run Reconcile'!A$2:A1679,MATCH(B244,'Run Reconcile'!B$2:B1679,0),1),IFERROR(0/0,""))</f>
        <v>RUN-COMB_2022-04-08_RFR-013</v>
      </c>
      <c r="S244" s="165" t="str">
        <f t="shared" ref="S244:T244" si="487">IF(COUNTIF(W$2:W1679, $A244) &gt; 0,TRUE,IFERROR(0/0,""))</f>
        <v/>
      </c>
      <c r="T244" s="165" t="str">
        <f t="shared" si="487"/>
        <v/>
      </c>
      <c r="U244" s="147" t="str">
        <f t="array" ref="U244">IF(ISBLANK($R244), IF($S244,VLOOKUP($B244+1,'RFR Data - preExcl'!$BF$2:$BG1679,2,FALSE),IF($T244,INDEX('RFR Data - preExcl'!$BF$2:$BG1679,MATCH($B244,'RFR Data - preExcl'!$BF$2:$BF1679,0)+1,2),VLOOKUP($B244,'RFR Data - preExcl'!$BF$2:$BG1679,2,FALSE))),IFERROR(0/0,""))</f>
        <v/>
      </c>
      <c r="V244" s="212" t="str">
        <f t="shared" si="5"/>
        <v>RUN-COMB_2022-04-08_RFR-013</v>
      </c>
      <c r="W244" s="51"/>
      <c r="X244" s="51"/>
      <c r="Y244" s="147" t="str">
        <f t="shared" ref="Y244:Z244" si="488">IF(_xlfn.ISFORMULA(S244),IFERROR(0/0,""),TRUE)</f>
        <v/>
      </c>
      <c r="Z244" s="147" t="str">
        <f t="shared" si="488"/>
        <v/>
      </c>
    </row>
    <row r="245">
      <c r="A245" s="6" t="str">
        <f>IFERROR(__xludf.DUMMYFUNCTION("""COMPUTED_VALUE"""),"FM4011")</f>
        <v>FM4011</v>
      </c>
      <c r="B245" s="206">
        <f>IFERROR(__xludf.DUMMYFUNCTION("""COMPUTED_VALUE"""),44659.0)</f>
        <v>44659</v>
      </c>
      <c r="C245" s="207">
        <f>IFERROR(__xludf.DUMMYFUNCTION("""COMPUTED_VALUE"""),0.34043981481481483)</f>
        <v>0.3404398148</v>
      </c>
      <c r="D245" s="50"/>
      <c r="E245" s="58"/>
      <c r="F245" s="58"/>
      <c r="G245" s="58" t="str">
        <f>IFERROR(__xludf.DUMMYFUNCTION("""COMPUTED_VALUE"""),"Negative")</f>
        <v>Negative</v>
      </c>
      <c r="H245" s="206" t="str">
        <f>IFERROR(__xludf.DUMMYFUNCTION("""COMPUTED_VALUE"""),"Negative")</f>
        <v>Negative</v>
      </c>
      <c r="I245" s="207">
        <f>IFERROR(__xludf.DUMMYFUNCTION("""COMPUTED_VALUE"""),44659.0)</f>
        <v>44659</v>
      </c>
      <c r="J245" s="208">
        <f>IFERROR(__xludf.DUMMYFUNCTION("""COMPUTED_VALUE"""),0.3474074074074074)</f>
        <v>0.3474074074</v>
      </c>
      <c r="K245" s="50"/>
      <c r="L245" s="6"/>
      <c r="M245" s="55"/>
      <c r="N245" s="55">
        <f>IFERROR(__xludf.DUMMYFUNCTION("""COMPUTED_VALUE"""),1.0)</f>
        <v>1</v>
      </c>
      <c r="O245" s="55" t="str">
        <f t="shared" si="3"/>
        <v/>
      </c>
      <c r="P245" s="209"/>
      <c r="Q245" s="75" t="b">
        <f>VLOOKUP($B245,'Run Reconcile'!B$2:P1679,15,FALSE)</f>
        <v>1</v>
      </c>
      <c r="R245" s="211" t="str">
        <f t="array" ref="R245">IF($Q245, INDEX('Run Reconcile'!A$2:A1679,MATCH(B245,'Run Reconcile'!B$2:B1679,0),1),IFERROR(0/0,""))</f>
        <v>RUN-COMB_2022-04-08_RFR-013</v>
      </c>
      <c r="S245" s="165" t="str">
        <f t="shared" ref="S245:T245" si="489">IF(COUNTIF(W$2:W1679, $A245) &gt; 0,TRUE,IFERROR(0/0,""))</f>
        <v/>
      </c>
      <c r="T245" s="165" t="str">
        <f t="shared" si="489"/>
        <v/>
      </c>
      <c r="U245" s="147" t="str">
        <f t="array" ref="U245">IF(ISBLANK($R245), IF($S245,VLOOKUP($B245+1,'RFR Data - preExcl'!$BF$2:$BG1679,2,FALSE),IF($T245,INDEX('RFR Data - preExcl'!$BF$2:$BG1679,MATCH($B245,'RFR Data - preExcl'!$BF$2:$BF1679,0)+1,2),VLOOKUP($B245,'RFR Data - preExcl'!$BF$2:$BG1679,2,FALSE))),IFERROR(0/0,""))</f>
        <v/>
      </c>
      <c r="V245" s="212" t="str">
        <f t="shared" si="5"/>
        <v>RUN-COMB_2022-04-08_RFR-013</v>
      </c>
      <c r="W245" s="51"/>
      <c r="X245" s="51"/>
      <c r="Y245" s="147" t="str">
        <f t="shared" ref="Y245:Z245" si="490">IF(_xlfn.ISFORMULA(S245),IFERROR(0/0,""),TRUE)</f>
        <v/>
      </c>
      <c r="Z245" s="147" t="str">
        <f t="shared" si="490"/>
        <v/>
      </c>
    </row>
    <row r="246">
      <c r="A246" s="6" t="str">
        <f>IFERROR(__xludf.DUMMYFUNCTION("""COMPUTED_VALUE"""),"FM3990")</f>
        <v>FM3990</v>
      </c>
      <c r="B246" s="206">
        <f>IFERROR(__xludf.DUMMYFUNCTION("""COMPUTED_VALUE"""),44659.0)</f>
        <v>44659</v>
      </c>
      <c r="C246" s="207">
        <f>IFERROR(__xludf.DUMMYFUNCTION("""COMPUTED_VALUE"""),0.3410300925925926)</f>
        <v>0.3410300926</v>
      </c>
      <c r="D246" s="50"/>
      <c r="E246" s="58"/>
      <c r="F246" s="58"/>
      <c r="G246" s="58" t="str">
        <f>IFERROR(__xludf.DUMMYFUNCTION("""COMPUTED_VALUE"""),"Negative")</f>
        <v>Negative</v>
      </c>
      <c r="H246" s="206" t="str">
        <f>IFERROR(__xludf.DUMMYFUNCTION("""COMPUTED_VALUE"""),"Negative")</f>
        <v>Negative</v>
      </c>
      <c r="I246" s="207">
        <f>IFERROR(__xludf.DUMMYFUNCTION("""COMPUTED_VALUE"""),44659.0)</f>
        <v>44659</v>
      </c>
      <c r="J246" s="208">
        <f>IFERROR(__xludf.DUMMYFUNCTION("""COMPUTED_VALUE"""),0.3474189814814815)</f>
        <v>0.3474189815</v>
      </c>
      <c r="K246" s="50"/>
      <c r="L246" s="6"/>
      <c r="M246" s="55"/>
      <c r="N246" s="55">
        <f>IFERROR(__xludf.DUMMYFUNCTION("""COMPUTED_VALUE"""),1.0)</f>
        <v>1</v>
      </c>
      <c r="O246" s="55" t="str">
        <f t="shared" si="3"/>
        <v/>
      </c>
      <c r="P246" s="209"/>
      <c r="Q246" s="75" t="b">
        <f>VLOOKUP($B246,'Run Reconcile'!B$2:P1679,15,FALSE)</f>
        <v>1</v>
      </c>
      <c r="R246" s="211" t="str">
        <f t="array" ref="R246">IF($Q246, INDEX('Run Reconcile'!A$2:A1679,MATCH(B246,'Run Reconcile'!B$2:B1679,0),1),IFERROR(0/0,""))</f>
        <v>RUN-COMB_2022-04-08_RFR-013</v>
      </c>
      <c r="S246" s="165" t="str">
        <f t="shared" ref="S246:T246" si="491">IF(COUNTIF(W$2:W1679, $A246) &gt; 0,TRUE,IFERROR(0/0,""))</f>
        <v/>
      </c>
      <c r="T246" s="165" t="str">
        <f t="shared" si="491"/>
        <v/>
      </c>
      <c r="U246" s="147" t="str">
        <f t="array" ref="U246">IF(ISBLANK($R246), IF($S246,VLOOKUP($B246+1,'RFR Data - preExcl'!$BF$2:$BG1679,2,FALSE),IF($T246,INDEX('RFR Data - preExcl'!$BF$2:$BG1679,MATCH($B246,'RFR Data - preExcl'!$BF$2:$BF1679,0)+1,2),VLOOKUP($B246,'RFR Data - preExcl'!$BF$2:$BG1679,2,FALSE))),IFERROR(0/0,""))</f>
        <v/>
      </c>
      <c r="V246" s="212" t="str">
        <f t="shared" si="5"/>
        <v>RUN-COMB_2022-04-08_RFR-013</v>
      </c>
      <c r="W246" s="51"/>
      <c r="X246" s="51"/>
      <c r="Y246" s="147" t="str">
        <f t="shared" ref="Y246:Z246" si="492">IF(_xlfn.ISFORMULA(S246),IFERROR(0/0,""),TRUE)</f>
        <v/>
      </c>
      <c r="Z246" s="147" t="str">
        <f t="shared" si="492"/>
        <v/>
      </c>
    </row>
    <row r="247">
      <c r="A247" s="6" t="str">
        <f>IFERROR(__xludf.DUMMYFUNCTION("""COMPUTED_VALUE"""),"FM3983")</f>
        <v>FM3983</v>
      </c>
      <c r="B247" s="206">
        <f>IFERROR(__xludf.DUMMYFUNCTION("""COMPUTED_VALUE"""),44659.0)</f>
        <v>44659</v>
      </c>
      <c r="C247" s="207">
        <f>IFERROR(__xludf.DUMMYFUNCTION("""COMPUTED_VALUE"""),0.3437962962962963)</f>
        <v>0.3437962963</v>
      </c>
      <c r="D247" s="50"/>
      <c r="E247" s="58"/>
      <c r="F247" s="58"/>
      <c r="G247" s="58" t="str">
        <f>IFERROR(__xludf.DUMMYFUNCTION("""COMPUTED_VALUE"""),"Negative")</f>
        <v>Negative</v>
      </c>
      <c r="H247" s="206" t="str">
        <f>IFERROR(__xludf.DUMMYFUNCTION("""COMPUTED_VALUE"""),"Negative")</f>
        <v>Negative</v>
      </c>
      <c r="I247" s="207">
        <f>IFERROR(__xludf.DUMMYFUNCTION("""COMPUTED_VALUE"""),44659.0)</f>
        <v>44659</v>
      </c>
      <c r="J247" s="208">
        <f>IFERROR(__xludf.DUMMYFUNCTION("""COMPUTED_VALUE"""),0.3474189814814815)</f>
        <v>0.3474189815</v>
      </c>
      <c r="K247" s="50"/>
      <c r="L247" s="6"/>
      <c r="M247" s="55"/>
      <c r="N247" s="55">
        <f>IFERROR(__xludf.DUMMYFUNCTION("""COMPUTED_VALUE"""),1.0)</f>
        <v>1</v>
      </c>
      <c r="O247" s="55" t="str">
        <f t="shared" si="3"/>
        <v/>
      </c>
      <c r="P247" s="209"/>
      <c r="Q247" s="75" t="b">
        <f>VLOOKUP($B247,'Run Reconcile'!B$2:P1679,15,FALSE)</f>
        <v>1</v>
      </c>
      <c r="R247" s="211" t="str">
        <f t="array" ref="R247">IF($Q247, INDEX('Run Reconcile'!A$2:A1679,MATCH(B247,'Run Reconcile'!B$2:B1679,0),1),IFERROR(0/0,""))</f>
        <v>RUN-COMB_2022-04-08_RFR-013</v>
      </c>
      <c r="S247" s="165" t="str">
        <f t="shared" ref="S247:T247" si="493">IF(COUNTIF(W$2:W1679, $A247) &gt; 0,TRUE,IFERROR(0/0,""))</f>
        <v/>
      </c>
      <c r="T247" s="165" t="str">
        <f t="shared" si="493"/>
        <v/>
      </c>
      <c r="U247" s="147" t="str">
        <f t="array" ref="U247">IF(ISBLANK($R247), IF($S247,VLOOKUP($B247+1,'RFR Data - preExcl'!$BF$2:$BG1679,2,FALSE),IF($T247,INDEX('RFR Data - preExcl'!$BF$2:$BG1679,MATCH($B247,'RFR Data - preExcl'!$BF$2:$BF1679,0)+1,2),VLOOKUP($B247,'RFR Data - preExcl'!$BF$2:$BG1679,2,FALSE))),IFERROR(0/0,""))</f>
        <v/>
      </c>
      <c r="V247" s="212" t="str">
        <f t="shared" si="5"/>
        <v>RUN-COMB_2022-04-08_RFR-013</v>
      </c>
      <c r="W247" s="51"/>
      <c r="X247" s="51"/>
      <c r="Y247" s="147" t="str">
        <f t="shared" ref="Y247:Z247" si="494">IF(_xlfn.ISFORMULA(S247),IFERROR(0/0,""),TRUE)</f>
        <v/>
      </c>
      <c r="Z247" s="147" t="str">
        <f t="shared" si="494"/>
        <v/>
      </c>
    </row>
    <row r="248">
      <c r="A248" s="6" t="str">
        <f>IFERROR(__xludf.DUMMYFUNCTION("""COMPUTED_VALUE"""),"FM4414")</f>
        <v>FM4414</v>
      </c>
      <c r="B248" s="206">
        <f>IFERROR(__xludf.DUMMYFUNCTION("""COMPUTED_VALUE"""),44662.0)</f>
        <v>44662</v>
      </c>
      <c r="C248" s="207">
        <f>IFERROR(__xludf.DUMMYFUNCTION("""COMPUTED_VALUE"""),0.7122569444444444)</f>
        <v>0.7122569444</v>
      </c>
      <c r="D248" s="50"/>
      <c r="E248" s="58"/>
      <c r="F248" s="58"/>
      <c r="G248" s="58" t="str">
        <f>IFERROR(__xludf.DUMMYFUNCTION("""COMPUTED_VALUE"""),"Negative")</f>
        <v>Negative</v>
      </c>
      <c r="H248" s="206" t="str">
        <f>IFERROR(__xludf.DUMMYFUNCTION("""COMPUTED_VALUE"""),"Negative")</f>
        <v>Negative</v>
      </c>
      <c r="I248" s="207">
        <f>IFERROR(__xludf.DUMMYFUNCTION("""COMPUTED_VALUE"""),44662.0)</f>
        <v>44662</v>
      </c>
      <c r="J248" s="208">
        <f>IFERROR(__xludf.DUMMYFUNCTION("""COMPUTED_VALUE"""),0.8022916666666666)</f>
        <v>0.8022916667</v>
      </c>
      <c r="K248" s="50"/>
      <c r="L248" s="6"/>
      <c r="M248" s="55"/>
      <c r="N248" s="55">
        <f>IFERROR(__xludf.DUMMYFUNCTION("""COMPUTED_VALUE"""),1.0)</f>
        <v>1</v>
      </c>
      <c r="O248" s="55" t="b">
        <f t="shared" si="3"/>
        <v>1</v>
      </c>
      <c r="P248" s="209"/>
      <c r="Q248" s="75" t="b">
        <f>VLOOKUP($B248,'Run Reconcile'!B$2:P1679,15,FALSE)</f>
        <v>1</v>
      </c>
      <c r="R248" s="211" t="str">
        <f t="array" ref="R248">IF($Q248, INDEX('Run Reconcile'!A$2:A1679,MATCH(B248,'Run Reconcile'!B$2:B1679,0),1),IFERROR(0/0,""))</f>
        <v>RUN-COMB_2022-04-11_RFR-014</v>
      </c>
      <c r="S248" s="165" t="str">
        <f t="shared" ref="S248:T248" si="495">IF(COUNTIF(W$2:W1679, $A248) &gt; 0,TRUE,IFERROR(0/0,""))</f>
        <v/>
      </c>
      <c r="T248" s="165" t="str">
        <f t="shared" si="495"/>
        <v/>
      </c>
      <c r="U248" s="147" t="str">
        <f t="array" ref="U248">IF(ISBLANK($R248), IF($S248,VLOOKUP($B248+1,'RFR Data - preExcl'!$BF$2:$BG1679,2,FALSE),IF($T248,INDEX('RFR Data - preExcl'!$BF$2:$BG1679,MATCH($B248,'RFR Data - preExcl'!$BF$2:$BF1679,0)+1,2),VLOOKUP($B248,'RFR Data - preExcl'!$BF$2:$BG1679,2,FALSE))),IFERROR(0/0,""))</f>
        <v/>
      </c>
      <c r="V248" s="212" t="str">
        <f t="shared" si="5"/>
        <v>RUN-COMB_2022-04-11_RFR-014</v>
      </c>
      <c r="W248" s="51"/>
      <c r="X248" s="51"/>
      <c r="Y248" s="147" t="str">
        <f t="shared" ref="Y248:Z248" si="496">IF(_xlfn.ISFORMULA(S248),IFERROR(0/0,""),TRUE)</f>
        <v/>
      </c>
      <c r="Z248" s="147" t="str">
        <f t="shared" si="496"/>
        <v/>
      </c>
    </row>
    <row r="249">
      <c r="A249" s="6" t="str">
        <f>IFERROR(__xludf.DUMMYFUNCTION("""COMPUTED_VALUE"""),"FM4403")</f>
        <v>FM4403</v>
      </c>
      <c r="B249" s="206">
        <f>IFERROR(__xludf.DUMMYFUNCTION("""COMPUTED_VALUE"""),44662.0)</f>
        <v>44662</v>
      </c>
      <c r="C249" s="207">
        <f>IFERROR(__xludf.DUMMYFUNCTION("""COMPUTED_VALUE"""),0.7166319444444444)</f>
        <v>0.7166319444</v>
      </c>
      <c r="D249" s="50"/>
      <c r="E249" s="58"/>
      <c r="F249" s="58"/>
      <c r="G249" s="58" t="str">
        <f>IFERROR(__xludf.DUMMYFUNCTION("""COMPUTED_VALUE"""),"Negative")</f>
        <v>Negative</v>
      </c>
      <c r="H249" s="206" t="str">
        <f>IFERROR(__xludf.DUMMYFUNCTION("""COMPUTED_VALUE"""),"Negative")</f>
        <v>Negative</v>
      </c>
      <c r="I249" s="207">
        <f>IFERROR(__xludf.DUMMYFUNCTION("""COMPUTED_VALUE"""),44662.0)</f>
        <v>44662</v>
      </c>
      <c r="J249" s="208">
        <f>IFERROR(__xludf.DUMMYFUNCTION("""COMPUTED_VALUE"""),0.8022916666666666)</f>
        <v>0.8022916667</v>
      </c>
      <c r="K249" s="50"/>
      <c r="L249" s="6"/>
      <c r="M249" s="55"/>
      <c r="N249" s="55">
        <f>IFERROR(__xludf.DUMMYFUNCTION("""COMPUTED_VALUE"""),1.0)</f>
        <v>1</v>
      </c>
      <c r="O249" s="55" t="str">
        <f t="shared" si="3"/>
        <v/>
      </c>
      <c r="P249" s="209"/>
      <c r="Q249" s="75" t="b">
        <f>VLOOKUP($B249,'Run Reconcile'!B$2:P1679,15,FALSE)</f>
        <v>1</v>
      </c>
      <c r="R249" s="211" t="str">
        <f t="array" ref="R249">IF($Q249, INDEX('Run Reconcile'!A$2:A1679,MATCH(B249,'Run Reconcile'!B$2:B1679,0),1),IFERROR(0/0,""))</f>
        <v>RUN-COMB_2022-04-11_RFR-014</v>
      </c>
      <c r="S249" s="165" t="str">
        <f t="shared" ref="S249:T249" si="497">IF(COUNTIF(W$2:W1679, $A249) &gt; 0,TRUE,IFERROR(0/0,""))</f>
        <v/>
      </c>
      <c r="T249" s="165" t="str">
        <f t="shared" si="497"/>
        <v/>
      </c>
      <c r="U249" s="147" t="str">
        <f t="array" ref="U249">IF(ISBLANK($R249), IF($S249,VLOOKUP($B249+1,'RFR Data - preExcl'!$BF$2:$BG1679,2,FALSE),IF($T249,INDEX('RFR Data - preExcl'!$BF$2:$BG1679,MATCH($B249,'RFR Data - preExcl'!$BF$2:$BF1679,0)+1,2),VLOOKUP($B249,'RFR Data - preExcl'!$BF$2:$BG1679,2,FALSE))),IFERROR(0/0,""))</f>
        <v/>
      </c>
      <c r="V249" s="212" t="str">
        <f t="shared" si="5"/>
        <v>RUN-COMB_2022-04-11_RFR-014</v>
      </c>
      <c r="W249" s="51"/>
      <c r="X249" s="51"/>
      <c r="Y249" s="147" t="str">
        <f t="shared" ref="Y249:Z249" si="498">IF(_xlfn.ISFORMULA(S249),IFERROR(0/0,""),TRUE)</f>
        <v/>
      </c>
      <c r="Z249" s="147" t="str">
        <f t="shared" si="498"/>
        <v/>
      </c>
    </row>
    <row r="250">
      <c r="A250" s="6" t="str">
        <f>IFERROR(__xludf.DUMMYFUNCTION("""COMPUTED_VALUE"""),"FM4256")</f>
        <v>FM4256</v>
      </c>
      <c r="B250" s="206">
        <f>IFERROR(__xludf.DUMMYFUNCTION("""COMPUTED_VALUE"""),44662.0)</f>
        <v>44662</v>
      </c>
      <c r="C250" s="207">
        <f>IFERROR(__xludf.DUMMYFUNCTION("""COMPUTED_VALUE"""),0.7173032407407407)</f>
        <v>0.7173032407</v>
      </c>
      <c r="D250" s="50"/>
      <c r="E250" s="58"/>
      <c r="F250" s="58"/>
      <c r="G250" s="58" t="str">
        <f>IFERROR(__xludf.DUMMYFUNCTION("""COMPUTED_VALUE"""),"Negative")</f>
        <v>Negative</v>
      </c>
      <c r="H250" s="206" t="str">
        <f>IFERROR(__xludf.DUMMYFUNCTION("""COMPUTED_VALUE"""),"Negative")</f>
        <v>Negative</v>
      </c>
      <c r="I250" s="207">
        <f>IFERROR(__xludf.DUMMYFUNCTION("""COMPUTED_VALUE"""),44662.0)</f>
        <v>44662</v>
      </c>
      <c r="J250" s="208">
        <f>IFERROR(__xludf.DUMMYFUNCTION("""COMPUTED_VALUE"""),0.8022916666666666)</f>
        <v>0.8022916667</v>
      </c>
      <c r="K250" s="50"/>
      <c r="L250" s="6"/>
      <c r="M250" s="55"/>
      <c r="N250" s="55">
        <f>IFERROR(__xludf.DUMMYFUNCTION("""COMPUTED_VALUE"""),1.0)</f>
        <v>1</v>
      </c>
      <c r="O250" s="55" t="str">
        <f t="shared" si="3"/>
        <v/>
      </c>
      <c r="P250" s="209"/>
      <c r="Q250" s="75" t="b">
        <f>VLOOKUP($B250,'Run Reconcile'!B$2:P1679,15,FALSE)</f>
        <v>1</v>
      </c>
      <c r="R250" s="211" t="str">
        <f t="array" ref="R250">IF($Q250, INDEX('Run Reconcile'!A$2:A1679,MATCH(B250,'Run Reconcile'!B$2:B1679,0),1),IFERROR(0/0,""))</f>
        <v>RUN-COMB_2022-04-11_RFR-014</v>
      </c>
      <c r="S250" s="165" t="str">
        <f t="shared" ref="S250:T250" si="499">IF(COUNTIF(W$2:W1679, $A250) &gt; 0,TRUE,IFERROR(0/0,""))</f>
        <v/>
      </c>
      <c r="T250" s="165" t="str">
        <f t="shared" si="499"/>
        <v/>
      </c>
      <c r="U250" s="147" t="str">
        <f t="array" ref="U250">IF(ISBLANK($R250), IF($S250,VLOOKUP($B250+1,'RFR Data - preExcl'!$BF$2:$BG1679,2,FALSE),IF($T250,INDEX('RFR Data - preExcl'!$BF$2:$BG1679,MATCH($B250,'RFR Data - preExcl'!$BF$2:$BF1679,0)+1,2),VLOOKUP($B250,'RFR Data - preExcl'!$BF$2:$BG1679,2,FALSE))),IFERROR(0/0,""))</f>
        <v/>
      </c>
      <c r="V250" s="212" t="str">
        <f t="shared" si="5"/>
        <v>RUN-COMB_2022-04-11_RFR-014</v>
      </c>
      <c r="W250" s="51"/>
      <c r="X250" s="51"/>
      <c r="Y250" s="147" t="str">
        <f t="shared" ref="Y250:Z250" si="500">IF(_xlfn.ISFORMULA(S250),IFERROR(0/0,""),TRUE)</f>
        <v/>
      </c>
      <c r="Z250" s="147" t="str">
        <f t="shared" si="500"/>
        <v/>
      </c>
    </row>
    <row r="251">
      <c r="A251" s="6" t="str">
        <f>IFERROR(__xludf.DUMMYFUNCTION("""COMPUTED_VALUE"""),"FM4440")</f>
        <v>FM4440</v>
      </c>
      <c r="B251" s="206">
        <f>IFERROR(__xludf.DUMMYFUNCTION("""COMPUTED_VALUE"""),44662.0)</f>
        <v>44662</v>
      </c>
      <c r="C251" s="207">
        <f>IFERROR(__xludf.DUMMYFUNCTION("""COMPUTED_VALUE"""),0.7178703703703704)</f>
        <v>0.7178703704</v>
      </c>
      <c r="D251" s="50"/>
      <c r="E251" s="58"/>
      <c r="F251" s="58"/>
      <c r="G251" s="58" t="str">
        <f>IFERROR(__xludf.DUMMYFUNCTION("""COMPUTED_VALUE"""),"Negative")</f>
        <v>Negative</v>
      </c>
      <c r="H251" s="206" t="str">
        <f>IFERROR(__xludf.DUMMYFUNCTION("""COMPUTED_VALUE"""),"Negative")</f>
        <v>Negative</v>
      </c>
      <c r="I251" s="207">
        <f>IFERROR(__xludf.DUMMYFUNCTION("""COMPUTED_VALUE"""),44662.0)</f>
        <v>44662</v>
      </c>
      <c r="J251" s="208">
        <f>IFERROR(__xludf.DUMMYFUNCTION("""COMPUTED_VALUE"""),0.8023032407407408)</f>
        <v>0.8023032407</v>
      </c>
      <c r="K251" s="50"/>
      <c r="L251" s="6"/>
      <c r="M251" s="55"/>
      <c r="N251" s="55">
        <f>IFERROR(__xludf.DUMMYFUNCTION("""COMPUTED_VALUE"""),1.0)</f>
        <v>1</v>
      </c>
      <c r="O251" s="55" t="str">
        <f t="shared" si="3"/>
        <v/>
      </c>
      <c r="P251" s="209"/>
      <c r="Q251" s="75" t="b">
        <f>VLOOKUP($B251,'Run Reconcile'!B$2:P1679,15,FALSE)</f>
        <v>1</v>
      </c>
      <c r="R251" s="211" t="str">
        <f t="array" ref="R251">IF($Q251, INDEX('Run Reconcile'!A$2:A1679,MATCH(B251,'Run Reconcile'!B$2:B1679,0),1),IFERROR(0/0,""))</f>
        <v>RUN-COMB_2022-04-11_RFR-014</v>
      </c>
      <c r="S251" s="165" t="str">
        <f t="shared" ref="S251:T251" si="501">IF(COUNTIF(W$2:W1679, $A251) &gt; 0,TRUE,IFERROR(0/0,""))</f>
        <v/>
      </c>
      <c r="T251" s="165" t="str">
        <f t="shared" si="501"/>
        <v/>
      </c>
      <c r="U251" s="147" t="str">
        <f t="array" ref="U251">IF(ISBLANK($R251), IF($S251,VLOOKUP($B251+1,'RFR Data - preExcl'!$BF$2:$BG1679,2,FALSE),IF($T251,INDEX('RFR Data - preExcl'!$BF$2:$BG1679,MATCH($B251,'RFR Data - preExcl'!$BF$2:$BF1679,0)+1,2),VLOOKUP($B251,'RFR Data - preExcl'!$BF$2:$BG1679,2,FALSE))),IFERROR(0/0,""))</f>
        <v/>
      </c>
      <c r="V251" s="212" t="str">
        <f t="shared" si="5"/>
        <v>RUN-COMB_2022-04-11_RFR-014</v>
      </c>
      <c r="W251" s="51"/>
      <c r="X251" s="51"/>
      <c r="Y251" s="147" t="str">
        <f t="shared" ref="Y251:Z251" si="502">IF(_xlfn.ISFORMULA(S251),IFERROR(0/0,""),TRUE)</f>
        <v/>
      </c>
      <c r="Z251" s="147" t="str">
        <f t="shared" si="502"/>
        <v/>
      </c>
    </row>
    <row r="252">
      <c r="A252" s="6" t="str">
        <f>IFERROR(__xludf.DUMMYFUNCTION("""COMPUTED_VALUE"""),"FM4260")</f>
        <v>FM4260</v>
      </c>
      <c r="B252" s="206">
        <f>IFERROR(__xludf.DUMMYFUNCTION("""COMPUTED_VALUE"""),44662.0)</f>
        <v>44662</v>
      </c>
      <c r="C252" s="207">
        <f>IFERROR(__xludf.DUMMYFUNCTION("""COMPUTED_VALUE"""),0.7252314814814815)</f>
        <v>0.7252314815</v>
      </c>
      <c r="D252" s="50"/>
      <c r="E252" s="58"/>
      <c r="F252" s="58"/>
      <c r="G252" s="58" t="str">
        <f>IFERROR(__xludf.DUMMYFUNCTION("""COMPUTED_VALUE"""),"Negative")</f>
        <v>Negative</v>
      </c>
      <c r="H252" s="206" t="str">
        <f>IFERROR(__xludf.DUMMYFUNCTION("""COMPUTED_VALUE"""),"Negative")</f>
        <v>Negative</v>
      </c>
      <c r="I252" s="207">
        <f>IFERROR(__xludf.DUMMYFUNCTION("""COMPUTED_VALUE"""),44662.0)</f>
        <v>44662</v>
      </c>
      <c r="J252" s="208">
        <f>IFERROR(__xludf.DUMMYFUNCTION("""COMPUTED_VALUE"""),0.8023032407407408)</f>
        <v>0.8023032407</v>
      </c>
      <c r="K252" s="50"/>
      <c r="L252" s="6"/>
      <c r="M252" s="55"/>
      <c r="N252" s="55">
        <f>IFERROR(__xludf.DUMMYFUNCTION("""COMPUTED_VALUE"""),1.0)</f>
        <v>1</v>
      </c>
      <c r="O252" s="55" t="str">
        <f t="shared" si="3"/>
        <v/>
      </c>
      <c r="P252" s="209"/>
      <c r="Q252" s="75" t="b">
        <f>VLOOKUP($B252,'Run Reconcile'!B$2:P1679,15,FALSE)</f>
        <v>1</v>
      </c>
      <c r="R252" s="211" t="str">
        <f t="array" ref="R252">IF($Q252, INDEX('Run Reconcile'!A$2:A1679,MATCH(B252,'Run Reconcile'!B$2:B1679,0),1),IFERROR(0/0,""))</f>
        <v>RUN-COMB_2022-04-11_RFR-014</v>
      </c>
      <c r="S252" s="165" t="str">
        <f t="shared" ref="S252:T252" si="503">IF(COUNTIF(W$2:W1679, $A252) &gt; 0,TRUE,IFERROR(0/0,""))</f>
        <v/>
      </c>
      <c r="T252" s="165" t="str">
        <f t="shared" si="503"/>
        <v/>
      </c>
      <c r="U252" s="147" t="str">
        <f t="array" ref="U252">IF(ISBLANK($R252), IF($S252,VLOOKUP($B252+1,'RFR Data - preExcl'!$BF$2:$BG1679,2,FALSE),IF($T252,INDEX('RFR Data - preExcl'!$BF$2:$BG1679,MATCH($B252,'RFR Data - preExcl'!$BF$2:$BF1679,0)+1,2),VLOOKUP($B252,'RFR Data - preExcl'!$BF$2:$BG1679,2,FALSE))),IFERROR(0/0,""))</f>
        <v/>
      </c>
      <c r="V252" s="212" t="str">
        <f t="shared" si="5"/>
        <v>RUN-COMB_2022-04-11_RFR-014</v>
      </c>
      <c r="W252" s="51"/>
      <c r="X252" s="51"/>
      <c r="Y252" s="147" t="str">
        <f t="shared" ref="Y252:Z252" si="504">IF(_xlfn.ISFORMULA(S252),IFERROR(0/0,""),TRUE)</f>
        <v/>
      </c>
      <c r="Z252" s="147" t="str">
        <f t="shared" si="504"/>
        <v/>
      </c>
    </row>
    <row r="253">
      <c r="A253" s="6" t="str">
        <f>IFERROR(__xludf.DUMMYFUNCTION("""COMPUTED_VALUE"""),"FM4253")</f>
        <v>FM4253</v>
      </c>
      <c r="B253" s="206">
        <f>IFERROR(__xludf.DUMMYFUNCTION("""COMPUTED_VALUE"""),44662.0)</f>
        <v>44662</v>
      </c>
      <c r="C253" s="207">
        <f>IFERROR(__xludf.DUMMYFUNCTION("""COMPUTED_VALUE"""),0.7257638888888889)</f>
        <v>0.7257638889</v>
      </c>
      <c r="D253" s="50"/>
      <c r="E253" s="58"/>
      <c r="F253" s="58"/>
      <c r="G253" s="58" t="str">
        <f>IFERROR(__xludf.DUMMYFUNCTION("""COMPUTED_VALUE"""),"Negative")</f>
        <v>Negative</v>
      </c>
      <c r="H253" s="206" t="str">
        <f>IFERROR(__xludf.DUMMYFUNCTION("""COMPUTED_VALUE"""),"Negative")</f>
        <v>Negative</v>
      </c>
      <c r="I253" s="207">
        <f>IFERROR(__xludf.DUMMYFUNCTION("""COMPUTED_VALUE"""),44662.0)</f>
        <v>44662</v>
      </c>
      <c r="J253" s="208">
        <f>IFERROR(__xludf.DUMMYFUNCTION("""COMPUTED_VALUE"""),0.8023032407407408)</f>
        <v>0.8023032407</v>
      </c>
      <c r="K253" s="50"/>
      <c r="L253" s="6"/>
      <c r="M253" s="55"/>
      <c r="N253" s="55">
        <f>IFERROR(__xludf.DUMMYFUNCTION("""COMPUTED_VALUE"""),1.0)</f>
        <v>1</v>
      </c>
      <c r="O253" s="55" t="str">
        <f t="shared" si="3"/>
        <v/>
      </c>
      <c r="P253" s="209"/>
      <c r="Q253" s="75" t="b">
        <f>VLOOKUP($B253,'Run Reconcile'!B$2:P1679,15,FALSE)</f>
        <v>1</v>
      </c>
      <c r="R253" s="211" t="str">
        <f t="array" ref="R253">IF($Q253, INDEX('Run Reconcile'!A$2:A1679,MATCH(B253,'Run Reconcile'!B$2:B1679,0),1),IFERROR(0/0,""))</f>
        <v>RUN-COMB_2022-04-11_RFR-014</v>
      </c>
      <c r="S253" s="165" t="str">
        <f t="shared" ref="S253:T253" si="505">IF(COUNTIF(W$2:W1679, $A253) &gt; 0,TRUE,IFERROR(0/0,""))</f>
        <v/>
      </c>
      <c r="T253" s="165" t="str">
        <f t="shared" si="505"/>
        <v/>
      </c>
      <c r="U253" s="147" t="str">
        <f t="array" ref="U253">IF(ISBLANK($R253), IF($S253,VLOOKUP($B253+1,'RFR Data - preExcl'!$BF$2:$BG1679,2,FALSE),IF($T253,INDEX('RFR Data - preExcl'!$BF$2:$BG1679,MATCH($B253,'RFR Data - preExcl'!$BF$2:$BF1679,0)+1,2),VLOOKUP($B253,'RFR Data - preExcl'!$BF$2:$BG1679,2,FALSE))),IFERROR(0/0,""))</f>
        <v/>
      </c>
      <c r="V253" s="212" t="str">
        <f t="shared" si="5"/>
        <v>RUN-COMB_2022-04-11_RFR-014</v>
      </c>
      <c r="W253" s="51"/>
      <c r="X253" s="51"/>
      <c r="Y253" s="147" t="str">
        <f t="shared" ref="Y253:Z253" si="506">IF(_xlfn.ISFORMULA(S253),IFERROR(0/0,""),TRUE)</f>
        <v/>
      </c>
      <c r="Z253" s="147" t="str">
        <f t="shared" si="506"/>
        <v/>
      </c>
    </row>
    <row r="254">
      <c r="A254" s="6" t="str">
        <f>IFERROR(__xludf.DUMMYFUNCTION("""COMPUTED_VALUE"""),"FM4412")</f>
        <v>FM4412</v>
      </c>
      <c r="B254" s="206">
        <f>IFERROR(__xludf.DUMMYFUNCTION("""COMPUTED_VALUE"""),44662.0)</f>
        <v>44662</v>
      </c>
      <c r="C254" s="207">
        <f>IFERROR(__xludf.DUMMYFUNCTION("""COMPUTED_VALUE"""),0.7275462962962963)</f>
        <v>0.7275462963</v>
      </c>
      <c r="D254" s="50"/>
      <c r="E254" s="58"/>
      <c r="F254" s="58"/>
      <c r="G254" s="58" t="str">
        <f>IFERROR(__xludf.DUMMYFUNCTION("""COMPUTED_VALUE"""),"Negative")</f>
        <v>Negative</v>
      </c>
      <c r="H254" s="206" t="str">
        <f>IFERROR(__xludf.DUMMYFUNCTION("""COMPUTED_VALUE"""),"Negative")</f>
        <v>Negative</v>
      </c>
      <c r="I254" s="207">
        <f>IFERROR(__xludf.DUMMYFUNCTION("""COMPUTED_VALUE"""),44662.0)</f>
        <v>44662</v>
      </c>
      <c r="J254" s="208">
        <f>IFERROR(__xludf.DUMMYFUNCTION("""COMPUTED_VALUE"""),0.8023148148148148)</f>
        <v>0.8023148148</v>
      </c>
      <c r="K254" s="50"/>
      <c r="L254" s="6"/>
      <c r="M254" s="55"/>
      <c r="N254" s="55">
        <f>IFERROR(__xludf.DUMMYFUNCTION("""COMPUTED_VALUE"""),1.0)</f>
        <v>1</v>
      </c>
      <c r="O254" s="55" t="str">
        <f t="shared" si="3"/>
        <v/>
      </c>
      <c r="P254" s="209"/>
      <c r="Q254" s="75" t="b">
        <f>VLOOKUP($B254,'Run Reconcile'!B$2:P1679,15,FALSE)</f>
        <v>1</v>
      </c>
      <c r="R254" s="211" t="str">
        <f t="array" ref="R254">IF($Q254, INDEX('Run Reconcile'!A$2:A1679,MATCH(B254,'Run Reconcile'!B$2:B1679,0),1),IFERROR(0/0,""))</f>
        <v>RUN-COMB_2022-04-11_RFR-014</v>
      </c>
      <c r="S254" s="165" t="str">
        <f t="shared" ref="S254:T254" si="507">IF(COUNTIF(W$2:W1679, $A254) &gt; 0,TRUE,IFERROR(0/0,""))</f>
        <v/>
      </c>
      <c r="T254" s="165" t="str">
        <f t="shared" si="507"/>
        <v/>
      </c>
      <c r="U254" s="147" t="str">
        <f t="array" ref="U254">IF(ISBLANK($R254), IF($S254,VLOOKUP($B254+1,'RFR Data - preExcl'!$BF$2:$BG1679,2,FALSE),IF($T254,INDEX('RFR Data - preExcl'!$BF$2:$BG1679,MATCH($B254,'RFR Data - preExcl'!$BF$2:$BF1679,0)+1,2),VLOOKUP($B254,'RFR Data - preExcl'!$BF$2:$BG1679,2,FALSE))),IFERROR(0/0,""))</f>
        <v/>
      </c>
      <c r="V254" s="212" t="str">
        <f t="shared" si="5"/>
        <v>RUN-COMB_2022-04-11_RFR-014</v>
      </c>
      <c r="W254" s="51"/>
      <c r="X254" s="51"/>
      <c r="Y254" s="147" t="str">
        <f t="shared" ref="Y254:Z254" si="508">IF(_xlfn.ISFORMULA(S254),IFERROR(0/0,""),TRUE)</f>
        <v/>
      </c>
      <c r="Z254" s="147" t="str">
        <f t="shared" si="508"/>
        <v/>
      </c>
    </row>
    <row r="255">
      <c r="A255" s="6" t="str">
        <f>IFERROR(__xludf.DUMMYFUNCTION("""COMPUTED_VALUE"""),"FM4422")</f>
        <v>FM4422</v>
      </c>
      <c r="B255" s="206">
        <f>IFERROR(__xludf.DUMMYFUNCTION("""COMPUTED_VALUE"""),44662.0)</f>
        <v>44662</v>
      </c>
      <c r="C255" s="207">
        <f>IFERROR(__xludf.DUMMYFUNCTION("""COMPUTED_VALUE"""),0.7280787037037038)</f>
        <v>0.7280787037</v>
      </c>
      <c r="D255" s="50"/>
      <c r="E255" s="58"/>
      <c r="F255" s="58"/>
      <c r="G255" s="58" t="str">
        <f>IFERROR(__xludf.DUMMYFUNCTION("""COMPUTED_VALUE"""),"Negative")</f>
        <v>Negative</v>
      </c>
      <c r="H255" s="206" t="str">
        <f>IFERROR(__xludf.DUMMYFUNCTION("""COMPUTED_VALUE"""),"Negative")</f>
        <v>Negative</v>
      </c>
      <c r="I255" s="207">
        <f>IFERROR(__xludf.DUMMYFUNCTION("""COMPUTED_VALUE"""),44662.0)</f>
        <v>44662</v>
      </c>
      <c r="J255" s="208">
        <f>IFERROR(__xludf.DUMMYFUNCTION("""COMPUTED_VALUE"""),0.8023148148148148)</f>
        <v>0.8023148148</v>
      </c>
      <c r="K255" s="50"/>
      <c r="L255" s="6"/>
      <c r="M255" s="55"/>
      <c r="N255" s="55">
        <f>IFERROR(__xludf.DUMMYFUNCTION("""COMPUTED_VALUE"""),1.0)</f>
        <v>1</v>
      </c>
      <c r="O255" s="55" t="str">
        <f t="shared" si="3"/>
        <v/>
      </c>
      <c r="P255" s="209"/>
      <c r="Q255" s="75" t="b">
        <f>VLOOKUP($B255,'Run Reconcile'!B$2:P1679,15,FALSE)</f>
        <v>1</v>
      </c>
      <c r="R255" s="211" t="str">
        <f t="array" ref="R255">IF($Q255, INDEX('Run Reconcile'!A$2:A1679,MATCH(B255,'Run Reconcile'!B$2:B1679,0),1),IFERROR(0/0,""))</f>
        <v>RUN-COMB_2022-04-11_RFR-014</v>
      </c>
      <c r="S255" s="165" t="str">
        <f t="shared" ref="S255:T255" si="509">IF(COUNTIF(W$2:W1679, $A255) &gt; 0,TRUE,IFERROR(0/0,""))</f>
        <v/>
      </c>
      <c r="T255" s="165" t="str">
        <f t="shared" si="509"/>
        <v/>
      </c>
      <c r="U255" s="147" t="str">
        <f t="array" ref="U255">IF(ISBLANK($R255), IF($S255,VLOOKUP($B255+1,'RFR Data - preExcl'!$BF$2:$BG1679,2,FALSE),IF($T255,INDEX('RFR Data - preExcl'!$BF$2:$BG1679,MATCH($B255,'RFR Data - preExcl'!$BF$2:$BF1679,0)+1,2),VLOOKUP($B255,'RFR Data - preExcl'!$BF$2:$BG1679,2,FALSE))),IFERROR(0/0,""))</f>
        <v/>
      </c>
      <c r="V255" s="212" t="str">
        <f t="shared" si="5"/>
        <v>RUN-COMB_2022-04-11_RFR-014</v>
      </c>
      <c r="W255" s="51"/>
      <c r="X255" s="51"/>
      <c r="Y255" s="147" t="str">
        <f t="shared" ref="Y255:Z255" si="510">IF(_xlfn.ISFORMULA(S255),IFERROR(0/0,""),TRUE)</f>
        <v/>
      </c>
      <c r="Z255" s="147" t="str">
        <f t="shared" si="510"/>
        <v/>
      </c>
    </row>
    <row r="256">
      <c r="A256" s="6" t="str">
        <f>IFERROR(__xludf.DUMMYFUNCTION("""COMPUTED_VALUE"""),"FM4252")</f>
        <v>FM4252</v>
      </c>
      <c r="B256" s="206">
        <f>IFERROR(__xludf.DUMMYFUNCTION("""COMPUTED_VALUE"""),44662.0)</f>
        <v>44662</v>
      </c>
      <c r="C256" s="207">
        <f>IFERROR(__xludf.DUMMYFUNCTION("""COMPUTED_VALUE"""),0.7286805555555556)</f>
        <v>0.7286805556</v>
      </c>
      <c r="D256" s="50"/>
      <c r="E256" s="58"/>
      <c r="F256" s="58"/>
      <c r="G256" s="58" t="str">
        <f>IFERROR(__xludf.DUMMYFUNCTION("""COMPUTED_VALUE"""),"Negative")</f>
        <v>Negative</v>
      </c>
      <c r="H256" s="206" t="str">
        <f>IFERROR(__xludf.DUMMYFUNCTION("""COMPUTED_VALUE"""),"Negative")</f>
        <v>Negative</v>
      </c>
      <c r="I256" s="207">
        <f>IFERROR(__xludf.DUMMYFUNCTION("""COMPUTED_VALUE"""),44662.0)</f>
        <v>44662</v>
      </c>
      <c r="J256" s="208">
        <f>IFERROR(__xludf.DUMMYFUNCTION("""COMPUTED_VALUE"""),0.8023148148148148)</f>
        <v>0.8023148148</v>
      </c>
      <c r="K256" s="50"/>
      <c r="L256" s="6"/>
      <c r="M256" s="55"/>
      <c r="N256" s="55">
        <f>IFERROR(__xludf.DUMMYFUNCTION("""COMPUTED_VALUE"""),1.0)</f>
        <v>1</v>
      </c>
      <c r="O256" s="55" t="str">
        <f t="shared" si="3"/>
        <v/>
      </c>
      <c r="P256" s="209"/>
      <c r="Q256" s="75" t="b">
        <f>VLOOKUP($B256,'Run Reconcile'!B$2:P1679,15,FALSE)</f>
        <v>1</v>
      </c>
      <c r="R256" s="211" t="str">
        <f t="array" ref="R256">IF($Q256, INDEX('Run Reconcile'!A$2:A1679,MATCH(B256,'Run Reconcile'!B$2:B1679,0),1),IFERROR(0/0,""))</f>
        <v>RUN-COMB_2022-04-11_RFR-014</v>
      </c>
      <c r="S256" s="165" t="str">
        <f t="shared" ref="S256:T256" si="511">IF(COUNTIF(W$2:W1679, $A256) &gt; 0,TRUE,IFERROR(0/0,""))</f>
        <v/>
      </c>
      <c r="T256" s="165" t="str">
        <f t="shared" si="511"/>
        <v/>
      </c>
      <c r="U256" s="147" t="str">
        <f t="array" ref="U256">IF(ISBLANK($R256), IF($S256,VLOOKUP($B256+1,'RFR Data - preExcl'!$BF$2:$BG1679,2,FALSE),IF($T256,INDEX('RFR Data - preExcl'!$BF$2:$BG1679,MATCH($B256,'RFR Data - preExcl'!$BF$2:$BF1679,0)+1,2),VLOOKUP($B256,'RFR Data - preExcl'!$BF$2:$BG1679,2,FALSE))),IFERROR(0/0,""))</f>
        <v/>
      </c>
      <c r="V256" s="212" t="str">
        <f t="shared" si="5"/>
        <v>RUN-COMB_2022-04-11_RFR-014</v>
      </c>
      <c r="W256" s="51"/>
      <c r="X256" s="51"/>
      <c r="Y256" s="147" t="str">
        <f t="shared" ref="Y256:Z256" si="512">IF(_xlfn.ISFORMULA(S256),IFERROR(0/0,""),TRUE)</f>
        <v/>
      </c>
      <c r="Z256" s="147" t="str">
        <f t="shared" si="512"/>
        <v/>
      </c>
    </row>
    <row r="257">
      <c r="A257" s="6" t="str">
        <f>IFERROR(__xludf.DUMMYFUNCTION("""COMPUTED_VALUE"""),"FM4439")</f>
        <v>FM4439</v>
      </c>
      <c r="B257" s="206">
        <f>IFERROR(__xludf.DUMMYFUNCTION("""COMPUTED_VALUE"""),44662.0)</f>
        <v>44662</v>
      </c>
      <c r="C257" s="207">
        <f>IFERROR(__xludf.DUMMYFUNCTION("""COMPUTED_VALUE"""),0.7332407407407407)</f>
        <v>0.7332407407</v>
      </c>
      <c r="D257" s="50"/>
      <c r="E257" s="58"/>
      <c r="F257" s="58"/>
      <c r="G257" s="58" t="str">
        <f>IFERROR(__xludf.DUMMYFUNCTION("""COMPUTED_VALUE"""),"Negative")</f>
        <v>Negative</v>
      </c>
      <c r="H257" s="206" t="str">
        <f>IFERROR(__xludf.DUMMYFUNCTION("""COMPUTED_VALUE"""),"Negative")</f>
        <v>Negative</v>
      </c>
      <c r="I257" s="207">
        <f>IFERROR(__xludf.DUMMYFUNCTION("""COMPUTED_VALUE"""),44662.0)</f>
        <v>44662</v>
      </c>
      <c r="J257" s="208">
        <f>IFERROR(__xludf.DUMMYFUNCTION("""COMPUTED_VALUE"""),0.8023148148148148)</f>
        <v>0.8023148148</v>
      </c>
      <c r="K257" s="50"/>
      <c r="L257" s="6"/>
      <c r="M257" s="55"/>
      <c r="N257" s="55">
        <f>IFERROR(__xludf.DUMMYFUNCTION("""COMPUTED_VALUE"""),1.0)</f>
        <v>1</v>
      </c>
      <c r="O257" s="55" t="str">
        <f t="shared" si="3"/>
        <v/>
      </c>
      <c r="P257" s="209"/>
      <c r="Q257" s="75" t="b">
        <f>VLOOKUP($B257,'Run Reconcile'!B$2:P1679,15,FALSE)</f>
        <v>1</v>
      </c>
      <c r="R257" s="211" t="str">
        <f t="array" ref="R257">IF($Q257, INDEX('Run Reconcile'!A$2:A1679,MATCH(B257,'Run Reconcile'!B$2:B1679,0),1),IFERROR(0/0,""))</f>
        <v>RUN-COMB_2022-04-11_RFR-014</v>
      </c>
      <c r="S257" s="165" t="str">
        <f t="shared" ref="S257:T257" si="513">IF(COUNTIF(W$2:W1679, $A257) &gt; 0,TRUE,IFERROR(0/0,""))</f>
        <v/>
      </c>
      <c r="T257" s="165" t="str">
        <f t="shared" si="513"/>
        <v/>
      </c>
      <c r="U257" s="147" t="str">
        <f t="array" ref="U257">IF(ISBLANK($R257), IF($S257,VLOOKUP($B257+1,'RFR Data - preExcl'!$BF$2:$BG1679,2,FALSE),IF($T257,INDEX('RFR Data - preExcl'!$BF$2:$BG1679,MATCH($B257,'RFR Data - preExcl'!$BF$2:$BF1679,0)+1,2),VLOOKUP($B257,'RFR Data - preExcl'!$BF$2:$BG1679,2,FALSE))),IFERROR(0/0,""))</f>
        <v/>
      </c>
      <c r="V257" s="212" t="str">
        <f t="shared" si="5"/>
        <v>RUN-COMB_2022-04-11_RFR-014</v>
      </c>
      <c r="W257" s="51"/>
      <c r="X257" s="51"/>
      <c r="Y257" s="147" t="str">
        <f t="shared" ref="Y257:Z257" si="514">IF(_xlfn.ISFORMULA(S257),IFERROR(0/0,""),TRUE)</f>
        <v/>
      </c>
      <c r="Z257" s="147" t="str">
        <f t="shared" si="514"/>
        <v/>
      </c>
    </row>
    <row r="258">
      <c r="A258" s="6" t="str">
        <f>IFERROR(__xludf.DUMMYFUNCTION("""COMPUTED_VALUE"""),"FM4407")</f>
        <v>FM4407</v>
      </c>
      <c r="B258" s="206">
        <f>IFERROR(__xludf.DUMMYFUNCTION("""COMPUTED_VALUE"""),44662.0)</f>
        <v>44662</v>
      </c>
      <c r="C258" s="207">
        <f>IFERROR(__xludf.DUMMYFUNCTION("""COMPUTED_VALUE"""),0.733761574074074)</f>
        <v>0.7337615741</v>
      </c>
      <c r="D258" s="50"/>
      <c r="E258" s="58"/>
      <c r="F258" s="58"/>
      <c r="G258" s="58" t="str">
        <f>IFERROR(__xludf.DUMMYFUNCTION("""COMPUTED_VALUE"""),"Negative")</f>
        <v>Negative</v>
      </c>
      <c r="H258" s="206" t="str">
        <f>IFERROR(__xludf.DUMMYFUNCTION("""COMPUTED_VALUE"""),"Negative")</f>
        <v>Negative</v>
      </c>
      <c r="I258" s="207">
        <f>IFERROR(__xludf.DUMMYFUNCTION("""COMPUTED_VALUE"""),44662.0)</f>
        <v>44662</v>
      </c>
      <c r="J258" s="208">
        <f>IFERROR(__xludf.DUMMYFUNCTION("""COMPUTED_VALUE"""),0.8023148148148148)</f>
        <v>0.8023148148</v>
      </c>
      <c r="K258" s="50"/>
      <c r="L258" s="6"/>
      <c r="M258" s="55"/>
      <c r="N258" s="55">
        <f>IFERROR(__xludf.DUMMYFUNCTION("""COMPUTED_VALUE"""),1.0)</f>
        <v>1</v>
      </c>
      <c r="O258" s="55" t="str">
        <f t="shared" si="3"/>
        <v/>
      </c>
      <c r="P258" s="209"/>
      <c r="Q258" s="75" t="b">
        <f>VLOOKUP($B258,'Run Reconcile'!B$2:P1679,15,FALSE)</f>
        <v>1</v>
      </c>
      <c r="R258" s="211" t="str">
        <f t="array" ref="R258">IF($Q258, INDEX('Run Reconcile'!A$2:A1679,MATCH(B258,'Run Reconcile'!B$2:B1679,0),1),IFERROR(0/0,""))</f>
        <v>RUN-COMB_2022-04-11_RFR-014</v>
      </c>
      <c r="S258" s="165" t="str">
        <f t="shared" ref="S258:T258" si="515">IF(COUNTIF(W$2:W1679, $A258) &gt; 0,TRUE,IFERROR(0/0,""))</f>
        <v/>
      </c>
      <c r="T258" s="165" t="str">
        <f t="shared" si="515"/>
        <v/>
      </c>
      <c r="U258" s="147" t="str">
        <f t="array" ref="U258">IF(ISBLANK($R258), IF($S258,VLOOKUP($B258+1,'RFR Data - preExcl'!$BF$2:$BG1679,2,FALSE),IF($T258,INDEX('RFR Data - preExcl'!$BF$2:$BG1679,MATCH($B258,'RFR Data - preExcl'!$BF$2:$BF1679,0)+1,2),VLOOKUP($B258,'RFR Data - preExcl'!$BF$2:$BG1679,2,FALSE))),IFERROR(0/0,""))</f>
        <v/>
      </c>
      <c r="V258" s="212" t="str">
        <f t="shared" si="5"/>
        <v>RUN-COMB_2022-04-11_RFR-014</v>
      </c>
      <c r="W258" s="51"/>
      <c r="X258" s="51"/>
      <c r="Y258" s="147" t="str">
        <f t="shared" ref="Y258:Z258" si="516">IF(_xlfn.ISFORMULA(S258),IFERROR(0/0,""),TRUE)</f>
        <v/>
      </c>
      <c r="Z258" s="147" t="str">
        <f t="shared" si="516"/>
        <v/>
      </c>
    </row>
    <row r="259">
      <c r="A259" s="6" t="str">
        <f>IFERROR(__xludf.DUMMYFUNCTION("""COMPUTED_VALUE"""),"FM4383")</f>
        <v>FM4383</v>
      </c>
      <c r="B259" s="206">
        <f>IFERROR(__xludf.DUMMYFUNCTION("""COMPUTED_VALUE"""),44662.0)</f>
        <v>44662</v>
      </c>
      <c r="C259" s="207">
        <f>IFERROR(__xludf.DUMMYFUNCTION("""COMPUTED_VALUE"""),0.734375)</f>
        <v>0.734375</v>
      </c>
      <c r="D259" s="50"/>
      <c r="E259" s="58"/>
      <c r="F259" s="58"/>
      <c r="G259" s="58" t="str">
        <f>IFERROR(__xludf.DUMMYFUNCTION("""COMPUTED_VALUE"""),"Negative")</f>
        <v>Negative</v>
      </c>
      <c r="H259" s="206" t="str">
        <f>IFERROR(__xludf.DUMMYFUNCTION("""COMPUTED_VALUE"""),"Negative")</f>
        <v>Negative</v>
      </c>
      <c r="I259" s="207">
        <f>IFERROR(__xludf.DUMMYFUNCTION("""COMPUTED_VALUE"""),44662.0)</f>
        <v>44662</v>
      </c>
      <c r="J259" s="208">
        <f>IFERROR(__xludf.DUMMYFUNCTION("""COMPUTED_VALUE"""),0.8023148148148148)</f>
        <v>0.8023148148</v>
      </c>
      <c r="K259" s="50"/>
      <c r="L259" s="6"/>
      <c r="M259" s="55"/>
      <c r="N259" s="55">
        <f>IFERROR(__xludf.DUMMYFUNCTION("""COMPUTED_VALUE"""),1.0)</f>
        <v>1</v>
      </c>
      <c r="O259" s="55" t="str">
        <f t="shared" si="3"/>
        <v/>
      </c>
      <c r="P259" s="209"/>
      <c r="Q259" s="75" t="b">
        <f>VLOOKUP($B259,'Run Reconcile'!B$2:P1679,15,FALSE)</f>
        <v>1</v>
      </c>
      <c r="R259" s="211" t="str">
        <f t="array" ref="R259">IF($Q259, INDEX('Run Reconcile'!A$2:A1679,MATCH(B259,'Run Reconcile'!B$2:B1679,0),1),IFERROR(0/0,""))</f>
        <v>RUN-COMB_2022-04-11_RFR-014</v>
      </c>
      <c r="S259" s="165" t="str">
        <f t="shared" ref="S259:T259" si="517">IF(COUNTIF(W$2:W1679, $A259) &gt; 0,TRUE,IFERROR(0/0,""))</f>
        <v/>
      </c>
      <c r="T259" s="165" t="str">
        <f t="shared" si="517"/>
        <v/>
      </c>
      <c r="U259" s="147" t="str">
        <f t="array" ref="U259">IF(ISBLANK($R259), IF($S259,VLOOKUP($B259+1,'RFR Data - preExcl'!$BF$2:$BG1679,2,FALSE),IF($T259,INDEX('RFR Data - preExcl'!$BF$2:$BG1679,MATCH($B259,'RFR Data - preExcl'!$BF$2:$BF1679,0)+1,2),VLOOKUP($B259,'RFR Data - preExcl'!$BF$2:$BG1679,2,FALSE))),IFERROR(0/0,""))</f>
        <v/>
      </c>
      <c r="V259" s="212" t="str">
        <f t="shared" si="5"/>
        <v>RUN-COMB_2022-04-11_RFR-014</v>
      </c>
      <c r="W259" s="51"/>
      <c r="X259" s="51"/>
      <c r="Y259" s="147" t="str">
        <f t="shared" ref="Y259:Z259" si="518">IF(_xlfn.ISFORMULA(S259),IFERROR(0/0,""),TRUE)</f>
        <v/>
      </c>
      <c r="Z259" s="147" t="str">
        <f t="shared" si="518"/>
        <v/>
      </c>
    </row>
    <row r="260">
      <c r="A260" s="6" t="str">
        <f>IFERROR(__xludf.DUMMYFUNCTION("""COMPUTED_VALUE"""),"FM4425")</f>
        <v>FM4425</v>
      </c>
      <c r="B260" s="206">
        <f>IFERROR(__xludf.DUMMYFUNCTION("""COMPUTED_VALUE"""),44662.0)</f>
        <v>44662</v>
      </c>
      <c r="C260" s="207">
        <f>IFERROR(__xludf.DUMMYFUNCTION("""COMPUTED_VALUE"""),0.735625)</f>
        <v>0.735625</v>
      </c>
      <c r="D260" s="50"/>
      <c r="E260" s="58"/>
      <c r="F260" s="58"/>
      <c r="G260" s="58" t="str">
        <f>IFERROR(__xludf.DUMMYFUNCTION("""COMPUTED_VALUE"""),"Negative")</f>
        <v>Negative</v>
      </c>
      <c r="H260" s="206" t="str">
        <f>IFERROR(__xludf.DUMMYFUNCTION("""COMPUTED_VALUE"""),"Negative")</f>
        <v>Negative</v>
      </c>
      <c r="I260" s="207">
        <f>IFERROR(__xludf.DUMMYFUNCTION("""COMPUTED_VALUE"""),44662.0)</f>
        <v>44662</v>
      </c>
      <c r="J260" s="208">
        <f>IFERROR(__xludf.DUMMYFUNCTION("""COMPUTED_VALUE"""),0.8023148148148148)</f>
        <v>0.8023148148</v>
      </c>
      <c r="K260" s="50"/>
      <c r="L260" s="6"/>
      <c r="M260" s="55"/>
      <c r="N260" s="55">
        <f>IFERROR(__xludf.DUMMYFUNCTION("""COMPUTED_VALUE"""),1.0)</f>
        <v>1</v>
      </c>
      <c r="O260" s="55" t="str">
        <f t="shared" si="3"/>
        <v/>
      </c>
      <c r="P260" s="209"/>
      <c r="Q260" s="75" t="b">
        <f>VLOOKUP($B260,'Run Reconcile'!B$2:P1679,15,FALSE)</f>
        <v>1</v>
      </c>
      <c r="R260" s="211" t="str">
        <f t="array" ref="R260">IF($Q260, INDEX('Run Reconcile'!A$2:A1679,MATCH(B260,'Run Reconcile'!B$2:B1679,0),1),IFERROR(0/0,""))</f>
        <v>RUN-COMB_2022-04-11_RFR-014</v>
      </c>
      <c r="S260" s="165" t="str">
        <f t="shared" ref="S260:T260" si="519">IF(COUNTIF(W$2:W1679, $A260) &gt; 0,TRUE,IFERROR(0/0,""))</f>
        <v/>
      </c>
      <c r="T260" s="165" t="str">
        <f t="shared" si="519"/>
        <v/>
      </c>
      <c r="U260" s="147" t="str">
        <f t="array" ref="U260">IF(ISBLANK($R260), IF($S260,VLOOKUP($B260+1,'RFR Data - preExcl'!$BF$2:$BG1679,2,FALSE),IF($T260,INDEX('RFR Data - preExcl'!$BF$2:$BG1679,MATCH($B260,'RFR Data - preExcl'!$BF$2:$BF1679,0)+1,2),VLOOKUP($B260,'RFR Data - preExcl'!$BF$2:$BG1679,2,FALSE))),IFERROR(0/0,""))</f>
        <v/>
      </c>
      <c r="V260" s="212" t="str">
        <f t="shared" si="5"/>
        <v>RUN-COMB_2022-04-11_RFR-014</v>
      </c>
      <c r="W260" s="51"/>
      <c r="X260" s="51"/>
      <c r="Y260" s="147" t="str">
        <f t="shared" ref="Y260:Z260" si="520">IF(_xlfn.ISFORMULA(S260),IFERROR(0/0,""),TRUE)</f>
        <v/>
      </c>
      <c r="Z260" s="147" t="str">
        <f t="shared" si="520"/>
        <v/>
      </c>
    </row>
    <row r="261">
      <c r="A261" s="6" t="str">
        <f>IFERROR(__xludf.DUMMYFUNCTION("""COMPUTED_VALUE"""),"FM4428")</f>
        <v>FM4428</v>
      </c>
      <c r="B261" s="206">
        <f>IFERROR(__xludf.DUMMYFUNCTION("""COMPUTED_VALUE"""),44662.0)</f>
        <v>44662</v>
      </c>
      <c r="C261" s="207">
        <f>IFERROR(__xludf.DUMMYFUNCTION("""COMPUTED_VALUE"""),0.7376273148148148)</f>
        <v>0.7376273148</v>
      </c>
      <c r="D261" s="50"/>
      <c r="E261" s="58"/>
      <c r="F261" s="58"/>
      <c r="G261" s="58" t="str">
        <f>IFERROR(__xludf.DUMMYFUNCTION("""COMPUTED_VALUE"""),"Negative")</f>
        <v>Negative</v>
      </c>
      <c r="H261" s="206" t="str">
        <f>IFERROR(__xludf.DUMMYFUNCTION("""COMPUTED_VALUE"""),"Negative")</f>
        <v>Negative</v>
      </c>
      <c r="I261" s="207">
        <f>IFERROR(__xludf.DUMMYFUNCTION("""COMPUTED_VALUE"""),44662.0)</f>
        <v>44662</v>
      </c>
      <c r="J261" s="208">
        <f>IFERROR(__xludf.DUMMYFUNCTION("""COMPUTED_VALUE"""),0.8023263888888889)</f>
        <v>0.8023263889</v>
      </c>
      <c r="K261" s="50"/>
      <c r="L261" s="6"/>
      <c r="M261" s="55"/>
      <c r="N261" s="55">
        <f>IFERROR(__xludf.DUMMYFUNCTION("""COMPUTED_VALUE"""),1.0)</f>
        <v>1</v>
      </c>
      <c r="O261" s="55" t="str">
        <f t="shared" si="3"/>
        <v/>
      </c>
      <c r="P261" s="209"/>
      <c r="Q261" s="75" t="b">
        <f>VLOOKUP($B261,'Run Reconcile'!B$2:P1679,15,FALSE)</f>
        <v>1</v>
      </c>
      <c r="R261" s="211" t="str">
        <f t="array" ref="R261">IF($Q261, INDEX('Run Reconcile'!A$2:A1679,MATCH(B261,'Run Reconcile'!B$2:B1679,0),1),IFERROR(0/0,""))</f>
        <v>RUN-COMB_2022-04-11_RFR-014</v>
      </c>
      <c r="S261" s="165" t="str">
        <f t="shared" ref="S261:T261" si="521">IF(COUNTIF(W$2:W1679, $A261) &gt; 0,TRUE,IFERROR(0/0,""))</f>
        <v/>
      </c>
      <c r="T261" s="165" t="str">
        <f t="shared" si="521"/>
        <v/>
      </c>
      <c r="U261" s="147" t="str">
        <f t="array" ref="U261">IF(ISBLANK($R261), IF($S261,VLOOKUP($B261+1,'RFR Data - preExcl'!$BF$2:$BG1679,2,FALSE),IF($T261,INDEX('RFR Data - preExcl'!$BF$2:$BG1679,MATCH($B261,'RFR Data - preExcl'!$BF$2:$BF1679,0)+1,2),VLOOKUP($B261,'RFR Data - preExcl'!$BF$2:$BG1679,2,FALSE))),IFERROR(0/0,""))</f>
        <v/>
      </c>
      <c r="V261" s="212" t="str">
        <f t="shared" si="5"/>
        <v>RUN-COMB_2022-04-11_RFR-014</v>
      </c>
      <c r="W261" s="51"/>
      <c r="X261" s="51"/>
      <c r="Y261" s="147" t="str">
        <f t="shared" ref="Y261:Z261" si="522">IF(_xlfn.ISFORMULA(S261),IFERROR(0/0,""),TRUE)</f>
        <v/>
      </c>
      <c r="Z261" s="147" t="str">
        <f t="shared" si="522"/>
        <v/>
      </c>
    </row>
    <row r="262">
      <c r="A262" s="6" t="str">
        <f>IFERROR(__xludf.DUMMYFUNCTION("""COMPUTED_VALUE"""),"FM4456")</f>
        <v>FM4456</v>
      </c>
      <c r="B262" s="206">
        <f>IFERROR(__xludf.DUMMYFUNCTION("""COMPUTED_VALUE"""),44662.0)</f>
        <v>44662</v>
      </c>
      <c r="C262" s="207">
        <f>IFERROR(__xludf.DUMMYFUNCTION("""COMPUTED_VALUE"""),0.741099537037037)</f>
        <v>0.741099537</v>
      </c>
      <c r="D262" s="50"/>
      <c r="E262" s="58"/>
      <c r="F262" s="58"/>
      <c r="G262" s="58" t="str">
        <f>IFERROR(__xludf.DUMMYFUNCTION("""COMPUTED_VALUE"""),"Negative")</f>
        <v>Negative</v>
      </c>
      <c r="H262" s="206" t="str">
        <f>IFERROR(__xludf.DUMMYFUNCTION("""COMPUTED_VALUE"""),"Negative")</f>
        <v>Negative</v>
      </c>
      <c r="I262" s="207">
        <f>IFERROR(__xludf.DUMMYFUNCTION("""COMPUTED_VALUE"""),44662.0)</f>
        <v>44662</v>
      </c>
      <c r="J262" s="208">
        <f>IFERROR(__xludf.DUMMYFUNCTION("""COMPUTED_VALUE"""),0.8023263888888889)</f>
        <v>0.8023263889</v>
      </c>
      <c r="K262" s="50"/>
      <c r="L262" s="6"/>
      <c r="M262" s="55"/>
      <c r="N262" s="55">
        <f>IFERROR(__xludf.DUMMYFUNCTION("""COMPUTED_VALUE"""),1.0)</f>
        <v>1</v>
      </c>
      <c r="O262" s="55" t="str">
        <f t="shared" si="3"/>
        <v/>
      </c>
      <c r="P262" s="209"/>
      <c r="Q262" s="75" t="b">
        <f>VLOOKUP($B262,'Run Reconcile'!B$2:P1679,15,FALSE)</f>
        <v>1</v>
      </c>
      <c r="R262" s="211" t="str">
        <f t="array" ref="R262">IF($Q262, INDEX('Run Reconcile'!A$2:A1679,MATCH(B262,'Run Reconcile'!B$2:B1679,0),1),IFERROR(0/0,""))</f>
        <v>RUN-COMB_2022-04-11_RFR-014</v>
      </c>
      <c r="S262" s="165" t="str">
        <f t="shared" ref="S262:T262" si="523">IF(COUNTIF(W$2:W1679, $A262) &gt; 0,TRUE,IFERROR(0/0,""))</f>
        <v/>
      </c>
      <c r="T262" s="165" t="str">
        <f t="shared" si="523"/>
        <v/>
      </c>
      <c r="U262" s="147" t="str">
        <f t="array" ref="U262">IF(ISBLANK($R262), IF($S262,VLOOKUP($B262+1,'RFR Data - preExcl'!$BF$2:$BG1679,2,FALSE),IF($T262,INDEX('RFR Data - preExcl'!$BF$2:$BG1679,MATCH($B262,'RFR Data - preExcl'!$BF$2:$BF1679,0)+1,2),VLOOKUP($B262,'RFR Data - preExcl'!$BF$2:$BG1679,2,FALSE))),IFERROR(0/0,""))</f>
        <v/>
      </c>
      <c r="V262" s="212" t="str">
        <f t="shared" si="5"/>
        <v>RUN-COMB_2022-04-11_RFR-014</v>
      </c>
      <c r="W262" s="51"/>
      <c r="X262" s="51"/>
      <c r="Y262" s="147" t="str">
        <f t="shared" ref="Y262:Z262" si="524">IF(_xlfn.ISFORMULA(S262),IFERROR(0/0,""),TRUE)</f>
        <v/>
      </c>
      <c r="Z262" s="147" t="str">
        <f t="shared" si="524"/>
        <v/>
      </c>
    </row>
    <row r="263">
      <c r="A263" s="6" t="str">
        <f>IFERROR(__xludf.DUMMYFUNCTION("""COMPUTED_VALUE"""),"FM4393")</f>
        <v>FM4393</v>
      </c>
      <c r="B263" s="206">
        <f>IFERROR(__xludf.DUMMYFUNCTION("""COMPUTED_VALUE"""),44662.0)</f>
        <v>44662</v>
      </c>
      <c r="C263" s="207">
        <f>IFERROR(__xludf.DUMMYFUNCTION("""COMPUTED_VALUE"""),0.7416666666666667)</f>
        <v>0.7416666667</v>
      </c>
      <c r="D263" s="50"/>
      <c r="E263" s="58"/>
      <c r="F263" s="58"/>
      <c r="G263" s="58" t="str">
        <f>IFERROR(__xludf.DUMMYFUNCTION("""COMPUTED_VALUE"""),"Negative")</f>
        <v>Negative</v>
      </c>
      <c r="H263" s="206" t="str">
        <f>IFERROR(__xludf.DUMMYFUNCTION("""COMPUTED_VALUE"""),"Negative")</f>
        <v>Negative</v>
      </c>
      <c r="I263" s="207">
        <f>IFERROR(__xludf.DUMMYFUNCTION("""COMPUTED_VALUE"""),44662.0)</f>
        <v>44662</v>
      </c>
      <c r="J263" s="208">
        <f>IFERROR(__xludf.DUMMYFUNCTION("""COMPUTED_VALUE"""),0.8023263888888889)</f>
        <v>0.8023263889</v>
      </c>
      <c r="K263" s="50"/>
      <c r="L263" s="6"/>
      <c r="M263" s="55"/>
      <c r="N263" s="55">
        <f>IFERROR(__xludf.DUMMYFUNCTION("""COMPUTED_VALUE"""),1.0)</f>
        <v>1</v>
      </c>
      <c r="O263" s="55" t="str">
        <f t="shared" si="3"/>
        <v/>
      </c>
      <c r="P263" s="209"/>
      <c r="Q263" s="75" t="b">
        <f>VLOOKUP($B263,'Run Reconcile'!B$2:P1679,15,FALSE)</f>
        <v>1</v>
      </c>
      <c r="R263" s="211" t="str">
        <f t="array" ref="R263">IF($Q263, INDEX('Run Reconcile'!A$2:A1679,MATCH(B263,'Run Reconcile'!B$2:B1679,0),1),IFERROR(0/0,""))</f>
        <v>RUN-COMB_2022-04-11_RFR-014</v>
      </c>
      <c r="S263" s="165" t="str">
        <f t="shared" ref="S263:T263" si="525">IF(COUNTIF(W$2:W1679, $A263) &gt; 0,TRUE,IFERROR(0/0,""))</f>
        <v/>
      </c>
      <c r="T263" s="165" t="str">
        <f t="shared" si="525"/>
        <v/>
      </c>
      <c r="U263" s="147" t="str">
        <f t="array" ref="U263">IF(ISBLANK($R263), IF($S263,VLOOKUP($B263+1,'RFR Data - preExcl'!$BF$2:$BG1679,2,FALSE),IF($T263,INDEX('RFR Data - preExcl'!$BF$2:$BG1679,MATCH($B263,'RFR Data - preExcl'!$BF$2:$BF1679,0)+1,2),VLOOKUP($B263,'RFR Data - preExcl'!$BF$2:$BG1679,2,FALSE))),IFERROR(0/0,""))</f>
        <v/>
      </c>
      <c r="V263" s="212" t="str">
        <f t="shared" si="5"/>
        <v>RUN-COMB_2022-04-11_RFR-014</v>
      </c>
      <c r="W263" s="51"/>
      <c r="X263" s="51"/>
      <c r="Y263" s="147" t="str">
        <f t="shared" ref="Y263:Z263" si="526">IF(_xlfn.ISFORMULA(S263),IFERROR(0/0,""),TRUE)</f>
        <v/>
      </c>
      <c r="Z263" s="147" t="str">
        <f t="shared" si="526"/>
        <v/>
      </c>
    </row>
    <row r="264">
      <c r="A264" s="6" t="str">
        <f>IFERROR(__xludf.DUMMYFUNCTION("""COMPUTED_VALUE"""),"FM4257")</f>
        <v>FM4257</v>
      </c>
      <c r="B264" s="206">
        <f>IFERROR(__xludf.DUMMYFUNCTION("""COMPUTED_VALUE"""),44662.0)</f>
        <v>44662</v>
      </c>
      <c r="C264" s="207">
        <f>IFERROR(__xludf.DUMMYFUNCTION("""COMPUTED_VALUE"""),0.7490393518518519)</f>
        <v>0.7490393519</v>
      </c>
      <c r="D264" s="50"/>
      <c r="E264" s="58"/>
      <c r="F264" s="58"/>
      <c r="G264" s="58" t="str">
        <f>IFERROR(__xludf.DUMMYFUNCTION("""COMPUTED_VALUE"""),"Negative")</f>
        <v>Negative</v>
      </c>
      <c r="H264" s="206" t="str">
        <f>IFERROR(__xludf.DUMMYFUNCTION("""COMPUTED_VALUE"""),"Negative")</f>
        <v>Negative</v>
      </c>
      <c r="I264" s="207">
        <f>IFERROR(__xludf.DUMMYFUNCTION("""COMPUTED_VALUE"""),44662.0)</f>
        <v>44662</v>
      </c>
      <c r="J264" s="208">
        <f>IFERROR(__xludf.DUMMYFUNCTION("""COMPUTED_VALUE"""),0.8023263888888889)</f>
        <v>0.8023263889</v>
      </c>
      <c r="K264" s="50"/>
      <c r="L264" s="6"/>
      <c r="M264" s="55"/>
      <c r="N264" s="55">
        <f>IFERROR(__xludf.DUMMYFUNCTION("""COMPUTED_VALUE"""),1.0)</f>
        <v>1</v>
      </c>
      <c r="O264" s="55" t="str">
        <f t="shared" si="3"/>
        <v/>
      </c>
      <c r="P264" s="209"/>
      <c r="Q264" s="75" t="b">
        <f>VLOOKUP($B264,'Run Reconcile'!B$2:P1679,15,FALSE)</f>
        <v>1</v>
      </c>
      <c r="R264" s="211" t="str">
        <f t="array" ref="R264">IF($Q264, INDEX('Run Reconcile'!A$2:A1679,MATCH(B264,'Run Reconcile'!B$2:B1679,0),1),IFERROR(0/0,""))</f>
        <v>RUN-COMB_2022-04-11_RFR-014</v>
      </c>
      <c r="S264" s="165" t="str">
        <f t="shared" ref="S264:T264" si="527">IF(COUNTIF(W$2:W1679, $A264) &gt; 0,TRUE,IFERROR(0/0,""))</f>
        <v/>
      </c>
      <c r="T264" s="165" t="str">
        <f t="shared" si="527"/>
        <v/>
      </c>
      <c r="U264" s="147" t="str">
        <f t="array" ref="U264">IF(ISBLANK($R264), IF($S264,VLOOKUP($B264+1,'RFR Data - preExcl'!$BF$2:$BG1679,2,FALSE),IF($T264,INDEX('RFR Data - preExcl'!$BF$2:$BG1679,MATCH($B264,'RFR Data - preExcl'!$BF$2:$BF1679,0)+1,2),VLOOKUP($B264,'RFR Data - preExcl'!$BF$2:$BG1679,2,FALSE))),IFERROR(0/0,""))</f>
        <v/>
      </c>
      <c r="V264" s="212" t="str">
        <f t="shared" si="5"/>
        <v>RUN-COMB_2022-04-11_RFR-014</v>
      </c>
      <c r="W264" s="51"/>
      <c r="X264" s="51"/>
      <c r="Y264" s="147" t="str">
        <f t="shared" ref="Y264:Z264" si="528">IF(_xlfn.ISFORMULA(S264),IFERROR(0/0,""),TRUE)</f>
        <v/>
      </c>
      <c r="Z264" s="147" t="str">
        <f t="shared" si="528"/>
        <v/>
      </c>
    </row>
    <row r="265">
      <c r="A265" s="6" t="str">
        <f>IFERROR(__xludf.DUMMYFUNCTION("""COMPUTED_VALUE"""),"FM4468")</f>
        <v>FM4468</v>
      </c>
      <c r="B265" s="206">
        <f>IFERROR(__xludf.DUMMYFUNCTION("""COMPUTED_VALUE"""),44662.0)</f>
        <v>44662</v>
      </c>
      <c r="C265" s="207">
        <f>IFERROR(__xludf.DUMMYFUNCTION("""COMPUTED_VALUE"""),0.7497222222222222)</f>
        <v>0.7497222222</v>
      </c>
      <c r="D265" s="50"/>
      <c r="E265" s="58"/>
      <c r="F265" s="58"/>
      <c r="G265" s="58" t="str">
        <f>IFERROR(__xludf.DUMMYFUNCTION("""COMPUTED_VALUE"""),"Negative")</f>
        <v>Negative</v>
      </c>
      <c r="H265" s="206" t="str">
        <f>IFERROR(__xludf.DUMMYFUNCTION("""COMPUTED_VALUE"""),"Negative")</f>
        <v>Negative</v>
      </c>
      <c r="I265" s="207">
        <f>IFERROR(__xludf.DUMMYFUNCTION("""COMPUTED_VALUE"""),44662.0)</f>
        <v>44662</v>
      </c>
      <c r="J265" s="208">
        <f>IFERROR(__xludf.DUMMYFUNCTION("""COMPUTED_VALUE"""),0.8023263888888889)</f>
        <v>0.8023263889</v>
      </c>
      <c r="K265" s="50"/>
      <c r="L265" s="6"/>
      <c r="M265" s="55"/>
      <c r="N265" s="55">
        <f>IFERROR(__xludf.DUMMYFUNCTION("""COMPUTED_VALUE"""),1.0)</f>
        <v>1</v>
      </c>
      <c r="O265" s="55" t="str">
        <f t="shared" si="3"/>
        <v/>
      </c>
      <c r="P265" s="209"/>
      <c r="Q265" s="75" t="b">
        <f>VLOOKUP($B265,'Run Reconcile'!B$2:P1679,15,FALSE)</f>
        <v>1</v>
      </c>
      <c r="R265" s="211" t="str">
        <f t="array" ref="R265">IF($Q265, INDEX('Run Reconcile'!A$2:A1679,MATCH(B265,'Run Reconcile'!B$2:B1679,0),1),IFERROR(0/0,""))</f>
        <v>RUN-COMB_2022-04-11_RFR-014</v>
      </c>
      <c r="S265" s="165" t="str">
        <f t="shared" ref="S265:T265" si="529">IF(COUNTIF(W$2:W1679, $A265) &gt; 0,TRUE,IFERROR(0/0,""))</f>
        <v/>
      </c>
      <c r="T265" s="165" t="str">
        <f t="shared" si="529"/>
        <v/>
      </c>
      <c r="U265" s="147" t="str">
        <f t="array" ref="U265">IF(ISBLANK($R265), IF($S265,VLOOKUP($B265+1,'RFR Data - preExcl'!$BF$2:$BG1679,2,FALSE),IF($T265,INDEX('RFR Data - preExcl'!$BF$2:$BG1679,MATCH($B265,'RFR Data - preExcl'!$BF$2:$BF1679,0)+1,2),VLOOKUP($B265,'RFR Data - preExcl'!$BF$2:$BG1679,2,FALSE))),IFERROR(0/0,""))</f>
        <v/>
      </c>
      <c r="V265" s="212" t="str">
        <f t="shared" si="5"/>
        <v>RUN-COMB_2022-04-11_RFR-014</v>
      </c>
      <c r="W265" s="51"/>
      <c r="X265" s="51"/>
      <c r="Y265" s="147" t="str">
        <f t="shared" ref="Y265:Z265" si="530">IF(_xlfn.ISFORMULA(S265),IFERROR(0/0,""),TRUE)</f>
        <v/>
      </c>
      <c r="Z265" s="147" t="str">
        <f t="shared" si="530"/>
        <v/>
      </c>
    </row>
    <row r="266">
      <c r="A266" s="6" t="str">
        <f>IFERROR(__xludf.DUMMYFUNCTION("""COMPUTED_VALUE"""),"FM4496")</f>
        <v>FM4496</v>
      </c>
      <c r="B266" s="206">
        <f>IFERROR(__xludf.DUMMYFUNCTION("""COMPUTED_VALUE"""),44662.0)</f>
        <v>44662</v>
      </c>
      <c r="C266" s="207">
        <f>IFERROR(__xludf.DUMMYFUNCTION("""COMPUTED_VALUE"""),0.7503819444444444)</f>
        <v>0.7503819444</v>
      </c>
      <c r="D266" s="50"/>
      <c r="E266" s="58"/>
      <c r="F266" s="58"/>
      <c r="G266" s="58" t="str">
        <f>IFERROR(__xludf.DUMMYFUNCTION("""COMPUTED_VALUE"""),"Negative")</f>
        <v>Negative</v>
      </c>
      <c r="H266" s="206" t="str">
        <f>IFERROR(__xludf.DUMMYFUNCTION("""COMPUTED_VALUE"""),"Negative")</f>
        <v>Negative</v>
      </c>
      <c r="I266" s="207">
        <f>IFERROR(__xludf.DUMMYFUNCTION("""COMPUTED_VALUE"""),44662.0)</f>
        <v>44662</v>
      </c>
      <c r="J266" s="208">
        <f>IFERROR(__xludf.DUMMYFUNCTION("""COMPUTED_VALUE"""),0.8023263888888889)</f>
        <v>0.8023263889</v>
      </c>
      <c r="K266" s="50"/>
      <c r="L266" s="6"/>
      <c r="M266" s="55"/>
      <c r="N266" s="55">
        <f>IFERROR(__xludf.DUMMYFUNCTION("""COMPUTED_VALUE"""),1.0)</f>
        <v>1</v>
      </c>
      <c r="O266" s="55" t="str">
        <f t="shared" si="3"/>
        <v/>
      </c>
      <c r="P266" s="209"/>
      <c r="Q266" s="75" t="b">
        <f>VLOOKUP($B266,'Run Reconcile'!B$2:P1679,15,FALSE)</f>
        <v>1</v>
      </c>
      <c r="R266" s="211" t="str">
        <f t="array" ref="R266">IF($Q266, INDEX('Run Reconcile'!A$2:A1679,MATCH(B266,'Run Reconcile'!B$2:B1679,0),1),IFERROR(0/0,""))</f>
        <v>RUN-COMB_2022-04-11_RFR-014</v>
      </c>
      <c r="S266" s="165" t="str">
        <f t="shared" ref="S266:T266" si="531">IF(COUNTIF(W$2:W1679, $A266) &gt; 0,TRUE,IFERROR(0/0,""))</f>
        <v/>
      </c>
      <c r="T266" s="165" t="str">
        <f t="shared" si="531"/>
        <v/>
      </c>
      <c r="U266" s="147" t="str">
        <f t="array" ref="U266">IF(ISBLANK($R266), IF($S266,VLOOKUP($B266+1,'RFR Data - preExcl'!$BF$2:$BG1679,2,FALSE),IF($T266,INDEX('RFR Data - preExcl'!$BF$2:$BG1679,MATCH($B266,'RFR Data - preExcl'!$BF$2:$BF1679,0)+1,2),VLOOKUP($B266,'RFR Data - preExcl'!$BF$2:$BG1679,2,FALSE))),IFERROR(0/0,""))</f>
        <v/>
      </c>
      <c r="V266" s="212" t="str">
        <f t="shared" si="5"/>
        <v>RUN-COMB_2022-04-11_RFR-014</v>
      </c>
      <c r="W266" s="51"/>
      <c r="X266" s="51"/>
      <c r="Y266" s="147" t="str">
        <f t="shared" ref="Y266:Z266" si="532">IF(_xlfn.ISFORMULA(S266),IFERROR(0/0,""),TRUE)</f>
        <v/>
      </c>
      <c r="Z266" s="147" t="str">
        <f t="shared" si="532"/>
        <v/>
      </c>
    </row>
    <row r="267">
      <c r="A267" s="6" t="str">
        <f>IFERROR(__xludf.DUMMYFUNCTION("""COMPUTED_VALUE"""),"FM4259")</f>
        <v>FM4259</v>
      </c>
      <c r="B267" s="206">
        <f>IFERROR(__xludf.DUMMYFUNCTION("""COMPUTED_VALUE"""),44662.0)</f>
        <v>44662</v>
      </c>
      <c r="C267" s="207">
        <f>IFERROR(__xludf.DUMMYFUNCTION("""COMPUTED_VALUE"""),0.7509375)</f>
        <v>0.7509375</v>
      </c>
      <c r="D267" s="50"/>
      <c r="E267" s="58"/>
      <c r="F267" s="58"/>
      <c r="G267" s="58" t="str">
        <f>IFERROR(__xludf.DUMMYFUNCTION("""COMPUTED_VALUE"""),"Negative")</f>
        <v>Negative</v>
      </c>
      <c r="H267" s="206" t="str">
        <f>IFERROR(__xludf.DUMMYFUNCTION("""COMPUTED_VALUE"""),"Negative")</f>
        <v>Negative</v>
      </c>
      <c r="I267" s="207">
        <f>IFERROR(__xludf.DUMMYFUNCTION("""COMPUTED_VALUE"""),44662.0)</f>
        <v>44662</v>
      </c>
      <c r="J267" s="208">
        <f>IFERROR(__xludf.DUMMYFUNCTION("""COMPUTED_VALUE"""),0.8023263888888889)</f>
        <v>0.8023263889</v>
      </c>
      <c r="K267" s="50"/>
      <c r="L267" s="6"/>
      <c r="M267" s="55"/>
      <c r="N267" s="55">
        <f>IFERROR(__xludf.DUMMYFUNCTION("""COMPUTED_VALUE"""),1.0)</f>
        <v>1</v>
      </c>
      <c r="O267" s="55" t="str">
        <f t="shared" si="3"/>
        <v/>
      </c>
      <c r="P267" s="209"/>
      <c r="Q267" s="75" t="b">
        <f>VLOOKUP($B267,'Run Reconcile'!B$2:P1679,15,FALSE)</f>
        <v>1</v>
      </c>
      <c r="R267" s="211" t="str">
        <f t="array" ref="R267">IF($Q267, INDEX('Run Reconcile'!A$2:A1679,MATCH(B267,'Run Reconcile'!B$2:B1679,0),1),IFERROR(0/0,""))</f>
        <v>RUN-COMB_2022-04-11_RFR-014</v>
      </c>
      <c r="S267" s="165" t="str">
        <f t="shared" ref="S267:T267" si="533">IF(COUNTIF(W$2:W1679, $A267) &gt; 0,TRUE,IFERROR(0/0,""))</f>
        <v/>
      </c>
      <c r="T267" s="165" t="str">
        <f t="shared" si="533"/>
        <v/>
      </c>
      <c r="U267" s="147" t="str">
        <f t="array" ref="U267">IF(ISBLANK($R267), IF($S267,VLOOKUP($B267+1,'RFR Data - preExcl'!$BF$2:$BG1679,2,FALSE),IF($T267,INDEX('RFR Data - preExcl'!$BF$2:$BG1679,MATCH($B267,'RFR Data - preExcl'!$BF$2:$BF1679,0)+1,2),VLOOKUP($B267,'RFR Data - preExcl'!$BF$2:$BG1679,2,FALSE))),IFERROR(0/0,""))</f>
        <v/>
      </c>
      <c r="V267" s="212" t="str">
        <f t="shared" si="5"/>
        <v>RUN-COMB_2022-04-11_RFR-014</v>
      </c>
      <c r="W267" s="51"/>
      <c r="X267" s="51"/>
      <c r="Y267" s="147" t="str">
        <f t="shared" ref="Y267:Z267" si="534">IF(_xlfn.ISFORMULA(S267),IFERROR(0/0,""),TRUE)</f>
        <v/>
      </c>
      <c r="Z267" s="147" t="str">
        <f t="shared" si="534"/>
        <v/>
      </c>
    </row>
    <row r="268">
      <c r="A268" s="6" t="str">
        <f>IFERROR(__xludf.DUMMYFUNCTION("""COMPUTED_VALUE"""),"FM4460")</f>
        <v>FM4460</v>
      </c>
      <c r="B268" s="206">
        <f>IFERROR(__xludf.DUMMYFUNCTION("""COMPUTED_VALUE"""),44662.0)</f>
        <v>44662</v>
      </c>
      <c r="C268" s="207">
        <f>IFERROR(__xludf.DUMMYFUNCTION("""COMPUTED_VALUE"""),0.7514699074074074)</f>
        <v>0.7514699074</v>
      </c>
      <c r="D268" s="50"/>
      <c r="E268" s="58"/>
      <c r="F268" s="58"/>
      <c r="G268" s="58" t="str">
        <f>IFERROR(__xludf.DUMMYFUNCTION("""COMPUTED_VALUE"""),"Negative")</f>
        <v>Negative</v>
      </c>
      <c r="H268" s="206" t="str">
        <f>IFERROR(__xludf.DUMMYFUNCTION("""COMPUTED_VALUE"""),"Negative")</f>
        <v>Negative</v>
      </c>
      <c r="I268" s="207">
        <f>IFERROR(__xludf.DUMMYFUNCTION("""COMPUTED_VALUE"""),44662.0)</f>
        <v>44662</v>
      </c>
      <c r="J268" s="208">
        <f>IFERROR(__xludf.DUMMYFUNCTION("""COMPUTED_VALUE"""),0.8023263888888889)</f>
        <v>0.8023263889</v>
      </c>
      <c r="K268" s="50"/>
      <c r="L268" s="6"/>
      <c r="M268" s="55"/>
      <c r="N268" s="55">
        <f>IFERROR(__xludf.DUMMYFUNCTION("""COMPUTED_VALUE"""),1.0)</f>
        <v>1</v>
      </c>
      <c r="O268" s="55" t="str">
        <f t="shared" si="3"/>
        <v/>
      </c>
      <c r="P268" s="209"/>
      <c r="Q268" s="75" t="b">
        <f>VLOOKUP($B268,'Run Reconcile'!B$2:P1679,15,FALSE)</f>
        <v>1</v>
      </c>
      <c r="R268" s="211" t="str">
        <f t="array" ref="R268">IF($Q268, INDEX('Run Reconcile'!A$2:A1679,MATCH(B268,'Run Reconcile'!B$2:B1679,0),1),IFERROR(0/0,""))</f>
        <v>RUN-COMB_2022-04-11_RFR-014</v>
      </c>
      <c r="S268" s="165" t="str">
        <f t="shared" ref="S268:T268" si="535">IF(COUNTIF(W$2:W1679, $A268) &gt; 0,TRUE,IFERROR(0/0,""))</f>
        <v/>
      </c>
      <c r="T268" s="165" t="str">
        <f t="shared" si="535"/>
        <v/>
      </c>
      <c r="U268" s="147" t="str">
        <f t="array" ref="U268">IF(ISBLANK($R268), IF($S268,VLOOKUP($B268+1,'RFR Data - preExcl'!$BF$2:$BG1679,2,FALSE),IF($T268,INDEX('RFR Data - preExcl'!$BF$2:$BG1679,MATCH($B268,'RFR Data - preExcl'!$BF$2:$BF1679,0)+1,2),VLOOKUP($B268,'RFR Data - preExcl'!$BF$2:$BG1679,2,FALSE))),IFERROR(0/0,""))</f>
        <v/>
      </c>
      <c r="V268" s="212" t="str">
        <f t="shared" si="5"/>
        <v>RUN-COMB_2022-04-11_RFR-014</v>
      </c>
      <c r="W268" s="51"/>
      <c r="X268" s="51"/>
      <c r="Y268" s="147" t="str">
        <f t="shared" ref="Y268:Z268" si="536">IF(_xlfn.ISFORMULA(S268),IFERROR(0/0,""),TRUE)</f>
        <v/>
      </c>
      <c r="Z268" s="147" t="str">
        <f t="shared" si="536"/>
        <v/>
      </c>
    </row>
    <row r="269">
      <c r="A269" s="6" t="str">
        <f>IFERROR(__xludf.DUMMYFUNCTION("""COMPUTED_VALUE"""),"FM4420")</f>
        <v>FM4420</v>
      </c>
      <c r="B269" s="206">
        <f>IFERROR(__xludf.DUMMYFUNCTION("""COMPUTED_VALUE"""),44662.0)</f>
        <v>44662</v>
      </c>
      <c r="C269" s="207">
        <f>IFERROR(__xludf.DUMMYFUNCTION("""COMPUTED_VALUE"""),0.7520370370370371)</f>
        <v>0.752037037</v>
      </c>
      <c r="D269" s="50"/>
      <c r="E269" s="58"/>
      <c r="F269" s="58"/>
      <c r="G269" s="58" t="str">
        <f>IFERROR(__xludf.DUMMYFUNCTION("""COMPUTED_VALUE"""),"Negative")</f>
        <v>Negative</v>
      </c>
      <c r="H269" s="206" t="str">
        <f>IFERROR(__xludf.DUMMYFUNCTION("""COMPUTED_VALUE"""),"Negative")</f>
        <v>Negative</v>
      </c>
      <c r="I269" s="207">
        <f>IFERROR(__xludf.DUMMYFUNCTION("""COMPUTED_VALUE"""),44662.0)</f>
        <v>44662</v>
      </c>
      <c r="J269" s="208">
        <f>IFERROR(__xludf.DUMMYFUNCTION("""COMPUTED_VALUE"""),0.802337962962963)</f>
        <v>0.802337963</v>
      </c>
      <c r="K269" s="50"/>
      <c r="L269" s="6"/>
      <c r="M269" s="55"/>
      <c r="N269" s="55">
        <f>IFERROR(__xludf.DUMMYFUNCTION("""COMPUTED_VALUE"""),1.0)</f>
        <v>1</v>
      </c>
      <c r="O269" s="55" t="str">
        <f t="shared" si="3"/>
        <v/>
      </c>
      <c r="P269" s="209"/>
      <c r="Q269" s="75" t="b">
        <f>VLOOKUP($B269,'Run Reconcile'!B$2:P1679,15,FALSE)</f>
        <v>1</v>
      </c>
      <c r="R269" s="211" t="str">
        <f t="array" ref="R269">IF($Q269, INDEX('Run Reconcile'!A$2:A1679,MATCH(B269,'Run Reconcile'!B$2:B1679,0),1),IFERROR(0/0,""))</f>
        <v>RUN-COMB_2022-04-11_RFR-014</v>
      </c>
      <c r="S269" s="165" t="str">
        <f t="shared" ref="S269:T269" si="537">IF(COUNTIF(W$2:W1679, $A269) &gt; 0,TRUE,IFERROR(0/0,""))</f>
        <v/>
      </c>
      <c r="T269" s="165" t="str">
        <f t="shared" si="537"/>
        <v/>
      </c>
      <c r="U269" s="147" t="str">
        <f t="array" ref="U269">IF(ISBLANK($R269), IF($S269,VLOOKUP($B269+1,'RFR Data - preExcl'!$BF$2:$BG1679,2,FALSE),IF($T269,INDEX('RFR Data - preExcl'!$BF$2:$BG1679,MATCH($B269,'RFR Data - preExcl'!$BF$2:$BF1679,0)+1,2),VLOOKUP($B269,'RFR Data - preExcl'!$BF$2:$BG1679,2,FALSE))),IFERROR(0/0,""))</f>
        <v/>
      </c>
      <c r="V269" s="212" t="str">
        <f t="shared" si="5"/>
        <v>RUN-COMB_2022-04-11_RFR-014</v>
      </c>
      <c r="W269" s="51"/>
      <c r="X269" s="51"/>
      <c r="Y269" s="147" t="str">
        <f t="shared" ref="Y269:Z269" si="538">IF(_xlfn.ISFORMULA(S269),IFERROR(0/0,""),TRUE)</f>
        <v/>
      </c>
      <c r="Z269" s="147" t="str">
        <f t="shared" si="538"/>
        <v/>
      </c>
    </row>
    <row r="270">
      <c r="A270" s="6" t="str">
        <f>IFERROR(__xludf.DUMMYFUNCTION("""COMPUTED_VALUE"""),"FM4479")</f>
        <v>FM4479</v>
      </c>
      <c r="B270" s="206">
        <f>IFERROR(__xludf.DUMMYFUNCTION("""COMPUTED_VALUE"""),44662.0)</f>
        <v>44662</v>
      </c>
      <c r="C270" s="207">
        <f>IFERROR(__xludf.DUMMYFUNCTION("""COMPUTED_VALUE"""),0.7526736111111111)</f>
        <v>0.7526736111</v>
      </c>
      <c r="D270" s="50"/>
      <c r="E270" s="58"/>
      <c r="F270" s="58"/>
      <c r="G270" s="58" t="str">
        <f>IFERROR(__xludf.DUMMYFUNCTION("""COMPUTED_VALUE"""),"Negative")</f>
        <v>Negative</v>
      </c>
      <c r="H270" s="206" t="str">
        <f>IFERROR(__xludf.DUMMYFUNCTION("""COMPUTED_VALUE"""),"Negative")</f>
        <v>Negative</v>
      </c>
      <c r="I270" s="207">
        <f>IFERROR(__xludf.DUMMYFUNCTION("""COMPUTED_VALUE"""),44662.0)</f>
        <v>44662</v>
      </c>
      <c r="J270" s="208">
        <f>IFERROR(__xludf.DUMMYFUNCTION("""COMPUTED_VALUE"""),0.802337962962963)</f>
        <v>0.802337963</v>
      </c>
      <c r="K270" s="50"/>
      <c r="L270" s="6"/>
      <c r="M270" s="55"/>
      <c r="N270" s="55">
        <f>IFERROR(__xludf.DUMMYFUNCTION("""COMPUTED_VALUE"""),1.0)</f>
        <v>1</v>
      </c>
      <c r="O270" s="55" t="str">
        <f t="shared" si="3"/>
        <v/>
      </c>
      <c r="P270" s="209"/>
      <c r="Q270" s="75" t="b">
        <f>VLOOKUP($B270,'Run Reconcile'!B$2:P1679,15,FALSE)</f>
        <v>1</v>
      </c>
      <c r="R270" s="211" t="str">
        <f t="array" ref="R270">IF($Q270, INDEX('Run Reconcile'!A$2:A1679,MATCH(B270,'Run Reconcile'!B$2:B1679,0),1),IFERROR(0/0,""))</f>
        <v>RUN-COMB_2022-04-11_RFR-014</v>
      </c>
      <c r="S270" s="165" t="str">
        <f t="shared" ref="S270:T270" si="539">IF(COUNTIF(W$2:W1679, $A270) &gt; 0,TRUE,IFERROR(0/0,""))</f>
        <v/>
      </c>
      <c r="T270" s="165" t="str">
        <f t="shared" si="539"/>
        <v/>
      </c>
      <c r="U270" s="147" t="str">
        <f t="array" ref="U270">IF(ISBLANK($R270), IF($S270,VLOOKUP($B270+1,'RFR Data - preExcl'!$BF$2:$BG1679,2,FALSE),IF($T270,INDEX('RFR Data - preExcl'!$BF$2:$BG1679,MATCH($B270,'RFR Data - preExcl'!$BF$2:$BF1679,0)+1,2),VLOOKUP($B270,'RFR Data - preExcl'!$BF$2:$BG1679,2,FALSE))),IFERROR(0/0,""))</f>
        <v/>
      </c>
      <c r="V270" s="212" t="str">
        <f t="shared" si="5"/>
        <v>RUN-COMB_2022-04-11_RFR-014</v>
      </c>
      <c r="W270" s="51"/>
      <c r="X270" s="51"/>
      <c r="Y270" s="147" t="str">
        <f t="shared" ref="Y270:Z270" si="540">IF(_xlfn.ISFORMULA(S270),IFERROR(0/0,""),TRUE)</f>
        <v/>
      </c>
      <c r="Z270" s="147" t="str">
        <f t="shared" si="540"/>
        <v/>
      </c>
    </row>
    <row r="271">
      <c r="A271" s="6" t="str">
        <f>IFERROR(__xludf.DUMMYFUNCTION("""COMPUTED_VALUE"""),"FM4385")</f>
        <v>FM4385</v>
      </c>
      <c r="B271" s="206">
        <f>IFERROR(__xludf.DUMMYFUNCTION("""COMPUTED_VALUE"""),44662.0)</f>
        <v>44662</v>
      </c>
      <c r="C271" s="207">
        <f>IFERROR(__xludf.DUMMYFUNCTION("""COMPUTED_VALUE"""),0.7930092592592592)</f>
        <v>0.7930092593</v>
      </c>
      <c r="D271" s="50"/>
      <c r="E271" s="58"/>
      <c r="F271" s="58"/>
      <c r="G271" s="58" t="str">
        <f>IFERROR(__xludf.DUMMYFUNCTION("""COMPUTED_VALUE"""),"Negative")</f>
        <v>Negative</v>
      </c>
      <c r="H271" s="206" t="str">
        <f>IFERROR(__xludf.DUMMYFUNCTION("""COMPUTED_VALUE"""),"Negative")</f>
        <v>Negative</v>
      </c>
      <c r="I271" s="207">
        <f>IFERROR(__xludf.DUMMYFUNCTION("""COMPUTED_VALUE"""),44662.0)</f>
        <v>44662</v>
      </c>
      <c r="J271" s="208">
        <f>IFERROR(__xludf.DUMMYFUNCTION("""COMPUTED_VALUE"""),0.802337962962963)</f>
        <v>0.802337963</v>
      </c>
      <c r="K271" s="50"/>
      <c r="L271" s="6"/>
      <c r="M271" s="55"/>
      <c r="N271" s="55">
        <f>IFERROR(__xludf.DUMMYFUNCTION("""COMPUTED_VALUE"""),1.0)</f>
        <v>1</v>
      </c>
      <c r="O271" s="55" t="str">
        <f t="shared" si="3"/>
        <v/>
      </c>
      <c r="P271" s="209"/>
      <c r="Q271" s="75" t="b">
        <f>VLOOKUP($B271,'Run Reconcile'!B$2:P1679,15,FALSE)</f>
        <v>1</v>
      </c>
      <c r="R271" s="211" t="str">
        <f t="array" ref="R271">IF($Q271, INDEX('Run Reconcile'!A$2:A1679,MATCH(B271,'Run Reconcile'!B$2:B1679,0),1),IFERROR(0/0,""))</f>
        <v>RUN-COMB_2022-04-11_RFR-014</v>
      </c>
      <c r="S271" s="165" t="str">
        <f t="shared" ref="S271:T271" si="541">IF(COUNTIF(W$2:W1679, $A271) &gt; 0,TRUE,IFERROR(0/0,""))</f>
        <v/>
      </c>
      <c r="T271" s="165" t="str">
        <f t="shared" si="541"/>
        <v/>
      </c>
      <c r="U271" s="147" t="str">
        <f t="array" ref="U271">IF(ISBLANK($R271), IF($S271,VLOOKUP($B271+1,'RFR Data - preExcl'!$BF$2:$BG1679,2,FALSE),IF($T271,INDEX('RFR Data - preExcl'!$BF$2:$BG1679,MATCH($B271,'RFR Data - preExcl'!$BF$2:$BF1679,0)+1,2),VLOOKUP($B271,'RFR Data - preExcl'!$BF$2:$BG1679,2,FALSE))),IFERROR(0/0,""))</f>
        <v/>
      </c>
      <c r="V271" s="212" t="str">
        <f t="shared" si="5"/>
        <v>RUN-COMB_2022-04-11_RFR-014</v>
      </c>
      <c r="W271" s="51"/>
      <c r="X271" s="51"/>
      <c r="Y271" s="147" t="str">
        <f t="shared" ref="Y271:Z271" si="542">IF(_xlfn.ISFORMULA(S271),IFERROR(0/0,""),TRUE)</f>
        <v/>
      </c>
      <c r="Z271" s="147" t="str">
        <f t="shared" si="542"/>
        <v/>
      </c>
    </row>
    <row r="272">
      <c r="A272" s="6" t="str">
        <f>IFERROR(__xludf.DUMMYFUNCTION("""COMPUTED_VALUE"""),"FM4452")</f>
        <v>FM4452</v>
      </c>
      <c r="B272" s="206">
        <f>IFERROR(__xludf.DUMMYFUNCTION("""COMPUTED_VALUE"""),44663.0)</f>
        <v>44663</v>
      </c>
      <c r="C272" s="207">
        <f>IFERROR(__xludf.DUMMYFUNCTION("""COMPUTED_VALUE"""),0.26199074074074075)</f>
        <v>0.2619907407</v>
      </c>
      <c r="D272" s="50"/>
      <c r="E272" s="58"/>
      <c r="F272" s="58"/>
      <c r="G272" s="58" t="str">
        <f>IFERROR(__xludf.DUMMYFUNCTION("""COMPUTED_VALUE"""),"Negative")</f>
        <v>Negative</v>
      </c>
      <c r="H272" s="206" t="str">
        <f>IFERROR(__xludf.DUMMYFUNCTION("""COMPUTED_VALUE"""),"Negative")</f>
        <v>Negative</v>
      </c>
      <c r="I272" s="207">
        <f>IFERROR(__xludf.DUMMYFUNCTION("""COMPUTED_VALUE"""),44663.0)</f>
        <v>44663</v>
      </c>
      <c r="J272" s="208">
        <f>IFERROR(__xludf.DUMMYFUNCTION("""COMPUTED_VALUE"""),0.3544675925925926)</f>
        <v>0.3544675926</v>
      </c>
      <c r="K272" s="50"/>
      <c r="L272" s="6"/>
      <c r="M272" s="55"/>
      <c r="N272" s="55">
        <f>IFERROR(__xludf.DUMMYFUNCTION("""COMPUTED_VALUE"""),1.0)</f>
        <v>1</v>
      </c>
      <c r="O272" s="55" t="b">
        <f t="shared" si="3"/>
        <v>1</v>
      </c>
      <c r="P272" s="209"/>
      <c r="Q272" s="75" t="b">
        <f>VLOOKUP($B272,'Run Reconcile'!B$2:P1679,15,FALSE)</f>
        <v>1</v>
      </c>
      <c r="R272" s="211" t="str">
        <f t="array" ref="R272">IF($Q272, INDEX('Run Reconcile'!A$2:A1679,MATCH(B272,'Run Reconcile'!B$2:B1679,0),1),IFERROR(0/0,""))</f>
        <v>RUN-COMB_2022-04-12_RFR-015</v>
      </c>
      <c r="S272" s="165" t="str">
        <f t="shared" ref="S272:T272" si="543">IF(COUNTIF(W$2:W1679, $A272) &gt; 0,TRUE,IFERROR(0/0,""))</f>
        <v/>
      </c>
      <c r="T272" s="165" t="str">
        <f t="shared" si="543"/>
        <v/>
      </c>
      <c r="U272" s="147" t="str">
        <f t="array" ref="U272">IF(ISBLANK($R272), IF($S272,VLOOKUP($B272+1,'RFR Data - preExcl'!$BF$2:$BG1679,2,FALSE),IF($T272,INDEX('RFR Data - preExcl'!$BF$2:$BG1679,MATCH($B272,'RFR Data - preExcl'!$BF$2:$BF1679,0)+1,2),VLOOKUP($B272,'RFR Data - preExcl'!$BF$2:$BG1679,2,FALSE))),IFERROR(0/0,""))</f>
        <v/>
      </c>
      <c r="V272" s="212" t="str">
        <f t="shared" si="5"/>
        <v>RUN-COMB_2022-04-12_RFR-015</v>
      </c>
      <c r="W272" s="51"/>
      <c r="X272" s="51"/>
      <c r="Y272" s="147" t="str">
        <f t="shared" ref="Y272:Z272" si="544">IF(_xlfn.ISFORMULA(S272),IFERROR(0/0,""),TRUE)</f>
        <v/>
      </c>
      <c r="Z272" s="147" t="str">
        <f t="shared" si="544"/>
        <v/>
      </c>
    </row>
    <row r="273">
      <c r="A273" s="6" t="str">
        <f>IFERROR(__xludf.DUMMYFUNCTION("""COMPUTED_VALUE"""),"FM4464")</f>
        <v>FM4464</v>
      </c>
      <c r="B273" s="206">
        <f>IFERROR(__xludf.DUMMYFUNCTION("""COMPUTED_VALUE"""),44663.0)</f>
        <v>44663</v>
      </c>
      <c r="C273" s="207">
        <f>IFERROR(__xludf.DUMMYFUNCTION("""COMPUTED_VALUE"""),0.26261574074074073)</f>
        <v>0.2626157407</v>
      </c>
      <c r="D273" s="50"/>
      <c r="E273" s="58"/>
      <c r="F273" s="58"/>
      <c r="G273" s="58" t="str">
        <f>IFERROR(__xludf.DUMMYFUNCTION("""COMPUTED_VALUE"""),"Negative")</f>
        <v>Negative</v>
      </c>
      <c r="H273" s="206" t="str">
        <f>IFERROR(__xludf.DUMMYFUNCTION("""COMPUTED_VALUE"""),"Negative")</f>
        <v>Negative</v>
      </c>
      <c r="I273" s="207">
        <f>IFERROR(__xludf.DUMMYFUNCTION("""COMPUTED_VALUE"""),44663.0)</f>
        <v>44663</v>
      </c>
      <c r="J273" s="208">
        <f>IFERROR(__xludf.DUMMYFUNCTION("""COMPUTED_VALUE"""),0.3544791666666667)</f>
        <v>0.3544791667</v>
      </c>
      <c r="K273" s="50"/>
      <c r="L273" s="6"/>
      <c r="M273" s="55"/>
      <c r="N273" s="55">
        <f>IFERROR(__xludf.DUMMYFUNCTION("""COMPUTED_VALUE"""),1.0)</f>
        <v>1</v>
      </c>
      <c r="O273" s="55" t="str">
        <f t="shared" si="3"/>
        <v/>
      </c>
      <c r="P273" s="209"/>
      <c r="Q273" s="75" t="b">
        <f>VLOOKUP($B273,'Run Reconcile'!B$2:P1679,15,FALSE)</f>
        <v>1</v>
      </c>
      <c r="R273" s="211" t="str">
        <f t="array" ref="R273">IF($Q273, INDEX('Run Reconcile'!A$2:A1679,MATCH(B273,'Run Reconcile'!B$2:B1679,0),1),IFERROR(0/0,""))</f>
        <v>RUN-COMB_2022-04-12_RFR-015</v>
      </c>
      <c r="S273" s="165" t="str">
        <f t="shared" ref="S273:T273" si="545">IF(COUNTIF(W$2:W1679, $A273) &gt; 0,TRUE,IFERROR(0/0,""))</f>
        <v/>
      </c>
      <c r="T273" s="165" t="str">
        <f t="shared" si="545"/>
        <v/>
      </c>
      <c r="U273" s="147" t="str">
        <f t="array" ref="U273">IF(ISBLANK($R273), IF($S273,VLOOKUP($B273+1,'RFR Data - preExcl'!$BF$2:$BG1679,2,FALSE),IF($T273,INDEX('RFR Data - preExcl'!$BF$2:$BG1679,MATCH($B273,'RFR Data - preExcl'!$BF$2:$BF1679,0)+1,2),VLOOKUP($B273,'RFR Data - preExcl'!$BF$2:$BG1679,2,FALSE))),IFERROR(0/0,""))</f>
        <v/>
      </c>
      <c r="V273" s="212" t="str">
        <f t="shared" si="5"/>
        <v>RUN-COMB_2022-04-12_RFR-015</v>
      </c>
      <c r="W273" s="51"/>
      <c r="X273" s="51"/>
      <c r="Y273" s="147" t="str">
        <f t="shared" ref="Y273:Z273" si="546">IF(_xlfn.ISFORMULA(S273),IFERROR(0/0,""),TRUE)</f>
        <v/>
      </c>
      <c r="Z273" s="147" t="str">
        <f t="shared" si="546"/>
        <v/>
      </c>
    </row>
    <row r="274">
      <c r="A274" s="6" t="str">
        <f>IFERROR(__xludf.DUMMYFUNCTION("""COMPUTED_VALUE"""),"FM4447")</f>
        <v>FM4447</v>
      </c>
      <c r="B274" s="206">
        <f>IFERROR(__xludf.DUMMYFUNCTION("""COMPUTED_VALUE"""),44663.0)</f>
        <v>44663</v>
      </c>
      <c r="C274" s="207">
        <f>IFERROR(__xludf.DUMMYFUNCTION("""COMPUTED_VALUE"""),0.26310185185185186)</f>
        <v>0.2631018519</v>
      </c>
      <c r="D274" s="50"/>
      <c r="E274" s="58"/>
      <c r="F274" s="58"/>
      <c r="G274" s="58" t="str">
        <f>IFERROR(__xludf.DUMMYFUNCTION("""COMPUTED_VALUE"""),"Negative")</f>
        <v>Negative</v>
      </c>
      <c r="H274" s="206" t="str">
        <f>IFERROR(__xludf.DUMMYFUNCTION("""COMPUTED_VALUE"""),"Negative")</f>
        <v>Negative</v>
      </c>
      <c r="I274" s="207">
        <f>IFERROR(__xludf.DUMMYFUNCTION("""COMPUTED_VALUE"""),44663.0)</f>
        <v>44663</v>
      </c>
      <c r="J274" s="208">
        <f>IFERROR(__xludf.DUMMYFUNCTION("""COMPUTED_VALUE"""),0.3544907407407407)</f>
        <v>0.3544907407</v>
      </c>
      <c r="K274" s="50"/>
      <c r="L274" s="6"/>
      <c r="M274" s="55"/>
      <c r="N274" s="55">
        <f>IFERROR(__xludf.DUMMYFUNCTION("""COMPUTED_VALUE"""),1.0)</f>
        <v>1</v>
      </c>
      <c r="O274" s="55" t="str">
        <f t="shared" si="3"/>
        <v/>
      </c>
      <c r="P274" s="209"/>
      <c r="Q274" s="75" t="b">
        <f>VLOOKUP($B274,'Run Reconcile'!B$2:P1679,15,FALSE)</f>
        <v>1</v>
      </c>
      <c r="R274" s="211" t="str">
        <f t="array" ref="R274">IF($Q274, INDEX('Run Reconcile'!A$2:A1679,MATCH(B274,'Run Reconcile'!B$2:B1679,0),1),IFERROR(0/0,""))</f>
        <v>RUN-COMB_2022-04-12_RFR-015</v>
      </c>
      <c r="S274" s="165" t="str">
        <f t="shared" ref="S274:T274" si="547">IF(COUNTIF(W$2:W1679, $A274) &gt; 0,TRUE,IFERROR(0/0,""))</f>
        <v/>
      </c>
      <c r="T274" s="165" t="str">
        <f t="shared" si="547"/>
        <v/>
      </c>
      <c r="U274" s="147" t="str">
        <f t="array" ref="U274">IF(ISBLANK($R274), IF($S274,VLOOKUP($B274+1,'RFR Data - preExcl'!$BF$2:$BG1679,2,FALSE),IF($T274,INDEX('RFR Data - preExcl'!$BF$2:$BG1679,MATCH($B274,'RFR Data - preExcl'!$BF$2:$BF1679,0)+1,2),VLOOKUP($B274,'RFR Data - preExcl'!$BF$2:$BG1679,2,FALSE))),IFERROR(0/0,""))</f>
        <v/>
      </c>
      <c r="V274" s="212" t="str">
        <f t="shared" si="5"/>
        <v>RUN-COMB_2022-04-12_RFR-015</v>
      </c>
      <c r="W274" s="51"/>
      <c r="X274" s="51"/>
      <c r="Y274" s="147" t="str">
        <f t="shared" ref="Y274:Z274" si="548">IF(_xlfn.ISFORMULA(S274),IFERROR(0/0,""),TRUE)</f>
        <v/>
      </c>
      <c r="Z274" s="147" t="str">
        <f t="shared" si="548"/>
        <v/>
      </c>
    </row>
    <row r="275">
      <c r="A275" s="6" t="str">
        <f>IFERROR(__xludf.DUMMYFUNCTION("""COMPUTED_VALUE"""),"FM4241")</f>
        <v>FM4241</v>
      </c>
      <c r="B275" s="206">
        <f>IFERROR(__xludf.DUMMYFUNCTION("""COMPUTED_VALUE"""),44663.0)</f>
        <v>44663</v>
      </c>
      <c r="C275" s="207">
        <f>IFERROR(__xludf.DUMMYFUNCTION("""COMPUTED_VALUE"""),0.26577546296296295)</f>
        <v>0.265775463</v>
      </c>
      <c r="D275" s="50"/>
      <c r="E275" s="58"/>
      <c r="F275" s="58"/>
      <c r="G275" s="58" t="str">
        <f>IFERROR(__xludf.DUMMYFUNCTION("""COMPUTED_VALUE"""),"Negative")</f>
        <v>Negative</v>
      </c>
      <c r="H275" s="206" t="str">
        <f>IFERROR(__xludf.DUMMYFUNCTION("""COMPUTED_VALUE"""),"Negative")</f>
        <v>Negative</v>
      </c>
      <c r="I275" s="207">
        <f>IFERROR(__xludf.DUMMYFUNCTION("""COMPUTED_VALUE"""),44663.0)</f>
        <v>44663</v>
      </c>
      <c r="J275" s="208">
        <f>IFERROR(__xludf.DUMMYFUNCTION("""COMPUTED_VALUE"""),0.3545023148148148)</f>
        <v>0.3545023148</v>
      </c>
      <c r="K275" s="50"/>
      <c r="L275" s="6"/>
      <c r="M275" s="55"/>
      <c r="N275" s="55">
        <f>IFERROR(__xludf.DUMMYFUNCTION("""COMPUTED_VALUE"""),1.0)</f>
        <v>1</v>
      </c>
      <c r="O275" s="55" t="str">
        <f t="shared" si="3"/>
        <v/>
      </c>
      <c r="P275" s="209"/>
      <c r="Q275" s="75" t="b">
        <f>VLOOKUP($B275,'Run Reconcile'!B$2:P1679,15,FALSE)</f>
        <v>1</v>
      </c>
      <c r="R275" s="211" t="str">
        <f t="array" ref="R275">IF($Q275, INDEX('Run Reconcile'!A$2:A1679,MATCH(B275,'Run Reconcile'!B$2:B1679,0),1),IFERROR(0/0,""))</f>
        <v>RUN-COMB_2022-04-12_RFR-015</v>
      </c>
      <c r="S275" s="165" t="str">
        <f t="shared" ref="S275:T275" si="549">IF(COUNTIF(W$2:W1679, $A275) &gt; 0,TRUE,IFERROR(0/0,""))</f>
        <v/>
      </c>
      <c r="T275" s="165" t="str">
        <f t="shared" si="549"/>
        <v/>
      </c>
      <c r="U275" s="147" t="str">
        <f t="array" ref="U275">IF(ISBLANK($R275), IF($S275,VLOOKUP($B275+1,'RFR Data - preExcl'!$BF$2:$BG1679,2,FALSE),IF($T275,INDEX('RFR Data - preExcl'!$BF$2:$BG1679,MATCH($B275,'RFR Data - preExcl'!$BF$2:$BF1679,0)+1,2),VLOOKUP($B275,'RFR Data - preExcl'!$BF$2:$BG1679,2,FALSE))),IFERROR(0/0,""))</f>
        <v/>
      </c>
      <c r="V275" s="212" t="str">
        <f t="shared" si="5"/>
        <v>RUN-COMB_2022-04-12_RFR-015</v>
      </c>
      <c r="W275" s="51"/>
      <c r="X275" s="51"/>
      <c r="Y275" s="147" t="str">
        <f t="shared" ref="Y275:Z275" si="550">IF(_xlfn.ISFORMULA(S275),IFERROR(0/0,""),TRUE)</f>
        <v/>
      </c>
      <c r="Z275" s="147" t="str">
        <f t="shared" si="550"/>
        <v/>
      </c>
    </row>
    <row r="276">
      <c r="A276" s="6" t="str">
        <f>IFERROR(__xludf.DUMMYFUNCTION("""COMPUTED_VALUE"""),"FM4472")</f>
        <v>FM4472</v>
      </c>
      <c r="B276" s="206">
        <f>IFERROR(__xludf.DUMMYFUNCTION("""COMPUTED_VALUE"""),44663.0)</f>
        <v>44663</v>
      </c>
      <c r="C276" s="207">
        <f>IFERROR(__xludf.DUMMYFUNCTION("""COMPUTED_VALUE"""),0.2661689814814815)</f>
        <v>0.2661689815</v>
      </c>
      <c r="D276" s="50"/>
      <c r="E276" s="58"/>
      <c r="F276" s="58"/>
      <c r="G276" s="58" t="str">
        <f>IFERROR(__xludf.DUMMYFUNCTION("""COMPUTED_VALUE"""),"Negative")</f>
        <v>Negative</v>
      </c>
      <c r="H276" s="206" t="str">
        <f>IFERROR(__xludf.DUMMYFUNCTION("""COMPUTED_VALUE"""),"Negative")</f>
        <v>Negative</v>
      </c>
      <c r="I276" s="207">
        <f>IFERROR(__xludf.DUMMYFUNCTION("""COMPUTED_VALUE"""),44663.0)</f>
        <v>44663</v>
      </c>
      <c r="J276" s="208">
        <f>IFERROR(__xludf.DUMMYFUNCTION("""COMPUTED_VALUE"""),0.3545023148148148)</f>
        <v>0.3545023148</v>
      </c>
      <c r="K276" s="50"/>
      <c r="L276" s="6"/>
      <c r="M276" s="55"/>
      <c r="N276" s="55">
        <f>IFERROR(__xludf.DUMMYFUNCTION("""COMPUTED_VALUE"""),1.0)</f>
        <v>1</v>
      </c>
      <c r="O276" s="55" t="str">
        <f t="shared" si="3"/>
        <v/>
      </c>
      <c r="P276" s="209"/>
      <c r="Q276" s="75" t="b">
        <f>VLOOKUP($B276,'Run Reconcile'!B$2:P1679,15,FALSE)</f>
        <v>1</v>
      </c>
      <c r="R276" s="211" t="str">
        <f t="array" ref="R276">IF($Q276, INDEX('Run Reconcile'!A$2:A1679,MATCH(B276,'Run Reconcile'!B$2:B1679,0),1),IFERROR(0/0,""))</f>
        <v>RUN-COMB_2022-04-12_RFR-015</v>
      </c>
      <c r="S276" s="165" t="str">
        <f t="shared" ref="S276:T276" si="551">IF(COUNTIF(W$2:W1679, $A276) &gt; 0,TRUE,IFERROR(0/0,""))</f>
        <v/>
      </c>
      <c r="T276" s="165" t="str">
        <f t="shared" si="551"/>
        <v/>
      </c>
      <c r="U276" s="147" t="str">
        <f t="array" ref="U276">IF(ISBLANK($R276), IF($S276,VLOOKUP($B276+1,'RFR Data - preExcl'!$BF$2:$BG1679,2,FALSE),IF($T276,INDEX('RFR Data - preExcl'!$BF$2:$BG1679,MATCH($B276,'RFR Data - preExcl'!$BF$2:$BF1679,0)+1,2),VLOOKUP($B276,'RFR Data - preExcl'!$BF$2:$BG1679,2,FALSE))),IFERROR(0/0,""))</f>
        <v/>
      </c>
      <c r="V276" s="212" t="str">
        <f t="shared" si="5"/>
        <v>RUN-COMB_2022-04-12_RFR-015</v>
      </c>
      <c r="W276" s="51"/>
      <c r="X276" s="51"/>
      <c r="Y276" s="147" t="str">
        <f t="shared" ref="Y276:Z276" si="552">IF(_xlfn.ISFORMULA(S276),IFERROR(0/0,""),TRUE)</f>
        <v/>
      </c>
      <c r="Z276" s="147" t="str">
        <f t="shared" si="552"/>
        <v/>
      </c>
    </row>
    <row r="277">
      <c r="A277" s="6" t="str">
        <f>IFERROR(__xludf.DUMMYFUNCTION("""COMPUTED_VALUE"""),"FM4382")</f>
        <v>FM4382</v>
      </c>
      <c r="B277" s="206">
        <f>IFERROR(__xludf.DUMMYFUNCTION("""COMPUTED_VALUE"""),44663.0)</f>
        <v>44663</v>
      </c>
      <c r="C277" s="207">
        <f>IFERROR(__xludf.DUMMYFUNCTION("""COMPUTED_VALUE"""),0.26667824074074076)</f>
        <v>0.2666782407</v>
      </c>
      <c r="D277" s="50"/>
      <c r="E277" s="58"/>
      <c r="F277" s="58"/>
      <c r="G277" s="58" t="str">
        <f>IFERROR(__xludf.DUMMYFUNCTION("""COMPUTED_VALUE"""),"Negative")</f>
        <v>Negative</v>
      </c>
      <c r="H277" s="206" t="str">
        <f>IFERROR(__xludf.DUMMYFUNCTION("""COMPUTED_VALUE"""),"Negative")</f>
        <v>Negative</v>
      </c>
      <c r="I277" s="207">
        <f>IFERROR(__xludf.DUMMYFUNCTION("""COMPUTED_VALUE"""),44663.0)</f>
        <v>44663</v>
      </c>
      <c r="J277" s="208">
        <f>IFERROR(__xludf.DUMMYFUNCTION("""COMPUTED_VALUE"""),0.3545138888888889)</f>
        <v>0.3545138889</v>
      </c>
      <c r="K277" s="50"/>
      <c r="L277" s="6"/>
      <c r="M277" s="55"/>
      <c r="N277" s="55">
        <f>IFERROR(__xludf.DUMMYFUNCTION("""COMPUTED_VALUE"""),1.0)</f>
        <v>1</v>
      </c>
      <c r="O277" s="55" t="str">
        <f t="shared" si="3"/>
        <v/>
      </c>
      <c r="P277" s="209"/>
      <c r="Q277" s="75" t="b">
        <f>VLOOKUP($B277,'Run Reconcile'!B$2:P1679,15,FALSE)</f>
        <v>1</v>
      </c>
      <c r="R277" s="211" t="str">
        <f t="array" ref="R277">IF($Q277, INDEX('Run Reconcile'!A$2:A1679,MATCH(B277,'Run Reconcile'!B$2:B1679,0),1),IFERROR(0/0,""))</f>
        <v>RUN-COMB_2022-04-12_RFR-015</v>
      </c>
      <c r="S277" s="165" t="str">
        <f t="shared" ref="S277:T277" si="553">IF(COUNTIF(W$2:W1679, $A277) &gt; 0,TRUE,IFERROR(0/0,""))</f>
        <v/>
      </c>
      <c r="T277" s="165" t="str">
        <f t="shared" si="553"/>
        <v/>
      </c>
      <c r="U277" s="147" t="str">
        <f t="array" ref="U277">IF(ISBLANK($R277), IF($S277,VLOOKUP($B277+1,'RFR Data - preExcl'!$BF$2:$BG1679,2,FALSE),IF($T277,INDEX('RFR Data - preExcl'!$BF$2:$BG1679,MATCH($B277,'RFR Data - preExcl'!$BF$2:$BF1679,0)+1,2),VLOOKUP($B277,'RFR Data - preExcl'!$BF$2:$BG1679,2,FALSE))),IFERROR(0/0,""))</f>
        <v/>
      </c>
      <c r="V277" s="212" t="str">
        <f t="shared" si="5"/>
        <v>RUN-COMB_2022-04-12_RFR-015</v>
      </c>
      <c r="W277" s="51"/>
      <c r="X277" s="51"/>
      <c r="Y277" s="147" t="str">
        <f t="shared" ref="Y277:Z277" si="554">IF(_xlfn.ISFORMULA(S277),IFERROR(0/0,""),TRUE)</f>
        <v/>
      </c>
      <c r="Z277" s="147" t="str">
        <f t="shared" si="554"/>
        <v/>
      </c>
    </row>
    <row r="278">
      <c r="A278" s="6" t="str">
        <f>IFERROR(__xludf.DUMMYFUNCTION("""COMPUTED_VALUE"""),"FM4398")</f>
        <v>FM4398</v>
      </c>
      <c r="B278" s="206">
        <f>IFERROR(__xludf.DUMMYFUNCTION("""COMPUTED_VALUE"""),44663.0)</f>
        <v>44663</v>
      </c>
      <c r="C278" s="207">
        <f>IFERROR(__xludf.DUMMYFUNCTION("""COMPUTED_VALUE"""),0.26741898148148147)</f>
        <v>0.2674189815</v>
      </c>
      <c r="D278" s="50"/>
      <c r="E278" s="58"/>
      <c r="F278" s="58"/>
      <c r="G278" s="58" t="str">
        <f>IFERROR(__xludf.DUMMYFUNCTION("""COMPUTED_VALUE"""),"Negative")</f>
        <v>Negative</v>
      </c>
      <c r="H278" s="206" t="str">
        <f>IFERROR(__xludf.DUMMYFUNCTION("""COMPUTED_VALUE"""),"Negative")</f>
        <v>Negative</v>
      </c>
      <c r="I278" s="207">
        <f>IFERROR(__xludf.DUMMYFUNCTION("""COMPUTED_VALUE"""),44663.0)</f>
        <v>44663</v>
      </c>
      <c r="J278" s="208">
        <f>IFERROR(__xludf.DUMMYFUNCTION("""COMPUTED_VALUE"""),0.3545138888888889)</f>
        <v>0.3545138889</v>
      </c>
      <c r="K278" s="50"/>
      <c r="L278" s="6"/>
      <c r="M278" s="55"/>
      <c r="N278" s="55">
        <f>IFERROR(__xludf.DUMMYFUNCTION("""COMPUTED_VALUE"""),1.0)</f>
        <v>1</v>
      </c>
      <c r="O278" s="55" t="str">
        <f t="shared" si="3"/>
        <v/>
      </c>
      <c r="P278" s="209"/>
      <c r="Q278" s="75" t="b">
        <f>VLOOKUP($B278,'Run Reconcile'!B$2:P1679,15,FALSE)</f>
        <v>1</v>
      </c>
      <c r="R278" s="211" t="str">
        <f t="array" ref="R278">IF($Q278, INDEX('Run Reconcile'!A$2:A1679,MATCH(B278,'Run Reconcile'!B$2:B1679,0),1),IFERROR(0/0,""))</f>
        <v>RUN-COMB_2022-04-12_RFR-015</v>
      </c>
      <c r="S278" s="165" t="str">
        <f t="shared" ref="S278:T278" si="555">IF(COUNTIF(W$2:W1679, $A278) &gt; 0,TRUE,IFERROR(0/0,""))</f>
        <v/>
      </c>
      <c r="T278" s="165" t="str">
        <f t="shared" si="555"/>
        <v/>
      </c>
      <c r="U278" s="147" t="str">
        <f t="array" ref="U278">IF(ISBLANK($R278), IF($S278,VLOOKUP($B278+1,'RFR Data - preExcl'!$BF$2:$BG1679,2,FALSE),IF($T278,INDEX('RFR Data - preExcl'!$BF$2:$BG1679,MATCH($B278,'RFR Data - preExcl'!$BF$2:$BF1679,0)+1,2),VLOOKUP($B278,'RFR Data - preExcl'!$BF$2:$BG1679,2,FALSE))),IFERROR(0/0,""))</f>
        <v/>
      </c>
      <c r="V278" s="212" t="str">
        <f t="shared" si="5"/>
        <v>RUN-COMB_2022-04-12_RFR-015</v>
      </c>
      <c r="W278" s="51"/>
      <c r="X278" s="51"/>
      <c r="Y278" s="147" t="str">
        <f t="shared" ref="Y278:Z278" si="556">IF(_xlfn.ISFORMULA(S278),IFERROR(0/0,""),TRUE)</f>
        <v/>
      </c>
      <c r="Z278" s="147" t="str">
        <f t="shared" si="556"/>
        <v/>
      </c>
    </row>
    <row r="279">
      <c r="A279" s="6" t="str">
        <f>IFERROR(__xludf.DUMMYFUNCTION("""COMPUTED_VALUE"""),"FM4019")</f>
        <v>FM4019</v>
      </c>
      <c r="B279" s="206">
        <f>IFERROR(__xludf.DUMMYFUNCTION("""COMPUTED_VALUE"""),44663.0)</f>
        <v>44663</v>
      </c>
      <c r="C279" s="207">
        <f>IFERROR(__xludf.DUMMYFUNCTION("""COMPUTED_VALUE"""),0.26788194444444446)</f>
        <v>0.2678819444</v>
      </c>
      <c r="D279" s="50"/>
      <c r="E279" s="58"/>
      <c r="F279" s="58"/>
      <c r="G279" s="58" t="str">
        <f>IFERROR(__xludf.DUMMYFUNCTION("""COMPUTED_VALUE"""),"Negative")</f>
        <v>Negative</v>
      </c>
      <c r="H279" s="206" t="str">
        <f>IFERROR(__xludf.DUMMYFUNCTION("""COMPUTED_VALUE"""),"Negative")</f>
        <v>Negative</v>
      </c>
      <c r="I279" s="207">
        <f>IFERROR(__xludf.DUMMYFUNCTION("""COMPUTED_VALUE"""),44663.0)</f>
        <v>44663</v>
      </c>
      <c r="J279" s="208">
        <f>IFERROR(__xludf.DUMMYFUNCTION("""COMPUTED_VALUE"""),0.3545138888888889)</f>
        <v>0.3545138889</v>
      </c>
      <c r="K279" s="50"/>
      <c r="L279" s="6"/>
      <c r="M279" s="55"/>
      <c r="N279" s="55">
        <f>IFERROR(__xludf.DUMMYFUNCTION("""COMPUTED_VALUE"""),1.0)</f>
        <v>1</v>
      </c>
      <c r="O279" s="55" t="str">
        <f t="shared" si="3"/>
        <v/>
      </c>
      <c r="P279" s="209"/>
      <c r="Q279" s="75" t="b">
        <f>VLOOKUP($B279,'Run Reconcile'!B$2:P1679,15,FALSE)</f>
        <v>1</v>
      </c>
      <c r="R279" s="211" t="str">
        <f t="array" ref="R279">IF($Q279, INDEX('Run Reconcile'!A$2:A1679,MATCH(B279,'Run Reconcile'!B$2:B1679,0),1),IFERROR(0/0,""))</f>
        <v>RUN-COMB_2022-04-12_RFR-015</v>
      </c>
      <c r="S279" s="165" t="str">
        <f t="shared" ref="S279:T279" si="557">IF(COUNTIF(W$2:W1679, $A279) &gt; 0,TRUE,IFERROR(0/0,""))</f>
        <v/>
      </c>
      <c r="T279" s="165" t="str">
        <f t="shared" si="557"/>
        <v/>
      </c>
      <c r="U279" s="147" t="str">
        <f t="array" ref="U279">IF(ISBLANK($R279), IF($S279,VLOOKUP($B279+1,'RFR Data - preExcl'!$BF$2:$BG1679,2,FALSE),IF($T279,INDEX('RFR Data - preExcl'!$BF$2:$BG1679,MATCH($B279,'RFR Data - preExcl'!$BF$2:$BF1679,0)+1,2),VLOOKUP($B279,'RFR Data - preExcl'!$BF$2:$BG1679,2,FALSE))),IFERROR(0/0,""))</f>
        <v/>
      </c>
      <c r="V279" s="212" t="str">
        <f t="shared" si="5"/>
        <v>RUN-COMB_2022-04-12_RFR-015</v>
      </c>
      <c r="W279" s="51"/>
      <c r="X279" s="51"/>
      <c r="Y279" s="147" t="str">
        <f t="shared" ref="Y279:Z279" si="558">IF(_xlfn.ISFORMULA(S279),IFERROR(0/0,""),TRUE)</f>
        <v/>
      </c>
      <c r="Z279" s="147" t="str">
        <f t="shared" si="558"/>
        <v/>
      </c>
    </row>
    <row r="280">
      <c r="A280" s="6" t="str">
        <f>IFERROR(__xludf.DUMMYFUNCTION("""COMPUTED_VALUE"""),"FM4410")</f>
        <v>FM4410</v>
      </c>
      <c r="B280" s="206">
        <f>IFERROR(__xludf.DUMMYFUNCTION("""COMPUTED_VALUE"""),44663.0)</f>
        <v>44663</v>
      </c>
      <c r="C280" s="207">
        <f>IFERROR(__xludf.DUMMYFUNCTION("""COMPUTED_VALUE"""),0.2683101851851852)</f>
        <v>0.2683101852</v>
      </c>
      <c r="D280" s="50"/>
      <c r="E280" s="58"/>
      <c r="F280" s="58"/>
      <c r="G280" s="58" t="str">
        <f>IFERROR(__xludf.DUMMYFUNCTION("""COMPUTED_VALUE"""),"Negative")</f>
        <v>Negative</v>
      </c>
      <c r="H280" s="206" t="str">
        <f>IFERROR(__xludf.DUMMYFUNCTION("""COMPUTED_VALUE"""),"Negative")</f>
        <v>Negative</v>
      </c>
      <c r="I280" s="207">
        <f>IFERROR(__xludf.DUMMYFUNCTION("""COMPUTED_VALUE"""),44663.0)</f>
        <v>44663</v>
      </c>
      <c r="J280" s="208">
        <f>IFERROR(__xludf.DUMMYFUNCTION("""COMPUTED_VALUE"""),0.35452546296296295)</f>
        <v>0.354525463</v>
      </c>
      <c r="K280" s="50"/>
      <c r="L280" s="6"/>
      <c r="M280" s="55"/>
      <c r="N280" s="55">
        <f>IFERROR(__xludf.DUMMYFUNCTION("""COMPUTED_VALUE"""),1.0)</f>
        <v>1</v>
      </c>
      <c r="O280" s="55" t="str">
        <f t="shared" si="3"/>
        <v/>
      </c>
      <c r="P280" s="209"/>
      <c r="Q280" s="75" t="b">
        <f>VLOOKUP($B280,'Run Reconcile'!B$2:P1679,15,FALSE)</f>
        <v>1</v>
      </c>
      <c r="R280" s="211" t="str">
        <f t="array" ref="R280">IF($Q280, INDEX('Run Reconcile'!A$2:A1679,MATCH(B280,'Run Reconcile'!B$2:B1679,0),1),IFERROR(0/0,""))</f>
        <v>RUN-COMB_2022-04-12_RFR-015</v>
      </c>
      <c r="S280" s="165" t="str">
        <f t="shared" ref="S280:T280" si="559">IF(COUNTIF(W$2:W1679, $A280) &gt; 0,TRUE,IFERROR(0/0,""))</f>
        <v/>
      </c>
      <c r="T280" s="165" t="str">
        <f t="shared" si="559"/>
        <v/>
      </c>
      <c r="U280" s="147" t="str">
        <f t="array" ref="U280">IF(ISBLANK($R280), IF($S280,VLOOKUP($B280+1,'RFR Data - preExcl'!$BF$2:$BG1679,2,FALSE),IF($T280,INDEX('RFR Data - preExcl'!$BF$2:$BG1679,MATCH($B280,'RFR Data - preExcl'!$BF$2:$BF1679,0)+1,2),VLOOKUP($B280,'RFR Data - preExcl'!$BF$2:$BG1679,2,FALSE))),IFERROR(0/0,""))</f>
        <v/>
      </c>
      <c r="V280" s="212" t="str">
        <f t="shared" si="5"/>
        <v>RUN-COMB_2022-04-12_RFR-015</v>
      </c>
      <c r="W280" s="51"/>
      <c r="X280" s="51"/>
      <c r="Y280" s="147" t="str">
        <f t="shared" ref="Y280:Z280" si="560">IF(_xlfn.ISFORMULA(S280),IFERROR(0/0,""),TRUE)</f>
        <v/>
      </c>
      <c r="Z280" s="147" t="str">
        <f t="shared" si="560"/>
        <v/>
      </c>
    </row>
    <row r="281">
      <c r="A281" s="6" t="str">
        <f>IFERROR(__xludf.DUMMYFUNCTION("""COMPUTED_VALUE"""),"FM4426")</f>
        <v>FM4426</v>
      </c>
      <c r="B281" s="206">
        <f>IFERROR(__xludf.DUMMYFUNCTION("""COMPUTED_VALUE"""),44663.0)</f>
        <v>44663</v>
      </c>
      <c r="C281" s="207">
        <f>IFERROR(__xludf.DUMMYFUNCTION("""COMPUTED_VALUE"""),0.2687615740740741)</f>
        <v>0.2687615741</v>
      </c>
      <c r="D281" s="50"/>
      <c r="E281" s="58"/>
      <c r="F281" s="58"/>
      <c r="G281" s="58" t="str">
        <f>IFERROR(__xludf.DUMMYFUNCTION("""COMPUTED_VALUE"""),"Negative")</f>
        <v>Negative</v>
      </c>
      <c r="H281" s="206" t="str">
        <f>IFERROR(__xludf.DUMMYFUNCTION("""COMPUTED_VALUE"""),"Negative")</f>
        <v>Negative</v>
      </c>
      <c r="I281" s="207">
        <f>IFERROR(__xludf.DUMMYFUNCTION("""COMPUTED_VALUE"""),44663.0)</f>
        <v>44663</v>
      </c>
      <c r="J281" s="208">
        <f>IFERROR(__xludf.DUMMYFUNCTION("""COMPUTED_VALUE"""),0.35452546296296295)</f>
        <v>0.354525463</v>
      </c>
      <c r="K281" s="50"/>
      <c r="L281" s="6"/>
      <c r="M281" s="55"/>
      <c r="N281" s="55">
        <f>IFERROR(__xludf.DUMMYFUNCTION("""COMPUTED_VALUE"""),1.0)</f>
        <v>1</v>
      </c>
      <c r="O281" s="55" t="str">
        <f t="shared" si="3"/>
        <v/>
      </c>
      <c r="P281" s="209"/>
      <c r="Q281" s="75" t="b">
        <f>VLOOKUP($B281,'Run Reconcile'!B$2:P1679,15,FALSE)</f>
        <v>1</v>
      </c>
      <c r="R281" s="211" t="str">
        <f t="array" ref="R281">IF($Q281, INDEX('Run Reconcile'!A$2:A1679,MATCH(B281,'Run Reconcile'!B$2:B1679,0),1),IFERROR(0/0,""))</f>
        <v>RUN-COMB_2022-04-12_RFR-015</v>
      </c>
      <c r="S281" s="165" t="str">
        <f t="shared" ref="S281:T281" si="561">IF(COUNTIF(W$2:W1679, $A281) &gt; 0,TRUE,IFERROR(0/0,""))</f>
        <v/>
      </c>
      <c r="T281" s="165" t="str">
        <f t="shared" si="561"/>
        <v/>
      </c>
      <c r="U281" s="147" t="str">
        <f t="array" ref="U281">IF(ISBLANK($R281), IF($S281,VLOOKUP($B281+1,'RFR Data - preExcl'!$BF$2:$BG1679,2,FALSE),IF($T281,INDEX('RFR Data - preExcl'!$BF$2:$BG1679,MATCH($B281,'RFR Data - preExcl'!$BF$2:$BF1679,0)+1,2),VLOOKUP($B281,'RFR Data - preExcl'!$BF$2:$BG1679,2,FALSE))),IFERROR(0/0,""))</f>
        <v/>
      </c>
      <c r="V281" s="212" t="str">
        <f t="shared" si="5"/>
        <v>RUN-COMB_2022-04-12_RFR-015</v>
      </c>
      <c r="W281" s="51"/>
      <c r="X281" s="51"/>
      <c r="Y281" s="147" t="str">
        <f t="shared" ref="Y281:Z281" si="562">IF(_xlfn.ISFORMULA(S281),IFERROR(0/0,""),TRUE)</f>
        <v/>
      </c>
      <c r="Z281" s="147" t="str">
        <f t="shared" si="562"/>
        <v/>
      </c>
    </row>
    <row r="282">
      <c r="A282" s="6" t="str">
        <f>IFERROR(__xludf.DUMMYFUNCTION("""COMPUTED_VALUE"""),"FM4242")</f>
        <v>FM4242</v>
      </c>
      <c r="B282" s="206">
        <f>IFERROR(__xludf.DUMMYFUNCTION("""COMPUTED_VALUE"""),44663.0)</f>
        <v>44663</v>
      </c>
      <c r="C282" s="207">
        <f>IFERROR(__xludf.DUMMYFUNCTION("""COMPUTED_VALUE"""),0.269212962962963)</f>
        <v>0.269212963</v>
      </c>
      <c r="D282" s="50"/>
      <c r="E282" s="58"/>
      <c r="F282" s="58"/>
      <c r="G282" s="58" t="str">
        <f>IFERROR(__xludf.DUMMYFUNCTION("""COMPUTED_VALUE"""),"Negative")</f>
        <v>Negative</v>
      </c>
      <c r="H282" s="206" t="str">
        <f>IFERROR(__xludf.DUMMYFUNCTION("""COMPUTED_VALUE"""),"Negative")</f>
        <v>Negative</v>
      </c>
      <c r="I282" s="207">
        <f>IFERROR(__xludf.DUMMYFUNCTION("""COMPUTED_VALUE"""),44663.0)</f>
        <v>44663</v>
      </c>
      <c r="J282" s="208">
        <f>IFERROR(__xludf.DUMMYFUNCTION("""COMPUTED_VALUE"""),0.35453703703703704)</f>
        <v>0.354537037</v>
      </c>
      <c r="K282" s="50"/>
      <c r="L282" s="6"/>
      <c r="M282" s="55"/>
      <c r="N282" s="55">
        <f>IFERROR(__xludf.DUMMYFUNCTION("""COMPUTED_VALUE"""),1.0)</f>
        <v>1</v>
      </c>
      <c r="O282" s="55" t="str">
        <f t="shared" si="3"/>
        <v/>
      </c>
      <c r="P282" s="209"/>
      <c r="Q282" s="75" t="b">
        <f>VLOOKUP($B282,'Run Reconcile'!B$2:P1679,15,FALSE)</f>
        <v>1</v>
      </c>
      <c r="R282" s="211" t="str">
        <f t="array" ref="R282">IF($Q282, INDEX('Run Reconcile'!A$2:A1679,MATCH(B282,'Run Reconcile'!B$2:B1679,0),1),IFERROR(0/0,""))</f>
        <v>RUN-COMB_2022-04-12_RFR-015</v>
      </c>
      <c r="S282" s="165" t="str">
        <f t="shared" ref="S282:T282" si="563">IF(COUNTIF(W$2:W1679, $A282) &gt; 0,TRUE,IFERROR(0/0,""))</f>
        <v/>
      </c>
      <c r="T282" s="165" t="str">
        <f t="shared" si="563"/>
        <v/>
      </c>
      <c r="U282" s="147" t="str">
        <f t="array" ref="U282">IF(ISBLANK($R282), IF($S282,VLOOKUP($B282+1,'RFR Data - preExcl'!$BF$2:$BG1679,2,FALSE),IF($T282,INDEX('RFR Data - preExcl'!$BF$2:$BG1679,MATCH($B282,'RFR Data - preExcl'!$BF$2:$BF1679,0)+1,2),VLOOKUP($B282,'RFR Data - preExcl'!$BF$2:$BG1679,2,FALSE))),IFERROR(0/0,""))</f>
        <v/>
      </c>
      <c r="V282" s="212" t="str">
        <f t="shared" si="5"/>
        <v>RUN-COMB_2022-04-12_RFR-015</v>
      </c>
      <c r="W282" s="51"/>
      <c r="X282" s="51"/>
      <c r="Y282" s="147" t="str">
        <f t="shared" ref="Y282:Z282" si="564">IF(_xlfn.ISFORMULA(S282),IFERROR(0/0,""),TRUE)</f>
        <v/>
      </c>
      <c r="Z282" s="147" t="str">
        <f t="shared" si="564"/>
        <v/>
      </c>
    </row>
    <row r="283">
      <c r="A283" s="6" t="str">
        <f>IFERROR(__xludf.DUMMYFUNCTION("""COMPUTED_VALUE"""),"FM4415")</f>
        <v>FM4415</v>
      </c>
      <c r="B283" s="206">
        <f>IFERROR(__xludf.DUMMYFUNCTION("""COMPUTED_VALUE"""),44663.0)</f>
        <v>44663</v>
      </c>
      <c r="C283" s="207">
        <f>IFERROR(__xludf.DUMMYFUNCTION("""COMPUTED_VALUE"""),0.2697685185185185)</f>
        <v>0.2697685185</v>
      </c>
      <c r="D283" s="50"/>
      <c r="E283" s="58"/>
      <c r="F283" s="58"/>
      <c r="G283" s="58" t="str">
        <f>IFERROR(__xludf.DUMMYFUNCTION("""COMPUTED_VALUE"""),"Negative")</f>
        <v>Negative</v>
      </c>
      <c r="H283" s="206" t="str">
        <f>IFERROR(__xludf.DUMMYFUNCTION("""COMPUTED_VALUE"""),"Negative")</f>
        <v>Negative</v>
      </c>
      <c r="I283" s="207">
        <f>IFERROR(__xludf.DUMMYFUNCTION("""COMPUTED_VALUE"""),44663.0)</f>
        <v>44663</v>
      </c>
      <c r="J283" s="208">
        <f>IFERROR(__xludf.DUMMYFUNCTION("""COMPUTED_VALUE"""),0.35453703703703704)</f>
        <v>0.354537037</v>
      </c>
      <c r="K283" s="50"/>
      <c r="L283" s="6"/>
      <c r="M283" s="55"/>
      <c r="N283" s="55">
        <f>IFERROR(__xludf.DUMMYFUNCTION("""COMPUTED_VALUE"""),1.0)</f>
        <v>1</v>
      </c>
      <c r="O283" s="55" t="str">
        <f t="shared" si="3"/>
        <v/>
      </c>
      <c r="P283" s="209"/>
      <c r="Q283" s="75" t="b">
        <f>VLOOKUP($B283,'Run Reconcile'!B$2:P1679,15,FALSE)</f>
        <v>1</v>
      </c>
      <c r="R283" s="211" t="str">
        <f t="array" ref="R283">IF($Q283, INDEX('Run Reconcile'!A$2:A1679,MATCH(B283,'Run Reconcile'!B$2:B1679,0),1),IFERROR(0/0,""))</f>
        <v>RUN-COMB_2022-04-12_RFR-015</v>
      </c>
      <c r="S283" s="165" t="str">
        <f t="shared" ref="S283:T283" si="565">IF(COUNTIF(W$2:W1679, $A283) &gt; 0,TRUE,IFERROR(0/0,""))</f>
        <v/>
      </c>
      <c r="T283" s="165" t="str">
        <f t="shared" si="565"/>
        <v/>
      </c>
      <c r="U283" s="147" t="str">
        <f t="array" ref="U283">IF(ISBLANK($R283), IF($S283,VLOOKUP($B283+1,'RFR Data - preExcl'!$BF$2:$BG1679,2,FALSE),IF($T283,INDEX('RFR Data - preExcl'!$BF$2:$BG1679,MATCH($B283,'RFR Data - preExcl'!$BF$2:$BF1679,0)+1,2),VLOOKUP($B283,'RFR Data - preExcl'!$BF$2:$BG1679,2,FALSE))),IFERROR(0/0,""))</f>
        <v/>
      </c>
      <c r="V283" s="212" t="str">
        <f t="shared" si="5"/>
        <v>RUN-COMB_2022-04-12_RFR-015</v>
      </c>
      <c r="W283" s="51"/>
      <c r="X283" s="51"/>
      <c r="Y283" s="147" t="str">
        <f t="shared" ref="Y283:Z283" si="566">IF(_xlfn.ISFORMULA(S283),IFERROR(0/0,""),TRUE)</f>
        <v/>
      </c>
      <c r="Z283" s="147" t="str">
        <f t="shared" si="566"/>
        <v/>
      </c>
    </row>
    <row r="284">
      <c r="A284" s="6" t="str">
        <f>IFERROR(__xludf.DUMMYFUNCTION("""COMPUTED_VALUE"""),"FM4411")</f>
        <v>FM4411</v>
      </c>
      <c r="B284" s="206">
        <f>IFERROR(__xludf.DUMMYFUNCTION("""COMPUTED_VALUE"""),44663.0)</f>
        <v>44663</v>
      </c>
      <c r="C284" s="207">
        <f>IFERROR(__xludf.DUMMYFUNCTION("""COMPUTED_VALUE"""),0.27020833333333333)</f>
        <v>0.2702083333</v>
      </c>
      <c r="D284" s="50"/>
      <c r="E284" s="58"/>
      <c r="F284" s="58"/>
      <c r="G284" s="58" t="str">
        <f>IFERROR(__xludf.DUMMYFUNCTION("""COMPUTED_VALUE"""),"Negative")</f>
        <v>Negative</v>
      </c>
      <c r="H284" s="206" t="str">
        <f>IFERROR(__xludf.DUMMYFUNCTION("""COMPUTED_VALUE"""),"Negative")</f>
        <v>Negative</v>
      </c>
      <c r="I284" s="207">
        <f>IFERROR(__xludf.DUMMYFUNCTION("""COMPUTED_VALUE"""),44663.0)</f>
        <v>44663</v>
      </c>
      <c r="J284" s="208">
        <f>IFERROR(__xludf.DUMMYFUNCTION("""COMPUTED_VALUE"""),0.35454861111111113)</f>
        <v>0.3545486111</v>
      </c>
      <c r="K284" s="50"/>
      <c r="L284" s="6"/>
      <c r="M284" s="55"/>
      <c r="N284" s="55">
        <f>IFERROR(__xludf.DUMMYFUNCTION("""COMPUTED_VALUE"""),1.0)</f>
        <v>1</v>
      </c>
      <c r="O284" s="55" t="str">
        <f t="shared" si="3"/>
        <v/>
      </c>
      <c r="P284" s="209"/>
      <c r="Q284" s="75" t="b">
        <f>VLOOKUP($B284,'Run Reconcile'!B$2:P1679,15,FALSE)</f>
        <v>1</v>
      </c>
      <c r="R284" s="211" t="str">
        <f t="array" ref="R284">IF($Q284, INDEX('Run Reconcile'!A$2:A1679,MATCH(B284,'Run Reconcile'!B$2:B1679,0),1),IFERROR(0/0,""))</f>
        <v>RUN-COMB_2022-04-12_RFR-015</v>
      </c>
      <c r="S284" s="165" t="str">
        <f t="shared" ref="S284:T284" si="567">IF(COUNTIF(W$2:W1679, $A284) &gt; 0,TRUE,IFERROR(0/0,""))</f>
        <v/>
      </c>
      <c r="T284" s="165" t="str">
        <f t="shared" si="567"/>
        <v/>
      </c>
      <c r="U284" s="147" t="str">
        <f t="array" ref="U284">IF(ISBLANK($R284), IF($S284,VLOOKUP($B284+1,'RFR Data - preExcl'!$BF$2:$BG1679,2,FALSE),IF($T284,INDEX('RFR Data - preExcl'!$BF$2:$BG1679,MATCH($B284,'RFR Data - preExcl'!$BF$2:$BF1679,0)+1,2),VLOOKUP($B284,'RFR Data - preExcl'!$BF$2:$BG1679,2,FALSE))),IFERROR(0/0,""))</f>
        <v/>
      </c>
      <c r="V284" s="212" t="str">
        <f t="shared" si="5"/>
        <v>RUN-COMB_2022-04-12_RFR-015</v>
      </c>
      <c r="W284" s="51"/>
      <c r="X284" s="51"/>
      <c r="Y284" s="147" t="str">
        <f t="shared" ref="Y284:Z284" si="568">IF(_xlfn.ISFORMULA(S284),IFERROR(0/0,""),TRUE)</f>
        <v/>
      </c>
      <c r="Z284" s="147" t="str">
        <f t="shared" si="568"/>
        <v/>
      </c>
    </row>
    <row r="285">
      <c r="A285" s="6" t="str">
        <f>IFERROR(__xludf.DUMMYFUNCTION("""COMPUTED_VALUE"""),"FM4421")</f>
        <v>FM4421</v>
      </c>
      <c r="B285" s="206">
        <f>IFERROR(__xludf.DUMMYFUNCTION("""COMPUTED_VALUE"""),44663.0)</f>
        <v>44663</v>
      </c>
      <c r="C285" s="207">
        <f>IFERROR(__xludf.DUMMYFUNCTION("""COMPUTED_VALUE"""),0.27184027777777775)</f>
        <v>0.2718402778</v>
      </c>
      <c r="D285" s="50"/>
      <c r="E285" s="58"/>
      <c r="F285" s="58"/>
      <c r="G285" s="58" t="str">
        <f>IFERROR(__xludf.DUMMYFUNCTION("""COMPUTED_VALUE"""),"Negative")</f>
        <v>Negative</v>
      </c>
      <c r="H285" s="206" t="str">
        <f>IFERROR(__xludf.DUMMYFUNCTION("""COMPUTED_VALUE"""),"Negative")</f>
        <v>Negative</v>
      </c>
      <c r="I285" s="207">
        <f>IFERROR(__xludf.DUMMYFUNCTION("""COMPUTED_VALUE"""),44663.0)</f>
        <v>44663</v>
      </c>
      <c r="J285" s="208">
        <f>IFERROR(__xludf.DUMMYFUNCTION("""COMPUTED_VALUE"""),0.35454861111111113)</f>
        <v>0.3545486111</v>
      </c>
      <c r="K285" s="50"/>
      <c r="L285" s="6"/>
      <c r="M285" s="55"/>
      <c r="N285" s="55">
        <f>IFERROR(__xludf.DUMMYFUNCTION("""COMPUTED_VALUE"""),1.0)</f>
        <v>1</v>
      </c>
      <c r="O285" s="55" t="str">
        <f t="shared" si="3"/>
        <v/>
      </c>
      <c r="P285" s="209"/>
      <c r="Q285" s="75" t="b">
        <f>VLOOKUP($B285,'Run Reconcile'!B$2:P1679,15,FALSE)</f>
        <v>1</v>
      </c>
      <c r="R285" s="211" t="str">
        <f t="array" ref="R285">IF($Q285, INDEX('Run Reconcile'!A$2:A1679,MATCH(B285,'Run Reconcile'!B$2:B1679,0),1),IFERROR(0/0,""))</f>
        <v>RUN-COMB_2022-04-12_RFR-015</v>
      </c>
      <c r="S285" s="165" t="str">
        <f t="shared" ref="S285:T285" si="569">IF(COUNTIF(W$2:W1679, $A285) &gt; 0,TRUE,IFERROR(0/0,""))</f>
        <v/>
      </c>
      <c r="T285" s="165" t="str">
        <f t="shared" si="569"/>
        <v/>
      </c>
      <c r="U285" s="147" t="str">
        <f t="array" ref="U285">IF(ISBLANK($R285), IF($S285,VLOOKUP($B285+1,'RFR Data - preExcl'!$BF$2:$BG1679,2,FALSE),IF($T285,INDEX('RFR Data - preExcl'!$BF$2:$BG1679,MATCH($B285,'RFR Data - preExcl'!$BF$2:$BF1679,0)+1,2),VLOOKUP($B285,'RFR Data - preExcl'!$BF$2:$BG1679,2,FALSE))),IFERROR(0/0,""))</f>
        <v/>
      </c>
      <c r="V285" s="212" t="str">
        <f t="shared" si="5"/>
        <v>RUN-COMB_2022-04-12_RFR-015</v>
      </c>
      <c r="W285" s="51"/>
      <c r="X285" s="51"/>
      <c r="Y285" s="147" t="str">
        <f t="shared" ref="Y285:Z285" si="570">IF(_xlfn.ISFORMULA(S285),IFERROR(0/0,""),TRUE)</f>
        <v/>
      </c>
      <c r="Z285" s="147" t="str">
        <f t="shared" si="570"/>
        <v/>
      </c>
    </row>
    <row r="286">
      <c r="A286" s="6" t="str">
        <f>IFERROR(__xludf.DUMMYFUNCTION("""COMPUTED_VALUE"""),"FM4243")</f>
        <v>FM4243</v>
      </c>
      <c r="B286" s="206">
        <f>IFERROR(__xludf.DUMMYFUNCTION("""COMPUTED_VALUE"""),44663.0)</f>
        <v>44663</v>
      </c>
      <c r="C286" s="207">
        <f>IFERROR(__xludf.DUMMYFUNCTION("""COMPUTED_VALUE"""),0.27399305555555553)</f>
        <v>0.2739930556</v>
      </c>
      <c r="D286" s="50"/>
      <c r="E286" s="58"/>
      <c r="F286" s="58"/>
      <c r="G286" s="58" t="str">
        <f>IFERROR(__xludf.DUMMYFUNCTION("""COMPUTED_VALUE"""),"Negative")</f>
        <v>Negative</v>
      </c>
      <c r="H286" s="206" t="str">
        <f>IFERROR(__xludf.DUMMYFUNCTION("""COMPUTED_VALUE"""),"Negative")</f>
        <v>Negative</v>
      </c>
      <c r="I286" s="207">
        <f>IFERROR(__xludf.DUMMYFUNCTION("""COMPUTED_VALUE"""),44663.0)</f>
        <v>44663</v>
      </c>
      <c r="J286" s="208">
        <f>IFERROR(__xludf.DUMMYFUNCTION("""COMPUTED_VALUE"""),0.35454861111111113)</f>
        <v>0.3545486111</v>
      </c>
      <c r="K286" s="50"/>
      <c r="L286" s="6"/>
      <c r="M286" s="55"/>
      <c r="N286" s="55">
        <f>IFERROR(__xludf.DUMMYFUNCTION("""COMPUTED_VALUE"""),1.0)</f>
        <v>1</v>
      </c>
      <c r="O286" s="55" t="str">
        <f t="shared" si="3"/>
        <v/>
      </c>
      <c r="P286" s="209"/>
      <c r="Q286" s="75" t="b">
        <f>VLOOKUP($B286,'Run Reconcile'!B$2:P1679,15,FALSE)</f>
        <v>1</v>
      </c>
      <c r="R286" s="211" t="str">
        <f t="array" ref="R286">IF($Q286, INDEX('Run Reconcile'!A$2:A1679,MATCH(B286,'Run Reconcile'!B$2:B1679,0),1),IFERROR(0/0,""))</f>
        <v>RUN-COMB_2022-04-12_RFR-015</v>
      </c>
      <c r="S286" s="165" t="str">
        <f t="shared" ref="S286:T286" si="571">IF(COUNTIF(W$2:W1679, $A286) &gt; 0,TRUE,IFERROR(0/0,""))</f>
        <v/>
      </c>
      <c r="T286" s="165" t="str">
        <f t="shared" si="571"/>
        <v/>
      </c>
      <c r="U286" s="147" t="str">
        <f t="array" ref="U286">IF(ISBLANK($R286), IF($S286,VLOOKUP($B286+1,'RFR Data - preExcl'!$BF$2:$BG1679,2,FALSE),IF($T286,INDEX('RFR Data - preExcl'!$BF$2:$BG1679,MATCH($B286,'RFR Data - preExcl'!$BF$2:$BF1679,0)+1,2),VLOOKUP($B286,'RFR Data - preExcl'!$BF$2:$BG1679,2,FALSE))),IFERROR(0/0,""))</f>
        <v/>
      </c>
      <c r="V286" s="212" t="str">
        <f t="shared" si="5"/>
        <v>RUN-COMB_2022-04-12_RFR-015</v>
      </c>
      <c r="W286" s="51"/>
      <c r="X286" s="51"/>
      <c r="Y286" s="147" t="str">
        <f t="shared" ref="Y286:Z286" si="572">IF(_xlfn.ISFORMULA(S286),IFERROR(0/0,""),TRUE)</f>
        <v/>
      </c>
      <c r="Z286" s="147" t="str">
        <f t="shared" si="572"/>
        <v/>
      </c>
    </row>
    <row r="287">
      <c r="A287" s="6" t="str">
        <f>IFERROR(__xludf.DUMMYFUNCTION("""COMPUTED_VALUE"""),"FM4484")</f>
        <v>FM4484</v>
      </c>
      <c r="B287" s="206">
        <f>IFERROR(__xludf.DUMMYFUNCTION("""COMPUTED_VALUE"""),44663.0)</f>
        <v>44663</v>
      </c>
      <c r="C287" s="207">
        <f>IFERROR(__xludf.DUMMYFUNCTION("""COMPUTED_VALUE"""),0.2744328703703704)</f>
        <v>0.2744328704</v>
      </c>
      <c r="D287" s="50"/>
      <c r="E287" s="58"/>
      <c r="F287" s="58"/>
      <c r="G287" s="58" t="str">
        <f>IFERROR(__xludf.DUMMYFUNCTION("""COMPUTED_VALUE"""),"Negative")</f>
        <v>Negative</v>
      </c>
      <c r="H287" s="206" t="str">
        <f>IFERROR(__xludf.DUMMYFUNCTION("""COMPUTED_VALUE"""),"Negative")</f>
        <v>Negative</v>
      </c>
      <c r="I287" s="207">
        <f>IFERROR(__xludf.DUMMYFUNCTION("""COMPUTED_VALUE"""),44663.0)</f>
        <v>44663</v>
      </c>
      <c r="J287" s="208">
        <f>IFERROR(__xludf.DUMMYFUNCTION("""COMPUTED_VALUE"""),0.3545601851851852)</f>
        <v>0.3545601852</v>
      </c>
      <c r="K287" s="50"/>
      <c r="L287" s="6"/>
      <c r="M287" s="55"/>
      <c r="N287" s="55">
        <f>IFERROR(__xludf.DUMMYFUNCTION("""COMPUTED_VALUE"""),1.0)</f>
        <v>1</v>
      </c>
      <c r="O287" s="55" t="str">
        <f t="shared" si="3"/>
        <v/>
      </c>
      <c r="P287" s="209"/>
      <c r="Q287" s="75" t="b">
        <f>VLOOKUP($B287,'Run Reconcile'!B$2:P1679,15,FALSE)</f>
        <v>1</v>
      </c>
      <c r="R287" s="211" t="str">
        <f t="array" ref="R287">IF($Q287, INDEX('Run Reconcile'!A$2:A1679,MATCH(B287,'Run Reconcile'!B$2:B1679,0),1),IFERROR(0/0,""))</f>
        <v>RUN-COMB_2022-04-12_RFR-015</v>
      </c>
      <c r="S287" s="165" t="str">
        <f t="shared" ref="S287:T287" si="573">IF(COUNTIF(W$2:W1679, $A287) &gt; 0,TRUE,IFERROR(0/0,""))</f>
        <v/>
      </c>
      <c r="T287" s="165" t="str">
        <f t="shared" si="573"/>
        <v/>
      </c>
      <c r="U287" s="147" t="str">
        <f t="array" ref="U287">IF(ISBLANK($R287), IF($S287,VLOOKUP($B287+1,'RFR Data - preExcl'!$BF$2:$BG1679,2,FALSE),IF($T287,INDEX('RFR Data - preExcl'!$BF$2:$BG1679,MATCH($B287,'RFR Data - preExcl'!$BF$2:$BF1679,0)+1,2),VLOOKUP($B287,'RFR Data - preExcl'!$BF$2:$BG1679,2,FALSE))),IFERROR(0/0,""))</f>
        <v/>
      </c>
      <c r="V287" s="212" t="str">
        <f t="shared" si="5"/>
        <v>RUN-COMB_2022-04-12_RFR-015</v>
      </c>
      <c r="W287" s="51"/>
      <c r="X287" s="51"/>
      <c r="Y287" s="147" t="str">
        <f t="shared" ref="Y287:Z287" si="574">IF(_xlfn.ISFORMULA(S287),IFERROR(0/0,""),TRUE)</f>
        <v/>
      </c>
      <c r="Z287" s="147" t="str">
        <f t="shared" si="574"/>
        <v/>
      </c>
    </row>
    <row r="288">
      <c r="A288" s="6" t="str">
        <f>IFERROR(__xludf.DUMMYFUNCTION("""COMPUTED_VALUE"""),"FM4392")</f>
        <v>FM4392</v>
      </c>
      <c r="B288" s="206">
        <f>IFERROR(__xludf.DUMMYFUNCTION("""COMPUTED_VALUE"""),44663.0)</f>
        <v>44663</v>
      </c>
      <c r="C288" s="207">
        <f>IFERROR(__xludf.DUMMYFUNCTION("""COMPUTED_VALUE"""),0.274837962962963)</f>
        <v>0.274837963</v>
      </c>
      <c r="D288" s="50"/>
      <c r="E288" s="58"/>
      <c r="F288" s="58"/>
      <c r="G288" s="58" t="str">
        <f>IFERROR(__xludf.DUMMYFUNCTION("""COMPUTED_VALUE"""),"Negative")</f>
        <v>Negative</v>
      </c>
      <c r="H288" s="206" t="str">
        <f>IFERROR(__xludf.DUMMYFUNCTION("""COMPUTED_VALUE"""),"Negative")</f>
        <v>Negative</v>
      </c>
      <c r="I288" s="207">
        <f>IFERROR(__xludf.DUMMYFUNCTION("""COMPUTED_VALUE"""),44663.0)</f>
        <v>44663</v>
      </c>
      <c r="J288" s="208">
        <f>IFERROR(__xludf.DUMMYFUNCTION("""COMPUTED_VALUE"""),0.3545601851851852)</f>
        <v>0.3545601852</v>
      </c>
      <c r="K288" s="50"/>
      <c r="L288" s="6"/>
      <c r="M288" s="55"/>
      <c r="N288" s="55">
        <f>IFERROR(__xludf.DUMMYFUNCTION("""COMPUTED_VALUE"""),1.0)</f>
        <v>1</v>
      </c>
      <c r="O288" s="55" t="str">
        <f t="shared" si="3"/>
        <v/>
      </c>
      <c r="P288" s="209"/>
      <c r="Q288" s="75" t="b">
        <f>VLOOKUP($B288,'Run Reconcile'!B$2:P1679,15,FALSE)</f>
        <v>1</v>
      </c>
      <c r="R288" s="211" t="str">
        <f t="array" ref="R288">IF($Q288, INDEX('Run Reconcile'!A$2:A1679,MATCH(B288,'Run Reconcile'!B$2:B1679,0),1),IFERROR(0/0,""))</f>
        <v>RUN-COMB_2022-04-12_RFR-015</v>
      </c>
      <c r="S288" s="165" t="str">
        <f t="shared" ref="S288:T288" si="575">IF(COUNTIF(W$2:W1679, $A288) &gt; 0,TRUE,IFERROR(0/0,""))</f>
        <v/>
      </c>
      <c r="T288" s="165" t="str">
        <f t="shared" si="575"/>
        <v/>
      </c>
      <c r="U288" s="147" t="str">
        <f t="array" ref="U288">IF(ISBLANK($R288), IF($S288,VLOOKUP($B288+1,'RFR Data - preExcl'!$BF$2:$BG1679,2,FALSE),IF($T288,INDEX('RFR Data - preExcl'!$BF$2:$BG1679,MATCH($B288,'RFR Data - preExcl'!$BF$2:$BF1679,0)+1,2),VLOOKUP($B288,'RFR Data - preExcl'!$BF$2:$BG1679,2,FALSE))),IFERROR(0/0,""))</f>
        <v/>
      </c>
      <c r="V288" s="212" t="str">
        <f t="shared" si="5"/>
        <v>RUN-COMB_2022-04-12_RFR-015</v>
      </c>
      <c r="W288" s="51"/>
      <c r="X288" s="51"/>
      <c r="Y288" s="147" t="str">
        <f t="shared" ref="Y288:Z288" si="576">IF(_xlfn.ISFORMULA(S288),IFERROR(0/0,""),TRUE)</f>
        <v/>
      </c>
      <c r="Z288" s="147" t="str">
        <f t="shared" si="576"/>
        <v/>
      </c>
    </row>
    <row r="289">
      <c r="A289" s="6" t="str">
        <f>IFERROR(__xludf.DUMMYFUNCTION("""COMPUTED_VALUE"""),"FM4492")</f>
        <v>FM4492</v>
      </c>
      <c r="B289" s="206">
        <f>IFERROR(__xludf.DUMMYFUNCTION("""COMPUTED_VALUE"""),44663.0)</f>
        <v>44663</v>
      </c>
      <c r="C289" s="207">
        <f>IFERROR(__xludf.DUMMYFUNCTION("""COMPUTED_VALUE"""),0.2767824074074074)</f>
        <v>0.2767824074</v>
      </c>
      <c r="D289" s="50"/>
      <c r="E289" s="58"/>
      <c r="F289" s="58"/>
      <c r="G289" s="58" t="str">
        <f>IFERROR(__xludf.DUMMYFUNCTION("""COMPUTED_VALUE"""),"Negative")</f>
        <v>Negative</v>
      </c>
      <c r="H289" s="206" t="str">
        <f>IFERROR(__xludf.DUMMYFUNCTION("""COMPUTED_VALUE"""),"Negative")</f>
        <v>Negative</v>
      </c>
      <c r="I289" s="207">
        <f>IFERROR(__xludf.DUMMYFUNCTION("""COMPUTED_VALUE"""),44663.0)</f>
        <v>44663</v>
      </c>
      <c r="J289" s="208">
        <f>IFERROR(__xludf.DUMMYFUNCTION("""COMPUTED_VALUE"""),0.35457175925925927)</f>
        <v>0.3545717593</v>
      </c>
      <c r="K289" s="50"/>
      <c r="L289" s="6"/>
      <c r="M289" s="55"/>
      <c r="N289" s="55">
        <f>IFERROR(__xludf.DUMMYFUNCTION("""COMPUTED_VALUE"""),1.0)</f>
        <v>1</v>
      </c>
      <c r="O289" s="55" t="str">
        <f t="shared" si="3"/>
        <v/>
      </c>
      <c r="P289" s="209"/>
      <c r="Q289" s="75" t="b">
        <f>VLOOKUP($B289,'Run Reconcile'!B$2:P1679,15,FALSE)</f>
        <v>1</v>
      </c>
      <c r="R289" s="211" t="str">
        <f t="array" ref="R289">IF($Q289, INDEX('Run Reconcile'!A$2:A1679,MATCH(B289,'Run Reconcile'!B$2:B1679,0),1),IFERROR(0/0,""))</f>
        <v>RUN-COMB_2022-04-12_RFR-015</v>
      </c>
      <c r="S289" s="165" t="str">
        <f t="shared" ref="S289:T289" si="577">IF(COUNTIF(W$2:W1679, $A289) &gt; 0,TRUE,IFERROR(0/0,""))</f>
        <v/>
      </c>
      <c r="T289" s="165" t="str">
        <f t="shared" si="577"/>
        <v/>
      </c>
      <c r="U289" s="147" t="str">
        <f t="array" ref="U289">IF(ISBLANK($R289), IF($S289,VLOOKUP($B289+1,'RFR Data - preExcl'!$BF$2:$BG1679,2,FALSE),IF($T289,INDEX('RFR Data - preExcl'!$BF$2:$BG1679,MATCH($B289,'RFR Data - preExcl'!$BF$2:$BF1679,0)+1,2),VLOOKUP($B289,'RFR Data - preExcl'!$BF$2:$BG1679,2,FALSE))),IFERROR(0/0,""))</f>
        <v/>
      </c>
      <c r="V289" s="212" t="str">
        <f t="shared" si="5"/>
        <v>RUN-COMB_2022-04-12_RFR-015</v>
      </c>
      <c r="W289" s="51"/>
      <c r="X289" s="51"/>
      <c r="Y289" s="147" t="str">
        <f t="shared" ref="Y289:Z289" si="578">IF(_xlfn.ISFORMULA(S289),IFERROR(0/0,""),TRUE)</f>
        <v/>
      </c>
      <c r="Z289" s="147" t="str">
        <f t="shared" si="578"/>
        <v/>
      </c>
    </row>
    <row r="290">
      <c r="A290" s="6" t="str">
        <f>IFERROR(__xludf.DUMMYFUNCTION("""COMPUTED_VALUE"""),"MA192")</f>
        <v>MA192</v>
      </c>
      <c r="B290" s="206">
        <f>IFERROR(__xludf.DUMMYFUNCTION("""COMPUTED_VALUE"""),44663.0)</f>
        <v>44663</v>
      </c>
      <c r="C290" s="207">
        <f>IFERROR(__xludf.DUMMYFUNCTION("""COMPUTED_VALUE"""),0.2773148148148148)</f>
        <v>0.2773148148</v>
      </c>
      <c r="D290" s="50"/>
      <c r="E290" s="58"/>
      <c r="F290" s="58"/>
      <c r="G290" s="58" t="str">
        <f>IFERROR(__xludf.DUMMYFUNCTION("""COMPUTED_VALUE"""),"Negative")</f>
        <v>Negative</v>
      </c>
      <c r="H290" s="206" t="str">
        <f>IFERROR(__xludf.DUMMYFUNCTION("""COMPUTED_VALUE"""),"Negative")</f>
        <v>Negative</v>
      </c>
      <c r="I290" s="207">
        <f>IFERROR(__xludf.DUMMYFUNCTION("""COMPUTED_VALUE"""),44663.0)</f>
        <v>44663</v>
      </c>
      <c r="J290" s="208">
        <f>IFERROR(__xludf.DUMMYFUNCTION("""COMPUTED_VALUE"""),0.35457175925925927)</f>
        <v>0.3545717593</v>
      </c>
      <c r="K290" s="50"/>
      <c r="L290" s="6"/>
      <c r="M290" s="55"/>
      <c r="N290" s="55">
        <f>IFERROR(__xludf.DUMMYFUNCTION("""COMPUTED_VALUE"""),1.0)</f>
        <v>1</v>
      </c>
      <c r="O290" s="55" t="str">
        <f t="shared" si="3"/>
        <v/>
      </c>
      <c r="P290" s="209"/>
      <c r="Q290" s="75" t="b">
        <f>VLOOKUP($B290,'Run Reconcile'!B$2:P1679,15,FALSE)</f>
        <v>1</v>
      </c>
      <c r="R290" s="211" t="str">
        <f t="array" ref="R290">IF($Q290, INDEX('Run Reconcile'!A$2:A1679,MATCH(B290,'Run Reconcile'!B$2:B1679,0),1),IFERROR(0/0,""))</f>
        <v>RUN-COMB_2022-04-12_RFR-015</v>
      </c>
      <c r="S290" s="165" t="str">
        <f t="shared" ref="S290:T290" si="579">IF(COUNTIF(W$2:W1679, $A290) &gt; 0,TRUE,IFERROR(0/0,""))</f>
        <v/>
      </c>
      <c r="T290" s="165" t="str">
        <f t="shared" si="579"/>
        <v/>
      </c>
      <c r="U290" s="147" t="str">
        <f t="array" ref="U290">IF(ISBLANK($R290), IF($S290,VLOOKUP($B290+1,'RFR Data - preExcl'!$BF$2:$BG1679,2,FALSE),IF($T290,INDEX('RFR Data - preExcl'!$BF$2:$BG1679,MATCH($B290,'RFR Data - preExcl'!$BF$2:$BF1679,0)+1,2),VLOOKUP($B290,'RFR Data - preExcl'!$BF$2:$BG1679,2,FALSE))),IFERROR(0/0,""))</f>
        <v/>
      </c>
      <c r="V290" s="212" t="str">
        <f t="shared" si="5"/>
        <v>RUN-COMB_2022-04-12_RFR-015</v>
      </c>
      <c r="W290" s="51"/>
      <c r="X290" s="51"/>
      <c r="Y290" s="147" t="str">
        <f t="shared" ref="Y290:Z290" si="580">IF(_xlfn.ISFORMULA(S290),IFERROR(0/0,""),TRUE)</f>
        <v/>
      </c>
      <c r="Z290" s="147" t="str">
        <f t="shared" si="580"/>
        <v/>
      </c>
    </row>
    <row r="291">
      <c r="A291" s="6" t="str">
        <f>IFERROR(__xludf.DUMMYFUNCTION("""COMPUTED_VALUE"""),"FM4418")</f>
        <v>FM4418</v>
      </c>
      <c r="B291" s="206">
        <f>IFERROR(__xludf.DUMMYFUNCTION("""COMPUTED_VALUE"""),44663.0)</f>
        <v>44663</v>
      </c>
      <c r="C291" s="207">
        <f>IFERROR(__xludf.DUMMYFUNCTION("""COMPUTED_VALUE"""),0.2829050925925926)</f>
        <v>0.2829050926</v>
      </c>
      <c r="D291" s="50"/>
      <c r="E291" s="58"/>
      <c r="F291" s="58"/>
      <c r="G291" s="58" t="str">
        <f>IFERROR(__xludf.DUMMYFUNCTION("""COMPUTED_VALUE"""),"Negative")</f>
        <v>Negative</v>
      </c>
      <c r="H291" s="206" t="str">
        <f>IFERROR(__xludf.DUMMYFUNCTION("""COMPUTED_VALUE"""),"Negative")</f>
        <v>Negative</v>
      </c>
      <c r="I291" s="207">
        <f>IFERROR(__xludf.DUMMYFUNCTION("""COMPUTED_VALUE"""),44663.0)</f>
        <v>44663</v>
      </c>
      <c r="J291" s="208">
        <f>IFERROR(__xludf.DUMMYFUNCTION("""COMPUTED_VALUE"""),0.3545833333333333)</f>
        <v>0.3545833333</v>
      </c>
      <c r="K291" s="50"/>
      <c r="L291" s="6"/>
      <c r="M291" s="55"/>
      <c r="N291" s="55">
        <f>IFERROR(__xludf.DUMMYFUNCTION("""COMPUTED_VALUE"""),1.0)</f>
        <v>1</v>
      </c>
      <c r="O291" s="55" t="str">
        <f t="shared" si="3"/>
        <v/>
      </c>
      <c r="P291" s="209"/>
      <c r="Q291" s="75" t="b">
        <f>VLOOKUP($B291,'Run Reconcile'!B$2:P1679,15,FALSE)</f>
        <v>1</v>
      </c>
      <c r="R291" s="211" t="str">
        <f t="array" ref="R291">IF($Q291, INDEX('Run Reconcile'!A$2:A1679,MATCH(B291,'Run Reconcile'!B$2:B1679,0),1),IFERROR(0/0,""))</f>
        <v>RUN-COMB_2022-04-12_RFR-015</v>
      </c>
      <c r="S291" s="165" t="str">
        <f t="shared" ref="S291:T291" si="581">IF(COUNTIF(W$2:W1679, $A291) &gt; 0,TRUE,IFERROR(0/0,""))</f>
        <v/>
      </c>
      <c r="T291" s="165" t="str">
        <f t="shared" si="581"/>
        <v/>
      </c>
      <c r="U291" s="147" t="str">
        <f t="array" ref="U291">IF(ISBLANK($R291), IF($S291,VLOOKUP($B291+1,'RFR Data - preExcl'!$BF$2:$BG1679,2,FALSE),IF($T291,INDEX('RFR Data - preExcl'!$BF$2:$BG1679,MATCH($B291,'RFR Data - preExcl'!$BF$2:$BF1679,0)+1,2),VLOOKUP($B291,'RFR Data - preExcl'!$BF$2:$BG1679,2,FALSE))),IFERROR(0/0,""))</f>
        <v/>
      </c>
      <c r="V291" s="212" t="str">
        <f t="shared" si="5"/>
        <v>RUN-COMB_2022-04-12_RFR-015</v>
      </c>
      <c r="W291" s="51"/>
      <c r="X291" s="51"/>
      <c r="Y291" s="147" t="str">
        <f t="shared" ref="Y291:Z291" si="582">IF(_xlfn.ISFORMULA(S291),IFERROR(0/0,""),TRUE)</f>
        <v/>
      </c>
      <c r="Z291" s="147" t="str">
        <f t="shared" si="582"/>
        <v/>
      </c>
    </row>
    <row r="292">
      <c r="A292" s="6" t="str">
        <f>IFERROR(__xludf.DUMMYFUNCTION("""COMPUTED_VALUE"""),"FM4003")</f>
        <v>FM4003</v>
      </c>
      <c r="B292" s="206">
        <f>IFERROR(__xludf.DUMMYFUNCTION("""COMPUTED_VALUE"""),44663.0)</f>
        <v>44663</v>
      </c>
      <c r="C292" s="207">
        <f>IFERROR(__xludf.DUMMYFUNCTION("""COMPUTED_VALUE"""),0.2834837962962963)</f>
        <v>0.2834837963</v>
      </c>
      <c r="D292" s="50"/>
      <c r="E292" s="58"/>
      <c r="F292" s="58"/>
      <c r="G292" s="58" t="str">
        <f>IFERROR(__xludf.DUMMYFUNCTION("""COMPUTED_VALUE"""),"Negative")</f>
        <v>Negative</v>
      </c>
      <c r="H292" s="206" t="str">
        <f>IFERROR(__xludf.DUMMYFUNCTION("""COMPUTED_VALUE"""),"Negative")</f>
        <v>Negative</v>
      </c>
      <c r="I292" s="207">
        <f>IFERROR(__xludf.DUMMYFUNCTION("""COMPUTED_VALUE"""),44663.0)</f>
        <v>44663</v>
      </c>
      <c r="J292" s="208">
        <f>IFERROR(__xludf.DUMMYFUNCTION("""COMPUTED_VALUE"""),0.3545949074074074)</f>
        <v>0.3545949074</v>
      </c>
      <c r="K292" s="50"/>
      <c r="L292" s="6"/>
      <c r="M292" s="55"/>
      <c r="N292" s="55">
        <f>IFERROR(__xludf.DUMMYFUNCTION("""COMPUTED_VALUE"""),1.0)</f>
        <v>1</v>
      </c>
      <c r="O292" s="55" t="str">
        <f t="shared" si="3"/>
        <v/>
      </c>
      <c r="P292" s="209"/>
      <c r="Q292" s="75" t="b">
        <f>VLOOKUP($B292,'Run Reconcile'!B$2:P1679,15,FALSE)</f>
        <v>1</v>
      </c>
      <c r="R292" s="211" t="str">
        <f t="array" ref="R292">IF($Q292, INDEX('Run Reconcile'!A$2:A1679,MATCH(B292,'Run Reconcile'!B$2:B1679,0),1),IFERROR(0/0,""))</f>
        <v>RUN-COMB_2022-04-12_RFR-015</v>
      </c>
      <c r="S292" s="165" t="str">
        <f t="shared" ref="S292:T292" si="583">IF(COUNTIF(W$2:W1679, $A292) &gt; 0,TRUE,IFERROR(0/0,""))</f>
        <v/>
      </c>
      <c r="T292" s="165" t="str">
        <f t="shared" si="583"/>
        <v/>
      </c>
      <c r="U292" s="147" t="str">
        <f t="array" ref="U292">IF(ISBLANK($R292), IF($S292,VLOOKUP($B292+1,'RFR Data - preExcl'!$BF$2:$BG1679,2,FALSE),IF($T292,INDEX('RFR Data - preExcl'!$BF$2:$BG1679,MATCH($B292,'RFR Data - preExcl'!$BF$2:$BF1679,0)+1,2),VLOOKUP($B292,'RFR Data - preExcl'!$BF$2:$BG1679,2,FALSE))),IFERROR(0/0,""))</f>
        <v/>
      </c>
      <c r="V292" s="212" t="str">
        <f t="shared" si="5"/>
        <v>RUN-COMB_2022-04-12_RFR-015</v>
      </c>
      <c r="W292" s="51"/>
      <c r="X292" s="51"/>
      <c r="Y292" s="147" t="str">
        <f t="shared" ref="Y292:Z292" si="584">IF(_xlfn.ISFORMULA(S292),IFERROR(0/0,""),TRUE)</f>
        <v/>
      </c>
      <c r="Z292" s="147" t="str">
        <f t="shared" si="584"/>
        <v/>
      </c>
    </row>
    <row r="293">
      <c r="A293" s="6" t="str">
        <f>IFERROR(__xludf.DUMMYFUNCTION("""COMPUTED_VALUE"""),"FM4451")</f>
        <v>FM4451</v>
      </c>
      <c r="B293" s="206">
        <f>IFERROR(__xludf.DUMMYFUNCTION("""COMPUTED_VALUE"""),44663.0)</f>
        <v>44663</v>
      </c>
      <c r="C293" s="207">
        <f>IFERROR(__xludf.DUMMYFUNCTION("""COMPUTED_VALUE"""),0.2842476851851852)</f>
        <v>0.2842476852</v>
      </c>
      <c r="D293" s="50"/>
      <c r="E293" s="58"/>
      <c r="F293" s="58"/>
      <c r="G293" s="58" t="str">
        <f>IFERROR(__xludf.DUMMYFUNCTION("""COMPUTED_VALUE"""),"Negative")</f>
        <v>Negative</v>
      </c>
      <c r="H293" s="206" t="str">
        <f>IFERROR(__xludf.DUMMYFUNCTION("""COMPUTED_VALUE"""),"Negative")</f>
        <v>Negative</v>
      </c>
      <c r="I293" s="207">
        <f>IFERROR(__xludf.DUMMYFUNCTION("""COMPUTED_VALUE"""),44663.0)</f>
        <v>44663</v>
      </c>
      <c r="J293" s="208">
        <f>IFERROR(__xludf.DUMMYFUNCTION("""COMPUTED_VALUE"""),0.3546064814814815)</f>
        <v>0.3546064815</v>
      </c>
      <c r="K293" s="50"/>
      <c r="L293" s="6"/>
      <c r="M293" s="55"/>
      <c r="N293" s="55">
        <f>IFERROR(__xludf.DUMMYFUNCTION("""COMPUTED_VALUE"""),1.0)</f>
        <v>1</v>
      </c>
      <c r="O293" s="55" t="str">
        <f t="shared" si="3"/>
        <v/>
      </c>
      <c r="P293" s="209"/>
      <c r="Q293" s="75" t="b">
        <f>VLOOKUP($B293,'Run Reconcile'!B$2:P1679,15,FALSE)</f>
        <v>1</v>
      </c>
      <c r="R293" s="211" t="str">
        <f t="array" ref="R293">IF($Q293, INDEX('Run Reconcile'!A$2:A1679,MATCH(B293,'Run Reconcile'!B$2:B1679,0),1),IFERROR(0/0,""))</f>
        <v>RUN-COMB_2022-04-12_RFR-015</v>
      </c>
      <c r="S293" s="165" t="str">
        <f t="shared" ref="S293:T293" si="585">IF(COUNTIF(W$2:W1679, $A293) &gt; 0,TRUE,IFERROR(0/0,""))</f>
        <v/>
      </c>
      <c r="T293" s="165" t="str">
        <f t="shared" si="585"/>
        <v/>
      </c>
      <c r="U293" s="147" t="str">
        <f t="array" ref="U293">IF(ISBLANK($R293), IF($S293,VLOOKUP($B293+1,'RFR Data - preExcl'!$BF$2:$BG1679,2,FALSE),IF($T293,INDEX('RFR Data - preExcl'!$BF$2:$BG1679,MATCH($B293,'RFR Data - preExcl'!$BF$2:$BF1679,0)+1,2),VLOOKUP($B293,'RFR Data - preExcl'!$BF$2:$BG1679,2,FALSE))),IFERROR(0/0,""))</f>
        <v/>
      </c>
      <c r="V293" s="212" t="str">
        <f t="shared" si="5"/>
        <v>RUN-COMB_2022-04-12_RFR-015</v>
      </c>
      <c r="W293" s="51"/>
      <c r="X293" s="51"/>
      <c r="Y293" s="147" t="str">
        <f t="shared" ref="Y293:Z293" si="586">IF(_xlfn.ISFORMULA(S293),IFERROR(0/0,""),TRUE)</f>
        <v/>
      </c>
      <c r="Z293" s="147" t="str">
        <f t="shared" si="586"/>
        <v/>
      </c>
    </row>
    <row r="294">
      <c r="A294" s="6" t="str">
        <f>IFERROR(__xludf.DUMMYFUNCTION("""COMPUTED_VALUE"""),"FM4438")</f>
        <v>FM4438</v>
      </c>
      <c r="B294" s="206">
        <f>IFERROR(__xludf.DUMMYFUNCTION("""COMPUTED_VALUE"""),44663.0)</f>
        <v>44663</v>
      </c>
      <c r="C294" s="207">
        <f>IFERROR(__xludf.DUMMYFUNCTION("""COMPUTED_VALUE"""),0.3380208333333333)</f>
        <v>0.3380208333</v>
      </c>
      <c r="D294" s="50"/>
      <c r="E294" s="58"/>
      <c r="F294" s="58"/>
      <c r="G294" s="58" t="str">
        <f>IFERROR(__xludf.DUMMYFUNCTION("""COMPUTED_VALUE"""),"Negative")</f>
        <v>Negative</v>
      </c>
      <c r="H294" s="206" t="str">
        <f>IFERROR(__xludf.DUMMYFUNCTION("""COMPUTED_VALUE"""),"Negative")</f>
        <v>Negative</v>
      </c>
      <c r="I294" s="207">
        <f>IFERROR(__xludf.DUMMYFUNCTION("""COMPUTED_VALUE"""),44663.0)</f>
        <v>44663</v>
      </c>
      <c r="J294" s="208">
        <f>IFERROR(__xludf.DUMMYFUNCTION("""COMPUTED_VALUE"""),0.35461805555555553)</f>
        <v>0.3546180556</v>
      </c>
      <c r="K294" s="50"/>
      <c r="L294" s="6"/>
      <c r="M294" s="55"/>
      <c r="N294" s="55">
        <f>IFERROR(__xludf.DUMMYFUNCTION("""COMPUTED_VALUE"""),1.0)</f>
        <v>1</v>
      </c>
      <c r="O294" s="55" t="str">
        <f t="shared" si="3"/>
        <v/>
      </c>
      <c r="P294" s="209"/>
      <c r="Q294" s="75" t="b">
        <f>VLOOKUP($B294,'Run Reconcile'!B$2:P1679,15,FALSE)</f>
        <v>1</v>
      </c>
      <c r="R294" s="211" t="str">
        <f t="array" ref="R294">IF($Q294, INDEX('Run Reconcile'!A$2:A1679,MATCH(B294,'Run Reconcile'!B$2:B1679,0),1),IFERROR(0/0,""))</f>
        <v>RUN-COMB_2022-04-12_RFR-015</v>
      </c>
      <c r="S294" s="165" t="str">
        <f t="shared" ref="S294:T294" si="587">IF(COUNTIF(W$2:W1679, $A294) &gt; 0,TRUE,IFERROR(0/0,""))</f>
        <v/>
      </c>
      <c r="T294" s="165" t="str">
        <f t="shared" si="587"/>
        <v/>
      </c>
      <c r="U294" s="147" t="str">
        <f t="array" ref="U294">IF(ISBLANK($R294), IF($S294,VLOOKUP($B294+1,'RFR Data - preExcl'!$BF$2:$BG1679,2,FALSE),IF($T294,INDEX('RFR Data - preExcl'!$BF$2:$BG1679,MATCH($B294,'RFR Data - preExcl'!$BF$2:$BF1679,0)+1,2),VLOOKUP($B294,'RFR Data - preExcl'!$BF$2:$BG1679,2,FALSE))),IFERROR(0/0,""))</f>
        <v/>
      </c>
      <c r="V294" s="212" t="str">
        <f t="shared" si="5"/>
        <v>RUN-COMB_2022-04-12_RFR-015</v>
      </c>
      <c r="W294" s="51"/>
      <c r="X294" s="51"/>
      <c r="Y294" s="147" t="str">
        <f t="shared" ref="Y294:Z294" si="588">IF(_xlfn.ISFORMULA(S294),IFERROR(0/0,""),TRUE)</f>
        <v/>
      </c>
      <c r="Z294" s="147" t="str">
        <f t="shared" si="588"/>
        <v/>
      </c>
    </row>
    <row r="295">
      <c r="A295" s="6" t="str">
        <f>IFERROR(__xludf.DUMMYFUNCTION("""COMPUTED_VALUE"""),"FM4437")</f>
        <v>FM4437</v>
      </c>
      <c r="B295" s="206">
        <f>IFERROR(__xludf.DUMMYFUNCTION("""COMPUTED_VALUE"""),44664.0)</f>
        <v>44664</v>
      </c>
      <c r="C295" s="207">
        <f>IFERROR(__xludf.DUMMYFUNCTION("""COMPUTED_VALUE"""),0.2626041666666667)</f>
        <v>0.2626041667</v>
      </c>
      <c r="D295" s="50"/>
      <c r="E295" s="58"/>
      <c r="F295" s="58"/>
      <c r="G295" s="58" t="str">
        <f>IFERROR(__xludf.DUMMYFUNCTION("""COMPUTED_VALUE"""),"Negative")</f>
        <v>Negative</v>
      </c>
      <c r="H295" s="206" t="str">
        <f>IFERROR(__xludf.DUMMYFUNCTION("""COMPUTED_VALUE"""),"Negative")</f>
        <v>Negative</v>
      </c>
      <c r="I295" s="207">
        <f>IFERROR(__xludf.DUMMYFUNCTION("""COMPUTED_VALUE"""),44665.0)</f>
        <v>44665</v>
      </c>
      <c r="J295" s="208">
        <f>IFERROR(__xludf.DUMMYFUNCTION("""COMPUTED_VALUE"""),0.3501273148148148)</f>
        <v>0.3501273148</v>
      </c>
      <c r="K295" s="50"/>
      <c r="L295" s="6"/>
      <c r="M295" s="55"/>
      <c r="N295" s="55">
        <f>IFERROR(__xludf.DUMMYFUNCTION("""COMPUTED_VALUE"""),1.0)</f>
        <v>1</v>
      </c>
      <c r="O295" s="55" t="b">
        <f t="shared" si="3"/>
        <v>1</v>
      </c>
      <c r="P295" s="209"/>
      <c r="Q295" s="75" t="b">
        <f>VLOOKUP($B295,'Run Reconcile'!B$2:P1679,15,FALSE)</f>
        <v>1</v>
      </c>
      <c r="R295" s="211" t="str">
        <f t="array" ref="R295">IF($Q295, INDEX('Run Reconcile'!A$2:A1679,MATCH(B295,'Run Reconcile'!B$2:B1679,0),1),IFERROR(0/0,""))</f>
        <v>RUN-COMB_2022-04-13_RFR-016</v>
      </c>
      <c r="S295" s="165" t="str">
        <f t="shared" ref="S295:T295" si="589">IF(COUNTIF(W$2:W1679, $A295) &gt; 0,TRUE,IFERROR(0/0,""))</f>
        <v/>
      </c>
      <c r="T295" s="165" t="str">
        <f t="shared" si="589"/>
        <v/>
      </c>
      <c r="U295" s="147" t="str">
        <f t="array" ref="U295">IF(ISBLANK($R295), IF($S295,VLOOKUP($B295+1,'RFR Data - preExcl'!$BF$2:$BG1679,2,FALSE),IF($T295,INDEX('RFR Data - preExcl'!$BF$2:$BG1679,MATCH($B295,'RFR Data - preExcl'!$BF$2:$BF1679,0)+1,2),VLOOKUP($B295,'RFR Data - preExcl'!$BF$2:$BG1679,2,FALSE))),IFERROR(0/0,""))</f>
        <v/>
      </c>
      <c r="V295" s="212" t="str">
        <f t="shared" si="5"/>
        <v>RUN-COMB_2022-04-13_RFR-016</v>
      </c>
      <c r="W295" s="51"/>
      <c r="X295" s="51"/>
      <c r="Y295" s="147" t="str">
        <f t="shared" ref="Y295:Z295" si="590">IF(_xlfn.ISFORMULA(S295),IFERROR(0/0,""),TRUE)</f>
        <v/>
      </c>
      <c r="Z295" s="147" t="str">
        <f t="shared" si="590"/>
        <v/>
      </c>
    </row>
    <row r="296">
      <c r="A296" s="6" t="str">
        <f>IFERROR(__xludf.DUMMYFUNCTION("""COMPUTED_VALUE"""),"FM4433")</f>
        <v>FM4433</v>
      </c>
      <c r="B296" s="206">
        <f>IFERROR(__xludf.DUMMYFUNCTION("""COMPUTED_VALUE"""),44664.0)</f>
        <v>44664</v>
      </c>
      <c r="C296" s="207">
        <f>IFERROR(__xludf.DUMMYFUNCTION("""COMPUTED_VALUE"""),0.26364583333333336)</f>
        <v>0.2636458333</v>
      </c>
      <c r="D296" s="50"/>
      <c r="E296" s="58"/>
      <c r="F296" s="58"/>
      <c r="G296" s="58" t="str">
        <f>IFERROR(__xludf.DUMMYFUNCTION("""COMPUTED_VALUE"""),"Negative")</f>
        <v>Negative</v>
      </c>
      <c r="H296" s="206" t="str">
        <f>IFERROR(__xludf.DUMMYFUNCTION("""COMPUTED_VALUE"""),"Negative")</f>
        <v>Negative</v>
      </c>
      <c r="I296" s="207">
        <f>IFERROR(__xludf.DUMMYFUNCTION("""COMPUTED_VALUE"""),44665.0)</f>
        <v>44665</v>
      </c>
      <c r="J296" s="208">
        <f>IFERROR(__xludf.DUMMYFUNCTION("""COMPUTED_VALUE"""),0.3501273148148148)</f>
        <v>0.3501273148</v>
      </c>
      <c r="K296" s="50"/>
      <c r="L296" s="6"/>
      <c r="M296" s="55"/>
      <c r="N296" s="55">
        <f>IFERROR(__xludf.DUMMYFUNCTION("""COMPUTED_VALUE"""),1.0)</f>
        <v>1</v>
      </c>
      <c r="O296" s="55" t="str">
        <f t="shared" si="3"/>
        <v/>
      </c>
      <c r="P296" s="209"/>
      <c r="Q296" s="75" t="b">
        <f>VLOOKUP($B296,'Run Reconcile'!B$2:P1679,15,FALSE)</f>
        <v>1</v>
      </c>
      <c r="R296" s="211" t="str">
        <f t="array" ref="R296">IF($Q296, INDEX('Run Reconcile'!A$2:A1679,MATCH(B296,'Run Reconcile'!B$2:B1679,0),1),IFERROR(0/0,""))</f>
        <v>RUN-COMB_2022-04-13_RFR-016</v>
      </c>
      <c r="S296" s="165" t="str">
        <f t="shared" ref="S296:T296" si="591">IF(COUNTIF(W$2:W1679, $A296) &gt; 0,TRUE,IFERROR(0/0,""))</f>
        <v/>
      </c>
      <c r="T296" s="165" t="str">
        <f t="shared" si="591"/>
        <v/>
      </c>
      <c r="U296" s="147" t="str">
        <f t="array" ref="U296">IF(ISBLANK($R296), IF($S296,VLOOKUP($B296+1,'RFR Data - preExcl'!$BF$2:$BG1679,2,FALSE),IF($T296,INDEX('RFR Data - preExcl'!$BF$2:$BG1679,MATCH($B296,'RFR Data - preExcl'!$BF$2:$BF1679,0)+1,2),VLOOKUP($B296,'RFR Data - preExcl'!$BF$2:$BG1679,2,FALSE))),IFERROR(0/0,""))</f>
        <v/>
      </c>
      <c r="V296" s="212" t="str">
        <f t="shared" si="5"/>
        <v>RUN-COMB_2022-04-13_RFR-016</v>
      </c>
      <c r="W296" s="51"/>
      <c r="X296" s="51"/>
      <c r="Y296" s="147" t="str">
        <f t="shared" ref="Y296:Z296" si="592">IF(_xlfn.ISFORMULA(S296),IFERROR(0/0,""),TRUE)</f>
        <v/>
      </c>
      <c r="Z296" s="147" t="str">
        <f t="shared" si="592"/>
        <v/>
      </c>
    </row>
    <row r="297">
      <c r="A297" s="6" t="str">
        <f>IFERROR(__xludf.DUMMYFUNCTION("""COMPUTED_VALUE"""),"FM4429")</f>
        <v>FM4429</v>
      </c>
      <c r="B297" s="206">
        <f>IFERROR(__xludf.DUMMYFUNCTION("""COMPUTED_VALUE"""),44664.0)</f>
        <v>44664</v>
      </c>
      <c r="C297" s="207">
        <f>IFERROR(__xludf.DUMMYFUNCTION("""COMPUTED_VALUE"""),0.2642013888888889)</f>
        <v>0.2642013889</v>
      </c>
      <c r="D297" s="50"/>
      <c r="E297" s="58"/>
      <c r="F297" s="58"/>
      <c r="G297" s="58" t="str">
        <f>IFERROR(__xludf.DUMMYFUNCTION("""COMPUTED_VALUE"""),"Negative")</f>
        <v>Negative</v>
      </c>
      <c r="H297" s="206" t="str">
        <f>IFERROR(__xludf.DUMMYFUNCTION("""COMPUTED_VALUE"""),"Negative")</f>
        <v>Negative</v>
      </c>
      <c r="I297" s="207">
        <f>IFERROR(__xludf.DUMMYFUNCTION("""COMPUTED_VALUE"""),44665.0)</f>
        <v>44665</v>
      </c>
      <c r="J297" s="208">
        <f>IFERROR(__xludf.DUMMYFUNCTION("""COMPUTED_VALUE"""),0.3501273148148148)</f>
        <v>0.3501273148</v>
      </c>
      <c r="K297" s="50"/>
      <c r="L297" s="6"/>
      <c r="M297" s="55"/>
      <c r="N297" s="55">
        <f>IFERROR(__xludf.DUMMYFUNCTION("""COMPUTED_VALUE"""),1.0)</f>
        <v>1</v>
      </c>
      <c r="O297" s="55" t="str">
        <f t="shared" si="3"/>
        <v/>
      </c>
      <c r="P297" s="209"/>
      <c r="Q297" s="75" t="b">
        <f>VLOOKUP($B297,'Run Reconcile'!B$2:P1679,15,FALSE)</f>
        <v>1</v>
      </c>
      <c r="R297" s="211" t="str">
        <f t="array" ref="R297">IF($Q297, INDEX('Run Reconcile'!A$2:A1679,MATCH(B297,'Run Reconcile'!B$2:B1679,0),1),IFERROR(0/0,""))</f>
        <v>RUN-COMB_2022-04-13_RFR-016</v>
      </c>
      <c r="S297" s="165" t="str">
        <f t="shared" ref="S297:T297" si="593">IF(COUNTIF(W$2:W1679, $A297) &gt; 0,TRUE,IFERROR(0/0,""))</f>
        <v/>
      </c>
      <c r="T297" s="165" t="str">
        <f t="shared" si="593"/>
        <v/>
      </c>
      <c r="U297" s="147" t="str">
        <f t="array" ref="U297">IF(ISBLANK($R297), IF($S297,VLOOKUP($B297+1,'RFR Data - preExcl'!$BF$2:$BG1679,2,FALSE),IF($T297,INDEX('RFR Data - preExcl'!$BF$2:$BG1679,MATCH($B297,'RFR Data - preExcl'!$BF$2:$BF1679,0)+1,2),VLOOKUP($B297,'RFR Data - preExcl'!$BF$2:$BG1679,2,FALSE))),IFERROR(0/0,""))</f>
        <v/>
      </c>
      <c r="V297" s="212" t="str">
        <f t="shared" si="5"/>
        <v>RUN-COMB_2022-04-13_RFR-016</v>
      </c>
      <c r="W297" s="51"/>
      <c r="X297" s="51"/>
      <c r="Y297" s="147" t="str">
        <f t="shared" ref="Y297:Z297" si="594">IF(_xlfn.ISFORMULA(S297),IFERROR(0/0,""),TRUE)</f>
        <v/>
      </c>
      <c r="Z297" s="147" t="str">
        <f t="shared" si="594"/>
        <v/>
      </c>
    </row>
    <row r="298">
      <c r="A298" s="6" t="str">
        <f>IFERROR(__xludf.DUMMYFUNCTION("""COMPUTED_VALUE"""),"FM4251")</f>
        <v>FM4251</v>
      </c>
      <c r="B298" s="206">
        <f>IFERROR(__xludf.DUMMYFUNCTION("""COMPUTED_VALUE"""),44664.0)</f>
        <v>44664</v>
      </c>
      <c r="C298" s="207">
        <f>IFERROR(__xludf.DUMMYFUNCTION("""COMPUTED_VALUE"""),0.26502314814814815)</f>
        <v>0.2650231481</v>
      </c>
      <c r="D298" s="50"/>
      <c r="E298" s="58"/>
      <c r="F298" s="58"/>
      <c r="G298" s="58" t="str">
        <f>IFERROR(__xludf.DUMMYFUNCTION("""COMPUTED_VALUE"""),"Negative")</f>
        <v>Negative</v>
      </c>
      <c r="H298" s="206" t="str">
        <f>IFERROR(__xludf.DUMMYFUNCTION("""COMPUTED_VALUE"""),"Negative")</f>
        <v>Negative</v>
      </c>
      <c r="I298" s="207">
        <f>IFERROR(__xludf.DUMMYFUNCTION("""COMPUTED_VALUE"""),44665.0)</f>
        <v>44665</v>
      </c>
      <c r="J298" s="208">
        <f>IFERROR(__xludf.DUMMYFUNCTION("""COMPUTED_VALUE"""),0.3501388888888889)</f>
        <v>0.3501388889</v>
      </c>
      <c r="K298" s="50"/>
      <c r="L298" s="6"/>
      <c r="M298" s="55"/>
      <c r="N298" s="55">
        <f>IFERROR(__xludf.DUMMYFUNCTION("""COMPUTED_VALUE"""),1.0)</f>
        <v>1</v>
      </c>
      <c r="O298" s="55" t="str">
        <f t="shared" si="3"/>
        <v/>
      </c>
      <c r="P298" s="209"/>
      <c r="Q298" s="75" t="b">
        <f>VLOOKUP($B298,'Run Reconcile'!B$2:P1679,15,FALSE)</f>
        <v>1</v>
      </c>
      <c r="R298" s="211" t="str">
        <f t="array" ref="R298">IF($Q298, INDEX('Run Reconcile'!A$2:A1679,MATCH(B298,'Run Reconcile'!B$2:B1679,0),1),IFERROR(0/0,""))</f>
        <v>RUN-COMB_2022-04-13_RFR-016</v>
      </c>
      <c r="S298" s="165" t="str">
        <f t="shared" ref="S298:T298" si="595">IF(COUNTIF(W$2:W1679, $A298) &gt; 0,TRUE,IFERROR(0/0,""))</f>
        <v/>
      </c>
      <c r="T298" s="165" t="str">
        <f t="shared" si="595"/>
        <v/>
      </c>
      <c r="U298" s="147" t="str">
        <f t="array" ref="U298">IF(ISBLANK($R298), IF($S298,VLOOKUP($B298+1,'RFR Data - preExcl'!$BF$2:$BG1679,2,FALSE),IF($T298,INDEX('RFR Data - preExcl'!$BF$2:$BG1679,MATCH($B298,'RFR Data - preExcl'!$BF$2:$BF1679,0)+1,2),VLOOKUP($B298,'RFR Data - preExcl'!$BF$2:$BG1679,2,FALSE))),IFERROR(0/0,""))</f>
        <v/>
      </c>
      <c r="V298" s="212" t="str">
        <f t="shared" si="5"/>
        <v>RUN-COMB_2022-04-13_RFR-016</v>
      </c>
      <c r="W298" s="51"/>
      <c r="X298" s="51"/>
      <c r="Y298" s="147" t="str">
        <f t="shared" ref="Y298:Z298" si="596">IF(_xlfn.ISFORMULA(S298),IFERROR(0/0,""),TRUE)</f>
        <v/>
      </c>
      <c r="Z298" s="147" t="str">
        <f t="shared" si="596"/>
        <v/>
      </c>
    </row>
    <row r="299">
      <c r="A299" s="6" t="str">
        <f>IFERROR(__xludf.DUMMYFUNCTION("""COMPUTED_VALUE"""),"FM4247")</f>
        <v>FM4247</v>
      </c>
      <c r="B299" s="206">
        <f>IFERROR(__xludf.DUMMYFUNCTION("""COMPUTED_VALUE"""),44664.0)</f>
        <v>44664</v>
      </c>
      <c r="C299" s="207">
        <f>IFERROR(__xludf.DUMMYFUNCTION("""COMPUTED_VALUE"""),0.26590277777777777)</f>
        <v>0.2659027778</v>
      </c>
      <c r="D299" s="50"/>
      <c r="E299" s="58"/>
      <c r="F299" s="58"/>
      <c r="G299" s="58" t="str">
        <f>IFERROR(__xludf.DUMMYFUNCTION("""COMPUTED_VALUE"""),"Negative")</f>
        <v>Negative</v>
      </c>
      <c r="H299" s="206" t="str">
        <f>IFERROR(__xludf.DUMMYFUNCTION("""COMPUTED_VALUE"""),"Negative")</f>
        <v>Negative</v>
      </c>
      <c r="I299" s="207">
        <f>IFERROR(__xludf.DUMMYFUNCTION("""COMPUTED_VALUE"""),44665.0)</f>
        <v>44665</v>
      </c>
      <c r="J299" s="208">
        <f>IFERROR(__xludf.DUMMYFUNCTION("""COMPUTED_VALUE"""),0.3501388888888889)</f>
        <v>0.3501388889</v>
      </c>
      <c r="K299" s="50"/>
      <c r="L299" s="6"/>
      <c r="M299" s="55"/>
      <c r="N299" s="55">
        <f>IFERROR(__xludf.DUMMYFUNCTION("""COMPUTED_VALUE"""),1.0)</f>
        <v>1</v>
      </c>
      <c r="O299" s="55" t="str">
        <f t="shared" si="3"/>
        <v/>
      </c>
      <c r="P299" s="209"/>
      <c r="Q299" s="75" t="b">
        <f>VLOOKUP($B299,'Run Reconcile'!B$2:P1679,15,FALSE)</f>
        <v>1</v>
      </c>
      <c r="R299" s="211" t="str">
        <f t="array" ref="R299">IF($Q299, INDEX('Run Reconcile'!A$2:A1679,MATCH(B299,'Run Reconcile'!B$2:B1679,0),1),IFERROR(0/0,""))</f>
        <v>RUN-COMB_2022-04-13_RFR-016</v>
      </c>
      <c r="S299" s="165" t="str">
        <f t="shared" ref="S299:T299" si="597">IF(COUNTIF(W$2:W1679, $A299) &gt; 0,TRUE,IFERROR(0/0,""))</f>
        <v/>
      </c>
      <c r="T299" s="165" t="str">
        <f t="shared" si="597"/>
        <v/>
      </c>
      <c r="U299" s="147" t="str">
        <f t="array" ref="U299">IF(ISBLANK($R299), IF($S299,VLOOKUP($B299+1,'RFR Data - preExcl'!$BF$2:$BG1679,2,FALSE),IF($T299,INDEX('RFR Data - preExcl'!$BF$2:$BG1679,MATCH($B299,'RFR Data - preExcl'!$BF$2:$BF1679,0)+1,2),VLOOKUP($B299,'RFR Data - preExcl'!$BF$2:$BG1679,2,FALSE))),IFERROR(0/0,""))</f>
        <v/>
      </c>
      <c r="V299" s="212" t="str">
        <f t="shared" si="5"/>
        <v>RUN-COMB_2022-04-13_RFR-016</v>
      </c>
      <c r="W299" s="51"/>
      <c r="X299" s="51"/>
      <c r="Y299" s="147" t="str">
        <f t="shared" ref="Y299:Z299" si="598">IF(_xlfn.ISFORMULA(S299),IFERROR(0/0,""),TRUE)</f>
        <v/>
      </c>
      <c r="Z299" s="147" t="str">
        <f t="shared" si="598"/>
        <v/>
      </c>
    </row>
    <row r="300">
      <c r="A300" s="6" t="str">
        <f>IFERROR(__xludf.DUMMYFUNCTION("""COMPUTED_VALUE"""),"FM4387")</f>
        <v>FM4387</v>
      </c>
      <c r="B300" s="206">
        <f>IFERROR(__xludf.DUMMYFUNCTION("""COMPUTED_VALUE"""),44664.0)</f>
        <v>44664</v>
      </c>
      <c r="C300" s="207">
        <f>IFERROR(__xludf.DUMMYFUNCTION("""COMPUTED_VALUE"""),0.26641203703703703)</f>
        <v>0.266412037</v>
      </c>
      <c r="D300" s="50"/>
      <c r="E300" s="58"/>
      <c r="F300" s="58"/>
      <c r="G300" s="58" t="str">
        <f>IFERROR(__xludf.DUMMYFUNCTION("""COMPUTED_VALUE"""),"Negative")</f>
        <v>Negative</v>
      </c>
      <c r="H300" s="206" t="str">
        <f>IFERROR(__xludf.DUMMYFUNCTION("""COMPUTED_VALUE"""),"Negative")</f>
        <v>Negative</v>
      </c>
      <c r="I300" s="207">
        <f>IFERROR(__xludf.DUMMYFUNCTION("""COMPUTED_VALUE"""),44665.0)</f>
        <v>44665</v>
      </c>
      <c r="J300" s="208">
        <f>IFERROR(__xludf.DUMMYFUNCTION("""COMPUTED_VALUE"""),0.3501388888888889)</f>
        <v>0.3501388889</v>
      </c>
      <c r="K300" s="50"/>
      <c r="L300" s="6"/>
      <c r="M300" s="55"/>
      <c r="N300" s="55">
        <f>IFERROR(__xludf.DUMMYFUNCTION("""COMPUTED_VALUE"""),1.0)</f>
        <v>1</v>
      </c>
      <c r="O300" s="55" t="str">
        <f t="shared" si="3"/>
        <v/>
      </c>
      <c r="P300" s="209"/>
      <c r="Q300" s="75" t="b">
        <f>VLOOKUP($B300,'Run Reconcile'!B$2:P1679,15,FALSE)</f>
        <v>1</v>
      </c>
      <c r="R300" s="211" t="str">
        <f t="array" ref="R300">IF($Q300, INDEX('Run Reconcile'!A$2:A1679,MATCH(B300,'Run Reconcile'!B$2:B1679,0),1),IFERROR(0/0,""))</f>
        <v>RUN-COMB_2022-04-13_RFR-016</v>
      </c>
      <c r="S300" s="165" t="str">
        <f t="shared" ref="S300:T300" si="599">IF(COUNTIF(W$2:W1679, $A300) &gt; 0,TRUE,IFERROR(0/0,""))</f>
        <v/>
      </c>
      <c r="T300" s="165" t="str">
        <f t="shared" si="599"/>
        <v/>
      </c>
      <c r="U300" s="147" t="str">
        <f t="array" ref="U300">IF(ISBLANK($R300), IF($S300,VLOOKUP($B300+1,'RFR Data - preExcl'!$BF$2:$BG1679,2,FALSE),IF($T300,INDEX('RFR Data - preExcl'!$BF$2:$BG1679,MATCH($B300,'RFR Data - preExcl'!$BF$2:$BF1679,0)+1,2),VLOOKUP($B300,'RFR Data - preExcl'!$BF$2:$BG1679,2,FALSE))),IFERROR(0/0,""))</f>
        <v/>
      </c>
      <c r="V300" s="212" t="str">
        <f t="shared" si="5"/>
        <v>RUN-COMB_2022-04-13_RFR-016</v>
      </c>
      <c r="W300" s="51"/>
      <c r="X300" s="51"/>
      <c r="Y300" s="147" t="str">
        <f t="shared" ref="Y300:Z300" si="600">IF(_xlfn.ISFORMULA(S300),IFERROR(0/0,""),TRUE)</f>
        <v/>
      </c>
      <c r="Z300" s="147" t="str">
        <f t="shared" si="600"/>
        <v/>
      </c>
    </row>
    <row r="301">
      <c r="A301" s="6" t="str">
        <f>IFERROR(__xludf.DUMMYFUNCTION("""COMPUTED_VALUE"""),"FM4394")</f>
        <v>FM4394</v>
      </c>
      <c r="B301" s="206">
        <f>IFERROR(__xludf.DUMMYFUNCTION("""COMPUTED_VALUE"""),44664.0)</f>
        <v>44664</v>
      </c>
      <c r="C301" s="207">
        <f>IFERROR(__xludf.DUMMYFUNCTION("""COMPUTED_VALUE"""),0.2672453703703704)</f>
        <v>0.2672453704</v>
      </c>
      <c r="D301" s="50"/>
      <c r="E301" s="58"/>
      <c r="F301" s="58"/>
      <c r="G301" s="58" t="str">
        <f>IFERROR(__xludf.DUMMYFUNCTION("""COMPUTED_VALUE"""),"Negative")</f>
        <v>Negative</v>
      </c>
      <c r="H301" s="206" t="str">
        <f>IFERROR(__xludf.DUMMYFUNCTION("""COMPUTED_VALUE"""),"Negative")</f>
        <v>Negative</v>
      </c>
      <c r="I301" s="207">
        <f>IFERROR(__xludf.DUMMYFUNCTION("""COMPUTED_VALUE"""),44665.0)</f>
        <v>44665</v>
      </c>
      <c r="J301" s="208">
        <f>IFERROR(__xludf.DUMMYFUNCTION("""COMPUTED_VALUE"""),0.3501388888888889)</f>
        <v>0.3501388889</v>
      </c>
      <c r="K301" s="50"/>
      <c r="L301" s="6"/>
      <c r="M301" s="55"/>
      <c r="N301" s="55">
        <f>IFERROR(__xludf.DUMMYFUNCTION("""COMPUTED_VALUE"""),1.0)</f>
        <v>1</v>
      </c>
      <c r="O301" s="55" t="str">
        <f t="shared" si="3"/>
        <v/>
      </c>
      <c r="P301" s="209"/>
      <c r="Q301" s="75" t="b">
        <f>VLOOKUP($B301,'Run Reconcile'!B$2:P1679,15,FALSE)</f>
        <v>1</v>
      </c>
      <c r="R301" s="211" t="str">
        <f t="array" ref="R301">IF($Q301, INDEX('Run Reconcile'!A$2:A1679,MATCH(B301,'Run Reconcile'!B$2:B1679,0),1),IFERROR(0/0,""))</f>
        <v>RUN-COMB_2022-04-13_RFR-016</v>
      </c>
      <c r="S301" s="165" t="str">
        <f t="shared" ref="S301:T301" si="601">IF(COUNTIF(W$2:W1679, $A301) &gt; 0,TRUE,IFERROR(0/0,""))</f>
        <v/>
      </c>
      <c r="T301" s="165" t="str">
        <f t="shared" si="601"/>
        <v/>
      </c>
      <c r="U301" s="147" t="str">
        <f t="array" ref="U301">IF(ISBLANK($R301), IF($S301,VLOOKUP($B301+1,'RFR Data - preExcl'!$BF$2:$BG1679,2,FALSE),IF($T301,INDEX('RFR Data - preExcl'!$BF$2:$BG1679,MATCH($B301,'RFR Data - preExcl'!$BF$2:$BF1679,0)+1,2),VLOOKUP($B301,'RFR Data - preExcl'!$BF$2:$BG1679,2,FALSE))),IFERROR(0/0,""))</f>
        <v/>
      </c>
      <c r="V301" s="212" t="str">
        <f t="shared" si="5"/>
        <v>RUN-COMB_2022-04-13_RFR-016</v>
      </c>
      <c r="W301" s="51"/>
      <c r="X301" s="51"/>
      <c r="Y301" s="147" t="str">
        <f t="shared" ref="Y301:Z301" si="602">IF(_xlfn.ISFORMULA(S301),IFERROR(0/0,""),TRUE)</f>
        <v/>
      </c>
      <c r="Z301" s="147" t="str">
        <f t="shared" si="602"/>
        <v/>
      </c>
    </row>
    <row r="302">
      <c r="A302" s="6" t="str">
        <f>IFERROR(__xludf.DUMMYFUNCTION("""COMPUTED_VALUE"""),"FM3993")</f>
        <v>FM3993</v>
      </c>
      <c r="B302" s="206">
        <f>IFERROR(__xludf.DUMMYFUNCTION("""COMPUTED_VALUE"""),44664.0)</f>
        <v>44664</v>
      </c>
      <c r="C302" s="207">
        <f>IFERROR(__xludf.DUMMYFUNCTION("""COMPUTED_VALUE"""),0.26917824074074076)</f>
        <v>0.2691782407</v>
      </c>
      <c r="D302" s="50"/>
      <c r="E302" s="58"/>
      <c r="F302" s="58"/>
      <c r="G302" s="58" t="str">
        <f>IFERROR(__xludf.DUMMYFUNCTION("""COMPUTED_VALUE"""),"Negative")</f>
        <v>Negative</v>
      </c>
      <c r="H302" s="206" t="str">
        <f>IFERROR(__xludf.DUMMYFUNCTION("""COMPUTED_VALUE"""),"Negative")</f>
        <v>Negative</v>
      </c>
      <c r="I302" s="207">
        <f>IFERROR(__xludf.DUMMYFUNCTION("""COMPUTED_VALUE"""),44665.0)</f>
        <v>44665</v>
      </c>
      <c r="J302" s="208">
        <f>IFERROR(__xludf.DUMMYFUNCTION("""COMPUTED_VALUE"""),0.350150462962963)</f>
        <v>0.350150463</v>
      </c>
      <c r="K302" s="50"/>
      <c r="L302" s="6"/>
      <c r="M302" s="55"/>
      <c r="N302" s="55">
        <f>IFERROR(__xludf.DUMMYFUNCTION("""COMPUTED_VALUE"""),1.0)</f>
        <v>1</v>
      </c>
      <c r="O302" s="55" t="str">
        <f t="shared" si="3"/>
        <v/>
      </c>
      <c r="P302" s="209"/>
      <c r="Q302" s="75" t="b">
        <f>VLOOKUP($B302,'Run Reconcile'!B$2:P1679,15,FALSE)</f>
        <v>1</v>
      </c>
      <c r="R302" s="211" t="str">
        <f t="array" ref="R302">IF($Q302, INDEX('Run Reconcile'!A$2:A1679,MATCH(B302,'Run Reconcile'!B$2:B1679,0),1),IFERROR(0/0,""))</f>
        <v>RUN-COMB_2022-04-13_RFR-016</v>
      </c>
      <c r="S302" s="165" t="str">
        <f t="shared" ref="S302:T302" si="603">IF(COUNTIF(W$2:W1679, $A302) &gt; 0,TRUE,IFERROR(0/0,""))</f>
        <v/>
      </c>
      <c r="T302" s="165" t="str">
        <f t="shared" si="603"/>
        <v/>
      </c>
      <c r="U302" s="147" t="str">
        <f t="array" ref="U302">IF(ISBLANK($R302), IF($S302,VLOOKUP($B302+1,'RFR Data - preExcl'!$BF$2:$BG1679,2,FALSE),IF($T302,INDEX('RFR Data - preExcl'!$BF$2:$BG1679,MATCH($B302,'RFR Data - preExcl'!$BF$2:$BF1679,0)+1,2),VLOOKUP($B302,'RFR Data - preExcl'!$BF$2:$BG1679,2,FALSE))),IFERROR(0/0,""))</f>
        <v/>
      </c>
      <c r="V302" s="212" t="str">
        <f t="shared" si="5"/>
        <v>RUN-COMB_2022-04-13_RFR-016</v>
      </c>
      <c r="W302" s="51"/>
      <c r="X302" s="51"/>
      <c r="Y302" s="147" t="str">
        <f t="shared" ref="Y302:Z302" si="604">IF(_xlfn.ISFORMULA(S302),IFERROR(0/0,""),TRUE)</f>
        <v/>
      </c>
      <c r="Z302" s="147" t="str">
        <f t="shared" si="604"/>
        <v/>
      </c>
    </row>
    <row r="303">
      <c r="A303" s="6" t="str">
        <f>IFERROR(__xludf.DUMMYFUNCTION("""COMPUTED_VALUE"""),"FM4434")</f>
        <v>FM4434</v>
      </c>
      <c r="B303" s="206">
        <f>IFERROR(__xludf.DUMMYFUNCTION("""COMPUTED_VALUE"""),44664.0)</f>
        <v>44664</v>
      </c>
      <c r="C303" s="207">
        <f>IFERROR(__xludf.DUMMYFUNCTION("""COMPUTED_VALUE"""),0.2697685185185185)</f>
        <v>0.2697685185</v>
      </c>
      <c r="D303" s="50"/>
      <c r="E303" s="58"/>
      <c r="F303" s="58"/>
      <c r="G303" s="58" t="str">
        <f>IFERROR(__xludf.DUMMYFUNCTION("""COMPUTED_VALUE"""),"Negative")</f>
        <v>Negative</v>
      </c>
      <c r="H303" s="206" t="str">
        <f>IFERROR(__xludf.DUMMYFUNCTION("""COMPUTED_VALUE"""),"Negative")</f>
        <v>Negative</v>
      </c>
      <c r="I303" s="207">
        <f>IFERROR(__xludf.DUMMYFUNCTION("""COMPUTED_VALUE"""),44665.0)</f>
        <v>44665</v>
      </c>
      <c r="J303" s="208">
        <f>IFERROR(__xludf.DUMMYFUNCTION("""COMPUTED_VALUE"""),0.350150462962963)</f>
        <v>0.350150463</v>
      </c>
      <c r="K303" s="50"/>
      <c r="L303" s="6"/>
      <c r="M303" s="55"/>
      <c r="N303" s="55">
        <f>IFERROR(__xludf.DUMMYFUNCTION("""COMPUTED_VALUE"""),1.0)</f>
        <v>1</v>
      </c>
      <c r="O303" s="55" t="str">
        <f t="shared" si="3"/>
        <v/>
      </c>
      <c r="P303" s="209"/>
      <c r="Q303" s="75" t="b">
        <f>VLOOKUP($B303,'Run Reconcile'!B$2:P1679,15,FALSE)</f>
        <v>1</v>
      </c>
      <c r="R303" s="211" t="str">
        <f t="array" ref="R303">IF($Q303, INDEX('Run Reconcile'!A$2:A1679,MATCH(B303,'Run Reconcile'!B$2:B1679,0),1),IFERROR(0/0,""))</f>
        <v>RUN-COMB_2022-04-13_RFR-016</v>
      </c>
      <c r="S303" s="165" t="str">
        <f t="shared" ref="S303:T303" si="605">IF(COUNTIF(W$2:W1679, $A303) &gt; 0,TRUE,IFERROR(0/0,""))</f>
        <v/>
      </c>
      <c r="T303" s="165" t="str">
        <f t="shared" si="605"/>
        <v/>
      </c>
      <c r="U303" s="147" t="str">
        <f t="array" ref="U303">IF(ISBLANK($R303), IF($S303,VLOOKUP($B303+1,'RFR Data - preExcl'!$BF$2:$BG1679,2,FALSE),IF($T303,INDEX('RFR Data - preExcl'!$BF$2:$BG1679,MATCH($B303,'RFR Data - preExcl'!$BF$2:$BF1679,0)+1,2),VLOOKUP($B303,'RFR Data - preExcl'!$BF$2:$BG1679,2,FALSE))),IFERROR(0/0,""))</f>
        <v/>
      </c>
      <c r="V303" s="212" t="str">
        <f t="shared" si="5"/>
        <v>RUN-COMB_2022-04-13_RFR-016</v>
      </c>
      <c r="W303" s="51"/>
      <c r="X303" s="51"/>
      <c r="Y303" s="147" t="str">
        <f t="shared" ref="Y303:Z303" si="606">IF(_xlfn.ISFORMULA(S303),IFERROR(0/0,""),TRUE)</f>
        <v/>
      </c>
      <c r="Z303" s="147" t="str">
        <f t="shared" si="606"/>
        <v/>
      </c>
    </row>
    <row r="304">
      <c r="A304" s="6" t="str">
        <f>IFERROR(__xludf.DUMMYFUNCTION("""COMPUTED_VALUE"""),"FM4396")</f>
        <v>FM4396</v>
      </c>
      <c r="B304" s="206">
        <f>IFERROR(__xludf.DUMMYFUNCTION("""COMPUTED_VALUE"""),44664.0)</f>
        <v>44664</v>
      </c>
      <c r="C304" s="207">
        <f>IFERROR(__xludf.DUMMYFUNCTION("""COMPUTED_VALUE"""),0.27077546296296295)</f>
        <v>0.270775463</v>
      </c>
      <c r="D304" s="50"/>
      <c r="E304" s="58"/>
      <c r="F304" s="58"/>
      <c r="G304" s="58" t="str">
        <f>IFERROR(__xludf.DUMMYFUNCTION("""COMPUTED_VALUE"""),"Negative")</f>
        <v>Negative</v>
      </c>
      <c r="H304" s="206" t="str">
        <f>IFERROR(__xludf.DUMMYFUNCTION("""COMPUTED_VALUE"""),"Negative")</f>
        <v>Negative</v>
      </c>
      <c r="I304" s="207">
        <f>IFERROR(__xludf.DUMMYFUNCTION("""COMPUTED_VALUE"""),44665.0)</f>
        <v>44665</v>
      </c>
      <c r="J304" s="208">
        <f>IFERROR(__xludf.DUMMYFUNCTION("""COMPUTED_VALUE"""),0.350150462962963)</f>
        <v>0.350150463</v>
      </c>
      <c r="K304" s="50"/>
      <c r="L304" s="6"/>
      <c r="M304" s="55"/>
      <c r="N304" s="55">
        <f>IFERROR(__xludf.DUMMYFUNCTION("""COMPUTED_VALUE"""),1.0)</f>
        <v>1</v>
      </c>
      <c r="O304" s="55" t="str">
        <f t="shared" si="3"/>
        <v/>
      </c>
      <c r="P304" s="209"/>
      <c r="Q304" s="75" t="b">
        <f>VLOOKUP($B304,'Run Reconcile'!B$2:P1679,15,FALSE)</f>
        <v>1</v>
      </c>
      <c r="R304" s="211" t="str">
        <f t="array" ref="R304">IF($Q304, INDEX('Run Reconcile'!A$2:A1679,MATCH(B304,'Run Reconcile'!B$2:B1679,0),1),IFERROR(0/0,""))</f>
        <v>RUN-COMB_2022-04-13_RFR-016</v>
      </c>
      <c r="S304" s="165" t="str">
        <f t="shared" ref="S304:T304" si="607">IF(COUNTIF(W$2:W1679, $A304) &gt; 0,TRUE,IFERROR(0/0,""))</f>
        <v/>
      </c>
      <c r="T304" s="165" t="str">
        <f t="shared" si="607"/>
        <v/>
      </c>
      <c r="U304" s="147" t="str">
        <f t="array" ref="U304">IF(ISBLANK($R304), IF($S304,VLOOKUP($B304+1,'RFR Data - preExcl'!$BF$2:$BG1679,2,FALSE),IF($T304,INDEX('RFR Data - preExcl'!$BF$2:$BG1679,MATCH($B304,'RFR Data - preExcl'!$BF$2:$BF1679,0)+1,2),VLOOKUP($B304,'RFR Data - preExcl'!$BF$2:$BG1679,2,FALSE))),IFERROR(0/0,""))</f>
        <v/>
      </c>
      <c r="V304" s="212" t="str">
        <f t="shared" si="5"/>
        <v>RUN-COMB_2022-04-13_RFR-016</v>
      </c>
      <c r="W304" s="51"/>
      <c r="X304" s="51"/>
      <c r="Y304" s="147" t="str">
        <f t="shared" ref="Y304:Z304" si="608">IF(_xlfn.ISFORMULA(S304),IFERROR(0/0,""),TRUE)</f>
        <v/>
      </c>
      <c r="Z304" s="147" t="str">
        <f t="shared" si="608"/>
        <v/>
      </c>
    </row>
    <row r="305">
      <c r="A305" s="6" t="str">
        <f>IFERROR(__xludf.DUMMYFUNCTION("""COMPUTED_VALUE"""),"FM4254")</f>
        <v>FM4254</v>
      </c>
      <c r="B305" s="206">
        <f>IFERROR(__xludf.DUMMYFUNCTION("""COMPUTED_VALUE"""),44664.0)</f>
        <v>44664</v>
      </c>
      <c r="C305" s="207">
        <f>IFERROR(__xludf.DUMMYFUNCTION("""COMPUTED_VALUE"""),0.2713541666666667)</f>
        <v>0.2713541667</v>
      </c>
      <c r="D305" s="50"/>
      <c r="E305" s="58"/>
      <c r="F305" s="58"/>
      <c r="G305" s="58" t="str">
        <f>IFERROR(__xludf.DUMMYFUNCTION("""COMPUTED_VALUE"""),"Negative")</f>
        <v>Negative</v>
      </c>
      <c r="H305" s="206" t="str">
        <f>IFERROR(__xludf.DUMMYFUNCTION("""COMPUTED_VALUE"""),"Negative")</f>
        <v>Negative</v>
      </c>
      <c r="I305" s="207">
        <f>IFERROR(__xludf.DUMMYFUNCTION("""COMPUTED_VALUE"""),44665.0)</f>
        <v>44665</v>
      </c>
      <c r="J305" s="208">
        <f>IFERROR(__xludf.DUMMYFUNCTION("""COMPUTED_VALUE"""),0.350162037037037)</f>
        <v>0.350162037</v>
      </c>
      <c r="K305" s="50"/>
      <c r="L305" s="6"/>
      <c r="M305" s="55"/>
      <c r="N305" s="55">
        <f>IFERROR(__xludf.DUMMYFUNCTION("""COMPUTED_VALUE"""),1.0)</f>
        <v>1</v>
      </c>
      <c r="O305" s="55" t="str">
        <f t="shared" si="3"/>
        <v/>
      </c>
      <c r="P305" s="209"/>
      <c r="Q305" s="75" t="b">
        <f>VLOOKUP($B305,'Run Reconcile'!B$2:P1679,15,FALSE)</f>
        <v>1</v>
      </c>
      <c r="R305" s="211" t="str">
        <f t="array" ref="R305">IF($Q305, INDEX('Run Reconcile'!A$2:A1679,MATCH(B305,'Run Reconcile'!B$2:B1679,0),1),IFERROR(0/0,""))</f>
        <v>RUN-COMB_2022-04-13_RFR-016</v>
      </c>
      <c r="S305" s="165" t="str">
        <f t="shared" ref="S305:T305" si="609">IF(COUNTIF(W$2:W1679, $A305) &gt; 0,TRUE,IFERROR(0/0,""))</f>
        <v/>
      </c>
      <c r="T305" s="165" t="str">
        <f t="shared" si="609"/>
        <v/>
      </c>
      <c r="U305" s="147" t="str">
        <f t="array" ref="U305">IF(ISBLANK($R305), IF($S305,VLOOKUP($B305+1,'RFR Data - preExcl'!$BF$2:$BG1679,2,FALSE),IF($T305,INDEX('RFR Data - preExcl'!$BF$2:$BG1679,MATCH($B305,'RFR Data - preExcl'!$BF$2:$BF1679,0)+1,2),VLOOKUP($B305,'RFR Data - preExcl'!$BF$2:$BG1679,2,FALSE))),IFERROR(0/0,""))</f>
        <v/>
      </c>
      <c r="V305" s="212" t="str">
        <f t="shared" si="5"/>
        <v>RUN-COMB_2022-04-13_RFR-016</v>
      </c>
      <c r="W305" s="51"/>
      <c r="X305" s="51"/>
      <c r="Y305" s="147" t="str">
        <f t="shared" ref="Y305:Z305" si="610">IF(_xlfn.ISFORMULA(S305),IFERROR(0/0,""),TRUE)</f>
        <v/>
      </c>
      <c r="Z305" s="147" t="str">
        <f t="shared" si="610"/>
        <v/>
      </c>
    </row>
    <row r="306">
      <c r="A306" s="6" t="str">
        <f>IFERROR(__xludf.DUMMYFUNCTION("""COMPUTED_VALUE"""),"FM4245")</f>
        <v>FM4245</v>
      </c>
      <c r="B306" s="206">
        <f>IFERROR(__xludf.DUMMYFUNCTION("""COMPUTED_VALUE"""),44664.0)</f>
        <v>44664</v>
      </c>
      <c r="C306" s="207">
        <f>IFERROR(__xludf.DUMMYFUNCTION("""COMPUTED_VALUE"""),0.27189814814814817)</f>
        <v>0.2718981481</v>
      </c>
      <c r="D306" s="50"/>
      <c r="E306" s="58"/>
      <c r="F306" s="58"/>
      <c r="G306" s="58" t="str">
        <f>IFERROR(__xludf.DUMMYFUNCTION("""COMPUTED_VALUE"""),"Negative")</f>
        <v>Negative</v>
      </c>
      <c r="H306" s="206" t="str">
        <f>IFERROR(__xludf.DUMMYFUNCTION("""COMPUTED_VALUE"""),"Negative")</f>
        <v>Negative</v>
      </c>
      <c r="I306" s="207">
        <f>IFERROR(__xludf.DUMMYFUNCTION("""COMPUTED_VALUE"""),44665.0)</f>
        <v>44665</v>
      </c>
      <c r="J306" s="208">
        <f>IFERROR(__xludf.DUMMYFUNCTION("""COMPUTED_VALUE"""),0.350162037037037)</f>
        <v>0.350162037</v>
      </c>
      <c r="K306" s="50"/>
      <c r="L306" s="6"/>
      <c r="M306" s="55"/>
      <c r="N306" s="55">
        <f>IFERROR(__xludf.DUMMYFUNCTION("""COMPUTED_VALUE"""),1.0)</f>
        <v>1</v>
      </c>
      <c r="O306" s="55" t="str">
        <f t="shared" si="3"/>
        <v/>
      </c>
      <c r="P306" s="209"/>
      <c r="Q306" s="75" t="b">
        <f>VLOOKUP($B306,'Run Reconcile'!B$2:P1679,15,FALSE)</f>
        <v>1</v>
      </c>
      <c r="R306" s="211" t="str">
        <f t="array" ref="R306">IF($Q306, INDEX('Run Reconcile'!A$2:A1679,MATCH(B306,'Run Reconcile'!B$2:B1679,0),1),IFERROR(0/0,""))</f>
        <v>RUN-COMB_2022-04-13_RFR-016</v>
      </c>
      <c r="S306" s="165" t="str">
        <f t="shared" ref="S306:T306" si="611">IF(COUNTIF(W$2:W1679, $A306) &gt; 0,TRUE,IFERROR(0/0,""))</f>
        <v/>
      </c>
      <c r="T306" s="165" t="str">
        <f t="shared" si="611"/>
        <v/>
      </c>
      <c r="U306" s="147" t="str">
        <f t="array" ref="U306">IF(ISBLANK($R306), IF($S306,VLOOKUP($B306+1,'RFR Data - preExcl'!$BF$2:$BG1679,2,FALSE),IF($T306,INDEX('RFR Data - preExcl'!$BF$2:$BG1679,MATCH($B306,'RFR Data - preExcl'!$BF$2:$BF1679,0)+1,2),VLOOKUP($B306,'RFR Data - preExcl'!$BF$2:$BG1679,2,FALSE))),IFERROR(0/0,""))</f>
        <v/>
      </c>
      <c r="V306" s="212" t="str">
        <f t="shared" si="5"/>
        <v>RUN-COMB_2022-04-13_RFR-016</v>
      </c>
      <c r="W306" s="51"/>
      <c r="X306" s="51"/>
      <c r="Y306" s="147" t="str">
        <f t="shared" ref="Y306:Z306" si="612">IF(_xlfn.ISFORMULA(S306),IFERROR(0/0,""),TRUE)</f>
        <v/>
      </c>
      <c r="Z306" s="147" t="str">
        <f t="shared" si="612"/>
        <v/>
      </c>
    </row>
    <row r="307">
      <c r="A307" s="6" t="str">
        <f>IFERROR(__xludf.DUMMYFUNCTION("""COMPUTED_VALUE"""),"FM3905")</f>
        <v>FM3905</v>
      </c>
      <c r="B307" s="206">
        <f>IFERROR(__xludf.DUMMYFUNCTION("""COMPUTED_VALUE"""),44664.0)</f>
        <v>44664</v>
      </c>
      <c r="C307" s="207">
        <f>IFERROR(__xludf.DUMMYFUNCTION("""COMPUTED_VALUE"""),0.272337962962963)</f>
        <v>0.272337963</v>
      </c>
      <c r="D307" s="50"/>
      <c r="E307" s="58"/>
      <c r="F307" s="58"/>
      <c r="G307" s="58" t="str">
        <f>IFERROR(__xludf.DUMMYFUNCTION("""COMPUTED_VALUE"""),"Negative")</f>
        <v>Negative</v>
      </c>
      <c r="H307" s="206" t="str">
        <f>IFERROR(__xludf.DUMMYFUNCTION("""COMPUTED_VALUE"""),"Negative")</f>
        <v>Negative</v>
      </c>
      <c r="I307" s="207">
        <f>IFERROR(__xludf.DUMMYFUNCTION("""COMPUTED_VALUE"""),44665.0)</f>
        <v>44665</v>
      </c>
      <c r="J307" s="208">
        <f>IFERROR(__xludf.DUMMYFUNCTION("""COMPUTED_VALUE"""),0.350162037037037)</f>
        <v>0.350162037</v>
      </c>
      <c r="K307" s="50"/>
      <c r="L307" s="6"/>
      <c r="M307" s="55"/>
      <c r="N307" s="55">
        <f>IFERROR(__xludf.DUMMYFUNCTION("""COMPUTED_VALUE"""),1.0)</f>
        <v>1</v>
      </c>
      <c r="O307" s="55" t="str">
        <f t="shared" si="3"/>
        <v/>
      </c>
      <c r="P307" s="209"/>
      <c r="Q307" s="75" t="b">
        <f>VLOOKUP($B307,'Run Reconcile'!B$2:P1679,15,FALSE)</f>
        <v>1</v>
      </c>
      <c r="R307" s="211" t="str">
        <f t="array" ref="R307">IF($Q307, INDEX('Run Reconcile'!A$2:A1679,MATCH(B307,'Run Reconcile'!B$2:B1679,0),1),IFERROR(0/0,""))</f>
        <v>RUN-COMB_2022-04-13_RFR-016</v>
      </c>
      <c r="S307" s="165" t="str">
        <f t="shared" ref="S307:T307" si="613">IF(COUNTIF(W$2:W1679, $A307) &gt; 0,TRUE,IFERROR(0/0,""))</f>
        <v/>
      </c>
      <c r="T307" s="165" t="str">
        <f t="shared" si="613"/>
        <v/>
      </c>
      <c r="U307" s="147" t="str">
        <f t="array" ref="U307">IF(ISBLANK($R307), IF($S307,VLOOKUP($B307+1,'RFR Data - preExcl'!$BF$2:$BG1679,2,FALSE),IF($T307,INDEX('RFR Data - preExcl'!$BF$2:$BG1679,MATCH($B307,'RFR Data - preExcl'!$BF$2:$BF1679,0)+1,2),VLOOKUP($B307,'RFR Data - preExcl'!$BF$2:$BG1679,2,FALSE))),IFERROR(0/0,""))</f>
        <v/>
      </c>
      <c r="V307" s="212" t="str">
        <f t="shared" si="5"/>
        <v>RUN-COMB_2022-04-13_RFR-016</v>
      </c>
      <c r="W307" s="51"/>
      <c r="X307" s="51"/>
      <c r="Y307" s="147" t="str">
        <f t="shared" ref="Y307:Z307" si="614">IF(_xlfn.ISFORMULA(S307),IFERROR(0/0,""),TRUE)</f>
        <v/>
      </c>
      <c r="Z307" s="147" t="str">
        <f t="shared" si="614"/>
        <v/>
      </c>
    </row>
    <row r="308">
      <c r="A308" s="6" t="str">
        <f>IFERROR(__xludf.DUMMYFUNCTION("""COMPUTED_VALUE"""),"FM3676")</f>
        <v>FM3676</v>
      </c>
      <c r="B308" s="206">
        <f>IFERROR(__xludf.DUMMYFUNCTION("""COMPUTED_VALUE"""),44664.0)</f>
        <v>44664</v>
      </c>
      <c r="C308" s="207">
        <f>IFERROR(__xludf.DUMMYFUNCTION("""COMPUTED_VALUE"""),0.2794675925925926)</f>
        <v>0.2794675926</v>
      </c>
      <c r="D308" s="50"/>
      <c r="E308" s="58"/>
      <c r="F308" s="58"/>
      <c r="G308" s="58" t="str">
        <f>IFERROR(__xludf.DUMMYFUNCTION("""COMPUTED_VALUE"""),"Negative")</f>
        <v>Negative</v>
      </c>
      <c r="H308" s="206" t="str">
        <f>IFERROR(__xludf.DUMMYFUNCTION("""COMPUTED_VALUE"""),"Negative")</f>
        <v>Negative</v>
      </c>
      <c r="I308" s="207">
        <f>IFERROR(__xludf.DUMMYFUNCTION("""COMPUTED_VALUE"""),44665.0)</f>
        <v>44665</v>
      </c>
      <c r="J308" s="208">
        <f>IFERROR(__xludf.DUMMYFUNCTION("""COMPUTED_VALUE"""),0.3501736111111111)</f>
        <v>0.3501736111</v>
      </c>
      <c r="K308" s="50"/>
      <c r="L308" s="6"/>
      <c r="M308" s="55"/>
      <c r="N308" s="55">
        <f>IFERROR(__xludf.DUMMYFUNCTION("""COMPUTED_VALUE"""),1.0)</f>
        <v>1</v>
      </c>
      <c r="O308" s="55" t="str">
        <f t="shared" si="3"/>
        <v/>
      </c>
      <c r="P308" s="209"/>
      <c r="Q308" s="75" t="b">
        <f>VLOOKUP($B308,'Run Reconcile'!B$2:P1679,15,FALSE)</f>
        <v>1</v>
      </c>
      <c r="R308" s="211" t="str">
        <f t="array" ref="R308">IF($Q308, INDEX('Run Reconcile'!A$2:A1679,MATCH(B308,'Run Reconcile'!B$2:B1679,0),1),IFERROR(0/0,""))</f>
        <v>RUN-COMB_2022-04-13_RFR-016</v>
      </c>
      <c r="S308" s="165" t="str">
        <f t="shared" ref="S308:T308" si="615">IF(COUNTIF(W$2:W1679, $A308) &gt; 0,TRUE,IFERROR(0/0,""))</f>
        <v/>
      </c>
      <c r="T308" s="165" t="str">
        <f t="shared" si="615"/>
        <v/>
      </c>
      <c r="U308" s="147" t="str">
        <f t="array" ref="U308">IF(ISBLANK($R308), IF($S308,VLOOKUP($B308+1,'RFR Data - preExcl'!$BF$2:$BG1679,2,FALSE),IF($T308,INDEX('RFR Data - preExcl'!$BF$2:$BG1679,MATCH($B308,'RFR Data - preExcl'!$BF$2:$BF1679,0)+1,2),VLOOKUP($B308,'RFR Data - preExcl'!$BF$2:$BG1679,2,FALSE))),IFERROR(0/0,""))</f>
        <v/>
      </c>
      <c r="V308" s="212" t="str">
        <f t="shared" si="5"/>
        <v>RUN-COMB_2022-04-13_RFR-016</v>
      </c>
      <c r="W308" s="51"/>
      <c r="X308" s="51"/>
      <c r="Y308" s="147" t="str">
        <f t="shared" ref="Y308:Z308" si="616">IF(_xlfn.ISFORMULA(S308),IFERROR(0/0,""),TRUE)</f>
        <v/>
      </c>
      <c r="Z308" s="147" t="str">
        <f t="shared" si="616"/>
        <v/>
      </c>
    </row>
    <row r="309">
      <c r="A309" s="6" t="str">
        <f>IFERROR(__xludf.DUMMYFUNCTION("""COMPUTED_VALUE"""),"FM4416")</f>
        <v>FM4416</v>
      </c>
      <c r="B309" s="206">
        <f>IFERROR(__xludf.DUMMYFUNCTION("""COMPUTED_VALUE"""),44664.0)</f>
        <v>44664</v>
      </c>
      <c r="C309" s="207">
        <f>IFERROR(__xludf.DUMMYFUNCTION("""COMPUTED_VALUE"""),0.28130787037037036)</f>
        <v>0.2813078704</v>
      </c>
      <c r="D309" s="50"/>
      <c r="E309" s="58"/>
      <c r="F309" s="58"/>
      <c r="G309" s="58" t="str">
        <f>IFERROR(__xludf.DUMMYFUNCTION("""COMPUTED_VALUE"""),"Negative")</f>
        <v>Negative</v>
      </c>
      <c r="H309" s="206" t="str">
        <f>IFERROR(__xludf.DUMMYFUNCTION("""COMPUTED_VALUE"""),"Negative")</f>
        <v>Negative</v>
      </c>
      <c r="I309" s="207">
        <f>IFERROR(__xludf.DUMMYFUNCTION("""COMPUTED_VALUE"""),44665.0)</f>
        <v>44665</v>
      </c>
      <c r="J309" s="208">
        <f>IFERROR(__xludf.DUMMYFUNCTION("""COMPUTED_VALUE"""),0.3501736111111111)</f>
        <v>0.3501736111</v>
      </c>
      <c r="K309" s="50"/>
      <c r="L309" s="6"/>
      <c r="M309" s="55"/>
      <c r="N309" s="55">
        <f>IFERROR(__xludf.DUMMYFUNCTION("""COMPUTED_VALUE"""),1.0)</f>
        <v>1</v>
      </c>
      <c r="O309" s="55" t="str">
        <f t="shared" si="3"/>
        <v/>
      </c>
      <c r="P309" s="209"/>
      <c r="Q309" s="75" t="b">
        <f>VLOOKUP($B309,'Run Reconcile'!B$2:P1679,15,FALSE)</f>
        <v>1</v>
      </c>
      <c r="R309" s="211" t="str">
        <f t="array" ref="R309">IF($Q309, INDEX('Run Reconcile'!A$2:A1679,MATCH(B309,'Run Reconcile'!B$2:B1679,0),1),IFERROR(0/0,""))</f>
        <v>RUN-COMB_2022-04-13_RFR-016</v>
      </c>
      <c r="S309" s="165" t="str">
        <f t="shared" ref="S309:T309" si="617">IF(COUNTIF(W$2:W1679, $A309) &gt; 0,TRUE,IFERROR(0/0,""))</f>
        <v/>
      </c>
      <c r="T309" s="165" t="str">
        <f t="shared" si="617"/>
        <v/>
      </c>
      <c r="U309" s="147" t="str">
        <f t="array" ref="U309">IF(ISBLANK($R309), IF($S309,VLOOKUP($B309+1,'RFR Data - preExcl'!$BF$2:$BG1679,2,FALSE),IF($T309,INDEX('RFR Data - preExcl'!$BF$2:$BG1679,MATCH($B309,'RFR Data - preExcl'!$BF$2:$BF1679,0)+1,2),VLOOKUP($B309,'RFR Data - preExcl'!$BF$2:$BG1679,2,FALSE))),IFERROR(0/0,""))</f>
        <v/>
      </c>
      <c r="V309" s="212" t="str">
        <f t="shared" si="5"/>
        <v>RUN-COMB_2022-04-13_RFR-016</v>
      </c>
      <c r="W309" s="51"/>
      <c r="X309" s="51"/>
      <c r="Y309" s="147" t="str">
        <f t="shared" ref="Y309:Z309" si="618">IF(_xlfn.ISFORMULA(S309),IFERROR(0/0,""),TRUE)</f>
        <v/>
      </c>
      <c r="Z309" s="147" t="str">
        <f t="shared" si="618"/>
        <v/>
      </c>
    </row>
    <row r="310">
      <c r="A310" s="6" t="str">
        <f>IFERROR(__xludf.DUMMYFUNCTION("""COMPUTED_VALUE"""),"FM4413")</f>
        <v>FM4413</v>
      </c>
      <c r="B310" s="206">
        <f>IFERROR(__xludf.DUMMYFUNCTION("""COMPUTED_VALUE"""),44664.0)</f>
        <v>44664</v>
      </c>
      <c r="C310" s="207">
        <f>IFERROR(__xludf.DUMMYFUNCTION("""COMPUTED_VALUE"""),0.28184027777777776)</f>
        <v>0.2818402778</v>
      </c>
      <c r="D310" s="50"/>
      <c r="E310" s="58"/>
      <c r="F310" s="58"/>
      <c r="G310" s="58" t="str">
        <f>IFERROR(__xludf.DUMMYFUNCTION("""COMPUTED_VALUE"""),"Negative")</f>
        <v>Negative</v>
      </c>
      <c r="H310" s="206" t="str">
        <f>IFERROR(__xludf.DUMMYFUNCTION("""COMPUTED_VALUE"""),"Negative")</f>
        <v>Negative</v>
      </c>
      <c r="I310" s="207">
        <f>IFERROR(__xludf.DUMMYFUNCTION("""COMPUTED_VALUE"""),44665.0)</f>
        <v>44665</v>
      </c>
      <c r="J310" s="208">
        <f>IFERROR(__xludf.DUMMYFUNCTION("""COMPUTED_VALUE"""),0.3501736111111111)</f>
        <v>0.3501736111</v>
      </c>
      <c r="K310" s="50"/>
      <c r="L310" s="6"/>
      <c r="M310" s="55"/>
      <c r="N310" s="55">
        <f>IFERROR(__xludf.DUMMYFUNCTION("""COMPUTED_VALUE"""),1.0)</f>
        <v>1</v>
      </c>
      <c r="O310" s="55" t="str">
        <f t="shared" si="3"/>
        <v/>
      </c>
      <c r="P310" s="209"/>
      <c r="Q310" s="75" t="b">
        <f>VLOOKUP($B310,'Run Reconcile'!B$2:P1679,15,FALSE)</f>
        <v>1</v>
      </c>
      <c r="R310" s="211" t="str">
        <f t="array" ref="R310">IF($Q310, INDEX('Run Reconcile'!A$2:A1679,MATCH(B310,'Run Reconcile'!B$2:B1679,0),1),IFERROR(0/0,""))</f>
        <v>RUN-COMB_2022-04-13_RFR-016</v>
      </c>
      <c r="S310" s="165" t="str">
        <f t="shared" ref="S310:T310" si="619">IF(COUNTIF(W$2:W1679, $A310) &gt; 0,TRUE,IFERROR(0/0,""))</f>
        <v/>
      </c>
      <c r="T310" s="165" t="str">
        <f t="shared" si="619"/>
        <v/>
      </c>
      <c r="U310" s="147" t="str">
        <f t="array" ref="U310">IF(ISBLANK($R310), IF($S310,VLOOKUP($B310+1,'RFR Data - preExcl'!$BF$2:$BG1679,2,FALSE),IF($T310,INDEX('RFR Data - preExcl'!$BF$2:$BG1679,MATCH($B310,'RFR Data - preExcl'!$BF$2:$BF1679,0)+1,2),VLOOKUP($B310,'RFR Data - preExcl'!$BF$2:$BG1679,2,FALSE))),IFERROR(0/0,""))</f>
        <v/>
      </c>
      <c r="V310" s="212" t="str">
        <f t="shared" si="5"/>
        <v>RUN-COMB_2022-04-13_RFR-016</v>
      </c>
      <c r="W310" s="51"/>
      <c r="X310" s="51"/>
      <c r="Y310" s="147" t="str">
        <f t="shared" ref="Y310:Z310" si="620">IF(_xlfn.ISFORMULA(S310),IFERROR(0/0,""),TRUE)</f>
        <v/>
      </c>
      <c r="Z310" s="147" t="str">
        <f t="shared" si="620"/>
        <v/>
      </c>
    </row>
    <row r="311">
      <c r="A311" s="6" t="str">
        <f>IFERROR(__xludf.DUMMYFUNCTION("""COMPUTED_VALUE"""),"FM3987")</f>
        <v>FM3987</v>
      </c>
      <c r="B311" s="206">
        <f>IFERROR(__xludf.DUMMYFUNCTION("""COMPUTED_VALUE"""),44664.0)</f>
        <v>44664</v>
      </c>
      <c r="C311" s="207">
        <f>IFERROR(__xludf.DUMMYFUNCTION("""COMPUTED_VALUE"""),0.28430555555555553)</f>
        <v>0.2843055556</v>
      </c>
      <c r="D311" s="50"/>
      <c r="E311" s="58"/>
      <c r="F311" s="58"/>
      <c r="G311" s="58" t="str">
        <f>IFERROR(__xludf.DUMMYFUNCTION("""COMPUTED_VALUE"""),"Negative")</f>
        <v>Negative</v>
      </c>
      <c r="H311" s="206" t="str">
        <f>IFERROR(__xludf.DUMMYFUNCTION("""COMPUTED_VALUE"""),"Negative")</f>
        <v>Negative</v>
      </c>
      <c r="I311" s="207">
        <f>IFERROR(__xludf.DUMMYFUNCTION("""COMPUTED_VALUE"""),44665.0)</f>
        <v>44665</v>
      </c>
      <c r="J311" s="208">
        <f>IFERROR(__xludf.DUMMYFUNCTION("""COMPUTED_VALUE"""),0.3501736111111111)</f>
        <v>0.3501736111</v>
      </c>
      <c r="K311" s="50"/>
      <c r="L311" s="6"/>
      <c r="M311" s="55"/>
      <c r="N311" s="55">
        <f>IFERROR(__xludf.DUMMYFUNCTION("""COMPUTED_VALUE"""),1.0)</f>
        <v>1</v>
      </c>
      <c r="O311" s="55" t="str">
        <f t="shared" si="3"/>
        <v/>
      </c>
      <c r="P311" s="209"/>
      <c r="Q311" s="75" t="b">
        <f>VLOOKUP($B311,'Run Reconcile'!B$2:P1679,15,FALSE)</f>
        <v>1</v>
      </c>
      <c r="R311" s="211" t="str">
        <f t="array" ref="R311">IF($Q311, INDEX('Run Reconcile'!A$2:A1679,MATCH(B311,'Run Reconcile'!B$2:B1679,0),1),IFERROR(0/0,""))</f>
        <v>RUN-COMB_2022-04-13_RFR-016</v>
      </c>
      <c r="S311" s="165" t="str">
        <f t="shared" ref="S311:T311" si="621">IF(COUNTIF(W$2:W1679, $A311) &gt; 0,TRUE,IFERROR(0/0,""))</f>
        <v/>
      </c>
      <c r="T311" s="165" t="str">
        <f t="shared" si="621"/>
        <v/>
      </c>
      <c r="U311" s="147" t="str">
        <f t="array" ref="U311">IF(ISBLANK($R311), IF($S311,VLOOKUP($B311+1,'RFR Data - preExcl'!$BF$2:$BG1679,2,FALSE),IF($T311,INDEX('RFR Data - preExcl'!$BF$2:$BG1679,MATCH($B311,'RFR Data - preExcl'!$BF$2:$BF1679,0)+1,2),VLOOKUP($B311,'RFR Data - preExcl'!$BF$2:$BG1679,2,FALSE))),IFERROR(0/0,""))</f>
        <v/>
      </c>
      <c r="V311" s="212" t="str">
        <f t="shared" si="5"/>
        <v>RUN-COMB_2022-04-13_RFR-016</v>
      </c>
      <c r="W311" s="51"/>
      <c r="X311" s="51"/>
      <c r="Y311" s="147" t="str">
        <f t="shared" ref="Y311:Z311" si="622">IF(_xlfn.ISFORMULA(S311),IFERROR(0/0,""),TRUE)</f>
        <v/>
      </c>
      <c r="Z311" s="147" t="str">
        <f t="shared" si="622"/>
        <v/>
      </c>
    </row>
    <row r="312">
      <c r="A312" s="6" t="str">
        <f>IFERROR(__xludf.DUMMYFUNCTION("""COMPUTED_VALUE"""),"FM4401")</f>
        <v>FM4401</v>
      </c>
      <c r="B312" s="206">
        <f>IFERROR(__xludf.DUMMYFUNCTION("""COMPUTED_VALUE"""),44664.0)</f>
        <v>44664</v>
      </c>
      <c r="C312" s="207">
        <f>IFERROR(__xludf.DUMMYFUNCTION("""COMPUTED_VALUE"""),0.3007986111111111)</f>
        <v>0.3007986111</v>
      </c>
      <c r="D312" s="50"/>
      <c r="E312" s="58"/>
      <c r="F312" s="58"/>
      <c r="G312" s="58" t="str">
        <f>IFERROR(__xludf.DUMMYFUNCTION("""COMPUTED_VALUE"""),"Negative")</f>
        <v>Negative</v>
      </c>
      <c r="H312" s="206" t="str">
        <f>IFERROR(__xludf.DUMMYFUNCTION("""COMPUTED_VALUE"""),"Negative")</f>
        <v>Negative</v>
      </c>
      <c r="I312" s="207">
        <f>IFERROR(__xludf.DUMMYFUNCTION("""COMPUTED_VALUE"""),44665.0)</f>
        <v>44665</v>
      </c>
      <c r="J312" s="208">
        <f>IFERROR(__xludf.DUMMYFUNCTION("""COMPUTED_VALUE"""),0.3501851851851852)</f>
        <v>0.3501851852</v>
      </c>
      <c r="K312" s="50"/>
      <c r="L312" s="6"/>
      <c r="M312" s="55"/>
      <c r="N312" s="55">
        <f>IFERROR(__xludf.DUMMYFUNCTION("""COMPUTED_VALUE"""),1.0)</f>
        <v>1</v>
      </c>
      <c r="O312" s="55" t="str">
        <f t="shared" si="3"/>
        <v/>
      </c>
      <c r="P312" s="209"/>
      <c r="Q312" s="75" t="b">
        <f>VLOOKUP($B312,'Run Reconcile'!B$2:P1679,15,FALSE)</f>
        <v>1</v>
      </c>
      <c r="R312" s="211" t="str">
        <f t="array" ref="R312">IF($Q312, INDEX('Run Reconcile'!A$2:A1679,MATCH(B312,'Run Reconcile'!B$2:B1679,0),1),IFERROR(0/0,""))</f>
        <v>RUN-COMB_2022-04-13_RFR-016</v>
      </c>
      <c r="S312" s="165" t="str">
        <f t="shared" ref="S312:T312" si="623">IF(COUNTIF(W$2:W1679, $A312) &gt; 0,TRUE,IFERROR(0/0,""))</f>
        <v/>
      </c>
      <c r="T312" s="165" t="str">
        <f t="shared" si="623"/>
        <v/>
      </c>
      <c r="U312" s="147" t="str">
        <f t="array" ref="U312">IF(ISBLANK($R312), IF($S312,VLOOKUP($B312+1,'RFR Data - preExcl'!$BF$2:$BG1679,2,FALSE),IF($T312,INDEX('RFR Data - preExcl'!$BF$2:$BG1679,MATCH($B312,'RFR Data - preExcl'!$BF$2:$BF1679,0)+1,2),VLOOKUP($B312,'RFR Data - preExcl'!$BF$2:$BG1679,2,FALSE))),IFERROR(0/0,""))</f>
        <v/>
      </c>
      <c r="V312" s="212" t="str">
        <f t="shared" si="5"/>
        <v>RUN-COMB_2022-04-13_RFR-016</v>
      </c>
      <c r="W312" s="51"/>
      <c r="X312" s="51"/>
      <c r="Y312" s="147" t="str">
        <f t="shared" ref="Y312:Z312" si="624">IF(_xlfn.ISFORMULA(S312),IFERROR(0/0,""),TRUE)</f>
        <v/>
      </c>
      <c r="Z312" s="147" t="str">
        <f t="shared" si="624"/>
        <v/>
      </c>
    </row>
    <row r="313">
      <c r="A313" s="6" t="str">
        <f>IFERROR(__xludf.DUMMYFUNCTION("""COMPUTED_VALUE"""),"FM4408")</f>
        <v>FM4408</v>
      </c>
      <c r="B313" s="206">
        <f>IFERROR(__xludf.DUMMYFUNCTION("""COMPUTED_VALUE"""),44664.0)</f>
        <v>44664</v>
      </c>
      <c r="C313" s="207">
        <f>IFERROR(__xludf.DUMMYFUNCTION("""COMPUTED_VALUE"""),0.3013078703703704)</f>
        <v>0.3013078704</v>
      </c>
      <c r="D313" s="50"/>
      <c r="E313" s="58"/>
      <c r="F313" s="58"/>
      <c r="G313" s="58" t="str">
        <f>IFERROR(__xludf.DUMMYFUNCTION("""COMPUTED_VALUE"""),"Negative")</f>
        <v>Negative</v>
      </c>
      <c r="H313" s="206" t="str">
        <f>IFERROR(__xludf.DUMMYFUNCTION("""COMPUTED_VALUE"""),"Negative")</f>
        <v>Negative</v>
      </c>
      <c r="I313" s="207">
        <f>IFERROR(__xludf.DUMMYFUNCTION("""COMPUTED_VALUE"""),44665.0)</f>
        <v>44665</v>
      </c>
      <c r="J313" s="208">
        <f>IFERROR(__xludf.DUMMYFUNCTION("""COMPUTED_VALUE"""),0.3501851851851852)</f>
        <v>0.3501851852</v>
      </c>
      <c r="K313" s="50"/>
      <c r="L313" s="6"/>
      <c r="M313" s="55"/>
      <c r="N313" s="55">
        <f>IFERROR(__xludf.DUMMYFUNCTION("""COMPUTED_VALUE"""),1.0)</f>
        <v>1</v>
      </c>
      <c r="O313" s="55" t="str">
        <f t="shared" si="3"/>
        <v/>
      </c>
      <c r="P313" s="209"/>
      <c r="Q313" s="75" t="b">
        <f>VLOOKUP($B313,'Run Reconcile'!B$2:P1679,15,FALSE)</f>
        <v>1</v>
      </c>
      <c r="R313" s="211" t="str">
        <f t="array" ref="R313">IF($Q313, INDEX('Run Reconcile'!A$2:A1679,MATCH(B313,'Run Reconcile'!B$2:B1679,0),1),IFERROR(0/0,""))</f>
        <v>RUN-COMB_2022-04-13_RFR-016</v>
      </c>
      <c r="S313" s="165" t="str">
        <f t="shared" ref="S313:T313" si="625">IF(COUNTIF(W$2:W1679, $A313) &gt; 0,TRUE,IFERROR(0/0,""))</f>
        <v/>
      </c>
      <c r="T313" s="165" t="str">
        <f t="shared" si="625"/>
        <v/>
      </c>
      <c r="U313" s="147" t="str">
        <f t="array" ref="U313">IF(ISBLANK($R313), IF($S313,VLOOKUP($B313+1,'RFR Data - preExcl'!$BF$2:$BG1679,2,FALSE),IF($T313,INDEX('RFR Data - preExcl'!$BF$2:$BG1679,MATCH($B313,'RFR Data - preExcl'!$BF$2:$BF1679,0)+1,2),VLOOKUP($B313,'RFR Data - preExcl'!$BF$2:$BG1679,2,FALSE))),IFERROR(0/0,""))</f>
        <v/>
      </c>
      <c r="V313" s="212" t="str">
        <f t="shared" si="5"/>
        <v>RUN-COMB_2022-04-13_RFR-016</v>
      </c>
      <c r="W313" s="51"/>
      <c r="X313" s="51"/>
      <c r="Y313" s="147" t="str">
        <f t="shared" ref="Y313:Z313" si="626">IF(_xlfn.ISFORMULA(S313),IFERROR(0/0,""),TRUE)</f>
        <v/>
      </c>
      <c r="Z313" s="147" t="str">
        <f t="shared" si="626"/>
        <v/>
      </c>
    </row>
    <row r="314">
      <c r="A314" s="6" t="str">
        <f>IFERROR(__xludf.DUMMYFUNCTION("""COMPUTED_VALUE"""),"FM4417")</f>
        <v>FM4417</v>
      </c>
      <c r="B314" s="206">
        <f>IFERROR(__xludf.DUMMYFUNCTION("""COMPUTED_VALUE"""),44664.0)</f>
        <v>44664</v>
      </c>
      <c r="C314" s="207">
        <f>IFERROR(__xludf.DUMMYFUNCTION("""COMPUTED_VALUE"""),0.30181712962962964)</f>
        <v>0.3018171296</v>
      </c>
      <c r="D314" s="50"/>
      <c r="E314" s="58"/>
      <c r="F314" s="58"/>
      <c r="G314" s="58" t="str">
        <f>IFERROR(__xludf.DUMMYFUNCTION("""COMPUTED_VALUE"""),"Negative")</f>
        <v>Negative</v>
      </c>
      <c r="H314" s="206" t="str">
        <f>IFERROR(__xludf.DUMMYFUNCTION("""COMPUTED_VALUE"""),"Negative")</f>
        <v>Negative</v>
      </c>
      <c r="I314" s="207">
        <f>IFERROR(__xludf.DUMMYFUNCTION("""COMPUTED_VALUE"""),44665.0)</f>
        <v>44665</v>
      </c>
      <c r="J314" s="208">
        <f>IFERROR(__xludf.DUMMYFUNCTION("""COMPUTED_VALUE"""),0.3501851851851852)</f>
        <v>0.3501851852</v>
      </c>
      <c r="K314" s="50"/>
      <c r="L314" s="6"/>
      <c r="M314" s="55"/>
      <c r="N314" s="55">
        <f>IFERROR(__xludf.DUMMYFUNCTION("""COMPUTED_VALUE"""),1.0)</f>
        <v>1</v>
      </c>
      <c r="O314" s="55" t="str">
        <f t="shared" si="3"/>
        <v/>
      </c>
      <c r="P314" s="209"/>
      <c r="Q314" s="75" t="b">
        <f>VLOOKUP($B314,'Run Reconcile'!B$2:P1679,15,FALSE)</f>
        <v>1</v>
      </c>
      <c r="R314" s="211" t="str">
        <f t="array" ref="R314">IF($Q314, INDEX('Run Reconcile'!A$2:A1679,MATCH(B314,'Run Reconcile'!B$2:B1679,0),1),IFERROR(0/0,""))</f>
        <v>RUN-COMB_2022-04-13_RFR-016</v>
      </c>
      <c r="S314" s="165" t="str">
        <f t="shared" ref="S314:T314" si="627">IF(COUNTIF(W$2:W1679, $A314) &gt; 0,TRUE,IFERROR(0/0,""))</f>
        <v/>
      </c>
      <c r="T314" s="165" t="str">
        <f t="shared" si="627"/>
        <v/>
      </c>
      <c r="U314" s="147" t="str">
        <f t="array" ref="U314">IF(ISBLANK($R314), IF($S314,VLOOKUP($B314+1,'RFR Data - preExcl'!$BF$2:$BG1679,2,FALSE),IF($T314,INDEX('RFR Data - preExcl'!$BF$2:$BG1679,MATCH($B314,'RFR Data - preExcl'!$BF$2:$BF1679,0)+1,2),VLOOKUP($B314,'RFR Data - preExcl'!$BF$2:$BG1679,2,FALSE))),IFERROR(0/0,""))</f>
        <v/>
      </c>
      <c r="V314" s="212" t="str">
        <f t="shared" si="5"/>
        <v>RUN-COMB_2022-04-13_RFR-016</v>
      </c>
      <c r="W314" s="51"/>
      <c r="X314" s="51"/>
      <c r="Y314" s="147" t="str">
        <f t="shared" ref="Y314:Z314" si="628">IF(_xlfn.ISFORMULA(S314),IFERROR(0/0,""),TRUE)</f>
        <v/>
      </c>
      <c r="Z314" s="147" t="str">
        <f t="shared" si="628"/>
        <v/>
      </c>
    </row>
    <row r="315">
      <c r="A315" s="6" t="str">
        <f>IFERROR(__xludf.DUMMYFUNCTION("""COMPUTED_VALUE"""),"FM4402")</f>
        <v>FM4402</v>
      </c>
      <c r="B315" s="206">
        <f>IFERROR(__xludf.DUMMYFUNCTION("""COMPUTED_VALUE"""),44664.0)</f>
        <v>44664</v>
      </c>
      <c r="C315" s="207">
        <f>IFERROR(__xludf.DUMMYFUNCTION("""COMPUTED_VALUE"""),0.30364583333333334)</f>
        <v>0.3036458333</v>
      </c>
      <c r="D315" s="50"/>
      <c r="E315" s="58"/>
      <c r="F315" s="58"/>
      <c r="G315" s="58" t="str">
        <f>IFERROR(__xludf.DUMMYFUNCTION("""COMPUTED_VALUE"""),"Negative")</f>
        <v>Negative</v>
      </c>
      <c r="H315" s="206" t="str">
        <f>IFERROR(__xludf.DUMMYFUNCTION("""COMPUTED_VALUE"""),"Negative")</f>
        <v>Negative</v>
      </c>
      <c r="I315" s="207">
        <f>IFERROR(__xludf.DUMMYFUNCTION("""COMPUTED_VALUE"""),44665.0)</f>
        <v>44665</v>
      </c>
      <c r="J315" s="208">
        <f>IFERROR(__xludf.DUMMYFUNCTION("""COMPUTED_VALUE"""),0.3501851851851852)</f>
        <v>0.3501851852</v>
      </c>
      <c r="K315" s="50"/>
      <c r="L315" s="6"/>
      <c r="M315" s="55"/>
      <c r="N315" s="55">
        <f>IFERROR(__xludf.DUMMYFUNCTION("""COMPUTED_VALUE"""),1.0)</f>
        <v>1</v>
      </c>
      <c r="O315" s="55" t="str">
        <f t="shared" si="3"/>
        <v/>
      </c>
      <c r="P315" s="209"/>
      <c r="Q315" s="75" t="b">
        <f>VLOOKUP($B315,'Run Reconcile'!B$2:P1679,15,FALSE)</f>
        <v>1</v>
      </c>
      <c r="R315" s="211" t="str">
        <f t="array" ref="R315">IF($Q315, INDEX('Run Reconcile'!A$2:A1679,MATCH(B315,'Run Reconcile'!B$2:B1679,0),1),IFERROR(0/0,""))</f>
        <v>RUN-COMB_2022-04-13_RFR-016</v>
      </c>
      <c r="S315" s="165" t="str">
        <f t="shared" ref="S315:T315" si="629">IF(COUNTIF(W$2:W1679, $A315) &gt; 0,TRUE,IFERROR(0/0,""))</f>
        <v/>
      </c>
      <c r="T315" s="165" t="str">
        <f t="shared" si="629"/>
        <v/>
      </c>
      <c r="U315" s="147" t="str">
        <f t="array" ref="U315">IF(ISBLANK($R315), IF($S315,VLOOKUP($B315+1,'RFR Data - preExcl'!$BF$2:$BG1679,2,FALSE),IF($T315,INDEX('RFR Data - preExcl'!$BF$2:$BG1679,MATCH($B315,'RFR Data - preExcl'!$BF$2:$BF1679,0)+1,2),VLOOKUP($B315,'RFR Data - preExcl'!$BF$2:$BG1679,2,FALSE))),IFERROR(0/0,""))</f>
        <v/>
      </c>
      <c r="V315" s="212" t="str">
        <f t="shared" si="5"/>
        <v>RUN-COMB_2022-04-13_RFR-016</v>
      </c>
      <c r="W315" s="51"/>
      <c r="X315" s="51"/>
      <c r="Y315" s="147" t="str">
        <f t="shared" ref="Y315:Z315" si="630">IF(_xlfn.ISFORMULA(S315),IFERROR(0/0,""),TRUE)</f>
        <v/>
      </c>
      <c r="Z315" s="147" t="str">
        <f t="shared" si="630"/>
        <v/>
      </c>
    </row>
    <row r="316">
      <c r="A316" s="6" t="str">
        <f>IFERROR(__xludf.DUMMYFUNCTION("""COMPUTED_VALUE"""),"FM4488")</f>
        <v>FM4488</v>
      </c>
      <c r="B316" s="206">
        <f>IFERROR(__xludf.DUMMYFUNCTION("""COMPUTED_VALUE"""),44665.0)</f>
        <v>44665</v>
      </c>
      <c r="C316" s="207">
        <f>IFERROR(__xludf.DUMMYFUNCTION("""COMPUTED_VALUE"""),0.265625)</f>
        <v>0.265625</v>
      </c>
      <c r="D316" s="50"/>
      <c r="E316" s="58"/>
      <c r="F316" s="58"/>
      <c r="G316" s="58" t="str">
        <f>IFERROR(__xludf.DUMMYFUNCTION("""COMPUTED_VALUE"""),"Negative")</f>
        <v>Negative</v>
      </c>
      <c r="H316" s="206" t="str">
        <f>IFERROR(__xludf.DUMMYFUNCTION("""COMPUTED_VALUE"""),"Negative")</f>
        <v>Negative</v>
      </c>
      <c r="I316" s="207">
        <f>IFERROR(__xludf.DUMMYFUNCTION("""COMPUTED_VALUE"""),44665.0)</f>
        <v>44665</v>
      </c>
      <c r="J316" s="208">
        <f>IFERROR(__xludf.DUMMYFUNCTION("""COMPUTED_VALUE"""),0.3615162037037037)</f>
        <v>0.3615162037</v>
      </c>
      <c r="K316" s="50"/>
      <c r="L316" s="6"/>
      <c r="M316" s="55"/>
      <c r="N316" s="55">
        <f>IFERROR(__xludf.DUMMYFUNCTION("""COMPUTED_VALUE"""),1.0)</f>
        <v>1</v>
      </c>
      <c r="O316" s="55" t="b">
        <f t="shared" si="3"/>
        <v>1</v>
      </c>
      <c r="P316" s="209"/>
      <c r="Q316" s="75" t="b">
        <f>VLOOKUP($B316,'Run Reconcile'!B$2:P1679,15,FALSE)</f>
        <v>1</v>
      </c>
      <c r="R316" s="211" t="str">
        <f t="array" ref="R316">IF($Q316, INDEX('Run Reconcile'!A$2:A1679,MATCH(B316,'Run Reconcile'!B$2:B1679,0),1),IFERROR(0/0,""))</f>
        <v>RUN-COMB_2022-04-14_RFR-017</v>
      </c>
      <c r="S316" s="165" t="str">
        <f t="shared" ref="S316:T316" si="631">IF(COUNTIF(W$2:W1679, $A316) &gt; 0,TRUE,IFERROR(0/0,""))</f>
        <v/>
      </c>
      <c r="T316" s="165" t="str">
        <f t="shared" si="631"/>
        <v/>
      </c>
      <c r="U316" s="147" t="str">
        <f t="array" ref="U316">IF(ISBLANK($R316), IF($S316,VLOOKUP($B316+1,'RFR Data - preExcl'!$BF$2:$BG1679,2,FALSE),IF($T316,INDEX('RFR Data - preExcl'!$BF$2:$BG1679,MATCH($B316,'RFR Data - preExcl'!$BF$2:$BF1679,0)+1,2),VLOOKUP($B316,'RFR Data - preExcl'!$BF$2:$BG1679,2,FALSE))),IFERROR(0/0,""))</f>
        <v/>
      </c>
      <c r="V316" s="212" t="str">
        <f t="shared" si="5"/>
        <v>RUN-COMB_2022-04-14_RFR-017</v>
      </c>
      <c r="W316" s="51"/>
      <c r="X316" s="51"/>
      <c r="Y316" s="147" t="str">
        <f t="shared" ref="Y316:Z316" si="632">IF(_xlfn.ISFORMULA(S316),IFERROR(0/0,""),TRUE)</f>
        <v/>
      </c>
      <c r="Z316" s="147" t="str">
        <f t="shared" si="632"/>
        <v/>
      </c>
    </row>
    <row r="317">
      <c r="A317" s="6" t="str">
        <f>IFERROR(__xludf.DUMMYFUNCTION("""COMPUTED_VALUE"""),"FM4471")</f>
        <v>FM4471</v>
      </c>
      <c r="B317" s="206">
        <f>IFERROR(__xludf.DUMMYFUNCTION("""COMPUTED_VALUE"""),44665.0)</f>
        <v>44665</v>
      </c>
      <c r="C317" s="207">
        <f>IFERROR(__xludf.DUMMYFUNCTION("""COMPUTED_VALUE"""),0.26613425925925926)</f>
        <v>0.2661342593</v>
      </c>
      <c r="D317" s="50"/>
      <c r="E317" s="58"/>
      <c r="F317" s="58"/>
      <c r="G317" s="58" t="str">
        <f>IFERROR(__xludf.DUMMYFUNCTION("""COMPUTED_VALUE"""),"Negative")</f>
        <v>Negative</v>
      </c>
      <c r="H317" s="206" t="str">
        <f>IFERROR(__xludf.DUMMYFUNCTION("""COMPUTED_VALUE"""),"Negative")</f>
        <v>Negative</v>
      </c>
      <c r="I317" s="207">
        <f>IFERROR(__xludf.DUMMYFUNCTION("""COMPUTED_VALUE"""),44665.0)</f>
        <v>44665</v>
      </c>
      <c r="J317" s="208">
        <f>IFERROR(__xludf.DUMMYFUNCTION("""COMPUTED_VALUE"""),0.3615162037037037)</f>
        <v>0.3615162037</v>
      </c>
      <c r="K317" s="50"/>
      <c r="L317" s="6"/>
      <c r="M317" s="55"/>
      <c r="N317" s="55">
        <f>IFERROR(__xludf.DUMMYFUNCTION("""COMPUTED_VALUE"""),1.0)</f>
        <v>1</v>
      </c>
      <c r="O317" s="55" t="str">
        <f t="shared" si="3"/>
        <v/>
      </c>
      <c r="P317" s="209"/>
      <c r="Q317" s="75" t="b">
        <f>VLOOKUP($B317,'Run Reconcile'!B$2:P1679,15,FALSE)</f>
        <v>1</v>
      </c>
      <c r="R317" s="211" t="str">
        <f t="array" ref="R317">IF($Q317, INDEX('Run Reconcile'!A$2:A1679,MATCH(B317,'Run Reconcile'!B$2:B1679,0),1),IFERROR(0/0,""))</f>
        <v>RUN-COMB_2022-04-14_RFR-017</v>
      </c>
      <c r="S317" s="165" t="str">
        <f t="shared" ref="S317:T317" si="633">IF(COUNTIF(W$2:W1679, $A317) &gt; 0,TRUE,IFERROR(0/0,""))</f>
        <v/>
      </c>
      <c r="T317" s="165" t="str">
        <f t="shared" si="633"/>
        <v/>
      </c>
      <c r="U317" s="147" t="str">
        <f t="array" ref="U317">IF(ISBLANK($R317), IF($S317,VLOOKUP($B317+1,'RFR Data - preExcl'!$BF$2:$BG1679,2,FALSE),IF($T317,INDEX('RFR Data - preExcl'!$BF$2:$BG1679,MATCH($B317,'RFR Data - preExcl'!$BF$2:$BF1679,0)+1,2),VLOOKUP($B317,'RFR Data - preExcl'!$BF$2:$BG1679,2,FALSE))),IFERROR(0/0,""))</f>
        <v/>
      </c>
      <c r="V317" s="212" t="str">
        <f t="shared" si="5"/>
        <v>RUN-COMB_2022-04-14_RFR-017</v>
      </c>
      <c r="W317" s="51"/>
      <c r="X317" s="51"/>
      <c r="Y317" s="147" t="str">
        <f t="shared" ref="Y317:Z317" si="634">IF(_xlfn.ISFORMULA(S317),IFERROR(0/0,""),TRUE)</f>
        <v/>
      </c>
      <c r="Z317" s="147" t="str">
        <f t="shared" si="634"/>
        <v/>
      </c>
    </row>
    <row r="318">
      <c r="A318" s="6" t="str">
        <f>IFERROR(__xludf.DUMMYFUNCTION("""COMPUTED_VALUE"""),"FM4431")</f>
        <v>FM4431</v>
      </c>
      <c r="B318" s="206">
        <f>IFERROR(__xludf.DUMMYFUNCTION("""COMPUTED_VALUE"""),44665.0)</f>
        <v>44665</v>
      </c>
      <c r="C318" s="207">
        <f>IFERROR(__xludf.DUMMYFUNCTION("""COMPUTED_VALUE"""),0.26655092592592594)</f>
        <v>0.2665509259</v>
      </c>
      <c r="D318" s="50"/>
      <c r="E318" s="58"/>
      <c r="F318" s="58"/>
      <c r="G318" s="58" t="str">
        <f>IFERROR(__xludf.DUMMYFUNCTION("""COMPUTED_VALUE"""),"Negative")</f>
        <v>Negative</v>
      </c>
      <c r="H318" s="206" t="str">
        <f>IFERROR(__xludf.DUMMYFUNCTION("""COMPUTED_VALUE"""),"Negative")</f>
        <v>Negative</v>
      </c>
      <c r="I318" s="207">
        <f>IFERROR(__xludf.DUMMYFUNCTION("""COMPUTED_VALUE"""),44665.0)</f>
        <v>44665</v>
      </c>
      <c r="J318" s="208">
        <f>IFERROR(__xludf.DUMMYFUNCTION("""COMPUTED_VALUE"""),0.3615277777777778)</f>
        <v>0.3615277778</v>
      </c>
      <c r="K318" s="50"/>
      <c r="L318" s="6"/>
      <c r="M318" s="55"/>
      <c r="N318" s="55">
        <f>IFERROR(__xludf.DUMMYFUNCTION("""COMPUTED_VALUE"""),1.0)</f>
        <v>1</v>
      </c>
      <c r="O318" s="55" t="str">
        <f t="shared" si="3"/>
        <v/>
      </c>
      <c r="P318" s="209"/>
      <c r="Q318" s="75" t="b">
        <f>VLOOKUP($B318,'Run Reconcile'!B$2:P1679,15,FALSE)</f>
        <v>1</v>
      </c>
      <c r="R318" s="211" t="str">
        <f t="array" ref="R318">IF($Q318, INDEX('Run Reconcile'!A$2:A1679,MATCH(B318,'Run Reconcile'!B$2:B1679,0),1),IFERROR(0/0,""))</f>
        <v>RUN-COMB_2022-04-14_RFR-017</v>
      </c>
      <c r="S318" s="165" t="str">
        <f t="shared" ref="S318:T318" si="635">IF(COUNTIF(W$2:W1679, $A318) &gt; 0,TRUE,IFERROR(0/0,""))</f>
        <v/>
      </c>
      <c r="T318" s="165" t="str">
        <f t="shared" si="635"/>
        <v/>
      </c>
      <c r="U318" s="147" t="str">
        <f t="array" ref="U318">IF(ISBLANK($R318), IF($S318,VLOOKUP($B318+1,'RFR Data - preExcl'!$BF$2:$BG1679,2,FALSE),IF($T318,INDEX('RFR Data - preExcl'!$BF$2:$BG1679,MATCH($B318,'RFR Data - preExcl'!$BF$2:$BF1679,0)+1,2),VLOOKUP($B318,'RFR Data - preExcl'!$BF$2:$BG1679,2,FALSE))),IFERROR(0/0,""))</f>
        <v/>
      </c>
      <c r="V318" s="212" t="str">
        <f t="shared" si="5"/>
        <v>RUN-COMB_2022-04-14_RFR-017</v>
      </c>
      <c r="W318" s="51"/>
      <c r="X318" s="51"/>
      <c r="Y318" s="147" t="str">
        <f t="shared" ref="Y318:Z318" si="636">IF(_xlfn.ISFORMULA(S318),IFERROR(0/0,""),TRUE)</f>
        <v/>
      </c>
      <c r="Z318" s="147" t="str">
        <f t="shared" si="636"/>
        <v/>
      </c>
    </row>
    <row r="319">
      <c r="A319" s="6" t="str">
        <f>IFERROR(__xludf.DUMMYFUNCTION("""COMPUTED_VALUE"""),"FM4395")</f>
        <v>FM4395</v>
      </c>
      <c r="B319" s="206">
        <f>IFERROR(__xludf.DUMMYFUNCTION("""COMPUTED_VALUE"""),44665.0)</f>
        <v>44665</v>
      </c>
      <c r="C319" s="207">
        <f>IFERROR(__xludf.DUMMYFUNCTION("""COMPUTED_VALUE"""),0.26685185185185184)</f>
        <v>0.2668518519</v>
      </c>
      <c r="D319" s="50"/>
      <c r="E319" s="58"/>
      <c r="F319" s="58"/>
      <c r="G319" s="58" t="str">
        <f>IFERROR(__xludf.DUMMYFUNCTION("""COMPUTED_VALUE"""),"Negative")</f>
        <v>Negative</v>
      </c>
      <c r="H319" s="206" t="str">
        <f>IFERROR(__xludf.DUMMYFUNCTION("""COMPUTED_VALUE"""),"Negative")</f>
        <v>Negative</v>
      </c>
      <c r="I319" s="207">
        <f>IFERROR(__xludf.DUMMYFUNCTION("""COMPUTED_VALUE"""),44665.0)</f>
        <v>44665</v>
      </c>
      <c r="J319" s="208">
        <f>IFERROR(__xludf.DUMMYFUNCTION("""COMPUTED_VALUE"""),0.3615277777777778)</f>
        <v>0.3615277778</v>
      </c>
      <c r="K319" s="50"/>
      <c r="L319" s="6"/>
      <c r="M319" s="55"/>
      <c r="N319" s="55">
        <f>IFERROR(__xludf.DUMMYFUNCTION("""COMPUTED_VALUE"""),1.0)</f>
        <v>1</v>
      </c>
      <c r="O319" s="55" t="str">
        <f t="shared" si="3"/>
        <v/>
      </c>
      <c r="P319" s="209"/>
      <c r="Q319" s="75" t="b">
        <f>VLOOKUP($B319,'Run Reconcile'!B$2:P1679,15,FALSE)</f>
        <v>1</v>
      </c>
      <c r="R319" s="211" t="str">
        <f t="array" ref="R319">IF($Q319, INDEX('Run Reconcile'!A$2:A1679,MATCH(B319,'Run Reconcile'!B$2:B1679,0),1),IFERROR(0/0,""))</f>
        <v>RUN-COMB_2022-04-14_RFR-017</v>
      </c>
      <c r="S319" s="165" t="str">
        <f t="shared" ref="S319:T319" si="637">IF(COUNTIF(W$2:W1679, $A319) &gt; 0,TRUE,IFERROR(0/0,""))</f>
        <v/>
      </c>
      <c r="T319" s="165" t="str">
        <f t="shared" si="637"/>
        <v/>
      </c>
      <c r="U319" s="147" t="str">
        <f t="array" ref="U319">IF(ISBLANK($R319), IF($S319,VLOOKUP($B319+1,'RFR Data - preExcl'!$BF$2:$BG1679,2,FALSE),IF($T319,INDEX('RFR Data - preExcl'!$BF$2:$BG1679,MATCH($B319,'RFR Data - preExcl'!$BF$2:$BF1679,0)+1,2),VLOOKUP($B319,'RFR Data - preExcl'!$BF$2:$BG1679,2,FALSE))),IFERROR(0/0,""))</f>
        <v/>
      </c>
      <c r="V319" s="212" t="str">
        <f t="shared" si="5"/>
        <v>RUN-COMB_2022-04-14_RFR-017</v>
      </c>
      <c r="W319" s="51"/>
      <c r="X319" s="51"/>
      <c r="Y319" s="147" t="str">
        <f t="shared" ref="Y319:Z319" si="638">IF(_xlfn.ISFORMULA(S319),IFERROR(0/0,""),TRUE)</f>
        <v/>
      </c>
      <c r="Z319" s="147" t="str">
        <f t="shared" si="638"/>
        <v/>
      </c>
    </row>
    <row r="320">
      <c r="A320" s="6" t="str">
        <f>IFERROR(__xludf.DUMMYFUNCTION("""COMPUTED_VALUE"""),"FM4388")</f>
        <v>FM4388</v>
      </c>
      <c r="B320" s="206">
        <f>IFERROR(__xludf.DUMMYFUNCTION("""COMPUTED_VALUE"""),44665.0)</f>
        <v>44665</v>
      </c>
      <c r="C320" s="207">
        <f>IFERROR(__xludf.DUMMYFUNCTION("""COMPUTED_VALUE"""),0.2686689814814815)</f>
        <v>0.2686689815</v>
      </c>
      <c r="D320" s="50"/>
      <c r="E320" s="58"/>
      <c r="F320" s="58"/>
      <c r="G320" s="58" t="str">
        <f>IFERROR(__xludf.DUMMYFUNCTION("""COMPUTED_VALUE"""),"Negative")</f>
        <v>Negative</v>
      </c>
      <c r="H320" s="206" t="str">
        <f>IFERROR(__xludf.DUMMYFUNCTION("""COMPUTED_VALUE"""),"Negative")</f>
        <v>Negative</v>
      </c>
      <c r="I320" s="207">
        <f>IFERROR(__xludf.DUMMYFUNCTION("""COMPUTED_VALUE"""),44665.0)</f>
        <v>44665</v>
      </c>
      <c r="J320" s="208">
        <f>IFERROR(__xludf.DUMMYFUNCTION("""COMPUTED_VALUE"""),0.3615277777777778)</f>
        <v>0.3615277778</v>
      </c>
      <c r="K320" s="50"/>
      <c r="L320" s="6"/>
      <c r="M320" s="55"/>
      <c r="N320" s="55">
        <f>IFERROR(__xludf.DUMMYFUNCTION("""COMPUTED_VALUE"""),1.0)</f>
        <v>1</v>
      </c>
      <c r="O320" s="55" t="str">
        <f t="shared" si="3"/>
        <v/>
      </c>
      <c r="P320" s="209"/>
      <c r="Q320" s="75" t="b">
        <f>VLOOKUP($B320,'Run Reconcile'!B$2:P1679,15,FALSE)</f>
        <v>1</v>
      </c>
      <c r="R320" s="211" t="str">
        <f t="array" ref="R320">IF($Q320, INDEX('Run Reconcile'!A$2:A1679,MATCH(B320,'Run Reconcile'!B$2:B1679,0),1),IFERROR(0/0,""))</f>
        <v>RUN-COMB_2022-04-14_RFR-017</v>
      </c>
      <c r="S320" s="165" t="str">
        <f t="shared" ref="S320:T320" si="639">IF(COUNTIF(W$2:W1679, $A320) &gt; 0,TRUE,IFERROR(0/0,""))</f>
        <v/>
      </c>
      <c r="T320" s="165" t="str">
        <f t="shared" si="639"/>
        <v/>
      </c>
      <c r="U320" s="147" t="str">
        <f t="array" ref="U320">IF(ISBLANK($R320), IF($S320,VLOOKUP($B320+1,'RFR Data - preExcl'!$BF$2:$BG1679,2,FALSE),IF($T320,INDEX('RFR Data - preExcl'!$BF$2:$BG1679,MATCH($B320,'RFR Data - preExcl'!$BF$2:$BF1679,0)+1,2),VLOOKUP($B320,'RFR Data - preExcl'!$BF$2:$BG1679,2,FALSE))),IFERROR(0/0,""))</f>
        <v/>
      </c>
      <c r="V320" s="212" t="str">
        <f t="shared" si="5"/>
        <v>RUN-COMB_2022-04-14_RFR-017</v>
      </c>
      <c r="W320" s="51"/>
      <c r="X320" s="51"/>
      <c r="Y320" s="147" t="str">
        <f t="shared" ref="Y320:Z320" si="640">IF(_xlfn.ISFORMULA(S320),IFERROR(0/0,""),TRUE)</f>
        <v/>
      </c>
      <c r="Z320" s="147" t="str">
        <f t="shared" si="640"/>
        <v/>
      </c>
    </row>
    <row r="321">
      <c r="A321" s="6" t="str">
        <f>IFERROR(__xludf.DUMMYFUNCTION("""COMPUTED_VALUE"""),"FM4404")</f>
        <v>FM4404</v>
      </c>
      <c r="B321" s="206">
        <f>IFERROR(__xludf.DUMMYFUNCTION("""COMPUTED_VALUE"""),44665.0)</f>
        <v>44665</v>
      </c>
      <c r="C321" s="207">
        <f>IFERROR(__xludf.DUMMYFUNCTION("""COMPUTED_VALUE"""),0.26915509259259257)</f>
        <v>0.2691550926</v>
      </c>
      <c r="D321" s="50"/>
      <c r="E321" s="58"/>
      <c r="F321" s="58"/>
      <c r="G321" s="58" t="str">
        <f>IFERROR(__xludf.DUMMYFUNCTION("""COMPUTED_VALUE"""),"Negative")</f>
        <v>Negative</v>
      </c>
      <c r="H321" s="206" t="str">
        <f>IFERROR(__xludf.DUMMYFUNCTION("""COMPUTED_VALUE"""),"Negative")</f>
        <v>Negative</v>
      </c>
      <c r="I321" s="207">
        <f>IFERROR(__xludf.DUMMYFUNCTION("""COMPUTED_VALUE"""),44665.0)</f>
        <v>44665</v>
      </c>
      <c r="J321" s="208">
        <f>IFERROR(__xludf.DUMMYFUNCTION("""COMPUTED_VALUE"""),0.3615277777777778)</f>
        <v>0.3615277778</v>
      </c>
      <c r="K321" s="50"/>
      <c r="L321" s="6"/>
      <c r="M321" s="55"/>
      <c r="N321" s="55">
        <f>IFERROR(__xludf.DUMMYFUNCTION("""COMPUTED_VALUE"""),1.0)</f>
        <v>1</v>
      </c>
      <c r="O321" s="55" t="str">
        <f t="shared" si="3"/>
        <v/>
      </c>
      <c r="P321" s="209"/>
      <c r="Q321" s="75" t="b">
        <f>VLOOKUP($B321,'Run Reconcile'!B$2:P1679,15,FALSE)</f>
        <v>1</v>
      </c>
      <c r="R321" s="211" t="str">
        <f t="array" ref="R321">IF($Q321, INDEX('Run Reconcile'!A$2:A1679,MATCH(B321,'Run Reconcile'!B$2:B1679,0),1),IFERROR(0/0,""))</f>
        <v>RUN-COMB_2022-04-14_RFR-017</v>
      </c>
      <c r="S321" s="165" t="str">
        <f t="shared" ref="S321:T321" si="641">IF(COUNTIF(W$2:W1679, $A321) &gt; 0,TRUE,IFERROR(0/0,""))</f>
        <v/>
      </c>
      <c r="T321" s="165" t="str">
        <f t="shared" si="641"/>
        <v/>
      </c>
      <c r="U321" s="147" t="str">
        <f t="array" ref="U321">IF(ISBLANK($R321), IF($S321,VLOOKUP($B321+1,'RFR Data - preExcl'!$BF$2:$BG1679,2,FALSE),IF($T321,INDEX('RFR Data - preExcl'!$BF$2:$BG1679,MATCH($B321,'RFR Data - preExcl'!$BF$2:$BF1679,0)+1,2),VLOOKUP($B321,'RFR Data - preExcl'!$BF$2:$BG1679,2,FALSE))),IFERROR(0/0,""))</f>
        <v/>
      </c>
      <c r="V321" s="212" t="str">
        <f t="shared" si="5"/>
        <v>RUN-COMB_2022-04-14_RFR-017</v>
      </c>
      <c r="W321" s="51"/>
      <c r="X321" s="51"/>
      <c r="Y321" s="147" t="str">
        <f t="shared" ref="Y321:Z321" si="642">IF(_xlfn.ISFORMULA(S321),IFERROR(0/0,""),TRUE)</f>
        <v/>
      </c>
      <c r="Z321" s="147" t="str">
        <f t="shared" si="642"/>
        <v/>
      </c>
    </row>
    <row r="322">
      <c r="A322" s="6" t="str">
        <f>IFERROR(__xludf.DUMMYFUNCTION("""COMPUTED_VALUE"""),"FM4400")</f>
        <v>FM4400</v>
      </c>
      <c r="B322" s="206">
        <f>IFERROR(__xludf.DUMMYFUNCTION("""COMPUTED_VALUE"""),44665.0)</f>
        <v>44665</v>
      </c>
      <c r="C322" s="207">
        <f>IFERROR(__xludf.DUMMYFUNCTION("""COMPUTED_VALUE"""),0.26957175925925925)</f>
        <v>0.2695717593</v>
      </c>
      <c r="D322" s="50"/>
      <c r="E322" s="58"/>
      <c r="F322" s="58"/>
      <c r="G322" s="58" t="str">
        <f>IFERROR(__xludf.DUMMYFUNCTION("""COMPUTED_VALUE"""),"Negative")</f>
        <v>Negative</v>
      </c>
      <c r="H322" s="206" t="str">
        <f>IFERROR(__xludf.DUMMYFUNCTION("""COMPUTED_VALUE"""),"Negative")</f>
        <v>Negative</v>
      </c>
      <c r="I322" s="207">
        <f>IFERROR(__xludf.DUMMYFUNCTION("""COMPUTED_VALUE"""),44665.0)</f>
        <v>44665</v>
      </c>
      <c r="J322" s="208">
        <f>IFERROR(__xludf.DUMMYFUNCTION("""COMPUTED_VALUE"""),0.3615277777777778)</f>
        <v>0.3615277778</v>
      </c>
      <c r="K322" s="50"/>
      <c r="L322" s="6"/>
      <c r="M322" s="55"/>
      <c r="N322" s="55">
        <f>IFERROR(__xludf.DUMMYFUNCTION("""COMPUTED_VALUE"""),1.0)</f>
        <v>1</v>
      </c>
      <c r="O322" s="55" t="str">
        <f t="shared" si="3"/>
        <v/>
      </c>
      <c r="P322" s="209"/>
      <c r="Q322" s="75" t="b">
        <f>VLOOKUP($B322,'Run Reconcile'!B$2:P1679,15,FALSE)</f>
        <v>1</v>
      </c>
      <c r="R322" s="211" t="str">
        <f t="array" ref="R322">IF($Q322, INDEX('Run Reconcile'!A$2:A1679,MATCH(B322,'Run Reconcile'!B$2:B1679,0),1),IFERROR(0/0,""))</f>
        <v>RUN-COMB_2022-04-14_RFR-017</v>
      </c>
      <c r="S322" s="165" t="str">
        <f t="shared" ref="S322:T322" si="643">IF(COUNTIF(W$2:W1679, $A322) &gt; 0,TRUE,IFERROR(0/0,""))</f>
        <v/>
      </c>
      <c r="T322" s="165" t="str">
        <f t="shared" si="643"/>
        <v/>
      </c>
      <c r="U322" s="147" t="str">
        <f t="array" ref="U322">IF(ISBLANK($R322), IF($S322,VLOOKUP($B322+1,'RFR Data - preExcl'!$BF$2:$BG1679,2,FALSE),IF($T322,INDEX('RFR Data - preExcl'!$BF$2:$BG1679,MATCH($B322,'RFR Data - preExcl'!$BF$2:$BF1679,0)+1,2),VLOOKUP($B322,'RFR Data - preExcl'!$BF$2:$BG1679,2,FALSE))),IFERROR(0/0,""))</f>
        <v/>
      </c>
      <c r="V322" s="212" t="str">
        <f t="shared" si="5"/>
        <v>RUN-COMB_2022-04-14_RFR-017</v>
      </c>
      <c r="W322" s="51"/>
      <c r="X322" s="51"/>
      <c r="Y322" s="147" t="str">
        <f t="shared" ref="Y322:Z322" si="644">IF(_xlfn.ISFORMULA(S322),IFERROR(0/0,""),TRUE)</f>
        <v/>
      </c>
      <c r="Z322" s="147" t="str">
        <f t="shared" si="644"/>
        <v/>
      </c>
    </row>
    <row r="323">
      <c r="A323" s="6" t="str">
        <f>IFERROR(__xludf.DUMMYFUNCTION("""COMPUTED_VALUE"""),"FM4500")</f>
        <v>FM4500</v>
      </c>
      <c r="B323" s="206">
        <f>IFERROR(__xludf.DUMMYFUNCTION("""COMPUTED_VALUE"""),44665.0)</f>
        <v>44665</v>
      </c>
      <c r="C323" s="207">
        <f>IFERROR(__xludf.DUMMYFUNCTION("""COMPUTED_VALUE"""),0.26990740740740743)</f>
        <v>0.2699074074</v>
      </c>
      <c r="D323" s="50"/>
      <c r="E323" s="58"/>
      <c r="F323" s="58"/>
      <c r="G323" s="58" t="str">
        <f>IFERROR(__xludf.DUMMYFUNCTION("""COMPUTED_VALUE"""),"Negative")</f>
        <v>Negative</v>
      </c>
      <c r="H323" s="206" t="str">
        <f>IFERROR(__xludf.DUMMYFUNCTION("""COMPUTED_VALUE"""),"Negative")</f>
        <v>Negative</v>
      </c>
      <c r="I323" s="207">
        <f>IFERROR(__xludf.DUMMYFUNCTION("""COMPUTED_VALUE"""),44665.0)</f>
        <v>44665</v>
      </c>
      <c r="J323" s="208">
        <f>IFERROR(__xludf.DUMMYFUNCTION("""COMPUTED_VALUE"""),0.3615393518518519)</f>
        <v>0.3615393519</v>
      </c>
      <c r="K323" s="50"/>
      <c r="L323" s="6"/>
      <c r="M323" s="55"/>
      <c r="N323" s="55">
        <f>IFERROR(__xludf.DUMMYFUNCTION("""COMPUTED_VALUE"""),1.0)</f>
        <v>1</v>
      </c>
      <c r="O323" s="55" t="str">
        <f t="shared" si="3"/>
        <v/>
      </c>
      <c r="P323" s="209"/>
      <c r="Q323" s="75" t="b">
        <f>VLOOKUP($B323,'Run Reconcile'!B$2:P1679,15,FALSE)</f>
        <v>1</v>
      </c>
      <c r="R323" s="211" t="str">
        <f t="array" ref="R323">IF($Q323, INDEX('Run Reconcile'!A$2:A1679,MATCH(B323,'Run Reconcile'!B$2:B1679,0),1),IFERROR(0/0,""))</f>
        <v>RUN-COMB_2022-04-14_RFR-017</v>
      </c>
      <c r="S323" s="165" t="str">
        <f t="shared" ref="S323:T323" si="645">IF(COUNTIF(W$2:W1679, $A323) &gt; 0,TRUE,IFERROR(0/0,""))</f>
        <v/>
      </c>
      <c r="T323" s="165" t="str">
        <f t="shared" si="645"/>
        <v/>
      </c>
      <c r="U323" s="147" t="str">
        <f t="array" ref="U323">IF(ISBLANK($R323), IF($S323,VLOOKUP($B323+1,'RFR Data - preExcl'!$BF$2:$BG1679,2,FALSE),IF($T323,INDEX('RFR Data - preExcl'!$BF$2:$BG1679,MATCH($B323,'RFR Data - preExcl'!$BF$2:$BF1679,0)+1,2),VLOOKUP($B323,'RFR Data - preExcl'!$BF$2:$BG1679,2,FALSE))),IFERROR(0/0,""))</f>
        <v/>
      </c>
      <c r="V323" s="212" t="str">
        <f t="shared" si="5"/>
        <v>RUN-COMB_2022-04-14_RFR-017</v>
      </c>
      <c r="W323" s="51"/>
      <c r="X323" s="51"/>
      <c r="Y323" s="147" t="str">
        <f t="shared" ref="Y323:Z323" si="646">IF(_xlfn.ISFORMULA(S323),IFERROR(0/0,""),TRUE)</f>
        <v/>
      </c>
      <c r="Z323" s="147" t="str">
        <f t="shared" si="646"/>
        <v/>
      </c>
    </row>
    <row r="324">
      <c r="A324" s="6" t="str">
        <f>IFERROR(__xludf.DUMMYFUNCTION("""COMPUTED_VALUE"""),"FM4000")</f>
        <v>FM4000</v>
      </c>
      <c r="B324" s="206">
        <f>IFERROR(__xludf.DUMMYFUNCTION("""COMPUTED_VALUE"""),44665.0)</f>
        <v>44665</v>
      </c>
      <c r="C324" s="207">
        <f>IFERROR(__xludf.DUMMYFUNCTION("""COMPUTED_VALUE"""),0.2702893518518519)</f>
        <v>0.2702893519</v>
      </c>
      <c r="D324" s="50"/>
      <c r="E324" s="58"/>
      <c r="F324" s="58"/>
      <c r="G324" s="58" t="str">
        <f>IFERROR(__xludf.DUMMYFUNCTION("""COMPUTED_VALUE"""),"Negative")</f>
        <v>Negative</v>
      </c>
      <c r="H324" s="206" t="str">
        <f>IFERROR(__xludf.DUMMYFUNCTION("""COMPUTED_VALUE"""),"Negative")</f>
        <v>Negative</v>
      </c>
      <c r="I324" s="207">
        <f>IFERROR(__xludf.DUMMYFUNCTION("""COMPUTED_VALUE"""),44665.0)</f>
        <v>44665</v>
      </c>
      <c r="J324" s="208">
        <f>IFERROR(__xludf.DUMMYFUNCTION("""COMPUTED_VALUE"""),0.3615393518518519)</f>
        <v>0.3615393519</v>
      </c>
      <c r="K324" s="50"/>
      <c r="L324" s="6"/>
      <c r="M324" s="55"/>
      <c r="N324" s="55">
        <f>IFERROR(__xludf.DUMMYFUNCTION("""COMPUTED_VALUE"""),1.0)</f>
        <v>1</v>
      </c>
      <c r="O324" s="55" t="str">
        <f t="shared" si="3"/>
        <v/>
      </c>
      <c r="P324" s="209"/>
      <c r="Q324" s="75" t="b">
        <f>VLOOKUP($B324,'Run Reconcile'!B$2:P1679,15,FALSE)</f>
        <v>1</v>
      </c>
      <c r="R324" s="211" t="str">
        <f t="array" ref="R324">IF($Q324, INDEX('Run Reconcile'!A$2:A1679,MATCH(B324,'Run Reconcile'!B$2:B1679,0),1),IFERROR(0/0,""))</f>
        <v>RUN-COMB_2022-04-14_RFR-017</v>
      </c>
      <c r="S324" s="165" t="str">
        <f t="shared" ref="S324:T324" si="647">IF(COUNTIF(W$2:W1679, $A324) &gt; 0,TRUE,IFERROR(0/0,""))</f>
        <v/>
      </c>
      <c r="T324" s="165" t="str">
        <f t="shared" si="647"/>
        <v/>
      </c>
      <c r="U324" s="147" t="str">
        <f t="array" ref="U324">IF(ISBLANK($R324), IF($S324,VLOOKUP($B324+1,'RFR Data - preExcl'!$BF$2:$BG1679,2,FALSE),IF($T324,INDEX('RFR Data - preExcl'!$BF$2:$BG1679,MATCH($B324,'RFR Data - preExcl'!$BF$2:$BF1679,0)+1,2),VLOOKUP($B324,'RFR Data - preExcl'!$BF$2:$BG1679,2,FALSE))),IFERROR(0/0,""))</f>
        <v/>
      </c>
      <c r="V324" s="212" t="str">
        <f t="shared" si="5"/>
        <v>RUN-COMB_2022-04-14_RFR-017</v>
      </c>
      <c r="W324" s="51"/>
      <c r="X324" s="51"/>
      <c r="Y324" s="147" t="str">
        <f t="shared" ref="Y324:Z324" si="648">IF(_xlfn.ISFORMULA(S324),IFERROR(0/0,""),TRUE)</f>
        <v/>
      </c>
      <c r="Z324" s="147" t="str">
        <f t="shared" si="648"/>
        <v/>
      </c>
    </row>
    <row r="325">
      <c r="A325" s="6" t="str">
        <f>IFERROR(__xludf.DUMMYFUNCTION("""COMPUTED_VALUE"""),"FM4386")</f>
        <v>FM4386</v>
      </c>
      <c r="B325" s="206">
        <f>IFERROR(__xludf.DUMMYFUNCTION("""COMPUTED_VALUE"""),44665.0)</f>
        <v>44665</v>
      </c>
      <c r="C325" s="207">
        <f>IFERROR(__xludf.DUMMYFUNCTION("""COMPUTED_VALUE"""),0.27067129629629627)</f>
        <v>0.2706712963</v>
      </c>
      <c r="D325" s="50"/>
      <c r="E325" s="58"/>
      <c r="F325" s="58"/>
      <c r="G325" s="58" t="str">
        <f>IFERROR(__xludf.DUMMYFUNCTION("""COMPUTED_VALUE"""),"Negative")</f>
        <v>Negative</v>
      </c>
      <c r="H325" s="206" t="str">
        <f>IFERROR(__xludf.DUMMYFUNCTION("""COMPUTED_VALUE"""),"Negative")</f>
        <v>Negative</v>
      </c>
      <c r="I325" s="207">
        <f>IFERROR(__xludf.DUMMYFUNCTION("""COMPUTED_VALUE"""),44665.0)</f>
        <v>44665</v>
      </c>
      <c r="J325" s="208">
        <f>IFERROR(__xludf.DUMMYFUNCTION("""COMPUTED_VALUE"""),0.3615509259259259)</f>
        <v>0.3615509259</v>
      </c>
      <c r="K325" s="50"/>
      <c r="L325" s="6"/>
      <c r="M325" s="55"/>
      <c r="N325" s="55">
        <f>IFERROR(__xludf.DUMMYFUNCTION("""COMPUTED_VALUE"""),1.0)</f>
        <v>1</v>
      </c>
      <c r="O325" s="55" t="str">
        <f t="shared" si="3"/>
        <v/>
      </c>
      <c r="P325" s="209"/>
      <c r="Q325" s="75" t="b">
        <f>VLOOKUP($B325,'Run Reconcile'!B$2:P1679,15,FALSE)</f>
        <v>1</v>
      </c>
      <c r="R325" s="211" t="str">
        <f t="array" ref="R325">IF($Q325, INDEX('Run Reconcile'!A$2:A1679,MATCH(B325,'Run Reconcile'!B$2:B1679,0),1),IFERROR(0/0,""))</f>
        <v>RUN-COMB_2022-04-14_RFR-017</v>
      </c>
      <c r="S325" s="165" t="str">
        <f t="shared" ref="S325:T325" si="649">IF(COUNTIF(W$2:W1679, $A325) &gt; 0,TRUE,IFERROR(0/0,""))</f>
        <v/>
      </c>
      <c r="T325" s="165" t="str">
        <f t="shared" si="649"/>
        <v/>
      </c>
      <c r="U325" s="147" t="str">
        <f t="array" ref="U325">IF(ISBLANK($R325), IF($S325,VLOOKUP($B325+1,'RFR Data - preExcl'!$BF$2:$BG1679,2,FALSE),IF($T325,INDEX('RFR Data - preExcl'!$BF$2:$BG1679,MATCH($B325,'RFR Data - preExcl'!$BF$2:$BF1679,0)+1,2),VLOOKUP($B325,'RFR Data - preExcl'!$BF$2:$BG1679,2,FALSE))),IFERROR(0/0,""))</f>
        <v/>
      </c>
      <c r="V325" s="212" t="str">
        <f t="shared" si="5"/>
        <v>RUN-COMB_2022-04-14_RFR-017</v>
      </c>
      <c r="W325" s="51"/>
      <c r="X325" s="51"/>
      <c r="Y325" s="147" t="str">
        <f t="shared" ref="Y325:Z325" si="650">IF(_xlfn.ISFORMULA(S325),IFERROR(0/0,""),TRUE)</f>
        <v/>
      </c>
      <c r="Z325" s="147" t="str">
        <f t="shared" si="650"/>
        <v/>
      </c>
    </row>
    <row r="326">
      <c r="A326" s="6" t="str">
        <f>IFERROR(__xludf.DUMMYFUNCTION("""COMPUTED_VALUE"""),"FM4248")</f>
        <v>FM4248</v>
      </c>
      <c r="B326" s="206">
        <f>IFERROR(__xludf.DUMMYFUNCTION("""COMPUTED_VALUE"""),44665.0)</f>
        <v>44665</v>
      </c>
      <c r="C326" s="207">
        <f>IFERROR(__xludf.DUMMYFUNCTION("""COMPUTED_VALUE"""),0.27111111111111114)</f>
        <v>0.2711111111</v>
      </c>
      <c r="D326" s="50"/>
      <c r="E326" s="58"/>
      <c r="F326" s="58"/>
      <c r="G326" s="58" t="str">
        <f>IFERROR(__xludf.DUMMYFUNCTION("""COMPUTED_VALUE"""),"Negative")</f>
        <v>Negative</v>
      </c>
      <c r="H326" s="206" t="str">
        <f>IFERROR(__xludf.DUMMYFUNCTION("""COMPUTED_VALUE"""),"Negative")</f>
        <v>Negative</v>
      </c>
      <c r="I326" s="207">
        <f>IFERROR(__xludf.DUMMYFUNCTION("""COMPUTED_VALUE"""),44665.0)</f>
        <v>44665</v>
      </c>
      <c r="J326" s="208">
        <f>IFERROR(__xludf.DUMMYFUNCTION("""COMPUTED_VALUE"""),0.3615509259259259)</f>
        <v>0.3615509259</v>
      </c>
      <c r="K326" s="50"/>
      <c r="L326" s="6"/>
      <c r="M326" s="55"/>
      <c r="N326" s="55">
        <f>IFERROR(__xludf.DUMMYFUNCTION("""COMPUTED_VALUE"""),1.0)</f>
        <v>1</v>
      </c>
      <c r="O326" s="55" t="str">
        <f t="shared" si="3"/>
        <v/>
      </c>
      <c r="P326" s="209"/>
      <c r="Q326" s="75" t="b">
        <f>VLOOKUP($B326,'Run Reconcile'!B$2:P1679,15,FALSE)</f>
        <v>1</v>
      </c>
      <c r="R326" s="211" t="str">
        <f t="array" ref="R326">IF($Q326, INDEX('Run Reconcile'!A$2:A1679,MATCH(B326,'Run Reconcile'!B$2:B1679,0),1),IFERROR(0/0,""))</f>
        <v>RUN-COMB_2022-04-14_RFR-017</v>
      </c>
      <c r="S326" s="165" t="str">
        <f t="shared" ref="S326:T326" si="651">IF(COUNTIF(W$2:W1679, $A326) &gt; 0,TRUE,IFERROR(0/0,""))</f>
        <v/>
      </c>
      <c r="T326" s="165" t="str">
        <f t="shared" si="651"/>
        <v/>
      </c>
      <c r="U326" s="147" t="str">
        <f t="array" ref="U326">IF(ISBLANK($R326), IF($S326,VLOOKUP($B326+1,'RFR Data - preExcl'!$BF$2:$BG1679,2,FALSE),IF($T326,INDEX('RFR Data - preExcl'!$BF$2:$BG1679,MATCH($B326,'RFR Data - preExcl'!$BF$2:$BF1679,0)+1,2),VLOOKUP($B326,'RFR Data - preExcl'!$BF$2:$BG1679,2,FALSE))),IFERROR(0/0,""))</f>
        <v/>
      </c>
      <c r="V326" s="212" t="str">
        <f t="shared" si="5"/>
        <v>RUN-COMB_2022-04-14_RFR-017</v>
      </c>
      <c r="W326" s="51"/>
      <c r="X326" s="51"/>
      <c r="Y326" s="147" t="str">
        <f t="shared" ref="Y326:Z326" si="652">IF(_xlfn.ISFORMULA(S326),IFERROR(0/0,""),TRUE)</f>
        <v/>
      </c>
      <c r="Z326" s="147" t="str">
        <f t="shared" si="652"/>
        <v/>
      </c>
    </row>
    <row r="327">
      <c r="A327" s="6" t="str">
        <f>IFERROR(__xludf.DUMMYFUNCTION("""COMPUTED_VALUE"""),"FM4430")</f>
        <v>FM4430</v>
      </c>
      <c r="B327" s="206">
        <f>IFERROR(__xludf.DUMMYFUNCTION("""COMPUTED_VALUE"""),44665.0)</f>
        <v>44665</v>
      </c>
      <c r="C327" s="207">
        <f>IFERROR(__xludf.DUMMYFUNCTION("""COMPUTED_VALUE"""),0.2714699074074074)</f>
        <v>0.2714699074</v>
      </c>
      <c r="D327" s="50"/>
      <c r="E327" s="58"/>
      <c r="F327" s="58"/>
      <c r="G327" s="58" t="str">
        <f>IFERROR(__xludf.DUMMYFUNCTION("""COMPUTED_VALUE"""),"Negative")</f>
        <v>Negative</v>
      </c>
      <c r="H327" s="206" t="str">
        <f>IFERROR(__xludf.DUMMYFUNCTION("""COMPUTED_VALUE"""),"Negative")</f>
        <v>Negative</v>
      </c>
      <c r="I327" s="207">
        <f>IFERROR(__xludf.DUMMYFUNCTION("""COMPUTED_VALUE"""),44665.0)</f>
        <v>44665</v>
      </c>
      <c r="J327" s="208">
        <f>IFERROR(__xludf.DUMMYFUNCTION("""COMPUTED_VALUE"""),0.3615509259259259)</f>
        <v>0.3615509259</v>
      </c>
      <c r="K327" s="50"/>
      <c r="L327" s="6"/>
      <c r="M327" s="55"/>
      <c r="N327" s="55">
        <f>IFERROR(__xludf.DUMMYFUNCTION("""COMPUTED_VALUE"""),1.0)</f>
        <v>1</v>
      </c>
      <c r="O327" s="55" t="str">
        <f t="shared" si="3"/>
        <v/>
      </c>
      <c r="P327" s="209"/>
      <c r="Q327" s="75" t="b">
        <f>VLOOKUP($B327,'Run Reconcile'!B$2:P1679,15,FALSE)</f>
        <v>1</v>
      </c>
      <c r="R327" s="211" t="str">
        <f t="array" ref="R327">IF($Q327, INDEX('Run Reconcile'!A$2:A1679,MATCH(B327,'Run Reconcile'!B$2:B1679,0),1),IFERROR(0/0,""))</f>
        <v>RUN-COMB_2022-04-14_RFR-017</v>
      </c>
      <c r="S327" s="165" t="str">
        <f t="shared" ref="S327:T327" si="653">IF(COUNTIF(W$2:W1679, $A327) &gt; 0,TRUE,IFERROR(0/0,""))</f>
        <v/>
      </c>
      <c r="T327" s="165" t="str">
        <f t="shared" si="653"/>
        <v/>
      </c>
      <c r="U327" s="147" t="str">
        <f t="array" ref="U327">IF(ISBLANK($R327), IF($S327,VLOOKUP($B327+1,'RFR Data - preExcl'!$BF$2:$BG1679,2,FALSE),IF($T327,INDEX('RFR Data - preExcl'!$BF$2:$BG1679,MATCH($B327,'RFR Data - preExcl'!$BF$2:$BF1679,0)+1,2),VLOOKUP($B327,'RFR Data - preExcl'!$BF$2:$BG1679,2,FALSE))),IFERROR(0/0,""))</f>
        <v/>
      </c>
      <c r="V327" s="212" t="str">
        <f t="shared" si="5"/>
        <v>RUN-COMB_2022-04-14_RFR-017</v>
      </c>
      <c r="W327" s="51"/>
      <c r="X327" s="51"/>
      <c r="Y327" s="147" t="str">
        <f t="shared" ref="Y327:Z327" si="654">IF(_xlfn.ISFORMULA(S327),IFERROR(0/0,""),TRUE)</f>
        <v/>
      </c>
      <c r="Z327" s="147" t="str">
        <f t="shared" si="654"/>
        <v/>
      </c>
    </row>
    <row r="328">
      <c r="A328" s="6" t="str">
        <f>IFERROR(__xludf.DUMMYFUNCTION("""COMPUTED_VALUE"""),"FM4255")</f>
        <v>FM4255</v>
      </c>
      <c r="B328" s="206">
        <f>IFERROR(__xludf.DUMMYFUNCTION("""COMPUTED_VALUE"""),44665.0)</f>
        <v>44665</v>
      </c>
      <c r="C328" s="207">
        <f>IFERROR(__xludf.DUMMYFUNCTION("""COMPUTED_VALUE"""),0.2721064814814815)</f>
        <v>0.2721064815</v>
      </c>
      <c r="D328" s="50"/>
      <c r="E328" s="58"/>
      <c r="F328" s="58"/>
      <c r="G328" s="58" t="str">
        <f>IFERROR(__xludf.DUMMYFUNCTION("""COMPUTED_VALUE"""),"Negative")</f>
        <v>Negative</v>
      </c>
      <c r="H328" s="206" t="str">
        <f>IFERROR(__xludf.DUMMYFUNCTION("""COMPUTED_VALUE"""),"Negative")</f>
        <v>Negative</v>
      </c>
      <c r="I328" s="207">
        <f>IFERROR(__xludf.DUMMYFUNCTION("""COMPUTED_VALUE"""),44665.0)</f>
        <v>44665</v>
      </c>
      <c r="J328" s="208">
        <f>IFERROR(__xludf.DUMMYFUNCTION("""COMPUTED_VALUE"""),0.3615625)</f>
        <v>0.3615625</v>
      </c>
      <c r="K328" s="50"/>
      <c r="L328" s="6"/>
      <c r="M328" s="55"/>
      <c r="N328" s="55">
        <f>IFERROR(__xludf.DUMMYFUNCTION("""COMPUTED_VALUE"""),1.0)</f>
        <v>1</v>
      </c>
      <c r="O328" s="55" t="str">
        <f t="shared" si="3"/>
        <v/>
      </c>
      <c r="P328" s="209"/>
      <c r="Q328" s="75" t="b">
        <f>VLOOKUP($B328,'Run Reconcile'!B$2:P1679,15,FALSE)</f>
        <v>1</v>
      </c>
      <c r="R328" s="211" t="str">
        <f t="array" ref="R328">IF($Q328, INDEX('Run Reconcile'!A$2:A1679,MATCH(B328,'Run Reconcile'!B$2:B1679,0),1),IFERROR(0/0,""))</f>
        <v>RUN-COMB_2022-04-14_RFR-017</v>
      </c>
      <c r="S328" s="165" t="str">
        <f t="shared" ref="S328:T328" si="655">IF(COUNTIF(W$2:W1679, $A328) &gt; 0,TRUE,IFERROR(0/0,""))</f>
        <v/>
      </c>
      <c r="T328" s="165" t="str">
        <f t="shared" si="655"/>
        <v/>
      </c>
      <c r="U328" s="147" t="str">
        <f t="array" ref="U328">IF(ISBLANK($R328), IF($S328,VLOOKUP($B328+1,'RFR Data - preExcl'!$BF$2:$BG1679,2,FALSE),IF($T328,INDEX('RFR Data - preExcl'!$BF$2:$BG1679,MATCH($B328,'RFR Data - preExcl'!$BF$2:$BF1679,0)+1,2),VLOOKUP($B328,'RFR Data - preExcl'!$BF$2:$BG1679,2,FALSE))),IFERROR(0/0,""))</f>
        <v/>
      </c>
      <c r="V328" s="212" t="str">
        <f t="shared" si="5"/>
        <v>RUN-COMB_2022-04-14_RFR-017</v>
      </c>
      <c r="W328" s="51"/>
      <c r="X328" s="51"/>
      <c r="Y328" s="147" t="str">
        <f t="shared" ref="Y328:Z328" si="656">IF(_xlfn.ISFORMULA(S328),IFERROR(0/0,""),TRUE)</f>
        <v/>
      </c>
      <c r="Z328" s="147" t="str">
        <f t="shared" si="656"/>
        <v/>
      </c>
    </row>
    <row r="329">
      <c r="A329" s="6" t="str">
        <f>IFERROR(__xludf.DUMMYFUNCTION("""COMPUTED_VALUE"""),"FM4448")</f>
        <v>FM4448</v>
      </c>
      <c r="B329" s="206">
        <f>IFERROR(__xludf.DUMMYFUNCTION("""COMPUTED_VALUE"""),44665.0)</f>
        <v>44665</v>
      </c>
      <c r="C329" s="207">
        <f>IFERROR(__xludf.DUMMYFUNCTION("""COMPUTED_VALUE"""),0.27265046296296297)</f>
        <v>0.272650463</v>
      </c>
      <c r="D329" s="50"/>
      <c r="E329" s="58"/>
      <c r="F329" s="58"/>
      <c r="G329" s="58" t="str">
        <f>IFERROR(__xludf.DUMMYFUNCTION("""COMPUTED_VALUE"""),"Negative")</f>
        <v>Negative</v>
      </c>
      <c r="H329" s="206" t="str">
        <f>IFERROR(__xludf.DUMMYFUNCTION("""COMPUTED_VALUE"""),"Negative")</f>
        <v>Negative</v>
      </c>
      <c r="I329" s="207">
        <f>IFERROR(__xludf.DUMMYFUNCTION("""COMPUTED_VALUE"""),44665.0)</f>
        <v>44665</v>
      </c>
      <c r="J329" s="208">
        <f>IFERROR(__xludf.DUMMYFUNCTION("""COMPUTED_VALUE"""),0.3615625)</f>
        <v>0.3615625</v>
      </c>
      <c r="K329" s="50"/>
      <c r="L329" s="6"/>
      <c r="M329" s="55"/>
      <c r="N329" s="55">
        <f>IFERROR(__xludf.DUMMYFUNCTION("""COMPUTED_VALUE"""),1.0)</f>
        <v>1</v>
      </c>
      <c r="O329" s="55" t="str">
        <f t="shared" si="3"/>
        <v/>
      </c>
      <c r="P329" s="209"/>
      <c r="Q329" s="75" t="b">
        <f>VLOOKUP($B329,'Run Reconcile'!B$2:P1679,15,FALSE)</f>
        <v>1</v>
      </c>
      <c r="R329" s="211" t="str">
        <f t="array" ref="R329">IF($Q329, INDEX('Run Reconcile'!A$2:A1679,MATCH(B329,'Run Reconcile'!B$2:B1679,0),1),IFERROR(0/0,""))</f>
        <v>RUN-COMB_2022-04-14_RFR-017</v>
      </c>
      <c r="S329" s="165" t="str">
        <f t="shared" ref="S329:T329" si="657">IF(COUNTIF(W$2:W1679, $A329) &gt; 0,TRUE,IFERROR(0/0,""))</f>
        <v/>
      </c>
      <c r="T329" s="165" t="str">
        <f t="shared" si="657"/>
        <v/>
      </c>
      <c r="U329" s="147" t="str">
        <f t="array" ref="U329">IF(ISBLANK($R329), IF($S329,VLOOKUP($B329+1,'RFR Data - preExcl'!$BF$2:$BG1679,2,FALSE),IF($T329,INDEX('RFR Data - preExcl'!$BF$2:$BG1679,MATCH($B329,'RFR Data - preExcl'!$BF$2:$BF1679,0)+1,2),VLOOKUP($B329,'RFR Data - preExcl'!$BF$2:$BG1679,2,FALSE))),IFERROR(0/0,""))</f>
        <v/>
      </c>
      <c r="V329" s="212" t="str">
        <f t="shared" si="5"/>
        <v>RUN-COMB_2022-04-14_RFR-017</v>
      </c>
      <c r="W329" s="51"/>
      <c r="X329" s="51"/>
      <c r="Y329" s="147" t="str">
        <f t="shared" ref="Y329:Z329" si="658">IF(_xlfn.ISFORMULA(S329),IFERROR(0/0,""),TRUE)</f>
        <v/>
      </c>
      <c r="Z329" s="147" t="str">
        <f t="shared" si="658"/>
        <v/>
      </c>
    </row>
    <row r="330">
      <c r="A330" s="6" t="str">
        <f>IFERROR(__xludf.DUMMYFUNCTION("""COMPUTED_VALUE"""),"FM4258")</f>
        <v>FM4258</v>
      </c>
      <c r="B330" s="206">
        <f>IFERROR(__xludf.DUMMYFUNCTION("""COMPUTED_VALUE"""),44665.0)</f>
        <v>44665</v>
      </c>
      <c r="C330" s="207">
        <f>IFERROR(__xludf.DUMMYFUNCTION("""COMPUTED_VALUE"""),0.2779513888888889)</f>
        <v>0.2779513889</v>
      </c>
      <c r="D330" s="50"/>
      <c r="E330" s="58"/>
      <c r="F330" s="58"/>
      <c r="G330" s="58" t="str">
        <f>IFERROR(__xludf.DUMMYFUNCTION("""COMPUTED_VALUE"""),"Negative")</f>
        <v>Negative</v>
      </c>
      <c r="H330" s="206" t="str">
        <f>IFERROR(__xludf.DUMMYFUNCTION("""COMPUTED_VALUE"""),"Negative")</f>
        <v>Negative</v>
      </c>
      <c r="I330" s="207">
        <f>IFERROR(__xludf.DUMMYFUNCTION("""COMPUTED_VALUE"""),44665.0)</f>
        <v>44665</v>
      </c>
      <c r="J330" s="208">
        <f>IFERROR(__xludf.DUMMYFUNCTION("""COMPUTED_VALUE"""),0.3615625)</f>
        <v>0.3615625</v>
      </c>
      <c r="K330" s="50"/>
      <c r="L330" s="6"/>
      <c r="M330" s="55"/>
      <c r="N330" s="55">
        <f>IFERROR(__xludf.DUMMYFUNCTION("""COMPUTED_VALUE"""),1.0)</f>
        <v>1</v>
      </c>
      <c r="O330" s="55" t="str">
        <f t="shared" si="3"/>
        <v/>
      </c>
      <c r="P330" s="209"/>
      <c r="Q330" s="75" t="b">
        <f>VLOOKUP($B330,'Run Reconcile'!B$2:P1679,15,FALSE)</f>
        <v>1</v>
      </c>
      <c r="R330" s="211" t="str">
        <f t="array" ref="R330">IF($Q330, INDEX('Run Reconcile'!A$2:A1679,MATCH(B330,'Run Reconcile'!B$2:B1679,0),1),IFERROR(0/0,""))</f>
        <v>RUN-COMB_2022-04-14_RFR-017</v>
      </c>
      <c r="S330" s="165" t="str">
        <f t="shared" ref="S330:T330" si="659">IF(COUNTIF(W$2:W1679, $A330) &gt; 0,TRUE,IFERROR(0/0,""))</f>
        <v/>
      </c>
      <c r="T330" s="165" t="str">
        <f t="shared" si="659"/>
        <v/>
      </c>
      <c r="U330" s="147" t="str">
        <f t="array" ref="U330">IF(ISBLANK($R330), IF($S330,VLOOKUP($B330+1,'RFR Data - preExcl'!$BF$2:$BG1679,2,FALSE),IF($T330,INDEX('RFR Data - preExcl'!$BF$2:$BG1679,MATCH($B330,'RFR Data - preExcl'!$BF$2:$BF1679,0)+1,2),VLOOKUP($B330,'RFR Data - preExcl'!$BF$2:$BG1679,2,FALSE))),IFERROR(0/0,""))</f>
        <v/>
      </c>
      <c r="V330" s="212" t="str">
        <f t="shared" si="5"/>
        <v>RUN-COMB_2022-04-14_RFR-017</v>
      </c>
      <c r="W330" s="51"/>
      <c r="X330" s="51"/>
      <c r="Y330" s="147" t="str">
        <f t="shared" ref="Y330:Z330" si="660">IF(_xlfn.ISFORMULA(S330),IFERROR(0/0,""),TRUE)</f>
        <v/>
      </c>
      <c r="Z330" s="147" t="str">
        <f t="shared" si="660"/>
        <v/>
      </c>
    </row>
    <row r="331">
      <c r="A331" s="6" t="str">
        <f>IFERROR(__xludf.DUMMYFUNCTION("""COMPUTED_VALUE"""),"FM4409")</f>
        <v>FM4409</v>
      </c>
      <c r="B331" s="206">
        <f>IFERROR(__xludf.DUMMYFUNCTION("""COMPUTED_VALUE"""),44665.0)</f>
        <v>44665</v>
      </c>
      <c r="C331" s="207">
        <f>IFERROR(__xludf.DUMMYFUNCTION("""COMPUTED_VALUE"""),0.2785648148148148)</f>
        <v>0.2785648148</v>
      </c>
      <c r="D331" s="50"/>
      <c r="E331" s="58"/>
      <c r="F331" s="58"/>
      <c r="G331" s="58" t="str">
        <f>IFERROR(__xludf.DUMMYFUNCTION("""COMPUTED_VALUE"""),"Negative")</f>
        <v>Negative</v>
      </c>
      <c r="H331" s="206" t="str">
        <f>IFERROR(__xludf.DUMMYFUNCTION("""COMPUTED_VALUE"""),"Negative")</f>
        <v>Negative</v>
      </c>
      <c r="I331" s="207">
        <f>IFERROR(__xludf.DUMMYFUNCTION("""COMPUTED_VALUE"""),44665.0)</f>
        <v>44665</v>
      </c>
      <c r="J331" s="208">
        <f>IFERROR(__xludf.DUMMYFUNCTION("""COMPUTED_VALUE"""),0.3615625)</f>
        <v>0.3615625</v>
      </c>
      <c r="K331" s="50"/>
      <c r="L331" s="6"/>
      <c r="M331" s="55"/>
      <c r="N331" s="55">
        <f>IFERROR(__xludf.DUMMYFUNCTION("""COMPUTED_VALUE"""),1.0)</f>
        <v>1</v>
      </c>
      <c r="O331" s="55" t="str">
        <f t="shared" si="3"/>
        <v/>
      </c>
      <c r="P331" s="209"/>
      <c r="Q331" s="75" t="b">
        <f>VLOOKUP($B331,'Run Reconcile'!B$2:P1679,15,FALSE)</f>
        <v>1</v>
      </c>
      <c r="R331" s="211" t="str">
        <f t="array" ref="R331">IF($Q331, INDEX('Run Reconcile'!A$2:A1679,MATCH(B331,'Run Reconcile'!B$2:B1679,0),1),IFERROR(0/0,""))</f>
        <v>RUN-COMB_2022-04-14_RFR-017</v>
      </c>
      <c r="S331" s="165" t="str">
        <f t="shared" ref="S331:T331" si="661">IF(COUNTIF(W$2:W1679, $A331) &gt; 0,TRUE,IFERROR(0/0,""))</f>
        <v/>
      </c>
      <c r="T331" s="165" t="str">
        <f t="shared" si="661"/>
        <v/>
      </c>
      <c r="U331" s="147" t="str">
        <f t="array" ref="U331">IF(ISBLANK($R331), IF($S331,VLOOKUP($B331+1,'RFR Data - preExcl'!$BF$2:$BG1679,2,FALSE),IF($T331,INDEX('RFR Data - preExcl'!$BF$2:$BG1679,MATCH($B331,'RFR Data - preExcl'!$BF$2:$BF1679,0)+1,2),VLOOKUP($B331,'RFR Data - preExcl'!$BF$2:$BG1679,2,FALSE))),IFERROR(0/0,""))</f>
        <v/>
      </c>
      <c r="V331" s="212" t="str">
        <f t="shared" si="5"/>
        <v>RUN-COMB_2022-04-14_RFR-017</v>
      </c>
      <c r="W331" s="51"/>
      <c r="X331" s="51"/>
      <c r="Y331" s="147" t="str">
        <f t="shared" ref="Y331:Z331" si="662">IF(_xlfn.ISFORMULA(S331),IFERROR(0/0,""),TRUE)</f>
        <v/>
      </c>
      <c r="Z331" s="147" t="str">
        <f t="shared" si="662"/>
        <v/>
      </c>
    </row>
    <row r="332">
      <c r="A332" s="6" t="str">
        <f>IFERROR(__xludf.DUMMYFUNCTION("""COMPUTED_VALUE"""),"FM4384")</f>
        <v>FM4384</v>
      </c>
      <c r="B332" s="206">
        <f>IFERROR(__xludf.DUMMYFUNCTION("""COMPUTED_VALUE"""),44665.0)</f>
        <v>44665</v>
      </c>
      <c r="C332" s="207">
        <f>IFERROR(__xludf.DUMMYFUNCTION("""COMPUTED_VALUE"""),0.27969907407407407)</f>
        <v>0.2796990741</v>
      </c>
      <c r="D332" s="50"/>
      <c r="E332" s="58"/>
      <c r="F332" s="58"/>
      <c r="G332" s="58" t="str">
        <f>IFERROR(__xludf.DUMMYFUNCTION("""COMPUTED_VALUE"""),"Negative")</f>
        <v>Negative</v>
      </c>
      <c r="H332" s="206" t="str">
        <f>IFERROR(__xludf.DUMMYFUNCTION("""COMPUTED_VALUE"""),"Negative")</f>
        <v>Negative</v>
      </c>
      <c r="I332" s="207">
        <f>IFERROR(__xludf.DUMMYFUNCTION("""COMPUTED_VALUE"""),44665.0)</f>
        <v>44665</v>
      </c>
      <c r="J332" s="208">
        <f>IFERROR(__xludf.DUMMYFUNCTION("""COMPUTED_VALUE"""),0.3615625)</f>
        <v>0.3615625</v>
      </c>
      <c r="K332" s="50"/>
      <c r="L332" s="6"/>
      <c r="M332" s="55"/>
      <c r="N332" s="55">
        <f>IFERROR(__xludf.DUMMYFUNCTION("""COMPUTED_VALUE"""),1.0)</f>
        <v>1</v>
      </c>
      <c r="O332" s="55" t="str">
        <f t="shared" si="3"/>
        <v/>
      </c>
      <c r="P332" s="209"/>
      <c r="Q332" s="75" t="b">
        <f>VLOOKUP($B332,'Run Reconcile'!B$2:P1679,15,FALSE)</f>
        <v>1</v>
      </c>
      <c r="R332" s="211" t="str">
        <f t="array" ref="R332">IF($Q332, INDEX('Run Reconcile'!A$2:A1679,MATCH(B332,'Run Reconcile'!B$2:B1679,0),1),IFERROR(0/0,""))</f>
        <v>RUN-COMB_2022-04-14_RFR-017</v>
      </c>
      <c r="S332" s="165" t="str">
        <f t="shared" ref="S332:T332" si="663">IF(COUNTIF(W$2:W1679, $A332) &gt; 0,TRUE,IFERROR(0/0,""))</f>
        <v/>
      </c>
      <c r="T332" s="165" t="str">
        <f t="shared" si="663"/>
        <v/>
      </c>
      <c r="U332" s="147" t="str">
        <f t="array" ref="U332">IF(ISBLANK($R332), IF($S332,VLOOKUP($B332+1,'RFR Data - preExcl'!$BF$2:$BG1679,2,FALSE),IF($T332,INDEX('RFR Data - preExcl'!$BF$2:$BG1679,MATCH($B332,'RFR Data - preExcl'!$BF$2:$BF1679,0)+1,2),VLOOKUP($B332,'RFR Data - preExcl'!$BF$2:$BG1679,2,FALSE))),IFERROR(0/0,""))</f>
        <v/>
      </c>
      <c r="V332" s="212" t="str">
        <f t="shared" si="5"/>
        <v>RUN-COMB_2022-04-14_RFR-017</v>
      </c>
      <c r="W332" s="51"/>
      <c r="X332" s="51"/>
      <c r="Y332" s="147" t="str">
        <f t="shared" ref="Y332:Z332" si="664">IF(_xlfn.ISFORMULA(S332),IFERROR(0/0,""),TRUE)</f>
        <v/>
      </c>
      <c r="Z332" s="147" t="str">
        <f t="shared" si="664"/>
        <v/>
      </c>
    </row>
    <row r="333">
      <c r="A333" s="6" t="str">
        <f>IFERROR(__xludf.DUMMYFUNCTION("""COMPUTED_VALUE"""),"FM4423")</f>
        <v>FM4423</v>
      </c>
      <c r="B333" s="206">
        <f>IFERROR(__xludf.DUMMYFUNCTION("""COMPUTED_VALUE"""),44665.0)</f>
        <v>44665</v>
      </c>
      <c r="C333" s="207">
        <f>IFERROR(__xludf.DUMMYFUNCTION("""COMPUTED_VALUE"""),0.2800462962962963)</f>
        <v>0.2800462963</v>
      </c>
      <c r="D333" s="50"/>
      <c r="E333" s="58"/>
      <c r="F333" s="58"/>
      <c r="G333" s="58" t="str">
        <f>IFERROR(__xludf.DUMMYFUNCTION("""COMPUTED_VALUE"""),"Negative")</f>
        <v>Negative</v>
      </c>
      <c r="H333" s="206" t="str">
        <f>IFERROR(__xludf.DUMMYFUNCTION("""COMPUTED_VALUE"""),"Negative")</f>
        <v>Negative</v>
      </c>
      <c r="I333" s="207">
        <f>IFERROR(__xludf.DUMMYFUNCTION("""COMPUTED_VALUE"""),44665.0)</f>
        <v>44665</v>
      </c>
      <c r="J333" s="208">
        <f>IFERROR(__xludf.DUMMYFUNCTION("""COMPUTED_VALUE"""),0.36157407407407405)</f>
        <v>0.3615740741</v>
      </c>
      <c r="K333" s="50"/>
      <c r="L333" s="6"/>
      <c r="M333" s="55"/>
      <c r="N333" s="55">
        <f>IFERROR(__xludf.DUMMYFUNCTION("""COMPUTED_VALUE"""),1.0)</f>
        <v>1</v>
      </c>
      <c r="O333" s="55" t="str">
        <f t="shared" si="3"/>
        <v/>
      </c>
      <c r="P333" s="209"/>
      <c r="Q333" s="75" t="b">
        <f>VLOOKUP($B333,'Run Reconcile'!B$2:P1679,15,FALSE)</f>
        <v>1</v>
      </c>
      <c r="R333" s="211" t="str">
        <f t="array" ref="R333">IF($Q333, INDEX('Run Reconcile'!A$2:A1679,MATCH(B333,'Run Reconcile'!B$2:B1679,0),1),IFERROR(0/0,""))</f>
        <v>RUN-COMB_2022-04-14_RFR-017</v>
      </c>
      <c r="S333" s="165" t="str">
        <f t="shared" ref="S333:T333" si="665">IF(COUNTIF(W$2:W1679, $A333) &gt; 0,TRUE,IFERROR(0/0,""))</f>
        <v/>
      </c>
      <c r="T333" s="165" t="str">
        <f t="shared" si="665"/>
        <v/>
      </c>
      <c r="U333" s="147" t="str">
        <f t="array" ref="U333">IF(ISBLANK($R333), IF($S333,VLOOKUP($B333+1,'RFR Data - preExcl'!$BF$2:$BG1679,2,FALSE),IF($T333,INDEX('RFR Data - preExcl'!$BF$2:$BG1679,MATCH($B333,'RFR Data - preExcl'!$BF$2:$BF1679,0)+1,2),VLOOKUP($B333,'RFR Data - preExcl'!$BF$2:$BG1679,2,FALSE))),IFERROR(0/0,""))</f>
        <v/>
      </c>
      <c r="V333" s="212" t="str">
        <f t="shared" si="5"/>
        <v>RUN-COMB_2022-04-14_RFR-017</v>
      </c>
      <c r="W333" s="51"/>
      <c r="X333" s="51"/>
      <c r="Y333" s="147" t="str">
        <f t="shared" ref="Y333:Z333" si="666">IF(_xlfn.ISFORMULA(S333),IFERROR(0/0,""),TRUE)</f>
        <v/>
      </c>
      <c r="Z333" s="147" t="str">
        <f t="shared" si="666"/>
        <v/>
      </c>
    </row>
    <row r="334">
      <c r="A334" s="6" t="str">
        <f>IFERROR(__xludf.DUMMYFUNCTION("""COMPUTED_VALUE"""),"MA165")</f>
        <v>MA165</v>
      </c>
      <c r="B334" s="206">
        <f>IFERROR(__xludf.DUMMYFUNCTION("""COMPUTED_VALUE"""),44665.0)</f>
        <v>44665</v>
      </c>
      <c r="C334" s="207">
        <f>IFERROR(__xludf.DUMMYFUNCTION("""COMPUTED_VALUE"""),0.2810185185185185)</f>
        <v>0.2810185185</v>
      </c>
      <c r="D334" s="50"/>
      <c r="E334" s="58"/>
      <c r="F334" s="58"/>
      <c r="G334" s="58" t="str">
        <f>IFERROR(__xludf.DUMMYFUNCTION("""COMPUTED_VALUE"""),"Negative")</f>
        <v>Negative</v>
      </c>
      <c r="H334" s="206" t="str">
        <f>IFERROR(__xludf.DUMMYFUNCTION("""COMPUTED_VALUE"""),"Negative")</f>
        <v>Negative</v>
      </c>
      <c r="I334" s="207">
        <f>IFERROR(__xludf.DUMMYFUNCTION("""COMPUTED_VALUE"""),44665.0)</f>
        <v>44665</v>
      </c>
      <c r="J334" s="208">
        <f>IFERROR(__xludf.DUMMYFUNCTION("""COMPUTED_VALUE"""),0.36158564814814814)</f>
        <v>0.3615856481</v>
      </c>
      <c r="K334" s="50"/>
      <c r="L334" s="6"/>
      <c r="M334" s="55"/>
      <c r="N334" s="55">
        <f>IFERROR(__xludf.DUMMYFUNCTION("""COMPUTED_VALUE"""),1.0)</f>
        <v>1</v>
      </c>
      <c r="O334" s="55" t="str">
        <f t="shared" si="3"/>
        <v/>
      </c>
      <c r="P334" s="209"/>
      <c r="Q334" s="75" t="b">
        <f>VLOOKUP($B334,'Run Reconcile'!B$2:P1679,15,FALSE)</f>
        <v>1</v>
      </c>
      <c r="R334" s="211" t="str">
        <f t="array" ref="R334">IF($Q334, INDEX('Run Reconcile'!A$2:A1679,MATCH(B334,'Run Reconcile'!B$2:B1679,0),1),IFERROR(0/0,""))</f>
        <v>RUN-COMB_2022-04-14_RFR-017</v>
      </c>
      <c r="S334" s="165" t="str">
        <f t="shared" ref="S334:T334" si="667">IF(COUNTIF(W$2:W1679, $A334) &gt; 0,TRUE,IFERROR(0/0,""))</f>
        <v/>
      </c>
      <c r="T334" s="165" t="str">
        <f t="shared" si="667"/>
        <v/>
      </c>
      <c r="U334" s="147" t="str">
        <f t="array" ref="U334">IF(ISBLANK($R334), IF($S334,VLOOKUP($B334+1,'RFR Data - preExcl'!$BF$2:$BG1679,2,FALSE),IF($T334,INDEX('RFR Data - preExcl'!$BF$2:$BG1679,MATCH($B334,'RFR Data - preExcl'!$BF$2:$BF1679,0)+1,2),VLOOKUP($B334,'RFR Data - preExcl'!$BF$2:$BG1679,2,FALSE))),IFERROR(0/0,""))</f>
        <v/>
      </c>
      <c r="V334" s="212" t="str">
        <f t="shared" si="5"/>
        <v>RUN-COMB_2022-04-14_RFR-017</v>
      </c>
      <c r="W334" s="51"/>
      <c r="X334" s="51"/>
      <c r="Y334" s="147" t="str">
        <f t="shared" ref="Y334:Z334" si="668">IF(_xlfn.ISFORMULA(S334),IFERROR(0/0,""),TRUE)</f>
        <v/>
      </c>
      <c r="Z334" s="147" t="str">
        <f t="shared" si="668"/>
        <v/>
      </c>
    </row>
    <row r="335">
      <c r="A335" s="6" t="str">
        <f>IFERROR(__xludf.DUMMYFUNCTION("""COMPUTED_VALUE"""),"FM4391")</f>
        <v>FM4391</v>
      </c>
      <c r="B335" s="206">
        <f>IFERROR(__xludf.DUMMYFUNCTION("""COMPUTED_VALUE"""),44665.0)</f>
        <v>44665</v>
      </c>
      <c r="C335" s="207">
        <f>IFERROR(__xludf.DUMMYFUNCTION("""COMPUTED_VALUE"""),0.2814583333333333)</f>
        <v>0.2814583333</v>
      </c>
      <c r="D335" s="50"/>
      <c r="E335" s="58"/>
      <c r="F335" s="58"/>
      <c r="G335" s="58" t="str">
        <f>IFERROR(__xludf.DUMMYFUNCTION("""COMPUTED_VALUE"""),"Negative")</f>
        <v>Negative</v>
      </c>
      <c r="H335" s="206" t="str">
        <f>IFERROR(__xludf.DUMMYFUNCTION("""COMPUTED_VALUE"""),"Negative")</f>
        <v>Negative</v>
      </c>
      <c r="I335" s="207">
        <f>IFERROR(__xludf.DUMMYFUNCTION("""COMPUTED_VALUE"""),44665.0)</f>
        <v>44665</v>
      </c>
      <c r="J335" s="208">
        <f>IFERROR(__xludf.DUMMYFUNCTION("""COMPUTED_VALUE"""),0.36158564814814814)</f>
        <v>0.3615856481</v>
      </c>
      <c r="K335" s="50"/>
      <c r="L335" s="6"/>
      <c r="M335" s="55"/>
      <c r="N335" s="55">
        <f>IFERROR(__xludf.DUMMYFUNCTION("""COMPUTED_VALUE"""),1.0)</f>
        <v>1</v>
      </c>
      <c r="O335" s="55" t="str">
        <f t="shared" si="3"/>
        <v/>
      </c>
      <c r="P335" s="209"/>
      <c r="Q335" s="75" t="b">
        <f>VLOOKUP($B335,'Run Reconcile'!B$2:P1679,15,FALSE)</f>
        <v>1</v>
      </c>
      <c r="R335" s="211" t="str">
        <f t="array" ref="R335">IF($Q335, INDEX('Run Reconcile'!A$2:A1679,MATCH(B335,'Run Reconcile'!B$2:B1679,0),1),IFERROR(0/0,""))</f>
        <v>RUN-COMB_2022-04-14_RFR-017</v>
      </c>
      <c r="S335" s="165" t="str">
        <f t="shared" ref="S335:T335" si="669">IF(COUNTIF(W$2:W1679, $A335) &gt; 0,TRUE,IFERROR(0/0,""))</f>
        <v/>
      </c>
      <c r="T335" s="165" t="str">
        <f t="shared" si="669"/>
        <v/>
      </c>
      <c r="U335" s="147" t="str">
        <f t="array" ref="U335">IF(ISBLANK($R335), IF($S335,VLOOKUP($B335+1,'RFR Data - preExcl'!$BF$2:$BG1679,2,FALSE),IF($T335,INDEX('RFR Data - preExcl'!$BF$2:$BG1679,MATCH($B335,'RFR Data - preExcl'!$BF$2:$BF1679,0)+1,2),VLOOKUP($B335,'RFR Data - preExcl'!$BF$2:$BG1679,2,FALSE))),IFERROR(0/0,""))</f>
        <v/>
      </c>
      <c r="V335" s="212" t="str">
        <f t="shared" si="5"/>
        <v>RUN-COMB_2022-04-14_RFR-017</v>
      </c>
      <c r="W335" s="51"/>
      <c r="X335" s="51"/>
      <c r="Y335" s="147" t="str">
        <f t="shared" ref="Y335:Z335" si="670">IF(_xlfn.ISFORMULA(S335),IFERROR(0/0,""),TRUE)</f>
        <v/>
      </c>
      <c r="Z335" s="147" t="str">
        <f t="shared" si="670"/>
        <v/>
      </c>
    </row>
    <row r="336">
      <c r="A336" s="6" t="str">
        <f>IFERROR(__xludf.DUMMYFUNCTION("""COMPUTED_VALUE"""),"FM4419")</f>
        <v>FM4419</v>
      </c>
      <c r="B336" s="206">
        <f>IFERROR(__xludf.DUMMYFUNCTION("""COMPUTED_VALUE"""),44665.0)</f>
        <v>44665</v>
      </c>
      <c r="C336" s="207">
        <f>IFERROR(__xludf.DUMMYFUNCTION("""COMPUTED_VALUE"""),0.281875)</f>
        <v>0.281875</v>
      </c>
      <c r="D336" s="50"/>
      <c r="E336" s="58"/>
      <c r="F336" s="58"/>
      <c r="G336" s="58" t="str">
        <f>IFERROR(__xludf.DUMMYFUNCTION("""COMPUTED_VALUE"""),"Negative")</f>
        <v>Negative</v>
      </c>
      <c r="H336" s="206" t="str">
        <f>IFERROR(__xludf.DUMMYFUNCTION("""COMPUTED_VALUE"""),"Negative")</f>
        <v>Negative</v>
      </c>
      <c r="I336" s="207">
        <f>IFERROR(__xludf.DUMMYFUNCTION("""COMPUTED_VALUE"""),44665.0)</f>
        <v>44665</v>
      </c>
      <c r="J336" s="208">
        <f>IFERROR(__xludf.DUMMYFUNCTION("""COMPUTED_VALUE"""),0.36159722222222224)</f>
        <v>0.3615972222</v>
      </c>
      <c r="K336" s="50"/>
      <c r="L336" s="6"/>
      <c r="M336" s="55"/>
      <c r="N336" s="55">
        <f>IFERROR(__xludf.DUMMYFUNCTION("""COMPUTED_VALUE"""),1.0)</f>
        <v>1</v>
      </c>
      <c r="O336" s="55" t="str">
        <f t="shared" si="3"/>
        <v/>
      </c>
      <c r="P336" s="209"/>
      <c r="Q336" s="75" t="b">
        <f>VLOOKUP($B336,'Run Reconcile'!B$2:P1679,15,FALSE)</f>
        <v>1</v>
      </c>
      <c r="R336" s="211" t="str">
        <f t="array" ref="R336">IF($Q336, INDEX('Run Reconcile'!A$2:A1679,MATCH(B336,'Run Reconcile'!B$2:B1679,0),1),IFERROR(0/0,""))</f>
        <v>RUN-COMB_2022-04-14_RFR-017</v>
      </c>
      <c r="S336" s="165" t="str">
        <f t="shared" ref="S336:T336" si="671">IF(COUNTIF(W$2:W1679, $A336) &gt; 0,TRUE,IFERROR(0/0,""))</f>
        <v/>
      </c>
      <c r="T336" s="165" t="str">
        <f t="shared" si="671"/>
        <v/>
      </c>
      <c r="U336" s="147" t="str">
        <f t="array" ref="U336">IF(ISBLANK($R336), IF($S336,VLOOKUP($B336+1,'RFR Data - preExcl'!$BF$2:$BG1679,2,FALSE),IF($T336,INDEX('RFR Data - preExcl'!$BF$2:$BG1679,MATCH($B336,'RFR Data - preExcl'!$BF$2:$BF1679,0)+1,2),VLOOKUP($B336,'RFR Data - preExcl'!$BF$2:$BG1679,2,FALSE))),IFERROR(0/0,""))</f>
        <v/>
      </c>
      <c r="V336" s="212" t="str">
        <f t="shared" si="5"/>
        <v>RUN-COMB_2022-04-14_RFR-017</v>
      </c>
      <c r="W336" s="51"/>
      <c r="X336" s="51"/>
      <c r="Y336" s="147" t="str">
        <f t="shared" ref="Y336:Z336" si="672">IF(_xlfn.ISFORMULA(S336),IFERROR(0/0,""),TRUE)</f>
        <v/>
      </c>
      <c r="Z336" s="147" t="str">
        <f t="shared" si="672"/>
        <v/>
      </c>
    </row>
    <row r="337">
      <c r="A337" s="6" t="str">
        <f>IFERROR(__xludf.DUMMYFUNCTION("""COMPUTED_VALUE"""),"FM4246")</f>
        <v>FM4246</v>
      </c>
      <c r="B337" s="206">
        <f>IFERROR(__xludf.DUMMYFUNCTION("""COMPUTED_VALUE"""),44665.0)</f>
        <v>44665</v>
      </c>
      <c r="C337" s="207">
        <f>IFERROR(__xludf.DUMMYFUNCTION("""COMPUTED_VALUE"""),0.2831018518518518)</f>
        <v>0.2831018519</v>
      </c>
      <c r="D337" s="50"/>
      <c r="E337" s="58"/>
      <c r="F337" s="58"/>
      <c r="G337" s="58" t="str">
        <f>IFERROR(__xludf.DUMMYFUNCTION("""COMPUTED_VALUE"""),"Negative")</f>
        <v>Negative</v>
      </c>
      <c r="H337" s="206" t="str">
        <f>IFERROR(__xludf.DUMMYFUNCTION("""COMPUTED_VALUE"""),"Negative")</f>
        <v>Negative</v>
      </c>
      <c r="I337" s="207">
        <f>IFERROR(__xludf.DUMMYFUNCTION("""COMPUTED_VALUE"""),44665.0)</f>
        <v>44665</v>
      </c>
      <c r="J337" s="208">
        <f>IFERROR(__xludf.DUMMYFUNCTION("""COMPUTED_VALUE"""),0.3616087962962963)</f>
        <v>0.3616087963</v>
      </c>
      <c r="K337" s="50"/>
      <c r="L337" s="6"/>
      <c r="M337" s="55"/>
      <c r="N337" s="55">
        <f>IFERROR(__xludf.DUMMYFUNCTION("""COMPUTED_VALUE"""),1.0)</f>
        <v>1</v>
      </c>
      <c r="O337" s="55" t="str">
        <f t="shared" si="3"/>
        <v/>
      </c>
      <c r="P337" s="209"/>
      <c r="Q337" s="75" t="b">
        <f>VLOOKUP($B337,'Run Reconcile'!B$2:P1679,15,FALSE)</f>
        <v>1</v>
      </c>
      <c r="R337" s="211" t="str">
        <f t="array" ref="R337">IF($Q337, INDEX('Run Reconcile'!A$2:A1679,MATCH(B337,'Run Reconcile'!B$2:B1679,0),1),IFERROR(0/0,""))</f>
        <v>RUN-COMB_2022-04-14_RFR-017</v>
      </c>
      <c r="S337" s="165" t="str">
        <f t="shared" ref="S337:T337" si="673">IF(COUNTIF(W$2:W1679, $A337) &gt; 0,TRUE,IFERROR(0/0,""))</f>
        <v/>
      </c>
      <c r="T337" s="165" t="str">
        <f t="shared" si="673"/>
        <v/>
      </c>
      <c r="U337" s="147" t="str">
        <f t="array" ref="U337">IF(ISBLANK($R337), IF($S337,VLOOKUP($B337+1,'RFR Data - preExcl'!$BF$2:$BG1679,2,FALSE),IF($T337,INDEX('RFR Data - preExcl'!$BF$2:$BG1679,MATCH($B337,'RFR Data - preExcl'!$BF$2:$BF1679,0)+1,2),VLOOKUP($B337,'RFR Data - preExcl'!$BF$2:$BG1679,2,FALSE))),IFERROR(0/0,""))</f>
        <v/>
      </c>
      <c r="V337" s="212" t="str">
        <f t="shared" si="5"/>
        <v>RUN-COMB_2022-04-14_RFR-017</v>
      </c>
      <c r="W337" s="51"/>
      <c r="X337" s="51"/>
      <c r="Y337" s="147" t="str">
        <f t="shared" ref="Y337:Z337" si="674">IF(_xlfn.ISFORMULA(S337),IFERROR(0/0,""),TRUE)</f>
        <v/>
      </c>
      <c r="Z337" s="147" t="str">
        <f t="shared" si="674"/>
        <v/>
      </c>
    </row>
    <row r="338">
      <c r="A338" s="6" t="str">
        <f>IFERROR(__xludf.DUMMYFUNCTION("""COMPUTED_VALUE"""),"FM4405")</f>
        <v>FM4405</v>
      </c>
      <c r="B338" s="206">
        <f>IFERROR(__xludf.DUMMYFUNCTION("""COMPUTED_VALUE"""),44665.0)</f>
        <v>44665</v>
      </c>
      <c r="C338" s="207">
        <f>IFERROR(__xludf.DUMMYFUNCTION("""COMPUTED_VALUE"""),0.2835648148148148)</f>
        <v>0.2835648148</v>
      </c>
      <c r="D338" s="50"/>
      <c r="E338" s="58"/>
      <c r="F338" s="58"/>
      <c r="G338" s="58" t="str">
        <f>IFERROR(__xludf.DUMMYFUNCTION("""COMPUTED_VALUE"""),"Negative")</f>
        <v>Negative</v>
      </c>
      <c r="H338" s="206" t="str">
        <f>IFERROR(__xludf.DUMMYFUNCTION("""COMPUTED_VALUE"""),"Negative")</f>
        <v>Negative</v>
      </c>
      <c r="I338" s="207">
        <f>IFERROR(__xludf.DUMMYFUNCTION("""COMPUTED_VALUE"""),44665.0)</f>
        <v>44665</v>
      </c>
      <c r="J338" s="208">
        <f>IFERROR(__xludf.DUMMYFUNCTION("""COMPUTED_VALUE"""),0.3616087962962963)</f>
        <v>0.3616087963</v>
      </c>
      <c r="K338" s="50"/>
      <c r="L338" s="6"/>
      <c r="M338" s="55"/>
      <c r="N338" s="55">
        <f>IFERROR(__xludf.DUMMYFUNCTION("""COMPUTED_VALUE"""),1.0)</f>
        <v>1</v>
      </c>
      <c r="O338" s="55" t="str">
        <f t="shared" si="3"/>
        <v/>
      </c>
      <c r="P338" s="209"/>
      <c r="Q338" s="75" t="b">
        <f>VLOOKUP($B338,'Run Reconcile'!B$2:P1679,15,FALSE)</f>
        <v>1</v>
      </c>
      <c r="R338" s="211" t="str">
        <f t="array" ref="R338">IF($Q338, INDEX('Run Reconcile'!A$2:A1679,MATCH(B338,'Run Reconcile'!B$2:B1679,0),1),IFERROR(0/0,""))</f>
        <v>RUN-COMB_2022-04-14_RFR-017</v>
      </c>
      <c r="S338" s="165" t="str">
        <f t="shared" ref="S338:T338" si="675">IF(COUNTIF(W$2:W1679, $A338) &gt; 0,TRUE,IFERROR(0/0,""))</f>
        <v/>
      </c>
      <c r="T338" s="165" t="str">
        <f t="shared" si="675"/>
        <v/>
      </c>
      <c r="U338" s="147" t="str">
        <f t="array" ref="U338">IF(ISBLANK($R338), IF($S338,VLOOKUP($B338+1,'RFR Data - preExcl'!$BF$2:$BG1679,2,FALSE),IF($T338,INDEX('RFR Data - preExcl'!$BF$2:$BG1679,MATCH($B338,'RFR Data - preExcl'!$BF$2:$BF1679,0)+1,2),VLOOKUP($B338,'RFR Data - preExcl'!$BF$2:$BG1679,2,FALSE))),IFERROR(0/0,""))</f>
        <v/>
      </c>
      <c r="V338" s="212" t="str">
        <f t="shared" si="5"/>
        <v>RUN-COMB_2022-04-14_RFR-017</v>
      </c>
      <c r="W338" s="51"/>
      <c r="X338" s="51"/>
      <c r="Y338" s="147" t="str">
        <f t="shared" ref="Y338:Z338" si="676">IF(_xlfn.ISFORMULA(S338),IFERROR(0/0,""),TRUE)</f>
        <v/>
      </c>
      <c r="Z338" s="147" t="str">
        <f t="shared" si="676"/>
        <v/>
      </c>
    </row>
    <row r="339">
      <c r="A339" s="6" t="str">
        <f>IFERROR(__xludf.DUMMYFUNCTION("""COMPUTED_VALUE"""),"FM4480")</f>
        <v>FM4480</v>
      </c>
      <c r="B339" s="206">
        <f>IFERROR(__xludf.DUMMYFUNCTION("""COMPUTED_VALUE"""),44665.0)</f>
        <v>44665</v>
      </c>
      <c r="C339" s="207">
        <f>IFERROR(__xludf.DUMMYFUNCTION("""COMPUTED_VALUE"""),0.28402777777777777)</f>
        <v>0.2840277778</v>
      </c>
      <c r="D339" s="50"/>
      <c r="E339" s="58"/>
      <c r="F339" s="58"/>
      <c r="G339" s="58" t="str">
        <f>IFERROR(__xludf.DUMMYFUNCTION("""COMPUTED_VALUE"""),"Negative")</f>
        <v>Negative</v>
      </c>
      <c r="H339" s="206" t="str">
        <f>IFERROR(__xludf.DUMMYFUNCTION("""COMPUTED_VALUE"""),"Negative")</f>
        <v>Negative</v>
      </c>
      <c r="I339" s="207">
        <f>IFERROR(__xludf.DUMMYFUNCTION("""COMPUTED_VALUE"""),44665.0)</f>
        <v>44665</v>
      </c>
      <c r="J339" s="208">
        <f>IFERROR(__xludf.DUMMYFUNCTION("""COMPUTED_VALUE"""),0.36162037037037037)</f>
        <v>0.3616203704</v>
      </c>
      <c r="K339" s="50"/>
      <c r="L339" s="6"/>
      <c r="M339" s="55"/>
      <c r="N339" s="55">
        <f>IFERROR(__xludf.DUMMYFUNCTION("""COMPUTED_VALUE"""),1.0)</f>
        <v>1</v>
      </c>
      <c r="O339" s="55" t="str">
        <f t="shared" si="3"/>
        <v/>
      </c>
      <c r="P339" s="209"/>
      <c r="Q339" s="75" t="b">
        <f>VLOOKUP($B339,'Run Reconcile'!B$2:P1679,15,FALSE)</f>
        <v>1</v>
      </c>
      <c r="R339" s="211" t="str">
        <f t="array" ref="R339">IF($Q339, INDEX('Run Reconcile'!A$2:A1679,MATCH(B339,'Run Reconcile'!B$2:B1679,0),1),IFERROR(0/0,""))</f>
        <v>RUN-COMB_2022-04-14_RFR-017</v>
      </c>
      <c r="S339" s="165" t="str">
        <f t="shared" ref="S339:T339" si="677">IF(COUNTIF(W$2:W1679, $A339) &gt; 0,TRUE,IFERROR(0/0,""))</f>
        <v/>
      </c>
      <c r="T339" s="165" t="str">
        <f t="shared" si="677"/>
        <v/>
      </c>
      <c r="U339" s="147" t="str">
        <f t="array" ref="U339">IF(ISBLANK($R339), IF($S339,VLOOKUP($B339+1,'RFR Data - preExcl'!$BF$2:$BG1679,2,FALSE),IF($T339,INDEX('RFR Data - preExcl'!$BF$2:$BG1679,MATCH($B339,'RFR Data - preExcl'!$BF$2:$BF1679,0)+1,2),VLOOKUP($B339,'RFR Data - preExcl'!$BF$2:$BG1679,2,FALSE))),IFERROR(0/0,""))</f>
        <v/>
      </c>
      <c r="V339" s="212" t="str">
        <f t="shared" si="5"/>
        <v>RUN-COMB_2022-04-14_RFR-017</v>
      </c>
      <c r="W339" s="51"/>
      <c r="X339" s="51"/>
      <c r="Y339" s="147" t="str">
        <f t="shared" ref="Y339:Z339" si="678">IF(_xlfn.ISFORMULA(S339),IFERROR(0/0,""),TRUE)</f>
        <v/>
      </c>
      <c r="Z339" s="147" t="str">
        <f t="shared" si="678"/>
        <v/>
      </c>
    </row>
    <row r="340">
      <c r="A340" s="6" t="str">
        <f>IFERROR(__xludf.DUMMYFUNCTION("""COMPUTED_VALUE"""),"FM4427")</f>
        <v>FM4427</v>
      </c>
      <c r="B340" s="206">
        <f>IFERROR(__xludf.DUMMYFUNCTION("""COMPUTED_VALUE"""),44665.0)</f>
        <v>44665</v>
      </c>
      <c r="C340" s="207">
        <f>IFERROR(__xludf.DUMMYFUNCTION("""COMPUTED_VALUE"""),0.28456018518518517)</f>
        <v>0.2845601852</v>
      </c>
      <c r="D340" s="50"/>
      <c r="E340" s="58"/>
      <c r="F340" s="58"/>
      <c r="G340" s="58" t="str">
        <f>IFERROR(__xludf.DUMMYFUNCTION("""COMPUTED_VALUE"""),"Negative")</f>
        <v>Negative</v>
      </c>
      <c r="H340" s="206" t="str">
        <f>IFERROR(__xludf.DUMMYFUNCTION("""COMPUTED_VALUE"""),"Negative")</f>
        <v>Negative</v>
      </c>
      <c r="I340" s="207">
        <f>IFERROR(__xludf.DUMMYFUNCTION("""COMPUTED_VALUE"""),44665.0)</f>
        <v>44665</v>
      </c>
      <c r="J340" s="208">
        <f>IFERROR(__xludf.DUMMYFUNCTION("""COMPUTED_VALUE"""),0.36162037037037037)</f>
        <v>0.3616203704</v>
      </c>
      <c r="K340" s="50"/>
      <c r="L340" s="6"/>
      <c r="M340" s="55"/>
      <c r="N340" s="55">
        <f>IFERROR(__xludf.DUMMYFUNCTION("""COMPUTED_VALUE"""),1.0)</f>
        <v>1</v>
      </c>
      <c r="O340" s="55" t="str">
        <f t="shared" si="3"/>
        <v/>
      </c>
      <c r="P340" s="209"/>
      <c r="Q340" s="75" t="b">
        <f>VLOOKUP($B340,'Run Reconcile'!B$2:P1679,15,FALSE)</f>
        <v>1</v>
      </c>
      <c r="R340" s="211" t="str">
        <f t="array" ref="R340">IF($Q340, INDEX('Run Reconcile'!A$2:A1679,MATCH(B340,'Run Reconcile'!B$2:B1679,0),1),IFERROR(0/0,""))</f>
        <v>RUN-COMB_2022-04-14_RFR-017</v>
      </c>
      <c r="S340" s="165" t="str">
        <f t="shared" ref="S340:T340" si="679">IF(COUNTIF(W$2:W1679, $A340) &gt; 0,TRUE,IFERROR(0/0,""))</f>
        <v/>
      </c>
      <c r="T340" s="165" t="str">
        <f t="shared" si="679"/>
        <v/>
      </c>
      <c r="U340" s="147" t="str">
        <f t="array" ref="U340">IF(ISBLANK($R340), IF($S340,VLOOKUP($B340+1,'RFR Data - preExcl'!$BF$2:$BG1679,2,FALSE),IF($T340,INDEX('RFR Data - preExcl'!$BF$2:$BG1679,MATCH($B340,'RFR Data - preExcl'!$BF$2:$BF1679,0)+1,2),VLOOKUP($B340,'RFR Data - preExcl'!$BF$2:$BG1679,2,FALSE))),IFERROR(0/0,""))</f>
        <v/>
      </c>
      <c r="V340" s="212" t="str">
        <f t="shared" si="5"/>
        <v>RUN-COMB_2022-04-14_RFR-017</v>
      </c>
      <c r="W340" s="51"/>
      <c r="X340" s="51"/>
      <c r="Y340" s="147" t="str">
        <f t="shared" ref="Y340:Z340" si="680">IF(_xlfn.ISFORMULA(S340),IFERROR(0/0,""),TRUE)</f>
        <v/>
      </c>
      <c r="Z340" s="147" t="str">
        <f t="shared" si="680"/>
        <v/>
      </c>
    </row>
    <row r="341">
      <c r="A341" s="6" t="str">
        <f>IFERROR(__xludf.DUMMYFUNCTION("""COMPUTED_VALUE"""),"FM4435")</f>
        <v>FM4435</v>
      </c>
      <c r="B341" s="206">
        <f>IFERROR(__xludf.DUMMYFUNCTION("""COMPUTED_VALUE"""),44665.0)</f>
        <v>44665</v>
      </c>
      <c r="C341" s="207">
        <f>IFERROR(__xludf.DUMMYFUNCTION("""COMPUTED_VALUE"""),0.2850810185185185)</f>
        <v>0.2850810185</v>
      </c>
      <c r="D341" s="50"/>
      <c r="E341" s="58"/>
      <c r="F341" s="58"/>
      <c r="G341" s="58" t="str">
        <f>IFERROR(__xludf.DUMMYFUNCTION("""COMPUTED_VALUE"""),"Negative")</f>
        <v>Negative</v>
      </c>
      <c r="H341" s="206" t="str">
        <f>IFERROR(__xludf.DUMMYFUNCTION("""COMPUTED_VALUE"""),"Negative")</f>
        <v>Negative</v>
      </c>
      <c r="I341" s="207">
        <f>IFERROR(__xludf.DUMMYFUNCTION("""COMPUTED_VALUE"""),44665.0)</f>
        <v>44665</v>
      </c>
      <c r="J341" s="208">
        <f>IFERROR(__xludf.DUMMYFUNCTION("""COMPUTED_VALUE"""),0.36163194444444446)</f>
        <v>0.3616319444</v>
      </c>
      <c r="K341" s="50"/>
      <c r="L341" s="6"/>
      <c r="M341" s="55"/>
      <c r="N341" s="55">
        <f>IFERROR(__xludf.DUMMYFUNCTION("""COMPUTED_VALUE"""),1.0)</f>
        <v>1</v>
      </c>
      <c r="O341" s="55" t="str">
        <f t="shared" si="3"/>
        <v/>
      </c>
      <c r="P341" s="209"/>
      <c r="Q341" s="75" t="b">
        <f>VLOOKUP($B341,'Run Reconcile'!B$2:P1679,15,FALSE)</f>
        <v>1</v>
      </c>
      <c r="R341" s="211" t="str">
        <f t="array" ref="R341">IF($Q341, INDEX('Run Reconcile'!A$2:A1679,MATCH(B341,'Run Reconcile'!B$2:B1679,0),1),IFERROR(0/0,""))</f>
        <v>RUN-COMB_2022-04-14_RFR-017</v>
      </c>
      <c r="S341" s="165" t="str">
        <f t="shared" ref="S341:T341" si="681">IF(COUNTIF(W$2:W1679, $A341) &gt; 0,TRUE,IFERROR(0/0,""))</f>
        <v/>
      </c>
      <c r="T341" s="165" t="str">
        <f t="shared" si="681"/>
        <v/>
      </c>
      <c r="U341" s="147" t="str">
        <f t="array" ref="U341">IF(ISBLANK($R341), IF($S341,VLOOKUP($B341+1,'RFR Data - preExcl'!$BF$2:$BG1679,2,FALSE),IF($T341,INDEX('RFR Data - preExcl'!$BF$2:$BG1679,MATCH($B341,'RFR Data - preExcl'!$BF$2:$BF1679,0)+1,2),VLOOKUP($B341,'RFR Data - preExcl'!$BF$2:$BG1679,2,FALSE))),IFERROR(0/0,""))</f>
        <v/>
      </c>
      <c r="V341" s="212" t="str">
        <f t="shared" si="5"/>
        <v>RUN-COMB_2022-04-14_RFR-017</v>
      </c>
      <c r="W341" s="51"/>
      <c r="X341" s="51"/>
      <c r="Y341" s="147" t="str">
        <f t="shared" ref="Y341:Z341" si="682">IF(_xlfn.ISFORMULA(S341),IFERROR(0/0,""),TRUE)</f>
        <v/>
      </c>
      <c r="Z341" s="147" t="str">
        <f t="shared" si="682"/>
        <v/>
      </c>
    </row>
    <row r="342">
      <c r="A342" s="6" t="str">
        <f>IFERROR(__xludf.DUMMYFUNCTION("""COMPUTED_VALUE"""),"FM4244")</f>
        <v>FM4244</v>
      </c>
      <c r="B342" s="206">
        <f>IFERROR(__xludf.DUMMYFUNCTION("""COMPUTED_VALUE"""),44665.0)</f>
        <v>44665</v>
      </c>
      <c r="C342" s="207">
        <f>IFERROR(__xludf.DUMMYFUNCTION("""COMPUTED_VALUE"""),0.28685185185185186)</f>
        <v>0.2868518519</v>
      </c>
      <c r="D342" s="50"/>
      <c r="E342" s="58"/>
      <c r="F342" s="58"/>
      <c r="G342" s="58" t="str">
        <f>IFERROR(__xludf.DUMMYFUNCTION("""COMPUTED_VALUE"""),"Negative")</f>
        <v>Negative</v>
      </c>
      <c r="H342" s="206" t="str">
        <f>IFERROR(__xludf.DUMMYFUNCTION("""COMPUTED_VALUE"""),"Negative")</f>
        <v>Negative</v>
      </c>
      <c r="I342" s="207">
        <f>IFERROR(__xludf.DUMMYFUNCTION("""COMPUTED_VALUE"""),44665.0)</f>
        <v>44665</v>
      </c>
      <c r="J342" s="208">
        <f>IFERROR(__xludf.DUMMYFUNCTION("""COMPUTED_VALUE"""),0.36163194444444446)</f>
        <v>0.3616319444</v>
      </c>
      <c r="K342" s="50"/>
      <c r="L342" s="6"/>
      <c r="M342" s="55"/>
      <c r="N342" s="55">
        <f>IFERROR(__xludf.DUMMYFUNCTION("""COMPUTED_VALUE"""),1.0)</f>
        <v>1</v>
      </c>
      <c r="O342" s="55" t="str">
        <f t="shared" si="3"/>
        <v/>
      </c>
      <c r="P342" s="209"/>
      <c r="Q342" s="75" t="b">
        <f>VLOOKUP($B342,'Run Reconcile'!B$2:P1679,15,FALSE)</f>
        <v>1</v>
      </c>
      <c r="R342" s="211" t="str">
        <f t="array" ref="R342">IF($Q342, INDEX('Run Reconcile'!A$2:A1679,MATCH(B342,'Run Reconcile'!B$2:B1679,0),1),IFERROR(0/0,""))</f>
        <v>RUN-COMB_2022-04-14_RFR-017</v>
      </c>
      <c r="S342" s="165" t="str">
        <f t="shared" ref="S342:T342" si="683">IF(COUNTIF(W$2:W1679, $A342) &gt; 0,TRUE,IFERROR(0/0,""))</f>
        <v/>
      </c>
      <c r="T342" s="165" t="str">
        <f t="shared" si="683"/>
        <v/>
      </c>
      <c r="U342" s="147" t="str">
        <f t="array" ref="U342">IF(ISBLANK($R342), IF($S342,VLOOKUP($B342+1,'RFR Data - preExcl'!$BF$2:$BG1679,2,FALSE),IF($T342,INDEX('RFR Data - preExcl'!$BF$2:$BG1679,MATCH($B342,'RFR Data - preExcl'!$BF$2:$BF1679,0)+1,2),VLOOKUP($B342,'RFR Data - preExcl'!$BF$2:$BG1679,2,FALSE))),IFERROR(0/0,""))</f>
        <v/>
      </c>
      <c r="V342" s="212" t="str">
        <f t="shared" si="5"/>
        <v>RUN-COMB_2022-04-14_RFR-017</v>
      </c>
      <c r="W342" s="51"/>
      <c r="X342" s="51"/>
      <c r="Y342" s="147" t="str">
        <f t="shared" ref="Y342:Z342" si="684">IF(_xlfn.ISFORMULA(S342),IFERROR(0/0,""),TRUE)</f>
        <v/>
      </c>
      <c r="Z342" s="147" t="str">
        <f t="shared" si="684"/>
        <v/>
      </c>
    </row>
    <row r="343">
      <c r="A343" s="6" t="str">
        <f>IFERROR(__xludf.DUMMYFUNCTION("""COMPUTED_VALUE"""),"FM3447")</f>
        <v>FM3447</v>
      </c>
      <c r="B343" s="206">
        <f>IFERROR(__xludf.DUMMYFUNCTION("""COMPUTED_VALUE"""),44665.0)</f>
        <v>44665</v>
      </c>
      <c r="C343" s="207">
        <f>IFERROR(__xludf.DUMMYFUNCTION("""COMPUTED_VALUE"""),0.28734953703703703)</f>
        <v>0.287349537</v>
      </c>
      <c r="D343" s="50"/>
      <c r="E343" s="58"/>
      <c r="F343" s="58"/>
      <c r="G343" s="58" t="str">
        <f>IFERROR(__xludf.DUMMYFUNCTION("""COMPUTED_VALUE"""),"Negative")</f>
        <v>Negative</v>
      </c>
      <c r="H343" s="206" t="str">
        <f>IFERROR(__xludf.DUMMYFUNCTION("""COMPUTED_VALUE"""),"Negative")</f>
        <v>Negative</v>
      </c>
      <c r="I343" s="207">
        <f>IFERROR(__xludf.DUMMYFUNCTION("""COMPUTED_VALUE"""),44665.0)</f>
        <v>44665</v>
      </c>
      <c r="J343" s="208">
        <f>IFERROR(__xludf.DUMMYFUNCTION("""COMPUTED_VALUE"""),0.36163194444444446)</f>
        <v>0.3616319444</v>
      </c>
      <c r="K343" s="50"/>
      <c r="L343" s="6"/>
      <c r="M343" s="55"/>
      <c r="N343" s="55">
        <f>IFERROR(__xludf.DUMMYFUNCTION("""COMPUTED_VALUE"""),1.0)</f>
        <v>1</v>
      </c>
      <c r="O343" s="55" t="str">
        <f t="shared" si="3"/>
        <v/>
      </c>
      <c r="P343" s="209"/>
      <c r="Q343" s="75" t="b">
        <f>VLOOKUP($B343,'Run Reconcile'!B$2:P1679,15,FALSE)</f>
        <v>1</v>
      </c>
      <c r="R343" s="211" t="str">
        <f t="array" ref="R343">IF($Q343, INDEX('Run Reconcile'!A$2:A1679,MATCH(B343,'Run Reconcile'!B$2:B1679,0),1),IFERROR(0/0,""))</f>
        <v>RUN-COMB_2022-04-14_RFR-017</v>
      </c>
      <c r="S343" s="165" t="str">
        <f t="shared" ref="S343:T343" si="685">IF(COUNTIF(W$2:W1679, $A343) &gt; 0,TRUE,IFERROR(0/0,""))</f>
        <v/>
      </c>
      <c r="T343" s="165" t="str">
        <f t="shared" si="685"/>
        <v/>
      </c>
      <c r="U343" s="147" t="str">
        <f t="array" ref="U343">IF(ISBLANK($R343), IF($S343,VLOOKUP($B343+1,'RFR Data - preExcl'!$BF$2:$BG1679,2,FALSE),IF($T343,INDEX('RFR Data - preExcl'!$BF$2:$BG1679,MATCH($B343,'RFR Data - preExcl'!$BF$2:$BF1679,0)+1,2),VLOOKUP($B343,'RFR Data - preExcl'!$BF$2:$BG1679,2,FALSE))),IFERROR(0/0,""))</f>
        <v/>
      </c>
      <c r="V343" s="212" t="str">
        <f t="shared" si="5"/>
        <v>RUN-COMB_2022-04-14_RFR-017</v>
      </c>
      <c r="W343" s="51"/>
      <c r="X343" s="51"/>
      <c r="Y343" s="147" t="str">
        <f t="shared" ref="Y343:Z343" si="686">IF(_xlfn.ISFORMULA(S343),IFERROR(0/0,""),TRUE)</f>
        <v/>
      </c>
      <c r="Z343" s="147" t="str">
        <f t="shared" si="686"/>
        <v/>
      </c>
    </row>
    <row r="344">
      <c r="A344" s="6" t="str">
        <f>IFERROR(__xludf.DUMMYFUNCTION("""COMPUTED_VALUE"""),"FM4475")</f>
        <v>FM4475</v>
      </c>
      <c r="B344" s="206">
        <f>IFERROR(__xludf.DUMMYFUNCTION("""COMPUTED_VALUE"""),44665.0)</f>
        <v>44665</v>
      </c>
      <c r="C344" s="207">
        <f>IFERROR(__xludf.DUMMYFUNCTION("""COMPUTED_VALUE"""),0.2975462962962963)</f>
        <v>0.2975462963</v>
      </c>
      <c r="D344" s="50"/>
      <c r="E344" s="58"/>
      <c r="F344" s="58"/>
      <c r="G344" s="58" t="str">
        <f>IFERROR(__xludf.DUMMYFUNCTION("""COMPUTED_VALUE"""),"Negative")</f>
        <v>Negative</v>
      </c>
      <c r="H344" s="206" t="str">
        <f>IFERROR(__xludf.DUMMYFUNCTION("""COMPUTED_VALUE"""),"Negative")</f>
        <v>Negative</v>
      </c>
      <c r="I344" s="207">
        <f>IFERROR(__xludf.DUMMYFUNCTION("""COMPUTED_VALUE"""),44665.0)</f>
        <v>44665</v>
      </c>
      <c r="J344" s="208">
        <f>IFERROR(__xludf.DUMMYFUNCTION("""COMPUTED_VALUE"""),0.36163194444444446)</f>
        <v>0.3616319444</v>
      </c>
      <c r="K344" s="50"/>
      <c r="L344" s="6"/>
      <c r="M344" s="55"/>
      <c r="N344" s="55">
        <f>IFERROR(__xludf.DUMMYFUNCTION("""COMPUTED_VALUE"""),1.0)</f>
        <v>1</v>
      </c>
      <c r="O344" s="55" t="str">
        <f t="shared" si="3"/>
        <v/>
      </c>
      <c r="P344" s="209"/>
      <c r="Q344" s="75" t="b">
        <f>VLOOKUP($B344,'Run Reconcile'!B$2:P1679,15,FALSE)</f>
        <v>1</v>
      </c>
      <c r="R344" s="211" t="str">
        <f t="array" ref="R344">IF($Q344, INDEX('Run Reconcile'!A$2:A1679,MATCH(B344,'Run Reconcile'!B$2:B1679,0),1),IFERROR(0/0,""))</f>
        <v>RUN-COMB_2022-04-14_RFR-017</v>
      </c>
      <c r="S344" s="165" t="str">
        <f t="shared" ref="S344:T344" si="687">IF(COUNTIF(W$2:W1679, $A344) &gt; 0,TRUE,IFERROR(0/0,""))</f>
        <v/>
      </c>
      <c r="T344" s="165" t="str">
        <f t="shared" si="687"/>
        <v/>
      </c>
      <c r="U344" s="147" t="str">
        <f t="array" ref="U344">IF(ISBLANK($R344), IF($S344,VLOOKUP($B344+1,'RFR Data - preExcl'!$BF$2:$BG1679,2,FALSE),IF($T344,INDEX('RFR Data - preExcl'!$BF$2:$BG1679,MATCH($B344,'RFR Data - preExcl'!$BF$2:$BF1679,0)+1,2),VLOOKUP($B344,'RFR Data - preExcl'!$BF$2:$BG1679,2,FALSE))),IFERROR(0/0,""))</f>
        <v/>
      </c>
      <c r="V344" s="212" t="str">
        <f t="shared" si="5"/>
        <v>RUN-COMB_2022-04-14_RFR-017</v>
      </c>
      <c r="W344" s="51"/>
      <c r="X344" s="51"/>
      <c r="Y344" s="147" t="str">
        <f t="shared" ref="Y344:Z344" si="688">IF(_xlfn.ISFORMULA(S344),IFERROR(0/0,""),TRUE)</f>
        <v/>
      </c>
      <c r="Z344" s="147" t="str">
        <f t="shared" si="688"/>
        <v/>
      </c>
    </row>
    <row r="345">
      <c r="A345" s="6" t="str">
        <f>IFERROR(__xludf.DUMMYFUNCTION("""COMPUTED_VALUE"""),"FM4080")</f>
        <v>FM4080</v>
      </c>
      <c r="B345" s="206">
        <f>IFERROR(__xludf.DUMMYFUNCTION("""COMPUTED_VALUE"""),44666.0)</f>
        <v>44666</v>
      </c>
      <c r="C345" s="207">
        <f>IFERROR(__xludf.DUMMYFUNCTION("""COMPUTED_VALUE"""),0.2561111111111111)</f>
        <v>0.2561111111</v>
      </c>
      <c r="D345" s="50"/>
      <c r="E345" s="58"/>
      <c r="F345" s="58"/>
      <c r="G345" s="58" t="str">
        <f>IFERROR(__xludf.DUMMYFUNCTION("""COMPUTED_VALUE"""),"Negative")</f>
        <v>Negative</v>
      </c>
      <c r="H345" s="206" t="str">
        <f>IFERROR(__xludf.DUMMYFUNCTION("""COMPUTED_VALUE"""),"Negative")</f>
        <v>Negative</v>
      </c>
      <c r="I345" s="207">
        <f>IFERROR(__xludf.DUMMYFUNCTION("""COMPUTED_VALUE"""),44666.0)</f>
        <v>44666</v>
      </c>
      <c r="J345" s="208">
        <f>IFERROR(__xludf.DUMMYFUNCTION("""COMPUTED_VALUE"""),0.3596412037037037)</f>
        <v>0.3596412037</v>
      </c>
      <c r="K345" s="50"/>
      <c r="L345" s="6"/>
      <c r="M345" s="55"/>
      <c r="N345" s="55">
        <f>IFERROR(__xludf.DUMMYFUNCTION("""COMPUTED_VALUE"""),1.0)</f>
        <v>1</v>
      </c>
      <c r="O345" s="55" t="b">
        <f t="shared" si="3"/>
        <v>1</v>
      </c>
      <c r="P345" s="209"/>
      <c r="Q345" s="75" t="b">
        <f>VLOOKUP($B345,'Run Reconcile'!B$2:P1679,15,FALSE)</f>
        <v>1</v>
      </c>
      <c r="R345" s="211" t="str">
        <f t="array" ref="R345">IF($Q345, INDEX('Run Reconcile'!A$2:A1679,MATCH(B345,'Run Reconcile'!B$2:B1679,0),1),IFERROR(0/0,""))</f>
        <v>RUN-COMB_2022-04-15_RFR-018</v>
      </c>
      <c r="S345" s="165" t="str">
        <f t="shared" ref="S345:T345" si="689">IF(COUNTIF(W$2:W1679, $A345) &gt; 0,TRUE,IFERROR(0/0,""))</f>
        <v/>
      </c>
      <c r="T345" s="165" t="str">
        <f t="shared" si="689"/>
        <v/>
      </c>
      <c r="U345" s="147" t="str">
        <f t="array" ref="U345">IF(ISBLANK($R345), IF($S345,VLOOKUP($B345+1,'RFR Data - preExcl'!$BF$2:$BG1679,2,FALSE),IF($T345,INDEX('RFR Data - preExcl'!$BF$2:$BG1679,MATCH($B345,'RFR Data - preExcl'!$BF$2:$BF1679,0)+1,2),VLOOKUP($B345,'RFR Data - preExcl'!$BF$2:$BG1679,2,FALSE))),IFERROR(0/0,""))</f>
        <v/>
      </c>
      <c r="V345" s="212" t="str">
        <f t="shared" si="5"/>
        <v>RUN-COMB_2022-04-15_RFR-018</v>
      </c>
      <c r="W345" s="51"/>
      <c r="X345" s="51"/>
      <c r="Y345" s="147" t="str">
        <f t="shared" ref="Y345:Z345" si="690">IF(_xlfn.ISFORMULA(S345),IFERROR(0/0,""),TRUE)</f>
        <v/>
      </c>
      <c r="Z345" s="147" t="str">
        <f t="shared" si="690"/>
        <v/>
      </c>
    </row>
    <row r="346">
      <c r="A346" s="6" t="str">
        <f>IFERROR(__xludf.DUMMYFUNCTION("""COMPUTED_VALUE"""),"FM4317")</f>
        <v>FM4317</v>
      </c>
      <c r="B346" s="206">
        <f>IFERROR(__xludf.DUMMYFUNCTION("""COMPUTED_VALUE"""),44666.0)</f>
        <v>44666</v>
      </c>
      <c r="C346" s="207">
        <f>IFERROR(__xludf.DUMMYFUNCTION("""COMPUTED_VALUE"""),0.25653935185185184)</f>
        <v>0.2565393519</v>
      </c>
      <c r="D346" s="50"/>
      <c r="E346" s="58"/>
      <c r="F346" s="58"/>
      <c r="G346" s="58" t="str">
        <f>IFERROR(__xludf.DUMMYFUNCTION("""COMPUTED_VALUE"""),"Null")</f>
        <v>Null</v>
      </c>
      <c r="H346" s="206" t="str">
        <f>IFERROR(__xludf.DUMMYFUNCTION("""COMPUTED_VALUE"""),"Negative")</f>
        <v>Negative</v>
      </c>
      <c r="I346" s="207">
        <f>IFERROR(__xludf.DUMMYFUNCTION("""COMPUTED_VALUE"""),44666.0)</f>
        <v>44666</v>
      </c>
      <c r="J346" s="208">
        <f>IFERROR(__xludf.DUMMYFUNCTION("""COMPUTED_VALUE"""),0.32688657407407407)</f>
        <v>0.3268865741</v>
      </c>
      <c r="K346" s="50">
        <f>IFERROR(__xludf.DUMMYFUNCTION("""COMPUTED_VALUE"""),2.0)</f>
        <v>2</v>
      </c>
      <c r="L346" s="6"/>
      <c r="M346" s="55"/>
      <c r="N346" s="55">
        <f>IFERROR(__xludf.DUMMYFUNCTION("""COMPUTED_VALUE"""),1.0)</f>
        <v>1</v>
      </c>
      <c r="O346" s="55" t="str">
        <f t="shared" si="3"/>
        <v/>
      </c>
      <c r="P346" s="209"/>
      <c r="Q346" s="75" t="b">
        <f>VLOOKUP($B346,'Run Reconcile'!B$2:P1679,15,FALSE)</f>
        <v>1</v>
      </c>
      <c r="R346" s="211" t="str">
        <f t="array" ref="R346">IF($Q346, INDEX('Run Reconcile'!A$2:A1679,MATCH(B346,'Run Reconcile'!B$2:B1679,0),1),IFERROR(0/0,""))</f>
        <v>RUN-COMB_2022-04-15_RFR-018</v>
      </c>
      <c r="S346" s="165" t="str">
        <f t="shared" ref="S346:T346" si="691">IF(COUNTIF(W$2:W1679, $A346) &gt; 0,TRUE,IFERROR(0/0,""))</f>
        <v/>
      </c>
      <c r="T346" s="165" t="str">
        <f t="shared" si="691"/>
        <v/>
      </c>
      <c r="U346" s="147" t="str">
        <f t="array" ref="U346">IF(ISBLANK($R346), IF($S346,VLOOKUP($B346+1,'RFR Data - preExcl'!$BF$2:$BG1679,2,FALSE),IF($T346,INDEX('RFR Data - preExcl'!$BF$2:$BG1679,MATCH($B346,'RFR Data - preExcl'!$BF$2:$BF1679,0)+1,2),VLOOKUP($B346,'RFR Data - preExcl'!$BF$2:$BG1679,2,FALSE))),IFERROR(0/0,""))</f>
        <v/>
      </c>
      <c r="V346" s="212" t="str">
        <f t="shared" si="5"/>
        <v>RUN-COMB_2022-04-15_RFR-018</v>
      </c>
      <c r="W346" s="51"/>
      <c r="X346" s="51"/>
      <c r="Y346" s="147" t="str">
        <f t="shared" ref="Y346:Z346" si="692">IF(_xlfn.ISFORMULA(S346),IFERROR(0/0,""),TRUE)</f>
        <v/>
      </c>
      <c r="Z346" s="147" t="str">
        <f t="shared" si="692"/>
        <v/>
      </c>
    </row>
    <row r="347">
      <c r="A347" s="6" t="str">
        <f>IFERROR(__xludf.DUMMYFUNCTION("""COMPUTED_VALUE"""),"FM4272")</f>
        <v>FM4272</v>
      </c>
      <c r="B347" s="206">
        <f>IFERROR(__xludf.DUMMYFUNCTION("""COMPUTED_VALUE"""),44666.0)</f>
        <v>44666</v>
      </c>
      <c r="C347" s="207">
        <f>IFERROR(__xludf.DUMMYFUNCTION("""COMPUTED_VALUE"""),0.2569212962962963)</f>
        <v>0.2569212963</v>
      </c>
      <c r="D347" s="50"/>
      <c r="E347" s="58"/>
      <c r="F347" s="58"/>
      <c r="G347" s="58" t="str">
        <f>IFERROR(__xludf.DUMMYFUNCTION("""COMPUTED_VALUE"""),"Negative")</f>
        <v>Negative</v>
      </c>
      <c r="H347" s="206" t="str">
        <f>IFERROR(__xludf.DUMMYFUNCTION("""COMPUTED_VALUE"""),"Negative")</f>
        <v>Negative</v>
      </c>
      <c r="I347" s="207">
        <f>IFERROR(__xludf.DUMMYFUNCTION("""COMPUTED_VALUE"""),44666.0)</f>
        <v>44666</v>
      </c>
      <c r="J347" s="208">
        <f>IFERROR(__xludf.DUMMYFUNCTION("""COMPUTED_VALUE"""),0.3596412037037037)</f>
        <v>0.3596412037</v>
      </c>
      <c r="K347" s="50"/>
      <c r="L347" s="6"/>
      <c r="M347" s="55"/>
      <c r="N347" s="55">
        <f>IFERROR(__xludf.DUMMYFUNCTION("""COMPUTED_VALUE"""),1.0)</f>
        <v>1</v>
      </c>
      <c r="O347" s="55" t="str">
        <f t="shared" si="3"/>
        <v/>
      </c>
      <c r="P347" s="209"/>
      <c r="Q347" s="75" t="b">
        <f>VLOOKUP($B347,'Run Reconcile'!B$2:P1679,15,FALSE)</f>
        <v>1</v>
      </c>
      <c r="R347" s="211" t="str">
        <f t="array" ref="R347">IF($Q347, INDEX('Run Reconcile'!A$2:A1679,MATCH(B347,'Run Reconcile'!B$2:B1679,0),1),IFERROR(0/0,""))</f>
        <v>RUN-COMB_2022-04-15_RFR-018</v>
      </c>
      <c r="S347" s="165" t="str">
        <f t="shared" ref="S347:T347" si="693">IF(COUNTIF(W$2:W1679, $A347) &gt; 0,TRUE,IFERROR(0/0,""))</f>
        <v/>
      </c>
      <c r="T347" s="165" t="str">
        <f t="shared" si="693"/>
        <v/>
      </c>
      <c r="U347" s="147" t="str">
        <f t="array" ref="U347">IF(ISBLANK($R347), IF($S347,VLOOKUP($B347+1,'RFR Data - preExcl'!$BF$2:$BG1679,2,FALSE),IF($T347,INDEX('RFR Data - preExcl'!$BF$2:$BG1679,MATCH($B347,'RFR Data - preExcl'!$BF$2:$BF1679,0)+1,2),VLOOKUP($B347,'RFR Data - preExcl'!$BF$2:$BG1679,2,FALSE))),IFERROR(0/0,""))</f>
        <v/>
      </c>
      <c r="V347" s="212" t="str">
        <f t="shared" si="5"/>
        <v>RUN-COMB_2022-04-15_RFR-018</v>
      </c>
      <c r="W347" s="51"/>
      <c r="X347" s="51"/>
      <c r="Y347" s="147" t="str">
        <f t="shared" ref="Y347:Z347" si="694">IF(_xlfn.ISFORMULA(S347),IFERROR(0/0,""),TRUE)</f>
        <v/>
      </c>
      <c r="Z347" s="147" t="str">
        <f t="shared" si="694"/>
        <v/>
      </c>
    </row>
    <row r="348">
      <c r="A348" s="6" t="str">
        <f>IFERROR(__xludf.DUMMYFUNCTION("""COMPUTED_VALUE"""),"FM4311")</f>
        <v>FM4311</v>
      </c>
      <c r="B348" s="206">
        <f>IFERROR(__xludf.DUMMYFUNCTION("""COMPUTED_VALUE"""),44666.0)</f>
        <v>44666</v>
      </c>
      <c r="C348" s="207">
        <f>IFERROR(__xludf.DUMMYFUNCTION("""COMPUTED_VALUE"""),0.2573958333333333)</f>
        <v>0.2573958333</v>
      </c>
      <c r="D348" s="50"/>
      <c r="E348" s="58"/>
      <c r="F348" s="58"/>
      <c r="G348" s="58" t="str">
        <f>IFERROR(__xludf.DUMMYFUNCTION("""COMPUTED_VALUE"""),"Negative")</f>
        <v>Negative</v>
      </c>
      <c r="H348" s="206" t="str">
        <f>IFERROR(__xludf.DUMMYFUNCTION("""COMPUTED_VALUE"""),"Negative")</f>
        <v>Negative</v>
      </c>
      <c r="I348" s="207">
        <f>IFERROR(__xludf.DUMMYFUNCTION("""COMPUTED_VALUE"""),44666.0)</f>
        <v>44666</v>
      </c>
      <c r="J348" s="208">
        <f>IFERROR(__xludf.DUMMYFUNCTION("""COMPUTED_VALUE"""),0.35965277777777777)</f>
        <v>0.3596527778</v>
      </c>
      <c r="K348" s="50"/>
      <c r="L348" s="6"/>
      <c r="M348" s="55"/>
      <c r="N348" s="55">
        <f>IFERROR(__xludf.DUMMYFUNCTION("""COMPUTED_VALUE"""),1.0)</f>
        <v>1</v>
      </c>
      <c r="O348" s="55" t="str">
        <f t="shared" si="3"/>
        <v/>
      </c>
      <c r="P348" s="209"/>
      <c r="Q348" s="75" t="b">
        <f>VLOOKUP($B348,'Run Reconcile'!B$2:P1679,15,FALSE)</f>
        <v>1</v>
      </c>
      <c r="R348" s="211" t="str">
        <f t="array" ref="R348">IF($Q348, INDEX('Run Reconcile'!A$2:A1679,MATCH(B348,'Run Reconcile'!B$2:B1679,0),1),IFERROR(0/0,""))</f>
        <v>RUN-COMB_2022-04-15_RFR-018</v>
      </c>
      <c r="S348" s="165" t="str">
        <f t="shared" ref="S348:T348" si="695">IF(COUNTIF(W$2:W1679, $A348) &gt; 0,TRUE,IFERROR(0/0,""))</f>
        <v/>
      </c>
      <c r="T348" s="165" t="str">
        <f t="shared" si="695"/>
        <v/>
      </c>
      <c r="U348" s="147" t="str">
        <f t="array" ref="U348">IF(ISBLANK($R348), IF($S348,VLOOKUP($B348+1,'RFR Data - preExcl'!$BF$2:$BG1679,2,FALSE),IF($T348,INDEX('RFR Data - preExcl'!$BF$2:$BG1679,MATCH($B348,'RFR Data - preExcl'!$BF$2:$BF1679,0)+1,2),VLOOKUP($B348,'RFR Data - preExcl'!$BF$2:$BG1679,2,FALSE))),IFERROR(0/0,""))</f>
        <v/>
      </c>
      <c r="V348" s="212" t="str">
        <f t="shared" si="5"/>
        <v>RUN-COMB_2022-04-15_RFR-018</v>
      </c>
      <c r="W348" s="51"/>
      <c r="X348" s="51"/>
      <c r="Y348" s="147" t="str">
        <f t="shared" ref="Y348:Z348" si="696">IF(_xlfn.ISFORMULA(S348),IFERROR(0/0,""),TRUE)</f>
        <v/>
      </c>
      <c r="Z348" s="147" t="str">
        <f t="shared" si="696"/>
        <v/>
      </c>
    </row>
    <row r="349">
      <c r="A349" s="6" t="str">
        <f>IFERROR(__xludf.DUMMYFUNCTION("""COMPUTED_VALUE"""),"FM4269")</f>
        <v>FM4269</v>
      </c>
      <c r="B349" s="206">
        <f>IFERROR(__xludf.DUMMYFUNCTION("""COMPUTED_VALUE"""),44666.0)</f>
        <v>44666</v>
      </c>
      <c r="C349" s="207">
        <f>IFERROR(__xludf.DUMMYFUNCTION("""COMPUTED_VALUE"""),0.2577314814814815)</f>
        <v>0.2577314815</v>
      </c>
      <c r="D349" s="50"/>
      <c r="E349" s="58"/>
      <c r="F349" s="58"/>
      <c r="G349" s="58" t="str">
        <f>IFERROR(__xludf.DUMMYFUNCTION("""COMPUTED_VALUE"""),"Negative")</f>
        <v>Negative</v>
      </c>
      <c r="H349" s="206" t="str">
        <f>IFERROR(__xludf.DUMMYFUNCTION("""COMPUTED_VALUE"""),"Negative")</f>
        <v>Negative</v>
      </c>
      <c r="I349" s="207">
        <f>IFERROR(__xludf.DUMMYFUNCTION("""COMPUTED_VALUE"""),44666.0)</f>
        <v>44666</v>
      </c>
      <c r="J349" s="208">
        <f>IFERROR(__xludf.DUMMYFUNCTION("""COMPUTED_VALUE"""),0.35965277777777777)</f>
        <v>0.3596527778</v>
      </c>
      <c r="K349" s="50"/>
      <c r="L349" s="6"/>
      <c r="M349" s="55"/>
      <c r="N349" s="55">
        <f>IFERROR(__xludf.DUMMYFUNCTION("""COMPUTED_VALUE"""),1.0)</f>
        <v>1</v>
      </c>
      <c r="O349" s="55" t="str">
        <f t="shared" si="3"/>
        <v/>
      </c>
      <c r="P349" s="209"/>
      <c r="Q349" s="75" t="b">
        <f>VLOOKUP($B349,'Run Reconcile'!B$2:P1679,15,FALSE)</f>
        <v>1</v>
      </c>
      <c r="R349" s="211" t="str">
        <f t="array" ref="R349">IF($Q349, INDEX('Run Reconcile'!A$2:A1679,MATCH(B349,'Run Reconcile'!B$2:B1679,0),1),IFERROR(0/0,""))</f>
        <v>RUN-COMB_2022-04-15_RFR-018</v>
      </c>
      <c r="S349" s="165" t="str">
        <f t="shared" ref="S349:T349" si="697">IF(COUNTIF(W$2:W1679, $A349) &gt; 0,TRUE,IFERROR(0/0,""))</f>
        <v/>
      </c>
      <c r="T349" s="165" t="str">
        <f t="shared" si="697"/>
        <v/>
      </c>
      <c r="U349" s="147" t="str">
        <f t="array" ref="U349">IF(ISBLANK($R349), IF($S349,VLOOKUP($B349+1,'RFR Data - preExcl'!$BF$2:$BG1679,2,FALSE),IF($T349,INDEX('RFR Data - preExcl'!$BF$2:$BG1679,MATCH($B349,'RFR Data - preExcl'!$BF$2:$BF1679,0)+1,2),VLOOKUP($B349,'RFR Data - preExcl'!$BF$2:$BG1679,2,FALSE))),IFERROR(0/0,""))</f>
        <v/>
      </c>
      <c r="V349" s="212" t="str">
        <f t="shared" si="5"/>
        <v>RUN-COMB_2022-04-15_RFR-018</v>
      </c>
      <c r="W349" s="51"/>
      <c r="X349" s="51"/>
      <c r="Y349" s="147" t="str">
        <f t="shared" ref="Y349:Z349" si="698">IF(_xlfn.ISFORMULA(S349),IFERROR(0/0,""),TRUE)</f>
        <v/>
      </c>
      <c r="Z349" s="147" t="str">
        <f t="shared" si="698"/>
        <v/>
      </c>
    </row>
    <row r="350">
      <c r="A350" s="6" t="str">
        <f>IFERROR(__xludf.DUMMYFUNCTION("""COMPUTED_VALUE"""),"FM4318")</f>
        <v>FM4318</v>
      </c>
      <c r="B350" s="206">
        <f>IFERROR(__xludf.DUMMYFUNCTION("""COMPUTED_VALUE"""),44666.0)</f>
        <v>44666</v>
      </c>
      <c r="C350" s="207">
        <f>IFERROR(__xludf.DUMMYFUNCTION("""COMPUTED_VALUE"""),0.2581365740740741)</f>
        <v>0.2581365741</v>
      </c>
      <c r="D350" s="50"/>
      <c r="E350" s="58"/>
      <c r="F350" s="58"/>
      <c r="G350" s="58" t="str">
        <f>IFERROR(__xludf.DUMMYFUNCTION("""COMPUTED_VALUE"""),"Negative")</f>
        <v>Negative</v>
      </c>
      <c r="H350" s="206" t="str">
        <f>IFERROR(__xludf.DUMMYFUNCTION("""COMPUTED_VALUE"""),"Negative")</f>
        <v>Negative</v>
      </c>
      <c r="I350" s="207">
        <f>IFERROR(__xludf.DUMMYFUNCTION("""COMPUTED_VALUE"""),44666.0)</f>
        <v>44666</v>
      </c>
      <c r="J350" s="208">
        <f>IFERROR(__xludf.DUMMYFUNCTION("""COMPUTED_VALUE"""),0.35966435185185186)</f>
        <v>0.3596643519</v>
      </c>
      <c r="K350" s="50"/>
      <c r="L350" s="6"/>
      <c r="M350" s="55"/>
      <c r="N350" s="55">
        <f>IFERROR(__xludf.DUMMYFUNCTION("""COMPUTED_VALUE"""),1.0)</f>
        <v>1</v>
      </c>
      <c r="O350" s="55" t="str">
        <f t="shared" si="3"/>
        <v/>
      </c>
      <c r="P350" s="209"/>
      <c r="Q350" s="75" t="b">
        <f>VLOOKUP($B350,'Run Reconcile'!B$2:P1679,15,FALSE)</f>
        <v>1</v>
      </c>
      <c r="R350" s="211" t="str">
        <f t="array" ref="R350">IF($Q350, INDEX('Run Reconcile'!A$2:A1679,MATCH(B350,'Run Reconcile'!B$2:B1679,0),1),IFERROR(0/0,""))</f>
        <v>RUN-COMB_2022-04-15_RFR-018</v>
      </c>
      <c r="S350" s="165" t="str">
        <f t="shared" ref="S350:T350" si="699">IF(COUNTIF(W$2:W1679, $A350) &gt; 0,TRUE,IFERROR(0/0,""))</f>
        <v/>
      </c>
      <c r="T350" s="165" t="str">
        <f t="shared" si="699"/>
        <v/>
      </c>
      <c r="U350" s="147" t="str">
        <f t="array" ref="U350">IF(ISBLANK($R350), IF($S350,VLOOKUP($B350+1,'RFR Data - preExcl'!$BF$2:$BG1679,2,FALSE),IF($T350,INDEX('RFR Data - preExcl'!$BF$2:$BG1679,MATCH($B350,'RFR Data - preExcl'!$BF$2:$BF1679,0)+1,2),VLOOKUP($B350,'RFR Data - preExcl'!$BF$2:$BG1679,2,FALSE))),IFERROR(0/0,""))</f>
        <v/>
      </c>
      <c r="V350" s="212" t="str">
        <f t="shared" si="5"/>
        <v>RUN-COMB_2022-04-15_RFR-018</v>
      </c>
      <c r="W350" s="51"/>
      <c r="X350" s="51"/>
      <c r="Y350" s="147" t="str">
        <f t="shared" ref="Y350:Z350" si="700">IF(_xlfn.ISFORMULA(S350),IFERROR(0/0,""),TRUE)</f>
        <v/>
      </c>
      <c r="Z350" s="147" t="str">
        <f t="shared" si="700"/>
        <v/>
      </c>
    </row>
    <row r="351">
      <c r="A351" s="6" t="str">
        <f>IFERROR(__xludf.DUMMYFUNCTION("""COMPUTED_VALUE"""),"FM4069")</f>
        <v>FM4069</v>
      </c>
      <c r="B351" s="206">
        <f>IFERROR(__xludf.DUMMYFUNCTION("""COMPUTED_VALUE"""),44666.0)</f>
        <v>44666</v>
      </c>
      <c r="C351" s="207">
        <f>IFERROR(__xludf.DUMMYFUNCTION("""COMPUTED_VALUE"""),0.2643287037037037)</f>
        <v>0.2643287037</v>
      </c>
      <c r="D351" s="50"/>
      <c r="E351" s="58"/>
      <c r="F351" s="58"/>
      <c r="G351" s="58" t="str">
        <f>IFERROR(__xludf.DUMMYFUNCTION("""COMPUTED_VALUE"""),"Negative")</f>
        <v>Negative</v>
      </c>
      <c r="H351" s="206" t="str">
        <f>IFERROR(__xludf.DUMMYFUNCTION("""COMPUTED_VALUE"""),"Negative")</f>
        <v>Negative</v>
      </c>
      <c r="I351" s="207">
        <f>IFERROR(__xludf.DUMMYFUNCTION("""COMPUTED_VALUE"""),44666.0)</f>
        <v>44666</v>
      </c>
      <c r="J351" s="208">
        <f>IFERROR(__xludf.DUMMYFUNCTION("""COMPUTED_VALUE"""),0.35966435185185186)</f>
        <v>0.3596643519</v>
      </c>
      <c r="K351" s="50"/>
      <c r="L351" s="6"/>
      <c r="M351" s="55"/>
      <c r="N351" s="55">
        <f>IFERROR(__xludf.DUMMYFUNCTION("""COMPUTED_VALUE"""),1.0)</f>
        <v>1</v>
      </c>
      <c r="O351" s="55" t="str">
        <f t="shared" si="3"/>
        <v/>
      </c>
      <c r="P351" s="209"/>
      <c r="Q351" s="75" t="b">
        <f>VLOOKUP($B351,'Run Reconcile'!B$2:P1679,15,FALSE)</f>
        <v>1</v>
      </c>
      <c r="R351" s="211" t="str">
        <f t="array" ref="R351">IF($Q351, INDEX('Run Reconcile'!A$2:A1679,MATCH(B351,'Run Reconcile'!B$2:B1679,0),1),IFERROR(0/0,""))</f>
        <v>RUN-COMB_2022-04-15_RFR-018</v>
      </c>
      <c r="S351" s="165" t="str">
        <f t="shared" ref="S351:T351" si="701">IF(COUNTIF(W$2:W1679, $A351) &gt; 0,TRUE,IFERROR(0/0,""))</f>
        <v/>
      </c>
      <c r="T351" s="165" t="str">
        <f t="shared" si="701"/>
        <v/>
      </c>
      <c r="U351" s="147" t="str">
        <f t="array" ref="U351">IF(ISBLANK($R351), IF($S351,VLOOKUP($B351+1,'RFR Data - preExcl'!$BF$2:$BG1679,2,FALSE),IF($T351,INDEX('RFR Data - preExcl'!$BF$2:$BG1679,MATCH($B351,'RFR Data - preExcl'!$BF$2:$BF1679,0)+1,2),VLOOKUP($B351,'RFR Data - preExcl'!$BF$2:$BG1679,2,FALSE))),IFERROR(0/0,""))</f>
        <v/>
      </c>
      <c r="V351" s="212" t="str">
        <f t="shared" si="5"/>
        <v>RUN-COMB_2022-04-15_RFR-018</v>
      </c>
      <c r="W351" s="51"/>
      <c r="X351" s="51"/>
      <c r="Y351" s="147" t="str">
        <f t="shared" ref="Y351:Z351" si="702">IF(_xlfn.ISFORMULA(S351),IFERROR(0/0,""),TRUE)</f>
        <v/>
      </c>
      <c r="Z351" s="147" t="str">
        <f t="shared" si="702"/>
        <v/>
      </c>
    </row>
    <row r="352">
      <c r="A352" s="6" t="str">
        <f>IFERROR(__xludf.DUMMYFUNCTION("""COMPUTED_VALUE"""),"FM4280")</f>
        <v>FM4280</v>
      </c>
      <c r="B352" s="206">
        <f>IFERROR(__xludf.DUMMYFUNCTION("""COMPUTED_VALUE"""),44666.0)</f>
        <v>44666</v>
      </c>
      <c r="C352" s="207">
        <f>IFERROR(__xludf.DUMMYFUNCTION("""COMPUTED_VALUE"""),0.2646875)</f>
        <v>0.2646875</v>
      </c>
      <c r="D352" s="50"/>
      <c r="E352" s="58"/>
      <c r="F352" s="58"/>
      <c r="G352" s="58" t="str">
        <f>IFERROR(__xludf.DUMMYFUNCTION("""COMPUTED_VALUE"""),"Negative")</f>
        <v>Negative</v>
      </c>
      <c r="H352" s="206" t="str">
        <f>IFERROR(__xludf.DUMMYFUNCTION("""COMPUTED_VALUE"""),"Negative")</f>
        <v>Negative</v>
      </c>
      <c r="I352" s="207">
        <f>IFERROR(__xludf.DUMMYFUNCTION("""COMPUTED_VALUE"""),44666.0)</f>
        <v>44666</v>
      </c>
      <c r="J352" s="208">
        <f>IFERROR(__xludf.DUMMYFUNCTION("""COMPUTED_VALUE"""),0.35966435185185186)</f>
        <v>0.3596643519</v>
      </c>
      <c r="K352" s="50"/>
      <c r="L352" s="6"/>
      <c r="M352" s="55"/>
      <c r="N352" s="55">
        <f>IFERROR(__xludf.DUMMYFUNCTION("""COMPUTED_VALUE"""),1.0)</f>
        <v>1</v>
      </c>
      <c r="O352" s="55" t="str">
        <f t="shared" si="3"/>
        <v/>
      </c>
      <c r="P352" s="209"/>
      <c r="Q352" s="75" t="b">
        <f>VLOOKUP($B352,'Run Reconcile'!B$2:P1679,15,FALSE)</f>
        <v>1</v>
      </c>
      <c r="R352" s="211" t="str">
        <f t="array" ref="R352">IF($Q352, INDEX('Run Reconcile'!A$2:A1679,MATCH(B352,'Run Reconcile'!B$2:B1679,0),1),IFERROR(0/0,""))</f>
        <v>RUN-COMB_2022-04-15_RFR-018</v>
      </c>
      <c r="S352" s="165" t="str">
        <f t="shared" ref="S352:T352" si="703">IF(COUNTIF(W$2:W1679, $A352) &gt; 0,TRUE,IFERROR(0/0,""))</f>
        <v/>
      </c>
      <c r="T352" s="165" t="str">
        <f t="shared" si="703"/>
        <v/>
      </c>
      <c r="U352" s="147" t="str">
        <f t="array" ref="U352">IF(ISBLANK($R352), IF($S352,VLOOKUP($B352+1,'RFR Data - preExcl'!$BF$2:$BG1679,2,FALSE),IF($T352,INDEX('RFR Data - preExcl'!$BF$2:$BG1679,MATCH($B352,'RFR Data - preExcl'!$BF$2:$BF1679,0)+1,2),VLOOKUP($B352,'RFR Data - preExcl'!$BF$2:$BG1679,2,FALSE))),IFERROR(0/0,""))</f>
        <v/>
      </c>
      <c r="V352" s="212" t="str">
        <f t="shared" si="5"/>
        <v>RUN-COMB_2022-04-15_RFR-018</v>
      </c>
      <c r="W352" s="51"/>
      <c r="X352" s="51"/>
      <c r="Y352" s="147" t="str">
        <f t="shared" ref="Y352:Z352" si="704">IF(_xlfn.ISFORMULA(S352),IFERROR(0/0,""),TRUE)</f>
        <v/>
      </c>
      <c r="Z352" s="147" t="str">
        <f t="shared" si="704"/>
        <v/>
      </c>
    </row>
    <row r="353">
      <c r="A353" s="6" t="str">
        <f>IFERROR(__xludf.DUMMYFUNCTION("""COMPUTED_VALUE"""),"FM4324")</f>
        <v>FM4324</v>
      </c>
      <c r="B353" s="206">
        <f>IFERROR(__xludf.DUMMYFUNCTION("""COMPUTED_VALUE"""),44666.0)</f>
        <v>44666</v>
      </c>
      <c r="C353" s="207">
        <f>IFERROR(__xludf.DUMMYFUNCTION("""COMPUTED_VALUE"""),0.26506944444444447)</f>
        <v>0.2650694444</v>
      </c>
      <c r="D353" s="50"/>
      <c r="E353" s="58"/>
      <c r="F353" s="58"/>
      <c r="G353" s="58" t="str">
        <f>IFERROR(__xludf.DUMMYFUNCTION("""COMPUTED_VALUE"""),"Negative")</f>
        <v>Negative</v>
      </c>
      <c r="H353" s="206" t="str">
        <f>IFERROR(__xludf.DUMMYFUNCTION("""COMPUTED_VALUE"""),"Negative")</f>
        <v>Negative</v>
      </c>
      <c r="I353" s="207">
        <f>IFERROR(__xludf.DUMMYFUNCTION("""COMPUTED_VALUE"""),44666.0)</f>
        <v>44666</v>
      </c>
      <c r="J353" s="208">
        <f>IFERROR(__xludf.DUMMYFUNCTION("""COMPUTED_VALUE"""),0.35966435185185186)</f>
        <v>0.3596643519</v>
      </c>
      <c r="K353" s="50"/>
      <c r="L353" s="6"/>
      <c r="M353" s="55"/>
      <c r="N353" s="55">
        <f>IFERROR(__xludf.DUMMYFUNCTION("""COMPUTED_VALUE"""),1.0)</f>
        <v>1</v>
      </c>
      <c r="O353" s="55" t="str">
        <f t="shared" si="3"/>
        <v/>
      </c>
      <c r="P353" s="209"/>
      <c r="Q353" s="75" t="b">
        <f>VLOOKUP($B353,'Run Reconcile'!B$2:P1679,15,FALSE)</f>
        <v>1</v>
      </c>
      <c r="R353" s="211" t="str">
        <f t="array" ref="R353">IF($Q353, INDEX('Run Reconcile'!A$2:A1679,MATCH(B353,'Run Reconcile'!B$2:B1679,0),1),IFERROR(0/0,""))</f>
        <v>RUN-COMB_2022-04-15_RFR-018</v>
      </c>
      <c r="S353" s="165" t="str">
        <f t="shared" ref="S353:T353" si="705">IF(COUNTIF(W$2:W1679, $A353) &gt; 0,TRUE,IFERROR(0/0,""))</f>
        <v/>
      </c>
      <c r="T353" s="165" t="str">
        <f t="shared" si="705"/>
        <v/>
      </c>
      <c r="U353" s="147" t="str">
        <f t="array" ref="U353">IF(ISBLANK($R353), IF($S353,VLOOKUP($B353+1,'RFR Data - preExcl'!$BF$2:$BG1679,2,FALSE),IF($T353,INDEX('RFR Data - preExcl'!$BF$2:$BG1679,MATCH($B353,'RFR Data - preExcl'!$BF$2:$BF1679,0)+1,2),VLOOKUP($B353,'RFR Data - preExcl'!$BF$2:$BG1679,2,FALSE))),IFERROR(0/0,""))</f>
        <v/>
      </c>
      <c r="V353" s="212" t="str">
        <f t="shared" si="5"/>
        <v>RUN-COMB_2022-04-15_RFR-018</v>
      </c>
      <c r="W353" s="51"/>
      <c r="X353" s="51"/>
      <c r="Y353" s="147" t="str">
        <f t="shared" ref="Y353:Z353" si="706">IF(_xlfn.ISFORMULA(S353),IFERROR(0/0,""),TRUE)</f>
        <v/>
      </c>
      <c r="Z353" s="147" t="str">
        <f t="shared" si="706"/>
        <v/>
      </c>
    </row>
    <row r="354">
      <c r="A354" s="6" t="str">
        <f>IFERROR(__xludf.DUMMYFUNCTION("""COMPUTED_VALUE"""),"FM4281")</f>
        <v>FM4281</v>
      </c>
      <c r="B354" s="206">
        <f>IFERROR(__xludf.DUMMYFUNCTION("""COMPUTED_VALUE"""),44666.0)</f>
        <v>44666</v>
      </c>
      <c r="C354" s="207">
        <f>IFERROR(__xludf.DUMMYFUNCTION("""COMPUTED_VALUE"""),0.2654861111111111)</f>
        <v>0.2654861111</v>
      </c>
      <c r="D354" s="50"/>
      <c r="E354" s="58"/>
      <c r="F354" s="58"/>
      <c r="G354" s="58" t="str">
        <f>IFERROR(__xludf.DUMMYFUNCTION("""COMPUTED_VALUE"""),"Negative")</f>
        <v>Negative</v>
      </c>
      <c r="H354" s="206" t="str">
        <f>IFERROR(__xludf.DUMMYFUNCTION("""COMPUTED_VALUE"""),"Negative")</f>
        <v>Negative</v>
      </c>
      <c r="I354" s="207">
        <f>IFERROR(__xludf.DUMMYFUNCTION("""COMPUTED_VALUE"""),44666.0)</f>
        <v>44666</v>
      </c>
      <c r="J354" s="208">
        <f>IFERROR(__xludf.DUMMYFUNCTION("""COMPUTED_VALUE"""),0.3596759259259259)</f>
        <v>0.3596759259</v>
      </c>
      <c r="K354" s="50"/>
      <c r="L354" s="6"/>
      <c r="M354" s="55"/>
      <c r="N354" s="55">
        <f>IFERROR(__xludf.DUMMYFUNCTION("""COMPUTED_VALUE"""),1.0)</f>
        <v>1</v>
      </c>
      <c r="O354" s="55" t="str">
        <f t="shared" si="3"/>
        <v/>
      </c>
      <c r="P354" s="209"/>
      <c r="Q354" s="75" t="b">
        <f>VLOOKUP($B354,'Run Reconcile'!B$2:P1679,15,FALSE)</f>
        <v>1</v>
      </c>
      <c r="R354" s="211" t="str">
        <f t="array" ref="R354">IF($Q354, INDEX('Run Reconcile'!A$2:A1679,MATCH(B354,'Run Reconcile'!B$2:B1679,0),1),IFERROR(0/0,""))</f>
        <v>RUN-COMB_2022-04-15_RFR-018</v>
      </c>
      <c r="S354" s="165" t="str">
        <f t="shared" ref="S354:T354" si="707">IF(COUNTIF(W$2:W1679, $A354) &gt; 0,TRUE,IFERROR(0/0,""))</f>
        <v/>
      </c>
      <c r="T354" s="165" t="str">
        <f t="shared" si="707"/>
        <v/>
      </c>
      <c r="U354" s="147" t="str">
        <f t="array" ref="U354">IF(ISBLANK($R354), IF($S354,VLOOKUP($B354+1,'RFR Data - preExcl'!$BF$2:$BG1679,2,FALSE),IF($T354,INDEX('RFR Data - preExcl'!$BF$2:$BG1679,MATCH($B354,'RFR Data - preExcl'!$BF$2:$BF1679,0)+1,2),VLOOKUP($B354,'RFR Data - preExcl'!$BF$2:$BG1679,2,FALSE))),IFERROR(0/0,""))</f>
        <v/>
      </c>
      <c r="V354" s="212" t="str">
        <f t="shared" si="5"/>
        <v>RUN-COMB_2022-04-15_RFR-018</v>
      </c>
      <c r="W354" s="51"/>
      <c r="X354" s="51"/>
      <c r="Y354" s="147" t="str">
        <f t="shared" ref="Y354:Z354" si="708">IF(_xlfn.ISFORMULA(S354),IFERROR(0/0,""),TRUE)</f>
        <v/>
      </c>
      <c r="Z354" s="147" t="str">
        <f t="shared" si="708"/>
        <v/>
      </c>
    </row>
    <row r="355">
      <c r="A355" s="6" t="str">
        <f>IFERROR(__xludf.DUMMYFUNCTION("""COMPUTED_VALUE"""),"FM4299")</f>
        <v>FM4299</v>
      </c>
      <c r="B355" s="206">
        <f>IFERROR(__xludf.DUMMYFUNCTION("""COMPUTED_VALUE"""),44666.0)</f>
        <v>44666</v>
      </c>
      <c r="C355" s="207">
        <f>IFERROR(__xludf.DUMMYFUNCTION("""COMPUTED_VALUE"""),0.2658333333333333)</f>
        <v>0.2658333333</v>
      </c>
      <c r="D355" s="50"/>
      <c r="E355" s="58"/>
      <c r="F355" s="58"/>
      <c r="G355" s="58" t="str">
        <f>IFERROR(__xludf.DUMMYFUNCTION("""COMPUTED_VALUE"""),"Negative")</f>
        <v>Negative</v>
      </c>
      <c r="H355" s="206" t="str">
        <f>IFERROR(__xludf.DUMMYFUNCTION("""COMPUTED_VALUE"""),"Negative")</f>
        <v>Negative</v>
      </c>
      <c r="I355" s="207">
        <f>IFERROR(__xludf.DUMMYFUNCTION("""COMPUTED_VALUE"""),44666.0)</f>
        <v>44666</v>
      </c>
      <c r="J355" s="208">
        <f>IFERROR(__xludf.DUMMYFUNCTION("""COMPUTED_VALUE"""),0.3596759259259259)</f>
        <v>0.3596759259</v>
      </c>
      <c r="K355" s="50"/>
      <c r="L355" s="6"/>
      <c r="M355" s="55"/>
      <c r="N355" s="55">
        <f>IFERROR(__xludf.DUMMYFUNCTION("""COMPUTED_VALUE"""),1.0)</f>
        <v>1</v>
      </c>
      <c r="O355" s="55" t="str">
        <f t="shared" si="3"/>
        <v/>
      </c>
      <c r="P355" s="209"/>
      <c r="Q355" s="75" t="b">
        <f>VLOOKUP($B355,'Run Reconcile'!B$2:P1679,15,FALSE)</f>
        <v>1</v>
      </c>
      <c r="R355" s="211" t="str">
        <f t="array" ref="R355">IF($Q355, INDEX('Run Reconcile'!A$2:A1679,MATCH(B355,'Run Reconcile'!B$2:B1679,0),1),IFERROR(0/0,""))</f>
        <v>RUN-COMB_2022-04-15_RFR-018</v>
      </c>
      <c r="S355" s="165" t="str">
        <f t="shared" ref="S355:T355" si="709">IF(COUNTIF(W$2:W1679, $A355) &gt; 0,TRUE,IFERROR(0/0,""))</f>
        <v/>
      </c>
      <c r="T355" s="165" t="str">
        <f t="shared" si="709"/>
        <v/>
      </c>
      <c r="U355" s="147" t="str">
        <f t="array" ref="U355">IF(ISBLANK($R355), IF($S355,VLOOKUP($B355+1,'RFR Data - preExcl'!$BF$2:$BG1679,2,FALSE),IF($T355,INDEX('RFR Data - preExcl'!$BF$2:$BG1679,MATCH($B355,'RFR Data - preExcl'!$BF$2:$BF1679,0)+1,2),VLOOKUP($B355,'RFR Data - preExcl'!$BF$2:$BG1679,2,FALSE))),IFERROR(0/0,""))</f>
        <v/>
      </c>
      <c r="V355" s="212" t="str">
        <f t="shared" si="5"/>
        <v>RUN-COMB_2022-04-15_RFR-018</v>
      </c>
      <c r="W355" s="51"/>
      <c r="X355" s="51"/>
      <c r="Y355" s="147" t="str">
        <f t="shared" ref="Y355:Z355" si="710">IF(_xlfn.ISFORMULA(S355),IFERROR(0/0,""),TRUE)</f>
        <v/>
      </c>
      <c r="Z355" s="147" t="str">
        <f t="shared" si="710"/>
        <v/>
      </c>
    </row>
    <row r="356">
      <c r="A356" s="6" t="str">
        <f>IFERROR(__xludf.DUMMYFUNCTION("""COMPUTED_VALUE"""),"FM4332")</f>
        <v>FM4332</v>
      </c>
      <c r="B356" s="206">
        <f>IFERROR(__xludf.DUMMYFUNCTION("""COMPUTED_VALUE"""),44666.0)</f>
        <v>44666</v>
      </c>
      <c r="C356" s="207">
        <f>IFERROR(__xludf.DUMMYFUNCTION("""COMPUTED_VALUE"""),0.2662037037037037)</f>
        <v>0.2662037037</v>
      </c>
      <c r="D356" s="50"/>
      <c r="E356" s="58"/>
      <c r="F356" s="58"/>
      <c r="G356" s="58" t="str">
        <f>IFERROR(__xludf.DUMMYFUNCTION("""COMPUTED_VALUE"""),"Negative")</f>
        <v>Negative</v>
      </c>
      <c r="H356" s="206" t="str">
        <f>IFERROR(__xludf.DUMMYFUNCTION("""COMPUTED_VALUE"""),"Negative")</f>
        <v>Negative</v>
      </c>
      <c r="I356" s="207">
        <f>IFERROR(__xludf.DUMMYFUNCTION("""COMPUTED_VALUE"""),44666.0)</f>
        <v>44666</v>
      </c>
      <c r="J356" s="208">
        <f>IFERROR(__xludf.DUMMYFUNCTION("""COMPUTED_VALUE"""),0.3596759259259259)</f>
        <v>0.3596759259</v>
      </c>
      <c r="K356" s="50"/>
      <c r="L356" s="6"/>
      <c r="M356" s="55"/>
      <c r="N356" s="55">
        <f>IFERROR(__xludf.DUMMYFUNCTION("""COMPUTED_VALUE"""),1.0)</f>
        <v>1</v>
      </c>
      <c r="O356" s="55" t="str">
        <f t="shared" si="3"/>
        <v/>
      </c>
      <c r="P356" s="209"/>
      <c r="Q356" s="75" t="b">
        <f>VLOOKUP($B356,'Run Reconcile'!B$2:P1679,15,FALSE)</f>
        <v>1</v>
      </c>
      <c r="R356" s="211" t="str">
        <f t="array" ref="R356">IF($Q356, INDEX('Run Reconcile'!A$2:A1679,MATCH(B356,'Run Reconcile'!B$2:B1679,0),1),IFERROR(0/0,""))</f>
        <v>RUN-COMB_2022-04-15_RFR-018</v>
      </c>
      <c r="S356" s="165" t="str">
        <f t="shared" ref="S356:T356" si="711">IF(COUNTIF(W$2:W1679, $A356) &gt; 0,TRUE,IFERROR(0/0,""))</f>
        <v/>
      </c>
      <c r="T356" s="165" t="str">
        <f t="shared" si="711"/>
        <v/>
      </c>
      <c r="U356" s="147" t="str">
        <f t="array" ref="U356">IF(ISBLANK($R356), IF($S356,VLOOKUP($B356+1,'RFR Data - preExcl'!$BF$2:$BG1679,2,FALSE),IF($T356,INDEX('RFR Data - preExcl'!$BF$2:$BG1679,MATCH($B356,'RFR Data - preExcl'!$BF$2:$BF1679,0)+1,2),VLOOKUP($B356,'RFR Data - preExcl'!$BF$2:$BG1679,2,FALSE))),IFERROR(0/0,""))</f>
        <v/>
      </c>
      <c r="V356" s="212" t="str">
        <f t="shared" si="5"/>
        <v>RUN-COMB_2022-04-15_RFR-018</v>
      </c>
      <c r="W356" s="51"/>
      <c r="X356" s="51"/>
      <c r="Y356" s="147" t="str">
        <f t="shared" ref="Y356:Z356" si="712">IF(_xlfn.ISFORMULA(S356),IFERROR(0/0,""),TRUE)</f>
        <v/>
      </c>
      <c r="Z356" s="147" t="str">
        <f t="shared" si="712"/>
        <v/>
      </c>
    </row>
    <row r="357">
      <c r="A357" s="6" t="str">
        <f>IFERROR(__xludf.DUMMYFUNCTION("""COMPUTED_VALUE"""),"FM4284")</f>
        <v>FM4284</v>
      </c>
      <c r="B357" s="206">
        <f>IFERROR(__xludf.DUMMYFUNCTION("""COMPUTED_VALUE"""),44666.0)</f>
        <v>44666</v>
      </c>
      <c r="C357" s="207">
        <f>IFERROR(__xludf.DUMMYFUNCTION("""COMPUTED_VALUE"""),0.2664930555555556)</f>
        <v>0.2664930556</v>
      </c>
      <c r="D357" s="50"/>
      <c r="E357" s="58"/>
      <c r="F357" s="58"/>
      <c r="G357" s="58" t="str">
        <f>IFERROR(__xludf.DUMMYFUNCTION("""COMPUTED_VALUE"""),"Negative")</f>
        <v>Negative</v>
      </c>
      <c r="H357" s="206" t="str">
        <f>IFERROR(__xludf.DUMMYFUNCTION("""COMPUTED_VALUE"""),"Negative")</f>
        <v>Negative</v>
      </c>
      <c r="I357" s="207">
        <f>IFERROR(__xludf.DUMMYFUNCTION("""COMPUTED_VALUE"""),44666.0)</f>
        <v>44666</v>
      </c>
      <c r="J357" s="208">
        <f>IFERROR(__xludf.DUMMYFUNCTION("""COMPUTED_VALUE"""),0.3596759259259259)</f>
        <v>0.3596759259</v>
      </c>
      <c r="K357" s="50"/>
      <c r="L357" s="6"/>
      <c r="M357" s="55"/>
      <c r="N357" s="55">
        <f>IFERROR(__xludf.DUMMYFUNCTION("""COMPUTED_VALUE"""),1.0)</f>
        <v>1</v>
      </c>
      <c r="O357" s="55" t="str">
        <f t="shared" si="3"/>
        <v/>
      </c>
      <c r="P357" s="209"/>
      <c r="Q357" s="75" t="b">
        <f>VLOOKUP($B357,'Run Reconcile'!B$2:P1679,15,FALSE)</f>
        <v>1</v>
      </c>
      <c r="R357" s="211" t="str">
        <f t="array" ref="R357">IF($Q357, INDEX('Run Reconcile'!A$2:A1679,MATCH(B357,'Run Reconcile'!B$2:B1679,0),1),IFERROR(0/0,""))</f>
        <v>RUN-COMB_2022-04-15_RFR-018</v>
      </c>
      <c r="S357" s="165" t="str">
        <f t="shared" ref="S357:T357" si="713">IF(COUNTIF(W$2:W1679, $A357) &gt; 0,TRUE,IFERROR(0/0,""))</f>
        <v/>
      </c>
      <c r="T357" s="165" t="str">
        <f t="shared" si="713"/>
        <v/>
      </c>
      <c r="U357" s="147" t="str">
        <f t="array" ref="U357">IF(ISBLANK($R357), IF($S357,VLOOKUP($B357+1,'RFR Data - preExcl'!$BF$2:$BG1679,2,FALSE),IF($T357,INDEX('RFR Data - preExcl'!$BF$2:$BG1679,MATCH($B357,'RFR Data - preExcl'!$BF$2:$BF1679,0)+1,2),VLOOKUP($B357,'RFR Data - preExcl'!$BF$2:$BG1679,2,FALSE))),IFERROR(0/0,""))</f>
        <v/>
      </c>
      <c r="V357" s="212" t="str">
        <f t="shared" si="5"/>
        <v>RUN-COMB_2022-04-15_RFR-018</v>
      </c>
      <c r="W357" s="51"/>
      <c r="X357" s="51"/>
      <c r="Y357" s="147" t="str">
        <f t="shared" ref="Y357:Z357" si="714">IF(_xlfn.ISFORMULA(S357),IFERROR(0/0,""),TRUE)</f>
        <v/>
      </c>
      <c r="Z357" s="147" t="str">
        <f t="shared" si="714"/>
        <v/>
      </c>
    </row>
    <row r="358">
      <c r="A358" s="6" t="str">
        <f>IFERROR(__xludf.DUMMYFUNCTION("""COMPUTED_VALUE"""),"FM4336")</f>
        <v>FM4336</v>
      </c>
      <c r="B358" s="206">
        <f>IFERROR(__xludf.DUMMYFUNCTION("""COMPUTED_VALUE"""),44666.0)</f>
        <v>44666</v>
      </c>
      <c r="C358" s="207">
        <f>IFERROR(__xludf.DUMMYFUNCTION("""COMPUTED_VALUE"""),0.26665509259259257)</f>
        <v>0.2666550926</v>
      </c>
      <c r="D358" s="50"/>
      <c r="E358" s="58"/>
      <c r="F358" s="58"/>
      <c r="G358" s="58" t="str">
        <f>IFERROR(__xludf.DUMMYFUNCTION("""COMPUTED_VALUE"""),"Negative")</f>
        <v>Negative</v>
      </c>
      <c r="H358" s="206" t="str">
        <f>IFERROR(__xludf.DUMMYFUNCTION("""COMPUTED_VALUE"""),"Negative")</f>
        <v>Negative</v>
      </c>
      <c r="I358" s="207">
        <f>IFERROR(__xludf.DUMMYFUNCTION("""COMPUTED_VALUE"""),44666.0)</f>
        <v>44666</v>
      </c>
      <c r="J358" s="208">
        <f>IFERROR(__xludf.DUMMYFUNCTION("""COMPUTED_VALUE"""),0.3596875)</f>
        <v>0.3596875</v>
      </c>
      <c r="K358" s="50"/>
      <c r="L358" s="6"/>
      <c r="M358" s="55"/>
      <c r="N358" s="55">
        <f>IFERROR(__xludf.DUMMYFUNCTION("""COMPUTED_VALUE"""),1.0)</f>
        <v>1</v>
      </c>
      <c r="O358" s="55" t="str">
        <f t="shared" si="3"/>
        <v/>
      </c>
      <c r="P358" s="209"/>
      <c r="Q358" s="75" t="b">
        <f>VLOOKUP($B358,'Run Reconcile'!B$2:P1679,15,FALSE)</f>
        <v>1</v>
      </c>
      <c r="R358" s="211" t="str">
        <f t="array" ref="R358">IF($Q358, INDEX('Run Reconcile'!A$2:A1679,MATCH(B358,'Run Reconcile'!B$2:B1679,0),1),IFERROR(0/0,""))</f>
        <v>RUN-COMB_2022-04-15_RFR-018</v>
      </c>
      <c r="S358" s="165" t="str">
        <f t="shared" ref="S358:T358" si="715">IF(COUNTIF(W$2:W1679, $A358) &gt; 0,TRUE,IFERROR(0/0,""))</f>
        <v/>
      </c>
      <c r="T358" s="165" t="str">
        <f t="shared" si="715"/>
        <v/>
      </c>
      <c r="U358" s="147" t="str">
        <f t="array" ref="U358">IF(ISBLANK($R358), IF($S358,VLOOKUP($B358+1,'RFR Data - preExcl'!$BF$2:$BG1679,2,FALSE),IF($T358,INDEX('RFR Data - preExcl'!$BF$2:$BG1679,MATCH($B358,'RFR Data - preExcl'!$BF$2:$BF1679,0)+1,2),VLOOKUP($B358,'RFR Data - preExcl'!$BF$2:$BG1679,2,FALSE))),IFERROR(0/0,""))</f>
        <v/>
      </c>
      <c r="V358" s="212" t="str">
        <f t="shared" si="5"/>
        <v>RUN-COMB_2022-04-15_RFR-018</v>
      </c>
      <c r="W358" s="51"/>
      <c r="X358" s="51"/>
      <c r="Y358" s="147" t="str">
        <f t="shared" ref="Y358:Z358" si="716">IF(_xlfn.ISFORMULA(S358),IFERROR(0/0,""),TRUE)</f>
        <v/>
      </c>
      <c r="Z358" s="147" t="str">
        <f t="shared" si="716"/>
        <v/>
      </c>
    </row>
    <row r="359">
      <c r="A359" s="6" t="str">
        <f>IFERROR(__xludf.DUMMYFUNCTION("""COMPUTED_VALUE"""),"FM4267")</f>
        <v>FM4267</v>
      </c>
      <c r="B359" s="206">
        <f>IFERROR(__xludf.DUMMYFUNCTION("""COMPUTED_VALUE"""),44666.0)</f>
        <v>44666</v>
      </c>
      <c r="C359" s="207">
        <f>IFERROR(__xludf.DUMMYFUNCTION("""COMPUTED_VALUE"""),0.27782407407407406)</f>
        <v>0.2778240741</v>
      </c>
      <c r="D359" s="50"/>
      <c r="E359" s="58"/>
      <c r="F359" s="58"/>
      <c r="G359" s="58" t="str">
        <f>IFERROR(__xludf.DUMMYFUNCTION("""COMPUTED_VALUE"""),"Negative")</f>
        <v>Negative</v>
      </c>
      <c r="H359" s="206" t="str">
        <f>IFERROR(__xludf.DUMMYFUNCTION("""COMPUTED_VALUE"""),"Negative")</f>
        <v>Negative</v>
      </c>
      <c r="I359" s="207">
        <f>IFERROR(__xludf.DUMMYFUNCTION("""COMPUTED_VALUE"""),44666.0)</f>
        <v>44666</v>
      </c>
      <c r="J359" s="208">
        <f>IFERROR(__xludf.DUMMYFUNCTION("""COMPUTED_VALUE"""),0.3596875)</f>
        <v>0.3596875</v>
      </c>
      <c r="K359" s="50"/>
      <c r="L359" s="6"/>
      <c r="M359" s="55"/>
      <c r="N359" s="55">
        <f>IFERROR(__xludf.DUMMYFUNCTION("""COMPUTED_VALUE"""),1.0)</f>
        <v>1</v>
      </c>
      <c r="O359" s="55" t="str">
        <f t="shared" si="3"/>
        <v/>
      </c>
      <c r="P359" s="209"/>
      <c r="Q359" s="75" t="b">
        <f>VLOOKUP($B359,'Run Reconcile'!B$2:P1679,15,FALSE)</f>
        <v>1</v>
      </c>
      <c r="R359" s="211" t="str">
        <f t="array" ref="R359">IF($Q359, INDEX('Run Reconcile'!A$2:A1679,MATCH(B359,'Run Reconcile'!B$2:B1679,0),1),IFERROR(0/0,""))</f>
        <v>RUN-COMB_2022-04-15_RFR-018</v>
      </c>
      <c r="S359" s="165" t="str">
        <f t="shared" ref="S359:T359" si="717">IF(COUNTIF(W$2:W1679, $A359) &gt; 0,TRUE,IFERROR(0/0,""))</f>
        <v/>
      </c>
      <c r="T359" s="165" t="str">
        <f t="shared" si="717"/>
        <v/>
      </c>
      <c r="U359" s="147" t="str">
        <f t="array" ref="U359">IF(ISBLANK($R359), IF($S359,VLOOKUP($B359+1,'RFR Data - preExcl'!$BF$2:$BG1679,2,FALSE),IF($T359,INDEX('RFR Data - preExcl'!$BF$2:$BG1679,MATCH($B359,'RFR Data - preExcl'!$BF$2:$BF1679,0)+1,2),VLOOKUP($B359,'RFR Data - preExcl'!$BF$2:$BG1679,2,FALSE))),IFERROR(0/0,""))</f>
        <v/>
      </c>
      <c r="V359" s="212" t="str">
        <f t="shared" si="5"/>
        <v>RUN-COMB_2022-04-15_RFR-018</v>
      </c>
      <c r="W359" s="51"/>
      <c r="X359" s="51"/>
      <c r="Y359" s="147" t="str">
        <f t="shared" ref="Y359:Z359" si="718">IF(_xlfn.ISFORMULA(S359),IFERROR(0/0,""),TRUE)</f>
        <v/>
      </c>
      <c r="Z359" s="147" t="str">
        <f t="shared" si="718"/>
        <v/>
      </c>
    </row>
    <row r="360">
      <c r="A360" s="6" t="str">
        <f>IFERROR(__xludf.DUMMYFUNCTION("""COMPUTED_VALUE"""),"FM4308")</f>
        <v>FM4308</v>
      </c>
      <c r="B360" s="206">
        <f>IFERROR(__xludf.DUMMYFUNCTION("""COMPUTED_VALUE"""),44666.0)</f>
        <v>44666</v>
      </c>
      <c r="C360" s="207">
        <f>IFERROR(__xludf.DUMMYFUNCTION("""COMPUTED_VALUE"""),0.27826388888888887)</f>
        <v>0.2782638889</v>
      </c>
      <c r="D360" s="50"/>
      <c r="E360" s="58"/>
      <c r="F360" s="58"/>
      <c r="G360" s="58" t="str">
        <f>IFERROR(__xludf.DUMMYFUNCTION("""COMPUTED_VALUE"""),"Negative")</f>
        <v>Negative</v>
      </c>
      <c r="H360" s="206" t="str">
        <f>IFERROR(__xludf.DUMMYFUNCTION("""COMPUTED_VALUE"""),"Negative")</f>
        <v>Negative</v>
      </c>
      <c r="I360" s="207">
        <f>IFERROR(__xludf.DUMMYFUNCTION("""COMPUTED_VALUE"""),44666.0)</f>
        <v>44666</v>
      </c>
      <c r="J360" s="208">
        <f>IFERROR(__xludf.DUMMYFUNCTION("""COMPUTED_VALUE"""),0.3596875)</f>
        <v>0.3596875</v>
      </c>
      <c r="K360" s="50"/>
      <c r="L360" s="6"/>
      <c r="M360" s="55"/>
      <c r="N360" s="55">
        <f>IFERROR(__xludf.DUMMYFUNCTION("""COMPUTED_VALUE"""),1.0)</f>
        <v>1</v>
      </c>
      <c r="O360" s="55" t="str">
        <f t="shared" si="3"/>
        <v/>
      </c>
      <c r="P360" s="209"/>
      <c r="Q360" s="75" t="b">
        <f>VLOOKUP($B360,'Run Reconcile'!B$2:P1679,15,FALSE)</f>
        <v>1</v>
      </c>
      <c r="R360" s="211" t="str">
        <f t="array" ref="R360">IF($Q360, INDEX('Run Reconcile'!A$2:A1679,MATCH(B360,'Run Reconcile'!B$2:B1679,0),1),IFERROR(0/0,""))</f>
        <v>RUN-COMB_2022-04-15_RFR-018</v>
      </c>
      <c r="S360" s="165" t="str">
        <f t="shared" ref="S360:T360" si="719">IF(COUNTIF(W$2:W1679, $A360) &gt; 0,TRUE,IFERROR(0/0,""))</f>
        <v/>
      </c>
      <c r="T360" s="165" t="str">
        <f t="shared" si="719"/>
        <v/>
      </c>
      <c r="U360" s="147" t="str">
        <f t="array" ref="U360">IF(ISBLANK($R360), IF($S360,VLOOKUP($B360+1,'RFR Data - preExcl'!$BF$2:$BG1679,2,FALSE),IF($T360,INDEX('RFR Data - preExcl'!$BF$2:$BG1679,MATCH($B360,'RFR Data - preExcl'!$BF$2:$BF1679,0)+1,2),VLOOKUP($B360,'RFR Data - preExcl'!$BF$2:$BG1679,2,FALSE))),IFERROR(0/0,""))</f>
        <v/>
      </c>
      <c r="V360" s="212" t="str">
        <f t="shared" si="5"/>
        <v>RUN-COMB_2022-04-15_RFR-018</v>
      </c>
      <c r="W360" s="51"/>
      <c r="X360" s="51"/>
      <c r="Y360" s="147" t="str">
        <f t="shared" ref="Y360:Z360" si="720">IF(_xlfn.ISFORMULA(S360),IFERROR(0/0,""),TRUE)</f>
        <v/>
      </c>
      <c r="Z360" s="147" t="str">
        <f t="shared" si="720"/>
        <v/>
      </c>
    </row>
    <row r="361">
      <c r="A361" s="6" t="str">
        <f>IFERROR(__xludf.DUMMYFUNCTION("""COMPUTED_VALUE"""),"FM4062")</f>
        <v>FM4062</v>
      </c>
      <c r="B361" s="206">
        <f>IFERROR(__xludf.DUMMYFUNCTION("""COMPUTED_VALUE"""),44666.0)</f>
        <v>44666</v>
      </c>
      <c r="C361" s="207">
        <f>IFERROR(__xludf.DUMMYFUNCTION("""COMPUTED_VALUE"""),0.2787615740740741)</f>
        <v>0.2787615741</v>
      </c>
      <c r="D361" s="50"/>
      <c r="E361" s="58"/>
      <c r="F361" s="58"/>
      <c r="G361" s="58" t="str">
        <f>IFERROR(__xludf.DUMMYFUNCTION("""COMPUTED_VALUE"""),"Negative")</f>
        <v>Negative</v>
      </c>
      <c r="H361" s="206" t="str">
        <f>IFERROR(__xludf.DUMMYFUNCTION("""COMPUTED_VALUE"""),"Negative")</f>
        <v>Negative</v>
      </c>
      <c r="I361" s="207">
        <f>IFERROR(__xludf.DUMMYFUNCTION("""COMPUTED_VALUE"""),44666.0)</f>
        <v>44666</v>
      </c>
      <c r="J361" s="208">
        <f>IFERROR(__xludf.DUMMYFUNCTION("""COMPUTED_VALUE"""),0.3596990740740741)</f>
        <v>0.3596990741</v>
      </c>
      <c r="K361" s="50"/>
      <c r="L361" s="6"/>
      <c r="M361" s="55"/>
      <c r="N361" s="55">
        <f>IFERROR(__xludf.DUMMYFUNCTION("""COMPUTED_VALUE"""),1.0)</f>
        <v>1</v>
      </c>
      <c r="O361" s="55" t="str">
        <f t="shared" si="3"/>
        <v/>
      </c>
      <c r="P361" s="209"/>
      <c r="Q361" s="75" t="b">
        <f>VLOOKUP($B361,'Run Reconcile'!B$2:P1679,15,FALSE)</f>
        <v>1</v>
      </c>
      <c r="R361" s="211" t="str">
        <f t="array" ref="R361">IF($Q361, INDEX('Run Reconcile'!A$2:A1679,MATCH(B361,'Run Reconcile'!B$2:B1679,0),1),IFERROR(0/0,""))</f>
        <v>RUN-COMB_2022-04-15_RFR-018</v>
      </c>
      <c r="S361" s="165" t="str">
        <f t="shared" ref="S361:T361" si="721">IF(COUNTIF(W$2:W1679, $A361) &gt; 0,TRUE,IFERROR(0/0,""))</f>
        <v/>
      </c>
      <c r="T361" s="165" t="str">
        <f t="shared" si="721"/>
        <v/>
      </c>
      <c r="U361" s="147" t="str">
        <f t="array" ref="U361">IF(ISBLANK($R361), IF($S361,VLOOKUP($B361+1,'RFR Data - preExcl'!$BF$2:$BG1679,2,FALSE),IF($T361,INDEX('RFR Data - preExcl'!$BF$2:$BG1679,MATCH($B361,'RFR Data - preExcl'!$BF$2:$BF1679,0)+1,2),VLOOKUP($B361,'RFR Data - preExcl'!$BF$2:$BG1679,2,FALSE))),IFERROR(0/0,""))</f>
        <v/>
      </c>
      <c r="V361" s="212" t="str">
        <f t="shared" si="5"/>
        <v>RUN-COMB_2022-04-15_RFR-018</v>
      </c>
      <c r="W361" s="51"/>
      <c r="X361" s="51"/>
      <c r="Y361" s="147" t="str">
        <f t="shared" ref="Y361:Z361" si="722">IF(_xlfn.ISFORMULA(S361),IFERROR(0/0,""),TRUE)</f>
        <v/>
      </c>
      <c r="Z361" s="147" t="str">
        <f t="shared" si="722"/>
        <v/>
      </c>
    </row>
    <row r="362">
      <c r="A362" s="6" t="str">
        <f>IFERROR(__xludf.DUMMYFUNCTION("""COMPUTED_VALUE"""),"FM4067")</f>
        <v>FM4067</v>
      </c>
      <c r="B362" s="206">
        <f>IFERROR(__xludf.DUMMYFUNCTION("""COMPUTED_VALUE"""),44666.0)</f>
        <v>44666</v>
      </c>
      <c r="C362" s="207">
        <f>IFERROR(__xludf.DUMMYFUNCTION("""COMPUTED_VALUE"""),0.27917824074074077)</f>
        <v>0.2791782407</v>
      </c>
      <c r="D362" s="50"/>
      <c r="E362" s="58"/>
      <c r="F362" s="58"/>
      <c r="G362" s="58" t="str">
        <f>IFERROR(__xludf.DUMMYFUNCTION("""COMPUTED_VALUE"""),"Negative")</f>
        <v>Negative</v>
      </c>
      <c r="H362" s="206" t="str">
        <f>IFERROR(__xludf.DUMMYFUNCTION("""COMPUTED_VALUE"""),"Negative")</f>
        <v>Negative</v>
      </c>
      <c r="I362" s="207">
        <f>IFERROR(__xludf.DUMMYFUNCTION("""COMPUTED_VALUE"""),44666.0)</f>
        <v>44666</v>
      </c>
      <c r="J362" s="208">
        <f>IFERROR(__xludf.DUMMYFUNCTION("""COMPUTED_VALUE"""),0.3596990740740741)</f>
        <v>0.3596990741</v>
      </c>
      <c r="K362" s="50"/>
      <c r="L362" s="6"/>
      <c r="M362" s="55"/>
      <c r="N362" s="55">
        <f>IFERROR(__xludf.DUMMYFUNCTION("""COMPUTED_VALUE"""),1.0)</f>
        <v>1</v>
      </c>
      <c r="O362" s="55" t="str">
        <f t="shared" si="3"/>
        <v/>
      </c>
      <c r="P362" s="209"/>
      <c r="Q362" s="75" t="b">
        <f>VLOOKUP($B362,'Run Reconcile'!B$2:P1679,15,FALSE)</f>
        <v>1</v>
      </c>
      <c r="R362" s="211" t="str">
        <f t="array" ref="R362">IF($Q362, INDEX('Run Reconcile'!A$2:A1679,MATCH(B362,'Run Reconcile'!B$2:B1679,0),1),IFERROR(0/0,""))</f>
        <v>RUN-COMB_2022-04-15_RFR-018</v>
      </c>
      <c r="S362" s="165" t="str">
        <f t="shared" ref="S362:T362" si="723">IF(COUNTIF(W$2:W1679, $A362) &gt; 0,TRUE,IFERROR(0/0,""))</f>
        <v/>
      </c>
      <c r="T362" s="165" t="str">
        <f t="shared" si="723"/>
        <v/>
      </c>
      <c r="U362" s="147" t="str">
        <f t="array" ref="U362">IF(ISBLANK($R362), IF($S362,VLOOKUP($B362+1,'RFR Data - preExcl'!$BF$2:$BG1679,2,FALSE),IF($T362,INDEX('RFR Data - preExcl'!$BF$2:$BG1679,MATCH($B362,'RFR Data - preExcl'!$BF$2:$BF1679,0)+1,2),VLOOKUP($B362,'RFR Data - preExcl'!$BF$2:$BG1679,2,FALSE))),IFERROR(0/0,""))</f>
        <v/>
      </c>
      <c r="V362" s="212" t="str">
        <f t="shared" si="5"/>
        <v>RUN-COMB_2022-04-15_RFR-018</v>
      </c>
      <c r="W362" s="51"/>
      <c r="X362" s="51"/>
      <c r="Y362" s="147" t="str">
        <f t="shared" ref="Y362:Z362" si="724">IF(_xlfn.ISFORMULA(S362),IFERROR(0/0,""),TRUE)</f>
        <v/>
      </c>
      <c r="Z362" s="147" t="str">
        <f t="shared" si="724"/>
        <v/>
      </c>
    </row>
    <row r="363">
      <c r="A363" s="6" t="str">
        <f>IFERROR(__xludf.DUMMYFUNCTION("""COMPUTED_VALUE"""),"FM4316")</f>
        <v>FM4316</v>
      </c>
      <c r="B363" s="206">
        <f>IFERROR(__xludf.DUMMYFUNCTION("""COMPUTED_VALUE"""),44666.0)</f>
        <v>44666</v>
      </c>
      <c r="C363" s="207">
        <f>IFERROR(__xludf.DUMMYFUNCTION("""COMPUTED_VALUE"""),0.27953703703703703)</f>
        <v>0.279537037</v>
      </c>
      <c r="D363" s="50"/>
      <c r="E363" s="58"/>
      <c r="F363" s="58"/>
      <c r="G363" s="58" t="str">
        <f>IFERROR(__xludf.DUMMYFUNCTION("""COMPUTED_VALUE"""),"Negative")</f>
        <v>Negative</v>
      </c>
      <c r="H363" s="206" t="str">
        <f>IFERROR(__xludf.DUMMYFUNCTION("""COMPUTED_VALUE"""),"Negative")</f>
        <v>Negative</v>
      </c>
      <c r="I363" s="207">
        <f>IFERROR(__xludf.DUMMYFUNCTION("""COMPUTED_VALUE"""),44666.0)</f>
        <v>44666</v>
      </c>
      <c r="J363" s="208">
        <f>IFERROR(__xludf.DUMMYFUNCTION("""COMPUTED_VALUE"""),0.3596990740740741)</f>
        <v>0.3596990741</v>
      </c>
      <c r="K363" s="50"/>
      <c r="L363" s="6"/>
      <c r="M363" s="55"/>
      <c r="N363" s="55">
        <f>IFERROR(__xludf.DUMMYFUNCTION("""COMPUTED_VALUE"""),1.0)</f>
        <v>1</v>
      </c>
      <c r="O363" s="55" t="str">
        <f t="shared" si="3"/>
        <v/>
      </c>
      <c r="P363" s="209"/>
      <c r="Q363" s="75" t="b">
        <f>VLOOKUP($B363,'Run Reconcile'!B$2:P1679,15,FALSE)</f>
        <v>1</v>
      </c>
      <c r="R363" s="211" t="str">
        <f t="array" ref="R363">IF($Q363, INDEX('Run Reconcile'!A$2:A1679,MATCH(B363,'Run Reconcile'!B$2:B1679,0),1),IFERROR(0/0,""))</f>
        <v>RUN-COMB_2022-04-15_RFR-018</v>
      </c>
      <c r="S363" s="165" t="str">
        <f t="shared" ref="S363:T363" si="725">IF(COUNTIF(W$2:W1679, $A363) &gt; 0,TRUE,IFERROR(0/0,""))</f>
        <v/>
      </c>
      <c r="T363" s="165" t="str">
        <f t="shared" si="725"/>
        <v/>
      </c>
      <c r="U363" s="147" t="str">
        <f t="array" ref="U363">IF(ISBLANK($R363), IF($S363,VLOOKUP($B363+1,'RFR Data - preExcl'!$BF$2:$BG1679,2,FALSE),IF($T363,INDEX('RFR Data - preExcl'!$BF$2:$BG1679,MATCH($B363,'RFR Data - preExcl'!$BF$2:$BF1679,0)+1,2),VLOOKUP($B363,'RFR Data - preExcl'!$BF$2:$BG1679,2,FALSE))),IFERROR(0/0,""))</f>
        <v/>
      </c>
      <c r="V363" s="212" t="str">
        <f t="shared" si="5"/>
        <v>RUN-COMB_2022-04-15_RFR-018</v>
      </c>
      <c r="W363" s="51"/>
      <c r="X363" s="51"/>
      <c r="Y363" s="147" t="str">
        <f t="shared" ref="Y363:Z363" si="726">IF(_xlfn.ISFORMULA(S363),IFERROR(0/0,""),TRUE)</f>
        <v/>
      </c>
      <c r="Z363" s="147" t="str">
        <f t="shared" si="726"/>
        <v/>
      </c>
    </row>
    <row r="364">
      <c r="A364" s="6" t="str">
        <f>IFERROR(__xludf.DUMMYFUNCTION("""COMPUTED_VALUE"""),"FM4271")</f>
        <v>FM4271</v>
      </c>
      <c r="B364" s="206">
        <f>IFERROR(__xludf.DUMMYFUNCTION("""COMPUTED_VALUE"""),44666.0)</f>
        <v>44666</v>
      </c>
      <c r="C364" s="207">
        <f>IFERROR(__xludf.DUMMYFUNCTION("""COMPUTED_VALUE"""),0.27993055555555557)</f>
        <v>0.2799305556</v>
      </c>
      <c r="D364" s="50"/>
      <c r="E364" s="58"/>
      <c r="F364" s="58"/>
      <c r="G364" s="58" t="str">
        <f>IFERROR(__xludf.DUMMYFUNCTION("""COMPUTED_VALUE"""),"Negative")</f>
        <v>Negative</v>
      </c>
      <c r="H364" s="206" t="str">
        <f>IFERROR(__xludf.DUMMYFUNCTION("""COMPUTED_VALUE"""),"Negative")</f>
        <v>Negative</v>
      </c>
      <c r="I364" s="207">
        <f>IFERROR(__xludf.DUMMYFUNCTION("""COMPUTED_VALUE"""),44666.0)</f>
        <v>44666</v>
      </c>
      <c r="J364" s="208">
        <f>IFERROR(__xludf.DUMMYFUNCTION("""COMPUTED_VALUE"""),0.3597106481481481)</f>
        <v>0.3597106481</v>
      </c>
      <c r="K364" s="50"/>
      <c r="L364" s="6"/>
      <c r="M364" s="55"/>
      <c r="N364" s="55">
        <f>IFERROR(__xludf.DUMMYFUNCTION("""COMPUTED_VALUE"""),1.0)</f>
        <v>1</v>
      </c>
      <c r="O364" s="55" t="str">
        <f t="shared" si="3"/>
        <v/>
      </c>
      <c r="P364" s="209"/>
      <c r="Q364" s="75" t="b">
        <f>VLOOKUP($B364,'Run Reconcile'!B$2:P1679,15,FALSE)</f>
        <v>1</v>
      </c>
      <c r="R364" s="211" t="str">
        <f t="array" ref="R364">IF($Q364, INDEX('Run Reconcile'!A$2:A1679,MATCH(B364,'Run Reconcile'!B$2:B1679,0),1),IFERROR(0/0,""))</f>
        <v>RUN-COMB_2022-04-15_RFR-018</v>
      </c>
      <c r="S364" s="165" t="str">
        <f t="shared" ref="S364:T364" si="727">IF(COUNTIF(W$2:W1679, $A364) &gt; 0,TRUE,IFERROR(0/0,""))</f>
        <v/>
      </c>
      <c r="T364" s="165" t="str">
        <f t="shared" si="727"/>
        <v/>
      </c>
      <c r="U364" s="147" t="str">
        <f t="array" ref="U364">IF(ISBLANK($R364), IF($S364,VLOOKUP($B364+1,'RFR Data - preExcl'!$BF$2:$BG1679,2,FALSE),IF($T364,INDEX('RFR Data - preExcl'!$BF$2:$BG1679,MATCH($B364,'RFR Data - preExcl'!$BF$2:$BF1679,0)+1,2),VLOOKUP($B364,'RFR Data - preExcl'!$BF$2:$BG1679,2,FALSE))),IFERROR(0/0,""))</f>
        <v/>
      </c>
      <c r="V364" s="212" t="str">
        <f t="shared" si="5"/>
        <v>RUN-COMB_2022-04-15_RFR-018</v>
      </c>
      <c r="W364" s="51"/>
      <c r="X364" s="51"/>
      <c r="Y364" s="147" t="str">
        <f t="shared" ref="Y364:Z364" si="728">IF(_xlfn.ISFORMULA(S364),IFERROR(0/0,""),TRUE)</f>
        <v/>
      </c>
      <c r="Z364" s="147" t="str">
        <f t="shared" si="728"/>
        <v/>
      </c>
    </row>
    <row r="365">
      <c r="A365" s="6" t="str">
        <f>IFERROR(__xludf.DUMMYFUNCTION("""COMPUTED_VALUE"""),"FM4322")</f>
        <v>FM4322</v>
      </c>
      <c r="B365" s="206">
        <f>IFERROR(__xludf.DUMMYFUNCTION("""COMPUTED_VALUE"""),44666.0)</f>
        <v>44666</v>
      </c>
      <c r="C365" s="207">
        <f>IFERROR(__xludf.DUMMYFUNCTION("""COMPUTED_VALUE"""),0.28028935185185183)</f>
        <v>0.2802893519</v>
      </c>
      <c r="D365" s="50"/>
      <c r="E365" s="58"/>
      <c r="F365" s="58"/>
      <c r="G365" s="58" t="str">
        <f>IFERROR(__xludf.DUMMYFUNCTION("""COMPUTED_VALUE"""),"Negative")</f>
        <v>Negative</v>
      </c>
      <c r="H365" s="206" t="str">
        <f>IFERROR(__xludf.DUMMYFUNCTION("""COMPUTED_VALUE"""),"Negative")</f>
        <v>Negative</v>
      </c>
      <c r="I365" s="207">
        <f>IFERROR(__xludf.DUMMYFUNCTION("""COMPUTED_VALUE"""),44666.0)</f>
        <v>44666</v>
      </c>
      <c r="J365" s="208">
        <f>IFERROR(__xludf.DUMMYFUNCTION("""COMPUTED_VALUE"""),0.3597106481481481)</f>
        <v>0.3597106481</v>
      </c>
      <c r="K365" s="50"/>
      <c r="L365" s="6"/>
      <c r="M365" s="55"/>
      <c r="N365" s="55">
        <f>IFERROR(__xludf.DUMMYFUNCTION("""COMPUTED_VALUE"""),1.0)</f>
        <v>1</v>
      </c>
      <c r="O365" s="55" t="str">
        <f t="shared" si="3"/>
        <v/>
      </c>
      <c r="P365" s="209"/>
      <c r="Q365" s="75" t="b">
        <f>VLOOKUP($B365,'Run Reconcile'!B$2:P1679,15,FALSE)</f>
        <v>1</v>
      </c>
      <c r="R365" s="211" t="str">
        <f t="array" ref="R365">IF($Q365, INDEX('Run Reconcile'!A$2:A1679,MATCH(B365,'Run Reconcile'!B$2:B1679,0),1),IFERROR(0/0,""))</f>
        <v>RUN-COMB_2022-04-15_RFR-018</v>
      </c>
      <c r="S365" s="165" t="str">
        <f t="shared" ref="S365:T365" si="729">IF(COUNTIF(W$2:W1679, $A365) &gt; 0,TRUE,IFERROR(0/0,""))</f>
        <v/>
      </c>
      <c r="T365" s="165" t="str">
        <f t="shared" si="729"/>
        <v/>
      </c>
      <c r="U365" s="147" t="str">
        <f t="array" ref="U365">IF(ISBLANK($R365), IF($S365,VLOOKUP($B365+1,'RFR Data - preExcl'!$BF$2:$BG1679,2,FALSE),IF($T365,INDEX('RFR Data - preExcl'!$BF$2:$BG1679,MATCH($B365,'RFR Data - preExcl'!$BF$2:$BF1679,0)+1,2),VLOOKUP($B365,'RFR Data - preExcl'!$BF$2:$BG1679,2,FALSE))),IFERROR(0/0,""))</f>
        <v/>
      </c>
      <c r="V365" s="212" t="str">
        <f t="shared" si="5"/>
        <v>RUN-COMB_2022-04-15_RFR-018</v>
      </c>
      <c r="W365" s="51"/>
      <c r="X365" s="51"/>
      <c r="Y365" s="147" t="str">
        <f t="shared" ref="Y365:Z365" si="730">IF(_xlfn.ISFORMULA(S365),IFERROR(0/0,""),TRUE)</f>
        <v/>
      </c>
      <c r="Z365" s="147" t="str">
        <f t="shared" si="730"/>
        <v/>
      </c>
    </row>
    <row r="366">
      <c r="A366" s="6" t="str">
        <f>IFERROR(__xludf.DUMMYFUNCTION("""COMPUTED_VALUE"""),"FM4288")</f>
        <v>FM4288</v>
      </c>
      <c r="B366" s="206">
        <f>IFERROR(__xludf.DUMMYFUNCTION("""COMPUTED_VALUE"""),44666.0)</f>
        <v>44666</v>
      </c>
      <c r="C366" s="207">
        <f>IFERROR(__xludf.DUMMYFUNCTION("""COMPUTED_VALUE"""),0.28069444444444447)</f>
        <v>0.2806944444</v>
      </c>
      <c r="D366" s="50"/>
      <c r="E366" s="58"/>
      <c r="F366" s="58"/>
      <c r="G366" s="58" t="str">
        <f>IFERROR(__xludf.DUMMYFUNCTION("""COMPUTED_VALUE"""),"Negative")</f>
        <v>Negative</v>
      </c>
      <c r="H366" s="206" t="str">
        <f>IFERROR(__xludf.DUMMYFUNCTION("""COMPUTED_VALUE"""),"Negative")</f>
        <v>Negative</v>
      </c>
      <c r="I366" s="207">
        <f>IFERROR(__xludf.DUMMYFUNCTION("""COMPUTED_VALUE"""),44666.0)</f>
        <v>44666</v>
      </c>
      <c r="J366" s="208">
        <f>IFERROR(__xludf.DUMMYFUNCTION("""COMPUTED_VALUE"""),0.3597106481481481)</f>
        <v>0.3597106481</v>
      </c>
      <c r="K366" s="50"/>
      <c r="L366" s="6"/>
      <c r="M366" s="55"/>
      <c r="N366" s="55">
        <f>IFERROR(__xludf.DUMMYFUNCTION("""COMPUTED_VALUE"""),1.0)</f>
        <v>1</v>
      </c>
      <c r="O366" s="55" t="str">
        <f t="shared" si="3"/>
        <v/>
      </c>
      <c r="P366" s="209"/>
      <c r="Q366" s="75" t="b">
        <f>VLOOKUP($B366,'Run Reconcile'!B$2:P1679,15,FALSE)</f>
        <v>1</v>
      </c>
      <c r="R366" s="211" t="str">
        <f t="array" ref="R366">IF($Q366, INDEX('Run Reconcile'!A$2:A1679,MATCH(B366,'Run Reconcile'!B$2:B1679,0),1),IFERROR(0/0,""))</f>
        <v>RUN-COMB_2022-04-15_RFR-018</v>
      </c>
      <c r="S366" s="165" t="str">
        <f t="shared" ref="S366:T366" si="731">IF(COUNTIF(W$2:W1679, $A366) &gt; 0,TRUE,IFERROR(0/0,""))</f>
        <v/>
      </c>
      <c r="T366" s="165" t="str">
        <f t="shared" si="731"/>
        <v/>
      </c>
      <c r="U366" s="147" t="str">
        <f t="array" ref="U366">IF(ISBLANK($R366), IF($S366,VLOOKUP($B366+1,'RFR Data - preExcl'!$BF$2:$BG1679,2,FALSE),IF($T366,INDEX('RFR Data - preExcl'!$BF$2:$BG1679,MATCH($B366,'RFR Data - preExcl'!$BF$2:$BF1679,0)+1,2),VLOOKUP($B366,'RFR Data - preExcl'!$BF$2:$BG1679,2,FALSE))),IFERROR(0/0,""))</f>
        <v/>
      </c>
      <c r="V366" s="212" t="str">
        <f t="shared" si="5"/>
        <v>RUN-COMB_2022-04-15_RFR-018</v>
      </c>
      <c r="W366" s="51"/>
      <c r="X366" s="51"/>
      <c r="Y366" s="147" t="str">
        <f t="shared" ref="Y366:Z366" si="732">IF(_xlfn.ISFORMULA(S366),IFERROR(0/0,""),TRUE)</f>
        <v/>
      </c>
      <c r="Z366" s="147" t="str">
        <f t="shared" si="732"/>
        <v/>
      </c>
    </row>
    <row r="367">
      <c r="A367" s="6" t="str">
        <f>IFERROR(__xludf.DUMMYFUNCTION("""COMPUTED_VALUE"""),"FM4068")</f>
        <v>FM4068</v>
      </c>
      <c r="B367" s="206">
        <f>IFERROR(__xludf.DUMMYFUNCTION("""COMPUTED_VALUE"""),44666.0)</f>
        <v>44666</v>
      </c>
      <c r="C367" s="207">
        <f>IFERROR(__xludf.DUMMYFUNCTION("""COMPUTED_VALUE"""),0.28221064814814817)</f>
        <v>0.2822106481</v>
      </c>
      <c r="D367" s="50"/>
      <c r="E367" s="58"/>
      <c r="F367" s="58"/>
      <c r="G367" s="58" t="str">
        <f>IFERROR(__xludf.DUMMYFUNCTION("""COMPUTED_VALUE"""),"Negative")</f>
        <v>Negative</v>
      </c>
      <c r="H367" s="206" t="str">
        <f>IFERROR(__xludf.DUMMYFUNCTION("""COMPUTED_VALUE"""),"Negative")</f>
        <v>Negative</v>
      </c>
      <c r="I367" s="207">
        <f>IFERROR(__xludf.DUMMYFUNCTION("""COMPUTED_VALUE"""),44666.0)</f>
        <v>44666</v>
      </c>
      <c r="J367" s="208">
        <f>IFERROR(__xludf.DUMMYFUNCTION("""COMPUTED_VALUE"""),0.3597106481481481)</f>
        <v>0.3597106481</v>
      </c>
      <c r="K367" s="50"/>
      <c r="L367" s="6"/>
      <c r="M367" s="55"/>
      <c r="N367" s="55">
        <f>IFERROR(__xludf.DUMMYFUNCTION("""COMPUTED_VALUE"""),1.0)</f>
        <v>1</v>
      </c>
      <c r="O367" s="55" t="str">
        <f t="shared" si="3"/>
        <v/>
      </c>
      <c r="P367" s="209"/>
      <c r="Q367" s="75" t="b">
        <f>VLOOKUP($B367,'Run Reconcile'!B$2:P1679,15,FALSE)</f>
        <v>1</v>
      </c>
      <c r="R367" s="211" t="str">
        <f t="array" ref="R367">IF($Q367, INDEX('Run Reconcile'!A$2:A1679,MATCH(B367,'Run Reconcile'!B$2:B1679,0),1),IFERROR(0/0,""))</f>
        <v>RUN-COMB_2022-04-15_RFR-018</v>
      </c>
      <c r="S367" s="165" t="str">
        <f t="shared" ref="S367:T367" si="733">IF(COUNTIF(W$2:W1679, $A367) &gt; 0,TRUE,IFERROR(0/0,""))</f>
        <v/>
      </c>
      <c r="T367" s="165" t="str">
        <f t="shared" si="733"/>
        <v/>
      </c>
      <c r="U367" s="147" t="str">
        <f t="array" ref="U367">IF(ISBLANK($R367), IF($S367,VLOOKUP($B367+1,'RFR Data - preExcl'!$BF$2:$BG1679,2,FALSE),IF($T367,INDEX('RFR Data - preExcl'!$BF$2:$BG1679,MATCH($B367,'RFR Data - preExcl'!$BF$2:$BF1679,0)+1,2),VLOOKUP($B367,'RFR Data - preExcl'!$BF$2:$BG1679,2,FALSE))),IFERROR(0/0,""))</f>
        <v/>
      </c>
      <c r="V367" s="212" t="str">
        <f t="shared" si="5"/>
        <v>RUN-COMB_2022-04-15_RFR-018</v>
      </c>
      <c r="W367" s="51"/>
      <c r="X367" s="51"/>
      <c r="Y367" s="147" t="str">
        <f t="shared" ref="Y367:Z367" si="734">IF(_xlfn.ISFORMULA(S367),IFERROR(0/0,""),TRUE)</f>
        <v/>
      </c>
      <c r="Z367" s="147" t="str">
        <f t="shared" si="734"/>
        <v/>
      </c>
    </row>
    <row r="368">
      <c r="A368" s="6" t="str">
        <f>IFERROR(__xludf.DUMMYFUNCTION("""COMPUTED_VALUE"""),"FM4262")</f>
        <v>FM4262</v>
      </c>
      <c r="B368" s="206">
        <f>IFERROR(__xludf.DUMMYFUNCTION("""COMPUTED_VALUE"""),44669.0)</f>
        <v>44669</v>
      </c>
      <c r="C368" s="207">
        <f>IFERROR(__xludf.DUMMYFUNCTION("""COMPUTED_VALUE"""),0.680775462962963)</f>
        <v>0.680775463</v>
      </c>
      <c r="D368" s="50"/>
      <c r="E368" s="58"/>
      <c r="F368" s="58"/>
      <c r="G368" s="58" t="str">
        <f>IFERROR(__xludf.DUMMYFUNCTION("""COMPUTED_VALUE"""),"Null")</f>
        <v>Null</v>
      </c>
      <c r="H368" s="206" t="str">
        <f>IFERROR(__xludf.DUMMYFUNCTION("""COMPUTED_VALUE"""),"Negative")</f>
        <v>Negative</v>
      </c>
      <c r="I368" s="207">
        <f>IFERROR(__xludf.DUMMYFUNCTION("""COMPUTED_VALUE"""),44669.0)</f>
        <v>44669</v>
      </c>
      <c r="J368" s="208">
        <f>IFERROR(__xludf.DUMMYFUNCTION("""COMPUTED_VALUE"""),0.6999189814814815)</f>
        <v>0.6999189815</v>
      </c>
      <c r="K368" s="50">
        <f>IFERROR(__xludf.DUMMYFUNCTION("""COMPUTED_VALUE"""),2.0)</f>
        <v>2</v>
      </c>
      <c r="L368" s="6"/>
      <c r="M368" s="55"/>
      <c r="N368" s="55">
        <f>IFERROR(__xludf.DUMMYFUNCTION("""COMPUTED_VALUE"""),1.0)</f>
        <v>1</v>
      </c>
      <c r="O368" s="55" t="b">
        <f t="shared" si="3"/>
        <v>1</v>
      </c>
      <c r="P368" s="209"/>
      <c r="Q368" s="75" t="str">
        <f>VLOOKUP($B368,'Run Reconcile'!B$2:P1679,15,FALSE)</f>
        <v/>
      </c>
      <c r="R368" s="211" t="str">
        <f t="array" ref="R368">IF($Q368, INDEX('Run Reconcile'!A$2:A1679,MATCH(B368,'Run Reconcile'!B$2:B1679,0),1),IFERROR(0/0,""))</f>
        <v/>
      </c>
      <c r="S368" s="165" t="str">
        <f t="shared" ref="S368:T368" si="735">IF(COUNTIF(W$2:W1679, $A368) &gt; 0,TRUE,IFERROR(0/0,""))</f>
        <v/>
      </c>
      <c r="T368" s="165" t="str">
        <f t="shared" si="735"/>
        <v/>
      </c>
      <c r="U368" s="147" t="str">
        <f t="array" ref="U368">IF(ISBLANK($R368), IF($S368,VLOOKUP($B368+1,'RFR Data - preExcl'!$BF$2:$BG1679,2,FALSE),IF($T368,INDEX('RFR Data - preExcl'!$BF$2:$BG1679,MATCH($B368,'RFR Data - preExcl'!$BF$2:$BF1679,0)+1,2),VLOOKUP($B368,'RFR Data - preExcl'!$BF$2:$BG1679,2,FALSE))),IFERROR(0/0,""))</f>
        <v>RUN-COMB_2022-04-18_RFR-020</v>
      </c>
      <c r="V368" s="212" t="str">
        <f t="shared" si="5"/>
        <v>RUN-COMB_2022-04-18_RFR-020</v>
      </c>
      <c r="W368" s="51"/>
      <c r="X368" s="51"/>
      <c r="Y368" s="147" t="str">
        <f t="shared" ref="Y368:Z368" si="736">IF(_xlfn.ISFORMULA(S368),IFERROR(0/0,""),TRUE)</f>
        <v/>
      </c>
      <c r="Z368" s="147" t="str">
        <f t="shared" si="736"/>
        <v/>
      </c>
    </row>
    <row r="369">
      <c r="A369" s="6" t="str">
        <f>IFERROR(__xludf.DUMMYFUNCTION("""COMPUTED_VALUE"""),"FM4285")</f>
        <v>FM4285</v>
      </c>
      <c r="B369" s="206">
        <f>IFERROR(__xludf.DUMMYFUNCTION("""COMPUTED_VALUE"""),44669.0)</f>
        <v>44669</v>
      </c>
      <c r="C369" s="207">
        <f>IFERROR(__xludf.DUMMYFUNCTION("""COMPUTED_VALUE"""),0.6812037037037038)</f>
        <v>0.6812037037</v>
      </c>
      <c r="D369" s="50"/>
      <c r="E369" s="58"/>
      <c r="F369" s="58"/>
      <c r="G369" s="58" t="str">
        <f>IFERROR(__xludf.DUMMYFUNCTION("""COMPUTED_VALUE"""),"Null")</f>
        <v>Null</v>
      </c>
      <c r="H369" s="206" t="str">
        <f>IFERROR(__xludf.DUMMYFUNCTION("""COMPUTED_VALUE"""),"Negative")</f>
        <v>Negative</v>
      </c>
      <c r="I369" s="207">
        <f>IFERROR(__xludf.DUMMYFUNCTION("""COMPUTED_VALUE"""),44669.0)</f>
        <v>44669</v>
      </c>
      <c r="J369" s="208">
        <f>IFERROR(__xludf.DUMMYFUNCTION("""COMPUTED_VALUE"""),0.6999305555555555)</f>
        <v>0.6999305556</v>
      </c>
      <c r="K369" s="50">
        <f>IFERROR(__xludf.DUMMYFUNCTION("""COMPUTED_VALUE"""),2.0)</f>
        <v>2</v>
      </c>
      <c r="L369" s="6"/>
      <c r="M369" s="55"/>
      <c r="N369" s="55">
        <f>IFERROR(__xludf.DUMMYFUNCTION("""COMPUTED_VALUE"""),1.0)</f>
        <v>1</v>
      </c>
      <c r="O369" s="55" t="str">
        <f t="shared" si="3"/>
        <v/>
      </c>
      <c r="P369" s="209"/>
      <c r="Q369" s="75" t="str">
        <f>VLOOKUP($B369,'Run Reconcile'!B$2:P1679,15,FALSE)</f>
        <v/>
      </c>
      <c r="R369" s="211" t="str">
        <f t="array" ref="R369">IF($Q369, INDEX('Run Reconcile'!A$2:A1679,MATCH(B369,'Run Reconcile'!B$2:B1679,0),1),IFERROR(0/0,""))</f>
        <v/>
      </c>
      <c r="S369" s="165" t="str">
        <f t="shared" ref="S369:T369" si="737">IF(COUNTIF(W$2:W1679, $A369) &gt; 0,TRUE,IFERROR(0/0,""))</f>
        <v/>
      </c>
      <c r="T369" s="165" t="str">
        <f t="shared" si="737"/>
        <v/>
      </c>
      <c r="U369" s="147" t="str">
        <f t="array" ref="U369">IF(ISBLANK($R369), IF($S369,VLOOKUP($B369+1,'RFR Data - preExcl'!$BF$2:$BG1679,2,FALSE),IF($T369,INDEX('RFR Data - preExcl'!$BF$2:$BG1679,MATCH($B369,'RFR Data - preExcl'!$BF$2:$BF1679,0)+1,2),VLOOKUP($B369,'RFR Data - preExcl'!$BF$2:$BG1679,2,FALSE))),IFERROR(0/0,""))</f>
        <v>RUN-COMB_2022-04-18_RFR-020</v>
      </c>
      <c r="V369" s="212" t="str">
        <f t="shared" si="5"/>
        <v>RUN-COMB_2022-04-18_RFR-020</v>
      </c>
      <c r="W369" s="51"/>
      <c r="X369" s="51"/>
      <c r="Y369" s="147" t="str">
        <f t="shared" ref="Y369:Z369" si="738">IF(_xlfn.ISFORMULA(S369),IFERROR(0/0,""),TRUE)</f>
        <v/>
      </c>
      <c r="Z369" s="147" t="str">
        <f t="shared" si="738"/>
        <v/>
      </c>
    </row>
    <row r="370">
      <c r="A370" s="6" t="str">
        <f>IFERROR(__xludf.DUMMYFUNCTION("""COMPUTED_VALUE"""),"FM4304")</f>
        <v>FM4304</v>
      </c>
      <c r="B370" s="206">
        <f>IFERROR(__xludf.DUMMYFUNCTION("""COMPUTED_VALUE"""),44669.0)</f>
        <v>44669</v>
      </c>
      <c r="C370" s="207">
        <f>IFERROR(__xludf.DUMMYFUNCTION("""COMPUTED_VALUE"""),0.6816435185185186)</f>
        <v>0.6816435185</v>
      </c>
      <c r="D370" s="50"/>
      <c r="E370" s="58"/>
      <c r="F370" s="58"/>
      <c r="G370" s="58" t="str">
        <f>IFERROR(__xludf.DUMMYFUNCTION("""COMPUTED_VALUE"""),"Null")</f>
        <v>Null</v>
      </c>
      <c r="H370" s="206" t="str">
        <f>IFERROR(__xludf.DUMMYFUNCTION("""COMPUTED_VALUE"""),"Negative")</f>
        <v>Negative</v>
      </c>
      <c r="I370" s="207">
        <f>IFERROR(__xludf.DUMMYFUNCTION("""COMPUTED_VALUE"""),44669.0)</f>
        <v>44669</v>
      </c>
      <c r="J370" s="208">
        <f>IFERROR(__xludf.DUMMYFUNCTION("""COMPUTED_VALUE"""),0.6999305555555555)</f>
        <v>0.6999305556</v>
      </c>
      <c r="K370" s="50">
        <f>IFERROR(__xludf.DUMMYFUNCTION("""COMPUTED_VALUE"""),2.0)</f>
        <v>2</v>
      </c>
      <c r="L370" s="6"/>
      <c r="M370" s="55"/>
      <c r="N370" s="55">
        <f>IFERROR(__xludf.DUMMYFUNCTION("""COMPUTED_VALUE"""),1.0)</f>
        <v>1</v>
      </c>
      <c r="O370" s="55" t="str">
        <f t="shared" si="3"/>
        <v/>
      </c>
      <c r="P370" s="209"/>
      <c r="Q370" s="75" t="str">
        <f>VLOOKUP($B370,'Run Reconcile'!B$2:P1679,15,FALSE)</f>
        <v/>
      </c>
      <c r="R370" s="211" t="str">
        <f t="array" ref="R370">IF($Q370, INDEX('Run Reconcile'!A$2:A1679,MATCH(B370,'Run Reconcile'!B$2:B1679,0),1),IFERROR(0/0,""))</f>
        <v/>
      </c>
      <c r="S370" s="165" t="str">
        <f t="shared" ref="S370:T370" si="739">IF(COUNTIF(W$2:W1679, $A370) &gt; 0,TRUE,IFERROR(0/0,""))</f>
        <v/>
      </c>
      <c r="T370" s="165" t="str">
        <f t="shared" si="739"/>
        <v/>
      </c>
      <c r="U370" s="147" t="str">
        <f t="array" ref="U370">IF(ISBLANK($R370), IF($S370,VLOOKUP($B370+1,'RFR Data - preExcl'!$BF$2:$BG1679,2,FALSE),IF($T370,INDEX('RFR Data - preExcl'!$BF$2:$BG1679,MATCH($B370,'RFR Data - preExcl'!$BF$2:$BF1679,0)+1,2),VLOOKUP($B370,'RFR Data - preExcl'!$BF$2:$BG1679,2,FALSE))),IFERROR(0/0,""))</f>
        <v>RUN-COMB_2022-04-18_RFR-020</v>
      </c>
      <c r="V370" s="212" t="str">
        <f t="shared" si="5"/>
        <v>RUN-COMB_2022-04-18_RFR-020</v>
      </c>
      <c r="W370" s="51"/>
      <c r="X370" s="51"/>
      <c r="Y370" s="147" t="str">
        <f t="shared" ref="Y370:Z370" si="740">IF(_xlfn.ISFORMULA(S370),IFERROR(0/0,""),TRUE)</f>
        <v/>
      </c>
      <c r="Z370" s="147" t="str">
        <f t="shared" si="740"/>
        <v/>
      </c>
    </row>
    <row r="371">
      <c r="A371" s="6" t="str">
        <f>IFERROR(__xludf.DUMMYFUNCTION("""COMPUTED_VALUE"""),"FM4275")</f>
        <v>FM4275</v>
      </c>
      <c r="B371" s="206">
        <f>IFERROR(__xludf.DUMMYFUNCTION("""COMPUTED_VALUE"""),44669.0)</f>
        <v>44669</v>
      </c>
      <c r="C371" s="207">
        <f>IFERROR(__xludf.DUMMYFUNCTION("""COMPUTED_VALUE"""),0.6820717592592592)</f>
        <v>0.6820717593</v>
      </c>
      <c r="D371" s="50"/>
      <c r="E371" s="58"/>
      <c r="F371" s="58"/>
      <c r="G371" s="58" t="str">
        <f>IFERROR(__xludf.DUMMYFUNCTION("""COMPUTED_VALUE"""),"Null")</f>
        <v>Null</v>
      </c>
      <c r="H371" s="206" t="str">
        <f>IFERROR(__xludf.DUMMYFUNCTION("""COMPUTED_VALUE"""),"Negative")</f>
        <v>Negative</v>
      </c>
      <c r="I371" s="207">
        <f>IFERROR(__xludf.DUMMYFUNCTION("""COMPUTED_VALUE"""),44669.0)</f>
        <v>44669</v>
      </c>
      <c r="J371" s="208">
        <f>IFERROR(__xludf.DUMMYFUNCTION("""COMPUTED_VALUE"""),0.6999421296296297)</f>
        <v>0.6999421296</v>
      </c>
      <c r="K371" s="50">
        <f>IFERROR(__xludf.DUMMYFUNCTION("""COMPUTED_VALUE"""),2.0)</f>
        <v>2</v>
      </c>
      <c r="L371" s="6"/>
      <c r="M371" s="55"/>
      <c r="N371" s="55">
        <f>IFERROR(__xludf.DUMMYFUNCTION("""COMPUTED_VALUE"""),1.0)</f>
        <v>1</v>
      </c>
      <c r="O371" s="55" t="str">
        <f t="shared" si="3"/>
        <v/>
      </c>
      <c r="P371" s="209"/>
      <c r="Q371" s="75" t="str">
        <f>VLOOKUP($B371,'Run Reconcile'!B$2:P1679,15,FALSE)</f>
        <v/>
      </c>
      <c r="R371" s="211" t="str">
        <f t="array" ref="R371">IF($Q371, INDEX('Run Reconcile'!A$2:A1679,MATCH(B371,'Run Reconcile'!B$2:B1679,0),1),IFERROR(0/0,""))</f>
        <v/>
      </c>
      <c r="S371" s="165" t="str">
        <f t="shared" ref="S371:T371" si="741">IF(COUNTIF(W$2:W1679, $A371) &gt; 0,TRUE,IFERROR(0/0,""))</f>
        <v/>
      </c>
      <c r="T371" s="165" t="str">
        <f t="shared" si="741"/>
        <v/>
      </c>
      <c r="U371" s="147" t="str">
        <f t="array" ref="U371">IF(ISBLANK($R371), IF($S371,VLOOKUP($B371+1,'RFR Data - preExcl'!$BF$2:$BG1679,2,FALSE),IF($T371,INDEX('RFR Data - preExcl'!$BF$2:$BG1679,MATCH($B371,'RFR Data - preExcl'!$BF$2:$BF1679,0)+1,2),VLOOKUP($B371,'RFR Data - preExcl'!$BF$2:$BG1679,2,FALSE))),IFERROR(0/0,""))</f>
        <v>RUN-COMB_2022-04-18_RFR-020</v>
      </c>
      <c r="V371" s="212" t="str">
        <f t="shared" si="5"/>
        <v>RUN-COMB_2022-04-18_RFR-020</v>
      </c>
      <c r="W371" s="51"/>
      <c r="X371" s="51"/>
      <c r="Y371" s="147" t="str">
        <f t="shared" ref="Y371:Z371" si="742">IF(_xlfn.ISFORMULA(S371),IFERROR(0/0,""),TRUE)</f>
        <v/>
      </c>
      <c r="Z371" s="147" t="str">
        <f t="shared" si="742"/>
        <v/>
      </c>
    </row>
    <row r="372">
      <c r="A372" s="6" t="str">
        <f>IFERROR(__xludf.DUMMYFUNCTION("""COMPUTED_VALUE"""),"FM4301")</f>
        <v>FM4301</v>
      </c>
      <c r="B372" s="206">
        <f>IFERROR(__xludf.DUMMYFUNCTION("""COMPUTED_VALUE"""),44669.0)</f>
        <v>44669</v>
      </c>
      <c r="C372" s="207">
        <f>IFERROR(__xludf.DUMMYFUNCTION("""COMPUTED_VALUE"""),0.714212962962963)</f>
        <v>0.714212963</v>
      </c>
      <c r="D372" s="50"/>
      <c r="E372" s="58"/>
      <c r="F372" s="58"/>
      <c r="G372" s="58" t="str">
        <f>IFERROR(__xludf.DUMMYFUNCTION("""COMPUTED_VALUE"""),"Negative")</f>
        <v>Negative</v>
      </c>
      <c r="H372" s="206" t="str">
        <f>IFERROR(__xludf.DUMMYFUNCTION("""COMPUTED_VALUE"""),"Negative")</f>
        <v>Negative</v>
      </c>
      <c r="I372" s="207">
        <f>IFERROR(__xludf.DUMMYFUNCTION("""COMPUTED_VALUE"""),44669.0)</f>
        <v>44669</v>
      </c>
      <c r="J372" s="208">
        <f>IFERROR(__xludf.DUMMYFUNCTION("""COMPUTED_VALUE"""),0.8200810185185186)</f>
        <v>0.8200810185</v>
      </c>
      <c r="K372" s="50"/>
      <c r="L372" s="6"/>
      <c r="M372" s="55"/>
      <c r="N372" s="55">
        <f>IFERROR(__xludf.DUMMYFUNCTION("""COMPUTED_VALUE"""),1.0)</f>
        <v>1</v>
      </c>
      <c r="O372" s="55" t="str">
        <f t="shared" si="3"/>
        <v/>
      </c>
      <c r="P372" s="209"/>
      <c r="Q372" s="75" t="str">
        <f>VLOOKUP($B372,'Run Reconcile'!B$2:P1679,15,FALSE)</f>
        <v/>
      </c>
      <c r="R372" s="211" t="str">
        <f t="array" ref="R372">IF($Q372, INDEX('Run Reconcile'!A$2:A1679,MATCH(B372,'Run Reconcile'!B$2:B1679,0),1),IFERROR(0/0,""))</f>
        <v/>
      </c>
      <c r="S372" s="165" t="str">
        <f t="shared" ref="S372:T372" si="743">IF(COUNTIF(W$2:W1679, $A372) &gt; 0,TRUE,IFERROR(0/0,""))</f>
        <v/>
      </c>
      <c r="T372" s="165" t="b">
        <f t="shared" si="743"/>
        <v>1</v>
      </c>
      <c r="U372" s="147" t="str">
        <f t="array" ref="U372">IF(ISBLANK($R372), IF($S372,VLOOKUP($B372+1,'RFR Data - preExcl'!$BF$2:$BG1679,2,FALSE),IF($T372,INDEX('RFR Data - preExcl'!$BF$2:$BG1679,MATCH($B372,'RFR Data - preExcl'!$BF$2:$BF1679,0)+1,2),VLOOKUP($B372,'RFR Data - preExcl'!$BF$2:$BG1679,2,FALSE))),IFERROR(0/0,""))</f>
        <v>RUN-COMB_2022-04-18_RFR-021</v>
      </c>
      <c r="V372" s="212" t="str">
        <f t="shared" si="5"/>
        <v>RUN-COMB_2022-04-18_RFR-021</v>
      </c>
      <c r="W372" s="51"/>
      <c r="X372" s="51" t="s">
        <v>535</v>
      </c>
      <c r="Y372" s="147" t="str">
        <f t="shared" ref="Y372:Z372" si="744">IF(_xlfn.ISFORMULA(S372),IFERROR(0/0,""),TRUE)</f>
        <v/>
      </c>
      <c r="Z372" s="147" t="str">
        <f t="shared" si="744"/>
        <v/>
      </c>
    </row>
    <row r="373">
      <c r="A373" s="6" t="str">
        <f>IFERROR(__xludf.DUMMYFUNCTION("""COMPUTED_VALUE"""),"FM4307")</f>
        <v>FM4307</v>
      </c>
      <c r="B373" s="206">
        <f>IFERROR(__xludf.DUMMYFUNCTION("""COMPUTED_VALUE"""),44669.0)</f>
        <v>44669</v>
      </c>
      <c r="C373" s="207">
        <f>IFERROR(__xludf.DUMMYFUNCTION("""COMPUTED_VALUE"""),0.7163657407407408)</f>
        <v>0.7163657407</v>
      </c>
      <c r="D373" s="50"/>
      <c r="E373" s="58"/>
      <c r="F373" s="58"/>
      <c r="G373" s="58" t="str">
        <f>IFERROR(__xludf.DUMMYFUNCTION("""COMPUTED_VALUE"""),"Negative")</f>
        <v>Negative</v>
      </c>
      <c r="H373" s="206" t="str">
        <f>IFERROR(__xludf.DUMMYFUNCTION("""COMPUTED_VALUE"""),"Negative")</f>
        <v>Negative</v>
      </c>
      <c r="I373" s="207">
        <f>IFERROR(__xludf.DUMMYFUNCTION("""COMPUTED_VALUE"""),44669.0)</f>
        <v>44669</v>
      </c>
      <c r="J373" s="208">
        <f>IFERROR(__xludf.DUMMYFUNCTION("""COMPUTED_VALUE"""),0.8200810185185186)</f>
        <v>0.8200810185</v>
      </c>
      <c r="K373" s="50"/>
      <c r="L373" s="6"/>
      <c r="M373" s="55"/>
      <c r="N373" s="55">
        <f>IFERROR(__xludf.DUMMYFUNCTION("""COMPUTED_VALUE"""),1.0)</f>
        <v>1</v>
      </c>
      <c r="O373" s="55" t="str">
        <f t="shared" si="3"/>
        <v/>
      </c>
      <c r="P373" s="209"/>
      <c r="Q373" s="75" t="str">
        <f>VLOOKUP($B373,'Run Reconcile'!B$2:P1679,15,FALSE)</f>
        <v/>
      </c>
      <c r="R373" s="211" t="str">
        <f t="array" ref="R373">IF($Q373, INDEX('Run Reconcile'!A$2:A1679,MATCH(B373,'Run Reconcile'!B$2:B1679,0),1),IFERROR(0/0,""))</f>
        <v/>
      </c>
      <c r="S373" s="165" t="str">
        <f t="shared" ref="S373:T373" si="745">IF(COUNTIF(W$2:W1679, $A373) &gt; 0,TRUE,IFERROR(0/0,""))</f>
        <v/>
      </c>
      <c r="T373" s="165" t="b">
        <f t="shared" si="745"/>
        <v>1</v>
      </c>
      <c r="U373" s="147" t="str">
        <f t="array" ref="U373">IF(ISBLANK($R373), IF($S373,VLOOKUP($B373+1,'RFR Data - preExcl'!$BF$2:$BG1679,2,FALSE),IF($T373,INDEX('RFR Data - preExcl'!$BF$2:$BG1679,MATCH($B373,'RFR Data - preExcl'!$BF$2:$BF1679,0)+1,2),VLOOKUP($B373,'RFR Data - preExcl'!$BF$2:$BG1679,2,FALSE))),IFERROR(0/0,""))</f>
        <v>RUN-COMB_2022-04-18_RFR-021</v>
      </c>
      <c r="V373" s="212" t="str">
        <f t="shared" si="5"/>
        <v>RUN-COMB_2022-04-18_RFR-021</v>
      </c>
      <c r="W373" s="51"/>
      <c r="X373" s="51" t="s">
        <v>536</v>
      </c>
      <c r="Y373" s="147" t="str">
        <f t="shared" ref="Y373:Z373" si="746">IF(_xlfn.ISFORMULA(S373),IFERROR(0/0,""),TRUE)</f>
        <v/>
      </c>
      <c r="Z373" s="147" t="str">
        <f t="shared" si="746"/>
        <v/>
      </c>
    </row>
    <row r="374">
      <c r="A374" s="6" t="str">
        <f>IFERROR(__xludf.DUMMYFUNCTION("""COMPUTED_VALUE"""),"FM4331")</f>
        <v>FM4331</v>
      </c>
      <c r="B374" s="206">
        <f>IFERROR(__xludf.DUMMYFUNCTION("""COMPUTED_VALUE"""),44669.0)</f>
        <v>44669</v>
      </c>
      <c r="C374" s="207">
        <f>IFERROR(__xludf.DUMMYFUNCTION("""COMPUTED_VALUE"""),0.7170833333333333)</f>
        <v>0.7170833333</v>
      </c>
      <c r="D374" s="50"/>
      <c r="E374" s="58"/>
      <c r="F374" s="58"/>
      <c r="G374" s="58" t="str">
        <f>IFERROR(__xludf.DUMMYFUNCTION("""COMPUTED_VALUE"""),"Negative")</f>
        <v>Negative</v>
      </c>
      <c r="H374" s="206" t="str">
        <f>IFERROR(__xludf.DUMMYFUNCTION("""COMPUTED_VALUE"""),"Negative")</f>
        <v>Negative</v>
      </c>
      <c r="I374" s="207">
        <f>IFERROR(__xludf.DUMMYFUNCTION("""COMPUTED_VALUE"""),44669.0)</f>
        <v>44669</v>
      </c>
      <c r="J374" s="208">
        <f>IFERROR(__xludf.DUMMYFUNCTION("""COMPUTED_VALUE"""),0.8200810185185186)</f>
        <v>0.8200810185</v>
      </c>
      <c r="K374" s="50"/>
      <c r="L374" s="6"/>
      <c r="M374" s="55"/>
      <c r="N374" s="55">
        <f>IFERROR(__xludf.DUMMYFUNCTION("""COMPUTED_VALUE"""),1.0)</f>
        <v>1</v>
      </c>
      <c r="O374" s="55" t="str">
        <f t="shared" si="3"/>
        <v/>
      </c>
      <c r="P374" s="209"/>
      <c r="Q374" s="75" t="str">
        <f>VLOOKUP($B374,'Run Reconcile'!B$2:P1679,15,FALSE)</f>
        <v/>
      </c>
      <c r="R374" s="211" t="str">
        <f t="array" ref="R374">IF($Q374, INDEX('Run Reconcile'!A$2:A1679,MATCH(B374,'Run Reconcile'!B$2:B1679,0),1),IFERROR(0/0,""))</f>
        <v/>
      </c>
      <c r="S374" s="165" t="str">
        <f t="shared" ref="S374:T374" si="747">IF(COUNTIF(W$2:W1679, $A374) &gt; 0,TRUE,IFERROR(0/0,""))</f>
        <v/>
      </c>
      <c r="T374" s="165" t="b">
        <f t="shared" si="747"/>
        <v>1</v>
      </c>
      <c r="U374" s="147" t="str">
        <f t="array" ref="U374">IF(ISBLANK($R374), IF($S374,VLOOKUP($B374+1,'RFR Data - preExcl'!$BF$2:$BG1679,2,FALSE),IF($T374,INDEX('RFR Data - preExcl'!$BF$2:$BG1679,MATCH($B374,'RFR Data - preExcl'!$BF$2:$BF1679,0)+1,2),VLOOKUP($B374,'RFR Data - preExcl'!$BF$2:$BG1679,2,FALSE))),IFERROR(0/0,""))</f>
        <v>RUN-COMB_2022-04-18_RFR-021</v>
      </c>
      <c r="V374" s="212" t="str">
        <f t="shared" si="5"/>
        <v>RUN-COMB_2022-04-18_RFR-021</v>
      </c>
      <c r="W374" s="51"/>
      <c r="X374" s="51" t="s">
        <v>537</v>
      </c>
      <c r="Y374" s="147" t="str">
        <f t="shared" ref="Y374:Z374" si="748">IF(_xlfn.ISFORMULA(S374),IFERROR(0/0,""),TRUE)</f>
        <v/>
      </c>
      <c r="Z374" s="147" t="str">
        <f t="shared" si="748"/>
        <v/>
      </c>
    </row>
    <row r="375">
      <c r="A375" s="6" t="str">
        <f>IFERROR(__xludf.DUMMYFUNCTION("""COMPUTED_VALUE"""),"FM4326")</f>
        <v>FM4326</v>
      </c>
      <c r="B375" s="206">
        <f>IFERROR(__xludf.DUMMYFUNCTION("""COMPUTED_VALUE"""),44669.0)</f>
        <v>44669</v>
      </c>
      <c r="C375" s="207">
        <f>IFERROR(__xludf.DUMMYFUNCTION("""COMPUTED_VALUE"""),0.7175231481481481)</f>
        <v>0.7175231481</v>
      </c>
      <c r="D375" s="50"/>
      <c r="E375" s="58"/>
      <c r="F375" s="58"/>
      <c r="G375" s="58" t="str">
        <f>IFERROR(__xludf.DUMMYFUNCTION("""COMPUTED_VALUE"""),"Negative")</f>
        <v>Negative</v>
      </c>
      <c r="H375" s="206" t="str">
        <f>IFERROR(__xludf.DUMMYFUNCTION("""COMPUTED_VALUE"""),"Negative")</f>
        <v>Negative</v>
      </c>
      <c r="I375" s="207">
        <f>IFERROR(__xludf.DUMMYFUNCTION("""COMPUTED_VALUE"""),44669.0)</f>
        <v>44669</v>
      </c>
      <c r="J375" s="208">
        <f>IFERROR(__xludf.DUMMYFUNCTION("""COMPUTED_VALUE"""),0.8200925925925926)</f>
        <v>0.8200925926</v>
      </c>
      <c r="K375" s="50"/>
      <c r="L375" s="6"/>
      <c r="M375" s="55"/>
      <c r="N375" s="55">
        <f>IFERROR(__xludf.DUMMYFUNCTION("""COMPUTED_VALUE"""),1.0)</f>
        <v>1</v>
      </c>
      <c r="O375" s="55" t="str">
        <f t="shared" si="3"/>
        <v/>
      </c>
      <c r="P375" s="209"/>
      <c r="Q375" s="75" t="str">
        <f>VLOOKUP($B375,'Run Reconcile'!B$2:P1679,15,FALSE)</f>
        <v/>
      </c>
      <c r="R375" s="211" t="str">
        <f t="array" ref="R375">IF($Q375, INDEX('Run Reconcile'!A$2:A1679,MATCH(B375,'Run Reconcile'!B$2:B1679,0),1),IFERROR(0/0,""))</f>
        <v/>
      </c>
      <c r="S375" s="165" t="str">
        <f t="shared" ref="S375:T375" si="749">IF(COUNTIF(W$2:W1679, $A375) &gt; 0,TRUE,IFERROR(0/0,""))</f>
        <v/>
      </c>
      <c r="T375" s="165" t="b">
        <f t="shared" si="749"/>
        <v>1</v>
      </c>
      <c r="U375" s="147" t="str">
        <f t="array" ref="U375">IF(ISBLANK($R375), IF($S375,VLOOKUP($B375+1,'RFR Data - preExcl'!$BF$2:$BG1679,2,FALSE),IF($T375,INDEX('RFR Data - preExcl'!$BF$2:$BG1679,MATCH($B375,'RFR Data - preExcl'!$BF$2:$BF1679,0)+1,2),VLOOKUP($B375,'RFR Data - preExcl'!$BF$2:$BG1679,2,FALSE))),IFERROR(0/0,""))</f>
        <v>RUN-COMB_2022-04-18_RFR-021</v>
      </c>
      <c r="V375" s="212" t="str">
        <f t="shared" si="5"/>
        <v>RUN-COMB_2022-04-18_RFR-021</v>
      </c>
      <c r="W375" s="51"/>
      <c r="X375" s="51" t="s">
        <v>538</v>
      </c>
      <c r="Y375" s="147" t="str">
        <f t="shared" ref="Y375:Z375" si="750">IF(_xlfn.ISFORMULA(S375),IFERROR(0/0,""),TRUE)</f>
        <v/>
      </c>
      <c r="Z375" s="147" t="str">
        <f t="shared" si="750"/>
        <v/>
      </c>
    </row>
    <row r="376">
      <c r="A376" s="6" t="str">
        <f>IFERROR(__xludf.DUMMYFUNCTION("""COMPUTED_VALUE"""),"FM4290")</f>
        <v>FM4290</v>
      </c>
      <c r="B376" s="206">
        <f>IFERROR(__xludf.DUMMYFUNCTION("""COMPUTED_VALUE"""),44669.0)</f>
        <v>44669</v>
      </c>
      <c r="C376" s="207">
        <f>IFERROR(__xludf.DUMMYFUNCTION("""COMPUTED_VALUE"""),0.7201041666666667)</f>
        <v>0.7201041667</v>
      </c>
      <c r="D376" s="50"/>
      <c r="E376" s="58"/>
      <c r="F376" s="58"/>
      <c r="G376" s="58" t="str">
        <f>IFERROR(__xludf.DUMMYFUNCTION("""COMPUTED_VALUE"""),"Negative")</f>
        <v>Negative</v>
      </c>
      <c r="H376" s="206" t="str">
        <f>IFERROR(__xludf.DUMMYFUNCTION("""COMPUTED_VALUE"""),"Negative")</f>
        <v>Negative</v>
      </c>
      <c r="I376" s="207">
        <f>IFERROR(__xludf.DUMMYFUNCTION("""COMPUTED_VALUE"""),44669.0)</f>
        <v>44669</v>
      </c>
      <c r="J376" s="208">
        <f>IFERROR(__xludf.DUMMYFUNCTION("""COMPUTED_VALUE"""),0.8200925925925926)</f>
        <v>0.8200925926</v>
      </c>
      <c r="K376" s="50"/>
      <c r="L376" s="6"/>
      <c r="M376" s="55"/>
      <c r="N376" s="55">
        <f>IFERROR(__xludf.DUMMYFUNCTION("""COMPUTED_VALUE"""),1.0)</f>
        <v>1</v>
      </c>
      <c r="O376" s="55" t="str">
        <f t="shared" si="3"/>
        <v/>
      </c>
      <c r="P376" s="209"/>
      <c r="Q376" s="75" t="str">
        <f>VLOOKUP($B376,'Run Reconcile'!B$2:P1679,15,FALSE)</f>
        <v/>
      </c>
      <c r="R376" s="211" t="str">
        <f t="array" ref="R376">IF($Q376, INDEX('Run Reconcile'!A$2:A1679,MATCH(B376,'Run Reconcile'!B$2:B1679,0),1),IFERROR(0/0,""))</f>
        <v/>
      </c>
      <c r="S376" s="165" t="str">
        <f t="shared" ref="S376:T376" si="751">IF(COUNTIF(W$2:W1679, $A376) &gt; 0,TRUE,IFERROR(0/0,""))</f>
        <v/>
      </c>
      <c r="T376" s="165" t="b">
        <f t="shared" si="751"/>
        <v>1</v>
      </c>
      <c r="U376" s="147" t="str">
        <f t="array" ref="U376">IF(ISBLANK($R376), IF($S376,VLOOKUP($B376+1,'RFR Data - preExcl'!$BF$2:$BG1679,2,FALSE),IF($T376,INDEX('RFR Data - preExcl'!$BF$2:$BG1679,MATCH($B376,'RFR Data - preExcl'!$BF$2:$BF1679,0)+1,2),VLOOKUP($B376,'RFR Data - preExcl'!$BF$2:$BG1679,2,FALSE))),IFERROR(0/0,""))</f>
        <v>RUN-COMB_2022-04-18_RFR-021</v>
      </c>
      <c r="V376" s="212" t="str">
        <f t="shared" si="5"/>
        <v>RUN-COMB_2022-04-18_RFR-021</v>
      </c>
      <c r="W376" s="51"/>
      <c r="X376" s="51" t="s">
        <v>539</v>
      </c>
      <c r="Y376" s="147" t="str">
        <f t="shared" ref="Y376:Z376" si="752">IF(_xlfn.ISFORMULA(S376),IFERROR(0/0,""),TRUE)</f>
        <v/>
      </c>
      <c r="Z376" s="147" t="str">
        <f t="shared" si="752"/>
        <v/>
      </c>
    </row>
    <row r="377">
      <c r="A377" s="6" t="str">
        <f>IFERROR(__xludf.DUMMYFUNCTION("""COMPUTED_VALUE"""),"FM4296")</f>
        <v>FM4296</v>
      </c>
      <c r="B377" s="206">
        <f>IFERROR(__xludf.DUMMYFUNCTION("""COMPUTED_VALUE"""),44669.0)</f>
        <v>44669</v>
      </c>
      <c r="C377" s="207">
        <f>IFERROR(__xludf.DUMMYFUNCTION("""COMPUTED_VALUE"""),0.7206018518518519)</f>
        <v>0.7206018519</v>
      </c>
      <c r="D377" s="50"/>
      <c r="E377" s="58"/>
      <c r="F377" s="58"/>
      <c r="G377" s="58" t="str">
        <f>IFERROR(__xludf.DUMMYFUNCTION("""COMPUTED_VALUE"""),"Negative")</f>
        <v>Negative</v>
      </c>
      <c r="H377" s="206" t="str">
        <f>IFERROR(__xludf.DUMMYFUNCTION("""COMPUTED_VALUE"""),"Negative")</f>
        <v>Negative</v>
      </c>
      <c r="I377" s="207">
        <f>IFERROR(__xludf.DUMMYFUNCTION("""COMPUTED_VALUE"""),44669.0)</f>
        <v>44669</v>
      </c>
      <c r="J377" s="208">
        <f>IFERROR(__xludf.DUMMYFUNCTION("""COMPUTED_VALUE"""),0.8200925925925926)</f>
        <v>0.8200925926</v>
      </c>
      <c r="K377" s="50"/>
      <c r="L377" s="6"/>
      <c r="M377" s="55"/>
      <c r="N377" s="55">
        <f>IFERROR(__xludf.DUMMYFUNCTION("""COMPUTED_VALUE"""),1.0)</f>
        <v>1</v>
      </c>
      <c r="O377" s="55" t="str">
        <f t="shared" si="3"/>
        <v/>
      </c>
      <c r="P377" s="209"/>
      <c r="Q377" s="75" t="str">
        <f>VLOOKUP($B377,'Run Reconcile'!B$2:P1679,15,FALSE)</f>
        <v/>
      </c>
      <c r="R377" s="211" t="str">
        <f t="array" ref="R377">IF($Q377, INDEX('Run Reconcile'!A$2:A1679,MATCH(B377,'Run Reconcile'!B$2:B1679,0),1),IFERROR(0/0,""))</f>
        <v/>
      </c>
      <c r="S377" s="165" t="str">
        <f t="shared" ref="S377:T377" si="753">IF(COUNTIF(W$2:W1679, $A377) &gt; 0,TRUE,IFERROR(0/0,""))</f>
        <v/>
      </c>
      <c r="T377" s="165" t="b">
        <f t="shared" si="753"/>
        <v>1</v>
      </c>
      <c r="U377" s="147" t="str">
        <f t="array" ref="U377">IF(ISBLANK($R377), IF($S377,VLOOKUP($B377+1,'RFR Data - preExcl'!$BF$2:$BG1679,2,FALSE),IF($T377,INDEX('RFR Data - preExcl'!$BF$2:$BG1679,MATCH($B377,'RFR Data - preExcl'!$BF$2:$BF1679,0)+1,2),VLOOKUP($B377,'RFR Data - preExcl'!$BF$2:$BG1679,2,FALSE))),IFERROR(0/0,""))</f>
        <v>RUN-COMB_2022-04-18_RFR-021</v>
      </c>
      <c r="V377" s="212" t="str">
        <f t="shared" si="5"/>
        <v>RUN-COMB_2022-04-18_RFR-021</v>
      </c>
      <c r="W377" s="51"/>
      <c r="X377" s="51" t="s">
        <v>540</v>
      </c>
      <c r="Y377" s="147" t="str">
        <f t="shared" ref="Y377:Z377" si="754">IF(_xlfn.ISFORMULA(S377),IFERROR(0/0,""),TRUE)</f>
        <v/>
      </c>
      <c r="Z377" s="147" t="str">
        <f t="shared" si="754"/>
        <v/>
      </c>
    </row>
    <row r="378">
      <c r="A378" s="6" t="str">
        <f>IFERROR(__xludf.DUMMYFUNCTION("""COMPUTED_VALUE"""),"FM4328")</f>
        <v>FM4328</v>
      </c>
      <c r="B378" s="206">
        <f>IFERROR(__xludf.DUMMYFUNCTION("""COMPUTED_VALUE"""),44669.0)</f>
        <v>44669</v>
      </c>
      <c r="C378" s="207">
        <f>IFERROR(__xludf.DUMMYFUNCTION("""COMPUTED_VALUE"""),0.7212152777777778)</f>
        <v>0.7212152778</v>
      </c>
      <c r="D378" s="50"/>
      <c r="E378" s="58"/>
      <c r="F378" s="58"/>
      <c r="G378" s="58" t="str">
        <f>IFERROR(__xludf.DUMMYFUNCTION("""COMPUTED_VALUE"""),"Negative")</f>
        <v>Negative</v>
      </c>
      <c r="H378" s="206" t="str">
        <f>IFERROR(__xludf.DUMMYFUNCTION("""COMPUTED_VALUE"""),"Negative")</f>
        <v>Negative</v>
      </c>
      <c r="I378" s="207">
        <f>IFERROR(__xludf.DUMMYFUNCTION("""COMPUTED_VALUE"""),44669.0)</f>
        <v>44669</v>
      </c>
      <c r="J378" s="208">
        <f>IFERROR(__xludf.DUMMYFUNCTION("""COMPUTED_VALUE"""),0.8201041666666666)</f>
        <v>0.8201041667</v>
      </c>
      <c r="K378" s="50"/>
      <c r="L378" s="6"/>
      <c r="M378" s="55"/>
      <c r="N378" s="55">
        <f>IFERROR(__xludf.DUMMYFUNCTION("""COMPUTED_VALUE"""),1.0)</f>
        <v>1</v>
      </c>
      <c r="O378" s="55" t="str">
        <f t="shared" si="3"/>
        <v/>
      </c>
      <c r="P378" s="209"/>
      <c r="Q378" s="75" t="str">
        <f>VLOOKUP($B378,'Run Reconcile'!B$2:P1679,15,FALSE)</f>
        <v/>
      </c>
      <c r="R378" s="211" t="str">
        <f t="array" ref="R378">IF($Q378, INDEX('Run Reconcile'!A$2:A1679,MATCH(B378,'Run Reconcile'!B$2:B1679,0),1),IFERROR(0/0,""))</f>
        <v/>
      </c>
      <c r="S378" s="165" t="str">
        <f t="shared" ref="S378:T378" si="755">IF(COUNTIF(W$2:W1679, $A378) &gt; 0,TRUE,IFERROR(0/0,""))</f>
        <v/>
      </c>
      <c r="T378" s="165" t="b">
        <f t="shared" si="755"/>
        <v>1</v>
      </c>
      <c r="U378" s="147" t="str">
        <f t="array" ref="U378">IF(ISBLANK($R378), IF($S378,VLOOKUP($B378+1,'RFR Data - preExcl'!$BF$2:$BG1679,2,FALSE),IF($T378,INDEX('RFR Data - preExcl'!$BF$2:$BG1679,MATCH($B378,'RFR Data - preExcl'!$BF$2:$BF1679,0)+1,2),VLOOKUP($B378,'RFR Data - preExcl'!$BF$2:$BG1679,2,FALSE))),IFERROR(0/0,""))</f>
        <v>RUN-COMB_2022-04-18_RFR-021</v>
      </c>
      <c r="V378" s="212" t="str">
        <f t="shared" si="5"/>
        <v>RUN-COMB_2022-04-18_RFR-021</v>
      </c>
      <c r="W378" s="51"/>
      <c r="X378" s="51" t="s">
        <v>541</v>
      </c>
      <c r="Y378" s="147" t="str">
        <f t="shared" ref="Y378:Z378" si="756">IF(_xlfn.ISFORMULA(S378),IFERROR(0/0,""),TRUE)</f>
        <v/>
      </c>
      <c r="Z378" s="147" t="str">
        <f t="shared" si="756"/>
        <v/>
      </c>
    </row>
    <row r="379">
      <c r="A379" s="6" t="str">
        <f>IFERROR(__xludf.DUMMYFUNCTION("""COMPUTED_VALUE"""),"FM4079")</f>
        <v>FM4079</v>
      </c>
      <c r="B379" s="206">
        <f>IFERROR(__xludf.DUMMYFUNCTION("""COMPUTED_VALUE"""),44669.0)</f>
        <v>44669</v>
      </c>
      <c r="C379" s="207">
        <f>IFERROR(__xludf.DUMMYFUNCTION("""COMPUTED_VALUE"""),0.7218171296296296)</f>
        <v>0.7218171296</v>
      </c>
      <c r="D379" s="50"/>
      <c r="E379" s="58"/>
      <c r="F379" s="58"/>
      <c r="G379" s="58" t="str">
        <f>IFERROR(__xludf.DUMMYFUNCTION("""COMPUTED_VALUE"""),"Negative")</f>
        <v>Negative</v>
      </c>
      <c r="H379" s="206" t="str">
        <f>IFERROR(__xludf.DUMMYFUNCTION("""COMPUTED_VALUE"""),"Negative")</f>
        <v>Negative</v>
      </c>
      <c r="I379" s="207">
        <f>IFERROR(__xludf.DUMMYFUNCTION("""COMPUTED_VALUE"""),44669.0)</f>
        <v>44669</v>
      </c>
      <c r="J379" s="208">
        <f>IFERROR(__xludf.DUMMYFUNCTION("""COMPUTED_VALUE"""),0.8201041666666666)</f>
        <v>0.8201041667</v>
      </c>
      <c r="K379" s="50"/>
      <c r="L379" s="6"/>
      <c r="M379" s="55"/>
      <c r="N379" s="55">
        <f>IFERROR(__xludf.DUMMYFUNCTION("""COMPUTED_VALUE"""),1.0)</f>
        <v>1</v>
      </c>
      <c r="O379" s="55" t="str">
        <f t="shared" si="3"/>
        <v/>
      </c>
      <c r="P379" s="209"/>
      <c r="Q379" s="75" t="str">
        <f>VLOOKUP($B379,'Run Reconcile'!B$2:P1679,15,FALSE)</f>
        <v/>
      </c>
      <c r="R379" s="211" t="str">
        <f t="array" ref="R379">IF($Q379, INDEX('Run Reconcile'!A$2:A1679,MATCH(B379,'Run Reconcile'!B$2:B1679,0),1),IFERROR(0/0,""))</f>
        <v/>
      </c>
      <c r="S379" s="165" t="str">
        <f t="shared" ref="S379:T379" si="757">IF(COUNTIF(W$2:W1679, $A379) &gt; 0,TRUE,IFERROR(0/0,""))</f>
        <v/>
      </c>
      <c r="T379" s="165" t="b">
        <f t="shared" si="757"/>
        <v>1</v>
      </c>
      <c r="U379" s="147" t="str">
        <f t="array" ref="U379">IF(ISBLANK($R379), IF($S379,VLOOKUP($B379+1,'RFR Data - preExcl'!$BF$2:$BG1679,2,FALSE),IF($T379,INDEX('RFR Data - preExcl'!$BF$2:$BG1679,MATCH($B379,'RFR Data - preExcl'!$BF$2:$BF1679,0)+1,2),VLOOKUP($B379,'RFR Data - preExcl'!$BF$2:$BG1679,2,FALSE))),IFERROR(0/0,""))</f>
        <v>RUN-COMB_2022-04-18_RFR-021</v>
      </c>
      <c r="V379" s="212" t="str">
        <f t="shared" si="5"/>
        <v>RUN-COMB_2022-04-18_RFR-021</v>
      </c>
      <c r="W379" s="51"/>
      <c r="X379" s="51" t="s">
        <v>542</v>
      </c>
      <c r="Y379" s="147" t="str">
        <f t="shared" ref="Y379:Z379" si="758">IF(_xlfn.ISFORMULA(S379),IFERROR(0/0,""),TRUE)</f>
        <v/>
      </c>
      <c r="Z379" s="147" t="str">
        <f t="shared" si="758"/>
        <v/>
      </c>
    </row>
    <row r="380">
      <c r="A380" s="6" t="str">
        <f>IFERROR(__xludf.DUMMYFUNCTION("""COMPUTED_VALUE"""),"FM3988")</f>
        <v>FM3988</v>
      </c>
      <c r="B380" s="206">
        <f>IFERROR(__xludf.DUMMYFUNCTION("""COMPUTED_VALUE"""),44669.0)</f>
        <v>44669</v>
      </c>
      <c r="C380" s="207">
        <f>IFERROR(__xludf.DUMMYFUNCTION("""COMPUTED_VALUE"""),0.7222916666666667)</f>
        <v>0.7222916667</v>
      </c>
      <c r="D380" s="50"/>
      <c r="E380" s="58"/>
      <c r="F380" s="58"/>
      <c r="G380" s="58" t="str">
        <f>IFERROR(__xludf.DUMMYFUNCTION("""COMPUTED_VALUE"""),"Negative")</f>
        <v>Negative</v>
      </c>
      <c r="H380" s="206" t="str">
        <f>IFERROR(__xludf.DUMMYFUNCTION("""COMPUTED_VALUE"""),"Negative")</f>
        <v>Negative</v>
      </c>
      <c r="I380" s="207">
        <f>IFERROR(__xludf.DUMMYFUNCTION("""COMPUTED_VALUE"""),44669.0)</f>
        <v>44669</v>
      </c>
      <c r="J380" s="208">
        <f>IFERROR(__xludf.DUMMYFUNCTION("""COMPUTED_VALUE"""),0.8201041666666666)</f>
        <v>0.8201041667</v>
      </c>
      <c r="K380" s="50"/>
      <c r="L380" s="6"/>
      <c r="M380" s="55"/>
      <c r="N380" s="55">
        <f>IFERROR(__xludf.DUMMYFUNCTION("""COMPUTED_VALUE"""),1.0)</f>
        <v>1</v>
      </c>
      <c r="O380" s="55" t="str">
        <f t="shared" si="3"/>
        <v/>
      </c>
      <c r="P380" s="209"/>
      <c r="Q380" s="75" t="str">
        <f>VLOOKUP($B380,'Run Reconcile'!B$2:P1679,15,FALSE)</f>
        <v/>
      </c>
      <c r="R380" s="211" t="str">
        <f t="array" ref="R380">IF($Q380, INDEX('Run Reconcile'!A$2:A1679,MATCH(B380,'Run Reconcile'!B$2:B1679,0),1),IFERROR(0/0,""))</f>
        <v/>
      </c>
      <c r="S380" s="165" t="str">
        <f t="shared" ref="S380:T380" si="759">IF(COUNTIF(W$2:W1679, $A380) &gt; 0,TRUE,IFERROR(0/0,""))</f>
        <v/>
      </c>
      <c r="T380" s="165" t="b">
        <f t="shared" si="759"/>
        <v>1</v>
      </c>
      <c r="U380" s="147" t="str">
        <f t="array" ref="U380">IF(ISBLANK($R380), IF($S380,VLOOKUP($B380+1,'RFR Data - preExcl'!$BF$2:$BG1679,2,FALSE),IF($T380,INDEX('RFR Data - preExcl'!$BF$2:$BG1679,MATCH($B380,'RFR Data - preExcl'!$BF$2:$BF1679,0)+1,2),VLOOKUP($B380,'RFR Data - preExcl'!$BF$2:$BG1679,2,FALSE))),IFERROR(0/0,""))</f>
        <v>RUN-COMB_2022-04-18_RFR-021</v>
      </c>
      <c r="V380" s="212" t="str">
        <f t="shared" si="5"/>
        <v>RUN-COMB_2022-04-18_RFR-021</v>
      </c>
      <c r="W380" s="51"/>
      <c r="X380" s="51" t="s">
        <v>543</v>
      </c>
      <c r="Y380" s="147" t="str">
        <f t="shared" ref="Y380:Z380" si="760">IF(_xlfn.ISFORMULA(S380),IFERROR(0/0,""),TRUE)</f>
        <v/>
      </c>
      <c r="Z380" s="147" t="str">
        <f t="shared" si="760"/>
        <v/>
      </c>
    </row>
    <row r="381">
      <c r="A381" s="6" t="str">
        <f>IFERROR(__xludf.DUMMYFUNCTION("""COMPUTED_VALUE"""),"FM4066")</f>
        <v>FM4066</v>
      </c>
      <c r="B381" s="206">
        <f>IFERROR(__xludf.DUMMYFUNCTION("""COMPUTED_VALUE"""),44669.0)</f>
        <v>44669</v>
      </c>
      <c r="C381" s="207">
        <f>IFERROR(__xludf.DUMMYFUNCTION("""COMPUTED_VALUE"""),0.7228819444444444)</f>
        <v>0.7228819444</v>
      </c>
      <c r="D381" s="50"/>
      <c r="E381" s="58"/>
      <c r="F381" s="58"/>
      <c r="G381" s="58" t="str">
        <f>IFERROR(__xludf.DUMMYFUNCTION("""COMPUTED_VALUE"""),"Negative")</f>
        <v>Negative</v>
      </c>
      <c r="H381" s="206" t="str">
        <f>IFERROR(__xludf.DUMMYFUNCTION("""COMPUTED_VALUE"""),"Negative")</f>
        <v>Negative</v>
      </c>
      <c r="I381" s="207">
        <f>IFERROR(__xludf.DUMMYFUNCTION("""COMPUTED_VALUE"""),44669.0)</f>
        <v>44669</v>
      </c>
      <c r="J381" s="208">
        <f>IFERROR(__xludf.DUMMYFUNCTION("""COMPUTED_VALUE"""),0.8201041666666666)</f>
        <v>0.8201041667</v>
      </c>
      <c r="K381" s="50"/>
      <c r="L381" s="6"/>
      <c r="M381" s="55"/>
      <c r="N381" s="55">
        <f>IFERROR(__xludf.DUMMYFUNCTION("""COMPUTED_VALUE"""),1.0)</f>
        <v>1</v>
      </c>
      <c r="O381" s="55" t="str">
        <f t="shared" si="3"/>
        <v/>
      </c>
      <c r="P381" s="209"/>
      <c r="Q381" s="75" t="str">
        <f>VLOOKUP($B381,'Run Reconcile'!B$2:P1679,15,FALSE)</f>
        <v/>
      </c>
      <c r="R381" s="211" t="str">
        <f t="array" ref="R381">IF($Q381, INDEX('Run Reconcile'!A$2:A1679,MATCH(B381,'Run Reconcile'!B$2:B1679,0),1),IFERROR(0/0,""))</f>
        <v/>
      </c>
      <c r="S381" s="165" t="str">
        <f t="shared" ref="S381:T381" si="761">IF(COUNTIF(W$2:W1679, $A381) &gt; 0,TRUE,IFERROR(0/0,""))</f>
        <v/>
      </c>
      <c r="T381" s="165" t="b">
        <f t="shared" si="761"/>
        <v>1</v>
      </c>
      <c r="U381" s="147" t="str">
        <f t="array" ref="U381">IF(ISBLANK($R381), IF($S381,VLOOKUP($B381+1,'RFR Data - preExcl'!$BF$2:$BG1679,2,FALSE),IF($T381,INDEX('RFR Data - preExcl'!$BF$2:$BG1679,MATCH($B381,'RFR Data - preExcl'!$BF$2:$BF1679,0)+1,2),VLOOKUP($B381,'RFR Data - preExcl'!$BF$2:$BG1679,2,FALSE))),IFERROR(0/0,""))</f>
        <v>RUN-COMB_2022-04-18_RFR-021</v>
      </c>
      <c r="V381" s="212" t="str">
        <f t="shared" si="5"/>
        <v>RUN-COMB_2022-04-18_RFR-021</v>
      </c>
      <c r="W381" s="51"/>
      <c r="X381" s="51" t="s">
        <v>544</v>
      </c>
      <c r="Y381" s="147" t="str">
        <f t="shared" ref="Y381:Z381" si="762">IF(_xlfn.ISFORMULA(S381),IFERROR(0/0,""),TRUE)</f>
        <v/>
      </c>
      <c r="Z381" s="147" t="str">
        <f t="shared" si="762"/>
        <v/>
      </c>
    </row>
    <row r="382">
      <c r="A382" s="6" t="str">
        <f>IFERROR(__xludf.DUMMYFUNCTION("""COMPUTED_VALUE"""),"FM4074")</f>
        <v>FM4074</v>
      </c>
      <c r="B382" s="206">
        <f>IFERROR(__xludf.DUMMYFUNCTION("""COMPUTED_VALUE"""),44669.0)</f>
        <v>44669</v>
      </c>
      <c r="C382" s="207">
        <f>IFERROR(__xludf.DUMMYFUNCTION("""COMPUTED_VALUE"""),0.7237037037037037)</f>
        <v>0.7237037037</v>
      </c>
      <c r="D382" s="50"/>
      <c r="E382" s="58"/>
      <c r="F382" s="58"/>
      <c r="G382" s="58" t="str">
        <f>IFERROR(__xludf.DUMMYFUNCTION("""COMPUTED_VALUE"""),"Negative")</f>
        <v>Negative</v>
      </c>
      <c r="H382" s="206" t="str">
        <f>IFERROR(__xludf.DUMMYFUNCTION("""COMPUTED_VALUE"""),"Negative")</f>
        <v>Negative</v>
      </c>
      <c r="I382" s="207">
        <f>IFERROR(__xludf.DUMMYFUNCTION("""COMPUTED_VALUE"""),44669.0)</f>
        <v>44669</v>
      </c>
      <c r="J382" s="208">
        <f>IFERROR(__xludf.DUMMYFUNCTION("""COMPUTED_VALUE"""),0.8201157407407408)</f>
        <v>0.8201157407</v>
      </c>
      <c r="K382" s="50"/>
      <c r="L382" s="6"/>
      <c r="M382" s="55"/>
      <c r="N382" s="55">
        <f>IFERROR(__xludf.DUMMYFUNCTION("""COMPUTED_VALUE"""),1.0)</f>
        <v>1</v>
      </c>
      <c r="O382" s="55" t="str">
        <f t="shared" si="3"/>
        <v/>
      </c>
      <c r="P382" s="209"/>
      <c r="Q382" s="75" t="str">
        <f>VLOOKUP($B382,'Run Reconcile'!B$2:P1679,15,FALSE)</f>
        <v/>
      </c>
      <c r="R382" s="211" t="str">
        <f t="array" ref="R382">IF($Q382, INDEX('Run Reconcile'!A$2:A1679,MATCH(B382,'Run Reconcile'!B$2:B1679,0),1),IFERROR(0/0,""))</f>
        <v/>
      </c>
      <c r="S382" s="165" t="str">
        <f t="shared" ref="S382:T382" si="763">IF(COUNTIF(W$2:W1679, $A382) &gt; 0,TRUE,IFERROR(0/0,""))</f>
        <v/>
      </c>
      <c r="T382" s="165" t="b">
        <f t="shared" si="763"/>
        <v>1</v>
      </c>
      <c r="U382" s="147" t="str">
        <f t="array" ref="U382">IF(ISBLANK($R382), IF($S382,VLOOKUP($B382+1,'RFR Data - preExcl'!$BF$2:$BG1679,2,FALSE),IF($T382,INDEX('RFR Data - preExcl'!$BF$2:$BG1679,MATCH($B382,'RFR Data - preExcl'!$BF$2:$BF1679,0)+1,2),VLOOKUP($B382,'RFR Data - preExcl'!$BF$2:$BG1679,2,FALSE))),IFERROR(0/0,""))</f>
        <v>RUN-COMB_2022-04-18_RFR-021</v>
      </c>
      <c r="V382" s="212" t="str">
        <f t="shared" si="5"/>
        <v>RUN-COMB_2022-04-18_RFR-021</v>
      </c>
      <c r="W382" s="51"/>
      <c r="X382" s="51" t="s">
        <v>545</v>
      </c>
      <c r="Y382" s="147" t="str">
        <f t="shared" ref="Y382:Z382" si="764">IF(_xlfn.ISFORMULA(S382),IFERROR(0/0,""),TRUE)</f>
        <v/>
      </c>
      <c r="Z382" s="147" t="str">
        <f t="shared" si="764"/>
        <v/>
      </c>
    </row>
    <row r="383">
      <c r="A383" s="6" t="str">
        <f>IFERROR(__xludf.DUMMYFUNCTION("""COMPUTED_VALUE"""),"FM4292")</f>
        <v>FM4292</v>
      </c>
      <c r="B383" s="206">
        <f>IFERROR(__xludf.DUMMYFUNCTION("""COMPUTED_VALUE"""),44669.0)</f>
        <v>44669</v>
      </c>
      <c r="C383" s="207">
        <f>IFERROR(__xludf.DUMMYFUNCTION("""COMPUTED_VALUE"""),0.7242939814814815)</f>
        <v>0.7242939815</v>
      </c>
      <c r="D383" s="50"/>
      <c r="E383" s="58"/>
      <c r="F383" s="58"/>
      <c r="G383" s="58" t="str">
        <f>IFERROR(__xludf.DUMMYFUNCTION("""COMPUTED_VALUE"""),"Negative")</f>
        <v>Negative</v>
      </c>
      <c r="H383" s="206" t="str">
        <f>IFERROR(__xludf.DUMMYFUNCTION("""COMPUTED_VALUE"""),"Negative")</f>
        <v>Negative</v>
      </c>
      <c r="I383" s="207">
        <f>IFERROR(__xludf.DUMMYFUNCTION("""COMPUTED_VALUE"""),44669.0)</f>
        <v>44669</v>
      </c>
      <c r="J383" s="208">
        <f>IFERROR(__xludf.DUMMYFUNCTION("""COMPUTED_VALUE"""),0.8201157407407408)</f>
        <v>0.8201157407</v>
      </c>
      <c r="K383" s="50"/>
      <c r="L383" s="6"/>
      <c r="M383" s="55"/>
      <c r="N383" s="55">
        <f>IFERROR(__xludf.DUMMYFUNCTION("""COMPUTED_VALUE"""),1.0)</f>
        <v>1</v>
      </c>
      <c r="O383" s="55" t="str">
        <f t="shared" si="3"/>
        <v/>
      </c>
      <c r="P383" s="209"/>
      <c r="Q383" s="75" t="str">
        <f>VLOOKUP($B383,'Run Reconcile'!B$2:P1679,15,FALSE)</f>
        <v/>
      </c>
      <c r="R383" s="211" t="str">
        <f t="array" ref="R383">IF($Q383, INDEX('Run Reconcile'!A$2:A1679,MATCH(B383,'Run Reconcile'!B$2:B1679,0),1),IFERROR(0/0,""))</f>
        <v/>
      </c>
      <c r="S383" s="165" t="str">
        <f t="shared" ref="S383:T383" si="765">IF(COUNTIF(W$2:W1679, $A383) &gt; 0,TRUE,IFERROR(0/0,""))</f>
        <v/>
      </c>
      <c r="T383" s="165" t="b">
        <f t="shared" si="765"/>
        <v>1</v>
      </c>
      <c r="U383" s="147" t="str">
        <f t="array" ref="U383">IF(ISBLANK($R383), IF($S383,VLOOKUP($B383+1,'RFR Data - preExcl'!$BF$2:$BG1679,2,FALSE),IF($T383,INDEX('RFR Data - preExcl'!$BF$2:$BG1679,MATCH($B383,'RFR Data - preExcl'!$BF$2:$BF1679,0)+1,2),VLOOKUP($B383,'RFR Data - preExcl'!$BF$2:$BG1679,2,FALSE))),IFERROR(0/0,""))</f>
        <v>RUN-COMB_2022-04-18_RFR-021</v>
      </c>
      <c r="V383" s="212" t="str">
        <f t="shared" si="5"/>
        <v>RUN-COMB_2022-04-18_RFR-021</v>
      </c>
      <c r="W383" s="51"/>
      <c r="X383" s="51" t="s">
        <v>546</v>
      </c>
      <c r="Y383" s="147" t="str">
        <f t="shared" ref="Y383:Z383" si="766">IF(_xlfn.ISFORMULA(S383),IFERROR(0/0,""),TRUE)</f>
        <v/>
      </c>
      <c r="Z383" s="147" t="str">
        <f t="shared" si="766"/>
        <v/>
      </c>
    </row>
    <row r="384">
      <c r="A384" s="6" t="str">
        <f>IFERROR(__xludf.DUMMYFUNCTION("""COMPUTED_VALUE"""),"FM4315")</f>
        <v>FM4315</v>
      </c>
      <c r="B384" s="206">
        <f>IFERROR(__xludf.DUMMYFUNCTION("""COMPUTED_VALUE"""),44669.0)</f>
        <v>44669</v>
      </c>
      <c r="C384" s="207">
        <f>IFERROR(__xludf.DUMMYFUNCTION("""COMPUTED_VALUE"""),0.7248611111111111)</f>
        <v>0.7248611111</v>
      </c>
      <c r="D384" s="50"/>
      <c r="E384" s="58"/>
      <c r="F384" s="58"/>
      <c r="G384" s="58" t="str">
        <f>IFERROR(__xludf.DUMMYFUNCTION("""COMPUTED_VALUE"""),"Negative")</f>
        <v>Negative</v>
      </c>
      <c r="H384" s="206" t="str">
        <f>IFERROR(__xludf.DUMMYFUNCTION("""COMPUTED_VALUE"""),"Negative")</f>
        <v>Negative</v>
      </c>
      <c r="I384" s="207">
        <f>IFERROR(__xludf.DUMMYFUNCTION("""COMPUTED_VALUE"""),44669.0)</f>
        <v>44669</v>
      </c>
      <c r="J384" s="208">
        <f>IFERROR(__xludf.DUMMYFUNCTION("""COMPUTED_VALUE"""),0.8201273148148148)</f>
        <v>0.8201273148</v>
      </c>
      <c r="K384" s="50"/>
      <c r="L384" s="6"/>
      <c r="M384" s="55"/>
      <c r="N384" s="55">
        <f>IFERROR(__xludf.DUMMYFUNCTION("""COMPUTED_VALUE"""),1.0)</f>
        <v>1</v>
      </c>
      <c r="O384" s="55" t="str">
        <f t="shared" si="3"/>
        <v/>
      </c>
      <c r="P384" s="209"/>
      <c r="Q384" s="75" t="str">
        <f>VLOOKUP($B384,'Run Reconcile'!B$2:P1679,15,FALSE)</f>
        <v/>
      </c>
      <c r="R384" s="211" t="str">
        <f t="array" ref="R384">IF($Q384, INDEX('Run Reconcile'!A$2:A1679,MATCH(B384,'Run Reconcile'!B$2:B1679,0),1),IFERROR(0/0,""))</f>
        <v/>
      </c>
      <c r="S384" s="165" t="str">
        <f t="shared" ref="S384:T384" si="767">IF(COUNTIF(W$2:W1679, $A384) &gt; 0,TRUE,IFERROR(0/0,""))</f>
        <v/>
      </c>
      <c r="T384" s="165" t="b">
        <f t="shared" si="767"/>
        <v>1</v>
      </c>
      <c r="U384" s="147" t="str">
        <f t="array" ref="U384">IF(ISBLANK($R384), IF($S384,VLOOKUP($B384+1,'RFR Data - preExcl'!$BF$2:$BG1679,2,FALSE),IF($T384,INDEX('RFR Data - preExcl'!$BF$2:$BG1679,MATCH($B384,'RFR Data - preExcl'!$BF$2:$BF1679,0)+1,2),VLOOKUP($B384,'RFR Data - preExcl'!$BF$2:$BG1679,2,FALSE))),IFERROR(0/0,""))</f>
        <v>RUN-COMB_2022-04-18_RFR-021</v>
      </c>
      <c r="V384" s="212" t="str">
        <f t="shared" si="5"/>
        <v>RUN-COMB_2022-04-18_RFR-021</v>
      </c>
      <c r="W384" s="51"/>
      <c r="X384" s="51" t="s">
        <v>547</v>
      </c>
      <c r="Y384" s="147" t="str">
        <f t="shared" ref="Y384:Z384" si="768">IF(_xlfn.ISFORMULA(S384),IFERROR(0/0,""),TRUE)</f>
        <v/>
      </c>
      <c r="Z384" s="147" t="str">
        <f t="shared" si="768"/>
        <v/>
      </c>
    </row>
    <row r="385">
      <c r="A385" s="6" t="str">
        <f>IFERROR(__xludf.DUMMYFUNCTION("""COMPUTED_VALUE"""),"FM4286")</f>
        <v>FM4286</v>
      </c>
      <c r="B385" s="206">
        <f>IFERROR(__xludf.DUMMYFUNCTION("""COMPUTED_VALUE"""),44669.0)</f>
        <v>44669</v>
      </c>
      <c r="C385" s="207">
        <f>IFERROR(__xludf.DUMMYFUNCTION("""COMPUTED_VALUE"""),0.7268981481481481)</f>
        <v>0.7268981481</v>
      </c>
      <c r="D385" s="50"/>
      <c r="E385" s="58"/>
      <c r="F385" s="58"/>
      <c r="G385" s="58" t="str">
        <f>IFERROR(__xludf.DUMMYFUNCTION("""COMPUTED_VALUE"""),"Negative")</f>
        <v>Negative</v>
      </c>
      <c r="H385" s="206" t="str">
        <f>IFERROR(__xludf.DUMMYFUNCTION("""COMPUTED_VALUE"""),"Negative")</f>
        <v>Negative</v>
      </c>
      <c r="I385" s="207">
        <f>IFERROR(__xludf.DUMMYFUNCTION("""COMPUTED_VALUE"""),44669.0)</f>
        <v>44669</v>
      </c>
      <c r="J385" s="208">
        <f>IFERROR(__xludf.DUMMYFUNCTION("""COMPUTED_VALUE"""),0.8201388888888889)</f>
        <v>0.8201388889</v>
      </c>
      <c r="K385" s="50"/>
      <c r="L385" s="6"/>
      <c r="M385" s="55"/>
      <c r="N385" s="55">
        <f>IFERROR(__xludf.DUMMYFUNCTION("""COMPUTED_VALUE"""),1.0)</f>
        <v>1</v>
      </c>
      <c r="O385" s="55" t="str">
        <f t="shared" si="3"/>
        <v/>
      </c>
      <c r="P385" s="209"/>
      <c r="Q385" s="75" t="str">
        <f>VLOOKUP($B385,'Run Reconcile'!B$2:P1679,15,FALSE)</f>
        <v/>
      </c>
      <c r="R385" s="211" t="str">
        <f t="array" ref="R385">IF($Q385, INDEX('Run Reconcile'!A$2:A1679,MATCH(B385,'Run Reconcile'!B$2:B1679,0),1),IFERROR(0/0,""))</f>
        <v/>
      </c>
      <c r="S385" s="165" t="str">
        <f t="shared" ref="S385:T385" si="769">IF(COUNTIF(W$2:W1679, $A385) &gt; 0,TRUE,IFERROR(0/0,""))</f>
        <v/>
      </c>
      <c r="T385" s="165" t="b">
        <f t="shared" si="769"/>
        <v>1</v>
      </c>
      <c r="U385" s="147" t="str">
        <f t="array" ref="U385">IF(ISBLANK($R385), IF($S385,VLOOKUP($B385+1,'RFR Data - preExcl'!$BF$2:$BG1679,2,FALSE),IF($T385,INDEX('RFR Data - preExcl'!$BF$2:$BG1679,MATCH($B385,'RFR Data - preExcl'!$BF$2:$BF1679,0)+1,2),VLOOKUP($B385,'RFR Data - preExcl'!$BF$2:$BG1679,2,FALSE))),IFERROR(0/0,""))</f>
        <v>RUN-COMB_2022-04-18_RFR-021</v>
      </c>
      <c r="V385" s="212" t="str">
        <f t="shared" si="5"/>
        <v>RUN-COMB_2022-04-18_RFR-021</v>
      </c>
      <c r="W385" s="51"/>
      <c r="X385" s="51" t="s">
        <v>548</v>
      </c>
      <c r="Y385" s="147" t="str">
        <f t="shared" ref="Y385:Z385" si="770">IF(_xlfn.ISFORMULA(S385),IFERROR(0/0,""),TRUE)</f>
        <v/>
      </c>
      <c r="Z385" s="147" t="str">
        <f t="shared" si="770"/>
        <v/>
      </c>
    </row>
    <row r="386">
      <c r="A386" s="6" t="str">
        <f>IFERROR(__xludf.DUMMYFUNCTION("""COMPUTED_VALUE"""),"FM4297")</f>
        <v>FM4297</v>
      </c>
      <c r="B386" s="206">
        <f>IFERROR(__xludf.DUMMYFUNCTION("""COMPUTED_VALUE"""),44669.0)</f>
        <v>44669</v>
      </c>
      <c r="C386" s="207">
        <f>IFERROR(__xludf.DUMMYFUNCTION("""COMPUTED_VALUE"""),0.7293171296296296)</f>
        <v>0.7293171296</v>
      </c>
      <c r="D386" s="50"/>
      <c r="E386" s="58"/>
      <c r="F386" s="58"/>
      <c r="G386" s="58" t="str">
        <f>IFERROR(__xludf.DUMMYFUNCTION("""COMPUTED_VALUE"""),"Negative")</f>
        <v>Negative</v>
      </c>
      <c r="H386" s="206" t="str">
        <f>IFERROR(__xludf.DUMMYFUNCTION("""COMPUTED_VALUE"""),"Negative")</f>
        <v>Negative</v>
      </c>
      <c r="I386" s="207">
        <f>IFERROR(__xludf.DUMMYFUNCTION("""COMPUTED_VALUE"""),44669.0)</f>
        <v>44669</v>
      </c>
      <c r="J386" s="208">
        <f>IFERROR(__xludf.DUMMYFUNCTION("""COMPUTED_VALUE"""),0.820150462962963)</f>
        <v>0.820150463</v>
      </c>
      <c r="K386" s="50"/>
      <c r="L386" s="6"/>
      <c r="M386" s="55"/>
      <c r="N386" s="55">
        <f>IFERROR(__xludf.DUMMYFUNCTION("""COMPUTED_VALUE"""),1.0)</f>
        <v>1</v>
      </c>
      <c r="O386" s="55" t="str">
        <f t="shared" si="3"/>
        <v/>
      </c>
      <c r="P386" s="209"/>
      <c r="Q386" s="75" t="str">
        <f>VLOOKUP($B386,'Run Reconcile'!B$2:P1679,15,FALSE)</f>
        <v/>
      </c>
      <c r="R386" s="211" t="str">
        <f t="array" ref="R386">IF($Q386, INDEX('Run Reconcile'!A$2:A1679,MATCH(B386,'Run Reconcile'!B$2:B1679,0),1),IFERROR(0/0,""))</f>
        <v/>
      </c>
      <c r="S386" s="165" t="str">
        <f t="shared" ref="S386:T386" si="771">IF(COUNTIF(W$2:W1679, $A386) &gt; 0,TRUE,IFERROR(0/0,""))</f>
        <v/>
      </c>
      <c r="T386" s="165" t="b">
        <f t="shared" si="771"/>
        <v>1</v>
      </c>
      <c r="U386" s="147" t="str">
        <f t="array" ref="U386">IF(ISBLANK($R386), IF($S386,VLOOKUP($B386+1,'RFR Data - preExcl'!$BF$2:$BG1679,2,FALSE),IF($T386,INDEX('RFR Data - preExcl'!$BF$2:$BG1679,MATCH($B386,'RFR Data - preExcl'!$BF$2:$BF1679,0)+1,2),VLOOKUP($B386,'RFR Data - preExcl'!$BF$2:$BG1679,2,FALSE))),IFERROR(0/0,""))</f>
        <v>RUN-COMB_2022-04-18_RFR-021</v>
      </c>
      <c r="V386" s="212" t="str">
        <f t="shared" si="5"/>
        <v>RUN-COMB_2022-04-18_RFR-021</v>
      </c>
      <c r="W386" s="51"/>
      <c r="X386" s="51" t="s">
        <v>549</v>
      </c>
      <c r="Y386" s="147" t="str">
        <f t="shared" ref="Y386:Z386" si="772">IF(_xlfn.ISFORMULA(S386),IFERROR(0/0,""),TRUE)</f>
        <v/>
      </c>
      <c r="Z386" s="147" t="str">
        <f t="shared" si="772"/>
        <v/>
      </c>
    </row>
    <row r="387">
      <c r="A387" s="6" t="str">
        <f>IFERROR(__xludf.DUMMYFUNCTION("""COMPUTED_VALUE"""),"FM4337")</f>
        <v>FM4337</v>
      </c>
      <c r="B387" s="206">
        <f>IFERROR(__xludf.DUMMYFUNCTION("""COMPUTED_VALUE"""),44669.0)</f>
        <v>44669</v>
      </c>
      <c r="C387" s="207">
        <f>IFERROR(__xludf.DUMMYFUNCTION("""COMPUTED_VALUE"""),0.7329050925925926)</f>
        <v>0.7329050926</v>
      </c>
      <c r="D387" s="50"/>
      <c r="E387" s="58"/>
      <c r="F387" s="58"/>
      <c r="G387" s="58" t="str">
        <f>IFERROR(__xludf.DUMMYFUNCTION("""COMPUTED_VALUE"""),"Negative")</f>
        <v>Negative</v>
      </c>
      <c r="H387" s="206" t="str">
        <f>IFERROR(__xludf.DUMMYFUNCTION("""COMPUTED_VALUE"""),"Negative")</f>
        <v>Negative</v>
      </c>
      <c r="I387" s="207">
        <f>IFERROR(__xludf.DUMMYFUNCTION("""COMPUTED_VALUE"""),44669.0)</f>
        <v>44669</v>
      </c>
      <c r="J387" s="208">
        <f>IFERROR(__xludf.DUMMYFUNCTION("""COMPUTED_VALUE"""),0.820162037037037)</f>
        <v>0.820162037</v>
      </c>
      <c r="K387" s="50"/>
      <c r="L387" s="6"/>
      <c r="M387" s="55"/>
      <c r="N387" s="55">
        <f>IFERROR(__xludf.DUMMYFUNCTION("""COMPUTED_VALUE"""),1.0)</f>
        <v>1</v>
      </c>
      <c r="O387" s="55" t="str">
        <f t="shared" si="3"/>
        <v/>
      </c>
      <c r="P387" s="209"/>
      <c r="Q387" s="75" t="str">
        <f>VLOOKUP($B387,'Run Reconcile'!B$2:P1679,15,FALSE)</f>
        <v/>
      </c>
      <c r="R387" s="211" t="str">
        <f t="array" ref="R387">IF($Q387, INDEX('Run Reconcile'!A$2:A1679,MATCH(B387,'Run Reconcile'!B$2:B1679,0),1),IFERROR(0/0,""))</f>
        <v/>
      </c>
      <c r="S387" s="165" t="str">
        <f t="shared" ref="S387:T387" si="773">IF(COUNTIF(W$2:W1679, $A387) &gt; 0,TRUE,IFERROR(0/0,""))</f>
        <v/>
      </c>
      <c r="T387" s="165" t="b">
        <f t="shared" si="773"/>
        <v>1</v>
      </c>
      <c r="U387" s="147" t="str">
        <f t="array" ref="U387">IF(ISBLANK($R387), IF($S387,VLOOKUP($B387+1,'RFR Data - preExcl'!$BF$2:$BG1679,2,FALSE),IF($T387,INDEX('RFR Data - preExcl'!$BF$2:$BG1679,MATCH($B387,'RFR Data - preExcl'!$BF$2:$BF1679,0)+1,2),VLOOKUP($B387,'RFR Data - preExcl'!$BF$2:$BG1679,2,FALSE))),IFERROR(0/0,""))</f>
        <v>RUN-COMB_2022-04-18_RFR-021</v>
      </c>
      <c r="V387" s="212" t="str">
        <f t="shared" si="5"/>
        <v>RUN-COMB_2022-04-18_RFR-021</v>
      </c>
      <c r="W387" s="51"/>
      <c r="X387" s="51" t="s">
        <v>550</v>
      </c>
      <c r="Y387" s="147" t="str">
        <f t="shared" ref="Y387:Z387" si="774">IF(_xlfn.ISFORMULA(S387),IFERROR(0/0,""),TRUE)</f>
        <v/>
      </c>
      <c r="Z387" s="147" t="str">
        <f t="shared" si="774"/>
        <v/>
      </c>
    </row>
    <row r="388">
      <c r="A388" s="6" t="str">
        <f>IFERROR(__xludf.DUMMYFUNCTION("""COMPUTED_VALUE"""),"FM4305")</f>
        <v>FM4305</v>
      </c>
      <c r="B388" s="206">
        <f>IFERROR(__xludf.DUMMYFUNCTION("""COMPUTED_VALUE"""),44669.0)</f>
        <v>44669</v>
      </c>
      <c r="C388" s="207">
        <f>IFERROR(__xludf.DUMMYFUNCTION("""COMPUTED_VALUE"""),0.7334953703703704)</f>
        <v>0.7334953704</v>
      </c>
      <c r="D388" s="50"/>
      <c r="E388" s="58"/>
      <c r="F388" s="58"/>
      <c r="G388" s="58" t="str">
        <f>IFERROR(__xludf.DUMMYFUNCTION("""COMPUTED_VALUE"""),"Negative")</f>
        <v>Negative</v>
      </c>
      <c r="H388" s="206" t="str">
        <f>IFERROR(__xludf.DUMMYFUNCTION("""COMPUTED_VALUE"""),"Negative")</f>
        <v>Negative</v>
      </c>
      <c r="I388" s="207">
        <f>IFERROR(__xludf.DUMMYFUNCTION("""COMPUTED_VALUE"""),44669.0)</f>
        <v>44669</v>
      </c>
      <c r="J388" s="208">
        <f>IFERROR(__xludf.DUMMYFUNCTION("""COMPUTED_VALUE"""),0.8201736111111111)</f>
        <v>0.8201736111</v>
      </c>
      <c r="K388" s="50"/>
      <c r="L388" s="6"/>
      <c r="M388" s="55"/>
      <c r="N388" s="55">
        <f>IFERROR(__xludf.DUMMYFUNCTION("""COMPUTED_VALUE"""),1.0)</f>
        <v>1</v>
      </c>
      <c r="O388" s="55" t="str">
        <f t="shared" si="3"/>
        <v/>
      </c>
      <c r="P388" s="209"/>
      <c r="Q388" s="75" t="str">
        <f>VLOOKUP($B388,'Run Reconcile'!B$2:P1679,15,FALSE)</f>
        <v/>
      </c>
      <c r="R388" s="211" t="str">
        <f t="array" ref="R388">IF($Q388, INDEX('Run Reconcile'!A$2:A1679,MATCH(B388,'Run Reconcile'!B$2:B1679,0),1),IFERROR(0/0,""))</f>
        <v/>
      </c>
      <c r="S388" s="165" t="str">
        <f t="shared" ref="S388:T388" si="775">IF(COUNTIF(W$2:W1679, $A388) &gt; 0,TRUE,IFERROR(0/0,""))</f>
        <v/>
      </c>
      <c r="T388" s="165" t="b">
        <f t="shared" si="775"/>
        <v>1</v>
      </c>
      <c r="U388" s="147" t="str">
        <f t="array" ref="U388">IF(ISBLANK($R388), IF($S388,VLOOKUP($B388+1,'RFR Data - preExcl'!$BF$2:$BG1679,2,FALSE),IF($T388,INDEX('RFR Data - preExcl'!$BF$2:$BG1679,MATCH($B388,'RFR Data - preExcl'!$BF$2:$BF1679,0)+1,2),VLOOKUP($B388,'RFR Data - preExcl'!$BF$2:$BG1679,2,FALSE))),IFERROR(0/0,""))</f>
        <v>RUN-COMB_2022-04-18_RFR-021</v>
      </c>
      <c r="V388" s="212" t="str">
        <f t="shared" si="5"/>
        <v>RUN-COMB_2022-04-18_RFR-021</v>
      </c>
      <c r="W388" s="51"/>
      <c r="X388" s="51" t="s">
        <v>551</v>
      </c>
      <c r="Y388" s="147" t="str">
        <f t="shared" ref="Y388:Z388" si="776">IF(_xlfn.ISFORMULA(S388),IFERROR(0/0,""),TRUE)</f>
        <v/>
      </c>
      <c r="Z388" s="147" t="str">
        <f t="shared" si="776"/>
        <v/>
      </c>
    </row>
    <row r="389">
      <c r="A389" s="6" t="str">
        <f>IFERROR(__xludf.DUMMYFUNCTION("""COMPUTED_VALUE"""),"FM4338")</f>
        <v>FM4338</v>
      </c>
      <c r="B389" s="206">
        <f>IFERROR(__xludf.DUMMYFUNCTION("""COMPUTED_VALUE"""),44669.0)</f>
        <v>44669</v>
      </c>
      <c r="C389" s="207">
        <f>IFERROR(__xludf.DUMMYFUNCTION("""COMPUTED_VALUE"""),0.7394675925925925)</f>
        <v>0.7394675926</v>
      </c>
      <c r="D389" s="50"/>
      <c r="E389" s="58"/>
      <c r="F389" s="58"/>
      <c r="G389" s="58" t="str">
        <f>IFERROR(__xludf.DUMMYFUNCTION("""COMPUTED_VALUE"""),"Negative")</f>
        <v>Negative</v>
      </c>
      <c r="H389" s="206" t="str">
        <f>IFERROR(__xludf.DUMMYFUNCTION("""COMPUTED_VALUE"""),"Negative")</f>
        <v>Negative</v>
      </c>
      <c r="I389" s="207">
        <f>IFERROR(__xludf.DUMMYFUNCTION("""COMPUTED_VALUE"""),44669.0)</f>
        <v>44669</v>
      </c>
      <c r="J389" s="208">
        <f>IFERROR(__xludf.DUMMYFUNCTION("""COMPUTED_VALUE"""),0.8201736111111111)</f>
        <v>0.8201736111</v>
      </c>
      <c r="K389" s="50"/>
      <c r="L389" s="6"/>
      <c r="M389" s="55"/>
      <c r="N389" s="55">
        <f>IFERROR(__xludf.DUMMYFUNCTION("""COMPUTED_VALUE"""),1.0)</f>
        <v>1</v>
      </c>
      <c r="O389" s="55" t="str">
        <f t="shared" si="3"/>
        <v/>
      </c>
      <c r="P389" s="209"/>
      <c r="Q389" s="75" t="str">
        <f>VLOOKUP($B389,'Run Reconcile'!B$2:P1679,15,FALSE)</f>
        <v/>
      </c>
      <c r="R389" s="211" t="str">
        <f t="array" ref="R389">IF($Q389, INDEX('Run Reconcile'!A$2:A1679,MATCH(B389,'Run Reconcile'!B$2:B1679,0),1),IFERROR(0/0,""))</f>
        <v/>
      </c>
      <c r="S389" s="165" t="str">
        <f t="shared" ref="S389:T389" si="777">IF(COUNTIF(W$2:W1679, $A389) &gt; 0,TRUE,IFERROR(0/0,""))</f>
        <v/>
      </c>
      <c r="T389" s="165" t="b">
        <f t="shared" si="777"/>
        <v>1</v>
      </c>
      <c r="U389" s="147" t="str">
        <f t="array" ref="U389">IF(ISBLANK($R389), IF($S389,VLOOKUP($B389+1,'RFR Data - preExcl'!$BF$2:$BG1679,2,FALSE),IF($T389,INDEX('RFR Data - preExcl'!$BF$2:$BG1679,MATCH($B389,'RFR Data - preExcl'!$BF$2:$BF1679,0)+1,2),VLOOKUP($B389,'RFR Data - preExcl'!$BF$2:$BG1679,2,FALSE))),IFERROR(0/0,""))</f>
        <v>RUN-COMB_2022-04-18_RFR-021</v>
      </c>
      <c r="V389" s="212" t="str">
        <f t="shared" si="5"/>
        <v>RUN-COMB_2022-04-18_RFR-021</v>
      </c>
      <c r="W389" s="51"/>
      <c r="X389" s="51" t="s">
        <v>552</v>
      </c>
      <c r="Y389" s="147" t="str">
        <f t="shared" ref="Y389:Z389" si="778">IF(_xlfn.ISFORMULA(S389),IFERROR(0/0,""),TRUE)</f>
        <v/>
      </c>
      <c r="Z389" s="147" t="str">
        <f t="shared" si="778"/>
        <v/>
      </c>
    </row>
    <row r="390">
      <c r="A390" s="6" t="str">
        <f>IFERROR(__xludf.DUMMYFUNCTION("""COMPUTED_VALUE"""),"FM4397")</f>
        <v>FM4397</v>
      </c>
      <c r="B390" s="206">
        <f>IFERROR(__xludf.DUMMYFUNCTION("""COMPUTED_VALUE"""),44669.0)</f>
        <v>44669</v>
      </c>
      <c r="C390" s="207">
        <f>IFERROR(__xludf.DUMMYFUNCTION("""COMPUTED_VALUE"""),0.740011574074074)</f>
        <v>0.7400115741</v>
      </c>
      <c r="D390" s="50"/>
      <c r="E390" s="58"/>
      <c r="F390" s="58"/>
      <c r="G390" s="58" t="str">
        <f>IFERROR(__xludf.DUMMYFUNCTION("""COMPUTED_VALUE"""),"Negative")</f>
        <v>Negative</v>
      </c>
      <c r="H390" s="206" t="str">
        <f>IFERROR(__xludf.DUMMYFUNCTION("""COMPUTED_VALUE"""),"Negative")</f>
        <v>Negative</v>
      </c>
      <c r="I390" s="207">
        <f>IFERROR(__xludf.DUMMYFUNCTION("""COMPUTED_VALUE"""),44669.0)</f>
        <v>44669</v>
      </c>
      <c r="J390" s="208">
        <f>IFERROR(__xludf.DUMMYFUNCTION("""COMPUTED_VALUE"""),0.8201851851851852)</f>
        <v>0.8201851852</v>
      </c>
      <c r="K390" s="50"/>
      <c r="L390" s="6"/>
      <c r="M390" s="55"/>
      <c r="N390" s="55">
        <f>IFERROR(__xludf.DUMMYFUNCTION("""COMPUTED_VALUE"""),1.0)</f>
        <v>1</v>
      </c>
      <c r="O390" s="55" t="str">
        <f t="shared" si="3"/>
        <v/>
      </c>
      <c r="P390" s="209"/>
      <c r="Q390" s="75" t="str">
        <f>VLOOKUP($B390,'Run Reconcile'!B$2:P1679,15,FALSE)</f>
        <v/>
      </c>
      <c r="R390" s="211" t="str">
        <f t="array" ref="R390">IF($Q390, INDEX('Run Reconcile'!A$2:A1679,MATCH(B390,'Run Reconcile'!B$2:B1679,0),1),IFERROR(0/0,""))</f>
        <v/>
      </c>
      <c r="S390" s="165" t="str">
        <f t="shared" ref="S390:T390" si="779">IF(COUNTIF(W$2:W1679, $A390) &gt; 0,TRUE,IFERROR(0/0,""))</f>
        <v/>
      </c>
      <c r="T390" s="165" t="b">
        <f t="shared" si="779"/>
        <v>1</v>
      </c>
      <c r="U390" s="147" t="str">
        <f t="array" ref="U390">IF(ISBLANK($R390), IF($S390,VLOOKUP($B390+1,'RFR Data - preExcl'!$BF$2:$BG1679,2,FALSE),IF($T390,INDEX('RFR Data - preExcl'!$BF$2:$BG1679,MATCH($B390,'RFR Data - preExcl'!$BF$2:$BF1679,0)+1,2),VLOOKUP($B390,'RFR Data - preExcl'!$BF$2:$BG1679,2,FALSE))),IFERROR(0/0,""))</f>
        <v>RUN-COMB_2022-04-18_RFR-021</v>
      </c>
      <c r="V390" s="212" t="str">
        <f t="shared" si="5"/>
        <v>RUN-COMB_2022-04-18_RFR-021</v>
      </c>
      <c r="W390" s="51"/>
      <c r="X390" s="51" t="s">
        <v>553</v>
      </c>
      <c r="Y390" s="147" t="str">
        <f t="shared" ref="Y390:Z390" si="780">IF(_xlfn.ISFORMULA(S390),IFERROR(0/0,""),TRUE)</f>
        <v/>
      </c>
      <c r="Z390" s="147" t="str">
        <f t="shared" si="780"/>
        <v/>
      </c>
    </row>
    <row r="391">
      <c r="A391" s="6" t="str">
        <f>IFERROR(__xludf.DUMMYFUNCTION("""COMPUTED_VALUE"""),"FM4064")</f>
        <v>FM4064</v>
      </c>
      <c r="B391" s="206">
        <f>IFERROR(__xludf.DUMMYFUNCTION("""COMPUTED_VALUE"""),44669.0)</f>
        <v>44669</v>
      </c>
      <c r="C391" s="207">
        <f>IFERROR(__xludf.DUMMYFUNCTION("""COMPUTED_VALUE"""),0.7405671296296297)</f>
        <v>0.7405671296</v>
      </c>
      <c r="D391" s="50"/>
      <c r="E391" s="58"/>
      <c r="F391" s="58"/>
      <c r="G391" s="58" t="str">
        <f>IFERROR(__xludf.DUMMYFUNCTION("""COMPUTED_VALUE"""),"Negative")</f>
        <v>Negative</v>
      </c>
      <c r="H391" s="206" t="str">
        <f>IFERROR(__xludf.DUMMYFUNCTION("""COMPUTED_VALUE"""),"Negative")</f>
        <v>Negative</v>
      </c>
      <c r="I391" s="207">
        <f>IFERROR(__xludf.DUMMYFUNCTION("""COMPUTED_VALUE"""),44669.0)</f>
        <v>44669</v>
      </c>
      <c r="J391" s="208">
        <f>IFERROR(__xludf.DUMMYFUNCTION("""COMPUTED_VALUE"""),0.8201851851851852)</f>
        <v>0.8201851852</v>
      </c>
      <c r="K391" s="50"/>
      <c r="L391" s="6"/>
      <c r="M391" s="55"/>
      <c r="N391" s="55">
        <f>IFERROR(__xludf.DUMMYFUNCTION("""COMPUTED_VALUE"""),1.0)</f>
        <v>1</v>
      </c>
      <c r="O391" s="55" t="str">
        <f t="shared" si="3"/>
        <v/>
      </c>
      <c r="P391" s="209"/>
      <c r="Q391" s="75" t="str">
        <f>VLOOKUP($B391,'Run Reconcile'!B$2:P1679,15,FALSE)</f>
        <v/>
      </c>
      <c r="R391" s="211" t="str">
        <f t="array" ref="R391">IF($Q391, INDEX('Run Reconcile'!A$2:A1679,MATCH(B391,'Run Reconcile'!B$2:B1679,0),1),IFERROR(0/0,""))</f>
        <v/>
      </c>
      <c r="S391" s="165" t="str">
        <f t="shared" ref="S391:T391" si="781">IF(COUNTIF(W$2:W1679, $A391) &gt; 0,TRUE,IFERROR(0/0,""))</f>
        <v/>
      </c>
      <c r="T391" s="165" t="b">
        <f t="shared" si="781"/>
        <v>1</v>
      </c>
      <c r="U391" s="147" t="str">
        <f t="array" ref="U391">IF(ISBLANK($R391), IF($S391,VLOOKUP($B391+1,'RFR Data - preExcl'!$BF$2:$BG1679,2,FALSE),IF($T391,INDEX('RFR Data - preExcl'!$BF$2:$BG1679,MATCH($B391,'RFR Data - preExcl'!$BF$2:$BF1679,0)+1,2),VLOOKUP($B391,'RFR Data - preExcl'!$BF$2:$BG1679,2,FALSE))),IFERROR(0/0,""))</f>
        <v>RUN-COMB_2022-04-18_RFR-021</v>
      </c>
      <c r="V391" s="212" t="str">
        <f t="shared" si="5"/>
        <v>RUN-COMB_2022-04-18_RFR-021</v>
      </c>
      <c r="W391" s="51"/>
      <c r="X391" s="51" t="s">
        <v>554</v>
      </c>
      <c r="Y391" s="147" t="str">
        <f t="shared" ref="Y391:Z391" si="782">IF(_xlfn.ISFORMULA(S391),IFERROR(0/0,""),TRUE)</f>
        <v/>
      </c>
      <c r="Z391" s="147" t="str">
        <f t="shared" si="782"/>
        <v/>
      </c>
    </row>
    <row r="392">
      <c r="A392" s="6" t="str">
        <f>IFERROR(__xludf.DUMMYFUNCTION("""COMPUTED_VALUE"""),"FM4406")</f>
        <v>FM4406</v>
      </c>
      <c r="B392" s="206">
        <f>IFERROR(__xludf.DUMMYFUNCTION("""COMPUTED_VALUE"""),44669.0)</f>
        <v>44669</v>
      </c>
      <c r="C392" s="207">
        <f>IFERROR(__xludf.DUMMYFUNCTION("""COMPUTED_VALUE"""),0.7411574074074074)</f>
        <v>0.7411574074</v>
      </c>
      <c r="D392" s="50"/>
      <c r="E392" s="58"/>
      <c r="F392" s="58"/>
      <c r="G392" s="58" t="str">
        <f>IFERROR(__xludf.DUMMYFUNCTION("""COMPUTED_VALUE"""),"Negative")</f>
        <v>Negative</v>
      </c>
      <c r="H392" s="206" t="str">
        <f>IFERROR(__xludf.DUMMYFUNCTION("""COMPUTED_VALUE"""),"Negative")</f>
        <v>Negative</v>
      </c>
      <c r="I392" s="207">
        <f>IFERROR(__xludf.DUMMYFUNCTION("""COMPUTED_VALUE"""),44669.0)</f>
        <v>44669</v>
      </c>
      <c r="J392" s="208">
        <f>IFERROR(__xludf.DUMMYFUNCTION("""COMPUTED_VALUE"""),0.8201851851851852)</f>
        <v>0.8201851852</v>
      </c>
      <c r="K392" s="50"/>
      <c r="L392" s="6"/>
      <c r="M392" s="55"/>
      <c r="N392" s="55">
        <f>IFERROR(__xludf.DUMMYFUNCTION("""COMPUTED_VALUE"""),1.0)</f>
        <v>1</v>
      </c>
      <c r="O392" s="55" t="str">
        <f t="shared" si="3"/>
        <v/>
      </c>
      <c r="P392" s="209"/>
      <c r="Q392" s="75" t="str">
        <f>VLOOKUP($B392,'Run Reconcile'!B$2:P1679,15,FALSE)</f>
        <v/>
      </c>
      <c r="R392" s="211" t="str">
        <f t="array" ref="R392">IF($Q392, INDEX('Run Reconcile'!A$2:A1679,MATCH(B392,'Run Reconcile'!B$2:B1679,0),1),IFERROR(0/0,""))</f>
        <v/>
      </c>
      <c r="S392" s="165" t="str">
        <f t="shared" ref="S392:T392" si="783">IF(COUNTIF(W$2:W1679, $A392) &gt; 0,TRUE,IFERROR(0/0,""))</f>
        <v/>
      </c>
      <c r="T392" s="165" t="b">
        <f t="shared" si="783"/>
        <v>1</v>
      </c>
      <c r="U392" s="147" t="str">
        <f t="array" ref="U392">IF(ISBLANK($R392), IF($S392,VLOOKUP($B392+1,'RFR Data - preExcl'!$BF$2:$BG1679,2,FALSE),IF($T392,INDEX('RFR Data - preExcl'!$BF$2:$BG1679,MATCH($B392,'RFR Data - preExcl'!$BF$2:$BF1679,0)+1,2),VLOOKUP($B392,'RFR Data - preExcl'!$BF$2:$BG1679,2,FALSE))),IFERROR(0/0,""))</f>
        <v>RUN-COMB_2022-04-18_RFR-021</v>
      </c>
      <c r="V392" s="212" t="str">
        <f t="shared" si="5"/>
        <v>RUN-COMB_2022-04-18_RFR-021</v>
      </c>
      <c r="W392" s="51"/>
      <c r="X392" s="51" t="s">
        <v>555</v>
      </c>
      <c r="Y392" s="147" t="str">
        <f t="shared" ref="Y392:Z392" si="784">IF(_xlfn.ISFORMULA(S392),IFERROR(0/0,""),TRUE)</f>
        <v/>
      </c>
      <c r="Z392" s="147" t="str">
        <f t="shared" si="784"/>
        <v/>
      </c>
    </row>
    <row r="393">
      <c r="A393" s="6" t="str">
        <f>IFERROR(__xludf.DUMMYFUNCTION("""COMPUTED_VALUE"""),"FM4291")</f>
        <v>FM4291</v>
      </c>
      <c r="B393" s="206">
        <f>IFERROR(__xludf.DUMMYFUNCTION("""COMPUTED_VALUE"""),44669.0)</f>
        <v>44669</v>
      </c>
      <c r="C393" s="207">
        <f>IFERROR(__xludf.DUMMYFUNCTION("""COMPUTED_VALUE"""),0.7417361111111112)</f>
        <v>0.7417361111</v>
      </c>
      <c r="D393" s="50"/>
      <c r="E393" s="58"/>
      <c r="F393" s="58"/>
      <c r="G393" s="58" t="str">
        <f>IFERROR(__xludf.DUMMYFUNCTION("""COMPUTED_VALUE"""),"Negative")</f>
        <v>Negative</v>
      </c>
      <c r="H393" s="206" t="str">
        <f>IFERROR(__xludf.DUMMYFUNCTION("""COMPUTED_VALUE"""),"Negative")</f>
        <v>Negative</v>
      </c>
      <c r="I393" s="207">
        <f>IFERROR(__xludf.DUMMYFUNCTION("""COMPUTED_VALUE"""),44669.0)</f>
        <v>44669</v>
      </c>
      <c r="J393" s="208">
        <f>IFERROR(__xludf.DUMMYFUNCTION("""COMPUTED_VALUE"""),0.8201967592592593)</f>
        <v>0.8201967593</v>
      </c>
      <c r="K393" s="50"/>
      <c r="L393" s="6"/>
      <c r="M393" s="55"/>
      <c r="N393" s="55">
        <f>IFERROR(__xludf.DUMMYFUNCTION("""COMPUTED_VALUE"""),1.0)</f>
        <v>1</v>
      </c>
      <c r="O393" s="55" t="str">
        <f t="shared" si="3"/>
        <v/>
      </c>
      <c r="P393" s="209"/>
      <c r="Q393" s="75" t="str">
        <f>VLOOKUP($B393,'Run Reconcile'!B$2:P1679,15,FALSE)</f>
        <v/>
      </c>
      <c r="R393" s="211" t="str">
        <f t="array" ref="R393">IF($Q393, INDEX('Run Reconcile'!A$2:A1679,MATCH(B393,'Run Reconcile'!B$2:B1679,0),1),IFERROR(0/0,""))</f>
        <v/>
      </c>
      <c r="S393" s="165" t="str">
        <f t="shared" ref="S393:T393" si="785">IF(COUNTIF(W$2:W1679, $A393) &gt; 0,TRUE,IFERROR(0/0,""))</f>
        <v/>
      </c>
      <c r="T393" s="165" t="b">
        <f t="shared" si="785"/>
        <v>1</v>
      </c>
      <c r="U393" s="147" t="str">
        <f t="array" ref="U393">IF(ISBLANK($R393), IF($S393,VLOOKUP($B393+1,'RFR Data - preExcl'!$BF$2:$BG1679,2,FALSE),IF($T393,INDEX('RFR Data - preExcl'!$BF$2:$BG1679,MATCH($B393,'RFR Data - preExcl'!$BF$2:$BF1679,0)+1,2),VLOOKUP($B393,'RFR Data - preExcl'!$BF$2:$BG1679,2,FALSE))),IFERROR(0/0,""))</f>
        <v>RUN-COMB_2022-04-18_RFR-021</v>
      </c>
      <c r="V393" s="212" t="str">
        <f t="shared" si="5"/>
        <v>RUN-COMB_2022-04-18_RFR-021</v>
      </c>
      <c r="W393" s="51"/>
      <c r="X393" s="51" t="s">
        <v>556</v>
      </c>
      <c r="Y393" s="147" t="str">
        <f t="shared" ref="Y393:Z393" si="786">IF(_xlfn.ISFORMULA(S393),IFERROR(0/0,""),TRUE)</f>
        <v/>
      </c>
      <c r="Z393" s="147" t="str">
        <f t="shared" si="786"/>
        <v/>
      </c>
    </row>
    <row r="394">
      <c r="A394" s="6" t="str">
        <f>IFERROR(__xludf.DUMMYFUNCTION("""COMPUTED_VALUE"""),"FM4263")</f>
        <v>FM4263</v>
      </c>
      <c r="B394" s="206">
        <f>IFERROR(__xludf.DUMMYFUNCTION("""COMPUTED_VALUE"""),44669.0)</f>
        <v>44669</v>
      </c>
      <c r="C394" s="207">
        <f>IFERROR(__xludf.DUMMYFUNCTION("""COMPUTED_VALUE"""),0.7424421296296296)</f>
        <v>0.7424421296</v>
      </c>
      <c r="D394" s="50"/>
      <c r="E394" s="58"/>
      <c r="F394" s="58"/>
      <c r="G394" s="58" t="str">
        <f>IFERROR(__xludf.DUMMYFUNCTION("""COMPUTED_VALUE"""),"Negative")</f>
        <v>Negative</v>
      </c>
      <c r="H394" s="206" t="str">
        <f>IFERROR(__xludf.DUMMYFUNCTION("""COMPUTED_VALUE"""),"Negative")</f>
        <v>Negative</v>
      </c>
      <c r="I394" s="207">
        <f>IFERROR(__xludf.DUMMYFUNCTION("""COMPUTED_VALUE"""),44669.0)</f>
        <v>44669</v>
      </c>
      <c r="J394" s="208">
        <f>IFERROR(__xludf.DUMMYFUNCTION("""COMPUTED_VALUE"""),0.8202083333333333)</f>
        <v>0.8202083333</v>
      </c>
      <c r="K394" s="50"/>
      <c r="L394" s="6"/>
      <c r="M394" s="55"/>
      <c r="N394" s="55">
        <f>IFERROR(__xludf.DUMMYFUNCTION("""COMPUTED_VALUE"""),1.0)</f>
        <v>1</v>
      </c>
      <c r="O394" s="55" t="str">
        <f t="shared" si="3"/>
        <v/>
      </c>
      <c r="P394" s="209"/>
      <c r="Q394" s="75" t="str">
        <f>VLOOKUP($B394,'Run Reconcile'!B$2:P1679,15,FALSE)</f>
        <v/>
      </c>
      <c r="R394" s="211" t="str">
        <f t="array" ref="R394">IF($Q394, INDEX('Run Reconcile'!A$2:A1679,MATCH(B394,'Run Reconcile'!B$2:B1679,0),1),IFERROR(0/0,""))</f>
        <v/>
      </c>
      <c r="S394" s="165" t="str">
        <f t="shared" ref="S394:T394" si="787">IF(COUNTIF(W$2:W1679, $A394) &gt; 0,TRUE,IFERROR(0/0,""))</f>
        <v/>
      </c>
      <c r="T394" s="165" t="b">
        <f t="shared" si="787"/>
        <v>1</v>
      </c>
      <c r="U394" s="147" t="str">
        <f t="array" ref="U394">IF(ISBLANK($R394), IF($S394,VLOOKUP($B394+1,'RFR Data - preExcl'!$BF$2:$BG1679,2,FALSE),IF($T394,INDEX('RFR Data - preExcl'!$BF$2:$BG1679,MATCH($B394,'RFR Data - preExcl'!$BF$2:$BF1679,0)+1,2),VLOOKUP($B394,'RFR Data - preExcl'!$BF$2:$BG1679,2,FALSE))),IFERROR(0/0,""))</f>
        <v>RUN-COMB_2022-04-18_RFR-021</v>
      </c>
      <c r="V394" s="212" t="str">
        <f t="shared" si="5"/>
        <v>RUN-COMB_2022-04-18_RFR-021</v>
      </c>
      <c r="W394" s="51"/>
      <c r="X394" s="51" t="s">
        <v>557</v>
      </c>
      <c r="Y394" s="147" t="str">
        <f t="shared" ref="Y394:Z394" si="788">IF(_xlfn.ISFORMULA(S394),IFERROR(0/0,""),TRUE)</f>
        <v/>
      </c>
      <c r="Z394" s="147" t="str">
        <f t="shared" si="788"/>
        <v/>
      </c>
    </row>
    <row r="395">
      <c r="A395" s="6" t="str">
        <f>IFERROR(__xludf.DUMMYFUNCTION("""COMPUTED_VALUE"""),"FM4073")</f>
        <v>FM4073</v>
      </c>
      <c r="B395" s="206">
        <f>IFERROR(__xludf.DUMMYFUNCTION("""COMPUTED_VALUE"""),44669.0)</f>
        <v>44669</v>
      </c>
      <c r="C395" s="207">
        <f>IFERROR(__xludf.DUMMYFUNCTION("""COMPUTED_VALUE"""),0.7429398148148149)</f>
        <v>0.7429398148</v>
      </c>
      <c r="D395" s="50"/>
      <c r="E395" s="58"/>
      <c r="F395" s="58"/>
      <c r="G395" s="58" t="str">
        <f>IFERROR(__xludf.DUMMYFUNCTION("""COMPUTED_VALUE"""),"Negative")</f>
        <v>Negative</v>
      </c>
      <c r="H395" s="206" t="str">
        <f>IFERROR(__xludf.DUMMYFUNCTION("""COMPUTED_VALUE"""),"Negative")</f>
        <v>Negative</v>
      </c>
      <c r="I395" s="207">
        <f>IFERROR(__xludf.DUMMYFUNCTION("""COMPUTED_VALUE"""),44669.0)</f>
        <v>44669</v>
      </c>
      <c r="J395" s="208">
        <f>IFERROR(__xludf.DUMMYFUNCTION("""COMPUTED_VALUE"""),0.8202083333333333)</f>
        <v>0.8202083333</v>
      </c>
      <c r="K395" s="50"/>
      <c r="L395" s="6"/>
      <c r="M395" s="55"/>
      <c r="N395" s="55">
        <f>IFERROR(__xludf.DUMMYFUNCTION("""COMPUTED_VALUE"""),1.0)</f>
        <v>1</v>
      </c>
      <c r="O395" s="55" t="str">
        <f t="shared" si="3"/>
        <v/>
      </c>
      <c r="P395" s="209"/>
      <c r="Q395" s="75" t="str">
        <f>VLOOKUP($B395,'Run Reconcile'!B$2:P1679,15,FALSE)</f>
        <v/>
      </c>
      <c r="R395" s="211" t="str">
        <f t="array" ref="R395">IF($Q395, INDEX('Run Reconcile'!A$2:A1679,MATCH(B395,'Run Reconcile'!B$2:B1679,0),1),IFERROR(0/0,""))</f>
        <v/>
      </c>
      <c r="S395" s="165" t="str">
        <f t="shared" ref="S395:T395" si="789">IF(COUNTIF(W$2:W1679, $A395) &gt; 0,TRUE,IFERROR(0/0,""))</f>
        <v/>
      </c>
      <c r="T395" s="165" t="b">
        <f t="shared" si="789"/>
        <v>1</v>
      </c>
      <c r="U395" s="147" t="str">
        <f t="array" ref="U395">IF(ISBLANK($R395), IF($S395,VLOOKUP($B395+1,'RFR Data - preExcl'!$BF$2:$BG1679,2,FALSE),IF($T395,INDEX('RFR Data - preExcl'!$BF$2:$BG1679,MATCH($B395,'RFR Data - preExcl'!$BF$2:$BF1679,0)+1,2),VLOOKUP($B395,'RFR Data - preExcl'!$BF$2:$BG1679,2,FALSE))),IFERROR(0/0,""))</f>
        <v>RUN-COMB_2022-04-18_RFR-021</v>
      </c>
      <c r="V395" s="212" t="str">
        <f t="shared" si="5"/>
        <v>RUN-COMB_2022-04-18_RFR-021</v>
      </c>
      <c r="W395" s="51"/>
      <c r="X395" s="51" t="s">
        <v>558</v>
      </c>
      <c r="Y395" s="147" t="str">
        <f t="shared" ref="Y395:Z395" si="790">IF(_xlfn.ISFORMULA(S395),IFERROR(0/0,""),TRUE)</f>
        <v/>
      </c>
      <c r="Z395" s="147" t="str">
        <f t="shared" si="790"/>
        <v/>
      </c>
    </row>
    <row r="396">
      <c r="A396" s="6" t="str">
        <f>IFERROR(__xludf.DUMMYFUNCTION("""COMPUTED_VALUE"""),"FM4399")</f>
        <v>FM4399</v>
      </c>
      <c r="B396" s="206">
        <f>IFERROR(__xludf.DUMMYFUNCTION("""COMPUTED_VALUE"""),44669.0)</f>
        <v>44669</v>
      </c>
      <c r="C396" s="207">
        <f>IFERROR(__xludf.DUMMYFUNCTION("""COMPUTED_VALUE"""),0.7435416666666667)</f>
        <v>0.7435416667</v>
      </c>
      <c r="D396" s="50"/>
      <c r="E396" s="58"/>
      <c r="F396" s="58"/>
      <c r="G396" s="58" t="str">
        <f>IFERROR(__xludf.DUMMYFUNCTION("""COMPUTED_VALUE"""),"Negative")</f>
        <v>Negative</v>
      </c>
      <c r="H396" s="206" t="str">
        <f>IFERROR(__xludf.DUMMYFUNCTION("""COMPUTED_VALUE"""),"Negative")</f>
        <v>Negative</v>
      </c>
      <c r="I396" s="207">
        <f>IFERROR(__xludf.DUMMYFUNCTION("""COMPUTED_VALUE"""),44669.0)</f>
        <v>44669</v>
      </c>
      <c r="J396" s="208">
        <f>IFERROR(__xludf.DUMMYFUNCTION("""COMPUTED_VALUE"""),0.8202083333333333)</f>
        <v>0.8202083333</v>
      </c>
      <c r="K396" s="50"/>
      <c r="L396" s="6"/>
      <c r="M396" s="55"/>
      <c r="N396" s="55">
        <f>IFERROR(__xludf.DUMMYFUNCTION("""COMPUTED_VALUE"""),1.0)</f>
        <v>1</v>
      </c>
      <c r="O396" s="55" t="str">
        <f t="shared" si="3"/>
        <v/>
      </c>
      <c r="P396" s="209"/>
      <c r="Q396" s="75" t="str">
        <f>VLOOKUP($B396,'Run Reconcile'!B$2:P1679,15,FALSE)</f>
        <v/>
      </c>
      <c r="R396" s="211" t="str">
        <f t="array" ref="R396">IF($Q396, INDEX('Run Reconcile'!A$2:A1679,MATCH(B396,'Run Reconcile'!B$2:B1679,0),1),IFERROR(0/0,""))</f>
        <v/>
      </c>
      <c r="S396" s="165" t="str">
        <f t="shared" ref="S396:T396" si="791">IF(COUNTIF(W$2:W1679, $A396) &gt; 0,TRUE,IFERROR(0/0,""))</f>
        <v/>
      </c>
      <c r="T396" s="165" t="b">
        <f t="shared" si="791"/>
        <v>1</v>
      </c>
      <c r="U396" s="147" t="str">
        <f t="array" ref="U396">IF(ISBLANK($R396), IF($S396,VLOOKUP($B396+1,'RFR Data - preExcl'!$BF$2:$BG1679,2,FALSE),IF($T396,INDEX('RFR Data - preExcl'!$BF$2:$BG1679,MATCH($B396,'RFR Data - preExcl'!$BF$2:$BF1679,0)+1,2),VLOOKUP($B396,'RFR Data - preExcl'!$BF$2:$BG1679,2,FALSE))),IFERROR(0/0,""))</f>
        <v>RUN-COMB_2022-04-18_RFR-021</v>
      </c>
      <c r="V396" s="212" t="str">
        <f t="shared" si="5"/>
        <v>RUN-COMB_2022-04-18_RFR-021</v>
      </c>
      <c r="W396" s="51"/>
      <c r="X396" s="51" t="s">
        <v>559</v>
      </c>
      <c r="Y396" s="147" t="str">
        <f t="shared" ref="Y396:Z396" si="792">IF(_xlfn.ISFORMULA(S396),IFERROR(0/0,""),TRUE)</f>
        <v/>
      </c>
      <c r="Z396" s="147" t="str">
        <f t="shared" si="792"/>
        <v/>
      </c>
    </row>
    <row r="397">
      <c r="A397" s="6" t="str">
        <f>IFERROR(__xludf.DUMMYFUNCTION("""COMPUTED_VALUE"""),"FM4289")</f>
        <v>FM4289</v>
      </c>
      <c r="B397" s="206">
        <f>IFERROR(__xludf.DUMMYFUNCTION("""COMPUTED_VALUE"""),44669.0)</f>
        <v>44669</v>
      </c>
      <c r="C397" s="207">
        <f>IFERROR(__xludf.DUMMYFUNCTION("""COMPUTED_VALUE"""),0.7442013888888889)</f>
        <v>0.7442013889</v>
      </c>
      <c r="D397" s="50"/>
      <c r="E397" s="58"/>
      <c r="F397" s="58"/>
      <c r="G397" s="58" t="str">
        <f>IFERROR(__xludf.DUMMYFUNCTION("""COMPUTED_VALUE"""),"Negative")</f>
        <v>Negative</v>
      </c>
      <c r="H397" s="206" t="str">
        <f>IFERROR(__xludf.DUMMYFUNCTION("""COMPUTED_VALUE"""),"Negative")</f>
        <v>Negative</v>
      </c>
      <c r="I397" s="207">
        <f>IFERROR(__xludf.DUMMYFUNCTION("""COMPUTED_VALUE"""),44669.0)</f>
        <v>44669</v>
      </c>
      <c r="J397" s="208">
        <f>IFERROR(__xludf.DUMMYFUNCTION("""COMPUTED_VALUE"""),0.8202083333333333)</f>
        <v>0.8202083333</v>
      </c>
      <c r="K397" s="50"/>
      <c r="L397" s="6"/>
      <c r="M397" s="55"/>
      <c r="N397" s="55">
        <f>IFERROR(__xludf.DUMMYFUNCTION("""COMPUTED_VALUE"""),1.0)</f>
        <v>1</v>
      </c>
      <c r="O397" s="55" t="str">
        <f t="shared" si="3"/>
        <v/>
      </c>
      <c r="P397" s="209"/>
      <c r="Q397" s="75" t="str">
        <f>VLOOKUP($B397,'Run Reconcile'!B$2:P1679,15,FALSE)</f>
        <v/>
      </c>
      <c r="R397" s="211" t="str">
        <f t="array" ref="R397">IF($Q397, INDEX('Run Reconcile'!A$2:A1679,MATCH(B397,'Run Reconcile'!B$2:B1679,0),1),IFERROR(0/0,""))</f>
        <v/>
      </c>
      <c r="S397" s="165" t="str">
        <f t="shared" ref="S397:T397" si="793">IF(COUNTIF(W$2:W1679, $A397) &gt; 0,TRUE,IFERROR(0/0,""))</f>
        <v/>
      </c>
      <c r="T397" s="165" t="b">
        <f t="shared" si="793"/>
        <v>1</v>
      </c>
      <c r="U397" s="147" t="str">
        <f t="array" ref="U397">IF(ISBLANK($R397), IF($S397,VLOOKUP($B397+1,'RFR Data - preExcl'!$BF$2:$BG1679,2,FALSE),IF($T397,INDEX('RFR Data - preExcl'!$BF$2:$BG1679,MATCH($B397,'RFR Data - preExcl'!$BF$2:$BF1679,0)+1,2),VLOOKUP($B397,'RFR Data - preExcl'!$BF$2:$BG1679,2,FALSE))),IFERROR(0/0,""))</f>
        <v>RUN-COMB_2022-04-18_RFR-021</v>
      </c>
      <c r="V397" s="212" t="str">
        <f t="shared" si="5"/>
        <v>RUN-COMB_2022-04-18_RFR-021</v>
      </c>
      <c r="W397" s="51"/>
      <c r="X397" s="51" t="s">
        <v>560</v>
      </c>
      <c r="Y397" s="147" t="str">
        <f t="shared" ref="Y397:Z397" si="794">IF(_xlfn.ISFORMULA(S397),IFERROR(0/0,""),TRUE)</f>
        <v/>
      </c>
      <c r="Z397" s="147" t="str">
        <f t="shared" si="794"/>
        <v/>
      </c>
    </row>
    <row r="398">
      <c r="A398" s="6" t="str">
        <f>IFERROR(__xludf.DUMMYFUNCTION("""COMPUTED_VALUE"""),"FM4390")</f>
        <v>FM4390</v>
      </c>
      <c r="B398" s="206">
        <f>IFERROR(__xludf.DUMMYFUNCTION("""COMPUTED_VALUE"""),44669.0)</f>
        <v>44669</v>
      </c>
      <c r="C398" s="207">
        <f>IFERROR(__xludf.DUMMYFUNCTION("""COMPUTED_VALUE"""),0.7449421296296296)</f>
        <v>0.7449421296</v>
      </c>
      <c r="D398" s="50"/>
      <c r="E398" s="58"/>
      <c r="F398" s="58"/>
      <c r="G398" s="58" t="str">
        <f>IFERROR(__xludf.DUMMYFUNCTION("""COMPUTED_VALUE"""),"Negative")</f>
        <v>Negative</v>
      </c>
      <c r="H398" s="206" t="str">
        <f>IFERROR(__xludf.DUMMYFUNCTION("""COMPUTED_VALUE"""),"Negative")</f>
        <v>Negative</v>
      </c>
      <c r="I398" s="207">
        <f>IFERROR(__xludf.DUMMYFUNCTION("""COMPUTED_VALUE"""),44669.0)</f>
        <v>44669</v>
      </c>
      <c r="J398" s="208">
        <f>IFERROR(__xludf.DUMMYFUNCTION("""COMPUTED_VALUE"""),0.8202199074074074)</f>
        <v>0.8202199074</v>
      </c>
      <c r="K398" s="50"/>
      <c r="L398" s="6"/>
      <c r="M398" s="55"/>
      <c r="N398" s="55">
        <f>IFERROR(__xludf.DUMMYFUNCTION("""COMPUTED_VALUE"""),1.0)</f>
        <v>1</v>
      </c>
      <c r="O398" s="55" t="str">
        <f t="shared" si="3"/>
        <v/>
      </c>
      <c r="P398" s="209"/>
      <c r="Q398" s="75" t="str">
        <f>VLOOKUP($B398,'Run Reconcile'!B$2:P1679,15,FALSE)</f>
        <v/>
      </c>
      <c r="R398" s="211" t="str">
        <f t="array" ref="R398">IF($Q398, INDEX('Run Reconcile'!A$2:A1679,MATCH(B398,'Run Reconcile'!B$2:B1679,0),1),IFERROR(0/0,""))</f>
        <v/>
      </c>
      <c r="S398" s="165" t="str">
        <f t="shared" ref="S398:T398" si="795">IF(COUNTIF(W$2:W1679, $A398) &gt; 0,TRUE,IFERROR(0/0,""))</f>
        <v/>
      </c>
      <c r="T398" s="165" t="b">
        <f t="shared" si="795"/>
        <v>1</v>
      </c>
      <c r="U398" s="147" t="str">
        <f t="array" ref="U398">IF(ISBLANK($R398), IF($S398,VLOOKUP($B398+1,'RFR Data - preExcl'!$BF$2:$BG1679,2,FALSE),IF($T398,INDEX('RFR Data - preExcl'!$BF$2:$BG1679,MATCH($B398,'RFR Data - preExcl'!$BF$2:$BF1679,0)+1,2),VLOOKUP($B398,'RFR Data - preExcl'!$BF$2:$BG1679,2,FALSE))),IFERROR(0/0,""))</f>
        <v>RUN-COMB_2022-04-18_RFR-021</v>
      </c>
      <c r="V398" s="212" t="str">
        <f t="shared" si="5"/>
        <v>RUN-COMB_2022-04-18_RFR-021</v>
      </c>
      <c r="W398" s="51"/>
      <c r="X398" s="51" t="s">
        <v>561</v>
      </c>
      <c r="Y398" s="147" t="str">
        <f t="shared" ref="Y398:Z398" si="796">IF(_xlfn.ISFORMULA(S398),IFERROR(0/0,""),TRUE)</f>
        <v/>
      </c>
      <c r="Z398" s="147" t="str">
        <f t="shared" si="796"/>
        <v/>
      </c>
    </row>
    <row r="399">
      <c r="A399" s="6" t="str">
        <f>IFERROR(__xludf.DUMMYFUNCTION("""COMPUTED_VALUE"""),"FM4063")</f>
        <v>FM4063</v>
      </c>
      <c r="B399" s="206">
        <f>IFERROR(__xludf.DUMMYFUNCTION("""COMPUTED_VALUE"""),44669.0)</f>
        <v>44669</v>
      </c>
      <c r="C399" s="207">
        <f>IFERROR(__xludf.DUMMYFUNCTION("""COMPUTED_VALUE"""),0.7456018518518519)</f>
        <v>0.7456018519</v>
      </c>
      <c r="D399" s="50"/>
      <c r="E399" s="58"/>
      <c r="F399" s="58"/>
      <c r="G399" s="58" t="str">
        <f>IFERROR(__xludf.DUMMYFUNCTION("""COMPUTED_VALUE"""),"Negative")</f>
        <v>Negative</v>
      </c>
      <c r="H399" s="206" t="str">
        <f>IFERROR(__xludf.DUMMYFUNCTION("""COMPUTED_VALUE"""),"Negative")</f>
        <v>Negative</v>
      </c>
      <c r="I399" s="207">
        <f>IFERROR(__xludf.DUMMYFUNCTION("""COMPUTED_VALUE"""),44669.0)</f>
        <v>44669</v>
      </c>
      <c r="J399" s="208">
        <f>IFERROR(__xludf.DUMMYFUNCTION("""COMPUTED_VALUE"""),0.8202314814814815)</f>
        <v>0.8202314815</v>
      </c>
      <c r="K399" s="50"/>
      <c r="L399" s="6"/>
      <c r="M399" s="55"/>
      <c r="N399" s="55">
        <f>IFERROR(__xludf.DUMMYFUNCTION("""COMPUTED_VALUE"""),1.0)</f>
        <v>1</v>
      </c>
      <c r="O399" s="55" t="str">
        <f t="shared" si="3"/>
        <v/>
      </c>
      <c r="P399" s="209"/>
      <c r="Q399" s="75" t="str">
        <f>VLOOKUP($B399,'Run Reconcile'!B$2:P1679,15,FALSE)</f>
        <v/>
      </c>
      <c r="R399" s="211" t="str">
        <f t="array" ref="R399">IF($Q399, INDEX('Run Reconcile'!A$2:A1679,MATCH(B399,'Run Reconcile'!B$2:B1679,0),1),IFERROR(0/0,""))</f>
        <v/>
      </c>
      <c r="S399" s="165" t="str">
        <f t="shared" ref="S399:T399" si="797">IF(COUNTIF(W$2:W1679, $A399) &gt; 0,TRUE,IFERROR(0/0,""))</f>
        <v/>
      </c>
      <c r="T399" s="165" t="b">
        <f t="shared" si="797"/>
        <v>1</v>
      </c>
      <c r="U399" s="147" t="str">
        <f t="array" ref="U399">IF(ISBLANK($R399), IF($S399,VLOOKUP($B399+1,'RFR Data - preExcl'!$BF$2:$BG1679,2,FALSE),IF($T399,INDEX('RFR Data - preExcl'!$BF$2:$BG1679,MATCH($B399,'RFR Data - preExcl'!$BF$2:$BF1679,0)+1,2),VLOOKUP($B399,'RFR Data - preExcl'!$BF$2:$BG1679,2,FALSE))),IFERROR(0/0,""))</f>
        <v>RUN-COMB_2022-04-18_RFR-021</v>
      </c>
      <c r="V399" s="212" t="str">
        <f t="shared" si="5"/>
        <v>RUN-COMB_2022-04-18_RFR-021</v>
      </c>
      <c r="W399" s="51"/>
      <c r="X399" s="51" t="s">
        <v>562</v>
      </c>
      <c r="Y399" s="147" t="str">
        <f t="shared" ref="Y399:Z399" si="798">IF(_xlfn.ISFORMULA(S399),IFERROR(0/0,""),TRUE)</f>
        <v/>
      </c>
      <c r="Z399" s="147" t="str">
        <f t="shared" si="798"/>
        <v/>
      </c>
    </row>
    <row r="400">
      <c r="A400" s="6" t="str">
        <f>IFERROR(__xludf.DUMMYFUNCTION("""COMPUTED_VALUE"""),"FM4309")</f>
        <v>FM4309</v>
      </c>
      <c r="B400" s="206">
        <f>IFERROR(__xludf.DUMMYFUNCTION("""COMPUTED_VALUE"""),44669.0)</f>
        <v>44669</v>
      </c>
      <c r="C400" s="207">
        <f>IFERROR(__xludf.DUMMYFUNCTION("""COMPUTED_VALUE"""),0.7463425925925926)</f>
        <v>0.7463425926</v>
      </c>
      <c r="D400" s="50"/>
      <c r="E400" s="58"/>
      <c r="F400" s="58"/>
      <c r="G400" s="58" t="str">
        <f>IFERROR(__xludf.DUMMYFUNCTION("""COMPUTED_VALUE"""),"Negative")</f>
        <v>Negative</v>
      </c>
      <c r="H400" s="206" t="str">
        <f>IFERROR(__xludf.DUMMYFUNCTION("""COMPUTED_VALUE"""),"Negative")</f>
        <v>Negative</v>
      </c>
      <c r="I400" s="207">
        <f>IFERROR(__xludf.DUMMYFUNCTION("""COMPUTED_VALUE"""),44669.0)</f>
        <v>44669</v>
      </c>
      <c r="J400" s="208">
        <f>IFERROR(__xludf.DUMMYFUNCTION("""COMPUTED_VALUE"""),0.8202314814814815)</f>
        <v>0.8202314815</v>
      </c>
      <c r="K400" s="50"/>
      <c r="L400" s="6"/>
      <c r="M400" s="55"/>
      <c r="N400" s="55">
        <f>IFERROR(__xludf.DUMMYFUNCTION("""COMPUTED_VALUE"""),1.0)</f>
        <v>1</v>
      </c>
      <c r="O400" s="55" t="str">
        <f t="shared" si="3"/>
        <v/>
      </c>
      <c r="P400" s="209"/>
      <c r="Q400" s="75" t="str">
        <f>VLOOKUP($B400,'Run Reconcile'!B$2:P1679,15,FALSE)</f>
        <v/>
      </c>
      <c r="R400" s="211" t="str">
        <f t="array" ref="R400">IF($Q400, INDEX('Run Reconcile'!A$2:A1679,MATCH(B400,'Run Reconcile'!B$2:B1679,0),1),IFERROR(0/0,""))</f>
        <v/>
      </c>
      <c r="S400" s="165" t="str">
        <f t="shared" ref="S400:T400" si="799">IF(COUNTIF(W$2:W1679, $A400) &gt; 0,TRUE,IFERROR(0/0,""))</f>
        <v/>
      </c>
      <c r="T400" s="165" t="b">
        <f t="shared" si="799"/>
        <v>1</v>
      </c>
      <c r="U400" s="147" t="str">
        <f t="array" ref="U400">IF(ISBLANK($R400), IF($S400,VLOOKUP($B400+1,'RFR Data - preExcl'!$BF$2:$BG1679,2,FALSE),IF($T400,INDEX('RFR Data - preExcl'!$BF$2:$BG1679,MATCH($B400,'RFR Data - preExcl'!$BF$2:$BF1679,0)+1,2),VLOOKUP($B400,'RFR Data - preExcl'!$BF$2:$BG1679,2,FALSE))),IFERROR(0/0,""))</f>
        <v>RUN-COMB_2022-04-18_RFR-021</v>
      </c>
      <c r="V400" s="212" t="str">
        <f t="shared" si="5"/>
        <v>RUN-COMB_2022-04-18_RFR-021</v>
      </c>
      <c r="W400" s="51"/>
      <c r="X400" s="51" t="s">
        <v>563</v>
      </c>
      <c r="Y400" s="147" t="str">
        <f t="shared" ref="Y400:Z400" si="800">IF(_xlfn.ISFORMULA(S400),IFERROR(0/0,""),TRUE)</f>
        <v/>
      </c>
      <c r="Z400" s="147" t="str">
        <f t="shared" si="800"/>
        <v/>
      </c>
    </row>
    <row r="401">
      <c r="A401" s="6" t="str">
        <f>IFERROR(__xludf.DUMMYFUNCTION("""COMPUTED_VALUE"""),"FM4340")</f>
        <v>FM4340</v>
      </c>
      <c r="B401" s="206">
        <f>IFERROR(__xludf.DUMMYFUNCTION("""COMPUTED_VALUE"""),44669.0)</f>
        <v>44669</v>
      </c>
      <c r="C401" s="207">
        <f>IFERROR(__xludf.DUMMYFUNCTION("""COMPUTED_VALUE"""),0.7470138888888889)</f>
        <v>0.7470138889</v>
      </c>
      <c r="D401" s="50"/>
      <c r="E401" s="58"/>
      <c r="F401" s="58"/>
      <c r="G401" s="58" t="str">
        <f>IFERROR(__xludf.DUMMYFUNCTION("""COMPUTED_VALUE"""),"Negative")</f>
        <v>Negative</v>
      </c>
      <c r="H401" s="206" t="str">
        <f>IFERROR(__xludf.DUMMYFUNCTION("""COMPUTED_VALUE"""),"Negative")</f>
        <v>Negative</v>
      </c>
      <c r="I401" s="207">
        <f>IFERROR(__xludf.DUMMYFUNCTION("""COMPUTED_VALUE"""),44669.0)</f>
        <v>44669</v>
      </c>
      <c r="J401" s="208">
        <f>IFERROR(__xludf.DUMMYFUNCTION("""COMPUTED_VALUE"""),0.8202430555555555)</f>
        <v>0.8202430556</v>
      </c>
      <c r="K401" s="50"/>
      <c r="L401" s="6"/>
      <c r="M401" s="55"/>
      <c r="N401" s="55">
        <f>IFERROR(__xludf.DUMMYFUNCTION("""COMPUTED_VALUE"""),1.0)</f>
        <v>1</v>
      </c>
      <c r="O401" s="55" t="str">
        <f t="shared" si="3"/>
        <v/>
      </c>
      <c r="P401" s="209"/>
      <c r="Q401" s="75" t="str">
        <f>VLOOKUP($B401,'Run Reconcile'!B$2:P1679,15,FALSE)</f>
        <v/>
      </c>
      <c r="R401" s="211" t="str">
        <f t="array" ref="R401">IF($Q401, INDEX('Run Reconcile'!A$2:A1679,MATCH(B401,'Run Reconcile'!B$2:B1679,0),1),IFERROR(0/0,""))</f>
        <v/>
      </c>
      <c r="S401" s="165" t="str">
        <f t="shared" ref="S401:T401" si="801">IF(COUNTIF(W$2:W1679, $A401) &gt; 0,TRUE,IFERROR(0/0,""))</f>
        <v/>
      </c>
      <c r="T401" s="165" t="b">
        <f t="shared" si="801"/>
        <v>1</v>
      </c>
      <c r="U401" s="147" t="str">
        <f t="array" ref="U401">IF(ISBLANK($R401), IF($S401,VLOOKUP($B401+1,'RFR Data - preExcl'!$BF$2:$BG1679,2,FALSE),IF($T401,INDEX('RFR Data - preExcl'!$BF$2:$BG1679,MATCH($B401,'RFR Data - preExcl'!$BF$2:$BF1679,0)+1,2),VLOOKUP($B401,'RFR Data - preExcl'!$BF$2:$BG1679,2,FALSE))),IFERROR(0/0,""))</f>
        <v>RUN-COMB_2022-04-18_RFR-021</v>
      </c>
      <c r="V401" s="212" t="str">
        <f t="shared" si="5"/>
        <v>RUN-COMB_2022-04-18_RFR-021</v>
      </c>
      <c r="W401" s="51"/>
      <c r="X401" s="51" t="s">
        <v>564</v>
      </c>
      <c r="Y401" s="147" t="str">
        <f t="shared" ref="Y401:Z401" si="802">IF(_xlfn.ISFORMULA(S401),IFERROR(0/0,""),TRUE)</f>
        <v/>
      </c>
      <c r="Z401" s="147" t="str">
        <f t="shared" si="802"/>
        <v/>
      </c>
    </row>
    <row r="402">
      <c r="A402" s="6" t="str">
        <f>IFERROR(__xludf.DUMMYFUNCTION("""COMPUTED_VALUE"""),"FM4300")</f>
        <v>FM4300</v>
      </c>
      <c r="B402" s="206">
        <f>IFERROR(__xludf.DUMMYFUNCTION("""COMPUTED_VALUE"""),44669.0)</f>
        <v>44669</v>
      </c>
      <c r="C402" s="207">
        <f>IFERROR(__xludf.DUMMYFUNCTION("""COMPUTED_VALUE"""),0.7584375)</f>
        <v>0.7584375</v>
      </c>
      <c r="D402" s="50"/>
      <c r="E402" s="58"/>
      <c r="F402" s="58"/>
      <c r="G402" s="58" t="str">
        <f>IFERROR(__xludf.DUMMYFUNCTION("""COMPUTED_VALUE"""),"Negative")</f>
        <v>Negative</v>
      </c>
      <c r="H402" s="206" t="str">
        <f>IFERROR(__xludf.DUMMYFUNCTION("""COMPUTED_VALUE"""),"Negative")</f>
        <v>Negative</v>
      </c>
      <c r="I402" s="207">
        <f>IFERROR(__xludf.DUMMYFUNCTION("""COMPUTED_VALUE"""),44669.0)</f>
        <v>44669</v>
      </c>
      <c r="J402" s="208">
        <f>IFERROR(__xludf.DUMMYFUNCTION("""COMPUTED_VALUE"""),0.8202546296296296)</f>
        <v>0.8202546296</v>
      </c>
      <c r="K402" s="50"/>
      <c r="L402" s="6"/>
      <c r="M402" s="55"/>
      <c r="N402" s="55">
        <f>IFERROR(__xludf.DUMMYFUNCTION("""COMPUTED_VALUE"""),1.0)</f>
        <v>1</v>
      </c>
      <c r="O402" s="55" t="str">
        <f t="shared" si="3"/>
        <v/>
      </c>
      <c r="P402" s="209"/>
      <c r="Q402" s="75" t="str">
        <f>VLOOKUP($B402,'Run Reconcile'!B$2:P1679,15,FALSE)</f>
        <v/>
      </c>
      <c r="R402" s="211" t="str">
        <f t="array" ref="R402">IF($Q402, INDEX('Run Reconcile'!A$2:A1679,MATCH(B402,'Run Reconcile'!B$2:B1679,0),1),IFERROR(0/0,""))</f>
        <v/>
      </c>
      <c r="S402" s="165" t="str">
        <f t="shared" ref="S402:T402" si="803">IF(COUNTIF(W$2:W1679, $A402) &gt; 0,TRUE,IFERROR(0/0,""))</f>
        <v/>
      </c>
      <c r="T402" s="165" t="b">
        <f t="shared" si="803"/>
        <v>1</v>
      </c>
      <c r="U402" s="147" t="str">
        <f t="array" ref="U402">IF(ISBLANK($R402), IF($S402,VLOOKUP($B402+1,'RFR Data - preExcl'!$BF$2:$BG1679,2,FALSE),IF($T402,INDEX('RFR Data - preExcl'!$BF$2:$BG1679,MATCH($B402,'RFR Data - preExcl'!$BF$2:$BF1679,0)+1,2),VLOOKUP($B402,'RFR Data - preExcl'!$BF$2:$BG1679,2,FALSE))),IFERROR(0/0,""))</f>
        <v>RUN-COMB_2022-04-18_RFR-021</v>
      </c>
      <c r="V402" s="212" t="str">
        <f t="shared" si="5"/>
        <v>RUN-COMB_2022-04-18_RFR-021</v>
      </c>
      <c r="W402" s="51"/>
      <c r="X402" s="51" t="s">
        <v>565</v>
      </c>
      <c r="Y402" s="147" t="str">
        <f t="shared" ref="Y402:Z402" si="804">IF(_xlfn.ISFORMULA(S402),IFERROR(0/0,""),TRUE)</f>
        <v/>
      </c>
      <c r="Z402" s="147" t="str">
        <f t="shared" si="804"/>
        <v/>
      </c>
    </row>
    <row r="403">
      <c r="A403" s="6" t="str">
        <f>IFERROR(__xludf.DUMMYFUNCTION("""COMPUTED_VALUE"""),"FM4282")</f>
        <v>FM4282</v>
      </c>
      <c r="B403" s="206">
        <f>IFERROR(__xludf.DUMMYFUNCTION("""COMPUTED_VALUE"""),44669.0)</f>
        <v>44669</v>
      </c>
      <c r="C403" s="207">
        <f>IFERROR(__xludf.DUMMYFUNCTION("""COMPUTED_VALUE"""),0.7939699074074074)</f>
        <v>0.7939699074</v>
      </c>
      <c r="D403" s="50"/>
      <c r="E403" s="58"/>
      <c r="F403" s="58"/>
      <c r="G403" s="58" t="str">
        <f>IFERROR(__xludf.DUMMYFUNCTION("""COMPUTED_VALUE"""),"Negative")</f>
        <v>Negative</v>
      </c>
      <c r="H403" s="206" t="str">
        <f>IFERROR(__xludf.DUMMYFUNCTION("""COMPUTED_VALUE"""),"Negative")</f>
        <v>Negative</v>
      </c>
      <c r="I403" s="207">
        <f>IFERROR(__xludf.DUMMYFUNCTION("""COMPUTED_VALUE"""),44669.0)</f>
        <v>44669</v>
      </c>
      <c r="J403" s="208">
        <f>IFERROR(__xludf.DUMMYFUNCTION("""COMPUTED_VALUE"""),0.8202546296296296)</f>
        <v>0.8202546296</v>
      </c>
      <c r="K403" s="50"/>
      <c r="L403" s="6"/>
      <c r="M403" s="55"/>
      <c r="N403" s="55">
        <f>IFERROR(__xludf.DUMMYFUNCTION("""COMPUTED_VALUE"""),1.0)</f>
        <v>1</v>
      </c>
      <c r="O403" s="55" t="str">
        <f t="shared" si="3"/>
        <v/>
      </c>
      <c r="P403" s="209"/>
      <c r="Q403" s="75" t="str">
        <f>VLOOKUP($B403,'Run Reconcile'!B$2:P1679,15,FALSE)</f>
        <v/>
      </c>
      <c r="R403" s="211" t="str">
        <f t="array" ref="R403">IF($Q403, INDEX('Run Reconcile'!A$2:A1679,MATCH(B403,'Run Reconcile'!B$2:B1679,0),1),IFERROR(0/0,""))</f>
        <v/>
      </c>
      <c r="S403" s="165" t="str">
        <f t="shared" ref="S403:T403" si="805">IF(COUNTIF(W$2:W1679, $A403) &gt; 0,TRUE,IFERROR(0/0,""))</f>
        <v/>
      </c>
      <c r="T403" s="165" t="b">
        <f t="shared" si="805"/>
        <v>1</v>
      </c>
      <c r="U403" s="147" t="str">
        <f t="array" ref="U403">IF(ISBLANK($R403), IF($S403,VLOOKUP($B403+1,'RFR Data - preExcl'!$BF$2:$BG1679,2,FALSE),IF($T403,INDEX('RFR Data - preExcl'!$BF$2:$BG1679,MATCH($B403,'RFR Data - preExcl'!$BF$2:$BF1679,0)+1,2),VLOOKUP($B403,'RFR Data - preExcl'!$BF$2:$BG1679,2,FALSE))),IFERROR(0/0,""))</f>
        <v>RUN-COMB_2022-04-18_RFR-021</v>
      </c>
      <c r="V403" s="212" t="str">
        <f t="shared" si="5"/>
        <v>RUN-COMB_2022-04-18_RFR-021</v>
      </c>
      <c r="W403" s="51"/>
      <c r="X403" s="51" t="s">
        <v>566</v>
      </c>
      <c r="Y403" s="147" t="str">
        <f t="shared" ref="Y403:Z403" si="806">IF(_xlfn.ISFORMULA(S403),IFERROR(0/0,""),TRUE)</f>
        <v/>
      </c>
      <c r="Z403" s="147" t="str">
        <f t="shared" si="806"/>
        <v/>
      </c>
    </row>
    <row r="404">
      <c r="A404" s="6" t="str">
        <f>IFERROR(__xludf.DUMMYFUNCTION("""COMPUTED_VALUE"""),"FM4302")</f>
        <v>FM4302</v>
      </c>
      <c r="B404" s="206">
        <f>IFERROR(__xludf.DUMMYFUNCTION("""COMPUTED_VALUE"""),44670.0)</f>
        <v>44670</v>
      </c>
      <c r="C404" s="207">
        <f>IFERROR(__xludf.DUMMYFUNCTION("""COMPUTED_VALUE"""),0.29087962962962965)</f>
        <v>0.2908796296</v>
      </c>
      <c r="D404" s="50"/>
      <c r="E404" s="58"/>
      <c r="F404" s="58"/>
      <c r="G404" s="58" t="str">
        <f>IFERROR(__xludf.DUMMYFUNCTION("""COMPUTED_VALUE"""),"Negative")</f>
        <v>Negative</v>
      </c>
      <c r="H404" s="206" t="str">
        <f>IFERROR(__xludf.DUMMYFUNCTION("""COMPUTED_VALUE"""),"Negative")</f>
        <v>Negative</v>
      </c>
      <c r="I404" s="207">
        <f>IFERROR(__xludf.DUMMYFUNCTION("""COMPUTED_VALUE"""),44670.0)</f>
        <v>44670</v>
      </c>
      <c r="J404" s="208">
        <f>IFERROR(__xludf.DUMMYFUNCTION("""COMPUTED_VALUE"""),0.3947800925925926)</f>
        <v>0.3947800926</v>
      </c>
      <c r="K404" s="50"/>
      <c r="L404" s="6"/>
      <c r="M404" s="55"/>
      <c r="N404" s="55">
        <f>IFERROR(__xludf.DUMMYFUNCTION("""COMPUTED_VALUE"""),1.0)</f>
        <v>1</v>
      </c>
      <c r="O404" s="55" t="b">
        <f t="shared" si="3"/>
        <v>1</v>
      </c>
      <c r="P404" s="209"/>
      <c r="Q404" s="75" t="b">
        <f>VLOOKUP($B404,'Run Reconcile'!B$2:P1679,15,FALSE)</f>
        <v>1</v>
      </c>
      <c r="R404" s="211" t="str">
        <f t="array" ref="R404">IF($Q404, INDEX('Run Reconcile'!A$2:A1679,MATCH(B404,'Run Reconcile'!B$2:B1679,0),1),IFERROR(0/0,""))</f>
        <v>RUN-COMB_2022-04-19_RFR-022</v>
      </c>
      <c r="S404" s="165" t="str">
        <f t="shared" ref="S404:T404" si="807">IF(COUNTIF(W$2:W1679, $A404) &gt; 0,TRUE,IFERROR(0/0,""))</f>
        <v/>
      </c>
      <c r="T404" s="165" t="str">
        <f t="shared" si="807"/>
        <v/>
      </c>
      <c r="U404" s="147" t="str">
        <f t="array" ref="U404">IF(ISBLANK($R404), IF($S404,VLOOKUP($B404+1,'RFR Data - preExcl'!$BF$2:$BG1679,2,FALSE),IF($T404,INDEX('RFR Data - preExcl'!$BF$2:$BG1679,MATCH($B404,'RFR Data - preExcl'!$BF$2:$BF1679,0)+1,2),VLOOKUP($B404,'RFR Data - preExcl'!$BF$2:$BG1679,2,FALSE))),IFERROR(0/0,""))</f>
        <v/>
      </c>
      <c r="V404" s="212" t="str">
        <f t="shared" si="5"/>
        <v>RUN-COMB_2022-04-19_RFR-022</v>
      </c>
      <c r="W404" s="51"/>
      <c r="X404" s="51"/>
      <c r="Y404" s="147" t="str">
        <f t="shared" ref="Y404:Z404" si="808">IF(_xlfn.ISFORMULA(S404),IFERROR(0/0,""),TRUE)</f>
        <v/>
      </c>
      <c r="Z404" s="147" t="str">
        <f t="shared" si="808"/>
        <v/>
      </c>
    </row>
    <row r="405">
      <c r="A405" s="6" t="str">
        <f>IFERROR(__xludf.DUMMYFUNCTION("""COMPUTED_VALUE"""),"FM4077")</f>
        <v>FM4077</v>
      </c>
      <c r="B405" s="206">
        <f>IFERROR(__xludf.DUMMYFUNCTION("""COMPUTED_VALUE"""),44670.0)</f>
        <v>44670</v>
      </c>
      <c r="C405" s="207">
        <f>IFERROR(__xludf.DUMMYFUNCTION("""COMPUTED_VALUE"""),0.29128472222222224)</f>
        <v>0.2912847222</v>
      </c>
      <c r="D405" s="50"/>
      <c r="E405" s="58"/>
      <c r="F405" s="58"/>
      <c r="G405" s="58" t="str">
        <f>IFERROR(__xludf.DUMMYFUNCTION("""COMPUTED_VALUE"""),"Negative")</f>
        <v>Negative</v>
      </c>
      <c r="H405" s="206" t="str">
        <f>IFERROR(__xludf.DUMMYFUNCTION("""COMPUTED_VALUE"""),"Negative")</f>
        <v>Negative</v>
      </c>
      <c r="I405" s="207">
        <f>IFERROR(__xludf.DUMMYFUNCTION("""COMPUTED_VALUE"""),44670.0)</f>
        <v>44670</v>
      </c>
      <c r="J405" s="208">
        <f>IFERROR(__xludf.DUMMYFUNCTION("""COMPUTED_VALUE"""),0.3947800925925926)</f>
        <v>0.3947800926</v>
      </c>
      <c r="K405" s="50"/>
      <c r="L405" s="6"/>
      <c r="M405" s="55"/>
      <c r="N405" s="55">
        <f>IFERROR(__xludf.DUMMYFUNCTION("""COMPUTED_VALUE"""),1.0)</f>
        <v>1</v>
      </c>
      <c r="O405" s="55" t="str">
        <f t="shared" si="3"/>
        <v/>
      </c>
      <c r="P405" s="209"/>
      <c r="Q405" s="75" t="b">
        <f>VLOOKUP($B405,'Run Reconcile'!B$2:P1679,15,FALSE)</f>
        <v>1</v>
      </c>
      <c r="R405" s="211" t="str">
        <f t="array" ref="R405">IF($Q405, INDEX('Run Reconcile'!A$2:A1679,MATCH(B405,'Run Reconcile'!B$2:B1679,0),1),IFERROR(0/0,""))</f>
        <v>RUN-COMB_2022-04-19_RFR-022</v>
      </c>
      <c r="S405" s="165" t="str">
        <f t="shared" ref="S405:T405" si="809">IF(COUNTIF(W$2:W1679, $A405) &gt; 0,TRUE,IFERROR(0/0,""))</f>
        <v/>
      </c>
      <c r="T405" s="165" t="str">
        <f t="shared" si="809"/>
        <v/>
      </c>
      <c r="U405" s="147" t="str">
        <f t="array" ref="U405">IF(ISBLANK($R405), IF($S405,VLOOKUP($B405+1,'RFR Data - preExcl'!$BF$2:$BG1679,2,FALSE),IF($T405,INDEX('RFR Data - preExcl'!$BF$2:$BG1679,MATCH($B405,'RFR Data - preExcl'!$BF$2:$BF1679,0)+1,2),VLOOKUP($B405,'RFR Data - preExcl'!$BF$2:$BG1679,2,FALSE))),IFERROR(0/0,""))</f>
        <v/>
      </c>
      <c r="V405" s="212" t="str">
        <f t="shared" si="5"/>
        <v>RUN-COMB_2022-04-19_RFR-022</v>
      </c>
      <c r="W405" s="51"/>
      <c r="X405" s="51"/>
      <c r="Y405" s="147" t="str">
        <f t="shared" ref="Y405:Z405" si="810">IF(_xlfn.ISFORMULA(S405),IFERROR(0/0,""),TRUE)</f>
        <v/>
      </c>
      <c r="Z405" s="147" t="str">
        <f t="shared" si="810"/>
        <v/>
      </c>
    </row>
    <row r="406">
      <c r="A406" s="6" t="str">
        <f>IFERROR(__xludf.DUMMYFUNCTION("""COMPUTED_VALUE"""),"FM4261")</f>
        <v>FM4261</v>
      </c>
      <c r="B406" s="206">
        <f>IFERROR(__xludf.DUMMYFUNCTION("""COMPUTED_VALUE"""),44670.0)</f>
        <v>44670</v>
      </c>
      <c r="C406" s="207">
        <f>IFERROR(__xludf.DUMMYFUNCTION("""COMPUTED_VALUE"""),0.29163194444444446)</f>
        <v>0.2916319444</v>
      </c>
      <c r="D406" s="50"/>
      <c r="E406" s="58"/>
      <c r="F406" s="58"/>
      <c r="G406" s="58" t="str">
        <f>IFERROR(__xludf.DUMMYFUNCTION("""COMPUTED_VALUE"""),"Negative")</f>
        <v>Negative</v>
      </c>
      <c r="H406" s="206" t="str">
        <f>IFERROR(__xludf.DUMMYFUNCTION("""COMPUTED_VALUE"""),"Negative")</f>
        <v>Negative</v>
      </c>
      <c r="I406" s="207">
        <f>IFERROR(__xludf.DUMMYFUNCTION("""COMPUTED_VALUE"""),44670.0)</f>
        <v>44670</v>
      </c>
      <c r="J406" s="208">
        <f>IFERROR(__xludf.DUMMYFUNCTION("""COMPUTED_VALUE"""),0.3947800925925926)</f>
        <v>0.3947800926</v>
      </c>
      <c r="K406" s="50"/>
      <c r="L406" s="6"/>
      <c r="M406" s="55"/>
      <c r="N406" s="55">
        <f>IFERROR(__xludf.DUMMYFUNCTION("""COMPUTED_VALUE"""),1.0)</f>
        <v>1</v>
      </c>
      <c r="O406" s="55" t="str">
        <f t="shared" si="3"/>
        <v/>
      </c>
      <c r="P406" s="209"/>
      <c r="Q406" s="75" t="b">
        <f>VLOOKUP($B406,'Run Reconcile'!B$2:P1679,15,FALSE)</f>
        <v>1</v>
      </c>
      <c r="R406" s="211" t="str">
        <f t="array" ref="R406">IF($Q406, INDEX('Run Reconcile'!A$2:A1679,MATCH(B406,'Run Reconcile'!B$2:B1679,0),1),IFERROR(0/0,""))</f>
        <v>RUN-COMB_2022-04-19_RFR-022</v>
      </c>
      <c r="S406" s="165" t="str">
        <f t="shared" ref="S406:T406" si="811">IF(COUNTIF(W$2:W1679, $A406) &gt; 0,TRUE,IFERROR(0/0,""))</f>
        <v/>
      </c>
      <c r="T406" s="165" t="str">
        <f t="shared" si="811"/>
        <v/>
      </c>
      <c r="U406" s="147" t="str">
        <f t="array" ref="U406">IF(ISBLANK($R406), IF($S406,VLOOKUP($B406+1,'RFR Data - preExcl'!$BF$2:$BG1679,2,FALSE),IF($T406,INDEX('RFR Data - preExcl'!$BF$2:$BG1679,MATCH($B406,'RFR Data - preExcl'!$BF$2:$BF1679,0)+1,2),VLOOKUP($B406,'RFR Data - preExcl'!$BF$2:$BG1679,2,FALSE))),IFERROR(0/0,""))</f>
        <v/>
      </c>
      <c r="V406" s="212" t="str">
        <f t="shared" si="5"/>
        <v>RUN-COMB_2022-04-19_RFR-022</v>
      </c>
      <c r="W406" s="51"/>
      <c r="X406" s="51"/>
      <c r="Y406" s="147" t="str">
        <f t="shared" ref="Y406:Z406" si="812">IF(_xlfn.ISFORMULA(S406),IFERROR(0/0,""),TRUE)</f>
        <v/>
      </c>
      <c r="Z406" s="147" t="str">
        <f t="shared" si="812"/>
        <v/>
      </c>
    </row>
    <row r="407">
      <c r="A407" s="6" t="str">
        <f>IFERROR(__xludf.DUMMYFUNCTION("""COMPUTED_VALUE"""),"FM4287")</f>
        <v>FM4287</v>
      </c>
      <c r="B407" s="206">
        <f>IFERROR(__xludf.DUMMYFUNCTION("""COMPUTED_VALUE"""),44670.0)</f>
        <v>44670</v>
      </c>
      <c r="C407" s="207">
        <f>IFERROR(__xludf.DUMMYFUNCTION("""COMPUTED_VALUE"""),0.29226851851851854)</f>
        <v>0.2922685185</v>
      </c>
      <c r="D407" s="50"/>
      <c r="E407" s="58"/>
      <c r="F407" s="58"/>
      <c r="G407" s="58" t="str">
        <f>IFERROR(__xludf.DUMMYFUNCTION("""COMPUTED_VALUE"""),"Negative")</f>
        <v>Negative</v>
      </c>
      <c r="H407" s="206" t="str">
        <f>IFERROR(__xludf.DUMMYFUNCTION("""COMPUTED_VALUE"""),"Negative")</f>
        <v>Negative</v>
      </c>
      <c r="I407" s="207">
        <f>IFERROR(__xludf.DUMMYFUNCTION("""COMPUTED_VALUE"""),44670.0)</f>
        <v>44670</v>
      </c>
      <c r="J407" s="208">
        <f>IFERROR(__xludf.DUMMYFUNCTION("""COMPUTED_VALUE"""),0.39560185185185187)</f>
        <v>0.3956018519</v>
      </c>
      <c r="K407" s="50"/>
      <c r="L407" s="6"/>
      <c r="M407" s="55"/>
      <c r="N407" s="55">
        <f>IFERROR(__xludf.DUMMYFUNCTION("""COMPUTED_VALUE"""),1.0)</f>
        <v>1</v>
      </c>
      <c r="O407" s="55" t="str">
        <f t="shared" si="3"/>
        <v/>
      </c>
      <c r="P407" s="209"/>
      <c r="Q407" s="75" t="b">
        <f>VLOOKUP($B407,'Run Reconcile'!B$2:P1679,15,FALSE)</f>
        <v>1</v>
      </c>
      <c r="R407" s="211" t="str">
        <f t="array" ref="R407">IF($Q407, INDEX('Run Reconcile'!A$2:A1679,MATCH(B407,'Run Reconcile'!B$2:B1679,0),1),IFERROR(0/0,""))</f>
        <v>RUN-COMB_2022-04-19_RFR-022</v>
      </c>
      <c r="S407" s="165" t="str">
        <f t="shared" ref="S407:T407" si="813">IF(COUNTIF(W$2:W1679, $A407) &gt; 0,TRUE,IFERROR(0/0,""))</f>
        <v/>
      </c>
      <c r="T407" s="165" t="str">
        <f t="shared" si="813"/>
        <v/>
      </c>
      <c r="U407" s="147" t="str">
        <f t="array" ref="U407">IF(ISBLANK($R407), IF($S407,VLOOKUP($B407+1,'RFR Data - preExcl'!$BF$2:$BG1679,2,FALSE),IF($T407,INDEX('RFR Data - preExcl'!$BF$2:$BG1679,MATCH($B407,'RFR Data - preExcl'!$BF$2:$BF1679,0)+1,2),VLOOKUP($B407,'RFR Data - preExcl'!$BF$2:$BG1679,2,FALSE))),IFERROR(0/0,""))</f>
        <v/>
      </c>
      <c r="V407" s="212" t="str">
        <f t="shared" si="5"/>
        <v>RUN-COMB_2022-04-19_RFR-022</v>
      </c>
      <c r="W407" s="51"/>
      <c r="X407" s="51"/>
      <c r="Y407" s="147" t="str">
        <f t="shared" ref="Y407:Z407" si="814">IF(_xlfn.ISFORMULA(S407),IFERROR(0/0,""),TRUE)</f>
        <v/>
      </c>
      <c r="Z407" s="147" t="str">
        <f t="shared" si="814"/>
        <v/>
      </c>
    </row>
    <row r="408">
      <c r="A408" s="6" t="str">
        <f>IFERROR(__xludf.DUMMYFUNCTION("""COMPUTED_VALUE"""),"FM4319")</f>
        <v>FM4319</v>
      </c>
      <c r="B408" s="206">
        <f>IFERROR(__xludf.DUMMYFUNCTION("""COMPUTED_VALUE"""),44670.0)</f>
        <v>44670</v>
      </c>
      <c r="C408" s="207">
        <f>IFERROR(__xludf.DUMMYFUNCTION("""COMPUTED_VALUE"""),0.2928472222222222)</f>
        <v>0.2928472222</v>
      </c>
      <c r="D408" s="50"/>
      <c r="E408" s="58"/>
      <c r="F408" s="58"/>
      <c r="G408" s="58" t="str">
        <f>IFERROR(__xludf.DUMMYFUNCTION("""COMPUTED_VALUE"""),"Negative")</f>
        <v>Negative</v>
      </c>
      <c r="H408" s="206" t="str">
        <f>IFERROR(__xludf.DUMMYFUNCTION("""COMPUTED_VALUE"""),"Negative")</f>
        <v>Negative</v>
      </c>
      <c r="I408" s="207">
        <f>IFERROR(__xludf.DUMMYFUNCTION("""COMPUTED_VALUE"""),44670.0)</f>
        <v>44670</v>
      </c>
      <c r="J408" s="208">
        <f>IFERROR(__xludf.DUMMYFUNCTION("""COMPUTED_VALUE"""),0.39479166666666665)</f>
        <v>0.3947916667</v>
      </c>
      <c r="K408" s="50"/>
      <c r="L408" s="6"/>
      <c r="M408" s="55"/>
      <c r="N408" s="55">
        <f>IFERROR(__xludf.DUMMYFUNCTION("""COMPUTED_VALUE"""),1.0)</f>
        <v>1</v>
      </c>
      <c r="O408" s="55" t="str">
        <f t="shared" si="3"/>
        <v/>
      </c>
      <c r="P408" s="209"/>
      <c r="Q408" s="75" t="b">
        <f>VLOOKUP($B408,'Run Reconcile'!B$2:P1679,15,FALSE)</f>
        <v>1</v>
      </c>
      <c r="R408" s="211" t="str">
        <f t="array" ref="R408">IF($Q408, INDEX('Run Reconcile'!A$2:A1679,MATCH(B408,'Run Reconcile'!B$2:B1679,0),1),IFERROR(0/0,""))</f>
        <v>RUN-COMB_2022-04-19_RFR-022</v>
      </c>
      <c r="S408" s="165" t="str">
        <f t="shared" ref="S408:T408" si="815">IF(COUNTIF(W$2:W1679, $A408) &gt; 0,TRUE,IFERROR(0/0,""))</f>
        <v/>
      </c>
      <c r="T408" s="165" t="str">
        <f t="shared" si="815"/>
        <v/>
      </c>
      <c r="U408" s="147" t="str">
        <f t="array" ref="U408">IF(ISBLANK($R408), IF($S408,VLOOKUP($B408+1,'RFR Data - preExcl'!$BF$2:$BG1679,2,FALSE),IF($T408,INDEX('RFR Data - preExcl'!$BF$2:$BG1679,MATCH($B408,'RFR Data - preExcl'!$BF$2:$BF1679,0)+1,2),VLOOKUP($B408,'RFR Data - preExcl'!$BF$2:$BG1679,2,FALSE))),IFERROR(0/0,""))</f>
        <v/>
      </c>
      <c r="V408" s="212" t="str">
        <f t="shared" si="5"/>
        <v>RUN-COMB_2022-04-19_RFR-022</v>
      </c>
      <c r="W408" s="51"/>
      <c r="X408" s="51"/>
      <c r="Y408" s="147" t="str">
        <f t="shared" ref="Y408:Z408" si="816">IF(_xlfn.ISFORMULA(S408),IFERROR(0/0,""),TRUE)</f>
        <v/>
      </c>
      <c r="Z408" s="147" t="str">
        <f t="shared" si="816"/>
        <v/>
      </c>
    </row>
    <row r="409">
      <c r="A409" s="6" t="str">
        <f>IFERROR(__xludf.DUMMYFUNCTION("""COMPUTED_VALUE"""),"FM4313")</f>
        <v>FM4313</v>
      </c>
      <c r="B409" s="206">
        <f>IFERROR(__xludf.DUMMYFUNCTION("""COMPUTED_VALUE"""),44670.0)</f>
        <v>44670</v>
      </c>
      <c r="C409" s="207">
        <f>IFERROR(__xludf.DUMMYFUNCTION("""COMPUTED_VALUE"""),0.2931944444444444)</f>
        <v>0.2931944444</v>
      </c>
      <c r="D409" s="50"/>
      <c r="E409" s="58"/>
      <c r="F409" s="58"/>
      <c r="G409" s="58" t="str">
        <f>IFERROR(__xludf.DUMMYFUNCTION("""COMPUTED_VALUE"""),"Negative")</f>
        <v>Negative</v>
      </c>
      <c r="H409" s="206" t="str">
        <f>IFERROR(__xludf.DUMMYFUNCTION("""COMPUTED_VALUE"""),"Negative")</f>
        <v>Negative</v>
      </c>
      <c r="I409" s="207">
        <f>IFERROR(__xludf.DUMMYFUNCTION("""COMPUTED_VALUE"""),44670.0)</f>
        <v>44670</v>
      </c>
      <c r="J409" s="208">
        <f>IFERROR(__xludf.DUMMYFUNCTION("""COMPUTED_VALUE"""),0.39479166666666665)</f>
        <v>0.3947916667</v>
      </c>
      <c r="K409" s="50"/>
      <c r="L409" s="6"/>
      <c r="M409" s="55"/>
      <c r="N409" s="55">
        <f>IFERROR(__xludf.DUMMYFUNCTION("""COMPUTED_VALUE"""),1.0)</f>
        <v>1</v>
      </c>
      <c r="O409" s="55" t="str">
        <f t="shared" si="3"/>
        <v/>
      </c>
      <c r="P409" s="209"/>
      <c r="Q409" s="75" t="b">
        <f>VLOOKUP($B409,'Run Reconcile'!B$2:P1679,15,FALSE)</f>
        <v>1</v>
      </c>
      <c r="R409" s="211" t="str">
        <f t="array" ref="R409">IF($Q409, INDEX('Run Reconcile'!A$2:A1679,MATCH(B409,'Run Reconcile'!B$2:B1679,0),1),IFERROR(0/0,""))</f>
        <v>RUN-COMB_2022-04-19_RFR-022</v>
      </c>
      <c r="S409" s="165" t="str">
        <f t="shared" ref="S409:T409" si="817">IF(COUNTIF(W$2:W1679, $A409) &gt; 0,TRUE,IFERROR(0/0,""))</f>
        <v/>
      </c>
      <c r="T409" s="165" t="str">
        <f t="shared" si="817"/>
        <v/>
      </c>
      <c r="U409" s="147" t="str">
        <f t="array" ref="U409">IF(ISBLANK($R409), IF($S409,VLOOKUP($B409+1,'RFR Data - preExcl'!$BF$2:$BG1679,2,FALSE),IF($T409,INDEX('RFR Data - preExcl'!$BF$2:$BG1679,MATCH($B409,'RFR Data - preExcl'!$BF$2:$BF1679,0)+1,2),VLOOKUP($B409,'RFR Data - preExcl'!$BF$2:$BG1679,2,FALSE))),IFERROR(0/0,""))</f>
        <v/>
      </c>
      <c r="V409" s="212" t="str">
        <f t="shared" si="5"/>
        <v>RUN-COMB_2022-04-19_RFR-022</v>
      </c>
      <c r="W409" s="51"/>
      <c r="X409" s="51"/>
      <c r="Y409" s="147" t="str">
        <f t="shared" ref="Y409:Z409" si="818">IF(_xlfn.ISFORMULA(S409),IFERROR(0/0,""),TRUE)</f>
        <v/>
      </c>
      <c r="Z409" s="147" t="str">
        <f t="shared" si="818"/>
        <v/>
      </c>
    </row>
    <row r="410">
      <c r="A410" s="6" t="str">
        <f>IFERROR(__xludf.DUMMYFUNCTION("""COMPUTED_VALUE"""),"FM4065")</f>
        <v>FM4065</v>
      </c>
      <c r="B410" s="206">
        <f>IFERROR(__xludf.DUMMYFUNCTION("""COMPUTED_VALUE"""),44670.0)</f>
        <v>44670</v>
      </c>
      <c r="C410" s="207">
        <f>IFERROR(__xludf.DUMMYFUNCTION("""COMPUTED_VALUE"""),0.29364583333333333)</f>
        <v>0.2936458333</v>
      </c>
      <c r="D410" s="50"/>
      <c r="E410" s="58"/>
      <c r="F410" s="58"/>
      <c r="G410" s="58" t="str">
        <f>IFERROR(__xludf.DUMMYFUNCTION("""COMPUTED_VALUE"""),"Negative")</f>
        <v>Negative</v>
      </c>
      <c r="H410" s="206" t="str">
        <f>IFERROR(__xludf.DUMMYFUNCTION("""COMPUTED_VALUE"""),"Negative")</f>
        <v>Negative</v>
      </c>
      <c r="I410" s="207">
        <f>IFERROR(__xludf.DUMMYFUNCTION("""COMPUTED_VALUE"""),44670.0)</f>
        <v>44670</v>
      </c>
      <c r="J410" s="208">
        <f>IFERROR(__xludf.DUMMYFUNCTION("""COMPUTED_VALUE"""),0.39479166666666665)</f>
        <v>0.3947916667</v>
      </c>
      <c r="K410" s="50"/>
      <c r="L410" s="6"/>
      <c r="M410" s="55"/>
      <c r="N410" s="55">
        <f>IFERROR(__xludf.DUMMYFUNCTION("""COMPUTED_VALUE"""),1.0)</f>
        <v>1</v>
      </c>
      <c r="O410" s="55" t="str">
        <f t="shared" si="3"/>
        <v/>
      </c>
      <c r="P410" s="209"/>
      <c r="Q410" s="75" t="b">
        <f>VLOOKUP($B410,'Run Reconcile'!B$2:P1679,15,FALSE)</f>
        <v>1</v>
      </c>
      <c r="R410" s="211" t="str">
        <f t="array" ref="R410">IF($Q410, INDEX('Run Reconcile'!A$2:A1679,MATCH(B410,'Run Reconcile'!B$2:B1679,0),1),IFERROR(0/0,""))</f>
        <v>RUN-COMB_2022-04-19_RFR-022</v>
      </c>
      <c r="S410" s="165" t="str">
        <f t="shared" ref="S410:T410" si="819">IF(COUNTIF(W$2:W1679, $A410) &gt; 0,TRUE,IFERROR(0/0,""))</f>
        <v/>
      </c>
      <c r="T410" s="165" t="str">
        <f t="shared" si="819"/>
        <v/>
      </c>
      <c r="U410" s="147" t="str">
        <f t="array" ref="U410">IF(ISBLANK($R410), IF($S410,VLOOKUP($B410+1,'RFR Data - preExcl'!$BF$2:$BG1679,2,FALSE),IF($T410,INDEX('RFR Data - preExcl'!$BF$2:$BG1679,MATCH($B410,'RFR Data - preExcl'!$BF$2:$BF1679,0)+1,2),VLOOKUP($B410,'RFR Data - preExcl'!$BF$2:$BG1679,2,FALSE))),IFERROR(0/0,""))</f>
        <v/>
      </c>
      <c r="V410" s="212" t="str">
        <f t="shared" si="5"/>
        <v>RUN-COMB_2022-04-19_RFR-022</v>
      </c>
      <c r="W410" s="51"/>
      <c r="X410" s="51"/>
      <c r="Y410" s="147" t="str">
        <f t="shared" ref="Y410:Z410" si="820">IF(_xlfn.ISFORMULA(S410),IFERROR(0/0,""),TRUE)</f>
        <v/>
      </c>
      <c r="Z410" s="147" t="str">
        <f t="shared" si="820"/>
        <v/>
      </c>
    </row>
    <row r="411">
      <c r="A411" s="6" t="str">
        <f>IFERROR(__xludf.DUMMYFUNCTION("""COMPUTED_VALUE"""),"FM4327")</f>
        <v>FM4327</v>
      </c>
      <c r="B411" s="206">
        <f>IFERROR(__xludf.DUMMYFUNCTION("""COMPUTED_VALUE"""),44670.0)</f>
        <v>44670</v>
      </c>
      <c r="C411" s="207">
        <f>IFERROR(__xludf.DUMMYFUNCTION("""COMPUTED_VALUE"""),0.2940740740740741)</f>
        <v>0.2940740741</v>
      </c>
      <c r="D411" s="50"/>
      <c r="E411" s="58"/>
      <c r="F411" s="58"/>
      <c r="G411" s="58" t="str">
        <f>IFERROR(__xludf.DUMMYFUNCTION("""COMPUTED_VALUE"""),"Negative")</f>
        <v>Negative</v>
      </c>
      <c r="H411" s="206" t="str">
        <f>IFERROR(__xludf.DUMMYFUNCTION("""COMPUTED_VALUE"""),"Negative")</f>
        <v>Negative</v>
      </c>
      <c r="I411" s="207">
        <f>IFERROR(__xludf.DUMMYFUNCTION("""COMPUTED_VALUE"""),44670.0)</f>
        <v>44670</v>
      </c>
      <c r="J411" s="208">
        <f>IFERROR(__xludf.DUMMYFUNCTION("""COMPUTED_VALUE"""),0.39480324074074075)</f>
        <v>0.3948032407</v>
      </c>
      <c r="K411" s="50"/>
      <c r="L411" s="6"/>
      <c r="M411" s="55"/>
      <c r="N411" s="55">
        <f>IFERROR(__xludf.DUMMYFUNCTION("""COMPUTED_VALUE"""),1.0)</f>
        <v>1</v>
      </c>
      <c r="O411" s="55" t="str">
        <f t="shared" si="3"/>
        <v/>
      </c>
      <c r="P411" s="209"/>
      <c r="Q411" s="75" t="b">
        <f>VLOOKUP($B411,'Run Reconcile'!B$2:P1679,15,FALSE)</f>
        <v>1</v>
      </c>
      <c r="R411" s="211" t="str">
        <f t="array" ref="R411">IF($Q411, INDEX('Run Reconcile'!A$2:A1679,MATCH(B411,'Run Reconcile'!B$2:B1679,0),1),IFERROR(0/0,""))</f>
        <v>RUN-COMB_2022-04-19_RFR-022</v>
      </c>
      <c r="S411" s="165" t="str">
        <f t="shared" ref="S411:T411" si="821">IF(COUNTIF(W$2:W1679, $A411) &gt; 0,TRUE,IFERROR(0/0,""))</f>
        <v/>
      </c>
      <c r="T411" s="165" t="str">
        <f t="shared" si="821"/>
        <v/>
      </c>
      <c r="U411" s="147" t="str">
        <f t="array" ref="U411">IF(ISBLANK($R411), IF($S411,VLOOKUP($B411+1,'RFR Data - preExcl'!$BF$2:$BG1679,2,FALSE),IF($T411,INDEX('RFR Data - preExcl'!$BF$2:$BG1679,MATCH($B411,'RFR Data - preExcl'!$BF$2:$BF1679,0)+1,2),VLOOKUP($B411,'RFR Data - preExcl'!$BF$2:$BG1679,2,FALSE))),IFERROR(0/0,""))</f>
        <v/>
      </c>
      <c r="V411" s="212" t="str">
        <f t="shared" si="5"/>
        <v>RUN-COMB_2022-04-19_RFR-022</v>
      </c>
      <c r="W411" s="51"/>
      <c r="X411" s="51"/>
      <c r="Y411" s="147" t="str">
        <f t="shared" ref="Y411:Z411" si="822">IF(_xlfn.ISFORMULA(S411),IFERROR(0/0,""),TRUE)</f>
        <v/>
      </c>
      <c r="Z411" s="147" t="str">
        <f t="shared" si="822"/>
        <v/>
      </c>
    </row>
    <row r="412">
      <c r="A412" s="6" t="str">
        <f>IFERROR(__xludf.DUMMYFUNCTION("""COMPUTED_VALUE"""),"FM4323")</f>
        <v>FM4323</v>
      </c>
      <c r="B412" s="206">
        <f>IFERROR(__xludf.DUMMYFUNCTION("""COMPUTED_VALUE"""),44670.0)</f>
        <v>44670</v>
      </c>
      <c r="C412" s="207">
        <f>IFERROR(__xludf.DUMMYFUNCTION("""COMPUTED_VALUE"""),0.29453703703703704)</f>
        <v>0.294537037</v>
      </c>
      <c r="D412" s="50"/>
      <c r="E412" s="58"/>
      <c r="F412" s="58"/>
      <c r="G412" s="58" t="str">
        <f>IFERROR(__xludf.DUMMYFUNCTION("""COMPUTED_VALUE"""),"Negative")</f>
        <v>Negative</v>
      </c>
      <c r="H412" s="206" t="str">
        <f>IFERROR(__xludf.DUMMYFUNCTION("""COMPUTED_VALUE"""),"Negative")</f>
        <v>Negative</v>
      </c>
      <c r="I412" s="207">
        <f>IFERROR(__xludf.DUMMYFUNCTION("""COMPUTED_VALUE"""),44670.0)</f>
        <v>44670</v>
      </c>
      <c r="J412" s="208">
        <f>IFERROR(__xludf.DUMMYFUNCTION("""COMPUTED_VALUE"""),0.39480324074074075)</f>
        <v>0.3948032407</v>
      </c>
      <c r="K412" s="50"/>
      <c r="L412" s="6"/>
      <c r="M412" s="55"/>
      <c r="N412" s="55">
        <f>IFERROR(__xludf.DUMMYFUNCTION("""COMPUTED_VALUE"""),1.0)</f>
        <v>1</v>
      </c>
      <c r="O412" s="55" t="str">
        <f t="shared" si="3"/>
        <v/>
      </c>
      <c r="P412" s="209"/>
      <c r="Q412" s="75" t="b">
        <f>VLOOKUP($B412,'Run Reconcile'!B$2:P1679,15,FALSE)</f>
        <v>1</v>
      </c>
      <c r="R412" s="211" t="str">
        <f t="array" ref="R412">IF($Q412, INDEX('Run Reconcile'!A$2:A1679,MATCH(B412,'Run Reconcile'!B$2:B1679,0),1),IFERROR(0/0,""))</f>
        <v>RUN-COMB_2022-04-19_RFR-022</v>
      </c>
      <c r="S412" s="165" t="str">
        <f t="shared" ref="S412:T412" si="823">IF(COUNTIF(W$2:W1679, $A412) &gt; 0,TRUE,IFERROR(0/0,""))</f>
        <v/>
      </c>
      <c r="T412" s="165" t="str">
        <f t="shared" si="823"/>
        <v/>
      </c>
      <c r="U412" s="147" t="str">
        <f t="array" ref="U412">IF(ISBLANK($R412), IF($S412,VLOOKUP($B412+1,'RFR Data - preExcl'!$BF$2:$BG1679,2,FALSE),IF($T412,INDEX('RFR Data - preExcl'!$BF$2:$BG1679,MATCH($B412,'RFR Data - preExcl'!$BF$2:$BF1679,0)+1,2),VLOOKUP($B412,'RFR Data - preExcl'!$BF$2:$BG1679,2,FALSE))),IFERROR(0/0,""))</f>
        <v/>
      </c>
      <c r="V412" s="212" t="str">
        <f t="shared" si="5"/>
        <v>RUN-COMB_2022-04-19_RFR-022</v>
      </c>
      <c r="W412" s="51"/>
      <c r="X412" s="51"/>
      <c r="Y412" s="147" t="str">
        <f t="shared" ref="Y412:Z412" si="824">IF(_xlfn.ISFORMULA(S412),IFERROR(0/0,""),TRUE)</f>
        <v/>
      </c>
      <c r="Z412" s="147" t="str">
        <f t="shared" si="824"/>
        <v/>
      </c>
    </row>
    <row r="413">
      <c r="A413" s="6" t="str">
        <f>IFERROR(__xludf.DUMMYFUNCTION("""COMPUTED_VALUE"""),"FM4264")</f>
        <v>FM4264</v>
      </c>
      <c r="B413" s="206">
        <f>IFERROR(__xludf.DUMMYFUNCTION("""COMPUTED_VALUE"""),44670.0)</f>
        <v>44670</v>
      </c>
      <c r="C413" s="207">
        <f>IFERROR(__xludf.DUMMYFUNCTION("""COMPUTED_VALUE"""),0.29493055555555553)</f>
        <v>0.2949305556</v>
      </c>
      <c r="D413" s="50"/>
      <c r="E413" s="58"/>
      <c r="F413" s="58"/>
      <c r="G413" s="58" t="str">
        <f>IFERROR(__xludf.DUMMYFUNCTION("""COMPUTED_VALUE"""),"Negative")</f>
        <v>Negative</v>
      </c>
      <c r="H413" s="206" t="str">
        <f>IFERROR(__xludf.DUMMYFUNCTION("""COMPUTED_VALUE"""),"Negative")</f>
        <v>Negative</v>
      </c>
      <c r="I413" s="207">
        <f>IFERROR(__xludf.DUMMYFUNCTION("""COMPUTED_VALUE"""),44670.0)</f>
        <v>44670</v>
      </c>
      <c r="J413" s="208">
        <f>IFERROR(__xludf.DUMMYFUNCTION("""COMPUTED_VALUE"""),0.39480324074074075)</f>
        <v>0.3948032407</v>
      </c>
      <c r="K413" s="50"/>
      <c r="L413" s="6"/>
      <c r="M413" s="55"/>
      <c r="N413" s="55">
        <f>IFERROR(__xludf.DUMMYFUNCTION("""COMPUTED_VALUE"""),1.0)</f>
        <v>1</v>
      </c>
      <c r="O413" s="55" t="str">
        <f t="shared" si="3"/>
        <v/>
      </c>
      <c r="P413" s="209"/>
      <c r="Q413" s="75" t="b">
        <f>VLOOKUP($B413,'Run Reconcile'!B$2:P1679,15,FALSE)</f>
        <v>1</v>
      </c>
      <c r="R413" s="211" t="str">
        <f t="array" ref="R413">IF($Q413, INDEX('Run Reconcile'!A$2:A1679,MATCH(B413,'Run Reconcile'!B$2:B1679,0),1),IFERROR(0/0,""))</f>
        <v>RUN-COMB_2022-04-19_RFR-022</v>
      </c>
      <c r="S413" s="165" t="str">
        <f t="shared" ref="S413:T413" si="825">IF(COUNTIF(W$2:W1679, $A413) &gt; 0,TRUE,IFERROR(0/0,""))</f>
        <v/>
      </c>
      <c r="T413" s="165" t="str">
        <f t="shared" si="825"/>
        <v/>
      </c>
      <c r="U413" s="147" t="str">
        <f t="array" ref="U413">IF(ISBLANK($R413), IF($S413,VLOOKUP($B413+1,'RFR Data - preExcl'!$BF$2:$BG1679,2,FALSE),IF($T413,INDEX('RFR Data - preExcl'!$BF$2:$BG1679,MATCH($B413,'RFR Data - preExcl'!$BF$2:$BF1679,0)+1,2),VLOOKUP($B413,'RFR Data - preExcl'!$BF$2:$BG1679,2,FALSE))),IFERROR(0/0,""))</f>
        <v/>
      </c>
      <c r="V413" s="212" t="str">
        <f t="shared" si="5"/>
        <v>RUN-COMB_2022-04-19_RFR-022</v>
      </c>
      <c r="W413" s="51"/>
      <c r="X413" s="51"/>
      <c r="Y413" s="147" t="str">
        <f t="shared" ref="Y413:Z413" si="826">IF(_xlfn.ISFORMULA(S413),IFERROR(0/0,""),TRUE)</f>
        <v/>
      </c>
      <c r="Z413" s="147" t="str">
        <f t="shared" si="826"/>
        <v/>
      </c>
    </row>
    <row r="414">
      <c r="A414" s="6" t="str">
        <f>IFERROR(__xludf.DUMMYFUNCTION("""COMPUTED_VALUE"""),"FM4078")</f>
        <v>FM4078</v>
      </c>
      <c r="B414" s="206">
        <f>IFERROR(__xludf.DUMMYFUNCTION("""COMPUTED_VALUE"""),44670.0)</f>
        <v>44670</v>
      </c>
      <c r="C414" s="207">
        <f>IFERROR(__xludf.DUMMYFUNCTION("""COMPUTED_VALUE"""),0.2953472222222222)</f>
        <v>0.2953472222</v>
      </c>
      <c r="D414" s="50"/>
      <c r="E414" s="58"/>
      <c r="F414" s="58"/>
      <c r="G414" s="58" t="str">
        <f>IFERROR(__xludf.DUMMYFUNCTION("""COMPUTED_VALUE"""),"Negative")</f>
        <v>Negative</v>
      </c>
      <c r="H414" s="206" t="str">
        <f>IFERROR(__xludf.DUMMYFUNCTION("""COMPUTED_VALUE"""),"Negative")</f>
        <v>Negative</v>
      </c>
      <c r="I414" s="207">
        <f>IFERROR(__xludf.DUMMYFUNCTION("""COMPUTED_VALUE"""),44670.0)</f>
        <v>44670</v>
      </c>
      <c r="J414" s="208">
        <f>IFERROR(__xludf.DUMMYFUNCTION("""COMPUTED_VALUE"""),0.39481481481481484)</f>
        <v>0.3948148148</v>
      </c>
      <c r="K414" s="50"/>
      <c r="L414" s="6"/>
      <c r="M414" s="55"/>
      <c r="N414" s="55">
        <f>IFERROR(__xludf.DUMMYFUNCTION("""COMPUTED_VALUE"""),1.0)</f>
        <v>1</v>
      </c>
      <c r="O414" s="55" t="str">
        <f t="shared" si="3"/>
        <v/>
      </c>
      <c r="P414" s="209"/>
      <c r="Q414" s="75" t="b">
        <f>VLOOKUP($B414,'Run Reconcile'!B$2:P1679,15,FALSE)</f>
        <v>1</v>
      </c>
      <c r="R414" s="211" t="str">
        <f t="array" ref="R414">IF($Q414, INDEX('Run Reconcile'!A$2:A1679,MATCH(B414,'Run Reconcile'!B$2:B1679,0),1),IFERROR(0/0,""))</f>
        <v>RUN-COMB_2022-04-19_RFR-022</v>
      </c>
      <c r="S414" s="165" t="str">
        <f t="shared" ref="S414:T414" si="827">IF(COUNTIF(W$2:W1679, $A414) &gt; 0,TRUE,IFERROR(0/0,""))</f>
        <v/>
      </c>
      <c r="T414" s="165" t="str">
        <f t="shared" si="827"/>
        <v/>
      </c>
      <c r="U414" s="147" t="str">
        <f t="array" ref="U414">IF(ISBLANK($R414), IF($S414,VLOOKUP($B414+1,'RFR Data - preExcl'!$BF$2:$BG1679,2,FALSE),IF($T414,INDEX('RFR Data - preExcl'!$BF$2:$BG1679,MATCH($B414,'RFR Data - preExcl'!$BF$2:$BF1679,0)+1,2),VLOOKUP($B414,'RFR Data - preExcl'!$BF$2:$BG1679,2,FALSE))),IFERROR(0/0,""))</f>
        <v/>
      </c>
      <c r="V414" s="212" t="str">
        <f t="shared" si="5"/>
        <v>RUN-COMB_2022-04-19_RFR-022</v>
      </c>
      <c r="W414" s="51"/>
      <c r="X414" s="51"/>
      <c r="Y414" s="147" t="str">
        <f t="shared" ref="Y414:Z414" si="828">IF(_xlfn.ISFORMULA(S414),IFERROR(0/0,""),TRUE)</f>
        <v/>
      </c>
      <c r="Z414" s="147" t="str">
        <f t="shared" si="828"/>
        <v/>
      </c>
    </row>
    <row r="415">
      <c r="A415" s="6" t="str">
        <f>IFERROR(__xludf.DUMMYFUNCTION("""COMPUTED_VALUE"""),"FM4389")</f>
        <v>FM4389</v>
      </c>
      <c r="B415" s="206">
        <f>IFERROR(__xludf.DUMMYFUNCTION("""COMPUTED_VALUE"""),44670.0)</f>
        <v>44670</v>
      </c>
      <c r="C415" s="207">
        <f>IFERROR(__xludf.DUMMYFUNCTION("""COMPUTED_VALUE"""),0.2955439814814815)</f>
        <v>0.2955439815</v>
      </c>
      <c r="D415" s="50"/>
      <c r="E415" s="58"/>
      <c r="F415" s="58"/>
      <c r="G415" s="58" t="str">
        <f>IFERROR(__xludf.DUMMYFUNCTION("""COMPUTED_VALUE"""),"Negative")</f>
        <v>Negative</v>
      </c>
      <c r="H415" s="206" t="str">
        <f>IFERROR(__xludf.DUMMYFUNCTION("""COMPUTED_VALUE"""),"Negative")</f>
        <v>Negative</v>
      </c>
      <c r="I415" s="207">
        <f>IFERROR(__xludf.DUMMYFUNCTION("""COMPUTED_VALUE"""),44670.0)</f>
        <v>44670</v>
      </c>
      <c r="J415" s="208">
        <f>IFERROR(__xludf.DUMMYFUNCTION("""COMPUTED_VALUE"""),0.39481481481481484)</f>
        <v>0.3948148148</v>
      </c>
      <c r="K415" s="50"/>
      <c r="L415" s="6"/>
      <c r="M415" s="55"/>
      <c r="N415" s="55">
        <f>IFERROR(__xludf.DUMMYFUNCTION("""COMPUTED_VALUE"""),1.0)</f>
        <v>1</v>
      </c>
      <c r="O415" s="55" t="str">
        <f t="shared" si="3"/>
        <v/>
      </c>
      <c r="P415" s="209"/>
      <c r="Q415" s="75" t="b">
        <f>VLOOKUP($B415,'Run Reconcile'!B$2:P1679,15,FALSE)</f>
        <v>1</v>
      </c>
      <c r="R415" s="211" t="str">
        <f t="array" ref="R415">IF($Q415, INDEX('Run Reconcile'!A$2:A1679,MATCH(B415,'Run Reconcile'!B$2:B1679,0),1),IFERROR(0/0,""))</f>
        <v>RUN-COMB_2022-04-19_RFR-022</v>
      </c>
      <c r="S415" s="165" t="str">
        <f t="shared" ref="S415:T415" si="829">IF(COUNTIF(W$2:W1679, $A415) &gt; 0,TRUE,IFERROR(0/0,""))</f>
        <v/>
      </c>
      <c r="T415" s="165" t="str">
        <f t="shared" si="829"/>
        <v/>
      </c>
      <c r="U415" s="147" t="str">
        <f t="array" ref="U415">IF(ISBLANK($R415), IF($S415,VLOOKUP($B415+1,'RFR Data - preExcl'!$BF$2:$BG1679,2,FALSE),IF($T415,INDEX('RFR Data - preExcl'!$BF$2:$BG1679,MATCH($B415,'RFR Data - preExcl'!$BF$2:$BF1679,0)+1,2),VLOOKUP($B415,'RFR Data - preExcl'!$BF$2:$BG1679,2,FALSE))),IFERROR(0/0,""))</f>
        <v/>
      </c>
      <c r="V415" s="212" t="str">
        <f t="shared" si="5"/>
        <v>RUN-COMB_2022-04-19_RFR-022</v>
      </c>
      <c r="W415" s="51"/>
      <c r="X415" s="51"/>
      <c r="Y415" s="147" t="str">
        <f t="shared" ref="Y415:Z415" si="830">IF(_xlfn.ISFORMULA(S415),IFERROR(0/0,""),TRUE)</f>
        <v/>
      </c>
      <c r="Z415" s="147" t="str">
        <f t="shared" si="830"/>
        <v/>
      </c>
    </row>
    <row r="416">
      <c r="A416" s="6" t="str">
        <f>IFERROR(__xludf.DUMMYFUNCTION("""COMPUTED_VALUE"""),"FM4436")</f>
        <v>FM4436</v>
      </c>
      <c r="B416" s="206">
        <f>IFERROR(__xludf.DUMMYFUNCTION("""COMPUTED_VALUE"""),44670.0)</f>
        <v>44670</v>
      </c>
      <c r="C416" s="207">
        <f>IFERROR(__xludf.DUMMYFUNCTION("""COMPUTED_VALUE"""),0.29618055555555556)</f>
        <v>0.2961805556</v>
      </c>
      <c r="D416" s="50"/>
      <c r="E416" s="58"/>
      <c r="F416" s="58"/>
      <c r="G416" s="58" t="str">
        <f>IFERROR(__xludf.DUMMYFUNCTION("""COMPUTED_VALUE"""),"Negative")</f>
        <v>Negative</v>
      </c>
      <c r="H416" s="206" t="str">
        <f>IFERROR(__xludf.DUMMYFUNCTION("""COMPUTED_VALUE"""),"Negative")</f>
        <v>Negative</v>
      </c>
      <c r="I416" s="207">
        <f>IFERROR(__xludf.DUMMYFUNCTION("""COMPUTED_VALUE"""),44670.0)</f>
        <v>44670</v>
      </c>
      <c r="J416" s="208">
        <f>IFERROR(__xludf.DUMMYFUNCTION("""COMPUTED_VALUE"""),0.3948263888888889)</f>
        <v>0.3948263889</v>
      </c>
      <c r="K416" s="50"/>
      <c r="L416" s="6"/>
      <c r="M416" s="55"/>
      <c r="N416" s="55">
        <f>IFERROR(__xludf.DUMMYFUNCTION("""COMPUTED_VALUE"""),1.0)</f>
        <v>1</v>
      </c>
      <c r="O416" s="55" t="str">
        <f t="shared" si="3"/>
        <v/>
      </c>
      <c r="P416" s="209"/>
      <c r="Q416" s="75" t="b">
        <f>VLOOKUP($B416,'Run Reconcile'!B$2:P1679,15,FALSE)</f>
        <v>1</v>
      </c>
      <c r="R416" s="211" t="str">
        <f t="array" ref="R416">IF($Q416, INDEX('Run Reconcile'!A$2:A1679,MATCH(B416,'Run Reconcile'!B$2:B1679,0),1),IFERROR(0/0,""))</f>
        <v>RUN-COMB_2022-04-19_RFR-022</v>
      </c>
      <c r="S416" s="165" t="str">
        <f t="shared" ref="S416:T416" si="831">IF(COUNTIF(W$2:W1679, $A416) &gt; 0,TRUE,IFERROR(0/0,""))</f>
        <v/>
      </c>
      <c r="T416" s="165" t="str">
        <f t="shared" si="831"/>
        <v/>
      </c>
      <c r="U416" s="147" t="str">
        <f t="array" ref="U416">IF(ISBLANK($R416), IF($S416,VLOOKUP($B416+1,'RFR Data - preExcl'!$BF$2:$BG1679,2,FALSE),IF($T416,INDEX('RFR Data - preExcl'!$BF$2:$BG1679,MATCH($B416,'RFR Data - preExcl'!$BF$2:$BF1679,0)+1,2),VLOOKUP($B416,'RFR Data - preExcl'!$BF$2:$BG1679,2,FALSE))),IFERROR(0/0,""))</f>
        <v/>
      </c>
      <c r="V416" s="212" t="str">
        <f t="shared" si="5"/>
        <v>RUN-COMB_2022-04-19_RFR-022</v>
      </c>
      <c r="W416" s="51"/>
      <c r="X416" s="51"/>
      <c r="Y416" s="147" t="str">
        <f t="shared" ref="Y416:Z416" si="832">IF(_xlfn.ISFORMULA(S416),IFERROR(0/0,""),TRUE)</f>
        <v/>
      </c>
      <c r="Z416" s="147" t="str">
        <f t="shared" si="832"/>
        <v/>
      </c>
    </row>
    <row r="417">
      <c r="A417" s="6" t="str">
        <f>IFERROR(__xludf.DUMMYFUNCTION("""COMPUTED_VALUE"""),"MA150")</f>
        <v>MA150</v>
      </c>
      <c r="B417" s="206">
        <f>IFERROR(__xludf.DUMMYFUNCTION("""COMPUTED_VALUE"""),44670.0)</f>
        <v>44670</v>
      </c>
      <c r="C417" s="207">
        <f>IFERROR(__xludf.DUMMYFUNCTION("""COMPUTED_VALUE"""),0.2965277777777778)</f>
        <v>0.2965277778</v>
      </c>
      <c r="D417" s="50"/>
      <c r="E417" s="58"/>
      <c r="F417" s="58"/>
      <c r="G417" s="58" t="str">
        <f>IFERROR(__xludf.DUMMYFUNCTION("""COMPUTED_VALUE"""),"Negative")</f>
        <v>Negative</v>
      </c>
      <c r="H417" s="206" t="str">
        <f>IFERROR(__xludf.DUMMYFUNCTION("""COMPUTED_VALUE"""),"Negative")</f>
        <v>Negative</v>
      </c>
      <c r="I417" s="207">
        <f>IFERROR(__xludf.DUMMYFUNCTION("""COMPUTED_VALUE"""),44670.0)</f>
        <v>44670</v>
      </c>
      <c r="J417" s="208">
        <f>IFERROR(__xludf.DUMMYFUNCTION("""COMPUTED_VALUE"""),0.3948263888888889)</f>
        <v>0.3948263889</v>
      </c>
      <c r="K417" s="50"/>
      <c r="L417" s="6"/>
      <c r="M417" s="55"/>
      <c r="N417" s="55">
        <f>IFERROR(__xludf.DUMMYFUNCTION("""COMPUTED_VALUE"""),1.0)</f>
        <v>1</v>
      </c>
      <c r="O417" s="55" t="str">
        <f t="shared" si="3"/>
        <v/>
      </c>
      <c r="P417" s="209"/>
      <c r="Q417" s="75" t="b">
        <f>VLOOKUP($B417,'Run Reconcile'!B$2:P1679,15,FALSE)</f>
        <v>1</v>
      </c>
      <c r="R417" s="211" t="str">
        <f t="array" ref="R417">IF($Q417, INDEX('Run Reconcile'!A$2:A1679,MATCH(B417,'Run Reconcile'!B$2:B1679,0),1),IFERROR(0/0,""))</f>
        <v>RUN-COMB_2022-04-19_RFR-022</v>
      </c>
      <c r="S417" s="165" t="str">
        <f t="shared" ref="S417:T417" si="833">IF(COUNTIF(W$2:W1679, $A417) &gt; 0,TRUE,IFERROR(0/0,""))</f>
        <v/>
      </c>
      <c r="T417" s="165" t="str">
        <f t="shared" si="833"/>
        <v/>
      </c>
      <c r="U417" s="147" t="str">
        <f t="array" ref="U417">IF(ISBLANK($R417), IF($S417,VLOOKUP($B417+1,'RFR Data - preExcl'!$BF$2:$BG1679,2,FALSE),IF($T417,INDEX('RFR Data - preExcl'!$BF$2:$BG1679,MATCH($B417,'RFR Data - preExcl'!$BF$2:$BF1679,0)+1,2),VLOOKUP($B417,'RFR Data - preExcl'!$BF$2:$BG1679,2,FALSE))),IFERROR(0/0,""))</f>
        <v/>
      </c>
      <c r="V417" s="212" t="str">
        <f t="shared" si="5"/>
        <v>RUN-COMB_2022-04-19_RFR-022</v>
      </c>
      <c r="W417" s="51"/>
      <c r="X417" s="51"/>
      <c r="Y417" s="147" t="str">
        <f t="shared" ref="Y417:Z417" si="834">IF(_xlfn.ISFORMULA(S417),IFERROR(0/0,""),TRUE)</f>
        <v/>
      </c>
      <c r="Z417" s="147" t="str">
        <f t="shared" si="834"/>
        <v/>
      </c>
    </row>
    <row r="418">
      <c r="A418" s="6" t="str">
        <f>IFERROR(__xludf.DUMMYFUNCTION("""COMPUTED_VALUE"""),"FM4270")</f>
        <v>FM4270</v>
      </c>
      <c r="B418" s="206">
        <f>IFERROR(__xludf.DUMMYFUNCTION("""COMPUTED_VALUE"""),44670.0)</f>
        <v>44670</v>
      </c>
      <c r="C418" s="207">
        <f>IFERROR(__xludf.DUMMYFUNCTION("""COMPUTED_VALUE"""),0.2968865740740741)</f>
        <v>0.2968865741</v>
      </c>
      <c r="D418" s="50"/>
      <c r="E418" s="58"/>
      <c r="F418" s="58"/>
      <c r="G418" s="58" t="str">
        <f>IFERROR(__xludf.DUMMYFUNCTION("""COMPUTED_VALUE"""),"Negative")</f>
        <v>Negative</v>
      </c>
      <c r="H418" s="206" t="str">
        <f>IFERROR(__xludf.DUMMYFUNCTION("""COMPUTED_VALUE"""),"Negative")</f>
        <v>Negative</v>
      </c>
      <c r="I418" s="207">
        <f>IFERROR(__xludf.DUMMYFUNCTION("""COMPUTED_VALUE"""),44670.0)</f>
        <v>44670</v>
      </c>
      <c r="J418" s="208">
        <f>IFERROR(__xludf.DUMMYFUNCTION("""COMPUTED_VALUE"""),0.3948263888888889)</f>
        <v>0.3948263889</v>
      </c>
      <c r="K418" s="50"/>
      <c r="L418" s="6"/>
      <c r="M418" s="55"/>
      <c r="N418" s="55">
        <f>IFERROR(__xludf.DUMMYFUNCTION("""COMPUTED_VALUE"""),1.0)</f>
        <v>1</v>
      </c>
      <c r="O418" s="55" t="str">
        <f t="shared" si="3"/>
        <v/>
      </c>
      <c r="P418" s="209"/>
      <c r="Q418" s="75" t="b">
        <f>VLOOKUP($B418,'Run Reconcile'!B$2:P1679,15,FALSE)</f>
        <v>1</v>
      </c>
      <c r="R418" s="211" t="str">
        <f t="array" ref="R418">IF($Q418, INDEX('Run Reconcile'!A$2:A1679,MATCH(B418,'Run Reconcile'!B$2:B1679,0),1),IFERROR(0/0,""))</f>
        <v>RUN-COMB_2022-04-19_RFR-022</v>
      </c>
      <c r="S418" s="165" t="str">
        <f t="shared" ref="S418:T418" si="835">IF(COUNTIF(W$2:W1679, $A418) &gt; 0,TRUE,IFERROR(0/0,""))</f>
        <v/>
      </c>
      <c r="T418" s="165" t="str">
        <f t="shared" si="835"/>
        <v/>
      </c>
      <c r="U418" s="147" t="str">
        <f t="array" ref="U418">IF(ISBLANK($R418), IF($S418,VLOOKUP($B418+1,'RFR Data - preExcl'!$BF$2:$BG1679,2,FALSE),IF($T418,INDEX('RFR Data - preExcl'!$BF$2:$BG1679,MATCH($B418,'RFR Data - preExcl'!$BF$2:$BF1679,0)+1,2),VLOOKUP($B418,'RFR Data - preExcl'!$BF$2:$BG1679,2,FALSE))),IFERROR(0/0,""))</f>
        <v/>
      </c>
      <c r="V418" s="212" t="str">
        <f t="shared" si="5"/>
        <v>RUN-COMB_2022-04-19_RFR-022</v>
      </c>
      <c r="W418" s="51"/>
      <c r="X418" s="51"/>
      <c r="Y418" s="147" t="str">
        <f t="shared" ref="Y418:Z418" si="836">IF(_xlfn.ISFORMULA(S418),IFERROR(0/0,""),TRUE)</f>
        <v/>
      </c>
      <c r="Z418" s="147" t="str">
        <f t="shared" si="836"/>
        <v/>
      </c>
    </row>
    <row r="419">
      <c r="A419" s="6" t="str">
        <f>IFERROR(__xludf.DUMMYFUNCTION("""COMPUTED_VALUE"""),"FM4276")</f>
        <v>FM4276</v>
      </c>
      <c r="B419" s="206">
        <f>IFERROR(__xludf.DUMMYFUNCTION("""COMPUTED_VALUE"""),44670.0)</f>
        <v>44670</v>
      </c>
      <c r="C419" s="207">
        <f>IFERROR(__xludf.DUMMYFUNCTION("""COMPUTED_VALUE"""),0.2972800925925926)</f>
        <v>0.2972800926</v>
      </c>
      <c r="D419" s="50"/>
      <c r="E419" s="58"/>
      <c r="F419" s="58"/>
      <c r="G419" s="58" t="str">
        <f>IFERROR(__xludf.DUMMYFUNCTION("""COMPUTED_VALUE"""),"Negative")</f>
        <v>Negative</v>
      </c>
      <c r="H419" s="206" t="str">
        <f>IFERROR(__xludf.DUMMYFUNCTION("""COMPUTED_VALUE"""),"Negative")</f>
        <v>Negative</v>
      </c>
      <c r="I419" s="207">
        <f>IFERROR(__xludf.DUMMYFUNCTION("""COMPUTED_VALUE"""),44670.0)</f>
        <v>44670</v>
      </c>
      <c r="J419" s="208">
        <f>IFERROR(__xludf.DUMMYFUNCTION("""COMPUTED_VALUE"""),0.394837962962963)</f>
        <v>0.394837963</v>
      </c>
      <c r="K419" s="50"/>
      <c r="L419" s="6"/>
      <c r="M419" s="55"/>
      <c r="N419" s="55">
        <f>IFERROR(__xludf.DUMMYFUNCTION("""COMPUTED_VALUE"""),1.0)</f>
        <v>1</v>
      </c>
      <c r="O419" s="55" t="str">
        <f t="shared" si="3"/>
        <v/>
      </c>
      <c r="P419" s="209"/>
      <c r="Q419" s="75" t="b">
        <f>VLOOKUP($B419,'Run Reconcile'!B$2:P1679,15,FALSE)</f>
        <v>1</v>
      </c>
      <c r="R419" s="211" t="str">
        <f t="array" ref="R419">IF($Q419, INDEX('Run Reconcile'!A$2:A1679,MATCH(B419,'Run Reconcile'!B$2:B1679,0),1),IFERROR(0/0,""))</f>
        <v>RUN-COMB_2022-04-19_RFR-022</v>
      </c>
      <c r="S419" s="165" t="str">
        <f t="shared" ref="S419:T419" si="837">IF(COUNTIF(W$2:W1679, $A419) &gt; 0,TRUE,IFERROR(0/0,""))</f>
        <v/>
      </c>
      <c r="T419" s="165" t="str">
        <f t="shared" si="837"/>
        <v/>
      </c>
      <c r="U419" s="147" t="str">
        <f t="array" ref="U419">IF(ISBLANK($R419), IF($S419,VLOOKUP($B419+1,'RFR Data - preExcl'!$BF$2:$BG1679,2,FALSE),IF($T419,INDEX('RFR Data - preExcl'!$BF$2:$BG1679,MATCH($B419,'RFR Data - preExcl'!$BF$2:$BF1679,0)+1,2),VLOOKUP($B419,'RFR Data - preExcl'!$BF$2:$BG1679,2,FALSE))),IFERROR(0/0,""))</f>
        <v/>
      </c>
      <c r="V419" s="212" t="str">
        <f t="shared" si="5"/>
        <v>RUN-COMB_2022-04-19_RFR-022</v>
      </c>
      <c r="W419" s="51"/>
      <c r="X419" s="51"/>
      <c r="Y419" s="147" t="str">
        <f t="shared" ref="Y419:Z419" si="838">IF(_xlfn.ISFORMULA(S419),IFERROR(0/0,""),TRUE)</f>
        <v/>
      </c>
      <c r="Z419" s="147" t="str">
        <f t="shared" si="838"/>
        <v/>
      </c>
    </row>
    <row r="420">
      <c r="A420" s="6" t="str">
        <f>IFERROR(__xludf.DUMMYFUNCTION("""COMPUTED_VALUE"""),"FM4072")</f>
        <v>FM4072</v>
      </c>
      <c r="B420" s="206">
        <f>IFERROR(__xludf.DUMMYFUNCTION("""COMPUTED_VALUE"""),44670.0)</f>
        <v>44670</v>
      </c>
      <c r="C420" s="207">
        <f>IFERROR(__xludf.DUMMYFUNCTION("""COMPUTED_VALUE"""),0.2975115740740741)</f>
        <v>0.2975115741</v>
      </c>
      <c r="D420" s="50"/>
      <c r="E420" s="58"/>
      <c r="F420" s="58"/>
      <c r="G420" s="58" t="str">
        <f>IFERROR(__xludf.DUMMYFUNCTION("""COMPUTED_VALUE"""),"Negative")</f>
        <v>Negative</v>
      </c>
      <c r="H420" s="206" t="str">
        <f>IFERROR(__xludf.DUMMYFUNCTION("""COMPUTED_VALUE"""),"Negative")</f>
        <v>Negative</v>
      </c>
      <c r="I420" s="207">
        <f>IFERROR(__xludf.DUMMYFUNCTION("""COMPUTED_VALUE"""),44670.0)</f>
        <v>44670</v>
      </c>
      <c r="J420" s="208">
        <f>IFERROR(__xludf.DUMMYFUNCTION("""COMPUTED_VALUE"""),0.394849537037037)</f>
        <v>0.394849537</v>
      </c>
      <c r="K420" s="50"/>
      <c r="L420" s="6"/>
      <c r="M420" s="55"/>
      <c r="N420" s="55">
        <f>IFERROR(__xludf.DUMMYFUNCTION("""COMPUTED_VALUE"""),1.0)</f>
        <v>1</v>
      </c>
      <c r="O420" s="55" t="str">
        <f t="shared" si="3"/>
        <v/>
      </c>
      <c r="P420" s="209"/>
      <c r="Q420" s="75" t="b">
        <f>VLOOKUP($B420,'Run Reconcile'!B$2:P1679,15,FALSE)</f>
        <v>1</v>
      </c>
      <c r="R420" s="211" t="str">
        <f t="array" ref="R420">IF($Q420, INDEX('Run Reconcile'!A$2:A1679,MATCH(B420,'Run Reconcile'!B$2:B1679,0),1),IFERROR(0/0,""))</f>
        <v>RUN-COMB_2022-04-19_RFR-022</v>
      </c>
      <c r="S420" s="165" t="str">
        <f t="shared" ref="S420:T420" si="839">IF(COUNTIF(W$2:W1679, $A420) &gt; 0,TRUE,IFERROR(0/0,""))</f>
        <v/>
      </c>
      <c r="T420" s="165" t="str">
        <f t="shared" si="839"/>
        <v/>
      </c>
      <c r="U420" s="147" t="str">
        <f t="array" ref="U420">IF(ISBLANK($R420), IF($S420,VLOOKUP($B420+1,'RFR Data - preExcl'!$BF$2:$BG1679,2,FALSE),IF($T420,INDEX('RFR Data - preExcl'!$BF$2:$BG1679,MATCH($B420,'RFR Data - preExcl'!$BF$2:$BF1679,0)+1,2),VLOOKUP($B420,'RFR Data - preExcl'!$BF$2:$BG1679,2,FALSE))),IFERROR(0/0,""))</f>
        <v/>
      </c>
      <c r="V420" s="212" t="str">
        <f t="shared" si="5"/>
        <v>RUN-COMB_2022-04-19_RFR-022</v>
      </c>
      <c r="W420" s="51"/>
      <c r="X420" s="51"/>
      <c r="Y420" s="147" t="str">
        <f t="shared" ref="Y420:Z420" si="840">IF(_xlfn.ISFORMULA(S420),IFERROR(0/0,""),TRUE)</f>
        <v/>
      </c>
      <c r="Z420" s="147" t="str">
        <f t="shared" si="840"/>
        <v/>
      </c>
    </row>
    <row r="421">
      <c r="A421" s="6" t="str">
        <f>IFERROR(__xludf.DUMMYFUNCTION("""COMPUTED_VALUE"""),"FM3910")</f>
        <v>FM3910</v>
      </c>
      <c r="B421" s="206">
        <f>IFERROR(__xludf.DUMMYFUNCTION("""COMPUTED_VALUE"""),44670.0)</f>
        <v>44670</v>
      </c>
      <c r="C421" s="207">
        <f>IFERROR(__xludf.DUMMYFUNCTION("""COMPUTED_VALUE"""),0.301087962962963)</f>
        <v>0.301087963</v>
      </c>
      <c r="D421" s="50"/>
      <c r="E421" s="58"/>
      <c r="F421" s="58"/>
      <c r="G421" s="58" t="str">
        <f>IFERROR(__xludf.DUMMYFUNCTION("""COMPUTED_VALUE"""),"Negative")</f>
        <v>Negative</v>
      </c>
      <c r="H421" s="206" t="str">
        <f>IFERROR(__xludf.DUMMYFUNCTION("""COMPUTED_VALUE"""),"Negative")</f>
        <v>Negative</v>
      </c>
      <c r="I421" s="207">
        <f>IFERROR(__xludf.DUMMYFUNCTION("""COMPUTED_VALUE"""),44670.0)</f>
        <v>44670</v>
      </c>
      <c r="J421" s="208">
        <f>IFERROR(__xludf.DUMMYFUNCTION("""COMPUTED_VALUE"""),0.394849537037037)</f>
        <v>0.394849537</v>
      </c>
      <c r="K421" s="50"/>
      <c r="L421" s="6"/>
      <c r="M421" s="55"/>
      <c r="N421" s="55">
        <f>IFERROR(__xludf.DUMMYFUNCTION("""COMPUTED_VALUE"""),1.0)</f>
        <v>1</v>
      </c>
      <c r="O421" s="55" t="str">
        <f t="shared" si="3"/>
        <v/>
      </c>
      <c r="P421" s="209"/>
      <c r="Q421" s="75" t="b">
        <f>VLOOKUP($B421,'Run Reconcile'!B$2:P1679,15,FALSE)</f>
        <v>1</v>
      </c>
      <c r="R421" s="211" t="str">
        <f t="array" ref="R421">IF($Q421, INDEX('Run Reconcile'!A$2:A1679,MATCH(B421,'Run Reconcile'!B$2:B1679,0),1),IFERROR(0/0,""))</f>
        <v>RUN-COMB_2022-04-19_RFR-022</v>
      </c>
      <c r="S421" s="165" t="str">
        <f t="shared" ref="S421:T421" si="841">IF(COUNTIF(W$2:W1679, $A421) &gt; 0,TRUE,IFERROR(0/0,""))</f>
        <v/>
      </c>
      <c r="T421" s="165" t="str">
        <f t="shared" si="841"/>
        <v/>
      </c>
      <c r="U421" s="147" t="str">
        <f t="array" ref="U421">IF(ISBLANK($R421), IF($S421,VLOOKUP($B421+1,'RFR Data - preExcl'!$BF$2:$BG1679,2,FALSE),IF($T421,INDEX('RFR Data - preExcl'!$BF$2:$BG1679,MATCH($B421,'RFR Data - preExcl'!$BF$2:$BF1679,0)+1,2),VLOOKUP($B421,'RFR Data - preExcl'!$BF$2:$BG1679,2,FALSE))),IFERROR(0/0,""))</f>
        <v/>
      </c>
      <c r="V421" s="212" t="str">
        <f t="shared" si="5"/>
        <v>RUN-COMB_2022-04-19_RFR-022</v>
      </c>
      <c r="W421" s="51"/>
      <c r="X421" s="51"/>
      <c r="Y421" s="147" t="str">
        <f t="shared" ref="Y421:Z421" si="842">IF(_xlfn.ISFORMULA(S421),IFERROR(0/0,""),TRUE)</f>
        <v/>
      </c>
      <c r="Z421" s="147" t="str">
        <f t="shared" si="842"/>
        <v/>
      </c>
    </row>
    <row r="422">
      <c r="A422" s="6" t="str">
        <f>IFERROR(__xludf.DUMMYFUNCTION("""COMPUTED_VALUE"""),"FM4298")</f>
        <v>FM4298</v>
      </c>
      <c r="B422" s="206">
        <f>IFERROR(__xludf.DUMMYFUNCTION("""COMPUTED_VALUE"""),44671.0)</f>
        <v>44671</v>
      </c>
      <c r="C422" s="207">
        <f>IFERROR(__xludf.DUMMYFUNCTION("""COMPUTED_VALUE"""),0.3002199074074074)</f>
        <v>0.3002199074</v>
      </c>
      <c r="D422" s="50"/>
      <c r="E422" s="58"/>
      <c r="F422" s="58"/>
      <c r="G422" s="58" t="str">
        <f>IFERROR(__xludf.DUMMYFUNCTION("""COMPUTED_VALUE"""),"Null")</f>
        <v>Null</v>
      </c>
      <c r="H422" s="206" t="str">
        <f>IFERROR(__xludf.DUMMYFUNCTION("""COMPUTED_VALUE"""),"Negative")</f>
        <v>Negative</v>
      </c>
      <c r="I422" s="207">
        <f>IFERROR(__xludf.DUMMYFUNCTION("""COMPUTED_VALUE"""),44671.0)</f>
        <v>44671</v>
      </c>
      <c r="J422" s="208">
        <f>IFERROR(__xludf.DUMMYFUNCTION("""COMPUTED_VALUE"""),0.3287962962962963)</f>
        <v>0.3287962963</v>
      </c>
      <c r="K422" s="50">
        <f>IFERROR(__xludf.DUMMYFUNCTION("""COMPUTED_VALUE"""),2.0)</f>
        <v>2</v>
      </c>
      <c r="L422" s="6"/>
      <c r="M422" s="55"/>
      <c r="N422" s="55">
        <f>IFERROR(__xludf.DUMMYFUNCTION("""COMPUTED_VALUE"""),1.0)</f>
        <v>1</v>
      </c>
      <c r="O422" s="55" t="b">
        <f t="shared" si="3"/>
        <v>1</v>
      </c>
      <c r="P422" s="209"/>
      <c r="Q422" s="75" t="b">
        <f>VLOOKUP($B422,'Run Reconcile'!B$2:P1679,15,FALSE)</f>
        <v>1</v>
      </c>
      <c r="R422" s="211" t="str">
        <f t="array" ref="R422">IF($Q422, INDEX('Run Reconcile'!A$2:A1679,MATCH(B422,'Run Reconcile'!B$2:B1679,0),1),IFERROR(0/0,""))</f>
        <v>RUN-COMB_2022-04-20_RFR-024</v>
      </c>
      <c r="S422" s="165" t="str">
        <f t="shared" ref="S422:T422" si="843">IF(COUNTIF(W$2:W1679, $A422) &gt; 0,TRUE,IFERROR(0/0,""))</f>
        <v/>
      </c>
      <c r="T422" s="165" t="str">
        <f t="shared" si="843"/>
        <v/>
      </c>
      <c r="U422" s="147" t="str">
        <f t="array" ref="U422">IF(ISBLANK($R422), IF($S422,VLOOKUP($B422+1,'RFR Data - preExcl'!$BF$2:$BG1679,2,FALSE),IF($T422,INDEX('RFR Data - preExcl'!$BF$2:$BG1679,MATCH($B422,'RFR Data - preExcl'!$BF$2:$BF1679,0)+1,2),VLOOKUP($B422,'RFR Data - preExcl'!$BF$2:$BG1679,2,FALSE))),IFERROR(0/0,""))</f>
        <v/>
      </c>
      <c r="V422" s="212" t="str">
        <f t="shared" si="5"/>
        <v>RUN-COMB_2022-04-20_RFR-024</v>
      </c>
      <c r="W422" s="51"/>
      <c r="X422" s="51"/>
      <c r="Y422" s="147" t="str">
        <f t="shared" ref="Y422:Z422" si="844">IF(_xlfn.ISFORMULA(S422),IFERROR(0/0,""),TRUE)</f>
        <v/>
      </c>
      <c r="Z422" s="147" t="str">
        <f t="shared" si="844"/>
        <v/>
      </c>
    </row>
    <row r="423">
      <c r="A423" s="6" t="str">
        <f>IFERROR(__xludf.DUMMYFUNCTION("""COMPUTED_VALUE"""),"FM4295")</f>
        <v>FM4295</v>
      </c>
      <c r="B423" s="206">
        <f>IFERROR(__xludf.DUMMYFUNCTION("""COMPUTED_VALUE"""),44671.0)</f>
        <v>44671</v>
      </c>
      <c r="C423" s="207">
        <f>IFERROR(__xludf.DUMMYFUNCTION("""COMPUTED_VALUE"""),0.301099537037037)</f>
        <v>0.301099537</v>
      </c>
      <c r="D423" s="50"/>
      <c r="E423" s="58"/>
      <c r="F423" s="58"/>
      <c r="G423" s="58" t="str">
        <f>IFERROR(__xludf.DUMMYFUNCTION("""COMPUTED_VALUE"""),"Null")</f>
        <v>Null</v>
      </c>
      <c r="H423" s="206" t="str">
        <f>IFERROR(__xludf.DUMMYFUNCTION("""COMPUTED_VALUE"""),"Negative")</f>
        <v>Negative</v>
      </c>
      <c r="I423" s="207">
        <f>IFERROR(__xludf.DUMMYFUNCTION("""COMPUTED_VALUE"""),44671.0)</f>
        <v>44671</v>
      </c>
      <c r="J423" s="208">
        <f>IFERROR(__xludf.DUMMYFUNCTION("""COMPUTED_VALUE"""),0.3287962962962963)</f>
        <v>0.3287962963</v>
      </c>
      <c r="K423" s="50">
        <f>IFERROR(__xludf.DUMMYFUNCTION("""COMPUTED_VALUE"""),2.0)</f>
        <v>2</v>
      </c>
      <c r="L423" s="6"/>
      <c r="M423" s="55"/>
      <c r="N423" s="55">
        <f>IFERROR(__xludf.DUMMYFUNCTION("""COMPUTED_VALUE"""),1.0)</f>
        <v>1</v>
      </c>
      <c r="O423" s="55" t="str">
        <f t="shared" si="3"/>
        <v/>
      </c>
      <c r="P423" s="209"/>
      <c r="Q423" s="75" t="b">
        <f>VLOOKUP($B423,'Run Reconcile'!B$2:P1679,15,FALSE)</f>
        <v>1</v>
      </c>
      <c r="R423" s="211" t="str">
        <f t="array" ref="R423">IF($Q423, INDEX('Run Reconcile'!A$2:A1679,MATCH(B423,'Run Reconcile'!B$2:B1679,0),1),IFERROR(0/0,""))</f>
        <v>RUN-COMB_2022-04-20_RFR-024</v>
      </c>
      <c r="S423" s="165" t="str">
        <f t="shared" ref="S423:T423" si="845">IF(COUNTIF(W$2:W1679, $A423) &gt; 0,TRUE,IFERROR(0/0,""))</f>
        <v/>
      </c>
      <c r="T423" s="165" t="str">
        <f t="shared" si="845"/>
        <v/>
      </c>
      <c r="U423" s="147" t="str">
        <f t="array" ref="U423">IF(ISBLANK($R423), IF($S423,VLOOKUP($B423+1,'RFR Data - preExcl'!$BF$2:$BG1679,2,FALSE),IF($T423,INDEX('RFR Data - preExcl'!$BF$2:$BG1679,MATCH($B423,'RFR Data - preExcl'!$BF$2:$BF1679,0)+1,2),VLOOKUP($B423,'RFR Data - preExcl'!$BF$2:$BG1679,2,FALSE))),IFERROR(0/0,""))</f>
        <v/>
      </c>
      <c r="V423" s="212" t="str">
        <f t="shared" si="5"/>
        <v>RUN-COMB_2022-04-20_RFR-024</v>
      </c>
      <c r="W423" s="51"/>
      <c r="X423" s="51"/>
      <c r="Y423" s="147" t="str">
        <f t="shared" ref="Y423:Z423" si="846">IF(_xlfn.ISFORMULA(S423),IFERROR(0/0,""),TRUE)</f>
        <v/>
      </c>
      <c r="Z423" s="147" t="str">
        <f t="shared" si="846"/>
        <v/>
      </c>
    </row>
    <row r="424">
      <c r="A424" s="6" t="str">
        <f>IFERROR(__xludf.DUMMYFUNCTION("""COMPUTED_VALUE"""),"FM4265")</f>
        <v>FM4265</v>
      </c>
      <c r="B424" s="206">
        <f>IFERROR(__xludf.DUMMYFUNCTION("""COMPUTED_VALUE"""),44671.0)</f>
        <v>44671</v>
      </c>
      <c r="C424" s="207">
        <f>IFERROR(__xludf.DUMMYFUNCTION("""COMPUTED_VALUE"""),0.31114583333333334)</f>
        <v>0.3111458333</v>
      </c>
      <c r="D424" s="50"/>
      <c r="E424" s="58"/>
      <c r="F424" s="58"/>
      <c r="G424" s="58" t="str">
        <f>IFERROR(__xludf.DUMMYFUNCTION("""COMPUTED_VALUE"""),"Null")</f>
        <v>Null</v>
      </c>
      <c r="H424" s="206" t="str">
        <f>IFERROR(__xludf.DUMMYFUNCTION("""COMPUTED_VALUE"""),"Negative")</f>
        <v>Negative</v>
      </c>
      <c r="I424" s="207">
        <f>IFERROR(__xludf.DUMMYFUNCTION("""COMPUTED_VALUE"""),44671.0)</f>
        <v>44671</v>
      </c>
      <c r="J424" s="208">
        <f>IFERROR(__xludf.DUMMYFUNCTION("""COMPUTED_VALUE"""),0.32880787037037035)</f>
        <v>0.3288078704</v>
      </c>
      <c r="K424" s="50">
        <f>IFERROR(__xludf.DUMMYFUNCTION("""COMPUTED_VALUE"""),2.0)</f>
        <v>2</v>
      </c>
      <c r="L424" s="6"/>
      <c r="M424" s="55"/>
      <c r="N424" s="55">
        <f>IFERROR(__xludf.DUMMYFUNCTION("""COMPUTED_VALUE"""),1.0)</f>
        <v>1</v>
      </c>
      <c r="O424" s="55" t="str">
        <f t="shared" si="3"/>
        <v/>
      </c>
      <c r="P424" s="209"/>
      <c r="Q424" s="75" t="b">
        <f>VLOOKUP($B424,'Run Reconcile'!B$2:P1679,15,FALSE)</f>
        <v>1</v>
      </c>
      <c r="R424" s="211" t="str">
        <f t="array" ref="R424">IF($Q424, INDEX('Run Reconcile'!A$2:A1679,MATCH(B424,'Run Reconcile'!B$2:B1679,0),1),IFERROR(0/0,""))</f>
        <v>RUN-COMB_2022-04-20_RFR-024</v>
      </c>
      <c r="S424" s="165" t="str">
        <f t="shared" ref="S424:T424" si="847">IF(COUNTIF(W$2:W1679, $A424) &gt; 0,TRUE,IFERROR(0/0,""))</f>
        <v/>
      </c>
      <c r="T424" s="165" t="str">
        <f t="shared" si="847"/>
        <v/>
      </c>
      <c r="U424" s="147" t="str">
        <f t="array" ref="U424">IF(ISBLANK($R424), IF($S424,VLOOKUP($B424+1,'RFR Data - preExcl'!$BF$2:$BG1679,2,FALSE),IF($T424,INDEX('RFR Data - preExcl'!$BF$2:$BG1679,MATCH($B424,'RFR Data - preExcl'!$BF$2:$BF1679,0)+1,2),VLOOKUP($B424,'RFR Data - preExcl'!$BF$2:$BG1679,2,FALSE))),IFERROR(0/0,""))</f>
        <v/>
      </c>
      <c r="V424" s="212" t="str">
        <f t="shared" si="5"/>
        <v>RUN-COMB_2022-04-20_RFR-024</v>
      </c>
      <c r="W424" s="51"/>
      <c r="X424" s="51"/>
      <c r="Y424" s="147" t="str">
        <f t="shared" ref="Y424:Z424" si="848">IF(_xlfn.ISFORMULA(S424),IFERROR(0/0,""),TRUE)</f>
        <v/>
      </c>
      <c r="Z424" s="147" t="str">
        <f t="shared" si="848"/>
        <v/>
      </c>
    </row>
    <row r="425">
      <c r="A425" s="6" t="str">
        <f>IFERROR(__xludf.DUMMYFUNCTION("""COMPUTED_VALUE"""),"FM4303")</f>
        <v>FM4303</v>
      </c>
      <c r="B425" s="206">
        <f>IFERROR(__xludf.DUMMYFUNCTION("""COMPUTED_VALUE"""),44671.0)</f>
        <v>44671</v>
      </c>
      <c r="C425" s="207">
        <f>IFERROR(__xludf.DUMMYFUNCTION("""COMPUTED_VALUE"""),0.3140277777777778)</f>
        <v>0.3140277778</v>
      </c>
      <c r="D425" s="50"/>
      <c r="E425" s="58"/>
      <c r="F425" s="58"/>
      <c r="G425" s="58" t="str">
        <f>IFERROR(__xludf.DUMMYFUNCTION("""COMPUTED_VALUE"""),"Null")</f>
        <v>Null</v>
      </c>
      <c r="H425" s="206" t="str">
        <f>IFERROR(__xludf.DUMMYFUNCTION("""COMPUTED_VALUE"""),"Negative")</f>
        <v>Negative</v>
      </c>
      <c r="I425" s="207">
        <f>IFERROR(__xludf.DUMMYFUNCTION("""COMPUTED_VALUE"""),44671.0)</f>
        <v>44671</v>
      </c>
      <c r="J425" s="208">
        <f>IFERROR(__xludf.DUMMYFUNCTION("""COMPUTED_VALUE"""),0.32880787037037035)</f>
        <v>0.3288078704</v>
      </c>
      <c r="K425" s="50">
        <f>IFERROR(__xludf.DUMMYFUNCTION("""COMPUTED_VALUE"""),2.0)</f>
        <v>2</v>
      </c>
      <c r="L425" s="6"/>
      <c r="M425" s="55"/>
      <c r="N425" s="55">
        <f>IFERROR(__xludf.DUMMYFUNCTION("""COMPUTED_VALUE"""),1.0)</f>
        <v>1</v>
      </c>
      <c r="O425" s="55" t="str">
        <f t="shared" si="3"/>
        <v/>
      </c>
      <c r="P425" s="209"/>
      <c r="Q425" s="75" t="b">
        <f>VLOOKUP($B425,'Run Reconcile'!B$2:P1679,15,FALSE)</f>
        <v>1</v>
      </c>
      <c r="R425" s="211" t="str">
        <f t="array" ref="R425">IF($Q425, INDEX('Run Reconcile'!A$2:A1679,MATCH(B425,'Run Reconcile'!B$2:B1679,0),1),IFERROR(0/0,""))</f>
        <v>RUN-COMB_2022-04-20_RFR-024</v>
      </c>
      <c r="S425" s="165" t="str">
        <f t="shared" ref="S425:T425" si="849">IF(COUNTIF(W$2:W1679, $A425) &gt; 0,TRUE,IFERROR(0/0,""))</f>
        <v/>
      </c>
      <c r="T425" s="165" t="str">
        <f t="shared" si="849"/>
        <v/>
      </c>
      <c r="U425" s="147" t="str">
        <f t="array" ref="U425">IF(ISBLANK($R425), IF($S425,VLOOKUP($B425+1,'RFR Data - preExcl'!$BF$2:$BG1679,2,FALSE),IF($T425,INDEX('RFR Data - preExcl'!$BF$2:$BG1679,MATCH($B425,'RFR Data - preExcl'!$BF$2:$BF1679,0)+1,2),VLOOKUP($B425,'RFR Data - preExcl'!$BF$2:$BG1679,2,FALSE))),IFERROR(0/0,""))</f>
        <v/>
      </c>
      <c r="V425" s="212" t="str">
        <f t="shared" si="5"/>
        <v>RUN-COMB_2022-04-20_RFR-024</v>
      </c>
      <c r="W425" s="51"/>
      <c r="X425" s="51"/>
      <c r="Y425" s="147" t="str">
        <f t="shared" ref="Y425:Z425" si="850">IF(_xlfn.ISFORMULA(S425),IFERROR(0/0,""),TRUE)</f>
        <v/>
      </c>
      <c r="Z425" s="147" t="str">
        <f t="shared" si="850"/>
        <v/>
      </c>
    </row>
    <row r="426">
      <c r="A426" s="6" t="str">
        <f>IFERROR(__xludf.DUMMYFUNCTION("""COMPUTED_VALUE"""),"FM4432")</f>
        <v>FM4432</v>
      </c>
      <c r="B426" s="206">
        <f>IFERROR(__xludf.DUMMYFUNCTION("""COMPUTED_VALUE"""),44671.0)</f>
        <v>44671</v>
      </c>
      <c r="C426" s="207">
        <f>IFERROR(__xludf.DUMMYFUNCTION("""COMPUTED_VALUE"""),0.31431712962962965)</f>
        <v>0.3143171296</v>
      </c>
      <c r="D426" s="50"/>
      <c r="E426" s="58"/>
      <c r="F426" s="58"/>
      <c r="G426" s="58" t="str">
        <f>IFERROR(__xludf.DUMMYFUNCTION("""COMPUTED_VALUE"""),"Null")</f>
        <v>Null</v>
      </c>
      <c r="H426" s="206" t="str">
        <f>IFERROR(__xludf.DUMMYFUNCTION("""COMPUTED_VALUE"""),"Negative")</f>
        <v>Negative</v>
      </c>
      <c r="I426" s="207">
        <f>IFERROR(__xludf.DUMMYFUNCTION("""COMPUTED_VALUE"""),44671.0)</f>
        <v>44671</v>
      </c>
      <c r="J426" s="208">
        <f>IFERROR(__xludf.DUMMYFUNCTION("""COMPUTED_VALUE"""),0.32881944444444444)</f>
        <v>0.3288194444</v>
      </c>
      <c r="K426" s="50">
        <f>IFERROR(__xludf.DUMMYFUNCTION("""COMPUTED_VALUE"""),2.0)</f>
        <v>2</v>
      </c>
      <c r="L426" s="6"/>
      <c r="M426" s="55"/>
      <c r="N426" s="55">
        <f>IFERROR(__xludf.DUMMYFUNCTION("""COMPUTED_VALUE"""),1.0)</f>
        <v>1</v>
      </c>
      <c r="O426" s="55" t="str">
        <f t="shared" si="3"/>
        <v/>
      </c>
      <c r="P426" s="209"/>
      <c r="Q426" s="75" t="b">
        <f>VLOOKUP($B426,'Run Reconcile'!B$2:P1679,15,FALSE)</f>
        <v>1</v>
      </c>
      <c r="R426" s="211" t="str">
        <f t="array" ref="R426">IF($Q426, INDEX('Run Reconcile'!A$2:A1679,MATCH(B426,'Run Reconcile'!B$2:B1679,0),1),IFERROR(0/0,""))</f>
        <v>RUN-COMB_2022-04-20_RFR-024</v>
      </c>
      <c r="S426" s="165" t="str">
        <f t="shared" ref="S426:T426" si="851">IF(COUNTIF(W$2:W1679, $A426) &gt; 0,TRUE,IFERROR(0/0,""))</f>
        <v/>
      </c>
      <c r="T426" s="165" t="str">
        <f t="shared" si="851"/>
        <v/>
      </c>
      <c r="U426" s="147" t="str">
        <f t="array" ref="U426">IF(ISBLANK($R426), IF($S426,VLOOKUP($B426+1,'RFR Data - preExcl'!$BF$2:$BG1679,2,FALSE),IF($T426,INDEX('RFR Data - preExcl'!$BF$2:$BG1679,MATCH($B426,'RFR Data - preExcl'!$BF$2:$BF1679,0)+1,2),VLOOKUP($B426,'RFR Data - preExcl'!$BF$2:$BG1679,2,FALSE))),IFERROR(0/0,""))</f>
        <v/>
      </c>
      <c r="V426" s="212" t="str">
        <f t="shared" si="5"/>
        <v>RUN-COMB_2022-04-20_RFR-024</v>
      </c>
      <c r="W426" s="51"/>
      <c r="X426" s="51"/>
      <c r="Y426" s="147" t="str">
        <f t="shared" ref="Y426:Z426" si="852">IF(_xlfn.ISFORMULA(S426),IFERROR(0/0,""),TRUE)</f>
        <v/>
      </c>
      <c r="Z426" s="147" t="str">
        <f t="shared" si="852"/>
        <v/>
      </c>
    </row>
    <row r="427">
      <c r="A427" s="6" t="str">
        <f>IFERROR(__xludf.DUMMYFUNCTION("""COMPUTED_VALUE"""),"FM4268")</f>
        <v>FM4268</v>
      </c>
      <c r="B427" s="206">
        <f>IFERROR(__xludf.DUMMYFUNCTION("""COMPUTED_VALUE"""),44671.0)</f>
        <v>44671</v>
      </c>
      <c r="C427" s="207">
        <f>IFERROR(__xludf.DUMMYFUNCTION("""COMPUTED_VALUE"""),0.31483796296296296)</f>
        <v>0.314837963</v>
      </c>
      <c r="D427" s="50"/>
      <c r="E427" s="58"/>
      <c r="F427" s="58"/>
      <c r="G427" s="58" t="str">
        <f>IFERROR(__xludf.DUMMYFUNCTION("""COMPUTED_VALUE"""),"Null")</f>
        <v>Null</v>
      </c>
      <c r="H427" s="206" t="str">
        <f>IFERROR(__xludf.DUMMYFUNCTION("""COMPUTED_VALUE"""),"Negative")</f>
        <v>Negative</v>
      </c>
      <c r="I427" s="207">
        <f>IFERROR(__xludf.DUMMYFUNCTION("""COMPUTED_VALUE"""),44671.0)</f>
        <v>44671</v>
      </c>
      <c r="J427" s="208">
        <f>IFERROR(__xludf.DUMMYFUNCTION("""COMPUTED_VALUE"""),0.32883101851851854)</f>
        <v>0.3288310185</v>
      </c>
      <c r="K427" s="50">
        <f>IFERROR(__xludf.DUMMYFUNCTION("""COMPUTED_VALUE"""),2.0)</f>
        <v>2</v>
      </c>
      <c r="L427" s="6"/>
      <c r="M427" s="55"/>
      <c r="N427" s="55">
        <f>IFERROR(__xludf.DUMMYFUNCTION("""COMPUTED_VALUE"""),1.0)</f>
        <v>1</v>
      </c>
      <c r="O427" s="55" t="str">
        <f t="shared" si="3"/>
        <v/>
      </c>
      <c r="P427" s="209"/>
      <c r="Q427" s="75" t="b">
        <f>VLOOKUP($B427,'Run Reconcile'!B$2:P1679,15,FALSE)</f>
        <v>1</v>
      </c>
      <c r="R427" s="211" t="str">
        <f t="array" ref="R427">IF($Q427, INDEX('Run Reconcile'!A$2:A1679,MATCH(B427,'Run Reconcile'!B$2:B1679,0),1),IFERROR(0/0,""))</f>
        <v>RUN-COMB_2022-04-20_RFR-024</v>
      </c>
      <c r="S427" s="165" t="str">
        <f t="shared" ref="S427:T427" si="853">IF(COUNTIF(W$2:W1679, $A427) &gt; 0,TRUE,IFERROR(0/0,""))</f>
        <v/>
      </c>
      <c r="T427" s="165" t="str">
        <f t="shared" si="853"/>
        <v/>
      </c>
      <c r="U427" s="147" t="str">
        <f t="array" ref="U427">IF(ISBLANK($R427), IF($S427,VLOOKUP($B427+1,'RFR Data - preExcl'!$BF$2:$BG1679,2,FALSE),IF($T427,INDEX('RFR Data - preExcl'!$BF$2:$BG1679,MATCH($B427,'RFR Data - preExcl'!$BF$2:$BF1679,0)+1,2),VLOOKUP($B427,'RFR Data - preExcl'!$BF$2:$BG1679,2,FALSE))),IFERROR(0/0,""))</f>
        <v/>
      </c>
      <c r="V427" s="212" t="str">
        <f t="shared" si="5"/>
        <v>RUN-COMB_2022-04-20_RFR-024</v>
      </c>
      <c r="W427" s="51"/>
      <c r="X427" s="51"/>
      <c r="Y427" s="147" t="str">
        <f t="shared" ref="Y427:Z427" si="854">IF(_xlfn.ISFORMULA(S427),IFERROR(0/0,""),TRUE)</f>
        <v/>
      </c>
      <c r="Z427" s="147" t="str">
        <f t="shared" si="854"/>
        <v/>
      </c>
    </row>
    <row r="428">
      <c r="A428" s="6" t="str">
        <f>IFERROR(__xludf.DUMMYFUNCTION("""COMPUTED_VALUE"""),"FM3975")</f>
        <v>FM3975</v>
      </c>
      <c r="B428" s="206">
        <f>IFERROR(__xludf.DUMMYFUNCTION("""COMPUTED_VALUE"""),44671.0)</f>
        <v>44671</v>
      </c>
      <c r="C428" s="207">
        <f>IFERROR(__xludf.DUMMYFUNCTION("""COMPUTED_VALUE"""),0.31601851851851853)</f>
        <v>0.3160185185</v>
      </c>
      <c r="D428" s="50"/>
      <c r="E428" s="58"/>
      <c r="F428" s="58"/>
      <c r="G428" s="58" t="str">
        <f>IFERROR(__xludf.DUMMYFUNCTION("""COMPUTED_VALUE"""),"Null")</f>
        <v>Null</v>
      </c>
      <c r="H428" s="206" t="str">
        <f>IFERROR(__xludf.DUMMYFUNCTION("""COMPUTED_VALUE"""),"Negative")</f>
        <v>Negative</v>
      </c>
      <c r="I428" s="207">
        <f>IFERROR(__xludf.DUMMYFUNCTION("""COMPUTED_VALUE"""),44671.0)</f>
        <v>44671</v>
      </c>
      <c r="J428" s="208">
        <f>IFERROR(__xludf.DUMMYFUNCTION("""COMPUTED_VALUE"""),0.32885416666666667)</f>
        <v>0.3288541667</v>
      </c>
      <c r="K428" s="50">
        <f>IFERROR(__xludf.DUMMYFUNCTION("""COMPUTED_VALUE"""),2.0)</f>
        <v>2</v>
      </c>
      <c r="L428" s="6"/>
      <c r="M428" s="55"/>
      <c r="N428" s="55">
        <f>IFERROR(__xludf.DUMMYFUNCTION("""COMPUTED_VALUE"""),1.0)</f>
        <v>1</v>
      </c>
      <c r="O428" s="55" t="str">
        <f t="shared" si="3"/>
        <v/>
      </c>
      <c r="P428" s="209"/>
      <c r="Q428" s="75" t="b">
        <f>VLOOKUP($B428,'Run Reconcile'!B$2:P1679,15,FALSE)</f>
        <v>1</v>
      </c>
      <c r="R428" s="211" t="str">
        <f t="array" ref="R428">IF($Q428, INDEX('Run Reconcile'!A$2:A1679,MATCH(B428,'Run Reconcile'!B$2:B1679,0),1),IFERROR(0/0,""))</f>
        <v>RUN-COMB_2022-04-20_RFR-024</v>
      </c>
      <c r="S428" s="165" t="str">
        <f t="shared" ref="S428:T428" si="855">IF(COUNTIF(W$2:W1679, $A428) &gt; 0,TRUE,IFERROR(0/0,""))</f>
        <v/>
      </c>
      <c r="T428" s="165" t="str">
        <f t="shared" si="855"/>
        <v/>
      </c>
      <c r="U428" s="147" t="str">
        <f t="array" ref="U428">IF(ISBLANK($R428), IF($S428,VLOOKUP($B428+1,'RFR Data - preExcl'!$BF$2:$BG1679,2,FALSE),IF($T428,INDEX('RFR Data - preExcl'!$BF$2:$BG1679,MATCH($B428,'RFR Data - preExcl'!$BF$2:$BF1679,0)+1,2),VLOOKUP($B428,'RFR Data - preExcl'!$BF$2:$BG1679,2,FALSE))),IFERROR(0/0,""))</f>
        <v/>
      </c>
      <c r="V428" s="212" t="str">
        <f t="shared" si="5"/>
        <v>RUN-COMB_2022-04-20_RFR-024</v>
      </c>
      <c r="W428" s="51"/>
      <c r="X428" s="51"/>
      <c r="Y428" s="147" t="str">
        <f t="shared" ref="Y428:Z428" si="856">IF(_xlfn.ISFORMULA(S428),IFERROR(0/0,""),TRUE)</f>
        <v/>
      </c>
      <c r="Z428" s="147" t="str">
        <f t="shared" si="856"/>
        <v/>
      </c>
    </row>
    <row r="429">
      <c r="A429" s="6" t="str">
        <f>IFERROR(__xludf.DUMMYFUNCTION("""COMPUTED_VALUE"""),"FM4310")</f>
        <v>FM4310</v>
      </c>
      <c r="B429" s="206">
        <f>IFERROR(__xludf.DUMMYFUNCTION("""COMPUTED_VALUE"""),44671.0)</f>
        <v>44671</v>
      </c>
      <c r="C429" s="207">
        <f>IFERROR(__xludf.DUMMYFUNCTION("""COMPUTED_VALUE"""),0.31677083333333333)</f>
        <v>0.3167708333</v>
      </c>
      <c r="D429" s="50"/>
      <c r="E429" s="58"/>
      <c r="F429" s="58"/>
      <c r="G429" s="58" t="str">
        <f>IFERROR(__xludf.DUMMYFUNCTION("""COMPUTED_VALUE"""),"Null")</f>
        <v>Null</v>
      </c>
      <c r="H429" s="206" t="str">
        <f>IFERROR(__xludf.DUMMYFUNCTION("""COMPUTED_VALUE"""),"Negative")</f>
        <v>Negative</v>
      </c>
      <c r="I429" s="207">
        <f>IFERROR(__xludf.DUMMYFUNCTION("""COMPUTED_VALUE"""),44671.0)</f>
        <v>44671</v>
      </c>
      <c r="J429" s="208">
        <f>IFERROR(__xludf.DUMMYFUNCTION("""COMPUTED_VALUE"""),0.32885416666666667)</f>
        <v>0.3288541667</v>
      </c>
      <c r="K429" s="50">
        <f>IFERROR(__xludf.DUMMYFUNCTION("""COMPUTED_VALUE"""),2.0)</f>
        <v>2</v>
      </c>
      <c r="L429" s="6"/>
      <c r="M429" s="55"/>
      <c r="N429" s="55">
        <f>IFERROR(__xludf.DUMMYFUNCTION("""COMPUTED_VALUE"""),1.0)</f>
        <v>1</v>
      </c>
      <c r="O429" s="55" t="str">
        <f t="shared" si="3"/>
        <v/>
      </c>
      <c r="P429" s="209"/>
      <c r="Q429" s="75" t="b">
        <f>VLOOKUP($B429,'Run Reconcile'!B$2:P1679,15,FALSE)</f>
        <v>1</v>
      </c>
      <c r="R429" s="211" t="str">
        <f t="array" ref="R429">IF($Q429, INDEX('Run Reconcile'!A$2:A1679,MATCH(B429,'Run Reconcile'!B$2:B1679,0),1),IFERROR(0/0,""))</f>
        <v>RUN-COMB_2022-04-20_RFR-024</v>
      </c>
      <c r="S429" s="165" t="str">
        <f t="shared" ref="S429:T429" si="857">IF(COUNTIF(W$2:W1679, $A429) &gt; 0,TRUE,IFERROR(0/0,""))</f>
        <v/>
      </c>
      <c r="T429" s="165" t="str">
        <f t="shared" si="857"/>
        <v/>
      </c>
      <c r="U429" s="147" t="str">
        <f t="array" ref="U429">IF(ISBLANK($R429), IF($S429,VLOOKUP($B429+1,'RFR Data - preExcl'!$BF$2:$BG1679,2,FALSE),IF($T429,INDEX('RFR Data - preExcl'!$BF$2:$BG1679,MATCH($B429,'RFR Data - preExcl'!$BF$2:$BF1679,0)+1,2),VLOOKUP($B429,'RFR Data - preExcl'!$BF$2:$BG1679,2,FALSE))),IFERROR(0/0,""))</f>
        <v/>
      </c>
      <c r="V429" s="212" t="str">
        <f t="shared" si="5"/>
        <v>RUN-COMB_2022-04-20_RFR-024</v>
      </c>
      <c r="W429" s="51"/>
      <c r="X429" s="51"/>
      <c r="Y429" s="147" t="str">
        <f t="shared" ref="Y429:Z429" si="858">IF(_xlfn.ISFORMULA(S429),IFERROR(0/0,""),TRUE)</f>
        <v/>
      </c>
      <c r="Z429" s="147" t="str">
        <f t="shared" si="858"/>
        <v/>
      </c>
    </row>
    <row r="430">
      <c r="A430" s="6" t="str">
        <f>IFERROR(__xludf.DUMMYFUNCTION("""COMPUTED_VALUE"""),"FM4274")</f>
        <v>FM4274</v>
      </c>
      <c r="B430" s="206">
        <f>IFERROR(__xludf.DUMMYFUNCTION("""COMPUTED_VALUE"""),44671.0)</f>
        <v>44671</v>
      </c>
      <c r="C430" s="207">
        <f>IFERROR(__xludf.DUMMYFUNCTION("""COMPUTED_VALUE"""),0.3175925925925926)</f>
        <v>0.3175925926</v>
      </c>
      <c r="D430" s="50"/>
      <c r="E430" s="58"/>
      <c r="F430" s="58"/>
      <c r="G430" s="58" t="str">
        <f>IFERROR(__xludf.DUMMYFUNCTION("""COMPUTED_VALUE"""),"Null")</f>
        <v>Null</v>
      </c>
      <c r="H430" s="206" t="str">
        <f>IFERROR(__xludf.DUMMYFUNCTION("""COMPUTED_VALUE"""),"Negative")</f>
        <v>Negative</v>
      </c>
      <c r="I430" s="207">
        <f>IFERROR(__xludf.DUMMYFUNCTION("""COMPUTED_VALUE"""),44671.0)</f>
        <v>44671</v>
      </c>
      <c r="J430" s="208">
        <f>IFERROR(__xludf.DUMMYFUNCTION("""COMPUTED_VALUE"""),0.32886574074074076)</f>
        <v>0.3288657407</v>
      </c>
      <c r="K430" s="50">
        <f>IFERROR(__xludf.DUMMYFUNCTION("""COMPUTED_VALUE"""),2.0)</f>
        <v>2</v>
      </c>
      <c r="L430" s="6"/>
      <c r="M430" s="55"/>
      <c r="N430" s="55">
        <f>IFERROR(__xludf.DUMMYFUNCTION("""COMPUTED_VALUE"""),1.0)</f>
        <v>1</v>
      </c>
      <c r="O430" s="55" t="str">
        <f t="shared" si="3"/>
        <v/>
      </c>
      <c r="P430" s="209"/>
      <c r="Q430" s="75" t="b">
        <f>VLOOKUP($B430,'Run Reconcile'!B$2:P1679,15,FALSE)</f>
        <v>1</v>
      </c>
      <c r="R430" s="211" t="str">
        <f t="array" ref="R430">IF($Q430, INDEX('Run Reconcile'!A$2:A1679,MATCH(B430,'Run Reconcile'!B$2:B1679,0),1),IFERROR(0/0,""))</f>
        <v>RUN-COMB_2022-04-20_RFR-024</v>
      </c>
      <c r="S430" s="165" t="str">
        <f t="shared" ref="S430:T430" si="859">IF(COUNTIF(W$2:W1679, $A430) &gt; 0,TRUE,IFERROR(0/0,""))</f>
        <v/>
      </c>
      <c r="T430" s="165" t="str">
        <f t="shared" si="859"/>
        <v/>
      </c>
      <c r="U430" s="147" t="str">
        <f t="array" ref="U430">IF(ISBLANK($R430), IF($S430,VLOOKUP($B430+1,'RFR Data - preExcl'!$BF$2:$BG1679,2,FALSE),IF($T430,INDEX('RFR Data - preExcl'!$BF$2:$BG1679,MATCH($B430,'RFR Data - preExcl'!$BF$2:$BF1679,0)+1,2),VLOOKUP($B430,'RFR Data - preExcl'!$BF$2:$BG1679,2,FALSE))),IFERROR(0/0,""))</f>
        <v/>
      </c>
      <c r="V430" s="212" t="str">
        <f t="shared" si="5"/>
        <v>RUN-COMB_2022-04-20_RFR-024</v>
      </c>
      <c r="W430" s="51"/>
      <c r="X430" s="51"/>
      <c r="Y430" s="147" t="str">
        <f t="shared" ref="Y430:Z430" si="860">IF(_xlfn.ISFORMULA(S430),IFERROR(0/0,""),TRUE)</f>
        <v/>
      </c>
      <c r="Z430" s="147" t="str">
        <f t="shared" si="860"/>
        <v/>
      </c>
    </row>
    <row r="431">
      <c r="A431" s="6" t="str">
        <f>IFERROR(__xludf.DUMMYFUNCTION("""COMPUTED_VALUE"""),"FM4278")</f>
        <v>FM4278</v>
      </c>
      <c r="B431" s="206">
        <f>IFERROR(__xludf.DUMMYFUNCTION("""COMPUTED_VALUE"""),44671.0)</f>
        <v>44671</v>
      </c>
      <c r="C431" s="207">
        <f>IFERROR(__xludf.DUMMYFUNCTION("""COMPUTED_VALUE"""),0.3192361111111111)</f>
        <v>0.3192361111</v>
      </c>
      <c r="D431" s="50"/>
      <c r="E431" s="58"/>
      <c r="F431" s="58"/>
      <c r="G431" s="58" t="str">
        <f>IFERROR(__xludf.DUMMYFUNCTION("""COMPUTED_VALUE"""),"Null")</f>
        <v>Null</v>
      </c>
      <c r="H431" s="206" t="str">
        <f>IFERROR(__xludf.DUMMYFUNCTION("""COMPUTED_VALUE"""),"Negative")</f>
        <v>Negative</v>
      </c>
      <c r="I431" s="207">
        <f>IFERROR(__xludf.DUMMYFUNCTION("""COMPUTED_VALUE"""),44671.0)</f>
        <v>44671</v>
      </c>
      <c r="J431" s="208">
        <f>IFERROR(__xludf.DUMMYFUNCTION("""COMPUTED_VALUE"""),0.3288773148148148)</f>
        <v>0.3288773148</v>
      </c>
      <c r="K431" s="50">
        <f>IFERROR(__xludf.DUMMYFUNCTION("""COMPUTED_VALUE"""),2.0)</f>
        <v>2</v>
      </c>
      <c r="L431" s="6"/>
      <c r="M431" s="55"/>
      <c r="N431" s="55">
        <f>IFERROR(__xludf.DUMMYFUNCTION("""COMPUTED_VALUE"""),1.0)</f>
        <v>1</v>
      </c>
      <c r="O431" s="55" t="str">
        <f t="shared" si="3"/>
        <v/>
      </c>
      <c r="P431" s="209"/>
      <c r="Q431" s="75" t="b">
        <f>VLOOKUP($B431,'Run Reconcile'!B$2:P1679,15,FALSE)</f>
        <v>1</v>
      </c>
      <c r="R431" s="211" t="str">
        <f t="array" ref="R431">IF($Q431, INDEX('Run Reconcile'!A$2:A1679,MATCH(B431,'Run Reconcile'!B$2:B1679,0),1),IFERROR(0/0,""))</f>
        <v>RUN-COMB_2022-04-20_RFR-024</v>
      </c>
      <c r="S431" s="165" t="str">
        <f t="shared" ref="S431:T431" si="861">IF(COUNTIF(W$2:W1679, $A431) &gt; 0,TRUE,IFERROR(0/0,""))</f>
        <v/>
      </c>
      <c r="T431" s="165" t="str">
        <f t="shared" si="861"/>
        <v/>
      </c>
      <c r="U431" s="147" t="str">
        <f t="array" ref="U431">IF(ISBLANK($R431), IF($S431,VLOOKUP($B431+1,'RFR Data - preExcl'!$BF$2:$BG1679,2,FALSE),IF($T431,INDEX('RFR Data - preExcl'!$BF$2:$BG1679,MATCH($B431,'RFR Data - preExcl'!$BF$2:$BF1679,0)+1,2),VLOOKUP($B431,'RFR Data - preExcl'!$BF$2:$BG1679,2,FALSE))),IFERROR(0/0,""))</f>
        <v/>
      </c>
      <c r="V431" s="212" t="str">
        <f t="shared" si="5"/>
        <v>RUN-COMB_2022-04-20_RFR-024</v>
      </c>
      <c r="W431" s="51"/>
      <c r="X431" s="51"/>
      <c r="Y431" s="147" t="str">
        <f t="shared" ref="Y431:Z431" si="862">IF(_xlfn.ISFORMULA(S431),IFERROR(0/0,""),TRUE)</f>
        <v/>
      </c>
      <c r="Z431" s="147" t="str">
        <f t="shared" si="862"/>
        <v/>
      </c>
    </row>
    <row r="432">
      <c r="A432" s="6" t="str">
        <f>IFERROR(__xludf.DUMMYFUNCTION("""COMPUTED_VALUE"""),"FM4279")</f>
        <v>FM4279</v>
      </c>
      <c r="B432" s="206">
        <f>IFERROR(__xludf.DUMMYFUNCTION("""COMPUTED_VALUE"""),44671.0)</f>
        <v>44671</v>
      </c>
      <c r="C432" s="207">
        <f>IFERROR(__xludf.DUMMYFUNCTION("""COMPUTED_VALUE"""),0.32127314814814817)</f>
        <v>0.3212731481</v>
      </c>
      <c r="D432" s="50"/>
      <c r="E432" s="58"/>
      <c r="F432" s="58"/>
      <c r="G432" s="58" t="str">
        <f>IFERROR(__xludf.DUMMYFUNCTION("""COMPUTED_VALUE"""),"Null")</f>
        <v>Null</v>
      </c>
      <c r="H432" s="206" t="str">
        <f>IFERROR(__xludf.DUMMYFUNCTION("""COMPUTED_VALUE"""),"Negative")</f>
        <v>Negative</v>
      </c>
      <c r="I432" s="207">
        <f>IFERROR(__xludf.DUMMYFUNCTION("""COMPUTED_VALUE"""),44671.0)</f>
        <v>44671</v>
      </c>
      <c r="J432" s="208">
        <f>IFERROR(__xludf.DUMMYFUNCTION("""COMPUTED_VALUE"""),0.3288773148148148)</f>
        <v>0.3288773148</v>
      </c>
      <c r="K432" s="50">
        <f>IFERROR(__xludf.DUMMYFUNCTION("""COMPUTED_VALUE"""),2.0)</f>
        <v>2</v>
      </c>
      <c r="L432" s="6"/>
      <c r="M432" s="55"/>
      <c r="N432" s="55">
        <f>IFERROR(__xludf.DUMMYFUNCTION("""COMPUTED_VALUE"""),1.0)</f>
        <v>1</v>
      </c>
      <c r="O432" s="55" t="str">
        <f t="shared" si="3"/>
        <v/>
      </c>
      <c r="P432" s="209"/>
      <c r="Q432" s="75" t="b">
        <f>VLOOKUP($B432,'Run Reconcile'!B$2:P1679,15,FALSE)</f>
        <v>1</v>
      </c>
      <c r="R432" s="211" t="str">
        <f t="array" ref="R432">IF($Q432, INDEX('Run Reconcile'!A$2:A1679,MATCH(B432,'Run Reconcile'!B$2:B1679,0),1),IFERROR(0/0,""))</f>
        <v>RUN-COMB_2022-04-20_RFR-024</v>
      </c>
      <c r="S432" s="165" t="str">
        <f t="shared" ref="S432:T432" si="863">IF(COUNTIF(W$2:W1679, $A432) &gt; 0,TRUE,IFERROR(0/0,""))</f>
        <v/>
      </c>
      <c r="T432" s="165" t="str">
        <f t="shared" si="863"/>
        <v/>
      </c>
      <c r="U432" s="147" t="str">
        <f t="array" ref="U432">IF(ISBLANK($R432), IF($S432,VLOOKUP($B432+1,'RFR Data - preExcl'!$BF$2:$BG1679,2,FALSE),IF($T432,INDEX('RFR Data - preExcl'!$BF$2:$BG1679,MATCH($B432,'RFR Data - preExcl'!$BF$2:$BF1679,0)+1,2),VLOOKUP($B432,'RFR Data - preExcl'!$BF$2:$BG1679,2,FALSE))),IFERROR(0/0,""))</f>
        <v/>
      </c>
      <c r="V432" s="212" t="str">
        <f t="shared" si="5"/>
        <v>RUN-COMB_2022-04-20_RFR-024</v>
      </c>
      <c r="W432" s="51"/>
      <c r="X432" s="51"/>
      <c r="Y432" s="147" t="str">
        <f t="shared" ref="Y432:Z432" si="864">IF(_xlfn.ISFORMULA(S432),IFERROR(0/0,""),TRUE)</f>
        <v/>
      </c>
      <c r="Z432" s="147" t="str">
        <f t="shared" si="864"/>
        <v/>
      </c>
    </row>
    <row r="433">
      <c r="A433" s="6" t="str">
        <f>IFERROR(__xludf.DUMMYFUNCTION("""COMPUTED_VALUE"""),"FM4004")</f>
        <v>FM4004</v>
      </c>
      <c r="B433" s="206">
        <f>IFERROR(__xludf.DUMMYFUNCTION("""COMPUTED_VALUE"""),44671.0)</f>
        <v>44671</v>
      </c>
      <c r="C433" s="207">
        <f>IFERROR(__xludf.DUMMYFUNCTION("""COMPUTED_VALUE"""),0.3220601851851852)</f>
        <v>0.3220601852</v>
      </c>
      <c r="D433" s="50"/>
      <c r="E433" s="58"/>
      <c r="F433" s="58"/>
      <c r="G433" s="58" t="str">
        <f>IFERROR(__xludf.DUMMYFUNCTION("""COMPUTED_VALUE"""),"Null")</f>
        <v>Null</v>
      </c>
      <c r="H433" s="206" t="str">
        <f>IFERROR(__xludf.DUMMYFUNCTION("""COMPUTED_VALUE"""),"Negative")</f>
        <v>Negative</v>
      </c>
      <c r="I433" s="207">
        <f>IFERROR(__xludf.DUMMYFUNCTION("""COMPUTED_VALUE"""),44671.0)</f>
        <v>44671</v>
      </c>
      <c r="J433" s="208">
        <f>IFERROR(__xludf.DUMMYFUNCTION("""COMPUTED_VALUE"""),0.3288888888888889)</f>
        <v>0.3288888889</v>
      </c>
      <c r="K433" s="50">
        <f>IFERROR(__xludf.DUMMYFUNCTION("""COMPUTED_VALUE"""),2.0)</f>
        <v>2</v>
      </c>
      <c r="L433" s="6"/>
      <c r="M433" s="55"/>
      <c r="N433" s="55">
        <f>IFERROR(__xludf.DUMMYFUNCTION("""COMPUTED_VALUE"""),1.0)</f>
        <v>1</v>
      </c>
      <c r="O433" s="55" t="str">
        <f t="shared" si="3"/>
        <v/>
      </c>
      <c r="P433" s="209"/>
      <c r="Q433" s="75" t="b">
        <f>VLOOKUP($B433,'Run Reconcile'!B$2:P1679,15,FALSE)</f>
        <v>1</v>
      </c>
      <c r="R433" s="211" t="str">
        <f t="array" ref="R433">IF($Q433, INDEX('Run Reconcile'!A$2:A1679,MATCH(B433,'Run Reconcile'!B$2:B1679,0),1),IFERROR(0/0,""))</f>
        <v>RUN-COMB_2022-04-20_RFR-024</v>
      </c>
      <c r="S433" s="165" t="str">
        <f t="shared" ref="S433:T433" si="865">IF(COUNTIF(W$2:W1679, $A433) &gt; 0,TRUE,IFERROR(0/0,""))</f>
        <v/>
      </c>
      <c r="T433" s="165" t="str">
        <f t="shared" si="865"/>
        <v/>
      </c>
      <c r="U433" s="147" t="str">
        <f t="array" ref="U433">IF(ISBLANK($R433), IF($S433,VLOOKUP($B433+1,'RFR Data - preExcl'!$BF$2:$BG1679,2,FALSE),IF($T433,INDEX('RFR Data - preExcl'!$BF$2:$BG1679,MATCH($B433,'RFR Data - preExcl'!$BF$2:$BF1679,0)+1,2),VLOOKUP($B433,'RFR Data - preExcl'!$BF$2:$BG1679,2,FALSE))),IFERROR(0/0,""))</f>
        <v/>
      </c>
      <c r="V433" s="212" t="str">
        <f t="shared" si="5"/>
        <v>RUN-COMB_2022-04-20_RFR-024</v>
      </c>
      <c r="W433" s="51"/>
      <c r="X433" s="51"/>
      <c r="Y433" s="147" t="str">
        <f t="shared" ref="Y433:Z433" si="866">IF(_xlfn.ISFORMULA(S433),IFERROR(0/0,""),TRUE)</f>
        <v/>
      </c>
      <c r="Z433" s="147" t="str">
        <f t="shared" si="866"/>
        <v/>
      </c>
    </row>
    <row r="434">
      <c r="A434" s="6" t="str">
        <f>IFERROR(__xludf.DUMMYFUNCTION("""COMPUTED_VALUE"""),"FM4325")</f>
        <v>FM4325</v>
      </c>
      <c r="B434" s="206">
        <f>IFERROR(__xludf.DUMMYFUNCTION("""COMPUTED_VALUE"""),44671.0)</f>
        <v>44671</v>
      </c>
      <c r="C434" s="207">
        <f>IFERROR(__xludf.DUMMYFUNCTION("""COMPUTED_VALUE"""),0.32252314814814814)</f>
        <v>0.3225231481</v>
      </c>
      <c r="D434" s="50"/>
      <c r="E434" s="58"/>
      <c r="F434" s="58"/>
      <c r="G434" s="58" t="str">
        <f>IFERROR(__xludf.DUMMYFUNCTION("""COMPUTED_VALUE"""),"Null")</f>
        <v>Null</v>
      </c>
      <c r="H434" s="206" t="str">
        <f>IFERROR(__xludf.DUMMYFUNCTION("""COMPUTED_VALUE"""),"Negative")</f>
        <v>Negative</v>
      </c>
      <c r="I434" s="207"/>
      <c r="J434" s="50"/>
      <c r="K434" s="50">
        <f>IFERROR(__xludf.DUMMYFUNCTION("""COMPUTED_VALUE"""),2.0)</f>
        <v>2</v>
      </c>
      <c r="L434" s="6"/>
      <c r="M434" s="55"/>
      <c r="N434" s="55">
        <f>IFERROR(__xludf.DUMMYFUNCTION("""COMPUTED_VALUE"""),1.0)</f>
        <v>1</v>
      </c>
      <c r="O434" s="55" t="str">
        <f t="shared" si="3"/>
        <v/>
      </c>
      <c r="P434" s="209"/>
      <c r="Q434" s="75" t="b">
        <f>VLOOKUP($B434,'Run Reconcile'!B$2:P1679,15,FALSE)</f>
        <v>1</v>
      </c>
      <c r="R434" s="211" t="str">
        <f t="array" ref="R434">IF($Q434, INDEX('Run Reconcile'!A$2:A1679,MATCH(B434,'Run Reconcile'!B$2:B1679,0),1),IFERROR(0/0,""))</f>
        <v>RUN-COMB_2022-04-20_RFR-024</v>
      </c>
      <c r="S434" s="165" t="str">
        <f t="shared" ref="S434:T434" si="867">IF(COUNTIF(W$2:W1679, $A434) &gt; 0,TRUE,IFERROR(0/0,""))</f>
        <v/>
      </c>
      <c r="T434" s="165" t="str">
        <f t="shared" si="867"/>
        <v/>
      </c>
      <c r="U434" s="147" t="str">
        <f t="array" ref="U434">IF(ISBLANK($R434), IF($S434,VLOOKUP($B434+1,'RFR Data - preExcl'!$BF$2:$BG1679,2,FALSE),IF($T434,INDEX('RFR Data - preExcl'!$BF$2:$BG1679,MATCH($B434,'RFR Data - preExcl'!$BF$2:$BF1679,0)+1,2),VLOOKUP($B434,'RFR Data - preExcl'!$BF$2:$BG1679,2,FALSE))),IFERROR(0/0,""))</f>
        <v/>
      </c>
      <c r="V434" s="212" t="str">
        <f t="shared" si="5"/>
        <v>RUN-COMB_2022-04-20_RFR-024</v>
      </c>
      <c r="W434" s="51"/>
      <c r="X434" s="51"/>
      <c r="Y434" s="147" t="str">
        <f t="shared" ref="Y434:Z434" si="868">IF(_xlfn.ISFORMULA(S434),IFERROR(0/0,""),TRUE)</f>
        <v/>
      </c>
      <c r="Z434" s="147" t="str">
        <f t="shared" si="868"/>
        <v/>
      </c>
    </row>
    <row r="435">
      <c r="A435" s="6" t="str">
        <f>IFERROR(__xludf.DUMMYFUNCTION("""COMPUTED_VALUE"""),"FM4075")</f>
        <v>FM4075</v>
      </c>
      <c r="B435" s="206">
        <f>IFERROR(__xludf.DUMMYFUNCTION("""COMPUTED_VALUE"""),44671.0)</f>
        <v>44671</v>
      </c>
      <c r="C435" s="207">
        <f>IFERROR(__xludf.DUMMYFUNCTION("""COMPUTED_VALUE"""),0.32307870370370373)</f>
        <v>0.3230787037</v>
      </c>
      <c r="D435" s="50"/>
      <c r="E435" s="58"/>
      <c r="F435" s="58"/>
      <c r="G435" s="58" t="str">
        <f>IFERROR(__xludf.DUMMYFUNCTION("""COMPUTED_VALUE"""),"Null")</f>
        <v>Null</v>
      </c>
      <c r="H435" s="206" t="str">
        <f>IFERROR(__xludf.DUMMYFUNCTION("""COMPUTED_VALUE"""),"Negative")</f>
        <v>Negative</v>
      </c>
      <c r="I435" s="207"/>
      <c r="J435" s="50"/>
      <c r="K435" s="50">
        <f>IFERROR(__xludf.DUMMYFUNCTION("""COMPUTED_VALUE"""),2.0)</f>
        <v>2</v>
      </c>
      <c r="L435" s="6"/>
      <c r="M435" s="55"/>
      <c r="N435" s="55">
        <f>IFERROR(__xludf.DUMMYFUNCTION("""COMPUTED_VALUE"""),1.0)</f>
        <v>1</v>
      </c>
      <c r="O435" s="55" t="str">
        <f t="shared" si="3"/>
        <v/>
      </c>
      <c r="P435" s="209"/>
      <c r="Q435" s="75" t="b">
        <f>VLOOKUP($B435,'Run Reconcile'!B$2:P1679,15,FALSE)</f>
        <v>1</v>
      </c>
      <c r="R435" s="211" t="str">
        <f t="array" ref="R435">IF($Q435, INDEX('Run Reconcile'!A$2:A1679,MATCH(B435,'Run Reconcile'!B$2:B1679,0),1),IFERROR(0/0,""))</f>
        <v>RUN-COMB_2022-04-20_RFR-024</v>
      </c>
      <c r="S435" s="165" t="str">
        <f t="shared" ref="S435:T435" si="869">IF(COUNTIF(W$2:W1679, $A435) &gt; 0,TRUE,IFERROR(0/0,""))</f>
        <v/>
      </c>
      <c r="T435" s="165" t="str">
        <f t="shared" si="869"/>
        <v/>
      </c>
      <c r="U435" s="147" t="str">
        <f t="array" ref="U435">IF(ISBLANK($R435), IF($S435,VLOOKUP($B435+1,'RFR Data - preExcl'!$BF$2:$BG1679,2,FALSE),IF($T435,INDEX('RFR Data - preExcl'!$BF$2:$BG1679,MATCH($B435,'RFR Data - preExcl'!$BF$2:$BF1679,0)+1,2),VLOOKUP($B435,'RFR Data - preExcl'!$BF$2:$BG1679,2,FALSE))),IFERROR(0/0,""))</f>
        <v/>
      </c>
      <c r="V435" s="212" t="str">
        <f t="shared" si="5"/>
        <v>RUN-COMB_2022-04-20_RFR-024</v>
      </c>
      <c r="W435" s="51"/>
      <c r="X435" s="51"/>
      <c r="Y435" s="147" t="str">
        <f t="shared" ref="Y435:Z435" si="870">IF(_xlfn.ISFORMULA(S435),IFERROR(0/0,""),TRUE)</f>
        <v/>
      </c>
      <c r="Z435" s="147" t="str">
        <f t="shared" si="870"/>
        <v/>
      </c>
    </row>
    <row r="436">
      <c r="A436" s="6" t="str">
        <f>IFERROR(__xludf.DUMMYFUNCTION("""COMPUTED_VALUE"""),"FM4476")</f>
        <v>FM4476</v>
      </c>
      <c r="B436" s="206">
        <f>IFERROR(__xludf.DUMMYFUNCTION("""COMPUTED_VALUE"""),44672.0)</f>
        <v>44672</v>
      </c>
      <c r="C436" s="207">
        <f>IFERROR(__xludf.DUMMYFUNCTION("""COMPUTED_VALUE"""),0.2834259259259259)</f>
        <v>0.2834259259</v>
      </c>
      <c r="D436" s="50"/>
      <c r="E436" s="58"/>
      <c r="F436" s="58"/>
      <c r="G436" s="58" t="str">
        <f>IFERROR(__xludf.DUMMYFUNCTION("""COMPUTED_VALUE"""),"Negative")</f>
        <v>Negative</v>
      </c>
      <c r="H436" s="206" t="str">
        <f>IFERROR(__xludf.DUMMYFUNCTION("""COMPUTED_VALUE"""),"Negative")</f>
        <v>Negative</v>
      </c>
      <c r="I436" s="207">
        <f>IFERROR(__xludf.DUMMYFUNCTION("""COMPUTED_VALUE"""),44672.0)</f>
        <v>44672</v>
      </c>
      <c r="J436" s="208">
        <f>IFERROR(__xludf.DUMMYFUNCTION("""COMPUTED_VALUE"""),0.44784722222222223)</f>
        <v>0.4478472222</v>
      </c>
      <c r="K436" s="50"/>
      <c r="L436" s="6"/>
      <c r="M436" s="55"/>
      <c r="N436" s="55">
        <f>IFERROR(__xludf.DUMMYFUNCTION("""COMPUTED_VALUE"""),1.0)</f>
        <v>1</v>
      </c>
      <c r="O436" s="55" t="b">
        <f t="shared" si="3"/>
        <v>1</v>
      </c>
      <c r="P436" s="209"/>
      <c r="Q436" s="75" t="b">
        <f>VLOOKUP($B436,'Run Reconcile'!B$2:P1679,15,FALSE)</f>
        <v>1</v>
      </c>
      <c r="R436" s="211" t="str">
        <f t="array" ref="R436">IF($Q436, INDEX('Run Reconcile'!A$2:A1679,MATCH(B436,'Run Reconcile'!B$2:B1679,0),1),IFERROR(0/0,""))</f>
        <v>RUN-COMB_2022-04-21_RFR-025</v>
      </c>
      <c r="S436" s="165" t="str">
        <f t="shared" ref="S436:T436" si="871">IF(COUNTIF(W$2:W1679, $A436) &gt; 0,TRUE,IFERROR(0/0,""))</f>
        <v/>
      </c>
      <c r="T436" s="165" t="str">
        <f t="shared" si="871"/>
        <v/>
      </c>
      <c r="U436" s="147" t="str">
        <f t="array" ref="U436">IF(ISBLANK($R436), IF($S436,VLOOKUP($B436+1,'RFR Data - preExcl'!$BF$2:$BG1679,2,FALSE),IF($T436,INDEX('RFR Data - preExcl'!$BF$2:$BG1679,MATCH($B436,'RFR Data - preExcl'!$BF$2:$BF1679,0)+1,2),VLOOKUP($B436,'RFR Data - preExcl'!$BF$2:$BG1679,2,FALSE))),IFERROR(0/0,""))</f>
        <v/>
      </c>
      <c r="V436" s="212" t="str">
        <f t="shared" si="5"/>
        <v>RUN-COMB_2022-04-21_RFR-025</v>
      </c>
      <c r="W436" s="51"/>
      <c r="X436" s="51"/>
      <c r="Y436" s="147" t="str">
        <f t="shared" ref="Y436:Z436" si="872">IF(_xlfn.ISFORMULA(S436),IFERROR(0/0,""),TRUE)</f>
        <v/>
      </c>
      <c r="Z436" s="147" t="str">
        <f t="shared" si="872"/>
        <v/>
      </c>
    </row>
    <row r="437">
      <c r="A437" s="6" t="str">
        <f>IFERROR(__xludf.DUMMYFUNCTION("""COMPUTED_VALUE"""),"FM4306")</f>
        <v>FM4306</v>
      </c>
      <c r="B437" s="206">
        <f>IFERROR(__xludf.DUMMYFUNCTION("""COMPUTED_VALUE"""),44672.0)</f>
        <v>44672</v>
      </c>
      <c r="C437" s="207">
        <f>IFERROR(__xludf.DUMMYFUNCTION("""COMPUTED_VALUE"""),0.2838310185185185)</f>
        <v>0.2838310185</v>
      </c>
      <c r="D437" s="50"/>
      <c r="E437" s="58"/>
      <c r="F437" s="58"/>
      <c r="G437" s="58" t="str">
        <f>IFERROR(__xludf.DUMMYFUNCTION("""COMPUTED_VALUE"""),"Negative")</f>
        <v>Negative</v>
      </c>
      <c r="H437" s="206" t="str">
        <f>IFERROR(__xludf.DUMMYFUNCTION("""COMPUTED_VALUE"""),"Negative")</f>
        <v>Negative</v>
      </c>
      <c r="I437" s="207">
        <f>IFERROR(__xludf.DUMMYFUNCTION("""COMPUTED_VALUE"""),44672.0)</f>
        <v>44672</v>
      </c>
      <c r="J437" s="208">
        <f>IFERROR(__xludf.DUMMYFUNCTION("""COMPUTED_VALUE"""),0.44785879629629627)</f>
        <v>0.4478587963</v>
      </c>
      <c r="K437" s="50"/>
      <c r="L437" s="6"/>
      <c r="M437" s="55"/>
      <c r="N437" s="55">
        <f>IFERROR(__xludf.DUMMYFUNCTION("""COMPUTED_VALUE"""),1.0)</f>
        <v>1</v>
      </c>
      <c r="O437" s="55" t="str">
        <f t="shared" si="3"/>
        <v/>
      </c>
      <c r="P437" s="209"/>
      <c r="Q437" s="75" t="b">
        <f>VLOOKUP($B437,'Run Reconcile'!B$2:P1679,15,FALSE)</f>
        <v>1</v>
      </c>
      <c r="R437" s="211" t="str">
        <f t="array" ref="R437">IF($Q437, INDEX('Run Reconcile'!A$2:A1679,MATCH(B437,'Run Reconcile'!B$2:B1679,0),1),IFERROR(0/0,""))</f>
        <v>RUN-COMB_2022-04-21_RFR-025</v>
      </c>
      <c r="S437" s="165" t="str">
        <f t="shared" ref="S437:T437" si="873">IF(COUNTIF(W$2:W1679, $A437) &gt; 0,TRUE,IFERROR(0/0,""))</f>
        <v/>
      </c>
      <c r="T437" s="165" t="str">
        <f t="shared" si="873"/>
        <v/>
      </c>
      <c r="U437" s="147" t="str">
        <f t="array" ref="U437">IF(ISBLANK($R437), IF($S437,VLOOKUP($B437+1,'RFR Data - preExcl'!$BF$2:$BG1679,2,FALSE),IF($T437,INDEX('RFR Data - preExcl'!$BF$2:$BG1679,MATCH($B437,'RFR Data - preExcl'!$BF$2:$BF1679,0)+1,2),VLOOKUP($B437,'RFR Data - preExcl'!$BF$2:$BG1679,2,FALSE))),IFERROR(0/0,""))</f>
        <v/>
      </c>
      <c r="V437" s="212" t="str">
        <f t="shared" si="5"/>
        <v>RUN-COMB_2022-04-21_RFR-025</v>
      </c>
      <c r="W437" s="51"/>
      <c r="X437" s="51"/>
      <c r="Y437" s="147" t="str">
        <f t="shared" ref="Y437:Z437" si="874">IF(_xlfn.ISFORMULA(S437),IFERROR(0/0,""),TRUE)</f>
        <v/>
      </c>
      <c r="Z437" s="147" t="str">
        <f t="shared" si="874"/>
        <v/>
      </c>
    </row>
    <row r="438">
      <c r="A438" s="6" t="str">
        <f>IFERROR(__xludf.DUMMYFUNCTION("""COMPUTED_VALUE"""),"FM4314")</f>
        <v>FM4314</v>
      </c>
      <c r="B438" s="206">
        <f>IFERROR(__xludf.DUMMYFUNCTION("""COMPUTED_VALUE"""),44672.0)</f>
        <v>44672</v>
      </c>
      <c r="C438" s="207">
        <f>IFERROR(__xludf.DUMMYFUNCTION("""COMPUTED_VALUE"""),0.28423611111111113)</f>
        <v>0.2842361111</v>
      </c>
      <c r="D438" s="50"/>
      <c r="E438" s="58"/>
      <c r="F438" s="58"/>
      <c r="G438" s="58" t="str">
        <f>IFERROR(__xludf.DUMMYFUNCTION("""COMPUTED_VALUE"""),"Negative")</f>
        <v>Negative</v>
      </c>
      <c r="H438" s="206" t="str">
        <f>IFERROR(__xludf.DUMMYFUNCTION("""COMPUTED_VALUE"""),"Negative")</f>
        <v>Negative</v>
      </c>
      <c r="I438" s="207">
        <f>IFERROR(__xludf.DUMMYFUNCTION("""COMPUTED_VALUE"""),44672.0)</f>
        <v>44672</v>
      </c>
      <c r="J438" s="208">
        <f>IFERROR(__xludf.DUMMYFUNCTION("""COMPUTED_VALUE"""),0.44787037037037036)</f>
        <v>0.4478703704</v>
      </c>
      <c r="K438" s="50"/>
      <c r="L438" s="6"/>
      <c r="M438" s="55"/>
      <c r="N438" s="55">
        <f>IFERROR(__xludf.DUMMYFUNCTION("""COMPUTED_VALUE"""),1.0)</f>
        <v>1</v>
      </c>
      <c r="O438" s="55" t="str">
        <f t="shared" si="3"/>
        <v/>
      </c>
      <c r="P438" s="209"/>
      <c r="Q438" s="75" t="b">
        <f>VLOOKUP($B438,'Run Reconcile'!B$2:P1679,15,FALSE)</f>
        <v>1</v>
      </c>
      <c r="R438" s="211" t="str">
        <f t="array" ref="R438">IF($Q438, INDEX('Run Reconcile'!A$2:A1679,MATCH(B438,'Run Reconcile'!B$2:B1679,0),1),IFERROR(0/0,""))</f>
        <v>RUN-COMB_2022-04-21_RFR-025</v>
      </c>
      <c r="S438" s="165" t="str">
        <f t="shared" ref="S438:T438" si="875">IF(COUNTIF(W$2:W1679, $A438) &gt; 0,TRUE,IFERROR(0/0,""))</f>
        <v/>
      </c>
      <c r="T438" s="165" t="str">
        <f t="shared" si="875"/>
        <v/>
      </c>
      <c r="U438" s="147" t="str">
        <f t="array" ref="U438">IF(ISBLANK($R438), IF($S438,VLOOKUP($B438+1,'RFR Data - preExcl'!$BF$2:$BG1679,2,FALSE),IF($T438,INDEX('RFR Data - preExcl'!$BF$2:$BG1679,MATCH($B438,'RFR Data - preExcl'!$BF$2:$BF1679,0)+1,2),VLOOKUP($B438,'RFR Data - preExcl'!$BF$2:$BG1679,2,FALSE))),IFERROR(0/0,""))</f>
        <v/>
      </c>
      <c r="V438" s="212" t="str">
        <f t="shared" si="5"/>
        <v>RUN-COMB_2022-04-21_RFR-025</v>
      </c>
      <c r="W438" s="51"/>
      <c r="X438" s="51"/>
      <c r="Y438" s="147" t="str">
        <f t="shared" ref="Y438:Z438" si="876">IF(_xlfn.ISFORMULA(S438),IFERROR(0/0,""),TRUE)</f>
        <v/>
      </c>
      <c r="Z438" s="147" t="str">
        <f t="shared" si="876"/>
        <v/>
      </c>
    </row>
    <row r="439">
      <c r="A439" s="6" t="str">
        <f>IFERROR(__xludf.DUMMYFUNCTION("""COMPUTED_VALUE"""),"FM3937")</f>
        <v>FM3937</v>
      </c>
      <c r="B439" s="206">
        <f>IFERROR(__xludf.DUMMYFUNCTION("""COMPUTED_VALUE"""),44672.0)</f>
        <v>44672</v>
      </c>
      <c r="C439" s="207">
        <f>IFERROR(__xludf.DUMMYFUNCTION("""COMPUTED_VALUE"""),0.2890509259259259)</f>
        <v>0.2890509259</v>
      </c>
      <c r="D439" s="50"/>
      <c r="E439" s="58"/>
      <c r="F439" s="58"/>
      <c r="G439" s="58" t="str">
        <f>IFERROR(__xludf.DUMMYFUNCTION("""COMPUTED_VALUE"""),"Negative")</f>
        <v>Negative</v>
      </c>
      <c r="H439" s="206" t="str">
        <f>IFERROR(__xludf.DUMMYFUNCTION("""COMPUTED_VALUE"""),"Negative")</f>
        <v>Negative</v>
      </c>
      <c r="I439" s="207">
        <f>IFERROR(__xludf.DUMMYFUNCTION("""COMPUTED_VALUE"""),44672.0)</f>
        <v>44672</v>
      </c>
      <c r="J439" s="208">
        <f>IFERROR(__xludf.DUMMYFUNCTION("""COMPUTED_VALUE"""),0.4478935185185185)</f>
        <v>0.4478935185</v>
      </c>
      <c r="K439" s="50"/>
      <c r="L439" s="6"/>
      <c r="M439" s="55"/>
      <c r="N439" s="55">
        <f>IFERROR(__xludf.DUMMYFUNCTION("""COMPUTED_VALUE"""),1.0)</f>
        <v>1</v>
      </c>
      <c r="O439" s="55" t="str">
        <f t="shared" si="3"/>
        <v/>
      </c>
      <c r="P439" s="209"/>
      <c r="Q439" s="75" t="b">
        <f>VLOOKUP($B439,'Run Reconcile'!B$2:P1679,15,FALSE)</f>
        <v>1</v>
      </c>
      <c r="R439" s="211" t="str">
        <f t="array" ref="R439">IF($Q439, INDEX('Run Reconcile'!A$2:A1679,MATCH(B439,'Run Reconcile'!B$2:B1679,0),1),IFERROR(0/0,""))</f>
        <v>RUN-COMB_2022-04-21_RFR-025</v>
      </c>
      <c r="S439" s="165" t="str">
        <f t="shared" ref="S439:T439" si="877">IF(COUNTIF(W$2:W1679, $A439) &gt; 0,TRUE,IFERROR(0/0,""))</f>
        <v/>
      </c>
      <c r="T439" s="165" t="str">
        <f t="shared" si="877"/>
        <v/>
      </c>
      <c r="U439" s="147" t="str">
        <f t="array" ref="U439">IF(ISBLANK($R439), IF($S439,VLOOKUP($B439+1,'RFR Data - preExcl'!$BF$2:$BG1679,2,FALSE),IF($T439,INDEX('RFR Data - preExcl'!$BF$2:$BG1679,MATCH($B439,'RFR Data - preExcl'!$BF$2:$BF1679,0)+1,2),VLOOKUP($B439,'RFR Data - preExcl'!$BF$2:$BG1679,2,FALSE))),IFERROR(0/0,""))</f>
        <v/>
      </c>
      <c r="V439" s="212" t="str">
        <f t="shared" si="5"/>
        <v>RUN-COMB_2022-04-21_RFR-025</v>
      </c>
      <c r="W439" s="51"/>
      <c r="X439" s="51"/>
      <c r="Y439" s="147" t="str">
        <f t="shared" ref="Y439:Z439" si="878">IF(_xlfn.ISFORMULA(S439),IFERROR(0/0,""),TRUE)</f>
        <v/>
      </c>
      <c r="Z439" s="147" t="str">
        <f t="shared" si="878"/>
        <v/>
      </c>
    </row>
    <row r="440">
      <c r="A440" s="6" t="str">
        <f>IFERROR(__xludf.DUMMYFUNCTION("""COMPUTED_VALUE"""),"FM4455")</f>
        <v>FM4455</v>
      </c>
      <c r="B440" s="206">
        <f>IFERROR(__xludf.DUMMYFUNCTION("""COMPUTED_VALUE"""),44672.0)</f>
        <v>44672</v>
      </c>
      <c r="C440" s="207">
        <f>IFERROR(__xludf.DUMMYFUNCTION("""COMPUTED_VALUE"""),0.2896296296296296)</f>
        <v>0.2896296296</v>
      </c>
      <c r="D440" s="50"/>
      <c r="E440" s="58"/>
      <c r="F440" s="58"/>
      <c r="G440" s="58" t="str">
        <f>IFERROR(__xludf.DUMMYFUNCTION("""COMPUTED_VALUE"""),"Negative")</f>
        <v>Negative</v>
      </c>
      <c r="H440" s="206" t="str">
        <f>IFERROR(__xludf.DUMMYFUNCTION("""COMPUTED_VALUE"""),"Negative")</f>
        <v>Negative</v>
      </c>
      <c r="I440" s="207">
        <f>IFERROR(__xludf.DUMMYFUNCTION("""COMPUTED_VALUE"""),44672.0)</f>
        <v>44672</v>
      </c>
      <c r="J440" s="208">
        <f>IFERROR(__xludf.DUMMYFUNCTION("""COMPUTED_VALUE"""),0.4479050925925926)</f>
        <v>0.4479050926</v>
      </c>
      <c r="K440" s="50"/>
      <c r="L440" s="6"/>
      <c r="M440" s="55"/>
      <c r="N440" s="55">
        <f>IFERROR(__xludf.DUMMYFUNCTION("""COMPUTED_VALUE"""),1.0)</f>
        <v>1</v>
      </c>
      <c r="O440" s="55" t="str">
        <f t="shared" si="3"/>
        <v/>
      </c>
      <c r="P440" s="209"/>
      <c r="Q440" s="75" t="b">
        <f>VLOOKUP($B440,'Run Reconcile'!B$2:P1679,15,FALSE)</f>
        <v>1</v>
      </c>
      <c r="R440" s="211" t="str">
        <f t="array" ref="R440">IF($Q440, INDEX('Run Reconcile'!A$2:A1679,MATCH(B440,'Run Reconcile'!B$2:B1679,0),1),IFERROR(0/0,""))</f>
        <v>RUN-COMB_2022-04-21_RFR-025</v>
      </c>
      <c r="S440" s="165" t="str">
        <f t="shared" ref="S440:T440" si="879">IF(COUNTIF(W$2:W1679, $A440) &gt; 0,TRUE,IFERROR(0/0,""))</f>
        <v/>
      </c>
      <c r="T440" s="165" t="str">
        <f t="shared" si="879"/>
        <v/>
      </c>
      <c r="U440" s="147" t="str">
        <f t="array" ref="U440">IF(ISBLANK($R440), IF($S440,VLOOKUP($B440+1,'RFR Data - preExcl'!$BF$2:$BG1679,2,FALSE),IF($T440,INDEX('RFR Data - preExcl'!$BF$2:$BG1679,MATCH($B440,'RFR Data - preExcl'!$BF$2:$BF1679,0)+1,2),VLOOKUP($B440,'RFR Data - preExcl'!$BF$2:$BG1679,2,FALSE))),IFERROR(0/0,""))</f>
        <v/>
      </c>
      <c r="V440" s="212" t="str">
        <f t="shared" si="5"/>
        <v>RUN-COMB_2022-04-21_RFR-025</v>
      </c>
      <c r="W440" s="51"/>
      <c r="X440" s="51"/>
      <c r="Y440" s="147" t="str">
        <f t="shared" ref="Y440:Z440" si="880">IF(_xlfn.ISFORMULA(S440),IFERROR(0/0,""),TRUE)</f>
        <v/>
      </c>
      <c r="Z440" s="147" t="str">
        <f t="shared" si="880"/>
        <v/>
      </c>
    </row>
    <row r="441">
      <c r="A441" s="6" t="str">
        <f>IFERROR(__xludf.DUMMYFUNCTION("""COMPUTED_VALUE"""),"FM4277")</f>
        <v>FM4277</v>
      </c>
      <c r="B441" s="206">
        <f>IFERROR(__xludf.DUMMYFUNCTION("""COMPUTED_VALUE"""),44672.0)</f>
        <v>44672</v>
      </c>
      <c r="C441" s="207">
        <f>IFERROR(__xludf.DUMMYFUNCTION("""COMPUTED_VALUE"""),0.29100694444444447)</f>
        <v>0.2910069444</v>
      </c>
      <c r="D441" s="50"/>
      <c r="E441" s="58"/>
      <c r="F441" s="58"/>
      <c r="G441" s="58" t="str">
        <f>IFERROR(__xludf.DUMMYFUNCTION("""COMPUTED_VALUE"""),"Negative")</f>
        <v>Negative</v>
      </c>
      <c r="H441" s="206" t="str">
        <f>IFERROR(__xludf.DUMMYFUNCTION("""COMPUTED_VALUE"""),"Negative")</f>
        <v>Negative</v>
      </c>
      <c r="I441" s="207">
        <f>IFERROR(__xludf.DUMMYFUNCTION("""COMPUTED_VALUE"""),44672.0)</f>
        <v>44672</v>
      </c>
      <c r="J441" s="208">
        <f>IFERROR(__xludf.DUMMYFUNCTION("""COMPUTED_VALUE"""),0.4479166666666667)</f>
        <v>0.4479166667</v>
      </c>
      <c r="K441" s="50"/>
      <c r="L441" s="6"/>
      <c r="M441" s="55"/>
      <c r="N441" s="55">
        <f>IFERROR(__xludf.DUMMYFUNCTION("""COMPUTED_VALUE"""),1.0)</f>
        <v>1</v>
      </c>
      <c r="O441" s="55" t="str">
        <f t="shared" si="3"/>
        <v/>
      </c>
      <c r="P441" s="209"/>
      <c r="Q441" s="75" t="b">
        <f>VLOOKUP($B441,'Run Reconcile'!B$2:P1679,15,FALSE)</f>
        <v>1</v>
      </c>
      <c r="R441" s="211" t="str">
        <f t="array" ref="R441">IF($Q441, INDEX('Run Reconcile'!A$2:A1679,MATCH(B441,'Run Reconcile'!B$2:B1679,0),1),IFERROR(0/0,""))</f>
        <v>RUN-COMB_2022-04-21_RFR-025</v>
      </c>
      <c r="S441" s="165" t="str">
        <f t="shared" ref="S441:T441" si="881">IF(COUNTIF(W$2:W1679, $A441) &gt; 0,TRUE,IFERROR(0/0,""))</f>
        <v/>
      </c>
      <c r="T441" s="165" t="str">
        <f t="shared" si="881"/>
        <v/>
      </c>
      <c r="U441" s="147" t="str">
        <f t="array" ref="U441">IF(ISBLANK($R441), IF($S441,VLOOKUP($B441+1,'RFR Data - preExcl'!$BF$2:$BG1679,2,FALSE),IF($T441,INDEX('RFR Data - preExcl'!$BF$2:$BG1679,MATCH($B441,'RFR Data - preExcl'!$BF$2:$BF1679,0)+1,2),VLOOKUP($B441,'RFR Data - preExcl'!$BF$2:$BG1679,2,FALSE))),IFERROR(0/0,""))</f>
        <v/>
      </c>
      <c r="V441" s="212" t="str">
        <f t="shared" si="5"/>
        <v>RUN-COMB_2022-04-21_RFR-025</v>
      </c>
      <c r="W441" s="51"/>
      <c r="X441" s="51"/>
      <c r="Y441" s="147" t="str">
        <f t="shared" ref="Y441:Z441" si="882">IF(_xlfn.ISFORMULA(S441),IFERROR(0/0,""),TRUE)</f>
        <v/>
      </c>
      <c r="Z441" s="147" t="str">
        <f t="shared" si="882"/>
        <v/>
      </c>
    </row>
    <row r="442">
      <c r="A442" s="6" t="str">
        <f>IFERROR(__xludf.DUMMYFUNCTION("""COMPUTED_VALUE"""),"FM4266")</f>
        <v>FM4266</v>
      </c>
      <c r="B442" s="206">
        <f>IFERROR(__xludf.DUMMYFUNCTION("""COMPUTED_VALUE"""),44672.0)</f>
        <v>44672</v>
      </c>
      <c r="C442" s="207">
        <f>IFERROR(__xludf.DUMMYFUNCTION("""COMPUTED_VALUE"""),0.29138888888888886)</f>
        <v>0.2913888889</v>
      </c>
      <c r="D442" s="50"/>
      <c r="E442" s="58"/>
      <c r="F442" s="58"/>
      <c r="G442" s="58" t="str">
        <f>IFERROR(__xludf.DUMMYFUNCTION("""COMPUTED_VALUE"""),"Negative")</f>
        <v>Negative</v>
      </c>
      <c r="H442" s="206" t="str">
        <f>IFERROR(__xludf.DUMMYFUNCTION("""COMPUTED_VALUE"""),"Negative")</f>
        <v>Negative</v>
      </c>
      <c r="I442" s="207">
        <f>IFERROR(__xludf.DUMMYFUNCTION("""COMPUTED_VALUE"""),44672.0)</f>
        <v>44672</v>
      </c>
      <c r="J442" s="208">
        <f>IFERROR(__xludf.DUMMYFUNCTION("""COMPUTED_VALUE"""),0.4479282407407407)</f>
        <v>0.4479282407</v>
      </c>
      <c r="K442" s="50"/>
      <c r="L442" s="6"/>
      <c r="M442" s="55"/>
      <c r="N442" s="55">
        <f>IFERROR(__xludf.DUMMYFUNCTION("""COMPUTED_VALUE"""),1.0)</f>
        <v>1</v>
      </c>
      <c r="O442" s="55" t="str">
        <f t="shared" si="3"/>
        <v/>
      </c>
      <c r="P442" s="209"/>
      <c r="Q442" s="75" t="b">
        <f>VLOOKUP($B442,'Run Reconcile'!B$2:P1679,15,FALSE)</f>
        <v>1</v>
      </c>
      <c r="R442" s="211" t="str">
        <f t="array" ref="R442">IF($Q442, INDEX('Run Reconcile'!A$2:A1679,MATCH(B442,'Run Reconcile'!B$2:B1679,0),1),IFERROR(0/0,""))</f>
        <v>RUN-COMB_2022-04-21_RFR-025</v>
      </c>
      <c r="S442" s="165" t="str">
        <f t="shared" ref="S442:T442" si="883">IF(COUNTIF(W$2:W1679, $A442) &gt; 0,TRUE,IFERROR(0/0,""))</f>
        <v/>
      </c>
      <c r="T442" s="165" t="str">
        <f t="shared" si="883"/>
        <v/>
      </c>
      <c r="U442" s="147" t="str">
        <f t="array" ref="U442">IF(ISBLANK($R442), IF($S442,VLOOKUP($B442+1,'RFR Data - preExcl'!$BF$2:$BG1679,2,FALSE),IF($T442,INDEX('RFR Data - preExcl'!$BF$2:$BG1679,MATCH($B442,'RFR Data - preExcl'!$BF$2:$BF1679,0)+1,2),VLOOKUP($B442,'RFR Data - preExcl'!$BF$2:$BG1679,2,FALSE))),IFERROR(0/0,""))</f>
        <v/>
      </c>
      <c r="V442" s="212" t="str">
        <f t="shared" si="5"/>
        <v>RUN-COMB_2022-04-21_RFR-025</v>
      </c>
      <c r="W442" s="51"/>
      <c r="X442" s="51"/>
      <c r="Y442" s="147" t="str">
        <f t="shared" ref="Y442:Z442" si="884">IF(_xlfn.ISFORMULA(S442),IFERROR(0/0,""),TRUE)</f>
        <v/>
      </c>
      <c r="Z442" s="147" t="str">
        <f t="shared" si="884"/>
        <v/>
      </c>
    </row>
    <row r="443">
      <c r="A443" s="6" t="str">
        <f>IFERROR(__xludf.DUMMYFUNCTION("""COMPUTED_VALUE"""),"FM4329")</f>
        <v>FM4329</v>
      </c>
      <c r="B443" s="206">
        <f>IFERROR(__xludf.DUMMYFUNCTION("""COMPUTED_VALUE"""),44672.0)</f>
        <v>44672</v>
      </c>
      <c r="C443" s="207">
        <f>IFERROR(__xludf.DUMMYFUNCTION("""COMPUTED_VALUE"""),0.29182870370370373)</f>
        <v>0.2918287037</v>
      </c>
      <c r="D443" s="50"/>
      <c r="E443" s="58"/>
      <c r="F443" s="58"/>
      <c r="G443" s="58" t="str">
        <f>IFERROR(__xludf.DUMMYFUNCTION("""COMPUTED_VALUE"""),"Negative")</f>
        <v>Negative</v>
      </c>
      <c r="H443" s="206" t="str">
        <f>IFERROR(__xludf.DUMMYFUNCTION("""COMPUTED_VALUE"""),"Negative")</f>
        <v>Negative</v>
      </c>
      <c r="I443" s="207">
        <f>IFERROR(__xludf.DUMMYFUNCTION("""COMPUTED_VALUE"""),44672.0)</f>
        <v>44672</v>
      </c>
      <c r="J443" s="208">
        <f>IFERROR(__xludf.DUMMYFUNCTION("""COMPUTED_VALUE"""),0.4479398148148148)</f>
        <v>0.4479398148</v>
      </c>
      <c r="K443" s="50"/>
      <c r="L443" s="6"/>
      <c r="M443" s="55"/>
      <c r="N443" s="55">
        <f>IFERROR(__xludf.DUMMYFUNCTION("""COMPUTED_VALUE"""),1.0)</f>
        <v>1</v>
      </c>
      <c r="O443" s="55" t="str">
        <f t="shared" si="3"/>
        <v/>
      </c>
      <c r="P443" s="209"/>
      <c r="Q443" s="75" t="b">
        <f>VLOOKUP($B443,'Run Reconcile'!B$2:P1679,15,FALSE)</f>
        <v>1</v>
      </c>
      <c r="R443" s="211" t="str">
        <f t="array" ref="R443">IF($Q443, INDEX('Run Reconcile'!A$2:A1679,MATCH(B443,'Run Reconcile'!B$2:B1679,0),1),IFERROR(0/0,""))</f>
        <v>RUN-COMB_2022-04-21_RFR-025</v>
      </c>
      <c r="S443" s="165" t="str">
        <f t="shared" ref="S443:T443" si="885">IF(COUNTIF(W$2:W1679, $A443) &gt; 0,TRUE,IFERROR(0/0,""))</f>
        <v/>
      </c>
      <c r="T443" s="165" t="str">
        <f t="shared" si="885"/>
        <v/>
      </c>
      <c r="U443" s="147" t="str">
        <f t="array" ref="U443">IF(ISBLANK($R443), IF($S443,VLOOKUP($B443+1,'RFR Data - preExcl'!$BF$2:$BG1679,2,FALSE),IF($T443,INDEX('RFR Data - preExcl'!$BF$2:$BG1679,MATCH($B443,'RFR Data - preExcl'!$BF$2:$BF1679,0)+1,2),VLOOKUP($B443,'RFR Data - preExcl'!$BF$2:$BG1679,2,FALSE))),IFERROR(0/0,""))</f>
        <v/>
      </c>
      <c r="V443" s="212" t="str">
        <f t="shared" si="5"/>
        <v>RUN-COMB_2022-04-21_RFR-025</v>
      </c>
      <c r="W443" s="51"/>
      <c r="X443" s="51"/>
      <c r="Y443" s="147" t="str">
        <f t="shared" ref="Y443:Z443" si="886">IF(_xlfn.ISFORMULA(S443),IFERROR(0/0,""),TRUE)</f>
        <v/>
      </c>
      <c r="Z443" s="147" t="str">
        <f t="shared" si="886"/>
        <v/>
      </c>
    </row>
    <row r="444">
      <c r="A444" s="6" t="str">
        <f>IFERROR(__xludf.DUMMYFUNCTION("""COMPUTED_VALUE"""),"FM4321")</f>
        <v>FM4321</v>
      </c>
      <c r="B444" s="206">
        <f>IFERROR(__xludf.DUMMYFUNCTION("""COMPUTED_VALUE"""),44672.0)</f>
        <v>44672</v>
      </c>
      <c r="C444" s="207">
        <f>IFERROR(__xludf.DUMMYFUNCTION("""COMPUTED_VALUE"""),0.292650462962963)</f>
        <v>0.292650463</v>
      </c>
      <c r="D444" s="50"/>
      <c r="E444" s="58"/>
      <c r="F444" s="58"/>
      <c r="G444" s="58" t="str">
        <f>IFERROR(__xludf.DUMMYFUNCTION("""COMPUTED_VALUE"""),"Negative")</f>
        <v>Negative</v>
      </c>
      <c r="H444" s="206" t="str">
        <f>IFERROR(__xludf.DUMMYFUNCTION("""COMPUTED_VALUE"""),"Negative")</f>
        <v>Negative</v>
      </c>
      <c r="I444" s="207">
        <f>IFERROR(__xludf.DUMMYFUNCTION("""COMPUTED_VALUE"""),44672.0)</f>
        <v>44672</v>
      </c>
      <c r="J444" s="208">
        <f>IFERROR(__xludf.DUMMYFUNCTION("""COMPUTED_VALUE"""),0.4479513888888889)</f>
        <v>0.4479513889</v>
      </c>
      <c r="K444" s="50"/>
      <c r="L444" s="6"/>
      <c r="M444" s="55"/>
      <c r="N444" s="55">
        <f>IFERROR(__xludf.DUMMYFUNCTION("""COMPUTED_VALUE"""),1.0)</f>
        <v>1</v>
      </c>
      <c r="O444" s="55" t="str">
        <f t="shared" si="3"/>
        <v/>
      </c>
      <c r="P444" s="209"/>
      <c r="Q444" s="75" t="b">
        <f>VLOOKUP($B444,'Run Reconcile'!B$2:P1679,15,FALSE)</f>
        <v>1</v>
      </c>
      <c r="R444" s="211" t="str">
        <f t="array" ref="R444">IF($Q444, INDEX('Run Reconcile'!A$2:A1679,MATCH(B444,'Run Reconcile'!B$2:B1679,0),1),IFERROR(0/0,""))</f>
        <v>RUN-COMB_2022-04-21_RFR-025</v>
      </c>
      <c r="S444" s="165" t="str">
        <f t="shared" ref="S444:T444" si="887">IF(COUNTIF(W$2:W1679, $A444) &gt; 0,TRUE,IFERROR(0/0,""))</f>
        <v/>
      </c>
      <c r="T444" s="165" t="str">
        <f t="shared" si="887"/>
        <v/>
      </c>
      <c r="U444" s="147" t="str">
        <f t="array" ref="U444">IF(ISBLANK($R444), IF($S444,VLOOKUP($B444+1,'RFR Data - preExcl'!$BF$2:$BG1679,2,FALSE),IF($T444,INDEX('RFR Data - preExcl'!$BF$2:$BG1679,MATCH($B444,'RFR Data - preExcl'!$BF$2:$BF1679,0)+1,2),VLOOKUP($B444,'RFR Data - preExcl'!$BF$2:$BG1679,2,FALSE))),IFERROR(0/0,""))</f>
        <v/>
      </c>
      <c r="V444" s="212" t="str">
        <f t="shared" si="5"/>
        <v>RUN-COMB_2022-04-21_RFR-025</v>
      </c>
      <c r="W444" s="51"/>
      <c r="X444" s="51"/>
      <c r="Y444" s="147" t="str">
        <f t="shared" ref="Y444:Z444" si="888">IF(_xlfn.ISFORMULA(S444),IFERROR(0/0,""),TRUE)</f>
        <v/>
      </c>
      <c r="Z444" s="147" t="str">
        <f t="shared" si="888"/>
        <v/>
      </c>
    </row>
    <row r="445">
      <c r="A445" s="6" t="str">
        <f>IFERROR(__xludf.DUMMYFUNCTION("""COMPUTED_VALUE"""),"FM4061")</f>
        <v>FM4061</v>
      </c>
      <c r="B445" s="206">
        <f>IFERROR(__xludf.DUMMYFUNCTION("""COMPUTED_VALUE"""),44672.0)</f>
        <v>44672</v>
      </c>
      <c r="C445" s="207">
        <f>IFERROR(__xludf.DUMMYFUNCTION("""COMPUTED_VALUE"""),0.29305555555555557)</f>
        <v>0.2930555556</v>
      </c>
      <c r="D445" s="50"/>
      <c r="E445" s="58"/>
      <c r="F445" s="58"/>
      <c r="G445" s="58" t="str">
        <f>IFERROR(__xludf.DUMMYFUNCTION("""COMPUTED_VALUE"""),"Negative")</f>
        <v>Negative</v>
      </c>
      <c r="H445" s="206" t="str">
        <f>IFERROR(__xludf.DUMMYFUNCTION("""COMPUTED_VALUE"""),"Negative")</f>
        <v>Negative</v>
      </c>
      <c r="I445" s="207">
        <f>IFERROR(__xludf.DUMMYFUNCTION("""COMPUTED_VALUE"""),44672.0)</f>
        <v>44672</v>
      </c>
      <c r="J445" s="208">
        <f>IFERROR(__xludf.DUMMYFUNCTION("""COMPUTED_VALUE"""),0.44796296296296295)</f>
        <v>0.447962963</v>
      </c>
      <c r="K445" s="50"/>
      <c r="L445" s="6"/>
      <c r="M445" s="55"/>
      <c r="N445" s="55">
        <f>IFERROR(__xludf.DUMMYFUNCTION("""COMPUTED_VALUE"""),1.0)</f>
        <v>1</v>
      </c>
      <c r="O445" s="55" t="str">
        <f t="shared" si="3"/>
        <v/>
      </c>
      <c r="P445" s="209"/>
      <c r="Q445" s="75" t="b">
        <f>VLOOKUP($B445,'Run Reconcile'!B$2:P1679,15,FALSE)</f>
        <v>1</v>
      </c>
      <c r="R445" s="211" t="str">
        <f t="array" ref="R445">IF($Q445, INDEX('Run Reconcile'!A$2:A1679,MATCH(B445,'Run Reconcile'!B$2:B1679,0),1),IFERROR(0/0,""))</f>
        <v>RUN-COMB_2022-04-21_RFR-025</v>
      </c>
      <c r="S445" s="165" t="str">
        <f t="shared" ref="S445:T445" si="889">IF(COUNTIF(W$2:W1679, $A445) &gt; 0,TRUE,IFERROR(0/0,""))</f>
        <v/>
      </c>
      <c r="T445" s="165" t="str">
        <f t="shared" si="889"/>
        <v/>
      </c>
      <c r="U445" s="147" t="str">
        <f t="array" ref="U445">IF(ISBLANK($R445), IF($S445,VLOOKUP($B445+1,'RFR Data - preExcl'!$BF$2:$BG1679,2,FALSE),IF($T445,INDEX('RFR Data - preExcl'!$BF$2:$BG1679,MATCH($B445,'RFR Data - preExcl'!$BF$2:$BF1679,0)+1,2),VLOOKUP($B445,'RFR Data - preExcl'!$BF$2:$BG1679,2,FALSE))),IFERROR(0/0,""))</f>
        <v/>
      </c>
      <c r="V445" s="212" t="str">
        <f t="shared" si="5"/>
        <v>RUN-COMB_2022-04-21_RFR-025</v>
      </c>
      <c r="W445" s="51"/>
      <c r="X445" s="51"/>
      <c r="Y445" s="147" t="str">
        <f t="shared" ref="Y445:Z445" si="890">IF(_xlfn.ISFORMULA(S445),IFERROR(0/0,""),TRUE)</f>
        <v/>
      </c>
      <c r="Z445" s="147" t="str">
        <f t="shared" si="890"/>
        <v/>
      </c>
    </row>
    <row r="446">
      <c r="A446" s="6" t="str">
        <f>IFERROR(__xludf.DUMMYFUNCTION("""COMPUTED_VALUE"""),"FM4333")</f>
        <v>FM4333</v>
      </c>
      <c r="B446" s="206">
        <f>IFERROR(__xludf.DUMMYFUNCTION("""COMPUTED_VALUE"""),44672.0)</f>
        <v>44672</v>
      </c>
      <c r="C446" s="207">
        <f>IFERROR(__xludf.DUMMYFUNCTION("""COMPUTED_VALUE"""),0.2935185185185185)</f>
        <v>0.2935185185</v>
      </c>
      <c r="D446" s="50"/>
      <c r="E446" s="58"/>
      <c r="F446" s="58"/>
      <c r="G446" s="58" t="str">
        <f>IFERROR(__xludf.DUMMYFUNCTION("""COMPUTED_VALUE"""),"Negative")</f>
        <v>Negative</v>
      </c>
      <c r="H446" s="206" t="str">
        <f>IFERROR(__xludf.DUMMYFUNCTION("""COMPUTED_VALUE"""),"Negative")</f>
        <v>Negative</v>
      </c>
      <c r="I446" s="207">
        <f>IFERROR(__xludf.DUMMYFUNCTION("""COMPUTED_VALUE"""),44672.0)</f>
        <v>44672</v>
      </c>
      <c r="J446" s="208">
        <f>IFERROR(__xludf.DUMMYFUNCTION("""COMPUTED_VALUE"""),0.44796296296296295)</f>
        <v>0.447962963</v>
      </c>
      <c r="K446" s="50"/>
      <c r="L446" s="6"/>
      <c r="M446" s="55"/>
      <c r="N446" s="55">
        <f>IFERROR(__xludf.DUMMYFUNCTION("""COMPUTED_VALUE"""),1.0)</f>
        <v>1</v>
      </c>
      <c r="O446" s="55" t="str">
        <f t="shared" si="3"/>
        <v/>
      </c>
      <c r="P446" s="209"/>
      <c r="Q446" s="75" t="b">
        <f>VLOOKUP($B446,'Run Reconcile'!B$2:P1679,15,FALSE)</f>
        <v>1</v>
      </c>
      <c r="R446" s="211" t="str">
        <f t="array" ref="R446">IF($Q446, INDEX('Run Reconcile'!A$2:A1679,MATCH(B446,'Run Reconcile'!B$2:B1679,0),1),IFERROR(0/0,""))</f>
        <v>RUN-COMB_2022-04-21_RFR-025</v>
      </c>
      <c r="S446" s="165" t="str">
        <f t="shared" ref="S446:T446" si="891">IF(COUNTIF(W$2:W1679, $A446) &gt; 0,TRUE,IFERROR(0/0,""))</f>
        <v/>
      </c>
      <c r="T446" s="165" t="str">
        <f t="shared" si="891"/>
        <v/>
      </c>
      <c r="U446" s="147" t="str">
        <f t="array" ref="U446">IF(ISBLANK($R446), IF($S446,VLOOKUP($B446+1,'RFR Data - preExcl'!$BF$2:$BG1679,2,FALSE),IF($T446,INDEX('RFR Data - preExcl'!$BF$2:$BG1679,MATCH($B446,'RFR Data - preExcl'!$BF$2:$BF1679,0)+1,2),VLOOKUP($B446,'RFR Data - preExcl'!$BF$2:$BG1679,2,FALSE))),IFERROR(0/0,""))</f>
        <v/>
      </c>
      <c r="V446" s="212" t="str">
        <f t="shared" si="5"/>
        <v>RUN-COMB_2022-04-21_RFR-025</v>
      </c>
      <c r="W446" s="51"/>
      <c r="X446" s="51"/>
      <c r="Y446" s="147" t="str">
        <f t="shared" ref="Y446:Z446" si="892">IF(_xlfn.ISFORMULA(S446),IFERROR(0/0,""),TRUE)</f>
        <v/>
      </c>
      <c r="Z446" s="147" t="str">
        <f t="shared" si="892"/>
        <v/>
      </c>
    </row>
    <row r="447">
      <c r="A447" s="6" t="str">
        <f>IFERROR(__xludf.DUMMYFUNCTION("""COMPUTED_VALUE"""),"FM4339")</f>
        <v>FM4339</v>
      </c>
      <c r="B447" s="206">
        <f>IFERROR(__xludf.DUMMYFUNCTION("""COMPUTED_VALUE"""),44672.0)</f>
        <v>44672</v>
      </c>
      <c r="C447" s="207">
        <f>IFERROR(__xludf.DUMMYFUNCTION("""COMPUTED_VALUE"""),0.2938541666666667)</f>
        <v>0.2938541667</v>
      </c>
      <c r="D447" s="50"/>
      <c r="E447" s="58"/>
      <c r="F447" s="58"/>
      <c r="G447" s="58" t="str">
        <f>IFERROR(__xludf.DUMMYFUNCTION("""COMPUTED_VALUE"""),"Negative")</f>
        <v>Negative</v>
      </c>
      <c r="H447" s="206" t="str">
        <f>IFERROR(__xludf.DUMMYFUNCTION("""COMPUTED_VALUE"""),"Negative")</f>
        <v>Negative</v>
      </c>
      <c r="I447" s="207">
        <f>IFERROR(__xludf.DUMMYFUNCTION("""COMPUTED_VALUE"""),44672.0)</f>
        <v>44672</v>
      </c>
      <c r="J447" s="208">
        <f>IFERROR(__xludf.DUMMYFUNCTION("""COMPUTED_VALUE"""),0.44797453703703705)</f>
        <v>0.447974537</v>
      </c>
      <c r="K447" s="50"/>
      <c r="L447" s="6"/>
      <c r="M447" s="55"/>
      <c r="N447" s="55">
        <f>IFERROR(__xludf.DUMMYFUNCTION("""COMPUTED_VALUE"""),1.0)</f>
        <v>1</v>
      </c>
      <c r="O447" s="55" t="str">
        <f t="shared" si="3"/>
        <v/>
      </c>
      <c r="P447" s="209"/>
      <c r="Q447" s="75" t="b">
        <f>VLOOKUP($B447,'Run Reconcile'!B$2:P1679,15,FALSE)</f>
        <v>1</v>
      </c>
      <c r="R447" s="211" t="str">
        <f t="array" ref="R447">IF($Q447, INDEX('Run Reconcile'!A$2:A1679,MATCH(B447,'Run Reconcile'!B$2:B1679,0),1),IFERROR(0/0,""))</f>
        <v>RUN-COMB_2022-04-21_RFR-025</v>
      </c>
      <c r="S447" s="165" t="str">
        <f t="shared" ref="S447:T447" si="893">IF(COUNTIF(W$2:W1679, $A447) &gt; 0,TRUE,IFERROR(0/0,""))</f>
        <v/>
      </c>
      <c r="T447" s="165" t="str">
        <f t="shared" si="893"/>
        <v/>
      </c>
      <c r="U447" s="147" t="str">
        <f t="array" ref="U447">IF(ISBLANK($R447), IF($S447,VLOOKUP($B447+1,'RFR Data - preExcl'!$BF$2:$BG1679,2,FALSE),IF($T447,INDEX('RFR Data - preExcl'!$BF$2:$BG1679,MATCH($B447,'RFR Data - preExcl'!$BF$2:$BF1679,0)+1,2),VLOOKUP($B447,'RFR Data - preExcl'!$BF$2:$BG1679,2,FALSE))),IFERROR(0/0,""))</f>
        <v/>
      </c>
      <c r="V447" s="212" t="str">
        <f t="shared" si="5"/>
        <v>RUN-COMB_2022-04-21_RFR-025</v>
      </c>
      <c r="W447" s="51"/>
      <c r="X447" s="51"/>
      <c r="Y447" s="147" t="str">
        <f t="shared" ref="Y447:Z447" si="894">IF(_xlfn.ISFORMULA(S447),IFERROR(0/0,""),TRUE)</f>
        <v/>
      </c>
      <c r="Z447" s="147" t="str">
        <f t="shared" si="894"/>
        <v/>
      </c>
    </row>
    <row r="448">
      <c r="A448" s="6" t="str">
        <f>IFERROR(__xludf.DUMMYFUNCTION("""COMPUTED_VALUE"""),"FM4312")</f>
        <v>FM4312</v>
      </c>
      <c r="B448" s="206">
        <f>IFERROR(__xludf.DUMMYFUNCTION("""COMPUTED_VALUE"""),44672.0)</f>
        <v>44672</v>
      </c>
      <c r="C448" s="207">
        <f>IFERROR(__xludf.DUMMYFUNCTION("""COMPUTED_VALUE"""),0.29497685185185185)</f>
        <v>0.2949768519</v>
      </c>
      <c r="D448" s="50"/>
      <c r="E448" s="58"/>
      <c r="F448" s="58"/>
      <c r="G448" s="58" t="str">
        <f>IFERROR(__xludf.DUMMYFUNCTION("""COMPUTED_VALUE"""),"Negative")</f>
        <v>Negative</v>
      </c>
      <c r="H448" s="206" t="str">
        <f>IFERROR(__xludf.DUMMYFUNCTION("""COMPUTED_VALUE"""),"Negative")</f>
        <v>Negative</v>
      </c>
      <c r="I448" s="207">
        <f>IFERROR(__xludf.DUMMYFUNCTION("""COMPUTED_VALUE"""),44672.0)</f>
        <v>44672</v>
      </c>
      <c r="J448" s="208">
        <f>IFERROR(__xludf.DUMMYFUNCTION("""COMPUTED_VALUE"""),0.4479976851851852)</f>
        <v>0.4479976852</v>
      </c>
      <c r="K448" s="50"/>
      <c r="L448" s="6"/>
      <c r="M448" s="55"/>
      <c r="N448" s="55">
        <f>IFERROR(__xludf.DUMMYFUNCTION("""COMPUTED_VALUE"""),1.0)</f>
        <v>1</v>
      </c>
      <c r="O448" s="55" t="str">
        <f t="shared" si="3"/>
        <v/>
      </c>
      <c r="P448" s="209"/>
      <c r="Q448" s="75" t="b">
        <f>VLOOKUP($B448,'Run Reconcile'!B$2:P1679,15,FALSE)</f>
        <v>1</v>
      </c>
      <c r="R448" s="211" t="str">
        <f t="array" ref="R448">IF($Q448, INDEX('Run Reconcile'!A$2:A1679,MATCH(B448,'Run Reconcile'!B$2:B1679,0),1),IFERROR(0/0,""))</f>
        <v>RUN-COMB_2022-04-21_RFR-025</v>
      </c>
      <c r="S448" s="165" t="str">
        <f t="shared" ref="S448:T448" si="895">IF(COUNTIF(W$2:W1679, $A448) &gt; 0,TRUE,IFERROR(0/0,""))</f>
        <v/>
      </c>
      <c r="T448" s="165" t="str">
        <f t="shared" si="895"/>
        <v/>
      </c>
      <c r="U448" s="147" t="str">
        <f t="array" ref="U448">IF(ISBLANK($R448), IF($S448,VLOOKUP($B448+1,'RFR Data - preExcl'!$BF$2:$BG1679,2,FALSE),IF($T448,INDEX('RFR Data - preExcl'!$BF$2:$BG1679,MATCH($B448,'RFR Data - preExcl'!$BF$2:$BF1679,0)+1,2),VLOOKUP($B448,'RFR Data - preExcl'!$BF$2:$BG1679,2,FALSE))),IFERROR(0/0,""))</f>
        <v/>
      </c>
      <c r="V448" s="212" t="str">
        <f t="shared" si="5"/>
        <v>RUN-COMB_2022-04-21_RFR-025</v>
      </c>
      <c r="W448" s="51"/>
      <c r="X448" s="51"/>
      <c r="Y448" s="147" t="str">
        <f t="shared" ref="Y448:Z448" si="896">IF(_xlfn.ISFORMULA(S448),IFERROR(0/0,""),TRUE)</f>
        <v/>
      </c>
      <c r="Z448" s="147" t="str">
        <f t="shared" si="896"/>
        <v/>
      </c>
    </row>
    <row r="449">
      <c r="A449" s="6" t="str">
        <f>IFERROR(__xludf.DUMMYFUNCTION("""COMPUTED_VALUE"""),"FM4320")</f>
        <v>FM4320</v>
      </c>
      <c r="B449" s="206">
        <f>IFERROR(__xludf.DUMMYFUNCTION("""COMPUTED_VALUE"""),44672.0)</f>
        <v>44672</v>
      </c>
      <c r="C449" s="207">
        <f>IFERROR(__xludf.DUMMYFUNCTION("""COMPUTED_VALUE"""),0.2964351851851852)</f>
        <v>0.2964351852</v>
      </c>
      <c r="D449" s="50"/>
      <c r="E449" s="58"/>
      <c r="F449" s="58"/>
      <c r="G449" s="58" t="str">
        <f>IFERROR(__xludf.DUMMYFUNCTION("""COMPUTED_VALUE"""),"Negative")</f>
        <v>Negative</v>
      </c>
      <c r="H449" s="206" t="str">
        <f>IFERROR(__xludf.DUMMYFUNCTION("""COMPUTED_VALUE"""),"Negative")</f>
        <v>Negative</v>
      </c>
      <c r="I449" s="207">
        <f>IFERROR(__xludf.DUMMYFUNCTION("""COMPUTED_VALUE"""),44672.0)</f>
        <v>44672</v>
      </c>
      <c r="J449" s="208">
        <f>IFERROR(__xludf.DUMMYFUNCTION("""COMPUTED_VALUE"""),0.4480092592592593)</f>
        <v>0.4480092593</v>
      </c>
      <c r="K449" s="50"/>
      <c r="L449" s="6"/>
      <c r="M449" s="55"/>
      <c r="N449" s="55">
        <f>IFERROR(__xludf.DUMMYFUNCTION("""COMPUTED_VALUE"""),1.0)</f>
        <v>1</v>
      </c>
      <c r="O449" s="55" t="str">
        <f t="shared" si="3"/>
        <v/>
      </c>
      <c r="P449" s="209"/>
      <c r="Q449" s="75" t="b">
        <f>VLOOKUP($B449,'Run Reconcile'!B$2:P1679,15,FALSE)</f>
        <v>1</v>
      </c>
      <c r="R449" s="211" t="str">
        <f t="array" ref="R449">IF($Q449, INDEX('Run Reconcile'!A$2:A1679,MATCH(B449,'Run Reconcile'!B$2:B1679,0),1),IFERROR(0/0,""))</f>
        <v>RUN-COMB_2022-04-21_RFR-025</v>
      </c>
      <c r="S449" s="165" t="str">
        <f t="shared" ref="S449:T449" si="897">IF(COUNTIF(W$2:W1679, $A449) &gt; 0,TRUE,IFERROR(0/0,""))</f>
        <v/>
      </c>
      <c r="T449" s="165" t="str">
        <f t="shared" si="897"/>
        <v/>
      </c>
      <c r="U449" s="147" t="str">
        <f t="array" ref="U449">IF(ISBLANK($R449), IF($S449,VLOOKUP($B449+1,'RFR Data - preExcl'!$BF$2:$BG1679,2,FALSE),IF($T449,INDEX('RFR Data - preExcl'!$BF$2:$BG1679,MATCH($B449,'RFR Data - preExcl'!$BF$2:$BF1679,0)+1,2),VLOOKUP($B449,'RFR Data - preExcl'!$BF$2:$BG1679,2,FALSE))),IFERROR(0/0,""))</f>
        <v/>
      </c>
      <c r="V449" s="212" t="str">
        <f t="shared" si="5"/>
        <v>RUN-COMB_2022-04-21_RFR-025</v>
      </c>
      <c r="W449" s="51"/>
      <c r="X449" s="51"/>
      <c r="Y449" s="147" t="str">
        <f t="shared" ref="Y449:Z449" si="898">IF(_xlfn.ISFORMULA(S449),IFERROR(0/0,""),TRUE)</f>
        <v/>
      </c>
      <c r="Z449" s="147" t="str">
        <f t="shared" si="898"/>
        <v/>
      </c>
    </row>
    <row r="450">
      <c r="A450" s="6" t="str">
        <f>IFERROR(__xludf.DUMMYFUNCTION("""COMPUTED_VALUE"""),"FM4293")</f>
        <v>FM4293</v>
      </c>
      <c r="B450" s="206">
        <f>IFERROR(__xludf.DUMMYFUNCTION("""COMPUTED_VALUE"""),44672.0)</f>
        <v>44672</v>
      </c>
      <c r="C450" s="207">
        <f>IFERROR(__xludf.DUMMYFUNCTION("""COMPUTED_VALUE"""),0.2969212962962963)</f>
        <v>0.2969212963</v>
      </c>
      <c r="D450" s="50"/>
      <c r="E450" s="58"/>
      <c r="F450" s="58"/>
      <c r="G450" s="58" t="str">
        <f>IFERROR(__xludf.DUMMYFUNCTION("""COMPUTED_VALUE"""),"Negative")</f>
        <v>Negative</v>
      </c>
      <c r="H450" s="206" t="str">
        <f>IFERROR(__xludf.DUMMYFUNCTION("""COMPUTED_VALUE"""),"Negative")</f>
        <v>Negative</v>
      </c>
      <c r="I450" s="207">
        <f>IFERROR(__xludf.DUMMYFUNCTION("""COMPUTED_VALUE"""),44672.0)</f>
        <v>44672</v>
      </c>
      <c r="J450" s="208">
        <f>IFERROR(__xludf.DUMMYFUNCTION("""COMPUTED_VALUE"""),0.4480092592592593)</f>
        <v>0.4480092593</v>
      </c>
      <c r="K450" s="50"/>
      <c r="L450" s="6"/>
      <c r="M450" s="55"/>
      <c r="N450" s="55">
        <f>IFERROR(__xludf.DUMMYFUNCTION("""COMPUTED_VALUE"""),1.0)</f>
        <v>1</v>
      </c>
      <c r="O450" s="55" t="str">
        <f t="shared" si="3"/>
        <v/>
      </c>
      <c r="P450" s="209"/>
      <c r="Q450" s="75" t="b">
        <f>VLOOKUP($B450,'Run Reconcile'!B$2:P1679,15,FALSE)</f>
        <v>1</v>
      </c>
      <c r="R450" s="211" t="str">
        <f t="array" ref="R450">IF($Q450, INDEX('Run Reconcile'!A$2:A1679,MATCH(B450,'Run Reconcile'!B$2:B1679,0),1),IFERROR(0/0,""))</f>
        <v>RUN-COMB_2022-04-21_RFR-025</v>
      </c>
      <c r="S450" s="165" t="str">
        <f t="shared" ref="S450:T450" si="899">IF(COUNTIF(W$2:W1679, $A450) &gt; 0,TRUE,IFERROR(0/0,""))</f>
        <v/>
      </c>
      <c r="T450" s="165" t="str">
        <f t="shared" si="899"/>
        <v/>
      </c>
      <c r="U450" s="147" t="str">
        <f t="array" ref="U450">IF(ISBLANK($R450), IF($S450,VLOOKUP($B450+1,'RFR Data - preExcl'!$BF$2:$BG1679,2,FALSE),IF($T450,INDEX('RFR Data - preExcl'!$BF$2:$BG1679,MATCH($B450,'RFR Data - preExcl'!$BF$2:$BF1679,0)+1,2),VLOOKUP($B450,'RFR Data - preExcl'!$BF$2:$BG1679,2,FALSE))),IFERROR(0/0,""))</f>
        <v/>
      </c>
      <c r="V450" s="212" t="str">
        <f t="shared" si="5"/>
        <v>RUN-COMB_2022-04-21_RFR-025</v>
      </c>
      <c r="W450" s="51"/>
      <c r="X450" s="51"/>
      <c r="Y450" s="147" t="str">
        <f t="shared" ref="Y450:Z450" si="900">IF(_xlfn.ISFORMULA(S450),IFERROR(0/0,""),TRUE)</f>
        <v/>
      </c>
      <c r="Z450" s="147" t="str">
        <f t="shared" si="900"/>
        <v/>
      </c>
    </row>
    <row r="451">
      <c r="A451" s="6" t="str">
        <f>IFERROR(__xludf.DUMMYFUNCTION("""COMPUTED_VALUE"""),"FM4283")</f>
        <v>FM4283</v>
      </c>
      <c r="B451" s="206">
        <f>IFERROR(__xludf.DUMMYFUNCTION("""COMPUTED_VALUE"""),44672.0)</f>
        <v>44672</v>
      </c>
      <c r="C451" s="207">
        <f>IFERROR(__xludf.DUMMYFUNCTION("""COMPUTED_VALUE"""),0.2973148148148148)</f>
        <v>0.2973148148</v>
      </c>
      <c r="D451" s="50"/>
      <c r="E451" s="58"/>
      <c r="F451" s="58"/>
      <c r="G451" s="58" t="str">
        <f>IFERROR(__xludf.DUMMYFUNCTION("""COMPUTED_VALUE"""),"Negative")</f>
        <v>Negative</v>
      </c>
      <c r="H451" s="206" t="str">
        <f>IFERROR(__xludf.DUMMYFUNCTION("""COMPUTED_VALUE"""),"Negative")</f>
        <v>Negative</v>
      </c>
      <c r="I451" s="207">
        <f>IFERROR(__xludf.DUMMYFUNCTION("""COMPUTED_VALUE"""),44672.0)</f>
        <v>44672</v>
      </c>
      <c r="J451" s="208">
        <f>IFERROR(__xludf.DUMMYFUNCTION("""COMPUTED_VALUE"""),0.4480208333333333)</f>
        <v>0.4480208333</v>
      </c>
      <c r="K451" s="50"/>
      <c r="L451" s="6"/>
      <c r="M451" s="55"/>
      <c r="N451" s="55">
        <f>IFERROR(__xludf.DUMMYFUNCTION("""COMPUTED_VALUE"""),1.0)</f>
        <v>1</v>
      </c>
      <c r="O451" s="55" t="str">
        <f t="shared" si="3"/>
        <v/>
      </c>
      <c r="P451" s="209"/>
      <c r="Q451" s="75" t="b">
        <f>VLOOKUP($B451,'Run Reconcile'!B$2:P1679,15,FALSE)</f>
        <v>1</v>
      </c>
      <c r="R451" s="211" t="str">
        <f t="array" ref="R451">IF($Q451, INDEX('Run Reconcile'!A$2:A1679,MATCH(B451,'Run Reconcile'!B$2:B1679,0),1),IFERROR(0/0,""))</f>
        <v>RUN-COMB_2022-04-21_RFR-025</v>
      </c>
      <c r="S451" s="165" t="str">
        <f t="shared" ref="S451:T451" si="901">IF(COUNTIF(W$2:W1679, $A451) &gt; 0,TRUE,IFERROR(0/0,""))</f>
        <v/>
      </c>
      <c r="T451" s="165" t="str">
        <f t="shared" si="901"/>
        <v/>
      </c>
      <c r="U451" s="147" t="str">
        <f t="array" ref="U451">IF(ISBLANK($R451), IF($S451,VLOOKUP($B451+1,'RFR Data - preExcl'!$BF$2:$BG1679,2,FALSE),IF($T451,INDEX('RFR Data - preExcl'!$BF$2:$BG1679,MATCH($B451,'RFR Data - preExcl'!$BF$2:$BF1679,0)+1,2),VLOOKUP($B451,'RFR Data - preExcl'!$BF$2:$BG1679,2,FALSE))),IFERROR(0/0,""))</f>
        <v/>
      </c>
      <c r="V451" s="212" t="str">
        <f t="shared" si="5"/>
        <v>RUN-COMB_2022-04-21_RFR-025</v>
      </c>
      <c r="W451" s="51"/>
      <c r="X451" s="51"/>
      <c r="Y451" s="147" t="str">
        <f t="shared" ref="Y451:Z451" si="902">IF(_xlfn.ISFORMULA(S451),IFERROR(0/0,""),TRUE)</f>
        <v/>
      </c>
      <c r="Z451" s="147" t="str">
        <f t="shared" si="902"/>
        <v/>
      </c>
    </row>
    <row r="452">
      <c r="A452" s="6" t="str">
        <f>IFERROR(__xludf.DUMMYFUNCTION("""COMPUTED_VALUE"""),"FM4334")</f>
        <v>FM4334</v>
      </c>
      <c r="B452" s="206">
        <f>IFERROR(__xludf.DUMMYFUNCTION("""COMPUTED_VALUE"""),44672.0)</f>
        <v>44672</v>
      </c>
      <c r="C452" s="207">
        <f>IFERROR(__xludf.DUMMYFUNCTION("""COMPUTED_VALUE"""),0.29783564814814817)</f>
        <v>0.2978356481</v>
      </c>
      <c r="D452" s="50"/>
      <c r="E452" s="58"/>
      <c r="F452" s="58"/>
      <c r="G452" s="58" t="str">
        <f>IFERROR(__xludf.DUMMYFUNCTION("""COMPUTED_VALUE"""),"Negative")</f>
        <v>Negative</v>
      </c>
      <c r="H452" s="206" t="str">
        <f>IFERROR(__xludf.DUMMYFUNCTION("""COMPUTED_VALUE"""),"Negative")</f>
        <v>Negative</v>
      </c>
      <c r="I452" s="207">
        <f>IFERROR(__xludf.DUMMYFUNCTION("""COMPUTED_VALUE"""),44672.0)</f>
        <v>44672</v>
      </c>
      <c r="J452" s="208">
        <f>IFERROR(__xludf.DUMMYFUNCTION("""COMPUTED_VALUE"""),0.4480324074074074)</f>
        <v>0.4480324074</v>
      </c>
      <c r="K452" s="50"/>
      <c r="L452" s="6"/>
      <c r="M452" s="55"/>
      <c r="N452" s="55">
        <f>IFERROR(__xludf.DUMMYFUNCTION("""COMPUTED_VALUE"""),1.0)</f>
        <v>1</v>
      </c>
      <c r="O452" s="55" t="str">
        <f t="shared" si="3"/>
        <v/>
      </c>
      <c r="P452" s="209"/>
      <c r="Q452" s="75" t="b">
        <f>VLOOKUP($B452,'Run Reconcile'!B$2:P1679,15,FALSE)</f>
        <v>1</v>
      </c>
      <c r="R452" s="211" t="str">
        <f t="array" ref="R452">IF($Q452, INDEX('Run Reconcile'!A$2:A1679,MATCH(B452,'Run Reconcile'!B$2:B1679,0),1),IFERROR(0/0,""))</f>
        <v>RUN-COMB_2022-04-21_RFR-025</v>
      </c>
      <c r="S452" s="165" t="str">
        <f t="shared" ref="S452:T452" si="903">IF(COUNTIF(W$2:W1679, $A452) &gt; 0,TRUE,IFERROR(0/0,""))</f>
        <v/>
      </c>
      <c r="T452" s="165" t="str">
        <f t="shared" si="903"/>
        <v/>
      </c>
      <c r="U452" s="147" t="str">
        <f t="array" ref="U452">IF(ISBLANK($R452), IF($S452,VLOOKUP($B452+1,'RFR Data - preExcl'!$BF$2:$BG1679,2,FALSE),IF($T452,INDEX('RFR Data - preExcl'!$BF$2:$BG1679,MATCH($B452,'RFR Data - preExcl'!$BF$2:$BF1679,0)+1,2),VLOOKUP($B452,'RFR Data - preExcl'!$BF$2:$BG1679,2,FALSE))),IFERROR(0/0,""))</f>
        <v/>
      </c>
      <c r="V452" s="212" t="str">
        <f t="shared" si="5"/>
        <v>RUN-COMB_2022-04-21_RFR-025</v>
      </c>
      <c r="W452" s="51"/>
      <c r="X452" s="51"/>
      <c r="Y452" s="147" t="str">
        <f t="shared" ref="Y452:Z452" si="904">IF(_xlfn.ISFORMULA(S452),IFERROR(0/0,""),TRUE)</f>
        <v/>
      </c>
      <c r="Z452" s="147" t="str">
        <f t="shared" si="904"/>
        <v/>
      </c>
    </row>
    <row r="453">
      <c r="A453" s="6" t="str">
        <f>IFERROR(__xludf.DUMMYFUNCTION("""COMPUTED_VALUE"""),"FM4113")</f>
        <v>FM4113</v>
      </c>
      <c r="B453" s="206">
        <f>IFERROR(__xludf.DUMMYFUNCTION("""COMPUTED_VALUE"""),44672.0)</f>
        <v>44672</v>
      </c>
      <c r="C453" s="207">
        <f>IFERROR(__xludf.DUMMYFUNCTION("""COMPUTED_VALUE"""),0.29881944444444447)</f>
        <v>0.2988194444</v>
      </c>
      <c r="D453" s="50"/>
      <c r="E453" s="58"/>
      <c r="F453" s="58"/>
      <c r="G453" s="58" t="str">
        <f>IFERROR(__xludf.DUMMYFUNCTION("""COMPUTED_VALUE"""),"Negative")</f>
        <v>Negative</v>
      </c>
      <c r="H453" s="206" t="str">
        <f>IFERROR(__xludf.DUMMYFUNCTION("""COMPUTED_VALUE"""),"Negative")</f>
        <v>Negative</v>
      </c>
      <c r="I453" s="207">
        <f>IFERROR(__xludf.DUMMYFUNCTION("""COMPUTED_VALUE"""),44672.0)</f>
        <v>44672</v>
      </c>
      <c r="J453" s="208">
        <f>IFERROR(__xludf.DUMMYFUNCTION("""COMPUTED_VALUE"""),0.44805555555555554)</f>
        <v>0.4480555556</v>
      </c>
      <c r="K453" s="50"/>
      <c r="L453" s="6"/>
      <c r="M453" s="55"/>
      <c r="N453" s="55">
        <f>IFERROR(__xludf.DUMMYFUNCTION("""COMPUTED_VALUE"""),1.0)</f>
        <v>1</v>
      </c>
      <c r="O453" s="55" t="str">
        <f t="shared" si="3"/>
        <v/>
      </c>
      <c r="P453" s="209"/>
      <c r="Q453" s="75" t="b">
        <f>VLOOKUP($B453,'Run Reconcile'!B$2:P1679,15,FALSE)</f>
        <v>1</v>
      </c>
      <c r="R453" s="211" t="str">
        <f t="array" ref="R453">IF($Q453, INDEX('Run Reconcile'!A$2:A1679,MATCH(B453,'Run Reconcile'!B$2:B1679,0),1),IFERROR(0/0,""))</f>
        <v>RUN-COMB_2022-04-21_RFR-025</v>
      </c>
      <c r="S453" s="165" t="str">
        <f t="shared" ref="S453:T453" si="905">IF(COUNTIF(W$2:W1679, $A453) &gt; 0,TRUE,IFERROR(0/0,""))</f>
        <v/>
      </c>
      <c r="T453" s="165" t="str">
        <f t="shared" si="905"/>
        <v/>
      </c>
      <c r="U453" s="147" t="str">
        <f t="array" ref="U453">IF(ISBLANK($R453), IF($S453,VLOOKUP($B453+1,'RFR Data - preExcl'!$BF$2:$BG1679,2,FALSE),IF($T453,INDEX('RFR Data - preExcl'!$BF$2:$BG1679,MATCH($B453,'RFR Data - preExcl'!$BF$2:$BF1679,0)+1,2),VLOOKUP($B453,'RFR Data - preExcl'!$BF$2:$BG1679,2,FALSE))),IFERROR(0/0,""))</f>
        <v/>
      </c>
      <c r="V453" s="212" t="str">
        <f t="shared" si="5"/>
        <v>RUN-COMB_2022-04-21_RFR-025</v>
      </c>
      <c r="W453" s="51"/>
      <c r="X453" s="51"/>
      <c r="Y453" s="147" t="str">
        <f t="shared" ref="Y453:Z453" si="906">IF(_xlfn.ISFORMULA(S453),IFERROR(0/0,""),TRUE)</f>
        <v/>
      </c>
      <c r="Z453" s="147" t="str">
        <f t="shared" si="906"/>
        <v/>
      </c>
    </row>
    <row r="454">
      <c r="A454" s="6" t="str">
        <f>IFERROR(__xludf.DUMMYFUNCTION("""COMPUTED_VALUE"""),"FM4121")</f>
        <v>FM4121</v>
      </c>
      <c r="B454" s="206">
        <f>IFERROR(__xludf.DUMMYFUNCTION("""COMPUTED_VALUE"""),44672.0)</f>
        <v>44672</v>
      </c>
      <c r="C454" s="207">
        <f>IFERROR(__xludf.DUMMYFUNCTION("""COMPUTED_VALUE"""),0.2992824074074074)</f>
        <v>0.2992824074</v>
      </c>
      <c r="D454" s="50"/>
      <c r="E454" s="58"/>
      <c r="F454" s="58"/>
      <c r="G454" s="58" t="str">
        <f>IFERROR(__xludf.DUMMYFUNCTION("""COMPUTED_VALUE"""),"Negative")</f>
        <v>Negative</v>
      </c>
      <c r="H454" s="206" t="str">
        <f>IFERROR(__xludf.DUMMYFUNCTION("""COMPUTED_VALUE"""),"Negative")</f>
        <v>Negative</v>
      </c>
      <c r="I454" s="207">
        <f>IFERROR(__xludf.DUMMYFUNCTION("""COMPUTED_VALUE"""),44672.0)</f>
        <v>44672</v>
      </c>
      <c r="J454" s="208">
        <f>IFERROR(__xludf.DUMMYFUNCTION("""COMPUTED_VALUE"""),0.44806712962962963)</f>
        <v>0.4480671296</v>
      </c>
      <c r="K454" s="50"/>
      <c r="L454" s="6"/>
      <c r="M454" s="55"/>
      <c r="N454" s="55">
        <f>IFERROR(__xludf.DUMMYFUNCTION("""COMPUTED_VALUE"""),1.0)</f>
        <v>1</v>
      </c>
      <c r="O454" s="55" t="str">
        <f t="shared" si="3"/>
        <v/>
      </c>
      <c r="P454" s="209"/>
      <c r="Q454" s="75" t="b">
        <f>VLOOKUP($B454,'Run Reconcile'!B$2:P1679,15,FALSE)</f>
        <v>1</v>
      </c>
      <c r="R454" s="211" t="str">
        <f t="array" ref="R454">IF($Q454, INDEX('Run Reconcile'!A$2:A1679,MATCH(B454,'Run Reconcile'!B$2:B1679,0),1),IFERROR(0/0,""))</f>
        <v>RUN-COMB_2022-04-21_RFR-025</v>
      </c>
      <c r="S454" s="165" t="str">
        <f t="shared" ref="S454:T454" si="907">IF(COUNTIF(W$2:W1679, $A454) &gt; 0,TRUE,IFERROR(0/0,""))</f>
        <v/>
      </c>
      <c r="T454" s="165" t="str">
        <f t="shared" si="907"/>
        <v/>
      </c>
      <c r="U454" s="147" t="str">
        <f t="array" ref="U454">IF(ISBLANK($R454), IF($S454,VLOOKUP($B454+1,'RFR Data - preExcl'!$BF$2:$BG1679,2,FALSE),IF($T454,INDEX('RFR Data - preExcl'!$BF$2:$BG1679,MATCH($B454,'RFR Data - preExcl'!$BF$2:$BF1679,0)+1,2),VLOOKUP($B454,'RFR Data - preExcl'!$BF$2:$BG1679,2,FALSE))),IFERROR(0/0,""))</f>
        <v/>
      </c>
      <c r="V454" s="212" t="str">
        <f t="shared" si="5"/>
        <v>RUN-COMB_2022-04-21_RFR-025</v>
      </c>
      <c r="W454" s="51"/>
      <c r="X454" s="51"/>
      <c r="Y454" s="147" t="str">
        <f t="shared" ref="Y454:Z454" si="908">IF(_xlfn.ISFORMULA(S454),IFERROR(0/0,""),TRUE)</f>
        <v/>
      </c>
      <c r="Z454" s="147" t="str">
        <f t="shared" si="908"/>
        <v/>
      </c>
    </row>
    <row r="455">
      <c r="A455" s="6" t="str">
        <f>IFERROR(__xludf.DUMMYFUNCTION("""COMPUTED_VALUE"""),"FM4089")</f>
        <v>FM4089</v>
      </c>
      <c r="B455" s="206">
        <f>IFERROR(__xludf.DUMMYFUNCTION("""COMPUTED_VALUE"""),44672.0)</f>
        <v>44672</v>
      </c>
      <c r="C455" s="207">
        <f>IFERROR(__xludf.DUMMYFUNCTION("""COMPUTED_VALUE"""),0.2997800925925926)</f>
        <v>0.2997800926</v>
      </c>
      <c r="D455" s="50"/>
      <c r="E455" s="58"/>
      <c r="F455" s="58"/>
      <c r="G455" s="58" t="str">
        <f>IFERROR(__xludf.DUMMYFUNCTION("""COMPUTED_VALUE"""),"Negative")</f>
        <v>Negative</v>
      </c>
      <c r="H455" s="206" t="str">
        <f>IFERROR(__xludf.DUMMYFUNCTION("""COMPUTED_VALUE"""),"Negative")</f>
        <v>Negative</v>
      </c>
      <c r="I455" s="207">
        <f>IFERROR(__xludf.DUMMYFUNCTION("""COMPUTED_VALUE"""),44672.0)</f>
        <v>44672</v>
      </c>
      <c r="J455" s="208">
        <f>IFERROR(__xludf.DUMMYFUNCTION("""COMPUTED_VALUE"""),0.44807870370370373)</f>
        <v>0.4480787037</v>
      </c>
      <c r="K455" s="50"/>
      <c r="L455" s="6"/>
      <c r="M455" s="55"/>
      <c r="N455" s="55">
        <f>IFERROR(__xludf.DUMMYFUNCTION("""COMPUTED_VALUE"""),1.0)</f>
        <v>1</v>
      </c>
      <c r="O455" s="55" t="str">
        <f t="shared" si="3"/>
        <v/>
      </c>
      <c r="P455" s="209"/>
      <c r="Q455" s="75" t="b">
        <f>VLOOKUP($B455,'Run Reconcile'!B$2:P1679,15,FALSE)</f>
        <v>1</v>
      </c>
      <c r="R455" s="211" t="str">
        <f t="array" ref="R455">IF($Q455, INDEX('Run Reconcile'!A$2:A1679,MATCH(B455,'Run Reconcile'!B$2:B1679,0),1),IFERROR(0/0,""))</f>
        <v>RUN-COMB_2022-04-21_RFR-025</v>
      </c>
      <c r="S455" s="165" t="str">
        <f t="shared" ref="S455:T455" si="909">IF(COUNTIF(W$2:W1679, $A455) &gt; 0,TRUE,IFERROR(0/0,""))</f>
        <v/>
      </c>
      <c r="T455" s="165" t="str">
        <f t="shared" si="909"/>
        <v/>
      </c>
      <c r="U455" s="147" t="str">
        <f t="array" ref="U455">IF(ISBLANK($R455), IF($S455,VLOOKUP($B455+1,'RFR Data - preExcl'!$BF$2:$BG1679,2,FALSE),IF($T455,INDEX('RFR Data - preExcl'!$BF$2:$BG1679,MATCH($B455,'RFR Data - preExcl'!$BF$2:$BF1679,0)+1,2),VLOOKUP($B455,'RFR Data - preExcl'!$BF$2:$BG1679,2,FALSE))),IFERROR(0/0,""))</f>
        <v/>
      </c>
      <c r="V455" s="212" t="str">
        <f t="shared" si="5"/>
        <v>RUN-COMB_2022-04-21_RFR-025</v>
      </c>
      <c r="W455" s="51"/>
      <c r="X455" s="51"/>
      <c r="Y455" s="147" t="str">
        <f t="shared" ref="Y455:Z455" si="910">IF(_xlfn.ISFORMULA(S455),IFERROR(0/0,""),TRUE)</f>
        <v/>
      </c>
      <c r="Z455" s="147" t="str">
        <f t="shared" si="910"/>
        <v/>
      </c>
    </row>
    <row r="456">
      <c r="A456" s="6" t="str">
        <f>IFERROR(__xludf.DUMMYFUNCTION("""COMPUTED_VALUE"""),"FM4107")</f>
        <v>FM4107</v>
      </c>
      <c r="B456" s="206">
        <f>IFERROR(__xludf.DUMMYFUNCTION("""COMPUTED_VALUE"""),44672.0)</f>
        <v>44672</v>
      </c>
      <c r="C456" s="207">
        <f>IFERROR(__xludf.DUMMYFUNCTION("""COMPUTED_VALUE"""),0.30033564814814817)</f>
        <v>0.3003356481</v>
      </c>
      <c r="D456" s="50"/>
      <c r="E456" s="58"/>
      <c r="F456" s="58"/>
      <c r="G456" s="58" t="str">
        <f>IFERROR(__xludf.DUMMYFUNCTION("""COMPUTED_VALUE"""),"Negative")</f>
        <v>Negative</v>
      </c>
      <c r="H456" s="206" t="str">
        <f>IFERROR(__xludf.DUMMYFUNCTION("""COMPUTED_VALUE"""),"Negative")</f>
        <v>Negative</v>
      </c>
      <c r="I456" s="207">
        <f>IFERROR(__xludf.DUMMYFUNCTION("""COMPUTED_VALUE"""),44672.0)</f>
        <v>44672</v>
      </c>
      <c r="J456" s="208">
        <f>IFERROR(__xludf.DUMMYFUNCTION("""COMPUTED_VALUE"""),0.44810185185185186)</f>
        <v>0.4481018519</v>
      </c>
      <c r="K456" s="50"/>
      <c r="L456" s="6"/>
      <c r="M456" s="55"/>
      <c r="N456" s="55">
        <f>IFERROR(__xludf.DUMMYFUNCTION("""COMPUTED_VALUE"""),1.0)</f>
        <v>1</v>
      </c>
      <c r="O456" s="55" t="str">
        <f t="shared" si="3"/>
        <v/>
      </c>
      <c r="P456" s="209"/>
      <c r="Q456" s="75" t="b">
        <f>VLOOKUP($B456,'Run Reconcile'!B$2:P1679,15,FALSE)</f>
        <v>1</v>
      </c>
      <c r="R456" s="211" t="str">
        <f t="array" ref="R456">IF($Q456, INDEX('Run Reconcile'!A$2:A1679,MATCH(B456,'Run Reconcile'!B$2:B1679,0),1),IFERROR(0/0,""))</f>
        <v>RUN-COMB_2022-04-21_RFR-025</v>
      </c>
      <c r="S456" s="165" t="str">
        <f t="shared" ref="S456:T456" si="911">IF(COUNTIF(W$2:W1679, $A456) &gt; 0,TRUE,IFERROR(0/0,""))</f>
        <v/>
      </c>
      <c r="T456" s="165" t="str">
        <f t="shared" si="911"/>
        <v/>
      </c>
      <c r="U456" s="147" t="str">
        <f t="array" ref="U456">IF(ISBLANK($R456), IF($S456,VLOOKUP($B456+1,'RFR Data - preExcl'!$BF$2:$BG1679,2,FALSE),IF($T456,INDEX('RFR Data - preExcl'!$BF$2:$BG1679,MATCH($B456,'RFR Data - preExcl'!$BF$2:$BF1679,0)+1,2),VLOOKUP($B456,'RFR Data - preExcl'!$BF$2:$BG1679,2,FALSE))),IFERROR(0/0,""))</f>
        <v/>
      </c>
      <c r="V456" s="212" t="str">
        <f t="shared" si="5"/>
        <v>RUN-COMB_2022-04-21_RFR-025</v>
      </c>
      <c r="W456" s="51"/>
      <c r="X456" s="51"/>
      <c r="Y456" s="147" t="str">
        <f t="shared" ref="Y456:Z456" si="912">IF(_xlfn.ISFORMULA(S456),IFERROR(0/0,""),TRUE)</f>
        <v/>
      </c>
      <c r="Z456" s="147" t="str">
        <f t="shared" si="912"/>
        <v/>
      </c>
    </row>
    <row r="457">
      <c r="A457" s="6" t="str">
        <f>IFERROR(__xludf.DUMMYFUNCTION("""COMPUTED_VALUE"""),"FM4054")</f>
        <v>FM4054</v>
      </c>
      <c r="B457" s="206">
        <f>IFERROR(__xludf.DUMMYFUNCTION("""COMPUTED_VALUE"""),44672.0)</f>
        <v>44672</v>
      </c>
      <c r="C457" s="207">
        <f>IFERROR(__xludf.DUMMYFUNCTION("""COMPUTED_VALUE"""),0.300787037037037)</f>
        <v>0.300787037</v>
      </c>
      <c r="D457" s="50"/>
      <c r="E457" s="58"/>
      <c r="F457" s="58"/>
      <c r="G457" s="58" t="str">
        <f>IFERROR(__xludf.DUMMYFUNCTION("""COMPUTED_VALUE"""),"Negative")</f>
        <v>Negative</v>
      </c>
      <c r="H457" s="206" t="str">
        <f>IFERROR(__xludf.DUMMYFUNCTION("""COMPUTED_VALUE"""),"Negative")</f>
        <v>Negative</v>
      </c>
      <c r="I457" s="207">
        <f>IFERROR(__xludf.DUMMYFUNCTION("""COMPUTED_VALUE"""),44672.0)</f>
        <v>44672</v>
      </c>
      <c r="J457" s="208">
        <f>IFERROR(__xludf.DUMMYFUNCTION("""COMPUTED_VALUE"""),0.4481134259259259)</f>
        <v>0.4481134259</v>
      </c>
      <c r="K457" s="50"/>
      <c r="L457" s="6"/>
      <c r="M457" s="55"/>
      <c r="N457" s="55">
        <f>IFERROR(__xludf.DUMMYFUNCTION("""COMPUTED_VALUE"""),1.0)</f>
        <v>1</v>
      </c>
      <c r="O457" s="55" t="str">
        <f t="shared" si="3"/>
        <v/>
      </c>
      <c r="P457" s="209"/>
      <c r="Q457" s="75" t="b">
        <f>VLOOKUP($B457,'Run Reconcile'!B$2:P1679,15,FALSE)</f>
        <v>1</v>
      </c>
      <c r="R457" s="211" t="str">
        <f t="array" ref="R457">IF($Q457, INDEX('Run Reconcile'!A$2:A1679,MATCH(B457,'Run Reconcile'!B$2:B1679,0),1),IFERROR(0/0,""))</f>
        <v>RUN-COMB_2022-04-21_RFR-025</v>
      </c>
      <c r="S457" s="165" t="str">
        <f t="shared" ref="S457:T457" si="913">IF(COUNTIF(W$2:W1679, $A457) &gt; 0,TRUE,IFERROR(0/0,""))</f>
        <v/>
      </c>
      <c r="T457" s="165" t="str">
        <f t="shared" si="913"/>
        <v/>
      </c>
      <c r="U457" s="147" t="str">
        <f t="array" ref="U457">IF(ISBLANK($R457), IF($S457,VLOOKUP($B457+1,'RFR Data - preExcl'!$BF$2:$BG1679,2,FALSE),IF($T457,INDEX('RFR Data - preExcl'!$BF$2:$BG1679,MATCH($B457,'RFR Data - preExcl'!$BF$2:$BF1679,0)+1,2),VLOOKUP($B457,'RFR Data - preExcl'!$BF$2:$BG1679,2,FALSE))),IFERROR(0/0,""))</f>
        <v/>
      </c>
      <c r="V457" s="212" t="str">
        <f t="shared" si="5"/>
        <v>RUN-COMB_2022-04-21_RFR-025</v>
      </c>
      <c r="W457" s="51"/>
      <c r="X457" s="51"/>
      <c r="Y457" s="147" t="str">
        <f t="shared" ref="Y457:Z457" si="914">IF(_xlfn.ISFORMULA(S457),IFERROR(0/0,""),TRUE)</f>
        <v/>
      </c>
      <c r="Z457" s="147" t="str">
        <f t="shared" si="914"/>
        <v/>
      </c>
    </row>
    <row r="458">
      <c r="A458" s="6" t="str">
        <f>IFERROR(__xludf.DUMMYFUNCTION("""COMPUTED_VALUE"""),"FM4119")</f>
        <v>FM4119</v>
      </c>
      <c r="B458" s="206">
        <f>IFERROR(__xludf.DUMMYFUNCTION("""COMPUTED_VALUE"""),44672.0)</f>
        <v>44672</v>
      </c>
      <c r="C458" s="207">
        <f>IFERROR(__xludf.DUMMYFUNCTION("""COMPUTED_VALUE"""),0.30238425925925927)</f>
        <v>0.3023842593</v>
      </c>
      <c r="D458" s="50"/>
      <c r="E458" s="58"/>
      <c r="F458" s="58"/>
      <c r="G458" s="58" t="str">
        <f>IFERROR(__xludf.DUMMYFUNCTION("""COMPUTED_VALUE"""),"Negative")</f>
        <v>Negative</v>
      </c>
      <c r="H458" s="206" t="str">
        <f>IFERROR(__xludf.DUMMYFUNCTION("""COMPUTED_VALUE"""),"Negative")</f>
        <v>Negative</v>
      </c>
      <c r="I458" s="207">
        <f>IFERROR(__xludf.DUMMYFUNCTION("""COMPUTED_VALUE"""),44672.0)</f>
        <v>44672</v>
      </c>
      <c r="J458" s="208">
        <f>IFERROR(__xludf.DUMMYFUNCTION("""COMPUTED_VALUE"""),0.448125)</f>
        <v>0.448125</v>
      </c>
      <c r="K458" s="50"/>
      <c r="L458" s="6"/>
      <c r="M458" s="55"/>
      <c r="N458" s="55">
        <f>IFERROR(__xludf.DUMMYFUNCTION("""COMPUTED_VALUE"""),1.0)</f>
        <v>1</v>
      </c>
      <c r="O458" s="55" t="str">
        <f t="shared" si="3"/>
        <v/>
      </c>
      <c r="P458" s="209"/>
      <c r="Q458" s="75" t="b">
        <f>VLOOKUP($B458,'Run Reconcile'!B$2:P1679,15,FALSE)</f>
        <v>1</v>
      </c>
      <c r="R458" s="211" t="str">
        <f t="array" ref="R458">IF($Q458, INDEX('Run Reconcile'!A$2:A1679,MATCH(B458,'Run Reconcile'!B$2:B1679,0),1),IFERROR(0/0,""))</f>
        <v>RUN-COMB_2022-04-21_RFR-025</v>
      </c>
      <c r="S458" s="165" t="str">
        <f t="shared" ref="S458:T458" si="915">IF(COUNTIF(W$2:W1679, $A458) &gt; 0,TRUE,IFERROR(0/0,""))</f>
        <v/>
      </c>
      <c r="T458" s="165" t="str">
        <f t="shared" si="915"/>
        <v/>
      </c>
      <c r="U458" s="147" t="str">
        <f t="array" ref="U458">IF(ISBLANK($R458), IF($S458,VLOOKUP($B458+1,'RFR Data - preExcl'!$BF$2:$BG1679,2,FALSE),IF($T458,INDEX('RFR Data - preExcl'!$BF$2:$BG1679,MATCH($B458,'RFR Data - preExcl'!$BF$2:$BF1679,0)+1,2),VLOOKUP($B458,'RFR Data - preExcl'!$BF$2:$BG1679,2,FALSE))),IFERROR(0/0,""))</f>
        <v/>
      </c>
      <c r="V458" s="212" t="str">
        <f t="shared" si="5"/>
        <v>RUN-COMB_2022-04-21_RFR-025</v>
      </c>
      <c r="W458" s="51"/>
      <c r="X458" s="51"/>
      <c r="Y458" s="147" t="str">
        <f t="shared" ref="Y458:Z458" si="916">IF(_xlfn.ISFORMULA(S458),IFERROR(0/0,""),TRUE)</f>
        <v/>
      </c>
      <c r="Z458" s="147" t="str">
        <f t="shared" si="916"/>
        <v/>
      </c>
    </row>
    <row r="459">
      <c r="A459" s="6" t="str">
        <f>IFERROR(__xludf.DUMMYFUNCTION("""COMPUTED_VALUE"""),"FM4098")</f>
        <v>FM4098</v>
      </c>
      <c r="B459" s="206">
        <f>IFERROR(__xludf.DUMMYFUNCTION("""COMPUTED_VALUE"""),44672.0)</f>
        <v>44672</v>
      </c>
      <c r="C459" s="207">
        <f>IFERROR(__xludf.DUMMYFUNCTION("""COMPUTED_VALUE"""),0.30346064814814816)</f>
        <v>0.3034606481</v>
      </c>
      <c r="D459" s="50"/>
      <c r="E459" s="58"/>
      <c r="F459" s="58"/>
      <c r="G459" s="58" t="str">
        <f>IFERROR(__xludf.DUMMYFUNCTION("""COMPUTED_VALUE"""),"Negative")</f>
        <v>Negative</v>
      </c>
      <c r="H459" s="206" t="str">
        <f>IFERROR(__xludf.DUMMYFUNCTION("""COMPUTED_VALUE"""),"Negative")</f>
        <v>Negative</v>
      </c>
      <c r="I459" s="207">
        <f>IFERROR(__xludf.DUMMYFUNCTION("""COMPUTED_VALUE"""),44672.0)</f>
        <v>44672</v>
      </c>
      <c r="J459" s="208">
        <f>IFERROR(__xludf.DUMMYFUNCTION("""COMPUTED_VALUE"""),0.4481365740740741)</f>
        <v>0.4481365741</v>
      </c>
      <c r="K459" s="50"/>
      <c r="L459" s="6"/>
      <c r="M459" s="55"/>
      <c r="N459" s="55">
        <f>IFERROR(__xludf.DUMMYFUNCTION("""COMPUTED_VALUE"""),1.0)</f>
        <v>1</v>
      </c>
      <c r="O459" s="55" t="str">
        <f t="shared" si="3"/>
        <v/>
      </c>
      <c r="P459" s="209"/>
      <c r="Q459" s="75" t="b">
        <f>VLOOKUP($B459,'Run Reconcile'!B$2:P1679,15,FALSE)</f>
        <v>1</v>
      </c>
      <c r="R459" s="211" t="str">
        <f t="array" ref="R459">IF($Q459, INDEX('Run Reconcile'!A$2:A1679,MATCH(B459,'Run Reconcile'!B$2:B1679,0),1),IFERROR(0/0,""))</f>
        <v>RUN-COMB_2022-04-21_RFR-025</v>
      </c>
      <c r="S459" s="165" t="str">
        <f t="shared" ref="S459:T459" si="917">IF(COUNTIF(W$2:W1679, $A459) &gt; 0,TRUE,IFERROR(0/0,""))</f>
        <v/>
      </c>
      <c r="T459" s="165" t="str">
        <f t="shared" si="917"/>
        <v/>
      </c>
      <c r="U459" s="147" t="str">
        <f t="array" ref="U459">IF(ISBLANK($R459), IF($S459,VLOOKUP($B459+1,'RFR Data - preExcl'!$BF$2:$BG1679,2,FALSE),IF($T459,INDEX('RFR Data - preExcl'!$BF$2:$BG1679,MATCH($B459,'RFR Data - preExcl'!$BF$2:$BF1679,0)+1,2),VLOOKUP($B459,'RFR Data - preExcl'!$BF$2:$BG1679,2,FALSE))),IFERROR(0/0,""))</f>
        <v/>
      </c>
      <c r="V459" s="212" t="str">
        <f t="shared" si="5"/>
        <v>RUN-COMB_2022-04-21_RFR-025</v>
      </c>
      <c r="W459" s="51"/>
      <c r="X459" s="51"/>
      <c r="Y459" s="147" t="str">
        <f t="shared" ref="Y459:Z459" si="918">IF(_xlfn.ISFORMULA(S459),IFERROR(0/0,""),TRUE)</f>
        <v/>
      </c>
      <c r="Z459" s="147" t="str">
        <f t="shared" si="918"/>
        <v/>
      </c>
    </row>
    <row r="460">
      <c r="A460" s="6" t="str">
        <f>IFERROR(__xludf.DUMMYFUNCTION("""COMPUTED_VALUE"""),"FM4117")</f>
        <v>FM4117</v>
      </c>
      <c r="B460" s="206">
        <f>IFERROR(__xludf.DUMMYFUNCTION("""COMPUTED_VALUE"""),44672.0)</f>
        <v>44672</v>
      </c>
      <c r="C460" s="207">
        <f>IFERROR(__xludf.DUMMYFUNCTION("""COMPUTED_VALUE"""),0.30391203703703706)</f>
        <v>0.303912037</v>
      </c>
      <c r="D460" s="50"/>
      <c r="E460" s="58"/>
      <c r="F460" s="58"/>
      <c r="G460" s="58" t="str">
        <f>IFERROR(__xludf.DUMMYFUNCTION("""COMPUTED_VALUE"""),"Negative")</f>
        <v>Negative</v>
      </c>
      <c r="H460" s="206" t="str">
        <f>IFERROR(__xludf.DUMMYFUNCTION("""COMPUTED_VALUE"""),"Negative")</f>
        <v>Negative</v>
      </c>
      <c r="I460" s="207">
        <f>IFERROR(__xludf.DUMMYFUNCTION("""COMPUTED_VALUE"""),44672.0)</f>
        <v>44672</v>
      </c>
      <c r="J460" s="208">
        <f>IFERROR(__xludf.DUMMYFUNCTION("""COMPUTED_VALUE"""),0.44814814814814813)</f>
        <v>0.4481481481</v>
      </c>
      <c r="K460" s="50"/>
      <c r="L460" s="6"/>
      <c r="M460" s="55"/>
      <c r="N460" s="55">
        <f>IFERROR(__xludf.DUMMYFUNCTION("""COMPUTED_VALUE"""),1.0)</f>
        <v>1</v>
      </c>
      <c r="O460" s="55" t="str">
        <f t="shared" si="3"/>
        <v/>
      </c>
      <c r="P460" s="209"/>
      <c r="Q460" s="75" t="b">
        <f>VLOOKUP($B460,'Run Reconcile'!B$2:P1679,15,FALSE)</f>
        <v>1</v>
      </c>
      <c r="R460" s="211" t="str">
        <f t="array" ref="R460">IF($Q460, INDEX('Run Reconcile'!A$2:A1679,MATCH(B460,'Run Reconcile'!B$2:B1679,0),1),IFERROR(0/0,""))</f>
        <v>RUN-COMB_2022-04-21_RFR-025</v>
      </c>
      <c r="S460" s="165" t="str">
        <f t="shared" ref="S460:T460" si="919">IF(COUNTIF(W$2:W1679, $A460) &gt; 0,TRUE,IFERROR(0/0,""))</f>
        <v/>
      </c>
      <c r="T460" s="165" t="str">
        <f t="shared" si="919"/>
        <v/>
      </c>
      <c r="U460" s="147" t="str">
        <f t="array" ref="U460">IF(ISBLANK($R460), IF($S460,VLOOKUP($B460+1,'RFR Data - preExcl'!$BF$2:$BG1679,2,FALSE),IF($T460,INDEX('RFR Data - preExcl'!$BF$2:$BG1679,MATCH($B460,'RFR Data - preExcl'!$BF$2:$BF1679,0)+1,2),VLOOKUP($B460,'RFR Data - preExcl'!$BF$2:$BG1679,2,FALSE))),IFERROR(0/0,""))</f>
        <v/>
      </c>
      <c r="V460" s="212" t="str">
        <f t="shared" si="5"/>
        <v>RUN-COMB_2022-04-21_RFR-025</v>
      </c>
      <c r="W460" s="51"/>
      <c r="X460" s="51"/>
      <c r="Y460" s="147" t="str">
        <f t="shared" ref="Y460:Z460" si="920">IF(_xlfn.ISFORMULA(S460),IFERROR(0/0,""),TRUE)</f>
        <v/>
      </c>
      <c r="Z460" s="147" t="str">
        <f t="shared" si="920"/>
        <v/>
      </c>
    </row>
    <row r="461">
      <c r="A461" s="6" t="str">
        <f>IFERROR(__xludf.DUMMYFUNCTION("""COMPUTED_VALUE"""),"FM4057")</f>
        <v>FM4057</v>
      </c>
      <c r="B461" s="206">
        <f>IFERROR(__xludf.DUMMYFUNCTION("""COMPUTED_VALUE"""),44672.0)</f>
        <v>44672</v>
      </c>
      <c r="C461" s="207">
        <f>IFERROR(__xludf.DUMMYFUNCTION("""COMPUTED_VALUE"""),0.30430555555555555)</f>
        <v>0.3043055556</v>
      </c>
      <c r="D461" s="50"/>
      <c r="E461" s="58"/>
      <c r="F461" s="58"/>
      <c r="G461" s="58" t="str">
        <f>IFERROR(__xludf.DUMMYFUNCTION("""COMPUTED_VALUE"""),"Negative")</f>
        <v>Negative</v>
      </c>
      <c r="H461" s="206" t="str">
        <f>IFERROR(__xludf.DUMMYFUNCTION("""COMPUTED_VALUE"""),"Negative")</f>
        <v>Negative</v>
      </c>
      <c r="I461" s="207">
        <f>IFERROR(__xludf.DUMMYFUNCTION("""COMPUTED_VALUE"""),44672.0)</f>
        <v>44672</v>
      </c>
      <c r="J461" s="208">
        <f>IFERROR(__xludf.DUMMYFUNCTION("""COMPUTED_VALUE"""),0.4481597222222222)</f>
        <v>0.4481597222</v>
      </c>
      <c r="K461" s="50"/>
      <c r="L461" s="6"/>
      <c r="M461" s="55"/>
      <c r="N461" s="55">
        <f>IFERROR(__xludf.DUMMYFUNCTION("""COMPUTED_VALUE"""),1.0)</f>
        <v>1</v>
      </c>
      <c r="O461" s="55" t="str">
        <f t="shared" si="3"/>
        <v/>
      </c>
      <c r="P461" s="209"/>
      <c r="Q461" s="75" t="b">
        <f>VLOOKUP($B461,'Run Reconcile'!B$2:P1679,15,FALSE)</f>
        <v>1</v>
      </c>
      <c r="R461" s="211" t="str">
        <f t="array" ref="R461">IF($Q461, INDEX('Run Reconcile'!A$2:A1679,MATCH(B461,'Run Reconcile'!B$2:B1679,0),1),IFERROR(0/0,""))</f>
        <v>RUN-COMB_2022-04-21_RFR-025</v>
      </c>
      <c r="S461" s="165" t="str">
        <f t="shared" ref="S461:T461" si="921">IF(COUNTIF(W$2:W1679, $A461) &gt; 0,TRUE,IFERROR(0/0,""))</f>
        <v/>
      </c>
      <c r="T461" s="165" t="str">
        <f t="shared" si="921"/>
        <v/>
      </c>
      <c r="U461" s="147" t="str">
        <f t="array" ref="U461">IF(ISBLANK($R461), IF($S461,VLOOKUP($B461+1,'RFR Data - preExcl'!$BF$2:$BG1679,2,FALSE),IF($T461,INDEX('RFR Data - preExcl'!$BF$2:$BG1679,MATCH($B461,'RFR Data - preExcl'!$BF$2:$BF1679,0)+1,2),VLOOKUP($B461,'RFR Data - preExcl'!$BF$2:$BG1679,2,FALSE))),IFERROR(0/0,""))</f>
        <v/>
      </c>
      <c r="V461" s="212" t="str">
        <f t="shared" si="5"/>
        <v>RUN-COMB_2022-04-21_RFR-025</v>
      </c>
      <c r="W461" s="51"/>
      <c r="X461" s="51"/>
      <c r="Y461" s="147" t="str">
        <f t="shared" ref="Y461:Z461" si="922">IF(_xlfn.ISFORMULA(S461),IFERROR(0/0,""),TRUE)</f>
        <v/>
      </c>
      <c r="Z461" s="147" t="str">
        <f t="shared" si="922"/>
        <v/>
      </c>
    </row>
    <row r="462">
      <c r="A462" s="6" t="str">
        <f>IFERROR(__xludf.DUMMYFUNCTION("""COMPUTED_VALUE"""),"FM4027")</f>
        <v>FM4027</v>
      </c>
      <c r="B462" s="206">
        <f>IFERROR(__xludf.DUMMYFUNCTION("""COMPUTED_VALUE"""),44672.0)</f>
        <v>44672</v>
      </c>
      <c r="C462" s="207">
        <f>IFERROR(__xludf.DUMMYFUNCTION("""COMPUTED_VALUE"""),0.3047800925925926)</f>
        <v>0.3047800926</v>
      </c>
      <c r="D462" s="50"/>
      <c r="E462" s="58"/>
      <c r="F462" s="58"/>
      <c r="G462" s="58" t="str">
        <f>IFERROR(__xludf.DUMMYFUNCTION("""COMPUTED_VALUE"""),"Negative")</f>
        <v>Negative</v>
      </c>
      <c r="H462" s="206" t="str">
        <f>IFERROR(__xludf.DUMMYFUNCTION("""COMPUTED_VALUE"""),"Negative")</f>
        <v>Negative</v>
      </c>
      <c r="I462" s="207">
        <f>IFERROR(__xludf.DUMMYFUNCTION("""COMPUTED_VALUE"""),44672.0)</f>
        <v>44672</v>
      </c>
      <c r="J462" s="208">
        <f>IFERROR(__xludf.DUMMYFUNCTION("""COMPUTED_VALUE"""),0.4481712962962963)</f>
        <v>0.4481712963</v>
      </c>
      <c r="K462" s="50"/>
      <c r="L462" s="6"/>
      <c r="M462" s="55"/>
      <c r="N462" s="55">
        <f>IFERROR(__xludf.DUMMYFUNCTION("""COMPUTED_VALUE"""),1.0)</f>
        <v>1</v>
      </c>
      <c r="O462" s="55" t="str">
        <f t="shared" si="3"/>
        <v/>
      </c>
      <c r="P462" s="209"/>
      <c r="Q462" s="75" t="b">
        <f>VLOOKUP($B462,'Run Reconcile'!B$2:P1679,15,FALSE)</f>
        <v>1</v>
      </c>
      <c r="R462" s="211" t="str">
        <f t="array" ref="R462">IF($Q462, INDEX('Run Reconcile'!A$2:A1679,MATCH(B462,'Run Reconcile'!B$2:B1679,0),1),IFERROR(0/0,""))</f>
        <v>RUN-COMB_2022-04-21_RFR-025</v>
      </c>
      <c r="S462" s="165" t="str">
        <f t="shared" ref="S462:T462" si="923">IF(COUNTIF(W$2:W1679, $A462) &gt; 0,TRUE,IFERROR(0/0,""))</f>
        <v/>
      </c>
      <c r="T462" s="165" t="str">
        <f t="shared" si="923"/>
        <v/>
      </c>
      <c r="U462" s="147" t="str">
        <f t="array" ref="U462">IF(ISBLANK($R462), IF($S462,VLOOKUP($B462+1,'RFR Data - preExcl'!$BF$2:$BG1679,2,FALSE),IF($T462,INDEX('RFR Data - preExcl'!$BF$2:$BG1679,MATCH($B462,'RFR Data - preExcl'!$BF$2:$BF1679,0)+1,2),VLOOKUP($B462,'RFR Data - preExcl'!$BF$2:$BG1679,2,FALSE))),IFERROR(0/0,""))</f>
        <v/>
      </c>
      <c r="V462" s="212" t="str">
        <f t="shared" si="5"/>
        <v>RUN-COMB_2022-04-21_RFR-025</v>
      </c>
      <c r="W462" s="51"/>
      <c r="X462" s="51"/>
      <c r="Y462" s="147" t="str">
        <f t="shared" ref="Y462:Z462" si="924">IF(_xlfn.ISFORMULA(S462),IFERROR(0/0,""),TRUE)</f>
        <v/>
      </c>
      <c r="Z462" s="147" t="str">
        <f t="shared" si="924"/>
        <v/>
      </c>
    </row>
    <row r="463">
      <c r="A463" s="6" t="str">
        <f>IFERROR(__xludf.DUMMYFUNCTION("""COMPUTED_VALUE"""),"FM4139")</f>
        <v>FM4139</v>
      </c>
      <c r="B463" s="206">
        <f>IFERROR(__xludf.DUMMYFUNCTION("""COMPUTED_VALUE"""),44672.0)</f>
        <v>44672</v>
      </c>
      <c r="C463" s="207">
        <f>IFERROR(__xludf.DUMMYFUNCTION("""COMPUTED_VALUE"""),0.3060185185185185)</f>
        <v>0.3060185185</v>
      </c>
      <c r="D463" s="50"/>
      <c r="E463" s="58"/>
      <c r="F463" s="58"/>
      <c r="G463" s="58" t="str">
        <f>IFERROR(__xludf.DUMMYFUNCTION("""COMPUTED_VALUE"""),"Negative")</f>
        <v>Negative</v>
      </c>
      <c r="H463" s="206" t="str">
        <f>IFERROR(__xludf.DUMMYFUNCTION("""COMPUTED_VALUE"""),"Negative")</f>
        <v>Negative</v>
      </c>
      <c r="I463" s="207">
        <f>IFERROR(__xludf.DUMMYFUNCTION("""COMPUTED_VALUE"""),44672.0)</f>
        <v>44672</v>
      </c>
      <c r="J463" s="208">
        <f>IFERROR(__xludf.DUMMYFUNCTION("""COMPUTED_VALUE"""),0.4481712962962963)</f>
        <v>0.4481712963</v>
      </c>
      <c r="K463" s="50"/>
      <c r="L463" s="6"/>
      <c r="M463" s="55"/>
      <c r="N463" s="55">
        <f>IFERROR(__xludf.DUMMYFUNCTION("""COMPUTED_VALUE"""),1.0)</f>
        <v>1</v>
      </c>
      <c r="O463" s="55" t="str">
        <f t="shared" si="3"/>
        <v/>
      </c>
      <c r="P463" s="209"/>
      <c r="Q463" s="75" t="b">
        <f>VLOOKUP($B463,'Run Reconcile'!B$2:P1679,15,FALSE)</f>
        <v>1</v>
      </c>
      <c r="R463" s="211" t="str">
        <f t="array" ref="R463">IF($Q463, INDEX('Run Reconcile'!A$2:A1679,MATCH(B463,'Run Reconcile'!B$2:B1679,0),1),IFERROR(0/0,""))</f>
        <v>RUN-COMB_2022-04-21_RFR-025</v>
      </c>
      <c r="S463" s="165" t="str">
        <f t="shared" ref="S463:T463" si="925">IF(COUNTIF(W$2:W1679, $A463) &gt; 0,TRUE,IFERROR(0/0,""))</f>
        <v/>
      </c>
      <c r="T463" s="165" t="str">
        <f t="shared" si="925"/>
        <v/>
      </c>
      <c r="U463" s="147" t="str">
        <f t="array" ref="U463">IF(ISBLANK($R463), IF($S463,VLOOKUP($B463+1,'RFR Data - preExcl'!$BF$2:$BG1679,2,FALSE),IF($T463,INDEX('RFR Data - preExcl'!$BF$2:$BG1679,MATCH($B463,'RFR Data - preExcl'!$BF$2:$BF1679,0)+1,2),VLOOKUP($B463,'RFR Data - preExcl'!$BF$2:$BG1679,2,FALSE))),IFERROR(0/0,""))</f>
        <v/>
      </c>
      <c r="V463" s="212" t="str">
        <f t="shared" si="5"/>
        <v>RUN-COMB_2022-04-21_RFR-025</v>
      </c>
      <c r="W463" s="51"/>
      <c r="X463" s="51"/>
      <c r="Y463" s="147" t="str">
        <f t="shared" ref="Y463:Z463" si="926">IF(_xlfn.ISFORMULA(S463),IFERROR(0/0,""),TRUE)</f>
        <v/>
      </c>
      <c r="Z463" s="147" t="str">
        <f t="shared" si="926"/>
        <v/>
      </c>
    </row>
    <row r="464">
      <c r="A464" s="6" t="str">
        <f>IFERROR(__xludf.DUMMYFUNCTION("""COMPUTED_VALUE"""),"FM4043")</f>
        <v>FM4043</v>
      </c>
      <c r="B464" s="206">
        <f>IFERROR(__xludf.DUMMYFUNCTION("""COMPUTED_VALUE"""),44672.0)</f>
        <v>44672</v>
      </c>
      <c r="C464" s="207">
        <f>IFERROR(__xludf.DUMMYFUNCTION("""COMPUTED_VALUE"""),0.30649305555555556)</f>
        <v>0.3064930556</v>
      </c>
      <c r="D464" s="50"/>
      <c r="E464" s="58"/>
      <c r="F464" s="58"/>
      <c r="G464" s="58" t="str">
        <f>IFERROR(__xludf.DUMMYFUNCTION("""COMPUTED_VALUE"""),"Negative")</f>
        <v>Negative</v>
      </c>
      <c r="H464" s="206" t="str">
        <f>IFERROR(__xludf.DUMMYFUNCTION("""COMPUTED_VALUE"""),"Negative")</f>
        <v>Negative</v>
      </c>
      <c r="I464" s="207">
        <f>IFERROR(__xludf.DUMMYFUNCTION("""COMPUTED_VALUE"""),44672.0)</f>
        <v>44672</v>
      </c>
      <c r="J464" s="208">
        <f>IFERROR(__xludf.DUMMYFUNCTION("""COMPUTED_VALUE"""),0.44818287037037036)</f>
        <v>0.4481828704</v>
      </c>
      <c r="K464" s="50"/>
      <c r="L464" s="6"/>
      <c r="M464" s="55"/>
      <c r="N464" s="55">
        <f>IFERROR(__xludf.DUMMYFUNCTION("""COMPUTED_VALUE"""),1.0)</f>
        <v>1</v>
      </c>
      <c r="O464" s="55" t="str">
        <f t="shared" si="3"/>
        <v/>
      </c>
      <c r="P464" s="209"/>
      <c r="Q464" s="75" t="b">
        <f>VLOOKUP($B464,'Run Reconcile'!B$2:P1679,15,FALSE)</f>
        <v>1</v>
      </c>
      <c r="R464" s="211" t="str">
        <f t="array" ref="R464">IF($Q464, INDEX('Run Reconcile'!A$2:A1679,MATCH(B464,'Run Reconcile'!B$2:B1679,0),1),IFERROR(0/0,""))</f>
        <v>RUN-COMB_2022-04-21_RFR-025</v>
      </c>
      <c r="S464" s="165" t="str">
        <f t="shared" ref="S464:T464" si="927">IF(COUNTIF(W$2:W1679, $A464) &gt; 0,TRUE,IFERROR(0/0,""))</f>
        <v/>
      </c>
      <c r="T464" s="165" t="str">
        <f t="shared" si="927"/>
        <v/>
      </c>
      <c r="U464" s="147" t="str">
        <f t="array" ref="U464">IF(ISBLANK($R464), IF($S464,VLOOKUP($B464+1,'RFR Data - preExcl'!$BF$2:$BG1679,2,FALSE),IF($T464,INDEX('RFR Data - preExcl'!$BF$2:$BG1679,MATCH($B464,'RFR Data - preExcl'!$BF$2:$BF1679,0)+1,2),VLOOKUP($B464,'RFR Data - preExcl'!$BF$2:$BG1679,2,FALSE))),IFERROR(0/0,""))</f>
        <v/>
      </c>
      <c r="V464" s="212" t="str">
        <f t="shared" si="5"/>
        <v>RUN-COMB_2022-04-21_RFR-025</v>
      </c>
      <c r="W464" s="51"/>
      <c r="X464" s="51"/>
      <c r="Y464" s="147" t="str">
        <f t="shared" ref="Y464:Z464" si="928">IF(_xlfn.ISFORMULA(S464),IFERROR(0/0,""),TRUE)</f>
        <v/>
      </c>
      <c r="Z464" s="147" t="str">
        <f t="shared" si="928"/>
        <v/>
      </c>
    </row>
    <row r="465">
      <c r="A465" s="6" t="str">
        <f>IFERROR(__xludf.DUMMYFUNCTION("""COMPUTED_VALUE"""),"FM4055")</f>
        <v>FM4055</v>
      </c>
      <c r="B465" s="206">
        <f>IFERROR(__xludf.DUMMYFUNCTION("""COMPUTED_VALUE"""),44672.0)</f>
        <v>44672</v>
      </c>
      <c r="C465" s="207">
        <f>IFERROR(__xludf.DUMMYFUNCTION("""COMPUTED_VALUE"""),0.3069791666666667)</f>
        <v>0.3069791667</v>
      </c>
      <c r="D465" s="50"/>
      <c r="E465" s="58"/>
      <c r="F465" s="58"/>
      <c r="G465" s="58" t="str">
        <f>IFERROR(__xludf.DUMMYFUNCTION("""COMPUTED_VALUE"""),"Negative")</f>
        <v>Negative</v>
      </c>
      <c r="H465" s="206" t="str">
        <f>IFERROR(__xludf.DUMMYFUNCTION("""COMPUTED_VALUE"""),"Negative")</f>
        <v>Negative</v>
      </c>
      <c r="I465" s="207">
        <f>IFERROR(__xludf.DUMMYFUNCTION("""COMPUTED_VALUE"""),44672.0)</f>
        <v>44672</v>
      </c>
      <c r="J465" s="208">
        <f>IFERROR(__xludf.DUMMYFUNCTION("""COMPUTED_VALUE"""),0.44818287037037036)</f>
        <v>0.4481828704</v>
      </c>
      <c r="K465" s="50"/>
      <c r="L465" s="6"/>
      <c r="M465" s="55"/>
      <c r="N465" s="55">
        <f>IFERROR(__xludf.DUMMYFUNCTION("""COMPUTED_VALUE"""),1.0)</f>
        <v>1</v>
      </c>
      <c r="O465" s="55" t="str">
        <f t="shared" si="3"/>
        <v/>
      </c>
      <c r="P465" s="209"/>
      <c r="Q465" s="75" t="b">
        <f>VLOOKUP($B465,'Run Reconcile'!B$2:P1679,15,FALSE)</f>
        <v>1</v>
      </c>
      <c r="R465" s="211" t="str">
        <f t="array" ref="R465">IF($Q465, INDEX('Run Reconcile'!A$2:A1679,MATCH(B465,'Run Reconcile'!B$2:B1679,0),1),IFERROR(0/0,""))</f>
        <v>RUN-COMB_2022-04-21_RFR-025</v>
      </c>
      <c r="S465" s="165" t="str">
        <f t="shared" ref="S465:T465" si="929">IF(COUNTIF(W$2:W1679, $A465) &gt; 0,TRUE,IFERROR(0/0,""))</f>
        <v/>
      </c>
      <c r="T465" s="165" t="str">
        <f t="shared" si="929"/>
        <v/>
      </c>
      <c r="U465" s="147" t="str">
        <f t="array" ref="U465">IF(ISBLANK($R465), IF($S465,VLOOKUP($B465+1,'RFR Data - preExcl'!$BF$2:$BG1679,2,FALSE),IF($T465,INDEX('RFR Data - preExcl'!$BF$2:$BG1679,MATCH($B465,'RFR Data - preExcl'!$BF$2:$BF1679,0)+1,2),VLOOKUP($B465,'RFR Data - preExcl'!$BF$2:$BG1679,2,FALSE))),IFERROR(0/0,""))</f>
        <v/>
      </c>
      <c r="V465" s="212" t="str">
        <f t="shared" si="5"/>
        <v>RUN-COMB_2022-04-21_RFR-025</v>
      </c>
      <c r="W465" s="51"/>
      <c r="X465" s="51"/>
      <c r="Y465" s="147" t="str">
        <f t="shared" ref="Y465:Z465" si="930">IF(_xlfn.ISFORMULA(S465),IFERROR(0/0,""),TRUE)</f>
        <v/>
      </c>
      <c r="Z465" s="147" t="str">
        <f t="shared" si="930"/>
        <v/>
      </c>
    </row>
    <row r="466">
      <c r="A466" s="6" t="str">
        <f>IFERROR(__xludf.DUMMYFUNCTION("""COMPUTED_VALUE"""),"FM4030")</f>
        <v>FM4030</v>
      </c>
      <c r="B466" s="206">
        <f>IFERROR(__xludf.DUMMYFUNCTION("""COMPUTED_VALUE"""),44672.0)</f>
        <v>44672</v>
      </c>
      <c r="C466" s="207">
        <f>IFERROR(__xludf.DUMMYFUNCTION("""COMPUTED_VALUE"""),0.3075115740740741)</f>
        <v>0.3075115741</v>
      </c>
      <c r="D466" s="50"/>
      <c r="E466" s="58"/>
      <c r="F466" s="58"/>
      <c r="G466" s="58" t="str">
        <f>IFERROR(__xludf.DUMMYFUNCTION("""COMPUTED_VALUE"""),"Negative")</f>
        <v>Negative</v>
      </c>
      <c r="H466" s="206" t="str">
        <f>IFERROR(__xludf.DUMMYFUNCTION("""COMPUTED_VALUE"""),"Negative")</f>
        <v>Negative</v>
      </c>
      <c r="I466" s="207">
        <f>IFERROR(__xludf.DUMMYFUNCTION("""COMPUTED_VALUE"""),44672.0)</f>
        <v>44672</v>
      </c>
      <c r="J466" s="208">
        <f>IFERROR(__xludf.DUMMYFUNCTION("""COMPUTED_VALUE"""),0.44819444444444445)</f>
        <v>0.4481944444</v>
      </c>
      <c r="K466" s="50"/>
      <c r="L466" s="6"/>
      <c r="M466" s="55"/>
      <c r="N466" s="55">
        <f>IFERROR(__xludf.DUMMYFUNCTION("""COMPUTED_VALUE"""),1.0)</f>
        <v>1</v>
      </c>
      <c r="O466" s="55" t="str">
        <f t="shared" si="3"/>
        <v/>
      </c>
      <c r="P466" s="209"/>
      <c r="Q466" s="75" t="b">
        <f>VLOOKUP($B466,'Run Reconcile'!B$2:P1679,15,FALSE)</f>
        <v>1</v>
      </c>
      <c r="R466" s="211" t="str">
        <f t="array" ref="R466">IF($Q466, INDEX('Run Reconcile'!A$2:A1679,MATCH(B466,'Run Reconcile'!B$2:B1679,0),1),IFERROR(0/0,""))</f>
        <v>RUN-COMB_2022-04-21_RFR-025</v>
      </c>
      <c r="S466" s="165" t="str">
        <f t="shared" ref="S466:T466" si="931">IF(COUNTIF(W$2:W1679, $A466) &gt; 0,TRUE,IFERROR(0/0,""))</f>
        <v/>
      </c>
      <c r="T466" s="165" t="str">
        <f t="shared" si="931"/>
        <v/>
      </c>
      <c r="U466" s="147" t="str">
        <f t="array" ref="U466">IF(ISBLANK($R466), IF($S466,VLOOKUP($B466+1,'RFR Data - preExcl'!$BF$2:$BG1679,2,FALSE),IF($T466,INDEX('RFR Data - preExcl'!$BF$2:$BG1679,MATCH($B466,'RFR Data - preExcl'!$BF$2:$BF1679,0)+1,2),VLOOKUP($B466,'RFR Data - preExcl'!$BF$2:$BG1679,2,FALSE))),IFERROR(0/0,""))</f>
        <v/>
      </c>
      <c r="V466" s="212" t="str">
        <f t="shared" si="5"/>
        <v>RUN-COMB_2022-04-21_RFR-025</v>
      </c>
      <c r="W466" s="51"/>
      <c r="X466" s="51"/>
      <c r="Y466" s="147" t="str">
        <f t="shared" ref="Y466:Z466" si="932">IF(_xlfn.ISFORMULA(S466),IFERROR(0/0,""),TRUE)</f>
        <v/>
      </c>
      <c r="Z466" s="147" t="str">
        <f t="shared" si="932"/>
        <v/>
      </c>
    </row>
    <row r="467">
      <c r="A467" s="6" t="str">
        <f>IFERROR(__xludf.DUMMYFUNCTION("""COMPUTED_VALUE"""),"FM4076")</f>
        <v>FM4076</v>
      </c>
      <c r="B467" s="206">
        <f>IFERROR(__xludf.DUMMYFUNCTION("""COMPUTED_VALUE"""),44672.0)</f>
        <v>44672</v>
      </c>
      <c r="C467" s="207">
        <f>IFERROR(__xludf.DUMMYFUNCTION("""COMPUTED_VALUE"""),0.3080324074074074)</f>
        <v>0.3080324074</v>
      </c>
      <c r="D467" s="50"/>
      <c r="E467" s="58"/>
      <c r="F467" s="58"/>
      <c r="G467" s="58" t="str">
        <f>IFERROR(__xludf.DUMMYFUNCTION("""COMPUTED_VALUE"""),"Negative")</f>
        <v>Negative</v>
      </c>
      <c r="H467" s="206" t="str">
        <f>IFERROR(__xludf.DUMMYFUNCTION("""COMPUTED_VALUE"""),"Negative")</f>
        <v>Negative</v>
      </c>
      <c r="I467" s="207">
        <f>IFERROR(__xludf.DUMMYFUNCTION("""COMPUTED_VALUE"""),44672.0)</f>
        <v>44672</v>
      </c>
      <c r="J467" s="208">
        <f>IFERROR(__xludf.DUMMYFUNCTION("""COMPUTED_VALUE"""),0.4472337962962963)</f>
        <v>0.4472337963</v>
      </c>
      <c r="K467" s="50"/>
      <c r="L467" s="6"/>
      <c r="M467" s="55"/>
      <c r="N467" s="55">
        <f>IFERROR(__xludf.DUMMYFUNCTION("""COMPUTED_VALUE"""),1.0)</f>
        <v>1</v>
      </c>
      <c r="O467" s="55" t="str">
        <f t="shared" si="3"/>
        <v/>
      </c>
      <c r="P467" s="209"/>
      <c r="Q467" s="75" t="b">
        <f>VLOOKUP($B467,'Run Reconcile'!B$2:P1679,15,FALSE)</f>
        <v>1</v>
      </c>
      <c r="R467" s="211" t="str">
        <f t="array" ref="R467">IF($Q467, INDEX('Run Reconcile'!A$2:A1679,MATCH(B467,'Run Reconcile'!B$2:B1679,0),1),IFERROR(0/0,""))</f>
        <v>RUN-COMB_2022-04-21_RFR-025</v>
      </c>
      <c r="S467" s="165" t="str">
        <f t="shared" ref="S467:T467" si="933">IF(COUNTIF(W$2:W1679, $A467) &gt; 0,TRUE,IFERROR(0/0,""))</f>
        <v/>
      </c>
      <c r="T467" s="165" t="str">
        <f t="shared" si="933"/>
        <v/>
      </c>
      <c r="U467" s="147" t="str">
        <f t="array" ref="U467">IF(ISBLANK($R467), IF($S467,VLOOKUP($B467+1,'RFR Data - preExcl'!$BF$2:$BG1679,2,FALSE),IF($T467,INDEX('RFR Data - preExcl'!$BF$2:$BG1679,MATCH($B467,'RFR Data - preExcl'!$BF$2:$BF1679,0)+1,2),VLOOKUP($B467,'RFR Data - preExcl'!$BF$2:$BG1679,2,FALSE))),IFERROR(0/0,""))</f>
        <v/>
      </c>
      <c r="V467" s="212" t="str">
        <f t="shared" si="5"/>
        <v>RUN-COMB_2022-04-21_RFR-025</v>
      </c>
      <c r="W467" s="51"/>
      <c r="X467" s="51"/>
      <c r="Y467" s="147" t="str">
        <f t="shared" ref="Y467:Z467" si="934">IF(_xlfn.ISFORMULA(S467),IFERROR(0/0,""),TRUE)</f>
        <v/>
      </c>
      <c r="Z467" s="147" t="str">
        <f t="shared" si="934"/>
        <v/>
      </c>
    </row>
    <row r="468">
      <c r="A468" s="6" t="str">
        <f>IFERROR(__xludf.DUMMYFUNCTION("""COMPUTED_VALUE"""),"FM4082")</f>
        <v>FM4082</v>
      </c>
      <c r="B468" s="206">
        <f>IFERROR(__xludf.DUMMYFUNCTION("""COMPUTED_VALUE"""),44672.0)</f>
        <v>44672</v>
      </c>
      <c r="C468" s="207">
        <f>IFERROR(__xludf.DUMMYFUNCTION("""COMPUTED_VALUE"""),0.308587962962963)</f>
        <v>0.308587963</v>
      </c>
      <c r="D468" s="50"/>
      <c r="E468" s="58"/>
      <c r="F468" s="58"/>
      <c r="G468" s="58" t="str">
        <f>IFERROR(__xludf.DUMMYFUNCTION("""COMPUTED_VALUE"""),"Negative")</f>
        <v>Negative</v>
      </c>
      <c r="H468" s="206" t="str">
        <f>IFERROR(__xludf.DUMMYFUNCTION("""COMPUTED_VALUE"""),"Negative")</f>
        <v>Negative</v>
      </c>
      <c r="I468" s="207">
        <f>IFERROR(__xludf.DUMMYFUNCTION("""COMPUTED_VALUE"""),44672.0)</f>
        <v>44672</v>
      </c>
      <c r="J468" s="208">
        <f>IFERROR(__xludf.DUMMYFUNCTION("""COMPUTED_VALUE"""),0.44819444444444445)</f>
        <v>0.4481944444</v>
      </c>
      <c r="K468" s="50"/>
      <c r="L468" s="6"/>
      <c r="M468" s="55"/>
      <c r="N468" s="55">
        <f>IFERROR(__xludf.DUMMYFUNCTION("""COMPUTED_VALUE"""),1.0)</f>
        <v>1</v>
      </c>
      <c r="O468" s="55" t="str">
        <f t="shared" si="3"/>
        <v/>
      </c>
      <c r="P468" s="209"/>
      <c r="Q468" s="75" t="b">
        <f>VLOOKUP($B468,'Run Reconcile'!B$2:P1679,15,FALSE)</f>
        <v>1</v>
      </c>
      <c r="R468" s="211" t="str">
        <f t="array" ref="R468">IF($Q468, INDEX('Run Reconcile'!A$2:A1679,MATCH(B468,'Run Reconcile'!B$2:B1679,0),1),IFERROR(0/0,""))</f>
        <v>RUN-COMB_2022-04-21_RFR-025</v>
      </c>
      <c r="S468" s="165" t="str">
        <f t="shared" ref="S468:T468" si="935">IF(COUNTIF(W$2:W1679, $A468) &gt; 0,TRUE,IFERROR(0/0,""))</f>
        <v/>
      </c>
      <c r="T468" s="165" t="str">
        <f t="shared" si="935"/>
        <v/>
      </c>
      <c r="U468" s="147" t="str">
        <f t="array" ref="U468">IF(ISBLANK($R468), IF($S468,VLOOKUP($B468+1,'RFR Data - preExcl'!$BF$2:$BG1679,2,FALSE),IF($T468,INDEX('RFR Data - preExcl'!$BF$2:$BG1679,MATCH($B468,'RFR Data - preExcl'!$BF$2:$BF1679,0)+1,2),VLOOKUP($B468,'RFR Data - preExcl'!$BF$2:$BG1679,2,FALSE))),IFERROR(0/0,""))</f>
        <v/>
      </c>
      <c r="V468" s="212" t="str">
        <f t="shared" si="5"/>
        <v>RUN-COMB_2022-04-21_RFR-025</v>
      </c>
      <c r="W468" s="51"/>
      <c r="X468" s="51"/>
      <c r="Y468" s="147" t="str">
        <f t="shared" ref="Y468:Z468" si="936">IF(_xlfn.ISFORMULA(S468),IFERROR(0/0,""),TRUE)</f>
        <v/>
      </c>
      <c r="Z468" s="147" t="str">
        <f t="shared" si="936"/>
        <v/>
      </c>
    </row>
    <row r="469">
      <c r="A469" s="6" t="str">
        <f>IFERROR(__xludf.DUMMYFUNCTION("""COMPUTED_VALUE"""),"FM4120")</f>
        <v>FM4120</v>
      </c>
      <c r="B469" s="206">
        <f>IFERROR(__xludf.DUMMYFUNCTION("""COMPUTED_VALUE"""),44672.0)</f>
        <v>44672</v>
      </c>
      <c r="C469" s="207">
        <f>IFERROR(__xludf.DUMMYFUNCTION("""COMPUTED_VALUE"""),0.3091435185185185)</f>
        <v>0.3091435185</v>
      </c>
      <c r="D469" s="50"/>
      <c r="E469" s="58"/>
      <c r="F469" s="58"/>
      <c r="G469" s="58" t="str">
        <f>IFERROR(__xludf.DUMMYFUNCTION("""COMPUTED_VALUE"""),"Negative")</f>
        <v>Negative</v>
      </c>
      <c r="H469" s="206" t="str">
        <f>IFERROR(__xludf.DUMMYFUNCTION("""COMPUTED_VALUE"""),"Negative")</f>
        <v>Negative</v>
      </c>
      <c r="I469" s="207">
        <f>IFERROR(__xludf.DUMMYFUNCTION("""COMPUTED_VALUE"""),44672.0)</f>
        <v>44672</v>
      </c>
      <c r="J469" s="208">
        <f>IFERROR(__xludf.DUMMYFUNCTION("""COMPUTED_VALUE"""),0.44819444444444445)</f>
        <v>0.4481944444</v>
      </c>
      <c r="K469" s="50"/>
      <c r="L469" s="6"/>
      <c r="M469" s="55"/>
      <c r="N469" s="55">
        <f>IFERROR(__xludf.DUMMYFUNCTION("""COMPUTED_VALUE"""),1.0)</f>
        <v>1</v>
      </c>
      <c r="O469" s="55" t="str">
        <f t="shared" si="3"/>
        <v/>
      </c>
      <c r="P469" s="209"/>
      <c r="Q469" s="75" t="b">
        <f>VLOOKUP($B469,'Run Reconcile'!B$2:P1679,15,FALSE)</f>
        <v>1</v>
      </c>
      <c r="R469" s="211" t="str">
        <f t="array" ref="R469">IF($Q469, INDEX('Run Reconcile'!A$2:A1679,MATCH(B469,'Run Reconcile'!B$2:B1679,0),1),IFERROR(0/0,""))</f>
        <v>RUN-COMB_2022-04-21_RFR-025</v>
      </c>
      <c r="S469" s="165" t="str">
        <f t="shared" ref="S469:T469" si="937">IF(COUNTIF(W$2:W1679, $A469) &gt; 0,TRUE,IFERROR(0/0,""))</f>
        <v/>
      </c>
      <c r="T469" s="165" t="str">
        <f t="shared" si="937"/>
        <v/>
      </c>
      <c r="U469" s="147" t="str">
        <f t="array" ref="U469">IF(ISBLANK($R469), IF($S469,VLOOKUP($B469+1,'RFR Data - preExcl'!$BF$2:$BG1679,2,FALSE),IF($T469,INDEX('RFR Data - preExcl'!$BF$2:$BG1679,MATCH($B469,'RFR Data - preExcl'!$BF$2:$BF1679,0)+1,2),VLOOKUP($B469,'RFR Data - preExcl'!$BF$2:$BG1679,2,FALSE))),IFERROR(0/0,""))</f>
        <v/>
      </c>
      <c r="V469" s="212" t="str">
        <f t="shared" si="5"/>
        <v>RUN-COMB_2022-04-21_RFR-025</v>
      </c>
      <c r="W469" s="51"/>
      <c r="X469" s="51"/>
      <c r="Y469" s="147" t="str">
        <f t="shared" ref="Y469:Z469" si="938">IF(_xlfn.ISFORMULA(S469),IFERROR(0/0,""),TRUE)</f>
        <v/>
      </c>
      <c r="Z469" s="147" t="str">
        <f t="shared" si="938"/>
        <v/>
      </c>
    </row>
    <row r="470">
      <c r="A470" s="6" t="str">
        <f>IFERROR(__xludf.DUMMYFUNCTION("""COMPUTED_VALUE"""),"FM4122")</f>
        <v>FM4122</v>
      </c>
      <c r="B470" s="206">
        <f>IFERROR(__xludf.DUMMYFUNCTION("""COMPUTED_VALUE"""),44672.0)</f>
        <v>44672</v>
      </c>
      <c r="C470" s="207">
        <f>IFERROR(__xludf.DUMMYFUNCTION("""COMPUTED_VALUE"""),0.3097800925925926)</f>
        <v>0.3097800926</v>
      </c>
      <c r="D470" s="50"/>
      <c r="E470" s="58"/>
      <c r="F470" s="58"/>
      <c r="G470" s="58" t="str">
        <f>IFERROR(__xludf.DUMMYFUNCTION("""COMPUTED_VALUE"""),"Negative")</f>
        <v>Negative</v>
      </c>
      <c r="H470" s="206" t="str">
        <f>IFERROR(__xludf.DUMMYFUNCTION("""COMPUTED_VALUE"""),"Negative")</f>
        <v>Negative</v>
      </c>
      <c r="I470" s="207">
        <f>IFERROR(__xludf.DUMMYFUNCTION("""COMPUTED_VALUE"""),44672.0)</f>
        <v>44672</v>
      </c>
      <c r="J470" s="208">
        <f>IFERROR(__xludf.DUMMYFUNCTION("""COMPUTED_VALUE"""),0.44820601851851855)</f>
        <v>0.4482060185</v>
      </c>
      <c r="K470" s="50"/>
      <c r="L470" s="6"/>
      <c r="M470" s="55"/>
      <c r="N470" s="55">
        <f>IFERROR(__xludf.DUMMYFUNCTION("""COMPUTED_VALUE"""),1.0)</f>
        <v>1</v>
      </c>
      <c r="O470" s="55" t="str">
        <f t="shared" si="3"/>
        <v/>
      </c>
      <c r="P470" s="209"/>
      <c r="Q470" s="75" t="b">
        <f>VLOOKUP($B470,'Run Reconcile'!B$2:P1679,15,FALSE)</f>
        <v>1</v>
      </c>
      <c r="R470" s="211" t="str">
        <f t="array" ref="R470">IF($Q470, INDEX('Run Reconcile'!A$2:A1679,MATCH(B470,'Run Reconcile'!B$2:B1679,0),1),IFERROR(0/0,""))</f>
        <v>RUN-COMB_2022-04-21_RFR-025</v>
      </c>
      <c r="S470" s="165" t="str">
        <f t="shared" ref="S470:T470" si="939">IF(COUNTIF(W$2:W1679, $A470) &gt; 0,TRUE,IFERROR(0/0,""))</f>
        <v/>
      </c>
      <c r="T470" s="165" t="str">
        <f t="shared" si="939"/>
        <v/>
      </c>
      <c r="U470" s="147" t="str">
        <f t="array" ref="U470">IF(ISBLANK($R470), IF($S470,VLOOKUP($B470+1,'RFR Data - preExcl'!$BF$2:$BG1679,2,FALSE),IF($T470,INDEX('RFR Data - preExcl'!$BF$2:$BG1679,MATCH($B470,'RFR Data - preExcl'!$BF$2:$BF1679,0)+1,2),VLOOKUP($B470,'RFR Data - preExcl'!$BF$2:$BG1679,2,FALSE))),IFERROR(0/0,""))</f>
        <v/>
      </c>
      <c r="V470" s="212" t="str">
        <f t="shared" si="5"/>
        <v>RUN-COMB_2022-04-21_RFR-025</v>
      </c>
      <c r="W470" s="51"/>
      <c r="X470" s="51"/>
      <c r="Y470" s="147" t="str">
        <f t="shared" ref="Y470:Z470" si="940">IF(_xlfn.ISFORMULA(S470),IFERROR(0/0,""),TRUE)</f>
        <v/>
      </c>
      <c r="Z470" s="147" t="str">
        <f t="shared" si="940"/>
        <v/>
      </c>
    </row>
    <row r="471">
      <c r="A471" s="6" t="str">
        <f>IFERROR(__xludf.DUMMYFUNCTION("""COMPUTED_VALUE"""),"FM4056")</f>
        <v>FM4056</v>
      </c>
      <c r="B471" s="206">
        <f>IFERROR(__xludf.DUMMYFUNCTION("""COMPUTED_VALUE"""),44672.0)</f>
        <v>44672</v>
      </c>
      <c r="C471" s="207">
        <f>IFERROR(__xludf.DUMMYFUNCTION("""COMPUTED_VALUE"""),0.31024305555555554)</f>
        <v>0.3102430556</v>
      </c>
      <c r="D471" s="50"/>
      <c r="E471" s="58"/>
      <c r="F471" s="58"/>
      <c r="G471" s="58" t="str">
        <f>IFERROR(__xludf.DUMMYFUNCTION("""COMPUTED_VALUE"""),"Positive")</f>
        <v>Positive</v>
      </c>
      <c r="H471" s="206" t="str">
        <f>IFERROR(__xludf.DUMMYFUNCTION("""COMPUTED_VALUE"""),"Positive")</f>
        <v>Positive</v>
      </c>
      <c r="I471" s="207">
        <f>IFERROR(__xludf.DUMMYFUNCTION("""COMPUTED_VALUE"""),44672.0)</f>
        <v>44672</v>
      </c>
      <c r="J471" s="208">
        <f>IFERROR(__xludf.DUMMYFUNCTION("""COMPUTED_VALUE"""),0.44592592592592595)</f>
        <v>0.4459259259</v>
      </c>
      <c r="K471" s="50"/>
      <c r="L471" s="6"/>
      <c r="M471" s="55"/>
      <c r="N471" s="55">
        <f>IFERROR(__xludf.DUMMYFUNCTION("""COMPUTED_VALUE"""),1.0)</f>
        <v>1</v>
      </c>
      <c r="O471" s="55" t="str">
        <f t="shared" si="3"/>
        <v/>
      </c>
      <c r="P471" s="209"/>
      <c r="Q471" s="75" t="b">
        <f>VLOOKUP($B471,'Run Reconcile'!B$2:P1679,15,FALSE)</f>
        <v>1</v>
      </c>
      <c r="R471" s="211" t="str">
        <f t="array" ref="R471">IF($Q471, INDEX('Run Reconcile'!A$2:A1679,MATCH(B471,'Run Reconcile'!B$2:B1679,0),1),IFERROR(0/0,""))</f>
        <v>RUN-COMB_2022-04-21_RFR-025</v>
      </c>
      <c r="S471" s="165" t="str">
        <f t="shared" ref="S471:T471" si="941">IF(COUNTIF(W$2:W1679, $A471) &gt; 0,TRUE,IFERROR(0/0,""))</f>
        <v/>
      </c>
      <c r="T471" s="165" t="str">
        <f t="shared" si="941"/>
        <v/>
      </c>
      <c r="U471" s="147" t="str">
        <f t="array" ref="U471">IF(ISBLANK($R471), IF($S471,VLOOKUP($B471+1,'RFR Data - preExcl'!$BF$2:$BG1679,2,FALSE),IF($T471,INDEX('RFR Data - preExcl'!$BF$2:$BG1679,MATCH($B471,'RFR Data - preExcl'!$BF$2:$BF1679,0)+1,2),VLOOKUP($B471,'RFR Data - preExcl'!$BF$2:$BG1679,2,FALSE))),IFERROR(0/0,""))</f>
        <v/>
      </c>
      <c r="V471" s="212" t="str">
        <f t="shared" si="5"/>
        <v>RUN-COMB_2022-04-21_RFR-025</v>
      </c>
      <c r="W471" s="51"/>
      <c r="X471" s="51"/>
      <c r="Y471" s="147" t="str">
        <f t="shared" ref="Y471:Z471" si="942">IF(_xlfn.ISFORMULA(S471),IFERROR(0/0,""),TRUE)</f>
        <v/>
      </c>
      <c r="Z471" s="147" t="str">
        <f t="shared" si="942"/>
        <v/>
      </c>
    </row>
    <row r="472">
      <c r="A472" s="6" t="str">
        <f>IFERROR(__xludf.DUMMYFUNCTION("""COMPUTED_VALUE"""),"FM4111")</f>
        <v>FM4111</v>
      </c>
      <c r="B472" s="206">
        <f>IFERROR(__xludf.DUMMYFUNCTION("""COMPUTED_VALUE"""),44672.0)</f>
        <v>44672</v>
      </c>
      <c r="C472" s="207">
        <f>IFERROR(__xludf.DUMMYFUNCTION("""COMPUTED_VALUE"""),0.3107175925925926)</f>
        <v>0.3107175926</v>
      </c>
      <c r="D472" s="50"/>
      <c r="E472" s="58"/>
      <c r="F472" s="58"/>
      <c r="G472" s="58" t="str">
        <f>IFERROR(__xludf.DUMMYFUNCTION("""COMPUTED_VALUE"""),"Negative")</f>
        <v>Negative</v>
      </c>
      <c r="H472" s="206" t="str">
        <f>IFERROR(__xludf.DUMMYFUNCTION("""COMPUTED_VALUE"""),"Negative")</f>
        <v>Negative</v>
      </c>
      <c r="I472" s="207">
        <f>IFERROR(__xludf.DUMMYFUNCTION("""COMPUTED_VALUE"""),44672.0)</f>
        <v>44672</v>
      </c>
      <c r="J472" s="208">
        <f>IFERROR(__xludf.DUMMYFUNCTION("""COMPUTED_VALUE"""),0.44820601851851855)</f>
        <v>0.4482060185</v>
      </c>
      <c r="K472" s="50"/>
      <c r="L472" s="6"/>
      <c r="M472" s="55"/>
      <c r="N472" s="55">
        <f>IFERROR(__xludf.DUMMYFUNCTION("""COMPUTED_VALUE"""),1.0)</f>
        <v>1</v>
      </c>
      <c r="O472" s="55" t="str">
        <f t="shared" si="3"/>
        <v/>
      </c>
      <c r="P472" s="209"/>
      <c r="Q472" s="75" t="b">
        <f>VLOOKUP($B472,'Run Reconcile'!B$2:P1679,15,FALSE)</f>
        <v>1</v>
      </c>
      <c r="R472" s="211" t="str">
        <f t="array" ref="R472">IF($Q472, INDEX('Run Reconcile'!A$2:A1679,MATCH(B472,'Run Reconcile'!B$2:B1679,0),1),IFERROR(0/0,""))</f>
        <v>RUN-COMB_2022-04-21_RFR-025</v>
      </c>
      <c r="S472" s="165" t="str">
        <f t="shared" ref="S472:T472" si="943">IF(COUNTIF(W$2:W1679, $A472) &gt; 0,TRUE,IFERROR(0/0,""))</f>
        <v/>
      </c>
      <c r="T472" s="165" t="str">
        <f t="shared" si="943"/>
        <v/>
      </c>
      <c r="U472" s="147" t="str">
        <f t="array" ref="U472">IF(ISBLANK($R472), IF($S472,VLOOKUP($B472+1,'RFR Data - preExcl'!$BF$2:$BG1679,2,FALSE),IF($T472,INDEX('RFR Data - preExcl'!$BF$2:$BG1679,MATCH($B472,'RFR Data - preExcl'!$BF$2:$BF1679,0)+1,2),VLOOKUP($B472,'RFR Data - preExcl'!$BF$2:$BG1679,2,FALSE))),IFERROR(0/0,""))</f>
        <v/>
      </c>
      <c r="V472" s="212" t="str">
        <f t="shared" si="5"/>
        <v>RUN-COMB_2022-04-21_RFR-025</v>
      </c>
      <c r="W472" s="51"/>
      <c r="X472" s="51"/>
      <c r="Y472" s="147" t="str">
        <f t="shared" ref="Y472:Z472" si="944">IF(_xlfn.ISFORMULA(S472),IFERROR(0/0,""),TRUE)</f>
        <v/>
      </c>
      <c r="Z472" s="147" t="str">
        <f t="shared" si="944"/>
        <v/>
      </c>
    </row>
    <row r="473">
      <c r="A473" s="6" t="str">
        <f>IFERROR(__xludf.DUMMYFUNCTION("""COMPUTED_VALUE"""),"FM4103")</f>
        <v>FM4103</v>
      </c>
      <c r="B473" s="206">
        <f>IFERROR(__xludf.DUMMYFUNCTION("""COMPUTED_VALUE"""),44672.0)</f>
        <v>44672</v>
      </c>
      <c r="C473" s="207">
        <f>IFERROR(__xludf.DUMMYFUNCTION("""COMPUTED_VALUE"""),0.3112037037037037)</f>
        <v>0.3112037037</v>
      </c>
      <c r="D473" s="50"/>
      <c r="E473" s="58"/>
      <c r="F473" s="58"/>
      <c r="G473" s="58" t="str">
        <f>IFERROR(__xludf.DUMMYFUNCTION("""COMPUTED_VALUE"""),"Negative")</f>
        <v>Negative</v>
      </c>
      <c r="H473" s="206" t="str">
        <f>IFERROR(__xludf.DUMMYFUNCTION("""COMPUTED_VALUE"""),"Negative")</f>
        <v>Negative</v>
      </c>
      <c r="I473" s="207">
        <f>IFERROR(__xludf.DUMMYFUNCTION("""COMPUTED_VALUE"""),44672.0)</f>
        <v>44672</v>
      </c>
      <c r="J473" s="208">
        <f>IFERROR(__xludf.DUMMYFUNCTION("""COMPUTED_VALUE"""),0.4482175925925926)</f>
        <v>0.4482175926</v>
      </c>
      <c r="K473" s="50"/>
      <c r="L473" s="6"/>
      <c r="M473" s="55"/>
      <c r="N473" s="55">
        <f>IFERROR(__xludf.DUMMYFUNCTION("""COMPUTED_VALUE"""),1.0)</f>
        <v>1</v>
      </c>
      <c r="O473" s="55" t="str">
        <f t="shared" si="3"/>
        <v/>
      </c>
      <c r="P473" s="209"/>
      <c r="Q473" s="75" t="b">
        <f>VLOOKUP($B473,'Run Reconcile'!B$2:P1679,15,FALSE)</f>
        <v>1</v>
      </c>
      <c r="R473" s="211" t="str">
        <f t="array" ref="R473">IF($Q473, INDEX('Run Reconcile'!A$2:A1679,MATCH(B473,'Run Reconcile'!B$2:B1679,0),1),IFERROR(0/0,""))</f>
        <v>RUN-COMB_2022-04-21_RFR-025</v>
      </c>
      <c r="S473" s="165" t="str">
        <f t="shared" ref="S473:T473" si="945">IF(COUNTIF(W$2:W1679, $A473) &gt; 0,TRUE,IFERROR(0/0,""))</f>
        <v/>
      </c>
      <c r="T473" s="165" t="str">
        <f t="shared" si="945"/>
        <v/>
      </c>
      <c r="U473" s="147" t="str">
        <f t="array" ref="U473">IF(ISBLANK($R473), IF($S473,VLOOKUP($B473+1,'RFR Data - preExcl'!$BF$2:$BG1679,2,FALSE),IF($T473,INDEX('RFR Data - preExcl'!$BF$2:$BG1679,MATCH($B473,'RFR Data - preExcl'!$BF$2:$BF1679,0)+1,2),VLOOKUP($B473,'RFR Data - preExcl'!$BF$2:$BG1679,2,FALSE))),IFERROR(0/0,""))</f>
        <v/>
      </c>
      <c r="V473" s="212" t="str">
        <f t="shared" si="5"/>
        <v>RUN-COMB_2022-04-21_RFR-025</v>
      </c>
      <c r="W473" s="51"/>
      <c r="X473" s="51"/>
      <c r="Y473" s="147" t="str">
        <f t="shared" ref="Y473:Z473" si="946">IF(_xlfn.ISFORMULA(S473),IFERROR(0/0,""),TRUE)</f>
        <v/>
      </c>
      <c r="Z473" s="147" t="str">
        <f t="shared" si="946"/>
        <v/>
      </c>
    </row>
    <row r="474">
      <c r="A474" s="6" t="str">
        <f>IFERROR(__xludf.DUMMYFUNCTION("""COMPUTED_VALUE"""),"FM4029")</f>
        <v>FM4029</v>
      </c>
      <c r="B474" s="206">
        <f>IFERROR(__xludf.DUMMYFUNCTION("""COMPUTED_VALUE"""),44672.0)</f>
        <v>44672</v>
      </c>
      <c r="C474" s="207">
        <f>IFERROR(__xludf.DUMMYFUNCTION("""COMPUTED_VALUE"""),0.31372685185185184)</f>
        <v>0.3137268519</v>
      </c>
      <c r="D474" s="50"/>
      <c r="E474" s="58"/>
      <c r="F474" s="58"/>
      <c r="G474" s="58" t="str">
        <f>IFERROR(__xludf.DUMMYFUNCTION("""COMPUTED_VALUE"""),"Negative")</f>
        <v>Negative</v>
      </c>
      <c r="H474" s="206" t="str">
        <f>IFERROR(__xludf.DUMMYFUNCTION("""COMPUTED_VALUE"""),"Negative")</f>
        <v>Negative</v>
      </c>
      <c r="I474" s="207">
        <f>IFERROR(__xludf.DUMMYFUNCTION("""COMPUTED_VALUE"""),44672.0)</f>
        <v>44672</v>
      </c>
      <c r="J474" s="208">
        <f>IFERROR(__xludf.DUMMYFUNCTION("""COMPUTED_VALUE"""),0.4482175925925926)</f>
        <v>0.4482175926</v>
      </c>
      <c r="K474" s="50"/>
      <c r="L474" s="6"/>
      <c r="M474" s="55"/>
      <c r="N474" s="55">
        <f>IFERROR(__xludf.DUMMYFUNCTION("""COMPUTED_VALUE"""),1.0)</f>
        <v>1</v>
      </c>
      <c r="O474" s="55" t="str">
        <f t="shared" si="3"/>
        <v/>
      </c>
      <c r="P474" s="209"/>
      <c r="Q474" s="75" t="b">
        <f>VLOOKUP($B474,'Run Reconcile'!B$2:P1679,15,FALSE)</f>
        <v>1</v>
      </c>
      <c r="R474" s="211" t="str">
        <f t="array" ref="R474">IF($Q474, INDEX('Run Reconcile'!A$2:A1679,MATCH(B474,'Run Reconcile'!B$2:B1679,0),1),IFERROR(0/0,""))</f>
        <v>RUN-COMB_2022-04-21_RFR-025</v>
      </c>
      <c r="S474" s="165" t="str">
        <f t="shared" ref="S474:T474" si="947">IF(COUNTIF(W$2:W1679, $A474) &gt; 0,TRUE,IFERROR(0/0,""))</f>
        <v/>
      </c>
      <c r="T474" s="165" t="str">
        <f t="shared" si="947"/>
        <v/>
      </c>
      <c r="U474" s="147" t="str">
        <f t="array" ref="U474">IF(ISBLANK($R474), IF($S474,VLOOKUP($B474+1,'RFR Data - preExcl'!$BF$2:$BG1679,2,FALSE),IF($T474,INDEX('RFR Data - preExcl'!$BF$2:$BG1679,MATCH($B474,'RFR Data - preExcl'!$BF$2:$BF1679,0)+1,2),VLOOKUP($B474,'RFR Data - preExcl'!$BF$2:$BG1679,2,FALSE))),IFERROR(0/0,""))</f>
        <v/>
      </c>
      <c r="V474" s="212" t="str">
        <f t="shared" si="5"/>
        <v>RUN-COMB_2022-04-21_RFR-025</v>
      </c>
      <c r="W474" s="51"/>
      <c r="X474" s="51"/>
      <c r="Y474" s="147" t="str">
        <f t="shared" ref="Y474:Z474" si="948">IF(_xlfn.ISFORMULA(S474),IFERROR(0/0,""),TRUE)</f>
        <v/>
      </c>
      <c r="Z474" s="147" t="str">
        <f t="shared" si="948"/>
        <v/>
      </c>
    </row>
    <row r="475">
      <c r="A475" s="6" t="str">
        <f>IFERROR(__xludf.DUMMYFUNCTION("""COMPUTED_VALUE"""),"FM4097")</f>
        <v>FM4097</v>
      </c>
      <c r="B475" s="206">
        <f>IFERROR(__xludf.DUMMYFUNCTION("""COMPUTED_VALUE"""),44672.0)</f>
        <v>44672</v>
      </c>
      <c r="C475" s="207">
        <f>IFERROR(__xludf.DUMMYFUNCTION("""COMPUTED_VALUE"""),0.31408564814814816)</f>
        <v>0.3140856481</v>
      </c>
      <c r="D475" s="50"/>
      <c r="E475" s="58"/>
      <c r="F475" s="58"/>
      <c r="G475" s="58" t="str">
        <f>IFERROR(__xludf.DUMMYFUNCTION("""COMPUTED_VALUE"""),"Negative")</f>
        <v>Negative</v>
      </c>
      <c r="H475" s="206" t="str">
        <f>IFERROR(__xludf.DUMMYFUNCTION("""COMPUTED_VALUE"""),"Negative")</f>
        <v>Negative</v>
      </c>
      <c r="I475" s="207">
        <f>IFERROR(__xludf.DUMMYFUNCTION("""COMPUTED_VALUE"""),44672.0)</f>
        <v>44672</v>
      </c>
      <c r="J475" s="208">
        <f>IFERROR(__xludf.DUMMYFUNCTION("""COMPUTED_VALUE"""),0.4482175925925926)</f>
        <v>0.4482175926</v>
      </c>
      <c r="K475" s="50"/>
      <c r="L475" s="6"/>
      <c r="M475" s="55"/>
      <c r="N475" s="55">
        <f>IFERROR(__xludf.DUMMYFUNCTION("""COMPUTED_VALUE"""),1.0)</f>
        <v>1</v>
      </c>
      <c r="O475" s="55" t="str">
        <f t="shared" si="3"/>
        <v/>
      </c>
      <c r="P475" s="209"/>
      <c r="Q475" s="75" t="b">
        <f>VLOOKUP($B475,'Run Reconcile'!B$2:P1679,15,FALSE)</f>
        <v>1</v>
      </c>
      <c r="R475" s="211" t="str">
        <f t="array" ref="R475">IF($Q475, INDEX('Run Reconcile'!A$2:A1679,MATCH(B475,'Run Reconcile'!B$2:B1679,0),1),IFERROR(0/0,""))</f>
        <v>RUN-COMB_2022-04-21_RFR-025</v>
      </c>
      <c r="S475" s="165" t="str">
        <f t="shared" ref="S475:T475" si="949">IF(COUNTIF(W$2:W1679, $A475) &gt; 0,TRUE,IFERROR(0/0,""))</f>
        <v/>
      </c>
      <c r="T475" s="165" t="str">
        <f t="shared" si="949"/>
        <v/>
      </c>
      <c r="U475" s="147" t="str">
        <f t="array" ref="U475">IF(ISBLANK($R475), IF($S475,VLOOKUP($B475+1,'RFR Data - preExcl'!$BF$2:$BG1679,2,FALSE),IF($T475,INDEX('RFR Data - preExcl'!$BF$2:$BG1679,MATCH($B475,'RFR Data - preExcl'!$BF$2:$BF1679,0)+1,2),VLOOKUP($B475,'RFR Data - preExcl'!$BF$2:$BG1679,2,FALSE))),IFERROR(0/0,""))</f>
        <v/>
      </c>
      <c r="V475" s="212" t="str">
        <f t="shared" si="5"/>
        <v>RUN-COMB_2022-04-21_RFR-025</v>
      </c>
      <c r="W475" s="51"/>
      <c r="X475" s="51"/>
      <c r="Y475" s="147" t="str">
        <f t="shared" ref="Y475:Z475" si="950">IF(_xlfn.ISFORMULA(S475),IFERROR(0/0,""),TRUE)</f>
        <v/>
      </c>
      <c r="Z475" s="147" t="str">
        <f t="shared" si="950"/>
        <v/>
      </c>
    </row>
    <row r="476">
      <c r="A476" s="6" t="str">
        <f>IFERROR(__xludf.DUMMYFUNCTION("""COMPUTED_VALUE"""),"FM4118")</f>
        <v>FM4118</v>
      </c>
      <c r="B476" s="206">
        <f>IFERROR(__xludf.DUMMYFUNCTION("""COMPUTED_VALUE"""),44673.0)</f>
        <v>44673</v>
      </c>
      <c r="C476" s="207">
        <f>IFERROR(__xludf.DUMMYFUNCTION("""COMPUTED_VALUE"""),0.29182870370370373)</f>
        <v>0.2918287037</v>
      </c>
      <c r="D476" s="50"/>
      <c r="E476" s="58"/>
      <c r="F476" s="58"/>
      <c r="G476" s="58" t="str">
        <f>IFERROR(__xludf.DUMMYFUNCTION("""COMPUTED_VALUE"""),"Negative")</f>
        <v>Negative</v>
      </c>
      <c r="H476" s="206" t="str">
        <f>IFERROR(__xludf.DUMMYFUNCTION("""COMPUTED_VALUE"""),"Negative")</f>
        <v>Negative</v>
      </c>
      <c r="I476" s="207">
        <f>IFERROR(__xludf.DUMMYFUNCTION("""COMPUTED_VALUE"""),44673.0)</f>
        <v>44673</v>
      </c>
      <c r="J476" s="208">
        <f>IFERROR(__xludf.DUMMYFUNCTION("""COMPUTED_VALUE"""),0.3743634259259259)</f>
        <v>0.3743634259</v>
      </c>
      <c r="K476" s="50"/>
      <c r="L476" s="6"/>
      <c r="M476" s="55"/>
      <c r="N476" s="55">
        <f>IFERROR(__xludf.DUMMYFUNCTION("""COMPUTED_VALUE"""),1.0)</f>
        <v>1</v>
      </c>
      <c r="O476" s="55" t="b">
        <f t="shared" si="3"/>
        <v>1</v>
      </c>
      <c r="P476" s="209"/>
      <c r="Q476" s="75" t="b">
        <f>VLOOKUP($B476,'Run Reconcile'!B$2:P1679,15,FALSE)</f>
        <v>1</v>
      </c>
      <c r="R476" s="211" t="str">
        <f t="array" ref="R476">IF($Q476, INDEX('Run Reconcile'!A$2:A1679,MATCH(B476,'Run Reconcile'!B$2:B1679,0),1),IFERROR(0/0,""))</f>
        <v>RUN-COMB_2022-04-22_RFR-027</v>
      </c>
      <c r="S476" s="165" t="str">
        <f t="shared" ref="S476:T476" si="951">IF(COUNTIF(W$2:W1679, $A476) &gt; 0,TRUE,IFERROR(0/0,""))</f>
        <v/>
      </c>
      <c r="T476" s="165" t="str">
        <f t="shared" si="951"/>
        <v/>
      </c>
      <c r="U476" s="147" t="str">
        <f t="array" ref="U476">IF(ISBLANK($R476), IF($S476,VLOOKUP($B476+1,'RFR Data - preExcl'!$BF$2:$BG1679,2,FALSE),IF($T476,INDEX('RFR Data - preExcl'!$BF$2:$BG1679,MATCH($B476,'RFR Data - preExcl'!$BF$2:$BF1679,0)+1,2),VLOOKUP($B476,'RFR Data - preExcl'!$BF$2:$BG1679,2,FALSE))),IFERROR(0/0,""))</f>
        <v/>
      </c>
      <c r="V476" s="212" t="str">
        <f t="shared" si="5"/>
        <v>RUN-COMB_2022-04-22_RFR-027</v>
      </c>
      <c r="W476" s="51"/>
      <c r="X476" s="51"/>
      <c r="Y476" s="147" t="str">
        <f t="shared" ref="Y476:Z476" si="952">IF(_xlfn.ISFORMULA(S476),IFERROR(0/0,""),TRUE)</f>
        <v/>
      </c>
      <c r="Z476" s="147" t="str">
        <f t="shared" si="952"/>
        <v/>
      </c>
    </row>
    <row r="477">
      <c r="A477" s="6" t="str">
        <f>IFERROR(__xludf.DUMMYFUNCTION("""COMPUTED_VALUE"""),"FM4022")</f>
        <v>FM4022</v>
      </c>
      <c r="B477" s="206">
        <f>IFERROR(__xludf.DUMMYFUNCTION("""COMPUTED_VALUE"""),44673.0)</f>
        <v>44673</v>
      </c>
      <c r="C477" s="207">
        <f>IFERROR(__xludf.DUMMYFUNCTION("""COMPUTED_VALUE"""),0.2921990740740741)</f>
        <v>0.2921990741</v>
      </c>
      <c r="D477" s="50"/>
      <c r="E477" s="58"/>
      <c r="F477" s="58"/>
      <c r="G477" s="58" t="str">
        <f>IFERROR(__xludf.DUMMYFUNCTION("""COMPUTED_VALUE"""),"Negative")</f>
        <v>Negative</v>
      </c>
      <c r="H477" s="206" t="str">
        <f>IFERROR(__xludf.DUMMYFUNCTION("""COMPUTED_VALUE"""),"Negative")</f>
        <v>Negative</v>
      </c>
      <c r="I477" s="207">
        <f>IFERROR(__xludf.DUMMYFUNCTION("""COMPUTED_VALUE"""),44673.0)</f>
        <v>44673</v>
      </c>
      <c r="J477" s="208">
        <f>IFERROR(__xludf.DUMMYFUNCTION("""COMPUTED_VALUE"""),0.374375)</f>
        <v>0.374375</v>
      </c>
      <c r="K477" s="50"/>
      <c r="L477" s="6"/>
      <c r="M477" s="55"/>
      <c r="N477" s="55">
        <f>IFERROR(__xludf.DUMMYFUNCTION("""COMPUTED_VALUE"""),1.0)</f>
        <v>1</v>
      </c>
      <c r="O477" s="55" t="str">
        <f t="shared" si="3"/>
        <v/>
      </c>
      <c r="P477" s="209"/>
      <c r="Q477" s="75" t="b">
        <f>VLOOKUP($B477,'Run Reconcile'!B$2:P1679,15,FALSE)</f>
        <v>1</v>
      </c>
      <c r="R477" s="211" t="str">
        <f t="array" ref="R477">IF($Q477, INDEX('Run Reconcile'!A$2:A1679,MATCH(B477,'Run Reconcile'!B$2:B1679,0),1),IFERROR(0/0,""))</f>
        <v>RUN-COMB_2022-04-22_RFR-027</v>
      </c>
      <c r="S477" s="165" t="str">
        <f t="shared" ref="S477:T477" si="953">IF(COUNTIF(W$2:W1679, $A477) &gt; 0,TRUE,IFERROR(0/0,""))</f>
        <v/>
      </c>
      <c r="T477" s="165" t="str">
        <f t="shared" si="953"/>
        <v/>
      </c>
      <c r="U477" s="147" t="str">
        <f t="array" ref="U477">IF(ISBLANK($R477), IF($S477,VLOOKUP($B477+1,'RFR Data - preExcl'!$BF$2:$BG1679,2,FALSE),IF($T477,INDEX('RFR Data - preExcl'!$BF$2:$BG1679,MATCH($B477,'RFR Data - preExcl'!$BF$2:$BF1679,0)+1,2),VLOOKUP($B477,'RFR Data - preExcl'!$BF$2:$BG1679,2,FALSE))),IFERROR(0/0,""))</f>
        <v/>
      </c>
      <c r="V477" s="212" t="str">
        <f t="shared" si="5"/>
        <v>RUN-COMB_2022-04-22_RFR-027</v>
      </c>
      <c r="W477" s="51"/>
      <c r="X477" s="51"/>
      <c r="Y477" s="147" t="str">
        <f t="shared" ref="Y477:Z477" si="954">IF(_xlfn.ISFORMULA(S477),IFERROR(0/0,""),TRUE)</f>
        <v/>
      </c>
      <c r="Z477" s="147" t="str">
        <f t="shared" si="954"/>
        <v/>
      </c>
    </row>
    <row r="478">
      <c r="A478" s="6" t="str">
        <f>IFERROR(__xludf.DUMMYFUNCTION("""COMPUTED_VALUE"""),"FM4125")</f>
        <v>FM4125</v>
      </c>
      <c r="B478" s="206">
        <f>IFERROR(__xludf.DUMMYFUNCTION("""COMPUTED_VALUE"""),44673.0)</f>
        <v>44673</v>
      </c>
      <c r="C478" s="207">
        <f>IFERROR(__xludf.DUMMYFUNCTION("""COMPUTED_VALUE"""),0.29261574074074076)</f>
        <v>0.2926157407</v>
      </c>
      <c r="D478" s="50"/>
      <c r="E478" s="58"/>
      <c r="F478" s="58"/>
      <c r="G478" s="58" t="str">
        <f>IFERROR(__xludf.DUMMYFUNCTION("""COMPUTED_VALUE"""),"Negative")</f>
        <v>Negative</v>
      </c>
      <c r="H478" s="206" t="str">
        <f>IFERROR(__xludf.DUMMYFUNCTION("""COMPUTED_VALUE"""),"Negative")</f>
        <v>Negative</v>
      </c>
      <c r="I478" s="207">
        <f>IFERROR(__xludf.DUMMYFUNCTION("""COMPUTED_VALUE"""),44673.0)</f>
        <v>44673</v>
      </c>
      <c r="J478" s="208">
        <f>IFERROR(__xludf.DUMMYFUNCTION("""COMPUTED_VALUE"""),0.37439814814814815)</f>
        <v>0.3743981481</v>
      </c>
      <c r="K478" s="50"/>
      <c r="L478" s="6"/>
      <c r="M478" s="55"/>
      <c r="N478" s="55">
        <f>IFERROR(__xludf.DUMMYFUNCTION("""COMPUTED_VALUE"""),1.0)</f>
        <v>1</v>
      </c>
      <c r="O478" s="55" t="str">
        <f t="shared" si="3"/>
        <v/>
      </c>
      <c r="P478" s="209"/>
      <c r="Q478" s="75" t="b">
        <f>VLOOKUP($B478,'Run Reconcile'!B$2:P1679,15,FALSE)</f>
        <v>1</v>
      </c>
      <c r="R478" s="211" t="str">
        <f t="array" ref="R478">IF($Q478, INDEX('Run Reconcile'!A$2:A1679,MATCH(B478,'Run Reconcile'!B$2:B1679,0),1),IFERROR(0/0,""))</f>
        <v>RUN-COMB_2022-04-22_RFR-027</v>
      </c>
      <c r="S478" s="165" t="str">
        <f t="shared" ref="S478:T478" si="955">IF(COUNTIF(W$2:W1679, $A478) &gt; 0,TRUE,IFERROR(0/0,""))</f>
        <v/>
      </c>
      <c r="T478" s="165" t="str">
        <f t="shared" si="955"/>
        <v/>
      </c>
      <c r="U478" s="147" t="str">
        <f t="array" ref="U478">IF(ISBLANK($R478), IF($S478,VLOOKUP($B478+1,'RFR Data - preExcl'!$BF$2:$BG1679,2,FALSE),IF($T478,INDEX('RFR Data - preExcl'!$BF$2:$BG1679,MATCH($B478,'RFR Data - preExcl'!$BF$2:$BF1679,0)+1,2),VLOOKUP($B478,'RFR Data - preExcl'!$BF$2:$BG1679,2,FALSE))),IFERROR(0/0,""))</f>
        <v/>
      </c>
      <c r="V478" s="212" t="str">
        <f t="shared" si="5"/>
        <v>RUN-COMB_2022-04-22_RFR-027</v>
      </c>
      <c r="W478" s="51"/>
      <c r="X478" s="51"/>
      <c r="Y478" s="147" t="str">
        <f t="shared" ref="Y478:Z478" si="956">IF(_xlfn.ISFORMULA(S478),IFERROR(0/0,""),TRUE)</f>
        <v/>
      </c>
      <c r="Z478" s="147" t="str">
        <f t="shared" si="956"/>
        <v/>
      </c>
    </row>
    <row r="479">
      <c r="A479" s="6" t="str">
        <f>IFERROR(__xludf.DUMMYFUNCTION("""COMPUTED_VALUE"""),"FM4091")</f>
        <v>FM4091</v>
      </c>
      <c r="B479" s="206">
        <f>IFERROR(__xludf.DUMMYFUNCTION("""COMPUTED_VALUE"""),44673.0)</f>
        <v>44673</v>
      </c>
      <c r="C479" s="207">
        <f>IFERROR(__xludf.DUMMYFUNCTION("""COMPUTED_VALUE"""),0.2930324074074074)</f>
        <v>0.2930324074</v>
      </c>
      <c r="D479" s="50"/>
      <c r="E479" s="58"/>
      <c r="F479" s="58"/>
      <c r="G479" s="58" t="str">
        <f>IFERROR(__xludf.DUMMYFUNCTION("""COMPUTED_VALUE"""),"Negative")</f>
        <v>Negative</v>
      </c>
      <c r="H479" s="206" t="str">
        <f>IFERROR(__xludf.DUMMYFUNCTION("""COMPUTED_VALUE"""),"Negative")</f>
        <v>Negative</v>
      </c>
      <c r="I479" s="207">
        <f>IFERROR(__xludf.DUMMYFUNCTION("""COMPUTED_VALUE"""),44673.0)</f>
        <v>44673</v>
      </c>
      <c r="J479" s="208">
        <f>IFERROR(__xludf.DUMMYFUNCTION("""COMPUTED_VALUE"""),0.37440972222222224)</f>
        <v>0.3744097222</v>
      </c>
      <c r="K479" s="50"/>
      <c r="L479" s="6"/>
      <c r="M479" s="55"/>
      <c r="N479" s="55">
        <f>IFERROR(__xludf.DUMMYFUNCTION("""COMPUTED_VALUE"""),1.0)</f>
        <v>1</v>
      </c>
      <c r="O479" s="55" t="str">
        <f t="shared" si="3"/>
        <v/>
      </c>
      <c r="P479" s="209"/>
      <c r="Q479" s="75" t="b">
        <f>VLOOKUP($B479,'Run Reconcile'!B$2:P1679,15,FALSE)</f>
        <v>1</v>
      </c>
      <c r="R479" s="211" t="str">
        <f t="array" ref="R479">IF($Q479, INDEX('Run Reconcile'!A$2:A1679,MATCH(B479,'Run Reconcile'!B$2:B1679,0),1),IFERROR(0/0,""))</f>
        <v>RUN-COMB_2022-04-22_RFR-027</v>
      </c>
      <c r="S479" s="165" t="str">
        <f t="shared" ref="S479:T479" si="957">IF(COUNTIF(W$2:W1679, $A479) &gt; 0,TRUE,IFERROR(0/0,""))</f>
        <v/>
      </c>
      <c r="T479" s="165" t="str">
        <f t="shared" si="957"/>
        <v/>
      </c>
      <c r="U479" s="147" t="str">
        <f t="array" ref="U479">IF(ISBLANK($R479), IF($S479,VLOOKUP($B479+1,'RFR Data - preExcl'!$BF$2:$BG1679,2,FALSE),IF($T479,INDEX('RFR Data - preExcl'!$BF$2:$BG1679,MATCH($B479,'RFR Data - preExcl'!$BF$2:$BF1679,0)+1,2),VLOOKUP($B479,'RFR Data - preExcl'!$BF$2:$BG1679,2,FALSE))),IFERROR(0/0,""))</f>
        <v/>
      </c>
      <c r="V479" s="212" t="str">
        <f t="shared" si="5"/>
        <v>RUN-COMB_2022-04-22_RFR-027</v>
      </c>
      <c r="W479" s="51"/>
      <c r="X479" s="51"/>
      <c r="Y479" s="147" t="str">
        <f t="shared" ref="Y479:Z479" si="958">IF(_xlfn.ISFORMULA(S479),IFERROR(0/0,""),TRUE)</f>
        <v/>
      </c>
      <c r="Z479" s="147" t="str">
        <f t="shared" si="958"/>
        <v/>
      </c>
    </row>
    <row r="480">
      <c r="A480" s="6" t="str">
        <f>IFERROR(__xludf.DUMMYFUNCTION("""COMPUTED_VALUE"""),"FM4095")</f>
        <v>FM4095</v>
      </c>
      <c r="B480" s="206">
        <f>IFERROR(__xludf.DUMMYFUNCTION("""COMPUTED_VALUE"""),44673.0)</f>
        <v>44673</v>
      </c>
      <c r="C480" s="207">
        <f>IFERROR(__xludf.DUMMYFUNCTION("""COMPUTED_VALUE"""),0.29333333333333333)</f>
        <v>0.2933333333</v>
      </c>
      <c r="D480" s="50"/>
      <c r="E480" s="58"/>
      <c r="F480" s="58"/>
      <c r="G480" s="58" t="str">
        <f>IFERROR(__xludf.DUMMYFUNCTION("""COMPUTED_VALUE"""),"Negative")</f>
        <v>Negative</v>
      </c>
      <c r="H480" s="206" t="str">
        <f>IFERROR(__xludf.DUMMYFUNCTION("""COMPUTED_VALUE"""),"Negative")</f>
        <v>Negative</v>
      </c>
      <c r="I480" s="207">
        <f>IFERROR(__xludf.DUMMYFUNCTION("""COMPUTED_VALUE"""),44673.0)</f>
        <v>44673</v>
      </c>
      <c r="J480" s="208">
        <f>IFERROR(__xludf.DUMMYFUNCTION("""COMPUTED_VALUE"""),0.3744212962962963)</f>
        <v>0.3744212963</v>
      </c>
      <c r="K480" s="50"/>
      <c r="L480" s="6"/>
      <c r="M480" s="55"/>
      <c r="N480" s="55">
        <f>IFERROR(__xludf.DUMMYFUNCTION("""COMPUTED_VALUE"""),1.0)</f>
        <v>1</v>
      </c>
      <c r="O480" s="55" t="str">
        <f t="shared" si="3"/>
        <v/>
      </c>
      <c r="P480" s="209"/>
      <c r="Q480" s="75" t="b">
        <f>VLOOKUP($B480,'Run Reconcile'!B$2:P1679,15,FALSE)</f>
        <v>1</v>
      </c>
      <c r="R480" s="211" t="str">
        <f t="array" ref="R480">IF($Q480, INDEX('Run Reconcile'!A$2:A1679,MATCH(B480,'Run Reconcile'!B$2:B1679,0),1),IFERROR(0/0,""))</f>
        <v>RUN-COMB_2022-04-22_RFR-027</v>
      </c>
      <c r="S480" s="165" t="str">
        <f t="shared" ref="S480:T480" si="959">IF(COUNTIF(W$2:W1679, $A480) &gt; 0,TRUE,IFERROR(0/0,""))</f>
        <v/>
      </c>
      <c r="T480" s="165" t="str">
        <f t="shared" si="959"/>
        <v/>
      </c>
      <c r="U480" s="147" t="str">
        <f t="array" ref="U480">IF(ISBLANK($R480), IF($S480,VLOOKUP($B480+1,'RFR Data - preExcl'!$BF$2:$BG1679,2,FALSE),IF($T480,INDEX('RFR Data - preExcl'!$BF$2:$BG1679,MATCH($B480,'RFR Data - preExcl'!$BF$2:$BF1679,0)+1,2),VLOOKUP($B480,'RFR Data - preExcl'!$BF$2:$BG1679,2,FALSE))),IFERROR(0/0,""))</f>
        <v/>
      </c>
      <c r="V480" s="212" t="str">
        <f t="shared" si="5"/>
        <v>RUN-COMB_2022-04-22_RFR-027</v>
      </c>
      <c r="W480" s="51"/>
      <c r="X480" s="51"/>
      <c r="Y480" s="147" t="str">
        <f t="shared" ref="Y480:Z480" si="960">IF(_xlfn.ISFORMULA(S480),IFERROR(0/0,""),TRUE)</f>
        <v/>
      </c>
      <c r="Z480" s="147" t="str">
        <f t="shared" si="960"/>
        <v/>
      </c>
    </row>
    <row r="481">
      <c r="A481" s="6" t="str">
        <f>IFERROR(__xludf.DUMMYFUNCTION("""COMPUTED_VALUE"""),"FM4116")</f>
        <v>FM4116</v>
      </c>
      <c r="B481" s="206">
        <f>IFERROR(__xludf.DUMMYFUNCTION("""COMPUTED_VALUE"""),44673.0)</f>
        <v>44673</v>
      </c>
      <c r="C481" s="207">
        <f>IFERROR(__xludf.DUMMYFUNCTION("""COMPUTED_VALUE"""),0.2937152777777778)</f>
        <v>0.2937152778</v>
      </c>
      <c r="D481" s="50"/>
      <c r="E481" s="58"/>
      <c r="F481" s="58"/>
      <c r="G481" s="58" t="str">
        <f>IFERROR(__xludf.DUMMYFUNCTION("""COMPUTED_VALUE"""),"Negative")</f>
        <v>Negative</v>
      </c>
      <c r="H481" s="206" t="str">
        <f>IFERROR(__xludf.DUMMYFUNCTION("""COMPUTED_VALUE"""),"Negative")</f>
        <v>Negative</v>
      </c>
      <c r="I481" s="207">
        <f>IFERROR(__xludf.DUMMYFUNCTION("""COMPUTED_VALUE"""),44673.0)</f>
        <v>44673</v>
      </c>
      <c r="J481" s="208">
        <f>IFERROR(__xludf.DUMMYFUNCTION("""COMPUTED_VALUE"""),0.37444444444444447)</f>
        <v>0.3744444444</v>
      </c>
      <c r="K481" s="50"/>
      <c r="L481" s="6"/>
      <c r="M481" s="55"/>
      <c r="N481" s="55">
        <f>IFERROR(__xludf.DUMMYFUNCTION("""COMPUTED_VALUE"""),1.0)</f>
        <v>1</v>
      </c>
      <c r="O481" s="55" t="str">
        <f t="shared" si="3"/>
        <v/>
      </c>
      <c r="P481" s="209"/>
      <c r="Q481" s="75" t="b">
        <f>VLOOKUP($B481,'Run Reconcile'!B$2:P1679,15,FALSE)</f>
        <v>1</v>
      </c>
      <c r="R481" s="211" t="str">
        <f t="array" ref="R481">IF($Q481, INDEX('Run Reconcile'!A$2:A1679,MATCH(B481,'Run Reconcile'!B$2:B1679,0),1),IFERROR(0/0,""))</f>
        <v>RUN-COMB_2022-04-22_RFR-027</v>
      </c>
      <c r="S481" s="165" t="str">
        <f t="shared" ref="S481:T481" si="961">IF(COUNTIF(W$2:W1679, $A481) &gt; 0,TRUE,IFERROR(0/0,""))</f>
        <v/>
      </c>
      <c r="T481" s="165" t="str">
        <f t="shared" si="961"/>
        <v/>
      </c>
      <c r="U481" s="147" t="str">
        <f t="array" ref="U481">IF(ISBLANK($R481), IF($S481,VLOOKUP($B481+1,'RFR Data - preExcl'!$BF$2:$BG1679,2,FALSE),IF($T481,INDEX('RFR Data - preExcl'!$BF$2:$BG1679,MATCH($B481,'RFR Data - preExcl'!$BF$2:$BF1679,0)+1,2),VLOOKUP($B481,'RFR Data - preExcl'!$BF$2:$BG1679,2,FALSE))),IFERROR(0/0,""))</f>
        <v/>
      </c>
      <c r="V481" s="212" t="str">
        <f t="shared" si="5"/>
        <v>RUN-COMB_2022-04-22_RFR-027</v>
      </c>
      <c r="W481" s="51"/>
      <c r="X481" s="51"/>
      <c r="Y481" s="147" t="str">
        <f t="shared" ref="Y481:Z481" si="962">IF(_xlfn.ISFORMULA(S481),IFERROR(0/0,""),TRUE)</f>
        <v/>
      </c>
      <c r="Z481" s="147" t="str">
        <f t="shared" si="962"/>
        <v/>
      </c>
    </row>
    <row r="482">
      <c r="A482" s="6" t="str">
        <f>IFERROR(__xludf.DUMMYFUNCTION("""COMPUTED_VALUE"""),"FM4045")</f>
        <v>FM4045</v>
      </c>
      <c r="B482" s="206">
        <f>IFERROR(__xludf.DUMMYFUNCTION("""COMPUTED_VALUE"""),44673.0)</f>
        <v>44673</v>
      </c>
      <c r="C482" s="207">
        <f>IFERROR(__xludf.DUMMYFUNCTION("""COMPUTED_VALUE"""),0.29408564814814814)</f>
        <v>0.2940856481</v>
      </c>
      <c r="D482" s="50"/>
      <c r="E482" s="58"/>
      <c r="F482" s="58"/>
      <c r="G482" s="58" t="str">
        <f>IFERROR(__xludf.DUMMYFUNCTION("""COMPUTED_VALUE"""),"Negative")</f>
        <v>Negative</v>
      </c>
      <c r="H482" s="206" t="str">
        <f>IFERROR(__xludf.DUMMYFUNCTION("""COMPUTED_VALUE"""),"Negative")</f>
        <v>Negative</v>
      </c>
      <c r="I482" s="207">
        <f>IFERROR(__xludf.DUMMYFUNCTION("""COMPUTED_VALUE"""),44673.0)</f>
        <v>44673</v>
      </c>
      <c r="J482" s="208">
        <f>IFERROR(__xludf.DUMMYFUNCTION("""COMPUTED_VALUE"""),0.3744560185185185)</f>
        <v>0.3744560185</v>
      </c>
      <c r="K482" s="50"/>
      <c r="L482" s="6"/>
      <c r="M482" s="55"/>
      <c r="N482" s="55">
        <f>IFERROR(__xludf.DUMMYFUNCTION("""COMPUTED_VALUE"""),1.0)</f>
        <v>1</v>
      </c>
      <c r="O482" s="55" t="str">
        <f t="shared" si="3"/>
        <v/>
      </c>
      <c r="P482" s="209"/>
      <c r="Q482" s="75" t="b">
        <f>VLOOKUP($B482,'Run Reconcile'!B$2:P1679,15,FALSE)</f>
        <v>1</v>
      </c>
      <c r="R482" s="211" t="str">
        <f t="array" ref="R482">IF($Q482, INDEX('Run Reconcile'!A$2:A1679,MATCH(B482,'Run Reconcile'!B$2:B1679,0),1),IFERROR(0/0,""))</f>
        <v>RUN-COMB_2022-04-22_RFR-027</v>
      </c>
      <c r="S482" s="165" t="str">
        <f t="shared" ref="S482:T482" si="963">IF(COUNTIF(W$2:W1679, $A482) &gt; 0,TRUE,IFERROR(0/0,""))</f>
        <v/>
      </c>
      <c r="T482" s="165" t="str">
        <f t="shared" si="963"/>
        <v/>
      </c>
      <c r="U482" s="147" t="str">
        <f t="array" ref="U482">IF(ISBLANK($R482), IF($S482,VLOOKUP($B482+1,'RFR Data - preExcl'!$BF$2:$BG1679,2,FALSE),IF($T482,INDEX('RFR Data - preExcl'!$BF$2:$BG1679,MATCH($B482,'RFR Data - preExcl'!$BF$2:$BF1679,0)+1,2),VLOOKUP($B482,'RFR Data - preExcl'!$BF$2:$BG1679,2,FALSE))),IFERROR(0/0,""))</f>
        <v/>
      </c>
      <c r="V482" s="212" t="str">
        <f t="shared" si="5"/>
        <v>RUN-COMB_2022-04-22_RFR-027</v>
      </c>
      <c r="W482" s="51"/>
      <c r="X482" s="51"/>
      <c r="Y482" s="147" t="str">
        <f t="shared" ref="Y482:Z482" si="964">IF(_xlfn.ISFORMULA(S482),IFERROR(0/0,""),TRUE)</f>
        <v/>
      </c>
      <c r="Z482" s="147" t="str">
        <f t="shared" si="964"/>
        <v/>
      </c>
    </row>
    <row r="483">
      <c r="A483" s="6" t="str">
        <f>IFERROR(__xludf.DUMMYFUNCTION("""COMPUTED_VALUE"""),"FM4060")</f>
        <v>FM4060</v>
      </c>
      <c r="B483" s="206">
        <f>IFERROR(__xludf.DUMMYFUNCTION("""COMPUTED_VALUE"""),44673.0)</f>
        <v>44673</v>
      </c>
      <c r="C483" s="207">
        <f>IFERROR(__xludf.DUMMYFUNCTION("""COMPUTED_VALUE"""),0.2947106481481481)</f>
        <v>0.2947106481</v>
      </c>
      <c r="D483" s="50"/>
      <c r="E483" s="58"/>
      <c r="F483" s="58"/>
      <c r="G483" s="58" t="str">
        <f>IFERROR(__xludf.DUMMYFUNCTION("""COMPUTED_VALUE"""),"Negative")</f>
        <v>Negative</v>
      </c>
      <c r="H483" s="206" t="str">
        <f>IFERROR(__xludf.DUMMYFUNCTION("""COMPUTED_VALUE"""),"Negative")</f>
        <v>Negative</v>
      </c>
      <c r="I483" s="207">
        <f>IFERROR(__xludf.DUMMYFUNCTION("""COMPUTED_VALUE"""),44673.0)</f>
        <v>44673</v>
      </c>
      <c r="J483" s="208">
        <f>IFERROR(__xludf.DUMMYFUNCTION("""COMPUTED_VALUE"""),0.3744560185185185)</f>
        <v>0.3744560185</v>
      </c>
      <c r="K483" s="50"/>
      <c r="L483" s="6"/>
      <c r="M483" s="55"/>
      <c r="N483" s="55">
        <f>IFERROR(__xludf.DUMMYFUNCTION("""COMPUTED_VALUE"""),1.0)</f>
        <v>1</v>
      </c>
      <c r="O483" s="55" t="str">
        <f t="shared" si="3"/>
        <v/>
      </c>
      <c r="P483" s="209"/>
      <c r="Q483" s="75" t="b">
        <f>VLOOKUP($B483,'Run Reconcile'!B$2:P1679,15,FALSE)</f>
        <v>1</v>
      </c>
      <c r="R483" s="211" t="str">
        <f t="array" ref="R483">IF($Q483, INDEX('Run Reconcile'!A$2:A1679,MATCH(B483,'Run Reconcile'!B$2:B1679,0),1),IFERROR(0/0,""))</f>
        <v>RUN-COMB_2022-04-22_RFR-027</v>
      </c>
      <c r="S483" s="165" t="str">
        <f t="shared" ref="S483:T483" si="965">IF(COUNTIF(W$2:W1679, $A483) &gt; 0,TRUE,IFERROR(0/0,""))</f>
        <v/>
      </c>
      <c r="T483" s="165" t="str">
        <f t="shared" si="965"/>
        <v/>
      </c>
      <c r="U483" s="147" t="str">
        <f t="array" ref="U483">IF(ISBLANK($R483), IF($S483,VLOOKUP($B483+1,'RFR Data - preExcl'!$BF$2:$BG1679,2,FALSE),IF($T483,INDEX('RFR Data - preExcl'!$BF$2:$BG1679,MATCH($B483,'RFR Data - preExcl'!$BF$2:$BF1679,0)+1,2),VLOOKUP($B483,'RFR Data - preExcl'!$BF$2:$BG1679,2,FALSE))),IFERROR(0/0,""))</f>
        <v/>
      </c>
      <c r="V483" s="212" t="str">
        <f t="shared" si="5"/>
        <v>RUN-COMB_2022-04-22_RFR-027</v>
      </c>
      <c r="W483" s="51"/>
      <c r="X483" s="51"/>
      <c r="Y483" s="147" t="str">
        <f t="shared" ref="Y483:Z483" si="966">IF(_xlfn.ISFORMULA(S483),IFERROR(0/0,""),TRUE)</f>
        <v/>
      </c>
      <c r="Z483" s="147" t="str">
        <f t="shared" si="966"/>
        <v/>
      </c>
    </row>
    <row r="484">
      <c r="A484" s="6" t="str">
        <f>IFERROR(__xludf.DUMMYFUNCTION("""COMPUTED_VALUE"""),"FM4100")</f>
        <v>FM4100</v>
      </c>
      <c r="B484" s="206">
        <f>IFERROR(__xludf.DUMMYFUNCTION("""COMPUTED_VALUE"""),44673.0)</f>
        <v>44673</v>
      </c>
      <c r="C484" s="207">
        <f>IFERROR(__xludf.DUMMYFUNCTION("""COMPUTED_VALUE"""),0.29519675925925926)</f>
        <v>0.2951967593</v>
      </c>
      <c r="D484" s="50"/>
      <c r="E484" s="58"/>
      <c r="F484" s="58"/>
      <c r="G484" s="58" t="str">
        <f>IFERROR(__xludf.DUMMYFUNCTION("""COMPUTED_VALUE"""),"Negative")</f>
        <v>Negative</v>
      </c>
      <c r="H484" s="206" t="str">
        <f>IFERROR(__xludf.DUMMYFUNCTION("""COMPUTED_VALUE"""),"Negative")</f>
        <v>Negative</v>
      </c>
      <c r="I484" s="207">
        <f>IFERROR(__xludf.DUMMYFUNCTION("""COMPUTED_VALUE"""),44673.0)</f>
        <v>44673</v>
      </c>
      <c r="J484" s="208">
        <f>IFERROR(__xludf.DUMMYFUNCTION("""COMPUTED_VALUE"""),0.3744675925925926)</f>
        <v>0.3744675926</v>
      </c>
      <c r="K484" s="50"/>
      <c r="L484" s="6"/>
      <c r="M484" s="55"/>
      <c r="N484" s="55">
        <f>IFERROR(__xludf.DUMMYFUNCTION("""COMPUTED_VALUE"""),1.0)</f>
        <v>1</v>
      </c>
      <c r="O484" s="55" t="str">
        <f t="shared" si="3"/>
        <v/>
      </c>
      <c r="P484" s="209"/>
      <c r="Q484" s="75" t="b">
        <f>VLOOKUP($B484,'Run Reconcile'!B$2:P1679,15,FALSE)</f>
        <v>1</v>
      </c>
      <c r="R484" s="211" t="str">
        <f t="array" ref="R484">IF($Q484, INDEX('Run Reconcile'!A$2:A1679,MATCH(B484,'Run Reconcile'!B$2:B1679,0),1),IFERROR(0/0,""))</f>
        <v>RUN-COMB_2022-04-22_RFR-027</v>
      </c>
      <c r="S484" s="165" t="str">
        <f t="shared" ref="S484:T484" si="967">IF(COUNTIF(W$2:W1679, $A484) &gt; 0,TRUE,IFERROR(0/0,""))</f>
        <v/>
      </c>
      <c r="T484" s="165" t="str">
        <f t="shared" si="967"/>
        <v/>
      </c>
      <c r="U484" s="147" t="str">
        <f t="array" ref="U484">IF(ISBLANK($R484), IF($S484,VLOOKUP($B484+1,'RFR Data - preExcl'!$BF$2:$BG1679,2,FALSE),IF($T484,INDEX('RFR Data - preExcl'!$BF$2:$BG1679,MATCH($B484,'RFR Data - preExcl'!$BF$2:$BF1679,0)+1,2),VLOOKUP($B484,'RFR Data - preExcl'!$BF$2:$BG1679,2,FALSE))),IFERROR(0/0,""))</f>
        <v/>
      </c>
      <c r="V484" s="212" t="str">
        <f t="shared" si="5"/>
        <v>RUN-COMB_2022-04-22_RFR-027</v>
      </c>
      <c r="W484" s="51"/>
      <c r="X484" s="51"/>
      <c r="Y484" s="147" t="str">
        <f t="shared" ref="Y484:Z484" si="968">IF(_xlfn.ISFORMULA(S484),IFERROR(0/0,""),TRUE)</f>
        <v/>
      </c>
      <c r="Z484" s="147" t="str">
        <f t="shared" si="968"/>
        <v/>
      </c>
    </row>
    <row r="485">
      <c r="A485" s="6" t="str">
        <f>IFERROR(__xludf.DUMMYFUNCTION("""COMPUTED_VALUE"""),"FM4051")</f>
        <v>FM4051</v>
      </c>
      <c r="B485" s="206">
        <f>IFERROR(__xludf.DUMMYFUNCTION("""COMPUTED_VALUE"""),44673.0)</f>
        <v>44673</v>
      </c>
      <c r="C485" s="207">
        <f>IFERROR(__xludf.DUMMYFUNCTION("""COMPUTED_VALUE"""),0.2961226851851852)</f>
        <v>0.2961226852</v>
      </c>
      <c r="D485" s="50"/>
      <c r="E485" s="58"/>
      <c r="F485" s="58"/>
      <c r="G485" s="58" t="str">
        <f>IFERROR(__xludf.DUMMYFUNCTION("""COMPUTED_VALUE"""),"Negative")</f>
        <v>Negative</v>
      </c>
      <c r="H485" s="206" t="str">
        <f>IFERROR(__xludf.DUMMYFUNCTION("""COMPUTED_VALUE"""),"Negative")</f>
        <v>Negative</v>
      </c>
      <c r="I485" s="207">
        <f>IFERROR(__xludf.DUMMYFUNCTION("""COMPUTED_VALUE"""),44673.0)</f>
        <v>44673</v>
      </c>
      <c r="J485" s="208">
        <f>IFERROR(__xludf.DUMMYFUNCTION("""COMPUTED_VALUE"""),0.3744675925925926)</f>
        <v>0.3744675926</v>
      </c>
      <c r="K485" s="50"/>
      <c r="L485" s="6"/>
      <c r="M485" s="55"/>
      <c r="N485" s="55">
        <f>IFERROR(__xludf.DUMMYFUNCTION("""COMPUTED_VALUE"""),1.0)</f>
        <v>1</v>
      </c>
      <c r="O485" s="55" t="str">
        <f t="shared" si="3"/>
        <v/>
      </c>
      <c r="P485" s="209"/>
      <c r="Q485" s="75" t="b">
        <f>VLOOKUP($B485,'Run Reconcile'!B$2:P1679,15,FALSE)</f>
        <v>1</v>
      </c>
      <c r="R485" s="211" t="str">
        <f t="array" ref="R485">IF($Q485, INDEX('Run Reconcile'!A$2:A1679,MATCH(B485,'Run Reconcile'!B$2:B1679,0),1),IFERROR(0/0,""))</f>
        <v>RUN-COMB_2022-04-22_RFR-027</v>
      </c>
      <c r="S485" s="165" t="str">
        <f t="shared" ref="S485:T485" si="969">IF(COUNTIF(W$2:W1679, $A485) &gt; 0,TRUE,IFERROR(0/0,""))</f>
        <v/>
      </c>
      <c r="T485" s="165" t="str">
        <f t="shared" si="969"/>
        <v/>
      </c>
      <c r="U485" s="147" t="str">
        <f t="array" ref="U485">IF(ISBLANK($R485), IF($S485,VLOOKUP($B485+1,'RFR Data - preExcl'!$BF$2:$BG1679,2,FALSE),IF($T485,INDEX('RFR Data - preExcl'!$BF$2:$BG1679,MATCH($B485,'RFR Data - preExcl'!$BF$2:$BF1679,0)+1,2),VLOOKUP($B485,'RFR Data - preExcl'!$BF$2:$BG1679,2,FALSE))),IFERROR(0/0,""))</f>
        <v/>
      </c>
      <c r="V485" s="212" t="str">
        <f t="shared" si="5"/>
        <v>RUN-COMB_2022-04-22_RFR-027</v>
      </c>
      <c r="W485" s="51"/>
      <c r="X485" s="51"/>
      <c r="Y485" s="147" t="str">
        <f t="shared" ref="Y485:Z485" si="970">IF(_xlfn.ISFORMULA(S485),IFERROR(0/0,""),TRUE)</f>
        <v/>
      </c>
      <c r="Z485" s="147" t="str">
        <f t="shared" si="970"/>
        <v/>
      </c>
    </row>
    <row r="486">
      <c r="A486" s="6" t="str">
        <f>IFERROR(__xludf.DUMMYFUNCTION("""COMPUTED_VALUE"""),"FM4041")</f>
        <v>FM4041</v>
      </c>
      <c r="B486" s="206">
        <f>IFERROR(__xludf.DUMMYFUNCTION("""COMPUTED_VALUE"""),44673.0)</f>
        <v>44673</v>
      </c>
      <c r="C486" s="207">
        <f>IFERROR(__xludf.DUMMYFUNCTION("""COMPUTED_VALUE"""),0.29650462962962965)</f>
        <v>0.2965046296</v>
      </c>
      <c r="D486" s="50"/>
      <c r="E486" s="58"/>
      <c r="F486" s="58"/>
      <c r="G486" s="58" t="str">
        <f>IFERROR(__xludf.DUMMYFUNCTION("""COMPUTED_VALUE"""),"Negative")</f>
        <v>Negative</v>
      </c>
      <c r="H486" s="206" t="str">
        <f>IFERROR(__xludf.DUMMYFUNCTION("""COMPUTED_VALUE"""),"Negative")</f>
        <v>Negative</v>
      </c>
      <c r="I486" s="207">
        <f>IFERROR(__xludf.DUMMYFUNCTION("""COMPUTED_VALUE"""),44673.0)</f>
        <v>44673</v>
      </c>
      <c r="J486" s="208">
        <f>IFERROR(__xludf.DUMMYFUNCTION("""COMPUTED_VALUE"""),0.37447916666666664)</f>
        <v>0.3744791667</v>
      </c>
      <c r="K486" s="50"/>
      <c r="L486" s="6"/>
      <c r="M486" s="55"/>
      <c r="N486" s="55">
        <f>IFERROR(__xludf.DUMMYFUNCTION("""COMPUTED_VALUE"""),1.0)</f>
        <v>1</v>
      </c>
      <c r="O486" s="55" t="str">
        <f t="shared" si="3"/>
        <v/>
      </c>
      <c r="P486" s="209"/>
      <c r="Q486" s="75" t="b">
        <f>VLOOKUP($B486,'Run Reconcile'!B$2:P1679,15,FALSE)</f>
        <v>1</v>
      </c>
      <c r="R486" s="211" t="str">
        <f t="array" ref="R486">IF($Q486, INDEX('Run Reconcile'!A$2:A1679,MATCH(B486,'Run Reconcile'!B$2:B1679,0),1),IFERROR(0/0,""))</f>
        <v>RUN-COMB_2022-04-22_RFR-027</v>
      </c>
      <c r="S486" s="165" t="str">
        <f t="shared" ref="S486:T486" si="971">IF(COUNTIF(W$2:W1679, $A486) &gt; 0,TRUE,IFERROR(0/0,""))</f>
        <v/>
      </c>
      <c r="T486" s="165" t="str">
        <f t="shared" si="971"/>
        <v/>
      </c>
      <c r="U486" s="147" t="str">
        <f t="array" ref="U486">IF(ISBLANK($R486), IF($S486,VLOOKUP($B486+1,'RFR Data - preExcl'!$BF$2:$BG1679,2,FALSE),IF($T486,INDEX('RFR Data - preExcl'!$BF$2:$BG1679,MATCH($B486,'RFR Data - preExcl'!$BF$2:$BF1679,0)+1,2),VLOOKUP($B486,'RFR Data - preExcl'!$BF$2:$BG1679,2,FALSE))),IFERROR(0/0,""))</f>
        <v/>
      </c>
      <c r="V486" s="212" t="str">
        <f t="shared" si="5"/>
        <v>RUN-COMB_2022-04-22_RFR-027</v>
      </c>
      <c r="W486" s="51"/>
      <c r="X486" s="51"/>
      <c r="Y486" s="147" t="str">
        <f t="shared" ref="Y486:Z486" si="972">IF(_xlfn.ISFORMULA(S486),IFERROR(0/0,""),TRUE)</f>
        <v/>
      </c>
      <c r="Z486" s="147" t="str">
        <f t="shared" si="972"/>
        <v/>
      </c>
    </row>
    <row r="487">
      <c r="A487" s="6" t="str">
        <f>IFERROR(__xludf.DUMMYFUNCTION("""COMPUTED_VALUE"""),"FM4133")</f>
        <v>FM4133</v>
      </c>
      <c r="B487" s="206">
        <f>IFERROR(__xludf.DUMMYFUNCTION("""COMPUTED_VALUE"""),44673.0)</f>
        <v>44673</v>
      </c>
      <c r="C487" s="207">
        <f>IFERROR(__xludf.DUMMYFUNCTION("""COMPUTED_VALUE"""),0.30008101851851854)</f>
        <v>0.3000810185</v>
      </c>
      <c r="D487" s="50"/>
      <c r="E487" s="58"/>
      <c r="F487" s="58"/>
      <c r="G487" s="58" t="str">
        <f>IFERROR(__xludf.DUMMYFUNCTION("""COMPUTED_VALUE"""),"Negative")</f>
        <v>Negative</v>
      </c>
      <c r="H487" s="206" t="str">
        <f>IFERROR(__xludf.DUMMYFUNCTION("""COMPUTED_VALUE"""),"Negative")</f>
        <v>Negative</v>
      </c>
      <c r="I487" s="207">
        <f>IFERROR(__xludf.DUMMYFUNCTION("""COMPUTED_VALUE"""),44673.0)</f>
        <v>44673</v>
      </c>
      <c r="J487" s="208">
        <f>IFERROR(__xludf.DUMMYFUNCTION("""COMPUTED_VALUE"""),0.37449074074074074)</f>
        <v>0.3744907407</v>
      </c>
      <c r="K487" s="50"/>
      <c r="L487" s="6"/>
      <c r="M487" s="55"/>
      <c r="N487" s="55">
        <f>IFERROR(__xludf.DUMMYFUNCTION("""COMPUTED_VALUE"""),1.0)</f>
        <v>1</v>
      </c>
      <c r="O487" s="55" t="str">
        <f t="shared" si="3"/>
        <v/>
      </c>
      <c r="P487" s="209"/>
      <c r="Q487" s="75" t="b">
        <f>VLOOKUP($B487,'Run Reconcile'!B$2:P1679,15,FALSE)</f>
        <v>1</v>
      </c>
      <c r="R487" s="211" t="str">
        <f t="array" ref="R487">IF($Q487, INDEX('Run Reconcile'!A$2:A1679,MATCH(B487,'Run Reconcile'!B$2:B1679,0),1),IFERROR(0/0,""))</f>
        <v>RUN-COMB_2022-04-22_RFR-027</v>
      </c>
      <c r="S487" s="165" t="str">
        <f t="shared" ref="S487:T487" si="973">IF(COUNTIF(W$2:W1679, $A487) &gt; 0,TRUE,IFERROR(0/0,""))</f>
        <v/>
      </c>
      <c r="T487" s="165" t="str">
        <f t="shared" si="973"/>
        <v/>
      </c>
      <c r="U487" s="147" t="str">
        <f t="array" ref="U487">IF(ISBLANK($R487), IF($S487,VLOOKUP($B487+1,'RFR Data - preExcl'!$BF$2:$BG1679,2,FALSE),IF($T487,INDEX('RFR Data - preExcl'!$BF$2:$BG1679,MATCH($B487,'RFR Data - preExcl'!$BF$2:$BF1679,0)+1,2),VLOOKUP($B487,'RFR Data - preExcl'!$BF$2:$BG1679,2,FALSE))),IFERROR(0/0,""))</f>
        <v/>
      </c>
      <c r="V487" s="212" t="str">
        <f t="shared" si="5"/>
        <v>RUN-COMB_2022-04-22_RFR-027</v>
      </c>
      <c r="W487" s="51"/>
      <c r="X487" s="51"/>
      <c r="Y487" s="147" t="str">
        <f t="shared" ref="Y487:Z487" si="974">IF(_xlfn.ISFORMULA(S487),IFERROR(0/0,""),TRUE)</f>
        <v/>
      </c>
      <c r="Z487" s="147" t="str">
        <f t="shared" si="974"/>
        <v/>
      </c>
    </row>
    <row r="488">
      <c r="A488" s="6" t="str">
        <f>IFERROR(__xludf.DUMMYFUNCTION("""COMPUTED_VALUE"""),"FM4037")</f>
        <v>FM4037</v>
      </c>
      <c r="B488" s="206">
        <f>IFERROR(__xludf.DUMMYFUNCTION("""COMPUTED_VALUE"""),44673.0)</f>
        <v>44673</v>
      </c>
      <c r="C488" s="207">
        <f>IFERROR(__xludf.DUMMYFUNCTION("""COMPUTED_VALUE"""),0.3004398148148148)</f>
        <v>0.3004398148</v>
      </c>
      <c r="D488" s="50"/>
      <c r="E488" s="58"/>
      <c r="F488" s="58"/>
      <c r="G488" s="58" t="str">
        <f>IFERROR(__xludf.DUMMYFUNCTION("""COMPUTED_VALUE"""),"Negative")</f>
        <v>Negative</v>
      </c>
      <c r="H488" s="206" t="str">
        <f>IFERROR(__xludf.DUMMYFUNCTION("""COMPUTED_VALUE"""),"Negative")</f>
        <v>Negative</v>
      </c>
      <c r="I488" s="207">
        <f>IFERROR(__xludf.DUMMYFUNCTION("""COMPUTED_VALUE"""),44673.0)</f>
        <v>44673</v>
      </c>
      <c r="J488" s="208">
        <f>IFERROR(__xludf.DUMMYFUNCTION("""COMPUTED_VALUE"""),0.37450231481481483)</f>
        <v>0.3745023148</v>
      </c>
      <c r="K488" s="50"/>
      <c r="L488" s="6"/>
      <c r="M488" s="55"/>
      <c r="N488" s="55">
        <f>IFERROR(__xludf.DUMMYFUNCTION("""COMPUTED_VALUE"""),1.0)</f>
        <v>1</v>
      </c>
      <c r="O488" s="55" t="str">
        <f t="shared" si="3"/>
        <v/>
      </c>
      <c r="P488" s="209"/>
      <c r="Q488" s="75" t="b">
        <f>VLOOKUP($B488,'Run Reconcile'!B$2:P1679,15,FALSE)</f>
        <v>1</v>
      </c>
      <c r="R488" s="211" t="str">
        <f t="array" ref="R488">IF($Q488, INDEX('Run Reconcile'!A$2:A1679,MATCH(B488,'Run Reconcile'!B$2:B1679,0),1),IFERROR(0/0,""))</f>
        <v>RUN-COMB_2022-04-22_RFR-027</v>
      </c>
      <c r="S488" s="165" t="str">
        <f t="shared" ref="S488:T488" si="975">IF(COUNTIF(W$2:W1679, $A488) &gt; 0,TRUE,IFERROR(0/0,""))</f>
        <v/>
      </c>
      <c r="T488" s="165" t="str">
        <f t="shared" si="975"/>
        <v/>
      </c>
      <c r="U488" s="147" t="str">
        <f t="array" ref="U488">IF(ISBLANK($R488), IF($S488,VLOOKUP($B488+1,'RFR Data - preExcl'!$BF$2:$BG1679,2,FALSE),IF($T488,INDEX('RFR Data - preExcl'!$BF$2:$BG1679,MATCH($B488,'RFR Data - preExcl'!$BF$2:$BF1679,0)+1,2),VLOOKUP($B488,'RFR Data - preExcl'!$BF$2:$BG1679,2,FALSE))),IFERROR(0/0,""))</f>
        <v/>
      </c>
      <c r="V488" s="212" t="str">
        <f t="shared" si="5"/>
        <v>RUN-COMB_2022-04-22_RFR-027</v>
      </c>
      <c r="W488" s="51"/>
      <c r="X488" s="51"/>
      <c r="Y488" s="147" t="str">
        <f t="shared" ref="Y488:Z488" si="976">IF(_xlfn.ISFORMULA(S488),IFERROR(0/0,""),TRUE)</f>
        <v/>
      </c>
      <c r="Z488" s="147" t="str">
        <f t="shared" si="976"/>
        <v/>
      </c>
    </row>
    <row r="489">
      <c r="A489" s="6" t="str">
        <f>IFERROR(__xludf.DUMMYFUNCTION("""COMPUTED_VALUE"""),"FM4130")</f>
        <v>FM4130</v>
      </c>
      <c r="B489" s="206">
        <f>IFERROR(__xludf.DUMMYFUNCTION("""COMPUTED_VALUE"""),44673.0)</f>
        <v>44673</v>
      </c>
      <c r="C489" s="207">
        <f>IFERROR(__xludf.DUMMYFUNCTION("""COMPUTED_VALUE"""),0.30094907407407406)</f>
        <v>0.3009490741</v>
      </c>
      <c r="D489" s="50"/>
      <c r="E489" s="58"/>
      <c r="F489" s="58"/>
      <c r="G489" s="58" t="str">
        <f>IFERROR(__xludf.DUMMYFUNCTION("""COMPUTED_VALUE"""),"Negative")</f>
        <v>Negative</v>
      </c>
      <c r="H489" s="206" t="str">
        <f>IFERROR(__xludf.DUMMYFUNCTION("""COMPUTED_VALUE"""),"Negative")</f>
        <v>Negative</v>
      </c>
      <c r="I489" s="207">
        <f>IFERROR(__xludf.DUMMYFUNCTION("""COMPUTED_VALUE"""),44673.0)</f>
        <v>44673</v>
      </c>
      <c r="J489" s="208">
        <f>IFERROR(__xludf.DUMMYFUNCTION("""COMPUTED_VALUE"""),0.37452546296296296)</f>
        <v>0.374525463</v>
      </c>
      <c r="K489" s="50"/>
      <c r="L489" s="6"/>
      <c r="M489" s="55"/>
      <c r="N489" s="55">
        <f>IFERROR(__xludf.DUMMYFUNCTION("""COMPUTED_VALUE"""),1.0)</f>
        <v>1</v>
      </c>
      <c r="O489" s="55" t="str">
        <f t="shared" si="3"/>
        <v/>
      </c>
      <c r="P489" s="209"/>
      <c r="Q489" s="75" t="b">
        <f>VLOOKUP($B489,'Run Reconcile'!B$2:P1679,15,FALSE)</f>
        <v>1</v>
      </c>
      <c r="R489" s="211" t="str">
        <f t="array" ref="R489">IF($Q489, INDEX('Run Reconcile'!A$2:A1679,MATCH(B489,'Run Reconcile'!B$2:B1679,0),1),IFERROR(0/0,""))</f>
        <v>RUN-COMB_2022-04-22_RFR-027</v>
      </c>
      <c r="S489" s="165" t="str">
        <f t="shared" ref="S489:T489" si="977">IF(COUNTIF(W$2:W1679, $A489) &gt; 0,TRUE,IFERROR(0/0,""))</f>
        <v/>
      </c>
      <c r="T489" s="165" t="str">
        <f t="shared" si="977"/>
        <v/>
      </c>
      <c r="U489" s="147" t="str">
        <f t="array" ref="U489">IF(ISBLANK($R489), IF($S489,VLOOKUP($B489+1,'RFR Data - preExcl'!$BF$2:$BG1679,2,FALSE),IF($T489,INDEX('RFR Data - preExcl'!$BF$2:$BG1679,MATCH($B489,'RFR Data - preExcl'!$BF$2:$BF1679,0)+1,2),VLOOKUP($B489,'RFR Data - preExcl'!$BF$2:$BG1679,2,FALSE))),IFERROR(0/0,""))</f>
        <v/>
      </c>
      <c r="V489" s="212" t="str">
        <f t="shared" si="5"/>
        <v>RUN-COMB_2022-04-22_RFR-027</v>
      </c>
      <c r="W489" s="51"/>
      <c r="X489" s="51"/>
      <c r="Y489" s="147" t="str">
        <f t="shared" ref="Y489:Z489" si="978">IF(_xlfn.ISFORMULA(S489),IFERROR(0/0,""),TRUE)</f>
        <v/>
      </c>
      <c r="Z489" s="147" t="str">
        <f t="shared" si="978"/>
        <v/>
      </c>
    </row>
    <row r="490">
      <c r="A490" s="6" t="str">
        <f>IFERROR(__xludf.DUMMYFUNCTION("""COMPUTED_VALUE"""),"FM4044")</f>
        <v>FM4044</v>
      </c>
      <c r="B490" s="206">
        <f>IFERROR(__xludf.DUMMYFUNCTION("""COMPUTED_VALUE"""),44673.0)</f>
        <v>44673</v>
      </c>
      <c r="C490" s="207">
        <f>IFERROR(__xludf.DUMMYFUNCTION("""COMPUTED_VALUE"""),0.3012962962962963)</f>
        <v>0.3012962963</v>
      </c>
      <c r="D490" s="50"/>
      <c r="E490" s="58"/>
      <c r="F490" s="58"/>
      <c r="G490" s="58" t="str">
        <f>IFERROR(__xludf.DUMMYFUNCTION("""COMPUTED_VALUE"""),"Negative")</f>
        <v>Negative</v>
      </c>
      <c r="H490" s="206" t="str">
        <f>IFERROR(__xludf.DUMMYFUNCTION("""COMPUTED_VALUE"""),"Negative")</f>
        <v>Negative</v>
      </c>
      <c r="I490" s="207">
        <f>IFERROR(__xludf.DUMMYFUNCTION("""COMPUTED_VALUE"""),44673.0)</f>
        <v>44673</v>
      </c>
      <c r="J490" s="208">
        <f>IFERROR(__xludf.DUMMYFUNCTION("""COMPUTED_VALUE"""),0.37453703703703706)</f>
        <v>0.374537037</v>
      </c>
      <c r="K490" s="50"/>
      <c r="L490" s="6"/>
      <c r="M490" s="55"/>
      <c r="N490" s="55">
        <f>IFERROR(__xludf.DUMMYFUNCTION("""COMPUTED_VALUE"""),1.0)</f>
        <v>1</v>
      </c>
      <c r="O490" s="55" t="str">
        <f t="shared" si="3"/>
        <v/>
      </c>
      <c r="P490" s="209"/>
      <c r="Q490" s="75" t="b">
        <f>VLOOKUP($B490,'Run Reconcile'!B$2:P1679,15,FALSE)</f>
        <v>1</v>
      </c>
      <c r="R490" s="211" t="str">
        <f t="array" ref="R490">IF($Q490, INDEX('Run Reconcile'!A$2:A1679,MATCH(B490,'Run Reconcile'!B$2:B1679,0),1),IFERROR(0/0,""))</f>
        <v>RUN-COMB_2022-04-22_RFR-027</v>
      </c>
      <c r="S490" s="165" t="str">
        <f t="shared" ref="S490:T490" si="979">IF(COUNTIF(W$2:W1679, $A490) &gt; 0,TRUE,IFERROR(0/0,""))</f>
        <v/>
      </c>
      <c r="T490" s="165" t="str">
        <f t="shared" si="979"/>
        <v/>
      </c>
      <c r="U490" s="147" t="str">
        <f t="array" ref="U490">IF(ISBLANK($R490), IF($S490,VLOOKUP($B490+1,'RFR Data - preExcl'!$BF$2:$BG1679,2,FALSE),IF($T490,INDEX('RFR Data - preExcl'!$BF$2:$BG1679,MATCH($B490,'RFR Data - preExcl'!$BF$2:$BF1679,0)+1,2),VLOOKUP($B490,'RFR Data - preExcl'!$BF$2:$BG1679,2,FALSE))),IFERROR(0/0,""))</f>
        <v/>
      </c>
      <c r="V490" s="212" t="str">
        <f t="shared" si="5"/>
        <v>RUN-COMB_2022-04-22_RFR-027</v>
      </c>
      <c r="W490" s="51"/>
      <c r="X490" s="51"/>
      <c r="Y490" s="147" t="str">
        <f t="shared" ref="Y490:Z490" si="980">IF(_xlfn.ISFORMULA(S490),IFERROR(0/0,""),TRUE)</f>
        <v/>
      </c>
      <c r="Z490" s="147" t="str">
        <f t="shared" si="980"/>
        <v/>
      </c>
    </row>
    <row r="491">
      <c r="A491" s="6" t="str">
        <f>IFERROR(__xludf.DUMMYFUNCTION("""COMPUTED_VALUE"""),"FM4090")</f>
        <v>FM4090</v>
      </c>
      <c r="B491" s="206">
        <f>IFERROR(__xludf.DUMMYFUNCTION("""COMPUTED_VALUE"""),44673.0)</f>
        <v>44673</v>
      </c>
      <c r="C491" s="207">
        <f>IFERROR(__xludf.DUMMYFUNCTION("""COMPUTED_VALUE"""),0.3017361111111111)</f>
        <v>0.3017361111</v>
      </c>
      <c r="D491" s="50"/>
      <c r="E491" s="58"/>
      <c r="F491" s="58"/>
      <c r="G491" s="58" t="str">
        <f>IFERROR(__xludf.DUMMYFUNCTION("""COMPUTED_VALUE"""),"Negative")</f>
        <v>Negative</v>
      </c>
      <c r="H491" s="206" t="str">
        <f>IFERROR(__xludf.DUMMYFUNCTION("""COMPUTED_VALUE"""),"Negative")</f>
        <v>Negative</v>
      </c>
      <c r="I491" s="207">
        <f>IFERROR(__xludf.DUMMYFUNCTION("""COMPUTED_VALUE"""),44673.0)</f>
        <v>44673</v>
      </c>
      <c r="J491" s="208">
        <f>IFERROR(__xludf.DUMMYFUNCTION("""COMPUTED_VALUE"""),0.37453703703703706)</f>
        <v>0.374537037</v>
      </c>
      <c r="K491" s="50"/>
      <c r="L491" s="6"/>
      <c r="M491" s="55"/>
      <c r="N491" s="55">
        <f>IFERROR(__xludf.DUMMYFUNCTION("""COMPUTED_VALUE"""),1.0)</f>
        <v>1</v>
      </c>
      <c r="O491" s="55" t="str">
        <f t="shared" si="3"/>
        <v/>
      </c>
      <c r="P491" s="209"/>
      <c r="Q491" s="75" t="b">
        <f>VLOOKUP($B491,'Run Reconcile'!B$2:P1679,15,FALSE)</f>
        <v>1</v>
      </c>
      <c r="R491" s="211" t="str">
        <f t="array" ref="R491">IF($Q491, INDEX('Run Reconcile'!A$2:A1679,MATCH(B491,'Run Reconcile'!B$2:B1679,0),1),IFERROR(0/0,""))</f>
        <v>RUN-COMB_2022-04-22_RFR-027</v>
      </c>
      <c r="S491" s="165" t="str">
        <f t="shared" ref="S491:T491" si="981">IF(COUNTIF(W$2:W1679, $A491) &gt; 0,TRUE,IFERROR(0/0,""))</f>
        <v/>
      </c>
      <c r="T491" s="165" t="str">
        <f t="shared" si="981"/>
        <v/>
      </c>
      <c r="U491" s="147" t="str">
        <f t="array" ref="U491">IF(ISBLANK($R491), IF($S491,VLOOKUP($B491+1,'RFR Data - preExcl'!$BF$2:$BG1679,2,FALSE),IF($T491,INDEX('RFR Data - preExcl'!$BF$2:$BG1679,MATCH($B491,'RFR Data - preExcl'!$BF$2:$BF1679,0)+1,2),VLOOKUP($B491,'RFR Data - preExcl'!$BF$2:$BG1679,2,FALSE))),IFERROR(0/0,""))</f>
        <v/>
      </c>
      <c r="V491" s="212" t="str">
        <f t="shared" si="5"/>
        <v>RUN-COMB_2022-04-22_RFR-027</v>
      </c>
      <c r="W491" s="51"/>
      <c r="X491" s="51"/>
      <c r="Y491" s="147" t="str">
        <f t="shared" ref="Y491:Z491" si="982">IF(_xlfn.ISFORMULA(S491),IFERROR(0/0,""),TRUE)</f>
        <v/>
      </c>
      <c r="Z491" s="147" t="str">
        <f t="shared" si="982"/>
        <v/>
      </c>
    </row>
    <row r="492">
      <c r="A492" s="6" t="str">
        <f>IFERROR(__xludf.DUMMYFUNCTION("""COMPUTED_VALUE"""),"FM4099")</f>
        <v>FM4099</v>
      </c>
      <c r="B492" s="206">
        <f>IFERROR(__xludf.DUMMYFUNCTION("""COMPUTED_VALUE"""),44673.0)</f>
        <v>44673</v>
      </c>
      <c r="C492" s="207">
        <f>IFERROR(__xludf.DUMMYFUNCTION("""COMPUTED_VALUE"""),0.30211805555555554)</f>
        <v>0.3021180556</v>
      </c>
      <c r="D492" s="50"/>
      <c r="E492" s="58"/>
      <c r="F492" s="58"/>
      <c r="G492" s="58" t="str">
        <f>IFERROR(__xludf.DUMMYFUNCTION("""COMPUTED_VALUE"""),"Negative")</f>
        <v>Negative</v>
      </c>
      <c r="H492" s="206" t="str">
        <f>IFERROR(__xludf.DUMMYFUNCTION("""COMPUTED_VALUE"""),"Negative")</f>
        <v>Negative</v>
      </c>
      <c r="I492" s="207">
        <f>IFERROR(__xludf.DUMMYFUNCTION("""COMPUTED_VALUE"""),44673.0)</f>
        <v>44673</v>
      </c>
      <c r="J492" s="208">
        <f>IFERROR(__xludf.DUMMYFUNCTION("""COMPUTED_VALUE"""),0.3745486111111111)</f>
        <v>0.3745486111</v>
      </c>
      <c r="K492" s="50"/>
      <c r="L492" s="6"/>
      <c r="M492" s="55"/>
      <c r="N492" s="55">
        <f>IFERROR(__xludf.DUMMYFUNCTION("""COMPUTED_VALUE"""),1.0)</f>
        <v>1</v>
      </c>
      <c r="O492" s="55" t="str">
        <f t="shared" si="3"/>
        <v/>
      </c>
      <c r="P492" s="209"/>
      <c r="Q492" s="75" t="b">
        <f>VLOOKUP($B492,'Run Reconcile'!B$2:P1679,15,FALSE)</f>
        <v>1</v>
      </c>
      <c r="R492" s="211" t="str">
        <f t="array" ref="R492">IF($Q492, INDEX('Run Reconcile'!A$2:A1679,MATCH(B492,'Run Reconcile'!B$2:B1679,0),1),IFERROR(0/0,""))</f>
        <v>RUN-COMB_2022-04-22_RFR-027</v>
      </c>
      <c r="S492" s="165" t="str">
        <f t="shared" ref="S492:T492" si="983">IF(COUNTIF(W$2:W1679, $A492) &gt; 0,TRUE,IFERROR(0/0,""))</f>
        <v/>
      </c>
      <c r="T492" s="165" t="str">
        <f t="shared" si="983"/>
        <v/>
      </c>
      <c r="U492" s="147" t="str">
        <f t="array" ref="U492">IF(ISBLANK($R492), IF($S492,VLOOKUP($B492+1,'RFR Data - preExcl'!$BF$2:$BG1679,2,FALSE),IF($T492,INDEX('RFR Data - preExcl'!$BF$2:$BG1679,MATCH($B492,'RFR Data - preExcl'!$BF$2:$BF1679,0)+1,2),VLOOKUP($B492,'RFR Data - preExcl'!$BF$2:$BG1679,2,FALSE))),IFERROR(0/0,""))</f>
        <v/>
      </c>
      <c r="V492" s="212" t="str">
        <f t="shared" si="5"/>
        <v>RUN-COMB_2022-04-22_RFR-027</v>
      </c>
      <c r="W492" s="51"/>
      <c r="X492" s="51"/>
      <c r="Y492" s="147" t="str">
        <f t="shared" ref="Y492:Z492" si="984">IF(_xlfn.ISFORMULA(S492),IFERROR(0/0,""),TRUE)</f>
        <v/>
      </c>
      <c r="Z492" s="147" t="str">
        <f t="shared" si="984"/>
        <v/>
      </c>
    </row>
    <row r="493">
      <c r="A493" s="6" t="str">
        <f>IFERROR(__xludf.DUMMYFUNCTION("""COMPUTED_VALUE"""),"FM4025")</f>
        <v>FM4025</v>
      </c>
      <c r="B493" s="206">
        <f>IFERROR(__xludf.DUMMYFUNCTION("""COMPUTED_VALUE"""),44673.0)</f>
        <v>44673</v>
      </c>
      <c r="C493" s="207">
        <f>IFERROR(__xludf.DUMMYFUNCTION("""COMPUTED_VALUE"""),0.3026041666666667)</f>
        <v>0.3026041667</v>
      </c>
      <c r="D493" s="50"/>
      <c r="E493" s="58"/>
      <c r="F493" s="58"/>
      <c r="G493" s="58" t="str">
        <f>IFERROR(__xludf.DUMMYFUNCTION("""COMPUTED_VALUE"""),"Negative")</f>
        <v>Negative</v>
      </c>
      <c r="H493" s="206" t="str">
        <f>IFERROR(__xludf.DUMMYFUNCTION("""COMPUTED_VALUE"""),"Negative")</f>
        <v>Negative</v>
      </c>
      <c r="I493" s="207">
        <f>IFERROR(__xludf.DUMMYFUNCTION("""COMPUTED_VALUE"""),44673.0)</f>
        <v>44673</v>
      </c>
      <c r="J493" s="208">
        <f>IFERROR(__xludf.DUMMYFUNCTION("""COMPUTED_VALUE"""),0.3745486111111111)</f>
        <v>0.3745486111</v>
      </c>
      <c r="K493" s="50"/>
      <c r="L493" s="6"/>
      <c r="M493" s="55"/>
      <c r="N493" s="55">
        <f>IFERROR(__xludf.DUMMYFUNCTION("""COMPUTED_VALUE"""),1.0)</f>
        <v>1</v>
      </c>
      <c r="O493" s="55" t="str">
        <f t="shared" si="3"/>
        <v/>
      </c>
      <c r="P493" s="209"/>
      <c r="Q493" s="75" t="b">
        <f>VLOOKUP($B493,'Run Reconcile'!B$2:P1679,15,FALSE)</f>
        <v>1</v>
      </c>
      <c r="R493" s="211" t="str">
        <f t="array" ref="R493">IF($Q493, INDEX('Run Reconcile'!A$2:A1679,MATCH(B493,'Run Reconcile'!B$2:B1679,0),1),IFERROR(0/0,""))</f>
        <v>RUN-COMB_2022-04-22_RFR-027</v>
      </c>
      <c r="S493" s="165" t="str">
        <f t="shared" ref="S493:T493" si="985">IF(COUNTIF(W$2:W1679, $A493) &gt; 0,TRUE,IFERROR(0/0,""))</f>
        <v/>
      </c>
      <c r="T493" s="165" t="str">
        <f t="shared" si="985"/>
        <v/>
      </c>
      <c r="U493" s="147" t="str">
        <f t="array" ref="U493">IF(ISBLANK($R493), IF($S493,VLOOKUP($B493+1,'RFR Data - preExcl'!$BF$2:$BG1679,2,FALSE),IF($T493,INDEX('RFR Data - preExcl'!$BF$2:$BG1679,MATCH($B493,'RFR Data - preExcl'!$BF$2:$BF1679,0)+1,2),VLOOKUP($B493,'RFR Data - preExcl'!$BF$2:$BG1679,2,FALSE))),IFERROR(0/0,""))</f>
        <v/>
      </c>
      <c r="V493" s="212" t="str">
        <f t="shared" si="5"/>
        <v>RUN-COMB_2022-04-22_RFR-027</v>
      </c>
      <c r="W493" s="51"/>
      <c r="X493" s="51"/>
      <c r="Y493" s="147" t="str">
        <f t="shared" ref="Y493:Z493" si="986">IF(_xlfn.ISFORMULA(S493),IFERROR(0/0,""),TRUE)</f>
        <v/>
      </c>
      <c r="Z493" s="147" t="str">
        <f t="shared" si="986"/>
        <v/>
      </c>
    </row>
    <row r="494">
      <c r="A494" s="6" t="str">
        <f>IFERROR(__xludf.DUMMYFUNCTION("""COMPUTED_VALUE"""),"FM4021")</f>
        <v>FM4021</v>
      </c>
      <c r="B494" s="206">
        <f>IFERROR(__xludf.DUMMYFUNCTION("""COMPUTED_VALUE"""),44673.0)</f>
        <v>44673</v>
      </c>
      <c r="C494" s="207">
        <f>IFERROR(__xludf.DUMMYFUNCTION("""COMPUTED_VALUE"""),0.303125)</f>
        <v>0.303125</v>
      </c>
      <c r="D494" s="50"/>
      <c r="E494" s="58"/>
      <c r="F494" s="58"/>
      <c r="G494" s="58" t="str">
        <f>IFERROR(__xludf.DUMMYFUNCTION("""COMPUTED_VALUE"""),"Negative")</f>
        <v>Negative</v>
      </c>
      <c r="H494" s="206" t="str">
        <f>IFERROR(__xludf.DUMMYFUNCTION("""COMPUTED_VALUE"""),"Negative")</f>
        <v>Negative</v>
      </c>
      <c r="I494" s="207">
        <f>IFERROR(__xludf.DUMMYFUNCTION("""COMPUTED_VALUE"""),44673.0)</f>
        <v>44673</v>
      </c>
      <c r="J494" s="208">
        <f>IFERROR(__xludf.DUMMYFUNCTION("""COMPUTED_VALUE"""),0.3745601851851852)</f>
        <v>0.3745601852</v>
      </c>
      <c r="K494" s="50"/>
      <c r="L494" s="6"/>
      <c r="M494" s="55"/>
      <c r="N494" s="55">
        <f>IFERROR(__xludf.DUMMYFUNCTION("""COMPUTED_VALUE"""),1.0)</f>
        <v>1</v>
      </c>
      <c r="O494" s="55" t="str">
        <f t="shared" si="3"/>
        <v/>
      </c>
      <c r="P494" s="209"/>
      <c r="Q494" s="75" t="b">
        <f>VLOOKUP($B494,'Run Reconcile'!B$2:P1679,15,FALSE)</f>
        <v>1</v>
      </c>
      <c r="R494" s="211" t="str">
        <f t="array" ref="R494">IF($Q494, INDEX('Run Reconcile'!A$2:A1679,MATCH(B494,'Run Reconcile'!B$2:B1679,0),1),IFERROR(0/0,""))</f>
        <v>RUN-COMB_2022-04-22_RFR-027</v>
      </c>
      <c r="S494" s="165" t="str">
        <f t="shared" ref="S494:T494" si="987">IF(COUNTIF(W$2:W1679, $A494) &gt; 0,TRUE,IFERROR(0/0,""))</f>
        <v/>
      </c>
      <c r="T494" s="165" t="str">
        <f t="shared" si="987"/>
        <v/>
      </c>
      <c r="U494" s="147" t="str">
        <f t="array" ref="U494">IF(ISBLANK($R494), IF($S494,VLOOKUP($B494+1,'RFR Data - preExcl'!$BF$2:$BG1679,2,FALSE),IF($T494,INDEX('RFR Data - preExcl'!$BF$2:$BG1679,MATCH($B494,'RFR Data - preExcl'!$BF$2:$BF1679,0)+1,2),VLOOKUP($B494,'RFR Data - preExcl'!$BF$2:$BG1679,2,FALSE))),IFERROR(0/0,""))</f>
        <v/>
      </c>
      <c r="V494" s="212" t="str">
        <f t="shared" si="5"/>
        <v>RUN-COMB_2022-04-22_RFR-027</v>
      </c>
      <c r="W494" s="51"/>
      <c r="X494" s="51"/>
      <c r="Y494" s="147" t="str">
        <f t="shared" ref="Y494:Z494" si="988">IF(_xlfn.ISFORMULA(S494),IFERROR(0/0,""),TRUE)</f>
        <v/>
      </c>
      <c r="Z494" s="147" t="str">
        <f t="shared" si="988"/>
        <v/>
      </c>
    </row>
    <row r="495">
      <c r="A495" s="6" t="str">
        <f>IFERROR(__xludf.DUMMYFUNCTION("""COMPUTED_VALUE"""),"FM4048")</f>
        <v>FM4048</v>
      </c>
      <c r="B495" s="206">
        <f>IFERROR(__xludf.DUMMYFUNCTION("""COMPUTED_VALUE"""),44673.0)</f>
        <v>44673</v>
      </c>
      <c r="C495" s="207">
        <f>IFERROR(__xludf.DUMMYFUNCTION("""COMPUTED_VALUE"""),0.30375)</f>
        <v>0.30375</v>
      </c>
      <c r="D495" s="50"/>
      <c r="E495" s="58"/>
      <c r="F495" s="58"/>
      <c r="G495" s="58" t="str">
        <f>IFERROR(__xludf.DUMMYFUNCTION("""COMPUTED_VALUE"""),"Negative")</f>
        <v>Negative</v>
      </c>
      <c r="H495" s="206" t="str">
        <f>IFERROR(__xludf.DUMMYFUNCTION("""COMPUTED_VALUE"""),"Negative")</f>
        <v>Negative</v>
      </c>
      <c r="I495" s="207">
        <f>IFERROR(__xludf.DUMMYFUNCTION("""COMPUTED_VALUE"""),44673.0)</f>
        <v>44673</v>
      </c>
      <c r="J495" s="208">
        <f>IFERROR(__xludf.DUMMYFUNCTION("""COMPUTED_VALUE"""),0.3745717592592593)</f>
        <v>0.3745717593</v>
      </c>
      <c r="K495" s="50"/>
      <c r="L495" s="6"/>
      <c r="M495" s="55"/>
      <c r="N495" s="55">
        <f>IFERROR(__xludf.DUMMYFUNCTION("""COMPUTED_VALUE"""),1.0)</f>
        <v>1</v>
      </c>
      <c r="O495" s="55" t="str">
        <f t="shared" si="3"/>
        <v/>
      </c>
      <c r="P495" s="209"/>
      <c r="Q495" s="75" t="b">
        <f>VLOOKUP($B495,'Run Reconcile'!B$2:P1679,15,FALSE)</f>
        <v>1</v>
      </c>
      <c r="R495" s="211" t="str">
        <f t="array" ref="R495">IF($Q495, INDEX('Run Reconcile'!A$2:A1679,MATCH(B495,'Run Reconcile'!B$2:B1679,0),1),IFERROR(0/0,""))</f>
        <v>RUN-COMB_2022-04-22_RFR-027</v>
      </c>
      <c r="S495" s="165" t="str">
        <f t="shared" ref="S495:T495" si="989">IF(COUNTIF(W$2:W1679, $A495) &gt; 0,TRUE,IFERROR(0/0,""))</f>
        <v/>
      </c>
      <c r="T495" s="165" t="str">
        <f t="shared" si="989"/>
        <v/>
      </c>
      <c r="U495" s="147" t="str">
        <f t="array" ref="U495">IF(ISBLANK($R495), IF($S495,VLOOKUP($B495+1,'RFR Data - preExcl'!$BF$2:$BG1679,2,FALSE),IF($T495,INDEX('RFR Data - preExcl'!$BF$2:$BG1679,MATCH($B495,'RFR Data - preExcl'!$BF$2:$BF1679,0)+1,2),VLOOKUP($B495,'RFR Data - preExcl'!$BF$2:$BG1679,2,FALSE))),IFERROR(0/0,""))</f>
        <v/>
      </c>
      <c r="V495" s="212" t="str">
        <f t="shared" si="5"/>
        <v>RUN-COMB_2022-04-22_RFR-027</v>
      </c>
      <c r="W495" s="51"/>
      <c r="X495" s="51"/>
      <c r="Y495" s="147" t="str">
        <f t="shared" ref="Y495:Z495" si="990">IF(_xlfn.ISFORMULA(S495),IFERROR(0/0,""),TRUE)</f>
        <v/>
      </c>
      <c r="Z495" s="147" t="str">
        <f t="shared" si="990"/>
        <v/>
      </c>
    </row>
    <row r="496">
      <c r="A496" s="6" t="str">
        <f>IFERROR(__xludf.DUMMYFUNCTION("""COMPUTED_VALUE"""),"FM4087")</f>
        <v>FM4087</v>
      </c>
      <c r="B496" s="206">
        <f>IFERROR(__xludf.DUMMYFUNCTION("""COMPUTED_VALUE"""),44673.0)</f>
        <v>44673</v>
      </c>
      <c r="C496" s="207">
        <f>IFERROR(__xludf.DUMMYFUNCTION("""COMPUTED_VALUE"""),0.3041203703703704)</f>
        <v>0.3041203704</v>
      </c>
      <c r="D496" s="50"/>
      <c r="E496" s="58"/>
      <c r="F496" s="58"/>
      <c r="G496" s="58" t="str">
        <f>IFERROR(__xludf.DUMMYFUNCTION("""COMPUTED_VALUE"""),"Negative")</f>
        <v>Negative</v>
      </c>
      <c r="H496" s="206" t="str">
        <f>IFERROR(__xludf.DUMMYFUNCTION("""COMPUTED_VALUE"""),"Negative")</f>
        <v>Negative</v>
      </c>
      <c r="I496" s="207">
        <f>IFERROR(__xludf.DUMMYFUNCTION("""COMPUTED_VALUE"""),44673.0)</f>
        <v>44673</v>
      </c>
      <c r="J496" s="208">
        <f>IFERROR(__xludf.DUMMYFUNCTION("""COMPUTED_VALUE"""),0.3745833333333333)</f>
        <v>0.3745833333</v>
      </c>
      <c r="K496" s="50"/>
      <c r="L496" s="6"/>
      <c r="M496" s="55"/>
      <c r="N496" s="55">
        <f>IFERROR(__xludf.DUMMYFUNCTION("""COMPUTED_VALUE"""),1.0)</f>
        <v>1</v>
      </c>
      <c r="O496" s="55" t="str">
        <f t="shared" si="3"/>
        <v/>
      </c>
      <c r="P496" s="209"/>
      <c r="Q496" s="75" t="b">
        <f>VLOOKUP($B496,'Run Reconcile'!B$2:P1679,15,FALSE)</f>
        <v>1</v>
      </c>
      <c r="R496" s="211" t="str">
        <f t="array" ref="R496">IF($Q496, INDEX('Run Reconcile'!A$2:A1679,MATCH(B496,'Run Reconcile'!B$2:B1679,0),1),IFERROR(0/0,""))</f>
        <v>RUN-COMB_2022-04-22_RFR-027</v>
      </c>
      <c r="S496" s="165" t="str">
        <f t="shared" ref="S496:T496" si="991">IF(COUNTIF(W$2:W1679, $A496) &gt; 0,TRUE,IFERROR(0/0,""))</f>
        <v/>
      </c>
      <c r="T496" s="165" t="str">
        <f t="shared" si="991"/>
        <v/>
      </c>
      <c r="U496" s="147" t="str">
        <f t="array" ref="U496">IF(ISBLANK($R496), IF($S496,VLOOKUP($B496+1,'RFR Data - preExcl'!$BF$2:$BG1679,2,FALSE),IF($T496,INDEX('RFR Data - preExcl'!$BF$2:$BG1679,MATCH($B496,'RFR Data - preExcl'!$BF$2:$BF1679,0)+1,2),VLOOKUP($B496,'RFR Data - preExcl'!$BF$2:$BG1679,2,FALSE))),IFERROR(0/0,""))</f>
        <v/>
      </c>
      <c r="V496" s="212" t="str">
        <f t="shared" si="5"/>
        <v>RUN-COMB_2022-04-22_RFR-027</v>
      </c>
      <c r="W496" s="51"/>
      <c r="X496" s="51"/>
      <c r="Y496" s="147" t="str">
        <f t="shared" ref="Y496:Z496" si="992">IF(_xlfn.ISFORMULA(S496),IFERROR(0/0,""),TRUE)</f>
        <v/>
      </c>
      <c r="Z496" s="147" t="str">
        <f t="shared" si="992"/>
        <v/>
      </c>
    </row>
    <row r="497">
      <c r="A497" s="6" t="str">
        <f>IFERROR(__xludf.DUMMYFUNCTION("""COMPUTED_VALUE"""),"FM4039")</f>
        <v>FM4039</v>
      </c>
      <c r="B497" s="206">
        <f>IFERROR(__xludf.DUMMYFUNCTION("""COMPUTED_VALUE"""),44673.0)</f>
        <v>44673</v>
      </c>
      <c r="C497" s="207">
        <f>IFERROR(__xludf.DUMMYFUNCTION("""COMPUTED_VALUE"""),0.30452546296296296)</f>
        <v>0.304525463</v>
      </c>
      <c r="D497" s="50"/>
      <c r="E497" s="58"/>
      <c r="F497" s="58"/>
      <c r="G497" s="58" t="str">
        <f>IFERROR(__xludf.DUMMYFUNCTION("""COMPUTED_VALUE"""),"Negative")</f>
        <v>Negative</v>
      </c>
      <c r="H497" s="206" t="str">
        <f>IFERROR(__xludf.DUMMYFUNCTION("""COMPUTED_VALUE"""),"Negative")</f>
        <v>Negative</v>
      </c>
      <c r="I497" s="207">
        <f>IFERROR(__xludf.DUMMYFUNCTION("""COMPUTED_VALUE"""),44673.0)</f>
        <v>44673</v>
      </c>
      <c r="J497" s="208">
        <f>IFERROR(__xludf.DUMMYFUNCTION("""COMPUTED_VALUE"""),0.3745833333333333)</f>
        <v>0.3745833333</v>
      </c>
      <c r="K497" s="50"/>
      <c r="L497" s="6"/>
      <c r="M497" s="55"/>
      <c r="N497" s="55">
        <f>IFERROR(__xludf.DUMMYFUNCTION("""COMPUTED_VALUE"""),1.0)</f>
        <v>1</v>
      </c>
      <c r="O497" s="55" t="str">
        <f t="shared" si="3"/>
        <v/>
      </c>
      <c r="P497" s="209"/>
      <c r="Q497" s="75" t="b">
        <f>VLOOKUP($B497,'Run Reconcile'!B$2:P1679,15,FALSE)</f>
        <v>1</v>
      </c>
      <c r="R497" s="211" t="str">
        <f t="array" ref="R497">IF($Q497, INDEX('Run Reconcile'!A$2:A1679,MATCH(B497,'Run Reconcile'!B$2:B1679,0),1),IFERROR(0/0,""))</f>
        <v>RUN-COMB_2022-04-22_RFR-027</v>
      </c>
      <c r="S497" s="165" t="str">
        <f t="shared" ref="S497:T497" si="993">IF(COUNTIF(W$2:W1679, $A497) &gt; 0,TRUE,IFERROR(0/0,""))</f>
        <v/>
      </c>
      <c r="T497" s="165" t="str">
        <f t="shared" si="993"/>
        <v/>
      </c>
      <c r="U497" s="147" t="str">
        <f t="array" ref="U497">IF(ISBLANK($R497), IF($S497,VLOOKUP($B497+1,'RFR Data - preExcl'!$BF$2:$BG1679,2,FALSE),IF($T497,INDEX('RFR Data - preExcl'!$BF$2:$BG1679,MATCH($B497,'RFR Data - preExcl'!$BF$2:$BF1679,0)+1,2),VLOOKUP($B497,'RFR Data - preExcl'!$BF$2:$BG1679,2,FALSE))),IFERROR(0/0,""))</f>
        <v/>
      </c>
      <c r="V497" s="212" t="str">
        <f t="shared" si="5"/>
        <v>RUN-COMB_2022-04-22_RFR-027</v>
      </c>
      <c r="W497" s="51"/>
      <c r="X497" s="51"/>
      <c r="Y497" s="147" t="str">
        <f t="shared" ref="Y497:Z497" si="994">IF(_xlfn.ISFORMULA(S497),IFERROR(0/0,""),TRUE)</f>
        <v/>
      </c>
      <c r="Z497" s="147" t="str">
        <f t="shared" si="994"/>
        <v/>
      </c>
    </row>
    <row r="498">
      <c r="A498" s="6" t="str">
        <f>IFERROR(__xludf.DUMMYFUNCTION("""COMPUTED_VALUE"""),"FM4127")</f>
        <v>FM4127</v>
      </c>
      <c r="B498" s="206">
        <f>IFERROR(__xludf.DUMMYFUNCTION("""COMPUTED_VALUE"""),44673.0)</f>
        <v>44673</v>
      </c>
      <c r="C498" s="207">
        <f>IFERROR(__xludf.DUMMYFUNCTION("""COMPUTED_VALUE"""),0.3048958333333333)</f>
        <v>0.3048958333</v>
      </c>
      <c r="D498" s="50"/>
      <c r="E498" s="58"/>
      <c r="F498" s="58"/>
      <c r="G498" s="58" t="str">
        <f>IFERROR(__xludf.DUMMYFUNCTION("""COMPUTED_VALUE"""),"Negative")</f>
        <v>Negative</v>
      </c>
      <c r="H498" s="206" t="str">
        <f>IFERROR(__xludf.DUMMYFUNCTION("""COMPUTED_VALUE"""),"Negative")</f>
        <v>Negative</v>
      </c>
      <c r="I498" s="207">
        <f>IFERROR(__xludf.DUMMYFUNCTION("""COMPUTED_VALUE"""),44673.0)</f>
        <v>44673</v>
      </c>
      <c r="J498" s="208">
        <f>IFERROR(__xludf.DUMMYFUNCTION("""COMPUTED_VALUE"""),0.3745949074074074)</f>
        <v>0.3745949074</v>
      </c>
      <c r="K498" s="50"/>
      <c r="L498" s="6"/>
      <c r="M498" s="55"/>
      <c r="N498" s="55">
        <f>IFERROR(__xludf.DUMMYFUNCTION("""COMPUTED_VALUE"""),1.0)</f>
        <v>1</v>
      </c>
      <c r="O498" s="55" t="str">
        <f t="shared" si="3"/>
        <v/>
      </c>
      <c r="P498" s="209"/>
      <c r="Q498" s="75" t="b">
        <f>VLOOKUP($B498,'Run Reconcile'!B$2:P1679,15,FALSE)</f>
        <v>1</v>
      </c>
      <c r="R498" s="211" t="str">
        <f t="array" ref="R498">IF($Q498, INDEX('Run Reconcile'!A$2:A1679,MATCH(B498,'Run Reconcile'!B$2:B1679,0),1),IFERROR(0/0,""))</f>
        <v>RUN-COMB_2022-04-22_RFR-027</v>
      </c>
      <c r="S498" s="165" t="str">
        <f t="shared" ref="S498:T498" si="995">IF(COUNTIF(W$2:W1679, $A498) &gt; 0,TRUE,IFERROR(0/0,""))</f>
        <v/>
      </c>
      <c r="T498" s="165" t="str">
        <f t="shared" si="995"/>
        <v/>
      </c>
      <c r="U498" s="147" t="str">
        <f t="array" ref="U498">IF(ISBLANK($R498), IF($S498,VLOOKUP($B498+1,'RFR Data - preExcl'!$BF$2:$BG1679,2,FALSE),IF($T498,INDEX('RFR Data - preExcl'!$BF$2:$BG1679,MATCH($B498,'RFR Data - preExcl'!$BF$2:$BF1679,0)+1,2),VLOOKUP($B498,'RFR Data - preExcl'!$BF$2:$BG1679,2,FALSE))),IFERROR(0/0,""))</f>
        <v/>
      </c>
      <c r="V498" s="212" t="str">
        <f t="shared" si="5"/>
        <v>RUN-COMB_2022-04-22_RFR-027</v>
      </c>
      <c r="W498" s="51"/>
      <c r="X498" s="51"/>
      <c r="Y498" s="147" t="str">
        <f t="shared" ref="Y498:Z498" si="996">IF(_xlfn.ISFORMULA(S498),IFERROR(0/0,""),TRUE)</f>
        <v/>
      </c>
      <c r="Z498" s="147" t="str">
        <f t="shared" si="996"/>
        <v/>
      </c>
    </row>
    <row r="499">
      <c r="A499" s="6" t="str">
        <f>IFERROR(__xludf.DUMMYFUNCTION("""COMPUTED_VALUE"""),"FM4040")</f>
        <v>FM4040</v>
      </c>
      <c r="B499" s="206">
        <f>IFERROR(__xludf.DUMMYFUNCTION("""COMPUTED_VALUE"""),44673.0)</f>
        <v>44673</v>
      </c>
      <c r="C499" s="207">
        <f>IFERROR(__xludf.DUMMYFUNCTION("""COMPUTED_VALUE"""),0.30527777777777776)</f>
        <v>0.3052777778</v>
      </c>
      <c r="D499" s="50"/>
      <c r="E499" s="58"/>
      <c r="F499" s="58"/>
      <c r="G499" s="58" t="str">
        <f>IFERROR(__xludf.DUMMYFUNCTION("""COMPUTED_VALUE"""),"Negative")</f>
        <v>Negative</v>
      </c>
      <c r="H499" s="206" t="str">
        <f>IFERROR(__xludf.DUMMYFUNCTION("""COMPUTED_VALUE"""),"Negative")</f>
        <v>Negative</v>
      </c>
      <c r="I499" s="207">
        <f>IFERROR(__xludf.DUMMYFUNCTION("""COMPUTED_VALUE"""),44673.0)</f>
        <v>44673</v>
      </c>
      <c r="J499" s="208">
        <f>IFERROR(__xludf.DUMMYFUNCTION("""COMPUTED_VALUE"""),0.3745949074074074)</f>
        <v>0.3745949074</v>
      </c>
      <c r="K499" s="50"/>
      <c r="L499" s="6"/>
      <c r="M499" s="55"/>
      <c r="N499" s="55">
        <f>IFERROR(__xludf.DUMMYFUNCTION("""COMPUTED_VALUE"""),1.0)</f>
        <v>1</v>
      </c>
      <c r="O499" s="55" t="str">
        <f t="shared" si="3"/>
        <v/>
      </c>
      <c r="P499" s="209"/>
      <c r="Q499" s="75" t="b">
        <f>VLOOKUP($B499,'Run Reconcile'!B$2:P1679,15,FALSE)</f>
        <v>1</v>
      </c>
      <c r="R499" s="211" t="str">
        <f t="array" ref="R499">IF($Q499, INDEX('Run Reconcile'!A$2:A1679,MATCH(B499,'Run Reconcile'!B$2:B1679,0),1),IFERROR(0/0,""))</f>
        <v>RUN-COMB_2022-04-22_RFR-027</v>
      </c>
      <c r="S499" s="165" t="str">
        <f t="shared" ref="S499:T499" si="997">IF(COUNTIF(W$2:W1679, $A499) &gt; 0,TRUE,IFERROR(0/0,""))</f>
        <v/>
      </c>
      <c r="T499" s="165" t="str">
        <f t="shared" si="997"/>
        <v/>
      </c>
      <c r="U499" s="147" t="str">
        <f t="array" ref="U499">IF(ISBLANK($R499), IF($S499,VLOOKUP($B499+1,'RFR Data - preExcl'!$BF$2:$BG1679,2,FALSE),IF($T499,INDEX('RFR Data - preExcl'!$BF$2:$BG1679,MATCH($B499,'RFR Data - preExcl'!$BF$2:$BF1679,0)+1,2),VLOOKUP($B499,'RFR Data - preExcl'!$BF$2:$BG1679,2,FALSE))),IFERROR(0/0,""))</f>
        <v/>
      </c>
      <c r="V499" s="212" t="str">
        <f t="shared" si="5"/>
        <v>RUN-COMB_2022-04-22_RFR-027</v>
      </c>
      <c r="W499" s="51"/>
      <c r="X499" s="51"/>
      <c r="Y499" s="147" t="str">
        <f t="shared" ref="Y499:Z499" si="998">IF(_xlfn.ISFORMULA(S499),IFERROR(0/0,""),TRUE)</f>
        <v/>
      </c>
      <c r="Z499" s="147" t="str">
        <f t="shared" si="998"/>
        <v/>
      </c>
    </row>
    <row r="500">
      <c r="A500" s="6" t="str">
        <f>IFERROR(__xludf.DUMMYFUNCTION("""COMPUTED_VALUE"""),"FM4124")</f>
        <v>FM4124</v>
      </c>
      <c r="B500" s="206">
        <f>IFERROR(__xludf.DUMMYFUNCTION("""COMPUTED_VALUE"""),44673.0)</f>
        <v>44673</v>
      </c>
      <c r="C500" s="207">
        <f>IFERROR(__xludf.DUMMYFUNCTION("""COMPUTED_VALUE"""),0.30572916666666666)</f>
        <v>0.3057291667</v>
      </c>
      <c r="D500" s="50"/>
      <c r="E500" s="58"/>
      <c r="F500" s="58"/>
      <c r="G500" s="58" t="str">
        <f>IFERROR(__xludf.DUMMYFUNCTION("""COMPUTED_VALUE"""),"Negative")</f>
        <v>Negative</v>
      </c>
      <c r="H500" s="206" t="str">
        <f>IFERROR(__xludf.DUMMYFUNCTION("""COMPUTED_VALUE"""),"Negative")</f>
        <v>Negative</v>
      </c>
      <c r="I500" s="207">
        <f>IFERROR(__xludf.DUMMYFUNCTION("""COMPUTED_VALUE"""),44673.0)</f>
        <v>44673</v>
      </c>
      <c r="J500" s="208">
        <f>IFERROR(__xludf.DUMMYFUNCTION("""COMPUTED_VALUE"""),0.3745949074074074)</f>
        <v>0.3745949074</v>
      </c>
      <c r="K500" s="50"/>
      <c r="L500" s="6"/>
      <c r="M500" s="55"/>
      <c r="N500" s="55">
        <f>IFERROR(__xludf.DUMMYFUNCTION("""COMPUTED_VALUE"""),1.0)</f>
        <v>1</v>
      </c>
      <c r="O500" s="55" t="str">
        <f t="shared" si="3"/>
        <v/>
      </c>
      <c r="P500" s="209"/>
      <c r="Q500" s="75" t="b">
        <f>VLOOKUP($B500,'Run Reconcile'!B$2:P1679,15,FALSE)</f>
        <v>1</v>
      </c>
      <c r="R500" s="211" t="str">
        <f t="array" ref="R500">IF($Q500, INDEX('Run Reconcile'!A$2:A1679,MATCH(B500,'Run Reconcile'!B$2:B1679,0),1),IFERROR(0/0,""))</f>
        <v>RUN-COMB_2022-04-22_RFR-027</v>
      </c>
      <c r="S500" s="165" t="str">
        <f t="shared" ref="S500:T500" si="999">IF(COUNTIF(W$2:W1679, $A500) &gt; 0,TRUE,IFERROR(0/0,""))</f>
        <v/>
      </c>
      <c r="T500" s="165" t="str">
        <f t="shared" si="999"/>
        <v/>
      </c>
      <c r="U500" s="147" t="str">
        <f t="array" ref="U500">IF(ISBLANK($R500), IF($S500,VLOOKUP($B500+1,'RFR Data - preExcl'!$BF$2:$BG1679,2,FALSE),IF($T500,INDEX('RFR Data - preExcl'!$BF$2:$BG1679,MATCH($B500,'RFR Data - preExcl'!$BF$2:$BF1679,0)+1,2),VLOOKUP($B500,'RFR Data - preExcl'!$BF$2:$BG1679,2,FALSE))),IFERROR(0/0,""))</f>
        <v/>
      </c>
      <c r="V500" s="212" t="str">
        <f t="shared" si="5"/>
        <v>RUN-COMB_2022-04-22_RFR-027</v>
      </c>
      <c r="W500" s="51"/>
      <c r="X500" s="51"/>
      <c r="Y500" s="147" t="str">
        <f t="shared" ref="Y500:Z500" si="1000">IF(_xlfn.ISFORMULA(S500),IFERROR(0/0,""),TRUE)</f>
        <v/>
      </c>
      <c r="Z500" s="147" t="str">
        <f t="shared" si="1000"/>
        <v/>
      </c>
    </row>
    <row r="501">
      <c r="A501" s="6" t="str">
        <f>IFERROR(__xludf.DUMMYFUNCTION("""COMPUTED_VALUE"""),"FM4104")</f>
        <v>FM4104</v>
      </c>
      <c r="B501" s="206">
        <f>IFERROR(__xludf.DUMMYFUNCTION("""COMPUTED_VALUE"""),44673.0)</f>
        <v>44673</v>
      </c>
      <c r="C501" s="207">
        <f>IFERROR(__xludf.DUMMYFUNCTION("""COMPUTED_VALUE"""),0.3060763888888889)</f>
        <v>0.3060763889</v>
      </c>
      <c r="D501" s="50"/>
      <c r="E501" s="58"/>
      <c r="F501" s="58"/>
      <c r="G501" s="58" t="str">
        <f>IFERROR(__xludf.DUMMYFUNCTION("""COMPUTED_VALUE"""),"Negative")</f>
        <v>Negative</v>
      </c>
      <c r="H501" s="206" t="str">
        <f>IFERROR(__xludf.DUMMYFUNCTION("""COMPUTED_VALUE"""),"Negative")</f>
        <v>Negative</v>
      </c>
      <c r="I501" s="207">
        <f>IFERROR(__xludf.DUMMYFUNCTION("""COMPUTED_VALUE"""),44673.0)</f>
        <v>44673</v>
      </c>
      <c r="J501" s="208">
        <f>IFERROR(__xludf.DUMMYFUNCTION("""COMPUTED_VALUE"""),0.37460648148148146)</f>
        <v>0.3746064815</v>
      </c>
      <c r="K501" s="50"/>
      <c r="L501" s="6"/>
      <c r="M501" s="55"/>
      <c r="N501" s="55">
        <f>IFERROR(__xludf.DUMMYFUNCTION("""COMPUTED_VALUE"""),1.0)</f>
        <v>1</v>
      </c>
      <c r="O501" s="55" t="str">
        <f t="shared" si="3"/>
        <v/>
      </c>
      <c r="P501" s="209"/>
      <c r="Q501" s="75" t="b">
        <f>VLOOKUP($B501,'Run Reconcile'!B$2:P1679,15,FALSE)</f>
        <v>1</v>
      </c>
      <c r="R501" s="211" t="str">
        <f t="array" ref="R501">IF($Q501, INDEX('Run Reconcile'!A$2:A1679,MATCH(B501,'Run Reconcile'!B$2:B1679,0),1),IFERROR(0/0,""))</f>
        <v>RUN-COMB_2022-04-22_RFR-027</v>
      </c>
      <c r="S501" s="165" t="str">
        <f t="shared" ref="S501:T501" si="1001">IF(COUNTIF(W$2:W1679, $A501) &gt; 0,TRUE,IFERROR(0/0,""))</f>
        <v/>
      </c>
      <c r="T501" s="165" t="str">
        <f t="shared" si="1001"/>
        <v/>
      </c>
      <c r="U501" s="147" t="str">
        <f t="array" ref="U501">IF(ISBLANK($R501), IF($S501,VLOOKUP($B501+1,'RFR Data - preExcl'!$BF$2:$BG1679,2,FALSE),IF($T501,INDEX('RFR Data - preExcl'!$BF$2:$BG1679,MATCH($B501,'RFR Data - preExcl'!$BF$2:$BF1679,0)+1,2),VLOOKUP($B501,'RFR Data - preExcl'!$BF$2:$BG1679,2,FALSE))),IFERROR(0/0,""))</f>
        <v/>
      </c>
      <c r="V501" s="212" t="str">
        <f t="shared" si="5"/>
        <v>RUN-COMB_2022-04-22_RFR-027</v>
      </c>
      <c r="W501" s="51"/>
      <c r="X501" s="51"/>
      <c r="Y501" s="147" t="str">
        <f t="shared" ref="Y501:Z501" si="1002">IF(_xlfn.ISFORMULA(S501),IFERROR(0/0,""),TRUE)</f>
        <v/>
      </c>
      <c r="Z501" s="147" t="str">
        <f t="shared" si="1002"/>
        <v/>
      </c>
    </row>
    <row r="502">
      <c r="A502" s="6" t="str">
        <f>IFERROR(__xludf.DUMMYFUNCTION("""COMPUTED_VALUE"""),"FM4132")</f>
        <v>FM4132</v>
      </c>
      <c r="B502" s="206">
        <f>IFERROR(__xludf.DUMMYFUNCTION("""COMPUTED_VALUE"""),44676.0)</f>
        <v>44676</v>
      </c>
      <c r="C502" s="207">
        <f>IFERROR(__xludf.DUMMYFUNCTION("""COMPUTED_VALUE"""),0.6787152777777777)</f>
        <v>0.6787152778</v>
      </c>
      <c r="D502" s="50"/>
      <c r="E502" s="58"/>
      <c r="F502" s="58"/>
      <c r="G502" s="58" t="str">
        <f>IFERROR(__xludf.DUMMYFUNCTION("""COMPUTED_VALUE"""),"Negative")</f>
        <v>Negative</v>
      </c>
      <c r="H502" s="206" t="str">
        <f>IFERROR(__xludf.DUMMYFUNCTION("""COMPUTED_VALUE"""),"Negative")</f>
        <v>Negative</v>
      </c>
      <c r="I502" s="207">
        <f>IFERROR(__xludf.DUMMYFUNCTION("""COMPUTED_VALUE"""),44676.0)</f>
        <v>44676</v>
      </c>
      <c r="J502" s="208">
        <f>IFERROR(__xludf.DUMMYFUNCTION("""COMPUTED_VALUE"""),0.825787037037037)</f>
        <v>0.825787037</v>
      </c>
      <c r="K502" s="50"/>
      <c r="L502" s="6"/>
      <c r="M502" s="55"/>
      <c r="N502" s="55">
        <f>IFERROR(__xludf.DUMMYFUNCTION("""COMPUTED_VALUE"""),1.0)</f>
        <v>1</v>
      </c>
      <c r="O502" s="55" t="b">
        <f t="shared" si="3"/>
        <v>1</v>
      </c>
      <c r="P502" s="209"/>
      <c r="Q502" s="75" t="b">
        <f>VLOOKUP($B502,'Run Reconcile'!B$2:P1679,15,FALSE)</f>
        <v>1</v>
      </c>
      <c r="R502" s="211" t="str">
        <f t="array" ref="R502">IF($Q502, INDEX('Run Reconcile'!A$2:A1679,MATCH(B502,'Run Reconcile'!B$2:B1679,0),1),IFERROR(0/0,""))</f>
        <v>RUN-COMB_2022-04-25_RFR-028</v>
      </c>
      <c r="S502" s="165" t="str">
        <f t="shared" ref="S502:T502" si="1003">IF(COUNTIF(W$2:W1679, $A502) &gt; 0,TRUE,IFERROR(0/0,""))</f>
        <v/>
      </c>
      <c r="T502" s="165" t="str">
        <f t="shared" si="1003"/>
        <v/>
      </c>
      <c r="U502" s="147" t="str">
        <f t="array" ref="U502">IF(ISBLANK($R502), IF($S502,VLOOKUP($B502+1,'RFR Data - preExcl'!$BF$2:$BG1679,2,FALSE),IF($T502,INDEX('RFR Data - preExcl'!$BF$2:$BG1679,MATCH($B502,'RFR Data - preExcl'!$BF$2:$BF1679,0)+1,2),VLOOKUP($B502,'RFR Data - preExcl'!$BF$2:$BG1679,2,FALSE))),IFERROR(0/0,""))</f>
        <v/>
      </c>
      <c r="V502" s="212" t="str">
        <f t="shared" si="5"/>
        <v>RUN-COMB_2022-04-25_RFR-028</v>
      </c>
      <c r="W502" s="51"/>
      <c r="X502" s="51"/>
      <c r="Y502" s="147" t="str">
        <f t="shared" ref="Y502:Z502" si="1004">IF(_xlfn.ISFORMULA(S502),IFERROR(0/0,""),TRUE)</f>
        <v/>
      </c>
      <c r="Z502" s="147" t="str">
        <f t="shared" si="1004"/>
        <v/>
      </c>
    </row>
    <row r="503">
      <c r="A503" s="6" t="str">
        <f>IFERROR(__xludf.DUMMYFUNCTION("""COMPUTED_VALUE"""),"FM4101")</f>
        <v>FM4101</v>
      </c>
      <c r="B503" s="206">
        <f>IFERROR(__xludf.DUMMYFUNCTION("""COMPUTED_VALUE"""),44676.0)</f>
        <v>44676</v>
      </c>
      <c r="C503" s="207">
        <f>IFERROR(__xludf.DUMMYFUNCTION("""COMPUTED_VALUE"""),0.6790856481481482)</f>
        <v>0.6790856481</v>
      </c>
      <c r="D503" s="50"/>
      <c r="E503" s="58"/>
      <c r="F503" s="58"/>
      <c r="G503" s="58" t="str">
        <f>IFERROR(__xludf.DUMMYFUNCTION("""COMPUTED_VALUE"""),"Negative")</f>
        <v>Negative</v>
      </c>
      <c r="H503" s="206" t="str">
        <f>IFERROR(__xludf.DUMMYFUNCTION("""COMPUTED_VALUE"""),"Negative")</f>
        <v>Negative</v>
      </c>
      <c r="I503" s="207">
        <f>IFERROR(__xludf.DUMMYFUNCTION("""COMPUTED_VALUE"""),44676.0)</f>
        <v>44676</v>
      </c>
      <c r="J503" s="208">
        <f>IFERROR(__xludf.DUMMYFUNCTION("""COMPUTED_VALUE"""),0.8257986111111111)</f>
        <v>0.8257986111</v>
      </c>
      <c r="K503" s="50"/>
      <c r="L503" s="6"/>
      <c r="M503" s="55"/>
      <c r="N503" s="55">
        <f>IFERROR(__xludf.DUMMYFUNCTION("""COMPUTED_VALUE"""),1.0)</f>
        <v>1</v>
      </c>
      <c r="O503" s="55" t="str">
        <f t="shared" si="3"/>
        <v/>
      </c>
      <c r="P503" s="209"/>
      <c r="Q503" s="75" t="b">
        <f>VLOOKUP($B503,'Run Reconcile'!B$2:P1679,15,FALSE)</f>
        <v>1</v>
      </c>
      <c r="R503" s="211" t="str">
        <f t="array" ref="R503">IF($Q503, INDEX('Run Reconcile'!A$2:A1679,MATCH(B503,'Run Reconcile'!B$2:B1679,0),1),IFERROR(0/0,""))</f>
        <v>RUN-COMB_2022-04-25_RFR-028</v>
      </c>
      <c r="S503" s="165" t="str">
        <f t="shared" ref="S503:T503" si="1005">IF(COUNTIF(W$2:W1679, $A503) &gt; 0,TRUE,IFERROR(0/0,""))</f>
        <v/>
      </c>
      <c r="T503" s="165" t="str">
        <f t="shared" si="1005"/>
        <v/>
      </c>
      <c r="U503" s="147" t="str">
        <f t="array" ref="U503">IF(ISBLANK($R503), IF($S503,VLOOKUP($B503+1,'RFR Data - preExcl'!$BF$2:$BG1679,2,FALSE),IF($T503,INDEX('RFR Data - preExcl'!$BF$2:$BG1679,MATCH($B503,'RFR Data - preExcl'!$BF$2:$BF1679,0)+1,2),VLOOKUP($B503,'RFR Data - preExcl'!$BF$2:$BG1679,2,FALSE))),IFERROR(0/0,""))</f>
        <v/>
      </c>
      <c r="V503" s="212" t="str">
        <f t="shared" si="5"/>
        <v>RUN-COMB_2022-04-25_RFR-028</v>
      </c>
      <c r="W503" s="51"/>
      <c r="X503" s="51"/>
      <c r="Y503" s="147" t="str">
        <f t="shared" ref="Y503:Z503" si="1006">IF(_xlfn.ISFORMULA(S503),IFERROR(0/0,""),TRUE)</f>
        <v/>
      </c>
      <c r="Z503" s="147" t="str">
        <f t="shared" si="1006"/>
        <v/>
      </c>
    </row>
    <row r="504">
      <c r="A504" s="6" t="str">
        <f>IFERROR(__xludf.DUMMYFUNCTION("""COMPUTED_VALUE"""),"FM4109")</f>
        <v>FM4109</v>
      </c>
      <c r="B504" s="206">
        <f>IFERROR(__xludf.DUMMYFUNCTION("""COMPUTED_VALUE"""),44676.0)</f>
        <v>44676</v>
      </c>
      <c r="C504" s="207">
        <f>IFERROR(__xludf.DUMMYFUNCTION("""COMPUTED_VALUE"""),0.6801736111111111)</f>
        <v>0.6801736111</v>
      </c>
      <c r="D504" s="50"/>
      <c r="E504" s="58"/>
      <c r="F504" s="58"/>
      <c r="G504" s="58" t="str">
        <f>IFERROR(__xludf.DUMMYFUNCTION("""COMPUTED_VALUE"""),"Negative")</f>
        <v>Negative</v>
      </c>
      <c r="H504" s="206" t="str">
        <f>IFERROR(__xludf.DUMMYFUNCTION("""COMPUTED_VALUE"""),"Negative")</f>
        <v>Negative</v>
      </c>
      <c r="I504" s="207">
        <f>IFERROR(__xludf.DUMMYFUNCTION("""COMPUTED_VALUE"""),44676.0)</f>
        <v>44676</v>
      </c>
      <c r="J504" s="208">
        <f>IFERROR(__xludf.DUMMYFUNCTION("""COMPUTED_VALUE"""),0.8258101851851852)</f>
        <v>0.8258101852</v>
      </c>
      <c r="K504" s="50"/>
      <c r="L504" s="6"/>
      <c r="M504" s="55"/>
      <c r="N504" s="55">
        <f>IFERROR(__xludf.DUMMYFUNCTION("""COMPUTED_VALUE"""),1.0)</f>
        <v>1</v>
      </c>
      <c r="O504" s="55" t="str">
        <f t="shared" si="3"/>
        <v/>
      </c>
      <c r="P504" s="209"/>
      <c r="Q504" s="75" t="b">
        <f>VLOOKUP($B504,'Run Reconcile'!B$2:P1679,15,FALSE)</f>
        <v>1</v>
      </c>
      <c r="R504" s="211" t="str">
        <f t="array" ref="R504">IF($Q504, INDEX('Run Reconcile'!A$2:A1679,MATCH(B504,'Run Reconcile'!B$2:B1679,0),1),IFERROR(0/0,""))</f>
        <v>RUN-COMB_2022-04-25_RFR-028</v>
      </c>
      <c r="S504" s="165" t="str">
        <f t="shared" ref="S504:T504" si="1007">IF(COUNTIF(W$2:W1679, $A504) &gt; 0,TRUE,IFERROR(0/0,""))</f>
        <v/>
      </c>
      <c r="T504" s="165" t="str">
        <f t="shared" si="1007"/>
        <v/>
      </c>
      <c r="U504" s="147" t="str">
        <f t="array" ref="U504">IF(ISBLANK($R504), IF($S504,VLOOKUP($B504+1,'RFR Data - preExcl'!$BF$2:$BG1679,2,FALSE),IF($T504,INDEX('RFR Data - preExcl'!$BF$2:$BG1679,MATCH($B504,'RFR Data - preExcl'!$BF$2:$BF1679,0)+1,2),VLOOKUP($B504,'RFR Data - preExcl'!$BF$2:$BG1679,2,FALSE))),IFERROR(0/0,""))</f>
        <v/>
      </c>
      <c r="V504" s="212" t="str">
        <f t="shared" si="5"/>
        <v>RUN-COMB_2022-04-25_RFR-028</v>
      </c>
      <c r="W504" s="51"/>
      <c r="X504" s="51"/>
      <c r="Y504" s="147" t="str">
        <f t="shared" ref="Y504:Z504" si="1008">IF(_xlfn.ISFORMULA(S504),IFERROR(0/0,""),TRUE)</f>
        <v/>
      </c>
      <c r="Z504" s="147" t="str">
        <f t="shared" si="1008"/>
        <v/>
      </c>
    </row>
    <row r="505">
      <c r="A505" s="6" t="str">
        <f>IFERROR(__xludf.DUMMYFUNCTION("""COMPUTED_VALUE"""),"FM4114")</f>
        <v>FM4114</v>
      </c>
      <c r="B505" s="206">
        <f>IFERROR(__xludf.DUMMYFUNCTION("""COMPUTED_VALUE"""),44676.0)</f>
        <v>44676</v>
      </c>
      <c r="C505" s="207">
        <f>IFERROR(__xludf.DUMMYFUNCTION("""COMPUTED_VALUE"""),0.6884143518518518)</f>
        <v>0.6884143519</v>
      </c>
      <c r="D505" s="50"/>
      <c r="E505" s="58"/>
      <c r="F505" s="58"/>
      <c r="G505" s="58" t="str">
        <f>IFERROR(__xludf.DUMMYFUNCTION("""COMPUTED_VALUE"""),"Negative")</f>
        <v>Negative</v>
      </c>
      <c r="H505" s="206" t="str">
        <f>IFERROR(__xludf.DUMMYFUNCTION("""COMPUTED_VALUE"""),"Negative")</f>
        <v>Negative</v>
      </c>
      <c r="I505" s="207">
        <f>IFERROR(__xludf.DUMMYFUNCTION("""COMPUTED_VALUE"""),44676.0)</f>
        <v>44676</v>
      </c>
      <c r="J505" s="208">
        <f>IFERROR(__xludf.DUMMYFUNCTION("""COMPUTED_VALUE"""),0.8258101851851852)</f>
        <v>0.8258101852</v>
      </c>
      <c r="K505" s="50"/>
      <c r="L505" s="6"/>
      <c r="M505" s="55"/>
      <c r="N505" s="55">
        <f>IFERROR(__xludf.DUMMYFUNCTION("""COMPUTED_VALUE"""),1.0)</f>
        <v>1</v>
      </c>
      <c r="O505" s="55" t="str">
        <f t="shared" si="3"/>
        <v/>
      </c>
      <c r="P505" s="209"/>
      <c r="Q505" s="75" t="b">
        <f>VLOOKUP($B505,'Run Reconcile'!B$2:P1679,15,FALSE)</f>
        <v>1</v>
      </c>
      <c r="R505" s="211" t="str">
        <f t="array" ref="R505">IF($Q505, INDEX('Run Reconcile'!A$2:A1679,MATCH(B505,'Run Reconcile'!B$2:B1679,0),1),IFERROR(0/0,""))</f>
        <v>RUN-COMB_2022-04-25_RFR-028</v>
      </c>
      <c r="S505" s="165" t="str">
        <f t="shared" ref="S505:T505" si="1009">IF(COUNTIF(W$2:W1679, $A505) &gt; 0,TRUE,IFERROR(0/0,""))</f>
        <v/>
      </c>
      <c r="T505" s="165" t="str">
        <f t="shared" si="1009"/>
        <v/>
      </c>
      <c r="U505" s="147" t="str">
        <f t="array" ref="U505">IF(ISBLANK($R505), IF($S505,VLOOKUP($B505+1,'RFR Data - preExcl'!$BF$2:$BG1679,2,FALSE),IF($T505,INDEX('RFR Data - preExcl'!$BF$2:$BG1679,MATCH($B505,'RFR Data - preExcl'!$BF$2:$BF1679,0)+1,2),VLOOKUP($B505,'RFR Data - preExcl'!$BF$2:$BG1679,2,FALSE))),IFERROR(0/0,""))</f>
        <v/>
      </c>
      <c r="V505" s="212" t="str">
        <f t="shared" si="5"/>
        <v>RUN-COMB_2022-04-25_RFR-028</v>
      </c>
      <c r="W505" s="51"/>
      <c r="X505" s="51"/>
      <c r="Y505" s="147" t="str">
        <f t="shared" ref="Y505:Z505" si="1010">IF(_xlfn.ISFORMULA(S505),IFERROR(0/0,""),TRUE)</f>
        <v/>
      </c>
      <c r="Z505" s="147" t="str">
        <f t="shared" si="1010"/>
        <v/>
      </c>
    </row>
    <row r="506">
      <c r="A506" s="6" t="str">
        <f>IFERROR(__xludf.DUMMYFUNCTION("""COMPUTED_VALUE"""),"FM4140")</f>
        <v>FM4140</v>
      </c>
      <c r="B506" s="206">
        <f>IFERROR(__xludf.DUMMYFUNCTION("""COMPUTED_VALUE"""),44676.0)</f>
        <v>44676</v>
      </c>
      <c r="C506" s="207">
        <f>IFERROR(__xludf.DUMMYFUNCTION("""COMPUTED_VALUE"""),0.6905324074074074)</f>
        <v>0.6905324074</v>
      </c>
      <c r="D506" s="50"/>
      <c r="E506" s="58"/>
      <c r="F506" s="58"/>
      <c r="G506" s="58" t="str">
        <f>IFERROR(__xludf.DUMMYFUNCTION("""COMPUTED_VALUE"""),"Negative")</f>
        <v>Negative</v>
      </c>
      <c r="H506" s="206" t="str">
        <f>IFERROR(__xludf.DUMMYFUNCTION("""COMPUTED_VALUE"""),"Negative")</f>
        <v>Negative</v>
      </c>
      <c r="I506" s="207">
        <f>IFERROR(__xludf.DUMMYFUNCTION("""COMPUTED_VALUE"""),44676.0)</f>
        <v>44676</v>
      </c>
      <c r="J506" s="208">
        <f>IFERROR(__xludf.DUMMYFUNCTION("""COMPUTED_VALUE"""),0.8258217592592593)</f>
        <v>0.8258217593</v>
      </c>
      <c r="K506" s="50"/>
      <c r="L506" s="6"/>
      <c r="M506" s="55"/>
      <c r="N506" s="55">
        <f>IFERROR(__xludf.DUMMYFUNCTION("""COMPUTED_VALUE"""),1.0)</f>
        <v>1</v>
      </c>
      <c r="O506" s="55" t="str">
        <f t="shared" si="3"/>
        <v/>
      </c>
      <c r="P506" s="209"/>
      <c r="Q506" s="75" t="b">
        <f>VLOOKUP($B506,'Run Reconcile'!B$2:P1679,15,FALSE)</f>
        <v>1</v>
      </c>
      <c r="R506" s="211" t="str">
        <f t="array" ref="R506">IF($Q506, INDEX('Run Reconcile'!A$2:A1679,MATCH(B506,'Run Reconcile'!B$2:B1679,0),1),IFERROR(0/0,""))</f>
        <v>RUN-COMB_2022-04-25_RFR-028</v>
      </c>
      <c r="S506" s="165" t="str">
        <f t="shared" ref="S506:T506" si="1011">IF(COUNTIF(W$2:W1679, $A506) &gt; 0,TRUE,IFERROR(0/0,""))</f>
        <v/>
      </c>
      <c r="T506" s="165" t="str">
        <f t="shared" si="1011"/>
        <v/>
      </c>
      <c r="U506" s="147" t="str">
        <f t="array" ref="U506">IF(ISBLANK($R506), IF($S506,VLOOKUP($B506+1,'RFR Data - preExcl'!$BF$2:$BG1679,2,FALSE),IF($T506,INDEX('RFR Data - preExcl'!$BF$2:$BG1679,MATCH($B506,'RFR Data - preExcl'!$BF$2:$BF1679,0)+1,2),VLOOKUP($B506,'RFR Data - preExcl'!$BF$2:$BG1679,2,FALSE))),IFERROR(0/0,""))</f>
        <v/>
      </c>
      <c r="V506" s="212" t="str">
        <f t="shared" si="5"/>
        <v>RUN-COMB_2022-04-25_RFR-028</v>
      </c>
      <c r="W506" s="51"/>
      <c r="X506" s="51"/>
      <c r="Y506" s="147" t="str">
        <f t="shared" ref="Y506:Z506" si="1012">IF(_xlfn.ISFORMULA(S506),IFERROR(0/0,""),TRUE)</f>
        <v/>
      </c>
      <c r="Z506" s="147" t="str">
        <f t="shared" si="1012"/>
        <v/>
      </c>
    </row>
    <row r="507">
      <c r="A507" s="6" t="str">
        <f>IFERROR(__xludf.DUMMYFUNCTION("""COMPUTED_VALUE"""),"FM4137")</f>
        <v>FM4137</v>
      </c>
      <c r="B507" s="206">
        <f>IFERROR(__xludf.DUMMYFUNCTION("""COMPUTED_VALUE"""),44676.0)</f>
        <v>44676</v>
      </c>
      <c r="C507" s="207">
        <f>IFERROR(__xludf.DUMMYFUNCTION("""COMPUTED_VALUE"""),0.6912962962962963)</f>
        <v>0.6912962963</v>
      </c>
      <c r="D507" s="50"/>
      <c r="E507" s="58"/>
      <c r="F507" s="58"/>
      <c r="G507" s="58" t="str">
        <f>IFERROR(__xludf.DUMMYFUNCTION("""COMPUTED_VALUE"""),"Negative")</f>
        <v>Negative</v>
      </c>
      <c r="H507" s="206" t="str">
        <f>IFERROR(__xludf.DUMMYFUNCTION("""COMPUTED_VALUE"""),"Negative")</f>
        <v>Negative</v>
      </c>
      <c r="I507" s="207">
        <f>IFERROR(__xludf.DUMMYFUNCTION("""COMPUTED_VALUE"""),44676.0)</f>
        <v>44676</v>
      </c>
      <c r="J507" s="208">
        <f>IFERROR(__xludf.DUMMYFUNCTION("""COMPUTED_VALUE"""),0.8258217592592593)</f>
        <v>0.8258217593</v>
      </c>
      <c r="K507" s="50"/>
      <c r="L507" s="6"/>
      <c r="M507" s="55"/>
      <c r="N507" s="55">
        <f>IFERROR(__xludf.DUMMYFUNCTION("""COMPUTED_VALUE"""),1.0)</f>
        <v>1</v>
      </c>
      <c r="O507" s="55" t="str">
        <f t="shared" si="3"/>
        <v/>
      </c>
      <c r="P507" s="209"/>
      <c r="Q507" s="75" t="b">
        <f>VLOOKUP($B507,'Run Reconcile'!B$2:P1679,15,FALSE)</f>
        <v>1</v>
      </c>
      <c r="R507" s="211" t="str">
        <f t="array" ref="R507">IF($Q507, INDEX('Run Reconcile'!A$2:A1679,MATCH(B507,'Run Reconcile'!B$2:B1679,0),1),IFERROR(0/0,""))</f>
        <v>RUN-COMB_2022-04-25_RFR-028</v>
      </c>
      <c r="S507" s="165" t="str">
        <f t="shared" ref="S507:T507" si="1013">IF(COUNTIF(W$2:W1679, $A507) &gt; 0,TRUE,IFERROR(0/0,""))</f>
        <v/>
      </c>
      <c r="T507" s="165" t="str">
        <f t="shared" si="1013"/>
        <v/>
      </c>
      <c r="U507" s="147" t="str">
        <f t="array" ref="U507">IF(ISBLANK($R507), IF($S507,VLOOKUP($B507+1,'RFR Data - preExcl'!$BF$2:$BG1679,2,FALSE),IF($T507,INDEX('RFR Data - preExcl'!$BF$2:$BG1679,MATCH($B507,'RFR Data - preExcl'!$BF$2:$BF1679,0)+1,2),VLOOKUP($B507,'RFR Data - preExcl'!$BF$2:$BG1679,2,FALSE))),IFERROR(0/0,""))</f>
        <v/>
      </c>
      <c r="V507" s="212" t="str">
        <f t="shared" si="5"/>
        <v>RUN-COMB_2022-04-25_RFR-028</v>
      </c>
      <c r="W507" s="51"/>
      <c r="X507" s="51"/>
      <c r="Y507" s="147" t="str">
        <f t="shared" ref="Y507:Z507" si="1014">IF(_xlfn.ISFORMULA(S507),IFERROR(0/0,""),TRUE)</f>
        <v/>
      </c>
      <c r="Z507" s="147" t="str">
        <f t="shared" si="1014"/>
        <v/>
      </c>
    </row>
    <row r="508">
      <c r="A508" s="6" t="str">
        <f>IFERROR(__xludf.DUMMYFUNCTION("""COMPUTED_VALUE"""),"FM4050")</f>
        <v>FM4050</v>
      </c>
      <c r="B508" s="206">
        <f>IFERROR(__xludf.DUMMYFUNCTION("""COMPUTED_VALUE"""),44676.0)</f>
        <v>44676</v>
      </c>
      <c r="C508" s="207">
        <f>IFERROR(__xludf.DUMMYFUNCTION("""COMPUTED_VALUE"""),0.6918402777777778)</f>
        <v>0.6918402778</v>
      </c>
      <c r="D508" s="50"/>
      <c r="E508" s="58"/>
      <c r="F508" s="58"/>
      <c r="G508" s="58" t="str">
        <f>IFERROR(__xludf.DUMMYFUNCTION("""COMPUTED_VALUE"""),"Negative")</f>
        <v>Negative</v>
      </c>
      <c r="H508" s="206" t="str">
        <f>IFERROR(__xludf.DUMMYFUNCTION("""COMPUTED_VALUE"""),"Negative")</f>
        <v>Negative</v>
      </c>
      <c r="I508" s="207">
        <f>IFERROR(__xludf.DUMMYFUNCTION("""COMPUTED_VALUE"""),44676.0)</f>
        <v>44676</v>
      </c>
      <c r="J508" s="208">
        <f>IFERROR(__xludf.DUMMYFUNCTION("""COMPUTED_VALUE"""),0.8258333333333333)</f>
        <v>0.8258333333</v>
      </c>
      <c r="K508" s="50"/>
      <c r="L508" s="6"/>
      <c r="M508" s="55"/>
      <c r="N508" s="55">
        <f>IFERROR(__xludf.DUMMYFUNCTION("""COMPUTED_VALUE"""),1.0)</f>
        <v>1</v>
      </c>
      <c r="O508" s="55" t="str">
        <f t="shared" si="3"/>
        <v/>
      </c>
      <c r="P508" s="209"/>
      <c r="Q508" s="75" t="b">
        <f>VLOOKUP($B508,'Run Reconcile'!B$2:P1679,15,FALSE)</f>
        <v>1</v>
      </c>
      <c r="R508" s="211" t="str">
        <f t="array" ref="R508">IF($Q508, INDEX('Run Reconcile'!A$2:A1679,MATCH(B508,'Run Reconcile'!B$2:B1679,0),1),IFERROR(0/0,""))</f>
        <v>RUN-COMB_2022-04-25_RFR-028</v>
      </c>
      <c r="S508" s="165" t="str">
        <f t="shared" ref="S508:T508" si="1015">IF(COUNTIF(W$2:W1679, $A508) &gt; 0,TRUE,IFERROR(0/0,""))</f>
        <v/>
      </c>
      <c r="T508" s="165" t="str">
        <f t="shared" si="1015"/>
        <v/>
      </c>
      <c r="U508" s="147" t="str">
        <f t="array" ref="U508">IF(ISBLANK($R508), IF($S508,VLOOKUP($B508+1,'RFR Data - preExcl'!$BF$2:$BG1679,2,FALSE),IF($T508,INDEX('RFR Data - preExcl'!$BF$2:$BG1679,MATCH($B508,'RFR Data - preExcl'!$BF$2:$BF1679,0)+1,2),VLOOKUP($B508,'RFR Data - preExcl'!$BF$2:$BG1679,2,FALSE))),IFERROR(0/0,""))</f>
        <v/>
      </c>
      <c r="V508" s="212" t="str">
        <f t="shared" si="5"/>
        <v>RUN-COMB_2022-04-25_RFR-028</v>
      </c>
      <c r="W508" s="51"/>
      <c r="X508" s="51"/>
      <c r="Y508" s="147" t="str">
        <f t="shared" ref="Y508:Z508" si="1016">IF(_xlfn.ISFORMULA(S508),IFERROR(0/0,""),TRUE)</f>
        <v/>
      </c>
      <c r="Z508" s="147" t="str">
        <f t="shared" si="1016"/>
        <v/>
      </c>
    </row>
    <row r="509">
      <c r="A509" s="6" t="str">
        <f>IFERROR(__xludf.DUMMYFUNCTION("""COMPUTED_VALUE"""),"FM4052")</f>
        <v>FM4052</v>
      </c>
      <c r="B509" s="206">
        <f>IFERROR(__xludf.DUMMYFUNCTION("""COMPUTED_VALUE"""),44676.0)</f>
        <v>44676</v>
      </c>
      <c r="C509" s="207">
        <f>IFERROR(__xludf.DUMMYFUNCTION("""COMPUTED_VALUE"""),0.6932060185185185)</f>
        <v>0.6932060185</v>
      </c>
      <c r="D509" s="50"/>
      <c r="E509" s="58"/>
      <c r="F509" s="58"/>
      <c r="G509" s="58" t="str">
        <f>IFERROR(__xludf.DUMMYFUNCTION("""COMPUTED_VALUE"""),"Negative")</f>
        <v>Negative</v>
      </c>
      <c r="H509" s="206" t="str">
        <f>IFERROR(__xludf.DUMMYFUNCTION("""COMPUTED_VALUE"""),"Negative")</f>
        <v>Negative</v>
      </c>
      <c r="I509" s="207">
        <f>IFERROR(__xludf.DUMMYFUNCTION("""COMPUTED_VALUE"""),44676.0)</f>
        <v>44676</v>
      </c>
      <c r="J509" s="208">
        <f>IFERROR(__xludf.DUMMYFUNCTION("""COMPUTED_VALUE"""),0.8479513888888889)</f>
        <v>0.8479513889</v>
      </c>
      <c r="K509" s="50"/>
      <c r="L509" s="6"/>
      <c r="M509" s="55"/>
      <c r="N509" s="55">
        <f>IFERROR(__xludf.DUMMYFUNCTION("""COMPUTED_VALUE"""),1.0)</f>
        <v>1</v>
      </c>
      <c r="O509" s="55" t="str">
        <f t="shared" si="3"/>
        <v/>
      </c>
      <c r="P509" s="209"/>
      <c r="Q509" s="75" t="b">
        <f>VLOOKUP($B509,'Run Reconcile'!B$2:P1679,15,FALSE)</f>
        <v>1</v>
      </c>
      <c r="R509" s="211" t="str">
        <f t="array" ref="R509">IF($Q509, INDEX('Run Reconcile'!A$2:A1679,MATCH(B509,'Run Reconcile'!B$2:B1679,0),1),IFERROR(0/0,""))</f>
        <v>RUN-COMB_2022-04-25_RFR-028</v>
      </c>
      <c r="S509" s="165" t="str">
        <f t="shared" ref="S509:T509" si="1017">IF(COUNTIF(W$2:W1679, $A509) &gt; 0,TRUE,IFERROR(0/0,""))</f>
        <v/>
      </c>
      <c r="T509" s="165" t="str">
        <f t="shared" si="1017"/>
        <v/>
      </c>
      <c r="U509" s="147" t="str">
        <f t="array" ref="U509">IF(ISBLANK($R509), IF($S509,VLOOKUP($B509+1,'RFR Data - preExcl'!$BF$2:$BG1679,2,FALSE),IF($T509,INDEX('RFR Data - preExcl'!$BF$2:$BG1679,MATCH($B509,'RFR Data - preExcl'!$BF$2:$BF1679,0)+1,2),VLOOKUP($B509,'RFR Data - preExcl'!$BF$2:$BG1679,2,FALSE))),IFERROR(0/0,""))</f>
        <v/>
      </c>
      <c r="V509" s="212" t="str">
        <f t="shared" si="5"/>
        <v>RUN-COMB_2022-04-25_RFR-028</v>
      </c>
      <c r="W509" s="51"/>
      <c r="X509" s="51"/>
      <c r="Y509" s="147" t="str">
        <f t="shared" ref="Y509:Z509" si="1018">IF(_xlfn.ISFORMULA(S509),IFERROR(0/0,""),TRUE)</f>
        <v/>
      </c>
      <c r="Z509" s="147" t="str">
        <f t="shared" si="1018"/>
        <v/>
      </c>
    </row>
    <row r="510">
      <c r="A510" s="6" t="str">
        <f>IFERROR(__xludf.DUMMYFUNCTION("""COMPUTED_VALUE"""),"FM4023")</f>
        <v>FM4023</v>
      </c>
      <c r="B510" s="206">
        <f>IFERROR(__xludf.DUMMYFUNCTION("""COMPUTED_VALUE"""),44676.0)</f>
        <v>44676</v>
      </c>
      <c r="C510" s="207">
        <f>IFERROR(__xludf.DUMMYFUNCTION("""COMPUTED_VALUE"""),0.6940393518518518)</f>
        <v>0.6940393519</v>
      </c>
      <c r="D510" s="50"/>
      <c r="E510" s="58"/>
      <c r="F510" s="58"/>
      <c r="G510" s="58" t="str">
        <f>IFERROR(__xludf.DUMMYFUNCTION("""COMPUTED_VALUE"""),"Negative")</f>
        <v>Negative</v>
      </c>
      <c r="H510" s="206" t="str">
        <f>IFERROR(__xludf.DUMMYFUNCTION("""COMPUTED_VALUE"""),"Negative")</f>
        <v>Negative</v>
      </c>
      <c r="I510" s="207">
        <f>IFERROR(__xludf.DUMMYFUNCTION("""COMPUTED_VALUE"""),44676.0)</f>
        <v>44676</v>
      </c>
      <c r="J510" s="208">
        <f>IFERROR(__xludf.DUMMYFUNCTION("""COMPUTED_VALUE"""),0.8258333333333333)</f>
        <v>0.8258333333</v>
      </c>
      <c r="K510" s="50"/>
      <c r="L510" s="6"/>
      <c r="M510" s="55"/>
      <c r="N510" s="55">
        <f>IFERROR(__xludf.DUMMYFUNCTION("""COMPUTED_VALUE"""),1.0)</f>
        <v>1</v>
      </c>
      <c r="O510" s="55" t="str">
        <f t="shared" si="3"/>
        <v/>
      </c>
      <c r="P510" s="209"/>
      <c r="Q510" s="75" t="b">
        <f>VLOOKUP($B510,'Run Reconcile'!B$2:P1679,15,FALSE)</f>
        <v>1</v>
      </c>
      <c r="R510" s="211" t="str">
        <f t="array" ref="R510">IF($Q510, INDEX('Run Reconcile'!A$2:A1679,MATCH(B510,'Run Reconcile'!B$2:B1679,0),1),IFERROR(0/0,""))</f>
        <v>RUN-COMB_2022-04-25_RFR-028</v>
      </c>
      <c r="S510" s="165" t="str">
        <f t="shared" ref="S510:T510" si="1019">IF(COUNTIF(W$2:W1679, $A510) &gt; 0,TRUE,IFERROR(0/0,""))</f>
        <v/>
      </c>
      <c r="T510" s="165" t="str">
        <f t="shared" si="1019"/>
        <v/>
      </c>
      <c r="U510" s="147" t="str">
        <f t="array" ref="U510">IF(ISBLANK($R510), IF($S510,VLOOKUP($B510+1,'RFR Data - preExcl'!$BF$2:$BG1679,2,FALSE),IF($T510,INDEX('RFR Data - preExcl'!$BF$2:$BG1679,MATCH($B510,'RFR Data - preExcl'!$BF$2:$BF1679,0)+1,2),VLOOKUP($B510,'RFR Data - preExcl'!$BF$2:$BG1679,2,FALSE))),IFERROR(0/0,""))</f>
        <v/>
      </c>
      <c r="V510" s="212" t="str">
        <f t="shared" si="5"/>
        <v>RUN-COMB_2022-04-25_RFR-028</v>
      </c>
      <c r="W510" s="51"/>
      <c r="X510" s="51"/>
      <c r="Y510" s="147" t="str">
        <f t="shared" ref="Y510:Z510" si="1020">IF(_xlfn.ISFORMULA(S510),IFERROR(0/0,""),TRUE)</f>
        <v/>
      </c>
      <c r="Z510" s="147" t="str">
        <f t="shared" si="1020"/>
        <v/>
      </c>
    </row>
    <row r="511">
      <c r="A511" s="6" t="str">
        <f>IFERROR(__xludf.DUMMYFUNCTION("""COMPUTED_VALUE"""),"FM4038")</f>
        <v>FM4038</v>
      </c>
      <c r="B511" s="206">
        <f>IFERROR(__xludf.DUMMYFUNCTION("""COMPUTED_VALUE"""),44676.0)</f>
        <v>44676</v>
      </c>
      <c r="C511" s="207">
        <f>IFERROR(__xludf.DUMMYFUNCTION("""COMPUTED_VALUE"""),0.6947106481481482)</f>
        <v>0.6947106481</v>
      </c>
      <c r="D511" s="50"/>
      <c r="E511" s="58"/>
      <c r="F511" s="58"/>
      <c r="G511" s="58" t="str">
        <f>IFERROR(__xludf.DUMMYFUNCTION("""COMPUTED_VALUE"""),"Negative")</f>
        <v>Negative</v>
      </c>
      <c r="H511" s="206" t="str">
        <f>IFERROR(__xludf.DUMMYFUNCTION("""COMPUTED_VALUE"""),"Negative")</f>
        <v>Negative</v>
      </c>
      <c r="I511" s="207">
        <f>IFERROR(__xludf.DUMMYFUNCTION("""COMPUTED_VALUE"""),44676.0)</f>
        <v>44676</v>
      </c>
      <c r="J511" s="208">
        <f>IFERROR(__xludf.DUMMYFUNCTION("""COMPUTED_VALUE"""),0.8258449074074075)</f>
        <v>0.8258449074</v>
      </c>
      <c r="K511" s="50"/>
      <c r="L511" s="6"/>
      <c r="M511" s="55"/>
      <c r="N511" s="55">
        <f>IFERROR(__xludf.DUMMYFUNCTION("""COMPUTED_VALUE"""),1.0)</f>
        <v>1</v>
      </c>
      <c r="O511" s="55" t="str">
        <f t="shared" si="3"/>
        <v/>
      </c>
      <c r="P511" s="209"/>
      <c r="Q511" s="75" t="b">
        <f>VLOOKUP($B511,'Run Reconcile'!B$2:P1679,15,FALSE)</f>
        <v>1</v>
      </c>
      <c r="R511" s="211" t="str">
        <f t="array" ref="R511">IF($Q511, INDEX('Run Reconcile'!A$2:A1679,MATCH(B511,'Run Reconcile'!B$2:B1679,0),1),IFERROR(0/0,""))</f>
        <v>RUN-COMB_2022-04-25_RFR-028</v>
      </c>
      <c r="S511" s="165" t="str">
        <f t="shared" ref="S511:T511" si="1021">IF(COUNTIF(W$2:W1679, $A511) &gt; 0,TRUE,IFERROR(0/0,""))</f>
        <v/>
      </c>
      <c r="T511" s="165" t="str">
        <f t="shared" si="1021"/>
        <v/>
      </c>
      <c r="U511" s="147" t="str">
        <f t="array" ref="U511">IF(ISBLANK($R511), IF($S511,VLOOKUP($B511+1,'RFR Data - preExcl'!$BF$2:$BG1679,2,FALSE),IF($T511,INDEX('RFR Data - preExcl'!$BF$2:$BG1679,MATCH($B511,'RFR Data - preExcl'!$BF$2:$BF1679,0)+1,2),VLOOKUP($B511,'RFR Data - preExcl'!$BF$2:$BG1679,2,FALSE))),IFERROR(0/0,""))</f>
        <v/>
      </c>
      <c r="V511" s="212" t="str">
        <f t="shared" si="5"/>
        <v>RUN-COMB_2022-04-25_RFR-028</v>
      </c>
      <c r="W511" s="51"/>
      <c r="X511" s="51"/>
      <c r="Y511" s="147" t="str">
        <f t="shared" ref="Y511:Z511" si="1022">IF(_xlfn.ISFORMULA(S511),IFERROR(0/0,""),TRUE)</f>
        <v/>
      </c>
      <c r="Z511" s="147" t="str">
        <f t="shared" si="1022"/>
        <v/>
      </c>
    </row>
    <row r="512">
      <c r="A512" s="6" t="str">
        <f>IFERROR(__xludf.DUMMYFUNCTION("""COMPUTED_VALUE"""),"FM4102")</f>
        <v>FM4102</v>
      </c>
      <c r="B512" s="206">
        <f>IFERROR(__xludf.DUMMYFUNCTION("""COMPUTED_VALUE"""),44676.0)</f>
        <v>44676</v>
      </c>
      <c r="C512" s="207">
        <f>IFERROR(__xludf.DUMMYFUNCTION("""COMPUTED_VALUE"""),0.695162037037037)</f>
        <v>0.695162037</v>
      </c>
      <c r="D512" s="50"/>
      <c r="E512" s="58"/>
      <c r="F512" s="58"/>
      <c r="G512" s="58" t="str">
        <f>IFERROR(__xludf.DUMMYFUNCTION("""COMPUTED_VALUE"""),"Negative")</f>
        <v>Negative</v>
      </c>
      <c r="H512" s="206" t="str">
        <f>IFERROR(__xludf.DUMMYFUNCTION("""COMPUTED_VALUE"""),"Negative")</f>
        <v>Negative</v>
      </c>
      <c r="I512" s="207">
        <f>IFERROR(__xludf.DUMMYFUNCTION("""COMPUTED_VALUE"""),44676.0)</f>
        <v>44676</v>
      </c>
      <c r="J512" s="208">
        <f>IFERROR(__xludf.DUMMYFUNCTION("""COMPUTED_VALUE"""),0.8258564814814815)</f>
        <v>0.8258564815</v>
      </c>
      <c r="K512" s="50"/>
      <c r="L512" s="6"/>
      <c r="M512" s="55"/>
      <c r="N512" s="55">
        <f>IFERROR(__xludf.DUMMYFUNCTION("""COMPUTED_VALUE"""),1.0)</f>
        <v>1</v>
      </c>
      <c r="O512" s="55" t="str">
        <f t="shared" si="3"/>
        <v/>
      </c>
      <c r="P512" s="209"/>
      <c r="Q512" s="75" t="b">
        <f>VLOOKUP($B512,'Run Reconcile'!B$2:P1679,15,FALSE)</f>
        <v>1</v>
      </c>
      <c r="R512" s="211" t="str">
        <f t="array" ref="R512">IF($Q512, INDEX('Run Reconcile'!A$2:A1679,MATCH(B512,'Run Reconcile'!B$2:B1679,0),1),IFERROR(0/0,""))</f>
        <v>RUN-COMB_2022-04-25_RFR-028</v>
      </c>
      <c r="S512" s="165" t="str">
        <f t="shared" ref="S512:T512" si="1023">IF(COUNTIF(W$2:W1679, $A512) &gt; 0,TRUE,IFERROR(0/0,""))</f>
        <v/>
      </c>
      <c r="T512" s="165" t="str">
        <f t="shared" si="1023"/>
        <v/>
      </c>
      <c r="U512" s="147" t="str">
        <f t="array" ref="U512">IF(ISBLANK($R512), IF($S512,VLOOKUP($B512+1,'RFR Data - preExcl'!$BF$2:$BG1679,2,FALSE),IF($T512,INDEX('RFR Data - preExcl'!$BF$2:$BG1679,MATCH($B512,'RFR Data - preExcl'!$BF$2:$BF1679,0)+1,2),VLOOKUP($B512,'RFR Data - preExcl'!$BF$2:$BG1679,2,FALSE))),IFERROR(0/0,""))</f>
        <v/>
      </c>
      <c r="V512" s="212" t="str">
        <f t="shared" si="5"/>
        <v>RUN-COMB_2022-04-25_RFR-028</v>
      </c>
      <c r="W512" s="51"/>
      <c r="X512" s="51"/>
      <c r="Y512" s="147" t="str">
        <f t="shared" ref="Y512:Z512" si="1024">IF(_xlfn.ISFORMULA(S512),IFERROR(0/0,""),TRUE)</f>
        <v/>
      </c>
      <c r="Z512" s="147" t="str">
        <f t="shared" si="1024"/>
        <v/>
      </c>
    </row>
    <row r="513">
      <c r="A513" s="6" t="str">
        <f>IFERROR(__xludf.DUMMYFUNCTION("""COMPUTED_VALUE"""),"FM4053")</f>
        <v>FM4053</v>
      </c>
      <c r="B513" s="206">
        <f>IFERROR(__xludf.DUMMYFUNCTION("""COMPUTED_VALUE"""),44676.0)</f>
        <v>44676</v>
      </c>
      <c r="C513" s="207">
        <f>IFERROR(__xludf.DUMMYFUNCTION("""COMPUTED_VALUE"""),0.6958101851851852)</f>
        <v>0.6958101852</v>
      </c>
      <c r="D513" s="50"/>
      <c r="E513" s="58"/>
      <c r="F513" s="58"/>
      <c r="G513" s="58" t="str">
        <f>IFERROR(__xludf.DUMMYFUNCTION("""COMPUTED_VALUE"""),"Negative")</f>
        <v>Negative</v>
      </c>
      <c r="H513" s="206" t="str">
        <f>IFERROR(__xludf.DUMMYFUNCTION("""COMPUTED_VALUE"""),"Negative")</f>
        <v>Negative</v>
      </c>
      <c r="I513" s="207">
        <f>IFERROR(__xludf.DUMMYFUNCTION("""COMPUTED_VALUE"""),44676.0)</f>
        <v>44676</v>
      </c>
      <c r="J513" s="208">
        <f>IFERROR(__xludf.DUMMYFUNCTION("""COMPUTED_VALUE"""),0.8258564814814815)</f>
        <v>0.8258564815</v>
      </c>
      <c r="K513" s="50"/>
      <c r="L513" s="6"/>
      <c r="M513" s="55"/>
      <c r="N513" s="55">
        <f>IFERROR(__xludf.DUMMYFUNCTION("""COMPUTED_VALUE"""),1.0)</f>
        <v>1</v>
      </c>
      <c r="O513" s="55" t="str">
        <f t="shared" si="3"/>
        <v/>
      </c>
      <c r="P513" s="209"/>
      <c r="Q513" s="75" t="b">
        <f>VLOOKUP($B513,'Run Reconcile'!B$2:P1679,15,FALSE)</f>
        <v>1</v>
      </c>
      <c r="R513" s="211" t="str">
        <f t="array" ref="R513">IF($Q513, INDEX('Run Reconcile'!A$2:A1679,MATCH(B513,'Run Reconcile'!B$2:B1679,0),1),IFERROR(0/0,""))</f>
        <v>RUN-COMB_2022-04-25_RFR-028</v>
      </c>
      <c r="S513" s="165" t="str">
        <f t="shared" ref="S513:T513" si="1025">IF(COUNTIF(W$2:W1679, $A513) &gt; 0,TRUE,IFERROR(0/0,""))</f>
        <v/>
      </c>
      <c r="T513" s="165" t="str">
        <f t="shared" si="1025"/>
        <v/>
      </c>
      <c r="U513" s="147" t="str">
        <f t="array" ref="U513">IF(ISBLANK($R513), IF($S513,VLOOKUP($B513+1,'RFR Data - preExcl'!$BF$2:$BG1679,2,FALSE),IF($T513,INDEX('RFR Data - preExcl'!$BF$2:$BG1679,MATCH($B513,'RFR Data - preExcl'!$BF$2:$BF1679,0)+1,2),VLOOKUP($B513,'RFR Data - preExcl'!$BF$2:$BG1679,2,FALSE))),IFERROR(0/0,""))</f>
        <v/>
      </c>
      <c r="V513" s="212" t="str">
        <f t="shared" si="5"/>
        <v>RUN-COMB_2022-04-25_RFR-028</v>
      </c>
      <c r="W513" s="51"/>
      <c r="X513" s="51"/>
      <c r="Y513" s="147" t="str">
        <f t="shared" ref="Y513:Z513" si="1026">IF(_xlfn.ISFORMULA(S513),IFERROR(0/0,""),TRUE)</f>
        <v/>
      </c>
      <c r="Z513" s="147" t="str">
        <f t="shared" si="1026"/>
        <v/>
      </c>
    </row>
    <row r="514">
      <c r="A514" s="6" t="str">
        <f>IFERROR(__xludf.DUMMYFUNCTION("""COMPUTED_VALUE"""),"FM4123")</f>
        <v>FM4123</v>
      </c>
      <c r="B514" s="206">
        <f>IFERROR(__xludf.DUMMYFUNCTION("""COMPUTED_VALUE"""),44676.0)</f>
        <v>44676</v>
      </c>
      <c r="C514" s="207">
        <f>IFERROR(__xludf.DUMMYFUNCTION("""COMPUTED_VALUE"""),0.6968634259259259)</f>
        <v>0.6968634259</v>
      </c>
      <c r="D514" s="50"/>
      <c r="E514" s="58"/>
      <c r="F514" s="58"/>
      <c r="G514" s="58" t="str">
        <f>IFERROR(__xludf.DUMMYFUNCTION("""COMPUTED_VALUE"""),"Positive")</f>
        <v>Positive</v>
      </c>
      <c r="H514" s="206" t="str">
        <f>IFERROR(__xludf.DUMMYFUNCTION("""COMPUTED_VALUE"""),"Positive")</f>
        <v>Positive</v>
      </c>
      <c r="I514" s="207">
        <f>IFERROR(__xludf.DUMMYFUNCTION("""COMPUTED_VALUE"""),44676.0)</f>
        <v>44676</v>
      </c>
      <c r="J514" s="208">
        <f>IFERROR(__xludf.DUMMYFUNCTION("""COMPUTED_VALUE"""),0.8481944444444445)</f>
        <v>0.8481944444</v>
      </c>
      <c r="K514" s="50"/>
      <c r="L514" s="6"/>
      <c r="M514" s="55"/>
      <c r="N514" s="55">
        <f>IFERROR(__xludf.DUMMYFUNCTION("""COMPUTED_VALUE"""),1.0)</f>
        <v>1</v>
      </c>
      <c r="O514" s="55" t="str">
        <f t="shared" si="3"/>
        <v/>
      </c>
      <c r="P514" s="209"/>
      <c r="Q514" s="75" t="b">
        <f>VLOOKUP($B514,'Run Reconcile'!B$2:P1679,15,FALSE)</f>
        <v>1</v>
      </c>
      <c r="R514" s="211" t="str">
        <f t="array" ref="R514">IF($Q514, INDEX('Run Reconcile'!A$2:A1679,MATCH(B514,'Run Reconcile'!B$2:B1679,0),1),IFERROR(0/0,""))</f>
        <v>RUN-COMB_2022-04-25_RFR-028</v>
      </c>
      <c r="S514" s="165" t="str">
        <f t="shared" ref="S514:T514" si="1027">IF(COUNTIF(W$2:W1679, $A514) &gt; 0,TRUE,IFERROR(0/0,""))</f>
        <v/>
      </c>
      <c r="T514" s="165" t="str">
        <f t="shared" si="1027"/>
        <v/>
      </c>
      <c r="U514" s="147" t="str">
        <f t="array" ref="U514">IF(ISBLANK($R514), IF($S514,VLOOKUP($B514+1,'RFR Data - preExcl'!$BF$2:$BG1679,2,FALSE),IF($T514,INDEX('RFR Data - preExcl'!$BF$2:$BG1679,MATCH($B514,'RFR Data - preExcl'!$BF$2:$BF1679,0)+1,2),VLOOKUP($B514,'RFR Data - preExcl'!$BF$2:$BG1679,2,FALSE))),IFERROR(0/0,""))</f>
        <v/>
      </c>
      <c r="V514" s="212" t="str">
        <f t="shared" si="5"/>
        <v>RUN-COMB_2022-04-25_RFR-028</v>
      </c>
      <c r="W514" s="51"/>
      <c r="X514" s="51"/>
      <c r="Y514" s="147" t="str">
        <f t="shared" ref="Y514:Z514" si="1028">IF(_xlfn.ISFORMULA(S514),IFERROR(0/0,""),TRUE)</f>
        <v/>
      </c>
      <c r="Z514" s="147" t="str">
        <f t="shared" si="1028"/>
        <v/>
      </c>
    </row>
    <row r="515">
      <c r="A515" s="6" t="str">
        <f>IFERROR(__xludf.DUMMYFUNCTION("""COMPUTED_VALUE"""),"FM4112")</f>
        <v>FM4112</v>
      </c>
      <c r="B515" s="206">
        <f>IFERROR(__xludf.DUMMYFUNCTION("""COMPUTED_VALUE"""),44676.0)</f>
        <v>44676</v>
      </c>
      <c r="C515" s="207">
        <f>IFERROR(__xludf.DUMMYFUNCTION("""COMPUTED_VALUE"""),0.7025231481481482)</f>
        <v>0.7025231481</v>
      </c>
      <c r="D515" s="50"/>
      <c r="E515" s="58"/>
      <c r="F515" s="58"/>
      <c r="G515" s="58" t="str">
        <f>IFERROR(__xludf.DUMMYFUNCTION("""COMPUTED_VALUE"""),"Negative")</f>
        <v>Negative</v>
      </c>
      <c r="H515" s="206" t="str">
        <f>IFERROR(__xludf.DUMMYFUNCTION("""COMPUTED_VALUE"""),"Negative")</f>
        <v>Negative</v>
      </c>
      <c r="I515" s="207">
        <f>IFERROR(__xludf.DUMMYFUNCTION("""COMPUTED_VALUE"""),44676.0)</f>
        <v>44676</v>
      </c>
      <c r="J515" s="208">
        <f>IFERROR(__xludf.DUMMYFUNCTION("""COMPUTED_VALUE"""),0.8258680555555555)</f>
        <v>0.8258680556</v>
      </c>
      <c r="K515" s="50"/>
      <c r="L515" s="6"/>
      <c r="M515" s="55"/>
      <c r="N515" s="55">
        <f>IFERROR(__xludf.DUMMYFUNCTION("""COMPUTED_VALUE"""),1.0)</f>
        <v>1</v>
      </c>
      <c r="O515" s="55" t="str">
        <f t="shared" si="3"/>
        <v/>
      </c>
      <c r="P515" s="209"/>
      <c r="Q515" s="75" t="b">
        <f>VLOOKUP($B515,'Run Reconcile'!B$2:P1679,15,FALSE)</f>
        <v>1</v>
      </c>
      <c r="R515" s="211" t="str">
        <f t="array" ref="R515">IF($Q515, INDEX('Run Reconcile'!A$2:A1679,MATCH(B515,'Run Reconcile'!B$2:B1679,0),1),IFERROR(0/0,""))</f>
        <v>RUN-COMB_2022-04-25_RFR-028</v>
      </c>
      <c r="S515" s="165" t="str">
        <f t="shared" ref="S515:T515" si="1029">IF(COUNTIF(W$2:W1679, $A515) &gt; 0,TRUE,IFERROR(0/0,""))</f>
        <v/>
      </c>
      <c r="T515" s="165" t="str">
        <f t="shared" si="1029"/>
        <v/>
      </c>
      <c r="U515" s="147" t="str">
        <f t="array" ref="U515">IF(ISBLANK($R515), IF($S515,VLOOKUP($B515+1,'RFR Data - preExcl'!$BF$2:$BG1679,2,FALSE),IF($T515,INDEX('RFR Data - preExcl'!$BF$2:$BG1679,MATCH($B515,'RFR Data - preExcl'!$BF$2:$BF1679,0)+1,2),VLOOKUP($B515,'RFR Data - preExcl'!$BF$2:$BG1679,2,FALSE))),IFERROR(0/0,""))</f>
        <v/>
      </c>
      <c r="V515" s="212" t="str">
        <f t="shared" si="5"/>
        <v>RUN-COMB_2022-04-25_RFR-028</v>
      </c>
      <c r="W515" s="51"/>
      <c r="X515" s="51"/>
      <c r="Y515" s="147" t="str">
        <f t="shared" ref="Y515:Z515" si="1030">IF(_xlfn.ISFORMULA(S515),IFERROR(0/0,""),TRUE)</f>
        <v/>
      </c>
      <c r="Z515" s="147" t="str">
        <f t="shared" si="1030"/>
        <v/>
      </c>
    </row>
    <row r="516">
      <c r="A516" s="6" t="str">
        <f>IFERROR(__xludf.DUMMYFUNCTION("""COMPUTED_VALUE"""),"FM4088")</f>
        <v>FM4088</v>
      </c>
      <c r="B516" s="206">
        <f>IFERROR(__xludf.DUMMYFUNCTION("""COMPUTED_VALUE"""),44676.0)</f>
        <v>44676</v>
      </c>
      <c r="C516" s="207">
        <f>IFERROR(__xludf.DUMMYFUNCTION("""COMPUTED_VALUE"""),0.7030671296296296)</f>
        <v>0.7030671296</v>
      </c>
      <c r="D516" s="50"/>
      <c r="E516" s="58"/>
      <c r="F516" s="58"/>
      <c r="G516" s="58" t="str">
        <f>IFERROR(__xludf.DUMMYFUNCTION("""COMPUTED_VALUE"""),"Negative")</f>
        <v>Negative</v>
      </c>
      <c r="H516" s="206" t="str">
        <f>IFERROR(__xludf.DUMMYFUNCTION("""COMPUTED_VALUE"""),"Negative")</f>
        <v>Negative</v>
      </c>
      <c r="I516" s="207">
        <f>IFERROR(__xludf.DUMMYFUNCTION("""COMPUTED_VALUE"""),44676.0)</f>
        <v>44676</v>
      </c>
      <c r="J516" s="208">
        <f>IFERROR(__xludf.DUMMYFUNCTION("""COMPUTED_VALUE"""),0.8258680555555555)</f>
        <v>0.8258680556</v>
      </c>
      <c r="K516" s="50"/>
      <c r="L516" s="6"/>
      <c r="M516" s="55"/>
      <c r="N516" s="55">
        <f>IFERROR(__xludf.DUMMYFUNCTION("""COMPUTED_VALUE"""),1.0)</f>
        <v>1</v>
      </c>
      <c r="O516" s="55" t="str">
        <f t="shared" si="3"/>
        <v/>
      </c>
      <c r="P516" s="209"/>
      <c r="Q516" s="75" t="b">
        <f>VLOOKUP($B516,'Run Reconcile'!B$2:P1679,15,FALSE)</f>
        <v>1</v>
      </c>
      <c r="R516" s="211" t="str">
        <f t="array" ref="R516">IF($Q516, INDEX('Run Reconcile'!A$2:A1679,MATCH(B516,'Run Reconcile'!B$2:B1679,0),1),IFERROR(0/0,""))</f>
        <v>RUN-COMB_2022-04-25_RFR-028</v>
      </c>
      <c r="S516" s="165" t="str">
        <f t="shared" ref="S516:T516" si="1031">IF(COUNTIF(W$2:W1679, $A516) &gt; 0,TRUE,IFERROR(0/0,""))</f>
        <v/>
      </c>
      <c r="T516" s="165" t="str">
        <f t="shared" si="1031"/>
        <v/>
      </c>
      <c r="U516" s="147" t="str">
        <f t="array" ref="U516">IF(ISBLANK($R516), IF($S516,VLOOKUP($B516+1,'RFR Data - preExcl'!$BF$2:$BG1679,2,FALSE),IF($T516,INDEX('RFR Data - preExcl'!$BF$2:$BG1679,MATCH($B516,'RFR Data - preExcl'!$BF$2:$BF1679,0)+1,2),VLOOKUP($B516,'RFR Data - preExcl'!$BF$2:$BG1679,2,FALSE))),IFERROR(0/0,""))</f>
        <v/>
      </c>
      <c r="V516" s="212" t="str">
        <f t="shared" si="5"/>
        <v>RUN-COMB_2022-04-25_RFR-028</v>
      </c>
      <c r="W516" s="51"/>
      <c r="X516" s="51"/>
      <c r="Y516" s="147" t="str">
        <f t="shared" ref="Y516:Z516" si="1032">IF(_xlfn.ISFORMULA(S516),IFERROR(0/0,""),TRUE)</f>
        <v/>
      </c>
      <c r="Z516" s="147" t="str">
        <f t="shared" si="1032"/>
        <v/>
      </c>
    </row>
    <row r="517">
      <c r="A517" s="6" t="str">
        <f>IFERROR(__xludf.DUMMYFUNCTION("""COMPUTED_VALUE"""),"FM4031")</f>
        <v>FM4031</v>
      </c>
      <c r="B517" s="206">
        <f>IFERROR(__xludf.DUMMYFUNCTION("""COMPUTED_VALUE"""),44676.0)</f>
        <v>44676</v>
      </c>
      <c r="C517" s="207">
        <f>IFERROR(__xludf.DUMMYFUNCTION("""COMPUTED_VALUE"""),0.7035648148148148)</f>
        <v>0.7035648148</v>
      </c>
      <c r="D517" s="50"/>
      <c r="E517" s="58"/>
      <c r="F517" s="58"/>
      <c r="G517" s="58" t="str">
        <f>IFERROR(__xludf.DUMMYFUNCTION("""COMPUTED_VALUE"""),"Negative")</f>
        <v>Negative</v>
      </c>
      <c r="H517" s="206" t="str">
        <f>IFERROR(__xludf.DUMMYFUNCTION("""COMPUTED_VALUE"""),"Negative")</f>
        <v>Negative</v>
      </c>
      <c r="I517" s="207">
        <f>IFERROR(__xludf.DUMMYFUNCTION("""COMPUTED_VALUE"""),44676.0)</f>
        <v>44676</v>
      </c>
      <c r="J517" s="208">
        <f>IFERROR(__xludf.DUMMYFUNCTION("""COMPUTED_VALUE"""),0.8258796296296296)</f>
        <v>0.8258796296</v>
      </c>
      <c r="K517" s="50"/>
      <c r="L517" s="6"/>
      <c r="M517" s="55"/>
      <c r="N517" s="55">
        <f>IFERROR(__xludf.DUMMYFUNCTION("""COMPUTED_VALUE"""),1.0)</f>
        <v>1</v>
      </c>
      <c r="O517" s="55" t="str">
        <f t="shared" si="3"/>
        <v/>
      </c>
      <c r="P517" s="209"/>
      <c r="Q517" s="75" t="b">
        <f>VLOOKUP($B517,'Run Reconcile'!B$2:P1679,15,FALSE)</f>
        <v>1</v>
      </c>
      <c r="R517" s="211" t="str">
        <f t="array" ref="R517">IF($Q517, INDEX('Run Reconcile'!A$2:A1679,MATCH(B517,'Run Reconcile'!B$2:B1679,0),1),IFERROR(0/0,""))</f>
        <v>RUN-COMB_2022-04-25_RFR-028</v>
      </c>
      <c r="S517" s="165" t="str">
        <f t="shared" ref="S517:T517" si="1033">IF(COUNTIF(W$2:W1679, $A517) &gt; 0,TRUE,IFERROR(0/0,""))</f>
        <v/>
      </c>
      <c r="T517" s="165" t="str">
        <f t="shared" si="1033"/>
        <v/>
      </c>
      <c r="U517" s="147" t="str">
        <f t="array" ref="U517">IF(ISBLANK($R517), IF($S517,VLOOKUP($B517+1,'RFR Data - preExcl'!$BF$2:$BG1679,2,FALSE),IF($T517,INDEX('RFR Data - preExcl'!$BF$2:$BG1679,MATCH($B517,'RFR Data - preExcl'!$BF$2:$BF1679,0)+1,2),VLOOKUP($B517,'RFR Data - preExcl'!$BF$2:$BG1679,2,FALSE))),IFERROR(0/0,""))</f>
        <v/>
      </c>
      <c r="V517" s="212" t="str">
        <f t="shared" si="5"/>
        <v>RUN-COMB_2022-04-25_RFR-028</v>
      </c>
      <c r="W517" s="51"/>
      <c r="X517" s="51"/>
      <c r="Y517" s="147" t="str">
        <f t="shared" ref="Y517:Z517" si="1034">IF(_xlfn.ISFORMULA(S517),IFERROR(0/0,""),TRUE)</f>
        <v/>
      </c>
      <c r="Z517" s="147" t="str">
        <f t="shared" si="1034"/>
        <v/>
      </c>
    </row>
    <row r="518">
      <c r="A518" s="6" t="str">
        <f>IFERROR(__xludf.DUMMYFUNCTION("""COMPUTED_VALUE"""),"FM4083")</f>
        <v>FM4083</v>
      </c>
      <c r="B518" s="206">
        <f>IFERROR(__xludf.DUMMYFUNCTION("""COMPUTED_VALUE"""),44676.0)</f>
        <v>44676</v>
      </c>
      <c r="C518" s="207">
        <f>IFERROR(__xludf.DUMMYFUNCTION("""COMPUTED_VALUE"""),0.7045949074074074)</f>
        <v>0.7045949074</v>
      </c>
      <c r="D518" s="50"/>
      <c r="E518" s="58"/>
      <c r="F518" s="58"/>
      <c r="G518" s="58" t="str">
        <f>IFERROR(__xludf.DUMMYFUNCTION("""COMPUTED_VALUE"""),"Negative")</f>
        <v>Negative</v>
      </c>
      <c r="H518" s="206" t="str">
        <f>IFERROR(__xludf.DUMMYFUNCTION("""COMPUTED_VALUE"""),"Negative")</f>
        <v>Negative</v>
      </c>
      <c r="I518" s="207">
        <f>IFERROR(__xludf.DUMMYFUNCTION("""COMPUTED_VALUE"""),44676.0)</f>
        <v>44676</v>
      </c>
      <c r="J518" s="208">
        <f>IFERROR(__xludf.DUMMYFUNCTION("""COMPUTED_VALUE"""),0.8258796296296296)</f>
        <v>0.8258796296</v>
      </c>
      <c r="K518" s="50"/>
      <c r="L518" s="6"/>
      <c r="M518" s="55"/>
      <c r="N518" s="55">
        <f>IFERROR(__xludf.DUMMYFUNCTION("""COMPUTED_VALUE"""),1.0)</f>
        <v>1</v>
      </c>
      <c r="O518" s="55" t="str">
        <f t="shared" si="3"/>
        <v/>
      </c>
      <c r="P518" s="209"/>
      <c r="Q518" s="75" t="b">
        <f>VLOOKUP($B518,'Run Reconcile'!B$2:P1679,15,FALSE)</f>
        <v>1</v>
      </c>
      <c r="R518" s="211" t="str">
        <f t="array" ref="R518">IF($Q518, INDEX('Run Reconcile'!A$2:A1679,MATCH(B518,'Run Reconcile'!B$2:B1679,0),1),IFERROR(0/0,""))</f>
        <v>RUN-COMB_2022-04-25_RFR-028</v>
      </c>
      <c r="S518" s="165" t="str">
        <f t="shared" ref="S518:T518" si="1035">IF(COUNTIF(W$2:W1679, $A518) &gt; 0,TRUE,IFERROR(0/0,""))</f>
        <v/>
      </c>
      <c r="T518" s="165" t="str">
        <f t="shared" si="1035"/>
        <v/>
      </c>
      <c r="U518" s="147" t="str">
        <f t="array" ref="U518">IF(ISBLANK($R518), IF($S518,VLOOKUP($B518+1,'RFR Data - preExcl'!$BF$2:$BG1679,2,FALSE),IF($T518,INDEX('RFR Data - preExcl'!$BF$2:$BG1679,MATCH($B518,'RFR Data - preExcl'!$BF$2:$BF1679,0)+1,2),VLOOKUP($B518,'RFR Data - preExcl'!$BF$2:$BG1679,2,FALSE))),IFERROR(0/0,""))</f>
        <v/>
      </c>
      <c r="V518" s="212" t="str">
        <f t="shared" si="5"/>
        <v>RUN-COMB_2022-04-25_RFR-028</v>
      </c>
      <c r="W518" s="51"/>
      <c r="X518" s="51"/>
      <c r="Y518" s="147" t="str">
        <f t="shared" ref="Y518:Z518" si="1036">IF(_xlfn.ISFORMULA(S518),IFERROR(0/0,""),TRUE)</f>
        <v/>
      </c>
      <c r="Z518" s="147" t="str">
        <f t="shared" si="1036"/>
        <v/>
      </c>
    </row>
    <row r="519">
      <c r="A519" s="6" t="str">
        <f>IFERROR(__xludf.DUMMYFUNCTION("""COMPUTED_VALUE"""),"FM4110")</f>
        <v>FM4110</v>
      </c>
      <c r="B519" s="206">
        <f>IFERROR(__xludf.DUMMYFUNCTION("""COMPUTED_VALUE"""),44676.0)</f>
        <v>44676</v>
      </c>
      <c r="C519" s="207">
        <f>IFERROR(__xludf.DUMMYFUNCTION("""COMPUTED_VALUE"""),0.7050578703703704)</f>
        <v>0.7050578704</v>
      </c>
      <c r="D519" s="50"/>
      <c r="E519" s="58"/>
      <c r="F519" s="58"/>
      <c r="G519" s="58" t="str">
        <f>IFERROR(__xludf.DUMMYFUNCTION("""COMPUTED_VALUE"""),"Negative")</f>
        <v>Negative</v>
      </c>
      <c r="H519" s="206" t="str">
        <f>IFERROR(__xludf.DUMMYFUNCTION("""COMPUTED_VALUE"""),"Negative")</f>
        <v>Negative</v>
      </c>
      <c r="I519" s="207">
        <f>IFERROR(__xludf.DUMMYFUNCTION("""COMPUTED_VALUE"""),44676.0)</f>
        <v>44676</v>
      </c>
      <c r="J519" s="208">
        <f>IFERROR(__xludf.DUMMYFUNCTION("""COMPUTED_VALUE"""),0.8258912037037037)</f>
        <v>0.8258912037</v>
      </c>
      <c r="K519" s="50"/>
      <c r="L519" s="6"/>
      <c r="M519" s="55"/>
      <c r="N519" s="55">
        <f>IFERROR(__xludf.DUMMYFUNCTION("""COMPUTED_VALUE"""),1.0)</f>
        <v>1</v>
      </c>
      <c r="O519" s="55" t="str">
        <f t="shared" si="3"/>
        <v/>
      </c>
      <c r="P519" s="209"/>
      <c r="Q519" s="75" t="b">
        <f>VLOOKUP($B519,'Run Reconcile'!B$2:P1679,15,FALSE)</f>
        <v>1</v>
      </c>
      <c r="R519" s="211" t="str">
        <f t="array" ref="R519">IF($Q519, INDEX('Run Reconcile'!A$2:A1679,MATCH(B519,'Run Reconcile'!B$2:B1679,0),1),IFERROR(0/0,""))</f>
        <v>RUN-COMB_2022-04-25_RFR-028</v>
      </c>
      <c r="S519" s="165" t="str">
        <f t="shared" ref="S519:T519" si="1037">IF(COUNTIF(W$2:W1679, $A519) &gt; 0,TRUE,IFERROR(0/0,""))</f>
        <v/>
      </c>
      <c r="T519" s="165" t="str">
        <f t="shared" si="1037"/>
        <v/>
      </c>
      <c r="U519" s="147" t="str">
        <f t="array" ref="U519">IF(ISBLANK($R519), IF($S519,VLOOKUP($B519+1,'RFR Data - preExcl'!$BF$2:$BG1679,2,FALSE),IF($T519,INDEX('RFR Data - preExcl'!$BF$2:$BG1679,MATCH($B519,'RFR Data - preExcl'!$BF$2:$BF1679,0)+1,2),VLOOKUP($B519,'RFR Data - preExcl'!$BF$2:$BG1679,2,FALSE))),IFERROR(0/0,""))</f>
        <v/>
      </c>
      <c r="V519" s="212" t="str">
        <f t="shared" si="5"/>
        <v>RUN-COMB_2022-04-25_RFR-028</v>
      </c>
      <c r="W519" s="51"/>
      <c r="X519" s="51"/>
      <c r="Y519" s="147" t="str">
        <f t="shared" ref="Y519:Z519" si="1038">IF(_xlfn.ISFORMULA(S519),IFERROR(0/0,""),TRUE)</f>
        <v/>
      </c>
      <c r="Z519" s="147" t="str">
        <f t="shared" si="1038"/>
        <v/>
      </c>
    </row>
    <row r="520">
      <c r="A520" s="6" t="str">
        <f>IFERROR(__xludf.DUMMYFUNCTION("""COMPUTED_VALUE"""),"FM4108")</f>
        <v>FM4108</v>
      </c>
      <c r="B520" s="206">
        <f>IFERROR(__xludf.DUMMYFUNCTION("""COMPUTED_VALUE"""),44676.0)</f>
        <v>44676</v>
      </c>
      <c r="C520" s="207">
        <f>IFERROR(__xludf.DUMMYFUNCTION("""COMPUTED_VALUE"""),0.7149305555555555)</f>
        <v>0.7149305556</v>
      </c>
      <c r="D520" s="50"/>
      <c r="E520" s="58"/>
      <c r="F520" s="58"/>
      <c r="G520" s="58" t="str">
        <f>IFERROR(__xludf.DUMMYFUNCTION("""COMPUTED_VALUE"""),"Negative")</f>
        <v>Negative</v>
      </c>
      <c r="H520" s="206" t="str">
        <f>IFERROR(__xludf.DUMMYFUNCTION("""COMPUTED_VALUE"""),"Negative")</f>
        <v>Negative</v>
      </c>
      <c r="I520" s="207">
        <f>IFERROR(__xludf.DUMMYFUNCTION("""COMPUTED_VALUE"""),44676.0)</f>
        <v>44676</v>
      </c>
      <c r="J520" s="208">
        <f>IFERROR(__xludf.DUMMYFUNCTION("""COMPUTED_VALUE"""),0.8259027777777778)</f>
        <v>0.8259027778</v>
      </c>
      <c r="K520" s="50"/>
      <c r="L520" s="6"/>
      <c r="M520" s="55"/>
      <c r="N520" s="55">
        <f>IFERROR(__xludf.DUMMYFUNCTION("""COMPUTED_VALUE"""),1.0)</f>
        <v>1</v>
      </c>
      <c r="O520" s="55" t="str">
        <f t="shared" si="3"/>
        <v/>
      </c>
      <c r="P520" s="209"/>
      <c r="Q520" s="75" t="b">
        <f>VLOOKUP($B520,'Run Reconcile'!B$2:P1679,15,FALSE)</f>
        <v>1</v>
      </c>
      <c r="R520" s="211" t="str">
        <f t="array" ref="R520">IF($Q520, INDEX('Run Reconcile'!A$2:A1679,MATCH(B520,'Run Reconcile'!B$2:B1679,0),1),IFERROR(0/0,""))</f>
        <v>RUN-COMB_2022-04-25_RFR-028</v>
      </c>
      <c r="S520" s="165" t="str">
        <f t="shared" ref="S520:T520" si="1039">IF(COUNTIF(W$2:W1679, $A520) &gt; 0,TRUE,IFERROR(0/0,""))</f>
        <v/>
      </c>
      <c r="T520" s="165" t="str">
        <f t="shared" si="1039"/>
        <v/>
      </c>
      <c r="U520" s="147" t="str">
        <f t="array" ref="U520">IF(ISBLANK($R520), IF($S520,VLOOKUP($B520+1,'RFR Data - preExcl'!$BF$2:$BG1679,2,FALSE),IF($T520,INDEX('RFR Data - preExcl'!$BF$2:$BG1679,MATCH($B520,'RFR Data - preExcl'!$BF$2:$BF1679,0)+1,2),VLOOKUP($B520,'RFR Data - preExcl'!$BF$2:$BG1679,2,FALSE))),IFERROR(0/0,""))</f>
        <v/>
      </c>
      <c r="V520" s="212" t="str">
        <f t="shared" si="5"/>
        <v>RUN-COMB_2022-04-25_RFR-028</v>
      </c>
      <c r="W520" s="51"/>
      <c r="X520" s="51"/>
      <c r="Y520" s="147" t="str">
        <f t="shared" ref="Y520:Z520" si="1040">IF(_xlfn.ISFORMULA(S520),IFERROR(0/0,""),TRUE)</f>
        <v/>
      </c>
      <c r="Z520" s="147" t="str">
        <f t="shared" si="1040"/>
        <v/>
      </c>
    </row>
    <row r="521">
      <c r="A521" s="6" t="str">
        <f>IFERROR(__xludf.DUMMYFUNCTION("""COMPUTED_VALUE"""),"FM4047")</f>
        <v>FM4047</v>
      </c>
      <c r="B521" s="206">
        <f>IFERROR(__xludf.DUMMYFUNCTION("""COMPUTED_VALUE"""),44676.0)</f>
        <v>44676</v>
      </c>
      <c r="C521" s="207">
        <f>IFERROR(__xludf.DUMMYFUNCTION("""COMPUTED_VALUE"""),0.7156134259259259)</f>
        <v>0.7156134259</v>
      </c>
      <c r="D521" s="50"/>
      <c r="E521" s="58"/>
      <c r="F521" s="58"/>
      <c r="G521" s="58" t="str">
        <f>IFERROR(__xludf.DUMMYFUNCTION("""COMPUTED_VALUE"""),"Negative")</f>
        <v>Negative</v>
      </c>
      <c r="H521" s="206" t="str">
        <f>IFERROR(__xludf.DUMMYFUNCTION("""COMPUTED_VALUE"""),"Negative")</f>
        <v>Negative</v>
      </c>
      <c r="I521" s="207">
        <f>IFERROR(__xludf.DUMMYFUNCTION("""COMPUTED_VALUE"""),44676.0)</f>
        <v>44676</v>
      </c>
      <c r="J521" s="208">
        <f>IFERROR(__xludf.DUMMYFUNCTION("""COMPUTED_VALUE"""),0.8259143518518518)</f>
        <v>0.8259143519</v>
      </c>
      <c r="K521" s="50"/>
      <c r="L521" s="6"/>
      <c r="M521" s="55"/>
      <c r="N521" s="55">
        <f>IFERROR(__xludf.DUMMYFUNCTION("""COMPUTED_VALUE"""),1.0)</f>
        <v>1</v>
      </c>
      <c r="O521" s="55" t="str">
        <f t="shared" si="3"/>
        <v/>
      </c>
      <c r="P521" s="209"/>
      <c r="Q521" s="75" t="b">
        <f>VLOOKUP($B521,'Run Reconcile'!B$2:P1679,15,FALSE)</f>
        <v>1</v>
      </c>
      <c r="R521" s="211" t="str">
        <f t="array" ref="R521">IF($Q521, INDEX('Run Reconcile'!A$2:A1679,MATCH(B521,'Run Reconcile'!B$2:B1679,0),1),IFERROR(0/0,""))</f>
        <v>RUN-COMB_2022-04-25_RFR-028</v>
      </c>
      <c r="S521" s="165" t="str">
        <f t="shared" ref="S521:T521" si="1041">IF(COUNTIF(W$2:W1679, $A521) &gt; 0,TRUE,IFERROR(0/0,""))</f>
        <v/>
      </c>
      <c r="T521" s="165" t="str">
        <f t="shared" si="1041"/>
        <v/>
      </c>
      <c r="U521" s="147" t="str">
        <f t="array" ref="U521">IF(ISBLANK($R521), IF($S521,VLOOKUP($B521+1,'RFR Data - preExcl'!$BF$2:$BG1679,2,FALSE),IF($T521,INDEX('RFR Data - preExcl'!$BF$2:$BG1679,MATCH($B521,'RFR Data - preExcl'!$BF$2:$BF1679,0)+1,2),VLOOKUP($B521,'RFR Data - preExcl'!$BF$2:$BG1679,2,FALSE))),IFERROR(0/0,""))</f>
        <v/>
      </c>
      <c r="V521" s="212" t="str">
        <f t="shared" si="5"/>
        <v>RUN-COMB_2022-04-25_RFR-028</v>
      </c>
      <c r="W521" s="51"/>
      <c r="X521" s="51"/>
      <c r="Y521" s="147" t="str">
        <f t="shared" ref="Y521:Z521" si="1042">IF(_xlfn.ISFORMULA(S521),IFERROR(0/0,""),TRUE)</f>
        <v/>
      </c>
      <c r="Z521" s="147" t="str">
        <f t="shared" si="1042"/>
        <v/>
      </c>
    </row>
    <row r="522">
      <c r="A522" s="6" t="str">
        <f>IFERROR(__xludf.DUMMYFUNCTION("""COMPUTED_VALUE"""),"FM4024")</f>
        <v>FM4024</v>
      </c>
      <c r="B522" s="206">
        <f>IFERROR(__xludf.DUMMYFUNCTION("""COMPUTED_VALUE"""),44676.0)</f>
        <v>44676</v>
      </c>
      <c r="C522" s="207">
        <f>IFERROR(__xludf.DUMMYFUNCTION("""COMPUTED_VALUE"""),0.7208449074074074)</f>
        <v>0.7208449074</v>
      </c>
      <c r="D522" s="50"/>
      <c r="E522" s="58"/>
      <c r="F522" s="58"/>
      <c r="G522" s="58" t="str">
        <f>IFERROR(__xludf.DUMMYFUNCTION("""COMPUTED_VALUE"""),"Negative")</f>
        <v>Negative</v>
      </c>
      <c r="H522" s="206" t="str">
        <f>IFERROR(__xludf.DUMMYFUNCTION("""COMPUTED_VALUE"""),"Negative")</f>
        <v>Negative</v>
      </c>
      <c r="I522" s="207">
        <f>IFERROR(__xludf.DUMMYFUNCTION("""COMPUTED_VALUE"""),44676.0)</f>
        <v>44676</v>
      </c>
      <c r="J522" s="208">
        <f>IFERROR(__xludf.DUMMYFUNCTION("""COMPUTED_VALUE"""),0.8259143518518518)</f>
        <v>0.8259143519</v>
      </c>
      <c r="K522" s="50"/>
      <c r="L522" s="6"/>
      <c r="M522" s="55"/>
      <c r="N522" s="55">
        <f>IFERROR(__xludf.DUMMYFUNCTION("""COMPUTED_VALUE"""),1.0)</f>
        <v>1</v>
      </c>
      <c r="O522" s="55" t="str">
        <f t="shared" si="3"/>
        <v/>
      </c>
      <c r="P522" s="209"/>
      <c r="Q522" s="75" t="b">
        <f>VLOOKUP($B522,'Run Reconcile'!B$2:P1679,15,FALSE)</f>
        <v>1</v>
      </c>
      <c r="R522" s="211" t="str">
        <f t="array" ref="R522">IF($Q522, INDEX('Run Reconcile'!A$2:A1679,MATCH(B522,'Run Reconcile'!B$2:B1679,0),1),IFERROR(0/0,""))</f>
        <v>RUN-COMB_2022-04-25_RFR-028</v>
      </c>
      <c r="S522" s="165" t="str">
        <f t="shared" ref="S522:T522" si="1043">IF(COUNTIF(W$2:W1679, $A522) &gt; 0,TRUE,IFERROR(0/0,""))</f>
        <v/>
      </c>
      <c r="T522" s="165" t="str">
        <f t="shared" si="1043"/>
        <v/>
      </c>
      <c r="U522" s="147" t="str">
        <f t="array" ref="U522">IF(ISBLANK($R522), IF($S522,VLOOKUP($B522+1,'RFR Data - preExcl'!$BF$2:$BG1679,2,FALSE),IF($T522,INDEX('RFR Data - preExcl'!$BF$2:$BG1679,MATCH($B522,'RFR Data - preExcl'!$BF$2:$BF1679,0)+1,2),VLOOKUP($B522,'RFR Data - preExcl'!$BF$2:$BG1679,2,FALSE))),IFERROR(0/0,""))</f>
        <v/>
      </c>
      <c r="V522" s="212" t="str">
        <f t="shared" si="5"/>
        <v>RUN-COMB_2022-04-25_RFR-028</v>
      </c>
      <c r="W522" s="51"/>
      <c r="X522" s="51"/>
      <c r="Y522" s="147" t="str">
        <f t="shared" ref="Y522:Z522" si="1044">IF(_xlfn.ISFORMULA(S522),IFERROR(0/0,""),TRUE)</f>
        <v/>
      </c>
      <c r="Z522" s="147" t="str">
        <f t="shared" si="1044"/>
        <v/>
      </c>
    </row>
    <row r="523">
      <c r="A523" s="6" t="str">
        <f>IFERROR(__xludf.DUMMYFUNCTION("""COMPUTED_VALUE"""),"FM4034")</f>
        <v>FM4034</v>
      </c>
      <c r="B523" s="206">
        <f>IFERROR(__xludf.DUMMYFUNCTION("""COMPUTED_VALUE"""),44676.0)</f>
        <v>44676</v>
      </c>
      <c r="C523" s="207">
        <f>IFERROR(__xludf.DUMMYFUNCTION("""COMPUTED_VALUE"""),0.7257870370370371)</f>
        <v>0.725787037</v>
      </c>
      <c r="D523" s="50"/>
      <c r="E523" s="58"/>
      <c r="F523" s="58"/>
      <c r="G523" s="58" t="str">
        <f>IFERROR(__xludf.DUMMYFUNCTION("""COMPUTED_VALUE"""),"Negative")</f>
        <v>Negative</v>
      </c>
      <c r="H523" s="206" t="str">
        <f>IFERROR(__xludf.DUMMYFUNCTION("""COMPUTED_VALUE"""),"Negative")</f>
        <v>Negative</v>
      </c>
      <c r="I523" s="207">
        <f>IFERROR(__xludf.DUMMYFUNCTION("""COMPUTED_VALUE"""),44676.0)</f>
        <v>44676</v>
      </c>
      <c r="J523" s="208">
        <f>IFERROR(__xludf.DUMMYFUNCTION("""COMPUTED_VALUE"""),0.825925925925926)</f>
        <v>0.8259259259</v>
      </c>
      <c r="K523" s="50"/>
      <c r="L523" s="6"/>
      <c r="M523" s="55"/>
      <c r="N523" s="55">
        <f>IFERROR(__xludf.DUMMYFUNCTION("""COMPUTED_VALUE"""),1.0)</f>
        <v>1</v>
      </c>
      <c r="O523" s="55" t="str">
        <f t="shared" si="3"/>
        <v/>
      </c>
      <c r="P523" s="209"/>
      <c r="Q523" s="75" t="b">
        <f>VLOOKUP($B523,'Run Reconcile'!B$2:P1679,15,FALSE)</f>
        <v>1</v>
      </c>
      <c r="R523" s="211" t="str">
        <f t="array" ref="R523">IF($Q523, INDEX('Run Reconcile'!A$2:A1679,MATCH(B523,'Run Reconcile'!B$2:B1679,0),1),IFERROR(0/0,""))</f>
        <v>RUN-COMB_2022-04-25_RFR-028</v>
      </c>
      <c r="S523" s="165" t="str">
        <f t="shared" ref="S523:T523" si="1045">IF(COUNTIF(W$2:W1679, $A523) &gt; 0,TRUE,IFERROR(0/0,""))</f>
        <v/>
      </c>
      <c r="T523" s="165" t="str">
        <f t="shared" si="1045"/>
        <v/>
      </c>
      <c r="U523" s="147" t="str">
        <f t="array" ref="U523">IF(ISBLANK($R523), IF($S523,VLOOKUP($B523+1,'RFR Data - preExcl'!$BF$2:$BG1679,2,FALSE),IF($T523,INDEX('RFR Data - preExcl'!$BF$2:$BG1679,MATCH($B523,'RFR Data - preExcl'!$BF$2:$BF1679,0)+1,2),VLOOKUP($B523,'RFR Data - preExcl'!$BF$2:$BG1679,2,FALSE))),IFERROR(0/0,""))</f>
        <v/>
      </c>
      <c r="V523" s="212" t="str">
        <f t="shared" si="5"/>
        <v>RUN-COMB_2022-04-25_RFR-028</v>
      </c>
      <c r="W523" s="51"/>
      <c r="X523" s="51"/>
      <c r="Y523" s="147" t="str">
        <f t="shared" ref="Y523:Z523" si="1046">IF(_xlfn.ISFORMULA(S523),IFERROR(0/0,""),TRUE)</f>
        <v/>
      </c>
      <c r="Z523" s="147" t="str">
        <f t="shared" si="1046"/>
        <v/>
      </c>
    </row>
    <row r="524">
      <c r="A524" s="6" t="str">
        <f>IFERROR(__xludf.DUMMYFUNCTION("""COMPUTED_VALUE"""),"FM4096")</f>
        <v>FM4096</v>
      </c>
      <c r="B524" s="206">
        <f>IFERROR(__xludf.DUMMYFUNCTION("""COMPUTED_VALUE"""),44676.0)</f>
        <v>44676</v>
      </c>
      <c r="C524" s="207">
        <f>IFERROR(__xludf.DUMMYFUNCTION("""COMPUTED_VALUE"""),0.7263078703703704)</f>
        <v>0.7263078704</v>
      </c>
      <c r="D524" s="50"/>
      <c r="E524" s="58"/>
      <c r="F524" s="58"/>
      <c r="G524" s="58" t="str">
        <f>IFERROR(__xludf.DUMMYFUNCTION("""COMPUTED_VALUE"""),"Negative")</f>
        <v>Negative</v>
      </c>
      <c r="H524" s="206" t="str">
        <f>IFERROR(__xludf.DUMMYFUNCTION("""COMPUTED_VALUE"""),"Negative")</f>
        <v>Negative</v>
      </c>
      <c r="I524" s="207">
        <f>IFERROR(__xludf.DUMMYFUNCTION("""COMPUTED_VALUE"""),44676.0)</f>
        <v>44676</v>
      </c>
      <c r="J524" s="208">
        <f>IFERROR(__xludf.DUMMYFUNCTION("""COMPUTED_VALUE"""),0.825925925925926)</f>
        <v>0.8259259259</v>
      </c>
      <c r="K524" s="50"/>
      <c r="L524" s="6"/>
      <c r="M524" s="55"/>
      <c r="N524" s="55">
        <f>IFERROR(__xludf.DUMMYFUNCTION("""COMPUTED_VALUE"""),1.0)</f>
        <v>1</v>
      </c>
      <c r="O524" s="55" t="str">
        <f t="shared" si="3"/>
        <v/>
      </c>
      <c r="P524" s="209"/>
      <c r="Q524" s="75" t="b">
        <f>VLOOKUP($B524,'Run Reconcile'!B$2:P1679,15,FALSE)</f>
        <v>1</v>
      </c>
      <c r="R524" s="211" t="str">
        <f t="array" ref="R524">IF($Q524, INDEX('Run Reconcile'!A$2:A1679,MATCH(B524,'Run Reconcile'!B$2:B1679,0),1),IFERROR(0/0,""))</f>
        <v>RUN-COMB_2022-04-25_RFR-028</v>
      </c>
      <c r="S524" s="165" t="str">
        <f t="shared" ref="S524:T524" si="1047">IF(COUNTIF(W$2:W1679, $A524) &gt; 0,TRUE,IFERROR(0/0,""))</f>
        <v/>
      </c>
      <c r="T524" s="165" t="str">
        <f t="shared" si="1047"/>
        <v/>
      </c>
      <c r="U524" s="147" t="str">
        <f t="array" ref="U524">IF(ISBLANK($R524), IF($S524,VLOOKUP($B524+1,'RFR Data - preExcl'!$BF$2:$BG1679,2,FALSE),IF($T524,INDEX('RFR Data - preExcl'!$BF$2:$BG1679,MATCH($B524,'RFR Data - preExcl'!$BF$2:$BF1679,0)+1,2),VLOOKUP($B524,'RFR Data - preExcl'!$BF$2:$BG1679,2,FALSE))),IFERROR(0/0,""))</f>
        <v/>
      </c>
      <c r="V524" s="212" t="str">
        <f t="shared" si="5"/>
        <v>RUN-COMB_2022-04-25_RFR-028</v>
      </c>
      <c r="W524" s="51"/>
      <c r="X524" s="51"/>
      <c r="Y524" s="147" t="str">
        <f t="shared" ref="Y524:Z524" si="1048">IF(_xlfn.ISFORMULA(S524),IFERROR(0/0,""),TRUE)</f>
        <v/>
      </c>
      <c r="Z524" s="147" t="str">
        <f t="shared" si="1048"/>
        <v/>
      </c>
    </row>
    <row r="525">
      <c r="A525" s="6" t="str">
        <f>IFERROR(__xludf.DUMMYFUNCTION("""COMPUTED_VALUE"""),"FM4058")</f>
        <v>FM4058</v>
      </c>
      <c r="B525" s="206">
        <f>IFERROR(__xludf.DUMMYFUNCTION("""COMPUTED_VALUE"""),44676.0)</f>
        <v>44676</v>
      </c>
      <c r="C525" s="207">
        <f>IFERROR(__xludf.DUMMYFUNCTION("""COMPUTED_VALUE"""),0.7267939814814814)</f>
        <v>0.7267939815</v>
      </c>
      <c r="D525" s="50"/>
      <c r="E525" s="58"/>
      <c r="F525" s="58"/>
      <c r="G525" s="58" t="str">
        <f>IFERROR(__xludf.DUMMYFUNCTION("""COMPUTED_VALUE"""),"Negative")</f>
        <v>Negative</v>
      </c>
      <c r="H525" s="206" t="str">
        <f>IFERROR(__xludf.DUMMYFUNCTION("""COMPUTED_VALUE"""),"Negative")</f>
        <v>Negative</v>
      </c>
      <c r="I525" s="207">
        <f>IFERROR(__xludf.DUMMYFUNCTION("""COMPUTED_VALUE"""),44676.0)</f>
        <v>44676</v>
      </c>
      <c r="J525" s="208">
        <f>IFERROR(__xludf.DUMMYFUNCTION("""COMPUTED_VALUE"""),0.8259375)</f>
        <v>0.8259375</v>
      </c>
      <c r="K525" s="50"/>
      <c r="L525" s="6"/>
      <c r="M525" s="55"/>
      <c r="N525" s="55">
        <f>IFERROR(__xludf.DUMMYFUNCTION("""COMPUTED_VALUE"""),1.0)</f>
        <v>1</v>
      </c>
      <c r="O525" s="55" t="str">
        <f t="shared" si="3"/>
        <v/>
      </c>
      <c r="P525" s="209"/>
      <c r="Q525" s="75" t="b">
        <f>VLOOKUP($B525,'Run Reconcile'!B$2:P1679,15,FALSE)</f>
        <v>1</v>
      </c>
      <c r="R525" s="211" t="str">
        <f t="array" ref="R525">IF($Q525, INDEX('Run Reconcile'!A$2:A1679,MATCH(B525,'Run Reconcile'!B$2:B1679,0),1),IFERROR(0/0,""))</f>
        <v>RUN-COMB_2022-04-25_RFR-028</v>
      </c>
      <c r="S525" s="165" t="str">
        <f t="shared" ref="S525:T525" si="1049">IF(COUNTIF(W$2:W1679, $A525) &gt; 0,TRUE,IFERROR(0/0,""))</f>
        <v/>
      </c>
      <c r="T525" s="165" t="str">
        <f t="shared" si="1049"/>
        <v/>
      </c>
      <c r="U525" s="147" t="str">
        <f t="array" ref="U525">IF(ISBLANK($R525), IF($S525,VLOOKUP($B525+1,'RFR Data - preExcl'!$BF$2:$BG1679,2,FALSE),IF($T525,INDEX('RFR Data - preExcl'!$BF$2:$BG1679,MATCH($B525,'RFR Data - preExcl'!$BF$2:$BF1679,0)+1,2),VLOOKUP($B525,'RFR Data - preExcl'!$BF$2:$BG1679,2,FALSE))),IFERROR(0/0,""))</f>
        <v/>
      </c>
      <c r="V525" s="212" t="str">
        <f t="shared" si="5"/>
        <v>RUN-COMB_2022-04-25_RFR-028</v>
      </c>
      <c r="W525" s="51"/>
      <c r="X525" s="51"/>
      <c r="Y525" s="147" t="str">
        <f t="shared" ref="Y525:Z525" si="1050">IF(_xlfn.ISFORMULA(S525),IFERROR(0/0,""),TRUE)</f>
        <v/>
      </c>
      <c r="Z525" s="147" t="str">
        <f t="shared" si="1050"/>
        <v/>
      </c>
    </row>
    <row r="526">
      <c r="A526" s="6" t="str">
        <f>IFERROR(__xludf.DUMMYFUNCTION("""COMPUTED_VALUE"""),"FM4094")</f>
        <v>FM4094</v>
      </c>
      <c r="B526" s="206">
        <f>IFERROR(__xludf.DUMMYFUNCTION("""COMPUTED_VALUE"""),44676.0)</f>
        <v>44676</v>
      </c>
      <c r="C526" s="207">
        <f>IFERROR(__xludf.DUMMYFUNCTION("""COMPUTED_VALUE"""),0.729537037037037)</f>
        <v>0.729537037</v>
      </c>
      <c r="D526" s="50"/>
      <c r="E526" s="58"/>
      <c r="F526" s="58"/>
      <c r="G526" s="58" t="str">
        <f>IFERROR(__xludf.DUMMYFUNCTION("""COMPUTED_VALUE"""),"Negative")</f>
        <v>Negative</v>
      </c>
      <c r="H526" s="206" t="str">
        <f>IFERROR(__xludf.DUMMYFUNCTION("""COMPUTED_VALUE"""),"Negative")</f>
        <v>Negative</v>
      </c>
      <c r="I526" s="207">
        <f>IFERROR(__xludf.DUMMYFUNCTION("""COMPUTED_VALUE"""),44676.0)</f>
        <v>44676</v>
      </c>
      <c r="J526" s="208">
        <f>IFERROR(__xludf.DUMMYFUNCTION("""COMPUTED_VALUE"""),0.8259375)</f>
        <v>0.8259375</v>
      </c>
      <c r="K526" s="50"/>
      <c r="L526" s="6"/>
      <c r="M526" s="55"/>
      <c r="N526" s="55">
        <f>IFERROR(__xludf.DUMMYFUNCTION("""COMPUTED_VALUE"""),1.0)</f>
        <v>1</v>
      </c>
      <c r="O526" s="55" t="str">
        <f t="shared" si="3"/>
        <v/>
      </c>
      <c r="P526" s="209"/>
      <c r="Q526" s="75" t="b">
        <f>VLOOKUP($B526,'Run Reconcile'!B$2:P1679,15,FALSE)</f>
        <v>1</v>
      </c>
      <c r="R526" s="211" t="str">
        <f t="array" ref="R526">IF($Q526, INDEX('Run Reconcile'!A$2:A1679,MATCH(B526,'Run Reconcile'!B$2:B1679,0),1),IFERROR(0/0,""))</f>
        <v>RUN-COMB_2022-04-25_RFR-028</v>
      </c>
      <c r="S526" s="165" t="str">
        <f t="shared" ref="S526:T526" si="1051">IF(COUNTIF(W$2:W1679, $A526) &gt; 0,TRUE,IFERROR(0/0,""))</f>
        <v/>
      </c>
      <c r="T526" s="165" t="str">
        <f t="shared" si="1051"/>
        <v/>
      </c>
      <c r="U526" s="147" t="str">
        <f t="array" ref="U526">IF(ISBLANK($R526), IF($S526,VLOOKUP($B526+1,'RFR Data - preExcl'!$BF$2:$BG1679,2,FALSE),IF($T526,INDEX('RFR Data - preExcl'!$BF$2:$BG1679,MATCH($B526,'RFR Data - preExcl'!$BF$2:$BF1679,0)+1,2),VLOOKUP($B526,'RFR Data - preExcl'!$BF$2:$BG1679,2,FALSE))),IFERROR(0/0,""))</f>
        <v/>
      </c>
      <c r="V526" s="212" t="str">
        <f t="shared" si="5"/>
        <v>RUN-COMB_2022-04-25_RFR-028</v>
      </c>
      <c r="W526" s="51"/>
      <c r="X526" s="51"/>
      <c r="Y526" s="147" t="str">
        <f t="shared" ref="Y526:Z526" si="1052">IF(_xlfn.ISFORMULA(S526),IFERROR(0/0,""),TRUE)</f>
        <v/>
      </c>
      <c r="Z526" s="147" t="str">
        <f t="shared" si="1052"/>
        <v/>
      </c>
    </row>
    <row r="527">
      <c r="A527" s="6" t="str">
        <f>IFERROR(__xludf.DUMMYFUNCTION("""COMPUTED_VALUE"""),"FM4084")</f>
        <v>FM4084</v>
      </c>
      <c r="B527" s="206">
        <f>IFERROR(__xludf.DUMMYFUNCTION("""COMPUTED_VALUE"""),44676.0)</f>
        <v>44676</v>
      </c>
      <c r="C527" s="207">
        <f>IFERROR(__xludf.DUMMYFUNCTION("""COMPUTED_VALUE"""),0.7299652777777778)</f>
        <v>0.7299652778</v>
      </c>
      <c r="D527" s="50"/>
      <c r="E527" s="58"/>
      <c r="F527" s="58"/>
      <c r="G527" s="58" t="str">
        <f>IFERROR(__xludf.DUMMYFUNCTION("""COMPUTED_VALUE"""),"Negative")</f>
        <v>Negative</v>
      </c>
      <c r="H527" s="206" t="str">
        <f>IFERROR(__xludf.DUMMYFUNCTION("""COMPUTED_VALUE"""),"Negative")</f>
        <v>Negative</v>
      </c>
      <c r="I527" s="207">
        <f>IFERROR(__xludf.DUMMYFUNCTION("""COMPUTED_VALUE"""),44676.0)</f>
        <v>44676</v>
      </c>
      <c r="J527" s="208">
        <f>IFERROR(__xludf.DUMMYFUNCTION("""COMPUTED_VALUE"""),0.825949074074074)</f>
        <v>0.8259490741</v>
      </c>
      <c r="K527" s="50"/>
      <c r="L527" s="6"/>
      <c r="M527" s="55"/>
      <c r="N527" s="55">
        <f>IFERROR(__xludf.DUMMYFUNCTION("""COMPUTED_VALUE"""),1.0)</f>
        <v>1</v>
      </c>
      <c r="O527" s="55" t="str">
        <f t="shared" si="3"/>
        <v/>
      </c>
      <c r="P527" s="209"/>
      <c r="Q527" s="75" t="b">
        <f>VLOOKUP($B527,'Run Reconcile'!B$2:P1679,15,FALSE)</f>
        <v>1</v>
      </c>
      <c r="R527" s="211" t="str">
        <f t="array" ref="R527">IF($Q527, INDEX('Run Reconcile'!A$2:A1679,MATCH(B527,'Run Reconcile'!B$2:B1679,0),1),IFERROR(0/0,""))</f>
        <v>RUN-COMB_2022-04-25_RFR-028</v>
      </c>
      <c r="S527" s="165" t="str">
        <f t="shared" ref="S527:T527" si="1053">IF(COUNTIF(W$2:W1679, $A527) &gt; 0,TRUE,IFERROR(0/0,""))</f>
        <v/>
      </c>
      <c r="T527" s="165" t="str">
        <f t="shared" si="1053"/>
        <v/>
      </c>
      <c r="U527" s="147" t="str">
        <f t="array" ref="U527">IF(ISBLANK($R527), IF($S527,VLOOKUP($B527+1,'RFR Data - preExcl'!$BF$2:$BG1679,2,FALSE),IF($T527,INDEX('RFR Data - preExcl'!$BF$2:$BG1679,MATCH($B527,'RFR Data - preExcl'!$BF$2:$BF1679,0)+1,2),VLOOKUP($B527,'RFR Data - preExcl'!$BF$2:$BG1679,2,FALSE))),IFERROR(0/0,""))</f>
        <v/>
      </c>
      <c r="V527" s="212" t="str">
        <f t="shared" si="5"/>
        <v>RUN-COMB_2022-04-25_RFR-028</v>
      </c>
      <c r="W527" s="51"/>
      <c r="X527" s="51"/>
      <c r="Y527" s="147" t="str">
        <f t="shared" ref="Y527:Z527" si="1054">IF(_xlfn.ISFORMULA(S527),IFERROR(0/0,""),TRUE)</f>
        <v/>
      </c>
      <c r="Z527" s="147" t="str">
        <f t="shared" si="1054"/>
        <v/>
      </c>
    </row>
    <row r="528">
      <c r="A528" s="6" t="str">
        <f>IFERROR(__xludf.DUMMYFUNCTION("""COMPUTED_VALUE"""),"FM4105")</f>
        <v>FM4105</v>
      </c>
      <c r="B528" s="206">
        <f>IFERROR(__xludf.DUMMYFUNCTION("""COMPUTED_VALUE"""),44677.0)</f>
        <v>44677</v>
      </c>
      <c r="C528" s="207">
        <f>IFERROR(__xludf.DUMMYFUNCTION("""COMPUTED_VALUE"""),0.25840277777777776)</f>
        <v>0.2584027778</v>
      </c>
      <c r="D528" s="50"/>
      <c r="E528" s="58"/>
      <c r="F528" s="58"/>
      <c r="G528" s="58" t="str">
        <f>IFERROR(__xludf.DUMMYFUNCTION("""COMPUTED_VALUE"""),"Negative")</f>
        <v>Negative</v>
      </c>
      <c r="H528" s="206" t="str">
        <f>IFERROR(__xludf.DUMMYFUNCTION("""COMPUTED_VALUE"""),"Negative")</f>
        <v>Negative</v>
      </c>
      <c r="I528" s="207">
        <f>IFERROR(__xludf.DUMMYFUNCTION("""COMPUTED_VALUE"""),44677.0)</f>
        <v>44677</v>
      </c>
      <c r="J528" s="208">
        <f>IFERROR(__xludf.DUMMYFUNCTION("""COMPUTED_VALUE"""),0.3461226851851852)</f>
        <v>0.3461226852</v>
      </c>
      <c r="K528" s="50"/>
      <c r="L528" s="6"/>
      <c r="M528" s="55"/>
      <c r="N528" s="55">
        <f>IFERROR(__xludf.DUMMYFUNCTION("""COMPUTED_VALUE"""),1.0)</f>
        <v>1</v>
      </c>
      <c r="O528" s="55" t="b">
        <f t="shared" si="3"/>
        <v>1</v>
      </c>
      <c r="P528" s="209"/>
      <c r="Q528" s="75" t="b">
        <f>VLOOKUP($B528,'Run Reconcile'!B$2:P1679,15,FALSE)</f>
        <v>1</v>
      </c>
      <c r="R528" s="211" t="str">
        <f t="array" ref="R528">IF($Q528, INDEX('Run Reconcile'!A$2:A1679,MATCH(B528,'Run Reconcile'!B$2:B1679,0),1),IFERROR(0/0,""))</f>
        <v>RUN-COMB_2022-04-26_RFR-030</v>
      </c>
      <c r="S528" s="165" t="str">
        <f t="shared" ref="S528:T528" si="1055">IF(COUNTIF(W$2:W1679, $A528) &gt; 0,TRUE,IFERROR(0/0,""))</f>
        <v/>
      </c>
      <c r="T528" s="165" t="str">
        <f t="shared" si="1055"/>
        <v/>
      </c>
      <c r="U528" s="147" t="str">
        <f t="array" ref="U528">IF(ISBLANK($R528), IF($S528,VLOOKUP($B528+1,'RFR Data - preExcl'!$BF$2:$BG1679,2,FALSE),IF($T528,INDEX('RFR Data - preExcl'!$BF$2:$BG1679,MATCH($B528,'RFR Data - preExcl'!$BF$2:$BF1679,0)+1,2),VLOOKUP($B528,'RFR Data - preExcl'!$BF$2:$BG1679,2,FALSE))),IFERROR(0/0,""))</f>
        <v/>
      </c>
      <c r="V528" s="212" t="str">
        <f t="shared" si="5"/>
        <v>RUN-COMB_2022-04-26_RFR-030</v>
      </c>
      <c r="W528" s="51"/>
      <c r="X528" s="51"/>
      <c r="Y528" s="147" t="str">
        <f t="shared" ref="Y528:Z528" si="1056">IF(_xlfn.ISFORMULA(S528),IFERROR(0/0,""),TRUE)</f>
        <v/>
      </c>
      <c r="Z528" s="147" t="str">
        <f t="shared" si="1056"/>
        <v/>
      </c>
    </row>
    <row r="529">
      <c r="A529" s="6" t="str">
        <f>IFERROR(__xludf.DUMMYFUNCTION("""COMPUTED_VALUE"""),"FM4035")</f>
        <v>FM4035</v>
      </c>
      <c r="B529" s="206">
        <f>IFERROR(__xludf.DUMMYFUNCTION("""COMPUTED_VALUE"""),44677.0)</f>
        <v>44677</v>
      </c>
      <c r="C529" s="207">
        <f>IFERROR(__xludf.DUMMYFUNCTION("""COMPUTED_VALUE"""),0.2589236111111111)</f>
        <v>0.2589236111</v>
      </c>
      <c r="D529" s="50"/>
      <c r="E529" s="58"/>
      <c r="F529" s="58"/>
      <c r="G529" s="58" t="str">
        <f>IFERROR(__xludf.DUMMYFUNCTION("""COMPUTED_VALUE"""),"Negative")</f>
        <v>Negative</v>
      </c>
      <c r="H529" s="206" t="str">
        <f>IFERROR(__xludf.DUMMYFUNCTION("""COMPUTED_VALUE"""),"Negative")</f>
        <v>Negative</v>
      </c>
      <c r="I529" s="207">
        <f>IFERROR(__xludf.DUMMYFUNCTION("""COMPUTED_VALUE"""),44677.0)</f>
        <v>44677</v>
      </c>
      <c r="J529" s="208">
        <f>IFERROR(__xludf.DUMMYFUNCTION("""COMPUTED_VALUE"""),0.3461342592592593)</f>
        <v>0.3461342593</v>
      </c>
      <c r="K529" s="50"/>
      <c r="L529" s="6"/>
      <c r="M529" s="55"/>
      <c r="N529" s="55">
        <f>IFERROR(__xludf.DUMMYFUNCTION("""COMPUTED_VALUE"""),1.0)</f>
        <v>1</v>
      </c>
      <c r="O529" s="55" t="str">
        <f t="shared" si="3"/>
        <v/>
      </c>
      <c r="P529" s="209"/>
      <c r="Q529" s="75" t="b">
        <f>VLOOKUP($B529,'Run Reconcile'!B$2:P1679,15,FALSE)</f>
        <v>1</v>
      </c>
      <c r="R529" s="211" t="str">
        <f t="array" ref="R529">IF($Q529, INDEX('Run Reconcile'!A$2:A1679,MATCH(B529,'Run Reconcile'!B$2:B1679,0),1),IFERROR(0/0,""))</f>
        <v>RUN-COMB_2022-04-26_RFR-030</v>
      </c>
      <c r="S529" s="165" t="str">
        <f t="shared" ref="S529:T529" si="1057">IF(COUNTIF(W$2:W1679, $A529) &gt; 0,TRUE,IFERROR(0/0,""))</f>
        <v/>
      </c>
      <c r="T529" s="165" t="str">
        <f t="shared" si="1057"/>
        <v/>
      </c>
      <c r="U529" s="147" t="str">
        <f t="array" ref="U529">IF(ISBLANK($R529), IF($S529,VLOOKUP($B529+1,'RFR Data - preExcl'!$BF$2:$BG1679,2,FALSE),IF($T529,INDEX('RFR Data - preExcl'!$BF$2:$BG1679,MATCH($B529,'RFR Data - preExcl'!$BF$2:$BF1679,0)+1,2),VLOOKUP($B529,'RFR Data - preExcl'!$BF$2:$BG1679,2,FALSE))),IFERROR(0/0,""))</f>
        <v/>
      </c>
      <c r="V529" s="212" t="str">
        <f t="shared" si="5"/>
        <v>RUN-COMB_2022-04-26_RFR-030</v>
      </c>
      <c r="W529" s="51"/>
      <c r="X529" s="51"/>
      <c r="Y529" s="147" t="str">
        <f t="shared" ref="Y529:Z529" si="1058">IF(_xlfn.ISFORMULA(S529),IFERROR(0/0,""),TRUE)</f>
        <v/>
      </c>
      <c r="Z529" s="147" t="str">
        <f t="shared" si="1058"/>
        <v/>
      </c>
    </row>
    <row r="530">
      <c r="A530" s="6" t="str">
        <f>IFERROR(__xludf.DUMMYFUNCTION("""COMPUTED_VALUE"""),"FM4135")</f>
        <v>FM4135</v>
      </c>
      <c r="B530" s="206">
        <f>IFERROR(__xludf.DUMMYFUNCTION("""COMPUTED_VALUE"""),44677.0)</f>
        <v>44677</v>
      </c>
      <c r="C530" s="207">
        <f>IFERROR(__xludf.DUMMYFUNCTION("""COMPUTED_VALUE"""),0.25949074074074074)</f>
        <v>0.2594907407</v>
      </c>
      <c r="D530" s="50"/>
      <c r="E530" s="58"/>
      <c r="F530" s="58"/>
      <c r="G530" s="58" t="str">
        <f>IFERROR(__xludf.DUMMYFUNCTION("""COMPUTED_VALUE"""),"Negative")</f>
        <v>Negative</v>
      </c>
      <c r="H530" s="206" t="str">
        <f>IFERROR(__xludf.DUMMYFUNCTION("""COMPUTED_VALUE"""),"Negative")</f>
        <v>Negative</v>
      </c>
      <c r="I530" s="207">
        <f>IFERROR(__xludf.DUMMYFUNCTION("""COMPUTED_VALUE"""),44677.0)</f>
        <v>44677</v>
      </c>
      <c r="J530" s="208">
        <f>IFERROR(__xludf.DUMMYFUNCTION("""COMPUTED_VALUE"""),0.3461458333333333)</f>
        <v>0.3461458333</v>
      </c>
      <c r="K530" s="50"/>
      <c r="L530" s="6"/>
      <c r="M530" s="55"/>
      <c r="N530" s="55">
        <f>IFERROR(__xludf.DUMMYFUNCTION("""COMPUTED_VALUE"""),1.0)</f>
        <v>1</v>
      </c>
      <c r="O530" s="55" t="str">
        <f t="shared" si="3"/>
        <v/>
      </c>
      <c r="P530" s="209"/>
      <c r="Q530" s="75" t="b">
        <f>VLOOKUP($B530,'Run Reconcile'!B$2:P1679,15,FALSE)</f>
        <v>1</v>
      </c>
      <c r="R530" s="211" t="str">
        <f t="array" ref="R530">IF($Q530, INDEX('Run Reconcile'!A$2:A1679,MATCH(B530,'Run Reconcile'!B$2:B1679,0),1),IFERROR(0/0,""))</f>
        <v>RUN-COMB_2022-04-26_RFR-030</v>
      </c>
      <c r="S530" s="165" t="str">
        <f t="shared" ref="S530:T530" si="1059">IF(COUNTIF(W$2:W1679, $A530) &gt; 0,TRUE,IFERROR(0/0,""))</f>
        <v/>
      </c>
      <c r="T530" s="165" t="str">
        <f t="shared" si="1059"/>
        <v/>
      </c>
      <c r="U530" s="147" t="str">
        <f t="array" ref="U530">IF(ISBLANK($R530), IF($S530,VLOOKUP($B530+1,'RFR Data - preExcl'!$BF$2:$BG1679,2,FALSE),IF($T530,INDEX('RFR Data - preExcl'!$BF$2:$BG1679,MATCH($B530,'RFR Data - preExcl'!$BF$2:$BF1679,0)+1,2),VLOOKUP($B530,'RFR Data - preExcl'!$BF$2:$BG1679,2,FALSE))),IFERROR(0/0,""))</f>
        <v/>
      </c>
      <c r="V530" s="212" t="str">
        <f t="shared" si="5"/>
        <v>RUN-COMB_2022-04-26_RFR-030</v>
      </c>
      <c r="W530" s="51"/>
      <c r="X530" s="51"/>
      <c r="Y530" s="147" t="str">
        <f t="shared" ref="Y530:Z530" si="1060">IF(_xlfn.ISFORMULA(S530),IFERROR(0/0,""),TRUE)</f>
        <v/>
      </c>
      <c r="Z530" s="147" t="str">
        <f t="shared" si="1060"/>
        <v/>
      </c>
    </row>
    <row r="531">
      <c r="A531" s="6" t="str">
        <f>IFERROR(__xludf.DUMMYFUNCTION("""COMPUTED_VALUE"""),"FM4138")</f>
        <v>FM4138</v>
      </c>
      <c r="B531" s="206">
        <f>IFERROR(__xludf.DUMMYFUNCTION("""COMPUTED_VALUE"""),44677.0)</f>
        <v>44677</v>
      </c>
      <c r="C531" s="207">
        <f>IFERROR(__xludf.DUMMYFUNCTION("""COMPUTED_VALUE"""),0.2611574074074074)</f>
        <v>0.2611574074</v>
      </c>
      <c r="D531" s="50"/>
      <c r="E531" s="58"/>
      <c r="F531" s="58"/>
      <c r="G531" s="58" t="str">
        <f>IFERROR(__xludf.DUMMYFUNCTION("""COMPUTED_VALUE"""),"Negative")</f>
        <v>Negative</v>
      </c>
      <c r="H531" s="206" t="str">
        <f>IFERROR(__xludf.DUMMYFUNCTION("""COMPUTED_VALUE"""),"Negative")</f>
        <v>Negative</v>
      </c>
      <c r="I531" s="207">
        <f>IFERROR(__xludf.DUMMYFUNCTION("""COMPUTED_VALUE"""),44677.0)</f>
        <v>44677</v>
      </c>
      <c r="J531" s="208">
        <f>IFERROR(__xludf.DUMMYFUNCTION("""COMPUTED_VALUE"""),0.3461574074074074)</f>
        <v>0.3461574074</v>
      </c>
      <c r="K531" s="50"/>
      <c r="L531" s="6"/>
      <c r="M531" s="55"/>
      <c r="N531" s="55">
        <f>IFERROR(__xludf.DUMMYFUNCTION("""COMPUTED_VALUE"""),1.0)</f>
        <v>1</v>
      </c>
      <c r="O531" s="55" t="str">
        <f t="shared" si="3"/>
        <v/>
      </c>
      <c r="P531" s="209"/>
      <c r="Q531" s="75" t="b">
        <f>VLOOKUP($B531,'Run Reconcile'!B$2:P1679,15,FALSE)</f>
        <v>1</v>
      </c>
      <c r="R531" s="211" t="str">
        <f t="array" ref="R531">IF($Q531, INDEX('Run Reconcile'!A$2:A1679,MATCH(B531,'Run Reconcile'!B$2:B1679,0),1),IFERROR(0/0,""))</f>
        <v>RUN-COMB_2022-04-26_RFR-030</v>
      </c>
      <c r="S531" s="165" t="str">
        <f t="shared" ref="S531:T531" si="1061">IF(COUNTIF(W$2:W1679, $A531) &gt; 0,TRUE,IFERROR(0/0,""))</f>
        <v/>
      </c>
      <c r="T531" s="165" t="str">
        <f t="shared" si="1061"/>
        <v/>
      </c>
      <c r="U531" s="147" t="str">
        <f t="array" ref="U531">IF(ISBLANK($R531), IF($S531,VLOOKUP($B531+1,'RFR Data - preExcl'!$BF$2:$BG1679,2,FALSE),IF($T531,INDEX('RFR Data - preExcl'!$BF$2:$BG1679,MATCH($B531,'RFR Data - preExcl'!$BF$2:$BF1679,0)+1,2),VLOOKUP($B531,'RFR Data - preExcl'!$BF$2:$BG1679,2,FALSE))),IFERROR(0/0,""))</f>
        <v/>
      </c>
      <c r="V531" s="212" t="str">
        <f t="shared" si="5"/>
        <v>RUN-COMB_2022-04-26_RFR-030</v>
      </c>
      <c r="W531" s="51"/>
      <c r="X531" s="51"/>
      <c r="Y531" s="147" t="str">
        <f t="shared" ref="Y531:Z531" si="1062">IF(_xlfn.ISFORMULA(S531),IFERROR(0/0,""),TRUE)</f>
        <v/>
      </c>
      <c r="Z531" s="147" t="str">
        <f t="shared" si="1062"/>
        <v/>
      </c>
    </row>
    <row r="532">
      <c r="A532" s="6" t="str">
        <f>IFERROR(__xludf.DUMMYFUNCTION("""COMPUTED_VALUE"""),"FM4085")</f>
        <v>FM4085</v>
      </c>
      <c r="B532" s="206">
        <f>IFERROR(__xludf.DUMMYFUNCTION("""COMPUTED_VALUE"""),44677.0)</f>
        <v>44677</v>
      </c>
      <c r="C532" s="207">
        <f>IFERROR(__xludf.DUMMYFUNCTION("""COMPUTED_VALUE"""),0.26158564814814816)</f>
        <v>0.2615856481</v>
      </c>
      <c r="D532" s="50"/>
      <c r="E532" s="58"/>
      <c r="F532" s="58"/>
      <c r="G532" s="58" t="str">
        <f>IFERROR(__xludf.DUMMYFUNCTION("""COMPUTED_VALUE"""),"Negative")</f>
        <v>Negative</v>
      </c>
      <c r="H532" s="206" t="str">
        <f>IFERROR(__xludf.DUMMYFUNCTION("""COMPUTED_VALUE"""),"Negative")</f>
        <v>Negative</v>
      </c>
      <c r="I532" s="207">
        <f>IFERROR(__xludf.DUMMYFUNCTION("""COMPUTED_VALUE"""),44677.0)</f>
        <v>44677</v>
      </c>
      <c r="J532" s="208">
        <f>IFERROR(__xludf.DUMMYFUNCTION("""COMPUTED_VALUE"""),0.3461574074074074)</f>
        <v>0.3461574074</v>
      </c>
      <c r="K532" s="50"/>
      <c r="L532" s="6"/>
      <c r="M532" s="55"/>
      <c r="N532" s="55">
        <f>IFERROR(__xludf.DUMMYFUNCTION("""COMPUTED_VALUE"""),1.0)</f>
        <v>1</v>
      </c>
      <c r="O532" s="55" t="str">
        <f t="shared" si="3"/>
        <v/>
      </c>
      <c r="P532" s="209"/>
      <c r="Q532" s="75" t="b">
        <f>VLOOKUP($B532,'Run Reconcile'!B$2:P1679,15,FALSE)</f>
        <v>1</v>
      </c>
      <c r="R532" s="211" t="str">
        <f t="array" ref="R532">IF($Q532, INDEX('Run Reconcile'!A$2:A1679,MATCH(B532,'Run Reconcile'!B$2:B1679,0),1),IFERROR(0/0,""))</f>
        <v>RUN-COMB_2022-04-26_RFR-030</v>
      </c>
      <c r="S532" s="165" t="str">
        <f t="shared" ref="S532:T532" si="1063">IF(COUNTIF(W$2:W1679, $A532) &gt; 0,TRUE,IFERROR(0/0,""))</f>
        <v/>
      </c>
      <c r="T532" s="165" t="str">
        <f t="shared" si="1063"/>
        <v/>
      </c>
      <c r="U532" s="147" t="str">
        <f t="array" ref="U532">IF(ISBLANK($R532), IF($S532,VLOOKUP($B532+1,'RFR Data - preExcl'!$BF$2:$BG1679,2,FALSE),IF($T532,INDEX('RFR Data - preExcl'!$BF$2:$BG1679,MATCH($B532,'RFR Data - preExcl'!$BF$2:$BF1679,0)+1,2),VLOOKUP($B532,'RFR Data - preExcl'!$BF$2:$BG1679,2,FALSE))),IFERROR(0/0,""))</f>
        <v/>
      </c>
      <c r="V532" s="212" t="str">
        <f t="shared" si="5"/>
        <v>RUN-COMB_2022-04-26_RFR-030</v>
      </c>
      <c r="W532" s="51"/>
      <c r="X532" s="51"/>
      <c r="Y532" s="147" t="str">
        <f t="shared" ref="Y532:Z532" si="1064">IF(_xlfn.ISFORMULA(S532),IFERROR(0/0,""),TRUE)</f>
        <v/>
      </c>
      <c r="Z532" s="147" t="str">
        <f t="shared" si="1064"/>
        <v/>
      </c>
    </row>
    <row r="533">
      <c r="A533" s="6" t="str">
        <f>IFERROR(__xludf.DUMMYFUNCTION("""COMPUTED_VALUE"""),"FM4049")</f>
        <v>FM4049</v>
      </c>
      <c r="B533" s="206">
        <f>IFERROR(__xludf.DUMMYFUNCTION("""COMPUTED_VALUE"""),44677.0)</f>
        <v>44677</v>
      </c>
      <c r="C533" s="207">
        <f>IFERROR(__xludf.DUMMYFUNCTION("""COMPUTED_VALUE"""),0.262037037037037)</f>
        <v>0.262037037</v>
      </c>
      <c r="D533" s="50"/>
      <c r="E533" s="58"/>
      <c r="F533" s="58"/>
      <c r="G533" s="58" t="str">
        <f>IFERROR(__xludf.DUMMYFUNCTION("""COMPUTED_VALUE"""),"Negative")</f>
        <v>Negative</v>
      </c>
      <c r="H533" s="206" t="str">
        <f>IFERROR(__xludf.DUMMYFUNCTION("""COMPUTED_VALUE"""),"Negative")</f>
        <v>Negative</v>
      </c>
      <c r="I533" s="207">
        <f>IFERROR(__xludf.DUMMYFUNCTION("""COMPUTED_VALUE"""),44677.0)</f>
        <v>44677</v>
      </c>
      <c r="J533" s="208">
        <f>IFERROR(__xludf.DUMMYFUNCTION("""COMPUTED_VALUE"""),0.3461689814814815)</f>
        <v>0.3461689815</v>
      </c>
      <c r="K533" s="50"/>
      <c r="L533" s="6"/>
      <c r="M533" s="55"/>
      <c r="N533" s="55">
        <f>IFERROR(__xludf.DUMMYFUNCTION("""COMPUTED_VALUE"""),1.0)</f>
        <v>1</v>
      </c>
      <c r="O533" s="55" t="str">
        <f t="shared" si="3"/>
        <v/>
      </c>
      <c r="P533" s="209"/>
      <c r="Q533" s="75" t="b">
        <f>VLOOKUP($B533,'Run Reconcile'!B$2:P1679,15,FALSE)</f>
        <v>1</v>
      </c>
      <c r="R533" s="211" t="str">
        <f t="array" ref="R533">IF($Q533, INDEX('Run Reconcile'!A$2:A1679,MATCH(B533,'Run Reconcile'!B$2:B1679,0),1),IFERROR(0/0,""))</f>
        <v>RUN-COMB_2022-04-26_RFR-030</v>
      </c>
      <c r="S533" s="165" t="str">
        <f t="shared" ref="S533:T533" si="1065">IF(COUNTIF(W$2:W1679, $A533) &gt; 0,TRUE,IFERROR(0/0,""))</f>
        <v/>
      </c>
      <c r="T533" s="165" t="str">
        <f t="shared" si="1065"/>
        <v/>
      </c>
      <c r="U533" s="147" t="str">
        <f t="array" ref="U533">IF(ISBLANK($R533), IF($S533,VLOOKUP($B533+1,'RFR Data - preExcl'!$BF$2:$BG1679,2,FALSE),IF($T533,INDEX('RFR Data - preExcl'!$BF$2:$BG1679,MATCH($B533,'RFR Data - preExcl'!$BF$2:$BF1679,0)+1,2),VLOOKUP($B533,'RFR Data - preExcl'!$BF$2:$BG1679,2,FALSE))),IFERROR(0/0,""))</f>
        <v/>
      </c>
      <c r="V533" s="212" t="str">
        <f t="shared" si="5"/>
        <v>RUN-COMB_2022-04-26_RFR-030</v>
      </c>
      <c r="W533" s="51"/>
      <c r="X533" s="51"/>
      <c r="Y533" s="147" t="str">
        <f t="shared" ref="Y533:Z533" si="1066">IF(_xlfn.ISFORMULA(S533),IFERROR(0/0,""),TRUE)</f>
        <v/>
      </c>
      <c r="Z533" s="147" t="str">
        <f t="shared" si="1066"/>
        <v/>
      </c>
    </row>
    <row r="534">
      <c r="A534" s="6" t="str">
        <f>IFERROR(__xludf.DUMMYFUNCTION("""COMPUTED_VALUE"""),"FM4081")</f>
        <v>FM4081</v>
      </c>
      <c r="B534" s="206">
        <f>IFERROR(__xludf.DUMMYFUNCTION("""COMPUTED_VALUE"""),44677.0)</f>
        <v>44677</v>
      </c>
      <c r="C534" s="207">
        <f>IFERROR(__xludf.DUMMYFUNCTION("""COMPUTED_VALUE"""),0.26243055555555556)</f>
        <v>0.2624305556</v>
      </c>
      <c r="D534" s="50"/>
      <c r="E534" s="58"/>
      <c r="F534" s="58"/>
      <c r="G534" s="58" t="str">
        <f>IFERROR(__xludf.DUMMYFUNCTION("""COMPUTED_VALUE"""),"Negative")</f>
        <v>Negative</v>
      </c>
      <c r="H534" s="206" t="str">
        <f>IFERROR(__xludf.DUMMYFUNCTION("""COMPUTED_VALUE"""),"Negative")</f>
        <v>Negative</v>
      </c>
      <c r="I534" s="207">
        <f>IFERROR(__xludf.DUMMYFUNCTION("""COMPUTED_VALUE"""),44677.0)</f>
        <v>44677</v>
      </c>
      <c r="J534" s="208">
        <f>IFERROR(__xludf.DUMMYFUNCTION("""COMPUTED_VALUE"""),0.34618055555555555)</f>
        <v>0.3461805556</v>
      </c>
      <c r="K534" s="50"/>
      <c r="L534" s="6"/>
      <c r="M534" s="55"/>
      <c r="N534" s="55">
        <f>IFERROR(__xludf.DUMMYFUNCTION("""COMPUTED_VALUE"""),1.0)</f>
        <v>1</v>
      </c>
      <c r="O534" s="55" t="str">
        <f t="shared" si="3"/>
        <v/>
      </c>
      <c r="P534" s="209"/>
      <c r="Q534" s="75" t="b">
        <f>VLOOKUP($B534,'Run Reconcile'!B$2:P1679,15,FALSE)</f>
        <v>1</v>
      </c>
      <c r="R534" s="211" t="str">
        <f t="array" ref="R534">IF($Q534, INDEX('Run Reconcile'!A$2:A1679,MATCH(B534,'Run Reconcile'!B$2:B1679,0),1),IFERROR(0/0,""))</f>
        <v>RUN-COMB_2022-04-26_RFR-030</v>
      </c>
      <c r="S534" s="165" t="str">
        <f t="shared" ref="S534:T534" si="1067">IF(COUNTIF(W$2:W1679, $A534) &gt; 0,TRUE,IFERROR(0/0,""))</f>
        <v/>
      </c>
      <c r="T534" s="165" t="str">
        <f t="shared" si="1067"/>
        <v/>
      </c>
      <c r="U534" s="147" t="str">
        <f t="array" ref="U534">IF(ISBLANK($R534), IF($S534,VLOOKUP($B534+1,'RFR Data - preExcl'!$BF$2:$BG1679,2,FALSE),IF($T534,INDEX('RFR Data - preExcl'!$BF$2:$BG1679,MATCH($B534,'RFR Data - preExcl'!$BF$2:$BF1679,0)+1,2),VLOOKUP($B534,'RFR Data - preExcl'!$BF$2:$BG1679,2,FALSE))),IFERROR(0/0,""))</f>
        <v/>
      </c>
      <c r="V534" s="212" t="str">
        <f t="shared" si="5"/>
        <v>RUN-COMB_2022-04-26_RFR-030</v>
      </c>
      <c r="W534" s="51"/>
      <c r="X534" s="51"/>
      <c r="Y534" s="147" t="str">
        <f t="shared" ref="Y534:Z534" si="1068">IF(_xlfn.ISFORMULA(S534),IFERROR(0/0,""),TRUE)</f>
        <v/>
      </c>
      <c r="Z534" s="147" t="str">
        <f t="shared" si="1068"/>
        <v/>
      </c>
    </row>
    <row r="535">
      <c r="A535" s="6" t="str">
        <f>IFERROR(__xludf.DUMMYFUNCTION("""COMPUTED_VALUE"""),"FM4134")</f>
        <v>FM4134</v>
      </c>
      <c r="B535" s="206">
        <f>IFERROR(__xludf.DUMMYFUNCTION("""COMPUTED_VALUE"""),44677.0)</f>
        <v>44677</v>
      </c>
      <c r="C535" s="207">
        <f>IFERROR(__xludf.DUMMYFUNCTION("""COMPUTED_VALUE"""),0.26287037037037037)</f>
        <v>0.2628703704</v>
      </c>
      <c r="D535" s="50"/>
      <c r="E535" s="58"/>
      <c r="F535" s="58"/>
      <c r="G535" s="58" t="str">
        <f>IFERROR(__xludf.DUMMYFUNCTION("""COMPUTED_VALUE"""),"Negative")</f>
        <v>Negative</v>
      </c>
      <c r="H535" s="206" t="str">
        <f>IFERROR(__xludf.DUMMYFUNCTION("""COMPUTED_VALUE"""),"Negative")</f>
        <v>Negative</v>
      </c>
      <c r="I535" s="207">
        <f>IFERROR(__xludf.DUMMYFUNCTION("""COMPUTED_VALUE"""),44677.0)</f>
        <v>44677</v>
      </c>
      <c r="J535" s="208">
        <f>IFERROR(__xludf.DUMMYFUNCTION("""COMPUTED_VALUE"""),0.34618055555555555)</f>
        <v>0.3461805556</v>
      </c>
      <c r="K535" s="50"/>
      <c r="L535" s="6"/>
      <c r="M535" s="55"/>
      <c r="N535" s="55">
        <f>IFERROR(__xludf.DUMMYFUNCTION("""COMPUTED_VALUE"""),1.0)</f>
        <v>1</v>
      </c>
      <c r="O535" s="55" t="str">
        <f t="shared" si="3"/>
        <v/>
      </c>
      <c r="P535" s="209"/>
      <c r="Q535" s="75" t="b">
        <f>VLOOKUP($B535,'Run Reconcile'!B$2:P1679,15,FALSE)</f>
        <v>1</v>
      </c>
      <c r="R535" s="211" t="str">
        <f t="array" ref="R535">IF($Q535, INDEX('Run Reconcile'!A$2:A1679,MATCH(B535,'Run Reconcile'!B$2:B1679,0),1),IFERROR(0/0,""))</f>
        <v>RUN-COMB_2022-04-26_RFR-030</v>
      </c>
      <c r="S535" s="165" t="str">
        <f t="shared" ref="S535:T535" si="1069">IF(COUNTIF(W$2:W1679, $A535) &gt; 0,TRUE,IFERROR(0/0,""))</f>
        <v/>
      </c>
      <c r="T535" s="165" t="str">
        <f t="shared" si="1069"/>
        <v/>
      </c>
      <c r="U535" s="147" t="str">
        <f t="array" ref="U535">IF(ISBLANK($R535), IF($S535,VLOOKUP($B535+1,'RFR Data - preExcl'!$BF$2:$BG1679,2,FALSE),IF($T535,INDEX('RFR Data - preExcl'!$BF$2:$BG1679,MATCH($B535,'RFR Data - preExcl'!$BF$2:$BF1679,0)+1,2),VLOOKUP($B535,'RFR Data - preExcl'!$BF$2:$BG1679,2,FALSE))),IFERROR(0/0,""))</f>
        <v/>
      </c>
      <c r="V535" s="212" t="str">
        <f t="shared" si="5"/>
        <v>RUN-COMB_2022-04-26_RFR-030</v>
      </c>
      <c r="W535" s="51"/>
      <c r="X535" s="51"/>
      <c r="Y535" s="147" t="str">
        <f t="shared" ref="Y535:Z535" si="1070">IF(_xlfn.ISFORMULA(S535),IFERROR(0/0,""),TRUE)</f>
        <v/>
      </c>
      <c r="Z535" s="147" t="str">
        <f t="shared" si="1070"/>
        <v/>
      </c>
    </row>
    <row r="536">
      <c r="A536" s="6" t="str">
        <f>IFERROR(__xludf.DUMMYFUNCTION("""COMPUTED_VALUE"""),"FM4026")</f>
        <v>FM4026</v>
      </c>
      <c r="B536" s="206">
        <f>IFERROR(__xludf.DUMMYFUNCTION("""COMPUTED_VALUE"""),44677.0)</f>
        <v>44677</v>
      </c>
      <c r="C536" s="207">
        <f>IFERROR(__xludf.DUMMYFUNCTION("""COMPUTED_VALUE"""),0.2632638888888889)</f>
        <v>0.2632638889</v>
      </c>
      <c r="D536" s="50"/>
      <c r="E536" s="58"/>
      <c r="F536" s="58"/>
      <c r="G536" s="58" t="str">
        <f>IFERROR(__xludf.DUMMYFUNCTION("""COMPUTED_VALUE"""),"Negative")</f>
        <v>Negative</v>
      </c>
      <c r="H536" s="206" t="str">
        <f>IFERROR(__xludf.DUMMYFUNCTION("""COMPUTED_VALUE"""),"Negative")</f>
        <v>Negative</v>
      </c>
      <c r="I536" s="207">
        <f>IFERROR(__xludf.DUMMYFUNCTION("""COMPUTED_VALUE"""),44677.0)</f>
        <v>44677</v>
      </c>
      <c r="J536" s="208">
        <f>IFERROR(__xludf.DUMMYFUNCTION("""COMPUTED_VALUE"""),0.34619212962962964)</f>
        <v>0.3461921296</v>
      </c>
      <c r="K536" s="50"/>
      <c r="L536" s="6"/>
      <c r="M536" s="55"/>
      <c r="N536" s="55">
        <f>IFERROR(__xludf.DUMMYFUNCTION("""COMPUTED_VALUE"""),1.0)</f>
        <v>1</v>
      </c>
      <c r="O536" s="55" t="str">
        <f t="shared" si="3"/>
        <v/>
      </c>
      <c r="P536" s="209"/>
      <c r="Q536" s="75" t="b">
        <f>VLOOKUP($B536,'Run Reconcile'!B$2:P1679,15,FALSE)</f>
        <v>1</v>
      </c>
      <c r="R536" s="211" t="str">
        <f t="array" ref="R536">IF($Q536, INDEX('Run Reconcile'!A$2:A1679,MATCH(B536,'Run Reconcile'!B$2:B1679,0),1),IFERROR(0/0,""))</f>
        <v>RUN-COMB_2022-04-26_RFR-030</v>
      </c>
      <c r="S536" s="165" t="str">
        <f t="shared" ref="S536:T536" si="1071">IF(COUNTIF(W$2:W1679, $A536) &gt; 0,TRUE,IFERROR(0/0,""))</f>
        <v/>
      </c>
      <c r="T536" s="165" t="str">
        <f t="shared" si="1071"/>
        <v/>
      </c>
      <c r="U536" s="147" t="str">
        <f t="array" ref="U536">IF(ISBLANK($R536), IF($S536,VLOOKUP($B536+1,'RFR Data - preExcl'!$BF$2:$BG1679,2,FALSE),IF($T536,INDEX('RFR Data - preExcl'!$BF$2:$BG1679,MATCH($B536,'RFR Data - preExcl'!$BF$2:$BF1679,0)+1,2),VLOOKUP($B536,'RFR Data - preExcl'!$BF$2:$BG1679,2,FALSE))),IFERROR(0/0,""))</f>
        <v/>
      </c>
      <c r="V536" s="212" t="str">
        <f t="shared" si="5"/>
        <v>RUN-COMB_2022-04-26_RFR-030</v>
      </c>
      <c r="W536" s="51"/>
      <c r="X536" s="51"/>
      <c r="Y536" s="147" t="str">
        <f t="shared" ref="Y536:Z536" si="1072">IF(_xlfn.ISFORMULA(S536),IFERROR(0/0,""),TRUE)</f>
        <v/>
      </c>
      <c r="Z536" s="147" t="str">
        <f t="shared" si="1072"/>
        <v/>
      </c>
    </row>
    <row r="537">
      <c r="A537" s="6" t="str">
        <f>IFERROR(__xludf.DUMMYFUNCTION("""COMPUTED_VALUE"""),"FM4032")</f>
        <v>FM4032</v>
      </c>
      <c r="B537" s="206">
        <f>IFERROR(__xludf.DUMMYFUNCTION("""COMPUTED_VALUE"""),44677.0)</f>
        <v>44677</v>
      </c>
      <c r="C537" s="207">
        <f>IFERROR(__xludf.DUMMYFUNCTION("""COMPUTED_VALUE"""),0.2636574074074074)</f>
        <v>0.2636574074</v>
      </c>
      <c r="D537" s="50"/>
      <c r="E537" s="58"/>
      <c r="F537" s="58"/>
      <c r="G537" s="58" t="str">
        <f>IFERROR(__xludf.DUMMYFUNCTION("""COMPUTED_VALUE"""),"Negative")</f>
        <v>Negative</v>
      </c>
      <c r="H537" s="206" t="str">
        <f>IFERROR(__xludf.DUMMYFUNCTION("""COMPUTED_VALUE"""),"Negative")</f>
        <v>Negative</v>
      </c>
      <c r="I537" s="207">
        <f>IFERROR(__xludf.DUMMYFUNCTION("""COMPUTED_VALUE"""),44677.0)</f>
        <v>44677</v>
      </c>
      <c r="J537" s="208">
        <f>IFERROR(__xludf.DUMMYFUNCTION("""COMPUTED_VALUE"""),0.34619212962962964)</f>
        <v>0.3461921296</v>
      </c>
      <c r="K537" s="50"/>
      <c r="L537" s="6"/>
      <c r="M537" s="55"/>
      <c r="N537" s="55">
        <f>IFERROR(__xludf.DUMMYFUNCTION("""COMPUTED_VALUE"""),1.0)</f>
        <v>1</v>
      </c>
      <c r="O537" s="55" t="str">
        <f t="shared" si="3"/>
        <v/>
      </c>
      <c r="P537" s="209"/>
      <c r="Q537" s="75" t="b">
        <f>VLOOKUP($B537,'Run Reconcile'!B$2:P1679,15,FALSE)</f>
        <v>1</v>
      </c>
      <c r="R537" s="211" t="str">
        <f t="array" ref="R537">IF($Q537, INDEX('Run Reconcile'!A$2:A1679,MATCH(B537,'Run Reconcile'!B$2:B1679,0),1),IFERROR(0/0,""))</f>
        <v>RUN-COMB_2022-04-26_RFR-030</v>
      </c>
      <c r="S537" s="165" t="str">
        <f t="shared" ref="S537:T537" si="1073">IF(COUNTIF(W$2:W1679, $A537) &gt; 0,TRUE,IFERROR(0/0,""))</f>
        <v/>
      </c>
      <c r="T537" s="165" t="str">
        <f t="shared" si="1073"/>
        <v/>
      </c>
      <c r="U537" s="147" t="str">
        <f t="array" ref="U537">IF(ISBLANK($R537), IF($S537,VLOOKUP($B537+1,'RFR Data - preExcl'!$BF$2:$BG1679,2,FALSE),IF($T537,INDEX('RFR Data - preExcl'!$BF$2:$BG1679,MATCH($B537,'RFR Data - preExcl'!$BF$2:$BF1679,0)+1,2),VLOOKUP($B537,'RFR Data - preExcl'!$BF$2:$BG1679,2,FALSE))),IFERROR(0/0,""))</f>
        <v/>
      </c>
      <c r="V537" s="212" t="str">
        <f t="shared" si="5"/>
        <v>RUN-COMB_2022-04-26_RFR-030</v>
      </c>
      <c r="W537" s="51"/>
      <c r="X537" s="51"/>
      <c r="Y537" s="147" t="str">
        <f t="shared" ref="Y537:Z537" si="1074">IF(_xlfn.ISFORMULA(S537),IFERROR(0/0,""),TRUE)</f>
        <v/>
      </c>
      <c r="Z537" s="147" t="str">
        <f t="shared" si="1074"/>
        <v/>
      </c>
    </row>
    <row r="538">
      <c r="A538" s="6" t="str">
        <f>IFERROR(__xludf.DUMMYFUNCTION("""COMPUTED_VALUE"""),"FM4093")</f>
        <v>FM4093</v>
      </c>
      <c r="B538" s="206">
        <f>IFERROR(__xludf.DUMMYFUNCTION("""COMPUTED_VALUE"""),44677.0)</f>
        <v>44677</v>
      </c>
      <c r="C538" s="207">
        <f>IFERROR(__xludf.DUMMYFUNCTION("""COMPUTED_VALUE"""),0.2640162037037037)</f>
        <v>0.2640162037</v>
      </c>
      <c r="D538" s="50"/>
      <c r="E538" s="58"/>
      <c r="F538" s="58"/>
      <c r="G538" s="58" t="str">
        <f>IFERROR(__xludf.DUMMYFUNCTION("""COMPUTED_VALUE"""),"Negative")</f>
        <v>Negative</v>
      </c>
      <c r="H538" s="206" t="str">
        <f>IFERROR(__xludf.DUMMYFUNCTION("""COMPUTED_VALUE"""),"Negative")</f>
        <v>Negative</v>
      </c>
      <c r="I538" s="207">
        <f>IFERROR(__xludf.DUMMYFUNCTION("""COMPUTED_VALUE"""),44677.0)</f>
        <v>44677</v>
      </c>
      <c r="J538" s="208">
        <f>IFERROR(__xludf.DUMMYFUNCTION("""COMPUTED_VALUE"""),0.3462037037037037)</f>
        <v>0.3462037037</v>
      </c>
      <c r="K538" s="50"/>
      <c r="L538" s="6"/>
      <c r="M538" s="55"/>
      <c r="N538" s="55">
        <f>IFERROR(__xludf.DUMMYFUNCTION("""COMPUTED_VALUE"""),1.0)</f>
        <v>1</v>
      </c>
      <c r="O538" s="55" t="str">
        <f t="shared" si="3"/>
        <v/>
      </c>
      <c r="P538" s="209"/>
      <c r="Q538" s="75" t="b">
        <f>VLOOKUP($B538,'Run Reconcile'!B$2:P1679,15,FALSE)</f>
        <v>1</v>
      </c>
      <c r="R538" s="211" t="str">
        <f t="array" ref="R538">IF($Q538, INDEX('Run Reconcile'!A$2:A1679,MATCH(B538,'Run Reconcile'!B$2:B1679,0),1),IFERROR(0/0,""))</f>
        <v>RUN-COMB_2022-04-26_RFR-030</v>
      </c>
      <c r="S538" s="165" t="str">
        <f t="shared" ref="S538:T538" si="1075">IF(COUNTIF(W$2:W1679, $A538) &gt; 0,TRUE,IFERROR(0/0,""))</f>
        <v/>
      </c>
      <c r="T538" s="165" t="str">
        <f t="shared" si="1075"/>
        <v/>
      </c>
      <c r="U538" s="147" t="str">
        <f t="array" ref="U538">IF(ISBLANK($R538), IF($S538,VLOOKUP($B538+1,'RFR Data - preExcl'!$BF$2:$BG1679,2,FALSE),IF($T538,INDEX('RFR Data - preExcl'!$BF$2:$BG1679,MATCH($B538,'RFR Data - preExcl'!$BF$2:$BF1679,0)+1,2),VLOOKUP($B538,'RFR Data - preExcl'!$BF$2:$BG1679,2,FALSE))),IFERROR(0/0,""))</f>
        <v/>
      </c>
      <c r="V538" s="212" t="str">
        <f t="shared" si="5"/>
        <v>RUN-COMB_2022-04-26_RFR-030</v>
      </c>
      <c r="W538" s="51"/>
      <c r="X538" s="51"/>
      <c r="Y538" s="147" t="str">
        <f t="shared" ref="Y538:Z538" si="1076">IF(_xlfn.ISFORMULA(S538),IFERROR(0/0,""),TRUE)</f>
        <v/>
      </c>
      <c r="Z538" s="147" t="str">
        <f t="shared" si="1076"/>
        <v/>
      </c>
    </row>
    <row r="539">
      <c r="A539" s="6" t="str">
        <f>IFERROR(__xludf.DUMMYFUNCTION("""COMPUTED_VALUE"""),"FM4106")</f>
        <v>FM4106</v>
      </c>
      <c r="B539" s="206">
        <f>IFERROR(__xludf.DUMMYFUNCTION("""COMPUTED_VALUE"""),44677.0)</f>
        <v>44677</v>
      </c>
      <c r="C539" s="207">
        <f>IFERROR(__xludf.DUMMYFUNCTION("""COMPUTED_VALUE"""),0.26630787037037035)</f>
        <v>0.2663078704</v>
      </c>
      <c r="D539" s="50"/>
      <c r="E539" s="58"/>
      <c r="F539" s="58"/>
      <c r="G539" s="58" t="str">
        <f>IFERROR(__xludf.DUMMYFUNCTION("""COMPUTED_VALUE"""),"Negative")</f>
        <v>Negative</v>
      </c>
      <c r="H539" s="206" t="str">
        <f>IFERROR(__xludf.DUMMYFUNCTION("""COMPUTED_VALUE"""),"Negative")</f>
        <v>Negative</v>
      </c>
      <c r="I539" s="207">
        <f>IFERROR(__xludf.DUMMYFUNCTION("""COMPUTED_VALUE"""),44677.0)</f>
        <v>44677</v>
      </c>
      <c r="J539" s="208">
        <f>IFERROR(__xludf.DUMMYFUNCTION("""COMPUTED_VALUE"""),0.3462152777777778)</f>
        <v>0.3462152778</v>
      </c>
      <c r="K539" s="50"/>
      <c r="L539" s="6"/>
      <c r="M539" s="55"/>
      <c r="N539" s="55">
        <f>IFERROR(__xludf.DUMMYFUNCTION("""COMPUTED_VALUE"""),1.0)</f>
        <v>1</v>
      </c>
      <c r="O539" s="55" t="str">
        <f t="shared" si="3"/>
        <v/>
      </c>
      <c r="P539" s="209"/>
      <c r="Q539" s="75" t="b">
        <f>VLOOKUP($B539,'Run Reconcile'!B$2:P1679,15,FALSE)</f>
        <v>1</v>
      </c>
      <c r="R539" s="211" t="str">
        <f t="array" ref="R539">IF($Q539, INDEX('Run Reconcile'!A$2:A1679,MATCH(B539,'Run Reconcile'!B$2:B1679,0),1),IFERROR(0/0,""))</f>
        <v>RUN-COMB_2022-04-26_RFR-030</v>
      </c>
      <c r="S539" s="165" t="str">
        <f t="shared" ref="S539:T539" si="1077">IF(COUNTIF(W$2:W1679, $A539) &gt; 0,TRUE,IFERROR(0/0,""))</f>
        <v/>
      </c>
      <c r="T539" s="165" t="str">
        <f t="shared" si="1077"/>
        <v/>
      </c>
      <c r="U539" s="147" t="str">
        <f t="array" ref="U539">IF(ISBLANK($R539), IF($S539,VLOOKUP($B539+1,'RFR Data - preExcl'!$BF$2:$BG1679,2,FALSE),IF($T539,INDEX('RFR Data - preExcl'!$BF$2:$BG1679,MATCH($B539,'RFR Data - preExcl'!$BF$2:$BF1679,0)+1,2),VLOOKUP($B539,'RFR Data - preExcl'!$BF$2:$BG1679,2,FALSE))),IFERROR(0/0,""))</f>
        <v/>
      </c>
      <c r="V539" s="212" t="str">
        <f t="shared" si="5"/>
        <v>RUN-COMB_2022-04-26_RFR-030</v>
      </c>
      <c r="W539" s="51"/>
      <c r="X539" s="51"/>
      <c r="Y539" s="147" t="str">
        <f t="shared" ref="Y539:Z539" si="1078">IF(_xlfn.ISFORMULA(S539),IFERROR(0/0,""),TRUE)</f>
        <v/>
      </c>
      <c r="Z539" s="147" t="str">
        <f t="shared" si="1078"/>
        <v/>
      </c>
    </row>
    <row r="540">
      <c r="A540" s="6" t="str">
        <f>IFERROR(__xludf.DUMMYFUNCTION("""COMPUTED_VALUE"""),"FM4092")</f>
        <v>FM4092</v>
      </c>
      <c r="B540" s="206">
        <f>IFERROR(__xludf.DUMMYFUNCTION("""COMPUTED_VALUE"""),44677.0)</f>
        <v>44677</v>
      </c>
      <c r="C540" s="207">
        <f>IFERROR(__xludf.DUMMYFUNCTION("""COMPUTED_VALUE"""),0.3240972222222222)</f>
        <v>0.3240972222</v>
      </c>
      <c r="D540" s="50"/>
      <c r="E540" s="58"/>
      <c r="F540" s="58"/>
      <c r="G540" s="58" t="str">
        <f>IFERROR(__xludf.DUMMYFUNCTION("""COMPUTED_VALUE"""),"Negative")</f>
        <v>Negative</v>
      </c>
      <c r="H540" s="206" t="str">
        <f>IFERROR(__xludf.DUMMYFUNCTION("""COMPUTED_VALUE"""),"Negative")</f>
        <v>Negative</v>
      </c>
      <c r="I540" s="207">
        <f>IFERROR(__xludf.DUMMYFUNCTION("""COMPUTED_VALUE"""),44677.0)</f>
        <v>44677</v>
      </c>
      <c r="J540" s="208">
        <f>IFERROR(__xludf.DUMMYFUNCTION("""COMPUTED_VALUE"""),0.3462152777777778)</f>
        <v>0.3462152778</v>
      </c>
      <c r="K540" s="50"/>
      <c r="L540" s="6"/>
      <c r="M540" s="55"/>
      <c r="N540" s="55">
        <f>IFERROR(__xludf.DUMMYFUNCTION("""COMPUTED_VALUE"""),1.0)</f>
        <v>1</v>
      </c>
      <c r="O540" s="55" t="str">
        <f t="shared" si="3"/>
        <v/>
      </c>
      <c r="P540" s="209"/>
      <c r="Q540" s="75" t="b">
        <f>VLOOKUP($B540,'Run Reconcile'!B$2:P1679,15,FALSE)</f>
        <v>1</v>
      </c>
      <c r="R540" s="211" t="str">
        <f t="array" ref="R540">IF($Q540, INDEX('Run Reconcile'!A$2:A1679,MATCH(B540,'Run Reconcile'!B$2:B1679,0),1),IFERROR(0/0,""))</f>
        <v>RUN-COMB_2022-04-26_RFR-030</v>
      </c>
      <c r="S540" s="165" t="str">
        <f t="shared" ref="S540:T540" si="1079">IF(COUNTIF(W$2:W1679, $A540) &gt; 0,TRUE,IFERROR(0/0,""))</f>
        <v/>
      </c>
      <c r="T540" s="165" t="str">
        <f t="shared" si="1079"/>
        <v/>
      </c>
      <c r="U540" s="147" t="str">
        <f t="array" ref="U540">IF(ISBLANK($R540), IF($S540,VLOOKUP($B540+1,'RFR Data - preExcl'!$BF$2:$BG1679,2,FALSE),IF($T540,INDEX('RFR Data - preExcl'!$BF$2:$BG1679,MATCH($B540,'RFR Data - preExcl'!$BF$2:$BF1679,0)+1,2),VLOOKUP($B540,'RFR Data - preExcl'!$BF$2:$BG1679,2,FALSE))),IFERROR(0/0,""))</f>
        <v/>
      </c>
      <c r="V540" s="212" t="str">
        <f t="shared" si="5"/>
        <v>RUN-COMB_2022-04-26_RFR-030</v>
      </c>
      <c r="W540" s="51"/>
      <c r="X540" s="51"/>
      <c r="Y540" s="147" t="str">
        <f t="shared" ref="Y540:Z540" si="1080">IF(_xlfn.ISFORMULA(S540),IFERROR(0/0,""),TRUE)</f>
        <v/>
      </c>
      <c r="Z540" s="147" t="str">
        <f t="shared" si="1080"/>
        <v/>
      </c>
    </row>
    <row r="541">
      <c r="A541" s="6" t="str">
        <f>IFERROR(__xludf.DUMMYFUNCTION("""COMPUTED_VALUE"""),"FM4129")</f>
        <v>FM4129</v>
      </c>
      <c r="B541" s="206">
        <f>IFERROR(__xludf.DUMMYFUNCTION("""COMPUTED_VALUE"""),44678.0)</f>
        <v>44678</v>
      </c>
      <c r="C541" s="207">
        <f>IFERROR(__xludf.DUMMYFUNCTION("""COMPUTED_VALUE"""),0.2767361111111111)</f>
        <v>0.2767361111</v>
      </c>
      <c r="D541" s="50"/>
      <c r="E541" s="58"/>
      <c r="F541" s="58"/>
      <c r="G541" s="58" t="str">
        <f>IFERROR(__xludf.DUMMYFUNCTION("""COMPUTED_VALUE"""),"Null")</f>
        <v>Null</v>
      </c>
      <c r="H541" s="206" t="str">
        <f>IFERROR(__xludf.DUMMYFUNCTION("""COMPUTED_VALUE"""),"Negative")</f>
        <v>Negative</v>
      </c>
      <c r="I541" s="207">
        <f>IFERROR(__xludf.DUMMYFUNCTION("""COMPUTED_VALUE"""),44678.0)</f>
        <v>44678</v>
      </c>
      <c r="J541" s="208">
        <f>IFERROR(__xludf.DUMMYFUNCTION("""COMPUTED_VALUE"""),0.2911574074074074)</f>
        <v>0.2911574074</v>
      </c>
      <c r="K541" s="50">
        <f>IFERROR(__xludf.DUMMYFUNCTION("""COMPUTED_VALUE"""),2.0)</f>
        <v>2</v>
      </c>
      <c r="L541" s="6"/>
      <c r="M541" s="55"/>
      <c r="N541" s="55">
        <f>IFERROR(__xludf.DUMMYFUNCTION("""COMPUTED_VALUE"""),1.0)</f>
        <v>1</v>
      </c>
      <c r="O541" s="55" t="b">
        <f t="shared" si="3"/>
        <v>1</v>
      </c>
      <c r="P541" s="209"/>
      <c r="Q541" s="75" t="b">
        <f>VLOOKUP($B541,'Run Reconcile'!B$2:P1679,15,FALSE)</f>
        <v>1</v>
      </c>
      <c r="R541" s="211" t="str">
        <f t="array" ref="R541">IF($Q541, INDEX('Run Reconcile'!A$2:A1679,MATCH(B541,'Run Reconcile'!B$2:B1679,0),1),IFERROR(0/0,""))</f>
        <v>RUN-COMB_2022-04-27_RFR-031</v>
      </c>
      <c r="S541" s="165" t="str">
        <f t="shared" ref="S541:T541" si="1081">IF(COUNTIF(W$2:W1679, $A541) &gt; 0,TRUE,IFERROR(0/0,""))</f>
        <v/>
      </c>
      <c r="T541" s="165" t="str">
        <f t="shared" si="1081"/>
        <v/>
      </c>
      <c r="U541" s="147" t="str">
        <f t="array" ref="U541">IF(ISBLANK($R541), IF($S541,VLOOKUP($B541+1,'RFR Data - preExcl'!$BF$2:$BG1679,2,FALSE),IF($T541,INDEX('RFR Data - preExcl'!$BF$2:$BG1679,MATCH($B541,'RFR Data - preExcl'!$BF$2:$BF1679,0)+1,2),VLOOKUP($B541,'RFR Data - preExcl'!$BF$2:$BG1679,2,FALSE))),IFERROR(0/0,""))</f>
        <v/>
      </c>
      <c r="V541" s="212" t="str">
        <f t="shared" si="5"/>
        <v>RUN-COMB_2022-04-27_RFR-031</v>
      </c>
      <c r="W541" s="51"/>
      <c r="X541" s="51"/>
      <c r="Y541" s="147" t="str">
        <f t="shared" ref="Y541:Z541" si="1082">IF(_xlfn.ISFORMULA(S541),IFERROR(0/0,""),TRUE)</f>
        <v/>
      </c>
      <c r="Z541" s="147" t="str">
        <f t="shared" si="1082"/>
        <v/>
      </c>
    </row>
    <row r="542">
      <c r="A542" s="6" t="str">
        <f>IFERROR(__xludf.DUMMYFUNCTION("""COMPUTED_VALUE"""),"FM4046")</f>
        <v>FM4046</v>
      </c>
      <c r="B542" s="206">
        <f>IFERROR(__xludf.DUMMYFUNCTION("""COMPUTED_VALUE"""),44678.0)</f>
        <v>44678</v>
      </c>
      <c r="C542" s="207">
        <f>IFERROR(__xludf.DUMMYFUNCTION("""COMPUTED_VALUE"""),0.27717592592592594)</f>
        <v>0.2771759259</v>
      </c>
      <c r="D542" s="50"/>
      <c r="E542" s="58"/>
      <c r="F542" s="58"/>
      <c r="G542" s="58" t="str">
        <f>IFERROR(__xludf.DUMMYFUNCTION("""COMPUTED_VALUE"""),"Null")</f>
        <v>Null</v>
      </c>
      <c r="H542" s="206" t="str">
        <f>IFERROR(__xludf.DUMMYFUNCTION("""COMPUTED_VALUE"""),"Negative")</f>
        <v>Negative</v>
      </c>
      <c r="I542" s="207">
        <f>IFERROR(__xludf.DUMMYFUNCTION("""COMPUTED_VALUE"""),44678.0)</f>
        <v>44678</v>
      </c>
      <c r="J542" s="208">
        <f>IFERROR(__xludf.DUMMYFUNCTION("""COMPUTED_VALUE"""),0.29116898148148146)</f>
        <v>0.2911689815</v>
      </c>
      <c r="K542" s="50">
        <f>IFERROR(__xludf.DUMMYFUNCTION("""COMPUTED_VALUE"""),2.0)</f>
        <v>2</v>
      </c>
      <c r="L542" s="6"/>
      <c r="M542" s="55"/>
      <c r="N542" s="55">
        <f>IFERROR(__xludf.DUMMYFUNCTION("""COMPUTED_VALUE"""),1.0)</f>
        <v>1</v>
      </c>
      <c r="O542" s="55" t="str">
        <f t="shared" si="3"/>
        <v/>
      </c>
      <c r="P542" s="209"/>
      <c r="Q542" s="75" t="b">
        <f>VLOOKUP($B542,'Run Reconcile'!B$2:P1679,15,FALSE)</f>
        <v>1</v>
      </c>
      <c r="R542" s="211" t="str">
        <f t="array" ref="R542">IF($Q542, INDEX('Run Reconcile'!A$2:A1679,MATCH(B542,'Run Reconcile'!B$2:B1679,0),1),IFERROR(0/0,""))</f>
        <v>RUN-COMB_2022-04-27_RFR-031</v>
      </c>
      <c r="S542" s="165" t="str">
        <f t="shared" ref="S542:T542" si="1083">IF(COUNTIF(W$2:W1679, $A542) &gt; 0,TRUE,IFERROR(0/0,""))</f>
        <v/>
      </c>
      <c r="T542" s="165" t="str">
        <f t="shared" si="1083"/>
        <v/>
      </c>
      <c r="U542" s="147" t="str">
        <f t="array" ref="U542">IF(ISBLANK($R542), IF($S542,VLOOKUP($B542+1,'RFR Data - preExcl'!$BF$2:$BG1679,2,FALSE),IF($T542,INDEX('RFR Data - preExcl'!$BF$2:$BG1679,MATCH($B542,'RFR Data - preExcl'!$BF$2:$BF1679,0)+1,2),VLOOKUP($B542,'RFR Data - preExcl'!$BF$2:$BG1679,2,FALSE))),IFERROR(0/0,""))</f>
        <v/>
      </c>
      <c r="V542" s="212" t="str">
        <f t="shared" si="5"/>
        <v>RUN-COMB_2022-04-27_RFR-031</v>
      </c>
      <c r="W542" s="51"/>
      <c r="X542" s="51"/>
      <c r="Y542" s="147" t="str">
        <f t="shared" ref="Y542:Z542" si="1084">IF(_xlfn.ISFORMULA(S542),IFERROR(0/0,""),TRUE)</f>
        <v/>
      </c>
      <c r="Z542" s="147" t="str">
        <f t="shared" si="1084"/>
        <v/>
      </c>
    </row>
    <row r="543">
      <c r="A543" s="6" t="str">
        <f>IFERROR(__xludf.DUMMYFUNCTION("""COMPUTED_VALUE"""),"FM4126")</f>
        <v>FM4126</v>
      </c>
      <c r="B543" s="206">
        <f>IFERROR(__xludf.DUMMYFUNCTION("""COMPUTED_VALUE"""),44678.0)</f>
        <v>44678</v>
      </c>
      <c r="C543" s="207">
        <f>IFERROR(__xludf.DUMMYFUNCTION("""COMPUTED_VALUE"""),0.2776388888888889)</f>
        <v>0.2776388889</v>
      </c>
      <c r="D543" s="50"/>
      <c r="E543" s="58"/>
      <c r="F543" s="58"/>
      <c r="G543" s="58" t="str">
        <f>IFERROR(__xludf.DUMMYFUNCTION("""COMPUTED_VALUE"""),"Null")</f>
        <v>Null</v>
      </c>
      <c r="H543" s="206" t="str">
        <f>IFERROR(__xludf.DUMMYFUNCTION("""COMPUTED_VALUE"""),"Negative")</f>
        <v>Negative</v>
      </c>
      <c r="I543" s="207">
        <f>IFERROR(__xludf.DUMMYFUNCTION("""COMPUTED_VALUE"""),44678.0)</f>
        <v>44678</v>
      </c>
      <c r="J543" s="208">
        <f>IFERROR(__xludf.DUMMYFUNCTION("""COMPUTED_VALUE"""),0.29119212962962965)</f>
        <v>0.2911921296</v>
      </c>
      <c r="K543" s="50">
        <f>IFERROR(__xludf.DUMMYFUNCTION("""COMPUTED_VALUE"""),2.0)</f>
        <v>2</v>
      </c>
      <c r="L543" s="6"/>
      <c r="M543" s="55"/>
      <c r="N543" s="55">
        <f>IFERROR(__xludf.DUMMYFUNCTION("""COMPUTED_VALUE"""),1.0)</f>
        <v>1</v>
      </c>
      <c r="O543" s="55" t="str">
        <f t="shared" si="3"/>
        <v/>
      </c>
      <c r="P543" s="209"/>
      <c r="Q543" s="75" t="b">
        <f>VLOOKUP($B543,'Run Reconcile'!B$2:P1679,15,FALSE)</f>
        <v>1</v>
      </c>
      <c r="R543" s="211" t="str">
        <f t="array" ref="R543">IF($Q543, INDEX('Run Reconcile'!A$2:A1679,MATCH(B543,'Run Reconcile'!B$2:B1679,0),1),IFERROR(0/0,""))</f>
        <v>RUN-COMB_2022-04-27_RFR-031</v>
      </c>
      <c r="S543" s="165" t="str">
        <f t="shared" ref="S543:T543" si="1085">IF(COUNTIF(W$2:W1679, $A543) &gt; 0,TRUE,IFERROR(0/0,""))</f>
        <v/>
      </c>
      <c r="T543" s="165" t="str">
        <f t="shared" si="1085"/>
        <v/>
      </c>
      <c r="U543" s="147" t="str">
        <f t="array" ref="U543">IF(ISBLANK($R543), IF($S543,VLOOKUP($B543+1,'RFR Data - preExcl'!$BF$2:$BG1679,2,FALSE),IF($T543,INDEX('RFR Data - preExcl'!$BF$2:$BG1679,MATCH($B543,'RFR Data - preExcl'!$BF$2:$BF1679,0)+1,2),VLOOKUP($B543,'RFR Data - preExcl'!$BF$2:$BG1679,2,FALSE))),IFERROR(0/0,""))</f>
        <v/>
      </c>
      <c r="V543" s="212" t="str">
        <f t="shared" si="5"/>
        <v>RUN-COMB_2022-04-27_RFR-031</v>
      </c>
      <c r="W543" s="51"/>
      <c r="X543" s="51"/>
      <c r="Y543" s="147" t="str">
        <f t="shared" ref="Y543:Z543" si="1086">IF(_xlfn.ISFORMULA(S543),IFERROR(0/0,""),TRUE)</f>
        <v/>
      </c>
      <c r="Z543" s="147" t="str">
        <f t="shared" si="1086"/>
        <v/>
      </c>
    </row>
    <row r="544">
      <c r="A544" s="6" t="str">
        <f>IFERROR(__xludf.DUMMYFUNCTION("""COMPUTED_VALUE"""),"FM4028")</f>
        <v>FM4028</v>
      </c>
      <c r="B544" s="206">
        <f>IFERROR(__xludf.DUMMYFUNCTION("""COMPUTED_VALUE"""),44678.0)</f>
        <v>44678</v>
      </c>
      <c r="C544" s="207">
        <f>IFERROR(__xludf.DUMMYFUNCTION("""COMPUTED_VALUE"""),0.27806712962962965)</f>
        <v>0.2780671296</v>
      </c>
      <c r="D544" s="50"/>
      <c r="E544" s="58"/>
      <c r="F544" s="58"/>
      <c r="G544" s="58" t="str">
        <f>IFERROR(__xludf.DUMMYFUNCTION("""COMPUTED_VALUE"""),"Null")</f>
        <v>Null</v>
      </c>
      <c r="H544" s="206" t="str">
        <f>IFERROR(__xludf.DUMMYFUNCTION("""COMPUTED_VALUE"""),"Negative")</f>
        <v>Negative</v>
      </c>
      <c r="I544" s="207">
        <f>IFERROR(__xludf.DUMMYFUNCTION("""COMPUTED_VALUE"""),44678.0)</f>
        <v>44678</v>
      </c>
      <c r="J544" s="208">
        <f>IFERROR(__xludf.DUMMYFUNCTION("""COMPUTED_VALUE"""),0.2912037037037037)</f>
        <v>0.2912037037</v>
      </c>
      <c r="K544" s="50">
        <f>IFERROR(__xludf.DUMMYFUNCTION("""COMPUTED_VALUE"""),2.0)</f>
        <v>2</v>
      </c>
      <c r="L544" s="6"/>
      <c r="M544" s="55"/>
      <c r="N544" s="55">
        <f>IFERROR(__xludf.DUMMYFUNCTION("""COMPUTED_VALUE"""),1.0)</f>
        <v>1</v>
      </c>
      <c r="O544" s="55" t="str">
        <f t="shared" si="3"/>
        <v/>
      </c>
      <c r="P544" s="209"/>
      <c r="Q544" s="75" t="b">
        <f>VLOOKUP($B544,'Run Reconcile'!B$2:P1679,15,FALSE)</f>
        <v>1</v>
      </c>
      <c r="R544" s="211" t="str">
        <f t="array" ref="R544">IF($Q544, INDEX('Run Reconcile'!A$2:A1679,MATCH(B544,'Run Reconcile'!B$2:B1679,0),1),IFERROR(0/0,""))</f>
        <v>RUN-COMB_2022-04-27_RFR-031</v>
      </c>
      <c r="S544" s="165" t="str">
        <f t="shared" ref="S544:T544" si="1087">IF(COUNTIF(W$2:W1679, $A544) &gt; 0,TRUE,IFERROR(0/0,""))</f>
        <v/>
      </c>
      <c r="T544" s="165" t="str">
        <f t="shared" si="1087"/>
        <v/>
      </c>
      <c r="U544" s="147" t="str">
        <f t="array" ref="U544">IF(ISBLANK($R544), IF($S544,VLOOKUP($B544+1,'RFR Data - preExcl'!$BF$2:$BG1679,2,FALSE),IF($T544,INDEX('RFR Data - preExcl'!$BF$2:$BG1679,MATCH($B544,'RFR Data - preExcl'!$BF$2:$BF1679,0)+1,2),VLOOKUP($B544,'RFR Data - preExcl'!$BF$2:$BG1679,2,FALSE))),IFERROR(0/0,""))</f>
        <v/>
      </c>
      <c r="V544" s="212" t="str">
        <f t="shared" si="5"/>
        <v>RUN-COMB_2022-04-27_RFR-031</v>
      </c>
      <c r="W544" s="51"/>
      <c r="X544" s="51"/>
      <c r="Y544" s="147" t="str">
        <f t="shared" ref="Y544:Z544" si="1088">IF(_xlfn.ISFORMULA(S544),IFERROR(0/0,""),TRUE)</f>
        <v/>
      </c>
      <c r="Z544" s="147" t="str">
        <f t="shared" si="1088"/>
        <v/>
      </c>
    </row>
    <row r="545">
      <c r="A545" s="6" t="str">
        <f>IFERROR(__xludf.DUMMYFUNCTION("""COMPUTED_VALUE"""),"FM4115")</f>
        <v>FM4115</v>
      </c>
      <c r="B545" s="206">
        <f>IFERROR(__xludf.DUMMYFUNCTION("""COMPUTED_VALUE"""),44678.0)</f>
        <v>44678</v>
      </c>
      <c r="C545" s="207">
        <f>IFERROR(__xludf.DUMMYFUNCTION("""COMPUTED_VALUE"""),0.27847222222222223)</f>
        <v>0.2784722222</v>
      </c>
      <c r="D545" s="50"/>
      <c r="E545" s="58"/>
      <c r="F545" s="58"/>
      <c r="G545" s="58" t="str">
        <f>IFERROR(__xludf.DUMMYFUNCTION("""COMPUTED_VALUE"""),"Null")</f>
        <v>Null</v>
      </c>
      <c r="H545" s="206" t="str">
        <f>IFERROR(__xludf.DUMMYFUNCTION("""COMPUTED_VALUE"""),"Negative")</f>
        <v>Negative</v>
      </c>
      <c r="I545" s="207">
        <f>IFERROR(__xludf.DUMMYFUNCTION("""COMPUTED_VALUE"""),44678.0)</f>
        <v>44678</v>
      </c>
      <c r="J545" s="208">
        <f>IFERROR(__xludf.DUMMYFUNCTION("""COMPUTED_VALUE"""),0.2912152777777778)</f>
        <v>0.2912152778</v>
      </c>
      <c r="K545" s="50">
        <f>IFERROR(__xludf.DUMMYFUNCTION("""COMPUTED_VALUE"""),2.0)</f>
        <v>2</v>
      </c>
      <c r="L545" s="6"/>
      <c r="M545" s="55"/>
      <c r="N545" s="55">
        <f>IFERROR(__xludf.DUMMYFUNCTION("""COMPUTED_VALUE"""),1.0)</f>
        <v>1</v>
      </c>
      <c r="O545" s="55" t="str">
        <f t="shared" si="3"/>
        <v/>
      </c>
      <c r="P545" s="209"/>
      <c r="Q545" s="75" t="b">
        <f>VLOOKUP($B545,'Run Reconcile'!B$2:P1679,15,FALSE)</f>
        <v>1</v>
      </c>
      <c r="R545" s="211" t="str">
        <f t="array" ref="R545">IF($Q545, INDEX('Run Reconcile'!A$2:A1679,MATCH(B545,'Run Reconcile'!B$2:B1679,0),1),IFERROR(0/0,""))</f>
        <v>RUN-COMB_2022-04-27_RFR-031</v>
      </c>
      <c r="S545" s="165" t="str">
        <f t="shared" ref="S545:T545" si="1089">IF(COUNTIF(W$2:W1679, $A545) &gt; 0,TRUE,IFERROR(0/0,""))</f>
        <v/>
      </c>
      <c r="T545" s="165" t="str">
        <f t="shared" si="1089"/>
        <v/>
      </c>
      <c r="U545" s="147" t="str">
        <f t="array" ref="U545">IF(ISBLANK($R545), IF($S545,VLOOKUP($B545+1,'RFR Data - preExcl'!$BF$2:$BG1679,2,FALSE),IF($T545,INDEX('RFR Data - preExcl'!$BF$2:$BG1679,MATCH($B545,'RFR Data - preExcl'!$BF$2:$BF1679,0)+1,2),VLOOKUP($B545,'RFR Data - preExcl'!$BF$2:$BG1679,2,FALSE))),IFERROR(0/0,""))</f>
        <v/>
      </c>
      <c r="V545" s="212" t="str">
        <f t="shared" si="5"/>
        <v>RUN-COMB_2022-04-27_RFR-031</v>
      </c>
      <c r="W545" s="51"/>
      <c r="X545" s="51"/>
      <c r="Y545" s="147" t="str">
        <f t="shared" ref="Y545:Z545" si="1090">IF(_xlfn.ISFORMULA(S545),IFERROR(0/0,""),TRUE)</f>
        <v/>
      </c>
      <c r="Z545" s="147" t="str">
        <f t="shared" si="1090"/>
        <v/>
      </c>
    </row>
    <row r="546">
      <c r="A546" s="6" t="str">
        <f>IFERROR(__xludf.DUMMYFUNCTION("""COMPUTED_VALUE"""),"FM4036")</f>
        <v>FM4036</v>
      </c>
      <c r="B546" s="206">
        <f>IFERROR(__xludf.DUMMYFUNCTION("""COMPUTED_VALUE"""),44678.0)</f>
        <v>44678</v>
      </c>
      <c r="C546" s="207">
        <f>IFERROR(__xludf.DUMMYFUNCTION("""COMPUTED_VALUE"""),0.28097222222222223)</f>
        <v>0.2809722222</v>
      </c>
      <c r="D546" s="50"/>
      <c r="E546" s="58"/>
      <c r="F546" s="58"/>
      <c r="G546" s="58" t="str">
        <f>IFERROR(__xludf.DUMMYFUNCTION("""COMPUTED_VALUE"""),"Null")</f>
        <v>Null</v>
      </c>
      <c r="H546" s="206" t="str">
        <f>IFERROR(__xludf.DUMMYFUNCTION("""COMPUTED_VALUE"""),"Negative")</f>
        <v>Negative</v>
      </c>
      <c r="I546" s="207">
        <f>IFERROR(__xludf.DUMMYFUNCTION("""COMPUTED_VALUE"""),44678.0)</f>
        <v>44678</v>
      </c>
      <c r="J546" s="208">
        <f>IFERROR(__xludf.DUMMYFUNCTION("""COMPUTED_VALUE"""),0.2912268518518519)</f>
        <v>0.2912268519</v>
      </c>
      <c r="K546" s="50">
        <f>IFERROR(__xludf.DUMMYFUNCTION("""COMPUTED_VALUE"""),2.0)</f>
        <v>2</v>
      </c>
      <c r="L546" s="6"/>
      <c r="M546" s="55"/>
      <c r="N546" s="55">
        <f>IFERROR(__xludf.DUMMYFUNCTION("""COMPUTED_VALUE"""),1.0)</f>
        <v>1</v>
      </c>
      <c r="O546" s="55" t="str">
        <f t="shared" si="3"/>
        <v/>
      </c>
      <c r="P546" s="209"/>
      <c r="Q546" s="75" t="b">
        <f>VLOOKUP($B546,'Run Reconcile'!B$2:P1679,15,FALSE)</f>
        <v>1</v>
      </c>
      <c r="R546" s="211" t="str">
        <f t="array" ref="R546">IF($Q546, INDEX('Run Reconcile'!A$2:A1679,MATCH(B546,'Run Reconcile'!B$2:B1679,0),1),IFERROR(0/0,""))</f>
        <v>RUN-COMB_2022-04-27_RFR-031</v>
      </c>
      <c r="S546" s="165" t="str">
        <f t="shared" ref="S546:T546" si="1091">IF(COUNTIF(W$2:W1679, $A546) &gt; 0,TRUE,IFERROR(0/0,""))</f>
        <v/>
      </c>
      <c r="T546" s="165" t="str">
        <f t="shared" si="1091"/>
        <v/>
      </c>
      <c r="U546" s="147" t="str">
        <f t="array" ref="U546">IF(ISBLANK($R546), IF($S546,VLOOKUP($B546+1,'RFR Data - preExcl'!$BF$2:$BG1679,2,FALSE),IF($T546,INDEX('RFR Data - preExcl'!$BF$2:$BG1679,MATCH($B546,'RFR Data - preExcl'!$BF$2:$BF1679,0)+1,2),VLOOKUP($B546,'RFR Data - preExcl'!$BF$2:$BG1679,2,FALSE))),IFERROR(0/0,""))</f>
        <v/>
      </c>
      <c r="V546" s="212" t="str">
        <f t="shared" si="5"/>
        <v>RUN-COMB_2022-04-27_RFR-031</v>
      </c>
      <c r="W546" s="51"/>
      <c r="X546" s="51"/>
      <c r="Y546" s="147" t="str">
        <f t="shared" ref="Y546:Z546" si="1092">IF(_xlfn.ISFORMULA(S546),IFERROR(0/0,""),TRUE)</f>
        <v/>
      </c>
      <c r="Z546" s="147" t="str">
        <f t="shared" si="1092"/>
        <v/>
      </c>
    </row>
    <row r="547">
      <c r="A547" s="6" t="str">
        <f>IFERROR(__xludf.DUMMYFUNCTION("""COMPUTED_VALUE"""),"FM4086")</f>
        <v>FM4086</v>
      </c>
      <c r="B547" s="206">
        <f>IFERROR(__xludf.DUMMYFUNCTION("""COMPUTED_VALUE"""),44678.0)</f>
        <v>44678</v>
      </c>
      <c r="C547" s="207">
        <f>IFERROR(__xludf.DUMMYFUNCTION("""COMPUTED_VALUE"""),0.28140046296296295)</f>
        <v>0.281400463</v>
      </c>
      <c r="D547" s="50"/>
      <c r="E547" s="58"/>
      <c r="F547" s="58"/>
      <c r="G547" s="58" t="str">
        <f>IFERROR(__xludf.DUMMYFUNCTION("""COMPUTED_VALUE"""),"Null")</f>
        <v>Null</v>
      </c>
      <c r="H547" s="206" t="str">
        <f>IFERROR(__xludf.DUMMYFUNCTION("""COMPUTED_VALUE"""),"Negative")</f>
        <v>Negative</v>
      </c>
      <c r="I547" s="207">
        <f>IFERROR(__xludf.DUMMYFUNCTION("""COMPUTED_VALUE"""),44678.0)</f>
        <v>44678</v>
      </c>
      <c r="J547" s="208">
        <f>IFERROR(__xludf.DUMMYFUNCTION("""COMPUTED_VALUE"""),0.2912384259259259)</f>
        <v>0.2912384259</v>
      </c>
      <c r="K547" s="50">
        <f>IFERROR(__xludf.DUMMYFUNCTION("""COMPUTED_VALUE"""),2.0)</f>
        <v>2</v>
      </c>
      <c r="L547" s="6"/>
      <c r="M547" s="55"/>
      <c r="N547" s="55">
        <f>IFERROR(__xludf.DUMMYFUNCTION("""COMPUTED_VALUE"""),1.0)</f>
        <v>1</v>
      </c>
      <c r="O547" s="55" t="str">
        <f t="shared" si="3"/>
        <v/>
      </c>
      <c r="P547" s="209"/>
      <c r="Q547" s="75" t="b">
        <f>VLOOKUP($B547,'Run Reconcile'!B$2:P1679,15,FALSE)</f>
        <v>1</v>
      </c>
      <c r="R547" s="211" t="str">
        <f t="array" ref="R547">IF($Q547, INDEX('Run Reconcile'!A$2:A1679,MATCH(B547,'Run Reconcile'!B$2:B1679,0),1),IFERROR(0/0,""))</f>
        <v>RUN-COMB_2022-04-27_RFR-031</v>
      </c>
      <c r="S547" s="165" t="str">
        <f t="shared" ref="S547:T547" si="1093">IF(COUNTIF(W$2:W1679, $A547) &gt; 0,TRUE,IFERROR(0/0,""))</f>
        <v/>
      </c>
      <c r="T547" s="165" t="str">
        <f t="shared" si="1093"/>
        <v/>
      </c>
      <c r="U547" s="147" t="str">
        <f t="array" ref="U547">IF(ISBLANK($R547), IF($S547,VLOOKUP($B547+1,'RFR Data - preExcl'!$BF$2:$BG1679,2,FALSE),IF($T547,INDEX('RFR Data - preExcl'!$BF$2:$BG1679,MATCH($B547,'RFR Data - preExcl'!$BF$2:$BF1679,0)+1,2),VLOOKUP($B547,'RFR Data - preExcl'!$BF$2:$BG1679,2,FALSE))),IFERROR(0/0,""))</f>
        <v/>
      </c>
      <c r="V547" s="212" t="str">
        <f t="shared" si="5"/>
        <v>RUN-COMB_2022-04-27_RFR-031</v>
      </c>
      <c r="W547" s="51"/>
      <c r="X547" s="51"/>
      <c r="Y547" s="147" t="str">
        <f t="shared" ref="Y547:Z547" si="1094">IF(_xlfn.ISFORMULA(S547),IFERROR(0/0,""),TRUE)</f>
        <v/>
      </c>
      <c r="Z547" s="147" t="str">
        <f t="shared" si="1094"/>
        <v/>
      </c>
    </row>
    <row r="548">
      <c r="A548" s="6" t="str">
        <f>IFERROR(__xludf.DUMMYFUNCTION("""COMPUTED_VALUE"""),"FM4059")</f>
        <v>FM4059</v>
      </c>
      <c r="B548" s="206">
        <f>IFERROR(__xludf.DUMMYFUNCTION("""COMPUTED_VALUE"""),44678.0)</f>
        <v>44678</v>
      </c>
      <c r="C548" s="207">
        <f>IFERROR(__xludf.DUMMYFUNCTION("""COMPUTED_VALUE"""),0.2819097222222222)</f>
        <v>0.2819097222</v>
      </c>
      <c r="D548" s="50"/>
      <c r="E548" s="58"/>
      <c r="F548" s="58"/>
      <c r="G548" s="58" t="str">
        <f>IFERROR(__xludf.DUMMYFUNCTION("""COMPUTED_VALUE"""),"Null")</f>
        <v>Null</v>
      </c>
      <c r="H548" s="206" t="str">
        <f>IFERROR(__xludf.DUMMYFUNCTION("""COMPUTED_VALUE"""),"Negative")</f>
        <v>Negative</v>
      </c>
      <c r="I548" s="207">
        <f>IFERROR(__xludf.DUMMYFUNCTION("""COMPUTED_VALUE"""),44678.0)</f>
        <v>44678</v>
      </c>
      <c r="J548" s="208">
        <f>IFERROR(__xludf.DUMMYFUNCTION("""COMPUTED_VALUE"""),0.29125)</f>
        <v>0.29125</v>
      </c>
      <c r="K548" s="50">
        <f>IFERROR(__xludf.DUMMYFUNCTION("""COMPUTED_VALUE"""),2.0)</f>
        <v>2</v>
      </c>
      <c r="L548" s="6"/>
      <c r="M548" s="55"/>
      <c r="N548" s="55">
        <f>IFERROR(__xludf.DUMMYFUNCTION("""COMPUTED_VALUE"""),1.0)</f>
        <v>1</v>
      </c>
      <c r="O548" s="55" t="str">
        <f t="shared" si="3"/>
        <v/>
      </c>
      <c r="P548" s="209"/>
      <c r="Q548" s="75" t="b">
        <f>VLOOKUP($B548,'Run Reconcile'!B$2:P1679,15,FALSE)</f>
        <v>1</v>
      </c>
      <c r="R548" s="211" t="str">
        <f t="array" ref="R548">IF($Q548, INDEX('Run Reconcile'!A$2:A1679,MATCH(B548,'Run Reconcile'!B$2:B1679,0),1),IFERROR(0/0,""))</f>
        <v>RUN-COMB_2022-04-27_RFR-031</v>
      </c>
      <c r="S548" s="165" t="str">
        <f t="shared" ref="S548:T548" si="1095">IF(COUNTIF(W$2:W1679, $A548) &gt; 0,TRUE,IFERROR(0/0,""))</f>
        <v/>
      </c>
      <c r="T548" s="165" t="str">
        <f t="shared" si="1095"/>
        <v/>
      </c>
      <c r="U548" s="147" t="str">
        <f t="array" ref="U548">IF(ISBLANK($R548), IF($S548,VLOOKUP($B548+1,'RFR Data - preExcl'!$BF$2:$BG1679,2,FALSE),IF($T548,INDEX('RFR Data - preExcl'!$BF$2:$BG1679,MATCH($B548,'RFR Data - preExcl'!$BF$2:$BF1679,0)+1,2),VLOOKUP($B548,'RFR Data - preExcl'!$BF$2:$BG1679,2,FALSE))),IFERROR(0/0,""))</f>
        <v/>
      </c>
      <c r="V548" s="212" t="str">
        <f t="shared" si="5"/>
        <v>RUN-COMB_2022-04-27_RFR-031</v>
      </c>
      <c r="W548" s="51"/>
      <c r="X548" s="51"/>
      <c r="Y548" s="147" t="str">
        <f t="shared" ref="Y548:Z548" si="1096">IF(_xlfn.ISFORMULA(S548),IFERROR(0/0,""),TRUE)</f>
        <v/>
      </c>
      <c r="Z548" s="147" t="str">
        <f t="shared" si="1096"/>
        <v/>
      </c>
    </row>
    <row r="549">
      <c r="A549" s="6" t="str">
        <f>IFERROR(__xludf.DUMMYFUNCTION("""COMPUTED_VALUE"""),"FM4042")</f>
        <v>FM4042</v>
      </c>
      <c r="B549" s="206">
        <f>IFERROR(__xludf.DUMMYFUNCTION("""COMPUTED_VALUE"""),44678.0)</f>
        <v>44678</v>
      </c>
      <c r="C549" s="207">
        <f>IFERROR(__xludf.DUMMYFUNCTION("""COMPUTED_VALUE"""),0.2823611111111111)</f>
        <v>0.2823611111</v>
      </c>
      <c r="D549" s="50"/>
      <c r="E549" s="58"/>
      <c r="F549" s="58"/>
      <c r="G549" s="58" t="str">
        <f>IFERROR(__xludf.DUMMYFUNCTION("""COMPUTED_VALUE"""),"Null")</f>
        <v>Null</v>
      </c>
      <c r="H549" s="206" t="str">
        <f>IFERROR(__xludf.DUMMYFUNCTION("""COMPUTED_VALUE"""),"Negative")</f>
        <v>Negative</v>
      </c>
      <c r="I549" s="207">
        <f>IFERROR(__xludf.DUMMYFUNCTION("""COMPUTED_VALUE"""),44678.0)</f>
        <v>44678</v>
      </c>
      <c r="J549" s="208">
        <f>IFERROR(__xludf.DUMMYFUNCTION("""COMPUTED_VALUE"""),0.29125)</f>
        <v>0.29125</v>
      </c>
      <c r="K549" s="50">
        <f>IFERROR(__xludf.DUMMYFUNCTION("""COMPUTED_VALUE"""),2.0)</f>
        <v>2</v>
      </c>
      <c r="L549" s="6"/>
      <c r="M549" s="55"/>
      <c r="N549" s="55">
        <f>IFERROR(__xludf.DUMMYFUNCTION("""COMPUTED_VALUE"""),1.0)</f>
        <v>1</v>
      </c>
      <c r="O549" s="55" t="str">
        <f t="shared" si="3"/>
        <v/>
      </c>
      <c r="P549" s="209"/>
      <c r="Q549" s="75" t="b">
        <f>VLOOKUP($B549,'Run Reconcile'!B$2:P1679,15,FALSE)</f>
        <v>1</v>
      </c>
      <c r="R549" s="211" t="str">
        <f t="array" ref="R549">IF($Q549, INDEX('Run Reconcile'!A$2:A1679,MATCH(B549,'Run Reconcile'!B$2:B1679,0),1),IFERROR(0/0,""))</f>
        <v>RUN-COMB_2022-04-27_RFR-031</v>
      </c>
      <c r="S549" s="165" t="str">
        <f t="shared" ref="S549:T549" si="1097">IF(COUNTIF(W$2:W1679, $A549) &gt; 0,TRUE,IFERROR(0/0,""))</f>
        <v/>
      </c>
      <c r="T549" s="165" t="str">
        <f t="shared" si="1097"/>
        <v/>
      </c>
      <c r="U549" s="147" t="str">
        <f t="array" ref="U549">IF(ISBLANK($R549), IF($S549,VLOOKUP($B549+1,'RFR Data - preExcl'!$BF$2:$BG1679,2,FALSE),IF($T549,INDEX('RFR Data - preExcl'!$BF$2:$BG1679,MATCH($B549,'RFR Data - preExcl'!$BF$2:$BF1679,0)+1,2),VLOOKUP($B549,'RFR Data - preExcl'!$BF$2:$BG1679,2,FALSE))),IFERROR(0/0,""))</f>
        <v/>
      </c>
      <c r="V549" s="212" t="str">
        <f t="shared" si="5"/>
        <v>RUN-COMB_2022-04-27_RFR-031</v>
      </c>
      <c r="W549" s="51"/>
      <c r="X549" s="51"/>
      <c r="Y549" s="147" t="str">
        <f t="shared" ref="Y549:Z549" si="1098">IF(_xlfn.ISFORMULA(S549),IFERROR(0/0,""),TRUE)</f>
        <v/>
      </c>
      <c r="Z549" s="147" t="str">
        <f t="shared" si="1098"/>
        <v/>
      </c>
    </row>
    <row r="550">
      <c r="A550" s="6" t="str">
        <f>IFERROR(__xludf.DUMMYFUNCTION("""COMPUTED_VALUE"""),"FM4033")</f>
        <v>FM4033</v>
      </c>
      <c r="B550" s="206">
        <f>IFERROR(__xludf.DUMMYFUNCTION("""COMPUTED_VALUE"""),44678.0)</f>
        <v>44678</v>
      </c>
      <c r="C550" s="207">
        <f>IFERROR(__xludf.DUMMYFUNCTION("""COMPUTED_VALUE"""),0.28322916666666664)</f>
        <v>0.2832291667</v>
      </c>
      <c r="D550" s="50"/>
      <c r="E550" s="58"/>
      <c r="F550" s="58"/>
      <c r="G550" s="58" t="str">
        <f>IFERROR(__xludf.DUMMYFUNCTION("""COMPUTED_VALUE"""),"Null")</f>
        <v>Null</v>
      </c>
      <c r="H550" s="206" t="str">
        <f>IFERROR(__xludf.DUMMYFUNCTION("""COMPUTED_VALUE"""),"Negative")</f>
        <v>Negative</v>
      </c>
      <c r="I550" s="207">
        <f>IFERROR(__xludf.DUMMYFUNCTION("""COMPUTED_VALUE"""),44678.0)</f>
        <v>44678</v>
      </c>
      <c r="J550" s="208">
        <f>IFERROR(__xludf.DUMMYFUNCTION("""COMPUTED_VALUE"""),0.29126157407407405)</f>
        <v>0.2912615741</v>
      </c>
      <c r="K550" s="50">
        <f>IFERROR(__xludf.DUMMYFUNCTION("""COMPUTED_VALUE"""),2.0)</f>
        <v>2</v>
      </c>
      <c r="L550" s="6"/>
      <c r="M550" s="55"/>
      <c r="N550" s="55">
        <f>IFERROR(__xludf.DUMMYFUNCTION("""COMPUTED_VALUE"""),1.0)</f>
        <v>1</v>
      </c>
      <c r="O550" s="55" t="str">
        <f t="shared" si="3"/>
        <v/>
      </c>
      <c r="P550" s="209"/>
      <c r="Q550" s="75" t="b">
        <f>VLOOKUP($B550,'Run Reconcile'!B$2:P1679,15,FALSE)</f>
        <v>1</v>
      </c>
      <c r="R550" s="211" t="str">
        <f t="array" ref="R550">IF($Q550, INDEX('Run Reconcile'!A$2:A1679,MATCH(B550,'Run Reconcile'!B$2:B1679,0),1),IFERROR(0/0,""))</f>
        <v>RUN-COMB_2022-04-27_RFR-031</v>
      </c>
      <c r="S550" s="165" t="str">
        <f t="shared" ref="S550:T550" si="1099">IF(COUNTIF(W$2:W1679, $A550) &gt; 0,TRUE,IFERROR(0/0,""))</f>
        <v/>
      </c>
      <c r="T550" s="165" t="str">
        <f t="shared" si="1099"/>
        <v/>
      </c>
      <c r="U550" s="147" t="str">
        <f t="array" ref="U550">IF(ISBLANK($R550), IF($S550,VLOOKUP($B550+1,'RFR Data - preExcl'!$BF$2:$BG1679,2,FALSE),IF($T550,INDEX('RFR Data - preExcl'!$BF$2:$BG1679,MATCH($B550,'RFR Data - preExcl'!$BF$2:$BF1679,0)+1,2),VLOOKUP($B550,'RFR Data - preExcl'!$BF$2:$BG1679,2,FALSE))),IFERROR(0/0,""))</f>
        <v/>
      </c>
      <c r="V550" s="212" t="str">
        <f t="shared" si="5"/>
        <v>RUN-COMB_2022-04-27_RFR-031</v>
      </c>
      <c r="W550" s="51"/>
      <c r="X550" s="51"/>
      <c r="Y550" s="147" t="str">
        <f t="shared" ref="Y550:Z550" si="1100">IF(_xlfn.ISFORMULA(S550),IFERROR(0/0,""),TRUE)</f>
        <v/>
      </c>
      <c r="Z550" s="147" t="str">
        <f t="shared" si="1100"/>
        <v/>
      </c>
    </row>
    <row r="551">
      <c r="A551" s="6" t="str">
        <f>IFERROR(__xludf.DUMMYFUNCTION("""COMPUTED_VALUE"""),"FM4128")</f>
        <v>FM4128</v>
      </c>
      <c r="B551" s="206">
        <f>IFERROR(__xludf.DUMMYFUNCTION("""COMPUTED_VALUE"""),44678.0)</f>
        <v>44678</v>
      </c>
      <c r="C551" s="207">
        <f>IFERROR(__xludf.DUMMYFUNCTION("""COMPUTED_VALUE"""),0.28372685185185187)</f>
        <v>0.2837268519</v>
      </c>
      <c r="D551" s="50"/>
      <c r="E551" s="58"/>
      <c r="F551" s="58"/>
      <c r="G551" s="58" t="str">
        <f>IFERROR(__xludf.DUMMYFUNCTION("""COMPUTED_VALUE"""),"Null")</f>
        <v>Null</v>
      </c>
      <c r="H551" s="206" t="str">
        <f>IFERROR(__xludf.DUMMYFUNCTION("""COMPUTED_VALUE"""),"Negative")</f>
        <v>Negative</v>
      </c>
      <c r="I551" s="207">
        <f>IFERROR(__xludf.DUMMYFUNCTION("""COMPUTED_VALUE"""),44678.0)</f>
        <v>44678</v>
      </c>
      <c r="J551" s="208">
        <f>IFERROR(__xludf.DUMMYFUNCTION("""COMPUTED_VALUE"""),0.29126157407407405)</f>
        <v>0.2912615741</v>
      </c>
      <c r="K551" s="50">
        <f>IFERROR(__xludf.DUMMYFUNCTION("""COMPUTED_VALUE"""),2.0)</f>
        <v>2</v>
      </c>
      <c r="L551" s="6"/>
      <c r="M551" s="55"/>
      <c r="N551" s="55">
        <f>IFERROR(__xludf.DUMMYFUNCTION("""COMPUTED_VALUE"""),1.0)</f>
        <v>1</v>
      </c>
      <c r="O551" s="55" t="str">
        <f t="shared" si="3"/>
        <v/>
      </c>
      <c r="P551" s="209"/>
      <c r="Q551" s="75" t="b">
        <f>VLOOKUP($B551,'Run Reconcile'!B$2:P1679,15,FALSE)</f>
        <v>1</v>
      </c>
      <c r="R551" s="211" t="str">
        <f t="array" ref="R551">IF($Q551, INDEX('Run Reconcile'!A$2:A1679,MATCH(B551,'Run Reconcile'!B$2:B1679,0),1),IFERROR(0/0,""))</f>
        <v>RUN-COMB_2022-04-27_RFR-031</v>
      </c>
      <c r="S551" s="165" t="str">
        <f t="shared" ref="S551:T551" si="1101">IF(COUNTIF(W$2:W1679, $A551) &gt; 0,TRUE,IFERROR(0/0,""))</f>
        <v/>
      </c>
      <c r="T551" s="165" t="str">
        <f t="shared" si="1101"/>
        <v/>
      </c>
      <c r="U551" s="147" t="str">
        <f t="array" ref="U551">IF(ISBLANK($R551), IF($S551,VLOOKUP($B551+1,'RFR Data - preExcl'!$BF$2:$BG1679,2,FALSE),IF($T551,INDEX('RFR Data - preExcl'!$BF$2:$BG1679,MATCH($B551,'RFR Data - preExcl'!$BF$2:$BF1679,0)+1,2),VLOOKUP($B551,'RFR Data - preExcl'!$BF$2:$BG1679,2,FALSE))),IFERROR(0/0,""))</f>
        <v/>
      </c>
      <c r="V551" s="212" t="str">
        <f t="shared" si="5"/>
        <v>RUN-COMB_2022-04-27_RFR-031</v>
      </c>
      <c r="W551" s="51"/>
      <c r="X551" s="51"/>
      <c r="Y551" s="147" t="str">
        <f t="shared" ref="Y551:Z551" si="1102">IF(_xlfn.ISFORMULA(S551),IFERROR(0/0,""),TRUE)</f>
        <v/>
      </c>
      <c r="Z551" s="147" t="str">
        <f t="shared" si="1102"/>
        <v/>
      </c>
    </row>
    <row r="552">
      <c r="A552" s="6" t="str">
        <f>IFERROR(__xludf.DUMMYFUNCTION("""COMPUTED_VALUE"""),"FM4136")</f>
        <v>FM4136</v>
      </c>
      <c r="B552" s="206">
        <f>IFERROR(__xludf.DUMMYFUNCTION("""COMPUTED_VALUE"""),44678.0)</f>
        <v>44678</v>
      </c>
      <c r="C552" s="207">
        <f>IFERROR(__xludf.DUMMYFUNCTION("""COMPUTED_VALUE"""),0.28478009259259257)</f>
        <v>0.2847800926</v>
      </c>
      <c r="D552" s="50"/>
      <c r="E552" s="58"/>
      <c r="F552" s="58"/>
      <c r="G552" s="58" t="str">
        <f>IFERROR(__xludf.DUMMYFUNCTION("""COMPUTED_VALUE"""),"Null")</f>
        <v>Null</v>
      </c>
      <c r="H552" s="206" t="str">
        <f>IFERROR(__xludf.DUMMYFUNCTION("""COMPUTED_VALUE"""),"Negative")</f>
        <v>Negative</v>
      </c>
      <c r="I552" s="207">
        <f>IFERROR(__xludf.DUMMYFUNCTION("""COMPUTED_VALUE"""),44678.0)</f>
        <v>44678</v>
      </c>
      <c r="J552" s="208">
        <f>IFERROR(__xludf.DUMMYFUNCTION("""COMPUTED_VALUE"""),0.29127314814814814)</f>
        <v>0.2912731481</v>
      </c>
      <c r="K552" s="50">
        <f>IFERROR(__xludf.DUMMYFUNCTION("""COMPUTED_VALUE"""),2.0)</f>
        <v>2</v>
      </c>
      <c r="L552" s="6"/>
      <c r="M552" s="55"/>
      <c r="N552" s="55">
        <f>IFERROR(__xludf.DUMMYFUNCTION("""COMPUTED_VALUE"""),1.0)</f>
        <v>1</v>
      </c>
      <c r="O552" s="55" t="str">
        <f t="shared" si="3"/>
        <v/>
      </c>
      <c r="P552" s="209"/>
      <c r="Q552" s="75" t="b">
        <f>VLOOKUP($B552,'Run Reconcile'!B$2:P1679,15,FALSE)</f>
        <v>1</v>
      </c>
      <c r="R552" s="211" t="str">
        <f t="array" ref="R552">IF($Q552, INDEX('Run Reconcile'!A$2:A1679,MATCH(B552,'Run Reconcile'!B$2:B1679,0),1),IFERROR(0/0,""))</f>
        <v>RUN-COMB_2022-04-27_RFR-031</v>
      </c>
      <c r="S552" s="165" t="str">
        <f t="shared" ref="S552:T552" si="1103">IF(COUNTIF(W$2:W1679, $A552) &gt; 0,TRUE,IFERROR(0/0,""))</f>
        <v/>
      </c>
      <c r="T552" s="165" t="str">
        <f t="shared" si="1103"/>
        <v/>
      </c>
      <c r="U552" s="147" t="str">
        <f t="array" ref="U552">IF(ISBLANK($R552), IF($S552,VLOOKUP($B552+1,'RFR Data - preExcl'!$BF$2:$BG1679,2,FALSE),IF($T552,INDEX('RFR Data - preExcl'!$BF$2:$BG1679,MATCH($B552,'RFR Data - preExcl'!$BF$2:$BF1679,0)+1,2),VLOOKUP($B552,'RFR Data - preExcl'!$BF$2:$BG1679,2,FALSE))),IFERROR(0/0,""))</f>
        <v/>
      </c>
      <c r="V552" s="212" t="str">
        <f t="shared" si="5"/>
        <v>RUN-COMB_2022-04-27_RFR-031</v>
      </c>
      <c r="W552" s="51"/>
      <c r="X552" s="51"/>
      <c r="Y552" s="147" t="str">
        <f t="shared" ref="Y552:Z552" si="1104">IF(_xlfn.ISFORMULA(S552),IFERROR(0/0,""),TRUE)</f>
        <v/>
      </c>
      <c r="Z552" s="147" t="str">
        <f t="shared" si="1104"/>
        <v/>
      </c>
    </row>
    <row r="553">
      <c r="A553" s="6" t="str">
        <f>IFERROR(__xludf.DUMMYFUNCTION("""COMPUTED_VALUE"""),"FM4131")</f>
        <v>FM4131</v>
      </c>
      <c r="B553" s="206">
        <f>IFERROR(__xludf.DUMMYFUNCTION("""COMPUTED_VALUE"""),44678.0)</f>
        <v>44678</v>
      </c>
      <c r="C553" s="207">
        <f>IFERROR(__xludf.DUMMYFUNCTION("""COMPUTED_VALUE"""),0.28532407407407406)</f>
        <v>0.2853240741</v>
      </c>
      <c r="D553" s="50"/>
      <c r="E553" s="58"/>
      <c r="F553" s="58"/>
      <c r="G553" s="58" t="str">
        <f>IFERROR(__xludf.DUMMYFUNCTION("""COMPUTED_VALUE"""),"Null")</f>
        <v>Null</v>
      </c>
      <c r="H553" s="206" t="str">
        <f>IFERROR(__xludf.DUMMYFUNCTION("""COMPUTED_VALUE"""),"Negative")</f>
        <v>Negative</v>
      </c>
      <c r="I553" s="207">
        <f>IFERROR(__xludf.DUMMYFUNCTION("""COMPUTED_VALUE"""),44678.0)</f>
        <v>44678</v>
      </c>
      <c r="J553" s="208">
        <f>IFERROR(__xludf.DUMMYFUNCTION("""COMPUTED_VALUE"""),0.29127314814814814)</f>
        <v>0.2912731481</v>
      </c>
      <c r="K553" s="50">
        <f>IFERROR(__xludf.DUMMYFUNCTION("""COMPUTED_VALUE"""),2.0)</f>
        <v>2</v>
      </c>
      <c r="L553" s="6"/>
      <c r="M553" s="55"/>
      <c r="N553" s="55">
        <f>IFERROR(__xludf.DUMMYFUNCTION("""COMPUTED_VALUE"""),1.0)</f>
        <v>1</v>
      </c>
      <c r="O553" s="55" t="str">
        <f t="shared" si="3"/>
        <v/>
      </c>
      <c r="P553" s="209"/>
      <c r="Q553" s="75" t="b">
        <f>VLOOKUP($B553,'Run Reconcile'!B$2:P1679,15,FALSE)</f>
        <v>1</v>
      </c>
      <c r="R553" s="211" t="str">
        <f t="array" ref="R553">IF($Q553, INDEX('Run Reconcile'!A$2:A1679,MATCH(B553,'Run Reconcile'!B$2:B1679,0),1),IFERROR(0/0,""))</f>
        <v>RUN-COMB_2022-04-27_RFR-031</v>
      </c>
      <c r="S553" s="165" t="str">
        <f t="shared" ref="S553:T553" si="1105">IF(COUNTIF(W$2:W1679, $A553) &gt; 0,TRUE,IFERROR(0/0,""))</f>
        <v/>
      </c>
      <c r="T553" s="165" t="str">
        <f t="shared" si="1105"/>
        <v/>
      </c>
      <c r="U553" s="147" t="str">
        <f t="array" ref="U553">IF(ISBLANK($R553), IF($S553,VLOOKUP($B553+1,'RFR Data - preExcl'!$BF$2:$BG1679,2,FALSE),IF($T553,INDEX('RFR Data - preExcl'!$BF$2:$BG1679,MATCH($B553,'RFR Data - preExcl'!$BF$2:$BF1679,0)+1,2),VLOOKUP($B553,'RFR Data - preExcl'!$BF$2:$BG1679,2,FALSE))),IFERROR(0/0,""))</f>
        <v/>
      </c>
      <c r="V553" s="212" t="str">
        <f t="shared" si="5"/>
        <v>RUN-COMB_2022-04-27_RFR-031</v>
      </c>
      <c r="W553" s="51"/>
      <c r="X553" s="51"/>
      <c r="Y553" s="147" t="str">
        <f t="shared" ref="Y553:Z553" si="1106">IF(_xlfn.ISFORMULA(S553),IFERROR(0/0,""),TRUE)</f>
        <v/>
      </c>
      <c r="Z553" s="147" t="str">
        <f t="shared" si="1106"/>
        <v/>
      </c>
    </row>
    <row r="554">
      <c r="A554" s="6" t="str">
        <f>IFERROR(__xludf.DUMMYFUNCTION("""COMPUTED_VALUE"""),"FM4228")</f>
        <v>FM4228</v>
      </c>
      <c r="B554" s="206">
        <f>IFERROR(__xludf.DUMMYFUNCTION("""COMPUTED_VALUE"""),44678.0)</f>
        <v>44678</v>
      </c>
      <c r="C554" s="207">
        <f>IFERROR(__xludf.DUMMYFUNCTION("""COMPUTED_VALUE"""),0.28594907407407405)</f>
        <v>0.2859490741</v>
      </c>
      <c r="D554" s="50"/>
      <c r="E554" s="58"/>
      <c r="F554" s="58"/>
      <c r="G554" s="58" t="str">
        <f>IFERROR(__xludf.DUMMYFUNCTION("""COMPUTED_VALUE"""),"Null")</f>
        <v>Null</v>
      </c>
      <c r="H554" s="206" t="str">
        <f>IFERROR(__xludf.DUMMYFUNCTION("""COMPUTED_VALUE"""),"Negative")</f>
        <v>Negative</v>
      </c>
      <c r="I554" s="207">
        <f>IFERROR(__xludf.DUMMYFUNCTION("""COMPUTED_VALUE"""),44678.0)</f>
        <v>44678</v>
      </c>
      <c r="J554" s="208">
        <f>IFERROR(__xludf.DUMMYFUNCTION("""COMPUTED_VALUE"""),0.29128472222222224)</f>
        <v>0.2912847222</v>
      </c>
      <c r="K554" s="50">
        <f>IFERROR(__xludf.DUMMYFUNCTION("""COMPUTED_VALUE"""),2.0)</f>
        <v>2</v>
      </c>
      <c r="L554" s="6"/>
      <c r="M554" s="55"/>
      <c r="N554" s="55">
        <f>IFERROR(__xludf.DUMMYFUNCTION("""COMPUTED_VALUE"""),1.0)</f>
        <v>1</v>
      </c>
      <c r="O554" s="55" t="str">
        <f t="shared" si="3"/>
        <v/>
      </c>
      <c r="P554" s="209"/>
      <c r="Q554" s="75" t="b">
        <f>VLOOKUP($B554,'Run Reconcile'!B$2:P1679,15,FALSE)</f>
        <v>1</v>
      </c>
      <c r="R554" s="211" t="str">
        <f t="array" ref="R554">IF($Q554, INDEX('Run Reconcile'!A$2:A1679,MATCH(B554,'Run Reconcile'!B$2:B1679,0),1),IFERROR(0/0,""))</f>
        <v>RUN-COMB_2022-04-27_RFR-031</v>
      </c>
      <c r="S554" s="165" t="str">
        <f t="shared" ref="S554:T554" si="1107">IF(COUNTIF(W$2:W1679, $A554) &gt; 0,TRUE,IFERROR(0/0,""))</f>
        <v/>
      </c>
      <c r="T554" s="165" t="str">
        <f t="shared" si="1107"/>
        <v/>
      </c>
      <c r="U554" s="147" t="str">
        <f t="array" ref="U554">IF(ISBLANK($R554), IF($S554,VLOOKUP($B554+1,'RFR Data - preExcl'!$BF$2:$BG1679,2,FALSE),IF($T554,INDEX('RFR Data - preExcl'!$BF$2:$BG1679,MATCH($B554,'RFR Data - preExcl'!$BF$2:$BF1679,0)+1,2),VLOOKUP($B554,'RFR Data - preExcl'!$BF$2:$BG1679,2,FALSE))),IFERROR(0/0,""))</f>
        <v/>
      </c>
      <c r="V554" s="212" t="str">
        <f t="shared" si="5"/>
        <v>RUN-COMB_2022-04-27_RFR-031</v>
      </c>
      <c r="W554" s="51"/>
      <c r="X554" s="51"/>
      <c r="Y554" s="147" t="str">
        <f t="shared" ref="Y554:Z554" si="1108">IF(_xlfn.ISFORMULA(S554),IFERROR(0/0,""),TRUE)</f>
        <v/>
      </c>
      <c r="Z554" s="147" t="str">
        <f t="shared" si="1108"/>
        <v/>
      </c>
    </row>
    <row r="555">
      <c r="A555" s="6" t="str">
        <f>IFERROR(__xludf.DUMMYFUNCTION("""COMPUTED_VALUE"""),"FM4164")</f>
        <v>FM4164</v>
      </c>
      <c r="B555" s="206">
        <f>IFERROR(__xludf.DUMMYFUNCTION("""COMPUTED_VALUE"""),44678.0)</f>
        <v>44678</v>
      </c>
      <c r="C555" s="207">
        <f>IFERROR(__xludf.DUMMYFUNCTION("""COMPUTED_VALUE"""),0.28748842592592594)</f>
        <v>0.2874884259</v>
      </c>
      <c r="D555" s="50"/>
      <c r="E555" s="58"/>
      <c r="F555" s="58"/>
      <c r="G555" s="58" t="str">
        <f>IFERROR(__xludf.DUMMYFUNCTION("""COMPUTED_VALUE"""),"Null")</f>
        <v>Null</v>
      </c>
      <c r="H555" s="206" t="str">
        <f>IFERROR(__xludf.DUMMYFUNCTION("""COMPUTED_VALUE"""),"Negative")</f>
        <v>Negative</v>
      </c>
      <c r="I555" s="207">
        <f>IFERROR(__xludf.DUMMYFUNCTION("""COMPUTED_VALUE"""),44678.0)</f>
        <v>44678</v>
      </c>
      <c r="J555" s="208">
        <f>IFERROR(__xludf.DUMMYFUNCTION("""COMPUTED_VALUE"""),0.2912962962962963)</f>
        <v>0.2912962963</v>
      </c>
      <c r="K555" s="50">
        <f>IFERROR(__xludf.DUMMYFUNCTION("""COMPUTED_VALUE"""),2.0)</f>
        <v>2</v>
      </c>
      <c r="L555" s="6"/>
      <c r="M555" s="55"/>
      <c r="N555" s="55">
        <f>IFERROR(__xludf.DUMMYFUNCTION("""COMPUTED_VALUE"""),1.0)</f>
        <v>1</v>
      </c>
      <c r="O555" s="55" t="str">
        <f t="shared" si="3"/>
        <v/>
      </c>
      <c r="P555" s="209"/>
      <c r="Q555" s="75" t="b">
        <f>VLOOKUP($B555,'Run Reconcile'!B$2:P1679,15,FALSE)</f>
        <v>1</v>
      </c>
      <c r="R555" s="211" t="str">
        <f t="array" ref="R555">IF($Q555, INDEX('Run Reconcile'!A$2:A1679,MATCH(B555,'Run Reconcile'!B$2:B1679,0),1),IFERROR(0/0,""))</f>
        <v>RUN-COMB_2022-04-27_RFR-031</v>
      </c>
      <c r="S555" s="165" t="str">
        <f t="shared" ref="S555:T555" si="1109">IF(COUNTIF(W$2:W1679, $A555) &gt; 0,TRUE,IFERROR(0/0,""))</f>
        <v/>
      </c>
      <c r="T555" s="165" t="str">
        <f t="shared" si="1109"/>
        <v/>
      </c>
      <c r="U555" s="147" t="str">
        <f t="array" ref="U555">IF(ISBLANK($R555), IF($S555,VLOOKUP($B555+1,'RFR Data - preExcl'!$BF$2:$BG1679,2,FALSE),IF($T555,INDEX('RFR Data - preExcl'!$BF$2:$BG1679,MATCH($B555,'RFR Data - preExcl'!$BF$2:$BF1679,0)+1,2),VLOOKUP($B555,'RFR Data - preExcl'!$BF$2:$BG1679,2,FALSE))),IFERROR(0/0,""))</f>
        <v/>
      </c>
      <c r="V555" s="212" t="str">
        <f t="shared" si="5"/>
        <v>RUN-COMB_2022-04-27_RFR-031</v>
      </c>
      <c r="W555" s="51"/>
      <c r="X555" s="51"/>
      <c r="Y555" s="147" t="str">
        <f t="shared" ref="Y555:Z555" si="1110">IF(_xlfn.ISFORMULA(S555),IFERROR(0/0,""),TRUE)</f>
        <v/>
      </c>
      <c r="Z555" s="147" t="str">
        <f t="shared" si="1110"/>
        <v/>
      </c>
    </row>
    <row r="556">
      <c r="A556" s="6" t="str">
        <f>IFERROR(__xludf.DUMMYFUNCTION("""COMPUTED_VALUE"""),"FM4220")</f>
        <v>FM4220</v>
      </c>
      <c r="B556" s="206">
        <f>IFERROR(__xludf.DUMMYFUNCTION("""COMPUTED_VALUE"""),44679.0)</f>
        <v>44679</v>
      </c>
      <c r="C556" s="207">
        <f>IFERROR(__xludf.DUMMYFUNCTION("""COMPUTED_VALUE"""),0.2616550925925926)</f>
        <v>0.2616550926</v>
      </c>
      <c r="D556" s="50"/>
      <c r="E556" s="58"/>
      <c r="F556" s="58"/>
      <c r="G556" s="58" t="str">
        <f>IFERROR(__xludf.DUMMYFUNCTION("""COMPUTED_VALUE"""),"Negative")</f>
        <v>Negative</v>
      </c>
      <c r="H556" s="206" t="str">
        <f>IFERROR(__xludf.DUMMYFUNCTION("""COMPUTED_VALUE"""),"Negative")</f>
        <v>Negative</v>
      </c>
      <c r="I556" s="207">
        <f>IFERROR(__xludf.DUMMYFUNCTION("""COMPUTED_VALUE"""),44679.0)</f>
        <v>44679</v>
      </c>
      <c r="J556" s="208">
        <f>IFERROR(__xludf.DUMMYFUNCTION("""COMPUTED_VALUE"""),0.4017824074074074)</f>
        <v>0.4017824074</v>
      </c>
      <c r="K556" s="50"/>
      <c r="L556" s="6"/>
      <c r="M556" s="55"/>
      <c r="N556" s="55">
        <f>IFERROR(__xludf.DUMMYFUNCTION("""COMPUTED_VALUE"""),1.0)</f>
        <v>1</v>
      </c>
      <c r="O556" s="55" t="b">
        <f t="shared" si="3"/>
        <v>1</v>
      </c>
      <c r="P556" s="209"/>
      <c r="Q556" s="75" t="b">
        <f>VLOOKUP($B556,'Run Reconcile'!B$2:P1679,15,FALSE)</f>
        <v>1</v>
      </c>
      <c r="R556" s="211" t="str">
        <f t="array" ref="R556">IF($Q556, INDEX('Run Reconcile'!A$2:A1679,MATCH(B556,'Run Reconcile'!B$2:B1679,0),1),IFERROR(0/0,""))</f>
        <v>RUN-COMB_2022-04-28_RFR-032</v>
      </c>
      <c r="S556" s="165" t="str">
        <f t="shared" ref="S556:T556" si="1111">IF(COUNTIF(W$2:W1679, $A556) &gt; 0,TRUE,IFERROR(0/0,""))</f>
        <v/>
      </c>
      <c r="T556" s="165" t="str">
        <f t="shared" si="1111"/>
        <v/>
      </c>
      <c r="U556" s="147" t="str">
        <f t="array" ref="U556">IF(ISBLANK($R556), IF($S556,VLOOKUP($B556+1,'RFR Data - preExcl'!$BF$2:$BG1679,2,FALSE),IF($T556,INDEX('RFR Data - preExcl'!$BF$2:$BG1679,MATCH($B556,'RFR Data - preExcl'!$BF$2:$BF1679,0)+1,2),VLOOKUP($B556,'RFR Data - preExcl'!$BF$2:$BG1679,2,FALSE))),IFERROR(0/0,""))</f>
        <v/>
      </c>
      <c r="V556" s="212" t="str">
        <f t="shared" si="5"/>
        <v>RUN-COMB_2022-04-28_RFR-032</v>
      </c>
      <c r="W556" s="51"/>
      <c r="X556" s="51"/>
      <c r="Y556" s="147" t="str">
        <f t="shared" ref="Y556:Z556" si="1112">IF(_xlfn.ISFORMULA(S556),IFERROR(0/0,""),TRUE)</f>
        <v/>
      </c>
      <c r="Z556" s="147" t="str">
        <f t="shared" si="1112"/>
        <v/>
      </c>
    </row>
    <row r="557">
      <c r="A557" s="6" t="str">
        <f>IFERROR(__xludf.DUMMYFUNCTION("""COMPUTED_VALUE"""),"FM4176")</f>
        <v>FM4176</v>
      </c>
      <c r="B557" s="206">
        <f>IFERROR(__xludf.DUMMYFUNCTION("""COMPUTED_VALUE"""),44679.0)</f>
        <v>44679</v>
      </c>
      <c r="C557" s="207">
        <f>IFERROR(__xludf.DUMMYFUNCTION("""COMPUTED_VALUE"""),0.2621412037037037)</f>
        <v>0.2621412037</v>
      </c>
      <c r="D557" s="50"/>
      <c r="E557" s="58"/>
      <c r="F557" s="58"/>
      <c r="G557" s="58" t="str">
        <f>IFERROR(__xludf.DUMMYFUNCTION("""COMPUTED_VALUE"""),"Negative")</f>
        <v>Negative</v>
      </c>
      <c r="H557" s="206" t="str">
        <f>IFERROR(__xludf.DUMMYFUNCTION("""COMPUTED_VALUE"""),"Negative")</f>
        <v>Negative</v>
      </c>
      <c r="I557" s="207">
        <f>IFERROR(__xludf.DUMMYFUNCTION("""COMPUTED_VALUE"""),44679.0)</f>
        <v>44679</v>
      </c>
      <c r="J557" s="208">
        <f>IFERROR(__xludf.DUMMYFUNCTION("""COMPUTED_VALUE"""),0.4018055555555556)</f>
        <v>0.4018055556</v>
      </c>
      <c r="K557" s="50"/>
      <c r="L557" s="6"/>
      <c r="M557" s="55"/>
      <c r="N557" s="55">
        <f>IFERROR(__xludf.DUMMYFUNCTION("""COMPUTED_VALUE"""),1.0)</f>
        <v>1</v>
      </c>
      <c r="O557" s="55" t="str">
        <f t="shared" si="3"/>
        <v/>
      </c>
      <c r="P557" s="209"/>
      <c r="Q557" s="75" t="b">
        <f>VLOOKUP($B557,'Run Reconcile'!B$2:P1679,15,FALSE)</f>
        <v>1</v>
      </c>
      <c r="R557" s="211" t="str">
        <f t="array" ref="R557">IF($Q557, INDEX('Run Reconcile'!A$2:A1679,MATCH(B557,'Run Reconcile'!B$2:B1679,0),1),IFERROR(0/0,""))</f>
        <v>RUN-COMB_2022-04-28_RFR-032</v>
      </c>
      <c r="S557" s="165" t="str">
        <f t="shared" ref="S557:T557" si="1113">IF(COUNTIF(W$2:W1679, $A557) &gt; 0,TRUE,IFERROR(0/0,""))</f>
        <v/>
      </c>
      <c r="T557" s="165" t="str">
        <f t="shared" si="1113"/>
        <v/>
      </c>
      <c r="U557" s="147" t="str">
        <f t="array" ref="U557">IF(ISBLANK($R557), IF($S557,VLOOKUP($B557+1,'RFR Data - preExcl'!$BF$2:$BG1679,2,FALSE),IF($T557,INDEX('RFR Data - preExcl'!$BF$2:$BG1679,MATCH($B557,'RFR Data - preExcl'!$BF$2:$BF1679,0)+1,2),VLOOKUP($B557,'RFR Data - preExcl'!$BF$2:$BG1679,2,FALSE))),IFERROR(0/0,""))</f>
        <v/>
      </c>
      <c r="V557" s="212" t="str">
        <f t="shared" si="5"/>
        <v>RUN-COMB_2022-04-28_RFR-032</v>
      </c>
      <c r="W557" s="51"/>
      <c r="X557" s="51"/>
      <c r="Y557" s="147" t="str">
        <f t="shared" ref="Y557:Z557" si="1114">IF(_xlfn.ISFORMULA(S557),IFERROR(0/0,""),TRUE)</f>
        <v/>
      </c>
      <c r="Z557" s="147" t="str">
        <f t="shared" si="1114"/>
        <v/>
      </c>
    </row>
    <row r="558">
      <c r="A558" s="6" t="str">
        <f>IFERROR(__xludf.DUMMYFUNCTION("""COMPUTED_VALUE"""),"FM4186")</f>
        <v>FM4186</v>
      </c>
      <c r="B558" s="206">
        <f>IFERROR(__xludf.DUMMYFUNCTION("""COMPUTED_VALUE"""),44679.0)</f>
        <v>44679</v>
      </c>
      <c r="C558" s="207">
        <f>IFERROR(__xludf.DUMMYFUNCTION("""COMPUTED_VALUE"""),0.2625)</f>
        <v>0.2625</v>
      </c>
      <c r="D558" s="50"/>
      <c r="E558" s="58"/>
      <c r="F558" s="58"/>
      <c r="G558" s="58" t="str">
        <f>IFERROR(__xludf.DUMMYFUNCTION("""COMPUTED_VALUE"""),"Negative")</f>
        <v>Negative</v>
      </c>
      <c r="H558" s="206" t="str">
        <f>IFERROR(__xludf.DUMMYFUNCTION("""COMPUTED_VALUE"""),"Negative")</f>
        <v>Negative</v>
      </c>
      <c r="I558" s="207">
        <f>IFERROR(__xludf.DUMMYFUNCTION("""COMPUTED_VALUE"""),44679.0)</f>
        <v>44679</v>
      </c>
      <c r="J558" s="208">
        <f>IFERROR(__xludf.DUMMYFUNCTION("""COMPUTED_VALUE"""),0.4018287037037037)</f>
        <v>0.4018287037</v>
      </c>
      <c r="K558" s="50"/>
      <c r="L558" s="6"/>
      <c r="M558" s="55"/>
      <c r="N558" s="55">
        <f>IFERROR(__xludf.DUMMYFUNCTION("""COMPUTED_VALUE"""),1.0)</f>
        <v>1</v>
      </c>
      <c r="O558" s="55" t="str">
        <f t="shared" si="3"/>
        <v/>
      </c>
      <c r="P558" s="209"/>
      <c r="Q558" s="75" t="b">
        <f>VLOOKUP($B558,'Run Reconcile'!B$2:P1679,15,FALSE)</f>
        <v>1</v>
      </c>
      <c r="R558" s="211" t="str">
        <f t="array" ref="R558">IF($Q558, INDEX('Run Reconcile'!A$2:A1679,MATCH(B558,'Run Reconcile'!B$2:B1679,0),1),IFERROR(0/0,""))</f>
        <v>RUN-COMB_2022-04-28_RFR-032</v>
      </c>
      <c r="S558" s="165" t="str">
        <f t="shared" ref="S558:T558" si="1115">IF(COUNTIF(W$2:W1679, $A558) &gt; 0,TRUE,IFERROR(0/0,""))</f>
        <v/>
      </c>
      <c r="T558" s="165" t="str">
        <f t="shared" si="1115"/>
        <v/>
      </c>
      <c r="U558" s="147" t="str">
        <f t="array" ref="U558">IF(ISBLANK($R558), IF($S558,VLOOKUP($B558+1,'RFR Data - preExcl'!$BF$2:$BG1679,2,FALSE),IF($T558,INDEX('RFR Data - preExcl'!$BF$2:$BG1679,MATCH($B558,'RFR Data - preExcl'!$BF$2:$BF1679,0)+1,2),VLOOKUP($B558,'RFR Data - preExcl'!$BF$2:$BG1679,2,FALSE))),IFERROR(0/0,""))</f>
        <v/>
      </c>
      <c r="V558" s="212" t="str">
        <f t="shared" si="5"/>
        <v>RUN-COMB_2022-04-28_RFR-032</v>
      </c>
      <c r="W558" s="51"/>
      <c r="X558" s="51"/>
      <c r="Y558" s="147" t="str">
        <f t="shared" ref="Y558:Z558" si="1116">IF(_xlfn.ISFORMULA(S558),IFERROR(0/0,""),TRUE)</f>
        <v/>
      </c>
      <c r="Z558" s="147" t="str">
        <f t="shared" si="1116"/>
        <v/>
      </c>
    </row>
    <row r="559">
      <c r="A559" s="6" t="str">
        <f>IFERROR(__xludf.DUMMYFUNCTION("""COMPUTED_VALUE"""),"FM4151")</f>
        <v>FM4151</v>
      </c>
      <c r="B559" s="206">
        <f>IFERROR(__xludf.DUMMYFUNCTION("""COMPUTED_VALUE"""),44679.0)</f>
        <v>44679</v>
      </c>
      <c r="C559" s="207">
        <f>IFERROR(__xludf.DUMMYFUNCTION("""COMPUTED_VALUE"""),0.2629861111111111)</f>
        <v>0.2629861111</v>
      </c>
      <c r="D559" s="50"/>
      <c r="E559" s="58"/>
      <c r="F559" s="58"/>
      <c r="G559" s="58" t="str">
        <f>IFERROR(__xludf.DUMMYFUNCTION("""COMPUTED_VALUE"""),"Negative")</f>
        <v>Negative</v>
      </c>
      <c r="H559" s="206" t="str">
        <f>IFERROR(__xludf.DUMMYFUNCTION("""COMPUTED_VALUE"""),"Negative")</f>
        <v>Negative</v>
      </c>
      <c r="I559" s="207">
        <f>IFERROR(__xludf.DUMMYFUNCTION("""COMPUTED_VALUE"""),44679.0)</f>
        <v>44679</v>
      </c>
      <c r="J559" s="208">
        <f>IFERROR(__xludf.DUMMYFUNCTION("""COMPUTED_VALUE"""),0.40185185185185185)</f>
        <v>0.4018518519</v>
      </c>
      <c r="K559" s="50"/>
      <c r="L559" s="6"/>
      <c r="M559" s="55"/>
      <c r="N559" s="55">
        <f>IFERROR(__xludf.DUMMYFUNCTION("""COMPUTED_VALUE"""),1.0)</f>
        <v>1</v>
      </c>
      <c r="O559" s="55" t="str">
        <f t="shared" si="3"/>
        <v/>
      </c>
      <c r="P559" s="209"/>
      <c r="Q559" s="75" t="b">
        <f>VLOOKUP($B559,'Run Reconcile'!B$2:P1679,15,FALSE)</f>
        <v>1</v>
      </c>
      <c r="R559" s="211" t="str">
        <f t="array" ref="R559">IF($Q559, INDEX('Run Reconcile'!A$2:A1679,MATCH(B559,'Run Reconcile'!B$2:B1679,0),1),IFERROR(0/0,""))</f>
        <v>RUN-COMB_2022-04-28_RFR-032</v>
      </c>
      <c r="S559" s="165" t="str">
        <f t="shared" ref="S559:T559" si="1117">IF(COUNTIF(W$2:W1679, $A559) &gt; 0,TRUE,IFERROR(0/0,""))</f>
        <v/>
      </c>
      <c r="T559" s="165" t="str">
        <f t="shared" si="1117"/>
        <v/>
      </c>
      <c r="U559" s="147" t="str">
        <f t="array" ref="U559">IF(ISBLANK($R559), IF($S559,VLOOKUP($B559+1,'RFR Data - preExcl'!$BF$2:$BG1679,2,FALSE),IF($T559,INDEX('RFR Data - preExcl'!$BF$2:$BG1679,MATCH($B559,'RFR Data - preExcl'!$BF$2:$BF1679,0)+1,2),VLOOKUP($B559,'RFR Data - preExcl'!$BF$2:$BG1679,2,FALSE))),IFERROR(0/0,""))</f>
        <v/>
      </c>
      <c r="V559" s="212" t="str">
        <f t="shared" si="5"/>
        <v>RUN-COMB_2022-04-28_RFR-032</v>
      </c>
      <c r="W559" s="51"/>
      <c r="X559" s="51"/>
      <c r="Y559" s="147" t="str">
        <f t="shared" ref="Y559:Z559" si="1118">IF(_xlfn.ISFORMULA(S559),IFERROR(0/0,""),TRUE)</f>
        <v/>
      </c>
      <c r="Z559" s="147" t="str">
        <f t="shared" si="1118"/>
        <v/>
      </c>
    </row>
    <row r="560">
      <c r="A560" s="6" t="str">
        <f>IFERROR(__xludf.DUMMYFUNCTION("""COMPUTED_VALUE"""),"FM4159")</f>
        <v>FM4159</v>
      </c>
      <c r="B560" s="206">
        <f>IFERROR(__xludf.DUMMYFUNCTION("""COMPUTED_VALUE"""),44679.0)</f>
        <v>44679</v>
      </c>
      <c r="C560" s="207">
        <f>IFERROR(__xludf.DUMMYFUNCTION("""COMPUTED_VALUE"""),0.26756944444444447)</f>
        <v>0.2675694444</v>
      </c>
      <c r="D560" s="50"/>
      <c r="E560" s="58"/>
      <c r="F560" s="58"/>
      <c r="G560" s="58" t="str">
        <f>IFERROR(__xludf.DUMMYFUNCTION("""COMPUTED_VALUE"""),"Negative")</f>
        <v>Negative</v>
      </c>
      <c r="H560" s="206" t="str">
        <f>IFERROR(__xludf.DUMMYFUNCTION("""COMPUTED_VALUE"""),"Negative")</f>
        <v>Negative</v>
      </c>
      <c r="I560" s="207">
        <f>IFERROR(__xludf.DUMMYFUNCTION("""COMPUTED_VALUE"""),44679.0)</f>
        <v>44679</v>
      </c>
      <c r="J560" s="208">
        <f>IFERROR(__xludf.DUMMYFUNCTION("""COMPUTED_VALUE"""),0.40186342592592594)</f>
        <v>0.4018634259</v>
      </c>
      <c r="K560" s="50"/>
      <c r="L560" s="6"/>
      <c r="M560" s="55"/>
      <c r="N560" s="55">
        <f>IFERROR(__xludf.DUMMYFUNCTION("""COMPUTED_VALUE"""),1.0)</f>
        <v>1</v>
      </c>
      <c r="O560" s="55" t="str">
        <f t="shared" si="3"/>
        <v/>
      </c>
      <c r="P560" s="209"/>
      <c r="Q560" s="75" t="b">
        <f>VLOOKUP($B560,'Run Reconcile'!B$2:P1679,15,FALSE)</f>
        <v>1</v>
      </c>
      <c r="R560" s="211" t="str">
        <f t="array" ref="R560">IF($Q560, INDEX('Run Reconcile'!A$2:A1679,MATCH(B560,'Run Reconcile'!B$2:B1679,0),1),IFERROR(0/0,""))</f>
        <v>RUN-COMB_2022-04-28_RFR-032</v>
      </c>
      <c r="S560" s="165" t="str">
        <f t="shared" ref="S560:T560" si="1119">IF(COUNTIF(W$2:W1679, $A560) &gt; 0,TRUE,IFERROR(0/0,""))</f>
        <v/>
      </c>
      <c r="T560" s="165" t="str">
        <f t="shared" si="1119"/>
        <v/>
      </c>
      <c r="U560" s="147" t="str">
        <f t="array" ref="U560">IF(ISBLANK($R560), IF($S560,VLOOKUP($B560+1,'RFR Data - preExcl'!$BF$2:$BG1679,2,FALSE),IF($T560,INDEX('RFR Data - preExcl'!$BF$2:$BG1679,MATCH($B560,'RFR Data - preExcl'!$BF$2:$BF1679,0)+1,2),VLOOKUP($B560,'RFR Data - preExcl'!$BF$2:$BG1679,2,FALSE))),IFERROR(0/0,""))</f>
        <v/>
      </c>
      <c r="V560" s="212" t="str">
        <f t="shared" si="5"/>
        <v>RUN-COMB_2022-04-28_RFR-032</v>
      </c>
      <c r="W560" s="51"/>
      <c r="X560" s="51"/>
      <c r="Y560" s="147" t="str">
        <f t="shared" ref="Y560:Z560" si="1120">IF(_xlfn.ISFORMULA(S560),IFERROR(0/0,""),TRUE)</f>
        <v/>
      </c>
      <c r="Z560" s="147" t="str">
        <f t="shared" si="1120"/>
        <v/>
      </c>
    </row>
    <row r="561">
      <c r="A561" s="6" t="str">
        <f>IFERROR(__xludf.DUMMYFUNCTION("""COMPUTED_VALUE"""),"FM4214")</f>
        <v>FM4214</v>
      </c>
      <c r="B561" s="206">
        <f>IFERROR(__xludf.DUMMYFUNCTION("""COMPUTED_VALUE"""),44679.0)</f>
        <v>44679</v>
      </c>
      <c r="C561" s="207">
        <f>IFERROR(__xludf.DUMMYFUNCTION("""COMPUTED_VALUE"""),0.2681365740740741)</f>
        <v>0.2681365741</v>
      </c>
      <c r="D561" s="50"/>
      <c r="E561" s="58"/>
      <c r="F561" s="58"/>
      <c r="G561" s="58" t="str">
        <f>IFERROR(__xludf.DUMMYFUNCTION("""COMPUTED_VALUE"""),"Negative")</f>
        <v>Negative</v>
      </c>
      <c r="H561" s="206" t="str">
        <f>IFERROR(__xludf.DUMMYFUNCTION("""COMPUTED_VALUE"""),"Negative")</f>
        <v>Negative</v>
      </c>
      <c r="I561" s="207">
        <f>IFERROR(__xludf.DUMMYFUNCTION("""COMPUTED_VALUE"""),44679.0)</f>
        <v>44679</v>
      </c>
      <c r="J561" s="208">
        <f>IFERROR(__xludf.DUMMYFUNCTION("""COMPUTED_VALUE"""),0.4013541666666667)</f>
        <v>0.4013541667</v>
      </c>
      <c r="K561" s="50"/>
      <c r="L561" s="6"/>
      <c r="M561" s="55"/>
      <c r="N561" s="55">
        <f>IFERROR(__xludf.DUMMYFUNCTION("""COMPUTED_VALUE"""),1.0)</f>
        <v>1</v>
      </c>
      <c r="O561" s="55" t="str">
        <f t="shared" si="3"/>
        <v/>
      </c>
      <c r="P561" s="209"/>
      <c r="Q561" s="75" t="b">
        <f>VLOOKUP($B561,'Run Reconcile'!B$2:P1679,15,FALSE)</f>
        <v>1</v>
      </c>
      <c r="R561" s="211" t="str">
        <f t="array" ref="R561">IF($Q561, INDEX('Run Reconcile'!A$2:A1679,MATCH(B561,'Run Reconcile'!B$2:B1679,0),1),IFERROR(0/0,""))</f>
        <v>RUN-COMB_2022-04-28_RFR-032</v>
      </c>
      <c r="S561" s="165" t="str">
        <f t="shared" ref="S561:T561" si="1121">IF(COUNTIF(W$2:W1679, $A561) &gt; 0,TRUE,IFERROR(0/0,""))</f>
        <v/>
      </c>
      <c r="T561" s="165" t="str">
        <f t="shared" si="1121"/>
        <v/>
      </c>
      <c r="U561" s="147" t="str">
        <f t="array" ref="U561">IF(ISBLANK($R561), IF($S561,VLOOKUP($B561+1,'RFR Data - preExcl'!$BF$2:$BG1679,2,FALSE),IF($T561,INDEX('RFR Data - preExcl'!$BF$2:$BG1679,MATCH($B561,'RFR Data - preExcl'!$BF$2:$BF1679,0)+1,2),VLOOKUP($B561,'RFR Data - preExcl'!$BF$2:$BG1679,2,FALSE))),IFERROR(0/0,""))</f>
        <v/>
      </c>
      <c r="V561" s="212" t="str">
        <f t="shared" si="5"/>
        <v>RUN-COMB_2022-04-28_RFR-032</v>
      </c>
      <c r="W561" s="51"/>
      <c r="X561" s="51"/>
      <c r="Y561" s="147" t="str">
        <f t="shared" ref="Y561:Z561" si="1122">IF(_xlfn.ISFORMULA(S561),IFERROR(0/0,""),TRUE)</f>
        <v/>
      </c>
      <c r="Z561" s="147" t="str">
        <f t="shared" si="1122"/>
        <v/>
      </c>
    </row>
    <row r="562">
      <c r="A562" s="6" t="str">
        <f>IFERROR(__xludf.DUMMYFUNCTION("""COMPUTED_VALUE"""),"FM4165")</f>
        <v>FM4165</v>
      </c>
      <c r="B562" s="206">
        <f>IFERROR(__xludf.DUMMYFUNCTION("""COMPUTED_VALUE"""),44679.0)</f>
        <v>44679</v>
      </c>
      <c r="C562" s="207">
        <f>IFERROR(__xludf.DUMMYFUNCTION("""COMPUTED_VALUE"""),0.26849537037037036)</f>
        <v>0.2684953704</v>
      </c>
      <c r="D562" s="50"/>
      <c r="E562" s="58"/>
      <c r="F562" s="58"/>
      <c r="G562" s="58" t="str">
        <f>IFERROR(__xludf.DUMMYFUNCTION("""COMPUTED_VALUE"""),"Negative")</f>
        <v>Negative</v>
      </c>
      <c r="H562" s="206" t="str">
        <f>IFERROR(__xludf.DUMMYFUNCTION("""COMPUTED_VALUE"""),"Negative")</f>
        <v>Negative</v>
      </c>
      <c r="I562" s="207">
        <f>IFERROR(__xludf.DUMMYFUNCTION("""COMPUTED_VALUE"""),44679.0)</f>
        <v>44679</v>
      </c>
      <c r="J562" s="208">
        <f>IFERROR(__xludf.DUMMYFUNCTION("""COMPUTED_VALUE"""),0.401875)</f>
        <v>0.401875</v>
      </c>
      <c r="K562" s="50"/>
      <c r="L562" s="6"/>
      <c r="M562" s="55"/>
      <c r="N562" s="55">
        <f>IFERROR(__xludf.DUMMYFUNCTION("""COMPUTED_VALUE"""),1.0)</f>
        <v>1</v>
      </c>
      <c r="O562" s="55" t="str">
        <f t="shared" si="3"/>
        <v/>
      </c>
      <c r="P562" s="209"/>
      <c r="Q562" s="75" t="b">
        <f>VLOOKUP($B562,'Run Reconcile'!B$2:P1679,15,FALSE)</f>
        <v>1</v>
      </c>
      <c r="R562" s="211" t="str">
        <f t="array" ref="R562">IF($Q562, INDEX('Run Reconcile'!A$2:A1679,MATCH(B562,'Run Reconcile'!B$2:B1679,0),1),IFERROR(0/0,""))</f>
        <v>RUN-COMB_2022-04-28_RFR-032</v>
      </c>
      <c r="S562" s="165" t="str">
        <f t="shared" ref="S562:T562" si="1123">IF(COUNTIF(W$2:W1679, $A562) &gt; 0,TRUE,IFERROR(0/0,""))</f>
        <v/>
      </c>
      <c r="T562" s="165" t="str">
        <f t="shared" si="1123"/>
        <v/>
      </c>
      <c r="U562" s="147" t="str">
        <f t="array" ref="U562">IF(ISBLANK($R562), IF($S562,VLOOKUP($B562+1,'RFR Data - preExcl'!$BF$2:$BG1679,2,FALSE),IF($T562,INDEX('RFR Data - preExcl'!$BF$2:$BG1679,MATCH($B562,'RFR Data - preExcl'!$BF$2:$BF1679,0)+1,2),VLOOKUP($B562,'RFR Data - preExcl'!$BF$2:$BG1679,2,FALSE))),IFERROR(0/0,""))</f>
        <v/>
      </c>
      <c r="V562" s="212" t="str">
        <f t="shared" si="5"/>
        <v>RUN-COMB_2022-04-28_RFR-032</v>
      </c>
      <c r="W562" s="51"/>
      <c r="X562" s="51"/>
      <c r="Y562" s="147" t="str">
        <f t="shared" ref="Y562:Z562" si="1124">IF(_xlfn.ISFORMULA(S562),IFERROR(0/0,""),TRUE)</f>
        <v/>
      </c>
      <c r="Z562" s="147" t="str">
        <f t="shared" si="1124"/>
        <v/>
      </c>
    </row>
    <row r="563">
      <c r="A563" s="6" t="str">
        <f>IFERROR(__xludf.DUMMYFUNCTION("""COMPUTED_VALUE"""),"FM4143")</f>
        <v>FM4143</v>
      </c>
      <c r="B563" s="206">
        <f>IFERROR(__xludf.DUMMYFUNCTION("""COMPUTED_VALUE"""),44679.0)</f>
        <v>44679</v>
      </c>
      <c r="C563" s="207">
        <f>IFERROR(__xludf.DUMMYFUNCTION("""COMPUTED_VALUE"""),0.26881944444444444)</f>
        <v>0.2688194444</v>
      </c>
      <c r="D563" s="50"/>
      <c r="E563" s="58"/>
      <c r="F563" s="58"/>
      <c r="G563" s="58" t="str">
        <f>IFERROR(__xludf.DUMMYFUNCTION("""COMPUTED_VALUE"""),"Negative")</f>
        <v>Negative</v>
      </c>
      <c r="H563" s="206" t="str">
        <f>IFERROR(__xludf.DUMMYFUNCTION("""COMPUTED_VALUE"""),"Negative")</f>
        <v>Negative</v>
      </c>
      <c r="I563" s="207">
        <f>IFERROR(__xludf.DUMMYFUNCTION("""COMPUTED_VALUE"""),44679.0)</f>
        <v>44679</v>
      </c>
      <c r="J563" s="208">
        <f>IFERROR(__xludf.DUMMYFUNCTION("""COMPUTED_VALUE"""),0.40189814814814817)</f>
        <v>0.4018981481</v>
      </c>
      <c r="K563" s="50"/>
      <c r="L563" s="6"/>
      <c r="M563" s="55"/>
      <c r="N563" s="55">
        <f>IFERROR(__xludf.DUMMYFUNCTION("""COMPUTED_VALUE"""),1.0)</f>
        <v>1</v>
      </c>
      <c r="O563" s="55" t="str">
        <f t="shared" si="3"/>
        <v/>
      </c>
      <c r="P563" s="209"/>
      <c r="Q563" s="75" t="b">
        <f>VLOOKUP($B563,'Run Reconcile'!B$2:P1679,15,FALSE)</f>
        <v>1</v>
      </c>
      <c r="R563" s="211" t="str">
        <f t="array" ref="R563">IF($Q563, INDEX('Run Reconcile'!A$2:A1679,MATCH(B563,'Run Reconcile'!B$2:B1679,0),1),IFERROR(0/0,""))</f>
        <v>RUN-COMB_2022-04-28_RFR-032</v>
      </c>
      <c r="S563" s="165" t="str">
        <f t="shared" ref="S563:T563" si="1125">IF(COUNTIF(W$2:W1679, $A563) &gt; 0,TRUE,IFERROR(0/0,""))</f>
        <v/>
      </c>
      <c r="T563" s="165" t="str">
        <f t="shared" si="1125"/>
        <v/>
      </c>
      <c r="U563" s="147" t="str">
        <f t="array" ref="U563">IF(ISBLANK($R563), IF($S563,VLOOKUP($B563+1,'RFR Data - preExcl'!$BF$2:$BG1679,2,FALSE),IF($T563,INDEX('RFR Data - preExcl'!$BF$2:$BG1679,MATCH($B563,'RFR Data - preExcl'!$BF$2:$BF1679,0)+1,2),VLOOKUP($B563,'RFR Data - preExcl'!$BF$2:$BG1679,2,FALSE))),IFERROR(0/0,""))</f>
        <v/>
      </c>
      <c r="V563" s="212" t="str">
        <f t="shared" si="5"/>
        <v>RUN-COMB_2022-04-28_RFR-032</v>
      </c>
      <c r="W563" s="51"/>
      <c r="X563" s="51"/>
      <c r="Y563" s="147" t="str">
        <f t="shared" ref="Y563:Z563" si="1126">IF(_xlfn.ISFORMULA(S563),IFERROR(0/0,""),TRUE)</f>
        <v/>
      </c>
      <c r="Z563" s="147" t="str">
        <f t="shared" si="1126"/>
        <v/>
      </c>
    </row>
    <row r="564">
      <c r="A564" s="6" t="str">
        <f>IFERROR(__xludf.DUMMYFUNCTION("""COMPUTED_VALUE"""),"FM4144")</f>
        <v>FM4144</v>
      </c>
      <c r="B564" s="206">
        <f>IFERROR(__xludf.DUMMYFUNCTION("""COMPUTED_VALUE"""),44679.0)</f>
        <v>44679</v>
      </c>
      <c r="C564" s="207">
        <f>IFERROR(__xludf.DUMMYFUNCTION("""COMPUTED_VALUE"""),0.2692361111111111)</f>
        <v>0.2692361111</v>
      </c>
      <c r="D564" s="50"/>
      <c r="E564" s="58"/>
      <c r="F564" s="58"/>
      <c r="G564" s="58" t="str">
        <f>IFERROR(__xludf.DUMMYFUNCTION("""COMPUTED_VALUE"""),"Negative")</f>
        <v>Negative</v>
      </c>
      <c r="H564" s="206" t="str">
        <f>IFERROR(__xludf.DUMMYFUNCTION("""COMPUTED_VALUE"""),"Negative")</f>
        <v>Negative</v>
      </c>
      <c r="I564" s="207">
        <f>IFERROR(__xludf.DUMMYFUNCTION("""COMPUTED_VALUE"""),44679.0)</f>
        <v>44679</v>
      </c>
      <c r="J564" s="208">
        <f>IFERROR(__xludf.DUMMYFUNCTION("""COMPUTED_VALUE"""),0.4019097222222222)</f>
        <v>0.4019097222</v>
      </c>
      <c r="K564" s="50"/>
      <c r="L564" s="6"/>
      <c r="M564" s="55"/>
      <c r="N564" s="55">
        <f>IFERROR(__xludf.DUMMYFUNCTION("""COMPUTED_VALUE"""),1.0)</f>
        <v>1</v>
      </c>
      <c r="O564" s="55" t="str">
        <f t="shared" si="3"/>
        <v/>
      </c>
      <c r="P564" s="209"/>
      <c r="Q564" s="75" t="b">
        <f>VLOOKUP($B564,'Run Reconcile'!B$2:P1679,15,FALSE)</f>
        <v>1</v>
      </c>
      <c r="R564" s="211" t="str">
        <f t="array" ref="R564">IF($Q564, INDEX('Run Reconcile'!A$2:A1679,MATCH(B564,'Run Reconcile'!B$2:B1679,0),1),IFERROR(0/0,""))</f>
        <v>RUN-COMB_2022-04-28_RFR-032</v>
      </c>
      <c r="S564" s="165" t="str">
        <f t="shared" ref="S564:T564" si="1127">IF(COUNTIF(W$2:W1679, $A564) &gt; 0,TRUE,IFERROR(0/0,""))</f>
        <v/>
      </c>
      <c r="T564" s="165" t="str">
        <f t="shared" si="1127"/>
        <v/>
      </c>
      <c r="U564" s="147" t="str">
        <f t="array" ref="U564">IF(ISBLANK($R564), IF($S564,VLOOKUP($B564+1,'RFR Data - preExcl'!$BF$2:$BG1679,2,FALSE),IF($T564,INDEX('RFR Data - preExcl'!$BF$2:$BG1679,MATCH($B564,'RFR Data - preExcl'!$BF$2:$BF1679,0)+1,2),VLOOKUP($B564,'RFR Data - preExcl'!$BF$2:$BG1679,2,FALSE))),IFERROR(0/0,""))</f>
        <v/>
      </c>
      <c r="V564" s="212" t="str">
        <f t="shared" si="5"/>
        <v>RUN-COMB_2022-04-28_RFR-032</v>
      </c>
      <c r="W564" s="51"/>
      <c r="X564" s="51"/>
      <c r="Y564" s="147" t="str">
        <f t="shared" ref="Y564:Z564" si="1128">IF(_xlfn.ISFORMULA(S564),IFERROR(0/0,""),TRUE)</f>
        <v/>
      </c>
      <c r="Z564" s="147" t="str">
        <f t="shared" si="1128"/>
        <v/>
      </c>
    </row>
    <row r="565">
      <c r="A565" s="6" t="str">
        <f>IFERROR(__xludf.DUMMYFUNCTION("""COMPUTED_VALUE"""),"FM4224")</f>
        <v>FM4224</v>
      </c>
      <c r="B565" s="206">
        <f>IFERROR(__xludf.DUMMYFUNCTION("""COMPUTED_VALUE"""),44679.0)</f>
        <v>44679</v>
      </c>
      <c r="C565" s="207">
        <f>IFERROR(__xludf.DUMMYFUNCTION("""COMPUTED_VALUE"""),0.2742361111111111)</f>
        <v>0.2742361111</v>
      </c>
      <c r="D565" s="50"/>
      <c r="E565" s="58"/>
      <c r="F565" s="58"/>
      <c r="G565" s="58" t="str">
        <f>IFERROR(__xludf.DUMMYFUNCTION("""COMPUTED_VALUE"""),"Negative")</f>
        <v>Negative</v>
      </c>
      <c r="H565" s="206" t="str">
        <f>IFERROR(__xludf.DUMMYFUNCTION("""COMPUTED_VALUE"""),"Negative")</f>
        <v>Negative</v>
      </c>
      <c r="I565" s="207">
        <f>IFERROR(__xludf.DUMMYFUNCTION("""COMPUTED_VALUE"""),44679.0)</f>
        <v>44679</v>
      </c>
      <c r="J565" s="208">
        <f>IFERROR(__xludf.DUMMYFUNCTION("""COMPUTED_VALUE"""),0.40193287037037034)</f>
        <v>0.4019328704</v>
      </c>
      <c r="K565" s="50"/>
      <c r="L565" s="6"/>
      <c r="M565" s="55"/>
      <c r="N565" s="55">
        <f>IFERROR(__xludf.DUMMYFUNCTION("""COMPUTED_VALUE"""),1.0)</f>
        <v>1</v>
      </c>
      <c r="O565" s="55" t="str">
        <f t="shared" si="3"/>
        <v/>
      </c>
      <c r="P565" s="209"/>
      <c r="Q565" s="75" t="b">
        <f>VLOOKUP($B565,'Run Reconcile'!B$2:P1679,15,FALSE)</f>
        <v>1</v>
      </c>
      <c r="R565" s="211" t="str">
        <f t="array" ref="R565">IF($Q565, INDEX('Run Reconcile'!A$2:A1679,MATCH(B565,'Run Reconcile'!B$2:B1679,0),1),IFERROR(0/0,""))</f>
        <v>RUN-COMB_2022-04-28_RFR-032</v>
      </c>
      <c r="S565" s="165" t="str">
        <f t="shared" ref="S565:T565" si="1129">IF(COUNTIF(W$2:W1679, $A565) &gt; 0,TRUE,IFERROR(0/0,""))</f>
        <v/>
      </c>
      <c r="T565" s="165" t="str">
        <f t="shared" si="1129"/>
        <v/>
      </c>
      <c r="U565" s="147" t="str">
        <f t="array" ref="U565">IF(ISBLANK($R565), IF($S565,VLOOKUP($B565+1,'RFR Data - preExcl'!$BF$2:$BG1679,2,FALSE),IF($T565,INDEX('RFR Data - preExcl'!$BF$2:$BG1679,MATCH($B565,'RFR Data - preExcl'!$BF$2:$BF1679,0)+1,2),VLOOKUP($B565,'RFR Data - preExcl'!$BF$2:$BG1679,2,FALSE))),IFERROR(0/0,""))</f>
        <v/>
      </c>
      <c r="V565" s="212" t="str">
        <f t="shared" si="5"/>
        <v>RUN-COMB_2022-04-28_RFR-032</v>
      </c>
      <c r="W565" s="51"/>
      <c r="X565" s="51"/>
      <c r="Y565" s="147" t="str">
        <f t="shared" ref="Y565:Z565" si="1130">IF(_xlfn.ISFORMULA(S565),IFERROR(0/0,""),TRUE)</f>
        <v/>
      </c>
      <c r="Z565" s="147" t="str">
        <f t="shared" si="1130"/>
        <v/>
      </c>
    </row>
    <row r="566">
      <c r="A566" s="6" t="str">
        <f>IFERROR(__xludf.DUMMYFUNCTION("""COMPUTED_VALUE"""),"FM4227")</f>
        <v>FM4227</v>
      </c>
      <c r="B566" s="206">
        <f>IFERROR(__xludf.DUMMYFUNCTION("""COMPUTED_VALUE"""),44679.0)</f>
        <v>44679</v>
      </c>
      <c r="C566" s="207">
        <f>IFERROR(__xludf.DUMMYFUNCTION("""COMPUTED_VALUE"""),0.2745949074074074)</f>
        <v>0.2745949074</v>
      </c>
      <c r="D566" s="50"/>
      <c r="E566" s="58"/>
      <c r="F566" s="58"/>
      <c r="G566" s="58" t="str">
        <f>IFERROR(__xludf.DUMMYFUNCTION("""COMPUTED_VALUE"""),"Negative")</f>
        <v>Negative</v>
      </c>
      <c r="H566" s="206" t="str">
        <f>IFERROR(__xludf.DUMMYFUNCTION("""COMPUTED_VALUE"""),"Negative")</f>
        <v>Negative</v>
      </c>
      <c r="I566" s="207">
        <f>IFERROR(__xludf.DUMMYFUNCTION("""COMPUTED_VALUE"""),44679.0)</f>
        <v>44679</v>
      </c>
      <c r="J566" s="208">
        <f>IFERROR(__xludf.DUMMYFUNCTION("""COMPUTED_VALUE"""),0.40195601851851853)</f>
        <v>0.4019560185</v>
      </c>
      <c r="K566" s="50"/>
      <c r="L566" s="6"/>
      <c r="M566" s="55"/>
      <c r="N566" s="55">
        <f>IFERROR(__xludf.DUMMYFUNCTION("""COMPUTED_VALUE"""),1.0)</f>
        <v>1</v>
      </c>
      <c r="O566" s="55" t="str">
        <f t="shared" si="3"/>
        <v/>
      </c>
      <c r="P566" s="209"/>
      <c r="Q566" s="75" t="b">
        <f>VLOOKUP($B566,'Run Reconcile'!B$2:P1679,15,FALSE)</f>
        <v>1</v>
      </c>
      <c r="R566" s="211" t="str">
        <f t="array" ref="R566">IF($Q566, INDEX('Run Reconcile'!A$2:A1679,MATCH(B566,'Run Reconcile'!B$2:B1679,0),1),IFERROR(0/0,""))</f>
        <v>RUN-COMB_2022-04-28_RFR-032</v>
      </c>
      <c r="S566" s="165" t="str">
        <f t="shared" ref="S566:T566" si="1131">IF(COUNTIF(W$2:W1679, $A566) &gt; 0,TRUE,IFERROR(0/0,""))</f>
        <v/>
      </c>
      <c r="T566" s="165" t="str">
        <f t="shared" si="1131"/>
        <v/>
      </c>
      <c r="U566" s="147" t="str">
        <f t="array" ref="U566">IF(ISBLANK($R566), IF($S566,VLOOKUP($B566+1,'RFR Data - preExcl'!$BF$2:$BG1679,2,FALSE),IF($T566,INDEX('RFR Data - preExcl'!$BF$2:$BG1679,MATCH($B566,'RFR Data - preExcl'!$BF$2:$BF1679,0)+1,2),VLOOKUP($B566,'RFR Data - preExcl'!$BF$2:$BG1679,2,FALSE))),IFERROR(0/0,""))</f>
        <v/>
      </c>
      <c r="V566" s="212" t="str">
        <f t="shared" si="5"/>
        <v>RUN-COMB_2022-04-28_RFR-032</v>
      </c>
      <c r="W566" s="51"/>
      <c r="X566" s="51"/>
      <c r="Y566" s="147" t="str">
        <f t="shared" ref="Y566:Z566" si="1132">IF(_xlfn.ISFORMULA(S566),IFERROR(0/0,""),TRUE)</f>
        <v/>
      </c>
      <c r="Z566" s="147" t="str">
        <f t="shared" si="1132"/>
        <v/>
      </c>
    </row>
    <row r="567">
      <c r="A567" s="6" t="str">
        <f>IFERROR(__xludf.DUMMYFUNCTION("""COMPUTED_VALUE"""),"FM4177")</f>
        <v>FM4177</v>
      </c>
      <c r="B567" s="206">
        <f>IFERROR(__xludf.DUMMYFUNCTION("""COMPUTED_VALUE"""),44679.0)</f>
        <v>44679</v>
      </c>
      <c r="C567" s="207">
        <f>IFERROR(__xludf.DUMMYFUNCTION("""COMPUTED_VALUE"""),0.27493055555555557)</f>
        <v>0.2749305556</v>
      </c>
      <c r="D567" s="50"/>
      <c r="E567" s="58"/>
      <c r="F567" s="58"/>
      <c r="G567" s="58" t="str">
        <f>IFERROR(__xludf.DUMMYFUNCTION("""COMPUTED_VALUE"""),"Negative")</f>
        <v>Negative</v>
      </c>
      <c r="H567" s="206" t="str">
        <f>IFERROR(__xludf.DUMMYFUNCTION("""COMPUTED_VALUE"""),"Negative")</f>
        <v>Negative</v>
      </c>
      <c r="I567" s="207">
        <f>IFERROR(__xludf.DUMMYFUNCTION("""COMPUTED_VALUE"""),44679.0)</f>
        <v>44679</v>
      </c>
      <c r="J567" s="208">
        <f>IFERROR(__xludf.DUMMYFUNCTION("""COMPUTED_VALUE"""),0.40196759259259257)</f>
        <v>0.4019675926</v>
      </c>
      <c r="K567" s="50"/>
      <c r="L567" s="6"/>
      <c r="M567" s="55"/>
      <c r="N567" s="55">
        <f>IFERROR(__xludf.DUMMYFUNCTION("""COMPUTED_VALUE"""),1.0)</f>
        <v>1</v>
      </c>
      <c r="O567" s="55" t="str">
        <f t="shared" si="3"/>
        <v/>
      </c>
      <c r="P567" s="209"/>
      <c r="Q567" s="75" t="b">
        <f>VLOOKUP($B567,'Run Reconcile'!B$2:P1679,15,FALSE)</f>
        <v>1</v>
      </c>
      <c r="R567" s="211" t="str">
        <f t="array" ref="R567">IF($Q567, INDEX('Run Reconcile'!A$2:A1679,MATCH(B567,'Run Reconcile'!B$2:B1679,0),1),IFERROR(0/0,""))</f>
        <v>RUN-COMB_2022-04-28_RFR-032</v>
      </c>
      <c r="S567" s="165" t="str">
        <f t="shared" ref="S567:T567" si="1133">IF(COUNTIF(W$2:W1679, $A567) &gt; 0,TRUE,IFERROR(0/0,""))</f>
        <v/>
      </c>
      <c r="T567" s="165" t="str">
        <f t="shared" si="1133"/>
        <v/>
      </c>
      <c r="U567" s="147" t="str">
        <f t="array" ref="U567">IF(ISBLANK($R567), IF($S567,VLOOKUP($B567+1,'RFR Data - preExcl'!$BF$2:$BG1679,2,FALSE),IF($T567,INDEX('RFR Data - preExcl'!$BF$2:$BG1679,MATCH($B567,'RFR Data - preExcl'!$BF$2:$BF1679,0)+1,2),VLOOKUP($B567,'RFR Data - preExcl'!$BF$2:$BG1679,2,FALSE))),IFERROR(0/0,""))</f>
        <v/>
      </c>
      <c r="V567" s="212" t="str">
        <f t="shared" si="5"/>
        <v>RUN-COMB_2022-04-28_RFR-032</v>
      </c>
      <c r="W567" s="51"/>
      <c r="X567" s="51"/>
      <c r="Y567" s="147" t="str">
        <f t="shared" ref="Y567:Z567" si="1134">IF(_xlfn.ISFORMULA(S567),IFERROR(0/0,""),TRUE)</f>
        <v/>
      </c>
      <c r="Z567" s="147" t="str">
        <f t="shared" si="1134"/>
        <v/>
      </c>
    </row>
    <row r="568">
      <c r="A568" s="6" t="str">
        <f>IFERROR(__xludf.DUMMYFUNCTION("""COMPUTED_VALUE"""),"FM4161")</f>
        <v>FM4161</v>
      </c>
      <c r="B568" s="206">
        <f>IFERROR(__xludf.DUMMYFUNCTION("""COMPUTED_VALUE"""),44679.0)</f>
        <v>44679</v>
      </c>
      <c r="C568" s="207">
        <f>IFERROR(__xludf.DUMMYFUNCTION("""COMPUTED_VALUE"""),0.2752893518518518)</f>
        <v>0.2752893519</v>
      </c>
      <c r="D568" s="50"/>
      <c r="E568" s="58"/>
      <c r="F568" s="58"/>
      <c r="G568" s="58" t="str">
        <f>IFERROR(__xludf.DUMMYFUNCTION("""COMPUTED_VALUE"""),"Negative")</f>
        <v>Negative</v>
      </c>
      <c r="H568" s="206" t="str">
        <f>IFERROR(__xludf.DUMMYFUNCTION("""COMPUTED_VALUE"""),"Negative")</f>
        <v>Negative</v>
      </c>
      <c r="I568" s="207">
        <f>IFERROR(__xludf.DUMMYFUNCTION("""COMPUTED_VALUE"""),44679.0)</f>
        <v>44679</v>
      </c>
      <c r="J568" s="208">
        <f>IFERROR(__xludf.DUMMYFUNCTION("""COMPUTED_VALUE"""),0.4013773148148148)</f>
        <v>0.4013773148</v>
      </c>
      <c r="K568" s="50"/>
      <c r="L568" s="6"/>
      <c r="M568" s="55"/>
      <c r="N568" s="55">
        <f>IFERROR(__xludf.DUMMYFUNCTION("""COMPUTED_VALUE"""),1.0)</f>
        <v>1</v>
      </c>
      <c r="O568" s="55" t="str">
        <f t="shared" si="3"/>
        <v/>
      </c>
      <c r="P568" s="209"/>
      <c r="Q568" s="75" t="b">
        <f>VLOOKUP($B568,'Run Reconcile'!B$2:P1679,15,FALSE)</f>
        <v>1</v>
      </c>
      <c r="R568" s="211" t="str">
        <f t="array" ref="R568">IF($Q568, INDEX('Run Reconcile'!A$2:A1679,MATCH(B568,'Run Reconcile'!B$2:B1679,0),1),IFERROR(0/0,""))</f>
        <v>RUN-COMB_2022-04-28_RFR-032</v>
      </c>
      <c r="S568" s="165" t="str">
        <f t="shared" ref="S568:T568" si="1135">IF(COUNTIF(W$2:W1679, $A568) &gt; 0,TRUE,IFERROR(0/0,""))</f>
        <v/>
      </c>
      <c r="T568" s="165" t="str">
        <f t="shared" si="1135"/>
        <v/>
      </c>
      <c r="U568" s="147" t="str">
        <f t="array" ref="U568">IF(ISBLANK($R568), IF($S568,VLOOKUP($B568+1,'RFR Data - preExcl'!$BF$2:$BG1679,2,FALSE),IF($T568,INDEX('RFR Data - preExcl'!$BF$2:$BG1679,MATCH($B568,'RFR Data - preExcl'!$BF$2:$BF1679,0)+1,2),VLOOKUP($B568,'RFR Data - preExcl'!$BF$2:$BG1679,2,FALSE))),IFERROR(0/0,""))</f>
        <v/>
      </c>
      <c r="V568" s="212" t="str">
        <f t="shared" si="5"/>
        <v>RUN-COMB_2022-04-28_RFR-032</v>
      </c>
      <c r="W568" s="51"/>
      <c r="X568" s="51"/>
      <c r="Y568" s="147" t="str">
        <f t="shared" ref="Y568:Z568" si="1136">IF(_xlfn.ISFORMULA(S568),IFERROR(0/0,""),TRUE)</f>
        <v/>
      </c>
      <c r="Z568" s="147" t="str">
        <f t="shared" si="1136"/>
        <v/>
      </c>
    </row>
    <row r="569">
      <c r="A569" s="6" t="str">
        <f>IFERROR(__xludf.DUMMYFUNCTION("""COMPUTED_VALUE"""),"FM4207")</f>
        <v>FM4207</v>
      </c>
      <c r="B569" s="206">
        <f>IFERROR(__xludf.DUMMYFUNCTION("""COMPUTED_VALUE"""),44679.0)</f>
        <v>44679</v>
      </c>
      <c r="C569" s="207">
        <f>IFERROR(__xludf.DUMMYFUNCTION("""COMPUTED_VALUE"""),0.2757291666666667)</f>
        <v>0.2757291667</v>
      </c>
      <c r="D569" s="50"/>
      <c r="E569" s="58"/>
      <c r="F569" s="58"/>
      <c r="G569" s="58" t="str">
        <f>IFERROR(__xludf.DUMMYFUNCTION("""COMPUTED_VALUE"""),"Negative")</f>
        <v>Negative</v>
      </c>
      <c r="H569" s="206" t="str">
        <f>IFERROR(__xludf.DUMMYFUNCTION("""COMPUTED_VALUE"""),"Negative")</f>
        <v>Negative</v>
      </c>
      <c r="I569" s="207">
        <f>IFERROR(__xludf.DUMMYFUNCTION("""COMPUTED_VALUE"""),44679.0)</f>
        <v>44679</v>
      </c>
      <c r="J569" s="208">
        <f>IFERROR(__xludf.DUMMYFUNCTION("""COMPUTED_VALUE"""),0.40199074074074076)</f>
        <v>0.4019907407</v>
      </c>
      <c r="K569" s="50"/>
      <c r="L569" s="6"/>
      <c r="M569" s="55"/>
      <c r="N569" s="55">
        <f>IFERROR(__xludf.DUMMYFUNCTION("""COMPUTED_VALUE"""),1.0)</f>
        <v>1</v>
      </c>
      <c r="O569" s="55" t="str">
        <f t="shared" si="3"/>
        <v/>
      </c>
      <c r="P569" s="209"/>
      <c r="Q569" s="75" t="b">
        <f>VLOOKUP($B569,'Run Reconcile'!B$2:P1679,15,FALSE)</f>
        <v>1</v>
      </c>
      <c r="R569" s="211" t="str">
        <f t="array" ref="R569">IF($Q569, INDEX('Run Reconcile'!A$2:A1679,MATCH(B569,'Run Reconcile'!B$2:B1679,0),1),IFERROR(0/0,""))</f>
        <v>RUN-COMB_2022-04-28_RFR-032</v>
      </c>
      <c r="S569" s="165" t="str">
        <f t="shared" ref="S569:T569" si="1137">IF(COUNTIF(W$2:W1679, $A569) &gt; 0,TRUE,IFERROR(0/0,""))</f>
        <v/>
      </c>
      <c r="T569" s="165" t="str">
        <f t="shared" si="1137"/>
        <v/>
      </c>
      <c r="U569" s="147" t="str">
        <f t="array" ref="U569">IF(ISBLANK($R569), IF($S569,VLOOKUP($B569+1,'RFR Data - preExcl'!$BF$2:$BG1679,2,FALSE),IF($T569,INDEX('RFR Data - preExcl'!$BF$2:$BG1679,MATCH($B569,'RFR Data - preExcl'!$BF$2:$BF1679,0)+1,2),VLOOKUP($B569,'RFR Data - preExcl'!$BF$2:$BG1679,2,FALSE))),IFERROR(0/0,""))</f>
        <v/>
      </c>
      <c r="V569" s="212" t="str">
        <f t="shared" si="5"/>
        <v>RUN-COMB_2022-04-28_RFR-032</v>
      </c>
      <c r="W569" s="51"/>
      <c r="X569" s="51"/>
      <c r="Y569" s="147" t="str">
        <f t="shared" ref="Y569:Z569" si="1138">IF(_xlfn.ISFORMULA(S569),IFERROR(0/0,""),TRUE)</f>
        <v/>
      </c>
      <c r="Z569" s="147" t="str">
        <f t="shared" si="1138"/>
        <v/>
      </c>
    </row>
    <row r="570">
      <c r="A570" s="6" t="str">
        <f>IFERROR(__xludf.DUMMYFUNCTION("""COMPUTED_VALUE"""),"FM4182")</f>
        <v>FM4182</v>
      </c>
      <c r="B570" s="206">
        <f>IFERROR(__xludf.DUMMYFUNCTION("""COMPUTED_VALUE"""),44679.0)</f>
        <v>44679</v>
      </c>
      <c r="C570" s="207">
        <f>IFERROR(__xludf.DUMMYFUNCTION("""COMPUTED_VALUE"""),0.2760648148148148)</f>
        <v>0.2760648148</v>
      </c>
      <c r="D570" s="50"/>
      <c r="E570" s="58"/>
      <c r="F570" s="58"/>
      <c r="G570" s="58" t="str">
        <f>IFERROR(__xludf.DUMMYFUNCTION("""COMPUTED_VALUE"""),"Negative")</f>
        <v>Negative</v>
      </c>
      <c r="H570" s="206" t="str">
        <f>IFERROR(__xludf.DUMMYFUNCTION("""COMPUTED_VALUE"""),"Negative")</f>
        <v>Negative</v>
      </c>
      <c r="I570" s="207">
        <f>IFERROR(__xludf.DUMMYFUNCTION("""COMPUTED_VALUE"""),44679.0)</f>
        <v>44679</v>
      </c>
      <c r="J570" s="208">
        <f>IFERROR(__xludf.DUMMYFUNCTION("""COMPUTED_VALUE"""),0.4020138888888889)</f>
        <v>0.4020138889</v>
      </c>
      <c r="K570" s="50"/>
      <c r="L570" s="6"/>
      <c r="M570" s="55"/>
      <c r="N570" s="55">
        <f>IFERROR(__xludf.DUMMYFUNCTION("""COMPUTED_VALUE"""),1.0)</f>
        <v>1</v>
      </c>
      <c r="O570" s="55" t="str">
        <f t="shared" si="3"/>
        <v/>
      </c>
      <c r="P570" s="209"/>
      <c r="Q570" s="75" t="b">
        <f>VLOOKUP($B570,'Run Reconcile'!B$2:P1679,15,FALSE)</f>
        <v>1</v>
      </c>
      <c r="R570" s="211" t="str">
        <f t="array" ref="R570">IF($Q570, INDEX('Run Reconcile'!A$2:A1679,MATCH(B570,'Run Reconcile'!B$2:B1679,0),1),IFERROR(0/0,""))</f>
        <v>RUN-COMB_2022-04-28_RFR-032</v>
      </c>
      <c r="S570" s="165" t="str">
        <f t="shared" ref="S570:T570" si="1139">IF(COUNTIF(W$2:W1679, $A570) &gt; 0,TRUE,IFERROR(0/0,""))</f>
        <v/>
      </c>
      <c r="T570" s="165" t="str">
        <f t="shared" si="1139"/>
        <v/>
      </c>
      <c r="U570" s="147" t="str">
        <f t="array" ref="U570">IF(ISBLANK($R570), IF($S570,VLOOKUP($B570+1,'RFR Data - preExcl'!$BF$2:$BG1679,2,FALSE),IF($T570,INDEX('RFR Data - preExcl'!$BF$2:$BG1679,MATCH($B570,'RFR Data - preExcl'!$BF$2:$BF1679,0)+1,2),VLOOKUP($B570,'RFR Data - preExcl'!$BF$2:$BG1679,2,FALSE))),IFERROR(0/0,""))</f>
        <v/>
      </c>
      <c r="V570" s="212" t="str">
        <f t="shared" si="5"/>
        <v>RUN-COMB_2022-04-28_RFR-032</v>
      </c>
      <c r="W570" s="51"/>
      <c r="X570" s="51"/>
      <c r="Y570" s="147" t="str">
        <f t="shared" ref="Y570:Z570" si="1140">IF(_xlfn.ISFORMULA(S570),IFERROR(0/0,""),TRUE)</f>
        <v/>
      </c>
      <c r="Z570" s="147" t="str">
        <f t="shared" si="1140"/>
        <v/>
      </c>
    </row>
    <row r="571">
      <c r="A571" s="6" t="str">
        <f>IFERROR(__xludf.DUMMYFUNCTION("""COMPUTED_VALUE"""),"FM4181")</f>
        <v>FM4181</v>
      </c>
      <c r="B571" s="206">
        <f>IFERROR(__xludf.DUMMYFUNCTION("""COMPUTED_VALUE"""),44679.0)</f>
        <v>44679</v>
      </c>
      <c r="C571" s="207">
        <f>IFERROR(__xludf.DUMMYFUNCTION("""COMPUTED_VALUE"""),0.2764699074074074)</f>
        <v>0.2764699074</v>
      </c>
      <c r="D571" s="50"/>
      <c r="E571" s="58"/>
      <c r="F571" s="58"/>
      <c r="G571" s="58" t="str">
        <f>IFERROR(__xludf.DUMMYFUNCTION("""COMPUTED_VALUE"""),"Negative")</f>
        <v>Negative</v>
      </c>
      <c r="H571" s="206" t="str">
        <f>IFERROR(__xludf.DUMMYFUNCTION("""COMPUTED_VALUE"""),"Negative")</f>
        <v>Negative</v>
      </c>
      <c r="I571" s="207">
        <f>IFERROR(__xludf.DUMMYFUNCTION("""COMPUTED_VALUE"""),44679.0)</f>
        <v>44679</v>
      </c>
      <c r="J571" s="208">
        <f>IFERROR(__xludf.DUMMYFUNCTION("""COMPUTED_VALUE"""),0.402025462962963)</f>
        <v>0.402025463</v>
      </c>
      <c r="K571" s="50"/>
      <c r="L571" s="6"/>
      <c r="M571" s="55"/>
      <c r="N571" s="55">
        <f>IFERROR(__xludf.DUMMYFUNCTION("""COMPUTED_VALUE"""),1.0)</f>
        <v>1</v>
      </c>
      <c r="O571" s="55" t="str">
        <f t="shared" si="3"/>
        <v/>
      </c>
      <c r="P571" s="209"/>
      <c r="Q571" s="75" t="b">
        <f>VLOOKUP($B571,'Run Reconcile'!B$2:P1679,15,FALSE)</f>
        <v>1</v>
      </c>
      <c r="R571" s="211" t="str">
        <f t="array" ref="R571">IF($Q571, INDEX('Run Reconcile'!A$2:A1679,MATCH(B571,'Run Reconcile'!B$2:B1679,0),1),IFERROR(0/0,""))</f>
        <v>RUN-COMB_2022-04-28_RFR-032</v>
      </c>
      <c r="S571" s="165" t="str">
        <f t="shared" ref="S571:T571" si="1141">IF(COUNTIF(W$2:W1679, $A571) &gt; 0,TRUE,IFERROR(0/0,""))</f>
        <v/>
      </c>
      <c r="T571" s="165" t="str">
        <f t="shared" si="1141"/>
        <v/>
      </c>
      <c r="U571" s="147" t="str">
        <f t="array" ref="U571">IF(ISBLANK($R571), IF($S571,VLOOKUP($B571+1,'RFR Data - preExcl'!$BF$2:$BG1679,2,FALSE),IF($T571,INDEX('RFR Data - preExcl'!$BF$2:$BG1679,MATCH($B571,'RFR Data - preExcl'!$BF$2:$BF1679,0)+1,2),VLOOKUP($B571,'RFR Data - preExcl'!$BF$2:$BG1679,2,FALSE))),IFERROR(0/0,""))</f>
        <v/>
      </c>
      <c r="V571" s="212" t="str">
        <f t="shared" si="5"/>
        <v>RUN-COMB_2022-04-28_RFR-032</v>
      </c>
      <c r="W571" s="51"/>
      <c r="X571" s="51"/>
      <c r="Y571" s="147" t="str">
        <f t="shared" ref="Y571:Z571" si="1142">IF(_xlfn.ISFORMULA(S571),IFERROR(0/0,""),TRUE)</f>
        <v/>
      </c>
      <c r="Z571" s="147" t="str">
        <f t="shared" si="1142"/>
        <v/>
      </c>
    </row>
    <row r="572">
      <c r="A572" s="6" t="str">
        <f>IFERROR(__xludf.DUMMYFUNCTION("""COMPUTED_VALUE"""),"FM4189")</f>
        <v>FM4189</v>
      </c>
      <c r="B572" s="206">
        <f>IFERROR(__xludf.DUMMYFUNCTION("""COMPUTED_VALUE"""),44679.0)</f>
        <v>44679</v>
      </c>
      <c r="C572" s="207">
        <f>IFERROR(__xludf.DUMMYFUNCTION("""COMPUTED_VALUE"""),0.2769212962962963)</f>
        <v>0.2769212963</v>
      </c>
      <c r="D572" s="50"/>
      <c r="E572" s="58"/>
      <c r="F572" s="58"/>
      <c r="G572" s="58" t="str">
        <f>IFERROR(__xludf.DUMMYFUNCTION("""COMPUTED_VALUE"""),"Negative")</f>
        <v>Negative</v>
      </c>
      <c r="H572" s="206" t="str">
        <f>IFERROR(__xludf.DUMMYFUNCTION("""COMPUTED_VALUE"""),"Negative")</f>
        <v>Negative</v>
      </c>
      <c r="I572" s="207">
        <f>IFERROR(__xludf.DUMMYFUNCTION("""COMPUTED_VALUE"""),44679.0)</f>
        <v>44679</v>
      </c>
      <c r="J572" s="208">
        <f>IFERROR(__xludf.DUMMYFUNCTION("""COMPUTED_VALUE"""),0.4020486111111111)</f>
        <v>0.4020486111</v>
      </c>
      <c r="K572" s="50"/>
      <c r="L572" s="6"/>
      <c r="M572" s="55"/>
      <c r="N572" s="55">
        <f>IFERROR(__xludf.DUMMYFUNCTION("""COMPUTED_VALUE"""),1.0)</f>
        <v>1</v>
      </c>
      <c r="O572" s="55" t="str">
        <f t="shared" si="3"/>
        <v/>
      </c>
      <c r="P572" s="209"/>
      <c r="Q572" s="75" t="b">
        <f>VLOOKUP($B572,'Run Reconcile'!B$2:P1679,15,FALSE)</f>
        <v>1</v>
      </c>
      <c r="R572" s="211" t="str">
        <f t="array" ref="R572">IF($Q572, INDEX('Run Reconcile'!A$2:A1679,MATCH(B572,'Run Reconcile'!B$2:B1679,0),1),IFERROR(0/0,""))</f>
        <v>RUN-COMB_2022-04-28_RFR-032</v>
      </c>
      <c r="S572" s="165" t="str">
        <f t="shared" ref="S572:T572" si="1143">IF(COUNTIF(W$2:W1679, $A572) &gt; 0,TRUE,IFERROR(0/0,""))</f>
        <v/>
      </c>
      <c r="T572" s="165" t="str">
        <f t="shared" si="1143"/>
        <v/>
      </c>
      <c r="U572" s="147" t="str">
        <f t="array" ref="U572">IF(ISBLANK($R572), IF($S572,VLOOKUP($B572+1,'RFR Data - preExcl'!$BF$2:$BG1679,2,FALSE),IF($T572,INDEX('RFR Data - preExcl'!$BF$2:$BG1679,MATCH($B572,'RFR Data - preExcl'!$BF$2:$BF1679,0)+1,2),VLOOKUP($B572,'RFR Data - preExcl'!$BF$2:$BG1679,2,FALSE))),IFERROR(0/0,""))</f>
        <v/>
      </c>
      <c r="V572" s="212" t="str">
        <f t="shared" si="5"/>
        <v>RUN-COMB_2022-04-28_RFR-032</v>
      </c>
      <c r="W572" s="51"/>
      <c r="X572" s="51"/>
      <c r="Y572" s="147" t="str">
        <f t="shared" ref="Y572:Z572" si="1144">IF(_xlfn.ISFORMULA(S572),IFERROR(0/0,""),TRUE)</f>
        <v/>
      </c>
      <c r="Z572" s="147" t="str">
        <f t="shared" si="1144"/>
        <v/>
      </c>
    </row>
    <row r="573">
      <c r="A573" s="6" t="str">
        <f>IFERROR(__xludf.DUMMYFUNCTION("""COMPUTED_VALUE"""),"FM4223")</f>
        <v>FM4223</v>
      </c>
      <c r="B573" s="206">
        <f>IFERROR(__xludf.DUMMYFUNCTION("""COMPUTED_VALUE"""),44679.0)</f>
        <v>44679</v>
      </c>
      <c r="C573" s="207">
        <f>IFERROR(__xludf.DUMMYFUNCTION("""COMPUTED_VALUE"""),0.27778935185185183)</f>
        <v>0.2777893519</v>
      </c>
      <c r="D573" s="50"/>
      <c r="E573" s="58"/>
      <c r="F573" s="58"/>
      <c r="G573" s="58" t="str">
        <f>IFERROR(__xludf.DUMMYFUNCTION("""COMPUTED_VALUE"""),"Negative")</f>
        <v>Negative</v>
      </c>
      <c r="H573" s="206" t="str">
        <f>IFERROR(__xludf.DUMMYFUNCTION("""COMPUTED_VALUE"""),"Negative")</f>
        <v>Negative</v>
      </c>
      <c r="I573" s="207">
        <f>IFERROR(__xludf.DUMMYFUNCTION("""COMPUTED_VALUE"""),44679.0)</f>
        <v>44679</v>
      </c>
      <c r="J573" s="208">
        <f>IFERROR(__xludf.DUMMYFUNCTION("""COMPUTED_VALUE"""),0.40207175925925925)</f>
        <v>0.4020717593</v>
      </c>
      <c r="K573" s="50"/>
      <c r="L573" s="6"/>
      <c r="M573" s="55"/>
      <c r="N573" s="55">
        <f>IFERROR(__xludf.DUMMYFUNCTION("""COMPUTED_VALUE"""),1.0)</f>
        <v>1</v>
      </c>
      <c r="O573" s="55" t="str">
        <f t="shared" si="3"/>
        <v/>
      </c>
      <c r="P573" s="209"/>
      <c r="Q573" s="75" t="b">
        <f>VLOOKUP($B573,'Run Reconcile'!B$2:P1679,15,FALSE)</f>
        <v>1</v>
      </c>
      <c r="R573" s="211" t="str">
        <f t="array" ref="R573">IF($Q573, INDEX('Run Reconcile'!A$2:A1679,MATCH(B573,'Run Reconcile'!B$2:B1679,0),1),IFERROR(0/0,""))</f>
        <v>RUN-COMB_2022-04-28_RFR-032</v>
      </c>
      <c r="S573" s="165" t="str">
        <f t="shared" ref="S573:T573" si="1145">IF(COUNTIF(W$2:W1679, $A573) &gt; 0,TRUE,IFERROR(0/0,""))</f>
        <v/>
      </c>
      <c r="T573" s="165" t="str">
        <f t="shared" si="1145"/>
        <v/>
      </c>
      <c r="U573" s="147" t="str">
        <f t="array" ref="U573">IF(ISBLANK($R573), IF($S573,VLOOKUP($B573+1,'RFR Data - preExcl'!$BF$2:$BG1679,2,FALSE),IF($T573,INDEX('RFR Data - preExcl'!$BF$2:$BG1679,MATCH($B573,'RFR Data - preExcl'!$BF$2:$BF1679,0)+1,2),VLOOKUP($B573,'RFR Data - preExcl'!$BF$2:$BG1679,2,FALSE))),IFERROR(0/0,""))</f>
        <v/>
      </c>
      <c r="V573" s="212" t="str">
        <f t="shared" si="5"/>
        <v>RUN-COMB_2022-04-28_RFR-032</v>
      </c>
      <c r="W573" s="51"/>
      <c r="X573" s="51"/>
      <c r="Y573" s="147" t="str">
        <f t="shared" ref="Y573:Z573" si="1146">IF(_xlfn.ISFORMULA(S573),IFERROR(0/0,""),TRUE)</f>
        <v/>
      </c>
      <c r="Z573" s="147" t="str">
        <f t="shared" si="1146"/>
        <v/>
      </c>
    </row>
    <row r="574">
      <c r="A574" s="6" t="str">
        <f>IFERROR(__xludf.DUMMYFUNCTION("""COMPUTED_VALUE"""),"FM4185")</f>
        <v>FM4185</v>
      </c>
      <c r="B574" s="206">
        <f>IFERROR(__xludf.DUMMYFUNCTION("""COMPUTED_VALUE"""),44679.0)</f>
        <v>44679</v>
      </c>
      <c r="C574" s="207">
        <f>IFERROR(__xludf.DUMMYFUNCTION("""COMPUTED_VALUE"""),0.2788541666666667)</f>
        <v>0.2788541667</v>
      </c>
      <c r="D574" s="50"/>
      <c r="E574" s="58"/>
      <c r="F574" s="58"/>
      <c r="G574" s="58" t="str">
        <f>IFERROR(__xludf.DUMMYFUNCTION("""COMPUTED_VALUE"""),"Negative")</f>
        <v>Negative</v>
      </c>
      <c r="H574" s="206" t="str">
        <f>IFERROR(__xludf.DUMMYFUNCTION("""COMPUTED_VALUE"""),"Negative")</f>
        <v>Negative</v>
      </c>
      <c r="I574" s="207">
        <f>IFERROR(__xludf.DUMMYFUNCTION("""COMPUTED_VALUE"""),44679.0)</f>
        <v>44679</v>
      </c>
      <c r="J574" s="208">
        <f>IFERROR(__xludf.DUMMYFUNCTION("""COMPUTED_VALUE"""),0.4020949074074074)</f>
        <v>0.4020949074</v>
      </c>
      <c r="K574" s="50"/>
      <c r="L574" s="6"/>
      <c r="M574" s="55"/>
      <c r="N574" s="55">
        <f>IFERROR(__xludf.DUMMYFUNCTION("""COMPUTED_VALUE"""),1.0)</f>
        <v>1</v>
      </c>
      <c r="O574" s="55" t="str">
        <f t="shared" si="3"/>
        <v/>
      </c>
      <c r="P574" s="209"/>
      <c r="Q574" s="75" t="b">
        <f>VLOOKUP($B574,'Run Reconcile'!B$2:P1679,15,FALSE)</f>
        <v>1</v>
      </c>
      <c r="R574" s="211" t="str">
        <f t="array" ref="R574">IF($Q574, INDEX('Run Reconcile'!A$2:A1679,MATCH(B574,'Run Reconcile'!B$2:B1679,0),1),IFERROR(0/0,""))</f>
        <v>RUN-COMB_2022-04-28_RFR-032</v>
      </c>
      <c r="S574" s="165" t="str">
        <f t="shared" ref="S574:T574" si="1147">IF(COUNTIF(W$2:W1679, $A574) &gt; 0,TRUE,IFERROR(0/0,""))</f>
        <v/>
      </c>
      <c r="T574" s="165" t="str">
        <f t="shared" si="1147"/>
        <v/>
      </c>
      <c r="U574" s="147" t="str">
        <f t="array" ref="U574">IF(ISBLANK($R574), IF($S574,VLOOKUP($B574+1,'RFR Data - preExcl'!$BF$2:$BG1679,2,FALSE),IF($T574,INDEX('RFR Data - preExcl'!$BF$2:$BG1679,MATCH($B574,'RFR Data - preExcl'!$BF$2:$BF1679,0)+1,2),VLOOKUP($B574,'RFR Data - preExcl'!$BF$2:$BG1679,2,FALSE))),IFERROR(0/0,""))</f>
        <v/>
      </c>
      <c r="V574" s="212" t="str">
        <f t="shared" si="5"/>
        <v>RUN-COMB_2022-04-28_RFR-032</v>
      </c>
      <c r="W574" s="51"/>
      <c r="X574" s="51"/>
      <c r="Y574" s="147" t="str">
        <f t="shared" ref="Y574:Z574" si="1148">IF(_xlfn.ISFORMULA(S574),IFERROR(0/0,""),TRUE)</f>
        <v/>
      </c>
      <c r="Z574" s="147" t="str">
        <f t="shared" si="1148"/>
        <v/>
      </c>
    </row>
    <row r="575">
      <c r="A575" s="6" t="str">
        <f>IFERROR(__xludf.DUMMYFUNCTION("""COMPUTED_VALUE"""),"FM4235")</f>
        <v>FM4235</v>
      </c>
      <c r="B575" s="206">
        <f>IFERROR(__xludf.DUMMYFUNCTION("""COMPUTED_VALUE"""),44679.0)</f>
        <v>44679</v>
      </c>
      <c r="C575" s="207">
        <f>IFERROR(__xludf.DUMMYFUNCTION("""COMPUTED_VALUE"""),0.27923611111111113)</f>
        <v>0.2792361111</v>
      </c>
      <c r="D575" s="50"/>
      <c r="E575" s="58"/>
      <c r="F575" s="58"/>
      <c r="G575" s="58" t="str">
        <f>IFERROR(__xludf.DUMMYFUNCTION("""COMPUTED_VALUE"""),"Negative")</f>
        <v>Negative</v>
      </c>
      <c r="H575" s="206" t="str">
        <f>IFERROR(__xludf.DUMMYFUNCTION("""COMPUTED_VALUE"""),"Negative")</f>
        <v>Negative</v>
      </c>
      <c r="I575" s="207">
        <f>IFERROR(__xludf.DUMMYFUNCTION("""COMPUTED_VALUE"""),44679.0)</f>
        <v>44679</v>
      </c>
      <c r="J575" s="208">
        <f>IFERROR(__xludf.DUMMYFUNCTION("""COMPUTED_VALUE"""),0.4021180555555556)</f>
        <v>0.4021180556</v>
      </c>
      <c r="K575" s="50"/>
      <c r="L575" s="6"/>
      <c r="M575" s="55"/>
      <c r="N575" s="55">
        <f>IFERROR(__xludf.DUMMYFUNCTION("""COMPUTED_VALUE"""),1.0)</f>
        <v>1</v>
      </c>
      <c r="O575" s="55" t="str">
        <f t="shared" si="3"/>
        <v/>
      </c>
      <c r="P575" s="209"/>
      <c r="Q575" s="75" t="b">
        <f>VLOOKUP($B575,'Run Reconcile'!B$2:P1679,15,FALSE)</f>
        <v>1</v>
      </c>
      <c r="R575" s="211" t="str">
        <f t="array" ref="R575">IF($Q575, INDEX('Run Reconcile'!A$2:A1679,MATCH(B575,'Run Reconcile'!B$2:B1679,0),1),IFERROR(0/0,""))</f>
        <v>RUN-COMB_2022-04-28_RFR-032</v>
      </c>
      <c r="S575" s="165" t="str">
        <f t="shared" ref="S575:T575" si="1149">IF(COUNTIF(W$2:W1679, $A575) &gt; 0,TRUE,IFERROR(0/0,""))</f>
        <v/>
      </c>
      <c r="T575" s="165" t="str">
        <f t="shared" si="1149"/>
        <v/>
      </c>
      <c r="U575" s="147" t="str">
        <f t="array" ref="U575">IF(ISBLANK($R575), IF($S575,VLOOKUP($B575+1,'RFR Data - preExcl'!$BF$2:$BG1679,2,FALSE),IF($T575,INDEX('RFR Data - preExcl'!$BF$2:$BG1679,MATCH($B575,'RFR Data - preExcl'!$BF$2:$BF1679,0)+1,2),VLOOKUP($B575,'RFR Data - preExcl'!$BF$2:$BG1679,2,FALSE))),IFERROR(0/0,""))</f>
        <v/>
      </c>
      <c r="V575" s="212" t="str">
        <f t="shared" si="5"/>
        <v>RUN-COMB_2022-04-28_RFR-032</v>
      </c>
      <c r="W575" s="51"/>
      <c r="X575" s="51"/>
      <c r="Y575" s="147" t="str">
        <f t="shared" ref="Y575:Z575" si="1150">IF(_xlfn.ISFORMULA(S575),IFERROR(0/0,""),TRUE)</f>
        <v/>
      </c>
      <c r="Z575" s="147" t="str">
        <f t="shared" si="1150"/>
        <v/>
      </c>
    </row>
    <row r="576">
      <c r="A576" s="6" t="str">
        <f>IFERROR(__xludf.DUMMYFUNCTION("""COMPUTED_VALUE"""),"FM4230")</f>
        <v>FM4230</v>
      </c>
      <c r="B576" s="206">
        <f>IFERROR(__xludf.DUMMYFUNCTION("""COMPUTED_VALUE"""),44679.0)</f>
        <v>44679</v>
      </c>
      <c r="C576" s="207">
        <f>IFERROR(__xludf.DUMMYFUNCTION("""COMPUTED_VALUE"""),0.27966435185185184)</f>
        <v>0.2796643519</v>
      </c>
      <c r="D576" s="50"/>
      <c r="E576" s="58"/>
      <c r="F576" s="58"/>
      <c r="G576" s="58" t="str">
        <f>IFERROR(__xludf.DUMMYFUNCTION("""COMPUTED_VALUE"""),"Negative")</f>
        <v>Negative</v>
      </c>
      <c r="H576" s="206" t="str">
        <f>IFERROR(__xludf.DUMMYFUNCTION("""COMPUTED_VALUE"""),"Negative")</f>
        <v>Negative</v>
      </c>
      <c r="I576" s="207">
        <f>IFERROR(__xludf.DUMMYFUNCTION("""COMPUTED_VALUE"""),44679.0)</f>
        <v>44679</v>
      </c>
      <c r="J576" s="208">
        <f>IFERROR(__xludf.DUMMYFUNCTION("""COMPUTED_VALUE"""),0.4021296296296296)</f>
        <v>0.4021296296</v>
      </c>
      <c r="K576" s="50"/>
      <c r="L576" s="6"/>
      <c r="M576" s="55"/>
      <c r="N576" s="55">
        <f>IFERROR(__xludf.DUMMYFUNCTION("""COMPUTED_VALUE"""),1.0)</f>
        <v>1</v>
      </c>
      <c r="O576" s="55" t="str">
        <f t="shared" si="3"/>
        <v/>
      </c>
      <c r="P576" s="209"/>
      <c r="Q576" s="75" t="b">
        <f>VLOOKUP($B576,'Run Reconcile'!B$2:P1679,15,FALSE)</f>
        <v>1</v>
      </c>
      <c r="R576" s="211" t="str">
        <f t="array" ref="R576">IF($Q576, INDEX('Run Reconcile'!A$2:A1679,MATCH(B576,'Run Reconcile'!B$2:B1679,0),1),IFERROR(0/0,""))</f>
        <v>RUN-COMB_2022-04-28_RFR-032</v>
      </c>
      <c r="S576" s="165" t="str">
        <f t="shared" ref="S576:T576" si="1151">IF(COUNTIF(W$2:W1679, $A576) &gt; 0,TRUE,IFERROR(0/0,""))</f>
        <v/>
      </c>
      <c r="T576" s="165" t="str">
        <f t="shared" si="1151"/>
        <v/>
      </c>
      <c r="U576" s="147" t="str">
        <f t="array" ref="U576">IF(ISBLANK($R576), IF($S576,VLOOKUP($B576+1,'RFR Data - preExcl'!$BF$2:$BG1679,2,FALSE),IF($T576,INDEX('RFR Data - preExcl'!$BF$2:$BG1679,MATCH($B576,'RFR Data - preExcl'!$BF$2:$BF1679,0)+1,2),VLOOKUP($B576,'RFR Data - preExcl'!$BF$2:$BG1679,2,FALSE))),IFERROR(0/0,""))</f>
        <v/>
      </c>
      <c r="V576" s="212" t="str">
        <f t="shared" si="5"/>
        <v>RUN-COMB_2022-04-28_RFR-032</v>
      </c>
      <c r="W576" s="51"/>
      <c r="X576" s="51"/>
      <c r="Y576" s="147" t="str">
        <f t="shared" ref="Y576:Z576" si="1152">IF(_xlfn.ISFORMULA(S576),IFERROR(0/0,""),TRUE)</f>
        <v/>
      </c>
      <c r="Z576" s="147" t="str">
        <f t="shared" si="1152"/>
        <v/>
      </c>
    </row>
    <row r="577">
      <c r="A577" s="6" t="str">
        <f>IFERROR(__xludf.DUMMYFUNCTION("""COMPUTED_VALUE"""),"FM4204")</f>
        <v>FM4204</v>
      </c>
      <c r="B577" s="206">
        <f>IFERROR(__xludf.DUMMYFUNCTION("""COMPUTED_VALUE"""),44679.0)</f>
        <v>44679</v>
      </c>
      <c r="C577" s="207">
        <f>IFERROR(__xludf.DUMMYFUNCTION("""COMPUTED_VALUE"""),0.2800578703703704)</f>
        <v>0.2800578704</v>
      </c>
      <c r="D577" s="50"/>
      <c r="E577" s="58"/>
      <c r="F577" s="58"/>
      <c r="G577" s="58" t="str">
        <f>IFERROR(__xludf.DUMMYFUNCTION("""COMPUTED_VALUE"""),"Negative")</f>
        <v>Negative</v>
      </c>
      <c r="H577" s="206" t="str">
        <f>IFERROR(__xludf.DUMMYFUNCTION("""COMPUTED_VALUE"""),"Negative")</f>
        <v>Negative</v>
      </c>
      <c r="I577" s="207">
        <f>IFERROR(__xludf.DUMMYFUNCTION("""COMPUTED_VALUE"""),44679.0)</f>
        <v>44679</v>
      </c>
      <c r="J577" s="208">
        <f>IFERROR(__xludf.DUMMYFUNCTION("""COMPUTED_VALUE"""),0.4021412037037037)</f>
        <v>0.4021412037</v>
      </c>
      <c r="K577" s="50"/>
      <c r="L577" s="6"/>
      <c r="M577" s="55"/>
      <c r="N577" s="55">
        <f>IFERROR(__xludf.DUMMYFUNCTION("""COMPUTED_VALUE"""),1.0)</f>
        <v>1</v>
      </c>
      <c r="O577" s="55" t="str">
        <f t="shared" si="3"/>
        <v/>
      </c>
      <c r="P577" s="209"/>
      <c r="Q577" s="75" t="b">
        <f>VLOOKUP($B577,'Run Reconcile'!B$2:P1679,15,FALSE)</f>
        <v>1</v>
      </c>
      <c r="R577" s="211" t="str">
        <f t="array" ref="R577">IF($Q577, INDEX('Run Reconcile'!A$2:A1679,MATCH(B577,'Run Reconcile'!B$2:B1679,0),1),IFERROR(0/0,""))</f>
        <v>RUN-COMB_2022-04-28_RFR-032</v>
      </c>
      <c r="S577" s="165" t="str">
        <f t="shared" ref="S577:T577" si="1153">IF(COUNTIF(W$2:W1679, $A577) &gt; 0,TRUE,IFERROR(0/0,""))</f>
        <v/>
      </c>
      <c r="T577" s="165" t="str">
        <f t="shared" si="1153"/>
        <v/>
      </c>
      <c r="U577" s="147" t="str">
        <f t="array" ref="U577">IF(ISBLANK($R577), IF($S577,VLOOKUP($B577+1,'RFR Data - preExcl'!$BF$2:$BG1679,2,FALSE),IF($T577,INDEX('RFR Data - preExcl'!$BF$2:$BG1679,MATCH($B577,'RFR Data - preExcl'!$BF$2:$BF1679,0)+1,2),VLOOKUP($B577,'RFR Data - preExcl'!$BF$2:$BG1679,2,FALSE))),IFERROR(0/0,""))</f>
        <v/>
      </c>
      <c r="V577" s="212" t="str">
        <f t="shared" si="5"/>
        <v>RUN-COMB_2022-04-28_RFR-032</v>
      </c>
      <c r="W577" s="51"/>
      <c r="X577" s="51"/>
      <c r="Y577" s="147" t="str">
        <f t="shared" ref="Y577:Z577" si="1154">IF(_xlfn.ISFORMULA(S577),IFERROR(0/0,""),TRUE)</f>
        <v/>
      </c>
      <c r="Z577" s="147" t="str">
        <f t="shared" si="1154"/>
        <v/>
      </c>
    </row>
    <row r="578">
      <c r="A578" s="6" t="str">
        <f>IFERROR(__xludf.DUMMYFUNCTION("""COMPUTED_VALUE"""),"FM4167")</f>
        <v>FM4167</v>
      </c>
      <c r="B578" s="206">
        <f>IFERROR(__xludf.DUMMYFUNCTION("""COMPUTED_VALUE"""),44679.0)</f>
        <v>44679</v>
      </c>
      <c r="C578" s="207">
        <f>IFERROR(__xludf.DUMMYFUNCTION("""COMPUTED_VALUE"""),0.2811458333333333)</f>
        <v>0.2811458333</v>
      </c>
      <c r="D578" s="50"/>
      <c r="E578" s="58"/>
      <c r="F578" s="58"/>
      <c r="G578" s="58" t="str">
        <f>IFERROR(__xludf.DUMMYFUNCTION("""COMPUTED_VALUE"""),"Negative")</f>
        <v>Negative</v>
      </c>
      <c r="H578" s="206" t="str">
        <f>IFERROR(__xludf.DUMMYFUNCTION("""COMPUTED_VALUE"""),"Negative")</f>
        <v>Negative</v>
      </c>
      <c r="I578" s="207">
        <f>IFERROR(__xludf.DUMMYFUNCTION("""COMPUTED_VALUE"""),44679.0)</f>
        <v>44679</v>
      </c>
      <c r="J578" s="208">
        <f>IFERROR(__xludf.DUMMYFUNCTION("""COMPUTED_VALUE"""),0.4021412037037037)</f>
        <v>0.4021412037</v>
      </c>
      <c r="K578" s="50"/>
      <c r="L578" s="6"/>
      <c r="M578" s="55"/>
      <c r="N578" s="55">
        <f>IFERROR(__xludf.DUMMYFUNCTION("""COMPUTED_VALUE"""),1.0)</f>
        <v>1</v>
      </c>
      <c r="O578" s="55" t="str">
        <f t="shared" si="3"/>
        <v/>
      </c>
      <c r="P578" s="209"/>
      <c r="Q578" s="75" t="b">
        <f>VLOOKUP($B578,'Run Reconcile'!B$2:P1679,15,FALSE)</f>
        <v>1</v>
      </c>
      <c r="R578" s="211" t="str">
        <f t="array" ref="R578">IF($Q578, INDEX('Run Reconcile'!A$2:A1679,MATCH(B578,'Run Reconcile'!B$2:B1679,0),1),IFERROR(0/0,""))</f>
        <v>RUN-COMB_2022-04-28_RFR-032</v>
      </c>
      <c r="S578" s="165" t="str">
        <f t="shared" ref="S578:T578" si="1155">IF(COUNTIF(W$2:W1679, $A578) &gt; 0,TRUE,IFERROR(0/0,""))</f>
        <v/>
      </c>
      <c r="T578" s="165" t="str">
        <f t="shared" si="1155"/>
        <v/>
      </c>
      <c r="U578" s="147" t="str">
        <f t="array" ref="U578">IF(ISBLANK($R578), IF($S578,VLOOKUP($B578+1,'RFR Data - preExcl'!$BF$2:$BG1679,2,FALSE),IF($T578,INDEX('RFR Data - preExcl'!$BF$2:$BG1679,MATCH($B578,'RFR Data - preExcl'!$BF$2:$BF1679,0)+1,2),VLOOKUP($B578,'RFR Data - preExcl'!$BF$2:$BG1679,2,FALSE))),IFERROR(0/0,""))</f>
        <v/>
      </c>
      <c r="V578" s="212" t="str">
        <f t="shared" si="5"/>
        <v>RUN-COMB_2022-04-28_RFR-032</v>
      </c>
      <c r="W578" s="51"/>
      <c r="X578" s="51"/>
      <c r="Y578" s="147" t="str">
        <f t="shared" ref="Y578:Z578" si="1156">IF(_xlfn.ISFORMULA(S578),IFERROR(0/0,""),TRUE)</f>
        <v/>
      </c>
      <c r="Z578" s="147" t="str">
        <f t="shared" si="1156"/>
        <v/>
      </c>
    </row>
    <row r="579">
      <c r="A579" s="6" t="str">
        <f>IFERROR(__xludf.DUMMYFUNCTION("""COMPUTED_VALUE"""),"FM4232")</f>
        <v>FM4232</v>
      </c>
      <c r="B579" s="206">
        <f>IFERROR(__xludf.DUMMYFUNCTION("""COMPUTED_VALUE"""),44679.0)</f>
        <v>44679</v>
      </c>
      <c r="C579" s="207">
        <f>IFERROR(__xludf.DUMMYFUNCTION("""COMPUTED_VALUE"""),0.28150462962962963)</f>
        <v>0.2815046296</v>
      </c>
      <c r="D579" s="50"/>
      <c r="E579" s="58"/>
      <c r="F579" s="58"/>
      <c r="G579" s="58" t="str">
        <f>IFERROR(__xludf.DUMMYFUNCTION("""COMPUTED_VALUE"""),"Negative")</f>
        <v>Negative</v>
      </c>
      <c r="H579" s="206" t="str">
        <f>IFERROR(__xludf.DUMMYFUNCTION("""COMPUTED_VALUE"""),"Negative")</f>
        <v>Negative</v>
      </c>
      <c r="I579" s="207">
        <f>IFERROR(__xludf.DUMMYFUNCTION("""COMPUTED_VALUE"""),44679.0)</f>
        <v>44679</v>
      </c>
      <c r="J579" s="208">
        <f>IFERROR(__xludf.DUMMYFUNCTION("""COMPUTED_VALUE"""),0.40216435185185184)</f>
        <v>0.4021643519</v>
      </c>
      <c r="K579" s="50"/>
      <c r="L579" s="6"/>
      <c r="M579" s="55"/>
      <c r="N579" s="55">
        <f>IFERROR(__xludf.DUMMYFUNCTION("""COMPUTED_VALUE"""),1.0)</f>
        <v>1</v>
      </c>
      <c r="O579" s="55" t="str">
        <f t="shared" si="3"/>
        <v/>
      </c>
      <c r="P579" s="209"/>
      <c r="Q579" s="75" t="b">
        <f>VLOOKUP($B579,'Run Reconcile'!B$2:P1679,15,FALSE)</f>
        <v>1</v>
      </c>
      <c r="R579" s="211" t="str">
        <f t="array" ref="R579">IF($Q579, INDEX('Run Reconcile'!A$2:A1679,MATCH(B579,'Run Reconcile'!B$2:B1679,0),1),IFERROR(0/0,""))</f>
        <v>RUN-COMB_2022-04-28_RFR-032</v>
      </c>
      <c r="S579" s="165" t="str">
        <f t="shared" ref="S579:T579" si="1157">IF(COUNTIF(W$2:W1679, $A579) &gt; 0,TRUE,IFERROR(0/0,""))</f>
        <v/>
      </c>
      <c r="T579" s="165" t="str">
        <f t="shared" si="1157"/>
        <v/>
      </c>
      <c r="U579" s="147" t="str">
        <f t="array" ref="U579">IF(ISBLANK($R579), IF($S579,VLOOKUP($B579+1,'RFR Data - preExcl'!$BF$2:$BG1679,2,FALSE),IF($T579,INDEX('RFR Data - preExcl'!$BF$2:$BG1679,MATCH($B579,'RFR Data - preExcl'!$BF$2:$BF1679,0)+1,2),VLOOKUP($B579,'RFR Data - preExcl'!$BF$2:$BG1679,2,FALSE))),IFERROR(0/0,""))</f>
        <v/>
      </c>
      <c r="V579" s="212" t="str">
        <f t="shared" si="5"/>
        <v>RUN-COMB_2022-04-28_RFR-032</v>
      </c>
      <c r="W579" s="51"/>
      <c r="X579" s="51"/>
      <c r="Y579" s="147" t="str">
        <f t="shared" ref="Y579:Z579" si="1158">IF(_xlfn.ISFORMULA(S579),IFERROR(0/0,""),TRUE)</f>
        <v/>
      </c>
      <c r="Z579" s="147" t="str">
        <f t="shared" si="1158"/>
        <v/>
      </c>
    </row>
    <row r="580">
      <c r="A580" s="6" t="str">
        <f>IFERROR(__xludf.DUMMYFUNCTION("""COMPUTED_VALUE"""),"FM4193")</f>
        <v>FM4193</v>
      </c>
      <c r="B580" s="206">
        <f>IFERROR(__xludf.DUMMYFUNCTION("""COMPUTED_VALUE"""),44679.0)</f>
        <v>44679</v>
      </c>
      <c r="C580" s="207">
        <f>IFERROR(__xludf.DUMMYFUNCTION("""COMPUTED_VALUE"""),0.2819212962962963)</f>
        <v>0.2819212963</v>
      </c>
      <c r="D580" s="50"/>
      <c r="E580" s="58"/>
      <c r="F580" s="58"/>
      <c r="G580" s="58" t="str">
        <f>IFERROR(__xludf.DUMMYFUNCTION("""COMPUTED_VALUE"""),"Negative")</f>
        <v>Negative</v>
      </c>
      <c r="H580" s="206" t="str">
        <f>IFERROR(__xludf.DUMMYFUNCTION("""COMPUTED_VALUE"""),"Negative")</f>
        <v>Negative</v>
      </c>
      <c r="I580" s="207">
        <f>IFERROR(__xludf.DUMMYFUNCTION("""COMPUTED_VALUE"""),44679.0)</f>
        <v>44679</v>
      </c>
      <c r="J580" s="208">
        <f>IFERROR(__xludf.DUMMYFUNCTION("""COMPUTED_VALUE"""),0.4021875)</f>
        <v>0.4021875</v>
      </c>
      <c r="K580" s="50"/>
      <c r="L580" s="6"/>
      <c r="M580" s="55"/>
      <c r="N580" s="55">
        <f>IFERROR(__xludf.DUMMYFUNCTION("""COMPUTED_VALUE"""),1.0)</f>
        <v>1</v>
      </c>
      <c r="O580" s="55" t="str">
        <f t="shared" si="3"/>
        <v/>
      </c>
      <c r="P580" s="209"/>
      <c r="Q580" s="75" t="b">
        <f>VLOOKUP($B580,'Run Reconcile'!B$2:P1679,15,FALSE)</f>
        <v>1</v>
      </c>
      <c r="R580" s="211" t="str">
        <f t="array" ref="R580">IF($Q580, INDEX('Run Reconcile'!A$2:A1679,MATCH(B580,'Run Reconcile'!B$2:B1679,0),1),IFERROR(0/0,""))</f>
        <v>RUN-COMB_2022-04-28_RFR-032</v>
      </c>
      <c r="S580" s="165" t="str">
        <f t="shared" ref="S580:T580" si="1159">IF(COUNTIF(W$2:W1679, $A580) &gt; 0,TRUE,IFERROR(0/0,""))</f>
        <v/>
      </c>
      <c r="T580" s="165" t="str">
        <f t="shared" si="1159"/>
        <v/>
      </c>
      <c r="U580" s="147" t="str">
        <f t="array" ref="U580">IF(ISBLANK($R580), IF($S580,VLOOKUP($B580+1,'RFR Data - preExcl'!$BF$2:$BG1679,2,FALSE),IF($T580,INDEX('RFR Data - preExcl'!$BF$2:$BG1679,MATCH($B580,'RFR Data - preExcl'!$BF$2:$BF1679,0)+1,2),VLOOKUP($B580,'RFR Data - preExcl'!$BF$2:$BG1679,2,FALSE))),IFERROR(0/0,""))</f>
        <v/>
      </c>
      <c r="V580" s="212" t="str">
        <f t="shared" si="5"/>
        <v>RUN-COMB_2022-04-28_RFR-032</v>
      </c>
      <c r="W580" s="51"/>
      <c r="X580" s="51"/>
      <c r="Y580" s="147" t="str">
        <f t="shared" ref="Y580:Z580" si="1160">IF(_xlfn.ISFORMULA(S580),IFERROR(0/0,""),TRUE)</f>
        <v/>
      </c>
      <c r="Z580" s="147" t="str">
        <f t="shared" si="1160"/>
        <v/>
      </c>
    </row>
    <row r="581">
      <c r="A581" s="6" t="str">
        <f>IFERROR(__xludf.DUMMYFUNCTION("""COMPUTED_VALUE"""),"FM4170")</f>
        <v>FM4170</v>
      </c>
      <c r="B581" s="206">
        <f>IFERROR(__xludf.DUMMYFUNCTION("""COMPUTED_VALUE"""),44679.0)</f>
        <v>44679</v>
      </c>
      <c r="C581" s="207">
        <f>IFERROR(__xludf.DUMMYFUNCTION("""COMPUTED_VALUE"""),0.28229166666666666)</f>
        <v>0.2822916667</v>
      </c>
      <c r="D581" s="50"/>
      <c r="E581" s="58"/>
      <c r="F581" s="58"/>
      <c r="G581" s="58" t="str">
        <f>IFERROR(__xludf.DUMMYFUNCTION("""COMPUTED_VALUE"""),"Negative")</f>
        <v>Negative</v>
      </c>
      <c r="H581" s="206" t="str">
        <f>IFERROR(__xludf.DUMMYFUNCTION("""COMPUTED_VALUE"""),"Negative")</f>
        <v>Negative</v>
      </c>
      <c r="I581" s="207">
        <f>IFERROR(__xludf.DUMMYFUNCTION("""COMPUTED_VALUE"""),44679.0)</f>
        <v>44679</v>
      </c>
      <c r="J581" s="208">
        <f>IFERROR(__xludf.DUMMYFUNCTION("""COMPUTED_VALUE"""),0.40219907407407407)</f>
        <v>0.4021990741</v>
      </c>
      <c r="K581" s="50"/>
      <c r="L581" s="6"/>
      <c r="M581" s="55"/>
      <c r="N581" s="55">
        <f>IFERROR(__xludf.DUMMYFUNCTION("""COMPUTED_VALUE"""),1.0)</f>
        <v>1</v>
      </c>
      <c r="O581" s="55" t="str">
        <f t="shared" si="3"/>
        <v/>
      </c>
      <c r="P581" s="209"/>
      <c r="Q581" s="75" t="b">
        <f>VLOOKUP($B581,'Run Reconcile'!B$2:P1679,15,FALSE)</f>
        <v>1</v>
      </c>
      <c r="R581" s="211" t="str">
        <f t="array" ref="R581">IF($Q581, INDEX('Run Reconcile'!A$2:A1679,MATCH(B581,'Run Reconcile'!B$2:B1679,0),1),IFERROR(0/0,""))</f>
        <v>RUN-COMB_2022-04-28_RFR-032</v>
      </c>
      <c r="S581" s="165" t="str">
        <f t="shared" ref="S581:T581" si="1161">IF(COUNTIF(W$2:W1679, $A581) &gt; 0,TRUE,IFERROR(0/0,""))</f>
        <v/>
      </c>
      <c r="T581" s="165" t="str">
        <f t="shared" si="1161"/>
        <v/>
      </c>
      <c r="U581" s="147" t="str">
        <f t="array" ref="U581">IF(ISBLANK($R581), IF($S581,VLOOKUP($B581+1,'RFR Data - preExcl'!$BF$2:$BG1679,2,FALSE),IF($T581,INDEX('RFR Data - preExcl'!$BF$2:$BG1679,MATCH($B581,'RFR Data - preExcl'!$BF$2:$BF1679,0)+1,2),VLOOKUP($B581,'RFR Data - preExcl'!$BF$2:$BG1679,2,FALSE))),IFERROR(0/0,""))</f>
        <v/>
      </c>
      <c r="V581" s="212" t="str">
        <f t="shared" si="5"/>
        <v>RUN-COMB_2022-04-28_RFR-032</v>
      </c>
      <c r="W581" s="51"/>
      <c r="X581" s="51"/>
      <c r="Y581" s="147" t="str">
        <f t="shared" ref="Y581:Z581" si="1162">IF(_xlfn.ISFORMULA(S581),IFERROR(0/0,""),TRUE)</f>
        <v/>
      </c>
      <c r="Z581" s="147" t="str">
        <f t="shared" si="1162"/>
        <v/>
      </c>
    </row>
    <row r="582">
      <c r="A582" s="6" t="str">
        <f>IFERROR(__xludf.DUMMYFUNCTION("""COMPUTED_VALUE"""),"FM4142")</f>
        <v>FM4142</v>
      </c>
      <c r="B582" s="206">
        <f>IFERROR(__xludf.DUMMYFUNCTION("""COMPUTED_VALUE"""),44679.0)</f>
        <v>44679</v>
      </c>
      <c r="C582" s="207">
        <f>IFERROR(__xludf.DUMMYFUNCTION("""COMPUTED_VALUE"""),0.2826388888888889)</f>
        <v>0.2826388889</v>
      </c>
      <c r="D582" s="50"/>
      <c r="E582" s="58"/>
      <c r="F582" s="58"/>
      <c r="G582" s="58" t="str">
        <f>IFERROR(__xludf.DUMMYFUNCTION("""COMPUTED_VALUE"""),"Negative")</f>
        <v>Negative</v>
      </c>
      <c r="H582" s="206" t="str">
        <f>IFERROR(__xludf.DUMMYFUNCTION("""COMPUTED_VALUE"""),"Negative")</f>
        <v>Negative</v>
      </c>
      <c r="I582" s="207">
        <f>IFERROR(__xludf.DUMMYFUNCTION("""COMPUTED_VALUE"""),44679.0)</f>
        <v>44679</v>
      </c>
      <c r="J582" s="208">
        <f>IFERROR(__xludf.DUMMYFUNCTION("""COMPUTED_VALUE"""),0.4022222222222222)</f>
        <v>0.4022222222</v>
      </c>
      <c r="K582" s="50"/>
      <c r="L582" s="6"/>
      <c r="M582" s="55"/>
      <c r="N582" s="55">
        <f>IFERROR(__xludf.DUMMYFUNCTION("""COMPUTED_VALUE"""),1.0)</f>
        <v>1</v>
      </c>
      <c r="O582" s="55" t="str">
        <f t="shared" si="3"/>
        <v/>
      </c>
      <c r="P582" s="209"/>
      <c r="Q582" s="75" t="b">
        <f>VLOOKUP($B582,'Run Reconcile'!B$2:P1679,15,FALSE)</f>
        <v>1</v>
      </c>
      <c r="R582" s="211" t="str">
        <f t="array" ref="R582">IF($Q582, INDEX('Run Reconcile'!A$2:A1679,MATCH(B582,'Run Reconcile'!B$2:B1679,0),1),IFERROR(0/0,""))</f>
        <v>RUN-COMB_2022-04-28_RFR-032</v>
      </c>
      <c r="S582" s="165" t="str">
        <f t="shared" ref="S582:T582" si="1163">IF(COUNTIF(W$2:W1679, $A582) &gt; 0,TRUE,IFERROR(0/0,""))</f>
        <v/>
      </c>
      <c r="T582" s="165" t="str">
        <f t="shared" si="1163"/>
        <v/>
      </c>
      <c r="U582" s="147" t="str">
        <f t="array" ref="U582">IF(ISBLANK($R582), IF($S582,VLOOKUP($B582+1,'RFR Data - preExcl'!$BF$2:$BG1679,2,FALSE),IF($T582,INDEX('RFR Data - preExcl'!$BF$2:$BG1679,MATCH($B582,'RFR Data - preExcl'!$BF$2:$BF1679,0)+1,2),VLOOKUP($B582,'RFR Data - preExcl'!$BF$2:$BG1679,2,FALSE))),IFERROR(0/0,""))</f>
        <v/>
      </c>
      <c r="V582" s="212" t="str">
        <f t="shared" si="5"/>
        <v>RUN-COMB_2022-04-28_RFR-032</v>
      </c>
      <c r="W582" s="51"/>
      <c r="X582" s="51"/>
      <c r="Y582" s="147" t="str">
        <f t="shared" ref="Y582:Z582" si="1164">IF(_xlfn.ISFORMULA(S582),IFERROR(0/0,""),TRUE)</f>
        <v/>
      </c>
      <c r="Z582" s="147" t="str">
        <f t="shared" si="1164"/>
        <v/>
      </c>
    </row>
    <row r="583">
      <c r="A583" s="6" t="str">
        <f>IFERROR(__xludf.DUMMYFUNCTION("""COMPUTED_VALUE"""),"FM4196")</f>
        <v>FM4196</v>
      </c>
      <c r="B583" s="206">
        <f>IFERROR(__xludf.DUMMYFUNCTION("""COMPUTED_VALUE"""),44679.0)</f>
        <v>44679</v>
      </c>
      <c r="C583" s="207">
        <f>IFERROR(__xludf.DUMMYFUNCTION("""COMPUTED_VALUE"""),0.2830787037037037)</f>
        <v>0.2830787037</v>
      </c>
      <c r="D583" s="50"/>
      <c r="E583" s="58"/>
      <c r="F583" s="58"/>
      <c r="G583" s="58" t="str">
        <f>IFERROR(__xludf.DUMMYFUNCTION("""COMPUTED_VALUE"""),"Negative")</f>
        <v>Negative</v>
      </c>
      <c r="H583" s="206" t="str">
        <f>IFERROR(__xludf.DUMMYFUNCTION("""COMPUTED_VALUE"""),"Negative")</f>
        <v>Negative</v>
      </c>
      <c r="I583" s="207">
        <f>IFERROR(__xludf.DUMMYFUNCTION("""COMPUTED_VALUE"""),44679.0)</f>
        <v>44679</v>
      </c>
      <c r="J583" s="208">
        <f>IFERROR(__xludf.DUMMYFUNCTION("""COMPUTED_VALUE"""),0.4022453703703704)</f>
        <v>0.4022453704</v>
      </c>
      <c r="K583" s="50"/>
      <c r="L583" s="6"/>
      <c r="M583" s="55"/>
      <c r="N583" s="55">
        <f>IFERROR(__xludf.DUMMYFUNCTION("""COMPUTED_VALUE"""),1.0)</f>
        <v>1</v>
      </c>
      <c r="O583" s="55" t="str">
        <f t="shared" si="3"/>
        <v/>
      </c>
      <c r="P583" s="209"/>
      <c r="Q583" s="75" t="b">
        <f>VLOOKUP($B583,'Run Reconcile'!B$2:P1679,15,FALSE)</f>
        <v>1</v>
      </c>
      <c r="R583" s="211" t="str">
        <f t="array" ref="R583">IF($Q583, INDEX('Run Reconcile'!A$2:A1679,MATCH(B583,'Run Reconcile'!B$2:B1679,0),1),IFERROR(0/0,""))</f>
        <v>RUN-COMB_2022-04-28_RFR-032</v>
      </c>
      <c r="S583" s="165" t="str">
        <f t="shared" ref="S583:T583" si="1165">IF(COUNTIF(W$2:W1679, $A583) &gt; 0,TRUE,IFERROR(0/0,""))</f>
        <v/>
      </c>
      <c r="T583" s="165" t="str">
        <f t="shared" si="1165"/>
        <v/>
      </c>
      <c r="U583" s="147" t="str">
        <f t="array" ref="U583">IF(ISBLANK($R583), IF($S583,VLOOKUP($B583+1,'RFR Data - preExcl'!$BF$2:$BG1679,2,FALSE),IF($T583,INDEX('RFR Data - preExcl'!$BF$2:$BG1679,MATCH($B583,'RFR Data - preExcl'!$BF$2:$BF1679,0)+1,2),VLOOKUP($B583,'RFR Data - preExcl'!$BF$2:$BG1679,2,FALSE))),IFERROR(0/0,""))</f>
        <v/>
      </c>
      <c r="V583" s="212" t="str">
        <f t="shared" si="5"/>
        <v>RUN-COMB_2022-04-28_RFR-032</v>
      </c>
      <c r="W583" s="51"/>
      <c r="X583" s="51"/>
      <c r="Y583" s="147" t="str">
        <f t="shared" ref="Y583:Z583" si="1166">IF(_xlfn.ISFORMULA(S583),IFERROR(0/0,""),TRUE)</f>
        <v/>
      </c>
      <c r="Z583" s="147" t="str">
        <f t="shared" si="1166"/>
        <v/>
      </c>
    </row>
    <row r="584">
      <c r="A584" s="6" t="str">
        <f>IFERROR(__xludf.DUMMYFUNCTION("""COMPUTED_VALUE"""),"FM4217")</f>
        <v>FM4217</v>
      </c>
      <c r="B584" s="206">
        <f>IFERROR(__xludf.DUMMYFUNCTION("""COMPUTED_VALUE"""),44679.0)</f>
        <v>44679</v>
      </c>
      <c r="C584" s="207">
        <f>IFERROR(__xludf.DUMMYFUNCTION("""COMPUTED_VALUE"""),0.2834375)</f>
        <v>0.2834375</v>
      </c>
      <c r="D584" s="50"/>
      <c r="E584" s="58"/>
      <c r="F584" s="58"/>
      <c r="G584" s="58" t="str">
        <f>IFERROR(__xludf.DUMMYFUNCTION("""COMPUTED_VALUE"""),"Negative")</f>
        <v>Negative</v>
      </c>
      <c r="H584" s="206" t="str">
        <f>IFERROR(__xludf.DUMMYFUNCTION("""COMPUTED_VALUE"""),"Negative")</f>
        <v>Negative</v>
      </c>
      <c r="I584" s="207">
        <f>IFERROR(__xludf.DUMMYFUNCTION("""COMPUTED_VALUE"""),44679.0)</f>
        <v>44679</v>
      </c>
      <c r="J584" s="208">
        <f>IFERROR(__xludf.DUMMYFUNCTION("""COMPUTED_VALUE"""),0.4022453703703704)</f>
        <v>0.4022453704</v>
      </c>
      <c r="K584" s="50"/>
      <c r="L584" s="6"/>
      <c r="M584" s="55"/>
      <c r="N584" s="55">
        <f>IFERROR(__xludf.DUMMYFUNCTION("""COMPUTED_VALUE"""),1.0)</f>
        <v>1</v>
      </c>
      <c r="O584" s="55" t="str">
        <f t="shared" si="3"/>
        <v/>
      </c>
      <c r="P584" s="209"/>
      <c r="Q584" s="75" t="b">
        <f>VLOOKUP($B584,'Run Reconcile'!B$2:P1679,15,FALSE)</f>
        <v>1</v>
      </c>
      <c r="R584" s="211" t="str">
        <f t="array" ref="R584">IF($Q584, INDEX('Run Reconcile'!A$2:A1679,MATCH(B584,'Run Reconcile'!B$2:B1679,0),1),IFERROR(0/0,""))</f>
        <v>RUN-COMB_2022-04-28_RFR-032</v>
      </c>
      <c r="S584" s="165" t="str">
        <f t="shared" ref="S584:T584" si="1167">IF(COUNTIF(W$2:W1679, $A584) &gt; 0,TRUE,IFERROR(0/0,""))</f>
        <v/>
      </c>
      <c r="T584" s="165" t="str">
        <f t="shared" si="1167"/>
        <v/>
      </c>
      <c r="U584" s="147" t="str">
        <f t="array" ref="U584">IF(ISBLANK($R584), IF($S584,VLOOKUP($B584+1,'RFR Data - preExcl'!$BF$2:$BG1679,2,FALSE),IF($T584,INDEX('RFR Data - preExcl'!$BF$2:$BG1679,MATCH($B584,'RFR Data - preExcl'!$BF$2:$BF1679,0)+1,2),VLOOKUP($B584,'RFR Data - preExcl'!$BF$2:$BG1679,2,FALSE))),IFERROR(0/0,""))</f>
        <v/>
      </c>
      <c r="V584" s="212" t="str">
        <f t="shared" si="5"/>
        <v>RUN-COMB_2022-04-28_RFR-032</v>
      </c>
      <c r="W584" s="51"/>
      <c r="X584" s="51"/>
      <c r="Y584" s="147" t="str">
        <f t="shared" ref="Y584:Z584" si="1168">IF(_xlfn.ISFORMULA(S584),IFERROR(0/0,""),TRUE)</f>
        <v/>
      </c>
      <c r="Z584" s="147" t="str">
        <f t="shared" si="1168"/>
        <v/>
      </c>
    </row>
    <row r="585">
      <c r="A585" s="6" t="str">
        <f>IFERROR(__xludf.DUMMYFUNCTION("""COMPUTED_VALUE"""),"FM4240")</f>
        <v>FM4240</v>
      </c>
      <c r="B585" s="206">
        <f>IFERROR(__xludf.DUMMYFUNCTION("""COMPUTED_VALUE"""),44679.0)</f>
        <v>44679</v>
      </c>
      <c r="C585" s="207">
        <f>IFERROR(__xludf.DUMMYFUNCTION("""COMPUTED_VALUE"""),0.2838773148148148)</f>
        <v>0.2838773148</v>
      </c>
      <c r="D585" s="50"/>
      <c r="E585" s="58"/>
      <c r="F585" s="58"/>
      <c r="G585" s="58" t="str">
        <f>IFERROR(__xludf.DUMMYFUNCTION("""COMPUTED_VALUE"""),"Negative")</f>
        <v>Negative</v>
      </c>
      <c r="H585" s="206" t="str">
        <f>IFERROR(__xludf.DUMMYFUNCTION("""COMPUTED_VALUE"""),"Negative")</f>
        <v>Negative</v>
      </c>
      <c r="I585" s="207">
        <f>IFERROR(__xludf.DUMMYFUNCTION("""COMPUTED_VALUE"""),44679.0)</f>
        <v>44679</v>
      </c>
      <c r="J585" s="208">
        <f>IFERROR(__xludf.DUMMYFUNCTION("""COMPUTED_VALUE"""),0.40225694444444443)</f>
        <v>0.4022569444</v>
      </c>
      <c r="K585" s="50"/>
      <c r="L585" s="6"/>
      <c r="M585" s="55"/>
      <c r="N585" s="55">
        <f>IFERROR(__xludf.DUMMYFUNCTION("""COMPUTED_VALUE"""),1.0)</f>
        <v>1</v>
      </c>
      <c r="O585" s="55" t="str">
        <f t="shared" si="3"/>
        <v/>
      </c>
      <c r="P585" s="209"/>
      <c r="Q585" s="75" t="b">
        <f>VLOOKUP($B585,'Run Reconcile'!B$2:P1679,15,FALSE)</f>
        <v>1</v>
      </c>
      <c r="R585" s="211" t="str">
        <f t="array" ref="R585">IF($Q585, INDEX('Run Reconcile'!A$2:A1679,MATCH(B585,'Run Reconcile'!B$2:B1679,0),1),IFERROR(0/0,""))</f>
        <v>RUN-COMB_2022-04-28_RFR-032</v>
      </c>
      <c r="S585" s="165" t="str">
        <f t="shared" ref="S585:T585" si="1169">IF(COUNTIF(W$2:W1679, $A585) &gt; 0,TRUE,IFERROR(0/0,""))</f>
        <v/>
      </c>
      <c r="T585" s="165" t="str">
        <f t="shared" si="1169"/>
        <v/>
      </c>
      <c r="U585" s="147" t="str">
        <f t="array" ref="U585">IF(ISBLANK($R585), IF($S585,VLOOKUP($B585+1,'RFR Data - preExcl'!$BF$2:$BG1679,2,FALSE),IF($T585,INDEX('RFR Data - preExcl'!$BF$2:$BG1679,MATCH($B585,'RFR Data - preExcl'!$BF$2:$BF1679,0)+1,2),VLOOKUP($B585,'RFR Data - preExcl'!$BF$2:$BG1679,2,FALSE))),IFERROR(0/0,""))</f>
        <v/>
      </c>
      <c r="V585" s="212" t="str">
        <f t="shared" si="5"/>
        <v>RUN-COMB_2022-04-28_RFR-032</v>
      </c>
      <c r="W585" s="51"/>
      <c r="X585" s="51"/>
      <c r="Y585" s="147" t="str">
        <f t="shared" ref="Y585:Z585" si="1170">IF(_xlfn.ISFORMULA(S585),IFERROR(0/0,""),TRUE)</f>
        <v/>
      </c>
      <c r="Z585" s="147" t="str">
        <f t="shared" si="1170"/>
        <v/>
      </c>
    </row>
    <row r="586">
      <c r="A586" s="6" t="str">
        <f>IFERROR(__xludf.DUMMYFUNCTION("""COMPUTED_VALUE"""),"FM4190")</f>
        <v>FM4190</v>
      </c>
      <c r="B586" s="206">
        <f>IFERROR(__xludf.DUMMYFUNCTION("""COMPUTED_VALUE"""),44679.0)</f>
        <v>44679</v>
      </c>
      <c r="C586" s="207">
        <f>IFERROR(__xludf.DUMMYFUNCTION("""COMPUTED_VALUE"""),0.2842708333333333)</f>
        <v>0.2842708333</v>
      </c>
      <c r="D586" s="50"/>
      <c r="E586" s="58"/>
      <c r="F586" s="58"/>
      <c r="G586" s="58" t="str">
        <f>IFERROR(__xludf.DUMMYFUNCTION("""COMPUTED_VALUE"""),"Negative")</f>
        <v>Negative</v>
      </c>
      <c r="H586" s="206" t="str">
        <f>IFERROR(__xludf.DUMMYFUNCTION("""COMPUTED_VALUE"""),"Negative")</f>
        <v>Negative</v>
      </c>
      <c r="I586" s="207">
        <f>IFERROR(__xludf.DUMMYFUNCTION("""COMPUTED_VALUE"""),44679.0)</f>
        <v>44679</v>
      </c>
      <c r="J586" s="208">
        <f>IFERROR(__xludf.DUMMYFUNCTION("""COMPUTED_VALUE"""),0.4022685185185185)</f>
        <v>0.4022685185</v>
      </c>
      <c r="K586" s="50"/>
      <c r="L586" s="6"/>
      <c r="M586" s="55"/>
      <c r="N586" s="55">
        <f>IFERROR(__xludf.DUMMYFUNCTION("""COMPUTED_VALUE"""),1.0)</f>
        <v>1</v>
      </c>
      <c r="O586" s="55" t="str">
        <f t="shared" si="3"/>
        <v/>
      </c>
      <c r="P586" s="209"/>
      <c r="Q586" s="75" t="b">
        <f>VLOOKUP($B586,'Run Reconcile'!B$2:P1679,15,FALSE)</f>
        <v>1</v>
      </c>
      <c r="R586" s="211" t="str">
        <f t="array" ref="R586">IF($Q586, INDEX('Run Reconcile'!A$2:A1679,MATCH(B586,'Run Reconcile'!B$2:B1679,0),1),IFERROR(0/0,""))</f>
        <v>RUN-COMB_2022-04-28_RFR-032</v>
      </c>
      <c r="S586" s="165" t="str">
        <f t="shared" ref="S586:T586" si="1171">IF(COUNTIF(W$2:W1679, $A586) &gt; 0,TRUE,IFERROR(0/0,""))</f>
        <v/>
      </c>
      <c r="T586" s="165" t="str">
        <f t="shared" si="1171"/>
        <v/>
      </c>
      <c r="U586" s="147" t="str">
        <f t="array" ref="U586">IF(ISBLANK($R586), IF($S586,VLOOKUP($B586+1,'RFR Data - preExcl'!$BF$2:$BG1679,2,FALSE),IF($T586,INDEX('RFR Data - preExcl'!$BF$2:$BG1679,MATCH($B586,'RFR Data - preExcl'!$BF$2:$BF1679,0)+1,2),VLOOKUP($B586,'RFR Data - preExcl'!$BF$2:$BG1679,2,FALSE))),IFERROR(0/0,""))</f>
        <v/>
      </c>
      <c r="V586" s="212" t="str">
        <f t="shared" si="5"/>
        <v>RUN-COMB_2022-04-28_RFR-032</v>
      </c>
      <c r="W586" s="51"/>
      <c r="X586" s="51"/>
      <c r="Y586" s="147" t="str">
        <f t="shared" ref="Y586:Z586" si="1172">IF(_xlfn.ISFORMULA(S586),IFERROR(0/0,""),TRUE)</f>
        <v/>
      </c>
      <c r="Z586" s="147" t="str">
        <f t="shared" si="1172"/>
        <v/>
      </c>
    </row>
    <row r="587">
      <c r="A587" s="6" t="str">
        <f>IFERROR(__xludf.DUMMYFUNCTION("""COMPUTED_VALUE"""),"FM4202")</f>
        <v>FM4202</v>
      </c>
      <c r="B587" s="206">
        <f>IFERROR(__xludf.DUMMYFUNCTION("""COMPUTED_VALUE"""),44679.0)</f>
        <v>44679</v>
      </c>
      <c r="C587" s="207">
        <f>IFERROR(__xludf.DUMMYFUNCTION("""COMPUTED_VALUE"""),0.2846875)</f>
        <v>0.2846875</v>
      </c>
      <c r="D587" s="50"/>
      <c r="E587" s="58"/>
      <c r="F587" s="58"/>
      <c r="G587" s="58" t="str">
        <f>IFERROR(__xludf.DUMMYFUNCTION("""COMPUTED_VALUE"""),"Negative")</f>
        <v>Negative</v>
      </c>
      <c r="H587" s="206" t="str">
        <f>IFERROR(__xludf.DUMMYFUNCTION("""COMPUTED_VALUE"""),"Negative")</f>
        <v>Negative</v>
      </c>
      <c r="I587" s="207">
        <f>IFERROR(__xludf.DUMMYFUNCTION("""COMPUTED_VALUE"""),44679.0)</f>
        <v>44679</v>
      </c>
      <c r="J587" s="208">
        <f>IFERROR(__xludf.DUMMYFUNCTION("""COMPUTED_VALUE"""),0.4022685185185185)</f>
        <v>0.4022685185</v>
      </c>
      <c r="K587" s="50"/>
      <c r="L587" s="6"/>
      <c r="M587" s="55"/>
      <c r="N587" s="55">
        <f>IFERROR(__xludf.DUMMYFUNCTION("""COMPUTED_VALUE"""),1.0)</f>
        <v>1</v>
      </c>
      <c r="O587" s="55" t="str">
        <f t="shared" si="3"/>
        <v/>
      </c>
      <c r="P587" s="209"/>
      <c r="Q587" s="75" t="b">
        <f>VLOOKUP($B587,'Run Reconcile'!B$2:P1679,15,FALSE)</f>
        <v>1</v>
      </c>
      <c r="R587" s="211" t="str">
        <f t="array" ref="R587">IF($Q587, INDEX('Run Reconcile'!A$2:A1679,MATCH(B587,'Run Reconcile'!B$2:B1679,0),1),IFERROR(0/0,""))</f>
        <v>RUN-COMB_2022-04-28_RFR-032</v>
      </c>
      <c r="S587" s="165" t="str">
        <f t="shared" ref="S587:T587" si="1173">IF(COUNTIF(W$2:W1679, $A587) &gt; 0,TRUE,IFERROR(0/0,""))</f>
        <v/>
      </c>
      <c r="T587" s="165" t="str">
        <f t="shared" si="1173"/>
        <v/>
      </c>
      <c r="U587" s="147" t="str">
        <f t="array" ref="U587">IF(ISBLANK($R587), IF($S587,VLOOKUP($B587+1,'RFR Data - preExcl'!$BF$2:$BG1679,2,FALSE),IF($T587,INDEX('RFR Data - preExcl'!$BF$2:$BG1679,MATCH($B587,'RFR Data - preExcl'!$BF$2:$BF1679,0)+1,2),VLOOKUP($B587,'RFR Data - preExcl'!$BF$2:$BG1679,2,FALSE))),IFERROR(0/0,""))</f>
        <v/>
      </c>
      <c r="V587" s="212" t="str">
        <f t="shared" si="5"/>
        <v>RUN-COMB_2022-04-28_RFR-032</v>
      </c>
      <c r="W587" s="51"/>
      <c r="X587" s="51"/>
      <c r="Y587" s="147" t="str">
        <f t="shared" ref="Y587:Z587" si="1174">IF(_xlfn.ISFORMULA(S587),IFERROR(0/0,""),TRUE)</f>
        <v/>
      </c>
      <c r="Z587" s="147" t="str">
        <f t="shared" si="1174"/>
        <v/>
      </c>
    </row>
    <row r="588">
      <c r="A588" s="6" t="str">
        <f>IFERROR(__xludf.DUMMYFUNCTION("""COMPUTED_VALUE"""),"FM4157")</f>
        <v>FM4157</v>
      </c>
      <c r="B588" s="206">
        <f>IFERROR(__xludf.DUMMYFUNCTION("""COMPUTED_VALUE"""),44679.0)</f>
        <v>44679</v>
      </c>
      <c r="C588" s="207">
        <f>IFERROR(__xludf.DUMMYFUNCTION("""COMPUTED_VALUE"""),0.3365856481481482)</f>
        <v>0.3365856481</v>
      </c>
      <c r="D588" s="50"/>
      <c r="E588" s="58"/>
      <c r="F588" s="58"/>
      <c r="G588" s="58" t="str">
        <f>IFERROR(__xludf.DUMMYFUNCTION("""COMPUTED_VALUE"""),"Negative")</f>
        <v>Negative</v>
      </c>
      <c r="H588" s="206" t="str">
        <f>IFERROR(__xludf.DUMMYFUNCTION("""COMPUTED_VALUE"""),"Negative")</f>
        <v>Negative</v>
      </c>
      <c r="I588" s="207">
        <f>IFERROR(__xludf.DUMMYFUNCTION("""COMPUTED_VALUE"""),44679.0)</f>
        <v>44679</v>
      </c>
      <c r="J588" s="208">
        <f>IFERROR(__xludf.DUMMYFUNCTION("""COMPUTED_VALUE"""),0.4022800925925926)</f>
        <v>0.4022800926</v>
      </c>
      <c r="K588" s="50"/>
      <c r="L588" s="6"/>
      <c r="M588" s="55"/>
      <c r="N588" s="55">
        <f>IFERROR(__xludf.DUMMYFUNCTION("""COMPUTED_VALUE"""),1.0)</f>
        <v>1</v>
      </c>
      <c r="O588" s="55" t="str">
        <f t="shared" si="3"/>
        <v/>
      </c>
      <c r="P588" s="209"/>
      <c r="Q588" s="75" t="b">
        <f>VLOOKUP($B588,'Run Reconcile'!B$2:P1679,15,FALSE)</f>
        <v>1</v>
      </c>
      <c r="R588" s="211" t="str">
        <f t="array" ref="R588">IF($Q588, INDEX('Run Reconcile'!A$2:A1679,MATCH(B588,'Run Reconcile'!B$2:B1679,0),1),IFERROR(0/0,""))</f>
        <v>RUN-COMB_2022-04-28_RFR-032</v>
      </c>
      <c r="S588" s="165" t="str">
        <f t="shared" ref="S588:T588" si="1175">IF(COUNTIF(W$2:W1679, $A588) &gt; 0,TRUE,IFERROR(0/0,""))</f>
        <v/>
      </c>
      <c r="T588" s="165" t="str">
        <f t="shared" si="1175"/>
        <v/>
      </c>
      <c r="U588" s="147" t="str">
        <f t="array" ref="U588">IF(ISBLANK($R588), IF($S588,VLOOKUP($B588+1,'RFR Data - preExcl'!$BF$2:$BG1679,2,FALSE),IF($T588,INDEX('RFR Data - preExcl'!$BF$2:$BG1679,MATCH($B588,'RFR Data - preExcl'!$BF$2:$BF1679,0)+1,2),VLOOKUP($B588,'RFR Data - preExcl'!$BF$2:$BG1679,2,FALSE))),IFERROR(0/0,""))</f>
        <v/>
      </c>
      <c r="V588" s="212" t="str">
        <f t="shared" si="5"/>
        <v>RUN-COMB_2022-04-28_RFR-032</v>
      </c>
      <c r="W588" s="51"/>
      <c r="X588" s="51"/>
      <c r="Y588" s="147" t="str">
        <f t="shared" ref="Y588:Z588" si="1176">IF(_xlfn.ISFORMULA(S588),IFERROR(0/0,""),TRUE)</f>
        <v/>
      </c>
      <c r="Z588" s="147" t="str">
        <f t="shared" si="1176"/>
        <v/>
      </c>
    </row>
    <row r="589">
      <c r="A589" s="6" t="str">
        <f>IFERROR(__xludf.DUMMYFUNCTION("""COMPUTED_VALUE"""),"FM4211")</f>
        <v>FM4211</v>
      </c>
      <c r="B589" s="206">
        <f>IFERROR(__xludf.DUMMYFUNCTION("""COMPUTED_VALUE"""),44680.0)</f>
        <v>44680</v>
      </c>
      <c r="C589" s="207">
        <f>IFERROR(__xludf.DUMMYFUNCTION("""COMPUTED_VALUE"""),0.2586574074074074)</f>
        <v>0.2586574074</v>
      </c>
      <c r="D589" s="50"/>
      <c r="E589" s="58"/>
      <c r="F589" s="58"/>
      <c r="G589" s="58" t="str">
        <f>IFERROR(__xludf.DUMMYFUNCTION("""COMPUTED_VALUE"""),"Negative")</f>
        <v>Negative</v>
      </c>
      <c r="H589" s="206" t="str">
        <f>IFERROR(__xludf.DUMMYFUNCTION("""COMPUTED_VALUE"""),"Negative")</f>
        <v>Negative</v>
      </c>
      <c r="I589" s="207">
        <f>IFERROR(__xludf.DUMMYFUNCTION("""COMPUTED_VALUE"""),44680.0)</f>
        <v>44680</v>
      </c>
      <c r="J589" s="208">
        <f>IFERROR(__xludf.DUMMYFUNCTION("""COMPUTED_VALUE"""),0.3735763888888889)</f>
        <v>0.3735763889</v>
      </c>
      <c r="K589" s="50"/>
      <c r="L589" s="6"/>
      <c r="M589" s="55"/>
      <c r="N589" s="55">
        <f>IFERROR(__xludf.DUMMYFUNCTION("""COMPUTED_VALUE"""),1.0)</f>
        <v>1</v>
      </c>
      <c r="O589" s="55" t="b">
        <f t="shared" si="3"/>
        <v>1</v>
      </c>
      <c r="P589" s="209"/>
      <c r="Q589" s="75" t="b">
        <f>VLOOKUP($B589,'Run Reconcile'!B$2:P1679,15,FALSE)</f>
        <v>1</v>
      </c>
      <c r="R589" s="211" t="str">
        <f t="array" ref="R589">IF($Q589, INDEX('Run Reconcile'!A$2:A1679,MATCH(B589,'Run Reconcile'!B$2:B1679,0),1),IFERROR(0/0,""))</f>
        <v>RUN-COMB_2022-04-29_RFR-034</v>
      </c>
      <c r="S589" s="165" t="str">
        <f t="shared" ref="S589:T589" si="1177">IF(COUNTIF(W$2:W1679, $A589) &gt; 0,TRUE,IFERROR(0/0,""))</f>
        <v/>
      </c>
      <c r="T589" s="165" t="str">
        <f t="shared" si="1177"/>
        <v/>
      </c>
      <c r="U589" s="147" t="str">
        <f t="array" ref="U589">IF(ISBLANK($R589), IF($S589,VLOOKUP($B589+1,'RFR Data - preExcl'!$BF$2:$BG1679,2,FALSE),IF($T589,INDEX('RFR Data - preExcl'!$BF$2:$BG1679,MATCH($B589,'RFR Data - preExcl'!$BF$2:$BF1679,0)+1,2),VLOOKUP($B589,'RFR Data - preExcl'!$BF$2:$BG1679,2,FALSE))),IFERROR(0/0,""))</f>
        <v/>
      </c>
      <c r="V589" s="212" t="str">
        <f t="shared" si="5"/>
        <v>RUN-COMB_2022-04-29_RFR-034</v>
      </c>
      <c r="W589" s="51"/>
      <c r="X589" s="51"/>
      <c r="Y589" s="147" t="str">
        <f t="shared" ref="Y589:Z589" si="1178">IF(_xlfn.ISFORMULA(S589),IFERROR(0/0,""),TRUE)</f>
        <v/>
      </c>
      <c r="Z589" s="147" t="str">
        <f t="shared" si="1178"/>
        <v/>
      </c>
    </row>
    <row r="590">
      <c r="A590" s="6" t="str">
        <f>IFERROR(__xludf.DUMMYFUNCTION("""COMPUTED_VALUE"""),"FM4147")</f>
        <v>FM4147</v>
      </c>
      <c r="B590" s="206">
        <f>IFERROR(__xludf.DUMMYFUNCTION("""COMPUTED_VALUE"""),44680.0)</f>
        <v>44680</v>
      </c>
      <c r="C590" s="207">
        <f>IFERROR(__xludf.DUMMYFUNCTION("""COMPUTED_VALUE"""),0.2589814814814815)</f>
        <v>0.2589814815</v>
      </c>
      <c r="D590" s="50"/>
      <c r="E590" s="58"/>
      <c r="F590" s="58"/>
      <c r="G590" s="58" t="str">
        <f>IFERROR(__xludf.DUMMYFUNCTION("""COMPUTED_VALUE"""),"Negative")</f>
        <v>Negative</v>
      </c>
      <c r="H590" s="206" t="str">
        <f>IFERROR(__xludf.DUMMYFUNCTION("""COMPUTED_VALUE"""),"Negative")</f>
        <v>Negative</v>
      </c>
      <c r="I590" s="207">
        <f>IFERROR(__xludf.DUMMYFUNCTION("""COMPUTED_VALUE"""),44680.0)</f>
        <v>44680</v>
      </c>
      <c r="J590" s="208">
        <f>IFERROR(__xludf.DUMMYFUNCTION("""COMPUTED_VALUE"""),0.373599537037037)</f>
        <v>0.373599537</v>
      </c>
      <c r="K590" s="50"/>
      <c r="L590" s="6"/>
      <c r="M590" s="55"/>
      <c r="N590" s="55">
        <f>IFERROR(__xludf.DUMMYFUNCTION("""COMPUTED_VALUE"""),1.0)</f>
        <v>1</v>
      </c>
      <c r="O590" s="55" t="str">
        <f t="shared" si="3"/>
        <v/>
      </c>
      <c r="P590" s="209"/>
      <c r="Q590" s="75" t="b">
        <f>VLOOKUP($B590,'Run Reconcile'!B$2:P1679,15,FALSE)</f>
        <v>1</v>
      </c>
      <c r="R590" s="211" t="str">
        <f t="array" ref="R590">IF($Q590, INDEX('Run Reconcile'!A$2:A1679,MATCH(B590,'Run Reconcile'!B$2:B1679,0),1),IFERROR(0/0,""))</f>
        <v>RUN-COMB_2022-04-29_RFR-034</v>
      </c>
      <c r="S590" s="165" t="str">
        <f t="shared" ref="S590:T590" si="1179">IF(COUNTIF(W$2:W1679, $A590) &gt; 0,TRUE,IFERROR(0/0,""))</f>
        <v/>
      </c>
      <c r="T590" s="165" t="str">
        <f t="shared" si="1179"/>
        <v/>
      </c>
      <c r="U590" s="147" t="str">
        <f t="array" ref="U590">IF(ISBLANK($R590), IF($S590,VLOOKUP($B590+1,'RFR Data - preExcl'!$BF$2:$BG1679,2,FALSE),IF($T590,INDEX('RFR Data - preExcl'!$BF$2:$BG1679,MATCH($B590,'RFR Data - preExcl'!$BF$2:$BF1679,0)+1,2),VLOOKUP($B590,'RFR Data - preExcl'!$BF$2:$BG1679,2,FALSE))),IFERROR(0/0,""))</f>
        <v/>
      </c>
      <c r="V590" s="212" t="str">
        <f t="shared" si="5"/>
        <v>RUN-COMB_2022-04-29_RFR-034</v>
      </c>
      <c r="W590" s="51"/>
      <c r="X590" s="51"/>
      <c r="Y590" s="147" t="str">
        <f t="shared" ref="Y590:Z590" si="1180">IF(_xlfn.ISFORMULA(S590),IFERROR(0/0,""),TRUE)</f>
        <v/>
      </c>
      <c r="Z590" s="147" t="str">
        <f t="shared" si="1180"/>
        <v/>
      </c>
    </row>
    <row r="591">
      <c r="A591" s="6" t="str">
        <f>IFERROR(__xludf.DUMMYFUNCTION("""COMPUTED_VALUE"""),"FM4236")</f>
        <v>FM4236</v>
      </c>
      <c r="B591" s="206">
        <f>IFERROR(__xludf.DUMMYFUNCTION("""COMPUTED_VALUE"""),44680.0)</f>
        <v>44680</v>
      </c>
      <c r="C591" s="207">
        <f>IFERROR(__xludf.DUMMYFUNCTION("""COMPUTED_VALUE"""),0.25938657407407406)</f>
        <v>0.2593865741</v>
      </c>
      <c r="D591" s="50"/>
      <c r="E591" s="58"/>
      <c r="F591" s="58"/>
      <c r="G591" s="58" t="str">
        <f>IFERROR(__xludf.DUMMYFUNCTION("""COMPUTED_VALUE"""),"Negative")</f>
        <v>Negative</v>
      </c>
      <c r="H591" s="206" t="str">
        <f>IFERROR(__xludf.DUMMYFUNCTION("""COMPUTED_VALUE"""),"Negative")</f>
        <v>Negative</v>
      </c>
      <c r="I591" s="207">
        <f>IFERROR(__xludf.DUMMYFUNCTION("""COMPUTED_VALUE"""),44680.0)</f>
        <v>44680</v>
      </c>
      <c r="J591" s="208">
        <f>IFERROR(__xludf.DUMMYFUNCTION("""COMPUTED_VALUE"""),0.3736226851851852)</f>
        <v>0.3736226852</v>
      </c>
      <c r="K591" s="50"/>
      <c r="L591" s="6"/>
      <c r="M591" s="55"/>
      <c r="N591" s="55">
        <f>IFERROR(__xludf.DUMMYFUNCTION("""COMPUTED_VALUE"""),1.0)</f>
        <v>1</v>
      </c>
      <c r="O591" s="55" t="str">
        <f t="shared" si="3"/>
        <v/>
      </c>
      <c r="P591" s="209"/>
      <c r="Q591" s="75" t="b">
        <f>VLOOKUP($B591,'Run Reconcile'!B$2:P1679,15,FALSE)</f>
        <v>1</v>
      </c>
      <c r="R591" s="211" t="str">
        <f t="array" ref="R591">IF($Q591, INDEX('Run Reconcile'!A$2:A1679,MATCH(B591,'Run Reconcile'!B$2:B1679,0),1),IFERROR(0/0,""))</f>
        <v>RUN-COMB_2022-04-29_RFR-034</v>
      </c>
      <c r="S591" s="165" t="str">
        <f t="shared" ref="S591:T591" si="1181">IF(COUNTIF(W$2:W1679, $A591) &gt; 0,TRUE,IFERROR(0/0,""))</f>
        <v/>
      </c>
      <c r="T591" s="165" t="str">
        <f t="shared" si="1181"/>
        <v/>
      </c>
      <c r="U591" s="147" t="str">
        <f t="array" ref="U591">IF(ISBLANK($R591), IF($S591,VLOOKUP($B591+1,'RFR Data - preExcl'!$BF$2:$BG1679,2,FALSE),IF($T591,INDEX('RFR Data - preExcl'!$BF$2:$BG1679,MATCH($B591,'RFR Data - preExcl'!$BF$2:$BF1679,0)+1,2),VLOOKUP($B591,'RFR Data - preExcl'!$BF$2:$BG1679,2,FALSE))),IFERROR(0/0,""))</f>
        <v/>
      </c>
      <c r="V591" s="212" t="str">
        <f t="shared" si="5"/>
        <v>RUN-COMB_2022-04-29_RFR-034</v>
      </c>
      <c r="W591" s="51"/>
      <c r="X591" s="51"/>
      <c r="Y591" s="147" t="str">
        <f t="shared" ref="Y591:Z591" si="1182">IF(_xlfn.ISFORMULA(S591),IFERROR(0/0,""),TRUE)</f>
        <v/>
      </c>
      <c r="Z591" s="147" t="str">
        <f t="shared" si="1182"/>
        <v/>
      </c>
    </row>
    <row r="592">
      <c r="A592" s="6" t="str">
        <f>IFERROR(__xludf.DUMMYFUNCTION("""COMPUTED_VALUE"""),"FM4168")</f>
        <v>FM4168</v>
      </c>
      <c r="B592" s="206">
        <f>IFERROR(__xludf.DUMMYFUNCTION("""COMPUTED_VALUE"""),44680.0)</f>
        <v>44680</v>
      </c>
      <c r="C592" s="207">
        <f>IFERROR(__xludf.DUMMYFUNCTION("""COMPUTED_VALUE"""),0.25979166666666664)</f>
        <v>0.2597916667</v>
      </c>
      <c r="D592" s="50"/>
      <c r="E592" s="58"/>
      <c r="F592" s="58"/>
      <c r="G592" s="58" t="str">
        <f>IFERROR(__xludf.DUMMYFUNCTION("""COMPUTED_VALUE"""),"Negative")</f>
        <v>Negative</v>
      </c>
      <c r="H592" s="206" t="str">
        <f>IFERROR(__xludf.DUMMYFUNCTION("""COMPUTED_VALUE"""),"Negative")</f>
        <v>Negative</v>
      </c>
      <c r="I592" s="207">
        <f>IFERROR(__xludf.DUMMYFUNCTION("""COMPUTED_VALUE"""),44680.0)</f>
        <v>44680</v>
      </c>
      <c r="J592" s="208">
        <f>IFERROR(__xludf.DUMMYFUNCTION("""COMPUTED_VALUE"""),0.3736226851851852)</f>
        <v>0.3736226852</v>
      </c>
      <c r="K592" s="50"/>
      <c r="L592" s="6"/>
      <c r="M592" s="55"/>
      <c r="N592" s="55">
        <f>IFERROR(__xludf.DUMMYFUNCTION("""COMPUTED_VALUE"""),1.0)</f>
        <v>1</v>
      </c>
      <c r="O592" s="55" t="str">
        <f t="shared" si="3"/>
        <v/>
      </c>
      <c r="P592" s="209"/>
      <c r="Q592" s="75" t="b">
        <f>VLOOKUP($B592,'Run Reconcile'!B$2:P1679,15,FALSE)</f>
        <v>1</v>
      </c>
      <c r="R592" s="211" t="str">
        <f t="array" ref="R592">IF($Q592, INDEX('Run Reconcile'!A$2:A1679,MATCH(B592,'Run Reconcile'!B$2:B1679,0),1),IFERROR(0/0,""))</f>
        <v>RUN-COMB_2022-04-29_RFR-034</v>
      </c>
      <c r="S592" s="165" t="str">
        <f t="shared" ref="S592:T592" si="1183">IF(COUNTIF(W$2:W1679, $A592) &gt; 0,TRUE,IFERROR(0/0,""))</f>
        <v/>
      </c>
      <c r="T592" s="165" t="str">
        <f t="shared" si="1183"/>
        <v/>
      </c>
      <c r="U592" s="147" t="str">
        <f t="array" ref="U592">IF(ISBLANK($R592), IF($S592,VLOOKUP($B592+1,'RFR Data - preExcl'!$BF$2:$BG1679,2,FALSE),IF($T592,INDEX('RFR Data - preExcl'!$BF$2:$BG1679,MATCH($B592,'RFR Data - preExcl'!$BF$2:$BF1679,0)+1,2),VLOOKUP($B592,'RFR Data - preExcl'!$BF$2:$BG1679,2,FALSE))),IFERROR(0/0,""))</f>
        <v/>
      </c>
      <c r="V592" s="212" t="str">
        <f t="shared" si="5"/>
        <v>RUN-COMB_2022-04-29_RFR-034</v>
      </c>
      <c r="W592" s="51"/>
      <c r="X592" s="51"/>
      <c r="Y592" s="147" t="str">
        <f t="shared" ref="Y592:Z592" si="1184">IF(_xlfn.ISFORMULA(S592),IFERROR(0/0,""),TRUE)</f>
        <v/>
      </c>
      <c r="Z592" s="147" t="str">
        <f t="shared" si="1184"/>
        <v/>
      </c>
    </row>
    <row r="593">
      <c r="A593" s="6" t="str">
        <f>IFERROR(__xludf.DUMMYFUNCTION("""COMPUTED_VALUE"""),"FM4194")</f>
        <v>FM4194</v>
      </c>
      <c r="B593" s="206">
        <f>IFERROR(__xludf.DUMMYFUNCTION("""COMPUTED_VALUE"""),44680.0)</f>
        <v>44680</v>
      </c>
      <c r="C593" s="207">
        <f>IFERROR(__xludf.DUMMYFUNCTION("""COMPUTED_VALUE"""),0.2682638888888889)</f>
        <v>0.2682638889</v>
      </c>
      <c r="D593" s="50"/>
      <c r="E593" s="58"/>
      <c r="F593" s="58"/>
      <c r="G593" s="58" t="str">
        <f>IFERROR(__xludf.DUMMYFUNCTION("""COMPUTED_VALUE"""),"Negative")</f>
        <v>Negative</v>
      </c>
      <c r="H593" s="206" t="str">
        <f>IFERROR(__xludf.DUMMYFUNCTION("""COMPUTED_VALUE"""),"Negative")</f>
        <v>Negative</v>
      </c>
      <c r="I593" s="207">
        <f>IFERROR(__xludf.DUMMYFUNCTION("""COMPUTED_VALUE"""),44680.0)</f>
        <v>44680</v>
      </c>
      <c r="J593" s="208">
        <f>IFERROR(__xludf.DUMMYFUNCTION("""COMPUTED_VALUE"""),0.37363425925925925)</f>
        <v>0.3736342593</v>
      </c>
      <c r="K593" s="50"/>
      <c r="L593" s="6"/>
      <c r="M593" s="55"/>
      <c r="N593" s="55">
        <f>IFERROR(__xludf.DUMMYFUNCTION("""COMPUTED_VALUE"""),1.0)</f>
        <v>1</v>
      </c>
      <c r="O593" s="55" t="str">
        <f t="shared" si="3"/>
        <v/>
      </c>
      <c r="P593" s="209"/>
      <c r="Q593" s="75" t="b">
        <f>VLOOKUP($B593,'Run Reconcile'!B$2:P1679,15,FALSE)</f>
        <v>1</v>
      </c>
      <c r="R593" s="211" t="str">
        <f t="array" ref="R593">IF($Q593, INDEX('Run Reconcile'!A$2:A1679,MATCH(B593,'Run Reconcile'!B$2:B1679,0),1),IFERROR(0/0,""))</f>
        <v>RUN-COMB_2022-04-29_RFR-034</v>
      </c>
      <c r="S593" s="165" t="str">
        <f t="shared" ref="S593:T593" si="1185">IF(COUNTIF(W$2:W1679, $A593) &gt; 0,TRUE,IFERROR(0/0,""))</f>
        <v/>
      </c>
      <c r="T593" s="165" t="str">
        <f t="shared" si="1185"/>
        <v/>
      </c>
      <c r="U593" s="147" t="str">
        <f t="array" ref="U593">IF(ISBLANK($R593), IF($S593,VLOOKUP($B593+1,'RFR Data - preExcl'!$BF$2:$BG1679,2,FALSE),IF($T593,INDEX('RFR Data - preExcl'!$BF$2:$BG1679,MATCH($B593,'RFR Data - preExcl'!$BF$2:$BF1679,0)+1,2),VLOOKUP($B593,'RFR Data - preExcl'!$BF$2:$BG1679,2,FALSE))),IFERROR(0/0,""))</f>
        <v/>
      </c>
      <c r="V593" s="212" t="str">
        <f t="shared" si="5"/>
        <v>RUN-COMB_2022-04-29_RFR-034</v>
      </c>
      <c r="W593" s="51"/>
      <c r="X593" s="51"/>
      <c r="Y593" s="147" t="str">
        <f t="shared" ref="Y593:Z593" si="1186">IF(_xlfn.ISFORMULA(S593),IFERROR(0/0,""),TRUE)</f>
        <v/>
      </c>
      <c r="Z593" s="147" t="str">
        <f t="shared" si="1186"/>
        <v/>
      </c>
    </row>
    <row r="594">
      <c r="A594" s="6" t="str">
        <f>IFERROR(__xludf.DUMMYFUNCTION("""COMPUTED_VALUE"""),"FM4173")</f>
        <v>FM4173</v>
      </c>
      <c r="B594" s="206">
        <f>IFERROR(__xludf.DUMMYFUNCTION("""COMPUTED_VALUE"""),44680.0)</f>
        <v>44680</v>
      </c>
      <c r="C594" s="207">
        <f>IFERROR(__xludf.DUMMYFUNCTION("""COMPUTED_VALUE"""),0.2686574074074074)</f>
        <v>0.2686574074</v>
      </c>
      <c r="D594" s="50"/>
      <c r="E594" s="58"/>
      <c r="F594" s="58"/>
      <c r="G594" s="58" t="str">
        <f>IFERROR(__xludf.DUMMYFUNCTION("""COMPUTED_VALUE"""),"Negative")</f>
        <v>Negative</v>
      </c>
      <c r="H594" s="206" t="str">
        <f>IFERROR(__xludf.DUMMYFUNCTION("""COMPUTED_VALUE"""),"Negative")</f>
        <v>Negative</v>
      </c>
      <c r="I594" s="207">
        <f>IFERROR(__xludf.DUMMYFUNCTION("""COMPUTED_VALUE"""),44680.0)</f>
        <v>44680</v>
      </c>
      <c r="J594" s="208">
        <f>IFERROR(__xludf.DUMMYFUNCTION("""COMPUTED_VALUE"""),0.37363425925925925)</f>
        <v>0.3736342593</v>
      </c>
      <c r="K594" s="50"/>
      <c r="L594" s="6"/>
      <c r="M594" s="55"/>
      <c r="N594" s="55">
        <f>IFERROR(__xludf.DUMMYFUNCTION("""COMPUTED_VALUE"""),1.0)</f>
        <v>1</v>
      </c>
      <c r="O594" s="55" t="str">
        <f t="shared" si="3"/>
        <v/>
      </c>
      <c r="P594" s="209"/>
      <c r="Q594" s="75" t="b">
        <f>VLOOKUP($B594,'Run Reconcile'!B$2:P1679,15,FALSE)</f>
        <v>1</v>
      </c>
      <c r="R594" s="211" t="str">
        <f t="array" ref="R594">IF($Q594, INDEX('Run Reconcile'!A$2:A1679,MATCH(B594,'Run Reconcile'!B$2:B1679,0),1),IFERROR(0/0,""))</f>
        <v>RUN-COMB_2022-04-29_RFR-034</v>
      </c>
      <c r="S594" s="165" t="str">
        <f t="shared" ref="S594:T594" si="1187">IF(COUNTIF(W$2:W1679, $A594) &gt; 0,TRUE,IFERROR(0/0,""))</f>
        <v/>
      </c>
      <c r="T594" s="165" t="str">
        <f t="shared" si="1187"/>
        <v/>
      </c>
      <c r="U594" s="147" t="str">
        <f t="array" ref="U594">IF(ISBLANK($R594), IF($S594,VLOOKUP($B594+1,'RFR Data - preExcl'!$BF$2:$BG1679,2,FALSE),IF($T594,INDEX('RFR Data - preExcl'!$BF$2:$BG1679,MATCH($B594,'RFR Data - preExcl'!$BF$2:$BF1679,0)+1,2),VLOOKUP($B594,'RFR Data - preExcl'!$BF$2:$BG1679,2,FALSE))),IFERROR(0/0,""))</f>
        <v/>
      </c>
      <c r="V594" s="212" t="str">
        <f t="shared" si="5"/>
        <v>RUN-COMB_2022-04-29_RFR-034</v>
      </c>
      <c r="W594" s="51"/>
      <c r="X594" s="51"/>
      <c r="Y594" s="147" t="str">
        <f t="shared" ref="Y594:Z594" si="1188">IF(_xlfn.ISFORMULA(S594),IFERROR(0/0,""),TRUE)</f>
        <v/>
      </c>
      <c r="Z594" s="147" t="str">
        <f t="shared" si="1188"/>
        <v/>
      </c>
    </row>
    <row r="595">
      <c r="A595" s="6" t="str">
        <f>IFERROR(__xludf.DUMMYFUNCTION("""COMPUTED_VALUE"""),"FM4153")</f>
        <v>FM4153</v>
      </c>
      <c r="B595" s="206">
        <f>IFERROR(__xludf.DUMMYFUNCTION("""COMPUTED_VALUE"""),44680.0)</f>
        <v>44680</v>
      </c>
      <c r="C595" s="207">
        <f>IFERROR(__xludf.DUMMYFUNCTION("""COMPUTED_VALUE"""),0.26912037037037034)</f>
        <v>0.2691203704</v>
      </c>
      <c r="D595" s="50"/>
      <c r="E595" s="58"/>
      <c r="F595" s="58"/>
      <c r="G595" s="58" t="str">
        <f>IFERROR(__xludf.DUMMYFUNCTION("""COMPUTED_VALUE"""),"Negative")</f>
        <v>Negative</v>
      </c>
      <c r="H595" s="206" t="str">
        <f>IFERROR(__xludf.DUMMYFUNCTION("""COMPUTED_VALUE"""),"Negative")</f>
        <v>Negative</v>
      </c>
      <c r="I595" s="207">
        <f>IFERROR(__xludf.DUMMYFUNCTION("""COMPUTED_VALUE"""),44680.0)</f>
        <v>44680</v>
      </c>
      <c r="J595" s="208">
        <f>IFERROR(__xludf.DUMMYFUNCTION("""COMPUTED_VALUE"""),0.37364583333333334)</f>
        <v>0.3736458333</v>
      </c>
      <c r="K595" s="50"/>
      <c r="L595" s="6"/>
      <c r="M595" s="55"/>
      <c r="N595" s="55">
        <f>IFERROR(__xludf.DUMMYFUNCTION("""COMPUTED_VALUE"""),1.0)</f>
        <v>1</v>
      </c>
      <c r="O595" s="55" t="str">
        <f t="shared" si="3"/>
        <v/>
      </c>
      <c r="P595" s="209"/>
      <c r="Q595" s="75" t="b">
        <f>VLOOKUP($B595,'Run Reconcile'!B$2:P1679,15,FALSE)</f>
        <v>1</v>
      </c>
      <c r="R595" s="211" t="str">
        <f t="array" ref="R595">IF($Q595, INDEX('Run Reconcile'!A$2:A1679,MATCH(B595,'Run Reconcile'!B$2:B1679,0),1),IFERROR(0/0,""))</f>
        <v>RUN-COMB_2022-04-29_RFR-034</v>
      </c>
      <c r="S595" s="165" t="str">
        <f t="shared" ref="S595:T595" si="1189">IF(COUNTIF(W$2:W1679, $A595) &gt; 0,TRUE,IFERROR(0/0,""))</f>
        <v/>
      </c>
      <c r="T595" s="165" t="str">
        <f t="shared" si="1189"/>
        <v/>
      </c>
      <c r="U595" s="147" t="str">
        <f t="array" ref="U595">IF(ISBLANK($R595), IF($S595,VLOOKUP($B595+1,'RFR Data - preExcl'!$BF$2:$BG1679,2,FALSE),IF($T595,INDEX('RFR Data - preExcl'!$BF$2:$BG1679,MATCH($B595,'RFR Data - preExcl'!$BF$2:$BF1679,0)+1,2),VLOOKUP($B595,'RFR Data - preExcl'!$BF$2:$BG1679,2,FALSE))),IFERROR(0/0,""))</f>
        <v/>
      </c>
      <c r="V595" s="212" t="str">
        <f t="shared" si="5"/>
        <v>RUN-COMB_2022-04-29_RFR-034</v>
      </c>
      <c r="W595" s="51"/>
      <c r="X595" s="51"/>
      <c r="Y595" s="147" t="str">
        <f t="shared" ref="Y595:Z595" si="1190">IF(_xlfn.ISFORMULA(S595),IFERROR(0/0,""),TRUE)</f>
        <v/>
      </c>
      <c r="Z595" s="147" t="str">
        <f t="shared" si="1190"/>
        <v/>
      </c>
    </row>
    <row r="596">
      <c r="A596" s="6" t="str">
        <f>IFERROR(__xludf.DUMMYFUNCTION("""COMPUTED_VALUE"""),"FM4219")</f>
        <v>FM4219</v>
      </c>
      <c r="B596" s="206">
        <f>IFERROR(__xludf.DUMMYFUNCTION("""COMPUTED_VALUE"""),44680.0)</f>
        <v>44680</v>
      </c>
      <c r="C596" s="207">
        <f>IFERROR(__xludf.DUMMYFUNCTION("""COMPUTED_VALUE"""),0.269525462962963)</f>
        <v>0.269525463</v>
      </c>
      <c r="D596" s="50"/>
      <c r="E596" s="58"/>
      <c r="F596" s="58"/>
      <c r="G596" s="58" t="str">
        <f>IFERROR(__xludf.DUMMYFUNCTION("""COMPUTED_VALUE"""),"Negative")</f>
        <v>Negative</v>
      </c>
      <c r="H596" s="206" t="str">
        <f>IFERROR(__xludf.DUMMYFUNCTION("""COMPUTED_VALUE"""),"Negative")</f>
        <v>Negative</v>
      </c>
      <c r="I596" s="207">
        <f>IFERROR(__xludf.DUMMYFUNCTION("""COMPUTED_VALUE"""),44680.0)</f>
        <v>44680</v>
      </c>
      <c r="J596" s="208">
        <f>IFERROR(__xludf.DUMMYFUNCTION("""COMPUTED_VALUE"""),0.3736574074074074)</f>
        <v>0.3736574074</v>
      </c>
      <c r="K596" s="50"/>
      <c r="L596" s="6"/>
      <c r="M596" s="55"/>
      <c r="N596" s="55">
        <f>IFERROR(__xludf.DUMMYFUNCTION("""COMPUTED_VALUE"""),1.0)</f>
        <v>1</v>
      </c>
      <c r="O596" s="55" t="str">
        <f t="shared" si="3"/>
        <v/>
      </c>
      <c r="P596" s="209"/>
      <c r="Q596" s="75" t="b">
        <f>VLOOKUP($B596,'Run Reconcile'!B$2:P1679,15,FALSE)</f>
        <v>1</v>
      </c>
      <c r="R596" s="211" t="str">
        <f t="array" ref="R596">IF($Q596, INDEX('Run Reconcile'!A$2:A1679,MATCH(B596,'Run Reconcile'!B$2:B1679,0),1),IFERROR(0/0,""))</f>
        <v>RUN-COMB_2022-04-29_RFR-034</v>
      </c>
      <c r="S596" s="165" t="str">
        <f t="shared" ref="S596:T596" si="1191">IF(COUNTIF(W$2:W1679, $A596) &gt; 0,TRUE,IFERROR(0/0,""))</f>
        <v/>
      </c>
      <c r="T596" s="165" t="str">
        <f t="shared" si="1191"/>
        <v/>
      </c>
      <c r="U596" s="147" t="str">
        <f t="array" ref="U596">IF(ISBLANK($R596), IF($S596,VLOOKUP($B596+1,'RFR Data - preExcl'!$BF$2:$BG1679,2,FALSE),IF($T596,INDEX('RFR Data - preExcl'!$BF$2:$BG1679,MATCH($B596,'RFR Data - preExcl'!$BF$2:$BF1679,0)+1,2),VLOOKUP($B596,'RFR Data - preExcl'!$BF$2:$BG1679,2,FALSE))),IFERROR(0/0,""))</f>
        <v/>
      </c>
      <c r="V596" s="212" t="str">
        <f t="shared" si="5"/>
        <v>RUN-COMB_2022-04-29_RFR-034</v>
      </c>
      <c r="W596" s="51"/>
      <c r="X596" s="51"/>
      <c r="Y596" s="147" t="str">
        <f t="shared" ref="Y596:Z596" si="1192">IF(_xlfn.ISFORMULA(S596),IFERROR(0/0,""),TRUE)</f>
        <v/>
      </c>
      <c r="Z596" s="147" t="str">
        <f t="shared" si="1192"/>
        <v/>
      </c>
    </row>
    <row r="597">
      <c r="A597" s="6" t="str">
        <f>IFERROR(__xludf.DUMMYFUNCTION("""COMPUTED_VALUE"""),"FM4158")</f>
        <v>FM4158</v>
      </c>
      <c r="B597" s="206">
        <f>IFERROR(__xludf.DUMMYFUNCTION("""COMPUTED_VALUE"""),44680.0)</f>
        <v>44680</v>
      </c>
      <c r="C597" s="207">
        <f>IFERROR(__xludf.DUMMYFUNCTION("""COMPUTED_VALUE"""),0.26997685185185183)</f>
        <v>0.2699768519</v>
      </c>
      <c r="D597" s="50"/>
      <c r="E597" s="58"/>
      <c r="F597" s="58"/>
      <c r="G597" s="58" t="str">
        <f>IFERROR(__xludf.DUMMYFUNCTION("""COMPUTED_VALUE"""),"Negative")</f>
        <v>Negative</v>
      </c>
      <c r="H597" s="206" t="str">
        <f>IFERROR(__xludf.DUMMYFUNCTION("""COMPUTED_VALUE"""),"Negative")</f>
        <v>Negative</v>
      </c>
      <c r="I597" s="207">
        <f>IFERROR(__xludf.DUMMYFUNCTION("""COMPUTED_VALUE"""),44680.0)</f>
        <v>44680</v>
      </c>
      <c r="J597" s="208">
        <f>IFERROR(__xludf.DUMMYFUNCTION("""COMPUTED_VALUE"""),0.3736574074074074)</f>
        <v>0.3736574074</v>
      </c>
      <c r="K597" s="50"/>
      <c r="L597" s="6"/>
      <c r="M597" s="55"/>
      <c r="N597" s="55">
        <f>IFERROR(__xludf.DUMMYFUNCTION("""COMPUTED_VALUE"""),1.0)</f>
        <v>1</v>
      </c>
      <c r="O597" s="55" t="str">
        <f t="shared" si="3"/>
        <v/>
      </c>
      <c r="P597" s="209"/>
      <c r="Q597" s="75" t="b">
        <f>VLOOKUP($B597,'Run Reconcile'!B$2:P1679,15,FALSE)</f>
        <v>1</v>
      </c>
      <c r="R597" s="211" t="str">
        <f t="array" ref="R597">IF($Q597, INDEX('Run Reconcile'!A$2:A1679,MATCH(B597,'Run Reconcile'!B$2:B1679,0),1),IFERROR(0/0,""))</f>
        <v>RUN-COMB_2022-04-29_RFR-034</v>
      </c>
      <c r="S597" s="165" t="str">
        <f t="shared" ref="S597:T597" si="1193">IF(COUNTIF(W$2:W1679, $A597) &gt; 0,TRUE,IFERROR(0/0,""))</f>
        <v/>
      </c>
      <c r="T597" s="165" t="str">
        <f t="shared" si="1193"/>
        <v/>
      </c>
      <c r="U597" s="147" t="str">
        <f t="array" ref="U597">IF(ISBLANK($R597), IF($S597,VLOOKUP($B597+1,'RFR Data - preExcl'!$BF$2:$BG1679,2,FALSE),IF($T597,INDEX('RFR Data - preExcl'!$BF$2:$BG1679,MATCH($B597,'RFR Data - preExcl'!$BF$2:$BF1679,0)+1,2),VLOOKUP($B597,'RFR Data - preExcl'!$BF$2:$BG1679,2,FALSE))),IFERROR(0/0,""))</f>
        <v/>
      </c>
      <c r="V597" s="212" t="str">
        <f t="shared" si="5"/>
        <v>RUN-COMB_2022-04-29_RFR-034</v>
      </c>
      <c r="W597" s="51"/>
      <c r="X597" s="51"/>
      <c r="Y597" s="147" t="str">
        <f t="shared" ref="Y597:Z597" si="1194">IF(_xlfn.ISFORMULA(S597),IFERROR(0/0,""),TRUE)</f>
        <v/>
      </c>
      <c r="Z597" s="147" t="str">
        <f t="shared" si="1194"/>
        <v/>
      </c>
    </row>
    <row r="598">
      <c r="A598" s="6" t="str">
        <f>IFERROR(__xludf.DUMMYFUNCTION("""COMPUTED_VALUE"""),"FM4210")</f>
        <v>FM4210</v>
      </c>
      <c r="B598" s="206">
        <f>IFERROR(__xludf.DUMMYFUNCTION("""COMPUTED_VALUE"""),44680.0)</f>
        <v>44680</v>
      </c>
      <c r="C598" s="207">
        <f>IFERROR(__xludf.DUMMYFUNCTION("""COMPUTED_VALUE"""),0.27034722222222224)</f>
        <v>0.2703472222</v>
      </c>
      <c r="D598" s="50"/>
      <c r="E598" s="58"/>
      <c r="F598" s="58"/>
      <c r="G598" s="58" t="str">
        <f>IFERROR(__xludf.DUMMYFUNCTION("""COMPUTED_VALUE"""),"Negative")</f>
        <v>Negative</v>
      </c>
      <c r="H598" s="206" t="str">
        <f>IFERROR(__xludf.DUMMYFUNCTION("""COMPUTED_VALUE"""),"Negative")</f>
        <v>Negative</v>
      </c>
      <c r="I598" s="207">
        <f>IFERROR(__xludf.DUMMYFUNCTION("""COMPUTED_VALUE"""),44680.0)</f>
        <v>44680</v>
      </c>
      <c r="J598" s="208">
        <f>IFERROR(__xludf.DUMMYFUNCTION("""COMPUTED_VALUE"""),0.3736689814814815)</f>
        <v>0.3736689815</v>
      </c>
      <c r="K598" s="50"/>
      <c r="L598" s="6"/>
      <c r="M598" s="55"/>
      <c r="N598" s="55">
        <f>IFERROR(__xludf.DUMMYFUNCTION("""COMPUTED_VALUE"""),1.0)</f>
        <v>1</v>
      </c>
      <c r="O598" s="55" t="str">
        <f t="shared" si="3"/>
        <v/>
      </c>
      <c r="P598" s="209"/>
      <c r="Q598" s="75" t="b">
        <f>VLOOKUP($B598,'Run Reconcile'!B$2:P1679,15,FALSE)</f>
        <v>1</v>
      </c>
      <c r="R598" s="211" t="str">
        <f t="array" ref="R598">IF($Q598, INDEX('Run Reconcile'!A$2:A1679,MATCH(B598,'Run Reconcile'!B$2:B1679,0),1),IFERROR(0/0,""))</f>
        <v>RUN-COMB_2022-04-29_RFR-034</v>
      </c>
      <c r="S598" s="165" t="str">
        <f t="shared" ref="S598:T598" si="1195">IF(COUNTIF(W$2:W1679, $A598) &gt; 0,TRUE,IFERROR(0/0,""))</f>
        <v/>
      </c>
      <c r="T598" s="165" t="str">
        <f t="shared" si="1195"/>
        <v/>
      </c>
      <c r="U598" s="147" t="str">
        <f t="array" ref="U598">IF(ISBLANK($R598), IF($S598,VLOOKUP($B598+1,'RFR Data - preExcl'!$BF$2:$BG1679,2,FALSE),IF($T598,INDEX('RFR Data - preExcl'!$BF$2:$BG1679,MATCH($B598,'RFR Data - preExcl'!$BF$2:$BF1679,0)+1,2),VLOOKUP($B598,'RFR Data - preExcl'!$BF$2:$BG1679,2,FALSE))),IFERROR(0/0,""))</f>
        <v/>
      </c>
      <c r="V598" s="212" t="str">
        <f t="shared" si="5"/>
        <v>RUN-COMB_2022-04-29_RFR-034</v>
      </c>
      <c r="W598" s="51"/>
      <c r="X598" s="51"/>
      <c r="Y598" s="147" t="str">
        <f t="shared" ref="Y598:Z598" si="1196">IF(_xlfn.ISFORMULA(S598),IFERROR(0/0,""),TRUE)</f>
        <v/>
      </c>
      <c r="Z598" s="147" t="str">
        <f t="shared" si="1196"/>
        <v/>
      </c>
    </row>
    <row r="599">
      <c r="A599" s="6" t="str">
        <f>IFERROR(__xludf.DUMMYFUNCTION("""COMPUTED_VALUE"""),"FM4154")</f>
        <v>FM4154</v>
      </c>
      <c r="B599" s="206">
        <f>IFERROR(__xludf.DUMMYFUNCTION("""COMPUTED_VALUE"""),44680.0)</f>
        <v>44680</v>
      </c>
      <c r="C599" s="207">
        <f>IFERROR(__xludf.DUMMYFUNCTION("""COMPUTED_VALUE"""),0.2710763888888889)</f>
        <v>0.2710763889</v>
      </c>
      <c r="D599" s="50"/>
      <c r="E599" s="58"/>
      <c r="F599" s="58"/>
      <c r="G599" s="58" t="str">
        <f>IFERROR(__xludf.DUMMYFUNCTION("""COMPUTED_VALUE"""),"Negative")</f>
        <v>Negative</v>
      </c>
      <c r="H599" s="206" t="str">
        <f>IFERROR(__xludf.DUMMYFUNCTION("""COMPUTED_VALUE"""),"Negative")</f>
        <v>Negative</v>
      </c>
      <c r="I599" s="207">
        <f>IFERROR(__xludf.DUMMYFUNCTION("""COMPUTED_VALUE"""),44680.0)</f>
        <v>44680</v>
      </c>
      <c r="J599" s="208">
        <f>IFERROR(__xludf.DUMMYFUNCTION("""COMPUTED_VALUE"""),0.37368055555555557)</f>
        <v>0.3736805556</v>
      </c>
      <c r="K599" s="50"/>
      <c r="L599" s="6"/>
      <c r="M599" s="55"/>
      <c r="N599" s="55">
        <f>IFERROR(__xludf.DUMMYFUNCTION("""COMPUTED_VALUE"""),1.0)</f>
        <v>1</v>
      </c>
      <c r="O599" s="55" t="str">
        <f t="shared" si="3"/>
        <v/>
      </c>
      <c r="P599" s="209"/>
      <c r="Q599" s="75" t="b">
        <f>VLOOKUP($B599,'Run Reconcile'!B$2:P1679,15,FALSE)</f>
        <v>1</v>
      </c>
      <c r="R599" s="211" t="str">
        <f t="array" ref="R599">IF($Q599, INDEX('Run Reconcile'!A$2:A1679,MATCH(B599,'Run Reconcile'!B$2:B1679,0),1),IFERROR(0/0,""))</f>
        <v>RUN-COMB_2022-04-29_RFR-034</v>
      </c>
      <c r="S599" s="165" t="str">
        <f t="shared" ref="S599:T599" si="1197">IF(COUNTIF(W$2:W1679, $A599) &gt; 0,TRUE,IFERROR(0/0,""))</f>
        <v/>
      </c>
      <c r="T599" s="165" t="str">
        <f t="shared" si="1197"/>
        <v/>
      </c>
      <c r="U599" s="147" t="str">
        <f t="array" ref="U599">IF(ISBLANK($R599), IF($S599,VLOOKUP($B599+1,'RFR Data - preExcl'!$BF$2:$BG1679,2,FALSE),IF($T599,INDEX('RFR Data - preExcl'!$BF$2:$BG1679,MATCH($B599,'RFR Data - preExcl'!$BF$2:$BF1679,0)+1,2),VLOOKUP($B599,'RFR Data - preExcl'!$BF$2:$BG1679,2,FALSE))),IFERROR(0/0,""))</f>
        <v/>
      </c>
      <c r="V599" s="212" t="str">
        <f t="shared" si="5"/>
        <v>RUN-COMB_2022-04-29_RFR-034</v>
      </c>
      <c r="W599" s="51"/>
      <c r="X599" s="51"/>
      <c r="Y599" s="147" t="str">
        <f t="shared" ref="Y599:Z599" si="1198">IF(_xlfn.ISFORMULA(S599),IFERROR(0/0,""),TRUE)</f>
        <v/>
      </c>
      <c r="Z599" s="147" t="str">
        <f t="shared" si="1198"/>
        <v/>
      </c>
    </row>
    <row r="600">
      <c r="A600" s="6" t="str">
        <f>IFERROR(__xludf.DUMMYFUNCTION("""COMPUTED_VALUE"""),"FM4184")</f>
        <v>FM4184</v>
      </c>
      <c r="B600" s="206">
        <f>IFERROR(__xludf.DUMMYFUNCTION("""COMPUTED_VALUE"""),44680.0)</f>
        <v>44680</v>
      </c>
      <c r="C600" s="207">
        <f>IFERROR(__xludf.DUMMYFUNCTION("""COMPUTED_VALUE"""),0.27143518518518517)</f>
        <v>0.2714351852</v>
      </c>
      <c r="D600" s="50"/>
      <c r="E600" s="58"/>
      <c r="F600" s="58"/>
      <c r="G600" s="58" t="str">
        <f>IFERROR(__xludf.DUMMYFUNCTION("""COMPUTED_VALUE"""),"Negative")</f>
        <v>Negative</v>
      </c>
      <c r="H600" s="206" t="str">
        <f>IFERROR(__xludf.DUMMYFUNCTION("""COMPUTED_VALUE"""),"Negative")</f>
        <v>Negative</v>
      </c>
      <c r="I600" s="207">
        <f>IFERROR(__xludf.DUMMYFUNCTION("""COMPUTED_VALUE"""),44680.0)</f>
        <v>44680</v>
      </c>
      <c r="J600" s="208">
        <f>IFERROR(__xludf.DUMMYFUNCTION("""COMPUTED_VALUE"""),0.3736921296296296)</f>
        <v>0.3736921296</v>
      </c>
      <c r="K600" s="50"/>
      <c r="L600" s="6"/>
      <c r="M600" s="55"/>
      <c r="N600" s="55">
        <f>IFERROR(__xludf.DUMMYFUNCTION("""COMPUTED_VALUE"""),1.0)</f>
        <v>1</v>
      </c>
      <c r="O600" s="55" t="str">
        <f t="shared" si="3"/>
        <v/>
      </c>
      <c r="P600" s="209"/>
      <c r="Q600" s="75" t="b">
        <f>VLOOKUP($B600,'Run Reconcile'!B$2:P1679,15,FALSE)</f>
        <v>1</v>
      </c>
      <c r="R600" s="211" t="str">
        <f t="array" ref="R600">IF($Q600, INDEX('Run Reconcile'!A$2:A1679,MATCH(B600,'Run Reconcile'!B$2:B1679,0),1),IFERROR(0/0,""))</f>
        <v>RUN-COMB_2022-04-29_RFR-034</v>
      </c>
      <c r="S600" s="165" t="str">
        <f t="shared" ref="S600:T600" si="1199">IF(COUNTIF(W$2:W1679, $A600) &gt; 0,TRUE,IFERROR(0/0,""))</f>
        <v/>
      </c>
      <c r="T600" s="165" t="str">
        <f t="shared" si="1199"/>
        <v/>
      </c>
      <c r="U600" s="147" t="str">
        <f t="array" ref="U600">IF(ISBLANK($R600), IF($S600,VLOOKUP($B600+1,'RFR Data - preExcl'!$BF$2:$BG1679,2,FALSE),IF($T600,INDEX('RFR Data - preExcl'!$BF$2:$BG1679,MATCH($B600,'RFR Data - preExcl'!$BF$2:$BF1679,0)+1,2),VLOOKUP($B600,'RFR Data - preExcl'!$BF$2:$BG1679,2,FALSE))),IFERROR(0/0,""))</f>
        <v/>
      </c>
      <c r="V600" s="212" t="str">
        <f t="shared" si="5"/>
        <v>RUN-COMB_2022-04-29_RFR-034</v>
      </c>
      <c r="W600" s="51"/>
      <c r="X600" s="51"/>
      <c r="Y600" s="147" t="str">
        <f t="shared" ref="Y600:Z600" si="1200">IF(_xlfn.ISFORMULA(S600),IFERROR(0/0,""),TRUE)</f>
        <v/>
      </c>
      <c r="Z600" s="147" t="str">
        <f t="shared" si="1200"/>
        <v/>
      </c>
    </row>
    <row r="601">
      <c r="A601" s="6" t="str">
        <f>IFERROR(__xludf.DUMMYFUNCTION("""COMPUTED_VALUE"""),"FM4156")</f>
        <v>FM4156</v>
      </c>
      <c r="B601" s="206">
        <f>IFERROR(__xludf.DUMMYFUNCTION("""COMPUTED_VALUE"""),44680.0)</f>
        <v>44680</v>
      </c>
      <c r="C601" s="207">
        <f>IFERROR(__xludf.DUMMYFUNCTION("""COMPUTED_VALUE"""),0.2718171296296296)</f>
        <v>0.2718171296</v>
      </c>
      <c r="D601" s="50"/>
      <c r="E601" s="58"/>
      <c r="F601" s="58"/>
      <c r="G601" s="58" t="str">
        <f>IFERROR(__xludf.DUMMYFUNCTION("""COMPUTED_VALUE"""),"Negative")</f>
        <v>Negative</v>
      </c>
      <c r="H601" s="206" t="str">
        <f>IFERROR(__xludf.DUMMYFUNCTION("""COMPUTED_VALUE"""),"Negative")</f>
        <v>Negative</v>
      </c>
      <c r="I601" s="207">
        <f>IFERROR(__xludf.DUMMYFUNCTION("""COMPUTED_VALUE"""),44680.0)</f>
        <v>44680</v>
      </c>
      <c r="J601" s="208">
        <f>IFERROR(__xludf.DUMMYFUNCTION("""COMPUTED_VALUE"""),0.3737152777777778)</f>
        <v>0.3737152778</v>
      </c>
      <c r="K601" s="50"/>
      <c r="L601" s="6"/>
      <c r="M601" s="55"/>
      <c r="N601" s="55">
        <f>IFERROR(__xludf.DUMMYFUNCTION("""COMPUTED_VALUE"""),1.0)</f>
        <v>1</v>
      </c>
      <c r="O601" s="55" t="str">
        <f t="shared" si="3"/>
        <v/>
      </c>
      <c r="P601" s="209"/>
      <c r="Q601" s="75" t="b">
        <f>VLOOKUP($B601,'Run Reconcile'!B$2:P1679,15,FALSE)</f>
        <v>1</v>
      </c>
      <c r="R601" s="211" t="str">
        <f t="array" ref="R601">IF($Q601, INDEX('Run Reconcile'!A$2:A1679,MATCH(B601,'Run Reconcile'!B$2:B1679,0),1),IFERROR(0/0,""))</f>
        <v>RUN-COMB_2022-04-29_RFR-034</v>
      </c>
      <c r="S601" s="165" t="str">
        <f t="shared" ref="S601:T601" si="1201">IF(COUNTIF(W$2:W1679, $A601) &gt; 0,TRUE,IFERROR(0/0,""))</f>
        <v/>
      </c>
      <c r="T601" s="165" t="str">
        <f t="shared" si="1201"/>
        <v/>
      </c>
      <c r="U601" s="147" t="str">
        <f t="array" ref="U601">IF(ISBLANK($R601), IF($S601,VLOOKUP($B601+1,'RFR Data - preExcl'!$BF$2:$BG1679,2,FALSE),IF($T601,INDEX('RFR Data - preExcl'!$BF$2:$BG1679,MATCH($B601,'RFR Data - preExcl'!$BF$2:$BF1679,0)+1,2),VLOOKUP($B601,'RFR Data - preExcl'!$BF$2:$BG1679,2,FALSE))),IFERROR(0/0,""))</f>
        <v/>
      </c>
      <c r="V601" s="212" t="str">
        <f t="shared" si="5"/>
        <v>RUN-COMB_2022-04-29_RFR-034</v>
      </c>
      <c r="W601" s="51"/>
      <c r="X601" s="51"/>
      <c r="Y601" s="147" t="str">
        <f t="shared" ref="Y601:Z601" si="1202">IF(_xlfn.ISFORMULA(S601),IFERROR(0/0,""),TRUE)</f>
        <v/>
      </c>
      <c r="Z601" s="147" t="str">
        <f t="shared" si="1202"/>
        <v/>
      </c>
    </row>
    <row r="602">
      <c r="A602" s="6" t="str">
        <f>IFERROR(__xludf.DUMMYFUNCTION("""COMPUTED_VALUE"""),"FM4160")</f>
        <v>FM4160</v>
      </c>
      <c r="B602" s="206">
        <f>IFERROR(__xludf.DUMMYFUNCTION("""COMPUTED_VALUE"""),44680.0)</f>
        <v>44680</v>
      </c>
      <c r="C602" s="207">
        <f>IFERROR(__xludf.DUMMYFUNCTION("""COMPUTED_VALUE"""),0.2723148148148148)</f>
        <v>0.2723148148</v>
      </c>
      <c r="D602" s="50"/>
      <c r="E602" s="58"/>
      <c r="F602" s="58"/>
      <c r="G602" s="58" t="str">
        <f>IFERROR(__xludf.DUMMYFUNCTION("""COMPUTED_VALUE"""),"Negative")</f>
        <v>Negative</v>
      </c>
      <c r="H602" s="206" t="str">
        <f>IFERROR(__xludf.DUMMYFUNCTION("""COMPUTED_VALUE"""),"Negative")</f>
        <v>Negative</v>
      </c>
      <c r="I602" s="207">
        <f>IFERROR(__xludf.DUMMYFUNCTION("""COMPUTED_VALUE"""),44680.0)</f>
        <v>44680</v>
      </c>
      <c r="J602" s="208">
        <f>IFERROR(__xludf.DUMMYFUNCTION("""COMPUTED_VALUE"""),0.37372685185185184)</f>
        <v>0.3737268519</v>
      </c>
      <c r="K602" s="50"/>
      <c r="L602" s="6"/>
      <c r="M602" s="55"/>
      <c r="N602" s="55">
        <f>IFERROR(__xludf.DUMMYFUNCTION("""COMPUTED_VALUE"""),1.0)</f>
        <v>1</v>
      </c>
      <c r="O602" s="55" t="str">
        <f t="shared" si="3"/>
        <v/>
      </c>
      <c r="P602" s="209"/>
      <c r="Q602" s="75" t="b">
        <f>VLOOKUP($B602,'Run Reconcile'!B$2:P1679,15,FALSE)</f>
        <v>1</v>
      </c>
      <c r="R602" s="211" t="str">
        <f t="array" ref="R602">IF($Q602, INDEX('Run Reconcile'!A$2:A1679,MATCH(B602,'Run Reconcile'!B$2:B1679,0),1),IFERROR(0/0,""))</f>
        <v>RUN-COMB_2022-04-29_RFR-034</v>
      </c>
      <c r="S602" s="165" t="str">
        <f t="shared" ref="S602:T602" si="1203">IF(COUNTIF(W$2:W1679, $A602) &gt; 0,TRUE,IFERROR(0/0,""))</f>
        <v/>
      </c>
      <c r="T602" s="165" t="str">
        <f t="shared" si="1203"/>
        <v/>
      </c>
      <c r="U602" s="147" t="str">
        <f t="array" ref="U602">IF(ISBLANK($R602), IF($S602,VLOOKUP($B602+1,'RFR Data - preExcl'!$BF$2:$BG1679,2,FALSE),IF($T602,INDEX('RFR Data - preExcl'!$BF$2:$BG1679,MATCH($B602,'RFR Data - preExcl'!$BF$2:$BF1679,0)+1,2),VLOOKUP($B602,'RFR Data - preExcl'!$BF$2:$BG1679,2,FALSE))),IFERROR(0/0,""))</f>
        <v/>
      </c>
      <c r="V602" s="212" t="str">
        <f t="shared" si="5"/>
        <v>RUN-COMB_2022-04-29_RFR-034</v>
      </c>
      <c r="W602" s="51"/>
      <c r="X602" s="51"/>
      <c r="Y602" s="147" t="str">
        <f t="shared" ref="Y602:Z602" si="1204">IF(_xlfn.ISFORMULA(S602),IFERROR(0/0,""),TRUE)</f>
        <v/>
      </c>
      <c r="Z602" s="147" t="str">
        <f t="shared" si="1204"/>
        <v/>
      </c>
    </row>
    <row r="603">
      <c r="A603" s="6" t="str">
        <f>IFERROR(__xludf.DUMMYFUNCTION("""COMPUTED_VALUE"""),"FM4163")</f>
        <v>FM4163</v>
      </c>
      <c r="B603" s="206">
        <f>IFERROR(__xludf.DUMMYFUNCTION("""COMPUTED_VALUE"""),44680.0)</f>
        <v>44680</v>
      </c>
      <c r="C603" s="207">
        <f>IFERROR(__xludf.DUMMYFUNCTION("""COMPUTED_VALUE"""),0.2728125)</f>
        <v>0.2728125</v>
      </c>
      <c r="D603" s="50"/>
      <c r="E603" s="58"/>
      <c r="F603" s="58"/>
      <c r="G603" s="58" t="str">
        <f>IFERROR(__xludf.DUMMYFUNCTION("""COMPUTED_VALUE"""),"Negative")</f>
        <v>Negative</v>
      </c>
      <c r="H603" s="206" t="str">
        <f>IFERROR(__xludf.DUMMYFUNCTION("""COMPUTED_VALUE"""),"Negative")</f>
        <v>Negative</v>
      </c>
      <c r="I603" s="207">
        <f>IFERROR(__xludf.DUMMYFUNCTION("""COMPUTED_VALUE"""),44680.0)</f>
        <v>44680</v>
      </c>
      <c r="J603" s="208">
        <f>IFERROR(__xludf.DUMMYFUNCTION("""COMPUTED_VALUE"""),0.37372685185185184)</f>
        <v>0.3737268519</v>
      </c>
      <c r="K603" s="50"/>
      <c r="L603" s="6"/>
      <c r="M603" s="55"/>
      <c r="N603" s="55">
        <f>IFERROR(__xludf.DUMMYFUNCTION("""COMPUTED_VALUE"""),1.0)</f>
        <v>1</v>
      </c>
      <c r="O603" s="55" t="str">
        <f t="shared" si="3"/>
        <v/>
      </c>
      <c r="P603" s="209"/>
      <c r="Q603" s="75" t="b">
        <f>VLOOKUP($B603,'Run Reconcile'!B$2:P1679,15,FALSE)</f>
        <v>1</v>
      </c>
      <c r="R603" s="211" t="str">
        <f t="array" ref="R603">IF($Q603, INDEX('Run Reconcile'!A$2:A1679,MATCH(B603,'Run Reconcile'!B$2:B1679,0),1),IFERROR(0/0,""))</f>
        <v>RUN-COMB_2022-04-29_RFR-034</v>
      </c>
      <c r="S603" s="165" t="str">
        <f t="shared" ref="S603:T603" si="1205">IF(COUNTIF(W$2:W1679, $A603) &gt; 0,TRUE,IFERROR(0/0,""))</f>
        <v/>
      </c>
      <c r="T603" s="165" t="str">
        <f t="shared" si="1205"/>
        <v/>
      </c>
      <c r="U603" s="147" t="str">
        <f t="array" ref="U603">IF(ISBLANK($R603), IF($S603,VLOOKUP($B603+1,'RFR Data - preExcl'!$BF$2:$BG1679,2,FALSE),IF($T603,INDEX('RFR Data - preExcl'!$BF$2:$BG1679,MATCH($B603,'RFR Data - preExcl'!$BF$2:$BF1679,0)+1,2),VLOOKUP($B603,'RFR Data - preExcl'!$BF$2:$BG1679,2,FALSE))),IFERROR(0/0,""))</f>
        <v/>
      </c>
      <c r="V603" s="212" t="str">
        <f t="shared" si="5"/>
        <v>RUN-COMB_2022-04-29_RFR-034</v>
      </c>
      <c r="W603" s="51"/>
      <c r="X603" s="51"/>
      <c r="Y603" s="147" t="str">
        <f t="shared" ref="Y603:Z603" si="1206">IF(_xlfn.ISFORMULA(S603),IFERROR(0/0,""),TRUE)</f>
        <v/>
      </c>
      <c r="Z603" s="147" t="str">
        <f t="shared" si="1206"/>
        <v/>
      </c>
    </row>
    <row r="604">
      <c r="A604" s="6" t="str">
        <f>IFERROR(__xludf.DUMMYFUNCTION("""COMPUTED_VALUE"""),"FM4148")</f>
        <v>FM4148</v>
      </c>
      <c r="B604" s="206">
        <f>IFERROR(__xludf.DUMMYFUNCTION("""COMPUTED_VALUE"""),44680.0)</f>
        <v>44680</v>
      </c>
      <c r="C604" s="207">
        <f>IFERROR(__xludf.DUMMYFUNCTION("""COMPUTED_VALUE"""),0.27328703703703705)</f>
        <v>0.273287037</v>
      </c>
      <c r="D604" s="50"/>
      <c r="E604" s="58"/>
      <c r="F604" s="58"/>
      <c r="G604" s="58" t="str">
        <f>IFERROR(__xludf.DUMMYFUNCTION("""COMPUTED_VALUE"""),"Negative")</f>
        <v>Negative</v>
      </c>
      <c r="H604" s="206" t="str">
        <f>IFERROR(__xludf.DUMMYFUNCTION("""COMPUTED_VALUE"""),"Negative")</f>
        <v>Negative</v>
      </c>
      <c r="I604" s="207">
        <f>IFERROR(__xludf.DUMMYFUNCTION("""COMPUTED_VALUE"""),44680.0)</f>
        <v>44680</v>
      </c>
      <c r="J604" s="208">
        <f>IFERROR(__xludf.DUMMYFUNCTION("""COMPUTED_VALUE"""),0.37373842592592593)</f>
        <v>0.3737384259</v>
      </c>
      <c r="K604" s="50"/>
      <c r="L604" s="6"/>
      <c r="M604" s="55"/>
      <c r="N604" s="55">
        <f>IFERROR(__xludf.DUMMYFUNCTION("""COMPUTED_VALUE"""),1.0)</f>
        <v>1</v>
      </c>
      <c r="O604" s="55" t="str">
        <f t="shared" si="3"/>
        <v/>
      </c>
      <c r="P604" s="209"/>
      <c r="Q604" s="75" t="b">
        <f>VLOOKUP($B604,'Run Reconcile'!B$2:P1679,15,FALSE)</f>
        <v>1</v>
      </c>
      <c r="R604" s="211" t="str">
        <f t="array" ref="R604">IF($Q604, INDEX('Run Reconcile'!A$2:A1679,MATCH(B604,'Run Reconcile'!B$2:B1679,0),1),IFERROR(0/0,""))</f>
        <v>RUN-COMB_2022-04-29_RFR-034</v>
      </c>
      <c r="S604" s="165" t="str">
        <f t="shared" ref="S604:T604" si="1207">IF(COUNTIF(W$2:W1679, $A604) &gt; 0,TRUE,IFERROR(0/0,""))</f>
        <v/>
      </c>
      <c r="T604" s="165" t="str">
        <f t="shared" si="1207"/>
        <v/>
      </c>
      <c r="U604" s="147" t="str">
        <f t="array" ref="U604">IF(ISBLANK($R604), IF($S604,VLOOKUP($B604+1,'RFR Data - preExcl'!$BF$2:$BG1679,2,FALSE),IF($T604,INDEX('RFR Data - preExcl'!$BF$2:$BG1679,MATCH($B604,'RFR Data - preExcl'!$BF$2:$BF1679,0)+1,2),VLOOKUP($B604,'RFR Data - preExcl'!$BF$2:$BG1679,2,FALSE))),IFERROR(0/0,""))</f>
        <v/>
      </c>
      <c r="V604" s="212" t="str">
        <f t="shared" si="5"/>
        <v>RUN-COMB_2022-04-29_RFR-034</v>
      </c>
      <c r="W604" s="51"/>
      <c r="X604" s="51"/>
      <c r="Y604" s="147" t="str">
        <f t="shared" ref="Y604:Z604" si="1208">IF(_xlfn.ISFORMULA(S604),IFERROR(0/0,""),TRUE)</f>
        <v/>
      </c>
      <c r="Z604" s="147" t="str">
        <f t="shared" si="1208"/>
        <v/>
      </c>
    </row>
    <row r="605">
      <c r="A605" s="6" t="str">
        <f>IFERROR(__xludf.DUMMYFUNCTION("""COMPUTED_VALUE"""),"FM4141")</f>
        <v>FM4141</v>
      </c>
      <c r="B605" s="206">
        <f>IFERROR(__xludf.DUMMYFUNCTION("""COMPUTED_VALUE"""),44680.0)</f>
        <v>44680</v>
      </c>
      <c r="C605" s="207">
        <f>IFERROR(__xludf.DUMMYFUNCTION("""COMPUTED_VALUE"""),0.2737731481481481)</f>
        <v>0.2737731481</v>
      </c>
      <c r="D605" s="50"/>
      <c r="E605" s="58"/>
      <c r="F605" s="58"/>
      <c r="G605" s="58" t="str">
        <f>IFERROR(__xludf.DUMMYFUNCTION("""COMPUTED_VALUE"""),"Positive")</f>
        <v>Positive</v>
      </c>
      <c r="H605" s="206" t="str">
        <f>IFERROR(__xludf.DUMMYFUNCTION("""COMPUTED_VALUE"""),"Positive")</f>
        <v>Positive</v>
      </c>
      <c r="I605" s="207">
        <f>IFERROR(__xludf.DUMMYFUNCTION("""COMPUTED_VALUE"""),44680.0)</f>
        <v>44680</v>
      </c>
      <c r="J605" s="208">
        <f>IFERROR(__xludf.DUMMYFUNCTION("""COMPUTED_VALUE"""),0.36931712962962965)</f>
        <v>0.3693171296</v>
      </c>
      <c r="K605" s="50"/>
      <c r="L605" s="6"/>
      <c r="M605" s="55"/>
      <c r="N605" s="55">
        <f>IFERROR(__xludf.DUMMYFUNCTION("""COMPUTED_VALUE"""),1.0)</f>
        <v>1</v>
      </c>
      <c r="O605" s="55" t="str">
        <f t="shared" si="3"/>
        <v/>
      </c>
      <c r="P605" s="209"/>
      <c r="Q605" s="75" t="b">
        <f>VLOOKUP($B605,'Run Reconcile'!B$2:P1679,15,FALSE)</f>
        <v>1</v>
      </c>
      <c r="R605" s="211" t="str">
        <f t="array" ref="R605">IF($Q605, INDEX('Run Reconcile'!A$2:A1679,MATCH(B605,'Run Reconcile'!B$2:B1679,0),1),IFERROR(0/0,""))</f>
        <v>RUN-COMB_2022-04-29_RFR-034</v>
      </c>
      <c r="S605" s="165" t="str">
        <f t="shared" ref="S605:T605" si="1209">IF(COUNTIF(W$2:W1679, $A605) &gt; 0,TRUE,IFERROR(0/0,""))</f>
        <v/>
      </c>
      <c r="T605" s="165" t="str">
        <f t="shared" si="1209"/>
        <v/>
      </c>
      <c r="U605" s="147" t="str">
        <f t="array" ref="U605">IF(ISBLANK($R605), IF($S605,VLOOKUP($B605+1,'RFR Data - preExcl'!$BF$2:$BG1679,2,FALSE),IF($T605,INDEX('RFR Data - preExcl'!$BF$2:$BG1679,MATCH($B605,'RFR Data - preExcl'!$BF$2:$BF1679,0)+1,2),VLOOKUP($B605,'RFR Data - preExcl'!$BF$2:$BG1679,2,FALSE))),IFERROR(0/0,""))</f>
        <v/>
      </c>
      <c r="V605" s="212" t="str">
        <f t="shared" si="5"/>
        <v>RUN-COMB_2022-04-29_RFR-034</v>
      </c>
      <c r="W605" s="51"/>
      <c r="X605" s="51"/>
      <c r="Y605" s="147" t="str">
        <f t="shared" ref="Y605:Z605" si="1210">IF(_xlfn.ISFORMULA(S605),IFERROR(0/0,""),TRUE)</f>
        <v/>
      </c>
      <c r="Z605" s="147" t="str">
        <f t="shared" si="1210"/>
        <v/>
      </c>
    </row>
    <row r="606">
      <c r="A606" s="6" t="str">
        <f>IFERROR(__xludf.DUMMYFUNCTION("""COMPUTED_VALUE"""),"FM4174")</f>
        <v>FM4174</v>
      </c>
      <c r="B606" s="206">
        <f>IFERROR(__xludf.DUMMYFUNCTION("""COMPUTED_VALUE"""),44680.0)</f>
        <v>44680</v>
      </c>
      <c r="C606" s="207">
        <f>IFERROR(__xludf.DUMMYFUNCTION("""COMPUTED_VALUE"""),0.27416666666666667)</f>
        <v>0.2741666667</v>
      </c>
      <c r="D606" s="50"/>
      <c r="E606" s="58"/>
      <c r="F606" s="58"/>
      <c r="G606" s="58" t="str">
        <f>IFERROR(__xludf.DUMMYFUNCTION("""COMPUTED_VALUE"""),"Negative")</f>
        <v>Negative</v>
      </c>
      <c r="H606" s="206" t="str">
        <f>IFERROR(__xludf.DUMMYFUNCTION("""COMPUTED_VALUE"""),"Negative")</f>
        <v>Negative</v>
      </c>
      <c r="I606" s="207">
        <f>IFERROR(__xludf.DUMMYFUNCTION("""COMPUTED_VALUE"""),44680.0)</f>
        <v>44680</v>
      </c>
      <c r="J606" s="208">
        <f>IFERROR(__xludf.DUMMYFUNCTION("""COMPUTED_VALUE"""),0.37376157407407407)</f>
        <v>0.3737615741</v>
      </c>
      <c r="K606" s="50"/>
      <c r="L606" s="6"/>
      <c r="M606" s="55"/>
      <c r="N606" s="55">
        <f>IFERROR(__xludf.DUMMYFUNCTION("""COMPUTED_VALUE"""),1.0)</f>
        <v>1</v>
      </c>
      <c r="O606" s="55" t="str">
        <f t="shared" si="3"/>
        <v/>
      </c>
      <c r="P606" s="209"/>
      <c r="Q606" s="75" t="b">
        <f>VLOOKUP($B606,'Run Reconcile'!B$2:P1679,15,FALSE)</f>
        <v>1</v>
      </c>
      <c r="R606" s="211" t="str">
        <f t="array" ref="R606">IF($Q606, INDEX('Run Reconcile'!A$2:A1679,MATCH(B606,'Run Reconcile'!B$2:B1679,0),1),IFERROR(0/0,""))</f>
        <v>RUN-COMB_2022-04-29_RFR-034</v>
      </c>
      <c r="S606" s="165" t="str">
        <f t="shared" ref="S606:T606" si="1211">IF(COUNTIF(W$2:W1679, $A606) &gt; 0,TRUE,IFERROR(0/0,""))</f>
        <v/>
      </c>
      <c r="T606" s="165" t="str">
        <f t="shared" si="1211"/>
        <v/>
      </c>
      <c r="U606" s="147" t="str">
        <f t="array" ref="U606">IF(ISBLANK($R606), IF($S606,VLOOKUP($B606+1,'RFR Data - preExcl'!$BF$2:$BG1679,2,FALSE),IF($T606,INDEX('RFR Data - preExcl'!$BF$2:$BG1679,MATCH($B606,'RFR Data - preExcl'!$BF$2:$BF1679,0)+1,2),VLOOKUP($B606,'RFR Data - preExcl'!$BF$2:$BG1679,2,FALSE))),IFERROR(0/0,""))</f>
        <v/>
      </c>
      <c r="V606" s="212" t="str">
        <f t="shared" si="5"/>
        <v>RUN-COMB_2022-04-29_RFR-034</v>
      </c>
      <c r="W606" s="51"/>
      <c r="X606" s="51"/>
      <c r="Y606" s="147" t="str">
        <f t="shared" ref="Y606:Z606" si="1212">IF(_xlfn.ISFORMULA(S606),IFERROR(0/0,""),TRUE)</f>
        <v/>
      </c>
      <c r="Z606" s="147" t="str">
        <f t="shared" si="1212"/>
        <v/>
      </c>
    </row>
    <row r="607">
      <c r="A607" s="6" t="str">
        <f>IFERROR(__xludf.DUMMYFUNCTION("""COMPUTED_VALUE"""),"FM4155")</f>
        <v>FM4155</v>
      </c>
      <c r="B607" s="206">
        <f>IFERROR(__xludf.DUMMYFUNCTION("""COMPUTED_VALUE"""),44680.0)</f>
        <v>44680</v>
      </c>
      <c r="C607" s="207">
        <f>IFERROR(__xludf.DUMMYFUNCTION("""COMPUTED_VALUE"""),0.27797453703703706)</f>
        <v>0.277974537</v>
      </c>
      <c r="D607" s="50"/>
      <c r="E607" s="58"/>
      <c r="F607" s="58"/>
      <c r="G607" s="58" t="str">
        <f>IFERROR(__xludf.DUMMYFUNCTION("""COMPUTED_VALUE"""),"Negative")</f>
        <v>Negative</v>
      </c>
      <c r="H607" s="206" t="str">
        <f>IFERROR(__xludf.DUMMYFUNCTION("""COMPUTED_VALUE"""),"Negative")</f>
        <v>Negative</v>
      </c>
      <c r="I607" s="207">
        <f>IFERROR(__xludf.DUMMYFUNCTION("""COMPUTED_VALUE"""),44680.0)</f>
        <v>44680</v>
      </c>
      <c r="J607" s="208">
        <f>IFERROR(__xludf.DUMMYFUNCTION("""COMPUTED_VALUE"""),0.37376157407407407)</f>
        <v>0.3737615741</v>
      </c>
      <c r="K607" s="50"/>
      <c r="L607" s="6"/>
      <c r="M607" s="55"/>
      <c r="N607" s="55">
        <f>IFERROR(__xludf.DUMMYFUNCTION("""COMPUTED_VALUE"""),1.0)</f>
        <v>1</v>
      </c>
      <c r="O607" s="55" t="str">
        <f t="shared" si="3"/>
        <v/>
      </c>
      <c r="P607" s="209"/>
      <c r="Q607" s="75" t="b">
        <f>VLOOKUP($B607,'Run Reconcile'!B$2:P1679,15,FALSE)</f>
        <v>1</v>
      </c>
      <c r="R607" s="211" t="str">
        <f t="array" ref="R607">IF($Q607, INDEX('Run Reconcile'!A$2:A1679,MATCH(B607,'Run Reconcile'!B$2:B1679,0),1),IFERROR(0/0,""))</f>
        <v>RUN-COMB_2022-04-29_RFR-034</v>
      </c>
      <c r="S607" s="165" t="str">
        <f t="shared" ref="S607:T607" si="1213">IF(COUNTIF(W$2:W1679, $A607) &gt; 0,TRUE,IFERROR(0/0,""))</f>
        <v/>
      </c>
      <c r="T607" s="165" t="str">
        <f t="shared" si="1213"/>
        <v/>
      </c>
      <c r="U607" s="147" t="str">
        <f t="array" ref="U607">IF(ISBLANK($R607), IF($S607,VLOOKUP($B607+1,'RFR Data - preExcl'!$BF$2:$BG1679,2,FALSE),IF($T607,INDEX('RFR Data - preExcl'!$BF$2:$BG1679,MATCH($B607,'RFR Data - preExcl'!$BF$2:$BF1679,0)+1,2),VLOOKUP($B607,'RFR Data - preExcl'!$BF$2:$BG1679,2,FALSE))),IFERROR(0/0,""))</f>
        <v/>
      </c>
      <c r="V607" s="212" t="str">
        <f t="shared" si="5"/>
        <v>RUN-COMB_2022-04-29_RFR-034</v>
      </c>
      <c r="W607" s="51"/>
      <c r="X607" s="51"/>
      <c r="Y607" s="147" t="str">
        <f t="shared" ref="Y607:Z607" si="1214">IF(_xlfn.ISFORMULA(S607),IFERROR(0/0,""),TRUE)</f>
        <v/>
      </c>
      <c r="Z607" s="147" t="str">
        <f t="shared" si="1214"/>
        <v/>
      </c>
    </row>
    <row r="608">
      <c r="A608" s="6" t="str">
        <f>IFERROR(__xludf.DUMMYFUNCTION("""COMPUTED_VALUE"""),"FM4180")</f>
        <v>FM4180</v>
      </c>
      <c r="B608" s="206">
        <f>IFERROR(__xludf.DUMMYFUNCTION("""COMPUTED_VALUE"""),44680.0)</f>
        <v>44680</v>
      </c>
      <c r="C608" s="207">
        <f>IFERROR(__xludf.DUMMYFUNCTION("""COMPUTED_VALUE"""),0.29474537037037035)</f>
        <v>0.2947453704</v>
      </c>
      <c r="D608" s="50"/>
      <c r="E608" s="58"/>
      <c r="F608" s="58"/>
      <c r="G608" s="58" t="str">
        <f>IFERROR(__xludf.DUMMYFUNCTION("""COMPUTED_VALUE"""),"Negative")</f>
        <v>Negative</v>
      </c>
      <c r="H608" s="206" t="str">
        <f>IFERROR(__xludf.DUMMYFUNCTION("""COMPUTED_VALUE"""),"Negative")</f>
        <v>Negative</v>
      </c>
      <c r="I608" s="207">
        <f>IFERROR(__xludf.DUMMYFUNCTION("""COMPUTED_VALUE"""),44680.0)</f>
        <v>44680</v>
      </c>
      <c r="J608" s="208">
        <f>IFERROR(__xludf.DUMMYFUNCTION("""COMPUTED_VALUE"""),0.37377314814814816)</f>
        <v>0.3737731481</v>
      </c>
      <c r="K608" s="50"/>
      <c r="L608" s="6"/>
      <c r="M608" s="55"/>
      <c r="N608" s="55">
        <f>IFERROR(__xludf.DUMMYFUNCTION("""COMPUTED_VALUE"""),1.0)</f>
        <v>1</v>
      </c>
      <c r="O608" s="55" t="str">
        <f t="shared" si="3"/>
        <v/>
      </c>
      <c r="P608" s="209"/>
      <c r="Q608" s="75" t="b">
        <f>VLOOKUP($B608,'Run Reconcile'!B$2:P1679,15,FALSE)</f>
        <v>1</v>
      </c>
      <c r="R608" s="211" t="str">
        <f t="array" ref="R608">IF($Q608, INDEX('Run Reconcile'!A$2:A1679,MATCH(B608,'Run Reconcile'!B$2:B1679,0),1),IFERROR(0/0,""))</f>
        <v>RUN-COMB_2022-04-29_RFR-034</v>
      </c>
      <c r="S608" s="165" t="str">
        <f t="shared" ref="S608:T608" si="1215">IF(COUNTIF(W$2:W1679, $A608) &gt; 0,TRUE,IFERROR(0/0,""))</f>
        <v/>
      </c>
      <c r="T608" s="165" t="str">
        <f t="shared" si="1215"/>
        <v/>
      </c>
      <c r="U608" s="147" t="str">
        <f t="array" ref="U608">IF(ISBLANK($R608), IF($S608,VLOOKUP($B608+1,'RFR Data - preExcl'!$BF$2:$BG1679,2,FALSE),IF($T608,INDEX('RFR Data - preExcl'!$BF$2:$BG1679,MATCH($B608,'RFR Data - preExcl'!$BF$2:$BF1679,0)+1,2),VLOOKUP($B608,'RFR Data - preExcl'!$BF$2:$BG1679,2,FALSE))),IFERROR(0/0,""))</f>
        <v/>
      </c>
      <c r="V608" s="212" t="str">
        <f t="shared" si="5"/>
        <v>RUN-COMB_2022-04-29_RFR-034</v>
      </c>
      <c r="W608" s="51"/>
      <c r="X608" s="51"/>
      <c r="Y608" s="147" t="str">
        <f t="shared" ref="Y608:Z608" si="1216">IF(_xlfn.ISFORMULA(S608),IFERROR(0/0,""),TRUE)</f>
        <v/>
      </c>
      <c r="Z608" s="147" t="str">
        <f t="shared" si="1216"/>
        <v/>
      </c>
    </row>
    <row r="609">
      <c r="A609" s="6" t="str">
        <f>IFERROR(__xludf.DUMMYFUNCTION("""COMPUTED_VALUE"""),"FM4218")</f>
        <v>FM4218</v>
      </c>
      <c r="B609" s="206">
        <f>IFERROR(__xludf.DUMMYFUNCTION("""COMPUTED_VALUE"""),44680.0)</f>
        <v>44680</v>
      </c>
      <c r="C609" s="207">
        <f>IFERROR(__xludf.DUMMYFUNCTION("""COMPUTED_VALUE"""),0.2951388888888889)</f>
        <v>0.2951388889</v>
      </c>
      <c r="D609" s="50"/>
      <c r="E609" s="58"/>
      <c r="F609" s="58"/>
      <c r="G609" s="58" t="str">
        <f>IFERROR(__xludf.DUMMYFUNCTION("""COMPUTED_VALUE"""),"Negative")</f>
        <v>Negative</v>
      </c>
      <c r="H609" s="206" t="str">
        <f>IFERROR(__xludf.DUMMYFUNCTION("""COMPUTED_VALUE"""),"Negative")</f>
        <v>Negative</v>
      </c>
      <c r="I609" s="207">
        <f>IFERROR(__xludf.DUMMYFUNCTION("""COMPUTED_VALUE"""),44680.0)</f>
        <v>44680</v>
      </c>
      <c r="J609" s="208">
        <f>IFERROR(__xludf.DUMMYFUNCTION("""COMPUTED_VALUE"""),0.3737847222222222)</f>
        <v>0.3737847222</v>
      </c>
      <c r="K609" s="50"/>
      <c r="L609" s="6"/>
      <c r="M609" s="55"/>
      <c r="N609" s="55">
        <f>IFERROR(__xludf.DUMMYFUNCTION("""COMPUTED_VALUE"""),1.0)</f>
        <v>1</v>
      </c>
      <c r="O609" s="55" t="str">
        <f t="shared" si="3"/>
        <v/>
      </c>
      <c r="P609" s="209"/>
      <c r="Q609" s="75" t="b">
        <f>VLOOKUP($B609,'Run Reconcile'!B$2:P1679,15,FALSE)</f>
        <v>1</v>
      </c>
      <c r="R609" s="211" t="str">
        <f t="array" ref="R609">IF($Q609, INDEX('Run Reconcile'!A$2:A1679,MATCH(B609,'Run Reconcile'!B$2:B1679,0),1),IFERROR(0/0,""))</f>
        <v>RUN-COMB_2022-04-29_RFR-034</v>
      </c>
      <c r="S609" s="165" t="str">
        <f t="shared" ref="S609:T609" si="1217">IF(COUNTIF(W$2:W1679, $A609) &gt; 0,TRUE,IFERROR(0/0,""))</f>
        <v/>
      </c>
      <c r="T609" s="165" t="str">
        <f t="shared" si="1217"/>
        <v/>
      </c>
      <c r="U609" s="147" t="str">
        <f t="array" ref="U609">IF(ISBLANK($R609), IF($S609,VLOOKUP($B609+1,'RFR Data - preExcl'!$BF$2:$BG1679,2,FALSE),IF($T609,INDEX('RFR Data - preExcl'!$BF$2:$BG1679,MATCH($B609,'RFR Data - preExcl'!$BF$2:$BF1679,0)+1,2),VLOOKUP($B609,'RFR Data - preExcl'!$BF$2:$BG1679,2,FALSE))),IFERROR(0/0,""))</f>
        <v/>
      </c>
      <c r="V609" s="212" t="str">
        <f t="shared" si="5"/>
        <v>RUN-COMB_2022-04-29_RFR-034</v>
      </c>
      <c r="W609" s="51"/>
      <c r="X609" s="51"/>
      <c r="Y609" s="147" t="str">
        <f t="shared" ref="Y609:Z609" si="1218">IF(_xlfn.ISFORMULA(S609),IFERROR(0/0,""),TRUE)</f>
        <v/>
      </c>
      <c r="Z609" s="147" t="str">
        <f t="shared" si="1218"/>
        <v/>
      </c>
    </row>
    <row r="610">
      <c r="A610" s="6" t="str">
        <f>IFERROR(__xludf.DUMMYFUNCTION("""COMPUTED_VALUE"""),"FM4216")</f>
        <v>FM4216</v>
      </c>
      <c r="B610" s="206">
        <f>IFERROR(__xludf.DUMMYFUNCTION("""COMPUTED_VALUE"""),44690.0)</f>
        <v>44690</v>
      </c>
      <c r="C610" s="207">
        <f>IFERROR(__xludf.DUMMYFUNCTION("""COMPUTED_VALUE"""),0.6900115740740741)</f>
        <v>0.6900115741</v>
      </c>
      <c r="D610" s="50"/>
      <c r="E610" s="58"/>
      <c r="F610" s="58"/>
      <c r="G610" s="58" t="str">
        <f>IFERROR(__xludf.DUMMYFUNCTION("""COMPUTED_VALUE"""),"Negative")</f>
        <v>Negative</v>
      </c>
      <c r="H610" s="206" t="str">
        <f>IFERROR(__xludf.DUMMYFUNCTION("""COMPUTED_VALUE"""),"Negative")</f>
        <v>Negative</v>
      </c>
      <c r="I610" s="207">
        <f>IFERROR(__xludf.DUMMYFUNCTION("""COMPUTED_VALUE"""),44690.0)</f>
        <v>44690</v>
      </c>
      <c r="J610" s="208">
        <f>IFERROR(__xludf.DUMMYFUNCTION("""COMPUTED_VALUE"""),0.7984722222222222)</f>
        <v>0.7984722222</v>
      </c>
      <c r="K610" s="50"/>
      <c r="L610" s="6"/>
      <c r="M610" s="55"/>
      <c r="N610" s="55">
        <f>IFERROR(__xludf.DUMMYFUNCTION("""COMPUTED_VALUE"""),1.0)</f>
        <v>1</v>
      </c>
      <c r="O610" s="55" t="b">
        <f t="shared" si="3"/>
        <v>1</v>
      </c>
      <c r="P610" s="209"/>
      <c r="Q610" s="75" t="b">
        <f>VLOOKUP($B610,'Run Reconcile'!B$2:P1679,15,FALSE)</f>
        <v>1</v>
      </c>
      <c r="R610" s="211" t="str">
        <f t="array" ref="R610">IF($Q610, INDEX('Run Reconcile'!A$2:A1679,MATCH(B610,'Run Reconcile'!B$2:B1679,0),1),IFERROR(0/0,""))</f>
        <v>RUN-COMB_2022-05-09_RFR-035</v>
      </c>
      <c r="S610" s="165" t="str">
        <f t="shared" ref="S610:T610" si="1219">IF(COUNTIF(W$2:W1679, $A610) &gt; 0,TRUE,IFERROR(0/0,""))</f>
        <v/>
      </c>
      <c r="T610" s="165" t="str">
        <f t="shared" si="1219"/>
        <v/>
      </c>
      <c r="U610" s="147" t="str">
        <f t="array" ref="U610">IF(ISBLANK($R610), IF($S610,VLOOKUP($B610+1,'RFR Data - preExcl'!$BF$2:$BG1679,2,FALSE),IF($T610,INDEX('RFR Data - preExcl'!$BF$2:$BG1679,MATCH($B610,'RFR Data - preExcl'!$BF$2:$BF1679,0)+1,2),VLOOKUP($B610,'RFR Data - preExcl'!$BF$2:$BG1679,2,FALSE))),IFERROR(0/0,""))</f>
        <v/>
      </c>
      <c r="V610" s="212" t="str">
        <f t="shared" si="5"/>
        <v>RUN-COMB_2022-05-09_RFR-035</v>
      </c>
      <c r="W610" s="51"/>
      <c r="X610" s="51"/>
      <c r="Y610" s="147" t="str">
        <f t="shared" ref="Y610:Z610" si="1220">IF(_xlfn.ISFORMULA(S610),IFERROR(0/0,""),TRUE)</f>
        <v/>
      </c>
      <c r="Z610" s="147" t="str">
        <f t="shared" si="1220"/>
        <v/>
      </c>
    </row>
    <row r="611">
      <c r="A611" s="6" t="str">
        <f>IFERROR(__xludf.DUMMYFUNCTION("""COMPUTED_VALUE"""),"FM4238")</f>
        <v>FM4238</v>
      </c>
      <c r="B611" s="206">
        <f>IFERROR(__xludf.DUMMYFUNCTION("""COMPUTED_VALUE"""),44690.0)</f>
        <v>44690</v>
      </c>
      <c r="C611" s="207">
        <f>IFERROR(__xludf.DUMMYFUNCTION("""COMPUTED_VALUE"""),0.6915856481481482)</f>
        <v>0.6915856481</v>
      </c>
      <c r="D611" s="50"/>
      <c r="E611" s="58"/>
      <c r="F611" s="58"/>
      <c r="G611" s="58" t="str">
        <f>IFERROR(__xludf.DUMMYFUNCTION("""COMPUTED_VALUE"""),"Negative")</f>
        <v>Negative</v>
      </c>
      <c r="H611" s="206" t="str">
        <f>IFERROR(__xludf.DUMMYFUNCTION("""COMPUTED_VALUE"""),"Negative")</f>
        <v>Negative</v>
      </c>
      <c r="I611" s="207">
        <f>IFERROR(__xludf.DUMMYFUNCTION("""COMPUTED_VALUE"""),44690.0)</f>
        <v>44690</v>
      </c>
      <c r="J611" s="208">
        <f>IFERROR(__xludf.DUMMYFUNCTION("""COMPUTED_VALUE"""),0.7984953703703703)</f>
        <v>0.7984953704</v>
      </c>
      <c r="K611" s="50"/>
      <c r="L611" s="6"/>
      <c r="M611" s="55"/>
      <c r="N611" s="55">
        <f>IFERROR(__xludf.DUMMYFUNCTION("""COMPUTED_VALUE"""),1.0)</f>
        <v>1</v>
      </c>
      <c r="O611" s="55" t="str">
        <f t="shared" si="3"/>
        <v/>
      </c>
      <c r="P611" s="209"/>
      <c r="Q611" s="75" t="b">
        <f>VLOOKUP($B611,'Run Reconcile'!B$2:P1679,15,FALSE)</f>
        <v>1</v>
      </c>
      <c r="R611" s="211" t="str">
        <f t="array" ref="R611">IF($Q611, INDEX('Run Reconcile'!A$2:A1679,MATCH(B611,'Run Reconcile'!B$2:B1679,0),1),IFERROR(0/0,""))</f>
        <v>RUN-COMB_2022-05-09_RFR-035</v>
      </c>
      <c r="S611" s="165" t="str">
        <f t="shared" ref="S611:T611" si="1221">IF(COUNTIF(W$2:W1679, $A611) &gt; 0,TRUE,IFERROR(0/0,""))</f>
        <v/>
      </c>
      <c r="T611" s="165" t="str">
        <f t="shared" si="1221"/>
        <v/>
      </c>
      <c r="U611" s="147" t="str">
        <f t="array" ref="U611">IF(ISBLANK($R611), IF($S611,VLOOKUP($B611+1,'RFR Data - preExcl'!$BF$2:$BG1679,2,FALSE),IF($T611,INDEX('RFR Data - preExcl'!$BF$2:$BG1679,MATCH($B611,'RFR Data - preExcl'!$BF$2:$BF1679,0)+1,2),VLOOKUP($B611,'RFR Data - preExcl'!$BF$2:$BG1679,2,FALSE))),IFERROR(0/0,""))</f>
        <v/>
      </c>
      <c r="V611" s="212" t="str">
        <f t="shared" si="5"/>
        <v>RUN-COMB_2022-05-09_RFR-035</v>
      </c>
      <c r="W611" s="51"/>
      <c r="X611" s="51"/>
      <c r="Y611" s="147" t="str">
        <f t="shared" ref="Y611:Z611" si="1222">IF(_xlfn.ISFORMULA(S611),IFERROR(0/0,""),TRUE)</f>
        <v/>
      </c>
      <c r="Z611" s="147" t="str">
        <f t="shared" si="1222"/>
        <v/>
      </c>
    </row>
    <row r="612">
      <c r="A612" s="6" t="str">
        <f>IFERROR(__xludf.DUMMYFUNCTION("""COMPUTED_VALUE"""),"FM4225")</f>
        <v>FM4225</v>
      </c>
      <c r="B612" s="206">
        <f>IFERROR(__xludf.DUMMYFUNCTION("""COMPUTED_VALUE"""),44690.0)</f>
        <v>44690</v>
      </c>
      <c r="C612" s="207">
        <f>IFERROR(__xludf.DUMMYFUNCTION("""COMPUTED_VALUE"""),0.6920833333333334)</f>
        <v>0.6920833333</v>
      </c>
      <c r="D612" s="50"/>
      <c r="E612" s="58"/>
      <c r="F612" s="58"/>
      <c r="G612" s="58" t="str">
        <f>IFERROR(__xludf.DUMMYFUNCTION("""COMPUTED_VALUE"""),"Negative")</f>
        <v>Negative</v>
      </c>
      <c r="H612" s="206" t="str">
        <f>IFERROR(__xludf.DUMMYFUNCTION("""COMPUTED_VALUE"""),"Negative")</f>
        <v>Negative</v>
      </c>
      <c r="I612" s="207">
        <f>IFERROR(__xludf.DUMMYFUNCTION("""COMPUTED_VALUE"""),44690.0)</f>
        <v>44690</v>
      </c>
      <c r="J612" s="208">
        <f>IFERROR(__xludf.DUMMYFUNCTION("""COMPUTED_VALUE"""),0.7985185185185185)</f>
        <v>0.7985185185</v>
      </c>
      <c r="K612" s="50"/>
      <c r="L612" s="6"/>
      <c r="M612" s="55"/>
      <c r="N612" s="55">
        <f>IFERROR(__xludf.DUMMYFUNCTION("""COMPUTED_VALUE"""),1.0)</f>
        <v>1</v>
      </c>
      <c r="O612" s="55" t="str">
        <f t="shared" si="3"/>
        <v/>
      </c>
      <c r="P612" s="209"/>
      <c r="Q612" s="75" t="b">
        <f>VLOOKUP($B612,'Run Reconcile'!B$2:P1679,15,FALSE)</f>
        <v>1</v>
      </c>
      <c r="R612" s="211" t="str">
        <f t="array" ref="R612">IF($Q612, INDEX('Run Reconcile'!A$2:A1679,MATCH(B612,'Run Reconcile'!B$2:B1679,0),1),IFERROR(0/0,""))</f>
        <v>RUN-COMB_2022-05-09_RFR-035</v>
      </c>
      <c r="S612" s="165" t="str">
        <f t="shared" ref="S612:T612" si="1223">IF(COUNTIF(W$2:W1679, $A612) &gt; 0,TRUE,IFERROR(0/0,""))</f>
        <v/>
      </c>
      <c r="T612" s="165" t="str">
        <f t="shared" si="1223"/>
        <v/>
      </c>
      <c r="U612" s="147" t="str">
        <f t="array" ref="U612">IF(ISBLANK($R612), IF($S612,VLOOKUP($B612+1,'RFR Data - preExcl'!$BF$2:$BG1679,2,FALSE),IF($T612,INDEX('RFR Data - preExcl'!$BF$2:$BG1679,MATCH($B612,'RFR Data - preExcl'!$BF$2:$BF1679,0)+1,2),VLOOKUP($B612,'RFR Data - preExcl'!$BF$2:$BG1679,2,FALSE))),IFERROR(0/0,""))</f>
        <v/>
      </c>
      <c r="V612" s="212" t="str">
        <f t="shared" si="5"/>
        <v>RUN-COMB_2022-05-09_RFR-035</v>
      </c>
      <c r="W612" s="51"/>
      <c r="X612" s="51"/>
      <c r="Y612" s="147" t="str">
        <f t="shared" ref="Y612:Z612" si="1224">IF(_xlfn.ISFORMULA(S612),IFERROR(0/0,""),TRUE)</f>
        <v/>
      </c>
      <c r="Z612" s="147" t="str">
        <f t="shared" si="1224"/>
        <v/>
      </c>
    </row>
    <row r="613">
      <c r="A613" s="6" t="str">
        <f>IFERROR(__xludf.DUMMYFUNCTION("""COMPUTED_VALUE"""),"FM4215")</f>
        <v>FM4215</v>
      </c>
      <c r="B613" s="206">
        <f>IFERROR(__xludf.DUMMYFUNCTION("""COMPUTED_VALUE"""),44690.0)</f>
        <v>44690</v>
      </c>
      <c r="C613" s="207">
        <f>IFERROR(__xludf.DUMMYFUNCTION("""COMPUTED_VALUE"""),0.6936574074074074)</f>
        <v>0.6936574074</v>
      </c>
      <c r="D613" s="50"/>
      <c r="E613" s="58"/>
      <c r="F613" s="58"/>
      <c r="G613" s="58" t="str">
        <f>IFERROR(__xludf.DUMMYFUNCTION("""COMPUTED_VALUE"""),"Negative")</f>
        <v>Negative</v>
      </c>
      <c r="H613" s="206" t="str">
        <f>IFERROR(__xludf.DUMMYFUNCTION("""COMPUTED_VALUE"""),"Negative")</f>
        <v>Negative</v>
      </c>
      <c r="I613" s="207">
        <f>IFERROR(__xludf.DUMMYFUNCTION("""COMPUTED_VALUE"""),44690.0)</f>
        <v>44690</v>
      </c>
      <c r="J613" s="208">
        <f>IFERROR(__xludf.DUMMYFUNCTION("""COMPUTED_VALUE"""),0.7985300925925926)</f>
        <v>0.7985300926</v>
      </c>
      <c r="K613" s="50"/>
      <c r="L613" s="6"/>
      <c r="M613" s="55"/>
      <c r="N613" s="55">
        <f>IFERROR(__xludf.DUMMYFUNCTION("""COMPUTED_VALUE"""),1.0)</f>
        <v>1</v>
      </c>
      <c r="O613" s="55" t="str">
        <f t="shared" si="3"/>
        <v/>
      </c>
      <c r="P613" s="209"/>
      <c r="Q613" s="75" t="b">
        <f>VLOOKUP($B613,'Run Reconcile'!B$2:P1679,15,FALSE)</f>
        <v>1</v>
      </c>
      <c r="R613" s="211" t="str">
        <f t="array" ref="R613">IF($Q613, INDEX('Run Reconcile'!A$2:A1679,MATCH(B613,'Run Reconcile'!B$2:B1679,0),1),IFERROR(0/0,""))</f>
        <v>RUN-COMB_2022-05-09_RFR-035</v>
      </c>
      <c r="S613" s="165" t="str">
        <f t="shared" ref="S613:T613" si="1225">IF(COUNTIF(W$2:W1679, $A613) &gt; 0,TRUE,IFERROR(0/0,""))</f>
        <v/>
      </c>
      <c r="T613" s="165" t="str">
        <f t="shared" si="1225"/>
        <v/>
      </c>
      <c r="U613" s="147" t="str">
        <f t="array" ref="U613">IF(ISBLANK($R613), IF($S613,VLOOKUP($B613+1,'RFR Data - preExcl'!$BF$2:$BG1679,2,FALSE),IF($T613,INDEX('RFR Data - preExcl'!$BF$2:$BG1679,MATCH($B613,'RFR Data - preExcl'!$BF$2:$BF1679,0)+1,2),VLOOKUP($B613,'RFR Data - preExcl'!$BF$2:$BG1679,2,FALSE))),IFERROR(0/0,""))</f>
        <v/>
      </c>
      <c r="V613" s="212" t="str">
        <f t="shared" si="5"/>
        <v>RUN-COMB_2022-05-09_RFR-035</v>
      </c>
      <c r="W613" s="51"/>
      <c r="X613" s="51"/>
      <c r="Y613" s="147" t="str">
        <f t="shared" ref="Y613:Z613" si="1226">IF(_xlfn.ISFORMULA(S613),IFERROR(0/0,""),TRUE)</f>
        <v/>
      </c>
      <c r="Z613" s="147" t="str">
        <f t="shared" si="1226"/>
        <v/>
      </c>
    </row>
    <row r="614">
      <c r="A614" s="6" t="str">
        <f>IFERROR(__xludf.DUMMYFUNCTION("""COMPUTED_VALUE"""),"FM4187")</f>
        <v>FM4187</v>
      </c>
      <c r="B614" s="206">
        <f>IFERROR(__xludf.DUMMYFUNCTION("""COMPUTED_VALUE"""),44690.0)</f>
        <v>44690</v>
      </c>
      <c r="C614" s="207">
        <f>IFERROR(__xludf.DUMMYFUNCTION("""COMPUTED_VALUE"""),0.694224537037037)</f>
        <v>0.694224537</v>
      </c>
      <c r="D614" s="50"/>
      <c r="E614" s="58"/>
      <c r="F614" s="58"/>
      <c r="G614" s="58" t="str">
        <f>IFERROR(__xludf.DUMMYFUNCTION("""COMPUTED_VALUE"""),"Negative")</f>
        <v>Negative</v>
      </c>
      <c r="H614" s="206" t="str">
        <f>IFERROR(__xludf.DUMMYFUNCTION("""COMPUTED_VALUE"""),"Negative")</f>
        <v>Negative</v>
      </c>
      <c r="I614" s="207">
        <f>IFERROR(__xludf.DUMMYFUNCTION("""COMPUTED_VALUE"""),44690.0)</f>
        <v>44690</v>
      </c>
      <c r="J614" s="208">
        <f>IFERROR(__xludf.DUMMYFUNCTION("""COMPUTED_VALUE"""),0.7985416666666667)</f>
        <v>0.7985416667</v>
      </c>
      <c r="K614" s="50"/>
      <c r="L614" s="6"/>
      <c r="M614" s="55"/>
      <c r="N614" s="55">
        <f>IFERROR(__xludf.DUMMYFUNCTION("""COMPUTED_VALUE"""),1.0)</f>
        <v>1</v>
      </c>
      <c r="O614" s="55" t="str">
        <f t="shared" si="3"/>
        <v/>
      </c>
      <c r="P614" s="209"/>
      <c r="Q614" s="75" t="b">
        <f>VLOOKUP($B614,'Run Reconcile'!B$2:P1679,15,FALSE)</f>
        <v>1</v>
      </c>
      <c r="R614" s="211" t="str">
        <f t="array" ref="R614">IF($Q614, INDEX('Run Reconcile'!A$2:A1679,MATCH(B614,'Run Reconcile'!B$2:B1679,0),1),IFERROR(0/0,""))</f>
        <v>RUN-COMB_2022-05-09_RFR-035</v>
      </c>
      <c r="S614" s="165" t="str">
        <f t="shared" ref="S614:T614" si="1227">IF(COUNTIF(W$2:W1679, $A614) &gt; 0,TRUE,IFERROR(0/0,""))</f>
        <v/>
      </c>
      <c r="T614" s="165" t="str">
        <f t="shared" si="1227"/>
        <v/>
      </c>
      <c r="U614" s="147" t="str">
        <f t="array" ref="U614">IF(ISBLANK($R614), IF($S614,VLOOKUP($B614+1,'RFR Data - preExcl'!$BF$2:$BG1679,2,FALSE),IF($T614,INDEX('RFR Data - preExcl'!$BF$2:$BG1679,MATCH($B614,'RFR Data - preExcl'!$BF$2:$BF1679,0)+1,2),VLOOKUP($B614,'RFR Data - preExcl'!$BF$2:$BG1679,2,FALSE))),IFERROR(0/0,""))</f>
        <v/>
      </c>
      <c r="V614" s="212" t="str">
        <f t="shared" si="5"/>
        <v>RUN-COMB_2022-05-09_RFR-035</v>
      </c>
      <c r="W614" s="51"/>
      <c r="X614" s="51"/>
      <c r="Y614" s="147" t="str">
        <f t="shared" ref="Y614:Z614" si="1228">IF(_xlfn.ISFORMULA(S614),IFERROR(0/0,""),TRUE)</f>
        <v/>
      </c>
      <c r="Z614" s="147" t="str">
        <f t="shared" si="1228"/>
        <v/>
      </c>
    </row>
    <row r="615">
      <c r="A615" s="6" t="str">
        <f>IFERROR(__xludf.DUMMYFUNCTION("""COMPUTED_VALUE"""),"FM4229")</f>
        <v>FM4229</v>
      </c>
      <c r="B615" s="206">
        <f>IFERROR(__xludf.DUMMYFUNCTION("""COMPUTED_VALUE"""),44690.0)</f>
        <v>44690</v>
      </c>
      <c r="C615" s="207">
        <f>IFERROR(__xludf.DUMMYFUNCTION("""COMPUTED_VALUE"""),0.6954050925925926)</f>
        <v>0.6954050926</v>
      </c>
      <c r="D615" s="50"/>
      <c r="E615" s="58"/>
      <c r="F615" s="58"/>
      <c r="G615" s="58" t="str">
        <f>IFERROR(__xludf.DUMMYFUNCTION("""COMPUTED_VALUE"""),"Negative")</f>
        <v>Negative</v>
      </c>
      <c r="H615" s="206" t="str">
        <f>IFERROR(__xludf.DUMMYFUNCTION("""COMPUTED_VALUE"""),"Negative")</f>
        <v>Negative</v>
      </c>
      <c r="I615" s="207">
        <f>IFERROR(__xludf.DUMMYFUNCTION("""COMPUTED_VALUE"""),44690.0)</f>
        <v>44690</v>
      </c>
      <c r="J615" s="208">
        <f>IFERROR(__xludf.DUMMYFUNCTION("""COMPUTED_VALUE"""),0.7985532407407407)</f>
        <v>0.7985532407</v>
      </c>
      <c r="K615" s="50"/>
      <c r="L615" s="6"/>
      <c r="M615" s="55"/>
      <c r="N615" s="55">
        <f>IFERROR(__xludf.DUMMYFUNCTION("""COMPUTED_VALUE"""),1.0)</f>
        <v>1</v>
      </c>
      <c r="O615" s="55" t="str">
        <f t="shared" si="3"/>
        <v/>
      </c>
      <c r="P615" s="209"/>
      <c r="Q615" s="75" t="b">
        <f>VLOOKUP($B615,'Run Reconcile'!B$2:P1679,15,FALSE)</f>
        <v>1</v>
      </c>
      <c r="R615" s="211" t="str">
        <f t="array" ref="R615">IF($Q615, INDEX('Run Reconcile'!A$2:A1679,MATCH(B615,'Run Reconcile'!B$2:B1679,0),1),IFERROR(0/0,""))</f>
        <v>RUN-COMB_2022-05-09_RFR-035</v>
      </c>
      <c r="S615" s="165" t="str">
        <f t="shared" ref="S615:T615" si="1229">IF(COUNTIF(W$2:W1679, $A615) &gt; 0,TRUE,IFERROR(0/0,""))</f>
        <v/>
      </c>
      <c r="T615" s="165" t="str">
        <f t="shared" si="1229"/>
        <v/>
      </c>
      <c r="U615" s="147" t="str">
        <f t="array" ref="U615">IF(ISBLANK($R615), IF($S615,VLOOKUP($B615+1,'RFR Data - preExcl'!$BF$2:$BG1679,2,FALSE),IF($T615,INDEX('RFR Data - preExcl'!$BF$2:$BG1679,MATCH($B615,'RFR Data - preExcl'!$BF$2:$BF1679,0)+1,2),VLOOKUP($B615,'RFR Data - preExcl'!$BF$2:$BG1679,2,FALSE))),IFERROR(0/0,""))</f>
        <v/>
      </c>
      <c r="V615" s="212" t="str">
        <f t="shared" si="5"/>
        <v>RUN-COMB_2022-05-09_RFR-035</v>
      </c>
      <c r="W615" s="51"/>
      <c r="X615" s="51"/>
      <c r="Y615" s="147" t="str">
        <f t="shared" ref="Y615:Z615" si="1230">IF(_xlfn.ISFORMULA(S615),IFERROR(0/0,""),TRUE)</f>
        <v/>
      </c>
      <c r="Z615" s="147" t="str">
        <f t="shared" si="1230"/>
        <v/>
      </c>
    </row>
    <row r="616">
      <c r="A616" s="6" t="str">
        <f>IFERROR(__xludf.DUMMYFUNCTION("""COMPUTED_VALUE"""),"FM4213")</f>
        <v>FM4213</v>
      </c>
      <c r="B616" s="206">
        <f>IFERROR(__xludf.DUMMYFUNCTION("""COMPUTED_VALUE"""),44690.0)</f>
        <v>44690</v>
      </c>
      <c r="C616" s="207">
        <f>IFERROR(__xludf.DUMMYFUNCTION("""COMPUTED_VALUE"""),0.6958564814814815)</f>
        <v>0.6958564815</v>
      </c>
      <c r="D616" s="50"/>
      <c r="E616" s="58"/>
      <c r="F616" s="58"/>
      <c r="G616" s="58" t="str">
        <f>IFERROR(__xludf.DUMMYFUNCTION("""COMPUTED_VALUE"""),"Negative")</f>
        <v>Negative</v>
      </c>
      <c r="H616" s="206" t="str">
        <f>IFERROR(__xludf.DUMMYFUNCTION("""COMPUTED_VALUE"""),"Negative")</f>
        <v>Negative</v>
      </c>
      <c r="I616" s="207">
        <f>IFERROR(__xludf.DUMMYFUNCTION("""COMPUTED_VALUE"""),44690.0)</f>
        <v>44690</v>
      </c>
      <c r="J616" s="208">
        <f>IFERROR(__xludf.DUMMYFUNCTION("""COMPUTED_VALUE"""),0.7985763888888889)</f>
        <v>0.7985763889</v>
      </c>
      <c r="K616" s="50"/>
      <c r="L616" s="6"/>
      <c r="M616" s="55"/>
      <c r="N616" s="55">
        <f>IFERROR(__xludf.DUMMYFUNCTION("""COMPUTED_VALUE"""),1.0)</f>
        <v>1</v>
      </c>
      <c r="O616" s="55" t="str">
        <f t="shared" si="3"/>
        <v/>
      </c>
      <c r="P616" s="209"/>
      <c r="Q616" s="75" t="b">
        <f>VLOOKUP($B616,'Run Reconcile'!B$2:P1679,15,FALSE)</f>
        <v>1</v>
      </c>
      <c r="R616" s="211" t="str">
        <f t="array" ref="R616">IF($Q616, INDEX('Run Reconcile'!A$2:A1679,MATCH(B616,'Run Reconcile'!B$2:B1679,0),1),IFERROR(0/0,""))</f>
        <v>RUN-COMB_2022-05-09_RFR-035</v>
      </c>
      <c r="S616" s="165" t="str">
        <f t="shared" ref="S616:T616" si="1231">IF(COUNTIF(W$2:W1679, $A616) &gt; 0,TRUE,IFERROR(0/0,""))</f>
        <v/>
      </c>
      <c r="T616" s="165" t="str">
        <f t="shared" si="1231"/>
        <v/>
      </c>
      <c r="U616" s="147" t="str">
        <f t="array" ref="U616">IF(ISBLANK($R616), IF($S616,VLOOKUP($B616+1,'RFR Data - preExcl'!$BF$2:$BG1679,2,FALSE),IF($T616,INDEX('RFR Data - preExcl'!$BF$2:$BG1679,MATCH($B616,'RFR Data - preExcl'!$BF$2:$BF1679,0)+1,2),VLOOKUP($B616,'RFR Data - preExcl'!$BF$2:$BG1679,2,FALSE))),IFERROR(0/0,""))</f>
        <v/>
      </c>
      <c r="V616" s="212" t="str">
        <f t="shared" si="5"/>
        <v>RUN-COMB_2022-05-09_RFR-035</v>
      </c>
      <c r="W616" s="51"/>
      <c r="X616" s="51"/>
      <c r="Y616" s="147" t="str">
        <f t="shared" ref="Y616:Z616" si="1232">IF(_xlfn.ISFORMULA(S616),IFERROR(0/0,""),TRUE)</f>
        <v/>
      </c>
      <c r="Z616" s="147" t="str">
        <f t="shared" si="1232"/>
        <v/>
      </c>
    </row>
    <row r="617">
      <c r="A617" s="6" t="str">
        <f>IFERROR(__xludf.DUMMYFUNCTION("""COMPUTED_VALUE"""),"FM4145")</f>
        <v>FM4145</v>
      </c>
      <c r="B617" s="206">
        <f>IFERROR(__xludf.DUMMYFUNCTION("""COMPUTED_VALUE"""),44690.0)</f>
        <v>44690</v>
      </c>
      <c r="C617" s="207">
        <f>IFERROR(__xludf.DUMMYFUNCTION("""COMPUTED_VALUE"""),0.6962731481481481)</f>
        <v>0.6962731481</v>
      </c>
      <c r="D617" s="50"/>
      <c r="E617" s="58"/>
      <c r="F617" s="58"/>
      <c r="G617" s="58" t="str">
        <f>IFERROR(__xludf.DUMMYFUNCTION("""COMPUTED_VALUE"""),"Negative")</f>
        <v>Negative</v>
      </c>
      <c r="H617" s="206" t="str">
        <f>IFERROR(__xludf.DUMMYFUNCTION("""COMPUTED_VALUE"""),"Negative")</f>
        <v>Negative</v>
      </c>
      <c r="I617" s="207">
        <f>IFERROR(__xludf.DUMMYFUNCTION("""COMPUTED_VALUE"""),44690.0)</f>
        <v>44690</v>
      </c>
      <c r="J617" s="208">
        <f>IFERROR(__xludf.DUMMYFUNCTION("""COMPUTED_VALUE"""),0.798587962962963)</f>
        <v>0.798587963</v>
      </c>
      <c r="K617" s="50"/>
      <c r="L617" s="6"/>
      <c r="M617" s="55"/>
      <c r="N617" s="55">
        <f>IFERROR(__xludf.DUMMYFUNCTION("""COMPUTED_VALUE"""),1.0)</f>
        <v>1</v>
      </c>
      <c r="O617" s="55" t="str">
        <f t="shared" si="3"/>
        <v/>
      </c>
      <c r="P617" s="209"/>
      <c r="Q617" s="75" t="b">
        <f>VLOOKUP($B617,'Run Reconcile'!B$2:P1679,15,FALSE)</f>
        <v>1</v>
      </c>
      <c r="R617" s="211" t="str">
        <f t="array" ref="R617">IF($Q617, INDEX('Run Reconcile'!A$2:A1679,MATCH(B617,'Run Reconcile'!B$2:B1679,0),1),IFERROR(0/0,""))</f>
        <v>RUN-COMB_2022-05-09_RFR-035</v>
      </c>
      <c r="S617" s="165" t="str">
        <f t="shared" ref="S617:T617" si="1233">IF(COUNTIF(W$2:W1679, $A617) &gt; 0,TRUE,IFERROR(0/0,""))</f>
        <v/>
      </c>
      <c r="T617" s="165" t="str">
        <f t="shared" si="1233"/>
        <v/>
      </c>
      <c r="U617" s="147" t="str">
        <f t="array" ref="U617">IF(ISBLANK($R617), IF($S617,VLOOKUP($B617+1,'RFR Data - preExcl'!$BF$2:$BG1679,2,FALSE),IF($T617,INDEX('RFR Data - preExcl'!$BF$2:$BG1679,MATCH($B617,'RFR Data - preExcl'!$BF$2:$BF1679,0)+1,2),VLOOKUP($B617,'RFR Data - preExcl'!$BF$2:$BG1679,2,FALSE))),IFERROR(0/0,""))</f>
        <v/>
      </c>
      <c r="V617" s="212" t="str">
        <f t="shared" si="5"/>
        <v>RUN-COMB_2022-05-09_RFR-035</v>
      </c>
      <c r="W617" s="51"/>
      <c r="X617" s="51"/>
      <c r="Y617" s="147" t="str">
        <f t="shared" ref="Y617:Z617" si="1234">IF(_xlfn.ISFORMULA(S617),IFERROR(0/0,""),TRUE)</f>
        <v/>
      </c>
      <c r="Z617" s="147" t="str">
        <f t="shared" si="1234"/>
        <v/>
      </c>
    </row>
    <row r="618">
      <c r="A618" s="6" t="str">
        <f>IFERROR(__xludf.DUMMYFUNCTION("""COMPUTED_VALUE"""),"FM4234")</f>
        <v>FM4234</v>
      </c>
      <c r="B618" s="206">
        <f>IFERROR(__xludf.DUMMYFUNCTION("""COMPUTED_VALUE"""),44690.0)</f>
        <v>44690</v>
      </c>
      <c r="C618" s="207">
        <f>IFERROR(__xludf.DUMMYFUNCTION("""COMPUTED_VALUE"""),0.6976967592592592)</f>
        <v>0.6976967593</v>
      </c>
      <c r="D618" s="50"/>
      <c r="E618" s="58"/>
      <c r="F618" s="58"/>
      <c r="G618" s="58" t="str">
        <f>IFERROR(__xludf.DUMMYFUNCTION("""COMPUTED_VALUE"""),"Negative")</f>
        <v>Negative</v>
      </c>
      <c r="H618" s="206" t="str">
        <f>IFERROR(__xludf.DUMMYFUNCTION("""COMPUTED_VALUE"""),"Negative")</f>
        <v>Negative</v>
      </c>
      <c r="I618" s="207">
        <f>IFERROR(__xludf.DUMMYFUNCTION("""COMPUTED_VALUE"""),44690.0)</f>
        <v>44690</v>
      </c>
      <c r="J618" s="208">
        <f>IFERROR(__xludf.DUMMYFUNCTION("""COMPUTED_VALUE"""),0.7986226851851852)</f>
        <v>0.7986226852</v>
      </c>
      <c r="K618" s="50"/>
      <c r="L618" s="6"/>
      <c r="M618" s="55"/>
      <c r="N618" s="55">
        <f>IFERROR(__xludf.DUMMYFUNCTION("""COMPUTED_VALUE"""),1.0)</f>
        <v>1</v>
      </c>
      <c r="O618" s="55" t="str">
        <f t="shared" si="3"/>
        <v/>
      </c>
      <c r="P618" s="209"/>
      <c r="Q618" s="75" t="b">
        <f>VLOOKUP($B618,'Run Reconcile'!B$2:P1679,15,FALSE)</f>
        <v>1</v>
      </c>
      <c r="R618" s="211" t="str">
        <f t="array" ref="R618">IF($Q618, INDEX('Run Reconcile'!A$2:A1679,MATCH(B618,'Run Reconcile'!B$2:B1679,0),1),IFERROR(0/0,""))</f>
        <v>RUN-COMB_2022-05-09_RFR-035</v>
      </c>
      <c r="S618" s="165" t="str">
        <f t="shared" ref="S618:T618" si="1235">IF(COUNTIF(W$2:W1679, $A618) &gt; 0,TRUE,IFERROR(0/0,""))</f>
        <v/>
      </c>
      <c r="T618" s="165" t="str">
        <f t="shared" si="1235"/>
        <v/>
      </c>
      <c r="U618" s="147" t="str">
        <f t="array" ref="U618">IF(ISBLANK($R618), IF($S618,VLOOKUP($B618+1,'RFR Data - preExcl'!$BF$2:$BG1679,2,FALSE),IF($T618,INDEX('RFR Data - preExcl'!$BF$2:$BG1679,MATCH($B618,'RFR Data - preExcl'!$BF$2:$BF1679,0)+1,2),VLOOKUP($B618,'RFR Data - preExcl'!$BF$2:$BG1679,2,FALSE))),IFERROR(0/0,""))</f>
        <v/>
      </c>
      <c r="V618" s="212" t="str">
        <f t="shared" si="5"/>
        <v>RUN-COMB_2022-05-09_RFR-035</v>
      </c>
      <c r="W618" s="51"/>
      <c r="X618" s="51"/>
      <c r="Y618" s="147" t="str">
        <f t="shared" ref="Y618:Z618" si="1236">IF(_xlfn.ISFORMULA(S618),IFERROR(0/0,""),TRUE)</f>
        <v/>
      </c>
      <c r="Z618" s="147" t="str">
        <f t="shared" si="1236"/>
        <v/>
      </c>
    </row>
    <row r="619">
      <c r="A619" s="6" t="str">
        <f>IFERROR(__xludf.DUMMYFUNCTION("""COMPUTED_VALUE"""),"FM4198")</f>
        <v>FM4198</v>
      </c>
      <c r="B619" s="206">
        <f>IFERROR(__xludf.DUMMYFUNCTION("""COMPUTED_VALUE"""),44690.0)</f>
        <v>44690</v>
      </c>
      <c r="C619" s="207">
        <f>IFERROR(__xludf.DUMMYFUNCTION("""COMPUTED_VALUE"""),0.6980324074074075)</f>
        <v>0.6980324074</v>
      </c>
      <c r="D619" s="50"/>
      <c r="E619" s="58"/>
      <c r="F619" s="58"/>
      <c r="G619" s="58" t="str">
        <f>IFERROR(__xludf.DUMMYFUNCTION("""COMPUTED_VALUE"""),"Negative")</f>
        <v>Negative</v>
      </c>
      <c r="H619" s="206" t="str">
        <f>IFERROR(__xludf.DUMMYFUNCTION("""COMPUTED_VALUE"""),"Negative")</f>
        <v>Negative</v>
      </c>
      <c r="I619" s="207">
        <f>IFERROR(__xludf.DUMMYFUNCTION("""COMPUTED_VALUE"""),44690.0)</f>
        <v>44690</v>
      </c>
      <c r="J619" s="208">
        <f>IFERROR(__xludf.DUMMYFUNCTION("""COMPUTED_VALUE"""),0.7986458333333334)</f>
        <v>0.7986458333</v>
      </c>
      <c r="K619" s="50"/>
      <c r="L619" s="6"/>
      <c r="M619" s="55"/>
      <c r="N619" s="55">
        <f>IFERROR(__xludf.DUMMYFUNCTION("""COMPUTED_VALUE"""),1.0)</f>
        <v>1</v>
      </c>
      <c r="O619" s="55" t="str">
        <f t="shared" si="3"/>
        <v/>
      </c>
      <c r="P619" s="209"/>
      <c r="Q619" s="75" t="b">
        <f>VLOOKUP($B619,'Run Reconcile'!B$2:P1679,15,FALSE)</f>
        <v>1</v>
      </c>
      <c r="R619" s="211" t="str">
        <f t="array" ref="R619">IF($Q619, INDEX('Run Reconcile'!A$2:A1679,MATCH(B619,'Run Reconcile'!B$2:B1679,0),1),IFERROR(0/0,""))</f>
        <v>RUN-COMB_2022-05-09_RFR-035</v>
      </c>
      <c r="S619" s="165" t="str">
        <f t="shared" ref="S619:T619" si="1237">IF(COUNTIF(W$2:W1679, $A619) &gt; 0,TRUE,IFERROR(0/0,""))</f>
        <v/>
      </c>
      <c r="T619" s="165" t="str">
        <f t="shared" si="1237"/>
        <v/>
      </c>
      <c r="U619" s="147" t="str">
        <f t="array" ref="U619">IF(ISBLANK($R619), IF($S619,VLOOKUP($B619+1,'RFR Data - preExcl'!$BF$2:$BG1679,2,FALSE),IF($T619,INDEX('RFR Data - preExcl'!$BF$2:$BG1679,MATCH($B619,'RFR Data - preExcl'!$BF$2:$BF1679,0)+1,2),VLOOKUP($B619,'RFR Data - preExcl'!$BF$2:$BG1679,2,FALSE))),IFERROR(0/0,""))</f>
        <v/>
      </c>
      <c r="V619" s="212" t="str">
        <f t="shared" si="5"/>
        <v>RUN-COMB_2022-05-09_RFR-035</v>
      </c>
      <c r="W619" s="51"/>
      <c r="X619" s="51"/>
      <c r="Y619" s="147" t="str">
        <f t="shared" ref="Y619:Z619" si="1238">IF(_xlfn.ISFORMULA(S619),IFERROR(0/0,""),TRUE)</f>
        <v/>
      </c>
      <c r="Z619" s="147" t="str">
        <f t="shared" si="1238"/>
        <v/>
      </c>
    </row>
    <row r="620">
      <c r="A620" s="6" t="str">
        <f>IFERROR(__xludf.DUMMYFUNCTION("""COMPUTED_VALUE"""),"FM4199")</f>
        <v>FM4199</v>
      </c>
      <c r="B620" s="206">
        <f>IFERROR(__xludf.DUMMYFUNCTION("""COMPUTED_VALUE"""),44690.0)</f>
        <v>44690</v>
      </c>
      <c r="C620" s="207">
        <f>IFERROR(__xludf.DUMMYFUNCTION("""COMPUTED_VALUE"""),0.7028009259259259)</f>
        <v>0.7028009259</v>
      </c>
      <c r="D620" s="50"/>
      <c r="E620" s="58"/>
      <c r="F620" s="58"/>
      <c r="G620" s="58" t="str">
        <f>IFERROR(__xludf.DUMMYFUNCTION("""COMPUTED_VALUE"""),"Negative")</f>
        <v>Negative</v>
      </c>
      <c r="H620" s="206" t="str">
        <f>IFERROR(__xludf.DUMMYFUNCTION("""COMPUTED_VALUE"""),"Negative")</f>
        <v>Negative</v>
      </c>
      <c r="I620" s="207">
        <f>IFERROR(__xludf.DUMMYFUNCTION("""COMPUTED_VALUE"""),44690.0)</f>
        <v>44690</v>
      </c>
      <c r="J620" s="208">
        <f>IFERROR(__xludf.DUMMYFUNCTION("""COMPUTED_VALUE"""),0.7986458333333334)</f>
        <v>0.7986458333</v>
      </c>
      <c r="K620" s="50"/>
      <c r="L620" s="6"/>
      <c r="M620" s="55"/>
      <c r="N620" s="55">
        <f>IFERROR(__xludf.DUMMYFUNCTION("""COMPUTED_VALUE"""),1.0)</f>
        <v>1</v>
      </c>
      <c r="O620" s="55" t="str">
        <f t="shared" si="3"/>
        <v/>
      </c>
      <c r="P620" s="209"/>
      <c r="Q620" s="75" t="b">
        <f>VLOOKUP($B620,'Run Reconcile'!B$2:P1679,15,FALSE)</f>
        <v>1</v>
      </c>
      <c r="R620" s="211" t="str">
        <f t="array" ref="R620">IF($Q620, INDEX('Run Reconcile'!A$2:A1679,MATCH(B620,'Run Reconcile'!B$2:B1679,0),1),IFERROR(0/0,""))</f>
        <v>RUN-COMB_2022-05-09_RFR-035</v>
      </c>
      <c r="S620" s="165" t="str">
        <f t="shared" ref="S620:T620" si="1239">IF(COUNTIF(W$2:W1679, $A620) &gt; 0,TRUE,IFERROR(0/0,""))</f>
        <v/>
      </c>
      <c r="T620" s="165" t="str">
        <f t="shared" si="1239"/>
        <v/>
      </c>
      <c r="U620" s="147" t="str">
        <f t="array" ref="U620">IF(ISBLANK($R620), IF($S620,VLOOKUP($B620+1,'RFR Data - preExcl'!$BF$2:$BG1679,2,FALSE),IF($T620,INDEX('RFR Data - preExcl'!$BF$2:$BG1679,MATCH($B620,'RFR Data - preExcl'!$BF$2:$BF1679,0)+1,2),VLOOKUP($B620,'RFR Data - preExcl'!$BF$2:$BG1679,2,FALSE))),IFERROR(0/0,""))</f>
        <v/>
      </c>
      <c r="V620" s="212" t="str">
        <f t="shared" si="5"/>
        <v>RUN-COMB_2022-05-09_RFR-035</v>
      </c>
      <c r="W620" s="51"/>
      <c r="X620" s="51"/>
      <c r="Y620" s="147" t="str">
        <f t="shared" ref="Y620:Z620" si="1240">IF(_xlfn.ISFORMULA(S620),IFERROR(0/0,""),TRUE)</f>
        <v/>
      </c>
      <c r="Z620" s="147" t="str">
        <f t="shared" si="1240"/>
        <v/>
      </c>
    </row>
    <row r="621">
      <c r="A621" s="6" t="str">
        <f>IFERROR(__xludf.DUMMYFUNCTION("""COMPUTED_VALUE"""),"FM4146")</f>
        <v>FM4146</v>
      </c>
      <c r="B621" s="206">
        <f>IFERROR(__xludf.DUMMYFUNCTION("""COMPUTED_VALUE"""),44690.0)</f>
        <v>44690</v>
      </c>
      <c r="C621" s="207">
        <f>IFERROR(__xludf.DUMMYFUNCTION("""COMPUTED_VALUE"""),0.7032291666666667)</f>
        <v>0.7032291667</v>
      </c>
      <c r="D621" s="50"/>
      <c r="E621" s="58"/>
      <c r="F621" s="58"/>
      <c r="G621" s="58" t="str">
        <f>IFERROR(__xludf.DUMMYFUNCTION("""COMPUTED_VALUE"""),"Negative")</f>
        <v>Negative</v>
      </c>
      <c r="H621" s="206" t="str">
        <f>IFERROR(__xludf.DUMMYFUNCTION("""COMPUTED_VALUE"""),"Negative")</f>
        <v>Negative</v>
      </c>
      <c r="I621" s="207">
        <f>IFERROR(__xludf.DUMMYFUNCTION("""COMPUTED_VALUE"""),44690.0)</f>
        <v>44690</v>
      </c>
      <c r="J621" s="208">
        <f>IFERROR(__xludf.DUMMYFUNCTION("""COMPUTED_VALUE"""),0.7986574074074074)</f>
        <v>0.7986574074</v>
      </c>
      <c r="K621" s="50"/>
      <c r="L621" s="6"/>
      <c r="M621" s="55"/>
      <c r="N621" s="55">
        <f>IFERROR(__xludf.DUMMYFUNCTION("""COMPUTED_VALUE"""),1.0)</f>
        <v>1</v>
      </c>
      <c r="O621" s="55" t="str">
        <f t="shared" si="3"/>
        <v/>
      </c>
      <c r="P621" s="209"/>
      <c r="Q621" s="75" t="b">
        <f>VLOOKUP($B621,'Run Reconcile'!B$2:P1679,15,FALSE)</f>
        <v>1</v>
      </c>
      <c r="R621" s="211" t="str">
        <f t="array" ref="R621">IF($Q621, INDEX('Run Reconcile'!A$2:A1679,MATCH(B621,'Run Reconcile'!B$2:B1679,0),1),IFERROR(0/0,""))</f>
        <v>RUN-COMB_2022-05-09_RFR-035</v>
      </c>
      <c r="S621" s="165" t="str">
        <f t="shared" ref="S621:T621" si="1241">IF(COUNTIF(W$2:W1679, $A621) &gt; 0,TRUE,IFERROR(0/0,""))</f>
        <v/>
      </c>
      <c r="T621" s="165" t="str">
        <f t="shared" si="1241"/>
        <v/>
      </c>
      <c r="U621" s="147" t="str">
        <f t="array" ref="U621">IF(ISBLANK($R621), IF($S621,VLOOKUP($B621+1,'RFR Data - preExcl'!$BF$2:$BG1679,2,FALSE),IF($T621,INDEX('RFR Data - preExcl'!$BF$2:$BG1679,MATCH($B621,'RFR Data - preExcl'!$BF$2:$BF1679,0)+1,2),VLOOKUP($B621,'RFR Data - preExcl'!$BF$2:$BG1679,2,FALSE))),IFERROR(0/0,""))</f>
        <v/>
      </c>
      <c r="V621" s="212" t="str">
        <f t="shared" si="5"/>
        <v>RUN-COMB_2022-05-09_RFR-035</v>
      </c>
      <c r="W621" s="51"/>
      <c r="X621" s="51"/>
      <c r="Y621" s="147" t="str">
        <f t="shared" ref="Y621:Z621" si="1242">IF(_xlfn.ISFORMULA(S621),IFERROR(0/0,""),TRUE)</f>
        <v/>
      </c>
      <c r="Z621" s="147" t="str">
        <f t="shared" si="1242"/>
        <v/>
      </c>
    </row>
    <row r="622">
      <c r="A622" s="6" t="str">
        <f>IFERROR(__xludf.DUMMYFUNCTION("""COMPUTED_VALUE"""),"FM4150")</f>
        <v>FM4150</v>
      </c>
      <c r="B622" s="206">
        <f>IFERROR(__xludf.DUMMYFUNCTION("""COMPUTED_VALUE"""),44690.0)</f>
        <v>44690</v>
      </c>
      <c r="C622" s="207">
        <f>IFERROR(__xludf.DUMMYFUNCTION("""COMPUTED_VALUE"""),0.7066203703703704)</f>
        <v>0.7066203704</v>
      </c>
      <c r="D622" s="50"/>
      <c r="E622" s="58"/>
      <c r="F622" s="58"/>
      <c r="G622" s="58" t="str">
        <f>IFERROR(__xludf.DUMMYFUNCTION("""COMPUTED_VALUE"""),"Negative")</f>
        <v>Negative</v>
      </c>
      <c r="H622" s="206" t="str">
        <f>IFERROR(__xludf.DUMMYFUNCTION("""COMPUTED_VALUE"""),"Negative")</f>
        <v>Negative</v>
      </c>
      <c r="I622" s="207">
        <f>IFERROR(__xludf.DUMMYFUNCTION("""COMPUTED_VALUE"""),44690.0)</f>
        <v>44690</v>
      </c>
      <c r="J622" s="208">
        <f>IFERROR(__xludf.DUMMYFUNCTION("""COMPUTED_VALUE"""),0.7986689814814815)</f>
        <v>0.7986689815</v>
      </c>
      <c r="K622" s="50"/>
      <c r="L622" s="6"/>
      <c r="M622" s="55"/>
      <c r="N622" s="55">
        <f>IFERROR(__xludf.DUMMYFUNCTION("""COMPUTED_VALUE"""),1.0)</f>
        <v>1</v>
      </c>
      <c r="O622" s="55" t="str">
        <f t="shared" si="3"/>
        <v/>
      </c>
      <c r="P622" s="209"/>
      <c r="Q622" s="75" t="b">
        <f>VLOOKUP($B622,'Run Reconcile'!B$2:P1679,15,FALSE)</f>
        <v>1</v>
      </c>
      <c r="R622" s="211" t="str">
        <f t="array" ref="R622">IF($Q622, INDEX('Run Reconcile'!A$2:A1679,MATCH(B622,'Run Reconcile'!B$2:B1679,0),1),IFERROR(0/0,""))</f>
        <v>RUN-COMB_2022-05-09_RFR-035</v>
      </c>
      <c r="S622" s="165" t="str">
        <f t="shared" ref="S622:T622" si="1243">IF(COUNTIF(W$2:W1679, $A622) &gt; 0,TRUE,IFERROR(0/0,""))</f>
        <v/>
      </c>
      <c r="T622" s="165" t="str">
        <f t="shared" si="1243"/>
        <v/>
      </c>
      <c r="U622" s="147" t="str">
        <f t="array" ref="U622">IF(ISBLANK($R622), IF($S622,VLOOKUP($B622+1,'RFR Data - preExcl'!$BF$2:$BG1679,2,FALSE),IF($T622,INDEX('RFR Data - preExcl'!$BF$2:$BG1679,MATCH($B622,'RFR Data - preExcl'!$BF$2:$BF1679,0)+1,2),VLOOKUP($B622,'RFR Data - preExcl'!$BF$2:$BG1679,2,FALSE))),IFERROR(0/0,""))</f>
        <v/>
      </c>
      <c r="V622" s="212" t="str">
        <f t="shared" si="5"/>
        <v>RUN-COMB_2022-05-09_RFR-035</v>
      </c>
      <c r="W622" s="51"/>
      <c r="X622" s="51"/>
      <c r="Y622" s="147" t="str">
        <f t="shared" ref="Y622:Z622" si="1244">IF(_xlfn.ISFORMULA(S622),IFERROR(0/0,""),TRUE)</f>
        <v/>
      </c>
      <c r="Z622" s="147" t="str">
        <f t="shared" si="1244"/>
        <v/>
      </c>
    </row>
    <row r="623">
      <c r="A623" s="6" t="str">
        <f>IFERROR(__xludf.DUMMYFUNCTION("""COMPUTED_VALUE"""),"FM4195")</f>
        <v>FM4195</v>
      </c>
      <c r="B623" s="206">
        <f>IFERROR(__xludf.DUMMYFUNCTION("""COMPUTED_VALUE"""),44690.0)</f>
        <v>44690</v>
      </c>
      <c r="C623" s="207">
        <f>IFERROR(__xludf.DUMMYFUNCTION("""COMPUTED_VALUE"""),0.7078472222222222)</f>
        <v>0.7078472222</v>
      </c>
      <c r="D623" s="50"/>
      <c r="E623" s="58"/>
      <c r="F623" s="58"/>
      <c r="G623" s="58" t="str">
        <f>IFERROR(__xludf.DUMMYFUNCTION("""COMPUTED_VALUE"""),"Negative")</f>
        <v>Negative</v>
      </c>
      <c r="H623" s="206" t="str">
        <f>IFERROR(__xludf.DUMMYFUNCTION("""COMPUTED_VALUE"""),"Negative")</f>
        <v>Negative</v>
      </c>
      <c r="I623" s="207">
        <f>IFERROR(__xludf.DUMMYFUNCTION("""COMPUTED_VALUE"""),44690.0)</f>
        <v>44690</v>
      </c>
      <c r="J623" s="208">
        <f>IFERROR(__xludf.DUMMYFUNCTION("""COMPUTED_VALUE"""),0.7986805555555555)</f>
        <v>0.7986805556</v>
      </c>
      <c r="K623" s="50"/>
      <c r="L623" s="6"/>
      <c r="M623" s="55"/>
      <c r="N623" s="55">
        <f>IFERROR(__xludf.DUMMYFUNCTION("""COMPUTED_VALUE"""),1.0)</f>
        <v>1</v>
      </c>
      <c r="O623" s="55" t="str">
        <f t="shared" si="3"/>
        <v/>
      </c>
      <c r="P623" s="209"/>
      <c r="Q623" s="75" t="b">
        <f>VLOOKUP($B623,'Run Reconcile'!B$2:P1679,15,FALSE)</f>
        <v>1</v>
      </c>
      <c r="R623" s="211" t="str">
        <f t="array" ref="R623">IF($Q623, INDEX('Run Reconcile'!A$2:A1679,MATCH(B623,'Run Reconcile'!B$2:B1679,0),1),IFERROR(0/0,""))</f>
        <v>RUN-COMB_2022-05-09_RFR-035</v>
      </c>
      <c r="S623" s="165" t="str">
        <f t="shared" ref="S623:T623" si="1245">IF(COUNTIF(W$2:W1679, $A623) &gt; 0,TRUE,IFERROR(0/0,""))</f>
        <v/>
      </c>
      <c r="T623" s="165" t="str">
        <f t="shared" si="1245"/>
        <v/>
      </c>
      <c r="U623" s="147" t="str">
        <f t="array" ref="U623">IF(ISBLANK($R623), IF($S623,VLOOKUP($B623+1,'RFR Data - preExcl'!$BF$2:$BG1679,2,FALSE),IF($T623,INDEX('RFR Data - preExcl'!$BF$2:$BG1679,MATCH($B623,'RFR Data - preExcl'!$BF$2:$BF1679,0)+1,2),VLOOKUP($B623,'RFR Data - preExcl'!$BF$2:$BG1679,2,FALSE))),IFERROR(0/0,""))</f>
        <v/>
      </c>
      <c r="V623" s="212" t="str">
        <f t="shared" si="5"/>
        <v>RUN-COMB_2022-05-09_RFR-035</v>
      </c>
      <c r="W623" s="51"/>
      <c r="X623" s="51"/>
      <c r="Y623" s="147" t="str">
        <f t="shared" ref="Y623:Z623" si="1246">IF(_xlfn.ISFORMULA(S623),IFERROR(0/0,""),TRUE)</f>
        <v/>
      </c>
      <c r="Z623" s="147" t="str">
        <f t="shared" si="1246"/>
        <v/>
      </c>
    </row>
    <row r="624">
      <c r="A624" s="6" t="str">
        <f>IFERROR(__xludf.DUMMYFUNCTION("""COMPUTED_VALUE"""),"FM4206")</f>
        <v>FM4206</v>
      </c>
      <c r="B624" s="206">
        <f>IFERROR(__xludf.DUMMYFUNCTION("""COMPUTED_VALUE"""),44690.0)</f>
        <v>44690</v>
      </c>
      <c r="C624" s="207">
        <f>IFERROR(__xludf.DUMMYFUNCTION("""COMPUTED_VALUE"""),0.7090046296296296)</f>
        <v>0.7090046296</v>
      </c>
      <c r="D624" s="50"/>
      <c r="E624" s="58"/>
      <c r="F624" s="58"/>
      <c r="G624" s="58" t="str">
        <f>IFERROR(__xludf.DUMMYFUNCTION("""COMPUTED_VALUE"""),"Negative")</f>
        <v>Negative</v>
      </c>
      <c r="H624" s="206" t="str">
        <f>IFERROR(__xludf.DUMMYFUNCTION("""COMPUTED_VALUE"""),"Negative")</f>
        <v>Negative</v>
      </c>
      <c r="I624" s="207">
        <f>IFERROR(__xludf.DUMMYFUNCTION("""COMPUTED_VALUE"""),44690.0)</f>
        <v>44690</v>
      </c>
      <c r="J624" s="208">
        <f>IFERROR(__xludf.DUMMYFUNCTION("""COMPUTED_VALUE"""),0.7986921296296297)</f>
        <v>0.7986921296</v>
      </c>
      <c r="K624" s="50"/>
      <c r="L624" s="6"/>
      <c r="M624" s="55"/>
      <c r="N624" s="55">
        <f>IFERROR(__xludf.DUMMYFUNCTION("""COMPUTED_VALUE"""),1.0)</f>
        <v>1</v>
      </c>
      <c r="O624" s="55" t="str">
        <f t="shared" si="3"/>
        <v/>
      </c>
      <c r="P624" s="209"/>
      <c r="Q624" s="75" t="b">
        <f>VLOOKUP($B624,'Run Reconcile'!B$2:P1679,15,FALSE)</f>
        <v>1</v>
      </c>
      <c r="R624" s="211" t="str">
        <f t="array" ref="R624">IF($Q624, INDEX('Run Reconcile'!A$2:A1679,MATCH(B624,'Run Reconcile'!B$2:B1679,0),1),IFERROR(0/0,""))</f>
        <v>RUN-COMB_2022-05-09_RFR-035</v>
      </c>
      <c r="S624" s="165" t="str">
        <f t="shared" ref="S624:T624" si="1247">IF(COUNTIF(W$2:W1679, $A624) &gt; 0,TRUE,IFERROR(0/0,""))</f>
        <v/>
      </c>
      <c r="T624" s="165" t="str">
        <f t="shared" si="1247"/>
        <v/>
      </c>
      <c r="U624" s="147" t="str">
        <f t="array" ref="U624">IF(ISBLANK($R624), IF($S624,VLOOKUP($B624+1,'RFR Data - preExcl'!$BF$2:$BG1679,2,FALSE),IF($T624,INDEX('RFR Data - preExcl'!$BF$2:$BG1679,MATCH($B624,'RFR Data - preExcl'!$BF$2:$BF1679,0)+1,2),VLOOKUP($B624,'RFR Data - preExcl'!$BF$2:$BG1679,2,FALSE))),IFERROR(0/0,""))</f>
        <v/>
      </c>
      <c r="V624" s="212" t="str">
        <f t="shared" si="5"/>
        <v>RUN-COMB_2022-05-09_RFR-035</v>
      </c>
      <c r="W624" s="51"/>
      <c r="X624" s="51"/>
      <c r="Y624" s="147" t="str">
        <f t="shared" ref="Y624:Z624" si="1248">IF(_xlfn.ISFORMULA(S624),IFERROR(0/0,""),TRUE)</f>
        <v/>
      </c>
      <c r="Z624" s="147" t="str">
        <f t="shared" si="1248"/>
        <v/>
      </c>
    </row>
    <row r="625">
      <c r="A625" s="6" t="str">
        <f>IFERROR(__xludf.DUMMYFUNCTION("""COMPUTED_VALUE"""),"FM4221")</f>
        <v>FM4221</v>
      </c>
      <c r="B625" s="206">
        <f>IFERROR(__xludf.DUMMYFUNCTION("""COMPUTED_VALUE"""),44690.0)</f>
        <v>44690</v>
      </c>
      <c r="C625" s="207">
        <f>IFERROR(__xludf.DUMMYFUNCTION("""COMPUTED_VALUE"""),0.7195949074074074)</f>
        <v>0.7195949074</v>
      </c>
      <c r="D625" s="50"/>
      <c r="E625" s="58"/>
      <c r="F625" s="58"/>
      <c r="G625" s="58" t="str">
        <f>IFERROR(__xludf.DUMMYFUNCTION("""COMPUTED_VALUE"""),"Negative")</f>
        <v>Negative</v>
      </c>
      <c r="H625" s="206" t="str">
        <f>IFERROR(__xludf.DUMMYFUNCTION("""COMPUTED_VALUE"""),"Negative")</f>
        <v>Negative</v>
      </c>
      <c r="I625" s="207">
        <f>IFERROR(__xludf.DUMMYFUNCTION("""COMPUTED_VALUE"""),44690.0)</f>
        <v>44690</v>
      </c>
      <c r="J625" s="208">
        <f>IFERROR(__xludf.DUMMYFUNCTION("""COMPUTED_VALUE"""),0.7986921296296297)</f>
        <v>0.7986921296</v>
      </c>
      <c r="K625" s="50"/>
      <c r="L625" s="6"/>
      <c r="M625" s="55"/>
      <c r="N625" s="55">
        <f>IFERROR(__xludf.DUMMYFUNCTION("""COMPUTED_VALUE"""),1.0)</f>
        <v>1</v>
      </c>
      <c r="O625" s="55" t="str">
        <f t="shared" si="3"/>
        <v/>
      </c>
      <c r="P625" s="209"/>
      <c r="Q625" s="75" t="b">
        <f>VLOOKUP($B625,'Run Reconcile'!B$2:P1679,15,FALSE)</f>
        <v>1</v>
      </c>
      <c r="R625" s="211" t="str">
        <f t="array" ref="R625">IF($Q625, INDEX('Run Reconcile'!A$2:A1679,MATCH(B625,'Run Reconcile'!B$2:B1679,0),1),IFERROR(0/0,""))</f>
        <v>RUN-COMB_2022-05-09_RFR-035</v>
      </c>
      <c r="S625" s="165" t="str">
        <f t="shared" ref="S625:T625" si="1249">IF(COUNTIF(W$2:W1679, $A625) &gt; 0,TRUE,IFERROR(0/0,""))</f>
        <v/>
      </c>
      <c r="T625" s="165" t="str">
        <f t="shared" si="1249"/>
        <v/>
      </c>
      <c r="U625" s="147" t="str">
        <f t="array" ref="U625">IF(ISBLANK($R625), IF($S625,VLOOKUP($B625+1,'RFR Data - preExcl'!$BF$2:$BG1679,2,FALSE),IF($T625,INDEX('RFR Data - preExcl'!$BF$2:$BG1679,MATCH($B625,'RFR Data - preExcl'!$BF$2:$BF1679,0)+1,2),VLOOKUP($B625,'RFR Data - preExcl'!$BF$2:$BG1679,2,FALSE))),IFERROR(0/0,""))</f>
        <v/>
      </c>
      <c r="V625" s="212" t="str">
        <f t="shared" si="5"/>
        <v>RUN-COMB_2022-05-09_RFR-035</v>
      </c>
      <c r="W625" s="51"/>
      <c r="X625" s="51"/>
      <c r="Y625" s="147" t="str">
        <f t="shared" ref="Y625:Z625" si="1250">IF(_xlfn.ISFORMULA(S625),IFERROR(0/0,""),TRUE)</f>
        <v/>
      </c>
      <c r="Z625" s="147" t="str">
        <f t="shared" si="1250"/>
        <v/>
      </c>
    </row>
    <row r="626">
      <c r="A626" s="6" t="str">
        <f>IFERROR(__xludf.DUMMYFUNCTION("""COMPUTED_VALUE"""),"FM4162")</f>
        <v>FM4162</v>
      </c>
      <c r="B626" s="206">
        <f>IFERROR(__xludf.DUMMYFUNCTION("""COMPUTED_VALUE"""),44690.0)</f>
        <v>44690</v>
      </c>
      <c r="C626" s="207">
        <f>IFERROR(__xludf.DUMMYFUNCTION("""COMPUTED_VALUE"""),0.7202314814814815)</f>
        <v>0.7202314815</v>
      </c>
      <c r="D626" s="50"/>
      <c r="E626" s="58"/>
      <c r="F626" s="58"/>
      <c r="G626" s="58" t="str">
        <f>IFERROR(__xludf.DUMMYFUNCTION("""COMPUTED_VALUE"""),"Negative")</f>
        <v>Negative</v>
      </c>
      <c r="H626" s="206" t="str">
        <f>IFERROR(__xludf.DUMMYFUNCTION("""COMPUTED_VALUE"""),"Negative")</f>
        <v>Negative</v>
      </c>
      <c r="I626" s="207">
        <f>IFERROR(__xludf.DUMMYFUNCTION("""COMPUTED_VALUE"""),44690.0)</f>
        <v>44690</v>
      </c>
      <c r="J626" s="208">
        <f>IFERROR(__xludf.DUMMYFUNCTION("""COMPUTED_VALUE"""),0.7987037037037037)</f>
        <v>0.7987037037</v>
      </c>
      <c r="K626" s="50"/>
      <c r="L626" s="6"/>
      <c r="M626" s="55"/>
      <c r="N626" s="55">
        <f>IFERROR(__xludf.DUMMYFUNCTION("""COMPUTED_VALUE"""),1.0)</f>
        <v>1</v>
      </c>
      <c r="O626" s="55" t="str">
        <f t="shared" si="3"/>
        <v/>
      </c>
      <c r="P626" s="209"/>
      <c r="Q626" s="75" t="b">
        <f>VLOOKUP($B626,'Run Reconcile'!B$2:P1679,15,FALSE)</f>
        <v>1</v>
      </c>
      <c r="R626" s="211" t="str">
        <f t="array" ref="R626">IF($Q626, INDEX('Run Reconcile'!A$2:A1679,MATCH(B626,'Run Reconcile'!B$2:B1679,0),1),IFERROR(0/0,""))</f>
        <v>RUN-COMB_2022-05-09_RFR-035</v>
      </c>
      <c r="S626" s="165" t="str">
        <f t="shared" ref="S626:T626" si="1251">IF(COUNTIF(W$2:W1679, $A626) &gt; 0,TRUE,IFERROR(0/0,""))</f>
        <v/>
      </c>
      <c r="T626" s="165" t="str">
        <f t="shared" si="1251"/>
        <v/>
      </c>
      <c r="U626" s="147" t="str">
        <f t="array" ref="U626">IF(ISBLANK($R626), IF($S626,VLOOKUP($B626+1,'RFR Data - preExcl'!$BF$2:$BG1679,2,FALSE),IF($T626,INDEX('RFR Data - preExcl'!$BF$2:$BG1679,MATCH($B626,'RFR Data - preExcl'!$BF$2:$BF1679,0)+1,2),VLOOKUP($B626,'RFR Data - preExcl'!$BF$2:$BG1679,2,FALSE))),IFERROR(0/0,""))</f>
        <v/>
      </c>
      <c r="V626" s="212" t="str">
        <f t="shared" si="5"/>
        <v>RUN-COMB_2022-05-09_RFR-035</v>
      </c>
      <c r="W626" s="51"/>
      <c r="X626" s="51"/>
      <c r="Y626" s="147" t="str">
        <f t="shared" ref="Y626:Z626" si="1252">IF(_xlfn.ISFORMULA(S626),IFERROR(0/0,""),TRUE)</f>
        <v/>
      </c>
      <c r="Z626" s="147" t="str">
        <f t="shared" si="1252"/>
        <v/>
      </c>
    </row>
    <row r="627">
      <c r="A627" s="6" t="str">
        <f>IFERROR(__xludf.DUMMYFUNCTION("""COMPUTED_VALUE"""),"FM4183")</f>
        <v>FM4183</v>
      </c>
      <c r="B627" s="206">
        <f>IFERROR(__xludf.DUMMYFUNCTION("""COMPUTED_VALUE"""),44690.0)</f>
        <v>44690</v>
      </c>
      <c r="C627" s="207">
        <f>IFERROR(__xludf.DUMMYFUNCTION("""COMPUTED_VALUE"""),0.7212268518518519)</f>
        <v>0.7212268519</v>
      </c>
      <c r="D627" s="50"/>
      <c r="E627" s="58"/>
      <c r="F627" s="58"/>
      <c r="G627" s="58" t="str">
        <f>IFERROR(__xludf.DUMMYFUNCTION("""COMPUTED_VALUE"""),"Negative")</f>
        <v>Negative</v>
      </c>
      <c r="H627" s="206" t="str">
        <f>IFERROR(__xludf.DUMMYFUNCTION("""COMPUTED_VALUE"""),"Negative")</f>
        <v>Negative</v>
      </c>
      <c r="I627" s="207">
        <f>IFERROR(__xludf.DUMMYFUNCTION("""COMPUTED_VALUE"""),44690.0)</f>
        <v>44690</v>
      </c>
      <c r="J627" s="208">
        <f>IFERROR(__xludf.DUMMYFUNCTION("""COMPUTED_VALUE"""),0.7987152777777777)</f>
        <v>0.7987152778</v>
      </c>
      <c r="K627" s="50"/>
      <c r="L627" s="6"/>
      <c r="M627" s="55"/>
      <c r="N627" s="55">
        <f>IFERROR(__xludf.DUMMYFUNCTION("""COMPUTED_VALUE"""),1.0)</f>
        <v>1</v>
      </c>
      <c r="O627" s="55" t="str">
        <f t="shared" si="3"/>
        <v/>
      </c>
      <c r="P627" s="209"/>
      <c r="Q627" s="75" t="b">
        <f>VLOOKUP($B627,'Run Reconcile'!B$2:P1679,15,FALSE)</f>
        <v>1</v>
      </c>
      <c r="R627" s="211" t="str">
        <f t="array" ref="R627">IF($Q627, INDEX('Run Reconcile'!A$2:A1679,MATCH(B627,'Run Reconcile'!B$2:B1679,0),1),IFERROR(0/0,""))</f>
        <v>RUN-COMB_2022-05-09_RFR-035</v>
      </c>
      <c r="S627" s="165" t="str">
        <f t="shared" ref="S627:T627" si="1253">IF(COUNTIF(W$2:W1679, $A627) &gt; 0,TRUE,IFERROR(0/0,""))</f>
        <v/>
      </c>
      <c r="T627" s="165" t="str">
        <f t="shared" si="1253"/>
        <v/>
      </c>
      <c r="U627" s="147" t="str">
        <f t="array" ref="U627">IF(ISBLANK($R627), IF($S627,VLOOKUP($B627+1,'RFR Data - preExcl'!$BF$2:$BG1679,2,FALSE),IF($T627,INDEX('RFR Data - preExcl'!$BF$2:$BG1679,MATCH($B627,'RFR Data - preExcl'!$BF$2:$BF1679,0)+1,2),VLOOKUP($B627,'RFR Data - preExcl'!$BF$2:$BG1679,2,FALSE))),IFERROR(0/0,""))</f>
        <v/>
      </c>
      <c r="V627" s="212" t="str">
        <f t="shared" si="5"/>
        <v>RUN-COMB_2022-05-09_RFR-035</v>
      </c>
      <c r="W627" s="51"/>
      <c r="X627" s="51"/>
      <c r="Y627" s="147" t="str">
        <f t="shared" ref="Y627:Z627" si="1254">IF(_xlfn.ISFORMULA(S627),IFERROR(0/0,""),TRUE)</f>
        <v/>
      </c>
      <c r="Z627" s="147" t="str">
        <f t="shared" si="1254"/>
        <v/>
      </c>
    </row>
    <row r="628">
      <c r="A628" s="6" t="str">
        <f>IFERROR(__xludf.DUMMYFUNCTION("""COMPUTED_VALUE"""),"FM4209")</f>
        <v>FM4209</v>
      </c>
      <c r="B628" s="206">
        <f>IFERROR(__xludf.DUMMYFUNCTION("""COMPUTED_VALUE"""),44690.0)</f>
        <v>44690</v>
      </c>
      <c r="C628" s="207">
        <f>IFERROR(__xludf.DUMMYFUNCTION("""COMPUTED_VALUE"""),0.7220138888888888)</f>
        <v>0.7220138889</v>
      </c>
      <c r="D628" s="50"/>
      <c r="E628" s="58"/>
      <c r="F628" s="58"/>
      <c r="G628" s="58" t="str">
        <f>IFERROR(__xludf.DUMMYFUNCTION("""COMPUTED_VALUE"""),"Negative")</f>
        <v>Negative</v>
      </c>
      <c r="H628" s="206" t="str">
        <f>IFERROR(__xludf.DUMMYFUNCTION("""COMPUTED_VALUE"""),"Negative")</f>
        <v>Negative</v>
      </c>
      <c r="I628" s="207">
        <f>IFERROR(__xludf.DUMMYFUNCTION("""COMPUTED_VALUE"""),44690.0)</f>
        <v>44690</v>
      </c>
      <c r="J628" s="208">
        <f>IFERROR(__xludf.DUMMYFUNCTION("""COMPUTED_VALUE"""),0.7987268518518519)</f>
        <v>0.7987268519</v>
      </c>
      <c r="K628" s="50"/>
      <c r="L628" s="6"/>
      <c r="M628" s="55"/>
      <c r="N628" s="55">
        <f>IFERROR(__xludf.DUMMYFUNCTION("""COMPUTED_VALUE"""),1.0)</f>
        <v>1</v>
      </c>
      <c r="O628" s="55" t="str">
        <f t="shared" si="3"/>
        <v/>
      </c>
      <c r="P628" s="209"/>
      <c r="Q628" s="75" t="b">
        <f>VLOOKUP($B628,'Run Reconcile'!B$2:P1679,15,FALSE)</f>
        <v>1</v>
      </c>
      <c r="R628" s="211" t="str">
        <f t="array" ref="R628">IF($Q628, INDEX('Run Reconcile'!A$2:A1679,MATCH(B628,'Run Reconcile'!B$2:B1679,0),1),IFERROR(0/0,""))</f>
        <v>RUN-COMB_2022-05-09_RFR-035</v>
      </c>
      <c r="S628" s="165" t="str">
        <f t="shared" ref="S628:T628" si="1255">IF(COUNTIF(W$2:W1679, $A628) &gt; 0,TRUE,IFERROR(0/0,""))</f>
        <v/>
      </c>
      <c r="T628" s="165" t="str">
        <f t="shared" si="1255"/>
        <v/>
      </c>
      <c r="U628" s="147" t="str">
        <f t="array" ref="U628">IF(ISBLANK($R628), IF($S628,VLOOKUP($B628+1,'RFR Data - preExcl'!$BF$2:$BG1679,2,FALSE),IF($T628,INDEX('RFR Data - preExcl'!$BF$2:$BG1679,MATCH($B628,'RFR Data - preExcl'!$BF$2:$BF1679,0)+1,2),VLOOKUP($B628,'RFR Data - preExcl'!$BF$2:$BG1679,2,FALSE))),IFERROR(0/0,""))</f>
        <v/>
      </c>
      <c r="V628" s="212" t="str">
        <f t="shared" si="5"/>
        <v>RUN-COMB_2022-05-09_RFR-035</v>
      </c>
      <c r="W628" s="51"/>
      <c r="X628" s="51"/>
      <c r="Y628" s="147" t="str">
        <f t="shared" ref="Y628:Z628" si="1256">IF(_xlfn.ISFORMULA(S628),IFERROR(0/0,""),TRUE)</f>
        <v/>
      </c>
      <c r="Z628" s="147" t="str">
        <f t="shared" si="1256"/>
        <v/>
      </c>
    </row>
    <row r="629">
      <c r="A629" s="6" t="str">
        <f>IFERROR(__xludf.DUMMYFUNCTION("""COMPUTED_VALUE"""),"FM4201")</f>
        <v>FM4201</v>
      </c>
      <c r="B629" s="206">
        <f>IFERROR(__xludf.DUMMYFUNCTION("""COMPUTED_VALUE"""),44690.0)</f>
        <v>44690</v>
      </c>
      <c r="C629" s="207">
        <f>IFERROR(__xludf.DUMMYFUNCTION("""COMPUTED_VALUE"""),0.7227777777777777)</f>
        <v>0.7227777778</v>
      </c>
      <c r="D629" s="50"/>
      <c r="E629" s="58"/>
      <c r="F629" s="58"/>
      <c r="G629" s="58" t="str">
        <f>IFERROR(__xludf.DUMMYFUNCTION("""COMPUTED_VALUE"""),"Negative")</f>
        <v>Negative</v>
      </c>
      <c r="H629" s="206" t="str">
        <f>IFERROR(__xludf.DUMMYFUNCTION("""COMPUTED_VALUE"""),"Negative")</f>
        <v>Negative</v>
      </c>
      <c r="I629" s="207">
        <f>IFERROR(__xludf.DUMMYFUNCTION("""COMPUTED_VALUE"""),44690.0)</f>
        <v>44690</v>
      </c>
      <c r="J629" s="208">
        <f>IFERROR(__xludf.DUMMYFUNCTION("""COMPUTED_VALUE"""),0.7987384259259259)</f>
        <v>0.7987384259</v>
      </c>
      <c r="K629" s="50"/>
      <c r="L629" s="6"/>
      <c r="M629" s="55"/>
      <c r="N629" s="55">
        <f>IFERROR(__xludf.DUMMYFUNCTION("""COMPUTED_VALUE"""),1.0)</f>
        <v>1</v>
      </c>
      <c r="O629" s="55" t="str">
        <f t="shared" si="3"/>
        <v/>
      </c>
      <c r="P629" s="209"/>
      <c r="Q629" s="75" t="b">
        <f>VLOOKUP($B629,'Run Reconcile'!B$2:P1679,15,FALSE)</f>
        <v>1</v>
      </c>
      <c r="R629" s="211" t="str">
        <f t="array" ref="R629">IF($Q629, INDEX('Run Reconcile'!A$2:A1679,MATCH(B629,'Run Reconcile'!B$2:B1679,0),1),IFERROR(0/0,""))</f>
        <v>RUN-COMB_2022-05-09_RFR-035</v>
      </c>
      <c r="S629" s="165" t="str">
        <f t="shared" ref="S629:T629" si="1257">IF(COUNTIF(W$2:W1679, $A629) &gt; 0,TRUE,IFERROR(0/0,""))</f>
        <v/>
      </c>
      <c r="T629" s="165" t="str">
        <f t="shared" si="1257"/>
        <v/>
      </c>
      <c r="U629" s="147" t="str">
        <f t="array" ref="U629">IF(ISBLANK($R629), IF($S629,VLOOKUP($B629+1,'RFR Data - preExcl'!$BF$2:$BG1679,2,FALSE),IF($T629,INDEX('RFR Data - preExcl'!$BF$2:$BG1679,MATCH($B629,'RFR Data - preExcl'!$BF$2:$BF1679,0)+1,2),VLOOKUP($B629,'RFR Data - preExcl'!$BF$2:$BG1679,2,FALSE))),IFERROR(0/0,""))</f>
        <v/>
      </c>
      <c r="V629" s="212" t="str">
        <f t="shared" si="5"/>
        <v>RUN-COMB_2022-05-09_RFR-035</v>
      </c>
      <c r="W629" s="51"/>
      <c r="X629" s="51"/>
      <c r="Y629" s="147" t="str">
        <f t="shared" ref="Y629:Z629" si="1258">IF(_xlfn.ISFORMULA(S629),IFERROR(0/0,""),TRUE)</f>
        <v/>
      </c>
      <c r="Z629" s="147" t="str">
        <f t="shared" si="1258"/>
        <v/>
      </c>
    </row>
    <row r="630">
      <c r="A630" s="6" t="str">
        <f>IFERROR(__xludf.DUMMYFUNCTION("""COMPUTED_VALUE"""),"FM4172")</f>
        <v>FM4172</v>
      </c>
      <c r="B630" s="206">
        <f>IFERROR(__xludf.DUMMYFUNCTION("""COMPUTED_VALUE"""),44690.0)</f>
        <v>44690</v>
      </c>
      <c r="C630" s="207">
        <f>IFERROR(__xludf.DUMMYFUNCTION("""COMPUTED_VALUE"""),0.7233912037037037)</f>
        <v>0.7233912037</v>
      </c>
      <c r="D630" s="50"/>
      <c r="E630" s="58"/>
      <c r="F630" s="58"/>
      <c r="G630" s="58" t="str">
        <f>IFERROR(__xludf.DUMMYFUNCTION("""COMPUTED_VALUE"""),"Negative")</f>
        <v>Negative</v>
      </c>
      <c r="H630" s="206" t="str">
        <f>IFERROR(__xludf.DUMMYFUNCTION("""COMPUTED_VALUE"""),"Negative")</f>
        <v>Negative</v>
      </c>
      <c r="I630" s="207">
        <f>IFERROR(__xludf.DUMMYFUNCTION("""COMPUTED_VALUE"""),44690.0)</f>
        <v>44690</v>
      </c>
      <c r="J630" s="208">
        <f>IFERROR(__xludf.DUMMYFUNCTION("""COMPUTED_VALUE"""),0.7987384259259259)</f>
        <v>0.7987384259</v>
      </c>
      <c r="K630" s="50"/>
      <c r="L630" s="6"/>
      <c r="M630" s="55"/>
      <c r="N630" s="55">
        <f>IFERROR(__xludf.DUMMYFUNCTION("""COMPUTED_VALUE"""),1.0)</f>
        <v>1</v>
      </c>
      <c r="O630" s="55" t="str">
        <f t="shared" si="3"/>
        <v/>
      </c>
      <c r="P630" s="209"/>
      <c r="Q630" s="75" t="b">
        <f>VLOOKUP($B630,'Run Reconcile'!B$2:P1679,15,FALSE)</f>
        <v>1</v>
      </c>
      <c r="R630" s="211" t="str">
        <f t="array" ref="R630">IF($Q630, INDEX('Run Reconcile'!A$2:A1679,MATCH(B630,'Run Reconcile'!B$2:B1679,0),1),IFERROR(0/0,""))</f>
        <v>RUN-COMB_2022-05-09_RFR-035</v>
      </c>
      <c r="S630" s="165" t="str">
        <f t="shared" ref="S630:T630" si="1259">IF(COUNTIF(W$2:W1679, $A630) &gt; 0,TRUE,IFERROR(0/0,""))</f>
        <v/>
      </c>
      <c r="T630" s="165" t="str">
        <f t="shared" si="1259"/>
        <v/>
      </c>
      <c r="U630" s="147" t="str">
        <f t="array" ref="U630">IF(ISBLANK($R630), IF($S630,VLOOKUP($B630+1,'RFR Data - preExcl'!$BF$2:$BG1679,2,FALSE),IF($T630,INDEX('RFR Data - preExcl'!$BF$2:$BG1679,MATCH($B630,'RFR Data - preExcl'!$BF$2:$BF1679,0)+1,2),VLOOKUP($B630,'RFR Data - preExcl'!$BF$2:$BG1679,2,FALSE))),IFERROR(0/0,""))</f>
        <v/>
      </c>
      <c r="V630" s="212" t="str">
        <f t="shared" si="5"/>
        <v>RUN-COMB_2022-05-09_RFR-035</v>
      </c>
      <c r="W630" s="51"/>
      <c r="X630" s="51"/>
      <c r="Y630" s="147" t="str">
        <f t="shared" ref="Y630:Z630" si="1260">IF(_xlfn.ISFORMULA(S630),IFERROR(0/0,""),TRUE)</f>
        <v/>
      </c>
      <c r="Z630" s="147" t="str">
        <f t="shared" si="1260"/>
        <v/>
      </c>
    </row>
    <row r="631">
      <c r="A631" s="6" t="str">
        <f>IFERROR(__xludf.DUMMYFUNCTION("""COMPUTED_VALUE"""),"FM4169")</f>
        <v>FM4169</v>
      </c>
      <c r="B631" s="206">
        <f>IFERROR(__xludf.DUMMYFUNCTION("""COMPUTED_VALUE"""),44690.0)</f>
        <v>44690</v>
      </c>
      <c r="C631" s="207">
        <f>IFERROR(__xludf.DUMMYFUNCTION("""COMPUTED_VALUE"""),0.7240393518518519)</f>
        <v>0.7240393519</v>
      </c>
      <c r="D631" s="50"/>
      <c r="E631" s="58"/>
      <c r="F631" s="58"/>
      <c r="G631" s="58" t="str">
        <f>IFERROR(__xludf.DUMMYFUNCTION("""COMPUTED_VALUE"""),"Negative")</f>
        <v>Negative</v>
      </c>
      <c r="H631" s="206" t="str">
        <f>IFERROR(__xludf.DUMMYFUNCTION("""COMPUTED_VALUE"""),"Negative")</f>
        <v>Negative</v>
      </c>
      <c r="I631" s="207">
        <f>IFERROR(__xludf.DUMMYFUNCTION("""COMPUTED_VALUE"""),44690.0)</f>
        <v>44690</v>
      </c>
      <c r="J631" s="208">
        <f>IFERROR(__xludf.DUMMYFUNCTION("""COMPUTED_VALUE"""),0.79875)</f>
        <v>0.79875</v>
      </c>
      <c r="K631" s="50"/>
      <c r="L631" s="6"/>
      <c r="M631" s="55"/>
      <c r="N631" s="55">
        <f>IFERROR(__xludf.DUMMYFUNCTION("""COMPUTED_VALUE"""),1.0)</f>
        <v>1</v>
      </c>
      <c r="O631" s="55" t="str">
        <f t="shared" si="3"/>
        <v/>
      </c>
      <c r="P631" s="209"/>
      <c r="Q631" s="75" t="b">
        <f>VLOOKUP($B631,'Run Reconcile'!B$2:P1679,15,FALSE)</f>
        <v>1</v>
      </c>
      <c r="R631" s="211" t="str">
        <f t="array" ref="R631">IF($Q631, INDEX('Run Reconcile'!A$2:A1679,MATCH(B631,'Run Reconcile'!B$2:B1679,0),1),IFERROR(0/0,""))</f>
        <v>RUN-COMB_2022-05-09_RFR-035</v>
      </c>
      <c r="S631" s="165" t="str">
        <f t="shared" ref="S631:T631" si="1261">IF(COUNTIF(W$2:W1679, $A631) &gt; 0,TRUE,IFERROR(0/0,""))</f>
        <v/>
      </c>
      <c r="T631" s="165" t="str">
        <f t="shared" si="1261"/>
        <v/>
      </c>
      <c r="U631" s="147" t="str">
        <f t="array" ref="U631">IF(ISBLANK($R631), IF($S631,VLOOKUP($B631+1,'RFR Data - preExcl'!$BF$2:$BG1679,2,FALSE),IF($T631,INDEX('RFR Data - preExcl'!$BF$2:$BG1679,MATCH($B631,'RFR Data - preExcl'!$BF$2:$BF1679,0)+1,2),VLOOKUP($B631,'RFR Data - preExcl'!$BF$2:$BG1679,2,FALSE))),IFERROR(0/0,""))</f>
        <v/>
      </c>
      <c r="V631" s="212" t="str">
        <f t="shared" si="5"/>
        <v>RUN-COMB_2022-05-09_RFR-035</v>
      </c>
      <c r="W631" s="51"/>
      <c r="X631" s="51"/>
      <c r="Y631" s="147" t="str">
        <f t="shared" ref="Y631:Z631" si="1262">IF(_xlfn.ISFORMULA(S631),IFERROR(0/0,""),TRUE)</f>
        <v/>
      </c>
      <c r="Z631" s="147" t="str">
        <f t="shared" si="1262"/>
        <v/>
      </c>
    </row>
    <row r="632">
      <c r="A632" s="6" t="str">
        <f>IFERROR(__xludf.DUMMYFUNCTION("""COMPUTED_VALUE"""),"FM4226")</f>
        <v>FM4226</v>
      </c>
      <c r="B632" s="206">
        <f>IFERROR(__xludf.DUMMYFUNCTION("""COMPUTED_VALUE"""),44690.0)</f>
        <v>44690</v>
      </c>
      <c r="C632" s="207">
        <f>IFERROR(__xludf.DUMMYFUNCTION("""COMPUTED_VALUE"""),0.7246296296296296)</f>
        <v>0.7246296296</v>
      </c>
      <c r="D632" s="50"/>
      <c r="E632" s="58"/>
      <c r="F632" s="58"/>
      <c r="G632" s="58" t="str">
        <f>IFERROR(__xludf.DUMMYFUNCTION("""COMPUTED_VALUE"""),"Negative")</f>
        <v>Negative</v>
      </c>
      <c r="H632" s="206" t="str">
        <f>IFERROR(__xludf.DUMMYFUNCTION("""COMPUTED_VALUE"""),"Negative")</f>
        <v>Negative</v>
      </c>
      <c r="I632" s="207">
        <f>IFERROR(__xludf.DUMMYFUNCTION("""COMPUTED_VALUE"""),44690.0)</f>
        <v>44690</v>
      </c>
      <c r="J632" s="208">
        <f>IFERROR(__xludf.DUMMYFUNCTION("""COMPUTED_VALUE"""),0.7987615740740741)</f>
        <v>0.7987615741</v>
      </c>
      <c r="K632" s="50"/>
      <c r="L632" s="6"/>
      <c r="M632" s="55"/>
      <c r="N632" s="55">
        <f>IFERROR(__xludf.DUMMYFUNCTION("""COMPUTED_VALUE"""),1.0)</f>
        <v>1</v>
      </c>
      <c r="O632" s="55" t="str">
        <f t="shared" si="3"/>
        <v/>
      </c>
      <c r="P632" s="209"/>
      <c r="Q632" s="75" t="b">
        <f>VLOOKUP($B632,'Run Reconcile'!B$2:P1679,15,FALSE)</f>
        <v>1</v>
      </c>
      <c r="R632" s="211" t="str">
        <f t="array" ref="R632">IF($Q632, INDEX('Run Reconcile'!A$2:A1679,MATCH(B632,'Run Reconcile'!B$2:B1679,0),1),IFERROR(0/0,""))</f>
        <v>RUN-COMB_2022-05-09_RFR-035</v>
      </c>
      <c r="S632" s="165" t="str">
        <f t="shared" ref="S632:T632" si="1263">IF(COUNTIF(W$2:W1679, $A632) &gt; 0,TRUE,IFERROR(0/0,""))</f>
        <v/>
      </c>
      <c r="T632" s="165" t="str">
        <f t="shared" si="1263"/>
        <v/>
      </c>
      <c r="U632" s="147" t="str">
        <f t="array" ref="U632">IF(ISBLANK($R632), IF($S632,VLOOKUP($B632+1,'RFR Data - preExcl'!$BF$2:$BG1679,2,FALSE),IF($T632,INDEX('RFR Data - preExcl'!$BF$2:$BG1679,MATCH($B632,'RFR Data - preExcl'!$BF$2:$BF1679,0)+1,2),VLOOKUP($B632,'RFR Data - preExcl'!$BF$2:$BG1679,2,FALSE))),IFERROR(0/0,""))</f>
        <v/>
      </c>
      <c r="V632" s="212" t="str">
        <f t="shared" si="5"/>
        <v>RUN-COMB_2022-05-09_RFR-035</v>
      </c>
      <c r="W632" s="51"/>
      <c r="X632" s="51"/>
      <c r="Y632" s="147" t="str">
        <f t="shared" ref="Y632:Z632" si="1264">IF(_xlfn.ISFORMULA(S632),IFERROR(0/0,""),TRUE)</f>
        <v/>
      </c>
      <c r="Z632" s="147" t="str">
        <f t="shared" si="1264"/>
        <v/>
      </c>
    </row>
    <row r="633">
      <c r="A633" s="6" t="str">
        <f>IFERROR(__xludf.DUMMYFUNCTION("""COMPUTED_VALUE"""),"FM4197")</f>
        <v>FM4197</v>
      </c>
      <c r="B633" s="206">
        <f>IFERROR(__xludf.DUMMYFUNCTION("""COMPUTED_VALUE"""),44690.0)</f>
        <v>44690</v>
      </c>
      <c r="C633" s="207">
        <f>IFERROR(__xludf.DUMMYFUNCTION("""COMPUTED_VALUE"""),0.732662037037037)</f>
        <v>0.732662037</v>
      </c>
      <c r="D633" s="50"/>
      <c r="E633" s="58"/>
      <c r="F633" s="58"/>
      <c r="G633" s="58" t="str">
        <f>IFERROR(__xludf.DUMMYFUNCTION("""COMPUTED_VALUE"""),"Negative")</f>
        <v>Negative</v>
      </c>
      <c r="H633" s="206" t="str">
        <f>IFERROR(__xludf.DUMMYFUNCTION("""COMPUTED_VALUE"""),"Negative")</f>
        <v>Negative</v>
      </c>
      <c r="I633" s="207">
        <f>IFERROR(__xludf.DUMMYFUNCTION("""COMPUTED_VALUE"""),44690.0)</f>
        <v>44690</v>
      </c>
      <c r="J633" s="208">
        <f>IFERROR(__xludf.DUMMYFUNCTION("""COMPUTED_VALUE"""),0.7987731481481481)</f>
        <v>0.7987731481</v>
      </c>
      <c r="K633" s="50"/>
      <c r="L633" s="6"/>
      <c r="M633" s="55"/>
      <c r="N633" s="55">
        <f>IFERROR(__xludf.DUMMYFUNCTION("""COMPUTED_VALUE"""),1.0)</f>
        <v>1</v>
      </c>
      <c r="O633" s="55" t="str">
        <f t="shared" si="3"/>
        <v/>
      </c>
      <c r="P633" s="209"/>
      <c r="Q633" s="75" t="b">
        <f>VLOOKUP($B633,'Run Reconcile'!B$2:P1679,15,FALSE)</f>
        <v>1</v>
      </c>
      <c r="R633" s="211" t="str">
        <f t="array" ref="R633">IF($Q633, INDEX('Run Reconcile'!A$2:A1679,MATCH(B633,'Run Reconcile'!B$2:B1679,0),1),IFERROR(0/0,""))</f>
        <v>RUN-COMB_2022-05-09_RFR-035</v>
      </c>
      <c r="S633" s="165" t="str">
        <f t="shared" ref="S633:T633" si="1265">IF(COUNTIF(W$2:W1679, $A633) &gt; 0,TRUE,IFERROR(0/0,""))</f>
        <v/>
      </c>
      <c r="T633" s="165" t="str">
        <f t="shared" si="1265"/>
        <v/>
      </c>
      <c r="U633" s="147" t="str">
        <f t="array" ref="U633">IF(ISBLANK($R633), IF($S633,VLOOKUP($B633+1,'RFR Data - preExcl'!$BF$2:$BG1679,2,FALSE),IF($T633,INDEX('RFR Data - preExcl'!$BF$2:$BG1679,MATCH($B633,'RFR Data - preExcl'!$BF$2:$BF1679,0)+1,2),VLOOKUP($B633,'RFR Data - preExcl'!$BF$2:$BG1679,2,FALSE))),IFERROR(0/0,""))</f>
        <v/>
      </c>
      <c r="V633" s="212" t="str">
        <f t="shared" si="5"/>
        <v>RUN-COMB_2022-05-09_RFR-035</v>
      </c>
      <c r="W633" s="51"/>
      <c r="X633" s="51"/>
      <c r="Y633" s="147" t="str">
        <f t="shared" ref="Y633:Z633" si="1266">IF(_xlfn.ISFORMULA(S633),IFERROR(0/0,""),TRUE)</f>
        <v/>
      </c>
      <c r="Z633" s="147" t="str">
        <f t="shared" si="1266"/>
        <v/>
      </c>
    </row>
    <row r="634">
      <c r="A634" s="6" t="str">
        <f>IFERROR(__xludf.DUMMYFUNCTION("""COMPUTED_VALUE"""),"FM4191")</f>
        <v>FM4191</v>
      </c>
      <c r="B634" s="206">
        <f>IFERROR(__xludf.DUMMYFUNCTION("""COMPUTED_VALUE"""),44690.0)</f>
        <v>44690</v>
      </c>
      <c r="C634" s="207">
        <f>IFERROR(__xludf.DUMMYFUNCTION("""COMPUTED_VALUE"""),0.738900462962963)</f>
        <v>0.738900463</v>
      </c>
      <c r="D634" s="50"/>
      <c r="E634" s="58"/>
      <c r="F634" s="58"/>
      <c r="G634" s="58" t="str">
        <f>IFERROR(__xludf.DUMMYFUNCTION("""COMPUTED_VALUE"""),"Negative")</f>
        <v>Negative</v>
      </c>
      <c r="H634" s="206" t="str">
        <f>IFERROR(__xludf.DUMMYFUNCTION("""COMPUTED_VALUE"""),"Negative")</f>
        <v>Negative</v>
      </c>
      <c r="I634" s="207">
        <f>IFERROR(__xludf.DUMMYFUNCTION("""COMPUTED_VALUE"""),44690.0)</f>
        <v>44690</v>
      </c>
      <c r="J634" s="208">
        <f>IFERROR(__xludf.DUMMYFUNCTION("""COMPUTED_VALUE"""),0.7987731481481481)</f>
        <v>0.7987731481</v>
      </c>
      <c r="K634" s="50"/>
      <c r="L634" s="6"/>
      <c r="M634" s="55"/>
      <c r="N634" s="55">
        <f>IFERROR(__xludf.DUMMYFUNCTION("""COMPUTED_VALUE"""),1.0)</f>
        <v>1</v>
      </c>
      <c r="O634" s="55" t="str">
        <f t="shared" si="3"/>
        <v/>
      </c>
      <c r="P634" s="209"/>
      <c r="Q634" s="75" t="b">
        <f>VLOOKUP($B634,'Run Reconcile'!B$2:P1679,15,FALSE)</f>
        <v>1</v>
      </c>
      <c r="R634" s="211" t="str">
        <f t="array" ref="R634">IF($Q634, INDEX('Run Reconcile'!A$2:A1679,MATCH(B634,'Run Reconcile'!B$2:B1679,0),1),IFERROR(0/0,""))</f>
        <v>RUN-COMB_2022-05-09_RFR-035</v>
      </c>
      <c r="S634" s="165" t="str">
        <f t="shared" ref="S634:T634" si="1267">IF(COUNTIF(W$2:W1679, $A634) &gt; 0,TRUE,IFERROR(0/0,""))</f>
        <v/>
      </c>
      <c r="T634" s="165" t="str">
        <f t="shared" si="1267"/>
        <v/>
      </c>
      <c r="U634" s="147" t="str">
        <f t="array" ref="U634">IF(ISBLANK($R634), IF($S634,VLOOKUP($B634+1,'RFR Data - preExcl'!$BF$2:$BG1679,2,FALSE),IF($T634,INDEX('RFR Data - preExcl'!$BF$2:$BG1679,MATCH($B634,'RFR Data - preExcl'!$BF$2:$BF1679,0)+1,2),VLOOKUP($B634,'RFR Data - preExcl'!$BF$2:$BG1679,2,FALSE))),IFERROR(0/0,""))</f>
        <v/>
      </c>
      <c r="V634" s="212" t="str">
        <f t="shared" si="5"/>
        <v>RUN-COMB_2022-05-09_RFR-035</v>
      </c>
      <c r="W634" s="51"/>
      <c r="X634" s="51"/>
      <c r="Y634" s="147" t="str">
        <f t="shared" ref="Y634:Z634" si="1268">IF(_xlfn.ISFORMULA(S634),IFERROR(0/0,""),TRUE)</f>
        <v/>
      </c>
      <c r="Z634" s="147" t="str">
        <f t="shared" si="1268"/>
        <v/>
      </c>
    </row>
    <row r="635">
      <c r="A635" s="6" t="str">
        <f>IFERROR(__xludf.DUMMYFUNCTION("""COMPUTED_VALUE"""),"FM4208")</f>
        <v>FM4208</v>
      </c>
      <c r="B635" s="206">
        <f>IFERROR(__xludf.DUMMYFUNCTION("""COMPUTED_VALUE"""),44690.0)</f>
        <v>44690</v>
      </c>
      <c r="C635" s="207">
        <f>IFERROR(__xludf.DUMMYFUNCTION("""COMPUTED_VALUE"""),0.7451736111111111)</f>
        <v>0.7451736111</v>
      </c>
      <c r="D635" s="50"/>
      <c r="E635" s="58"/>
      <c r="F635" s="58"/>
      <c r="G635" s="58" t="str">
        <f>IFERROR(__xludf.DUMMYFUNCTION("""COMPUTED_VALUE"""),"Negative")</f>
        <v>Negative</v>
      </c>
      <c r="H635" s="206" t="str">
        <f>IFERROR(__xludf.DUMMYFUNCTION("""COMPUTED_VALUE"""),"Negative")</f>
        <v>Negative</v>
      </c>
      <c r="I635" s="207">
        <f>IFERROR(__xludf.DUMMYFUNCTION("""COMPUTED_VALUE"""),44690.0)</f>
        <v>44690</v>
      </c>
      <c r="J635" s="208">
        <f>IFERROR(__xludf.DUMMYFUNCTION("""COMPUTED_VALUE"""),0.7987962962962963)</f>
        <v>0.7987962963</v>
      </c>
      <c r="K635" s="50"/>
      <c r="L635" s="6"/>
      <c r="M635" s="55"/>
      <c r="N635" s="55">
        <f>IFERROR(__xludf.DUMMYFUNCTION("""COMPUTED_VALUE"""),1.0)</f>
        <v>1</v>
      </c>
      <c r="O635" s="55" t="str">
        <f t="shared" si="3"/>
        <v/>
      </c>
      <c r="P635" s="209"/>
      <c r="Q635" s="75" t="b">
        <f>VLOOKUP($B635,'Run Reconcile'!B$2:P1679,15,FALSE)</f>
        <v>1</v>
      </c>
      <c r="R635" s="211" t="str">
        <f t="array" ref="R635">IF($Q635, INDEX('Run Reconcile'!A$2:A1679,MATCH(B635,'Run Reconcile'!B$2:B1679,0),1),IFERROR(0/0,""))</f>
        <v>RUN-COMB_2022-05-09_RFR-035</v>
      </c>
      <c r="S635" s="165" t="str">
        <f t="shared" ref="S635:T635" si="1269">IF(COUNTIF(W$2:W1679, $A635) &gt; 0,TRUE,IFERROR(0/0,""))</f>
        <v/>
      </c>
      <c r="T635" s="165" t="str">
        <f t="shared" si="1269"/>
        <v/>
      </c>
      <c r="U635" s="147" t="str">
        <f t="array" ref="U635">IF(ISBLANK($R635), IF($S635,VLOOKUP($B635+1,'RFR Data - preExcl'!$BF$2:$BG1679,2,FALSE),IF($T635,INDEX('RFR Data - preExcl'!$BF$2:$BG1679,MATCH($B635,'RFR Data - preExcl'!$BF$2:$BF1679,0)+1,2),VLOOKUP($B635,'RFR Data - preExcl'!$BF$2:$BG1679,2,FALSE))),IFERROR(0/0,""))</f>
        <v/>
      </c>
      <c r="V635" s="212" t="str">
        <f t="shared" si="5"/>
        <v>RUN-COMB_2022-05-09_RFR-035</v>
      </c>
      <c r="W635" s="51"/>
      <c r="X635" s="51"/>
      <c r="Y635" s="147" t="str">
        <f t="shared" ref="Y635:Z635" si="1270">IF(_xlfn.ISFORMULA(S635),IFERROR(0/0,""),TRUE)</f>
        <v/>
      </c>
      <c r="Z635" s="147" t="str">
        <f t="shared" si="1270"/>
        <v/>
      </c>
    </row>
    <row r="636">
      <c r="A636" s="6" t="str">
        <f>IFERROR(__xludf.DUMMYFUNCTION("""COMPUTED_VALUE"""),"FM4203")</f>
        <v>FM4203</v>
      </c>
      <c r="B636" s="206">
        <f>IFERROR(__xludf.DUMMYFUNCTION("""COMPUTED_VALUE"""),44690.0)</f>
        <v>44690</v>
      </c>
      <c r="C636" s="207">
        <f>IFERROR(__xludf.DUMMYFUNCTION("""COMPUTED_VALUE"""),0.7592129629629629)</f>
        <v>0.759212963</v>
      </c>
      <c r="D636" s="50"/>
      <c r="E636" s="58"/>
      <c r="F636" s="58"/>
      <c r="G636" s="58" t="str">
        <f>IFERROR(__xludf.DUMMYFUNCTION("""COMPUTED_VALUE"""),"Negative")</f>
        <v>Negative</v>
      </c>
      <c r="H636" s="206" t="str">
        <f>IFERROR(__xludf.DUMMYFUNCTION("""COMPUTED_VALUE"""),"Negative")</f>
        <v>Negative</v>
      </c>
      <c r="I636" s="207">
        <f>IFERROR(__xludf.DUMMYFUNCTION("""COMPUTED_VALUE"""),44690.0)</f>
        <v>44690</v>
      </c>
      <c r="J636" s="208">
        <f>IFERROR(__xludf.DUMMYFUNCTION("""COMPUTED_VALUE"""),0.7988078703703704)</f>
        <v>0.7988078704</v>
      </c>
      <c r="K636" s="50"/>
      <c r="L636" s="6"/>
      <c r="M636" s="55"/>
      <c r="N636" s="55">
        <f>IFERROR(__xludf.DUMMYFUNCTION("""COMPUTED_VALUE"""),1.0)</f>
        <v>1</v>
      </c>
      <c r="O636" s="55" t="str">
        <f t="shared" si="3"/>
        <v/>
      </c>
      <c r="P636" s="209"/>
      <c r="Q636" s="75" t="b">
        <f>VLOOKUP($B636,'Run Reconcile'!B$2:P1679,15,FALSE)</f>
        <v>1</v>
      </c>
      <c r="R636" s="211" t="str">
        <f t="array" ref="R636">IF($Q636, INDEX('Run Reconcile'!A$2:A1679,MATCH(B636,'Run Reconcile'!B$2:B1679,0),1),IFERROR(0/0,""))</f>
        <v>RUN-COMB_2022-05-09_RFR-035</v>
      </c>
      <c r="S636" s="165" t="str">
        <f t="shared" ref="S636:T636" si="1271">IF(COUNTIF(W$2:W1679, $A636) &gt; 0,TRUE,IFERROR(0/0,""))</f>
        <v/>
      </c>
      <c r="T636" s="165" t="str">
        <f t="shared" si="1271"/>
        <v/>
      </c>
      <c r="U636" s="147" t="str">
        <f t="array" ref="U636">IF(ISBLANK($R636), IF($S636,VLOOKUP($B636+1,'RFR Data - preExcl'!$BF$2:$BG1679,2,FALSE),IF($T636,INDEX('RFR Data - preExcl'!$BF$2:$BG1679,MATCH($B636,'RFR Data - preExcl'!$BF$2:$BF1679,0)+1,2),VLOOKUP($B636,'RFR Data - preExcl'!$BF$2:$BG1679,2,FALSE))),IFERROR(0/0,""))</f>
        <v/>
      </c>
      <c r="V636" s="212" t="str">
        <f t="shared" si="5"/>
        <v>RUN-COMB_2022-05-09_RFR-035</v>
      </c>
      <c r="W636" s="51"/>
      <c r="X636" s="51"/>
      <c r="Y636" s="147" t="str">
        <f t="shared" ref="Y636:Z636" si="1272">IF(_xlfn.ISFORMULA(S636),IFERROR(0/0,""),TRUE)</f>
        <v/>
      </c>
      <c r="Z636" s="147" t="str">
        <f t="shared" si="1272"/>
        <v/>
      </c>
    </row>
    <row r="637">
      <c r="A637" s="6" t="str">
        <f>IFERROR(__xludf.DUMMYFUNCTION("""COMPUTED_VALUE"""),"FM4166")</f>
        <v>FM4166</v>
      </c>
      <c r="B637" s="206">
        <f>IFERROR(__xludf.DUMMYFUNCTION("""COMPUTED_VALUE"""),44690.0)</f>
        <v>44690</v>
      </c>
      <c r="C637" s="207">
        <f>IFERROR(__xludf.DUMMYFUNCTION("""COMPUTED_VALUE"""),0.7607638888888889)</f>
        <v>0.7607638889</v>
      </c>
      <c r="D637" s="50"/>
      <c r="E637" s="58"/>
      <c r="F637" s="58"/>
      <c r="G637" s="58" t="str">
        <f>IFERROR(__xludf.DUMMYFUNCTION("""COMPUTED_VALUE"""),"Negative")</f>
        <v>Negative</v>
      </c>
      <c r="H637" s="206" t="str">
        <f>IFERROR(__xludf.DUMMYFUNCTION("""COMPUTED_VALUE"""),"Negative")</f>
        <v>Negative</v>
      </c>
      <c r="I637" s="207">
        <f>IFERROR(__xludf.DUMMYFUNCTION("""COMPUTED_VALUE"""),44690.0)</f>
        <v>44690</v>
      </c>
      <c r="J637" s="208">
        <f>IFERROR(__xludf.DUMMYFUNCTION("""COMPUTED_VALUE"""),0.7988310185185186)</f>
        <v>0.7988310185</v>
      </c>
      <c r="K637" s="50"/>
      <c r="L637" s="6"/>
      <c r="M637" s="55"/>
      <c r="N637" s="55">
        <f>IFERROR(__xludf.DUMMYFUNCTION("""COMPUTED_VALUE"""),1.0)</f>
        <v>1</v>
      </c>
      <c r="O637" s="55" t="str">
        <f t="shared" si="3"/>
        <v/>
      </c>
      <c r="P637" s="209"/>
      <c r="Q637" s="75" t="b">
        <f>VLOOKUP($B637,'Run Reconcile'!B$2:P1679,15,FALSE)</f>
        <v>1</v>
      </c>
      <c r="R637" s="211" t="str">
        <f t="array" ref="R637">IF($Q637, INDEX('Run Reconcile'!A$2:A1679,MATCH(B637,'Run Reconcile'!B$2:B1679,0),1),IFERROR(0/0,""))</f>
        <v>RUN-COMB_2022-05-09_RFR-035</v>
      </c>
      <c r="S637" s="165" t="str">
        <f t="shared" ref="S637:T637" si="1273">IF(COUNTIF(W$2:W1679, $A637) &gt; 0,TRUE,IFERROR(0/0,""))</f>
        <v/>
      </c>
      <c r="T637" s="165" t="str">
        <f t="shared" si="1273"/>
        <v/>
      </c>
      <c r="U637" s="147" t="str">
        <f t="array" ref="U637">IF(ISBLANK($R637), IF($S637,VLOOKUP($B637+1,'RFR Data - preExcl'!$BF$2:$BG1679,2,FALSE),IF($T637,INDEX('RFR Data - preExcl'!$BF$2:$BG1679,MATCH($B637,'RFR Data - preExcl'!$BF$2:$BF1679,0)+1,2),VLOOKUP($B637,'RFR Data - preExcl'!$BF$2:$BG1679,2,FALSE))),IFERROR(0/0,""))</f>
        <v/>
      </c>
      <c r="V637" s="212" t="str">
        <f t="shared" si="5"/>
        <v>RUN-COMB_2022-05-09_RFR-035</v>
      </c>
      <c r="W637" s="51"/>
      <c r="X637" s="51"/>
      <c r="Y637" s="147" t="str">
        <f t="shared" ref="Y637:Z637" si="1274">IF(_xlfn.ISFORMULA(S637),IFERROR(0/0,""),TRUE)</f>
        <v/>
      </c>
      <c r="Z637" s="147" t="str">
        <f t="shared" si="1274"/>
        <v/>
      </c>
    </row>
    <row r="638">
      <c r="A638" s="6" t="str">
        <f>IFERROR(__xludf.DUMMYFUNCTION("""COMPUTED_VALUE"""),"FM4200")</f>
        <v>FM4200</v>
      </c>
      <c r="B638" s="206">
        <f>IFERROR(__xludf.DUMMYFUNCTION("""COMPUTED_VALUE"""),44690.0)</f>
        <v>44690</v>
      </c>
      <c r="C638" s="207">
        <f>IFERROR(__xludf.DUMMYFUNCTION("""COMPUTED_VALUE"""),0.7772569444444445)</f>
        <v>0.7772569444</v>
      </c>
      <c r="D638" s="50"/>
      <c r="E638" s="58"/>
      <c r="F638" s="58"/>
      <c r="G638" s="58" t="str">
        <f>IFERROR(__xludf.DUMMYFUNCTION("""COMPUTED_VALUE"""),"Negative")</f>
        <v>Negative</v>
      </c>
      <c r="H638" s="206" t="str">
        <f>IFERROR(__xludf.DUMMYFUNCTION("""COMPUTED_VALUE"""),"Negative")</f>
        <v>Negative</v>
      </c>
      <c r="I638" s="207">
        <f>IFERROR(__xludf.DUMMYFUNCTION("""COMPUTED_VALUE"""),44690.0)</f>
        <v>44690</v>
      </c>
      <c r="J638" s="208">
        <f>IFERROR(__xludf.DUMMYFUNCTION("""COMPUTED_VALUE"""),0.7988541666666666)</f>
        <v>0.7988541667</v>
      </c>
      <c r="K638" s="50"/>
      <c r="L638" s="6"/>
      <c r="M638" s="55"/>
      <c r="N638" s="55">
        <f>IFERROR(__xludf.DUMMYFUNCTION("""COMPUTED_VALUE"""),1.0)</f>
        <v>1</v>
      </c>
      <c r="O638" s="55" t="str">
        <f t="shared" si="3"/>
        <v/>
      </c>
      <c r="P638" s="209"/>
      <c r="Q638" s="75" t="b">
        <f>VLOOKUP($B638,'Run Reconcile'!B$2:P1679,15,FALSE)</f>
        <v>1</v>
      </c>
      <c r="R638" s="211" t="str">
        <f t="array" ref="R638">IF($Q638, INDEX('Run Reconcile'!A$2:A1679,MATCH(B638,'Run Reconcile'!B$2:B1679,0),1),IFERROR(0/0,""))</f>
        <v>RUN-COMB_2022-05-09_RFR-035</v>
      </c>
      <c r="S638" s="165" t="str">
        <f t="shared" ref="S638:T638" si="1275">IF(COUNTIF(W$2:W1679, $A638) &gt; 0,TRUE,IFERROR(0/0,""))</f>
        <v/>
      </c>
      <c r="T638" s="165" t="str">
        <f t="shared" si="1275"/>
        <v/>
      </c>
      <c r="U638" s="147" t="str">
        <f t="array" ref="U638">IF(ISBLANK($R638), IF($S638,VLOOKUP($B638+1,'RFR Data - preExcl'!$BF$2:$BG1679,2,FALSE),IF($T638,INDEX('RFR Data - preExcl'!$BF$2:$BG1679,MATCH($B638,'RFR Data - preExcl'!$BF$2:$BF1679,0)+1,2),VLOOKUP($B638,'RFR Data - preExcl'!$BF$2:$BG1679,2,FALSE))),IFERROR(0/0,""))</f>
        <v/>
      </c>
      <c r="V638" s="212" t="str">
        <f t="shared" si="5"/>
        <v>RUN-COMB_2022-05-09_RFR-035</v>
      </c>
      <c r="W638" s="51"/>
      <c r="X638" s="51"/>
      <c r="Y638" s="147" t="str">
        <f t="shared" ref="Y638:Z638" si="1276">IF(_xlfn.ISFORMULA(S638),IFERROR(0/0,""),TRUE)</f>
        <v/>
      </c>
      <c r="Z638" s="147" t="str">
        <f t="shared" si="1276"/>
        <v/>
      </c>
    </row>
    <row r="639">
      <c r="A639" s="6" t="str">
        <f>IFERROR(__xludf.DUMMYFUNCTION("""COMPUTED_VALUE"""),"FM4149")</f>
        <v>FM4149</v>
      </c>
      <c r="B639" s="206">
        <f>IFERROR(__xludf.DUMMYFUNCTION("""COMPUTED_VALUE"""),44690.0)</f>
        <v>44690</v>
      </c>
      <c r="C639" s="207">
        <f>IFERROR(__xludf.DUMMYFUNCTION("""COMPUTED_VALUE"""),0.7777430555555556)</f>
        <v>0.7777430556</v>
      </c>
      <c r="D639" s="50"/>
      <c r="E639" s="58"/>
      <c r="F639" s="58"/>
      <c r="G639" s="58" t="str">
        <f>IFERROR(__xludf.DUMMYFUNCTION("""COMPUTED_VALUE"""),"Negative")</f>
        <v>Negative</v>
      </c>
      <c r="H639" s="206" t="str">
        <f>IFERROR(__xludf.DUMMYFUNCTION("""COMPUTED_VALUE"""),"Negative")</f>
        <v>Negative</v>
      </c>
      <c r="I639" s="207">
        <f>IFERROR(__xludf.DUMMYFUNCTION("""COMPUTED_VALUE"""),44690.0)</f>
        <v>44690</v>
      </c>
      <c r="J639" s="208">
        <f>IFERROR(__xludf.DUMMYFUNCTION("""COMPUTED_VALUE"""),0.7988888888888889)</f>
        <v>0.7988888889</v>
      </c>
      <c r="K639" s="50"/>
      <c r="L639" s="6"/>
      <c r="M639" s="55"/>
      <c r="N639" s="55">
        <f>IFERROR(__xludf.DUMMYFUNCTION("""COMPUTED_VALUE"""),1.0)</f>
        <v>1</v>
      </c>
      <c r="O639" s="55" t="str">
        <f t="shared" si="3"/>
        <v/>
      </c>
      <c r="P639" s="209"/>
      <c r="Q639" s="75" t="b">
        <f>VLOOKUP($B639,'Run Reconcile'!B$2:P1679,15,FALSE)</f>
        <v>1</v>
      </c>
      <c r="R639" s="211" t="str">
        <f t="array" ref="R639">IF($Q639, INDEX('Run Reconcile'!A$2:A1679,MATCH(B639,'Run Reconcile'!B$2:B1679,0),1),IFERROR(0/0,""))</f>
        <v>RUN-COMB_2022-05-09_RFR-035</v>
      </c>
      <c r="S639" s="165" t="str">
        <f t="shared" ref="S639:T639" si="1277">IF(COUNTIF(W$2:W1679, $A639) &gt; 0,TRUE,IFERROR(0/0,""))</f>
        <v/>
      </c>
      <c r="T639" s="165" t="str">
        <f t="shared" si="1277"/>
        <v/>
      </c>
      <c r="U639" s="147" t="str">
        <f t="array" ref="U639">IF(ISBLANK($R639), IF($S639,VLOOKUP($B639+1,'RFR Data - preExcl'!$BF$2:$BG1679,2,FALSE),IF($T639,INDEX('RFR Data - preExcl'!$BF$2:$BG1679,MATCH($B639,'RFR Data - preExcl'!$BF$2:$BF1679,0)+1,2),VLOOKUP($B639,'RFR Data - preExcl'!$BF$2:$BG1679,2,FALSE))),IFERROR(0/0,""))</f>
        <v/>
      </c>
      <c r="V639" s="212" t="str">
        <f t="shared" si="5"/>
        <v>RUN-COMB_2022-05-09_RFR-035</v>
      </c>
      <c r="W639" s="51"/>
      <c r="X639" s="51"/>
      <c r="Y639" s="147" t="str">
        <f t="shared" ref="Y639:Z639" si="1278">IF(_xlfn.ISFORMULA(S639),IFERROR(0/0,""),TRUE)</f>
        <v/>
      </c>
      <c r="Z639" s="147" t="str">
        <f t="shared" si="1278"/>
        <v/>
      </c>
    </row>
    <row r="640">
      <c r="A640" s="6" t="str">
        <f>IFERROR(__xludf.DUMMYFUNCTION("""COMPUTED_VALUE"""),"FM2329")</f>
        <v>FM2329</v>
      </c>
      <c r="B640" s="206">
        <f>IFERROR(__xludf.DUMMYFUNCTION("""COMPUTED_VALUE"""),44691.0)</f>
        <v>44691</v>
      </c>
      <c r="C640" s="207">
        <f>IFERROR(__xludf.DUMMYFUNCTION("""COMPUTED_VALUE"""),0.2585300925925926)</f>
        <v>0.2585300926</v>
      </c>
      <c r="D640" s="50"/>
      <c r="E640" s="58"/>
      <c r="F640" s="58"/>
      <c r="G640" s="58" t="str">
        <f>IFERROR(__xludf.DUMMYFUNCTION("""COMPUTED_VALUE"""),"Null")</f>
        <v>Null</v>
      </c>
      <c r="H640" s="206" t="str">
        <f>IFERROR(__xludf.DUMMYFUNCTION("""COMPUTED_VALUE"""),"Negative")</f>
        <v>Negative</v>
      </c>
      <c r="I640" s="207">
        <f>IFERROR(__xludf.DUMMYFUNCTION("""COMPUTED_VALUE"""),44691.0)</f>
        <v>44691</v>
      </c>
      <c r="J640" s="208">
        <f>IFERROR(__xludf.DUMMYFUNCTION("""COMPUTED_VALUE"""),0.31171296296296297)</f>
        <v>0.311712963</v>
      </c>
      <c r="K640" s="50">
        <f>IFERROR(__xludf.DUMMYFUNCTION("""COMPUTED_VALUE"""),2.0)</f>
        <v>2</v>
      </c>
      <c r="L640" s="6"/>
      <c r="M640" s="55"/>
      <c r="N640" s="55">
        <f>IFERROR(__xludf.DUMMYFUNCTION("""COMPUTED_VALUE"""),1.0)</f>
        <v>1</v>
      </c>
      <c r="O640" s="55" t="b">
        <f t="shared" si="3"/>
        <v>1</v>
      </c>
      <c r="P640" s="209"/>
      <c r="Q640" s="75" t="b">
        <f>VLOOKUP($B640,'Run Reconcile'!B$2:P1679,15,FALSE)</f>
        <v>1</v>
      </c>
      <c r="R640" s="211" t="str">
        <f t="array" ref="R640">IF($Q640, INDEX('Run Reconcile'!A$2:A1679,MATCH(B640,'Run Reconcile'!B$2:B1679,0),1),IFERROR(0/0,""))</f>
        <v>RUN-COMB_2022-05-10_RFR-036</v>
      </c>
      <c r="S640" s="165" t="str">
        <f t="shared" ref="S640:T640" si="1279">IF(COUNTIF(W$2:W1679, $A640) &gt; 0,TRUE,IFERROR(0/0,""))</f>
        <v/>
      </c>
      <c r="T640" s="165" t="str">
        <f t="shared" si="1279"/>
        <v/>
      </c>
      <c r="U640" s="147" t="str">
        <f t="array" ref="U640">IF(ISBLANK($R640), IF($S640,VLOOKUP($B640+1,'RFR Data - preExcl'!$BF$2:$BG1679,2,FALSE),IF($T640,INDEX('RFR Data - preExcl'!$BF$2:$BG1679,MATCH($B640,'RFR Data - preExcl'!$BF$2:$BF1679,0)+1,2),VLOOKUP($B640,'RFR Data - preExcl'!$BF$2:$BG1679,2,FALSE))),IFERROR(0/0,""))</f>
        <v/>
      </c>
      <c r="V640" s="212" t="str">
        <f t="shared" si="5"/>
        <v>RUN-COMB_2022-05-10_RFR-036</v>
      </c>
      <c r="W640" s="51"/>
      <c r="X640" s="51"/>
      <c r="Y640" s="147" t="str">
        <f t="shared" ref="Y640:Z640" si="1280">IF(_xlfn.ISFORMULA(S640),IFERROR(0/0,""),TRUE)</f>
        <v/>
      </c>
      <c r="Z640" s="147" t="str">
        <f t="shared" si="1280"/>
        <v/>
      </c>
    </row>
    <row r="641">
      <c r="A641" s="6" t="str">
        <f>IFERROR(__xludf.DUMMYFUNCTION("""COMPUTED_VALUE"""),"FM4192")</f>
        <v>FM4192</v>
      </c>
      <c r="B641" s="206">
        <f>IFERROR(__xludf.DUMMYFUNCTION("""COMPUTED_VALUE"""),44691.0)</f>
        <v>44691</v>
      </c>
      <c r="C641" s="207">
        <f>IFERROR(__xludf.DUMMYFUNCTION("""COMPUTED_VALUE"""),0.25957175925925924)</f>
        <v>0.2595717593</v>
      </c>
      <c r="D641" s="50"/>
      <c r="E641" s="58"/>
      <c r="F641" s="58"/>
      <c r="G641" s="58" t="str">
        <f>IFERROR(__xludf.DUMMYFUNCTION("""COMPUTED_VALUE"""),"Null")</f>
        <v>Null</v>
      </c>
      <c r="H641" s="206" t="str">
        <f>IFERROR(__xludf.DUMMYFUNCTION("""COMPUTED_VALUE"""),"Negative")</f>
        <v>Negative</v>
      </c>
      <c r="I641" s="207">
        <f>IFERROR(__xludf.DUMMYFUNCTION("""COMPUTED_VALUE"""),44691.0)</f>
        <v>44691</v>
      </c>
      <c r="J641" s="208">
        <f>IFERROR(__xludf.DUMMYFUNCTION("""COMPUTED_VALUE"""),0.3117361111111111)</f>
        <v>0.3117361111</v>
      </c>
      <c r="K641" s="50">
        <f>IFERROR(__xludf.DUMMYFUNCTION("""COMPUTED_VALUE"""),2.0)</f>
        <v>2</v>
      </c>
      <c r="L641" s="6"/>
      <c r="M641" s="55"/>
      <c r="N641" s="55">
        <f>IFERROR(__xludf.DUMMYFUNCTION("""COMPUTED_VALUE"""),1.0)</f>
        <v>1</v>
      </c>
      <c r="O641" s="55" t="str">
        <f t="shared" si="3"/>
        <v/>
      </c>
      <c r="P641" s="209"/>
      <c r="Q641" s="75" t="b">
        <f>VLOOKUP($B641,'Run Reconcile'!B$2:P1679,15,FALSE)</f>
        <v>1</v>
      </c>
      <c r="R641" s="211" t="str">
        <f t="array" ref="R641">IF($Q641, INDEX('Run Reconcile'!A$2:A1679,MATCH(B641,'Run Reconcile'!B$2:B1679,0),1),IFERROR(0/0,""))</f>
        <v>RUN-COMB_2022-05-10_RFR-036</v>
      </c>
      <c r="S641" s="165" t="str">
        <f t="shared" ref="S641:T641" si="1281">IF(COUNTIF(W$2:W1679, $A641) &gt; 0,TRUE,IFERROR(0/0,""))</f>
        <v/>
      </c>
      <c r="T641" s="165" t="str">
        <f t="shared" si="1281"/>
        <v/>
      </c>
      <c r="U641" s="147" t="str">
        <f t="array" ref="U641">IF(ISBLANK($R641), IF($S641,VLOOKUP($B641+1,'RFR Data - preExcl'!$BF$2:$BG1679,2,FALSE),IF($T641,INDEX('RFR Data - preExcl'!$BF$2:$BG1679,MATCH($B641,'RFR Data - preExcl'!$BF$2:$BF1679,0)+1,2),VLOOKUP($B641,'RFR Data - preExcl'!$BF$2:$BG1679,2,FALSE))),IFERROR(0/0,""))</f>
        <v/>
      </c>
      <c r="V641" s="212" t="str">
        <f t="shared" si="5"/>
        <v>RUN-COMB_2022-05-10_RFR-036</v>
      </c>
      <c r="W641" s="51"/>
      <c r="X641" s="51"/>
      <c r="Y641" s="147" t="str">
        <f t="shared" ref="Y641:Z641" si="1282">IF(_xlfn.ISFORMULA(S641),IFERROR(0/0,""),TRUE)</f>
        <v/>
      </c>
      <c r="Z641" s="147" t="str">
        <f t="shared" si="1282"/>
        <v/>
      </c>
    </row>
    <row r="642">
      <c r="A642" s="6" t="str">
        <f>IFERROR(__xludf.DUMMYFUNCTION("""COMPUTED_VALUE"""),"FM4205")</f>
        <v>FM4205</v>
      </c>
      <c r="B642" s="206">
        <f>IFERROR(__xludf.DUMMYFUNCTION("""COMPUTED_VALUE"""),44691.0)</f>
        <v>44691</v>
      </c>
      <c r="C642" s="207">
        <f>IFERROR(__xludf.DUMMYFUNCTION("""COMPUTED_VALUE"""),0.25988425925925923)</f>
        <v>0.2598842593</v>
      </c>
      <c r="D642" s="50"/>
      <c r="E642" s="58"/>
      <c r="F642" s="58"/>
      <c r="G642" s="58" t="str">
        <f>IFERROR(__xludf.DUMMYFUNCTION("""COMPUTED_VALUE"""),"Null")</f>
        <v>Null</v>
      </c>
      <c r="H642" s="206" t="str">
        <f>IFERROR(__xludf.DUMMYFUNCTION("""COMPUTED_VALUE"""),"Negative")</f>
        <v>Negative</v>
      </c>
      <c r="I642" s="207">
        <f>IFERROR(__xludf.DUMMYFUNCTION("""COMPUTED_VALUE"""),44691.0)</f>
        <v>44691</v>
      </c>
      <c r="J642" s="208">
        <f>IFERROR(__xludf.DUMMYFUNCTION("""COMPUTED_VALUE"""),0.3117361111111111)</f>
        <v>0.3117361111</v>
      </c>
      <c r="K642" s="50">
        <f>IFERROR(__xludf.DUMMYFUNCTION("""COMPUTED_VALUE"""),2.0)</f>
        <v>2</v>
      </c>
      <c r="L642" s="6"/>
      <c r="M642" s="55"/>
      <c r="N642" s="55">
        <f>IFERROR(__xludf.DUMMYFUNCTION("""COMPUTED_VALUE"""),1.0)</f>
        <v>1</v>
      </c>
      <c r="O642" s="55" t="str">
        <f t="shared" si="3"/>
        <v/>
      </c>
      <c r="P642" s="209"/>
      <c r="Q642" s="75" t="b">
        <f>VLOOKUP($B642,'Run Reconcile'!B$2:P1679,15,FALSE)</f>
        <v>1</v>
      </c>
      <c r="R642" s="211" t="str">
        <f t="array" ref="R642">IF($Q642, INDEX('Run Reconcile'!A$2:A1679,MATCH(B642,'Run Reconcile'!B$2:B1679,0),1),IFERROR(0/0,""))</f>
        <v>RUN-COMB_2022-05-10_RFR-036</v>
      </c>
      <c r="S642" s="165" t="str">
        <f t="shared" ref="S642:T642" si="1283">IF(COUNTIF(W$2:W1679, $A642) &gt; 0,TRUE,IFERROR(0/0,""))</f>
        <v/>
      </c>
      <c r="T642" s="165" t="str">
        <f t="shared" si="1283"/>
        <v/>
      </c>
      <c r="U642" s="147" t="str">
        <f t="array" ref="U642">IF(ISBLANK($R642), IF($S642,VLOOKUP($B642+1,'RFR Data - preExcl'!$BF$2:$BG1679,2,FALSE),IF($T642,INDEX('RFR Data - preExcl'!$BF$2:$BG1679,MATCH($B642,'RFR Data - preExcl'!$BF$2:$BF1679,0)+1,2),VLOOKUP($B642,'RFR Data - preExcl'!$BF$2:$BG1679,2,FALSE))),IFERROR(0/0,""))</f>
        <v/>
      </c>
      <c r="V642" s="212" t="str">
        <f t="shared" si="5"/>
        <v>RUN-COMB_2022-05-10_RFR-036</v>
      </c>
      <c r="W642" s="51"/>
      <c r="X642" s="51"/>
      <c r="Y642" s="147" t="str">
        <f t="shared" ref="Y642:Z642" si="1284">IF(_xlfn.ISFORMULA(S642),IFERROR(0/0,""),TRUE)</f>
        <v/>
      </c>
      <c r="Z642" s="147" t="str">
        <f t="shared" si="1284"/>
        <v/>
      </c>
    </row>
    <row r="643">
      <c r="A643" s="6" t="str">
        <f>IFERROR(__xludf.DUMMYFUNCTION("""COMPUTED_VALUE"""),"FM2164")</f>
        <v>FM2164</v>
      </c>
      <c r="B643" s="206">
        <f>IFERROR(__xludf.DUMMYFUNCTION("""COMPUTED_VALUE"""),44691.0)</f>
        <v>44691</v>
      </c>
      <c r="C643" s="207">
        <f>IFERROR(__xludf.DUMMYFUNCTION("""COMPUTED_VALUE"""),0.2601967592592593)</f>
        <v>0.2601967593</v>
      </c>
      <c r="D643" s="50"/>
      <c r="E643" s="58"/>
      <c r="F643" s="58"/>
      <c r="G643" s="58" t="str">
        <f>IFERROR(__xludf.DUMMYFUNCTION("""COMPUTED_VALUE"""),"Null")</f>
        <v>Null</v>
      </c>
      <c r="H643" s="206" t="str">
        <f>IFERROR(__xludf.DUMMYFUNCTION("""COMPUTED_VALUE"""),"Negative")</f>
        <v>Negative</v>
      </c>
      <c r="I643" s="207">
        <f>IFERROR(__xludf.DUMMYFUNCTION("""COMPUTED_VALUE"""),44691.0)</f>
        <v>44691</v>
      </c>
      <c r="J643" s="208">
        <f>IFERROR(__xludf.DUMMYFUNCTION("""COMPUTED_VALUE"""),0.3117476851851852)</f>
        <v>0.3117476852</v>
      </c>
      <c r="K643" s="50">
        <f>IFERROR(__xludf.DUMMYFUNCTION("""COMPUTED_VALUE"""),2.0)</f>
        <v>2</v>
      </c>
      <c r="L643" s="6"/>
      <c r="M643" s="55"/>
      <c r="N643" s="55">
        <f>IFERROR(__xludf.DUMMYFUNCTION("""COMPUTED_VALUE"""),1.0)</f>
        <v>1</v>
      </c>
      <c r="O643" s="55" t="str">
        <f t="shared" si="3"/>
        <v/>
      </c>
      <c r="P643" s="209"/>
      <c r="Q643" s="75" t="b">
        <f>VLOOKUP($B643,'Run Reconcile'!B$2:P1679,15,FALSE)</f>
        <v>1</v>
      </c>
      <c r="R643" s="211" t="str">
        <f t="array" ref="R643">IF($Q643, INDEX('Run Reconcile'!A$2:A1679,MATCH(B643,'Run Reconcile'!B$2:B1679,0),1),IFERROR(0/0,""))</f>
        <v>RUN-COMB_2022-05-10_RFR-036</v>
      </c>
      <c r="S643" s="165" t="str">
        <f t="shared" ref="S643:T643" si="1285">IF(COUNTIF(W$2:W1679, $A643) &gt; 0,TRUE,IFERROR(0/0,""))</f>
        <v/>
      </c>
      <c r="T643" s="165" t="str">
        <f t="shared" si="1285"/>
        <v/>
      </c>
      <c r="U643" s="147" t="str">
        <f t="array" ref="U643">IF(ISBLANK($R643), IF($S643,VLOOKUP($B643+1,'RFR Data - preExcl'!$BF$2:$BG1679,2,FALSE),IF($T643,INDEX('RFR Data - preExcl'!$BF$2:$BG1679,MATCH($B643,'RFR Data - preExcl'!$BF$2:$BF1679,0)+1,2),VLOOKUP($B643,'RFR Data - preExcl'!$BF$2:$BG1679,2,FALSE))),IFERROR(0/0,""))</f>
        <v/>
      </c>
      <c r="V643" s="212" t="str">
        <f t="shared" si="5"/>
        <v>RUN-COMB_2022-05-10_RFR-036</v>
      </c>
      <c r="W643" s="51"/>
      <c r="X643" s="51"/>
      <c r="Y643" s="147" t="str">
        <f t="shared" ref="Y643:Z643" si="1286">IF(_xlfn.ISFORMULA(S643),IFERROR(0/0,""),TRUE)</f>
        <v/>
      </c>
      <c r="Z643" s="147" t="str">
        <f t="shared" si="1286"/>
        <v/>
      </c>
    </row>
    <row r="644">
      <c r="A644" s="6" t="str">
        <f>IFERROR(__xludf.DUMMYFUNCTION("""COMPUTED_VALUE"""),"FM2333")</f>
        <v>FM2333</v>
      </c>
      <c r="B644" s="206">
        <f>IFERROR(__xludf.DUMMYFUNCTION("""COMPUTED_VALUE"""),44691.0)</f>
        <v>44691</v>
      </c>
      <c r="C644" s="207">
        <f>IFERROR(__xludf.DUMMYFUNCTION("""COMPUTED_VALUE"""),0.2604861111111111)</f>
        <v>0.2604861111</v>
      </c>
      <c r="D644" s="50"/>
      <c r="E644" s="58"/>
      <c r="F644" s="58"/>
      <c r="G644" s="58" t="str">
        <f>IFERROR(__xludf.DUMMYFUNCTION("""COMPUTED_VALUE"""),"Null")</f>
        <v>Null</v>
      </c>
      <c r="H644" s="206" t="str">
        <f>IFERROR(__xludf.DUMMYFUNCTION("""COMPUTED_VALUE"""),"Negative")</f>
        <v>Negative</v>
      </c>
      <c r="I644" s="207">
        <f>IFERROR(__xludf.DUMMYFUNCTION("""COMPUTED_VALUE"""),44691.0)</f>
        <v>44691</v>
      </c>
      <c r="J644" s="208">
        <f>IFERROR(__xludf.DUMMYFUNCTION("""COMPUTED_VALUE"""),0.31175925925925924)</f>
        <v>0.3117592593</v>
      </c>
      <c r="K644" s="50">
        <f>IFERROR(__xludf.DUMMYFUNCTION("""COMPUTED_VALUE"""),2.0)</f>
        <v>2</v>
      </c>
      <c r="L644" s="6"/>
      <c r="M644" s="55"/>
      <c r="N644" s="55">
        <f>IFERROR(__xludf.DUMMYFUNCTION("""COMPUTED_VALUE"""),1.0)</f>
        <v>1</v>
      </c>
      <c r="O644" s="55" t="str">
        <f t="shared" si="3"/>
        <v/>
      </c>
      <c r="P644" s="209"/>
      <c r="Q644" s="75" t="b">
        <f>VLOOKUP($B644,'Run Reconcile'!B$2:P1679,15,FALSE)</f>
        <v>1</v>
      </c>
      <c r="R644" s="211" t="str">
        <f t="array" ref="R644">IF($Q644, INDEX('Run Reconcile'!A$2:A1679,MATCH(B644,'Run Reconcile'!B$2:B1679,0),1),IFERROR(0/0,""))</f>
        <v>RUN-COMB_2022-05-10_RFR-036</v>
      </c>
      <c r="S644" s="165" t="str">
        <f t="shared" ref="S644:T644" si="1287">IF(COUNTIF(W$2:W1679, $A644) &gt; 0,TRUE,IFERROR(0/0,""))</f>
        <v/>
      </c>
      <c r="T644" s="165" t="str">
        <f t="shared" si="1287"/>
        <v/>
      </c>
      <c r="U644" s="147" t="str">
        <f t="array" ref="U644">IF(ISBLANK($R644), IF($S644,VLOOKUP($B644+1,'RFR Data - preExcl'!$BF$2:$BG1679,2,FALSE),IF($T644,INDEX('RFR Data - preExcl'!$BF$2:$BG1679,MATCH($B644,'RFR Data - preExcl'!$BF$2:$BF1679,0)+1,2),VLOOKUP($B644,'RFR Data - preExcl'!$BF$2:$BG1679,2,FALSE))),IFERROR(0/0,""))</f>
        <v/>
      </c>
      <c r="V644" s="212" t="str">
        <f t="shared" si="5"/>
        <v>RUN-COMB_2022-05-10_RFR-036</v>
      </c>
      <c r="W644" s="51"/>
      <c r="X644" s="51"/>
      <c r="Y644" s="147" t="str">
        <f t="shared" ref="Y644:Z644" si="1288">IF(_xlfn.ISFORMULA(S644),IFERROR(0/0,""),TRUE)</f>
        <v/>
      </c>
      <c r="Z644" s="147" t="str">
        <f t="shared" si="1288"/>
        <v/>
      </c>
    </row>
    <row r="645">
      <c r="A645" s="6" t="str">
        <f>IFERROR(__xludf.DUMMYFUNCTION("""COMPUTED_VALUE"""),"FM2221")</f>
        <v>FM2221</v>
      </c>
      <c r="B645" s="206">
        <f>IFERROR(__xludf.DUMMYFUNCTION("""COMPUTED_VALUE"""),44691.0)</f>
        <v>44691</v>
      </c>
      <c r="C645" s="207">
        <f>IFERROR(__xludf.DUMMYFUNCTION("""COMPUTED_VALUE"""),0.2608564814814815)</f>
        <v>0.2608564815</v>
      </c>
      <c r="D645" s="50"/>
      <c r="E645" s="58"/>
      <c r="F645" s="58"/>
      <c r="G645" s="58" t="str">
        <f>IFERROR(__xludf.DUMMYFUNCTION("""COMPUTED_VALUE"""),"Null")</f>
        <v>Null</v>
      </c>
      <c r="H645" s="206" t="str">
        <f>IFERROR(__xludf.DUMMYFUNCTION("""COMPUTED_VALUE"""),"Negative")</f>
        <v>Negative</v>
      </c>
      <c r="I645" s="207">
        <f>IFERROR(__xludf.DUMMYFUNCTION("""COMPUTED_VALUE"""),44691.0)</f>
        <v>44691</v>
      </c>
      <c r="J645" s="208">
        <f>IFERROR(__xludf.DUMMYFUNCTION("""COMPUTED_VALUE"""),0.31175925925925924)</f>
        <v>0.3117592593</v>
      </c>
      <c r="K645" s="50">
        <f>IFERROR(__xludf.DUMMYFUNCTION("""COMPUTED_VALUE"""),2.0)</f>
        <v>2</v>
      </c>
      <c r="L645" s="6"/>
      <c r="M645" s="55"/>
      <c r="N645" s="55">
        <f>IFERROR(__xludf.DUMMYFUNCTION("""COMPUTED_VALUE"""),1.0)</f>
        <v>1</v>
      </c>
      <c r="O645" s="55" t="str">
        <f t="shared" si="3"/>
        <v/>
      </c>
      <c r="P645" s="209"/>
      <c r="Q645" s="75" t="b">
        <f>VLOOKUP($B645,'Run Reconcile'!B$2:P1679,15,FALSE)</f>
        <v>1</v>
      </c>
      <c r="R645" s="211" t="str">
        <f t="array" ref="R645">IF($Q645, INDEX('Run Reconcile'!A$2:A1679,MATCH(B645,'Run Reconcile'!B$2:B1679,0),1),IFERROR(0/0,""))</f>
        <v>RUN-COMB_2022-05-10_RFR-036</v>
      </c>
      <c r="S645" s="165" t="str">
        <f t="shared" ref="S645:T645" si="1289">IF(COUNTIF(W$2:W1679, $A645) &gt; 0,TRUE,IFERROR(0/0,""))</f>
        <v/>
      </c>
      <c r="T645" s="165" t="str">
        <f t="shared" si="1289"/>
        <v/>
      </c>
      <c r="U645" s="147" t="str">
        <f t="array" ref="U645">IF(ISBLANK($R645), IF($S645,VLOOKUP($B645+1,'RFR Data - preExcl'!$BF$2:$BG1679,2,FALSE),IF($T645,INDEX('RFR Data - preExcl'!$BF$2:$BG1679,MATCH($B645,'RFR Data - preExcl'!$BF$2:$BF1679,0)+1,2),VLOOKUP($B645,'RFR Data - preExcl'!$BF$2:$BG1679,2,FALSE))),IFERROR(0/0,""))</f>
        <v/>
      </c>
      <c r="V645" s="212" t="str">
        <f t="shared" si="5"/>
        <v>RUN-COMB_2022-05-10_RFR-036</v>
      </c>
      <c r="W645" s="51"/>
      <c r="X645" s="51"/>
      <c r="Y645" s="147" t="str">
        <f t="shared" ref="Y645:Z645" si="1290">IF(_xlfn.ISFORMULA(S645),IFERROR(0/0,""),TRUE)</f>
        <v/>
      </c>
      <c r="Z645" s="147" t="str">
        <f t="shared" si="1290"/>
        <v/>
      </c>
    </row>
    <row r="646">
      <c r="A646" s="6" t="str">
        <f>IFERROR(__xludf.DUMMYFUNCTION("""COMPUTED_VALUE"""),"FM4178")</f>
        <v>FM4178</v>
      </c>
      <c r="B646" s="206">
        <f>IFERROR(__xludf.DUMMYFUNCTION("""COMPUTED_VALUE"""),44691.0)</f>
        <v>44691</v>
      </c>
      <c r="C646" s="207">
        <f>IFERROR(__xludf.DUMMYFUNCTION("""COMPUTED_VALUE"""),0.2612037037037037)</f>
        <v>0.2612037037</v>
      </c>
      <c r="D646" s="50"/>
      <c r="E646" s="58"/>
      <c r="F646" s="58"/>
      <c r="G646" s="58" t="str">
        <f>IFERROR(__xludf.DUMMYFUNCTION("""COMPUTED_VALUE"""),"Null")</f>
        <v>Null</v>
      </c>
      <c r="H646" s="206" t="str">
        <f>IFERROR(__xludf.DUMMYFUNCTION("""COMPUTED_VALUE"""),"Negative")</f>
        <v>Negative</v>
      </c>
      <c r="I646" s="207">
        <f>IFERROR(__xludf.DUMMYFUNCTION("""COMPUTED_VALUE"""),44691.0)</f>
        <v>44691</v>
      </c>
      <c r="J646" s="208">
        <f>IFERROR(__xludf.DUMMYFUNCTION("""COMPUTED_VALUE"""),0.31177083333333333)</f>
        <v>0.3117708333</v>
      </c>
      <c r="K646" s="50">
        <f>IFERROR(__xludf.DUMMYFUNCTION("""COMPUTED_VALUE"""),2.0)</f>
        <v>2</v>
      </c>
      <c r="L646" s="6"/>
      <c r="M646" s="55"/>
      <c r="N646" s="55">
        <f>IFERROR(__xludf.DUMMYFUNCTION("""COMPUTED_VALUE"""),1.0)</f>
        <v>1</v>
      </c>
      <c r="O646" s="55" t="str">
        <f t="shared" si="3"/>
        <v/>
      </c>
      <c r="P646" s="209"/>
      <c r="Q646" s="75" t="b">
        <f>VLOOKUP($B646,'Run Reconcile'!B$2:P1679,15,FALSE)</f>
        <v>1</v>
      </c>
      <c r="R646" s="211" t="str">
        <f t="array" ref="R646">IF($Q646, INDEX('Run Reconcile'!A$2:A1679,MATCH(B646,'Run Reconcile'!B$2:B1679,0),1),IFERROR(0/0,""))</f>
        <v>RUN-COMB_2022-05-10_RFR-036</v>
      </c>
      <c r="S646" s="165" t="str">
        <f t="shared" ref="S646:T646" si="1291">IF(COUNTIF(W$2:W1679, $A646) &gt; 0,TRUE,IFERROR(0/0,""))</f>
        <v/>
      </c>
      <c r="T646" s="165" t="str">
        <f t="shared" si="1291"/>
        <v/>
      </c>
      <c r="U646" s="147" t="str">
        <f t="array" ref="U646">IF(ISBLANK($R646), IF($S646,VLOOKUP($B646+1,'RFR Data - preExcl'!$BF$2:$BG1679,2,FALSE),IF($T646,INDEX('RFR Data - preExcl'!$BF$2:$BG1679,MATCH($B646,'RFR Data - preExcl'!$BF$2:$BF1679,0)+1,2),VLOOKUP($B646,'RFR Data - preExcl'!$BF$2:$BG1679,2,FALSE))),IFERROR(0/0,""))</f>
        <v/>
      </c>
      <c r="V646" s="212" t="str">
        <f t="shared" si="5"/>
        <v>RUN-COMB_2022-05-10_RFR-036</v>
      </c>
      <c r="W646" s="51"/>
      <c r="X646" s="51"/>
      <c r="Y646" s="147" t="str">
        <f t="shared" ref="Y646:Z646" si="1292">IF(_xlfn.ISFORMULA(S646),IFERROR(0/0,""),TRUE)</f>
        <v/>
      </c>
      <c r="Z646" s="147" t="str">
        <f t="shared" si="1292"/>
        <v/>
      </c>
    </row>
    <row r="647">
      <c r="A647" s="6" t="str">
        <f>IFERROR(__xludf.DUMMYFUNCTION("""COMPUTED_VALUE"""),"FM4175")</f>
        <v>FM4175</v>
      </c>
      <c r="B647" s="206">
        <f>IFERROR(__xludf.DUMMYFUNCTION("""COMPUTED_VALUE"""),44691.0)</f>
        <v>44691</v>
      </c>
      <c r="C647" s="207">
        <f>IFERROR(__xludf.DUMMYFUNCTION("""COMPUTED_VALUE"""),0.26435185185185184)</f>
        <v>0.2643518519</v>
      </c>
      <c r="D647" s="50"/>
      <c r="E647" s="58"/>
      <c r="F647" s="58"/>
      <c r="G647" s="58" t="str">
        <f>IFERROR(__xludf.DUMMYFUNCTION("""COMPUTED_VALUE"""),"Null")</f>
        <v>Null</v>
      </c>
      <c r="H647" s="206" t="str">
        <f>IFERROR(__xludf.DUMMYFUNCTION("""COMPUTED_VALUE"""),"Negative")</f>
        <v>Negative</v>
      </c>
      <c r="I647" s="207">
        <f>IFERROR(__xludf.DUMMYFUNCTION("""COMPUTED_VALUE"""),44691.0)</f>
        <v>44691</v>
      </c>
      <c r="J647" s="208">
        <f>IFERROR(__xludf.DUMMYFUNCTION("""COMPUTED_VALUE"""),0.3117824074074074)</f>
        <v>0.3117824074</v>
      </c>
      <c r="K647" s="50">
        <f>IFERROR(__xludf.DUMMYFUNCTION("""COMPUTED_VALUE"""),2.0)</f>
        <v>2</v>
      </c>
      <c r="L647" s="6"/>
      <c r="M647" s="55"/>
      <c r="N647" s="55">
        <f>IFERROR(__xludf.DUMMYFUNCTION("""COMPUTED_VALUE"""),1.0)</f>
        <v>1</v>
      </c>
      <c r="O647" s="55" t="str">
        <f t="shared" si="3"/>
        <v/>
      </c>
      <c r="P647" s="209"/>
      <c r="Q647" s="75" t="b">
        <f>VLOOKUP($B647,'Run Reconcile'!B$2:P1679,15,FALSE)</f>
        <v>1</v>
      </c>
      <c r="R647" s="211" t="str">
        <f t="array" ref="R647">IF($Q647, INDEX('Run Reconcile'!A$2:A1679,MATCH(B647,'Run Reconcile'!B$2:B1679,0),1),IFERROR(0/0,""))</f>
        <v>RUN-COMB_2022-05-10_RFR-036</v>
      </c>
      <c r="S647" s="165" t="str">
        <f t="shared" ref="S647:T647" si="1293">IF(COUNTIF(W$2:W1679, $A647) &gt; 0,TRUE,IFERROR(0/0,""))</f>
        <v/>
      </c>
      <c r="T647" s="165" t="str">
        <f t="shared" si="1293"/>
        <v/>
      </c>
      <c r="U647" s="147" t="str">
        <f t="array" ref="U647">IF(ISBLANK($R647), IF($S647,VLOOKUP($B647+1,'RFR Data - preExcl'!$BF$2:$BG1679,2,FALSE),IF($T647,INDEX('RFR Data - preExcl'!$BF$2:$BG1679,MATCH($B647,'RFR Data - preExcl'!$BF$2:$BF1679,0)+1,2),VLOOKUP($B647,'RFR Data - preExcl'!$BF$2:$BG1679,2,FALSE))),IFERROR(0/0,""))</f>
        <v/>
      </c>
      <c r="V647" s="212" t="str">
        <f t="shared" si="5"/>
        <v>RUN-COMB_2022-05-10_RFR-036</v>
      </c>
      <c r="W647" s="51"/>
      <c r="X647" s="51"/>
      <c r="Y647" s="147" t="str">
        <f t="shared" ref="Y647:Z647" si="1294">IF(_xlfn.ISFORMULA(S647),IFERROR(0/0,""),TRUE)</f>
        <v/>
      </c>
      <c r="Z647" s="147" t="str">
        <f t="shared" si="1294"/>
        <v/>
      </c>
    </row>
    <row r="648">
      <c r="A648" s="6" t="str">
        <f>IFERROR(__xludf.DUMMYFUNCTION("""COMPUTED_VALUE"""),"FM4222")</f>
        <v>FM4222</v>
      </c>
      <c r="B648" s="206">
        <f>IFERROR(__xludf.DUMMYFUNCTION("""COMPUTED_VALUE"""),44691.0)</f>
        <v>44691</v>
      </c>
      <c r="C648" s="207">
        <f>IFERROR(__xludf.DUMMYFUNCTION("""COMPUTED_VALUE"""),0.2646527777777778)</f>
        <v>0.2646527778</v>
      </c>
      <c r="D648" s="50"/>
      <c r="E648" s="58"/>
      <c r="F648" s="58"/>
      <c r="G648" s="58" t="str">
        <f>IFERROR(__xludf.DUMMYFUNCTION("""COMPUTED_VALUE"""),"Null")</f>
        <v>Null</v>
      </c>
      <c r="H648" s="206" t="str">
        <f>IFERROR(__xludf.DUMMYFUNCTION("""COMPUTED_VALUE"""),"Negative")</f>
        <v>Negative</v>
      </c>
      <c r="I648" s="207">
        <f>IFERROR(__xludf.DUMMYFUNCTION("""COMPUTED_VALUE"""),44691.0)</f>
        <v>44691</v>
      </c>
      <c r="J648" s="208">
        <f>IFERROR(__xludf.DUMMYFUNCTION("""COMPUTED_VALUE"""),0.31179398148148146)</f>
        <v>0.3117939815</v>
      </c>
      <c r="K648" s="50">
        <f>IFERROR(__xludf.DUMMYFUNCTION("""COMPUTED_VALUE"""),2.0)</f>
        <v>2</v>
      </c>
      <c r="L648" s="6"/>
      <c r="M648" s="55"/>
      <c r="N648" s="55">
        <f>IFERROR(__xludf.DUMMYFUNCTION("""COMPUTED_VALUE"""),1.0)</f>
        <v>1</v>
      </c>
      <c r="O648" s="55" t="str">
        <f t="shared" si="3"/>
        <v/>
      </c>
      <c r="P648" s="209"/>
      <c r="Q648" s="75" t="b">
        <f>VLOOKUP($B648,'Run Reconcile'!B$2:P1679,15,FALSE)</f>
        <v>1</v>
      </c>
      <c r="R648" s="211" t="str">
        <f t="array" ref="R648">IF($Q648, INDEX('Run Reconcile'!A$2:A1679,MATCH(B648,'Run Reconcile'!B$2:B1679,0),1),IFERROR(0/0,""))</f>
        <v>RUN-COMB_2022-05-10_RFR-036</v>
      </c>
      <c r="S648" s="165" t="str">
        <f t="shared" ref="S648:T648" si="1295">IF(COUNTIF(W$2:W1679, $A648) &gt; 0,TRUE,IFERROR(0/0,""))</f>
        <v/>
      </c>
      <c r="T648" s="165" t="str">
        <f t="shared" si="1295"/>
        <v/>
      </c>
      <c r="U648" s="147" t="str">
        <f t="array" ref="U648">IF(ISBLANK($R648), IF($S648,VLOOKUP($B648+1,'RFR Data - preExcl'!$BF$2:$BG1679,2,FALSE),IF($T648,INDEX('RFR Data - preExcl'!$BF$2:$BG1679,MATCH($B648,'RFR Data - preExcl'!$BF$2:$BF1679,0)+1,2),VLOOKUP($B648,'RFR Data - preExcl'!$BF$2:$BG1679,2,FALSE))),IFERROR(0/0,""))</f>
        <v/>
      </c>
      <c r="V648" s="212" t="str">
        <f t="shared" si="5"/>
        <v>RUN-COMB_2022-05-10_RFR-036</v>
      </c>
      <c r="W648" s="51"/>
      <c r="X648" s="51"/>
      <c r="Y648" s="147" t="str">
        <f t="shared" ref="Y648:Z648" si="1296">IF(_xlfn.ISFORMULA(S648),IFERROR(0/0,""),TRUE)</f>
        <v/>
      </c>
      <c r="Z648" s="147" t="str">
        <f t="shared" si="1296"/>
        <v/>
      </c>
    </row>
    <row r="649">
      <c r="A649" s="6" t="str">
        <f>IFERROR(__xludf.DUMMYFUNCTION("""COMPUTED_VALUE"""),"FM4239")</f>
        <v>FM4239</v>
      </c>
      <c r="B649" s="206">
        <f>IFERROR(__xludf.DUMMYFUNCTION("""COMPUTED_VALUE"""),44691.0)</f>
        <v>44691</v>
      </c>
      <c r="C649" s="207">
        <f>IFERROR(__xludf.DUMMYFUNCTION("""COMPUTED_VALUE"""),0.27835648148148145)</f>
        <v>0.2783564815</v>
      </c>
      <c r="D649" s="50"/>
      <c r="E649" s="58"/>
      <c r="F649" s="58"/>
      <c r="G649" s="58" t="str">
        <f>IFERROR(__xludf.DUMMYFUNCTION("""COMPUTED_VALUE"""),"Null")</f>
        <v>Null</v>
      </c>
      <c r="H649" s="206" t="str">
        <f>IFERROR(__xludf.DUMMYFUNCTION("""COMPUTED_VALUE"""),"Negative")</f>
        <v>Negative</v>
      </c>
      <c r="I649" s="207">
        <f>IFERROR(__xludf.DUMMYFUNCTION("""COMPUTED_VALUE"""),44691.0)</f>
        <v>44691</v>
      </c>
      <c r="J649" s="208">
        <f>IFERROR(__xludf.DUMMYFUNCTION("""COMPUTED_VALUE"""),0.31179398148148146)</f>
        <v>0.3117939815</v>
      </c>
      <c r="K649" s="50">
        <f>IFERROR(__xludf.DUMMYFUNCTION("""COMPUTED_VALUE"""),2.0)</f>
        <v>2</v>
      </c>
      <c r="L649" s="6"/>
      <c r="M649" s="55"/>
      <c r="N649" s="55">
        <f>IFERROR(__xludf.DUMMYFUNCTION("""COMPUTED_VALUE"""),1.0)</f>
        <v>1</v>
      </c>
      <c r="O649" s="55" t="str">
        <f t="shared" si="3"/>
        <v/>
      </c>
      <c r="P649" s="209"/>
      <c r="Q649" s="75" t="b">
        <f>VLOOKUP($B649,'Run Reconcile'!B$2:P1679,15,FALSE)</f>
        <v>1</v>
      </c>
      <c r="R649" s="211" t="str">
        <f t="array" ref="R649">IF($Q649, INDEX('Run Reconcile'!A$2:A1679,MATCH(B649,'Run Reconcile'!B$2:B1679,0),1),IFERROR(0/0,""))</f>
        <v>RUN-COMB_2022-05-10_RFR-036</v>
      </c>
      <c r="S649" s="165" t="str">
        <f t="shared" ref="S649:T649" si="1297">IF(COUNTIF(W$2:W1679, $A649) &gt; 0,TRUE,IFERROR(0/0,""))</f>
        <v/>
      </c>
      <c r="T649" s="165" t="str">
        <f t="shared" si="1297"/>
        <v/>
      </c>
      <c r="U649" s="147" t="str">
        <f t="array" ref="U649">IF(ISBLANK($R649), IF($S649,VLOOKUP($B649+1,'RFR Data - preExcl'!$BF$2:$BG1679,2,FALSE),IF($T649,INDEX('RFR Data - preExcl'!$BF$2:$BG1679,MATCH($B649,'RFR Data - preExcl'!$BF$2:$BF1679,0)+1,2),VLOOKUP($B649,'RFR Data - preExcl'!$BF$2:$BG1679,2,FALSE))),IFERROR(0/0,""))</f>
        <v/>
      </c>
      <c r="V649" s="212" t="str">
        <f t="shared" si="5"/>
        <v>RUN-COMB_2022-05-10_RFR-036</v>
      </c>
      <c r="W649" s="51"/>
      <c r="X649" s="51"/>
      <c r="Y649" s="147" t="str">
        <f t="shared" ref="Y649:Z649" si="1298">IF(_xlfn.ISFORMULA(S649),IFERROR(0/0,""),TRUE)</f>
        <v/>
      </c>
      <c r="Z649" s="147" t="str">
        <f t="shared" si="1298"/>
        <v/>
      </c>
    </row>
    <row r="650">
      <c r="A650" s="6" t="str">
        <f>IFERROR(__xludf.DUMMYFUNCTION("""COMPUTED_VALUE"""),"FM2277")</f>
        <v>FM2277</v>
      </c>
      <c r="B650" s="206">
        <f>IFERROR(__xludf.DUMMYFUNCTION("""COMPUTED_VALUE"""),44691.0)</f>
        <v>44691</v>
      </c>
      <c r="C650" s="207">
        <f>IFERROR(__xludf.DUMMYFUNCTION("""COMPUTED_VALUE"""),0.27881944444444445)</f>
        <v>0.2788194444</v>
      </c>
      <c r="D650" s="50"/>
      <c r="E650" s="58"/>
      <c r="F650" s="58"/>
      <c r="G650" s="58" t="str">
        <f>IFERROR(__xludf.DUMMYFUNCTION("""COMPUTED_VALUE"""),"Null")</f>
        <v>Null</v>
      </c>
      <c r="H650" s="206" t="str">
        <f>IFERROR(__xludf.DUMMYFUNCTION("""COMPUTED_VALUE"""),"Negative")</f>
        <v>Negative</v>
      </c>
      <c r="I650" s="207">
        <f>IFERROR(__xludf.DUMMYFUNCTION("""COMPUTED_VALUE"""),44691.0)</f>
        <v>44691</v>
      </c>
      <c r="J650" s="208">
        <f>IFERROR(__xludf.DUMMYFUNCTION("""COMPUTED_VALUE"""),0.31180555555555556)</f>
        <v>0.3118055556</v>
      </c>
      <c r="K650" s="50">
        <f>IFERROR(__xludf.DUMMYFUNCTION("""COMPUTED_VALUE"""),2.0)</f>
        <v>2</v>
      </c>
      <c r="L650" s="6"/>
      <c r="M650" s="55"/>
      <c r="N650" s="55">
        <f>IFERROR(__xludf.DUMMYFUNCTION("""COMPUTED_VALUE"""),1.0)</f>
        <v>1</v>
      </c>
      <c r="O650" s="55" t="str">
        <f t="shared" si="3"/>
        <v/>
      </c>
      <c r="P650" s="209"/>
      <c r="Q650" s="75" t="b">
        <f>VLOOKUP($B650,'Run Reconcile'!B$2:P1679,15,FALSE)</f>
        <v>1</v>
      </c>
      <c r="R650" s="211" t="str">
        <f t="array" ref="R650">IF($Q650, INDEX('Run Reconcile'!A$2:A1679,MATCH(B650,'Run Reconcile'!B$2:B1679,0),1),IFERROR(0/0,""))</f>
        <v>RUN-COMB_2022-05-10_RFR-036</v>
      </c>
      <c r="S650" s="165" t="str">
        <f t="shared" ref="S650:T650" si="1299">IF(COUNTIF(W$2:W1679, $A650) &gt; 0,TRUE,IFERROR(0/0,""))</f>
        <v/>
      </c>
      <c r="T650" s="165" t="str">
        <f t="shared" si="1299"/>
        <v/>
      </c>
      <c r="U650" s="147" t="str">
        <f t="array" ref="U650">IF(ISBLANK($R650), IF($S650,VLOOKUP($B650+1,'RFR Data - preExcl'!$BF$2:$BG1679,2,FALSE),IF($T650,INDEX('RFR Data - preExcl'!$BF$2:$BG1679,MATCH($B650,'RFR Data - preExcl'!$BF$2:$BF1679,0)+1,2),VLOOKUP($B650,'RFR Data - preExcl'!$BF$2:$BG1679,2,FALSE))),IFERROR(0/0,""))</f>
        <v/>
      </c>
      <c r="V650" s="212" t="str">
        <f t="shared" si="5"/>
        <v>RUN-COMB_2022-05-10_RFR-036</v>
      </c>
      <c r="W650" s="51"/>
      <c r="X650" s="51"/>
      <c r="Y650" s="147" t="str">
        <f t="shared" ref="Y650:Z650" si="1300">IF(_xlfn.ISFORMULA(S650),IFERROR(0/0,""),TRUE)</f>
        <v/>
      </c>
      <c r="Z650" s="147" t="str">
        <f t="shared" si="1300"/>
        <v/>
      </c>
    </row>
    <row r="651">
      <c r="A651" s="6" t="str">
        <f>IFERROR(__xludf.DUMMYFUNCTION("""COMPUTED_VALUE"""),"FM2227")</f>
        <v>FM2227</v>
      </c>
      <c r="B651" s="206">
        <f>IFERROR(__xludf.DUMMYFUNCTION("""COMPUTED_VALUE"""),44691.0)</f>
        <v>44691</v>
      </c>
      <c r="C651" s="207">
        <f>IFERROR(__xludf.DUMMYFUNCTION("""COMPUTED_VALUE"""),0.2792013888888889)</f>
        <v>0.2792013889</v>
      </c>
      <c r="D651" s="50"/>
      <c r="E651" s="58"/>
      <c r="F651" s="58"/>
      <c r="G651" s="58" t="str">
        <f>IFERROR(__xludf.DUMMYFUNCTION("""COMPUTED_VALUE"""),"Null")</f>
        <v>Null</v>
      </c>
      <c r="H651" s="206" t="str">
        <f>IFERROR(__xludf.DUMMYFUNCTION("""COMPUTED_VALUE"""),"Negative")</f>
        <v>Negative</v>
      </c>
      <c r="I651" s="207">
        <f>IFERROR(__xludf.DUMMYFUNCTION("""COMPUTED_VALUE"""),44691.0)</f>
        <v>44691</v>
      </c>
      <c r="J651" s="208">
        <f>IFERROR(__xludf.DUMMYFUNCTION("""COMPUTED_VALUE"""),0.31181712962962965)</f>
        <v>0.3118171296</v>
      </c>
      <c r="K651" s="50">
        <f>IFERROR(__xludf.DUMMYFUNCTION("""COMPUTED_VALUE"""),2.0)</f>
        <v>2</v>
      </c>
      <c r="L651" s="6"/>
      <c r="M651" s="55"/>
      <c r="N651" s="55">
        <f>IFERROR(__xludf.DUMMYFUNCTION("""COMPUTED_VALUE"""),1.0)</f>
        <v>1</v>
      </c>
      <c r="O651" s="55" t="str">
        <f t="shared" si="3"/>
        <v/>
      </c>
      <c r="P651" s="209"/>
      <c r="Q651" s="75" t="b">
        <f>VLOOKUP($B651,'Run Reconcile'!B$2:P1679,15,FALSE)</f>
        <v>1</v>
      </c>
      <c r="R651" s="211" t="str">
        <f t="array" ref="R651">IF($Q651, INDEX('Run Reconcile'!A$2:A1679,MATCH(B651,'Run Reconcile'!B$2:B1679,0),1),IFERROR(0/0,""))</f>
        <v>RUN-COMB_2022-05-10_RFR-036</v>
      </c>
      <c r="S651" s="165" t="str">
        <f t="shared" ref="S651:T651" si="1301">IF(COUNTIF(W$2:W1679, $A651) &gt; 0,TRUE,IFERROR(0/0,""))</f>
        <v/>
      </c>
      <c r="T651" s="165" t="str">
        <f t="shared" si="1301"/>
        <v/>
      </c>
      <c r="U651" s="147" t="str">
        <f t="array" ref="U651">IF(ISBLANK($R651), IF($S651,VLOOKUP($B651+1,'RFR Data - preExcl'!$BF$2:$BG1679,2,FALSE),IF($T651,INDEX('RFR Data - preExcl'!$BF$2:$BG1679,MATCH($B651,'RFR Data - preExcl'!$BF$2:$BF1679,0)+1,2),VLOOKUP($B651,'RFR Data - preExcl'!$BF$2:$BG1679,2,FALSE))),IFERROR(0/0,""))</f>
        <v/>
      </c>
      <c r="V651" s="212" t="str">
        <f t="shared" si="5"/>
        <v>RUN-COMB_2022-05-10_RFR-036</v>
      </c>
      <c r="W651" s="51"/>
      <c r="X651" s="51"/>
      <c r="Y651" s="147" t="str">
        <f t="shared" ref="Y651:Z651" si="1302">IF(_xlfn.ISFORMULA(S651),IFERROR(0/0,""),TRUE)</f>
        <v/>
      </c>
      <c r="Z651" s="147" t="str">
        <f t="shared" si="1302"/>
        <v/>
      </c>
    </row>
    <row r="652">
      <c r="A652" s="6" t="str">
        <f>IFERROR(__xludf.DUMMYFUNCTION("""COMPUTED_VALUE"""),"FM4188")</f>
        <v>FM4188</v>
      </c>
      <c r="B652" s="206">
        <f>IFERROR(__xludf.DUMMYFUNCTION("""COMPUTED_VALUE"""),44691.0)</f>
        <v>44691</v>
      </c>
      <c r="C652" s="207">
        <f>IFERROR(__xludf.DUMMYFUNCTION("""COMPUTED_VALUE"""),0.27958333333333335)</f>
        <v>0.2795833333</v>
      </c>
      <c r="D652" s="50"/>
      <c r="E652" s="58"/>
      <c r="F652" s="58"/>
      <c r="G652" s="58" t="str">
        <f>IFERROR(__xludf.DUMMYFUNCTION("""COMPUTED_VALUE"""),"Null")</f>
        <v>Null</v>
      </c>
      <c r="H652" s="206" t="str">
        <f>IFERROR(__xludf.DUMMYFUNCTION("""COMPUTED_VALUE"""),"Negative")</f>
        <v>Negative</v>
      </c>
      <c r="I652" s="207">
        <f>IFERROR(__xludf.DUMMYFUNCTION("""COMPUTED_VALUE"""),44691.0)</f>
        <v>44691</v>
      </c>
      <c r="J652" s="208">
        <f>IFERROR(__xludf.DUMMYFUNCTION("""COMPUTED_VALUE"""),0.3118402777777778)</f>
        <v>0.3118402778</v>
      </c>
      <c r="K652" s="50">
        <f>IFERROR(__xludf.DUMMYFUNCTION("""COMPUTED_VALUE"""),2.0)</f>
        <v>2</v>
      </c>
      <c r="L652" s="6"/>
      <c r="M652" s="55"/>
      <c r="N652" s="55">
        <f>IFERROR(__xludf.DUMMYFUNCTION("""COMPUTED_VALUE"""),1.0)</f>
        <v>1</v>
      </c>
      <c r="O652" s="55" t="str">
        <f t="shared" si="3"/>
        <v/>
      </c>
      <c r="P652" s="209"/>
      <c r="Q652" s="75" t="b">
        <f>VLOOKUP($B652,'Run Reconcile'!B$2:P1679,15,FALSE)</f>
        <v>1</v>
      </c>
      <c r="R652" s="211" t="str">
        <f t="array" ref="R652">IF($Q652, INDEX('Run Reconcile'!A$2:A1679,MATCH(B652,'Run Reconcile'!B$2:B1679,0),1),IFERROR(0/0,""))</f>
        <v>RUN-COMB_2022-05-10_RFR-036</v>
      </c>
      <c r="S652" s="165" t="str">
        <f t="shared" ref="S652:T652" si="1303">IF(COUNTIF(W$2:W1679, $A652) &gt; 0,TRUE,IFERROR(0/0,""))</f>
        <v/>
      </c>
      <c r="T652" s="165" t="str">
        <f t="shared" si="1303"/>
        <v/>
      </c>
      <c r="U652" s="147" t="str">
        <f t="array" ref="U652">IF(ISBLANK($R652), IF($S652,VLOOKUP($B652+1,'RFR Data - preExcl'!$BF$2:$BG1679,2,FALSE),IF($T652,INDEX('RFR Data - preExcl'!$BF$2:$BG1679,MATCH($B652,'RFR Data - preExcl'!$BF$2:$BF1679,0)+1,2),VLOOKUP($B652,'RFR Data - preExcl'!$BF$2:$BG1679,2,FALSE))),IFERROR(0/0,""))</f>
        <v/>
      </c>
      <c r="V652" s="212" t="str">
        <f t="shared" si="5"/>
        <v>RUN-COMB_2022-05-10_RFR-036</v>
      </c>
      <c r="W652" s="51"/>
      <c r="X652" s="51"/>
      <c r="Y652" s="147" t="str">
        <f t="shared" ref="Y652:Z652" si="1304">IF(_xlfn.ISFORMULA(S652),IFERROR(0/0,""),TRUE)</f>
        <v/>
      </c>
      <c r="Z652" s="147" t="str">
        <f t="shared" si="1304"/>
        <v/>
      </c>
    </row>
    <row r="653">
      <c r="A653" s="6" t="str">
        <f>IFERROR(__xludf.DUMMYFUNCTION("""COMPUTED_VALUE"""),"FM4212")</f>
        <v>FM4212</v>
      </c>
      <c r="B653" s="206">
        <f>IFERROR(__xludf.DUMMYFUNCTION("""COMPUTED_VALUE"""),44691.0)</f>
        <v>44691</v>
      </c>
      <c r="C653" s="207">
        <f>IFERROR(__xludf.DUMMYFUNCTION("""COMPUTED_VALUE"""),0.2799421296296296)</f>
        <v>0.2799421296</v>
      </c>
      <c r="D653" s="50"/>
      <c r="E653" s="58"/>
      <c r="F653" s="58"/>
      <c r="G653" s="58" t="str">
        <f>IFERROR(__xludf.DUMMYFUNCTION("""COMPUTED_VALUE"""),"Null")</f>
        <v>Null</v>
      </c>
      <c r="H653" s="206" t="str">
        <f>IFERROR(__xludf.DUMMYFUNCTION("""COMPUTED_VALUE"""),"Negative")</f>
        <v>Negative</v>
      </c>
      <c r="I653" s="207">
        <f>IFERROR(__xludf.DUMMYFUNCTION("""COMPUTED_VALUE"""),44691.0)</f>
        <v>44691</v>
      </c>
      <c r="J653" s="208">
        <f>IFERROR(__xludf.DUMMYFUNCTION("""COMPUTED_VALUE"""),0.3118634259259259)</f>
        <v>0.3118634259</v>
      </c>
      <c r="K653" s="50">
        <f>IFERROR(__xludf.DUMMYFUNCTION("""COMPUTED_VALUE"""),2.0)</f>
        <v>2</v>
      </c>
      <c r="L653" s="6"/>
      <c r="M653" s="55"/>
      <c r="N653" s="55">
        <f>IFERROR(__xludf.DUMMYFUNCTION("""COMPUTED_VALUE"""),1.0)</f>
        <v>1</v>
      </c>
      <c r="O653" s="55" t="str">
        <f t="shared" si="3"/>
        <v/>
      </c>
      <c r="P653" s="209"/>
      <c r="Q653" s="75" t="b">
        <f>VLOOKUP($B653,'Run Reconcile'!B$2:P1679,15,FALSE)</f>
        <v>1</v>
      </c>
      <c r="R653" s="211" t="str">
        <f t="array" ref="R653">IF($Q653, INDEX('Run Reconcile'!A$2:A1679,MATCH(B653,'Run Reconcile'!B$2:B1679,0),1),IFERROR(0/0,""))</f>
        <v>RUN-COMB_2022-05-10_RFR-036</v>
      </c>
      <c r="S653" s="165" t="str">
        <f t="shared" ref="S653:T653" si="1305">IF(COUNTIF(W$2:W1679, $A653) &gt; 0,TRUE,IFERROR(0/0,""))</f>
        <v/>
      </c>
      <c r="T653" s="165" t="str">
        <f t="shared" si="1305"/>
        <v/>
      </c>
      <c r="U653" s="147" t="str">
        <f t="array" ref="U653">IF(ISBLANK($R653), IF($S653,VLOOKUP($B653+1,'RFR Data - preExcl'!$BF$2:$BG1679,2,FALSE),IF($T653,INDEX('RFR Data - preExcl'!$BF$2:$BG1679,MATCH($B653,'RFR Data - preExcl'!$BF$2:$BF1679,0)+1,2),VLOOKUP($B653,'RFR Data - preExcl'!$BF$2:$BG1679,2,FALSE))),IFERROR(0/0,""))</f>
        <v/>
      </c>
      <c r="V653" s="212" t="str">
        <f t="shared" si="5"/>
        <v>RUN-COMB_2022-05-10_RFR-036</v>
      </c>
      <c r="W653" s="51"/>
      <c r="X653" s="51"/>
      <c r="Y653" s="147" t="str">
        <f t="shared" ref="Y653:Z653" si="1306">IF(_xlfn.ISFORMULA(S653),IFERROR(0/0,""),TRUE)</f>
        <v/>
      </c>
      <c r="Z653" s="147" t="str">
        <f t="shared" si="1306"/>
        <v/>
      </c>
    </row>
    <row r="654">
      <c r="A654" s="6" t="str">
        <f>IFERROR(__xludf.DUMMYFUNCTION("""COMPUTED_VALUE"""),"FM2172")</f>
        <v>FM2172</v>
      </c>
      <c r="B654" s="206">
        <f>IFERROR(__xludf.DUMMYFUNCTION("""COMPUTED_VALUE"""),44692.0)</f>
        <v>44692</v>
      </c>
      <c r="C654" s="207">
        <f>IFERROR(__xludf.DUMMYFUNCTION("""COMPUTED_VALUE"""),0.2536689814814815)</f>
        <v>0.2536689815</v>
      </c>
      <c r="D654" s="50"/>
      <c r="E654" s="58"/>
      <c r="F654" s="58"/>
      <c r="G654" s="58" t="str">
        <f>IFERROR(__xludf.DUMMYFUNCTION("""COMPUTED_VALUE"""),"Null")</f>
        <v>Null</v>
      </c>
      <c r="H654" s="206" t="str">
        <f>IFERROR(__xludf.DUMMYFUNCTION("""COMPUTED_VALUE"""),"Negative")</f>
        <v>Negative</v>
      </c>
      <c r="I654" s="207">
        <f>IFERROR(__xludf.DUMMYFUNCTION("""COMPUTED_VALUE"""),44692.0)</f>
        <v>44692</v>
      </c>
      <c r="J654" s="208">
        <f>IFERROR(__xludf.DUMMYFUNCTION("""COMPUTED_VALUE"""),0.33108796296296295)</f>
        <v>0.331087963</v>
      </c>
      <c r="K654" s="50">
        <f>IFERROR(__xludf.DUMMYFUNCTION("""COMPUTED_VALUE"""),2.0)</f>
        <v>2</v>
      </c>
      <c r="L654" s="6"/>
      <c r="M654" s="55"/>
      <c r="N654" s="55">
        <f>IFERROR(__xludf.DUMMYFUNCTION("""COMPUTED_VALUE"""),1.0)</f>
        <v>1</v>
      </c>
      <c r="O654" s="55" t="b">
        <f t="shared" si="3"/>
        <v>1</v>
      </c>
      <c r="P654" s="209"/>
      <c r="Q654" s="75" t="b">
        <f>VLOOKUP($B654,'Run Reconcile'!B$2:P1679,15,FALSE)</f>
        <v>1</v>
      </c>
      <c r="R654" s="211" t="str">
        <f t="array" ref="R654">IF($Q654, INDEX('Run Reconcile'!A$2:A1679,MATCH(B654,'Run Reconcile'!B$2:B1679,0),1),IFERROR(0/0,""))</f>
        <v>RUN-COMB_2022-05-11_RFR-037</v>
      </c>
      <c r="S654" s="165" t="str">
        <f t="shared" ref="S654:T654" si="1307">IF(COUNTIF(W$2:W1679, $A654) &gt; 0,TRUE,IFERROR(0/0,""))</f>
        <v/>
      </c>
      <c r="T654" s="165" t="str">
        <f t="shared" si="1307"/>
        <v/>
      </c>
      <c r="U654" s="147" t="str">
        <f t="array" ref="U654">IF(ISBLANK($R654), IF($S654,VLOOKUP($B654+1,'RFR Data - preExcl'!$BF$2:$BG1679,2,FALSE),IF($T654,INDEX('RFR Data - preExcl'!$BF$2:$BG1679,MATCH($B654,'RFR Data - preExcl'!$BF$2:$BF1679,0)+1,2),VLOOKUP($B654,'RFR Data - preExcl'!$BF$2:$BG1679,2,FALSE))),IFERROR(0/0,""))</f>
        <v/>
      </c>
      <c r="V654" s="212" t="str">
        <f t="shared" si="5"/>
        <v>RUN-COMB_2022-05-11_RFR-037</v>
      </c>
      <c r="W654" s="51"/>
      <c r="X654" s="51"/>
      <c r="Y654" s="147" t="str">
        <f t="shared" ref="Y654:Z654" si="1308">IF(_xlfn.ISFORMULA(S654),IFERROR(0/0,""),TRUE)</f>
        <v/>
      </c>
      <c r="Z654" s="147" t="str">
        <f t="shared" si="1308"/>
        <v/>
      </c>
    </row>
    <row r="655">
      <c r="A655" s="6" t="str">
        <f>IFERROR(__xludf.DUMMYFUNCTION("""COMPUTED_VALUE"""),"FM2279")</f>
        <v>FM2279</v>
      </c>
      <c r="B655" s="206">
        <f>IFERROR(__xludf.DUMMYFUNCTION("""COMPUTED_VALUE"""),44692.0)</f>
        <v>44692</v>
      </c>
      <c r="C655" s="207">
        <f>IFERROR(__xludf.DUMMYFUNCTION("""COMPUTED_VALUE"""),0.2540162037037037)</f>
        <v>0.2540162037</v>
      </c>
      <c r="D655" s="50"/>
      <c r="E655" s="58"/>
      <c r="F655" s="58"/>
      <c r="G655" s="58" t="str">
        <f>IFERROR(__xludf.DUMMYFUNCTION("""COMPUTED_VALUE"""),"Null")</f>
        <v>Null</v>
      </c>
      <c r="H655" s="206" t="str">
        <f>IFERROR(__xludf.DUMMYFUNCTION("""COMPUTED_VALUE"""),"Negative")</f>
        <v>Negative</v>
      </c>
      <c r="I655" s="207">
        <f>IFERROR(__xludf.DUMMYFUNCTION("""COMPUTED_VALUE"""),44692.0)</f>
        <v>44692</v>
      </c>
      <c r="J655" s="208">
        <f>IFERROR(__xludf.DUMMYFUNCTION("""COMPUTED_VALUE"""),0.33111111111111113)</f>
        <v>0.3311111111</v>
      </c>
      <c r="K655" s="50">
        <f>IFERROR(__xludf.DUMMYFUNCTION("""COMPUTED_VALUE"""),2.0)</f>
        <v>2</v>
      </c>
      <c r="L655" s="6"/>
      <c r="M655" s="55"/>
      <c r="N655" s="55">
        <f>IFERROR(__xludf.DUMMYFUNCTION("""COMPUTED_VALUE"""),1.0)</f>
        <v>1</v>
      </c>
      <c r="O655" s="55" t="str">
        <f t="shared" si="3"/>
        <v/>
      </c>
      <c r="P655" s="209"/>
      <c r="Q655" s="75" t="b">
        <f>VLOOKUP($B655,'Run Reconcile'!B$2:P1679,15,FALSE)</f>
        <v>1</v>
      </c>
      <c r="R655" s="211" t="str">
        <f t="array" ref="R655">IF($Q655, INDEX('Run Reconcile'!A$2:A1679,MATCH(B655,'Run Reconcile'!B$2:B1679,0),1),IFERROR(0/0,""))</f>
        <v>RUN-COMB_2022-05-11_RFR-037</v>
      </c>
      <c r="S655" s="165" t="str">
        <f t="shared" ref="S655:T655" si="1309">IF(COUNTIF(W$2:W1679, $A655) &gt; 0,TRUE,IFERROR(0/0,""))</f>
        <v/>
      </c>
      <c r="T655" s="165" t="str">
        <f t="shared" si="1309"/>
        <v/>
      </c>
      <c r="U655" s="147" t="str">
        <f t="array" ref="U655">IF(ISBLANK($R655), IF($S655,VLOOKUP($B655+1,'RFR Data - preExcl'!$BF$2:$BG1679,2,FALSE),IF($T655,INDEX('RFR Data - preExcl'!$BF$2:$BG1679,MATCH($B655,'RFR Data - preExcl'!$BF$2:$BF1679,0)+1,2),VLOOKUP($B655,'RFR Data - preExcl'!$BF$2:$BG1679,2,FALSE))),IFERROR(0/0,""))</f>
        <v/>
      </c>
      <c r="V655" s="212" t="str">
        <f t="shared" si="5"/>
        <v>RUN-COMB_2022-05-11_RFR-037</v>
      </c>
      <c r="W655" s="51"/>
      <c r="X655" s="51"/>
      <c r="Y655" s="147" t="str">
        <f t="shared" ref="Y655:Z655" si="1310">IF(_xlfn.ISFORMULA(S655),IFERROR(0/0,""),TRUE)</f>
        <v/>
      </c>
      <c r="Z655" s="147" t="str">
        <f t="shared" si="1310"/>
        <v/>
      </c>
    </row>
    <row r="656">
      <c r="A656" s="6" t="str">
        <f>IFERROR(__xludf.DUMMYFUNCTION("""COMPUTED_VALUE"""),"FM2229")</f>
        <v>FM2229</v>
      </c>
      <c r="B656" s="206">
        <f>IFERROR(__xludf.DUMMYFUNCTION("""COMPUTED_VALUE"""),44692.0)</f>
        <v>44692</v>
      </c>
      <c r="C656" s="207">
        <f>IFERROR(__xludf.DUMMYFUNCTION("""COMPUTED_VALUE"""),0.2544212962962963)</f>
        <v>0.2544212963</v>
      </c>
      <c r="D656" s="50"/>
      <c r="E656" s="58"/>
      <c r="F656" s="58"/>
      <c r="G656" s="58" t="str">
        <f>IFERROR(__xludf.DUMMYFUNCTION("""COMPUTED_VALUE"""),"Null")</f>
        <v>Null</v>
      </c>
      <c r="H656" s="206" t="str">
        <f>IFERROR(__xludf.DUMMYFUNCTION("""COMPUTED_VALUE"""),"Negative")</f>
        <v>Negative</v>
      </c>
      <c r="I656" s="207">
        <f>IFERROR(__xludf.DUMMYFUNCTION("""COMPUTED_VALUE"""),44692.0)</f>
        <v>44692</v>
      </c>
      <c r="J656" s="208">
        <f>IFERROR(__xludf.DUMMYFUNCTION("""COMPUTED_VALUE"""),0.33113425925925927)</f>
        <v>0.3311342593</v>
      </c>
      <c r="K656" s="50">
        <f>IFERROR(__xludf.DUMMYFUNCTION("""COMPUTED_VALUE"""),2.0)</f>
        <v>2</v>
      </c>
      <c r="L656" s="6"/>
      <c r="M656" s="55"/>
      <c r="N656" s="55">
        <f>IFERROR(__xludf.DUMMYFUNCTION("""COMPUTED_VALUE"""),1.0)</f>
        <v>1</v>
      </c>
      <c r="O656" s="55" t="str">
        <f t="shared" si="3"/>
        <v/>
      </c>
      <c r="P656" s="209"/>
      <c r="Q656" s="75" t="b">
        <f>VLOOKUP($B656,'Run Reconcile'!B$2:P1679,15,FALSE)</f>
        <v>1</v>
      </c>
      <c r="R656" s="211" t="str">
        <f t="array" ref="R656">IF($Q656, INDEX('Run Reconcile'!A$2:A1679,MATCH(B656,'Run Reconcile'!B$2:B1679,0),1),IFERROR(0/0,""))</f>
        <v>RUN-COMB_2022-05-11_RFR-037</v>
      </c>
      <c r="S656" s="165" t="str">
        <f t="shared" ref="S656:T656" si="1311">IF(COUNTIF(W$2:W1679, $A656) &gt; 0,TRUE,IFERROR(0/0,""))</f>
        <v/>
      </c>
      <c r="T656" s="165" t="str">
        <f t="shared" si="1311"/>
        <v/>
      </c>
      <c r="U656" s="147" t="str">
        <f t="array" ref="U656">IF(ISBLANK($R656), IF($S656,VLOOKUP($B656+1,'RFR Data - preExcl'!$BF$2:$BG1679,2,FALSE),IF($T656,INDEX('RFR Data - preExcl'!$BF$2:$BG1679,MATCH($B656,'RFR Data - preExcl'!$BF$2:$BF1679,0)+1,2),VLOOKUP($B656,'RFR Data - preExcl'!$BF$2:$BG1679,2,FALSE))),IFERROR(0/0,""))</f>
        <v/>
      </c>
      <c r="V656" s="212" t="str">
        <f t="shared" si="5"/>
        <v>RUN-COMB_2022-05-11_RFR-037</v>
      </c>
      <c r="W656" s="51"/>
      <c r="X656" s="51"/>
      <c r="Y656" s="147" t="str">
        <f t="shared" ref="Y656:Z656" si="1312">IF(_xlfn.ISFORMULA(S656),IFERROR(0/0,""),TRUE)</f>
        <v/>
      </c>
      <c r="Z656" s="147" t="str">
        <f t="shared" si="1312"/>
        <v/>
      </c>
    </row>
    <row r="657">
      <c r="A657" s="6" t="str">
        <f>IFERROR(__xludf.DUMMYFUNCTION("""COMPUTED_VALUE"""),"FM2211")</f>
        <v>FM2211</v>
      </c>
      <c r="B657" s="206">
        <f>IFERROR(__xludf.DUMMYFUNCTION("""COMPUTED_VALUE"""),44692.0)</f>
        <v>44692</v>
      </c>
      <c r="C657" s="207">
        <f>IFERROR(__xludf.DUMMYFUNCTION("""COMPUTED_VALUE"""),0.25472222222222224)</f>
        <v>0.2547222222</v>
      </c>
      <c r="D657" s="50"/>
      <c r="E657" s="58"/>
      <c r="F657" s="58"/>
      <c r="G657" s="58" t="str">
        <f>IFERROR(__xludf.DUMMYFUNCTION("""COMPUTED_VALUE"""),"Null")</f>
        <v>Null</v>
      </c>
      <c r="H657" s="206" t="str">
        <f>IFERROR(__xludf.DUMMYFUNCTION("""COMPUTED_VALUE"""),"Negative")</f>
        <v>Negative</v>
      </c>
      <c r="I657" s="207">
        <f>IFERROR(__xludf.DUMMYFUNCTION("""COMPUTED_VALUE"""),44692.0)</f>
        <v>44692</v>
      </c>
      <c r="J657" s="208">
        <f>IFERROR(__xludf.DUMMYFUNCTION("""COMPUTED_VALUE"""),0.3311689814814815)</f>
        <v>0.3311689815</v>
      </c>
      <c r="K657" s="50">
        <f>IFERROR(__xludf.DUMMYFUNCTION("""COMPUTED_VALUE"""),2.0)</f>
        <v>2</v>
      </c>
      <c r="L657" s="6"/>
      <c r="M657" s="55"/>
      <c r="N657" s="55">
        <f>IFERROR(__xludf.DUMMYFUNCTION("""COMPUTED_VALUE"""),1.0)</f>
        <v>1</v>
      </c>
      <c r="O657" s="55" t="str">
        <f t="shared" si="3"/>
        <v/>
      </c>
      <c r="P657" s="209"/>
      <c r="Q657" s="75" t="b">
        <f>VLOOKUP($B657,'Run Reconcile'!B$2:P1679,15,FALSE)</f>
        <v>1</v>
      </c>
      <c r="R657" s="211" t="str">
        <f t="array" ref="R657">IF($Q657, INDEX('Run Reconcile'!A$2:A1679,MATCH(B657,'Run Reconcile'!B$2:B1679,0),1),IFERROR(0/0,""))</f>
        <v>RUN-COMB_2022-05-11_RFR-037</v>
      </c>
      <c r="S657" s="165" t="str">
        <f t="shared" ref="S657:T657" si="1313">IF(COUNTIF(W$2:W1679, $A657) &gt; 0,TRUE,IFERROR(0/0,""))</f>
        <v/>
      </c>
      <c r="T657" s="165" t="str">
        <f t="shared" si="1313"/>
        <v/>
      </c>
      <c r="U657" s="147" t="str">
        <f t="array" ref="U657">IF(ISBLANK($R657), IF($S657,VLOOKUP($B657+1,'RFR Data - preExcl'!$BF$2:$BG1679,2,FALSE),IF($T657,INDEX('RFR Data - preExcl'!$BF$2:$BG1679,MATCH($B657,'RFR Data - preExcl'!$BF$2:$BF1679,0)+1,2),VLOOKUP($B657,'RFR Data - preExcl'!$BF$2:$BG1679,2,FALSE))),IFERROR(0/0,""))</f>
        <v/>
      </c>
      <c r="V657" s="212" t="str">
        <f t="shared" si="5"/>
        <v>RUN-COMB_2022-05-11_RFR-037</v>
      </c>
      <c r="W657" s="51"/>
      <c r="X657" s="51"/>
      <c r="Y657" s="147" t="str">
        <f t="shared" ref="Y657:Z657" si="1314">IF(_xlfn.ISFORMULA(S657),IFERROR(0/0,""),TRUE)</f>
        <v/>
      </c>
      <c r="Z657" s="147" t="str">
        <f t="shared" si="1314"/>
        <v/>
      </c>
    </row>
    <row r="658">
      <c r="A658" s="6" t="str">
        <f>IFERROR(__xludf.DUMMYFUNCTION("""COMPUTED_VALUE"""),"FM2278")</f>
        <v>FM2278</v>
      </c>
      <c r="B658" s="206">
        <f>IFERROR(__xludf.DUMMYFUNCTION("""COMPUTED_VALUE"""),44692.0)</f>
        <v>44692</v>
      </c>
      <c r="C658" s="207">
        <f>IFERROR(__xludf.DUMMYFUNCTION("""COMPUTED_VALUE"""),0.25504629629629627)</f>
        <v>0.2550462963</v>
      </c>
      <c r="D658" s="50"/>
      <c r="E658" s="58"/>
      <c r="F658" s="58"/>
      <c r="G658" s="58" t="str">
        <f>IFERROR(__xludf.DUMMYFUNCTION("""COMPUTED_VALUE"""),"Null")</f>
        <v>Null</v>
      </c>
      <c r="H658" s="206" t="str">
        <f>IFERROR(__xludf.DUMMYFUNCTION("""COMPUTED_VALUE"""),"Negative")</f>
        <v>Negative</v>
      </c>
      <c r="I658" s="207">
        <f>IFERROR(__xludf.DUMMYFUNCTION("""COMPUTED_VALUE"""),44692.0)</f>
        <v>44692</v>
      </c>
      <c r="J658" s="208">
        <f>IFERROR(__xludf.DUMMYFUNCTION("""COMPUTED_VALUE"""),0.33119212962962963)</f>
        <v>0.3311921296</v>
      </c>
      <c r="K658" s="50">
        <f>IFERROR(__xludf.DUMMYFUNCTION("""COMPUTED_VALUE"""),2.0)</f>
        <v>2</v>
      </c>
      <c r="L658" s="6"/>
      <c r="M658" s="55"/>
      <c r="N658" s="55">
        <f>IFERROR(__xludf.DUMMYFUNCTION("""COMPUTED_VALUE"""),1.0)</f>
        <v>1</v>
      </c>
      <c r="O658" s="55" t="str">
        <f t="shared" si="3"/>
        <v/>
      </c>
      <c r="P658" s="209"/>
      <c r="Q658" s="75" t="b">
        <f>VLOOKUP($B658,'Run Reconcile'!B$2:P1679,15,FALSE)</f>
        <v>1</v>
      </c>
      <c r="R658" s="211" t="str">
        <f t="array" ref="R658">IF($Q658, INDEX('Run Reconcile'!A$2:A1679,MATCH(B658,'Run Reconcile'!B$2:B1679,0),1),IFERROR(0/0,""))</f>
        <v>RUN-COMB_2022-05-11_RFR-037</v>
      </c>
      <c r="S658" s="165" t="str">
        <f t="shared" ref="S658:T658" si="1315">IF(COUNTIF(W$2:W1679, $A658) &gt; 0,TRUE,IFERROR(0/0,""))</f>
        <v/>
      </c>
      <c r="T658" s="165" t="str">
        <f t="shared" si="1315"/>
        <v/>
      </c>
      <c r="U658" s="147" t="str">
        <f t="array" ref="U658">IF(ISBLANK($R658), IF($S658,VLOOKUP($B658+1,'RFR Data - preExcl'!$BF$2:$BG1679,2,FALSE),IF($T658,INDEX('RFR Data - preExcl'!$BF$2:$BG1679,MATCH($B658,'RFR Data - preExcl'!$BF$2:$BF1679,0)+1,2),VLOOKUP($B658,'RFR Data - preExcl'!$BF$2:$BG1679,2,FALSE))),IFERROR(0/0,""))</f>
        <v/>
      </c>
      <c r="V658" s="212" t="str">
        <f t="shared" si="5"/>
        <v>RUN-COMB_2022-05-11_RFR-037</v>
      </c>
      <c r="W658" s="51"/>
      <c r="X658" s="51"/>
      <c r="Y658" s="147" t="str">
        <f t="shared" ref="Y658:Z658" si="1316">IF(_xlfn.ISFORMULA(S658),IFERROR(0/0,""),TRUE)</f>
        <v/>
      </c>
      <c r="Z658" s="147" t="str">
        <f t="shared" si="1316"/>
        <v/>
      </c>
    </row>
    <row r="659">
      <c r="A659" s="6" t="str">
        <f>IFERROR(__xludf.DUMMYFUNCTION("""COMPUTED_VALUE"""),"FM2230")</f>
        <v>FM2230</v>
      </c>
      <c r="B659" s="206">
        <f>IFERROR(__xludf.DUMMYFUNCTION("""COMPUTED_VALUE"""),44692.0)</f>
        <v>44692</v>
      </c>
      <c r="C659" s="207">
        <f>IFERROR(__xludf.DUMMYFUNCTION("""COMPUTED_VALUE"""),0.2561574074074074)</f>
        <v>0.2561574074</v>
      </c>
      <c r="D659" s="50"/>
      <c r="E659" s="58"/>
      <c r="F659" s="58"/>
      <c r="G659" s="58" t="str">
        <f>IFERROR(__xludf.DUMMYFUNCTION("""COMPUTED_VALUE"""),"Null")</f>
        <v>Null</v>
      </c>
      <c r="H659" s="206" t="str">
        <f>IFERROR(__xludf.DUMMYFUNCTION("""COMPUTED_VALUE"""),"Negative")</f>
        <v>Negative</v>
      </c>
      <c r="I659" s="207">
        <f>IFERROR(__xludf.DUMMYFUNCTION("""COMPUTED_VALUE"""),44692.0)</f>
        <v>44692</v>
      </c>
      <c r="J659" s="208">
        <f>IFERROR(__xludf.DUMMYFUNCTION("""COMPUTED_VALUE"""),0.3312037037037037)</f>
        <v>0.3312037037</v>
      </c>
      <c r="K659" s="50">
        <f>IFERROR(__xludf.DUMMYFUNCTION("""COMPUTED_VALUE"""),2.0)</f>
        <v>2</v>
      </c>
      <c r="L659" s="6"/>
      <c r="M659" s="55"/>
      <c r="N659" s="55">
        <f>IFERROR(__xludf.DUMMYFUNCTION("""COMPUTED_VALUE"""),1.0)</f>
        <v>1</v>
      </c>
      <c r="O659" s="55" t="str">
        <f t="shared" si="3"/>
        <v/>
      </c>
      <c r="P659" s="209"/>
      <c r="Q659" s="75" t="b">
        <f>VLOOKUP($B659,'Run Reconcile'!B$2:P1679,15,FALSE)</f>
        <v>1</v>
      </c>
      <c r="R659" s="211" t="str">
        <f t="array" ref="R659">IF($Q659, INDEX('Run Reconcile'!A$2:A1679,MATCH(B659,'Run Reconcile'!B$2:B1679,0),1),IFERROR(0/0,""))</f>
        <v>RUN-COMB_2022-05-11_RFR-037</v>
      </c>
      <c r="S659" s="165" t="str">
        <f t="shared" ref="S659:T659" si="1317">IF(COUNTIF(W$2:W1679, $A659) &gt; 0,TRUE,IFERROR(0/0,""))</f>
        <v/>
      </c>
      <c r="T659" s="165" t="str">
        <f t="shared" si="1317"/>
        <v/>
      </c>
      <c r="U659" s="147" t="str">
        <f t="array" ref="U659">IF(ISBLANK($R659), IF($S659,VLOOKUP($B659+1,'RFR Data - preExcl'!$BF$2:$BG1679,2,FALSE),IF($T659,INDEX('RFR Data - preExcl'!$BF$2:$BG1679,MATCH($B659,'RFR Data - preExcl'!$BF$2:$BF1679,0)+1,2),VLOOKUP($B659,'RFR Data - preExcl'!$BF$2:$BG1679,2,FALSE))),IFERROR(0/0,""))</f>
        <v/>
      </c>
      <c r="V659" s="212" t="str">
        <f t="shared" si="5"/>
        <v>RUN-COMB_2022-05-11_RFR-037</v>
      </c>
      <c r="W659" s="51"/>
      <c r="X659" s="51"/>
      <c r="Y659" s="147" t="str">
        <f t="shared" ref="Y659:Z659" si="1318">IF(_xlfn.ISFORMULA(S659),IFERROR(0/0,""),TRUE)</f>
        <v/>
      </c>
      <c r="Z659" s="147" t="str">
        <f t="shared" si="1318"/>
        <v/>
      </c>
    </row>
    <row r="660">
      <c r="A660" s="6" t="str">
        <f>IFERROR(__xludf.DUMMYFUNCTION("""COMPUTED_VALUE"""),"FM2176")</f>
        <v>FM2176</v>
      </c>
      <c r="B660" s="206">
        <f>IFERROR(__xludf.DUMMYFUNCTION("""COMPUTED_VALUE"""),44692.0)</f>
        <v>44692</v>
      </c>
      <c r="C660" s="207">
        <f>IFERROR(__xludf.DUMMYFUNCTION("""COMPUTED_VALUE"""),0.2726851851851852)</f>
        <v>0.2726851852</v>
      </c>
      <c r="D660" s="50"/>
      <c r="E660" s="58"/>
      <c r="F660" s="58"/>
      <c r="G660" s="58" t="str">
        <f>IFERROR(__xludf.DUMMYFUNCTION("""COMPUTED_VALUE"""),"Null")</f>
        <v>Null</v>
      </c>
      <c r="H660" s="206" t="str">
        <f>IFERROR(__xludf.DUMMYFUNCTION("""COMPUTED_VALUE"""),"Negative")</f>
        <v>Negative</v>
      </c>
      <c r="I660" s="207">
        <f>IFERROR(__xludf.DUMMYFUNCTION("""COMPUTED_VALUE"""),44692.0)</f>
        <v>44692</v>
      </c>
      <c r="J660" s="208">
        <f>IFERROR(__xludf.DUMMYFUNCTION("""COMPUTED_VALUE"""),0.33121527777777776)</f>
        <v>0.3312152778</v>
      </c>
      <c r="K660" s="50">
        <f>IFERROR(__xludf.DUMMYFUNCTION("""COMPUTED_VALUE"""),2.0)</f>
        <v>2</v>
      </c>
      <c r="L660" s="6"/>
      <c r="M660" s="55"/>
      <c r="N660" s="55">
        <f>IFERROR(__xludf.DUMMYFUNCTION("""COMPUTED_VALUE"""),1.0)</f>
        <v>1</v>
      </c>
      <c r="O660" s="55" t="str">
        <f t="shared" si="3"/>
        <v/>
      </c>
      <c r="P660" s="209"/>
      <c r="Q660" s="75" t="b">
        <f>VLOOKUP($B660,'Run Reconcile'!B$2:P1679,15,FALSE)</f>
        <v>1</v>
      </c>
      <c r="R660" s="211" t="str">
        <f t="array" ref="R660">IF($Q660, INDEX('Run Reconcile'!A$2:A1679,MATCH(B660,'Run Reconcile'!B$2:B1679,0),1),IFERROR(0/0,""))</f>
        <v>RUN-COMB_2022-05-11_RFR-037</v>
      </c>
      <c r="S660" s="165" t="str">
        <f t="shared" ref="S660:T660" si="1319">IF(COUNTIF(W$2:W1679, $A660) &gt; 0,TRUE,IFERROR(0/0,""))</f>
        <v/>
      </c>
      <c r="T660" s="165" t="str">
        <f t="shared" si="1319"/>
        <v/>
      </c>
      <c r="U660" s="147" t="str">
        <f t="array" ref="U660">IF(ISBLANK($R660), IF($S660,VLOOKUP($B660+1,'RFR Data - preExcl'!$BF$2:$BG1679,2,FALSE),IF($T660,INDEX('RFR Data - preExcl'!$BF$2:$BG1679,MATCH($B660,'RFR Data - preExcl'!$BF$2:$BF1679,0)+1,2),VLOOKUP($B660,'RFR Data - preExcl'!$BF$2:$BG1679,2,FALSE))),IFERROR(0/0,""))</f>
        <v/>
      </c>
      <c r="V660" s="212" t="str">
        <f t="shared" si="5"/>
        <v>RUN-COMB_2022-05-11_RFR-037</v>
      </c>
      <c r="W660" s="51"/>
      <c r="X660" s="51"/>
      <c r="Y660" s="147" t="str">
        <f t="shared" ref="Y660:Z660" si="1320">IF(_xlfn.ISFORMULA(S660),IFERROR(0/0,""),TRUE)</f>
        <v/>
      </c>
      <c r="Z660" s="147" t="str">
        <f t="shared" si="1320"/>
        <v/>
      </c>
    </row>
    <row r="661">
      <c r="A661" s="6" t="str">
        <f>IFERROR(__xludf.DUMMYFUNCTION("""COMPUTED_VALUE"""),"FM2243")</f>
        <v>FM2243</v>
      </c>
      <c r="B661" s="206">
        <f>IFERROR(__xludf.DUMMYFUNCTION("""COMPUTED_VALUE"""),44692.0)</f>
        <v>44692</v>
      </c>
      <c r="C661" s="207">
        <f>IFERROR(__xludf.DUMMYFUNCTION("""COMPUTED_VALUE"""),0.27306712962962965)</f>
        <v>0.2730671296</v>
      </c>
      <c r="D661" s="50"/>
      <c r="E661" s="58"/>
      <c r="F661" s="58"/>
      <c r="G661" s="58" t="str">
        <f>IFERROR(__xludf.DUMMYFUNCTION("""COMPUTED_VALUE"""),"Null")</f>
        <v>Null</v>
      </c>
      <c r="H661" s="206" t="str">
        <f>IFERROR(__xludf.DUMMYFUNCTION("""COMPUTED_VALUE"""),"Negative")</f>
        <v>Negative</v>
      </c>
      <c r="I661" s="207">
        <f>IFERROR(__xludf.DUMMYFUNCTION("""COMPUTED_VALUE"""),44692.0)</f>
        <v>44692</v>
      </c>
      <c r="J661" s="208">
        <f>IFERROR(__xludf.DUMMYFUNCTION("""COMPUTED_VALUE"""),0.33123842592592595)</f>
        <v>0.3312384259</v>
      </c>
      <c r="K661" s="50">
        <f>IFERROR(__xludf.DUMMYFUNCTION("""COMPUTED_VALUE"""),2.0)</f>
        <v>2</v>
      </c>
      <c r="L661" s="6"/>
      <c r="M661" s="55"/>
      <c r="N661" s="55">
        <f>IFERROR(__xludf.DUMMYFUNCTION("""COMPUTED_VALUE"""),1.0)</f>
        <v>1</v>
      </c>
      <c r="O661" s="55" t="str">
        <f t="shared" si="3"/>
        <v/>
      </c>
      <c r="P661" s="209"/>
      <c r="Q661" s="75" t="b">
        <f>VLOOKUP($B661,'Run Reconcile'!B$2:P1679,15,FALSE)</f>
        <v>1</v>
      </c>
      <c r="R661" s="211" t="str">
        <f t="array" ref="R661">IF($Q661, INDEX('Run Reconcile'!A$2:A1679,MATCH(B661,'Run Reconcile'!B$2:B1679,0),1),IFERROR(0/0,""))</f>
        <v>RUN-COMB_2022-05-11_RFR-037</v>
      </c>
      <c r="S661" s="165" t="str">
        <f t="shared" ref="S661:T661" si="1321">IF(COUNTIF(W$2:W1679, $A661) &gt; 0,TRUE,IFERROR(0/0,""))</f>
        <v/>
      </c>
      <c r="T661" s="165" t="str">
        <f t="shared" si="1321"/>
        <v/>
      </c>
      <c r="U661" s="147" t="str">
        <f t="array" ref="U661">IF(ISBLANK($R661), IF($S661,VLOOKUP($B661+1,'RFR Data - preExcl'!$BF$2:$BG1679,2,FALSE),IF($T661,INDEX('RFR Data - preExcl'!$BF$2:$BG1679,MATCH($B661,'RFR Data - preExcl'!$BF$2:$BF1679,0)+1,2),VLOOKUP($B661,'RFR Data - preExcl'!$BF$2:$BG1679,2,FALSE))),IFERROR(0/0,""))</f>
        <v/>
      </c>
      <c r="V661" s="212" t="str">
        <f t="shared" si="5"/>
        <v>RUN-COMB_2022-05-11_RFR-037</v>
      </c>
      <c r="W661" s="51"/>
      <c r="X661" s="51"/>
      <c r="Y661" s="147" t="str">
        <f t="shared" ref="Y661:Z661" si="1322">IF(_xlfn.ISFORMULA(S661),IFERROR(0/0,""),TRUE)</f>
        <v/>
      </c>
      <c r="Z661" s="147" t="str">
        <f t="shared" si="1322"/>
        <v/>
      </c>
    </row>
    <row r="662">
      <c r="A662" s="6" t="str">
        <f>IFERROR(__xludf.DUMMYFUNCTION("""COMPUTED_VALUE"""),"FM2285")</f>
        <v>FM2285</v>
      </c>
      <c r="B662" s="206">
        <f>IFERROR(__xludf.DUMMYFUNCTION("""COMPUTED_VALUE"""),44692.0)</f>
        <v>44692</v>
      </c>
      <c r="C662" s="207">
        <f>IFERROR(__xludf.DUMMYFUNCTION("""COMPUTED_VALUE"""),0.2736689814814815)</f>
        <v>0.2736689815</v>
      </c>
      <c r="D662" s="50"/>
      <c r="E662" s="58"/>
      <c r="F662" s="58"/>
      <c r="G662" s="58" t="str">
        <f>IFERROR(__xludf.DUMMYFUNCTION("""COMPUTED_VALUE"""),"Null")</f>
        <v>Null</v>
      </c>
      <c r="H662" s="206" t="str">
        <f>IFERROR(__xludf.DUMMYFUNCTION("""COMPUTED_VALUE"""),"Negative")</f>
        <v>Negative</v>
      </c>
      <c r="I662" s="207">
        <f>IFERROR(__xludf.DUMMYFUNCTION("""COMPUTED_VALUE"""),44692.0)</f>
        <v>44692</v>
      </c>
      <c r="J662" s="208">
        <f>IFERROR(__xludf.DUMMYFUNCTION("""COMPUTED_VALUE"""),0.3312615740740741)</f>
        <v>0.3312615741</v>
      </c>
      <c r="K662" s="50">
        <f>IFERROR(__xludf.DUMMYFUNCTION("""COMPUTED_VALUE"""),2.0)</f>
        <v>2</v>
      </c>
      <c r="L662" s="6"/>
      <c r="M662" s="55"/>
      <c r="N662" s="55">
        <f>IFERROR(__xludf.DUMMYFUNCTION("""COMPUTED_VALUE"""),1.0)</f>
        <v>1</v>
      </c>
      <c r="O662" s="55" t="str">
        <f t="shared" si="3"/>
        <v/>
      </c>
      <c r="P662" s="209"/>
      <c r="Q662" s="75" t="b">
        <f>VLOOKUP($B662,'Run Reconcile'!B$2:P1679,15,FALSE)</f>
        <v>1</v>
      </c>
      <c r="R662" s="211" t="str">
        <f t="array" ref="R662">IF($Q662, INDEX('Run Reconcile'!A$2:A1679,MATCH(B662,'Run Reconcile'!B$2:B1679,0),1),IFERROR(0/0,""))</f>
        <v>RUN-COMB_2022-05-11_RFR-037</v>
      </c>
      <c r="S662" s="165" t="str">
        <f t="shared" ref="S662:T662" si="1323">IF(COUNTIF(W$2:W1679, $A662) &gt; 0,TRUE,IFERROR(0/0,""))</f>
        <v/>
      </c>
      <c r="T662" s="165" t="str">
        <f t="shared" si="1323"/>
        <v/>
      </c>
      <c r="U662" s="147" t="str">
        <f t="array" ref="U662">IF(ISBLANK($R662), IF($S662,VLOOKUP($B662+1,'RFR Data - preExcl'!$BF$2:$BG1679,2,FALSE),IF($T662,INDEX('RFR Data - preExcl'!$BF$2:$BG1679,MATCH($B662,'RFR Data - preExcl'!$BF$2:$BF1679,0)+1,2),VLOOKUP($B662,'RFR Data - preExcl'!$BF$2:$BG1679,2,FALSE))),IFERROR(0/0,""))</f>
        <v/>
      </c>
      <c r="V662" s="212" t="str">
        <f t="shared" si="5"/>
        <v>RUN-COMB_2022-05-11_RFR-037</v>
      </c>
      <c r="W662" s="51"/>
      <c r="X662" s="51"/>
      <c r="Y662" s="147" t="str">
        <f t="shared" ref="Y662:Z662" si="1324">IF(_xlfn.ISFORMULA(S662),IFERROR(0/0,""),TRUE)</f>
        <v/>
      </c>
      <c r="Z662" s="147" t="str">
        <f t="shared" si="1324"/>
        <v/>
      </c>
    </row>
    <row r="663">
      <c r="A663" s="6" t="str">
        <f>IFERROR(__xludf.DUMMYFUNCTION("""COMPUTED_VALUE"""),"FM2309")</f>
        <v>FM2309</v>
      </c>
      <c r="B663" s="206">
        <f>IFERROR(__xludf.DUMMYFUNCTION("""COMPUTED_VALUE"""),44692.0)</f>
        <v>44692</v>
      </c>
      <c r="C663" s="207">
        <f>IFERROR(__xludf.DUMMYFUNCTION("""COMPUTED_VALUE"""),0.2743865740740741)</f>
        <v>0.2743865741</v>
      </c>
      <c r="D663" s="50"/>
      <c r="E663" s="58"/>
      <c r="F663" s="58"/>
      <c r="G663" s="58" t="str">
        <f>IFERROR(__xludf.DUMMYFUNCTION("""COMPUTED_VALUE"""),"Null")</f>
        <v>Null</v>
      </c>
      <c r="H663" s="206" t="str">
        <f>IFERROR(__xludf.DUMMYFUNCTION("""COMPUTED_VALUE"""),"Negative")</f>
        <v>Negative</v>
      </c>
      <c r="I663" s="207">
        <f>IFERROR(__xludf.DUMMYFUNCTION("""COMPUTED_VALUE"""),44692.0)</f>
        <v>44692</v>
      </c>
      <c r="J663" s="208">
        <f>IFERROR(__xludf.DUMMYFUNCTION("""COMPUTED_VALUE"""),0.3312847222222222)</f>
        <v>0.3312847222</v>
      </c>
      <c r="K663" s="50">
        <f>IFERROR(__xludf.DUMMYFUNCTION("""COMPUTED_VALUE"""),2.0)</f>
        <v>2</v>
      </c>
      <c r="L663" s="6"/>
      <c r="M663" s="55"/>
      <c r="N663" s="55">
        <f>IFERROR(__xludf.DUMMYFUNCTION("""COMPUTED_VALUE"""),1.0)</f>
        <v>1</v>
      </c>
      <c r="O663" s="55" t="str">
        <f t="shared" si="3"/>
        <v/>
      </c>
      <c r="P663" s="209"/>
      <c r="Q663" s="75" t="b">
        <f>VLOOKUP($B663,'Run Reconcile'!B$2:P1679,15,FALSE)</f>
        <v>1</v>
      </c>
      <c r="R663" s="211" t="str">
        <f t="array" ref="R663">IF($Q663, INDEX('Run Reconcile'!A$2:A1679,MATCH(B663,'Run Reconcile'!B$2:B1679,0),1),IFERROR(0/0,""))</f>
        <v>RUN-COMB_2022-05-11_RFR-037</v>
      </c>
      <c r="S663" s="165" t="str">
        <f t="shared" ref="S663:T663" si="1325">IF(COUNTIF(W$2:W1679, $A663) &gt; 0,TRUE,IFERROR(0/0,""))</f>
        <v/>
      </c>
      <c r="T663" s="165" t="str">
        <f t="shared" si="1325"/>
        <v/>
      </c>
      <c r="U663" s="147" t="str">
        <f t="array" ref="U663">IF(ISBLANK($R663), IF($S663,VLOOKUP($B663+1,'RFR Data - preExcl'!$BF$2:$BG1679,2,FALSE),IF($T663,INDEX('RFR Data - preExcl'!$BF$2:$BG1679,MATCH($B663,'RFR Data - preExcl'!$BF$2:$BF1679,0)+1,2),VLOOKUP($B663,'RFR Data - preExcl'!$BF$2:$BG1679,2,FALSE))),IFERROR(0/0,""))</f>
        <v/>
      </c>
      <c r="V663" s="212" t="str">
        <f t="shared" si="5"/>
        <v>RUN-COMB_2022-05-11_RFR-037</v>
      </c>
      <c r="W663" s="51"/>
      <c r="X663" s="51"/>
      <c r="Y663" s="147" t="str">
        <f t="shared" ref="Y663:Z663" si="1326">IF(_xlfn.ISFORMULA(S663),IFERROR(0/0,""),TRUE)</f>
        <v/>
      </c>
      <c r="Z663" s="147" t="str">
        <f t="shared" si="1326"/>
        <v/>
      </c>
    </row>
    <row r="664">
      <c r="A664" s="6" t="str">
        <f>IFERROR(__xludf.DUMMYFUNCTION("""COMPUTED_VALUE"""),"FM2255")</f>
        <v>FM2255</v>
      </c>
      <c r="B664" s="206">
        <f>IFERROR(__xludf.DUMMYFUNCTION("""COMPUTED_VALUE"""),44692.0)</f>
        <v>44692</v>
      </c>
      <c r="C664" s="207">
        <f>IFERROR(__xludf.DUMMYFUNCTION("""COMPUTED_VALUE"""),0.274837962962963)</f>
        <v>0.274837963</v>
      </c>
      <c r="D664" s="50"/>
      <c r="E664" s="58"/>
      <c r="F664" s="58"/>
      <c r="G664" s="58" t="str">
        <f>IFERROR(__xludf.DUMMYFUNCTION("""COMPUTED_VALUE"""),"Null")</f>
        <v>Null</v>
      </c>
      <c r="H664" s="206" t="str">
        <f>IFERROR(__xludf.DUMMYFUNCTION("""COMPUTED_VALUE"""),"Negative")</f>
        <v>Negative</v>
      </c>
      <c r="I664" s="207">
        <f>IFERROR(__xludf.DUMMYFUNCTION("""COMPUTED_VALUE"""),44692.0)</f>
        <v>44692</v>
      </c>
      <c r="J664" s="208">
        <f>IFERROR(__xludf.DUMMYFUNCTION("""COMPUTED_VALUE"""),0.3312847222222222)</f>
        <v>0.3312847222</v>
      </c>
      <c r="K664" s="50">
        <f>IFERROR(__xludf.DUMMYFUNCTION("""COMPUTED_VALUE"""),2.0)</f>
        <v>2</v>
      </c>
      <c r="L664" s="6"/>
      <c r="M664" s="55"/>
      <c r="N664" s="55">
        <f>IFERROR(__xludf.DUMMYFUNCTION("""COMPUTED_VALUE"""),1.0)</f>
        <v>1</v>
      </c>
      <c r="O664" s="55" t="str">
        <f t="shared" si="3"/>
        <v/>
      </c>
      <c r="P664" s="209"/>
      <c r="Q664" s="75" t="b">
        <f>VLOOKUP($B664,'Run Reconcile'!B$2:P1679,15,FALSE)</f>
        <v>1</v>
      </c>
      <c r="R664" s="211" t="str">
        <f t="array" ref="R664">IF($Q664, INDEX('Run Reconcile'!A$2:A1679,MATCH(B664,'Run Reconcile'!B$2:B1679,0),1),IFERROR(0/0,""))</f>
        <v>RUN-COMB_2022-05-11_RFR-037</v>
      </c>
      <c r="S664" s="165" t="str">
        <f t="shared" ref="S664:T664" si="1327">IF(COUNTIF(W$2:W1679, $A664) &gt; 0,TRUE,IFERROR(0/0,""))</f>
        <v/>
      </c>
      <c r="T664" s="165" t="str">
        <f t="shared" si="1327"/>
        <v/>
      </c>
      <c r="U664" s="147" t="str">
        <f t="array" ref="U664">IF(ISBLANK($R664), IF($S664,VLOOKUP($B664+1,'RFR Data - preExcl'!$BF$2:$BG1679,2,FALSE),IF($T664,INDEX('RFR Data - preExcl'!$BF$2:$BG1679,MATCH($B664,'RFR Data - preExcl'!$BF$2:$BF1679,0)+1,2),VLOOKUP($B664,'RFR Data - preExcl'!$BF$2:$BG1679,2,FALSE))),IFERROR(0/0,""))</f>
        <v/>
      </c>
      <c r="V664" s="212" t="str">
        <f t="shared" si="5"/>
        <v>RUN-COMB_2022-05-11_RFR-037</v>
      </c>
      <c r="W664" s="51"/>
      <c r="X664" s="51"/>
      <c r="Y664" s="147" t="str">
        <f t="shared" ref="Y664:Z664" si="1328">IF(_xlfn.ISFORMULA(S664),IFERROR(0/0,""),TRUE)</f>
        <v/>
      </c>
      <c r="Z664" s="147" t="str">
        <f t="shared" si="1328"/>
        <v/>
      </c>
    </row>
    <row r="665">
      <c r="A665" s="6" t="str">
        <f>IFERROR(__xludf.DUMMYFUNCTION("""COMPUTED_VALUE"""),"FM2180")</f>
        <v>FM2180</v>
      </c>
      <c r="B665" s="206">
        <f>IFERROR(__xludf.DUMMYFUNCTION("""COMPUTED_VALUE"""),44692.0)</f>
        <v>44692</v>
      </c>
      <c r="C665" s="207">
        <f>IFERROR(__xludf.DUMMYFUNCTION("""COMPUTED_VALUE"""),0.27586805555555555)</f>
        <v>0.2758680556</v>
      </c>
      <c r="D665" s="50"/>
      <c r="E665" s="58"/>
      <c r="F665" s="58"/>
      <c r="G665" s="58" t="str">
        <f>IFERROR(__xludf.DUMMYFUNCTION("""COMPUTED_VALUE"""),"Null")</f>
        <v>Null</v>
      </c>
      <c r="H665" s="206" t="str">
        <f>IFERROR(__xludf.DUMMYFUNCTION("""COMPUTED_VALUE"""),"Negative")</f>
        <v>Negative</v>
      </c>
      <c r="I665" s="207">
        <f>IFERROR(__xludf.DUMMYFUNCTION("""COMPUTED_VALUE"""),44692.0)</f>
        <v>44692</v>
      </c>
      <c r="J665" s="208">
        <f>IFERROR(__xludf.DUMMYFUNCTION("""COMPUTED_VALUE"""),0.3312962962962963)</f>
        <v>0.3312962963</v>
      </c>
      <c r="K665" s="50">
        <f>IFERROR(__xludf.DUMMYFUNCTION("""COMPUTED_VALUE"""),2.0)</f>
        <v>2</v>
      </c>
      <c r="L665" s="6"/>
      <c r="M665" s="55"/>
      <c r="N665" s="55">
        <f>IFERROR(__xludf.DUMMYFUNCTION("""COMPUTED_VALUE"""),1.0)</f>
        <v>1</v>
      </c>
      <c r="O665" s="55" t="str">
        <f t="shared" si="3"/>
        <v/>
      </c>
      <c r="P665" s="209"/>
      <c r="Q665" s="75" t="b">
        <f>VLOOKUP($B665,'Run Reconcile'!B$2:P1679,15,FALSE)</f>
        <v>1</v>
      </c>
      <c r="R665" s="211" t="str">
        <f t="array" ref="R665">IF($Q665, INDEX('Run Reconcile'!A$2:A1679,MATCH(B665,'Run Reconcile'!B$2:B1679,0),1),IFERROR(0/0,""))</f>
        <v>RUN-COMB_2022-05-11_RFR-037</v>
      </c>
      <c r="S665" s="165" t="str">
        <f t="shared" ref="S665:T665" si="1329">IF(COUNTIF(W$2:W1679, $A665) &gt; 0,TRUE,IFERROR(0/0,""))</f>
        <v/>
      </c>
      <c r="T665" s="165" t="str">
        <f t="shared" si="1329"/>
        <v/>
      </c>
      <c r="U665" s="147" t="str">
        <f t="array" ref="U665">IF(ISBLANK($R665), IF($S665,VLOOKUP($B665+1,'RFR Data - preExcl'!$BF$2:$BG1679,2,FALSE),IF($T665,INDEX('RFR Data - preExcl'!$BF$2:$BG1679,MATCH($B665,'RFR Data - preExcl'!$BF$2:$BF1679,0)+1,2),VLOOKUP($B665,'RFR Data - preExcl'!$BF$2:$BG1679,2,FALSE))),IFERROR(0/0,""))</f>
        <v/>
      </c>
      <c r="V665" s="212" t="str">
        <f t="shared" si="5"/>
        <v>RUN-COMB_2022-05-11_RFR-037</v>
      </c>
      <c r="W665" s="51"/>
      <c r="X665" s="51"/>
      <c r="Y665" s="147" t="str">
        <f t="shared" ref="Y665:Z665" si="1330">IF(_xlfn.ISFORMULA(S665),IFERROR(0/0,""),TRUE)</f>
        <v/>
      </c>
      <c r="Z665" s="147" t="str">
        <f t="shared" si="1330"/>
        <v/>
      </c>
    </row>
    <row r="666">
      <c r="A666" s="6" t="str">
        <f>IFERROR(__xludf.DUMMYFUNCTION("""COMPUTED_VALUE"""),"FM2244")</f>
        <v>FM2244</v>
      </c>
      <c r="B666" s="206">
        <f>IFERROR(__xludf.DUMMYFUNCTION("""COMPUTED_VALUE"""),44692.0)</f>
        <v>44692</v>
      </c>
      <c r="C666" s="207">
        <f>IFERROR(__xludf.DUMMYFUNCTION("""COMPUTED_VALUE"""),0.27620370370370373)</f>
        <v>0.2762037037</v>
      </c>
      <c r="D666" s="50"/>
      <c r="E666" s="58"/>
      <c r="F666" s="58"/>
      <c r="G666" s="58" t="str">
        <f>IFERROR(__xludf.DUMMYFUNCTION("""COMPUTED_VALUE"""),"Null")</f>
        <v>Null</v>
      </c>
      <c r="H666" s="206" t="str">
        <f>IFERROR(__xludf.DUMMYFUNCTION("""COMPUTED_VALUE"""),"Negative")</f>
        <v>Negative</v>
      </c>
      <c r="I666" s="207">
        <f>IFERROR(__xludf.DUMMYFUNCTION("""COMPUTED_VALUE"""),44692.0)</f>
        <v>44692</v>
      </c>
      <c r="J666" s="208">
        <f>IFERROR(__xludf.DUMMYFUNCTION("""COMPUTED_VALUE"""),0.33130787037037035)</f>
        <v>0.3313078704</v>
      </c>
      <c r="K666" s="50">
        <f>IFERROR(__xludf.DUMMYFUNCTION("""COMPUTED_VALUE"""),2.0)</f>
        <v>2</v>
      </c>
      <c r="L666" s="6"/>
      <c r="M666" s="55"/>
      <c r="N666" s="55">
        <f>IFERROR(__xludf.DUMMYFUNCTION("""COMPUTED_VALUE"""),1.0)</f>
        <v>1</v>
      </c>
      <c r="O666" s="55" t="str">
        <f t="shared" si="3"/>
        <v/>
      </c>
      <c r="P666" s="209"/>
      <c r="Q666" s="75" t="b">
        <f>VLOOKUP($B666,'Run Reconcile'!B$2:P1679,15,FALSE)</f>
        <v>1</v>
      </c>
      <c r="R666" s="211" t="str">
        <f t="array" ref="R666">IF($Q666, INDEX('Run Reconcile'!A$2:A1679,MATCH(B666,'Run Reconcile'!B$2:B1679,0),1),IFERROR(0/0,""))</f>
        <v>RUN-COMB_2022-05-11_RFR-037</v>
      </c>
      <c r="S666" s="165" t="str">
        <f t="shared" ref="S666:T666" si="1331">IF(COUNTIF(W$2:W1679, $A666) &gt; 0,TRUE,IFERROR(0/0,""))</f>
        <v/>
      </c>
      <c r="T666" s="165" t="str">
        <f t="shared" si="1331"/>
        <v/>
      </c>
      <c r="U666" s="147" t="str">
        <f t="array" ref="U666">IF(ISBLANK($R666), IF($S666,VLOOKUP($B666+1,'RFR Data - preExcl'!$BF$2:$BG1679,2,FALSE),IF($T666,INDEX('RFR Data - preExcl'!$BF$2:$BG1679,MATCH($B666,'RFR Data - preExcl'!$BF$2:$BF1679,0)+1,2),VLOOKUP($B666,'RFR Data - preExcl'!$BF$2:$BG1679,2,FALSE))),IFERROR(0/0,""))</f>
        <v/>
      </c>
      <c r="V666" s="212" t="str">
        <f t="shared" si="5"/>
        <v>RUN-COMB_2022-05-11_RFR-037</v>
      </c>
      <c r="W666" s="51"/>
      <c r="X666" s="51"/>
      <c r="Y666" s="147" t="str">
        <f t="shared" ref="Y666:Z666" si="1332">IF(_xlfn.ISFORMULA(S666),IFERROR(0/0,""),TRUE)</f>
        <v/>
      </c>
      <c r="Z666" s="147" t="str">
        <f t="shared" si="1332"/>
        <v/>
      </c>
    </row>
    <row r="667">
      <c r="A667" s="6" t="str">
        <f>IFERROR(__xludf.DUMMYFUNCTION("""COMPUTED_VALUE"""),"FM2270")</f>
        <v>FM2270</v>
      </c>
      <c r="B667" s="206">
        <f>IFERROR(__xludf.DUMMYFUNCTION("""COMPUTED_VALUE"""),44692.0)</f>
        <v>44692</v>
      </c>
      <c r="C667" s="207">
        <f>IFERROR(__xludf.DUMMYFUNCTION("""COMPUTED_VALUE"""),0.2765740740740741)</f>
        <v>0.2765740741</v>
      </c>
      <c r="D667" s="50"/>
      <c r="E667" s="58"/>
      <c r="F667" s="58"/>
      <c r="G667" s="58" t="str">
        <f>IFERROR(__xludf.DUMMYFUNCTION("""COMPUTED_VALUE"""),"Null")</f>
        <v>Null</v>
      </c>
      <c r="H667" s="206" t="str">
        <f>IFERROR(__xludf.DUMMYFUNCTION("""COMPUTED_VALUE"""),"Negative")</f>
        <v>Negative</v>
      </c>
      <c r="I667" s="207">
        <f>IFERROR(__xludf.DUMMYFUNCTION("""COMPUTED_VALUE"""),44692.0)</f>
        <v>44692</v>
      </c>
      <c r="J667" s="208">
        <f>IFERROR(__xludf.DUMMYFUNCTION("""COMPUTED_VALUE"""),0.33131944444444444)</f>
        <v>0.3313194444</v>
      </c>
      <c r="K667" s="50">
        <f>IFERROR(__xludf.DUMMYFUNCTION("""COMPUTED_VALUE"""),2.0)</f>
        <v>2</v>
      </c>
      <c r="L667" s="6"/>
      <c r="M667" s="55"/>
      <c r="N667" s="55">
        <f>IFERROR(__xludf.DUMMYFUNCTION("""COMPUTED_VALUE"""),1.0)</f>
        <v>1</v>
      </c>
      <c r="O667" s="55" t="str">
        <f t="shared" si="3"/>
        <v/>
      </c>
      <c r="P667" s="209"/>
      <c r="Q667" s="75" t="b">
        <f>VLOOKUP($B667,'Run Reconcile'!B$2:P1679,15,FALSE)</f>
        <v>1</v>
      </c>
      <c r="R667" s="211" t="str">
        <f t="array" ref="R667">IF($Q667, INDEX('Run Reconcile'!A$2:A1679,MATCH(B667,'Run Reconcile'!B$2:B1679,0),1),IFERROR(0/0,""))</f>
        <v>RUN-COMB_2022-05-11_RFR-037</v>
      </c>
      <c r="S667" s="165" t="str">
        <f t="shared" ref="S667:T667" si="1333">IF(COUNTIF(W$2:W1679, $A667) &gt; 0,TRUE,IFERROR(0/0,""))</f>
        <v/>
      </c>
      <c r="T667" s="165" t="str">
        <f t="shared" si="1333"/>
        <v/>
      </c>
      <c r="U667" s="147" t="str">
        <f t="array" ref="U667">IF(ISBLANK($R667), IF($S667,VLOOKUP($B667+1,'RFR Data - preExcl'!$BF$2:$BG1679,2,FALSE),IF($T667,INDEX('RFR Data - preExcl'!$BF$2:$BG1679,MATCH($B667,'RFR Data - preExcl'!$BF$2:$BF1679,0)+1,2),VLOOKUP($B667,'RFR Data - preExcl'!$BF$2:$BG1679,2,FALSE))),IFERROR(0/0,""))</f>
        <v/>
      </c>
      <c r="V667" s="212" t="str">
        <f t="shared" si="5"/>
        <v>RUN-COMB_2022-05-11_RFR-037</v>
      </c>
      <c r="W667" s="51"/>
      <c r="X667" s="51"/>
      <c r="Y667" s="147" t="str">
        <f t="shared" ref="Y667:Z667" si="1334">IF(_xlfn.ISFORMULA(S667),IFERROR(0/0,""),TRUE)</f>
        <v/>
      </c>
      <c r="Z667" s="147" t="str">
        <f t="shared" si="1334"/>
        <v/>
      </c>
    </row>
    <row r="668">
      <c r="A668" s="6" t="str">
        <f>IFERROR(__xludf.DUMMYFUNCTION("""COMPUTED_VALUE"""),"FM4237")</f>
        <v>FM4237</v>
      </c>
      <c r="B668" s="206">
        <f>IFERROR(__xludf.DUMMYFUNCTION("""COMPUTED_VALUE"""),44692.0)</f>
        <v>44692</v>
      </c>
      <c r="C668" s="207">
        <f>IFERROR(__xludf.DUMMYFUNCTION("""COMPUTED_VALUE"""),0.2770486111111111)</f>
        <v>0.2770486111</v>
      </c>
      <c r="D668" s="50"/>
      <c r="E668" s="58"/>
      <c r="F668" s="58"/>
      <c r="G668" s="58" t="str">
        <f>IFERROR(__xludf.DUMMYFUNCTION("""COMPUTED_VALUE"""),"Null")</f>
        <v>Null</v>
      </c>
      <c r="H668" s="206" t="str">
        <f>IFERROR(__xludf.DUMMYFUNCTION("""COMPUTED_VALUE"""),"Negative")</f>
        <v>Negative</v>
      </c>
      <c r="I668" s="207">
        <f>IFERROR(__xludf.DUMMYFUNCTION("""COMPUTED_VALUE"""),44692.0)</f>
        <v>44692</v>
      </c>
      <c r="J668" s="208">
        <f>IFERROR(__xludf.DUMMYFUNCTION("""COMPUTED_VALUE"""),0.33133101851851854)</f>
        <v>0.3313310185</v>
      </c>
      <c r="K668" s="50">
        <f>IFERROR(__xludf.DUMMYFUNCTION("""COMPUTED_VALUE"""),2.0)</f>
        <v>2</v>
      </c>
      <c r="L668" s="6"/>
      <c r="M668" s="55"/>
      <c r="N668" s="55">
        <f>IFERROR(__xludf.DUMMYFUNCTION("""COMPUTED_VALUE"""),1.0)</f>
        <v>1</v>
      </c>
      <c r="O668" s="55" t="str">
        <f t="shared" si="3"/>
        <v/>
      </c>
      <c r="P668" s="209"/>
      <c r="Q668" s="75" t="b">
        <f>VLOOKUP($B668,'Run Reconcile'!B$2:P1679,15,FALSE)</f>
        <v>1</v>
      </c>
      <c r="R668" s="211" t="str">
        <f t="array" ref="R668">IF($Q668, INDEX('Run Reconcile'!A$2:A1679,MATCH(B668,'Run Reconcile'!B$2:B1679,0),1),IFERROR(0/0,""))</f>
        <v>RUN-COMB_2022-05-11_RFR-037</v>
      </c>
      <c r="S668" s="165" t="str">
        <f t="shared" ref="S668:T668" si="1335">IF(COUNTIF(W$2:W1679, $A668) &gt; 0,TRUE,IFERROR(0/0,""))</f>
        <v/>
      </c>
      <c r="T668" s="165" t="str">
        <f t="shared" si="1335"/>
        <v/>
      </c>
      <c r="U668" s="147" t="str">
        <f t="array" ref="U668">IF(ISBLANK($R668), IF($S668,VLOOKUP($B668+1,'RFR Data - preExcl'!$BF$2:$BG1679,2,FALSE),IF($T668,INDEX('RFR Data - preExcl'!$BF$2:$BG1679,MATCH($B668,'RFR Data - preExcl'!$BF$2:$BF1679,0)+1,2),VLOOKUP($B668,'RFR Data - preExcl'!$BF$2:$BG1679,2,FALSE))),IFERROR(0/0,""))</f>
        <v/>
      </c>
      <c r="V668" s="212" t="str">
        <f t="shared" si="5"/>
        <v>RUN-COMB_2022-05-11_RFR-037</v>
      </c>
      <c r="W668" s="51"/>
      <c r="X668" s="51"/>
      <c r="Y668" s="147" t="str">
        <f t="shared" ref="Y668:Z668" si="1336">IF(_xlfn.ISFORMULA(S668),IFERROR(0/0,""),TRUE)</f>
        <v/>
      </c>
      <c r="Z668" s="147" t="str">
        <f t="shared" si="1336"/>
        <v/>
      </c>
    </row>
    <row r="669">
      <c r="A669" s="6" t="str">
        <f>IFERROR(__xludf.DUMMYFUNCTION("""COMPUTED_VALUE"""),"FM2245")</f>
        <v>FM2245</v>
      </c>
      <c r="B669" s="206">
        <f>IFERROR(__xludf.DUMMYFUNCTION("""COMPUTED_VALUE"""),44692.0)</f>
        <v>44692</v>
      </c>
      <c r="C669" s="207">
        <f>IFERROR(__xludf.DUMMYFUNCTION("""COMPUTED_VALUE"""),0.2774189814814815)</f>
        <v>0.2774189815</v>
      </c>
      <c r="D669" s="50"/>
      <c r="E669" s="58"/>
      <c r="F669" s="58"/>
      <c r="G669" s="58" t="str">
        <f>IFERROR(__xludf.DUMMYFUNCTION("""COMPUTED_VALUE"""),"Null")</f>
        <v>Null</v>
      </c>
      <c r="H669" s="206" t="str">
        <f>IFERROR(__xludf.DUMMYFUNCTION("""COMPUTED_VALUE"""),"Negative")</f>
        <v>Negative</v>
      </c>
      <c r="I669" s="207">
        <f>IFERROR(__xludf.DUMMYFUNCTION("""COMPUTED_VALUE"""),44692.0)</f>
        <v>44692</v>
      </c>
      <c r="J669" s="208">
        <f>IFERROR(__xludf.DUMMYFUNCTION("""COMPUTED_VALUE"""),0.33133101851851854)</f>
        <v>0.3313310185</v>
      </c>
      <c r="K669" s="50">
        <f>IFERROR(__xludf.DUMMYFUNCTION("""COMPUTED_VALUE"""),2.0)</f>
        <v>2</v>
      </c>
      <c r="L669" s="6"/>
      <c r="M669" s="55"/>
      <c r="N669" s="55">
        <f>IFERROR(__xludf.DUMMYFUNCTION("""COMPUTED_VALUE"""),1.0)</f>
        <v>1</v>
      </c>
      <c r="O669" s="55" t="str">
        <f t="shared" si="3"/>
        <v/>
      </c>
      <c r="P669" s="209"/>
      <c r="Q669" s="75" t="b">
        <f>VLOOKUP($B669,'Run Reconcile'!B$2:P1679,15,FALSE)</f>
        <v>1</v>
      </c>
      <c r="R669" s="211" t="str">
        <f t="array" ref="R669">IF($Q669, INDEX('Run Reconcile'!A$2:A1679,MATCH(B669,'Run Reconcile'!B$2:B1679,0),1),IFERROR(0/0,""))</f>
        <v>RUN-COMB_2022-05-11_RFR-037</v>
      </c>
      <c r="S669" s="165" t="str">
        <f t="shared" ref="S669:T669" si="1337">IF(COUNTIF(W$2:W1679, $A669) &gt; 0,TRUE,IFERROR(0/0,""))</f>
        <v/>
      </c>
      <c r="T669" s="165" t="str">
        <f t="shared" si="1337"/>
        <v/>
      </c>
      <c r="U669" s="147" t="str">
        <f t="array" ref="U669">IF(ISBLANK($R669), IF($S669,VLOOKUP($B669+1,'RFR Data - preExcl'!$BF$2:$BG1679,2,FALSE),IF($T669,INDEX('RFR Data - preExcl'!$BF$2:$BG1679,MATCH($B669,'RFR Data - preExcl'!$BF$2:$BF1679,0)+1,2),VLOOKUP($B669,'RFR Data - preExcl'!$BF$2:$BG1679,2,FALSE))),IFERROR(0/0,""))</f>
        <v/>
      </c>
      <c r="V669" s="212" t="str">
        <f t="shared" si="5"/>
        <v>RUN-COMB_2022-05-11_RFR-037</v>
      </c>
      <c r="W669" s="51"/>
      <c r="X669" s="51"/>
      <c r="Y669" s="147" t="str">
        <f t="shared" ref="Y669:Z669" si="1338">IF(_xlfn.ISFORMULA(S669),IFERROR(0/0,""),TRUE)</f>
        <v/>
      </c>
      <c r="Z669" s="147" t="str">
        <f t="shared" si="1338"/>
        <v/>
      </c>
    </row>
    <row r="670">
      <c r="A670" s="6" t="str">
        <f>IFERROR(__xludf.DUMMYFUNCTION("""COMPUTED_VALUE"""),"FM4231")</f>
        <v>FM4231</v>
      </c>
      <c r="B670" s="206">
        <f>IFERROR(__xludf.DUMMYFUNCTION("""COMPUTED_VALUE"""),44692.0)</f>
        <v>44692</v>
      </c>
      <c r="C670" s="207">
        <f>IFERROR(__xludf.DUMMYFUNCTION("""COMPUTED_VALUE"""),0.2864467592592593)</f>
        <v>0.2864467593</v>
      </c>
      <c r="D670" s="50"/>
      <c r="E670" s="58"/>
      <c r="F670" s="58"/>
      <c r="G670" s="58" t="str">
        <f>IFERROR(__xludf.DUMMYFUNCTION("""COMPUTED_VALUE"""),"Null")</f>
        <v>Null</v>
      </c>
      <c r="H670" s="206" t="str">
        <f>IFERROR(__xludf.DUMMYFUNCTION("""COMPUTED_VALUE"""),"Negative")</f>
        <v>Negative</v>
      </c>
      <c r="I670" s="207">
        <f>IFERROR(__xludf.DUMMYFUNCTION("""COMPUTED_VALUE"""),44692.0)</f>
        <v>44692</v>
      </c>
      <c r="J670" s="208">
        <f>IFERROR(__xludf.DUMMYFUNCTION("""COMPUTED_VALUE"""),0.33135416666666667)</f>
        <v>0.3313541667</v>
      </c>
      <c r="K670" s="50">
        <f>IFERROR(__xludf.DUMMYFUNCTION("""COMPUTED_VALUE"""),2.0)</f>
        <v>2</v>
      </c>
      <c r="L670" s="6"/>
      <c r="M670" s="55"/>
      <c r="N670" s="55">
        <f>IFERROR(__xludf.DUMMYFUNCTION("""COMPUTED_VALUE"""),1.0)</f>
        <v>1</v>
      </c>
      <c r="O670" s="55" t="str">
        <f t="shared" si="3"/>
        <v/>
      </c>
      <c r="P670" s="209"/>
      <c r="Q670" s="75" t="b">
        <f>VLOOKUP($B670,'Run Reconcile'!B$2:P1679,15,FALSE)</f>
        <v>1</v>
      </c>
      <c r="R670" s="211" t="str">
        <f t="array" ref="R670">IF($Q670, INDEX('Run Reconcile'!A$2:A1679,MATCH(B670,'Run Reconcile'!B$2:B1679,0),1),IFERROR(0/0,""))</f>
        <v>RUN-COMB_2022-05-11_RFR-037</v>
      </c>
      <c r="S670" s="165" t="str">
        <f t="shared" ref="S670:T670" si="1339">IF(COUNTIF(W$2:W1679, $A670) &gt; 0,TRUE,IFERROR(0/0,""))</f>
        <v/>
      </c>
      <c r="T670" s="165" t="str">
        <f t="shared" si="1339"/>
        <v/>
      </c>
      <c r="U670" s="147" t="str">
        <f t="array" ref="U670">IF(ISBLANK($R670), IF($S670,VLOOKUP($B670+1,'RFR Data - preExcl'!$BF$2:$BG1679,2,FALSE),IF($T670,INDEX('RFR Data - preExcl'!$BF$2:$BG1679,MATCH($B670,'RFR Data - preExcl'!$BF$2:$BF1679,0)+1,2),VLOOKUP($B670,'RFR Data - preExcl'!$BF$2:$BG1679,2,FALSE))),IFERROR(0/0,""))</f>
        <v/>
      </c>
      <c r="V670" s="212" t="str">
        <f t="shared" si="5"/>
        <v>RUN-COMB_2022-05-11_RFR-037</v>
      </c>
      <c r="W670" s="51"/>
      <c r="X670" s="51"/>
      <c r="Y670" s="147" t="str">
        <f t="shared" ref="Y670:Z670" si="1340">IF(_xlfn.ISFORMULA(S670),IFERROR(0/0,""),TRUE)</f>
        <v/>
      </c>
      <c r="Z670" s="147" t="str">
        <f t="shared" si="1340"/>
        <v/>
      </c>
    </row>
    <row r="671">
      <c r="A671" s="6" t="str">
        <f>IFERROR(__xludf.DUMMYFUNCTION("""COMPUTED_VALUE"""),"FM2266")</f>
        <v>FM2266</v>
      </c>
      <c r="B671" s="206">
        <f>IFERROR(__xludf.DUMMYFUNCTION("""COMPUTED_VALUE"""),44692.0)</f>
        <v>44692</v>
      </c>
      <c r="C671" s="207">
        <f>IFERROR(__xludf.DUMMYFUNCTION("""COMPUTED_VALUE"""),0.28847222222222224)</f>
        <v>0.2884722222</v>
      </c>
      <c r="D671" s="50"/>
      <c r="E671" s="58"/>
      <c r="F671" s="58"/>
      <c r="G671" s="58" t="str">
        <f>IFERROR(__xludf.DUMMYFUNCTION("""COMPUTED_VALUE"""),"Null")</f>
        <v>Null</v>
      </c>
      <c r="H671" s="206" t="str">
        <f>IFERROR(__xludf.DUMMYFUNCTION("""COMPUTED_VALUE"""),"Negative")</f>
        <v>Negative</v>
      </c>
      <c r="I671" s="207">
        <f>IFERROR(__xludf.DUMMYFUNCTION("""COMPUTED_VALUE"""),44692.0)</f>
        <v>44692</v>
      </c>
      <c r="J671" s="208">
        <f>IFERROR(__xludf.DUMMYFUNCTION("""COMPUTED_VALUE"""),0.33136574074074077)</f>
        <v>0.3313657407</v>
      </c>
      <c r="K671" s="50">
        <f>IFERROR(__xludf.DUMMYFUNCTION("""COMPUTED_VALUE"""),2.0)</f>
        <v>2</v>
      </c>
      <c r="L671" s="6"/>
      <c r="M671" s="55"/>
      <c r="N671" s="55">
        <f>IFERROR(__xludf.DUMMYFUNCTION("""COMPUTED_VALUE"""),1.0)</f>
        <v>1</v>
      </c>
      <c r="O671" s="55" t="str">
        <f t="shared" si="3"/>
        <v/>
      </c>
      <c r="P671" s="209"/>
      <c r="Q671" s="75" t="b">
        <f>VLOOKUP($B671,'Run Reconcile'!B$2:P1679,15,FALSE)</f>
        <v>1</v>
      </c>
      <c r="R671" s="211" t="str">
        <f t="array" ref="R671">IF($Q671, INDEX('Run Reconcile'!A$2:A1679,MATCH(B671,'Run Reconcile'!B$2:B1679,0),1),IFERROR(0/0,""))</f>
        <v>RUN-COMB_2022-05-11_RFR-037</v>
      </c>
      <c r="S671" s="165" t="str">
        <f t="shared" ref="S671:T671" si="1341">IF(COUNTIF(W$2:W1679, $A671) &gt; 0,TRUE,IFERROR(0/0,""))</f>
        <v/>
      </c>
      <c r="T671" s="165" t="str">
        <f t="shared" si="1341"/>
        <v/>
      </c>
      <c r="U671" s="147" t="str">
        <f t="array" ref="U671">IF(ISBLANK($R671), IF($S671,VLOOKUP($B671+1,'RFR Data - preExcl'!$BF$2:$BG1679,2,FALSE),IF($T671,INDEX('RFR Data - preExcl'!$BF$2:$BG1679,MATCH($B671,'RFR Data - preExcl'!$BF$2:$BF1679,0)+1,2),VLOOKUP($B671,'RFR Data - preExcl'!$BF$2:$BG1679,2,FALSE))),IFERROR(0/0,""))</f>
        <v/>
      </c>
      <c r="V671" s="212" t="str">
        <f t="shared" si="5"/>
        <v>RUN-COMB_2022-05-11_RFR-037</v>
      </c>
      <c r="W671" s="51"/>
      <c r="X671" s="51"/>
      <c r="Y671" s="147" t="str">
        <f t="shared" ref="Y671:Z671" si="1342">IF(_xlfn.ISFORMULA(S671),IFERROR(0/0,""),TRUE)</f>
        <v/>
      </c>
      <c r="Z671" s="147" t="str">
        <f t="shared" si="1342"/>
        <v/>
      </c>
    </row>
    <row r="672">
      <c r="A672" s="6" t="str">
        <f>IFERROR(__xludf.DUMMYFUNCTION("""COMPUTED_VALUE"""),"FM2225")</f>
        <v>FM2225</v>
      </c>
      <c r="B672" s="206">
        <f>IFERROR(__xludf.DUMMYFUNCTION("""COMPUTED_VALUE"""),44693.0)</f>
        <v>44693</v>
      </c>
      <c r="C672" s="207">
        <f>IFERROR(__xludf.DUMMYFUNCTION("""COMPUTED_VALUE"""),0.2593287037037037)</f>
        <v>0.2593287037</v>
      </c>
      <c r="D672" s="50"/>
      <c r="E672" s="58"/>
      <c r="F672" s="58"/>
      <c r="G672" s="58" t="str">
        <f>IFERROR(__xludf.DUMMYFUNCTION("""COMPUTED_VALUE"""),"Null")</f>
        <v>Null</v>
      </c>
      <c r="H672" s="206" t="str">
        <f>IFERROR(__xludf.DUMMYFUNCTION("""COMPUTED_VALUE"""),"Negative")</f>
        <v>Negative</v>
      </c>
      <c r="I672" s="207">
        <f>IFERROR(__xludf.DUMMYFUNCTION("""COMPUTED_VALUE"""),44693.0)</f>
        <v>44693</v>
      </c>
      <c r="J672" s="208">
        <f>IFERROR(__xludf.DUMMYFUNCTION("""COMPUTED_VALUE"""),0.32233796296296297)</f>
        <v>0.322337963</v>
      </c>
      <c r="K672" s="50">
        <f>IFERROR(__xludf.DUMMYFUNCTION("""COMPUTED_VALUE"""),2.0)</f>
        <v>2</v>
      </c>
      <c r="L672" s="6"/>
      <c r="M672" s="55"/>
      <c r="N672" s="55">
        <f>IFERROR(__xludf.DUMMYFUNCTION("""COMPUTED_VALUE"""),1.0)</f>
        <v>1</v>
      </c>
      <c r="O672" s="55" t="b">
        <f t="shared" si="3"/>
        <v>1</v>
      </c>
      <c r="P672" s="209"/>
      <c r="Q672" s="75" t="b">
        <f>VLOOKUP($B672,'Run Reconcile'!B$2:P1679,15,FALSE)</f>
        <v>1</v>
      </c>
      <c r="R672" s="211" t="str">
        <f t="array" ref="R672">IF($Q672, INDEX('Run Reconcile'!A$2:A1679,MATCH(B672,'Run Reconcile'!B$2:B1679,0),1),IFERROR(0/0,""))</f>
        <v>RUN-COMB_2022-05-12_RFR-038</v>
      </c>
      <c r="S672" s="165" t="str">
        <f t="shared" ref="S672:T672" si="1343">IF(COUNTIF(W$2:W1679, $A672) &gt; 0,TRUE,IFERROR(0/0,""))</f>
        <v/>
      </c>
      <c r="T672" s="165" t="str">
        <f t="shared" si="1343"/>
        <v/>
      </c>
      <c r="U672" s="147" t="str">
        <f t="array" ref="U672">IF(ISBLANK($R672), IF($S672,VLOOKUP($B672+1,'RFR Data - preExcl'!$BF$2:$BG1679,2,FALSE),IF($T672,INDEX('RFR Data - preExcl'!$BF$2:$BG1679,MATCH($B672,'RFR Data - preExcl'!$BF$2:$BF1679,0)+1,2),VLOOKUP($B672,'RFR Data - preExcl'!$BF$2:$BG1679,2,FALSE))),IFERROR(0/0,""))</f>
        <v/>
      </c>
      <c r="V672" s="212" t="str">
        <f t="shared" si="5"/>
        <v>RUN-COMB_2022-05-12_RFR-038</v>
      </c>
      <c r="W672" s="51"/>
      <c r="X672" s="51"/>
      <c r="Y672" s="147" t="str">
        <f t="shared" ref="Y672:Z672" si="1344">IF(_xlfn.ISFORMULA(S672),IFERROR(0/0,""),TRUE)</f>
        <v/>
      </c>
      <c r="Z672" s="147" t="str">
        <f t="shared" si="1344"/>
        <v/>
      </c>
    </row>
    <row r="673">
      <c r="A673" s="6" t="str">
        <f>IFERROR(__xludf.DUMMYFUNCTION("""COMPUTED_VALUE"""),"FM2237")</f>
        <v>FM2237</v>
      </c>
      <c r="B673" s="206">
        <f>IFERROR(__xludf.DUMMYFUNCTION("""COMPUTED_VALUE"""),44693.0)</f>
        <v>44693</v>
      </c>
      <c r="C673" s="207">
        <f>IFERROR(__xludf.DUMMYFUNCTION("""COMPUTED_VALUE"""),0.25972222222222224)</f>
        <v>0.2597222222</v>
      </c>
      <c r="D673" s="50"/>
      <c r="E673" s="58"/>
      <c r="F673" s="58"/>
      <c r="G673" s="58" t="str">
        <f>IFERROR(__xludf.DUMMYFUNCTION("""COMPUTED_VALUE"""),"Null")</f>
        <v>Null</v>
      </c>
      <c r="H673" s="206" t="str">
        <f>IFERROR(__xludf.DUMMYFUNCTION("""COMPUTED_VALUE"""),"Negative")</f>
        <v>Negative</v>
      </c>
      <c r="I673" s="207">
        <f>IFERROR(__xludf.DUMMYFUNCTION("""COMPUTED_VALUE"""),44693.0)</f>
        <v>44693</v>
      </c>
      <c r="J673" s="208">
        <f>IFERROR(__xludf.DUMMYFUNCTION("""COMPUTED_VALUE"""),0.3223611111111111)</f>
        <v>0.3223611111</v>
      </c>
      <c r="K673" s="50">
        <f>IFERROR(__xludf.DUMMYFUNCTION("""COMPUTED_VALUE"""),2.0)</f>
        <v>2</v>
      </c>
      <c r="L673" s="6"/>
      <c r="M673" s="55"/>
      <c r="N673" s="55">
        <f>IFERROR(__xludf.DUMMYFUNCTION("""COMPUTED_VALUE"""),1.0)</f>
        <v>1</v>
      </c>
      <c r="O673" s="55" t="str">
        <f t="shared" si="3"/>
        <v/>
      </c>
      <c r="P673" s="209"/>
      <c r="Q673" s="75" t="b">
        <f>VLOOKUP($B673,'Run Reconcile'!B$2:P1679,15,FALSE)</f>
        <v>1</v>
      </c>
      <c r="R673" s="211" t="str">
        <f t="array" ref="R673">IF($Q673, INDEX('Run Reconcile'!A$2:A1679,MATCH(B673,'Run Reconcile'!B$2:B1679,0),1),IFERROR(0/0,""))</f>
        <v>RUN-COMB_2022-05-12_RFR-038</v>
      </c>
      <c r="S673" s="165" t="str">
        <f t="shared" ref="S673:T673" si="1345">IF(COUNTIF(W$2:W1679, $A673) &gt; 0,TRUE,IFERROR(0/0,""))</f>
        <v/>
      </c>
      <c r="T673" s="165" t="str">
        <f t="shared" si="1345"/>
        <v/>
      </c>
      <c r="U673" s="147" t="str">
        <f t="array" ref="U673">IF(ISBLANK($R673), IF($S673,VLOOKUP($B673+1,'RFR Data - preExcl'!$BF$2:$BG1679,2,FALSE),IF($T673,INDEX('RFR Data - preExcl'!$BF$2:$BG1679,MATCH($B673,'RFR Data - preExcl'!$BF$2:$BF1679,0)+1,2),VLOOKUP($B673,'RFR Data - preExcl'!$BF$2:$BG1679,2,FALSE))),IFERROR(0/0,""))</f>
        <v/>
      </c>
      <c r="V673" s="212" t="str">
        <f t="shared" si="5"/>
        <v>RUN-COMB_2022-05-12_RFR-038</v>
      </c>
      <c r="W673" s="51"/>
      <c r="X673" s="51"/>
      <c r="Y673" s="147" t="str">
        <f t="shared" ref="Y673:Z673" si="1346">IF(_xlfn.ISFORMULA(S673),IFERROR(0/0,""),TRUE)</f>
        <v/>
      </c>
      <c r="Z673" s="147" t="str">
        <f t="shared" si="1346"/>
        <v/>
      </c>
    </row>
    <row r="674">
      <c r="A674" s="6" t="str">
        <f>IFERROR(__xludf.DUMMYFUNCTION("""COMPUTED_VALUE"""),"FM2224")</f>
        <v>FM2224</v>
      </c>
      <c r="B674" s="206">
        <f>IFERROR(__xludf.DUMMYFUNCTION("""COMPUTED_VALUE"""),44693.0)</f>
        <v>44693</v>
      </c>
      <c r="C674" s="207">
        <f>IFERROR(__xludf.DUMMYFUNCTION("""COMPUTED_VALUE"""),0.2600810185185185)</f>
        <v>0.2600810185</v>
      </c>
      <c r="D674" s="50"/>
      <c r="E674" s="58"/>
      <c r="F674" s="58"/>
      <c r="G674" s="58" t="str">
        <f>IFERROR(__xludf.DUMMYFUNCTION("""COMPUTED_VALUE"""),"Null")</f>
        <v>Null</v>
      </c>
      <c r="H674" s="206" t="str">
        <f>IFERROR(__xludf.DUMMYFUNCTION("""COMPUTED_VALUE"""),"Negative")</f>
        <v>Negative</v>
      </c>
      <c r="I674" s="207">
        <f>IFERROR(__xludf.DUMMYFUNCTION("""COMPUTED_VALUE"""),44693.0)</f>
        <v>44693</v>
      </c>
      <c r="J674" s="208">
        <f>IFERROR(__xludf.DUMMYFUNCTION("""COMPUTED_VALUE"""),0.3223726851851852)</f>
        <v>0.3223726852</v>
      </c>
      <c r="K674" s="50">
        <f>IFERROR(__xludf.DUMMYFUNCTION("""COMPUTED_VALUE"""),2.0)</f>
        <v>2</v>
      </c>
      <c r="L674" s="6"/>
      <c r="M674" s="55"/>
      <c r="N674" s="55">
        <f>IFERROR(__xludf.DUMMYFUNCTION("""COMPUTED_VALUE"""),1.0)</f>
        <v>1</v>
      </c>
      <c r="O674" s="55" t="str">
        <f t="shared" si="3"/>
        <v/>
      </c>
      <c r="P674" s="209"/>
      <c r="Q674" s="75" t="b">
        <f>VLOOKUP($B674,'Run Reconcile'!B$2:P1679,15,FALSE)</f>
        <v>1</v>
      </c>
      <c r="R674" s="211" t="str">
        <f t="array" ref="R674">IF($Q674, INDEX('Run Reconcile'!A$2:A1679,MATCH(B674,'Run Reconcile'!B$2:B1679,0),1),IFERROR(0/0,""))</f>
        <v>RUN-COMB_2022-05-12_RFR-038</v>
      </c>
      <c r="S674" s="165" t="str">
        <f t="shared" ref="S674:T674" si="1347">IF(COUNTIF(W$2:W1679, $A674) &gt; 0,TRUE,IFERROR(0/0,""))</f>
        <v/>
      </c>
      <c r="T674" s="165" t="str">
        <f t="shared" si="1347"/>
        <v/>
      </c>
      <c r="U674" s="147" t="str">
        <f t="array" ref="U674">IF(ISBLANK($R674), IF($S674,VLOOKUP($B674+1,'RFR Data - preExcl'!$BF$2:$BG1679,2,FALSE),IF($T674,INDEX('RFR Data - preExcl'!$BF$2:$BG1679,MATCH($B674,'RFR Data - preExcl'!$BF$2:$BF1679,0)+1,2),VLOOKUP($B674,'RFR Data - preExcl'!$BF$2:$BG1679,2,FALSE))),IFERROR(0/0,""))</f>
        <v/>
      </c>
      <c r="V674" s="212" t="str">
        <f t="shared" si="5"/>
        <v>RUN-COMB_2022-05-12_RFR-038</v>
      </c>
      <c r="W674" s="51"/>
      <c r="X674" s="51"/>
      <c r="Y674" s="147" t="str">
        <f t="shared" ref="Y674:Z674" si="1348">IF(_xlfn.ISFORMULA(S674),IFERROR(0/0,""),TRUE)</f>
        <v/>
      </c>
      <c r="Z674" s="147" t="str">
        <f t="shared" si="1348"/>
        <v/>
      </c>
    </row>
    <row r="675">
      <c r="A675" s="6" t="str">
        <f>IFERROR(__xludf.DUMMYFUNCTION("""COMPUTED_VALUE"""),"FM4171")</f>
        <v>FM4171</v>
      </c>
      <c r="B675" s="206">
        <f>IFERROR(__xludf.DUMMYFUNCTION("""COMPUTED_VALUE"""),44693.0)</f>
        <v>44693</v>
      </c>
      <c r="C675" s="207">
        <f>IFERROR(__xludf.DUMMYFUNCTION("""COMPUTED_VALUE"""),0.2604166666666667)</f>
        <v>0.2604166667</v>
      </c>
      <c r="D675" s="50"/>
      <c r="E675" s="58"/>
      <c r="F675" s="58"/>
      <c r="G675" s="58" t="str">
        <f>IFERROR(__xludf.DUMMYFUNCTION("""COMPUTED_VALUE"""),"Null")</f>
        <v>Null</v>
      </c>
      <c r="H675" s="206" t="str">
        <f>IFERROR(__xludf.DUMMYFUNCTION("""COMPUTED_VALUE"""),"Negative")</f>
        <v>Negative</v>
      </c>
      <c r="I675" s="207">
        <f>IFERROR(__xludf.DUMMYFUNCTION("""COMPUTED_VALUE"""),44693.0)</f>
        <v>44693</v>
      </c>
      <c r="J675" s="208">
        <f>IFERROR(__xludf.DUMMYFUNCTION("""COMPUTED_VALUE"""),0.32238425925925923)</f>
        <v>0.3223842593</v>
      </c>
      <c r="K675" s="50">
        <f>IFERROR(__xludf.DUMMYFUNCTION("""COMPUTED_VALUE"""),2.0)</f>
        <v>2</v>
      </c>
      <c r="L675" s="6"/>
      <c r="M675" s="55"/>
      <c r="N675" s="55">
        <f>IFERROR(__xludf.DUMMYFUNCTION("""COMPUTED_VALUE"""),1.0)</f>
        <v>1</v>
      </c>
      <c r="O675" s="55" t="str">
        <f t="shared" si="3"/>
        <v/>
      </c>
      <c r="P675" s="209"/>
      <c r="Q675" s="75" t="b">
        <f>VLOOKUP($B675,'Run Reconcile'!B$2:P1679,15,FALSE)</f>
        <v>1</v>
      </c>
      <c r="R675" s="211" t="str">
        <f t="array" ref="R675">IF($Q675, INDEX('Run Reconcile'!A$2:A1679,MATCH(B675,'Run Reconcile'!B$2:B1679,0),1),IFERROR(0/0,""))</f>
        <v>RUN-COMB_2022-05-12_RFR-038</v>
      </c>
      <c r="S675" s="165" t="str">
        <f t="shared" ref="S675:T675" si="1349">IF(COUNTIF(W$2:W1679, $A675) &gt; 0,TRUE,IFERROR(0/0,""))</f>
        <v/>
      </c>
      <c r="T675" s="165" t="str">
        <f t="shared" si="1349"/>
        <v/>
      </c>
      <c r="U675" s="147" t="str">
        <f t="array" ref="U675">IF(ISBLANK($R675), IF($S675,VLOOKUP($B675+1,'RFR Data - preExcl'!$BF$2:$BG1679,2,FALSE),IF($T675,INDEX('RFR Data - preExcl'!$BF$2:$BG1679,MATCH($B675,'RFR Data - preExcl'!$BF$2:$BF1679,0)+1,2),VLOOKUP($B675,'RFR Data - preExcl'!$BF$2:$BG1679,2,FALSE))),IFERROR(0/0,""))</f>
        <v/>
      </c>
      <c r="V675" s="212" t="str">
        <f t="shared" si="5"/>
        <v>RUN-COMB_2022-05-12_RFR-038</v>
      </c>
      <c r="W675" s="51"/>
      <c r="X675" s="51"/>
      <c r="Y675" s="147" t="str">
        <f t="shared" ref="Y675:Z675" si="1350">IF(_xlfn.ISFORMULA(S675),IFERROR(0/0,""),TRUE)</f>
        <v/>
      </c>
      <c r="Z675" s="147" t="str">
        <f t="shared" si="1350"/>
        <v/>
      </c>
    </row>
    <row r="676">
      <c r="A676" s="6" t="str">
        <f>IFERROR(__xludf.DUMMYFUNCTION("""COMPUTED_VALUE"""),"FM2203")</f>
        <v>FM2203</v>
      </c>
      <c r="B676" s="206">
        <f>IFERROR(__xludf.DUMMYFUNCTION("""COMPUTED_VALUE"""),44693.0)</f>
        <v>44693</v>
      </c>
      <c r="C676" s="207">
        <f>IFERROR(__xludf.DUMMYFUNCTION("""COMPUTED_VALUE"""),0.26077546296296295)</f>
        <v>0.260775463</v>
      </c>
      <c r="D676" s="50"/>
      <c r="E676" s="58"/>
      <c r="F676" s="58"/>
      <c r="G676" s="58" t="str">
        <f>IFERROR(__xludf.DUMMYFUNCTION("""COMPUTED_VALUE"""),"Null")</f>
        <v>Null</v>
      </c>
      <c r="H676" s="206" t="str">
        <f>IFERROR(__xludf.DUMMYFUNCTION("""COMPUTED_VALUE"""),"Negative")</f>
        <v>Negative</v>
      </c>
      <c r="I676" s="207">
        <f>IFERROR(__xludf.DUMMYFUNCTION("""COMPUTED_VALUE"""),44693.0)</f>
        <v>44693</v>
      </c>
      <c r="J676" s="208">
        <f>IFERROR(__xludf.DUMMYFUNCTION("""COMPUTED_VALUE"""),0.3224074074074074)</f>
        <v>0.3224074074</v>
      </c>
      <c r="K676" s="50">
        <f>IFERROR(__xludf.DUMMYFUNCTION("""COMPUTED_VALUE"""),2.0)</f>
        <v>2</v>
      </c>
      <c r="L676" s="6"/>
      <c r="M676" s="55"/>
      <c r="N676" s="55">
        <f>IFERROR(__xludf.DUMMYFUNCTION("""COMPUTED_VALUE"""),1.0)</f>
        <v>1</v>
      </c>
      <c r="O676" s="55" t="str">
        <f t="shared" si="3"/>
        <v/>
      </c>
      <c r="P676" s="209"/>
      <c r="Q676" s="75" t="b">
        <f>VLOOKUP($B676,'Run Reconcile'!B$2:P1679,15,FALSE)</f>
        <v>1</v>
      </c>
      <c r="R676" s="211" t="str">
        <f t="array" ref="R676">IF($Q676, INDEX('Run Reconcile'!A$2:A1679,MATCH(B676,'Run Reconcile'!B$2:B1679,0),1),IFERROR(0/0,""))</f>
        <v>RUN-COMB_2022-05-12_RFR-038</v>
      </c>
      <c r="S676" s="165" t="str">
        <f t="shared" ref="S676:T676" si="1351">IF(COUNTIF(W$2:W1679, $A676) &gt; 0,TRUE,IFERROR(0/0,""))</f>
        <v/>
      </c>
      <c r="T676" s="165" t="str">
        <f t="shared" si="1351"/>
        <v/>
      </c>
      <c r="U676" s="147" t="str">
        <f t="array" ref="U676">IF(ISBLANK($R676), IF($S676,VLOOKUP($B676+1,'RFR Data - preExcl'!$BF$2:$BG1679,2,FALSE),IF($T676,INDEX('RFR Data - preExcl'!$BF$2:$BG1679,MATCH($B676,'RFR Data - preExcl'!$BF$2:$BF1679,0)+1,2),VLOOKUP($B676,'RFR Data - preExcl'!$BF$2:$BG1679,2,FALSE))),IFERROR(0/0,""))</f>
        <v/>
      </c>
      <c r="V676" s="212" t="str">
        <f t="shared" si="5"/>
        <v>RUN-COMB_2022-05-12_RFR-038</v>
      </c>
      <c r="W676" s="51"/>
      <c r="X676" s="51"/>
      <c r="Y676" s="147" t="str">
        <f t="shared" ref="Y676:Z676" si="1352">IF(_xlfn.ISFORMULA(S676),IFERROR(0/0,""),TRUE)</f>
        <v/>
      </c>
      <c r="Z676" s="147" t="str">
        <f t="shared" si="1352"/>
        <v/>
      </c>
    </row>
    <row r="677">
      <c r="A677" s="6" t="str">
        <f>IFERROR(__xludf.DUMMYFUNCTION("""COMPUTED_VALUE"""),"FM2249")</f>
        <v>FM2249</v>
      </c>
      <c r="B677" s="206">
        <f>IFERROR(__xludf.DUMMYFUNCTION("""COMPUTED_VALUE"""),44693.0)</f>
        <v>44693</v>
      </c>
      <c r="C677" s="207">
        <f>IFERROR(__xludf.DUMMYFUNCTION("""COMPUTED_VALUE"""),0.2668287037037037)</f>
        <v>0.2668287037</v>
      </c>
      <c r="D677" s="50"/>
      <c r="E677" s="58"/>
      <c r="F677" s="58"/>
      <c r="G677" s="58" t="str">
        <f>IFERROR(__xludf.DUMMYFUNCTION("""COMPUTED_VALUE"""),"Null")</f>
        <v>Null</v>
      </c>
      <c r="H677" s="206" t="str">
        <f>IFERROR(__xludf.DUMMYFUNCTION("""COMPUTED_VALUE"""),"Negative")</f>
        <v>Negative</v>
      </c>
      <c r="I677" s="207">
        <f>IFERROR(__xludf.DUMMYFUNCTION("""COMPUTED_VALUE"""),44693.0)</f>
        <v>44693</v>
      </c>
      <c r="J677" s="208">
        <f>IFERROR(__xludf.DUMMYFUNCTION("""COMPUTED_VALUE"""),0.32243055555555555)</f>
        <v>0.3224305556</v>
      </c>
      <c r="K677" s="50">
        <f>IFERROR(__xludf.DUMMYFUNCTION("""COMPUTED_VALUE"""),2.0)</f>
        <v>2</v>
      </c>
      <c r="L677" s="6"/>
      <c r="M677" s="55"/>
      <c r="N677" s="55">
        <f>IFERROR(__xludf.DUMMYFUNCTION("""COMPUTED_VALUE"""),1.0)</f>
        <v>1</v>
      </c>
      <c r="O677" s="55" t="str">
        <f t="shared" si="3"/>
        <v/>
      </c>
      <c r="P677" s="209"/>
      <c r="Q677" s="75" t="b">
        <f>VLOOKUP($B677,'Run Reconcile'!B$2:P1679,15,FALSE)</f>
        <v>1</v>
      </c>
      <c r="R677" s="211" t="str">
        <f t="array" ref="R677">IF($Q677, INDEX('Run Reconcile'!A$2:A1679,MATCH(B677,'Run Reconcile'!B$2:B1679,0),1),IFERROR(0/0,""))</f>
        <v>RUN-COMB_2022-05-12_RFR-038</v>
      </c>
      <c r="S677" s="165" t="str">
        <f t="shared" ref="S677:T677" si="1353">IF(COUNTIF(W$2:W1679, $A677) &gt; 0,TRUE,IFERROR(0/0,""))</f>
        <v/>
      </c>
      <c r="T677" s="165" t="str">
        <f t="shared" si="1353"/>
        <v/>
      </c>
      <c r="U677" s="147" t="str">
        <f t="array" ref="U677">IF(ISBLANK($R677), IF($S677,VLOOKUP($B677+1,'RFR Data - preExcl'!$BF$2:$BG1679,2,FALSE),IF($T677,INDEX('RFR Data - preExcl'!$BF$2:$BG1679,MATCH($B677,'RFR Data - preExcl'!$BF$2:$BF1679,0)+1,2),VLOOKUP($B677,'RFR Data - preExcl'!$BF$2:$BG1679,2,FALSE))),IFERROR(0/0,""))</f>
        <v/>
      </c>
      <c r="V677" s="212" t="str">
        <f t="shared" si="5"/>
        <v>RUN-COMB_2022-05-12_RFR-038</v>
      </c>
      <c r="W677" s="51"/>
      <c r="X677" s="51"/>
      <c r="Y677" s="147" t="str">
        <f t="shared" ref="Y677:Z677" si="1354">IF(_xlfn.ISFORMULA(S677),IFERROR(0/0,""),TRUE)</f>
        <v/>
      </c>
      <c r="Z677" s="147" t="str">
        <f t="shared" si="1354"/>
        <v/>
      </c>
    </row>
    <row r="678">
      <c r="A678" s="6" t="str">
        <f>IFERROR(__xludf.DUMMYFUNCTION("""COMPUTED_VALUE"""),"FM2253")</f>
        <v>FM2253</v>
      </c>
      <c r="B678" s="206">
        <f>IFERROR(__xludf.DUMMYFUNCTION("""COMPUTED_VALUE"""),44693.0)</f>
        <v>44693</v>
      </c>
      <c r="C678" s="207">
        <f>IFERROR(__xludf.DUMMYFUNCTION("""COMPUTED_VALUE"""),0.2671527777777778)</f>
        <v>0.2671527778</v>
      </c>
      <c r="D678" s="50"/>
      <c r="E678" s="58"/>
      <c r="F678" s="58"/>
      <c r="G678" s="58" t="str">
        <f>IFERROR(__xludf.DUMMYFUNCTION("""COMPUTED_VALUE"""),"Null")</f>
        <v>Null</v>
      </c>
      <c r="H678" s="206" t="str">
        <f>IFERROR(__xludf.DUMMYFUNCTION("""COMPUTED_VALUE"""),"Negative")</f>
        <v>Negative</v>
      </c>
      <c r="I678" s="207">
        <f>IFERROR(__xludf.DUMMYFUNCTION("""COMPUTED_VALUE"""),44693.0)</f>
        <v>44693</v>
      </c>
      <c r="J678" s="208">
        <f>IFERROR(__xludf.DUMMYFUNCTION("""COMPUTED_VALUE"""),0.32243055555555555)</f>
        <v>0.3224305556</v>
      </c>
      <c r="K678" s="50">
        <f>IFERROR(__xludf.DUMMYFUNCTION("""COMPUTED_VALUE"""),2.0)</f>
        <v>2</v>
      </c>
      <c r="L678" s="6"/>
      <c r="M678" s="55"/>
      <c r="N678" s="55">
        <f>IFERROR(__xludf.DUMMYFUNCTION("""COMPUTED_VALUE"""),1.0)</f>
        <v>1</v>
      </c>
      <c r="O678" s="55" t="str">
        <f t="shared" si="3"/>
        <v/>
      </c>
      <c r="P678" s="209"/>
      <c r="Q678" s="75" t="b">
        <f>VLOOKUP($B678,'Run Reconcile'!B$2:P1679,15,FALSE)</f>
        <v>1</v>
      </c>
      <c r="R678" s="211" t="str">
        <f t="array" ref="R678">IF($Q678, INDEX('Run Reconcile'!A$2:A1679,MATCH(B678,'Run Reconcile'!B$2:B1679,0),1),IFERROR(0/0,""))</f>
        <v>RUN-COMB_2022-05-12_RFR-038</v>
      </c>
      <c r="S678" s="165" t="str">
        <f t="shared" ref="S678:T678" si="1355">IF(COUNTIF(W$2:W1679, $A678) &gt; 0,TRUE,IFERROR(0/0,""))</f>
        <v/>
      </c>
      <c r="T678" s="165" t="str">
        <f t="shared" si="1355"/>
        <v/>
      </c>
      <c r="U678" s="147" t="str">
        <f t="array" ref="U678">IF(ISBLANK($R678), IF($S678,VLOOKUP($B678+1,'RFR Data - preExcl'!$BF$2:$BG1679,2,FALSE),IF($T678,INDEX('RFR Data - preExcl'!$BF$2:$BG1679,MATCH($B678,'RFR Data - preExcl'!$BF$2:$BF1679,0)+1,2),VLOOKUP($B678,'RFR Data - preExcl'!$BF$2:$BG1679,2,FALSE))),IFERROR(0/0,""))</f>
        <v/>
      </c>
      <c r="V678" s="212" t="str">
        <f t="shared" si="5"/>
        <v>RUN-COMB_2022-05-12_RFR-038</v>
      </c>
      <c r="W678" s="51"/>
      <c r="X678" s="51"/>
      <c r="Y678" s="147" t="str">
        <f t="shared" ref="Y678:Z678" si="1356">IF(_xlfn.ISFORMULA(S678),IFERROR(0/0,""),TRUE)</f>
        <v/>
      </c>
      <c r="Z678" s="147" t="str">
        <f t="shared" si="1356"/>
        <v/>
      </c>
    </row>
    <row r="679">
      <c r="A679" s="6" t="str">
        <f>IFERROR(__xludf.DUMMYFUNCTION("""COMPUTED_VALUE"""),"FM2168")</f>
        <v>FM2168</v>
      </c>
      <c r="B679" s="206">
        <f>IFERROR(__xludf.DUMMYFUNCTION("""COMPUTED_VALUE"""),44693.0)</f>
        <v>44693</v>
      </c>
      <c r="C679" s="207">
        <f>IFERROR(__xludf.DUMMYFUNCTION("""COMPUTED_VALUE"""),0.26753472222222224)</f>
        <v>0.2675347222</v>
      </c>
      <c r="D679" s="50"/>
      <c r="E679" s="58"/>
      <c r="F679" s="58"/>
      <c r="G679" s="58" t="str">
        <f>IFERROR(__xludf.DUMMYFUNCTION("""COMPUTED_VALUE"""),"Null")</f>
        <v>Null</v>
      </c>
      <c r="H679" s="206" t="str">
        <f>IFERROR(__xludf.DUMMYFUNCTION("""COMPUTED_VALUE"""),"Negative")</f>
        <v>Negative</v>
      </c>
      <c r="I679" s="207">
        <f>IFERROR(__xludf.DUMMYFUNCTION("""COMPUTED_VALUE"""),44693.0)</f>
        <v>44693</v>
      </c>
      <c r="J679" s="208">
        <f>IFERROR(__xludf.DUMMYFUNCTION("""COMPUTED_VALUE"""),0.3224537037037037)</f>
        <v>0.3224537037</v>
      </c>
      <c r="K679" s="50">
        <f>IFERROR(__xludf.DUMMYFUNCTION("""COMPUTED_VALUE"""),2.0)</f>
        <v>2</v>
      </c>
      <c r="L679" s="6"/>
      <c r="M679" s="55"/>
      <c r="N679" s="55">
        <f>IFERROR(__xludf.DUMMYFUNCTION("""COMPUTED_VALUE"""),1.0)</f>
        <v>1</v>
      </c>
      <c r="O679" s="55" t="str">
        <f t="shared" si="3"/>
        <v/>
      </c>
      <c r="P679" s="209"/>
      <c r="Q679" s="75" t="b">
        <f>VLOOKUP($B679,'Run Reconcile'!B$2:P1679,15,FALSE)</f>
        <v>1</v>
      </c>
      <c r="R679" s="211" t="str">
        <f t="array" ref="R679">IF($Q679, INDEX('Run Reconcile'!A$2:A1679,MATCH(B679,'Run Reconcile'!B$2:B1679,0),1),IFERROR(0/0,""))</f>
        <v>RUN-COMB_2022-05-12_RFR-038</v>
      </c>
      <c r="S679" s="165" t="str">
        <f t="shared" ref="S679:T679" si="1357">IF(COUNTIF(W$2:W1679, $A679) &gt; 0,TRUE,IFERROR(0/0,""))</f>
        <v/>
      </c>
      <c r="T679" s="165" t="str">
        <f t="shared" si="1357"/>
        <v/>
      </c>
      <c r="U679" s="147" t="str">
        <f t="array" ref="U679">IF(ISBLANK($R679), IF($S679,VLOOKUP($B679+1,'RFR Data - preExcl'!$BF$2:$BG1679,2,FALSE),IF($T679,INDEX('RFR Data - preExcl'!$BF$2:$BG1679,MATCH($B679,'RFR Data - preExcl'!$BF$2:$BF1679,0)+1,2),VLOOKUP($B679,'RFR Data - preExcl'!$BF$2:$BG1679,2,FALSE))),IFERROR(0/0,""))</f>
        <v/>
      </c>
      <c r="V679" s="212" t="str">
        <f t="shared" si="5"/>
        <v>RUN-COMB_2022-05-12_RFR-038</v>
      </c>
      <c r="W679" s="51"/>
      <c r="X679" s="51"/>
      <c r="Y679" s="147" t="str">
        <f t="shared" ref="Y679:Z679" si="1358">IF(_xlfn.ISFORMULA(S679),IFERROR(0/0,""),TRUE)</f>
        <v/>
      </c>
      <c r="Z679" s="147" t="str">
        <f t="shared" si="1358"/>
        <v/>
      </c>
    </row>
    <row r="680">
      <c r="A680" s="6" t="str">
        <f>IFERROR(__xludf.DUMMYFUNCTION("""COMPUTED_VALUE"""),"FM2241")</f>
        <v>FM2241</v>
      </c>
      <c r="B680" s="206">
        <f>IFERROR(__xludf.DUMMYFUNCTION("""COMPUTED_VALUE"""),44693.0)</f>
        <v>44693</v>
      </c>
      <c r="C680" s="207">
        <f>IFERROR(__xludf.DUMMYFUNCTION("""COMPUTED_VALUE"""),0.2699884259259259)</f>
        <v>0.2699884259</v>
      </c>
      <c r="D680" s="50"/>
      <c r="E680" s="58"/>
      <c r="F680" s="58"/>
      <c r="G680" s="58" t="str">
        <f>IFERROR(__xludf.DUMMYFUNCTION("""COMPUTED_VALUE"""),"Null")</f>
        <v>Null</v>
      </c>
      <c r="H680" s="206" t="str">
        <f>IFERROR(__xludf.DUMMYFUNCTION("""COMPUTED_VALUE"""),"Negative")</f>
        <v>Negative</v>
      </c>
      <c r="I680" s="207">
        <f>IFERROR(__xludf.DUMMYFUNCTION("""COMPUTED_VALUE"""),44693.0)</f>
        <v>44693</v>
      </c>
      <c r="J680" s="208">
        <f>IFERROR(__xludf.DUMMYFUNCTION("""COMPUTED_VALUE"""),0.3224652777777778)</f>
        <v>0.3224652778</v>
      </c>
      <c r="K680" s="50">
        <f>IFERROR(__xludf.DUMMYFUNCTION("""COMPUTED_VALUE"""),2.0)</f>
        <v>2</v>
      </c>
      <c r="L680" s="6"/>
      <c r="M680" s="55"/>
      <c r="N680" s="55">
        <f>IFERROR(__xludf.DUMMYFUNCTION("""COMPUTED_VALUE"""),1.0)</f>
        <v>1</v>
      </c>
      <c r="O680" s="55" t="str">
        <f t="shared" si="3"/>
        <v/>
      </c>
      <c r="P680" s="209"/>
      <c r="Q680" s="75" t="b">
        <f>VLOOKUP($B680,'Run Reconcile'!B$2:P1679,15,FALSE)</f>
        <v>1</v>
      </c>
      <c r="R680" s="211" t="str">
        <f t="array" ref="R680">IF($Q680, INDEX('Run Reconcile'!A$2:A1679,MATCH(B680,'Run Reconcile'!B$2:B1679,0),1),IFERROR(0/0,""))</f>
        <v>RUN-COMB_2022-05-12_RFR-038</v>
      </c>
      <c r="S680" s="165" t="str">
        <f t="shared" ref="S680:T680" si="1359">IF(COUNTIF(W$2:W1679, $A680) &gt; 0,TRUE,IFERROR(0/0,""))</f>
        <v/>
      </c>
      <c r="T680" s="165" t="str">
        <f t="shared" si="1359"/>
        <v/>
      </c>
      <c r="U680" s="147" t="str">
        <f t="array" ref="U680">IF(ISBLANK($R680), IF($S680,VLOOKUP($B680+1,'RFR Data - preExcl'!$BF$2:$BG1679,2,FALSE),IF($T680,INDEX('RFR Data - preExcl'!$BF$2:$BG1679,MATCH($B680,'RFR Data - preExcl'!$BF$2:$BF1679,0)+1,2),VLOOKUP($B680,'RFR Data - preExcl'!$BF$2:$BG1679,2,FALSE))),IFERROR(0/0,""))</f>
        <v/>
      </c>
      <c r="V680" s="212" t="str">
        <f t="shared" si="5"/>
        <v>RUN-COMB_2022-05-12_RFR-038</v>
      </c>
      <c r="W680" s="51"/>
      <c r="X680" s="51"/>
      <c r="Y680" s="147" t="str">
        <f t="shared" ref="Y680:Z680" si="1360">IF(_xlfn.ISFORMULA(S680),IFERROR(0/0,""),TRUE)</f>
        <v/>
      </c>
      <c r="Z680" s="147" t="str">
        <f t="shared" si="1360"/>
        <v/>
      </c>
    </row>
    <row r="681">
      <c r="A681" s="6" t="str">
        <f>IFERROR(__xludf.DUMMYFUNCTION("""COMPUTED_VALUE"""),"FM2337")</f>
        <v>FM2337</v>
      </c>
      <c r="B681" s="206">
        <f>IFERROR(__xludf.DUMMYFUNCTION("""COMPUTED_VALUE"""),44693.0)</f>
        <v>44693</v>
      </c>
      <c r="C681" s="207">
        <f>IFERROR(__xludf.DUMMYFUNCTION("""COMPUTED_VALUE"""),0.2744097222222222)</f>
        <v>0.2744097222</v>
      </c>
      <c r="D681" s="50"/>
      <c r="E681" s="58"/>
      <c r="F681" s="58"/>
      <c r="G681" s="58" t="str">
        <f>IFERROR(__xludf.DUMMYFUNCTION("""COMPUTED_VALUE"""),"Null")</f>
        <v>Null</v>
      </c>
      <c r="H681" s="206" t="str">
        <f>IFERROR(__xludf.DUMMYFUNCTION("""COMPUTED_VALUE"""),"Negative")</f>
        <v>Negative</v>
      </c>
      <c r="I681" s="207">
        <f>IFERROR(__xludf.DUMMYFUNCTION("""COMPUTED_VALUE"""),44693.0)</f>
        <v>44693</v>
      </c>
      <c r="J681" s="208">
        <f>IFERROR(__xludf.DUMMYFUNCTION("""COMPUTED_VALUE"""),0.3224768518518519)</f>
        <v>0.3224768519</v>
      </c>
      <c r="K681" s="50">
        <f>IFERROR(__xludf.DUMMYFUNCTION("""COMPUTED_VALUE"""),2.0)</f>
        <v>2</v>
      </c>
      <c r="L681" s="6"/>
      <c r="M681" s="55"/>
      <c r="N681" s="55">
        <f>IFERROR(__xludf.DUMMYFUNCTION("""COMPUTED_VALUE"""),1.0)</f>
        <v>1</v>
      </c>
      <c r="O681" s="55" t="str">
        <f t="shared" si="3"/>
        <v/>
      </c>
      <c r="P681" s="209"/>
      <c r="Q681" s="75" t="b">
        <f>VLOOKUP($B681,'Run Reconcile'!B$2:P1679,15,FALSE)</f>
        <v>1</v>
      </c>
      <c r="R681" s="211" t="str">
        <f t="array" ref="R681">IF($Q681, INDEX('Run Reconcile'!A$2:A1679,MATCH(B681,'Run Reconcile'!B$2:B1679,0),1),IFERROR(0/0,""))</f>
        <v>RUN-COMB_2022-05-12_RFR-038</v>
      </c>
      <c r="S681" s="165" t="str">
        <f t="shared" ref="S681:T681" si="1361">IF(COUNTIF(W$2:W1679, $A681) &gt; 0,TRUE,IFERROR(0/0,""))</f>
        <v/>
      </c>
      <c r="T681" s="165" t="str">
        <f t="shared" si="1361"/>
        <v/>
      </c>
      <c r="U681" s="147" t="str">
        <f t="array" ref="U681">IF(ISBLANK($R681), IF($S681,VLOOKUP($B681+1,'RFR Data - preExcl'!$BF$2:$BG1679,2,FALSE),IF($T681,INDEX('RFR Data - preExcl'!$BF$2:$BG1679,MATCH($B681,'RFR Data - preExcl'!$BF$2:$BF1679,0)+1,2),VLOOKUP($B681,'RFR Data - preExcl'!$BF$2:$BG1679,2,FALSE))),IFERROR(0/0,""))</f>
        <v/>
      </c>
      <c r="V681" s="212" t="str">
        <f t="shared" si="5"/>
        <v>RUN-COMB_2022-05-12_RFR-038</v>
      </c>
      <c r="W681" s="51"/>
      <c r="X681" s="51"/>
      <c r="Y681" s="147" t="str">
        <f t="shared" ref="Y681:Z681" si="1362">IF(_xlfn.ISFORMULA(S681),IFERROR(0/0,""),TRUE)</f>
        <v/>
      </c>
      <c r="Z681" s="147" t="str">
        <f t="shared" si="1362"/>
        <v/>
      </c>
    </row>
    <row r="682">
      <c r="A682" s="6" t="str">
        <f>IFERROR(__xludf.DUMMYFUNCTION("""COMPUTED_VALUE"""),"FM2226")</f>
        <v>FM2226</v>
      </c>
      <c r="B682" s="206">
        <f>IFERROR(__xludf.DUMMYFUNCTION("""COMPUTED_VALUE"""),44693.0)</f>
        <v>44693</v>
      </c>
      <c r="C682" s="207">
        <f>IFERROR(__xludf.DUMMYFUNCTION("""COMPUTED_VALUE"""),0.27475694444444443)</f>
        <v>0.2747569444</v>
      </c>
      <c r="D682" s="50"/>
      <c r="E682" s="58"/>
      <c r="F682" s="58"/>
      <c r="G682" s="58" t="str">
        <f>IFERROR(__xludf.DUMMYFUNCTION("""COMPUTED_VALUE"""),"Null")</f>
        <v>Null</v>
      </c>
      <c r="H682" s="206" t="str">
        <f>IFERROR(__xludf.DUMMYFUNCTION("""COMPUTED_VALUE"""),"Negative")</f>
        <v>Negative</v>
      </c>
      <c r="I682" s="207">
        <f>IFERROR(__xludf.DUMMYFUNCTION("""COMPUTED_VALUE"""),44693.0)</f>
        <v>44693</v>
      </c>
      <c r="J682" s="208">
        <f>IFERROR(__xludf.DUMMYFUNCTION("""COMPUTED_VALUE"""),0.3224768518518519)</f>
        <v>0.3224768519</v>
      </c>
      <c r="K682" s="50">
        <f>IFERROR(__xludf.DUMMYFUNCTION("""COMPUTED_VALUE"""),2.0)</f>
        <v>2</v>
      </c>
      <c r="L682" s="6"/>
      <c r="M682" s="55"/>
      <c r="N682" s="55">
        <f>IFERROR(__xludf.DUMMYFUNCTION("""COMPUTED_VALUE"""),1.0)</f>
        <v>1</v>
      </c>
      <c r="O682" s="55" t="str">
        <f t="shared" si="3"/>
        <v/>
      </c>
      <c r="P682" s="209"/>
      <c r="Q682" s="75" t="b">
        <f>VLOOKUP($B682,'Run Reconcile'!B$2:P1679,15,FALSE)</f>
        <v>1</v>
      </c>
      <c r="R682" s="211" t="str">
        <f t="array" ref="R682">IF($Q682, INDEX('Run Reconcile'!A$2:A1679,MATCH(B682,'Run Reconcile'!B$2:B1679,0),1),IFERROR(0/0,""))</f>
        <v>RUN-COMB_2022-05-12_RFR-038</v>
      </c>
      <c r="S682" s="165" t="str">
        <f t="shared" ref="S682:T682" si="1363">IF(COUNTIF(W$2:W1679, $A682) &gt; 0,TRUE,IFERROR(0/0,""))</f>
        <v/>
      </c>
      <c r="T682" s="165" t="str">
        <f t="shared" si="1363"/>
        <v/>
      </c>
      <c r="U682" s="147" t="str">
        <f t="array" ref="U682">IF(ISBLANK($R682), IF($S682,VLOOKUP($B682+1,'RFR Data - preExcl'!$BF$2:$BG1679,2,FALSE),IF($T682,INDEX('RFR Data - preExcl'!$BF$2:$BG1679,MATCH($B682,'RFR Data - preExcl'!$BF$2:$BF1679,0)+1,2),VLOOKUP($B682,'RFR Data - preExcl'!$BF$2:$BG1679,2,FALSE))),IFERROR(0/0,""))</f>
        <v/>
      </c>
      <c r="V682" s="212" t="str">
        <f t="shared" si="5"/>
        <v>RUN-COMB_2022-05-12_RFR-038</v>
      </c>
      <c r="W682" s="51"/>
      <c r="X682" s="51"/>
      <c r="Y682" s="147" t="str">
        <f t="shared" ref="Y682:Z682" si="1364">IF(_xlfn.ISFORMULA(S682),IFERROR(0/0,""),TRUE)</f>
        <v/>
      </c>
      <c r="Z682" s="147" t="str">
        <f t="shared" si="1364"/>
        <v/>
      </c>
    </row>
    <row r="683">
      <c r="A683" s="6" t="str">
        <f>IFERROR(__xludf.DUMMYFUNCTION("""COMPUTED_VALUE"""),"FM2234")</f>
        <v>FM2234</v>
      </c>
      <c r="B683" s="206">
        <f>IFERROR(__xludf.DUMMYFUNCTION("""COMPUTED_VALUE"""),44693.0)</f>
        <v>44693</v>
      </c>
      <c r="C683" s="207">
        <f>IFERROR(__xludf.DUMMYFUNCTION("""COMPUTED_VALUE"""),0.27519675925925924)</f>
        <v>0.2751967593</v>
      </c>
      <c r="D683" s="50"/>
      <c r="E683" s="58"/>
      <c r="F683" s="58"/>
      <c r="G683" s="58" t="str">
        <f>IFERROR(__xludf.DUMMYFUNCTION("""COMPUTED_VALUE"""),"Null")</f>
        <v>Null</v>
      </c>
      <c r="H683" s="206" t="str">
        <f>IFERROR(__xludf.DUMMYFUNCTION("""COMPUTED_VALUE"""),"Negative")</f>
        <v>Negative</v>
      </c>
      <c r="I683" s="207">
        <f>IFERROR(__xludf.DUMMYFUNCTION("""COMPUTED_VALUE"""),44693.0)</f>
        <v>44693</v>
      </c>
      <c r="J683" s="208">
        <f>IFERROR(__xludf.DUMMYFUNCTION("""COMPUTED_VALUE"""),0.3224884259259259)</f>
        <v>0.3224884259</v>
      </c>
      <c r="K683" s="50">
        <f>IFERROR(__xludf.DUMMYFUNCTION("""COMPUTED_VALUE"""),2.0)</f>
        <v>2</v>
      </c>
      <c r="L683" s="6"/>
      <c r="M683" s="55"/>
      <c r="N683" s="55">
        <f>IFERROR(__xludf.DUMMYFUNCTION("""COMPUTED_VALUE"""),1.0)</f>
        <v>1</v>
      </c>
      <c r="O683" s="55" t="str">
        <f t="shared" si="3"/>
        <v/>
      </c>
      <c r="P683" s="209"/>
      <c r="Q683" s="75" t="b">
        <f>VLOOKUP($B683,'Run Reconcile'!B$2:P1679,15,FALSE)</f>
        <v>1</v>
      </c>
      <c r="R683" s="211" t="str">
        <f t="array" ref="R683">IF($Q683, INDEX('Run Reconcile'!A$2:A1679,MATCH(B683,'Run Reconcile'!B$2:B1679,0),1),IFERROR(0/0,""))</f>
        <v>RUN-COMB_2022-05-12_RFR-038</v>
      </c>
      <c r="S683" s="165" t="str">
        <f t="shared" ref="S683:T683" si="1365">IF(COUNTIF(W$2:W1679, $A683) &gt; 0,TRUE,IFERROR(0/0,""))</f>
        <v/>
      </c>
      <c r="T683" s="165" t="str">
        <f t="shared" si="1365"/>
        <v/>
      </c>
      <c r="U683" s="147" t="str">
        <f t="array" ref="U683">IF(ISBLANK($R683), IF($S683,VLOOKUP($B683+1,'RFR Data - preExcl'!$BF$2:$BG1679,2,FALSE),IF($T683,INDEX('RFR Data - preExcl'!$BF$2:$BG1679,MATCH($B683,'RFR Data - preExcl'!$BF$2:$BF1679,0)+1,2),VLOOKUP($B683,'RFR Data - preExcl'!$BF$2:$BG1679,2,FALSE))),IFERROR(0/0,""))</f>
        <v/>
      </c>
      <c r="V683" s="212" t="str">
        <f t="shared" si="5"/>
        <v>RUN-COMB_2022-05-12_RFR-038</v>
      </c>
      <c r="W683" s="51"/>
      <c r="X683" s="51"/>
      <c r="Y683" s="147" t="str">
        <f t="shared" ref="Y683:Z683" si="1366">IF(_xlfn.ISFORMULA(S683),IFERROR(0/0,""),TRUE)</f>
        <v/>
      </c>
      <c r="Z683" s="147" t="str">
        <f t="shared" si="1366"/>
        <v/>
      </c>
    </row>
    <row r="684">
      <c r="A684" s="6" t="str">
        <f>IFERROR(__xludf.DUMMYFUNCTION("""COMPUTED_VALUE"""),"FM2228")</f>
        <v>FM2228</v>
      </c>
      <c r="B684" s="206">
        <f>IFERROR(__xludf.DUMMYFUNCTION("""COMPUTED_VALUE"""),44693.0)</f>
        <v>44693</v>
      </c>
      <c r="C684" s="207">
        <f>IFERROR(__xludf.DUMMYFUNCTION("""COMPUTED_VALUE"""),0.27564814814814814)</f>
        <v>0.2756481481</v>
      </c>
      <c r="D684" s="50"/>
      <c r="E684" s="58"/>
      <c r="F684" s="58"/>
      <c r="G684" s="58" t="str">
        <f>IFERROR(__xludf.DUMMYFUNCTION("""COMPUTED_VALUE"""),"Null")</f>
        <v>Null</v>
      </c>
      <c r="H684" s="206" t="str">
        <f>IFERROR(__xludf.DUMMYFUNCTION("""COMPUTED_VALUE"""),"Negative")</f>
        <v>Negative</v>
      </c>
      <c r="I684" s="207">
        <f>IFERROR(__xludf.DUMMYFUNCTION("""COMPUTED_VALUE"""),44693.0)</f>
        <v>44693</v>
      </c>
      <c r="J684" s="208">
        <f>IFERROR(__xludf.DUMMYFUNCTION("""COMPUTED_VALUE"""),0.3225)</f>
        <v>0.3225</v>
      </c>
      <c r="K684" s="50">
        <f>IFERROR(__xludf.DUMMYFUNCTION("""COMPUTED_VALUE"""),2.0)</f>
        <v>2</v>
      </c>
      <c r="L684" s="6"/>
      <c r="M684" s="55"/>
      <c r="N684" s="55">
        <f>IFERROR(__xludf.DUMMYFUNCTION("""COMPUTED_VALUE"""),1.0)</f>
        <v>1</v>
      </c>
      <c r="O684" s="55" t="str">
        <f t="shared" si="3"/>
        <v/>
      </c>
      <c r="P684" s="209"/>
      <c r="Q684" s="75" t="b">
        <f>VLOOKUP($B684,'Run Reconcile'!B$2:P1679,15,FALSE)</f>
        <v>1</v>
      </c>
      <c r="R684" s="211" t="str">
        <f t="array" ref="R684">IF($Q684, INDEX('Run Reconcile'!A$2:A1679,MATCH(B684,'Run Reconcile'!B$2:B1679,0),1),IFERROR(0/0,""))</f>
        <v>RUN-COMB_2022-05-12_RFR-038</v>
      </c>
      <c r="S684" s="165" t="str">
        <f t="shared" ref="S684:T684" si="1367">IF(COUNTIF(W$2:W1679, $A684) &gt; 0,TRUE,IFERROR(0/0,""))</f>
        <v/>
      </c>
      <c r="T684" s="165" t="str">
        <f t="shared" si="1367"/>
        <v/>
      </c>
      <c r="U684" s="147" t="str">
        <f t="array" ref="U684">IF(ISBLANK($R684), IF($S684,VLOOKUP($B684+1,'RFR Data - preExcl'!$BF$2:$BG1679,2,FALSE),IF($T684,INDEX('RFR Data - preExcl'!$BF$2:$BG1679,MATCH($B684,'RFR Data - preExcl'!$BF$2:$BF1679,0)+1,2),VLOOKUP($B684,'RFR Data - preExcl'!$BF$2:$BG1679,2,FALSE))),IFERROR(0/0,""))</f>
        <v/>
      </c>
      <c r="V684" s="212" t="str">
        <f t="shared" si="5"/>
        <v>RUN-COMB_2022-05-12_RFR-038</v>
      </c>
      <c r="W684" s="51"/>
      <c r="X684" s="51"/>
      <c r="Y684" s="147" t="str">
        <f t="shared" ref="Y684:Z684" si="1368">IF(_xlfn.ISFORMULA(S684),IFERROR(0/0,""),TRUE)</f>
        <v/>
      </c>
      <c r="Z684" s="147" t="str">
        <f t="shared" si="1368"/>
        <v/>
      </c>
    </row>
    <row r="685">
      <c r="A685" s="6" t="str">
        <f>IFERROR(__xludf.DUMMYFUNCTION("""COMPUTED_VALUE"""),"FM2223")</f>
        <v>FM2223</v>
      </c>
      <c r="B685" s="206">
        <f>IFERROR(__xludf.DUMMYFUNCTION("""COMPUTED_VALUE"""),44693.0)</f>
        <v>44693</v>
      </c>
      <c r="C685" s="207">
        <f>IFERROR(__xludf.DUMMYFUNCTION("""COMPUTED_VALUE"""),0.2759259259259259)</f>
        <v>0.2759259259</v>
      </c>
      <c r="D685" s="50"/>
      <c r="E685" s="58"/>
      <c r="F685" s="58"/>
      <c r="G685" s="58" t="str">
        <f>IFERROR(__xludf.DUMMYFUNCTION("""COMPUTED_VALUE"""),"Null")</f>
        <v>Null</v>
      </c>
      <c r="H685" s="206" t="str">
        <f>IFERROR(__xludf.DUMMYFUNCTION("""COMPUTED_VALUE"""),"Negative")</f>
        <v>Negative</v>
      </c>
      <c r="I685" s="207">
        <f>IFERROR(__xludf.DUMMYFUNCTION("""COMPUTED_VALUE"""),44693.0)</f>
        <v>44693</v>
      </c>
      <c r="J685" s="208">
        <f>IFERROR(__xludf.DUMMYFUNCTION("""COMPUTED_VALUE"""),0.3225)</f>
        <v>0.3225</v>
      </c>
      <c r="K685" s="50">
        <f>IFERROR(__xludf.DUMMYFUNCTION("""COMPUTED_VALUE"""),2.0)</f>
        <v>2</v>
      </c>
      <c r="L685" s="6"/>
      <c r="M685" s="55"/>
      <c r="N685" s="55">
        <f>IFERROR(__xludf.DUMMYFUNCTION("""COMPUTED_VALUE"""),1.0)</f>
        <v>1</v>
      </c>
      <c r="O685" s="55" t="str">
        <f t="shared" si="3"/>
        <v/>
      </c>
      <c r="P685" s="209"/>
      <c r="Q685" s="75" t="b">
        <f>VLOOKUP($B685,'Run Reconcile'!B$2:P1679,15,FALSE)</f>
        <v>1</v>
      </c>
      <c r="R685" s="211" t="str">
        <f t="array" ref="R685">IF($Q685, INDEX('Run Reconcile'!A$2:A1679,MATCH(B685,'Run Reconcile'!B$2:B1679,0),1),IFERROR(0/0,""))</f>
        <v>RUN-COMB_2022-05-12_RFR-038</v>
      </c>
      <c r="S685" s="165" t="str">
        <f t="shared" ref="S685:T685" si="1369">IF(COUNTIF(W$2:W1679, $A685) &gt; 0,TRUE,IFERROR(0/0,""))</f>
        <v/>
      </c>
      <c r="T685" s="165" t="str">
        <f t="shared" si="1369"/>
        <v/>
      </c>
      <c r="U685" s="147" t="str">
        <f t="array" ref="U685">IF(ISBLANK($R685), IF($S685,VLOOKUP($B685+1,'RFR Data - preExcl'!$BF$2:$BG1679,2,FALSE),IF($T685,INDEX('RFR Data - preExcl'!$BF$2:$BG1679,MATCH($B685,'RFR Data - preExcl'!$BF$2:$BF1679,0)+1,2),VLOOKUP($B685,'RFR Data - preExcl'!$BF$2:$BG1679,2,FALSE))),IFERROR(0/0,""))</f>
        <v/>
      </c>
      <c r="V685" s="212" t="str">
        <f t="shared" si="5"/>
        <v>RUN-COMB_2022-05-12_RFR-038</v>
      </c>
      <c r="W685" s="51"/>
      <c r="X685" s="51"/>
      <c r="Y685" s="147" t="str">
        <f t="shared" ref="Y685:Z685" si="1370">IF(_xlfn.ISFORMULA(S685),IFERROR(0/0,""),TRUE)</f>
        <v/>
      </c>
      <c r="Z685" s="147" t="str">
        <f t="shared" si="1370"/>
        <v/>
      </c>
    </row>
    <row r="686">
      <c r="A686" s="6" t="str">
        <f>IFERROR(__xludf.DUMMYFUNCTION("""COMPUTED_VALUE"""),"FM2264")</f>
        <v>FM2264</v>
      </c>
      <c r="B686" s="206">
        <f>IFERROR(__xludf.DUMMYFUNCTION("""COMPUTED_VALUE"""),44693.0)</f>
        <v>44693</v>
      </c>
      <c r="C686" s="207">
        <f>IFERROR(__xludf.DUMMYFUNCTION("""COMPUTED_VALUE"""),0.2774421296296296)</f>
        <v>0.2774421296</v>
      </c>
      <c r="D686" s="50"/>
      <c r="E686" s="58"/>
      <c r="F686" s="58"/>
      <c r="G686" s="58" t="str">
        <f>IFERROR(__xludf.DUMMYFUNCTION("""COMPUTED_VALUE"""),"Null")</f>
        <v>Null</v>
      </c>
      <c r="H686" s="206" t="str">
        <f>IFERROR(__xludf.DUMMYFUNCTION("""COMPUTED_VALUE"""),"Negative")</f>
        <v>Negative</v>
      </c>
      <c r="I686" s="207">
        <f>IFERROR(__xludf.DUMMYFUNCTION("""COMPUTED_VALUE"""),44693.0)</f>
        <v>44693</v>
      </c>
      <c r="J686" s="208">
        <f>IFERROR(__xludf.DUMMYFUNCTION("""COMPUTED_VALUE"""),0.32251157407407405)</f>
        <v>0.3225115741</v>
      </c>
      <c r="K686" s="50">
        <f>IFERROR(__xludf.DUMMYFUNCTION("""COMPUTED_VALUE"""),2.0)</f>
        <v>2</v>
      </c>
      <c r="L686" s="6"/>
      <c r="M686" s="55"/>
      <c r="N686" s="55">
        <f>IFERROR(__xludf.DUMMYFUNCTION("""COMPUTED_VALUE"""),1.0)</f>
        <v>1</v>
      </c>
      <c r="O686" s="55" t="str">
        <f t="shared" si="3"/>
        <v/>
      </c>
      <c r="P686" s="209"/>
      <c r="Q686" s="75" t="b">
        <f>VLOOKUP($B686,'Run Reconcile'!B$2:P1679,15,FALSE)</f>
        <v>1</v>
      </c>
      <c r="R686" s="211" t="str">
        <f t="array" ref="R686">IF($Q686, INDEX('Run Reconcile'!A$2:A1679,MATCH(B686,'Run Reconcile'!B$2:B1679,0),1),IFERROR(0/0,""))</f>
        <v>RUN-COMB_2022-05-12_RFR-038</v>
      </c>
      <c r="S686" s="165" t="str">
        <f t="shared" ref="S686:T686" si="1371">IF(COUNTIF(W$2:W1679, $A686) &gt; 0,TRUE,IFERROR(0/0,""))</f>
        <v/>
      </c>
      <c r="T686" s="165" t="str">
        <f t="shared" si="1371"/>
        <v/>
      </c>
      <c r="U686" s="147" t="str">
        <f t="array" ref="U686">IF(ISBLANK($R686), IF($S686,VLOOKUP($B686+1,'RFR Data - preExcl'!$BF$2:$BG1679,2,FALSE),IF($T686,INDEX('RFR Data - preExcl'!$BF$2:$BG1679,MATCH($B686,'RFR Data - preExcl'!$BF$2:$BF1679,0)+1,2),VLOOKUP($B686,'RFR Data - preExcl'!$BF$2:$BG1679,2,FALSE))),IFERROR(0/0,""))</f>
        <v/>
      </c>
      <c r="V686" s="212" t="str">
        <f t="shared" si="5"/>
        <v>RUN-COMB_2022-05-12_RFR-038</v>
      </c>
      <c r="W686" s="51"/>
      <c r="X686" s="51"/>
      <c r="Y686" s="147" t="str">
        <f t="shared" ref="Y686:Z686" si="1372">IF(_xlfn.ISFORMULA(S686),IFERROR(0/0,""),TRUE)</f>
        <v/>
      </c>
      <c r="Z686" s="147" t="str">
        <f t="shared" si="1372"/>
        <v/>
      </c>
    </row>
    <row r="687">
      <c r="A687" s="6" t="str">
        <f>IFERROR(__xludf.DUMMYFUNCTION("""COMPUTED_VALUE"""),"FM4179")</f>
        <v>FM4179</v>
      </c>
      <c r="B687" s="206">
        <f>IFERROR(__xludf.DUMMYFUNCTION("""COMPUTED_VALUE"""),44693.0)</f>
        <v>44693</v>
      </c>
      <c r="C687" s="207">
        <f>IFERROR(__xludf.DUMMYFUNCTION("""COMPUTED_VALUE"""),0.2779861111111111)</f>
        <v>0.2779861111</v>
      </c>
      <c r="D687" s="50"/>
      <c r="E687" s="58"/>
      <c r="F687" s="58"/>
      <c r="G687" s="58" t="str">
        <f>IFERROR(__xludf.DUMMYFUNCTION("""COMPUTED_VALUE"""),"Null")</f>
        <v>Null</v>
      </c>
      <c r="H687" s="206" t="str">
        <f>IFERROR(__xludf.DUMMYFUNCTION("""COMPUTED_VALUE"""),"Negative")</f>
        <v>Negative</v>
      </c>
      <c r="I687" s="207">
        <f>IFERROR(__xludf.DUMMYFUNCTION("""COMPUTED_VALUE"""),44693.0)</f>
        <v>44693</v>
      </c>
      <c r="J687" s="208">
        <f>IFERROR(__xludf.DUMMYFUNCTION("""COMPUTED_VALUE"""),0.32252314814814814)</f>
        <v>0.3225231481</v>
      </c>
      <c r="K687" s="50">
        <f>IFERROR(__xludf.DUMMYFUNCTION("""COMPUTED_VALUE"""),2.0)</f>
        <v>2</v>
      </c>
      <c r="L687" s="6"/>
      <c r="M687" s="55"/>
      <c r="N687" s="55">
        <f>IFERROR(__xludf.DUMMYFUNCTION("""COMPUTED_VALUE"""),1.0)</f>
        <v>1</v>
      </c>
      <c r="O687" s="55" t="str">
        <f t="shared" si="3"/>
        <v/>
      </c>
      <c r="P687" s="209"/>
      <c r="Q687" s="75" t="b">
        <f>VLOOKUP($B687,'Run Reconcile'!B$2:P1679,15,FALSE)</f>
        <v>1</v>
      </c>
      <c r="R687" s="211" t="str">
        <f t="array" ref="R687">IF($Q687, INDEX('Run Reconcile'!A$2:A1679,MATCH(B687,'Run Reconcile'!B$2:B1679,0),1),IFERROR(0/0,""))</f>
        <v>RUN-COMB_2022-05-12_RFR-038</v>
      </c>
      <c r="S687" s="165" t="str">
        <f t="shared" ref="S687:T687" si="1373">IF(COUNTIF(W$2:W1679, $A687) &gt; 0,TRUE,IFERROR(0/0,""))</f>
        <v/>
      </c>
      <c r="T687" s="165" t="str">
        <f t="shared" si="1373"/>
        <v/>
      </c>
      <c r="U687" s="147" t="str">
        <f t="array" ref="U687">IF(ISBLANK($R687), IF($S687,VLOOKUP($B687+1,'RFR Data - preExcl'!$BF$2:$BG1679,2,FALSE),IF($T687,INDEX('RFR Data - preExcl'!$BF$2:$BG1679,MATCH($B687,'RFR Data - preExcl'!$BF$2:$BF1679,0)+1,2),VLOOKUP($B687,'RFR Data - preExcl'!$BF$2:$BG1679,2,FALSE))),IFERROR(0/0,""))</f>
        <v/>
      </c>
      <c r="V687" s="212" t="str">
        <f t="shared" si="5"/>
        <v>RUN-COMB_2022-05-12_RFR-038</v>
      </c>
      <c r="W687" s="51"/>
      <c r="X687" s="51"/>
      <c r="Y687" s="147" t="str">
        <f t="shared" ref="Y687:Z687" si="1374">IF(_xlfn.ISFORMULA(S687),IFERROR(0/0,""),TRUE)</f>
        <v/>
      </c>
      <c r="Z687" s="147" t="str">
        <f t="shared" si="1374"/>
        <v/>
      </c>
    </row>
    <row r="688">
      <c r="A688" s="6" t="str">
        <f>IFERROR(__xludf.DUMMYFUNCTION("""COMPUTED_VALUE"""),"FM2184")</f>
        <v>FM2184</v>
      </c>
      <c r="B688" s="206">
        <f>IFERROR(__xludf.DUMMYFUNCTION("""COMPUTED_VALUE"""),44693.0)</f>
        <v>44693</v>
      </c>
      <c r="C688" s="207">
        <f>IFERROR(__xludf.DUMMYFUNCTION("""COMPUTED_VALUE"""),0.2789583333333333)</f>
        <v>0.2789583333</v>
      </c>
      <c r="D688" s="50"/>
      <c r="E688" s="58"/>
      <c r="F688" s="58"/>
      <c r="G688" s="58" t="str">
        <f>IFERROR(__xludf.DUMMYFUNCTION("""COMPUTED_VALUE"""),"Null")</f>
        <v>Null</v>
      </c>
      <c r="H688" s="206" t="str">
        <f>IFERROR(__xludf.DUMMYFUNCTION("""COMPUTED_VALUE"""),"Negative")</f>
        <v>Negative</v>
      </c>
      <c r="I688" s="207">
        <f>IFERROR(__xludf.DUMMYFUNCTION("""COMPUTED_VALUE"""),44693.0)</f>
        <v>44693</v>
      </c>
      <c r="J688" s="208">
        <f>IFERROR(__xludf.DUMMYFUNCTION("""COMPUTED_VALUE"""),0.3225462962962963)</f>
        <v>0.3225462963</v>
      </c>
      <c r="K688" s="50">
        <f>IFERROR(__xludf.DUMMYFUNCTION("""COMPUTED_VALUE"""),2.0)</f>
        <v>2</v>
      </c>
      <c r="L688" s="6"/>
      <c r="M688" s="55"/>
      <c r="N688" s="55">
        <f>IFERROR(__xludf.DUMMYFUNCTION("""COMPUTED_VALUE"""),1.0)</f>
        <v>1</v>
      </c>
      <c r="O688" s="55" t="str">
        <f t="shared" si="3"/>
        <v/>
      </c>
      <c r="P688" s="209"/>
      <c r="Q688" s="75" t="b">
        <f>VLOOKUP($B688,'Run Reconcile'!B$2:P1679,15,FALSE)</f>
        <v>1</v>
      </c>
      <c r="R688" s="211" t="str">
        <f t="array" ref="R688">IF($Q688, INDEX('Run Reconcile'!A$2:A1679,MATCH(B688,'Run Reconcile'!B$2:B1679,0),1),IFERROR(0/0,""))</f>
        <v>RUN-COMB_2022-05-12_RFR-038</v>
      </c>
      <c r="S688" s="165" t="str">
        <f t="shared" ref="S688:T688" si="1375">IF(COUNTIF(W$2:W1679, $A688) &gt; 0,TRUE,IFERROR(0/0,""))</f>
        <v/>
      </c>
      <c r="T688" s="165" t="str">
        <f t="shared" si="1375"/>
        <v/>
      </c>
      <c r="U688" s="147" t="str">
        <f t="array" ref="U688">IF(ISBLANK($R688), IF($S688,VLOOKUP($B688+1,'RFR Data - preExcl'!$BF$2:$BG1679,2,FALSE),IF($T688,INDEX('RFR Data - preExcl'!$BF$2:$BG1679,MATCH($B688,'RFR Data - preExcl'!$BF$2:$BF1679,0)+1,2),VLOOKUP($B688,'RFR Data - preExcl'!$BF$2:$BG1679,2,FALSE))),IFERROR(0/0,""))</f>
        <v/>
      </c>
      <c r="V688" s="212" t="str">
        <f t="shared" si="5"/>
        <v>RUN-COMB_2022-05-12_RFR-038</v>
      </c>
      <c r="W688" s="51"/>
      <c r="X688" s="51"/>
      <c r="Y688" s="147" t="str">
        <f t="shared" ref="Y688:Z688" si="1376">IF(_xlfn.ISFORMULA(S688),IFERROR(0/0,""),TRUE)</f>
        <v/>
      </c>
      <c r="Z688" s="147" t="str">
        <f t="shared" si="1376"/>
        <v/>
      </c>
    </row>
    <row r="689">
      <c r="A689" s="6" t="str">
        <f>IFERROR(__xludf.DUMMYFUNCTION("""COMPUTED_VALUE"""),"FM2259")</f>
        <v>FM2259</v>
      </c>
      <c r="B689" s="206">
        <f>IFERROR(__xludf.DUMMYFUNCTION("""COMPUTED_VALUE"""),44693.0)</f>
        <v>44693</v>
      </c>
      <c r="C689" s="207">
        <f>IFERROR(__xludf.DUMMYFUNCTION("""COMPUTED_VALUE"""),0.2792939814814815)</f>
        <v>0.2792939815</v>
      </c>
      <c r="D689" s="50"/>
      <c r="E689" s="58"/>
      <c r="F689" s="58"/>
      <c r="G689" s="58" t="str">
        <f>IFERROR(__xludf.DUMMYFUNCTION("""COMPUTED_VALUE"""),"Null")</f>
        <v>Null</v>
      </c>
      <c r="H689" s="206" t="str">
        <f>IFERROR(__xludf.DUMMYFUNCTION("""COMPUTED_VALUE"""),"Negative")</f>
        <v>Negative</v>
      </c>
      <c r="I689" s="207">
        <f>IFERROR(__xludf.DUMMYFUNCTION("""COMPUTED_VALUE"""),44693.0)</f>
        <v>44693</v>
      </c>
      <c r="J689" s="208">
        <f>IFERROR(__xludf.DUMMYFUNCTION("""COMPUTED_VALUE"""),0.32255787037037037)</f>
        <v>0.3225578704</v>
      </c>
      <c r="K689" s="50">
        <f>IFERROR(__xludf.DUMMYFUNCTION("""COMPUTED_VALUE"""),2.0)</f>
        <v>2</v>
      </c>
      <c r="L689" s="6"/>
      <c r="M689" s="55"/>
      <c r="N689" s="55">
        <f>IFERROR(__xludf.DUMMYFUNCTION("""COMPUTED_VALUE"""),1.0)</f>
        <v>1</v>
      </c>
      <c r="O689" s="55" t="str">
        <f t="shared" si="3"/>
        <v/>
      </c>
      <c r="P689" s="209"/>
      <c r="Q689" s="75" t="b">
        <f>VLOOKUP($B689,'Run Reconcile'!B$2:P1679,15,FALSE)</f>
        <v>1</v>
      </c>
      <c r="R689" s="211" t="str">
        <f t="array" ref="R689">IF($Q689, INDEX('Run Reconcile'!A$2:A1679,MATCH(B689,'Run Reconcile'!B$2:B1679,0),1),IFERROR(0/0,""))</f>
        <v>RUN-COMB_2022-05-12_RFR-038</v>
      </c>
      <c r="S689" s="165" t="str">
        <f t="shared" ref="S689:T689" si="1377">IF(COUNTIF(W$2:W1679, $A689) &gt; 0,TRUE,IFERROR(0/0,""))</f>
        <v/>
      </c>
      <c r="T689" s="165" t="str">
        <f t="shared" si="1377"/>
        <v/>
      </c>
      <c r="U689" s="147" t="str">
        <f t="array" ref="U689">IF(ISBLANK($R689), IF($S689,VLOOKUP($B689+1,'RFR Data - preExcl'!$BF$2:$BG1679,2,FALSE),IF($T689,INDEX('RFR Data - preExcl'!$BF$2:$BG1679,MATCH($B689,'RFR Data - preExcl'!$BF$2:$BF1679,0)+1,2),VLOOKUP($B689,'RFR Data - preExcl'!$BF$2:$BG1679,2,FALSE))),IFERROR(0/0,""))</f>
        <v/>
      </c>
      <c r="V689" s="212" t="str">
        <f t="shared" si="5"/>
        <v>RUN-COMB_2022-05-12_RFR-038</v>
      </c>
      <c r="W689" s="51"/>
      <c r="X689" s="51"/>
      <c r="Y689" s="147" t="str">
        <f t="shared" ref="Y689:Z689" si="1378">IF(_xlfn.ISFORMULA(S689),IFERROR(0/0,""),TRUE)</f>
        <v/>
      </c>
      <c r="Z689" s="147" t="str">
        <f t="shared" si="1378"/>
        <v/>
      </c>
    </row>
    <row r="690">
      <c r="A690" s="6" t="str">
        <f>IFERROR(__xludf.DUMMYFUNCTION("""COMPUTED_VALUE"""),"FM2216")</f>
        <v>FM2216</v>
      </c>
      <c r="B690" s="206">
        <f>IFERROR(__xludf.DUMMYFUNCTION("""COMPUTED_VALUE"""),44693.0)</f>
        <v>44693</v>
      </c>
      <c r="C690" s="207">
        <f>IFERROR(__xludf.DUMMYFUNCTION("""COMPUTED_VALUE"""),0.2796064814814815)</f>
        <v>0.2796064815</v>
      </c>
      <c r="D690" s="50"/>
      <c r="E690" s="58"/>
      <c r="F690" s="58"/>
      <c r="G690" s="58" t="str">
        <f>IFERROR(__xludf.DUMMYFUNCTION("""COMPUTED_VALUE"""),"Null")</f>
        <v>Null</v>
      </c>
      <c r="H690" s="206" t="str">
        <f>IFERROR(__xludf.DUMMYFUNCTION("""COMPUTED_VALUE"""),"Negative")</f>
        <v>Negative</v>
      </c>
      <c r="I690" s="207">
        <f>IFERROR(__xludf.DUMMYFUNCTION("""COMPUTED_VALUE"""),44693.0)</f>
        <v>44693</v>
      </c>
      <c r="J690" s="208">
        <f>IFERROR(__xludf.DUMMYFUNCTION("""COMPUTED_VALUE"""),0.3225810185185185)</f>
        <v>0.3225810185</v>
      </c>
      <c r="K690" s="50">
        <f>IFERROR(__xludf.DUMMYFUNCTION("""COMPUTED_VALUE"""),2.0)</f>
        <v>2</v>
      </c>
      <c r="L690" s="6"/>
      <c r="M690" s="55"/>
      <c r="N690" s="55">
        <f>IFERROR(__xludf.DUMMYFUNCTION("""COMPUTED_VALUE"""),1.0)</f>
        <v>1</v>
      </c>
      <c r="O690" s="55" t="str">
        <f t="shared" si="3"/>
        <v/>
      </c>
      <c r="P690" s="209"/>
      <c r="Q690" s="75" t="b">
        <f>VLOOKUP($B690,'Run Reconcile'!B$2:P1679,15,FALSE)</f>
        <v>1</v>
      </c>
      <c r="R690" s="211" t="str">
        <f t="array" ref="R690">IF($Q690, INDEX('Run Reconcile'!A$2:A1679,MATCH(B690,'Run Reconcile'!B$2:B1679,0),1),IFERROR(0/0,""))</f>
        <v>RUN-COMB_2022-05-12_RFR-038</v>
      </c>
      <c r="S690" s="165" t="str">
        <f t="shared" ref="S690:T690" si="1379">IF(COUNTIF(W$2:W1679, $A690) &gt; 0,TRUE,IFERROR(0/0,""))</f>
        <v/>
      </c>
      <c r="T690" s="165" t="str">
        <f t="shared" si="1379"/>
        <v/>
      </c>
      <c r="U690" s="147" t="str">
        <f t="array" ref="U690">IF(ISBLANK($R690), IF($S690,VLOOKUP($B690+1,'RFR Data - preExcl'!$BF$2:$BG1679,2,FALSE),IF($T690,INDEX('RFR Data - preExcl'!$BF$2:$BG1679,MATCH($B690,'RFR Data - preExcl'!$BF$2:$BF1679,0)+1,2),VLOOKUP($B690,'RFR Data - preExcl'!$BF$2:$BG1679,2,FALSE))),IFERROR(0/0,""))</f>
        <v/>
      </c>
      <c r="V690" s="212" t="str">
        <f t="shared" si="5"/>
        <v>RUN-COMB_2022-05-12_RFR-038</v>
      </c>
      <c r="W690" s="51"/>
      <c r="X690" s="51"/>
      <c r="Y690" s="147" t="str">
        <f t="shared" ref="Y690:Z690" si="1380">IF(_xlfn.ISFORMULA(S690),IFERROR(0/0,""),TRUE)</f>
        <v/>
      </c>
      <c r="Z690" s="147" t="str">
        <f t="shared" si="1380"/>
        <v/>
      </c>
    </row>
    <row r="691">
      <c r="A691" s="6" t="str">
        <f>IFERROR(__xludf.DUMMYFUNCTION("""COMPUTED_VALUE"""),"FM2258")</f>
        <v>FM2258</v>
      </c>
      <c r="B691" s="206">
        <f>IFERROR(__xludf.DUMMYFUNCTION("""COMPUTED_VALUE"""),44693.0)</f>
        <v>44693</v>
      </c>
      <c r="C691" s="207">
        <f>IFERROR(__xludf.DUMMYFUNCTION("""COMPUTED_VALUE"""),0.28216435185185185)</f>
        <v>0.2821643519</v>
      </c>
      <c r="D691" s="50"/>
      <c r="E691" s="58"/>
      <c r="F691" s="58"/>
      <c r="G691" s="58" t="str">
        <f>IFERROR(__xludf.DUMMYFUNCTION("""COMPUTED_VALUE"""),"Null")</f>
        <v>Null</v>
      </c>
      <c r="H691" s="206" t="str">
        <f>IFERROR(__xludf.DUMMYFUNCTION("""COMPUTED_VALUE"""),"Negative")</f>
        <v>Negative</v>
      </c>
      <c r="I691" s="207">
        <f>IFERROR(__xludf.DUMMYFUNCTION("""COMPUTED_VALUE"""),44693.0)</f>
        <v>44693</v>
      </c>
      <c r="J691" s="208">
        <f>IFERROR(__xludf.DUMMYFUNCTION("""COMPUTED_VALUE"""),0.3225925925925926)</f>
        <v>0.3225925926</v>
      </c>
      <c r="K691" s="50">
        <f>IFERROR(__xludf.DUMMYFUNCTION("""COMPUTED_VALUE"""),2.0)</f>
        <v>2</v>
      </c>
      <c r="L691" s="6"/>
      <c r="M691" s="55"/>
      <c r="N691" s="55">
        <f>IFERROR(__xludf.DUMMYFUNCTION("""COMPUTED_VALUE"""),1.0)</f>
        <v>1</v>
      </c>
      <c r="O691" s="55" t="str">
        <f t="shared" si="3"/>
        <v/>
      </c>
      <c r="P691" s="209"/>
      <c r="Q691" s="75" t="b">
        <f>VLOOKUP($B691,'Run Reconcile'!B$2:P1679,15,FALSE)</f>
        <v>1</v>
      </c>
      <c r="R691" s="211" t="str">
        <f t="array" ref="R691">IF($Q691, INDEX('Run Reconcile'!A$2:A1679,MATCH(B691,'Run Reconcile'!B$2:B1679,0),1),IFERROR(0/0,""))</f>
        <v>RUN-COMB_2022-05-12_RFR-038</v>
      </c>
      <c r="S691" s="165" t="str">
        <f t="shared" ref="S691:T691" si="1381">IF(COUNTIF(W$2:W1679, $A691) &gt; 0,TRUE,IFERROR(0/0,""))</f>
        <v/>
      </c>
      <c r="T691" s="165" t="str">
        <f t="shared" si="1381"/>
        <v/>
      </c>
      <c r="U691" s="147" t="str">
        <f t="array" ref="U691">IF(ISBLANK($R691), IF($S691,VLOOKUP($B691+1,'RFR Data - preExcl'!$BF$2:$BG1679,2,FALSE),IF($T691,INDEX('RFR Data - preExcl'!$BF$2:$BG1679,MATCH($B691,'RFR Data - preExcl'!$BF$2:$BF1679,0)+1,2),VLOOKUP($B691,'RFR Data - preExcl'!$BF$2:$BG1679,2,FALSE))),IFERROR(0/0,""))</f>
        <v/>
      </c>
      <c r="V691" s="212" t="str">
        <f t="shared" si="5"/>
        <v>RUN-COMB_2022-05-12_RFR-038</v>
      </c>
      <c r="W691" s="51"/>
      <c r="X691" s="51"/>
      <c r="Y691" s="147" t="str">
        <f t="shared" ref="Y691:Z691" si="1382">IF(_xlfn.ISFORMULA(S691),IFERROR(0/0,""),TRUE)</f>
        <v/>
      </c>
      <c r="Z691" s="147" t="str">
        <f t="shared" si="1382"/>
        <v/>
      </c>
    </row>
    <row r="692">
      <c r="A692" s="6" t="str">
        <f>IFERROR(__xludf.DUMMYFUNCTION("""COMPUTED_VALUE"""),"FM2208")</f>
        <v>FM2208</v>
      </c>
      <c r="B692" s="206">
        <f>IFERROR(__xludf.DUMMYFUNCTION("""COMPUTED_VALUE"""),44693.0)</f>
        <v>44693</v>
      </c>
      <c r="C692" s="207">
        <f>IFERROR(__xludf.DUMMYFUNCTION("""COMPUTED_VALUE"""),0.2825347222222222)</f>
        <v>0.2825347222</v>
      </c>
      <c r="D692" s="50"/>
      <c r="E692" s="58"/>
      <c r="F692" s="58"/>
      <c r="G692" s="58" t="str">
        <f>IFERROR(__xludf.DUMMYFUNCTION("""COMPUTED_VALUE"""),"Null")</f>
        <v>Null</v>
      </c>
      <c r="H692" s="206" t="str">
        <f>IFERROR(__xludf.DUMMYFUNCTION("""COMPUTED_VALUE"""),"Negative")</f>
        <v>Negative</v>
      </c>
      <c r="I692" s="207">
        <f>IFERROR(__xludf.DUMMYFUNCTION("""COMPUTED_VALUE"""),44693.0)</f>
        <v>44693</v>
      </c>
      <c r="J692" s="208">
        <f>IFERROR(__xludf.DUMMYFUNCTION("""COMPUTED_VALUE"""),0.32261574074074073)</f>
        <v>0.3226157407</v>
      </c>
      <c r="K692" s="50">
        <f>IFERROR(__xludf.DUMMYFUNCTION("""COMPUTED_VALUE"""),2.0)</f>
        <v>2</v>
      </c>
      <c r="L692" s="6"/>
      <c r="M692" s="55"/>
      <c r="N692" s="55">
        <f>IFERROR(__xludf.DUMMYFUNCTION("""COMPUTED_VALUE"""),1.0)</f>
        <v>1</v>
      </c>
      <c r="O692" s="55" t="str">
        <f t="shared" si="3"/>
        <v/>
      </c>
      <c r="P692" s="209"/>
      <c r="Q692" s="75" t="b">
        <f>VLOOKUP($B692,'Run Reconcile'!B$2:P1679,15,FALSE)</f>
        <v>1</v>
      </c>
      <c r="R692" s="211" t="str">
        <f t="array" ref="R692">IF($Q692, INDEX('Run Reconcile'!A$2:A1679,MATCH(B692,'Run Reconcile'!B$2:B1679,0),1),IFERROR(0/0,""))</f>
        <v>RUN-COMB_2022-05-12_RFR-038</v>
      </c>
      <c r="S692" s="165" t="str">
        <f t="shared" ref="S692:T692" si="1383">IF(COUNTIF(W$2:W1679, $A692) &gt; 0,TRUE,IFERROR(0/0,""))</f>
        <v/>
      </c>
      <c r="T692" s="165" t="str">
        <f t="shared" si="1383"/>
        <v/>
      </c>
      <c r="U692" s="147" t="str">
        <f t="array" ref="U692">IF(ISBLANK($R692), IF($S692,VLOOKUP($B692+1,'RFR Data - preExcl'!$BF$2:$BG1679,2,FALSE),IF($T692,INDEX('RFR Data - preExcl'!$BF$2:$BG1679,MATCH($B692,'RFR Data - preExcl'!$BF$2:$BF1679,0)+1,2),VLOOKUP($B692,'RFR Data - preExcl'!$BF$2:$BG1679,2,FALSE))),IFERROR(0/0,""))</f>
        <v/>
      </c>
      <c r="V692" s="212" t="str">
        <f t="shared" si="5"/>
        <v>RUN-COMB_2022-05-12_RFR-038</v>
      </c>
      <c r="W692" s="51"/>
      <c r="X692" s="51"/>
      <c r="Y692" s="147" t="str">
        <f t="shared" ref="Y692:Z692" si="1384">IF(_xlfn.ISFORMULA(S692),IFERROR(0/0,""),TRUE)</f>
        <v/>
      </c>
      <c r="Z692" s="147" t="str">
        <f t="shared" si="1384"/>
        <v/>
      </c>
    </row>
    <row r="693">
      <c r="A693" s="6" t="str">
        <f>IFERROR(__xludf.DUMMYFUNCTION("""COMPUTED_VALUE"""),"FM2290")</f>
        <v>FM2290</v>
      </c>
      <c r="B693" s="206">
        <f>IFERROR(__xludf.DUMMYFUNCTION("""COMPUTED_VALUE"""),44693.0)</f>
        <v>44693</v>
      </c>
      <c r="C693" s="207">
        <f>IFERROR(__xludf.DUMMYFUNCTION("""COMPUTED_VALUE"""),0.28280092592592593)</f>
        <v>0.2828009259</v>
      </c>
      <c r="D693" s="50"/>
      <c r="E693" s="58"/>
      <c r="F693" s="58"/>
      <c r="G693" s="58" t="str">
        <f>IFERROR(__xludf.DUMMYFUNCTION("""COMPUTED_VALUE"""),"Null")</f>
        <v>Null</v>
      </c>
      <c r="H693" s="206" t="str">
        <f>IFERROR(__xludf.DUMMYFUNCTION("""COMPUTED_VALUE"""),"Negative")</f>
        <v>Negative</v>
      </c>
      <c r="I693" s="207">
        <f>IFERROR(__xludf.DUMMYFUNCTION("""COMPUTED_VALUE"""),44693.0)</f>
        <v>44693</v>
      </c>
      <c r="J693" s="208">
        <f>IFERROR(__xludf.DUMMYFUNCTION("""COMPUTED_VALUE"""),0.32263888888888886)</f>
        <v>0.3226388889</v>
      </c>
      <c r="K693" s="50">
        <f>IFERROR(__xludf.DUMMYFUNCTION("""COMPUTED_VALUE"""),2.0)</f>
        <v>2</v>
      </c>
      <c r="L693" s="6"/>
      <c r="M693" s="55"/>
      <c r="N693" s="55">
        <f>IFERROR(__xludf.DUMMYFUNCTION("""COMPUTED_VALUE"""),1.0)</f>
        <v>1</v>
      </c>
      <c r="O693" s="55" t="str">
        <f t="shared" si="3"/>
        <v/>
      </c>
      <c r="P693" s="209"/>
      <c r="Q693" s="75" t="b">
        <f>VLOOKUP($B693,'Run Reconcile'!B$2:P1679,15,FALSE)</f>
        <v>1</v>
      </c>
      <c r="R693" s="211" t="str">
        <f t="array" ref="R693">IF($Q693, INDEX('Run Reconcile'!A$2:A1679,MATCH(B693,'Run Reconcile'!B$2:B1679,0),1),IFERROR(0/0,""))</f>
        <v>RUN-COMB_2022-05-12_RFR-038</v>
      </c>
      <c r="S693" s="165" t="str">
        <f t="shared" ref="S693:T693" si="1385">IF(COUNTIF(W$2:W1679, $A693) &gt; 0,TRUE,IFERROR(0/0,""))</f>
        <v/>
      </c>
      <c r="T693" s="165" t="str">
        <f t="shared" si="1385"/>
        <v/>
      </c>
      <c r="U693" s="147" t="str">
        <f t="array" ref="U693">IF(ISBLANK($R693), IF($S693,VLOOKUP($B693+1,'RFR Data - preExcl'!$BF$2:$BG1679,2,FALSE),IF($T693,INDEX('RFR Data - preExcl'!$BF$2:$BG1679,MATCH($B693,'RFR Data - preExcl'!$BF$2:$BF1679,0)+1,2),VLOOKUP($B693,'RFR Data - preExcl'!$BF$2:$BG1679,2,FALSE))),IFERROR(0/0,""))</f>
        <v/>
      </c>
      <c r="V693" s="212" t="str">
        <f t="shared" si="5"/>
        <v>RUN-COMB_2022-05-12_RFR-038</v>
      </c>
      <c r="W693" s="51"/>
      <c r="X693" s="51"/>
      <c r="Y693" s="147" t="str">
        <f t="shared" ref="Y693:Z693" si="1386">IF(_xlfn.ISFORMULA(S693),IFERROR(0/0,""),TRUE)</f>
        <v/>
      </c>
      <c r="Z693" s="147" t="str">
        <f t="shared" si="1386"/>
        <v/>
      </c>
    </row>
    <row r="694">
      <c r="A694" s="6" t="str">
        <f>IFERROR(__xludf.DUMMYFUNCTION("""COMPUTED_VALUE"""),"FM2257")</f>
        <v>FM2257</v>
      </c>
      <c r="B694" s="206">
        <f>IFERROR(__xludf.DUMMYFUNCTION("""COMPUTED_VALUE"""),44693.0)</f>
        <v>44693</v>
      </c>
      <c r="C694" s="207">
        <f>IFERROR(__xludf.DUMMYFUNCTION("""COMPUTED_VALUE"""),0.28292824074074074)</f>
        <v>0.2829282407</v>
      </c>
      <c r="D694" s="50"/>
      <c r="E694" s="58"/>
      <c r="F694" s="58"/>
      <c r="G694" s="58" t="str">
        <f>IFERROR(__xludf.DUMMYFUNCTION("""COMPUTED_VALUE"""),"Null")</f>
        <v>Null</v>
      </c>
      <c r="H694" s="206" t="str">
        <f>IFERROR(__xludf.DUMMYFUNCTION("""COMPUTED_VALUE"""),"Negative")</f>
        <v>Negative</v>
      </c>
      <c r="I694" s="207">
        <f>IFERROR(__xludf.DUMMYFUNCTION("""COMPUTED_VALUE"""),44693.0)</f>
        <v>44693</v>
      </c>
      <c r="J694" s="208">
        <f>IFERROR(__xludf.DUMMYFUNCTION("""COMPUTED_VALUE"""),0.32265046296296296)</f>
        <v>0.322650463</v>
      </c>
      <c r="K694" s="50">
        <f>IFERROR(__xludf.DUMMYFUNCTION("""COMPUTED_VALUE"""),2.0)</f>
        <v>2</v>
      </c>
      <c r="L694" s="6"/>
      <c r="M694" s="55"/>
      <c r="N694" s="55">
        <f>IFERROR(__xludf.DUMMYFUNCTION("""COMPUTED_VALUE"""),1.0)</f>
        <v>1</v>
      </c>
      <c r="O694" s="55" t="str">
        <f t="shared" si="3"/>
        <v/>
      </c>
      <c r="P694" s="209"/>
      <c r="Q694" s="75" t="b">
        <f>VLOOKUP($B694,'Run Reconcile'!B$2:P1679,15,FALSE)</f>
        <v>1</v>
      </c>
      <c r="R694" s="211" t="str">
        <f t="array" ref="R694">IF($Q694, INDEX('Run Reconcile'!A$2:A1679,MATCH(B694,'Run Reconcile'!B$2:B1679,0),1),IFERROR(0/0,""))</f>
        <v>RUN-COMB_2022-05-12_RFR-038</v>
      </c>
      <c r="S694" s="165" t="str">
        <f t="shared" ref="S694:T694" si="1387">IF(COUNTIF(W$2:W1679, $A694) &gt; 0,TRUE,IFERROR(0/0,""))</f>
        <v/>
      </c>
      <c r="T694" s="165" t="str">
        <f t="shared" si="1387"/>
        <v/>
      </c>
      <c r="U694" s="147" t="str">
        <f t="array" ref="U694">IF(ISBLANK($R694), IF($S694,VLOOKUP($B694+1,'RFR Data - preExcl'!$BF$2:$BG1679,2,FALSE),IF($T694,INDEX('RFR Data - preExcl'!$BF$2:$BG1679,MATCH($B694,'RFR Data - preExcl'!$BF$2:$BF1679,0)+1,2),VLOOKUP($B694,'RFR Data - preExcl'!$BF$2:$BG1679,2,FALSE))),IFERROR(0/0,""))</f>
        <v/>
      </c>
      <c r="V694" s="212" t="str">
        <f t="shared" si="5"/>
        <v>RUN-COMB_2022-05-12_RFR-038</v>
      </c>
      <c r="W694" s="51"/>
      <c r="X694" s="51"/>
      <c r="Y694" s="147" t="str">
        <f t="shared" ref="Y694:Z694" si="1388">IF(_xlfn.ISFORMULA(S694),IFERROR(0/0,""),TRUE)</f>
        <v/>
      </c>
      <c r="Z694" s="147" t="str">
        <f t="shared" si="1388"/>
        <v/>
      </c>
    </row>
    <row r="695">
      <c r="A695" s="6" t="str">
        <f>IFERROR(__xludf.DUMMYFUNCTION("""COMPUTED_VALUE"""),"FM2265")</f>
        <v>FM2265</v>
      </c>
      <c r="B695" s="206">
        <f>IFERROR(__xludf.DUMMYFUNCTION("""COMPUTED_VALUE"""),44693.0)</f>
        <v>44693</v>
      </c>
      <c r="C695" s="207">
        <f>IFERROR(__xludf.DUMMYFUNCTION("""COMPUTED_VALUE"""),0.28336805555555555)</f>
        <v>0.2833680556</v>
      </c>
      <c r="D695" s="50"/>
      <c r="E695" s="58"/>
      <c r="F695" s="58"/>
      <c r="G695" s="58" t="str">
        <f>IFERROR(__xludf.DUMMYFUNCTION("""COMPUTED_VALUE"""),"Null")</f>
        <v>Null</v>
      </c>
      <c r="H695" s="206" t="str">
        <f>IFERROR(__xludf.DUMMYFUNCTION("""COMPUTED_VALUE"""),"Negative")</f>
        <v>Negative</v>
      </c>
      <c r="I695" s="207">
        <f>IFERROR(__xludf.DUMMYFUNCTION("""COMPUTED_VALUE"""),44693.0)</f>
        <v>44693</v>
      </c>
      <c r="J695" s="208">
        <f>IFERROR(__xludf.DUMMYFUNCTION("""COMPUTED_VALUE"""),0.32266203703703705)</f>
        <v>0.322662037</v>
      </c>
      <c r="K695" s="50">
        <f>IFERROR(__xludf.DUMMYFUNCTION("""COMPUTED_VALUE"""),2.0)</f>
        <v>2</v>
      </c>
      <c r="L695" s="6"/>
      <c r="M695" s="55"/>
      <c r="N695" s="55">
        <f>IFERROR(__xludf.DUMMYFUNCTION("""COMPUTED_VALUE"""),1.0)</f>
        <v>1</v>
      </c>
      <c r="O695" s="55" t="str">
        <f t="shared" si="3"/>
        <v/>
      </c>
      <c r="P695" s="209"/>
      <c r="Q695" s="75" t="b">
        <f>VLOOKUP($B695,'Run Reconcile'!B$2:P1679,15,FALSE)</f>
        <v>1</v>
      </c>
      <c r="R695" s="211" t="str">
        <f t="array" ref="R695">IF($Q695, INDEX('Run Reconcile'!A$2:A1679,MATCH(B695,'Run Reconcile'!B$2:B1679,0),1),IFERROR(0/0,""))</f>
        <v>RUN-COMB_2022-05-12_RFR-038</v>
      </c>
      <c r="S695" s="165" t="str">
        <f t="shared" ref="S695:T695" si="1389">IF(COUNTIF(W$2:W1679, $A695) &gt; 0,TRUE,IFERROR(0/0,""))</f>
        <v/>
      </c>
      <c r="T695" s="165" t="str">
        <f t="shared" si="1389"/>
        <v/>
      </c>
      <c r="U695" s="147" t="str">
        <f t="array" ref="U695">IF(ISBLANK($R695), IF($S695,VLOOKUP($B695+1,'RFR Data - preExcl'!$BF$2:$BG1679,2,FALSE),IF($T695,INDEX('RFR Data - preExcl'!$BF$2:$BG1679,MATCH($B695,'RFR Data - preExcl'!$BF$2:$BF1679,0)+1,2),VLOOKUP($B695,'RFR Data - preExcl'!$BF$2:$BG1679,2,FALSE))),IFERROR(0/0,""))</f>
        <v/>
      </c>
      <c r="V695" s="212" t="str">
        <f t="shared" si="5"/>
        <v>RUN-COMB_2022-05-12_RFR-038</v>
      </c>
      <c r="W695" s="51"/>
      <c r="X695" s="51"/>
      <c r="Y695" s="147" t="str">
        <f t="shared" ref="Y695:Z695" si="1390">IF(_xlfn.ISFORMULA(S695),IFERROR(0/0,""),TRUE)</f>
        <v/>
      </c>
      <c r="Z695" s="147" t="str">
        <f t="shared" si="1390"/>
        <v/>
      </c>
    </row>
    <row r="696">
      <c r="A696" s="6" t="str">
        <f>IFERROR(__xludf.DUMMYFUNCTION("""COMPUTED_VALUE"""),"FM2215")</f>
        <v>FM2215</v>
      </c>
      <c r="B696" s="206">
        <f>IFERROR(__xludf.DUMMYFUNCTION("""COMPUTED_VALUE"""),44693.0)</f>
        <v>44693</v>
      </c>
      <c r="C696" s="207">
        <f>IFERROR(__xludf.DUMMYFUNCTION("""COMPUTED_VALUE"""),0.28344907407407405)</f>
        <v>0.2834490741</v>
      </c>
      <c r="D696" s="50"/>
      <c r="E696" s="58"/>
      <c r="F696" s="58"/>
      <c r="G696" s="58" t="str">
        <f>IFERROR(__xludf.DUMMYFUNCTION("""COMPUTED_VALUE"""),"Null")</f>
        <v>Null</v>
      </c>
      <c r="H696" s="206" t="str">
        <f>IFERROR(__xludf.DUMMYFUNCTION("""COMPUTED_VALUE"""),"Negative")</f>
        <v>Negative</v>
      </c>
      <c r="I696" s="207">
        <f>IFERROR(__xludf.DUMMYFUNCTION("""COMPUTED_VALUE"""),44693.0)</f>
        <v>44693</v>
      </c>
      <c r="J696" s="208">
        <f>IFERROR(__xludf.DUMMYFUNCTION("""COMPUTED_VALUE"""),0.3226736111111111)</f>
        <v>0.3226736111</v>
      </c>
      <c r="K696" s="50">
        <f>IFERROR(__xludf.DUMMYFUNCTION("""COMPUTED_VALUE"""),2.0)</f>
        <v>2</v>
      </c>
      <c r="L696" s="6"/>
      <c r="M696" s="55"/>
      <c r="N696" s="55">
        <f>IFERROR(__xludf.DUMMYFUNCTION("""COMPUTED_VALUE"""),1.0)</f>
        <v>1</v>
      </c>
      <c r="O696" s="55" t="str">
        <f t="shared" si="3"/>
        <v/>
      </c>
      <c r="P696" s="209"/>
      <c r="Q696" s="75" t="b">
        <f>VLOOKUP($B696,'Run Reconcile'!B$2:P1679,15,FALSE)</f>
        <v>1</v>
      </c>
      <c r="R696" s="211" t="str">
        <f t="array" ref="R696">IF($Q696, INDEX('Run Reconcile'!A$2:A1679,MATCH(B696,'Run Reconcile'!B$2:B1679,0),1),IFERROR(0/0,""))</f>
        <v>RUN-COMB_2022-05-12_RFR-038</v>
      </c>
      <c r="S696" s="165" t="str">
        <f t="shared" ref="S696:T696" si="1391">IF(COUNTIF(W$2:W1679, $A696) &gt; 0,TRUE,IFERROR(0/0,""))</f>
        <v/>
      </c>
      <c r="T696" s="165" t="str">
        <f t="shared" si="1391"/>
        <v/>
      </c>
      <c r="U696" s="147" t="str">
        <f t="array" ref="U696">IF(ISBLANK($R696), IF($S696,VLOOKUP($B696+1,'RFR Data - preExcl'!$BF$2:$BG1679,2,FALSE),IF($T696,INDEX('RFR Data - preExcl'!$BF$2:$BG1679,MATCH($B696,'RFR Data - preExcl'!$BF$2:$BF1679,0)+1,2),VLOOKUP($B696,'RFR Data - preExcl'!$BF$2:$BG1679,2,FALSE))),IFERROR(0/0,""))</f>
        <v/>
      </c>
      <c r="V696" s="212" t="str">
        <f t="shared" si="5"/>
        <v>RUN-COMB_2022-05-12_RFR-038</v>
      </c>
      <c r="W696" s="51"/>
      <c r="X696" s="51"/>
      <c r="Y696" s="147" t="str">
        <f t="shared" ref="Y696:Z696" si="1392">IF(_xlfn.ISFORMULA(S696),IFERROR(0/0,""),TRUE)</f>
        <v/>
      </c>
      <c r="Z696" s="147" t="str">
        <f t="shared" si="1392"/>
        <v/>
      </c>
    </row>
    <row r="697">
      <c r="A697" s="6" t="str">
        <f>IFERROR(__xludf.DUMMYFUNCTION("""COMPUTED_VALUE"""),"FM2231")</f>
        <v>FM2231</v>
      </c>
      <c r="B697" s="206">
        <f>IFERROR(__xludf.DUMMYFUNCTION("""COMPUTED_VALUE"""),44693.0)</f>
        <v>44693</v>
      </c>
      <c r="C697" s="207">
        <f>IFERROR(__xludf.DUMMYFUNCTION("""COMPUTED_VALUE"""),0.28380787037037036)</f>
        <v>0.2838078704</v>
      </c>
      <c r="D697" s="50"/>
      <c r="E697" s="58"/>
      <c r="F697" s="58"/>
      <c r="G697" s="58" t="str">
        <f>IFERROR(__xludf.DUMMYFUNCTION("""COMPUTED_VALUE"""),"Null")</f>
        <v>Null</v>
      </c>
      <c r="H697" s="206" t="str">
        <f>IFERROR(__xludf.DUMMYFUNCTION("""COMPUTED_VALUE"""),"Negative")</f>
        <v>Negative</v>
      </c>
      <c r="I697" s="207">
        <f>IFERROR(__xludf.DUMMYFUNCTION("""COMPUTED_VALUE"""),44693.0)</f>
        <v>44693</v>
      </c>
      <c r="J697" s="208">
        <f>IFERROR(__xludf.DUMMYFUNCTION("""COMPUTED_VALUE"""),0.3226967592592593)</f>
        <v>0.3226967593</v>
      </c>
      <c r="K697" s="50">
        <f>IFERROR(__xludf.DUMMYFUNCTION("""COMPUTED_VALUE"""),2.0)</f>
        <v>2</v>
      </c>
      <c r="L697" s="6"/>
      <c r="M697" s="55"/>
      <c r="N697" s="55">
        <f>IFERROR(__xludf.DUMMYFUNCTION("""COMPUTED_VALUE"""),1.0)</f>
        <v>1</v>
      </c>
      <c r="O697" s="55" t="str">
        <f t="shared" si="3"/>
        <v/>
      </c>
      <c r="P697" s="209"/>
      <c r="Q697" s="75" t="b">
        <f>VLOOKUP($B697,'Run Reconcile'!B$2:P1679,15,FALSE)</f>
        <v>1</v>
      </c>
      <c r="R697" s="211" t="str">
        <f t="array" ref="R697">IF($Q697, INDEX('Run Reconcile'!A$2:A1679,MATCH(B697,'Run Reconcile'!B$2:B1679,0),1),IFERROR(0/0,""))</f>
        <v>RUN-COMB_2022-05-12_RFR-038</v>
      </c>
      <c r="S697" s="165" t="str">
        <f t="shared" ref="S697:T697" si="1393">IF(COUNTIF(W$2:W1679, $A697) &gt; 0,TRUE,IFERROR(0/0,""))</f>
        <v/>
      </c>
      <c r="T697" s="165" t="str">
        <f t="shared" si="1393"/>
        <v/>
      </c>
      <c r="U697" s="147" t="str">
        <f t="array" ref="U697">IF(ISBLANK($R697), IF($S697,VLOOKUP($B697+1,'RFR Data - preExcl'!$BF$2:$BG1679,2,FALSE),IF($T697,INDEX('RFR Data - preExcl'!$BF$2:$BG1679,MATCH($B697,'RFR Data - preExcl'!$BF$2:$BF1679,0)+1,2),VLOOKUP($B697,'RFR Data - preExcl'!$BF$2:$BG1679,2,FALSE))),IFERROR(0/0,""))</f>
        <v/>
      </c>
      <c r="V697" s="212" t="str">
        <f t="shared" si="5"/>
        <v>RUN-COMB_2022-05-12_RFR-038</v>
      </c>
      <c r="W697" s="51"/>
      <c r="X697" s="51"/>
      <c r="Y697" s="147" t="str">
        <f t="shared" ref="Y697:Z697" si="1394">IF(_xlfn.ISFORMULA(S697),IFERROR(0/0,""),TRUE)</f>
        <v/>
      </c>
      <c r="Z697" s="147" t="str">
        <f t="shared" si="1394"/>
        <v/>
      </c>
    </row>
    <row r="698">
      <c r="A698" s="6" t="str">
        <f>IFERROR(__xludf.DUMMYFUNCTION("""COMPUTED_VALUE"""),"FM2262")</f>
        <v>FM2262</v>
      </c>
      <c r="B698" s="206">
        <f>IFERROR(__xludf.DUMMYFUNCTION("""COMPUTED_VALUE"""),44693.0)</f>
        <v>44693</v>
      </c>
      <c r="C698" s="207">
        <f>IFERROR(__xludf.DUMMYFUNCTION("""COMPUTED_VALUE"""),0.2838657407407407)</f>
        <v>0.2838657407</v>
      </c>
      <c r="D698" s="50"/>
      <c r="E698" s="58"/>
      <c r="F698" s="58"/>
      <c r="G698" s="58" t="str">
        <f>IFERROR(__xludf.DUMMYFUNCTION("""COMPUTED_VALUE"""),"Null")</f>
        <v>Null</v>
      </c>
      <c r="H698" s="206" t="str">
        <f>IFERROR(__xludf.DUMMYFUNCTION("""COMPUTED_VALUE"""),"Negative")</f>
        <v>Negative</v>
      </c>
      <c r="I698" s="207">
        <f>IFERROR(__xludf.DUMMYFUNCTION("""COMPUTED_VALUE"""),44693.0)</f>
        <v>44693</v>
      </c>
      <c r="J698" s="208">
        <f>IFERROR(__xludf.DUMMYFUNCTION("""COMPUTED_VALUE"""),0.3227083333333333)</f>
        <v>0.3227083333</v>
      </c>
      <c r="K698" s="50">
        <f>IFERROR(__xludf.DUMMYFUNCTION("""COMPUTED_VALUE"""),2.0)</f>
        <v>2</v>
      </c>
      <c r="L698" s="6"/>
      <c r="M698" s="55"/>
      <c r="N698" s="55">
        <f>IFERROR(__xludf.DUMMYFUNCTION("""COMPUTED_VALUE"""),1.0)</f>
        <v>1</v>
      </c>
      <c r="O698" s="55" t="str">
        <f t="shared" si="3"/>
        <v/>
      </c>
      <c r="P698" s="209"/>
      <c r="Q698" s="75" t="b">
        <f>VLOOKUP($B698,'Run Reconcile'!B$2:P1679,15,FALSE)</f>
        <v>1</v>
      </c>
      <c r="R698" s="211" t="str">
        <f t="array" ref="R698">IF($Q698, INDEX('Run Reconcile'!A$2:A1679,MATCH(B698,'Run Reconcile'!B$2:B1679,0),1),IFERROR(0/0,""))</f>
        <v>RUN-COMB_2022-05-12_RFR-038</v>
      </c>
      <c r="S698" s="165" t="str">
        <f t="shared" ref="S698:T698" si="1395">IF(COUNTIF(W$2:W1679, $A698) &gt; 0,TRUE,IFERROR(0/0,""))</f>
        <v/>
      </c>
      <c r="T698" s="165" t="str">
        <f t="shared" si="1395"/>
        <v/>
      </c>
      <c r="U698" s="147" t="str">
        <f t="array" ref="U698">IF(ISBLANK($R698), IF($S698,VLOOKUP($B698+1,'RFR Data - preExcl'!$BF$2:$BG1679,2,FALSE),IF($T698,INDEX('RFR Data - preExcl'!$BF$2:$BG1679,MATCH($B698,'RFR Data - preExcl'!$BF$2:$BF1679,0)+1,2),VLOOKUP($B698,'RFR Data - preExcl'!$BF$2:$BG1679,2,FALSE))),IFERROR(0/0,""))</f>
        <v/>
      </c>
      <c r="V698" s="212" t="str">
        <f t="shared" si="5"/>
        <v>RUN-COMB_2022-05-12_RFR-038</v>
      </c>
      <c r="W698" s="51"/>
      <c r="X698" s="51"/>
      <c r="Y698" s="147" t="str">
        <f t="shared" ref="Y698:Z698" si="1396">IF(_xlfn.ISFORMULA(S698),IFERROR(0/0,""),TRUE)</f>
        <v/>
      </c>
      <c r="Z698" s="147" t="str">
        <f t="shared" si="1396"/>
        <v/>
      </c>
    </row>
    <row r="699">
      <c r="A699" s="6" t="str">
        <f>IFERROR(__xludf.DUMMYFUNCTION("""COMPUTED_VALUE"""),"FM2246")</f>
        <v>FM2246</v>
      </c>
      <c r="B699" s="206">
        <f>IFERROR(__xludf.DUMMYFUNCTION("""COMPUTED_VALUE"""),44693.0)</f>
        <v>44693</v>
      </c>
      <c r="C699" s="207">
        <f>IFERROR(__xludf.DUMMYFUNCTION("""COMPUTED_VALUE"""),0.28443287037037035)</f>
        <v>0.2844328704</v>
      </c>
      <c r="D699" s="50"/>
      <c r="E699" s="58"/>
      <c r="F699" s="58"/>
      <c r="G699" s="58" t="str">
        <f>IFERROR(__xludf.DUMMYFUNCTION("""COMPUTED_VALUE"""),"Null")</f>
        <v>Null</v>
      </c>
      <c r="H699" s="206" t="str">
        <f>IFERROR(__xludf.DUMMYFUNCTION("""COMPUTED_VALUE"""),"Negative")</f>
        <v>Negative</v>
      </c>
      <c r="I699" s="207">
        <f>IFERROR(__xludf.DUMMYFUNCTION("""COMPUTED_VALUE"""),44693.0)</f>
        <v>44693</v>
      </c>
      <c r="J699" s="208">
        <f>IFERROR(__xludf.DUMMYFUNCTION("""COMPUTED_VALUE"""),0.32275462962962964)</f>
        <v>0.3227546296</v>
      </c>
      <c r="K699" s="50">
        <f>IFERROR(__xludf.DUMMYFUNCTION("""COMPUTED_VALUE"""),2.0)</f>
        <v>2</v>
      </c>
      <c r="L699" s="6"/>
      <c r="M699" s="55"/>
      <c r="N699" s="55">
        <f>IFERROR(__xludf.DUMMYFUNCTION("""COMPUTED_VALUE"""),1.0)</f>
        <v>1</v>
      </c>
      <c r="O699" s="55" t="str">
        <f t="shared" si="3"/>
        <v/>
      </c>
      <c r="P699" s="209"/>
      <c r="Q699" s="75" t="b">
        <f>VLOOKUP($B699,'Run Reconcile'!B$2:P1679,15,FALSE)</f>
        <v>1</v>
      </c>
      <c r="R699" s="211" t="str">
        <f t="array" ref="R699">IF($Q699, INDEX('Run Reconcile'!A$2:A1679,MATCH(B699,'Run Reconcile'!B$2:B1679,0),1),IFERROR(0/0,""))</f>
        <v>RUN-COMB_2022-05-12_RFR-038</v>
      </c>
      <c r="S699" s="165" t="str">
        <f t="shared" ref="S699:T699" si="1397">IF(COUNTIF(W$2:W1679, $A699) &gt; 0,TRUE,IFERROR(0/0,""))</f>
        <v/>
      </c>
      <c r="T699" s="165" t="str">
        <f t="shared" si="1397"/>
        <v/>
      </c>
      <c r="U699" s="147" t="str">
        <f t="array" ref="U699">IF(ISBLANK($R699), IF($S699,VLOOKUP($B699+1,'RFR Data - preExcl'!$BF$2:$BG1679,2,FALSE),IF($T699,INDEX('RFR Data - preExcl'!$BF$2:$BG1679,MATCH($B699,'RFR Data - preExcl'!$BF$2:$BF1679,0)+1,2),VLOOKUP($B699,'RFR Data - preExcl'!$BF$2:$BG1679,2,FALSE))),IFERROR(0/0,""))</f>
        <v/>
      </c>
      <c r="V699" s="212" t="str">
        <f t="shared" si="5"/>
        <v>RUN-COMB_2022-05-12_RFR-038</v>
      </c>
      <c r="W699" s="51"/>
      <c r="X699" s="51"/>
      <c r="Y699" s="147" t="str">
        <f t="shared" ref="Y699:Z699" si="1398">IF(_xlfn.ISFORMULA(S699),IFERROR(0/0,""),TRUE)</f>
        <v/>
      </c>
      <c r="Z699" s="147" t="str">
        <f t="shared" si="1398"/>
        <v/>
      </c>
    </row>
    <row r="700">
      <c r="A700" s="6" t="str">
        <f>IFERROR(__xludf.DUMMYFUNCTION("""COMPUTED_VALUE"""),"FM2239")</f>
        <v>FM2239</v>
      </c>
      <c r="B700" s="206">
        <f>IFERROR(__xludf.DUMMYFUNCTION("""COMPUTED_VALUE"""),44693.0)</f>
        <v>44693</v>
      </c>
      <c r="C700" s="207">
        <f>IFERROR(__xludf.DUMMYFUNCTION("""COMPUTED_VALUE"""),0.28449074074074077)</f>
        <v>0.2844907407</v>
      </c>
      <c r="D700" s="50"/>
      <c r="E700" s="58"/>
      <c r="F700" s="58"/>
      <c r="G700" s="58" t="str">
        <f>IFERROR(__xludf.DUMMYFUNCTION("""COMPUTED_VALUE"""),"Null")</f>
        <v>Null</v>
      </c>
      <c r="H700" s="206" t="str">
        <f>IFERROR(__xludf.DUMMYFUNCTION("""COMPUTED_VALUE"""),"Negative")</f>
        <v>Negative</v>
      </c>
      <c r="I700" s="207">
        <f>IFERROR(__xludf.DUMMYFUNCTION("""COMPUTED_VALUE"""),44693.0)</f>
        <v>44693</v>
      </c>
      <c r="J700" s="208">
        <f>IFERROR(__xludf.DUMMYFUNCTION("""COMPUTED_VALUE"""),0.3227314814814815)</f>
        <v>0.3227314815</v>
      </c>
      <c r="K700" s="50">
        <f>IFERROR(__xludf.DUMMYFUNCTION("""COMPUTED_VALUE"""),2.0)</f>
        <v>2</v>
      </c>
      <c r="L700" s="6"/>
      <c r="M700" s="55"/>
      <c r="N700" s="55">
        <f>IFERROR(__xludf.DUMMYFUNCTION("""COMPUTED_VALUE"""),1.0)</f>
        <v>1</v>
      </c>
      <c r="O700" s="55" t="str">
        <f t="shared" si="3"/>
        <v/>
      </c>
      <c r="P700" s="209"/>
      <c r="Q700" s="75" t="b">
        <f>VLOOKUP($B700,'Run Reconcile'!B$2:P1679,15,FALSE)</f>
        <v>1</v>
      </c>
      <c r="R700" s="211" t="str">
        <f t="array" ref="R700">IF($Q700, INDEX('Run Reconcile'!A$2:A1679,MATCH(B700,'Run Reconcile'!B$2:B1679,0),1),IFERROR(0/0,""))</f>
        <v>RUN-COMB_2022-05-12_RFR-038</v>
      </c>
      <c r="S700" s="165" t="str">
        <f t="shared" ref="S700:T700" si="1399">IF(COUNTIF(W$2:W1679, $A700) &gt; 0,TRUE,IFERROR(0/0,""))</f>
        <v/>
      </c>
      <c r="T700" s="165" t="str">
        <f t="shared" si="1399"/>
        <v/>
      </c>
      <c r="U700" s="147" t="str">
        <f t="array" ref="U700">IF(ISBLANK($R700), IF($S700,VLOOKUP($B700+1,'RFR Data - preExcl'!$BF$2:$BG1679,2,FALSE),IF($T700,INDEX('RFR Data - preExcl'!$BF$2:$BG1679,MATCH($B700,'RFR Data - preExcl'!$BF$2:$BF1679,0)+1,2),VLOOKUP($B700,'RFR Data - preExcl'!$BF$2:$BG1679,2,FALSE))),IFERROR(0/0,""))</f>
        <v/>
      </c>
      <c r="V700" s="212" t="str">
        <f t="shared" si="5"/>
        <v>RUN-COMB_2022-05-12_RFR-038</v>
      </c>
      <c r="W700" s="51"/>
      <c r="X700" s="51"/>
      <c r="Y700" s="147" t="str">
        <f t="shared" ref="Y700:Z700" si="1400">IF(_xlfn.ISFORMULA(S700),IFERROR(0/0,""),TRUE)</f>
        <v/>
      </c>
      <c r="Z700" s="147" t="str">
        <f t="shared" si="1400"/>
        <v/>
      </c>
    </row>
    <row r="701">
      <c r="A701" s="6" t="str">
        <f>IFERROR(__xludf.DUMMYFUNCTION("""COMPUTED_VALUE"""),"FM2289")</f>
        <v>FM2289</v>
      </c>
      <c r="B701" s="206">
        <f>IFERROR(__xludf.DUMMYFUNCTION("""COMPUTED_VALUE"""),44693.0)</f>
        <v>44693</v>
      </c>
      <c r="C701" s="207">
        <f>IFERROR(__xludf.DUMMYFUNCTION("""COMPUTED_VALUE"""),0.2850925925925926)</f>
        <v>0.2850925926</v>
      </c>
      <c r="D701" s="50"/>
      <c r="E701" s="58"/>
      <c r="F701" s="58"/>
      <c r="G701" s="58" t="str">
        <f>IFERROR(__xludf.DUMMYFUNCTION("""COMPUTED_VALUE"""),"Null")</f>
        <v>Null</v>
      </c>
      <c r="H701" s="206" t="str">
        <f>IFERROR(__xludf.DUMMYFUNCTION("""COMPUTED_VALUE"""),"Negative")</f>
        <v>Negative</v>
      </c>
      <c r="I701" s="207">
        <f>IFERROR(__xludf.DUMMYFUNCTION("""COMPUTED_VALUE"""),44693.0)</f>
        <v>44693</v>
      </c>
      <c r="J701" s="208">
        <f>IFERROR(__xludf.DUMMYFUNCTION("""COMPUTED_VALUE"""),0.3227777777777778)</f>
        <v>0.3227777778</v>
      </c>
      <c r="K701" s="50">
        <f>IFERROR(__xludf.DUMMYFUNCTION("""COMPUTED_VALUE"""),2.0)</f>
        <v>2</v>
      </c>
      <c r="L701" s="6"/>
      <c r="M701" s="55"/>
      <c r="N701" s="55">
        <f>IFERROR(__xludf.DUMMYFUNCTION("""COMPUTED_VALUE"""),1.0)</f>
        <v>1</v>
      </c>
      <c r="O701" s="55" t="str">
        <f t="shared" si="3"/>
        <v/>
      </c>
      <c r="P701" s="209"/>
      <c r="Q701" s="75" t="b">
        <f>VLOOKUP($B701,'Run Reconcile'!B$2:P1679,15,FALSE)</f>
        <v>1</v>
      </c>
      <c r="R701" s="211" t="str">
        <f t="array" ref="R701">IF($Q701, INDEX('Run Reconcile'!A$2:A1679,MATCH(B701,'Run Reconcile'!B$2:B1679,0),1),IFERROR(0/0,""))</f>
        <v>RUN-COMB_2022-05-12_RFR-038</v>
      </c>
      <c r="S701" s="165" t="str">
        <f t="shared" ref="S701:T701" si="1401">IF(COUNTIF(W$2:W1679, $A701) &gt; 0,TRUE,IFERROR(0/0,""))</f>
        <v/>
      </c>
      <c r="T701" s="165" t="str">
        <f t="shared" si="1401"/>
        <v/>
      </c>
      <c r="U701" s="147" t="str">
        <f t="array" ref="U701">IF(ISBLANK($R701), IF($S701,VLOOKUP($B701+1,'RFR Data - preExcl'!$BF$2:$BG1679,2,FALSE),IF($T701,INDEX('RFR Data - preExcl'!$BF$2:$BG1679,MATCH($B701,'RFR Data - preExcl'!$BF$2:$BF1679,0)+1,2),VLOOKUP($B701,'RFR Data - preExcl'!$BF$2:$BG1679,2,FALSE))),IFERROR(0/0,""))</f>
        <v/>
      </c>
      <c r="V701" s="212" t="str">
        <f t="shared" si="5"/>
        <v>RUN-COMB_2022-05-12_RFR-038</v>
      </c>
      <c r="W701" s="51"/>
      <c r="X701" s="51"/>
      <c r="Y701" s="147" t="str">
        <f t="shared" ref="Y701:Z701" si="1402">IF(_xlfn.ISFORMULA(S701),IFERROR(0/0,""),TRUE)</f>
        <v/>
      </c>
      <c r="Z701" s="147" t="str">
        <f t="shared" si="1402"/>
        <v/>
      </c>
    </row>
    <row r="702">
      <c r="A702" s="6" t="str">
        <f>IFERROR(__xludf.DUMMYFUNCTION("""COMPUTED_VALUE"""),"FM2271")</f>
        <v>FM2271</v>
      </c>
      <c r="B702" s="206">
        <f>IFERROR(__xludf.DUMMYFUNCTION("""COMPUTED_VALUE"""),44693.0)</f>
        <v>44693</v>
      </c>
      <c r="C702" s="207">
        <f>IFERROR(__xludf.DUMMYFUNCTION("""COMPUTED_VALUE"""),0.28554398148148147)</f>
        <v>0.2855439815</v>
      </c>
      <c r="D702" s="50"/>
      <c r="E702" s="58"/>
      <c r="F702" s="58"/>
      <c r="G702" s="58" t="str">
        <f>IFERROR(__xludf.DUMMYFUNCTION("""COMPUTED_VALUE"""),"Null")</f>
        <v>Null</v>
      </c>
      <c r="H702" s="206" t="str">
        <f>IFERROR(__xludf.DUMMYFUNCTION("""COMPUTED_VALUE"""),"Negative")</f>
        <v>Negative</v>
      </c>
      <c r="I702" s="207">
        <f>IFERROR(__xludf.DUMMYFUNCTION("""COMPUTED_VALUE"""),44693.0)</f>
        <v>44693</v>
      </c>
      <c r="J702" s="208">
        <f>IFERROR(__xludf.DUMMYFUNCTION("""COMPUTED_VALUE"""),0.32278935185185187)</f>
        <v>0.3227893519</v>
      </c>
      <c r="K702" s="50">
        <f>IFERROR(__xludf.DUMMYFUNCTION("""COMPUTED_VALUE"""),2.0)</f>
        <v>2</v>
      </c>
      <c r="L702" s="6"/>
      <c r="M702" s="55"/>
      <c r="N702" s="55">
        <f>IFERROR(__xludf.DUMMYFUNCTION("""COMPUTED_VALUE"""),1.0)</f>
        <v>1</v>
      </c>
      <c r="O702" s="55" t="str">
        <f t="shared" si="3"/>
        <v/>
      </c>
      <c r="P702" s="209"/>
      <c r="Q702" s="75" t="b">
        <f>VLOOKUP($B702,'Run Reconcile'!B$2:P1679,15,FALSE)</f>
        <v>1</v>
      </c>
      <c r="R702" s="211" t="str">
        <f t="array" ref="R702">IF($Q702, INDEX('Run Reconcile'!A$2:A1679,MATCH(B702,'Run Reconcile'!B$2:B1679,0),1),IFERROR(0/0,""))</f>
        <v>RUN-COMB_2022-05-12_RFR-038</v>
      </c>
      <c r="S702" s="165" t="str">
        <f t="shared" ref="S702:T702" si="1403">IF(COUNTIF(W$2:W1679, $A702) &gt; 0,TRUE,IFERROR(0/0,""))</f>
        <v/>
      </c>
      <c r="T702" s="165" t="str">
        <f t="shared" si="1403"/>
        <v/>
      </c>
      <c r="U702" s="147" t="str">
        <f t="array" ref="U702">IF(ISBLANK($R702), IF($S702,VLOOKUP($B702+1,'RFR Data - preExcl'!$BF$2:$BG1679,2,FALSE),IF($T702,INDEX('RFR Data - preExcl'!$BF$2:$BG1679,MATCH($B702,'RFR Data - preExcl'!$BF$2:$BF1679,0)+1,2),VLOOKUP($B702,'RFR Data - preExcl'!$BF$2:$BG1679,2,FALSE))),IFERROR(0/0,""))</f>
        <v/>
      </c>
      <c r="V702" s="212" t="str">
        <f t="shared" si="5"/>
        <v>RUN-COMB_2022-05-12_RFR-038</v>
      </c>
      <c r="W702" s="51"/>
      <c r="X702" s="51"/>
      <c r="Y702" s="147" t="str">
        <f t="shared" ref="Y702:Z702" si="1404">IF(_xlfn.ISFORMULA(S702),IFERROR(0/0,""),TRUE)</f>
        <v/>
      </c>
      <c r="Z702" s="147" t="str">
        <f t="shared" si="1404"/>
        <v/>
      </c>
    </row>
    <row r="703">
      <c r="A703" s="6" t="str">
        <f>IFERROR(__xludf.DUMMYFUNCTION("""COMPUTED_VALUE"""),"FM2276")</f>
        <v>FM2276</v>
      </c>
      <c r="B703" s="206">
        <f>IFERROR(__xludf.DUMMYFUNCTION("""COMPUTED_VALUE"""),44693.0)</f>
        <v>44693</v>
      </c>
      <c r="C703" s="207">
        <f>IFERROR(__xludf.DUMMYFUNCTION("""COMPUTED_VALUE"""),0.28622685185185187)</f>
        <v>0.2862268519</v>
      </c>
      <c r="D703" s="50"/>
      <c r="E703" s="58"/>
      <c r="F703" s="58"/>
      <c r="G703" s="58" t="str">
        <f>IFERROR(__xludf.DUMMYFUNCTION("""COMPUTED_VALUE"""),"Null")</f>
        <v>Null</v>
      </c>
      <c r="H703" s="206" t="str">
        <f>IFERROR(__xludf.DUMMYFUNCTION("""COMPUTED_VALUE"""),"Negative")</f>
        <v>Negative</v>
      </c>
      <c r="I703" s="207">
        <f>IFERROR(__xludf.DUMMYFUNCTION("""COMPUTED_VALUE"""),44693.0)</f>
        <v>44693</v>
      </c>
      <c r="J703" s="208">
        <f>IFERROR(__xludf.DUMMYFUNCTION("""COMPUTED_VALUE"""),0.32278935185185187)</f>
        <v>0.3227893519</v>
      </c>
      <c r="K703" s="50">
        <f>IFERROR(__xludf.DUMMYFUNCTION("""COMPUTED_VALUE"""),2.0)</f>
        <v>2</v>
      </c>
      <c r="L703" s="6"/>
      <c r="M703" s="55"/>
      <c r="N703" s="55">
        <f>IFERROR(__xludf.DUMMYFUNCTION("""COMPUTED_VALUE"""),1.0)</f>
        <v>1</v>
      </c>
      <c r="O703" s="55" t="str">
        <f t="shared" si="3"/>
        <v/>
      </c>
      <c r="P703" s="209"/>
      <c r="Q703" s="75" t="b">
        <f>VLOOKUP($B703,'Run Reconcile'!B$2:P1679,15,FALSE)</f>
        <v>1</v>
      </c>
      <c r="R703" s="211" t="str">
        <f t="array" ref="R703">IF($Q703, INDEX('Run Reconcile'!A$2:A1679,MATCH(B703,'Run Reconcile'!B$2:B1679,0),1),IFERROR(0/0,""))</f>
        <v>RUN-COMB_2022-05-12_RFR-038</v>
      </c>
      <c r="S703" s="165" t="str">
        <f t="shared" ref="S703:T703" si="1405">IF(COUNTIF(W$2:W1679, $A703) &gt; 0,TRUE,IFERROR(0/0,""))</f>
        <v/>
      </c>
      <c r="T703" s="165" t="str">
        <f t="shared" si="1405"/>
        <v/>
      </c>
      <c r="U703" s="147" t="str">
        <f t="array" ref="U703">IF(ISBLANK($R703), IF($S703,VLOOKUP($B703+1,'RFR Data - preExcl'!$BF$2:$BG1679,2,FALSE),IF($T703,INDEX('RFR Data - preExcl'!$BF$2:$BG1679,MATCH($B703,'RFR Data - preExcl'!$BF$2:$BF1679,0)+1,2),VLOOKUP($B703,'RFR Data - preExcl'!$BF$2:$BG1679,2,FALSE))),IFERROR(0/0,""))</f>
        <v/>
      </c>
      <c r="V703" s="212" t="str">
        <f t="shared" si="5"/>
        <v>RUN-COMB_2022-05-12_RFR-038</v>
      </c>
      <c r="W703" s="51"/>
      <c r="X703" s="51"/>
      <c r="Y703" s="147" t="str">
        <f t="shared" ref="Y703:Z703" si="1406">IF(_xlfn.ISFORMULA(S703),IFERROR(0/0,""),TRUE)</f>
        <v/>
      </c>
      <c r="Z703" s="147" t="str">
        <f t="shared" si="1406"/>
        <v/>
      </c>
    </row>
    <row r="704">
      <c r="A704" s="6" t="str">
        <f>IFERROR(__xludf.DUMMYFUNCTION("""COMPUTED_VALUE"""),"FM2247")</f>
        <v>FM2247</v>
      </c>
      <c r="B704" s="206">
        <f>IFERROR(__xludf.DUMMYFUNCTION("""COMPUTED_VALUE"""),44693.0)</f>
        <v>44693</v>
      </c>
      <c r="C704" s="207">
        <f>IFERROR(__xludf.DUMMYFUNCTION("""COMPUTED_VALUE"""),0.2867013888888889)</f>
        <v>0.2867013889</v>
      </c>
      <c r="D704" s="50"/>
      <c r="E704" s="58"/>
      <c r="F704" s="58"/>
      <c r="G704" s="58" t="str">
        <f>IFERROR(__xludf.DUMMYFUNCTION("""COMPUTED_VALUE"""),"Null")</f>
        <v>Null</v>
      </c>
      <c r="H704" s="206" t="str">
        <f>IFERROR(__xludf.DUMMYFUNCTION("""COMPUTED_VALUE"""),"Negative")</f>
        <v>Negative</v>
      </c>
      <c r="I704" s="207">
        <f>IFERROR(__xludf.DUMMYFUNCTION("""COMPUTED_VALUE"""),44693.0)</f>
        <v>44693</v>
      </c>
      <c r="J704" s="208">
        <f>IFERROR(__xludf.DUMMYFUNCTION("""COMPUTED_VALUE"""),0.3228125)</f>
        <v>0.3228125</v>
      </c>
      <c r="K704" s="50">
        <f>IFERROR(__xludf.DUMMYFUNCTION("""COMPUTED_VALUE"""),2.0)</f>
        <v>2</v>
      </c>
      <c r="L704" s="6"/>
      <c r="M704" s="55"/>
      <c r="N704" s="55">
        <f>IFERROR(__xludf.DUMMYFUNCTION("""COMPUTED_VALUE"""),1.0)</f>
        <v>1</v>
      </c>
      <c r="O704" s="55" t="str">
        <f t="shared" si="3"/>
        <v/>
      </c>
      <c r="P704" s="209"/>
      <c r="Q704" s="75" t="b">
        <f>VLOOKUP($B704,'Run Reconcile'!B$2:P1679,15,FALSE)</f>
        <v>1</v>
      </c>
      <c r="R704" s="211" t="str">
        <f t="array" ref="R704">IF($Q704, INDEX('Run Reconcile'!A$2:A1679,MATCH(B704,'Run Reconcile'!B$2:B1679,0),1),IFERROR(0/0,""))</f>
        <v>RUN-COMB_2022-05-12_RFR-038</v>
      </c>
      <c r="S704" s="165" t="str">
        <f t="shared" ref="S704:T704" si="1407">IF(COUNTIF(W$2:W1679, $A704) &gt; 0,TRUE,IFERROR(0/0,""))</f>
        <v/>
      </c>
      <c r="T704" s="165" t="str">
        <f t="shared" si="1407"/>
        <v/>
      </c>
      <c r="U704" s="147" t="str">
        <f t="array" ref="U704">IF(ISBLANK($R704), IF($S704,VLOOKUP($B704+1,'RFR Data - preExcl'!$BF$2:$BG1679,2,FALSE),IF($T704,INDEX('RFR Data - preExcl'!$BF$2:$BG1679,MATCH($B704,'RFR Data - preExcl'!$BF$2:$BF1679,0)+1,2),VLOOKUP($B704,'RFR Data - preExcl'!$BF$2:$BG1679,2,FALSE))),IFERROR(0/0,""))</f>
        <v/>
      </c>
      <c r="V704" s="212" t="str">
        <f t="shared" si="5"/>
        <v>RUN-COMB_2022-05-12_RFR-038</v>
      </c>
      <c r="W704" s="51"/>
      <c r="X704" s="51"/>
      <c r="Y704" s="147" t="str">
        <f t="shared" ref="Y704:Z704" si="1408">IF(_xlfn.ISFORMULA(S704),IFERROR(0/0,""),TRUE)</f>
        <v/>
      </c>
      <c r="Z704" s="147" t="str">
        <f t="shared" si="1408"/>
        <v/>
      </c>
    </row>
    <row r="705">
      <c r="A705" s="6" t="str">
        <f>IFERROR(__xludf.DUMMYFUNCTION("""COMPUTED_VALUE"""),"FM2219")</f>
        <v>FM2219</v>
      </c>
      <c r="B705" s="206">
        <f>IFERROR(__xludf.DUMMYFUNCTION("""COMPUTED_VALUE"""),44694.0)</f>
        <v>44694</v>
      </c>
      <c r="C705" s="207">
        <f>IFERROR(__xludf.DUMMYFUNCTION("""COMPUTED_VALUE"""),0.2720023148148148)</f>
        <v>0.2720023148</v>
      </c>
      <c r="D705" s="50"/>
      <c r="E705" s="58"/>
      <c r="F705" s="58"/>
      <c r="G705" s="58" t="str">
        <f>IFERROR(__xludf.DUMMYFUNCTION("""COMPUTED_VALUE"""),"Null")</f>
        <v>Null</v>
      </c>
      <c r="H705" s="206" t="str">
        <f>IFERROR(__xludf.DUMMYFUNCTION("""COMPUTED_VALUE"""),"Negative")</f>
        <v>Negative</v>
      </c>
      <c r="I705" s="207">
        <f>IFERROR(__xludf.DUMMYFUNCTION("""COMPUTED_VALUE"""),44694.0)</f>
        <v>44694</v>
      </c>
      <c r="J705" s="208">
        <f>IFERROR(__xludf.DUMMYFUNCTION("""COMPUTED_VALUE"""),0.31697916666666665)</f>
        <v>0.3169791667</v>
      </c>
      <c r="K705" s="50">
        <f>IFERROR(__xludf.DUMMYFUNCTION("""COMPUTED_VALUE"""),2.0)</f>
        <v>2</v>
      </c>
      <c r="L705" s="6"/>
      <c r="M705" s="55"/>
      <c r="N705" s="55">
        <f>IFERROR(__xludf.DUMMYFUNCTION("""COMPUTED_VALUE"""),1.0)</f>
        <v>1</v>
      </c>
      <c r="O705" s="55" t="b">
        <f t="shared" si="3"/>
        <v>1</v>
      </c>
      <c r="P705" s="209"/>
      <c r="Q705" s="75" t="b">
        <f>VLOOKUP($B705,'Run Reconcile'!B$2:P1679,15,FALSE)</f>
        <v>1</v>
      </c>
      <c r="R705" s="211" t="str">
        <f t="array" ref="R705">IF($Q705, INDEX('Run Reconcile'!A$2:A1679,MATCH(B705,'Run Reconcile'!B$2:B1679,0),1),IFERROR(0/0,""))</f>
        <v>RUN-COMB_2022-05-13_RFR-039</v>
      </c>
      <c r="S705" s="165" t="str">
        <f t="shared" ref="S705:T705" si="1409">IF(COUNTIF(W$2:W1679, $A705) &gt; 0,TRUE,IFERROR(0/0,""))</f>
        <v/>
      </c>
      <c r="T705" s="165" t="str">
        <f t="shared" si="1409"/>
        <v/>
      </c>
      <c r="U705" s="147" t="str">
        <f t="array" ref="U705">IF(ISBLANK($R705), IF($S705,VLOOKUP($B705+1,'RFR Data - preExcl'!$BF$2:$BG1679,2,FALSE),IF($T705,INDEX('RFR Data - preExcl'!$BF$2:$BG1679,MATCH($B705,'RFR Data - preExcl'!$BF$2:$BF1679,0)+1,2),VLOOKUP($B705,'RFR Data - preExcl'!$BF$2:$BG1679,2,FALSE))),IFERROR(0/0,""))</f>
        <v/>
      </c>
      <c r="V705" s="212" t="str">
        <f t="shared" si="5"/>
        <v>RUN-COMB_2022-05-13_RFR-039</v>
      </c>
      <c r="W705" s="51"/>
      <c r="X705" s="51"/>
      <c r="Y705" s="147" t="str">
        <f t="shared" ref="Y705:Z705" si="1410">IF(_xlfn.ISFORMULA(S705),IFERROR(0/0,""),TRUE)</f>
        <v/>
      </c>
      <c r="Z705" s="147" t="str">
        <f t="shared" si="1410"/>
        <v/>
      </c>
    </row>
    <row r="706">
      <c r="A706" s="6" t="str">
        <f>IFERROR(__xludf.DUMMYFUNCTION("""COMPUTED_VALUE"""),"FM2220")</f>
        <v>FM2220</v>
      </c>
      <c r="B706" s="206">
        <f>IFERROR(__xludf.DUMMYFUNCTION("""COMPUTED_VALUE"""),44694.0)</f>
        <v>44694</v>
      </c>
      <c r="C706" s="207">
        <f>IFERROR(__xludf.DUMMYFUNCTION("""COMPUTED_VALUE"""),0.27262731481481484)</f>
        <v>0.2726273148</v>
      </c>
      <c r="D706" s="50"/>
      <c r="E706" s="58"/>
      <c r="F706" s="58"/>
      <c r="G706" s="58" t="str">
        <f>IFERROR(__xludf.DUMMYFUNCTION("""COMPUTED_VALUE"""),"Null")</f>
        <v>Null</v>
      </c>
      <c r="H706" s="206" t="str">
        <f>IFERROR(__xludf.DUMMYFUNCTION("""COMPUTED_VALUE"""),"Negative")</f>
        <v>Negative</v>
      </c>
      <c r="I706" s="207">
        <f>IFERROR(__xludf.DUMMYFUNCTION("""COMPUTED_VALUE"""),44694.0)</f>
        <v>44694</v>
      </c>
      <c r="J706" s="208">
        <f>IFERROR(__xludf.DUMMYFUNCTION("""COMPUTED_VALUE"""),0.31700231481481483)</f>
        <v>0.3170023148</v>
      </c>
      <c r="K706" s="50">
        <f>IFERROR(__xludf.DUMMYFUNCTION("""COMPUTED_VALUE"""),2.0)</f>
        <v>2</v>
      </c>
      <c r="L706" s="6"/>
      <c r="M706" s="55"/>
      <c r="N706" s="55">
        <f>IFERROR(__xludf.DUMMYFUNCTION("""COMPUTED_VALUE"""),1.0)</f>
        <v>1</v>
      </c>
      <c r="O706" s="55" t="str">
        <f t="shared" si="3"/>
        <v/>
      </c>
      <c r="P706" s="209"/>
      <c r="Q706" s="75" t="b">
        <f>VLOOKUP($B706,'Run Reconcile'!B$2:P1679,15,FALSE)</f>
        <v>1</v>
      </c>
      <c r="R706" s="211" t="str">
        <f t="array" ref="R706">IF($Q706, INDEX('Run Reconcile'!A$2:A1679,MATCH(B706,'Run Reconcile'!B$2:B1679,0),1),IFERROR(0/0,""))</f>
        <v>RUN-COMB_2022-05-13_RFR-039</v>
      </c>
      <c r="S706" s="165" t="str">
        <f t="shared" ref="S706:T706" si="1411">IF(COUNTIF(W$2:W1679, $A706) &gt; 0,TRUE,IFERROR(0/0,""))</f>
        <v/>
      </c>
      <c r="T706" s="165" t="str">
        <f t="shared" si="1411"/>
        <v/>
      </c>
      <c r="U706" s="147" t="str">
        <f t="array" ref="U706">IF(ISBLANK($R706), IF($S706,VLOOKUP($B706+1,'RFR Data - preExcl'!$BF$2:$BG1679,2,FALSE),IF($T706,INDEX('RFR Data - preExcl'!$BF$2:$BG1679,MATCH($B706,'RFR Data - preExcl'!$BF$2:$BF1679,0)+1,2),VLOOKUP($B706,'RFR Data - preExcl'!$BF$2:$BG1679,2,FALSE))),IFERROR(0/0,""))</f>
        <v/>
      </c>
      <c r="V706" s="212" t="str">
        <f t="shared" si="5"/>
        <v>RUN-COMB_2022-05-13_RFR-039</v>
      </c>
      <c r="W706" s="51"/>
      <c r="X706" s="51"/>
      <c r="Y706" s="147" t="str">
        <f t="shared" ref="Y706:Z706" si="1412">IF(_xlfn.ISFORMULA(S706),IFERROR(0/0,""),TRUE)</f>
        <v/>
      </c>
      <c r="Z706" s="147" t="str">
        <f t="shared" si="1412"/>
        <v/>
      </c>
    </row>
    <row r="707">
      <c r="A707" s="6" t="str">
        <f>IFERROR(__xludf.DUMMYFUNCTION("""COMPUTED_VALUE"""),"FM2248")</f>
        <v>FM2248</v>
      </c>
      <c r="B707" s="206">
        <f>IFERROR(__xludf.DUMMYFUNCTION("""COMPUTED_VALUE"""),44694.0)</f>
        <v>44694</v>
      </c>
      <c r="C707" s="207">
        <f>IFERROR(__xludf.DUMMYFUNCTION("""COMPUTED_VALUE"""),0.27295138888888887)</f>
        <v>0.2729513889</v>
      </c>
      <c r="D707" s="50"/>
      <c r="E707" s="58"/>
      <c r="F707" s="58"/>
      <c r="G707" s="58" t="str">
        <f>IFERROR(__xludf.DUMMYFUNCTION("""COMPUTED_VALUE"""),"Null")</f>
        <v>Null</v>
      </c>
      <c r="H707" s="206" t="str">
        <f>IFERROR(__xludf.DUMMYFUNCTION("""COMPUTED_VALUE"""),"Negative")</f>
        <v>Negative</v>
      </c>
      <c r="I707" s="207">
        <f>IFERROR(__xludf.DUMMYFUNCTION("""COMPUTED_VALUE"""),44694.0)</f>
        <v>44694</v>
      </c>
      <c r="J707" s="208">
        <f>IFERROR(__xludf.DUMMYFUNCTION("""COMPUTED_VALUE"""),0.3170138888888889)</f>
        <v>0.3170138889</v>
      </c>
      <c r="K707" s="50">
        <f>IFERROR(__xludf.DUMMYFUNCTION("""COMPUTED_VALUE"""),2.0)</f>
        <v>2</v>
      </c>
      <c r="L707" s="6"/>
      <c r="M707" s="55"/>
      <c r="N707" s="55">
        <f>IFERROR(__xludf.DUMMYFUNCTION("""COMPUTED_VALUE"""),1.0)</f>
        <v>1</v>
      </c>
      <c r="O707" s="55" t="str">
        <f t="shared" si="3"/>
        <v/>
      </c>
      <c r="P707" s="209"/>
      <c r="Q707" s="75" t="b">
        <f>VLOOKUP($B707,'Run Reconcile'!B$2:P1679,15,FALSE)</f>
        <v>1</v>
      </c>
      <c r="R707" s="211" t="str">
        <f t="array" ref="R707">IF($Q707, INDEX('Run Reconcile'!A$2:A1679,MATCH(B707,'Run Reconcile'!B$2:B1679,0),1),IFERROR(0/0,""))</f>
        <v>RUN-COMB_2022-05-13_RFR-039</v>
      </c>
      <c r="S707" s="165" t="str">
        <f t="shared" ref="S707:T707" si="1413">IF(COUNTIF(W$2:W1679, $A707) &gt; 0,TRUE,IFERROR(0/0,""))</f>
        <v/>
      </c>
      <c r="T707" s="165" t="str">
        <f t="shared" si="1413"/>
        <v/>
      </c>
      <c r="U707" s="147" t="str">
        <f t="array" ref="U707">IF(ISBLANK($R707), IF($S707,VLOOKUP($B707+1,'RFR Data - preExcl'!$BF$2:$BG1679,2,FALSE),IF($T707,INDEX('RFR Data - preExcl'!$BF$2:$BG1679,MATCH($B707,'RFR Data - preExcl'!$BF$2:$BF1679,0)+1,2),VLOOKUP($B707,'RFR Data - preExcl'!$BF$2:$BG1679,2,FALSE))),IFERROR(0/0,""))</f>
        <v/>
      </c>
      <c r="V707" s="212" t="str">
        <f t="shared" si="5"/>
        <v>RUN-COMB_2022-05-13_RFR-039</v>
      </c>
      <c r="W707" s="51"/>
      <c r="X707" s="51"/>
      <c r="Y707" s="147" t="str">
        <f t="shared" ref="Y707:Z707" si="1414">IF(_xlfn.ISFORMULA(S707),IFERROR(0/0,""),TRUE)</f>
        <v/>
      </c>
      <c r="Z707" s="147" t="str">
        <f t="shared" si="1414"/>
        <v/>
      </c>
    </row>
    <row r="708">
      <c r="A708" s="6" t="str">
        <f>IFERROR(__xludf.DUMMYFUNCTION("""COMPUTED_VALUE"""),"FM2274")</f>
        <v>FM2274</v>
      </c>
      <c r="B708" s="206">
        <f>IFERROR(__xludf.DUMMYFUNCTION("""COMPUTED_VALUE"""),44694.0)</f>
        <v>44694</v>
      </c>
      <c r="C708" s="207">
        <f>IFERROR(__xludf.DUMMYFUNCTION("""COMPUTED_VALUE"""),0.27324074074074073)</f>
        <v>0.2732407407</v>
      </c>
      <c r="D708" s="50"/>
      <c r="E708" s="58"/>
      <c r="F708" s="58"/>
      <c r="G708" s="58" t="str">
        <f>IFERROR(__xludf.DUMMYFUNCTION("""COMPUTED_VALUE"""),"Null")</f>
        <v>Null</v>
      </c>
      <c r="H708" s="206" t="str">
        <f>IFERROR(__xludf.DUMMYFUNCTION("""COMPUTED_VALUE"""),"Negative")</f>
        <v>Negative</v>
      </c>
      <c r="I708" s="207">
        <f>IFERROR(__xludf.DUMMYFUNCTION("""COMPUTED_VALUE"""),44694.0)</f>
        <v>44694</v>
      </c>
      <c r="J708" s="208">
        <f>IFERROR(__xludf.DUMMYFUNCTION("""COMPUTED_VALUE"""),0.3170138888888889)</f>
        <v>0.3170138889</v>
      </c>
      <c r="K708" s="50">
        <f>IFERROR(__xludf.DUMMYFUNCTION("""COMPUTED_VALUE"""),2.0)</f>
        <v>2</v>
      </c>
      <c r="L708" s="6"/>
      <c r="M708" s="55"/>
      <c r="N708" s="55">
        <f>IFERROR(__xludf.DUMMYFUNCTION("""COMPUTED_VALUE"""),1.0)</f>
        <v>1</v>
      </c>
      <c r="O708" s="55" t="str">
        <f t="shared" si="3"/>
        <v/>
      </c>
      <c r="P708" s="209"/>
      <c r="Q708" s="75" t="b">
        <f>VLOOKUP($B708,'Run Reconcile'!B$2:P1679,15,FALSE)</f>
        <v>1</v>
      </c>
      <c r="R708" s="211" t="str">
        <f t="array" ref="R708">IF($Q708, INDEX('Run Reconcile'!A$2:A1679,MATCH(B708,'Run Reconcile'!B$2:B1679,0),1),IFERROR(0/0,""))</f>
        <v>RUN-COMB_2022-05-13_RFR-039</v>
      </c>
      <c r="S708" s="165" t="str">
        <f t="shared" ref="S708:T708" si="1415">IF(COUNTIF(W$2:W1679, $A708) &gt; 0,TRUE,IFERROR(0/0,""))</f>
        <v/>
      </c>
      <c r="T708" s="165" t="str">
        <f t="shared" si="1415"/>
        <v/>
      </c>
      <c r="U708" s="147" t="str">
        <f t="array" ref="U708">IF(ISBLANK($R708), IF($S708,VLOOKUP($B708+1,'RFR Data - preExcl'!$BF$2:$BG1679,2,FALSE),IF($T708,INDEX('RFR Data - preExcl'!$BF$2:$BG1679,MATCH($B708,'RFR Data - preExcl'!$BF$2:$BF1679,0)+1,2),VLOOKUP($B708,'RFR Data - preExcl'!$BF$2:$BG1679,2,FALSE))),IFERROR(0/0,""))</f>
        <v/>
      </c>
      <c r="V708" s="212" t="str">
        <f t="shared" si="5"/>
        <v>RUN-COMB_2022-05-13_RFR-039</v>
      </c>
      <c r="W708" s="51"/>
      <c r="X708" s="51"/>
      <c r="Y708" s="147" t="str">
        <f t="shared" ref="Y708:Z708" si="1416">IF(_xlfn.ISFORMULA(S708),IFERROR(0/0,""),TRUE)</f>
        <v/>
      </c>
      <c r="Z708" s="147" t="str">
        <f t="shared" si="1416"/>
        <v/>
      </c>
    </row>
    <row r="709">
      <c r="A709" s="6" t="str">
        <f>IFERROR(__xludf.DUMMYFUNCTION("""COMPUTED_VALUE"""),"FM2196")</f>
        <v>FM2196</v>
      </c>
      <c r="B709" s="206">
        <f>IFERROR(__xludf.DUMMYFUNCTION("""COMPUTED_VALUE"""),44694.0)</f>
        <v>44694</v>
      </c>
      <c r="C709" s="207">
        <f>IFERROR(__xludf.DUMMYFUNCTION("""COMPUTED_VALUE"""),0.27412037037037035)</f>
        <v>0.2741203704</v>
      </c>
      <c r="D709" s="50"/>
      <c r="E709" s="58"/>
      <c r="F709" s="58"/>
      <c r="G709" s="58" t="str">
        <f>IFERROR(__xludf.DUMMYFUNCTION("""COMPUTED_VALUE"""),"Null")</f>
        <v>Null</v>
      </c>
      <c r="H709" s="206" t="str">
        <f>IFERROR(__xludf.DUMMYFUNCTION("""COMPUTED_VALUE"""),"Negative")</f>
        <v>Negative</v>
      </c>
      <c r="I709" s="207">
        <f>IFERROR(__xludf.DUMMYFUNCTION("""COMPUTED_VALUE"""),44694.0)</f>
        <v>44694</v>
      </c>
      <c r="J709" s="208">
        <f>IFERROR(__xludf.DUMMYFUNCTION("""COMPUTED_VALUE"""),0.31703703703703706)</f>
        <v>0.317037037</v>
      </c>
      <c r="K709" s="50">
        <f>IFERROR(__xludf.DUMMYFUNCTION("""COMPUTED_VALUE"""),2.0)</f>
        <v>2</v>
      </c>
      <c r="L709" s="6"/>
      <c r="M709" s="55"/>
      <c r="N709" s="55">
        <f>IFERROR(__xludf.DUMMYFUNCTION("""COMPUTED_VALUE"""),1.0)</f>
        <v>1</v>
      </c>
      <c r="O709" s="55" t="str">
        <f t="shared" si="3"/>
        <v/>
      </c>
      <c r="P709" s="209"/>
      <c r="Q709" s="75" t="b">
        <f>VLOOKUP($B709,'Run Reconcile'!B$2:P1679,15,FALSE)</f>
        <v>1</v>
      </c>
      <c r="R709" s="211" t="str">
        <f t="array" ref="R709">IF($Q709, INDEX('Run Reconcile'!A$2:A1679,MATCH(B709,'Run Reconcile'!B$2:B1679,0),1),IFERROR(0/0,""))</f>
        <v>RUN-COMB_2022-05-13_RFR-039</v>
      </c>
      <c r="S709" s="165" t="str">
        <f t="shared" ref="S709:T709" si="1417">IF(COUNTIF(W$2:W1679, $A709) &gt; 0,TRUE,IFERROR(0/0,""))</f>
        <v/>
      </c>
      <c r="T709" s="165" t="str">
        <f t="shared" si="1417"/>
        <v/>
      </c>
      <c r="U709" s="147" t="str">
        <f t="array" ref="U709">IF(ISBLANK($R709), IF($S709,VLOOKUP($B709+1,'RFR Data - preExcl'!$BF$2:$BG1679,2,FALSE),IF($T709,INDEX('RFR Data - preExcl'!$BF$2:$BG1679,MATCH($B709,'RFR Data - preExcl'!$BF$2:$BF1679,0)+1,2),VLOOKUP($B709,'RFR Data - preExcl'!$BF$2:$BG1679,2,FALSE))),IFERROR(0/0,""))</f>
        <v/>
      </c>
      <c r="V709" s="212" t="str">
        <f t="shared" si="5"/>
        <v>RUN-COMB_2022-05-13_RFR-039</v>
      </c>
      <c r="W709" s="51"/>
      <c r="X709" s="51"/>
      <c r="Y709" s="147" t="str">
        <f t="shared" ref="Y709:Z709" si="1418">IF(_xlfn.ISFORMULA(S709),IFERROR(0/0,""),TRUE)</f>
        <v/>
      </c>
      <c r="Z709" s="147" t="str">
        <f t="shared" si="1418"/>
        <v/>
      </c>
    </row>
    <row r="710">
      <c r="A710" s="6" t="str">
        <f>IFERROR(__xludf.DUMMYFUNCTION("""COMPUTED_VALUE"""),"FM2268")</f>
        <v>FM2268</v>
      </c>
      <c r="B710" s="206">
        <f>IFERROR(__xludf.DUMMYFUNCTION("""COMPUTED_VALUE"""),44694.0)</f>
        <v>44694</v>
      </c>
      <c r="C710" s="207">
        <f>IFERROR(__xludf.DUMMYFUNCTION("""COMPUTED_VALUE"""),0.2745138888888889)</f>
        <v>0.2745138889</v>
      </c>
      <c r="D710" s="50"/>
      <c r="E710" s="58"/>
      <c r="F710" s="58"/>
      <c r="G710" s="58" t="str">
        <f>IFERROR(__xludf.DUMMYFUNCTION("""COMPUTED_VALUE"""),"Null")</f>
        <v>Null</v>
      </c>
      <c r="H710" s="206" t="str">
        <f>IFERROR(__xludf.DUMMYFUNCTION("""COMPUTED_VALUE"""),"Negative")</f>
        <v>Negative</v>
      </c>
      <c r="I710" s="207">
        <f>IFERROR(__xludf.DUMMYFUNCTION("""COMPUTED_VALUE"""),44694.0)</f>
        <v>44694</v>
      </c>
      <c r="J710" s="208">
        <f>IFERROR(__xludf.DUMMYFUNCTION("""COMPUTED_VALUE"""),0.3170601851851852)</f>
        <v>0.3170601852</v>
      </c>
      <c r="K710" s="50">
        <f>IFERROR(__xludf.DUMMYFUNCTION("""COMPUTED_VALUE"""),2.0)</f>
        <v>2</v>
      </c>
      <c r="L710" s="6"/>
      <c r="M710" s="55"/>
      <c r="N710" s="55">
        <f>IFERROR(__xludf.DUMMYFUNCTION("""COMPUTED_VALUE"""),1.0)</f>
        <v>1</v>
      </c>
      <c r="O710" s="55" t="str">
        <f t="shared" si="3"/>
        <v/>
      </c>
      <c r="P710" s="209"/>
      <c r="Q710" s="75" t="b">
        <f>VLOOKUP($B710,'Run Reconcile'!B$2:P1679,15,FALSE)</f>
        <v>1</v>
      </c>
      <c r="R710" s="211" t="str">
        <f t="array" ref="R710">IF($Q710, INDEX('Run Reconcile'!A$2:A1679,MATCH(B710,'Run Reconcile'!B$2:B1679,0),1),IFERROR(0/0,""))</f>
        <v>RUN-COMB_2022-05-13_RFR-039</v>
      </c>
      <c r="S710" s="165" t="str">
        <f t="shared" ref="S710:T710" si="1419">IF(COUNTIF(W$2:W1679, $A710) &gt; 0,TRUE,IFERROR(0/0,""))</f>
        <v/>
      </c>
      <c r="T710" s="165" t="str">
        <f t="shared" si="1419"/>
        <v/>
      </c>
      <c r="U710" s="147" t="str">
        <f t="array" ref="U710">IF(ISBLANK($R710), IF($S710,VLOOKUP($B710+1,'RFR Data - preExcl'!$BF$2:$BG1679,2,FALSE),IF($T710,INDEX('RFR Data - preExcl'!$BF$2:$BG1679,MATCH($B710,'RFR Data - preExcl'!$BF$2:$BF1679,0)+1,2),VLOOKUP($B710,'RFR Data - preExcl'!$BF$2:$BG1679,2,FALSE))),IFERROR(0/0,""))</f>
        <v/>
      </c>
      <c r="V710" s="212" t="str">
        <f t="shared" si="5"/>
        <v>RUN-COMB_2022-05-13_RFR-039</v>
      </c>
      <c r="W710" s="51"/>
      <c r="X710" s="51"/>
      <c r="Y710" s="147" t="str">
        <f t="shared" ref="Y710:Z710" si="1420">IF(_xlfn.ISFORMULA(S710),IFERROR(0/0,""),TRUE)</f>
        <v/>
      </c>
      <c r="Z710" s="147" t="str">
        <f t="shared" si="1420"/>
        <v/>
      </c>
    </row>
    <row r="711">
      <c r="A711" s="6" t="str">
        <f>IFERROR(__xludf.DUMMYFUNCTION("""COMPUTED_VALUE"""),"FM2275")</f>
        <v>FM2275</v>
      </c>
      <c r="B711" s="206">
        <f>IFERROR(__xludf.DUMMYFUNCTION("""COMPUTED_VALUE"""),44694.0)</f>
        <v>44694</v>
      </c>
      <c r="C711" s="207">
        <f>IFERROR(__xludf.DUMMYFUNCTION("""COMPUTED_VALUE"""),0.27489583333333334)</f>
        <v>0.2748958333</v>
      </c>
      <c r="D711" s="50"/>
      <c r="E711" s="58"/>
      <c r="F711" s="58"/>
      <c r="G711" s="58" t="str">
        <f>IFERROR(__xludf.DUMMYFUNCTION("""COMPUTED_VALUE"""),"Null")</f>
        <v>Null</v>
      </c>
      <c r="H711" s="206" t="str">
        <f>IFERROR(__xludf.DUMMYFUNCTION("""COMPUTED_VALUE"""),"Negative")</f>
        <v>Negative</v>
      </c>
      <c r="I711" s="207">
        <f>IFERROR(__xludf.DUMMYFUNCTION("""COMPUTED_VALUE"""),44694.0)</f>
        <v>44694</v>
      </c>
      <c r="J711" s="208">
        <f>IFERROR(__xludf.DUMMYFUNCTION("""COMPUTED_VALUE"""),0.31707175925925923)</f>
        <v>0.3170717593</v>
      </c>
      <c r="K711" s="50">
        <f>IFERROR(__xludf.DUMMYFUNCTION("""COMPUTED_VALUE"""),2.0)</f>
        <v>2</v>
      </c>
      <c r="L711" s="6"/>
      <c r="M711" s="55"/>
      <c r="N711" s="55">
        <f>IFERROR(__xludf.DUMMYFUNCTION("""COMPUTED_VALUE"""),1.0)</f>
        <v>1</v>
      </c>
      <c r="O711" s="55" t="str">
        <f t="shared" si="3"/>
        <v/>
      </c>
      <c r="P711" s="209"/>
      <c r="Q711" s="75" t="b">
        <f>VLOOKUP($B711,'Run Reconcile'!B$2:P1679,15,FALSE)</f>
        <v>1</v>
      </c>
      <c r="R711" s="211" t="str">
        <f t="array" ref="R711">IF($Q711, INDEX('Run Reconcile'!A$2:A1679,MATCH(B711,'Run Reconcile'!B$2:B1679,0),1),IFERROR(0/0,""))</f>
        <v>RUN-COMB_2022-05-13_RFR-039</v>
      </c>
      <c r="S711" s="165" t="str">
        <f t="shared" ref="S711:T711" si="1421">IF(COUNTIF(W$2:W1679, $A711) &gt; 0,TRUE,IFERROR(0/0,""))</f>
        <v/>
      </c>
      <c r="T711" s="165" t="str">
        <f t="shared" si="1421"/>
        <v/>
      </c>
      <c r="U711" s="147" t="str">
        <f t="array" ref="U711">IF(ISBLANK($R711), IF($S711,VLOOKUP($B711+1,'RFR Data - preExcl'!$BF$2:$BG1679,2,FALSE),IF($T711,INDEX('RFR Data - preExcl'!$BF$2:$BG1679,MATCH($B711,'RFR Data - preExcl'!$BF$2:$BF1679,0)+1,2),VLOOKUP($B711,'RFR Data - preExcl'!$BF$2:$BG1679,2,FALSE))),IFERROR(0/0,""))</f>
        <v/>
      </c>
      <c r="V711" s="212" t="str">
        <f t="shared" si="5"/>
        <v>RUN-COMB_2022-05-13_RFR-039</v>
      </c>
      <c r="W711" s="51"/>
      <c r="X711" s="51"/>
      <c r="Y711" s="147" t="str">
        <f t="shared" ref="Y711:Z711" si="1422">IF(_xlfn.ISFORMULA(S711),IFERROR(0/0,""),TRUE)</f>
        <v/>
      </c>
      <c r="Z711" s="147" t="str">
        <f t="shared" si="1422"/>
        <v/>
      </c>
    </row>
    <row r="712">
      <c r="A712" s="6" t="str">
        <f>IFERROR(__xludf.DUMMYFUNCTION("""COMPUTED_VALUE"""),"FM2267")</f>
        <v>FM2267</v>
      </c>
      <c r="B712" s="206">
        <f>IFERROR(__xludf.DUMMYFUNCTION("""COMPUTED_VALUE"""),44694.0)</f>
        <v>44694</v>
      </c>
      <c r="C712" s="207">
        <f>IFERROR(__xludf.DUMMYFUNCTION("""COMPUTED_VALUE"""),0.27525462962962965)</f>
        <v>0.2752546296</v>
      </c>
      <c r="D712" s="50"/>
      <c r="E712" s="58"/>
      <c r="F712" s="58"/>
      <c r="G712" s="58" t="str">
        <f>IFERROR(__xludf.DUMMYFUNCTION("""COMPUTED_VALUE"""),"Null")</f>
        <v>Null</v>
      </c>
      <c r="H712" s="206" t="str">
        <f>IFERROR(__xludf.DUMMYFUNCTION("""COMPUTED_VALUE"""),"Negative")</f>
        <v>Negative</v>
      </c>
      <c r="I712" s="207">
        <f>IFERROR(__xludf.DUMMYFUNCTION("""COMPUTED_VALUE"""),44694.0)</f>
        <v>44694</v>
      </c>
      <c r="J712" s="208">
        <f>IFERROR(__xludf.DUMMYFUNCTION("""COMPUTED_VALUE"""),0.3170949074074074)</f>
        <v>0.3170949074</v>
      </c>
      <c r="K712" s="50">
        <f>IFERROR(__xludf.DUMMYFUNCTION("""COMPUTED_VALUE"""),2.0)</f>
        <v>2</v>
      </c>
      <c r="L712" s="6"/>
      <c r="M712" s="55"/>
      <c r="N712" s="55">
        <f>IFERROR(__xludf.DUMMYFUNCTION("""COMPUTED_VALUE"""),1.0)</f>
        <v>1</v>
      </c>
      <c r="O712" s="55" t="str">
        <f t="shared" si="3"/>
        <v/>
      </c>
      <c r="P712" s="209"/>
      <c r="Q712" s="75" t="b">
        <f>VLOOKUP($B712,'Run Reconcile'!B$2:P1679,15,FALSE)</f>
        <v>1</v>
      </c>
      <c r="R712" s="211" t="str">
        <f t="array" ref="R712">IF($Q712, INDEX('Run Reconcile'!A$2:A1679,MATCH(B712,'Run Reconcile'!B$2:B1679,0),1),IFERROR(0/0,""))</f>
        <v>RUN-COMB_2022-05-13_RFR-039</v>
      </c>
      <c r="S712" s="165" t="str">
        <f t="shared" ref="S712:T712" si="1423">IF(COUNTIF(W$2:W1679, $A712) &gt; 0,TRUE,IFERROR(0/0,""))</f>
        <v/>
      </c>
      <c r="T712" s="165" t="str">
        <f t="shared" si="1423"/>
        <v/>
      </c>
      <c r="U712" s="147" t="str">
        <f t="array" ref="U712">IF(ISBLANK($R712), IF($S712,VLOOKUP($B712+1,'RFR Data - preExcl'!$BF$2:$BG1679,2,FALSE),IF($T712,INDEX('RFR Data - preExcl'!$BF$2:$BG1679,MATCH($B712,'RFR Data - preExcl'!$BF$2:$BF1679,0)+1,2),VLOOKUP($B712,'RFR Data - preExcl'!$BF$2:$BG1679,2,FALSE))),IFERROR(0/0,""))</f>
        <v/>
      </c>
      <c r="V712" s="212" t="str">
        <f t="shared" si="5"/>
        <v>RUN-COMB_2022-05-13_RFR-039</v>
      </c>
      <c r="W712" s="51"/>
      <c r="X712" s="51"/>
      <c r="Y712" s="147" t="str">
        <f t="shared" ref="Y712:Z712" si="1424">IF(_xlfn.ISFORMULA(S712),IFERROR(0/0,""),TRUE)</f>
        <v/>
      </c>
      <c r="Z712" s="147" t="str">
        <f t="shared" si="1424"/>
        <v/>
      </c>
    </row>
    <row r="713">
      <c r="A713" s="6" t="str">
        <f>IFERROR(__xludf.DUMMYFUNCTION("""COMPUTED_VALUE"""),"FM2281")</f>
        <v>FM2281</v>
      </c>
      <c r="B713" s="206">
        <f>IFERROR(__xludf.DUMMYFUNCTION("""COMPUTED_VALUE"""),44694.0)</f>
        <v>44694</v>
      </c>
      <c r="C713" s="207">
        <f>IFERROR(__xludf.DUMMYFUNCTION("""COMPUTED_VALUE"""),0.27555555555555555)</f>
        <v>0.2755555556</v>
      </c>
      <c r="D713" s="50"/>
      <c r="E713" s="58"/>
      <c r="F713" s="58"/>
      <c r="G713" s="58" t="str">
        <f>IFERROR(__xludf.DUMMYFUNCTION("""COMPUTED_VALUE"""),"Null")</f>
        <v>Null</v>
      </c>
      <c r="H713" s="206" t="str">
        <f>IFERROR(__xludf.DUMMYFUNCTION("""COMPUTED_VALUE"""),"Negative")</f>
        <v>Negative</v>
      </c>
      <c r="I713" s="207">
        <f>IFERROR(__xludf.DUMMYFUNCTION("""COMPUTED_VALUE"""),44694.0)</f>
        <v>44694</v>
      </c>
      <c r="J713" s="208">
        <f>IFERROR(__xludf.DUMMYFUNCTION("""COMPUTED_VALUE"""),0.31710648148148146)</f>
        <v>0.3171064815</v>
      </c>
      <c r="K713" s="50">
        <f>IFERROR(__xludf.DUMMYFUNCTION("""COMPUTED_VALUE"""),2.0)</f>
        <v>2</v>
      </c>
      <c r="L713" s="6"/>
      <c r="M713" s="55"/>
      <c r="N713" s="55">
        <f>IFERROR(__xludf.DUMMYFUNCTION("""COMPUTED_VALUE"""),1.0)</f>
        <v>1</v>
      </c>
      <c r="O713" s="55" t="str">
        <f t="shared" si="3"/>
        <v/>
      </c>
      <c r="P713" s="209"/>
      <c r="Q713" s="75" t="b">
        <f>VLOOKUP($B713,'Run Reconcile'!B$2:P1679,15,FALSE)</f>
        <v>1</v>
      </c>
      <c r="R713" s="211" t="str">
        <f t="array" ref="R713">IF($Q713, INDEX('Run Reconcile'!A$2:A1679,MATCH(B713,'Run Reconcile'!B$2:B1679,0),1),IFERROR(0/0,""))</f>
        <v>RUN-COMB_2022-05-13_RFR-039</v>
      </c>
      <c r="S713" s="165" t="str">
        <f t="shared" ref="S713:T713" si="1425">IF(COUNTIF(W$2:W1679, $A713) &gt; 0,TRUE,IFERROR(0/0,""))</f>
        <v/>
      </c>
      <c r="T713" s="165" t="str">
        <f t="shared" si="1425"/>
        <v/>
      </c>
      <c r="U713" s="147" t="str">
        <f t="array" ref="U713">IF(ISBLANK($R713), IF($S713,VLOOKUP($B713+1,'RFR Data - preExcl'!$BF$2:$BG1679,2,FALSE),IF($T713,INDEX('RFR Data - preExcl'!$BF$2:$BG1679,MATCH($B713,'RFR Data - preExcl'!$BF$2:$BF1679,0)+1,2),VLOOKUP($B713,'RFR Data - preExcl'!$BF$2:$BG1679,2,FALSE))),IFERROR(0/0,""))</f>
        <v/>
      </c>
      <c r="V713" s="212" t="str">
        <f t="shared" si="5"/>
        <v>RUN-COMB_2022-05-13_RFR-039</v>
      </c>
      <c r="W713" s="51"/>
      <c r="X713" s="51"/>
      <c r="Y713" s="147" t="str">
        <f t="shared" ref="Y713:Z713" si="1426">IF(_xlfn.ISFORMULA(S713),IFERROR(0/0,""),TRUE)</f>
        <v/>
      </c>
      <c r="Z713" s="147" t="str">
        <f t="shared" si="1426"/>
        <v/>
      </c>
    </row>
    <row r="714">
      <c r="A714" s="6" t="str">
        <f>IFERROR(__xludf.DUMMYFUNCTION("""COMPUTED_VALUE"""),"FM2188")</f>
        <v>FM2188</v>
      </c>
      <c r="B714" s="206">
        <f>IFERROR(__xludf.DUMMYFUNCTION("""COMPUTED_VALUE"""),44694.0)</f>
        <v>44694</v>
      </c>
      <c r="C714" s="207">
        <f>IFERROR(__xludf.DUMMYFUNCTION("""COMPUTED_VALUE"""),0.2758564814814815)</f>
        <v>0.2758564815</v>
      </c>
      <c r="D714" s="50"/>
      <c r="E714" s="58"/>
      <c r="F714" s="58"/>
      <c r="G714" s="58" t="str">
        <f>IFERROR(__xludf.DUMMYFUNCTION("""COMPUTED_VALUE"""),"Null")</f>
        <v>Null</v>
      </c>
      <c r="H714" s="206" t="str">
        <f>IFERROR(__xludf.DUMMYFUNCTION("""COMPUTED_VALUE"""),"Negative")</f>
        <v>Negative</v>
      </c>
      <c r="I714" s="207">
        <f>IFERROR(__xludf.DUMMYFUNCTION("""COMPUTED_VALUE"""),44694.0)</f>
        <v>44694</v>
      </c>
      <c r="J714" s="208">
        <f>IFERROR(__xludf.DUMMYFUNCTION("""COMPUTED_VALUE"""),0.31711805555555556)</f>
        <v>0.3171180556</v>
      </c>
      <c r="K714" s="50">
        <f>IFERROR(__xludf.DUMMYFUNCTION("""COMPUTED_VALUE"""),2.0)</f>
        <v>2</v>
      </c>
      <c r="L714" s="6"/>
      <c r="M714" s="55"/>
      <c r="N714" s="55">
        <f>IFERROR(__xludf.DUMMYFUNCTION("""COMPUTED_VALUE"""),1.0)</f>
        <v>1</v>
      </c>
      <c r="O714" s="55" t="str">
        <f t="shared" si="3"/>
        <v/>
      </c>
      <c r="P714" s="209"/>
      <c r="Q714" s="75" t="b">
        <f>VLOOKUP($B714,'Run Reconcile'!B$2:P1679,15,FALSE)</f>
        <v>1</v>
      </c>
      <c r="R714" s="211" t="str">
        <f t="array" ref="R714">IF($Q714, INDEX('Run Reconcile'!A$2:A1679,MATCH(B714,'Run Reconcile'!B$2:B1679,0),1),IFERROR(0/0,""))</f>
        <v>RUN-COMB_2022-05-13_RFR-039</v>
      </c>
      <c r="S714" s="165" t="str">
        <f t="shared" ref="S714:T714" si="1427">IF(COUNTIF(W$2:W1679, $A714) &gt; 0,TRUE,IFERROR(0/0,""))</f>
        <v/>
      </c>
      <c r="T714" s="165" t="str">
        <f t="shared" si="1427"/>
        <v/>
      </c>
      <c r="U714" s="147" t="str">
        <f t="array" ref="U714">IF(ISBLANK($R714), IF($S714,VLOOKUP($B714+1,'RFR Data - preExcl'!$BF$2:$BG1679,2,FALSE),IF($T714,INDEX('RFR Data - preExcl'!$BF$2:$BG1679,MATCH($B714,'RFR Data - preExcl'!$BF$2:$BF1679,0)+1,2),VLOOKUP($B714,'RFR Data - preExcl'!$BF$2:$BG1679,2,FALSE))),IFERROR(0/0,""))</f>
        <v/>
      </c>
      <c r="V714" s="212" t="str">
        <f t="shared" si="5"/>
        <v>RUN-COMB_2022-05-13_RFR-039</v>
      </c>
      <c r="W714" s="51"/>
      <c r="X714" s="51"/>
      <c r="Y714" s="147" t="str">
        <f t="shared" ref="Y714:Z714" si="1428">IF(_xlfn.ISFORMULA(S714),IFERROR(0/0,""),TRUE)</f>
        <v/>
      </c>
      <c r="Z714" s="147" t="str">
        <f t="shared" si="1428"/>
        <v/>
      </c>
    </row>
    <row r="715">
      <c r="A715" s="6" t="str">
        <f>IFERROR(__xludf.DUMMYFUNCTION("""COMPUTED_VALUE"""),"FM2282")</f>
        <v>FM2282</v>
      </c>
      <c r="B715" s="206">
        <f>IFERROR(__xludf.DUMMYFUNCTION("""COMPUTED_VALUE"""),44694.0)</f>
        <v>44694</v>
      </c>
      <c r="C715" s="207">
        <f>IFERROR(__xludf.DUMMYFUNCTION("""COMPUTED_VALUE"""),0.27618055555555554)</f>
        <v>0.2761805556</v>
      </c>
      <c r="D715" s="50"/>
      <c r="E715" s="58"/>
      <c r="F715" s="58"/>
      <c r="G715" s="58" t="str">
        <f>IFERROR(__xludf.DUMMYFUNCTION("""COMPUTED_VALUE"""),"Null")</f>
        <v>Null</v>
      </c>
      <c r="H715" s="206" t="str">
        <f>IFERROR(__xludf.DUMMYFUNCTION("""COMPUTED_VALUE"""),"Negative")</f>
        <v>Negative</v>
      </c>
      <c r="I715" s="207">
        <f>IFERROR(__xludf.DUMMYFUNCTION("""COMPUTED_VALUE"""),44694.0)</f>
        <v>44694</v>
      </c>
      <c r="J715" s="208">
        <f>IFERROR(__xludf.DUMMYFUNCTION("""COMPUTED_VALUE"""),0.3171412037037037)</f>
        <v>0.3171412037</v>
      </c>
      <c r="K715" s="50">
        <f>IFERROR(__xludf.DUMMYFUNCTION("""COMPUTED_VALUE"""),2.0)</f>
        <v>2</v>
      </c>
      <c r="L715" s="6"/>
      <c r="M715" s="55"/>
      <c r="N715" s="55">
        <f>IFERROR(__xludf.DUMMYFUNCTION("""COMPUTED_VALUE"""),1.0)</f>
        <v>1</v>
      </c>
      <c r="O715" s="55" t="str">
        <f t="shared" si="3"/>
        <v/>
      </c>
      <c r="P715" s="209"/>
      <c r="Q715" s="75" t="b">
        <f>VLOOKUP($B715,'Run Reconcile'!B$2:P1679,15,FALSE)</f>
        <v>1</v>
      </c>
      <c r="R715" s="211" t="str">
        <f t="array" ref="R715">IF($Q715, INDEX('Run Reconcile'!A$2:A1679,MATCH(B715,'Run Reconcile'!B$2:B1679,0),1),IFERROR(0/0,""))</f>
        <v>RUN-COMB_2022-05-13_RFR-039</v>
      </c>
      <c r="S715" s="165" t="str">
        <f t="shared" ref="S715:T715" si="1429">IF(COUNTIF(W$2:W1679, $A715) &gt; 0,TRUE,IFERROR(0/0,""))</f>
        <v/>
      </c>
      <c r="T715" s="165" t="str">
        <f t="shared" si="1429"/>
        <v/>
      </c>
      <c r="U715" s="147" t="str">
        <f t="array" ref="U715">IF(ISBLANK($R715), IF($S715,VLOOKUP($B715+1,'RFR Data - preExcl'!$BF$2:$BG1679,2,FALSE),IF($T715,INDEX('RFR Data - preExcl'!$BF$2:$BG1679,MATCH($B715,'RFR Data - preExcl'!$BF$2:$BF1679,0)+1,2),VLOOKUP($B715,'RFR Data - preExcl'!$BF$2:$BG1679,2,FALSE))),IFERROR(0/0,""))</f>
        <v/>
      </c>
      <c r="V715" s="212" t="str">
        <f t="shared" si="5"/>
        <v>RUN-COMB_2022-05-13_RFR-039</v>
      </c>
      <c r="W715" s="51"/>
      <c r="X715" s="51"/>
      <c r="Y715" s="147" t="str">
        <f t="shared" ref="Y715:Z715" si="1430">IF(_xlfn.ISFORMULA(S715),IFERROR(0/0,""),TRUE)</f>
        <v/>
      </c>
      <c r="Z715" s="147" t="str">
        <f t="shared" si="1430"/>
        <v/>
      </c>
    </row>
    <row r="716">
      <c r="A716" s="6" t="str">
        <f>IFERROR(__xludf.DUMMYFUNCTION("""COMPUTED_VALUE"""),"FM2254")</f>
        <v>FM2254</v>
      </c>
      <c r="B716" s="206">
        <f>IFERROR(__xludf.DUMMYFUNCTION("""COMPUTED_VALUE"""),44694.0)</f>
        <v>44694</v>
      </c>
      <c r="C716" s="207">
        <f>IFERROR(__xludf.DUMMYFUNCTION("""COMPUTED_VALUE"""),0.2768055555555556)</f>
        <v>0.2768055556</v>
      </c>
      <c r="D716" s="50"/>
      <c r="E716" s="58"/>
      <c r="F716" s="58"/>
      <c r="G716" s="58" t="str">
        <f>IFERROR(__xludf.DUMMYFUNCTION("""COMPUTED_VALUE"""),"Null")</f>
        <v>Null</v>
      </c>
      <c r="H716" s="206" t="str">
        <f>IFERROR(__xludf.DUMMYFUNCTION("""COMPUTED_VALUE"""),"Negative")</f>
        <v>Negative</v>
      </c>
      <c r="I716" s="207">
        <f>IFERROR(__xludf.DUMMYFUNCTION("""COMPUTED_VALUE"""),44694.0)</f>
        <v>44694</v>
      </c>
      <c r="J716" s="208">
        <f>IFERROR(__xludf.DUMMYFUNCTION("""COMPUTED_VALUE"""),0.3171643518518519)</f>
        <v>0.3171643519</v>
      </c>
      <c r="K716" s="50">
        <f>IFERROR(__xludf.DUMMYFUNCTION("""COMPUTED_VALUE"""),2.0)</f>
        <v>2</v>
      </c>
      <c r="L716" s="6"/>
      <c r="M716" s="55"/>
      <c r="N716" s="55">
        <f>IFERROR(__xludf.DUMMYFUNCTION("""COMPUTED_VALUE"""),1.0)</f>
        <v>1</v>
      </c>
      <c r="O716" s="55" t="str">
        <f t="shared" si="3"/>
        <v/>
      </c>
      <c r="P716" s="209"/>
      <c r="Q716" s="75" t="b">
        <f>VLOOKUP($B716,'Run Reconcile'!B$2:P1679,15,FALSE)</f>
        <v>1</v>
      </c>
      <c r="R716" s="211" t="str">
        <f t="array" ref="R716">IF($Q716, INDEX('Run Reconcile'!A$2:A1679,MATCH(B716,'Run Reconcile'!B$2:B1679,0),1),IFERROR(0/0,""))</f>
        <v>RUN-COMB_2022-05-13_RFR-039</v>
      </c>
      <c r="S716" s="165" t="str">
        <f t="shared" ref="S716:T716" si="1431">IF(COUNTIF(W$2:W1679, $A716) &gt; 0,TRUE,IFERROR(0/0,""))</f>
        <v/>
      </c>
      <c r="T716" s="165" t="str">
        <f t="shared" si="1431"/>
        <v/>
      </c>
      <c r="U716" s="147" t="str">
        <f t="array" ref="U716">IF(ISBLANK($R716), IF($S716,VLOOKUP($B716+1,'RFR Data - preExcl'!$BF$2:$BG1679,2,FALSE),IF($T716,INDEX('RFR Data - preExcl'!$BF$2:$BG1679,MATCH($B716,'RFR Data - preExcl'!$BF$2:$BF1679,0)+1,2),VLOOKUP($B716,'RFR Data - preExcl'!$BF$2:$BG1679,2,FALSE))),IFERROR(0/0,""))</f>
        <v/>
      </c>
      <c r="V716" s="212" t="str">
        <f t="shared" si="5"/>
        <v>RUN-COMB_2022-05-13_RFR-039</v>
      </c>
      <c r="W716" s="51"/>
      <c r="X716" s="51"/>
      <c r="Y716" s="147" t="str">
        <f t="shared" ref="Y716:Z716" si="1432">IF(_xlfn.ISFORMULA(S716),IFERROR(0/0,""),TRUE)</f>
        <v/>
      </c>
      <c r="Z716" s="147" t="str">
        <f t="shared" si="1432"/>
        <v/>
      </c>
    </row>
    <row r="717">
      <c r="A717" s="6" t="str">
        <f>IFERROR(__xludf.DUMMYFUNCTION("""COMPUTED_VALUE"""),"FM2222")</f>
        <v>FM2222</v>
      </c>
      <c r="B717" s="206">
        <f>IFERROR(__xludf.DUMMYFUNCTION("""COMPUTED_VALUE"""),44694.0)</f>
        <v>44694</v>
      </c>
      <c r="C717" s="207">
        <f>IFERROR(__xludf.DUMMYFUNCTION("""COMPUTED_VALUE"""),0.28466435185185185)</f>
        <v>0.2846643519</v>
      </c>
      <c r="D717" s="50"/>
      <c r="E717" s="58"/>
      <c r="F717" s="58"/>
      <c r="G717" s="58" t="str">
        <f>IFERROR(__xludf.DUMMYFUNCTION("""COMPUTED_VALUE"""),"Null")</f>
        <v>Null</v>
      </c>
      <c r="H717" s="206" t="str">
        <f>IFERROR(__xludf.DUMMYFUNCTION("""COMPUTED_VALUE"""),"Negative")</f>
        <v>Negative</v>
      </c>
      <c r="I717" s="207">
        <f>IFERROR(__xludf.DUMMYFUNCTION("""COMPUTED_VALUE"""),44694.0)</f>
        <v>44694</v>
      </c>
      <c r="J717" s="208">
        <f>IFERROR(__xludf.DUMMYFUNCTION("""COMPUTED_VALUE"""),0.3171759259259259)</f>
        <v>0.3171759259</v>
      </c>
      <c r="K717" s="50">
        <f>IFERROR(__xludf.DUMMYFUNCTION("""COMPUTED_VALUE"""),2.0)</f>
        <v>2</v>
      </c>
      <c r="L717" s="6"/>
      <c r="M717" s="55"/>
      <c r="N717" s="55">
        <f>IFERROR(__xludf.DUMMYFUNCTION("""COMPUTED_VALUE"""),1.0)</f>
        <v>1</v>
      </c>
      <c r="O717" s="55" t="str">
        <f t="shared" si="3"/>
        <v/>
      </c>
      <c r="P717" s="209"/>
      <c r="Q717" s="75" t="b">
        <f>VLOOKUP($B717,'Run Reconcile'!B$2:P1679,15,FALSE)</f>
        <v>1</v>
      </c>
      <c r="R717" s="211" t="str">
        <f t="array" ref="R717">IF($Q717, INDEX('Run Reconcile'!A$2:A1679,MATCH(B717,'Run Reconcile'!B$2:B1679,0),1),IFERROR(0/0,""))</f>
        <v>RUN-COMB_2022-05-13_RFR-039</v>
      </c>
      <c r="S717" s="165" t="str">
        <f t="shared" ref="S717:T717" si="1433">IF(COUNTIF(W$2:W1679, $A717) &gt; 0,TRUE,IFERROR(0/0,""))</f>
        <v/>
      </c>
      <c r="T717" s="165" t="str">
        <f t="shared" si="1433"/>
        <v/>
      </c>
      <c r="U717" s="147" t="str">
        <f t="array" ref="U717">IF(ISBLANK($R717), IF($S717,VLOOKUP($B717+1,'RFR Data - preExcl'!$BF$2:$BG1679,2,FALSE),IF($T717,INDEX('RFR Data - preExcl'!$BF$2:$BG1679,MATCH($B717,'RFR Data - preExcl'!$BF$2:$BF1679,0)+1,2),VLOOKUP($B717,'RFR Data - preExcl'!$BF$2:$BG1679,2,FALSE))),IFERROR(0/0,""))</f>
        <v/>
      </c>
      <c r="V717" s="212" t="str">
        <f t="shared" si="5"/>
        <v>RUN-COMB_2022-05-13_RFR-039</v>
      </c>
      <c r="W717" s="51"/>
      <c r="X717" s="51"/>
      <c r="Y717" s="147" t="str">
        <f t="shared" ref="Y717:Z717" si="1434">IF(_xlfn.ISFORMULA(S717),IFERROR(0/0,""),TRUE)</f>
        <v/>
      </c>
      <c r="Z717" s="147" t="str">
        <f t="shared" si="1434"/>
        <v/>
      </c>
    </row>
    <row r="718">
      <c r="A718" s="6" t="str">
        <f>IFERROR(__xludf.DUMMYFUNCTION("""COMPUTED_VALUE"""),"FM2301")</f>
        <v>FM2301</v>
      </c>
      <c r="B718" s="206">
        <f>IFERROR(__xludf.DUMMYFUNCTION("""COMPUTED_VALUE"""),44694.0)</f>
        <v>44694</v>
      </c>
      <c r="C718" s="207">
        <f>IFERROR(__xludf.DUMMYFUNCTION("""COMPUTED_VALUE"""),0.28501157407407407)</f>
        <v>0.2850115741</v>
      </c>
      <c r="D718" s="50"/>
      <c r="E718" s="58"/>
      <c r="F718" s="58"/>
      <c r="G718" s="58" t="str">
        <f>IFERROR(__xludf.DUMMYFUNCTION("""COMPUTED_VALUE"""),"Null")</f>
        <v>Null</v>
      </c>
      <c r="H718" s="206" t="str">
        <f>IFERROR(__xludf.DUMMYFUNCTION("""COMPUTED_VALUE"""),"Negative")</f>
        <v>Negative</v>
      </c>
      <c r="I718" s="207">
        <f>IFERROR(__xludf.DUMMYFUNCTION("""COMPUTED_VALUE"""),44694.0)</f>
        <v>44694</v>
      </c>
      <c r="J718" s="208">
        <f>IFERROR(__xludf.DUMMYFUNCTION("""COMPUTED_VALUE"""),0.31719907407407405)</f>
        <v>0.3171990741</v>
      </c>
      <c r="K718" s="50">
        <f>IFERROR(__xludf.DUMMYFUNCTION("""COMPUTED_VALUE"""),2.0)</f>
        <v>2</v>
      </c>
      <c r="L718" s="6"/>
      <c r="M718" s="55"/>
      <c r="N718" s="55">
        <f>IFERROR(__xludf.DUMMYFUNCTION("""COMPUTED_VALUE"""),1.0)</f>
        <v>1</v>
      </c>
      <c r="O718" s="55" t="str">
        <f t="shared" si="3"/>
        <v/>
      </c>
      <c r="P718" s="209"/>
      <c r="Q718" s="75" t="b">
        <f>VLOOKUP($B718,'Run Reconcile'!B$2:P1679,15,FALSE)</f>
        <v>1</v>
      </c>
      <c r="R718" s="211" t="str">
        <f t="array" ref="R718">IF($Q718, INDEX('Run Reconcile'!A$2:A1679,MATCH(B718,'Run Reconcile'!B$2:B1679,0),1),IFERROR(0/0,""))</f>
        <v>RUN-COMB_2022-05-13_RFR-039</v>
      </c>
      <c r="S718" s="165" t="str">
        <f t="shared" ref="S718:T718" si="1435">IF(COUNTIF(W$2:W1679, $A718) &gt; 0,TRUE,IFERROR(0/0,""))</f>
        <v/>
      </c>
      <c r="T718" s="165" t="str">
        <f t="shared" si="1435"/>
        <v/>
      </c>
      <c r="U718" s="147" t="str">
        <f t="array" ref="U718">IF(ISBLANK($R718), IF($S718,VLOOKUP($B718+1,'RFR Data - preExcl'!$BF$2:$BG1679,2,FALSE),IF($T718,INDEX('RFR Data - preExcl'!$BF$2:$BG1679,MATCH($B718,'RFR Data - preExcl'!$BF$2:$BF1679,0)+1,2),VLOOKUP($B718,'RFR Data - preExcl'!$BF$2:$BG1679,2,FALSE))),IFERROR(0/0,""))</f>
        <v/>
      </c>
      <c r="V718" s="212" t="str">
        <f t="shared" si="5"/>
        <v>RUN-COMB_2022-05-13_RFR-039</v>
      </c>
      <c r="W718" s="51"/>
      <c r="X718" s="51"/>
      <c r="Y718" s="147" t="str">
        <f t="shared" ref="Y718:Z718" si="1436">IF(_xlfn.ISFORMULA(S718),IFERROR(0/0,""),TRUE)</f>
        <v/>
      </c>
      <c r="Z718" s="147" t="str">
        <f t="shared" si="1436"/>
        <v/>
      </c>
    </row>
    <row r="719">
      <c r="A719" s="6" t="str">
        <f>IFERROR(__xludf.DUMMYFUNCTION("""COMPUTED_VALUE"""),"FM2240")</f>
        <v>FM2240</v>
      </c>
      <c r="B719" s="206">
        <f>IFERROR(__xludf.DUMMYFUNCTION("""COMPUTED_VALUE"""),44694.0)</f>
        <v>44694</v>
      </c>
      <c r="C719" s="207">
        <f>IFERROR(__xludf.DUMMYFUNCTION("""COMPUTED_VALUE"""),0.28532407407407406)</f>
        <v>0.2853240741</v>
      </c>
      <c r="D719" s="50"/>
      <c r="E719" s="58"/>
      <c r="F719" s="58"/>
      <c r="G719" s="58" t="str">
        <f>IFERROR(__xludf.DUMMYFUNCTION("""COMPUTED_VALUE"""),"Null")</f>
        <v>Null</v>
      </c>
      <c r="H719" s="206" t="str">
        <f>IFERROR(__xludf.DUMMYFUNCTION("""COMPUTED_VALUE"""),"Negative")</f>
        <v>Negative</v>
      </c>
      <c r="I719" s="207">
        <f>IFERROR(__xludf.DUMMYFUNCTION("""COMPUTED_VALUE"""),44694.0)</f>
        <v>44694</v>
      </c>
      <c r="J719" s="208">
        <f>IFERROR(__xludf.DUMMYFUNCTION("""COMPUTED_VALUE"""),0.31721064814814814)</f>
        <v>0.3172106481</v>
      </c>
      <c r="K719" s="50">
        <f>IFERROR(__xludf.DUMMYFUNCTION("""COMPUTED_VALUE"""),2.0)</f>
        <v>2</v>
      </c>
      <c r="L719" s="6"/>
      <c r="M719" s="55"/>
      <c r="N719" s="55">
        <f>IFERROR(__xludf.DUMMYFUNCTION("""COMPUTED_VALUE"""),1.0)</f>
        <v>1</v>
      </c>
      <c r="O719" s="55" t="str">
        <f t="shared" si="3"/>
        <v/>
      </c>
      <c r="P719" s="209"/>
      <c r="Q719" s="75" t="b">
        <f>VLOOKUP($B719,'Run Reconcile'!B$2:P1679,15,FALSE)</f>
        <v>1</v>
      </c>
      <c r="R719" s="211" t="str">
        <f t="array" ref="R719">IF($Q719, INDEX('Run Reconcile'!A$2:A1679,MATCH(B719,'Run Reconcile'!B$2:B1679,0),1),IFERROR(0/0,""))</f>
        <v>RUN-COMB_2022-05-13_RFR-039</v>
      </c>
      <c r="S719" s="165" t="str">
        <f t="shared" ref="S719:T719" si="1437">IF(COUNTIF(W$2:W1679, $A719) &gt; 0,TRUE,IFERROR(0/0,""))</f>
        <v/>
      </c>
      <c r="T719" s="165" t="str">
        <f t="shared" si="1437"/>
        <v/>
      </c>
      <c r="U719" s="147" t="str">
        <f t="array" ref="U719">IF(ISBLANK($R719), IF($S719,VLOOKUP($B719+1,'RFR Data - preExcl'!$BF$2:$BG1679,2,FALSE),IF($T719,INDEX('RFR Data - preExcl'!$BF$2:$BG1679,MATCH($B719,'RFR Data - preExcl'!$BF$2:$BF1679,0)+1,2),VLOOKUP($B719,'RFR Data - preExcl'!$BF$2:$BG1679,2,FALSE))),IFERROR(0/0,""))</f>
        <v/>
      </c>
      <c r="V719" s="212" t="str">
        <f t="shared" si="5"/>
        <v>RUN-COMB_2022-05-13_RFR-039</v>
      </c>
      <c r="W719" s="51"/>
      <c r="X719" s="51"/>
      <c r="Y719" s="147" t="str">
        <f t="shared" ref="Y719:Z719" si="1438">IF(_xlfn.ISFORMULA(S719),IFERROR(0/0,""),TRUE)</f>
        <v/>
      </c>
      <c r="Z719" s="147" t="str">
        <f t="shared" si="1438"/>
        <v/>
      </c>
    </row>
    <row r="720">
      <c r="A720" s="6" t="str">
        <f>IFERROR(__xludf.DUMMYFUNCTION("""COMPUTED_VALUE"""),"FM2305")</f>
        <v>FM2305</v>
      </c>
      <c r="B720" s="206">
        <f>IFERROR(__xludf.DUMMYFUNCTION("""COMPUTED_VALUE"""),44694.0)</f>
        <v>44694</v>
      </c>
      <c r="C720" s="207">
        <f>IFERROR(__xludf.DUMMYFUNCTION("""COMPUTED_VALUE"""),0.2856134259259259)</f>
        <v>0.2856134259</v>
      </c>
      <c r="D720" s="50"/>
      <c r="E720" s="58"/>
      <c r="F720" s="58"/>
      <c r="G720" s="58" t="str">
        <f>IFERROR(__xludf.DUMMYFUNCTION("""COMPUTED_VALUE"""),"Null")</f>
        <v>Null</v>
      </c>
      <c r="H720" s="206" t="str">
        <f>IFERROR(__xludf.DUMMYFUNCTION("""COMPUTED_VALUE"""),"Negative")</f>
        <v>Negative</v>
      </c>
      <c r="I720" s="207">
        <f>IFERROR(__xludf.DUMMYFUNCTION("""COMPUTED_VALUE"""),44694.0)</f>
        <v>44694</v>
      </c>
      <c r="J720" s="208">
        <f>IFERROR(__xludf.DUMMYFUNCTION("""COMPUTED_VALUE"""),0.31721064814814814)</f>
        <v>0.3172106481</v>
      </c>
      <c r="K720" s="50">
        <f>IFERROR(__xludf.DUMMYFUNCTION("""COMPUTED_VALUE"""),2.0)</f>
        <v>2</v>
      </c>
      <c r="L720" s="6"/>
      <c r="M720" s="55"/>
      <c r="N720" s="55">
        <f>IFERROR(__xludf.DUMMYFUNCTION("""COMPUTED_VALUE"""),1.0)</f>
        <v>1</v>
      </c>
      <c r="O720" s="55" t="str">
        <f t="shared" si="3"/>
        <v/>
      </c>
      <c r="P720" s="209"/>
      <c r="Q720" s="75" t="b">
        <f>VLOOKUP($B720,'Run Reconcile'!B$2:P1679,15,FALSE)</f>
        <v>1</v>
      </c>
      <c r="R720" s="211" t="str">
        <f t="array" ref="R720">IF($Q720, INDEX('Run Reconcile'!A$2:A1679,MATCH(B720,'Run Reconcile'!B$2:B1679,0),1),IFERROR(0/0,""))</f>
        <v>RUN-COMB_2022-05-13_RFR-039</v>
      </c>
      <c r="S720" s="165" t="str">
        <f t="shared" ref="S720:T720" si="1439">IF(COUNTIF(W$2:W1679, $A720) &gt; 0,TRUE,IFERROR(0/0,""))</f>
        <v/>
      </c>
      <c r="T720" s="165" t="str">
        <f t="shared" si="1439"/>
        <v/>
      </c>
      <c r="U720" s="147" t="str">
        <f t="array" ref="U720">IF(ISBLANK($R720), IF($S720,VLOOKUP($B720+1,'RFR Data - preExcl'!$BF$2:$BG1679,2,FALSE),IF($T720,INDEX('RFR Data - preExcl'!$BF$2:$BG1679,MATCH($B720,'RFR Data - preExcl'!$BF$2:$BF1679,0)+1,2),VLOOKUP($B720,'RFR Data - preExcl'!$BF$2:$BG1679,2,FALSE))),IFERROR(0/0,""))</f>
        <v/>
      </c>
      <c r="V720" s="212" t="str">
        <f t="shared" si="5"/>
        <v>RUN-COMB_2022-05-13_RFR-039</v>
      </c>
      <c r="W720" s="51"/>
      <c r="X720" s="51"/>
      <c r="Y720" s="147" t="str">
        <f t="shared" ref="Y720:Z720" si="1440">IF(_xlfn.ISFORMULA(S720),IFERROR(0/0,""),TRUE)</f>
        <v/>
      </c>
      <c r="Z720" s="147" t="str">
        <f t="shared" si="1440"/>
        <v/>
      </c>
    </row>
    <row r="721">
      <c r="A721" s="6" t="str">
        <f>IFERROR(__xludf.DUMMYFUNCTION("""COMPUTED_VALUE"""),"FM2200")</f>
        <v>FM2200</v>
      </c>
      <c r="B721" s="206">
        <f>IFERROR(__xludf.DUMMYFUNCTION("""COMPUTED_VALUE"""),44694.0)</f>
        <v>44694</v>
      </c>
      <c r="C721" s="207">
        <f>IFERROR(__xludf.DUMMYFUNCTION("""COMPUTED_VALUE"""),0.2859375)</f>
        <v>0.2859375</v>
      </c>
      <c r="D721" s="50"/>
      <c r="E721" s="58"/>
      <c r="F721" s="58"/>
      <c r="G721" s="58" t="str">
        <f>IFERROR(__xludf.DUMMYFUNCTION("""COMPUTED_VALUE"""),"Null")</f>
        <v>Null</v>
      </c>
      <c r="H721" s="206" t="str">
        <f>IFERROR(__xludf.DUMMYFUNCTION("""COMPUTED_VALUE"""),"Negative")</f>
        <v>Negative</v>
      </c>
      <c r="I721" s="207">
        <f>IFERROR(__xludf.DUMMYFUNCTION("""COMPUTED_VALUE"""),44694.0)</f>
        <v>44694</v>
      </c>
      <c r="J721" s="208">
        <f>IFERROR(__xludf.DUMMYFUNCTION("""COMPUTED_VALUE"""),0.31722222222222224)</f>
        <v>0.3172222222</v>
      </c>
      <c r="K721" s="50">
        <f>IFERROR(__xludf.DUMMYFUNCTION("""COMPUTED_VALUE"""),2.0)</f>
        <v>2</v>
      </c>
      <c r="L721" s="6"/>
      <c r="M721" s="55"/>
      <c r="N721" s="55">
        <f>IFERROR(__xludf.DUMMYFUNCTION("""COMPUTED_VALUE"""),1.0)</f>
        <v>1</v>
      </c>
      <c r="O721" s="55" t="str">
        <f t="shared" si="3"/>
        <v/>
      </c>
      <c r="P721" s="209"/>
      <c r="Q721" s="75" t="b">
        <f>VLOOKUP($B721,'Run Reconcile'!B$2:P1679,15,FALSE)</f>
        <v>1</v>
      </c>
      <c r="R721" s="211" t="str">
        <f t="array" ref="R721">IF($Q721, INDEX('Run Reconcile'!A$2:A1679,MATCH(B721,'Run Reconcile'!B$2:B1679,0),1),IFERROR(0/0,""))</f>
        <v>RUN-COMB_2022-05-13_RFR-039</v>
      </c>
      <c r="S721" s="165" t="str">
        <f t="shared" ref="S721:T721" si="1441">IF(COUNTIF(W$2:W1679, $A721) &gt; 0,TRUE,IFERROR(0/0,""))</f>
        <v/>
      </c>
      <c r="T721" s="165" t="str">
        <f t="shared" si="1441"/>
        <v/>
      </c>
      <c r="U721" s="147" t="str">
        <f t="array" ref="U721">IF(ISBLANK($R721), IF($S721,VLOOKUP($B721+1,'RFR Data - preExcl'!$BF$2:$BG1679,2,FALSE),IF($T721,INDEX('RFR Data - preExcl'!$BF$2:$BG1679,MATCH($B721,'RFR Data - preExcl'!$BF$2:$BF1679,0)+1,2),VLOOKUP($B721,'RFR Data - preExcl'!$BF$2:$BG1679,2,FALSE))),IFERROR(0/0,""))</f>
        <v/>
      </c>
      <c r="V721" s="212" t="str">
        <f t="shared" si="5"/>
        <v>RUN-COMB_2022-05-13_RFR-039</v>
      </c>
      <c r="W721" s="51"/>
      <c r="X721" s="51"/>
      <c r="Y721" s="147" t="str">
        <f t="shared" ref="Y721:Z721" si="1442">IF(_xlfn.ISFORMULA(S721),IFERROR(0/0,""),TRUE)</f>
        <v/>
      </c>
      <c r="Z721" s="147" t="str">
        <f t="shared" si="1442"/>
        <v/>
      </c>
    </row>
    <row r="722">
      <c r="A722" s="6" t="str">
        <f>IFERROR(__xludf.DUMMYFUNCTION("""COMPUTED_VALUE"""),"FM2232")</f>
        <v>FM2232</v>
      </c>
      <c r="B722" s="206">
        <f>IFERROR(__xludf.DUMMYFUNCTION("""COMPUTED_VALUE"""),44697.0)</f>
        <v>44697</v>
      </c>
      <c r="C722" s="207">
        <f>IFERROR(__xludf.DUMMYFUNCTION("""COMPUTED_VALUE"""),0.6782986111111111)</f>
        <v>0.6782986111</v>
      </c>
      <c r="D722" s="50"/>
      <c r="E722" s="58"/>
      <c r="F722" s="58"/>
      <c r="G722" s="58" t="str">
        <f>IFERROR(__xludf.DUMMYFUNCTION("""COMPUTED_VALUE"""),"Null")</f>
        <v>Null</v>
      </c>
      <c r="H722" s="206" t="str">
        <f>IFERROR(__xludf.DUMMYFUNCTION("""COMPUTED_VALUE"""),"Negative")</f>
        <v>Negative</v>
      </c>
      <c r="I722" s="207">
        <f>IFERROR(__xludf.DUMMYFUNCTION("""COMPUTED_VALUE"""),44697.0)</f>
        <v>44697</v>
      </c>
      <c r="J722" s="208">
        <f>IFERROR(__xludf.DUMMYFUNCTION("""COMPUTED_VALUE"""),0.7952546296296297)</f>
        <v>0.7952546296</v>
      </c>
      <c r="K722" s="50">
        <f>IFERROR(__xludf.DUMMYFUNCTION("""COMPUTED_VALUE"""),2.0)</f>
        <v>2</v>
      </c>
      <c r="L722" s="6"/>
      <c r="M722" s="55"/>
      <c r="N722" s="55">
        <f>IFERROR(__xludf.DUMMYFUNCTION("""COMPUTED_VALUE"""),1.0)</f>
        <v>1</v>
      </c>
      <c r="O722" s="55" t="b">
        <f t="shared" si="3"/>
        <v>1</v>
      </c>
      <c r="P722" s="209"/>
      <c r="Q722" s="75" t="b">
        <f>VLOOKUP($B722,'Run Reconcile'!B$2:P1679,15,FALSE)</f>
        <v>1</v>
      </c>
      <c r="R722" s="211" t="str">
        <f t="array" ref="R722">IF($Q722, INDEX('Run Reconcile'!A$2:A1679,MATCH(B722,'Run Reconcile'!B$2:B1679,0),1),IFERROR(0/0,""))</f>
        <v>RUN-COMB_2022-05-16_RFR-040</v>
      </c>
      <c r="S722" s="165" t="str">
        <f t="shared" ref="S722:T722" si="1443">IF(COUNTIF(W$2:W1679, $A722) &gt; 0,TRUE,IFERROR(0/0,""))</f>
        <v/>
      </c>
      <c r="T722" s="165" t="str">
        <f t="shared" si="1443"/>
        <v/>
      </c>
      <c r="U722" s="147" t="str">
        <f t="array" ref="U722">IF(ISBLANK($R722), IF($S722,VLOOKUP($B722+1,'RFR Data - preExcl'!$BF$2:$BG1679,2,FALSE),IF($T722,INDEX('RFR Data - preExcl'!$BF$2:$BG1679,MATCH($B722,'RFR Data - preExcl'!$BF$2:$BF1679,0)+1,2),VLOOKUP($B722,'RFR Data - preExcl'!$BF$2:$BG1679,2,FALSE))),IFERROR(0/0,""))</f>
        <v/>
      </c>
      <c r="V722" s="212" t="str">
        <f t="shared" si="5"/>
        <v>RUN-COMB_2022-05-16_RFR-040</v>
      </c>
      <c r="W722" s="51"/>
      <c r="X722" s="51"/>
      <c r="Y722" s="147" t="str">
        <f t="shared" ref="Y722:Z722" si="1444">IF(_xlfn.ISFORMULA(S722),IFERROR(0/0,""),TRUE)</f>
        <v/>
      </c>
      <c r="Z722" s="147" t="str">
        <f t="shared" si="1444"/>
        <v/>
      </c>
    </row>
    <row r="723">
      <c r="A723" s="6" t="str">
        <f>IFERROR(__xludf.DUMMYFUNCTION("""COMPUTED_VALUE"""),"FM2204")</f>
        <v>FM2204</v>
      </c>
      <c r="B723" s="206">
        <f>IFERROR(__xludf.DUMMYFUNCTION("""COMPUTED_VALUE"""),44697.0)</f>
        <v>44697</v>
      </c>
      <c r="C723" s="207">
        <f>IFERROR(__xludf.DUMMYFUNCTION("""COMPUTED_VALUE"""),0.6791203703703703)</f>
        <v>0.6791203704</v>
      </c>
      <c r="D723" s="50"/>
      <c r="E723" s="58"/>
      <c r="F723" s="58"/>
      <c r="G723" s="58" t="str">
        <f>IFERROR(__xludf.DUMMYFUNCTION("""COMPUTED_VALUE"""),"Null")</f>
        <v>Null</v>
      </c>
      <c r="H723" s="206" t="str">
        <f>IFERROR(__xludf.DUMMYFUNCTION("""COMPUTED_VALUE"""),"Negative")</f>
        <v>Negative</v>
      </c>
      <c r="I723" s="207">
        <f>IFERROR(__xludf.DUMMYFUNCTION("""COMPUTED_VALUE"""),44697.0)</f>
        <v>44697</v>
      </c>
      <c r="J723" s="208">
        <f>IFERROR(__xludf.DUMMYFUNCTION("""COMPUTED_VALUE"""),0.7952777777777778)</f>
        <v>0.7952777778</v>
      </c>
      <c r="K723" s="50">
        <f>IFERROR(__xludf.DUMMYFUNCTION("""COMPUTED_VALUE"""),2.0)</f>
        <v>2</v>
      </c>
      <c r="L723" s="6"/>
      <c r="M723" s="55"/>
      <c r="N723" s="55">
        <f>IFERROR(__xludf.DUMMYFUNCTION("""COMPUTED_VALUE"""),1.0)</f>
        <v>1</v>
      </c>
      <c r="O723" s="55" t="str">
        <f t="shared" si="3"/>
        <v/>
      </c>
      <c r="P723" s="209"/>
      <c r="Q723" s="75" t="b">
        <f>VLOOKUP($B723,'Run Reconcile'!B$2:P1679,15,FALSE)</f>
        <v>1</v>
      </c>
      <c r="R723" s="211" t="str">
        <f t="array" ref="R723">IF($Q723, INDEX('Run Reconcile'!A$2:A1679,MATCH(B723,'Run Reconcile'!B$2:B1679,0),1),IFERROR(0/0,""))</f>
        <v>RUN-COMB_2022-05-16_RFR-040</v>
      </c>
      <c r="S723" s="165" t="str">
        <f t="shared" ref="S723:T723" si="1445">IF(COUNTIF(W$2:W1679, $A723) &gt; 0,TRUE,IFERROR(0/0,""))</f>
        <v/>
      </c>
      <c r="T723" s="165" t="str">
        <f t="shared" si="1445"/>
        <v/>
      </c>
      <c r="U723" s="147" t="str">
        <f t="array" ref="U723">IF(ISBLANK($R723), IF($S723,VLOOKUP($B723+1,'RFR Data - preExcl'!$BF$2:$BG1679,2,FALSE),IF($T723,INDEX('RFR Data - preExcl'!$BF$2:$BG1679,MATCH($B723,'RFR Data - preExcl'!$BF$2:$BF1679,0)+1,2),VLOOKUP($B723,'RFR Data - preExcl'!$BF$2:$BG1679,2,FALSE))),IFERROR(0/0,""))</f>
        <v/>
      </c>
      <c r="V723" s="212" t="str">
        <f t="shared" si="5"/>
        <v>RUN-COMB_2022-05-16_RFR-040</v>
      </c>
      <c r="W723" s="51"/>
      <c r="X723" s="51"/>
      <c r="Y723" s="147" t="str">
        <f t="shared" ref="Y723:Z723" si="1446">IF(_xlfn.ISFORMULA(S723),IFERROR(0/0,""),TRUE)</f>
        <v/>
      </c>
      <c r="Z723" s="147" t="str">
        <f t="shared" si="1446"/>
        <v/>
      </c>
    </row>
    <row r="724">
      <c r="A724" s="6" t="str">
        <f>IFERROR(__xludf.DUMMYFUNCTION("""COMPUTED_VALUE"""),"FM2317")</f>
        <v>FM2317</v>
      </c>
      <c r="B724" s="206">
        <f>IFERROR(__xludf.DUMMYFUNCTION("""COMPUTED_VALUE"""),44697.0)</f>
        <v>44697</v>
      </c>
      <c r="C724" s="207">
        <f>IFERROR(__xludf.DUMMYFUNCTION("""COMPUTED_VALUE"""),0.6794675925925926)</f>
        <v>0.6794675926</v>
      </c>
      <c r="D724" s="50"/>
      <c r="E724" s="58"/>
      <c r="F724" s="58"/>
      <c r="G724" s="58" t="str">
        <f>IFERROR(__xludf.DUMMYFUNCTION("""COMPUTED_VALUE"""),"Null")</f>
        <v>Null</v>
      </c>
      <c r="H724" s="206" t="str">
        <f>IFERROR(__xludf.DUMMYFUNCTION("""COMPUTED_VALUE"""),"Negative")</f>
        <v>Negative</v>
      </c>
      <c r="I724" s="207">
        <f>IFERROR(__xludf.DUMMYFUNCTION("""COMPUTED_VALUE"""),44697.0)</f>
        <v>44697</v>
      </c>
      <c r="J724" s="208">
        <f>IFERROR(__xludf.DUMMYFUNCTION("""COMPUTED_VALUE"""),0.7952893518518519)</f>
        <v>0.7952893519</v>
      </c>
      <c r="K724" s="50">
        <f>IFERROR(__xludf.DUMMYFUNCTION("""COMPUTED_VALUE"""),2.0)</f>
        <v>2</v>
      </c>
      <c r="L724" s="6"/>
      <c r="M724" s="55"/>
      <c r="N724" s="55">
        <f>IFERROR(__xludf.DUMMYFUNCTION("""COMPUTED_VALUE"""),1.0)</f>
        <v>1</v>
      </c>
      <c r="O724" s="55" t="str">
        <f t="shared" si="3"/>
        <v/>
      </c>
      <c r="P724" s="209"/>
      <c r="Q724" s="75" t="b">
        <f>VLOOKUP($B724,'Run Reconcile'!B$2:P1679,15,FALSE)</f>
        <v>1</v>
      </c>
      <c r="R724" s="211" t="str">
        <f t="array" ref="R724">IF($Q724, INDEX('Run Reconcile'!A$2:A1679,MATCH(B724,'Run Reconcile'!B$2:B1679,0),1),IFERROR(0/0,""))</f>
        <v>RUN-COMB_2022-05-16_RFR-040</v>
      </c>
      <c r="S724" s="165" t="str">
        <f t="shared" ref="S724:T724" si="1447">IF(COUNTIF(W$2:W1679, $A724) &gt; 0,TRUE,IFERROR(0/0,""))</f>
        <v/>
      </c>
      <c r="T724" s="165" t="str">
        <f t="shared" si="1447"/>
        <v/>
      </c>
      <c r="U724" s="147" t="str">
        <f t="array" ref="U724">IF(ISBLANK($R724), IF($S724,VLOOKUP($B724+1,'RFR Data - preExcl'!$BF$2:$BG1679,2,FALSE),IF($T724,INDEX('RFR Data - preExcl'!$BF$2:$BG1679,MATCH($B724,'RFR Data - preExcl'!$BF$2:$BF1679,0)+1,2),VLOOKUP($B724,'RFR Data - preExcl'!$BF$2:$BG1679,2,FALSE))),IFERROR(0/0,""))</f>
        <v/>
      </c>
      <c r="V724" s="212" t="str">
        <f t="shared" si="5"/>
        <v>RUN-COMB_2022-05-16_RFR-040</v>
      </c>
      <c r="W724" s="51"/>
      <c r="X724" s="51"/>
      <c r="Y724" s="147" t="str">
        <f t="shared" ref="Y724:Z724" si="1448">IF(_xlfn.ISFORMULA(S724),IFERROR(0/0,""),TRUE)</f>
        <v/>
      </c>
      <c r="Z724" s="147" t="str">
        <f t="shared" si="1448"/>
        <v/>
      </c>
    </row>
    <row r="725">
      <c r="A725" s="6" t="str">
        <f>IFERROR(__xludf.DUMMYFUNCTION("""COMPUTED_VALUE"""),"FM2256")</f>
        <v>FM2256</v>
      </c>
      <c r="B725" s="206">
        <f>IFERROR(__xludf.DUMMYFUNCTION("""COMPUTED_VALUE"""),44697.0)</f>
        <v>44697</v>
      </c>
      <c r="C725" s="207">
        <f>IFERROR(__xludf.DUMMYFUNCTION("""COMPUTED_VALUE"""),0.6798032407407407)</f>
        <v>0.6798032407</v>
      </c>
      <c r="D725" s="50"/>
      <c r="E725" s="58"/>
      <c r="F725" s="58"/>
      <c r="G725" s="58" t="str">
        <f>IFERROR(__xludf.DUMMYFUNCTION("""COMPUTED_VALUE"""),"Null")</f>
        <v>Null</v>
      </c>
      <c r="H725" s="206" t="str">
        <f>IFERROR(__xludf.DUMMYFUNCTION("""COMPUTED_VALUE"""),"Negative")</f>
        <v>Negative</v>
      </c>
      <c r="I725" s="207">
        <f>IFERROR(__xludf.DUMMYFUNCTION("""COMPUTED_VALUE"""),44697.0)</f>
        <v>44697</v>
      </c>
      <c r="J725" s="208">
        <f>IFERROR(__xludf.DUMMYFUNCTION("""COMPUTED_VALUE"""),0.7953009259259259)</f>
        <v>0.7953009259</v>
      </c>
      <c r="K725" s="50">
        <f>IFERROR(__xludf.DUMMYFUNCTION("""COMPUTED_VALUE"""),2.0)</f>
        <v>2</v>
      </c>
      <c r="L725" s="6"/>
      <c r="M725" s="55"/>
      <c r="N725" s="55">
        <f>IFERROR(__xludf.DUMMYFUNCTION("""COMPUTED_VALUE"""),1.0)</f>
        <v>1</v>
      </c>
      <c r="O725" s="55" t="str">
        <f t="shared" si="3"/>
        <v/>
      </c>
      <c r="P725" s="209"/>
      <c r="Q725" s="75" t="b">
        <f>VLOOKUP($B725,'Run Reconcile'!B$2:P1679,15,FALSE)</f>
        <v>1</v>
      </c>
      <c r="R725" s="211" t="str">
        <f t="array" ref="R725">IF($Q725, INDEX('Run Reconcile'!A$2:A1679,MATCH(B725,'Run Reconcile'!B$2:B1679,0),1),IFERROR(0/0,""))</f>
        <v>RUN-COMB_2022-05-16_RFR-040</v>
      </c>
      <c r="S725" s="165" t="str">
        <f t="shared" ref="S725:T725" si="1449">IF(COUNTIF(W$2:W1679, $A725) &gt; 0,TRUE,IFERROR(0/0,""))</f>
        <v/>
      </c>
      <c r="T725" s="165" t="str">
        <f t="shared" si="1449"/>
        <v/>
      </c>
      <c r="U725" s="147" t="str">
        <f t="array" ref="U725">IF(ISBLANK($R725), IF($S725,VLOOKUP($B725+1,'RFR Data - preExcl'!$BF$2:$BG1679,2,FALSE),IF($T725,INDEX('RFR Data - preExcl'!$BF$2:$BG1679,MATCH($B725,'RFR Data - preExcl'!$BF$2:$BF1679,0)+1,2),VLOOKUP($B725,'RFR Data - preExcl'!$BF$2:$BG1679,2,FALSE))),IFERROR(0/0,""))</f>
        <v/>
      </c>
      <c r="V725" s="212" t="str">
        <f t="shared" si="5"/>
        <v>RUN-COMB_2022-05-16_RFR-040</v>
      </c>
      <c r="W725" s="51"/>
      <c r="X725" s="51"/>
      <c r="Y725" s="147" t="str">
        <f t="shared" ref="Y725:Z725" si="1450">IF(_xlfn.ISFORMULA(S725),IFERROR(0/0,""),TRUE)</f>
        <v/>
      </c>
      <c r="Z725" s="147" t="str">
        <f t="shared" si="1450"/>
        <v/>
      </c>
    </row>
    <row r="726">
      <c r="A726" s="6" t="str">
        <f>IFERROR(__xludf.DUMMYFUNCTION("""COMPUTED_VALUE"""),"FM2263")</f>
        <v>FM2263</v>
      </c>
      <c r="B726" s="206">
        <f>IFERROR(__xludf.DUMMYFUNCTION("""COMPUTED_VALUE"""),44697.0)</f>
        <v>44697</v>
      </c>
      <c r="C726" s="207">
        <f>IFERROR(__xludf.DUMMYFUNCTION("""COMPUTED_VALUE"""),0.6841203703703703)</f>
        <v>0.6841203704</v>
      </c>
      <c r="D726" s="50"/>
      <c r="E726" s="58"/>
      <c r="F726" s="58"/>
      <c r="G726" s="58" t="str">
        <f>IFERROR(__xludf.DUMMYFUNCTION("""COMPUTED_VALUE"""),"Null")</f>
        <v>Null</v>
      </c>
      <c r="H726" s="206" t="str">
        <f>IFERROR(__xludf.DUMMYFUNCTION("""COMPUTED_VALUE"""),"Negative")</f>
        <v>Negative</v>
      </c>
      <c r="I726" s="207">
        <f>IFERROR(__xludf.DUMMYFUNCTION("""COMPUTED_VALUE"""),44697.0)</f>
        <v>44697</v>
      </c>
      <c r="J726" s="208">
        <f>IFERROR(__xludf.DUMMYFUNCTION("""COMPUTED_VALUE"""),0.7953240740740741)</f>
        <v>0.7953240741</v>
      </c>
      <c r="K726" s="50">
        <f>IFERROR(__xludf.DUMMYFUNCTION("""COMPUTED_VALUE"""),2.0)</f>
        <v>2</v>
      </c>
      <c r="L726" s="6"/>
      <c r="M726" s="55"/>
      <c r="N726" s="55">
        <f>IFERROR(__xludf.DUMMYFUNCTION("""COMPUTED_VALUE"""),1.0)</f>
        <v>1</v>
      </c>
      <c r="O726" s="55" t="str">
        <f t="shared" si="3"/>
        <v/>
      </c>
      <c r="P726" s="209"/>
      <c r="Q726" s="75" t="b">
        <f>VLOOKUP($B726,'Run Reconcile'!B$2:P1679,15,FALSE)</f>
        <v>1</v>
      </c>
      <c r="R726" s="211" t="str">
        <f t="array" ref="R726">IF($Q726, INDEX('Run Reconcile'!A$2:A1679,MATCH(B726,'Run Reconcile'!B$2:B1679,0),1),IFERROR(0/0,""))</f>
        <v>RUN-COMB_2022-05-16_RFR-040</v>
      </c>
      <c r="S726" s="165" t="str">
        <f t="shared" ref="S726:T726" si="1451">IF(COUNTIF(W$2:W1679, $A726) &gt; 0,TRUE,IFERROR(0/0,""))</f>
        <v/>
      </c>
      <c r="T726" s="165" t="str">
        <f t="shared" si="1451"/>
        <v/>
      </c>
      <c r="U726" s="147" t="str">
        <f t="array" ref="U726">IF(ISBLANK($R726), IF($S726,VLOOKUP($B726+1,'RFR Data - preExcl'!$BF$2:$BG1679,2,FALSE),IF($T726,INDEX('RFR Data - preExcl'!$BF$2:$BG1679,MATCH($B726,'RFR Data - preExcl'!$BF$2:$BF1679,0)+1,2),VLOOKUP($B726,'RFR Data - preExcl'!$BF$2:$BG1679,2,FALSE))),IFERROR(0/0,""))</f>
        <v/>
      </c>
      <c r="V726" s="212" t="str">
        <f t="shared" si="5"/>
        <v>RUN-COMB_2022-05-16_RFR-040</v>
      </c>
      <c r="W726" s="51"/>
      <c r="X726" s="51"/>
      <c r="Y726" s="147" t="str">
        <f t="shared" ref="Y726:Z726" si="1452">IF(_xlfn.ISFORMULA(S726),IFERROR(0/0,""),TRUE)</f>
        <v/>
      </c>
      <c r="Z726" s="147" t="str">
        <f t="shared" si="1452"/>
        <v/>
      </c>
    </row>
    <row r="727">
      <c r="A727" s="6" t="str">
        <f>IFERROR(__xludf.DUMMYFUNCTION("""COMPUTED_VALUE"""),"FM2251")</f>
        <v>FM2251</v>
      </c>
      <c r="B727" s="206">
        <f>IFERROR(__xludf.DUMMYFUNCTION("""COMPUTED_VALUE"""),44697.0)</f>
        <v>44697</v>
      </c>
      <c r="C727" s="207">
        <f>IFERROR(__xludf.DUMMYFUNCTION("""COMPUTED_VALUE"""),0.6845717592592593)</f>
        <v>0.6845717593</v>
      </c>
      <c r="D727" s="50"/>
      <c r="E727" s="58"/>
      <c r="F727" s="58"/>
      <c r="G727" s="58" t="str">
        <f>IFERROR(__xludf.DUMMYFUNCTION("""COMPUTED_VALUE"""),"Null")</f>
        <v>Null</v>
      </c>
      <c r="H727" s="206" t="str">
        <f>IFERROR(__xludf.DUMMYFUNCTION("""COMPUTED_VALUE"""),"Negative")</f>
        <v>Negative</v>
      </c>
      <c r="I727" s="207">
        <f>IFERROR(__xludf.DUMMYFUNCTION("""COMPUTED_VALUE"""),44697.0)</f>
        <v>44697</v>
      </c>
      <c r="J727" s="208">
        <f>IFERROR(__xludf.DUMMYFUNCTION("""COMPUTED_VALUE"""),0.7953356481481482)</f>
        <v>0.7953356481</v>
      </c>
      <c r="K727" s="50">
        <f>IFERROR(__xludf.DUMMYFUNCTION("""COMPUTED_VALUE"""),2.0)</f>
        <v>2</v>
      </c>
      <c r="L727" s="6"/>
      <c r="M727" s="55"/>
      <c r="N727" s="55">
        <f>IFERROR(__xludf.DUMMYFUNCTION("""COMPUTED_VALUE"""),1.0)</f>
        <v>1</v>
      </c>
      <c r="O727" s="55" t="str">
        <f t="shared" si="3"/>
        <v/>
      </c>
      <c r="P727" s="209"/>
      <c r="Q727" s="75" t="b">
        <f>VLOOKUP($B727,'Run Reconcile'!B$2:P1679,15,FALSE)</f>
        <v>1</v>
      </c>
      <c r="R727" s="211" t="str">
        <f t="array" ref="R727">IF($Q727, INDEX('Run Reconcile'!A$2:A1679,MATCH(B727,'Run Reconcile'!B$2:B1679,0),1),IFERROR(0/0,""))</f>
        <v>RUN-COMB_2022-05-16_RFR-040</v>
      </c>
      <c r="S727" s="165" t="str">
        <f t="shared" ref="S727:T727" si="1453">IF(COUNTIF(W$2:W1679, $A727) &gt; 0,TRUE,IFERROR(0/0,""))</f>
        <v/>
      </c>
      <c r="T727" s="165" t="str">
        <f t="shared" si="1453"/>
        <v/>
      </c>
      <c r="U727" s="147" t="str">
        <f t="array" ref="U727">IF(ISBLANK($R727), IF($S727,VLOOKUP($B727+1,'RFR Data - preExcl'!$BF$2:$BG1679,2,FALSE),IF($T727,INDEX('RFR Data - preExcl'!$BF$2:$BG1679,MATCH($B727,'RFR Data - preExcl'!$BF$2:$BF1679,0)+1,2),VLOOKUP($B727,'RFR Data - preExcl'!$BF$2:$BG1679,2,FALSE))),IFERROR(0/0,""))</f>
        <v/>
      </c>
      <c r="V727" s="212" t="str">
        <f t="shared" si="5"/>
        <v>RUN-COMB_2022-05-16_RFR-040</v>
      </c>
      <c r="W727" s="51"/>
      <c r="X727" s="51"/>
      <c r="Y727" s="147" t="str">
        <f t="shared" ref="Y727:Z727" si="1454">IF(_xlfn.ISFORMULA(S727),IFERROR(0/0,""),TRUE)</f>
        <v/>
      </c>
      <c r="Z727" s="147" t="str">
        <f t="shared" si="1454"/>
        <v/>
      </c>
    </row>
    <row r="728">
      <c r="A728" s="6" t="str">
        <f>IFERROR(__xludf.DUMMYFUNCTION("""COMPUTED_VALUE"""),"FM2261")</f>
        <v>FM2261</v>
      </c>
      <c r="B728" s="206">
        <f>IFERROR(__xludf.DUMMYFUNCTION("""COMPUTED_VALUE"""),44697.0)</f>
        <v>44697</v>
      </c>
      <c r="C728" s="207">
        <f>IFERROR(__xludf.DUMMYFUNCTION("""COMPUTED_VALUE"""),0.6849652777777778)</f>
        <v>0.6849652778</v>
      </c>
      <c r="D728" s="50"/>
      <c r="E728" s="58"/>
      <c r="F728" s="58"/>
      <c r="G728" s="58" t="str">
        <f>IFERROR(__xludf.DUMMYFUNCTION("""COMPUTED_VALUE"""),"Null")</f>
        <v>Null</v>
      </c>
      <c r="H728" s="206" t="str">
        <f>IFERROR(__xludf.DUMMYFUNCTION("""COMPUTED_VALUE"""),"Negative")</f>
        <v>Negative</v>
      </c>
      <c r="I728" s="207">
        <f>IFERROR(__xludf.DUMMYFUNCTION("""COMPUTED_VALUE"""),44697.0)</f>
        <v>44697</v>
      </c>
      <c r="J728" s="208">
        <f>IFERROR(__xludf.DUMMYFUNCTION("""COMPUTED_VALUE"""),0.7953472222222222)</f>
        <v>0.7953472222</v>
      </c>
      <c r="K728" s="50">
        <f>IFERROR(__xludf.DUMMYFUNCTION("""COMPUTED_VALUE"""),2.0)</f>
        <v>2</v>
      </c>
      <c r="L728" s="6"/>
      <c r="M728" s="55"/>
      <c r="N728" s="55">
        <f>IFERROR(__xludf.DUMMYFUNCTION("""COMPUTED_VALUE"""),1.0)</f>
        <v>1</v>
      </c>
      <c r="O728" s="55" t="str">
        <f t="shared" si="3"/>
        <v/>
      </c>
      <c r="P728" s="209"/>
      <c r="Q728" s="75" t="b">
        <f>VLOOKUP($B728,'Run Reconcile'!B$2:P1679,15,FALSE)</f>
        <v>1</v>
      </c>
      <c r="R728" s="211" t="str">
        <f t="array" ref="R728">IF($Q728, INDEX('Run Reconcile'!A$2:A1679,MATCH(B728,'Run Reconcile'!B$2:B1679,0),1),IFERROR(0/0,""))</f>
        <v>RUN-COMB_2022-05-16_RFR-040</v>
      </c>
      <c r="S728" s="165" t="str">
        <f t="shared" ref="S728:T728" si="1455">IF(COUNTIF(W$2:W1679, $A728) &gt; 0,TRUE,IFERROR(0/0,""))</f>
        <v/>
      </c>
      <c r="T728" s="165" t="str">
        <f t="shared" si="1455"/>
        <v/>
      </c>
      <c r="U728" s="147" t="str">
        <f t="array" ref="U728">IF(ISBLANK($R728), IF($S728,VLOOKUP($B728+1,'RFR Data - preExcl'!$BF$2:$BG1679,2,FALSE),IF($T728,INDEX('RFR Data - preExcl'!$BF$2:$BG1679,MATCH($B728,'RFR Data - preExcl'!$BF$2:$BF1679,0)+1,2),VLOOKUP($B728,'RFR Data - preExcl'!$BF$2:$BG1679,2,FALSE))),IFERROR(0/0,""))</f>
        <v/>
      </c>
      <c r="V728" s="212" t="str">
        <f t="shared" si="5"/>
        <v>RUN-COMB_2022-05-16_RFR-040</v>
      </c>
      <c r="W728" s="51"/>
      <c r="X728" s="51"/>
      <c r="Y728" s="147" t="str">
        <f t="shared" ref="Y728:Z728" si="1456">IF(_xlfn.ISFORMULA(S728),IFERROR(0/0,""),TRUE)</f>
        <v/>
      </c>
      <c r="Z728" s="147" t="str">
        <f t="shared" si="1456"/>
        <v/>
      </c>
    </row>
    <row r="729">
      <c r="A729" s="6" t="str">
        <f>IFERROR(__xludf.DUMMYFUNCTION("""COMPUTED_VALUE"""),"FM2252")</f>
        <v>FM2252</v>
      </c>
      <c r="B729" s="206">
        <f>IFERROR(__xludf.DUMMYFUNCTION("""COMPUTED_VALUE"""),44697.0)</f>
        <v>44697</v>
      </c>
      <c r="C729" s="207">
        <f>IFERROR(__xludf.DUMMYFUNCTION("""COMPUTED_VALUE"""),0.6853356481481482)</f>
        <v>0.6853356481</v>
      </c>
      <c r="D729" s="50"/>
      <c r="E729" s="58"/>
      <c r="F729" s="58"/>
      <c r="G729" s="58" t="str">
        <f>IFERROR(__xludf.DUMMYFUNCTION("""COMPUTED_VALUE"""),"Null")</f>
        <v>Null</v>
      </c>
      <c r="H729" s="206" t="str">
        <f>IFERROR(__xludf.DUMMYFUNCTION("""COMPUTED_VALUE"""),"Negative")</f>
        <v>Negative</v>
      </c>
      <c r="I729" s="207">
        <f>IFERROR(__xludf.DUMMYFUNCTION("""COMPUTED_VALUE"""),44697.0)</f>
        <v>44697</v>
      </c>
      <c r="J729" s="208">
        <f>IFERROR(__xludf.DUMMYFUNCTION("""COMPUTED_VALUE"""),0.7953703703703704)</f>
        <v>0.7953703704</v>
      </c>
      <c r="K729" s="50">
        <f>IFERROR(__xludf.DUMMYFUNCTION("""COMPUTED_VALUE"""),2.0)</f>
        <v>2</v>
      </c>
      <c r="L729" s="6"/>
      <c r="M729" s="55"/>
      <c r="N729" s="55">
        <f>IFERROR(__xludf.DUMMYFUNCTION("""COMPUTED_VALUE"""),1.0)</f>
        <v>1</v>
      </c>
      <c r="O729" s="55" t="str">
        <f t="shared" si="3"/>
        <v/>
      </c>
      <c r="P729" s="209"/>
      <c r="Q729" s="75" t="b">
        <f>VLOOKUP($B729,'Run Reconcile'!B$2:P1679,15,FALSE)</f>
        <v>1</v>
      </c>
      <c r="R729" s="211" t="str">
        <f t="array" ref="R729">IF($Q729, INDEX('Run Reconcile'!A$2:A1679,MATCH(B729,'Run Reconcile'!B$2:B1679,0),1),IFERROR(0/0,""))</f>
        <v>RUN-COMB_2022-05-16_RFR-040</v>
      </c>
      <c r="S729" s="165" t="str">
        <f t="shared" ref="S729:T729" si="1457">IF(COUNTIF(W$2:W1679, $A729) &gt; 0,TRUE,IFERROR(0/0,""))</f>
        <v/>
      </c>
      <c r="T729" s="165" t="str">
        <f t="shared" si="1457"/>
        <v/>
      </c>
      <c r="U729" s="147" t="str">
        <f t="array" ref="U729">IF(ISBLANK($R729), IF($S729,VLOOKUP($B729+1,'RFR Data - preExcl'!$BF$2:$BG1679,2,FALSE),IF($T729,INDEX('RFR Data - preExcl'!$BF$2:$BG1679,MATCH($B729,'RFR Data - preExcl'!$BF$2:$BF1679,0)+1,2),VLOOKUP($B729,'RFR Data - preExcl'!$BF$2:$BG1679,2,FALSE))),IFERROR(0/0,""))</f>
        <v/>
      </c>
      <c r="V729" s="212" t="str">
        <f t="shared" si="5"/>
        <v>RUN-COMB_2022-05-16_RFR-040</v>
      </c>
      <c r="W729" s="51"/>
      <c r="X729" s="51"/>
      <c r="Y729" s="147" t="str">
        <f t="shared" ref="Y729:Z729" si="1458">IF(_xlfn.ISFORMULA(S729),IFERROR(0/0,""),TRUE)</f>
        <v/>
      </c>
      <c r="Z729" s="147" t="str">
        <f t="shared" si="1458"/>
        <v/>
      </c>
    </row>
    <row r="730">
      <c r="A730" s="6" t="str">
        <f>IFERROR(__xludf.DUMMYFUNCTION("""COMPUTED_VALUE"""),"FM2235")</f>
        <v>FM2235</v>
      </c>
      <c r="B730" s="206">
        <f>IFERROR(__xludf.DUMMYFUNCTION("""COMPUTED_VALUE"""),44697.0)</f>
        <v>44697</v>
      </c>
      <c r="C730" s="207">
        <f>IFERROR(__xludf.DUMMYFUNCTION("""COMPUTED_VALUE"""),0.6859606481481482)</f>
        <v>0.6859606481</v>
      </c>
      <c r="D730" s="50"/>
      <c r="E730" s="58"/>
      <c r="F730" s="58"/>
      <c r="G730" s="58" t="str">
        <f>IFERROR(__xludf.DUMMYFUNCTION("""COMPUTED_VALUE"""),"Null")</f>
        <v>Null</v>
      </c>
      <c r="H730" s="206" t="str">
        <f>IFERROR(__xludf.DUMMYFUNCTION("""COMPUTED_VALUE"""),"Negative")</f>
        <v>Negative</v>
      </c>
      <c r="I730" s="207">
        <f>IFERROR(__xludf.DUMMYFUNCTION("""COMPUTED_VALUE"""),44697.0)</f>
        <v>44697</v>
      </c>
      <c r="J730" s="208">
        <f>IFERROR(__xludf.DUMMYFUNCTION("""COMPUTED_VALUE"""),0.7953935185185185)</f>
        <v>0.7953935185</v>
      </c>
      <c r="K730" s="50">
        <f>IFERROR(__xludf.DUMMYFUNCTION("""COMPUTED_VALUE"""),2.0)</f>
        <v>2</v>
      </c>
      <c r="L730" s="6"/>
      <c r="M730" s="55"/>
      <c r="N730" s="55">
        <f>IFERROR(__xludf.DUMMYFUNCTION("""COMPUTED_VALUE"""),1.0)</f>
        <v>1</v>
      </c>
      <c r="O730" s="55" t="str">
        <f t="shared" si="3"/>
        <v/>
      </c>
      <c r="P730" s="209"/>
      <c r="Q730" s="75" t="b">
        <f>VLOOKUP($B730,'Run Reconcile'!B$2:P1679,15,FALSE)</f>
        <v>1</v>
      </c>
      <c r="R730" s="211" t="str">
        <f t="array" ref="R730">IF($Q730, INDEX('Run Reconcile'!A$2:A1679,MATCH(B730,'Run Reconcile'!B$2:B1679,0),1),IFERROR(0/0,""))</f>
        <v>RUN-COMB_2022-05-16_RFR-040</v>
      </c>
      <c r="S730" s="165" t="str">
        <f t="shared" ref="S730:T730" si="1459">IF(COUNTIF(W$2:W1679, $A730) &gt; 0,TRUE,IFERROR(0/0,""))</f>
        <v/>
      </c>
      <c r="T730" s="165" t="str">
        <f t="shared" si="1459"/>
        <v/>
      </c>
      <c r="U730" s="147" t="str">
        <f t="array" ref="U730">IF(ISBLANK($R730), IF($S730,VLOOKUP($B730+1,'RFR Data - preExcl'!$BF$2:$BG1679,2,FALSE),IF($T730,INDEX('RFR Data - preExcl'!$BF$2:$BG1679,MATCH($B730,'RFR Data - preExcl'!$BF$2:$BF1679,0)+1,2),VLOOKUP($B730,'RFR Data - preExcl'!$BF$2:$BG1679,2,FALSE))),IFERROR(0/0,""))</f>
        <v/>
      </c>
      <c r="V730" s="212" t="str">
        <f t="shared" si="5"/>
        <v>RUN-COMB_2022-05-16_RFR-040</v>
      </c>
      <c r="W730" s="51"/>
      <c r="X730" s="51"/>
      <c r="Y730" s="147" t="str">
        <f t="shared" ref="Y730:Z730" si="1460">IF(_xlfn.ISFORMULA(S730),IFERROR(0/0,""),TRUE)</f>
        <v/>
      </c>
      <c r="Z730" s="147" t="str">
        <f t="shared" si="1460"/>
        <v/>
      </c>
    </row>
    <row r="731">
      <c r="A731" s="6" t="str">
        <f>IFERROR(__xludf.DUMMYFUNCTION("""COMPUTED_VALUE"""),"FM2294")</f>
        <v>FM2294</v>
      </c>
      <c r="B731" s="206">
        <f>IFERROR(__xludf.DUMMYFUNCTION("""COMPUTED_VALUE"""),44697.0)</f>
        <v>44697</v>
      </c>
      <c r="C731" s="207">
        <f>IFERROR(__xludf.DUMMYFUNCTION("""COMPUTED_VALUE"""),0.686412037037037)</f>
        <v>0.686412037</v>
      </c>
      <c r="D731" s="50"/>
      <c r="E731" s="58"/>
      <c r="F731" s="58"/>
      <c r="G731" s="58" t="str">
        <f>IFERROR(__xludf.DUMMYFUNCTION("""COMPUTED_VALUE"""),"Null")</f>
        <v>Null</v>
      </c>
      <c r="H731" s="206" t="str">
        <f>IFERROR(__xludf.DUMMYFUNCTION("""COMPUTED_VALUE"""),"Negative")</f>
        <v>Negative</v>
      </c>
      <c r="I731" s="207">
        <f>IFERROR(__xludf.DUMMYFUNCTION("""COMPUTED_VALUE"""),44697.0)</f>
        <v>44697</v>
      </c>
      <c r="J731" s="208">
        <f>IFERROR(__xludf.DUMMYFUNCTION("""COMPUTED_VALUE"""),0.7954282407407407)</f>
        <v>0.7954282407</v>
      </c>
      <c r="K731" s="50">
        <f>IFERROR(__xludf.DUMMYFUNCTION("""COMPUTED_VALUE"""),2.0)</f>
        <v>2</v>
      </c>
      <c r="L731" s="6"/>
      <c r="M731" s="55"/>
      <c r="N731" s="55">
        <f>IFERROR(__xludf.DUMMYFUNCTION("""COMPUTED_VALUE"""),1.0)</f>
        <v>1</v>
      </c>
      <c r="O731" s="55" t="str">
        <f t="shared" si="3"/>
        <v/>
      </c>
      <c r="P731" s="209"/>
      <c r="Q731" s="75" t="b">
        <f>VLOOKUP($B731,'Run Reconcile'!B$2:P1679,15,FALSE)</f>
        <v>1</v>
      </c>
      <c r="R731" s="211" t="str">
        <f t="array" ref="R731">IF($Q731, INDEX('Run Reconcile'!A$2:A1679,MATCH(B731,'Run Reconcile'!B$2:B1679,0),1),IFERROR(0/0,""))</f>
        <v>RUN-COMB_2022-05-16_RFR-040</v>
      </c>
      <c r="S731" s="165" t="str">
        <f t="shared" ref="S731:T731" si="1461">IF(COUNTIF(W$2:W1679, $A731) &gt; 0,TRUE,IFERROR(0/0,""))</f>
        <v/>
      </c>
      <c r="T731" s="165" t="str">
        <f t="shared" si="1461"/>
        <v/>
      </c>
      <c r="U731" s="147" t="str">
        <f t="array" ref="U731">IF(ISBLANK($R731), IF($S731,VLOOKUP($B731+1,'RFR Data - preExcl'!$BF$2:$BG1679,2,FALSE),IF($T731,INDEX('RFR Data - preExcl'!$BF$2:$BG1679,MATCH($B731,'RFR Data - preExcl'!$BF$2:$BF1679,0)+1,2),VLOOKUP($B731,'RFR Data - preExcl'!$BF$2:$BG1679,2,FALSE))),IFERROR(0/0,""))</f>
        <v/>
      </c>
      <c r="V731" s="212" t="str">
        <f t="shared" si="5"/>
        <v>RUN-COMB_2022-05-16_RFR-040</v>
      </c>
      <c r="W731" s="51"/>
      <c r="X731" s="51"/>
      <c r="Y731" s="147" t="str">
        <f t="shared" ref="Y731:Z731" si="1462">IF(_xlfn.ISFORMULA(S731),IFERROR(0/0,""),TRUE)</f>
        <v/>
      </c>
      <c r="Z731" s="147" t="str">
        <f t="shared" si="1462"/>
        <v/>
      </c>
    </row>
    <row r="732">
      <c r="A732" s="6" t="str">
        <f>IFERROR(__xludf.DUMMYFUNCTION("""COMPUTED_VALUE"""),"FM2298")</f>
        <v>FM2298</v>
      </c>
      <c r="B732" s="206">
        <f>IFERROR(__xludf.DUMMYFUNCTION("""COMPUTED_VALUE"""),44697.0)</f>
        <v>44697</v>
      </c>
      <c r="C732" s="207">
        <f>IFERROR(__xludf.DUMMYFUNCTION("""COMPUTED_VALUE"""),0.6873611111111111)</f>
        <v>0.6873611111</v>
      </c>
      <c r="D732" s="50"/>
      <c r="E732" s="58"/>
      <c r="F732" s="58"/>
      <c r="G732" s="58" t="str">
        <f>IFERROR(__xludf.DUMMYFUNCTION("""COMPUTED_VALUE"""),"Null")</f>
        <v>Null</v>
      </c>
      <c r="H732" s="206" t="str">
        <f>IFERROR(__xludf.DUMMYFUNCTION("""COMPUTED_VALUE"""),"Negative")</f>
        <v>Negative</v>
      </c>
      <c r="I732" s="207">
        <f>IFERROR(__xludf.DUMMYFUNCTION("""COMPUTED_VALUE"""),44697.0)</f>
        <v>44697</v>
      </c>
      <c r="J732" s="208">
        <f>IFERROR(__xludf.DUMMYFUNCTION("""COMPUTED_VALUE"""),0.7954629629629629)</f>
        <v>0.795462963</v>
      </c>
      <c r="K732" s="50">
        <f>IFERROR(__xludf.DUMMYFUNCTION("""COMPUTED_VALUE"""),2.0)</f>
        <v>2</v>
      </c>
      <c r="L732" s="6"/>
      <c r="M732" s="55"/>
      <c r="N732" s="55">
        <f>IFERROR(__xludf.DUMMYFUNCTION("""COMPUTED_VALUE"""),1.0)</f>
        <v>1</v>
      </c>
      <c r="O732" s="55" t="str">
        <f t="shared" si="3"/>
        <v/>
      </c>
      <c r="P732" s="209"/>
      <c r="Q732" s="75" t="b">
        <f>VLOOKUP($B732,'Run Reconcile'!B$2:P1679,15,FALSE)</f>
        <v>1</v>
      </c>
      <c r="R732" s="211" t="str">
        <f t="array" ref="R732">IF($Q732, INDEX('Run Reconcile'!A$2:A1679,MATCH(B732,'Run Reconcile'!B$2:B1679,0),1),IFERROR(0/0,""))</f>
        <v>RUN-COMB_2022-05-16_RFR-040</v>
      </c>
      <c r="S732" s="165" t="str">
        <f t="shared" ref="S732:T732" si="1463">IF(COUNTIF(W$2:W1679, $A732) &gt; 0,TRUE,IFERROR(0/0,""))</f>
        <v/>
      </c>
      <c r="T732" s="165" t="str">
        <f t="shared" si="1463"/>
        <v/>
      </c>
      <c r="U732" s="147" t="str">
        <f t="array" ref="U732">IF(ISBLANK($R732), IF($S732,VLOOKUP($B732+1,'RFR Data - preExcl'!$BF$2:$BG1679,2,FALSE),IF($T732,INDEX('RFR Data - preExcl'!$BF$2:$BG1679,MATCH($B732,'RFR Data - preExcl'!$BF$2:$BF1679,0)+1,2),VLOOKUP($B732,'RFR Data - preExcl'!$BF$2:$BG1679,2,FALSE))),IFERROR(0/0,""))</f>
        <v/>
      </c>
      <c r="V732" s="212" t="str">
        <f t="shared" si="5"/>
        <v>RUN-COMB_2022-05-16_RFR-040</v>
      </c>
      <c r="W732" s="51"/>
      <c r="X732" s="51"/>
      <c r="Y732" s="147" t="str">
        <f t="shared" ref="Y732:Z732" si="1464">IF(_xlfn.ISFORMULA(S732),IFERROR(0/0,""),TRUE)</f>
        <v/>
      </c>
      <c r="Z732" s="147" t="str">
        <f t="shared" si="1464"/>
        <v/>
      </c>
    </row>
    <row r="733">
      <c r="A733" s="6" t="str">
        <f>IFERROR(__xludf.DUMMYFUNCTION("""COMPUTED_VALUE"""),"FM4152")</f>
        <v>FM4152</v>
      </c>
      <c r="B733" s="206">
        <f>IFERROR(__xludf.DUMMYFUNCTION("""COMPUTED_VALUE"""),44697.0)</f>
        <v>44697</v>
      </c>
      <c r="C733" s="207">
        <f>IFERROR(__xludf.DUMMYFUNCTION("""COMPUTED_VALUE"""),0.6995023148148148)</f>
        <v>0.6995023148</v>
      </c>
      <c r="D733" s="50"/>
      <c r="E733" s="58"/>
      <c r="F733" s="58"/>
      <c r="G733" s="58" t="str">
        <f>IFERROR(__xludf.DUMMYFUNCTION("""COMPUTED_VALUE"""),"Null")</f>
        <v>Null</v>
      </c>
      <c r="H733" s="206" t="str">
        <f>IFERROR(__xludf.DUMMYFUNCTION("""COMPUTED_VALUE"""),"Negative")</f>
        <v>Negative</v>
      </c>
      <c r="I733" s="207">
        <f>IFERROR(__xludf.DUMMYFUNCTION("""COMPUTED_VALUE"""),44697.0)</f>
        <v>44697</v>
      </c>
      <c r="J733" s="208">
        <f>IFERROR(__xludf.DUMMYFUNCTION("""COMPUTED_VALUE"""),0.7954861111111111)</f>
        <v>0.7954861111</v>
      </c>
      <c r="K733" s="50">
        <f>IFERROR(__xludf.DUMMYFUNCTION("""COMPUTED_VALUE"""),2.0)</f>
        <v>2</v>
      </c>
      <c r="L733" s="6"/>
      <c r="M733" s="55"/>
      <c r="N733" s="55">
        <f>IFERROR(__xludf.DUMMYFUNCTION("""COMPUTED_VALUE"""),1.0)</f>
        <v>1</v>
      </c>
      <c r="O733" s="55" t="str">
        <f t="shared" si="3"/>
        <v/>
      </c>
      <c r="P733" s="209"/>
      <c r="Q733" s="75" t="b">
        <f>VLOOKUP($B733,'Run Reconcile'!B$2:P1679,15,FALSE)</f>
        <v>1</v>
      </c>
      <c r="R733" s="211" t="str">
        <f t="array" ref="R733">IF($Q733, INDEX('Run Reconcile'!A$2:A1679,MATCH(B733,'Run Reconcile'!B$2:B1679,0),1),IFERROR(0/0,""))</f>
        <v>RUN-COMB_2022-05-16_RFR-040</v>
      </c>
      <c r="S733" s="165" t="str">
        <f t="shared" ref="S733:T733" si="1465">IF(COUNTIF(W$2:W1679, $A733) &gt; 0,TRUE,IFERROR(0/0,""))</f>
        <v/>
      </c>
      <c r="T733" s="165" t="str">
        <f t="shared" si="1465"/>
        <v/>
      </c>
      <c r="U733" s="147" t="str">
        <f t="array" ref="U733">IF(ISBLANK($R733), IF($S733,VLOOKUP($B733+1,'RFR Data - preExcl'!$BF$2:$BG1679,2,FALSE),IF($T733,INDEX('RFR Data - preExcl'!$BF$2:$BG1679,MATCH($B733,'RFR Data - preExcl'!$BF$2:$BF1679,0)+1,2),VLOOKUP($B733,'RFR Data - preExcl'!$BF$2:$BG1679,2,FALSE))),IFERROR(0/0,""))</f>
        <v/>
      </c>
      <c r="V733" s="212" t="str">
        <f t="shared" si="5"/>
        <v>RUN-COMB_2022-05-16_RFR-040</v>
      </c>
      <c r="W733" s="51"/>
      <c r="X733" s="51"/>
      <c r="Y733" s="147" t="str">
        <f t="shared" ref="Y733:Z733" si="1466">IF(_xlfn.ISFORMULA(S733),IFERROR(0/0,""),TRUE)</f>
        <v/>
      </c>
      <c r="Z733" s="147" t="str">
        <f t="shared" si="1466"/>
        <v/>
      </c>
    </row>
    <row r="734">
      <c r="A734" s="6" t="str">
        <f>IFERROR(__xludf.DUMMYFUNCTION("""COMPUTED_VALUE"""),"FM2293")</f>
        <v>FM2293</v>
      </c>
      <c r="B734" s="206">
        <f>IFERROR(__xludf.DUMMYFUNCTION("""COMPUTED_VALUE"""),44697.0)</f>
        <v>44697</v>
      </c>
      <c r="C734" s="207">
        <f>IFERROR(__xludf.DUMMYFUNCTION("""COMPUTED_VALUE"""),0.7002777777777778)</f>
        <v>0.7002777778</v>
      </c>
      <c r="D734" s="50"/>
      <c r="E734" s="58"/>
      <c r="F734" s="58"/>
      <c r="G734" s="58" t="str">
        <f>IFERROR(__xludf.DUMMYFUNCTION("""COMPUTED_VALUE"""),"Null")</f>
        <v>Null</v>
      </c>
      <c r="H734" s="206" t="str">
        <f>IFERROR(__xludf.DUMMYFUNCTION("""COMPUTED_VALUE"""),"Negative")</f>
        <v>Negative</v>
      </c>
      <c r="I734" s="207">
        <f>IFERROR(__xludf.DUMMYFUNCTION("""COMPUTED_VALUE"""),44697.0)</f>
        <v>44697</v>
      </c>
      <c r="J734" s="208">
        <f>IFERROR(__xludf.DUMMYFUNCTION("""COMPUTED_VALUE"""),0.7955208333333333)</f>
        <v>0.7955208333</v>
      </c>
      <c r="K734" s="50">
        <f>IFERROR(__xludf.DUMMYFUNCTION("""COMPUTED_VALUE"""),2.0)</f>
        <v>2</v>
      </c>
      <c r="L734" s="6"/>
      <c r="M734" s="55"/>
      <c r="N734" s="55">
        <f>IFERROR(__xludf.DUMMYFUNCTION("""COMPUTED_VALUE"""),1.0)</f>
        <v>1</v>
      </c>
      <c r="O734" s="55" t="str">
        <f t="shared" si="3"/>
        <v/>
      </c>
      <c r="P734" s="209"/>
      <c r="Q734" s="75" t="b">
        <f>VLOOKUP($B734,'Run Reconcile'!B$2:P1679,15,FALSE)</f>
        <v>1</v>
      </c>
      <c r="R734" s="211" t="str">
        <f t="array" ref="R734">IF($Q734, INDEX('Run Reconcile'!A$2:A1679,MATCH(B734,'Run Reconcile'!B$2:B1679,0),1),IFERROR(0/0,""))</f>
        <v>RUN-COMB_2022-05-16_RFR-040</v>
      </c>
      <c r="S734" s="165" t="str">
        <f t="shared" ref="S734:T734" si="1467">IF(COUNTIF(W$2:W1679, $A734) &gt; 0,TRUE,IFERROR(0/0,""))</f>
        <v/>
      </c>
      <c r="T734" s="165" t="str">
        <f t="shared" si="1467"/>
        <v/>
      </c>
      <c r="U734" s="147" t="str">
        <f t="array" ref="U734">IF(ISBLANK($R734), IF($S734,VLOOKUP($B734+1,'RFR Data - preExcl'!$BF$2:$BG1679,2,FALSE),IF($T734,INDEX('RFR Data - preExcl'!$BF$2:$BG1679,MATCH($B734,'RFR Data - preExcl'!$BF$2:$BF1679,0)+1,2),VLOOKUP($B734,'RFR Data - preExcl'!$BF$2:$BG1679,2,FALSE))),IFERROR(0/0,""))</f>
        <v/>
      </c>
      <c r="V734" s="212" t="str">
        <f t="shared" si="5"/>
        <v>RUN-COMB_2022-05-16_RFR-040</v>
      </c>
      <c r="W734" s="51"/>
      <c r="X734" s="51"/>
      <c r="Y734" s="147" t="str">
        <f t="shared" ref="Y734:Z734" si="1468">IF(_xlfn.ISFORMULA(S734),IFERROR(0/0,""),TRUE)</f>
        <v/>
      </c>
      <c r="Z734" s="147" t="str">
        <f t="shared" si="1468"/>
        <v/>
      </c>
    </row>
    <row r="735">
      <c r="A735" s="6" t="str">
        <f>IFERROR(__xludf.DUMMYFUNCTION("""COMPUTED_VALUE"""),"FM2207")</f>
        <v>FM2207</v>
      </c>
      <c r="B735" s="206">
        <f>IFERROR(__xludf.DUMMYFUNCTION("""COMPUTED_VALUE"""),44697.0)</f>
        <v>44697</v>
      </c>
      <c r="C735" s="207">
        <f>IFERROR(__xludf.DUMMYFUNCTION("""COMPUTED_VALUE"""),0.7018865740740741)</f>
        <v>0.7018865741</v>
      </c>
      <c r="D735" s="50"/>
      <c r="E735" s="58"/>
      <c r="F735" s="58"/>
      <c r="G735" s="58" t="str">
        <f>IFERROR(__xludf.DUMMYFUNCTION("""COMPUTED_VALUE"""),"Null")</f>
        <v>Null</v>
      </c>
      <c r="H735" s="206" t="str">
        <f>IFERROR(__xludf.DUMMYFUNCTION("""COMPUTED_VALUE"""),"Negative")</f>
        <v>Negative</v>
      </c>
      <c r="I735" s="207">
        <f>IFERROR(__xludf.DUMMYFUNCTION("""COMPUTED_VALUE"""),44697.0)</f>
        <v>44697</v>
      </c>
      <c r="J735" s="208">
        <f>IFERROR(__xludf.DUMMYFUNCTION("""COMPUTED_VALUE"""),0.7955555555555556)</f>
        <v>0.7955555556</v>
      </c>
      <c r="K735" s="50">
        <f>IFERROR(__xludf.DUMMYFUNCTION("""COMPUTED_VALUE"""),2.0)</f>
        <v>2</v>
      </c>
      <c r="L735" s="6"/>
      <c r="M735" s="55"/>
      <c r="N735" s="55">
        <f>IFERROR(__xludf.DUMMYFUNCTION("""COMPUTED_VALUE"""),1.0)</f>
        <v>1</v>
      </c>
      <c r="O735" s="55" t="str">
        <f t="shared" si="3"/>
        <v/>
      </c>
      <c r="P735" s="209"/>
      <c r="Q735" s="75" t="b">
        <f>VLOOKUP($B735,'Run Reconcile'!B$2:P1679,15,FALSE)</f>
        <v>1</v>
      </c>
      <c r="R735" s="211" t="str">
        <f t="array" ref="R735">IF($Q735, INDEX('Run Reconcile'!A$2:A1679,MATCH(B735,'Run Reconcile'!B$2:B1679,0),1),IFERROR(0/0,""))</f>
        <v>RUN-COMB_2022-05-16_RFR-040</v>
      </c>
      <c r="S735" s="165" t="str">
        <f t="shared" ref="S735:T735" si="1469">IF(COUNTIF(W$2:W1679, $A735) &gt; 0,TRUE,IFERROR(0/0,""))</f>
        <v/>
      </c>
      <c r="T735" s="165" t="str">
        <f t="shared" si="1469"/>
        <v/>
      </c>
      <c r="U735" s="147" t="str">
        <f t="array" ref="U735">IF(ISBLANK($R735), IF($S735,VLOOKUP($B735+1,'RFR Data - preExcl'!$BF$2:$BG1679,2,FALSE),IF($T735,INDEX('RFR Data - preExcl'!$BF$2:$BG1679,MATCH($B735,'RFR Data - preExcl'!$BF$2:$BF1679,0)+1,2),VLOOKUP($B735,'RFR Data - preExcl'!$BF$2:$BG1679,2,FALSE))),IFERROR(0/0,""))</f>
        <v/>
      </c>
      <c r="V735" s="212" t="str">
        <f t="shared" si="5"/>
        <v>RUN-COMB_2022-05-16_RFR-040</v>
      </c>
      <c r="W735" s="51"/>
      <c r="X735" s="51"/>
      <c r="Y735" s="147" t="str">
        <f t="shared" ref="Y735:Z735" si="1470">IF(_xlfn.ISFORMULA(S735),IFERROR(0/0,""),TRUE)</f>
        <v/>
      </c>
      <c r="Z735" s="147" t="str">
        <f t="shared" si="1470"/>
        <v/>
      </c>
    </row>
    <row r="736">
      <c r="A736" s="6" t="str">
        <f>IFERROR(__xludf.DUMMYFUNCTION("""COMPUTED_VALUE"""),"FM2212")</f>
        <v>FM2212</v>
      </c>
      <c r="B736" s="206">
        <f>IFERROR(__xludf.DUMMYFUNCTION("""COMPUTED_VALUE"""),44697.0)</f>
        <v>44697</v>
      </c>
      <c r="C736" s="207">
        <f>IFERROR(__xludf.DUMMYFUNCTION("""COMPUTED_VALUE"""),0.7029166666666666)</f>
        <v>0.7029166667</v>
      </c>
      <c r="D736" s="50"/>
      <c r="E736" s="58"/>
      <c r="F736" s="58"/>
      <c r="G736" s="58" t="str">
        <f>IFERROR(__xludf.DUMMYFUNCTION("""COMPUTED_VALUE"""),"Null")</f>
        <v>Null</v>
      </c>
      <c r="H736" s="206" t="str">
        <f>IFERROR(__xludf.DUMMYFUNCTION("""COMPUTED_VALUE"""),"Negative")</f>
        <v>Negative</v>
      </c>
      <c r="I736" s="207">
        <f>IFERROR(__xludf.DUMMYFUNCTION("""COMPUTED_VALUE"""),44697.0)</f>
        <v>44697</v>
      </c>
      <c r="J736" s="208">
        <f>IFERROR(__xludf.DUMMYFUNCTION("""COMPUTED_VALUE"""),0.7955902777777778)</f>
        <v>0.7955902778</v>
      </c>
      <c r="K736" s="50">
        <f>IFERROR(__xludf.DUMMYFUNCTION("""COMPUTED_VALUE"""),2.0)</f>
        <v>2</v>
      </c>
      <c r="L736" s="6"/>
      <c r="M736" s="55"/>
      <c r="N736" s="55">
        <f>IFERROR(__xludf.DUMMYFUNCTION("""COMPUTED_VALUE"""),1.0)</f>
        <v>1</v>
      </c>
      <c r="O736" s="55" t="str">
        <f t="shared" si="3"/>
        <v/>
      </c>
      <c r="P736" s="209"/>
      <c r="Q736" s="75" t="b">
        <f>VLOOKUP($B736,'Run Reconcile'!B$2:P1679,15,FALSE)</f>
        <v>1</v>
      </c>
      <c r="R736" s="211" t="str">
        <f t="array" ref="R736">IF($Q736, INDEX('Run Reconcile'!A$2:A1679,MATCH(B736,'Run Reconcile'!B$2:B1679,0),1),IFERROR(0/0,""))</f>
        <v>RUN-COMB_2022-05-16_RFR-040</v>
      </c>
      <c r="S736" s="165" t="str">
        <f t="shared" ref="S736:T736" si="1471">IF(COUNTIF(W$2:W1679, $A736) &gt; 0,TRUE,IFERROR(0/0,""))</f>
        <v/>
      </c>
      <c r="T736" s="165" t="str">
        <f t="shared" si="1471"/>
        <v/>
      </c>
      <c r="U736" s="147" t="str">
        <f t="array" ref="U736">IF(ISBLANK($R736), IF($S736,VLOOKUP($B736+1,'RFR Data - preExcl'!$BF$2:$BG1679,2,FALSE),IF($T736,INDEX('RFR Data - preExcl'!$BF$2:$BG1679,MATCH($B736,'RFR Data - preExcl'!$BF$2:$BF1679,0)+1,2),VLOOKUP($B736,'RFR Data - preExcl'!$BF$2:$BG1679,2,FALSE))),IFERROR(0/0,""))</f>
        <v/>
      </c>
      <c r="V736" s="212" t="str">
        <f t="shared" si="5"/>
        <v>RUN-COMB_2022-05-16_RFR-040</v>
      </c>
      <c r="W736" s="51"/>
      <c r="X736" s="51"/>
      <c r="Y736" s="147" t="str">
        <f t="shared" ref="Y736:Z736" si="1472">IF(_xlfn.ISFORMULA(S736),IFERROR(0/0,""),TRUE)</f>
        <v/>
      </c>
      <c r="Z736" s="147" t="str">
        <f t="shared" si="1472"/>
        <v/>
      </c>
    </row>
    <row r="737">
      <c r="A737" s="6" t="str">
        <f>IFERROR(__xludf.DUMMYFUNCTION("""COMPUTED_VALUE"""),"FM2313")</f>
        <v>FM2313</v>
      </c>
      <c r="B737" s="206">
        <f>IFERROR(__xludf.DUMMYFUNCTION("""COMPUTED_VALUE"""),44697.0)</f>
        <v>44697</v>
      </c>
      <c r="C737" s="207">
        <f>IFERROR(__xludf.DUMMYFUNCTION("""COMPUTED_VALUE"""),0.7036921296296297)</f>
        <v>0.7036921296</v>
      </c>
      <c r="D737" s="50"/>
      <c r="E737" s="58"/>
      <c r="F737" s="58"/>
      <c r="G737" s="58" t="str">
        <f>IFERROR(__xludf.DUMMYFUNCTION("""COMPUTED_VALUE"""),"Null")</f>
        <v>Null</v>
      </c>
      <c r="H737" s="206" t="str">
        <f>IFERROR(__xludf.DUMMYFUNCTION("""COMPUTED_VALUE"""),"Negative")</f>
        <v>Negative</v>
      </c>
      <c r="I737" s="207">
        <f>IFERROR(__xludf.DUMMYFUNCTION("""COMPUTED_VALUE"""),44697.0)</f>
        <v>44697</v>
      </c>
      <c r="J737" s="208">
        <f>IFERROR(__xludf.DUMMYFUNCTION("""COMPUTED_VALUE"""),0.7956134259259259)</f>
        <v>0.7956134259</v>
      </c>
      <c r="K737" s="50">
        <f>IFERROR(__xludf.DUMMYFUNCTION("""COMPUTED_VALUE"""),2.0)</f>
        <v>2</v>
      </c>
      <c r="L737" s="6"/>
      <c r="M737" s="55"/>
      <c r="N737" s="55">
        <f>IFERROR(__xludf.DUMMYFUNCTION("""COMPUTED_VALUE"""),1.0)</f>
        <v>1</v>
      </c>
      <c r="O737" s="55" t="str">
        <f t="shared" si="3"/>
        <v/>
      </c>
      <c r="P737" s="209"/>
      <c r="Q737" s="75" t="b">
        <f>VLOOKUP($B737,'Run Reconcile'!B$2:P1679,15,FALSE)</f>
        <v>1</v>
      </c>
      <c r="R737" s="211" t="str">
        <f t="array" ref="R737">IF($Q737, INDEX('Run Reconcile'!A$2:A1679,MATCH(B737,'Run Reconcile'!B$2:B1679,0),1),IFERROR(0/0,""))</f>
        <v>RUN-COMB_2022-05-16_RFR-040</v>
      </c>
      <c r="S737" s="165" t="str">
        <f t="shared" ref="S737:T737" si="1473">IF(COUNTIF(W$2:W1679, $A737) &gt; 0,TRUE,IFERROR(0/0,""))</f>
        <v/>
      </c>
      <c r="T737" s="165" t="str">
        <f t="shared" si="1473"/>
        <v/>
      </c>
      <c r="U737" s="147" t="str">
        <f t="array" ref="U737">IF(ISBLANK($R737), IF($S737,VLOOKUP($B737+1,'RFR Data - preExcl'!$BF$2:$BG1679,2,FALSE),IF($T737,INDEX('RFR Data - preExcl'!$BF$2:$BG1679,MATCH($B737,'RFR Data - preExcl'!$BF$2:$BF1679,0)+1,2),VLOOKUP($B737,'RFR Data - preExcl'!$BF$2:$BG1679,2,FALSE))),IFERROR(0/0,""))</f>
        <v/>
      </c>
      <c r="V737" s="212" t="str">
        <f t="shared" si="5"/>
        <v>RUN-COMB_2022-05-16_RFR-040</v>
      </c>
      <c r="W737" s="51"/>
      <c r="X737" s="51"/>
      <c r="Y737" s="147" t="str">
        <f t="shared" ref="Y737:Z737" si="1474">IF(_xlfn.ISFORMULA(S737),IFERROR(0/0,""),TRUE)</f>
        <v/>
      </c>
      <c r="Z737" s="147" t="str">
        <f t="shared" si="1474"/>
        <v/>
      </c>
    </row>
    <row r="738">
      <c r="A738" s="6" t="str">
        <f>IFERROR(__xludf.DUMMYFUNCTION("""COMPUTED_VALUE"""),"FM2269")</f>
        <v>FM2269</v>
      </c>
      <c r="B738" s="206">
        <f>IFERROR(__xludf.DUMMYFUNCTION("""COMPUTED_VALUE"""),44697.0)</f>
        <v>44697</v>
      </c>
      <c r="C738" s="207">
        <f>IFERROR(__xludf.DUMMYFUNCTION("""COMPUTED_VALUE"""),0.7042361111111111)</f>
        <v>0.7042361111</v>
      </c>
      <c r="D738" s="50"/>
      <c r="E738" s="58"/>
      <c r="F738" s="58"/>
      <c r="G738" s="58" t="str">
        <f>IFERROR(__xludf.DUMMYFUNCTION("""COMPUTED_VALUE"""),"Null")</f>
        <v>Null</v>
      </c>
      <c r="H738" s="206" t="str">
        <f>IFERROR(__xludf.DUMMYFUNCTION("""COMPUTED_VALUE"""),"Negative")</f>
        <v>Negative</v>
      </c>
      <c r="I738" s="207">
        <f>IFERROR(__xludf.DUMMYFUNCTION("""COMPUTED_VALUE"""),44697.0)</f>
        <v>44697</v>
      </c>
      <c r="J738" s="208">
        <f>IFERROR(__xludf.DUMMYFUNCTION("""COMPUTED_VALUE"""),0.795625)</f>
        <v>0.795625</v>
      </c>
      <c r="K738" s="50">
        <f>IFERROR(__xludf.DUMMYFUNCTION("""COMPUTED_VALUE"""),2.0)</f>
        <v>2</v>
      </c>
      <c r="L738" s="6"/>
      <c r="M738" s="55"/>
      <c r="N738" s="55">
        <f>IFERROR(__xludf.DUMMYFUNCTION("""COMPUTED_VALUE"""),1.0)</f>
        <v>1</v>
      </c>
      <c r="O738" s="55" t="str">
        <f t="shared" si="3"/>
        <v/>
      </c>
      <c r="P738" s="209"/>
      <c r="Q738" s="75" t="b">
        <f>VLOOKUP($B738,'Run Reconcile'!B$2:P1679,15,FALSE)</f>
        <v>1</v>
      </c>
      <c r="R738" s="211" t="str">
        <f t="array" ref="R738">IF($Q738, INDEX('Run Reconcile'!A$2:A1679,MATCH(B738,'Run Reconcile'!B$2:B1679,0),1),IFERROR(0/0,""))</f>
        <v>RUN-COMB_2022-05-16_RFR-040</v>
      </c>
      <c r="S738" s="165" t="str">
        <f t="shared" ref="S738:T738" si="1475">IF(COUNTIF(W$2:W1679, $A738) &gt; 0,TRUE,IFERROR(0/0,""))</f>
        <v/>
      </c>
      <c r="T738" s="165" t="str">
        <f t="shared" si="1475"/>
        <v/>
      </c>
      <c r="U738" s="147" t="str">
        <f t="array" ref="U738">IF(ISBLANK($R738), IF($S738,VLOOKUP($B738+1,'RFR Data - preExcl'!$BF$2:$BG1679,2,FALSE),IF($T738,INDEX('RFR Data - preExcl'!$BF$2:$BG1679,MATCH($B738,'RFR Data - preExcl'!$BF$2:$BF1679,0)+1,2),VLOOKUP($B738,'RFR Data - preExcl'!$BF$2:$BG1679,2,FALSE))),IFERROR(0/0,""))</f>
        <v/>
      </c>
      <c r="V738" s="212" t="str">
        <f t="shared" si="5"/>
        <v>RUN-COMB_2022-05-16_RFR-040</v>
      </c>
      <c r="W738" s="51"/>
      <c r="X738" s="51"/>
      <c r="Y738" s="147" t="str">
        <f t="shared" ref="Y738:Z738" si="1476">IF(_xlfn.ISFORMULA(S738),IFERROR(0/0,""),TRUE)</f>
        <v/>
      </c>
      <c r="Z738" s="147" t="str">
        <f t="shared" si="1476"/>
        <v/>
      </c>
    </row>
    <row r="739">
      <c r="A739" s="6" t="str">
        <f>IFERROR(__xludf.DUMMYFUNCTION("""COMPUTED_VALUE"""),"FM2238")</f>
        <v>FM2238</v>
      </c>
      <c r="B739" s="206">
        <f>IFERROR(__xludf.DUMMYFUNCTION("""COMPUTED_VALUE"""),44697.0)</f>
        <v>44697</v>
      </c>
      <c r="C739" s="207">
        <f>IFERROR(__xludf.DUMMYFUNCTION("""COMPUTED_VALUE"""),0.7047337962962963)</f>
        <v>0.7047337963</v>
      </c>
      <c r="D739" s="50"/>
      <c r="E739" s="58"/>
      <c r="F739" s="58"/>
      <c r="G739" s="58" t="str">
        <f>IFERROR(__xludf.DUMMYFUNCTION("""COMPUTED_VALUE"""),"Null")</f>
        <v>Null</v>
      </c>
      <c r="H739" s="206" t="str">
        <f>IFERROR(__xludf.DUMMYFUNCTION("""COMPUTED_VALUE"""),"Negative")</f>
        <v>Negative</v>
      </c>
      <c r="I739" s="207">
        <f>IFERROR(__xludf.DUMMYFUNCTION("""COMPUTED_VALUE"""),44697.0)</f>
        <v>44697</v>
      </c>
      <c r="J739" s="208">
        <f>IFERROR(__xludf.DUMMYFUNCTION("""COMPUTED_VALUE"""),0.7956481481481481)</f>
        <v>0.7956481481</v>
      </c>
      <c r="K739" s="50">
        <f>IFERROR(__xludf.DUMMYFUNCTION("""COMPUTED_VALUE"""),2.0)</f>
        <v>2</v>
      </c>
      <c r="L739" s="6"/>
      <c r="M739" s="55"/>
      <c r="N739" s="55">
        <f>IFERROR(__xludf.DUMMYFUNCTION("""COMPUTED_VALUE"""),1.0)</f>
        <v>1</v>
      </c>
      <c r="O739" s="55" t="str">
        <f t="shared" si="3"/>
        <v/>
      </c>
      <c r="P739" s="209"/>
      <c r="Q739" s="75" t="b">
        <f>VLOOKUP($B739,'Run Reconcile'!B$2:P1679,15,FALSE)</f>
        <v>1</v>
      </c>
      <c r="R739" s="211" t="str">
        <f t="array" ref="R739">IF($Q739, INDEX('Run Reconcile'!A$2:A1679,MATCH(B739,'Run Reconcile'!B$2:B1679,0),1),IFERROR(0/0,""))</f>
        <v>RUN-COMB_2022-05-16_RFR-040</v>
      </c>
      <c r="S739" s="165" t="str">
        <f t="shared" ref="S739:T739" si="1477">IF(COUNTIF(W$2:W1679, $A739) &gt; 0,TRUE,IFERROR(0/0,""))</f>
        <v/>
      </c>
      <c r="T739" s="165" t="str">
        <f t="shared" si="1477"/>
        <v/>
      </c>
      <c r="U739" s="147" t="str">
        <f t="array" ref="U739">IF(ISBLANK($R739), IF($S739,VLOOKUP($B739+1,'RFR Data - preExcl'!$BF$2:$BG1679,2,FALSE),IF($T739,INDEX('RFR Data - preExcl'!$BF$2:$BG1679,MATCH($B739,'RFR Data - preExcl'!$BF$2:$BF1679,0)+1,2),VLOOKUP($B739,'RFR Data - preExcl'!$BF$2:$BG1679,2,FALSE))),IFERROR(0/0,""))</f>
        <v/>
      </c>
      <c r="V739" s="212" t="str">
        <f t="shared" si="5"/>
        <v>RUN-COMB_2022-05-16_RFR-040</v>
      </c>
      <c r="W739" s="51"/>
      <c r="X739" s="51"/>
      <c r="Y739" s="147" t="str">
        <f t="shared" ref="Y739:Z739" si="1478">IF(_xlfn.ISFORMULA(S739),IFERROR(0/0,""),TRUE)</f>
        <v/>
      </c>
      <c r="Z739" s="147" t="str">
        <f t="shared" si="1478"/>
        <v/>
      </c>
    </row>
    <row r="740">
      <c r="A740" s="6" t="str">
        <f>IFERROR(__xludf.DUMMYFUNCTION("""COMPUTED_VALUE"""),"FM2280")</f>
        <v>FM2280</v>
      </c>
      <c r="B740" s="206">
        <f>IFERROR(__xludf.DUMMYFUNCTION("""COMPUTED_VALUE"""),44697.0)</f>
        <v>44697</v>
      </c>
      <c r="C740" s="207">
        <f>IFERROR(__xludf.DUMMYFUNCTION("""COMPUTED_VALUE"""),0.7201273148148148)</f>
        <v>0.7201273148</v>
      </c>
      <c r="D740" s="50"/>
      <c r="E740" s="58"/>
      <c r="F740" s="58"/>
      <c r="G740" s="58" t="str">
        <f>IFERROR(__xludf.DUMMYFUNCTION("""COMPUTED_VALUE"""),"Null")</f>
        <v>Null</v>
      </c>
      <c r="H740" s="206" t="str">
        <f>IFERROR(__xludf.DUMMYFUNCTION("""COMPUTED_VALUE"""),"Negative")</f>
        <v>Negative</v>
      </c>
      <c r="I740" s="207">
        <f>IFERROR(__xludf.DUMMYFUNCTION("""COMPUTED_VALUE"""),44697.0)</f>
        <v>44697</v>
      </c>
      <c r="J740" s="208">
        <f>IFERROR(__xludf.DUMMYFUNCTION("""COMPUTED_VALUE"""),0.7956597222222223)</f>
        <v>0.7956597222</v>
      </c>
      <c r="K740" s="50">
        <f>IFERROR(__xludf.DUMMYFUNCTION("""COMPUTED_VALUE"""),2.0)</f>
        <v>2</v>
      </c>
      <c r="L740" s="6"/>
      <c r="M740" s="55"/>
      <c r="N740" s="55">
        <f>IFERROR(__xludf.DUMMYFUNCTION("""COMPUTED_VALUE"""),1.0)</f>
        <v>1</v>
      </c>
      <c r="O740" s="55" t="str">
        <f t="shared" si="3"/>
        <v/>
      </c>
      <c r="P740" s="209"/>
      <c r="Q740" s="75" t="b">
        <f>VLOOKUP($B740,'Run Reconcile'!B$2:P1679,15,FALSE)</f>
        <v>1</v>
      </c>
      <c r="R740" s="211" t="str">
        <f t="array" ref="R740">IF($Q740, INDEX('Run Reconcile'!A$2:A1679,MATCH(B740,'Run Reconcile'!B$2:B1679,0),1),IFERROR(0/0,""))</f>
        <v>RUN-COMB_2022-05-16_RFR-040</v>
      </c>
      <c r="S740" s="165" t="str">
        <f t="shared" ref="S740:T740" si="1479">IF(COUNTIF(W$2:W1679, $A740) &gt; 0,TRUE,IFERROR(0/0,""))</f>
        <v/>
      </c>
      <c r="T740" s="165" t="str">
        <f t="shared" si="1479"/>
        <v/>
      </c>
      <c r="U740" s="147" t="str">
        <f t="array" ref="U740">IF(ISBLANK($R740), IF($S740,VLOOKUP($B740+1,'RFR Data - preExcl'!$BF$2:$BG1679,2,FALSE),IF($T740,INDEX('RFR Data - preExcl'!$BF$2:$BG1679,MATCH($B740,'RFR Data - preExcl'!$BF$2:$BF1679,0)+1,2),VLOOKUP($B740,'RFR Data - preExcl'!$BF$2:$BG1679,2,FALSE))),IFERROR(0/0,""))</f>
        <v/>
      </c>
      <c r="V740" s="212" t="str">
        <f t="shared" si="5"/>
        <v>RUN-COMB_2022-05-16_RFR-040</v>
      </c>
      <c r="W740" s="51"/>
      <c r="X740" s="51"/>
      <c r="Y740" s="147" t="str">
        <f t="shared" ref="Y740:Z740" si="1480">IF(_xlfn.ISFORMULA(S740),IFERROR(0/0,""),TRUE)</f>
        <v/>
      </c>
      <c r="Z740" s="147" t="str">
        <f t="shared" si="1480"/>
        <v/>
      </c>
    </row>
    <row r="741">
      <c r="A741" s="6" t="str">
        <f>IFERROR(__xludf.DUMMYFUNCTION("""COMPUTED_VALUE"""),"FM2192")</f>
        <v>FM2192</v>
      </c>
      <c r="B741" s="206">
        <f>IFERROR(__xludf.DUMMYFUNCTION("""COMPUTED_VALUE"""),44697.0)</f>
        <v>44697</v>
      </c>
      <c r="C741" s="207">
        <f>IFERROR(__xludf.DUMMYFUNCTION("""COMPUTED_VALUE"""),0.7207407407407408)</f>
        <v>0.7207407407</v>
      </c>
      <c r="D741" s="50"/>
      <c r="E741" s="58"/>
      <c r="F741" s="58"/>
      <c r="G741" s="58" t="str">
        <f>IFERROR(__xludf.DUMMYFUNCTION("""COMPUTED_VALUE"""),"Null")</f>
        <v>Null</v>
      </c>
      <c r="H741" s="206" t="str">
        <f>IFERROR(__xludf.DUMMYFUNCTION("""COMPUTED_VALUE"""),"Negative")</f>
        <v>Negative</v>
      </c>
      <c r="I741" s="207">
        <f>IFERROR(__xludf.DUMMYFUNCTION("""COMPUTED_VALUE"""),44697.0)</f>
        <v>44697</v>
      </c>
      <c r="J741" s="208">
        <f>IFERROR(__xludf.DUMMYFUNCTION("""COMPUTED_VALUE"""),0.7956597222222223)</f>
        <v>0.7956597222</v>
      </c>
      <c r="K741" s="50">
        <f>IFERROR(__xludf.DUMMYFUNCTION("""COMPUTED_VALUE"""),2.0)</f>
        <v>2</v>
      </c>
      <c r="L741" s="6"/>
      <c r="M741" s="55"/>
      <c r="N741" s="55">
        <f>IFERROR(__xludf.DUMMYFUNCTION("""COMPUTED_VALUE"""),1.0)</f>
        <v>1</v>
      </c>
      <c r="O741" s="55" t="str">
        <f t="shared" si="3"/>
        <v/>
      </c>
      <c r="P741" s="209"/>
      <c r="Q741" s="75" t="b">
        <f>VLOOKUP($B741,'Run Reconcile'!B$2:P1679,15,FALSE)</f>
        <v>1</v>
      </c>
      <c r="R741" s="211" t="str">
        <f t="array" ref="R741">IF($Q741, INDEX('Run Reconcile'!A$2:A1679,MATCH(B741,'Run Reconcile'!B$2:B1679,0),1),IFERROR(0/0,""))</f>
        <v>RUN-COMB_2022-05-16_RFR-040</v>
      </c>
      <c r="S741" s="165" t="str">
        <f t="shared" ref="S741:T741" si="1481">IF(COUNTIF(W$2:W1679, $A741) &gt; 0,TRUE,IFERROR(0/0,""))</f>
        <v/>
      </c>
      <c r="T741" s="165" t="str">
        <f t="shared" si="1481"/>
        <v/>
      </c>
      <c r="U741" s="147" t="str">
        <f t="array" ref="U741">IF(ISBLANK($R741), IF($S741,VLOOKUP($B741+1,'RFR Data - preExcl'!$BF$2:$BG1679,2,FALSE),IF($T741,INDEX('RFR Data - preExcl'!$BF$2:$BG1679,MATCH($B741,'RFR Data - preExcl'!$BF$2:$BF1679,0)+1,2),VLOOKUP($B741,'RFR Data - preExcl'!$BF$2:$BG1679,2,FALSE))),IFERROR(0/0,""))</f>
        <v/>
      </c>
      <c r="V741" s="212" t="str">
        <f t="shared" si="5"/>
        <v>RUN-COMB_2022-05-16_RFR-040</v>
      </c>
      <c r="W741" s="51"/>
      <c r="X741" s="51"/>
      <c r="Y741" s="147" t="str">
        <f t="shared" ref="Y741:Z741" si="1482">IF(_xlfn.ISFORMULA(S741),IFERROR(0/0,""),TRUE)</f>
        <v/>
      </c>
      <c r="Z741" s="147" t="str">
        <f t="shared" si="1482"/>
        <v/>
      </c>
    </row>
    <row r="742">
      <c r="A742" s="6" t="str">
        <f>IFERROR(__xludf.DUMMYFUNCTION("""COMPUTED_VALUE"""),"FM2272")</f>
        <v>FM2272</v>
      </c>
      <c r="B742" s="206">
        <f>IFERROR(__xludf.DUMMYFUNCTION("""COMPUTED_VALUE"""),44697.0)</f>
        <v>44697</v>
      </c>
      <c r="C742" s="207">
        <f>IFERROR(__xludf.DUMMYFUNCTION("""COMPUTED_VALUE"""),0.7213888888888889)</f>
        <v>0.7213888889</v>
      </c>
      <c r="D742" s="50"/>
      <c r="E742" s="58"/>
      <c r="F742" s="58"/>
      <c r="G742" s="58" t="str">
        <f>IFERROR(__xludf.DUMMYFUNCTION("""COMPUTED_VALUE"""),"Null")</f>
        <v>Null</v>
      </c>
      <c r="H742" s="206" t="str">
        <f>IFERROR(__xludf.DUMMYFUNCTION("""COMPUTED_VALUE"""),"Negative")</f>
        <v>Negative</v>
      </c>
      <c r="I742" s="207">
        <f>IFERROR(__xludf.DUMMYFUNCTION("""COMPUTED_VALUE"""),44697.0)</f>
        <v>44697</v>
      </c>
      <c r="J742" s="208">
        <f>IFERROR(__xludf.DUMMYFUNCTION("""COMPUTED_VALUE"""),0.7956712962962963)</f>
        <v>0.7956712963</v>
      </c>
      <c r="K742" s="50">
        <f>IFERROR(__xludf.DUMMYFUNCTION("""COMPUTED_VALUE"""),2.0)</f>
        <v>2</v>
      </c>
      <c r="L742" s="6"/>
      <c r="M742" s="55"/>
      <c r="N742" s="55">
        <f>IFERROR(__xludf.DUMMYFUNCTION("""COMPUTED_VALUE"""),1.0)</f>
        <v>1</v>
      </c>
      <c r="O742" s="55" t="str">
        <f t="shared" si="3"/>
        <v/>
      </c>
      <c r="P742" s="209"/>
      <c r="Q742" s="75" t="b">
        <f>VLOOKUP($B742,'Run Reconcile'!B$2:P1679,15,FALSE)</f>
        <v>1</v>
      </c>
      <c r="R742" s="211" t="str">
        <f t="array" ref="R742">IF($Q742, INDEX('Run Reconcile'!A$2:A1679,MATCH(B742,'Run Reconcile'!B$2:B1679,0),1),IFERROR(0/0,""))</f>
        <v>RUN-COMB_2022-05-16_RFR-040</v>
      </c>
      <c r="S742" s="165" t="str">
        <f t="shared" ref="S742:T742" si="1483">IF(COUNTIF(W$2:W1679, $A742) &gt; 0,TRUE,IFERROR(0/0,""))</f>
        <v/>
      </c>
      <c r="T742" s="165" t="str">
        <f t="shared" si="1483"/>
        <v/>
      </c>
      <c r="U742" s="147" t="str">
        <f t="array" ref="U742">IF(ISBLANK($R742), IF($S742,VLOOKUP($B742+1,'RFR Data - preExcl'!$BF$2:$BG1679,2,FALSE),IF($T742,INDEX('RFR Data - preExcl'!$BF$2:$BG1679,MATCH($B742,'RFR Data - preExcl'!$BF$2:$BF1679,0)+1,2),VLOOKUP($B742,'RFR Data - preExcl'!$BF$2:$BG1679,2,FALSE))),IFERROR(0/0,""))</f>
        <v/>
      </c>
      <c r="V742" s="212" t="str">
        <f t="shared" si="5"/>
        <v>RUN-COMB_2022-05-16_RFR-040</v>
      </c>
      <c r="W742" s="51"/>
      <c r="X742" s="51"/>
      <c r="Y742" s="147" t="str">
        <f t="shared" ref="Y742:Z742" si="1484">IF(_xlfn.ISFORMULA(S742),IFERROR(0/0,""),TRUE)</f>
        <v/>
      </c>
      <c r="Z742" s="147" t="str">
        <f t="shared" si="1484"/>
        <v/>
      </c>
    </row>
    <row r="743">
      <c r="A743" s="6" t="str">
        <f>IFERROR(__xludf.DUMMYFUNCTION("""COMPUTED_VALUE"""),"FM2297")</f>
        <v>FM2297</v>
      </c>
      <c r="B743" s="206">
        <f>IFERROR(__xludf.DUMMYFUNCTION("""COMPUTED_VALUE"""),44697.0)</f>
        <v>44697</v>
      </c>
      <c r="C743" s="207">
        <f>IFERROR(__xludf.DUMMYFUNCTION("""COMPUTED_VALUE"""),0.7231828703703703)</f>
        <v>0.7231828704</v>
      </c>
      <c r="D743" s="50"/>
      <c r="E743" s="58"/>
      <c r="F743" s="58"/>
      <c r="G743" s="58" t="str">
        <f>IFERROR(__xludf.DUMMYFUNCTION("""COMPUTED_VALUE"""),"Null")</f>
        <v>Null</v>
      </c>
      <c r="H743" s="206" t="str">
        <f>IFERROR(__xludf.DUMMYFUNCTION("""COMPUTED_VALUE"""),"Negative")</f>
        <v>Negative</v>
      </c>
      <c r="I743" s="207">
        <f>IFERROR(__xludf.DUMMYFUNCTION("""COMPUTED_VALUE"""),44697.0)</f>
        <v>44697</v>
      </c>
      <c r="J743" s="208">
        <f>IFERROR(__xludf.DUMMYFUNCTION("""COMPUTED_VALUE"""),0.7956828703703703)</f>
        <v>0.7956828704</v>
      </c>
      <c r="K743" s="50">
        <f>IFERROR(__xludf.DUMMYFUNCTION("""COMPUTED_VALUE"""),2.0)</f>
        <v>2</v>
      </c>
      <c r="L743" s="6"/>
      <c r="M743" s="55"/>
      <c r="N743" s="55">
        <f>IFERROR(__xludf.DUMMYFUNCTION("""COMPUTED_VALUE"""),1.0)</f>
        <v>1</v>
      </c>
      <c r="O743" s="55" t="str">
        <f t="shared" si="3"/>
        <v/>
      </c>
      <c r="P743" s="209"/>
      <c r="Q743" s="75" t="b">
        <f>VLOOKUP($B743,'Run Reconcile'!B$2:P1679,15,FALSE)</f>
        <v>1</v>
      </c>
      <c r="R743" s="211" t="str">
        <f t="array" ref="R743">IF($Q743, INDEX('Run Reconcile'!A$2:A1679,MATCH(B743,'Run Reconcile'!B$2:B1679,0),1),IFERROR(0/0,""))</f>
        <v>RUN-COMB_2022-05-16_RFR-040</v>
      </c>
      <c r="S743" s="165" t="str">
        <f t="shared" ref="S743:T743" si="1485">IF(COUNTIF(W$2:W1679, $A743) &gt; 0,TRUE,IFERROR(0/0,""))</f>
        <v/>
      </c>
      <c r="T743" s="165" t="str">
        <f t="shared" si="1485"/>
        <v/>
      </c>
      <c r="U743" s="147" t="str">
        <f t="array" ref="U743">IF(ISBLANK($R743), IF($S743,VLOOKUP($B743+1,'RFR Data - preExcl'!$BF$2:$BG1679,2,FALSE),IF($T743,INDEX('RFR Data - preExcl'!$BF$2:$BG1679,MATCH($B743,'RFR Data - preExcl'!$BF$2:$BF1679,0)+1,2),VLOOKUP($B743,'RFR Data - preExcl'!$BF$2:$BG1679,2,FALSE))),IFERROR(0/0,""))</f>
        <v/>
      </c>
      <c r="V743" s="212" t="str">
        <f t="shared" si="5"/>
        <v>RUN-COMB_2022-05-16_RFR-040</v>
      </c>
      <c r="W743" s="51"/>
      <c r="X743" s="51"/>
      <c r="Y743" s="147" t="str">
        <f t="shared" ref="Y743:Z743" si="1486">IF(_xlfn.ISFORMULA(S743),IFERROR(0/0,""),TRUE)</f>
        <v/>
      </c>
      <c r="Z743" s="147" t="str">
        <f t="shared" si="1486"/>
        <v/>
      </c>
    </row>
    <row r="744">
      <c r="A744" s="6" t="str">
        <f>IFERROR(__xludf.DUMMYFUNCTION("""COMPUTED_VALUE"""),"FM2325")</f>
        <v>FM2325</v>
      </c>
      <c r="B744" s="206">
        <f>IFERROR(__xludf.DUMMYFUNCTION("""COMPUTED_VALUE"""),44697.0)</f>
        <v>44697</v>
      </c>
      <c r="C744" s="207">
        <f>IFERROR(__xludf.DUMMYFUNCTION("""COMPUTED_VALUE"""),0.7304050925925926)</f>
        <v>0.7304050926</v>
      </c>
      <c r="D744" s="50"/>
      <c r="E744" s="58"/>
      <c r="F744" s="58"/>
      <c r="G744" s="58" t="str">
        <f>IFERROR(__xludf.DUMMYFUNCTION("""COMPUTED_VALUE"""),"Null")</f>
        <v>Null</v>
      </c>
      <c r="H744" s="206" t="str">
        <f>IFERROR(__xludf.DUMMYFUNCTION("""COMPUTED_VALUE"""),"Negative")</f>
        <v>Negative</v>
      </c>
      <c r="I744" s="207">
        <f>IFERROR(__xludf.DUMMYFUNCTION("""COMPUTED_VALUE"""),44697.0)</f>
        <v>44697</v>
      </c>
      <c r="J744" s="208">
        <f>IFERROR(__xludf.DUMMYFUNCTION("""COMPUTED_VALUE"""),0.7956944444444445)</f>
        <v>0.7956944444</v>
      </c>
      <c r="K744" s="50">
        <f>IFERROR(__xludf.DUMMYFUNCTION("""COMPUTED_VALUE"""),2.0)</f>
        <v>2</v>
      </c>
      <c r="L744" s="6"/>
      <c r="M744" s="55"/>
      <c r="N744" s="55">
        <f>IFERROR(__xludf.DUMMYFUNCTION("""COMPUTED_VALUE"""),1.0)</f>
        <v>1</v>
      </c>
      <c r="O744" s="55" t="str">
        <f t="shared" si="3"/>
        <v/>
      </c>
      <c r="P744" s="209"/>
      <c r="Q744" s="75" t="b">
        <f>VLOOKUP($B744,'Run Reconcile'!B$2:P1679,15,FALSE)</f>
        <v>1</v>
      </c>
      <c r="R744" s="211" t="str">
        <f t="array" ref="R744">IF($Q744, INDEX('Run Reconcile'!A$2:A1679,MATCH(B744,'Run Reconcile'!B$2:B1679,0),1),IFERROR(0/0,""))</f>
        <v>RUN-COMB_2022-05-16_RFR-040</v>
      </c>
      <c r="S744" s="165" t="str">
        <f t="shared" ref="S744:T744" si="1487">IF(COUNTIF(W$2:W1679, $A744) &gt; 0,TRUE,IFERROR(0/0,""))</f>
        <v/>
      </c>
      <c r="T744" s="165" t="str">
        <f t="shared" si="1487"/>
        <v/>
      </c>
      <c r="U744" s="147" t="str">
        <f t="array" ref="U744">IF(ISBLANK($R744), IF($S744,VLOOKUP($B744+1,'RFR Data - preExcl'!$BF$2:$BG1679,2,FALSE),IF($T744,INDEX('RFR Data - preExcl'!$BF$2:$BG1679,MATCH($B744,'RFR Data - preExcl'!$BF$2:$BF1679,0)+1,2),VLOOKUP($B744,'RFR Data - preExcl'!$BF$2:$BG1679,2,FALSE))),IFERROR(0/0,""))</f>
        <v/>
      </c>
      <c r="V744" s="212" t="str">
        <f t="shared" si="5"/>
        <v>RUN-COMB_2022-05-16_RFR-040</v>
      </c>
      <c r="W744" s="51"/>
      <c r="X744" s="51"/>
      <c r="Y744" s="147" t="str">
        <f t="shared" ref="Y744:Z744" si="1488">IF(_xlfn.ISFORMULA(S744),IFERROR(0/0,""),TRUE)</f>
        <v/>
      </c>
      <c r="Z744" s="147" t="str">
        <f t="shared" si="1488"/>
        <v/>
      </c>
    </row>
    <row r="745">
      <c r="A745" s="6" t="str">
        <f>IFERROR(__xludf.DUMMYFUNCTION("""COMPUTED_VALUE"""),"FM2242")</f>
        <v>FM2242</v>
      </c>
      <c r="B745" s="206">
        <f>IFERROR(__xludf.DUMMYFUNCTION("""COMPUTED_VALUE"""),44697.0)</f>
        <v>44697</v>
      </c>
      <c r="C745" s="207">
        <f>IFERROR(__xludf.DUMMYFUNCTION("""COMPUTED_VALUE"""),0.7309606481481481)</f>
        <v>0.7309606481</v>
      </c>
      <c r="D745" s="50"/>
      <c r="E745" s="58"/>
      <c r="F745" s="58"/>
      <c r="G745" s="58" t="str">
        <f>IFERROR(__xludf.DUMMYFUNCTION("""COMPUTED_VALUE"""),"Null")</f>
        <v>Null</v>
      </c>
      <c r="H745" s="206" t="str">
        <f>IFERROR(__xludf.DUMMYFUNCTION("""COMPUTED_VALUE"""),"Negative")</f>
        <v>Negative</v>
      </c>
      <c r="I745" s="207">
        <f>IFERROR(__xludf.DUMMYFUNCTION("""COMPUTED_VALUE"""),44697.0)</f>
        <v>44697</v>
      </c>
      <c r="J745" s="208">
        <f>IFERROR(__xludf.DUMMYFUNCTION("""COMPUTED_VALUE"""),0.7957060185185185)</f>
        <v>0.7957060185</v>
      </c>
      <c r="K745" s="50">
        <f>IFERROR(__xludf.DUMMYFUNCTION("""COMPUTED_VALUE"""),2.0)</f>
        <v>2</v>
      </c>
      <c r="L745" s="6"/>
      <c r="M745" s="55"/>
      <c r="N745" s="55">
        <f>IFERROR(__xludf.DUMMYFUNCTION("""COMPUTED_VALUE"""),1.0)</f>
        <v>1</v>
      </c>
      <c r="O745" s="55" t="str">
        <f t="shared" si="3"/>
        <v/>
      </c>
      <c r="P745" s="209"/>
      <c r="Q745" s="75" t="b">
        <f>VLOOKUP($B745,'Run Reconcile'!B$2:P1679,15,FALSE)</f>
        <v>1</v>
      </c>
      <c r="R745" s="211" t="str">
        <f t="array" ref="R745">IF($Q745, INDEX('Run Reconcile'!A$2:A1679,MATCH(B745,'Run Reconcile'!B$2:B1679,0),1),IFERROR(0/0,""))</f>
        <v>RUN-COMB_2022-05-16_RFR-040</v>
      </c>
      <c r="S745" s="165" t="str">
        <f t="shared" ref="S745:T745" si="1489">IF(COUNTIF(W$2:W1679, $A745) &gt; 0,TRUE,IFERROR(0/0,""))</f>
        <v/>
      </c>
      <c r="T745" s="165" t="str">
        <f t="shared" si="1489"/>
        <v/>
      </c>
      <c r="U745" s="147" t="str">
        <f t="array" ref="U745">IF(ISBLANK($R745), IF($S745,VLOOKUP($B745+1,'RFR Data - preExcl'!$BF$2:$BG1679,2,FALSE),IF($T745,INDEX('RFR Data - preExcl'!$BF$2:$BG1679,MATCH($B745,'RFR Data - preExcl'!$BF$2:$BF1679,0)+1,2),VLOOKUP($B745,'RFR Data - preExcl'!$BF$2:$BG1679,2,FALSE))),IFERROR(0/0,""))</f>
        <v/>
      </c>
      <c r="V745" s="212" t="str">
        <f t="shared" si="5"/>
        <v>RUN-COMB_2022-05-16_RFR-040</v>
      </c>
      <c r="W745" s="51"/>
      <c r="X745" s="51"/>
      <c r="Y745" s="147" t="str">
        <f t="shared" ref="Y745:Z745" si="1490">IF(_xlfn.ISFORMULA(S745),IFERROR(0/0,""),TRUE)</f>
        <v/>
      </c>
      <c r="Z745" s="147" t="str">
        <f t="shared" si="1490"/>
        <v/>
      </c>
    </row>
    <row r="746">
      <c r="A746" s="6" t="str">
        <f>IFERROR(__xludf.DUMMYFUNCTION("""COMPUTED_VALUE"""),"FM2236")</f>
        <v>FM2236</v>
      </c>
      <c r="B746" s="206">
        <f>IFERROR(__xludf.DUMMYFUNCTION("""COMPUTED_VALUE"""),44697.0)</f>
        <v>44697</v>
      </c>
      <c r="C746" s="207">
        <f>IFERROR(__xludf.DUMMYFUNCTION("""COMPUTED_VALUE"""),0.7453703703703703)</f>
        <v>0.7453703704</v>
      </c>
      <c r="D746" s="50"/>
      <c r="E746" s="58"/>
      <c r="F746" s="58"/>
      <c r="G746" s="58" t="str">
        <f>IFERROR(__xludf.DUMMYFUNCTION("""COMPUTED_VALUE"""),"Null")</f>
        <v>Null</v>
      </c>
      <c r="H746" s="206" t="str">
        <f>IFERROR(__xludf.DUMMYFUNCTION("""COMPUTED_VALUE"""),"Negative")</f>
        <v>Negative</v>
      </c>
      <c r="I746" s="207">
        <f>IFERROR(__xludf.DUMMYFUNCTION("""COMPUTED_VALUE"""),44697.0)</f>
        <v>44697</v>
      </c>
      <c r="J746" s="208">
        <f>IFERROR(__xludf.DUMMYFUNCTION("""COMPUTED_VALUE"""),0.7957175925925926)</f>
        <v>0.7957175926</v>
      </c>
      <c r="K746" s="50">
        <f>IFERROR(__xludf.DUMMYFUNCTION("""COMPUTED_VALUE"""),2.0)</f>
        <v>2</v>
      </c>
      <c r="L746" s="6"/>
      <c r="M746" s="55"/>
      <c r="N746" s="55">
        <f>IFERROR(__xludf.DUMMYFUNCTION("""COMPUTED_VALUE"""),1.0)</f>
        <v>1</v>
      </c>
      <c r="O746" s="55" t="str">
        <f t="shared" si="3"/>
        <v/>
      </c>
      <c r="P746" s="209"/>
      <c r="Q746" s="75" t="b">
        <f>VLOOKUP($B746,'Run Reconcile'!B$2:P1679,15,FALSE)</f>
        <v>1</v>
      </c>
      <c r="R746" s="211" t="str">
        <f t="array" ref="R746">IF($Q746, INDEX('Run Reconcile'!A$2:A1679,MATCH(B746,'Run Reconcile'!B$2:B1679,0),1),IFERROR(0/0,""))</f>
        <v>RUN-COMB_2022-05-16_RFR-040</v>
      </c>
      <c r="S746" s="165" t="str">
        <f t="shared" ref="S746:T746" si="1491">IF(COUNTIF(W$2:W1679, $A746) &gt; 0,TRUE,IFERROR(0/0,""))</f>
        <v/>
      </c>
      <c r="T746" s="165" t="str">
        <f t="shared" si="1491"/>
        <v/>
      </c>
      <c r="U746" s="147" t="str">
        <f t="array" ref="U746">IF(ISBLANK($R746), IF($S746,VLOOKUP($B746+1,'RFR Data - preExcl'!$BF$2:$BG1679,2,FALSE),IF($T746,INDEX('RFR Data - preExcl'!$BF$2:$BG1679,MATCH($B746,'RFR Data - preExcl'!$BF$2:$BF1679,0)+1,2),VLOOKUP($B746,'RFR Data - preExcl'!$BF$2:$BG1679,2,FALSE))),IFERROR(0/0,""))</f>
        <v/>
      </c>
      <c r="V746" s="212" t="str">
        <f t="shared" si="5"/>
        <v>RUN-COMB_2022-05-16_RFR-040</v>
      </c>
      <c r="W746" s="51"/>
      <c r="X746" s="51"/>
      <c r="Y746" s="147" t="str">
        <f t="shared" ref="Y746:Z746" si="1492">IF(_xlfn.ISFORMULA(S746),IFERROR(0/0,""),TRUE)</f>
        <v/>
      </c>
      <c r="Z746" s="147" t="str">
        <f t="shared" si="1492"/>
        <v/>
      </c>
    </row>
    <row r="747">
      <c r="A747" s="6" t="str">
        <f>IFERROR(__xludf.DUMMYFUNCTION("""COMPUTED_VALUE"""),"FM2273")</f>
        <v>FM2273</v>
      </c>
      <c r="B747" s="206">
        <f>IFERROR(__xludf.DUMMYFUNCTION("""COMPUTED_VALUE"""),44697.0)</f>
        <v>44697</v>
      </c>
      <c r="C747" s="207">
        <f>IFERROR(__xludf.DUMMYFUNCTION("""COMPUTED_VALUE"""),0.7475462962962963)</f>
        <v>0.7475462963</v>
      </c>
      <c r="D747" s="50"/>
      <c r="E747" s="58"/>
      <c r="F747" s="58"/>
      <c r="G747" s="58" t="str">
        <f>IFERROR(__xludf.DUMMYFUNCTION("""COMPUTED_VALUE"""),"Null")</f>
        <v>Null</v>
      </c>
      <c r="H747" s="206" t="str">
        <f>IFERROR(__xludf.DUMMYFUNCTION("""COMPUTED_VALUE"""),"Negative")</f>
        <v>Negative</v>
      </c>
      <c r="I747" s="207">
        <f>IFERROR(__xludf.DUMMYFUNCTION("""COMPUTED_VALUE"""),44697.0)</f>
        <v>44697</v>
      </c>
      <c r="J747" s="208">
        <f>IFERROR(__xludf.DUMMYFUNCTION("""COMPUTED_VALUE"""),0.7957291666666667)</f>
        <v>0.7957291667</v>
      </c>
      <c r="K747" s="50">
        <f>IFERROR(__xludf.DUMMYFUNCTION("""COMPUTED_VALUE"""),2.0)</f>
        <v>2</v>
      </c>
      <c r="L747" s="6"/>
      <c r="M747" s="55"/>
      <c r="N747" s="55">
        <f>IFERROR(__xludf.DUMMYFUNCTION("""COMPUTED_VALUE"""),1.0)</f>
        <v>1</v>
      </c>
      <c r="O747" s="55" t="str">
        <f t="shared" si="3"/>
        <v/>
      </c>
      <c r="P747" s="209"/>
      <c r="Q747" s="75" t="b">
        <f>VLOOKUP($B747,'Run Reconcile'!B$2:P1679,15,FALSE)</f>
        <v>1</v>
      </c>
      <c r="R747" s="211" t="str">
        <f t="array" ref="R747">IF($Q747, INDEX('Run Reconcile'!A$2:A1679,MATCH(B747,'Run Reconcile'!B$2:B1679,0),1),IFERROR(0/0,""))</f>
        <v>RUN-COMB_2022-05-16_RFR-040</v>
      </c>
      <c r="S747" s="165" t="str">
        <f t="shared" ref="S747:T747" si="1493">IF(COUNTIF(W$2:W1679, $A747) &gt; 0,TRUE,IFERROR(0/0,""))</f>
        <v/>
      </c>
      <c r="T747" s="165" t="str">
        <f t="shared" si="1493"/>
        <v/>
      </c>
      <c r="U747" s="147" t="str">
        <f t="array" ref="U747">IF(ISBLANK($R747), IF($S747,VLOOKUP($B747+1,'RFR Data - preExcl'!$BF$2:$BG1679,2,FALSE),IF($T747,INDEX('RFR Data - preExcl'!$BF$2:$BG1679,MATCH($B747,'RFR Data - preExcl'!$BF$2:$BF1679,0)+1,2),VLOOKUP($B747,'RFR Data - preExcl'!$BF$2:$BG1679,2,FALSE))),IFERROR(0/0,""))</f>
        <v/>
      </c>
      <c r="V747" s="212" t="str">
        <f t="shared" si="5"/>
        <v>RUN-COMB_2022-05-16_RFR-040</v>
      </c>
      <c r="W747" s="51"/>
      <c r="X747" s="51"/>
      <c r="Y747" s="147" t="str">
        <f t="shared" ref="Y747:Z747" si="1494">IF(_xlfn.ISFORMULA(S747),IFERROR(0/0,""),TRUE)</f>
        <v/>
      </c>
      <c r="Z747" s="147" t="str">
        <f t="shared" si="1494"/>
        <v/>
      </c>
    </row>
    <row r="748">
      <c r="A748" s="6" t="str">
        <f>IFERROR(__xludf.DUMMYFUNCTION("""COMPUTED_VALUE"""),"FM2321")</f>
        <v>FM2321</v>
      </c>
      <c r="B748" s="206">
        <f>IFERROR(__xludf.DUMMYFUNCTION("""COMPUTED_VALUE"""),44698.0)</f>
        <v>44698</v>
      </c>
      <c r="C748" s="207">
        <f>IFERROR(__xludf.DUMMYFUNCTION("""COMPUTED_VALUE"""),0.2594328703703704)</f>
        <v>0.2594328704</v>
      </c>
      <c r="D748" s="50"/>
      <c r="E748" s="58"/>
      <c r="F748" s="58"/>
      <c r="G748" s="58" t="str">
        <f>IFERROR(__xludf.DUMMYFUNCTION("""COMPUTED_VALUE"""),"Null")</f>
        <v>Null</v>
      </c>
      <c r="H748" s="206" t="str">
        <f>IFERROR(__xludf.DUMMYFUNCTION("""COMPUTED_VALUE"""),"Negative")</f>
        <v>Negative</v>
      </c>
      <c r="I748" s="207">
        <f>IFERROR(__xludf.DUMMYFUNCTION("""COMPUTED_VALUE"""),44698.0)</f>
        <v>44698</v>
      </c>
      <c r="J748" s="208">
        <f>IFERROR(__xludf.DUMMYFUNCTION("""COMPUTED_VALUE"""),0.3422337962962963)</f>
        <v>0.3422337963</v>
      </c>
      <c r="K748" s="50">
        <f>IFERROR(__xludf.DUMMYFUNCTION("""COMPUTED_VALUE"""),2.0)</f>
        <v>2</v>
      </c>
      <c r="L748" s="6"/>
      <c r="M748" s="55"/>
      <c r="N748" s="55">
        <f>IFERROR(__xludf.DUMMYFUNCTION("""COMPUTED_VALUE"""),1.0)</f>
        <v>1</v>
      </c>
      <c r="O748" s="55" t="b">
        <f t="shared" si="3"/>
        <v>1</v>
      </c>
      <c r="P748" s="209"/>
      <c r="Q748" s="75" t="b">
        <f>VLOOKUP($B748,'Run Reconcile'!B$2:P1679,15,FALSE)</f>
        <v>1</v>
      </c>
      <c r="R748" s="211" t="str">
        <f t="array" ref="R748">IF($Q748, INDEX('Run Reconcile'!A$2:A1679,MATCH(B748,'Run Reconcile'!B$2:B1679,0),1),IFERROR(0/0,""))</f>
        <v>RUN-COMB_2022-05-17_RFR-041</v>
      </c>
      <c r="S748" s="165" t="str">
        <f t="shared" ref="S748:T748" si="1495">IF(COUNTIF(W$2:W1679, $A748) &gt; 0,TRUE,IFERROR(0/0,""))</f>
        <v/>
      </c>
      <c r="T748" s="165" t="str">
        <f t="shared" si="1495"/>
        <v/>
      </c>
      <c r="U748" s="147" t="str">
        <f t="array" ref="U748">IF(ISBLANK($R748), IF($S748,VLOOKUP($B748+1,'RFR Data - preExcl'!$BF$2:$BG1679,2,FALSE),IF($T748,INDEX('RFR Data - preExcl'!$BF$2:$BG1679,MATCH($B748,'RFR Data - preExcl'!$BF$2:$BF1679,0)+1,2),VLOOKUP($B748,'RFR Data - preExcl'!$BF$2:$BG1679,2,FALSE))),IFERROR(0/0,""))</f>
        <v/>
      </c>
      <c r="V748" s="212" t="str">
        <f t="shared" si="5"/>
        <v>RUN-COMB_2022-05-17_RFR-041</v>
      </c>
      <c r="W748" s="51"/>
      <c r="X748" s="51"/>
      <c r="Y748" s="147" t="str">
        <f t="shared" ref="Y748:Z748" si="1496">IF(_xlfn.ISFORMULA(S748),IFERROR(0/0,""),TRUE)</f>
        <v/>
      </c>
      <c r="Z748" s="147" t="str">
        <f t="shared" si="1496"/>
        <v/>
      </c>
    </row>
    <row r="749">
      <c r="A749" s="6" t="str">
        <f>IFERROR(__xludf.DUMMYFUNCTION("""COMPUTED_VALUE"""),"FM2960")</f>
        <v>FM2960</v>
      </c>
      <c r="B749" s="206">
        <f>IFERROR(__xludf.DUMMYFUNCTION("""COMPUTED_VALUE"""),44698.0)</f>
        <v>44698</v>
      </c>
      <c r="C749" s="207">
        <f>IFERROR(__xludf.DUMMYFUNCTION("""COMPUTED_VALUE"""),0.2597453703703704)</f>
        <v>0.2597453704</v>
      </c>
      <c r="D749" s="50"/>
      <c r="E749" s="58"/>
      <c r="F749" s="58"/>
      <c r="G749" s="58" t="str">
        <f>IFERROR(__xludf.DUMMYFUNCTION("""COMPUTED_VALUE"""),"Null")</f>
        <v>Null</v>
      </c>
      <c r="H749" s="206" t="str">
        <f>IFERROR(__xludf.DUMMYFUNCTION("""COMPUTED_VALUE"""),"Negative")</f>
        <v>Negative</v>
      </c>
      <c r="I749" s="207">
        <f>IFERROR(__xludf.DUMMYFUNCTION("""COMPUTED_VALUE"""),44698.0)</f>
        <v>44698</v>
      </c>
      <c r="J749" s="208">
        <f>IFERROR(__xludf.DUMMYFUNCTION("""COMPUTED_VALUE"""),0.3422685185185185)</f>
        <v>0.3422685185</v>
      </c>
      <c r="K749" s="50">
        <f>IFERROR(__xludf.DUMMYFUNCTION("""COMPUTED_VALUE"""),2.0)</f>
        <v>2</v>
      </c>
      <c r="L749" s="6"/>
      <c r="M749" s="55"/>
      <c r="N749" s="55">
        <f>IFERROR(__xludf.DUMMYFUNCTION("""COMPUTED_VALUE"""),1.0)</f>
        <v>1</v>
      </c>
      <c r="O749" s="55" t="str">
        <f t="shared" si="3"/>
        <v/>
      </c>
      <c r="P749" s="209"/>
      <c r="Q749" s="75" t="b">
        <f>VLOOKUP($B749,'Run Reconcile'!B$2:P1679,15,FALSE)</f>
        <v>1</v>
      </c>
      <c r="R749" s="211" t="str">
        <f t="array" ref="R749">IF($Q749, INDEX('Run Reconcile'!A$2:A1679,MATCH(B749,'Run Reconcile'!B$2:B1679,0),1),IFERROR(0/0,""))</f>
        <v>RUN-COMB_2022-05-17_RFR-041</v>
      </c>
      <c r="S749" s="165" t="str">
        <f t="shared" ref="S749:T749" si="1497">IF(COUNTIF(W$2:W1679, $A749) &gt; 0,TRUE,IFERROR(0/0,""))</f>
        <v/>
      </c>
      <c r="T749" s="165" t="str">
        <f t="shared" si="1497"/>
        <v/>
      </c>
      <c r="U749" s="147" t="str">
        <f t="array" ref="U749">IF(ISBLANK($R749), IF($S749,VLOOKUP($B749+1,'RFR Data - preExcl'!$BF$2:$BG1679,2,FALSE),IF($T749,INDEX('RFR Data - preExcl'!$BF$2:$BG1679,MATCH($B749,'RFR Data - preExcl'!$BF$2:$BF1679,0)+1,2),VLOOKUP($B749,'RFR Data - preExcl'!$BF$2:$BG1679,2,FALSE))),IFERROR(0/0,""))</f>
        <v/>
      </c>
      <c r="V749" s="212" t="str">
        <f t="shared" si="5"/>
        <v>RUN-COMB_2022-05-17_RFR-041</v>
      </c>
      <c r="W749" s="51"/>
      <c r="X749" s="51"/>
      <c r="Y749" s="147" t="str">
        <f t="shared" ref="Y749:Z749" si="1498">IF(_xlfn.ISFORMULA(S749),IFERROR(0/0,""),TRUE)</f>
        <v/>
      </c>
      <c r="Z749" s="147" t="str">
        <f t="shared" si="1498"/>
        <v/>
      </c>
    </row>
    <row r="750">
      <c r="A750" s="6" t="str">
        <f>IFERROR(__xludf.DUMMYFUNCTION("""COMPUTED_VALUE"""),"FM2892")</f>
        <v>FM2892</v>
      </c>
      <c r="B750" s="206">
        <f>IFERROR(__xludf.DUMMYFUNCTION("""COMPUTED_VALUE"""),44698.0)</f>
        <v>44698</v>
      </c>
      <c r="C750" s="207">
        <f>IFERROR(__xludf.DUMMYFUNCTION("""COMPUTED_VALUE"""),0.2627199074074074)</f>
        <v>0.2627199074</v>
      </c>
      <c r="D750" s="50"/>
      <c r="E750" s="58"/>
      <c r="F750" s="58"/>
      <c r="G750" s="58" t="str">
        <f>IFERROR(__xludf.DUMMYFUNCTION("""COMPUTED_VALUE"""),"Null")</f>
        <v>Null</v>
      </c>
      <c r="H750" s="206" t="str">
        <f>IFERROR(__xludf.DUMMYFUNCTION("""COMPUTED_VALUE"""),"Negative")</f>
        <v>Negative</v>
      </c>
      <c r="I750" s="207">
        <f>IFERROR(__xludf.DUMMYFUNCTION("""COMPUTED_VALUE"""),44698.0)</f>
        <v>44698</v>
      </c>
      <c r="J750" s="208">
        <f>IFERROR(__xludf.DUMMYFUNCTION("""COMPUTED_VALUE"""),0.34229166666666666)</f>
        <v>0.3422916667</v>
      </c>
      <c r="K750" s="50">
        <f>IFERROR(__xludf.DUMMYFUNCTION("""COMPUTED_VALUE"""),2.0)</f>
        <v>2</v>
      </c>
      <c r="L750" s="6"/>
      <c r="M750" s="55"/>
      <c r="N750" s="55">
        <f>IFERROR(__xludf.DUMMYFUNCTION("""COMPUTED_VALUE"""),1.0)</f>
        <v>1</v>
      </c>
      <c r="O750" s="55" t="str">
        <f t="shared" si="3"/>
        <v/>
      </c>
      <c r="P750" s="209"/>
      <c r="Q750" s="75" t="b">
        <f>VLOOKUP($B750,'Run Reconcile'!B$2:P1679,15,FALSE)</f>
        <v>1</v>
      </c>
      <c r="R750" s="211" t="str">
        <f t="array" ref="R750">IF($Q750, INDEX('Run Reconcile'!A$2:A1679,MATCH(B750,'Run Reconcile'!B$2:B1679,0),1),IFERROR(0/0,""))</f>
        <v>RUN-COMB_2022-05-17_RFR-041</v>
      </c>
      <c r="S750" s="165" t="str">
        <f t="shared" ref="S750:T750" si="1499">IF(COUNTIF(W$2:W1679, $A750) &gt; 0,TRUE,IFERROR(0/0,""))</f>
        <v/>
      </c>
      <c r="T750" s="165" t="str">
        <f t="shared" si="1499"/>
        <v/>
      </c>
      <c r="U750" s="147" t="str">
        <f t="array" ref="U750">IF(ISBLANK($R750), IF($S750,VLOOKUP($B750+1,'RFR Data - preExcl'!$BF$2:$BG1679,2,FALSE),IF($T750,INDEX('RFR Data - preExcl'!$BF$2:$BG1679,MATCH($B750,'RFR Data - preExcl'!$BF$2:$BF1679,0)+1,2),VLOOKUP($B750,'RFR Data - preExcl'!$BF$2:$BG1679,2,FALSE))),IFERROR(0/0,""))</f>
        <v/>
      </c>
      <c r="V750" s="212" t="str">
        <f t="shared" si="5"/>
        <v>RUN-COMB_2022-05-17_RFR-041</v>
      </c>
      <c r="W750" s="51"/>
      <c r="X750" s="51"/>
      <c r="Y750" s="147" t="str">
        <f t="shared" ref="Y750:Z750" si="1500">IF(_xlfn.ISFORMULA(S750),IFERROR(0/0,""),TRUE)</f>
        <v/>
      </c>
      <c r="Z750" s="147" t="str">
        <f t="shared" si="1500"/>
        <v/>
      </c>
    </row>
    <row r="751">
      <c r="A751" s="6" t="str">
        <f>IFERROR(__xludf.DUMMYFUNCTION("""COMPUTED_VALUE"""),"FM2915")</f>
        <v>FM2915</v>
      </c>
      <c r="B751" s="206">
        <f>IFERROR(__xludf.DUMMYFUNCTION("""COMPUTED_VALUE"""),44698.0)</f>
        <v>44698</v>
      </c>
      <c r="C751" s="207">
        <f>IFERROR(__xludf.DUMMYFUNCTION("""COMPUTED_VALUE"""),0.2630439814814815)</f>
        <v>0.2630439815</v>
      </c>
      <c r="D751" s="50"/>
      <c r="E751" s="58"/>
      <c r="F751" s="58"/>
      <c r="G751" s="58" t="str">
        <f>IFERROR(__xludf.DUMMYFUNCTION("""COMPUTED_VALUE"""),"Null")</f>
        <v>Null</v>
      </c>
      <c r="H751" s="206" t="str">
        <f>IFERROR(__xludf.DUMMYFUNCTION("""COMPUTED_VALUE"""),"Negative")</f>
        <v>Negative</v>
      </c>
      <c r="I751" s="207">
        <f>IFERROR(__xludf.DUMMYFUNCTION("""COMPUTED_VALUE"""),44698.0)</f>
        <v>44698</v>
      </c>
      <c r="J751" s="208">
        <f>IFERROR(__xludf.DUMMYFUNCTION("""COMPUTED_VALUE"""),0.3423263888888889)</f>
        <v>0.3423263889</v>
      </c>
      <c r="K751" s="50">
        <f>IFERROR(__xludf.DUMMYFUNCTION("""COMPUTED_VALUE"""),2.0)</f>
        <v>2</v>
      </c>
      <c r="L751" s="6"/>
      <c r="M751" s="55"/>
      <c r="N751" s="55">
        <f>IFERROR(__xludf.DUMMYFUNCTION("""COMPUTED_VALUE"""),1.0)</f>
        <v>1</v>
      </c>
      <c r="O751" s="55" t="str">
        <f t="shared" si="3"/>
        <v/>
      </c>
      <c r="P751" s="209"/>
      <c r="Q751" s="75" t="b">
        <f>VLOOKUP($B751,'Run Reconcile'!B$2:P1679,15,FALSE)</f>
        <v>1</v>
      </c>
      <c r="R751" s="211" t="str">
        <f t="array" ref="R751">IF($Q751, INDEX('Run Reconcile'!A$2:A1679,MATCH(B751,'Run Reconcile'!B$2:B1679,0),1),IFERROR(0/0,""))</f>
        <v>RUN-COMB_2022-05-17_RFR-041</v>
      </c>
      <c r="S751" s="165" t="str">
        <f t="shared" ref="S751:T751" si="1501">IF(COUNTIF(W$2:W1679, $A751) &gt; 0,TRUE,IFERROR(0/0,""))</f>
        <v/>
      </c>
      <c r="T751" s="165" t="str">
        <f t="shared" si="1501"/>
        <v/>
      </c>
      <c r="U751" s="147" t="str">
        <f t="array" ref="U751">IF(ISBLANK($R751), IF($S751,VLOOKUP($B751+1,'RFR Data - preExcl'!$BF$2:$BG1679,2,FALSE),IF($T751,INDEX('RFR Data - preExcl'!$BF$2:$BG1679,MATCH($B751,'RFR Data - preExcl'!$BF$2:$BF1679,0)+1,2),VLOOKUP($B751,'RFR Data - preExcl'!$BF$2:$BG1679,2,FALSE))),IFERROR(0/0,""))</f>
        <v/>
      </c>
      <c r="V751" s="212" t="str">
        <f t="shared" si="5"/>
        <v>RUN-COMB_2022-05-17_RFR-041</v>
      </c>
      <c r="W751" s="51"/>
      <c r="X751" s="51"/>
      <c r="Y751" s="147" t="str">
        <f t="shared" ref="Y751:Z751" si="1502">IF(_xlfn.ISFORMULA(S751),IFERROR(0/0,""),TRUE)</f>
        <v/>
      </c>
      <c r="Z751" s="147" t="str">
        <f t="shared" si="1502"/>
        <v/>
      </c>
    </row>
    <row r="752">
      <c r="A752" s="6" t="str">
        <f>IFERROR(__xludf.DUMMYFUNCTION("""COMPUTED_VALUE"""),"FM2250")</f>
        <v>FM2250</v>
      </c>
      <c r="B752" s="206">
        <f>IFERROR(__xludf.DUMMYFUNCTION("""COMPUTED_VALUE"""),44698.0)</f>
        <v>44698</v>
      </c>
      <c r="C752" s="207">
        <f>IFERROR(__xludf.DUMMYFUNCTION("""COMPUTED_VALUE"""),0.26342592592592595)</f>
        <v>0.2634259259</v>
      </c>
      <c r="D752" s="50"/>
      <c r="E752" s="58"/>
      <c r="F752" s="58"/>
      <c r="G752" s="58" t="str">
        <f>IFERROR(__xludf.DUMMYFUNCTION("""COMPUTED_VALUE"""),"Null")</f>
        <v>Null</v>
      </c>
      <c r="H752" s="206" t="str">
        <f>IFERROR(__xludf.DUMMYFUNCTION("""COMPUTED_VALUE"""),"Negative")</f>
        <v>Negative</v>
      </c>
      <c r="I752" s="207">
        <f>IFERROR(__xludf.DUMMYFUNCTION("""COMPUTED_VALUE"""),44698.0)</f>
        <v>44698</v>
      </c>
      <c r="J752" s="208">
        <f>IFERROR(__xludf.DUMMYFUNCTION("""COMPUTED_VALUE"""),0.3423263888888889)</f>
        <v>0.3423263889</v>
      </c>
      <c r="K752" s="50">
        <f>IFERROR(__xludf.DUMMYFUNCTION("""COMPUTED_VALUE"""),2.0)</f>
        <v>2</v>
      </c>
      <c r="L752" s="6"/>
      <c r="M752" s="55"/>
      <c r="N752" s="55">
        <f>IFERROR(__xludf.DUMMYFUNCTION("""COMPUTED_VALUE"""),1.0)</f>
        <v>1</v>
      </c>
      <c r="O752" s="55" t="str">
        <f t="shared" si="3"/>
        <v/>
      </c>
      <c r="P752" s="209"/>
      <c r="Q752" s="75" t="b">
        <f>VLOOKUP($B752,'Run Reconcile'!B$2:P1679,15,FALSE)</f>
        <v>1</v>
      </c>
      <c r="R752" s="211" t="str">
        <f t="array" ref="R752">IF($Q752, INDEX('Run Reconcile'!A$2:A1679,MATCH(B752,'Run Reconcile'!B$2:B1679,0),1),IFERROR(0/0,""))</f>
        <v>RUN-COMB_2022-05-17_RFR-041</v>
      </c>
      <c r="S752" s="165" t="str">
        <f t="shared" ref="S752:T752" si="1503">IF(COUNTIF(W$2:W1679, $A752) &gt; 0,TRUE,IFERROR(0/0,""))</f>
        <v/>
      </c>
      <c r="T752" s="165" t="str">
        <f t="shared" si="1503"/>
        <v/>
      </c>
      <c r="U752" s="147" t="str">
        <f t="array" ref="U752">IF(ISBLANK($R752), IF($S752,VLOOKUP($B752+1,'RFR Data - preExcl'!$BF$2:$BG1679,2,FALSE),IF($T752,INDEX('RFR Data - preExcl'!$BF$2:$BG1679,MATCH($B752,'RFR Data - preExcl'!$BF$2:$BF1679,0)+1,2),VLOOKUP($B752,'RFR Data - preExcl'!$BF$2:$BG1679,2,FALSE))),IFERROR(0/0,""))</f>
        <v/>
      </c>
      <c r="V752" s="212" t="str">
        <f t="shared" si="5"/>
        <v>RUN-COMB_2022-05-17_RFR-041</v>
      </c>
      <c r="W752" s="51"/>
      <c r="X752" s="51"/>
      <c r="Y752" s="147" t="str">
        <f t="shared" ref="Y752:Z752" si="1504">IF(_xlfn.ISFORMULA(S752),IFERROR(0/0,""),TRUE)</f>
        <v/>
      </c>
      <c r="Z752" s="147" t="str">
        <f t="shared" si="1504"/>
        <v/>
      </c>
    </row>
    <row r="753">
      <c r="A753" s="6" t="str">
        <f>IFERROR(__xludf.DUMMYFUNCTION("""COMPUTED_VALUE"""),"FM2896")</f>
        <v>FM2896</v>
      </c>
      <c r="B753" s="206">
        <f>IFERROR(__xludf.DUMMYFUNCTION("""COMPUTED_VALUE"""),44698.0)</f>
        <v>44698</v>
      </c>
      <c r="C753" s="207">
        <f>IFERROR(__xludf.DUMMYFUNCTION("""COMPUTED_VALUE"""),0.2637962962962963)</f>
        <v>0.2637962963</v>
      </c>
      <c r="D753" s="50"/>
      <c r="E753" s="58"/>
      <c r="F753" s="58"/>
      <c r="G753" s="58" t="str">
        <f>IFERROR(__xludf.DUMMYFUNCTION("""COMPUTED_VALUE"""),"Null")</f>
        <v>Null</v>
      </c>
      <c r="H753" s="206" t="str">
        <f>IFERROR(__xludf.DUMMYFUNCTION("""COMPUTED_VALUE"""),"Negative")</f>
        <v>Negative</v>
      </c>
      <c r="I753" s="207">
        <f>IFERROR(__xludf.DUMMYFUNCTION("""COMPUTED_VALUE"""),44698.0)</f>
        <v>44698</v>
      </c>
      <c r="J753" s="208">
        <f>IFERROR(__xludf.DUMMYFUNCTION("""COMPUTED_VALUE"""),0.342337962962963)</f>
        <v>0.342337963</v>
      </c>
      <c r="K753" s="50">
        <f>IFERROR(__xludf.DUMMYFUNCTION("""COMPUTED_VALUE"""),2.0)</f>
        <v>2</v>
      </c>
      <c r="L753" s="6"/>
      <c r="M753" s="55"/>
      <c r="N753" s="55">
        <f>IFERROR(__xludf.DUMMYFUNCTION("""COMPUTED_VALUE"""),1.0)</f>
        <v>1</v>
      </c>
      <c r="O753" s="55" t="str">
        <f t="shared" si="3"/>
        <v/>
      </c>
      <c r="P753" s="209"/>
      <c r="Q753" s="75" t="b">
        <f>VLOOKUP($B753,'Run Reconcile'!B$2:P1679,15,FALSE)</f>
        <v>1</v>
      </c>
      <c r="R753" s="211" t="str">
        <f t="array" ref="R753">IF($Q753, INDEX('Run Reconcile'!A$2:A1679,MATCH(B753,'Run Reconcile'!B$2:B1679,0),1),IFERROR(0/0,""))</f>
        <v>RUN-COMB_2022-05-17_RFR-041</v>
      </c>
      <c r="S753" s="165" t="str">
        <f t="shared" ref="S753:T753" si="1505">IF(COUNTIF(W$2:W1679, $A753) &gt; 0,TRUE,IFERROR(0/0,""))</f>
        <v/>
      </c>
      <c r="T753" s="165" t="str">
        <f t="shared" si="1505"/>
        <v/>
      </c>
      <c r="U753" s="147" t="str">
        <f t="array" ref="U753">IF(ISBLANK($R753), IF($S753,VLOOKUP($B753+1,'RFR Data - preExcl'!$BF$2:$BG1679,2,FALSE),IF($T753,INDEX('RFR Data - preExcl'!$BF$2:$BG1679,MATCH($B753,'RFR Data - preExcl'!$BF$2:$BF1679,0)+1,2),VLOOKUP($B753,'RFR Data - preExcl'!$BF$2:$BG1679,2,FALSE))),IFERROR(0/0,""))</f>
        <v/>
      </c>
      <c r="V753" s="212" t="str">
        <f t="shared" si="5"/>
        <v>RUN-COMB_2022-05-17_RFR-041</v>
      </c>
      <c r="W753" s="51"/>
      <c r="X753" s="51"/>
      <c r="Y753" s="147" t="str">
        <f t="shared" ref="Y753:Z753" si="1506">IF(_xlfn.ISFORMULA(S753),IFERROR(0/0,""),TRUE)</f>
        <v/>
      </c>
      <c r="Z753" s="147" t="str">
        <f t="shared" si="1506"/>
        <v/>
      </c>
    </row>
    <row r="754">
      <c r="A754" s="6" t="str">
        <f>IFERROR(__xludf.DUMMYFUNCTION("""COMPUTED_VALUE"""),"FM2988")</f>
        <v>FM2988</v>
      </c>
      <c r="B754" s="206">
        <f>IFERROR(__xludf.DUMMYFUNCTION("""COMPUTED_VALUE"""),44698.0)</f>
        <v>44698</v>
      </c>
      <c r="C754" s="207">
        <f>IFERROR(__xludf.DUMMYFUNCTION("""COMPUTED_VALUE"""),0.26425925925925925)</f>
        <v>0.2642592593</v>
      </c>
      <c r="D754" s="50"/>
      <c r="E754" s="58"/>
      <c r="F754" s="58"/>
      <c r="G754" s="58" t="str">
        <f>IFERROR(__xludf.DUMMYFUNCTION("""COMPUTED_VALUE"""),"Null")</f>
        <v>Null</v>
      </c>
      <c r="H754" s="206" t="str">
        <f>IFERROR(__xludf.DUMMYFUNCTION("""COMPUTED_VALUE"""),"Negative")</f>
        <v>Negative</v>
      </c>
      <c r="I754" s="207">
        <f>IFERROR(__xludf.DUMMYFUNCTION("""COMPUTED_VALUE"""),44698.0)</f>
        <v>44698</v>
      </c>
      <c r="J754" s="208">
        <f>IFERROR(__xludf.DUMMYFUNCTION("""COMPUTED_VALUE"""),0.342349537037037)</f>
        <v>0.342349537</v>
      </c>
      <c r="K754" s="50">
        <f>IFERROR(__xludf.DUMMYFUNCTION("""COMPUTED_VALUE"""),2.0)</f>
        <v>2</v>
      </c>
      <c r="L754" s="6"/>
      <c r="M754" s="55"/>
      <c r="N754" s="55">
        <f>IFERROR(__xludf.DUMMYFUNCTION("""COMPUTED_VALUE"""),1.0)</f>
        <v>1</v>
      </c>
      <c r="O754" s="55" t="str">
        <f t="shared" si="3"/>
        <v/>
      </c>
      <c r="P754" s="209"/>
      <c r="Q754" s="75" t="b">
        <f>VLOOKUP($B754,'Run Reconcile'!B$2:P1679,15,FALSE)</f>
        <v>1</v>
      </c>
      <c r="R754" s="211" t="str">
        <f t="array" ref="R754">IF($Q754, INDEX('Run Reconcile'!A$2:A1679,MATCH(B754,'Run Reconcile'!B$2:B1679,0),1),IFERROR(0/0,""))</f>
        <v>RUN-COMB_2022-05-17_RFR-041</v>
      </c>
      <c r="S754" s="165" t="str">
        <f t="shared" ref="S754:T754" si="1507">IF(COUNTIF(W$2:W1679, $A754) &gt; 0,TRUE,IFERROR(0/0,""))</f>
        <v/>
      </c>
      <c r="T754" s="165" t="str">
        <f t="shared" si="1507"/>
        <v/>
      </c>
      <c r="U754" s="147" t="str">
        <f t="array" ref="U754">IF(ISBLANK($R754), IF($S754,VLOOKUP($B754+1,'RFR Data - preExcl'!$BF$2:$BG1679,2,FALSE),IF($T754,INDEX('RFR Data - preExcl'!$BF$2:$BG1679,MATCH($B754,'RFR Data - preExcl'!$BF$2:$BF1679,0)+1,2),VLOOKUP($B754,'RFR Data - preExcl'!$BF$2:$BG1679,2,FALSE))),IFERROR(0/0,""))</f>
        <v/>
      </c>
      <c r="V754" s="212" t="str">
        <f t="shared" si="5"/>
        <v>RUN-COMB_2022-05-17_RFR-041</v>
      </c>
      <c r="W754" s="51"/>
      <c r="X754" s="51"/>
      <c r="Y754" s="147" t="str">
        <f t="shared" ref="Y754:Z754" si="1508">IF(_xlfn.ISFORMULA(S754),IFERROR(0/0,""),TRUE)</f>
        <v/>
      </c>
      <c r="Z754" s="147" t="str">
        <f t="shared" si="1508"/>
        <v/>
      </c>
    </row>
    <row r="755">
      <c r="A755" s="6" t="str">
        <f>IFERROR(__xludf.DUMMYFUNCTION("""COMPUTED_VALUE"""),"FM2922")</f>
        <v>FM2922</v>
      </c>
      <c r="B755" s="206">
        <f>IFERROR(__xludf.DUMMYFUNCTION("""COMPUTED_VALUE"""),44698.0)</f>
        <v>44698</v>
      </c>
      <c r="C755" s="207">
        <f>IFERROR(__xludf.DUMMYFUNCTION("""COMPUTED_VALUE"""),0.26459490740740743)</f>
        <v>0.2645949074</v>
      </c>
      <c r="D755" s="50"/>
      <c r="E755" s="58"/>
      <c r="F755" s="58"/>
      <c r="G755" s="58" t="str">
        <f>IFERROR(__xludf.DUMMYFUNCTION("""COMPUTED_VALUE"""),"Null")</f>
        <v>Null</v>
      </c>
      <c r="H755" s="206" t="str">
        <f>IFERROR(__xludf.DUMMYFUNCTION("""COMPUTED_VALUE"""),"Negative")</f>
        <v>Negative</v>
      </c>
      <c r="I755" s="207">
        <f>IFERROR(__xludf.DUMMYFUNCTION("""COMPUTED_VALUE"""),44698.0)</f>
        <v>44698</v>
      </c>
      <c r="J755" s="208">
        <f>IFERROR(__xludf.DUMMYFUNCTION("""COMPUTED_VALUE"""),0.3423611111111111)</f>
        <v>0.3423611111</v>
      </c>
      <c r="K755" s="50">
        <f>IFERROR(__xludf.DUMMYFUNCTION("""COMPUTED_VALUE"""),2.0)</f>
        <v>2</v>
      </c>
      <c r="L755" s="6"/>
      <c r="M755" s="55"/>
      <c r="N755" s="55">
        <f>IFERROR(__xludf.DUMMYFUNCTION("""COMPUTED_VALUE"""),1.0)</f>
        <v>1</v>
      </c>
      <c r="O755" s="55" t="str">
        <f t="shared" si="3"/>
        <v/>
      </c>
      <c r="P755" s="209"/>
      <c r="Q755" s="75" t="b">
        <f>VLOOKUP($B755,'Run Reconcile'!B$2:P1679,15,FALSE)</f>
        <v>1</v>
      </c>
      <c r="R755" s="211" t="str">
        <f t="array" ref="R755">IF($Q755, INDEX('Run Reconcile'!A$2:A1679,MATCH(B755,'Run Reconcile'!B$2:B1679,0),1),IFERROR(0/0,""))</f>
        <v>RUN-COMB_2022-05-17_RFR-041</v>
      </c>
      <c r="S755" s="165" t="str">
        <f t="shared" ref="S755:T755" si="1509">IF(COUNTIF(W$2:W1679, $A755) &gt; 0,TRUE,IFERROR(0/0,""))</f>
        <v/>
      </c>
      <c r="T755" s="165" t="str">
        <f t="shared" si="1509"/>
        <v/>
      </c>
      <c r="U755" s="147" t="str">
        <f t="array" ref="U755">IF(ISBLANK($R755), IF($S755,VLOOKUP($B755+1,'RFR Data - preExcl'!$BF$2:$BG1679,2,FALSE),IF($T755,INDEX('RFR Data - preExcl'!$BF$2:$BG1679,MATCH($B755,'RFR Data - preExcl'!$BF$2:$BF1679,0)+1,2),VLOOKUP($B755,'RFR Data - preExcl'!$BF$2:$BG1679,2,FALSE))),IFERROR(0/0,""))</f>
        <v/>
      </c>
      <c r="V755" s="212" t="str">
        <f t="shared" si="5"/>
        <v>RUN-COMB_2022-05-17_RFR-041</v>
      </c>
      <c r="W755" s="51"/>
      <c r="X755" s="51"/>
      <c r="Y755" s="147" t="str">
        <f t="shared" ref="Y755:Z755" si="1510">IF(_xlfn.ISFORMULA(S755),IFERROR(0/0,""),TRUE)</f>
        <v/>
      </c>
      <c r="Z755" s="147" t="str">
        <f t="shared" si="1510"/>
        <v/>
      </c>
    </row>
    <row r="756">
      <c r="A756" s="6" t="str">
        <f>IFERROR(__xludf.DUMMYFUNCTION("""COMPUTED_VALUE"""),"FM2927")</f>
        <v>FM2927</v>
      </c>
      <c r="B756" s="206">
        <f>IFERROR(__xludf.DUMMYFUNCTION("""COMPUTED_VALUE"""),44698.0)</f>
        <v>44698</v>
      </c>
      <c r="C756" s="207">
        <f>IFERROR(__xludf.DUMMYFUNCTION("""COMPUTED_VALUE"""),0.2836458333333333)</f>
        <v>0.2836458333</v>
      </c>
      <c r="D756" s="50"/>
      <c r="E756" s="58"/>
      <c r="F756" s="58"/>
      <c r="G756" s="58" t="str">
        <f>IFERROR(__xludf.DUMMYFUNCTION("""COMPUTED_VALUE"""),"Null")</f>
        <v>Null</v>
      </c>
      <c r="H756" s="206" t="str">
        <f>IFERROR(__xludf.DUMMYFUNCTION("""COMPUTED_VALUE"""),"Negative")</f>
        <v>Negative</v>
      </c>
      <c r="I756" s="207">
        <f>IFERROR(__xludf.DUMMYFUNCTION("""COMPUTED_VALUE"""),44698.0)</f>
        <v>44698</v>
      </c>
      <c r="J756" s="208">
        <f>IFERROR(__xludf.DUMMYFUNCTION("""COMPUTED_VALUE"""),0.34239583333333334)</f>
        <v>0.3423958333</v>
      </c>
      <c r="K756" s="50">
        <f>IFERROR(__xludf.DUMMYFUNCTION("""COMPUTED_VALUE"""),2.0)</f>
        <v>2</v>
      </c>
      <c r="L756" s="6"/>
      <c r="M756" s="55"/>
      <c r="N756" s="55">
        <f>IFERROR(__xludf.DUMMYFUNCTION("""COMPUTED_VALUE"""),1.0)</f>
        <v>1</v>
      </c>
      <c r="O756" s="55" t="str">
        <f t="shared" si="3"/>
        <v/>
      </c>
      <c r="P756" s="209"/>
      <c r="Q756" s="75" t="b">
        <f>VLOOKUP($B756,'Run Reconcile'!B$2:P1679,15,FALSE)</f>
        <v>1</v>
      </c>
      <c r="R756" s="211" t="str">
        <f t="array" ref="R756">IF($Q756, INDEX('Run Reconcile'!A$2:A1679,MATCH(B756,'Run Reconcile'!B$2:B1679,0),1),IFERROR(0/0,""))</f>
        <v>RUN-COMB_2022-05-17_RFR-041</v>
      </c>
      <c r="S756" s="165" t="str">
        <f t="shared" ref="S756:T756" si="1511">IF(COUNTIF(W$2:W1679, $A756) &gt; 0,TRUE,IFERROR(0/0,""))</f>
        <v/>
      </c>
      <c r="T756" s="165" t="str">
        <f t="shared" si="1511"/>
        <v/>
      </c>
      <c r="U756" s="147" t="str">
        <f t="array" ref="U756">IF(ISBLANK($R756), IF($S756,VLOOKUP($B756+1,'RFR Data - preExcl'!$BF$2:$BG1679,2,FALSE),IF($T756,INDEX('RFR Data - preExcl'!$BF$2:$BG1679,MATCH($B756,'RFR Data - preExcl'!$BF$2:$BF1679,0)+1,2),VLOOKUP($B756,'RFR Data - preExcl'!$BF$2:$BG1679,2,FALSE))),IFERROR(0/0,""))</f>
        <v/>
      </c>
      <c r="V756" s="212" t="str">
        <f t="shared" si="5"/>
        <v>RUN-COMB_2022-05-17_RFR-041</v>
      </c>
      <c r="W756" s="51"/>
      <c r="X756" s="51"/>
      <c r="Y756" s="147" t="str">
        <f t="shared" ref="Y756:Z756" si="1512">IF(_xlfn.ISFORMULA(S756),IFERROR(0/0,""),TRUE)</f>
        <v/>
      </c>
      <c r="Z756" s="147" t="str">
        <f t="shared" si="1512"/>
        <v/>
      </c>
    </row>
    <row r="757">
      <c r="A757" s="6" t="str">
        <f>IFERROR(__xludf.DUMMYFUNCTION("""COMPUTED_VALUE"""),"FM2895")</f>
        <v>FM2895</v>
      </c>
      <c r="B757" s="206">
        <f>IFERROR(__xludf.DUMMYFUNCTION("""COMPUTED_VALUE"""),44698.0)</f>
        <v>44698</v>
      </c>
      <c r="C757" s="207">
        <f>IFERROR(__xludf.DUMMYFUNCTION("""COMPUTED_VALUE"""),0.285)</f>
        <v>0.285</v>
      </c>
      <c r="D757" s="50"/>
      <c r="E757" s="58"/>
      <c r="F757" s="58"/>
      <c r="G757" s="58" t="str">
        <f>IFERROR(__xludf.DUMMYFUNCTION("""COMPUTED_VALUE"""),"Null")</f>
        <v>Null</v>
      </c>
      <c r="H757" s="206" t="str">
        <f>IFERROR(__xludf.DUMMYFUNCTION("""COMPUTED_VALUE"""),"Negative")</f>
        <v>Negative</v>
      </c>
      <c r="I757" s="207">
        <f>IFERROR(__xludf.DUMMYFUNCTION("""COMPUTED_VALUE"""),44698.0)</f>
        <v>44698</v>
      </c>
      <c r="J757" s="208">
        <f>IFERROR(__xludf.DUMMYFUNCTION("""COMPUTED_VALUE"""),0.3424189814814815)</f>
        <v>0.3424189815</v>
      </c>
      <c r="K757" s="50">
        <f>IFERROR(__xludf.DUMMYFUNCTION("""COMPUTED_VALUE"""),2.0)</f>
        <v>2</v>
      </c>
      <c r="L757" s="6"/>
      <c r="M757" s="55"/>
      <c r="N757" s="55">
        <f>IFERROR(__xludf.DUMMYFUNCTION("""COMPUTED_VALUE"""),1.0)</f>
        <v>1</v>
      </c>
      <c r="O757" s="55" t="str">
        <f t="shared" si="3"/>
        <v/>
      </c>
      <c r="P757" s="209"/>
      <c r="Q757" s="75" t="b">
        <f>VLOOKUP($B757,'Run Reconcile'!B$2:P1679,15,FALSE)</f>
        <v>1</v>
      </c>
      <c r="R757" s="211" t="str">
        <f t="array" ref="R757">IF($Q757, INDEX('Run Reconcile'!A$2:A1679,MATCH(B757,'Run Reconcile'!B$2:B1679,0),1),IFERROR(0/0,""))</f>
        <v>RUN-COMB_2022-05-17_RFR-041</v>
      </c>
      <c r="S757" s="165" t="str">
        <f t="shared" ref="S757:T757" si="1513">IF(COUNTIF(W$2:W1679, $A757) &gt; 0,TRUE,IFERROR(0/0,""))</f>
        <v/>
      </c>
      <c r="T757" s="165" t="str">
        <f t="shared" si="1513"/>
        <v/>
      </c>
      <c r="U757" s="147" t="str">
        <f t="array" ref="U757">IF(ISBLANK($R757), IF($S757,VLOOKUP($B757+1,'RFR Data - preExcl'!$BF$2:$BG1679,2,FALSE),IF($T757,INDEX('RFR Data - preExcl'!$BF$2:$BG1679,MATCH($B757,'RFR Data - preExcl'!$BF$2:$BF1679,0)+1,2),VLOOKUP($B757,'RFR Data - preExcl'!$BF$2:$BG1679,2,FALSE))),IFERROR(0/0,""))</f>
        <v/>
      </c>
      <c r="V757" s="212" t="str">
        <f t="shared" si="5"/>
        <v>RUN-COMB_2022-05-17_RFR-041</v>
      </c>
      <c r="W757" s="51"/>
      <c r="X757" s="51"/>
      <c r="Y757" s="147" t="str">
        <f t="shared" ref="Y757:Z757" si="1514">IF(_xlfn.ISFORMULA(S757),IFERROR(0/0,""),TRUE)</f>
        <v/>
      </c>
      <c r="Z757" s="147" t="str">
        <f t="shared" si="1514"/>
        <v/>
      </c>
    </row>
    <row r="758">
      <c r="A758" s="6" t="str">
        <f>IFERROR(__xludf.DUMMYFUNCTION("""COMPUTED_VALUE"""),"FM2911")</f>
        <v>FM2911</v>
      </c>
      <c r="B758" s="206">
        <f>IFERROR(__xludf.DUMMYFUNCTION("""COMPUTED_VALUE"""),44698.0)</f>
        <v>44698</v>
      </c>
      <c r="C758" s="207">
        <f>IFERROR(__xludf.DUMMYFUNCTION("""COMPUTED_VALUE"""),0.28532407407407406)</f>
        <v>0.2853240741</v>
      </c>
      <c r="D758" s="50"/>
      <c r="E758" s="58"/>
      <c r="F758" s="58"/>
      <c r="G758" s="58" t="str">
        <f>IFERROR(__xludf.DUMMYFUNCTION("""COMPUTED_VALUE"""),"Null")</f>
        <v>Null</v>
      </c>
      <c r="H758" s="206" t="str">
        <f>IFERROR(__xludf.DUMMYFUNCTION("""COMPUTED_VALUE"""),"Negative")</f>
        <v>Negative</v>
      </c>
      <c r="I758" s="207">
        <f>IFERROR(__xludf.DUMMYFUNCTION("""COMPUTED_VALUE"""),44698.0)</f>
        <v>44698</v>
      </c>
      <c r="J758" s="208">
        <f>IFERROR(__xludf.DUMMYFUNCTION("""COMPUTED_VALUE"""),0.3424421296296296)</f>
        <v>0.3424421296</v>
      </c>
      <c r="K758" s="50">
        <f>IFERROR(__xludf.DUMMYFUNCTION("""COMPUTED_VALUE"""),2.0)</f>
        <v>2</v>
      </c>
      <c r="L758" s="6"/>
      <c r="M758" s="55"/>
      <c r="N758" s="55">
        <f>IFERROR(__xludf.DUMMYFUNCTION("""COMPUTED_VALUE"""),1.0)</f>
        <v>1</v>
      </c>
      <c r="O758" s="55" t="str">
        <f t="shared" si="3"/>
        <v/>
      </c>
      <c r="P758" s="209"/>
      <c r="Q758" s="75" t="b">
        <f>VLOOKUP($B758,'Run Reconcile'!B$2:P1679,15,FALSE)</f>
        <v>1</v>
      </c>
      <c r="R758" s="211" t="str">
        <f t="array" ref="R758">IF($Q758, INDEX('Run Reconcile'!A$2:A1679,MATCH(B758,'Run Reconcile'!B$2:B1679,0),1),IFERROR(0/0,""))</f>
        <v>RUN-COMB_2022-05-17_RFR-041</v>
      </c>
      <c r="S758" s="165" t="str">
        <f t="shared" ref="S758:T758" si="1515">IF(COUNTIF(W$2:W1679, $A758) &gt; 0,TRUE,IFERROR(0/0,""))</f>
        <v/>
      </c>
      <c r="T758" s="165" t="str">
        <f t="shared" si="1515"/>
        <v/>
      </c>
      <c r="U758" s="147" t="str">
        <f t="array" ref="U758">IF(ISBLANK($R758), IF($S758,VLOOKUP($B758+1,'RFR Data - preExcl'!$BF$2:$BG1679,2,FALSE),IF($T758,INDEX('RFR Data - preExcl'!$BF$2:$BG1679,MATCH($B758,'RFR Data - preExcl'!$BF$2:$BF1679,0)+1,2),VLOOKUP($B758,'RFR Data - preExcl'!$BF$2:$BG1679,2,FALSE))),IFERROR(0/0,""))</f>
        <v/>
      </c>
      <c r="V758" s="212" t="str">
        <f t="shared" si="5"/>
        <v>RUN-COMB_2022-05-17_RFR-041</v>
      </c>
      <c r="W758" s="51"/>
      <c r="X758" s="51"/>
      <c r="Y758" s="147" t="str">
        <f t="shared" ref="Y758:Z758" si="1516">IF(_xlfn.ISFORMULA(S758),IFERROR(0/0,""),TRUE)</f>
        <v/>
      </c>
      <c r="Z758" s="147" t="str">
        <f t="shared" si="1516"/>
        <v/>
      </c>
    </row>
    <row r="759">
      <c r="A759" s="6" t="str">
        <f>IFERROR(__xludf.DUMMYFUNCTION("""COMPUTED_VALUE"""),"FM2914")</f>
        <v>FM2914</v>
      </c>
      <c r="B759" s="206">
        <f>IFERROR(__xludf.DUMMYFUNCTION("""COMPUTED_VALUE"""),44698.0)</f>
        <v>44698</v>
      </c>
      <c r="C759" s="207">
        <f>IFERROR(__xludf.DUMMYFUNCTION("""COMPUTED_VALUE"""),0.2858912037037037)</f>
        <v>0.2858912037</v>
      </c>
      <c r="D759" s="50"/>
      <c r="E759" s="58"/>
      <c r="F759" s="58"/>
      <c r="G759" s="58" t="str">
        <f>IFERROR(__xludf.DUMMYFUNCTION("""COMPUTED_VALUE"""),"Null")</f>
        <v>Null</v>
      </c>
      <c r="H759" s="206" t="str">
        <f>IFERROR(__xludf.DUMMYFUNCTION("""COMPUTED_VALUE"""),"Negative")</f>
        <v>Negative</v>
      </c>
      <c r="I759" s="207">
        <f>IFERROR(__xludf.DUMMYFUNCTION("""COMPUTED_VALUE"""),44698.0)</f>
        <v>44698</v>
      </c>
      <c r="J759" s="208">
        <f>IFERROR(__xludf.DUMMYFUNCTION("""COMPUTED_VALUE"""),0.3424652777777778)</f>
        <v>0.3424652778</v>
      </c>
      <c r="K759" s="50">
        <f>IFERROR(__xludf.DUMMYFUNCTION("""COMPUTED_VALUE"""),2.0)</f>
        <v>2</v>
      </c>
      <c r="L759" s="6"/>
      <c r="M759" s="55"/>
      <c r="N759" s="55">
        <f>IFERROR(__xludf.DUMMYFUNCTION("""COMPUTED_VALUE"""),1.0)</f>
        <v>1</v>
      </c>
      <c r="O759" s="55" t="str">
        <f t="shared" si="3"/>
        <v/>
      </c>
      <c r="P759" s="209"/>
      <c r="Q759" s="75" t="b">
        <f>VLOOKUP($B759,'Run Reconcile'!B$2:P1679,15,FALSE)</f>
        <v>1</v>
      </c>
      <c r="R759" s="211" t="str">
        <f t="array" ref="R759">IF($Q759, INDEX('Run Reconcile'!A$2:A1679,MATCH(B759,'Run Reconcile'!B$2:B1679,0),1),IFERROR(0/0,""))</f>
        <v>RUN-COMB_2022-05-17_RFR-041</v>
      </c>
      <c r="S759" s="165" t="str">
        <f t="shared" ref="S759:T759" si="1517">IF(COUNTIF(W$2:W1679, $A759) &gt; 0,TRUE,IFERROR(0/0,""))</f>
        <v/>
      </c>
      <c r="T759" s="165" t="str">
        <f t="shared" si="1517"/>
        <v/>
      </c>
      <c r="U759" s="147" t="str">
        <f t="array" ref="U759">IF(ISBLANK($R759), IF($S759,VLOOKUP($B759+1,'RFR Data - preExcl'!$BF$2:$BG1679,2,FALSE),IF($T759,INDEX('RFR Data - preExcl'!$BF$2:$BG1679,MATCH($B759,'RFR Data - preExcl'!$BF$2:$BF1679,0)+1,2),VLOOKUP($B759,'RFR Data - preExcl'!$BF$2:$BG1679,2,FALSE))),IFERROR(0/0,""))</f>
        <v/>
      </c>
      <c r="V759" s="212" t="str">
        <f t="shared" si="5"/>
        <v>RUN-COMB_2022-05-17_RFR-041</v>
      </c>
      <c r="W759" s="51"/>
      <c r="X759" s="51"/>
      <c r="Y759" s="147" t="str">
        <f t="shared" ref="Y759:Z759" si="1518">IF(_xlfn.ISFORMULA(S759),IFERROR(0/0,""),TRUE)</f>
        <v/>
      </c>
      <c r="Z759" s="147" t="str">
        <f t="shared" si="1518"/>
        <v/>
      </c>
    </row>
    <row r="760">
      <c r="A760" s="6" t="str">
        <f>IFERROR(__xludf.DUMMYFUNCTION("""COMPUTED_VALUE"""),"FM2924")</f>
        <v>FM2924</v>
      </c>
      <c r="B760" s="206">
        <f>IFERROR(__xludf.DUMMYFUNCTION("""COMPUTED_VALUE"""),44698.0)</f>
        <v>44698</v>
      </c>
      <c r="C760" s="207">
        <f>IFERROR(__xludf.DUMMYFUNCTION("""COMPUTED_VALUE"""),0.2878819444444444)</f>
        <v>0.2878819444</v>
      </c>
      <c r="D760" s="50"/>
      <c r="E760" s="58"/>
      <c r="F760" s="58"/>
      <c r="G760" s="58" t="str">
        <f>IFERROR(__xludf.DUMMYFUNCTION("""COMPUTED_VALUE"""),"Null")</f>
        <v>Null</v>
      </c>
      <c r="H760" s="206" t="str">
        <f>IFERROR(__xludf.DUMMYFUNCTION("""COMPUTED_VALUE"""),"Negative")</f>
        <v>Negative</v>
      </c>
      <c r="I760" s="207">
        <f>IFERROR(__xludf.DUMMYFUNCTION("""COMPUTED_VALUE"""),44698.0)</f>
        <v>44698</v>
      </c>
      <c r="J760" s="208">
        <f>IFERROR(__xludf.DUMMYFUNCTION("""COMPUTED_VALUE"""),0.34247685185185184)</f>
        <v>0.3424768519</v>
      </c>
      <c r="K760" s="50">
        <f>IFERROR(__xludf.DUMMYFUNCTION("""COMPUTED_VALUE"""),2.0)</f>
        <v>2</v>
      </c>
      <c r="L760" s="6"/>
      <c r="M760" s="55"/>
      <c r="N760" s="55">
        <f>IFERROR(__xludf.DUMMYFUNCTION("""COMPUTED_VALUE"""),1.0)</f>
        <v>1</v>
      </c>
      <c r="O760" s="55" t="str">
        <f t="shared" si="3"/>
        <v/>
      </c>
      <c r="P760" s="209"/>
      <c r="Q760" s="75" t="b">
        <f>VLOOKUP($B760,'Run Reconcile'!B$2:P1679,15,FALSE)</f>
        <v>1</v>
      </c>
      <c r="R760" s="211" t="str">
        <f t="array" ref="R760">IF($Q760, INDEX('Run Reconcile'!A$2:A1679,MATCH(B760,'Run Reconcile'!B$2:B1679,0),1),IFERROR(0/0,""))</f>
        <v>RUN-COMB_2022-05-17_RFR-041</v>
      </c>
      <c r="S760" s="165" t="str">
        <f t="shared" ref="S760:T760" si="1519">IF(COUNTIF(W$2:W1679, $A760) &gt; 0,TRUE,IFERROR(0/0,""))</f>
        <v/>
      </c>
      <c r="T760" s="165" t="str">
        <f t="shared" si="1519"/>
        <v/>
      </c>
      <c r="U760" s="147" t="str">
        <f t="array" ref="U760">IF(ISBLANK($R760), IF($S760,VLOOKUP($B760+1,'RFR Data - preExcl'!$BF$2:$BG1679,2,FALSE),IF($T760,INDEX('RFR Data - preExcl'!$BF$2:$BG1679,MATCH($B760,'RFR Data - preExcl'!$BF$2:$BF1679,0)+1,2),VLOOKUP($B760,'RFR Data - preExcl'!$BF$2:$BG1679,2,FALSE))),IFERROR(0/0,""))</f>
        <v/>
      </c>
      <c r="V760" s="212" t="str">
        <f t="shared" si="5"/>
        <v>RUN-COMB_2022-05-17_RFR-041</v>
      </c>
      <c r="W760" s="51"/>
      <c r="X760" s="51"/>
      <c r="Y760" s="147" t="str">
        <f t="shared" ref="Y760:Z760" si="1520">IF(_xlfn.ISFORMULA(S760),IFERROR(0/0,""),TRUE)</f>
        <v/>
      </c>
      <c r="Z760" s="147" t="str">
        <f t="shared" si="1520"/>
        <v/>
      </c>
    </row>
    <row r="761">
      <c r="A761" s="6" t="str">
        <f>IFERROR(__xludf.DUMMYFUNCTION("""COMPUTED_VALUE"""),"FM2981")</f>
        <v>FM2981</v>
      </c>
      <c r="B761" s="206">
        <f>IFERROR(__xludf.DUMMYFUNCTION("""COMPUTED_VALUE"""),44699.0)</f>
        <v>44699</v>
      </c>
      <c r="C761" s="207">
        <f>IFERROR(__xludf.DUMMYFUNCTION("""COMPUTED_VALUE"""),0.27145833333333336)</f>
        <v>0.2714583333</v>
      </c>
      <c r="D761" s="50"/>
      <c r="E761" s="58"/>
      <c r="F761" s="58"/>
      <c r="G761" s="58" t="str">
        <f>IFERROR(__xludf.DUMMYFUNCTION("""COMPUTED_VALUE"""),"Null")</f>
        <v>Null</v>
      </c>
      <c r="H761" s="206" t="str">
        <f>IFERROR(__xludf.DUMMYFUNCTION("""COMPUTED_VALUE"""),"Negative")</f>
        <v>Negative</v>
      </c>
      <c r="I761" s="207">
        <f>IFERROR(__xludf.DUMMYFUNCTION("""COMPUTED_VALUE"""),44699.0)</f>
        <v>44699</v>
      </c>
      <c r="J761" s="208">
        <f>IFERROR(__xludf.DUMMYFUNCTION("""COMPUTED_VALUE"""),0.3086921296296296)</f>
        <v>0.3086921296</v>
      </c>
      <c r="K761" s="50">
        <f>IFERROR(__xludf.DUMMYFUNCTION("""COMPUTED_VALUE"""),2.0)</f>
        <v>2</v>
      </c>
      <c r="L761" s="6"/>
      <c r="M761" s="55"/>
      <c r="N761" s="55">
        <f>IFERROR(__xludf.DUMMYFUNCTION("""COMPUTED_VALUE"""),1.0)</f>
        <v>1</v>
      </c>
      <c r="O761" s="55" t="b">
        <f t="shared" si="3"/>
        <v>1</v>
      </c>
      <c r="P761" s="209"/>
      <c r="Q761" s="75" t="b">
        <f>VLOOKUP($B761,'Run Reconcile'!B$2:P1679,15,FALSE)</f>
        <v>1</v>
      </c>
      <c r="R761" s="211" t="str">
        <f t="array" ref="R761">IF($Q761, INDEX('Run Reconcile'!A$2:A1679,MATCH(B761,'Run Reconcile'!B$2:B1679,0),1),IFERROR(0/0,""))</f>
        <v>RUN-COMB_2022-05-18_RFR-042</v>
      </c>
      <c r="S761" s="165" t="str">
        <f t="shared" ref="S761:T761" si="1521">IF(COUNTIF(W$2:W1679, $A761) &gt; 0,TRUE,IFERROR(0/0,""))</f>
        <v/>
      </c>
      <c r="T761" s="165" t="str">
        <f t="shared" si="1521"/>
        <v/>
      </c>
      <c r="U761" s="147" t="str">
        <f t="array" ref="U761">IF(ISBLANK($R761), IF($S761,VLOOKUP($B761+1,'RFR Data - preExcl'!$BF$2:$BG1679,2,FALSE),IF($T761,INDEX('RFR Data - preExcl'!$BF$2:$BG1679,MATCH($B761,'RFR Data - preExcl'!$BF$2:$BF1679,0)+1,2),VLOOKUP($B761,'RFR Data - preExcl'!$BF$2:$BG1679,2,FALSE))),IFERROR(0/0,""))</f>
        <v/>
      </c>
      <c r="V761" s="212" t="str">
        <f t="shared" si="5"/>
        <v>RUN-COMB_2022-05-18_RFR-042</v>
      </c>
      <c r="W761" s="51"/>
      <c r="X761" s="51"/>
      <c r="Y761" s="147" t="str">
        <f t="shared" ref="Y761:Z761" si="1522">IF(_xlfn.ISFORMULA(S761),IFERROR(0/0,""),TRUE)</f>
        <v/>
      </c>
      <c r="Z761" s="147" t="str">
        <f t="shared" si="1522"/>
        <v/>
      </c>
    </row>
    <row r="762">
      <c r="A762" s="6" t="str">
        <f>IFERROR(__xludf.DUMMYFUNCTION("""COMPUTED_VALUE"""),"FM2995")</f>
        <v>FM2995</v>
      </c>
      <c r="B762" s="206">
        <f>IFERROR(__xludf.DUMMYFUNCTION("""COMPUTED_VALUE"""),44699.0)</f>
        <v>44699</v>
      </c>
      <c r="C762" s="207">
        <f>IFERROR(__xludf.DUMMYFUNCTION("""COMPUTED_VALUE"""),0.271875)</f>
        <v>0.271875</v>
      </c>
      <c r="D762" s="50"/>
      <c r="E762" s="58"/>
      <c r="F762" s="58"/>
      <c r="G762" s="58" t="str">
        <f>IFERROR(__xludf.DUMMYFUNCTION("""COMPUTED_VALUE"""),"Null")</f>
        <v>Null</v>
      </c>
      <c r="H762" s="206" t="str">
        <f>IFERROR(__xludf.DUMMYFUNCTION("""COMPUTED_VALUE"""),"Negative")</f>
        <v>Negative</v>
      </c>
      <c r="I762" s="207">
        <f>IFERROR(__xludf.DUMMYFUNCTION("""COMPUTED_VALUE"""),44699.0)</f>
        <v>44699</v>
      </c>
      <c r="J762" s="208">
        <f>IFERROR(__xludf.DUMMYFUNCTION("""COMPUTED_VALUE"""),0.3087037037037037)</f>
        <v>0.3087037037</v>
      </c>
      <c r="K762" s="50">
        <f>IFERROR(__xludf.DUMMYFUNCTION("""COMPUTED_VALUE"""),2.0)</f>
        <v>2</v>
      </c>
      <c r="L762" s="6"/>
      <c r="M762" s="55"/>
      <c r="N762" s="55">
        <f>IFERROR(__xludf.DUMMYFUNCTION("""COMPUTED_VALUE"""),1.0)</f>
        <v>1</v>
      </c>
      <c r="O762" s="55" t="str">
        <f t="shared" si="3"/>
        <v/>
      </c>
      <c r="P762" s="209"/>
      <c r="Q762" s="75" t="b">
        <f>VLOOKUP($B762,'Run Reconcile'!B$2:P1679,15,FALSE)</f>
        <v>1</v>
      </c>
      <c r="R762" s="211" t="str">
        <f t="array" ref="R762">IF($Q762, INDEX('Run Reconcile'!A$2:A1679,MATCH(B762,'Run Reconcile'!B$2:B1679,0),1),IFERROR(0/0,""))</f>
        <v>RUN-COMB_2022-05-18_RFR-042</v>
      </c>
      <c r="S762" s="165" t="str">
        <f t="shared" ref="S762:T762" si="1523">IF(COUNTIF(W$2:W1679, $A762) &gt; 0,TRUE,IFERROR(0/0,""))</f>
        <v/>
      </c>
      <c r="T762" s="165" t="str">
        <f t="shared" si="1523"/>
        <v/>
      </c>
      <c r="U762" s="147" t="str">
        <f t="array" ref="U762">IF(ISBLANK($R762), IF($S762,VLOOKUP($B762+1,'RFR Data - preExcl'!$BF$2:$BG1679,2,FALSE),IF($T762,INDEX('RFR Data - preExcl'!$BF$2:$BG1679,MATCH($B762,'RFR Data - preExcl'!$BF$2:$BF1679,0)+1,2),VLOOKUP($B762,'RFR Data - preExcl'!$BF$2:$BG1679,2,FALSE))),IFERROR(0/0,""))</f>
        <v/>
      </c>
      <c r="V762" s="212" t="str">
        <f t="shared" si="5"/>
        <v>RUN-COMB_2022-05-18_RFR-042</v>
      </c>
      <c r="W762" s="51"/>
      <c r="X762" s="51"/>
      <c r="Y762" s="147" t="str">
        <f t="shared" ref="Y762:Z762" si="1524">IF(_xlfn.ISFORMULA(S762),IFERROR(0/0,""),TRUE)</f>
        <v/>
      </c>
      <c r="Z762" s="147" t="str">
        <f t="shared" si="1524"/>
        <v/>
      </c>
    </row>
    <row r="763">
      <c r="A763" s="6" t="str">
        <f>IFERROR(__xludf.DUMMYFUNCTION("""COMPUTED_VALUE"""),"FM2260")</f>
        <v>FM2260</v>
      </c>
      <c r="B763" s="206">
        <f>IFERROR(__xludf.DUMMYFUNCTION("""COMPUTED_VALUE"""),44699.0)</f>
        <v>44699</v>
      </c>
      <c r="C763" s="207">
        <f>IFERROR(__xludf.DUMMYFUNCTION("""COMPUTED_VALUE"""),0.2722337962962963)</f>
        <v>0.2722337963</v>
      </c>
      <c r="D763" s="50"/>
      <c r="E763" s="58"/>
      <c r="F763" s="58"/>
      <c r="G763" s="58" t="str">
        <f>IFERROR(__xludf.DUMMYFUNCTION("""COMPUTED_VALUE"""),"Null")</f>
        <v>Null</v>
      </c>
      <c r="H763" s="206" t="str">
        <f>IFERROR(__xludf.DUMMYFUNCTION("""COMPUTED_VALUE"""),"Negative")</f>
        <v>Negative</v>
      </c>
      <c r="I763" s="207">
        <f>IFERROR(__xludf.DUMMYFUNCTION("""COMPUTED_VALUE"""),44699.0)</f>
        <v>44699</v>
      </c>
      <c r="J763" s="208">
        <f>IFERROR(__xludf.DUMMYFUNCTION("""COMPUTED_VALUE"""),0.3087152777777778)</f>
        <v>0.3087152778</v>
      </c>
      <c r="K763" s="50">
        <f>IFERROR(__xludf.DUMMYFUNCTION("""COMPUTED_VALUE"""),2.0)</f>
        <v>2</v>
      </c>
      <c r="L763" s="6"/>
      <c r="M763" s="55"/>
      <c r="N763" s="55">
        <f>IFERROR(__xludf.DUMMYFUNCTION("""COMPUTED_VALUE"""),1.0)</f>
        <v>1</v>
      </c>
      <c r="O763" s="55" t="str">
        <f t="shared" si="3"/>
        <v/>
      </c>
      <c r="P763" s="209"/>
      <c r="Q763" s="75" t="b">
        <f>VLOOKUP($B763,'Run Reconcile'!B$2:P1679,15,FALSE)</f>
        <v>1</v>
      </c>
      <c r="R763" s="211" t="str">
        <f t="array" ref="R763">IF($Q763, INDEX('Run Reconcile'!A$2:A1679,MATCH(B763,'Run Reconcile'!B$2:B1679,0),1),IFERROR(0/0,""))</f>
        <v>RUN-COMB_2022-05-18_RFR-042</v>
      </c>
      <c r="S763" s="165" t="str">
        <f t="shared" ref="S763:T763" si="1525">IF(COUNTIF(W$2:W1679, $A763) &gt; 0,TRUE,IFERROR(0/0,""))</f>
        <v/>
      </c>
      <c r="T763" s="165" t="str">
        <f t="shared" si="1525"/>
        <v/>
      </c>
      <c r="U763" s="147" t="str">
        <f t="array" ref="U763">IF(ISBLANK($R763), IF($S763,VLOOKUP($B763+1,'RFR Data - preExcl'!$BF$2:$BG1679,2,FALSE),IF($T763,INDEX('RFR Data - preExcl'!$BF$2:$BG1679,MATCH($B763,'RFR Data - preExcl'!$BF$2:$BF1679,0)+1,2),VLOOKUP($B763,'RFR Data - preExcl'!$BF$2:$BG1679,2,FALSE))),IFERROR(0/0,""))</f>
        <v/>
      </c>
      <c r="V763" s="212" t="str">
        <f t="shared" si="5"/>
        <v>RUN-COMB_2022-05-18_RFR-042</v>
      </c>
      <c r="W763" s="51"/>
      <c r="X763" s="51"/>
      <c r="Y763" s="147" t="str">
        <f t="shared" ref="Y763:Z763" si="1526">IF(_xlfn.ISFORMULA(S763),IFERROR(0/0,""),TRUE)</f>
        <v/>
      </c>
      <c r="Z763" s="147" t="str">
        <f t="shared" si="1526"/>
        <v/>
      </c>
    </row>
    <row r="764">
      <c r="A764" s="6" t="str">
        <f>IFERROR(__xludf.DUMMYFUNCTION("""COMPUTED_VALUE"""),"FM2967")</f>
        <v>FM2967</v>
      </c>
      <c r="B764" s="206">
        <f>IFERROR(__xludf.DUMMYFUNCTION("""COMPUTED_VALUE"""),44699.0)</f>
        <v>44699</v>
      </c>
      <c r="C764" s="207">
        <f>IFERROR(__xludf.DUMMYFUNCTION("""COMPUTED_VALUE"""),0.27318287037037037)</f>
        <v>0.2731828704</v>
      </c>
      <c r="D764" s="50"/>
      <c r="E764" s="58"/>
      <c r="F764" s="58"/>
      <c r="G764" s="58" t="str">
        <f>IFERROR(__xludf.DUMMYFUNCTION("""COMPUTED_VALUE"""),"Null")</f>
        <v>Null</v>
      </c>
      <c r="H764" s="206" t="str">
        <f>IFERROR(__xludf.DUMMYFUNCTION("""COMPUTED_VALUE"""),"Negative")</f>
        <v>Negative</v>
      </c>
      <c r="I764" s="207">
        <f>IFERROR(__xludf.DUMMYFUNCTION("""COMPUTED_VALUE"""),44699.0)</f>
        <v>44699</v>
      </c>
      <c r="J764" s="208">
        <f>IFERROR(__xludf.DUMMYFUNCTION("""COMPUTED_VALUE"""),0.30872685185185184)</f>
        <v>0.3087268519</v>
      </c>
      <c r="K764" s="50">
        <f>IFERROR(__xludf.DUMMYFUNCTION("""COMPUTED_VALUE"""),2.0)</f>
        <v>2</v>
      </c>
      <c r="L764" s="6"/>
      <c r="M764" s="55"/>
      <c r="N764" s="55">
        <f>IFERROR(__xludf.DUMMYFUNCTION("""COMPUTED_VALUE"""),1.0)</f>
        <v>1</v>
      </c>
      <c r="O764" s="55" t="str">
        <f t="shared" si="3"/>
        <v/>
      </c>
      <c r="P764" s="209"/>
      <c r="Q764" s="75" t="b">
        <f>VLOOKUP($B764,'Run Reconcile'!B$2:P1679,15,FALSE)</f>
        <v>1</v>
      </c>
      <c r="R764" s="211" t="str">
        <f t="array" ref="R764">IF($Q764, INDEX('Run Reconcile'!A$2:A1679,MATCH(B764,'Run Reconcile'!B$2:B1679,0),1),IFERROR(0/0,""))</f>
        <v>RUN-COMB_2022-05-18_RFR-042</v>
      </c>
      <c r="S764" s="165" t="str">
        <f t="shared" ref="S764:T764" si="1527">IF(COUNTIF(W$2:W1679, $A764) &gt; 0,TRUE,IFERROR(0/0,""))</f>
        <v/>
      </c>
      <c r="T764" s="165" t="str">
        <f t="shared" si="1527"/>
        <v/>
      </c>
      <c r="U764" s="147" t="str">
        <f t="array" ref="U764">IF(ISBLANK($R764), IF($S764,VLOOKUP($B764+1,'RFR Data - preExcl'!$BF$2:$BG1679,2,FALSE),IF($T764,INDEX('RFR Data - preExcl'!$BF$2:$BG1679,MATCH($B764,'RFR Data - preExcl'!$BF$2:$BF1679,0)+1,2),VLOOKUP($B764,'RFR Data - preExcl'!$BF$2:$BG1679,2,FALSE))),IFERROR(0/0,""))</f>
        <v/>
      </c>
      <c r="V764" s="212" t="str">
        <f t="shared" si="5"/>
        <v>RUN-COMB_2022-05-18_RFR-042</v>
      </c>
      <c r="W764" s="51"/>
      <c r="X764" s="51"/>
      <c r="Y764" s="147" t="str">
        <f t="shared" ref="Y764:Z764" si="1528">IF(_xlfn.ISFORMULA(S764),IFERROR(0/0,""),TRUE)</f>
        <v/>
      </c>
      <c r="Z764" s="147" t="str">
        <f t="shared" si="1528"/>
        <v/>
      </c>
    </row>
    <row r="765">
      <c r="A765" s="6" t="str">
        <f>IFERROR(__xludf.DUMMYFUNCTION("""COMPUTED_VALUE"""),"FM2907")</f>
        <v>FM2907</v>
      </c>
      <c r="B765" s="206">
        <f>IFERROR(__xludf.DUMMYFUNCTION("""COMPUTED_VALUE"""),44699.0)</f>
        <v>44699</v>
      </c>
      <c r="C765" s="207">
        <f>IFERROR(__xludf.DUMMYFUNCTION("""COMPUTED_VALUE"""),0.27350694444444446)</f>
        <v>0.2735069444</v>
      </c>
      <c r="D765" s="50"/>
      <c r="E765" s="58"/>
      <c r="F765" s="58"/>
      <c r="G765" s="58" t="str">
        <f>IFERROR(__xludf.DUMMYFUNCTION("""COMPUTED_VALUE"""),"Null")</f>
        <v>Null</v>
      </c>
      <c r="H765" s="206" t="str">
        <f>IFERROR(__xludf.DUMMYFUNCTION("""COMPUTED_VALUE"""),"Negative")</f>
        <v>Negative</v>
      </c>
      <c r="I765" s="207">
        <f>IFERROR(__xludf.DUMMYFUNCTION("""COMPUTED_VALUE"""),44699.0)</f>
        <v>44699</v>
      </c>
      <c r="J765" s="208">
        <f>IFERROR(__xludf.DUMMYFUNCTION("""COMPUTED_VALUE"""),0.30873842592592593)</f>
        <v>0.3087384259</v>
      </c>
      <c r="K765" s="50">
        <f>IFERROR(__xludf.DUMMYFUNCTION("""COMPUTED_VALUE"""),2.0)</f>
        <v>2</v>
      </c>
      <c r="L765" s="6"/>
      <c r="M765" s="55"/>
      <c r="N765" s="55">
        <f>IFERROR(__xludf.DUMMYFUNCTION("""COMPUTED_VALUE"""),1.0)</f>
        <v>1</v>
      </c>
      <c r="O765" s="55" t="str">
        <f t="shared" si="3"/>
        <v/>
      </c>
      <c r="P765" s="209"/>
      <c r="Q765" s="75" t="b">
        <f>VLOOKUP($B765,'Run Reconcile'!B$2:P1679,15,FALSE)</f>
        <v>1</v>
      </c>
      <c r="R765" s="211" t="str">
        <f t="array" ref="R765">IF($Q765, INDEX('Run Reconcile'!A$2:A1679,MATCH(B765,'Run Reconcile'!B$2:B1679,0),1),IFERROR(0/0,""))</f>
        <v>RUN-COMB_2022-05-18_RFR-042</v>
      </c>
      <c r="S765" s="165" t="str">
        <f t="shared" ref="S765:T765" si="1529">IF(COUNTIF(W$2:W1679, $A765) &gt; 0,TRUE,IFERROR(0/0,""))</f>
        <v/>
      </c>
      <c r="T765" s="165" t="str">
        <f t="shared" si="1529"/>
        <v/>
      </c>
      <c r="U765" s="147" t="str">
        <f t="array" ref="U765">IF(ISBLANK($R765), IF($S765,VLOOKUP($B765+1,'RFR Data - preExcl'!$BF$2:$BG1679,2,FALSE),IF($T765,INDEX('RFR Data - preExcl'!$BF$2:$BG1679,MATCH($B765,'RFR Data - preExcl'!$BF$2:$BF1679,0)+1,2),VLOOKUP($B765,'RFR Data - preExcl'!$BF$2:$BG1679,2,FALSE))),IFERROR(0/0,""))</f>
        <v/>
      </c>
      <c r="V765" s="212" t="str">
        <f t="shared" si="5"/>
        <v>RUN-COMB_2022-05-18_RFR-042</v>
      </c>
      <c r="W765" s="51"/>
      <c r="X765" s="51"/>
      <c r="Y765" s="147" t="str">
        <f t="shared" ref="Y765:Z765" si="1530">IF(_xlfn.ISFORMULA(S765),IFERROR(0/0,""),TRUE)</f>
        <v/>
      </c>
      <c r="Z765" s="147" t="str">
        <f t="shared" si="1530"/>
        <v/>
      </c>
    </row>
    <row r="766">
      <c r="A766" s="6" t="str">
        <f>IFERROR(__xludf.DUMMYFUNCTION("""COMPUTED_VALUE"""),"FM2958")</f>
        <v>FM2958</v>
      </c>
      <c r="B766" s="206">
        <f>IFERROR(__xludf.DUMMYFUNCTION("""COMPUTED_VALUE"""),44699.0)</f>
        <v>44699</v>
      </c>
      <c r="C766" s="207">
        <f>IFERROR(__xludf.DUMMYFUNCTION("""COMPUTED_VALUE"""),0.27502314814814816)</f>
        <v>0.2750231481</v>
      </c>
      <c r="D766" s="50"/>
      <c r="E766" s="58"/>
      <c r="F766" s="58"/>
      <c r="G766" s="58" t="str">
        <f>IFERROR(__xludf.DUMMYFUNCTION("""COMPUTED_VALUE"""),"Null")</f>
        <v>Null</v>
      </c>
      <c r="H766" s="206" t="str">
        <f>IFERROR(__xludf.DUMMYFUNCTION("""COMPUTED_VALUE"""),"Negative")</f>
        <v>Negative</v>
      </c>
      <c r="I766" s="207">
        <f>IFERROR(__xludf.DUMMYFUNCTION("""COMPUTED_VALUE"""),44699.0)</f>
        <v>44699</v>
      </c>
      <c r="J766" s="208">
        <f>IFERROR(__xludf.DUMMYFUNCTION("""COMPUTED_VALUE"""),0.30875)</f>
        <v>0.30875</v>
      </c>
      <c r="K766" s="50">
        <f>IFERROR(__xludf.DUMMYFUNCTION("""COMPUTED_VALUE"""),2.0)</f>
        <v>2</v>
      </c>
      <c r="L766" s="6"/>
      <c r="M766" s="55"/>
      <c r="N766" s="55">
        <f>IFERROR(__xludf.DUMMYFUNCTION("""COMPUTED_VALUE"""),1.0)</f>
        <v>1</v>
      </c>
      <c r="O766" s="55" t="str">
        <f t="shared" si="3"/>
        <v/>
      </c>
      <c r="P766" s="209"/>
      <c r="Q766" s="75" t="b">
        <f>VLOOKUP($B766,'Run Reconcile'!B$2:P1679,15,FALSE)</f>
        <v>1</v>
      </c>
      <c r="R766" s="211" t="str">
        <f t="array" ref="R766">IF($Q766, INDEX('Run Reconcile'!A$2:A1679,MATCH(B766,'Run Reconcile'!B$2:B1679,0),1),IFERROR(0/0,""))</f>
        <v>RUN-COMB_2022-05-18_RFR-042</v>
      </c>
      <c r="S766" s="165" t="str">
        <f t="shared" ref="S766:T766" si="1531">IF(COUNTIF(W$2:W1679, $A766) &gt; 0,TRUE,IFERROR(0/0,""))</f>
        <v/>
      </c>
      <c r="T766" s="165" t="str">
        <f t="shared" si="1531"/>
        <v/>
      </c>
      <c r="U766" s="147" t="str">
        <f t="array" ref="U766">IF(ISBLANK($R766), IF($S766,VLOOKUP($B766+1,'RFR Data - preExcl'!$BF$2:$BG1679,2,FALSE),IF($T766,INDEX('RFR Data - preExcl'!$BF$2:$BG1679,MATCH($B766,'RFR Data - preExcl'!$BF$2:$BF1679,0)+1,2),VLOOKUP($B766,'RFR Data - preExcl'!$BF$2:$BG1679,2,FALSE))),IFERROR(0/0,""))</f>
        <v/>
      </c>
      <c r="V766" s="212" t="str">
        <f t="shared" si="5"/>
        <v>RUN-COMB_2022-05-18_RFR-042</v>
      </c>
      <c r="W766" s="51"/>
      <c r="X766" s="51"/>
      <c r="Y766" s="147" t="str">
        <f t="shared" ref="Y766:Z766" si="1532">IF(_xlfn.ISFORMULA(S766),IFERROR(0/0,""),TRUE)</f>
        <v/>
      </c>
      <c r="Z766" s="147" t="str">
        <f t="shared" si="1532"/>
        <v/>
      </c>
    </row>
    <row r="767">
      <c r="A767" s="6" t="str">
        <f>IFERROR(__xludf.DUMMYFUNCTION("""COMPUTED_VALUE"""),"FM2946")</f>
        <v>FM2946</v>
      </c>
      <c r="B767" s="206">
        <f>IFERROR(__xludf.DUMMYFUNCTION("""COMPUTED_VALUE"""),44699.0)</f>
        <v>44699</v>
      </c>
      <c r="C767" s="207">
        <f>IFERROR(__xludf.DUMMYFUNCTION("""COMPUTED_VALUE"""),0.27543981481481483)</f>
        <v>0.2754398148</v>
      </c>
      <c r="D767" s="50"/>
      <c r="E767" s="58"/>
      <c r="F767" s="58"/>
      <c r="G767" s="58" t="str">
        <f>IFERROR(__xludf.DUMMYFUNCTION("""COMPUTED_VALUE"""),"Null")</f>
        <v>Null</v>
      </c>
      <c r="H767" s="206" t="str">
        <f>IFERROR(__xludf.DUMMYFUNCTION("""COMPUTED_VALUE"""),"Negative")</f>
        <v>Negative</v>
      </c>
      <c r="I767" s="207">
        <f>IFERROR(__xludf.DUMMYFUNCTION("""COMPUTED_VALUE"""),44699.0)</f>
        <v>44699</v>
      </c>
      <c r="J767" s="208">
        <f>IFERROR(__xludf.DUMMYFUNCTION("""COMPUTED_VALUE"""),0.3087847222222222)</f>
        <v>0.3087847222</v>
      </c>
      <c r="K767" s="50">
        <f>IFERROR(__xludf.DUMMYFUNCTION("""COMPUTED_VALUE"""),2.0)</f>
        <v>2</v>
      </c>
      <c r="L767" s="6"/>
      <c r="M767" s="55"/>
      <c r="N767" s="55">
        <f>IFERROR(__xludf.DUMMYFUNCTION("""COMPUTED_VALUE"""),1.0)</f>
        <v>1</v>
      </c>
      <c r="O767" s="55" t="str">
        <f t="shared" si="3"/>
        <v/>
      </c>
      <c r="P767" s="209"/>
      <c r="Q767" s="75" t="b">
        <f>VLOOKUP($B767,'Run Reconcile'!B$2:P1679,15,FALSE)</f>
        <v>1</v>
      </c>
      <c r="R767" s="211" t="str">
        <f t="array" ref="R767">IF($Q767, INDEX('Run Reconcile'!A$2:A1679,MATCH(B767,'Run Reconcile'!B$2:B1679,0),1),IFERROR(0/0,""))</f>
        <v>RUN-COMB_2022-05-18_RFR-042</v>
      </c>
      <c r="S767" s="165" t="str">
        <f t="shared" ref="S767:T767" si="1533">IF(COUNTIF(W$2:W1679, $A767) &gt; 0,TRUE,IFERROR(0/0,""))</f>
        <v/>
      </c>
      <c r="T767" s="165" t="str">
        <f t="shared" si="1533"/>
        <v/>
      </c>
      <c r="U767" s="147" t="str">
        <f t="array" ref="U767">IF(ISBLANK($R767), IF($S767,VLOOKUP($B767+1,'RFR Data - preExcl'!$BF$2:$BG1679,2,FALSE),IF($T767,INDEX('RFR Data - preExcl'!$BF$2:$BG1679,MATCH($B767,'RFR Data - preExcl'!$BF$2:$BF1679,0)+1,2),VLOOKUP($B767,'RFR Data - preExcl'!$BF$2:$BG1679,2,FALSE))),IFERROR(0/0,""))</f>
        <v/>
      </c>
      <c r="V767" s="212" t="str">
        <f t="shared" si="5"/>
        <v>RUN-COMB_2022-05-18_RFR-042</v>
      </c>
      <c r="W767" s="51"/>
      <c r="X767" s="51"/>
      <c r="Y767" s="147" t="str">
        <f t="shared" ref="Y767:Z767" si="1534">IF(_xlfn.ISFORMULA(S767),IFERROR(0/0,""),TRUE)</f>
        <v/>
      </c>
      <c r="Z767" s="147" t="str">
        <f t="shared" si="1534"/>
        <v/>
      </c>
    </row>
    <row r="768">
      <c r="A768" s="6" t="str">
        <f>IFERROR(__xludf.DUMMYFUNCTION("""COMPUTED_VALUE"""),"FM2928")</f>
        <v>FM2928</v>
      </c>
      <c r="B768" s="206">
        <f>IFERROR(__xludf.DUMMYFUNCTION("""COMPUTED_VALUE"""),44699.0)</f>
        <v>44699</v>
      </c>
      <c r="C768" s="207">
        <f>IFERROR(__xludf.DUMMYFUNCTION("""COMPUTED_VALUE"""),0.2758449074074074)</f>
        <v>0.2758449074</v>
      </c>
      <c r="D768" s="50"/>
      <c r="E768" s="58"/>
      <c r="F768" s="58"/>
      <c r="G768" s="58" t="str">
        <f>IFERROR(__xludf.DUMMYFUNCTION("""COMPUTED_VALUE"""),"Null")</f>
        <v>Null</v>
      </c>
      <c r="H768" s="206" t="str">
        <f>IFERROR(__xludf.DUMMYFUNCTION("""COMPUTED_VALUE"""),"Negative")</f>
        <v>Negative</v>
      </c>
      <c r="I768" s="207">
        <f>IFERROR(__xludf.DUMMYFUNCTION("""COMPUTED_VALUE"""),44699.0)</f>
        <v>44699</v>
      </c>
      <c r="J768" s="208">
        <f>IFERROR(__xludf.DUMMYFUNCTION("""COMPUTED_VALUE"""),0.3088194444444444)</f>
        <v>0.3088194444</v>
      </c>
      <c r="K768" s="50">
        <f>IFERROR(__xludf.DUMMYFUNCTION("""COMPUTED_VALUE"""),2.0)</f>
        <v>2</v>
      </c>
      <c r="L768" s="6"/>
      <c r="M768" s="55"/>
      <c r="N768" s="55">
        <f>IFERROR(__xludf.DUMMYFUNCTION("""COMPUTED_VALUE"""),1.0)</f>
        <v>1</v>
      </c>
      <c r="O768" s="55" t="str">
        <f t="shared" si="3"/>
        <v/>
      </c>
      <c r="P768" s="209"/>
      <c r="Q768" s="75" t="b">
        <f>VLOOKUP($B768,'Run Reconcile'!B$2:P1679,15,FALSE)</f>
        <v>1</v>
      </c>
      <c r="R768" s="211" t="str">
        <f t="array" ref="R768">IF($Q768, INDEX('Run Reconcile'!A$2:A1679,MATCH(B768,'Run Reconcile'!B$2:B1679,0),1),IFERROR(0/0,""))</f>
        <v>RUN-COMB_2022-05-18_RFR-042</v>
      </c>
      <c r="S768" s="165" t="str">
        <f t="shared" ref="S768:T768" si="1535">IF(COUNTIF(W$2:W1679, $A768) &gt; 0,TRUE,IFERROR(0/0,""))</f>
        <v/>
      </c>
      <c r="T768" s="165" t="str">
        <f t="shared" si="1535"/>
        <v/>
      </c>
      <c r="U768" s="147" t="str">
        <f t="array" ref="U768">IF(ISBLANK($R768), IF($S768,VLOOKUP($B768+1,'RFR Data - preExcl'!$BF$2:$BG1679,2,FALSE),IF($T768,INDEX('RFR Data - preExcl'!$BF$2:$BG1679,MATCH($B768,'RFR Data - preExcl'!$BF$2:$BF1679,0)+1,2),VLOOKUP($B768,'RFR Data - preExcl'!$BF$2:$BG1679,2,FALSE))),IFERROR(0/0,""))</f>
        <v/>
      </c>
      <c r="V768" s="212" t="str">
        <f t="shared" si="5"/>
        <v>RUN-COMB_2022-05-18_RFR-042</v>
      </c>
      <c r="W768" s="51"/>
      <c r="X768" s="51"/>
      <c r="Y768" s="147" t="str">
        <f t="shared" ref="Y768:Z768" si="1536">IF(_xlfn.ISFORMULA(S768),IFERROR(0/0,""),TRUE)</f>
        <v/>
      </c>
      <c r="Z768" s="147" t="str">
        <f t="shared" si="1536"/>
        <v/>
      </c>
    </row>
    <row r="769">
      <c r="A769" s="6" t="str">
        <f>IFERROR(__xludf.DUMMYFUNCTION("""COMPUTED_VALUE"""),"FM2970")</f>
        <v>FM2970</v>
      </c>
      <c r="B769" s="206">
        <f>IFERROR(__xludf.DUMMYFUNCTION("""COMPUTED_VALUE"""),44699.0)</f>
        <v>44699</v>
      </c>
      <c r="C769" s="207">
        <f>IFERROR(__xludf.DUMMYFUNCTION("""COMPUTED_VALUE"""),0.27653935185185186)</f>
        <v>0.2765393519</v>
      </c>
      <c r="D769" s="50"/>
      <c r="E769" s="58"/>
      <c r="F769" s="58"/>
      <c r="G769" s="58" t="str">
        <f>IFERROR(__xludf.DUMMYFUNCTION("""COMPUTED_VALUE"""),"Null")</f>
        <v>Null</v>
      </c>
      <c r="H769" s="206" t="str">
        <f>IFERROR(__xludf.DUMMYFUNCTION("""COMPUTED_VALUE"""),"Negative")</f>
        <v>Negative</v>
      </c>
      <c r="I769" s="207">
        <f>IFERROR(__xludf.DUMMYFUNCTION("""COMPUTED_VALUE"""),44699.0)</f>
        <v>44699</v>
      </c>
      <c r="J769" s="208">
        <f>IFERROR(__xludf.DUMMYFUNCTION("""COMPUTED_VALUE"""),0.30885416666666665)</f>
        <v>0.3088541667</v>
      </c>
      <c r="K769" s="50">
        <f>IFERROR(__xludf.DUMMYFUNCTION("""COMPUTED_VALUE"""),2.0)</f>
        <v>2</v>
      </c>
      <c r="L769" s="6"/>
      <c r="M769" s="55"/>
      <c r="N769" s="55">
        <f>IFERROR(__xludf.DUMMYFUNCTION("""COMPUTED_VALUE"""),1.0)</f>
        <v>1</v>
      </c>
      <c r="O769" s="55" t="str">
        <f t="shared" si="3"/>
        <v/>
      </c>
      <c r="P769" s="209"/>
      <c r="Q769" s="75" t="b">
        <f>VLOOKUP($B769,'Run Reconcile'!B$2:P1679,15,FALSE)</f>
        <v>1</v>
      </c>
      <c r="R769" s="211" t="str">
        <f t="array" ref="R769">IF($Q769, INDEX('Run Reconcile'!A$2:A1679,MATCH(B769,'Run Reconcile'!B$2:B1679,0),1),IFERROR(0/0,""))</f>
        <v>RUN-COMB_2022-05-18_RFR-042</v>
      </c>
      <c r="S769" s="165" t="str">
        <f t="shared" ref="S769:T769" si="1537">IF(COUNTIF(W$2:W1679, $A769) &gt; 0,TRUE,IFERROR(0/0,""))</f>
        <v/>
      </c>
      <c r="T769" s="165" t="str">
        <f t="shared" si="1537"/>
        <v/>
      </c>
      <c r="U769" s="147" t="str">
        <f t="array" ref="U769">IF(ISBLANK($R769), IF($S769,VLOOKUP($B769+1,'RFR Data - preExcl'!$BF$2:$BG1679,2,FALSE),IF($T769,INDEX('RFR Data - preExcl'!$BF$2:$BG1679,MATCH($B769,'RFR Data - preExcl'!$BF$2:$BF1679,0)+1,2),VLOOKUP($B769,'RFR Data - preExcl'!$BF$2:$BG1679,2,FALSE))),IFERROR(0/0,""))</f>
        <v/>
      </c>
      <c r="V769" s="212" t="str">
        <f t="shared" si="5"/>
        <v>RUN-COMB_2022-05-18_RFR-042</v>
      </c>
      <c r="W769" s="51"/>
      <c r="X769" s="51"/>
      <c r="Y769" s="147" t="str">
        <f t="shared" ref="Y769:Z769" si="1538">IF(_xlfn.ISFORMULA(S769),IFERROR(0/0,""),TRUE)</f>
        <v/>
      </c>
      <c r="Z769" s="147" t="str">
        <f t="shared" si="1538"/>
        <v/>
      </c>
    </row>
    <row r="770">
      <c r="A770" s="6" t="str">
        <f>IFERROR(__xludf.DUMMYFUNCTION("""COMPUTED_VALUE"""),"FM2953")</f>
        <v>FM2953</v>
      </c>
      <c r="B770" s="206">
        <f>IFERROR(__xludf.DUMMYFUNCTION("""COMPUTED_VALUE"""),44699.0)</f>
        <v>44699</v>
      </c>
      <c r="C770" s="207">
        <f>IFERROR(__xludf.DUMMYFUNCTION("""COMPUTED_VALUE"""),0.2800462962962963)</f>
        <v>0.2800462963</v>
      </c>
      <c r="D770" s="50"/>
      <c r="E770" s="58"/>
      <c r="F770" s="58"/>
      <c r="G770" s="58" t="str">
        <f>IFERROR(__xludf.DUMMYFUNCTION("""COMPUTED_VALUE"""),"Null")</f>
        <v>Null</v>
      </c>
      <c r="H770" s="206" t="str">
        <f>IFERROR(__xludf.DUMMYFUNCTION("""COMPUTED_VALUE"""),"Negative")</f>
        <v>Negative</v>
      </c>
      <c r="I770" s="207">
        <f>IFERROR(__xludf.DUMMYFUNCTION("""COMPUTED_VALUE"""),44699.0)</f>
        <v>44699</v>
      </c>
      <c r="J770" s="208">
        <f>IFERROR(__xludf.DUMMYFUNCTION("""COMPUTED_VALUE"""),0.3088888888888889)</f>
        <v>0.3088888889</v>
      </c>
      <c r="K770" s="50">
        <f>IFERROR(__xludf.DUMMYFUNCTION("""COMPUTED_VALUE"""),2.0)</f>
        <v>2</v>
      </c>
      <c r="L770" s="6"/>
      <c r="M770" s="55"/>
      <c r="N770" s="55">
        <f>IFERROR(__xludf.DUMMYFUNCTION("""COMPUTED_VALUE"""),1.0)</f>
        <v>1</v>
      </c>
      <c r="O770" s="55" t="str">
        <f t="shared" si="3"/>
        <v/>
      </c>
      <c r="P770" s="209"/>
      <c r="Q770" s="75" t="b">
        <f>VLOOKUP($B770,'Run Reconcile'!B$2:P1679,15,FALSE)</f>
        <v>1</v>
      </c>
      <c r="R770" s="211" t="str">
        <f t="array" ref="R770">IF($Q770, INDEX('Run Reconcile'!A$2:A1679,MATCH(B770,'Run Reconcile'!B$2:B1679,0),1),IFERROR(0/0,""))</f>
        <v>RUN-COMB_2022-05-18_RFR-042</v>
      </c>
      <c r="S770" s="165" t="str">
        <f t="shared" ref="S770:T770" si="1539">IF(COUNTIF(W$2:W1679, $A770) &gt; 0,TRUE,IFERROR(0/0,""))</f>
        <v/>
      </c>
      <c r="T770" s="165" t="str">
        <f t="shared" si="1539"/>
        <v/>
      </c>
      <c r="U770" s="147" t="str">
        <f t="array" ref="U770">IF(ISBLANK($R770), IF($S770,VLOOKUP($B770+1,'RFR Data - preExcl'!$BF$2:$BG1679,2,FALSE),IF($T770,INDEX('RFR Data - preExcl'!$BF$2:$BG1679,MATCH($B770,'RFR Data - preExcl'!$BF$2:$BF1679,0)+1,2),VLOOKUP($B770,'RFR Data - preExcl'!$BF$2:$BG1679,2,FALSE))),IFERROR(0/0,""))</f>
        <v/>
      </c>
      <c r="V770" s="212" t="str">
        <f t="shared" si="5"/>
        <v>RUN-COMB_2022-05-18_RFR-042</v>
      </c>
      <c r="W770" s="51"/>
      <c r="X770" s="51"/>
      <c r="Y770" s="147" t="str">
        <f t="shared" ref="Y770:Z770" si="1540">IF(_xlfn.ISFORMULA(S770),IFERROR(0/0,""),TRUE)</f>
        <v/>
      </c>
      <c r="Z770" s="147" t="str">
        <f t="shared" si="1540"/>
        <v/>
      </c>
    </row>
    <row r="771">
      <c r="A771" s="6" t="str">
        <f>IFERROR(__xludf.DUMMYFUNCTION("""COMPUTED_VALUE"""),"FM2939")</f>
        <v>FM2939</v>
      </c>
      <c r="B771" s="206">
        <f>IFERROR(__xludf.DUMMYFUNCTION("""COMPUTED_VALUE"""),44700.0)</f>
        <v>44700</v>
      </c>
      <c r="C771" s="207">
        <f>IFERROR(__xludf.DUMMYFUNCTION("""COMPUTED_VALUE"""),0.26751157407407405)</f>
        <v>0.2675115741</v>
      </c>
      <c r="D771" s="50"/>
      <c r="E771" s="58"/>
      <c r="F771" s="58"/>
      <c r="G771" s="58" t="str">
        <f>IFERROR(__xludf.DUMMYFUNCTION("""COMPUTED_VALUE"""),"Null")</f>
        <v>Null</v>
      </c>
      <c r="H771" s="206" t="str">
        <f>IFERROR(__xludf.DUMMYFUNCTION("""COMPUTED_VALUE"""),"Negative")</f>
        <v>Negative</v>
      </c>
      <c r="I771" s="207">
        <f>IFERROR(__xludf.DUMMYFUNCTION("""COMPUTED_VALUE"""),44700.0)</f>
        <v>44700</v>
      </c>
      <c r="J771" s="208">
        <f>IFERROR(__xludf.DUMMYFUNCTION("""COMPUTED_VALUE"""),0.35311342592592593)</f>
        <v>0.3531134259</v>
      </c>
      <c r="K771" s="50">
        <f>IFERROR(__xludf.DUMMYFUNCTION("""COMPUTED_VALUE"""),2.0)</f>
        <v>2</v>
      </c>
      <c r="L771" s="6"/>
      <c r="M771" s="55"/>
      <c r="N771" s="55">
        <f>IFERROR(__xludf.DUMMYFUNCTION("""COMPUTED_VALUE"""),1.0)</f>
        <v>1</v>
      </c>
      <c r="O771" s="55" t="b">
        <f t="shared" si="3"/>
        <v>1</v>
      </c>
      <c r="P771" s="209"/>
      <c r="Q771" s="75" t="b">
        <f>VLOOKUP($B771,'Run Reconcile'!B$2:P1679,15,FALSE)</f>
        <v>1</v>
      </c>
      <c r="R771" s="211" t="str">
        <f t="array" ref="R771">IF($Q771, INDEX('Run Reconcile'!A$2:A1679,MATCH(B771,'Run Reconcile'!B$2:B1679,0),1),IFERROR(0/0,""))</f>
        <v>RUN-COMB_2022-05-19_RFR-043</v>
      </c>
      <c r="S771" s="165" t="str">
        <f t="shared" ref="S771:T771" si="1541">IF(COUNTIF(W$2:W1679, $A771) &gt; 0,TRUE,IFERROR(0/0,""))</f>
        <v/>
      </c>
      <c r="T771" s="165" t="str">
        <f t="shared" si="1541"/>
        <v/>
      </c>
      <c r="U771" s="147" t="str">
        <f t="array" ref="U771">IF(ISBLANK($R771), IF($S771,VLOOKUP($B771+1,'RFR Data - preExcl'!$BF$2:$BG1679,2,FALSE),IF($T771,INDEX('RFR Data - preExcl'!$BF$2:$BG1679,MATCH($B771,'RFR Data - preExcl'!$BF$2:$BF1679,0)+1,2),VLOOKUP($B771,'RFR Data - preExcl'!$BF$2:$BG1679,2,FALSE))),IFERROR(0/0,""))</f>
        <v/>
      </c>
      <c r="V771" s="212" t="str">
        <f t="shared" si="5"/>
        <v>RUN-COMB_2022-05-19_RFR-043</v>
      </c>
      <c r="W771" s="51"/>
      <c r="X771" s="51"/>
      <c r="Y771" s="147" t="str">
        <f t="shared" ref="Y771:Z771" si="1542">IF(_xlfn.ISFORMULA(S771),IFERROR(0/0,""),TRUE)</f>
        <v/>
      </c>
      <c r="Z771" s="147" t="str">
        <f t="shared" si="1542"/>
        <v/>
      </c>
    </row>
    <row r="772">
      <c r="A772" s="6" t="str">
        <f>IFERROR(__xludf.DUMMYFUNCTION("""COMPUTED_VALUE"""),"FM2920")</f>
        <v>FM2920</v>
      </c>
      <c r="B772" s="206">
        <f>IFERROR(__xludf.DUMMYFUNCTION("""COMPUTED_VALUE"""),44700.0)</f>
        <v>44700</v>
      </c>
      <c r="C772" s="207">
        <f>IFERROR(__xludf.DUMMYFUNCTION("""COMPUTED_VALUE"""),0.26782407407407405)</f>
        <v>0.2678240741</v>
      </c>
      <c r="D772" s="50"/>
      <c r="E772" s="58"/>
      <c r="F772" s="58"/>
      <c r="G772" s="58" t="str">
        <f>IFERROR(__xludf.DUMMYFUNCTION("""COMPUTED_VALUE"""),"Null")</f>
        <v>Null</v>
      </c>
      <c r="H772" s="206" t="str">
        <f>IFERROR(__xludf.DUMMYFUNCTION("""COMPUTED_VALUE"""),"Negative")</f>
        <v>Negative</v>
      </c>
      <c r="I772" s="207">
        <f>IFERROR(__xludf.DUMMYFUNCTION("""COMPUTED_VALUE"""),44700.0)</f>
        <v>44700</v>
      </c>
      <c r="J772" s="208">
        <f>IFERROR(__xludf.DUMMYFUNCTION("""COMPUTED_VALUE"""),0.35314814814814816)</f>
        <v>0.3531481481</v>
      </c>
      <c r="K772" s="50">
        <f>IFERROR(__xludf.DUMMYFUNCTION("""COMPUTED_VALUE"""),2.0)</f>
        <v>2</v>
      </c>
      <c r="L772" s="6"/>
      <c r="M772" s="55"/>
      <c r="N772" s="55">
        <f>IFERROR(__xludf.DUMMYFUNCTION("""COMPUTED_VALUE"""),1.0)</f>
        <v>1</v>
      </c>
      <c r="O772" s="55" t="str">
        <f t="shared" si="3"/>
        <v/>
      </c>
      <c r="P772" s="209"/>
      <c r="Q772" s="75" t="b">
        <f>VLOOKUP($B772,'Run Reconcile'!B$2:P1679,15,FALSE)</f>
        <v>1</v>
      </c>
      <c r="R772" s="211" t="str">
        <f t="array" ref="R772">IF($Q772, INDEX('Run Reconcile'!A$2:A1679,MATCH(B772,'Run Reconcile'!B$2:B1679,0),1),IFERROR(0/0,""))</f>
        <v>RUN-COMB_2022-05-19_RFR-043</v>
      </c>
      <c r="S772" s="165" t="str">
        <f t="shared" ref="S772:T772" si="1543">IF(COUNTIF(W$2:W1679, $A772) &gt; 0,TRUE,IFERROR(0/0,""))</f>
        <v/>
      </c>
      <c r="T772" s="165" t="str">
        <f t="shared" si="1543"/>
        <v/>
      </c>
      <c r="U772" s="147" t="str">
        <f t="array" ref="U772">IF(ISBLANK($R772), IF($S772,VLOOKUP($B772+1,'RFR Data - preExcl'!$BF$2:$BG1679,2,FALSE),IF($T772,INDEX('RFR Data - preExcl'!$BF$2:$BG1679,MATCH($B772,'RFR Data - preExcl'!$BF$2:$BF1679,0)+1,2),VLOOKUP($B772,'RFR Data - preExcl'!$BF$2:$BG1679,2,FALSE))),IFERROR(0/0,""))</f>
        <v/>
      </c>
      <c r="V772" s="212" t="str">
        <f t="shared" si="5"/>
        <v>RUN-COMB_2022-05-19_RFR-043</v>
      </c>
      <c r="W772" s="51"/>
      <c r="X772" s="51"/>
      <c r="Y772" s="147" t="str">
        <f t="shared" ref="Y772:Z772" si="1544">IF(_xlfn.ISFORMULA(S772),IFERROR(0/0,""),TRUE)</f>
        <v/>
      </c>
      <c r="Z772" s="147" t="str">
        <f t="shared" si="1544"/>
        <v/>
      </c>
    </row>
    <row r="773">
      <c r="A773" s="6" t="str">
        <f>IFERROR(__xludf.DUMMYFUNCTION("""COMPUTED_VALUE"""),"FM2286")</f>
        <v>FM2286</v>
      </c>
      <c r="B773" s="206">
        <f>IFERROR(__xludf.DUMMYFUNCTION("""COMPUTED_VALUE"""),44700.0)</f>
        <v>44700</v>
      </c>
      <c r="C773" s="207">
        <f>IFERROR(__xludf.DUMMYFUNCTION("""COMPUTED_VALUE"""),0.26810185185185187)</f>
        <v>0.2681018519</v>
      </c>
      <c r="D773" s="50"/>
      <c r="E773" s="58"/>
      <c r="F773" s="58"/>
      <c r="G773" s="58" t="str">
        <f>IFERROR(__xludf.DUMMYFUNCTION("""COMPUTED_VALUE"""),"Null")</f>
        <v>Null</v>
      </c>
      <c r="H773" s="206" t="str">
        <f>IFERROR(__xludf.DUMMYFUNCTION("""COMPUTED_VALUE"""),"Negative")</f>
        <v>Negative</v>
      </c>
      <c r="I773" s="207">
        <f>IFERROR(__xludf.DUMMYFUNCTION("""COMPUTED_VALUE"""),44700.0)</f>
        <v>44700</v>
      </c>
      <c r="J773" s="208">
        <f>IFERROR(__xludf.DUMMYFUNCTION("""COMPUTED_VALUE"""),0.3531828703703704)</f>
        <v>0.3531828704</v>
      </c>
      <c r="K773" s="50">
        <f>IFERROR(__xludf.DUMMYFUNCTION("""COMPUTED_VALUE"""),2.0)</f>
        <v>2</v>
      </c>
      <c r="L773" s="6"/>
      <c r="M773" s="55"/>
      <c r="N773" s="55">
        <f>IFERROR(__xludf.DUMMYFUNCTION("""COMPUTED_VALUE"""),1.0)</f>
        <v>1</v>
      </c>
      <c r="O773" s="55" t="str">
        <f t="shared" si="3"/>
        <v/>
      </c>
      <c r="P773" s="209"/>
      <c r="Q773" s="75" t="b">
        <f>VLOOKUP($B773,'Run Reconcile'!B$2:P1679,15,FALSE)</f>
        <v>1</v>
      </c>
      <c r="R773" s="211" t="str">
        <f t="array" ref="R773">IF($Q773, INDEX('Run Reconcile'!A$2:A1679,MATCH(B773,'Run Reconcile'!B$2:B1679,0),1),IFERROR(0/0,""))</f>
        <v>RUN-COMB_2022-05-19_RFR-043</v>
      </c>
      <c r="S773" s="165" t="str">
        <f t="shared" ref="S773:T773" si="1545">IF(COUNTIF(W$2:W1679, $A773) &gt; 0,TRUE,IFERROR(0/0,""))</f>
        <v/>
      </c>
      <c r="T773" s="165" t="str">
        <f t="shared" si="1545"/>
        <v/>
      </c>
      <c r="U773" s="147" t="str">
        <f t="array" ref="U773">IF(ISBLANK($R773), IF($S773,VLOOKUP($B773+1,'RFR Data - preExcl'!$BF$2:$BG1679,2,FALSE),IF($T773,INDEX('RFR Data - preExcl'!$BF$2:$BG1679,MATCH($B773,'RFR Data - preExcl'!$BF$2:$BF1679,0)+1,2),VLOOKUP($B773,'RFR Data - preExcl'!$BF$2:$BG1679,2,FALSE))),IFERROR(0/0,""))</f>
        <v/>
      </c>
      <c r="V773" s="212" t="str">
        <f t="shared" si="5"/>
        <v>RUN-COMB_2022-05-19_RFR-043</v>
      </c>
      <c r="W773" s="51"/>
      <c r="X773" s="51"/>
      <c r="Y773" s="147" t="str">
        <f t="shared" ref="Y773:Z773" si="1546">IF(_xlfn.ISFORMULA(S773),IFERROR(0/0,""),TRUE)</f>
        <v/>
      </c>
      <c r="Z773" s="147" t="str">
        <f t="shared" si="1546"/>
        <v/>
      </c>
    </row>
    <row r="774">
      <c r="A774" s="6" t="str">
        <f>IFERROR(__xludf.DUMMYFUNCTION("""COMPUTED_VALUE"""),"FM2983")</f>
        <v>FM2983</v>
      </c>
      <c r="B774" s="206">
        <f>IFERROR(__xludf.DUMMYFUNCTION("""COMPUTED_VALUE"""),44700.0)</f>
        <v>44700</v>
      </c>
      <c r="C774" s="207">
        <f>IFERROR(__xludf.DUMMYFUNCTION("""COMPUTED_VALUE"""),0.2683564814814815)</f>
        <v>0.2683564815</v>
      </c>
      <c r="D774" s="50"/>
      <c r="E774" s="58"/>
      <c r="F774" s="58"/>
      <c r="G774" s="58" t="str">
        <f>IFERROR(__xludf.DUMMYFUNCTION("""COMPUTED_VALUE"""),"Null")</f>
        <v>Null</v>
      </c>
      <c r="H774" s="206" t="str">
        <f>IFERROR(__xludf.DUMMYFUNCTION("""COMPUTED_VALUE"""),"Negative")</f>
        <v>Negative</v>
      </c>
      <c r="I774" s="207">
        <f>IFERROR(__xludf.DUMMYFUNCTION("""COMPUTED_VALUE"""),44700.0)</f>
        <v>44700</v>
      </c>
      <c r="J774" s="208">
        <f>IFERROR(__xludf.DUMMYFUNCTION("""COMPUTED_VALUE"""),0.3532175925925926)</f>
        <v>0.3532175926</v>
      </c>
      <c r="K774" s="50">
        <f>IFERROR(__xludf.DUMMYFUNCTION("""COMPUTED_VALUE"""),2.0)</f>
        <v>2</v>
      </c>
      <c r="L774" s="6"/>
      <c r="M774" s="55"/>
      <c r="N774" s="55">
        <f>IFERROR(__xludf.DUMMYFUNCTION("""COMPUTED_VALUE"""),1.0)</f>
        <v>1</v>
      </c>
      <c r="O774" s="55" t="str">
        <f t="shared" si="3"/>
        <v/>
      </c>
      <c r="P774" s="209"/>
      <c r="Q774" s="75" t="b">
        <f>VLOOKUP($B774,'Run Reconcile'!B$2:P1679,15,FALSE)</f>
        <v>1</v>
      </c>
      <c r="R774" s="211" t="str">
        <f t="array" ref="R774">IF($Q774, INDEX('Run Reconcile'!A$2:A1679,MATCH(B774,'Run Reconcile'!B$2:B1679,0),1),IFERROR(0/0,""))</f>
        <v>RUN-COMB_2022-05-19_RFR-043</v>
      </c>
      <c r="S774" s="165" t="str">
        <f t="shared" ref="S774:T774" si="1547">IF(COUNTIF(W$2:W1679, $A774) &gt; 0,TRUE,IFERROR(0/0,""))</f>
        <v/>
      </c>
      <c r="T774" s="165" t="str">
        <f t="shared" si="1547"/>
        <v/>
      </c>
      <c r="U774" s="147" t="str">
        <f t="array" ref="U774">IF(ISBLANK($R774), IF($S774,VLOOKUP($B774+1,'RFR Data - preExcl'!$BF$2:$BG1679,2,FALSE),IF($T774,INDEX('RFR Data - preExcl'!$BF$2:$BG1679,MATCH($B774,'RFR Data - preExcl'!$BF$2:$BF1679,0)+1,2),VLOOKUP($B774,'RFR Data - preExcl'!$BF$2:$BG1679,2,FALSE))),IFERROR(0/0,""))</f>
        <v/>
      </c>
      <c r="V774" s="212" t="str">
        <f t="shared" si="5"/>
        <v>RUN-COMB_2022-05-19_RFR-043</v>
      </c>
      <c r="W774" s="51"/>
      <c r="X774" s="51"/>
      <c r="Y774" s="147" t="str">
        <f t="shared" ref="Y774:Z774" si="1548">IF(_xlfn.ISFORMULA(S774),IFERROR(0/0,""),TRUE)</f>
        <v/>
      </c>
      <c r="Z774" s="147" t="str">
        <f t="shared" si="1548"/>
        <v/>
      </c>
    </row>
    <row r="775">
      <c r="A775" s="6" t="str">
        <f>IFERROR(__xludf.DUMMYFUNCTION("""COMPUTED_VALUE"""),"FM2968")</f>
        <v>FM2968</v>
      </c>
      <c r="B775" s="206">
        <f>IFERROR(__xludf.DUMMYFUNCTION("""COMPUTED_VALUE"""),44700.0)</f>
        <v>44700</v>
      </c>
      <c r="C775" s="207">
        <f>IFERROR(__xludf.DUMMYFUNCTION("""COMPUTED_VALUE"""),0.2697800925925926)</f>
        <v>0.2697800926</v>
      </c>
      <c r="D775" s="50"/>
      <c r="E775" s="58"/>
      <c r="F775" s="58"/>
      <c r="G775" s="58" t="str">
        <f>IFERROR(__xludf.DUMMYFUNCTION("""COMPUTED_VALUE"""),"Null")</f>
        <v>Null</v>
      </c>
      <c r="H775" s="206" t="str">
        <f>IFERROR(__xludf.DUMMYFUNCTION("""COMPUTED_VALUE"""),"Negative")</f>
        <v>Negative</v>
      </c>
      <c r="I775" s="207">
        <f>IFERROR(__xludf.DUMMYFUNCTION("""COMPUTED_VALUE"""),44700.0)</f>
        <v>44700</v>
      </c>
      <c r="J775" s="208">
        <f>IFERROR(__xludf.DUMMYFUNCTION("""COMPUTED_VALUE"""),0.35322916666666665)</f>
        <v>0.3532291667</v>
      </c>
      <c r="K775" s="50">
        <f>IFERROR(__xludf.DUMMYFUNCTION("""COMPUTED_VALUE"""),2.0)</f>
        <v>2</v>
      </c>
      <c r="L775" s="6"/>
      <c r="M775" s="55"/>
      <c r="N775" s="55">
        <f>IFERROR(__xludf.DUMMYFUNCTION("""COMPUTED_VALUE"""),1.0)</f>
        <v>1</v>
      </c>
      <c r="O775" s="55" t="str">
        <f t="shared" si="3"/>
        <v/>
      </c>
      <c r="P775" s="209"/>
      <c r="Q775" s="75" t="b">
        <f>VLOOKUP($B775,'Run Reconcile'!B$2:P1679,15,FALSE)</f>
        <v>1</v>
      </c>
      <c r="R775" s="211" t="str">
        <f t="array" ref="R775">IF($Q775, INDEX('Run Reconcile'!A$2:A1679,MATCH(B775,'Run Reconcile'!B$2:B1679,0),1),IFERROR(0/0,""))</f>
        <v>RUN-COMB_2022-05-19_RFR-043</v>
      </c>
      <c r="S775" s="165" t="str">
        <f t="shared" ref="S775:T775" si="1549">IF(COUNTIF(W$2:W1679, $A775) &gt; 0,TRUE,IFERROR(0/0,""))</f>
        <v/>
      </c>
      <c r="T775" s="165" t="str">
        <f t="shared" si="1549"/>
        <v/>
      </c>
      <c r="U775" s="147" t="str">
        <f t="array" ref="U775">IF(ISBLANK($R775), IF($S775,VLOOKUP($B775+1,'RFR Data - preExcl'!$BF$2:$BG1679,2,FALSE),IF($T775,INDEX('RFR Data - preExcl'!$BF$2:$BG1679,MATCH($B775,'RFR Data - preExcl'!$BF$2:$BF1679,0)+1,2),VLOOKUP($B775,'RFR Data - preExcl'!$BF$2:$BG1679,2,FALSE))),IFERROR(0/0,""))</f>
        <v/>
      </c>
      <c r="V775" s="212" t="str">
        <f t="shared" si="5"/>
        <v>RUN-COMB_2022-05-19_RFR-043</v>
      </c>
      <c r="W775" s="51"/>
      <c r="X775" s="51"/>
      <c r="Y775" s="147" t="str">
        <f t="shared" ref="Y775:Z775" si="1550">IF(_xlfn.ISFORMULA(S775),IFERROR(0/0,""),TRUE)</f>
        <v/>
      </c>
      <c r="Z775" s="147" t="str">
        <f t="shared" si="1550"/>
        <v/>
      </c>
    </row>
    <row r="776">
      <c r="A776" s="6" t="str">
        <f>IFERROR(__xludf.DUMMYFUNCTION("""COMPUTED_VALUE"""),"FM2989")</f>
        <v>FM2989</v>
      </c>
      <c r="B776" s="206">
        <f>IFERROR(__xludf.DUMMYFUNCTION("""COMPUTED_VALUE"""),44700.0)</f>
        <v>44700</v>
      </c>
      <c r="C776" s="207">
        <f>IFERROR(__xludf.DUMMYFUNCTION("""COMPUTED_VALUE"""),0.27238425925925924)</f>
        <v>0.2723842593</v>
      </c>
      <c r="D776" s="50"/>
      <c r="E776" s="58"/>
      <c r="F776" s="58"/>
      <c r="G776" s="58" t="str">
        <f>IFERROR(__xludf.DUMMYFUNCTION("""COMPUTED_VALUE"""),"Null")</f>
        <v>Null</v>
      </c>
      <c r="H776" s="206" t="str">
        <f>IFERROR(__xludf.DUMMYFUNCTION("""COMPUTED_VALUE"""),"Negative")</f>
        <v>Negative</v>
      </c>
      <c r="I776" s="207">
        <f>IFERROR(__xludf.DUMMYFUNCTION("""COMPUTED_VALUE"""),44700.0)</f>
        <v>44700</v>
      </c>
      <c r="J776" s="208">
        <f>IFERROR(__xludf.DUMMYFUNCTION("""COMPUTED_VALUE"""),0.35325231481481484)</f>
        <v>0.3532523148</v>
      </c>
      <c r="K776" s="50">
        <f>IFERROR(__xludf.DUMMYFUNCTION("""COMPUTED_VALUE"""),2.0)</f>
        <v>2</v>
      </c>
      <c r="L776" s="6"/>
      <c r="M776" s="55"/>
      <c r="N776" s="55">
        <f>IFERROR(__xludf.DUMMYFUNCTION("""COMPUTED_VALUE"""),1.0)</f>
        <v>1</v>
      </c>
      <c r="O776" s="55" t="str">
        <f t="shared" si="3"/>
        <v/>
      </c>
      <c r="P776" s="209"/>
      <c r="Q776" s="75" t="b">
        <f>VLOOKUP($B776,'Run Reconcile'!B$2:P1679,15,FALSE)</f>
        <v>1</v>
      </c>
      <c r="R776" s="211" t="str">
        <f t="array" ref="R776">IF($Q776, INDEX('Run Reconcile'!A$2:A1679,MATCH(B776,'Run Reconcile'!B$2:B1679,0),1),IFERROR(0/0,""))</f>
        <v>RUN-COMB_2022-05-19_RFR-043</v>
      </c>
      <c r="S776" s="165" t="str">
        <f t="shared" ref="S776:T776" si="1551">IF(COUNTIF(W$2:W1679, $A776) &gt; 0,TRUE,IFERROR(0/0,""))</f>
        <v/>
      </c>
      <c r="T776" s="165" t="str">
        <f t="shared" si="1551"/>
        <v/>
      </c>
      <c r="U776" s="147" t="str">
        <f t="array" ref="U776">IF(ISBLANK($R776), IF($S776,VLOOKUP($B776+1,'RFR Data - preExcl'!$BF$2:$BG1679,2,FALSE),IF($T776,INDEX('RFR Data - preExcl'!$BF$2:$BG1679,MATCH($B776,'RFR Data - preExcl'!$BF$2:$BF1679,0)+1,2),VLOOKUP($B776,'RFR Data - preExcl'!$BF$2:$BG1679,2,FALSE))),IFERROR(0/0,""))</f>
        <v/>
      </c>
      <c r="V776" s="212" t="str">
        <f t="shared" si="5"/>
        <v>RUN-COMB_2022-05-19_RFR-043</v>
      </c>
      <c r="W776" s="51"/>
      <c r="X776" s="51"/>
      <c r="Y776" s="147" t="str">
        <f t="shared" ref="Y776:Z776" si="1552">IF(_xlfn.ISFORMULA(S776),IFERROR(0/0,""),TRUE)</f>
        <v/>
      </c>
      <c r="Z776" s="147" t="str">
        <f t="shared" si="1552"/>
        <v/>
      </c>
    </row>
    <row r="777">
      <c r="A777" s="6" t="str">
        <f>IFERROR(__xludf.DUMMYFUNCTION("""COMPUTED_VALUE"""),"FM2943")</f>
        <v>FM2943</v>
      </c>
      <c r="B777" s="206">
        <f>IFERROR(__xludf.DUMMYFUNCTION("""COMPUTED_VALUE"""),44700.0)</f>
        <v>44700</v>
      </c>
      <c r="C777" s="207">
        <f>IFERROR(__xludf.DUMMYFUNCTION("""COMPUTED_VALUE"""),0.27275462962962965)</f>
        <v>0.2727546296</v>
      </c>
      <c r="D777" s="50"/>
      <c r="E777" s="58"/>
      <c r="F777" s="58"/>
      <c r="G777" s="58" t="str">
        <f>IFERROR(__xludf.DUMMYFUNCTION("""COMPUTED_VALUE"""),"Null")</f>
        <v>Null</v>
      </c>
      <c r="H777" s="206" t="str">
        <f>IFERROR(__xludf.DUMMYFUNCTION("""COMPUTED_VALUE"""),"Negative")</f>
        <v>Negative</v>
      </c>
      <c r="I777" s="207">
        <f>IFERROR(__xludf.DUMMYFUNCTION("""COMPUTED_VALUE"""),44700.0)</f>
        <v>44700</v>
      </c>
      <c r="J777" s="208">
        <f>IFERROR(__xludf.DUMMYFUNCTION("""COMPUTED_VALUE"""),0.3532638888888889)</f>
        <v>0.3532638889</v>
      </c>
      <c r="K777" s="50">
        <f>IFERROR(__xludf.DUMMYFUNCTION("""COMPUTED_VALUE"""),2.0)</f>
        <v>2</v>
      </c>
      <c r="L777" s="6"/>
      <c r="M777" s="55"/>
      <c r="N777" s="55">
        <f>IFERROR(__xludf.DUMMYFUNCTION("""COMPUTED_VALUE"""),1.0)</f>
        <v>1</v>
      </c>
      <c r="O777" s="55" t="str">
        <f t="shared" si="3"/>
        <v/>
      </c>
      <c r="P777" s="209"/>
      <c r="Q777" s="75" t="b">
        <f>VLOOKUP($B777,'Run Reconcile'!B$2:P1679,15,FALSE)</f>
        <v>1</v>
      </c>
      <c r="R777" s="211" t="str">
        <f t="array" ref="R777">IF($Q777, INDEX('Run Reconcile'!A$2:A1679,MATCH(B777,'Run Reconcile'!B$2:B1679,0),1),IFERROR(0/0,""))</f>
        <v>RUN-COMB_2022-05-19_RFR-043</v>
      </c>
      <c r="S777" s="165" t="str">
        <f t="shared" ref="S777:T777" si="1553">IF(COUNTIF(W$2:W1679, $A777) &gt; 0,TRUE,IFERROR(0/0,""))</f>
        <v/>
      </c>
      <c r="T777" s="165" t="str">
        <f t="shared" si="1553"/>
        <v/>
      </c>
      <c r="U777" s="147" t="str">
        <f t="array" ref="U777">IF(ISBLANK($R777), IF($S777,VLOOKUP($B777+1,'RFR Data - preExcl'!$BF$2:$BG1679,2,FALSE),IF($T777,INDEX('RFR Data - preExcl'!$BF$2:$BG1679,MATCH($B777,'RFR Data - preExcl'!$BF$2:$BF1679,0)+1,2),VLOOKUP($B777,'RFR Data - preExcl'!$BF$2:$BG1679,2,FALSE))),IFERROR(0/0,""))</f>
        <v/>
      </c>
      <c r="V777" s="212" t="str">
        <f t="shared" si="5"/>
        <v>RUN-COMB_2022-05-19_RFR-043</v>
      </c>
      <c r="W777" s="51"/>
      <c r="X777" s="51"/>
      <c r="Y777" s="147" t="str">
        <f t="shared" ref="Y777:Z777" si="1554">IF(_xlfn.ISFORMULA(S777),IFERROR(0/0,""),TRUE)</f>
        <v/>
      </c>
      <c r="Z777" s="147" t="str">
        <f t="shared" si="1554"/>
        <v/>
      </c>
    </row>
    <row r="778">
      <c r="A778" s="6" t="str">
        <f>IFERROR(__xludf.DUMMYFUNCTION("""COMPUTED_VALUE"""),"FM2902")</f>
        <v>FM2902</v>
      </c>
      <c r="B778" s="206">
        <f>IFERROR(__xludf.DUMMYFUNCTION("""COMPUTED_VALUE"""),44700.0)</f>
        <v>44700</v>
      </c>
      <c r="C778" s="207">
        <f>IFERROR(__xludf.DUMMYFUNCTION("""COMPUTED_VALUE"""),0.2730902777777778)</f>
        <v>0.2730902778</v>
      </c>
      <c r="D778" s="50"/>
      <c r="E778" s="58"/>
      <c r="F778" s="58"/>
      <c r="G778" s="58" t="str">
        <f>IFERROR(__xludf.DUMMYFUNCTION("""COMPUTED_VALUE"""),"Null")</f>
        <v>Null</v>
      </c>
      <c r="H778" s="206" t="str">
        <f>IFERROR(__xludf.DUMMYFUNCTION("""COMPUTED_VALUE"""),"Negative")</f>
        <v>Negative</v>
      </c>
      <c r="I778" s="207">
        <f>IFERROR(__xludf.DUMMYFUNCTION("""COMPUTED_VALUE"""),44700.0)</f>
        <v>44700</v>
      </c>
      <c r="J778" s="208">
        <f>IFERROR(__xludf.DUMMYFUNCTION("""COMPUTED_VALUE"""),0.35327546296296297)</f>
        <v>0.353275463</v>
      </c>
      <c r="K778" s="50">
        <f>IFERROR(__xludf.DUMMYFUNCTION("""COMPUTED_VALUE"""),2.0)</f>
        <v>2</v>
      </c>
      <c r="L778" s="6"/>
      <c r="M778" s="55"/>
      <c r="N778" s="55">
        <f>IFERROR(__xludf.DUMMYFUNCTION("""COMPUTED_VALUE"""),1.0)</f>
        <v>1</v>
      </c>
      <c r="O778" s="55" t="str">
        <f t="shared" si="3"/>
        <v/>
      </c>
      <c r="P778" s="209"/>
      <c r="Q778" s="75" t="b">
        <f>VLOOKUP($B778,'Run Reconcile'!B$2:P1679,15,FALSE)</f>
        <v>1</v>
      </c>
      <c r="R778" s="211" t="str">
        <f t="array" ref="R778">IF($Q778, INDEX('Run Reconcile'!A$2:A1679,MATCH(B778,'Run Reconcile'!B$2:B1679,0),1),IFERROR(0/0,""))</f>
        <v>RUN-COMB_2022-05-19_RFR-043</v>
      </c>
      <c r="S778" s="165" t="str">
        <f t="shared" ref="S778:T778" si="1555">IF(COUNTIF(W$2:W1679, $A778) &gt; 0,TRUE,IFERROR(0/0,""))</f>
        <v/>
      </c>
      <c r="T778" s="165" t="str">
        <f t="shared" si="1555"/>
        <v/>
      </c>
      <c r="U778" s="147" t="str">
        <f t="array" ref="U778">IF(ISBLANK($R778), IF($S778,VLOOKUP($B778+1,'RFR Data - preExcl'!$BF$2:$BG1679,2,FALSE),IF($T778,INDEX('RFR Data - preExcl'!$BF$2:$BG1679,MATCH($B778,'RFR Data - preExcl'!$BF$2:$BF1679,0)+1,2),VLOOKUP($B778,'RFR Data - preExcl'!$BF$2:$BG1679,2,FALSE))),IFERROR(0/0,""))</f>
        <v/>
      </c>
      <c r="V778" s="212" t="str">
        <f t="shared" si="5"/>
        <v>RUN-COMB_2022-05-19_RFR-043</v>
      </c>
      <c r="W778" s="51"/>
      <c r="X778" s="51"/>
      <c r="Y778" s="147" t="str">
        <f t="shared" ref="Y778:Z778" si="1556">IF(_xlfn.ISFORMULA(S778),IFERROR(0/0,""),TRUE)</f>
        <v/>
      </c>
      <c r="Z778" s="147" t="str">
        <f t="shared" si="1556"/>
        <v/>
      </c>
    </row>
    <row r="779">
      <c r="A779" s="6" t="str">
        <f>IFERROR(__xludf.DUMMYFUNCTION("""COMPUTED_VALUE"""),"FM2936")</f>
        <v>FM2936</v>
      </c>
      <c r="B779" s="206">
        <f>IFERROR(__xludf.DUMMYFUNCTION("""COMPUTED_VALUE"""),44700.0)</f>
        <v>44700</v>
      </c>
      <c r="C779" s="207">
        <f>IFERROR(__xludf.DUMMYFUNCTION("""COMPUTED_VALUE"""),0.2735185185185185)</f>
        <v>0.2735185185</v>
      </c>
      <c r="D779" s="50"/>
      <c r="E779" s="58"/>
      <c r="F779" s="58"/>
      <c r="G779" s="58" t="str">
        <f>IFERROR(__xludf.DUMMYFUNCTION("""COMPUTED_VALUE"""),"Null")</f>
        <v>Null</v>
      </c>
      <c r="H779" s="206" t="str">
        <f>IFERROR(__xludf.DUMMYFUNCTION("""COMPUTED_VALUE"""),"Negative")</f>
        <v>Negative</v>
      </c>
      <c r="I779" s="207">
        <f>IFERROR(__xludf.DUMMYFUNCTION("""COMPUTED_VALUE"""),44700.0)</f>
        <v>44700</v>
      </c>
      <c r="J779" s="208">
        <f>IFERROR(__xludf.DUMMYFUNCTION("""COMPUTED_VALUE"""),0.353287037037037)</f>
        <v>0.353287037</v>
      </c>
      <c r="K779" s="50">
        <f>IFERROR(__xludf.DUMMYFUNCTION("""COMPUTED_VALUE"""),2.0)</f>
        <v>2</v>
      </c>
      <c r="L779" s="6"/>
      <c r="M779" s="55"/>
      <c r="N779" s="55">
        <f>IFERROR(__xludf.DUMMYFUNCTION("""COMPUTED_VALUE"""),1.0)</f>
        <v>1</v>
      </c>
      <c r="O779" s="55" t="str">
        <f t="shared" si="3"/>
        <v/>
      </c>
      <c r="P779" s="209"/>
      <c r="Q779" s="75" t="b">
        <f>VLOOKUP($B779,'Run Reconcile'!B$2:P1679,15,FALSE)</f>
        <v>1</v>
      </c>
      <c r="R779" s="211" t="str">
        <f t="array" ref="R779">IF($Q779, INDEX('Run Reconcile'!A$2:A1679,MATCH(B779,'Run Reconcile'!B$2:B1679,0),1),IFERROR(0/0,""))</f>
        <v>RUN-COMB_2022-05-19_RFR-043</v>
      </c>
      <c r="S779" s="165" t="str">
        <f t="shared" ref="S779:T779" si="1557">IF(COUNTIF(W$2:W1679, $A779) &gt; 0,TRUE,IFERROR(0/0,""))</f>
        <v/>
      </c>
      <c r="T779" s="165" t="str">
        <f t="shared" si="1557"/>
        <v/>
      </c>
      <c r="U779" s="147" t="str">
        <f t="array" ref="U779">IF(ISBLANK($R779), IF($S779,VLOOKUP($B779+1,'RFR Data - preExcl'!$BF$2:$BG1679,2,FALSE),IF($T779,INDEX('RFR Data - preExcl'!$BF$2:$BG1679,MATCH($B779,'RFR Data - preExcl'!$BF$2:$BF1679,0)+1,2),VLOOKUP($B779,'RFR Data - preExcl'!$BF$2:$BG1679,2,FALSE))),IFERROR(0/0,""))</f>
        <v/>
      </c>
      <c r="V779" s="212" t="str">
        <f t="shared" si="5"/>
        <v>RUN-COMB_2022-05-19_RFR-043</v>
      </c>
      <c r="W779" s="51"/>
      <c r="X779" s="51"/>
      <c r="Y779" s="147" t="str">
        <f t="shared" ref="Y779:Z779" si="1558">IF(_xlfn.ISFORMULA(S779),IFERROR(0/0,""),TRUE)</f>
        <v/>
      </c>
      <c r="Z779" s="147" t="str">
        <f t="shared" si="1558"/>
        <v/>
      </c>
    </row>
    <row r="780">
      <c r="A780" s="6" t="str">
        <f>IFERROR(__xludf.DUMMYFUNCTION("""COMPUTED_VALUE"""),"FM2931")</f>
        <v>FM2931</v>
      </c>
      <c r="B780" s="206">
        <f>IFERROR(__xludf.DUMMYFUNCTION("""COMPUTED_VALUE"""),44700.0)</f>
        <v>44700</v>
      </c>
      <c r="C780" s="207">
        <f>IFERROR(__xludf.DUMMYFUNCTION("""COMPUTED_VALUE"""),0.27390046296296294)</f>
        <v>0.273900463</v>
      </c>
      <c r="D780" s="50"/>
      <c r="E780" s="58"/>
      <c r="F780" s="58"/>
      <c r="G780" s="58" t="str">
        <f>IFERROR(__xludf.DUMMYFUNCTION("""COMPUTED_VALUE"""),"Null")</f>
        <v>Null</v>
      </c>
      <c r="H780" s="206" t="str">
        <f>IFERROR(__xludf.DUMMYFUNCTION("""COMPUTED_VALUE"""),"Negative")</f>
        <v>Negative</v>
      </c>
      <c r="I780" s="207">
        <f>IFERROR(__xludf.DUMMYFUNCTION("""COMPUTED_VALUE"""),44700.0)</f>
        <v>44700</v>
      </c>
      <c r="J780" s="208">
        <f>IFERROR(__xludf.DUMMYFUNCTION("""COMPUTED_VALUE"""),0.3532986111111111)</f>
        <v>0.3532986111</v>
      </c>
      <c r="K780" s="50">
        <f>IFERROR(__xludf.DUMMYFUNCTION("""COMPUTED_VALUE"""),2.0)</f>
        <v>2</v>
      </c>
      <c r="L780" s="6"/>
      <c r="M780" s="55"/>
      <c r="N780" s="55">
        <f>IFERROR(__xludf.DUMMYFUNCTION("""COMPUTED_VALUE"""),1.0)</f>
        <v>1</v>
      </c>
      <c r="O780" s="55" t="str">
        <f t="shared" si="3"/>
        <v/>
      </c>
      <c r="P780" s="209"/>
      <c r="Q780" s="75" t="b">
        <f>VLOOKUP($B780,'Run Reconcile'!B$2:P1679,15,FALSE)</f>
        <v>1</v>
      </c>
      <c r="R780" s="211" t="str">
        <f t="array" ref="R780">IF($Q780, INDEX('Run Reconcile'!A$2:A1679,MATCH(B780,'Run Reconcile'!B$2:B1679,0),1),IFERROR(0/0,""))</f>
        <v>RUN-COMB_2022-05-19_RFR-043</v>
      </c>
      <c r="S780" s="165" t="str">
        <f t="shared" ref="S780:T780" si="1559">IF(COUNTIF(W$2:W1679, $A780) &gt; 0,TRUE,IFERROR(0/0,""))</f>
        <v/>
      </c>
      <c r="T780" s="165" t="str">
        <f t="shared" si="1559"/>
        <v/>
      </c>
      <c r="U780" s="147" t="str">
        <f t="array" ref="U780">IF(ISBLANK($R780), IF($S780,VLOOKUP($B780+1,'RFR Data - preExcl'!$BF$2:$BG1679,2,FALSE),IF($T780,INDEX('RFR Data - preExcl'!$BF$2:$BG1679,MATCH($B780,'RFR Data - preExcl'!$BF$2:$BF1679,0)+1,2),VLOOKUP($B780,'RFR Data - preExcl'!$BF$2:$BG1679,2,FALSE))),IFERROR(0/0,""))</f>
        <v/>
      </c>
      <c r="V780" s="212" t="str">
        <f t="shared" si="5"/>
        <v>RUN-COMB_2022-05-19_RFR-043</v>
      </c>
      <c r="W780" s="51"/>
      <c r="X780" s="51"/>
      <c r="Y780" s="147" t="str">
        <f t="shared" ref="Y780:Z780" si="1560">IF(_xlfn.ISFORMULA(S780),IFERROR(0/0,""),TRUE)</f>
        <v/>
      </c>
      <c r="Z780" s="147" t="str">
        <f t="shared" si="1560"/>
        <v/>
      </c>
    </row>
    <row r="781">
      <c r="A781" s="6" t="str">
        <f>IFERROR(__xludf.DUMMYFUNCTION("""COMPUTED_VALUE"""),"FM2955")</f>
        <v>FM2955</v>
      </c>
      <c r="B781" s="206">
        <f>IFERROR(__xludf.DUMMYFUNCTION("""COMPUTED_VALUE"""),44700.0)</f>
        <v>44700</v>
      </c>
      <c r="C781" s="207">
        <f>IFERROR(__xludf.DUMMYFUNCTION("""COMPUTED_VALUE"""),0.27427083333333335)</f>
        <v>0.2742708333</v>
      </c>
      <c r="D781" s="50"/>
      <c r="E781" s="58"/>
      <c r="F781" s="58"/>
      <c r="G781" s="58" t="str">
        <f>IFERROR(__xludf.DUMMYFUNCTION("""COMPUTED_VALUE"""),"Null")</f>
        <v>Null</v>
      </c>
      <c r="H781" s="206" t="str">
        <f>IFERROR(__xludf.DUMMYFUNCTION("""COMPUTED_VALUE"""),"Negative")</f>
        <v>Negative</v>
      </c>
      <c r="I781" s="207">
        <f>IFERROR(__xludf.DUMMYFUNCTION("""COMPUTED_VALUE"""),44700.0)</f>
        <v>44700</v>
      </c>
      <c r="J781" s="208">
        <f>IFERROR(__xludf.DUMMYFUNCTION("""COMPUTED_VALUE"""),0.3533101851851852)</f>
        <v>0.3533101852</v>
      </c>
      <c r="K781" s="50">
        <f>IFERROR(__xludf.DUMMYFUNCTION("""COMPUTED_VALUE"""),2.0)</f>
        <v>2</v>
      </c>
      <c r="L781" s="6"/>
      <c r="M781" s="55"/>
      <c r="N781" s="55">
        <f>IFERROR(__xludf.DUMMYFUNCTION("""COMPUTED_VALUE"""),1.0)</f>
        <v>1</v>
      </c>
      <c r="O781" s="55" t="str">
        <f t="shared" si="3"/>
        <v/>
      </c>
      <c r="P781" s="209"/>
      <c r="Q781" s="75" t="b">
        <f>VLOOKUP($B781,'Run Reconcile'!B$2:P1679,15,FALSE)</f>
        <v>1</v>
      </c>
      <c r="R781" s="211" t="str">
        <f t="array" ref="R781">IF($Q781, INDEX('Run Reconcile'!A$2:A1679,MATCH(B781,'Run Reconcile'!B$2:B1679,0),1),IFERROR(0/0,""))</f>
        <v>RUN-COMB_2022-05-19_RFR-043</v>
      </c>
      <c r="S781" s="165" t="str">
        <f t="shared" ref="S781:T781" si="1561">IF(COUNTIF(W$2:W1679, $A781) &gt; 0,TRUE,IFERROR(0/0,""))</f>
        <v/>
      </c>
      <c r="T781" s="165" t="str">
        <f t="shared" si="1561"/>
        <v/>
      </c>
      <c r="U781" s="147" t="str">
        <f t="array" ref="U781">IF(ISBLANK($R781), IF($S781,VLOOKUP($B781+1,'RFR Data - preExcl'!$BF$2:$BG1679,2,FALSE),IF($T781,INDEX('RFR Data - preExcl'!$BF$2:$BG1679,MATCH($B781,'RFR Data - preExcl'!$BF$2:$BF1679,0)+1,2),VLOOKUP($B781,'RFR Data - preExcl'!$BF$2:$BG1679,2,FALSE))),IFERROR(0/0,""))</f>
        <v/>
      </c>
      <c r="V781" s="212" t="str">
        <f t="shared" si="5"/>
        <v>RUN-COMB_2022-05-19_RFR-043</v>
      </c>
      <c r="W781" s="51"/>
      <c r="X781" s="51"/>
      <c r="Y781" s="147" t="str">
        <f t="shared" ref="Y781:Z781" si="1562">IF(_xlfn.ISFORMULA(S781),IFERROR(0/0,""),TRUE)</f>
        <v/>
      </c>
      <c r="Z781" s="147" t="str">
        <f t="shared" si="1562"/>
        <v/>
      </c>
    </row>
    <row r="782">
      <c r="A782" s="6" t="str">
        <f>IFERROR(__xludf.DUMMYFUNCTION("""COMPUTED_VALUE"""),"FM2233")</f>
        <v>FM2233</v>
      </c>
      <c r="B782" s="206">
        <f>IFERROR(__xludf.DUMMYFUNCTION("""COMPUTED_VALUE"""),44700.0)</f>
        <v>44700</v>
      </c>
      <c r="C782" s="207">
        <f>IFERROR(__xludf.DUMMYFUNCTION("""COMPUTED_VALUE"""),0.27458333333333335)</f>
        <v>0.2745833333</v>
      </c>
      <c r="D782" s="50"/>
      <c r="E782" s="58"/>
      <c r="F782" s="58"/>
      <c r="G782" s="58" t="str">
        <f>IFERROR(__xludf.DUMMYFUNCTION("""COMPUTED_VALUE"""),"Null")</f>
        <v>Null</v>
      </c>
      <c r="H782" s="206" t="str">
        <f>IFERROR(__xludf.DUMMYFUNCTION("""COMPUTED_VALUE"""),"Negative")</f>
        <v>Negative</v>
      </c>
      <c r="I782" s="207">
        <f>IFERROR(__xludf.DUMMYFUNCTION("""COMPUTED_VALUE"""),44700.0)</f>
        <v>44700</v>
      </c>
      <c r="J782" s="208">
        <f>IFERROR(__xludf.DUMMYFUNCTION("""COMPUTED_VALUE"""),0.35332175925925924)</f>
        <v>0.3533217593</v>
      </c>
      <c r="K782" s="50">
        <f>IFERROR(__xludf.DUMMYFUNCTION("""COMPUTED_VALUE"""),2.0)</f>
        <v>2</v>
      </c>
      <c r="L782" s="6"/>
      <c r="M782" s="55"/>
      <c r="N782" s="55">
        <f>IFERROR(__xludf.DUMMYFUNCTION("""COMPUTED_VALUE"""),1.0)</f>
        <v>1</v>
      </c>
      <c r="O782" s="55" t="str">
        <f t="shared" si="3"/>
        <v/>
      </c>
      <c r="P782" s="209"/>
      <c r="Q782" s="75" t="b">
        <f>VLOOKUP($B782,'Run Reconcile'!B$2:P1679,15,FALSE)</f>
        <v>1</v>
      </c>
      <c r="R782" s="211" t="str">
        <f t="array" ref="R782">IF($Q782, INDEX('Run Reconcile'!A$2:A1679,MATCH(B782,'Run Reconcile'!B$2:B1679,0),1),IFERROR(0/0,""))</f>
        <v>RUN-COMB_2022-05-19_RFR-043</v>
      </c>
      <c r="S782" s="165" t="str">
        <f t="shared" ref="S782:T782" si="1563">IF(COUNTIF(W$2:W1679, $A782) &gt; 0,TRUE,IFERROR(0/0,""))</f>
        <v/>
      </c>
      <c r="T782" s="165" t="str">
        <f t="shared" si="1563"/>
        <v/>
      </c>
      <c r="U782" s="147" t="str">
        <f t="array" ref="U782">IF(ISBLANK($R782), IF($S782,VLOOKUP($B782+1,'RFR Data - preExcl'!$BF$2:$BG1679,2,FALSE),IF($T782,INDEX('RFR Data - preExcl'!$BF$2:$BG1679,MATCH($B782,'RFR Data - preExcl'!$BF$2:$BF1679,0)+1,2),VLOOKUP($B782,'RFR Data - preExcl'!$BF$2:$BG1679,2,FALSE))),IFERROR(0/0,""))</f>
        <v/>
      </c>
      <c r="V782" s="212" t="str">
        <f t="shared" si="5"/>
        <v>RUN-COMB_2022-05-19_RFR-043</v>
      </c>
      <c r="W782" s="51"/>
      <c r="X782" s="51"/>
      <c r="Y782" s="147" t="str">
        <f t="shared" ref="Y782:Z782" si="1564">IF(_xlfn.ISFORMULA(S782),IFERROR(0/0,""),TRUE)</f>
        <v/>
      </c>
      <c r="Z782" s="147" t="str">
        <f t="shared" si="1564"/>
        <v/>
      </c>
    </row>
    <row r="783">
      <c r="A783" s="6" t="str">
        <f>IFERROR(__xludf.DUMMYFUNCTION("""COMPUTED_VALUE"""),"FM2934")</f>
        <v>FM2934</v>
      </c>
      <c r="B783" s="206">
        <f>IFERROR(__xludf.DUMMYFUNCTION("""COMPUTED_VALUE"""),44700.0)</f>
        <v>44700</v>
      </c>
      <c r="C783" s="207">
        <f>IFERROR(__xludf.DUMMYFUNCTION("""COMPUTED_VALUE"""),0.27490740740740743)</f>
        <v>0.2749074074</v>
      </c>
      <c r="D783" s="50"/>
      <c r="E783" s="58"/>
      <c r="F783" s="58"/>
      <c r="G783" s="58" t="str">
        <f>IFERROR(__xludf.DUMMYFUNCTION("""COMPUTED_VALUE"""),"Null")</f>
        <v>Null</v>
      </c>
      <c r="H783" s="206" t="str">
        <f>IFERROR(__xludf.DUMMYFUNCTION("""COMPUTED_VALUE"""),"Negative")</f>
        <v>Negative</v>
      </c>
      <c r="I783" s="207">
        <f>IFERROR(__xludf.DUMMYFUNCTION("""COMPUTED_VALUE"""),44700.0)</f>
        <v>44700</v>
      </c>
      <c r="J783" s="208">
        <f>IFERROR(__xludf.DUMMYFUNCTION("""COMPUTED_VALUE"""),0.35333333333333333)</f>
        <v>0.3533333333</v>
      </c>
      <c r="K783" s="50">
        <f>IFERROR(__xludf.DUMMYFUNCTION("""COMPUTED_VALUE"""),2.0)</f>
        <v>2</v>
      </c>
      <c r="L783" s="6"/>
      <c r="M783" s="55"/>
      <c r="N783" s="55">
        <f>IFERROR(__xludf.DUMMYFUNCTION("""COMPUTED_VALUE"""),1.0)</f>
        <v>1</v>
      </c>
      <c r="O783" s="55" t="str">
        <f t="shared" si="3"/>
        <v/>
      </c>
      <c r="P783" s="209"/>
      <c r="Q783" s="75" t="b">
        <f>VLOOKUP($B783,'Run Reconcile'!B$2:P1679,15,FALSE)</f>
        <v>1</v>
      </c>
      <c r="R783" s="211" t="str">
        <f t="array" ref="R783">IF($Q783, INDEX('Run Reconcile'!A$2:A1679,MATCH(B783,'Run Reconcile'!B$2:B1679,0),1),IFERROR(0/0,""))</f>
        <v>RUN-COMB_2022-05-19_RFR-043</v>
      </c>
      <c r="S783" s="165" t="str">
        <f t="shared" ref="S783:T783" si="1565">IF(COUNTIF(W$2:W1679, $A783) &gt; 0,TRUE,IFERROR(0/0,""))</f>
        <v/>
      </c>
      <c r="T783" s="165" t="str">
        <f t="shared" si="1565"/>
        <v/>
      </c>
      <c r="U783" s="147" t="str">
        <f t="array" ref="U783">IF(ISBLANK($R783), IF($S783,VLOOKUP($B783+1,'RFR Data - preExcl'!$BF$2:$BG1679,2,FALSE),IF($T783,INDEX('RFR Data - preExcl'!$BF$2:$BG1679,MATCH($B783,'RFR Data - preExcl'!$BF$2:$BF1679,0)+1,2),VLOOKUP($B783,'RFR Data - preExcl'!$BF$2:$BG1679,2,FALSE))),IFERROR(0/0,""))</f>
        <v/>
      </c>
      <c r="V783" s="212" t="str">
        <f t="shared" si="5"/>
        <v>RUN-COMB_2022-05-19_RFR-043</v>
      </c>
      <c r="W783" s="51"/>
      <c r="X783" s="51"/>
      <c r="Y783" s="147" t="str">
        <f t="shared" ref="Y783:Z783" si="1566">IF(_xlfn.ISFORMULA(S783),IFERROR(0/0,""),TRUE)</f>
        <v/>
      </c>
      <c r="Z783" s="147" t="str">
        <f t="shared" si="1566"/>
        <v/>
      </c>
    </row>
    <row r="784">
      <c r="A784" s="6" t="str">
        <f>IFERROR(__xludf.DUMMYFUNCTION("""COMPUTED_VALUE"""),"FM2991")</f>
        <v>FM2991</v>
      </c>
      <c r="B784" s="206">
        <f>IFERROR(__xludf.DUMMYFUNCTION("""COMPUTED_VALUE"""),44700.0)</f>
        <v>44700</v>
      </c>
      <c r="C784" s="207">
        <f>IFERROR(__xludf.DUMMYFUNCTION("""COMPUTED_VALUE"""),0.2752777777777778)</f>
        <v>0.2752777778</v>
      </c>
      <c r="D784" s="50"/>
      <c r="E784" s="58"/>
      <c r="F784" s="58"/>
      <c r="G784" s="58" t="str">
        <f>IFERROR(__xludf.DUMMYFUNCTION("""COMPUTED_VALUE"""),"Null")</f>
        <v>Null</v>
      </c>
      <c r="H784" s="206" t="str">
        <f>IFERROR(__xludf.DUMMYFUNCTION("""COMPUTED_VALUE"""),"Negative")</f>
        <v>Negative</v>
      </c>
      <c r="I784" s="207">
        <f>IFERROR(__xludf.DUMMYFUNCTION("""COMPUTED_VALUE"""),44700.0)</f>
        <v>44700</v>
      </c>
      <c r="J784" s="208">
        <f>IFERROR(__xludf.DUMMYFUNCTION("""COMPUTED_VALUE"""),0.3533449074074074)</f>
        <v>0.3533449074</v>
      </c>
      <c r="K784" s="50">
        <f>IFERROR(__xludf.DUMMYFUNCTION("""COMPUTED_VALUE"""),2.0)</f>
        <v>2</v>
      </c>
      <c r="L784" s="6"/>
      <c r="M784" s="55"/>
      <c r="N784" s="55">
        <f>IFERROR(__xludf.DUMMYFUNCTION("""COMPUTED_VALUE"""),1.0)</f>
        <v>1</v>
      </c>
      <c r="O784" s="55" t="str">
        <f t="shared" si="3"/>
        <v/>
      </c>
      <c r="P784" s="209"/>
      <c r="Q784" s="75" t="b">
        <f>VLOOKUP($B784,'Run Reconcile'!B$2:P1679,15,FALSE)</f>
        <v>1</v>
      </c>
      <c r="R784" s="211" t="str">
        <f t="array" ref="R784">IF($Q784, INDEX('Run Reconcile'!A$2:A1679,MATCH(B784,'Run Reconcile'!B$2:B1679,0),1),IFERROR(0/0,""))</f>
        <v>RUN-COMB_2022-05-19_RFR-043</v>
      </c>
      <c r="S784" s="165" t="str">
        <f t="shared" ref="S784:T784" si="1567">IF(COUNTIF(W$2:W1679, $A784) &gt; 0,TRUE,IFERROR(0/0,""))</f>
        <v/>
      </c>
      <c r="T784" s="165" t="str">
        <f t="shared" si="1567"/>
        <v/>
      </c>
      <c r="U784" s="147" t="str">
        <f t="array" ref="U784">IF(ISBLANK($R784), IF($S784,VLOOKUP($B784+1,'RFR Data - preExcl'!$BF$2:$BG1679,2,FALSE),IF($T784,INDEX('RFR Data - preExcl'!$BF$2:$BG1679,MATCH($B784,'RFR Data - preExcl'!$BF$2:$BF1679,0)+1,2),VLOOKUP($B784,'RFR Data - preExcl'!$BF$2:$BG1679,2,FALSE))),IFERROR(0/0,""))</f>
        <v/>
      </c>
      <c r="V784" s="212" t="str">
        <f t="shared" si="5"/>
        <v>RUN-COMB_2022-05-19_RFR-043</v>
      </c>
      <c r="W784" s="51"/>
      <c r="X784" s="51"/>
      <c r="Y784" s="147" t="str">
        <f t="shared" ref="Y784:Z784" si="1568">IF(_xlfn.ISFORMULA(S784),IFERROR(0/0,""),TRUE)</f>
        <v/>
      </c>
      <c r="Z784" s="147" t="str">
        <f t="shared" si="1568"/>
        <v/>
      </c>
    </row>
    <row r="785">
      <c r="A785" s="6" t="str">
        <f>IFERROR(__xludf.DUMMYFUNCTION("""COMPUTED_VALUE"""),"FM2985")</f>
        <v>FM2985</v>
      </c>
      <c r="B785" s="206">
        <f>IFERROR(__xludf.DUMMYFUNCTION("""COMPUTED_VALUE"""),44700.0)</f>
        <v>44700</v>
      </c>
      <c r="C785" s="207">
        <f>IFERROR(__xludf.DUMMYFUNCTION("""COMPUTED_VALUE"""),0.27917824074074077)</f>
        <v>0.2791782407</v>
      </c>
      <c r="D785" s="50"/>
      <c r="E785" s="58"/>
      <c r="F785" s="58"/>
      <c r="G785" s="58" t="str">
        <f>IFERROR(__xludf.DUMMYFUNCTION("""COMPUTED_VALUE"""),"Null")</f>
        <v>Null</v>
      </c>
      <c r="H785" s="206" t="str">
        <f>IFERROR(__xludf.DUMMYFUNCTION("""COMPUTED_VALUE"""),"Negative")</f>
        <v>Negative</v>
      </c>
      <c r="I785" s="207">
        <f>IFERROR(__xludf.DUMMYFUNCTION("""COMPUTED_VALUE"""),44700.0)</f>
        <v>44700</v>
      </c>
      <c r="J785" s="208">
        <f>IFERROR(__xludf.DUMMYFUNCTION("""COMPUTED_VALUE"""),0.35335648148148147)</f>
        <v>0.3533564815</v>
      </c>
      <c r="K785" s="50">
        <f>IFERROR(__xludf.DUMMYFUNCTION("""COMPUTED_VALUE"""),2.0)</f>
        <v>2</v>
      </c>
      <c r="L785" s="6"/>
      <c r="M785" s="55"/>
      <c r="N785" s="55">
        <f>IFERROR(__xludf.DUMMYFUNCTION("""COMPUTED_VALUE"""),1.0)</f>
        <v>1</v>
      </c>
      <c r="O785" s="55" t="str">
        <f t="shared" si="3"/>
        <v/>
      </c>
      <c r="P785" s="209"/>
      <c r="Q785" s="75" t="b">
        <f>VLOOKUP($B785,'Run Reconcile'!B$2:P1679,15,FALSE)</f>
        <v>1</v>
      </c>
      <c r="R785" s="211" t="str">
        <f t="array" ref="R785">IF($Q785, INDEX('Run Reconcile'!A$2:A1679,MATCH(B785,'Run Reconcile'!B$2:B1679,0),1),IFERROR(0/0,""))</f>
        <v>RUN-COMB_2022-05-19_RFR-043</v>
      </c>
      <c r="S785" s="165" t="str">
        <f t="shared" ref="S785:T785" si="1569">IF(COUNTIF(W$2:W1679, $A785) &gt; 0,TRUE,IFERROR(0/0,""))</f>
        <v/>
      </c>
      <c r="T785" s="165" t="str">
        <f t="shared" si="1569"/>
        <v/>
      </c>
      <c r="U785" s="147" t="str">
        <f t="array" ref="U785">IF(ISBLANK($R785), IF($S785,VLOOKUP($B785+1,'RFR Data - preExcl'!$BF$2:$BG1679,2,FALSE),IF($T785,INDEX('RFR Data - preExcl'!$BF$2:$BG1679,MATCH($B785,'RFR Data - preExcl'!$BF$2:$BF1679,0)+1,2),VLOOKUP($B785,'RFR Data - preExcl'!$BF$2:$BG1679,2,FALSE))),IFERROR(0/0,""))</f>
        <v/>
      </c>
      <c r="V785" s="212" t="str">
        <f t="shared" si="5"/>
        <v>RUN-COMB_2022-05-19_RFR-043</v>
      </c>
      <c r="W785" s="51"/>
      <c r="X785" s="51"/>
      <c r="Y785" s="147" t="str">
        <f t="shared" ref="Y785:Z785" si="1570">IF(_xlfn.ISFORMULA(S785),IFERROR(0/0,""),TRUE)</f>
        <v/>
      </c>
      <c r="Z785" s="147" t="str">
        <f t="shared" si="1570"/>
        <v/>
      </c>
    </row>
    <row r="786">
      <c r="A786" s="6" t="str">
        <f>IFERROR(__xludf.DUMMYFUNCTION("""COMPUTED_VALUE"""),"FM2987")</f>
        <v>FM2987</v>
      </c>
      <c r="B786" s="206">
        <f>IFERROR(__xludf.DUMMYFUNCTION("""COMPUTED_VALUE"""),44700.0)</f>
        <v>44700</v>
      </c>
      <c r="C786" s="207">
        <f>IFERROR(__xludf.DUMMYFUNCTION("""COMPUTED_VALUE"""),0.27953703703703703)</f>
        <v>0.279537037</v>
      </c>
      <c r="D786" s="50"/>
      <c r="E786" s="58"/>
      <c r="F786" s="58"/>
      <c r="G786" s="58" t="str">
        <f>IFERROR(__xludf.DUMMYFUNCTION("""COMPUTED_VALUE"""),"Null")</f>
        <v>Null</v>
      </c>
      <c r="H786" s="206" t="str">
        <f>IFERROR(__xludf.DUMMYFUNCTION("""COMPUTED_VALUE"""),"Negative")</f>
        <v>Negative</v>
      </c>
      <c r="I786" s="207">
        <f>IFERROR(__xludf.DUMMYFUNCTION("""COMPUTED_VALUE"""),44700.0)</f>
        <v>44700</v>
      </c>
      <c r="J786" s="208">
        <f>IFERROR(__xludf.DUMMYFUNCTION("""COMPUTED_VALUE"""),0.35336805555555556)</f>
        <v>0.3533680556</v>
      </c>
      <c r="K786" s="50">
        <f>IFERROR(__xludf.DUMMYFUNCTION("""COMPUTED_VALUE"""),2.0)</f>
        <v>2</v>
      </c>
      <c r="L786" s="6"/>
      <c r="M786" s="55"/>
      <c r="N786" s="55">
        <f>IFERROR(__xludf.DUMMYFUNCTION("""COMPUTED_VALUE"""),1.0)</f>
        <v>1</v>
      </c>
      <c r="O786" s="55" t="str">
        <f t="shared" si="3"/>
        <v/>
      </c>
      <c r="P786" s="209"/>
      <c r="Q786" s="75" t="b">
        <f>VLOOKUP($B786,'Run Reconcile'!B$2:P1679,15,FALSE)</f>
        <v>1</v>
      </c>
      <c r="R786" s="211" t="str">
        <f t="array" ref="R786">IF($Q786, INDEX('Run Reconcile'!A$2:A1679,MATCH(B786,'Run Reconcile'!B$2:B1679,0),1),IFERROR(0/0,""))</f>
        <v>RUN-COMB_2022-05-19_RFR-043</v>
      </c>
      <c r="S786" s="165" t="str">
        <f t="shared" ref="S786:T786" si="1571">IF(COUNTIF(W$2:W1679, $A786) &gt; 0,TRUE,IFERROR(0/0,""))</f>
        <v/>
      </c>
      <c r="T786" s="165" t="str">
        <f t="shared" si="1571"/>
        <v/>
      </c>
      <c r="U786" s="147" t="str">
        <f t="array" ref="U786">IF(ISBLANK($R786), IF($S786,VLOOKUP($B786+1,'RFR Data - preExcl'!$BF$2:$BG1679,2,FALSE),IF($T786,INDEX('RFR Data - preExcl'!$BF$2:$BG1679,MATCH($B786,'RFR Data - preExcl'!$BF$2:$BF1679,0)+1,2),VLOOKUP($B786,'RFR Data - preExcl'!$BF$2:$BG1679,2,FALSE))),IFERROR(0/0,""))</f>
        <v/>
      </c>
      <c r="V786" s="212" t="str">
        <f t="shared" si="5"/>
        <v>RUN-COMB_2022-05-19_RFR-043</v>
      </c>
      <c r="W786" s="51"/>
      <c r="X786" s="51"/>
      <c r="Y786" s="147" t="str">
        <f t="shared" ref="Y786:Z786" si="1572">IF(_xlfn.ISFORMULA(S786),IFERROR(0/0,""),TRUE)</f>
        <v/>
      </c>
      <c r="Z786" s="147" t="str">
        <f t="shared" si="1572"/>
        <v/>
      </c>
    </row>
    <row r="787">
      <c r="A787" s="6" t="str">
        <f>IFERROR(__xludf.DUMMYFUNCTION("""COMPUTED_VALUE"""),"FM2935")</f>
        <v>FM2935</v>
      </c>
      <c r="B787" s="206">
        <f>IFERROR(__xludf.DUMMYFUNCTION("""COMPUTED_VALUE"""),44700.0)</f>
        <v>44700</v>
      </c>
      <c r="C787" s="207">
        <f>IFERROR(__xludf.DUMMYFUNCTION("""COMPUTED_VALUE"""),0.27993055555555557)</f>
        <v>0.2799305556</v>
      </c>
      <c r="D787" s="50"/>
      <c r="E787" s="58"/>
      <c r="F787" s="58"/>
      <c r="G787" s="58" t="str">
        <f>IFERROR(__xludf.DUMMYFUNCTION("""COMPUTED_VALUE"""),"Null")</f>
        <v>Null</v>
      </c>
      <c r="H787" s="206" t="str">
        <f>IFERROR(__xludf.DUMMYFUNCTION("""COMPUTED_VALUE"""),"Negative")</f>
        <v>Negative</v>
      </c>
      <c r="I787" s="207">
        <f>IFERROR(__xludf.DUMMYFUNCTION("""COMPUTED_VALUE"""),44700.0)</f>
        <v>44700</v>
      </c>
      <c r="J787" s="208">
        <f>IFERROR(__xludf.DUMMYFUNCTION("""COMPUTED_VALUE"""),0.35337962962962965)</f>
        <v>0.3533796296</v>
      </c>
      <c r="K787" s="50">
        <f>IFERROR(__xludf.DUMMYFUNCTION("""COMPUTED_VALUE"""),2.0)</f>
        <v>2</v>
      </c>
      <c r="L787" s="6"/>
      <c r="M787" s="55"/>
      <c r="N787" s="55">
        <f>IFERROR(__xludf.DUMMYFUNCTION("""COMPUTED_VALUE"""),1.0)</f>
        <v>1</v>
      </c>
      <c r="O787" s="55" t="str">
        <f t="shared" si="3"/>
        <v/>
      </c>
      <c r="P787" s="209"/>
      <c r="Q787" s="75" t="b">
        <f>VLOOKUP($B787,'Run Reconcile'!B$2:P1679,15,FALSE)</f>
        <v>1</v>
      </c>
      <c r="R787" s="211" t="str">
        <f t="array" ref="R787">IF($Q787, INDEX('Run Reconcile'!A$2:A1679,MATCH(B787,'Run Reconcile'!B$2:B1679,0),1),IFERROR(0/0,""))</f>
        <v>RUN-COMB_2022-05-19_RFR-043</v>
      </c>
      <c r="S787" s="165" t="str">
        <f t="shared" ref="S787:T787" si="1573">IF(COUNTIF(W$2:W1679, $A787) &gt; 0,TRUE,IFERROR(0/0,""))</f>
        <v/>
      </c>
      <c r="T787" s="165" t="str">
        <f t="shared" si="1573"/>
        <v/>
      </c>
      <c r="U787" s="147" t="str">
        <f t="array" ref="U787">IF(ISBLANK($R787), IF($S787,VLOOKUP($B787+1,'RFR Data - preExcl'!$BF$2:$BG1679,2,FALSE),IF($T787,INDEX('RFR Data - preExcl'!$BF$2:$BG1679,MATCH($B787,'RFR Data - preExcl'!$BF$2:$BF1679,0)+1,2),VLOOKUP($B787,'RFR Data - preExcl'!$BF$2:$BG1679,2,FALSE))),IFERROR(0/0,""))</f>
        <v/>
      </c>
      <c r="V787" s="212" t="str">
        <f t="shared" si="5"/>
        <v>RUN-COMB_2022-05-19_RFR-043</v>
      </c>
      <c r="W787" s="51"/>
      <c r="X787" s="51"/>
      <c r="Y787" s="147" t="str">
        <f t="shared" ref="Y787:Z787" si="1574">IF(_xlfn.ISFORMULA(S787),IFERROR(0/0,""),TRUE)</f>
        <v/>
      </c>
      <c r="Z787" s="147" t="str">
        <f t="shared" si="1574"/>
        <v/>
      </c>
    </row>
    <row r="788">
      <c r="A788" s="6" t="str">
        <f>IFERROR(__xludf.DUMMYFUNCTION("""COMPUTED_VALUE"""),"FM2900")</f>
        <v>FM2900</v>
      </c>
      <c r="B788" s="206">
        <f>IFERROR(__xludf.DUMMYFUNCTION("""COMPUTED_VALUE"""),44700.0)</f>
        <v>44700</v>
      </c>
      <c r="C788" s="207">
        <f>IFERROR(__xludf.DUMMYFUNCTION("""COMPUTED_VALUE"""),0.28028935185185183)</f>
        <v>0.2802893519</v>
      </c>
      <c r="D788" s="50"/>
      <c r="E788" s="58"/>
      <c r="F788" s="58"/>
      <c r="G788" s="58" t="str">
        <f>IFERROR(__xludf.DUMMYFUNCTION("""COMPUTED_VALUE"""),"Null")</f>
        <v>Null</v>
      </c>
      <c r="H788" s="206" t="str">
        <f>IFERROR(__xludf.DUMMYFUNCTION("""COMPUTED_VALUE"""),"Negative")</f>
        <v>Negative</v>
      </c>
      <c r="I788" s="207">
        <f>IFERROR(__xludf.DUMMYFUNCTION("""COMPUTED_VALUE"""),44700.0)</f>
        <v>44700</v>
      </c>
      <c r="J788" s="208">
        <f>IFERROR(__xludf.DUMMYFUNCTION("""COMPUTED_VALUE"""),0.3534027777777778)</f>
        <v>0.3534027778</v>
      </c>
      <c r="K788" s="50">
        <f>IFERROR(__xludf.DUMMYFUNCTION("""COMPUTED_VALUE"""),2.0)</f>
        <v>2</v>
      </c>
      <c r="L788" s="6"/>
      <c r="M788" s="55"/>
      <c r="N788" s="55">
        <f>IFERROR(__xludf.DUMMYFUNCTION("""COMPUTED_VALUE"""),1.0)</f>
        <v>1</v>
      </c>
      <c r="O788" s="55" t="str">
        <f t="shared" si="3"/>
        <v/>
      </c>
      <c r="P788" s="209"/>
      <c r="Q788" s="75" t="b">
        <f>VLOOKUP($B788,'Run Reconcile'!B$2:P1679,15,FALSE)</f>
        <v>1</v>
      </c>
      <c r="R788" s="211" t="str">
        <f t="array" ref="R788">IF($Q788, INDEX('Run Reconcile'!A$2:A1679,MATCH(B788,'Run Reconcile'!B$2:B1679,0),1),IFERROR(0/0,""))</f>
        <v>RUN-COMB_2022-05-19_RFR-043</v>
      </c>
      <c r="S788" s="165" t="str">
        <f t="shared" ref="S788:T788" si="1575">IF(COUNTIF(W$2:W1679, $A788) &gt; 0,TRUE,IFERROR(0/0,""))</f>
        <v/>
      </c>
      <c r="T788" s="165" t="str">
        <f t="shared" si="1575"/>
        <v/>
      </c>
      <c r="U788" s="147" t="str">
        <f t="array" ref="U788">IF(ISBLANK($R788), IF($S788,VLOOKUP($B788+1,'RFR Data - preExcl'!$BF$2:$BG1679,2,FALSE),IF($T788,INDEX('RFR Data - preExcl'!$BF$2:$BG1679,MATCH($B788,'RFR Data - preExcl'!$BF$2:$BF1679,0)+1,2),VLOOKUP($B788,'RFR Data - preExcl'!$BF$2:$BG1679,2,FALSE))),IFERROR(0/0,""))</f>
        <v/>
      </c>
      <c r="V788" s="212" t="str">
        <f t="shared" si="5"/>
        <v>RUN-COMB_2022-05-19_RFR-043</v>
      </c>
      <c r="W788" s="51"/>
      <c r="X788" s="51"/>
      <c r="Y788" s="147" t="str">
        <f t="shared" ref="Y788:Z788" si="1576">IF(_xlfn.ISFORMULA(S788),IFERROR(0/0,""),TRUE)</f>
        <v/>
      </c>
      <c r="Z788" s="147" t="str">
        <f t="shared" si="1576"/>
        <v/>
      </c>
    </row>
    <row r="789">
      <c r="A789" s="6" t="str">
        <f>IFERROR(__xludf.DUMMYFUNCTION("""COMPUTED_VALUE"""),"FM2990")</f>
        <v>FM2990</v>
      </c>
      <c r="B789" s="206">
        <f>IFERROR(__xludf.DUMMYFUNCTION("""COMPUTED_VALUE"""),44700.0)</f>
        <v>44700</v>
      </c>
      <c r="C789" s="207">
        <f>IFERROR(__xludf.DUMMYFUNCTION("""COMPUTED_VALUE"""),0.28072916666666664)</f>
        <v>0.2807291667</v>
      </c>
      <c r="D789" s="50"/>
      <c r="E789" s="58"/>
      <c r="F789" s="58"/>
      <c r="G789" s="58" t="str">
        <f>IFERROR(__xludf.DUMMYFUNCTION("""COMPUTED_VALUE"""),"Null")</f>
        <v>Null</v>
      </c>
      <c r="H789" s="206" t="str">
        <f>IFERROR(__xludf.DUMMYFUNCTION("""COMPUTED_VALUE"""),"Negative")</f>
        <v>Negative</v>
      </c>
      <c r="I789" s="207">
        <f>IFERROR(__xludf.DUMMYFUNCTION("""COMPUTED_VALUE"""),44700.0)</f>
        <v>44700</v>
      </c>
      <c r="J789" s="208">
        <f>IFERROR(__xludf.DUMMYFUNCTION("""COMPUTED_VALUE"""),0.3534143518518518)</f>
        <v>0.3534143519</v>
      </c>
      <c r="K789" s="50">
        <f>IFERROR(__xludf.DUMMYFUNCTION("""COMPUTED_VALUE"""),2.0)</f>
        <v>2</v>
      </c>
      <c r="L789" s="6"/>
      <c r="M789" s="55"/>
      <c r="N789" s="55">
        <f>IFERROR(__xludf.DUMMYFUNCTION("""COMPUTED_VALUE"""),1.0)</f>
        <v>1</v>
      </c>
      <c r="O789" s="55" t="str">
        <f t="shared" si="3"/>
        <v/>
      </c>
      <c r="P789" s="209"/>
      <c r="Q789" s="75" t="b">
        <f>VLOOKUP($B789,'Run Reconcile'!B$2:P1679,15,FALSE)</f>
        <v>1</v>
      </c>
      <c r="R789" s="211" t="str">
        <f t="array" ref="R789">IF($Q789, INDEX('Run Reconcile'!A$2:A1679,MATCH(B789,'Run Reconcile'!B$2:B1679,0),1),IFERROR(0/0,""))</f>
        <v>RUN-COMB_2022-05-19_RFR-043</v>
      </c>
      <c r="S789" s="165" t="str">
        <f t="shared" ref="S789:T789" si="1577">IF(COUNTIF(W$2:W1679, $A789) &gt; 0,TRUE,IFERROR(0/0,""))</f>
        <v/>
      </c>
      <c r="T789" s="165" t="str">
        <f t="shared" si="1577"/>
        <v/>
      </c>
      <c r="U789" s="147" t="str">
        <f t="array" ref="U789">IF(ISBLANK($R789), IF($S789,VLOOKUP($B789+1,'RFR Data - preExcl'!$BF$2:$BG1679,2,FALSE),IF($T789,INDEX('RFR Data - preExcl'!$BF$2:$BG1679,MATCH($B789,'RFR Data - preExcl'!$BF$2:$BF1679,0)+1,2),VLOOKUP($B789,'RFR Data - preExcl'!$BF$2:$BG1679,2,FALSE))),IFERROR(0/0,""))</f>
        <v/>
      </c>
      <c r="V789" s="212" t="str">
        <f t="shared" si="5"/>
        <v>RUN-COMB_2022-05-19_RFR-043</v>
      </c>
      <c r="W789" s="51"/>
      <c r="X789" s="51"/>
      <c r="Y789" s="147" t="str">
        <f t="shared" ref="Y789:Z789" si="1578">IF(_xlfn.ISFORMULA(S789),IFERROR(0/0,""),TRUE)</f>
        <v/>
      </c>
      <c r="Z789" s="147" t="str">
        <f t="shared" si="1578"/>
        <v/>
      </c>
    </row>
    <row r="790">
      <c r="A790" s="6" t="str">
        <f>IFERROR(__xludf.DUMMYFUNCTION("""COMPUTED_VALUE"""),"FM2932")</f>
        <v>FM2932</v>
      </c>
      <c r="B790" s="206">
        <f>IFERROR(__xludf.DUMMYFUNCTION("""COMPUTED_VALUE"""),44700.0)</f>
        <v>44700</v>
      </c>
      <c r="C790" s="207">
        <f>IFERROR(__xludf.DUMMYFUNCTION("""COMPUTED_VALUE"""),0.2810416666666667)</f>
        <v>0.2810416667</v>
      </c>
      <c r="D790" s="50"/>
      <c r="E790" s="58"/>
      <c r="F790" s="58"/>
      <c r="G790" s="58" t="str">
        <f>IFERROR(__xludf.DUMMYFUNCTION("""COMPUTED_VALUE"""),"Null")</f>
        <v>Null</v>
      </c>
      <c r="H790" s="206" t="str">
        <f>IFERROR(__xludf.DUMMYFUNCTION("""COMPUTED_VALUE"""),"Negative")</f>
        <v>Negative</v>
      </c>
      <c r="I790" s="207">
        <f>IFERROR(__xludf.DUMMYFUNCTION("""COMPUTED_VALUE"""),44700.0)</f>
        <v>44700</v>
      </c>
      <c r="J790" s="208">
        <f>IFERROR(__xludf.DUMMYFUNCTION("""COMPUTED_VALUE"""),0.3534259259259259)</f>
        <v>0.3534259259</v>
      </c>
      <c r="K790" s="50">
        <f>IFERROR(__xludf.DUMMYFUNCTION("""COMPUTED_VALUE"""),2.0)</f>
        <v>2</v>
      </c>
      <c r="L790" s="6"/>
      <c r="M790" s="55"/>
      <c r="N790" s="55">
        <f>IFERROR(__xludf.DUMMYFUNCTION("""COMPUTED_VALUE"""),1.0)</f>
        <v>1</v>
      </c>
      <c r="O790" s="55" t="str">
        <f t="shared" si="3"/>
        <v/>
      </c>
      <c r="P790" s="209"/>
      <c r="Q790" s="75" t="b">
        <f>VLOOKUP($B790,'Run Reconcile'!B$2:P1679,15,FALSE)</f>
        <v>1</v>
      </c>
      <c r="R790" s="211" t="str">
        <f t="array" ref="R790">IF($Q790, INDEX('Run Reconcile'!A$2:A1679,MATCH(B790,'Run Reconcile'!B$2:B1679,0),1),IFERROR(0/0,""))</f>
        <v>RUN-COMB_2022-05-19_RFR-043</v>
      </c>
      <c r="S790" s="165" t="str">
        <f t="shared" ref="S790:T790" si="1579">IF(COUNTIF(W$2:W1679, $A790) &gt; 0,TRUE,IFERROR(0/0,""))</f>
        <v/>
      </c>
      <c r="T790" s="165" t="str">
        <f t="shared" si="1579"/>
        <v/>
      </c>
      <c r="U790" s="147" t="str">
        <f t="array" ref="U790">IF(ISBLANK($R790), IF($S790,VLOOKUP($B790+1,'RFR Data - preExcl'!$BF$2:$BG1679,2,FALSE),IF($T790,INDEX('RFR Data - preExcl'!$BF$2:$BG1679,MATCH($B790,'RFR Data - preExcl'!$BF$2:$BF1679,0)+1,2),VLOOKUP($B790,'RFR Data - preExcl'!$BF$2:$BG1679,2,FALSE))),IFERROR(0/0,""))</f>
        <v/>
      </c>
      <c r="V790" s="212" t="str">
        <f t="shared" si="5"/>
        <v>RUN-COMB_2022-05-19_RFR-043</v>
      </c>
      <c r="W790" s="51"/>
      <c r="X790" s="51"/>
      <c r="Y790" s="147" t="str">
        <f t="shared" ref="Y790:Z790" si="1580">IF(_xlfn.ISFORMULA(S790),IFERROR(0/0,""),TRUE)</f>
        <v/>
      </c>
      <c r="Z790" s="147" t="str">
        <f t="shared" si="1580"/>
        <v/>
      </c>
    </row>
    <row r="791">
      <c r="A791" s="6" t="str">
        <f>IFERROR(__xludf.DUMMYFUNCTION("""COMPUTED_VALUE"""),"FM2926")</f>
        <v>FM2926</v>
      </c>
      <c r="B791" s="206">
        <f>IFERROR(__xludf.DUMMYFUNCTION("""COMPUTED_VALUE"""),44700.0)</f>
        <v>44700</v>
      </c>
      <c r="C791" s="207">
        <f>IFERROR(__xludf.DUMMYFUNCTION("""COMPUTED_VALUE"""),0.28141203703703704)</f>
        <v>0.281412037</v>
      </c>
      <c r="D791" s="50"/>
      <c r="E791" s="58"/>
      <c r="F791" s="58"/>
      <c r="G791" s="58" t="str">
        <f>IFERROR(__xludf.DUMMYFUNCTION("""COMPUTED_VALUE"""),"Null")</f>
        <v>Null</v>
      </c>
      <c r="H791" s="206" t="str">
        <f>IFERROR(__xludf.DUMMYFUNCTION("""COMPUTED_VALUE"""),"Negative")</f>
        <v>Negative</v>
      </c>
      <c r="I791" s="207">
        <f>IFERROR(__xludf.DUMMYFUNCTION("""COMPUTED_VALUE"""),44700.0)</f>
        <v>44700</v>
      </c>
      <c r="J791" s="208">
        <f>IFERROR(__xludf.DUMMYFUNCTION("""COMPUTED_VALUE"""),0.35346064814814815)</f>
        <v>0.3534606481</v>
      </c>
      <c r="K791" s="50">
        <f>IFERROR(__xludf.DUMMYFUNCTION("""COMPUTED_VALUE"""),2.0)</f>
        <v>2</v>
      </c>
      <c r="L791" s="6"/>
      <c r="M791" s="55"/>
      <c r="N791" s="55">
        <f>IFERROR(__xludf.DUMMYFUNCTION("""COMPUTED_VALUE"""),1.0)</f>
        <v>1</v>
      </c>
      <c r="O791" s="55" t="str">
        <f t="shared" si="3"/>
        <v/>
      </c>
      <c r="P791" s="209"/>
      <c r="Q791" s="75" t="b">
        <f>VLOOKUP($B791,'Run Reconcile'!B$2:P1679,15,FALSE)</f>
        <v>1</v>
      </c>
      <c r="R791" s="211" t="str">
        <f t="array" ref="R791">IF($Q791, INDEX('Run Reconcile'!A$2:A1679,MATCH(B791,'Run Reconcile'!B$2:B1679,0),1),IFERROR(0/0,""))</f>
        <v>RUN-COMB_2022-05-19_RFR-043</v>
      </c>
      <c r="S791" s="165" t="str">
        <f t="shared" ref="S791:T791" si="1581">IF(COUNTIF(W$2:W1679, $A791) &gt; 0,TRUE,IFERROR(0/0,""))</f>
        <v/>
      </c>
      <c r="T791" s="165" t="str">
        <f t="shared" si="1581"/>
        <v/>
      </c>
      <c r="U791" s="147" t="str">
        <f t="array" ref="U791">IF(ISBLANK($R791), IF($S791,VLOOKUP($B791+1,'RFR Data - preExcl'!$BF$2:$BG1679,2,FALSE),IF($T791,INDEX('RFR Data - preExcl'!$BF$2:$BG1679,MATCH($B791,'RFR Data - preExcl'!$BF$2:$BF1679,0)+1,2),VLOOKUP($B791,'RFR Data - preExcl'!$BF$2:$BG1679,2,FALSE))),IFERROR(0/0,""))</f>
        <v/>
      </c>
      <c r="V791" s="212" t="str">
        <f t="shared" si="5"/>
        <v>RUN-COMB_2022-05-19_RFR-043</v>
      </c>
      <c r="W791" s="51"/>
      <c r="X791" s="51"/>
      <c r="Y791" s="147" t="str">
        <f t="shared" ref="Y791:Z791" si="1582">IF(_xlfn.ISFORMULA(S791),IFERROR(0/0,""),TRUE)</f>
        <v/>
      </c>
      <c r="Z791" s="147" t="str">
        <f t="shared" si="1582"/>
        <v/>
      </c>
    </row>
    <row r="792">
      <c r="A792" s="6" t="str">
        <f>IFERROR(__xludf.DUMMYFUNCTION("""COMPUTED_VALUE"""),"FM2940")</f>
        <v>FM2940</v>
      </c>
      <c r="B792" s="206">
        <f>IFERROR(__xludf.DUMMYFUNCTION("""COMPUTED_VALUE"""),44700.0)</f>
        <v>44700</v>
      </c>
      <c r="C792" s="207">
        <f>IFERROR(__xludf.DUMMYFUNCTION("""COMPUTED_VALUE"""),0.28186342592592595)</f>
        <v>0.2818634259</v>
      </c>
      <c r="D792" s="50"/>
      <c r="E792" s="58"/>
      <c r="F792" s="58"/>
      <c r="G792" s="58" t="str">
        <f>IFERROR(__xludf.DUMMYFUNCTION("""COMPUTED_VALUE"""),"Null")</f>
        <v>Null</v>
      </c>
      <c r="H792" s="206" t="str">
        <f>IFERROR(__xludf.DUMMYFUNCTION("""COMPUTED_VALUE"""),"Negative")</f>
        <v>Negative</v>
      </c>
      <c r="I792" s="207">
        <f>IFERROR(__xludf.DUMMYFUNCTION("""COMPUTED_VALUE"""),44700.0)</f>
        <v>44700</v>
      </c>
      <c r="J792" s="208">
        <f>IFERROR(__xludf.DUMMYFUNCTION("""COMPUTED_VALUE"""),0.35347222222222224)</f>
        <v>0.3534722222</v>
      </c>
      <c r="K792" s="50">
        <f>IFERROR(__xludf.DUMMYFUNCTION("""COMPUTED_VALUE"""),2.0)</f>
        <v>2</v>
      </c>
      <c r="L792" s="6"/>
      <c r="M792" s="55"/>
      <c r="N792" s="55">
        <f>IFERROR(__xludf.DUMMYFUNCTION("""COMPUTED_VALUE"""),1.0)</f>
        <v>1</v>
      </c>
      <c r="O792" s="55" t="str">
        <f t="shared" si="3"/>
        <v/>
      </c>
      <c r="P792" s="209"/>
      <c r="Q792" s="75" t="b">
        <f>VLOOKUP($B792,'Run Reconcile'!B$2:P1679,15,FALSE)</f>
        <v>1</v>
      </c>
      <c r="R792" s="211" t="str">
        <f t="array" ref="R792">IF($Q792, INDEX('Run Reconcile'!A$2:A1679,MATCH(B792,'Run Reconcile'!B$2:B1679,0),1),IFERROR(0/0,""))</f>
        <v>RUN-COMB_2022-05-19_RFR-043</v>
      </c>
      <c r="S792" s="165" t="str">
        <f t="shared" ref="S792:T792" si="1583">IF(COUNTIF(W$2:W1679, $A792) &gt; 0,TRUE,IFERROR(0/0,""))</f>
        <v/>
      </c>
      <c r="T792" s="165" t="str">
        <f t="shared" si="1583"/>
        <v/>
      </c>
      <c r="U792" s="147" t="str">
        <f t="array" ref="U792">IF(ISBLANK($R792), IF($S792,VLOOKUP($B792+1,'RFR Data - preExcl'!$BF$2:$BG1679,2,FALSE),IF($T792,INDEX('RFR Data - preExcl'!$BF$2:$BG1679,MATCH($B792,'RFR Data - preExcl'!$BF$2:$BF1679,0)+1,2),VLOOKUP($B792,'RFR Data - preExcl'!$BF$2:$BG1679,2,FALSE))),IFERROR(0/0,""))</f>
        <v/>
      </c>
      <c r="V792" s="212" t="str">
        <f t="shared" si="5"/>
        <v>RUN-COMB_2022-05-19_RFR-043</v>
      </c>
      <c r="W792" s="51"/>
      <c r="X792" s="51"/>
      <c r="Y792" s="147" t="str">
        <f t="shared" ref="Y792:Z792" si="1584">IF(_xlfn.ISFORMULA(S792),IFERROR(0/0,""),TRUE)</f>
        <v/>
      </c>
      <c r="Z792" s="147" t="str">
        <f t="shared" si="1584"/>
        <v/>
      </c>
    </row>
    <row r="793">
      <c r="A793" s="6" t="str">
        <f>IFERROR(__xludf.DUMMYFUNCTION("""COMPUTED_VALUE"""),"FM2966")</f>
        <v>FM2966</v>
      </c>
      <c r="B793" s="206">
        <f>IFERROR(__xludf.DUMMYFUNCTION("""COMPUTED_VALUE"""),44700.0)</f>
        <v>44700</v>
      </c>
      <c r="C793" s="207">
        <f>IFERROR(__xludf.DUMMYFUNCTION("""COMPUTED_VALUE"""),0.2821990740740741)</f>
        <v>0.2821990741</v>
      </c>
      <c r="D793" s="50"/>
      <c r="E793" s="58"/>
      <c r="F793" s="58"/>
      <c r="G793" s="58" t="str">
        <f>IFERROR(__xludf.DUMMYFUNCTION("""COMPUTED_VALUE"""),"Null")</f>
        <v>Null</v>
      </c>
      <c r="H793" s="206" t="str">
        <f>IFERROR(__xludf.DUMMYFUNCTION("""COMPUTED_VALUE"""),"Negative")</f>
        <v>Negative</v>
      </c>
      <c r="I793" s="207">
        <f>IFERROR(__xludf.DUMMYFUNCTION("""COMPUTED_VALUE"""),44700.0)</f>
        <v>44700</v>
      </c>
      <c r="J793" s="208">
        <f>IFERROR(__xludf.DUMMYFUNCTION("""COMPUTED_VALUE"""),0.3534837962962963)</f>
        <v>0.3534837963</v>
      </c>
      <c r="K793" s="50">
        <f>IFERROR(__xludf.DUMMYFUNCTION("""COMPUTED_VALUE"""),2.0)</f>
        <v>2</v>
      </c>
      <c r="L793" s="6"/>
      <c r="M793" s="55"/>
      <c r="N793" s="55">
        <f>IFERROR(__xludf.DUMMYFUNCTION("""COMPUTED_VALUE"""),1.0)</f>
        <v>1</v>
      </c>
      <c r="O793" s="55" t="str">
        <f t="shared" si="3"/>
        <v/>
      </c>
      <c r="P793" s="209"/>
      <c r="Q793" s="75" t="b">
        <f>VLOOKUP($B793,'Run Reconcile'!B$2:P1679,15,FALSE)</f>
        <v>1</v>
      </c>
      <c r="R793" s="211" t="str">
        <f t="array" ref="R793">IF($Q793, INDEX('Run Reconcile'!A$2:A1679,MATCH(B793,'Run Reconcile'!B$2:B1679,0),1),IFERROR(0/0,""))</f>
        <v>RUN-COMB_2022-05-19_RFR-043</v>
      </c>
      <c r="S793" s="165" t="str">
        <f t="shared" ref="S793:T793" si="1585">IF(COUNTIF(W$2:W1679, $A793) &gt; 0,TRUE,IFERROR(0/0,""))</f>
        <v/>
      </c>
      <c r="T793" s="165" t="str">
        <f t="shared" si="1585"/>
        <v/>
      </c>
      <c r="U793" s="147" t="str">
        <f t="array" ref="U793">IF(ISBLANK($R793), IF($S793,VLOOKUP($B793+1,'RFR Data - preExcl'!$BF$2:$BG1679,2,FALSE),IF($T793,INDEX('RFR Data - preExcl'!$BF$2:$BG1679,MATCH($B793,'RFR Data - preExcl'!$BF$2:$BF1679,0)+1,2),VLOOKUP($B793,'RFR Data - preExcl'!$BF$2:$BG1679,2,FALSE))),IFERROR(0/0,""))</f>
        <v/>
      </c>
      <c r="V793" s="212" t="str">
        <f t="shared" si="5"/>
        <v>RUN-COMB_2022-05-19_RFR-043</v>
      </c>
      <c r="W793" s="51"/>
      <c r="X793" s="51"/>
      <c r="Y793" s="147" t="str">
        <f t="shared" ref="Y793:Z793" si="1586">IF(_xlfn.ISFORMULA(S793),IFERROR(0/0,""),TRUE)</f>
        <v/>
      </c>
      <c r="Z793" s="147" t="str">
        <f t="shared" si="1586"/>
        <v/>
      </c>
    </row>
    <row r="794">
      <c r="A794" s="6" t="str">
        <f>IFERROR(__xludf.DUMMYFUNCTION("""COMPUTED_VALUE"""),"FM2973")</f>
        <v>FM2973</v>
      </c>
      <c r="B794" s="206">
        <f>IFERROR(__xludf.DUMMYFUNCTION("""COMPUTED_VALUE"""),44700.0)</f>
        <v>44700</v>
      </c>
      <c r="C794" s="207">
        <f>IFERROR(__xludf.DUMMYFUNCTION("""COMPUTED_VALUE"""),0.2825347222222222)</f>
        <v>0.2825347222</v>
      </c>
      <c r="D794" s="50"/>
      <c r="E794" s="58"/>
      <c r="F794" s="58"/>
      <c r="G794" s="58" t="str">
        <f>IFERROR(__xludf.DUMMYFUNCTION("""COMPUTED_VALUE"""),"Null")</f>
        <v>Null</v>
      </c>
      <c r="H794" s="206" t="str">
        <f>IFERROR(__xludf.DUMMYFUNCTION("""COMPUTED_VALUE"""),"Negative")</f>
        <v>Negative</v>
      </c>
      <c r="I794" s="207">
        <f>IFERROR(__xludf.DUMMYFUNCTION("""COMPUTED_VALUE"""),44700.0)</f>
        <v>44700</v>
      </c>
      <c r="J794" s="208">
        <f>IFERROR(__xludf.DUMMYFUNCTION("""COMPUTED_VALUE"""),0.3534953703703704)</f>
        <v>0.3534953704</v>
      </c>
      <c r="K794" s="50">
        <f>IFERROR(__xludf.DUMMYFUNCTION("""COMPUTED_VALUE"""),2.0)</f>
        <v>2</v>
      </c>
      <c r="L794" s="6"/>
      <c r="M794" s="55"/>
      <c r="N794" s="55">
        <f>IFERROR(__xludf.DUMMYFUNCTION("""COMPUTED_VALUE"""),1.0)</f>
        <v>1</v>
      </c>
      <c r="O794" s="55" t="str">
        <f t="shared" si="3"/>
        <v/>
      </c>
      <c r="P794" s="209"/>
      <c r="Q794" s="75" t="b">
        <f>VLOOKUP($B794,'Run Reconcile'!B$2:P1679,15,FALSE)</f>
        <v>1</v>
      </c>
      <c r="R794" s="211" t="str">
        <f t="array" ref="R794">IF($Q794, INDEX('Run Reconcile'!A$2:A1679,MATCH(B794,'Run Reconcile'!B$2:B1679,0),1),IFERROR(0/0,""))</f>
        <v>RUN-COMB_2022-05-19_RFR-043</v>
      </c>
      <c r="S794" s="165" t="str">
        <f t="shared" ref="S794:T794" si="1587">IF(COUNTIF(W$2:W1679, $A794) &gt; 0,TRUE,IFERROR(0/0,""))</f>
        <v/>
      </c>
      <c r="T794" s="165" t="str">
        <f t="shared" si="1587"/>
        <v/>
      </c>
      <c r="U794" s="147" t="str">
        <f t="array" ref="U794">IF(ISBLANK($R794), IF($S794,VLOOKUP($B794+1,'RFR Data - preExcl'!$BF$2:$BG1679,2,FALSE),IF($T794,INDEX('RFR Data - preExcl'!$BF$2:$BG1679,MATCH($B794,'RFR Data - preExcl'!$BF$2:$BF1679,0)+1,2),VLOOKUP($B794,'RFR Data - preExcl'!$BF$2:$BG1679,2,FALSE))),IFERROR(0/0,""))</f>
        <v/>
      </c>
      <c r="V794" s="212" t="str">
        <f t="shared" si="5"/>
        <v>RUN-COMB_2022-05-19_RFR-043</v>
      </c>
      <c r="W794" s="51"/>
      <c r="X794" s="51"/>
      <c r="Y794" s="147" t="str">
        <f t="shared" ref="Y794:Z794" si="1588">IF(_xlfn.ISFORMULA(S794),IFERROR(0/0,""),TRUE)</f>
        <v/>
      </c>
      <c r="Z794" s="147" t="str">
        <f t="shared" si="1588"/>
        <v/>
      </c>
    </row>
    <row r="795">
      <c r="A795" s="6" t="str">
        <f>IFERROR(__xludf.DUMMYFUNCTION("""COMPUTED_VALUE"""),"FM2992")</f>
        <v>FM2992</v>
      </c>
      <c r="B795" s="206">
        <f>IFERROR(__xludf.DUMMYFUNCTION("""COMPUTED_VALUE"""),44700.0)</f>
        <v>44700</v>
      </c>
      <c r="C795" s="207">
        <f>IFERROR(__xludf.DUMMYFUNCTION("""COMPUTED_VALUE"""),0.2828819444444444)</f>
        <v>0.2828819444</v>
      </c>
      <c r="D795" s="50"/>
      <c r="E795" s="58"/>
      <c r="F795" s="58"/>
      <c r="G795" s="58" t="str">
        <f>IFERROR(__xludf.DUMMYFUNCTION("""COMPUTED_VALUE"""),"Null")</f>
        <v>Null</v>
      </c>
      <c r="H795" s="206" t="str">
        <f>IFERROR(__xludf.DUMMYFUNCTION("""COMPUTED_VALUE"""),"Negative")</f>
        <v>Negative</v>
      </c>
      <c r="I795" s="207">
        <f>IFERROR(__xludf.DUMMYFUNCTION("""COMPUTED_VALUE"""),44700.0)</f>
        <v>44700</v>
      </c>
      <c r="J795" s="208">
        <f>IFERROR(__xludf.DUMMYFUNCTION("""COMPUTED_VALUE"""),0.35350694444444447)</f>
        <v>0.3535069444</v>
      </c>
      <c r="K795" s="50">
        <f>IFERROR(__xludf.DUMMYFUNCTION("""COMPUTED_VALUE"""),2.0)</f>
        <v>2</v>
      </c>
      <c r="L795" s="6"/>
      <c r="M795" s="55"/>
      <c r="N795" s="55">
        <f>IFERROR(__xludf.DUMMYFUNCTION("""COMPUTED_VALUE"""),1.0)</f>
        <v>1</v>
      </c>
      <c r="O795" s="55" t="str">
        <f t="shared" si="3"/>
        <v/>
      </c>
      <c r="P795" s="209"/>
      <c r="Q795" s="75" t="b">
        <f>VLOOKUP($B795,'Run Reconcile'!B$2:P1679,15,FALSE)</f>
        <v>1</v>
      </c>
      <c r="R795" s="211" t="str">
        <f t="array" ref="R795">IF($Q795, INDEX('Run Reconcile'!A$2:A1679,MATCH(B795,'Run Reconcile'!B$2:B1679,0),1),IFERROR(0/0,""))</f>
        <v>RUN-COMB_2022-05-19_RFR-043</v>
      </c>
      <c r="S795" s="165" t="str">
        <f t="shared" ref="S795:T795" si="1589">IF(COUNTIF(W$2:W1679, $A795) &gt; 0,TRUE,IFERROR(0/0,""))</f>
        <v/>
      </c>
      <c r="T795" s="165" t="str">
        <f t="shared" si="1589"/>
        <v/>
      </c>
      <c r="U795" s="147" t="str">
        <f t="array" ref="U795">IF(ISBLANK($R795), IF($S795,VLOOKUP($B795+1,'RFR Data - preExcl'!$BF$2:$BG1679,2,FALSE),IF($T795,INDEX('RFR Data - preExcl'!$BF$2:$BG1679,MATCH($B795,'RFR Data - preExcl'!$BF$2:$BF1679,0)+1,2),VLOOKUP($B795,'RFR Data - preExcl'!$BF$2:$BG1679,2,FALSE))),IFERROR(0/0,""))</f>
        <v/>
      </c>
      <c r="V795" s="212" t="str">
        <f t="shared" si="5"/>
        <v>RUN-COMB_2022-05-19_RFR-043</v>
      </c>
      <c r="W795" s="51"/>
      <c r="X795" s="51"/>
      <c r="Y795" s="147" t="str">
        <f t="shared" ref="Y795:Z795" si="1590">IF(_xlfn.ISFORMULA(S795),IFERROR(0/0,""),TRUE)</f>
        <v/>
      </c>
      <c r="Z795" s="147" t="str">
        <f t="shared" si="1590"/>
        <v/>
      </c>
    </row>
    <row r="796">
      <c r="A796" s="6" t="str">
        <f>IFERROR(__xludf.DUMMYFUNCTION("""COMPUTED_VALUE"""),"FM2923")</f>
        <v>FM2923</v>
      </c>
      <c r="B796" s="206">
        <f>IFERROR(__xludf.DUMMYFUNCTION("""COMPUTED_VALUE"""),44700.0)</f>
        <v>44700</v>
      </c>
      <c r="C796" s="207">
        <f>IFERROR(__xludf.DUMMYFUNCTION("""COMPUTED_VALUE"""),0.28328703703703706)</f>
        <v>0.283287037</v>
      </c>
      <c r="D796" s="50"/>
      <c r="E796" s="58"/>
      <c r="F796" s="58"/>
      <c r="G796" s="58" t="str">
        <f>IFERROR(__xludf.DUMMYFUNCTION("""COMPUTED_VALUE"""),"Null")</f>
        <v>Null</v>
      </c>
      <c r="H796" s="206" t="str">
        <f>IFERROR(__xludf.DUMMYFUNCTION("""COMPUTED_VALUE"""),"Negative")</f>
        <v>Negative</v>
      </c>
      <c r="I796" s="207">
        <f>IFERROR(__xludf.DUMMYFUNCTION("""COMPUTED_VALUE"""),44700.0)</f>
        <v>44700</v>
      </c>
      <c r="J796" s="208">
        <f>IFERROR(__xludf.DUMMYFUNCTION("""COMPUTED_VALUE"""),0.3535185185185185)</f>
        <v>0.3535185185</v>
      </c>
      <c r="K796" s="50">
        <f>IFERROR(__xludf.DUMMYFUNCTION("""COMPUTED_VALUE"""),2.0)</f>
        <v>2</v>
      </c>
      <c r="L796" s="6"/>
      <c r="M796" s="55"/>
      <c r="N796" s="55">
        <f>IFERROR(__xludf.DUMMYFUNCTION("""COMPUTED_VALUE"""),1.0)</f>
        <v>1</v>
      </c>
      <c r="O796" s="55" t="str">
        <f t="shared" si="3"/>
        <v/>
      </c>
      <c r="P796" s="209"/>
      <c r="Q796" s="75" t="b">
        <f>VLOOKUP($B796,'Run Reconcile'!B$2:P1679,15,FALSE)</f>
        <v>1</v>
      </c>
      <c r="R796" s="211" t="str">
        <f t="array" ref="R796">IF($Q796, INDEX('Run Reconcile'!A$2:A1679,MATCH(B796,'Run Reconcile'!B$2:B1679,0),1),IFERROR(0/0,""))</f>
        <v>RUN-COMB_2022-05-19_RFR-043</v>
      </c>
      <c r="S796" s="165" t="str">
        <f t="shared" ref="S796:T796" si="1591">IF(COUNTIF(W$2:W1679, $A796) &gt; 0,TRUE,IFERROR(0/0,""))</f>
        <v/>
      </c>
      <c r="T796" s="165" t="str">
        <f t="shared" si="1591"/>
        <v/>
      </c>
      <c r="U796" s="147" t="str">
        <f t="array" ref="U796">IF(ISBLANK($R796), IF($S796,VLOOKUP($B796+1,'RFR Data - preExcl'!$BF$2:$BG1679,2,FALSE),IF($T796,INDEX('RFR Data - preExcl'!$BF$2:$BG1679,MATCH($B796,'RFR Data - preExcl'!$BF$2:$BF1679,0)+1,2),VLOOKUP($B796,'RFR Data - preExcl'!$BF$2:$BG1679,2,FALSE))),IFERROR(0/0,""))</f>
        <v/>
      </c>
      <c r="V796" s="212" t="str">
        <f t="shared" si="5"/>
        <v>RUN-COMB_2022-05-19_RFR-043</v>
      </c>
      <c r="W796" s="51"/>
      <c r="X796" s="51"/>
      <c r="Y796" s="147" t="str">
        <f t="shared" ref="Y796:Z796" si="1592">IF(_xlfn.ISFORMULA(S796),IFERROR(0/0,""),TRUE)</f>
        <v/>
      </c>
      <c r="Z796" s="147" t="str">
        <f t="shared" si="1592"/>
        <v/>
      </c>
    </row>
    <row r="797">
      <c r="A797" s="6" t="str">
        <f>IFERROR(__xludf.DUMMYFUNCTION("""COMPUTED_VALUE"""),"FM2888")</f>
        <v>FM2888</v>
      </c>
      <c r="B797" s="206">
        <f>IFERROR(__xludf.DUMMYFUNCTION("""COMPUTED_VALUE"""),44700.0)</f>
        <v>44700</v>
      </c>
      <c r="C797" s="207">
        <f>IFERROR(__xludf.DUMMYFUNCTION("""COMPUTED_VALUE"""),0.2837384259259259)</f>
        <v>0.2837384259</v>
      </c>
      <c r="D797" s="50"/>
      <c r="E797" s="58"/>
      <c r="F797" s="58"/>
      <c r="G797" s="58" t="str">
        <f>IFERROR(__xludf.DUMMYFUNCTION("""COMPUTED_VALUE"""),"Null")</f>
        <v>Null</v>
      </c>
      <c r="H797" s="206" t="str">
        <f>IFERROR(__xludf.DUMMYFUNCTION("""COMPUTED_VALUE"""),"Negative")</f>
        <v>Negative</v>
      </c>
      <c r="I797" s="207">
        <f>IFERROR(__xludf.DUMMYFUNCTION("""COMPUTED_VALUE"""),44700.0)</f>
        <v>44700</v>
      </c>
      <c r="J797" s="208">
        <f>IFERROR(__xludf.DUMMYFUNCTION("""COMPUTED_VALUE"""),0.3535300925925926)</f>
        <v>0.3535300926</v>
      </c>
      <c r="K797" s="50">
        <f>IFERROR(__xludf.DUMMYFUNCTION("""COMPUTED_VALUE"""),2.0)</f>
        <v>2</v>
      </c>
      <c r="L797" s="6"/>
      <c r="M797" s="55"/>
      <c r="N797" s="55">
        <f>IFERROR(__xludf.DUMMYFUNCTION("""COMPUTED_VALUE"""),1.0)</f>
        <v>1</v>
      </c>
      <c r="O797" s="55" t="str">
        <f t="shared" si="3"/>
        <v/>
      </c>
      <c r="P797" s="209"/>
      <c r="Q797" s="75" t="b">
        <f>VLOOKUP($B797,'Run Reconcile'!B$2:P1679,15,FALSE)</f>
        <v>1</v>
      </c>
      <c r="R797" s="211" t="str">
        <f t="array" ref="R797">IF($Q797, INDEX('Run Reconcile'!A$2:A1679,MATCH(B797,'Run Reconcile'!B$2:B1679,0),1),IFERROR(0/0,""))</f>
        <v>RUN-COMB_2022-05-19_RFR-043</v>
      </c>
      <c r="S797" s="165" t="str">
        <f t="shared" ref="S797:T797" si="1593">IF(COUNTIF(W$2:W1679, $A797) &gt; 0,TRUE,IFERROR(0/0,""))</f>
        <v/>
      </c>
      <c r="T797" s="165" t="str">
        <f t="shared" si="1593"/>
        <v/>
      </c>
      <c r="U797" s="147" t="str">
        <f t="array" ref="U797">IF(ISBLANK($R797), IF($S797,VLOOKUP($B797+1,'RFR Data - preExcl'!$BF$2:$BG1679,2,FALSE),IF($T797,INDEX('RFR Data - preExcl'!$BF$2:$BG1679,MATCH($B797,'RFR Data - preExcl'!$BF$2:$BF1679,0)+1,2),VLOOKUP($B797,'RFR Data - preExcl'!$BF$2:$BG1679,2,FALSE))),IFERROR(0/0,""))</f>
        <v/>
      </c>
      <c r="V797" s="212" t="str">
        <f t="shared" si="5"/>
        <v>RUN-COMB_2022-05-19_RFR-043</v>
      </c>
      <c r="W797" s="51"/>
      <c r="X797" s="51"/>
      <c r="Y797" s="147" t="str">
        <f t="shared" ref="Y797:Z797" si="1594">IF(_xlfn.ISFORMULA(S797),IFERROR(0/0,""),TRUE)</f>
        <v/>
      </c>
      <c r="Z797" s="147" t="str">
        <f t="shared" si="1594"/>
        <v/>
      </c>
    </row>
    <row r="798">
      <c r="A798" s="6" t="str">
        <f>IFERROR(__xludf.DUMMYFUNCTION("""COMPUTED_VALUE"""),"FM2945")</f>
        <v>FM2945</v>
      </c>
      <c r="B798" s="206">
        <f>IFERROR(__xludf.DUMMYFUNCTION("""COMPUTED_VALUE"""),44700.0)</f>
        <v>44700</v>
      </c>
      <c r="C798" s="207">
        <f>IFERROR(__xludf.DUMMYFUNCTION("""COMPUTED_VALUE"""),0.2842013888888889)</f>
        <v>0.2842013889</v>
      </c>
      <c r="D798" s="50"/>
      <c r="E798" s="58"/>
      <c r="F798" s="58"/>
      <c r="G798" s="58" t="str">
        <f>IFERROR(__xludf.DUMMYFUNCTION("""COMPUTED_VALUE"""),"Null")</f>
        <v>Null</v>
      </c>
      <c r="H798" s="206" t="str">
        <f>IFERROR(__xludf.DUMMYFUNCTION("""COMPUTED_VALUE"""),"Negative")</f>
        <v>Negative</v>
      </c>
      <c r="I798" s="207">
        <f>IFERROR(__xludf.DUMMYFUNCTION("""COMPUTED_VALUE"""),44700.0)</f>
        <v>44700</v>
      </c>
      <c r="J798" s="208">
        <f>IFERROR(__xludf.DUMMYFUNCTION("""COMPUTED_VALUE"""),0.35354166666666664)</f>
        <v>0.3535416667</v>
      </c>
      <c r="K798" s="50">
        <f>IFERROR(__xludf.DUMMYFUNCTION("""COMPUTED_VALUE"""),2.0)</f>
        <v>2</v>
      </c>
      <c r="L798" s="6"/>
      <c r="M798" s="55"/>
      <c r="N798" s="55">
        <f>IFERROR(__xludf.DUMMYFUNCTION("""COMPUTED_VALUE"""),1.0)</f>
        <v>1</v>
      </c>
      <c r="O798" s="55" t="str">
        <f t="shared" si="3"/>
        <v/>
      </c>
      <c r="P798" s="209"/>
      <c r="Q798" s="75" t="b">
        <f>VLOOKUP($B798,'Run Reconcile'!B$2:P1679,15,FALSE)</f>
        <v>1</v>
      </c>
      <c r="R798" s="211" t="str">
        <f t="array" ref="R798">IF($Q798, INDEX('Run Reconcile'!A$2:A1679,MATCH(B798,'Run Reconcile'!B$2:B1679,0),1),IFERROR(0/0,""))</f>
        <v>RUN-COMB_2022-05-19_RFR-043</v>
      </c>
      <c r="S798" s="165" t="str">
        <f t="shared" ref="S798:T798" si="1595">IF(COUNTIF(W$2:W1679, $A798) &gt; 0,TRUE,IFERROR(0/0,""))</f>
        <v/>
      </c>
      <c r="T798" s="165" t="str">
        <f t="shared" si="1595"/>
        <v/>
      </c>
      <c r="U798" s="147" t="str">
        <f t="array" ref="U798">IF(ISBLANK($R798), IF($S798,VLOOKUP($B798+1,'RFR Data - preExcl'!$BF$2:$BG1679,2,FALSE),IF($T798,INDEX('RFR Data - preExcl'!$BF$2:$BG1679,MATCH($B798,'RFR Data - preExcl'!$BF$2:$BF1679,0)+1,2),VLOOKUP($B798,'RFR Data - preExcl'!$BF$2:$BG1679,2,FALSE))),IFERROR(0/0,""))</f>
        <v/>
      </c>
      <c r="V798" s="212" t="str">
        <f t="shared" si="5"/>
        <v>RUN-COMB_2022-05-19_RFR-043</v>
      </c>
      <c r="W798" s="51"/>
      <c r="X798" s="51"/>
      <c r="Y798" s="147" t="str">
        <f t="shared" ref="Y798:Z798" si="1596">IF(_xlfn.ISFORMULA(S798),IFERROR(0/0,""),TRUE)</f>
        <v/>
      </c>
      <c r="Z798" s="147" t="str">
        <f t="shared" si="1596"/>
        <v/>
      </c>
    </row>
    <row r="799">
      <c r="A799" s="6" t="str">
        <f>IFERROR(__xludf.DUMMYFUNCTION("""COMPUTED_VALUE"""),"FM2916")</f>
        <v>FM2916</v>
      </c>
      <c r="B799" s="206">
        <f>IFERROR(__xludf.DUMMYFUNCTION("""COMPUTED_VALUE"""),44700.0)</f>
        <v>44700</v>
      </c>
      <c r="C799" s="207">
        <f>IFERROR(__xludf.DUMMYFUNCTION("""COMPUTED_VALUE"""),0.2845949074074074)</f>
        <v>0.2845949074</v>
      </c>
      <c r="D799" s="50"/>
      <c r="E799" s="58"/>
      <c r="F799" s="58"/>
      <c r="G799" s="58" t="str">
        <f>IFERROR(__xludf.DUMMYFUNCTION("""COMPUTED_VALUE"""),"Null")</f>
        <v>Null</v>
      </c>
      <c r="H799" s="206" t="str">
        <f>IFERROR(__xludf.DUMMYFUNCTION("""COMPUTED_VALUE"""),"Negative")</f>
        <v>Negative</v>
      </c>
      <c r="I799" s="207">
        <f>IFERROR(__xludf.DUMMYFUNCTION("""COMPUTED_VALUE"""),44700.0)</f>
        <v>44700</v>
      </c>
      <c r="J799" s="208">
        <f>IFERROR(__xludf.DUMMYFUNCTION("""COMPUTED_VALUE"""),0.35356481481481483)</f>
        <v>0.3535648148</v>
      </c>
      <c r="K799" s="50">
        <f>IFERROR(__xludf.DUMMYFUNCTION("""COMPUTED_VALUE"""),2.0)</f>
        <v>2</v>
      </c>
      <c r="L799" s="6"/>
      <c r="M799" s="55"/>
      <c r="N799" s="55">
        <f>IFERROR(__xludf.DUMMYFUNCTION("""COMPUTED_VALUE"""),1.0)</f>
        <v>1</v>
      </c>
      <c r="O799" s="55" t="str">
        <f t="shared" si="3"/>
        <v/>
      </c>
      <c r="P799" s="209"/>
      <c r="Q799" s="75" t="b">
        <f>VLOOKUP($B799,'Run Reconcile'!B$2:P1679,15,FALSE)</f>
        <v>1</v>
      </c>
      <c r="R799" s="211" t="str">
        <f t="array" ref="R799">IF($Q799, INDEX('Run Reconcile'!A$2:A1679,MATCH(B799,'Run Reconcile'!B$2:B1679,0),1),IFERROR(0/0,""))</f>
        <v>RUN-COMB_2022-05-19_RFR-043</v>
      </c>
      <c r="S799" s="165" t="str">
        <f t="shared" ref="S799:T799" si="1597">IF(COUNTIF(W$2:W1679, $A799) &gt; 0,TRUE,IFERROR(0/0,""))</f>
        <v/>
      </c>
      <c r="T799" s="165" t="str">
        <f t="shared" si="1597"/>
        <v/>
      </c>
      <c r="U799" s="147" t="str">
        <f t="array" ref="U799">IF(ISBLANK($R799), IF($S799,VLOOKUP($B799+1,'RFR Data - preExcl'!$BF$2:$BG1679,2,FALSE),IF($T799,INDEX('RFR Data - preExcl'!$BF$2:$BG1679,MATCH($B799,'RFR Data - preExcl'!$BF$2:$BF1679,0)+1,2),VLOOKUP($B799,'RFR Data - preExcl'!$BF$2:$BG1679,2,FALSE))),IFERROR(0/0,""))</f>
        <v/>
      </c>
      <c r="V799" s="212" t="str">
        <f t="shared" si="5"/>
        <v>RUN-COMB_2022-05-19_RFR-043</v>
      </c>
      <c r="W799" s="51"/>
      <c r="X799" s="51"/>
      <c r="Y799" s="147" t="str">
        <f t="shared" ref="Y799:Z799" si="1598">IF(_xlfn.ISFORMULA(S799),IFERROR(0/0,""),TRUE)</f>
        <v/>
      </c>
      <c r="Z799" s="147" t="str">
        <f t="shared" si="1598"/>
        <v/>
      </c>
    </row>
    <row r="800">
      <c r="A800" s="6" t="str">
        <f>IFERROR(__xludf.DUMMYFUNCTION("""COMPUTED_VALUE"""),"FM2884")</f>
        <v>FM2884</v>
      </c>
      <c r="B800" s="206">
        <f>IFERROR(__xludf.DUMMYFUNCTION("""COMPUTED_VALUE"""),44700.0)</f>
        <v>44700</v>
      </c>
      <c r="C800" s="207">
        <f>IFERROR(__xludf.DUMMYFUNCTION("""COMPUTED_VALUE"""),0.285)</f>
        <v>0.285</v>
      </c>
      <c r="D800" s="50"/>
      <c r="E800" s="58"/>
      <c r="F800" s="58"/>
      <c r="G800" s="58" t="str">
        <f>IFERROR(__xludf.DUMMYFUNCTION("""COMPUTED_VALUE"""),"Null")</f>
        <v>Null</v>
      </c>
      <c r="H800" s="206" t="str">
        <f>IFERROR(__xludf.DUMMYFUNCTION("""COMPUTED_VALUE"""),"Negative")</f>
        <v>Negative</v>
      </c>
      <c r="I800" s="207">
        <f>IFERROR(__xludf.DUMMYFUNCTION("""COMPUTED_VALUE"""),44700.0)</f>
        <v>44700</v>
      </c>
      <c r="J800" s="208">
        <f>IFERROR(__xludf.DUMMYFUNCTION("""COMPUTED_VALUE"""),0.35357638888888887)</f>
        <v>0.3535763889</v>
      </c>
      <c r="K800" s="50">
        <f>IFERROR(__xludf.DUMMYFUNCTION("""COMPUTED_VALUE"""),2.0)</f>
        <v>2</v>
      </c>
      <c r="L800" s="6"/>
      <c r="M800" s="55"/>
      <c r="N800" s="55">
        <f>IFERROR(__xludf.DUMMYFUNCTION("""COMPUTED_VALUE"""),1.0)</f>
        <v>1</v>
      </c>
      <c r="O800" s="55" t="str">
        <f t="shared" si="3"/>
        <v/>
      </c>
      <c r="P800" s="209"/>
      <c r="Q800" s="75" t="b">
        <f>VLOOKUP($B800,'Run Reconcile'!B$2:P1679,15,FALSE)</f>
        <v>1</v>
      </c>
      <c r="R800" s="211" t="str">
        <f t="array" ref="R800">IF($Q800, INDEX('Run Reconcile'!A$2:A1679,MATCH(B800,'Run Reconcile'!B$2:B1679,0),1),IFERROR(0/0,""))</f>
        <v>RUN-COMB_2022-05-19_RFR-043</v>
      </c>
      <c r="S800" s="165" t="str">
        <f t="shared" ref="S800:T800" si="1599">IF(COUNTIF(W$2:W1679, $A800) &gt; 0,TRUE,IFERROR(0/0,""))</f>
        <v/>
      </c>
      <c r="T800" s="165" t="str">
        <f t="shared" si="1599"/>
        <v/>
      </c>
      <c r="U800" s="147" t="str">
        <f t="array" ref="U800">IF(ISBLANK($R800), IF($S800,VLOOKUP($B800+1,'RFR Data - preExcl'!$BF$2:$BG1679,2,FALSE),IF($T800,INDEX('RFR Data - preExcl'!$BF$2:$BG1679,MATCH($B800,'RFR Data - preExcl'!$BF$2:$BF1679,0)+1,2),VLOOKUP($B800,'RFR Data - preExcl'!$BF$2:$BG1679,2,FALSE))),IFERROR(0/0,""))</f>
        <v/>
      </c>
      <c r="V800" s="212" t="str">
        <f t="shared" si="5"/>
        <v>RUN-COMB_2022-05-19_RFR-043</v>
      </c>
      <c r="W800" s="51"/>
      <c r="X800" s="51"/>
      <c r="Y800" s="147" t="str">
        <f t="shared" ref="Y800:Z800" si="1600">IF(_xlfn.ISFORMULA(S800),IFERROR(0/0,""),TRUE)</f>
        <v/>
      </c>
      <c r="Z800" s="147" t="str">
        <f t="shared" si="1600"/>
        <v/>
      </c>
    </row>
    <row r="801">
      <c r="A801" s="6" t="str">
        <f>IFERROR(__xludf.DUMMYFUNCTION("""COMPUTED_VALUE"""),"FM2957")</f>
        <v>FM2957</v>
      </c>
      <c r="B801" s="206">
        <f>IFERROR(__xludf.DUMMYFUNCTION("""COMPUTED_VALUE"""),44700.0)</f>
        <v>44700</v>
      </c>
      <c r="C801" s="207">
        <f>IFERROR(__xludf.DUMMYFUNCTION("""COMPUTED_VALUE"""),0.2854513888888889)</f>
        <v>0.2854513889</v>
      </c>
      <c r="D801" s="50"/>
      <c r="E801" s="58"/>
      <c r="F801" s="58"/>
      <c r="G801" s="58" t="str">
        <f>IFERROR(__xludf.DUMMYFUNCTION("""COMPUTED_VALUE"""),"Null")</f>
        <v>Null</v>
      </c>
      <c r="H801" s="206" t="str">
        <f>IFERROR(__xludf.DUMMYFUNCTION("""COMPUTED_VALUE"""),"Negative")</f>
        <v>Negative</v>
      </c>
      <c r="I801" s="207">
        <f>IFERROR(__xludf.DUMMYFUNCTION("""COMPUTED_VALUE"""),44700.0)</f>
        <v>44700</v>
      </c>
      <c r="J801" s="208">
        <f>IFERROR(__xludf.DUMMYFUNCTION("""COMPUTED_VALUE"""),0.35358796296296297)</f>
        <v>0.353587963</v>
      </c>
      <c r="K801" s="50">
        <f>IFERROR(__xludf.DUMMYFUNCTION("""COMPUTED_VALUE"""),2.0)</f>
        <v>2</v>
      </c>
      <c r="L801" s="6"/>
      <c r="M801" s="55"/>
      <c r="N801" s="55">
        <f>IFERROR(__xludf.DUMMYFUNCTION("""COMPUTED_VALUE"""),1.0)</f>
        <v>1</v>
      </c>
      <c r="O801" s="55" t="str">
        <f t="shared" si="3"/>
        <v/>
      </c>
      <c r="P801" s="209"/>
      <c r="Q801" s="75" t="b">
        <f>VLOOKUP($B801,'Run Reconcile'!B$2:P1679,15,FALSE)</f>
        <v>1</v>
      </c>
      <c r="R801" s="211" t="str">
        <f t="array" ref="R801">IF($Q801, INDEX('Run Reconcile'!A$2:A1679,MATCH(B801,'Run Reconcile'!B$2:B1679,0),1),IFERROR(0/0,""))</f>
        <v>RUN-COMB_2022-05-19_RFR-043</v>
      </c>
      <c r="S801" s="165" t="str">
        <f t="shared" ref="S801:T801" si="1601">IF(COUNTIF(W$2:W1679, $A801) &gt; 0,TRUE,IFERROR(0/0,""))</f>
        <v/>
      </c>
      <c r="T801" s="165" t="str">
        <f t="shared" si="1601"/>
        <v/>
      </c>
      <c r="U801" s="147" t="str">
        <f t="array" ref="U801">IF(ISBLANK($R801), IF($S801,VLOOKUP($B801+1,'RFR Data - preExcl'!$BF$2:$BG1679,2,FALSE),IF($T801,INDEX('RFR Data - preExcl'!$BF$2:$BG1679,MATCH($B801,'RFR Data - preExcl'!$BF$2:$BF1679,0)+1,2),VLOOKUP($B801,'RFR Data - preExcl'!$BF$2:$BG1679,2,FALSE))),IFERROR(0/0,""))</f>
        <v/>
      </c>
      <c r="V801" s="212" t="str">
        <f t="shared" si="5"/>
        <v>RUN-COMB_2022-05-19_RFR-043</v>
      </c>
      <c r="W801" s="51"/>
      <c r="X801" s="51"/>
      <c r="Y801" s="147" t="str">
        <f t="shared" ref="Y801:Z801" si="1602">IF(_xlfn.ISFORMULA(S801),IFERROR(0/0,""),TRUE)</f>
        <v/>
      </c>
      <c r="Z801" s="147" t="str">
        <f t="shared" si="1602"/>
        <v/>
      </c>
    </row>
    <row r="802">
      <c r="A802" s="6" t="str">
        <f>IFERROR(__xludf.DUMMYFUNCTION("""COMPUTED_VALUE"""),"FM2891")</f>
        <v>FM2891</v>
      </c>
      <c r="B802" s="206">
        <f>IFERROR(__xludf.DUMMYFUNCTION("""COMPUTED_VALUE"""),44700.0)</f>
        <v>44700</v>
      </c>
      <c r="C802" s="207">
        <f>IFERROR(__xludf.DUMMYFUNCTION("""COMPUTED_VALUE"""),0.28586805555555556)</f>
        <v>0.2858680556</v>
      </c>
      <c r="D802" s="50"/>
      <c r="E802" s="58"/>
      <c r="F802" s="58"/>
      <c r="G802" s="58" t="str">
        <f>IFERROR(__xludf.DUMMYFUNCTION("""COMPUTED_VALUE"""),"Null")</f>
        <v>Null</v>
      </c>
      <c r="H802" s="206" t="str">
        <f>IFERROR(__xludf.DUMMYFUNCTION("""COMPUTED_VALUE"""),"Negative")</f>
        <v>Negative</v>
      </c>
      <c r="I802" s="207">
        <f>IFERROR(__xludf.DUMMYFUNCTION("""COMPUTED_VALUE"""),44700.0)</f>
        <v>44700</v>
      </c>
      <c r="J802" s="208">
        <f>IFERROR(__xludf.DUMMYFUNCTION("""COMPUTED_VALUE"""),0.35359953703703706)</f>
        <v>0.353599537</v>
      </c>
      <c r="K802" s="50">
        <f>IFERROR(__xludf.DUMMYFUNCTION("""COMPUTED_VALUE"""),2.0)</f>
        <v>2</v>
      </c>
      <c r="L802" s="6"/>
      <c r="M802" s="55"/>
      <c r="N802" s="55">
        <f>IFERROR(__xludf.DUMMYFUNCTION("""COMPUTED_VALUE"""),1.0)</f>
        <v>1</v>
      </c>
      <c r="O802" s="55" t="str">
        <f t="shared" si="3"/>
        <v/>
      </c>
      <c r="P802" s="209"/>
      <c r="Q802" s="75" t="b">
        <f>VLOOKUP($B802,'Run Reconcile'!B$2:P1679,15,FALSE)</f>
        <v>1</v>
      </c>
      <c r="R802" s="211" t="str">
        <f t="array" ref="R802">IF($Q802, INDEX('Run Reconcile'!A$2:A1679,MATCH(B802,'Run Reconcile'!B$2:B1679,0),1),IFERROR(0/0,""))</f>
        <v>RUN-COMB_2022-05-19_RFR-043</v>
      </c>
      <c r="S802" s="165" t="str">
        <f t="shared" ref="S802:T802" si="1603">IF(COUNTIF(W$2:W1679, $A802) &gt; 0,TRUE,IFERROR(0/0,""))</f>
        <v/>
      </c>
      <c r="T802" s="165" t="str">
        <f t="shared" si="1603"/>
        <v/>
      </c>
      <c r="U802" s="147" t="str">
        <f t="array" ref="U802">IF(ISBLANK($R802), IF($S802,VLOOKUP($B802+1,'RFR Data - preExcl'!$BF$2:$BG1679,2,FALSE),IF($T802,INDEX('RFR Data - preExcl'!$BF$2:$BG1679,MATCH($B802,'RFR Data - preExcl'!$BF$2:$BF1679,0)+1,2),VLOOKUP($B802,'RFR Data - preExcl'!$BF$2:$BG1679,2,FALSE))),IFERROR(0/0,""))</f>
        <v/>
      </c>
      <c r="V802" s="212" t="str">
        <f t="shared" si="5"/>
        <v>RUN-COMB_2022-05-19_RFR-043</v>
      </c>
      <c r="W802" s="51"/>
      <c r="X802" s="51"/>
      <c r="Y802" s="147" t="str">
        <f t="shared" ref="Y802:Z802" si="1604">IF(_xlfn.ISFORMULA(S802),IFERROR(0/0,""),TRUE)</f>
        <v/>
      </c>
      <c r="Z802" s="147" t="str">
        <f t="shared" si="1604"/>
        <v/>
      </c>
    </row>
    <row r="803">
      <c r="A803" s="6" t="str">
        <f>IFERROR(__xludf.DUMMYFUNCTION("""COMPUTED_VALUE"""),"FM2918")</f>
        <v>FM2918</v>
      </c>
      <c r="B803" s="206">
        <f>IFERROR(__xludf.DUMMYFUNCTION("""COMPUTED_VALUE"""),44700.0)</f>
        <v>44700</v>
      </c>
      <c r="C803" s="207">
        <f>IFERROR(__xludf.DUMMYFUNCTION("""COMPUTED_VALUE"""),0.2863310185185185)</f>
        <v>0.2863310185</v>
      </c>
      <c r="D803" s="50"/>
      <c r="E803" s="58"/>
      <c r="F803" s="58"/>
      <c r="G803" s="58" t="str">
        <f>IFERROR(__xludf.DUMMYFUNCTION("""COMPUTED_VALUE"""),"Null")</f>
        <v>Null</v>
      </c>
      <c r="H803" s="206" t="str">
        <f>IFERROR(__xludf.DUMMYFUNCTION("""COMPUTED_VALUE"""),"Negative")</f>
        <v>Negative</v>
      </c>
      <c r="I803" s="207">
        <f>IFERROR(__xludf.DUMMYFUNCTION("""COMPUTED_VALUE"""),44700.0)</f>
        <v>44700</v>
      </c>
      <c r="J803" s="208">
        <f>IFERROR(__xludf.DUMMYFUNCTION("""COMPUTED_VALUE"""),0.35363425925925923)</f>
        <v>0.3536342593</v>
      </c>
      <c r="K803" s="50">
        <f>IFERROR(__xludf.DUMMYFUNCTION("""COMPUTED_VALUE"""),2.0)</f>
        <v>2</v>
      </c>
      <c r="L803" s="6"/>
      <c r="M803" s="55"/>
      <c r="N803" s="55">
        <f>IFERROR(__xludf.DUMMYFUNCTION("""COMPUTED_VALUE"""),1.0)</f>
        <v>1</v>
      </c>
      <c r="O803" s="55" t="str">
        <f t="shared" si="3"/>
        <v/>
      </c>
      <c r="P803" s="209"/>
      <c r="Q803" s="75" t="b">
        <f>VLOOKUP($B803,'Run Reconcile'!B$2:P1679,15,FALSE)</f>
        <v>1</v>
      </c>
      <c r="R803" s="211" t="str">
        <f t="array" ref="R803">IF($Q803, INDEX('Run Reconcile'!A$2:A1679,MATCH(B803,'Run Reconcile'!B$2:B1679,0),1),IFERROR(0/0,""))</f>
        <v>RUN-COMB_2022-05-19_RFR-043</v>
      </c>
      <c r="S803" s="165" t="str">
        <f t="shared" ref="S803:T803" si="1605">IF(COUNTIF(W$2:W1679, $A803) &gt; 0,TRUE,IFERROR(0/0,""))</f>
        <v/>
      </c>
      <c r="T803" s="165" t="str">
        <f t="shared" si="1605"/>
        <v/>
      </c>
      <c r="U803" s="147" t="str">
        <f t="array" ref="U803">IF(ISBLANK($R803), IF($S803,VLOOKUP($B803+1,'RFR Data - preExcl'!$BF$2:$BG1679,2,FALSE),IF($T803,INDEX('RFR Data - preExcl'!$BF$2:$BG1679,MATCH($B803,'RFR Data - preExcl'!$BF$2:$BF1679,0)+1,2),VLOOKUP($B803,'RFR Data - preExcl'!$BF$2:$BG1679,2,FALSE))),IFERROR(0/0,""))</f>
        <v/>
      </c>
      <c r="V803" s="212" t="str">
        <f t="shared" si="5"/>
        <v>RUN-COMB_2022-05-19_RFR-043</v>
      </c>
      <c r="W803" s="51"/>
      <c r="X803" s="51"/>
      <c r="Y803" s="147" t="str">
        <f t="shared" ref="Y803:Z803" si="1606">IF(_xlfn.ISFORMULA(S803),IFERROR(0/0,""),TRUE)</f>
        <v/>
      </c>
      <c r="Z803" s="147" t="str">
        <f t="shared" si="1606"/>
        <v/>
      </c>
    </row>
    <row r="804">
      <c r="A804" s="6" t="str">
        <f>IFERROR(__xludf.DUMMYFUNCTION("""COMPUTED_VALUE"""),"FM2977")</f>
        <v>FM2977</v>
      </c>
      <c r="B804" s="206">
        <f>IFERROR(__xludf.DUMMYFUNCTION("""COMPUTED_VALUE"""),44700.0)</f>
        <v>44700</v>
      </c>
      <c r="C804" s="207">
        <f>IFERROR(__xludf.DUMMYFUNCTION("""COMPUTED_VALUE"""),0.2867476851851852)</f>
        <v>0.2867476852</v>
      </c>
      <c r="D804" s="50"/>
      <c r="E804" s="58"/>
      <c r="F804" s="58"/>
      <c r="G804" s="58" t="str">
        <f>IFERROR(__xludf.DUMMYFUNCTION("""COMPUTED_VALUE"""),"Null")</f>
        <v>Null</v>
      </c>
      <c r="H804" s="206" t="str">
        <f>IFERROR(__xludf.DUMMYFUNCTION("""COMPUTED_VALUE"""),"Negative")</f>
        <v>Negative</v>
      </c>
      <c r="I804" s="207">
        <f>IFERROR(__xludf.DUMMYFUNCTION("""COMPUTED_VALUE"""),44700.0)</f>
        <v>44700</v>
      </c>
      <c r="J804" s="208">
        <f>IFERROR(__xludf.DUMMYFUNCTION("""COMPUTED_VALUE"""),0.35366898148148146)</f>
        <v>0.3536689815</v>
      </c>
      <c r="K804" s="50">
        <f>IFERROR(__xludf.DUMMYFUNCTION("""COMPUTED_VALUE"""),2.0)</f>
        <v>2</v>
      </c>
      <c r="L804" s="6"/>
      <c r="M804" s="55"/>
      <c r="N804" s="55">
        <f>IFERROR(__xludf.DUMMYFUNCTION("""COMPUTED_VALUE"""),1.0)</f>
        <v>1</v>
      </c>
      <c r="O804" s="55" t="str">
        <f t="shared" si="3"/>
        <v/>
      </c>
      <c r="P804" s="209"/>
      <c r="Q804" s="75" t="b">
        <f>VLOOKUP($B804,'Run Reconcile'!B$2:P1679,15,FALSE)</f>
        <v>1</v>
      </c>
      <c r="R804" s="211" t="str">
        <f t="array" ref="R804">IF($Q804, INDEX('Run Reconcile'!A$2:A1679,MATCH(B804,'Run Reconcile'!B$2:B1679,0),1),IFERROR(0/0,""))</f>
        <v>RUN-COMB_2022-05-19_RFR-043</v>
      </c>
      <c r="S804" s="165" t="str">
        <f t="shared" ref="S804:T804" si="1607">IF(COUNTIF(W$2:W1679, $A804) &gt; 0,TRUE,IFERROR(0/0,""))</f>
        <v/>
      </c>
      <c r="T804" s="165" t="str">
        <f t="shared" si="1607"/>
        <v/>
      </c>
      <c r="U804" s="147" t="str">
        <f t="array" ref="U804">IF(ISBLANK($R804), IF($S804,VLOOKUP($B804+1,'RFR Data - preExcl'!$BF$2:$BG1679,2,FALSE),IF($T804,INDEX('RFR Data - preExcl'!$BF$2:$BG1679,MATCH($B804,'RFR Data - preExcl'!$BF$2:$BF1679,0)+1,2),VLOOKUP($B804,'RFR Data - preExcl'!$BF$2:$BG1679,2,FALSE))),IFERROR(0/0,""))</f>
        <v/>
      </c>
      <c r="V804" s="212" t="str">
        <f t="shared" si="5"/>
        <v>RUN-COMB_2022-05-19_RFR-043</v>
      </c>
      <c r="W804" s="51"/>
      <c r="X804" s="51"/>
      <c r="Y804" s="147" t="str">
        <f t="shared" ref="Y804:Z804" si="1608">IF(_xlfn.ISFORMULA(S804),IFERROR(0/0,""),TRUE)</f>
        <v/>
      </c>
      <c r="Z804" s="147" t="str">
        <f t="shared" si="1608"/>
        <v/>
      </c>
    </row>
    <row r="805">
      <c r="A805" s="6" t="str">
        <f>IFERROR(__xludf.DUMMYFUNCTION("""COMPUTED_VALUE"""),"FM2904")</f>
        <v>FM2904</v>
      </c>
      <c r="B805" s="206">
        <f>IFERROR(__xludf.DUMMYFUNCTION("""COMPUTED_VALUE"""),44700.0)</f>
        <v>44700</v>
      </c>
      <c r="C805" s="207">
        <f>IFERROR(__xludf.DUMMYFUNCTION("""COMPUTED_VALUE"""),0.2871875)</f>
        <v>0.2871875</v>
      </c>
      <c r="D805" s="50"/>
      <c r="E805" s="58"/>
      <c r="F805" s="58"/>
      <c r="G805" s="58" t="str">
        <f>IFERROR(__xludf.DUMMYFUNCTION("""COMPUTED_VALUE"""),"Null")</f>
        <v>Null</v>
      </c>
      <c r="H805" s="206" t="str">
        <f>IFERROR(__xludf.DUMMYFUNCTION("""COMPUTED_VALUE"""),"Negative")</f>
        <v>Negative</v>
      </c>
      <c r="I805" s="207">
        <f>IFERROR(__xludf.DUMMYFUNCTION("""COMPUTED_VALUE"""),44700.0)</f>
        <v>44700</v>
      </c>
      <c r="J805" s="208">
        <f>IFERROR(__xludf.DUMMYFUNCTION("""COMPUTED_VALUE"""),0.35369212962962965)</f>
        <v>0.3536921296</v>
      </c>
      <c r="K805" s="50">
        <f>IFERROR(__xludf.DUMMYFUNCTION("""COMPUTED_VALUE"""),2.0)</f>
        <v>2</v>
      </c>
      <c r="L805" s="6"/>
      <c r="M805" s="55"/>
      <c r="N805" s="55">
        <f>IFERROR(__xludf.DUMMYFUNCTION("""COMPUTED_VALUE"""),1.0)</f>
        <v>1</v>
      </c>
      <c r="O805" s="55" t="str">
        <f t="shared" si="3"/>
        <v/>
      </c>
      <c r="P805" s="209"/>
      <c r="Q805" s="75" t="b">
        <f>VLOOKUP($B805,'Run Reconcile'!B$2:P1679,15,FALSE)</f>
        <v>1</v>
      </c>
      <c r="R805" s="211" t="str">
        <f t="array" ref="R805">IF($Q805, INDEX('Run Reconcile'!A$2:A1679,MATCH(B805,'Run Reconcile'!B$2:B1679,0),1),IFERROR(0/0,""))</f>
        <v>RUN-COMB_2022-05-19_RFR-043</v>
      </c>
      <c r="S805" s="165" t="str">
        <f t="shared" ref="S805:T805" si="1609">IF(COUNTIF(W$2:W1679, $A805) &gt; 0,TRUE,IFERROR(0/0,""))</f>
        <v/>
      </c>
      <c r="T805" s="165" t="str">
        <f t="shared" si="1609"/>
        <v/>
      </c>
      <c r="U805" s="147" t="str">
        <f t="array" ref="U805">IF(ISBLANK($R805), IF($S805,VLOOKUP($B805+1,'RFR Data - preExcl'!$BF$2:$BG1679,2,FALSE),IF($T805,INDEX('RFR Data - preExcl'!$BF$2:$BG1679,MATCH($B805,'RFR Data - preExcl'!$BF$2:$BF1679,0)+1,2),VLOOKUP($B805,'RFR Data - preExcl'!$BF$2:$BG1679,2,FALSE))),IFERROR(0/0,""))</f>
        <v/>
      </c>
      <c r="V805" s="212" t="str">
        <f t="shared" si="5"/>
        <v>RUN-COMB_2022-05-19_RFR-043</v>
      </c>
      <c r="W805" s="51"/>
      <c r="X805" s="51"/>
      <c r="Y805" s="147" t="str">
        <f t="shared" ref="Y805:Z805" si="1610">IF(_xlfn.ISFORMULA(S805),IFERROR(0/0,""),TRUE)</f>
        <v/>
      </c>
      <c r="Z805" s="147" t="str">
        <f t="shared" si="1610"/>
        <v/>
      </c>
    </row>
    <row r="806">
      <c r="A806" s="6" t="str">
        <f>IFERROR(__xludf.DUMMYFUNCTION("""COMPUTED_VALUE"""),"FM2998")</f>
        <v>FM2998</v>
      </c>
      <c r="B806" s="206">
        <f>IFERROR(__xludf.DUMMYFUNCTION("""COMPUTED_VALUE"""),44700.0)</f>
        <v>44700</v>
      </c>
      <c r="C806" s="207">
        <f>IFERROR(__xludf.DUMMYFUNCTION("""COMPUTED_VALUE"""),0.28760416666666666)</f>
        <v>0.2876041667</v>
      </c>
      <c r="D806" s="50"/>
      <c r="E806" s="58"/>
      <c r="F806" s="58"/>
      <c r="G806" s="58" t="str">
        <f>IFERROR(__xludf.DUMMYFUNCTION("""COMPUTED_VALUE"""),"Null")</f>
        <v>Null</v>
      </c>
      <c r="H806" s="206" t="str">
        <f>IFERROR(__xludf.DUMMYFUNCTION("""COMPUTED_VALUE"""),"Negative")</f>
        <v>Negative</v>
      </c>
      <c r="I806" s="207">
        <f>IFERROR(__xludf.DUMMYFUNCTION("""COMPUTED_VALUE"""),44700.0)</f>
        <v>44700</v>
      </c>
      <c r="J806" s="208">
        <f>IFERROR(__xludf.DUMMYFUNCTION("""COMPUTED_VALUE"""),0.3537037037037037)</f>
        <v>0.3537037037</v>
      </c>
      <c r="K806" s="50">
        <f>IFERROR(__xludf.DUMMYFUNCTION("""COMPUTED_VALUE"""),2.0)</f>
        <v>2</v>
      </c>
      <c r="L806" s="6"/>
      <c r="M806" s="55"/>
      <c r="N806" s="55">
        <f>IFERROR(__xludf.DUMMYFUNCTION("""COMPUTED_VALUE"""),1.0)</f>
        <v>1</v>
      </c>
      <c r="O806" s="55" t="str">
        <f t="shared" si="3"/>
        <v/>
      </c>
      <c r="P806" s="209"/>
      <c r="Q806" s="75" t="b">
        <f>VLOOKUP($B806,'Run Reconcile'!B$2:P1679,15,FALSE)</f>
        <v>1</v>
      </c>
      <c r="R806" s="211" t="str">
        <f t="array" ref="R806">IF($Q806, INDEX('Run Reconcile'!A$2:A1679,MATCH(B806,'Run Reconcile'!B$2:B1679,0),1),IFERROR(0/0,""))</f>
        <v>RUN-COMB_2022-05-19_RFR-043</v>
      </c>
      <c r="S806" s="165" t="str">
        <f t="shared" ref="S806:T806" si="1611">IF(COUNTIF(W$2:W1679, $A806) &gt; 0,TRUE,IFERROR(0/0,""))</f>
        <v/>
      </c>
      <c r="T806" s="165" t="str">
        <f t="shared" si="1611"/>
        <v/>
      </c>
      <c r="U806" s="147" t="str">
        <f t="array" ref="U806">IF(ISBLANK($R806), IF($S806,VLOOKUP($B806+1,'RFR Data - preExcl'!$BF$2:$BG1679,2,FALSE),IF($T806,INDEX('RFR Data - preExcl'!$BF$2:$BG1679,MATCH($B806,'RFR Data - preExcl'!$BF$2:$BF1679,0)+1,2),VLOOKUP($B806,'RFR Data - preExcl'!$BF$2:$BG1679,2,FALSE))),IFERROR(0/0,""))</f>
        <v/>
      </c>
      <c r="V806" s="212" t="str">
        <f t="shared" si="5"/>
        <v>RUN-COMB_2022-05-19_RFR-043</v>
      </c>
      <c r="W806" s="51"/>
      <c r="X806" s="51"/>
      <c r="Y806" s="147" t="str">
        <f t="shared" ref="Y806:Z806" si="1612">IF(_xlfn.ISFORMULA(S806),IFERROR(0/0,""),TRUE)</f>
        <v/>
      </c>
      <c r="Z806" s="147" t="str">
        <f t="shared" si="1612"/>
        <v/>
      </c>
    </row>
    <row r="807">
      <c r="A807" s="6" t="str">
        <f>IFERROR(__xludf.DUMMYFUNCTION("""COMPUTED_VALUE"""),"FM2975")</f>
        <v>FM2975</v>
      </c>
      <c r="B807" s="206">
        <f>IFERROR(__xludf.DUMMYFUNCTION("""COMPUTED_VALUE"""),44700.0)</f>
        <v>44700</v>
      </c>
      <c r="C807" s="207">
        <f>IFERROR(__xludf.DUMMYFUNCTION("""COMPUTED_VALUE"""),0.29359953703703706)</f>
        <v>0.293599537</v>
      </c>
      <c r="D807" s="50"/>
      <c r="E807" s="58"/>
      <c r="F807" s="58"/>
      <c r="G807" s="58" t="str">
        <f>IFERROR(__xludf.DUMMYFUNCTION("""COMPUTED_VALUE"""),"Null")</f>
        <v>Null</v>
      </c>
      <c r="H807" s="206" t="str">
        <f>IFERROR(__xludf.DUMMYFUNCTION("""COMPUTED_VALUE"""),"Negative")</f>
        <v>Negative</v>
      </c>
      <c r="I807" s="207">
        <f>IFERROR(__xludf.DUMMYFUNCTION("""COMPUTED_VALUE"""),44700.0)</f>
        <v>44700</v>
      </c>
      <c r="J807" s="208">
        <f>IFERROR(__xludf.DUMMYFUNCTION("""COMPUTED_VALUE"""),0.3537152777777778)</f>
        <v>0.3537152778</v>
      </c>
      <c r="K807" s="50">
        <f>IFERROR(__xludf.DUMMYFUNCTION("""COMPUTED_VALUE"""),2.0)</f>
        <v>2</v>
      </c>
      <c r="L807" s="6"/>
      <c r="M807" s="55"/>
      <c r="N807" s="55">
        <f>IFERROR(__xludf.DUMMYFUNCTION("""COMPUTED_VALUE"""),1.0)</f>
        <v>1</v>
      </c>
      <c r="O807" s="55" t="str">
        <f t="shared" si="3"/>
        <v/>
      </c>
      <c r="P807" s="209"/>
      <c r="Q807" s="75" t="b">
        <f>VLOOKUP($B807,'Run Reconcile'!B$2:P1679,15,FALSE)</f>
        <v>1</v>
      </c>
      <c r="R807" s="211" t="str">
        <f t="array" ref="R807">IF($Q807, INDEX('Run Reconcile'!A$2:A1679,MATCH(B807,'Run Reconcile'!B$2:B1679,0),1),IFERROR(0/0,""))</f>
        <v>RUN-COMB_2022-05-19_RFR-043</v>
      </c>
      <c r="S807" s="165" t="str">
        <f t="shared" ref="S807:T807" si="1613">IF(COUNTIF(W$2:W1679, $A807) &gt; 0,TRUE,IFERROR(0/0,""))</f>
        <v/>
      </c>
      <c r="T807" s="165" t="str">
        <f t="shared" si="1613"/>
        <v/>
      </c>
      <c r="U807" s="147" t="str">
        <f t="array" ref="U807">IF(ISBLANK($R807), IF($S807,VLOOKUP($B807+1,'RFR Data - preExcl'!$BF$2:$BG1679,2,FALSE),IF($T807,INDEX('RFR Data - preExcl'!$BF$2:$BG1679,MATCH($B807,'RFR Data - preExcl'!$BF$2:$BF1679,0)+1,2),VLOOKUP($B807,'RFR Data - preExcl'!$BF$2:$BG1679,2,FALSE))),IFERROR(0/0,""))</f>
        <v/>
      </c>
      <c r="V807" s="212" t="str">
        <f t="shared" si="5"/>
        <v>RUN-COMB_2022-05-19_RFR-043</v>
      </c>
      <c r="W807" s="51"/>
      <c r="X807" s="51"/>
      <c r="Y807" s="147" t="str">
        <f t="shared" ref="Y807:Z807" si="1614">IF(_xlfn.ISFORMULA(S807),IFERROR(0/0,""),TRUE)</f>
        <v/>
      </c>
      <c r="Z807" s="147" t="str">
        <f t="shared" si="1614"/>
        <v/>
      </c>
    </row>
    <row r="808">
      <c r="A808" s="6" t="str">
        <f>IFERROR(__xludf.DUMMYFUNCTION("""COMPUTED_VALUE"""),"FM2912")</f>
        <v>FM2912</v>
      </c>
      <c r="B808" s="206">
        <f>IFERROR(__xludf.DUMMYFUNCTION("""COMPUTED_VALUE"""),44701.0)</f>
        <v>44701</v>
      </c>
      <c r="C808" s="207">
        <f>IFERROR(__xludf.DUMMYFUNCTION("""COMPUTED_VALUE"""),0.2690162037037037)</f>
        <v>0.2690162037</v>
      </c>
      <c r="D808" s="50"/>
      <c r="E808" s="58"/>
      <c r="F808" s="58"/>
      <c r="G808" s="58" t="str">
        <f>IFERROR(__xludf.DUMMYFUNCTION("""COMPUTED_VALUE"""),"Null")</f>
        <v>Null</v>
      </c>
      <c r="H808" s="206" t="str">
        <f>IFERROR(__xludf.DUMMYFUNCTION("""COMPUTED_VALUE"""),"Negative")</f>
        <v>Negative</v>
      </c>
      <c r="I808" s="207">
        <f>IFERROR(__xludf.DUMMYFUNCTION("""COMPUTED_VALUE"""),44701.0)</f>
        <v>44701</v>
      </c>
      <c r="J808" s="208">
        <f>IFERROR(__xludf.DUMMYFUNCTION("""COMPUTED_VALUE"""),0.33671296296296294)</f>
        <v>0.336712963</v>
      </c>
      <c r="K808" s="50">
        <f>IFERROR(__xludf.DUMMYFUNCTION("""COMPUTED_VALUE"""),2.0)</f>
        <v>2</v>
      </c>
      <c r="L808" s="6"/>
      <c r="M808" s="55"/>
      <c r="N808" s="55">
        <f>IFERROR(__xludf.DUMMYFUNCTION("""COMPUTED_VALUE"""),1.0)</f>
        <v>1</v>
      </c>
      <c r="O808" s="55" t="b">
        <f t="shared" si="3"/>
        <v>1</v>
      </c>
      <c r="P808" s="209"/>
      <c r="Q808" s="75" t="b">
        <f>VLOOKUP($B808,'Run Reconcile'!B$2:P1679,15,FALSE)</f>
        <v>1</v>
      </c>
      <c r="R808" s="211" t="str">
        <f t="array" ref="R808">IF($Q808, INDEX('Run Reconcile'!A$2:A1679,MATCH(B808,'Run Reconcile'!B$2:B1679,0),1),IFERROR(0/0,""))</f>
        <v>RUN-COMB_2022-05-20_RFR-044</v>
      </c>
      <c r="S808" s="165" t="str">
        <f t="shared" ref="S808:T808" si="1615">IF(COUNTIF(W$2:W1679, $A808) &gt; 0,TRUE,IFERROR(0/0,""))</f>
        <v/>
      </c>
      <c r="T808" s="165" t="str">
        <f t="shared" si="1615"/>
        <v/>
      </c>
      <c r="U808" s="147" t="str">
        <f t="array" ref="U808">IF(ISBLANK($R808), IF($S808,VLOOKUP($B808+1,'RFR Data - preExcl'!$BF$2:$BG1679,2,FALSE),IF($T808,INDEX('RFR Data - preExcl'!$BF$2:$BG1679,MATCH($B808,'RFR Data - preExcl'!$BF$2:$BF1679,0)+1,2),VLOOKUP($B808,'RFR Data - preExcl'!$BF$2:$BG1679,2,FALSE))),IFERROR(0/0,""))</f>
        <v/>
      </c>
      <c r="V808" s="212" t="str">
        <f t="shared" si="5"/>
        <v>RUN-COMB_2022-05-20_RFR-044</v>
      </c>
      <c r="W808" s="51"/>
      <c r="X808" s="51"/>
      <c r="Y808" s="147" t="str">
        <f t="shared" ref="Y808:Z808" si="1616">IF(_xlfn.ISFORMULA(S808),IFERROR(0/0,""),TRUE)</f>
        <v/>
      </c>
      <c r="Z808" s="147" t="str">
        <f t="shared" si="1616"/>
        <v/>
      </c>
    </row>
    <row r="809">
      <c r="A809" s="6" t="str">
        <f>IFERROR(__xludf.DUMMYFUNCTION("""COMPUTED_VALUE"""),"FM2950")</f>
        <v>FM2950</v>
      </c>
      <c r="B809" s="206">
        <f>IFERROR(__xludf.DUMMYFUNCTION("""COMPUTED_VALUE"""),44701.0)</f>
        <v>44701</v>
      </c>
      <c r="C809" s="207">
        <f>IFERROR(__xludf.DUMMYFUNCTION("""COMPUTED_VALUE"""),0.2695601851851852)</f>
        <v>0.2695601852</v>
      </c>
      <c r="D809" s="50"/>
      <c r="E809" s="58"/>
      <c r="F809" s="58"/>
      <c r="G809" s="58" t="str">
        <f>IFERROR(__xludf.DUMMYFUNCTION("""COMPUTED_VALUE"""),"Null")</f>
        <v>Null</v>
      </c>
      <c r="H809" s="206" t="str">
        <f>IFERROR(__xludf.DUMMYFUNCTION("""COMPUTED_VALUE"""),"Negative")</f>
        <v>Negative</v>
      </c>
      <c r="I809" s="207">
        <f>IFERROR(__xludf.DUMMYFUNCTION("""COMPUTED_VALUE"""),44701.0)</f>
        <v>44701</v>
      </c>
      <c r="J809" s="208">
        <f>IFERROR(__xludf.DUMMYFUNCTION("""COMPUTED_VALUE"""),0.3367361111111111)</f>
        <v>0.3367361111</v>
      </c>
      <c r="K809" s="50">
        <f>IFERROR(__xludf.DUMMYFUNCTION("""COMPUTED_VALUE"""),2.0)</f>
        <v>2</v>
      </c>
      <c r="L809" s="6"/>
      <c r="M809" s="55"/>
      <c r="N809" s="55">
        <f>IFERROR(__xludf.DUMMYFUNCTION("""COMPUTED_VALUE"""),1.0)</f>
        <v>1</v>
      </c>
      <c r="O809" s="55" t="str">
        <f t="shared" si="3"/>
        <v/>
      </c>
      <c r="P809" s="209"/>
      <c r="Q809" s="75" t="b">
        <f>VLOOKUP($B809,'Run Reconcile'!B$2:P1679,15,FALSE)</f>
        <v>1</v>
      </c>
      <c r="R809" s="211" t="str">
        <f t="array" ref="R809">IF($Q809, INDEX('Run Reconcile'!A$2:A1679,MATCH(B809,'Run Reconcile'!B$2:B1679,0),1),IFERROR(0/0,""))</f>
        <v>RUN-COMB_2022-05-20_RFR-044</v>
      </c>
      <c r="S809" s="165" t="str">
        <f t="shared" ref="S809:T809" si="1617">IF(COUNTIF(W$2:W1679, $A809) &gt; 0,TRUE,IFERROR(0/0,""))</f>
        <v/>
      </c>
      <c r="T809" s="165" t="str">
        <f t="shared" si="1617"/>
        <v/>
      </c>
      <c r="U809" s="147" t="str">
        <f t="array" ref="U809">IF(ISBLANK($R809), IF($S809,VLOOKUP($B809+1,'RFR Data - preExcl'!$BF$2:$BG1679,2,FALSE),IF($T809,INDEX('RFR Data - preExcl'!$BF$2:$BG1679,MATCH($B809,'RFR Data - preExcl'!$BF$2:$BF1679,0)+1,2),VLOOKUP($B809,'RFR Data - preExcl'!$BF$2:$BG1679,2,FALSE))),IFERROR(0/0,""))</f>
        <v/>
      </c>
      <c r="V809" s="212" t="str">
        <f t="shared" si="5"/>
        <v>RUN-COMB_2022-05-20_RFR-044</v>
      </c>
      <c r="W809" s="51"/>
      <c r="X809" s="51"/>
      <c r="Y809" s="147" t="str">
        <f t="shared" ref="Y809:Z809" si="1618">IF(_xlfn.ISFORMULA(S809),IFERROR(0/0,""),TRUE)</f>
        <v/>
      </c>
      <c r="Z809" s="147" t="str">
        <f t="shared" si="1618"/>
        <v/>
      </c>
    </row>
    <row r="810">
      <c r="A810" s="6" t="str">
        <f>IFERROR(__xludf.DUMMYFUNCTION("""COMPUTED_VALUE"""),"FM2959")</f>
        <v>FM2959</v>
      </c>
      <c r="B810" s="206">
        <f>IFERROR(__xludf.DUMMYFUNCTION("""COMPUTED_VALUE"""),44701.0)</f>
        <v>44701</v>
      </c>
      <c r="C810" s="207">
        <f>IFERROR(__xludf.DUMMYFUNCTION("""COMPUTED_VALUE"""),0.26994212962962966)</f>
        <v>0.2699421296</v>
      </c>
      <c r="D810" s="50"/>
      <c r="E810" s="58"/>
      <c r="F810" s="58"/>
      <c r="G810" s="58" t="str">
        <f>IFERROR(__xludf.DUMMYFUNCTION("""COMPUTED_VALUE"""),"Null")</f>
        <v>Null</v>
      </c>
      <c r="H810" s="206" t="str">
        <f>IFERROR(__xludf.DUMMYFUNCTION("""COMPUTED_VALUE"""),"Negative")</f>
        <v>Negative</v>
      </c>
      <c r="I810" s="207">
        <f>IFERROR(__xludf.DUMMYFUNCTION("""COMPUTED_VALUE"""),44701.0)</f>
        <v>44701</v>
      </c>
      <c r="J810" s="208">
        <f>IFERROR(__xludf.DUMMYFUNCTION("""COMPUTED_VALUE"""),0.33674768518518516)</f>
        <v>0.3367476852</v>
      </c>
      <c r="K810" s="50">
        <f>IFERROR(__xludf.DUMMYFUNCTION("""COMPUTED_VALUE"""),2.0)</f>
        <v>2</v>
      </c>
      <c r="L810" s="6"/>
      <c r="M810" s="55"/>
      <c r="N810" s="55">
        <f>IFERROR(__xludf.DUMMYFUNCTION("""COMPUTED_VALUE"""),1.0)</f>
        <v>1</v>
      </c>
      <c r="O810" s="55" t="str">
        <f t="shared" si="3"/>
        <v/>
      </c>
      <c r="P810" s="209"/>
      <c r="Q810" s="75" t="b">
        <f>VLOOKUP($B810,'Run Reconcile'!B$2:P1679,15,FALSE)</f>
        <v>1</v>
      </c>
      <c r="R810" s="211" t="str">
        <f t="array" ref="R810">IF($Q810, INDEX('Run Reconcile'!A$2:A1679,MATCH(B810,'Run Reconcile'!B$2:B1679,0),1),IFERROR(0/0,""))</f>
        <v>RUN-COMB_2022-05-20_RFR-044</v>
      </c>
      <c r="S810" s="165" t="str">
        <f t="shared" ref="S810:T810" si="1619">IF(COUNTIF(W$2:W1679, $A810) &gt; 0,TRUE,IFERROR(0/0,""))</f>
        <v/>
      </c>
      <c r="T810" s="165" t="str">
        <f t="shared" si="1619"/>
        <v/>
      </c>
      <c r="U810" s="147" t="str">
        <f t="array" ref="U810">IF(ISBLANK($R810), IF($S810,VLOOKUP($B810+1,'RFR Data - preExcl'!$BF$2:$BG1679,2,FALSE),IF($T810,INDEX('RFR Data - preExcl'!$BF$2:$BG1679,MATCH($B810,'RFR Data - preExcl'!$BF$2:$BF1679,0)+1,2),VLOOKUP($B810,'RFR Data - preExcl'!$BF$2:$BG1679,2,FALSE))),IFERROR(0/0,""))</f>
        <v/>
      </c>
      <c r="V810" s="212" t="str">
        <f t="shared" si="5"/>
        <v>RUN-COMB_2022-05-20_RFR-044</v>
      </c>
      <c r="W810" s="51"/>
      <c r="X810" s="51"/>
      <c r="Y810" s="147" t="str">
        <f t="shared" ref="Y810:Z810" si="1620">IF(_xlfn.ISFORMULA(S810),IFERROR(0/0,""),TRUE)</f>
        <v/>
      </c>
      <c r="Z810" s="147" t="str">
        <f t="shared" si="1620"/>
        <v/>
      </c>
    </row>
    <row r="811">
      <c r="A811" s="6" t="str">
        <f>IFERROR(__xludf.DUMMYFUNCTION("""COMPUTED_VALUE"""),"FM2964")</f>
        <v>FM2964</v>
      </c>
      <c r="B811" s="206">
        <f>IFERROR(__xludf.DUMMYFUNCTION("""COMPUTED_VALUE"""),44701.0)</f>
        <v>44701</v>
      </c>
      <c r="C811" s="207">
        <f>IFERROR(__xludf.DUMMYFUNCTION("""COMPUTED_VALUE"""),0.27025462962962965)</f>
        <v>0.2702546296</v>
      </c>
      <c r="D811" s="50"/>
      <c r="E811" s="58"/>
      <c r="F811" s="58"/>
      <c r="G811" s="58" t="str">
        <f>IFERROR(__xludf.DUMMYFUNCTION("""COMPUTED_VALUE"""),"Null")</f>
        <v>Null</v>
      </c>
      <c r="H811" s="206" t="str">
        <f>IFERROR(__xludf.DUMMYFUNCTION("""COMPUTED_VALUE"""),"Negative")</f>
        <v>Negative</v>
      </c>
      <c r="I811" s="207">
        <f>IFERROR(__xludf.DUMMYFUNCTION("""COMPUTED_VALUE"""),44701.0)</f>
        <v>44701</v>
      </c>
      <c r="J811" s="208">
        <f>IFERROR(__xludf.DUMMYFUNCTION("""COMPUTED_VALUE"""),0.33675925925925926)</f>
        <v>0.3367592593</v>
      </c>
      <c r="K811" s="50">
        <f>IFERROR(__xludf.DUMMYFUNCTION("""COMPUTED_VALUE"""),2.0)</f>
        <v>2</v>
      </c>
      <c r="L811" s="6"/>
      <c r="M811" s="55"/>
      <c r="N811" s="55">
        <f>IFERROR(__xludf.DUMMYFUNCTION("""COMPUTED_VALUE"""),1.0)</f>
        <v>1</v>
      </c>
      <c r="O811" s="55" t="str">
        <f t="shared" si="3"/>
        <v/>
      </c>
      <c r="P811" s="209"/>
      <c r="Q811" s="75" t="b">
        <f>VLOOKUP($B811,'Run Reconcile'!B$2:P1679,15,FALSE)</f>
        <v>1</v>
      </c>
      <c r="R811" s="211" t="str">
        <f t="array" ref="R811">IF($Q811, INDEX('Run Reconcile'!A$2:A1679,MATCH(B811,'Run Reconcile'!B$2:B1679,0),1),IFERROR(0/0,""))</f>
        <v>RUN-COMB_2022-05-20_RFR-044</v>
      </c>
      <c r="S811" s="165" t="str">
        <f t="shared" ref="S811:T811" si="1621">IF(COUNTIF(W$2:W1679, $A811) &gt; 0,TRUE,IFERROR(0/0,""))</f>
        <v/>
      </c>
      <c r="T811" s="165" t="str">
        <f t="shared" si="1621"/>
        <v/>
      </c>
      <c r="U811" s="147" t="str">
        <f t="array" ref="U811">IF(ISBLANK($R811), IF($S811,VLOOKUP($B811+1,'RFR Data - preExcl'!$BF$2:$BG1679,2,FALSE),IF($T811,INDEX('RFR Data - preExcl'!$BF$2:$BG1679,MATCH($B811,'RFR Data - preExcl'!$BF$2:$BF1679,0)+1,2),VLOOKUP($B811,'RFR Data - preExcl'!$BF$2:$BG1679,2,FALSE))),IFERROR(0/0,""))</f>
        <v/>
      </c>
      <c r="V811" s="212" t="str">
        <f t="shared" si="5"/>
        <v>RUN-COMB_2022-05-20_RFR-044</v>
      </c>
      <c r="W811" s="51"/>
      <c r="X811" s="51"/>
      <c r="Y811" s="147" t="str">
        <f t="shared" ref="Y811:Z811" si="1622">IF(_xlfn.ISFORMULA(S811),IFERROR(0/0,""),TRUE)</f>
        <v/>
      </c>
      <c r="Z811" s="147" t="str">
        <f t="shared" si="1622"/>
        <v/>
      </c>
    </row>
    <row r="812">
      <c r="A812" s="6" t="str">
        <f>IFERROR(__xludf.DUMMYFUNCTION("""COMPUTED_VALUE"""),"FM2938")</f>
        <v>FM2938</v>
      </c>
      <c r="B812" s="206">
        <f>IFERROR(__xludf.DUMMYFUNCTION("""COMPUTED_VALUE"""),44701.0)</f>
        <v>44701</v>
      </c>
      <c r="C812" s="207">
        <f>IFERROR(__xludf.DUMMYFUNCTION("""COMPUTED_VALUE"""),0.27064814814814814)</f>
        <v>0.2706481481</v>
      </c>
      <c r="D812" s="50"/>
      <c r="E812" s="58"/>
      <c r="F812" s="58"/>
      <c r="G812" s="58" t="str">
        <f>IFERROR(__xludf.DUMMYFUNCTION("""COMPUTED_VALUE"""),"Null")</f>
        <v>Null</v>
      </c>
      <c r="H812" s="206" t="str">
        <f>IFERROR(__xludf.DUMMYFUNCTION("""COMPUTED_VALUE"""),"Negative")</f>
        <v>Negative</v>
      </c>
      <c r="I812" s="207">
        <f>IFERROR(__xludf.DUMMYFUNCTION("""COMPUTED_VALUE"""),44701.0)</f>
        <v>44701</v>
      </c>
      <c r="J812" s="208">
        <f>IFERROR(__xludf.DUMMYFUNCTION("""COMPUTED_VALUE"""),0.33677083333333335)</f>
        <v>0.3367708333</v>
      </c>
      <c r="K812" s="50">
        <f>IFERROR(__xludf.DUMMYFUNCTION("""COMPUTED_VALUE"""),2.0)</f>
        <v>2</v>
      </c>
      <c r="L812" s="6"/>
      <c r="M812" s="55"/>
      <c r="N812" s="55">
        <f>IFERROR(__xludf.DUMMYFUNCTION("""COMPUTED_VALUE"""),1.0)</f>
        <v>1</v>
      </c>
      <c r="O812" s="55" t="str">
        <f t="shared" si="3"/>
        <v/>
      </c>
      <c r="P812" s="209"/>
      <c r="Q812" s="75" t="b">
        <f>VLOOKUP($B812,'Run Reconcile'!B$2:P1679,15,FALSE)</f>
        <v>1</v>
      </c>
      <c r="R812" s="211" t="str">
        <f t="array" ref="R812">IF($Q812, INDEX('Run Reconcile'!A$2:A1679,MATCH(B812,'Run Reconcile'!B$2:B1679,0),1),IFERROR(0/0,""))</f>
        <v>RUN-COMB_2022-05-20_RFR-044</v>
      </c>
      <c r="S812" s="165" t="str">
        <f t="shared" ref="S812:T812" si="1623">IF(COUNTIF(W$2:W1679, $A812) &gt; 0,TRUE,IFERROR(0/0,""))</f>
        <v/>
      </c>
      <c r="T812" s="165" t="str">
        <f t="shared" si="1623"/>
        <v/>
      </c>
      <c r="U812" s="147" t="str">
        <f t="array" ref="U812">IF(ISBLANK($R812), IF($S812,VLOOKUP($B812+1,'RFR Data - preExcl'!$BF$2:$BG1679,2,FALSE),IF($T812,INDEX('RFR Data - preExcl'!$BF$2:$BG1679,MATCH($B812,'RFR Data - preExcl'!$BF$2:$BF1679,0)+1,2),VLOOKUP($B812,'RFR Data - preExcl'!$BF$2:$BG1679,2,FALSE))),IFERROR(0/0,""))</f>
        <v/>
      </c>
      <c r="V812" s="212" t="str">
        <f t="shared" si="5"/>
        <v>RUN-COMB_2022-05-20_RFR-044</v>
      </c>
      <c r="W812" s="51"/>
      <c r="X812" s="51"/>
      <c r="Y812" s="147" t="str">
        <f t="shared" ref="Y812:Z812" si="1624">IF(_xlfn.ISFORMULA(S812),IFERROR(0/0,""),TRUE)</f>
        <v/>
      </c>
      <c r="Z812" s="147" t="str">
        <f t="shared" si="1624"/>
        <v/>
      </c>
    </row>
    <row r="813">
      <c r="A813" s="6" t="str">
        <f>IFERROR(__xludf.DUMMYFUNCTION("""COMPUTED_VALUE"""),"FM2954")</f>
        <v>FM2954</v>
      </c>
      <c r="B813" s="206">
        <f>IFERROR(__xludf.DUMMYFUNCTION("""COMPUTED_VALUE"""),44701.0)</f>
        <v>44701</v>
      </c>
      <c r="C813" s="207">
        <f>IFERROR(__xludf.DUMMYFUNCTION("""COMPUTED_VALUE"""),0.2712037037037037)</f>
        <v>0.2712037037</v>
      </c>
      <c r="D813" s="50"/>
      <c r="E813" s="58"/>
      <c r="F813" s="58"/>
      <c r="G813" s="58" t="str">
        <f>IFERROR(__xludf.DUMMYFUNCTION("""COMPUTED_VALUE"""),"Null")</f>
        <v>Null</v>
      </c>
      <c r="H813" s="206" t="str">
        <f>IFERROR(__xludf.DUMMYFUNCTION("""COMPUTED_VALUE"""),"Negative")</f>
        <v>Negative</v>
      </c>
      <c r="I813" s="207">
        <f>IFERROR(__xludf.DUMMYFUNCTION("""COMPUTED_VALUE"""),44701.0)</f>
        <v>44701</v>
      </c>
      <c r="J813" s="208">
        <f>IFERROR(__xludf.DUMMYFUNCTION("""COMPUTED_VALUE"""),0.3367824074074074)</f>
        <v>0.3367824074</v>
      </c>
      <c r="K813" s="50">
        <f>IFERROR(__xludf.DUMMYFUNCTION("""COMPUTED_VALUE"""),2.0)</f>
        <v>2</v>
      </c>
      <c r="L813" s="6"/>
      <c r="M813" s="55"/>
      <c r="N813" s="55">
        <f>IFERROR(__xludf.DUMMYFUNCTION("""COMPUTED_VALUE"""),1.0)</f>
        <v>1</v>
      </c>
      <c r="O813" s="55" t="str">
        <f t="shared" si="3"/>
        <v/>
      </c>
      <c r="P813" s="209"/>
      <c r="Q813" s="75" t="b">
        <f>VLOOKUP($B813,'Run Reconcile'!B$2:P1679,15,FALSE)</f>
        <v>1</v>
      </c>
      <c r="R813" s="211" t="str">
        <f t="array" ref="R813">IF($Q813, INDEX('Run Reconcile'!A$2:A1679,MATCH(B813,'Run Reconcile'!B$2:B1679,0),1),IFERROR(0/0,""))</f>
        <v>RUN-COMB_2022-05-20_RFR-044</v>
      </c>
      <c r="S813" s="165" t="str">
        <f t="shared" ref="S813:T813" si="1625">IF(COUNTIF(W$2:W1679, $A813) &gt; 0,TRUE,IFERROR(0/0,""))</f>
        <v/>
      </c>
      <c r="T813" s="165" t="str">
        <f t="shared" si="1625"/>
        <v/>
      </c>
      <c r="U813" s="147" t="str">
        <f t="array" ref="U813">IF(ISBLANK($R813), IF($S813,VLOOKUP($B813+1,'RFR Data - preExcl'!$BF$2:$BG1679,2,FALSE),IF($T813,INDEX('RFR Data - preExcl'!$BF$2:$BG1679,MATCH($B813,'RFR Data - preExcl'!$BF$2:$BF1679,0)+1,2),VLOOKUP($B813,'RFR Data - preExcl'!$BF$2:$BG1679,2,FALSE))),IFERROR(0/0,""))</f>
        <v/>
      </c>
      <c r="V813" s="212" t="str">
        <f t="shared" si="5"/>
        <v>RUN-COMB_2022-05-20_RFR-044</v>
      </c>
      <c r="W813" s="51"/>
      <c r="X813" s="51"/>
      <c r="Y813" s="147" t="str">
        <f t="shared" ref="Y813:Z813" si="1626">IF(_xlfn.ISFORMULA(S813),IFERROR(0/0,""),TRUE)</f>
        <v/>
      </c>
      <c r="Z813" s="147" t="str">
        <f t="shared" si="1626"/>
        <v/>
      </c>
    </row>
    <row r="814">
      <c r="A814" s="6" t="str">
        <f>IFERROR(__xludf.DUMMYFUNCTION("""COMPUTED_VALUE"""),"FM2906")</f>
        <v>FM2906</v>
      </c>
      <c r="B814" s="206">
        <f>IFERROR(__xludf.DUMMYFUNCTION("""COMPUTED_VALUE"""),44701.0)</f>
        <v>44701</v>
      </c>
      <c r="C814" s="207">
        <f>IFERROR(__xludf.DUMMYFUNCTION("""COMPUTED_VALUE"""),0.2725810185185185)</f>
        <v>0.2725810185</v>
      </c>
      <c r="D814" s="50"/>
      <c r="E814" s="58"/>
      <c r="F814" s="58"/>
      <c r="G814" s="58" t="str">
        <f>IFERROR(__xludf.DUMMYFUNCTION("""COMPUTED_VALUE"""),"Null")</f>
        <v>Null</v>
      </c>
      <c r="H814" s="206" t="str">
        <f>IFERROR(__xludf.DUMMYFUNCTION("""COMPUTED_VALUE"""),"Negative")</f>
        <v>Negative</v>
      </c>
      <c r="I814" s="207">
        <f>IFERROR(__xludf.DUMMYFUNCTION("""COMPUTED_VALUE"""),44701.0)</f>
        <v>44701</v>
      </c>
      <c r="J814" s="208">
        <f>IFERROR(__xludf.DUMMYFUNCTION("""COMPUTED_VALUE"""),0.3367939814814815)</f>
        <v>0.3367939815</v>
      </c>
      <c r="K814" s="50">
        <f>IFERROR(__xludf.DUMMYFUNCTION("""COMPUTED_VALUE"""),2.0)</f>
        <v>2</v>
      </c>
      <c r="L814" s="6"/>
      <c r="M814" s="55"/>
      <c r="N814" s="55">
        <f>IFERROR(__xludf.DUMMYFUNCTION("""COMPUTED_VALUE"""),1.0)</f>
        <v>1</v>
      </c>
      <c r="O814" s="55" t="str">
        <f t="shared" si="3"/>
        <v/>
      </c>
      <c r="P814" s="209"/>
      <c r="Q814" s="75" t="b">
        <f>VLOOKUP($B814,'Run Reconcile'!B$2:P1679,15,FALSE)</f>
        <v>1</v>
      </c>
      <c r="R814" s="211" t="str">
        <f t="array" ref="R814">IF($Q814, INDEX('Run Reconcile'!A$2:A1679,MATCH(B814,'Run Reconcile'!B$2:B1679,0),1),IFERROR(0/0,""))</f>
        <v>RUN-COMB_2022-05-20_RFR-044</v>
      </c>
      <c r="S814" s="165" t="str">
        <f t="shared" ref="S814:T814" si="1627">IF(COUNTIF(W$2:W1679, $A814) &gt; 0,TRUE,IFERROR(0/0,""))</f>
        <v/>
      </c>
      <c r="T814" s="165" t="str">
        <f t="shared" si="1627"/>
        <v/>
      </c>
      <c r="U814" s="147" t="str">
        <f t="array" ref="U814">IF(ISBLANK($R814), IF($S814,VLOOKUP($B814+1,'RFR Data - preExcl'!$BF$2:$BG1679,2,FALSE),IF($T814,INDEX('RFR Data - preExcl'!$BF$2:$BG1679,MATCH($B814,'RFR Data - preExcl'!$BF$2:$BF1679,0)+1,2),VLOOKUP($B814,'RFR Data - preExcl'!$BF$2:$BG1679,2,FALSE))),IFERROR(0/0,""))</f>
        <v/>
      </c>
      <c r="V814" s="212" t="str">
        <f t="shared" si="5"/>
        <v>RUN-COMB_2022-05-20_RFR-044</v>
      </c>
      <c r="W814" s="51"/>
      <c r="X814" s="51"/>
      <c r="Y814" s="147" t="str">
        <f t="shared" ref="Y814:Z814" si="1628">IF(_xlfn.ISFORMULA(S814),IFERROR(0/0,""),TRUE)</f>
        <v/>
      </c>
      <c r="Z814" s="147" t="str">
        <f t="shared" si="1628"/>
        <v/>
      </c>
    </row>
    <row r="815">
      <c r="A815" s="6" t="str">
        <f>IFERROR(__xludf.DUMMYFUNCTION("""COMPUTED_VALUE"""),"FM2986")</f>
        <v>FM2986</v>
      </c>
      <c r="B815" s="206">
        <f>IFERROR(__xludf.DUMMYFUNCTION("""COMPUTED_VALUE"""),44701.0)</f>
        <v>44701</v>
      </c>
      <c r="C815" s="207">
        <f>IFERROR(__xludf.DUMMYFUNCTION("""COMPUTED_VALUE"""),0.27297453703703706)</f>
        <v>0.272974537</v>
      </c>
      <c r="D815" s="50"/>
      <c r="E815" s="58"/>
      <c r="F815" s="58"/>
      <c r="G815" s="58" t="str">
        <f>IFERROR(__xludf.DUMMYFUNCTION("""COMPUTED_VALUE"""),"Null")</f>
        <v>Null</v>
      </c>
      <c r="H815" s="206" t="str">
        <f>IFERROR(__xludf.DUMMYFUNCTION("""COMPUTED_VALUE"""),"Negative")</f>
        <v>Negative</v>
      </c>
      <c r="I815" s="207">
        <f>IFERROR(__xludf.DUMMYFUNCTION("""COMPUTED_VALUE"""),44701.0)</f>
        <v>44701</v>
      </c>
      <c r="J815" s="208">
        <f>IFERROR(__xludf.DUMMYFUNCTION("""COMPUTED_VALUE"""),0.3368055555555556)</f>
        <v>0.3368055556</v>
      </c>
      <c r="K815" s="50">
        <f>IFERROR(__xludf.DUMMYFUNCTION("""COMPUTED_VALUE"""),2.0)</f>
        <v>2</v>
      </c>
      <c r="L815" s="6"/>
      <c r="M815" s="55"/>
      <c r="N815" s="55">
        <f>IFERROR(__xludf.DUMMYFUNCTION("""COMPUTED_VALUE"""),1.0)</f>
        <v>1</v>
      </c>
      <c r="O815" s="55" t="str">
        <f t="shared" si="3"/>
        <v/>
      </c>
      <c r="P815" s="209"/>
      <c r="Q815" s="75" t="b">
        <f>VLOOKUP($B815,'Run Reconcile'!B$2:P1679,15,FALSE)</f>
        <v>1</v>
      </c>
      <c r="R815" s="211" t="str">
        <f t="array" ref="R815">IF($Q815, INDEX('Run Reconcile'!A$2:A1679,MATCH(B815,'Run Reconcile'!B$2:B1679,0),1),IFERROR(0/0,""))</f>
        <v>RUN-COMB_2022-05-20_RFR-044</v>
      </c>
      <c r="S815" s="165" t="str">
        <f t="shared" ref="S815:T815" si="1629">IF(COUNTIF(W$2:W1679, $A815) &gt; 0,TRUE,IFERROR(0/0,""))</f>
        <v/>
      </c>
      <c r="T815" s="165" t="str">
        <f t="shared" si="1629"/>
        <v/>
      </c>
      <c r="U815" s="147" t="str">
        <f t="array" ref="U815">IF(ISBLANK($R815), IF($S815,VLOOKUP($B815+1,'RFR Data - preExcl'!$BF$2:$BG1679,2,FALSE),IF($T815,INDEX('RFR Data - preExcl'!$BF$2:$BG1679,MATCH($B815,'RFR Data - preExcl'!$BF$2:$BF1679,0)+1,2),VLOOKUP($B815,'RFR Data - preExcl'!$BF$2:$BG1679,2,FALSE))),IFERROR(0/0,""))</f>
        <v/>
      </c>
      <c r="V815" s="212" t="str">
        <f t="shared" si="5"/>
        <v>RUN-COMB_2022-05-20_RFR-044</v>
      </c>
      <c r="W815" s="51"/>
      <c r="X815" s="51"/>
      <c r="Y815" s="147" t="str">
        <f t="shared" ref="Y815:Z815" si="1630">IF(_xlfn.ISFORMULA(S815),IFERROR(0/0,""),TRUE)</f>
        <v/>
      </c>
      <c r="Z815" s="147" t="str">
        <f t="shared" si="1630"/>
        <v/>
      </c>
    </row>
    <row r="816">
      <c r="A816" s="6" t="str">
        <f>IFERROR(__xludf.DUMMYFUNCTION("""COMPUTED_VALUE"""),"FM2974")</f>
        <v>FM2974</v>
      </c>
      <c r="B816" s="206">
        <f>IFERROR(__xludf.DUMMYFUNCTION("""COMPUTED_VALUE"""),44701.0)</f>
        <v>44701</v>
      </c>
      <c r="C816" s="207">
        <f>IFERROR(__xludf.DUMMYFUNCTION("""COMPUTED_VALUE"""),0.2734375)</f>
        <v>0.2734375</v>
      </c>
      <c r="D816" s="50"/>
      <c r="E816" s="58"/>
      <c r="F816" s="58"/>
      <c r="G816" s="58" t="str">
        <f>IFERROR(__xludf.DUMMYFUNCTION("""COMPUTED_VALUE"""),"Null")</f>
        <v>Null</v>
      </c>
      <c r="H816" s="206" t="str">
        <f>IFERROR(__xludf.DUMMYFUNCTION("""COMPUTED_VALUE"""),"Negative")</f>
        <v>Negative</v>
      </c>
      <c r="I816" s="207">
        <f>IFERROR(__xludf.DUMMYFUNCTION("""COMPUTED_VALUE"""),44701.0)</f>
        <v>44701</v>
      </c>
      <c r="J816" s="208">
        <f>IFERROR(__xludf.DUMMYFUNCTION("""COMPUTED_VALUE"""),0.3368171296296296)</f>
        <v>0.3368171296</v>
      </c>
      <c r="K816" s="50">
        <f>IFERROR(__xludf.DUMMYFUNCTION("""COMPUTED_VALUE"""),2.0)</f>
        <v>2</v>
      </c>
      <c r="L816" s="6"/>
      <c r="M816" s="55"/>
      <c r="N816" s="55">
        <f>IFERROR(__xludf.DUMMYFUNCTION("""COMPUTED_VALUE"""),1.0)</f>
        <v>1</v>
      </c>
      <c r="O816" s="55" t="str">
        <f t="shared" si="3"/>
        <v/>
      </c>
      <c r="P816" s="209"/>
      <c r="Q816" s="75" t="b">
        <f>VLOOKUP($B816,'Run Reconcile'!B$2:P1679,15,FALSE)</f>
        <v>1</v>
      </c>
      <c r="R816" s="211" t="str">
        <f t="array" ref="R816">IF($Q816, INDEX('Run Reconcile'!A$2:A1679,MATCH(B816,'Run Reconcile'!B$2:B1679,0),1),IFERROR(0/0,""))</f>
        <v>RUN-COMB_2022-05-20_RFR-044</v>
      </c>
      <c r="S816" s="165" t="str">
        <f t="shared" ref="S816:T816" si="1631">IF(COUNTIF(W$2:W1679, $A816) &gt; 0,TRUE,IFERROR(0/0,""))</f>
        <v/>
      </c>
      <c r="T816" s="165" t="str">
        <f t="shared" si="1631"/>
        <v/>
      </c>
      <c r="U816" s="147" t="str">
        <f t="array" ref="U816">IF(ISBLANK($R816), IF($S816,VLOOKUP($B816+1,'RFR Data - preExcl'!$BF$2:$BG1679,2,FALSE),IF($T816,INDEX('RFR Data - preExcl'!$BF$2:$BG1679,MATCH($B816,'RFR Data - preExcl'!$BF$2:$BF1679,0)+1,2),VLOOKUP($B816,'RFR Data - preExcl'!$BF$2:$BG1679,2,FALSE))),IFERROR(0/0,""))</f>
        <v/>
      </c>
      <c r="V816" s="212" t="str">
        <f t="shared" si="5"/>
        <v>RUN-COMB_2022-05-20_RFR-044</v>
      </c>
      <c r="W816" s="51"/>
      <c r="X816" s="51"/>
      <c r="Y816" s="147" t="str">
        <f t="shared" ref="Y816:Z816" si="1632">IF(_xlfn.ISFORMULA(S816),IFERROR(0/0,""),TRUE)</f>
        <v/>
      </c>
      <c r="Z816" s="147" t="str">
        <f t="shared" si="1632"/>
        <v/>
      </c>
    </row>
    <row r="817">
      <c r="A817" s="6" t="str">
        <f>IFERROR(__xludf.DUMMYFUNCTION("""COMPUTED_VALUE"""),"FM2982")</f>
        <v>FM2982</v>
      </c>
      <c r="B817" s="206">
        <f>IFERROR(__xludf.DUMMYFUNCTION("""COMPUTED_VALUE"""),44701.0)</f>
        <v>44701</v>
      </c>
      <c r="C817" s="207">
        <f>IFERROR(__xludf.DUMMYFUNCTION("""COMPUTED_VALUE"""),0.27394675925925926)</f>
        <v>0.2739467593</v>
      </c>
      <c r="D817" s="50"/>
      <c r="E817" s="58"/>
      <c r="F817" s="58"/>
      <c r="G817" s="58" t="str">
        <f>IFERROR(__xludf.DUMMYFUNCTION("""COMPUTED_VALUE"""),"Null")</f>
        <v>Null</v>
      </c>
      <c r="H817" s="206" t="str">
        <f>IFERROR(__xludf.DUMMYFUNCTION("""COMPUTED_VALUE"""),"Negative")</f>
        <v>Negative</v>
      </c>
      <c r="I817" s="207">
        <f>IFERROR(__xludf.DUMMYFUNCTION("""COMPUTED_VALUE"""),44701.0)</f>
        <v>44701</v>
      </c>
      <c r="J817" s="208">
        <f>IFERROR(__xludf.DUMMYFUNCTION("""COMPUTED_VALUE"""),0.33684027777777775)</f>
        <v>0.3368402778</v>
      </c>
      <c r="K817" s="50">
        <f>IFERROR(__xludf.DUMMYFUNCTION("""COMPUTED_VALUE"""),2.0)</f>
        <v>2</v>
      </c>
      <c r="L817" s="6"/>
      <c r="M817" s="55"/>
      <c r="N817" s="55">
        <f>IFERROR(__xludf.DUMMYFUNCTION("""COMPUTED_VALUE"""),1.0)</f>
        <v>1</v>
      </c>
      <c r="O817" s="55" t="str">
        <f t="shared" si="3"/>
        <v/>
      </c>
      <c r="P817" s="209"/>
      <c r="Q817" s="75" t="b">
        <f>VLOOKUP($B817,'Run Reconcile'!B$2:P1679,15,FALSE)</f>
        <v>1</v>
      </c>
      <c r="R817" s="211" t="str">
        <f t="array" ref="R817">IF($Q817, INDEX('Run Reconcile'!A$2:A1679,MATCH(B817,'Run Reconcile'!B$2:B1679,0),1),IFERROR(0/0,""))</f>
        <v>RUN-COMB_2022-05-20_RFR-044</v>
      </c>
      <c r="S817" s="165" t="str">
        <f t="shared" ref="S817:T817" si="1633">IF(COUNTIF(W$2:W1679, $A817) &gt; 0,TRUE,IFERROR(0/0,""))</f>
        <v/>
      </c>
      <c r="T817" s="165" t="str">
        <f t="shared" si="1633"/>
        <v/>
      </c>
      <c r="U817" s="147" t="str">
        <f t="array" ref="U817">IF(ISBLANK($R817), IF($S817,VLOOKUP($B817+1,'RFR Data - preExcl'!$BF$2:$BG1679,2,FALSE),IF($T817,INDEX('RFR Data - preExcl'!$BF$2:$BG1679,MATCH($B817,'RFR Data - preExcl'!$BF$2:$BF1679,0)+1,2),VLOOKUP($B817,'RFR Data - preExcl'!$BF$2:$BG1679,2,FALSE))),IFERROR(0/0,""))</f>
        <v/>
      </c>
      <c r="V817" s="212" t="str">
        <f t="shared" si="5"/>
        <v>RUN-COMB_2022-05-20_RFR-044</v>
      </c>
      <c r="W817" s="51"/>
      <c r="X817" s="51"/>
      <c r="Y817" s="147" t="str">
        <f t="shared" ref="Y817:Z817" si="1634">IF(_xlfn.ISFORMULA(S817),IFERROR(0/0,""),TRUE)</f>
        <v/>
      </c>
      <c r="Z817" s="147" t="str">
        <f t="shared" si="1634"/>
        <v/>
      </c>
    </row>
    <row r="818">
      <c r="A818" s="6" t="str">
        <f>IFERROR(__xludf.DUMMYFUNCTION("""COMPUTED_VALUE"""),"FM2971")</f>
        <v>FM2971</v>
      </c>
      <c r="B818" s="206">
        <f>IFERROR(__xludf.DUMMYFUNCTION("""COMPUTED_VALUE"""),44701.0)</f>
        <v>44701</v>
      </c>
      <c r="C818" s="207">
        <f>IFERROR(__xludf.DUMMYFUNCTION("""COMPUTED_VALUE"""),0.27620370370370373)</f>
        <v>0.2762037037</v>
      </c>
      <c r="D818" s="50"/>
      <c r="E818" s="58"/>
      <c r="F818" s="58"/>
      <c r="G818" s="58" t="str">
        <f>IFERROR(__xludf.DUMMYFUNCTION("""COMPUTED_VALUE"""),"Null")</f>
        <v>Null</v>
      </c>
      <c r="H818" s="206" t="str">
        <f>IFERROR(__xludf.DUMMYFUNCTION("""COMPUTED_VALUE"""),"Negative")</f>
        <v>Negative</v>
      </c>
      <c r="I818" s="207">
        <f>IFERROR(__xludf.DUMMYFUNCTION("""COMPUTED_VALUE"""),44701.0)</f>
        <v>44701</v>
      </c>
      <c r="J818" s="208">
        <f>IFERROR(__xludf.DUMMYFUNCTION("""COMPUTED_VALUE"""),0.33686342592592594)</f>
        <v>0.3368634259</v>
      </c>
      <c r="K818" s="50">
        <f>IFERROR(__xludf.DUMMYFUNCTION("""COMPUTED_VALUE"""),2.0)</f>
        <v>2</v>
      </c>
      <c r="L818" s="6"/>
      <c r="M818" s="55"/>
      <c r="N818" s="55">
        <f>IFERROR(__xludf.DUMMYFUNCTION("""COMPUTED_VALUE"""),1.0)</f>
        <v>1</v>
      </c>
      <c r="O818" s="55" t="str">
        <f t="shared" si="3"/>
        <v/>
      </c>
      <c r="P818" s="209"/>
      <c r="Q818" s="75" t="b">
        <f>VLOOKUP($B818,'Run Reconcile'!B$2:P1679,15,FALSE)</f>
        <v>1</v>
      </c>
      <c r="R818" s="211" t="str">
        <f t="array" ref="R818">IF($Q818, INDEX('Run Reconcile'!A$2:A1679,MATCH(B818,'Run Reconcile'!B$2:B1679,0),1),IFERROR(0/0,""))</f>
        <v>RUN-COMB_2022-05-20_RFR-044</v>
      </c>
      <c r="S818" s="165" t="str">
        <f t="shared" ref="S818:T818" si="1635">IF(COUNTIF(W$2:W1679, $A818) &gt; 0,TRUE,IFERROR(0/0,""))</f>
        <v/>
      </c>
      <c r="T818" s="165" t="str">
        <f t="shared" si="1635"/>
        <v/>
      </c>
      <c r="U818" s="147" t="str">
        <f t="array" ref="U818">IF(ISBLANK($R818), IF($S818,VLOOKUP($B818+1,'RFR Data - preExcl'!$BF$2:$BG1679,2,FALSE),IF($T818,INDEX('RFR Data - preExcl'!$BF$2:$BG1679,MATCH($B818,'RFR Data - preExcl'!$BF$2:$BF1679,0)+1,2),VLOOKUP($B818,'RFR Data - preExcl'!$BF$2:$BG1679,2,FALSE))),IFERROR(0/0,""))</f>
        <v/>
      </c>
      <c r="V818" s="212" t="str">
        <f t="shared" si="5"/>
        <v>RUN-COMB_2022-05-20_RFR-044</v>
      </c>
      <c r="W818" s="51"/>
      <c r="X818" s="51"/>
      <c r="Y818" s="147" t="str">
        <f t="shared" ref="Y818:Z818" si="1636">IF(_xlfn.ISFORMULA(S818),IFERROR(0/0,""),TRUE)</f>
        <v/>
      </c>
      <c r="Z818" s="147" t="str">
        <f t="shared" si="1636"/>
        <v/>
      </c>
    </row>
    <row r="819">
      <c r="A819" s="6" t="str">
        <f>IFERROR(__xludf.DUMMYFUNCTION("""COMPUTED_VALUE"""),"FM2903")</f>
        <v>FM2903</v>
      </c>
      <c r="B819" s="206">
        <f>IFERROR(__xludf.DUMMYFUNCTION("""COMPUTED_VALUE"""),44701.0)</f>
        <v>44701</v>
      </c>
      <c r="C819" s="207">
        <f>IFERROR(__xludf.DUMMYFUNCTION("""COMPUTED_VALUE"""),0.28229166666666666)</f>
        <v>0.2822916667</v>
      </c>
      <c r="D819" s="50"/>
      <c r="E819" s="58"/>
      <c r="F819" s="58"/>
      <c r="G819" s="58" t="str">
        <f>IFERROR(__xludf.DUMMYFUNCTION("""COMPUTED_VALUE"""),"Null")</f>
        <v>Null</v>
      </c>
      <c r="H819" s="206" t="str">
        <f>IFERROR(__xludf.DUMMYFUNCTION("""COMPUTED_VALUE"""),"Negative")</f>
        <v>Negative</v>
      </c>
      <c r="I819" s="207">
        <f>IFERROR(__xludf.DUMMYFUNCTION("""COMPUTED_VALUE"""),44701.0)</f>
        <v>44701</v>
      </c>
      <c r="J819" s="208">
        <f>IFERROR(__xludf.DUMMYFUNCTION("""COMPUTED_VALUE"""),0.3368865740740741)</f>
        <v>0.3368865741</v>
      </c>
      <c r="K819" s="50">
        <f>IFERROR(__xludf.DUMMYFUNCTION("""COMPUTED_VALUE"""),2.0)</f>
        <v>2</v>
      </c>
      <c r="L819" s="6"/>
      <c r="M819" s="55"/>
      <c r="N819" s="55">
        <f>IFERROR(__xludf.DUMMYFUNCTION("""COMPUTED_VALUE"""),1.0)</f>
        <v>1</v>
      </c>
      <c r="O819" s="55" t="str">
        <f t="shared" si="3"/>
        <v/>
      </c>
      <c r="P819" s="209"/>
      <c r="Q819" s="75" t="b">
        <f>VLOOKUP($B819,'Run Reconcile'!B$2:P1679,15,FALSE)</f>
        <v>1</v>
      </c>
      <c r="R819" s="211" t="str">
        <f t="array" ref="R819">IF($Q819, INDEX('Run Reconcile'!A$2:A1679,MATCH(B819,'Run Reconcile'!B$2:B1679,0),1),IFERROR(0/0,""))</f>
        <v>RUN-COMB_2022-05-20_RFR-044</v>
      </c>
      <c r="S819" s="165" t="str">
        <f t="shared" ref="S819:T819" si="1637">IF(COUNTIF(W$2:W1679, $A819) &gt; 0,TRUE,IFERROR(0/0,""))</f>
        <v/>
      </c>
      <c r="T819" s="165" t="str">
        <f t="shared" si="1637"/>
        <v/>
      </c>
      <c r="U819" s="147" t="str">
        <f t="array" ref="U819">IF(ISBLANK($R819), IF($S819,VLOOKUP($B819+1,'RFR Data - preExcl'!$BF$2:$BG1679,2,FALSE),IF($T819,INDEX('RFR Data - preExcl'!$BF$2:$BG1679,MATCH($B819,'RFR Data - preExcl'!$BF$2:$BF1679,0)+1,2),VLOOKUP($B819,'RFR Data - preExcl'!$BF$2:$BG1679,2,FALSE))),IFERROR(0/0,""))</f>
        <v/>
      </c>
      <c r="V819" s="212" t="str">
        <f t="shared" si="5"/>
        <v>RUN-COMB_2022-05-20_RFR-044</v>
      </c>
      <c r="W819" s="51"/>
      <c r="X819" s="51"/>
      <c r="Y819" s="147" t="str">
        <f t="shared" ref="Y819:Z819" si="1638">IF(_xlfn.ISFORMULA(S819),IFERROR(0/0,""),TRUE)</f>
        <v/>
      </c>
      <c r="Z819" s="147" t="str">
        <f t="shared" si="1638"/>
        <v/>
      </c>
    </row>
    <row r="820">
      <c r="A820" s="6" t="str">
        <f>IFERROR(__xludf.DUMMYFUNCTION("""COMPUTED_VALUE"""),"FM2976")</f>
        <v>FM2976</v>
      </c>
      <c r="B820" s="206">
        <f>IFERROR(__xludf.DUMMYFUNCTION("""COMPUTED_VALUE"""),44701.0)</f>
        <v>44701</v>
      </c>
      <c r="C820" s="207">
        <f>IFERROR(__xludf.DUMMYFUNCTION("""COMPUTED_VALUE"""),0.33533564814814815)</f>
        <v>0.3353356481</v>
      </c>
      <c r="D820" s="50"/>
      <c r="E820" s="58"/>
      <c r="F820" s="58"/>
      <c r="G820" s="58" t="str">
        <f>IFERROR(__xludf.DUMMYFUNCTION("""COMPUTED_VALUE"""),"Null")</f>
        <v>Null</v>
      </c>
      <c r="H820" s="206" t="str">
        <f>IFERROR(__xludf.DUMMYFUNCTION("""COMPUTED_VALUE"""),"Negative")</f>
        <v>Negative</v>
      </c>
      <c r="I820" s="207">
        <f>IFERROR(__xludf.DUMMYFUNCTION("""COMPUTED_VALUE"""),44701.0)</f>
        <v>44701</v>
      </c>
      <c r="J820" s="208">
        <f>IFERROR(__xludf.DUMMYFUNCTION("""COMPUTED_VALUE"""),0.33689814814814817)</f>
        <v>0.3368981481</v>
      </c>
      <c r="K820" s="50">
        <f>IFERROR(__xludf.DUMMYFUNCTION("""COMPUTED_VALUE"""),2.0)</f>
        <v>2</v>
      </c>
      <c r="L820" s="6"/>
      <c r="M820" s="55"/>
      <c r="N820" s="55">
        <f>IFERROR(__xludf.DUMMYFUNCTION("""COMPUTED_VALUE"""),1.0)</f>
        <v>1</v>
      </c>
      <c r="O820" s="55" t="str">
        <f t="shared" si="3"/>
        <v/>
      </c>
      <c r="P820" s="209"/>
      <c r="Q820" s="75" t="b">
        <f>VLOOKUP($B820,'Run Reconcile'!B$2:P1679,15,FALSE)</f>
        <v>1</v>
      </c>
      <c r="R820" s="211" t="str">
        <f t="array" ref="R820">IF($Q820, INDEX('Run Reconcile'!A$2:A1679,MATCH(B820,'Run Reconcile'!B$2:B1679,0),1),IFERROR(0/0,""))</f>
        <v>RUN-COMB_2022-05-20_RFR-044</v>
      </c>
      <c r="S820" s="165" t="str">
        <f t="shared" ref="S820:T820" si="1639">IF(COUNTIF(W$2:W1679, $A820) &gt; 0,TRUE,IFERROR(0/0,""))</f>
        <v/>
      </c>
      <c r="T820" s="165" t="str">
        <f t="shared" si="1639"/>
        <v/>
      </c>
      <c r="U820" s="147" t="str">
        <f t="array" ref="U820">IF(ISBLANK($R820), IF($S820,VLOOKUP($B820+1,'RFR Data - preExcl'!$BF$2:$BG1679,2,FALSE),IF($T820,INDEX('RFR Data - preExcl'!$BF$2:$BG1679,MATCH($B820,'RFR Data - preExcl'!$BF$2:$BF1679,0)+1,2),VLOOKUP($B820,'RFR Data - preExcl'!$BF$2:$BG1679,2,FALSE))),IFERROR(0/0,""))</f>
        <v/>
      </c>
      <c r="V820" s="212" t="str">
        <f t="shared" si="5"/>
        <v>RUN-COMB_2022-05-20_RFR-044</v>
      </c>
      <c r="W820" s="51"/>
      <c r="X820" s="51"/>
      <c r="Y820" s="147" t="str">
        <f t="shared" ref="Y820:Z820" si="1640">IF(_xlfn.ISFORMULA(S820),IFERROR(0/0,""),TRUE)</f>
        <v/>
      </c>
      <c r="Z820" s="147" t="str">
        <f t="shared" si="1640"/>
        <v/>
      </c>
    </row>
    <row r="821">
      <c r="A821" s="6" t="str">
        <f>IFERROR(__xludf.DUMMYFUNCTION("""COMPUTED_VALUE"""),"FM2908")</f>
        <v>FM2908</v>
      </c>
      <c r="B821" s="206">
        <f>IFERROR(__xludf.DUMMYFUNCTION("""COMPUTED_VALUE"""),44706.0)</f>
        <v>44706</v>
      </c>
      <c r="C821" s="207">
        <f>IFERROR(__xludf.DUMMYFUNCTION("""COMPUTED_VALUE"""),0.6869097222222222)</f>
        <v>0.6869097222</v>
      </c>
      <c r="D821" s="50"/>
      <c r="E821" s="58"/>
      <c r="F821" s="58"/>
      <c r="G821" s="58" t="str">
        <f>IFERROR(__xludf.DUMMYFUNCTION("""COMPUTED_VALUE"""),"Null")</f>
        <v>Null</v>
      </c>
      <c r="H821" s="206" t="str">
        <f>IFERROR(__xludf.DUMMYFUNCTION("""COMPUTED_VALUE"""),"Negative")</f>
        <v>Negative</v>
      </c>
      <c r="I821" s="207">
        <f>IFERROR(__xludf.DUMMYFUNCTION("""COMPUTED_VALUE"""),44706.0)</f>
        <v>44706</v>
      </c>
      <c r="J821" s="208">
        <f>IFERROR(__xludf.DUMMYFUNCTION("""COMPUTED_VALUE"""),0.8117939814814815)</f>
        <v>0.8117939815</v>
      </c>
      <c r="K821" s="50">
        <f>IFERROR(__xludf.DUMMYFUNCTION("""COMPUTED_VALUE"""),2.0)</f>
        <v>2</v>
      </c>
      <c r="L821" s="6"/>
      <c r="M821" s="55"/>
      <c r="N821" s="55">
        <f>IFERROR(__xludf.DUMMYFUNCTION("""COMPUTED_VALUE"""),1.0)</f>
        <v>1</v>
      </c>
      <c r="O821" s="55" t="b">
        <f t="shared" si="3"/>
        <v>1</v>
      </c>
      <c r="P821" s="209"/>
      <c r="Q821" s="75" t="b">
        <f>VLOOKUP($B821,'Run Reconcile'!B$2:P1679,15,FALSE)</f>
        <v>1</v>
      </c>
      <c r="R821" s="211" t="str">
        <f t="array" ref="R821">IF($Q821, INDEX('Run Reconcile'!A$2:A1679,MATCH(B821,'Run Reconcile'!B$2:B1679,0),1),IFERROR(0/0,""))</f>
        <v>RUN-COMB_2022-05-25_RFR-045</v>
      </c>
      <c r="S821" s="165" t="str">
        <f t="shared" ref="S821:T821" si="1641">IF(COUNTIF(W$2:W1679, $A821) &gt; 0,TRUE,IFERROR(0/0,""))</f>
        <v/>
      </c>
      <c r="T821" s="165" t="str">
        <f t="shared" si="1641"/>
        <v/>
      </c>
      <c r="U821" s="147" t="str">
        <f t="array" ref="U821">IF(ISBLANK($R821), IF($S821,VLOOKUP($B821+1,'RFR Data - preExcl'!$BF$2:$BG1679,2,FALSE),IF($T821,INDEX('RFR Data - preExcl'!$BF$2:$BG1679,MATCH($B821,'RFR Data - preExcl'!$BF$2:$BF1679,0)+1,2),VLOOKUP($B821,'RFR Data - preExcl'!$BF$2:$BG1679,2,FALSE))),IFERROR(0/0,""))</f>
        <v/>
      </c>
      <c r="V821" s="212" t="str">
        <f t="shared" si="5"/>
        <v>RUN-COMB_2022-05-25_RFR-045</v>
      </c>
      <c r="W821" s="51"/>
      <c r="X821" s="51"/>
      <c r="Y821" s="147" t="str">
        <f t="shared" ref="Y821:Z821" si="1642">IF(_xlfn.ISFORMULA(S821),IFERROR(0/0,""),TRUE)</f>
        <v/>
      </c>
      <c r="Z821" s="147" t="str">
        <f t="shared" si="1642"/>
        <v/>
      </c>
    </row>
    <row r="822">
      <c r="A822" s="6" t="str">
        <f>IFERROR(__xludf.DUMMYFUNCTION("""COMPUTED_VALUE"""),"FM2899")</f>
        <v>FM2899</v>
      </c>
      <c r="B822" s="206">
        <f>IFERROR(__xludf.DUMMYFUNCTION("""COMPUTED_VALUE"""),44706.0)</f>
        <v>44706</v>
      </c>
      <c r="C822" s="207">
        <f>IFERROR(__xludf.DUMMYFUNCTION("""COMPUTED_VALUE"""),0.689675925925926)</f>
        <v>0.6896759259</v>
      </c>
      <c r="D822" s="50"/>
      <c r="E822" s="58"/>
      <c r="F822" s="58"/>
      <c r="G822" s="58" t="str">
        <f>IFERROR(__xludf.DUMMYFUNCTION("""COMPUTED_VALUE"""),"Null")</f>
        <v>Null</v>
      </c>
      <c r="H822" s="206" t="str">
        <f>IFERROR(__xludf.DUMMYFUNCTION("""COMPUTED_VALUE"""),"Negative")</f>
        <v>Negative</v>
      </c>
      <c r="I822" s="207">
        <f>IFERROR(__xludf.DUMMYFUNCTION("""COMPUTED_VALUE"""),44706.0)</f>
        <v>44706</v>
      </c>
      <c r="J822" s="208">
        <f>IFERROR(__xludf.DUMMYFUNCTION("""COMPUTED_VALUE"""),0.8118171296296296)</f>
        <v>0.8118171296</v>
      </c>
      <c r="K822" s="50">
        <f>IFERROR(__xludf.DUMMYFUNCTION("""COMPUTED_VALUE"""),2.0)</f>
        <v>2</v>
      </c>
      <c r="L822" s="6"/>
      <c r="M822" s="55"/>
      <c r="N822" s="55">
        <f>IFERROR(__xludf.DUMMYFUNCTION("""COMPUTED_VALUE"""),1.0)</f>
        <v>1</v>
      </c>
      <c r="O822" s="55" t="str">
        <f t="shared" si="3"/>
        <v/>
      </c>
      <c r="P822" s="209"/>
      <c r="Q822" s="75" t="b">
        <f>VLOOKUP($B822,'Run Reconcile'!B$2:P1679,15,FALSE)</f>
        <v>1</v>
      </c>
      <c r="R822" s="211" t="str">
        <f t="array" ref="R822">IF($Q822, INDEX('Run Reconcile'!A$2:A1679,MATCH(B822,'Run Reconcile'!B$2:B1679,0),1),IFERROR(0/0,""))</f>
        <v>RUN-COMB_2022-05-25_RFR-045</v>
      </c>
      <c r="S822" s="165" t="str">
        <f t="shared" ref="S822:T822" si="1643">IF(COUNTIF(W$2:W1679, $A822) &gt; 0,TRUE,IFERROR(0/0,""))</f>
        <v/>
      </c>
      <c r="T822" s="165" t="str">
        <f t="shared" si="1643"/>
        <v/>
      </c>
      <c r="U822" s="147" t="str">
        <f t="array" ref="U822">IF(ISBLANK($R822), IF($S822,VLOOKUP($B822+1,'RFR Data - preExcl'!$BF$2:$BG1679,2,FALSE),IF($T822,INDEX('RFR Data - preExcl'!$BF$2:$BG1679,MATCH($B822,'RFR Data - preExcl'!$BF$2:$BF1679,0)+1,2),VLOOKUP($B822,'RFR Data - preExcl'!$BF$2:$BG1679,2,FALSE))),IFERROR(0/0,""))</f>
        <v/>
      </c>
      <c r="V822" s="212" t="str">
        <f t="shared" si="5"/>
        <v>RUN-COMB_2022-05-25_RFR-045</v>
      </c>
      <c r="W822" s="51"/>
      <c r="X822" s="51"/>
      <c r="Y822" s="147" t="str">
        <f t="shared" ref="Y822:Z822" si="1644">IF(_xlfn.ISFORMULA(S822),IFERROR(0/0,""),TRUE)</f>
        <v/>
      </c>
      <c r="Z822" s="147" t="str">
        <f t="shared" si="1644"/>
        <v/>
      </c>
    </row>
    <row r="823">
      <c r="A823" s="6" t="str">
        <f>IFERROR(__xludf.DUMMYFUNCTION("""COMPUTED_VALUE"""),"FM2947")</f>
        <v>FM2947</v>
      </c>
      <c r="B823" s="206">
        <f>IFERROR(__xludf.DUMMYFUNCTION("""COMPUTED_VALUE"""),44706.0)</f>
        <v>44706</v>
      </c>
      <c r="C823" s="207">
        <f>IFERROR(__xludf.DUMMYFUNCTION("""COMPUTED_VALUE"""),0.6900810185185186)</f>
        <v>0.6900810185</v>
      </c>
      <c r="D823" s="50"/>
      <c r="E823" s="58"/>
      <c r="F823" s="58"/>
      <c r="G823" s="58" t="str">
        <f>IFERROR(__xludf.DUMMYFUNCTION("""COMPUTED_VALUE"""),"Null")</f>
        <v>Null</v>
      </c>
      <c r="H823" s="206" t="str">
        <f>IFERROR(__xludf.DUMMYFUNCTION("""COMPUTED_VALUE"""),"Negative")</f>
        <v>Negative</v>
      </c>
      <c r="I823" s="207">
        <f>IFERROR(__xludf.DUMMYFUNCTION("""COMPUTED_VALUE"""),44706.0)</f>
        <v>44706</v>
      </c>
      <c r="J823" s="208">
        <f>IFERROR(__xludf.DUMMYFUNCTION("""COMPUTED_VALUE"""),0.8118287037037037)</f>
        <v>0.8118287037</v>
      </c>
      <c r="K823" s="50">
        <f>IFERROR(__xludf.DUMMYFUNCTION("""COMPUTED_VALUE"""),2.0)</f>
        <v>2</v>
      </c>
      <c r="L823" s="6"/>
      <c r="M823" s="55"/>
      <c r="N823" s="55">
        <f>IFERROR(__xludf.DUMMYFUNCTION("""COMPUTED_VALUE"""),1.0)</f>
        <v>1</v>
      </c>
      <c r="O823" s="55" t="str">
        <f t="shared" si="3"/>
        <v/>
      </c>
      <c r="P823" s="209"/>
      <c r="Q823" s="75" t="b">
        <f>VLOOKUP($B823,'Run Reconcile'!B$2:P1679,15,FALSE)</f>
        <v>1</v>
      </c>
      <c r="R823" s="211" t="str">
        <f t="array" ref="R823">IF($Q823, INDEX('Run Reconcile'!A$2:A1679,MATCH(B823,'Run Reconcile'!B$2:B1679,0),1),IFERROR(0/0,""))</f>
        <v>RUN-COMB_2022-05-25_RFR-045</v>
      </c>
      <c r="S823" s="165" t="str">
        <f t="shared" ref="S823:T823" si="1645">IF(COUNTIF(W$2:W1679, $A823) &gt; 0,TRUE,IFERROR(0/0,""))</f>
        <v/>
      </c>
      <c r="T823" s="165" t="str">
        <f t="shared" si="1645"/>
        <v/>
      </c>
      <c r="U823" s="147" t="str">
        <f t="array" ref="U823">IF(ISBLANK($R823), IF($S823,VLOOKUP($B823+1,'RFR Data - preExcl'!$BF$2:$BG1679,2,FALSE),IF($T823,INDEX('RFR Data - preExcl'!$BF$2:$BG1679,MATCH($B823,'RFR Data - preExcl'!$BF$2:$BF1679,0)+1,2),VLOOKUP($B823,'RFR Data - preExcl'!$BF$2:$BG1679,2,FALSE))),IFERROR(0/0,""))</f>
        <v/>
      </c>
      <c r="V823" s="212" t="str">
        <f t="shared" si="5"/>
        <v>RUN-COMB_2022-05-25_RFR-045</v>
      </c>
      <c r="W823" s="51"/>
      <c r="X823" s="51"/>
      <c r="Y823" s="147" t="str">
        <f t="shared" ref="Y823:Z823" si="1646">IF(_xlfn.ISFORMULA(S823),IFERROR(0/0,""),TRUE)</f>
        <v/>
      </c>
      <c r="Z823" s="147" t="str">
        <f t="shared" si="1646"/>
        <v/>
      </c>
    </row>
    <row r="824">
      <c r="A824" s="6" t="str">
        <f>IFERROR(__xludf.DUMMYFUNCTION("""COMPUTED_VALUE"""),"FM2972")</f>
        <v>FM2972</v>
      </c>
      <c r="B824" s="206">
        <f>IFERROR(__xludf.DUMMYFUNCTION("""COMPUTED_VALUE"""),44706.0)</f>
        <v>44706</v>
      </c>
      <c r="C824" s="207">
        <f>IFERROR(__xludf.DUMMYFUNCTION("""COMPUTED_VALUE"""),0.6906018518518519)</f>
        <v>0.6906018519</v>
      </c>
      <c r="D824" s="50"/>
      <c r="E824" s="58"/>
      <c r="F824" s="58"/>
      <c r="G824" s="58" t="str">
        <f>IFERROR(__xludf.DUMMYFUNCTION("""COMPUTED_VALUE"""),"Null")</f>
        <v>Null</v>
      </c>
      <c r="H824" s="206" t="str">
        <f>IFERROR(__xludf.DUMMYFUNCTION("""COMPUTED_VALUE"""),"Negative")</f>
        <v>Negative</v>
      </c>
      <c r="I824" s="207">
        <f>IFERROR(__xludf.DUMMYFUNCTION("""COMPUTED_VALUE"""),44706.0)</f>
        <v>44706</v>
      </c>
      <c r="J824" s="208">
        <f>IFERROR(__xludf.DUMMYFUNCTION("""COMPUTED_VALUE"""),0.8118402777777778)</f>
        <v>0.8118402778</v>
      </c>
      <c r="K824" s="50">
        <f>IFERROR(__xludf.DUMMYFUNCTION("""COMPUTED_VALUE"""),2.0)</f>
        <v>2</v>
      </c>
      <c r="L824" s="6"/>
      <c r="M824" s="55"/>
      <c r="N824" s="55">
        <f>IFERROR(__xludf.DUMMYFUNCTION("""COMPUTED_VALUE"""),1.0)</f>
        <v>1</v>
      </c>
      <c r="O824" s="55" t="str">
        <f t="shared" si="3"/>
        <v/>
      </c>
      <c r="P824" s="209"/>
      <c r="Q824" s="75" t="b">
        <f>VLOOKUP($B824,'Run Reconcile'!B$2:P1679,15,FALSE)</f>
        <v>1</v>
      </c>
      <c r="R824" s="211" t="str">
        <f t="array" ref="R824">IF($Q824, INDEX('Run Reconcile'!A$2:A1679,MATCH(B824,'Run Reconcile'!B$2:B1679,0),1),IFERROR(0/0,""))</f>
        <v>RUN-COMB_2022-05-25_RFR-045</v>
      </c>
      <c r="S824" s="165" t="str">
        <f t="shared" ref="S824:T824" si="1647">IF(COUNTIF(W$2:W1679, $A824) &gt; 0,TRUE,IFERROR(0/0,""))</f>
        <v/>
      </c>
      <c r="T824" s="165" t="str">
        <f t="shared" si="1647"/>
        <v/>
      </c>
      <c r="U824" s="147" t="str">
        <f t="array" ref="U824">IF(ISBLANK($R824), IF($S824,VLOOKUP($B824+1,'RFR Data - preExcl'!$BF$2:$BG1679,2,FALSE),IF($T824,INDEX('RFR Data - preExcl'!$BF$2:$BG1679,MATCH($B824,'RFR Data - preExcl'!$BF$2:$BF1679,0)+1,2),VLOOKUP($B824,'RFR Data - preExcl'!$BF$2:$BG1679,2,FALSE))),IFERROR(0/0,""))</f>
        <v/>
      </c>
      <c r="V824" s="212" t="str">
        <f t="shared" si="5"/>
        <v>RUN-COMB_2022-05-25_RFR-045</v>
      </c>
      <c r="W824" s="51"/>
      <c r="X824" s="51"/>
      <c r="Y824" s="147" t="str">
        <f t="shared" ref="Y824:Z824" si="1648">IF(_xlfn.ISFORMULA(S824),IFERROR(0/0,""),TRUE)</f>
        <v/>
      </c>
      <c r="Z824" s="147" t="str">
        <f t="shared" si="1648"/>
        <v/>
      </c>
    </row>
    <row r="825">
      <c r="A825" s="6" t="str">
        <f>IFERROR(__xludf.DUMMYFUNCTION("""COMPUTED_VALUE"""),"FM2965")</f>
        <v>FM2965</v>
      </c>
      <c r="B825" s="206">
        <f>IFERROR(__xludf.DUMMYFUNCTION("""COMPUTED_VALUE"""),44706.0)</f>
        <v>44706</v>
      </c>
      <c r="C825" s="207">
        <f>IFERROR(__xludf.DUMMYFUNCTION("""COMPUTED_VALUE"""),0.6912152777777778)</f>
        <v>0.6912152778</v>
      </c>
      <c r="D825" s="50"/>
      <c r="E825" s="58"/>
      <c r="F825" s="58"/>
      <c r="G825" s="58" t="str">
        <f>IFERROR(__xludf.DUMMYFUNCTION("""COMPUTED_VALUE"""),"Null")</f>
        <v>Null</v>
      </c>
      <c r="H825" s="206" t="str">
        <f>IFERROR(__xludf.DUMMYFUNCTION("""COMPUTED_VALUE"""),"Negative")</f>
        <v>Negative</v>
      </c>
      <c r="I825" s="207">
        <f>IFERROR(__xludf.DUMMYFUNCTION("""COMPUTED_VALUE"""),44706.0)</f>
        <v>44706</v>
      </c>
      <c r="J825" s="208">
        <f>IFERROR(__xludf.DUMMYFUNCTION("""COMPUTED_VALUE"""),0.8118402777777778)</f>
        <v>0.8118402778</v>
      </c>
      <c r="K825" s="50">
        <f>IFERROR(__xludf.DUMMYFUNCTION("""COMPUTED_VALUE"""),2.0)</f>
        <v>2</v>
      </c>
      <c r="L825" s="6"/>
      <c r="M825" s="55"/>
      <c r="N825" s="55">
        <f>IFERROR(__xludf.DUMMYFUNCTION("""COMPUTED_VALUE"""),1.0)</f>
        <v>1</v>
      </c>
      <c r="O825" s="55" t="str">
        <f t="shared" si="3"/>
        <v/>
      </c>
      <c r="P825" s="209"/>
      <c r="Q825" s="75" t="b">
        <f>VLOOKUP($B825,'Run Reconcile'!B$2:P1679,15,FALSE)</f>
        <v>1</v>
      </c>
      <c r="R825" s="211" t="str">
        <f t="array" ref="R825">IF($Q825, INDEX('Run Reconcile'!A$2:A1679,MATCH(B825,'Run Reconcile'!B$2:B1679,0),1),IFERROR(0/0,""))</f>
        <v>RUN-COMB_2022-05-25_RFR-045</v>
      </c>
      <c r="S825" s="165" t="str">
        <f t="shared" ref="S825:T825" si="1649">IF(COUNTIF(W$2:W1679, $A825) &gt; 0,TRUE,IFERROR(0/0,""))</f>
        <v/>
      </c>
      <c r="T825" s="165" t="str">
        <f t="shared" si="1649"/>
        <v/>
      </c>
      <c r="U825" s="147" t="str">
        <f t="array" ref="U825">IF(ISBLANK($R825), IF($S825,VLOOKUP($B825+1,'RFR Data - preExcl'!$BF$2:$BG1679,2,FALSE),IF($T825,INDEX('RFR Data - preExcl'!$BF$2:$BG1679,MATCH($B825,'RFR Data - preExcl'!$BF$2:$BF1679,0)+1,2),VLOOKUP($B825,'RFR Data - preExcl'!$BF$2:$BG1679,2,FALSE))),IFERROR(0/0,""))</f>
        <v/>
      </c>
      <c r="V825" s="212" t="str">
        <f t="shared" si="5"/>
        <v>RUN-COMB_2022-05-25_RFR-045</v>
      </c>
      <c r="W825" s="51"/>
      <c r="X825" s="51"/>
      <c r="Y825" s="147" t="str">
        <f t="shared" ref="Y825:Z825" si="1650">IF(_xlfn.ISFORMULA(S825),IFERROR(0/0,""),TRUE)</f>
        <v/>
      </c>
      <c r="Z825" s="147" t="str">
        <f t="shared" si="1650"/>
        <v/>
      </c>
    </row>
    <row r="826">
      <c r="A826" s="6" t="str">
        <f>IFERROR(__xludf.DUMMYFUNCTION("""COMPUTED_VALUE"""),"FM2919")</f>
        <v>FM2919</v>
      </c>
      <c r="B826" s="206">
        <f>IFERROR(__xludf.DUMMYFUNCTION("""COMPUTED_VALUE"""),44706.0)</f>
        <v>44706</v>
      </c>
      <c r="C826" s="207">
        <f>IFERROR(__xludf.DUMMYFUNCTION("""COMPUTED_VALUE"""),0.6981597222222222)</f>
        <v>0.6981597222</v>
      </c>
      <c r="D826" s="50"/>
      <c r="E826" s="58"/>
      <c r="F826" s="58"/>
      <c r="G826" s="58" t="str">
        <f>IFERROR(__xludf.DUMMYFUNCTION("""COMPUTED_VALUE"""),"Null")</f>
        <v>Null</v>
      </c>
      <c r="H826" s="206" t="str">
        <f>IFERROR(__xludf.DUMMYFUNCTION("""COMPUTED_VALUE"""),"Negative")</f>
        <v>Negative</v>
      </c>
      <c r="I826" s="207">
        <f>IFERROR(__xludf.DUMMYFUNCTION("""COMPUTED_VALUE"""),44706.0)</f>
        <v>44706</v>
      </c>
      <c r="J826" s="208">
        <f>IFERROR(__xludf.DUMMYFUNCTION("""COMPUTED_VALUE"""),0.8118518518518518)</f>
        <v>0.8118518519</v>
      </c>
      <c r="K826" s="50">
        <f>IFERROR(__xludf.DUMMYFUNCTION("""COMPUTED_VALUE"""),2.0)</f>
        <v>2</v>
      </c>
      <c r="L826" s="6"/>
      <c r="M826" s="55"/>
      <c r="N826" s="55">
        <f>IFERROR(__xludf.DUMMYFUNCTION("""COMPUTED_VALUE"""),1.0)</f>
        <v>1</v>
      </c>
      <c r="O826" s="55" t="str">
        <f t="shared" si="3"/>
        <v/>
      </c>
      <c r="P826" s="209"/>
      <c r="Q826" s="75" t="b">
        <f>VLOOKUP($B826,'Run Reconcile'!B$2:P1679,15,FALSE)</f>
        <v>1</v>
      </c>
      <c r="R826" s="211" t="str">
        <f t="array" ref="R826">IF($Q826, INDEX('Run Reconcile'!A$2:A1679,MATCH(B826,'Run Reconcile'!B$2:B1679,0),1),IFERROR(0/0,""))</f>
        <v>RUN-COMB_2022-05-25_RFR-045</v>
      </c>
      <c r="S826" s="165" t="str">
        <f t="shared" ref="S826:T826" si="1651">IF(COUNTIF(W$2:W1679, $A826) &gt; 0,TRUE,IFERROR(0/0,""))</f>
        <v/>
      </c>
      <c r="T826" s="165" t="str">
        <f t="shared" si="1651"/>
        <v/>
      </c>
      <c r="U826" s="147" t="str">
        <f t="array" ref="U826">IF(ISBLANK($R826), IF($S826,VLOOKUP($B826+1,'RFR Data - preExcl'!$BF$2:$BG1679,2,FALSE),IF($T826,INDEX('RFR Data - preExcl'!$BF$2:$BG1679,MATCH($B826,'RFR Data - preExcl'!$BF$2:$BF1679,0)+1,2),VLOOKUP($B826,'RFR Data - preExcl'!$BF$2:$BG1679,2,FALSE))),IFERROR(0/0,""))</f>
        <v/>
      </c>
      <c r="V826" s="212" t="str">
        <f t="shared" si="5"/>
        <v>RUN-COMB_2022-05-25_RFR-045</v>
      </c>
      <c r="W826" s="51"/>
      <c r="X826" s="51"/>
      <c r="Y826" s="147" t="str">
        <f t="shared" ref="Y826:Z826" si="1652">IF(_xlfn.ISFORMULA(S826),IFERROR(0/0,""),TRUE)</f>
        <v/>
      </c>
      <c r="Z826" s="147" t="str">
        <f t="shared" si="1652"/>
        <v/>
      </c>
    </row>
    <row r="827">
      <c r="A827" s="6" t="str">
        <f>IFERROR(__xludf.DUMMYFUNCTION("""COMPUTED_VALUE"""),"FM3000")</f>
        <v>FM3000</v>
      </c>
      <c r="B827" s="206">
        <f>IFERROR(__xludf.DUMMYFUNCTION("""COMPUTED_VALUE"""),44706.0)</f>
        <v>44706</v>
      </c>
      <c r="C827" s="207">
        <f>IFERROR(__xludf.DUMMYFUNCTION("""COMPUTED_VALUE"""),0.6986805555555555)</f>
        <v>0.6986805556</v>
      </c>
      <c r="D827" s="50"/>
      <c r="E827" s="58"/>
      <c r="F827" s="58"/>
      <c r="G827" s="58" t="str">
        <f>IFERROR(__xludf.DUMMYFUNCTION("""COMPUTED_VALUE"""),"Null")</f>
        <v>Null</v>
      </c>
      <c r="H827" s="206" t="str">
        <f>IFERROR(__xludf.DUMMYFUNCTION("""COMPUTED_VALUE"""),"Negative")</f>
        <v>Negative</v>
      </c>
      <c r="I827" s="207">
        <f>IFERROR(__xludf.DUMMYFUNCTION("""COMPUTED_VALUE"""),44706.0)</f>
        <v>44706</v>
      </c>
      <c r="J827" s="208">
        <f>IFERROR(__xludf.DUMMYFUNCTION("""COMPUTED_VALUE"""),0.811863425925926)</f>
        <v>0.8118634259</v>
      </c>
      <c r="K827" s="50">
        <f>IFERROR(__xludf.DUMMYFUNCTION("""COMPUTED_VALUE"""),2.0)</f>
        <v>2</v>
      </c>
      <c r="L827" s="6"/>
      <c r="M827" s="55"/>
      <c r="N827" s="55">
        <f>IFERROR(__xludf.DUMMYFUNCTION("""COMPUTED_VALUE"""),1.0)</f>
        <v>1</v>
      </c>
      <c r="O827" s="55" t="str">
        <f t="shared" si="3"/>
        <v/>
      </c>
      <c r="P827" s="209"/>
      <c r="Q827" s="75" t="b">
        <f>VLOOKUP($B827,'Run Reconcile'!B$2:P1679,15,FALSE)</f>
        <v>1</v>
      </c>
      <c r="R827" s="211" t="str">
        <f t="array" ref="R827">IF($Q827, INDEX('Run Reconcile'!A$2:A1679,MATCH(B827,'Run Reconcile'!B$2:B1679,0),1),IFERROR(0/0,""))</f>
        <v>RUN-COMB_2022-05-25_RFR-045</v>
      </c>
      <c r="S827" s="165" t="str">
        <f t="shared" ref="S827:T827" si="1653">IF(COUNTIF(W$2:W1679, $A827) &gt; 0,TRUE,IFERROR(0/0,""))</f>
        <v/>
      </c>
      <c r="T827" s="165" t="str">
        <f t="shared" si="1653"/>
        <v/>
      </c>
      <c r="U827" s="147" t="str">
        <f t="array" ref="U827">IF(ISBLANK($R827), IF($S827,VLOOKUP($B827+1,'RFR Data - preExcl'!$BF$2:$BG1679,2,FALSE),IF($T827,INDEX('RFR Data - preExcl'!$BF$2:$BG1679,MATCH($B827,'RFR Data - preExcl'!$BF$2:$BF1679,0)+1,2),VLOOKUP($B827,'RFR Data - preExcl'!$BF$2:$BG1679,2,FALSE))),IFERROR(0/0,""))</f>
        <v/>
      </c>
      <c r="V827" s="212" t="str">
        <f t="shared" si="5"/>
        <v>RUN-COMB_2022-05-25_RFR-045</v>
      </c>
      <c r="W827" s="51"/>
      <c r="X827" s="51"/>
      <c r="Y827" s="147" t="str">
        <f t="shared" ref="Y827:Z827" si="1654">IF(_xlfn.ISFORMULA(S827),IFERROR(0/0,""),TRUE)</f>
        <v/>
      </c>
      <c r="Z827" s="147" t="str">
        <f t="shared" si="1654"/>
        <v/>
      </c>
    </row>
    <row r="828">
      <c r="A828" s="6" t="str">
        <f>IFERROR(__xludf.DUMMYFUNCTION("""COMPUTED_VALUE"""),"FM2952")</f>
        <v>FM2952</v>
      </c>
      <c r="B828" s="206">
        <f>IFERROR(__xludf.DUMMYFUNCTION("""COMPUTED_VALUE"""),44706.0)</f>
        <v>44706</v>
      </c>
      <c r="C828" s="207">
        <f>IFERROR(__xludf.DUMMYFUNCTION("""COMPUTED_VALUE"""),0.6996064814814815)</f>
        <v>0.6996064815</v>
      </c>
      <c r="D828" s="50"/>
      <c r="E828" s="58"/>
      <c r="F828" s="58"/>
      <c r="G828" s="58" t="str">
        <f>IFERROR(__xludf.DUMMYFUNCTION("""COMPUTED_VALUE"""),"Null")</f>
        <v>Null</v>
      </c>
      <c r="H828" s="206" t="str">
        <f>IFERROR(__xludf.DUMMYFUNCTION("""COMPUTED_VALUE"""),"Negative")</f>
        <v>Negative</v>
      </c>
      <c r="I828" s="207">
        <f>IFERROR(__xludf.DUMMYFUNCTION("""COMPUTED_VALUE"""),44706.0)</f>
        <v>44706</v>
      </c>
      <c r="J828" s="208">
        <f>IFERROR(__xludf.DUMMYFUNCTION("""COMPUTED_VALUE"""),0.811886574074074)</f>
        <v>0.8118865741</v>
      </c>
      <c r="K828" s="50">
        <f>IFERROR(__xludf.DUMMYFUNCTION("""COMPUTED_VALUE"""),2.0)</f>
        <v>2</v>
      </c>
      <c r="L828" s="6"/>
      <c r="M828" s="55"/>
      <c r="N828" s="55">
        <f>IFERROR(__xludf.DUMMYFUNCTION("""COMPUTED_VALUE"""),1.0)</f>
        <v>1</v>
      </c>
      <c r="O828" s="55" t="str">
        <f t="shared" si="3"/>
        <v/>
      </c>
      <c r="P828" s="209"/>
      <c r="Q828" s="75" t="b">
        <f>VLOOKUP($B828,'Run Reconcile'!B$2:P1679,15,FALSE)</f>
        <v>1</v>
      </c>
      <c r="R828" s="211" t="str">
        <f t="array" ref="R828">IF($Q828, INDEX('Run Reconcile'!A$2:A1679,MATCH(B828,'Run Reconcile'!B$2:B1679,0),1),IFERROR(0/0,""))</f>
        <v>RUN-COMB_2022-05-25_RFR-045</v>
      </c>
      <c r="S828" s="165" t="str">
        <f t="shared" ref="S828:T828" si="1655">IF(COUNTIF(W$2:W1679, $A828) &gt; 0,TRUE,IFERROR(0/0,""))</f>
        <v/>
      </c>
      <c r="T828" s="165" t="str">
        <f t="shared" si="1655"/>
        <v/>
      </c>
      <c r="U828" s="147" t="str">
        <f t="array" ref="U828">IF(ISBLANK($R828), IF($S828,VLOOKUP($B828+1,'RFR Data - preExcl'!$BF$2:$BG1679,2,FALSE),IF($T828,INDEX('RFR Data - preExcl'!$BF$2:$BG1679,MATCH($B828,'RFR Data - preExcl'!$BF$2:$BF1679,0)+1,2),VLOOKUP($B828,'RFR Data - preExcl'!$BF$2:$BG1679,2,FALSE))),IFERROR(0/0,""))</f>
        <v/>
      </c>
      <c r="V828" s="212" t="str">
        <f t="shared" si="5"/>
        <v>RUN-COMB_2022-05-25_RFR-045</v>
      </c>
      <c r="W828" s="51"/>
      <c r="X828" s="51"/>
      <c r="Y828" s="147" t="str">
        <f t="shared" ref="Y828:Z828" si="1656">IF(_xlfn.ISFORMULA(S828),IFERROR(0/0,""),TRUE)</f>
        <v/>
      </c>
      <c r="Z828" s="147" t="str">
        <f t="shared" si="1656"/>
        <v/>
      </c>
    </row>
    <row r="829">
      <c r="A829" s="6" t="str">
        <f>IFERROR(__xludf.DUMMYFUNCTION("""COMPUTED_VALUE"""),"FM2951")</f>
        <v>FM2951</v>
      </c>
      <c r="B829" s="206">
        <f>IFERROR(__xludf.DUMMYFUNCTION("""COMPUTED_VALUE"""),44706.0)</f>
        <v>44706</v>
      </c>
      <c r="C829" s="207">
        <f>IFERROR(__xludf.DUMMYFUNCTION("""COMPUTED_VALUE"""),0.7002430555555555)</f>
        <v>0.7002430556</v>
      </c>
      <c r="D829" s="50"/>
      <c r="E829" s="58"/>
      <c r="F829" s="58"/>
      <c r="G829" s="58" t="str">
        <f>IFERROR(__xludf.DUMMYFUNCTION("""COMPUTED_VALUE"""),"Null")</f>
        <v>Null</v>
      </c>
      <c r="H829" s="206" t="str">
        <f>IFERROR(__xludf.DUMMYFUNCTION("""COMPUTED_VALUE"""),"Negative")</f>
        <v>Negative</v>
      </c>
      <c r="I829" s="207">
        <f>IFERROR(__xludf.DUMMYFUNCTION("""COMPUTED_VALUE"""),44706.0)</f>
        <v>44706</v>
      </c>
      <c r="J829" s="208">
        <f>IFERROR(__xludf.DUMMYFUNCTION("""COMPUTED_VALUE"""),0.8119097222222222)</f>
        <v>0.8119097222</v>
      </c>
      <c r="K829" s="50">
        <f>IFERROR(__xludf.DUMMYFUNCTION("""COMPUTED_VALUE"""),2.0)</f>
        <v>2</v>
      </c>
      <c r="L829" s="6"/>
      <c r="M829" s="55"/>
      <c r="N829" s="55">
        <f>IFERROR(__xludf.DUMMYFUNCTION("""COMPUTED_VALUE"""),1.0)</f>
        <v>1</v>
      </c>
      <c r="O829" s="55" t="str">
        <f t="shared" si="3"/>
        <v/>
      </c>
      <c r="P829" s="209"/>
      <c r="Q829" s="75" t="b">
        <f>VLOOKUP($B829,'Run Reconcile'!B$2:P1679,15,FALSE)</f>
        <v>1</v>
      </c>
      <c r="R829" s="211" t="str">
        <f t="array" ref="R829">IF($Q829, INDEX('Run Reconcile'!A$2:A1679,MATCH(B829,'Run Reconcile'!B$2:B1679,0),1),IFERROR(0/0,""))</f>
        <v>RUN-COMB_2022-05-25_RFR-045</v>
      </c>
      <c r="S829" s="165" t="str">
        <f t="shared" ref="S829:T829" si="1657">IF(COUNTIF(W$2:W1679, $A829) &gt; 0,TRUE,IFERROR(0/0,""))</f>
        <v/>
      </c>
      <c r="T829" s="165" t="str">
        <f t="shared" si="1657"/>
        <v/>
      </c>
      <c r="U829" s="147" t="str">
        <f t="array" ref="U829">IF(ISBLANK($R829), IF($S829,VLOOKUP($B829+1,'RFR Data - preExcl'!$BF$2:$BG1679,2,FALSE),IF($T829,INDEX('RFR Data - preExcl'!$BF$2:$BG1679,MATCH($B829,'RFR Data - preExcl'!$BF$2:$BF1679,0)+1,2),VLOOKUP($B829,'RFR Data - preExcl'!$BF$2:$BG1679,2,FALSE))),IFERROR(0/0,""))</f>
        <v/>
      </c>
      <c r="V829" s="212" t="str">
        <f t="shared" si="5"/>
        <v>RUN-COMB_2022-05-25_RFR-045</v>
      </c>
      <c r="W829" s="51"/>
      <c r="X829" s="51"/>
      <c r="Y829" s="147" t="str">
        <f t="shared" ref="Y829:Z829" si="1658">IF(_xlfn.ISFORMULA(S829),IFERROR(0/0,""),TRUE)</f>
        <v/>
      </c>
      <c r="Z829" s="147" t="str">
        <f t="shared" si="1658"/>
        <v/>
      </c>
    </row>
    <row r="830">
      <c r="A830" s="6" t="str">
        <f>IFERROR(__xludf.DUMMYFUNCTION("""COMPUTED_VALUE"""),"FM2984")</f>
        <v>FM2984</v>
      </c>
      <c r="B830" s="206">
        <f>IFERROR(__xludf.DUMMYFUNCTION("""COMPUTED_VALUE"""),44706.0)</f>
        <v>44706</v>
      </c>
      <c r="C830" s="207">
        <f>IFERROR(__xludf.DUMMYFUNCTION("""COMPUTED_VALUE"""),0.7016898148148148)</f>
        <v>0.7016898148</v>
      </c>
      <c r="D830" s="50"/>
      <c r="E830" s="58"/>
      <c r="F830" s="58"/>
      <c r="G830" s="58" t="str">
        <f>IFERROR(__xludf.DUMMYFUNCTION("""COMPUTED_VALUE"""),"Null")</f>
        <v>Null</v>
      </c>
      <c r="H830" s="206" t="str">
        <f>IFERROR(__xludf.DUMMYFUNCTION("""COMPUTED_VALUE"""),"Negative")</f>
        <v>Negative</v>
      </c>
      <c r="I830" s="207">
        <f>IFERROR(__xludf.DUMMYFUNCTION("""COMPUTED_VALUE"""),44706.0)</f>
        <v>44706</v>
      </c>
      <c r="J830" s="208">
        <f>IFERROR(__xludf.DUMMYFUNCTION("""COMPUTED_VALUE"""),0.8119907407407407)</f>
        <v>0.8119907407</v>
      </c>
      <c r="K830" s="50">
        <f>IFERROR(__xludf.DUMMYFUNCTION("""COMPUTED_VALUE"""),2.0)</f>
        <v>2</v>
      </c>
      <c r="L830" s="6"/>
      <c r="M830" s="55"/>
      <c r="N830" s="55">
        <f>IFERROR(__xludf.DUMMYFUNCTION("""COMPUTED_VALUE"""),1.0)</f>
        <v>1</v>
      </c>
      <c r="O830" s="55" t="str">
        <f t="shared" si="3"/>
        <v/>
      </c>
      <c r="P830" s="209"/>
      <c r="Q830" s="75" t="b">
        <f>VLOOKUP($B830,'Run Reconcile'!B$2:P1679,15,FALSE)</f>
        <v>1</v>
      </c>
      <c r="R830" s="211" t="str">
        <f t="array" ref="R830">IF($Q830, INDEX('Run Reconcile'!A$2:A1679,MATCH(B830,'Run Reconcile'!B$2:B1679,0),1),IFERROR(0/0,""))</f>
        <v>RUN-COMB_2022-05-25_RFR-045</v>
      </c>
      <c r="S830" s="165" t="str">
        <f t="shared" ref="S830:T830" si="1659">IF(COUNTIF(W$2:W1679, $A830) &gt; 0,TRUE,IFERROR(0/0,""))</f>
        <v/>
      </c>
      <c r="T830" s="165" t="str">
        <f t="shared" si="1659"/>
        <v/>
      </c>
      <c r="U830" s="147" t="str">
        <f t="array" ref="U830">IF(ISBLANK($R830), IF($S830,VLOOKUP($B830+1,'RFR Data - preExcl'!$BF$2:$BG1679,2,FALSE),IF($T830,INDEX('RFR Data - preExcl'!$BF$2:$BG1679,MATCH($B830,'RFR Data - preExcl'!$BF$2:$BF1679,0)+1,2),VLOOKUP($B830,'RFR Data - preExcl'!$BF$2:$BG1679,2,FALSE))),IFERROR(0/0,""))</f>
        <v/>
      </c>
      <c r="V830" s="212" t="str">
        <f t="shared" si="5"/>
        <v>RUN-COMB_2022-05-25_RFR-045</v>
      </c>
      <c r="W830" s="51"/>
      <c r="X830" s="51"/>
      <c r="Y830" s="147" t="str">
        <f t="shared" ref="Y830:Z830" si="1660">IF(_xlfn.ISFORMULA(S830),IFERROR(0/0,""),TRUE)</f>
        <v/>
      </c>
      <c r="Z830" s="147" t="str">
        <f t="shared" si="1660"/>
        <v/>
      </c>
    </row>
    <row r="831">
      <c r="A831" s="6" t="str">
        <f>IFERROR(__xludf.DUMMYFUNCTION("""COMPUTED_VALUE"""),"FM2910")</f>
        <v>FM2910</v>
      </c>
      <c r="B831" s="206">
        <f>IFERROR(__xludf.DUMMYFUNCTION("""COMPUTED_VALUE"""),44706.0)</f>
        <v>44706</v>
      </c>
      <c r="C831" s="207">
        <f>IFERROR(__xludf.DUMMYFUNCTION("""COMPUTED_VALUE"""),0.7027430555555556)</f>
        <v>0.7027430556</v>
      </c>
      <c r="D831" s="50"/>
      <c r="E831" s="58"/>
      <c r="F831" s="58"/>
      <c r="G831" s="58" t="str">
        <f>IFERROR(__xludf.DUMMYFUNCTION("""COMPUTED_VALUE"""),"Null")</f>
        <v>Null</v>
      </c>
      <c r="H831" s="206" t="str">
        <f>IFERROR(__xludf.DUMMYFUNCTION("""COMPUTED_VALUE"""),"Negative")</f>
        <v>Negative</v>
      </c>
      <c r="I831" s="207">
        <f>IFERROR(__xludf.DUMMYFUNCTION("""COMPUTED_VALUE"""),44706.0)</f>
        <v>44706</v>
      </c>
      <c r="J831" s="208">
        <f>IFERROR(__xludf.DUMMYFUNCTION("""COMPUTED_VALUE"""),0.812037037037037)</f>
        <v>0.812037037</v>
      </c>
      <c r="K831" s="50">
        <f>IFERROR(__xludf.DUMMYFUNCTION("""COMPUTED_VALUE"""),2.0)</f>
        <v>2</v>
      </c>
      <c r="L831" s="6"/>
      <c r="M831" s="55"/>
      <c r="N831" s="55">
        <f>IFERROR(__xludf.DUMMYFUNCTION("""COMPUTED_VALUE"""),1.0)</f>
        <v>1</v>
      </c>
      <c r="O831" s="55" t="str">
        <f t="shared" si="3"/>
        <v/>
      </c>
      <c r="P831" s="209"/>
      <c r="Q831" s="75" t="b">
        <f>VLOOKUP($B831,'Run Reconcile'!B$2:P1679,15,FALSE)</f>
        <v>1</v>
      </c>
      <c r="R831" s="211" t="str">
        <f t="array" ref="R831">IF($Q831, INDEX('Run Reconcile'!A$2:A1679,MATCH(B831,'Run Reconcile'!B$2:B1679,0),1),IFERROR(0/0,""))</f>
        <v>RUN-COMB_2022-05-25_RFR-045</v>
      </c>
      <c r="S831" s="165" t="str">
        <f t="shared" ref="S831:T831" si="1661">IF(COUNTIF(W$2:W1679, $A831) &gt; 0,TRUE,IFERROR(0/0,""))</f>
        <v/>
      </c>
      <c r="T831" s="165" t="str">
        <f t="shared" si="1661"/>
        <v/>
      </c>
      <c r="U831" s="147" t="str">
        <f t="array" ref="U831">IF(ISBLANK($R831), IF($S831,VLOOKUP($B831+1,'RFR Data - preExcl'!$BF$2:$BG1679,2,FALSE),IF($T831,INDEX('RFR Data - preExcl'!$BF$2:$BG1679,MATCH($B831,'RFR Data - preExcl'!$BF$2:$BF1679,0)+1,2),VLOOKUP($B831,'RFR Data - preExcl'!$BF$2:$BG1679,2,FALSE))),IFERROR(0/0,""))</f>
        <v/>
      </c>
      <c r="V831" s="212" t="str">
        <f t="shared" si="5"/>
        <v>RUN-COMB_2022-05-25_RFR-045</v>
      </c>
      <c r="W831" s="51"/>
      <c r="X831" s="51"/>
      <c r="Y831" s="147" t="str">
        <f t="shared" ref="Y831:Z831" si="1662">IF(_xlfn.ISFORMULA(S831),IFERROR(0/0,""),TRUE)</f>
        <v/>
      </c>
      <c r="Z831" s="147" t="str">
        <f t="shared" si="1662"/>
        <v/>
      </c>
    </row>
    <row r="832">
      <c r="A832" s="6" t="str">
        <f>IFERROR(__xludf.DUMMYFUNCTION("""COMPUTED_VALUE"""),"FM2949")</f>
        <v>FM2949</v>
      </c>
      <c r="B832" s="206">
        <f>IFERROR(__xludf.DUMMYFUNCTION("""COMPUTED_VALUE"""),44706.0)</f>
        <v>44706</v>
      </c>
      <c r="C832" s="207">
        <f>IFERROR(__xludf.DUMMYFUNCTION("""COMPUTED_VALUE"""),0.7047106481481481)</f>
        <v>0.7047106481</v>
      </c>
      <c r="D832" s="50"/>
      <c r="E832" s="58"/>
      <c r="F832" s="58"/>
      <c r="G832" s="58" t="str">
        <f>IFERROR(__xludf.DUMMYFUNCTION("""COMPUTED_VALUE"""),"Null")</f>
        <v>Null</v>
      </c>
      <c r="H832" s="206" t="str">
        <f>IFERROR(__xludf.DUMMYFUNCTION("""COMPUTED_VALUE"""),"Negative")</f>
        <v>Negative</v>
      </c>
      <c r="I832" s="207">
        <f>IFERROR(__xludf.DUMMYFUNCTION("""COMPUTED_VALUE"""),44706.0)</f>
        <v>44706</v>
      </c>
      <c r="J832" s="208">
        <f>IFERROR(__xludf.DUMMYFUNCTION("""COMPUTED_VALUE"""),0.8120486111111112)</f>
        <v>0.8120486111</v>
      </c>
      <c r="K832" s="50">
        <f>IFERROR(__xludf.DUMMYFUNCTION("""COMPUTED_VALUE"""),2.0)</f>
        <v>2</v>
      </c>
      <c r="L832" s="6"/>
      <c r="M832" s="55"/>
      <c r="N832" s="55">
        <f>IFERROR(__xludf.DUMMYFUNCTION("""COMPUTED_VALUE"""),1.0)</f>
        <v>1</v>
      </c>
      <c r="O832" s="55" t="str">
        <f t="shared" si="3"/>
        <v/>
      </c>
      <c r="P832" s="209"/>
      <c r="Q832" s="75" t="b">
        <f>VLOOKUP($B832,'Run Reconcile'!B$2:P1679,15,FALSE)</f>
        <v>1</v>
      </c>
      <c r="R832" s="211" t="str">
        <f t="array" ref="R832">IF($Q832, INDEX('Run Reconcile'!A$2:A1679,MATCH(B832,'Run Reconcile'!B$2:B1679,0),1),IFERROR(0/0,""))</f>
        <v>RUN-COMB_2022-05-25_RFR-045</v>
      </c>
      <c r="S832" s="165" t="str">
        <f t="shared" ref="S832:T832" si="1663">IF(COUNTIF(W$2:W1679, $A832) &gt; 0,TRUE,IFERROR(0/0,""))</f>
        <v/>
      </c>
      <c r="T832" s="165" t="str">
        <f t="shared" si="1663"/>
        <v/>
      </c>
      <c r="U832" s="147" t="str">
        <f t="array" ref="U832">IF(ISBLANK($R832), IF($S832,VLOOKUP($B832+1,'RFR Data - preExcl'!$BF$2:$BG1679,2,FALSE),IF($T832,INDEX('RFR Data - preExcl'!$BF$2:$BG1679,MATCH($B832,'RFR Data - preExcl'!$BF$2:$BF1679,0)+1,2),VLOOKUP($B832,'RFR Data - preExcl'!$BF$2:$BG1679,2,FALSE))),IFERROR(0/0,""))</f>
        <v/>
      </c>
      <c r="V832" s="212" t="str">
        <f t="shared" si="5"/>
        <v>RUN-COMB_2022-05-25_RFR-045</v>
      </c>
      <c r="W832" s="51"/>
      <c r="X832" s="51"/>
      <c r="Y832" s="147" t="str">
        <f t="shared" ref="Y832:Z832" si="1664">IF(_xlfn.ISFORMULA(S832),IFERROR(0/0,""),TRUE)</f>
        <v/>
      </c>
      <c r="Z832" s="147" t="str">
        <f t="shared" si="1664"/>
        <v/>
      </c>
    </row>
    <row r="833">
      <c r="A833" s="6" t="str">
        <f>IFERROR(__xludf.DUMMYFUNCTION("""COMPUTED_VALUE"""),"FM2993")</f>
        <v>FM2993</v>
      </c>
      <c r="B833" s="206">
        <f>IFERROR(__xludf.DUMMYFUNCTION("""COMPUTED_VALUE"""),44706.0)</f>
        <v>44706</v>
      </c>
      <c r="C833" s="207">
        <f>IFERROR(__xludf.DUMMYFUNCTION("""COMPUTED_VALUE"""),0.7051041666666666)</f>
        <v>0.7051041667</v>
      </c>
      <c r="D833" s="50"/>
      <c r="E833" s="58"/>
      <c r="F833" s="58"/>
      <c r="G833" s="58" t="str">
        <f>IFERROR(__xludf.DUMMYFUNCTION("""COMPUTED_VALUE"""),"Null")</f>
        <v>Null</v>
      </c>
      <c r="H833" s="206" t="str">
        <f>IFERROR(__xludf.DUMMYFUNCTION("""COMPUTED_VALUE"""),"Negative")</f>
        <v>Negative</v>
      </c>
      <c r="I833" s="207">
        <f>IFERROR(__xludf.DUMMYFUNCTION("""COMPUTED_VALUE"""),44706.0)</f>
        <v>44706</v>
      </c>
      <c r="J833" s="208">
        <f>IFERROR(__xludf.DUMMYFUNCTION("""COMPUTED_VALUE"""),0.8120601851851852)</f>
        <v>0.8120601852</v>
      </c>
      <c r="K833" s="50">
        <f>IFERROR(__xludf.DUMMYFUNCTION("""COMPUTED_VALUE"""),2.0)</f>
        <v>2</v>
      </c>
      <c r="L833" s="6"/>
      <c r="M833" s="55"/>
      <c r="N833" s="55">
        <f>IFERROR(__xludf.DUMMYFUNCTION("""COMPUTED_VALUE"""),1.0)</f>
        <v>1</v>
      </c>
      <c r="O833" s="55" t="str">
        <f t="shared" si="3"/>
        <v/>
      </c>
      <c r="P833" s="209"/>
      <c r="Q833" s="75" t="b">
        <f>VLOOKUP($B833,'Run Reconcile'!B$2:P1679,15,FALSE)</f>
        <v>1</v>
      </c>
      <c r="R833" s="211" t="str">
        <f t="array" ref="R833">IF($Q833, INDEX('Run Reconcile'!A$2:A1679,MATCH(B833,'Run Reconcile'!B$2:B1679,0),1),IFERROR(0/0,""))</f>
        <v>RUN-COMB_2022-05-25_RFR-045</v>
      </c>
      <c r="S833" s="165" t="str">
        <f t="shared" ref="S833:T833" si="1665">IF(COUNTIF(W$2:W1679, $A833) &gt; 0,TRUE,IFERROR(0/0,""))</f>
        <v/>
      </c>
      <c r="T833" s="165" t="str">
        <f t="shared" si="1665"/>
        <v/>
      </c>
      <c r="U833" s="147" t="str">
        <f t="array" ref="U833">IF(ISBLANK($R833), IF($S833,VLOOKUP($B833+1,'RFR Data - preExcl'!$BF$2:$BG1679,2,FALSE),IF($T833,INDEX('RFR Data - preExcl'!$BF$2:$BG1679,MATCH($B833,'RFR Data - preExcl'!$BF$2:$BF1679,0)+1,2),VLOOKUP($B833,'RFR Data - preExcl'!$BF$2:$BG1679,2,FALSE))),IFERROR(0/0,""))</f>
        <v/>
      </c>
      <c r="V833" s="212" t="str">
        <f t="shared" si="5"/>
        <v>RUN-COMB_2022-05-25_RFR-045</v>
      </c>
      <c r="W833" s="51"/>
      <c r="X833" s="51"/>
      <c r="Y833" s="147" t="str">
        <f t="shared" ref="Y833:Z833" si="1666">IF(_xlfn.ISFORMULA(S833),IFERROR(0/0,""),TRUE)</f>
        <v/>
      </c>
      <c r="Z833" s="147" t="str">
        <f t="shared" si="1666"/>
        <v/>
      </c>
    </row>
    <row r="834">
      <c r="A834" s="6" t="str">
        <f>IFERROR(__xludf.DUMMYFUNCTION("""COMPUTED_VALUE"""),"FM2978")</f>
        <v>FM2978</v>
      </c>
      <c r="B834" s="206">
        <f>IFERROR(__xludf.DUMMYFUNCTION("""COMPUTED_VALUE"""),44706.0)</f>
        <v>44706</v>
      </c>
      <c r="C834" s="207">
        <f>IFERROR(__xludf.DUMMYFUNCTION("""COMPUTED_VALUE"""),0.7064583333333333)</f>
        <v>0.7064583333</v>
      </c>
      <c r="D834" s="50"/>
      <c r="E834" s="58"/>
      <c r="F834" s="58"/>
      <c r="G834" s="58" t="str">
        <f>IFERROR(__xludf.DUMMYFUNCTION("""COMPUTED_VALUE"""),"Null")</f>
        <v>Null</v>
      </c>
      <c r="H834" s="206" t="str">
        <f>IFERROR(__xludf.DUMMYFUNCTION("""COMPUTED_VALUE"""),"Negative")</f>
        <v>Negative</v>
      </c>
      <c r="I834" s="207">
        <f>IFERROR(__xludf.DUMMYFUNCTION("""COMPUTED_VALUE"""),44706.0)</f>
        <v>44706</v>
      </c>
      <c r="J834" s="208">
        <f>IFERROR(__xludf.DUMMYFUNCTION("""COMPUTED_VALUE"""),0.8120949074074074)</f>
        <v>0.8120949074</v>
      </c>
      <c r="K834" s="50">
        <f>IFERROR(__xludf.DUMMYFUNCTION("""COMPUTED_VALUE"""),2.0)</f>
        <v>2</v>
      </c>
      <c r="L834" s="6"/>
      <c r="M834" s="55"/>
      <c r="N834" s="55">
        <f>IFERROR(__xludf.DUMMYFUNCTION("""COMPUTED_VALUE"""),1.0)</f>
        <v>1</v>
      </c>
      <c r="O834" s="55" t="str">
        <f t="shared" si="3"/>
        <v/>
      </c>
      <c r="P834" s="209"/>
      <c r="Q834" s="75" t="b">
        <f>VLOOKUP($B834,'Run Reconcile'!B$2:P1679,15,FALSE)</f>
        <v>1</v>
      </c>
      <c r="R834" s="211" t="str">
        <f t="array" ref="R834">IF($Q834, INDEX('Run Reconcile'!A$2:A1679,MATCH(B834,'Run Reconcile'!B$2:B1679,0),1),IFERROR(0/0,""))</f>
        <v>RUN-COMB_2022-05-25_RFR-045</v>
      </c>
      <c r="S834" s="165" t="str">
        <f t="shared" ref="S834:T834" si="1667">IF(COUNTIF(W$2:W1679, $A834) &gt; 0,TRUE,IFERROR(0/0,""))</f>
        <v/>
      </c>
      <c r="T834" s="165" t="str">
        <f t="shared" si="1667"/>
        <v/>
      </c>
      <c r="U834" s="147" t="str">
        <f t="array" ref="U834">IF(ISBLANK($R834), IF($S834,VLOOKUP($B834+1,'RFR Data - preExcl'!$BF$2:$BG1679,2,FALSE),IF($T834,INDEX('RFR Data - preExcl'!$BF$2:$BG1679,MATCH($B834,'RFR Data - preExcl'!$BF$2:$BF1679,0)+1,2),VLOOKUP($B834,'RFR Data - preExcl'!$BF$2:$BG1679,2,FALSE))),IFERROR(0/0,""))</f>
        <v/>
      </c>
      <c r="V834" s="212" t="str">
        <f t="shared" si="5"/>
        <v>RUN-COMB_2022-05-25_RFR-045</v>
      </c>
      <c r="W834" s="51"/>
      <c r="X834" s="51"/>
      <c r="Y834" s="147" t="str">
        <f t="shared" ref="Y834:Z834" si="1668">IF(_xlfn.ISFORMULA(S834),IFERROR(0/0,""),TRUE)</f>
        <v/>
      </c>
      <c r="Z834" s="147" t="str">
        <f t="shared" si="1668"/>
        <v/>
      </c>
    </row>
    <row r="835">
      <c r="A835" s="6" t="str">
        <f>IFERROR(__xludf.DUMMYFUNCTION("""COMPUTED_VALUE"""),"FM2941")</f>
        <v>FM2941</v>
      </c>
      <c r="B835" s="206">
        <f>IFERROR(__xludf.DUMMYFUNCTION("""COMPUTED_VALUE"""),44706.0)</f>
        <v>44706</v>
      </c>
      <c r="C835" s="207">
        <f>IFERROR(__xludf.DUMMYFUNCTION("""COMPUTED_VALUE"""),0.7078240740740741)</f>
        <v>0.7078240741</v>
      </c>
      <c r="D835" s="50"/>
      <c r="E835" s="58"/>
      <c r="F835" s="58"/>
      <c r="G835" s="58" t="str">
        <f>IFERROR(__xludf.DUMMYFUNCTION("""COMPUTED_VALUE"""),"Null")</f>
        <v>Null</v>
      </c>
      <c r="H835" s="206" t="str">
        <f>IFERROR(__xludf.DUMMYFUNCTION("""COMPUTED_VALUE"""),"Negative")</f>
        <v>Negative</v>
      </c>
      <c r="I835" s="207">
        <f>IFERROR(__xludf.DUMMYFUNCTION("""COMPUTED_VALUE"""),44706.0)</f>
        <v>44706</v>
      </c>
      <c r="J835" s="208">
        <f>IFERROR(__xludf.DUMMYFUNCTION("""COMPUTED_VALUE"""),0.8121180555555556)</f>
        <v>0.8121180556</v>
      </c>
      <c r="K835" s="50">
        <f>IFERROR(__xludf.DUMMYFUNCTION("""COMPUTED_VALUE"""),2.0)</f>
        <v>2</v>
      </c>
      <c r="L835" s="6"/>
      <c r="M835" s="55"/>
      <c r="N835" s="55">
        <f>IFERROR(__xludf.DUMMYFUNCTION("""COMPUTED_VALUE"""),1.0)</f>
        <v>1</v>
      </c>
      <c r="O835" s="55" t="str">
        <f t="shared" si="3"/>
        <v/>
      </c>
      <c r="P835" s="209"/>
      <c r="Q835" s="75" t="b">
        <f>VLOOKUP($B835,'Run Reconcile'!B$2:P1679,15,FALSE)</f>
        <v>1</v>
      </c>
      <c r="R835" s="211" t="str">
        <f t="array" ref="R835">IF($Q835, INDEX('Run Reconcile'!A$2:A1679,MATCH(B835,'Run Reconcile'!B$2:B1679,0),1),IFERROR(0/0,""))</f>
        <v>RUN-COMB_2022-05-25_RFR-045</v>
      </c>
      <c r="S835" s="165" t="str">
        <f t="shared" ref="S835:T835" si="1669">IF(COUNTIF(W$2:W1679, $A835) &gt; 0,TRUE,IFERROR(0/0,""))</f>
        <v/>
      </c>
      <c r="T835" s="165" t="str">
        <f t="shared" si="1669"/>
        <v/>
      </c>
      <c r="U835" s="147" t="str">
        <f t="array" ref="U835">IF(ISBLANK($R835), IF($S835,VLOOKUP($B835+1,'RFR Data - preExcl'!$BF$2:$BG1679,2,FALSE),IF($T835,INDEX('RFR Data - preExcl'!$BF$2:$BG1679,MATCH($B835,'RFR Data - preExcl'!$BF$2:$BF1679,0)+1,2),VLOOKUP($B835,'RFR Data - preExcl'!$BF$2:$BG1679,2,FALSE))),IFERROR(0/0,""))</f>
        <v/>
      </c>
      <c r="V835" s="212" t="str">
        <f t="shared" si="5"/>
        <v>RUN-COMB_2022-05-25_RFR-045</v>
      </c>
      <c r="W835" s="51"/>
      <c r="X835" s="51"/>
      <c r="Y835" s="147" t="str">
        <f t="shared" ref="Y835:Z835" si="1670">IF(_xlfn.ISFORMULA(S835),IFERROR(0/0,""),TRUE)</f>
        <v/>
      </c>
      <c r="Z835" s="147" t="str">
        <f t="shared" si="1670"/>
        <v/>
      </c>
    </row>
    <row r="836">
      <c r="A836" s="6" t="str">
        <f>IFERROR(__xludf.DUMMYFUNCTION("""COMPUTED_VALUE"""),"FM2961")</f>
        <v>FM2961</v>
      </c>
      <c r="B836" s="206">
        <f>IFERROR(__xludf.DUMMYFUNCTION("""COMPUTED_VALUE"""),44706.0)</f>
        <v>44706</v>
      </c>
      <c r="C836" s="207">
        <f>IFERROR(__xludf.DUMMYFUNCTION("""COMPUTED_VALUE"""),0.708599537037037)</f>
        <v>0.708599537</v>
      </c>
      <c r="D836" s="50"/>
      <c r="E836" s="58"/>
      <c r="F836" s="58"/>
      <c r="G836" s="58" t="str">
        <f>IFERROR(__xludf.DUMMYFUNCTION("""COMPUTED_VALUE"""),"Null")</f>
        <v>Null</v>
      </c>
      <c r="H836" s="206" t="str">
        <f>IFERROR(__xludf.DUMMYFUNCTION("""COMPUTED_VALUE"""),"Negative")</f>
        <v>Negative</v>
      </c>
      <c r="I836" s="207"/>
      <c r="J836" s="50"/>
      <c r="K836" s="50">
        <f>IFERROR(__xludf.DUMMYFUNCTION("""COMPUTED_VALUE"""),2.0)</f>
        <v>2</v>
      </c>
      <c r="L836" s="6"/>
      <c r="M836" s="55"/>
      <c r="N836" s="55">
        <f>IFERROR(__xludf.DUMMYFUNCTION("""COMPUTED_VALUE"""),1.0)</f>
        <v>1</v>
      </c>
      <c r="O836" s="55" t="str">
        <f t="shared" si="3"/>
        <v/>
      </c>
      <c r="P836" s="209"/>
      <c r="Q836" s="75" t="b">
        <f>VLOOKUP($B836,'Run Reconcile'!B$2:P1679,15,FALSE)</f>
        <v>1</v>
      </c>
      <c r="R836" s="211" t="str">
        <f t="array" ref="R836">IF($Q836, INDEX('Run Reconcile'!A$2:A1679,MATCH(B836,'Run Reconcile'!B$2:B1679,0),1),IFERROR(0/0,""))</f>
        <v>RUN-COMB_2022-05-25_RFR-045</v>
      </c>
      <c r="S836" s="165" t="str">
        <f t="shared" ref="S836:T836" si="1671">IF(COUNTIF(W$2:W1679, $A836) &gt; 0,TRUE,IFERROR(0/0,""))</f>
        <v/>
      </c>
      <c r="T836" s="165" t="str">
        <f t="shared" si="1671"/>
        <v/>
      </c>
      <c r="U836" s="147" t="str">
        <f t="array" ref="U836">IF(ISBLANK($R836), IF($S836,VLOOKUP($B836+1,'RFR Data - preExcl'!$BF$2:$BG1679,2,FALSE),IF($T836,INDEX('RFR Data - preExcl'!$BF$2:$BG1679,MATCH($B836,'RFR Data - preExcl'!$BF$2:$BF1679,0)+1,2),VLOOKUP($B836,'RFR Data - preExcl'!$BF$2:$BG1679,2,FALSE))),IFERROR(0/0,""))</f>
        <v/>
      </c>
      <c r="V836" s="212" t="str">
        <f t="shared" si="5"/>
        <v>RUN-COMB_2022-05-25_RFR-045</v>
      </c>
      <c r="W836" s="51"/>
      <c r="X836" s="51"/>
      <c r="Y836" s="147" t="str">
        <f t="shared" ref="Y836:Z836" si="1672">IF(_xlfn.ISFORMULA(S836),IFERROR(0/0,""),TRUE)</f>
        <v/>
      </c>
      <c r="Z836" s="147" t="str">
        <f t="shared" si="1672"/>
        <v/>
      </c>
    </row>
    <row r="837">
      <c r="A837" s="6" t="str">
        <f>IFERROR(__xludf.DUMMYFUNCTION("""COMPUTED_VALUE"""),"FM2962")</f>
        <v>FM2962</v>
      </c>
      <c r="B837" s="206">
        <f>IFERROR(__xludf.DUMMYFUNCTION("""COMPUTED_VALUE"""),44706.0)</f>
        <v>44706</v>
      </c>
      <c r="C837" s="207">
        <f>IFERROR(__xludf.DUMMYFUNCTION("""COMPUTED_VALUE"""),0.7116203703703704)</f>
        <v>0.7116203704</v>
      </c>
      <c r="D837" s="50"/>
      <c r="E837" s="58"/>
      <c r="F837" s="58"/>
      <c r="G837" s="58" t="str">
        <f>IFERROR(__xludf.DUMMYFUNCTION("""COMPUTED_VALUE"""),"Null")</f>
        <v>Null</v>
      </c>
      <c r="H837" s="206" t="str">
        <f>IFERROR(__xludf.DUMMYFUNCTION("""COMPUTED_VALUE"""),"Negative")</f>
        <v>Negative</v>
      </c>
      <c r="I837" s="207">
        <f>IFERROR(__xludf.DUMMYFUNCTION("""COMPUTED_VALUE"""),44706.0)</f>
        <v>44706</v>
      </c>
      <c r="J837" s="208">
        <f>IFERROR(__xludf.DUMMYFUNCTION("""COMPUTED_VALUE"""),0.8121296296296296)</f>
        <v>0.8121296296</v>
      </c>
      <c r="K837" s="50">
        <f>IFERROR(__xludf.DUMMYFUNCTION("""COMPUTED_VALUE"""),2.0)</f>
        <v>2</v>
      </c>
      <c r="L837" s="6"/>
      <c r="M837" s="55"/>
      <c r="N837" s="55">
        <f>IFERROR(__xludf.DUMMYFUNCTION("""COMPUTED_VALUE"""),1.0)</f>
        <v>1</v>
      </c>
      <c r="O837" s="55" t="str">
        <f t="shared" si="3"/>
        <v/>
      </c>
      <c r="P837" s="209"/>
      <c r="Q837" s="75" t="b">
        <f>VLOOKUP($B837,'Run Reconcile'!B$2:P1679,15,FALSE)</f>
        <v>1</v>
      </c>
      <c r="R837" s="211" t="str">
        <f t="array" ref="R837">IF($Q837, INDEX('Run Reconcile'!A$2:A1679,MATCH(B837,'Run Reconcile'!B$2:B1679,0),1),IFERROR(0/0,""))</f>
        <v>RUN-COMB_2022-05-25_RFR-045</v>
      </c>
      <c r="S837" s="165" t="str">
        <f t="shared" ref="S837:T837" si="1673">IF(COUNTIF(W$2:W1679, $A837) &gt; 0,TRUE,IFERROR(0/0,""))</f>
        <v/>
      </c>
      <c r="T837" s="165" t="str">
        <f t="shared" si="1673"/>
        <v/>
      </c>
      <c r="U837" s="147" t="str">
        <f t="array" ref="U837">IF(ISBLANK($R837), IF($S837,VLOOKUP($B837+1,'RFR Data - preExcl'!$BF$2:$BG1679,2,FALSE),IF($T837,INDEX('RFR Data - preExcl'!$BF$2:$BG1679,MATCH($B837,'RFR Data - preExcl'!$BF$2:$BF1679,0)+1,2),VLOOKUP($B837,'RFR Data - preExcl'!$BF$2:$BG1679,2,FALSE))),IFERROR(0/0,""))</f>
        <v/>
      </c>
      <c r="V837" s="212" t="str">
        <f t="shared" si="5"/>
        <v>RUN-COMB_2022-05-25_RFR-045</v>
      </c>
      <c r="W837" s="51"/>
      <c r="X837" s="51"/>
      <c r="Y837" s="147" t="str">
        <f t="shared" ref="Y837:Z837" si="1674">IF(_xlfn.ISFORMULA(S837),IFERROR(0/0,""),TRUE)</f>
        <v/>
      </c>
      <c r="Z837" s="147" t="str">
        <f t="shared" si="1674"/>
        <v/>
      </c>
    </row>
    <row r="838">
      <c r="A838" s="6" t="str">
        <f>IFERROR(__xludf.DUMMYFUNCTION("""COMPUTED_VALUE"""),"FM2883")</f>
        <v>FM2883</v>
      </c>
      <c r="B838" s="206">
        <f>IFERROR(__xludf.DUMMYFUNCTION("""COMPUTED_VALUE"""),44706.0)</f>
        <v>44706</v>
      </c>
      <c r="C838" s="207">
        <f>IFERROR(__xludf.DUMMYFUNCTION("""COMPUTED_VALUE"""),0.7120717592592593)</f>
        <v>0.7120717593</v>
      </c>
      <c r="D838" s="50"/>
      <c r="E838" s="58"/>
      <c r="F838" s="58"/>
      <c r="G838" s="58" t="str">
        <f>IFERROR(__xludf.DUMMYFUNCTION("""COMPUTED_VALUE"""),"Null")</f>
        <v>Null</v>
      </c>
      <c r="H838" s="206" t="str">
        <f>IFERROR(__xludf.DUMMYFUNCTION("""COMPUTED_VALUE"""),"Negative")</f>
        <v>Negative</v>
      </c>
      <c r="I838" s="207">
        <f>IFERROR(__xludf.DUMMYFUNCTION("""COMPUTED_VALUE"""),44706.0)</f>
        <v>44706</v>
      </c>
      <c r="J838" s="208">
        <f>IFERROR(__xludf.DUMMYFUNCTION("""COMPUTED_VALUE"""),0.8121527777777777)</f>
        <v>0.8121527778</v>
      </c>
      <c r="K838" s="50">
        <f>IFERROR(__xludf.DUMMYFUNCTION("""COMPUTED_VALUE"""),2.0)</f>
        <v>2</v>
      </c>
      <c r="L838" s="6"/>
      <c r="M838" s="55"/>
      <c r="N838" s="55">
        <f>IFERROR(__xludf.DUMMYFUNCTION("""COMPUTED_VALUE"""),1.0)</f>
        <v>1</v>
      </c>
      <c r="O838" s="55" t="str">
        <f t="shared" si="3"/>
        <v/>
      </c>
      <c r="P838" s="209"/>
      <c r="Q838" s="75" t="b">
        <f>VLOOKUP($B838,'Run Reconcile'!B$2:P1679,15,FALSE)</f>
        <v>1</v>
      </c>
      <c r="R838" s="211" t="str">
        <f t="array" ref="R838">IF($Q838, INDEX('Run Reconcile'!A$2:A1679,MATCH(B838,'Run Reconcile'!B$2:B1679,0),1),IFERROR(0/0,""))</f>
        <v>RUN-COMB_2022-05-25_RFR-045</v>
      </c>
      <c r="S838" s="165" t="str">
        <f t="shared" ref="S838:T838" si="1675">IF(COUNTIF(W$2:W1679, $A838) &gt; 0,TRUE,IFERROR(0/0,""))</f>
        <v/>
      </c>
      <c r="T838" s="165" t="str">
        <f t="shared" si="1675"/>
        <v/>
      </c>
      <c r="U838" s="147" t="str">
        <f t="array" ref="U838">IF(ISBLANK($R838), IF($S838,VLOOKUP($B838+1,'RFR Data - preExcl'!$BF$2:$BG1679,2,FALSE),IF($T838,INDEX('RFR Data - preExcl'!$BF$2:$BG1679,MATCH($B838,'RFR Data - preExcl'!$BF$2:$BF1679,0)+1,2),VLOOKUP($B838,'RFR Data - preExcl'!$BF$2:$BG1679,2,FALSE))),IFERROR(0/0,""))</f>
        <v/>
      </c>
      <c r="V838" s="212" t="str">
        <f t="shared" si="5"/>
        <v>RUN-COMB_2022-05-25_RFR-045</v>
      </c>
      <c r="W838" s="51"/>
      <c r="X838" s="51"/>
      <c r="Y838" s="147" t="str">
        <f t="shared" ref="Y838:Z838" si="1676">IF(_xlfn.ISFORMULA(S838),IFERROR(0/0,""),TRUE)</f>
        <v/>
      </c>
      <c r="Z838" s="147" t="str">
        <f t="shared" si="1676"/>
        <v/>
      </c>
    </row>
    <row r="839">
      <c r="A839" s="6" t="str">
        <f>IFERROR(__xludf.DUMMYFUNCTION("""COMPUTED_VALUE"""),"FM2999")</f>
        <v>FM2999</v>
      </c>
      <c r="B839" s="206">
        <f>IFERROR(__xludf.DUMMYFUNCTION("""COMPUTED_VALUE"""),44706.0)</f>
        <v>44706</v>
      </c>
      <c r="C839" s="207">
        <f>IFERROR(__xludf.DUMMYFUNCTION("""COMPUTED_VALUE"""),0.7125925925925926)</f>
        <v>0.7125925926</v>
      </c>
      <c r="D839" s="50"/>
      <c r="E839" s="58"/>
      <c r="F839" s="58"/>
      <c r="G839" s="58" t="str">
        <f>IFERROR(__xludf.DUMMYFUNCTION("""COMPUTED_VALUE"""),"Null")</f>
        <v>Null</v>
      </c>
      <c r="H839" s="206" t="str">
        <f>IFERROR(__xludf.DUMMYFUNCTION("""COMPUTED_VALUE"""),"Negative")</f>
        <v>Negative</v>
      </c>
      <c r="I839" s="207">
        <f>IFERROR(__xludf.DUMMYFUNCTION("""COMPUTED_VALUE"""),44706.0)</f>
        <v>44706</v>
      </c>
      <c r="J839" s="208">
        <f>IFERROR(__xludf.DUMMYFUNCTION("""COMPUTED_VALUE"""),0.8121643518518519)</f>
        <v>0.8121643519</v>
      </c>
      <c r="K839" s="50">
        <f>IFERROR(__xludf.DUMMYFUNCTION("""COMPUTED_VALUE"""),2.0)</f>
        <v>2</v>
      </c>
      <c r="L839" s="6"/>
      <c r="M839" s="55"/>
      <c r="N839" s="55">
        <f>IFERROR(__xludf.DUMMYFUNCTION("""COMPUTED_VALUE"""),1.0)</f>
        <v>1</v>
      </c>
      <c r="O839" s="55" t="str">
        <f t="shared" si="3"/>
        <v/>
      </c>
      <c r="P839" s="209"/>
      <c r="Q839" s="75" t="b">
        <f>VLOOKUP($B839,'Run Reconcile'!B$2:P1679,15,FALSE)</f>
        <v>1</v>
      </c>
      <c r="R839" s="211" t="str">
        <f t="array" ref="R839">IF($Q839, INDEX('Run Reconcile'!A$2:A1679,MATCH(B839,'Run Reconcile'!B$2:B1679,0),1),IFERROR(0/0,""))</f>
        <v>RUN-COMB_2022-05-25_RFR-045</v>
      </c>
      <c r="S839" s="165" t="str">
        <f t="shared" ref="S839:T839" si="1677">IF(COUNTIF(W$2:W1679, $A839) &gt; 0,TRUE,IFERROR(0/0,""))</f>
        <v/>
      </c>
      <c r="T839" s="165" t="str">
        <f t="shared" si="1677"/>
        <v/>
      </c>
      <c r="U839" s="147" t="str">
        <f t="array" ref="U839">IF(ISBLANK($R839), IF($S839,VLOOKUP($B839+1,'RFR Data - preExcl'!$BF$2:$BG1679,2,FALSE),IF($T839,INDEX('RFR Data - preExcl'!$BF$2:$BG1679,MATCH($B839,'RFR Data - preExcl'!$BF$2:$BF1679,0)+1,2),VLOOKUP($B839,'RFR Data - preExcl'!$BF$2:$BG1679,2,FALSE))),IFERROR(0/0,""))</f>
        <v/>
      </c>
      <c r="V839" s="212" t="str">
        <f t="shared" si="5"/>
        <v>RUN-COMB_2022-05-25_RFR-045</v>
      </c>
      <c r="W839" s="51"/>
      <c r="X839" s="51"/>
      <c r="Y839" s="147" t="str">
        <f t="shared" ref="Y839:Z839" si="1678">IF(_xlfn.ISFORMULA(S839),IFERROR(0/0,""),TRUE)</f>
        <v/>
      </c>
      <c r="Z839" s="147" t="str">
        <f t="shared" si="1678"/>
        <v/>
      </c>
    </row>
    <row r="840">
      <c r="A840" s="6" t="str">
        <f>IFERROR(__xludf.DUMMYFUNCTION("""COMPUTED_VALUE"""),"FM847")</f>
        <v>FM847</v>
      </c>
      <c r="B840" s="206">
        <f>IFERROR(__xludf.DUMMYFUNCTION("""COMPUTED_VALUE"""),44706.0)</f>
        <v>44706</v>
      </c>
      <c r="C840" s="207">
        <f>IFERROR(__xludf.DUMMYFUNCTION("""COMPUTED_VALUE"""),0.7359375)</f>
        <v>0.7359375</v>
      </c>
      <c r="D840" s="50"/>
      <c r="E840" s="58"/>
      <c r="F840" s="58"/>
      <c r="G840" s="58" t="str">
        <f>IFERROR(__xludf.DUMMYFUNCTION("""COMPUTED_VALUE"""),"Null")</f>
        <v>Null</v>
      </c>
      <c r="H840" s="206" t="str">
        <f>IFERROR(__xludf.DUMMYFUNCTION("""COMPUTED_VALUE"""),"Negative")</f>
        <v>Negative</v>
      </c>
      <c r="I840" s="207">
        <f>IFERROR(__xludf.DUMMYFUNCTION("""COMPUTED_VALUE"""),44706.0)</f>
        <v>44706</v>
      </c>
      <c r="J840" s="208">
        <f>IFERROR(__xludf.DUMMYFUNCTION("""COMPUTED_VALUE"""),0.8121759259259259)</f>
        <v>0.8121759259</v>
      </c>
      <c r="K840" s="50">
        <f>IFERROR(__xludf.DUMMYFUNCTION("""COMPUTED_VALUE"""),2.0)</f>
        <v>2</v>
      </c>
      <c r="L840" s="6"/>
      <c r="M840" s="55"/>
      <c r="N840" s="55">
        <f>IFERROR(__xludf.DUMMYFUNCTION("""COMPUTED_VALUE"""),1.0)</f>
        <v>1</v>
      </c>
      <c r="O840" s="55" t="str">
        <f t="shared" si="3"/>
        <v/>
      </c>
      <c r="P840" s="209"/>
      <c r="Q840" s="75" t="b">
        <f>VLOOKUP($B840,'Run Reconcile'!B$2:P1679,15,FALSE)</f>
        <v>1</v>
      </c>
      <c r="R840" s="211" t="str">
        <f t="array" ref="R840">IF($Q840, INDEX('Run Reconcile'!A$2:A1679,MATCH(B840,'Run Reconcile'!B$2:B1679,0),1),IFERROR(0/0,""))</f>
        <v>RUN-COMB_2022-05-25_RFR-045</v>
      </c>
      <c r="S840" s="165" t="str">
        <f t="shared" ref="S840:T840" si="1679">IF(COUNTIF(W$2:W1679, $A840) &gt; 0,TRUE,IFERROR(0/0,""))</f>
        <v/>
      </c>
      <c r="T840" s="165" t="str">
        <f t="shared" si="1679"/>
        <v/>
      </c>
      <c r="U840" s="147" t="str">
        <f t="array" ref="U840">IF(ISBLANK($R840), IF($S840,VLOOKUP($B840+1,'RFR Data - preExcl'!$BF$2:$BG1679,2,FALSE),IF($T840,INDEX('RFR Data - preExcl'!$BF$2:$BG1679,MATCH($B840,'RFR Data - preExcl'!$BF$2:$BF1679,0)+1,2),VLOOKUP($B840,'RFR Data - preExcl'!$BF$2:$BG1679,2,FALSE))),IFERROR(0/0,""))</f>
        <v/>
      </c>
      <c r="V840" s="212" t="str">
        <f t="shared" si="5"/>
        <v>RUN-COMB_2022-05-25_RFR-045</v>
      </c>
      <c r="W840" s="51"/>
      <c r="X840" s="51"/>
      <c r="Y840" s="147" t="str">
        <f t="shared" ref="Y840:Z840" si="1680">IF(_xlfn.ISFORMULA(S840),IFERROR(0/0,""),TRUE)</f>
        <v/>
      </c>
      <c r="Z840" s="147" t="str">
        <f t="shared" si="1680"/>
        <v/>
      </c>
    </row>
    <row r="841">
      <c r="A841" s="6" t="str">
        <f>IFERROR(__xludf.DUMMYFUNCTION("""COMPUTED_VALUE"""),"FM2996")</f>
        <v>FM2996</v>
      </c>
      <c r="B841" s="206">
        <f>IFERROR(__xludf.DUMMYFUNCTION("""COMPUTED_VALUE"""),44706.0)</f>
        <v>44706</v>
      </c>
      <c r="C841" s="207">
        <f>IFERROR(__xludf.DUMMYFUNCTION("""COMPUTED_VALUE"""),0.7368402777777778)</f>
        <v>0.7368402778</v>
      </c>
      <c r="D841" s="50"/>
      <c r="E841" s="58"/>
      <c r="F841" s="58"/>
      <c r="G841" s="58" t="str">
        <f>IFERROR(__xludf.DUMMYFUNCTION("""COMPUTED_VALUE"""),"Null")</f>
        <v>Null</v>
      </c>
      <c r="H841" s="206" t="str">
        <f>IFERROR(__xludf.DUMMYFUNCTION("""COMPUTED_VALUE"""),"Negative")</f>
        <v>Negative</v>
      </c>
      <c r="I841" s="207">
        <f>IFERROR(__xludf.DUMMYFUNCTION("""COMPUTED_VALUE"""),44706.0)</f>
        <v>44706</v>
      </c>
      <c r="J841" s="208">
        <f>IFERROR(__xludf.DUMMYFUNCTION("""COMPUTED_VALUE"""),0.8121875)</f>
        <v>0.8121875</v>
      </c>
      <c r="K841" s="50">
        <f>IFERROR(__xludf.DUMMYFUNCTION("""COMPUTED_VALUE"""),2.0)</f>
        <v>2</v>
      </c>
      <c r="L841" s="6"/>
      <c r="M841" s="55"/>
      <c r="N841" s="55">
        <f>IFERROR(__xludf.DUMMYFUNCTION("""COMPUTED_VALUE"""),1.0)</f>
        <v>1</v>
      </c>
      <c r="O841" s="55" t="str">
        <f t="shared" si="3"/>
        <v/>
      </c>
      <c r="P841" s="209"/>
      <c r="Q841" s="75" t="b">
        <f>VLOOKUP($B841,'Run Reconcile'!B$2:P1679,15,FALSE)</f>
        <v>1</v>
      </c>
      <c r="R841" s="211" t="str">
        <f t="array" ref="R841">IF($Q841, INDEX('Run Reconcile'!A$2:A1679,MATCH(B841,'Run Reconcile'!B$2:B1679,0),1),IFERROR(0/0,""))</f>
        <v>RUN-COMB_2022-05-25_RFR-045</v>
      </c>
      <c r="S841" s="165" t="str">
        <f t="shared" ref="S841:T841" si="1681">IF(COUNTIF(W$2:W1679, $A841) &gt; 0,TRUE,IFERROR(0/0,""))</f>
        <v/>
      </c>
      <c r="T841" s="165" t="str">
        <f t="shared" si="1681"/>
        <v/>
      </c>
      <c r="U841" s="147" t="str">
        <f t="array" ref="U841">IF(ISBLANK($R841), IF($S841,VLOOKUP($B841+1,'RFR Data - preExcl'!$BF$2:$BG1679,2,FALSE),IF($T841,INDEX('RFR Data - preExcl'!$BF$2:$BG1679,MATCH($B841,'RFR Data - preExcl'!$BF$2:$BF1679,0)+1,2),VLOOKUP($B841,'RFR Data - preExcl'!$BF$2:$BG1679,2,FALSE))),IFERROR(0/0,""))</f>
        <v/>
      </c>
      <c r="V841" s="212" t="str">
        <f t="shared" si="5"/>
        <v>RUN-COMB_2022-05-25_RFR-045</v>
      </c>
      <c r="W841" s="51"/>
      <c r="X841" s="51"/>
      <c r="Y841" s="147" t="str">
        <f t="shared" ref="Y841:Z841" si="1682">IF(_xlfn.ISFORMULA(S841),IFERROR(0/0,""),TRUE)</f>
        <v/>
      </c>
      <c r="Z841" s="147" t="str">
        <f t="shared" si="1682"/>
        <v/>
      </c>
    </row>
    <row r="842">
      <c r="A842" s="6" t="str">
        <f>IFERROR(__xludf.DUMMYFUNCTION("""COMPUTED_VALUE"""),"FM898")</f>
        <v>FM898</v>
      </c>
      <c r="B842" s="206">
        <f>IFERROR(__xludf.DUMMYFUNCTION("""COMPUTED_VALUE"""),44706.0)</f>
        <v>44706</v>
      </c>
      <c r="C842" s="207">
        <f>IFERROR(__xludf.DUMMYFUNCTION("""COMPUTED_VALUE"""),0.7391782407407408)</f>
        <v>0.7391782407</v>
      </c>
      <c r="D842" s="50"/>
      <c r="E842" s="58"/>
      <c r="F842" s="58"/>
      <c r="G842" s="58" t="str">
        <f>IFERROR(__xludf.DUMMYFUNCTION("""COMPUTED_VALUE"""),"Null")</f>
        <v>Null</v>
      </c>
      <c r="H842" s="206" t="str">
        <f>IFERROR(__xludf.DUMMYFUNCTION("""COMPUTED_VALUE"""),"Negative")</f>
        <v>Negative</v>
      </c>
      <c r="I842" s="207">
        <f>IFERROR(__xludf.DUMMYFUNCTION("""COMPUTED_VALUE"""),44706.0)</f>
        <v>44706</v>
      </c>
      <c r="J842" s="208">
        <f>IFERROR(__xludf.DUMMYFUNCTION("""COMPUTED_VALUE"""),0.8121990740740741)</f>
        <v>0.8121990741</v>
      </c>
      <c r="K842" s="50">
        <f>IFERROR(__xludf.DUMMYFUNCTION("""COMPUTED_VALUE"""),2.0)</f>
        <v>2</v>
      </c>
      <c r="L842" s="6"/>
      <c r="M842" s="55"/>
      <c r="N842" s="55">
        <f>IFERROR(__xludf.DUMMYFUNCTION("""COMPUTED_VALUE"""),1.0)</f>
        <v>1</v>
      </c>
      <c r="O842" s="55" t="str">
        <f t="shared" si="3"/>
        <v/>
      </c>
      <c r="P842" s="209"/>
      <c r="Q842" s="75" t="b">
        <f>VLOOKUP($B842,'Run Reconcile'!B$2:P1679,15,FALSE)</f>
        <v>1</v>
      </c>
      <c r="R842" s="211" t="str">
        <f t="array" ref="R842">IF($Q842, INDEX('Run Reconcile'!A$2:A1679,MATCH(B842,'Run Reconcile'!B$2:B1679,0),1),IFERROR(0/0,""))</f>
        <v>RUN-COMB_2022-05-25_RFR-045</v>
      </c>
      <c r="S842" s="165" t="str">
        <f t="shared" ref="S842:T842" si="1683">IF(COUNTIF(W$2:W1679, $A842) &gt; 0,TRUE,IFERROR(0/0,""))</f>
        <v/>
      </c>
      <c r="T842" s="165" t="str">
        <f t="shared" si="1683"/>
        <v/>
      </c>
      <c r="U842" s="147" t="str">
        <f t="array" ref="U842">IF(ISBLANK($R842), IF($S842,VLOOKUP($B842+1,'RFR Data - preExcl'!$BF$2:$BG1679,2,FALSE),IF($T842,INDEX('RFR Data - preExcl'!$BF$2:$BG1679,MATCH($B842,'RFR Data - preExcl'!$BF$2:$BF1679,0)+1,2),VLOOKUP($B842,'RFR Data - preExcl'!$BF$2:$BG1679,2,FALSE))),IFERROR(0/0,""))</f>
        <v/>
      </c>
      <c r="V842" s="212" t="str">
        <f t="shared" si="5"/>
        <v>RUN-COMB_2022-05-25_RFR-045</v>
      </c>
      <c r="W842" s="51"/>
      <c r="X842" s="51"/>
      <c r="Y842" s="147" t="str">
        <f t="shared" ref="Y842:Z842" si="1684">IF(_xlfn.ISFORMULA(S842),IFERROR(0/0,""),TRUE)</f>
        <v/>
      </c>
      <c r="Z842" s="147" t="str">
        <f t="shared" si="1684"/>
        <v/>
      </c>
    </row>
    <row r="843">
      <c r="A843" s="6" t="str">
        <f>IFERROR(__xludf.DUMMYFUNCTION("""COMPUTED_VALUE"""),"FM2997")</f>
        <v>FM2997</v>
      </c>
      <c r="B843" s="206">
        <f>IFERROR(__xludf.DUMMYFUNCTION("""COMPUTED_VALUE"""),44706.0)</f>
        <v>44706</v>
      </c>
      <c r="C843" s="207">
        <f>IFERROR(__xludf.DUMMYFUNCTION("""COMPUTED_VALUE"""),0.7398148148148148)</f>
        <v>0.7398148148</v>
      </c>
      <c r="D843" s="50"/>
      <c r="E843" s="58"/>
      <c r="F843" s="58"/>
      <c r="G843" s="58" t="str">
        <f>IFERROR(__xludf.DUMMYFUNCTION("""COMPUTED_VALUE"""),"Null")</f>
        <v>Null</v>
      </c>
      <c r="H843" s="206" t="str">
        <f>IFERROR(__xludf.DUMMYFUNCTION("""COMPUTED_VALUE"""),"Negative")</f>
        <v>Negative</v>
      </c>
      <c r="I843" s="207">
        <f>IFERROR(__xludf.DUMMYFUNCTION("""COMPUTED_VALUE"""),44706.0)</f>
        <v>44706</v>
      </c>
      <c r="J843" s="208">
        <f>IFERROR(__xludf.DUMMYFUNCTION("""COMPUTED_VALUE"""),0.8122106481481481)</f>
        <v>0.8122106481</v>
      </c>
      <c r="K843" s="50">
        <f>IFERROR(__xludf.DUMMYFUNCTION("""COMPUTED_VALUE"""),2.0)</f>
        <v>2</v>
      </c>
      <c r="L843" s="6"/>
      <c r="M843" s="55"/>
      <c r="N843" s="55">
        <f>IFERROR(__xludf.DUMMYFUNCTION("""COMPUTED_VALUE"""),1.0)</f>
        <v>1</v>
      </c>
      <c r="O843" s="55" t="str">
        <f t="shared" si="3"/>
        <v/>
      </c>
      <c r="P843" s="209"/>
      <c r="Q843" s="75" t="b">
        <f>VLOOKUP($B843,'Run Reconcile'!B$2:P1679,15,FALSE)</f>
        <v>1</v>
      </c>
      <c r="R843" s="211" t="str">
        <f t="array" ref="R843">IF($Q843, INDEX('Run Reconcile'!A$2:A1679,MATCH(B843,'Run Reconcile'!B$2:B1679,0),1),IFERROR(0/0,""))</f>
        <v>RUN-COMB_2022-05-25_RFR-045</v>
      </c>
      <c r="S843" s="165" t="str">
        <f t="shared" ref="S843:T843" si="1685">IF(COUNTIF(W$2:W1679, $A843) &gt; 0,TRUE,IFERROR(0/0,""))</f>
        <v/>
      </c>
      <c r="T843" s="165" t="str">
        <f t="shared" si="1685"/>
        <v/>
      </c>
      <c r="U843" s="147" t="str">
        <f t="array" ref="U843">IF(ISBLANK($R843), IF($S843,VLOOKUP($B843+1,'RFR Data - preExcl'!$BF$2:$BG1679,2,FALSE),IF($T843,INDEX('RFR Data - preExcl'!$BF$2:$BG1679,MATCH($B843,'RFR Data - preExcl'!$BF$2:$BF1679,0)+1,2),VLOOKUP($B843,'RFR Data - preExcl'!$BF$2:$BG1679,2,FALSE))),IFERROR(0/0,""))</f>
        <v/>
      </c>
      <c r="V843" s="212" t="str">
        <f t="shared" si="5"/>
        <v>RUN-COMB_2022-05-25_RFR-045</v>
      </c>
      <c r="W843" s="51"/>
      <c r="X843" s="51"/>
      <c r="Y843" s="147" t="str">
        <f t="shared" ref="Y843:Z843" si="1686">IF(_xlfn.ISFORMULA(S843),IFERROR(0/0,""),TRUE)</f>
        <v/>
      </c>
      <c r="Z843" s="147" t="str">
        <f t="shared" si="1686"/>
        <v/>
      </c>
    </row>
    <row r="844">
      <c r="A844" s="6" t="str">
        <f>IFERROR(__xludf.DUMMYFUNCTION("""COMPUTED_VALUE"""),"FM2980")</f>
        <v>FM2980</v>
      </c>
      <c r="B844" s="206">
        <f>IFERROR(__xludf.DUMMYFUNCTION("""COMPUTED_VALUE"""),44706.0)</f>
        <v>44706</v>
      </c>
      <c r="C844" s="207">
        <f>IFERROR(__xludf.DUMMYFUNCTION("""COMPUTED_VALUE"""),0.7404166666666666)</f>
        <v>0.7404166667</v>
      </c>
      <c r="D844" s="50"/>
      <c r="E844" s="58"/>
      <c r="F844" s="58"/>
      <c r="G844" s="58" t="str">
        <f>IFERROR(__xludf.DUMMYFUNCTION("""COMPUTED_VALUE"""),"Null")</f>
        <v>Null</v>
      </c>
      <c r="H844" s="206" t="str">
        <f>IFERROR(__xludf.DUMMYFUNCTION("""COMPUTED_VALUE"""),"Negative")</f>
        <v>Negative</v>
      </c>
      <c r="I844" s="207">
        <f>IFERROR(__xludf.DUMMYFUNCTION("""COMPUTED_VALUE"""),44706.0)</f>
        <v>44706</v>
      </c>
      <c r="J844" s="208">
        <f>IFERROR(__xludf.DUMMYFUNCTION("""COMPUTED_VALUE"""),0.8122106481481481)</f>
        <v>0.8122106481</v>
      </c>
      <c r="K844" s="50">
        <f>IFERROR(__xludf.DUMMYFUNCTION("""COMPUTED_VALUE"""),2.0)</f>
        <v>2</v>
      </c>
      <c r="L844" s="6"/>
      <c r="M844" s="55"/>
      <c r="N844" s="55">
        <f>IFERROR(__xludf.DUMMYFUNCTION("""COMPUTED_VALUE"""),1.0)</f>
        <v>1</v>
      </c>
      <c r="O844" s="55" t="str">
        <f t="shared" si="3"/>
        <v/>
      </c>
      <c r="P844" s="209"/>
      <c r="Q844" s="75" t="b">
        <f>VLOOKUP($B844,'Run Reconcile'!B$2:P1679,15,FALSE)</f>
        <v>1</v>
      </c>
      <c r="R844" s="211" t="str">
        <f t="array" ref="R844">IF($Q844, INDEX('Run Reconcile'!A$2:A1679,MATCH(B844,'Run Reconcile'!B$2:B1679,0),1),IFERROR(0/0,""))</f>
        <v>RUN-COMB_2022-05-25_RFR-045</v>
      </c>
      <c r="S844" s="165" t="str">
        <f t="shared" ref="S844:T844" si="1687">IF(COUNTIF(W$2:W1679, $A844) &gt; 0,TRUE,IFERROR(0/0,""))</f>
        <v/>
      </c>
      <c r="T844" s="165" t="str">
        <f t="shared" si="1687"/>
        <v/>
      </c>
      <c r="U844" s="147" t="str">
        <f t="array" ref="U844">IF(ISBLANK($R844), IF($S844,VLOOKUP($B844+1,'RFR Data - preExcl'!$BF$2:$BG1679,2,FALSE),IF($T844,INDEX('RFR Data - preExcl'!$BF$2:$BG1679,MATCH($B844,'RFR Data - preExcl'!$BF$2:$BF1679,0)+1,2),VLOOKUP($B844,'RFR Data - preExcl'!$BF$2:$BG1679,2,FALSE))),IFERROR(0/0,""))</f>
        <v/>
      </c>
      <c r="V844" s="212" t="str">
        <f t="shared" si="5"/>
        <v>RUN-COMB_2022-05-25_RFR-045</v>
      </c>
      <c r="W844" s="51"/>
      <c r="X844" s="51"/>
      <c r="Y844" s="147" t="str">
        <f t="shared" ref="Y844:Z844" si="1688">IF(_xlfn.ISFORMULA(S844),IFERROR(0/0,""),TRUE)</f>
        <v/>
      </c>
      <c r="Z844" s="147" t="str">
        <f t="shared" si="1688"/>
        <v/>
      </c>
    </row>
    <row r="845">
      <c r="A845" s="6" t="str">
        <f>IFERROR(__xludf.DUMMYFUNCTION("""COMPUTED_VALUE"""),"FM2942")</f>
        <v>FM2942</v>
      </c>
      <c r="B845" s="206">
        <f>IFERROR(__xludf.DUMMYFUNCTION("""COMPUTED_VALUE"""),44706.0)</f>
        <v>44706</v>
      </c>
      <c r="C845" s="207">
        <f>IFERROR(__xludf.DUMMYFUNCTION("""COMPUTED_VALUE"""),0.7413078703703704)</f>
        <v>0.7413078704</v>
      </c>
      <c r="D845" s="50"/>
      <c r="E845" s="58"/>
      <c r="F845" s="58"/>
      <c r="G845" s="58" t="str">
        <f>IFERROR(__xludf.DUMMYFUNCTION("""COMPUTED_VALUE"""),"Null")</f>
        <v>Null</v>
      </c>
      <c r="H845" s="206" t="str">
        <f>IFERROR(__xludf.DUMMYFUNCTION("""COMPUTED_VALUE"""),"Negative")</f>
        <v>Negative</v>
      </c>
      <c r="I845" s="207">
        <f>IFERROR(__xludf.DUMMYFUNCTION("""COMPUTED_VALUE"""),44706.0)</f>
        <v>44706</v>
      </c>
      <c r="J845" s="208">
        <f>IFERROR(__xludf.DUMMYFUNCTION("""COMPUTED_VALUE"""),0.8122222222222222)</f>
        <v>0.8122222222</v>
      </c>
      <c r="K845" s="50">
        <f>IFERROR(__xludf.DUMMYFUNCTION("""COMPUTED_VALUE"""),2.0)</f>
        <v>2</v>
      </c>
      <c r="L845" s="6"/>
      <c r="M845" s="55"/>
      <c r="N845" s="55">
        <f>IFERROR(__xludf.DUMMYFUNCTION("""COMPUTED_VALUE"""),1.0)</f>
        <v>1</v>
      </c>
      <c r="O845" s="55" t="str">
        <f t="shared" si="3"/>
        <v/>
      </c>
      <c r="P845" s="209"/>
      <c r="Q845" s="75" t="b">
        <f>VLOOKUP($B845,'Run Reconcile'!B$2:P1679,15,FALSE)</f>
        <v>1</v>
      </c>
      <c r="R845" s="211" t="str">
        <f t="array" ref="R845">IF($Q845, INDEX('Run Reconcile'!A$2:A1679,MATCH(B845,'Run Reconcile'!B$2:B1679,0),1),IFERROR(0/0,""))</f>
        <v>RUN-COMB_2022-05-25_RFR-045</v>
      </c>
      <c r="S845" s="165" t="str">
        <f t="shared" ref="S845:T845" si="1689">IF(COUNTIF(W$2:W1679, $A845) &gt; 0,TRUE,IFERROR(0/0,""))</f>
        <v/>
      </c>
      <c r="T845" s="165" t="str">
        <f t="shared" si="1689"/>
        <v/>
      </c>
      <c r="U845" s="147" t="str">
        <f t="array" ref="U845">IF(ISBLANK($R845), IF($S845,VLOOKUP($B845+1,'RFR Data - preExcl'!$BF$2:$BG1679,2,FALSE),IF($T845,INDEX('RFR Data - preExcl'!$BF$2:$BG1679,MATCH($B845,'RFR Data - preExcl'!$BF$2:$BF1679,0)+1,2),VLOOKUP($B845,'RFR Data - preExcl'!$BF$2:$BG1679,2,FALSE))),IFERROR(0/0,""))</f>
        <v/>
      </c>
      <c r="V845" s="212" t="str">
        <f t="shared" si="5"/>
        <v>RUN-COMB_2022-05-25_RFR-045</v>
      </c>
      <c r="W845" s="51"/>
      <c r="X845" s="51"/>
      <c r="Y845" s="147" t="str">
        <f t="shared" ref="Y845:Z845" si="1690">IF(_xlfn.ISFORMULA(S845),IFERROR(0/0,""),TRUE)</f>
        <v/>
      </c>
      <c r="Z845" s="147" t="str">
        <f t="shared" si="1690"/>
        <v/>
      </c>
    </row>
    <row r="846">
      <c r="A846" s="6" t="str">
        <f>IFERROR(__xludf.DUMMYFUNCTION("""COMPUTED_VALUE"""),"FM2963")</f>
        <v>FM2963</v>
      </c>
      <c r="B846" s="206">
        <f>IFERROR(__xludf.DUMMYFUNCTION("""COMPUTED_VALUE"""),44706.0)</f>
        <v>44706</v>
      </c>
      <c r="C846" s="207">
        <f>IFERROR(__xludf.DUMMYFUNCTION("""COMPUTED_VALUE"""),0.7419791666666666)</f>
        <v>0.7419791667</v>
      </c>
      <c r="D846" s="50"/>
      <c r="E846" s="58"/>
      <c r="F846" s="58"/>
      <c r="G846" s="58" t="str">
        <f>IFERROR(__xludf.DUMMYFUNCTION("""COMPUTED_VALUE"""),"Null")</f>
        <v>Null</v>
      </c>
      <c r="H846" s="206" t="str">
        <f>IFERROR(__xludf.DUMMYFUNCTION("""COMPUTED_VALUE"""),"Negative")</f>
        <v>Negative</v>
      </c>
      <c r="I846" s="207">
        <f>IFERROR(__xludf.DUMMYFUNCTION("""COMPUTED_VALUE"""),44706.0)</f>
        <v>44706</v>
      </c>
      <c r="J846" s="208">
        <f>IFERROR(__xludf.DUMMYFUNCTION("""COMPUTED_VALUE"""),0.8122337962962963)</f>
        <v>0.8122337963</v>
      </c>
      <c r="K846" s="50">
        <f>IFERROR(__xludf.DUMMYFUNCTION("""COMPUTED_VALUE"""),2.0)</f>
        <v>2</v>
      </c>
      <c r="L846" s="6"/>
      <c r="M846" s="55"/>
      <c r="N846" s="55">
        <f>IFERROR(__xludf.DUMMYFUNCTION("""COMPUTED_VALUE"""),1.0)</f>
        <v>1</v>
      </c>
      <c r="O846" s="55" t="str">
        <f t="shared" si="3"/>
        <v/>
      </c>
      <c r="P846" s="209"/>
      <c r="Q846" s="75" t="b">
        <f>VLOOKUP($B846,'Run Reconcile'!B$2:P1679,15,FALSE)</f>
        <v>1</v>
      </c>
      <c r="R846" s="211" t="str">
        <f t="array" ref="R846">IF($Q846, INDEX('Run Reconcile'!A$2:A1679,MATCH(B846,'Run Reconcile'!B$2:B1679,0),1),IFERROR(0/0,""))</f>
        <v>RUN-COMB_2022-05-25_RFR-045</v>
      </c>
      <c r="S846" s="165" t="str">
        <f t="shared" ref="S846:T846" si="1691">IF(COUNTIF(W$2:W1679, $A846) &gt; 0,TRUE,IFERROR(0/0,""))</f>
        <v/>
      </c>
      <c r="T846" s="165" t="str">
        <f t="shared" si="1691"/>
        <v/>
      </c>
      <c r="U846" s="147" t="str">
        <f t="array" ref="U846">IF(ISBLANK($R846), IF($S846,VLOOKUP($B846+1,'RFR Data - preExcl'!$BF$2:$BG1679,2,FALSE),IF($T846,INDEX('RFR Data - preExcl'!$BF$2:$BG1679,MATCH($B846,'RFR Data - preExcl'!$BF$2:$BF1679,0)+1,2),VLOOKUP($B846,'RFR Data - preExcl'!$BF$2:$BG1679,2,FALSE))),IFERROR(0/0,""))</f>
        <v/>
      </c>
      <c r="V846" s="212" t="str">
        <f t="shared" si="5"/>
        <v>RUN-COMB_2022-05-25_RFR-045</v>
      </c>
      <c r="W846" s="51"/>
      <c r="X846" s="51"/>
      <c r="Y846" s="147" t="str">
        <f t="shared" ref="Y846:Z846" si="1692">IF(_xlfn.ISFORMULA(S846),IFERROR(0/0,""),TRUE)</f>
        <v/>
      </c>
      <c r="Z846" s="147" t="str">
        <f t="shared" si="1692"/>
        <v/>
      </c>
    </row>
    <row r="847">
      <c r="A847" s="6" t="str">
        <f>IFERROR(__xludf.DUMMYFUNCTION("""COMPUTED_VALUE"""),"FM2979")</f>
        <v>FM2979</v>
      </c>
      <c r="B847" s="206">
        <f>IFERROR(__xludf.DUMMYFUNCTION("""COMPUTED_VALUE"""),44706.0)</f>
        <v>44706</v>
      </c>
      <c r="C847" s="207">
        <f>IFERROR(__xludf.DUMMYFUNCTION("""COMPUTED_VALUE"""),0.7430902777777778)</f>
        <v>0.7430902778</v>
      </c>
      <c r="D847" s="50"/>
      <c r="E847" s="58"/>
      <c r="F847" s="58"/>
      <c r="G847" s="58" t="str">
        <f>IFERROR(__xludf.DUMMYFUNCTION("""COMPUTED_VALUE"""),"Null")</f>
        <v>Null</v>
      </c>
      <c r="H847" s="206" t="str">
        <f>IFERROR(__xludf.DUMMYFUNCTION("""COMPUTED_VALUE"""),"Negative")</f>
        <v>Negative</v>
      </c>
      <c r="I847" s="207">
        <f>IFERROR(__xludf.DUMMYFUNCTION("""COMPUTED_VALUE"""),44706.0)</f>
        <v>44706</v>
      </c>
      <c r="J847" s="208">
        <f>IFERROR(__xludf.DUMMYFUNCTION("""COMPUTED_VALUE"""),0.8122453703703704)</f>
        <v>0.8122453704</v>
      </c>
      <c r="K847" s="50">
        <f>IFERROR(__xludf.DUMMYFUNCTION("""COMPUTED_VALUE"""),2.0)</f>
        <v>2</v>
      </c>
      <c r="L847" s="6"/>
      <c r="M847" s="55"/>
      <c r="N847" s="55">
        <f>IFERROR(__xludf.DUMMYFUNCTION("""COMPUTED_VALUE"""),1.0)</f>
        <v>1</v>
      </c>
      <c r="O847" s="55" t="str">
        <f t="shared" si="3"/>
        <v/>
      </c>
      <c r="P847" s="209"/>
      <c r="Q847" s="75" t="b">
        <f>VLOOKUP($B847,'Run Reconcile'!B$2:P1679,15,FALSE)</f>
        <v>1</v>
      </c>
      <c r="R847" s="211" t="str">
        <f t="array" ref="R847">IF($Q847, INDEX('Run Reconcile'!A$2:A1679,MATCH(B847,'Run Reconcile'!B$2:B1679,0),1),IFERROR(0/0,""))</f>
        <v>RUN-COMB_2022-05-25_RFR-045</v>
      </c>
      <c r="S847" s="165" t="str">
        <f t="shared" ref="S847:T847" si="1693">IF(COUNTIF(W$2:W1679, $A847) &gt; 0,TRUE,IFERROR(0/0,""))</f>
        <v/>
      </c>
      <c r="T847" s="165" t="str">
        <f t="shared" si="1693"/>
        <v/>
      </c>
      <c r="U847" s="147" t="str">
        <f t="array" ref="U847">IF(ISBLANK($R847), IF($S847,VLOOKUP($B847+1,'RFR Data - preExcl'!$BF$2:$BG1679,2,FALSE),IF($T847,INDEX('RFR Data - preExcl'!$BF$2:$BG1679,MATCH($B847,'RFR Data - preExcl'!$BF$2:$BF1679,0)+1,2),VLOOKUP($B847,'RFR Data - preExcl'!$BF$2:$BG1679,2,FALSE))),IFERROR(0/0,""))</f>
        <v/>
      </c>
      <c r="V847" s="212" t="str">
        <f t="shared" si="5"/>
        <v>RUN-COMB_2022-05-25_RFR-045</v>
      </c>
      <c r="W847" s="51"/>
      <c r="X847" s="51"/>
      <c r="Y847" s="147" t="str">
        <f t="shared" ref="Y847:Z847" si="1694">IF(_xlfn.ISFORMULA(S847),IFERROR(0/0,""),TRUE)</f>
        <v/>
      </c>
      <c r="Z847" s="147" t="str">
        <f t="shared" si="1694"/>
        <v/>
      </c>
    </row>
    <row r="848">
      <c r="A848" s="6" t="str">
        <f>IFERROR(__xludf.DUMMYFUNCTION("""COMPUTED_VALUE"""),"FM2956")</f>
        <v>FM2956</v>
      </c>
      <c r="B848" s="206">
        <f>IFERROR(__xludf.DUMMYFUNCTION("""COMPUTED_VALUE"""),44706.0)</f>
        <v>44706</v>
      </c>
      <c r="C848" s="207">
        <f>IFERROR(__xludf.DUMMYFUNCTION("""COMPUTED_VALUE"""),0.7440162037037037)</f>
        <v>0.7440162037</v>
      </c>
      <c r="D848" s="50"/>
      <c r="E848" s="58"/>
      <c r="F848" s="58"/>
      <c r="G848" s="58" t="str">
        <f>IFERROR(__xludf.DUMMYFUNCTION("""COMPUTED_VALUE"""),"Null")</f>
        <v>Null</v>
      </c>
      <c r="H848" s="206" t="str">
        <f>IFERROR(__xludf.DUMMYFUNCTION("""COMPUTED_VALUE"""),"Negative")</f>
        <v>Negative</v>
      </c>
      <c r="I848" s="207">
        <f>IFERROR(__xludf.DUMMYFUNCTION("""COMPUTED_VALUE"""),44706.0)</f>
        <v>44706</v>
      </c>
      <c r="J848" s="208">
        <f>IFERROR(__xludf.DUMMYFUNCTION("""COMPUTED_VALUE"""),0.8122569444444444)</f>
        <v>0.8122569444</v>
      </c>
      <c r="K848" s="50">
        <f>IFERROR(__xludf.DUMMYFUNCTION("""COMPUTED_VALUE"""),2.0)</f>
        <v>2</v>
      </c>
      <c r="L848" s="6"/>
      <c r="M848" s="55"/>
      <c r="N848" s="55">
        <f>IFERROR(__xludf.DUMMYFUNCTION("""COMPUTED_VALUE"""),1.0)</f>
        <v>1</v>
      </c>
      <c r="O848" s="55" t="str">
        <f t="shared" si="3"/>
        <v/>
      </c>
      <c r="P848" s="209"/>
      <c r="Q848" s="75" t="b">
        <f>VLOOKUP($B848,'Run Reconcile'!B$2:P1679,15,FALSE)</f>
        <v>1</v>
      </c>
      <c r="R848" s="211" t="str">
        <f t="array" ref="R848">IF($Q848, INDEX('Run Reconcile'!A$2:A1679,MATCH(B848,'Run Reconcile'!B$2:B1679,0),1),IFERROR(0/0,""))</f>
        <v>RUN-COMB_2022-05-25_RFR-045</v>
      </c>
      <c r="S848" s="165" t="str">
        <f t="shared" ref="S848:T848" si="1695">IF(COUNTIF(W$2:W1679, $A848) &gt; 0,TRUE,IFERROR(0/0,""))</f>
        <v/>
      </c>
      <c r="T848" s="165" t="str">
        <f t="shared" si="1695"/>
        <v/>
      </c>
      <c r="U848" s="147" t="str">
        <f t="array" ref="U848">IF(ISBLANK($R848), IF($S848,VLOOKUP($B848+1,'RFR Data - preExcl'!$BF$2:$BG1679,2,FALSE),IF($T848,INDEX('RFR Data - preExcl'!$BF$2:$BG1679,MATCH($B848,'RFR Data - preExcl'!$BF$2:$BF1679,0)+1,2),VLOOKUP($B848,'RFR Data - preExcl'!$BF$2:$BG1679,2,FALSE))),IFERROR(0/0,""))</f>
        <v/>
      </c>
      <c r="V848" s="212" t="str">
        <f t="shared" si="5"/>
        <v>RUN-COMB_2022-05-25_RFR-045</v>
      </c>
      <c r="W848" s="51"/>
      <c r="X848" s="51"/>
      <c r="Y848" s="147" t="str">
        <f t="shared" ref="Y848:Z848" si="1696">IF(_xlfn.ISFORMULA(S848),IFERROR(0/0,""),TRUE)</f>
        <v/>
      </c>
      <c r="Z848" s="147" t="str">
        <f t="shared" si="1696"/>
        <v/>
      </c>
    </row>
    <row r="849">
      <c r="A849" s="6" t="str">
        <f>IFERROR(__xludf.DUMMYFUNCTION("""COMPUTED_VALUE"""),"FM2948")</f>
        <v>FM2948</v>
      </c>
      <c r="B849" s="206">
        <f>IFERROR(__xludf.DUMMYFUNCTION("""COMPUTED_VALUE"""),44706.0)</f>
        <v>44706</v>
      </c>
      <c r="C849" s="207">
        <f>IFERROR(__xludf.DUMMYFUNCTION("""COMPUTED_VALUE"""),0.744849537037037)</f>
        <v>0.744849537</v>
      </c>
      <c r="D849" s="50"/>
      <c r="E849" s="58"/>
      <c r="F849" s="58"/>
      <c r="G849" s="58" t="str">
        <f>IFERROR(__xludf.DUMMYFUNCTION("""COMPUTED_VALUE"""),"Null")</f>
        <v>Null</v>
      </c>
      <c r="H849" s="206" t="str">
        <f>IFERROR(__xludf.DUMMYFUNCTION("""COMPUTED_VALUE"""),"Negative")</f>
        <v>Negative</v>
      </c>
      <c r="I849" s="207">
        <f>IFERROR(__xludf.DUMMYFUNCTION("""COMPUTED_VALUE"""),44706.0)</f>
        <v>44706</v>
      </c>
      <c r="J849" s="208">
        <f>IFERROR(__xludf.DUMMYFUNCTION("""COMPUTED_VALUE"""),0.8122685185185186)</f>
        <v>0.8122685185</v>
      </c>
      <c r="K849" s="50">
        <f>IFERROR(__xludf.DUMMYFUNCTION("""COMPUTED_VALUE"""),2.0)</f>
        <v>2</v>
      </c>
      <c r="L849" s="6"/>
      <c r="M849" s="55"/>
      <c r="N849" s="55">
        <f>IFERROR(__xludf.DUMMYFUNCTION("""COMPUTED_VALUE"""),1.0)</f>
        <v>1</v>
      </c>
      <c r="O849" s="55" t="str">
        <f t="shared" si="3"/>
        <v/>
      </c>
      <c r="P849" s="209"/>
      <c r="Q849" s="75" t="b">
        <f>VLOOKUP($B849,'Run Reconcile'!B$2:P1679,15,FALSE)</f>
        <v>1</v>
      </c>
      <c r="R849" s="211" t="str">
        <f t="array" ref="R849">IF($Q849, INDEX('Run Reconcile'!A$2:A1679,MATCH(B849,'Run Reconcile'!B$2:B1679,0),1),IFERROR(0/0,""))</f>
        <v>RUN-COMB_2022-05-25_RFR-045</v>
      </c>
      <c r="S849" s="165" t="str">
        <f t="shared" ref="S849:T849" si="1697">IF(COUNTIF(W$2:W1679, $A849) &gt; 0,TRUE,IFERROR(0/0,""))</f>
        <v/>
      </c>
      <c r="T849" s="165" t="str">
        <f t="shared" si="1697"/>
        <v/>
      </c>
      <c r="U849" s="147" t="str">
        <f t="array" ref="U849">IF(ISBLANK($R849), IF($S849,VLOOKUP($B849+1,'RFR Data - preExcl'!$BF$2:$BG1679,2,FALSE),IF($T849,INDEX('RFR Data - preExcl'!$BF$2:$BG1679,MATCH($B849,'RFR Data - preExcl'!$BF$2:$BF1679,0)+1,2),VLOOKUP($B849,'RFR Data - preExcl'!$BF$2:$BG1679,2,FALSE))),IFERROR(0/0,""))</f>
        <v/>
      </c>
      <c r="V849" s="212" t="str">
        <f t="shared" si="5"/>
        <v>RUN-COMB_2022-05-25_RFR-045</v>
      </c>
      <c r="W849" s="51"/>
      <c r="X849" s="51"/>
      <c r="Y849" s="147" t="str">
        <f t="shared" ref="Y849:Z849" si="1698">IF(_xlfn.ISFORMULA(S849),IFERROR(0/0,""),TRUE)</f>
        <v/>
      </c>
      <c r="Z849" s="147" t="str">
        <f t="shared" si="1698"/>
        <v/>
      </c>
    </row>
    <row r="850">
      <c r="A850" s="6" t="str">
        <f>IFERROR(__xludf.DUMMYFUNCTION("""COMPUTED_VALUE"""),"FM2944")</f>
        <v>FM2944</v>
      </c>
      <c r="B850" s="206">
        <f>IFERROR(__xludf.DUMMYFUNCTION("""COMPUTED_VALUE"""),44706.0)</f>
        <v>44706</v>
      </c>
      <c r="C850" s="207">
        <f>IFERROR(__xludf.DUMMYFUNCTION("""COMPUTED_VALUE"""),0.7454282407407408)</f>
        <v>0.7454282407</v>
      </c>
      <c r="D850" s="50"/>
      <c r="E850" s="58"/>
      <c r="F850" s="58"/>
      <c r="G850" s="58" t="str">
        <f>IFERROR(__xludf.DUMMYFUNCTION("""COMPUTED_VALUE"""),"Null")</f>
        <v>Null</v>
      </c>
      <c r="H850" s="206" t="str">
        <f>IFERROR(__xludf.DUMMYFUNCTION("""COMPUTED_VALUE"""),"Negative")</f>
        <v>Negative</v>
      </c>
      <c r="I850" s="207">
        <f>IFERROR(__xludf.DUMMYFUNCTION("""COMPUTED_VALUE"""),44706.0)</f>
        <v>44706</v>
      </c>
      <c r="J850" s="208">
        <f>IFERROR(__xludf.DUMMYFUNCTION("""COMPUTED_VALUE"""),0.8122800925925926)</f>
        <v>0.8122800926</v>
      </c>
      <c r="K850" s="50">
        <f>IFERROR(__xludf.DUMMYFUNCTION("""COMPUTED_VALUE"""),2.0)</f>
        <v>2</v>
      </c>
      <c r="L850" s="6"/>
      <c r="M850" s="55"/>
      <c r="N850" s="55">
        <f>IFERROR(__xludf.DUMMYFUNCTION("""COMPUTED_VALUE"""),1.0)</f>
        <v>1</v>
      </c>
      <c r="O850" s="55" t="str">
        <f t="shared" si="3"/>
        <v/>
      </c>
      <c r="P850" s="209"/>
      <c r="Q850" s="75" t="b">
        <f>VLOOKUP($B850,'Run Reconcile'!B$2:P1679,15,FALSE)</f>
        <v>1</v>
      </c>
      <c r="R850" s="211" t="str">
        <f t="array" ref="R850">IF($Q850, INDEX('Run Reconcile'!A$2:A1679,MATCH(B850,'Run Reconcile'!B$2:B1679,0),1),IFERROR(0/0,""))</f>
        <v>RUN-COMB_2022-05-25_RFR-045</v>
      </c>
      <c r="S850" s="165" t="str">
        <f t="shared" ref="S850:T850" si="1699">IF(COUNTIF(W$2:W1679, $A850) &gt; 0,TRUE,IFERROR(0/0,""))</f>
        <v/>
      </c>
      <c r="T850" s="165" t="str">
        <f t="shared" si="1699"/>
        <v/>
      </c>
      <c r="U850" s="147" t="str">
        <f t="array" ref="U850">IF(ISBLANK($R850), IF($S850,VLOOKUP($B850+1,'RFR Data - preExcl'!$BF$2:$BG1679,2,FALSE),IF($T850,INDEX('RFR Data - preExcl'!$BF$2:$BG1679,MATCH($B850,'RFR Data - preExcl'!$BF$2:$BF1679,0)+1,2),VLOOKUP($B850,'RFR Data - preExcl'!$BF$2:$BG1679,2,FALSE))),IFERROR(0/0,""))</f>
        <v/>
      </c>
      <c r="V850" s="212" t="str">
        <f t="shared" si="5"/>
        <v>RUN-COMB_2022-05-25_RFR-045</v>
      </c>
      <c r="W850" s="51"/>
      <c r="X850" s="51"/>
      <c r="Y850" s="147" t="str">
        <f t="shared" ref="Y850:Z850" si="1700">IF(_xlfn.ISFORMULA(S850),IFERROR(0/0,""),TRUE)</f>
        <v/>
      </c>
      <c r="Z850" s="147" t="str">
        <f t="shared" si="1700"/>
        <v/>
      </c>
    </row>
    <row r="851">
      <c r="A851" s="6" t="str">
        <f>IFERROR(__xludf.DUMMYFUNCTION("""COMPUTED_VALUE"""),"FM843")</f>
        <v>FM843</v>
      </c>
      <c r="B851" s="206">
        <f>IFERROR(__xludf.DUMMYFUNCTION("""COMPUTED_VALUE"""),44706.0)</f>
        <v>44706</v>
      </c>
      <c r="C851" s="207">
        <f>IFERROR(__xludf.DUMMYFUNCTION("""COMPUTED_VALUE"""),0.7499768518518518)</f>
        <v>0.7499768519</v>
      </c>
      <c r="D851" s="50"/>
      <c r="E851" s="58"/>
      <c r="F851" s="58"/>
      <c r="G851" s="58" t="str">
        <f>IFERROR(__xludf.DUMMYFUNCTION("""COMPUTED_VALUE"""),"Null")</f>
        <v>Null</v>
      </c>
      <c r="H851" s="206" t="str">
        <f>IFERROR(__xludf.DUMMYFUNCTION("""COMPUTED_VALUE"""),"Negative")</f>
        <v>Negative</v>
      </c>
      <c r="I851" s="207">
        <f>IFERROR(__xludf.DUMMYFUNCTION("""COMPUTED_VALUE"""),44706.0)</f>
        <v>44706</v>
      </c>
      <c r="J851" s="208">
        <f>IFERROR(__xludf.DUMMYFUNCTION("""COMPUTED_VALUE"""),0.8123148148148148)</f>
        <v>0.8123148148</v>
      </c>
      <c r="K851" s="50">
        <f>IFERROR(__xludf.DUMMYFUNCTION("""COMPUTED_VALUE"""),2.0)</f>
        <v>2</v>
      </c>
      <c r="L851" s="6"/>
      <c r="M851" s="55"/>
      <c r="N851" s="55">
        <f>IFERROR(__xludf.DUMMYFUNCTION("""COMPUTED_VALUE"""),1.0)</f>
        <v>1</v>
      </c>
      <c r="O851" s="55" t="str">
        <f t="shared" si="3"/>
        <v/>
      </c>
      <c r="P851" s="209"/>
      <c r="Q851" s="75" t="b">
        <f>VLOOKUP($B851,'Run Reconcile'!B$2:P1679,15,FALSE)</f>
        <v>1</v>
      </c>
      <c r="R851" s="211" t="str">
        <f t="array" ref="R851">IF($Q851, INDEX('Run Reconcile'!A$2:A1679,MATCH(B851,'Run Reconcile'!B$2:B1679,0),1),IFERROR(0/0,""))</f>
        <v>RUN-COMB_2022-05-25_RFR-045</v>
      </c>
      <c r="S851" s="165" t="str">
        <f t="shared" ref="S851:T851" si="1701">IF(COUNTIF(W$2:W1679, $A851) &gt; 0,TRUE,IFERROR(0/0,""))</f>
        <v/>
      </c>
      <c r="T851" s="165" t="str">
        <f t="shared" si="1701"/>
        <v/>
      </c>
      <c r="U851" s="147" t="str">
        <f t="array" ref="U851">IF(ISBLANK($R851), IF($S851,VLOOKUP($B851+1,'RFR Data - preExcl'!$BF$2:$BG1679,2,FALSE),IF($T851,INDEX('RFR Data - preExcl'!$BF$2:$BG1679,MATCH($B851,'RFR Data - preExcl'!$BF$2:$BF1679,0)+1,2),VLOOKUP($B851,'RFR Data - preExcl'!$BF$2:$BG1679,2,FALSE))),IFERROR(0/0,""))</f>
        <v/>
      </c>
      <c r="V851" s="212" t="str">
        <f t="shared" si="5"/>
        <v>RUN-COMB_2022-05-25_RFR-045</v>
      </c>
      <c r="W851" s="51"/>
      <c r="X851" s="51"/>
      <c r="Y851" s="147" t="str">
        <f t="shared" ref="Y851:Z851" si="1702">IF(_xlfn.ISFORMULA(S851),IFERROR(0/0,""),TRUE)</f>
        <v/>
      </c>
      <c r="Z851" s="147" t="str">
        <f t="shared" si="1702"/>
        <v/>
      </c>
    </row>
    <row r="852">
      <c r="A852" s="6" t="str">
        <f>IFERROR(__xludf.DUMMYFUNCTION("""COMPUTED_VALUE"""),"FM1958")</f>
        <v>FM1958</v>
      </c>
      <c r="B852" s="206">
        <f>IFERROR(__xludf.DUMMYFUNCTION("""COMPUTED_VALUE"""),44706.0)</f>
        <v>44706</v>
      </c>
      <c r="C852" s="207">
        <f>IFERROR(__xludf.DUMMYFUNCTION("""COMPUTED_VALUE"""),0.8111689814814815)</f>
        <v>0.8111689815</v>
      </c>
      <c r="D852" s="50"/>
      <c r="E852" s="58"/>
      <c r="F852" s="58"/>
      <c r="G852" s="58" t="str">
        <f>IFERROR(__xludf.DUMMYFUNCTION("""COMPUTED_VALUE"""),"Null")</f>
        <v>Null</v>
      </c>
      <c r="H852" s="206" t="str">
        <f>IFERROR(__xludf.DUMMYFUNCTION("""COMPUTED_VALUE"""),"Negative")</f>
        <v>Negative</v>
      </c>
      <c r="I852" s="207">
        <f>IFERROR(__xludf.DUMMYFUNCTION("""COMPUTED_VALUE"""),44706.0)</f>
        <v>44706</v>
      </c>
      <c r="J852" s="208">
        <f>IFERROR(__xludf.DUMMYFUNCTION("""COMPUTED_VALUE"""),0.8123611111111111)</f>
        <v>0.8123611111</v>
      </c>
      <c r="K852" s="50">
        <f>IFERROR(__xludf.DUMMYFUNCTION("""COMPUTED_VALUE"""),2.0)</f>
        <v>2</v>
      </c>
      <c r="L852" s="6"/>
      <c r="M852" s="55"/>
      <c r="N852" s="55">
        <f>IFERROR(__xludf.DUMMYFUNCTION("""COMPUTED_VALUE"""),1.0)</f>
        <v>1</v>
      </c>
      <c r="O852" s="55" t="str">
        <f t="shared" si="3"/>
        <v/>
      </c>
      <c r="P852" s="209"/>
      <c r="Q852" s="75" t="b">
        <f>VLOOKUP($B852,'Run Reconcile'!B$2:P1679,15,FALSE)</f>
        <v>1</v>
      </c>
      <c r="R852" s="211" t="str">
        <f t="array" ref="R852">IF($Q852, INDEX('Run Reconcile'!A$2:A1679,MATCH(B852,'Run Reconcile'!B$2:B1679,0),1),IFERROR(0/0,""))</f>
        <v>RUN-COMB_2022-05-25_RFR-045</v>
      </c>
      <c r="S852" s="165" t="str">
        <f t="shared" ref="S852:T852" si="1703">IF(COUNTIF(W$2:W1679, $A852) &gt; 0,TRUE,IFERROR(0/0,""))</f>
        <v/>
      </c>
      <c r="T852" s="165" t="str">
        <f t="shared" si="1703"/>
        <v/>
      </c>
      <c r="U852" s="147" t="str">
        <f t="array" ref="U852">IF(ISBLANK($R852), IF($S852,VLOOKUP($B852+1,'RFR Data - preExcl'!$BF$2:$BG1679,2,FALSE),IF($T852,INDEX('RFR Data - preExcl'!$BF$2:$BG1679,MATCH($B852,'RFR Data - preExcl'!$BF$2:$BF1679,0)+1,2),VLOOKUP($B852,'RFR Data - preExcl'!$BF$2:$BG1679,2,FALSE))),IFERROR(0/0,""))</f>
        <v/>
      </c>
      <c r="V852" s="212" t="str">
        <f t="shared" si="5"/>
        <v>RUN-COMB_2022-05-25_RFR-045</v>
      </c>
      <c r="W852" s="51"/>
      <c r="X852" s="51"/>
      <c r="Y852" s="147" t="str">
        <f t="shared" ref="Y852:Z852" si="1704">IF(_xlfn.ISFORMULA(S852),IFERROR(0/0,""),TRUE)</f>
        <v/>
      </c>
      <c r="Z852" s="147" t="str">
        <f t="shared" si="1704"/>
        <v/>
      </c>
    </row>
    <row r="853">
      <c r="A853" s="6" t="str">
        <f>IFERROR(__xludf.DUMMYFUNCTION("""COMPUTED_VALUE"""),"FM1972")</f>
        <v>FM1972</v>
      </c>
      <c r="B853" s="206">
        <f>IFERROR(__xludf.DUMMYFUNCTION("""COMPUTED_VALUE"""),44707.0)</f>
        <v>44707</v>
      </c>
      <c r="C853" s="207">
        <f>IFERROR(__xludf.DUMMYFUNCTION("""COMPUTED_VALUE"""),0.2644212962962963)</f>
        <v>0.2644212963</v>
      </c>
      <c r="D853" s="50"/>
      <c r="E853" s="58"/>
      <c r="F853" s="58"/>
      <c r="G853" s="58" t="str">
        <f>IFERROR(__xludf.DUMMYFUNCTION("""COMPUTED_VALUE"""),"Null")</f>
        <v>Null</v>
      </c>
      <c r="H853" s="206" t="str">
        <f>IFERROR(__xludf.DUMMYFUNCTION("""COMPUTED_VALUE"""),"Negative")</f>
        <v>Negative</v>
      </c>
      <c r="I853" s="207"/>
      <c r="J853" s="50"/>
      <c r="K853" s="50">
        <f>IFERROR(__xludf.DUMMYFUNCTION("""COMPUTED_VALUE"""),2.0)</f>
        <v>2</v>
      </c>
      <c r="L853" s="6"/>
      <c r="M853" s="55"/>
      <c r="N853" s="55">
        <f>IFERROR(__xludf.DUMMYFUNCTION("""COMPUTED_VALUE"""),1.0)</f>
        <v>1</v>
      </c>
      <c r="O853" s="55" t="b">
        <f t="shared" si="3"/>
        <v>1</v>
      </c>
      <c r="P853" s="209"/>
      <c r="Q853" s="75" t="b">
        <f>VLOOKUP($B853,'Run Reconcile'!B$2:P1679,15,FALSE)</f>
        <v>1</v>
      </c>
      <c r="R853" s="211" t="str">
        <f t="array" ref="R853">IF($Q853, INDEX('Run Reconcile'!A$2:A1679,MATCH(B853,'Run Reconcile'!B$2:B1679,0),1),IFERROR(0/0,""))</f>
        <v>RUN-COMB_2022-05-26_RFR-047</v>
      </c>
      <c r="S853" s="165" t="str">
        <f t="shared" ref="S853:T853" si="1705">IF(COUNTIF(W$2:W1679, $A853) &gt; 0,TRUE,IFERROR(0/0,""))</f>
        <v/>
      </c>
      <c r="T853" s="165" t="str">
        <f t="shared" si="1705"/>
        <v/>
      </c>
      <c r="U853" s="147" t="str">
        <f t="array" ref="U853">IF(ISBLANK($R853), IF($S853,VLOOKUP($B853+1,'RFR Data - preExcl'!$BF$2:$BG1679,2,FALSE),IF($T853,INDEX('RFR Data - preExcl'!$BF$2:$BG1679,MATCH($B853,'RFR Data - preExcl'!$BF$2:$BF1679,0)+1,2),VLOOKUP($B853,'RFR Data - preExcl'!$BF$2:$BG1679,2,FALSE))),IFERROR(0/0,""))</f>
        <v/>
      </c>
      <c r="V853" s="212" t="str">
        <f t="shared" si="5"/>
        <v>RUN-COMB_2022-05-26_RFR-047</v>
      </c>
      <c r="W853" s="51"/>
      <c r="X853" s="51"/>
      <c r="Y853" s="147" t="str">
        <f t="shared" ref="Y853:Z853" si="1706">IF(_xlfn.ISFORMULA(S853),IFERROR(0/0,""),TRUE)</f>
        <v/>
      </c>
      <c r="Z853" s="147" t="str">
        <f t="shared" si="1706"/>
        <v/>
      </c>
    </row>
    <row r="854">
      <c r="A854" s="6" t="str">
        <f>IFERROR(__xludf.DUMMYFUNCTION("""COMPUTED_VALUE"""),"FM849")</f>
        <v>FM849</v>
      </c>
      <c r="B854" s="206">
        <f>IFERROR(__xludf.DUMMYFUNCTION("""COMPUTED_VALUE"""),44707.0)</f>
        <v>44707</v>
      </c>
      <c r="C854" s="207">
        <f>IFERROR(__xludf.DUMMYFUNCTION("""COMPUTED_VALUE"""),0.26483796296296297)</f>
        <v>0.264837963</v>
      </c>
      <c r="D854" s="50"/>
      <c r="E854" s="58"/>
      <c r="F854" s="58"/>
      <c r="G854" s="58" t="str">
        <f>IFERROR(__xludf.DUMMYFUNCTION("""COMPUTED_VALUE"""),"Null")</f>
        <v>Null</v>
      </c>
      <c r="H854" s="206" t="str">
        <f>IFERROR(__xludf.DUMMYFUNCTION("""COMPUTED_VALUE"""),"Negative")</f>
        <v>Negative</v>
      </c>
      <c r="I854" s="207"/>
      <c r="J854" s="50"/>
      <c r="K854" s="50">
        <f>IFERROR(__xludf.DUMMYFUNCTION("""COMPUTED_VALUE"""),2.0)</f>
        <v>2</v>
      </c>
      <c r="L854" s="6"/>
      <c r="M854" s="55"/>
      <c r="N854" s="55">
        <f>IFERROR(__xludf.DUMMYFUNCTION("""COMPUTED_VALUE"""),1.0)</f>
        <v>1</v>
      </c>
      <c r="O854" s="55" t="str">
        <f t="shared" si="3"/>
        <v/>
      </c>
      <c r="P854" s="209"/>
      <c r="Q854" s="75" t="b">
        <f>VLOOKUP($B854,'Run Reconcile'!B$2:P1679,15,FALSE)</f>
        <v>1</v>
      </c>
      <c r="R854" s="211" t="str">
        <f t="array" ref="R854">IF($Q854, INDEX('Run Reconcile'!A$2:A1679,MATCH(B854,'Run Reconcile'!B$2:B1679,0),1),IFERROR(0/0,""))</f>
        <v>RUN-COMB_2022-05-26_RFR-047</v>
      </c>
      <c r="S854" s="165" t="str">
        <f t="shared" ref="S854:T854" si="1707">IF(COUNTIF(W$2:W1679, $A854) &gt; 0,TRUE,IFERROR(0/0,""))</f>
        <v/>
      </c>
      <c r="T854" s="165" t="str">
        <f t="shared" si="1707"/>
        <v/>
      </c>
      <c r="U854" s="147" t="str">
        <f t="array" ref="U854">IF(ISBLANK($R854), IF($S854,VLOOKUP($B854+1,'RFR Data - preExcl'!$BF$2:$BG1679,2,FALSE),IF($T854,INDEX('RFR Data - preExcl'!$BF$2:$BG1679,MATCH($B854,'RFR Data - preExcl'!$BF$2:$BF1679,0)+1,2),VLOOKUP($B854,'RFR Data - preExcl'!$BF$2:$BG1679,2,FALSE))),IFERROR(0/0,""))</f>
        <v/>
      </c>
      <c r="V854" s="212" t="str">
        <f t="shared" si="5"/>
        <v>RUN-COMB_2022-05-26_RFR-047</v>
      </c>
      <c r="W854" s="51"/>
      <c r="X854" s="51"/>
      <c r="Y854" s="147" t="str">
        <f t="shared" ref="Y854:Z854" si="1708">IF(_xlfn.ISFORMULA(S854),IFERROR(0/0,""),TRUE)</f>
        <v/>
      </c>
      <c r="Z854" s="147" t="str">
        <f t="shared" si="1708"/>
        <v/>
      </c>
    </row>
    <row r="855">
      <c r="A855" s="6" t="str">
        <f>IFERROR(__xludf.DUMMYFUNCTION("""COMPUTED_VALUE"""),"FM864")</f>
        <v>FM864</v>
      </c>
      <c r="B855" s="206">
        <f>IFERROR(__xludf.DUMMYFUNCTION("""COMPUTED_VALUE"""),44707.0)</f>
        <v>44707</v>
      </c>
      <c r="C855" s="207">
        <f>IFERROR(__xludf.DUMMYFUNCTION("""COMPUTED_VALUE"""),0.2663888888888889)</f>
        <v>0.2663888889</v>
      </c>
      <c r="D855" s="50"/>
      <c r="E855" s="58"/>
      <c r="F855" s="58"/>
      <c r="G855" s="58" t="str">
        <f>IFERROR(__xludf.DUMMYFUNCTION("""COMPUTED_VALUE"""),"Null")</f>
        <v>Null</v>
      </c>
      <c r="H855" s="206" t="str">
        <f>IFERROR(__xludf.DUMMYFUNCTION("""COMPUTED_VALUE"""),"Negative")</f>
        <v>Negative</v>
      </c>
      <c r="I855" s="207"/>
      <c r="J855" s="50"/>
      <c r="K855" s="50">
        <f>IFERROR(__xludf.DUMMYFUNCTION("""COMPUTED_VALUE"""),2.0)</f>
        <v>2</v>
      </c>
      <c r="L855" s="6"/>
      <c r="M855" s="55"/>
      <c r="N855" s="55">
        <f>IFERROR(__xludf.DUMMYFUNCTION("""COMPUTED_VALUE"""),1.0)</f>
        <v>1</v>
      </c>
      <c r="O855" s="55" t="str">
        <f t="shared" si="3"/>
        <v/>
      </c>
      <c r="P855" s="209"/>
      <c r="Q855" s="75" t="b">
        <f>VLOOKUP($B855,'Run Reconcile'!B$2:P1679,15,FALSE)</f>
        <v>1</v>
      </c>
      <c r="R855" s="211" t="str">
        <f t="array" ref="R855">IF($Q855, INDEX('Run Reconcile'!A$2:A1679,MATCH(B855,'Run Reconcile'!B$2:B1679,0),1),IFERROR(0/0,""))</f>
        <v>RUN-COMB_2022-05-26_RFR-047</v>
      </c>
      <c r="S855" s="165" t="str">
        <f t="shared" ref="S855:T855" si="1709">IF(COUNTIF(W$2:W1679, $A855) &gt; 0,TRUE,IFERROR(0/0,""))</f>
        <v/>
      </c>
      <c r="T855" s="165" t="str">
        <f t="shared" si="1709"/>
        <v/>
      </c>
      <c r="U855" s="147" t="str">
        <f t="array" ref="U855">IF(ISBLANK($R855), IF($S855,VLOOKUP($B855+1,'RFR Data - preExcl'!$BF$2:$BG1679,2,FALSE),IF($T855,INDEX('RFR Data - preExcl'!$BF$2:$BG1679,MATCH($B855,'RFR Data - preExcl'!$BF$2:$BF1679,0)+1,2),VLOOKUP($B855,'RFR Data - preExcl'!$BF$2:$BG1679,2,FALSE))),IFERROR(0/0,""))</f>
        <v/>
      </c>
      <c r="V855" s="212" t="str">
        <f t="shared" si="5"/>
        <v>RUN-COMB_2022-05-26_RFR-047</v>
      </c>
      <c r="W855" s="51"/>
      <c r="X855" s="51"/>
      <c r="Y855" s="147" t="str">
        <f t="shared" ref="Y855:Z855" si="1710">IF(_xlfn.ISFORMULA(S855),IFERROR(0/0,""),TRUE)</f>
        <v/>
      </c>
      <c r="Z855" s="147" t="str">
        <f t="shared" si="1710"/>
        <v/>
      </c>
    </row>
    <row r="856">
      <c r="A856" s="6" t="str">
        <f>IFERROR(__xludf.DUMMYFUNCTION("""COMPUTED_VALUE"""),"FM869")</f>
        <v>FM869</v>
      </c>
      <c r="B856" s="206">
        <f>IFERROR(__xludf.DUMMYFUNCTION("""COMPUTED_VALUE"""),44707.0)</f>
        <v>44707</v>
      </c>
      <c r="C856" s="207">
        <f>IFERROR(__xludf.DUMMYFUNCTION("""COMPUTED_VALUE"""),0.2667476851851852)</f>
        <v>0.2667476852</v>
      </c>
      <c r="D856" s="50"/>
      <c r="E856" s="58"/>
      <c r="F856" s="58"/>
      <c r="G856" s="58" t="str">
        <f>IFERROR(__xludf.DUMMYFUNCTION("""COMPUTED_VALUE"""),"Null")</f>
        <v>Null</v>
      </c>
      <c r="H856" s="206" t="str">
        <f>IFERROR(__xludf.DUMMYFUNCTION("""COMPUTED_VALUE"""),"Negative")</f>
        <v>Negative</v>
      </c>
      <c r="I856" s="207"/>
      <c r="J856" s="50"/>
      <c r="K856" s="50">
        <f>IFERROR(__xludf.DUMMYFUNCTION("""COMPUTED_VALUE"""),2.0)</f>
        <v>2</v>
      </c>
      <c r="L856" s="6"/>
      <c r="M856" s="55"/>
      <c r="N856" s="55">
        <f>IFERROR(__xludf.DUMMYFUNCTION("""COMPUTED_VALUE"""),1.0)</f>
        <v>1</v>
      </c>
      <c r="O856" s="55" t="str">
        <f t="shared" si="3"/>
        <v/>
      </c>
      <c r="P856" s="209"/>
      <c r="Q856" s="75" t="b">
        <f>VLOOKUP($B856,'Run Reconcile'!B$2:P1679,15,FALSE)</f>
        <v>1</v>
      </c>
      <c r="R856" s="211" t="str">
        <f t="array" ref="R856">IF($Q856, INDEX('Run Reconcile'!A$2:A1679,MATCH(B856,'Run Reconcile'!B$2:B1679,0),1),IFERROR(0/0,""))</f>
        <v>RUN-COMB_2022-05-26_RFR-047</v>
      </c>
      <c r="S856" s="165" t="str">
        <f t="shared" ref="S856:T856" si="1711">IF(COUNTIF(W$2:W1679, $A856) &gt; 0,TRUE,IFERROR(0/0,""))</f>
        <v/>
      </c>
      <c r="T856" s="165" t="str">
        <f t="shared" si="1711"/>
        <v/>
      </c>
      <c r="U856" s="147" t="str">
        <f t="array" ref="U856">IF(ISBLANK($R856), IF($S856,VLOOKUP($B856+1,'RFR Data - preExcl'!$BF$2:$BG1679,2,FALSE),IF($T856,INDEX('RFR Data - preExcl'!$BF$2:$BG1679,MATCH($B856,'RFR Data - preExcl'!$BF$2:$BF1679,0)+1,2),VLOOKUP($B856,'RFR Data - preExcl'!$BF$2:$BG1679,2,FALSE))),IFERROR(0/0,""))</f>
        <v/>
      </c>
      <c r="V856" s="212" t="str">
        <f t="shared" si="5"/>
        <v>RUN-COMB_2022-05-26_RFR-047</v>
      </c>
      <c r="W856" s="51"/>
      <c r="X856" s="51"/>
      <c r="Y856" s="147" t="str">
        <f t="shared" ref="Y856:Z856" si="1712">IF(_xlfn.ISFORMULA(S856),IFERROR(0/0,""),TRUE)</f>
        <v/>
      </c>
      <c r="Z856" s="147" t="str">
        <f t="shared" si="1712"/>
        <v/>
      </c>
    </row>
    <row r="857">
      <c r="A857" s="6" t="str">
        <f>IFERROR(__xludf.DUMMYFUNCTION("""COMPUTED_VALUE"""),"FM1936")</f>
        <v>FM1936</v>
      </c>
      <c r="B857" s="206">
        <f>IFERROR(__xludf.DUMMYFUNCTION("""COMPUTED_VALUE"""),44707.0)</f>
        <v>44707</v>
      </c>
      <c r="C857" s="207">
        <f>IFERROR(__xludf.DUMMYFUNCTION("""COMPUTED_VALUE"""),0.2671296296296296)</f>
        <v>0.2671296296</v>
      </c>
      <c r="D857" s="50"/>
      <c r="E857" s="58"/>
      <c r="F857" s="58"/>
      <c r="G857" s="58" t="str">
        <f>IFERROR(__xludf.DUMMYFUNCTION("""COMPUTED_VALUE"""),"Null")</f>
        <v>Null</v>
      </c>
      <c r="H857" s="206" t="str">
        <f>IFERROR(__xludf.DUMMYFUNCTION("""COMPUTED_VALUE"""),"Negative")</f>
        <v>Negative</v>
      </c>
      <c r="I857" s="207"/>
      <c r="J857" s="50"/>
      <c r="K857" s="50">
        <f>IFERROR(__xludf.DUMMYFUNCTION("""COMPUTED_VALUE"""),2.0)</f>
        <v>2</v>
      </c>
      <c r="L857" s="6"/>
      <c r="M857" s="55"/>
      <c r="N857" s="55">
        <f>IFERROR(__xludf.DUMMYFUNCTION("""COMPUTED_VALUE"""),1.0)</f>
        <v>1</v>
      </c>
      <c r="O857" s="55" t="str">
        <f t="shared" si="3"/>
        <v/>
      </c>
      <c r="P857" s="209"/>
      <c r="Q857" s="75" t="b">
        <f>VLOOKUP($B857,'Run Reconcile'!B$2:P1679,15,FALSE)</f>
        <v>1</v>
      </c>
      <c r="R857" s="211" t="str">
        <f t="array" ref="R857">IF($Q857, INDEX('Run Reconcile'!A$2:A1679,MATCH(B857,'Run Reconcile'!B$2:B1679,0),1),IFERROR(0/0,""))</f>
        <v>RUN-COMB_2022-05-26_RFR-047</v>
      </c>
      <c r="S857" s="165" t="str">
        <f t="shared" ref="S857:T857" si="1713">IF(COUNTIF(W$2:W1679, $A857) &gt; 0,TRUE,IFERROR(0/0,""))</f>
        <v/>
      </c>
      <c r="T857" s="165" t="str">
        <f t="shared" si="1713"/>
        <v/>
      </c>
      <c r="U857" s="147" t="str">
        <f t="array" ref="U857">IF(ISBLANK($R857), IF($S857,VLOOKUP($B857+1,'RFR Data - preExcl'!$BF$2:$BG1679,2,FALSE),IF($T857,INDEX('RFR Data - preExcl'!$BF$2:$BG1679,MATCH($B857,'RFR Data - preExcl'!$BF$2:$BF1679,0)+1,2),VLOOKUP($B857,'RFR Data - preExcl'!$BF$2:$BG1679,2,FALSE))),IFERROR(0/0,""))</f>
        <v/>
      </c>
      <c r="V857" s="212" t="str">
        <f t="shared" si="5"/>
        <v>RUN-COMB_2022-05-26_RFR-047</v>
      </c>
      <c r="W857" s="51"/>
      <c r="X857" s="51"/>
      <c r="Y857" s="147" t="str">
        <f t="shared" ref="Y857:Z857" si="1714">IF(_xlfn.ISFORMULA(S857),IFERROR(0/0,""),TRUE)</f>
        <v/>
      </c>
      <c r="Z857" s="147" t="str">
        <f t="shared" si="1714"/>
        <v/>
      </c>
    </row>
    <row r="858">
      <c r="A858" s="6" t="str">
        <f>IFERROR(__xludf.DUMMYFUNCTION("""COMPUTED_VALUE"""),"FM862")</f>
        <v>FM862</v>
      </c>
      <c r="B858" s="206">
        <f>IFERROR(__xludf.DUMMYFUNCTION("""COMPUTED_VALUE"""),44707.0)</f>
        <v>44707</v>
      </c>
      <c r="C858" s="207">
        <f>IFERROR(__xludf.DUMMYFUNCTION("""COMPUTED_VALUE"""),0.2675)</f>
        <v>0.2675</v>
      </c>
      <c r="D858" s="50"/>
      <c r="E858" s="58"/>
      <c r="F858" s="58"/>
      <c r="G858" s="58" t="str">
        <f>IFERROR(__xludf.DUMMYFUNCTION("""COMPUTED_VALUE"""),"Null")</f>
        <v>Null</v>
      </c>
      <c r="H858" s="206" t="str">
        <f>IFERROR(__xludf.DUMMYFUNCTION("""COMPUTED_VALUE"""),"Negative")</f>
        <v>Negative</v>
      </c>
      <c r="I858" s="207"/>
      <c r="J858" s="50"/>
      <c r="K858" s="50">
        <f>IFERROR(__xludf.DUMMYFUNCTION("""COMPUTED_VALUE"""),2.0)</f>
        <v>2</v>
      </c>
      <c r="L858" s="6"/>
      <c r="M858" s="55"/>
      <c r="N858" s="55">
        <f>IFERROR(__xludf.DUMMYFUNCTION("""COMPUTED_VALUE"""),1.0)</f>
        <v>1</v>
      </c>
      <c r="O858" s="55" t="str">
        <f t="shared" si="3"/>
        <v/>
      </c>
      <c r="P858" s="209"/>
      <c r="Q858" s="75" t="b">
        <f>VLOOKUP($B858,'Run Reconcile'!B$2:P1679,15,FALSE)</f>
        <v>1</v>
      </c>
      <c r="R858" s="211" t="str">
        <f t="array" ref="R858">IF($Q858, INDEX('Run Reconcile'!A$2:A1679,MATCH(B858,'Run Reconcile'!B$2:B1679,0),1),IFERROR(0/0,""))</f>
        <v>RUN-COMB_2022-05-26_RFR-047</v>
      </c>
      <c r="S858" s="165" t="str">
        <f t="shared" ref="S858:T858" si="1715">IF(COUNTIF(W$2:W1679, $A858) &gt; 0,TRUE,IFERROR(0/0,""))</f>
        <v/>
      </c>
      <c r="T858" s="165" t="str">
        <f t="shared" si="1715"/>
        <v/>
      </c>
      <c r="U858" s="147" t="str">
        <f t="array" ref="U858">IF(ISBLANK($R858), IF($S858,VLOOKUP($B858+1,'RFR Data - preExcl'!$BF$2:$BG1679,2,FALSE),IF($T858,INDEX('RFR Data - preExcl'!$BF$2:$BG1679,MATCH($B858,'RFR Data - preExcl'!$BF$2:$BF1679,0)+1,2),VLOOKUP($B858,'RFR Data - preExcl'!$BF$2:$BG1679,2,FALSE))),IFERROR(0/0,""))</f>
        <v/>
      </c>
      <c r="V858" s="212" t="str">
        <f t="shared" si="5"/>
        <v>RUN-COMB_2022-05-26_RFR-047</v>
      </c>
      <c r="W858" s="51"/>
      <c r="X858" s="51"/>
      <c r="Y858" s="147" t="str">
        <f t="shared" ref="Y858:Z858" si="1716">IF(_xlfn.ISFORMULA(S858),IFERROR(0/0,""),TRUE)</f>
        <v/>
      </c>
      <c r="Z858" s="147" t="str">
        <f t="shared" si="1716"/>
        <v/>
      </c>
    </row>
    <row r="859">
      <c r="A859" s="6" t="str">
        <f>IFERROR(__xludf.DUMMYFUNCTION("""COMPUTED_VALUE"""),"FM1955")</f>
        <v>FM1955</v>
      </c>
      <c r="B859" s="206">
        <f>IFERROR(__xludf.DUMMYFUNCTION("""COMPUTED_VALUE"""),44707.0)</f>
        <v>44707</v>
      </c>
      <c r="C859" s="207">
        <f>IFERROR(__xludf.DUMMYFUNCTION("""COMPUTED_VALUE"""),0.2680208333333333)</f>
        <v>0.2680208333</v>
      </c>
      <c r="D859" s="50"/>
      <c r="E859" s="58"/>
      <c r="F859" s="58"/>
      <c r="G859" s="58" t="str">
        <f>IFERROR(__xludf.DUMMYFUNCTION("""COMPUTED_VALUE"""),"Null")</f>
        <v>Null</v>
      </c>
      <c r="H859" s="206" t="str">
        <f>IFERROR(__xludf.DUMMYFUNCTION("""COMPUTED_VALUE"""),"Negative")</f>
        <v>Negative</v>
      </c>
      <c r="I859" s="207"/>
      <c r="J859" s="50"/>
      <c r="K859" s="50">
        <f>IFERROR(__xludf.DUMMYFUNCTION("""COMPUTED_VALUE"""),2.0)</f>
        <v>2</v>
      </c>
      <c r="L859" s="6"/>
      <c r="M859" s="55"/>
      <c r="N859" s="55">
        <f>IFERROR(__xludf.DUMMYFUNCTION("""COMPUTED_VALUE"""),1.0)</f>
        <v>1</v>
      </c>
      <c r="O859" s="55" t="str">
        <f t="shared" si="3"/>
        <v/>
      </c>
      <c r="P859" s="209"/>
      <c r="Q859" s="75" t="b">
        <f>VLOOKUP($B859,'Run Reconcile'!B$2:P1679,15,FALSE)</f>
        <v>1</v>
      </c>
      <c r="R859" s="211" t="str">
        <f t="array" ref="R859">IF($Q859, INDEX('Run Reconcile'!A$2:A1679,MATCH(B859,'Run Reconcile'!B$2:B1679,0),1),IFERROR(0/0,""))</f>
        <v>RUN-COMB_2022-05-26_RFR-047</v>
      </c>
      <c r="S859" s="165" t="str">
        <f t="shared" ref="S859:T859" si="1717">IF(COUNTIF(W$2:W1679, $A859) &gt; 0,TRUE,IFERROR(0/0,""))</f>
        <v/>
      </c>
      <c r="T859" s="165" t="str">
        <f t="shared" si="1717"/>
        <v/>
      </c>
      <c r="U859" s="147" t="str">
        <f t="array" ref="U859">IF(ISBLANK($R859), IF($S859,VLOOKUP($B859+1,'RFR Data - preExcl'!$BF$2:$BG1679,2,FALSE),IF($T859,INDEX('RFR Data - preExcl'!$BF$2:$BG1679,MATCH($B859,'RFR Data - preExcl'!$BF$2:$BF1679,0)+1,2),VLOOKUP($B859,'RFR Data - preExcl'!$BF$2:$BG1679,2,FALSE))),IFERROR(0/0,""))</f>
        <v/>
      </c>
      <c r="V859" s="212" t="str">
        <f t="shared" si="5"/>
        <v>RUN-COMB_2022-05-26_RFR-047</v>
      </c>
      <c r="W859" s="51"/>
      <c r="X859" s="51"/>
      <c r="Y859" s="147" t="str">
        <f t="shared" ref="Y859:Z859" si="1718">IF(_xlfn.ISFORMULA(S859),IFERROR(0/0,""),TRUE)</f>
        <v/>
      </c>
      <c r="Z859" s="147" t="str">
        <f t="shared" si="1718"/>
        <v/>
      </c>
    </row>
    <row r="860">
      <c r="A860" s="6" t="str">
        <f>IFERROR(__xludf.DUMMYFUNCTION("""COMPUTED_VALUE"""),"FM867")</f>
        <v>FM867</v>
      </c>
      <c r="B860" s="206">
        <f>IFERROR(__xludf.DUMMYFUNCTION("""COMPUTED_VALUE"""),44707.0)</f>
        <v>44707</v>
      </c>
      <c r="C860" s="207">
        <f>IFERROR(__xludf.DUMMYFUNCTION("""COMPUTED_VALUE"""),0.26846064814814813)</f>
        <v>0.2684606481</v>
      </c>
      <c r="D860" s="50"/>
      <c r="E860" s="58"/>
      <c r="F860" s="58"/>
      <c r="G860" s="58" t="str">
        <f>IFERROR(__xludf.DUMMYFUNCTION("""COMPUTED_VALUE"""),"Null")</f>
        <v>Null</v>
      </c>
      <c r="H860" s="206" t="str">
        <f>IFERROR(__xludf.DUMMYFUNCTION("""COMPUTED_VALUE"""),"Negative")</f>
        <v>Negative</v>
      </c>
      <c r="I860" s="207"/>
      <c r="J860" s="50"/>
      <c r="K860" s="50">
        <f>IFERROR(__xludf.DUMMYFUNCTION("""COMPUTED_VALUE"""),2.0)</f>
        <v>2</v>
      </c>
      <c r="L860" s="6"/>
      <c r="M860" s="55"/>
      <c r="N860" s="55">
        <f>IFERROR(__xludf.DUMMYFUNCTION("""COMPUTED_VALUE"""),1.0)</f>
        <v>1</v>
      </c>
      <c r="O860" s="55" t="str">
        <f t="shared" si="3"/>
        <v/>
      </c>
      <c r="P860" s="209"/>
      <c r="Q860" s="75" t="b">
        <f>VLOOKUP($B860,'Run Reconcile'!B$2:P1679,15,FALSE)</f>
        <v>1</v>
      </c>
      <c r="R860" s="211" t="str">
        <f t="array" ref="R860">IF($Q860, INDEX('Run Reconcile'!A$2:A1679,MATCH(B860,'Run Reconcile'!B$2:B1679,0),1),IFERROR(0/0,""))</f>
        <v>RUN-COMB_2022-05-26_RFR-047</v>
      </c>
      <c r="S860" s="165" t="str">
        <f t="shared" ref="S860:T860" si="1719">IF(COUNTIF(W$2:W1679, $A860) &gt; 0,TRUE,IFERROR(0/0,""))</f>
        <v/>
      </c>
      <c r="T860" s="165" t="str">
        <f t="shared" si="1719"/>
        <v/>
      </c>
      <c r="U860" s="147" t="str">
        <f t="array" ref="U860">IF(ISBLANK($R860), IF($S860,VLOOKUP($B860+1,'RFR Data - preExcl'!$BF$2:$BG1679,2,FALSE),IF($T860,INDEX('RFR Data - preExcl'!$BF$2:$BG1679,MATCH($B860,'RFR Data - preExcl'!$BF$2:$BF1679,0)+1,2),VLOOKUP($B860,'RFR Data - preExcl'!$BF$2:$BG1679,2,FALSE))),IFERROR(0/0,""))</f>
        <v/>
      </c>
      <c r="V860" s="212" t="str">
        <f t="shared" si="5"/>
        <v>RUN-COMB_2022-05-26_RFR-047</v>
      </c>
      <c r="W860" s="51"/>
      <c r="X860" s="51"/>
      <c r="Y860" s="147" t="str">
        <f t="shared" ref="Y860:Z860" si="1720">IF(_xlfn.ISFORMULA(S860),IFERROR(0/0,""),TRUE)</f>
        <v/>
      </c>
      <c r="Z860" s="147" t="str">
        <f t="shared" si="1720"/>
        <v/>
      </c>
    </row>
    <row r="861">
      <c r="A861" s="6" t="str">
        <f>IFERROR(__xludf.DUMMYFUNCTION("""COMPUTED_VALUE"""),"FM873")</f>
        <v>FM873</v>
      </c>
      <c r="B861" s="206">
        <f>IFERROR(__xludf.DUMMYFUNCTION("""COMPUTED_VALUE"""),44707.0)</f>
        <v>44707</v>
      </c>
      <c r="C861" s="207">
        <f>IFERROR(__xludf.DUMMYFUNCTION("""COMPUTED_VALUE"""),0.269375)</f>
        <v>0.269375</v>
      </c>
      <c r="D861" s="50"/>
      <c r="E861" s="58"/>
      <c r="F861" s="58"/>
      <c r="G861" s="58" t="str">
        <f>IFERROR(__xludf.DUMMYFUNCTION("""COMPUTED_VALUE"""),"Null")</f>
        <v>Null</v>
      </c>
      <c r="H861" s="206" t="str">
        <f>IFERROR(__xludf.DUMMYFUNCTION("""COMPUTED_VALUE"""),"Negative")</f>
        <v>Negative</v>
      </c>
      <c r="I861" s="207"/>
      <c r="J861" s="50"/>
      <c r="K861" s="50">
        <f>IFERROR(__xludf.DUMMYFUNCTION("""COMPUTED_VALUE"""),2.0)</f>
        <v>2</v>
      </c>
      <c r="L861" s="6"/>
      <c r="M861" s="55"/>
      <c r="N861" s="55">
        <f>IFERROR(__xludf.DUMMYFUNCTION("""COMPUTED_VALUE"""),1.0)</f>
        <v>1</v>
      </c>
      <c r="O861" s="55" t="str">
        <f t="shared" si="3"/>
        <v/>
      </c>
      <c r="P861" s="209"/>
      <c r="Q861" s="75" t="b">
        <f>VLOOKUP($B861,'Run Reconcile'!B$2:P1679,15,FALSE)</f>
        <v>1</v>
      </c>
      <c r="R861" s="211" t="str">
        <f t="array" ref="R861">IF($Q861, INDEX('Run Reconcile'!A$2:A1679,MATCH(B861,'Run Reconcile'!B$2:B1679,0),1),IFERROR(0/0,""))</f>
        <v>RUN-COMB_2022-05-26_RFR-047</v>
      </c>
      <c r="S861" s="165" t="str">
        <f t="shared" ref="S861:T861" si="1721">IF(COUNTIF(W$2:W1679, $A861) &gt; 0,TRUE,IFERROR(0/0,""))</f>
        <v/>
      </c>
      <c r="T861" s="165" t="str">
        <f t="shared" si="1721"/>
        <v/>
      </c>
      <c r="U861" s="147" t="str">
        <f t="array" ref="U861">IF(ISBLANK($R861), IF($S861,VLOOKUP($B861+1,'RFR Data - preExcl'!$BF$2:$BG1679,2,FALSE),IF($T861,INDEX('RFR Data - preExcl'!$BF$2:$BG1679,MATCH($B861,'RFR Data - preExcl'!$BF$2:$BF1679,0)+1,2),VLOOKUP($B861,'RFR Data - preExcl'!$BF$2:$BG1679,2,FALSE))),IFERROR(0/0,""))</f>
        <v/>
      </c>
      <c r="V861" s="212" t="str">
        <f t="shared" si="5"/>
        <v>RUN-COMB_2022-05-26_RFR-047</v>
      </c>
      <c r="W861" s="51"/>
      <c r="X861" s="51"/>
      <c r="Y861" s="147" t="str">
        <f t="shared" ref="Y861:Z861" si="1722">IF(_xlfn.ISFORMULA(S861),IFERROR(0/0,""),TRUE)</f>
        <v/>
      </c>
      <c r="Z861" s="147" t="str">
        <f t="shared" si="1722"/>
        <v/>
      </c>
    </row>
    <row r="862">
      <c r="A862" s="6" t="str">
        <f>IFERROR(__xludf.DUMMYFUNCTION("""COMPUTED_VALUE"""),"FM1979")</f>
        <v>FM1979</v>
      </c>
      <c r="B862" s="206">
        <f>IFERROR(__xludf.DUMMYFUNCTION("""COMPUTED_VALUE"""),44707.0)</f>
        <v>44707</v>
      </c>
      <c r="C862" s="207">
        <f>IFERROR(__xludf.DUMMYFUNCTION("""COMPUTED_VALUE"""),0.2697453703703704)</f>
        <v>0.2697453704</v>
      </c>
      <c r="D862" s="50"/>
      <c r="E862" s="58"/>
      <c r="F862" s="58"/>
      <c r="G862" s="58" t="str">
        <f>IFERROR(__xludf.DUMMYFUNCTION("""COMPUTED_VALUE"""),"Null")</f>
        <v>Null</v>
      </c>
      <c r="H862" s="206" t="str">
        <f>IFERROR(__xludf.DUMMYFUNCTION("""COMPUTED_VALUE"""),"Negative")</f>
        <v>Negative</v>
      </c>
      <c r="I862" s="207"/>
      <c r="J862" s="50"/>
      <c r="K862" s="50">
        <f>IFERROR(__xludf.DUMMYFUNCTION("""COMPUTED_VALUE"""),2.0)</f>
        <v>2</v>
      </c>
      <c r="L862" s="6"/>
      <c r="M862" s="55"/>
      <c r="N862" s="55">
        <f>IFERROR(__xludf.DUMMYFUNCTION("""COMPUTED_VALUE"""),1.0)</f>
        <v>1</v>
      </c>
      <c r="O862" s="55" t="str">
        <f t="shared" si="3"/>
        <v/>
      </c>
      <c r="P862" s="209"/>
      <c r="Q862" s="75" t="b">
        <f>VLOOKUP($B862,'Run Reconcile'!B$2:P1679,15,FALSE)</f>
        <v>1</v>
      </c>
      <c r="R862" s="211" t="str">
        <f t="array" ref="R862">IF($Q862, INDEX('Run Reconcile'!A$2:A1679,MATCH(B862,'Run Reconcile'!B$2:B1679,0),1),IFERROR(0/0,""))</f>
        <v>RUN-COMB_2022-05-26_RFR-047</v>
      </c>
      <c r="S862" s="165" t="str">
        <f t="shared" ref="S862:T862" si="1723">IF(COUNTIF(W$2:W1679, $A862) &gt; 0,TRUE,IFERROR(0/0,""))</f>
        <v/>
      </c>
      <c r="T862" s="165" t="str">
        <f t="shared" si="1723"/>
        <v/>
      </c>
      <c r="U862" s="147" t="str">
        <f t="array" ref="U862">IF(ISBLANK($R862), IF($S862,VLOOKUP($B862+1,'RFR Data - preExcl'!$BF$2:$BG1679,2,FALSE),IF($T862,INDEX('RFR Data - preExcl'!$BF$2:$BG1679,MATCH($B862,'RFR Data - preExcl'!$BF$2:$BF1679,0)+1,2),VLOOKUP($B862,'RFR Data - preExcl'!$BF$2:$BG1679,2,FALSE))),IFERROR(0/0,""))</f>
        <v/>
      </c>
      <c r="V862" s="212" t="str">
        <f t="shared" si="5"/>
        <v>RUN-COMB_2022-05-26_RFR-047</v>
      </c>
      <c r="W862" s="51"/>
      <c r="X862" s="51"/>
      <c r="Y862" s="147" t="str">
        <f t="shared" ref="Y862:Z862" si="1724">IF(_xlfn.ISFORMULA(S862),IFERROR(0/0,""),TRUE)</f>
        <v/>
      </c>
      <c r="Z862" s="147" t="str">
        <f t="shared" si="1724"/>
        <v/>
      </c>
    </row>
    <row r="863">
      <c r="A863" s="6" t="str">
        <f>IFERROR(__xludf.DUMMYFUNCTION("""COMPUTED_VALUE"""),"FM876")</f>
        <v>FM876</v>
      </c>
      <c r="B863" s="206">
        <f>IFERROR(__xludf.DUMMYFUNCTION("""COMPUTED_VALUE"""),44707.0)</f>
        <v>44707</v>
      </c>
      <c r="C863" s="207">
        <f>IFERROR(__xludf.DUMMYFUNCTION("""COMPUTED_VALUE"""),0.27016203703703706)</f>
        <v>0.270162037</v>
      </c>
      <c r="D863" s="50"/>
      <c r="E863" s="58"/>
      <c r="F863" s="58"/>
      <c r="G863" s="58" t="str">
        <f>IFERROR(__xludf.DUMMYFUNCTION("""COMPUTED_VALUE"""),"Null")</f>
        <v>Null</v>
      </c>
      <c r="H863" s="206" t="str">
        <f>IFERROR(__xludf.DUMMYFUNCTION("""COMPUTED_VALUE"""),"Negative")</f>
        <v>Negative</v>
      </c>
      <c r="I863" s="207"/>
      <c r="J863" s="50"/>
      <c r="K863" s="50">
        <f>IFERROR(__xludf.DUMMYFUNCTION("""COMPUTED_VALUE"""),2.0)</f>
        <v>2</v>
      </c>
      <c r="L863" s="6"/>
      <c r="M863" s="55"/>
      <c r="N863" s="55">
        <f>IFERROR(__xludf.DUMMYFUNCTION("""COMPUTED_VALUE"""),1.0)</f>
        <v>1</v>
      </c>
      <c r="O863" s="55" t="str">
        <f t="shared" si="3"/>
        <v/>
      </c>
      <c r="P863" s="209"/>
      <c r="Q863" s="75" t="b">
        <f>VLOOKUP($B863,'Run Reconcile'!B$2:P1679,15,FALSE)</f>
        <v>1</v>
      </c>
      <c r="R863" s="211" t="str">
        <f t="array" ref="R863">IF($Q863, INDEX('Run Reconcile'!A$2:A1679,MATCH(B863,'Run Reconcile'!B$2:B1679,0),1),IFERROR(0/0,""))</f>
        <v>RUN-COMB_2022-05-26_RFR-047</v>
      </c>
      <c r="S863" s="165" t="str">
        <f t="shared" ref="S863:T863" si="1725">IF(COUNTIF(W$2:W1679, $A863) &gt; 0,TRUE,IFERROR(0/0,""))</f>
        <v/>
      </c>
      <c r="T863" s="165" t="str">
        <f t="shared" si="1725"/>
        <v/>
      </c>
      <c r="U863" s="147" t="str">
        <f t="array" ref="U863">IF(ISBLANK($R863), IF($S863,VLOOKUP($B863+1,'RFR Data - preExcl'!$BF$2:$BG1679,2,FALSE),IF($T863,INDEX('RFR Data - preExcl'!$BF$2:$BG1679,MATCH($B863,'RFR Data - preExcl'!$BF$2:$BF1679,0)+1,2),VLOOKUP($B863,'RFR Data - preExcl'!$BF$2:$BG1679,2,FALSE))),IFERROR(0/0,""))</f>
        <v/>
      </c>
      <c r="V863" s="212" t="str">
        <f t="shared" si="5"/>
        <v>RUN-COMB_2022-05-26_RFR-047</v>
      </c>
      <c r="W863" s="51"/>
      <c r="X863" s="51"/>
      <c r="Y863" s="147" t="str">
        <f t="shared" ref="Y863:Z863" si="1726">IF(_xlfn.ISFORMULA(S863),IFERROR(0/0,""),TRUE)</f>
        <v/>
      </c>
      <c r="Z863" s="147" t="str">
        <f t="shared" si="1726"/>
        <v/>
      </c>
    </row>
    <row r="864">
      <c r="A864" s="6" t="str">
        <f>IFERROR(__xludf.DUMMYFUNCTION("""COMPUTED_VALUE"""),"FM842")</f>
        <v>FM842</v>
      </c>
      <c r="B864" s="206">
        <f>IFERROR(__xludf.DUMMYFUNCTION("""COMPUTED_VALUE"""),44707.0)</f>
        <v>44707</v>
      </c>
      <c r="C864" s="207">
        <f>IFERROR(__xludf.DUMMYFUNCTION("""COMPUTED_VALUE"""),0.27196759259259257)</f>
        <v>0.2719675926</v>
      </c>
      <c r="D864" s="50"/>
      <c r="E864" s="58"/>
      <c r="F864" s="58"/>
      <c r="G864" s="58" t="str">
        <f>IFERROR(__xludf.DUMMYFUNCTION("""COMPUTED_VALUE"""),"Null")</f>
        <v>Null</v>
      </c>
      <c r="H864" s="206" t="str">
        <f>IFERROR(__xludf.DUMMYFUNCTION("""COMPUTED_VALUE"""),"Negative")</f>
        <v>Negative</v>
      </c>
      <c r="I864" s="207"/>
      <c r="J864" s="50"/>
      <c r="K864" s="50">
        <f>IFERROR(__xludf.DUMMYFUNCTION("""COMPUTED_VALUE"""),2.0)</f>
        <v>2</v>
      </c>
      <c r="L864" s="6"/>
      <c r="M864" s="55"/>
      <c r="N864" s="55">
        <f>IFERROR(__xludf.DUMMYFUNCTION("""COMPUTED_VALUE"""),1.0)</f>
        <v>1</v>
      </c>
      <c r="O864" s="55" t="str">
        <f t="shared" si="3"/>
        <v/>
      </c>
      <c r="P864" s="209"/>
      <c r="Q864" s="75" t="b">
        <f>VLOOKUP($B864,'Run Reconcile'!B$2:P1679,15,FALSE)</f>
        <v>1</v>
      </c>
      <c r="R864" s="211" t="str">
        <f t="array" ref="R864">IF($Q864, INDEX('Run Reconcile'!A$2:A1679,MATCH(B864,'Run Reconcile'!B$2:B1679,0),1),IFERROR(0/0,""))</f>
        <v>RUN-COMB_2022-05-26_RFR-047</v>
      </c>
      <c r="S864" s="165" t="str">
        <f t="shared" ref="S864:T864" si="1727">IF(COUNTIF(W$2:W1679, $A864) &gt; 0,TRUE,IFERROR(0/0,""))</f>
        <v/>
      </c>
      <c r="T864" s="165" t="str">
        <f t="shared" si="1727"/>
        <v/>
      </c>
      <c r="U864" s="147" t="str">
        <f t="array" ref="U864">IF(ISBLANK($R864), IF($S864,VLOOKUP($B864+1,'RFR Data - preExcl'!$BF$2:$BG1679,2,FALSE),IF($T864,INDEX('RFR Data - preExcl'!$BF$2:$BG1679,MATCH($B864,'RFR Data - preExcl'!$BF$2:$BF1679,0)+1,2),VLOOKUP($B864,'RFR Data - preExcl'!$BF$2:$BG1679,2,FALSE))),IFERROR(0/0,""))</f>
        <v/>
      </c>
      <c r="V864" s="212" t="str">
        <f t="shared" si="5"/>
        <v>RUN-COMB_2022-05-26_RFR-047</v>
      </c>
      <c r="W864" s="51"/>
      <c r="X864" s="51"/>
      <c r="Y864" s="147" t="str">
        <f t="shared" ref="Y864:Z864" si="1728">IF(_xlfn.ISFORMULA(S864),IFERROR(0/0,""),TRUE)</f>
        <v/>
      </c>
      <c r="Z864" s="147" t="str">
        <f t="shared" si="1728"/>
        <v/>
      </c>
    </row>
    <row r="865">
      <c r="A865" s="6" t="str">
        <f>IFERROR(__xludf.DUMMYFUNCTION("""COMPUTED_VALUE"""),"FM856")</f>
        <v>FM856</v>
      </c>
      <c r="B865" s="206">
        <f>IFERROR(__xludf.DUMMYFUNCTION("""COMPUTED_VALUE"""),44707.0)</f>
        <v>44707</v>
      </c>
      <c r="C865" s="207">
        <f>IFERROR(__xludf.DUMMYFUNCTION("""COMPUTED_VALUE"""),0.275)</f>
        <v>0.275</v>
      </c>
      <c r="D865" s="50"/>
      <c r="E865" s="58"/>
      <c r="F865" s="58"/>
      <c r="G865" s="58" t="str">
        <f>IFERROR(__xludf.DUMMYFUNCTION("""COMPUTED_VALUE"""),"Null")</f>
        <v>Null</v>
      </c>
      <c r="H865" s="206" t="str">
        <f>IFERROR(__xludf.DUMMYFUNCTION("""COMPUTED_VALUE"""),"Negative")</f>
        <v>Negative</v>
      </c>
      <c r="I865" s="207"/>
      <c r="J865" s="50"/>
      <c r="K865" s="50">
        <f>IFERROR(__xludf.DUMMYFUNCTION("""COMPUTED_VALUE"""),2.0)</f>
        <v>2</v>
      </c>
      <c r="L865" s="6"/>
      <c r="M865" s="55"/>
      <c r="N865" s="55">
        <f>IFERROR(__xludf.DUMMYFUNCTION("""COMPUTED_VALUE"""),1.0)</f>
        <v>1</v>
      </c>
      <c r="O865" s="55" t="str">
        <f t="shared" si="3"/>
        <v/>
      </c>
      <c r="P865" s="209"/>
      <c r="Q865" s="75" t="b">
        <f>VLOOKUP($B865,'Run Reconcile'!B$2:P1679,15,FALSE)</f>
        <v>1</v>
      </c>
      <c r="R865" s="211" t="str">
        <f t="array" ref="R865">IF($Q865, INDEX('Run Reconcile'!A$2:A1679,MATCH(B865,'Run Reconcile'!B$2:B1679,0),1),IFERROR(0/0,""))</f>
        <v>RUN-COMB_2022-05-26_RFR-047</v>
      </c>
      <c r="S865" s="165" t="str">
        <f t="shared" ref="S865:T865" si="1729">IF(COUNTIF(W$2:W1679, $A865) &gt; 0,TRUE,IFERROR(0/0,""))</f>
        <v/>
      </c>
      <c r="T865" s="165" t="str">
        <f t="shared" si="1729"/>
        <v/>
      </c>
      <c r="U865" s="147" t="str">
        <f t="array" ref="U865">IF(ISBLANK($R865), IF($S865,VLOOKUP($B865+1,'RFR Data - preExcl'!$BF$2:$BG1679,2,FALSE),IF($T865,INDEX('RFR Data - preExcl'!$BF$2:$BG1679,MATCH($B865,'RFR Data - preExcl'!$BF$2:$BF1679,0)+1,2),VLOOKUP($B865,'RFR Data - preExcl'!$BF$2:$BG1679,2,FALSE))),IFERROR(0/0,""))</f>
        <v/>
      </c>
      <c r="V865" s="212" t="str">
        <f t="shared" si="5"/>
        <v>RUN-COMB_2022-05-26_RFR-047</v>
      </c>
      <c r="W865" s="51"/>
      <c r="X865" s="51"/>
      <c r="Y865" s="147" t="str">
        <f t="shared" ref="Y865:Z865" si="1730">IF(_xlfn.ISFORMULA(S865),IFERROR(0/0,""),TRUE)</f>
        <v/>
      </c>
      <c r="Z865" s="147" t="str">
        <f t="shared" si="1730"/>
        <v/>
      </c>
    </row>
    <row r="866">
      <c r="A866" s="6" t="str">
        <f>IFERROR(__xludf.DUMMYFUNCTION("""COMPUTED_VALUE"""),"FM1975")</f>
        <v>FM1975</v>
      </c>
      <c r="B866" s="206">
        <f>IFERROR(__xludf.DUMMYFUNCTION("""COMPUTED_VALUE"""),44707.0)</f>
        <v>44707</v>
      </c>
      <c r="C866" s="207">
        <f>IFERROR(__xludf.DUMMYFUNCTION("""COMPUTED_VALUE"""),0.2754976851851852)</f>
        <v>0.2754976852</v>
      </c>
      <c r="D866" s="50"/>
      <c r="E866" s="58"/>
      <c r="F866" s="58"/>
      <c r="G866" s="58" t="str">
        <f>IFERROR(__xludf.DUMMYFUNCTION("""COMPUTED_VALUE"""),"Null")</f>
        <v>Null</v>
      </c>
      <c r="H866" s="206" t="str">
        <f>IFERROR(__xludf.DUMMYFUNCTION("""COMPUTED_VALUE"""),"Negative")</f>
        <v>Negative</v>
      </c>
      <c r="I866" s="207"/>
      <c r="J866" s="50"/>
      <c r="K866" s="50">
        <f>IFERROR(__xludf.DUMMYFUNCTION("""COMPUTED_VALUE"""),2.0)</f>
        <v>2</v>
      </c>
      <c r="L866" s="6"/>
      <c r="M866" s="55"/>
      <c r="N866" s="55">
        <f>IFERROR(__xludf.DUMMYFUNCTION("""COMPUTED_VALUE"""),1.0)</f>
        <v>1</v>
      </c>
      <c r="O866" s="55" t="str">
        <f t="shared" si="3"/>
        <v/>
      </c>
      <c r="P866" s="209"/>
      <c r="Q866" s="75" t="b">
        <f>VLOOKUP($B866,'Run Reconcile'!B$2:P1679,15,FALSE)</f>
        <v>1</v>
      </c>
      <c r="R866" s="211" t="str">
        <f t="array" ref="R866">IF($Q866, INDEX('Run Reconcile'!A$2:A1679,MATCH(B866,'Run Reconcile'!B$2:B1679,0),1),IFERROR(0/0,""))</f>
        <v>RUN-COMB_2022-05-26_RFR-047</v>
      </c>
      <c r="S866" s="165" t="str">
        <f t="shared" ref="S866:T866" si="1731">IF(COUNTIF(W$2:W1679, $A866) &gt; 0,TRUE,IFERROR(0/0,""))</f>
        <v/>
      </c>
      <c r="T866" s="165" t="str">
        <f t="shared" si="1731"/>
        <v/>
      </c>
      <c r="U866" s="147" t="str">
        <f t="array" ref="U866">IF(ISBLANK($R866), IF($S866,VLOOKUP($B866+1,'RFR Data - preExcl'!$BF$2:$BG1679,2,FALSE),IF($T866,INDEX('RFR Data - preExcl'!$BF$2:$BG1679,MATCH($B866,'RFR Data - preExcl'!$BF$2:$BF1679,0)+1,2),VLOOKUP($B866,'RFR Data - preExcl'!$BF$2:$BG1679,2,FALSE))),IFERROR(0/0,""))</f>
        <v/>
      </c>
      <c r="V866" s="212" t="str">
        <f t="shared" si="5"/>
        <v>RUN-COMB_2022-05-26_RFR-047</v>
      </c>
      <c r="W866" s="51"/>
      <c r="X866" s="51"/>
      <c r="Y866" s="147" t="str">
        <f t="shared" ref="Y866:Z866" si="1732">IF(_xlfn.ISFORMULA(S866),IFERROR(0/0,""),TRUE)</f>
        <v/>
      </c>
      <c r="Z866" s="147" t="str">
        <f t="shared" si="1732"/>
        <v/>
      </c>
    </row>
    <row r="867">
      <c r="A867" s="6" t="str">
        <f>IFERROR(__xludf.DUMMYFUNCTION("""COMPUTED_VALUE"""),"FM1943")</f>
        <v>FM1943</v>
      </c>
      <c r="B867" s="206">
        <f>IFERROR(__xludf.DUMMYFUNCTION("""COMPUTED_VALUE"""),44707.0)</f>
        <v>44707</v>
      </c>
      <c r="C867" s="207">
        <f>IFERROR(__xludf.DUMMYFUNCTION("""COMPUTED_VALUE"""),0.2797222222222222)</f>
        <v>0.2797222222</v>
      </c>
      <c r="D867" s="50"/>
      <c r="E867" s="58"/>
      <c r="F867" s="58"/>
      <c r="G867" s="58" t="str">
        <f>IFERROR(__xludf.DUMMYFUNCTION("""COMPUTED_VALUE"""),"Null")</f>
        <v>Null</v>
      </c>
      <c r="H867" s="206" t="str">
        <f>IFERROR(__xludf.DUMMYFUNCTION("""COMPUTED_VALUE"""),"Negative")</f>
        <v>Negative</v>
      </c>
      <c r="I867" s="207"/>
      <c r="J867" s="50"/>
      <c r="K867" s="50">
        <f>IFERROR(__xludf.DUMMYFUNCTION("""COMPUTED_VALUE"""),2.0)</f>
        <v>2</v>
      </c>
      <c r="L867" s="6"/>
      <c r="M867" s="55"/>
      <c r="N867" s="55">
        <f>IFERROR(__xludf.DUMMYFUNCTION("""COMPUTED_VALUE"""),1.0)</f>
        <v>1</v>
      </c>
      <c r="O867" s="55" t="str">
        <f t="shared" si="3"/>
        <v/>
      </c>
      <c r="P867" s="209"/>
      <c r="Q867" s="75" t="b">
        <f>VLOOKUP($B867,'Run Reconcile'!B$2:P1679,15,FALSE)</f>
        <v>1</v>
      </c>
      <c r="R867" s="211" t="str">
        <f t="array" ref="R867">IF($Q867, INDEX('Run Reconcile'!A$2:A1679,MATCH(B867,'Run Reconcile'!B$2:B1679,0),1),IFERROR(0/0,""))</f>
        <v>RUN-COMB_2022-05-26_RFR-047</v>
      </c>
      <c r="S867" s="165" t="str">
        <f t="shared" ref="S867:T867" si="1733">IF(COUNTIF(W$2:W1679, $A867) &gt; 0,TRUE,IFERROR(0/0,""))</f>
        <v/>
      </c>
      <c r="T867" s="165" t="str">
        <f t="shared" si="1733"/>
        <v/>
      </c>
      <c r="U867" s="147" t="str">
        <f t="array" ref="U867">IF(ISBLANK($R867), IF($S867,VLOOKUP($B867+1,'RFR Data - preExcl'!$BF$2:$BG1679,2,FALSE),IF($T867,INDEX('RFR Data - preExcl'!$BF$2:$BG1679,MATCH($B867,'RFR Data - preExcl'!$BF$2:$BF1679,0)+1,2),VLOOKUP($B867,'RFR Data - preExcl'!$BF$2:$BG1679,2,FALSE))),IFERROR(0/0,""))</f>
        <v/>
      </c>
      <c r="V867" s="212" t="str">
        <f t="shared" si="5"/>
        <v>RUN-COMB_2022-05-26_RFR-047</v>
      </c>
      <c r="W867" s="51"/>
      <c r="X867" s="51"/>
      <c r="Y867" s="147" t="str">
        <f t="shared" ref="Y867:Z867" si="1734">IF(_xlfn.ISFORMULA(S867),IFERROR(0/0,""),TRUE)</f>
        <v/>
      </c>
      <c r="Z867" s="147" t="str">
        <f t="shared" si="1734"/>
        <v/>
      </c>
    </row>
    <row r="868">
      <c r="A868" s="6" t="str">
        <f>IFERROR(__xludf.DUMMYFUNCTION("""COMPUTED_VALUE"""),"FM852")</f>
        <v>FM852</v>
      </c>
      <c r="B868" s="206">
        <f>IFERROR(__xludf.DUMMYFUNCTION("""COMPUTED_VALUE"""),44707.0)</f>
        <v>44707</v>
      </c>
      <c r="C868" s="207">
        <f>IFERROR(__xludf.DUMMYFUNCTION("""COMPUTED_VALUE"""),0.2801273148148148)</f>
        <v>0.2801273148</v>
      </c>
      <c r="D868" s="50"/>
      <c r="E868" s="58"/>
      <c r="F868" s="58"/>
      <c r="G868" s="58" t="str">
        <f>IFERROR(__xludf.DUMMYFUNCTION("""COMPUTED_VALUE"""),"Null")</f>
        <v>Null</v>
      </c>
      <c r="H868" s="206" t="str">
        <f>IFERROR(__xludf.DUMMYFUNCTION("""COMPUTED_VALUE"""),"Negative")</f>
        <v>Negative</v>
      </c>
      <c r="I868" s="207"/>
      <c r="J868" s="50"/>
      <c r="K868" s="50">
        <f>IFERROR(__xludf.DUMMYFUNCTION("""COMPUTED_VALUE"""),2.0)</f>
        <v>2</v>
      </c>
      <c r="L868" s="6"/>
      <c r="M868" s="55"/>
      <c r="N868" s="55">
        <f>IFERROR(__xludf.DUMMYFUNCTION("""COMPUTED_VALUE"""),1.0)</f>
        <v>1</v>
      </c>
      <c r="O868" s="55" t="str">
        <f t="shared" si="3"/>
        <v/>
      </c>
      <c r="P868" s="209"/>
      <c r="Q868" s="75" t="b">
        <f>VLOOKUP($B868,'Run Reconcile'!B$2:P1679,15,FALSE)</f>
        <v>1</v>
      </c>
      <c r="R868" s="211" t="str">
        <f t="array" ref="R868">IF($Q868, INDEX('Run Reconcile'!A$2:A1679,MATCH(B868,'Run Reconcile'!B$2:B1679,0),1),IFERROR(0/0,""))</f>
        <v>RUN-COMB_2022-05-26_RFR-047</v>
      </c>
      <c r="S868" s="165" t="str">
        <f t="shared" ref="S868:T868" si="1735">IF(COUNTIF(W$2:W1679, $A868) &gt; 0,TRUE,IFERROR(0/0,""))</f>
        <v/>
      </c>
      <c r="T868" s="165" t="str">
        <f t="shared" si="1735"/>
        <v/>
      </c>
      <c r="U868" s="147" t="str">
        <f t="array" ref="U868">IF(ISBLANK($R868), IF($S868,VLOOKUP($B868+1,'RFR Data - preExcl'!$BF$2:$BG1679,2,FALSE),IF($T868,INDEX('RFR Data - preExcl'!$BF$2:$BG1679,MATCH($B868,'RFR Data - preExcl'!$BF$2:$BF1679,0)+1,2),VLOOKUP($B868,'RFR Data - preExcl'!$BF$2:$BG1679,2,FALSE))),IFERROR(0/0,""))</f>
        <v/>
      </c>
      <c r="V868" s="212" t="str">
        <f t="shared" si="5"/>
        <v>RUN-COMB_2022-05-26_RFR-047</v>
      </c>
      <c r="W868" s="51"/>
      <c r="X868" s="51"/>
      <c r="Y868" s="147" t="str">
        <f t="shared" ref="Y868:Z868" si="1736">IF(_xlfn.ISFORMULA(S868),IFERROR(0/0,""),TRUE)</f>
        <v/>
      </c>
      <c r="Z868" s="147" t="str">
        <f t="shared" si="1736"/>
        <v/>
      </c>
    </row>
    <row r="869">
      <c r="A869" s="6" t="str">
        <f>IFERROR(__xludf.DUMMYFUNCTION("""COMPUTED_VALUE"""),"FM1947")</f>
        <v>FM1947</v>
      </c>
      <c r="B869" s="206">
        <f>IFERROR(__xludf.DUMMYFUNCTION("""COMPUTED_VALUE"""),44707.0)</f>
        <v>44707</v>
      </c>
      <c r="C869" s="207">
        <f>IFERROR(__xludf.DUMMYFUNCTION("""COMPUTED_VALUE"""),0.2805324074074074)</f>
        <v>0.2805324074</v>
      </c>
      <c r="D869" s="50"/>
      <c r="E869" s="58"/>
      <c r="F869" s="58"/>
      <c r="G869" s="58" t="str">
        <f>IFERROR(__xludf.DUMMYFUNCTION("""COMPUTED_VALUE"""),"Null")</f>
        <v>Null</v>
      </c>
      <c r="H869" s="206" t="str">
        <f>IFERROR(__xludf.DUMMYFUNCTION("""COMPUTED_VALUE"""),"Negative")</f>
        <v>Negative</v>
      </c>
      <c r="I869" s="207"/>
      <c r="J869" s="50"/>
      <c r="K869" s="50">
        <f>IFERROR(__xludf.DUMMYFUNCTION("""COMPUTED_VALUE"""),2.0)</f>
        <v>2</v>
      </c>
      <c r="L869" s="6"/>
      <c r="M869" s="55"/>
      <c r="N869" s="55">
        <f>IFERROR(__xludf.DUMMYFUNCTION("""COMPUTED_VALUE"""),1.0)</f>
        <v>1</v>
      </c>
      <c r="O869" s="55" t="str">
        <f t="shared" si="3"/>
        <v/>
      </c>
      <c r="P869" s="209"/>
      <c r="Q869" s="75" t="b">
        <f>VLOOKUP($B869,'Run Reconcile'!B$2:P1679,15,FALSE)</f>
        <v>1</v>
      </c>
      <c r="R869" s="211" t="str">
        <f t="array" ref="R869">IF($Q869, INDEX('Run Reconcile'!A$2:A1679,MATCH(B869,'Run Reconcile'!B$2:B1679,0),1),IFERROR(0/0,""))</f>
        <v>RUN-COMB_2022-05-26_RFR-047</v>
      </c>
      <c r="S869" s="165" t="str">
        <f t="shared" ref="S869:T869" si="1737">IF(COUNTIF(W$2:W1679, $A869) &gt; 0,TRUE,IFERROR(0/0,""))</f>
        <v/>
      </c>
      <c r="T869" s="165" t="str">
        <f t="shared" si="1737"/>
        <v/>
      </c>
      <c r="U869" s="147" t="str">
        <f t="array" ref="U869">IF(ISBLANK($R869), IF($S869,VLOOKUP($B869+1,'RFR Data - preExcl'!$BF$2:$BG1679,2,FALSE),IF($T869,INDEX('RFR Data - preExcl'!$BF$2:$BG1679,MATCH($B869,'RFR Data - preExcl'!$BF$2:$BF1679,0)+1,2),VLOOKUP($B869,'RFR Data - preExcl'!$BF$2:$BG1679,2,FALSE))),IFERROR(0/0,""))</f>
        <v/>
      </c>
      <c r="V869" s="212" t="str">
        <f t="shared" si="5"/>
        <v>RUN-COMB_2022-05-26_RFR-047</v>
      </c>
      <c r="W869" s="51"/>
      <c r="X869" s="51"/>
      <c r="Y869" s="147" t="str">
        <f t="shared" ref="Y869:Z869" si="1738">IF(_xlfn.ISFORMULA(S869),IFERROR(0/0,""),TRUE)</f>
        <v/>
      </c>
      <c r="Z869" s="147" t="str">
        <f t="shared" si="1738"/>
        <v/>
      </c>
    </row>
    <row r="870">
      <c r="A870" s="6" t="str">
        <f>IFERROR(__xludf.DUMMYFUNCTION("""COMPUTED_VALUE"""),"FM1935")</f>
        <v>FM1935</v>
      </c>
      <c r="B870" s="206">
        <f>IFERROR(__xludf.DUMMYFUNCTION("""COMPUTED_VALUE"""),44707.0)</f>
        <v>44707</v>
      </c>
      <c r="C870" s="207">
        <f>IFERROR(__xludf.DUMMYFUNCTION("""COMPUTED_VALUE"""),0.28097222222222223)</f>
        <v>0.2809722222</v>
      </c>
      <c r="D870" s="50"/>
      <c r="E870" s="58"/>
      <c r="F870" s="58"/>
      <c r="G870" s="58" t="str">
        <f>IFERROR(__xludf.DUMMYFUNCTION("""COMPUTED_VALUE"""),"Null")</f>
        <v>Null</v>
      </c>
      <c r="H870" s="206" t="str">
        <f>IFERROR(__xludf.DUMMYFUNCTION("""COMPUTED_VALUE"""),"Negative")</f>
        <v>Negative</v>
      </c>
      <c r="I870" s="207"/>
      <c r="J870" s="50"/>
      <c r="K870" s="50">
        <f>IFERROR(__xludf.DUMMYFUNCTION("""COMPUTED_VALUE"""),2.0)</f>
        <v>2</v>
      </c>
      <c r="L870" s="6"/>
      <c r="M870" s="55"/>
      <c r="N870" s="55">
        <f>IFERROR(__xludf.DUMMYFUNCTION("""COMPUTED_VALUE"""),1.0)</f>
        <v>1</v>
      </c>
      <c r="O870" s="55" t="str">
        <f t="shared" si="3"/>
        <v/>
      </c>
      <c r="P870" s="209"/>
      <c r="Q870" s="75" t="b">
        <f>VLOOKUP($B870,'Run Reconcile'!B$2:P1679,15,FALSE)</f>
        <v>1</v>
      </c>
      <c r="R870" s="211" t="str">
        <f t="array" ref="R870">IF($Q870, INDEX('Run Reconcile'!A$2:A1679,MATCH(B870,'Run Reconcile'!B$2:B1679,0),1),IFERROR(0/0,""))</f>
        <v>RUN-COMB_2022-05-26_RFR-047</v>
      </c>
      <c r="S870" s="165" t="str">
        <f t="shared" ref="S870:T870" si="1739">IF(COUNTIF(W$2:W1679, $A870) &gt; 0,TRUE,IFERROR(0/0,""))</f>
        <v/>
      </c>
      <c r="T870" s="165" t="str">
        <f t="shared" si="1739"/>
        <v/>
      </c>
      <c r="U870" s="147" t="str">
        <f t="array" ref="U870">IF(ISBLANK($R870), IF($S870,VLOOKUP($B870+1,'RFR Data - preExcl'!$BF$2:$BG1679,2,FALSE),IF($T870,INDEX('RFR Data - preExcl'!$BF$2:$BG1679,MATCH($B870,'RFR Data - preExcl'!$BF$2:$BF1679,0)+1,2),VLOOKUP($B870,'RFR Data - preExcl'!$BF$2:$BG1679,2,FALSE))),IFERROR(0/0,""))</f>
        <v/>
      </c>
      <c r="V870" s="212" t="str">
        <f t="shared" si="5"/>
        <v>RUN-COMB_2022-05-26_RFR-047</v>
      </c>
      <c r="W870" s="51"/>
      <c r="X870" s="51"/>
      <c r="Y870" s="147" t="str">
        <f t="shared" ref="Y870:Z870" si="1740">IF(_xlfn.ISFORMULA(S870),IFERROR(0/0,""),TRUE)</f>
        <v/>
      </c>
      <c r="Z870" s="147" t="str">
        <f t="shared" si="1740"/>
        <v/>
      </c>
    </row>
    <row r="871">
      <c r="A871" s="6" t="str">
        <f>IFERROR(__xludf.DUMMYFUNCTION("""COMPUTED_VALUE"""),"FM858")</f>
        <v>FM858</v>
      </c>
      <c r="B871" s="206">
        <f>IFERROR(__xludf.DUMMYFUNCTION("""COMPUTED_VALUE"""),44707.0)</f>
        <v>44707</v>
      </c>
      <c r="C871" s="207">
        <f>IFERROR(__xludf.DUMMYFUNCTION("""COMPUTED_VALUE"""),0.3022800925925926)</f>
        <v>0.3022800926</v>
      </c>
      <c r="D871" s="50"/>
      <c r="E871" s="58"/>
      <c r="F871" s="58"/>
      <c r="G871" s="58" t="str">
        <f>IFERROR(__xludf.DUMMYFUNCTION("""COMPUTED_VALUE"""),"Null")</f>
        <v>Null</v>
      </c>
      <c r="H871" s="206" t="str">
        <f>IFERROR(__xludf.DUMMYFUNCTION("""COMPUTED_VALUE"""),"Negative")</f>
        <v>Negative</v>
      </c>
      <c r="I871" s="207"/>
      <c r="J871" s="50"/>
      <c r="K871" s="50">
        <f>IFERROR(__xludf.DUMMYFUNCTION("""COMPUTED_VALUE"""),2.0)</f>
        <v>2</v>
      </c>
      <c r="L871" s="6"/>
      <c r="M871" s="55"/>
      <c r="N871" s="55">
        <f>IFERROR(__xludf.DUMMYFUNCTION("""COMPUTED_VALUE"""),1.0)</f>
        <v>1</v>
      </c>
      <c r="O871" s="55" t="str">
        <f t="shared" si="3"/>
        <v/>
      </c>
      <c r="P871" s="209"/>
      <c r="Q871" s="75" t="b">
        <f>VLOOKUP($B871,'Run Reconcile'!B$2:P1679,15,FALSE)</f>
        <v>1</v>
      </c>
      <c r="R871" s="211" t="str">
        <f t="array" ref="R871">IF($Q871, INDEX('Run Reconcile'!A$2:A1679,MATCH(B871,'Run Reconcile'!B$2:B1679,0),1),IFERROR(0/0,""))</f>
        <v>RUN-COMB_2022-05-26_RFR-047</v>
      </c>
      <c r="S871" s="165" t="str">
        <f t="shared" ref="S871:T871" si="1741">IF(COUNTIF(W$2:W1679, $A871) &gt; 0,TRUE,IFERROR(0/0,""))</f>
        <v/>
      </c>
      <c r="T871" s="165" t="str">
        <f t="shared" si="1741"/>
        <v/>
      </c>
      <c r="U871" s="147" t="str">
        <f t="array" ref="U871">IF(ISBLANK($R871), IF($S871,VLOOKUP($B871+1,'RFR Data - preExcl'!$BF$2:$BG1679,2,FALSE),IF($T871,INDEX('RFR Data - preExcl'!$BF$2:$BG1679,MATCH($B871,'RFR Data - preExcl'!$BF$2:$BF1679,0)+1,2),VLOOKUP($B871,'RFR Data - preExcl'!$BF$2:$BG1679,2,FALSE))),IFERROR(0/0,""))</f>
        <v/>
      </c>
      <c r="V871" s="212" t="str">
        <f t="shared" si="5"/>
        <v>RUN-COMB_2022-05-26_RFR-047</v>
      </c>
      <c r="W871" s="51"/>
      <c r="X871" s="51"/>
      <c r="Y871" s="147" t="str">
        <f t="shared" ref="Y871:Z871" si="1742">IF(_xlfn.ISFORMULA(S871),IFERROR(0/0,""),TRUE)</f>
        <v/>
      </c>
      <c r="Z871" s="147" t="str">
        <f t="shared" si="1742"/>
        <v/>
      </c>
    </row>
    <row r="872">
      <c r="A872" s="6" t="str">
        <f>IFERROR(__xludf.DUMMYFUNCTION("""COMPUTED_VALUE"""),"FM879")</f>
        <v>FM879</v>
      </c>
      <c r="B872" s="206">
        <f>IFERROR(__xludf.DUMMYFUNCTION("""COMPUTED_VALUE"""),44708.0)</f>
        <v>44708</v>
      </c>
      <c r="C872" s="207">
        <f>IFERROR(__xludf.DUMMYFUNCTION("""COMPUTED_VALUE"""),0.2617361111111111)</f>
        <v>0.2617361111</v>
      </c>
      <c r="D872" s="50"/>
      <c r="E872" s="58"/>
      <c r="F872" s="58"/>
      <c r="G872" s="58" t="str">
        <f>IFERROR(__xludf.DUMMYFUNCTION("""COMPUTED_VALUE"""),"Null")</f>
        <v>Null</v>
      </c>
      <c r="H872" s="206" t="str">
        <f>IFERROR(__xludf.DUMMYFUNCTION("""COMPUTED_VALUE"""),"Negative")</f>
        <v>Negative</v>
      </c>
      <c r="I872" s="207">
        <f>IFERROR(__xludf.DUMMYFUNCTION("""COMPUTED_VALUE"""),44708.0)</f>
        <v>44708</v>
      </c>
      <c r="J872" s="208">
        <f>IFERROR(__xludf.DUMMYFUNCTION("""COMPUTED_VALUE"""),0.33824074074074073)</f>
        <v>0.3382407407</v>
      </c>
      <c r="K872" s="50">
        <f>IFERROR(__xludf.DUMMYFUNCTION("""COMPUTED_VALUE"""),2.0)</f>
        <v>2</v>
      </c>
      <c r="L872" s="6"/>
      <c r="M872" s="55"/>
      <c r="N872" s="55">
        <f>IFERROR(__xludf.DUMMYFUNCTION("""COMPUTED_VALUE"""),1.0)</f>
        <v>1</v>
      </c>
      <c r="O872" s="55" t="b">
        <f t="shared" si="3"/>
        <v>1</v>
      </c>
      <c r="P872" s="209"/>
      <c r="Q872" s="75" t="b">
        <f>VLOOKUP($B872,'Run Reconcile'!B$2:P1679,15,FALSE)</f>
        <v>1</v>
      </c>
      <c r="R872" s="211" t="str">
        <f t="array" ref="R872">IF($Q872, INDEX('Run Reconcile'!A$2:A1679,MATCH(B872,'Run Reconcile'!B$2:B1679,0),1),IFERROR(0/0,""))</f>
        <v>RUN-COMB_2022-05-27_RFR-048</v>
      </c>
      <c r="S872" s="165" t="str">
        <f t="shared" ref="S872:T872" si="1743">IF(COUNTIF(W$2:W1679, $A872) &gt; 0,TRUE,IFERROR(0/0,""))</f>
        <v/>
      </c>
      <c r="T872" s="165" t="str">
        <f t="shared" si="1743"/>
        <v/>
      </c>
      <c r="U872" s="147" t="str">
        <f t="array" ref="U872">IF(ISBLANK($R872), IF($S872,VLOOKUP($B872+1,'RFR Data - preExcl'!$BF$2:$BG1679,2,FALSE),IF($T872,INDEX('RFR Data - preExcl'!$BF$2:$BG1679,MATCH($B872,'RFR Data - preExcl'!$BF$2:$BF1679,0)+1,2),VLOOKUP($B872,'RFR Data - preExcl'!$BF$2:$BG1679,2,FALSE))),IFERROR(0/0,""))</f>
        <v/>
      </c>
      <c r="V872" s="212" t="str">
        <f t="shared" si="5"/>
        <v>RUN-COMB_2022-05-27_RFR-048</v>
      </c>
      <c r="W872" s="51"/>
      <c r="X872" s="51"/>
      <c r="Y872" s="147" t="str">
        <f t="shared" ref="Y872:Z872" si="1744">IF(_xlfn.ISFORMULA(S872),IFERROR(0/0,""),TRUE)</f>
        <v/>
      </c>
      <c r="Z872" s="147" t="str">
        <f t="shared" si="1744"/>
        <v/>
      </c>
    </row>
    <row r="873">
      <c r="A873" s="6" t="str">
        <f>IFERROR(__xludf.DUMMYFUNCTION("""COMPUTED_VALUE"""),"FM863")</f>
        <v>FM863</v>
      </c>
      <c r="B873" s="206">
        <f>IFERROR(__xludf.DUMMYFUNCTION("""COMPUTED_VALUE"""),44708.0)</f>
        <v>44708</v>
      </c>
      <c r="C873" s="207">
        <f>IFERROR(__xludf.DUMMYFUNCTION("""COMPUTED_VALUE"""),0.26211805555555556)</f>
        <v>0.2621180556</v>
      </c>
      <c r="D873" s="50"/>
      <c r="E873" s="58"/>
      <c r="F873" s="58"/>
      <c r="G873" s="58" t="str">
        <f>IFERROR(__xludf.DUMMYFUNCTION("""COMPUTED_VALUE"""),"Null")</f>
        <v>Null</v>
      </c>
      <c r="H873" s="206" t="str">
        <f>IFERROR(__xludf.DUMMYFUNCTION("""COMPUTED_VALUE"""),"Negative")</f>
        <v>Negative</v>
      </c>
      <c r="I873" s="207">
        <f>IFERROR(__xludf.DUMMYFUNCTION("""COMPUTED_VALUE"""),44708.0)</f>
        <v>44708</v>
      </c>
      <c r="J873" s="208">
        <f>IFERROR(__xludf.DUMMYFUNCTION("""COMPUTED_VALUE"""),0.33828703703703705)</f>
        <v>0.338287037</v>
      </c>
      <c r="K873" s="50">
        <f>IFERROR(__xludf.DUMMYFUNCTION("""COMPUTED_VALUE"""),2.0)</f>
        <v>2</v>
      </c>
      <c r="L873" s="6"/>
      <c r="M873" s="55"/>
      <c r="N873" s="55">
        <f>IFERROR(__xludf.DUMMYFUNCTION("""COMPUTED_VALUE"""),1.0)</f>
        <v>1</v>
      </c>
      <c r="O873" s="55" t="str">
        <f t="shared" si="3"/>
        <v/>
      </c>
      <c r="P873" s="209"/>
      <c r="Q873" s="75" t="b">
        <f>VLOOKUP($B873,'Run Reconcile'!B$2:P1679,15,FALSE)</f>
        <v>1</v>
      </c>
      <c r="R873" s="211" t="str">
        <f t="array" ref="R873">IF($Q873, INDEX('Run Reconcile'!A$2:A1679,MATCH(B873,'Run Reconcile'!B$2:B1679,0),1),IFERROR(0/0,""))</f>
        <v>RUN-COMB_2022-05-27_RFR-048</v>
      </c>
      <c r="S873" s="165" t="str">
        <f t="shared" ref="S873:T873" si="1745">IF(COUNTIF(W$2:W1679, $A873) &gt; 0,TRUE,IFERROR(0/0,""))</f>
        <v/>
      </c>
      <c r="T873" s="165" t="str">
        <f t="shared" si="1745"/>
        <v/>
      </c>
      <c r="U873" s="147" t="str">
        <f t="array" ref="U873">IF(ISBLANK($R873), IF($S873,VLOOKUP($B873+1,'RFR Data - preExcl'!$BF$2:$BG1679,2,FALSE),IF($T873,INDEX('RFR Data - preExcl'!$BF$2:$BG1679,MATCH($B873,'RFR Data - preExcl'!$BF$2:$BF1679,0)+1,2),VLOOKUP($B873,'RFR Data - preExcl'!$BF$2:$BG1679,2,FALSE))),IFERROR(0/0,""))</f>
        <v/>
      </c>
      <c r="V873" s="212" t="str">
        <f t="shared" si="5"/>
        <v>RUN-COMB_2022-05-27_RFR-048</v>
      </c>
      <c r="W873" s="51"/>
      <c r="X873" s="51"/>
      <c r="Y873" s="147" t="str">
        <f t="shared" ref="Y873:Z873" si="1746">IF(_xlfn.ISFORMULA(S873),IFERROR(0/0,""),TRUE)</f>
        <v/>
      </c>
      <c r="Z873" s="147" t="str">
        <f t="shared" si="1746"/>
        <v/>
      </c>
    </row>
    <row r="874">
      <c r="A874" s="6" t="str">
        <f>IFERROR(__xludf.DUMMYFUNCTION("""COMPUTED_VALUE"""),"FM1967")</f>
        <v>FM1967</v>
      </c>
      <c r="B874" s="206">
        <f>IFERROR(__xludf.DUMMYFUNCTION("""COMPUTED_VALUE"""),44708.0)</f>
        <v>44708</v>
      </c>
      <c r="C874" s="207">
        <f>IFERROR(__xludf.DUMMYFUNCTION("""COMPUTED_VALUE"""),0.2632638888888889)</f>
        <v>0.2632638889</v>
      </c>
      <c r="D874" s="50"/>
      <c r="E874" s="58"/>
      <c r="F874" s="58"/>
      <c r="G874" s="58" t="str">
        <f>IFERROR(__xludf.DUMMYFUNCTION("""COMPUTED_VALUE"""),"Null")</f>
        <v>Null</v>
      </c>
      <c r="H874" s="206" t="str">
        <f>IFERROR(__xludf.DUMMYFUNCTION("""COMPUTED_VALUE"""),"Negative")</f>
        <v>Negative</v>
      </c>
      <c r="I874" s="207">
        <f>IFERROR(__xludf.DUMMYFUNCTION("""COMPUTED_VALUE"""),44708.0)</f>
        <v>44708</v>
      </c>
      <c r="J874" s="208">
        <f>IFERROR(__xludf.DUMMYFUNCTION("""COMPUTED_VALUE"""),0.3382986111111111)</f>
        <v>0.3382986111</v>
      </c>
      <c r="K874" s="50">
        <f>IFERROR(__xludf.DUMMYFUNCTION("""COMPUTED_VALUE"""),2.0)</f>
        <v>2</v>
      </c>
      <c r="L874" s="6"/>
      <c r="M874" s="55"/>
      <c r="N874" s="55">
        <f>IFERROR(__xludf.DUMMYFUNCTION("""COMPUTED_VALUE"""),1.0)</f>
        <v>1</v>
      </c>
      <c r="O874" s="55" t="str">
        <f t="shared" si="3"/>
        <v/>
      </c>
      <c r="P874" s="209"/>
      <c r="Q874" s="75" t="b">
        <f>VLOOKUP($B874,'Run Reconcile'!B$2:P1679,15,FALSE)</f>
        <v>1</v>
      </c>
      <c r="R874" s="211" t="str">
        <f t="array" ref="R874">IF($Q874, INDEX('Run Reconcile'!A$2:A1679,MATCH(B874,'Run Reconcile'!B$2:B1679,0),1),IFERROR(0/0,""))</f>
        <v>RUN-COMB_2022-05-27_RFR-048</v>
      </c>
      <c r="S874" s="165" t="str">
        <f t="shared" ref="S874:T874" si="1747">IF(COUNTIF(W$2:W1679, $A874) &gt; 0,TRUE,IFERROR(0/0,""))</f>
        <v/>
      </c>
      <c r="T874" s="165" t="str">
        <f t="shared" si="1747"/>
        <v/>
      </c>
      <c r="U874" s="147" t="str">
        <f t="array" ref="U874">IF(ISBLANK($R874), IF($S874,VLOOKUP($B874+1,'RFR Data - preExcl'!$BF$2:$BG1679,2,FALSE),IF($T874,INDEX('RFR Data - preExcl'!$BF$2:$BG1679,MATCH($B874,'RFR Data - preExcl'!$BF$2:$BF1679,0)+1,2),VLOOKUP($B874,'RFR Data - preExcl'!$BF$2:$BG1679,2,FALSE))),IFERROR(0/0,""))</f>
        <v/>
      </c>
      <c r="V874" s="212" t="str">
        <f t="shared" si="5"/>
        <v>RUN-COMB_2022-05-27_RFR-048</v>
      </c>
      <c r="W874" s="51"/>
      <c r="X874" s="51"/>
      <c r="Y874" s="147" t="str">
        <f t="shared" ref="Y874:Z874" si="1748">IF(_xlfn.ISFORMULA(S874),IFERROR(0/0,""),TRUE)</f>
        <v/>
      </c>
      <c r="Z874" s="147" t="str">
        <f t="shared" si="1748"/>
        <v/>
      </c>
    </row>
    <row r="875">
      <c r="A875" s="6" t="str">
        <f>IFERROR(__xludf.DUMMYFUNCTION("""COMPUTED_VALUE"""),"FM1978")</f>
        <v>FM1978</v>
      </c>
      <c r="B875" s="206">
        <f>IFERROR(__xludf.DUMMYFUNCTION("""COMPUTED_VALUE"""),44708.0)</f>
        <v>44708</v>
      </c>
      <c r="C875" s="207">
        <f>IFERROR(__xludf.DUMMYFUNCTION("""COMPUTED_VALUE"""),0.26363425925925926)</f>
        <v>0.2636342593</v>
      </c>
      <c r="D875" s="50"/>
      <c r="E875" s="58"/>
      <c r="F875" s="58"/>
      <c r="G875" s="58" t="str">
        <f>IFERROR(__xludf.DUMMYFUNCTION("""COMPUTED_VALUE"""),"Null")</f>
        <v>Null</v>
      </c>
      <c r="H875" s="206" t="str">
        <f>IFERROR(__xludf.DUMMYFUNCTION("""COMPUTED_VALUE"""),"Negative")</f>
        <v>Negative</v>
      </c>
      <c r="I875" s="207">
        <f>IFERROR(__xludf.DUMMYFUNCTION("""COMPUTED_VALUE"""),44708.0)</f>
        <v>44708</v>
      </c>
      <c r="J875" s="208">
        <f>IFERROR(__xludf.DUMMYFUNCTION("""COMPUTED_VALUE"""),0.3383101851851852)</f>
        <v>0.3383101852</v>
      </c>
      <c r="K875" s="50">
        <f>IFERROR(__xludf.DUMMYFUNCTION("""COMPUTED_VALUE"""),2.0)</f>
        <v>2</v>
      </c>
      <c r="L875" s="6"/>
      <c r="M875" s="55"/>
      <c r="N875" s="55">
        <f>IFERROR(__xludf.DUMMYFUNCTION("""COMPUTED_VALUE"""),1.0)</f>
        <v>1</v>
      </c>
      <c r="O875" s="55" t="str">
        <f t="shared" si="3"/>
        <v/>
      </c>
      <c r="P875" s="209"/>
      <c r="Q875" s="75" t="b">
        <f>VLOOKUP($B875,'Run Reconcile'!B$2:P1679,15,FALSE)</f>
        <v>1</v>
      </c>
      <c r="R875" s="211" t="str">
        <f t="array" ref="R875">IF($Q875, INDEX('Run Reconcile'!A$2:A1679,MATCH(B875,'Run Reconcile'!B$2:B1679,0),1),IFERROR(0/0,""))</f>
        <v>RUN-COMB_2022-05-27_RFR-048</v>
      </c>
      <c r="S875" s="165" t="str">
        <f t="shared" ref="S875:T875" si="1749">IF(COUNTIF(W$2:W1679, $A875) &gt; 0,TRUE,IFERROR(0/0,""))</f>
        <v/>
      </c>
      <c r="T875" s="165" t="str">
        <f t="shared" si="1749"/>
        <v/>
      </c>
      <c r="U875" s="147" t="str">
        <f t="array" ref="U875">IF(ISBLANK($R875), IF($S875,VLOOKUP($B875+1,'RFR Data - preExcl'!$BF$2:$BG1679,2,FALSE),IF($T875,INDEX('RFR Data - preExcl'!$BF$2:$BG1679,MATCH($B875,'RFR Data - preExcl'!$BF$2:$BF1679,0)+1,2),VLOOKUP($B875,'RFR Data - preExcl'!$BF$2:$BG1679,2,FALSE))),IFERROR(0/0,""))</f>
        <v/>
      </c>
      <c r="V875" s="212" t="str">
        <f t="shared" si="5"/>
        <v>RUN-COMB_2022-05-27_RFR-048</v>
      </c>
      <c r="W875" s="51"/>
      <c r="X875" s="51"/>
      <c r="Y875" s="147" t="str">
        <f t="shared" ref="Y875:Z875" si="1750">IF(_xlfn.ISFORMULA(S875),IFERROR(0/0,""),TRUE)</f>
        <v/>
      </c>
      <c r="Z875" s="147" t="str">
        <f t="shared" si="1750"/>
        <v/>
      </c>
    </row>
    <row r="876">
      <c r="A876" s="6" t="str">
        <f>IFERROR(__xludf.DUMMYFUNCTION("""COMPUTED_VALUE"""),"FM855")</f>
        <v>FM855</v>
      </c>
      <c r="B876" s="206">
        <f>IFERROR(__xludf.DUMMYFUNCTION("""COMPUTED_VALUE"""),44708.0)</f>
        <v>44708</v>
      </c>
      <c r="C876" s="207">
        <f>IFERROR(__xludf.DUMMYFUNCTION("""COMPUTED_VALUE"""),0.26403935185185184)</f>
        <v>0.2640393519</v>
      </c>
      <c r="D876" s="50"/>
      <c r="E876" s="58"/>
      <c r="F876" s="58"/>
      <c r="G876" s="58" t="str">
        <f>IFERROR(__xludf.DUMMYFUNCTION("""COMPUTED_VALUE"""),"Null")</f>
        <v>Null</v>
      </c>
      <c r="H876" s="206" t="str">
        <f>IFERROR(__xludf.DUMMYFUNCTION("""COMPUTED_VALUE"""),"Negative")</f>
        <v>Negative</v>
      </c>
      <c r="I876" s="207">
        <f>IFERROR(__xludf.DUMMYFUNCTION("""COMPUTED_VALUE"""),44708.0)</f>
        <v>44708</v>
      </c>
      <c r="J876" s="208">
        <f>IFERROR(__xludf.DUMMYFUNCTION("""COMPUTED_VALUE"""),0.3383217592592593)</f>
        <v>0.3383217593</v>
      </c>
      <c r="K876" s="50">
        <f>IFERROR(__xludf.DUMMYFUNCTION("""COMPUTED_VALUE"""),2.0)</f>
        <v>2</v>
      </c>
      <c r="L876" s="6"/>
      <c r="M876" s="55"/>
      <c r="N876" s="55">
        <f>IFERROR(__xludf.DUMMYFUNCTION("""COMPUTED_VALUE"""),1.0)</f>
        <v>1</v>
      </c>
      <c r="O876" s="55" t="str">
        <f t="shared" si="3"/>
        <v/>
      </c>
      <c r="P876" s="209"/>
      <c r="Q876" s="75" t="b">
        <f>VLOOKUP($B876,'Run Reconcile'!B$2:P1679,15,FALSE)</f>
        <v>1</v>
      </c>
      <c r="R876" s="211" t="str">
        <f t="array" ref="R876">IF($Q876, INDEX('Run Reconcile'!A$2:A1679,MATCH(B876,'Run Reconcile'!B$2:B1679,0),1),IFERROR(0/0,""))</f>
        <v>RUN-COMB_2022-05-27_RFR-048</v>
      </c>
      <c r="S876" s="165" t="str">
        <f t="shared" ref="S876:T876" si="1751">IF(COUNTIF(W$2:W1679, $A876) &gt; 0,TRUE,IFERROR(0/0,""))</f>
        <v/>
      </c>
      <c r="T876" s="165" t="str">
        <f t="shared" si="1751"/>
        <v/>
      </c>
      <c r="U876" s="147" t="str">
        <f t="array" ref="U876">IF(ISBLANK($R876), IF($S876,VLOOKUP($B876+1,'RFR Data - preExcl'!$BF$2:$BG1679,2,FALSE),IF($T876,INDEX('RFR Data - preExcl'!$BF$2:$BG1679,MATCH($B876,'RFR Data - preExcl'!$BF$2:$BF1679,0)+1,2),VLOOKUP($B876,'RFR Data - preExcl'!$BF$2:$BG1679,2,FALSE))),IFERROR(0/0,""))</f>
        <v/>
      </c>
      <c r="V876" s="212" t="str">
        <f t="shared" si="5"/>
        <v>RUN-COMB_2022-05-27_RFR-048</v>
      </c>
      <c r="W876" s="51"/>
      <c r="X876" s="51"/>
      <c r="Y876" s="147" t="str">
        <f t="shared" ref="Y876:Z876" si="1752">IF(_xlfn.ISFORMULA(S876),IFERROR(0/0,""),TRUE)</f>
        <v/>
      </c>
      <c r="Z876" s="147" t="str">
        <f t="shared" si="1752"/>
        <v/>
      </c>
    </row>
    <row r="877">
      <c r="A877" s="6" t="str">
        <f>IFERROR(__xludf.DUMMYFUNCTION("""COMPUTED_VALUE"""),"FM877")</f>
        <v>FM877</v>
      </c>
      <c r="B877" s="206">
        <f>IFERROR(__xludf.DUMMYFUNCTION("""COMPUTED_VALUE"""),44708.0)</f>
        <v>44708</v>
      </c>
      <c r="C877" s="207">
        <f>IFERROR(__xludf.DUMMYFUNCTION("""COMPUTED_VALUE"""),0.26457175925925924)</f>
        <v>0.2645717593</v>
      </c>
      <c r="D877" s="50"/>
      <c r="E877" s="58"/>
      <c r="F877" s="58"/>
      <c r="G877" s="58" t="str">
        <f>IFERROR(__xludf.DUMMYFUNCTION("""COMPUTED_VALUE"""),"Null")</f>
        <v>Null</v>
      </c>
      <c r="H877" s="206" t="str">
        <f>IFERROR(__xludf.DUMMYFUNCTION("""COMPUTED_VALUE"""),"Negative")</f>
        <v>Negative</v>
      </c>
      <c r="I877" s="207">
        <f>IFERROR(__xludf.DUMMYFUNCTION("""COMPUTED_VALUE"""),44708.0)</f>
        <v>44708</v>
      </c>
      <c r="J877" s="208">
        <f>IFERROR(__xludf.DUMMYFUNCTION("""COMPUTED_VALUE"""),0.3383333333333333)</f>
        <v>0.3383333333</v>
      </c>
      <c r="K877" s="50">
        <f>IFERROR(__xludf.DUMMYFUNCTION("""COMPUTED_VALUE"""),2.0)</f>
        <v>2</v>
      </c>
      <c r="L877" s="6"/>
      <c r="M877" s="55"/>
      <c r="N877" s="55">
        <f>IFERROR(__xludf.DUMMYFUNCTION("""COMPUTED_VALUE"""),1.0)</f>
        <v>1</v>
      </c>
      <c r="O877" s="55" t="str">
        <f t="shared" si="3"/>
        <v/>
      </c>
      <c r="P877" s="209"/>
      <c r="Q877" s="75" t="b">
        <f>VLOOKUP($B877,'Run Reconcile'!B$2:P1679,15,FALSE)</f>
        <v>1</v>
      </c>
      <c r="R877" s="211" t="str">
        <f t="array" ref="R877">IF($Q877, INDEX('Run Reconcile'!A$2:A1679,MATCH(B877,'Run Reconcile'!B$2:B1679,0),1),IFERROR(0/0,""))</f>
        <v>RUN-COMB_2022-05-27_RFR-048</v>
      </c>
      <c r="S877" s="165" t="str">
        <f t="shared" ref="S877:T877" si="1753">IF(COUNTIF(W$2:W1679, $A877) &gt; 0,TRUE,IFERROR(0/0,""))</f>
        <v/>
      </c>
      <c r="T877" s="165" t="str">
        <f t="shared" si="1753"/>
        <v/>
      </c>
      <c r="U877" s="147" t="str">
        <f t="array" ref="U877">IF(ISBLANK($R877), IF($S877,VLOOKUP($B877+1,'RFR Data - preExcl'!$BF$2:$BG1679,2,FALSE),IF($T877,INDEX('RFR Data - preExcl'!$BF$2:$BG1679,MATCH($B877,'RFR Data - preExcl'!$BF$2:$BF1679,0)+1,2),VLOOKUP($B877,'RFR Data - preExcl'!$BF$2:$BG1679,2,FALSE))),IFERROR(0/0,""))</f>
        <v/>
      </c>
      <c r="V877" s="212" t="str">
        <f t="shared" si="5"/>
        <v>RUN-COMB_2022-05-27_RFR-048</v>
      </c>
      <c r="W877" s="51"/>
      <c r="X877" s="51"/>
      <c r="Y877" s="147" t="str">
        <f t="shared" ref="Y877:Z877" si="1754">IF(_xlfn.ISFORMULA(S877),IFERROR(0/0,""),TRUE)</f>
        <v/>
      </c>
      <c r="Z877" s="147" t="str">
        <f t="shared" si="1754"/>
        <v/>
      </c>
    </row>
    <row r="878">
      <c r="A878" s="6" t="str">
        <f>IFERROR(__xludf.DUMMYFUNCTION("""COMPUTED_VALUE"""),"FM860")</f>
        <v>FM860</v>
      </c>
      <c r="B878" s="206">
        <f>IFERROR(__xludf.DUMMYFUNCTION("""COMPUTED_VALUE"""),44708.0)</f>
        <v>44708</v>
      </c>
      <c r="C878" s="207">
        <f>IFERROR(__xludf.DUMMYFUNCTION("""COMPUTED_VALUE"""),0.26489583333333333)</f>
        <v>0.2648958333</v>
      </c>
      <c r="D878" s="50"/>
      <c r="E878" s="58"/>
      <c r="F878" s="58"/>
      <c r="G878" s="58" t="str">
        <f>IFERROR(__xludf.DUMMYFUNCTION("""COMPUTED_VALUE"""),"Null")</f>
        <v>Null</v>
      </c>
      <c r="H878" s="206" t="str">
        <f>IFERROR(__xludf.DUMMYFUNCTION("""COMPUTED_VALUE"""),"Negative")</f>
        <v>Negative</v>
      </c>
      <c r="I878" s="207">
        <f>IFERROR(__xludf.DUMMYFUNCTION("""COMPUTED_VALUE"""),44708.0)</f>
        <v>44708</v>
      </c>
      <c r="J878" s="208">
        <f>IFERROR(__xludf.DUMMYFUNCTION("""COMPUTED_VALUE"""),0.3383449074074074)</f>
        <v>0.3383449074</v>
      </c>
      <c r="K878" s="50">
        <f>IFERROR(__xludf.DUMMYFUNCTION("""COMPUTED_VALUE"""),2.0)</f>
        <v>2</v>
      </c>
      <c r="L878" s="6"/>
      <c r="M878" s="55"/>
      <c r="N878" s="55">
        <f>IFERROR(__xludf.DUMMYFUNCTION("""COMPUTED_VALUE"""),1.0)</f>
        <v>1</v>
      </c>
      <c r="O878" s="55" t="str">
        <f t="shared" si="3"/>
        <v/>
      </c>
      <c r="P878" s="209"/>
      <c r="Q878" s="75" t="b">
        <f>VLOOKUP($B878,'Run Reconcile'!B$2:P1679,15,FALSE)</f>
        <v>1</v>
      </c>
      <c r="R878" s="211" t="str">
        <f t="array" ref="R878">IF($Q878, INDEX('Run Reconcile'!A$2:A1679,MATCH(B878,'Run Reconcile'!B$2:B1679,0),1),IFERROR(0/0,""))</f>
        <v>RUN-COMB_2022-05-27_RFR-048</v>
      </c>
      <c r="S878" s="165" t="str">
        <f t="shared" ref="S878:T878" si="1755">IF(COUNTIF(W$2:W1679, $A878) &gt; 0,TRUE,IFERROR(0/0,""))</f>
        <v/>
      </c>
      <c r="T878" s="165" t="str">
        <f t="shared" si="1755"/>
        <v/>
      </c>
      <c r="U878" s="147" t="str">
        <f t="array" ref="U878">IF(ISBLANK($R878), IF($S878,VLOOKUP($B878+1,'RFR Data - preExcl'!$BF$2:$BG1679,2,FALSE),IF($T878,INDEX('RFR Data - preExcl'!$BF$2:$BG1679,MATCH($B878,'RFR Data - preExcl'!$BF$2:$BF1679,0)+1,2),VLOOKUP($B878,'RFR Data - preExcl'!$BF$2:$BG1679,2,FALSE))),IFERROR(0/0,""))</f>
        <v/>
      </c>
      <c r="V878" s="212" t="str">
        <f t="shared" si="5"/>
        <v>RUN-COMB_2022-05-27_RFR-048</v>
      </c>
      <c r="W878" s="51"/>
      <c r="X878" s="51"/>
      <c r="Y878" s="147" t="str">
        <f t="shared" ref="Y878:Z878" si="1756">IF(_xlfn.ISFORMULA(S878),IFERROR(0/0,""),TRUE)</f>
        <v/>
      </c>
      <c r="Z878" s="147" t="str">
        <f t="shared" si="1756"/>
        <v/>
      </c>
    </row>
    <row r="879">
      <c r="A879" s="6" t="str">
        <f>IFERROR(__xludf.DUMMYFUNCTION("""COMPUTED_VALUE"""),"FM848")</f>
        <v>FM848</v>
      </c>
      <c r="B879" s="206">
        <f>IFERROR(__xludf.DUMMYFUNCTION("""COMPUTED_VALUE"""),44708.0)</f>
        <v>44708</v>
      </c>
      <c r="C879" s="207">
        <f>IFERROR(__xludf.DUMMYFUNCTION("""COMPUTED_VALUE"""),0.2653009259259259)</f>
        <v>0.2653009259</v>
      </c>
      <c r="D879" s="50"/>
      <c r="E879" s="58"/>
      <c r="F879" s="58"/>
      <c r="G879" s="58" t="str">
        <f>IFERROR(__xludf.DUMMYFUNCTION("""COMPUTED_VALUE"""),"Null")</f>
        <v>Null</v>
      </c>
      <c r="H879" s="206" t="str">
        <f>IFERROR(__xludf.DUMMYFUNCTION("""COMPUTED_VALUE"""),"Negative")</f>
        <v>Negative</v>
      </c>
      <c r="I879" s="207">
        <f>IFERROR(__xludf.DUMMYFUNCTION("""COMPUTED_VALUE"""),44708.0)</f>
        <v>44708</v>
      </c>
      <c r="J879" s="208">
        <f>IFERROR(__xludf.DUMMYFUNCTION("""COMPUTED_VALUE"""),0.3383564814814815)</f>
        <v>0.3383564815</v>
      </c>
      <c r="K879" s="50">
        <f>IFERROR(__xludf.DUMMYFUNCTION("""COMPUTED_VALUE"""),2.0)</f>
        <v>2</v>
      </c>
      <c r="L879" s="6"/>
      <c r="M879" s="55"/>
      <c r="N879" s="55">
        <f>IFERROR(__xludf.DUMMYFUNCTION("""COMPUTED_VALUE"""),1.0)</f>
        <v>1</v>
      </c>
      <c r="O879" s="55" t="str">
        <f t="shared" si="3"/>
        <v/>
      </c>
      <c r="P879" s="209"/>
      <c r="Q879" s="75" t="b">
        <f>VLOOKUP($B879,'Run Reconcile'!B$2:P1679,15,FALSE)</f>
        <v>1</v>
      </c>
      <c r="R879" s="211" t="str">
        <f t="array" ref="R879">IF($Q879, INDEX('Run Reconcile'!A$2:A1679,MATCH(B879,'Run Reconcile'!B$2:B1679,0),1),IFERROR(0/0,""))</f>
        <v>RUN-COMB_2022-05-27_RFR-048</v>
      </c>
      <c r="S879" s="165" t="str">
        <f t="shared" ref="S879:T879" si="1757">IF(COUNTIF(W$2:W1679, $A879) &gt; 0,TRUE,IFERROR(0/0,""))</f>
        <v/>
      </c>
      <c r="T879" s="165" t="str">
        <f t="shared" si="1757"/>
        <v/>
      </c>
      <c r="U879" s="147" t="str">
        <f t="array" ref="U879">IF(ISBLANK($R879), IF($S879,VLOOKUP($B879+1,'RFR Data - preExcl'!$BF$2:$BG1679,2,FALSE),IF($T879,INDEX('RFR Data - preExcl'!$BF$2:$BG1679,MATCH($B879,'RFR Data - preExcl'!$BF$2:$BF1679,0)+1,2),VLOOKUP($B879,'RFR Data - preExcl'!$BF$2:$BG1679,2,FALSE))),IFERROR(0/0,""))</f>
        <v/>
      </c>
      <c r="V879" s="212" t="str">
        <f t="shared" si="5"/>
        <v>RUN-COMB_2022-05-27_RFR-048</v>
      </c>
      <c r="W879" s="51"/>
      <c r="X879" s="51"/>
      <c r="Y879" s="147" t="str">
        <f t="shared" ref="Y879:Z879" si="1758">IF(_xlfn.ISFORMULA(S879),IFERROR(0/0,""),TRUE)</f>
        <v/>
      </c>
      <c r="Z879" s="147" t="str">
        <f t="shared" si="1758"/>
        <v/>
      </c>
    </row>
    <row r="880">
      <c r="A880" s="6" t="str">
        <f>IFERROR(__xludf.DUMMYFUNCTION("""COMPUTED_VALUE"""),"FM1927")</f>
        <v>FM1927</v>
      </c>
      <c r="B880" s="206">
        <f>IFERROR(__xludf.DUMMYFUNCTION("""COMPUTED_VALUE"""),44708.0)</f>
        <v>44708</v>
      </c>
      <c r="C880" s="207">
        <f>IFERROR(__xludf.DUMMYFUNCTION("""COMPUTED_VALUE"""),0.2656597222222222)</f>
        <v>0.2656597222</v>
      </c>
      <c r="D880" s="50"/>
      <c r="E880" s="58"/>
      <c r="F880" s="58"/>
      <c r="G880" s="58" t="str">
        <f>IFERROR(__xludf.DUMMYFUNCTION("""COMPUTED_VALUE"""),"Null")</f>
        <v>Null</v>
      </c>
      <c r="H880" s="206" t="str">
        <f>IFERROR(__xludf.DUMMYFUNCTION("""COMPUTED_VALUE"""),"Negative")</f>
        <v>Negative</v>
      </c>
      <c r="I880" s="207">
        <f>IFERROR(__xludf.DUMMYFUNCTION("""COMPUTED_VALUE"""),44708.0)</f>
        <v>44708</v>
      </c>
      <c r="J880" s="208">
        <f>IFERROR(__xludf.DUMMYFUNCTION("""COMPUTED_VALUE"""),0.33836805555555555)</f>
        <v>0.3383680556</v>
      </c>
      <c r="K880" s="50">
        <f>IFERROR(__xludf.DUMMYFUNCTION("""COMPUTED_VALUE"""),2.0)</f>
        <v>2</v>
      </c>
      <c r="L880" s="6"/>
      <c r="M880" s="55"/>
      <c r="N880" s="55">
        <f>IFERROR(__xludf.DUMMYFUNCTION("""COMPUTED_VALUE"""),1.0)</f>
        <v>1</v>
      </c>
      <c r="O880" s="55" t="str">
        <f t="shared" si="3"/>
        <v/>
      </c>
      <c r="P880" s="209"/>
      <c r="Q880" s="75" t="b">
        <f>VLOOKUP($B880,'Run Reconcile'!B$2:P1679,15,FALSE)</f>
        <v>1</v>
      </c>
      <c r="R880" s="211" t="str">
        <f t="array" ref="R880">IF($Q880, INDEX('Run Reconcile'!A$2:A1679,MATCH(B880,'Run Reconcile'!B$2:B1679,0),1),IFERROR(0/0,""))</f>
        <v>RUN-COMB_2022-05-27_RFR-048</v>
      </c>
      <c r="S880" s="165" t="str">
        <f t="shared" ref="S880:T880" si="1759">IF(COUNTIF(W$2:W1679, $A880) &gt; 0,TRUE,IFERROR(0/0,""))</f>
        <v/>
      </c>
      <c r="T880" s="165" t="str">
        <f t="shared" si="1759"/>
        <v/>
      </c>
      <c r="U880" s="147" t="str">
        <f t="array" ref="U880">IF(ISBLANK($R880), IF($S880,VLOOKUP($B880+1,'RFR Data - preExcl'!$BF$2:$BG1679,2,FALSE),IF($T880,INDEX('RFR Data - preExcl'!$BF$2:$BG1679,MATCH($B880,'RFR Data - preExcl'!$BF$2:$BF1679,0)+1,2),VLOOKUP($B880,'RFR Data - preExcl'!$BF$2:$BG1679,2,FALSE))),IFERROR(0/0,""))</f>
        <v/>
      </c>
      <c r="V880" s="212" t="str">
        <f t="shared" si="5"/>
        <v>RUN-COMB_2022-05-27_RFR-048</v>
      </c>
      <c r="W880" s="51"/>
      <c r="X880" s="51"/>
      <c r="Y880" s="147" t="str">
        <f t="shared" ref="Y880:Z880" si="1760">IF(_xlfn.ISFORMULA(S880),IFERROR(0/0,""),TRUE)</f>
        <v/>
      </c>
      <c r="Z880" s="147" t="str">
        <f t="shared" si="1760"/>
        <v/>
      </c>
    </row>
    <row r="881">
      <c r="A881" s="6" t="str">
        <f>IFERROR(__xludf.DUMMYFUNCTION("""COMPUTED_VALUE"""),"FM1976")</f>
        <v>FM1976</v>
      </c>
      <c r="B881" s="206">
        <f>IFERROR(__xludf.DUMMYFUNCTION("""COMPUTED_VALUE"""),44708.0)</f>
        <v>44708</v>
      </c>
      <c r="C881" s="207">
        <f>IFERROR(__xludf.DUMMYFUNCTION("""COMPUTED_VALUE"""),0.2660300925925926)</f>
        <v>0.2660300926</v>
      </c>
      <c r="D881" s="50"/>
      <c r="E881" s="58"/>
      <c r="F881" s="58"/>
      <c r="G881" s="58" t="str">
        <f>IFERROR(__xludf.DUMMYFUNCTION("""COMPUTED_VALUE"""),"Null")</f>
        <v>Null</v>
      </c>
      <c r="H881" s="206" t="str">
        <f>IFERROR(__xludf.DUMMYFUNCTION("""COMPUTED_VALUE"""),"Negative")</f>
        <v>Negative</v>
      </c>
      <c r="I881" s="207">
        <f>IFERROR(__xludf.DUMMYFUNCTION("""COMPUTED_VALUE"""),44708.0)</f>
        <v>44708</v>
      </c>
      <c r="J881" s="208">
        <f>IFERROR(__xludf.DUMMYFUNCTION("""COMPUTED_VALUE"""),0.33837962962962964)</f>
        <v>0.3383796296</v>
      </c>
      <c r="K881" s="50">
        <f>IFERROR(__xludf.DUMMYFUNCTION("""COMPUTED_VALUE"""),2.0)</f>
        <v>2</v>
      </c>
      <c r="L881" s="6"/>
      <c r="M881" s="55"/>
      <c r="N881" s="55">
        <f>IFERROR(__xludf.DUMMYFUNCTION("""COMPUTED_VALUE"""),1.0)</f>
        <v>1</v>
      </c>
      <c r="O881" s="55" t="str">
        <f t="shared" si="3"/>
        <v/>
      </c>
      <c r="P881" s="209"/>
      <c r="Q881" s="75" t="b">
        <f>VLOOKUP($B881,'Run Reconcile'!B$2:P1679,15,FALSE)</f>
        <v>1</v>
      </c>
      <c r="R881" s="211" t="str">
        <f t="array" ref="R881">IF($Q881, INDEX('Run Reconcile'!A$2:A1679,MATCH(B881,'Run Reconcile'!B$2:B1679,0),1),IFERROR(0/0,""))</f>
        <v>RUN-COMB_2022-05-27_RFR-048</v>
      </c>
      <c r="S881" s="165" t="str">
        <f t="shared" ref="S881:T881" si="1761">IF(COUNTIF(W$2:W1679, $A881) &gt; 0,TRUE,IFERROR(0/0,""))</f>
        <v/>
      </c>
      <c r="T881" s="165" t="str">
        <f t="shared" si="1761"/>
        <v/>
      </c>
      <c r="U881" s="147" t="str">
        <f t="array" ref="U881">IF(ISBLANK($R881), IF($S881,VLOOKUP($B881+1,'RFR Data - preExcl'!$BF$2:$BG1679,2,FALSE),IF($T881,INDEX('RFR Data - preExcl'!$BF$2:$BG1679,MATCH($B881,'RFR Data - preExcl'!$BF$2:$BF1679,0)+1,2),VLOOKUP($B881,'RFR Data - preExcl'!$BF$2:$BG1679,2,FALSE))),IFERROR(0/0,""))</f>
        <v/>
      </c>
      <c r="V881" s="212" t="str">
        <f t="shared" si="5"/>
        <v>RUN-COMB_2022-05-27_RFR-048</v>
      </c>
      <c r="W881" s="51"/>
      <c r="X881" s="51"/>
      <c r="Y881" s="147" t="str">
        <f t="shared" ref="Y881:Z881" si="1762">IF(_xlfn.ISFORMULA(S881),IFERROR(0/0,""),TRUE)</f>
        <v/>
      </c>
      <c r="Z881" s="147" t="str">
        <f t="shared" si="1762"/>
        <v/>
      </c>
    </row>
    <row r="882">
      <c r="A882" s="6" t="str">
        <f>IFERROR(__xludf.DUMMYFUNCTION("""COMPUTED_VALUE"""),"FM870")</f>
        <v>FM870</v>
      </c>
      <c r="B882" s="206">
        <f>IFERROR(__xludf.DUMMYFUNCTION("""COMPUTED_VALUE"""),44708.0)</f>
        <v>44708</v>
      </c>
      <c r="C882" s="207">
        <f>IFERROR(__xludf.DUMMYFUNCTION("""COMPUTED_VALUE"""),0.2682291666666667)</f>
        <v>0.2682291667</v>
      </c>
      <c r="D882" s="50"/>
      <c r="E882" s="58"/>
      <c r="F882" s="58"/>
      <c r="G882" s="58" t="str">
        <f>IFERROR(__xludf.DUMMYFUNCTION("""COMPUTED_VALUE"""),"Null")</f>
        <v>Null</v>
      </c>
      <c r="H882" s="206" t="str">
        <f>IFERROR(__xludf.DUMMYFUNCTION("""COMPUTED_VALUE"""),"Negative")</f>
        <v>Negative</v>
      </c>
      <c r="I882" s="207">
        <f>IFERROR(__xludf.DUMMYFUNCTION("""COMPUTED_VALUE"""),44708.0)</f>
        <v>44708</v>
      </c>
      <c r="J882" s="208">
        <f>IFERROR(__xludf.DUMMYFUNCTION("""COMPUTED_VALUE"""),0.3383912037037037)</f>
        <v>0.3383912037</v>
      </c>
      <c r="K882" s="50">
        <f>IFERROR(__xludf.DUMMYFUNCTION("""COMPUTED_VALUE"""),2.0)</f>
        <v>2</v>
      </c>
      <c r="L882" s="6"/>
      <c r="M882" s="55"/>
      <c r="N882" s="55">
        <f>IFERROR(__xludf.DUMMYFUNCTION("""COMPUTED_VALUE"""),1.0)</f>
        <v>1</v>
      </c>
      <c r="O882" s="55" t="str">
        <f t="shared" si="3"/>
        <v/>
      </c>
      <c r="P882" s="209"/>
      <c r="Q882" s="75" t="b">
        <f>VLOOKUP($B882,'Run Reconcile'!B$2:P1679,15,FALSE)</f>
        <v>1</v>
      </c>
      <c r="R882" s="211" t="str">
        <f t="array" ref="R882">IF($Q882, INDEX('Run Reconcile'!A$2:A1679,MATCH(B882,'Run Reconcile'!B$2:B1679,0),1),IFERROR(0/0,""))</f>
        <v>RUN-COMB_2022-05-27_RFR-048</v>
      </c>
      <c r="S882" s="165" t="str">
        <f t="shared" ref="S882:T882" si="1763">IF(COUNTIF(W$2:W1679, $A882) &gt; 0,TRUE,IFERROR(0/0,""))</f>
        <v/>
      </c>
      <c r="T882" s="165" t="str">
        <f t="shared" si="1763"/>
        <v/>
      </c>
      <c r="U882" s="147" t="str">
        <f t="array" ref="U882">IF(ISBLANK($R882), IF($S882,VLOOKUP($B882+1,'RFR Data - preExcl'!$BF$2:$BG1679,2,FALSE),IF($T882,INDEX('RFR Data - preExcl'!$BF$2:$BG1679,MATCH($B882,'RFR Data - preExcl'!$BF$2:$BF1679,0)+1,2),VLOOKUP($B882,'RFR Data - preExcl'!$BF$2:$BG1679,2,FALSE))),IFERROR(0/0,""))</f>
        <v/>
      </c>
      <c r="V882" s="212" t="str">
        <f t="shared" si="5"/>
        <v>RUN-COMB_2022-05-27_RFR-048</v>
      </c>
      <c r="W882" s="51"/>
      <c r="X882" s="51"/>
      <c r="Y882" s="147" t="str">
        <f t="shared" ref="Y882:Z882" si="1764">IF(_xlfn.ISFORMULA(S882),IFERROR(0/0,""),TRUE)</f>
        <v/>
      </c>
      <c r="Z882" s="147" t="str">
        <f t="shared" si="1764"/>
        <v/>
      </c>
    </row>
    <row r="883">
      <c r="A883" s="6" t="str">
        <f>IFERROR(__xludf.DUMMYFUNCTION("""COMPUTED_VALUE"""),"FM853")</f>
        <v>FM853</v>
      </c>
      <c r="B883" s="206">
        <f>IFERROR(__xludf.DUMMYFUNCTION("""COMPUTED_VALUE"""),44708.0)</f>
        <v>44708</v>
      </c>
      <c r="C883" s="207">
        <f>IFERROR(__xludf.DUMMYFUNCTION("""COMPUTED_VALUE"""),0.26859953703703704)</f>
        <v>0.268599537</v>
      </c>
      <c r="D883" s="50"/>
      <c r="E883" s="58"/>
      <c r="F883" s="58"/>
      <c r="G883" s="58" t="str">
        <f>IFERROR(__xludf.DUMMYFUNCTION("""COMPUTED_VALUE"""),"Null")</f>
        <v>Null</v>
      </c>
      <c r="H883" s="206" t="str">
        <f>IFERROR(__xludf.DUMMYFUNCTION("""COMPUTED_VALUE"""),"Negative")</f>
        <v>Negative</v>
      </c>
      <c r="I883" s="207">
        <f>IFERROR(__xludf.DUMMYFUNCTION("""COMPUTED_VALUE"""),44708.0)</f>
        <v>44708</v>
      </c>
      <c r="J883" s="208">
        <f>IFERROR(__xludf.DUMMYFUNCTION("""COMPUTED_VALUE"""),0.3384027777777778)</f>
        <v>0.3384027778</v>
      </c>
      <c r="K883" s="50">
        <f>IFERROR(__xludf.DUMMYFUNCTION("""COMPUTED_VALUE"""),2.0)</f>
        <v>2</v>
      </c>
      <c r="L883" s="6"/>
      <c r="M883" s="55"/>
      <c r="N883" s="55">
        <f>IFERROR(__xludf.DUMMYFUNCTION("""COMPUTED_VALUE"""),1.0)</f>
        <v>1</v>
      </c>
      <c r="O883" s="55" t="str">
        <f t="shared" si="3"/>
        <v/>
      </c>
      <c r="P883" s="209"/>
      <c r="Q883" s="75" t="b">
        <f>VLOOKUP($B883,'Run Reconcile'!B$2:P1679,15,FALSE)</f>
        <v>1</v>
      </c>
      <c r="R883" s="211" t="str">
        <f t="array" ref="R883">IF($Q883, INDEX('Run Reconcile'!A$2:A1679,MATCH(B883,'Run Reconcile'!B$2:B1679,0),1),IFERROR(0/0,""))</f>
        <v>RUN-COMB_2022-05-27_RFR-048</v>
      </c>
      <c r="S883" s="165" t="str">
        <f t="shared" ref="S883:T883" si="1765">IF(COUNTIF(W$2:W1679, $A883) &gt; 0,TRUE,IFERROR(0/0,""))</f>
        <v/>
      </c>
      <c r="T883" s="165" t="str">
        <f t="shared" si="1765"/>
        <v/>
      </c>
      <c r="U883" s="147" t="str">
        <f t="array" ref="U883">IF(ISBLANK($R883), IF($S883,VLOOKUP($B883+1,'RFR Data - preExcl'!$BF$2:$BG1679,2,FALSE),IF($T883,INDEX('RFR Data - preExcl'!$BF$2:$BG1679,MATCH($B883,'RFR Data - preExcl'!$BF$2:$BF1679,0)+1,2),VLOOKUP($B883,'RFR Data - preExcl'!$BF$2:$BG1679,2,FALSE))),IFERROR(0/0,""))</f>
        <v/>
      </c>
      <c r="V883" s="212" t="str">
        <f t="shared" si="5"/>
        <v>RUN-COMB_2022-05-27_RFR-048</v>
      </c>
      <c r="W883" s="51"/>
      <c r="X883" s="51"/>
      <c r="Y883" s="147" t="str">
        <f t="shared" ref="Y883:Z883" si="1766">IF(_xlfn.ISFORMULA(S883),IFERROR(0/0,""),TRUE)</f>
        <v/>
      </c>
      <c r="Z883" s="147" t="str">
        <f t="shared" si="1766"/>
        <v/>
      </c>
    </row>
    <row r="884">
      <c r="A884" s="6" t="str">
        <f>IFERROR(__xludf.DUMMYFUNCTION("""COMPUTED_VALUE"""),"FM1980")</f>
        <v>FM1980</v>
      </c>
      <c r="B884" s="206">
        <f>IFERROR(__xludf.DUMMYFUNCTION("""COMPUTED_VALUE"""),44708.0)</f>
        <v>44708</v>
      </c>
      <c r="C884" s="207">
        <f>IFERROR(__xludf.DUMMYFUNCTION("""COMPUTED_VALUE"""),0.26894675925925926)</f>
        <v>0.2689467593</v>
      </c>
      <c r="D884" s="50"/>
      <c r="E884" s="58"/>
      <c r="F884" s="58"/>
      <c r="G884" s="58" t="str">
        <f>IFERROR(__xludf.DUMMYFUNCTION("""COMPUTED_VALUE"""),"Null")</f>
        <v>Null</v>
      </c>
      <c r="H884" s="206" t="str">
        <f>IFERROR(__xludf.DUMMYFUNCTION("""COMPUTED_VALUE"""),"Negative")</f>
        <v>Negative</v>
      </c>
      <c r="I884" s="207">
        <f>IFERROR(__xludf.DUMMYFUNCTION("""COMPUTED_VALUE"""),44708.0)</f>
        <v>44708</v>
      </c>
      <c r="J884" s="208">
        <f>IFERROR(__xludf.DUMMYFUNCTION("""COMPUTED_VALUE"""),0.33841435185185187)</f>
        <v>0.3384143519</v>
      </c>
      <c r="K884" s="50">
        <f>IFERROR(__xludf.DUMMYFUNCTION("""COMPUTED_VALUE"""),2.0)</f>
        <v>2</v>
      </c>
      <c r="L884" s="6"/>
      <c r="M884" s="55"/>
      <c r="N884" s="55">
        <f>IFERROR(__xludf.DUMMYFUNCTION("""COMPUTED_VALUE"""),1.0)</f>
        <v>1</v>
      </c>
      <c r="O884" s="55" t="str">
        <f t="shared" si="3"/>
        <v/>
      </c>
      <c r="P884" s="209"/>
      <c r="Q884" s="75" t="b">
        <f>VLOOKUP($B884,'Run Reconcile'!B$2:P1679,15,FALSE)</f>
        <v>1</v>
      </c>
      <c r="R884" s="211" t="str">
        <f t="array" ref="R884">IF($Q884, INDEX('Run Reconcile'!A$2:A1679,MATCH(B884,'Run Reconcile'!B$2:B1679,0),1),IFERROR(0/0,""))</f>
        <v>RUN-COMB_2022-05-27_RFR-048</v>
      </c>
      <c r="S884" s="165" t="str">
        <f t="shared" ref="S884:T884" si="1767">IF(COUNTIF(W$2:W1679, $A884) &gt; 0,TRUE,IFERROR(0/0,""))</f>
        <v/>
      </c>
      <c r="T884" s="165" t="str">
        <f t="shared" si="1767"/>
        <v/>
      </c>
      <c r="U884" s="147" t="str">
        <f t="array" ref="U884">IF(ISBLANK($R884), IF($S884,VLOOKUP($B884+1,'RFR Data - preExcl'!$BF$2:$BG1679,2,FALSE),IF($T884,INDEX('RFR Data - preExcl'!$BF$2:$BG1679,MATCH($B884,'RFR Data - preExcl'!$BF$2:$BF1679,0)+1,2),VLOOKUP($B884,'RFR Data - preExcl'!$BF$2:$BG1679,2,FALSE))),IFERROR(0/0,""))</f>
        <v/>
      </c>
      <c r="V884" s="212" t="str">
        <f t="shared" si="5"/>
        <v>RUN-COMB_2022-05-27_RFR-048</v>
      </c>
      <c r="W884" s="51"/>
      <c r="X884" s="51"/>
      <c r="Y884" s="147" t="str">
        <f t="shared" ref="Y884:Z884" si="1768">IF(_xlfn.ISFORMULA(S884),IFERROR(0/0,""),TRUE)</f>
        <v/>
      </c>
      <c r="Z884" s="147" t="str">
        <f t="shared" si="1768"/>
        <v/>
      </c>
    </row>
    <row r="885">
      <c r="A885" s="6" t="str">
        <f>IFERROR(__xludf.DUMMYFUNCTION("""COMPUTED_VALUE"""),"FM859")</f>
        <v>FM859</v>
      </c>
      <c r="B885" s="206">
        <f>IFERROR(__xludf.DUMMYFUNCTION("""COMPUTED_VALUE"""),44708.0)</f>
        <v>44708</v>
      </c>
      <c r="C885" s="207">
        <f>IFERROR(__xludf.DUMMYFUNCTION("""COMPUTED_VALUE"""),0.27118055555555554)</f>
        <v>0.2711805556</v>
      </c>
      <c r="D885" s="50"/>
      <c r="E885" s="58"/>
      <c r="F885" s="58"/>
      <c r="G885" s="58" t="str">
        <f>IFERROR(__xludf.DUMMYFUNCTION("""COMPUTED_VALUE"""),"Null")</f>
        <v>Null</v>
      </c>
      <c r="H885" s="206" t="str">
        <f>IFERROR(__xludf.DUMMYFUNCTION("""COMPUTED_VALUE"""),"Negative")</f>
        <v>Negative</v>
      </c>
      <c r="I885" s="207">
        <f>IFERROR(__xludf.DUMMYFUNCTION("""COMPUTED_VALUE"""),44708.0)</f>
        <v>44708</v>
      </c>
      <c r="J885" s="208">
        <f>IFERROR(__xludf.DUMMYFUNCTION("""COMPUTED_VALUE"""),0.3384259259259259)</f>
        <v>0.3384259259</v>
      </c>
      <c r="K885" s="50">
        <f>IFERROR(__xludf.DUMMYFUNCTION("""COMPUTED_VALUE"""),2.0)</f>
        <v>2</v>
      </c>
      <c r="L885" s="6"/>
      <c r="M885" s="55"/>
      <c r="N885" s="55">
        <f>IFERROR(__xludf.DUMMYFUNCTION("""COMPUTED_VALUE"""),1.0)</f>
        <v>1</v>
      </c>
      <c r="O885" s="55" t="str">
        <f t="shared" si="3"/>
        <v/>
      </c>
      <c r="P885" s="209"/>
      <c r="Q885" s="75" t="b">
        <f>VLOOKUP($B885,'Run Reconcile'!B$2:P1679,15,FALSE)</f>
        <v>1</v>
      </c>
      <c r="R885" s="211" t="str">
        <f t="array" ref="R885">IF($Q885, INDEX('Run Reconcile'!A$2:A1679,MATCH(B885,'Run Reconcile'!B$2:B1679,0),1),IFERROR(0/0,""))</f>
        <v>RUN-COMB_2022-05-27_RFR-048</v>
      </c>
      <c r="S885" s="165" t="str">
        <f t="shared" ref="S885:T885" si="1769">IF(COUNTIF(W$2:W1679, $A885) &gt; 0,TRUE,IFERROR(0/0,""))</f>
        <v/>
      </c>
      <c r="T885" s="165" t="str">
        <f t="shared" si="1769"/>
        <v/>
      </c>
      <c r="U885" s="147" t="str">
        <f t="array" ref="U885">IF(ISBLANK($R885), IF($S885,VLOOKUP($B885+1,'RFR Data - preExcl'!$BF$2:$BG1679,2,FALSE),IF($T885,INDEX('RFR Data - preExcl'!$BF$2:$BG1679,MATCH($B885,'RFR Data - preExcl'!$BF$2:$BF1679,0)+1,2),VLOOKUP($B885,'RFR Data - preExcl'!$BF$2:$BG1679,2,FALSE))),IFERROR(0/0,""))</f>
        <v/>
      </c>
      <c r="V885" s="212" t="str">
        <f t="shared" si="5"/>
        <v>RUN-COMB_2022-05-27_RFR-048</v>
      </c>
      <c r="W885" s="51"/>
      <c r="X885" s="51"/>
      <c r="Y885" s="147" t="str">
        <f t="shared" ref="Y885:Z885" si="1770">IF(_xlfn.ISFORMULA(S885),IFERROR(0/0,""),TRUE)</f>
        <v/>
      </c>
      <c r="Z885" s="147" t="str">
        <f t="shared" si="1770"/>
        <v/>
      </c>
    </row>
    <row r="886">
      <c r="A886" s="6" t="str">
        <f>IFERROR(__xludf.DUMMYFUNCTION("""COMPUTED_VALUE"""),"FM1924")</f>
        <v>FM1924</v>
      </c>
      <c r="B886" s="206">
        <f>IFERROR(__xludf.DUMMYFUNCTION("""COMPUTED_VALUE"""),44708.0)</f>
        <v>44708</v>
      </c>
      <c r="C886" s="207">
        <f>IFERROR(__xludf.DUMMYFUNCTION("""COMPUTED_VALUE"""),0.2716550925925926)</f>
        <v>0.2716550926</v>
      </c>
      <c r="D886" s="50"/>
      <c r="E886" s="58"/>
      <c r="F886" s="58"/>
      <c r="G886" s="58" t="str">
        <f>IFERROR(__xludf.DUMMYFUNCTION("""COMPUTED_VALUE"""),"Null")</f>
        <v>Null</v>
      </c>
      <c r="H886" s="206" t="str">
        <f>IFERROR(__xludf.DUMMYFUNCTION("""COMPUTED_VALUE"""),"Negative")</f>
        <v>Negative</v>
      </c>
      <c r="I886" s="207">
        <f>IFERROR(__xludf.DUMMYFUNCTION("""COMPUTED_VALUE"""),44708.0)</f>
        <v>44708</v>
      </c>
      <c r="J886" s="208">
        <f>IFERROR(__xludf.DUMMYFUNCTION("""COMPUTED_VALUE"""),0.3384375)</f>
        <v>0.3384375</v>
      </c>
      <c r="K886" s="50">
        <f>IFERROR(__xludf.DUMMYFUNCTION("""COMPUTED_VALUE"""),2.0)</f>
        <v>2</v>
      </c>
      <c r="L886" s="6"/>
      <c r="M886" s="55"/>
      <c r="N886" s="55">
        <f>IFERROR(__xludf.DUMMYFUNCTION("""COMPUTED_VALUE"""),1.0)</f>
        <v>1</v>
      </c>
      <c r="O886" s="55" t="str">
        <f t="shared" si="3"/>
        <v/>
      </c>
      <c r="P886" s="209"/>
      <c r="Q886" s="75" t="b">
        <f>VLOOKUP($B886,'Run Reconcile'!B$2:P1679,15,FALSE)</f>
        <v>1</v>
      </c>
      <c r="R886" s="211" t="str">
        <f t="array" ref="R886">IF($Q886, INDEX('Run Reconcile'!A$2:A1679,MATCH(B886,'Run Reconcile'!B$2:B1679,0),1),IFERROR(0/0,""))</f>
        <v>RUN-COMB_2022-05-27_RFR-048</v>
      </c>
      <c r="S886" s="165" t="str">
        <f t="shared" ref="S886:T886" si="1771">IF(COUNTIF(W$2:W1679, $A886) &gt; 0,TRUE,IFERROR(0/0,""))</f>
        <v/>
      </c>
      <c r="T886" s="165" t="str">
        <f t="shared" si="1771"/>
        <v/>
      </c>
      <c r="U886" s="147" t="str">
        <f t="array" ref="U886">IF(ISBLANK($R886), IF($S886,VLOOKUP($B886+1,'RFR Data - preExcl'!$BF$2:$BG1679,2,FALSE),IF($T886,INDEX('RFR Data - preExcl'!$BF$2:$BG1679,MATCH($B886,'RFR Data - preExcl'!$BF$2:$BF1679,0)+1,2),VLOOKUP($B886,'RFR Data - preExcl'!$BF$2:$BG1679,2,FALSE))),IFERROR(0/0,""))</f>
        <v/>
      </c>
      <c r="V886" s="212" t="str">
        <f t="shared" si="5"/>
        <v>RUN-COMB_2022-05-27_RFR-048</v>
      </c>
      <c r="W886" s="51"/>
      <c r="X886" s="51"/>
      <c r="Y886" s="147" t="str">
        <f t="shared" ref="Y886:Z886" si="1772">IF(_xlfn.ISFORMULA(S886),IFERROR(0/0,""),TRUE)</f>
        <v/>
      </c>
      <c r="Z886" s="147" t="str">
        <f t="shared" si="1772"/>
        <v/>
      </c>
    </row>
    <row r="887">
      <c r="A887" s="6" t="str">
        <f>IFERROR(__xludf.DUMMYFUNCTION("""COMPUTED_VALUE"""),"FM857")</f>
        <v>FM857</v>
      </c>
      <c r="B887" s="206">
        <f>IFERROR(__xludf.DUMMYFUNCTION("""COMPUTED_VALUE"""),44708.0)</f>
        <v>44708</v>
      </c>
      <c r="C887" s="207">
        <f>IFERROR(__xludf.DUMMYFUNCTION("""COMPUTED_VALUE"""),0.27359953703703704)</f>
        <v>0.273599537</v>
      </c>
      <c r="D887" s="50"/>
      <c r="E887" s="58"/>
      <c r="F887" s="58"/>
      <c r="G887" s="58" t="str">
        <f>IFERROR(__xludf.DUMMYFUNCTION("""COMPUTED_VALUE"""),"Null")</f>
        <v>Null</v>
      </c>
      <c r="H887" s="206" t="str">
        <f>IFERROR(__xludf.DUMMYFUNCTION("""COMPUTED_VALUE"""),"Negative")</f>
        <v>Negative</v>
      </c>
      <c r="I887" s="207">
        <f>IFERROR(__xludf.DUMMYFUNCTION("""COMPUTED_VALUE"""),44708.0)</f>
        <v>44708</v>
      </c>
      <c r="J887" s="208">
        <f>IFERROR(__xludf.DUMMYFUNCTION("""COMPUTED_VALUE"""),0.3384490740740741)</f>
        <v>0.3384490741</v>
      </c>
      <c r="K887" s="50">
        <f>IFERROR(__xludf.DUMMYFUNCTION("""COMPUTED_VALUE"""),2.0)</f>
        <v>2</v>
      </c>
      <c r="L887" s="6"/>
      <c r="M887" s="55"/>
      <c r="N887" s="55">
        <f>IFERROR(__xludf.DUMMYFUNCTION("""COMPUTED_VALUE"""),1.0)</f>
        <v>1</v>
      </c>
      <c r="O887" s="55" t="str">
        <f t="shared" si="3"/>
        <v/>
      </c>
      <c r="P887" s="209"/>
      <c r="Q887" s="75" t="b">
        <f>VLOOKUP($B887,'Run Reconcile'!B$2:P1679,15,FALSE)</f>
        <v>1</v>
      </c>
      <c r="R887" s="211" t="str">
        <f t="array" ref="R887">IF($Q887, INDEX('Run Reconcile'!A$2:A1679,MATCH(B887,'Run Reconcile'!B$2:B1679,0),1),IFERROR(0/0,""))</f>
        <v>RUN-COMB_2022-05-27_RFR-048</v>
      </c>
      <c r="S887" s="165" t="str">
        <f t="shared" ref="S887:T887" si="1773">IF(COUNTIF(W$2:W1679, $A887) &gt; 0,TRUE,IFERROR(0/0,""))</f>
        <v/>
      </c>
      <c r="T887" s="165" t="str">
        <f t="shared" si="1773"/>
        <v/>
      </c>
      <c r="U887" s="147" t="str">
        <f t="array" ref="U887">IF(ISBLANK($R887), IF($S887,VLOOKUP($B887+1,'RFR Data - preExcl'!$BF$2:$BG1679,2,FALSE),IF($T887,INDEX('RFR Data - preExcl'!$BF$2:$BG1679,MATCH($B887,'RFR Data - preExcl'!$BF$2:$BF1679,0)+1,2),VLOOKUP($B887,'RFR Data - preExcl'!$BF$2:$BG1679,2,FALSE))),IFERROR(0/0,""))</f>
        <v/>
      </c>
      <c r="V887" s="212" t="str">
        <f t="shared" si="5"/>
        <v>RUN-COMB_2022-05-27_RFR-048</v>
      </c>
      <c r="W887" s="51"/>
      <c r="X887" s="51"/>
      <c r="Y887" s="147" t="str">
        <f t="shared" ref="Y887:Z887" si="1774">IF(_xlfn.ISFORMULA(S887),IFERROR(0/0,""),TRUE)</f>
        <v/>
      </c>
      <c r="Z887" s="147" t="str">
        <f t="shared" si="1774"/>
        <v/>
      </c>
    </row>
    <row r="888">
      <c r="A888" s="6" t="str">
        <f>IFERROR(__xludf.DUMMYFUNCTION("""COMPUTED_VALUE"""),"FM854")</f>
        <v>FM854</v>
      </c>
      <c r="B888" s="206">
        <f>IFERROR(__xludf.DUMMYFUNCTION("""COMPUTED_VALUE"""),44708.0)</f>
        <v>44708</v>
      </c>
      <c r="C888" s="207">
        <f>IFERROR(__xludf.DUMMYFUNCTION("""COMPUTED_VALUE"""),0.274537037037037)</f>
        <v>0.274537037</v>
      </c>
      <c r="D888" s="50"/>
      <c r="E888" s="58"/>
      <c r="F888" s="58"/>
      <c r="G888" s="58" t="str">
        <f>IFERROR(__xludf.DUMMYFUNCTION("""COMPUTED_VALUE"""),"Null")</f>
        <v>Null</v>
      </c>
      <c r="H888" s="206" t="str">
        <f>IFERROR(__xludf.DUMMYFUNCTION("""COMPUTED_VALUE"""),"Negative")</f>
        <v>Negative</v>
      </c>
      <c r="I888" s="207">
        <f>IFERROR(__xludf.DUMMYFUNCTION("""COMPUTED_VALUE"""),44708.0)</f>
        <v>44708</v>
      </c>
      <c r="J888" s="208">
        <f>IFERROR(__xludf.DUMMYFUNCTION("""COMPUTED_VALUE"""),0.33846064814814814)</f>
        <v>0.3384606481</v>
      </c>
      <c r="K888" s="50">
        <f>IFERROR(__xludf.DUMMYFUNCTION("""COMPUTED_VALUE"""),2.0)</f>
        <v>2</v>
      </c>
      <c r="L888" s="6"/>
      <c r="M888" s="55"/>
      <c r="N888" s="55">
        <f>IFERROR(__xludf.DUMMYFUNCTION("""COMPUTED_VALUE"""),1.0)</f>
        <v>1</v>
      </c>
      <c r="O888" s="55" t="str">
        <f t="shared" si="3"/>
        <v/>
      </c>
      <c r="P888" s="209"/>
      <c r="Q888" s="75" t="b">
        <f>VLOOKUP($B888,'Run Reconcile'!B$2:P1679,15,FALSE)</f>
        <v>1</v>
      </c>
      <c r="R888" s="211" t="str">
        <f t="array" ref="R888">IF($Q888, INDEX('Run Reconcile'!A$2:A1679,MATCH(B888,'Run Reconcile'!B$2:B1679,0),1),IFERROR(0/0,""))</f>
        <v>RUN-COMB_2022-05-27_RFR-048</v>
      </c>
      <c r="S888" s="165" t="str">
        <f t="shared" ref="S888:T888" si="1775">IF(COUNTIF(W$2:W1679, $A888) &gt; 0,TRUE,IFERROR(0/0,""))</f>
        <v/>
      </c>
      <c r="T888" s="165" t="str">
        <f t="shared" si="1775"/>
        <v/>
      </c>
      <c r="U888" s="147" t="str">
        <f t="array" ref="U888">IF(ISBLANK($R888), IF($S888,VLOOKUP($B888+1,'RFR Data - preExcl'!$BF$2:$BG1679,2,FALSE),IF($T888,INDEX('RFR Data - preExcl'!$BF$2:$BG1679,MATCH($B888,'RFR Data - preExcl'!$BF$2:$BF1679,0)+1,2),VLOOKUP($B888,'RFR Data - preExcl'!$BF$2:$BG1679,2,FALSE))),IFERROR(0/0,""))</f>
        <v/>
      </c>
      <c r="V888" s="212" t="str">
        <f t="shared" si="5"/>
        <v>RUN-COMB_2022-05-27_RFR-048</v>
      </c>
      <c r="W888" s="51"/>
      <c r="X888" s="51"/>
      <c r="Y888" s="147" t="str">
        <f t="shared" ref="Y888:Z888" si="1776">IF(_xlfn.ISFORMULA(S888),IFERROR(0/0,""),TRUE)</f>
        <v/>
      </c>
      <c r="Z888" s="147" t="str">
        <f t="shared" si="1776"/>
        <v/>
      </c>
    </row>
    <row r="889">
      <c r="A889" s="6" t="str">
        <f>IFERROR(__xludf.DUMMYFUNCTION("""COMPUTED_VALUE"""),"FM851")</f>
        <v>FM851</v>
      </c>
      <c r="B889" s="206">
        <f>IFERROR(__xludf.DUMMYFUNCTION("""COMPUTED_VALUE"""),44708.0)</f>
        <v>44708</v>
      </c>
      <c r="C889" s="207">
        <f>IFERROR(__xludf.DUMMYFUNCTION("""COMPUTED_VALUE"""),0.274837962962963)</f>
        <v>0.274837963</v>
      </c>
      <c r="D889" s="50"/>
      <c r="E889" s="58"/>
      <c r="F889" s="58"/>
      <c r="G889" s="58" t="str">
        <f>IFERROR(__xludf.DUMMYFUNCTION("""COMPUTED_VALUE"""),"Null")</f>
        <v>Null</v>
      </c>
      <c r="H889" s="206" t="str">
        <f>IFERROR(__xludf.DUMMYFUNCTION("""COMPUTED_VALUE"""),"Negative")</f>
        <v>Negative</v>
      </c>
      <c r="I889" s="207">
        <f>IFERROR(__xludf.DUMMYFUNCTION("""COMPUTED_VALUE"""),44708.0)</f>
        <v>44708</v>
      </c>
      <c r="J889" s="208">
        <f>IFERROR(__xludf.DUMMYFUNCTION("""COMPUTED_VALUE"""),0.33847222222222223)</f>
        <v>0.3384722222</v>
      </c>
      <c r="K889" s="50">
        <f>IFERROR(__xludf.DUMMYFUNCTION("""COMPUTED_VALUE"""),2.0)</f>
        <v>2</v>
      </c>
      <c r="L889" s="6"/>
      <c r="M889" s="55"/>
      <c r="N889" s="55">
        <f>IFERROR(__xludf.DUMMYFUNCTION("""COMPUTED_VALUE"""),1.0)</f>
        <v>1</v>
      </c>
      <c r="O889" s="55" t="str">
        <f t="shared" si="3"/>
        <v/>
      </c>
      <c r="P889" s="209"/>
      <c r="Q889" s="75" t="b">
        <f>VLOOKUP($B889,'Run Reconcile'!B$2:P1679,15,FALSE)</f>
        <v>1</v>
      </c>
      <c r="R889" s="211" t="str">
        <f t="array" ref="R889">IF($Q889, INDEX('Run Reconcile'!A$2:A1679,MATCH(B889,'Run Reconcile'!B$2:B1679,0),1),IFERROR(0/0,""))</f>
        <v>RUN-COMB_2022-05-27_RFR-048</v>
      </c>
      <c r="S889" s="165" t="str">
        <f t="shared" ref="S889:T889" si="1777">IF(COUNTIF(W$2:W1679, $A889) &gt; 0,TRUE,IFERROR(0/0,""))</f>
        <v/>
      </c>
      <c r="T889" s="165" t="str">
        <f t="shared" si="1777"/>
        <v/>
      </c>
      <c r="U889" s="147" t="str">
        <f t="array" ref="U889">IF(ISBLANK($R889), IF($S889,VLOOKUP($B889+1,'RFR Data - preExcl'!$BF$2:$BG1679,2,FALSE),IF($T889,INDEX('RFR Data - preExcl'!$BF$2:$BG1679,MATCH($B889,'RFR Data - preExcl'!$BF$2:$BF1679,0)+1,2),VLOOKUP($B889,'RFR Data - preExcl'!$BF$2:$BG1679,2,FALSE))),IFERROR(0/0,""))</f>
        <v/>
      </c>
      <c r="V889" s="212" t="str">
        <f t="shared" si="5"/>
        <v>RUN-COMB_2022-05-27_RFR-048</v>
      </c>
      <c r="W889" s="51"/>
      <c r="X889" s="51"/>
      <c r="Y889" s="147" t="str">
        <f t="shared" ref="Y889:Z889" si="1778">IF(_xlfn.ISFORMULA(S889),IFERROR(0/0,""),TRUE)</f>
        <v/>
      </c>
      <c r="Z889" s="147" t="str">
        <f t="shared" si="1778"/>
        <v/>
      </c>
    </row>
    <row r="890">
      <c r="A890" s="6" t="str">
        <f>IFERROR(__xludf.DUMMYFUNCTION("""COMPUTED_VALUE"""),"FM1932")</f>
        <v>FM1932</v>
      </c>
      <c r="B890" s="206">
        <f>IFERROR(__xludf.DUMMYFUNCTION("""COMPUTED_VALUE"""),44708.0)</f>
        <v>44708</v>
      </c>
      <c r="C890" s="207">
        <f>IFERROR(__xludf.DUMMYFUNCTION("""COMPUTED_VALUE"""),0.2752893518518518)</f>
        <v>0.2752893519</v>
      </c>
      <c r="D890" s="50"/>
      <c r="E890" s="58"/>
      <c r="F890" s="58"/>
      <c r="G890" s="58" t="str">
        <f>IFERROR(__xludf.DUMMYFUNCTION("""COMPUTED_VALUE"""),"Null")</f>
        <v>Null</v>
      </c>
      <c r="H890" s="206" t="str">
        <f>IFERROR(__xludf.DUMMYFUNCTION("""COMPUTED_VALUE"""),"Negative")</f>
        <v>Negative</v>
      </c>
      <c r="I890" s="207">
        <f>IFERROR(__xludf.DUMMYFUNCTION("""COMPUTED_VALUE"""),44708.0)</f>
        <v>44708</v>
      </c>
      <c r="J890" s="208">
        <f>IFERROR(__xludf.DUMMYFUNCTION("""COMPUTED_VALUE"""),0.3385185185185185)</f>
        <v>0.3385185185</v>
      </c>
      <c r="K890" s="50">
        <f>IFERROR(__xludf.DUMMYFUNCTION("""COMPUTED_VALUE"""),2.0)</f>
        <v>2</v>
      </c>
      <c r="L890" s="6"/>
      <c r="M890" s="55"/>
      <c r="N890" s="55">
        <f>IFERROR(__xludf.DUMMYFUNCTION("""COMPUTED_VALUE"""),1.0)</f>
        <v>1</v>
      </c>
      <c r="O890" s="55" t="str">
        <f t="shared" si="3"/>
        <v/>
      </c>
      <c r="P890" s="209"/>
      <c r="Q890" s="75" t="b">
        <f>VLOOKUP($B890,'Run Reconcile'!B$2:P1679,15,FALSE)</f>
        <v>1</v>
      </c>
      <c r="R890" s="211" t="str">
        <f t="array" ref="R890">IF($Q890, INDEX('Run Reconcile'!A$2:A1679,MATCH(B890,'Run Reconcile'!B$2:B1679,0),1),IFERROR(0/0,""))</f>
        <v>RUN-COMB_2022-05-27_RFR-048</v>
      </c>
      <c r="S890" s="165" t="str">
        <f t="shared" ref="S890:T890" si="1779">IF(COUNTIF(W$2:W1679, $A890) &gt; 0,TRUE,IFERROR(0/0,""))</f>
        <v/>
      </c>
      <c r="T890" s="165" t="str">
        <f t="shared" si="1779"/>
        <v/>
      </c>
      <c r="U890" s="147" t="str">
        <f t="array" ref="U890">IF(ISBLANK($R890), IF($S890,VLOOKUP($B890+1,'RFR Data - preExcl'!$BF$2:$BG1679,2,FALSE),IF($T890,INDEX('RFR Data - preExcl'!$BF$2:$BG1679,MATCH($B890,'RFR Data - preExcl'!$BF$2:$BF1679,0)+1,2),VLOOKUP($B890,'RFR Data - preExcl'!$BF$2:$BG1679,2,FALSE))),IFERROR(0/0,""))</f>
        <v/>
      </c>
      <c r="V890" s="212" t="str">
        <f t="shared" si="5"/>
        <v>RUN-COMB_2022-05-27_RFR-048</v>
      </c>
      <c r="W890" s="51"/>
      <c r="X890" s="51"/>
      <c r="Y890" s="147" t="str">
        <f t="shared" ref="Y890:Z890" si="1780">IF(_xlfn.ISFORMULA(S890),IFERROR(0/0,""),TRUE)</f>
        <v/>
      </c>
      <c r="Z890" s="147" t="str">
        <f t="shared" si="1780"/>
        <v/>
      </c>
    </row>
    <row r="891">
      <c r="A891" s="6" t="str">
        <f>IFERROR(__xludf.DUMMYFUNCTION("""COMPUTED_VALUE"""),"FM1960")</f>
        <v>FM1960</v>
      </c>
      <c r="B891" s="206">
        <f>IFERROR(__xludf.DUMMYFUNCTION("""COMPUTED_VALUE"""),44709.0)</f>
        <v>44709</v>
      </c>
      <c r="C891" s="207">
        <f>IFERROR(__xludf.DUMMYFUNCTION("""COMPUTED_VALUE"""),0.27515046296296297)</f>
        <v>0.275150463</v>
      </c>
      <c r="D891" s="50"/>
      <c r="E891" s="58"/>
      <c r="F891" s="58"/>
      <c r="G891" s="58" t="str">
        <f>IFERROR(__xludf.DUMMYFUNCTION("""COMPUTED_VALUE"""),"Null")</f>
        <v>Null</v>
      </c>
      <c r="H891" s="206" t="str">
        <f>IFERROR(__xludf.DUMMYFUNCTION("""COMPUTED_VALUE"""),"Negative")</f>
        <v>Negative</v>
      </c>
      <c r="I891" s="207"/>
      <c r="J891" s="50"/>
      <c r="K891" s="50">
        <f>IFERROR(__xludf.DUMMYFUNCTION("""COMPUTED_VALUE"""),2.0)</f>
        <v>2</v>
      </c>
      <c r="L891" s="6"/>
      <c r="M891" s="55"/>
      <c r="N891" s="55">
        <f>IFERROR(__xludf.DUMMYFUNCTION("""COMPUTED_VALUE"""),1.0)</f>
        <v>1</v>
      </c>
      <c r="O891" s="55" t="b">
        <f t="shared" si="3"/>
        <v>1</v>
      </c>
      <c r="P891" s="209"/>
      <c r="Q891" s="75" t="b">
        <f>VLOOKUP($B891,'Run Reconcile'!B$2:P1679,15,FALSE)</f>
        <v>1</v>
      </c>
      <c r="R891" s="211" t="str">
        <f t="array" ref="R891">IF($Q891, INDEX('Run Reconcile'!A$2:A1679,MATCH(B891,'Run Reconcile'!B$2:B1679,0),1),IFERROR(0/0,""))</f>
        <v>RUN-COMB_2022-05-28_RFR-049</v>
      </c>
      <c r="S891" s="165" t="str">
        <f t="shared" ref="S891:T891" si="1781">IF(COUNTIF(W$2:W1679, $A891) &gt; 0,TRUE,IFERROR(0/0,""))</f>
        <v/>
      </c>
      <c r="T891" s="165" t="str">
        <f t="shared" si="1781"/>
        <v/>
      </c>
      <c r="U891" s="147" t="str">
        <f t="array" ref="U891">IF(ISBLANK($R891), IF($S891,VLOOKUP($B891+1,'RFR Data - preExcl'!$BF$2:$BG1679,2,FALSE),IF($T891,INDEX('RFR Data - preExcl'!$BF$2:$BG1679,MATCH($B891,'RFR Data - preExcl'!$BF$2:$BF1679,0)+1,2),VLOOKUP($B891,'RFR Data - preExcl'!$BF$2:$BG1679,2,FALSE))),IFERROR(0/0,""))</f>
        <v/>
      </c>
      <c r="V891" s="212" t="str">
        <f t="shared" si="5"/>
        <v>RUN-COMB_2022-05-28_RFR-049</v>
      </c>
      <c r="W891" s="51"/>
      <c r="X891" s="51"/>
      <c r="Y891" s="147" t="str">
        <f t="shared" ref="Y891:Z891" si="1782">IF(_xlfn.ISFORMULA(S891),IFERROR(0/0,""),TRUE)</f>
        <v/>
      </c>
      <c r="Z891" s="147" t="str">
        <f t="shared" si="1782"/>
        <v/>
      </c>
    </row>
    <row r="892">
      <c r="A892" s="6" t="str">
        <f>IFERROR(__xludf.DUMMYFUNCTION("""COMPUTED_VALUE"""),"FM844")</f>
        <v>FM844</v>
      </c>
      <c r="B892" s="206">
        <f>IFERROR(__xludf.DUMMYFUNCTION("""COMPUTED_VALUE"""),44709.0)</f>
        <v>44709</v>
      </c>
      <c r="C892" s="207">
        <f>IFERROR(__xludf.DUMMYFUNCTION("""COMPUTED_VALUE"""),0.27591435185185187)</f>
        <v>0.2759143519</v>
      </c>
      <c r="D892" s="50"/>
      <c r="E892" s="58"/>
      <c r="F892" s="58"/>
      <c r="G892" s="58" t="str">
        <f>IFERROR(__xludf.DUMMYFUNCTION("""COMPUTED_VALUE"""),"Null")</f>
        <v>Null</v>
      </c>
      <c r="H892" s="206" t="str">
        <f>IFERROR(__xludf.DUMMYFUNCTION("""COMPUTED_VALUE"""),"Negative")</f>
        <v>Negative</v>
      </c>
      <c r="I892" s="207"/>
      <c r="J892" s="50"/>
      <c r="K892" s="50">
        <f>IFERROR(__xludf.DUMMYFUNCTION("""COMPUTED_VALUE"""),2.0)</f>
        <v>2</v>
      </c>
      <c r="L892" s="6"/>
      <c r="M892" s="55"/>
      <c r="N892" s="55">
        <f>IFERROR(__xludf.DUMMYFUNCTION("""COMPUTED_VALUE"""),1.0)</f>
        <v>1</v>
      </c>
      <c r="O892" s="55" t="str">
        <f t="shared" si="3"/>
        <v/>
      </c>
      <c r="P892" s="209"/>
      <c r="Q892" s="75" t="b">
        <f>VLOOKUP($B892,'Run Reconcile'!B$2:P1679,15,FALSE)</f>
        <v>1</v>
      </c>
      <c r="R892" s="211" t="str">
        <f t="array" ref="R892">IF($Q892, INDEX('Run Reconcile'!A$2:A1679,MATCH(B892,'Run Reconcile'!B$2:B1679,0),1),IFERROR(0/0,""))</f>
        <v>RUN-COMB_2022-05-28_RFR-049</v>
      </c>
      <c r="S892" s="165" t="str">
        <f t="shared" ref="S892:T892" si="1783">IF(COUNTIF(W$2:W1679, $A892) &gt; 0,TRUE,IFERROR(0/0,""))</f>
        <v/>
      </c>
      <c r="T892" s="165" t="str">
        <f t="shared" si="1783"/>
        <v/>
      </c>
      <c r="U892" s="147" t="str">
        <f t="array" ref="U892">IF(ISBLANK($R892), IF($S892,VLOOKUP($B892+1,'RFR Data - preExcl'!$BF$2:$BG1679,2,FALSE),IF($T892,INDEX('RFR Data - preExcl'!$BF$2:$BG1679,MATCH($B892,'RFR Data - preExcl'!$BF$2:$BF1679,0)+1,2),VLOOKUP($B892,'RFR Data - preExcl'!$BF$2:$BG1679,2,FALSE))),IFERROR(0/0,""))</f>
        <v/>
      </c>
      <c r="V892" s="212" t="str">
        <f t="shared" si="5"/>
        <v>RUN-COMB_2022-05-28_RFR-049</v>
      </c>
      <c r="W892" s="51"/>
      <c r="X892" s="51"/>
      <c r="Y892" s="147" t="str">
        <f t="shared" ref="Y892:Z892" si="1784">IF(_xlfn.ISFORMULA(S892),IFERROR(0/0,""),TRUE)</f>
        <v/>
      </c>
      <c r="Z892" s="147" t="str">
        <f t="shared" si="1784"/>
        <v/>
      </c>
    </row>
    <row r="893">
      <c r="A893" s="6" t="str">
        <f>IFERROR(__xludf.DUMMYFUNCTION("""COMPUTED_VALUE"""),"FM1959")</f>
        <v>FM1959</v>
      </c>
      <c r="B893" s="206">
        <f>IFERROR(__xludf.DUMMYFUNCTION("""COMPUTED_VALUE"""),44709.0)</f>
        <v>44709</v>
      </c>
      <c r="C893" s="207">
        <f>IFERROR(__xludf.DUMMYFUNCTION("""COMPUTED_VALUE"""),0.2763657407407407)</f>
        <v>0.2763657407</v>
      </c>
      <c r="D893" s="50"/>
      <c r="E893" s="58"/>
      <c r="F893" s="58"/>
      <c r="G893" s="58" t="str">
        <f>IFERROR(__xludf.DUMMYFUNCTION("""COMPUTED_VALUE"""),"Null")</f>
        <v>Null</v>
      </c>
      <c r="H893" s="206" t="str">
        <f>IFERROR(__xludf.DUMMYFUNCTION("""COMPUTED_VALUE"""),"Negative")</f>
        <v>Negative</v>
      </c>
      <c r="I893" s="207"/>
      <c r="J893" s="50"/>
      <c r="K893" s="50">
        <f>IFERROR(__xludf.DUMMYFUNCTION("""COMPUTED_VALUE"""),2.0)</f>
        <v>2</v>
      </c>
      <c r="L893" s="6"/>
      <c r="M893" s="55"/>
      <c r="N893" s="55">
        <f>IFERROR(__xludf.DUMMYFUNCTION("""COMPUTED_VALUE"""),1.0)</f>
        <v>1</v>
      </c>
      <c r="O893" s="55" t="str">
        <f t="shared" si="3"/>
        <v/>
      </c>
      <c r="P893" s="209"/>
      <c r="Q893" s="75" t="b">
        <f>VLOOKUP($B893,'Run Reconcile'!B$2:P1679,15,FALSE)</f>
        <v>1</v>
      </c>
      <c r="R893" s="211" t="str">
        <f t="array" ref="R893">IF($Q893, INDEX('Run Reconcile'!A$2:A1679,MATCH(B893,'Run Reconcile'!B$2:B1679,0),1),IFERROR(0/0,""))</f>
        <v>RUN-COMB_2022-05-28_RFR-049</v>
      </c>
      <c r="S893" s="165" t="str">
        <f t="shared" ref="S893:T893" si="1785">IF(COUNTIF(W$2:W1679, $A893) &gt; 0,TRUE,IFERROR(0/0,""))</f>
        <v/>
      </c>
      <c r="T893" s="165" t="str">
        <f t="shared" si="1785"/>
        <v/>
      </c>
      <c r="U893" s="147" t="str">
        <f t="array" ref="U893">IF(ISBLANK($R893), IF($S893,VLOOKUP($B893+1,'RFR Data - preExcl'!$BF$2:$BG1679,2,FALSE),IF($T893,INDEX('RFR Data - preExcl'!$BF$2:$BG1679,MATCH($B893,'RFR Data - preExcl'!$BF$2:$BF1679,0)+1,2),VLOOKUP($B893,'RFR Data - preExcl'!$BF$2:$BG1679,2,FALSE))),IFERROR(0/0,""))</f>
        <v/>
      </c>
      <c r="V893" s="212" t="str">
        <f t="shared" si="5"/>
        <v>RUN-COMB_2022-05-28_RFR-049</v>
      </c>
      <c r="W893" s="51"/>
      <c r="X893" s="51"/>
      <c r="Y893" s="147" t="str">
        <f t="shared" ref="Y893:Z893" si="1786">IF(_xlfn.ISFORMULA(S893),IFERROR(0/0,""),TRUE)</f>
        <v/>
      </c>
      <c r="Z893" s="147" t="str">
        <f t="shared" si="1786"/>
        <v/>
      </c>
    </row>
    <row r="894">
      <c r="A894" s="6" t="str">
        <f>IFERROR(__xludf.DUMMYFUNCTION("""COMPUTED_VALUE"""),"FM1944")</f>
        <v>FM1944</v>
      </c>
      <c r="B894" s="206">
        <f>IFERROR(__xludf.DUMMYFUNCTION("""COMPUTED_VALUE"""),44709.0)</f>
        <v>44709</v>
      </c>
      <c r="C894" s="207">
        <f>IFERROR(__xludf.DUMMYFUNCTION("""COMPUTED_VALUE"""),0.27730324074074075)</f>
        <v>0.2773032407</v>
      </c>
      <c r="D894" s="50"/>
      <c r="E894" s="58"/>
      <c r="F894" s="58"/>
      <c r="G894" s="58" t="str">
        <f>IFERROR(__xludf.DUMMYFUNCTION("""COMPUTED_VALUE"""),"Null")</f>
        <v>Null</v>
      </c>
      <c r="H894" s="206" t="str">
        <f>IFERROR(__xludf.DUMMYFUNCTION("""COMPUTED_VALUE"""),"Negative")</f>
        <v>Negative</v>
      </c>
      <c r="I894" s="207"/>
      <c r="J894" s="50"/>
      <c r="K894" s="50">
        <f>IFERROR(__xludf.DUMMYFUNCTION("""COMPUTED_VALUE"""),2.0)</f>
        <v>2</v>
      </c>
      <c r="L894" s="6"/>
      <c r="M894" s="55"/>
      <c r="N894" s="55">
        <f>IFERROR(__xludf.DUMMYFUNCTION("""COMPUTED_VALUE"""),1.0)</f>
        <v>1</v>
      </c>
      <c r="O894" s="55" t="str">
        <f t="shared" si="3"/>
        <v/>
      </c>
      <c r="P894" s="209"/>
      <c r="Q894" s="75" t="b">
        <f>VLOOKUP($B894,'Run Reconcile'!B$2:P1679,15,FALSE)</f>
        <v>1</v>
      </c>
      <c r="R894" s="211" t="str">
        <f t="array" ref="R894">IF($Q894, INDEX('Run Reconcile'!A$2:A1679,MATCH(B894,'Run Reconcile'!B$2:B1679,0),1),IFERROR(0/0,""))</f>
        <v>RUN-COMB_2022-05-28_RFR-049</v>
      </c>
      <c r="S894" s="165" t="str">
        <f t="shared" ref="S894:T894" si="1787">IF(COUNTIF(W$2:W1679, $A894) &gt; 0,TRUE,IFERROR(0/0,""))</f>
        <v/>
      </c>
      <c r="T894" s="165" t="str">
        <f t="shared" si="1787"/>
        <v/>
      </c>
      <c r="U894" s="147" t="str">
        <f t="array" ref="U894">IF(ISBLANK($R894), IF($S894,VLOOKUP($B894+1,'RFR Data - preExcl'!$BF$2:$BG1679,2,FALSE),IF($T894,INDEX('RFR Data - preExcl'!$BF$2:$BG1679,MATCH($B894,'RFR Data - preExcl'!$BF$2:$BF1679,0)+1,2),VLOOKUP($B894,'RFR Data - preExcl'!$BF$2:$BG1679,2,FALSE))),IFERROR(0/0,""))</f>
        <v/>
      </c>
      <c r="V894" s="212" t="str">
        <f t="shared" si="5"/>
        <v>RUN-COMB_2022-05-28_RFR-049</v>
      </c>
      <c r="W894" s="51"/>
      <c r="X894" s="51"/>
      <c r="Y894" s="147" t="str">
        <f t="shared" ref="Y894:Z894" si="1788">IF(_xlfn.ISFORMULA(S894),IFERROR(0/0,""),TRUE)</f>
        <v/>
      </c>
      <c r="Z894" s="147" t="str">
        <f t="shared" si="1788"/>
        <v/>
      </c>
    </row>
    <row r="895">
      <c r="A895" s="6" t="str">
        <f>IFERROR(__xludf.DUMMYFUNCTION("""COMPUTED_VALUE"""),"FM1948")</f>
        <v>FM1948</v>
      </c>
      <c r="B895" s="206">
        <f>IFERROR(__xludf.DUMMYFUNCTION("""COMPUTED_VALUE"""),44709.0)</f>
        <v>44709</v>
      </c>
      <c r="C895" s="207">
        <f>IFERROR(__xludf.DUMMYFUNCTION("""COMPUTED_VALUE"""),0.2776851851851852)</f>
        <v>0.2776851852</v>
      </c>
      <c r="D895" s="50"/>
      <c r="E895" s="58"/>
      <c r="F895" s="58"/>
      <c r="G895" s="58" t="str">
        <f>IFERROR(__xludf.DUMMYFUNCTION("""COMPUTED_VALUE"""),"Null")</f>
        <v>Null</v>
      </c>
      <c r="H895" s="206" t="str">
        <f>IFERROR(__xludf.DUMMYFUNCTION("""COMPUTED_VALUE"""),"Negative")</f>
        <v>Negative</v>
      </c>
      <c r="I895" s="207"/>
      <c r="J895" s="50"/>
      <c r="K895" s="50">
        <f>IFERROR(__xludf.DUMMYFUNCTION("""COMPUTED_VALUE"""),2.0)</f>
        <v>2</v>
      </c>
      <c r="L895" s="6"/>
      <c r="M895" s="55"/>
      <c r="N895" s="55">
        <f>IFERROR(__xludf.DUMMYFUNCTION("""COMPUTED_VALUE"""),1.0)</f>
        <v>1</v>
      </c>
      <c r="O895" s="55" t="str">
        <f t="shared" si="3"/>
        <v/>
      </c>
      <c r="P895" s="209"/>
      <c r="Q895" s="75" t="b">
        <f>VLOOKUP($B895,'Run Reconcile'!B$2:P1679,15,FALSE)</f>
        <v>1</v>
      </c>
      <c r="R895" s="211" t="str">
        <f t="array" ref="R895">IF($Q895, INDEX('Run Reconcile'!A$2:A1679,MATCH(B895,'Run Reconcile'!B$2:B1679,0),1),IFERROR(0/0,""))</f>
        <v>RUN-COMB_2022-05-28_RFR-049</v>
      </c>
      <c r="S895" s="165" t="str">
        <f t="shared" ref="S895:T895" si="1789">IF(COUNTIF(W$2:W1679, $A895) &gt; 0,TRUE,IFERROR(0/0,""))</f>
        <v/>
      </c>
      <c r="T895" s="165" t="str">
        <f t="shared" si="1789"/>
        <v/>
      </c>
      <c r="U895" s="147" t="str">
        <f t="array" ref="U895">IF(ISBLANK($R895), IF($S895,VLOOKUP($B895+1,'RFR Data - preExcl'!$BF$2:$BG1679,2,FALSE),IF($T895,INDEX('RFR Data - preExcl'!$BF$2:$BG1679,MATCH($B895,'RFR Data - preExcl'!$BF$2:$BF1679,0)+1,2),VLOOKUP($B895,'RFR Data - preExcl'!$BF$2:$BG1679,2,FALSE))),IFERROR(0/0,""))</f>
        <v/>
      </c>
      <c r="V895" s="212" t="str">
        <f t="shared" si="5"/>
        <v>RUN-COMB_2022-05-28_RFR-049</v>
      </c>
      <c r="W895" s="51"/>
      <c r="X895" s="51"/>
      <c r="Y895" s="147" t="str">
        <f t="shared" ref="Y895:Z895" si="1790">IF(_xlfn.ISFORMULA(S895),IFERROR(0/0,""),TRUE)</f>
        <v/>
      </c>
      <c r="Z895" s="147" t="str">
        <f t="shared" si="1790"/>
        <v/>
      </c>
    </row>
    <row r="896">
      <c r="A896" s="6" t="str">
        <f>IFERROR(__xludf.DUMMYFUNCTION("""COMPUTED_VALUE"""),"FM1968")</f>
        <v>FM1968</v>
      </c>
      <c r="B896" s="206">
        <f>IFERROR(__xludf.DUMMYFUNCTION("""COMPUTED_VALUE"""),44709.0)</f>
        <v>44709</v>
      </c>
      <c r="C896" s="207">
        <f>IFERROR(__xludf.DUMMYFUNCTION("""COMPUTED_VALUE"""),0.27813657407407405)</f>
        <v>0.2781365741</v>
      </c>
      <c r="D896" s="50"/>
      <c r="E896" s="58"/>
      <c r="F896" s="58"/>
      <c r="G896" s="58" t="str">
        <f>IFERROR(__xludf.DUMMYFUNCTION("""COMPUTED_VALUE"""),"Null")</f>
        <v>Null</v>
      </c>
      <c r="H896" s="206" t="str">
        <f>IFERROR(__xludf.DUMMYFUNCTION("""COMPUTED_VALUE"""),"Negative")</f>
        <v>Negative</v>
      </c>
      <c r="I896" s="207"/>
      <c r="J896" s="50"/>
      <c r="K896" s="50">
        <f>IFERROR(__xludf.DUMMYFUNCTION("""COMPUTED_VALUE"""),2.0)</f>
        <v>2</v>
      </c>
      <c r="L896" s="6"/>
      <c r="M896" s="55"/>
      <c r="N896" s="55">
        <f>IFERROR(__xludf.DUMMYFUNCTION("""COMPUTED_VALUE"""),1.0)</f>
        <v>1</v>
      </c>
      <c r="O896" s="55" t="str">
        <f t="shared" si="3"/>
        <v/>
      </c>
      <c r="P896" s="209"/>
      <c r="Q896" s="75" t="b">
        <f>VLOOKUP($B896,'Run Reconcile'!B$2:P1679,15,FALSE)</f>
        <v>1</v>
      </c>
      <c r="R896" s="211" t="str">
        <f t="array" ref="R896">IF($Q896, INDEX('Run Reconcile'!A$2:A1679,MATCH(B896,'Run Reconcile'!B$2:B1679,0),1),IFERROR(0/0,""))</f>
        <v>RUN-COMB_2022-05-28_RFR-049</v>
      </c>
      <c r="S896" s="165" t="str">
        <f t="shared" ref="S896:T896" si="1791">IF(COUNTIF(W$2:W1679, $A896) &gt; 0,TRUE,IFERROR(0/0,""))</f>
        <v/>
      </c>
      <c r="T896" s="165" t="str">
        <f t="shared" si="1791"/>
        <v/>
      </c>
      <c r="U896" s="147" t="str">
        <f t="array" ref="U896">IF(ISBLANK($R896), IF($S896,VLOOKUP($B896+1,'RFR Data - preExcl'!$BF$2:$BG1679,2,FALSE),IF($T896,INDEX('RFR Data - preExcl'!$BF$2:$BG1679,MATCH($B896,'RFR Data - preExcl'!$BF$2:$BF1679,0)+1,2),VLOOKUP($B896,'RFR Data - preExcl'!$BF$2:$BG1679,2,FALSE))),IFERROR(0/0,""))</f>
        <v/>
      </c>
      <c r="V896" s="212" t="str">
        <f t="shared" si="5"/>
        <v>RUN-COMB_2022-05-28_RFR-049</v>
      </c>
      <c r="W896" s="51"/>
      <c r="X896" s="51"/>
      <c r="Y896" s="147" t="str">
        <f t="shared" ref="Y896:Z896" si="1792">IF(_xlfn.ISFORMULA(S896),IFERROR(0/0,""),TRUE)</f>
        <v/>
      </c>
      <c r="Z896" s="147" t="str">
        <f t="shared" si="1792"/>
        <v/>
      </c>
    </row>
    <row r="897">
      <c r="A897" s="6" t="str">
        <f>IFERROR(__xludf.DUMMYFUNCTION("""COMPUTED_VALUE"""),"FM1939")</f>
        <v>FM1939</v>
      </c>
      <c r="B897" s="206">
        <f>IFERROR(__xludf.DUMMYFUNCTION("""COMPUTED_VALUE"""),44709.0)</f>
        <v>44709</v>
      </c>
      <c r="C897" s="207">
        <f>IFERROR(__xludf.DUMMYFUNCTION("""COMPUTED_VALUE"""),0.27848379629629627)</f>
        <v>0.2784837963</v>
      </c>
      <c r="D897" s="50"/>
      <c r="E897" s="58"/>
      <c r="F897" s="58"/>
      <c r="G897" s="58" t="str">
        <f>IFERROR(__xludf.DUMMYFUNCTION("""COMPUTED_VALUE"""),"Null")</f>
        <v>Null</v>
      </c>
      <c r="H897" s="206" t="str">
        <f>IFERROR(__xludf.DUMMYFUNCTION("""COMPUTED_VALUE"""),"Negative")</f>
        <v>Negative</v>
      </c>
      <c r="I897" s="207"/>
      <c r="J897" s="50"/>
      <c r="K897" s="50">
        <f>IFERROR(__xludf.DUMMYFUNCTION("""COMPUTED_VALUE"""),2.0)</f>
        <v>2</v>
      </c>
      <c r="L897" s="6"/>
      <c r="M897" s="55"/>
      <c r="N897" s="55">
        <f>IFERROR(__xludf.DUMMYFUNCTION("""COMPUTED_VALUE"""),1.0)</f>
        <v>1</v>
      </c>
      <c r="O897" s="55" t="str">
        <f t="shared" si="3"/>
        <v/>
      </c>
      <c r="P897" s="209"/>
      <c r="Q897" s="75" t="b">
        <f>VLOOKUP($B897,'Run Reconcile'!B$2:P1679,15,FALSE)</f>
        <v>1</v>
      </c>
      <c r="R897" s="211" t="str">
        <f t="array" ref="R897">IF($Q897, INDEX('Run Reconcile'!A$2:A1679,MATCH(B897,'Run Reconcile'!B$2:B1679,0),1),IFERROR(0/0,""))</f>
        <v>RUN-COMB_2022-05-28_RFR-049</v>
      </c>
      <c r="S897" s="165" t="str">
        <f t="shared" ref="S897:T897" si="1793">IF(COUNTIF(W$2:W1679, $A897) &gt; 0,TRUE,IFERROR(0/0,""))</f>
        <v/>
      </c>
      <c r="T897" s="165" t="str">
        <f t="shared" si="1793"/>
        <v/>
      </c>
      <c r="U897" s="147" t="str">
        <f t="array" ref="U897">IF(ISBLANK($R897), IF($S897,VLOOKUP($B897+1,'RFR Data - preExcl'!$BF$2:$BG1679,2,FALSE),IF($T897,INDEX('RFR Data - preExcl'!$BF$2:$BG1679,MATCH($B897,'RFR Data - preExcl'!$BF$2:$BF1679,0)+1,2),VLOOKUP($B897,'RFR Data - preExcl'!$BF$2:$BG1679,2,FALSE))),IFERROR(0/0,""))</f>
        <v/>
      </c>
      <c r="V897" s="212" t="str">
        <f t="shared" si="5"/>
        <v>RUN-COMB_2022-05-28_RFR-049</v>
      </c>
      <c r="W897" s="51"/>
      <c r="X897" s="51"/>
      <c r="Y897" s="147" t="str">
        <f t="shared" ref="Y897:Z897" si="1794">IF(_xlfn.ISFORMULA(S897),IFERROR(0/0,""),TRUE)</f>
        <v/>
      </c>
      <c r="Z897" s="147" t="str">
        <f t="shared" si="1794"/>
        <v/>
      </c>
    </row>
    <row r="898">
      <c r="A898" s="6" t="str">
        <f>IFERROR(__xludf.DUMMYFUNCTION("""COMPUTED_VALUE"""),"FM872")</f>
        <v>FM872</v>
      </c>
      <c r="B898" s="206">
        <f>IFERROR(__xludf.DUMMYFUNCTION("""COMPUTED_VALUE"""),44709.0)</f>
        <v>44709</v>
      </c>
      <c r="C898" s="207">
        <f>IFERROR(__xludf.DUMMYFUNCTION("""COMPUTED_VALUE"""),0.2788773148148148)</f>
        <v>0.2788773148</v>
      </c>
      <c r="D898" s="50"/>
      <c r="E898" s="58"/>
      <c r="F898" s="58"/>
      <c r="G898" s="58" t="str">
        <f>IFERROR(__xludf.DUMMYFUNCTION("""COMPUTED_VALUE"""),"Null")</f>
        <v>Null</v>
      </c>
      <c r="H898" s="206" t="str">
        <f>IFERROR(__xludf.DUMMYFUNCTION("""COMPUTED_VALUE"""),"Negative")</f>
        <v>Negative</v>
      </c>
      <c r="I898" s="207"/>
      <c r="J898" s="50"/>
      <c r="K898" s="50">
        <f>IFERROR(__xludf.DUMMYFUNCTION("""COMPUTED_VALUE"""),2.0)</f>
        <v>2</v>
      </c>
      <c r="L898" s="6"/>
      <c r="M898" s="55"/>
      <c r="N898" s="55">
        <f>IFERROR(__xludf.DUMMYFUNCTION("""COMPUTED_VALUE"""),1.0)</f>
        <v>1</v>
      </c>
      <c r="O898" s="55" t="str">
        <f t="shared" si="3"/>
        <v/>
      </c>
      <c r="P898" s="209"/>
      <c r="Q898" s="75" t="b">
        <f>VLOOKUP($B898,'Run Reconcile'!B$2:P1679,15,FALSE)</f>
        <v>1</v>
      </c>
      <c r="R898" s="211" t="str">
        <f t="array" ref="R898">IF($Q898, INDEX('Run Reconcile'!A$2:A1679,MATCH(B898,'Run Reconcile'!B$2:B1679,0),1),IFERROR(0/0,""))</f>
        <v>RUN-COMB_2022-05-28_RFR-049</v>
      </c>
      <c r="S898" s="165" t="str">
        <f t="shared" ref="S898:T898" si="1795">IF(COUNTIF(W$2:W1679, $A898) &gt; 0,TRUE,IFERROR(0/0,""))</f>
        <v/>
      </c>
      <c r="T898" s="165" t="str">
        <f t="shared" si="1795"/>
        <v/>
      </c>
      <c r="U898" s="147" t="str">
        <f t="array" ref="U898">IF(ISBLANK($R898), IF($S898,VLOOKUP($B898+1,'RFR Data - preExcl'!$BF$2:$BG1679,2,FALSE),IF($T898,INDEX('RFR Data - preExcl'!$BF$2:$BG1679,MATCH($B898,'RFR Data - preExcl'!$BF$2:$BF1679,0)+1,2),VLOOKUP($B898,'RFR Data - preExcl'!$BF$2:$BG1679,2,FALSE))),IFERROR(0/0,""))</f>
        <v/>
      </c>
      <c r="V898" s="212" t="str">
        <f t="shared" si="5"/>
        <v>RUN-COMB_2022-05-28_RFR-049</v>
      </c>
      <c r="W898" s="51"/>
      <c r="X898" s="51"/>
      <c r="Y898" s="147" t="str">
        <f t="shared" ref="Y898:Z898" si="1796">IF(_xlfn.ISFORMULA(S898),IFERROR(0/0,""),TRUE)</f>
        <v/>
      </c>
      <c r="Z898" s="147" t="str">
        <f t="shared" si="1796"/>
        <v/>
      </c>
    </row>
    <row r="899">
      <c r="A899" s="6" t="str">
        <f>IFERROR(__xludf.DUMMYFUNCTION("""COMPUTED_VALUE"""),"FM880")</f>
        <v>FM880</v>
      </c>
      <c r="B899" s="206">
        <f>IFERROR(__xludf.DUMMYFUNCTION("""COMPUTED_VALUE"""),44709.0)</f>
        <v>44709</v>
      </c>
      <c r="C899" s="207">
        <f>IFERROR(__xludf.DUMMYFUNCTION("""COMPUTED_VALUE"""),0.27927083333333336)</f>
        <v>0.2792708333</v>
      </c>
      <c r="D899" s="50"/>
      <c r="E899" s="58"/>
      <c r="F899" s="58"/>
      <c r="G899" s="58" t="str">
        <f>IFERROR(__xludf.DUMMYFUNCTION("""COMPUTED_VALUE"""),"Null")</f>
        <v>Null</v>
      </c>
      <c r="H899" s="206" t="str">
        <f>IFERROR(__xludf.DUMMYFUNCTION("""COMPUTED_VALUE"""),"Negative")</f>
        <v>Negative</v>
      </c>
      <c r="I899" s="207"/>
      <c r="J899" s="50"/>
      <c r="K899" s="50">
        <f>IFERROR(__xludf.DUMMYFUNCTION("""COMPUTED_VALUE"""),2.0)</f>
        <v>2</v>
      </c>
      <c r="L899" s="6"/>
      <c r="M899" s="55"/>
      <c r="N899" s="55">
        <f>IFERROR(__xludf.DUMMYFUNCTION("""COMPUTED_VALUE"""),1.0)</f>
        <v>1</v>
      </c>
      <c r="O899" s="55" t="str">
        <f t="shared" si="3"/>
        <v/>
      </c>
      <c r="P899" s="209"/>
      <c r="Q899" s="75" t="b">
        <f>VLOOKUP($B899,'Run Reconcile'!B$2:P1679,15,FALSE)</f>
        <v>1</v>
      </c>
      <c r="R899" s="211" t="str">
        <f t="array" ref="R899">IF($Q899, INDEX('Run Reconcile'!A$2:A1679,MATCH(B899,'Run Reconcile'!B$2:B1679,0),1),IFERROR(0/0,""))</f>
        <v>RUN-COMB_2022-05-28_RFR-049</v>
      </c>
      <c r="S899" s="165" t="str">
        <f t="shared" ref="S899:T899" si="1797">IF(COUNTIF(W$2:W1679, $A899) &gt; 0,TRUE,IFERROR(0/0,""))</f>
        <v/>
      </c>
      <c r="T899" s="165" t="str">
        <f t="shared" si="1797"/>
        <v/>
      </c>
      <c r="U899" s="147" t="str">
        <f t="array" ref="U899">IF(ISBLANK($R899), IF($S899,VLOOKUP($B899+1,'RFR Data - preExcl'!$BF$2:$BG1679,2,FALSE),IF($T899,INDEX('RFR Data - preExcl'!$BF$2:$BG1679,MATCH($B899,'RFR Data - preExcl'!$BF$2:$BF1679,0)+1,2),VLOOKUP($B899,'RFR Data - preExcl'!$BF$2:$BG1679,2,FALSE))),IFERROR(0/0,""))</f>
        <v/>
      </c>
      <c r="V899" s="212" t="str">
        <f t="shared" si="5"/>
        <v>RUN-COMB_2022-05-28_RFR-049</v>
      </c>
      <c r="W899" s="51"/>
      <c r="X899" s="51"/>
      <c r="Y899" s="147" t="str">
        <f t="shared" ref="Y899:Z899" si="1798">IF(_xlfn.ISFORMULA(S899),IFERROR(0/0,""),TRUE)</f>
        <v/>
      </c>
      <c r="Z899" s="147" t="str">
        <f t="shared" si="1798"/>
        <v/>
      </c>
    </row>
    <row r="900">
      <c r="A900" s="6" t="str">
        <f>IFERROR(__xludf.DUMMYFUNCTION("""COMPUTED_VALUE"""),"FM841")</f>
        <v>FM841</v>
      </c>
      <c r="B900" s="206">
        <f>IFERROR(__xludf.DUMMYFUNCTION("""COMPUTED_VALUE"""),44709.0)</f>
        <v>44709</v>
      </c>
      <c r="C900" s="207">
        <f>IFERROR(__xludf.DUMMYFUNCTION("""COMPUTED_VALUE"""),0.27956018518518516)</f>
        <v>0.2795601852</v>
      </c>
      <c r="D900" s="50"/>
      <c r="E900" s="58"/>
      <c r="F900" s="58"/>
      <c r="G900" s="58" t="str">
        <f>IFERROR(__xludf.DUMMYFUNCTION("""COMPUTED_VALUE"""),"Null")</f>
        <v>Null</v>
      </c>
      <c r="H900" s="206" t="str">
        <f>IFERROR(__xludf.DUMMYFUNCTION("""COMPUTED_VALUE"""),"Negative")</f>
        <v>Negative</v>
      </c>
      <c r="I900" s="207"/>
      <c r="J900" s="50"/>
      <c r="K900" s="50">
        <f>IFERROR(__xludf.DUMMYFUNCTION("""COMPUTED_VALUE"""),2.0)</f>
        <v>2</v>
      </c>
      <c r="L900" s="6"/>
      <c r="M900" s="55"/>
      <c r="N900" s="55">
        <f>IFERROR(__xludf.DUMMYFUNCTION("""COMPUTED_VALUE"""),1.0)</f>
        <v>1</v>
      </c>
      <c r="O900" s="55" t="str">
        <f t="shared" si="3"/>
        <v/>
      </c>
      <c r="P900" s="209"/>
      <c r="Q900" s="75" t="b">
        <f>VLOOKUP($B900,'Run Reconcile'!B$2:P1679,15,FALSE)</f>
        <v>1</v>
      </c>
      <c r="R900" s="211" t="str">
        <f t="array" ref="R900">IF($Q900, INDEX('Run Reconcile'!A$2:A1679,MATCH(B900,'Run Reconcile'!B$2:B1679,0),1),IFERROR(0/0,""))</f>
        <v>RUN-COMB_2022-05-28_RFR-049</v>
      </c>
      <c r="S900" s="165" t="str">
        <f t="shared" ref="S900:T900" si="1799">IF(COUNTIF(W$2:W1679, $A900) &gt; 0,TRUE,IFERROR(0/0,""))</f>
        <v/>
      </c>
      <c r="T900" s="165" t="str">
        <f t="shared" si="1799"/>
        <v/>
      </c>
      <c r="U900" s="147" t="str">
        <f t="array" ref="U900">IF(ISBLANK($R900), IF($S900,VLOOKUP($B900+1,'RFR Data - preExcl'!$BF$2:$BG1679,2,FALSE),IF($T900,INDEX('RFR Data - preExcl'!$BF$2:$BG1679,MATCH($B900,'RFR Data - preExcl'!$BF$2:$BF1679,0)+1,2),VLOOKUP($B900,'RFR Data - preExcl'!$BF$2:$BG1679,2,FALSE))),IFERROR(0/0,""))</f>
        <v/>
      </c>
      <c r="V900" s="212" t="str">
        <f t="shared" si="5"/>
        <v>RUN-COMB_2022-05-28_RFR-049</v>
      </c>
      <c r="W900" s="51"/>
      <c r="X900" s="51"/>
      <c r="Y900" s="147" t="str">
        <f t="shared" ref="Y900:Z900" si="1800">IF(_xlfn.ISFORMULA(S900),IFERROR(0/0,""),TRUE)</f>
        <v/>
      </c>
      <c r="Z900" s="147" t="str">
        <f t="shared" si="1800"/>
        <v/>
      </c>
    </row>
    <row r="901">
      <c r="A901" s="6" t="str">
        <f>IFERROR(__xludf.DUMMYFUNCTION("""COMPUTED_VALUE"""),"FM1956")</f>
        <v>FM1956</v>
      </c>
      <c r="B901" s="206">
        <f>IFERROR(__xludf.DUMMYFUNCTION("""COMPUTED_VALUE"""),44709.0)</f>
        <v>44709</v>
      </c>
      <c r="C901" s="207">
        <f>IFERROR(__xludf.DUMMYFUNCTION("""COMPUTED_VALUE"""),0.27997685185185184)</f>
        <v>0.2799768519</v>
      </c>
      <c r="D901" s="50"/>
      <c r="E901" s="58"/>
      <c r="F901" s="58"/>
      <c r="G901" s="58" t="str">
        <f>IFERROR(__xludf.DUMMYFUNCTION("""COMPUTED_VALUE"""),"Null")</f>
        <v>Null</v>
      </c>
      <c r="H901" s="206" t="str">
        <f>IFERROR(__xludf.DUMMYFUNCTION("""COMPUTED_VALUE"""),"Negative")</f>
        <v>Negative</v>
      </c>
      <c r="I901" s="207"/>
      <c r="J901" s="50"/>
      <c r="K901" s="50">
        <f>IFERROR(__xludf.DUMMYFUNCTION("""COMPUTED_VALUE"""),2.0)</f>
        <v>2</v>
      </c>
      <c r="L901" s="6"/>
      <c r="M901" s="55"/>
      <c r="N901" s="55">
        <f>IFERROR(__xludf.DUMMYFUNCTION("""COMPUTED_VALUE"""),1.0)</f>
        <v>1</v>
      </c>
      <c r="O901" s="55" t="str">
        <f t="shared" si="3"/>
        <v/>
      </c>
      <c r="P901" s="209"/>
      <c r="Q901" s="75" t="b">
        <f>VLOOKUP($B901,'Run Reconcile'!B$2:P1679,15,FALSE)</f>
        <v>1</v>
      </c>
      <c r="R901" s="211" t="str">
        <f t="array" ref="R901">IF($Q901, INDEX('Run Reconcile'!A$2:A1679,MATCH(B901,'Run Reconcile'!B$2:B1679,0),1),IFERROR(0/0,""))</f>
        <v>RUN-COMB_2022-05-28_RFR-049</v>
      </c>
      <c r="S901" s="165" t="str">
        <f t="shared" ref="S901:T901" si="1801">IF(COUNTIF(W$2:W1679, $A901) &gt; 0,TRUE,IFERROR(0/0,""))</f>
        <v/>
      </c>
      <c r="T901" s="165" t="str">
        <f t="shared" si="1801"/>
        <v/>
      </c>
      <c r="U901" s="147" t="str">
        <f t="array" ref="U901">IF(ISBLANK($R901), IF($S901,VLOOKUP($B901+1,'RFR Data - preExcl'!$BF$2:$BG1679,2,FALSE),IF($T901,INDEX('RFR Data - preExcl'!$BF$2:$BG1679,MATCH($B901,'RFR Data - preExcl'!$BF$2:$BF1679,0)+1,2),VLOOKUP($B901,'RFR Data - preExcl'!$BF$2:$BG1679,2,FALSE))),IFERROR(0/0,""))</f>
        <v/>
      </c>
      <c r="V901" s="212" t="str">
        <f t="shared" si="5"/>
        <v>RUN-COMB_2022-05-28_RFR-049</v>
      </c>
      <c r="W901" s="51"/>
      <c r="X901" s="51"/>
      <c r="Y901" s="147" t="str">
        <f t="shared" ref="Y901:Z901" si="1802">IF(_xlfn.ISFORMULA(S901),IFERROR(0/0,""),TRUE)</f>
        <v/>
      </c>
      <c r="Z901" s="147" t="str">
        <f t="shared" si="1802"/>
        <v/>
      </c>
    </row>
    <row r="902">
      <c r="A902" s="6" t="str">
        <f>IFERROR(__xludf.DUMMYFUNCTION("""COMPUTED_VALUE"""),"FM878")</f>
        <v>FM878</v>
      </c>
      <c r="B902" s="206">
        <f>IFERROR(__xludf.DUMMYFUNCTION("""COMPUTED_VALUE"""),44709.0)</f>
        <v>44709</v>
      </c>
      <c r="C902" s="207">
        <f>IFERROR(__xludf.DUMMYFUNCTION("""COMPUTED_VALUE"""),0.28033564814814815)</f>
        <v>0.2803356481</v>
      </c>
      <c r="D902" s="50"/>
      <c r="E902" s="58"/>
      <c r="F902" s="58"/>
      <c r="G902" s="58" t="str">
        <f>IFERROR(__xludf.DUMMYFUNCTION("""COMPUTED_VALUE"""),"Null")</f>
        <v>Null</v>
      </c>
      <c r="H902" s="206" t="str">
        <f>IFERROR(__xludf.DUMMYFUNCTION("""COMPUTED_VALUE"""),"Negative")</f>
        <v>Negative</v>
      </c>
      <c r="I902" s="207"/>
      <c r="J902" s="50"/>
      <c r="K902" s="50">
        <f>IFERROR(__xludf.DUMMYFUNCTION("""COMPUTED_VALUE"""),2.0)</f>
        <v>2</v>
      </c>
      <c r="L902" s="6"/>
      <c r="M902" s="55"/>
      <c r="N902" s="55">
        <f>IFERROR(__xludf.DUMMYFUNCTION("""COMPUTED_VALUE"""),1.0)</f>
        <v>1</v>
      </c>
      <c r="O902" s="55" t="str">
        <f t="shared" si="3"/>
        <v/>
      </c>
      <c r="P902" s="209"/>
      <c r="Q902" s="75" t="b">
        <f>VLOOKUP($B902,'Run Reconcile'!B$2:P1679,15,FALSE)</f>
        <v>1</v>
      </c>
      <c r="R902" s="211" t="str">
        <f t="array" ref="R902">IF($Q902, INDEX('Run Reconcile'!A$2:A1679,MATCH(B902,'Run Reconcile'!B$2:B1679,0),1),IFERROR(0/0,""))</f>
        <v>RUN-COMB_2022-05-28_RFR-049</v>
      </c>
      <c r="S902" s="165" t="str">
        <f t="shared" ref="S902:T902" si="1803">IF(COUNTIF(W$2:W1679, $A902) &gt; 0,TRUE,IFERROR(0/0,""))</f>
        <v/>
      </c>
      <c r="T902" s="165" t="str">
        <f t="shared" si="1803"/>
        <v/>
      </c>
      <c r="U902" s="147" t="str">
        <f t="array" ref="U902">IF(ISBLANK($R902), IF($S902,VLOOKUP($B902+1,'RFR Data - preExcl'!$BF$2:$BG1679,2,FALSE),IF($T902,INDEX('RFR Data - preExcl'!$BF$2:$BG1679,MATCH($B902,'RFR Data - preExcl'!$BF$2:$BF1679,0)+1,2),VLOOKUP($B902,'RFR Data - preExcl'!$BF$2:$BG1679,2,FALSE))),IFERROR(0/0,""))</f>
        <v/>
      </c>
      <c r="V902" s="212" t="str">
        <f t="shared" si="5"/>
        <v>RUN-COMB_2022-05-28_RFR-049</v>
      </c>
      <c r="W902" s="51"/>
      <c r="X902" s="51"/>
      <c r="Y902" s="147" t="str">
        <f t="shared" ref="Y902:Z902" si="1804">IF(_xlfn.ISFORMULA(S902),IFERROR(0/0,""),TRUE)</f>
        <v/>
      </c>
      <c r="Z902" s="147" t="str">
        <f t="shared" si="1804"/>
        <v/>
      </c>
    </row>
    <row r="903">
      <c r="A903" s="6" t="str">
        <f>IFERROR(__xludf.DUMMYFUNCTION("""COMPUTED_VALUE"""),"FM1950")</f>
        <v>FM1950</v>
      </c>
      <c r="B903" s="206">
        <f>IFERROR(__xludf.DUMMYFUNCTION("""COMPUTED_VALUE"""),44709.0)</f>
        <v>44709</v>
      </c>
      <c r="C903" s="207">
        <f>IFERROR(__xludf.DUMMYFUNCTION("""COMPUTED_VALUE"""),0.28072916666666664)</f>
        <v>0.2807291667</v>
      </c>
      <c r="D903" s="50"/>
      <c r="E903" s="58"/>
      <c r="F903" s="58"/>
      <c r="G903" s="58" t="str">
        <f>IFERROR(__xludf.DUMMYFUNCTION("""COMPUTED_VALUE"""),"Null")</f>
        <v>Null</v>
      </c>
      <c r="H903" s="206" t="str">
        <f>IFERROR(__xludf.DUMMYFUNCTION("""COMPUTED_VALUE"""),"Negative")</f>
        <v>Negative</v>
      </c>
      <c r="I903" s="207"/>
      <c r="J903" s="50"/>
      <c r="K903" s="50">
        <f>IFERROR(__xludf.DUMMYFUNCTION("""COMPUTED_VALUE"""),2.0)</f>
        <v>2</v>
      </c>
      <c r="L903" s="6"/>
      <c r="M903" s="55"/>
      <c r="N903" s="55">
        <f>IFERROR(__xludf.DUMMYFUNCTION("""COMPUTED_VALUE"""),1.0)</f>
        <v>1</v>
      </c>
      <c r="O903" s="55" t="str">
        <f t="shared" si="3"/>
        <v/>
      </c>
      <c r="P903" s="209"/>
      <c r="Q903" s="75" t="b">
        <f>VLOOKUP($B903,'Run Reconcile'!B$2:P1679,15,FALSE)</f>
        <v>1</v>
      </c>
      <c r="R903" s="211" t="str">
        <f t="array" ref="R903">IF($Q903, INDEX('Run Reconcile'!A$2:A1679,MATCH(B903,'Run Reconcile'!B$2:B1679,0),1),IFERROR(0/0,""))</f>
        <v>RUN-COMB_2022-05-28_RFR-049</v>
      </c>
      <c r="S903" s="165" t="str">
        <f t="shared" ref="S903:T903" si="1805">IF(COUNTIF(W$2:W1679, $A903) &gt; 0,TRUE,IFERROR(0/0,""))</f>
        <v/>
      </c>
      <c r="T903" s="165" t="str">
        <f t="shared" si="1805"/>
        <v/>
      </c>
      <c r="U903" s="147" t="str">
        <f t="array" ref="U903">IF(ISBLANK($R903), IF($S903,VLOOKUP($B903+1,'RFR Data - preExcl'!$BF$2:$BG1679,2,FALSE),IF($T903,INDEX('RFR Data - preExcl'!$BF$2:$BG1679,MATCH($B903,'RFR Data - preExcl'!$BF$2:$BF1679,0)+1,2),VLOOKUP($B903,'RFR Data - preExcl'!$BF$2:$BG1679,2,FALSE))),IFERROR(0/0,""))</f>
        <v/>
      </c>
      <c r="V903" s="212" t="str">
        <f t="shared" si="5"/>
        <v>RUN-COMB_2022-05-28_RFR-049</v>
      </c>
      <c r="W903" s="51"/>
      <c r="X903" s="51"/>
      <c r="Y903" s="147" t="str">
        <f t="shared" ref="Y903:Z903" si="1806">IF(_xlfn.ISFORMULA(S903),IFERROR(0/0,""),TRUE)</f>
        <v/>
      </c>
      <c r="Z903" s="147" t="str">
        <f t="shared" si="1806"/>
        <v/>
      </c>
    </row>
    <row r="904">
      <c r="A904" s="6" t="str">
        <f>IFERROR(__xludf.DUMMYFUNCTION("""COMPUTED_VALUE"""),"FM861")</f>
        <v>FM861</v>
      </c>
      <c r="B904" s="206">
        <f>IFERROR(__xludf.DUMMYFUNCTION("""COMPUTED_VALUE"""),44709.0)</f>
        <v>44709</v>
      </c>
      <c r="C904" s="207">
        <f>IFERROR(__xludf.DUMMYFUNCTION("""COMPUTED_VALUE"""),0.2811226851851852)</f>
        <v>0.2811226852</v>
      </c>
      <c r="D904" s="50"/>
      <c r="E904" s="58"/>
      <c r="F904" s="58"/>
      <c r="G904" s="58" t="str">
        <f>IFERROR(__xludf.DUMMYFUNCTION("""COMPUTED_VALUE"""),"Null")</f>
        <v>Null</v>
      </c>
      <c r="H904" s="206" t="str">
        <f>IFERROR(__xludf.DUMMYFUNCTION("""COMPUTED_VALUE"""),"Negative")</f>
        <v>Negative</v>
      </c>
      <c r="I904" s="207"/>
      <c r="J904" s="50"/>
      <c r="K904" s="50">
        <f>IFERROR(__xludf.DUMMYFUNCTION("""COMPUTED_VALUE"""),2.0)</f>
        <v>2</v>
      </c>
      <c r="L904" s="6"/>
      <c r="M904" s="55"/>
      <c r="N904" s="55">
        <f>IFERROR(__xludf.DUMMYFUNCTION("""COMPUTED_VALUE"""),1.0)</f>
        <v>1</v>
      </c>
      <c r="O904" s="55" t="str">
        <f t="shared" si="3"/>
        <v/>
      </c>
      <c r="P904" s="209"/>
      <c r="Q904" s="75" t="b">
        <f>VLOOKUP($B904,'Run Reconcile'!B$2:P1679,15,FALSE)</f>
        <v>1</v>
      </c>
      <c r="R904" s="211" t="str">
        <f t="array" ref="R904">IF($Q904, INDEX('Run Reconcile'!A$2:A1679,MATCH(B904,'Run Reconcile'!B$2:B1679,0),1),IFERROR(0/0,""))</f>
        <v>RUN-COMB_2022-05-28_RFR-049</v>
      </c>
      <c r="S904" s="165" t="str">
        <f t="shared" ref="S904:T904" si="1807">IF(COUNTIF(W$2:W1679, $A904) &gt; 0,TRUE,IFERROR(0/0,""))</f>
        <v/>
      </c>
      <c r="T904" s="165" t="str">
        <f t="shared" si="1807"/>
        <v/>
      </c>
      <c r="U904" s="147" t="str">
        <f t="array" ref="U904">IF(ISBLANK($R904), IF($S904,VLOOKUP($B904+1,'RFR Data - preExcl'!$BF$2:$BG1679,2,FALSE),IF($T904,INDEX('RFR Data - preExcl'!$BF$2:$BG1679,MATCH($B904,'RFR Data - preExcl'!$BF$2:$BF1679,0)+1,2),VLOOKUP($B904,'RFR Data - preExcl'!$BF$2:$BG1679,2,FALSE))),IFERROR(0/0,""))</f>
        <v/>
      </c>
      <c r="V904" s="212" t="str">
        <f t="shared" si="5"/>
        <v>RUN-COMB_2022-05-28_RFR-049</v>
      </c>
      <c r="W904" s="51"/>
      <c r="X904" s="51"/>
      <c r="Y904" s="147" t="str">
        <f t="shared" ref="Y904:Z904" si="1808">IF(_xlfn.ISFORMULA(S904),IFERROR(0/0,""),TRUE)</f>
        <v/>
      </c>
      <c r="Z904" s="147" t="str">
        <f t="shared" si="1808"/>
        <v/>
      </c>
    </row>
    <row r="905">
      <c r="A905" s="6" t="str">
        <f>IFERROR(__xludf.DUMMYFUNCTION("""COMPUTED_VALUE"""),"FM866")</f>
        <v>FM866</v>
      </c>
      <c r="B905" s="206">
        <f>IFERROR(__xludf.DUMMYFUNCTION("""COMPUTED_VALUE"""),44709.0)</f>
        <v>44709</v>
      </c>
      <c r="C905" s="207">
        <f>IFERROR(__xludf.DUMMYFUNCTION("""COMPUTED_VALUE"""),0.2814814814814815)</f>
        <v>0.2814814815</v>
      </c>
      <c r="D905" s="50"/>
      <c r="E905" s="58"/>
      <c r="F905" s="58"/>
      <c r="G905" s="58" t="str">
        <f>IFERROR(__xludf.DUMMYFUNCTION("""COMPUTED_VALUE"""),"Null")</f>
        <v>Null</v>
      </c>
      <c r="H905" s="206" t="str">
        <f>IFERROR(__xludf.DUMMYFUNCTION("""COMPUTED_VALUE"""),"Negative")</f>
        <v>Negative</v>
      </c>
      <c r="I905" s="207"/>
      <c r="J905" s="50"/>
      <c r="K905" s="50">
        <f>IFERROR(__xludf.DUMMYFUNCTION("""COMPUTED_VALUE"""),2.0)</f>
        <v>2</v>
      </c>
      <c r="L905" s="6"/>
      <c r="M905" s="55"/>
      <c r="N905" s="55">
        <f>IFERROR(__xludf.DUMMYFUNCTION("""COMPUTED_VALUE"""),1.0)</f>
        <v>1</v>
      </c>
      <c r="O905" s="55" t="str">
        <f t="shared" si="3"/>
        <v/>
      </c>
      <c r="P905" s="209"/>
      <c r="Q905" s="75" t="b">
        <f>VLOOKUP($B905,'Run Reconcile'!B$2:P1679,15,FALSE)</f>
        <v>1</v>
      </c>
      <c r="R905" s="211" t="str">
        <f t="array" ref="R905">IF($Q905, INDEX('Run Reconcile'!A$2:A1679,MATCH(B905,'Run Reconcile'!B$2:B1679,0),1),IFERROR(0/0,""))</f>
        <v>RUN-COMB_2022-05-28_RFR-049</v>
      </c>
      <c r="S905" s="165" t="str">
        <f t="shared" ref="S905:T905" si="1809">IF(COUNTIF(W$2:W1679, $A905) &gt; 0,TRUE,IFERROR(0/0,""))</f>
        <v/>
      </c>
      <c r="T905" s="165" t="str">
        <f t="shared" si="1809"/>
        <v/>
      </c>
      <c r="U905" s="147" t="str">
        <f t="array" ref="U905">IF(ISBLANK($R905), IF($S905,VLOOKUP($B905+1,'RFR Data - preExcl'!$BF$2:$BG1679,2,FALSE),IF($T905,INDEX('RFR Data - preExcl'!$BF$2:$BG1679,MATCH($B905,'RFR Data - preExcl'!$BF$2:$BF1679,0)+1,2),VLOOKUP($B905,'RFR Data - preExcl'!$BF$2:$BG1679,2,FALSE))),IFERROR(0/0,""))</f>
        <v/>
      </c>
      <c r="V905" s="212" t="str">
        <f t="shared" si="5"/>
        <v>RUN-COMB_2022-05-28_RFR-049</v>
      </c>
      <c r="W905" s="51"/>
      <c r="X905" s="51"/>
      <c r="Y905" s="147" t="str">
        <f t="shared" ref="Y905:Z905" si="1810">IF(_xlfn.ISFORMULA(S905),IFERROR(0/0,""),TRUE)</f>
        <v/>
      </c>
      <c r="Z905" s="147" t="str">
        <f t="shared" si="1810"/>
        <v/>
      </c>
    </row>
    <row r="906">
      <c r="A906" s="6" t="str">
        <f>IFERROR(__xludf.DUMMYFUNCTION("""COMPUTED_VALUE"""),"FM874")</f>
        <v>FM874</v>
      </c>
      <c r="B906" s="206">
        <f>IFERROR(__xludf.DUMMYFUNCTION("""COMPUTED_VALUE"""),44709.0)</f>
        <v>44709</v>
      </c>
      <c r="C906" s="207">
        <f>IFERROR(__xludf.DUMMYFUNCTION("""COMPUTED_VALUE"""),0.2818981481481482)</f>
        <v>0.2818981481</v>
      </c>
      <c r="D906" s="50"/>
      <c r="E906" s="58"/>
      <c r="F906" s="58"/>
      <c r="G906" s="58" t="str">
        <f>IFERROR(__xludf.DUMMYFUNCTION("""COMPUTED_VALUE"""),"Null")</f>
        <v>Null</v>
      </c>
      <c r="H906" s="206" t="str">
        <f>IFERROR(__xludf.DUMMYFUNCTION("""COMPUTED_VALUE"""),"Negative")</f>
        <v>Negative</v>
      </c>
      <c r="I906" s="207"/>
      <c r="J906" s="50"/>
      <c r="K906" s="50">
        <f>IFERROR(__xludf.DUMMYFUNCTION("""COMPUTED_VALUE"""),2.0)</f>
        <v>2</v>
      </c>
      <c r="L906" s="6"/>
      <c r="M906" s="55"/>
      <c r="N906" s="55">
        <f>IFERROR(__xludf.DUMMYFUNCTION("""COMPUTED_VALUE"""),1.0)</f>
        <v>1</v>
      </c>
      <c r="O906" s="55" t="str">
        <f t="shared" si="3"/>
        <v/>
      </c>
      <c r="P906" s="209"/>
      <c r="Q906" s="75" t="b">
        <f>VLOOKUP($B906,'Run Reconcile'!B$2:P1679,15,FALSE)</f>
        <v>1</v>
      </c>
      <c r="R906" s="211" t="str">
        <f t="array" ref="R906">IF($Q906, INDEX('Run Reconcile'!A$2:A1679,MATCH(B906,'Run Reconcile'!B$2:B1679,0),1),IFERROR(0/0,""))</f>
        <v>RUN-COMB_2022-05-28_RFR-049</v>
      </c>
      <c r="S906" s="165" t="str">
        <f t="shared" ref="S906:T906" si="1811">IF(COUNTIF(W$2:W1679, $A906) &gt; 0,TRUE,IFERROR(0/0,""))</f>
        <v/>
      </c>
      <c r="T906" s="165" t="str">
        <f t="shared" si="1811"/>
        <v/>
      </c>
      <c r="U906" s="147" t="str">
        <f t="array" ref="U906">IF(ISBLANK($R906), IF($S906,VLOOKUP($B906+1,'RFR Data - preExcl'!$BF$2:$BG1679,2,FALSE),IF($T906,INDEX('RFR Data - preExcl'!$BF$2:$BG1679,MATCH($B906,'RFR Data - preExcl'!$BF$2:$BF1679,0)+1,2),VLOOKUP($B906,'RFR Data - preExcl'!$BF$2:$BG1679,2,FALSE))),IFERROR(0/0,""))</f>
        <v/>
      </c>
      <c r="V906" s="212" t="str">
        <f t="shared" si="5"/>
        <v>RUN-COMB_2022-05-28_RFR-049</v>
      </c>
      <c r="W906" s="51"/>
      <c r="X906" s="51"/>
      <c r="Y906" s="147" t="str">
        <f t="shared" ref="Y906:Z906" si="1812">IF(_xlfn.ISFORMULA(S906),IFERROR(0/0,""),TRUE)</f>
        <v/>
      </c>
      <c r="Z906" s="147" t="str">
        <f t="shared" si="1812"/>
        <v/>
      </c>
    </row>
    <row r="907">
      <c r="A907" s="6" t="str">
        <f>IFERROR(__xludf.DUMMYFUNCTION("""COMPUTED_VALUE"""),"FM1928")</f>
        <v>FM1928</v>
      </c>
      <c r="B907" s="206">
        <f>IFERROR(__xludf.DUMMYFUNCTION("""COMPUTED_VALUE"""),44709.0)</f>
        <v>44709</v>
      </c>
      <c r="C907" s="207">
        <f>IFERROR(__xludf.DUMMYFUNCTION("""COMPUTED_VALUE"""),0.28226851851851853)</f>
        <v>0.2822685185</v>
      </c>
      <c r="D907" s="50"/>
      <c r="E907" s="58"/>
      <c r="F907" s="58"/>
      <c r="G907" s="58" t="str">
        <f>IFERROR(__xludf.DUMMYFUNCTION("""COMPUTED_VALUE"""),"Null")</f>
        <v>Null</v>
      </c>
      <c r="H907" s="206" t="str">
        <f>IFERROR(__xludf.DUMMYFUNCTION("""COMPUTED_VALUE"""),"Negative")</f>
        <v>Negative</v>
      </c>
      <c r="I907" s="207"/>
      <c r="J907" s="50"/>
      <c r="K907" s="50">
        <f>IFERROR(__xludf.DUMMYFUNCTION("""COMPUTED_VALUE"""),2.0)</f>
        <v>2</v>
      </c>
      <c r="L907" s="6"/>
      <c r="M907" s="55"/>
      <c r="N907" s="55">
        <f>IFERROR(__xludf.DUMMYFUNCTION("""COMPUTED_VALUE"""),1.0)</f>
        <v>1</v>
      </c>
      <c r="O907" s="55" t="str">
        <f t="shared" si="3"/>
        <v/>
      </c>
      <c r="P907" s="209"/>
      <c r="Q907" s="75" t="b">
        <f>VLOOKUP($B907,'Run Reconcile'!B$2:P1679,15,FALSE)</f>
        <v>1</v>
      </c>
      <c r="R907" s="211" t="str">
        <f t="array" ref="R907">IF($Q907, INDEX('Run Reconcile'!A$2:A1679,MATCH(B907,'Run Reconcile'!B$2:B1679,0),1),IFERROR(0/0,""))</f>
        <v>RUN-COMB_2022-05-28_RFR-049</v>
      </c>
      <c r="S907" s="165" t="str">
        <f t="shared" ref="S907:T907" si="1813">IF(COUNTIF(W$2:W1679, $A907) &gt; 0,TRUE,IFERROR(0/0,""))</f>
        <v/>
      </c>
      <c r="T907" s="165" t="str">
        <f t="shared" si="1813"/>
        <v/>
      </c>
      <c r="U907" s="147" t="str">
        <f t="array" ref="U907">IF(ISBLANK($R907), IF($S907,VLOOKUP($B907+1,'RFR Data - preExcl'!$BF$2:$BG1679,2,FALSE),IF($T907,INDEX('RFR Data - preExcl'!$BF$2:$BG1679,MATCH($B907,'RFR Data - preExcl'!$BF$2:$BF1679,0)+1,2),VLOOKUP($B907,'RFR Data - preExcl'!$BF$2:$BG1679,2,FALSE))),IFERROR(0/0,""))</f>
        <v/>
      </c>
      <c r="V907" s="212" t="str">
        <f t="shared" si="5"/>
        <v>RUN-COMB_2022-05-28_RFR-049</v>
      </c>
      <c r="W907" s="51"/>
      <c r="X907" s="51"/>
      <c r="Y907" s="147" t="str">
        <f t="shared" ref="Y907:Z907" si="1814">IF(_xlfn.ISFORMULA(S907),IFERROR(0/0,""),TRUE)</f>
        <v/>
      </c>
      <c r="Z907" s="147" t="str">
        <f t="shared" si="1814"/>
        <v/>
      </c>
    </row>
    <row r="908">
      <c r="A908" s="6" t="str">
        <f>IFERROR(__xludf.DUMMYFUNCTION("""COMPUTED_VALUE"""),"FM1963")</f>
        <v>FM1963</v>
      </c>
      <c r="B908" s="206">
        <f>IFERROR(__xludf.DUMMYFUNCTION("""COMPUTED_VALUE"""),44709.0)</f>
        <v>44709</v>
      </c>
      <c r="C908" s="207">
        <f>IFERROR(__xludf.DUMMYFUNCTION("""COMPUTED_VALUE"""),0.28260416666666666)</f>
        <v>0.2826041667</v>
      </c>
      <c r="D908" s="50"/>
      <c r="E908" s="58"/>
      <c r="F908" s="58"/>
      <c r="G908" s="58" t="str">
        <f>IFERROR(__xludf.DUMMYFUNCTION("""COMPUTED_VALUE"""),"Null")</f>
        <v>Null</v>
      </c>
      <c r="H908" s="206" t="str">
        <f>IFERROR(__xludf.DUMMYFUNCTION("""COMPUTED_VALUE"""),"Negative")</f>
        <v>Negative</v>
      </c>
      <c r="I908" s="207"/>
      <c r="J908" s="50"/>
      <c r="K908" s="50">
        <f>IFERROR(__xludf.DUMMYFUNCTION("""COMPUTED_VALUE"""),2.0)</f>
        <v>2</v>
      </c>
      <c r="L908" s="6"/>
      <c r="M908" s="55"/>
      <c r="N908" s="55">
        <f>IFERROR(__xludf.DUMMYFUNCTION("""COMPUTED_VALUE"""),1.0)</f>
        <v>1</v>
      </c>
      <c r="O908" s="55" t="str">
        <f t="shared" si="3"/>
        <v/>
      </c>
      <c r="P908" s="209"/>
      <c r="Q908" s="75" t="b">
        <f>VLOOKUP($B908,'Run Reconcile'!B$2:P1679,15,FALSE)</f>
        <v>1</v>
      </c>
      <c r="R908" s="211" t="str">
        <f t="array" ref="R908">IF($Q908, INDEX('Run Reconcile'!A$2:A1679,MATCH(B908,'Run Reconcile'!B$2:B1679,0),1),IFERROR(0/0,""))</f>
        <v>RUN-COMB_2022-05-28_RFR-049</v>
      </c>
      <c r="S908" s="165" t="str">
        <f t="shared" ref="S908:T908" si="1815">IF(COUNTIF(W$2:W1679, $A908) &gt; 0,TRUE,IFERROR(0/0,""))</f>
        <v/>
      </c>
      <c r="T908" s="165" t="str">
        <f t="shared" si="1815"/>
        <v/>
      </c>
      <c r="U908" s="147" t="str">
        <f t="array" ref="U908">IF(ISBLANK($R908), IF($S908,VLOOKUP($B908+1,'RFR Data - preExcl'!$BF$2:$BG1679,2,FALSE),IF($T908,INDEX('RFR Data - preExcl'!$BF$2:$BG1679,MATCH($B908,'RFR Data - preExcl'!$BF$2:$BF1679,0)+1,2),VLOOKUP($B908,'RFR Data - preExcl'!$BF$2:$BG1679,2,FALSE))),IFERROR(0/0,""))</f>
        <v/>
      </c>
      <c r="V908" s="212" t="str">
        <f t="shared" si="5"/>
        <v>RUN-COMB_2022-05-28_RFR-049</v>
      </c>
      <c r="W908" s="51"/>
      <c r="X908" s="51"/>
      <c r="Y908" s="147" t="str">
        <f t="shared" ref="Y908:Z908" si="1816">IF(_xlfn.ISFORMULA(S908),IFERROR(0/0,""),TRUE)</f>
        <v/>
      </c>
      <c r="Z908" s="147" t="str">
        <f t="shared" si="1816"/>
        <v/>
      </c>
    </row>
    <row r="909">
      <c r="A909" s="6" t="str">
        <f>IFERROR(__xludf.DUMMYFUNCTION("""COMPUTED_VALUE"""),"FM868")</f>
        <v>FM868</v>
      </c>
      <c r="B909" s="206">
        <f>IFERROR(__xludf.DUMMYFUNCTION("""COMPUTED_VALUE"""),44709.0)</f>
        <v>44709</v>
      </c>
      <c r="C909" s="207">
        <f>IFERROR(__xludf.DUMMYFUNCTION("""COMPUTED_VALUE"""),0.2831018518518518)</f>
        <v>0.2831018519</v>
      </c>
      <c r="D909" s="50"/>
      <c r="E909" s="58"/>
      <c r="F909" s="58"/>
      <c r="G909" s="58" t="str">
        <f>IFERROR(__xludf.DUMMYFUNCTION("""COMPUTED_VALUE"""),"Null")</f>
        <v>Null</v>
      </c>
      <c r="H909" s="206" t="str">
        <f>IFERROR(__xludf.DUMMYFUNCTION("""COMPUTED_VALUE"""),"Negative")</f>
        <v>Negative</v>
      </c>
      <c r="I909" s="207"/>
      <c r="J909" s="50"/>
      <c r="K909" s="50">
        <f>IFERROR(__xludf.DUMMYFUNCTION("""COMPUTED_VALUE"""),2.0)</f>
        <v>2</v>
      </c>
      <c r="L909" s="6"/>
      <c r="M909" s="55"/>
      <c r="N909" s="55">
        <f>IFERROR(__xludf.DUMMYFUNCTION("""COMPUTED_VALUE"""),1.0)</f>
        <v>1</v>
      </c>
      <c r="O909" s="55" t="str">
        <f t="shared" si="3"/>
        <v/>
      </c>
      <c r="P909" s="209"/>
      <c r="Q909" s="75" t="b">
        <f>VLOOKUP($B909,'Run Reconcile'!B$2:P1679,15,FALSE)</f>
        <v>1</v>
      </c>
      <c r="R909" s="211" t="str">
        <f t="array" ref="R909">IF($Q909, INDEX('Run Reconcile'!A$2:A1679,MATCH(B909,'Run Reconcile'!B$2:B1679,0),1),IFERROR(0/0,""))</f>
        <v>RUN-COMB_2022-05-28_RFR-049</v>
      </c>
      <c r="S909" s="165" t="str">
        <f t="shared" ref="S909:T909" si="1817">IF(COUNTIF(W$2:W1679, $A909) &gt; 0,TRUE,IFERROR(0/0,""))</f>
        <v/>
      </c>
      <c r="T909" s="165" t="str">
        <f t="shared" si="1817"/>
        <v/>
      </c>
      <c r="U909" s="147" t="str">
        <f t="array" ref="U909">IF(ISBLANK($R909), IF($S909,VLOOKUP($B909+1,'RFR Data - preExcl'!$BF$2:$BG1679,2,FALSE),IF($T909,INDEX('RFR Data - preExcl'!$BF$2:$BG1679,MATCH($B909,'RFR Data - preExcl'!$BF$2:$BF1679,0)+1,2),VLOOKUP($B909,'RFR Data - preExcl'!$BF$2:$BG1679,2,FALSE))),IFERROR(0/0,""))</f>
        <v/>
      </c>
      <c r="V909" s="212" t="str">
        <f t="shared" si="5"/>
        <v>RUN-COMB_2022-05-28_RFR-049</v>
      </c>
      <c r="W909" s="51"/>
      <c r="X909" s="51"/>
      <c r="Y909" s="147" t="str">
        <f t="shared" ref="Y909:Z909" si="1818">IF(_xlfn.ISFORMULA(S909),IFERROR(0/0,""),TRUE)</f>
        <v/>
      </c>
      <c r="Z909" s="147" t="str">
        <f t="shared" si="1818"/>
        <v/>
      </c>
    </row>
    <row r="910">
      <c r="A910" s="6" t="str">
        <f>IFERROR(__xludf.DUMMYFUNCTION("""COMPUTED_VALUE"""),"FM1951")</f>
        <v>FM1951</v>
      </c>
      <c r="B910" s="206">
        <f>IFERROR(__xludf.DUMMYFUNCTION("""COMPUTED_VALUE"""),44709.0)</f>
        <v>44709</v>
      </c>
      <c r="C910" s="207">
        <f>IFERROR(__xludf.DUMMYFUNCTION("""COMPUTED_VALUE"""),0.2836226851851852)</f>
        <v>0.2836226852</v>
      </c>
      <c r="D910" s="50"/>
      <c r="E910" s="58"/>
      <c r="F910" s="58"/>
      <c r="G910" s="58" t="str">
        <f>IFERROR(__xludf.DUMMYFUNCTION("""COMPUTED_VALUE"""),"Null")</f>
        <v>Null</v>
      </c>
      <c r="H910" s="206" t="str">
        <f>IFERROR(__xludf.DUMMYFUNCTION("""COMPUTED_VALUE"""),"Negative")</f>
        <v>Negative</v>
      </c>
      <c r="I910" s="207"/>
      <c r="J910" s="50"/>
      <c r="K910" s="50">
        <f>IFERROR(__xludf.DUMMYFUNCTION("""COMPUTED_VALUE"""),2.0)</f>
        <v>2</v>
      </c>
      <c r="L910" s="6"/>
      <c r="M910" s="55"/>
      <c r="N910" s="55">
        <f>IFERROR(__xludf.DUMMYFUNCTION("""COMPUTED_VALUE"""),1.0)</f>
        <v>1</v>
      </c>
      <c r="O910" s="55" t="str">
        <f t="shared" si="3"/>
        <v/>
      </c>
      <c r="P910" s="209"/>
      <c r="Q910" s="75" t="b">
        <f>VLOOKUP($B910,'Run Reconcile'!B$2:P1679,15,FALSE)</f>
        <v>1</v>
      </c>
      <c r="R910" s="211" t="str">
        <f t="array" ref="R910">IF($Q910, INDEX('Run Reconcile'!A$2:A1679,MATCH(B910,'Run Reconcile'!B$2:B1679,0),1),IFERROR(0/0,""))</f>
        <v>RUN-COMB_2022-05-28_RFR-049</v>
      </c>
      <c r="S910" s="165" t="str">
        <f t="shared" ref="S910:T910" si="1819">IF(COUNTIF(W$2:W1679, $A910) &gt; 0,TRUE,IFERROR(0/0,""))</f>
        <v/>
      </c>
      <c r="T910" s="165" t="str">
        <f t="shared" si="1819"/>
        <v/>
      </c>
      <c r="U910" s="147" t="str">
        <f t="array" ref="U910">IF(ISBLANK($R910), IF($S910,VLOOKUP($B910+1,'RFR Data - preExcl'!$BF$2:$BG1679,2,FALSE),IF($T910,INDEX('RFR Data - preExcl'!$BF$2:$BG1679,MATCH($B910,'RFR Data - preExcl'!$BF$2:$BF1679,0)+1,2),VLOOKUP($B910,'RFR Data - preExcl'!$BF$2:$BG1679,2,FALSE))),IFERROR(0/0,""))</f>
        <v/>
      </c>
      <c r="V910" s="212" t="str">
        <f t="shared" si="5"/>
        <v>RUN-COMB_2022-05-28_RFR-049</v>
      </c>
      <c r="W910" s="51"/>
      <c r="X910" s="51"/>
      <c r="Y910" s="147" t="str">
        <f t="shared" ref="Y910:Z910" si="1820">IF(_xlfn.ISFORMULA(S910),IFERROR(0/0,""),TRUE)</f>
        <v/>
      </c>
      <c r="Z910" s="147" t="str">
        <f t="shared" si="1820"/>
        <v/>
      </c>
    </row>
    <row r="911">
      <c r="A911" s="6" t="str">
        <f>IFERROR(__xludf.DUMMYFUNCTION("""COMPUTED_VALUE"""),"FM1974")</f>
        <v>FM1974</v>
      </c>
      <c r="B911" s="206">
        <f>IFERROR(__xludf.DUMMYFUNCTION("""COMPUTED_VALUE"""),44709.0)</f>
        <v>44709</v>
      </c>
      <c r="C911" s="207">
        <f>IFERROR(__xludf.DUMMYFUNCTION("""COMPUTED_VALUE"""),0.2840625)</f>
        <v>0.2840625</v>
      </c>
      <c r="D911" s="50"/>
      <c r="E911" s="58"/>
      <c r="F911" s="58"/>
      <c r="G911" s="58" t="str">
        <f>IFERROR(__xludf.DUMMYFUNCTION("""COMPUTED_VALUE"""),"Null")</f>
        <v>Null</v>
      </c>
      <c r="H911" s="206" t="str">
        <f>IFERROR(__xludf.DUMMYFUNCTION("""COMPUTED_VALUE"""),"Negative")</f>
        <v>Negative</v>
      </c>
      <c r="I911" s="207"/>
      <c r="J911" s="50"/>
      <c r="K911" s="50">
        <f>IFERROR(__xludf.DUMMYFUNCTION("""COMPUTED_VALUE"""),2.0)</f>
        <v>2</v>
      </c>
      <c r="L911" s="6"/>
      <c r="M911" s="55"/>
      <c r="N911" s="55">
        <f>IFERROR(__xludf.DUMMYFUNCTION("""COMPUTED_VALUE"""),1.0)</f>
        <v>1</v>
      </c>
      <c r="O911" s="55" t="str">
        <f t="shared" si="3"/>
        <v/>
      </c>
      <c r="P911" s="209"/>
      <c r="Q911" s="75" t="b">
        <f>VLOOKUP($B911,'Run Reconcile'!B$2:P1679,15,FALSE)</f>
        <v>1</v>
      </c>
      <c r="R911" s="211" t="str">
        <f t="array" ref="R911">IF($Q911, INDEX('Run Reconcile'!A$2:A1679,MATCH(B911,'Run Reconcile'!B$2:B1679,0),1),IFERROR(0/0,""))</f>
        <v>RUN-COMB_2022-05-28_RFR-049</v>
      </c>
      <c r="S911" s="165" t="str">
        <f t="shared" ref="S911:T911" si="1821">IF(COUNTIF(W$2:W1679, $A911) &gt; 0,TRUE,IFERROR(0/0,""))</f>
        <v/>
      </c>
      <c r="T911" s="165" t="str">
        <f t="shared" si="1821"/>
        <v/>
      </c>
      <c r="U911" s="147" t="str">
        <f t="array" ref="U911">IF(ISBLANK($R911), IF($S911,VLOOKUP($B911+1,'RFR Data - preExcl'!$BF$2:$BG1679,2,FALSE),IF($T911,INDEX('RFR Data - preExcl'!$BF$2:$BG1679,MATCH($B911,'RFR Data - preExcl'!$BF$2:$BF1679,0)+1,2),VLOOKUP($B911,'RFR Data - preExcl'!$BF$2:$BG1679,2,FALSE))),IFERROR(0/0,""))</f>
        <v/>
      </c>
      <c r="V911" s="212" t="str">
        <f t="shared" si="5"/>
        <v>RUN-COMB_2022-05-28_RFR-049</v>
      </c>
      <c r="W911" s="51"/>
      <c r="X911" s="51"/>
      <c r="Y911" s="147" t="str">
        <f t="shared" ref="Y911:Z911" si="1822">IF(_xlfn.ISFORMULA(S911),IFERROR(0/0,""),TRUE)</f>
        <v/>
      </c>
      <c r="Z911" s="147" t="str">
        <f t="shared" si="1822"/>
        <v/>
      </c>
    </row>
    <row r="912">
      <c r="A912" s="6" t="str">
        <f>IFERROR(__xludf.DUMMYFUNCTION("""COMPUTED_VALUE"""),"FM850")</f>
        <v>FM850</v>
      </c>
      <c r="B912" s="206">
        <f>IFERROR(__xludf.DUMMYFUNCTION("""COMPUTED_VALUE"""),44709.0)</f>
        <v>44709</v>
      </c>
      <c r="C912" s="207">
        <f>IFERROR(__xludf.DUMMYFUNCTION("""COMPUTED_VALUE"""),0.2845023148148148)</f>
        <v>0.2845023148</v>
      </c>
      <c r="D912" s="50"/>
      <c r="E912" s="58"/>
      <c r="F912" s="58"/>
      <c r="G912" s="58" t="str">
        <f>IFERROR(__xludf.DUMMYFUNCTION("""COMPUTED_VALUE"""),"Null")</f>
        <v>Null</v>
      </c>
      <c r="H912" s="206" t="str">
        <f>IFERROR(__xludf.DUMMYFUNCTION("""COMPUTED_VALUE"""),"Negative")</f>
        <v>Negative</v>
      </c>
      <c r="I912" s="207"/>
      <c r="J912" s="50"/>
      <c r="K912" s="50">
        <f>IFERROR(__xludf.DUMMYFUNCTION("""COMPUTED_VALUE"""),2.0)</f>
        <v>2</v>
      </c>
      <c r="L912" s="6"/>
      <c r="M912" s="55"/>
      <c r="N912" s="55">
        <f>IFERROR(__xludf.DUMMYFUNCTION("""COMPUTED_VALUE"""),1.0)</f>
        <v>1</v>
      </c>
      <c r="O912" s="55" t="str">
        <f t="shared" si="3"/>
        <v/>
      </c>
      <c r="P912" s="209"/>
      <c r="Q912" s="75" t="b">
        <f>VLOOKUP($B912,'Run Reconcile'!B$2:P1679,15,FALSE)</f>
        <v>1</v>
      </c>
      <c r="R912" s="211" t="str">
        <f t="array" ref="R912">IF($Q912, INDEX('Run Reconcile'!A$2:A1679,MATCH(B912,'Run Reconcile'!B$2:B1679,0),1),IFERROR(0/0,""))</f>
        <v>RUN-COMB_2022-05-28_RFR-049</v>
      </c>
      <c r="S912" s="165" t="str">
        <f t="shared" ref="S912:T912" si="1823">IF(COUNTIF(W$2:W1679, $A912) &gt; 0,TRUE,IFERROR(0/0,""))</f>
        <v/>
      </c>
      <c r="T912" s="165" t="str">
        <f t="shared" si="1823"/>
        <v/>
      </c>
      <c r="U912" s="147" t="str">
        <f t="array" ref="U912">IF(ISBLANK($R912), IF($S912,VLOOKUP($B912+1,'RFR Data - preExcl'!$BF$2:$BG1679,2,FALSE),IF($T912,INDEX('RFR Data - preExcl'!$BF$2:$BG1679,MATCH($B912,'RFR Data - preExcl'!$BF$2:$BF1679,0)+1,2),VLOOKUP($B912,'RFR Data - preExcl'!$BF$2:$BG1679,2,FALSE))),IFERROR(0/0,""))</f>
        <v/>
      </c>
      <c r="V912" s="212" t="str">
        <f t="shared" si="5"/>
        <v>RUN-COMB_2022-05-28_RFR-049</v>
      </c>
      <c r="W912" s="51"/>
      <c r="X912" s="51"/>
      <c r="Y912" s="147" t="str">
        <f t="shared" ref="Y912:Z912" si="1824">IF(_xlfn.ISFORMULA(S912),IFERROR(0/0,""),TRUE)</f>
        <v/>
      </c>
      <c r="Z912" s="147" t="str">
        <f t="shared" si="1824"/>
        <v/>
      </c>
    </row>
    <row r="913">
      <c r="A913" s="6" t="str">
        <f>IFERROR(__xludf.DUMMYFUNCTION("""COMPUTED_VALUE"""),"FM871")</f>
        <v>FM871</v>
      </c>
      <c r="B913" s="206">
        <f>IFERROR(__xludf.DUMMYFUNCTION("""COMPUTED_VALUE"""),44709.0)</f>
        <v>44709</v>
      </c>
      <c r="C913" s="207">
        <f>IFERROR(__xludf.DUMMYFUNCTION("""COMPUTED_VALUE"""),0.28489583333333335)</f>
        <v>0.2848958333</v>
      </c>
      <c r="D913" s="50"/>
      <c r="E913" s="58"/>
      <c r="F913" s="58"/>
      <c r="G913" s="58" t="str">
        <f>IFERROR(__xludf.DUMMYFUNCTION("""COMPUTED_VALUE"""),"Null")</f>
        <v>Null</v>
      </c>
      <c r="H913" s="206" t="str">
        <f>IFERROR(__xludf.DUMMYFUNCTION("""COMPUTED_VALUE"""),"Negative")</f>
        <v>Negative</v>
      </c>
      <c r="I913" s="207"/>
      <c r="J913" s="50"/>
      <c r="K913" s="50">
        <f>IFERROR(__xludf.DUMMYFUNCTION("""COMPUTED_VALUE"""),2.0)</f>
        <v>2</v>
      </c>
      <c r="L913" s="6"/>
      <c r="M913" s="55"/>
      <c r="N913" s="55">
        <f>IFERROR(__xludf.DUMMYFUNCTION("""COMPUTED_VALUE"""),1.0)</f>
        <v>1</v>
      </c>
      <c r="O913" s="55" t="str">
        <f t="shared" si="3"/>
        <v/>
      </c>
      <c r="P913" s="209"/>
      <c r="Q913" s="75" t="b">
        <f>VLOOKUP($B913,'Run Reconcile'!B$2:P1679,15,FALSE)</f>
        <v>1</v>
      </c>
      <c r="R913" s="211" t="str">
        <f t="array" ref="R913">IF($Q913, INDEX('Run Reconcile'!A$2:A1679,MATCH(B913,'Run Reconcile'!B$2:B1679,0),1),IFERROR(0/0,""))</f>
        <v>RUN-COMB_2022-05-28_RFR-049</v>
      </c>
      <c r="S913" s="165" t="str">
        <f t="shared" ref="S913:T913" si="1825">IF(COUNTIF(W$2:W1679, $A913) &gt; 0,TRUE,IFERROR(0/0,""))</f>
        <v/>
      </c>
      <c r="T913" s="165" t="str">
        <f t="shared" si="1825"/>
        <v/>
      </c>
      <c r="U913" s="147" t="str">
        <f t="array" ref="U913">IF(ISBLANK($R913), IF($S913,VLOOKUP($B913+1,'RFR Data - preExcl'!$BF$2:$BG1679,2,FALSE),IF($T913,INDEX('RFR Data - preExcl'!$BF$2:$BG1679,MATCH($B913,'RFR Data - preExcl'!$BF$2:$BF1679,0)+1,2),VLOOKUP($B913,'RFR Data - preExcl'!$BF$2:$BG1679,2,FALSE))),IFERROR(0/0,""))</f>
        <v/>
      </c>
      <c r="V913" s="212" t="str">
        <f t="shared" si="5"/>
        <v>RUN-COMB_2022-05-28_RFR-049</v>
      </c>
      <c r="W913" s="51"/>
      <c r="X913" s="51"/>
      <c r="Y913" s="147" t="str">
        <f t="shared" ref="Y913:Z913" si="1826">IF(_xlfn.ISFORMULA(S913),IFERROR(0/0,""),TRUE)</f>
        <v/>
      </c>
      <c r="Z913" s="147" t="str">
        <f t="shared" si="1826"/>
        <v/>
      </c>
    </row>
    <row r="914">
      <c r="A914" s="6" t="str">
        <f>IFERROR(__xludf.DUMMYFUNCTION("""COMPUTED_VALUE"""),"FM1971")</f>
        <v>FM1971</v>
      </c>
      <c r="B914" s="206">
        <f>IFERROR(__xludf.DUMMYFUNCTION("""COMPUTED_VALUE"""),44709.0)</f>
        <v>44709</v>
      </c>
      <c r="C914" s="207">
        <f>IFERROR(__xludf.DUMMYFUNCTION("""COMPUTED_VALUE"""),0.28528935185185184)</f>
        <v>0.2852893519</v>
      </c>
      <c r="D914" s="50"/>
      <c r="E914" s="58"/>
      <c r="F914" s="58"/>
      <c r="G914" s="58" t="str">
        <f>IFERROR(__xludf.DUMMYFUNCTION("""COMPUTED_VALUE"""),"Null")</f>
        <v>Null</v>
      </c>
      <c r="H914" s="206" t="str">
        <f>IFERROR(__xludf.DUMMYFUNCTION("""COMPUTED_VALUE"""),"Negative")</f>
        <v>Negative</v>
      </c>
      <c r="I914" s="207"/>
      <c r="J914" s="50"/>
      <c r="K914" s="50">
        <f>IFERROR(__xludf.DUMMYFUNCTION("""COMPUTED_VALUE"""),2.0)</f>
        <v>2</v>
      </c>
      <c r="L914" s="6"/>
      <c r="M914" s="55"/>
      <c r="N914" s="55">
        <f>IFERROR(__xludf.DUMMYFUNCTION("""COMPUTED_VALUE"""),1.0)</f>
        <v>1</v>
      </c>
      <c r="O914" s="55" t="str">
        <f t="shared" si="3"/>
        <v/>
      </c>
      <c r="P914" s="209"/>
      <c r="Q914" s="75" t="b">
        <f>VLOOKUP($B914,'Run Reconcile'!B$2:P1679,15,FALSE)</f>
        <v>1</v>
      </c>
      <c r="R914" s="211" t="str">
        <f t="array" ref="R914">IF($Q914, INDEX('Run Reconcile'!A$2:A1679,MATCH(B914,'Run Reconcile'!B$2:B1679,0),1),IFERROR(0/0,""))</f>
        <v>RUN-COMB_2022-05-28_RFR-049</v>
      </c>
      <c r="S914" s="165" t="str">
        <f t="shared" ref="S914:T914" si="1827">IF(COUNTIF(W$2:W1679, $A914) &gt; 0,TRUE,IFERROR(0/0,""))</f>
        <v/>
      </c>
      <c r="T914" s="165" t="str">
        <f t="shared" si="1827"/>
        <v/>
      </c>
      <c r="U914" s="147" t="str">
        <f t="array" ref="U914">IF(ISBLANK($R914), IF($S914,VLOOKUP($B914+1,'RFR Data - preExcl'!$BF$2:$BG1679,2,FALSE),IF($T914,INDEX('RFR Data - preExcl'!$BF$2:$BG1679,MATCH($B914,'RFR Data - preExcl'!$BF$2:$BF1679,0)+1,2),VLOOKUP($B914,'RFR Data - preExcl'!$BF$2:$BG1679,2,FALSE))),IFERROR(0/0,""))</f>
        <v/>
      </c>
      <c r="V914" s="212" t="str">
        <f t="shared" si="5"/>
        <v>RUN-COMB_2022-05-28_RFR-049</v>
      </c>
      <c r="W914" s="51"/>
      <c r="X914" s="51"/>
      <c r="Y914" s="147" t="str">
        <f t="shared" ref="Y914:Z914" si="1828">IF(_xlfn.ISFORMULA(S914),IFERROR(0/0,""),TRUE)</f>
        <v/>
      </c>
      <c r="Z914" s="147" t="str">
        <f t="shared" si="1828"/>
        <v/>
      </c>
    </row>
    <row r="915">
      <c r="A915" s="6" t="str">
        <f>IFERROR(__xludf.DUMMYFUNCTION("""COMPUTED_VALUE"""),"FM845")</f>
        <v>FM845</v>
      </c>
      <c r="B915" s="206">
        <f>IFERROR(__xludf.DUMMYFUNCTION("""COMPUTED_VALUE"""),44709.0)</f>
        <v>44709</v>
      </c>
      <c r="C915" s="207">
        <f>IFERROR(__xludf.DUMMYFUNCTION("""COMPUTED_VALUE"""),0.2856828703703704)</f>
        <v>0.2856828704</v>
      </c>
      <c r="D915" s="50"/>
      <c r="E915" s="58"/>
      <c r="F915" s="58"/>
      <c r="G915" s="58" t="str">
        <f>IFERROR(__xludf.DUMMYFUNCTION("""COMPUTED_VALUE"""),"Null")</f>
        <v>Null</v>
      </c>
      <c r="H915" s="206" t="str">
        <f>IFERROR(__xludf.DUMMYFUNCTION("""COMPUTED_VALUE"""),"Negative")</f>
        <v>Negative</v>
      </c>
      <c r="I915" s="207"/>
      <c r="J915" s="50"/>
      <c r="K915" s="50">
        <f>IFERROR(__xludf.DUMMYFUNCTION("""COMPUTED_VALUE"""),2.0)</f>
        <v>2</v>
      </c>
      <c r="L915" s="6"/>
      <c r="M915" s="55"/>
      <c r="N915" s="55">
        <f>IFERROR(__xludf.DUMMYFUNCTION("""COMPUTED_VALUE"""),1.0)</f>
        <v>1</v>
      </c>
      <c r="O915" s="55" t="str">
        <f t="shared" si="3"/>
        <v/>
      </c>
      <c r="P915" s="209"/>
      <c r="Q915" s="75" t="b">
        <f>VLOOKUP($B915,'Run Reconcile'!B$2:P1679,15,FALSE)</f>
        <v>1</v>
      </c>
      <c r="R915" s="211" t="str">
        <f t="array" ref="R915">IF($Q915, INDEX('Run Reconcile'!A$2:A1679,MATCH(B915,'Run Reconcile'!B$2:B1679,0),1),IFERROR(0/0,""))</f>
        <v>RUN-COMB_2022-05-28_RFR-049</v>
      </c>
      <c r="S915" s="165" t="str">
        <f t="shared" ref="S915:T915" si="1829">IF(COUNTIF(W$2:W1679, $A915) &gt; 0,TRUE,IFERROR(0/0,""))</f>
        <v/>
      </c>
      <c r="T915" s="165" t="str">
        <f t="shared" si="1829"/>
        <v/>
      </c>
      <c r="U915" s="147" t="str">
        <f t="array" ref="U915">IF(ISBLANK($R915), IF($S915,VLOOKUP($B915+1,'RFR Data - preExcl'!$BF$2:$BG1679,2,FALSE),IF($T915,INDEX('RFR Data - preExcl'!$BF$2:$BG1679,MATCH($B915,'RFR Data - preExcl'!$BF$2:$BF1679,0)+1,2),VLOOKUP($B915,'RFR Data - preExcl'!$BF$2:$BG1679,2,FALSE))),IFERROR(0/0,""))</f>
        <v/>
      </c>
      <c r="V915" s="212" t="str">
        <f t="shared" si="5"/>
        <v>RUN-COMB_2022-05-28_RFR-049</v>
      </c>
      <c r="W915" s="51"/>
      <c r="X915" s="51"/>
      <c r="Y915" s="147" t="str">
        <f t="shared" ref="Y915:Z915" si="1830">IF(_xlfn.ISFORMULA(S915),IFERROR(0/0,""),TRUE)</f>
        <v/>
      </c>
      <c r="Z915" s="147" t="str">
        <f t="shared" si="1830"/>
        <v/>
      </c>
    </row>
    <row r="916">
      <c r="A916" s="6" t="str">
        <f>IFERROR(__xludf.DUMMYFUNCTION("""COMPUTED_VALUE"""),"FM1940")</f>
        <v>FM1940</v>
      </c>
      <c r="B916" s="206">
        <f>IFERROR(__xludf.DUMMYFUNCTION("""COMPUTED_VALUE"""),44709.0)</f>
        <v>44709</v>
      </c>
      <c r="C916" s="207">
        <f>IFERROR(__xludf.DUMMYFUNCTION("""COMPUTED_VALUE"""),0.2860416666666667)</f>
        <v>0.2860416667</v>
      </c>
      <c r="D916" s="50"/>
      <c r="E916" s="58"/>
      <c r="F916" s="58"/>
      <c r="G916" s="58" t="str">
        <f>IFERROR(__xludf.DUMMYFUNCTION("""COMPUTED_VALUE"""),"Null")</f>
        <v>Null</v>
      </c>
      <c r="H916" s="206" t="str">
        <f>IFERROR(__xludf.DUMMYFUNCTION("""COMPUTED_VALUE"""),"Negative")</f>
        <v>Negative</v>
      </c>
      <c r="I916" s="207"/>
      <c r="J916" s="50"/>
      <c r="K916" s="50">
        <f>IFERROR(__xludf.DUMMYFUNCTION("""COMPUTED_VALUE"""),2.0)</f>
        <v>2</v>
      </c>
      <c r="L916" s="6"/>
      <c r="M916" s="55"/>
      <c r="N916" s="55">
        <f>IFERROR(__xludf.DUMMYFUNCTION("""COMPUTED_VALUE"""),1.0)</f>
        <v>1</v>
      </c>
      <c r="O916" s="55" t="str">
        <f t="shared" si="3"/>
        <v/>
      </c>
      <c r="P916" s="209"/>
      <c r="Q916" s="75" t="b">
        <f>VLOOKUP($B916,'Run Reconcile'!B$2:P1679,15,FALSE)</f>
        <v>1</v>
      </c>
      <c r="R916" s="211" t="str">
        <f t="array" ref="R916">IF($Q916, INDEX('Run Reconcile'!A$2:A1679,MATCH(B916,'Run Reconcile'!B$2:B1679,0),1),IFERROR(0/0,""))</f>
        <v>RUN-COMB_2022-05-28_RFR-049</v>
      </c>
      <c r="S916" s="165" t="str">
        <f t="shared" ref="S916:T916" si="1831">IF(COUNTIF(W$2:W1679, $A916) &gt; 0,TRUE,IFERROR(0/0,""))</f>
        <v/>
      </c>
      <c r="T916" s="165" t="str">
        <f t="shared" si="1831"/>
        <v/>
      </c>
      <c r="U916" s="147" t="str">
        <f t="array" ref="U916">IF(ISBLANK($R916), IF($S916,VLOOKUP($B916+1,'RFR Data - preExcl'!$BF$2:$BG1679,2,FALSE),IF($T916,INDEX('RFR Data - preExcl'!$BF$2:$BG1679,MATCH($B916,'RFR Data - preExcl'!$BF$2:$BF1679,0)+1,2),VLOOKUP($B916,'RFR Data - preExcl'!$BF$2:$BG1679,2,FALSE))),IFERROR(0/0,""))</f>
        <v/>
      </c>
      <c r="V916" s="212" t="str">
        <f t="shared" si="5"/>
        <v>RUN-COMB_2022-05-28_RFR-049</v>
      </c>
      <c r="W916" s="51"/>
      <c r="X916" s="51"/>
      <c r="Y916" s="147" t="str">
        <f t="shared" ref="Y916:Z916" si="1832">IF(_xlfn.ISFORMULA(S916),IFERROR(0/0,""),TRUE)</f>
        <v/>
      </c>
      <c r="Z916" s="147" t="str">
        <f t="shared" si="1832"/>
        <v/>
      </c>
    </row>
    <row r="917">
      <c r="A917" s="6" t="str">
        <f>IFERROR(__xludf.DUMMYFUNCTION("""COMPUTED_VALUE"""),"FM1962")</f>
        <v>FM1962</v>
      </c>
      <c r="B917" s="206">
        <f>IFERROR(__xludf.DUMMYFUNCTION("""COMPUTED_VALUE"""),44709.0)</f>
        <v>44709</v>
      </c>
      <c r="C917" s="207">
        <f>IFERROR(__xludf.DUMMYFUNCTION("""COMPUTED_VALUE"""),0.29064814814814816)</f>
        <v>0.2906481481</v>
      </c>
      <c r="D917" s="50"/>
      <c r="E917" s="58"/>
      <c r="F917" s="58"/>
      <c r="G917" s="58" t="str">
        <f>IFERROR(__xludf.DUMMYFUNCTION("""COMPUTED_VALUE"""),"Null")</f>
        <v>Null</v>
      </c>
      <c r="H917" s="206" t="str">
        <f>IFERROR(__xludf.DUMMYFUNCTION("""COMPUTED_VALUE"""),"Negative")</f>
        <v>Negative</v>
      </c>
      <c r="I917" s="207"/>
      <c r="J917" s="50"/>
      <c r="K917" s="50">
        <f>IFERROR(__xludf.DUMMYFUNCTION("""COMPUTED_VALUE"""),2.0)</f>
        <v>2</v>
      </c>
      <c r="L917" s="6"/>
      <c r="M917" s="55"/>
      <c r="N917" s="55">
        <f>IFERROR(__xludf.DUMMYFUNCTION("""COMPUTED_VALUE"""),1.0)</f>
        <v>1</v>
      </c>
      <c r="O917" s="55" t="str">
        <f t="shared" si="3"/>
        <v/>
      </c>
      <c r="P917" s="209"/>
      <c r="Q917" s="75" t="b">
        <f>VLOOKUP($B917,'Run Reconcile'!B$2:P1679,15,FALSE)</f>
        <v>1</v>
      </c>
      <c r="R917" s="211" t="str">
        <f t="array" ref="R917">IF($Q917, INDEX('Run Reconcile'!A$2:A1679,MATCH(B917,'Run Reconcile'!B$2:B1679,0),1),IFERROR(0/0,""))</f>
        <v>RUN-COMB_2022-05-28_RFR-049</v>
      </c>
      <c r="S917" s="165" t="str">
        <f t="shared" ref="S917:T917" si="1833">IF(COUNTIF(W$2:W1679, $A917) &gt; 0,TRUE,IFERROR(0/0,""))</f>
        <v/>
      </c>
      <c r="T917" s="165" t="str">
        <f t="shared" si="1833"/>
        <v/>
      </c>
      <c r="U917" s="147" t="str">
        <f t="array" ref="U917">IF(ISBLANK($R917), IF($S917,VLOOKUP($B917+1,'RFR Data - preExcl'!$BF$2:$BG1679,2,FALSE),IF($T917,INDEX('RFR Data - preExcl'!$BF$2:$BG1679,MATCH($B917,'RFR Data - preExcl'!$BF$2:$BF1679,0)+1,2),VLOOKUP($B917,'RFR Data - preExcl'!$BF$2:$BG1679,2,FALSE))),IFERROR(0/0,""))</f>
        <v/>
      </c>
      <c r="V917" s="212" t="str">
        <f t="shared" si="5"/>
        <v>RUN-COMB_2022-05-28_RFR-049</v>
      </c>
      <c r="W917" s="51"/>
      <c r="X917" s="51"/>
      <c r="Y917" s="147" t="str">
        <f t="shared" ref="Y917:Z917" si="1834">IF(_xlfn.ISFORMULA(S917),IFERROR(0/0,""),TRUE)</f>
        <v/>
      </c>
      <c r="Z917" s="147" t="str">
        <f t="shared" si="1834"/>
        <v/>
      </c>
    </row>
    <row r="918">
      <c r="A918" s="6" t="str">
        <f>IFERROR(__xludf.DUMMYFUNCTION("""COMPUTED_VALUE"""),"FM1954")</f>
        <v>FM1954</v>
      </c>
      <c r="B918" s="206">
        <f>IFERROR(__xludf.DUMMYFUNCTION("""COMPUTED_VALUE"""),44709.0)</f>
        <v>44709</v>
      </c>
      <c r="C918" s="207">
        <f>IFERROR(__xludf.DUMMYFUNCTION("""COMPUTED_VALUE"""),0.29465277777777776)</f>
        <v>0.2946527778</v>
      </c>
      <c r="D918" s="50"/>
      <c r="E918" s="58"/>
      <c r="F918" s="58"/>
      <c r="G918" s="58" t="str">
        <f>IFERROR(__xludf.DUMMYFUNCTION("""COMPUTED_VALUE"""),"Null")</f>
        <v>Null</v>
      </c>
      <c r="H918" s="206" t="str">
        <f>IFERROR(__xludf.DUMMYFUNCTION("""COMPUTED_VALUE"""),"Negative")</f>
        <v>Negative</v>
      </c>
      <c r="I918" s="207"/>
      <c r="J918" s="50"/>
      <c r="K918" s="50">
        <f>IFERROR(__xludf.DUMMYFUNCTION("""COMPUTED_VALUE"""),2.0)</f>
        <v>2</v>
      </c>
      <c r="L918" s="6"/>
      <c r="M918" s="55"/>
      <c r="N918" s="55">
        <f>IFERROR(__xludf.DUMMYFUNCTION("""COMPUTED_VALUE"""),1.0)</f>
        <v>1</v>
      </c>
      <c r="O918" s="55" t="str">
        <f t="shared" si="3"/>
        <v/>
      </c>
      <c r="P918" s="209"/>
      <c r="Q918" s="75" t="b">
        <f>VLOOKUP($B918,'Run Reconcile'!B$2:P1679,15,FALSE)</f>
        <v>1</v>
      </c>
      <c r="R918" s="211" t="str">
        <f t="array" ref="R918">IF($Q918, INDEX('Run Reconcile'!A$2:A1679,MATCH(B918,'Run Reconcile'!B$2:B1679,0),1),IFERROR(0/0,""))</f>
        <v>RUN-COMB_2022-05-28_RFR-049</v>
      </c>
      <c r="S918" s="165" t="str">
        <f t="shared" ref="S918:T918" si="1835">IF(COUNTIF(W$2:W1679, $A918) &gt; 0,TRUE,IFERROR(0/0,""))</f>
        <v/>
      </c>
      <c r="T918" s="165" t="str">
        <f t="shared" si="1835"/>
        <v/>
      </c>
      <c r="U918" s="147" t="str">
        <f t="array" ref="U918">IF(ISBLANK($R918), IF($S918,VLOOKUP($B918+1,'RFR Data - preExcl'!$BF$2:$BG1679,2,FALSE),IF($T918,INDEX('RFR Data - preExcl'!$BF$2:$BG1679,MATCH($B918,'RFR Data - preExcl'!$BF$2:$BF1679,0)+1,2),VLOOKUP($B918,'RFR Data - preExcl'!$BF$2:$BG1679,2,FALSE))),IFERROR(0/0,""))</f>
        <v/>
      </c>
      <c r="V918" s="212" t="str">
        <f t="shared" si="5"/>
        <v>RUN-COMB_2022-05-28_RFR-049</v>
      </c>
      <c r="W918" s="51"/>
      <c r="X918" s="51"/>
      <c r="Y918" s="147" t="str">
        <f t="shared" ref="Y918:Z918" si="1836">IF(_xlfn.ISFORMULA(S918),IFERROR(0/0,""),TRUE)</f>
        <v/>
      </c>
      <c r="Z918" s="147" t="str">
        <f t="shared" si="1836"/>
        <v/>
      </c>
    </row>
    <row r="919">
      <c r="A919" s="6" t="str">
        <f>IFERROR(__xludf.DUMMYFUNCTION("""COMPUTED_VALUE"""),"FM1970")</f>
        <v>FM1970</v>
      </c>
      <c r="B919" s="206">
        <f>IFERROR(__xludf.DUMMYFUNCTION("""COMPUTED_VALUE"""),44709.0)</f>
        <v>44709</v>
      </c>
      <c r="C919" s="207">
        <f>IFERROR(__xludf.DUMMYFUNCTION("""COMPUTED_VALUE"""),0.3008101851851852)</f>
        <v>0.3008101852</v>
      </c>
      <c r="D919" s="50"/>
      <c r="E919" s="58"/>
      <c r="F919" s="58"/>
      <c r="G919" s="58" t="str">
        <f>IFERROR(__xludf.DUMMYFUNCTION("""COMPUTED_VALUE"""),"Null")</f>
        <v>Null</v>
      </c>
      <c r="H919" s="206" t="str">
        <f>IFERROR(__xludf.DUMMYFUNCTION("""COMPUTED_VALUE"""),"Negative")</f>
        <v>Negative</v>
      </c>
      <c r="I919" s="207"/>
      <c r="J919" s="50"/>
      <c r="K919" s="50">
        <f>IFERROR(__xludf.DUMMYFUNCTION("""COMPUTED_VALUE"""),2.0)</f>
        <v>2</v>
      </c>
      <c r="L919" s="6"/>
      <c r="M919" s="55"/>
      <c r="N919" s="55">
        <f>IFERROR(__xludf.DUMMYFUNCTION("""COMPUTED_VALUE"""),1.0)</f>
        <v>1</v>
      </c>
      <c r="O919" s="55" t="str">
        <f t="shared" si="3"/>
        <v/>
      </c>
      <c r="P919" s="209"/>
      <c r="Q919" s="75" t="b">
        <f>VLOOKUP($B919,'Run Reconcile'!B$2:P1679,15,FALSE)</f>
        <v>1</v>
      </c>
      <c r="R919" s="211" t="str">
        <f t="array" ref="R919">IF($Q919, INDEX('Run Reconcile'!A$2:A1679,MATCH(B919,'Run Reconcile'!B$2:B1679,0),1),IFERROR(0/0,""))</f>
        <v>RUN-COMB_2022-05-28_RFR-049</v>
      </c>
      <c r="S919" s="165" t="str">
        <f t="shared" ref="S919:T919" si="1837">IF(COUNTIF(W$2:W1679, $A919) &gt; 0,TRUE,IFERROR(0/0,""))</f>
        <v/>
      </c>
      <c r="T919" s="165" t="str">
        <f t="shared" si="1837"/>
        <v/>
      </c>
      <c r="U919" s="147" t="str">
        <f t="array" ref="U919">IF(ISBLANK($R919), IF($S919,VLOOKUP($B919+1,'RFR Data - preExcl'!$BF$2:$BG1679,2,FALSE),IF($T919,INDEX('RFR Data - preExcl'!$BF$2:$BG1679,MATCH($B919,'RFR Data - preExcl'!$BF$2:$BF1679,0)+1,2),VLOOKUP($B919,'RFR Data - preExcl'!$BF$2:$BG1679,2,FALSE))),IFERROR(0/0,""))</f>
        <v/>
      </c>
      <c r="V919" s="212" t="str">
        <f t="shared" si="5"/>
        <v>RUN-COMB_2022-05-28_RFR-049</v>
      </c>
      <c r="W919" s="51"/>
      <c r="X919" s="51"/>
      <c r="Y919" s="147" t="str">
        <f t="shared" ref="Y919:Z919" si="1838">IF(_xlfn.ISFORMULA(S919),IFERROR(0/0,""),TRUE)</f>
        <v/>
      </c>
      <c r="Z919" s="147" t="str">
        <f t="shared" si="1838"/>
        <v/>
      </c>
    </row>
    <row r="920">
      <c r="A920" s="6" t="str">
        <f>IFERROR(__xludf.DUMMYFUNCTION("""COMPUTED_VALUE"""),"FM1931")</f>
        <v>FM1931</v>
      </c>
      <c r="B920" s="206">
        <f>IFERROR(__xludf.DUMMYFUNCTION("""COMPUTED_VALUE"""),44709.0)</f>
        <v>44709</v>
      </c>
      <c r="C920" s="207">
        <f>IFERROR(__xludf.DUMMYFUNCTION("""COMPUTED_VALUE"""),0.30221064814814813)</f>
        <v>0.3022106481</v>
      </c>
      <c r="D920" s="50"/>
      <c r="E920" s="58"/>
      <c r="F920" s="58"/>
      <c r="G920" s="58" t="str">
        <f>IFERROR(__xludf.DUMMYFUNCTION("""COMPUTED_VALUE"""),"Null")</f>
        <v>Null</v>
      </c>
      <c r="H920" s="206" t="str">
        <f>IFERROR(__xludf.DUMMYFUNCTION("""COMPUTED_VALUE"""),"Negative")</f>
        <v>Negative</v>
      </c>
      <c r="I920" s="207"/>
      <c r="J920" s="50"/>
      <c r="K920" s="50">
        <f>IFERROR(__xludf.DUMMYFUNCTION("""COMPUTED_VALUE"""),2.0)</f>
        <v>2</v>
      </c>
      <c r="L920" s="6"/>
      <c r="M920" s="55"/>
      <c r="N920" s="55">
        <f>IFERROR(__xludf.DUMMYFUNCTION("""COMPUTED_VALUE"""),1.0)</f>
        <v>1</v>
      </c>
      <c r="O920" s="55" t="str">
        <f t="shared" si="3"/>
        <v/>
      </c>
      <c r="P920" s="209"/>
      <c r="Q920" s="75" t="b">
        <f>VLOOKUP($B920,'Run Reconcile'!B$2:P1679,15,FALSE)</f>
        <v>1</v>
      </c>
      <c r="R920" s="211" t="str">
        <f t="array" ref="R920">IF($Q920, INDEX('Run Reconcile'!A$2:A1679,MATCH(B920,'Run Reconcile'!B$2:B1679,0),1),IFERROR(0/0,""))</f>
        <v>RUN-COMB_2022-05-28_RFR-049</v>
      </c>
      <c r="S920" s="165" t="str">
        <f t="shared" ref="S920:T920" si="1839">IF(COUNTIF(W$2:W1679, $A920) &gt; 0,TRUE,IFERROR(0/0,""))</f>
        <v/>
      </c>
      <c r="T920" s="165" t="str">
        <f t="shared" si="1839"/>
        <v/>
      </c>
      <c r="U920" s="147" t="str">
        <f t="array" ref="U920">IF(ISBLANK($R920), IF($S920,VLOOKUP($B920+1,'RFR Data - preExcl'!$BF$2:$BG1679,2,FALSE),IF($T920,INDEX('RFR Data - preExcl'!$BF$2:$BG1679,MATCH($B920,'RFR Data - preExcl'!$BF$2:$BF1679,0)+1,2),VLOOKUP($B920,'RFR Data - preExcl'!$BF$2:$BG1679,2,FALSE))),IFERROR(0/0,""))</f>
        <v/>
      </c>
      <c r="V920" s="212" t="str">
        <f t="shared" si="5"/>
        <v>RUN-COMB_2022-05-28_RFR-049</v>
      </c>
      <c r="W920" s="51"/>
      <c r="X920" s="51"/>
      <c r="Y920" s="147" t="str">
        <f t="shared" ref="Y920:Z920" si="1840">IF(_xlfn.ISFORMULA(S920),IFERROR(0/0,""),TRUE)</f>
        <v/>
      </c>
      <c r="Z920" s="147" t="str">
        <f t="shared" si="1840"/>
        <v/>
      </c>
    </row>
    <row r="921">
      <c r="A921" s="6" t="str">
        <f>IFERROR(__xludf.DUMMYFUNCTION("""COMPUTED_VALUE"""),"FM1952")</f>
        <v>FM1952</v>
      </c>
      <c r="B921" s="206">
        <f>IFERROR(__xludf.DUMMYFUNCTION("""COMPUTED_VALUE"""),44709.0)</f>
        <v>44709</v>
      </c>
      <c r="C921" s="207">
        <f>IFERROR(__xludf.DUMMYFUNCTION("""COMPUTED_VALUE"""),0.3028356481481482)</f>
        <v>0.3028356481</v>
      </c>
      <c r="D921" s="50"/>
      <c r="E921" s="58"/>
      <c r="F921" s="58"/>
      <c r="G921" s="58" t="str">
        <f>IFERROR(__xludf.DUMMYFUNCTION("""COMPUTED_VALUE"""),"Null")</f>
        <v>Null</v>
      </c>
      <c r="H921" s="206" t="str">
        <f>IFERROR(__xludf.DUMMYFUNCTION("""COMPUTED_VALUE"""),"Negative")</f>
        <v>Negative</v>
      </c>
      <c r="I921" s="207"/>
      <c r="J921" s="50"/>
      <c r="K921" s="50">
        <f>IFERROR(__xludf.DUMMYFUNCTION("""COMPUTED_VALUE"""),2.0)</f>
        <v>2</v>
      </c>
      <c r="L921" s="6"/>
      <c r="M921" s="55"/>
      <c r="N921" s="55">
        <f>IFERROR(__xludf.DUMMYFUNCTION("""COMPUTED_VALUE"""),1.0)</f>
        <v>1</v>
      </c>
      <c r="O921" s="55" t="str">
        <f t="shared" si="3"/>
        <v/>
      </c>
      <c r="P921" s="209"/>
      <c r="Q921" s="75" t="b">
        <f>VLOOKUP($B921,'Run Reconcile'!B$2:P1679,15,FALSE)</f>
        <v>1</v>
      </c>
      <c r="R921" s="211" t="str">
        <f t="array" ref="R921">IF($Q921, INDEX('Run Reconcile'!A$2:A1679,MATCH(B921,'Run Reconcile'!B$2:B1679,0),1),IFERROR(0/0,""))</f>
        <v>RUN-COMB_2022-05-28_RFR-049</v>
      </c>
      <c r="S921" s="165" t="str">
        <f t="shared" ref="S921:T921" si="1841">IF(COUNTIF(W$2:W1679, $A921) &gt; 0,TRUE,IFERROR(0/0,""))</f>
        <v/>
      </c>
      <c r="T921" s="165" t="str">
        <f t="shared" si="1841"/>
        <v/>
      </c>
      <c r="U921" s="147" t="str">
        <f t="array" ref="U921">IF(ISBLANK($R921), IF($S921,VLOOKUP($B921+1,'RFR Data - preExcl'!$BF$2:$BG1679,2,FALSE),IF($T921,INDEX('RFR Data - preExcl'!$BF$2:$BG1679,MATCH($B921,'RFR Data - preExcl'!$BF$2:$BF1679,0)+1,2),VLOOKUP($B921,'RFR Data - preExcl'!$BF$2:$BG1679,2,FALSE))),IFERROR(0/0,""))</f>
        <v/>
      </c>
      <c r="V921" s="212" t="str">
        <f t="shared" si="5"/>
        <v>RUN-COMB_2022-05-28_RFR-049</v>
      </c>
      <c r="W921" s="51"/>
      <c r="X921" s="51"/>
      <c r="Y921" s="147" t="str">
        <f t="shared" ref="Y921:Z921" si="1842">IF(_xlfn.ISFORMULA(S921),IFERROR(0/0,""),TRUE)</f>
        <v/>
      </c>
      <c r="Z921" s="147" t="str">
        <f t="shared" si="1842"/>
        <v/>
      </c>
    </row>
    <row r="922">
      <c r="A922" s="6" t="str">
        <f>IFERROR(__xludf.DUMMYFUNCTION("""COMPUTED_VALUE"""),"FM846")</f>
        <v>FM846</v>
      </c>
      <c r="B922" s="206">
        <f>IFERROR(__xludf.DUMMYFUNCTION("""COMPUTED_VALUE"""),44709.0)</f>
        <v>44709</v>
      </c>
      <c r="C922" s="207">
        <f>IFERROR(__xludf.DUMMYFUNCTION("""COMPUTED_VALUE"""),0.3040162037037037)</f>
        <v>0.3040162037</v>
      </c>
      <c r="D922" s="50"/>
      <c r="E922" s="58"/>
      <c r="F922" s="58"/>
      <c r="G922" s="58" t="str">
        <f>IFERROR(__xludf.DUMMYFUNCTION("""COMPUTED_VALUE"""),"Null")</f>
        <v>Null</v>
      </c>
      <c r="H922" s="206" t="str">
        <f>IFERROR(__xludf.DUMMYFUNCTION("""COMPUTED_VALUE"""),"Negative")</f>
        <v>Negative</v>
      </c>
      <c r="I922" s="207"/>
      <c r="J922" s="50"/>
      <c r="K922" s="50">
        <f>IFERROR(__xludf.DUMMYFUNCTION("""COMPUTED_VALUE"""),2.0)</f>
        <v>2</v>
      </c>
      <c r="L922" s="6"/>
      <c r="M922" s="55"/>
      <c r="N922" s="55">
        <f>IFERROR(__xludf.DUMMYFUNCTION("""COMPUTED_VALUE"""),1.0)</f>
        <v>1</v>
      </c>
      <c r="O922" s="55" t="str">
        <f t="shared" si="3"/>
        <v/>
      </c>
      <c r="P922" s="209"/>
      <c r="Q922" s="75" t="b">
        <f>VLOOKUP($B922,'Run Reconcile'!B$2:P1679,15,FALSE)</f>
        <v>1</v>
      </c>
      <c r="R922" s="211" t="str">
        <f t="array" ref="R922">IF($Q922, INDEX('Run Reconcile'!A$2:A1679,MATCH(B922,'Run Reconcile'!B$2:B1679,0),1),IFERROR(0/0,""))</f>
        <v>RUN-COMB_2022-05-28_RFR-049</v>
      </c>
      <c r="S922" s="165" t="str">
        <f t="shared" ref="S922:T922" si="1843">IF(COUNTIF(W$2:W1679, $A922) &gt; 0,TRUE,IFERROR(0/0,""))</f>
        <v/>
      </c>
      <c r="T922" s="165" t="str">
        <f t="shared" si="1843"/>
        <v/>
      </c>
      <c r="U922" s="147" t="str">
        <f t="array" ref="U922">IF(ISBLANK($R922), IF($S922,VLOOKUP($B922+1,'RFR Data - preExcl'!$BF$2:$BG1679,2,FALSE),IF($T922,INDEX('RFR Data - preExcl'!$BF$2:$BG1679,MATCH($B922,'RFR Data - preExcl'!$BF$2:$BF1679,0)+1,2),VLOOKUP($B922,'RFR Data - preExcl'!$BF$2:$BG1679,2,FALSE))),IFERROR(0/0,""))</f>
        <v/>
      </c>
      <c r="V922" s="212" t="str">
        <f t="shared" si="5"/>
        <v>RUN-COMB_2022-05-28_RFR-049</v>
      </c>
      <c r="W922" s="51"/>
      <c r="X922" s="51"/>
      <c r="Y922" s="147" t="str">
        <f t="shared" ref="Y922:Z922" si="1844">IF(_xlfn.ISFORMULA(S922),IFERROR(0/0,""),TRUE)</f>
        <v/>
      </c>
      <c r="Z922" s="147" t="str">
        <f t="shared" si="1844"/>
        <v/>
      </c>
    </row>
    <row r="923">
      <c r="A923" s="6" t="str">
        <f>IFERROR(__xludf.DUMMYFUNCTION("""COMPUTED_VALUE"""),"FM2640")</f>
        <v>FM2640</v>
      </c>
      <c r="B923" s="206">
        <f>IFERROR(__xludf.DUMMYFUNCTION("""COMPUTED_VALUE"""),44709.0)</f>
        <v>44709</v>
      </c>
      <c r="C923" s="207">
        <f>IFERROR(__xludf.DUMMYFUNCTION("""COMPUTED_VALUE"""),0.3055439814814815)</f>
        <v>0.3055439815</v>
      </c>
      <c r="D923" s="50"/>
      <c r="E923" s="58"/>
      <c r="F923" s="58"/>
      <c r="G923" s="58" t="str">
        <f>IFERROR(__xludf.DUMMYFUNCTION("""COMPUTED_VALUE"""),"Null")</f>
        <v>Null</v>
      </c>
      <c r="H923" s="206" t="str">
        <f>IFERROR(__xludf.DUMMYFUNCTION("""COMPUTED_VALUE"""),"Negative")</f>
        <v>Negative</v>
      </c>
      <c r="I923" s="207"/>
      <c r="J923" s="50"/>
      <c r="K923" s="50">
        <f>IFERROR(__xludf.DUMMYFUNCTION("""COMPUTED_VALUE"""),2.0)</f>
        <v>2</v>
      </c>
      <c r="L923" s="6"/>
      <c r="M923" s="55"/>
      <c r="N923" s="55">
        <f>IFERROR(__xludf.DUMMYFUNCTION("""COMPUTED_VALUE"""),1.0)</f>
        <v>1</v>
      </c>
      <c r="O923" s="55" t="str">
        <f t="shared" si="3"/>
        <v/>
      </c>
      <c r="P923" s="209"/>
      <c r="Q923" s="75" t="b">
        <f>VLOOKUP($B923,'Run Reconcile'!B$2:P1679,15,FALSE)</f>
        <v>1</v>
      </c>
      <c r="R923" s="211" t="str">
        <f t="array" ref="R923">IF($Q923, INDEX('Run Reconcile'!A$2:A1679,MATCH(B923,'Run Reconcile'!B$2:B1679,0),1),IFERROR(0/0,""))</f>
        <v>RUN-COMB_2022-05-28_RFR-049</v>
      </c>
      <c r="S923" s="165" t="str">
        <f t="shared" ref="S923:T923" si="1845">IF(COUNTIF(W$2:W1679, $A923) &gt; 0,TRUE,IFERROR(0/0,""))</f>
        <v/>
      </c>
      <c r="T923" s="165" t="str">
        <f t="shared" si="1845"/>
        <v/>
      </c>
      <c r="U923" s="147" t="str">
        <f t="array" ref="U923">IF(ISBLANK($R923), IF($S923,VLOOKUP($B923+1,'RFR Data - preExcl'!$BF$2:$BG1679,2,FALSE),IF($T923,INDEX('RFR Data - preExcl'!$BF$2:$BG1679,MATCH($B923,'RFR Data - preExcl'!$BF$2:$BF1679,0)+1,2),VLOOKUP($B923,'RFR Data - preExcl'!$BF$2:$BG1679,2,FALSE))),IFERROR(0/0,""))</f>
        <v/>
      </c>
      <c r="V923" s="212" t="str">
        <f t="shared" si="5"/>
        <v>RUN-COMB_2022-05-28_RFR-049</v>
      </c>
      <c r="W923" s="51"/>
      <c r="X923" s="51"/>
      <c r="Y923" s="147" t="str">
        <f t="shared" ref="Y923:Z923" si="1846">IF(_xlfn.ISFORMULA(S923),IFERROR(0/0,""),TRUE)</f>
        <v/>
      </c>
      <c r="Z923" s="147" t="str">
        <f t="shared" si="1846"/>
        <v/>
      </c>
    </row>
    <row r="924">
      <c r="A924" s="6" t="str">
        <f>IFERROR(__xludf.DUMMYFUNCTION("""COMPUTED_VALUE"""),"FM2588")</f>
        <v>FM2588</v>
      </c>
      <c r="B924" s="206">
        <f>IFERROR(__xludf.DUMMYFUNCTION("""COMPUTED_VALUE"""),44709.0)</f>
        <v>44709</v>
      </c>
      <c r="C924" s="207">
        <f>IFERROR(__xludf.DUMMYFUNCTION("""COMPUTED_VALUE"""),0.30645833333333333)</f>
        <v>0.3064583333</v>
      </c>
      <c r="D924" s="50"/>
      <c r="E924" s="58"/>
      <c r="F924" s="58"/>
      <c r="G924" s="58" t="str">
        <f>IFERROR(__xludf.DUMMYFUNCTION("""COMPUTED_VALUE"""),"Null")</f>
        <v>Null</v>
      </c>
      <c r="H924" s="206" t="str">
        <f>IFERROR(__xludf.DUMMYFUNCTION("""COMPUTED_VALUE"""),"Negative")</f>
        <v>Negative</v>
      </c>
      <c r="I924" s="207"/>
      <c r="J924" s="50"/>
      <c r="K924" s="50">
        <f>IFERROR(__xludf.DUMMYFUNCTION("""COMPUTED_VALUE"""),2.0)</f>
        <v>2</v>
      </c>
      <c r="L924" s="6"/>
      <c r="M924" s="55"/>
      <c r="N924" s="55">
        <f>IFERROR(__xludf.DUMMYFUNCTION("""COMPUTED_VALUE"""),1.0)</f>
        <v>1</v>
      </c>
      <c r="O924" s="55" t="str">
        <f t="shared" si="3"/>
        <v/>
      </c>
      <c r="P924" s="209"/>
      <c r="Q924" s="75" t="b">
        <f>VLOOKUP($B924,'Run Reconcile'!B$2:P1679,15,FALSE)</f>
        <v>1</v>
      </c>
      <c r="R924" s="211" t="str">
        <f t="array" ref="R924">IF($Q924, INDEX('Run Reconcile'!A$2:A1679,MATCH(B924,'Run Reconcile'!B$2:B1679,0),1),IFERROR(0/0,""))</f>
        <v>RUN-COMB_2022-05-28_RFR-049</v>
      </c>
      <c r="S924" s="165" t="str">
        <f t="shared" ref="S924:T924" si="1847">IF(COUNTIF(W$2:W1679, $A924) &gt; 0,TRUE,IFERROR(0/0,""))</f>
        <v/>
      </c>
      <c r="T924" s="165" t="str">
        <f t="shared" si="1847"/>
        <v/>
      </c>
      <c r="U924" s="147" t="str">
        <f t="array" ref="U924">IF(ISBLANK($R924), IF($S924,VLOOKUP($B924+1,'RFR Data - preExcl'!$BF$2:$BG1679,2,FALSE),IF($T924,INDEX('RFR Data - preExcl'!$BF$2:$BG1679,MATCH($B924,'RFR Data - preExcl'!$BF$2:$BF1679,0)+1,2),VLOOKUP($B924,'RFR Data - preExcl'!$BF$2:$BG1679,2,FALSE))),IFERROR(0/0,""))</f>
        <v/>
      </c>
      <c r="V924" s="212" t="str">
        <f t="shared" si="5"/>
        <v>RUN-COMB_2022-05-28_RFR-049</v>
      </c>
      <c r="W924" s="51"/>
      <c r="X924" s="51"/>
      <c r="Y924" s="147" t="str">
        <f t="shared" ref="Y924:Z924" si="1848">IF(_xlfn.ISFORMULA(S924),IFERROR(0/0,""),TRUE)</f>
        <v/>
      </c>
      <c r="Z924" s="147" t="str">
        <f t="shared" si="1848"/>
        <v/>
      </c>
    </row>
    <row r="925">
      <c r="A925" s="6" t="str">
        <f>IFERROR(__xludf.DUMMYFUNCTION("""COMPUTED_VALUE"""),"FM2650")</f>
        <v>FM2650</v>
      </c>
      <c r="B925" s="206">
        <f>IFERROR(__xludf.DUMMYFUNCTION("""COMPUTED_VALUE"""),44709.0)</f>
        <v>44709</v>
      </c>
      <c r="C925" s="207">
        <f>IFERROR(__xludf.DUMMYFUNCTION("""COMPUTED_VALUE"""),0.30723379629629627)</f>
        <v>0.3072337963</v>
      </c>
      <c r="D925" s="50"/>
      <c r="E925" s="58"/>
      <c r="F925" s="58"/>
      <c r="G925" s="58" t="str">
        <f>IFERROR(__xludf.DUMMYFUNCTION("""COMPUTED_VALUE"""),"Null")</f>
        <v>Null</v>
      </c>
      <c r="H925" s="206" t="str">
        <f>IFERROR(__xludf.DUMMYFUNCTION("""COMPUTED_VALUE"""),"Negative")</f>
        <v>Negative</v>
      </c>
      <c r="I925" s="207"/>
      <c r="J925" s="50"/>
      <c r="K925" s="50">
        <f>IFERROR(__xludf.DUMMYFUNCTION("""COMPUTED_VALUE"""),2.0)</f>
        <v>2</v>
      </c>
      <c r="L925" s="6"/>
      <c r="M925" s="55"/>
      <c r="N925" s="55">
        <f>IFERROR(__xludf.DUMMYFUNCTION("""COMPUTED_VALUE"""),1.0)</f>
        <v>1</v>
      </c>
      <c r="O925" s="55" t="str">
        <f t="shared" si="3"/>
        <v/>
      </c>
      <c r="P925" s="209"/>
      <c r="Q925" s="75" t="b">
        <f>VLOOKUP($B925,'Run Reconcile'!B$2:P1679,15,FALSE)</f>
        <v>1</v>
      </c>
      <c r="R925" s="211" t="str">
        <f t="array" ref="R925">IF($Q925, INDEX('Run Reconcile'!A$2:A1679,MATCH(B925,'Run Reconcile'!B$2:B1679,0),1),IFERROR(0/0,""))</f>
        <v>RUN-COMB_2022-05-28_RFR-049</v>
      </c>
      <c r="S925" s="165" t="str">
        <f t="shared" ref="S925:T925" si="1849">IF(COUNTIF(W$2:W1679, $A925) &gt; 0,TRUE,IFERROR(0/0,""))</f>
        <v/>
      </c>
      <c r="T925" s="165" t="str">
        <f t="shared" si="1849"/>
        <v/>
      </c>
      <c r="U925" s="147" t="str">
        <f t="array" ref="U925">IF(ISBLANK($R925), IF($S925,VLOOKUP($B925+1,'RFR Data - preExcl'!$BF$2:$BG1679,2,FALSE),IF($T925,INDEX('RFR Data - preExcl'!$BF$2:$BG1679,MATCH($B925,'RFR Data - preExcl'!$BF$2:$BF1679,0)+1,2),VLOOKUP($B925,'RFR Data - preExcl'!$BF$2:$BG1679,2,FALSE))),IFERROR(0/0,""))</f>
        <v/>
      </c>
      <c r="V925" s="212" t="str">
        <f t="shared" si="5"/>
        <v>RUN-COMB_2022-05-28_RFR-049</v>
      </c>
      <c r="W925" s="51"/>
      <c r="X925" s="51"/>
      <c r="Y925" s="147" t="str">
        <f t="shared" ref="Y925:Z925" si="1850">IF(_xlfn.ISFORMULA(S925),IFERROR(0/0,""),TRUE)</f>
        <v/>
      </c>
      <c r="Z925" s="147" t="str">
        <f t="shared" si="1850"/>
        <v/>
      </c>
    </row>
    <row r="926">
      <c r="A926" s="6" t="str">
        <f>IFERROR(__xludf.DUMMYFUNCTION("""COMPUTED_VALUE"""),"FM2603")</f>
        <v>FM2603</v>
      </c>
      <c r="B926" s="206">
        <f>IFERROR(__xludf.DUMMYFUNCTION("""COMPUTED_VALUE"""),44709.0)</f>
        <v>44709</v>
      </c>
      <c r="C926" s="207">
        <f>IFERROR(__xludf.DUMMYFUNCTION("""COMPUTED_VALUE"""),0.30949074074074073)</f>
        <v>0.3094907407</v>
      </c>
      <c r="D926" s="50"/>
      <c r="E926" s="58"/>
      <c r="F926" s="58"/>
      <c r="G926" s="58" t="str">
        <f>IFERROR(__xludf.DUMMYFUNCTION("""COMPUTED_VALUE"""),"Null")</f>
        <v>Null</v>
      </c>
      <c r="H926" s="206" t="str">
        <f>IFERROR(__xludf.DUMMYFUNCTION("""COMPUTED_VALUE"""),"Negative")</f>
        <v>Negative</v>
      </c>
      <c r="I926" s="207"/>
      <c r="J926" s="50"/>
      <c r="K926" s="50">
        <f>IFERROR(__xludf.DUMMYFUNCTION("""COMPUTED_VALUE"""),2.0)</f>
        <v>2</v>
      </c>
      <c r="L926" s="6"/>
      <c r="M926" s="55"/>
      <c r="N926" s="55">
        <f>IFERROR(__xludf.DUMMYFUNCTION("""COMPUTED_VALUE"""),1.0)</f>
        <v>1</v>
      </c>
      <c r="O926" s="55" t="str">
        <f t="shared" si="3"/>
        <v/>
      </c>
      <c r="P926" s="209"/>
      <c r="Q926" s="75" t="b">
        <f>VLOOKUP($B926,'Run Reconcile'!B$2:P1679,15,FALSE)</f>
        <v>1</v>
      </c>
      <c r="R926" s="211" t="str">
        <f t="array" ref="R926">IF($Q926, INDEX('Run Reconcile'!A$2:A1679,MATCH(B926,'Run Reconcile'!B$2:B1679,0),1),IFERROR(0/0,""))</f>
        <v>RUN-COMB_2022-05-28_RFR-049</v>
      </c>
      <c r="S926" s="165" t="str">
        <f t="shared" ref="S926:T926" si="1851">IF(COUNTIF(W$2:W1679, $A926) &gt; 0,TRUE,IFERROR(0/0,""))</f>
        <v/>
      </c>
      <c r="T926" s="165" t="str">
        <f t="shared" si="1851"/>
        <v/>
      </c>
      <c r="U926" s="147" t="str">
        <f t="array" ref="U926">IF(ISBLANK($R926), IF($S926,VLOOKUP($B926+1,'RFR Data - preExcl'!$BF$2:$BG1679,2,FALSE),IF($T926,INDEX('RFR Data - preExcl'!$BF$2:$BG1679,MATCH($B926,'RFR Data - preExcl'!$BF$2:$BF1679,0)+1,2),VLOOKUP($B926,'RFR Data - preExcl'!$BF$2:$BG1679,2,FALSE))),IFERROR(0/0,""))</f>
        <v/>
      </c>
      <c r="V926" s="212" t="str">
        <f t="shared" si="5"/>
        <v>RUN-COMB_2022-05-28_RFR-049</v>
      </c>
      <c r="W926" s="51"/>
      <c r="X926" s="51"/>
      <c r="Y926" s="147" t="str">
        <f t="shared" ref="Y926:Z926" si="1852">IF(_xlfn.ISFORMULA(S926),IFERROR(0/0,""),TRUE)</f>
        <v/>
      </c>
      <c r="Z926" s="147" t="str">
        <f t="shared" si="1852"/>
        <v/>
      </c>
    </row>
    <row r="927">
      <c r="A927" s="6" t="str">
        <f>IFERROR(__xludf.DUMMYFUNCTION("""COMPUTED_VALUE"""),"FM2612")</f>
        <v>FM2612</v>
      </c>
      <c r="B927" s="206">
        <f>IFERROR(__xludf.DUMMYFUNCTION("""COMPUTED_VALUE"""),44710.0)</f>
        <v>44710</v>
      </c>
      <c r="C927" s="207">
        <f>IFERROR(__xludf.DUMMYFUNCTION("""COMPUTED_VALUE"""),0.2740740740740741)</f>
        <v>0.2740740741</v>
      </c>
      <c r="D927" s="50"/>
      <c r="E927" s="58"/>
      <c r="F927" s="58"/>
      <c r="G927" s="58" t="str">
        <f>IFERROR(__xludf.DUMMYFUNCTION("""COMPUTED_VALUE"""),"Null")</f>
        <v>Null</v>
      </c>
      <c r="H927" s="206" t="str">
        <f>IFERROR(__xludf.DUMMYFUNCTION("""COMPUTED_VALUE"""),"Negative")</f>
        <v>Negative</v>
      </c>
      <c r="I927" s="207"/>
      <c r="J927" s="50"/>
      <c r="K927" s="50">
        <f>IFERROR(__xludf.DUMMYFUNCTION("""COMPUTED_VALUE"""),2.0)</f>
        <v>2</v>
      </c>
      <c r="L927" s="6"/>
      <c r="M927" s="55"/>
      <c r="N927" s="55">
        <f>IFERROR(__xludf.DUMMYFUNCTION("""COMPUTED_VALUE"""),1.0)</f>
        <v>1</v>
      </c>
      <c r="O927" s="55" t="b">
        <f t="shared" si="3"/>
        <v>1</v>
      </c>
      <c r="P927" s="209"/>
      <c r="Q927" s="75" t="b">
        <f>VLOOKUP($B927,'Run Reconcile'!B$2:P1679,15,FALSE)</f>
        <v>1</v>
      </c>
      <c r="R927" s="211" t="str">
        <f t="array" ref="R927">IF($Q927, INDEX('Run Reconcile'!A$2:A1679,MATCH(B927,'Run Reconcile'!B$2:B1679,0),1),IFERROR(0/0,""))</f>
        <v>RUN-COMB_2022-05-29_RFR-050</v>
      </c>
      <c r="S927" s="165" t="str">
        <f t="shared" ref="S927:T927" si="1853">IF(COUNTIF(W$2:W1679, $A927) &gt; 0,TRUE,IFERROR(0/0,""))</f>
        <v/>
      </c>
      <c r="T927" s="165" t="str">
        <f t="shared" si="1853"/>
        <v/>
      </c>
      <c r="U927" s="147" t="str">
        <f t="array" ref="U927">IF(ISBLANK($R927), IF($S927,VLOOKUP($B927+1,'RFR Data - preExcl'!$BF$2:$BG1679,2,FALSE),IF($T927,INDEX('RFR Data - preExcl'!$BF$2:$BG1679,MATCH($B927,'RFR Data - preExcl'!$BF$2:$BF1679,0)+1,2),VLOOKUP($B927,'RFR Data - preExcl'!$BF$2:$BG1679,2,FALSE))),IFERROR(0/0,""))</f>
        <v/>
      </c>
      <c r="V927" s="212" t="str">
        <f t="shared" si="5"/>
        <v>RUN-COMB_2022-05-29_RFR-050</v>
      </c>
      <c r="W927" s="51"/>
      <c r="X927" s="51"/>
      <c r="Y927" s="147" t="str">
        <f t="shared" ref="Y927:Z927" si="1854">IF(_xlfn.ISFORMULA(S927),IFERROR(0/0,""),TRUE)</f>
        <v/>
      </c>
      <c r="Z927" s="147" t="str">
        <f t="shared" si="1854"/>
        <v/>
      </c>
    </row>
    <row r="928">
      <c r="A928" s="6" t="str">
        <f>IFERROR(__xludf.DUMMYFUNCTION("""COMPUTED_VALUE"""),"FM2658")</f>
        <v>FM2658</v>
      </c>
      <c r="B928" s="206">
        <f>IFERROR(__xludf.DUMMYFUNCTION("""COMPUTED_VALUE"""),44710.0)</f>
        <v>44710</v>
      </c>
      <c r="C928" s="207">
        <f>IFERROR(__xludf.DUMMYFUNCTION("""COMPUTED_VALUE"""),0.27444444444444444)</f>
        <v>0.2744444444</v>
      </c>
      <c r="D928" s="50"/>
      <c r="E928" s="58"/>
      <c r="F928" s="58"/>
      <c r="G928" s="58" t="str">
        <f>IFERROR(__xludf.DUMMYFUNCTION("""COMPUTED_VALUE"""),"Null")</f>
        <v>Null</v>
      </c>
      <c r="H928" s="206" t="str">
        <f>IFERROR(__xludf.DUMMYFUNCTION("""COMPUTED_VALUE"""),"Negative")</f>
        <v>Negative</v>
      </c>
      <c r="I928" s="207"/>
      <c r="J928" s="50"/>
      <c r="K928" s="50">
        <f>IFERROR(__xludf.DUMMYFUNCTION("""COMPUTED_VALUE"""),2.0)</f>
        <v>2</v>
      </c>
      <c r="L928" s="6"/>
      <c r="M928" s="55"/>
      <c r="N928" s="55">
        <f>IFERROR(__xludf.DUMMYFUNCTION("""COMPUTED_VALUE"""),1.0)</f>
        <v>1</v>
      </c>
      <c r="O928" s="55" t="str">
        <f t="shared" si="3"/>
        <v/>
      </c>
      <c r="P928" s="209"/>
      <c r="Q928" s="75" t="b">
        <f>VLOOKUP($B928,'Run Reconcile'!B$2:P1679,15,FALSE)</f>
        <v>1</v>
      </c>
      <c r="R928" s="211" t="str">
        <f t="array" ref="R928">IF($Q928, INDEX('Run Reconcile'!A$2:A1679,MATCH(B928,'Run Reconcile'!B$2:B1679,0),1),IFERROR(0/0,""))</f>
        <v>RUN-COMB_2022-05-29_RFR-050</v>
      </c>
      <c r="S928" s="165" t="str">
        <f t="shared" ref="S928:T928" si="1855">IF(COUNTIF(W$2:W1679, $A928) &gt; 0,TRUE,IFERROR(0/0,""))</f>
        <v/>
      </c>
      <c r="T928" s="165" t="str">
        <f t="shared" si="1855"/>
        <v/>
      </c>
      <c r="U928" s="147" t="str">
        <f t="array" ref="U928">IF(ISBLANK($R928), IF($S928,VLOOKUP($B928+1,'RFR Data - preExcl'!$BF$2:$BG1679,2,FALSE),IF($T928,INDEX('RFR Data - preExcl'!$BF$2:$BG1679,MATCH($B928,'RFR Data - preExcl'!$BF$2:$BF1679,0)+1,2),VLOOKUP($B928,'RFR Data - preExcl'!$BF$2:$BG1679,2,FALSE))),IFERROR(0/0,""))</f>
        <v/>
      </c>
      <c r="V928" s="212" t="str">
        <f t="shared" si="5"/>
        <v>RUN-COMB_2022-05-29_RFR-050</v>
      </c>
      <c r="W928" s="51"/>
      <c r="X928" s="51"/>
      <c r="Y928" s="147" t="str">
        <f t="shared" ref="Y928:Z928" si="1856">IF(_xlfn.ISFORMULA(S928),IFERROR(0/0,""),TRUE)</f>
        <v/>
      </c>
      <c r="Z928" s="147" t="str">
        <f t="shared" si="1856"/>
        <v/>
      </c>
    </row>
    <row r="929">
      <c r="A929" s="6" t="str">
        <f>IFERROR(__xludf.DUMMYFUNCTION("""COMPUTED_VALUE"""),"FM2624")</f>
        <v>FM2624</v>
      </c>
      <c r="B929" s="206">
        <f>IFERROR(__xludf.DUMMYFUNCTION("""COMPUTED_VALUE"""),44710.0)</f>
        <v>44710</v>
      </c>
      <c r="C929" s="207">
        <f>IFERROR(__xludf.DUMMYFUNCTION("""COMPUTED_VALUE"""),0.27480324074074075)</f>
        <v>0.2748032407</v>
      </c>
      <c r="D929" s="50"/>
      <c r="E929" s="58"/>
      <c r="F929" s="58"/>
      <c r="G929" s="58" t="str">
        <f>IFERROR(__xludf.DUMMYFUNCTION("""COMPUTED_VALUE"""),"Null")</f>
        <v>Null</v>
      </c>
      <c r="H929" s="206" t="str">
        <f>IFERROR(__xludf.DUMMYFUNCTION("""COMPUTED_VALUE"""),"Negative")</f>
        <v>Negative</v>
      </c>
      <c r="I929" s="207"/>
      <c r="J929" s="50"/>
      <c r="K929" s="50">
        <f>IFERROR(__xludf.DUMMYFUNCTION("""COMPUTED_VALUE"""),2.0)</f>
        <v>2</v>
      </c>
      <c r="L929" s="6"/>
      <c r="M929" s="55"/>
      <c r="N929" s="55">
        <f>IFERROR(__xludf.DUMMYFUNCTION("""COMPUTED_VALUE"""),1.0)</f>
        <v>1</v>
      </c>
      <c r="O929" s="55" t="str">
        <f t="shared" si="3"/>
        <v/>
      </c>
      <c r="P929" s="209"/>
      <c r="Q929" s="75" t="b">
        <f>VLOOKUP($B929,'Run Reconcile'!B$2:P1679,15,FALSE)</f>
        <v>1</v>
      </c>
      <c r="R929" s="211" t="str">
        <f t="array" ref="R929">IF($Q929, INDEX('Run Reconcile'!A$2:A1679,MATCH(B929,'Run Reconcile'!B$2:B1679,0),1),IFERROR(0/0,""))</f>
        <v>RUN-COMB_2022-05-29_RFR-050</v>
      </c>
      <c r="S929" s="165" t="str">
        <f t="shared" ref="S929:T929" si="1857">IF(COUNTIF(W$2:W1679, $A929) &gt; 0,TRUE,IFERROR(0/0,""))</f>
        <v/>
      </c>
      <c r="T929" s="165" t="str">
        <f t="shared" si="1857"/>
        <v/>
      </c>
      <c r="U929" s="147" t="str">
        <f t="array" ref="U929">IF(ISBLANK($R929), IF($S929,VLOOKUP($B929+1,'RFR Data - preExcl'!$BF$2:$BG1679,2,FALSE),IF($T929,INDEX('RFR Data - preExcl'!$BF$2:$BG1679,MATCH($B929,'RFR Data - preExcl'!$BF$2:$BF1679,0)+1,2),VLOOKUP($B929,'RFR Data - preExcl'!$BF$2:$BG1679,2,FALSE))),IFERROR(0/0,""))</f>
        <v/>
      </c>
      <c r="V929" s="212" t="str">
        <f t="shared" si="5"/>
        <v>RUN-COMB_2022-05-29_RFR-050</v>
      </c>
      <c r="W929" s="51"/>
      <c r="X929" s="51"/>
      <c r="Y929" s="147" t="str">
        <f t="shared" ref="Y929:Z929" si="1858">IF(_xlfn.ISFORMULA(S929),IFERROR(0/0,""),TRUE)</f>
        <v/>
      </c>
      <c r="Z929" s="147" t="str">
        <f t="shared" si="1858"/>
        <v/>
      </c>
    </row>
    <row r="930">
      <c r="A930" s="6" t="str">
        <f>IFERROR(__xludf.DUMMYFUNCTION("""COMPUTED_VALUE"""),"FM2678")</f>
        <v>FM2678</v>
      </c>
      <c r="B930" s="206">
        <f>IFERROR(__xludf.DUMMYFUNCTION("""COMPUTED_VALUE"""),44710.0)</f>
        <v>44710</v>
      </c>
      <c r="C930" s="207">
        <f>IFERROR(__xludf.DUMMYFUNCTION("""COMPUTED_VALUE"""),0.2751851851851852)</f>
        <v>0.2751851852</v>
      </c>
      <c r="D930" s="50"/>
      <c r="E930" s="58"/>
      <c r="F930" s="58"/>
      <c r="G930" s="58" t="str">
        <f>IFERROR(__xludf.DUMMYFUNCTION("""COMPUTED_VALUE"""),"Null")</f>
        <v>Null</v>
      </c>
      <c r="H930" s="206" t="str">
        <f>IFERROR(__xludf.DUMMYFUNCTION("""COMPUTED_VALUE"""),"Negative")</f>
        <v>Negative</v>
      </c>
      <c r="I930" s="207"/>
      <c r="J930" s="50"/>
      <c r="K930" s="50">
        <f>IFERROR(__xludf.DUMMYFUNCTION("""COMPUTED_VALUE"""),2.0)</f>
        <v>2</v>
      </c>
      <c r="L930" s="6"/>
      <c r="M930" s="55"/>
      <c r="N930" s="55">
        <f>IFERROR(__xludf.DUMMYFUNCTION("""COMPUTED_VALUE"""),1.0)</f>
        <v>1</v>
      </c>
      <c r="O930" s="55" t="str">
        <f t="shared" si="3"/>
        <v/>
      </c>
      <c r="P930" s="209"/>
      <c r="Q930" s="75" t="b">
        <f>VLOOKUP($B930,'Run Reconcile'!B$2:P1679,15,FALSE)</f>
        <v>1</v>
      </c>
      <c r="R930" s="211" t="str">
        <f t="array" ref="R930">IF($Q930, INDEX('Run Reconcile'!A$2:A1679,MATCH(B930,'Run Reconcile'!B$2:B1679,0),1),IFERROR(0/0,""))</f>
        <v>RUN-COMB_2022-05-29_RFR-050</v>
      </c>
      <c r="S930" s="165" t="str">
        <f t="shared" ref="S930:T930" si="1859">IF(COUNTIF(W$2:W1679, $A930) &gt; 0,TRUE,IFERROR(0/0,""))</f>
        <v/>
      </c>
      <c r="T930" s="165" t="str">
        <f t="shared" si="1859"/>
        <v/>
      </c>
      <c r="U930" s="147" t="str">
        <f t="array" ref="U930">IF(ISBLANK($R930), IF($S930,VLOOKUP($B930+1,'RFR Data - preExcl'!$BF$2:$BG1679,2,FALSE),IF($T930,INDEX('RFR Data - preExcl'!$BF$2:$BG1679,MATCH($B930,'RFR Data - preExcl'!$BF$2:$BF1679,0)+1,2),VLOOKUP($B930,'RFR Data - preExcl'!$BF$2:$BG1679,2,FALSE))),IFERROR(0/0,""))</f>
        <v/>
      </c>
      <c r="V930" s="212" t="str">
        <f t="shared" si="5"/>
        <v>RUN-COMB_2022-05-29_RFR-050</v>
      </c>
      <c r="W930" s="51"/>
      <c r="X930" s="51"/>
      <c r="Y930" s="147" t="str">
        <f t="shared" ref="Y930:Z930" si="1860">IF(_xlfn.ISFORMULA(S930),IFERROR(0/0,""),TRUE)</f>
        <v/>
      </c>
      <c r="Z930" s="147" t="str">
        <f t="shared" si="1860"/>
        <v/>
      </c>
    </row>
    <row r="931">
      <c r="A931" s="6" t="str">
        <f>IFERROR(__xludf.DUMMYFUNCTION("""COMPUTED_VALUE"""),"FM2627")</f>
        <v>FM2627</v>
      </c>
      <c r="B931" s="206">
        <f>IFERROR(__xludf.DUMMYFUNCTION("""COMPUTED_VALUE"""),44710.0)</f>
        <v>44710</v>
      </c>
      <c r="C931" s="207">
        <f>IFERROR(__xludf.DUMMYFUNCTION("""COMPUTED_VALUE"""),0.2755208333333333)</f>
        <v>0.2755208333</v>
      </c>
      <c r="D931" s="50"/>
      <c r="E931" s="58"/>
      <c r="F931" s="58"/>
      <c r="G931" s="58" t="str">
        <f>IFERROR(__xludf.DUMMYFUNCTION("""COMPUTED_VALUE"""),"Null")</f>
        <v>Null</v>
      </c>
      <c r="H931" s="206" t="str">
        <f>IFERROR(__xludf.DUMMYFUNCTION("""COMPUTED_VALUE"""),"Negative")</f>
        <v>Negative</v>
      </c>
      <c r="I931" s="207"/>
      <c r="J931" s="50"/>
      <c r="K931" s="50">
        <f>IFERROR(__xludf.DUMMYFUNCTION("""COMPUTED_VALUE"""),2.0)</f>
        <v>2</v>
      </c>
      <c r="L931" s="6"/>
      <c r="M931" s="55"/>
      <c r="N931" s="55">
        <f>IFERROR(__xludf.DUMMYFUNCTION("""COMPUTED_VALUE"""),1.0)</f>
        <v>1</v>
      </c>
      <c r="O931" s="55" t="str">
        <f t="shared" si="3"/>
        <v/>
      </c>
      <c r="P931" s="209"/>
      <c r="Q931" s="75" t="b">
        <f>VLOOKUP($B931,'Run Reconcile'!B$2:P1679,15,FALSE)</f>
        <v>1</v>
      </c>
      <c r="R931" s="211" t="str">
        <f t="array" ref="R931">IF($Q931, INDEX('Run Reconcile'!A$2:A1679,MATCH(B931,'Run Reconcile'!B$2:B1679,0),1),IFERROR(0/0,""))</f>
        <v>RUN-COMB_2022-05-29_RFR-050</v>
      </c>
      <c r="S931" s="165" t="str">
        <f t="shared" ref="S931:T931" si="1861">IF(COUNTIF(W$2:W1679, $A931) &gt; 0,TRUE,IFERROR(0/0,""))</f>
        <v/>
      </c>
      <c r="T931" s="165" t="str">
        <f t="shared" si="1861"/>
        <v/>
      </c>
      <c r="U931" s="147" t="str">
        <f t="array" ref="U931">IF(ISBLANK($R931), IF($S931,VLOOKUP($B931+1,'RFR Data - preExcl'!$BF$2:$BG1679,2,FALSE),IF($T931,INDEX('RFR Data - preExcl'!$BF$2:$BG1679,MATCH($B931,'RFR Data - preExcl'!$BF$2:$BF1679,0)+1,2),VLOOKUP($B931,'RFR Data - preExcl'!$BF$2:$BG1679,2,FALSE))),IFERROR(0/0,""))</f>
        <v/>
      </c>
      <c r="V931" s="212" t="str">
        <f t="shared" si="5"/>
        <v>RUN-COMB_2022-05-29_RFR-050</v>
      </c>
      <c r="W931" s="51"/>
      <c r="X931" s="51"/>
      <c r="Y931" s="147" t="str">
        <f t="shared" ref="Y931:Z931" si="1862">IF(_xlfn.ISFORMULA(S931),IFERROR(0/0,""),TRUE)</f>
        <v/>
      </c>
      <c r="Z931" s="147" t="str">
        <f t="shared" si="1862"/>
        <v/>
      </c>
    </row>
    <row r="932">
      <c r="A932" s="6" t="str">
        <f>IFERROR(__xludf.DUMMYFUNCTION("""COMPUTED_VALUE"""),"FM2654")</f>
        <v>FM2654</v>
      </c>
      <c r="B932" s="206">
        <f>IFERROR(__xludf.DUMMYFUNCTION("""COMPUTED_VALUE"""),44710.0)</f>
        <v>44710</v>
      </c>
      <c r="C932" s="207">
        <f>IFERROR(__xludf.DUMMYFUNCTION("""COMPUTED_VALUE"""),0.27599537037037036)</f>
        <v>0.2759953704</v>
      </c>
      <c r="D932" s="50"/>
      <c r="E932" s="58"/>
      <c r="F932" s="58"/>
      <c r="G932" s="58" t="str">
        <f>IFERROR(__xludf.DUMMYFUNCTION("""COMPUTED_VALUE"""),"Null")</f>
        <v>Null</v>
      </c>
      <c r="H932" s="206" t="str">
        <f>IFERROR(__xludf.DUMMYFUNCTION("""COMPUTED_VALUE"""),"Negative")</f>
        <v>Negative</v>
      </c>
      <c r="I932" s="207"/>
      <c r="J932" s="50"/>
      <c r="K932" s="50">
        <f>IFERROR(__xludf.DUMMYFUNCTION("""COMPUTED_VALUE"""),2.0)</f>
        <v>2</v>
      </c>
      <c r="L932" s="6"/>
      <c r="M932" s="55"/>
      <c r="N932" s="55">
        <f>IFERROR(__xludf.DUMMYFUNCTION("""COMPUTED_VALUE"""),1.0)</f>
        <v>1</v>
      </c>
      <c r="O932" s="55" t="str">
        <f t="shared" si="3"/>
        <v/>
      </c>
      <c r="P932" s="209"/>
      <c r="Q932" s="75" t="b">
        <f>VLOOKUP($B932,'Run Reconcile'!B$2:P1679,15,FALSE)</f>
        <v>1</v>
      </c>
      <c r="R932" s="211" t="str">
        <f t="array" ref="R932">IF($Q932, INDEX('Run Reconcile'!A$2:A1679,MATCH(B932,'Run Reconcile'!B$2:B1679,0),1),IFERROR(0/0,""))</f>
        <v>RUN-COMB_2022-05-29_RFR-050</v>
      </c>
      <c r="S932" s="165" t="str">
        <f t="shared" ref="S932:T932" si="1863">IF(COUNTIF(W$2:W1679, $A932) &gt; 0,TRUE,IFERROR(0/0,""))</f>
        <v/>
      </c>
      <c r="T932" s="165" t="str">
        <f t="shared" si="1863"/>
        <v/>
      </c>
      <c r="U932" s="147" t="str">
        <f t="array" ref="U932">IF(ISBLANK($R932), IF($S932,VLOOKUP($B932+1,'RFR Data - preExcl'!$BF$2:$BG1679,2,FALSE),IF($T932,INDEX('RFR Data - preExcl'!$BF$2:$BG1679,MATCH($B932,'RFR Data - preExcl'!$BF$2:$BF1679,0)+1,2),VLOOKUP($B932,'RFR Data - preExcl'!$BF$2:$BG1679,2,FALSE))),IFERROR(0/0,""))</f>
        <v/>
      </c>
      <c r="V932" s="212" t="str">
        <f t="shared" si="5"/>
        <v>RUN-COMB_2022-05-29_RFR-050</v>
      </c>
      <c r="W932" s="51"/>
      <c r="X932" s="51"/>
      <c r="Y932" s="147" t="str">
        <f t="shared" ref="Y932:Z932" si="1864">IF(_xlfn.ISFORMULA(S932),IFERROR(0/0,""),TRUE)</f>
        <v/>
      </c>
      <c r="Z932" s="147" t="str">
        <f t="shared" si="1864"/>
        <v/>
      </c>
    </row>
    <row r="933">
      <c r="A933" s="6" t="str">
        <f>IFERROR(__xludf.DUMMYFUNCTION("""COMPUTED_VALUE"""),"FM2681")</f>
        <v>FM2681</v>
      </c>
      <c r="B933" s="206">
        <f>IFERROR(__xludf.DUMMYFUNCTION("""COMPUTED_VALUE"""),44710.0)</f>
        <v>44710</v>
      </c>
      <c r="C933" s="207">
        <f>IFERROR(__xludf.DUMMYFUNCTION("""COMPUTED_VALUE"""),0.2763541666666667)</f>
        <v>0.2763541667</v>
      </c>
      <c r="D933" s="50"/>
      <c r="E933" s="58"/>
      <c r="F933" s="58"/>
      <c r="G933" s="58" t="str">
        <f>IFERROR(__xludf.DUMMYFUNCTION("""COMPUTED_VALUE"""),"Null")</f>
        <v>Null</v>
      </c>
      <c r="H933" s="206" t="str">
        <f>IFERROR(__xludf.DUMMYFUNCTION("""COMPUTED_VALUE"""),"Negative")</f>
        <v>Negative</v>
      </c>
      <c r="I933" s="207"/>
      <c r="J933" s="50"/>
      <c r="K933" s="50">
        <f>IFERROR(__xludf.DUMMYFUNCTION("""COMPUTED_VALUE"""),2.0)</f>
        <v>2</v>
      </c>
      <c r="L933" s="6"/>
      <c r="M933" s="55"/>
      <c r="N933" s="55">
        <f>IFERROR(__xludf.DUMMYFUNCTION("""COMPUTED_VALUE"""),1.0)</f>
        <v>1</v>
      </c>
      <c r="O933" s="55" t="str">
        <f t="shared" si="3"/>
        <v/>
      </c>
      <c r="P933" s="209"/>
      <c r="Q933" s="75" t="b">
        <f>VLOOKUP($B933,'Run Reconcile'!B$2:P1679,15,FALSE)</f>
        <v>1</v>
      </c>
      <c r="R933" s="211" t="str">
        <f t="array" ref="R933">IF($Q933, INDEX('Run Reconcile'!A$2:A1679,MATCH(B933,'Run Reconcile'!B$2:B1679,0),1),IFERROR(0/0,""))</f>
        <v>RUN-COMB_2022-05-29_RFR-050</v>
      </c>
      <c r="S933" s="165" t="str">
        <f t="shared" ref="S933:T933" si="1865">IF(COUNTIF(W$2:W1679, $A933) &gt; 0,TRUE,IFERROR(0/0,""))</f>
        <v/>
      </c>
      <c r="T933" s="165" t="str">
        <f t="shared" si="1865"/>
        <v/>
      </c>
      <c r="U933" s="147" t="str">
        <f t="array" ref="U933">IF(ISBLANK($R933), IF($S933,VLOOKUP($B933+1,'RFR Data - preExcl'!$BF$2:$BG1679,2,FALSE),IF($T933,INDEX('RFR Data - preExcl'!$BF$2:$BG1679,MATCH($B933,'RFR Data - preExcl'!$BF$2:$BF1679,0)+1,2),VLOOKUP($B933,'RFR Data - preExcl'!$BF$2:$BG1679,2,FALSE))),IFERROR(0/0,""))</f>
        <v/>
      </c>
      <c r="V933" s="212" t="str">
        <f t="shared" si="5"/>
        <v>RUN-COMB_2022-05-29_RFR-050</v>
      </c>
      <c r="W933" s="51"/>
      <c r="X933" s="51"/>
      <c r="Y933" s="147" t="str">
        <f t="shared" ref="Y933:Z933" si="1866">IF(_xlfn.ISFORMULA(S933),IFERROR(0/0,""),TRUE)</f>
        <v/>
      </c>
      <c r="Z933" s="147" t="str">
        <f t="shared" si="1866"/>
        <v/>
      </c>
    </row>
    <row r="934">
      <c r="A934" s="6" t="str">
        <f>IFERROR(__xludf.DUMMYFUNCTION("""COMPUTED_VALUE"""),"FM2604")</f>
        <v>FM2604</v>
      </c>
      <c r="B934" s="206">
        <f>IFERROR(__xludf.DUMMYFUNCTION("""COMPUTED_VALUE"""),44710.0)</f>
        <v>44710</v>
      </c>
      <c r="C934" s="207">
        <f>IFERROR(__xludf.DUMMYFUNCTION("""COMPUTED_VALUE"""),0.27672453703703703)</f>
        <v>0.276724537</v>
      </c>
      <c r="D934" s="50"/>
      <c r="E934" s="58"/>
      <c r="F934" s="58"/>
      <c r="G934" s="58" t="str">
        <f>IFERROR(__xludf.DUMMYFUNCTION("""COMPUTED_VALUE"""),"Null")</f>
        <v>Null</v>
      </c>
      <c r="H934" s="206" t="str">
        <f>IFERROR(__xludf.DUMMYFUNCTION("""COMPUTED_VALUE"""),"Negative")</f>
        <v>Negative</v>
      </c>
      <c r="I934" s="207"/>
      <c r="J934" s="50"/>
      <c r="K934" s="50">
        <f>IFERROR(__xludf.DUMMYFUNCTION("""COMPUTED_VALUE"""),2.0)</f>
        <v>2</v>
      </c>
      <c r="L934" s="6"/>
      <c r="M934" s="55"/>
      <c r="N934" s="55">
        <f>IFERROR(__xludf.DUMMYFUNCTION("""COMPUTED_VALUE"""),1.0)</f>
        <v>1</v>
      </c>
      <c r="O934" s="55" t="str">
        <f t="shared" si="3"/>
        <v/>
      </c>
      <c r="P934" s="209"/>
      <c r="Q934" s="75" t="b">
        <f>VLOOKUP($B934,'Run Reconcile'!B$2:P1679,15,FALSE)</f>
        <v>1</v>
      </c>
      <c r="R934" s="211" t="str">
        <f t="array" ref="R934">IF($Q934, INDEX('Run Reconcile'!A$2:A1679,MATCH(B934,'Run Reconcile'!B$2:B1679,0),1),IFERROR(0/0,""))</f>
        <v>RUN-COMB_2022-05-29_RFR-050</v>
      </c>
      <c r="S934" s="165" t="str">
        <f t="shared" ref="S934:T934" si="1867">IF(COUNTIF(W$2:W1679, $A934) &gt; 0,TRUE,IFERROR(0/0,""))</f>
        <v/>
      </c>
      <c r="T934" s="165" t="str">
        <f t="shared" si="1867"/>
        <v/>
      </c>
      <c r="U934" s="147" t="str">
        <f t="array" ref="U934">IF(ISBLANK($R934), IF($S934,VLOOKUP($B934+1,'RFR Data - preExcl'!$BF$2:$BG1679,2,FALSE),IF($T934,INDEX('RFR Data - preExcl'!$BF$2:$BG1679,MATCH($B934,'RFR Data - preExcl'!$BF$2:$BF1679,0)+1,2),VLOOKUP($B934,'RFR Data - preExcl'!$BF$2:$BG1679,2,FALSE))),IFERROR(0/0,""))</f>
        <v/>
      </c>
      <c r="V934" s="212" t="str">
        <f t="shared" si="5"/>
        <v>RUN-COMB_2022-05-29_RFR-050</v>
      </c>
      <c r="W934" s="51"/>
      <c r="X934" s="51"/>
      <c r="Y934" s="147" t="str">
        <f t="shared" ref="Y934:Z934" si="1868">IF(_xlfn.ISFORMULA(S934),IFERROR(0/0,""),TRUE)</f>
        <v/>
      </c>
      <c r="Z934" s="147" t="str">
        <f t="shared" si="1868"/>
        <v/>
      </c>
    </row>
    <row r="935">
      <c r="A935" s="6" t="str">
        <f>IFERROR(__xludf.DUMMYFUNCTION("""COMPUTED_VALUE"""),"FM2615")</f>
        <v>FM2615</v>
      </c>
      <c r="B935" s="206">
        <f>IFERROR(__xludf.DUMMYFUNCTION("""COMPUTED_VALUE"""),44710.0)</f>
        <v>44710</v>
      </c>
      <c r="C935" s="207">
        <f>IFERROR(__xludf.DUMMYFUNCTION("""COMPUTED_VALUE"""),0.27719907407407407)</f>
        <v>0.2771990741</v>
      </c>
      <c r="D935" s="50"/>
      <c r="E935" s="58"/>
      <c r="F935" s="58"/>
      <c r="G935" s="58" t="str">
        <f>IFERROR(__xludf.DUMMYFUNCTION("""COMPUTED_VALUE"""),"Null")</f>
        <v>Null</v>
      </c>
      <c r="H935" s="206" t="str">
        <f>IFERROR(__xludf.DUMMYFUNCTION("""COMPUTED_VALUE"""),"Negative")</f>
        <v>Negative</v>
      </c>
      <c r="I935" s="207"/>
      <c r="J935" s="50"/>
      <c r="K935" s="50">
        <f>IFERROR(__xludf.DUMMYFUNCTION("""COMPUTED_VALUE"""),2.0)</f>
        <v>2</v>
      </c>
      <c r="L935" s="6"/>
      <c r="M935" s="55"/>
      <c r="N935" s="55">
        <f>IFERROR(__xludf.DUMMYFUNCTION("""COMPUTED_VALUE"""),1.0)</f>
        <v>1</v>
      </c>
      <c r="O935" s="55" t="str">
        <f t="shared" si="3"/>
        <v/>
      </c>
      <c r="P935" s="209"/>
      <c r="Q935" s="75" t="b">
        <f>VLOOKUP($B935,'Run Reconcile'!B$2:P1679,15,FALSE)</f>
        <v>1</v>
      </c>
      <c r="R935" s="211" t="str">
        <f t="array" ref="R935">IF($Q935, INDEX('Run Reconcile'!A$2:A1679,MATCH(B935,'Run Reconcile'!B$2:B1679,0),1),IFERROR(0/0,""))</f>
        <v>RUN-COMB_2022-05-29_RFR-050</v>
      </c>
      <c r="S935" s="165" t="str">
        <f t="shared" ref="S935:T935" si="1869">IF(COUNTIF(W$2:W1679, $A935) &gt; 0,TRUE,IFERROR(0/0,""))</f>
        <v/>
      </c>
      <c r="T935" s="165" t="str">
        <f t="shared" si="1869"/>
        <v/>
      </c>
      <c r="U935" s="147" t="str">
        <f t="array" ref="U935">IF(ISBLANK($R935), IF($S935,VLOOKUP($B935+1,'RFR Data - preExcl'!$BF$2:$BG1679,2,FALSE),IF($T935,INDEX('RFR Data - preExcl'!$BF$2:$BG1679,MATCH($B935,'RFR Data - preExcl'!$BF$2:$BF1679,0)+1,2),VLOOKUP($B935,'RFR Data - preExcl'!$BF$2:$BG1679,2,FALSE))),IFERROR(0/0,""))</f>
        <v/>
      </c>
      <c r="V935" s="212" t="str">
        <f t="shared" si="5"/>
        <v>RUN-COMB_2022-05-29_RFR-050</v>
      </c>
      <c r="W935" s="51"/>
      <c r="X935" s="51"/>
      <c r="Y935" s="147" t="str">
        <f t="shared" ref="Y935:Z935" si="1870">IF(_xlfn.ISFORMULA(S935),IFERROR(0/0,""),TRUE)</f>
        <v/>
      </c>
      <c r="Z935" s="147" t="str">
        <f t="shared" si="1870"/>
        <v/>
      </c>
    </row>
    <row r="936">
      <c r="A936" s="6" t="str">
        <f>IFERROR(__xludf.DUMMYFUNCTION("""COMPUTED_VALUE"""),"FM2595")</f>
        <v>FM2595</v>
      </c>
      <c r="B936" s="206">
        <f>IFERROR(__xludf.DUMMYFUNCTION("""COMPUTED_VALUE"""),44710.0)</f>
        <v>44710</v>
      </c>
      <c r="C936" s="207">
        <f>IFERROR(__xludf.DUMMYFUNCTION("""COMPUTED_VALUE"""),0.27773148148148147)</f>
        <v>0.2777314815</v>
      </c>
      <c r="D936" s="50"/>
      <c r="E936" s="58"/>
      <c r="F936" s="58"/>
      <c r="G936" s="58" t="str">
        <f>IFERROR(__xludf.DUMMYFUNCTION("""COMPUTED_VALUE"""),"Null")</f>
        <v>Null</v>
      </c>
      <c r="H936" s="206" t="str">
        <f>IFERROR(__xludf.DUMMYFUNCTION("""COMPUTED_VALUE"""),"Negative")</f>
        <v>Negative</v>
      </c>
      <c r="I936" s="207"/>
      <c r="J936" s="50"/>
      <c r="K936" s="50">
        <f>IFERROR(__xludf.DUMMYFUNCTION("""COMPUTED_VALUE"""),2.0)</f>
        <v>2</v>
      </c>
      <c r="L936" s="6"/>
      <c r="M936" s="55"/>
      <c r="N936" s="55">
        <f>IFERROR(__xludf.DUMMYFUNCTION("""COMPUTED_VALUE"""),1.0)</f>
        <v>1</v>
      </c>
      <c r="O936" s="55" t="str">
        <f t="shared" si="3"/>
        <v/>
      </c>
      <c r="P936" s="209"/>
      <c r="Q936" s="75" t="b">
        <f>VLOOKUP($B936,'Run Reconcile'!B$2:P1679,15,FALSE)</f>
        <v>1</v>
      </c>
      <c r="R936" s="211" t="str">
        <f t="array" ref="R936">IF($Q936, INDEX('Run Reconcile'!A$2:A1679,MATCH(B936,'Run Reconcile'!B$2:B1679,0),1),IFERROR(0/0,""))</f>
        <v>RUN-COMB_2022-05-29_RFR-050</v>
      </c>
      <c r="S936" s="165" t="str">
        <f t="shared" ref="S936:T936" si="1871">IF(COUNTIF(W$2:W1679, $A936) &gt; 0,TRUE,IFERROR(0/0,""))</f>
        <v/>
      </c>
      <c r="T936" s="165" t="str">
        <f t="shared" si="1871"/>
        <v/>
      </c>
      <c r="U936" s="147" t="str">
        <f t="array" ref="U936">IF(ISBLANK($R936), IF($S936,VLOOKUP($B936+1,'RFR Data - preExcl'!$BF$2:$BG1679,2,FALSE),IF($T936,INDEX('RFR Data - preExcl'!$BF$2:$BG1679,MATCH($B936,'RFR Data - preExcl'!$BF$2:$BF1679,0)+1,2),VLOOKUP($B936,'RFR Data - preExcl'!$BF$2:$BG1679,2,FALSE))),IFERROR(0/0,""))</f>
        <v/>
      </c>
      <c r="V936" s="212" t="str">
        <f t="shared" si="5"/>
        <v>RUN-COMB_2022-05-29_RFR-050</v>
      </c>
      <c r="W936" s="51"/>
      <c r="X936" s="51"/>
      <c r="Y936" s="147" t="str">
        <f t="shared" ref="Y936:Z936" si="1872">IF(_xlfn.ISFORMULA(S936),IFERROR(0/0,""),TRUE)</f>
        <v/>
      </c>
      <c r="Z936" s="147" t="str">
        <f t="shared" si="1872"/>
        <v/>
      </c>
    </row>
    <row r="937">
      <c r="A937" s="6" t="str">
        <f>IFERROR(__xludf.DUMMYFUNCTION("""COMPUTED_VALUE"""),"FM2679")</f>
        <v>FM2679</v>
      </c>
      <c r="B937" s="206">
        <f>IFERROR(__xludf.DUMMYFUNCTION("""COMPUTED_VALUE"""),44710.0)</f>
        <v>44710</v>
      </c>
      <c r="C937" s="207">
        <f>IFERROR(__xludf.DUMMYFUNCTION("""COMPUTED_VALUE"""),0.27818287037037037)</f>
        <v>0.2781828704</v>
      </c>
      <c r="D937" s="50"/>
      <c r="E937" s="58"/>
      <c r="F937" s="58"/>
      <c r="G937" s="58" t="str">
        <f>IFERROR(__xludf.DUMMYFUNCTION("""COMPUTED_VALUE"""),"Null")</f>
        <v>Null</v>
      </c>
      <c r="H937" s="206" t="str">
        <f>IFERROR(__xludf.DUMMYFUNCTION("""COMPUTED_VALUE"""),"Negative")</f>
        <v>Negative</v>
      </c>
      <c r="I937" s="207"/>
      <c r="J937" s="50"/>
      <c r="K937" s="50">
        <f>IFERROR(__xludf.DUMMYFUNCTION("""COMPUTED_VALUE"""),2.0)</f>
        <v>2</v>
      </c>
      <c r="L937" s="6"/>
      <c r="M937" s="55"/>
      <c r="N937" s="55">
        <f>IFERROR(__xludf.DUMMYFUNCTION("""COMPUTED_VALUE"""),1.0)</f>
        <v>1</v>
      </c>
      <c r="O937" s="55" t="str">
        <f t="shared" si="3"/>
        <v/>
      </c>
      <c r="P937" s="209"/>
      <c r="Q937" s="75" t="b">
        <f>VLOOKUP($B937,'Run Reconcile'!B$2:P1679,15,FALSE)</f>
        <v>1</v>
      </c>
      <c r="R937" s="211" t="str">
        <f t="array" ref="R937">IF($Q937, INDEX('Run Reconcile'!A$2:A1679,MATCH(B937,'Run Reconcile'!B$2:B1679,0),1),IFERROR(0/0,""))</f>
        <v>RUN-COMB_2022-05-29_RFR-050</v>
      </c>
      <c r="S937" s="165" t="str">
        <f t="shared" ref="S937:T937" si="1873">IF(COUNTIF(W$2:W1679, $A937) &gt; 0,TRUE,IFERROR(0/0,""))</f>
        <v/>
      </c>
      <c r="T937" s="165" t="str">
        <f t="shared" si="1873"/>
        <v/>
      </c>
      <c r="U937" s="147" t="str">
        <f t="array" ref="U937">IF(ISBLANK($R937), IF($S937,VLOOKUP($B937+1,'RFR Data - preExcl'!$BF$2:$BG1679,2,FALSE),IF($T937,INDEX('RFR Data - preExcl'!$BF$2:$BG1679,MATCH($B937,'RFR Data - preExcl'!$BF$2:$BF1679,0)+1,2),VLOOKUP($B937,'RFR Data - preExcl'!$BF$2:$BG1679,2,FALSE))),IFERROR(0/0,""))</f>
        <v/>
      </c>
      <c r="V937" s="212" t="str">
        <f t="shared" si="5"/>
        <v>RUN-COMB_2022-05-29_RFR-050</v>
      </c>
      <c r="W937" s="51"/>
      <c r="X937" s="51"/>
      <c r="Y937" s="147" t="str">
        <f t="shared" ref="Y937:Z937" si="1874">IF(_xlfn.ISFORMULA(S937),IFERROR(0/0,""),TRUE)</f>
        <v/>
      </c>
      <c r="Z937" s="147" t="str">
        <f t="shared" si="1874"/>
        <v/>
      </c>
    </row>
    <row r="938">
      <c r="A938" s="6" t="str">
        <f>IFERROR(__xludf.DUMMYFUNCTION("""COMPUTED_VALUE"""),"FM2632")</f>
        <v>FM2632</v>
      </c>
      <c r="B938" s="206">
        <f>IFERROR(__xludf.DUMMYFUNCTION("""COMPUTED_VALUE"""),44710.0)</f>
        <v>44710</v>
      </c>
      <c r="C938" s="207">
        <f>IFERROR(__xludf.DUMMYFUNCTION("""COMPUTED_VALUE"""),0.2788310185185185)</f>
        <v>0.2788310185</v>
      </c>
      <c r="D938" s="50"/>
      <c r="E938" s="58"/>
      <c r="F938" s="58"/>
      <c r="G938" s="58" t="str">
        <f>IFERROR(__xludf.DUMMYFUNCTION("""COMPUTED_VALUE"""),"Null")</f>
        <v>Null</v>
      </c>
      <c r="H938" s="206" t="str">
        <f>IFERROR(__xludf.DUMMYFUNCTION("""COMPUTED_VALUE"""),"Negative")</f>
        <v>Negative</v>
      </c>
      <c r="I938" s="207"/>
      <c r="J938" s="50"/>
      <c r="K938" s="50">
        <f>IFERROR(__xludf.DUMMYFUNCTION("""COMPUTED_VALUE"""),2.0)</f>
        <v>2</v>
      </c>
      <c r="L938" s="6"/>
      <c r="M938" s="55"/>
      <c r="N938" s="55">
        <f>IFERROR(__xludf.DUMMYFUNCTION("""COMPUTED_VALUE"""),1.0)</f>
        <v>1</v>
      </c>
      <c r="O938" s="55" t="str">
        <f t="shared" si="3"/>
        <v/>
      </c>
      <c r="P938" s="209"/>
      <c r="Q938" s="75" t="b">
        <f>VLOOKUP($B938,'Run Reconcile'!B$2:P1679,15,FALSE)</f>
        <v>1</v>
      </c>
      <c r="R938" s="211" t="str">
        <f t="array" ref="R938">IF($Q938, INDEX('Run Reconcile'!A$2:A1679,MATCH(B938,'Run Reconcile'!B$2:B1679,0),1),IFERROR(0/0,""))</f>
        <v>RUN-COMB_2022-05-29_RFR-050</v>
      </c>
      <c r="S938" s="165" t="str">
        <f t="shared" ref="S938:T938" si="1875">IF(COUNTIF(W$2:W1679, $A938) &gt; 0,TRUE,IFERROR(0/0,""))</f>
        <v/>
      </c>
      <c r="T938" s="165" t="str">
        <f t="shared" si="1875"/>
        <v/>
      </c>
      <c r="U938" s="147" t="str">
        <f t="array" ref="U938">IF(ISBLANK($R938), IF($S938,VLOOKUP($B938+1,'RFR Data - preExcl'!$BF$2:$BG1679,2,FALSE),IF($T938,INDEX('RFR Data - preExcl'!$BF$2:$BG1679,MATCH($B938,'RFR Data - preExcl'!$BF$2:$BF1679,0)+1,2),VLOOKUP($B938,'RFR Data - preExcl'!$BF$2:$BG1679,2,FALSE))),IFERROR(0/0,""))</f>
        <v/>
      </c>
      <c r="V938" s="212" t="str">
        <f t="shared" si="5"/>
        <v>RUN-COMB_2022-05-29_RFR-050</v>
      </c>
      <c r="W938" s="51"/>
      <c r="X938" s="51"/>
      <c r="Y938" s="147" t="str">
        <f t="shared" ref="Y938:Z938" si="1876">IF(_xlfn.ISFORMULA(S938),IFERROR(0/0,""),TRUE)</f>
        <v/>
      </c>
      <c r="Z938" s="147" t="str">
        <f t="shared" si="1876"/>
        <v/>
      </c>
    </row>
    <row r="939">
      <c r="A939" s="6" t="str">
        <f>IFERROR(__xludf.DUMMYFUNCTION("""COMPUTED_VALUE"""),"FM2616")</f>
        <v>FM2616</v>
      </c>
      <c r="B939" s="206">
        <f>IFERROR(__xludf.DUMMYFUNCTION("""COMPUTED_VALUE"""),44710.0)</f>
        <v>44710</v>
      </c>
      <c r="C939" s="207">
        <f>IFERROR(__xludf.DUMMYFUNCTION("""COMPUTED_VALUE"""),0.28063657407407405)</f>
        <v>0.2806365741</v>
      </c>
      <c r="D939" s="50"/>
      <c r="E939" s="58"/>
      <c r="F939" s="58"/>
      <c r="G939" s="58" t="str">
        <f>IFERROR(__xludf.DUMMYFUNCTION("""COMPUTED_VALUE"""),"Null")</f>
        <v>Null</v>
      </c>
      <c r="H939" s="206" t="str">
        <f>IFERROR(__xludf.DUMMYFUNCTION("""COMPUTED_VALUE"""),"Negative")</f>
        <v>Negative</v>
      </c>
      <c r="I939" s="207"/>
      <c r="J939" s="50"/>
      <c r="K939" s="50">
        <f>IFERROR(__xludf.DUMMYFUNCTION("""COMPUTED_VALUE"""),2.0)</f>
        <v>2</v>
      </c>
      <c r="L939" s="6"/>
      <c r="M939" s="55"/>
      <c r="N939" s="55">
        <f>IFERROR(__xludf.DUMMYFUNCTION("""COMPUTED_VALUE"""),1.0)</f>
        <v>1</v>
      </c>
      <c r="O939" s="55" t="str">
        <f t="shared" si="3"/>
        <v/>
      </c>
      <c r="P939" s="209"/>
      <c r="Q939" s="75" t="b">
        <f>VLOOKUP($B939,'Run Reconcile'!B$2:P1679,15,FALSE)</f>
        <v>1</v>
      </c>
      <c r="R939" s="211" t="str">
        <f t="array" ref="R939">IF($Q939, INDEX('Run Reconcile'!A$2:A1679,MATCH(B939,'Run Reconcile'!B$2:B1679,0),1),IFERROR(0/0,""))</f>
        <v>RUN-COMB_2022-05-29_RFR-050</v>
      </c>
      <c r="S939" s="165" t="str">
        <f t="shared" ref="S939:T939" si="1877">IF(COUNTIF(W$2:W1679, $A939) &gt; 0,TRUE,IFERROR(0/0,""))</f>
        <v/>
      </c>
      <c r="T939" s="165" t="str">
        <f t="shared" si="1877"/>
        <v/>
      </c>
      <c r="U939" s="147" t="str">
        <f t="array" ref="U939">IF(ISBLANK($R939), IF($S939,VLOOKUP($B939+1,'RFR Data - preExcl'!$BF$2:$BG1679,2,FALSE),IF($T939,INDEX('RFR Data - preExcl'!$BF$2:$BG1679,MATCH($B939,'RFR Data - preExcl'!$BF$2:$BF1679,0)+1,2),VLOOKUP($B939,'RFR Data - preExcl'!$BF$2:$BG1679,2,FALSE))),IFERROR(0/0,""))</f>
        <v/>
      </c>
      <c r="V939" s="212" t="str">
        <f t="shared" si="5"/>
        <v>RUN-COMB_2022-05-29_RFR-050</v>
      </c>
      <c r="W939" s="51"/>
      <c r="X939" s="51"/>
      <c r="Y939" s="147" t="str">
        <f t="shared" ref="Y939:Z939" si="1878">IF(_xlfn.ISFORMULA(S939),IFERROR(0/0,""),TRUE)</f>
        <v/>
      </c>
      <c r="Z939" s="147" t="str">
        <f t="shared" si="1878"/>
        <v/>
      </c>
    </row>
    <row r="940">
      <c r="A940" s="6" t="str">
        <f>IFERROR(__xludf.DUMMYFUNCTION("""COMPUTED_VALUE"""),"FM2693")</f>
        <v>FM2693</v>
      </c>
      <c r="B940" s="206">
        <f>IFERROR(__xludf.DUMMYFUNCTION("""COMPUTED_VALUE"""),44710.0)</f>
        <v>44710</v>
      </c>
      <c r="C940" s="207">
        <f>IFERROR(__xludf.DUMMYFUNCTION("""COMPUTED_VALUE"""),0.28099537037037037)</f>
        <v>0.2809953704</v>
      </c>
      <c r="D940" s="50"/>
      <c r="E940" s="58"/>
      <c r="F940" s="58"/>
      <c r="G940" s="58" t="str">
        <f>IFERROR(__xludf.DUMMYFUNCTION("""COMPUTED_VALUE"""),"Null")</f>
        <v>Null</v>
      </c>
      <c r="H940" s="206" t="str">
        <f>IFERROR(__xludf.DUMMYFUNCTION("""COMPUTED_VALUE"""),"Negative")</f>
        <v>Negative</v>
      </c>
      <c r="I940" s="207"/>
      <c r="J940" s="50"/>
      <c r="K940" s="50">
        <f>IFERROR(__xludf.DUMMYFUNCTION("""COMPUTED_VALUE"""),2.0)</f>
        <v>2</v>
      </c>
      <c r="L940" s="6"/>
      <c r="M940" s="55"/>
      <c r="N940" s="55">
        <f>IFERROR(__xludf.DUMMYFUNCTION("""COMPUTED_VALUE"""),1.0)</f>
        <v>1</v>
      </c>
      <c r="O940" s="55" t="str">
        <f t="shared" si="3"/>
        <v/>
      </c>
      <c r="P940" s="209"/>
      <c r="Q940" s="75" t="b">
        <f>VLOOKUP($B940,'Run Reconcile'!B$2:P1679,15,FALSE)</f>
        <v>1</v>
      </c>
      <c r="R940" s="211" t="str">
        <f t="array" ref="R940">IF($Q940, INDEX('Run Reconcile'!A$2:A1679,MATCH(B940,'Run Reconcile'!B$2:B1679,0),1),IFERROR(0/0,""))</f>
        <v>RUN-COMB_2022-05-29_RFR-050</v>
      </c>
      <c r="S940" s="165" t="str">
        <f t="shared" ref="S940:T940" si="1879">IF(COUNTIF(W$2:W1679, $A940) &gt; 0,TRUE,IFERROR(0/0,""))</f>
        <v/>
      </c>
      <c r="T940" s="165" t="str">
        <f t="shared" si="1879"/>
        <v/>
      </c>
      <c r="U940" s="147" t="str">
        <f t="array" ref="U940">IF(ISBLANK($R940), IF($S940,VLOOKUP($B940+1,'RFR Data - preExcl'!$BF$2:$BG1679,2,FALSE),IF($T940,INDEX('RFR Data - preExcl'!$BF$2:$BG1679,MATCH($B940,'RFR Data - preExcl'!$BF$2:$BF1679,0)+1,2),VLOOKUP($B940,'RFR Data - preExcl'!$BF$2:$BG1679,2,FALSE))),IFERROR(0/0,""))</f>
        <v/>
      </c>
      <c r="V940" s="212" t="str">
        <f t="shared" si="5"/>
        <v>RUN-COMB_2022-05-29_RFR-050</v>
      </c>
      <c r="W940" s="51"/>
      <c r="X940" s="51"/>
      <c r="Y940" s="147" t="str">
        <f t="shared" ref="Y940:Z940" si="1880">IF(_xlfn.ISFORMULA(S940),IFERROR(0/0,""),TRUE)</f>
        <v/>
      </c>
      <c r="Z940" s="147" t="str">
        <f t="shared" si="1880"/>
        <v/>
      </c>
    </row>
    <row r="941">
      <c r="A941" s="6" t="str">
        <f>IFERROR(__xludf.DUMMYFUNCTION("""COMPUTED_VALUE"""),"FM2665")</f>
        <v>FM2665</v>
      </c>
      <c r="B941" s="206">
        <f>IFERROR(__xludf.DUMMYFUNCTION("""COMPUTED_VALUE"""),44710.0)</f>
        <v>44710</v>
      </c>
      <c r="C941" s="207">
        <f>IFERROR(__xludf.DUMMYFUNCTION("""COMPUTED_VALUE"""),0.2814699074074074)</f>
        <v>0.2814699074</v>
      </c>
      <c r="D941" s="50"/>
      <c r="E941" s="58"/>
      <c r="F941" s="58"/>
      <c r="G941" s="58" t="str">
        <f>IFERROR(__xludf.DUMMYFUNCTION("""COMPUTED_VALUE"""),"Null")</f>
        <v>Null</v>
      </c>
      <c r="H941" s="206" t="str">
        <f>IFERROR(__xludf.DUMMYFUNCTION("""COMPUTED_VALUE"""),"Negative")</f>
        <v>Negative</v>
      </c>
      <c r="I941" s="207"/>
      <c r="J941" s="50"/>
      <c r="K941" s="50">
        <f>IFERROR(__xludf.DUMMYFUNCTION("""COMPUTED_VALUE"""),2.0)</f>
        <v>2</v>
      </c>
      <c r="L941" s="6"/>
      <c r="M941" s="55"/>
      <c r="N941" s="55">
        <f>IFERROR(__xludf.DUMMYFUNCTION("""COMPUTED_VALUE"""),1.0)</f>
        <v>1</v>
      </c>
      <c r="O941" s="55" t="str">
        <f t="shared" si="3"/>
        <v/>
      </c>
      <c r="P941" s="209"/>
      <c r="Q941" s="75" t="b">
        <f>VLOOKUP($B941,'Run Reconcile'!B$2:P1679,15,FALSE)</f>
        <v>1</v>
      </c>
      <c r="R941" s="211" t="str">
        <f t="array" ref="R941">IF($Q941, INDEX('Run Reconcile'!A$2:A1679,MATCH(B941,'Run Reconcile'!B$2:B1679,0),1),IFERROR(0/0,""))</f>
        <v>RUN-COMB_2022-05-29_RFR-050</v>
      </c>
      <c r="S941" s="165" t="str">
        <f t="shared" ref="S941:T941" si="1881">IF(COUNTIF(W$2:W1679, $A941) &gt; 0,TRUE,IFERROR(0/0,""))</f>
        <v/>
      </c>
      <c r="T941" s="165" t="str">
        <f t="shared" si="1881"/>
        <v/>
      </c>
      <c r="U941" s="147" t="str">
        <f t="array" ref="U941">IF(ISBLANK($R941), IF($S941,VLOOKUP($B941+1,'RFR Data - preExcl'!$BF$2:$BG1679,2,FALSE),IF($T941,INDEX('RFR Data - preExcl'!$BF$2:$BG1679,MATCH($B941,'RFR Data - preExcl'!$BF$2:$BF1679,0)+1,2),VLOOKUP($B941,'RFR Data - preExcl'!$BF$2:$BG1679,2,FALSE))),IFERROR(0/0,""))</f>
        <v/>
      </c>
      <c r="V941" s="212" t="str">
        <f t="shared" si="5"/>
        <v>RUN-COMB_2022-05-29_RFR-050</v>
      </c>
      <c r="W941" s="51"/>
      <c r="X941" s="51"/>
      <c r="Y941" s="147" t="str">
        <f t="shared" ref="Y941:Z941" si="1882">IF(_xlfn.ISFORMULA(S941),IFERROR(0/0,""),TRUE)</f>
        <v/>
      </c>
      <c r="Z941" s="147" t="str">
        <f t="shared" si="1882"/>
        <v/>
      </c>
    </row>
    <row r="942">
      <c r="A942" s="6" t="str">
        <f>IFERROR(__xludf.DUMMYFUNCTION("""COMPUTED_VALUE"""),"FM2587")</f>
        <v>FM2587</v>
      </c>
      <c r="B942" s="206">
        <f>IFERROR(__xludf.DUMMYFUNCTION("""COMPUTED_VALUE"""),44710.0)</f>
        <v>44710</v>
      </c>
      <c r="C942" s="207">
        <f>IFERROR(__xludf.DUMMYFUNCTION("""COMPUTED_VALUE"""),0.2819212962962963)</f>
        <v>0.2819212963</v>
      </c>
      <c r="D942" s="50"/>
      <c r="E942" s="58"/>
      <c r="F942" s="58"/>
      <c r="G942" s="58" t="str">
        <f>IFERROR(__xludf.DUMMYFUNCTION("""COMPUTED_VALUE"""),"Null")</f>
        <v>Null</v>
      </c>
      <c r="H942" s="206" t="str">
        <f>IFERROR(__xludf.DUMMYFUNCTION("""COMPUTED_VALUE"""),"Negative")</f>
        <v>Negative</v>
      </c>
      <c r="I942" s="207"/>
      <c r="J942" s="50"/>
      <c r="K942" s="50">
        <f>IFERROR(__xludf.DUMMYFUNCTION("""COMPUTED_VALUE"""),2.0)</f>
        <v>2</v>
      </c>
      <c r="L942" s="6"/>
      <c r="M942" s="55"/>
      <c r="N942" s="55">
        <f>IFERROR(__xludf.DUMMYFUNCTION("""COMPUTED_VALUE"""),1.0)</f>
        <v>1</v>
      </c>
      <c r="O942" s="55" t="str">
        <f t="shared" si="3"/>
        <v/>
      </c>
      <c r="P942" s="209"/>
      <c r="Q942" s="75" t="b">
        <f>VLOOKUP($B942,'Run Reconcile'!B$2:P1679,15,FALSE)</f>
        <v>1</v>
      </c>
      <c r="R942" s="211" t="str">
        <f t="array" ref="R942">IF($Q942, INDEX('Run Reconcile'!A$2:A1679,MATCH(B942,'Run Reconcile'!B$2:B1679,0),1),IFERROR(0/0,""))</f>
        <v>RUN-COMB_2022-05-29_RFR-050</v>
      </c>
      <c r="S942" s="165" t="str">
        <f t="shared" ref="S942:T942" si="1883">IF(COUNTIF(W$2:W1679, $A942) &gt; 0,TRUE,IFERROR(0/0,""))</f>
        <v/>
      </c>
      <c r="T942" s="165" t="str">
        <f t="shared" si="1883"/>
        <v/>
      </c>
      <c r="U942" s="147" t="str">
        <f t="array" ref="U942">IF(ISBLANK($R942), IF($S942,VLOOKUP($B942+1,'RFR Data - preExcl'!$BF$2:$BG1679,2,FALSE),IF($T942,INDEX('RFR Data - preExcl'!$BF$2:$BG1679,MATCH($B942,'RFR Data - preExcl'!$BF$2:$BF1679,0)+1,2),VLOOKUP($B942,'RFR Data - preExcl'!$BF$2:$BG1679,2,FALSE))),IFERROR(0/0,""))</f>
        <v/>
      </c>
      <c r="V942" s="212" t="str">
        <f t="shared" si="5"/>
        <v>RUN-COMB_2022-05-29_RFR-050</v>
      </c>
      <c r="W942" s="51"/>
      <c r="X942" s="51"/>
      <c r="Y942" s="147" t="str">
        <f t="shared" ref="Y942:Z942" si="1884">IF(_xlfn.ISFORMULA(S942),IFERROR(0/0,""),TRUE)</f>
        <v/>
      </c>
      <c r="Z942" s="147" t="str">
        <f t="shared" si="1884"/>
        <v/>
      </c>
    </row>
    <row r="943">
      <c r="A943" s="6" t="str">
        <f>IFERROR(__xludf.DUMMYFUNCTION("""COMPUTED_VALUE"""),"FM2641")</f>
        <v>FM2641</v>
      </c>
      <c r="B943" s="206">
        <f>IFERROR(__xludf.DUMMYFUNCTION("""COMPUTED_VALUE"""),44710.0)</f>
        <v>44710</v>
      </c>
      <c r="C943" s="207">
        <f>IFERROR(__xludf.DUMMYFUNCTION("""COMPUTED_VALUE"""),0.28252314814814816)</f>
        <v>0.2825231481</v>
      </c>
      <c r="D943" s="50"/>
      <c r="E943" s="58"/>
      <c r="F943" s="58"/>
      <c r="G943" s="58" t="str">
        <f>IFERROR(__xludf.DUMMYFUNCTION("""COMPUTED_VALUE"""),"Null")</f>
        <v>Null</v>
      </c>
      <c r="H943" s="206" t="str">
        <f>IFERROR(__xludf.DUMMYFUNCTION("""COMPUTED_VALUE"""),"Negative")</f>
        <v>Negative</v>
      </c>
      <c r="I943" s="207"/>
      <c r="J943" s="50"/>
      <c r="K943" s="50">
        <f>IFERROR(__xludf.DUMMYFUNCTION("""COMPUTED_VALUE"""),2.0)</f>
        <v>2</v>
      </c>
      <c r="L943" s="6"/>
      <c r="M943" s="55"/>
      <c r="N943" s="55">
        <f>IFERROR(__xludf.DUMMYFUNCTION("""COMPUTED_VALUE"""),1.0)</f>
        <v>1</v>
      </c>
      <c r="O943" s="55" t="str">
        <f t="shared" si="3"/>
        <v/>
      </c>
      <c r="P943" s="209"/>
      <c r="Q943" s="75" t="b">
        <f>VLOOKUP($B943,'Run Reconcile'!B$2:P1679,15,FALSE)</f>
        <v>1</v>
      </c>
      <c r="R943" s="211" t="str">
        <f t="array" ref="R943">IF($Q943, INDEX('Run Reconcile'!A$2:A1679,MATCH(B943,'Run Reconcile'!B$2:B1679,0),1),IFERROR(0/0,""))</f>
        <v>RUN-COMB_2022-05-29_RFR-050</v>
      </c>
      <c r="S943" s="165" t="str">
        <f t="shared" ref="S943:T943" si="1885">IF(COUNTIF(W$2:W1679, $A943) &gt; 0,TRUE,IFERROR(0/0,""))</f>
        <v/>
      </c>
      <c r="T943" s="165" t="str">
        <f t="shared" si="1885"/>
        <v/>
      </c>
      <c r="U943" s="147" t="str">
        <f t="array" ref="U943">IF(ISBLANK($R943), IF($S943,VLOOKUP($B943+1,'RFR Data - preExcl'!$BF$2:$BG1679,2,FALSE),IF($T943,INDEX('RFR Data - preExcl'!$BF$2:$BG1679,MATCH($B943,'RFR Data - preExcl'!$BF$2:$BF1679,0)+1,2),VLOOKUP($B943,'RFR Data - preExcl'!$BF$2:$BG1679,2,FALSE))),IFERROR(0/0,""))</f>
        <v/>
      </c>
      <c r="V943" s="212" t="str">
        <f t="shared" si="5"/>
        <v>RUN-COMB_2022-05-29_RFR-050</v>
      </c>
      <c r="W943" s="51"/>
      <c r="X943" s="51"/>
      <c r="Y943" s="147" t="str">
        <f t="shared" ref="Y943:Z943" si="1886">IF(_xlfn.ISFORMULA(S943),IFERROR(0/0,""),TRUE)</f>
        <v/>
      </c>
      <c r="Z943" s="147" t="str">
        <f t="shared" si="1886"/>
        <v/>
      </c>
    </row>
    <row r="944">
      <c r="A944" s="6" t="str">
        <f>IFERROR(__xludf.DUMMYFUNCTION("""COMPUTED_VALUE"""),"FM2599")</f>
        <v>FM2599</v>
      </c>
      <c r="B944" s="206">
        <f>IFERROR(__xludf.DUMMYFUNCTION("""COMPUTED_VALUE"""),44710.0)</f>
        <v>44710</v>
      </c>
      <c r="C944" s="207">
        <f>IFERROR(__xludf.DUMMYFUNCTION("""COMPUTED_VALUE"""),0.2836342592592593)</f>
        <v>0.2836342593</v>
      </c>
      <c r="D944" s="50"/>
      <c r="E944" s="58"/>
      <c r="F944" s="58"/>
      <c r="G944" s="58" t="str">
        <f>IFERROR(__xludf.DUMMYFUNCTION("""COMPUTED_VALUE"""),"Null")</f>
        <v>Null</v>
      </c>
      <c r="H944" s="206" t="str">
        <f>IFERROR(__xludf.DUMMYFUNCTION("""COMPUTED_VALUE"""),"Negative")</f>
        <v>Negative</v>
      </c>
      <c r="I944" s="207"/>
      <c r="J944" s="50"/>
      <c r="K944" s="50">
        <f>IFERROR(__xludf.DUMMYFUNCTION("""COMPUTED_VALUE"""),2.0)</f>
        <v>2</v>
      </c>
      <c r="L944" s="6"/>
      <c r="M944" s="55"/>
      <c r="N944" s="55">
        <f>IFERROR(__xludf.DUMMYFUNCTION("""COMPUTED_VALUE"""),1.0)</f>
        <v>1</v>
      </c>
      <c r="O944" s="55" t="str">
        <f t="shared" si="3"/>
        <v/>
      </c>
      <c r="P944" s="209"/>
      <c r="Q944" s="75" t="b">
        <f>VLOOKUP($B944,'Run Reconcile'!B$2:P1679,15,FALSE)</f>
        <v>1</v>
      </c>
      <c r="R944" s="211" t="str">
        <f t="array" ref="R944">IF($Q944, INDEX('Run Reconcile'!A$2:A1679,MATCH(B944,'Run Reconcile'!B$2:B1679,0),1),IFERROR(0/0,""))</f>
        <v>RUN-COMB_2022-05-29_RFR-050</v>
      </c>
      <c r="S944" s="165" t="str">
        <f t="shared" ref="S944:T944" si="1887">IF(COUNTIF(W$2:W1679, $A944) &gt; 0,TRUE,IFERROR(0/0,""))</f>
        <v/>
      </c>
      <c r="T944" s="165" t="str">
        <f t="shared" si="1887"/>
        <v/>
      </c>
      <c r="U944" s="147" t="str">
        <f t="array" ref="U944">IF(ISBLANK($R944), IF($S944,VLOOKUP($B944+1,'RFR Data - preExcl'!$BF$2:$BG1679,2,FALSE),IF($T944,INDEX('RFR Data - preExcl'!$BF$2:$BG1679,MATCH($B944,'RFR Data - preExcl'!$BF$2:$BF1679,0)+1,2),VLOOKUP($B944,'RFR Data - preExcl'!$BF$2:$BG1679,2,FALSE))),IFERROR(0/0,""))</f>
        <v/>
      </c>
      <c r="V944" s="212" t="str">
        <f t="shared" si="5"/>
        <v>RUN-COMB_2022-05-29_RFR-050</v>
      </c>
      <c r="W944" s="51"/>
      <c r="X944" s="51"/>
      <c r="Y944" s="147" t="str">
        <f t="shared" ref="Y944:Z944" si="1888">IF(_xlfn.ISFORMULA(S944),IFERROR(0/0,""),TRUE)</f>
        <v/>
      </c>
      <c r="Z944" s="147" t="str">
        <f t="shared" si="1888"/>
        <v/>
      </c>
    </row>
    <row r="945">
      <c r="A945" s="6" t="str">
        <f>IFERROR(__xludf.DUMMYFUNCTION("""COMPUTED_VALUE"""),"FM2661")</f>
        <v>FM2661</v>
      </c>
      <c r="B945" s="206">
        <f>IFERROR(__xludf.DUMMYFUNCTION("""COMPUTED_VALUE"""),44710.0)</f>
        <v>44710</v>
      </c>
      <c r="C945" s="207">
        <f>IFERROR(__xludf.DUMMYFUNCTION("""COMPUTED_VALUE"""),0.2860300925925926)</f>
        <v>0.2860300926</v>
      </c>
      <c r="D945" s="50"/>
      <c r="E945" s="58"/>
      <c r="F945" s="58"/>
      <c r="G945" s="58" t="str">
        <f>IFERROR(__xludf.DUMMYFUNCTION("""COMPUTED_VALUE"""),"Null")</f>
        <v>Null</v>
      </c>
      <c r="H945" s="206" t="str">
        <f>IFERROR(__xludf.DUMMYFUNCTION("""COMPUTED_VALUE"""),"Negative")</f>
        <v>Negative</v>
      </c>
      <c r="I945" s="207"/>
      <c r="J945" s="50"/>
      <c r="K945" s="50">
        <f>IFERROR(__xludf.DUMMYFUNCTION("""COMPUTED_VALUE"""),2.0)</f>
        <v>2</v>
      </c>
      <c r="L945" s="6"/>
      <c r="M945" s="55"/>
      <c r="N945" s="55">
        <f>IFERROR(__xludf.DUMMYFUNCTION("""COMPUTED_VALUE"""),1.0)</f>
        <v>1</v>
      </c>
      <c r="O945" s="55" t="str">
        <f t="shared" si="3"/>
        <v/>
      </c>
      <c r="P945" s="209"/>
      <c r="Q945" s="75" t="b">
        <f>VLOOKUP($B945,'Run Reconcile'!B$2:P1679,15,FALSE)</f>
        <v>1</v>
      </c>
      <c r="R945" s="211" t="str">
        <f t="array" ref="R945">IF($Q945, INDEX('Run Reconcile'!A$2:A1679,MATCH(B945,'Run Reconcile'!B$2:B1679,0),1),IFERROR(0/0,""))</f>
        <v>RUN-COMB_2022-05-29_RFR-050</v>
      </c>
      <c r="S945" s="165" t="str">
        <f t="shared" ref="S945:T945" si="1889">IF(COUNTIF(W$2:W1679, $A945) &gt; 0,TRUE,IFERROR(0/0,""))</f>
        <v/>
      </c>
      <c r="T945" s="165" t="str">
        <f t="shared" si="1889"/>
        <v/>
      </c>
      <c r="U945" s="147" t="str">
        <f t="array" ref="U945">IF(ISBLANK($R945), IF($S945,VLOOKUP($B945+1,'RFR Data - preExcl'!$BF$2:$BG1679,2,FALSE),IF($T945,INDEX('RFR Data - preExcl'!$BF$2:$BG1679,MATCH($B945,'RFR Data - preExcl'!$BF$2:$BF1679,0)+1,2),VLOOKUP($B945,'RFR Data - preExcl'!$BF$2:$BG1679,2,FALSE))),IFERROR(0/0,""))</f>
        <v/>
      </c>
      <c r="V945" s="212" t="str">
        <f t="shared" si="5"/>
        <v>RUN-COMB_2022-05-29_RFR-050</v>
      </c>
      <c r="W945" s="51"/>
      <c r="X945" s="51"/>
      <c r="Y945" s="147" t="str">
        <f t="shared" ref="Y945:Z945" si="1890">IF(_xlfn.ISFORMULA(S945),IFERROR(0/0,""),TRUE)</f>
        <v/>
      </c>
      <c r="Z945" s="147" t="str">
        <f t="shared" si="1890"/>
        <v/>
      </c>
    </row>
    <row r="946">
      <c r="A946" s="6" t="str">
        <f>IFERROR(__xludf.DUMMYFUNCTION("""COMPUTED_VALUE"""),"FM2592")</f>
        <v>FM2592</v>
      </c>
      <c r="B946" s="206">
        <f>IFERROR(__xludf.DUMMYFUNCTION("""COMPUTED_VALUE"""),44710.0)</f>
        <v>44710</v>
      </c>
      <c r="C946" s="207">
        <f>IFERROR(__xludf.DUMMYFUNCTION("""COMPUTED_VALUE"""),0.2941550925925926)</f>
        <v>0.2941550926</v>
      </c>
      <c r="D946" s="50"/>
      <c r="E946" s="58"/>
      <c r="F946" s="58"/>
      <c r="G946" s="58" t="str">
        <f>IFERROR(__xludf.DUMMYFUNCTION("""COMPUTED_VALUE"""),"Null")</f>
        <v>Null</v>
      </c>
      <c r="H946" s="206" t="str">
        <f>IFERROR(__xludf.DUMMYFUNCTION("""COMPUTED_VALUE"""),"Negative")</f>
        <v>Negative</v>
      </c>
      <c r="I946" s="207"/>
      <c r="J946" s="50"/>
      <c r="K946" s="50">
        <f>IFERROR(__xludf.DUMMYFUNCTION("""COMPUTED_VALUE"""),2.0)</f>
        <v>2</v>
      </c>
      <c r="L946" s="6"/>
      <c r="M946" s="55"/>
      <c r="N946" s="55">
        <f>IFERROR(__xludf.DUMMYFUNCTION("""COMPUTED_VALUE"""),1.0)</f>
        <v>1</v>
      </c>
      <c r="O946" s="55" t="str">
        <f t="shared" si="3"/>
        <v/>
      </c>
      <c r="P946" s="209"/>
      <c r="Q946" s="75" t="b">
        <f>VLOOKUP($B946,'Run Reconcile'!B$2:P1679,15,FALSE)</f>
        <v>1</v>
      </c>
      <c r="R946" s="211" t="str">
        <f t="array" ref="R946">IF($Q946, INDEX('Run Reconcile'!A$2:A1679,MATCH(B946,'Run Reconcile'!B$2:B1679,0),1),IFERROR(0/0,""))</f>
        <v>RUN-COMB_2022-05-29_RFR-050</v>
      </c>
      <c r="S946" s="165" t="str">
        <f t="shared" ref="S946:T946" si="1891">IF(COUNTIF(W$2:W1679, $A946) &gt; 0,TRUE,IFERROR(0/0,""))</f>
        <v/>
      </c>
      <c r="T946" s="165" t="str">
        <f t="shared" si="1891"/>
        <v/>
      </c>
      <c r="U946" s="147" t="str">
        <f t="array" ref="U946">IF(ISBLANK($R946), IF($S946,VLOOKUP($B946+1,'RFR Data - preExcl'!$BF$2:$BG1679,2,FALSE),IF($T946,INDEX('RFR Data - preExcl'!$BF$2:$BG1679,MATCH($B946,'RFR Data - preExcl'!$BF$2:$BF1679,0)+1,2),VLOOKUP($B946,'RFR Data - preExcl'!$BF$2:$BG1679,2,FALSE))),IFERROR(0/0,""))</f>
        <v/>
      </c>
      <c r="V946" s="212" t="str">
        <f t="shared" si="5"/>
        <v>RUN-COMB_2022-05-29_RFR-050</v>
      </c>
      <c r="W946" s="51"/>
      <c r="X946" s="51"/>
      <c r="Y946" s="147" t="str">
        <f t="shared" ref="Y946:Z946" si="1892">IF(_xlfn.ISFORMULA(S946),IFERROR(0/0,""),TRUE)</f>
        <v/>
      </c>
      <c r="Z946" s="147" t="str">
        <f t="shared" si="1892"/>
        <v/>
      </c>
    </row>
    <row r="947">
      <c r="A947" s="6" t="str">
        <f>IFERROR(__xludf.DUMMYFUNCTION("""COMPUTED_VALUE"""),"FM2649")</f>
        <v>FM2649</v>
      </c>
      <c r="B947" s="206">
        <f>IFERROR(__xludf.DUMMYFUNCTION("""COMPUTED_VALUE"""),44710.0)</f>
        <v>44710</v>
      </c>
      <c r="C947" s="207">
        <f>IFERROR(__xludf.DUMMYFUNCTION("""COMPUTED_VALUE"""),0.29444444444444445)</f>
        <v>0.2944444444</v>
      </c>
      <c r="D947" s="50"/>
      <c r="E947" s="58"/>
      <c r="F947" s="58"/>
      <c r="G947" s="58" t="str">
        <f>IFERROR(__xludf.DUMMYFUNCTION("""COMPUTED_VALUE"""),"Null")</f>
        <v>Null</v>
      </c>
      <c r="H947" s="206" t="str">
        <f>IFERROR(__xludf.DUMMYFUNCTION("""COMPUTED_VALUE"""),"Negative")</f>
        <v>Negative</v>
      </c>
      <c r="I947" s="207"/>
      <c r="J947" s="50"/>
      <c r="K947" s="50">
        <f>IFERROR(__xludf.DUMMYFUNCTION("""COMPUTED_VALUE"""),2.0)</f>
        <v>2</v>
      </c>
      <c r="L947" s="6"/>
      <c r="M947" s="55"/>
      <c r="N947" s="55">
        <f>IFERROR(__xludf.DUMMYFUNCTION("""COMPUTED_VALUE"""),1.0)</f>
        <v>1</v>
      </c>
      <c r="O947" s="55" t="str">
        <f t="shared" si="3"/>
        <v/>
      </c>
      <c r="P947" s="209"/>
      <c r="Q947" s="75" t="b">
        <f>VLOOKUP($B947,'Run Reconcile'!B$2:P1679,15,FALSE)</f>
        <v>1</v>
      </c>
      <c r="R947" s="211" t="str">
        <f t="array" ref="R947">IF($Q947, INDEX('Run Reconcile'!A$2:A1679,MATCH(B947,'Run Reconcile'!B$2:B1679,0),1),IFERROR(0/0,""))</f>
        <v>RUN-COMB_2022-05-29_RFR-050</v>
      </c>
      <c r="S947" s="165" t="str">
        <f t="shared" ref="S947:T947" si="1893">IF(COUNTIF(W$2:W1679, $A947) &gt; 0,TRUE,IFERROR(0/0,""))</f>
        <v/>
      </c>
      <c r="T947" s="165" t="str">
        <f t="shared" si="1893"/>
        <v/>
      </c>
      <c r="U947" s="147" t="str">
        <f t="array" ref="U947">IF(ISBLANK($R947), IF($S947,VLOOKUP($B947+1,'RFR Data - preExcl'!$BF$2:$BG1679,2,FALSE),IF($T947,INDEX('RFR Data - preExcl'!$BF$2:$BG1679,MATCH($B947,'RFR Data - preExcl'!$BF$2:$BF1679,0)+1,2),VLOOKUP($B947,'RFR Data - preExcl'!$BF$2:$BG1679,2,FALSE))),IFERROR(0/0,""))</f>
        <v/>
      </c>
      <c r="V947" s="212" t="str">
        <f t="shared" si="5"/>
        <v>RUN-COMB_2022-05-29_RFR-050</v>
      </c>
      <c r="W947" s="51"/>
      <c r="X947" s="51"/>
      <c r="Y947" s="147" t="str">
        <f t="shared" ref="Y947:Z947" si="1894">IF(_xlfn.ISFORMULA(S947),IFERROR(0/0,""),TRUE)</f>
        <v/>
      </c>
      <c r="Z947" s="147" t="str">
        <f t="shared" si="1894"/>
        <v/>
      </c>
    </row>
    <row r="948">
      <c r="A948" s="6" t="str">
        <f>IFERROR(__xludf.DUMMYFUNCTION("""COMPUTED_VALUE"""),"FM2671")</f>
        <v>FM2671</v>
      </c>
      <c r="B948" s="206">
        <f>IFERROR(__xludf.DUMMYFUNCTION("""COMPUTED_VALUE"""),44710.0)</f>
        <v>44710</v>
      </c>
      <c r="C948" s="207">
        <f>IFERROR(__xludf.DUMMYFUNCTION("""COMPUTED_VALUE"""),0.29483796296296294)</f>
        <v>0.294837963</v>
      </c>
      <c r="D948" s="50"/>
      <c r="E948" s="58"/>
      <c r="F948" s="58"/>
      <c r="G948" s="58" t="str">
        <f>IFERROR(__xludf.DUMMYFUNCTION("""COMPUTED_VALUE"""),"Null")</f>
        <v>Null</v>
      </c>
      <c r="H948" s="206" t="str">
        <f>IFERROR(__xludf.DUMMYFUNCTION("""COMPUTED_VALUE"""),"Negative")</f>
        <v>Negative</v>
      </c>
      <c r="I948" s="207"/>
      <c r="J948" s="50"/>
      <c r="K948" s="50">
        <f>IFERROR(__xludf.DUMMYFUNCTION("""COMPUTED_VALUE"""),2.0)</f>
        <v>2</v>
      </c>
      <c r="L948" s="6"/>
      <c r="M948" s="55"/>
      <c r="N948" s="55">
        <f>IFERROR(__xludf.DUMMYFUNCTION("""COMPUTED_VALUE"""),1.0)</f>
        <v>1</v>
      </c>
      <c r="O948" s="55" t="str">
        <f t="shared" si="3"/>
        <v/>
      </c>
      <c r="P948" s="209"/>
      <c r="Q948" s="75" t="b">
        <f>VLOOKUP($B948,'Run Reconcile'!B$2:P1679,15,FALSE)</f>
        <v>1</v>
      </c>
      <c r="R948" s="211" t="str">
        <f t="array" ref="R948">IF($Q948, INDEX('Run Reconcile'!A$2:A1679,MATCH(B948,'Run Reconcile'!B$2:B1679,0),1),IFERROR(0/0,""))</f>
        <v>RUN-COMB_2022-05-29_RFR-050</v>
      </c>
      <c r="S948" s="165" t="str">
        <f t="shared" ref="S948:T948" si="1895">IF(COUNTIF(W$2:W1679, $A948) &gt; 0,TRUE,IFERROR(0/0,""))</f>
        <v/>
      </c>
      <c r="T948" s="165" t="str">
        <f t="shared" si="1895"/>
        <v/>
      </c>
      <c r="U948" s="147" t="str">
        <f t="array" ref="U948">IF(ISBLANK($R948), IF($S948,VLOOKUP($B948+1,'RFR Data - preExcl'!$BF$2:$BG1679,2,FALSE),IF($T948,INDEX('RFR Data - preExcl'!$BF$2:$BG1679,MATCH($B948,'RFR Data - preExcl'!$BF$2:$BF1679,0)+1,2),VLOOKUP($B948,'RFR Data - preExcl'!$BF$2:$BG1679,2,FALSE))),IFERROR(0/0,""))</f>
        <v/>
      </c>
      <c r="V948" s="212" t="str">
        <f t="shared" si="5"/>
        <v>RUN-COMB_2022-05-29_RFR-050</v>
      </c>
      <c r="W948" s="51"/>
      <c r="X948" s="51"/>
      <c r="Y948" s="147" t="str">
        <f t="shared" ref="Y948:Z948" si="1896">IF(_xlfn.ISFORMULA(S948),IFERROR(0/0,""),TRUE)</f>
        <v/>
      </c>
      <c r="Z948" s="147" t="str">
        <f t="shared" si="1896"/>
        <v/>
      </c>
    </row>
    <row r="949">
      <c r="A949" s="6" t="str">
        <f>IFERROR(__xludf.DUMMYFUNCTION("""COMPUTED_VALUE"""),"FM2591")</f>
        <v>FM2591</v>
      </c>
      <c r="B949" s="206">
        <f>IFERROR(__xludf.DUMMYFUNCTION("""COMPUTED_VALUE"""),44711.0)</f>
        <v>44711</v>
      </c>
      <c r="C949" s="207">
        <f>IFERROR(__xludf.DUMMYFUNCTION("""COMPUTED_VALUE"""),0.6883449074074074)</f>
        <v>0.6883449074</v>
      </c>
      <c r="D949" s="50"/>
      <c r="E949" s="58"/>
      <c r="F949" s="58"/>
      <c r="G949" s="58" t="str">
        <f>IFERROR(__xludf.DUMMYFUNCTION("""COMPUTED_VALUE"""),"Null")</f>
        <v>Null</v>
      </c>
      <c r="H949" s="206" t="str">
        <f>IFERROR(__xludf.DUMMYFUNCTION("""COMPUTED_VALUE"""),"Negative")</f>
        <v>Negative</v>
      </c>
      <c r="I949" s="207">
        <f>IFERROR(__xludf.DUMMYFUNCTION("""COMPUTED_VALUE"""),44711.0)</f>
        <v>44711</v>
      </c>
      <c r="J949" s="208">
        <f>IFERROR(__xludf.DUMMYFUNCTION("""COMPUTED_VALUE"""),0.8091898148148148)</f>
        <v>0.8091898148</v>
      </c>
      <c r="K949" s="50">
        <f>IFERROR(__xludf.DUMMYFUNCTION("""COMPUTED_VALUE"""),2.0)</f>
        <v>2</v>
      </c>
      <c r="L949" s="6"/>
      <c r="M949" s="55"/>
      <c r="N949" s="55">
        <f>IFERROR(__xludf.DUMMYFUNCTION("""COMPUTED_VALUE"""),1.0)</f>
        <v>1</v>
      </c>
      <c r="O949" s="55" t="b">
        <f t="shared" si="3"/>
        <v>1</v>
      </c>
      <c r="P949" s="209"/>
      <c r="Q949" s="75" t="b">
        <f>VLOOKUP($B949,'Run Reconcile'!B$2:P1679,15,FALSE)</f>
        <v>1</v>
      </c>
      <c r="R949" s="211" t="str">
        <f t="array" ref="R949">IF($Q949, INDEX('Run Reconcile'!A$2:A1679,MATCH(B949,'Run Reconcile'!B$2:B1679,0),1),IFERROR(0/0,""))</f>
        <v>RUN-COMB_2022-05-30_RFR-051</v>
      </c>
      <c r="S949" s="165" t="str">
        <f t="shared" ref="S949:T949" si="1897">IF(COUNTIF(W$2:W1679, $A949) &gt; 0,TRUE,IFERROR(0/0,""))</f>
        <v/>
      </c>
      <c r="T949" s="165" t="str">
        <f t="shared" si="1897"/>
        <v/>
      </c>
      <c r="U949" s="147" t="str">
        <f t="array" ref="U949">IF(ISBLANK($R949), IF($S949,VLOOKUP($B949+1,'RFR Data - preExcl'!$BF$2:$BG1679,2,FALSE),IF($T949,INDEX('RFR Data - preExcl'!$BF$2:$BG1679,MATCH($B949,'RFR Data - preExcl'!$BF$2:$BF1679,0)+1,2),VLOOKUP($B949,'RFR Data - preExcl'!$BF$2:$BG1679,2,FALSE))),IFERROR(0/0,""))</f>
        <v/>
      </c>
      <c r="V949" s="212" t="str">
        <f t="shared" si="5"/>
        <v>RUN-COMB_2022-05-30_RFR-051</v>
      </c>
      <c r="W949" s="51"/>
      <c r="X949" s="51"/>
      <c r="Y949" s="147" t="str">
        <f t="shared" ref="Y949:Z949" si="1898">IF(_xlfn.ISFORMULA(S949),IFERROR(0/0,""),TRUE)</f>
        <v/>
      </c>
      <c r="Z949" s="147" t="str">
        <f t="shared" si="1898"/>
        <v/>
      </c>
    </row>
    <row r="950">
      <c r="A950" s="6" t="str">
        <f>IFERROR(__xludf.DUMMYFUNCTION("""COMPUTED_VALUE"""),"FM2688")</f>
        <v>FM2688</v>
      </c>
      <c r="B950" s="206">
        <f>IFERROR(__xludf.DUMMYFUNCTION("""COMPUTED_VALUE"""),44711.0)</f>
        <v>44711</v>
      </c>
      <c r="C950" s="207">
        <f>IFERROR(__xludf.DUMMYFUNCTION("""COMPUTED_VALUE"""),0.6887037037037037)</f>
        <v>0.6887037037</v>
      </c>
      <c r="D950" s="50"/>
      <c r="E950" s="58"/>
      <c r="F950" s="58"/>
      <c r="G950" s="58" t="str">
        <f>IFERROR(__xludf.DUMMYFUNCTION("""COMPUTED_VALUE"""),"Null")</f>
        <v>Null</v>
      </c>
      <c r="H950" s="206" t="str">
        <f>IFERROR(__xludf.DUMMYFUNCTION("""COMPUTED_VALUE"""),"Negative")</f>
        <v>Negative</v>
      </c>
      <c r="I950" s="207">
        <f>IFERROR(__xludf.DUMMYFUNCTION("""COMPUTED_VALUE"""),44711.0)</f>
        <v>44711</v>
      </c>
      <c r="J950" s="208">
        <f>IFERROR(__xludf.DUMMYFUNCTION("""COMPUTED_VALUE"""),0.809212962962963)</f>
        <v>0.809212963</v>
      </c>
      <c r="K950" s="50">
        <f>IFERROR(__xludf.DUMMYFUNCTION("""COMPUTED_VALUE"""),2.0)</f>
        <v>2</v>
      </c>
      <c r="L950" s="6"/>
      <c r="M950" s="55"/>
      <c r="N950" s="55">
        <f>IFERROR(__xludf.DUMMYFUNCTION("""COMPUTED_VALUE"""),1.0)</f>
        <v>1</v>
      </c>
      <c r="O950" s="55" t="str">
        <f t="shared" si="3"/>
        <v/>
      </c>
      <c r="P950" s="209"/>
      <c r="Q950" s="75" t="b">
        <f>VLOOKUP($B950,'Run Reconcile'!B$2:P1679,15,FALSE)</f>
        <v>1</v>
      </c>
      <c r="R950" s="211" t="str">
        <f t="array" ref="R950">IF($Q950, INDEX('Run Reconcile'!A$2:A1679,MATCH(B950,'Run Reconcile'!B$2:B1679,0),1),IFERROR(0/0,""))</f>
        <v>RUN-COMB_2022-05-30_RFR-051</v>
      </c>
      <c r="S950" s="165" t="str">
        <f t="shared" ref="S950:T950" si="1899">IF(COUNTIF(W$2:W1679, $A950) &gt; 0,TRUE,IFERROR(0/0,""))</f>
        <v/>
      </c>
      <c r="T950" s="165" t="str">
        <f t="shared" si="1899"/>
        <v/>
      </c>
      <c r="U950" s="147" t="str">
        <f t="array" ref="U950">IF(ISBLANK($R950), IF($S950,VLOOKUP($B950+1,'RFR Data - preExcl'!$BF$2:$BG1679,2,FALSE),IF($T950,INDEX('RFR Data - preExcl'!$BF$2:$BG1679,MATCH($B950,'RFR Data - preExcl'!$BF$2:$BF1679,0)+1,2),VLOOKUP($B950,'RFR Data - preExcl'!$BF$2:$BG1679,2,FALSE))),IFERROR(0/0,""))</f>
        <v/>
      </c>
      <c r="V950" s="212" t="str">
        <f t="shared" si="5"/>
        <v>RUN-COMB_2022-05-30_RFR-051</v>
      </c>
      <c r="W950" s="51"/>
      <c r="X950" s="51"/>
      <c r="Y950" s="147" t="str">
        <f t="shared" ref="Y950:Z950" si="1900">IF(_xlfn.ISFORMULA(S950),IFERROR(0/0,""),TRUE)</f>
        <v/>
      </c>
      <c r="Z950" s="147" t="str">
        <f t="shared" si="1900"/>
        <v/>
      </c>
    </row>
    <row r="951">
      <c r="A951" s="6" t="str">
        <f>IFERROR(__xludf.DUMMYFUNCTION("""COMPUTED_VALUE"""),"FM2600")</f>
        <v>FM2600</v>
      </c>
      <c r="B951" s="206">
        <f>IFERROR(__xludf.DUMMYFUNCTION("""COMPUTED_VALUE"""),44711.0)</f>
        <v>44711</v>
      </c>
      <c r="C951" s="207">
        <f>IFERROR(__xludf.DUMMYFUNCTION("""COMPUTED_VALUE"""),0.6890625)</f>
        <v>0.6890625</v>
      </c>
      <c r="D951" s="50"/>
      <c r="E951" s="58"/>
      <c r="F951" s="58"/>
      <c r="G951" s="58" t="str">
        <f>IFERROR(__xludf.DUMMYFUNCTION("""COMPUTED_VALUE"""),"Null")</f>
        <v>Null</v>
      </c>
      <c r="H951" s="206" t="str">
        <f>IFERROR(__xludf.DUMMYFUNCTION("""COMPUTED_VALUE"""),"Negative")</f>
        <v>Negative</v>
      </c>
      <c r="I951" s="207">
        <f>IFERROR(__xludf.DUMMYFUNCTION("""COMPUTED_VALUE"""),44711.0)</f>
        <v>44711</v>
      </c>
      <c r="J951" s="208">
        <f>IFERROR(__xludf.DUMMYFUNCTION("""COMPUTED_VALUE"""),0.809224537037037)</f>
        <v>0.809224537</v>
      </c>
      <c r="K951" s="50">
        <f>IFERROR(__xludf.DUMMYFUNCTION("""COMPUTED_VALUE"""),2.0)</f>
        <v>2</v>
      </c>
      <c r="L951" s="6"/>
      <c r="M951" s="55"/>
      <c r="N951" s="55">
        <f>IFERROR(__xludf.DUMMYFUNCTION("""COMPUTED_VALUE"""),1.0)</f>
        <v>1</v>
      </c>
      <c r="O951" s="55" t="str">
        <f t="shared" si="3"/>
        <v/>
      </c>
      <c r="P951" s="209"/>
      <c r="Q951" s="75" t="b">
        <f>VLOOKUP($B951,'Run Reconcile'!B$2:P1679,15,FALSE)</f>
        <v>1</v>
      </c>
      <c r="R951" s="211" t="str">
        <f t="array" ref="R951">IF($Q951, INDEX('Run Reconcile'!A$2:A1679,MATCH(B951,'Run Reconcile'!B$2:B1679,0),1),IFERROR(0/0,""))</f>
        <v>RUN-COMB_2022-05-30_RFR-051</v>
      </c>
      <c r="S951" s="165" t="str">
        <f t="shared" ref="S951:T951" si="1901">IF(COUNTIF(W$2:W1679, $A951) &gt; 0,TRUE,IFERROR(0/0,""))</f>
        <v/>
      </c>
      <c r="T951" s="165" t="str">
        <f t="shared" si="1901"/>
        <v/>
      </c>
      <c r="U951" s="147" t="str">
        <f t="array" ref="U951">IF(ISBLANK($R951), IF($S951,VLOOKUP($B951+1,'RFR Data - preExcl'!$BF$2:$BG1679,2,FALSE),IF($T951,INDEX('RFR Data - preExcl'!$BF$2:$BG1679,MATCH($B951,'RFR Data - preExcl'!$BF$2:$BF1679,0)+1,2),VLOOKUP($B951,'RFR Data - preExcl'!$BF$2:$BG1679,2,FALSE))),IFERROR(0/0,""))</f>
        <v/>
      </c>
      <c r="V951" s="212" t="str">
        <f t="shared" si="5"/>
        <v>RUN-COMB_2022-05-30_RFR-051</v>
      </c>
      <c r="W951" s="51"/>
      <c r="X951" s="51"/>
      <c r="Y951" s="147" t="str">
        <f t="shared" ref="Y951:Z951" si="1902">IF(_xlfn.ISFORMULA(S951),IFERROR(0/0,""),TRUE)</f>
        <v/>
      </c>
      <c r="Z951" s="147" t="str">
        <f t="shared" si="1902"/>
        <v/>
      </c>
    </row>
    <row r="952">
      <c r="A952" s="6" t="str">
        <f>IFERROR(__xludf.DUMMYFUNCTION("""COMPUTED_VALUE"""),"FM2689")</f>
        <v>FM2689</v>
      </c>
      <c r="B952" s="206">
        <f>IFERROR(__xludf.DUMMYFUNCTION("""COMPUTED_VALUE"""),44711.0)</f>
        <v>44711</v>
      </c>
      <c r="C952" s="207">
        <f>IFERROR(__xludf.DUMMYFUNCTION("""COMPUTED_VALUE"""),0.6895717592592593)</f>
        <v>0.6895717593</v>
      </c>
      <c r="D952" s="50"/>
      <c r="E952" s="58"/>
      <c r="F952" s="58"/>
      <c r="G952" s="58" t="str">
        <f>IFERROR(__xludf.DUMMYFUNCTION("""COMPUTED_VALUE"""),"Null")</f>
        <v>Null</v>
      </c>
      <c r="H952" s="206" t="str">
        <f>IFERROR(__xludf.DUMMYFUNCTION("""COMPUTED_VALUE"""),"Negative")</f>
        <v>Negative</v>
      </c>
      <c r="I952" s="207">
        <f>IFERROR(__xludf.DUMMYFUNCTION("""COMPUTED_VALUE"""),44711.0)</f>
        <v>44711</v>
      </c>
      <c r="J952" s="208">
        <f>IFERROR(__xludf.DUMMYFUNCTION("""COMPUTED_VALUE"""),0.8092361111111112)</f>
        <v>0.8092361111</v>
      </c>
      <c r="K952" s="50">
        <f>IFERROR(__xludf.DUMMYFUNCTION("""COMPUTED_VALUE"""),2.0)</f>
        <v>2</v>
      </c>
      <c r="L952" s="6"/>
      <c r="M952" s="55"/>
      <c r="N952" s="55">
        <f>IFERROR(__xludf.DUMMYFUNCTION("""COMPUTED_VALUE"""),1.0)</f>
        <v>1</v>
      </c>
      <c r="O952" s="55" t="str">
        <f t="shared" si="3"/>
        <v/>
      </c>
      <c r="P952" s="209"/>
      <c r="Q952" s="75" t="b">
        <f>VLOOKUP($B952,'Run Reconcile'!B$2:P1679,15,FALSE)</f>
        <v>1</v>
      </c>
      <c r="R952" s="211" t="str">
        <f t="array" ref="R952">IF($Q952, INDEX('Run Reconcile'!A$2:A1679,MATCH(B952,'Run Reconcile'!B$2:B1679,0),1),IFERROR(0/0,""))</f>
        <v>RUN-COMB_2022-05-30_RFR-051</v>
      </c>
      <c r="S952" s="165" t="str">
        <f t="shared" ref="S952:T952" si="1903">IF(COUNTIF(W$2:W1679, $A952) &gt; 0,TRUE,IFERROR(0/0,""))</f>
        <v/>
      </c>
      <c r="T952" s="165" t="str">
        <f t="shared" si="1903"/>
        <v/>
      </c>
      <c r="U952" s="147" t="str">
        <f t="array" ref="U952">IF(ISBLANK($R952), IF($S952,VLOOKUP($B952+1,'RFR Data - preExcl'!$BF$2:$BG1679,2,FALSE),IF($T952,INDEX('RFR Data - preExcl'!$BF$2:$BG1679,MATCH($B952,'RFR Data - preExcl'!$BF$2:$BF1679,0)+1,2),VLOOKUP($B952,'RFR Data - preExcl'!$BF$2:$BG1679,2,FALSE))),IFERROR(0/0,""))</f>
        <v/>
      </c>
      <c r="V952" s="212" t="str">
        <f t="shared" si="5"/>
        <v>RUN-COMB_2022-05-30_RFR-051</v>
      </c>
      <c r="W952" s="51"/>
      <c r="X952" s="51"/>
      <c r="Y952" s="147" t="str">
        <f t="shared" ref="Y952:Z952" si="1904">IF(_xlfn.ISFORMULA(S952),IFERROR(0/0,""),TRUE)</f>
        <v/>
      </c>
      <c r="Z952" s="147" t="str">
        <f t="shared" si="1904"/>
        <v/>
      </c>
    </row>
    <row r="953">
      <c r="A953" s="6" t="str">
        <f>IFERROR(__xludf.DUMMYFUNCTION("""COMPUTED_VALUE"""),"FM2631")</f>
        <v>FM2631</v>
      </c>
      <c r="B953" s="206">
        <f>IFERROR(__xludf.DUMMYFUNCTION("""COMPUTED_VALUE"""),44711.0)</f>
        <v>44711</v>
      </c>
      <c r="C953" s="207">
        <f>IFERROR(__xludf.DUMMYFUNCTION("""COMPUTED_VALUE"""),0.6899074074074074)</f>
        <v>0.6899074074</v>
      </c>
      <c r="D953" s="50"/>
      <c r="E953" s="58"/>
      <c r="F953" s="58"/>
      <c r="G953" s="58" t="str">
        <f>IFERROR(__xludf.DUMMYFUNCTION("""COMPUTED_VALUE"""),"Null")</f>
        <v>Null</v>
      </c>
      <c r="H953" s="206" t="str">
        <f>IFERROR(__xludf.DUMMYFUNCTION("""COMPUTED_VALUE"""),"Negative")</f>
        <v>Negative</v>
      </c>
      <c r="I953" s="207">
        <f>IFERROR(__xludf.DUMMYFUNCTION("""COMPUTED_VALUE"""),44711.0)</f>
        <v>44711</v>
      </c>
      <c r="J953" s="208">
        <f>IFERROR(__xludf.DUMMYFUNCTION("""COMPUTED_VALUE"""),0.8092708333333334)</f>
        <v>0.8092708333</v>
      </c>
      <c r="K953" s="50">
        <f>IFERROR(__xludf.DUMMYFUNCTION("""COMPUTED_VALUE"""),2.0)</f>
        <v>2</v>
      </c>
      <c r="L953" s="6"/>
      <c r="M953" s="55"/>
      <c r="N953" s="55">
        <f>IFERROR(__xludf.DUMMYFUNCTION("""COMPUTED_VALUE"""),1.0)</f>
        <v>1</v>
      </c>
      <c r="O953" s="55" t="str">
        <f t="shared" si="3"/>
        <v/>
      </c>
      <c r="P953" s="209"/>
      <c r="Q953" s="75" t="b">
        <f>VLOOKUP($B953,'Run Reconcile'!B$2:P1679,15,FALSE)</f>
        <v>1</v>
      </c>
      <c r="R953" s="211" t="str">
        <f t="array" ref="R953">IF($Q953, INDEX('Run Reconcile'!A$2:A1679,MATCH(B953,'Run Reconcile'!B$2:B1679,0),1),IFERROR(0/0,""))</f>
        <v>RUN-COMB_2022-05-30_RFR-051</v>
      </c>
      <c r="S953" s="165" t="str">
        <f t="shared" ref="S953:T953" si="1905">IF(COUNTIF(W$2:W1679, $A953) &gt; 0,TRUE,IFERROR(0/0,""))</f>
        <v/>
      </c>
      <c r="T953" s="165" t="str">
        <f t="shared" si="1905"/>
        <v/>
      </c>
      <c r="U953" s="147" t="str">
        <f t="array" ref="U953">IF(ISBLANK($R953), IF($S953,VLOOKUP($B953+1,'RFR Data - preExcl'!$BF$2:$BG1679,2,FALSE),IF($T953,INDEX('RFR Data - preExcl'!$BF$2:$BG1679,MATCH($B953,'RFR Data - preExcl'!$BF$2:$BF1679,0)+1,2),VLOOKUP($B953,'RFR Data - preExcl'!$BF$2:$BG1679,2,FALSE))),IFERROR(0/0,""))</f>
        <v/>
      </c>
      <c r="V953" s="212" t="str">
        <f t="shared" si="5"/>
        <v>RUN-COMB_2022-05-30_RFR-051</v>
      </c>
      <c r="W953" s="51"/>
      <c r="X953" s="51"/>
      <c r="Y953" s="147" t="str">
        <f t="shared" ref="Y953:Z953" si="1906">IF(_xlfn.ISFORMULA(S953),IFERROR(0/0,""),TRUE)</f>
        <v/>
      </c>
      <c r="Z953" s="147" t="str">
        <f t="shared" si="1906"/>
        <v/>
      </c>
    </row>
    <row r="954">
      <c r="A954" s="6" t="str">
        <f>IFERROR(__xludf.DUMMYFUNCTION("""COMPUTED_VALUE"""),"FM2657")</f>
        <v>FM2657</v>
      </c>
      <c r="B954" s="206">
        <f>IFERROR(__xludf.DUMMYFUNCTION("""COMPUTED_VALUE"""),44711.0)</f>
        <v>44711</v>
      </c>
      <c r="C954" s="207">
        <f>IFERROR(__xludf.DUMMYFUNCTION("""COMPUTED_VALUE"""),0.6902546296296296)</f>
        <v>0.6902546296</v>
      </c>
      <c r="D954" s="50"/>
      <c r="E954" s="58"/>
      <c r="F954" s="58"/>
      <c r="G954" s="58" t="str">
        <f>IFERROR(__xludf.DUMMYFUNCTION("""COMPUTED_VALUE"""),"Null")</f>
        <v>Null</v>
      </c>
      <c r="H954" s="206" t="str">
        <f>IFERROR(__xludf.DUMMYFUNCTION("""COMPUTED_VALUE"""),"Negative")</f>
        <v>Negative</v>
      </c>
      <c r="I954" s="207">
        <f>IFERROR(__xludf.DUMMYFUNCTION("""COMPUTED_VALUE"""),44711.0)</f>
        <v>44711</v>
      </c>
      <c r="J954" s="208">
        <f>IFERROR(__xludf.DUMMYFUNCTION("""COMPUTED_VALUE"""),0.8093055555555555)</f>
        <v>0.8093055556</v>
      </c>
      <c r="K954" s="50">
        <f>IFERROR(__xludf.DUMMYFUNCTION("""COMPUTED_VALUE"""),2.0)</f>
        <v>2</v>
      </c>
      <c r="L954" s="6"/>
      <c r="M954" s="55"/>
      <c r="N954" s="55">
        <f>IFERROR(__xludf.DUMMYFUNCTION("""COMPUTED_VALUE"""),1.0)</f>
        <v>1</v>
      </c>
      <c r="O954" s="55" t="str">
        <f t="shared" si="3"/>
        <v/>
      </c>
      <c r="P954" s="209"/>
      <c r="Q954" s="75" t="b">
        <f>VLOOKUP($B954,'Run Reconcile'!B$2:P1679,15,FALSE)</f>
        <v>1</v>
      </c>
      <c r="R954" s="211" t="str">
        <f t="array" ref="R954">IF($Q954, INDEX('Run Reconcile'!A$2:A1679,MATCH(B954,'Run Reconcile'!B$2:B1679,0),1),IFERROR(0/0,""))</f>
        <v>RUN-COMB_2022-05-30_RFR-051</v>
      </c>
      <c r="S954" s="165" t="str">
        <f t="shared" ref="S954:T954" si="1907">IF(COUNTIF(W$2:W1679, $A954) &gt; 0,TRUE,IFERROR(0/0,""))</f>
        <v/>
      </c>
      <c r="T954" s="165" t="str">
        <f t="shared" si="1907"/>
        <v/>
      </c>
      <c r="U954" s="147" t="str">
        <f t="array" ref="U954">IF(ISBLANK($R954), IF($S954,VLOOKUP($B954+1,'RFR Data - preExcl'!$BF$2:$BG1679,2,FALSE),IF($T954,INDEX('RFR Data - preExcl'!$BF$2:$BG1679,MATCH($B954,'RFR Data - preExcl'!$BF$2:$BF1679,0)+1,2),VLOOKUP($B954,'RFR Data - preExcl'!$BF$2:$BG1679,2,FALSE))),IFERROR(0/0,""))</f>
        <v/>
      </c>
      <c r="V954" s="212" t="str">
        <f t="shared" si="5"/>
        <v>RUN-COMB_2022-05-30_RFR-051</v>
      </c>
      <c r="W954" s="51"/>
      <c r="X954" s="51"/>
      <c r="Y954" s="147" t="str">
        <f t="shared" ref="Y954:Z954" si="1908">IF(_xlfn.ISFORMULA(S954),IFERROR(0/0,""),TRUE)</f>
        <v/>
      </c>
      <c r="Z954" s="147" t="str">
        <f t="shared" si="1908"/>
        <v/>
      </c>
    </row>
    <row r="955">
      <c r="A955" s="6" t="str">
        <f>IFERROR(__xludf.DUMMYFUNCTION("""COMPUTED_VALUE"""),"FM2608")</f>
        <v>FM2608</v>
      </c>
      <c r="B955" s="206">
        <f>IFERROR(__xludf.DUMMYFUNCTION("""COMPUTED_VALUE"""),44711.0)</f>
        <v>44711</v>
      </c>
      <c r="C955" s="207">
        <f>IFERROR(__xludf.DUMMYFUNCTION("""COMPUTED_VALUE"""),0.6907407407407408)</f>
        <v>0.6907407407</v>
      </c>
      <c r="D955" s="50"/>
      <c r="E955" s="58"/>
      <c r="F955" s="58"/>
      <c r="G955" s="58" t="str">
        <f>IFERROR(__xludf.DUMMYFUNCTION("""COMPUTED_VALUE"""),"Null")</f>
        <v>Null</v>
      </c>
      <c r="H955" s="206" t="str">
        <f>IFERROR(__xludf.DUMMYFUNCTION("""COMPUTED_VALUE"""),"Negative")</f>
        <v>Negative</v>
      </c>
      <c r="I955" s="207">
        <f>IFERROR(__xludf.DUMMYFUNCTION("""COMPUTED_VALUE"""),44711.0)</f>
        <v>44711</v>
      </c>
      <c r="J955" s="208">
        <f>IFERROR(__xludf.DUMMYFUNCTION("""COMPUTED_VALUE"""),0.8093518518518519)</f>
        <v>0.8093518519</v>
      </c>
      <c r="K955" s="50">
        <f>IFERROR(__xludf.DUMMYFUNCTION("""COMPUTED_VALUE"""),2.0)</f>
        <v>2</v>
      </c>
      <c r="L955" s="6"/>
      <c r="M955" s="55"/>
      <c r="N955" s="55">
        <f>IFERROR(__xludf.DUMMYFUNCTION("""COMPUTED_VALUE"""),1.0)</f>
        <v>1</v>
      </c>
      <c r="O955" s="55" t="str">
        <f t="shared" si="3"/>
        <v/>
      </c>
      <c r="P955" s="209"/>
      <c r="Q955" s="75" t="b">
        <f>VLOOKUP($B955,'Run Reconcile'!B$2:P1679,15,FALSE)</f>
        <v>1</v>
      </c>
      <c r="R955" s="211" t="str">
        <f t="array" ref="R955">IF($Q955, INDEX('Run Reconcile'!A$2:A1679,MATCH(B955,'Run Reconcile'!B$2:B1679,0),1),IFERROR(0/0,""))</f>
        <v>RUN-COMB_2022-05-30_RFR-051</v>
      </c>
      <c r="S955" s="165" t="str">
        <f t="shared" ref="S955:T955" si="1909">IF(COUNTIF(W$2:W1679, $A955) &gt; 0,TRUE,IFERROR(0/0,""))</f>
        <v/>
      </c>
      <c r="T955" s="165" t="str">
        <f t="shared" si="1909"/>
        <v/>
      </c>
      <c r="U955" s="147" t="str">
        <f t="array" ref="U955">IF(ISBLANK($R955), IF($S955,VLOOKUP($B955+1,'RFR Data - preExcl'!$BF$2:$BG1679,2,FALSE),IF($T955,INDEX('RFR Data - preExcl'!$BF$2:$BG1679,MATCH($B955,'RFR Data - preExcl'!$BF$2:$BF1679,0)+1,2),VLOOKUP($B955,'RFR Data - preExcl'!$BF$2:$BG1679,2,FALSE))),IFERROR(0/0,""))</f>
        <v/>
      </c>
      <c r="V955" s="212" t="str">
        <f t="shared" si="5"/>
        <v>RUN-COMB_2022-05-30_RFR-051</v>
      </c>
      <c r="W955" s="51"/>
      <c r="X955" s="51"/>
      <c r="Y955" s="147" t="str">
        <f t="shared" ref="Y955:Z955" si="1910">IF(_xlfn.ISFORMULA(S955),IFERROR(0/0,""),TRUE)</f>
        <v/>
      </c>
      <c r="Z955" s="147" t="str">
        <f t="shared" si="1910"/>
        <v/>
      </c>
    </row>
    <row r="956">
      <c r="A956" s="6" t="str">
        <f>IFERROR(__xludf.DUMMYFUNCTION("""COMPUTED_VALUE"""),"FM2648")</f>
        <v>FM2648</v>
      </c>
      <c r="B956" s="206">
        <f>IFERROR(__xludf.DUMMYFUNCTION("""COMPUTED_VALUE"""),44711.0)</f>
        <v>44711</v>
      </c>
      <c r="C956" s="207">
        <f>IFERROR(__xludf.DUMMYFUNCTION("""COMPUTED_VALUE"""),0.6911574074074074)</f>
        <v>0.6911574074</v>
      </c>
      <c r="D956" s="50"/>
      <c r="E956" s="58"/>
      <c r="F956" s="58"/>
      <c r="G956" s="58" t="str">
        <f>IFERROR(__xludf.DUMMYFUNCTION("""COMPUTED_VALUE"""),"Null")</f>
        <v>Null</v>
      </c>
      <c r="H956" s="206" t="str">
        <f>IFERROR(__xludf.DUMMYFUNCTION("""COMPUTED_VALUE"""),"Negative")</f>
        <v>Negative</v>
      </c>
      <c r="I956" s="207">
        <f>IFERROR(__xludf.DUMMYFUNCTION("""COMPUTED_VALUE"""),44711.0)</f>
        <v>44711</v>
      </c>
      <c r="J956" s="208">
        <f>IFERROR(__xludf.DUMMYFUNCTION("""COMPUTED_VALUE"""),0.8093981481481481)</f>
        <v>0.8093981481</v>
      </c>
      <c r="K956" s="50">
        <f>IFERROR(__xludf.DUMMYFUNCTION("""COMPUTED_VALUE"""),2.0)</f>
        <v>2</v>
      </c>
      <c r="L956" s="6"/>
      <c r="M956" s="55"/>
      <c r="N956" s="55">
        <f>IFERROR(__xludf.DUMMYFUNCTION("""COMPUTED_VALUE"""),1.0)</f>
        <v>1</v>
      </c>
      <c r="O956" s="55" t="str">
        <f t="shared" si="3"/>
        <v/>
      </c>
      <c r="P956" s="209"/>
      <c r="Q956" s="75" t="b">
        <f>VLOOKUP($B956,'Run Reconcile'!B$2:P1679,15,FALSE)</f>
        <v>1</v>
      </c>
      <c r="R956" s="211" t="str">
        <f t="array" ref="R956">IF($Q956, INDEX('Run Reconcile'!A$2:A1679,MATCH(B956,'Run Reconcile'!B$2:B1679,0),1),IFERROR(0/0,""))</f>
        <v>RUN-COMB_2022-05-30_RFR-051</v>
      </c>
      <c r="S956" s="165" t="str">
        <f t="shared" ref="S956:T956" si="1911">IF(COUNTIF(W$2:W1679, $A956) &gt; 0,TRUE,IFERROR(0/0,""))</f>
        <v/>
      </c>
      <c r="T956" s="165" t="str">
        <f t="shared" si="1911"/>
        <v/>
      </c>
      <c r="U956" s="147" t="str">
        <f t="array" ref="U956">IF(ISBLANK($R956), IF($S956,VLOOKUP($B956+1,'RFR Data - preExcl'!$BF$2:$BG1679,2,FALSE),IF($T956,INDEX('RFR Data - preExcl'!$BF$2:$BG1679,MATCH($B956,'RFR Data - preExcl'!$BF$2:$BF1679,0)+1,2),VLOOKUP($B956,'RFR Data - preExcl'!$BF$2:$BG1679,2,FALSE))),IFERROR(0/0,""))</f>
        <v/>
      </c>
      <c r="V956" s="212" t="str">
        <f t="shared" si="5"/>
        <v>RUN-COMB_2022-05-30_RFR-051</v>
      </c>
      <c r="W956" s="51"/>
      <c r="X956" s="51"/>
      <c r="Y956" s="147" t="str">
        <f t="shared" ref="Y956:Z956" si="1912">IF(_xlfn.ISFORMULA(S956),IFERROR(0/0,""),TRUE)</f>
        <v/>
      </c>
      <c r="Z956" s="147" t="str">
        <f t="shared" si="1912"/>
        <v/>
      </c>
    </row>
    <row r="957">
      <c r="A957" s="6" t="str">
        <f>IFERROR(__xludf.DUMMYFUNCTION("""COMPUTED_VALUE"""),"FM2644")</f>
        <v>FM2644</v>
      </c>
      <c r="B957" s="206">
        <f>IFERROR(__xludf.DUMMYFUNCTION("""COMPUTED_VALUE"""),44711.0)</f>
        <v>44711</v>
      </c>
      <c r="C957" s="207">
        <f>IFERROR(__xludf.DUMMYFUNCTION("""COMPUTED_VALUE"""),0.6915625)</f>
        <v>0.6915625</v>
      </c>
      <c r="D957" s="50"/>
      <c r="E957" s="58"/>
      <c r="F957" s="58"/>
      <c r="G957" s="58" t="str">
        <f>IFERROR(__xludf.DUMMYFUNCTION("""COMPUTED_VALUE"""),"Null")</f>
        <v>Null</v>
      </c>
      <c r="H957" s="206" t="str">
        <f>IFERROR(__xludf.DUMMYFUNCTION("""COMPUTED_VALUE"""),"Negative")</f>
        <v>Negative</v>
      </c>
      <c r="I957" s="207">
        <f>IFERROR(__xludf.DUMMYFUNCTION("""COMPUTED_VALUE"""),44711.0)</f>
        <v>44711</v>
      </c>
      <c r="J957" s="208">
        <f>IFERROR(__xludf.DUMMYFUNCTION("""COMPUTED_VALUE"""),0.8094328703703704)</f>
        <v>0.8094328704</v>
      </c>
      <c r="K957" s="50">
        <f>IFERROR(__xludf.DUMMYFUNCTION("""COMPUTED_VALUE"""),2.0)</f>
        <v>2</v>
      </c>
      <c r="L957" s="6"/>
      <c r="M957" s="55"/>
      <c r="N957" s="55">
        <f>IFERROR(__xludf.DUMMYFUNCTION("""COMPUTED_VALUE"""),1.0)</f>
        <v>1</v>
      </c>
      <c r="O957" s="55" t="str">
        <f t="shared" si="3"/>
        <v/>
      </c>
      <c r="P957" s="209"/>
      <c r="Q957" s="75" t="b">
        <f>VLOOKUP($B957,'Run Reconcile'!B$2:P1679,15,FALSE)</f>
        <v>1</v>
      </c>
      <c r="R957" s="211" t="str">
        <f t="array" ref="R957">IF($Q957, INDEX('Run Reconcile'!A$2:A1679,MATCH(B957,'Run Reconcile'!B$2:B1679,0),1),IFERROR(0/0,""))</f>
        <v>RUN-COMB_2022-05-30_RFR-051</v>
      </c>
      <c r="S957" s="165" t="str">
        <f t="shared" ref="S957:T957" si="1913">IF(COUNTIF(W$2:W1679, $A957) &gt; 0,TRUE,IFERROR(0/0,""))</f>
        <v/>
      </c>
      <c r="T957" s="165" t="str">
        <f t="shared" si="1913"/>
        <v/>
      </c>
      <c r="U957" s="147" t="str">
        <f t="array" ref="U957">IF(ISBLANK($R957), IF($S957,VLOOKUP($B957+1,'RFR Data - preExcl'!$BF$2:$BG1679,2,FALSE),IF($T957,INDEX('RFR Data - preExcl'!$BF$2:$BG1679,MATCH($B957,'RFR Data - preExcl'!$BF$2:$BF1679,0)+1,2),VLOOKUP($B957,'RFR Data - preExcl'!$BF$2:$BG1679,2,FALSE))),IFERROR(0/0,""))</f>
        <v/>
      </c>
      <c r="V957" s="212" t="str">
        <f t="shared" si="5"/>
        <v>RUN-COMB_2022-05-30_RFR-051</v>
      </c>
      <c r="W957" s="51"/>
      <c r="X957" s="51"/>
      <c r="Y957" s="147" t="str">
        <f t="shared" ref="Y957:Z957" si="1914">IF(_xlfn.ISFORMULA(S957),IFERROR(0/0,""),TRUE)</f>
        <v/>
      </c>
      <c r="Z957" s="147" t="str">
        <f t="shared" si="1914"/>
        <v/>
      </c>
    </row>
    <row r="958">
      <c r="A958" s="6" t="str">
        <f>IFERROR(__xludf.DUMMYFUNCTION("""COMPUTED_VALUE"""),"FM2662")</f>
        <v>FM2662</v>
      </c>
      <c r="B958" s="206">
        <f>IFERROR(__xludf.DUMMYFUNCTION("""COMPUTED_VALUE"""),44711.0)</f>
        <v>44711</v>
      </c>
      <c r="C958" s="207">
        <f>IFERROR(__xludf.DUMMYFUNCTION("""COMPUTED_VALUE"""),0.6920486111111112)</f>
        <v>0.6920486111</v>
      </c>
      <c r="D958" s="50"/>
      <c r="E958" s="58"/>
      <c r="F958" s="58"/>
      <c r="G958" s="58" t="str">
        <f>IFERROR(__xludf.DUMMYFUNCTION("""COMPUTED_VALUE"""),"Null")</f>
        <v>Null</v>
      </c>
      <c r="H958" s="206" t="str">
        <f>IFERROR(__xludf.DUMMYFUNCTION("""COMPUTED_VALUE"""),"Negative")</f>
        <v>Negative</v>
      </c>
      <c r="I958" s="207">
        <f>IFERROR(__xludf.DUMMYFUNCTION("""COMPUTED_VALUE"""),44711.0)</f>
        <v>44711</v>
      </c>
      <c r="J958" s="208">
        <f>IFERROR(__xludf.DUMMYFUNCTION("""COMPUTED_VALUE"""),0.8094791666666666)</f>
        <v>0.8094791667</v>
      </c>
      <c r="K958" s="50">
        <f>IFERROR(__xludf.DUMMYFUNCTION("""COMPUTED_VALUE"""),2.0)</f>
        <v>2</v>
      </c>
      <c r="L958" s="6"/>
      <c r="M958" s="55"/>
      <c r="N958" s="55">
        <f>IFERROR(__xludf.DUMMYFUNCTION("""COMPUTED_VALUE"""),1.0)</f>
        <v>1</v>
      </c>
      <c r="O958" s="55" t="str">
        <f t="shared" si="3"/>
        <v/>
      </c>
      <c r="P958" s="209"/>
      <c r="Q958" s="75" t="b">
        <f>VLOOKUP($B958,'Run Reconcile'!B$2:P1679,15,FALSE)</f>
        <v>1</v>
      </c>
      <c r="R958" s="211" t="str">
        <f t="array" ref="R958">IF($Q958, INDEX('Run Reconcile'!A$2:A1679,MATCH(B958,'Run Reconcile'!B$2:B1679,0),1),IFERROR(0/0,""))</f>
        <v>RUN-COMB_2022-05-30_RFR-051</v>
      </c>
      <c r="S958" s="165" t="str">
        <f t="shared" ref="S958:T958" si="1915">IF(COUNTIF(W$2:W1679, $A958) &gt; 0,TRUE,IFERROR(0/0,""))</f>
        <v/>
      </c>
      <c r="T958" s="165" t="str">
        <f t="shared" si="1915"/>
        <v/>
      </c>
      <c r="U958" s="147" t="str">
        <f t="array" ref="U958">IF(ISBLANK($R958), IF($S958,VLOOKUP($B958+1,'RFR Data - preExcl'!$BF$2:$BG1679,2,FALSE),IF($T958,INDEX('RFR Data - preExcl'!$BF$2:$BG1679,MATCH($B958,'RFR Data - preExcl'!$BF$2:$BF1679,0)+1,2),VLOOKUP($B958,'RFR Data - preExcl'!$BF$2:$BG1679,2,FALSE))),IFERROR(0/0,""))</f>
        <v/>
      </c>
      <c r="V958" s="212" t="str">
        <f t="shared" si="5"/>
        <v>RUN-COMB_2022-05-30_RFR-051</v>
      </c>
      <c r="W958" s="51"/>
      <c r="X958" s="51"/>
      <c r="Y958" s="147" t="str">
        <f t="shared" ref="Y958:Z958" si="1916">IF(_xlfn.ISFORMULA(S958),IFERROR(0/0,""),TRUE)</f>
        <v/>
      </c>
      <c r="Z958" s="147" t="str">
        <f t="shared" si="1916"/>
        <v/>
      </c>
    </row>
    <row r="959">
      <c r="A959" s="6" t="str">
        <f>IFERROR(__xludf.DUMMYFUNCTION("""COMPUTED_VALUE"""),"FM2636")</f>
        <v>FM2636</v>
      </c>
      <c r="B959" s="206">
        <f>IFERROR(__xludf.DUMMYFUNCTION("""COMPUTED_VALUE"""),44711.0)</f>
        <v>44711</v>
      </c>
      <c r="C959" s="207">
        <f>IFERROR(__xludf.DUMMYFUNCTION("""COMPUTED_VALUE"""),0.6925578703703704)</f>
        <v>0.6925578704</v>
      </c>
      <c r="D959" s="50"/>
      <c r="E959" s="58"/>
      <c r="F959" s="58"/>
      <c r="G959" s="58" t="str">
        <f>IFERROR(__xludf.DUMMYFUNCTION("""COMPUTED_VALUE"""),"Null")</f>
        <v>Null</v>
      </c>
      <c r="H959" s="206" t="str">
        <f>IFERROR(__xludf.DUMMYFUNCTION("""COMPUTED_VALUE"""),"Negative")</f>
        <v>Negative</v>
      </c>
      <c r="I959" s="207">
        <f>IFERROR(__xludf.DUMMYFUNCTION("""COMPUTED_VALUE"""),44711.0)</f>
        <v>44711</v>
      </c>
      <c r="J959" s="208">
        <f>IFERROR(__xludf.DUMMYFUNCTION("""COMPUTED_VALUE"""),0.809525462962963)</f>
        <v>0.809525463</v>
      </c>
      <c r="K959" s="50">
        <f>IFERROR(__xludf.DUMMYFUNCTION("""COMPUTED_VALUE"""),2.0)</f>
        <v>2</v>
      </c>
      <c r="L959" s="6"/>
      <c r="M959" s="55"/>
      <c r="N959" s="55">
        <f>IFERROR(__xludf.DUMMYFUNCTION("""COMPUTED_VALUE"""),1.0)</f>
        <v>1</v>
      </c>
      <c r="O959" s="55" t="str">
        <f t="shared" si="3"/>
        <v/>
      </c>
      <c r="P959" s="209"/>
      <c r="Q959" s="75" t="b">
        <f>VLOOKUP($B959,'Run Reconcile'!B$2:P1679,15,FALSE)</f>
        <v>1</v>
      </c>
      <c r="R959" s="211" t="str">
        <f t="array" ref="R959">IF($Q959, INDEX('Run Reconcile'!A$2:A1679,MATCH(B959,'Run Reconcile'!B$2:B1679,0),1),IFERROR(0/0,""))</f>
        <v>RUN-COMB_2022-05-30_RFR-051</v>
      </c>
      <c r="S959" s="165" t="str">
        <f t="shared" ref="S959:T959" si="1917">IF(COUNTIF(W$2:W1679, $A959) &gt; 0,TRUE,IFERROR(0/0,""))</f>
        <v/>
      </c>
      <c r="T959" s="165" t="str">
        <f t="shared" si="1917"/>
        <v/>
      </c>
      <c r="U959" s="147" t="str">
        <f t="array" ref="U959">IF(ISBLANK($R959), IF($S959,VLOOKUP($B959+1,'RFR Data - preExcl'!$BF$2:$BG1679,2,FALSE),IF($T959,INDEX('RFR Data - preExcl'!$BF$2:$BG1679,MATCH($B959,'RFR Data - preExcl'!$BF$2:$BF1679,0)+1,2),VLOOKUP($B959,'RFR Data - preExcl'!$BF$2:$BG1679,2,FALSE))),IFERROR(0/0,""))</f>
        <v/>
      </c>
      <c r="V959" s="212" t="str">
        <f t="shared" si="5"/>
        <v>RUN-COMB_2022-05-30_RFR-051</v>
      </c>
      <c r="W959" s="51"/>
      <c r="X959" s="51"/>
      <c r="Y959" s="147" t="str">
        <f t="shared" ref="Y959:Z959" si="1918">IF(_xlfn.ISFORMULA(S959),IFERROR(0/0,""),TRUE)</f>
        <v/>
      </c>
      <c r="Z959" s="147" t="str">
        <f t="shared" si="1918"/>
        <v/>
      </c>
    </row>
    <row r="960">
      <c r="A960" s="6" t="str">
        <f>IFERROR(__xludf.DUMMYFUNCTION("""COMPUTED_VALUE"""),"FM2666")</f>
        <v>FM2666</v>
      </c>
      <c r="B960" s="206">
        <f>IFERROR(__xludf.DUMMYFUNCTION("""COMPUTED_VALUE"""),44711.0)</f>
        <v>44711</v>
      </c>
      <c r="C960" s="207">
        <f>IFERROR(__xludf.DUMMYFUNCTION("""COMPUTED_VALUE"""),0.692962962962963)</f>
        <v>0.692962963</v>
      </c>
      <c r="D960" s="50"/>
      <c r="E960" s="58"/>
      <c r="F960" s="58"/>
      <c r="G960" s="58" t="str">
        <f>IFERROR(__xludf.DUMMYFUNCTION("""COMPUTED_VALUE"""),"Null")</f>
        <v>Null</v>
      </c>
      <c r="H960" s="206" t="str">
        <f>IFERROR(__xludf.DUMMYFUNCTION("""COMPUTED_VALUE"""),"Negative")</f>
        <v>Negative</v>
      </c>
      <c r="I960" s="207">
        <f>IFERROR(__xludf.DUMMYFUNCTION("""COMPUTED_VALUE"""),44711.0)</f>
        <v>44711</v>
      </c>
      <c r="J960" s="208">
        <f>IFERROR(__xludf.DUMMYFUNCTION("""COMPUTED_VALUE"""),0.809537037037037)</f>
        <v>0.809537037</v>
      </c>
      <c r="K960" s="50">
        <f>IFERROR(__xludf.DUMMYFUNCTION("""COMPUTED_VALUE"""),2.0)</f>
        <v>2</v>
      </c>
      <c r="L960" s="6"/>
      <c r="M960" s="55"/>
      <c r="N960" s="55">
        <f>IFERROR(__xludf.DUMMYFUNCTION("""COMPUTED_VALUE"""),1.0)</f>
        <v>1</v>
      </c>
      <c r="O960" s="55" t="str">
        <f t="shared" si="3"/>
        <v/>
      </c>
      <c r="P960" s="209"/>
      <c r="Q960" s="75" t="b">
        <f>VLOOKUP($B960,'Run Reconcile'!B$2:P1679,15,FALSE)</f>
        <v>1</v>
      </c>
      <c r="R960" s="211" t="str">
        <f t="array" ref="R960">IF($Q960, INDEX('Run Reconcile'!A$2:A1679,MATCH(B960,'Run Reconcile'!B$2:B1679,0),1),IFERROR(0/0,""))</f>
        <v>RUN-COMB_2022-05-30_RFR-051</v>
      </c>
      <c r="S960" s="165" t="str">
        <f t="shared" ref="S960:T960" si="1919">IF(COUNTIF(W$2:W1679, $A960) &gt; 0,TRUE,IFERROR(0/0,""))</f>
        <v/>
      </c>
      <c r="T960" s="165" t="str">
        <f t="shared" si="1919"/>
        <v/>
      </c>
      <c r="U960" s="147" t="str">
        <f t="array" ref="U960">IF(ISBLANK($R960), IF($S960,VLOOKUP($B960+1,'RFR Data - preExcl'!$BF$2:$BG1679,2,FALSE),IF($T960,INDEX('RFR Data - preExcl'!$BF$2:$BG1679,MATCH($B960,'RFR Data - preExcl'!$BF$2:$BF1679,0)+1,2),VLOOKUP($B960,'RFR Data - preExcl'!$BF$2:$BG1679,2,FALSE))),IFERROR(0/0,""))</f>
        <v/>
      </c>
      <c r="V960" s="212" t="str">
        <f t="shared" si="5"/>
        <v>RUN-COMB_2022-05-30_RFR-051</v>
      </c>
      <c r="W960" s="51"/>
      <c r="X960" s="51"/>
      <c r="Y960" s="147" t="str">
        <f t="shared" ref="Y960:Z960" si="1920">IF(_xlfn.ISFORMULA(S960),IFERROR(0/0,""),TRUE)</f>
        <v/>
      </c>
      <c r="Z960" s="147" t="str">
        <f t="shared" si="1920"/>
        <v/>
      </c>
    </row>
    <row r="961">
      <c r="A961" s="6" t="str">
        <f>IFERROR(__xludf.DUMMYFUNCTION("""COMPUTED_VALUE"""),"FM2630")</f>
        <v>FM2630</v>
      </c>
      <c r="B961" s="206">
        <f>IFERROR(__xludf.DUMMYFUNCTION("""COMPUTED_VALUE"""),44711.0)</f>
        <v>44711</v>
      </c>
      <c r="C961" s="207">
        <f>IFERROR(__xludf.DUMMYFUNCTION("""COMPUTED_VALUE"""),0.6945023148148148)</f>
        <v>0.6945023148</v>
      </c>
      <c r="D961" s="50"/>
      <c r="E961" s="58"/>
      <c r="F961" s="58"/>
      <c r="G961" s="58" t="str">
        <f>IFERROR(__xludf.DUMMYFUNCTION("""COMPUTED_VALUE"""),"Null")</f>
        <v>Null</v>
      </c>
      <c r="H961" s="206" t="str">
        <f>IFERROR(__xludf.DUMMYFUNCTION("""COMPUTED_VALUE"""),"Negative")</f>
        <v>Negative</v>
      </c>
      <c r="I961" s="207">
        <f>IFERROR(__xludf.DUMMYFUNCTION("""COMPUTED_VALUE"""),44711.0)</f>
        <v>44711</v>
      </c>
      <c r="J961" s="208">
        <f>IFERROR(__xludf.DUMMYFUNCTION("""COMPUTED_VALUE"""),0.8095486111111111)</f>
        <v>0.8095486111</v>
      </c>
      <c r="K961" s="50">
        <f>IFERROR(__xludf.DUMMYFUNCTION("""COMPUTED_VALUE"""),2.0)</f>
        <v>2</v>
      </c>
      <c r="L961" s="6"/>
      <c r="M961" s="55"/>
      <c r="N961" s="55">
        <f>IFERROR(__xludf.DUMMYFUNCTION("""COMPUTED_VALUE"""),1.0)</f>
        <v>1</v>
      </c>
      <c r="O961" s="55" t="str">
        <f t="shared" si="3"/>
        <v/>
      </c>
      <c r="P961" s="209"/>
      <c r="Q961" s="75" t="b">
        <f>VLOOKUP($B961,'Run Reconcile'!B$2:P1679,15,FALSE)</f>
        <v>1</v>
      </c>
      <c r="R961" s="211" t="str">
        <f t="array" ref="R961">IF($Q961, INDEX('Run Reconcile'!A$2:A1679,MATCH(B961,'Run Reconcile'!B$2:B1679,0),1),IFERROR(0/0,""))</f>
        <v>RUN-COMB_2022-05-30_RFR-051</v>
      </c>
      <c r="S961" s="165" t="str">
        <f t="shared" ref="S961:T961" si="1921">IF(COUNTIF(W$2:W1679, $A961) &gt; 0,TRUE,IFERROR(0/0,""))</f>
        <v/>
      </c>
      <c r="T961" s="165" t="str">
        <f t="shared" si="1921"/>
        <v/>
      </c>
      <c r="U961" s="147" t="str">
        <f t="array" ref="U961">IF(ISBLANK($R961), IF($S961,VLOOKUP($B961+1,'RFR Data - preExcl'!$BF$2:$BG1679,2,FALSE),IF($T961,INDEX('RFR Data - preExcl'!$BF$2:$BG1679,MATCH($B961,'RFR Data - preExcl'!$BF$2:$BF1679,0)+1,2),VLOOKUP($B961,'RFR Data - preExcl'!$BF$2:$BG1679,2,FALSE))),IFERROR(0/0,""))</f>
        <v/>
      </c>
      <c r="V961" s="212" t="str">
        <f t="shared" si="5"/>
        <v>RUN-COMB_2022-05-30_RFR-051</v>
      </c>
      <c r="W961" s="51"/>
      <c r="X961" s="51"/>
      <c r="Y961" s="147" t="str">
        <f t="shared" ref="Y961:Z961" si="1922">IF(_xlfn.ISFORMULA(S961),IFERROR(0/0,""),TRUE)</f>
        <v/>
      </c>
      <c r="Z961" s="147" t="str">
        <f t="shared" si="1922"/>
        <v/>
      </c>
    </row>
    <row r="962">
      <c r="A962" s="6" t="str">
        <f>IFERROR(__xludf.DUMMYFUNCTION("""COMPUTED_VALUE"""),"FM2691")</f>
        <v>FM2691</v>
      </c>
      <c r="B962" s="206">
        <f>IFERROR(__xludf.DUMMYFUNCTION("""COMPUTED_VALUE"""),44711.0)</f>
        <v>44711</v>
      </c>
      <c r="C962" s="207">
        <f>IFERROR(__xludf.DUMMYFUNCTION("""COMPUTED_VALUE"""),0.6949421296296296)</f>
        <v>0.6949421296</v>
      </c>
      <c r="D962" s="50"/>
      <c r="E962" s="58"/>
      <c r="F962" s="58"/>
      <c r="G962" s="58" t="str">
        <f>IFERROR(__xludf.DUMMYFUNCTION("""COMPUTED_VALUE"""),"Null")</f>
        <v>Null</v>
      </c>
      <c r="H962" s="206" t="str">
        <f>IFERROR(__xludf.DUMMYFUNCTION("""COMPUTED_VALUE"""),"Negative")</f>
        <v>Negative</v>
      </c>
      <c r="I962" s="207">
        <f>IFERROR(__xludf.DUMMYFUNCTION("""COMPUTED_VALUE"""),44711.0)</f>
        <v>44711</v>
      </c>
      <c r="J962" s="208">
        <f>IFERROR(__xludf.DUMMYFUNCTION("""COMPUTED_VALUE"""),0.8095601851851851)</f>
        <v>0.8095601852</v>
      </c>
      <c r="K962" s="50">
        <f>IFERROR(__xludf.DUMMYFUNCTION("""COMPUTED_VALUE"""),2.0)</f>
        <v>2</v>
      </c>
      <c r="L962" s="6"/>
      <c r="M962" s="55"/>
      <c r="N962" s="55">
        <f>IFERROR(__xludf.DUMMYFUNCTION("""COMPUTED_VALUE"""),1.0)</f>
        <v>1</v>
      </c>
      <c r="O962" s="55" t="str">
        <f t="shared" si="3"/>
        <v/>
      </c>
      <c r="P962" s="209"/>
      <c r="Q962" s="75" t="b">
        <f>VLOOKUP($B962,'Run Reconcile'!B$2:P1679,15,FALSE)</f>
        <v>1</v>
      </c>
      <c r="R962" s="211" t="str">
        <f t="array" ref="R962">IF($Q962, INDEX('Run Reconcile'!A$2:A1679,MATCH(B962,'Run Reconcile'!B$2:B1679,0),1),IFERROR(0/0,""))</f>
        <v>RUN-COMB_2022-05-30_RFR-051</v>
      </c>
      <c r="S962" s="165" t="str">
        <f t="shared" ref="S962:T962" si="1923">IF(COUNTIF(W$2:W1679, $A962) &gt; 0,TRUE,IFERROR(0/0,""))</f>
        <v/>
      </c>
      <c r="T962" s="165" t="str">
        <f t="shared" si="1923"/>
        <v/>
      </c>
      <c r="U962" s="147" t="str">
        <f t="array" ref="U962">IF(ISBLANK($R962), IF($S962,VLOOKUP($B962+1,'RFR Data - preExcl'!$BF$2:$BG1679,2,FALSE),IF($T962,INDEX('RFR Data - preExcl'!$BF$2:$BG1679,MATCH($B962,'RFR Data - preExcl'!$BF$2:$BF1679,0)+1,2),VLOOKUP($B962,'RFR Data - preExcl'!$BF$2:$BG1679,2,FALSE))),IFERROR(0/0,""))</f>
        <v/>
      </c>
      <c r="V962" s="212" t="str">
        <f t="shared" si="5"/>
        <v>RUN-COMB_2022-05-30_RFR-051</v>
      </c>
      <c r="W962" s="51"/>
      <c r="X962" s="51"/>
      <c r="Y962" s="147" t="str">
        <f t="shared" ref="Y962:Z962" si="1924">IF(_xlfn.ISFORMULA(S962),IFERROR(0/0,""),TRUE)</f>
        <v/>
      </c>
      <c r="Z962" s="147" t="str">
        <f t="shared" si="1924"/>
        <v/>
      </c>
    </row>
    <row r="963">
      <c r="A963" s="6" t="str">
        <f>IFERROR(__xludf.DUMMYFUNCTION("""COMPUTED_VALUE"""),"FM2686")</f>
        <v>FM2686</v>
      </c>
      <c r="B963" s="206">
        <f>IFERROR(__xludf.DUMMYFUNCTION("""COMPUTED_VALUE"""),44711.0)</f>
        <v>44711</v>
      </c>
      <c r="C963" s="207">
        <f>IFERROR(__xludf.DUMMYFUNCTION("""COMPUTED_VALUE"""),0.7007060185185185)</f>
        <v>0.7007060185</v>
      </c>
      <c r="D963" s="50"/>
      <c r="E963" s="58"/>
      <c r="F963" s="58"/>
      <c r="G963" s="58" t="str">
        <f>IFERROR(__xludf.DUMMYFUNCTION("""COMPUTED_VALUE"""),"Null")</f>
        <v>Null</v>
      </c>
      <c r="H963" s="206" t="str">
        <f>IFERROR(__xludf.DUMMYFUNCTION("""COMPUTED_VALUE"""),"Negative")</f>
        <v>Negative</v>
      </c>
      <c r="I963" s="207">
        <f>IFERROR(__xludf.DUMMYFUNCTION("""COMPUTED_VALUE"""),44711.0)</f>
        <v>44711</v>
      </c>
      <c r="J963" s="208">
        <f>IFERROR(__xludf.DUMMYFUNCTION("""COMPUTED_VALUE"""),0.8095717592592593)</f>
        <v>0.8095717593</v>
      </c>
      <c r="K963" s="50">
        <f>IFERROR(__xludf.DUMMYFUNCTION("""COMPUTED_VALUE"""),2.0)</f>
        <v>2</v>
      </c>
      <c r="L963" s="6"/>
      <c r="M963" s="55"/>
      <c r="N963" s="55">
        <f>IFERROR(__xludf.DUMMYFUNCTION("""COMPUTED_VALUE"""),1.0)</f>
        <v>1</v>
      </c>
      <c r="O963" s="55" t="str">
        <f t="shared" si="3"/>
        <v/>
      </c>
      <c r="P963" s="209"/>
      <c r="Q963" s="75" t="b">
        <f>VLOOKUP($B963,'Run Reconcile'!B$2:P1679,15,FALSE)</f>
        <v>1</v>
      </c>
      <c r="R963" s="211" t="str">
        <f t="array" ref="R963">IF($Q963, INDEX('Run Reconcile'!A$2:A1679,MATCH(B963,'Run Reconcile'!B$2:B1679,0),1),IFERROR(0/0,""))</f>
        <v>RUN-COMB_2022-05-30_RFR-051</v>
      </c>
      <c r="S963" s="165" t="str">
        <f t="shared" ref="S963:T963" si="1925">IF(COUNTIF(W$2:W1679, $A963) &gt; 0,TRUE,IFERROR(0/0,""))</f>
        <v/>
      </c>
      <c r="T963" s="165" t="str">
        <f t="shared" si="1925"/>
        <v/>
      </c>
      <c r="U963" s="147" t="str">
        <f t="array" ref="U963">IF(ISBLANK($R963), IF($S963,VLOOKUP($B963+1,'RFR Data - preExcl'!$BF$2:$BG1679,2,FALSE),IF($T963,INDEX('RFR Data - preExcl'!$BF$2:$BG1679,MATCH($B963,'RFR Data - preExcl'!$BF$2:$BF1679,0)+1,2),VLOOKUP($B963,'RFR Data - preExcl'!$BF$2:$BG1679,2,FALSE))),IFERROR(0/0,""))</f>
        <v/>
      </c>
      <c r="V963" s="212" t="str">
        <f t="shared" si="5"/>
        <v>RUN-COMB_2022-05-30_RFR-051</v>
      </c>
      <c r="W963" s="51"/>
      <c r="X963" s="51"/>
      <c r="Y963" s="147" t="str">
        <f t="shared" ref="Y963:Z963" si="1926">IF(_xlfn.ISFORMULA(S963),IFERROR(0/0,""),TRUE)</f>
        <v/>
      </c>
      <c r="Z963" s="147" t="str">
        <f t="shared" si="1926"/>
        <v/>
      </c>
    </row>
    <row r="964">
      <c r="A964" s="6" t="str">
        <f>IFERROR(__xludf.DUMMYFUNCTION("""COMPUTED_VALUE"""),"FM2659")</f>
        <v>FM2659</v>
      </c>
      <c r="B964" s="206">
        <f>IFERROR(__xludf.DUMMYFUNCTION("""COMPUTED_VALUE"""),44711.0)</f>
        <v>44711</v>
      </c>
      <c r="C964" s="207">
        <f>IFERROR(__xludf.DUMMYFUNCTION("""COMPUTED_VALUE"""),0.7014351851851852)</f>
        <v>0.7014351852</v>
      </c>
      <c r="D964" s="50"/>
      <c r="E964" s="58"/>
      <c r="F964" s="58"/>
      <c r="G964" s="58" t="str">
        <f>IFERROR(__xludf.DUMMYFUNCTION("""COMPUTED_VALUE"""),"Null")</f>
        <v>Null</v>
      </c>
      <c r="H964" s="206" t="str">
        <f>IFERROR(__xludf.DUMMYFUNCTION("""COMPUTED_VALUE"""),"Negative")</f>
        <v>Negative</v>
      </c>
      <c r="I964" s="207">
        <f>IFERROR(__xludf.DUMMYFUNCTION("""COMPUTED_VALUE"""),44711.0)</f>
        <v>44711</v>
      </c>
      <c r="J964" s="208">
        <f>IFERROR(__xludf.DUMMYFUNCTION("""COMPUTED_VALUE"""),0.8095949074074074)</f>
        <v>0.8095949074</v>
      </c>
      <c r="K964" s="50">
        <f>IFERROR(__xludf.DUMMYFUNCTION("""COMPUTED_VALUE"""),2.0)</f>
        <v>2</v>
      </c>
      <c r="L964" s="6"/>
      <c r="M964" s="55"/>
      <c r="N964" s="55">
        <f>IFERROR(__xludf.DUMMYFUNCTION("""COMPUTED_VALUE"""),1.0)</f>
        <v>1</v>
      </c>
      <c r="O964" s="55" t="str">
        <f t="shared" si="3"/>
        <v/>
      </c>
      <c r="P964" s="209"/>
      <c r="Q964" s="75" t="b">
        <f>VLOOKUP($B964,'Run Reconcile'!B$2:P1679,15,FALSE)</f>
        <v>1</v>
      </c>
      <c r="R964" s="211" t="str">
        <f t="array" ref="R964">IF($Q964, INDEX('Run Reconcile'!A$2:A1679,MATCH(B964,'Run Reconcile'!B$2:B1679,0),1),IFERROR(0/0,""))</f>
        <v>RUN-COMB_2022-05-30_RFR-051</v>
      </c>
      <c r="S964" s="165" t="str">
        <f t="shared" ref="S964:T964" si="1927">IF(COUNTIF(W$2:W1679, $A964) &gt; 0,TRUE,IFERROR(0/0,""))</f>
        <v/>
      </c>
      <c r="T964" s="165" t="str">
        <f t="shared" si="1927"/>
        <v/>
      </c>
      <c r="U964" s="147" t="str">
        <f t="array" ref="U964">IF(ISBLANK($R964), IF($S964,VLOOKUP($B964+1,'RFR Data - preExcl'!$BF$2:$BG1679,2,FALSE),IF($T964,INDEX('RFR Data - preExcl'!$BF$2:$BG1679,MATCH($B964,'RFR Data - preExcl'!$BF$2:$BF1679,0)+1,2),VLOOKUP($B964,'RFR Data - preExcl'!$BF$2:$BG1679,2,FALSE))),IFERROR(0/0,""))</f>
        <v/>
      </c>
      <c r="V964" s="212" t="str">
        <f t="shared" si="5"/>
        <v>RUN-COMB_2022-05-30_RFR-051</v>
      </c>
      <c r="W964" s="51"/>
      <c r="X964" s="51"/>
      <c r="Y964" s="147" t="str">
        <f t="shared" ref="Y964:Z964" si="1928">IF(_xlfn.ISFORMULA(S964),IFERROR(0/0,""),TRUE)</f>
        <v/>
      </c>
      <c r="Z964" s="147" t="str">
        <f t="shared" si="1928"/>
        <v/>
      </c>
    </row>
    <row r="965">
      <c r="A965" s="6" t="str">
        <f>IFERROR(__xludf.DUMMYFUNCTION("""COMPUTED_VALUE"""),"FM2676")</f>
        <v>FM2676</v>
      </c>
      <c r="B965" s="206">
        <f>IFERROR(__xludf.DUMMYFUNCTION("""COMPUTED_VALUE"""),44711.0)</f>
        <v>44711</v>
      </c>
      <c r="C965" s="207">
        <f>IFERROR(__xludf.DUMMYFUNCTION("""COMPUTED_VALUE"""),0.7019907407407407)</f>
        <v>0.7019907407</v>
      </c>
      <c r="D965" s="50"/>
      <c r="E965" s="58"/>
      <c r="F965" s="58"/>
      <c r="G965" s="58" t="str">
        <f>IFERROR(__xludf.DUMMYFUNCTION("""COMPUTED_VALUE"""),"Null")</f>
        <v>Null</v>
      </c>
      <c r="H965" s="206" t="str">
        <f>IFERROR(__xludf.DUMMYFUNCTION("""COMPUTED_VALUE"""),"Negative")</f>
        <v>Negative</v>
      </c>
      <c r="I965" s="207">
        <f>IFERROR(__xludf.DUMMYFUNCTION("""COMPUTED_VALUE"""),44711.0)</f>
        <v>44711</v>
      </c>
      <c r="J965" s="208">
        <f>IFERROR(__xludf.DUMMYFUNCTION("""COMPUTED_VALUE"""),0.8096064814814815)</f>
        <v>0.8096064815</v>
      </c>
      <c r="K965" s="50">
        <f>IFERROR(__xludf.DUMMYFUNCTION("""COMPUTED_VALUE"""),2.0)</f>
        <v>2</v>
      </c>
      <c r="L965" s="6"/>
      <c r="M965" s="55"/>
      <c r="N965" s="55">
        <f>IFERROR(__xludf.DUMMYFUNCTION("""COMPUTED_VALUE"""),1.0)</f>
        <v>1</v>
      </c>
      <c r="O965" s="55" t="str">
        <f t="shared" si="3"/>
        <v/>
      </c>
      <c r="P965" s="209"/>
      <c r="Q965" s="75" t="b">
        <f>VLOOKUP($B965,'Run Reconcile'!B$2:P1679,15,FALSE)</f>
        <v>1</v>
      </c>
      <c r="R965" s="211" t="str">
        <f t="array" ref="R965">IF($Q965, INDEX('Run Reconcile'!A$2:A1679,MATCH(B965,'Run Reconcile'!B$2:B1679,0),1),IFERROR(0/0,""))</f>
        <v>RUN-COMB_2022-05-30_RFR-051</v>
      </c>
      <c r="S965" s="165" t="str">
        <f t="shared" ref="S965:T965" si="1929">IF(COUNTIF(W$2:W1679, $A965) &gt; 0,TRUE,IFERROR(0/0,""))</f>
        <v/>
      </c>
      <c r="T965" s="165" t="str">
        <f t="shared" si="1929"/>
        <v/>
      </c>
      <c r="U965" s="147" t="str">
        <f t="array" ref="U965">IF(ISBLANK($R965), IF($S965,VLOOKUP($B965+1,'RFR Data - preExcl'!$BF$2:$BG1679,2,FALSE),IF($T965,INDEX('RFR Data - preExcl'!$BF$2:$BG1679,MATCH($B965,'RFR Data - preExcl'!$BF$2:$BF1679,0)+1,2),VLOOKUP($B965,'RFR Data - preExcl'!$BF$2:$BG1679,2,FALSE))),IFERROR(0/0,""))</f>
        <v/>
      </c>
      <c r="V965" s="212" t="str">
        <f t="shared" si="5"/>
        <v>RUN-COMB_2022-05-30_RFR-051</v>
      </c>
      <c r="W965" s="51"/>
      <c r="X965" s="51"/>
      <c r="Y965" s="147" t="str">
        <f t="shared" ref="Y965:Z965" si="1930">IF(_xlfn.ISFORMULA(S965),IFERROR(0/0,""),TRUE)</f>
        <v/>
      </c>
      <c r="Z965" s="147" t="str">
        <f t="shared" si="1930"/>
        <v/>
      </c>
    </row>
    <row r="966">
      <c r="A966" s="6" t="str">
        <f>IFERROR(__xludf.DUMMYFUNCTION("""COMPUTED_VALUE"""),"FM2611")</f>
        <v>FM2611</v>
      </c>
      <c r="B966" s="206">
        <f>IFERROR(__xludf.DUMMYFUNCTION("""COMPUTED_VALUE"""),44711.0)</f>
        <v>44711</v>
      </c>
      <c r="C966" s="207">
        <f>IFERROR(__xludf.DUMMYFUNCTION("""COMPUTED_VALUE"""),0.7025462962962963)</f>
        <v>0.7025462963</v>
      </c>
      <c r="D966" s="50"/>
      <c r="E966" s="58"/>
      <c r="F966" s="58"/>
      <c r="G966" s="58" t="str">
        <f>IFERROR(__xludf.DUMMYFUNCTION("""COMPUTED_VALUE"""),"Null")</f>
        <v>Null</v>
      </c>
      <c r="H966" s="206" t="str">
        <f>IFERROR(__xludf.DUMMYFUNCTION("""COMPUTED_VALUE"""),"Negative")</f>
        <v>Negative</v>
      </c>
      <c r="I966" s="207">
        <f>IFERROR(__xludf.DUMMYFUNCTION("""COMPUTED_VALUE"""),44711.0)</f>
        <v>44711</v>
      </c>
      <c r="J966" s="208">
        <f>IFERROR(__xludf.DUMMYFUNCTION("""COMPUTED_VALUE"""),0.8096180555555555)</f>
        <v>0.8096180556</v>
      </c>
      <c r="K966" s="50">
        <f>IFERROR(__xludf.DUMMYFUNCTION("""COMPUTED_VALUE"""),2.0)</f>
        <v>2</v>
      </c>
      <c r="L966" s="6"/>
      <c r="M966" s="55"/>
      <c r="N966" s="55">
        <f>IFERROR(__xludf.DUMMYFUNCTION("""COMPUTED_VALUE"""),1.0)</f>
        <v>1</v>
      </c>
      <c r="O966" s="55" t="str">
        <f t="shared" si="3"/>
        <v/>
      </c>
      <c r="P966" s="209"/>
      <c r="Q966" s="75" t="b">
        <f>VLOOKUP($B966,'Run Reconcile'!B$2:P1679,15,FALSE)</f>
        <v>1</v>
      </c>
      <c r="R966" s="211" t="str">
        <f t="array" ref="R966">IF($Q966, INDEX('Run Reconcile'!A$2:A1679,MATCH(B966,'Run Reconcile'!B$2:B1679,0),1),IFERROR(0/0,""))</f>
        <v>RUN-COMB_2022-05-30_RFR-051</v>
      </c>
      <c r="S966" s="165" t="str">
        <f t="shared" ref="S966:T966" si="1931">IF(COUNTIF(W$2:W1679, $A966) &gt; 0,TRUE,IFERROR(0/0,""))</f>
        <v/>
      </c>
      <c r="T966" s="165" t="str">
        <f t="shared" si="1931"/>
        <v/>
      </c>
      <c r="U966" s="147" t="str">
        <f t="array" ref="U966">IF(ISBLANK($R966), IF($S966,VLOOKUP($B966+1,'RFR Data - preExcl'!$BF$2:$BG1679,2,FALSE),IF($T966,INDEX('RFR Data - preExcl'!$BF$2:$BG1679,MATCH($B966,'RFR Data - preExcl'!$BF$2:$BF1679,0)+1,2),VLOOKUP($B966,'RFR Data - preExcl'!$BF$2:$BG1679,2,FALSE))),IFERROR(0/0,""))</f>
        <v/>
      </c>
      <c r="V966" s="212" t="str">
        <f t="shared" si="5"/>
        <v>RUN-COMB_2022-05-30_RFR-051</v>
      </c>
      <c r="W966" s="51"/>
      <c r="X966" s="51"/>
      <c r="Y966" s="147" t="str">
        <f t="shared" ref="Y966:Z966" si="1932">IF(_xlfn.ISFORMULA(S966),IFERROR(0/0,""),TRUE)</f>
        <v/>
      </c>
      <c r="Z966" s="147" t="str">
        <f t="shared" si="1932"/>
        <v/>
      </c>
    </row>
    <row r="967">
      <c r="A967" s="6" t="str">
        <f>IFERROR(__xludf.DUMMYFUNCTION("""COMPUTED_VALUE"""),"FM2602")</f>
        <v>FM2602</v>
      </c>
      <c r="B967" s="206">
        <f>IFERROR(__xludf.DUMMYFUNCTION("""COMPUTED_VALUE"""),44711.0)</f>
        <v>44711</v>
      </c>
      <c r="C967" s="207">
        <f>IFERROR(__xludf.DUMMYFUNCTION("""COMPUTED_VALUE"""),0.7127662037037037)</f>
        <v>0.7127662037</v>
      </c>
      <c r="D967" s="50"/>
      <c r="E967" s="58"/>
      <c r="F967" s="58"/>
      <c r="G967" s="58" t="str">
        <f>IFERROR(__xludf.DUMMYFUNCTION("""COMPUTED_VALUE"""),"Null")</f>
        <v>Null</v>
      </c>
      <c r="H967" s="206" t="str">
        <f>IFERROR(__xludf.DUMMYFUNCTION("""COMPUTED_VALUE"""),"Negative")</f>
        <v>Negative</v>
      </c>
      <c r="I967" s="207">
        <f>IFERROR(__xludf.DUMMYFUNCTION("""COMPUTED_VALUE"""),44711.0)</f>
        <v>44711</v>
      </c>
      <c r="J967" s="208">
        <f>IFERROR(__xludf.DUMMYFUNCTION("""COMPUTED_VALUE"""),0.8096296296296296)</f>
        <v>0.8096296296</v>
      </c>
      <c r="K967" s="50">
        <f>IFERROR(__xludf.DUMMYFUNCTION("""COMPUTED_VALUE"""),2.0)</f>
        <v>2</v>
      </c>
      <c r="L967" s="6"/>
      <c r="M967" s="55"/>
      <c r="N967" s="55">
        <f>IFERROR(__xludf.DUMMYFUNCTION("""COMPUTED_VALUE"""),1.0)</f>
        <v>1</v>
      </c>
      <c r="O967" s="55" t="str">
        <f t="shared" si="3"/>
        <v/>
      </c>
      <c r="P967" s="209"/>
      <c r="Q967" s="75" t="b">
        <f>VLOOKUP($B967,'Run Reconcile'!B$2:P1679,15,FALSE)</f>
        <v>1</v>
      </c>
      <c r="R967" s="211" t="str">
        <f t="array" ref="R967">IF($Q967, INDEX('Run Reconcile'!A$2:A1679,MATCH(B967,'Run Reconcile'!B$2:B1679,0),1),IFERROR(0/0,""))</f>
        <v>RUN-COMB_2022-05-30_RFR-051</v>
      </c>
      <c r="S967" s="165" t="str">
        <f t="shared" ref="S967:T967" si="1933">IF(COUNTIF(W$2:W1679, $A967) &gt; 0,TRUE,IFERROR(0/0,""))</f>
        <v/>
      </c>
      <c r="T967" s="165" t="str">
        <f t="shared" si="1933"/>
        <v/>
      </c>
      <c r="U967" s="147" t="str">
        <f t="array" ref="U967">IF(ISBLANK($R967), IF($S967,VLOOKUP($B967+1,'RFR Data - preExcl'!$BF$2:$BG1679,2,FALSE),IF($T967,INDEX('RFR Data - preExcl'!$BF$2:$BG1679,MATCH($B967,'RFR Data - preExcl'!$BF$2:$BF1679,0)+1,2),VLOOKUP($B967,'RFR Data - preExcl'!$BF$2:$BG1679,2,FALSE))),IFERROR(0/0,""))</f>
        <v/>
      </c>
      <c r="V967" s="212" t="str">
        <f t="shared" si="5"/>
        <v>RUN-COMB_2022-05-30_RFR-051</v>
      </c>
      <c r="W967" s="51"/>
      <c r="X967" s="51"/>
      <c r="Y967" s="147" t="str">
        <f t="shared" ref="Y967:Z967" si="1934">IF(_xlfn.ISFORMULA(S967),IFERROR(0/0,""),TRUE)</f>
        <v/>
      </c>
      <c r="Z967" s="147" t="str">
        <f t="shared" si="1934"/>
        <v/>
      </c>
    </row>
    <row r="968">
      <c r="A968" s="6" t="str">
        <f>IFERROR(__xludf.DUMMYFUNCTION("""COMPUTED_VALUE"""),"FM2685")</f>
        <v>FM2685</v>
      </c>
      <c r="B968" s="206">
        <f>IFERROR(__xludf.DUMMYFUNCTION("""COMPUTED_VALUE"""),44711.0)</f>
        <v>44711</v>
      </c>
      <c r="C968" s="207">
        <f>IFERROR(__xludf.DUMMYFUNCTION("""COMPUTED_VALUE"""),0.7132060185185185)</f>
        <v>0.7132060185</v>
      </c>
      <c r="D968" s="50"/>
      <c r="E968" s="58"/>
      <c r="F968" s="58"/>
      <c r="G968" s="58" t="str">
        <f>IFERROR(__xludf.DUMMYFUNCTION("""COMPUTED_VALUE"""),"Null")</f>
        <v>Null</v>
      </c>
      <c r="H968" s="206" t="str">
        <f>IFERROR(__xludf.DUMMYFUNCTION("""COMPUTED_VALUE"""),"Negative")</f>
        <v>Negative</v>
      </c>
      <c r="I968" s="207">
        <f>IFERROR(__xludf.DUMMYFUNCTION("""COMPUTED_VALUE"""),44711.0)</f>
        <v>44711</v>
      </c>
      <c r="J968" s="208">
        <f>IFERROR(__xludf.DUMMYFUNCTION("""COMPUTED_VALUE"""),0.8096412037037037)</f>
        <v>0.8096412037</v>
      </c>
      <c r="K968" s="50">
        <f>IFERROR(__xludf.DUMMYFUNCTION("""COMPUTED_VALUE"""),2.0)</f>
        <v>2</v>
      </c>
      <c r="L968" s="6"/>
      <c r="M968" s="55"/>
      <c r="N968" s="55">
        <f>IFERROR(__xludf.DUMMYFUNCTION("""COMPUTED_VALUE"""),1.0)</f>
        <v>1</v>
      </c>
      <c r="O968" s="55" t="str">
        <f t="shared" si="3"/>
        <v/>
      </c>
      <c r="P968" s="209"/>
      <c r="Q968" s="75" t="b">
        <f>VLOOKUP($B968,'Run Reconcile'!B$2:P1679,15,FALSE)</f>
        <v>1</v>
      </c>
      <c r="R968" s="211" t="str">
        <f t="array" ref="R968">IF($Q968, INDEX('Run Reconcile'!A$2:A1679,MATCH(B968,'Run Reconcile'!B$2:B1679,0),1),IFERROR(0/0,""))</f>
        <v>RUN-COMB_2022-05-30_RFR-051</v>
      </c>
      <c r="S968" s="165" t="str">
        <f t="shared" ref="S968:T968" si="1935">IF(COUNTIF(W$2:W1679, $A968) &gt; 0,TRUE,IFERROR(0/0,""))</f>
        <v/>
      </c>
      <c r="T968" s="165" t="str">
        <f t="shared" si="1935"/>
        <v/>
      </c>
      <c r="U968" s="147" t="str">
        <f t="array" ref="U968">IF(ISBLANK($R968), IF($S968,VLOOKUP($B968+1,'RFR Data - preExcl'!$BF$2:$BG1679,2,FALSE),IF($T968,INDEX('RFR Data - preExcl'!$BF$2:$BG1679,MATCH($B968,'RFR Data - preExcl'!$BF$2:$BF1679,0)+1,2),VLOOKUP($B968,'RFR Data - preExcl'!$BF$2:$BG1679,2,FALSE))),IFERROR(0/0,""))</f>
        <v/>
      </c>
      <c r="V968" s="212" t="str">
        <f t="shared" si="5"/>
        <v>RUN-COMB_2022-05-30_RFR-051</v>
      </c>
      <c r="W968" s="51"/>
      <c r="X968" s="51"/>
      <c r="Y968" s="147" t="str">
        <f t="shared" ref="Y968:Z968" si="1936">IF(_xlfn.ISFORMULA(S968),IFERROR(0/0,""),TRUE)</f>
        <v/>
      </c>
      <c r="Z968" s="147" t="str">
        <f t="shared" si="1936"/>
        <v/>
      </c>
    </row>
    <row r="969">
      <c r="A969" s="6" t="str">
        <f>IFERROR(__xludf.DUMMYFUNCTION("""COMPUTED_VALUE"""),"FM2667")</f>
        <v>FM2667</v>
      </c>
      <c r="B969" s="206">
        <f>IFERROR(__xludf.DUMMYFUNCTION("""COMPUTED_VALUE"""),44711.0)</f>
        <v>44711</v>
      </c>
      <c r="C969" s="207">
        <f>IFERROR(__xludf.DUMMYFUNCTION("""COMPUTED_VALUE"""),0.7136226851851852)</f>
        <v>0.7136226852</v>
      </c>
      <c r="D969" s="50"/>
      <c r="E969" s="58"/>
      <c r="F969" s="58"/>
      <c r="G969" s="58" t="str">
        <f>IFERROR(__xludf.DUMMYFUNCTION("""COMPUTED_VALUE"""),"Null")</f>
        <v>Null</v>
      </c>
      <c r="H969" s="206" t="str">
        <f>IFERROR(__xludf.DUMMYFUNCTION("""COMPUTED_VALUE"""),"Negative")</f>
        <v>Negative</v>
      </c>
      <c r="I969" s="207">
        <f>IFERROR(__xludf.DUMMYFUNCTION("""COMPUTED_VALUE"""),44711.0)</f>
        <v>44711</v>
      </c>
      <c r="J969" s="208">
        <f>IFERROR(__xludf.DUMMYFUNCTION("""COMPUTED_VALUE"""),0.8096527777777778)</f>
        <v>0.8096527778</v>
      </c>
      <c r="K969" s="50">
        <f>IFERROR(__xludf.DUMMYFUNCTION("""COMPUTED_VALUE"""),2.0)</f>
        <v>2</v>
      </c>
      <c r="L969" s="6"/>
      <c r="M969" s="55"/>
      <c r="N969" s="55">
        <f>IFERROR(__xludf.DUMMYFUNCTION("""COMPUTED_VALUE"""),1.0)</f>
        <v>1</v>
      </c>
      <c r="O969" s="55" t="str">
        <f t="shared" si="3"/>
        <v/>
      </c>
      <c r="P969" s="209"/>
      <c r="Q969" s="75" t="b">
        <f>VLOOKUP($B969,'Run Reconcile'!B$2:P1679,15,FALSE)</f>
        <v>1</v>
      </c>
      <c r="R969" s="211" t="str">
        <f t="array" ref="R969">IF($Q969, INDEX('Run Reconcile'!A$2:A1679,MATCH(B969,'Run Reconcile'!B$2:B1679,0),1),IFERROR(0/0,""))</f>
        <v>RUN-COMB_2022-05-30_RFR-051</v>
      </c>
      <c r="S969" s="165" t="str">
        <f t="shared" ref="S969:T969" si="1937">IF(COUNTIF(W$2:W1679, $A969) &gt; 0,TRUE,IFERROR(0/0,""))</f>
        <v/>
      </c>
      <c r="T969" s="165" t="str">
        <f t="shared" si="1937"/>
        <v/>
      </c>
      <c r="U969" s="147" t="str">
        <f t="array" ref="U969">IF(ISBLANK($R969), IF($S969,VLOOKUP($B969+1,'RFR Data - preExcl'!$BF$2:$BG1679,2,FALSE),IF($T969,INDEX('RFR Data - preExcl'!$BF$2:$BG1679,MATCH($B969,'RFR Data - preExcl'!$BF$2:$BF1679,0)+1,2),VLOOKUP($B969,'RFR Data - preExcl'!$BF$2:$BG1679,2,FALSE))),IFERROR(0/0,""))</f>
        <v/>
      </c>
      <c r="V969" s="212" t="str">
        <f t="shared" si="5"/>
        <v>RUN-COMB_2022-05-30_RFR-051</v>
      </c>
      <c r="W969" s="51"/>
      <c r="X969" s="51"/>
      <c r="Y969" s="147" t="str">
        <f t="shared" ref="Y969:Z969" si="1938">IF(_xlfn.ISFORMULA(S969),IFERROR(0/0,""),TRUE)</f>
        <v/>
      </c>
      <c r="Z969" s="147" t="str">
        <f t="shared" si="1938"/>
        <v/>
      </c>
    </row>
    <row r="970">
      <c r="A970" s="6" t="str">
        <f>IFERROR(__xludf.DUMMYFUNCTION("""COMPUTED_VALUE"""),"FM2584")</f>
        <v>FM2584</v>
      </c>
      <c r="B970" s="206">
        <f>IFERROR(__xludf.DUMMYFUNCTION("""COMPUTED_VALUE"""),44711.0)</f>
        <v>44711</v>
      </c>
      <c r="C970" s="207">
        <f>IFERROR(__xludf.DUMMYFUNCTION("""COMPUTED_VALUE"""),0.7246296296296296)</f>
        <v>0.7246296296</v>
      </c>
      <c r="D970" s="50"/>
      <c r="E970" s="58"/>
      <c r="F970" s="58"/>
      <c r="G970" s="58" t="str">
        <f>IFERROR(__xludf.DUMMYFUNCTION("""COMPUTED_VALUE"""),"Null")</f>
        <v>Null</v>
      </c>
      <c r="H970" s="206" t="str">
        <f>IFERROR(__xludf.DUMMYFUNCTION("""COMPUTED_VALUE"""),"Negative")</f>
        <v>Negative</v>
      </c>
      <c r="I970" s="207">
        <f>IFERROR(__xludf.DUMMYFUNCTION("""COMPUTED_VALUE"""),44711.0)</f>
        <v>44711</v>
      </c>
      <c r="J970" s="208">
        <f>IFERROR(__xludf.DUMMYFUNCTION("""COMPUTED_VALUE"""),0.8096643518518518)</f>
        <v>0.8096643519</v>
      </c>
      <c r="K970" s="50">
        <f>IFERROR(__xludf.DUMMYFUNCTION("""COMPUTED_VALUE"""),2.0)</f>
        <v>2</v>
      </c>
      <c r="L970" s="6"/>
      <c r="M970" s="55"/>
      <c r="N970" s="55">
        <f>IFERROR(__xludf.DUMMYFUNCTION("""COMPUTED_VALUE"""),1.0)</f>
        <v>1</v>
      </c>
      <c r="O970" s="55" t="str">
        <f t="shared" si="3"/>
        <v/>
      </c>
      <c r="P970" s="209"/>
      <c r="Q970" s="75" t="b">
        <f>VLOOKUP($B970,'Run Reconcile'!B$2:P1679,15,FALSE)</f>
        <v>1</v>
      </c>
      <c r="R970" s="211" t="str">
        <f t="array" ref="R970">IF($Q970, INDEX('Run Reconcile'!A$2:A1679,MATCH(B970,'Run Reconcile'!B$2:B1679,0),1),IFERROR(0/0,""))</f>
        <v>RUN-COMB_2022-05-30_RFR-051</v>
      </c>
      <c r="S970" s="165" t="str">
        <f t="shared" ref="S970:T970" si="1939">IF(COUNTIF(W$2:W1679, $A970) &gt; 0,TRUE,IFERROR(0/0,""))</f>
        <v/>
      </c>
      <c r="T970" s="165" t="str">
        <f t="shared" si="1939"/>
        <v/>
      </c>
      <c r="U970" s="147" t="str">
        <f t="array" ref="U970">IF(ISBLANK($R970), IF($S970,VLOOKUP($B970+1,'RFR Data - preExcl'!$BF$2:$BG1679,2,FALSE),IF($T970,INDEX('RFR Data - preExcl'!$BF$2:$BG1679,MATCH($B970,'RFR Data - preExcl'!$BF$2:$BF1679,0)+1,2),VLOOKUP($B970,'RFR Data - preExcl'!$BF$2:$BG1679,2,FALSE))),IFERROR(0/0,""))</f>
        <v/>
      </c>
      <c r="V970" s="212" t="str">
        <f t="shared" si="5"/>
        <v>RUN-COMB_2022-05-30_RFR-051</v>
      </c>
      <c r="W970" s="51"/>
      <c r="X970" s="51"/>
      <c r="Y970" s="147" t="str">
        <f t="shared" ref="Y970:Z970" si="1940">IF(_xlfn.ISFORMULA(S970),IFERROR(0/0,""),TRUE)</f>
        <v/>
      </c>
      <c r="Z970" s="147" t="str">
        <f t="shared" si="1940"/>
        <v/>
      </c>
    </row>
    <row r="971">
      <c r="A971" s="6" t="str">
        <f>IFERROR(__xludf.DUMMYFUNCTION("""COMPUTED_VALUE"""),"FM2698")</f>
        <v>FM2698</v>
      </c>
      <c r="B971" s="206">
        <f>IFERROR(__xludf.DUMMYFUNCTION("""COMPUTED_VALUE"""),44711.0)</f>
        <v>44711</v>
      </c>
      <c r="C971" s="207">
        <f>IFERROR(__xludf.DUMMYFUNCTION("""COMPUTED_VALUE"""),0.725949074074074)</f>
        <v>0.7259490741</v>
      </c>
      <c r="D971" s="50"/>
      <c r="E971" s="58"/>
      <c r="F971" s="58"/>
      <c r="G971" s="58" t="str">
        <f>IFERROR(__xludf.DUMMYFUNCTION("""COMPUTED_VALUE"""),"Null")</f>
        <v>Null</v>
      </c>
      <c r="H971" s="206" t="str">
        <f>IFERROR(__xludf.DUMMYFUNCTION("""COMPUTED_VALUE"""),"Negative")</f>
        <v>Negative</v>
      </c>
      <c r="I971" s="207">
        <f>IFERROR(__xludf.DUMMYFUNCTION("""COMPUTED_VALUE"""),44711.0)</f>
        <v>44711</v>
      </c>
      <c r="J971" s="208">
        <f>IFERROR(__xludf.DUMMYFUNCTION("""COMPUTED_VALUE"""),0.809675925925926)</f>
        <v>0.8096759259</v>
      </c>
      <c r="K971" s="50">
        <f>IFERROR(__xludf.DUMMYFUNCTION("""COMPUTED_VALUE"""),2.0)</f>
        <v>2</v>
      </c>
      <c r="L971" s="6"/>
      <c r="M971" s="55"/>
      <c r="N971" s="55">
        <f>IFERROR(__xludf.DUMMYFUNCTION("""COMPUTED_VALUE"""),1.0)</f>
        <v>1</v>
      </c>
      <c r="O971" s="55" t="str">
        <f t="shared" si="3"/>
        <v/>
      </c>
      <c r="P971" s="209"/>
      <c r="Q971" s="75" t="b">
        <f>VLOOKUP($B971,'Run Reconcile'!B$2:P1679,15,FALSE)</f>
        <v>1</v>
      </c>
      <c r="R971" s="211" t="str">
        <f t="array" ref="R971">IF($Q971, INDEX('Run Reconcile'!A$2:A1679,MATCH(B971,'Run Reconcile'!B$2:B1679,0),1),IFERROR(0/0,""))</f>
        <v>RUN-COMB_2022-05-30_RFR-051</v>
      </c>
      <c r="S971" s="165" t="str">
        <f t="shared" ref="S971:T971" si="1941">IF(COUNTIF(W$2:W1679, $A971) &gt; 0,TRUE,IFERROR(0/0,""))</f>
        <v/>
      </c>
      <c r="T971" s="165" t="str">
        <f t="shared" si="1941"/>
        <v/>
      </c>
      <c r="U971" s="147" t="str">
        <f t="array" ref="U971">IF(ISBLANK($R971), IF($S971,VLOOKUP($B971+1,'RFR Data - preExcl'!$BF$2:$BG1679,2,FALSE),IF($T971,INDEX('RFR Data - preExcl'!$BF$2:$BG1679,MATCH($B971,'RFR Data - preExcl'!$BF$2:$BF1679,0)+1,2),VLOOKUP($B971,'RFR Data - preExcl'!$BF$2:$BG1679,2,FALSE))),IFERROR(0/0,""))</f>
        <v/>
      </c>
      <c r="V971" s="212" t="str">
        <f t="shared" si="5"/>
        <v>RUN-COMB_2022-05-30_RFR-051</v>
      </c>
      <c r="W971" s="51"/>
      <c r="X971" s="51"/>
      <c r="Y971" s="147" t="str">
        <f t="shared" ref="Y971:Z971" si="1942">IF(_xlfn.ISFORMULA(S971),IFERROR(0/0,""),TRUE)</f>
        <v/>
      </c>
      <c r="Z971" s="147" t="str">
        <f t="shared" si="1942"/>
        <v/>
      </c>
    </row>
    <row r="972">
      <c r="A972" s="6" t="str">
        <f>IFERROR(__xludf.DUMMYFUNCTION("""COMPUTED_VALUE"""),"FM2623")</f>
        <v>FM2623</v>
      </c>
      <c r="B972" s="206">
        <f>IFERROR(__xludf.DUMMYFUNCTION("""COMPUTED_VALUE"""),44711.0)</f>
        <v>44711</v>
      </c>
      <c r="C972" s="207">
        <f>IFERROR(__xludf.DUMMYFUNCTION("""COMPUTED_VALUE"""),0.7437268518518518)</f>
        <v>0.7437268519</v>
      </c>
      <c r="D972" s="50"/>
      <c r="E972" s="58"/>
      <c r="F972" s="58"/>
      <c r="G972" s="58" t="str">
        <f>IFERROR(__xludf.DUMMYFUNCTION("""COMPUTED_VALUE"""),"Null")</f>
        <v>Null</v>
      </c>
      <c r="H972" s="206" t="str">
        <f>IFERROR(__xludf.DUMMYFUNCTION("""COMPUTED_VALUE"""),"Negative")</f>
        <v>Negative</v>
      </c>
      <c r="I972" s="207">
        <f>IFERROR(__xludf.DUMMYFUNCTION("""COMPUTED_VALUE"""),44711.0)</f>
        <v>44711</v>
      </c>
      <c r="J972" s="208">
        <f>IFERROR(__xludf.DUMMYFUNCTION("""COMPUTED_VALUE"""),0.8096875)</f>
        <v>0.8096875</v>
      </c>
      <c r="K972" s="50">
        <f>IFERROR(__xludf.DUMMYFUNCTION("""COMPUTED_VALUE"""),2.0)</f>
        <v>2</v>
      </c>
      <c r="L972" s="6"/>
      <c r="M972" s="55"/>
      <c r="N972" s="55">
        <f>IFERROR(__xludf.DUMMYFUNCTION("""COMPUTED_VALUE"""),1.0)</f>
        <v>1</v>
      </c>
      <c r="O972" s="55" t="str">
        <f t="shared" si="3"/>
        <v/>
      </c>
      <c r="P972" s="209"/>
      <c r="Q972" s="75" t="b">
        <f>VLOOKUP($B972,'Run Reconcile'!B$2:P1679,15,FALSE)</f>
        <v>1</v>
      </c>
      <c r="R972" s="211" t="str">
        <f t="array" ref="R972">IF($Q972, INDEX('Run Reconcile'!A$2:A1679,MATCH(B972,'Run Reconcile'!B$2:B1679,0),1),IFERROR(0/0,""))</f>
        <v>RUN-COMB_2022-05-30_RFR-051</v>
      </c>
      <c r="S972" s="165" t="str">
        <f t="shared" ref="S972:T972" si="1943">IF(COUNTIF(W$2:W1679, $A972) &gt; 0,TRUE,IFERROR(0/0,""))</f>
        <v/>
      </c>
      <c r="T972" s="165" t="str">
        <f t="shared" si="1943"/>
        <v/>
      </c>
      <c r="U972" s="147" t="str">
        <f t="array" ref="U972">IF(ISBLANK($R972), IF($S972,VLOOKUP($B972+1,'RFR Data - preExcl'!$BF$2:$BG1679,2,FALSE),IF($T972,INDEX('RFR Data - preExcl'!$BF$2:$BG1679,MATCH($B972,'RFR Data - preExcl'!$BF$2:$BF1679,0)+1,2),VLOOKUP($B972,'RFR Data - preExcl'!$BF$2:$BG1679,2,FALSE))),IFERROR(0/0,""))</f>
        <v/>
      </c>
      <c r="V972" s="212" t="str">
        <f t="shared" si="5"/>
        <v>RUN-COMB_2022-05-30_RFR-051</v>
      </c>
      <c r="W972" s="51"/>
      <c r="X972" s="51"/>
      <c r="Y972" s="147" t="str">
        <f t="shared" ref="Y972:Z972" si="1944">IF(_xlfn.ISFORMULA(S972),IFERROR(0/0,""),TRUE)</f>
        <v/>
      </c>
      <c r="Z972" s="147" t="str">
        <f t="shared" si="1944"/>
        <v/>
      </c>
    </row>
    <row r="973">
      <c r="A973" s="6" t="str">
        <f>IFERROR(__xludf.DUMMYFUNCTION("""COMPUTED_VALUE"""),"FM2626")</f>
        <v>FM2626</v>
      </c>
      <c r="B973" s="206">
        <f>IFERROR(__xludf.DUMMYFUNCTION("""COMPUTED_VALUE"""),44712.0)</f>
        <v>44712</v>
      </c>
      <c r="C973" s="207">
        <f>IFERROR(__xludf.DUMMYFUNCTION("""COMPUTED_VALUE"""),0.2667824074074074)</f>
        <v>0.2667824074</v>
      </c>
      <c r="D973" s="50"/>
      <c r="E973" s="58"/>
      <c r="F973" s="58"/>
      <c r="G973" s="58" t="str">
        <f>IFERROR(__xludf.DUMMYFUNCTION("""COMPUTED_VALUE"""),"Null")</f>
        <v>Null</v>
      </c>
      <c r="H973" s="206" t="str">
        <f>IFERROR(__xludf.DUMMYFUNCTION("""COMPUTED_VALUE"""),"Negative")</f>
        <v>Negative</v>
      </c>
      <c r="I973" s="207">
        <f>IFERROR(__xludf.DUMMYFUNCTION("""COMPUTED_VALUE"""),44712.0)</f>
        <v>44712</v>
      </c>
      <c r="J973" s="208">
        <f>IFERROR(__xludf.DUMMYFUNCTION("""COMPUTED_VALUE"""),0.35988425925925926)</f>
        <v>0.3598842593</v>
      </c>
      <c r="K973" s="50">
        <f>IFERROR(__xludf.DUMMYFUNCTION("""COMPUTED_VALUE"""),2.0)</f>
        <v>2</v>
      </c>
      <c r="L973" s="6"/>
      <c r="M973" s="55"/>
      <c r="N973" s="55">
        <f>IFERROR(__xludf.DUMMYFUNCTION("""COMPUTED_VALUE"""),1.0)</f>
        <v>1</v>
      </c>
      <c r="O973" s="55" t="b">
        <f t="shared" si="3"/>
        <v>1</v>
      </c>
      <c r="P973" s="209"/>
      <c r="Q973" s="75" t="b">
        <f>VLOOKUP($B973,'Run Reconcile'!B$2:P1679,15,FALSE)</f>
        <v>1</v>
      </c>
      <c r="R973" s="211" t="str">
        <f t="array" ref="R973">IF($Q973, INDEX('Run Reconcile'!A$2:A1679,MATCH(B973,'Run Reconcile'!B$2:B1679,0),1),IFERROR(0/0,""))</f>
        <v>RUN-COMB_2022-05-31_RFR-052</v>
      </c>
      <c r="S973" s="165" t="str">
        <f t="shared" ref="S973:T973" si="1945">IF(COUNTIF(W$2:W1679, $A973) &gt; 0,TRUE,IFERROR(0/0,""))</f>
        <v/>
      </c>
      <c r="T973" s="165" t="str">
        <f t="shared" si="1945"/>
        <v/>
      </c>
      <c r="U973" s="147" t="str">
        <f t="array" ref="U973">IF(ISBLANK($R973), IF($S973,VLOOKUP($B973+1,'RFR Data - preExcl'!$BF$2:$BG1679,2,FALSE),IF($T973,INDEX('RFR Data - preExcl'!$BF$2:$BG1679,MATCH($B973,'RFR Data - preExcl'!$BF$2:$BF1679,0)+1,2),VLOOKUP($B973,'RFR Data - preExcl'!$BF$2:$BG1679,2,FALSE))),IFERROR(0/0,""))</f>
        <v/>
      </c>
      <c r="V973" s="212" t="str">
        <f t="shared" si="5"/>
        <v>RUN-COMB_2022-05-31_RFR-052</v>
      </c>
      <c r="W973" s="51"/>
      <c r="X973" s="51"/>
      <c r="Y973" s="147" t="str">
        <f t="shared" ref="Y973:Z973" si="1946">IF(_xlfn.ISFORMULA(S973),IFERROR(0/0,""),TRUE)</f>
        <v/>
      </c>
      <c r="Z973" s="147" t="str">
        <f t="shared" si="1946"/>
        <v/>
      </c>
    </row>
    <row r="974">
      <c r="A974" s="6" t="str">
        <f>IFERROR(__xludf.DUMMYFUNCTION("""COMPUTED_VALUE"""),"FM2700")</f>
        <v>FM2700</v>
      </c>
      <c r="B974" s="206">
        <f>IFERROR(__xludf.DUMMYFUNCTION("""COMPUTED_VALUE"""),44712.0)</f>
        <v>44712</v>
      </c>
      <c r="C974" s="207">
        <f>IFERROR(__xludf.DUMMYFUNCTION("""COMPUTED_VALUE"""),0.26717592592592593)</f>
        <v>0.2671759259</v>
      </c>
      <c r="D974" s="50"/>
      <c r="E974" s="58"/>
      <c r="F974" s="58"/>
      <c r="G974" s="58" t="str">
        <f>IFERROR(__xludf.DUMMYFUNCTION("""COMPUTED_VALUE"""),"Null")</f>
        <v>Null</v>
      </c>
      <c r="H974" s="206" t="str">
        <f>IFERROR(__xludf.DUMMYFUNCTION("""COMPUTED_VALUE"""),"Negative")</f>
        <v>Negative</v>
      </c>
      <c r="I974" s="207">
        <f>IFERROR(__xludf.DUMMYFUNCTION("""COMPUTED_VALUE"""),44712.0)</f>
        <v>44712</v>
      </c>
      <c r="J974" s="208">
        <f>IFERROR(__xludf.DUMMYFUNCTION("""COMPUTED_VALUE"""),0.35989583333333336)</f>
        <v>0.3598958333</v>
      </c>
      <c r="K974" s="50">
        <f>IFERROR(__xludf.DUMMYFUNCTION("""COMPUTED_VALUE"""),2.0)</f>
        <v>2</v>
      </c>
      <c r="L974" s="6"/>
      <c r="M974" s="55"/>
      <c r="N974" s="55">
        <f>IFERROR(__xludf.DUMMYFUNCTION("""COMPUTED_VALUE"""),1.0)</f>
        <v>1</v>
      </c>
      <c r="O974" s="55" t="str">
        <f t="shared" si="3"/>
        <v/>
      </c>
      <c r="P974" s="209"/>
      <c r="Q974" s="75" t="b">
        <f>VLOOKUP($B974,'Run Reconcile'!B$2:P1679,15,FALSE)</f>
        <v>1</v>
      </c>
      <c r="R974" s="211" t="str">
        <f t="array" ref="R974">IF($Q974, INDEX('Run Reconcile'!A$2:A1679,MATCH(B974,'Run Reconcile'!B$2:B1679,0),1),IFERROR(0/0,""))</f>
        <v>RUN-COMB_2022-05-31_RFR-052</v>
      </c>
      <c r="S974" s="165" t="str">
        <f t="shared" ref="S974:T974" si="1947">IF(COUNTIF(W$2:W1679, $A974) &gt; 0,TRUE,IFERROR(0/0,""))</f>
        <v/>
      </c>
      <c r="T974" s="165" t="str">
        <f t="shared" si="1947"/>
        <v/>
      </c>
      <c r="U974" s="147" t="str">
        <f t="array" ref="U974">IF(ISBLANK($R974), IF($S974,VLOOKUP($B974+1,'RFR Data - preExcl'!$BF$2:$BG1679,2,FALSE),IF($T974,INDEX('RFR Data - preExcl'!$BF$2:$BG1679,MATCH($B974,'RFR Data - preExcl'!$BF$2:$BF1679,0)+1,2),VLOOKUP($B974,'RFR Data - preExcl'!$BF$2:$BG1679,2,FALSE))),IFERROR(0/0,""))</f>
        <v/>
      </c>
      <c r="V974" s="212" t="str">
        <f t="shared" si="5"/>
        <v>RUN-COMB_2022-05-31_RFR-052</v>
      </c>
      <c r="W974" s="51"/>
      <c r="X974" s="51"/>
      <c r="Y974" s="147" t="str">
        <f t="shared" ref="Y974:Z974" si="1948">IF(_xlfn.ISFORMULA(S974),IFERROR(0/0,""),TRUE)</f>
        <v/>
      </c>
      <c r="Z974" s="147" t="str">
        <f t="shared" si="1948"/>
        <v/>
      </c>
    </row>
    <row r="975">
      <c r="A975" s="6" t="str">
        <f>IFERROR(__xludf.DUMMYFUNCTION("""COMPUTED_VALUE"""),"FM2642")</f>
        <v>FM2642</v>
      </c>
      <c r="B975" s="206">
        <f>IFERROR(__xludf.DUMMYFUNCTION("""COMPUTED_VALUE"""),44712.0)</f>
        <v>44712</v>
      </c>
      <c r="C975" s="207">
        <f>IFERROR(__xludf.DUMMYFUNCTION("""COMPUTED_VALUE"""),0.26817129629629627)</f>
        <v>0.2681712963</v>
      </c>
      <c r="D975" s="50"/>
      <c r="E975" s="58"/>
      <c r="F975" s="58"/>
      <c r="G975" s="58" t="str">
        <f>IFERROR(__xludf.DUMMYFUNCTION("""COMPUTED_VALUE"""),"Null")</f>
        <v>Null</v>
      </c>
      <c r="H975" s="206" t="str">
        <f>IFERROR(__xludf.DUMMYFUNCTION("""COMPUTED_VALUE"""),"Positive")</f>
        <v>Positive</v>
      </c>
      <c r="I975" s="207"/>
      <c r="J975" s="50"/>
      <c r="K975" s="50">
        <f>IFERROR(__xludf.DUMMYFUNCTION("""COMPUTED_VALUE"""),3.0)</f>
        <v>3</v>
      </c>
      <c r="L975" s="6" t="str">
        <f>IFERROR(__xludf.DUMMYFUNCTION("""COMPUTED_VALUE"""),"RFR Audit shows clear positive and Response Notes say person was known positive 7 days in - no one resulted positive in App and this tube was only collected so chose it to be the positive because it was the only one different")</f>
        <v>RFR Audit shows clear positive and Response Notes say person was known positive 7 days in - no one resulted positive in App and this tube was only collected so chose it to be the positive because it was the only one different</v>
      </c>
      <c r="M975" s="55"/>
      <c r="N975" s="55">
        <f>IFERROR(__xludf.DUMMYFUNCTION("""COMPUTED_VALUE"""),1.0)</f>
        <v>1</v>
      </c>
      <c r="O975" s="55" t="str">
        <f t="shared" si="3"/>
        <v/>
      </c>
      <c r="P975" s="209"/>
      <c r="Q975" s="75" t="b">
        <f>VLOOKUP($B975,'Run Reconcile'!B$2:P1679,15,FALSE)</f>
        <v>1</v>
      </c>
      <c r="R975" s="211" t="str">
        <f t="array" ref="R975">IF($Q975, INDEX('Run Reconcile'!A$2:A1679,MATCH(B975,'Run Reconcile'!B$2:B1679,0),1),IFERROR(0/0,""))</f>
        <v>RUN-COMB_2022-05-31_RFR-052</v>
      </c>
      <c r="S975" s="165" t="str">
        <f t="shared" ref="S975:T975" si="1949">IF(COUNTIF(W$2:W1679, $A975) &gt; 0,TRUE,IFERROR(0/0,""))</f>
        <v/>
      </c>
      <c r="T975" s="165" t="str">
        <f t="shared" si="1949"/>
        <v/>
      </c>
      <c r="U975" s="147" t="str">
        <f t="array" ref="U975">IF(ISBLANK($R975), IF($S975,VLOOKUP($B975+1,'RFR Data - preExcl'!$BF$2:$BG1679,2,FALSE),IF($T975,INDEX('RFR Data - preExcl'!$BF$2:$BG1679,MATCH($B975,'RFR Data - preExcl'!$BF$2:$BF1679,0)+1,2),VLOOKUP($B975,'RFR Data - preExcl'!$BF$2:$BG1679,2,FALSE))),IFERROR(0/0,""))</f>
        <v/>
      </c>
      <c r="V975" s="212" t="str">
        <f t="shared" si="5"/>
        <v>RUN-COMB_2022-05-31_RFR-052</v>
      </c>
      <c r="W975" s="51"/>
      <c r="X975" s="51"/>
      <c r="Y975" s="147" t="str">
        <f t="shared" ref="Y975:Z975" si="1950">IF(_xlfn.ISFORMULA(S975),IFERROR(0/0,""),TRUE)</f>
        <v/>
      </c>
      <c r="Z975" s="147" t="str">
        <f t="shared" si="1950"/>
        <v/>
      </c>
    </row>
    <row r="976">
      <c r="A976" s="6" t="str">
        <f>IFERROR(__xludf.DUMMYFUNCTION("""COMPUTED_VALUE"""),"FM2663")</f>
        <v>FM2663</v>
      </c>
      <c r="B976" s="206">
        <f>IFERROR(__xludf.DUMMYFUNCTION("""COMPUTED_VALUE"""),44712.0)</f>
        <v>44712</v>
      </c>
      <c r="C976" s="207">
        <f>IFERROR(__xludf.DUMMYFUNCTION("""COMPUTED_VALUE"""),0.26993055555555556)</f>
        <v>0.2699305556</v>
      </c>
      <c r="D976" s="50"/>
      <c r="E976" s="58"/>
      <c r="F976" s="58"/>
      <c r="G976" s="58" t="str">
        <f>IFERROR(__xludf.DUMMYFUNCTION("""COMPUTED_VALUE"""),"Null")</f>
        <v>Null</v>
      </c>
      <c r="H976" s="206" t="str">
        <f>IFERROR(__xludf.DUMMYFUNCTION("""COMPUTED_VALUE"""),"Negative")</f>
        <v>Negative</v>
      </c>
      <c r="I976" s="207">
        <f>IFERROR(__xludf.DUMMYFUNCTION("""COMPUTED_VALUE"""),44712.0)</f>
        <v>44712</v>
      </c>
      <c r="J976" s="208">
        <f>IFERROR(__xludf.DUMMYFUNCTION("""COMPUTED_VALUE"""),0.3599074074074074)</f>
        <v>0.3599074074</v>
      </c>
      <c r="K976" s="50">
        <f>IFERROR(__xludf.DUMMYFUNCTION("""COMPUTED_VALUE"""),2.0)</f>
        <v>2</v>
      </c>
      <c r="L976" s="6"/>
      <c r="M976" s="55"/>
      <c r="N976" s="55">
        <f>IFERROR(__xludf.DUMMYFUNCTION("""COMPUTED_VALUE"""),1.0)</f>
        <v>1</v>
      </c>
      <c r="O976" s="55" t="str">
        <f t="shared" si="3"/>
        <v/>
      </c>
      <c r="P976" s="209"/>
      <c r="Q976" s="75" t="b">
        <f>VLOOKUP($B976,'Run Reconcile'!B$2:P1679,15,FALSE)</f>
        <v>1</v>
      </c>
      <c r="R976" s="211" t="str">
        <f t="array" ref="R976">IF($Q976, INDEX('Run Reconcile'!A$2:A1679,MATCH(B976,'Run Reconcile'!B$2:B1679,0),1),IFERROR(0/0,""))</f>
        <v>RUN-COMB_2022-05-31_RFR-052</v>
      </c>
      <c r="S976" s="165" t="str">
        <f t="shared" ref="S976:T976" si="1951">IF(COUNTIF(W$2:W1679, $A976) &gt; 0,TRUE,IFERROR(0/0,""))</f>
        <v/>
      </c>
      <c r="T976" s="165" t="str">
        <f t="shared" si="1951"/>
        <v/>
      </c>
      <c r="U976" s="147" t="str">
        <f t="array" ref="U976">IF(ISBLANK($R976), IF($S976,VLOOKUP($B976+1,'RFR Data - preExcl'!$BF$2:$BG1679,2,FALSE),IF($T976,INDEX('RFR Data - preExcl'!$BF$2:$BG1679,MATCH($B976,'RFR Data - preExcl'!$BF$2:$BF1679,0)+1,2),VLOOKUP($B976,'RFR Data - preExcl'!$BF$2:$BG1679,2,FALSE))),IFERROR(0/0,""))</f>
        <v/>
      </c>
      <c r="V976" s="212" t="str">
        <f t="shared" si="5"/>
        <v>RUN-COMB_2022-05-31_RFR-052</v>
      </c>
      <c r="W976" s="51"/>
      <c r="X976" s="51"/>
      <c r="Y976" s="147" t="str">
        <f t="shared" ref="Y976:Z976" si="1952">IF(_xlfn.ISFORMULA(S976),IFERROR(0/0,""),TRUE)</f>
        <v/>
      </c>
      <c r="Z976" s="147" t="str">
        <f t="shared" si="1952"/>
        <v/>
      </c>
    </row>
    <row r="977">
      <c r="A977" s="6" t="str">
        <f>IFERROR(__xludf.DUMMYFUNCTION("""COMPUTED_VALUE"""),"FM2635")</f>
        <v>FM2635</v>
      </c>
      <c r="B977" s="206">
        <f>IFERROR(__xludf.DUMMYFUNCTION("""COMPUTED_VALUE"""),44712.0)</f>
        <v>44712</v>
      </c>
      <c r="C977" s="207">
        <f>IFERROR(__xludf.DUMMYFUNCTION("""COMPUTED_VALUE"""),0.2702777777777778)</f>
        <v>0.2702777778</v>
      </c>
      <c r="D977" s="50"/>
      <c r="E977" s="58"/>
      <c r="F977" s="58"/>
      <c r="G977" s="58" t="str">
        <f>IFERROR(__xludf.DUMMYFUNCTION("""COMPUTED_VALUE"""),"Null")</f>
        <v>Null</v>
      </c>
      <c r="H977" s="206" t="str">
        <f>IFERROR(__xludf.DUMMYFUNCTION("""COMPUTED_VALUE"""),"Negative")</f>
        <v>Negative</v>
      </c>
      <c r="I977" s="207">
        <f>IFERROR(__xludf.DUMMYFUNCTION("""COMPUTED_VALUE"""),44712.0)</f>
        <v>44712</v>
      </c>
      <c r="J977" s="208">
        <f>IFERROR(__xludf.DUMMYFUNCTION("""COMPUTED_VALUE"""),0.35993055555555553)</f>
        <v>0.3599305556</v>
      </c>
      <c r="K977" s="50">
        <f>IFERROR(__xludf.DUMMYFUNCTION("""COMPUTED_VALUE"""),2.0)</f>
        <v>2</v>
      </c>
      <c r="L977" s="6"/>
      <c r="M977" s="55"/>
      <c r="N977" s="55">
        <f>IFERROR(__xludf.DUMMYFUNCTION("""COMPUTED_VALUE"""),1.0)</f>
        <v>1</v>
      </c>
      <c r="O977" s="55" t="str">
        <f t="shared" si="3"/>
        <v/>
      </c>
      <c r="P977" s="209"/>
      <c r="Q977" s="75" t="b">
        <f>VLOOKUP($B977,'Run Reconcile'!B$2:P1679,15,FALSE)</f>
        <v>1</v>
      </c>
      <c r="R977" s="211" t="str">
        <f t="array" ref="R977">IF($Q977, INDEX('Run Reconcile'!A$2:A1679,MATCH(B977,'Run Reconcile'!B$2:B1679,0),1),IFERROR(0/0,""))</f>
        <v>RUN-COMB_2022-05-31_RFR-052</v>
      </c>
      <c r="S977" s="165" t="str">
        <f t="shared" ref="S977:T977" si="1953">IF(COUNTIF(W$2:W1679, $A977) &gt; 0,TRUE,IFERROR(0/0,""))</f>
        <v/>
      </c>
      <c r="T977" s="165" t="str">
        <f t="shared" si="1953"/>
        <v/>
      </c>
      <c r="U977" s="147" t="str">
        <f t="array" ref="U977">IF(ISBLANK($R977), IF($S977,VLOOKUP($B977+1,'RFR Data - preExcl'!$BF$2:$BG1679,2,FALSE),IF($T977,INDEX('RFR Data - preExcl'!$BF$2:$BG1679,MATCH($B977,'RFR Data - preExcl'!$BF$2:$BF1679,0)+1,2),VLOOKUP($B977,'RFR Data - preExcl'!$BF$2:$BG1679,2,FALSE))),IFERROR(0/0,""))</f>
        <v/>
      </c>
      <c r="V977" s="212" t="str">
        <f t="shared" si="5"/>
        <v>RUN-COMB_2022-05-31_RFR-052</v>
      </c>
      <c r="W977" s="51"/>
      <c r="X977" s="51"/>
      <c r="Y977" s="147" t="str">
        <f t="shared" ref="Y977:Z977" si="1954">IF(_xlfn.ISFORMULA(S977),IFERROR(0/0,""),TRUE)</f>
        <v/>
      </c>
      <c r="Z977" s="147" t="str">
        <f t="shared" si="1954"/>
        <v/>
      </c>
    </row>
    <row r="978">
      <c r="A978" s="6" t="str">
        <f>IFERROR(__xludf.DUMMYFUNCTION("""COMPUTED_VALUE"""),"FM2680")</f>
        <v>FM2680</v>
      </c>
      <c r="B978" s="206">
        <f>IFERROR(__xludf.DUMMYFUNCTION("""COMPUTED_VALUE"""),44712.0)</f>
        <v>44712</v>
      </c>
      <c r="C978" s="207">
        <f>IFERROR(__xludf.DUMMYFUNCTION("""COMPUTED_VALUE"""),0.27067129629629627)</f>
        <v>0.2706712963</v>
      </c>
      <c r="D978" s="50"/>
      <c r="E978" s="58"/>
      <c r="F978" s="58"/>
      <c r="G978" s="58" t="str">
        <f>IFERROR(__xludf.DUMMYFUNCTION("""COMPUTED_VALUE"""),"Null")</f>
        <v>Null</v>
      </c>
      <c r="H978" s="206" t="str">
        <f>IFERROR(__xludf.DUMMYFUNCTION("""COMPUTED_VALUE"""),"Negative")</f>
        <v>Negative</v>
      </c>
      <c r="I978" s="207">
        <f>IFERROR(__xludf.DUMMYFUNCTION("""COMPUTED_VALUE"""),44712.0)</f>
        <v>44712</v>
      </c>
      <c r="J978" s="208">
        <f>IFERROR(__xludf.DUMMYFUNCTION("""COMPUTED_VALUE"""),0.3599421296296296)</f>
        <v>0.3599421296</v>
      </c>
      <c r="K978" s="50">
        <f>IFERROR(__xludf.DUMMYFUNCTION("""COMPUTED_VALUE"""),2.0)</f>
        <v>2</v>
      </c>
      <c r="L978" s="6"/>
      <c r="M978" s="55"/>
      <c r="N978" s="55">
        <f>IFERROR(__xludf.DUMMYFUNCTION("""COMPUTED_VALUE"""),1.0)</f>
        <v>1</v>
      </c>
      <c r="O978" s="55" t="str">
        <f t="shared" si="3"/>
        <v/>
      </c>
      <c r="P978" s="209"/>
      <c r="Q978" s="75" t="b">
        <f>VLOOKUP($B978,'Run Reconcile'!B$2:P1679,15,FALSE)</f>
        <v>1</v>
      </c>
      <c r="R978" s="211" t="str">
        <f t="array" ref="R978">IF($Q978, INDEX('Run Reconcile'!A$2:A1679,MATCH(B978,'Run Reconcile'!B$2:B1679,0),1),IFERROR(0/0,""))</f>
        <v>RUN-COMB_2022-05-31_RFR-052</v>
      </c>
      <c r="S978" s="165" t="str">
        <f t="shared" ref="S978:T978" si="1955">IF(COUNTIF(W$2:W1679, $A978) &gt; 0,TRUE,IFERROR(0/0,""))</f>
        <v/>
      </c>
      <c r="T978" s="165" t="str">
        <f t="shared" si="1955"/>
        <v/>
      </c>
      <c r="U978" s="147" t="str">
        <f t="array" ref="U978">IF(ISBLANK($R978), IF($S978,VLOOKUP($B978+1,'RFR Data - preExcl'!$BF$2:$BG1679,2,FALSE),IF($T978,INDEX('RFR Data - preExcl'!$BF$2:$BG1679,MATCH($B978,'RFR Data - preExcl'!$BF$2:$BF1679,0)+1,2),VLOOKUP($B978,'RFR Data - preExcl'!$BF$2:$BG1679,2,FALSE))),IFERROR(0/0,""))</f>
        <v/>
      </c>
      <c r="V978" s="212" t="str">
        <f t="shared" si="5"/>
        <v>RUN-COMB_2022-05-31_RFR-052</v>
      </c>
      <c r="W978" s="51"/>
      <c r="X978" s="51"/>
      <c r="Y978" s="147" t="str">
        <f t="shared" ref="Y978:Z978" si="1956">IF(_xlfn.ISFORMULA(S978),IFERROR(0/0,""),TRUE)</f>
        <v/>
      </c>
      <c r="Z978" s="147" t="str">
        <f t="shared" si="1956"/>
        <v/>
      </c>
    </row>
    <row r="979">
      <c r="A979" s="6" t="str">
        <f>IFERROR(__xludf.DUMMYFUNCTION("""COMPUTED_VALUE"""),"FM2695")</f>
        <v>FM2695</v>
      </c>
      <c r="B979" s="206">
        <f>IFERROR(__xludf.DUMMYFUNCTION("""COMPUTED_VALUE"""),44712.0)</f>
        <v>44712</v>
      </c>
      <c r="C979" s="207">
        <f>IFERROR(__xludf.DUMMYFUNCTION("""COMPUTED_VALUE"""),0.2716898148148148)</f>
        <v>0.2716898148</v>
      </c>
      <c r="D979" s="50"/>
      <c r="E979" s="58"/>
      <c r="F979" s="58"/>
      <c r="G979" s="58" t="str">
        <f>IFERROR(__xludf.DUMMYFUNCTION("""COMPUTED_VALUE"""),"Null")</f>
        <v>Null</v>
      </c>
      <c r="H979" s="206" t="str">
        <f>IFERROR(__xludf.DUMMYFUNCTION("""COMPUTED_VALUE"""),"Negative")</f>
        <v>Negative</v>
      </c>
      <c r="I979" s="207">
        <f>IFERROR(__xludf.DUMMYFUNCTION("""COMPUTED_VALUE"""),44712.0)</f>
        <v>44712</v>
      </c>
      <c r="J979" s="208">
        <f>IFERROR(__xludf.DUMMYFUNCTION("""COMPUTED_VALUE"""),0.3599537037037037)</f>
        <v>0.3599537037</v>
      </c>
      <c r="K979" s="50">
        <f>IFERROR(__xludf.DUMMYFUNCTION("""COMPUTED_VALUE"""),2.0)</f>
        <v>2</v>
      </c>
      <c r="L979" s="6"/>
      <c r="M979" s="55"/>
      <c r="N979" s="55">
        <f>IFERROR(__xludf.DUMMYFUNCTION("""COMPUTED_VALUE"""),1.0)</f>
        <v>1</v>
      </c>
      <c r="O979" s="55" t="str">
        <f t="shared" si="3"/>
        <v/>
      </c>
      <c r="P979" s="209"/>
      <c r="Q979" s="75" t="b">
        <f>VLOOKUP($B979,'Run Reconcile'!B$2:P1679,15,FALSE)</f>
        <v>1</v>
      </c>
      <c r="R979" s="211" t="str">
        <f t="array" ref="R979">IF($Q979, INDEX('Run Reconcile'!A$2:A1679,MATCH(B979,'Run Reconcile'!B$2:B1679,0),1),IFERROR(0/0,""))</f>
        <v>RUN-COMB_2022-05-31_RFR-052</v>
      </c>
      <c r="S979" s="165" t="str">
        <f t="shared" ref="S979:T979" si="1957">IF(COUNTIF(W$2:W1679, $A979) &gt; 0,TRUE,IFERROR(0/0,""))</f>
        <v/>
      </c>
      <c r="T979" s="165" t="str">
        <f t="shared" si="1957"/>
        <v/>
      </c>
      <c r="U979" s="147" t="str">
        <f t="array" ref="U979">IF(ISBLANK($R979), IF($S979,VLOOKUP($B979+1,'RFR Data - preExcl'!$BF$2:$BG1679,2,FALSE),IF($T979,INDEX('RFR Data - preExcl'!$BF$2:$BG1679,MATCH($B979,'RFR Data - preExcl'!$BF$2:$BF1679,0)+1,2),VLOOKUP($B979,'RFR Data - preExcl'!$BF$2:$BG1679,2,FALSE))),IFERROR(0/0,""))</f>
        <v/>
      </c>
      <c r="V979" s="212" t="str">
        <f t="shared" si="5"/>
        <v>RUN-COMB_2022-05-31_RFR-052</v>
      </c>
      <c r="W979" s="51"/>
      <c r="X979" s="51"/>
      <c r="Y979" s="147" t="str">
        <f t="shared" ref="Y979:Z979" si="1958">IF(_xlfn.ISFORMULA(S979),IFERROR(0/0,""),TRUE)</f>
        <v/>
      </c>
      <c r="Z979" s="147" t="str">
        <f t="shared" si="1958"/>
        <v/>
      </c>
    </row>
    <row r="980">
      <c r="A980" s="6" t="str">
        <f>IFERROR(__xludf.DUMMYFUNCTION("""COMPUTED_VALUE"""),"FM2677")</f>
        <v>FM2677</v>
      </c>
      <c r="B980" s="206">
        <f>IFERROR(__xludf.DUMMYFUNCTION("""COMPUTED_VALUE"""),44712.0)</f>
        <v>44712</v>
      </c>
      <c r="C980" s="207">
        <f>IFERROR(__xludf.DUMMYFUNCTION("""COMPUTED_VALUE"""),0.2720601851851852)</f>
        <v>0.2720601852</v>
      </c>
      <c r="D980" s="50"/>
      <c r="E980" s="58"/>
      <c r="F980" s="58"/>
      <c r="G980" s="58" t="str">
        <f>IFERROR(__xludf.DUMMYFUNCTION("""COMPUTED_VALUE"""),"Null")</f>
        <v>Null</v>
      </c>
      <c r="H980" s="206" t="str">
        <f>IFERROR(__xludf.DUMMYFUNCTION("""COMPUTED_VALUE"""),"Negative")</f>
        <v>Negative</v>
      </c>
      <c r="I980" s="207">
        <f>IFERROR(__xludf.DUMMYFUNCTION("""COMPUTED_VALUE"""),44712.0)</f>
        <v>44712</v>
      </c>
      <c r="J980" s="208">
        <f>IFERROR(__xludf.DUMMYFUNCTION("""COMPUTED_VALUE"""),0.35996527777777776)</f>
        <v>0.3599652778</v>
      </c>
      <c r="K980" s="50">
        <f>IFERROR(__xludf.DUMMYFUNCTION("""COMPUTED_VALUE"""),2.0)</f>
        <v>2</v>
      </c>
      <c r="L980" s="6"/>
      <c r="M980" s="55"/>
      <c r="N980" s="55">
        <f>IFERROR(__xludf.DUMMYFUNCTION("""COMPUTED_VALUE"""),1.0)</f>
        <v>1</v>
      </c>
      <c r="O980" s="55" t="str">
        <f t="shared" si="3"/>
        <v/>
      </c>
      <c r="P980" s="209"/>
      <c r="Q980" s="75" t="b">
        <f>VLOOKUP($B980,'Run Reconcile'!B$2:P1679,15,FALSE)</f>
        <v>1</v>
      </c>
      <c r="R980" s="211" t="str">
        <f t="array" ref="R980">IF($Q980, INDEX('Run Reconcile'!A$2:A1679,MATCH(B980,'Run Reconcile'!B$2:B1679,0),1),IFERROR(0/0,""))</f>
        <v>RUN-COMB_2022-05-31_RFR-052</v>
      </c>
      <c r="S980" s="165" t="str">
        <f t="shared" ref="S980:T980" si="1959">IF(COUNTIF(W$2:W1679, $A980) &gt; 0,TRUE,IFERROR(0/0,""))</f>
        <v/>
      </c>
      <c r="T980" s="165" t="str">
        <f t="shared" si="1959"/>
        <v/>
      </c>
      <c r="U980" s="147" t="str">
        <f t="array" ref="U980">IF(ISBLANK($R980), IF($S980,VLOOKUP($B980+1,'RFR Data - preExcl'!$BF$2:$BG1679,2,FALSE),IF($T980,INDEX('RFR Data - preExcl'!$BF$2:$BG1679,MATCH($B980,'RFR Data - preExcl'!$BF$2:$BF1679,0)+1,2),VLOOKUP($B980,'RFR Data - preExcl'!$BF$2:$BG1679,2,FALSE))),IFERROR(0/0,""))</f>
        <v/>
      </c>
      <c r="V980" s="212" t="str">
        <f t="shared" si="5"/>
        <v>RUN-COMB_2022-05-31_RFR-052</v>
      </c>
      <c r="W980" s="51"/>
      <c r="X980" s="51"/>
      <c r="Y980" s="147" t="str">
        <f t="shared" ref="Y980:Z980" si="1960">IF(_xlfn.ISFORMULA(S980),IFERROR(0/0,""),TRUE)</f>
        <v/>
      </c>
      <c r="Z980" s="147" t="str">
        <f t="shared" si="1960"/>
        <v/>
      </c>
    </row>
    <row r="981">
      <c r="A981" s="6" t="str">
        <f>IFERROR(__xludf.DUMMYFUNCTION("""COMPUTED_VALUE"""),"FM2664")</f>
        <v>FM2664</v>
      </c>
      <c r="B981" s="206">
        <f>IFERROR(__xludf.DUMMYFUNCTION("""COMPUTED_VALUE"""),44712.0)</f>
        <v>44712</v>
      </c>
      <c r="C981" s="207">
        <f>IFERROR(__xludf.DUMMYFUNCTION("""COMPUTED_VALUE"""),0.2725694444444444)</f>
        <v>0.2725694444</v>
      </c>
      <c r="D981" s="50"/>
      <c r="E981" s="58"/>
      <c r="F981" s="58"/>
      <c r="G981" s="58" t="str">
        <f>IFERROR(__xludf.DUMMYFUNCTION("""COMPUTED_VALUE"""),"Null")</f>
        <v>Null</v>
      </c>
      <c r="H981" s="206" t="str">
        <f>IFERROR(__xludf.DUMMYFUNCTION("""COMPUTED_VALUE"""),"Negative")</f>
        <v>Negative</v>
      </c>
      <c r="I981" s="207">
        <f>IFERROR(__xludf.DUMMYFUNCTION("""COMPUTED_VALUE"""),44712.0)</f>
        <v>44712</v>
      </c>
      <c r="J981" s="208">
        <f>IFERROR(__xludf.DUMMYFUNCTION("""COMPUTED_VALUE"""),0.35997685185185185)</f>
        <v>0.3599768519</v>
      </c>
      <c r="K981" s="50">
        <f>IFERROR(__xludf.DUMMYFUNCTION("""COMPUTED_VALUE"""),2.0)</f>
        <v>2</v>
      </c>
      <c r="L981" s="6"/>
      <c r="M981" s="55"/>
      <c r="N981" s="55">
        <f>IFERROR(__xludf.DUMMYFUNCTION("""COMPUTED_VALUE"""),1.0)</f>
        <v>1</v>
      </c>
      <c r="O981" s="55" t="str">
        <f t="shared" si="3"/>
        <v/>
      </c>
      <c r="P981" s="209"/>
      <c r="Q981" s="75" t="b">
        <f>VLOOKUP($B981,'Run Reconcile'!B$2:P1679,15,FALSE)</f>
        <v>1</v>
      </c>
      <c r="R981" s="211" t="str">
        <f t="array" ref="R981">IF($Q981, INDEX('Run Reconcile'!A$2:A1679,MATCH(B981,'Run Reconcile'!B$2:B1679,0),1),IFERROR(0/0,""))</f>
        <v>RUN-COMB_2022-05-31_RFR-052</v>
      </c>
      <c r="S981" s="165" t="str">
        <f t="shared" ref="S981:T981" si="1961">IF(COUNTIF(W$2:W1679, $A981) &gt; 0,TRUE,IFERROR(0/0,""))</f>
        <v/>
      </c>
      <c r="T981" s="165" t="str">
        <f t="shared" si="1961"/>
        <v/>
      </c>
      <c r="U981" s="147" t="str">
        <f t="array" ref="U981">IF(ISBLANK($R981), IF($S981,VLOOKUP($B981+1,'RFR Data - preExcl'!$BF$2:$BG1679,2,FALSE),IF($T981,INDEX('RFR Data - preExcl'!$BF$2:$BG1679,MATCH($B981,'RFR Data - preExcl'!$BF$2:$BF1679,0)+1,2),VLOOKUP($B981,'RFR Data - preExcl'!$BF$2:$BG1679,2,FALSE))),IFERROR(0/0,""))</f>
        <v/>
      </c>
      <c r="V981" s="212" t="str">
        <f t="shared" si="5"/>
        <v>RUN-COMB_2022-05-31_RFR-052</v>
      </c>
      <c r="W981" s="51"/>
      <c r="X981" s="51"/>
      <c r="Y981" s="147" t="str">
        <f t="shared" ref="Y981:Z981" si="1962">IF(_xlfn.ISFORMULA(S981),IFERROR(0/0,""),TRUE)</f>
        <v/>
      </c>
      <c r="Z981" s="147" t="str">
        <f t="shared" si="1962"/>
        <v/>
      </c>
    </row>
    <row r="982">
      <c r="A982" s="6" t="str">
        <f>IFERROR(__xludf.DUMMYFUNCTION("""COMPUTED_VALUE"""),"FM2672")</f>
        <v>FM2672</v>
      </c>
      <c r="B982" s="206">
        <f>IFERROR(__xludf.DUMMYFUNCTION("""COMPUTED_VALUE"""),44712.0)</f>
        <v>44712</v>
      </c>
      <c r="C982" s="207">
        <f>IFERROR(__xludf.DUMMYFUNCTION("""COMPUTED_VALUE"""),0.2730902777777778)</f>
        <v>0.2730902778</v>
      </c>
      <c r="D982" s="50"/>
      <c r="E982" s="58"/>
      <c r="F982" s="58"/>
      <c r="G982" s="58" t="str">
        <f>IFERROR(__xludf.DUMMYFUNCTION("""COMPUTED_VALUE"""),"Null")</f>
        <v>Null</v>
      </c>
      <c r="H982" s="206" t="str">
        <f>IFERROR(__xludf.DUMMYFUNCTION("""COMPUTED_VALUE"""),"Negative")</f>
        <v>Negative</v>
      </c>
      <c r="I982" s="207">
        <f>IFERROR(__xludf.DUMMYFUNCTION("""COMPUTED_VALUE"""),44712.0)</f>
        <v>44712</v>
      </c>
      <c r="J982" s="208">
        <f>IFERROR(__xludf.DUMMYFUNCTION("""COMPUTED_VALUE"""),0.35998842592592595)</f>
        <v>0.3599884259</v>
      </c>
      <c r="K982" s="50">
        <f>IFERROR(__xludf.DUMMYFUNCTION("""COMPUTED_VALUE"""),2.0)</f>
        <v>2</v>
      </c>
      <c r="L982" s="6"/>
      <c r="M982" s="55"/>
      <c r="N982" s="55">
        <f>IFERROR(__xludf.DUMMYFUNCTION("""COMPUTED_VALUE"""),1.0)</f>
        <v>1</v>
      </c>
      <c r="O982" s="55" t="str">
        <f t="shared" si="3"/>
        <v/>
      </c>
      <c r="P982" s="209"/>
      <c r="Q982" s="75" t="b">
        <f>VLOOKUP($B982,'Run Reconcile'!B$2:P1679,15,FALSE)</f>
        <v>1</v>
      </c>
      <c r="R982" s="211" t="str">
        <f t="array" ref="R982">IF($Q982, INDEX('Run Reconcile'!A$2:A1679,MATCH(B982,'Run Reconcile'!B$2:B1679,0),1),IFERROR(0/0,""))</f>
        <v>RUN-COMB_2022-05-31_RFR-052</v>
      </c>
      <c r="S982" s="165" t="str">
        <f t="shared" ref="S982:T982" si="1963">IF(COUNTIF(W$2:W1679, $A982) &gt; 0,TRUE,IFERROR(0/0,""))</f>
        <v/>
      </c>
      <c r="T982" s="165" t="str">
        <f t="shared" si="1963"/>
        <v/>
      </c>
      <c r="U982" s="147" t="str">
        <f t="array" ref="U982">IF(ISBLANK($R982), IF($S982,VLOOKUP($B982+1,'RFR Data - preExcl'!$BF$2:$BG1679,2,FALSE),IF($T982,INDEX('RFR Data - preExcl'!$BF$2:$BG1679,MATCH($B982,'RFR Data - preExcl'!$BF$2:$BF1679,0)+1,2),VLOOKUP($B982,'RFR Data - preExcl'!$BF$2:$BG1679,2,FALSE))),IFERROR(0/0,""))</f>
        <v/>
      </c>
      <c r="V982" s="212" t="str">
        <f t="shared" si="5"/>
        <v>RUN-COMB_2022-05-31_RFR-052</v>
      </c>
      <c r="W982" s="51"/>
      <c r="X982" s="51"/>
      <c r="Y982" s="147" t="str">
        <f t="shared" ref="Y982:Z982" si="1964">IF(_xlfn.ISFORMULA(S982),IFERROR(0/0,""),TRUE)</f>
        <v/>
      </c>
      <c r="Z982" s="147" t="str">
        <f t="shared" si="1964"/>
        <v/>
      </c>
    </row>
    <row r="983">
      <c r="A983" s="6" t="str">
        <f>IFERROR(__xludf.DUMMYFUNCTION("""COMPUTED_VALUE"""),"FM2660")</f>
        <v>FM2660</v>
      </c>
      <c r="B983" s="206">
        <f>IFERROR(__xludf.DUMMYFUNCTION("""COMPUTED_VALUE"""),44712.0)</f>
        <v>44712</v>
      </c>
      <c r="C983" s="207">
        <f>IFERROR(__xludf.DUMMYFUNCTION("""COMPUTED_VALUE"""),0.2734259259259259)</f>
        <v>0.2734259259</v>
      </c>
      <c r="D983" s="50"/>
      <c r="E983" s="58"/>
      <c r="F983" s="58"/>
      <c r="G983" s="58" t="str">
        <f>IFERROR(__xludf.DUMMYFUNCTION("""COMPUTED_VALUE"""),"Null")</f>
        <v>Null</v>
      </c>
      <c r="H983" s="206" t="str">
        <f>IFERROR(__xludf.DUMMYFUNCTION("""COMPUTED_VALUE"""),"Negative")</f>
        <v>Negative</v>
      </c>
      <c r="I983" s="207">
        <f>IFERROR(__xludf.DUMMYFUNCTION("""COMPUTED_VALUE"""),44712.0)</f>
        <v>44712</v>
      </c>
      <c r="J983" s="208">
        <f>IFERROR(__xludf.DUMMYFUNCTION("""COMPUTED_VALUE"""),0.36)</f>
        <v>0.36</v>
      </c>
      <c r="K983" s="50">
        <f>IFERROR(__xludf.DUMMYFUNCTION("""COMPUTED_VALUE"""),2.0)</f>
        <v>2</v>
      </c>
      <c r="L983" s="6"/>
      <c r="M983" s="55"/>
      <c r="N983" s="55">
        <f>IFERROR(__xludf.DUMMYFUNCTION("""COMPUTED_VALUE"""),1.0)</f>
        <v>1</v>
      </c>
      <c r="O983" s="55" t="str">
        <f t="shared" si="3"/>
        <v/>
      </c>
      <c r="P983" s="209"/>
      <c r="Q983" s="75" t="b">
        <f>VLOOKUP($B983,'Run Reconcile'!B$2:P1679,15,FALSE)</f>
        <v>1</v>
      </c>
      <c r="R983" s="211" t="str">
        <f t="array" ref="R983">IF($Q983, INDEX('Run Reconcile'!A$2:A1679,MATCH(B983,'Run Reconcile'!B$2:B1679,0),1),IFERROR(0/0,""))</f>
        <v>RUN-COMB_2022-05-31_RFR-052</v>
      </c>
      <c r="S983" s="165" t="str">
        <f t="shared" ref="S983:T983" si="1965">IF(COUNTIF(W$2:W1679, $A983) &gt; 0,TRUE,IFERROR(0/0,""))</f>
        <v/>
      </c>
      <c r="T983" s="165" t="str">
        <f t="shared" si="1965"/>
        <v/>
      </c>
      <c r="U983" s="147" t="str">
        <f t="array" ref="U983">IF(ISBLANK($R983), IF($S983,VLOOKUP($B983+1,'RFR Data - preExcl'!$BF$2:$BG1679,2,FALSE),IF($T983,INDEX('RFR Data - preExcl'!$BF$2:$BG1679,MATCH($B983,'RFR Data - preExcl'!$BF$2:$BF1679,0)+1,2),VLOOKUP($B983,'RFR Data - preExcl'!$BF$2:$BG1679,2,FALSE))),IFERROR(0/0,""))</f>
        <v/>
      </c>
      <c r="V983" s="212" t="str">
        <f t="shared" si="5"/>
        <v>RUN-COMB_2022-05-31_RFR-052</v>
      </c>
      <c r="W983" s="51"/>
      <c r="X983" s="51"/>
      <c r="Y983" s="147" t="str">
        <f t="shared" ref="Y983:Z983" si="1966">IF(_xlfn.ISFORMULA(S983),IFERROR(0/0,""),TRUE)</f>
        <v/>
      </c>
      <c r="Z983" s="147" t="str">
        <f t="shared" si="1966"/>
        <v/>
      </c>
    </row>
    <row r="984">
      <c r="A984" s="6" t="str">
        <f>IFERROR(__xludf.DUMMYFUNCTION("""COMPUTED_VALUE"""),"FM2645")</f>
        <v>FM2645</v>
      </c>
      <c r="B984" s="206">
        <f>IFERROR(__xludf.DUMMYFUNCTION("""COMPUTED_VALUE"""),44712.0)</f>
        <v>44712</v>
      </c>
      <c r="C984" s="207">
        <f>IFERROR(__xludf.DUMMYFUNCTION("""COMPUTED_VALUE"""),0.27748842592592593)</f>
        <v>0.2774884259</v>
      </c>
      <c r="D984" s="50"/>
      <c r="E984" s="58"/>
      <c r="F984" s="58"/>
      <c r="G984" s="58" t="str">
        <f>IFERROR(__xludf.DUMMYFUNCTION("""COMPUTED_VALUE"""),"Null")</f>
        <v>Null</v>
      </c>
      <c r="H984" s="206" t="str">
        <f>IFERROR(__xludf.DUMMYFUNCTION("""COMPUTED_VALUE"""),"Negative")</f>
        <v>Negative</v>
      </c>
      <c r="I984" s="207">
        <f>IFERROR(__xludf.DUMMYFUNCTION("""COMPUTED_VALUE"""),44712.0)</f>
        <v>44712</v>
      </c>
      <c r="J984" s="208">
        <f>IFERROR(__xludf.DUMMYFUNCTION("""COMPUTED_VALUE"""),0.3600347222222222)</f>
        <v>0.3600347222</v>
      </c>
      <c r="K984" s="50">
        <f>IFERROR(__xludf.DUMMYFUNCTION("""COMPUTED_VALUE"""),2.0)</f>
        <v>2</v>
      </c>
      <c r="L984" s="6"/>
      <c r="M984" s="55"/>
      <c r="N984" s="55">
        <f>IFERROR(__xludf.DUMMYFUNCTION("""COMPUTED_VALUE"""),1.0)</f>
        <v>1</v>
      </c>
      <c r="O984" s="55" t="str">
        <f t="shared" si="3"/>
        <v/>
      </c>
      <c r="P984" s="209"/>
      <c r="Q984" s="75" t="b">
        <f>VLOOKUP($B984,'Run Reconcile'!B$2:P1679,15,FALSE)</f>
        <v>1</v>
      </c>
      <c r="R984" s="211" t="str">
        <f t="array" ref="R984">IF($Q984, INDEX('Run Reconcile'!A$2:A1679,MATCH(B984,'Run Reconcile'!B$2:B1679,0),1),IFERROR(0/0,""))</f>
        <v>RUN-COMB_2022-05-31_RFR-052</v>
      </c>
      <c r="S984" s="165" t="str">
        <f t="shared" ref="S984:T984" si="1967">IF(COUNTIF(W$2:W1679, $A984) &gt; 0,TRUE,IFERROR(0/0,""))</f>
        <v/>
      </c>
      <c r="T984" s="165" t="str">
        <f t="shared" si="1967"/>
        <v/>
      </c>
      <c r="U984" s="147" t="str">
        <f t="array" ref="U984">IF(ISBLANK($R984), IF($S984,VLOOKUP($B984+1,'RFR Data - preExcl'!$BF$2:$BG1679,2,FALSE),IF($T984,INDEX('RFR Data - preExcl'!$BF$2:$BG1679,MATCH($B984,'RFR Data - preExcl'!$BF$2:$BF1679,0)+1,2),VLOOKUP($B984,'RFR Data - preExcl'!$BF$2:$BG1679,2,FALSE))),IFERROR(0/0,""))</f>
        <v/>
      </c>
      <c r="V984" s="212" t="str">
        <f t="shared" si="5"/>
        <v>RUN-COMB_2022-05-31_RFR-052</v>
      </c>
      <c r="W984" s="51"/>
      <c r="X984" s="51"/>
      <c r="Y984" s="147" t="str">
        <f t="shared" ref="Y984:Z984" si="1968">IF(_xlfn.ISFORMULA(S984),IFERROR(0/0,""),TRUE)</f>
        <v/>
      </c>
      <c r="Z984" s="147" t="str">
        <f t="shared" si="1968"/>
        <v/>
      </c>
    </row>
    <row r="985">
      <c r="A985" s="6" t="str">
        <f>IFERROR(__xludf.DUMMYFUNCTION("""COMPUTED_VALUE"""),"FM2690")</f>
        <v>FM2690</v>
      </c>
      <c r="B985" s="206">
        <f>IFERROR(__xludf.DUMMYFUNCTION("""COMPUTED_VALUE"""),44712.0)</f>
        <v>44712</v>
      </c>
      <c r="C985" s="207">
        <f>IFERROR(__xludf.DUMMYFUNCTION("""COMPUTED_VALUE"""),0.2781018518518519)</f>
        <v>0.2781018519</v>
      </c>
      <c r="D985" s="50"/>
      <c r="E985" s="58"/>
      <c r="F985" s="58"/>
      <c r="G985" s="58" t="str">
        <f>IFERROR(__xludf.DUMMYFUNCTION("""COMPUTED_VALUE"""),"Null")</f>
        <v>Null</v>
      </c>
      <c r="H985" s="206" t="str">
        <f>IFERROR(__xludf.DUMMYFUNCTION("""COMPUTED_VALUE"""),"Negative")</f>
        <v>Negative</v>
      </c>
      <c r="I985" s="207">
        <f>IFERROR(__xludf.DUMMYFUNCTION("""COMPUTED_VALUE"""),44712.0)</f>
        <v>44712</v>
      </c>
      <c r="J985" s="208">
        <f>IFERROR(__xludf.DUMMYFUNCTION("""COMPUTED_VALUE"""),0.36005787037037035)</f>
        <v>0.3600578704</v>
      </c>
      <c r="K985" s="50">
        <f>IFERROR(__xludf.DUMMYFUNCTION("""COMPUTED_VALUE"""),2.0)</f>
        <v>2</v>
      </c>
      <c r="L985" s="6"/>
      <c r="M985" s="55"/>
      <c r="N985" s="55">
        <f>IFERROR(__xludf.DUMMYFUNCTION("""COMPUTED_VALUE"""),1.0)</f>
        <v>1</v>
      </c>
      <c r="O985" s="55" t="str">
        <f t="shared" si="3"/>
        <v/>
      </c>
      <c r="P985" s="209"/>
      <c r="Q985" s="75" t="b">
        <f>VLOOKUP($B985,'Run Reconcile'!B$2:P1679,15,FALSE)</f>
        <v>1</v>
      </c>
      <c r="R985" s="211" t="str">
        <f t="array" ref="R985">IF($Q985, INDEX('Run Reconcile'!A$2:A1679,MATCH(B985,'Run Reconcile'!B$2:B1679,0),1),IFERROR(0/0,""))</f>
        <v>RUN-COMB_2022-05-31_RFR-052</v>
      </c>
      <c r="S985" s="165" t="str">
        <f t="shared" ref="S985:T985" si="1969">IF(COUNTIF(W$2:W1679, $A985) &gt; 0,TRUE,IFERROR(0/0,""))</f>
        <v/>
      </c>
      <c r="T985" s="165" t="str">
        <f t="shared" si="1969"/>
        <v/>
      </c>
      <c r="U985" s="147" t="str">
        <f t="array" ref="U985">IF(ISBLANK($R985), IF($S985,VLOOKUP($B985+1,'RFR Data - preExcl'!$BF$2:$BG1679,2,FALSE),IF($T985,INDEX('RFR Data - preExcl'!$BF$2:$BG1679,MATCH($B985,'RFR Data - preExcl'!$BF$2:$BF1679,0)+1,2),VLOOKUP($B985,'RFR Data - preExcl'!$BF$2:$BG1679,2,FALSE))),IFERROR(0/0,""))</f>
        <v/>
      </c>
      <c r="V985" s="212" t="str">
        <f t="shared" si="5"/>
        <v>RUN-COMB_2022-05-31_RFR-052</v>
      </c>
      <c r="W985" s="51"/>
      <c r="X985" s="51"/>
      <c r="Y985" s="147" t="str">
        <f t="shared" ref="Y985:Z985" si="1970">IF(_xlfn.ISFORMULA(S985),IFERROR(0/0,""),TRUE)</f>
        <v/>
      </c>
      <c r="Z985" s="147" t="str">
        <f t="shared" si="1970"/>
        <v/>
      </c>
    </row>
    <row r="986">
      <c r="A986" s="6" t="str">
        <f>IFERROR(__xludf.DUMMYFUNCTION("""COMPUTED_VALUE"""),"FM2682")</f>
        <v>FM2682</v>
      </c>
      <c r="B986" s="206">
        <f>IFERROR(__xludf.DUMMYFUNCTION("""COMPUTED_VALUE"""),44712.0)</f>
        <v>44712</v>
      </c>
      <c r="C986" s="207">
        <f>IFERROR(__xludf.DUMMYFUNCTION("""COMPUTED_VALUE"""),0.2786342592592593)</f>
        <v>0.2786342593</v>
      </c>
      <c r="D986" s="50"/>
      <c r="E986" s="58"/>
      <c r="F986" s="58"/>
      <c r="G986" s="58" t="str">
        <f>IFERROR(__xludf.DUMMYFUNCTION("""COMPUTED_VALUE"""),"Null")</f>
        <v>Null</v>
      </c>
      <c r="H986" s="206" t="str">
        <f>IFERROR(__xludf.DUMMYFUNCTION("""COMPUTED_VALUE"""),"Negative")</f>
        <v>Negative</v>
      </c>
      <c r="I986" s="207">
        <f>IFERROR(__xludf.DUMMYFUNCTION("""COMPUTED_VALUE"""),44712.0)</f>
        <v>44712</v>
      </c>
      <c r="J986" s="208">
        <f>IFERROR(__xludf.DUMMYFUNCTION("""COMPUTED_VALUE"""),0.36010416666666667)</f>
        <v>0.3601041667</v>
      </c>
      <c r="K986" s="50">
        <f>IFERROR(__xludf.DUMMYFUNCTION("""COMPUTED_VALUE"""),2.0)</f>
        <v>2</v>
      </c>
      <c r="L986" s="6"/>
      <c r="M986" s="55"/>
      <c r="N986" s="55">
        <f>IFERROR(__xludf.DUMMYFUNCTION("""COMPUTED_VALUE"""),1.0)</f>
        <v>1</v>
      </c>
      <c r="O986" s="55" t="str">
        <f t="shared" si="3"/>
        <v/>
      </c>
      <c r="P986" s="209"/>
      <c r="Q986" s="75" t="b">
        <f>VLOOKUP($B986,'Run Reconcile'!B$2:P1679,15,FALSE)</f>
        <v>1</v>
      </c>
      <c r="R986" s="211" t="str">
        <f t="array" ref="R986">IF($Q986, INDEX('Run Reconcile'!A$2:A1679,MATCH(B986,'Run Reconcile'!B$2:B1679,0),1),IFERROR(0/0,""))</f>
        <v>RUN-COMB_2022-05-31_RFR-052</v>
      </c>
      <c r="S986" s="165" t="str">
        <f t="shared" ref="S986:T986" si="1971">IF(COUNTIF(W$2:W1679, $A986) &gt; 0,TRUE,IFERROR(0/0,""))</f>
        <v/>
      </c>
      <c r="T986" s="165" t="str">
        <f t="shared" si="1971"/>
        <v/>
      </c>
      <c r="U986" s="147" t="str">
        <f t="array" ref="U986">IF(ISBLANK($R986), IF($S986,VLOOKUP($B986+1,'RFR Data - preExcl'!$BF$2:$BG1679,2,FALSE),IF($T986,INDEX('RFR Data - preExcl'!$BF$2:$BG1679,MATCH($B986,'RFR Data - preExcl'!$BF$2:$BF1679,0)+1,2),VLOOKUP($B986,'RFR Data - preExcl'!$BF$2:$BG1679,2,FALSE))),IFERROR(0/0,""))</f>
        <v/>
      </c>
      <c r="V986" s="212" t="str">
        <f t="shared" si="5"/>
        <v>RUN-COMB_2022-05-31_RFR-052</v>
      </c>
      <c r="W986" s="51"/>
      <c r="X986" s="51"/>
      <c r="Y986" s="147" t="str">
        <f t="shared" ref="Y986:Z986" si="1972">IF(_xlfn.ISFORMULA(S986),IFERROR(0/0,""),TRUE)</f>
        <v/>
      </c>
      <c r="Z986" s="147" t="str">
        <f t="shared" si="1972"/>
        <v/>
      </c>
    </row>
    <row r="987">
      <c r="A987" s="6" t="str">
        <f>IFERROR(__xludf.DUMMYFUNCTION("""COMPUTED_VALUE"""),"FM2683")</f>
        <v>FM2683</v>
      </c>
      <c r="B987" s="206">
        <f>IFERROR(__xludf.DUMMYFUNCTION("""COMPUTED_VALUE"""),44712.0)</f>
        <v>44712</v>
      </c>
      <c r="C987" s="207">
        <f>IFERROR(__xludf.DUMMYFUNCTION("""COMPUTED_VALUE"""),0.27914351851851854)</f>
        <v>0.2791435185</v>
      </c>
      <c r="D987" s="50"/>
      <c r="E987" s="58"/>
      <c r="F987" s="58"/>
      <c r="G987" s="58" t="str">
        <f>IFERROR(__xludf.DUMMYFUNCTION("""COMPUTED_VALUE"""),"Null")</f>
        <v>Null</v>
      </c>
      <c r="H987" s="206" t="str">
        <f>IFERROR(__xludf.DUMMYFUNCTION("""COMPUTED_VALUE"""),"Negative")</f>
        <v>Negative</v>
      </c>
      <c r="I987" s="207">
        <f>IFERROR(__xludf.DUMMYFUNCTION("""COMPUTED_VALUE"""),44712.0)</f>
        <v>44712</v>
      </c>
      <c r="J987" s="208">
        <f>IFERROR(__xludf.DUMMYFUNCTION("""COMPUTED_VALUE"""),0.36015046296296294)</f>
        <v>0.360150463</v>
      </c>
      <c r="K987" s="50">
        <f>IFERROR(__xludf.DUMMYFUNCTION("""COMPUTED_VALUE"""),2.0)</f>
        <v>2</v>
      </c>
      <c r="L987" s="6"/>
      <c r="M987" s="55"/>
      <c r="N987" s="55">
        <f>IFERROR(__xludf.DUMMYFUNCTION("""COMPUTED_VALUE"""),1.0)</f>
        <v>1</v>
      </c>
      <c r="O987" s="55" t="str">
        <f t="shared" si="3"/>
        <v/>
      </c>
      <c r="P987" s="209"/>
      <c r="Q987" s="75" t="b">
        <f>VLOOKUP($B987,'Run Reconcile'!B$2:P1679,15,FALSE)</f>
        <v>1</v>
      </c>
      <c r="R987" s="211" t="str">
        <f t="array" ref="R987">IF($Q987, INDEX('Run Reconcile'!A$2:A1679,MATCH(B987,'Run Reconcile'!B$2:B1679,0),1),IFERROR(0/0,""))</f>
        <v>RUN-COMB_2022-05-31_RFR-052</v>
      </c>
      <c r="S987" s="165" t="str">
        <f t="shared" ref="S987:T987" si="1973">IF(COUNTIF(W$2:W1679, $A987) &gt; 0,TRUE,IFERROR(0/0,""))</f>
        <v/>
      </c>
      <c r="T987" s="165" t="str">
        <f t="shared" si="1973"/>
        <v/>
      </c>
      <c r="U987" s="147" t="str">
        <f t="array" ref="U987">IF(ISBLANK($R987), IF($S987,VLOOKUP($B987+1,'RFR Data - preExcl'!$BF$2:$BG1679,2,FALSE),IF($T987,INDEX('RFR Data - preExcl'!$BF$2:$BG1679,MATCH($B987,'RFR Data - preExcl'!$BF$2:$BF1679,0)+1,2),VLOOKUP($B987,'RFR Data - preExcl'!$BF$2:$BG1679,2,FALSE))),IFERROR(0/0,""))</f>
        <v/>
      </c>
      <c r="V987" s="212" t="str">
        <f t="shared" si="5"/>
        <v>RUN-COMB_2022-05-31_RFR-052</v>
      </c>
      <c r="W987" s="51"/>
      <c r="X987" s="51"/>
      <c r="Y987" s="147" t="str">
        <f t="shared" ref="Y987:Z987" si="1974">IF(_xlfn.ISFORMULA(S987),IFERROR(0/0,""),TRUE)</f>
        <v/>
      </c>
      <c r="Z987" s="147" t="str">
        <f t="shared" si="1974"/>
        <v/>
      </c>
    </row>
    <row r="988">
      <c r="A988" s="6" t="str">
        <f>IFERROR(__xludf.DUMMYFUNCTION("""COMPUTED_VALUE"""),"FM2646")</f>
        <v>FM2646</v>
      </c>
      <c r="B988" s="206">
        <f>IFERROR(__xludf.DUMMYFUNCTION("""COMPUTED_VALUE"""),44712.0)</f>
        <v>44712</v>
      </c>
      <c r="C988" s="207">
        <f>IFERROR(__xludf.DUMMYFUNCTION("""COMPUTED_VALUE"""),0.2796296296296296)</f>
        <v>0.2796296296</v>
      </c>
      <c r="D988" s="50"/>
      <c r="E988" s="58"/>
      <c r="F988" s="58"/>
      <c r="G988" s="58" t="str">
        <f>IFERROR(__xludf.DUMMYFUNCTION("""COMPUTED_VALUE"""),"Null")</f>
        <v>Null</v>
      </c>
      <c r="H988" s="206" t="str">
        <f>IFERROR(__xludf.DUMMYFUNCTION("""COMPUTED_VALUE"""),"Negative")</f>
        <v>Negative</v>
      </c>
      <c r="I988" s="207">
        <f>IFERROR(__xludf.DUMMYFUNCTION("""COMPUTED_VALUE"""),44712.0)</f>
        <v>44712</v>
      </c>
      <c r="J988" s="208">
        <f>IFERROR(__xludf.DUMMYFUNCTION("""COMPUTED_VALUE"""),0.3601736111111111)</f>
        <v>0.3601736111</v>
      </c>
      <c r="K988" s="50">
        <f>IFERROR(__xludf.DUMMYFUNCTION("""COMPUTED_VALUE"""),2.0)</f>
        <v>2</v>
      </c>
      <c r="L988" s="6"/>
      <c r="M988" s="55"/>
      <c r="N988" s="55">
        <f>IFERROR(__xludf.DUMMYFUNCTION("""COMPUTED_VALUE"""),1.0)</f>
        <v>1</v>
      </c>
      <c r="O988" s="55" t="str">
        <f t="shared" si="3"/>
        <v/>
      </c>
      <c r="P988" s="209"/>
      <c r="Q988" s="75" t="b">
        <f>VLOOKUP($B988,'Run Reconcile'!B$2:P1679,15,FALSE)</f>
        <v>1</v>
      </c>
      <c r="R988" s="211" t="str">
        <f t="array" ref="R988">IF($Q988, INDEX('Run Reconcile'!A$2:A1679,MATCH(B988,'Run Reconcile'!B$2:B1679,0),1),IFERROR(0/0,""))</f>
        <v>RUN-COMB_2022-05-31_RFR-052</v>
      </c>
      <c r="S988" s="165" t="str">
        <f t="shared" ref="S988:T988" si="1975">IF(COUNTIF(W$2:W1679, $A988) &gt; 0,TRUE,IFERROR(0/0,""))</f>
        <v/>
      </c>
      <c r="T988" s="165" t="str">
        <f t="shared" si="1975"/>
        <v/>
      </c>
      <c r="U988" s="147" t="str">
        <f t="array" ref="U988">IF(ISBLANK($R988), IF($S988,VLOOKUP($B988+1,'RFR Data - preExcl'!$BF$2:$BG1679,2,FALSE),IF($T988,INDEX('RFR Data - preExcl'!$BF$2:$BG1679,MATCH($B988,'RFR Data - preExcl'!$BF$2:$BF1679,0)+1,2),VLOOKUP($B988,'RFR Data - preExcl'!$BF$2:$BG1679,2,FALSE))),IFERROR(0/0,""))</f>
        <v/>
      </c>
      <c r="V988" s="212" t="str">
        <f t="shared" si="5"/>
        <v>RUN-COMB_2022-05-31_RFR-052</v>
      </c>
      <c r="W988" s="51"/>
      <c r="X988" s="51"/>
      <c r="Y988" s="147" t="str">
        <f t="shared" ref="Y988:Z988" si="1976">IF(_xlfn.ISFORMULA(S988),IFERROR(0/0,""),TRUE)</f>
        <v/>
      </c>
      <c r="Z988" s="147" t="str">
        <f t="shared" si="1976"/>
        <v/>
      </c>
    </row>
    <row r="989">
      <c r="A989" s="6" t="str">
        <f>IFERROR(__xludf.DUMMYFUNCTION("""COMPUTED_VALUE"""),"FM2687")</f>
        <v>FM2687</v>
      </c>
      <c r="B989" s="206">
        <f>IFERROR(__xludf.DUMMYFUNCTION("""COMPUTED_VALUE"""),44712.0)</f>
        <v>44712</v>
      </c>
      <c r="C989" s="207">
        <f>IFERROR(__xludf.DUMMYFUNCTION("""COMPUTED_VALUE"""),0.2842476851851852)</f>
        <v>0.2842476852</v>
      </c>
      <c r="D989" s="50"/>
      <c r="E989" s="58"/>
      <c r="F989" s="58"/>
      <c r="G989" s="58" t="str">
        <f>IFERROR(__xludf.DUMMYFUNCTION("""COMPUTED_VALUE"""),"Null")</f>
        <v>Null</v>
      </c>
      <c r="H989" s="206" t="str">
        <f>IFERROR(__xludf.DUMMYFUNCTION("""COMPUTED_VALUE"""),"Negative")</f>
        <v>Negative</v>
      </c>
      <c r="I989" s="207">
        <f>IFERROR(__xludf.DUMMYFUNCTION("""COMPUTED_VALUE"""),44712.0)</f>
        <v>44712</v>
      </c>
      <c r="J989" s="208">
        <f>IFERROR(__xludf.DUMMYFUNCTION("""COMPUTED_VALUE"""),0.36020833333333335)</f>
        <v>0.3602083333</v>
      </c>
      <c r="K989" s="50">
        <f>IFERROR(__xludf.DUMMYFUNCTION("""COMPUTED_VALUE"""),2.0)</f>
        <v>2</v>
      </c>
      <c r="L989" s="6"/>
      <c r="M989" s="55"/>
      <c r="N989" s="55">
        <f>IFERROR(__xludf.DUMMYFUNCTION("""COMPUTED_VALUE"""),1.0)</f>
        <v>1</v>
      </c>
      <c r="O989" s="55" t="str">
        <f t="shared" si="3"/>
        <v/>
      </c>
      <c r="P989" s="209"/>
      <c r="Q989" s="75" t="b">
        <f>VLOOKUP($B989,'Run Reconcile'!B$2:P1679,15,FALSE)</f>
        <v>1</v>
      </c>
      <c r="R989" s="211" t="str">
        <f t="array" ref="R989">IF($Q989, INDEX('Run Reconcile'!A$2:A1679,MATCH(B989,'Run Reconcile'!B$2:B1679,0),1),IFERROR(0/0,""))</f>
        <v>RUN-COMB_2022-05-31_RFR-052</v>
      </c>
      <c r="S989" s="165" t="str">
        <f t="shared" ref="S989:T989" si="1977">IF(COUNTIF(W$2:W1679, $A989) &gt; 0,TRUE,IFERROR(0/0,""))</f>
        <v/>
      </c>
      <c r="T989" s="165" t="str">
        <f t="shared" si="1977"/>
        <v/>
      </c>
      <c r="U989" s="147" t="str">
        <f t="array" ref="U989">IF(ISBLANK($R989), IF($S989,VLOOKUP($B989+1,'RFR Data - preExcl'!$BF$2:$BG1679,2,FALSE),IF($T989,INDEX('RFR Data - preExcl'!$BF$2:$BG1679,MATCH($B989,'RFR Data - preExcl'!$BF$2:$BF1679,0)+1,2),VLOOKUP($B989,'RFR Data - preExcl'!$BF$2:$BG1679,2,FALSE))),IFERROR(0/0,""))</f>
        <v/>
      </c>
      <c r="V989" s="212" t="str">
        <f t="shared" si="5"/>
        <v>RUN-COMB_2022-05-31_RFR-052</v>
      </c>
      <c r="W989" s="51"/>
      <c r="X989" s="51"/>
      <c r="Y989" s="147" t="str">
        <f t="shared" ref="Y989:Z989" si="1978">IF(_xlfn.ISFORMULA(S989),IFERROR(0/0,""),TRUE)</f>
        <v/>
      </c>
      <c r="Z989" s="147" t="str">
        <f t="shared" si="1978"/>
        <v/>
      </c>
    </row>
    <row r="990">
      <c r="A990" s="6" t="str">
        <f>IFERROR(__xludf.DUMMYFUNCTION("""COMPUTED_VALUE"""),"FM2622")</f>
        <v>FM2622</v>
      </c>
      <c r="B990" s="206">
        <f>IFERROR(__xludf.DUMMYFUNCTION("""COMPUTED_VALUE"""),44712.0)</f>
        <v>44712</v>
      </c>
      <c r="C990" s="207">
        <f>IFERROR(__xludf.DUMMYFUNCTION("""COMPUTED_VALUE"""),0.2920833333333333)</f>
        <v>0.2920833333</v>
      </c>
      <c r="D990" s="50"/>
      <c r="E990" s="58"/>
      <c r="F990" s="58"/>
      <c r="G990" s="58" t="str">
        <f>IFERROR(__xludf.DUMMYFUNCTION("""COMPUTED_VALUE"""),"Null")</f>
        <v>Null</v>
      </c>
      <c r="H990" s="206" t="str">
        <f>IFERROR(__xludf.DUMMYFUNCTION("""COMPUTED_VALUE"""),"Negative")</f>
        <v>Negative</v>
      </c>
      <c r="I990" s="207">
        <f>IFERROR(__xludf.DUMMYFUNCTION("""COMPUTED_VALUE"""),44712.0)</f>
        <v>44712</v>
      </c>
      <c r="J990" s="208">
        <f>IFERROR(__xludf.DUMMYFUNCTION("""COMPUTED_VALUE"""),0.3602430555555556)</f>
        <v>0.3602430556</v>
      </c>
      <c r="K990" s="50">
        <f>IFERROR(__xludf.DUMMYFUNCTION("""COMPUTED_VALUE"""),2.0)</f>
        <v>2</v>
      </c>
      <c r="L990" s="6"/>
      <c r="M990" s="55"/>
      <c r="N990" s="55">
        <f>IFERROR(__xludf.DUMMYFUNCTION("""COMPUTED_VALUE"""),1.0)</f>
        <v>1</v>
      </c>
      <c r="O990" s="55" t="str">
        <f t="shared" si="3"/>
        <v/>
      </c>
      <c r="P990" s="209"/>
      <c r="Q990" s="75" t="b">
        <f>VLOOKUP($B990,'Run Reconcile'!B$2:P1679,15,FALSE)</f>
        <v>1</v>
      </c>
      <c r="R990" s="211" t="str">
        <f t="array" ref="R990">IF($Q990, INDEX('Run Reconcile'!A$2:A1679,MATCH(B990,'Run Reconcile'!B$2:B1679,0),1),IFERROR(0/0,""))</f>
        <v>RUN-COMB_2022-05-31_RFR-052</v>
      </c>
      <c r="S990" s="165" t="str">
        <f t="shared" ref="S990:T990" si="1979">IF(COUNTIF(W$2:W1679, $A990) &gt; 0,TRUE,IFERROR(0/0,""))</f>
        <v/>
      </c>
      <c r="T990" s="165" t="str">
        <f t="shared" si="1979"/>
        <v/>
      </c>
      <c r="U990" s="147" t="str">
        <f t="array" ref="U990">IF(ISBLANK($R990), IF($S990,VLOOKUP($B990+1,'RFR Data - preExcl'!$BF$2:$BG1679,2,FALSE),IF($T990,INDEX('RFR Data - preExcl'!$BF$2:$BG1679,MATCH($B990,'RFR Data - preExcl'!$BF$2:$BF1679,0)+1,2),VLOOKUP($B990,'RFR Data - preExcl'!$BF$2:$BG1679,2,FALSE))),IFERROR(0/0,""))</f>
        <v/>
      </c>
      <c r="V990" s="212" t="str">
        <f t="shared" si="5"/>
        <v>RUN-COMB_2022-05-31_RFR-052</v>
      </c>
      <c r="W990" s="51"/>
      <c r="X990" s="51"/>
      <c r="Y990" s="147" t="str">
        <f t="shared" ref="Y990:Z990" si="1980">IF(_xlfn.ISFORMULA(S990),IFERROR(0/0,""),TRUE)</f>
        <v/>
      </c>
      <c r="Z990" s="147" t="str">
        <f t="shared" si="1980"/>
        <v/>
      </c>
    </row>
    <row r="991">
      <c r="A991" s="6" t="str">
        <f>IFERROR(__xludf.DUMMYFUNCTION("""COMPUTED_VALUE"""),"FM2596")</f>
        <v>FM2596</v>
      </c>
      <c r="B991" s="206">
        <f>IFERROR(__xludf.DUMMYFUNCTION("""COMPUTED_VALUE"""),44712.0)</f>
        <v>44712</v>
      </c>
      <c r="C991" s="207">
        <f>IFERROR(__xludf.DUMMYFUNCTION("""COMPUTED_VALUE"""),0.2924421296296296)</f>
        <v>0.2924421296</v>
      </c>
      <c r="D991" s="50"/>
      <c r="E991" s="58"/>
      <c r="F991" s="58"/>
      <c r="G991" s="58" t="str">
        <f>IFERROR(__xludf.DUMMYFUNCTION("""COMPUTED_VALUE"""),"Null")</f>
        <v>Null</v>
      </c>
      <c r="H991" s="206" t="str">
        <f>IFERROR(__xludf.DUMMYFUNCTION("""COMPUTED_VALUE"""),"Negative")</f>
        <v>Negative</v>
      </c>
      <c r="I991" s="207">
        <f>IFERROR(__xludf.DUMMYFUNCTION("""COMPUTED_VALUE"""),44712.0)</f>
        <v>44712</v>
      </c>
      <c r="J991" s="208">
        <f>IFERROR(__xludf.DUMMYFUNCTION("""COMPUTED_VALUE"""),0.3602662037037037)</f>
        <v>0.3602662037</v>
      </c>
      <c r="K991" s="50">
        <f>IFERROR(__xludf.DUMMYFUNCTION("""COMPUTED_VALUE"""),2.0)</f>
        <v>2</v>
      </c>
      <c r="L991" s="6"/>
      <c r="M991" s="55"/>
      <c r="N991" s="55">
        <f>IFERROR(__xludf.DUMMYFUNCTION("""COMPUTED_VALUE"""),1.0)</f>
        <v>1</v>
      </c>
      <c r="O991" s="55" t="str">
        <f t="shared" si="3"/>
        <v/>
      </c>
      <c r="P991" s="209"/>
      <c r="Q991" s="75" t="b">
        <f>VLOOKUP($B991,'Run Reconcile'!B$2:P1679,15,FALSE)</f>
        <v>1</v>
      </c>
      <c r="R991" s="211" t="str">
        <f t="array" ref="R991">IF($Q991, INDEX('Run Reconcile'!A$2:A1679,MATCH(B991,'Run Reconcile'!B$2:B1679,0),1),IFERROR(0/0,""))</f>
        <v>RUN-COMB_2022-05-31_RFR-052</v>
      </c>
      <c r="S991" s="165" t="str">
        <f t="shared" ref="S991:T991" si="1981">IF(COUNTIF(W$2:W1679, $A991) &gt; 0,TRUE,IFERROR(0/0,""))</f>
        <v/>
      </c>
      <c r="T991" s="165" t="str">
        <f t="shared" si="1981"/>
        <v/>
      </c>
      <c r="U991" s="147" t="str">
        <f t="array" ref="U991">IF(ISBLANK($R991), IF($S991,VLOOKUP($B991+1,'RFR Data - preExcl'!$BF$2:$BG1679,2,FALSE),IF($T991,INDEX('RFR Data - preExcl'!$BF$2:$BG1679,MATCH($B991,'RFR Data - preExcl'!$BF$2:$BF1679,0)+1,2),VLOOKUP($B991,'RFR Data - preExcl'!$BF$2:$BG1679,2,FALSE))),IFERROR(0/0,""))</f>
        <v/>
      </c>
      <c r="V991" s="212" t="str">
        <f t="shared" si="5"/>
        <v>RUN-COMB_2022-05-31_RFR-052</v>
      </c>
      <c r="W991" s="51"/>
      <c r="X991" s="51"/>
      <c r="Y991" s="147" t="str">
        <f t="shared" ref="Y991:Z991" si="1982">IF(_xlfn.ISFORMULA(S991),IFERROR(0/0,""),TRUE)</f>
        <v/>
      </c>
      <c r="Z991" s="147" t="str">
        <f t="shared" si="1982"/>
        <v/>
      </c>
    </row>
    <row r="992">
      <c r="A992" s="6" t="str">
        <f>IFERROR(__xludf.DUMMYFUNCTION("""COMPUTED_VALUE"""),"FM2620")</f>
        <v>FM2620</v>
      </c>
      <c r="B992" s="206">
        <f>IFERROR(__xludf.DUMMYFUNCTION("""COMPUTED_VALUE"""),44712.0)</f>
        <v>44712</v>
      </c>
      <c r="C992" s="207">
        <f>IFERROR(__xludf.DUMMYFUNCTION("""COMPUTED_VALUE"""),0.3591898148148148)</f>
        <v>0.3591898148</v>
      </c>
      <c r="D992" s="50"/>
      <c r="E992" s="58"/>
      <c r="F992" s="58"/>
      <c r="G992" s="58" t="str">
        <f>IFERROR(__xludf.DUMMYFUNCTION("""COMPUTED_VALUE"""),"Null")</f>
        <v>Null</v>
      </c>
      <c r="H992" s="206" t="str">
        <f>IFERROR(__xludf.DUMMYFUNCTION("""COMPUTED_VALUE"""),"Negative")</f>
        <v>Negative</v>
      </c>
      <c r="I992" s="207">
        <f>IFERROR(__xludf.DUMMYFUNCTION("""COMPUTED_VALUE"""),44712.0)</f>
        <v>44712</v>
      </c>
      <c r="J992" s="208">
        <f>IFERROR(__xludf.DUMMYFUNCTION("""COMPUTED_VALUE"""),0.3603240740740741)</f>
        <v>0.3603240741</v>
      </c>
      <c r="K992" s="50">
        <f>IFERROR(__xludf.DUMMYFUNCTION("""COMPUTED_VALUE"""),2.0)</f>
        <v>2</v>
      </c>
      <c r="L992" s="6"/>
      <c r="M992" s="55"/>
      <c r="N992" s="55">
        <f>IFERROR(__xludf.DUMMYFUNCTION("""COMPUTED_VALUE"""),1.0)</f>
        <v>1</v>
      </c>
      <c r="O992" s="55" t="str">
        <f t="shared" si="3"/>
        <v/>
      </c>
      <c r="P992" s="209"/>
      <c r="Q992" s="75" t="b">
        <f>VLOOKUP($B992,'Run Reconcile'!B$2:P1679,15,FALSE)</f>
        <v>1</v>
      </c>
      <c r="R992" s="211" t="str">
        <f t="array" ref="R992">IF($Q992, INDEX('Run Reconcile'!A$2:A1679,MATCH(B992,'Run Reconcile'!B$2:B1679,0),1),IFERROR(0/0,""))</f>
        <v>RUN-COMB_2022-05-31_RFR-052</v>
      </c>
      <c r="S992" s="165" t="str">
        <f t="shared" ref="S992:T992" si="1983">IF(COUNTIF(W$2:W1679, $A992) &gt; 0,TRUE,IFERROR(0/0,""))</f>
        <v/>
      </c>
      <c r="T992" s="165" t="str">
        <f t="shared" si="1983"/>
        <v/>
      </c>
      <c r="U992" s="147" t="str">
        <f t="array" ref="U992">IF(ISBLANK($R992), IF($S992,VLOOKUP($B992+1,'RFR Data - preExcl'!$BF$2:$BG1679,2,FALSE),IF($T992,INDEX('RFR Data - preExcl'!$BF$2:$BG1679,MATCH($B992,'RFR Data - preExcl'!$BF$2:$BF1679,0)+1,2),VLOOKUP($B992,'RFR Data - preExcl'!$BF$2:$BG1679,2,FALSE))),IFERROR(0/0,""))</f>
        <v/>
      </c>
      <c r="V992" s="212" t="str">
        <f t="shared" si="5"/>
        <v>RUN-COMB_2022-05-31_RFR-052</v>
      </c>
      <c r="W992" s="51"/>
      <c r="X992" s="51"/>
      <c r="Y992" s="147" t="str">
        <f t="shared" ref="Y992:Z992" si="1984">IF(_xlfn.ISFORMULA(S992),IFERROR(0/0,""),TRUE)</f>
        <v/>
      </c>
      <c r="Z992" s="147" t="str">
        <f t="shared" si="1984"/>
        <v/>
      </c>
    </row>
    <row r="993">
      <c r="A993" s="6" t="str">
        <f>IFERROR(__xludf.DUMMYFUNCTION("""COMPUTED_VALUE"""),"FM2614")</f>
        <v>FM2614</v>
      </c>
      <c r="B993" s="206">
        <f>IFERROR(__xludf.DUMMYFUNCTION("""COMPUTED_VALUE"""),44713.0)</f>
        <v>44713</v>
      </c>
      <c r="C993" s="207">
        <f>IFERROR(__xludf.DUMMYFUNCTION("""COMPUTED_VALUE"""),0.2614930555555556)</f>
        <v>0.2614930556</v>
      </c>
      <c r="D993" s="50"/>
      <c r="E993" s="58"/>
      <c r="F993" s="58"/>
      <c r="G993" s="58" t="str">
        <f>IFERROR(__xludf.DUMMYFUNCTION("""COMPUTED_VALUE"""),"Null")</f>
        <v>Null</v>
      </c>
      <c r="H993" s="206" t="str">
        <f>IFERROR(__xludf.DUMMYFUNCTION("""COMPUTED_VALUE"""),"Negative")</f>
        <v>Negative</v>
      </c>
      <c r="I993" s="207">
        <f>IFERROR(__xludf.DUMMYFUNCTION("""COMPUTED_VALUE"""),44713.0)</f>
        <v>44713</v>
      </c>
      <c r="J993" s="208">
        <f>IFERROR(__xludf.DUMMYFUNCTION("""COMPUTED_VALUE"""),0.34997685185185184)</f>
        <v>0.3499768519</v>
      </c>
      <c r="K993" s="50">
        <f>IFERROR(__xludf.DUMMYFUNCTION("""COMPUTED_VALUE"""),2.0)</f>
        <v>2</v>
      </c>
      <c r="L993" s="6"/>
      <c r="M993" s="55"/>
      <c r="N993" s="55">
        <f>IFERROR(__xludf.DUMMYFUNCTION("""COMPUTED_VALUE"""),1.0)</f>
        <v>1</v>
      </c>
      <c r="O993" s="55" t="b">
        <f t="shared" si="3"/>
        <v>1</v>
      </c>
      <c r="P993" s="209"/>
      <c r="Q993" s="75" t="b">
        <f>VLOOKUP($B993,'Run Reconcile'!B$2:P1679,15,FALSE)</f>
        <v>1</v>
      </c>
      <c r="R993" s="211" t="str">
        <f t="array" ref="R993">IF($Q993, INDEX('Run Reconcile'!A$2:A1679,MATCH(B993,'Run Reconcile'!B$2:B1679,0),1),IFERROR(0/0,""))</f>
        <v>RUN-COMB_2022-06-01_RFR-053</v>
      </c>
      <c r="S993" s="165" t="str">
        <f t="shared" ref="S993:T993" si="1985">IF(COUNTIF(W$2:W1679, $A993) &gt; 0,TRUE,IFERROR(0/0,""))</f>
        <v/>
      </c>
      <c r="T993" s="165" t="str">
        <f t="shared" si="1985"/>
        <v/>
      </c>
      <c r="U993" s="147" t="str">
        <f t="array" ref="U993">IF(ISBLANK($R993), IF($S993,VLOOKUP($B993+1,'RFR Data - preExcl'!$BF$2:$BG1679,2,FALSE),IF($T993,INDEX('RFR Data - preExcl'!$BF$2:$BG1679,MATCH($B993,'RFR Data - preExcl'!$BF$2:$BF1679,0)+1,2),VLOOKUP($B993,'RFR Data - preExcl'!$BF$2:$BG1679,2,FALSE))),IFERROR(0/0,""))</f>
        <v/>
      </c>
      <c r="V993" s="212" t="str">
        <f t="shared" si="5"/>
        <v>RUN-COMB_2022-06-01_RFR-053</v>
      </c>
      <c r="W993" s="51"/>
      <c r="X993" s="51"/>
      <c r="Y993" s="147" t="str">
        <f t="shared" ref="Y993:Z993" si="1986">IF(_xlfn.ISFORMULA(S993),IFERROR(0/0,""),TRUE)</f>
        <v/>
      </c>
      <c r="Z993" s="147" t="str">
        <f t="shared" si="1986"/>
        <v/>
      </c>
    </row>
    <row r="994">
      <c r="A994" s="6" t="str">
        <f>IFERROR(__xludf.DUMMYFUNCTION("""COMPUTED_VALUE"""),"FM2619")</f>
        <v>FM2619</v>
      </c>
      <c r="B994" s="206">
        <f>IFERROR(__xludf.DUMMYFUNCTION("""COMPUTED_VALUE"""),44713.0)</f>
        <v>44713</v>
      </c>
      <c r="C994" s="207">
        <f>IFERROR(__xludf.DUMMYFUNCTION("""COMPUTED_VALUE"""),0.2617939814814815)</f>
        <v>0.2617939815</v>
      </c>
      <c r="D994" s="50"/>
      <c r="E994" s="58"/>
      <c r="F994" s="58"/>
      <c r="G994" s="58" t="str">
        <f>IFERROR(__xludf.DUMMYFUNCTION("""COMPUTED_VALUE"""),"Null")</f>
        <v>Null</v>
      </c>
      <c r="H994" s="206" t="str">
        <f>IFERROR(__xludf.DUMMYFUNCTION("""COMPUTED_VALUE"""),"Negative")</f>
        <v>Negative</v>
      </c>
      <c r="I994" s="207">
        <f>IFERROR(__xludf.DUMMYFUNCTION("""COMPUTED_VALUE"""),44713.0)</f>
        <v>44713</v>
      </c>
      <c r="J994" s="208">
        <f>IFERROR(__xludf.DUMMYFUNCTION("""COMPUTED_VALUE"""),0.35)</f>
        <v>0.35</v>
      </c>
      <c r="K994" s="50">
        <f>IFERROR(__xludf.DUMMYFUNCTION("""COMPUTED_VALUE"""),2.0)</f>
        <v>2</v>
      </c>
      <c r="L994" s="6"/>
      <c r="M994" s="55"/>
      <c r="N994" s="55">
        <f>IFERROR(__xludf.DUMMYFUNCTION("""COMPUTED_VALUE"""),1.0)</f>
        <v>1</v>
      </c>
      <c r="O994" s="55" t="str">
        <f t="shared" si="3"/>
        <v/>
      </c>
      <c r="P994" s="209"/>
      <c r="Q994" s="75" t="b">
        <f>VLOOKUP($B994,'Run Reconcile'!B$2:P1679,15,FALSE)</f>
        <v>1</v>
      </c>
      <c r="R994" s="211" t="str">
        <f t="array" ref="R994">IF($Q994, INDEX('Run Reconcile'!A$2:A1679,MATCH(B994,'Run Reconcile'!B$2:B1679,0),1),IFERROR(0/0,""))</f>
        <v>RUN-COMB_2022-06-01_RFR-053</v>
      </c>
      <c r="S994" s="165" t="str">
        <f t="shared" ref="S994:T994" si="1987">IF(COUNTIF(W$2:W1679, $A994) &gt; 0,TRUE,IFERROR(0/0,""))</f>
        <v/>
      </c>
      <c r="T994" s="165" t="str">
        <f t="shared" si="1987"/>
        <v/>
      </c>
      <c r="U994" s="147" t="str">
        <f t="array" ref="U994">IF(ISBLANK($R994), IF($S994,VLOOKUP($B994+1,'RFR Data - preExcl'!$BF$2:$BG1679,2,FALSE),IF($T994,INDEX('RFR Data - preExcl'!$BF$2:$BG1679,MATCH($B994,'RFR Data - preExcl'!$BF$2:$BF1679,0)+1,2),VLOOKUP($B994,'RFR Data - preExcl'!$BF$2:$BG1679,2,FALSE))),IFERROR(0/0,""))</f>
        <v/>
      </c>
      <c r="V994" s="212" t="str">
        <f t="shared" si="5"/>
        <v>RUN-COMB_2022-06-01_RFR-053</v>
      </c>
      <c r="W994" s="51"/>
      <c r="X994" s="51"/>
      <c r="Y994" s="147" t="str">
        <f t="shared" ref="Y994:Z994" si="1988">IF(_xlfn.ISFORMULA(S994),IFERROR(0/0,""),TRUE)</f>
        <v/>
      </c>
      <c r="Z994" s="147" t="str">
        <f t="shared" si="1988"/>
        <v/>
      </c>
    </row>
    <row r="995">
      <c r="A995" s="6" t="str">
        <f>IFERROR(__xludf.DUMMYFUNCTION("""COMPUTED_VALUE"""),"FM2675")</f>
        <v>FM2675</v>
      </c>
      <c r="B995" s="206">
        <f>IFERROR(__xludf.DUMMYFUNCTION("""COMPUTED_VALUE"""),44713.0)</f>
        <v>44713</v>
      </c>
      <c r="C995" s="207">
        <f>IFERROR(__xludf.DUMMYFUNCTION("""COMPUTED_VALUE"""),0.2622453703703704)</f>
        <v>0.2622453704</v>
      </c>
      <c r="D995" s="50"/>
      <c r="E995" s="58"/>
      <c r="F995" s="58"/>
      <c r="G995" s="58" t="str">
        <f>IFERROR(__xludf.DUMMYFUNCTION("""COMPUTED_VALUE"""),"Null")</f>
        <v>Null</v>
      </c>
      <c r="H995" s="206" t="str">
        <f>IFERROR(__xludf.DUMMYFUNCTION("""COMPUTED_VALUE"""),"Negative")</f>
        <v>Negative</v>
      </c>
      <c r="I995" s="207">
        <f>IFERROR(__xludf.DUMMYFUNCTION("""COMPUTED_VALUE"""),44713.0)</f>
        <v>44713</v>
      </c>
      <c r="J995" s="208">
        <f>IFERROR(__xludf.DUMMYFUNCTION("""COMPUTED_VALUE"""),0.35001157407407407)</f>
        <v>0.3500115741</v>
      </c>
      <c r="K995" s="50">
        <f>IFERROR(__xludf.DUMMYFUNCTION("""COMPUTED_VALUE"""),2.0)</f>
        <v>2</v>
      </c>
      <c r="L995" s="6"/>
      <c r="M995" s="55"/>
      <c r="N995" s="55">
        <f>IFERROR(__xludf.DUMMYFUNCTION("""COMPUTED_VALUE"""),1.0)</f>
        <v>1</v>
      </c>
      <c r="O995" s="55" t="str">
        <f t="shared" si="3"/>
        <v/>
      </c>
      <c r="P995" s="209"/>
      <c r="Q995" s="75" t="b">
        <f>VLOOKUP($B995,'Run Reconcile'!B$2:P1679,15,FALSE)</f>
        <v>1</v>
      </c>
      <c r="R995" s="211" t="str">
        <f t="array" ref="R995">IF($Q995, INDEX('Run Reconcile'!A$2:A1679,MATCH(B995,'Run Reconcile'!B$2:B1679,0),1),IFERROR(0/0,""))</f>
        <v>RUN-COMB_2022-06-01_RFR-053</v>
      </c>
      <c r="S995" s="165" t="str">
        <f t="shared" ref="S995:T995" si="1989">IF(COUNTIF(W$2:W1679, $A995) &gt; 0,TRUE,IFERROR(0/0,""))</f>
        <v/>
      </c>
      <c r="T995" s="165" t="str">
        <f t="shared" si="1989"/>
        <v/>
      </c>
      <c r="U995" s="147" t="str">
        <f t="array" ref="U995">IF(ISBLANK($R995), IF($S995,VLOOKUP($B995+1,'RFR Data - preExcl'!$BF$2:$BG1679,2,FALSE),IF($T995,INDEX('RFR Data - preExcl'!$BF$2:$BG1679,MATCH($B995,'RFR Data - preExcl'!$BF$2:$BF1679,0)+1,2),VLOOKUP($B995,'RFR Data - preExcl'!$BF$2:$BG1679,2,FALSE))),IFERROR(0/0,""))</f>
        <v/>
      </c>
      <c r="V995" s="212" t="str">
        <f t="shared" si="5"/>
        <v>RUN-COMB_2022-06-01_RFR-053</v>
      </c>
      <c r="W995" s="51"/>
      <c r="X995" s="51"/>
      <c r="Y995" s="147" t="str">
        <f t="shared" ref="Y995:Z995" si="1990">IF(_xlfn.ISFORMULA(S995),IFERROR(0/0,""),TRUE)</f>
        <v/>
      </c>
      <c r="Z995" s="147" t="str">
        <f t="shared" si="1990"/>
        <v/>
      </c>
    </row>
    <row r="996">
      <c r="A996" s="6" t="str">
        <f>IFERROR(__xludf.DUMMYFUNCTION("""COMPUTED_VALUE"""),"FM2697")</f>
        <v>FM2697</v>
      </c>
      <c r="B996" s="206">
        <f>IFERROR(__xludf.DUMMYFUNCTION("""COMPUTED_VALUE"""),44713.0)</f>
        <v>44713</v>
      </c>
      <c r="C996" s="207">
        <f>IFERROR(__xludf.DUMMYFUNCTION("""COMPUTED_VALUE"""),0.26329861111111114)</f>
        <v>0.2632986111</v>
      </c>
      <c r="D996" s="50"/>
      <c r="E996" s="58"/>
      <c r="F996" s="58"/>
      <c r="G996" s="58" t="str">
        <f>IFERROR(__xludf.DUMMYFUNCTION("""COMPUTED_VALUE"""),"Null")</f>
        <v>Null</v>
      </c>
      <c r="H996" s="206" t="str">
        <f>IFERROR(__xludf.DUMMYFUNCTION("""COMPUTED_VALUE"""),"Negative")</f>
        <v>Negative</v>
      </c>
      <c r="I996" s="207">
        <f>IFERROR(__xludf.DUMMYFUNCTION("""COMPUTED_VALUE"""),44713.0)</f>
        <v>44713</v>
      </c>
      <c r="J996" s="208">
        <f>IFERROR(__xludf.DUMMYFUNCTION("""COMPUTED_VALUE"""),0.35002314814814817)</f>
        <v>0.3500231481</v>
      </c>
      <c r="K996" s="50">
        <f>IFERROR(__xludf.DUMMYFUNCTION("""COMPUTED_VALUE"""),2.0)</f>
        <v>2</v>
      </c>
      <c r="L996" s="6"/>
      <c r="M996" s="55"/>
      <c r="N996" s="55">
        <f>IFERROR(__xludf.DUMMYFUNCTION("""COMPUTED_VALUE"""),1.0)</f>
        <v>1</v>
      </c>
      <c r="O996" s="55" t="str">
        <f t="shared" si="3"/>
        <v/>
      </c>
      <c r="P996" s="209"/>
      <c r="Q996" s="75" t="b">
        <f>VLOOKUP($B996,'Run Reconcile'!B$2:P1679,15,FALSE)</f>
        <v>1</v>
      </c>
      <c r="R996" s="211" t="str">
        <f t="array" ref="R996">IF($Q996, INDEX('Run Reconcile'!A$2:A1679,MATCH(B996,'Run Reconcile'!B$2:B1679,0),1),IFERROR(0/0,""))</f>
        <v>RUN-COMB_2022-06-01_RFR-053</v>
      </c>
      <c r="S996" s="165" t="str">
        <f t="shared" ref="S996:T996" si="1991">IF(COUNTIF(W$2:W1679, $A996) &gt; 0,TRUE,IFERROR(0/0,""))</f>
        <v/>
      </c>
      <c r="T996" s="165" t="str">
        <f t="shared" si="1991"/>
        <v/>
      </c>
      <c r="U996" s="147" t="str">
        <f t="array" ref="U996">IF(ISBLANK($R996), IF($S996,VLOOKUP($B996+1,'RFR Data - preExcl'!$BF$2:$BG1679,2,FALSE),IF($T996,INDEX('RFR Data - preExcl'!$BF$2:$BG1679,MATCH($B996,'RFR Data - preExcl'!$BF$2:$BF1679,0)+1,2),VLOOKUP($B996,'RFR Data - preExcl'!$BF$2:$BG1679,2,FALSE))),IFERROR(0/0,""))</f>
        <v/>
      </c>
      <c r="V996" s="212" t="str">
        <f t="shared" si="5"/>
        <v>RUN-COMB_2022-06-01_RFR-053</v>
      </c>
      <c r="W996" s="51"/>
      <c r="X996" s="51"/>
      <c r="Y996" s="147" t="str">
        <f t="shared" ref="Y996:Z996" si="1992">IF(_xlfn.ISFORMULA(S996),IFERROR(0/0,""),TRUE)</f>
        <v/>
      </c>
      <c r="Z996" s="147" t="str">
        <f t="shared" si="1992"/>
        <v/>
      </c>
    </row>
    <row r="997">
      <c r="A997" s="6" t="str">
        <f>IFERROR(__xludf.DUMMYFUNCTION("""COMPUTED_VALUE"""),"FM2673")</f>
        <v>FM2673</v>
      </c>
      <c r="B997" s="206">
        <f>IFERROR(__xludf.DUMMYFUNCTION("""COMPUTED_VALUE"""),44713.0)</f>
        <v>44713</v>
      </c>
      <c r="C997" s="207">
        <f>IFERROR(__xludf.DUMMYFUNCTION("""COMPUTED_VALUE"""),0.26362268518518517)</f>
        <v>0.2636226852</v>
      </c>
      <c r="D997" s="50"/>
      <c r="E997" s="58"/>
      <c r="F997" s="58"/>
      <c r="G997" s="58" t="str">
        <f>IFERROR(__xludf.DUMMYFUNCTION("""COMPUTED_VALUE"""),"Null")</f>
        <v>Null</v>
      </c>
      <c r="H997" s="206" t="str">
        <f>IFERROR(__xludf.DUMMYFUNCTION("""COMPUTED_VALUE"""),"Negative")</f>
        <v>Negative</v>
      </c>
      <c r="I997" s="207">
        <f>IFERROR(__xludf.DUMMYFUNCTION("""COMPUTED_VALUE"""),44713.0)</f>
        <v>44713</v>
      </c>
      <c r="J997" s="208">
        <f>IFERROR(__xludf.DUMMYFUNCTION("""COMPUTED_VALUE"""),0.3500347222222222)</f>
        <v>0.3500347222</v>
      </c>
      <c r="K997" s="50">
        <f>IFERROR(__xludf.DUMMYFUNCTION("""COMPUTED_VALUE"""),2.0)</f>
        <v>2</v>
      </c>
      <c r="L997" s="6"/>
      <c r="M997" s="55"/>
      <c r="N997" s="55">
        <f>IFERROR(__xludf.DUMMYFUNCTION("""COMPUTED_VALUE"""),1.0)</f>
        <v>1</v>
      </c>
      <c r="O997" s="55" t="str">
        <f t="shared" si="3"/>
        <v/>
      </c>
      <c r="P997" s="209"/>
      <c r="Q997" s="75" t="b">
        <f>VLOOKUP($B997,'Run Reconcile'!B$2:P1679,15,FALSE)</f>
        <v>1</v>
      </c>
      <c r="R997" s="211" t="str">
        <f t="array" ref="R997">IF($Q997, INDEX('Run Reconcile'!A$2:A1679,MATCH(B997,'Run Reconcile'!B$2:B1679,0),1),IFERROR(0/0,""))</f>
        <v>RUN-COMB_2022-06-01_RFR-053</v>
      </c>
      <c r="S997" s="165" t="str">
        <f t="shared" ref="S997:T997" si="1993">IF(COUNTIF(W$2:W1679, $A997) &gt; 0,TRUE,IFERROR(0/0,""))</f>
        <v/>
      </c>
      <c r="T997" s="165" t="str">
        <f t="shared" si="1993"/>
        <v/>
      </c>
      <c r="U997" s="147" t="str">
        <f t="array" ref="U997">IF(ISBLANK($R997), IF($S997,VLOOKUP($B997+1,'RFR Data - preExcl'!$BF$2:$BG1679,2,FALSE),IF($T997,INDEX('RFR Data - preExcl'!$BF$2:$BG1679,MATCH($B997,'RFR Data - preExcl'!$BF$2:$BF1679,0)+1,2),VLOOKUP($B997,'RFR Data - preExcl'!$BF$2:$BG1679,2,FALSE))),IFERROR(0/0,""))</f>
        <v/>
      </c>
      <c r="V997" s="212" t="str">
        <f t="shared" si="5"/>
        <v>RUN-COMB_2022-06-01_RFR-053</v>
      </c>
      <c r="W997" s="51"/>
      <c r="X997" s="51"/>
      <c r="Y997" s="147" t="str">
        <f t="shared" ref="Y997:Z997" si="1994">IF(_xlfn.ISFORMULA(S997),IFERROR(0/0,""),TRUE)</f>
        <v/>
      </c>
      <c r="Z997" s="147" t="str">
        <f t="shared" si="1994"/>
        <v/>
      </c>
    </row>
    <row r="998">
      <c r="A998" s="6" t="str">
        <f>IFERROR(__xludf.DUMMYFUNCTION("""COMPUTED_VALUE"""),"FM2651")</f>
        <v>FM2651</v>
      </c>
      <c r="B998" s="206">
        <f>IFERROR(__xludf.DUMMYFUNCTION("""COMPUTED_VALUE"""),44713.0)</f>
        <v>44713</v>
      </c>
      <c r="C998" s="207">
        <f>IFERROR(__xludf.DUMMYFUNCTION("""COMPUTED_VALUE"""),0.26408564814814817)</f>
        <v>0.2640856481</v>
      </c>
      <c r="D998" s="50"/>
      <c r="E998" s="58"/>
      <c r="F998" s="58"/>
      <c r="G998" s="58" t="str">
        <f>IFERROR(__xludf.DUMMYFUNCTION("""COMPUTED_VALUE"""),"Null")</f>
        <v>Null</v>
      </c>
      <c r="H998" s="206" t="str">
        <f>IFERROR(__xludf.DUMMYFUNCTION("""COMPUTED_VALUE"""),"Negative")</f>
        <v>Negative</v>
      </c>
      <c r="I998" s="207">
        <f>IFERROR(__xludf.DUMMYFUNCTION("""COMPUTED_VALUE"""),44713.0)</f>
        <v>44713</v>
      </c>
      <c r="J998" s="208">
        <f>IFERROR(__xludf.DUMMYFUNCTION("""COMPUTED_VALUE"""),0.3500578703703704)</f>
        <v>0.3500578704</v>
      </c>
      <c r="K998" s="50">
        <f>IFERROR(__xludf.DUMMYFUNCTION("""COMPUTED_VALUE"""),2.0)</f>
        <v>2</v>
      </c>
      <c r="L998" s="6"/>
      <c r="M998" s="55"/>
      <c r="N998" s="55">
        <f>IFERROR(__xludf.DUMMYFUNCTION("""COMPUTED_VALUE"""),1.0)</f>
        <v>1</v>
      </c>
      <c r="O998" s="55" t="str">
        <f t="shared" si="3"/>
        <v/>
      </c>
      <c r="P998" s="209"/>
      <c r="Q998" s="75" t="b">
        <f>VLOOKUP($B998,'Run Reconcile'!B$2:P1679,15,FALSE)</f>
        <v>1</v>
      </c>
      <c r="R998" s="211" t="str">
        <f t="array" ref="R998">IF($Q998, INDEX('Run Reconcile'!A$2:A1679,MATCH(B998,'Run Reconcile'!B$2:B1679,0),1),IFERROR(0/0,""))</f>
        <v>RUN-COMB_2022-06-01_RFR-053</v>
      </c>
      <c r="S998" s="165" t="str">
        <f t="shared" ref="S998:T998" si="1995">IF(COUNTIF(W$2:W1679, $A998) &gt; 0,TRUE,IFERROR(0/0,""))</f>
        <v/>
      </c>
      <c r="T998" s="165" t="str">
        <f t="shared" si="1995"/>
        <v/>
      </c>
      <c r="U998" s="147" t="str">
        <f t="array" ref="U998">IF(ISBLANK($R998), IF($S998,VLOOKUP($B998+1,'RFR Data - preExcl'!$BF$2:$BG1679,2,FALSE),IF($T998,INDEX('RFR Data - preExcl'!$BF$2:$BG1679,MATCH($B998,'RFR Data - preExcl'!$BF$2:$BF1679,0)+1,2),VLOOKUP($B998,'RFR Data - preExcl'!$BF$2:$BG1679,2,FALSE))),IFERROR(0/0,""))</f>
        <v/>
      </c>
      <c r="V998" s="212" t="str">
        <f t="shared" si="5"/>
        <v>RUN-COMB_2022-06-01_RFR-053</v>
      </c>
      <c r="W998" s="51"/>
      <c r="X998" s="51"/>
      <c r="Y998" s="147" t="str">
        <f t="shared" ref="Y998:Z998" si="1996">IF(_xlfn.ISFORMULA(S998),IFERROR(0/0,""),TRUE)</f>
        <v/>
      </c>
      <c r="Z998" s="147" t="str">
        <f t="shared" si="1996"/>
        <v/>
      </c>
    </row>
    <row r="999">
      <c r="A999" s="6" t="str">
        <f>IFERROR(__xludf.DUMMYFUNCTION("""COMPUTED_VALUE"""),"FM2699")</f>
        <v>FM2699</v>
      </c>
      <c r="B999" s="206">
        <f>IFERROR(__xludf.DUMMYFUNCTION("""COMPUTED_VALUE"""),44713.0)</f>
        <v>44713</v>
      </c>
      <c r="C999" s="207">
        <f>IFERROR(__xludf.DUMMYFUNCTION("""COMPUTED_VALUE"""),0.26849537037037036)</f>
        <v>0.2684953704</v>
      </c>
      <c r="D999" s="50"/>
      <c r="E999" s="58"/>
      <c r="F999" s="58"/>
      <c r="G999" s="58" t="str">
        <f>IFERROR(__xludf.DUMMYFUNCTION("""COMPUTED_VALUE"""),"Null")</f>
        <v>Null</v>
      </c>
      <c r="H999" s="206" t="str">
        <f>IFERROR(__xludf.DUMMYFUNCTION("""COMPUTED_VALUE"""),"Negative")</f>
        <v>Negative</v>
      </c>
      <c r="I999" s="207">
        <f>IFERROR(__xludf.DUMMYFUNCTION("""COMPUTED_VALUE"""),44713.0)</f>
        <v>44713</v>
      </c>
      <c r="J999" s="208">
        <f>IFERROR(__xludf.DUMMYFUNCTION("""COMPUTED_VALUE"""),0.35009259259259257)</f>
        <v>0.3500925926</v>
      </c>
      <c r="K999" s="50">
        <f>IFERROR(__xludf.DUMMYFUNCTION("""COMPUTED_VALUE"""),2.0)</f>
        <v>2</v>
      </c>
      <c r="L999" s="6"/>
      <c r="M999" s="55"/>
      <c r="N999" s="55">
        <f>IFERROR(__xludf.DUMMYFUNCTION("""COMPUTED_VALUE"""),1.0)</f>
        <v>1</v>
      </c>
      <c r="O999" s="55" t="str">
        <f t="shared" si="3"/>
        <v/>
      </c>
      <c r="P999" s="209"/>
      <c r="Q999" s="75" t="b">
        <f>VLOOKUP($B999,'Run Reconcile'!B$2:P1679,15,FALSE)</f>
        <v>1</v>
      </c>
      <c r="R999" s="211" t="str">
        <f t="array" ref="R999">IF($Q999, INDEX('Run Reconcile'!A$2:A1679,MATCH(B999,'Run Reconcile'!B$2:B1679,0),1),IFERROR(0/0,""))</f>
        <v>RUN-COMB_2022-06-01_RFR-053</v>
      </c>
      <c r="S999" s="165" t="str">
        <f t="shared" ref="S999:T999" si="1997">IF(COUNTIF(W$2:W1679, $A999) &gt; 0,TRUE,IFERROR(0/0,""))</f>
        <v/>
      </c>
      <c r="T999" s="165" t="str">
        <f t="shared" si="1997"/>
        <v/>
      </c>
      <c r="U999" s="147" t="str">
        <f t="array" ref="U999">IF(ISBLANK($R999), IF($S999,VLOOKUP($B999+1,'RFR Data - preExcl'!$BF$2:$BG1679,2,FALSE),IF($T999,INDEX('RFR Data - preExcl'!$BF$2:$BG1679,MATCH($B999,'RFR Data - preExcl'!$BF$2:$BF1679,0)+1,2),VLOOKUP($B999,'RFR Data - preExcl'!$BF$2:$BG1679,2,FALSE))),IFERROR(0/0,""))</f>
        <v/>
      </c>
      <c r="V999" s="212" t="str">
        <f t="shared" si="5"/>
        <v>RUN-COMB_2022-06-01_RFR-053</v>
      </c>
      <c r="W999" s="51"/>
      <c r="X999" s="51"/>
      <c r="Y999" s="147" t="str">
        <f t="shared" ref="Y999:Z999" si="1998">IF(_xlfn.ISFORMULA(S999),IFERROR(0/0,""),TRUE)</f>
        <v/>
      </c>
      <c r="Z999" s="147" t="str">
        <f t="shared" si="1998"/>
        <v/>
      </c>
    </row>
    <row r="1000">
      <c r="A1000" s="6" t="str">
        <f>IFERROR(__xludf.DUMMYFUNCTION("""COMPUTED_VALUE"""),"FM2669")</f>
        <v>FM2669</v>
      </c>
      <c r="B1000" s="206">
        <f>IFERROR(__xludf.DUMMYFUNCTION("""COMPUTED_VALUE"""),44713.0)</f>
        <v>44713</v>
      </c>
      <c r="C1000" s="207">
        <f>IFERROR(__xludf.DUMMYFUNCTION("""COMPUTED_VALUE"""),0.2688425925925926)</f>
        <v>0.2688425926</v>
      </c>
      <c r="D1000" s="50"/>
      <c r="E1000" s="58"/>
      <c r="F1000" s="58"/>
      <c r="G1000" s="58" t="str">
        <f>IFERROR(__xludf.DUMMYFUNCTION("""COMPUTED_VALUE"""),"Null")</f>
        <v>Null</v>
      </c>
      <c r="H1000" s="206" t="str">
        <f>IFERROR(__xludf.DUMMYFUNCTION("""COMPUTED_VALUE"""),"Negative")</f>
        <v>Negative</v>
      </c>
      <c r="I1000" s="207">
        <f>IFERROR(__xludf.DUMMYFUNCTION("""COMPUTED_VALUE"""),44713.0)</f>
        <v>44713</v>
      </c>
      <c r="J1000" s="208">
        <f>IFERROR(__xludf.DUMMYFUNCTION("""COMPUTED_VALUE"""),0.35010416666666666)</f>
        <v>0.3501041667</v>
      </c>
      <c r="K1000" s="50">
        <f>IFERROR(__xludf.DUMMYFUNCTION("""COMPUTED_VALUE"""),2.0)</f>
        <v>2</v>
      </c>
      <c r="L1000" s="6"/>
      <c r="M1000" s="55"/>
      <c r="N1000" s="55">
        <f>IFERROR(__xludf.DUMMYFUNCTION("""COMPUTED_VALUE"""),1.0)</f>
        <v>1</v>
      </c>
      <c r="O1000" s="55" t="str">
        <f t="shared" si="3"/>
        <v/>
      </c>
      <c r="P1000" s="209"/>
      <c r="Q1000" s="75" t="b">
        <f>VLOOKUP($B1000,'Run Reconcile'!B$2:P1679,15,FALSE)</f>
        <v>1</v>
      </c>
      <c r="R1000" s="211" t="str">
        <f t="array" ref="R1000">IF($Q1000, INDEX('Run Reconcile'!A$2:A1679,MATCH(B1000,'Run Reconcile'!B$2:B1679,0),1),IFERROR(0/0,""))</f>
        <v>RUN-COMB_2022-06-01_RFR-053</v>
      </c>
      <c r="S1000" s="165" t="str">
        <f t="shared" ref="S1000:T1000" si="1999">IF(COUNTIF(W$2:W1679, $A1000) &gt; 0,TRUE,IFERROR(0/0,""))</f>
        <v/>
      </c>
      <c r="T1000" s="165" t="str">
        <f t="shared" si="1999"/>
        <v/>
      </c>
      <c r="U1000" s="147" t="str">
        <f t="array" ref="U1000">IF(ISBLANK($R1000), IF($S1000,VLOOKUP($B1000+1,'RFR Data - preExcl'!$BF$2:$BG1679,2,FALSE),IF($T1000,INDEX('RFR Data - preExcl'!$BF$2:$BG1679,MATCH($B1000,'RFR Data - preExcl'!$BF$2:$BF1679,0)+1,2),VLOOKUP($B1000,'RFR Data - preExcl'!$BF$2:$BG1679,2,FALSE))),IFERROR(0/0,""))</f>
        <v/>
      </c>
      <c r="V1000" s="212" t="str">
        <f t="shared" si="5"/>
        <v>RUN-COMB_2022-06-01_RFR-053</v>
      </c>
      <c r="W1000" s="51"/>
      <c r="X1000" s="51"/>
      <c r="Y1000" s="147" t="str">
        <f t="shared" ref="Y1000:Z1000" si="2000">IF(_xlfn.ISFORMULA(S1000),IFERROR(0/0,""),TRUE)</f>
        <v/>
      </c>
      <c r="Z1000" s="147" t="str">
        <f t="shared" si="2000"/>
        <v/>
      </c>
    </row>
    <row r="1001">
      <c r="A1001" s="6" t="str">
        <f>IFERROR(__xludf.DUMMYFUNCTION("""COMPUTED_VALUE"""),"FM2696")</f>
        <v>FM2696</v>
      </c>
      <c r="B1001" s="206">
        <f>IFERROR(__xludf.DUMMYFUNCTION("""COMPUTED_VALUE"""),44713.0)</f>
        <v>44713</v>
      </c>
      <c r="C1001" s="207">
        <f>IFERROR(__xludf.DUMMYFUNCTION("""COMPUTED_VALUE"""),0.2691898148148148)</f>
        <v>0.2691898148</v>
      </c>
      <c r="D1001" s="50"/>
      <c r="E1001" s="58"/>
      <c r="F1001" s="58"/>
      <c r="G1001" s="58" t="str">
        <f>IFERROR(__xludf.DUMMYFUNCTION("""COMPUTED_VALUE"""),"Null")</f>
        <v>Null</v>
      </c>
      <c r="H1001" s="206" t="str">
        <f>IFERROR(__xludf.DUMMYFUNCTION("""COMPUTED_VALUE"""),"Negative")</f>
        <v>Negative</v>
      </c>
      <c r="I1001" s="207">
        <f>IFERROR(__xludf.DUMMYFUNCTION("""COMPUTED_VALUE"""),44713.0)</f>
        <v>44713</v>
      </c>
      <c r="J1001" s="208">
        <f>IFERROR(__xludf.DUMMYFUNCTION("""COMPUTED_VALUE"""),0.35011574074074076)</f>
        <v>0.3501157407</v>
      </c>
      <c r="K1001" s="50">
        <f>IFERROR(__xludf.DUMMYFUNCTION("""COMPUTED_VALUE"""),2.0)</f>
        <v>2</v>
      </c>
      <c r="L1001" s="6"/>
      <c r="M1001" s="55"/>
      <c r="N1001" s="55">
        <f>IFERROR(__xludf.DUMMYFUNCTION("""COMPUTED_VALUE"""),1.0)</f>
        <v>1</v>
      </c>
      <c r="O1001" s="55" t="str">
        <f t="shared" si="3"/>
        <v/>
      </c>
      <c r="P1001" s="209"/>
      <c r="Q1001" s="75" t="b">
        <f>VLOOKUP($B1001,'Run Reconcile'!B$2:P1679,15,FALSE)</f>
        <v>1</v>
      </c>
      <c r="R1001" s="211" t="str">
        <f t="array" ref="R1001">IF($Q1001, INDEX('Run Reconcile'!A$2:A1679,MATCH(B1001,'Run Reconcile'!B$2:B1679,0),1),IFERROR(0/0,""))</f>
        <v>RUN-COMB_2022-06-01_RFR-053</v>
      </c>
      <c r="S1001" s="165" t="str">
        <f t="shared" ref="S1001:T1001" si="2001">IF(COUNTIF(W$2:W1679, $A1001) &gt; 0,TRUE,IFERROR(0/0,""))</f>
        <v/>
      </c>
      <c r="T1001" s="165" t="str">
        <f t="shared" si="2001"/>
        <v/>
      </c>
      <c r="U1001" s="147" t="str">
        <f t="array" ref="U1001">IF(ISBLANK($R1001), IF($S1001,VLOOKUP($B1001+1,'RFR Data - preExcl'!$BF$2:$BG1679,2,FALSE),IF($T1001,INDEX('RFR Data - preExcl'!$BF$2:$BG1679,MATCH($B1001,'RFR Data - preExcl'!$BF$2:$BF1679,0)+1,2),VLOOKUP($B1001,'RFR Data - preExcl'!$BF$2:$BG1679,2,FALSE))),IFERROR(0/0,""))</f>
        <v/>
      </c>
      <c r="V1001" s="212" t="str">
        <f t="shared" si="5"/>
        <v>RUN-COMB_2022-06-01_RFR-053</v>
      </c>
      <c r="W1001" s="51"/>
      <c r="X1001" s="51"/>
      <c r="Y1001" s="147" t="str">
        <f t="shared" ref="Y1001:Z1001" si="2002">IF(_xlfn.ISFORMULA(S1001),IFERROR(0/0,""),TRUE)</f>
        <v/>
      </c>
      <c r="Z1001" s="147" t="str">
        <f t="shared" si="2002"/>
        <v/>
      </c>
    </row>
    <row r="1002">
      <c r="A1002" s="6" t="str">
        <f>IFERROR(__xludf.DUMMYFUNCTION("""COMPUTED_VALUE"""),"FM2628")</f>
        <v>FM2628</v>
      </c>
      <c r="B1002" s="206">
        <f>IFERROR(__xludf.DUMMYFUNCTION("""COMPUTED_VALUE"""),44713.0)</f>
        <v>44713</v>
      </c>
      <c r="C1002" s="207">
        <f>IFERROR(__xludf.DUMMYFUNCTION("""COMPUTED_VALUE"""),0.2697685185185185)</f>
        <v>0.2697685185</v>
      </c>
      <c r="D1002" s="50"/>
      <c r="E1002" s="58"/>
      <c r="F1002" s="58"/>
      <c r="G1002" s="58" t="str">
        <f>IFERROR(__xludf.DUMMYFUNCTION("""COMPUTED_VALUE"""),"Null")</f>
        <v>Null</v>
      </c>
      <c r="H1002" s="206" t="str">
        <f>IFERROR(__xludf.DUMMYFUNCTION("""COMPUTED_VALUE"""),"Negative")</f>
        <v>Negative</v>
      </c>
      <c r="I1002" s="207">
        <f>IFERROR(__xludf.DUMMYFUNCTION("""COMPUTED_VALUE"""),44713.0)</f>
        <v>44713</v>
      </c>
      <c r="J1002" s="208">
        <f>IFERROR(__xludf.DUMMYFUNCTION("""COMPUTED_VALUE"""),0.350162037037037)</f>
        <v>0.350162037</v>
      </c>
      <c r="K1002" s="50">
        <f>IFERROR(__xludf.DUMMYFUNCTION("""COMPUTED_VALUE"""),2.0)</f>
        <v>2</v>
      </c>
      <c r="L1002" s="6"/>
      <c r="M1002" s="55"/>
      <c r="N1002" s="55">
        <f>IFERROR(__xludf.DUMMYFUNCTION("""COMPUTED_VALUE"""),1.0)</f>
        <v>1</v>
      </c>
      <c r="O1002" s="55" t="str">
        <f t="shared" si="3"/>
        <v/>
      </c>
      <c r="P1002" s="209"/>
      <c r="Q1002" s="75" t="b">
        <f>VLOOKUP($B1002,'Run Reconcile'!B$2:P1679,15,FALSE)</f>
        <v>1</v>
      </c>
      <c r="R1002" s="211" t="str">
        <f t="array" ref="R1002">IF($Q1002, INDEX('Run Reconcile'!A$2:A1679,MATCH(B1002,'Run Reconcile'!B$2:B1679,0),1),IFERROR(0/0,""))</f>
        <v>RUN-COMB_2022-06-01_RFR-053</v>
      </c>
      <c r="S1002" s="165" t="str">
        <f t="shared" ref="S1002:T1002" si="2003">IF(COUNTIF(W$2:W1679, $A1002) &gt; 0,TRUE,IFERROR(0/0,""))</f>
        <v/>
      </c>
      <c r="T1002" s="165" t="str">
        <f t="shared" si="2003"/>
        <v/>
      </c>
      <c r="U1002" s="147" t="str">
        <f t="array" ref="U1002">IF(ISBLANK($R1002), IF($S1002,VLOOKUP($B1002+1,'RFR Data - preExcl'!$BF$2:$BG1679,2,FALSE),IF($T1002,INDEX('RFR Data - preExcl'!$BF$2:$BG1679,MATCH($B1002,'RFR Data - preExcl'!$BF$2:$BF1679,0)+1,2),VLOOKUP($B1002,'RFR Data - preExcl'!$BF$2:$BG1679,2,FALSE))),IFERROR(0/0,""))</f>
        <v/>
      </c>
      <c r="V1002" s="212" t="str">
        <f t="shared" si="5"/>
        <v>RUN-COMB_2022-06-01_RFR-053</v>
      </c>
      <c r="W1002" s="51"/>
      <c r="X1002" s="51"/>
      <c r="Y1002" s="147" t="str">
        <f t="shared" ref="Y1002:Z1002" si="2004">IF(_xlfn.ISFORMULA(S1002),IFERROR(0/0,""),TRUE)</f>
        <v/>
      </c>
      <c r="Z1002" s="147" t="str">
        <f t="shared" si="2004"/>
        <v/>
      </c>
    </row>
    <row r="1003">
      <c r="A1003" s="6" t="str">
        <f>IFERROR(__xludf.DUMMYFUNCTION("""COMPUTED_VALUE"""),"FM2670")</f>
        <v>FM2670</v>
      </c>
      <c r="B1003" s="206">
        <f>IFERROR(__xludf.DUMMYFUNCTION("""COMPUTED_VALUE"""),44713.0)</f>
        <v>44713</v>
      </c>
      <c r="C1003" s="207">
        <f>IFERROR(__xludf.DUMMYFUNCTION("""COMPUTED_VALUE"""),0.2703935185185185)</f>
        <v>0.2703935185</v>
      </c>
      <c r="D1003" s="50"/>
      <c r="E1003" s="58"/>
      <c r="F1003" s="58"/>
      <c r="G1003" s="58" t="str">
        <f>IFERROR(__xludf.DUMMYFUNCTION("""COMPUTED_VALUE"""),"Null")</f>
        <v>Null</v>
      </c>
      <c r="H1003" s="206" t="str">
        <f>IFERROR(__xludf.DUMMYFUNCTION("""COMPUTED_VALUE"""),"Negative")</f>
        <v>Negative</v>
      </c>
      <c r="I1003" s="207">
        <f>IFERROR(__xludf.DUMMYFUNCTION("""COMPUTED_VALUE"""),44713.0)</f>
        <v>44713</v>
      </c>
      <c r="J1003" s="208">
        <f>IFERROR(__xludf.DUMMYFUNCTION("""COMPUTED_VALUE"""),0.3501851851851852)</f>
        <v>0.3501851852</v>
      </c>
      <c r="K1003" s="50">
        <f>IFERROR(__xludf.DUMMYFUNCTION("""COMPUTED_VALUE"""),2.0)</f>
        <v>2</v>
      </c>
      <c r="L1003" s="6"/>
      <c r="M1003" s="55"/>
      <c r="N1003" s="55">
        <f>IFERROR(__xludf.DUMMYFUNCTION("""COMPUTED_VALUE"""),1.0)</f>
        <v>1</v>
      </c>
      <c r="O1003" s="55" t="str">
        <f t="shared" si="3"/>
        <v/>
      </c>
      <c r="P1003" s="209"/>
      <c r="Q1003" s="75" t="b">
        <f>VLOOKUP($B1003,'Run Reconcile'!B$2:P1679,15,FALSE)</f>
        <v>1</v>
      </c>
      <c r="R1003" s="211" t="str">
        <f t="array" ref="R1003">IF($Q1003, INDEX('Run Reconcile'!A$2:A1679,MATCH(B1003,'Run Reconcile'!B$2:B1679,0),1),IFERROR(0/0,""))</f>
        <v>RUN-COMB_2022-06-01_RFR-053</v>
      </c>
      <c r="S1003" s="165" t="str">
        <f t="shared" ref="S1003:T1003" si="2005">IF(COUNTIF(W$2:W1679, $A1003) &gt; 0,TRUE,IFERROR(0/0,""))</f>
        <v/>
      </c>
      <c r="T1003" s="165" t="str">
        <f t="shared" si="2005"/>
        <v/>
      </c>
      <c r="U1003" s="147" t="str">
        <f t="array" ref="U1003">IF(ISBLANK($R1003), IF($S1003,VLOOKUP($B1003+1,'RFR Data - preExcl'!$BF$2:$BG1679,2,FALSE),IF($T1003,INDEX('RFR Data - preExcl'!$BF$2:$BG1679,MATCH($B1003,'RFR Data - preExcl'!$BF$2:$BF1679,0)+1,2),VLOOKUP($B1003,'RFR Data - preExcl'!$BF$2:$BG1679,2,FALSE))),IFERROR(0/0,""))</f>
        <v/>
      </c>
      <c r="V1003" s="212" t="str">
        <f t="shared" si="5"/>
        <v>RUN-COMB_2022-06-01_RFR-053</v>
      </c>
      <c r="W1003" s="51"/>
      <c r="X1003" s="51"/>
      <c r="Y1003" s="147" t="str">
        <f t="shared" ref="Y1003:Z1003" si="2006">IF(_xlfn.ISFORMULA(S1003),IFERROR(0/0,""),TRUE)</f>
        <v/>
      </c>
      <c r="Z1003" s="147" t="str">
        <f t="shared" si="2006"/>
        <v/>
      </c>
    </row>
    <row r="1004">
      <c r="A1004" s="6" t="str">
        <f>IFERROR(__xludf.DUMMYFUNCTION("""COMPUTED_VALUE"""),"FM2647")</f>
        <v>FM2647</v>
      </c>
      <c r="B1004" s="206">
        <f>IFERROR(__xludf.DUMMYFUNCTION("""COMPUTED_VALUE"""),44713.0)</f>
        <v>44713</v>
      </c>
      <c r="C1004" s="207">
        <f>IFERROR(__xludf.DUMMYFUNCTION("""COMPUTED_VALUE"""),0.27069444444444446)</f>
        <v>0.2706944444</v>
      </c>
      <c r="D1004" s="50"/>
      <c r="E1004" s="58"/>
      <c r="F1004" s="58"/>
      <c r="G1004" s="58" t="str">
        <f>IFERROR(__xludf.DUMMYFUNCTION("""COMPUTED_VALUE"""),"Null")</f>
        <v>Null</v>
      </c>
      <c r="H1004" s="206" t="str">
        <f>IFERROR(__xludf.DUMMYFUNCTION("""COMPUTED_VALUE"""),"Negative")</f>
        <v>Negative</v>
      </c>
      <c r="I1004" s="207">
        <f>IFERROR(__xludf.DUMMYFUNCTION("""COMPUTED_VALUE"""),44713.0)</f>
        <v>44713</v>
      </c>
      <c r="J1004" s="208">
        <f>IFERROR(__xludf.DUMMYFUNCTION("""COMPUTED_VALUE"""),0.35019675925925925)</f>
        <v>0.3501967593</v>
      </c>
      <c r="K1004" s="50">
        <f>IFERROR(__xludf.DUMMYFUNCTION("""COMPUTED_VALUE"""),2.0)</f>
        <v>2</v>
      </c>
      <c r="L1004" s="6"/>
      <c r="M1004" s="55"/>
      <c r="N1004" s="55">
        <f>IFERROR(__xludf.DUMMYFUNCTION("""COMPUTED_VALUE"""),1.0)</f>
        <v>1</v>
      </c>
      <c r="O1004" s="55" t="str">
        <f t="shared" si="3"/>
        <v/>
      </c>
      <c r="P1004" s="209"/>
      <c r="Q1004" s="75" t="b">
        <f>VLOOKUP($B1004,'Run Reconcile'!B$2:P1679,15,FALSE)</f>
        <v>1</v>
      </c>
      <c r="R1004" s="211" t="str">
        <f t="array" ref="R1004">IF($Q1004, INDEX('Run Reconcile'!A$2:A1679,MATCH(B1004,'Run Reconcile'!B$2:B1679,0),1),IFERROR(0/0,""))</f>
        <v>RUN-COMB_2022-06-01_RFR-053</v>
      </c>
      <c r="S1004" s="165" t="str">
        <f t="shared" ref="S1004:T1004" si="2007">IF(COUNTIF(W$2:W1679, $A1004) &gt; 0,TRUE,IFERROR(0/0,""))</f>
        <v/>
      </c>
      <c r="T1004" s="165" t="str">
        <f t="shared" si="2007"/>
        <v/>
      </c>
      <c r="U1004" s="147" t="str">
        <f t="array" ref="U1004">IF(ISBLANK($R1004), IF($S1004,VLOOKUP($B1004+1,'RFR Data - preExcl'!$BF$2:$BG1679,2,FALSE),IF($T1004,INDEX('RFR Data - preExcl'!$BF$2:$BG1679,MATCH($B1004,'RFR Data - preExcl'!$BF$2:$BF1679,0)+1,2),VLOOKUP($B1004,'RFR Data - preExcl'!$BF$2:$BG1679,2,FALSE))),IFERROR(0/0,""))</f>
        <v/>
      </c>
      <c r="V1004" s="212" t="str">
        <f t="shared" si="5"/>
        <v>RUN-COMB_2022-06-01_RFR-053</v>
      </c>
      <c r="W1004" s="51"/>
      <c r="X1004" s="51"/>
      <c r="Y1004" s="147" t="str">
        <f t="shared" ref="Y1004:Z1004" si="2008">IF(_xlfn.ISFORMULA(S1004),IFERROR(0/0,""),TRUE)</f>
        <v/>
      </c>
      <c r="Z1004" s="147" t="str">
        <f t="shared" si="2008"/>
        <v/>
      </c>
    </row>
    <row r="1005">
      <c r="A1005" s="6" t="str">
        <f>IFERROR(__xludf.DUMMYFUNCTION("""COMPUTED_VALUE"""),"FM2653")</f>
        <v>FM2653</v>
      </c>
      <c r="B1005" s="206">
        <f>IFERROR(__xludf.DUMMYFUNCTION("""COMPUTED_VALUE"""),44713.0)</f>
        <v>44713</v>
      </c>
      <c r="C1005" s="207">
        <f>IFERROR(__xludf.DUMMYFUNCTION("""COMPUTED_VALUE"""),0.2710416666666667)</f>
        <v>0.2710416667</v>
      </c>
      <c r="D1005" s="50"/>
      <c r="E1005" s="58"/>
      <c r="F1005" s="58"/>
      <c r="G1005" s="58" t="str">
        <f>IFERROR(__xludf.DUMMYFUNCTION("""COMPUTED_VALUE"""),"Null")</f>
        <v>Null</v>
      </c>
      <c r="H1005" s="206" t="str">
        <f>IFERROR(__xludf.DUMMYFUNCTION("""COMPUTED_VALUE"""),"Negative")</f>
        <v>Negative</v>
      </c>
      <c r="I1005" s="207">
        <f>IFERROR(__xludf.DUMMYFUNCTION("""COMPUTED_VALUE"""),44713.0)</f>
        <v>44713</v>
      </c>
      <c r="J1005" s="208">
        <f>IFERROR(__xludf.DUMMYFUNCTION("""COMPUTED_VALUE"""),0.35020833333333334)</f>
        <v>0.3502083333</v>
      </c>
      <c r="K1005" s="50">
        <f>IFERROR(__xludf.DUMMYFUNCTION("""COMPUTED_VALUE"""),2.0)</f>
        <v>2</v>
      </c>
      <c r="L1005" s="6"/>
      <c r="M1005" s="55"/>
      <c r="N1005" s="55">
        <f>IFERROR(__xludf.DUMMYFUNCTION("""COMPUTED_VALUE"""),1.0)</f>
        <v>1</v>
      </c>
      <c r="O1005" s="55" t="str">
        <f t="shared" si="3"/>
        <v/>
      </c>
      <c r="P1005" s="209"/>
      <c r="Q1005" s="75" t="b">
        <f>VLOOKUP($B1005,'Run Reconcile'!B$2:P1679,15,FALSE)</f>
        <v>1</v>
      </c>
      <c r="R1005" s="211" t="str">
        <f t="array" ref="R1005">IF($Q1005, INDEX('Run Reconcile'!A$2:A1679,MATCH(B1005,'Run Reconcile'!B$2:B1679,0),1),IFERROR(0/0,""))</f>
        <v>RUN-COMB_2022-06-01_RFR-053</v>
      </c>
      <c r="S1005" s="165" t="str">
        <f t="shared" ref="S1005:T1005" si="2009">IF(COUNTIF(W$2:W1679, $A1005) &gt; 0,TRUE,IFERROR(0/0,""))</f>
        <v/>
      </c>
      <c r="T1005" s="165" t="str">
        <f t="shared" si="2009"/>
        <v/>
      </c>
      <c r="U1005" s="147" t="str">
        <f t="array" ref="U1005">IF(ISBLANK($R1005), IF($S1005,VLOOKUP($B1005+1,'RFR Data - preExcl'!$BF$2:$BG1679,2,FALSE),IF($T1005,INDEX('RFR Data - preExcl'!$BF$2:$BG1679,MATCH($B1005,'RFR Data - preExcl'!$BF$2:$BF1679,0)+1,2),VLOOKUP($B1005,'RFR Data - preExcl'!$BF$2:$BG1679,2,FALSE))),IFERROR(0/0,""))</f>
        <v/>
      </c>
      <c r="V1005" s="212" t="str">
        <f t="shared" si="5"/>
        <v>RUN-COMB_2022-06-01_RFR-053</v>
      </c>
      <c r="W1005" s="51"/>
      <c r="X1005" s="51"/>
      <c r="Y1005" s="147" t="str">
        <f t="shared" ref="Y1005:Z1005" si="2010">IF(_xlfn.ISFORMULA(S1005),IFERROR(0/0,""),TRUE)</f>
        <v/>
      </c>
      <c r="Z1005" s="147" t="str">
        <f t="shared" si="2010"/>
        <v/>
      </c>
    </row>
    <row r="1006">
      <c r="A1006" s="6" t="str">
        <f>IFERROR(__xludf.DUMMYFUNCTION("""COMPUTED_VALUE"""),"FM2606")</f>
        <v>FM2606</v>
      </c>
      <c r="B1006" s="206">
        <f>IFERROR(__xludf.DUMMYFUNCTION("""COMPUTED_VALUE"""),44713.0)</f>
        <v>44713</v>
      </c>
      <c r="C1006" s="207">
        <f>IFERROR(__xludf.DUMMYFUNCTION("""COMPUTED_VALUE"""),0.27162037037037035)</f>
        <v>0.2716203704</v>
      </c>
      <c r="D1006" s="50"/>
      <c r="E1006" s="58"/>
      <c r="F1006" s="58"/>
      <c r="G1006" s="58" t="str">
        <f>IFERROR(__xludf.DUMMYFUNCTION("""COMPUTED_VALUE"""),"Null")</f>
        <v>Null</v>
      </c>
      <c r="H1006" s="206" t="str">
        <f>IFERROR(__xludf.DUMMYFUNCTION("""COMPUTED_VALUE"""),"Negative")</f>
        <v>Negative</v>
      </c>
      <c r="I1006" s="207">
        <f>IFERROR(__xludf.DUMMYFUNCTION("""COMPUTED_VALUE"""),44713.0)</f>
        <v>44713</v>
      </c>
      <c r="J1006" s="208">
        <f>IFERROR(__xludf.DUMMYFUNCTION("""COMPUTED_VALUE"""),0.3502199074074074)</f>
        <v>0.3502199074</v>
      </c>
      <c r="K1006" s="50">
        <f>IFERROR(__xludf.DUMMYFUNCTION("""COMPUTED_VALUE"""),2.0)</f>
        <v>2</v>
      </c>
      <c r="L1006" s="6"/>
      <c r="M1006" s="55"/>
      <c r="N1006" s="55">
        <f>IFERROR(__xludf.DUMMYFUNCTION("""COMPUTED_VALUE"""),1.0)</f>
        <v>1</v>
      </c>
      <c r="O1006" s="55" t="str">
        <f t="shared" si="3"/>
        <v/>
      </c>
      <c r="P1006" s="209"/>
      <c r="Q1006" s="75" t="b">
        <f>VLOOKUP($B1006,'Run Reconcile'!B$2:P1679,15,FALSE)</f>
        <v>1</v>
      </c>
      <c r="R1006" s="211" t="str">
        <f t="array" ref="R1006">IF($Q1006, INDEX('Run Reconcile'!A$2:A1679,MATCH(B1006,'Run Reconcile'!B$2:B1679,0),1),IFERROR(0/0,""))</f>
        <v>RUN-COMB_2022-06-01_RFR-053</v>
      </c>
      <c r="S1006" s="165" t="str">
        <f t="shared" ref="S1006:T1006" si="2011">IF(COUNTIF(W$2:W1679, $A1006) &gt; 0,TRUE,IFERROR(0/0,""))</f>
        <v/>
      </c>
      <c r="T1006" s="165" t="str">
        <f t="shared" si="2011"/>
        <v/>
      </c>
      <c r="U1006" s="147" t="str">
        <f t="array" ref="U1006">IF(ISBLANK($R1006), IF($S1006,VLOOKUP($B1006+1,'RFR Data - preExcl'!$BF$2:$BG1679,2,FALSE),IF($T1006,INDEX('RFR Data - preExcl'!$BF$2:$BG1679,MATCH($B1006,'RFR Data - preExcl'!$BF$2:$BF1679,0)+1,2),VLOOKUP($B1006,'RFR Data - preExcl'!$BF$2:$BG1679,2,FALSE))),IFERROR(0/0,""))</f>
        <v/>
      </c>
      <c r="V1006" s="212" t="str">
        <f t="shared" si="5"/>
        <v>RUN-COMB_2022-06-01_RFR-053</v>
      </c>
      <c r="W1006" s="51"/>
      <c r="X1006" s="51"/>
      <c r="Y1006" s="147" t="str">
        <f t="shared" ref="Y1006:Z1006" si="2012">IF(_xlfn.ISFORMULA(S1006),IFERROR(0/0,""),TRUE)</f>
        <v/>
      </c>
      <c r="Z1006" s="147" t="str">
        <f t="shared" si="2012"/>
        <v/>
      </c>
    </row>
    <row r="1007">
      <c r="A1007" s="6" t="str">
        <f>IFERROR(__xludf.DUMMYFUNCTION("""COMPUTED_VALUE"""),"FM2694")</f>
        <v>FM2694</v>
      </c>
      <c r="B1007" s="206">
        <f>IFERROR(__xludf.DUMMYFUNCTION("""COMPUTED_VALUE"""),44713.0)</f>
        <v>44713</v>
      </c>
      <c r="C1007" s="207">
        <f>IFERROR(__xludf.DUMMYFUNCTION("""COMPUTED_VALUE"""),0.272037037037037)</f>
        <v>0.272037037</v>
      </c>
      <c r="D1007" s="50"/>
      <c r="E1007" s="58"/>
      <c r="F1007" s="58"/>
      <c r="G1007" s="58" t="str">
        <f>IFERROR(__xludf.DUMMYFUNCTION("""COMPUTED_VALUE"""),"Null")</f>
        <v>Null</v>
      </c>
      <c r="H1007" s="206" t="str">
        <f>IFERROR(__xludf.DUMMYFUNCTION("""COMPUTED_VALUE"""),"Negative")</f>
        <v>Negative</v>
      </c>
      <c r="I1007" s="207">
        <f>IFERROR(__xludf.DUMMYFUNCTION("""COMPUTED_VALUE"""),44713.0)</f>
        <v>44713</v>
      </c>
      <c r="J1007" s="208">
        <f>IFERROR(__xludf.DUMMYFUNCTION("""COMPUTED_VALUE"""),0.3502314814814815)</f>
        <v>0.3502314815</v>
      </c>
      <c r="K1007" s="50">
        <f>IFERROR(__xludf.DUMMYFUNCTION("""COMPUTED_VALUE"""),2.0)</f>
        <v>2</v>
      </c>
      <c r="L1007" s="6"/>
      <c r="M1007" s="55"/>
      <c r="N1007" s="55">
        <f>IFERROR(__xludf.DUMMYFUNCTION("""COMPUTED_VALUE"""),1.0)</f>
        <v>1</v>
      </c>
      <c r="O1007" s="55" t="str">
        <f t="shared" si="3"/>
        <v/>
      </c>
      <c r="P1007" s="209"/>
      <c r="Q1007" s="75" t="b">
        <f>VLOOKUP($B1007,'Run Reconcile'!B$2:P1679,15,FALSE)</f>
        <v>1</v>
      </c>
      <c r="R1007" s="211" t="str">
        <f t="array" ref="R1007">IF($Q1007, INDEX('Run Reconcile'!A$2:A1679,MATCH(B1007,'Run Reconcile'!B$2:B1679,0),1),IFERROR(0/0,""))</f>
        <v>RUN-COMB_2022-06-01_RFR-053</v>
      </c>
      <c r="S1007" s="165" t="str">
        <f t="shared" ref="S1007:T1007" si="2013">IF(COUNTIF(W$2:W1679, $A1007) &gt; 0,TRUE,IFERROR(0/0,""))</f>
        <v/>
      </c>
      <c r="T1007" s="165" t="str">
        <f t="shared" si="2013"/>
        <v/>
      </c>
      <c r="U1007" s="147" t="str">
        <f t="array" ref="U1007">IF(ISBLANK($R1007), IF($S1007,VLOOKUP($B1007+1,'RFR Data - preExcl'!$BF$2:$BG1679,2,FALSE),IF($T1007,INDEX('RFR Data - preExcl'!$BF$2:$BG1679,MATCH($B1007,'RFR Data - preExcl'!$BF$2:$BF1679,0)+1,2),VLOOKUP($B1007,'RFR Data - preExcl'!$BF$2:$BG1679,2,FALSE))),IFERROR(0/0,""))</f>
        <v/>
      </c>
      <c r="V1007" s="212" t="str">
        <f t="shared" si="5"/>
        <v>RUN-COMB_2022-06-01_RFR-053</v>
      </c>
      <c r="W1007" s="51"/>
      <c r="X1007" s="51"/>
      <c r="Y1007" s="147" t="str">
        <f t="shared" ref="Y1007:Z1007" si="2014">IF(_xlfn.ISFORMULA(S1007),IFERROR(0/0,""),TRUE)</f>
        <v/>
      </c>
      <c r="Z1007" s="147" t="str">
        <f t="shared" si="2014"/>
        <v/>
      </c>
    </row>
    <row r="1008">
      <c r="A1008" s="6" t="str">
        <f>IFERROR(__xludf.DUMMYFUNCTION("""COMPUTED_VALUE"""),"FM2607")</f>
        <v>FM2607</v>
      </c>
      <c r="B1008" s="206">
        <f>IFERROR(__xludf.DUMMYFUNCTION("""COMPUTED_VALUE"""),44713.0)</f>
        <v>44713</v>
      </c>
      <c r="C1008" s="207">
        <f>IFERROR(__xludf.DUMMYFUNCTION("""COMPUTED_VALUE"""),0.27241898148148147)</f>
        <v>0.2724189815</v>
      </c>
      <c r="D1008" s="50"/>
      <c r="E1008" s="58"/>
      <c r="F1008" s="58"/>
      <c r="G1008" s="58" t="str">
        <f>IFERROR(__xludf.DUMMYFUNCTION("""COMPUTED_VALUE"""),"Null")</f>
        <v>Null</v>
      </c>
      <c r="H1008" s="206" t="str">
        <f>IFERROR(__xludf.DUMMYFUNCTION("""COMPUTED_VALUE"""),"Negative")</f>
        <v>Negative</v>
      </c>
      <c r="I1008" s="207">
        <f>IFERROR(__xludf.DUMMYFUNCTION("""COMPUTED_VALUE"""),44713.0)</f>
        <v>44713</v>
      </c>
      <c r="J1008" s="208">
        <f>IFERROR(__xludf.DUMMYFUNCTION("""COMPUTED_VALUE"""),0.35024305555555557)</f>
        <v>0.3502430556</v>
      </c>
      <c r="K1008" s="50">
        <f>IFERROR(__xludf.DUMMYFUNCTION("""COMPUTED_VALUE"""),2.0)</f>
        <v>2</v>
      </c>
      <c r="L1008" s="6"/>
      <c r="M1008" s="55"/>
      <c r="N1008" s="55">
        <f>IFERROR(__xludf.DUMMYFUNCTION("""COMPUTED_VALUE"""),1.0)</f>
        <v>1</v>
      </c>
      <c r="O1008" s="55" t="str">
        <f t="shared" si="3"/>
        <v/>
      </c>
      <c r="P1008" s="209"/>
      <c r="Q1008" s="75" t="b">
        <f>VLOOKUP($B1008,'Run Reconcile'!B$2:P1679,15,FALSE)</f>
        <v>1</v>
      </c>
      <c r="R1008" s="211" t="str">
        <f t="array" ref="R1008">IF($Q1008, INDEX('Run Reconcile'!A$2:A1679,MATCH(B1008,'Run Reconcile'!B$2:B1679,0),1),IFERROR(0/0,""))</f>
        <v>RUN-COMB_2022-06-01_RFR-053</v>
      </c>
      <c r="S1008" s="165" t="str">
        <f t="shared" ref="S1008:T1008" si="2015">IF(COUNTIF(W$2:W1679, $A1008) &gt; 0,TRUE,IFERROR(0/0,""))</f>
        <v/>
      </c>
      <c r="T1008" s="165" t="str">
        <f t="shared" si="2015"/>
        <v/>
      </c>
      <c r="U1008" s="147" t="str">
        <f t="array" ref="U1008">IF(ISBLANK($R1008), IF($S1008,VLOOKUP($B1008+1,'RFR Data - preExcl'!$BF$2:$BG1679,2,FALSE),IF($T1008,INDEX('RFR Data - preExcl'!$BF$2:$BG1679,MATCH($B1008,'RFR Data - preExcl'!$BF$2:$BF1679,0)+1,2),VLOOKUP($B1008,'RFR Data - preExcl'!$BF$2:$BG1679,2,FALSE))),IFERROR(0/0,""))</f>
        <v/>
      </c>
      <c r="V1008" s="212" t="str">
        <f t="shared" si="5"/>
        <v>RUN-COMB_2022-06-01_RFR-053</v>
      </c>
      <c r="W1008" s="51"/>
      <c r="X1008" s="51"/>
      <c r="Y1008" s="147" t="str">
        <f t="shared" ref="Y1008:Z1008" si="2016">IF(_xlfn.ISFORMULA(S1008),IFERROR(0/0,""),TRUE)</f>
        <v/>
      </c>
      <c r="Z1008" s="147" t="str">
        <f t="shared" si="2016"/>
        <v/>
      </c>
    </row>
    <row r="1009">
      <c r="A1009" s="6" t="str">
        <f>IFERROR(__xludf.DUMMYFUNCTION("""COMPUTED_VALUE"""),"FM2802")</f>
        <v>FM2802</v>
      </c>
      <c r="B1009" s="206">
        <f>IFERROR(__xludf.DUMMYFUNCTION("""COMPUTED_VALUE"""),44714.0)</f>
        <v>44714</v>
      </c>
      <c r="C1009" s="207">
        <f>IFERROR(__xludf.DUMMYFUNCTION("""COMPUTED_VALUE"""),0.27467592592592593)</f>
        <v>0.2746759259</v>
      </c>
      <c r="D1009" s="50"/>
      <c r="E1009" s="58"/>
      <c r="F1009" s="58"/>
      <c r="G1009" s="58" t="str">
        <f>IFERROR(__xludf.DUMMYFUNCTION("""COMPUTED_VALUE"""),"Null")</f>
        <v>Null</v>
      </c>
      <c r="H1009" s="206" t="str">
        <f>IFERROR(__xludf.DUMMYFUNCTION("""COMPUTED_VALUE"""),"Negative")</f>
        <v>Negative</v>
      </c>
      <c r="I1009" s="207"/>
      <c r="J1009" s="50"/>
      <c r="K1009" s="50">
        <f>IFERROR(__xludf.DUMMYFUNCTION("""COMPUTED_VALUE"""),2.0)</f>
        <v>2</v>
      </c>
      <c r="L1009" s="6"/>
      <c r="M1009" s="55"/>
      <c r="N1009" s="55">
        <f>IFERROR(__xludf.DUMMYFUNCTION("""COMPUTED_VALUE"""),1.0)</f>
        <v>1</v>
      </c>
      <c r="O1009" s="55" t="b">
        <f t="shared" si="3"/>
        <v>1</v>
      </c>
      <c r="P1009" s="209"/>
      <c r="Q1009" s="75" t="b">
        <f>VLOOKUP($B1009,'Run Reconcile'!B$2:P1679,15,FALSE)</f>
        <v>1</v>
      </c>
      <c r="R1009" s="211" t="str">
        <f t="array" ref="R1009">IF($Q1009, INDEX('Run Reconcile'!A$2:A1679,MATCH(B1009,'Run Reconcile'!B$2:B1679,0),1),IFERROR(0/0,""))</f>
        <v>RUN-COMB_2022-06-02_RFR-054</v>
      </c>
      <c r="S1009" s="165" t="str">
        <f t="shared" ref="S1009:T1009" si="2017">IF(COUNTIF(W$2:W1679, $A1009) &gt; 0,TRUE,IFERROR(0/0,""))</f>
        <v/>
      </c>
      <c r="T1009" s="165" t="str">
        <f t="shared" si="2017"/>
        <v/>
      </c>
      <c r="U1009" s="147" t="str">
        <f t="array" ref="U1009">IF(ISBLANK($R1009), IF($S1009,VLOOKUP($B1009+1,'RFR Data - preExcl'!$BF$2:$BG1679,2,FALSE),IF($T1009,INDEX('RFR Data - preExcl'!$BF$2:$BG1679,MATCH($B1009,'RFR Data - preExcl'!$BF$2:$BF1679,0)+1,2),VLOOKUP($B1009,'RFR Data - preExcl'!$BF$2:$BG1679,2,FALSE))),IFERROR(0/0,""))</f>
        <v/>
      </c>
      <c r="V1009" s="212" t="str">
        <f t="shared" si="5"/>
        <v>RUN-COMB_2022-06-02_RFR-054</v>
      </c>
      <c r="W1009" s="51"/>
      <c r="X1009" s="51"/>
      <c r="Y1009" s="147" t="str">
        <f t="shared" ref="Y1009:Z1009" si="2018">IF(_xlfn.ISFORMULA(S1009),IFERROR(0/0,""),TRUE)</f>
        <v/>
      </c>
      <c r="Z1009" s="147" t="str">
        <f t="shared" si="2018"/>
        <v/>
      </c>
    </row>
    <row r="1010">
      <c r="A1010" s="6" t="str">
        <f>IFERROR(__xludf.DUMMYFUNCTION("""COMPUTED_VALUE"""),"FM2807")</f>
        <v>FM2807</v>
      </c>
      <c r="B1010" s="206">
        <f>IFERROR(__xludf.DUMMYFUNCTION("""COMPUTED_VALUE"""),44714.0)</f>
        <v>44714</v>
      </c>
      <c r="C1010" s="207">
        <f>IFERROR(__xludf.DUMMYFUNCTION("""COMPUTED_VALUE"""),0.2750462962962963)</f>
        <v>0.2750462963</v>
      </c>
      <c r="D1010" s="50"/>
      <c r="E1010" s="58"/>
      <c r="F1010" s="58"/>
      <c r="G1010" s="58" t="str">
        <f>IFERROR(__xludf.DUMMYFUNCTION("""COMPUTED_VALUE"""),"Null")</f>
        <v>Null</v>
      </c>
      <c r="H1010" s="206" t="str">
        <f>IFERROR(__xludf.DUMMYFUNCTION("""COMPUTED_VALUE"""),"Negative")</f>
        <v>Negative</v>
      </c>
      <c r="I1010" s="207"/>
      <c r="J1010" s="50"/>
      <c r="K1010" s="50">
        <f>IFERROR(__xludf.DUMMYFUNCTION("""COMPUTED_VALUE"""),2.0)</f>
        <v>2</v>
      </c>
      <c r="L1010" s="6"/>
      <c r="M1010" s="55"/>
      <c r="N1010" s="55">
        <f>IFERROR(__xludf.DUMMYFUNCTION("""COMPUTED_VALUE"""),1.0)</f>
        <v>1</v>
      </c>
      <c r="O1010" s="55" t="str">
        <f t="shared" si="3"/>
        <v/>
      </c>
      <c r="P1010" s="209"/>
      <c r="Q1010" s="75" t="b">
        <f>VLOOKUP($B1010,'Run Reconcile'!B$2:P1679,15,FALSE)</f>
        <v>1</v>
      </c>
      <c r="R1010" s="211" t="str">
        <f t="array" ref="R1010">IF($Q1010, INDEX('Run Reconcile'!A$2:A1679,MATCH(B1010,'Run Reconcile'!B$2:B1679,0),1),IFERROR(0/0,""))</f>
        <v>RUN-COMB_2022-06-02_RFR-054</v>
      </c>
      <c r="S1010" s="165" t="str">
        <f t="shared" ref="S1010:T1010" si="2019">IF(COUNTIF(W$2:W1679, $A1010) &gt; 0,TRUE,IFERROR(0/0,""))</f>
        <v/>
      </c>
      <c r="T1010" s="165" t="str">
        <f t="shared" si="2019"/>
        <v/>
      </c>
      <c r="U1010" s="147" t="str">
        <f t="array" ref="U1010">IF(ISBLANK($R1010), IF($S1010,VLOOKUP($B1010+1,'RFR Data - preExcl'!$BF$2:$BG1679,2,FALSE),IF($T1010,INDEX('RFR Data - preExcl'!$BF$2:$BG1679,MATCH($B1010,'RFR Data - preExcl'!$BF$2:$BF1679,0)+1,2),VLOOKUP($B1010,'RFR Data - preExcl'!$BF$2:$BG1679,2,FALSE))),IFERROR(0/0,""))</f>
        <v/>
      </c>
      <c r="V1010" s="212" t="str">
        <f t="shared" si="5"/>
        <v>RUN-COMB_2022-06-02_RFR-054</v>
      </c>
      <c r="W1010" s="51"/>
      <c r="X1010" s="51"/>
      <c r="Y1010" s="147" t="str">
        <f t="shared" ref="Y1010:Z1010" si="2020">IF(_xlfn.ISFORMULA(S1010),IFERROR(0/0,""),TRUE)</f>
        <v/>
      </c>
      <c r="Z1010" s="147" t="str">
        <f t="shared" si="2020"/>
        <v/>
      </c>
    </row>
    <row r="1011">
      <c r="A1011" s="6" t="str">
        <f>IFERROR(__xludf.DUMMYFUNCTION("""COMPUTED_VALUE"""),"FM2850")</f>
        <v>FM2850</v>
      </c>
      <c r="B1011" s="206">
        <f>IFERROR(__xludf.DUMMYFUNCTION("""COMPUTED_VALUE"""),44714.0)</f>
        <v>44714</v>
      </c>
      <c r="C1011" s="207">
        <f>IFERROR(__xludf.DUMMYFUNCTION("""COMPUTED_VALUE"""),0.27545138888888887)</f>
        <v>0.2754513889</v>
      </c>
      <c r="D1011" s="50"/>
      <c r="E1011" s="58"/>
      <c r="F1011" s="58"/>
      <c r="G1011" s="58" t="str">
        <f>IFERROR(__xludf.DUMMYFUNCTION("""COMPUTED_VALUE"""),"Null")</f>
        <v>Null</v>
      </c>
      <c r="H1011" s="206" t="str">
        <f>IFERROR(__xludf.DUMMYFUNCTION("""COMPUTED_VALUE"""),"Negative")</f>
        <v>Negative</v>
      </c>
      <c r="I1011" s="207"/>
      <c r="J1011" s="50"/>
      <c r="K1011" s="50">
        <f>IFERROR(__xludf.DUMMYFUNCTION("""COMPUTED_VALUE"""),2.0)</f>
        <v>2</v>
      </c>
      <c r="L1011" s="6"/>
      <c r="M1011" s="55"/>
      <c r="N1011" s="55">
        <f>IFERROR(__xludf.DUMMYFUNCTION("""COMPUTED_VALUE"""),1.0)</f>
        <v>1</v>
      </c>
      <c r="O1011" s="55" t="str">
        <f t="shared" si="3"/>
        <v/>
      </c>
      <c r="P1011" s="209"/>
      <c r="Q1011" s="75" t="b">
        <f>VLOOKUP($B1011,'Run Reconcile'!B$2:P1679,15,FALSE)</f>
        <v>1</v>
      </c>
      <c r="R1011" s="211" t="str">
        <f t="array" ref="R1011">IF($Q1011, INDEX('Run Reconcile'!A$2:A1679,MATCH(B1011,'Run Reconcile'!B$2:B1679,0),1),IFERROR(0/0,""))</f>
        <v>RUN-COMB_2022-06-02_RFR-054</v>
      </c>
      <c r="S1011" s="165" t="str">
        <f t="shared" ref="S1011:T1011" si="2021">IF(COUNTIF(W$2:W1679, $A1011) &gt; 0,TRUE,IFERROR(0/0,""))</f>
        <v/>
      </c>
      <c r="T1011" s="165" t="str">
        <f t="shared" si="2021"/>
        <v/>
      </c>
      <c r="U1011" s="147" t="str">
        <f t="array" ref="U1011">IF(ISBLANK($R1011), IF($S1011,VLOOKUP($B1011+1,'RFR Data - preExcl'!$BF$2:$BG1679,2,FALSE),IF($T1011,INDEX('RFR Data - preExcl'!$BF$2:$BG1679,MATCH($B1011,'RFR Data - preExcl'!$BF$2:$BF1679,0)+1,2),VLOOKUP($B1011,'RFR Data - preExcl'!$BF$2:$BG1679,2,FALSE))),IFERROR(0/0,""))</f>
        <v/>
      </c>
      <c r="V1011" s="212" t="str">
        <f t="shared" si="5"/>
        <v>RUN-COMB_2022-06-02_RFR-054</v>
      </c>
      <c r="W1011" s="51"/>
      <c r="X1011" s="51"/>
      <c r="Y1011" s="147" t="str">
        <f t="shared" ref="Y1011:Z1011" si="2022">IF(_xlfn.ISFORMULA(S1011),IFERROR(0/0,""),TRUE)</f>
        <v/>
      </c>
      <c r="Z1011" s="147" t="str">
        <f t="shared" si="2022"/>
        <v/>
      </c>
    </row>
    <row r="1012">
      <c r="A1012" s="6" t="str">
        <f>IFERROR(__xludf.DUMMYFUNCTION("""COMPUTED_VALUE"""),"FM2825")</f>
        <v>FM2825</v>
      </c>
      <c r="B1012" s="206">
        <f>IFERROR(__xludf.DUMMYFUNCTION("""COMPUTED_VALUE"""),44714.0)</f>
        <v>44714</v>
      </c>
      <c r="C1012" s="207">
        <f>IFERROR(__xludf.DUMMYFUNCTION("""COMPUTED_VALUE"""),0.2758333333333333)</f>
        <v>0.2758333333</v>
      </c>
      <c r="D1012" s="50"/>
      <c r="E1012" s="58"/>
      <c r="F1012" s="58"/>
      <c r="G1012" s="58" t="str">
        <f>IFERROR(__xludf.DUMMYFUNCTION("""COMPUTED_VALUE"""),"Null")</f>
        <v>Null</v>
      </c>
      <c r="H1012" s="206" t="str">
        <f>IFERROR(__xludf.DUMMYFUNCTION("""COMPUTED_VALUE"""),"Negative")</f>
        <v>Negative</v>
      </c>
      <c r="I1012" s="207"/>
      <c r="J1012" s="50"/>
      <c r="K1012" s="50">
        <f>IFERROR(__xludf.DUMMYFUNCTION("""COMPUTED_VALUE"""),2.0)</f>
        <v>2</v>
      </c>
      <c r="L1012" s="6"/>
      <c r="M1012" s="55"/>
      <c r="N1012" s="55">
        <f>IFERROR(__xludf.DUMMYFUNCTION("""COMPUTED_VALUE"""),1.0)</f>
        <v>1</v>
      </c>
      <c r="O1012" s="55" t="str">
        <f t="shared" si="3"/>
        <v/>
      </c>
      <c r="P1012" s="209"/>
      <c r="Q1012" s="75" t="b">
        <f>VLOOKUP($B1012,'Run Reconcile'!B$2:P1679,15,FALSE)</f>
        <v>1</v>
      </c>
      <c r="R1012" s="211" t="str">
        <f t="array" ref="R1012">IF($Q1012, INDEX('Run Reconcile'!A$2:A1679,MATCH(B1012,'Run Reconcile'!B$2:B1679,0),1),IFERROR(0/0,""))</f>
        <v>RUN-COMB_2022-06-02_RFR-054</v>
      </c>
      <c r="S1012" s="165" t="str">
        <f t="shared" ref="S1012:T1012" si="2023">IF(COUNTIF(W$2:W1679, $A1012) &gt; 0,TRUE,IFERROR(0/0,""))</f>
        <v/>
      </c>
      <c r="T1012" s="165" t="str">
        <f t="shared" si="2023"/>
        <v/>
      </c>
      <c r="U1012" s="147" t="str">
        <f t="array" ref="U1012">IF(ISBLANK($R1012), IF($S1012,VLOOKUP($B1012+1,'RFR Data - preExcl'!$BF$2:$BG1679,2,FALSE),IF($T1012,INDEX('RFR Data - preExcl'!$BF$2:$BG1679,MATCH($B1012,'RFR Data - preExcl'!$BF$2:$BF1679,0)+1,2),VLOOKUP($B1012,'RFR Data - preExcl'!$BF$2:$BG1679,2,FALSE))),IFERROR(0/0,""))</f>
        <v/>
      </c>
      <c r="V1012" s="212" t="str">
        <f t="shared" si="5"/>
        <v>RUN-COMB_2022-06-02_RFR-054</v>
      </c>
      <c r="W1012" s="51"/>
      <c r="X1012" s="51"/>
      <c r="Y1012" s="147" t="str">
        <f t="shared" ref="Y1012:Z1012" si="2024">IF(_xlfn.ISFORMULA(S1012),IFERROR(0/0,""),TRUE)</f>
        <v/>
      </c>
      <c r="Z1012" s="147" t="str">
        <f t="shared" si="2024"/>
        <v/>
      </c>
    </row>
    <row r="1013">
      <c r="A1013" s="6" t="str">
        <f>IFERROR(__xludf.DUMMYFUNCTION("""COMPUTED_VALUE"""),"FM2823")</f>
        <v>FM2823</v>
      </c>
      <c r="B1013" s="206">
        <f>IFERROR(__xludf.DUMMYFUNCTION("""COMPUTED_VALUE"""),44714.0)</f>
        <v>44714</v>
      </c>
      <c r="C1013" s="207">
        <f>IFERROR(__xludf.DUMMYFUNCTION("""COMPUTED_VALUE"""),0.27619212962962963)</f>
        <v>0.2761921296</v>
      </c>
      <c r="D1013" s="50"/>
      <c r="E1013" s="58"/>
      <c r="F1013" s="58"/>
      <c r="G1013" s="58" t="str">
        <f>IFERROR(__xludf.DUMMYFUNCTION("""COMPUTED_VALUE"""),"Null")</f>
        <v>Null</v>
      </c>
      <c r="H1013" s="206" t="str">
        <f>IFERROR(__xludf.DUMMYFUNCTION("""COMPUTED_VALUE"""),"Negative")</f>
        <v>Negative</v>
      </c>
      <c r="I1013" s="207"/>
      <c r="J1013" s="50"/>
      <c r="K1013" s="50">
        <f>IFERROR(__xludf.DUMMYFUNCTION("""COMPUTED_VALUE"""),2.0)</f>
        <v>2</v>
      </c>
      <c r="L1013" s="6"/>
      <c r="M1013" s="55"/>
      <c r="N1013" s="55">
        <f>IFERROR(__xludf.DUMMYFUNCTION("""COMPUTED_VALUE"""),1.0)</f>
        <v>1</v>
      </c>
      <c r="O1013" s="55" t="str">
        <f t="shared" si="3"/>
        <v/>
      </c>
      <c r="P1013" s="209"/>
      <c r="Q1013" s="75" t="b">
        <f>VLOOKUP($B1013,'Run Reconcile'!B$2:P1679,15,FALSE)</f>
        <v>1</v>
      </c>
      <c r="R1013" s="211" t="str">
        <f t="array" ref="R1013">IF($Q1013, INDEX('Run Reconcile'!A$2:A1679,MATCH(B1013,'Run Reconcile'!B$2:B1679,0),1),IFERROR(0/0,""))</f>
        <v>RUN-COMB_2022-06-02_RFR-054</v>
      </c>
      <c r="S1013" s="165" t="str">
        <f t="shared" ref="S1013:T1013" si="2025">IF(COUNTIF(W$2:W1679, $A1013) &gt; 0,TRUE,IFERROR(0/0,""))</f>
        <v/>
      </c>
      <c r="T1013" s="165" t="str">
        <f t="shared" si="2025"/>
        <v/>
      </c>
      <c r="U1013" s="147" t="str">
        <f t="array" ref="U1013">IF(ISBLANK($R1013), IF($S1013,VLOOKUP($B1013+1,'RFR Data - preExcl'!$BF$2:$BG1679,2,FALSE),IF($T1013,INDEX('RFR Data - preExcl'!$BF$2:$BG1679,MATCH($B1013,'RFR Data - preExcl'!$BF$2:$BF1679,0)+1,2),VLOOKUP($B1013,'RFR Data - preExcl'!$BF$2:$BG1679,2,FALSE))),IFERROR(0/0,""))</f>
        <v/>
      </c>
      <c r="V1013" s="212" t="str">
        <f t="shared" si="5"/>
        <v>RUN-COMB_2022-06-02_RFR-054</v>
      </c>
      <c r="W1013" s="51"/>
      <c r="X1013" s="51"/>
      <c r="Y1013" s="147" t="str">
        <f t="shared" ref="Y1013:Z1013" si="2026">IF(_xlfn.ISFORMULA(S1013),IFERROR(0/0,""),TRUE)</f>
        <v/>
      </c>
      <c r="Z1013" s="147" t="str">
        <f t="shared" si="2026"/>
        <v/>
      </c>
    </row>
    <row r="1014">
      <c r="A1014" s="6" t="str">
        <f>IFERROR(__xludf.DUMMYFUNCTION("""COMPUTED_VALUE"""),"FM2652")</f>
        <v>FM2652</v>
      </c>
      <c r="B1014" s="206">
        <f>IFERROR(__xludf.DUMMYFUNCTION("""COMPUTED_VALUE"""),44714.0)</f>
        <v>44714</v>
      </c>
      <c r="C1014" s="207">
        <f>IFERROR(__xludf.DUMMYFUNCTION("""COMPUTED_VALUE"""),0.27666666666666667)</f>
        <v>0.2766666667</v>
      </c>
      <c r="D1014" s="50"/>
      <c r="E1014" s="58"/>
      <c r="F1014" s="58"/>
      <c r="G1014" s="58" t="str">
        <f>IFERROR(__xludf.DUMMYFUNCTION("""COMPUTED_VALUE"""),"Null")</f>
        <v>Null</v>
      </c>
      <c r="H1014" s="206" t="str">
        <f>IFERROR(__xludf.DUMMYFUNCTION("""COMPUTED_VALUE"""),"Negative")</f>
        <v>Negative</v>
      </c>
      <c r="I1014" s="207"/>
      <c r="J1014" s="50"/>
      <c r="K1014" s="50">
        <f>IFERROR(__xludf.DUMMYFUNCTION("""COMPUTED_VALUE"""),2.0)</f>
        <v>2</v>
      </c>
      <c r="L1014" s="6"/>
      <c r="M1014" s="55"/>
      <c r="N1014" s="55">
        <f>IFERROR(__xludf.DUMMYFUNCTION("""COMPUTED_VALUE"""),1.0)</f>
        <v>1</v>
      </c>
      <c r="O1014" s="55" t="str">
        <f t="shared" si="3"/>
        <v/>
      </c>
      <c r="P1014" s="209"/>
      <c r="Q1014" s="75" t="b">
        <f>VLOOKUP($B1014,'Run Reconcile'!B$2:P1679,15,FALSE)</f>
        <v>1</v>
      </c>
      <c r="R1014" s="211" t="str">
        <f t="array" ref="R1014">IF($Q1014, INDEX('Run Reconcile'!A$2:A1679,MATCH(B1014,'Run Reconcile'!B$2:B1679,0),1),IFERROR(0/0,""))</f>
        <v>RUN-COMB_2022-06-02_RFR-054</v>
      </c>
      <c r="S1014" s="165" t="str">
        <f t="shared" ref="S1014:T1014" si="2027">IF(COUNTIF(W$2:W1679, $A1014) &gt; 0,TRUE,IFERROR(0/0,""))</f>
        <v/>
      </c>
      <c r="T1014" s="165" t="str">
        <f t="shared" si="2027"/>
        <v/>
      </c>
      <c r="U1014" s="147" t="str">
        <f t="array" ref="U1014">IF(ISBLANK($R1014), IF($S1014,VLOOKUP($B1014+1,'RFR Data - preExcl'!$BF$2:$BG1679,2,FALSE),IF($T1014,INDEX('RFR Data - preExcl'!$BF$2:$BG1679,MATCH($B1014,'RFR Data - preExcl'!$BF$2:$BF1679,0)+1,2),VLOOKUP($B1014,'RFR Data - preExcl'!$BF$2:$BG1679,2,FALSE))),IFERROR(0/0,""))</f>
        <v/>
      </c>
      <c r="V1014" s="212" t="str">
        <f t="shared" si="5"/>
        <v>RUN-COMB_2022-06-02_RFR-054</v>
      </c>
      <c r="W1014" s="51"/>
      <c r="X1014" s="51"/>
      <c r="Y1014" s="147" t="str">
        <f t="shared" ref="Y1014:Z1014" si="2028">IF(_xlfn.ISFORMULA(S1014),IFERROR(0/0,""),TRUE)</f>
        <v/>
      </c>
      <c r="Z1014" s="147" t="str">
        <f t="shared" si="2028"/>
        <v/>
      </c>
    </row>
    <row r="1015">
      <c r="A1015" s="6" t="str">
        <f>IFERROR(__xludf.DUMMYFUNCTION("""COMPUTED_VALUE"""),"FM2866")</f>
        <v>FM2866</v>
      </c>
      <c r="B1015" s="206">
        <f>IFERROR(__xludf.DUMMYFUNCTION("""COMPUTED_VALUE"""),44714.0)</f>
        <v>44714</v>
      </c>
      <c r="C1015" s="207">
        <f>IFERROR(__xludf.DUMMYFUNCTION("""COMPUTED_VALUE"""),0.2771064814814815)</f>
        <v>0.2771064815</v>
      </c>
      <c r="D1015" s="50"/>
      <c r="E1015" s="58"/>
      <c r="F1015" s="58"/>
      <c r="G1015" s="58" t="str">
        <f>IFERROR(__xludf.DUMMYFUNCTION("""COMPUTED_VALUE"""),"Null")</f>
        <v>Null</v>
      </c>
      <c r="H1015" s="206" t="str">
        <f>IFERROR(__xludf.DUMMYFUNCTION("""COMPUTED_VALUE"""),"Negative")</f>
        <v>Negative</v>
      </c>
      <c r="I1015" s="207"/>
      <c r="J1015" s="50"/>
      <c r="K1015" s="50">
        <f>IFERROR(__xludf.DUMMYFUNCTION("""COMPUTED_VALUE"""),2.0)</f>
        <v>2</v>
      </c>
      <c r="L1015" s="6"/>
      <c r="M1015" s="55"/>
      <c r="N1015" s="55">
        <f>IFERROR(__xludf.DUMMYFUNCTION("""COMPUTED_VALUE"""),1.0)</f>
        <v>1</v>
      </c>
      <c r="O1015" s="55" t="str">
        <f t="shared" si="3"/>
        <v/>
      </c>
      <c r="P1015" s="209"/>
      <c r="Q1015" s="75" t="b">
        <f>VLOOKUP($B1015,'Run Reconcile'!B$2:P1679,15,FALSE)</f>
        <v>1</v>
      </c>
      <c r="R1015" s="211" t="str">
        <f t="array" ref="R1015">IF($Q1015, INDEX('Run Reconcile'!A$2:A1679,MATCH(B1015,'Run Reconcile'!B$2:B1679,0),1),IFERROR(0/0,""))</f>
        <v>RUN-COMB_2022-06-02_RFR-054</v>
      </c>
      <c r="S1015" s="165" t="str">
        <f t="shared" ref="S1015:T1015" si="2029">IF(COUNTIF(W$2:W1679, $A1015) &gt; 0,TRUE,IFERROR(0/0,""))</f>
        <v/>
      </c>
      <c r="T1015" s="165" t="str">
        <f t="shared" si="2029"/>
        <v/>
      </c>
      <c r="U1015" s="147" t="str">
        <f t="array" ref="U1015">IF(ISBLANK($R1015), IF($S1015,VLOOKUP($B1015+1,'RFR Data - preExcl'!$BF$2:$BG1679,2,FALSE),IF($T1015,INDEX('RFR Data - preExcl'!$BF$2:$BG1679,MATCH($B1015,'RFR Data - preExcl'!$BF$2:$BF1679,0)+1,2),VLOOKUP($B1015,'RFR Data - preExcl'!$BF$2:$BG1679,2,FALSE))),IFERROR(0/0,""))</f>
        <v/>
      </c>
      <c r="V1015" s="212" t="str">
        <f t="shared" si="5"/>
        <v>RUN-COMB_2022-06-02_RFR-054</v>
      </c>
      <c r="W1015" s="51"/>
      <c r="X1015" s="51"/>
      <c r="Y1015" s="147" t="str">
        <f t="shared" ref="Y1015:Z1015" si="2030">IF(_xlfn.ISFORMULA(S1015),IFERROR(0/0,""),TRUE)</f>
        <v/>
      </c>
      <c r="Z1015" s="147" t="str">
        <f t="shared" si="2030"/>
        <v/>
      </c>
    </row>
    <row r="1016">
      <c r="A1016" s="6" t="str">
        <f>IFERROR(__xludf.DUMMYFUNCTION("""COMPUTED_VALUE"""),"FM2803")</f>
        <v>FM2803</v>
      </c>
      <c r="B1016" s="206">
        <f>IFERROR(__xludf.DUMMYFUNCTION("""COMPUTED_VALUE"""),44714.0)</f>
        <v>44714</v>
      </c>
      <c r="C1016" s="207">
        <f>IFERROR(__xludf.DUMMYFUNCTION("""COMPUTED_VALUE"""),0.27747685185185184)</f>
        <v>0.2774768519</v>
      </c>
      <c r="D1016" s="50"/>
      <c r="E1016" s="58"/>
      <c r="F1016" s="58"/>
      <c r="G1016" s="58" t="str">
        <f>IFERROR(__xludf.DUMMYFUNCTION("""COMPUTED_VALUE"""),"Null")</f>
        <v>Null</v>
      </c>
      <c r="H1016" s="206" t="str">
        <f>IFERROR(__xludf.DUMMYFUNCTION("""COMPUTED_VALUE"""),"Negative")</f>
        <v>Negative</v>
      </c>
      <c r="I1016" s="207"/>
      <c r="J1016" s="50"/>
      <c r="K1016" s="50">
        <f>IFERROR(__xludf.DUMMYFUNCTION("""COMPUTED_VALUE"""),2.0)</f>
        <v>2</v>
      </c>
      <c r="L1016" s="6"/>
      <c r="M1016" s="55"/>
      <c r="N1016" s="55">
        <f>IFERROR(__xludf.DUMMYFUNCTION("""COMPUTED_VALUE"""),1.0)</f>
        <v>1</v>
      </c>
      <c r="O1016" s="55" t="str">
        <f t="shared" si="3"/>
        <v/>
      </c>
      <c r="P1016" s="209"/>
      <c r="Q1016" s="75" t="b">
        <f>VLOOKUP($B1016,'Run Reconcile'!B$2:P1679,15,FALSE)</f>
        <v>1</v>
      </c>
      <c r="R1016" s="211" t="str">
        <f t="array" ref="R1016">IF($Q1016, INDEX('Run Reconcile'!A$2:A1679,MATCH(B1016,'Run Reconcile'!B$2:B1679,0),1),IFERROR(0/0,""))</f>
        <v>RUN-COMB_2022-06-02_RFR-054</v>
      </c>
      <c r="S1016" s="165" t="str">
        <f t="shared" ref="S1016:T1016" si="2031">IF(COUNTIF(W$2:W1679, $A1016) &gt; 0,TRUE,IFERROR(0/0,""))</f>
        <v/>
      </c>
      <c r="T1016" s="165" t="str">
        <f t="shared" si="2031"/>
        <v/>
      </c>
      <c r="U1016" s="147" t="str">
        <f t="array" ref="U1016">IF(ISBLANK($R1016), IF($S1016,VLOOKUP($B1016+1,'RFR Data - preExcl'!$BF$2:$BG1679,2,FALSE),IF($T1016,INDEX('RFR Data - preExcl'!$BF$2:$BG1679,MATCH($B1016,'RFR Data - preExcl'!$BF$2:$BF1679,0)+1,2),VLOOKUP($B1016,'RFR Data - preExcl'!$BF$2:$BG1679,2,FALSE))),IFERROR(0/0,""))</f>
        <v/>
      </c>
      <c r="V1016" s="212" t="str">
        <f t="shared" si="5"/>
        <v>RUN-COMB_2022-06-02_RFR-054</v>
      </c>
      <c r="W1016" s="51"/>
      <c r="X1016" s="51"/>
      <c r="Y1016" s="147" t="str">
        <f t="shared" ref="Y1016:Z1016" si="2032">IF(_xlfn.ISFORMULA(S1016),IFERROR(0/0,""),TRUE)</f>
        <v/>
      </c>
      <c r="Z1016" s="147" t="str">
        <f t="shared" si="2032"/>
        <v/>
      </c>
    </row>
    <row r="1017">
      <c r="A1017" s="6" t="str">
        <f>IFERROR(__xludf.DUMMYFUNCTION("""COMPUTED_VALUE"""),"FM2867")</f>
        <v>FM2867</v>
      </c>
      <c r="B1017" s="206">
        <f>IFERROR(__xludf.DUMMYFUNCTION("""COMPUTED_VALUE"""),44714.0)</f>
        <v>44714</v>
      </c>
      <c r="C1017" s="207">
        <f>IFERROR(__xludf.DUMMYFUNCTION("""COMPUTED_VALUE"""),0.2786689814814815)</f>
        <v>0.2786689815</v>
      </c>
      <c r="D1017" s="50"/>
      <c r="E1017" s="58"/>
      <c r="F1017" s="58"/>
      <c r="G1017" s="58" t="str">
        <f>IFERROR(__xludf.DUMMYFUNCTION("""COMPUTED_VALUE"""),"Null")</f>
        <v>Null</v>
      </c>
      <c r="H1017" s="206" t="str">
        <f>IFERROR(__xludf.DUMMYFUNCTION("""COMPUTED_VALUE"""),"Negative")</f>
        <v>Negative</v>
      </c>
      <c r="I1017" s="207"/>
      <c r="J1017" s="50"/>
      <c r="K1017" s="50">
        <f>IFERROR(__xludf.DUMMYFUNCTION("""COMPUTED_VALUE"""),2.0)</f>
        <v>2</v>
      </c>
      <c r="L1017" s="6"/>
      <c r="M1017" s="55"/>
      <c r="N1017" s="55">
        <f>IFERROR(__xludf.DUMMYFUNCTION("""COMPUTED_VALUE"""),1.0)</f>
        <v>1</v>
      </c>
      <c r="O1017" s="55" t="str">
        <f t="shared" si="3"/>
        <v/>
      </c>
      <c r="P1017" s="209"/>
      <c r="Q1017" s="75" t="b">
        <f>VLOOKUP($B1017,'Run Reconcile'!B$2:P1679,15,FALSE)</f>
        <v>1</v>
      </c>
      <c r="R1017" s="211" t="str">
        <f t="array" ref="R1017">IF($Q1017, INDEX('Run Reconcile'!A$2:A1679,MATCH(B1017,'Run Reconcile'!B$2:B1679,0),1),IFERROR(0/0,""))</f>
        <v>RUN-COMB_2022-06-02_RFR-054</v>
      </c>
      <c r="S1017" s="165" t="str">
        <f t="shared" ref="S1017:T1017" si="2033">IF(COUNTIF(W$2:W1679, $A1017) &gt; 0,TRUE,IFERROR(0/0,""))</f>
        <v/>
      </c>
      <c r="T1017" s="165" t="str">
        <f t="shared" si="2033"/>
        <v/>
      </c>
      <c r="U1017" s="147" t="str">
        <f t="array" ref="U1017">IF(ISBLANK($R1017), IF($S1017,VLOOKUP($B1017+1,'RFR Data - preExcl'!$BF$2:$BG1679,2,FALSE),IF($T1017,INDEX('RFR Data - preExcl'!$BF$2:$BG1679,MATCH($B1017,'RFR Data - preExcl'!$BF$2:$BF1679,0)+1,2),VLOOKUP($B1017,'RFR Data - preExcl'!$BF$2:$BG1679,2,FALSE))),IFERROR(0/0,""))</f>
        <v/>
      </c>
      <c r="V1017" s="212" t="str">
        <f t="shared" si="5"/>
        <v>RUN-COMB_2022-06-02_RFR-054</v>
      </c>
      <c r="W1017" s="51"/>
      <c r="X1017" s="51"/>
      <c r="Y1017" s="147" t="str">
        <f t="shared" ref="Y1017:Z1017" si="2034">IF(_xlfn.ISFORMULA(S1017),IFERROR(0/0,""),TRUE)</f>
        <v/>
      </c>
      <c r="Z1017" s="147" t="str">
        <f t="shared" si="2034"/>
        <v/>
      </c>
    </row>
    <row r="1018">
      <c r="A1018" s="6" t="str">
        <f>IFERROR(__xludf.DUMMYFUNCTION("""COMPUTED_VALUE"""),"FM2656")</f>
        <v>FM2656</v>
      </c>
      <c r="B1018" s="206">
        <f>IFERROR(__xludf.DUMMYFUNCTION("""COMPUTED_VALUE"""),44714.0)</f>
        <v>44714</v>
      </c>
      <c r="C1018" s="207">
        <f>IFERROR(__xludf.DUMMYFUNCTION("""COMPUTED_VALUE"""),0.2790972222222222)</f>
        <v>0.2790972222</v>
      </c>
      <c r="D1018" s="50"/>
      <c r="E1018" s="58"/>
      <c r="F1018" s="58"/>
      <c r="G1018" s="58" t="str">
        <f>IFERROR(__xludf.DUMMYFUNCTION("""COMPUTED_VALUE"""),"Null")</f>
        <v>Null</v>
      </c>
      <c r="H1018" s="206" t="str">
        <f>IFERROR(__xludf.DUMMYFUNCTION("""COMPUTED_VALUE"""),"Negative")</f>
        <v>Negative</v>
      </c>
      <c r="I1018" s="207"/>
      <c r="J1018" s="50"/>
      <c r="K1018" s="50">
        <f>IFERROR(__xludf.DUMMYFUNCTION("""COMPUTED_VALUE"""),2.0)</f>
        <v>2</v>
      </c>
      <c r="L1018" s="6"/>
      <c r="M1018" s="55"/>
      <c r="N1018" s="55">
        <f>IFERROR(__xludf.DUMMYFUNCTION("""COMPUTED_VALUE"""),1.0)</f>
        <v>1</v>
      </c>
      <c r="O1018" s="55" t="str">
        <f t="shared" si="3"/>
        <v/>
      </c>
      <c r="P1018" s="209"/>
      <c r="Q1018" s="75" t="b">
        <f>VLOOKUP($B1018,'Run Reconcile'!B$2:P1679,15,FALSE)</f>
        <v>1</v>
      </c>
      <c r="R1018" s="211" t="str">
        <f t="array" ref="R1018">IF($Q1018, INDEX('Run Reconcile'!A$2:A1679,MATCH(B1018,'Run Reconcile'!B$2:B1679,0),1),IFERROR(0/0,""))</f>
        <v>RUN-COMB_2022-06-02_RFR-054</v>
      </c>
      <c r="S1018" s="165" t="str">
        <f t="shared" ref="S1018:T1018" si="2035">IF(COUNTIF(W$2:W1679, $A1018) &gt; 0,TRUE,IFERROR(0/0,""))</f>
        <v/>
      </c>
      <c r="T1018" s="165" t="str">
        <f t="shared" si="2035"/>
        <v/>
      </c>
      <c r="U1018" s="147" t="str">
        <f t="array" ref="U1018">IF(ISBLANK($R1018), IF($S1018,VLOOKUP($B1018+1,'RFR Data - preExcl'!$BF$2:$BG1679,2,FALSE),IF($T1018,INDEX('RFR Data - preExcl'!$BF$2:$BG1679,MATCH($B1018,'RFR Data - preExcl'!$BF$2:$BF1679,0)+1,2),VLOOKUP($B1018,'RFR Data - preExcl'!$BF$2:$BG1679,2,FALSE))),IFERROR(0/0,""))</f>
        <v/>
      </c>
      <c r="V1018" s="212" t="str">
        <f t="shared" si="5"/>
        <v>RUN-COMB_2022-06-02_RFR-054</v>
      </c>
      <c r="W1018" s="51"/>
      <c r="X1018" s="51"/>
      <c r="Y1018" s="147" t="str">
        <f t="shared" ref="Y1018:Z1018" si="2036">IF(_xlfn.ISFORMULA(S1018),IFERROR(0/0,""),TRUE)</f>
        <v/>
      </c>
      <c r="Z1018" s="147" t="str">
        <f t="shared" si="2036"/>
        <v/>
      </c>
    </row>
    <row r="1019">
      <c r="A1019" s="6" t="str">
        <f>IFERROR(__xludf.DUMMYFUNCTION("""COMPUTED_VALUE"""),"FM2875")</f>
        <v>FM2875</v>
      </c>
      <c r="B1019" s="206">
        <f>IFERROR(__xludf.DUMMYFUNCTION("""COMPUTED_VALUE"""),44714.0)</f>
        <v>44714</v>
      </c>
      <c r="C1019" s="207">
        <f>IFERROR(__xludf.DUMMYFUNCTION("""COMPUTED_VALUE"""),0.27947916666666667)</f>
        <v>0.2794791667</v>
      </c>
      <c r="D1019" s="50"/>
      <c r="E1019" s="58"/>
      <c r="F1019" s="58"/>
      <c r="G1019" s="58" t="str">
        <f>IFERROR(__xludf.DUMMYFUNCTION("""COMPUTED_VALUE"""),"Null")</f>
        <v>Null</v>
      </c>
      <c r="H1019" s="206" t="str">
        <f>IFERROR(__xludf.DUMMYFUNCTION("""COMPUTED_VALUE"""),"Negative")</f>
        <v>Negative</v>
      </c>
      <c r="I1019" s="207"/>
      <c r="J1019" s="50"/>
      <c r="K1019" s="50">
        <f>IFERROR(__xludf.DUMMYFUNCTION("""COMPUTED_VALUE"""),2.0)</f>
        <v>2</v>
      </c>
      <c r="L1019" s="6"/>
      <c r="M1019" s="55"/>
      <c r="N1019" s="55">
        <f>IFERROR(__xludf.DUMMYFUNCTION("""COMPUTED_VALUE"""),1.0)</f>
        <v>1</v>
      </c>
      <c r="O1019" s="55" t="str">
        <f t="shared" si="3"/>
        <v/>
      </c>
      <c r="P1019" s="209"/>
      <c r="Q1019" s="75" t="b">
        <f>VLOOKUP($B1019,'Run Reconcile'!B$2:P1679,15,FALSE)</f>
        <v>1</v>
      </c>
      <c r="R1019" s="211" t="str">
        <f t="array" ref="R1019">IF($Q1019, INDEX('Run Reconcile'!A$2:A1679,MATCH(B1019,'Run Reconcile'!B$2:B1679,0),1),IFERROR(0/0,""))</f>
        <v>RUN-COMB_2022-06-02_RFR-054</v>
      </c>
      <c r="S1019" s="165" t="str">
        <f t="shared" ref="S1019:T1019" si="2037">IF(COUNTIF(W$2:W1679, $A1019) &gt; 0,TRUE,IFERROR(0/0,""))</f>
        <v/>
      </c>
      <c r="T1019" s="165" t="str">
        <f t="shared" si="2037"/>
        <v/>
      </c>
      <c r="U1019" s="147" t="str">
        <f t="array" ref="U1019">IF(ISBLANK($R1019), IF($S1019,VLOOKUP($B1019+1,'RFR Data - preExcl'!$BF$2:$BG1679,2,FALSE),IF($T1019,INDEX('RFR Data - preExcl'!$BF$2:$BG1679,MATCH($B1019,'RFR Data - preExcl'!$BF$2:$BF1679,0)+1,2),VLOOKUP($B1019,'RFR Data - preExcl'!$BF$2:$BG1679,2,FALSE))),IFERROR(0/0,""))</f>
        <v/>
      </c>
      <c r="V1019" s="212" t="str">
        <f t="shared" si="5"/>
        <v>RUN-COMB_2022-06-02_RFR-054</v>
      </c>
      <c r="W1019" s="51"/>
      <c r="X1019" s="51"/>
      <c r="Y1019" s="147" t="str">
        <f t="shared" ref="Y1019:Z1019" si="2038">IF(_xlfn.ISFORMULA(S1019),IFERROR(0/0,""),TRUE)</f>
        <v/>
      </c>
      <c r="Z1019" s="147" t="str">
        <f t="shared" si="2038"/>
        <v/>
      </c>
    </row>
    <row r="1020">
      <c r="A1020" s="6" t="str">
        <f>IFERROR(__xludf.DUMMYFUNCTION("""COMPUTED_VALUE"""),"FM2643")</f>
        <v>FM2643</v>
      </c>
      <c r="B1020" s="206">
        <f>IFERROR(__xludf.DUMMYFUNCTION("""COMPUTED_VALUE"""),44714.0)</f>
        <v>44714</v>
      </c>
      <c r="C1020" s="207">
        <f>IFERROR(__xludf.DUMMYFUNCTION("""COMPUTED_VALUE"""),0.2798611111111111)</f>
        <v>0.2798611111</v>
      </c>
      <c r="D1020" s="50"/>
      <c r="E1020" s="58"/>
      <c r="F1020" s="58"/>
      <c r="G1020" s="58" t="str">
        <f>IFERROR(__xludf.DUMMYFUNCTION("""COMPUTED_VALUE"""),"Null")</f>
        <v>Null</v>
      </c>
      <c r="H1020" s="206" t="str">
        <f>IFERROR(__xludf.DUMMYFUNCTION("""COMPUTED_VALUE"""),"Negative")</f>
        <v>Negative</v>
      </c>
      <c r="I1020" s="207"/>
      <c r="J1020" s="50"/>
      <c r="K1020" s="50">
        <f>IFERROR(__xludf.DUMMYFUNCTION("""COMPUTED_VALUE"""),2.0)</f>
        <v>2</v>
      </c>
      <c r="L1020" s="6"/>
      <c r="M1020" s="55"/>
      <c r="N1020" s="55">
        <f>IFERROR(__xludf.DUMMYFUNCTION("""COMPUTED_VALUE"""),1.0)</f>
        <v>1</v>
      </c>
      <c r="O1020" s="55" t="str">
        <f t="shared" si="3"/>
        <v/>
      </c>
      <c r="P1020" s="209"/>
      <c r="Q1020" s="75" t="b">
        <f>VLOOKUP($B1020,'Run Reconcile'!B$2:P1679,15,FALSE)</f>
        <v>1</v>
      </c>
      <c r="R1020" s="211" t="str">
        <f t="array" ref="R1020">IF($Q1020, INDEX('Run Reconcile'!A$2:A1679,MATCH(B1020,'Run Reconcile'!B$2:B1679,0),1),IFERROR(0/0,""))</f>
        <v>RUN-COMB_2022-06-02_RFR-054</v>
      </c>
      <c r="S1020" s="165" t="str">
        <f t="shared" ref="S1020:T1020" si="2039">IF(COUNTIF(W$2:W1679, $A1020) &gt; 0,TRUE,IFERROR(0/0,""))</f>
        <v/>
      </c>
      <c r="T1020" s="165" t="str">
        <f t="shared" si="2039"/>
        <v/>
      </c>
      <c r="U1020" s="147" t="str">
        <f t="array" ref="U1020">IF(ISBLANK($R1020), IF($S1020,VLOOKUP($B1020+1,'RFR Data - preExcl'!$BF$2:$BG1679,2,FALSE),IF($T1020,INDEX('RFR Data - preExcl'!$BF$2:$BG1679,MATCH($B1020,'RFR Data - preExcl'!$BF$2:$BF1679,0)+1,2),VLOOKUP($B1020,'RFR Data - preExcl'!$BF$2:$BG1679,2,FALSE))),IFERROR(0/0,""))</f>
        <v/>
      </c>
      <c r="V1020" s="212" t="str">
        <f t="shared" si="5"/>
        <v>RUN-COMB_2022-06-02_RFR-054</v>
      </c>
      <c r="W1020" s="51"/>
      <c r="X1020" s="51"/>
      <c r="Y1020" s="147" t="str">
        <f t="shared" ref="Y1020:Z1020" si="2040">IF(_xlfn.ISFORMULA(S1020),IFERROR(0/0,""),TRUE)</f>
        <v/>
      </c>
      <c r="Z1020" s="147" t="str">
        <f t="shared" si="2040"/>
        <v/>
      </c>
    </row>
    <row r="1021">
      <c r="A1021" s="6" t="str">
        <f>IFERROR(__xludf.DUMMYFUNCTION("""COMPUTED_VALUE"""),"FM2779")</f>
        <v>FM2779</v>
      </c>
      <c r="B1021" s="206">
        <f>IFERROR(__xludf.DUMMYFUNCTION("""COMPUTED_VALUE"""),44714.0)</f>
        <v>44714</v>
      </c>
      <c r="C1021" s="207">
        <f>IFERROR(__xludf.DUMMYFUNCTION("""COMPUTED_VALUE"""),0.2802546296296296)</f>
        <v>0.2802546296</v>
      </c>
      <c r="D1021" s="50"/>
      <c r="E1021" s="58"/>
      <c r="F1021" s="58"/>
      <c r="G1021" s="58" t="str">
        <f>IFERROR(__xludf.DUMMYFUNCTION("""COMPUTED_VALUE"""),"Null")</f>
        <v>Null</v>
      </c>
      <c r="H1021" s="206" t="str">
        <f>IFERROR(__xludf.DUMMYFUNCTION("""COMPUTED_VALUE"""),"Negative")</f>
        <v>Negative</v>
      </c>
      <c r="I1021" s="207"/>
      <c r="J1021" s="50"/>
      <c r="K1021" s="50">
        <f>IFERROR(__xludf.DUMMYFUNCTION("""COMPUTED_VALUE"""),2.0)</f>
        <v>2</v>
      </c>
      <c r="L1021" s="6"/>
      <c r="M1021" s="55"/>
      <c r="N1021" s="55">
        <f>IFERROR(__xludf.DUMMYFUNCTION("""COMPUTED_VALUE"""),1.0)</f>
        <v>1</v>
      </c>
      <c r="O1021" s="55" t="str">
        <f t="shared" si="3"/>
        <v/>
      </c>
      <c r="P1021" s="209"/>
      <c r="Q1021" s="75" t="b">
        <f>VLOOKUP($B1021,'Run Reconcile'!B$2:P1679,15,FALSE)</f>
        <v>1</v>
      </c>
      <c r="R1021" s="211" t="str">
        <f t="array" ref="R1021">IF($Q1021, INDEX('Run Reconcile'!A$2:A1679,MATCH(B1021,'Run Reconcile'!B$2:B1679,0),1),IFERROR(0/0,""))</f>
        <v>RUN-COMB_2022-06-02_RFR-054</v>
      </c>
      <c r="S1021" s="165" t="str">
        <f t="shared" ref="S1021:T1021" si="2041">IF(COUNTIF(W$2:W1679, $A1021) &gt; 0,TRUE,IFERROR(0/0,""))</f>
        <v/>
      </c>
      <c r="T1021" s="165" t="str">
        <f t="shared" si="2041"/>
        <v/>
      </c>
      <c r="U1021" s="147" t="str">
        <f t="array" ref="U1021">IF(ISBLANK($R1021), IF($S1021,VLOOKUP($B1021+1,'RFR Data - preExcl'!$BF$2:$BG1679,2,FALSE),IF($T1021,INDEX('RFR Data - preExcl'!$BF$2:$BG1679,MATCH($B1021,'RFR Data - preExcl'!$BF$2:$BF1679,0)+1,2),VLOOKUP($B1021,'RFR Data - preExcl'!$BF$2:$BG1679,2,FALSE))),IFERROR(0/0,""))</f>
        <v/>
      </c>
      <c r="V1021" s="212" t="str">
        <f t="shared" si="5"/>
        <v>RUN-COMB_2022-06-02_RFR-054</v>
      </c>
      <c r="W1021" s="51"/>
      <c r="X1021" s="51"/>
      <c r="Y1021" s="147" t="str">
        <f t="shared" ref="Y1021:Z1021" si="2042">IF(_xlfn.ISFORMULA(S1021),IFERROR(0/0,""),TRUE)</f>
        <v/>
      </c>
      <c r="Z1021" s="147" t="str">
        <f t="shared" si="2042"/>
        <v/>
      </c>
    </row>
    <row r="1022">
      <c r="A1022" s="6" t="str">
        <f>IFERROR(__xludf.DUMMYFUNCTION("""COMPUTED_VALUE"""),"FM2819")</f>
        <v>FM2819</v>
      </c>
      <c r="B1022" s="206">
        <f>IFERROR(__xludf.DUMMYFUNCTION("""COMPUTED_VALUE"""),44714.0)</f>
        <v>44714</v>
      </c>
      <c r="C1022" s="207">
        <f>IFERROR(__xludf.DUMMYFUNCTION("""COMPUTED_VALUE"""),0.2806134259259259)</f>
        <v>0.2806134259</v>
      </c>
      <c r="D1022" s="50"/>
      <c r="E1022" s="58"/>
      <c r="F1022" s="58"/>
      <c r="G1022" s="58" t="str">
        <f>IFERROR(__xludf.DUMMYFUNCTION("""COMPUTED_VALUE"""),"Null")</f>
        <v>Null</v>
      </c>
      <c r="H1022" s="206" t="str">
        <f>IFERROR(__xludf.DUMMYFUNCTION("""COMPUTED_VALUE"""),"Negative")</f>
        <v>Negative</v>
      </c>
      <c r="I1022" s="207"/>
      <c r="J1022" s="50"/>
      <c r="K1022" s="50">
        <f>IFERROR(__xludf.DUMMYFUNCTION("""COMPUTED_VALUE"""),2.0)</f>
        <v>2</v>
      </c>
      <c r="L1022" s="6"/>
      <c r="M1022" s="55"/>
      <c r="N1022" s="55">
        <f>IFERROR(__xludf.DUMMYFUNCTION("""COMPUTED_VALUE"""),1.0)</f>
        <v>1</v>
      </c>
      <c r="O1022" s="55" t="str">
        <f t="shared" si="3"/>
        <v/>
      </c>
      <c r="P1022" s="209"/>
      <c r="Q1022" s="75" t="b">
        <f>VLOOKUP($B1022,'Run Reconcile'!B$2:P1679,15,FALSE)</f>
        <v>1</v>
      </c>
      <c r="R1022" s="211" t="str">
        <f t="array" ref="R1022">IF($Q1022, INDEX('Run Reconcile'!A$2:A1679,MATCH(B1022,'Run Reconcile'!B$2:B1679,0),1),IFERROR(0/0,""))</f>
        <v>RUN-COMB_2022-06-02_RFR-054</v>
      </c>
      <c r="S1022" s="165" t="str">
        <f t="shared" ref="S1022:T1022" si="2043">IF(COUNTIF(W$2:W1679, $A1022) &gt; 0,TRUE,IFERROR(0/0,""))</f>
        <v/>
      </c>
      <c r="T1022" s="165" t="str">
        <f t="shared" si="2043"/>
        <v/>
      </c>
      <c r="U1022" s="147" t="str">
        <f t="array" ref="U1022">IF(ISBLANK($R1022), IF($S1022,VLOOKUP($B1022+1,'RFR Data - preExcl'!$BF$2:$BG1679,2,FALSE),IF($T1022,INDEX('RFR Data - preExcl'!$BF$2:$BG1679,MATCH($B1022,'RFR Data - preExcl'!$BF$2:$BF1679,0)+1,2),VLOOKUP($B1022,'RFR Data - preExcl'!$BF$2:$BG1679,2,FALSE))),IFERROR(0/0,""))</f>
        <v/>
      </c>
      <c r="V1022" s="212" t="str">
        <f t="shared" si="5"/>
        <v>RUN-COMB_2022-06-02_RFR-054</v>
      </c>
      <c r="W1022" s="51"/>
      <c r="X1022" s="51"/>
      <c r="Y1022" s="147" t="str">
        <f t="shared" ref="Y1022:Z1022" si="2044">IF(_xlfn.ISFORMULA(S1022),IFERROR(0/0,""),TRUE)</f>
        <v/>
      </c>
      <c r="Z1022" s="147" t="str">
        <f t="shared" si="2044"/>
        <v/>
      </c>
    </row>
    <row r="1023">
      <c r="A1023" s="6" t="str">
        <f>IFERROR(__xludf.DUMMYFUNCTION("""COMPUTED_VALUE"""),"FM2835")</f>
        <v>FM2835</v>
      </c>
      <c r="B1023" s="206">
        <f>IFERROR(__xludf.DUMMYFUNCTION("""COMPUTED_VALUE"""),44714.0)</f>
        <v>44714</v>
      </c>
      <c r="C1023" s="207">
        <f>IFERROR(__xludf.DUMMYFUNCTION("""COMPUTED_VALUE"""),0.28097222222222223)</f>
        <v>0.2809722222</v>
      </c>
      <c r="D1023" s="50"/>
      <c r="E1023" s="58"/>
      <c r="F1023" s="58"/>
      <c r="G1023" s="58" t="str">
        <f>IFERROR(__xludf.DUMMYFUNCTION("""COMPUTED_VALUE"""),"Null")</f>
        <v>Null</v>
      </c>
      <c r="H1023" s="206" t="str">
        <f>IFERROR(__xludf.DUMMYFUNCTION("""COMPUTED_VALUE"""),"Negative")</f>
        <v>Negative</v>
      </c>
      <c r="I1023" s="207"/>
      <c r="J1023" s="50"/>
      <c r="K1023" s="50">
        <f>IFERROR(__xludf.DUMMYFUNCTION("""COMPUTED_VALUE"""),2.0)</f>
        <v>2</v>
      </c>
      <c r="L1023" s="6"/>
      <c r="M1023" s="55"/>
      <c r="N1023" s="55">
        <f>IFERROR(__xludf.DUMMYFUNCTION("""COMPUTED_VALUE"""),1.0)</f>
        <v>1</v>
      </c>
      <c r="O1023" s="55" t="str">
        <f t="shared" si="3"/>
        <v/>
      </c>
      <c r="P1023" s="209"/>
      <c r="Q1023" s="75" t="b">
        <f>VLOOKUP($B1023,'Run Reconcile'!B$2:P1679,15,FALSE)</f>
        <v>1</v>
      </c>
      <c r="R1023" s="211" t="str">
        <f t="array" ref="R1023">IF($Q1023, INDEX('Run Reconcile'!A$2:A1679,MATCH(B1023,'Run Reconcile'!B$2:B1679,0),1),IFERROR(0/0,""))</f>
        <v>RUN-COMB_2022-06-02_RFR-054</v>
      </c>
      <c r="S1023" s="165" t="str">
        <f t="shared" ref="S1023:T1023" si="2045">IF(COUNTIF(W$2:W1679, $A1023) &gt; 0,TRUE,IFERROR(0/0,""))</f>
        <v/>
      </c>
      <c r="T1023" s="165" t="str">
        <f t="shared" si="2045"/>
        <v/>
      </c>
      <c r="U1023" s="147" t="str">
        <f t="array" ref="U1023">IF(ISBLANK($R1023), IF($S1023,VLOOKUP($B1023+1,'RFR Data - preExcl'!$BF$2:$BG1679,2,FALSE),IF($T1023,INDEX('RFR Data - preExcl'!$BF$2:$BG1679,MATCH($B1023,'RFR Data - preExcl'!$BF$2:$BF1679,0)+1,2),VLOOKUP($B1023,'RFR Data - preExcl'!$BF$2:$BG1679,2,FALSE))),IFERROR(0/0,""))</f>
        <v/>
      </c>
      <c r="V1023" s="212" t="str">
        <f t="shared" si="5"/>
        <v>RUN-COMB_2022-06-02_RFR-054</v>
      </c>
      <c r="W1023" s="51"/>
      <c r="X1023" s="51"/>
      <c r="Y1023" s="147" t="str">
        <f t="shared" ref="Y1023:Z1023" si="2046">IF(_xlfn.ISFORMULA(S1023),IFERROR(0/0,""),TRUE)</f>
        <v/>
      </c>
      <c r="Z1023" s="147" t="str">
        <f t="shared" si="2046"/>
        <v/>
      </c>
    </row>
    <row r="1024">
      <c r="A1024" s="6" t="str">
        <f>IFERROR(__xludf.DUMMYFUNCTION("""COMPUTED_VALUE"""),"FM2868")</f>
        <v>FM2868</v>
      </c>
      <c r="B1024" s="206">
        <f>IFERROR(__xludf.DUMMYFUNCTION("""COMPUTED_VALUE"""),44714.0)</f>
        <v>44714</v>
      </c>
      <c r="C1024" s="207">
        <f>IFERROR(__xludf.DUMMYFUNCTION("""COMPUTED_VALUE"""),0.2813310185185185)</f>
        <v>0.2813310185</v>
      </c>
      <c r="D1024" s="50"/>
      <c r="E1024" s="58"/>
      <c r="F1024" s="58"/>
      <c r="G1024" s="58" t="str">
        <f>IFERROR(__xludf.DUMMYFUNCTION("""COMPUTED_VALUE"""),"Null")</f>
        <v>Null</v>
      </c>
      <c r="H1024" s="206" t="str">
        <f>IFERROR(__xludf.DUMMYFUNCTION("""COMPUTED_VALUE"""),"Negative")</f>
        <v>Negative</v>
      </c>
      <c r="I1024" s="207"/>
      <c r="J1024" s="50"/>
      <c r="K1024" s="50">
        <f>IFERROR(__xludf.DUMMYFUNCTION("""COMPUTED_VALUE"""),2.0)</f>
        <v>2</v>
      </c>
      <c r="L1024" s="6"/>
      <c r="M1024" s="55"/>
      <c r="N1024" s="55">
        <f>IFERROR(__xludf.DUMMYFUNCTION("""COMPUTED_VALUE"""),1.0)</f>
        <v>1</v>
      </c>
      <c r="O1024" s="55" t="str">
        <f t="shared" si="3"/>
        <v/>
      </c>
      <c r="P1024" s="209"/>
      <c r="Q1024" s="75" t="b">
        <f>VLOOKUP($B1024,'Run Reconcile'!B$2:P1679,15,FALSE)</f>
        <v>1</v>
      </c>
      <c r="R1024" s="211" t="str">
        <f t="array" ref="R1024">IF($Q1024, INDEX('Run Reconcile'!A$2:A1679,MATCH(B1024,'Run Reconcile'!B$2:B1679,0),1),IFERROR(0/0,""))</f>
        <v>RUN-COMB_2022-06-02_RFR-054</v>
      </c>
      <c r="S1024" s="165" t="str">
        <f t="shared" ref="S1024:T1024" si="2047">IF(COUNTIF(W$2:W1679, $A1024) &gt; 0,TRUE,IFERROR(0/0,""))</f>
        <v/>
      </c>
      <c r="T1024" s="165" t="str">
        <f t="shared" si="2047"/>
        <v/>
      </c>
      <c r="U1024" s="147" t="str">
        <f t="array" ref="U1024">IF(ISBLANK($R1024), IF($S1024,VLOOKUP($B1024+1,'RFR Data - preExcl'!$BF$2:$BG1679,2,FALSE),IF($T1024,INDEX('RFR Data - preExcl'!$BF$2:$BG1679,MATCH($B1024,'RFR Data - preExcl'!$BF$2:$BF1679,0)+1,2),VLOOKUP($B1024,'RFR Data - preExcl'!$BF$2:$BG1679,2,FALSE))),IFERROR(0/0,""))</f>
        <v/>
      </c>
      <c r="V1024" s="212" t="str">
        <f t="shared" si="5"/>
        <v>RUN-COMB_2022-06-02_RFR-054</v>
      </c>
      <c r="W1024" s="51"/>
      <c r="X1024" s="51"/>
      <c r="Y1024" s="147" t="str">
        <f t="shared" ref="Y1024:Z1024" si="2048">IF(_xlfn.ISFORMULA(S1024),IFERROR(0/0,""),TRUE)</f>
        <v/>
      </c>
      <c r="Z1024" s="147" t="str">
        <f t="shared" si="2048"/>
        <v/>
      </c>
    </row>
    <row r="1025">
      <c r="A1025" s="6" t="str">
        <f>IFERROR(__xludf.DUMMYFUNCTION("""COMPUTED_VALUE"""),"FM2692")</f>
        <v>FM2692</v>
      </c>
      <c r="B1025" s="206">
        <f>IFERROR(__xludf.DUMMYFUNCTION("""COMPUTED_VALUE"""),44714.0)</f>
        <v>44714</v>
      </c>
      <c r="C1025" s="207">
        <f>IFERROR(__xludf.DUMMYFUNCTION("""COMPUTED_VALUE"""),0.2817939814814815)</f>
        <v>0.2817939815</v>
      </c>
      <c r="D1025" s="50"/>
      <c r="E1025" s="58"/>
      <c r="F1025" s="58"/>
      <c r="G1025" s="58" t="str">
        <f>IFERROR(__xludf.DUMMYFUNCTION("""COMPUTED_VALUE"""),"Null")</f>
        <v>Null</v>
      </c>
      <c r="H1025" s="206" t="str">
        <f>IFERROR(__xludf.DUMMYFUNCTION("""COMPUTED_VALUE"""),"Negative")</f>
        <v>Negative</v>
      </c>
      <c r="I1025" s="207"/>
      <c r="J1025" s="50"/>
      <c r="K1025" s="50">
        <f>IFERROR(__xludf.DUMMYFUNCTION("""COMPUTED_VALUE"""),2.0)</f>
        <v>2</v>
      </c>
      <c r="L1025" s="6"/>
      <c r="M1025" s="55"/>
      <c r="N1025" s="55">
        <f>IFERROR(__xludf.DUMMYFUNCTION("""COMPUTED_VALUE"""),1.0)</f>
        <v>1</v>
      </c>
      <c r="O1025" s="55" t="str">
        <f t="shared" si="3"/>
        <v/>
      </c>
      <c r="P1025" s="209"/>
      <c r="Q1025" s="75" t="b">
        <f>VLOOKUP($B1025,'Run Reconcile'!B$2:P1679,15,FALSE)</f>
        <v>1</v>
      </c>
      <c r="R1025" s="211" t="str">
        <f t="array" ref="R1025">IF($Q1025, INDEX('Run Reconcile'!A$2:A1679,MATCH(B1025,'Run Reconcile'!B$2:B1679,0),1),IFERROR(0/0,""))</f>
        <v>RUN-COMB_2022-06-02_RFR-054</v>
      </c>
      <c r="S1025" s="165" t="str">
        <f t="shared" ref="S1025:T1025" si="2049">IF(COUNTIF(W$2:W1679, $A1025) &gt; 0,TRUE,IFERROR(0/0,""))</f>
        <v/>
      </c>
      <c r="T1025" s="165" t="str">
        <f t="shared" si="2049"/>
        <v/>
      </c>
      <c r="U1025" s="147" t="str">
        <f t="array" ref="U1025">IF(ISBLANK($R1025), IF($S1025,VLOOKUP($B1025+1,'RFR Data - preExcl'!$BF$2:$BG1679,2,FALSE),IF($T1025,INDEX('RFR Data - preExcl'!$BF$2:$BG1679,MATCH($B1025,'RFR Data - preExcl'!$BF$2:$BF1679,0)+1,2),VLOOKUP($B1025,'RFR Data - preExcl'!$BF$2:$BG1679,2,FALSE))),IFERROR(0/0,""))</f>
        <v/>
      </c>
      <c r="V1025" s="212" t="str">
        <f t="shared" si="5"/>
        <v>RUN-COMB_2022-06-02_RFR-054</v>
      </c>
      <c r="W1025" s="51"/>
      <c r="X1025" s="51"/>
      <c r="Y1025" s="147" t="str">
        <f t="shared" ref="Y1025:Z1025" si="2050">IF(_xlfn.ISFORMULA(S1025),IFERROR(0/0,""),TRUE)</f>
        <v/>
      </c>
      <c r="Z1025" s="147" t="str">
        <f t="shared" si="2050"/>
        <v/>
      </c>
    </row>
    <row r="1026">
      <c r="A1026" s="6" t="str">
        <f>IFERROR(__xludf.DUMMYFUNCTION("""COMPUTED_VALUE"""),"FM2851")</f>
        <v>FM2851</v>
      </c>
      <c r="B1026" s="206">
        <f>IFERROR(__xludf.DUMMYFUNCTION("""COMPUTED_VALUE"""),44714.0)</f>
        <v>44714</v>
      </c>
      <c r="C1026" s="207">
        <f>IFERROR(__xludf.DUMMYFUNCTION("""COMPUTED_VALUE"""),0.2821875)</f>
        <v>0.2821875</v>
      </c>
      <c r="D1026" s="50"/>
      <c r="E1026" s="58"/>
      <c r="F1026" s="58"/>
      <c r="G1026" s="58" t="str">
        <f>IFERROR(__xludf.DUMMYFUNCTION("""COMPUTED_VALUE"""),"Null")</f>
        <v>Null</v>
      </c>
      <c r="H1026" s="206" t="str">
        <f>IFERROR(__xludf.DUMMYFUNCTION("""COMPUTED_VALUE"""),"Negative")</f>
        <v>Negative</v>
      </c>
      <c r="I1026" s="207"/>
      <c r="J1026" s="50"/>
      <c r="K1026" s="50">
        <f>IFERROR(__xludf.DUMMYFUNCTION("""COMPUTED_VALUE"""),2.0)</f>
        <v>2</v>
      </c>
      <c r="L1026" s="6"/>
      <c r="M1026" s="55"/>
      <c r="N1026" s="55">
        <f>IFERROR(__xludf.DUMMYFUNCTION("""COMPUTED_VALUE"""),1.0)</f>
        <v>1</v>
      </c>
      <c r="O1026" s="55" t="str">
        <f t="shared" si="3"/>
        <v/>
      </c>
      <c r="P1026" s="209"/>
      <c r="Q1026" s="75" t="b">
        <f>VLOOKUP($B1026,'Run Reconcile'!B$2:P1679,15,FALSE)</f>
        <v>1</v>
      </c>
      <c r="R1026" s="211" t="str">
        <f t="array" ref="R1026">IF($Q1026, INDEX('Run Reconcile'!A$2:A1679,MATCH(B1026,'Run Reconcile'!B$2:B1679,0),1),IFERROR(0/0,""))</f>
        <v>RUN-COMB_2022-06-02_RFR-054</v>
      </c>
      <c r="S1026" s="165" t="str">
        <f t="shared" ref="S1026:T1026" si="2051">IF(COUNTIF(W$2:W1679, $A1026) &gt; 0,TRUE,IFERROR(0/0,""))</f>
        <v/>
      </c>
      <c r="T1026" s="165" t="str">
        <f t="shared" si="2051"/>
        <v/>
      </c>
      <c r="U1026" s="147" t="str">
        <f t="array" ref="U1026">IF(ISBLANK($R1026), IF($S1026,VLOOKUP($B1026+1,'RFR Data - preExcl'!$BF$2:$BG1679,2,FALSE),IF($T1026,INDEX('RFR Data - preExcl'!$BF$2:$BG1679,MATCH($B1026,'RFR Data - preExcl'!$BF$2:$BF1679,0)+1,2),VLOOKUP($B1026,'RFR Data - preExcl'!$BF$2:$BG1679,2,FALSE))),IFERROR(0/0,""))</f>
        <v/>
      </c>
      <c r="V1026" s="212" t="str">
        <f t="shared" si="5"/>
        <v>RUN-COMB_2022-06-02_RFR-054</v>
      </c>
      <c r="W1026" s="51"/>
      <c r="X1026" s="51"/>
      <c r="Y1026" s="147" t="str">
        <f t="shared" ref="Y1026:Z1026" si="2052">IF(_xlfn.ISFORMULA(S1026),IFERROR(0/0,""),TRUE)</f>
        <v/>
      </c>
      <c r="Z1026" s="147" t="str">
        <f t="shared" si="2052"/>
        <v/>
      </c>
    </row>
    <row r="1027">
      <c r="A1027" s="6" t="str">
        <f>IFERROR(__xludf.DUMMYFUNCTION("""COMPUTED_VALUE"""),"FM2879")</f>
        <v>FM2879</v>
      </c>
      <c r="B1027" s="206">
        <f>IFERROR(__xludf.DUMMYFUNCTION("""COMPUTED_VALUE"""),44714.0)</f>
        <v>44714</v>
      </c>
      <c r="C1027" s="207">
        <f>IFERROR(__xludf.DUMMYFUNCTION("""COMPUTED_VALUE"""),0.2825925925925926)</f>
        <v>0.2825925926</v>
      </c>
      <c r="D1027" s="50"/>
      <c r="E1027" s="58"/>
      <c r="F1027" s="58"/>
      <c r="G1027" s="58" t="str">
        <f>IFERROR(__xludf.DUMMYFUNCTION("""COMPUTED_VALUE"""),"Null")</f>
        <v>Null</v>
      </c>
      <c r="H1027" s="206" t="str">
        <f>IFERROR(__xludf.DUMMYFUNCTION("""COMPUTED_VALUE"""),"Negative")</f>
        <v>Negative</v>
      </c>
      <c r="I1027" s="207"/>
      <c r="J1027" s="50"/>
      <c r="K1027" s="50">
        <f>IFERROR(__xludf.DUMMYFUNCTION("""COMPUTED_VALUE"""),2.0)</f>
        <v>2</v>
      </c>
      <c r="L1027" s="6"/>
      <c r="M1027" s="55"/>
      <c r="N1027" s="55">
        <f>IFERROR(__xludf.DUMMYFUNCTION("""COMPUTED_VALUE"""),1.0)</f>
        <v>1</v>
      </c>
      <c r="O1027" s="55" t="str">
        <f t="shared" si="3"/>
        <v/>
      </c>
      <c r="P1027" s="209"/>
      <c r="Q1027" s="75" t="b">
        <f>VLOOKUP($B1027,'Run Reconcile'!B$2:P1679,15,FALSE)</f>
        <v>1</v>
      </c>
      <c r="R1027" s="211" t="str">
        <f t="array" ref="R1027">IF($Q1027, INDEX('Run Reconcile'!A$2:A1679,MATCH(B1027,'Run Reconcile'!B$2:B1679,0),1),IFERROR(0/0,""))</f>
        <v>RUN-COMB_2022-06-02_RFR-054</v>
      </c>
      <c r="S1027" s="165" t="str">
        <f t="shared" ref="S1027:T1027" si="2053">IF(COUNTIF(W$2:W1679, $A1027) &gt; 0,TRUE,IFERROR(0/0,""))</f>
        <v/>
      </c>
      <c r="T1027" s="165" t="str">
        <f t="shared" si="2053"/>
        <v/>
      </c>
      <c r="U1027" s="147" t="str">
        <f t="array" ref="U1027">IF(ISBLANK($R1027), IF($S1027,VLOOKUP($B1027+1,'RFR Data - preExcl'!$BF$2:$BG1679,2,FALSE),IF($T1027,INDEX('RFR Data - preExcl'!$BF$2:$BG1679,MATCH($B1027,'RFR Data - preExcl'!$BF$2:$BF1679,0)+1,2),VLOOKUP($B1027,'RFR Data - preExcl'!$BF$2:$BG1679,2,FALSE))),IFERROR(0/0,""))</f>
        <v/>
      </c>
      <c r="V1027" s="212" t="str">
        <f t="shared" si="5"/>
        <v>RUN-COMB_2022-06-02_RFR-054</v>
      </c>
      <c r="W1027" s="51"/>
      <c r="X1027" s="51"/>
      <c r="Y1027" s="147" t="str">
        <f t="shared" ref="Y1027:Z1027" si="2054">IF(_xlfn.ISFORMULA(S1027),IFERROR(0/0,""),TRUE)</f>
        <v/>
      </c>
      <c r="Z1027" s="147" t="str">
        <f t="shared" si="2054"/>
        <v/>
      </c>
    </row>
    <row r="1028">
      <c r="A1028" s="6" t="str">
        <f>IFERROR(__xludf.DUMMYFUNCTION("""COMPUTED_VALUE"""),"FM2837")</f>
        <v>FM2837</v>
      </c>
      <c r="B1028" s="206">
        <f>IFERROR(__xludf.DUMMYFUNCTION("""COMPUTED_VALUE"""),44714.0)</f>
        <v>44714</v>
      </c>
      <c r="C1028" s="207">
        <f>IFERROR(__xludf.DUMMYFUNCTION("""COMPUTED_VALUE"""),0.28305555555555556)</f>
        <v>0.2830555556</v>
      </c>
      <c r="D1028" s="50"/>
      <c r="E1028" s="58"/>
      <c r="F1028" s="58"/>
      <c r="G1028" s="58" t="str">
        <f>IFERROR(__xludf.DUMMYFUNCTION("""COMPUTED_VALUE"""),"Null")</f>
        <v>Null</v>
      </c>
      <c r="H1028" s="206" t="str">
        <f>IFERROR(__xludf.DUMMYFUNCTION("""COMPUTED_VALUE"""),"Negative")</f>
        <v>Negative</v>
      </c>
      <c r="I1028" s="207"/>
      <c r="J1028" s="50"/>
      <c r="K1028" s="50">
        <f>IFERROR(__xludf.DUMMYFUNCTION("""COMPUTED_VALUE"""),2.0)</f>
        <v>2</v>
      </c>
      <c r="L1028" s="6"/>
      <c r="M1028" s="55"/>
      <c r="N1028" s="55">
        <f>IFERROR(__xludf.DUMMYFUNCTION("""COMPUTED_VALUE"""),1.0)</f>
        <v>1</v>
      </c>
      <c r="O1028" s="55" t="str">
        <f t="shared" si="3"/>
        <v/>
      </c>
      <c r="P1028" s="209"/>
      <c r="Q1028" s="75" t="b">
        <f>VLOOKUP($B1028,'Run Reconcile'!B$2:P1679,15,FALSE)</f>
        <v>1</v>
      </c>
      <c r="R1028" s="211" t="str">
        <f t="array" ref="R1028">IF($Q1028, INDEX('Run Reconcile'!A$2:A1679,MATCH(B1028,'Run Reconcile'!B$2:B1679,0),1),IFERROR(0/0,""))</f>
        <v>RUN-COMB_2022-06-02_RFR-054</v>
      </c>
      <c r="S1028" s="165" t="str">
        <f t="shared" ref="S1028:T1028" si="2055">IF(COUNTIF(W$2:W1679, $A1028) &gt; 0,TRUE,IFERROR(0/0,""))</f>
        <v/>
      </c>
      <c r="T1028" s="165" t="str">
        <f t="shared" si="2055"/>
        <v/>
      </c>
      <c r="U1028" s="147" t="str">
        <f t="array" ref="U1028">IF(ISBLANK($R1028), IF($S1028,VLOOKUP($B1028+1,'RFR Data - preExcl'!$BF$2:$BG1679,2,FALSE),IF($T1028,INDEX('RFR Data - preExcl'!$BF$2:$BG1679,MATCH($B1028,'RFR Data - preExcl'!$BF$2:$BF1679,0)+1,2),VLOOKUP($B1028,'RFR Data - preExcl'!$BF$2:$BG1679,2,FALSE))),IFERROR(0/0,""))</f>
        <v/>
      </c>
      <c r="V1028" s="212" t="str">
        <f t="shared" si="5"/>
        <v>RUN-COMB_2022-06-02_RFR-054</v>
      </c>
      <c r="W1028" s="51"/>
      <c r="X1028" s="51"/>
      <c r="Y1028" s="147" t="str">
        <f t="shared" ref="Y1028:Z1028" si="2056">IF(_xlfn.ISFORMULA(S1028),IFERROR(0/0,""),TRUE)</f>
        <v/>
      </c>
      <c r="Z1028" s="147" t="str">
        <f t="shared" si="2056"/>
        <v/>
      </c>
    </row>
    <row r="1029">
      <c r="A1029" s="6" t="str">
        <f>IFERROR(__xludf.DUMMYFUNCTION("""COMPUTED_VALUE"""),"FM2830")</f>
        <v>FM2830</v>
      </c>
      <c r="B1029" s="206">
        <f>IFERROR(__xludf.DUMMYFUNCTION("""COMPUTED_VALUE"""),44714.0)</f>
        <v>44714</v>
      </c>
      <c r="C1029" s="207">
        <f>IFERROR(__xludf.DUMMYFUNCTION("""COMPUTED_VALUE"""),0.28347222222222224)</f>
        <v>0.2834722222</v>
      </c>
      <c r="D1029" s="50"/>
      <c r="E1029" s="58"/>
      <c r="F1029" s="58"/>
      <c r="G1029" s="58" t="str">
        <f>IFERROR(__xludf.DUMMYFUNCTION("""COMPUTED_VALUE"""),"Null")</f>
        <v>Null</v>
      </c>
      <c r="H1029" s="206" t="str">
        <f>IFERROR(__xludf.DUMMYFUNCTION("""COMPUTED_VALUE"""),"Negative")</f>
        <v>Negative</v>
      </c>
      <c r="I1029" s="207"/>
      <c r="J1029" s="50"/>
      <c r="K1029" s="50">
        <f>IFERROR(__xludf.DUMMYFUNCTION("""COMPUTED_VALUE"""),2.0)</f>
        <v>2</v>
      </c>
      <c r="L1029" s="6"/>
      <c r="M1029" s="55"/>
      <c r="N1029" s="55">
        <f>IFERROR(__xludf.DUMMYFUNCTION("""COMPUTED_VALUE"""),1.0)</f>
        <v>1</v>
      </c>
      <c r="O1029" s="55" t="str">
        <f t="shared" si="3"/>
        <v/>
      </c>
      <c r="P1029" s="209"/>
      <c r="Q1029" s="75" t="b">
        <f>VLOOKUP($B1029,'Run Reconcile'!B$2:P1679,15,FALSE)</f>
        <v>1</v>
      </c>
      <c r="R1029" s="211" t="str">
        <f t="array" ref="R1029">IF($Q1029, INDEX('Run Reconcile'!A$2:A1679,MATCH(B1029,'Run Reconcile'!B$2:B1679,0),1),IFERROR(0/0,""))</f>
        <v>RUN-COMB_2022-06-02_RFR-054</v>
      </c>
      <c r="S1029" s="165" t="str">
        <f t="shared" ref="S1029:T1029" si="2057">IF(COUNTIF(W$2:W1679, $A1029) &gt; 0,TRUE,IFERROR(0/0,""))</f>
        <v/>
      </c>
      <c r="T1029" s="165" t="str">
        <f t="shared" si="2057"/>
        <v/>
      </c>
      <c r="U1029" s="147" t="str">
        <f t="array" ref="U1029">IF(ISBLANK($R1029), IF($S1029,VLOOKUP($B1029+1,'RFR Data - preExcl'!$BF$2:$BG1679,2,FALSE),IF($T1029,INDEX('RFR Data - preExcl'!$BF$2:$BG1679,MATCH($B1029,'RFR Data - preExcl'!$BF$2:$BF1679,0)+1,2),VLOOKUP($B1029,'RFR Data - preExcl'!$BF$2:$BG1679,2,FALSE))),IFERROR(0/0,""))</f>
        <v/>
      </c>
      <c r="V1029" s="212" t="str">
        <f t="shared" si="5"/>
        <v>RUN-COMB_2022-06-02_RFR-054</v>
      </c>
      <c r="W1029" s="51"/>
      <c r="X1029" s="51"/>
      <c r="Y1029" s="147" t="str">
        <f t="shared" ref="Y1029:Z1029" si="2058">IF(_xlfn.ISFORMULA(S1029),IFERROR(0/0,""),TRUE)</f>
        <v/>
      </c>
      <c r="Z1029" s="147" t="str">
        <f t="shared" si="2058"/>
        <v/>
      </c>
    </row>
    <row r="1030">
      <c r="A1030" s="6" t="str">
        <f>IFERROR(__xludf.DUMMYFUNCTION("""COMPUTED_VALUE"""),"FM2862")</f>
        <v>FM2862</v>
      </c>
      <c r="B1030" s="206">
        <f>IFERROR(__xludf.DUMMYFUNCTION("""COMPUTED_VALUE"""),44714.0)</f>
        <v>44714</v>
      </c>
      <c r="C1030" s="207">
        <f>IFERROR(__xludf.DUMMYFUNCTION("""COMPUTED_VALUE"""),0.2851273148148148)</f>
        <v>0.2851273148</v>
      </c>
      <c r="D1030" s="50"/>
      <c r="E1030" s="58"/>
      <c r="F1030" s="58"/>
      <c r="G1030" s="58" t="str">
        <f>IFERROR(__xludf.DUMMYFUNCTION("""COMPUTED_VALUE"""),"Null")</f>
        <v>Null</v>
      </c>
      <c r="H1030" s="206" t="str">
        <f>IFERROR(__xludf.DUMMYFUNCTION("""COMPUTED_VALUE"""),"Negative")</f>
        <v>Negative</v>
      </c>
      <c r="I1030" s="207"/>
      <c r="J1030" s="50"/>
      <c r="K1030" s="50">
        <f>IFERROR(__xludf.DUMMYFUNCTION("""COMPUTED_VALUE"""),2.0)</f>
        <v>2</v>
      </c>
      <c r="L1030" s="6"/>
      <c r="M1030" s="55"/>
      <c r="N1030" s="55">
        <f>IFERROR(__xludf.DUMMYFUNCTION("""COMPUTED_VALUE"""),1.0)</f>
        <v>1</v>
      </c>
      <c r="O1030" s="55" t="str">
        <f t="shared" si="3"/>
        <v/>
      </c>
      <c r="P1030" s="209"/>
      <c r="Q1030" s="75" t="b">
        <f>VLOOKUP($B1030,'Run Reconcile'!B$2:P1679,15,FALSE)</f>
        <v>1</v>
      </c>
      <c r="R1030" s="211" t="str">
        <f t="array" ref="R1030">IF($Q1030, INDEX('Run Reconcile'!A$2:A1679,MATCH(B1030,'Run Reconcile'!B$2:B1679,0),1),IFERROR(0/0,""))</f>
        <v>RUN-COMB_2022-06-02_RFR-054</v>
      </c>
      <c r="S1030" s="165" t="str">
        <f t="shared" ref="S1030:T1030" si="2059">IF(COUNTIF(W$2:W1679, $A1030) &gt; 0,TRUE,IFERROR(0/0,""))</f>
        <v/>
      </c>
      <c r="T1030" s="165" t="str">
        <f t="shared" si="2059"/>
        <v/>
      </c>
      <c r="U1030" s="147" t="str">
        <f t="array" ref="U1030">IF(ISBLANK($R1030), IF($S1030,VLOOKUP($B1030+1,'RFR Data - preExcl'!$BF$2:$BG1679,2,FALSE),IF($T1030,INDEX('RFR Data - preExcl'!$BF$2:$BG1679,MATCH($B1030,'RFR Data - preExcl'!$BF$2:$BF1679,0)+1,2),VLOOKUP($B1030,'RFR Data - preExcl'!$BF$2:$BG1679,2,FALSE))),IFERROR(0/0,""))</f>
        <v/>
      </c>
      <c r="V1030" s="212" t="str">
        <f t="shared" si="5"/>
        <v>RUN-COMB_2022-06-02_RFR-054</v>
      </c>
      <c r="W1030" s="51"/>
      <c r="X1030" s="51"/>
      <c r="Y1030" s="147" t="str">
        <f t="shared" ref="Y1030:Z1030" si="2060">IF(_xlfn.ISFORMULA(S1030),IFERROR(0/0,""),TRUE)</f>
        <v/>
      </c>
      <c r="Z1030" s="147" t="str">
        <f t="shared" si="2060"/>
        <v/>
      </c>
    </row>
    <row r="1031">
      <c r="A1031" s="6" t="str">
        <f>IFERROR(__xludf.DUMMYFUNCTION("""COMPUTED_VALUE"""),"FM2897")</f>
        <v>FM2897</v>
      </c>
      <c r="B1031" s="206">
        <f>IFERROR(__xludf.DUMMYFUNCTION("""COMPUTED_VALUE"""),44714.0)</f>
        <v>44714</v>
      </c>
      <c r="C1031" s="207">
        <f>IFERROR(__xludf.DUMMYFUNCTION("""COMPUTED_VALUE"""),0.2854861111111111)</f>
        <v>0.2854861111</v>
      </c>
      <c r="D1031" s="50"/>
      <c r="E1031" s="58"/>
      <c r="F1031" s="58"/>
      <c r="G1031" s="58" t="str">
        <f>IFERROR(__xludf.DUMMYFUNCTION("""COMPUTED_VALUE"""),"Null")</f>
        <v>Null</v>
      </c>
      <c r="H1031" s="206" t="str">
        <f>IFERROR(__xludf.DUMMYFUNCTION("""COMPUTED_VALUE"""),"Negative")</f>
        <v>Negative</v>
      </c>
      <c r="I1031" s="207"/>
      <c r="J1031" s="50"/>
      <c r="K1031" s="50">
        <f>IFERROR(__xludf.DUMMYFUNCTION("""COMPUTED_VALUE"""),2.0)</f>
        <v>2</v>
      </c>
      <c r="L1031" s="6"/>
      <c r="M1031" s="55"/>
      <c r="N1031" s="55">
        <f>IFERROR(__xludf.DUMMYFUNCTION("""COMPUTED_VALUE"""),1.0)</f>
        <v>1</v>
      </c>
      <c r="O1031" s="55" t="str">
        <f t="shared" si="3"/>
        <v/>
      </c>
      <c r="P1031" s="209"/>
      <c r="Q1031" s="75" t="b">
        <f>VLOOKUP($B1031,'Run Reconcile'!B$2:P1679,15,FALSE)</f>
        <v>1</v>
      </c>
      <c r="R1031" s="211" t="str">
        <f t="array" ref="R1031">IF($Q1031, INDEX('Run Reconcile'!A$2:A1679,MATCH(B1031,'Run Reconcile'!B$2:B1679,0),1),IFERROR(0/0,""))</f>
        <v>RUN-COMB_2022-06-02_RFR-054</v>
      </c>
      <c r="S1031" s="165" t="str">
        <f t="shared" ref="S1031:T1031" si="2061">IF(COUNTIF(W$2:W1679, $A1031) &gt; 0,TRUE,IFERROR(0/0,""))</f>
        <v/>
      </c>
      <c r="T1031" s="165" t="str">
        <f t="shared" si="2061"/>
        <v/>
      </c>
      <c r="U1031" s="147" t="str">
        <f t="array" ref="U1031">IF(ISBLANK($R1031), IF($S1031,VLOOKUP($B1031+1,'RFR Data - preExcl'!$BF$2:$BG1679,2,FALSE),IF($T1031,INDEX('RFR Data - preExcl'!$BF$2:$BG1679,MATCH($B1031,'RFR Data - preExcl'!$BF$2:$BF1679,0)+1,2),VLOOKUP($B1031,'RFR Data - preExcl'!$BF$2:$BG1679,2,FALSE))),IFERROR(0/0,""))</f>
        <v/>
      </c>
      <c r="V1031" s="212" t="str">
        <f t="shared" si="5"/>
        <v>RUN-COMB_2022-06-02_RFR-054</v>
      </c>
      <c r="W1031" s="51"/>
      <c r="X1031" s="51"/>
      <c r="Y1031" s="147" t="str">
        <f t="shared" ref="Y1031:Z1031" si="2062">IF(_xlfn.ISFORMULA(S1031),IFERROR(0/0,""),TRUE)</f>
        <v/>
      </c>
      <c r="Z1031" s="147" t="str">
        <f t="shared" si="2062"/>
        <v/>
      </c>
    </row>
    <row r="1032">
      <c r="A1032" s="6" t="str">
        <f>IFERROR(__xludf.DUMMYFUNCTION("""COMPUTED_VALUE"""),"FM2843")</f>
        <v>FM2843</v>
      </c>
      <c r="B1032" s="206">
        <f>IFERROR(__xludf.DUMMYFUNCTION("""COMPUTED_VALUE"""),44714.0)</f>
        <v>44714</v>
      </c>
      <c r="C1032" s="207">
        <f>IFERROR(__xludf.DUMMYFUNCTION("""COMPUTED_VALUE"""),0.2859375)</f>
        <v>0.2859375</v>
      </c>
      <c r="D1032" s="50"/>
      <c r="E1032" s="58"/>
      <c r="F1032" s="58"/>
      <c r="G1032" s="58" t="str">
        <f>IFERROR(__xludf.DUMMYFUNCTION("""COMPUTED_VALUE"""),"Null")</f>
        <v>Null</v>
      </c>
      <c r="H1032" s="206" t="str">
        <f>IFERROR(__xludf.DUMMYFUNCTION("""COMPUTED_VALUE"""),"Negative")</f>
        <v>Negative</v>
      </c>
      <c r="I1032" s="207"/>
      <c r="J1032" s="50"/>
      <c r="K1032" s="50">
        <f>IFERROR(__xludf.DUMMYFUNCTION("""COMPUTED_VALUE"""),2.0)</f>
        <v>2</v>
      </c>
      <c r="L1032" s="6"/>
      <c r="M1032" s="55"/>
      <c r="N1032" s="55">
        <f>IFERROR(__xludf.DUMMYFUNCTION("""COMPUTED_VALUE"""),1.0)</f>
        <v>1</v>
      </c>
      <c r="O1032" s="55" t="str">
        <f t="shared" si="3"/>
        <v/>
      </c>
      <c r="P1032" s="209"/>
      <c r="Q1032" s="75" t="b">
        <f>VLOOKUP($B1032,'Run Reconcile'!B$2:P1679,15,FALSE)</f>
        <v>1</v>
      </c>
      <c r="R1032" s="211" t="str">
        <f t="array" ref="R1032">IF($Q1032, INDEX('Run Reconcile'!A$2:A1679,MATCH(B1032,'Run Reconcile'!B$2:B1679,0),1),IFERROR(0/0,""))</f>
        <v>RUN-COMB_2022-06-02_RFR-054</v>
      </c>
      <c r="S1032" s="165" t="str">
        <f t="shared" ref="S1032:T1032" si="2063">IF(COUNTIF(W$2:W1679, $A1032) &gt; 0,TRUE,IFERROR(0/0,""))</f>
        <v/>
      </c>
      <c r="T1032" s="165" t="str">
        <f t="shared" si="2063"/>
        <v/>
      </c>
      <c r="U1032" s="147" t="str">
        <f t="array" ref="U1032">IF(ISBLANK($R1032), IF($S1032,VLOOKUP($B1032+1,'RFR Data - preExcl'!$BF$2:$BG1679,2,FALSE),IF($T1032,INDEX('RFR Data - preExcl'!$BF$2:$BG1679,MATCH($B1032,'RFR Data - preExcl'!$BF$2:$BF1679,0)+1,2),VLOOKUP($B1032,'RFR Data - preExcl'!$BF$2:$BG1679,2,FALSE))),IFERROR(0/0,""))</f>
        <v/>
      </c>
      <c r="V1032" s="212" t="str">
        <f t="shared" si="5"/>
        <v>RUN-COMB_2022-06-02_RFR-054</v>
      </c>
      <c r="W1032" s="51"/>
      <c r="X1032" s="51"/>
      <c r="Y1032" s="147" t="str">
        <f t="shared" ref="Y1032:Z1032" si="2064">IF(_xlfn.ISFORMULA(S1032),IFERROR(0/0,""),TRUE)</f>
        <v/>
      </c>
      <c r="Z1032" s="147" t="str">
        <f t="shared" si="2064"/>
        <v/>
      </c>
    </row>
    <row r="1033">
      <c r="A1033" s="6" t="str">
        <f>IFERROR(__xludf.DUMMYFUNCTION("""COMPUTED_VALUE"""),"FM2674")</f>
        <v>FM2674</v>
      </c>
      <c r="B1033" s="206">
        <f>IFERROR(__xludf.DUMMYFUNCTION("""COMPUTED_VALUE"""),44714.0)</f>
        <v>44714</v>
      </c>
      <c r="C1033" s="207">
        <f>IFERROR(__xludf.DUMMYFUNCTION("""COMPUTED_VALUE"""),0.2862615740740741)</f>
        <v>0.2862615741</v>
      </c>
      <c r="D1033" s="50"/>
      <c r="E1033" s="58"/>
      <c r="F1033" s="58"/>
      <c r="G1033" s="58" t="str">
        <f>IFERROR(__xludf.DUMMYFUNCTION("""COMPUTED_VALUE"""),"Null")</f>
        <v>Null</v>
      </c>
      <c r="H1033" s="206" t="str">
        <f>IFERROR(__xludf.DUMMYFUNCTION("""COMPUTED_VALUE"""),"Negative")</f>
        <v>Negative</v>
      </c>
      <c r="I1033" s="207"/>
      <c r="J1033" s="50"/>
      <c r="K1033" s="50">
        <f>IFERROR(__xludf.DUMMYFUNCTION("""COMPUTED_VALUE"""),2.0)</f>
        <v>2</v>
      </c>
      <c r="L1033" s="6"/>
      <c r="M1033" s="55"/>
      <c r="N1033" s="55">
        <f>IFERROR(__xludf.DUMMYFUNCTION("""COMPUTED_VALUE"""),1.0)</f>
        <v>1</v>
      </c>
      <c r="O1033" s="55" t="str">
        <f t="shared" si="3"/>
        <v/>
      </c>
      <c r="P1033" s="209"/>
      <c r="Q1033" s="75" t="b">
        <f>VLOOKUP($B1033,'Run Reconcile'!B$2:P1679,15,FALSE)</f>
        <v>1</v>
      </c>
      <c r="R1033" s="211" t="str">
        <f t="array" ref="R1033">IF($Q1033, INDEX('Run Reconcile'!A$2:A1679,MATCH(B1033,'Run Reconcile'!B$2:B1679,0),1),IFERROR(0/0,""))</f>
        <v>RUN-COMB_2022-06-02_RFR-054</v>
      </c>
      <c r="S1033" s="165" t="str">
        <f t="shared" ref="S1033:T1033" si="2065">IF(COUNTIF(W$2:W1679, $A1033) &gt; 0,TRUE,IFERROR(0/0,""))</f>
        <v/>
      </c>
      <c r="T1033" s="165" t="str">
        <f t="shared" si="2065"/>
        <v/>
      </c>
      <c r="U1033" s="147" t="str">
        <f t="array" ref="U1033">IF(ISBLANK($R1033), IF($S1033,VLOOKUP($B1033+1,'RFR Data - preExcl'!$BF$2:$BG1679,2,FALSE),IF($T1033,INDEX('RFR Data - preExcl'!$BF$2:$BG1679,MATCH($B1033,'RFR Data - preExcl'!$BF$2:$BF1679,0)+1,2),VLOOKUP($B1033,'RFR Data - preExcl'!$BF$2:$BG1679,2,FALSE))),IFERROR(0/0,""))</f>
        <v/>
      </c>
      <c r="V1033" s="212" t="str">
        <f t="shared" si="5"/>
        <v>RUN-COMB_2022-06-02_RFR-054</v>
      </c>
      <c r="W1033" s="51"/>
      <c r="X1033" s="51"/>
      <c r="Y1033" s="147" t="str">
        <f t="shared" ref="Y1033:Z1033" si="2066">IF(_xlfn.ISFORMULA(S1033),IFERROR(0/0,""),TRUE)</f>
        <v/>
      </c>
      <c r="Z1033" s="147" t="str">
        <f t="shared" si="2066"/>
        <v/>
      </c>
    </row>
    <row r="1034">
      <c r="A1034" s="6" t="str">
        <f>IFERROR(__xludf.DUMMYFUNCTION("""COMPUTED_VALUE"""),"FM2639")</f>
        <v>FM2639</v>
      </c>
      <c r="B1034" s="206">
        <f>IFERROR(__xludf.DUMMYFUNCTION("""COMPUTED_VALUE"""),44714.0)</f>
        <v>44714</v>
      </c>
      <c r="C1034" s="207">
        <f>IFERROR(__xludf.DUMMYFUNCTION("""COMPUTED_VALUE"""),0.28663194444444445)</f>
        <v>0.2866319444</v>
      </c>
      <c r="D1034" s="50"/>
      <c r="E1034" s="58"/>
      <c r="F1034" s="58"/>
      <c r="G1034" s="58" t="str">
        <f>IFERROR(__xludf.DUMMYFUNCTION("""COMPUTED_VALUE"""),"Null")</f>
        <v>Null</v>
      </c>
      <c r="H1034" s="206" t="str">
        <f>IFERROR(__xludf.DUMMYFUNCTION("""COMPUTED_VALUE"""),"Negative")</f>
        <v>Negative</v>
      </c>
      <c r="I1034" s="207"/>
      <c r="J1034" s="50"/>
      <c r="K1034" s="50">
        <f>IFERROR(__xludf.DUMMYFUNCTION("""COMPUTED_VALUE"""),2.0)</f>
        <v>2</v>
      </c>
      <c r="L1034" s="6"/>
      <c r="M1034" s="55"/>
      <c r="N1034" s="55">
        <f>IFERROR(__xludf.DUMMYFUNCTION("""COMPUTED_VALUE"""),1.0)</f>
        <v>1</v>
      </c>
      <c r="O1034" s="55" t="str">
        <f t="shared" si="3"/>
        <v/>
      </c>
      <c r="P1034" s="209"/>
      <c r="Q1034" s="75" t="b">
        <f>VLOOKUP($B1034,'Run Reconcile'!B$2:P1679,15,FALSE)</f>
        <v>1</v>
      </c>
      <c r="R1034" s="211" t="str">
        <f t="array" ref="R1034">IF($Q1034, INDEX('Run Reconcile'!A$2:A1679,MATCH(B1034,'Run Reconcile'!B$2:B1679,0),1),IFERROR(0/0,""))</f>
        <v>RUN-COMB_2022-06-02_RFR-054</v>
      </c>
      <c r="S1034" s="165" t="str">
        <f t="shared" ref="S1034:T1034" si="2067">IF(COUNTIF(W$2:W1679, $A1034) &gt; 0,TRUE,IFERROR(0/0,""))</f>
        <v/>
      </c>
      <c r="T1034" s="165" t="str">
        <f t="shared" si="2067"/>
        <v/>
      </c>
      <c r="U1034" s="147" t="str">
        <f t="array" ref="U1034">IF(ISBLANK($R1034), IF($S1034,VLOOKUP($B1034+1,'RFR Data - preExcl'!$BF$2:$BG1679,2,FALSE),IF($T1034,INDEX('RFR Data - preExcl'!$BF$2:$BG1679,MATCH($B1034,'RFR Data - preExcl'!$BF$2:$BF1679,0)+1,2),VLOOKUP($B1034,'RFR Data - preExcl'!$BF$2:$BG1679,2,FALSE))),IFERROR(0/0,""))</f>
        <v/>
      </c>
      <c r="V1034" s="212" t="str">
        <f t="shared" si="5"/>
        <v>RUN-COMB_2022-06-02_RFR-054</v>
      </c>
      <c r="W1034" s="51"/>
      <c r="X1034" s="51"/>
      <c r="Y1034" s="147" t="str">
        <f t="shared" ref="Y1034:Z1034" si="2068">IF(_xlfn.ISFORMULA(S1034),IFERROR(0/0,""),TRUE)</f>
        <v/>
      </c>
      <c r="Z1034" s="147" t="str">
        <f t="shared" si="2068"/>
        <v/>
      </c>
    </row>
    <row r="1035">
      <c r="A1035" s="6" t="str">
        <f>IFERROR(__xludf.DUMMYFUNCTION("""COMPUTED_VALUE"""),"FM2898")</f>
        <v>FM2898</v>
      </c>
      <c r="B1035" s="206">
        <f>IFERROR(__xludf.DUMMYFUNCTION("""COMPUTED_VALUE"""),44714.0)</f>
        <v>44714</v>
      </c>
      <c r="C1035" s="207">
        <f>IFERROR(__xludf.DUMMYFUNCTION("""COMPUTED_VALUE"""),0.2870023148148148)</f>
        <v>0.2870023148</v>
      </c>
      <c r="D1035" s="50"/>
      <c r="E1035" s="58"/>
      <c r="F1035" s="58"/>
      <c r="G1035" s="58" t="str">
        <f>IFERROR(__xludf.DUMMYFUNCTION("""COMPUTED_VALUE"""),"Null")</f>
        <v>Null</v>
      </c>
      <c r="H1035" s="206" t="str">
        <f>IFERROR(__xludf.DUMMYFUNCTION("""COMPUTED_VALUE"""),"Negative")</f>
        <v>Negative</v>
      </c>
      <c r="I1035" s="207"/>
      <c r="J1035" s="50"/>
      <c r="K1035" s="50">
        <f>IFERROR(__xludf.DUMMYFUNCTION("""COMPUTED_VALUE"""),2.0)</f>
        <v>2</v>
      </c>
      <c r="L1035" s="6"/>
      <c r="M1035" s="55"/>
      <c r="N1035" s="55">
        <f>IFERROR(__xludf.DUMMYFUNCTION("""COMPUTED_VALUE"""),1.0)</f>
        <v>1</v>
      </c>
      <c r="O1035" s="55" t="str">
        <f t="shared" si="3"/>
        <v/>
      </c>
      <c r="P1035" s="209"/>
      <c r="Q1035" s="75" t="b">
        <f>VLOOKUP($B1035,'Run Reconcile'!B$2:P1679,15,FALSE)</f>
        <v>1</v>
      </c>
      <c r="R1035" s="211" t="str">
        <f t="array" ref="R1035">IF($Q1035, INDEX('Run Reconcile'!A$2:A1679,MATCH(B1035,'Run Reconcile'!B$2:B1679,0),1),IFERROR(0/0,""))</f>
        <v>RUN-COMB_2022-06-02_RFR-054</v>
      </c>
      <c r="S1035" s="165" t="str">
        <f t="shared" ref="S1035:T1035" si="2069">IF(COUNTIF(W$2:W1679, $A1035) &gt; 0,TRUE,IFERROR(0/0,""))</f>
        <v/>
      </c>
      <c r="T1035" s="165" t="str">
        <f t="shared" si="2069"/>
        <v/>
      </c>
      <c r="U1035" s="147" t="str">
        <f t="array" ref="U1035">IF(ISBLANK($R1035), IF($S1035,VLOOKUP($B1035+1,'RFR Data - preExcl'!$BF$2:$BG1679,2,FALSE),IF($T1035,INDEX('RFR Data - preExcl'!$BF$2:$BG1679,MATCH($B1035,'RFR Data - preExcl'!$BF$2:$BF1679,0)+1,2),VLOOKUP($B1035,'RFR Data - preExcl'!$BF$2:$BG1679,2,FALSE))),IFERROR(0/0,""))</f>
        <v/>
      </c>
      <c r="V1035" s="212" t="str">
        <f t="shared" si="5"/>
        <v>RUN-COMB_2022-06-02_RFR-054</v>
      </c>
      <c r="W1035" s="51"/>
      <c r="X1035" s="51"/>
      <c r="Y1035" s="147" t="str">
        <f t="shared" ref="Y1035:Z1035" si="2070">IF(_xlfn.ISFORMULA(S1035),IFERROR(0/0,""),TRUE)</f>
        <v/>
      </c>
      <c r="Z1035" s="147" t="str">
        <f t="shared" si="2070"/>
        <v/>
      </c>
    </row>
    <row r="1036">
      <c r="A1036" s="6" t="str">
        <f>IFERROR(__xludf.DUMMYFUNCTION("""COMPUTED_VALUE"""),"FM2783")</f>
        <v>FM2783</v>
      </c>
      <c r="B1036" s="206">
        <f>IFERROR(__xludf.DUMMYFUNCTION("""COMPUTED_VALUE"""),44714.0)</f>
        <v>44714</v>
      </c>
      <c r="C1036" s="207">
        <f>IFERROR(__xludf.DUMMYFUNCTION("""COMPUTED_VALUE"""),0.2872800925925926)</f>
        <v>0.2872800926</v>
      </c>
      <c r="D1036" s="50"/>
      <c r="E1036" s="58"/>
      <c r="F1036" s="58"/>
      <c r="G1036" s="58" t="str">
        <f>IFERROR(__xludf.DUMMYFUNCTION("""COMPUTED_VALUE"""),"Null")</f>
        <v>Null</v>
      </c>
      <c r="H1036" s="206" t="str">
        <f>IFERROR(__xludf.DUMMYFUNCTION("""COMPUTED_VALUE"""),"Negative")</f>
        <v>Negative</v>
      </c>
      <c r="I1036" s="207"/>
      <c r="J1036" s="50"/>
      <c r="K1036" s="50">
        <f>IFERROR(__xludf.DUMMYFUNCTION("""COMPUTED_VALUE"""),2.0)</f>
        <v>2</v>
      </c>
      <c r="L1036" s="6"/>
      <c r="M1036" s="55"/>
      <c r="N1036" s="55">
        <f>IFERROR(__xludf.DUMMYFUNCTION("""COMPUTED_VALUE"""),1.0)</f>
        <v>1</v>
      </c>
      <c r="O1036" s="55" t="str">
        <f t="shared" si="3"/>
        <v/>
      </c>
      <c r="P1036" s="209"/>
      <c r="Q1036" s="75" t="b">
        <f>VLOOKUP($B1036,'Run Reconcile'!B$2:P1679,15,FALSE)</f>
        <v>1</v>
      </c>
      <c r="R1036" s="211" t="str">
        <f t="array" ref="R1036">IF($Q1036, INDEX('Run Reconcile'!A$2:A1679,MATCH(B1036,'Run Reconcile'!B$2:B1679,0),1),IFERROR(0/0,""))</f>
        <v>RUN-COMB_2022-06-02_RFR-054</v>
      </c>
      <c r="S1036" s="165" t="str">
        <f t="shared" ref="S1036:T1036" si="2071">IF(COUNTIF(W$2:W1679, $A1036) &gt; 0,TRUE,IFERROR(0/0,""))</f>
        <v/>
      </c>
      <c r="T1036" s="165" t="str">
        <f t="shared" si="2071"/>
        <v/>
      </c>
      <c r="U1036" s="147" t="str">
        <f t="array" ref="U1036">IF(ISBLANK($R1036), IF($S1036,VLOOKUP($B1036+1,'RFR Data - preExcl'!$BF$2:$BG1679,2,FALSE),IF($T1036,INDEX('RFR Data - preExcl'!$BF$2:$BG1679,MATCH($B1036,'RFR Data - preExcl'!$BF$2:$BF1679,0)+1,2),VLOOKUP($B1036,'RFR Data - preExcl'!$BF$2:$BG1679,2,FALSE))),IFERROR(0/0,""))</f>
        <v/>
      </c>
      <c r="V1036" s="212" t="str">
        <f t="shared" si="5"/>
        <v>RUN-COMB_2022-06-02_RFR-054</v>
      </c>
      <c r="W1036" s="51"/>
      <c r="X1036" s="51"/>
      <c r="Y1036" s="147" t="str">
        <f t="shared" ref="Y1036:Z1036" si="2072">IF(_xlfn.ISFORMULA(S1036),IFERROR(0/0,""),TRUE)</f>
        <v/>
      </c>
      <c r="Z1036" s="147" t="str">
        <f t="shared" si="2072"/>
        <v/>
      </c>
    </row>
    <row r="1037">
      <c r="A1037" s="6" t="str">
        <f>IFERROR(__xludf.DUMMYFUNCTION("""COMPUTED_VALUE"""),"FM2925")</f>
        <v>FM2925</v>
      </c>
      <c r="B1037" s="206">
        <f>IFERROR(__xludf.DUMMYFUNCTION("""COMPUTED_VALUE"""),44714.0)</f>
        <v>44714</v>
      </c>
      <c r="C1037" s="207">
        <f>IFERROR(__xludf.DUMMYFUNCTION("""COMPUTED_VALUE"""),0.2876736111111111)</f>
        <v>0.2876736111</v>
      </c>
      <c r="D1037" s="50"/>
      <c r="E1037" s="58"/>
      <c r="F1037" s="58"/>
      <c r="G1037" s="58" t="str">
        <f>IFERROR(__xludf.DUMMYFUNCTION("""COMPUTED_VALUE"""),"Null")</f>
        <v>Null</v>
      </c>
      <c r="H1037" s="206" t="str">
        <f>IFERROR(__xludf.DUMMYFUNCTION("""COMPUTED_VALUE"""),"Negative")</f>
        <v>Negative</v>
      </c>
      <c r="I1037" s="207"/>
      <c r="J1037" s="50"/>
      <c r="K1037" s="50">
        <f>IFERROR(__xludf.DUMMYFUNCTION("""COMPUTED_VALUE"""),2.0)</f>
        <v>2</v>
      </c>
      <c r="L1037" s="6"/>
      <c r="M1037" s="55"/>
      <c r="N1037" s="55">
        <f>IFERROR(__xludf.DUMMYFUNCTION("""COMPUTED_VALUE"""),1.0)</f>
        <v>1</v>
      </c>
      <c r="O1037" s="55" t="str">
        <f t="shared" si="3"/>
        <v/>
      </c>
      <c r="P1037" s="209"/>
      <c r="Q1037" s="75" t="b">
        <f>VLOOKUP($B1037,'Run Reconcile'!B$2:P1679,15,FALSE)</f>
        <v>1</v>
      </c>
      <c r="R1037" s="211" t="str">
        <f t="array" ref="R1037">IF($Q1037, INDEX('Run Reconcile'!A$2:A1679,MATCH(B1037,'Run Reconcile'!B$2:B1679,0),1),IFERROR(0/0,""))</f>
        <v>RUN-COMB_2022-06-02_RFR-054</v>
      </c>
      <c r="S1037" s="165" t="str">
        <f t="shared" ref="S1037:T1037" si="2073">IF(COUNTIF(W$2:W1679, $A1037) &gt; 0,TRUE,IFERROR(0/0,""))</f>
        <v/>
      </c>
      <c r="T1037" s="165" t="str">
        <f t="shared" si="2073"/>
        <v/>
      </c>
      <c r="U1037" s="147" t="str">
        <f t="array" ref="U1037">IF(ISBLANK($R1037), IF($S1037,VLOOKUP($B1037+1,'RFR Data - preExcl'!$BF$2:$BG1679,2,FALSE),IF($T1037,INDEX('RFR Data - preExcl'!$BF$2:$BG1679,MATCH($B1037,'RFR Data - preExcl'!$BF$2:$BF1679,0)+1,2),VLOOKUP($B1037,'RFR Data - preExcl'!$BF$2:$BG1679,2,FALSE))),IFERROR(0/0,""))</f>
        <v/>
      </c>
      <c r="V1037" s="212" t="str">
        <f t="shared" si="5"/>
        <v>RUN-COMB_2022-06-02_RFR-054</v>
      </c>
      <c r="W1037" s="51"/>
      <c r="X1037" s="51"/>
      <c r="Y1037" s="147" t="str">
        <f t="shared" ref="Y1037:Z1037" si="2074">IF(_xlfn.ISFORMULA(S1037),IFERROR(0/0,""),TRUE)</f>
        <v/>
      </c>
      <c r="Z1037" s="147" t="str">
        <f t="shared" si="2074"/>
        <v/>
      </c>
    </row>
    <row r="1038">
      <c r="A1038" s="6" t="str">
        <f>IFERROR(__xludf.DUMMYFUNCTION("""COMPUTED_VALUE"""),"FM2861")</f>
        <v>FM2861</v>
      </c>
      <c r="B1038" s="206">
        <f>IFERROR(__xludf.DUMMYFUNCTION("""COMPUTED_VALUE"""),44714.0)</f>
        <v>44714</v>
      </c>
      <c r="C1038" s="207">
        <f>IFERROR(__xludf.DUMMYFUNCTION("""COMPUTED_VALUE"""),0.28813657407407406)</f>
        <v>0.2881365741</v>
      </c>
      <c r="D1038" s="50"/>
      <c r="E1038" s="58"/>
      <c r="F1038" s="58"/>
      <c r="G1038" s="58" t="str">
        <f>IFERROR(__xludf.DUMMYFUNCTION("""COMPUTED_VALUE"""),"Null")</f>
        <v>Null</v>
      </c>
      <c r="H1038" s="206" t="str">
        <f>IFERROR(__xludf.DUMMYFUNCTION("""COMPUTED_VALUE"""),"Negative")</f>
        <v>Negative</v>
      </c>
      <c r="I1038" s="207"/>
      <c r="J1038" s="50"/>
      <c r="K1038" s="50">
        <f>IFERROR(__xludf.DUMMYFUNCTION("""COMPUTED_VALUE"""),2.0)</f>
        <v>2</v>
      </c>
      <c r="L1038" s="6"/>
      <c r="M1038" s="55"/>
      <c r="N1038" s="55">
        <f>IFERROR(__xludf.DUMMYFUNCTION("""COMPUTED_VALUE"""),1.0)</f>
        <v>1</v>
      </c>
      <c r="O1038" s="55" t="str">
        <f t="shared" si="3"/>
        <v/>
      </c>
      <c r="P1038" s="209"/>
      <c r="Q1038" s="75" t="b">
        <f>VLOOKUP($B1038,'Run Reconcile'!B$2:P1679,15,FALSE)</f>
        <v>1</v>
      </c>
      <c r="R1038" s="211" t="str">
        <f t="array" ref="R1038">IF($Q1038, INDEX('Run Reconcile'!A$2:A1679,MATCH(B1038,'Run Reconcile'!B$2:B1679,0),1),IFERROR(0/0,""))</f>
        <v>RUN-COMB_2022-06-02_RFR-054</v>
      </c>
      <c r="S1038" s="165" t="str">
        <f t="shared" ref="S1038:T1038" si="2075">IF(COUNTIF(W$2:W1679, $A1038) &gt; 0,TRUE,IFERROR(0/0,""))</f>
        <v/>
      </c>
      <c r="T1038" s="165" t="str">
        <f t="shared" si="2075"/>
        <v/>
      </c>
      <c r="U1038" s="147" t="str">
        <f t="array" ref="U1038">IF(ISBLANK($R1038), IF($S1038,VLOOKUP($B1038+1,'RFR Data - preExcl'!$BF$2:$BG1679,2,FALSE),IF($T1038,INDEX('RFR Data - preExcl'!$BF$2:$BG1679,MATCH($B1038,'RFR Data - preExcl'!$BF$2:$BF1679,0)+1,2),VLOOKUP($B1038,'RFR Data - preExcl'!$BF$2:$BG1679,2,FALSE))),IFERROR(0/0,""))</f>
        <v/>
      </c>
      <c r="V1038" s="212" t="str">
        <f t="shared" si="5"/>
        <v>RUN-COMB_2022-06-02_RFR-054</v>
      </c>
      <c r="W1038" s="51"/>
      <c r="X1038" s="51"/>
      <c r="Y1038" s="147" t="str">
        <f t="shared" ref="Y1038:Z1038" si="2076">IF(_xlfn.ISFORMULA(S1038),IFERROR(0/0,""),TRUE)</f>
        <v/>
      </c>
      <c r="Z1038" s="147" t="str">
        <f t="shared" si="2076"/>
        <v/>
      </c>
    </row>
    <row r="1039">
      <c r="A1039" s="6" t="str">
        <f>IFERROR(__xludf.DUMMYFUNCTION("""COMPUTED_VALUE"""),"FM2855")</f>
        <v>FM2855</v>
      </c>
      <c r="B1039" s="206">
        <f>IFERROR(__xludf.DUMMYFUNCTION("""COMPUTED_VALUE"""),44714.0)</f>
        <v>44714</v>
      </c>
      <c r="C1039" s="207">
        <f>IFERROR(__xludf.DUMMYFUNCTION("""COMPUTED_VALUE"""),0.28850694444444447)</f>
        <v>0.2885069444</v>
      </c>
      <c r="D1039" s="50"/>
      <c r="E1039" s="58"/>
      <c r="F1039" s="58"/>
      <c r="G1039" s="58" t="str">
        <f>IFERROR(__xludf.DUMMYFUNCTION("""COMPUTED_VALUE"""),"Null")</f>
        <v>Null</v>
      </c>
      <c r="H1039" s="206" t="str">
        <f>IFERROR(__xludf.DUMMYFUNCTION("""COMPUTED_VALUE"""),"Negative")</f>
        <v>Negative</v>
      </c>
      <c r="I1039" s="207"/>
      <c r="J1039" s="50"/>
      <c r="K1039" s="50">
        <f>IFERROR(__xludf.DUMMYFUNCTION("""COMPUTED_VALUE"""),2.0)</f>
        <v>2</v>
      </c>
      <c r="L1039" s="6"/>
      <c r="M1039" s="55"/>
      <c r="N1039" s="55">
        <f>IFERROR(__xludf.DUMMYFUNCTION("""COMPUTED_VALUE"""),1.0)</f>
        <v>1</v>
      </c>
      <c r="O1039" s="55" t="str">
        <f t="shared" si="3"/>
        <v/>
      </c>
      <c r="P1039" s="209"/>
      <c r="Q1039" s="75" t="b">
        <f>VLOOKUP($B1039,'Run Reconcile'!B$2:P1679,15,FALSE)</f>
        <v>1</v>
      </c>
      <c r="R1039" s="211" t="str">
        <f t="array" ref="R1039">IF($Q1039, INDEX('Run Reconcile'!A$2:A1679,MATCH(B1039,'Run Reconcile'!B$2:B1679,0),1),IFERROR(0/0,""))</f>
        <v>RUN-COMB_2022-06-02_RFR-054</v>
      </c>
      <c r="S1039" s="165" t="str">
        <f t="shared" ref="S1039:T1039" si="2077">IF(COUNTIF(W$2:W1679, $A1039) &gt; 0,TRUE,IFERROR(0/0,""))</f>
        <v/>
      </c>
      <c r="T1039" s="165" t="str">
        <f t="shared" si="2077"/>
        <v/>
      </c>
      <c r="U1039" s="147" t="str">
        <f t="array" ref="U1039">IF(ISBLANK($R1039), IF($S1039,VLOOKUP($B1039+1,'RFR Data - preExcl'!$BF$2:$BG1679,2,FALSE),IF($T1039,INDEX('RFR Data - preExcl'!$BF$2:$BG1679,MATCH($B1039,'RFR Data - preExcl'!$BF$2:$BF1679,0)+1,2),VLOOKUP($B1039,'RFR Data - preExcl'!$BF$2:$BG1679,2,FALSE))),IFERROR(0/0,""))</f>
        <v/>
      </c>
      <c r="V1039" s="212" t="str">
        <f t="shared" si="5"/>
        <v>RUN-COMB_2022-06-02_RFR-054</v>
      </c>
      <c r="W1039" s="51"/>
      <c r="X1039" s="51"/>
      <c r="Y1039" s="147" t="str">
        <f t="shared" ref="Y1039:Z1039" si="2078">IF(_xlfn.ISFORMULA(S1039),IFERROR(0/0,""),TRUE)</f>
        <v/>
      </c>
      <c r="Z1039" s="147" t="str">
        <f t="shared" si="2078"/>
        <v/>
      </c>
    </row>
    <row r="1040">
      <c r="A1040" s="6" t="str">
        <f>IFERROR(__xludf.DUMMYFUNCTION("""COMPUTED_VALUE"""),"FM2811")</f>
        <v>FM2811</v>
      </c>
      <c r="B1040" s="206">
        <f>IFERROR(__xludf.DUMMYFUNCTION("""COMPUTED_VALUE"""),44715.0)</f>
        <v>44715</v>
      </c>
      <c r="C1040" s="207">
        <f>IFERROR(__xludf.DUMMYFUNCTION("""COMPUTED_VALUE"""),0.26546296296296296)</f>
        <v>0.265462963</v>
      </c>
      <c r="D1040" s="50"/>
      <c r="E1040" s="58"/>
      <c r="F1040" s="58"/>
      <c r="G1040" s="58" t="str">
        <f>IFERROR(__xludf.DUMMYFUNCTION("""COMPUTED_VALUE"""),"Null")</f>
        <v>Null</v>
      </c>
      <c r="H1040" s="206" t="str">
        <f>IFERROR(__xludf.DUMMYFUNCTION("""COMPUTED_VALUE"""),"Negative")</f>
        <v>Negative</v>
      </c>
      <c r="I1040" s="207">
        <f>IFERROR(__xludf.DUMMYFUNCTION("""COMPUTED_VALUE"""),44715.0)</f>
        <v>44715</v>
      </c>
      <c r="J1040" s="208">
        <f>IFERROR(__xludf.DUMMYFUNCTION("""COMPUTED_VALUE"""),0.3888425925925926)</f>
        <v>0.3888425926</v>
      </c>
      <c r="K1040" s="50">
        <f>IFERROR(__xludf.DUMMYFUNCTION("""COMPUTED_VALUE"""),2.0)</f>
        <v>2</v>
      </c>
      <c r="L1040" s="6"/>
      <c r="M1040" s="55"/>
      <c r="N1040" s="55">
        <f>IFERROR(__xludf.DUMMYFUNCTION("""COMPUTED_VALUE"""),1.0)</f>
        <v>1</v>
      </c>
      <c r="O1040" s="55" t="b">
        <f t="shared" si="3"/>
        <v>1</v>
      </c>
      <c r="P1040" s="209"/>
      <c r="Q1040" s="75" t="b">
        <f>VLOOKUP($B1040,'Run Reconcile'!B$2:P1679,15,FALSE)</f>
        <v>1</v>
      </c>
      <c r="R1040" s="211" t="str">
        <f t="array" ref="R1040">IF($Q1040, INDEX('Run Reconcile'!A$2:A1679,MATCH(B1040,'Run Reconcile'!B$2:B1679,0),1),IFERROR(0/0,""))</f>
        <v>RUN-COMB_2022-06-03_RFR-055</v>
      </c>
      <c r="S1040" s="165" t="str">
        <f t="shared" ref="S1040:T1040" si="2079">IF(COUNTIF(W$2:W1679, $A1040) &gt; 0,TRUE,IFERROR(0/0,""))</f>
        <v/>
      </c>
      <c r="T1040" s="165" t="str">
        <f t="shared" si="2079"/>
        <v/>
      </c>
      <c r="U1040" s="147" t="str">
        <f t="array" ref="U1040">IF(ISBLANK($R1040), IF($S1040,VLOOKUP($B1040+1,'RFR Data - preExcl'!$BF$2:$BG1679,2,FALSE),IF($T1040,INDEX('RFR Data - preExcl'!$BF$2:$BG1679,MATCH($B1040,'RFR Data - preExcl'!$BF$2:$BF1679,0)+1,2),VLOOKUP($B1040,'RFR Data - preExcl'!$BF$2:$BG1679,2,FALSE))),IFERROR(0/0,""))</f>
        <v/>
      </c>
      <c r="V1040" s="212" t="str">
        <f t="shared" si="5"/>
        <v>RUN-COMB_2022-06-03_RFR-055</v>
      </c>
      <c r="W1040" s="51"/>
      <c r="X1040" s="51"/>
      <c r="Y1040" s="147" t="str">
        <f t="shared" ref="Y1040:Z1040" si="2080">IF(_xlfn.ISFORMULA(S1040),IFERROR(0/0,""),TRUE)</f>
        <v/>
      </c>
      <c r="Z1040" s="147" t="str">
        <f t="shared" si="2080"/>
        <v/>
      </c>
    </row>
    <row r="1041">
      <c r="A1041" s="6" t="str">
        <f>IFERROR(__xludf.DUMMYFUNCTION("""COMPUTED_VALUE"""),"FM2929")</f>
        <v>FM2929</v>
      </c>
      <c r="B1041" s="206">
        <f>IFERROR(__xludf.DUMMYFUNCTION("""COMPUTED_VALUE"""),44715.0)</f>
        <v>44715</v>
      </c>
      <c r="C1041" s="207">
        <f>IFERROR(__xludf.DUMMYFUNCTION("""COMPUTED_VALUE"""),0.2657638888888889)</f>
        <v>0.2657638889</v>
      </c>
      <c r="D1041" s="50"/>
      <c r="E1041" s="58"/>
      <c r="F1041" s="58"/>
      <c r="G1041" s="58" t="str">
        <f>IFERROR(__xludf.DUMMYFUNCTION("""COMPUTED_VALUE"""),"Null")</f>
        <v>Null</v>
      </c>
      <c r="H1041" s="206" t="str">
        <f>IFERROR(__xludf.DUMMYFUNCTION("""COMPUTED_VALUE"""),"Negative")</f>
        <v>Negative</v>
      </c>
      <c r="I1041" s="207">
        <f>IFERROR(__xludf.DUMMYFUNCTION("""COMPUTED_VALUE"""),44715.0)</f>
        <v>44715</v>
      </c>
      <c r="J1041" s="208">
        <f>IFERROR(__xludf.DUMMYFUNCTION("""COMPUTED_VALUE"""),0.3888773148148148)</f>
        <v>0.3888773148</v>
      </c>
      <c r="K1041" s="50">
        <f>IFERROR(__xludf.DUMMYFUNCTION("""COMPUTED_VALUE"""),2.0)</f>
        <v>2</v>
      </c>
      <c r="L1041" s="6"/>
      <c r="M1041" s="55"/>
      <c r="N1041" s="55">
        <f>IFERROR(__xludf.DUMMYFUNCTION("""COMPUTED_VALUE"""),1.0)</f>
        <v>1</v>
      </c>
      <c r="O1041" s="55" t="str">
        <f t="shared" si="3"/>
        <v/>
      </c>
      <c r="P1041" s="209"/>
      <c r="Q1041" s="75" t="b">
        <f>VLOOKUP($B1041,'Run Reconcile'!B$2:P1679,15,FALSE)</f>
        <v>1</v>
      </c>
      <c r="R1041" s="211" t="str">
        <f t="array" ref="R1041">IF($Q1041, INDEX('Run Reconcile'!A$2:A1679,MATCH(B1041,'Run Reconcile'!B$2:B1679,0),1),IFERROR(0/0,""))</f>
        <v>RUN-COMB_2022-06-03_RFR-055</v>
      </c>
      <c r="S1041" s="165" t="str">
        <f t="shared" ref="S1041:T1041" si="2081">IF(COUNTIF(W$2:W1679, $A1041) &gt; 0,TRUE,IFERROR(0/0,""))</f>
        <v/>
      </c>
      <c r="T1041" s="165" t="str">
        <f t="shared" si="2081"/>
        <v/>
      </c>
      <c r="U1041" s="147" t="str">
        <f t="array" ref="U1041">IF(ISBLANK($R1041), IF($S1041,VLOOKUP($B1041+1,'RFR Data - preExcl'!$BF$2:$BG1679,2,FALSE),IF($T1041,INDEX('RFR Data - preExcl'!$BF$2:$BG1679,MATCH($B1041,'RFR Data - preExcl'!$BF$2:$BF1679,0)+1,2),VLOOKUP($B1041,'RFR Data - preExcl'!$BF$2:$BG1679,2,FALSE))),IFERROR(0/0,""))</f>
        <v/>
      </c>
      <c r="V1041" s="212" t="str">
        <f t="shared" si="5"/>
        <v>RUN-COMB_2022-06-03_RFR-055</v>
      </c>
      <c r="W1041" s="51"/>
      <c r="X1041" s="51"/>
      <c r="Y1041" s="147" t="str">
        <f t="shared" ref="Y1041:Z1041" si="2082">IF(_xlfn.ISFORMULA(S1041),IFERROR(0/0,""),TRUE)</f>
        <v/>
      </c>
      <c r="Z1041" s="147" t="str">
        <f t="shared" si="2082"/>
        <v/>
      </c>
    </row>
    <row r="1042">
      <c r="A1042" s="6" t="str">
        <f>IFERROR(__xludf.DUMMYFUNCTION("""COMPUTED_VALUE"""),"FM2814")</f>
        <v>FM2814</v>
      </c>
      <c r="B1042" s="206">
        <f>IFERROR(__xludf.DUMMYFUNCTION("""COMPUTED_VALUE"""),44715.0)</f>
        <v>44715</v>
      </c>
      <c r="C1042" s="207">
        <f>IFERROR(__xludf.DUMMYFUNCTION("""COMPUTED_VALUE"""),0.26608796296296294)</f>
        <v>0.266087963</v>
      </c>
      <c r="D1042" s="50"/>
      <c r="E1042" s="58"/>
      <c r="F1042" s="58"/>
      <c r="G1042" s="58" t="str">
        <f>IFERROR(__xludf.DUMMYFUNCTION("""COMPUTED_VALUE"""),"Null")</f>
        <v>Null</v>
      </c>
      <c r="H1042" s="206" t="str">
        <f>IFERROR(__xludf.DUMMYFUNCTION("""COMPUTED_VALUE"""),"Negative")</f>
        <v>Negative</v>
      </c>
      <c r="I1042" s="207">
        <f>IFERROR(__xludf.DUMMYFUNCTION("""COMPUTED_VALUE"""),44715.0)</f>
        <v>44715</v>
      </c>
      <c r="J1042" s="208">
        <f>IFERROR(__xludf.DUMMYFUNCTION("""COMPUTED_VALUE"""),0.388900462962963)</f>
        <v>0.388900463</v>
      </c>
      <c r="K1042" s="50">
        <f>IFERROR(__xludf.DUMMYFUNCTION("""COMPUTED_VALUE"""),2.0)</f>
        <v>2</v>
      </c>
      <c r="L1042" s="6"/>
      <c r="M1042" s="55"/>
      <c r="N1042" s="55">
        <f>IFERROR(__xludf.DUMMYFUNCTION("""COMPUTED_VALUE"""),1.0)</f>
        <v>1</v>
      </c>
      <c r="O1042" s="55" t="str">
        <f t="shared" si="3"/>
        <v/>
      </c>
      <c r="P1042" s="209"/>
      <c r="Q1042" s="75" t="b">
        <f>VLOOKUP($B1042,'Run Reconcile'!B$2:P1679,15,FALSE)</f>
        <v>1</v>
      </c>
      <c r="R1042" s="211" t="str">
        <f t="array" ref="R1042">IF($Q1042, INDEX('Run Reconcile'!A$2:A1679,MATCH(B1042,'Run Reconcile'!B$2:B1679,0),1),IFERROR(0/0,""))</f>
        <v>RUN-COMB_2022-06-03_RFR-055</v>
      </c>
      <c r="S1042" s="165" t="str">
        <f t="shared" ref="S1042:T1042" si="2083">IF(COUNTIF(W$2:W1679, $A1042) &gt; 0,TRUE,IFERROR(0/0,""))</f>
        <v/>
      </c>
      <c r="T1042" s="165" t="str">
        <f t="shared" si="2083"/>
        <v/>
      </c>
      <c r="U1042" s="147" t="str">
        <f t="array" ref="U1042">IF(ISBLANK($R1042), IF($S1042,VLOOKUP($B1042+1,'RFR Data - preExcl'!$BF$2:$BG1679,2,FALSE),IF($T1042,INDEX('RFR Data - preExcl'!$BF$2:$BG1679,MATCH($B1042,'RFR Data - preExcl'!$BF$2:$BF1679,0)+1,2),VLOOKUP($B1042,'RFR Data - preExcl'!$BF$2:$BG1679,2,FALSE))),IFERROR(0/0,""))</f>
        <v/>
      </c>
      <c r="V1042" s="212" t="str">
        <f t="shared" si="5"/>
        <v>RUN-COMB_2022-06-03_RFR-055</v>
      </c>
      <c r="W1042" s="51"/>
      <c r="X1042" s="51"/>
      <c r="Y1042" s="147" t="str">
        <f t="shared" ref="Y1042:Z1042" si="2084">IF(_xlfn.ISFORMULA(S1042),IFERROR(0/0,""),TRUE)</f>
        <v/>
      </c>
      <c r="Z1042" s="147" t="str">
        <f t="shared" si="2084"/>
        <v/>
      </c>
    </row>
    <row r="1043">
      <c r="A1043" s="6" t="str">
        <f>IFERROR(__xludf.DUMMYFUNCTION("""COMPUTED_VALUE"""),"FM2853")</f>
        <v>FM2853</v>
      </c>
      <c r="B1043" s="206">
        <f>IFERROR(__xludf.DUMMYFUNCTION("""COMPUTED_VALUE"""),44715.0)</f>
        <v>44715</v>
      </c>
      <c r="C1043" s="207">
        <f>IFERROR(__xludf.DUMMYFUNCTION("""COMPUTED_VALUE"""),0.26635416666666667)</f>
        <v>0.2663541667</v>
      </c>
      <c r="D1043" s="50"/>
      <c r="E1043" s="58"/>
      <c r="F1043" s="58"/>
      <c r="G1043" s="58" t="str">
        <f>IFERROR(__xludf.DUMMYFUNCTION("""COMPUTED_VALUE"""),"Null")</f>
        <v>Null</v>
      </c>
      <c r="H1043" s="206" t="str">
        <f>IFERROR(__xludf.DUMMYFUNCTION("""COMPUTED_VALUE"""),"Negative")</f>
        <v>Negative</v>
      </c>
      <c r="I1043" s="207">
        <f>IFERROR(__xludf.DUMMYFUNCTION("""COMPUTED_VALUE"""),44715.0)</f>
        <v>44715</v>
      </c>
      <c r="J1043" s="208">
        <f>IFERROR(__xludf.DUMMYFUNCTION("""COMPUTED_VALUE"""),0.38891203703703703)</f>
        <v>0.388912037</v>
      </c>
      <c r="K1043" s="50">
        <f>IFERROR(__xludf.DUMMYFUNCTION("""COMPUTED_VALUE"""),2.0)</f>
        <v>2</v>
      </c>
      <c r="L1043" s="6"/>
      <c r="M1043" s="55"/>
      <c r="N1043" s="55">
        <f>IFERROR(__xludf.DUMMYFUNCTION("""COMPUTED_VALUE"""),1.0)</f>
        <v>1</v>
      </c>
      <c r="O1043" s="55" t="str">
        <f t="shared" si="3"/>
        <v/>
      </c>
      <c r="P1043" s="209"/>
      <c r="Q1043" s="75" t="b">
        <f>VLOOKUP($B1043,'Run Reconcile'!B$2:P1679,15,FALSE)</f>
        <v>1</v>
      </c>
      <c r="R1043" s="211" t="str">
        <f t="array" ref="R1043">IF($Q1043, INDEX('Run Reconcile'!A$2:A1679,MATCH(B1043,'Run Reconcile'!B$2:B1679,0),1),IFERROR(0/0,""))</f>
        <v>RUN-COMB_2022-06-03_RFR-055</v>
      </c>
      <c r="S1043" s="165" t="str">
        <f t="shared" ref="S1043:T1043" si="2085">IF(COUNTIF(W$2:W1679, $A1043) &gt; 0,TRUE,IFERROR(0/0,""))</f>
        <v/>
      </c>
      <c r="T1043" s="165" t="str">
        <f t="shared" si="2085"/>
        <v/>
      </c>
      <c r="U1043" s="147" t="str">
        <f t="array" ref="U1043">IF(ISBLANK($R1043), IF($S1043,VLOOKUP($B1043+1,'RFR Data - preExcl'!$BF$2:$BG1679,2,FALSE),IF($T1043,INDEX('RFR Data - preExcl'!$BF$2:$BG1679,MATCH($B1043,'RFR Data - preExcl'!$BF$2:$BF1679,0)+1,2),VLOOKUP($B1043,'RFR Data - preExcl'!$BF$2:$BG1679,2,FALSE))),IFERROR(0/0,""))</f>
        <v/>
      </c>
      <c r="V1043" s="212" t="str">
        <f t="shared" si="5"/>
        <v>RUN-COMB_2022-06-03_RFR-055</v>
      </c>
      <c r="W1043" s="51"/>
      <c r="X1043" s="51"/>
      <c r="Y1043" s="147" t="str">
        <f t="shared" ref="Y1043:Z1043" si="2086">IF(_xlfn.ISFORMULA(S1043),IFERROR(0/0,""),TRUE)</f>
        <v/>
      </c>
      <c r="Z1043" s="147" t="str">
        <f t="shared" si="2086"/>
        <v/>
      </c>
    </row>
    <row r="1044">
      <c r="A1044" s="6" t="str">
        <f>IFERROR(__xludf.DUMMYFUNCTION("""COMPUTED_VALUE"""),"FM2933")</f>
        <v>FM2933</v>
      </c>
      <c r="B1044" s="206">
        <f>IFERROR(__xludf.DUMMYFUNCTION("""COMPUTED_VALUE"""),44715.0)</f>
        <v>44715</v>
      </c>
      <c r="C1044" s="207">
        <f>IFERROR(__xludf.DUMMYFUNCTION("""COMPUTED_VALUE"""),0.26817129629629627)</f>
        <v>0.2681712963</v>
      </c>
      <c r="D1044" s="50"/>
      <c r="E1044" s="58"/>
      <c r="F1044" s="58"/>
      <c r="G1044" s="58" t="str">
        <f>IFERROR(__xludf.DUMMYFUNCTION("""COMPUTED_VALUE"""),"Null")</f>
        <v>Null</v>
      </c>
      <c r="H1044" s="206" t="str">
        <f>IFERROR(__xludf.DUMMYFUNCTION("""COMPUTED_VALUE"""),"Negative")</f>
        <v>Negative</v>
      </c>
      <c r="I1044" s="207">
        <f>IFERROR(__xludf.DUMMYFUNCTION("""COMPUTED_VALUE"""),44715.0)</f>
        <v>44715</v>
      </c>
      <c r="J1044" s="208">
        <f>IFERROR(__xludf.DUMMYFUNCTION("""COMPUTED_VALUE"""),0.3889236111111111)</f>
        <v>0.3889236111</v>
      </c>
      <c r="K1044" s="50">
        <f>IFERROR(__xludf.DUMMYFUNCTION("""COMPUTED_VALUE"""),2.0)</f>
        <v>2</v>
      </c>
      <c r="L1044" s="6"/>
      <c r="M1044" s="55"/>
      <c r="N1044" s="55">
        <f>IFERROR(__xludf.DUMMYFUNCTION("""COMPUTED_VALUE"""),1.0)</f>
        <v>1</v>
      </c>
      <c r="O1044" s="55" t="str">
        <f t="shared" si="3"/>
        <v/>
      </c>
      <c r="P1044" s="209"/>
      <c r="Q1044" s="75" t="b">
        <f>VLOOKUP($B1044,'Run Reconcile'!B$2:P1679,15,FALSE)</f>
        <v>1</v>
      </c>
      <c r="R1044" s="211" t="str">
        <f t="array" ref="R1044">IF($Q1044, INDEX('Run Reconcile'!A$2:A1679,MATCH(B1044,'Run Reconcile'!B$2:B1679,0),1),IFERROR(0/0,""))</f>
        <v>RUN-COMB_2022-06-03_RFR-055</v>
      </c>
      <c r="S1044" s="165" t="str">
        <f t="shared" ref="S1044:T1044" si="2087">IF(COUNTIF(W$2:W1679, $A1044) &gt; 0,TRUE,IFERROR(0/0,""))</f>
        <v/>
      </c>
      <c r="T1044" s="165" t="str">
        <f t="shared" si="2087"/>
        <v/>
      </c>
      <c r="U1044" s="147" t="str">
        <f t="array" ref="U1044">IF(ISBLANK($R1044), IF($S1044,VLOOKUP($B1044+1,'RFR Data - preExcl'!$BF$2:$BG1679,2,FALSE),IF($T1044,INDEX('RFR Data - preExcl'!$BF$2:$BG1679,MATCH($B1044,'RFR Data - preExcl'!$BF$2:$BF1679,0)+1,2),VLOOKUP($B1044,'RFR Data - preExcl'!$BF$2:$BG1679,2,FALSE))),IFERROR(0/0,""))</f>
        <v/>
      </c>
      <c r="V1044" s="212" t="str">
        <f t="shared" si="5"/>
        <v>RUN-COMB_2022-06-03_RFR-055</v>
      </c>
      <c r="W1044" s="51"/>
      <c r="X1044" s="51"/>
      <c r="Y1044" s="147" t="str">
        <f t="shared" ref="Y1044:Z1044" si="2088">IF(_xlfn.ISFORMULA(S1044),IFERROR(0/0,""),TRUE)</f>
        <v/>
      </c>
      <c r="Z1044" s="147" t="str">
        <f t="shared" si="2088"/>
        <v/>
      </c>
    </row>
    <row r="1045">
      <c r="A1045" s="6" t="str">
        <f>IFERROR(__xludf.DUMMYFUNCTION("""COMPUTED_VALUE"""),"FM2775")</f>
        <v>FM2775</v>
      </c>
      <c r="B1045" s="206">
        <f>IFERROR(__xludf.DUMMYFUNCTION("""COMPUTED_VALUE"""),44715.0)</f>
        <v>44715</v>
      </c>
      <c r="C1045" s="207">
        <f>IFERROR(__xludf.DUMMYFUNCTION("""COMPUTED_VALUE"""),0.26850694444444445)</f>
        <v>0.2685069444</v>
      </c>
      <c r="D1045" s="50"/>
      <c r="E1045" s="58"/>
      <c r="F1045" s="58"/>
      <c r="G1045" s="58" t="str">
        <f>IFERROR(__xludf.DUMMYFUNCTION("""COMPUTED_VALUE"""),"Null")</f>
        <v>Null</v>
      </c>
      <c r="H1045" s="206" t="str">
        <f>IFERROR(__xludf.DUMMYFUNCTION("""COMPUTED_VALUE"""),"Negative")</f>
        <v>Negative</v>
      </c>
      <c r="I1045" s="207">
        <f>IFERROR(__xludf.DUMMYFUNCTION("""COMPUTED_VALUE"""),44715.0)</f>
        <v>44715</v>
      </c>
      <c r="J1045" s="208">
        <f>IFERROR(__xludf.DUMMYFUNCTION("""COMPUTED_VALUE"""),0.38894675925925926)</f>
        <v>0.3889467593</v>
      </c>
      <c r="K1045" s="50">
        <f>IFERROR(__xludf.DUMMYFUNCTION("""COMPUTED_VALUE"""),2.0)</f>
        <v>2</v>
      </c>
      <c r="L1045" s="6"/>
      <c r="M1045" s="55"/>
      <c r="N1045" s="55">
        <f>IFERROR(__xludf.DUMMYFUNCTION("""COMPUTED_VALUE"""),1.0)</f>
        <v>1</v>
      </c>
      <c r="O1045" s="55" t="str">
        <f t="shared" si="3"/>
        <v/>
      </c>
      <c r="P1045" s="209"/>
      <c r="Q1045" s="75" t="b">
        <f>VLOOKUP($B1045,'Run Reconcile'!B$2:P1679,15,FALSE)</f>
        <v>1</v>
      </c>
      <c r="R1045" s="211" t="str">
        <f t="array" ref="R1045">IF($Q1045, INDEX('Run Reconcile'!A$2:A1679,MATCH(B1045,'Run Reconcile'!B$2:B1679,0),1),IFERROR(0/0,""))</f>
        <v>RUN-COMB_2022-06-03_RFR-055</v>
      </c>
      <c r="S1045" s="165" t="str">
        <f t="shared" ref="S1045:T1045" si="2089">IF(COUNTIF(W$2:W1679, $A1045) &gt; 0,TRUE,IFERROR(0/0,""))</f>
        <v/>
      </c>
      <c r="T1045" s="165" t="str">
        <f t="shared" si="2089"/>
        <v/>
      </c>
      <c r="U1045" s="147" t="str">
        <f t="array" ref="U1045">IF(ISBLANK($R1045), IF($S1045,VLOOKUP($B1045+1,'RFR Data - preExcl'!$BF$2:$BG1679,2,FALSE),IF($T1045,INDEX('RFR Data - preExcl'!$BF$2:$BG1679,MATCH($B1045,'RFR Data - preExcl'!$BF$2:$BF1679,0)+1,2),VLOOKUP($B1045,'RFR Data - preExcl'!$BF$2:$BG1679,2,FALSE))),IFERROR(0/0,""))</f>
        <v/>
      </c>
      <c r="V1045" s="212" t="str">
        <f t="shared" si="5"/>
        <v>RUN-COMB_2022-06-03_RFR-055</v>
      </c>
      <c r="W1045" s="51"/>
      <c r="X1045" s="51"/>
      <c r="Y1045" s="147" t="str">
        <f t="shared" ref="Y1045:Z1045" si="2090">IF(_xlfn.ISFORMULA(S1045),IFERROR(0/0,""),TRUE)</f>
        <v/>
      </c>
      <c r="Z1045" s="147" t="str">
        <f t="shared" si="2090"/>
        <v/>
      </c>
    </row>
    <row r="1046">
      <c r="A1046" s="6" t="str">
        <f>IFERROR(__xludf.DUMMYFUNCTION("""COMPUTED_VALUE"""),"FM2845")</f>
        <v>FM2845</v>
      </c>
      <c r="B1046" s="206">
        <f>IFERROR(__xludf.DUMMYFUNCTION("""COMPUTED_VALUE"""),44715.0)</f>
        <v>44715</v>
      </c>
      <c r="C1046" s="207">
        <f>IFERROR(__xludf.DUMMYFUNCTION("""COMPUTED_VALUE"""),0.26891203703703703)</f>
        <v>0.268912037</v>
      </c>
      <c r="D1046" s="50"/>
      <c r="E1046" s="58"/>
      <c r="F1046" s="58"/>
      <c r="G1046" s="58" t="str">
        <f>IFERROR(__xludf.DUMMYFUNCTION("""COMPUTED_VALUE"""),"Null")</f>
        <v>Null</v>
      </c>
      <c r="H1046" s="206" t="str">
        <f>IFERROR(__xludf.DUMMYFUNCTION("""COMPUTED_VALUE"""),"Negative")</f>
        <v>Negative</v>
      </c>
      <c r="I1046" s="207">
        <f>IFERROR(__xludf.DUMMYFUNCTION("""COMPUTED_VALUE"""),44715.0)</f>
        <v>44715</v>
      </c>
      <c r="J1046" s="208">
        <f>IFERROR(__xludf.DUMMYFUNCTION("""COMPUTED_VALUE"""),0.3889814814814815)</f>
        <v>0.3889814815</v>
      </c>
      <c r="K1046" s="50">
        <f>IFERROR(__xludf.DUMMYFUNCTION("""COMPUTED_VALUE"""),2.0)</f>
        <v>2</v>
      </c>
      <c r="L1046" s="6"/>
      <c r="M1046" s="55"/>
      <c r="N1046" s="55">
        <f>IFERROR(__xludf.DUMMYFUNCTION("""COMPUTED_VALUE"""),1.0)</f>
        <v>1</v>
      </c>
      <c r="O1046" s="55" t="str">
        <f t="shared" si="3"/>
        <v/>
      </c>
      <c r="P1046" s="209"/>
      <c r="Q1046" s="75" t="b">
        <f>VLOOKUP($B1046,'Run Reconcile'!B$2:P1679,15,FALSE)</f>
        <v>1</v>
      </c>
      <c r="R1046" s="211" t="str">
        <f t="array" ref="R1046">IF($Q1046, INDEX('Run Reconcile'!A$2:A1679,MATCH(B1046,'Run Reconcile'!B$2:B1679,0),1),IFERROR(0/0,""))</f>
        <v>RUN-COMB_2022-06-03_RFR-055</v>
      </c>
      <c r="S1046" s="165" t="str">
        <f t="shared" ref="S1046:T1046" si="2091">IF(COUNTIF(W$2:W1679, $A1046) &gt; 0,TRUE,IFERROR(0/0,""))</f>
        <v/>
      </c>
      <c r="T1046" s="165" t="str">
        <f t="shared" si="2091"/>
        <v/>
      </c>
      <c r="U1046" s="147" t="str">
        <f t="array" ref="U1046">IF(ISBLANK($R1046), IF($S1046,VLOOKUP($B1046+1,'RFR Data - preExcl'!$BF$2:$BG1679,2,FALSE),IF($T1046,INDEX('RFR Data - preExcl'!$BF$2:$BG1679,MATCH($B1046,'RFR Data - preExcl'!$BF$2:$BF1679,0)+1,2),VLOOKUP($B1046,'RFR Data - preExcl'!$BF$2:$BG1679,2,FALSE))),IFERROR(0/0,""))</f>
        <v/>
      </c>
      <c r="V1046" s="212" t="str">
        <f t="shared" si="5"/>
        <v>RUN-COMB_2022-06-03_RFR-055</v>
      </c>
      <c r="W1046" s="51"/>
      <c r="X1046" s="51"/>
      <c r="Y1046" s="147" t="str">
        <f t="shared" ref="Y1046:Z1046" si="2092">IF(_xlfn.ISFORMULA(S1046),IFERROR(0/0,""),TRUE)</f>
        <v/>
      </c>
      <c r="Z1046" s="147" t="str">
        <f t="shared" si="2092"/>
        <v/>
      </c>
    </row>
    <row r="1047">
      <c r="A1047" s="6" t="str">
        <f>IFERROR(__xludf.DUMMYFUNCTION("""COMPUTED_VALUE"""),"FM2832")</f>
        <v>FM2832</v>
      </c>
      <c r="B1047" s="206">
        <f>IFERROR(__xludf.DUMMYFUNCTION("""COMPUTED_VALUE"""),44715.0)</f>
        <v>44715</v>
      </c>
      <c r="C1047" s="207">
        <f>IFERROR(__xludf.DUMMYFUNCTION("""COMPUTED_VALUE"""),0.2692824074074074)</f>
        <v>0.2692824074</v>
      </c>
      <c r="D1047" s="50"/>
      <c r="E1047" s="58"/>
      <c r="F1047" s="58"/>
      <c r="G1047" s="58" t="str">
        <f>IFERROR(__xludf.DUMMYFUNCTION("""COMPUTED_VALUE"""),"Null")</f>
        <v>Null</v>
      </c>
      <c r="H1047" s="206" t="str">
        <f>IFERROR(__xludf.DUMMYFUNCTION("""COMPUTED_VALUE"""),"Negative")</f>
        <v>Negative</v>
      </c>
      <c r="I1047" s="207">
        <f>IFERROR(__xludf.DUMMYFUNCTION("""COMPUTED_VALUE"""),44715.0)</f>
        <v>44715</v>
      </c>
      <c r="J1047" s="208">
        <f>IFERROR(__xludf.DUMMYFUNCTION("""COMPUTED_VALUE"""),0.38902777777777775)</f>
        <v>0.3890277778</v>
      </c>
      <c r="K1047" s="50">
        <f>IFERROR(__xludf.DUMMYFUNCTION("""COMPUTED_VALUE"""),2.0)</f>
        <v>2</v>
      </c>
      <c r="L1047" s="6"/>
      <c r="M1047" s="55"/>
      <c r="N1047" s="55">
        <f>IFERROR(__xludf.DUMMYFUNCTION("""COMPUTED_VALUE"""),1.0)</f>
        <v>1</v>
      </c>
      <c r="O1047" s="55" t="str">
        <f t="shared" si="3"/>
        <v/>
      </c>
      <c r="P1047" s="209"/>
      <c r="Q1047" s="75" t="b">
        <f>VLOOKUP($B1047,'Run Reconcile'!B$2:P1679,15,FALSE)</f>
        <v>1</v>
      </c>
      <c r="R1047" s="211" t="str">
        <f t="array" ref="R1047">IF($Q1047, INDEX('Run Reconcile'!A$2:A1679,MATCH(B1047,'Run Reconcile'!B$2:B1679,0),1),IFERROR(0/0,""))</f>
        <v>RUN-COMB_2022-06-03_RFR-055</v>
      </c>
      <c r="S1047" s="165" t="str">
        <f t="shared" ref="S1047:T1047" si="2093">IF(COUNTIF(W$2:W1679, $A1047) &gt; 0,TRUE,IFERROR(0/0,""))</f>
        <v/>
      </c>
      <c r="T1047" s="165" t="str">
        <f t="shared" si="2093"/>
        <v/>
      </c>
      <c r="U1047" s="147" t="str">
        <f t="array" ref="U1047">IF(ISBLANK($R1047), IF($S1047,VLOOKUP($B1047+1,'RFR Data - preExcl'!$BF$2:$BG1679,2,FALSE),IF($T1047,INDEX('RFR Data - preExcl'!$BF$2:$BG1679,MATCH($B1047,'RFR Data - preExcl'!$BF$2:$BF1679,0)+1,2),VLOOKUP($B1047,'RFR Data - preExcl'!$BF$2:$BG1679,2,FALSE))),IFERROR(0/0,""))</f>
        <v/>
      </c>
      <c r="V1047" s="212" t="str">
        <f t="shared" si="5"/>
        <v>RUN-COMB_2022-06-03_RFR-055</v>
      </c>
      <c r="W1047" s="51"/>
      <c r="X1047" s="51"/>
      <c r="Y1047" s="147" t="str">
        <f t="shared" ref="Y1047:Z1047" si="2094">IF(_xlfn.ISFORMULA(S1047),IFERROR(0/0,""),TRUE)</f>
        <v/>
      </c>
      <c r="Z1047" s="147" t="str">
        <f t="shared" si="2094"/>
        <v/>
      </c>
    </row>
    <row r="1048">
      <c r="A1048" s="6" t="str">
        <f>IFERROR(__xludf.DUMMYFUNCTION("""COMPUTED_VALUE"""),"FM2834")</f>
        <v>FM2834</v>
      </c>
      <c r="B1048" s="206">
        <f>IFERROR(__xludf.DUMMYFUNCTION("""COMPUTED_VALUE"""),44715.0)</f>
        <v>44715</v>
      </c>
      <c r="C1048" s="207">
        <f>IFERROR(__xludf.DUMMYFUNCTION("""COMPUTED_VALUE"""),0.26957175925925925)</f>
        <v>0.2695717593</v>
      </c>
      <c r="D1048" s="50"/>
      <c r="E1048" s="58"/>
      <c r="F1048" s="58"/>
      <c r="G1048" s="58" t="str">
        <f>IFERROR(__xludf.DUMMYFUNCTION("""COMPUTED_VALUE"""),"Null")</f>
        <v>Null</v>
      </c>
      <c r="H1048" s="206" t="str">
        <f>IFERROR(__xludf.DUMMYFUNCTION("""COMPUTED_VALUE"""),"Negative")</f>
        <v>Negative</v>
      </c>
      <c r="I1048" s="207">
        <f>IFERROR(__xludf.DUMMYFUNCTION("""COMPUTED_VALUE"""),44715.0)</f>
        <v>44715</v>
      </c>
      <c r="J1048" s="208">
        <f>IFERROR(__xludf.DUMMYFUNCTION("""COMPUTED_VALUE"""),0.3890972222222222)</f>
        <v>0.3890972222</v>
      </c>
      <c r="K1048" s="50">
        <f>IFERROR(__xludf.DUMMYFUNCTION("""COMPUTED_VALUE"""),2.0)</f>
        <v>2</v>
      </c>
      <c r="L1048" s="6"/>
      <c r="M1048" s="55"/>
      <c r="N1048" s="55">
        <f>IFERROR(__xludf.DUMMYFUNCTION("""COMPUTED_VALUE"""),1.0)</f>
        <v>1</v>
      </c>
      <c r="O1048" s="55" t="str">
        <f t="shared" si="3"/>
        <v/>
      </c>
      <c r="P1048" s="209"/>
      <c r="Q1048" s="75" t="b">
        <f>VLOOKUP($B1048,'Run Reconcile'!B$2:P1679,15,FALSE)</f>
        <v>1</v>
      </c>
      <c r="R1048" s="211" t="str">
        <f t="array" ref="R1048">IF($Q1048, INDEX('Run Reconcile'!A$2:A1679,MATCH(B1048,'Run Reconcile'!B$2:B1679,0),1),IFERROR(0/0,""))</f>
        <v>RUN-COMB_2022-06-03_RFR-055</v>
      </c>
      <c r="S1048" s="165" t="str">
        <f t="shared" ref="S1048:T1048" si="2095">IF(COUNTIF(W$2:W1679, $A1048) &gt; 0,TRUE,IFERROR(0/0,""))</f>
        <v/>
      </c>
      <c r="T1048" s="165" t="str">
        <f t="shared" si="2095"/>
        <v/>
      </c>
      <c r="U1048" s="147" t="str">
        <f t="array" ref="U1048">IF(ISBLANK($R1048), IF($S1048,VLOOKUP($B1048+1,'RFR Data - preExcl'!$BF$2:$BG1679,2,FALSE),IF($T1048,INDEX('RFR Data - preExcl'!$BF$2:$BG1679,MATCH($B1048,'RFR Data - preExcl'!$BF$2:$BF1679,0)+1,2),VLOOKUP($B1048,'RFR Data - preExcl'!$BF$2:$BG1679,2,FALSE))),IFERROR(0/0,""))</f>
        <v/>
      </c>
      <c r="V1048" s="212" t="str">
        <f t="shared" si="5"/>
        <v>RUN-COMB_2022-06-03_RFR-055</v>
      </c>
      <c r="W1048" s="51"/>
      <c r="X1048" s="51"/>
      <c r="Y1048" s="147" t="str">
        <f t="shared" ref="Y1048:Z1048" si="2096">IF(_xlfn.ISFORMULA(S1048),IFERROR(0/0,""),TRUE)</f>
        <v/>
      </c>
      <c r="Z1048" s="147" t="str">
        <f t="shared" si="2096"/>
        <v/>
      </c>
    </row>
    <row r="1049">
      <c r="A1049" s="6" t="str">
        <f>IFERROR(__xludf.DUMMYFUNCTION("""COMPUTED_VALUE"""),"FM2858")</f>
        <v>FM2858</v>
      </c>
      <c r="B1049" s="206">
        <f>IFERROR(__xludf.DUMMYFUNCTION("""COMPUTED_VALUE"""),44715.0)</f>
        <v>44715</v>
      </c>
      <c r="C1049" s="207">
        <f>IFERROR(__xludf.DUMMYFUNCTION("""COMPUTED_VALUE"""),0.2699537037037037)</f>
        <v>0.2699537037</v>
      </c>
      <c r="D1049" s="50"/>
      <c r="E1049" s="58"/>
      <c r="F1049" s="58"/>
      <c r="G1049" s="58" t="str">
        <f>IFERROR(__xludf.DUMMYFUNCTION("""COMPUTED_VALUE"""),"Null")</f>
        <v>Null</v>
      </c>
      <c r="H1049" s="206" t="str">
        <f>IFERROR(__xludf.DUMMYFUNCTION("""COMPUTED_VALUE"""),"Negative")</f>
        <v>Negative</v>
      </c>
      <c r="I1049" s="207">
        <f>IFERROR(__xludf.DUMMYFUNCTION("""COMPUTED_VALUE"""),44715.0)</f>
        <v>44715</v>
      </c>
      <c r="J1049" s="208">
        <f>IFERROR(__xludf.DUMMYFUNCTION("""COMPUTED_VALUE"""),0.38913194444444443)</f>
        <v>0.3891319444</v>
      </c>
      <c r="K1049" s="50">
        <f>IFERROR(__xludf.DUMMYFUNCTION("""COMPUTED_VALUE"""),2.0)</f>
        <v>2</v>
      </c>
      <c r="L1049" s="6"/>
      <c r="M1049" s="55"/>
      <c r="N1049" s="55">
        <f>IFERROR(__xludf.DUMMYFUNCTION("""COMPUTED_VALUE"""),1.0)</f>
        <v>1</v>
      </c>
      <c r="O1049" s="55" t="str">
        <f t="shared" si="3"/>
        <v/>
      </c>
      <c r="P1049" s="209"/>
      <c r="Q1049" s="75" t="b">
        <f>VLOOKUP($B1049,'Run Reconcile'!B$2:P1679,15,FALSE)</f>
        <v>1</v>
      </c>
      <c r="R1049" s="211" t="str">
        <f t="array" ref="R1049">IF($Q1049, INDEX('Run Reconcile'!A$2:A1679,MATCH(B1049,'Run Reconcile'!B$2:B1679,0),1),IFERROR(0/0,""))</f>
        <v>RUN-COMB_2022-06-03_RFR-055</v>
      </c>
      <c r="S1049" s="165" t="str">
        <f t="shared" ref="S1049:T1049" si="2097">IF(COUNTIF(W$2:W1679, $A1049) &gt; 0,TRUE,IFERROR(0/0,""))</f>
        <v/>
      </c>
      <c r="T1049" s="165" t="str">
        <f t="shared" si="2097"/>
        <v/>
      </c>
      <c r="U1049" s="147" t="str">
        <f t="array" ref="U1049">IF(ISBLANK($R1049), IF($S1049,VLOOKUP($B1049+1,'RFR Data - preExcl'!$BF$2:$BG1679,2,FALSE),IF($T1049,INDEX('RFR Data - preExcl'!$BF$2:$BG1679,MATCH($B1049,'RFR Data - preExcl'!$BF$2:$BF1679,0)+1,2),VLOOKUP($B1049,'RFR Data - preExcl'!$BF$2:$BG1679,2,FALSE))),IFERROR(0/0,""))</f>
        <v/>
      </c>
      <c r="V1049" s="212" t="str">
        <f t="shared" si="5"/>
        <v>RUN-COMB_2022-06-03_RFR-055</v>
      </c>
      <c r="W1049" s="51"/>
      <c r="X1049" s="51"/>
      <c r="Y1049" s="147" t="str">
        <f t="shared" ref="Y1049:Z1049" si="2098">IF(_xlfn.ISFORMULA(S1049),IFERROR(0/0,""),TRUE)</f>
        <v/>
      </c>
      <c r="Z1049" s="147" t="str">
        <f t="shared" si="2098"/>
        <v/>
      </c>
    </row>
    <row r="1050">
      <c r="A1050" s="6" t="str">
        <f>IFERROR(__xludf.DUMMYFUNCTION("""COMPUTED_VALUE"""),"FM2655")</f>
        <v>FM2655</v>
      </c>
      <c r="B1050" s="206">
        <f>IFERROR(__xludf.DUMMYFUNCTION("""COMPUTED_VALUE"""),44715.0)</f>
        <v>44715</v>
      </c>
      <c r="C1050" s="207">
        <f>IFERROR(__xludf.DUMMYFUNCTION("""COMPUTED_VALUE"""),0.27033564814814814)</f>
        <v>0.2703356481</v>
      </c>
      <c r="D1050" s="50"/>
      <c r="E1050" s="58"/>
      <c r="F1050" s="58"/>
      <c r="G1050" s="58" t="str">
        <f>IFERROR(__xludf.DUMMYFUNCTION("""COMPUTED_VALUE"""),"Null")</f>
        <v>Null</v>
      </c>
      <c r="H1050" s="206" t="str">
        <f>IFERROR(__xludf.DUMMYFUNCTION("""COMPUTED_VALUE"""),"Negative")</f>
        <v>Negative</v>
      </c>
      <c r="I1050" s="207">
        <f>IFERROR(__xludf.DUMMYFUNCTION("""COMPUTED_VALUE"""),44715.0)</f>
        <v>44715</v>
      </c>
      <c r="J1050" s="208">
        <f>IFERROR(__xludf.DUMMYFUNCTION("""COMPUTED_VALUE"""),0.38917824074074076)</f>
        <v>0.3891782407</v>
      </c>
      <c r="K1050" s="50">
        <f>IFERROR(__xludf.DUMMYFUNCTION("""COMPUTED_VALUE"""),2.0)</f>
        <v>2</v>
      </c>
      <c r="L1050" s="6"/>
      <c r="M1050" s="55"/>
      <c r="N1050" s="55">
        <f>IFERROR(__xludf.DUMMYFUNCTION("""COMPUTED_VALUE"""),1.0)</f>
        <v>1</v>
      </c>
      <c r="O1050" s="55" t="str">
        <f t="shared" si="3"/>
        <v/>
      </c>
      <c r="P1050" s="209"/>
      <c r="Q1050" s="75" t="b">
        <f>VLOOKUP($B1050,'Run Reconcile'!B$2:P1679,15,FALSE)</f>
        <v>1</v>
      </c>
      <c r="R1050" s="211" t="str">
        <f t="array" ref="R1050">IF($Q1050, INDEX('Run Reconcile'!A$2:A1679,MATCH(B1050,'Run Reconcile'!B$2:B1679,0),1),IFERROR(0/0,""))</f>
        <v>RUN-COMB_2022-06-03_RFR-055</v>
      </c>
      <c r="S1050" s="165" t="str">
        <f t="shared" ref="S1050:T1050" si="2099">IF(COUNTIF(W$2:W1679, $A1050) &gt; 0,TRUE,IFERROR(0/0,""))</f>
        <v/>
      </c>
      <c r="T1050" s="165" t="str">
        <f t="shared" si="2099"/>
        <v/>
      </c>
      <c r="U1050" s="147" t="str">
        <f t="array" ref="U1050">IF(ISBLANK($R1050), IF($S1050,VLOOKUP($B1050+1,'RFR Data - preExcl'!$BF$2:$BG1679,2,FALSE),IF($T1050,INDEX('RFR Data - preExcl'!$BF$2:$BG1679,MATCH($B1050,'RFR Data - preExcl'!$BF$2:$BF1679,0)+1,2),VLOOKUP($B1050,'RFR Data - preExcl'!$BF$2:$BG1679,2,FALSE))),IFERROR(0/0,""))</f>
        <v/>
      </c>
      <c r="V1050" s="212" t="str">
        <f t="shared" si="5"/>
        <v>RUN-COMB_2022-06-03_RFR-055</v>
      </c>
      <c r="W1050" s="51"/>
      <c r="X1050" s="51"/>
      <c r="Y1050" s="147" t="str">
        <f t="shared" ref="Y1050:Z1050" si="2100">IF(_xlfn.ISFORMULA(S1050),IFERROR(0/0,""),TRUE)</f>
        <v/>
      </c>
      <c r="Z1050" s="147" t="str">
        <f t="shared" si="2100"/>
        <v/>
      </c>
    </row>
    <row r="1051">
      <c r="A1051" s="6" t="str">
        <f>IFERROR(__xludf.DUMMYFUNCTION("""COMPUTED_VALUE"""),"FM2905")</f>
        <v>FM2905</v>
      </c>
      <c r="B1051" s="206">
        <f>IFERROR(__xludf.DUMMYFUNCTION("""COMPUTED_VALUE"""),44715.0)</f>
        <v>44715</v>
      </c>
      <c r="C1051" s="207">
        <f>IFERROR(__xludf.DUMMYFUNCTION("""COMPUTED_VALUE"""),0.2706134259259259)</f>
        <v>0.2706134259</v>
      </c>
      <c r="D1051" s="50"/>
      <c r="E1051" s="58"/>
      <c r="F1051" s="58"/>
      <c r="G1051" s="58" t="str">
        <f>IFERROR(__xludf.DUMMYFUNCTION("""COMPUTED_VALUE"""),"Null")</f>
        <v>Null</v>
      </c>
      <c r="H1051" s="206" t="str">
        <f>IFERROR(__xludf.DUMMYFUNCTION("""COMPUTED_VALUE"""),"Negative")</f>
        <v>Negative</v>
      </c>
      <c r="I1051" s="207">
        <f>IFERROR(__xludf.DUMMYFUNCTION("""COMPUTED_VALUE"""),44715.0)</f>
        <v>44715</v>
      </c>
      <c r="J1051" s="208">
        <f>IFERROR(__xludf.DUMMYFUNCTION("""COMPUTED_VALUE"""),0.389212962962963)</f>
        <v>0.389212963</v>
      </c>
      <c r="K1051" s="50">
        <f>IFERROR(__xludf.DUMMYFUNCTION("""COMPUTED_VALUE"""),2.0)</f>
        <v>2</v>
      </c>
      <c r="L1051" s="6"/>
      <c r="M1051" s="55"/>
      <c r="N1051" s="55">
        <f>IFERROR(__xludf.DUMMYFUNCTION("""COMPUTED_VALUE"""),1.0)</f>
        <v>1</v>
      </c>
      <c r="O1051" s="55" t="str">
        <f t="shared" si="3"/>
        <v/>
      </c>
      <c r="P1051" s="209"/>
      <c r="Q1051" s="75" t="b">
        <f>VLOOKUP($B1051,'Run Reconcile'!B$2:P1679,15,FALSE)</f>
        <v>1</v>
      </c>
      <c r="R1051" s="211" t="str">
        <f t="array" ref="R1051">IF($Q1051, INDEX('Run Reconcile'!A$2:A1679,MATCH(B1051,'Run Reconcile'!B$2:B1679,0),1),IFERROR(0/0,""))</f>
        <v>RUN-COMB_2022-06-03_RFR-055</v>
      </c>
      <c r="S1051" s="165" t="str">
        <f t="shared" ref="S1051:T1051" si="2101">IF(COUNTIF(W$2:W1679, $A1051) &gt; 0,TRUE,IFERROR(0/0,""))</f>
        <v/>
      </c>
      <c r="T1051" s="165" t="str">
        <f t="shared" si="2101"/>
        <v/>
      </c>
      <c r="U1051" s="147" t="str">
        <f t="array" ref="U1051">IF(ISBLANK($R1051), IF($S1051,VLOOKUP($B1051+1,'RFR Data - preExcl'!$BF$2:$BG1679,2,FALSE),IF($T1051,INDEX('RFR Data - preExcl'!$BF$2:$BG1679,MATCH($B1051,'RFR Data - preExcl'!$BF$2:$BF1679,0)+1,2),VLOOKUP($B1051,'RFR Data - preExcl'!$BF$2:$BG1679,2,FALSE))),IFERROR(0/0,""))</f>
        <v/>
      </c>
      <c r="V1051" s="212" t="str">
        <f t="shared" si="5"/>
        <v>RUN-COMB_2022-06-03_RFR-055</v>
      </c>
      <c r="W1051" s="51"/>
      <c r="X1051" s="51"/>
      <c r="Y1051" s="147" t="str">
        <f t="shared" ref="Y1051:Z1051" si="2102">IF(_xlfn.ISFORMULA(S1051),IFERROR(0/0,""),TRUE)</f>
        <v/>
      </c>
      <c r="Z1051" s="147" t="str">
        <f t="shared" si="2102"/>
        <v/>
      </c>
    </row>
    <row r="1052">
      <c r="A1052" s="6" t="str">
        <f>IFERROR(__xludf.DUMMYFUNCTION("""COMPUTED_VALUE"""),"FM2771")</f>
        <v>FM2771</v>
      </c>
      <c r="B1052" s="206">
        <f>IFERROR(__xludf.DUMMYFUNCTION("""COMPUTED_VALUE"""),44715.0)</f>
        <v>44715</v>
      </c>
      <c r="C1052" s="207">
        <f>IFERROR(__xludf.DUMMYFUNCTION("""COMPUTED_VALUE"""),0.2710185185185185)</f>
        <v>0.2710185185</v>
      </c>
      <c r="D1052" s="50"/>
      <c r="E1052" s="58"/>
      <c r="F1052" s="58"/>
      <c r="G1052" s="58" t="str">
        <f>IFERROR(__xludf.DUMMYFUNCTION("""COMPUTED_VALUE"""),"Null")</f>
        <v>Null</v>
      </c>
      <c r="H1052" s="206" t="str">
        <f>IFERROR(__xludf.DUMMYFUNCTION("""COMPUTED_VALUE"""),"Negative")</f>
        <v>Negative</v>
      </c>
      <c r="I1052" s="207">
        <f>IFERROR(__xludf.DUMMYFUNCTION("""COMPUTED_VALUE"""),44715.0)</f>
        <v>44715</v>
      </c>
      <c r="J1052" s="208">
        <f>IFERROR(__xludf.DUMMYFUNCTION("""COMPUTED_VALUE"""),0.3892361111111111)</f>
        <v>0.3892361111</v>
      </c>
      <c r="K1052" s="50">
        <f>IFERROR(__xludf.DUMMYFUNCTION("""COMPUTED_VALUE"""),2.0)</f>
        <v>2</v>
      </c>
      <c r="L1052" s="6"/>
      <c r="M1052" s="55"/>
      <c r="N1052" s="55">
        <f>IFERROR(__xludf.DUMMYFUNCTION("""COMPUTED_VALUE"""),1.0)</f>
        <v>1</v>
      </c>
      <c r="O1052" s="55" t="str">
        <f t="shared" si="3"/>
        <v/>
      </c>
      <c r="P1052" s="209"/>
      <c r="Q1052" s="75" t="b">
        <f>VLOOKUP($B1052,'Run Reconcile'!B$2:P1679,15,FALSE)</f>
        <v>1</v>
      </c>
      <c r="R1052" s="211" t="str">
        <f t="array" ref="R1052">IF($Q1052, INDEX('Run Reconcile'!A$2:A1679,MATCH(B1052,'Run Reconcile'!B$2:B1679,0),1),IFERROR(0/0,""))</f>
        <v>RUN-COMB_2022-06-03_RFR-055</v>
      </c>
      <c r="S1052" s="165" t="str">
        <f t="shared" ref="S1052:T1052" si="2103">IF(COUNTIF(W$2:W1679, $A1052) &gt; 0,TRUE,IFERROR(0/0,""))</f>
        <v/>
      </c>
      <c r="T1052" s="165" t="str">
        <f t="shared" si="2103"/>
        <v/>
      </c>
      <c r="U1052" s="147" t="str">
        <f t="array" ref="U1052">IF(ISBLANK($R1052), IF($S1052,VLOOKUP($B1052+1,'RFR Data - preExcl'!$BF$2:$BG1679,2,FALSE),IF($T1052,INDEX('RFR Data - preExcl'!$BF$2:$BG1679,MATCH($B1052,'RFR Data - preExcl'!$BF$2:$BF1679,0)+1,2),VLOOKUP($B1052,'RFR Data - preExcl'!$BF$2:$BG1679,2,FALSE))),IFERROR(0/0,""))</f>
        <v/>
      </c>
      <c r="V1052" s="212" t="str">
        <f t="shared" si="5"/>
        <v>RUN-COMB_2022-06-03_RFR-055</v>
      </c>
      <c r="W1052" s="51"/>
      <c r="X1052" s="51"/>
      <c r="Y1052" s="147" t="str">
        <f t="shared" ref="Y1052:Z1052" si="2104">IF(_xlfn.ISFORMULA(S1052),IFERROR(0/0,""),TRUE)</f>
        <v/>
      </c>
      <c r="Z1052" s="147" t="str">
        <f t="shared" si="2104"/>
        <v/>
      </c>
    </row>
    <row r="1053">
      <c r="A1053" s="6" t="str">
        <f>IFERROR(__xludf.DUMMYFUNCTION("""COMPUTED_VALUE"""),"FM2815")</f>
        <v>FM2815</v>
      </c>
      <c r="B1053" s="206">
        <f>IFERROR(__xludf.DUMMYFUNCTION("""COMPUTED_VALUE"""),44715.0)</f>
        <v>44715</v>
      </c>
      <c r="C1053" s="207">
        <f>IFERROR(__xludf.DUMMYFUNCTION("""COMPUTED_VALUE"""),0.2713773148148148)</f>
        <v>0.2713773148</v>
      </c>
      <c r="D1053" s="50"/>
      <c r="E1053" s="58"/>
      <c r="F1053" s="58"/>
      <c r="G1053" s="58" t="str">
        <f>IFERROR(__xludf.DUMMYFUNCTION("""COMPUTED_VALUE"""),"Null")</f>
        <v>Null</v>
      </c>
      <c r="H1053" s="206" t="str">
        <f>IFERROR(__xludf.DUMMYFUNCTION("""COMPUTED_VALUE"""),"Negative")</f>
        <v>Negative</v>
      </c>
      <c r="I1053" s="207">
        <f>IFERROR(__xludf.DUMMYFUNCTION("""COMPUTED_VALUE"""),44715.0)</f>
        <v>44715</v>
      </c>
      <c r="J1053" s="208">
        <f>IFERROR(__xludf.DUMMYFUNCTION("""COMPUTED_VALUE"""),0.3892476851851852)</f>
        <v>0.3892476852</v>
      </c>
      <c r="K1053" s="50">
        <f>IFERROR(__xludf.DUMMYFUNCTION("""COMPUTED_VALUE"""),2.0)</f>
        <v>2</v>
      </c>
      <c r="L1053" s="6"/>
      <c r="M1053" s="55"/>
      <c r="N1053" s="55">
        <f>IFERROR(__xludf.DUMMYFUNCTION("""COMPUTED_VALUE"""),1.0)</f>
        <v>1</v>
      </c>
      <c r="O1053" s="55" t="str">
        <f t="shared" si="3"/>
        <v/>
      </c>
      <c r="P1053" s="209"/>
      <c r="Q1053" s="75" t="b">
        <f>VLOOKUP($B1053,'Run Reconcile'!B$2:P1679,15,FALSE)</f>
        <v>1</v>
      </c>
      <c r="R1053" s="211" t="str">
        <f t="array" ref="R1053">IF($Q1053, INDEX('Run Reconcile'!A$2:A1679,MATCH(B1053,'Run Reconcile'!B$2:B1679,0),1),IFERROR(0/0,""))</f>
        <v>RUN-COMB_2022-06-03_RFR-055</v>
      </c>
      <c r="S1053" s="165" t="str">
        <f t="shared" ref="S1053:T1053" si="2105">IF(COUNTIF(W$2:W1679, $A1053) &gt; 0,TRUE,IFERROR(0/0,""))</f>
        <v/>
      </c>
      <c r="T1053" s="165" t="str">
        <f t="shared" si="2105"/>
        <v/>
      </c>
      <c r="U1053" s="147" t="str">
        <f t="array" ref="U1053">IF(ISBLANK($R1053), IF($S1053,VLOOKUP($B1053+1,'RFR Data - preExcl'!$BF$2:$BG1679,2,FALSE),IF($T1053,INDEX('RFR Data - preExcl'!$BF$2:$BG1679,MATCH($B1053,'RFR Data - preExcl'!$BF$2:$BF1679,0)+1,2),VLOOKUP($B1053,'RFR Data - preExcl'!$BF$2:$BG1679,2,FALSE))),IFERROR(0/0,""))</f>
        <v/>
      </c>
      <c r="V1053" s="212" t="str">
        <f t="shared" si="5"/>
        <v>RUN-COMB_2022-06-03_RFR-055</v>
      </c>
      <c r="W1053" s="51"/>
      <c r="X1053" s="51"/>
      <c r="Y1053" s="147" t="str">
        <f t="shared" ref="Y1053:Z1053" si="2106">IF(_xlfn.ISFORMULA(S1053),IFERROR(0/0,""),TRUE)</f>
        <v/>
      </c>
      <c r="Z1053" s="147" t="str">
        <f t="shared" si="2106"/>
        <v/>
      </c>
    </row>
    <row r="1054">
      <c r="A1054" s="6" t="str">
        <f>IFERROR(__xludf.DUMMYFUNCTION("""COMPUTED_VALUE"""),"FM2874")</f>
        <v>FM2874</v>
      </c>
      <c r="B1054" s="206">
        <f>IFERROR(__xludf.DUMMYFUNCTION("""COMPUTED_VALUE"""),44715.0)</f>
        <v>44715</v>
      </c>
      <c r="C1054" s="207">
        <f>IFERROR(__xludf.DUMMYFUNCTION("""COMPUTED_VALUE"""),0.27296296296296296)</f>
        <v>0.272962963</v>
      </c>
      <c r="D1054" s="50"/>
      <c r="E1054" s="58"/>
      <c r="F1054" s="58"/>
      <c r="G1054" s="58" t="str">
        <f>IFERROR(__xludf.DUMMYFUNCTION("""COMPUTED_VALUE"""),"Null")</f>
        <v>Null</v>
      </c>
      <c r="H1054" s="206" t="str">
        <f>IFERROR(__xludf.DUMMYFUNCTION("""COMPUTED_VALUE"""),"Negative")</f>
        <v>Negative</v>
      </c>
      <c r="I1054" s="207">
        <f>IFERROR(__xludf.DUMMYFUNCTION("""COMPUTED_VALUE"""),44715.0)</f>
        <v>44715</v>
      </c>
      <c r="J1054" s="208">
        <f>IFERROR(__xludf.DUMMYFUNCTION("""COMPUTED_VALUE"""),0.38927083333333334)</f>
        <v>0.3892708333</v>
      </c>
      <c r="K1054" s="50">
        <f>IFERROR(__xludf.DUMMYFUNCTION("""COMPUTED_VALUE"""),2.0)</f>
        <v>2</v>
      </c>
      <c r="L1054" s="6"/>
      <c r="M1054" s="55"/>
      <c r="N1054" s="55">
        <f>IFERROR(__xludf.DUMMYFUNCTION("""COMPUTED_VALUE"""),1.0)</f>
        <v>1</v>
      </c>
      <c r="O1054" s="55" t="str">
        <f t="shared" si="3"/>
        <v/>
      </c>
      <c r="P1054" s="209"/>
      <c r="Q1054" s="75" t="b">
        <f>VLOOKUP($B1054,'Run Reconcile'!B$2:P1679,15,FALSE)</f>
        <v>1</v>
      </c>
      <c r="R1054" s="211" t="str">
        <f t="array" ref="R1054">IF($Q1054, INDEX('Run Reconcile'!A$2:A1679,MATCH(B1054,'Run Reconcile'!B$2:B1679,0),1),IFERROR(0/0,""))</f>
        <v>RUN-COMB_2022-06-03_RFR-055</v>
      </c>
      <c r="S1054" s="165" t="str">
        <f t="shared" ref="S1054:T1054" si="2107">IF(COUNTIF(W$2:W1679, $A1054) &gt; 0,TRUE,IFERROR(0/0,""))</f>
        <v/>
      </c>
      <c r="T1054" s="165" t="str">
        <f t="shared" si="2107"/>
        <v/>
      </c>
      <c r="U1054" s="147" t="str">
        <f t="array" ref="U1054">IF(ISBLANK($R1054), IF($S1054,VLOOKUP($B1054+1,'RFR Data - preExcl'!$BF$2:$BG1679,2,FALSE),IF($T1054,INDEX('RFR Data - preExcl'!$BF$2:$BG1679,MATCH($B1054,'RFR Data - preExcl'!$BF$2:$BF1679,0)+1,2),VLOOKUP($B1054,'RFR Data - preExcl'!$BF$2:$BG1679,2,FALSE))),IFERROR(0/0,""))</f>
        <v/>
      </c>
      <c r="V1054" s="212" t="str">
        <f t="shared" si="5"/>
        <v>RUN-COMB_2022-06-03_RFR-055</v>
      </c>
      <c r="W1054" s="51"/>
      <c r="X1054" s="51"/>
      <c r="Y1054" s="147" t="str">
        <f t="shared" ref="Y1054:Z1054" si="2108">IF(_xlfn.ISFORMULA(S1054),IFERROR(0/0,""),TRUE)</f>
        <v/>
      </c>
      <c r="Z1054" s="147" t="str">
        <f t="shared" si="2108"/>
        <v/>
      </c>
    </row>
    <row r="1055">
      <c r="A1055" s="6" t="str">
        <f>IFERROR(__xludf.DUMMYFUNCTION("""COMPUTED_VALUE"""),"FM2842")</f>
        <v>FM2842</v>
      </c>
      <c r="B1055" s="206">
        <f>IFERROR(__xludf.DUMMYFUNCTION("""COMPUTED_VALUE"""),44715.0)</f>
        <v>44715</v>
      </c>
      <c r="C1055" s="207">
        <f>IFERROR(__xludf.DUMMYFUNCTION("""COMPUTED_VALUE"""),0.27337962962962964)</f>
        <v>0.2733796296</v>
      </c>
      <c r="D1055" s="50"/>
      <c r="E1055" s="58"/>
      <c r="F1055" s="58"/>
      <c r="G1055" s="58" t="str">
        <f>IFERROR(__xludf.DUMMYFUNCTION("""COMPUTED_VALUE"""),"Null")</f>
        <v>Null</v>
      </c>
      <c r="H1055" s="206" t="str">
        <f>IFERROR(__xludf.DUMMYFUNCTION("""COMPUTED_VALUE"""),"Negative")</f>
        <v>Negative</v>
      </c>
      <c r="I1055" s="207">
        <f>IFERROR(__xludf.DUMMYFUNCTION("""COMPUTED_VALUE"""),44715.0)</f>
        <v>44715</v>
      </c>
      <c r="J1055" s="208">
        <f>IFERROR(__xludf.DUMMYFUNCTION("""COMPUTED_VALUE"""),0.3892824074074074)</f>
        <v>0.3892824074</v>
      </c>
      <c r="K1055" s="50">
        <f>IFERROR(__xludf.DUMMYFUNCTION("""COMPUTED_VALUE"""),2.0)</f>
        <v>2</v>
      </c>
      <c r="L1055" s="6"/>
      <c r="M1055" s="55"/>
      <c r="N1055" s="55">
        <f>IFERROR(__xludf.DUMMYFUNCTION("""COMPUTED_VALUE"""),1.0)</f>
        <v>1</v>
      </c>
      <c r="O1055" s="55" t="str">
        <f t="shared" si="3"/>
        <v/>
      </c>
      <c r="P1055" s="209"/>
      <c r="Q1055" s="75" t="b">
        <f>VLOOKUP($B1055,'Run Reconcile'!B$2:P1679,15,FALSE)</f>
        <v>1</v>
      </c>
      <c r="R1055" s="211" t="str">
        <f t="array" ref="R1055">IF($Q1055, INDEX('Run Reconcile'!A$2:A1679,MATCH(B1055,'Run Reconcile'!B$2:B1679,0),1),IFERROR(0/0,""))</f>
        <v>RUN-COMB_2022-06-03_RFR-055</v>
      </c>
      <c r="S1055" s="165" t="str">
        <f t="shared" ref="S1055:T1055" si="2109">IF(COUNTIF(W$2:W1679, $A1055) &gt; 0,TRUE,IFERROR(0/0,""))</f>
        <v/>
      </c>
      <c r="T1055" s="165" t="str">
        <f t="shared" si="2109"/>
        <v/>
      </c>
      <c r="U1055" s="147" t="str">
        <f t="array" ref="U1055">IF(ISBLANK($R1055), IF($S1055,VLOOKUP($B1055+1,'RFR Data - preExcl'!$BF$2:$BG1679,2,FALSE),IF($T1055,INDEX('RFR Data - preExcl'!$BF$2:$BG1679,MATCH($B1055,'RFR Data - preExcl'!$BF$2:$BF1679,0)+1,2),VLOOKUP($B1055,'RFR Data - preExcl'!$BF$2:$BG1679,2,FALSE))),IFERROR(0/0,""))</f>
        <v/>
      </c>
      <c r="V1055" s="212" t="str">
        <f t="shared" si="5"/>
        <v>RUN-COMB_2022-06-03_RFR-055</v>
      </c>
      <c r="W1055" s="51"/>
      <c r="X1055" s="51"/>
      <c r="Y1055" s="147" t="str">
        <f t="shared" ref="Y1055:Z1055" si="2110">IF(_xlfn.ISFORMULA(S1055),IFERROR(0/0,""),TRUE)</f>
        <v/>
      </c>
      <c r="Z1055" s="147" t="str">
        <f t="shared" si="2110"/>
        <v/>
      </c>
    </row>
    <row r="1056">
      <c r="A1056" s="6" t="str">
        <f>IFERROR(__xludf.DUMMYFUNCTION("""COMPUTED_VALUE"""),"FM2872")</f>
        <v>FM2872</v>
      </c>
      <c r="B1056" s="206">
        <f>IFERROR(__xludf.DUMMYFUNCTION("""COMPUTED_VALUE"""),44715.0)</f>
        <v>44715</v>
      </c>
      <c r="C1056" s="207">
        <f>IFERROR(__xludf.DUMMYFUNCTION("""COMPUTED_VALUE"""),0.27371527777777777)</f>
        <v>0.2737152778</v>
      </c>
      <c r="D1056" s="50"/>
      <c r="E1056" s="58"/>
      <c r="F1056" s="58"/>
      <c r="G1056" s="58" t="str">
        <f>IFERROR(__xludf.DUMMYFUNCTION("""COMPUTED_VALUE"""),"Null")</f>
        <v>Null</v>
      </c>
      <c r="H1056" s="206" t="str">
        <f>IFERROR(__xludf.DUMMYFUNCTION("""COMPUTED_VALUE"""),"Negative")</f>
        <v>Negative</v>
      </c>
      <c r="I1056" s="207">
        <f>IFERROR(__xludf.DUMMYFUNCTION("""COMPUTED_VALUE"""),44715.0)</f>
        <v>44715</v>
      </c>
      <c r="J1056" s="208">
        <f>IFERROR(__xludf.DUMMYFUNCTION("""COMPUTED_VALUE"""),0.3893287037037037)</f>
        <v>0.3893287037</v>
      </c>
      <c r="K1056" s="50">
        <f>IFERROR(__xludf.DUMMYFUNCTION("""COMPUTED_VALUE"""),2.0)</f>
        <v>2</v>
      </c>
      <c r="L1056" s="6"/>
      <c r="M1056" s="55"/>
      <c r="N1056" s="55">
        <f>IFERROR(__xludf.DUMMYFUNCTION("""COMPUTED_VALUE"""),1.0)</f>
        <v>1</v>
      </c>
      <c r="O1056" s="55" t="str">
        <f t="shared" si="3"/>
        <v/>
      </c>
      <c r="P1056" s="209"/>
      <c r="Q1056" s="75" t="b">
        <f>VLOOKUP($B1056,'Run Reconcile'!B$2:P1679,15,FALSE)</f>
        <v>1</v>
      </c>
      <c r="R1056" s="211" t="str">
        <f t="array" ref="R1056">IF($Q1056, INDEX('Run Reconcile'!A$2:A1679,MATCH(B1056,'Run Reconcile'!B$2:B1679,0),1),IFERROR(0/0,""))</f>
        <v>RUN-COMB_2022-06-03_RFR-055</v>
      </c>
      <c r="S1056" s="165" t="str">
        <f t="shared" ref="S1056:T1056" si="2111">IF(COUNTIF(W$2:W1679, $A1056) &gt; 0,TRUE,IFERROR(0/0,""))</f>
        <v/>
      </c>
      <c r="T1056" s="165" t="str">
        <f t="shared" si="2111"/>
        <v/>
      </c>
      <c r="U1056" s="147" t="str">
        <f t="array" ref="U1056">IF(ISBLANK($R1056), IF($S1056,VLOOKUP($B1056+1,'RFR Data - preExcl'!$BF$2:$BG1679,2,FALSE),IF($T1056,INDEX('RFR Data - preExcl'!$BF$2:$BG1679,MATCH($B1056,'RFR Data - preExcl'!$BF$2:$BF1679,0)+1,2),VLOOKUP($B1056,'RFR Data - preExcl'!$BF$2:$BG1679,2,FALSE))),IFERROR(0/0,""))</f>
        <v/>
      </c>
      <c r="V1056" s="212" t="str">
        <f t="shared" si="5"/>
        <v>RUN-COMB_2022-06-03_RFR-055</v>
      </c>
      <c r="W1056" s="51"/>
      <c r="X1056" s="51"/>
      <c r="Y1056" s="147" t="str">
        <f t="shared" ref="Y1056:Z1056" si="2112">IF(_xlfn.ISFORMULA(S1056),IFERROR(0/0,""),TRUE)</f>
        <v/>
      </c>
      <c r="Z1056" s="147" t="str">
        <f t="shared" si="2112"/>
        <v/>
      </c>
    </row>
    <row r="1057">
      <c r="A1057" s="6" t="str">
        <f>IFERROR(__xludf.DUMMYFUNCTION("""COMPUTED_VALUE"""),"FM2795")</f>
        <v>FM2795</v>
      </c>
      <c r="B1057" s="206">
        <f>IFERROR(__xludf.DUMMYFUNCTION("""COMPUTED_VALUE"""),44715.0)</f>
        <v>44715</v>
      </c>
      <c r="C1057" s="207">
        <f>IFERROR(__xludf.DUMMYFUNCTION("""COMPUTED_VALUE"""),0.2740972222222222)</f>
        <v>0.2740972222</v>
      </c>
      <c r="D1057" s="50"/>
      <c r="E1057" s="58"/>
      <c r="F1057" s="58"/>
      <c r="G1057" s="58" t="str">
        <f>IFERROR(__xludf.DUMMYFUNCTION("""COMPUTED_VALUE"""),"Null")</f>
        <v>Null</v>
      </c>
      <c r="H1057" s="206" t="str">
        <f>IFERROR(__xludf.DUMMYFUNCTION("""COMPUTED_VALUE"""),"Negative")</f>
        <v>Negative</v>
      </c>
      <c r="I1057" s="207">
        <f>IFERROR(__xludf.DUMMYFUNCTION("""COMPUTED_VALUE"""),44715.0)</f>
        <v>44715</v>
      </c>
      <c r="J1057" s="208">
        <f>IFERROR(__xludf.DUMMYFUNCTION("""COMPUTED_VALUE"""),0.38936342592592593)</f>
        <v>0.3893634259</v>
      </c>
      <c r="K1057" s="50">
        <f>IFERROR(__xludf.DUMMYFUNCTION("""COMPUTED_VALUE"""),2.0)</f>
        <v>2</v>
      </c>
      <c r="L1057" s="6"/>
      <c r="M1057" s="55"/>
      <c r="N1057" s="55">
        <f>IFERROR(__xludf.DUMMYFUNCTION("""COMPUTED_VALUE"""),1.0)</f>
        <v>1</v>
      </c>
      <c r="O1057" s="55" t="str">
        <f t="shared" si="3"/>
        <v/>
      </c>
      <c r="P1057" s="209"/>
      <c r="Q1057" s="75" t="b">
        <f>VLOOKUP($B1057,'Run Reconcile'!B$2:P1679,15,FALSE)</f>
        <v>1</v>
      </c>
      <c r="R1057" s="211" t="str">
        <f t="array" ref="R1057">IF($Q1057, INDEX('Run Reconcile'!A$2:A1679,MATCH(B1057,'Run Reconcile'!B$2:B1679,0),1),IFERROR(0/0,""))</f>
        <v>RUN-COMB_2022-06-03_RFR-055</v>
      </c>
      <c r="S1057" s="165" t="str">
        <f t="shared" ref="S1057:T1057" si="2113">IF(COUNTIF(W$2:W1679, $A1057) &gt; 0,TRUE,IFERROR(0/0,""))</f>
        <v/>
      </c>
      <c r="T1057" s="165" t="str">
        <f t="shared" si="2113"/>
        <v/>
      </c>
      <c r="U1057" s="147" t="str">
        <f t="array" ref="U1057">IF(ISBLANK($R1057), IF($S1057,VLOOKUP($B1057+1,'RFR Data - preExcl'!$BF$2:$BG1679,2,FALSE),IF($T1057,INDEX('RFR Data - preExcl'!$BF$2:$BG1679,MATCH($B1057,'RFR Data - preExcl'!$BF$2:$BF1679,0)+1,2),VLOOKUP($B1057,'RFR Data - preExcl'!$BF$2:$BG1679,2,FALSE))),IFERROR(0/0,""))</f>
        <v/>
      </c>
      <c r="V1057" s="212" t="str">
        <f t="shared" si="5"/>
        <v>RUN-COMB_2022-06-03_RFR-055</v>
      </c>
      <c r="W1057" s="51"/>
      <c r="X1057" s="51"/>
      <c r="Y1057" s="147" t="str">
        <f t="shared" ref="Y1057:Z1057" si="2114">IF(_xlfn.ISFORMULA(S1057),IFERROR(0/0,""),TRUE)</f>
        <v/>
      </c>
      <c r="Z1057" s="147" t="str">
        <f t="shared" si="2114"/>
        <v/>
      </c>
    </row>
    <row r="1058">
      <c r="A1058" s="6" t="str">
        <f>IFERROR(__xludf.DUMMYFUNCTION("""COMPUTED_VALUE"""),"FM2846")</f>
        <v>FM2846</v>
      </c>
      <c r="B1058" s="206">
        <f>IFERROR(__xludf.DUMMYFUNCTION("""COMPUTED_VALUE"""),44715.0)</f>
        <v>44715</v>
      </c>
      <c r="C1058" s="207">
        <f>IFERROR(__xludf.DUMMYFUNCTION("""COMPUTED_VALUE"""),0.2755787037037037)</f>
        <v>0.2755787037</v>
      </c>
      <c r="D1058" s="50"/>
      <c r="E1058" s="58"/>
      <c r="F1058" s="58"/>
      <c r="G1058" s="58" t="str">
        <f>IFERROR(__xludf.DUMMYFUNCTION("""COMPUTED_VALUE"""),"Null")</f>
        <v>Null</v>
      </c>
      <c r="H1058" s="206" t="str">
        <f>IFERROR(__xludf.DUMMYFUNCTION("""COMPUTED_VALUE"""),"Negative")</f>
        <v>Negative</v>
      </c>
      <c r="I1058" s="207">
        <f>IFERROR(__xludf.DUMMYFUNCTION("""COMPUTED_VALUE"""),44715.0)</f>
        <v>44715</v>
      </c>
      <c r="J1058" s="208">
        <f>IFERROR(__xludf.DUMMYFUNCTION("""COMPUTED_VALUE"""),0.3894097222222222)</f>
        <v>0.3894097222</v>
      </c>
      <c r="K1058" s="50">
        <f>IFERROR(__xludf.DUMMYFUNCTION("""COMPUTED_VALUE"""),2.0)</f>
        <v>2</v>
      </c>
      <c r="L1058" s="6"/>
      <c r="M1058" s="55"/>
      <c r="N1058" s="55">
        <f>IFERROR(__xludf.DUMMYFUNCTION("""COMPUTED_VALUE"""),1.0)</f>
        <v>1</v>
      </c>
      <c r="O1058" s="55" t="str">
        <f t="shared" si="3"/>
        <v/>
      </c>
      <c r="P1058" s="209"/>
      <c r="Q1058" s="75" t="b">
        <f>VLOOKUP($B1058,'Run Reconcile'!B$2:P1679,15,FALSE)</f>
        <v>1</v>
      </c>
      <c r="R1058" s="211" t="str">
        <f t="array" ref="R1058">IF($Q1058, INDEX('Run Reconcile'!A$2:A1679,MATCH(B1058,'Run Reconcile'!B$2:B1679,0),1),IFERROR(0/0,""))</f>
        <v>RUN-COMB_2022-06-03_RFR-055</v>
      </c>
      <c r="S1058" s="165" t="str">
        <f t="shared" ref="S1058:T1058" si="2115">IF(COUNTIF(W$2:W1679, $A1058) &gt; 0,TRUE,IFERROR(0/0,""))</f>
        <v/>
      </c>
      <c r="T1058" s="165" t="str">
        <f t="shared" si="2115"/>
        <v/>
      </c>
      <c r="U1058" s="147" t="str">
        <f t="array" ref="U1058">IF(ISBLANK($R1058), IF($S1058,VLOOKUP($B1058+1,'RFR Data - preExcl'!$BF$2:$BG1679,2,FALSE),IF($T1058,INDEX('RFR Data - preExcl'!$BF$2:$BG1679,MATCH($B1058,'RFR Data - preExcl'!$BF$2:$BF1679,0)+1,2),VLOOKUP($B1058,'RFR Data - preExcl'!$BF$2:$BG1679,2,FALSE))),IFERROR(0/0,""))</f>
        <v/>
      </c>
      <c r="V1058" s="212" t="str">
        <f t="shared" si="5"/>
        <v>RUN-COMB_2022-06-03_RFR-055</v>
      </c>
      <c r="W1058" s="51"/>
      <c r="X1058" s="51"/>
      <c r="Y1058" s="147" t="str">
        <f t="shared" ref="Y1058:Z1058" si="2116">IF(_xlfn.ISFORMULA(S1058),IFERROR(0/0,""),TRUE)</f>
        <v/>
      </c>
      <c r="Z1058" s="147" t="str">
        <f t="shared" si="2116"/>
        <v/>
      </c>
    </row>
    <row r="1059">
      <c r="A1059" s="6" t="str">
        <f>IFERROR(__xludf.DUMMYFUNCTION("""COMPUTED_VALUE"""),"FM2865")</f>
        <v>FM2865</v>
      </c>
      <c r="B1059" s="206">
        <f>IFERROR(__xludf.DUMMYFUNCTION("""COMPUTED_VALUE"""),44715.0)</f>
        <v>44715</v>
      </c>
      <c r="C1059" s="207">
        <f>IFERROR(__xludf.DUMMYFUNCTION("""COMPUTED_VALUE"""),0.2782986111111111)</f>
        <v>0.2782986111</v>
      </c>
      <c r="D1059" s="50"/>
      <c r="E1059" s="58"/>
      <c r="F1059" s="58"/>
      <c r="G1059" s="58" t="str">
        <f>IFERROR(__xludf.DUMMYFUNCTION("""COMPUTED_VALUE"""),"Null")</f>
        <v>Null</v>
      </c>
      <c r="H1059" s="206" t="str">
        <f>IFERROR(__xludf.DUMMYFUNCTION("""COMPUTED_VALUE"""),"Negative")</f>
        <v>Negative</v>
      </c>
      <c r="I1059" s="207">
        <f>IFERROR(__xludf.DUMMYFUNCTION("""COMPUTED_VALUE"""),44715.0)</f>
        <v>44715</v>
      </c>
      <c r="J1059" s="208">
        <f>IFERROR(__xludf.DUMMYFUNCTION("""COMPUTED_VALUE"""),0.3894560185185185)</f>
        <v>0.3894560185</v>
      </c>
      <c r="K1059" s="50">
        <f>IFERROR(__xludf.DUMMYFUNCTION("""COMPUTED_VALUE"""),2.0)</f>
        <v>2</v>
      </c>
      <c r="L1059" s="6"/>
      <c r="M1059" s="55"/>
      <c r="N1059" s="55">
        <f>IFERROR(__xludf.DUMMYFUNCTION("""COMPUTED_VALUE"""),1.0)</f>
        <v>1</v>
      </c>
      <c r="O1059" s="55" t="str">
        <f t="shared" si="3"/>
        <v/>
      </c>
      <c r="P1059" s="209"/>
      <c r="Q1059" s="75" t="b">
        <f>VLOOKUP($B1059,'Run Reconcile'!B$2:P1679,15,FALSE)</f>
        <v>1</v>
      </c>
      <c r="R1059" s="211" t="str">
        <f t="array" ref="R1059">IF($Q1059, INDEX('Run Reconcile'!A$2:A1679,MATCH(B1059,'Run Reconcile'!B$2:B1679,0),1),IFERROR(0/0,""))</f>
        <v>RUN-COMB_2022-06-03_RFR-055</v>
      </c>
      <c r="S1059" s="165" t="str">
        <f t="shared" ref="S1059:T1059" si="2117">IF(COUNTIF(W$2:W1679, $A1059) &gt; 0,TRUE,IFERROR(0/0,""))</f>
        <v/>
      </c>
      <c r="T1059" s="165" t="str">
        <f t="shared" si="2117"/>
        <v/>
      </c>
      <c r="U1059" s="147" t="str">
        <f t="array" ref="U1059">IF(ISBLANK($R1059), IF($S1059,VLOOKUP($B1059+1,'RFR Data - preExcl'!$BF$2:$BG1679,2,FALSE),IF($T1059,INDEX('RFR Data - preExcl'!$BF$2:$BG1679,MATCH($B1059,'RFR Data - preExcl'!$BF$2:$BF1679,0)+1,2),VLOOKUP($B1059,'RFR Data - preExcl'!$BF$2:$BG1679,2,FALSE))),IFERROR(0/0,""))</f>
        <v/>
      </c>
      <c r="V1059" s="212" t="str">
        <f t="shared" si="5"/>
        <v>RUN-COMB_2022-06-03_RFR-055</v>
      </c>
      <c r="W1059" s="51"/>
      <c r="X1059" s="51"/>
      <c r="Y1059" s="147" t="str">
        <f t="shared" ref="Y1059:Z1059" si="2118">IF(_xlfn.ISFORMULA(S1059),IFERROR(0/0,""),TRUE)</f>
        <v/>
      </c>
      <c r="Z1059" s="147" t="str">
        <f t="shared" si="2118"/>
        <v/>
      </c>
    </row>
    <row r="1060">
      <c r="A1060" s="6" t="str">
        <f>IFERROR(__xludf.DUMMYFUNCTION("""COMPUTED_VALUE"""),"FM2917")</f>
        <v>FM2917</v>
      </c>
      <c r="B1060" s="206">
        <f>IFERROR(__xludf.DUMMYFUNCTION("""COMPUTED_VALUE"""),44715.0)</f>
        <v>44715</v>
      </c>
      <c r="C1060" s="207">
        <f>IFERROR(__xludf.DUMMYFUNCTION("""COMPUTED_VALUE"""),0.27899305555555554)</f>
        <v>0.2789930556</v>
      </c>
      <c r="D1060" s="50"/>
      <c r="E1060" s="58"/>
      <c r="F1060" s="58"/>
      <c r="G1060" s="58" t="str">
        <f>IFERROR(__xludf.DUMMYFUNCTION("""COMPUTED_VALUE"""),"Null")</f>
        <v>Null</v>
      </c>
      <c r="H1060" s="206" t="str">
        <f>IFERROR(__xludf.DUMMYFUNCTION("""COMPUTED_VALUE"""),"Negative")</f>
        <v>Negative</v>
      </c>
      <c r="I1060" s="207">
        <f>IFERROR(__xludf.DUMMYFUNCTION("""COMPUTED_VALUE"""),44715.0)</f>
        <v>44715</v>
      </c>
      <c r="J1060" s="208">
        <f>IFERROR(__xludf.DUMMYFUNCTION("""COMPUTED_VALUE"""),0.3894675925925926)</f>
        <v>0.3894675926</v>
      </c>
      <c r="K1060" s="50">
        <f>IFERROR(__xludf.DUMMYFUNCTION("""COMPUTED_VALUE"""),2.0)</f>
        <v>2</v>
      </c>
      <c r="L1060" s="6"/>
      <c r="M1060" s="55"/>
      <c r="N1060" s="55">
        <f>IFERROR(__xludf.DUMMYFUNCTION("""COMPUTED_VALUE"""),1.0)</f>
        <v>1</v>
      </c>
      <c r="O1060" s="55" t="str">
        <f t="shared" si="3"/>
        <v/>
      </c>
      <c r="P1060" s="209"/>
      <c r="Q1060" s="75" t="b">
        <f>VLOOKUP($B1060,'Run Reconcile'!B$2:P1679,15,FALSE)</f>
        <v>1</v>
      </c>
      <c r="R1060" s="211" t="str">
        <f t="array" ref="R1060">IF($Q1060, INDEX('Run Reconcile'!A$2:A1679,MATCH(B1060,'Run Reconcile'!B$2:B1679,0),1),IFERROR(0/0,""))</f>
        <v>RUN-COMB_2022-06-03_RFR-055</v>
      </c>
      <c r="S1060" s="165" t="str">
        <f t="shared" ref="S1060:T1060" si="2119">IF(COUNTIF(W$2:W1679, $A1060) &gt; 0,TRUE,IFERROR(0/0,""))</f>
        <v/>
      </c>
      <c r="T1060" s="165" t="str">
        <f t="shared" si="2119"/>
        <v/>
      </c>
      <c r="U1060" s="147" t="str">
        <f t="array" ref="U1060">IF(ISBLANK($R1060), IF($S1060,VLOOKUP($B1060+1,'RFR Data - preExcl'!$BF$2:$BG1679,2,FALSE),IF($T1060,INDEX('RFR Data - preExcl'!$BF$2:$BG1679,MATCH($B1060,'RFR Data - preExcl'!$BF$2:$BF1679,0)+1,2),VLOOKUP($B1060,'RFR Data - preExcl'!$BF$2:$BG1679,2,FALSE))),IFERROR(0/0,""))</f>
        <v/>
      </c>
      <c r="V1060" s="212" t="str">
        <f t="shared" si="5"/>
        <v>RUN-COMB_2022-06-03_RFR-055</v>
      </c>
      <c r="W1060" s="51"/>
      <c r="X1060" s="51"/>
      <c r="Y1060" s="147" t="str">
        <f t="shared" ref="Y1060:Z1060" si="2120">IF(_xlfn.ISFORMULA(S1060),IFERROR(0/0,""),TRUE)</f>
        <v/>
      </c>
      <c r="Z1060" s="147" t="str">
        <f t="shared" si="2120"/>
        <v/>
      </c>
    </row>
    <row r="1061">
      <c r="A1061" s="6" t="str">
        <f>IFERROR(__xludf.DUMMYFUNCTION("""COMPUTED_VALUE"""),"FM2863")</f>
        <v>FM2863</v>
      </c>
      <c r="B1061" s="206">
        <f>IFERROR(__xludf.DUMMYFUNCTION("""COMPUTED_VALUE"""),44715.0)</f>
        <v>44715</v>
      </c>
      <c r="C1061" s="207">
        <f>IFERROR(__xludf.DUMMYFUNCTION("""COMPUTED_VALUE"""),0.29707175925925927)</f>
        <v>0.2970717593</v>
      </c>
      <c r="D1061" s="50"/>
      <c r="E1061" s="58"/>
      <c r="F1061" s="58"/>
      <c r="G1061" s="58" t="str">
        <f>IFERROR(__xludf.DUMMYFUNCTION("""COMPUTED_VALUE"""),"Null")</f>
        <v>Null</v>
      </c>
      <c r="H1061" s="206" t="str">
        <f>IFERROR(__xludf.DUMMYFUNCTION("""COMPUTED_VALUE"""),"Negative")</f>
        <v>Negative</v>
      </c>
      <c r="I1061" s="207">
        <f>IFERROR(__xludf.DUMMYFUNCTION("""COMPUTED_VALUE"""),44715.0)</f>
        <v>44715</v>
      </c>
      <c r="J1061" s="208">
        <f>IFERROR(__xludf.DUMMYFUNCTION("""COMPUTED_VALUE"""),0.38949074074074075)</f>
        <v>0.3894907407</v>
      </c>
      <c r="K1061" s="50">
        <f>IFERROR(__xludf.DUMMYFUNCTION("""COMPUTED_VALUE"""),2.0)</f>
        <v>2</v>
      </c>
      <c r="L1061" s="6"/>
      <c r="M1061" s="55"/>
      <c r="N1061" s="55">
        <f>IFERROR(__xludf.DUMMYFUNCTION("""COMPUTED_VALUE"""),1.0)</f>
        <v>1</v>
      </c>
      <c r="O1061" s="55" t="str">
        <f t="shared" si="3"/>
        <v/>
      </c>
      <c r="P1061" s="209"/>
      <c r="Q1061" s="75" t="b">
        <f>VLOOKUP($B1061,'Run Reconcile'!B$2:P1679,15,FALSE)</f>
        <v>1</v>
      </c>
      <c r="R1061" s="211" t="str">
        <f t="array" ref="R1061">IF($Q1061, INDEX('Run Reconcile'!A$2:A1679,MATCH(B1061,'Run Reconcile'!B$2:B1679,0),1),IFERROR(0/0,""))</f>
        <v>RUN-COMB_2022-06-03_RFR-055</v>
      </c>
      <c r="S1061" s="165" t="str">
        <f t="shared" ref="S1061:T1061" si="2121">IF(COUNTIF(W$2:W1679, $A1061) &gt; 0,TRUE,IFERROR(0/0,""))</f>
        <v/>
      </c>
      <c r="T1061" s="165" t="str">
        <f t="shared" si="2121"/>
        <v/>
      </c>
      <c r="U1061" s="147" t="str">
        <f t="array" ref="U1061">IF(ISBLANK($R1061), IF($S1061,VLOOKUP($B1061+1,'RFR Data - preExcl'!$BF$2:$BG1679,2,FALSE),IF($T1061,INDEX('RFR Data - preExcl'!$BF$2:$BG1679,MATCH($B1061,'RFR Data - preExcl'!$BF$2:$BF1679,0)+1,2),VLOOKUP($B1061,'RFR Data - preExcl'!$BF$2:$BG1679,2,FALSE))),IFERROR(0/0,""))</f>
        <v/>
      </c>
      <c r="V1061" s="212" t="str">
        <f t="shared" si="5"/>
        <v>RUN-COMB_2022-06-03_RFR-055</v>
      </c>
      <c r="W1061" s="51"/>
      <c r="X1061" s="51"/>
      <c r="Y1061" s="147" t="str">
        <f t="shared" ref="Y1061:Z1061" si="2122">IF(_xlfn.ISFORMULA(S1061),IFERROR(0/0,""),TRUE)</f>
        <v/>
      </c>
      <c r="Z1061" s="147" t="str">
        <f t="shared" si="2122"/>
        <v/>
      </c>
    </row>
    <row r="1062">
      <c r="A1062" s="6" t="str">
        <f>IFERROR(__xludf.DUMMYFUNCTION("""COMPUTED_VALUE"""),"FM2894")</f>
        <v>FM2894</v>
      </c>
      <c r="B1062" s="206">
        <f>IFERROR(__xludf.DUMMYFUNCTION("""COMPUTED_VALUE"""),44715.0)</f>
        <v>44715</v>
      </c>
      <c r="C1062" s="207">
        <f>IFERROR(__xludf.DUMMYFUNCTION("""COMPUTED_VALUE"""),0.3069560185185185)</f>
        <v>0.3069560185</v>
      </c>
      <c r="D1062" s="50"/>
      <c r="E1062" s="58"/>
      <c r="F1062" s="58"/>
      <c r="G1062" s="58" t="str">
        <f>IFERROR(__xludf.DUMMYFUNCTION("""COMPUTED_VALUE"""),"Null")</f>
        <v>Null</v>
      </c>
      <c r="H1062" s="206" t="str">
        <f>IFERROR(__xludf.DUMMYFUNCTION("""COMPUTED_VALUE"""),"Negative")</f>
        <v>Negative</v>
      </c>
      <c r="I1062" s="207">
        <f>IFERROR(__xludf.DUMMYFUNCTION("""COMPUTED_VALUE"""),44715.0)</f>
        <v>44715</v>
      </c>
      <c r="J1062" s="208">
        <f>IFERROR(__xludf.DUMMYFUNCTION("""COMPUTED_VALUE"""),0.389525462962963)</f>
        <v>0.389525463</v>
      </c>
      <c r="K1062" s="50">
        <f>IFERROR(__xludf.DUMMYFUNCTION("""COMPUTED_VALUE"""),2.0)</f>
        <v>2</v>
      </c>
      <c r="L1062" s="6"/>
      <c r="M1062" s="55"/>
      <c r="N1062" s="55">
        <f>IFERROR(__xludf.DUMMYFUNCTION("""COMPUTED_VALUE"""),1.0)</f>
        <v>1</v>
      </c>
      <c r="O1062" s="55" t="str">
        <f t="shared" si="3"/>
        <v/>
      </c>
      <c r="P1062" s="209"/>
      <c r="Q1062" s="75" t="b">
        <f>VLOOKUP($B1062,'Run Reconcile'!B$2:P1679,15,FALSE)</f>
        <v>1</v>
      </c>
      <c r="R1062" s="211" t="str">
        <f t="array" ref="R1062">IF($Q1062, INDEX('Run Reconcile'!A$2:A1679,MATCH(B1062,'Run Reconcile'!B$2:B1679,0),1),IFERROR(0/0,""))</f>
        <v>RUN-COMB_2022-06-03_RFR-055</v>
      </c>
      <c r="S1062" s="165" t="str">
        <f t="shared" ref="S1062:T1062" si="2123">IF(COUNTIF(W$2:W1679, $A1062) &gt; 0,TRUE,IFERROR(0/0,""))</f>
        <v/>
      </c>
      <c r="T1062" s="165" t="str">
        <f t="shared" si="2123"/>
        <v/>
      </c>
      <c r="U1062" s="147" t="str">
        <f t="array" ref="U1062">IF(ISBLANK($R1062), IF($S1062,VLOOKUP($B1062+1,'RFR Data - preExcl'!$BF$2:$BG1679,2,FALSE),IF($T1062,INDEX('RFR Data - preExcl'!$BF$2:$BG1679,MATCH($B1062,'RFR Data - preExcl'!$BF$2:$BF1679,0)+1,2),VLOOKUP($B1062,'RFR Data - preExcl'!$BF$2:$BG1679,2,FALSE))),IFERROR(0/0,""))</f>
        <v/>
      </c>
      <c r="V1062" s="212" t="str">
        <f t="shared" si="5"/>
        <v>RUN-COMB_2022-06-03_RFR-055</v>
      </c>
      <c r="W1062" s="51"/>
      <c r="X1062" s="51"/>
      <c r="Y1062" s="147" t="str">
        <f t="shared" ref="Y1062:Z1062" si="2124">IF(_xlfn.ISFORMULA(S1062),IFERROR(0/0,""),TRUE)</f>
        <v/>
      </c>
      <c r="Z1062" s="147" t="str">
        <f t="shared" si="2124"/>
        <v/>
      </c>
    </row>
    <row r="1063">
      <c r="A1063" s="6" t="str">
        <f>IFERROR(__xludf.DUMMYFUNCTION("""COMPUTED_VALUE"""),"FM2799")</f>
        <v>FM2799</v>
      </c>
      <c r="B1063" s="206">
        <f>IFERROR(__xludf.DUMMYFUNCTION("""COMPUTED_VALUE"""),44718.0)</f>
        <v>44718</v>
      </c>
      <c r="C1063" s="207">
        <f>IFERROR(__xludf.DUMMYFUNCTION("""COMPUTED_VALUE"""),0.7028009259259259)</f>
        <v>0.7028009259</v>
      </c>
      <c r="D1063" s="50"/>
      <c r="E1063" s="58"/>
      <c r="F1063" s="58"/>
      <c r="G1063" s="58" t="str">
        <f>IFERROR(__xludf.DUMMYFUNCTION("""COMPUTED_VALUE"""),"Null")</f>
        <v>Null</v>
      </c>
      <c r="H1063" s="206" t="str">
        <f>IFERROR(__xludf.DUMMYFUNCTION("""COMPUTED_VALUE"""),"Positive")</f>
        <v>Positive</v>
      </c>
      <c r="I1063" s="207"/>
      <c r="J1063" s="50"/>
      <c r="K1063" s="50">
        <f>IFERROR(__xludf.DUMMYFUNCTION("""COMPUTED_VALUE"""),3.0)</f>
        <v>3</v>
      </c>
      <c r="L1063" s="6" t="str">
        <f>IFERROR(__xludf.DUMMYFUNCTION("""COMPUTED_VALUE"""),"Null changed to Positive")</f>
        <v>Null changed to Positive</v>
      </c>
      <c r="M1063" s="55"/>
      <c r="N1063" s="55">
        <f>IFERROR(__xludf.DUMMYFUNCTION("""COMPUTED_VALUE"""),1.0)</f>
        <v>1</v>
      </c>
      <c r="O1063" s="55" t="b">
        <f t="shared" si="3"/>
        <v>1</v>
      </c>
      <c r="P1063" s="209"/>
      <c r="Q1063" s="75" t="b">
        <f>VLOOKUP($B1063,'Run Reconcile'!B$2:P1679,15,FALSE)</f>
        <v>1</v>
      </c>
      <c r="R1063" s="211" t="str">
        <f t="array" ref="R1063">IF($Q1063, INDEX('Run Reconcile'!A$2:A1679,MATCH(B1063,'Run Reconcile'!B$2:B1679,0),1),IFERROR(0/0,""))</f>
        <v>RUN-COMB_2022-06-06_RFR-056</v>
      </c>
      <c r="S1063" s="165" t="str">
        <f t="shared" ref="S1063:T1063" si="2125">IF(COUNTIF(W$2:W1679, $A1063) &gt; 0,TRUE,IFERROR(0/0,""))</f>
        <v/>
      </c>
      <c r="T1063" s="165" t="str">
        <f t="shared" si="2125"/>
        <v/>
      </c>
      <c r="U1063" s="147" t="str">
        <f t="array" ref="U1063">IF(ISBLANK($R1063), IF($S1063,VLOOKUP($B1063+1,'RFR Data - preExcl'!$BF$2:$BG1679,2,FALSE),IF($T1063,INDEX('RFR Data - preExcl'!$BF$2:$BG1679,MATCH($B1063,'RFR Data - preExcl'!$BF$2:$BF1679,0)+1,2),VLOOKUP($B1063,'RFR Data - preExcl'!$BF$2:$BG1679,2,FALSE))),IFERROR(0/0,""))</f>
        <v/>
      </c>
      <c r="V1063" s="212" t="str">
        <f t="shared" si="5"/>
        <v>RUN-COMB_2022-06-06_RFR-056</v>
      </c>
      <c r="W1063" s="51"/>
      <c r="X1063" s="51"/>
      <c r="Y1063" s="147" t="str">
        <f t="shared" ref="Y1063:Z1063" si="2126">IF(_xlfn.ISFORMULA(S1063),IFERROR(0/0,""),TRUE)</f>
        <v/>
      </c>
      <c r="Z1063" s="147" t="str">
        <f t="shared" si="2126"/>
        <v/>
      </c>
    </row>
    <row r="1064">
      <c r="A1064" s="6" t="str">
        <f>IFERROR(__xludf.DUMMYFUNCTION("""COMPUTED_VALUE"""),"FM2821")</f>
        <v>FM2821</v>
      </c>
      <c r="B1064" s="206">
        <f>IFERROR(__xludf.DUMMYFUNCTION("""COMPUTED_VALUE"""),44718.0)</f>
        <v>44718</v>
      </c>
      <c r="C1064" s="207">
        <f>IFERROR(__xludf.DUMMYFUNCTION("""COMPUTED_VALUE"""),0.7034027777777778)</f>
        <v>0.7034027778</v>
      </c>
      <c r="D1064" s="50"/>
      <c r="E1064" s="58"/>
      <c r="F1064" s="58"/>
      <c r="G1064" s="58" t="str">
        <f>IFERROR(__xludf.DUMMYFUNCTION("""COMPUTED_VALUE"""),"Null")</f>
        <v>Null</v>
      </c>
      <c r="H1064" s="206" t="str">
        <f>IFERROR(__xludf.DUMMYFUNCTION("""COMPUTED_VALUE"""),"Negative")</f>
        <v>Negative</v>
      </c>
      <c r="I1064" s="207"/>
      <c r="J1064" s="50"/>
      <c r="K1064" s="50">
        <f>IFERROR(__xludf.DUMMYFUNCTION("""COMPUTED_VALUE"""),2.0)</f>
        <v>2</v>
      </c>
      <c r="L1064" s="6"/>
      <c r="M1064" s="55"/>
      <c r="N1064" s="55">
        <f>IFERROR(__xludf.DUMMYFUNCTION("""COMPUTED_VALUE"""),1.0)</f>
        <v>1</v>
      </c>
      <c r="O1064" s="55" t="str">
        <f t="shared" si="3"/>
        <v/>
      </c>
      <c r="P1064" s="209"/>
      <c r="Q1064" s="75" t="b">
        <f>VLOOKUP($B1064,'Run Reconcile'!B$2:P1679,15,FALSE)</f>
        <v>1</v>
      </c>
      <c r="R1064" s="211" t="str">
        <f t="array" ref="R1064">IF($Q1064, INDEX('Run Reconcile'!A$2:A1679,MATCH(B1064,'Run Reconcile'!B$2:B1679,0),1),IFERROR(0/0,""))</f>
        <v>RUN-COMB_2022-06-06_RFR-056</v>
      </c>
      <c r="S1064" s="165" t="str">
        <f t="shared" ref="S1064:T1064" si="2127">IF(COUNTIF(W$2:W1679, $A1064) &gt; 0,TRUE,IFERROR(0/0,""))</f>
        <v/>
      </c>
      <c r="T1064" s="165" t="str">
        <f t="shared" si="2127"/>
        <v/>
      </c>
      <c r="U1064" s="147" t="str">
        <f t="array" ref="U1064">IF(ISBLANK($R1064), IF($S1064,VLOOKUP($B1064+1,'RFR Data - preExcl'!$BF$2:$BG1679,2,FALSE),IF($T1064,INDEX('RFR Data - preExcl'!$BF$2:$BG1679,MATCH($B1064,'RFR Data - preExcl'!$BF$2:$BF1679,0)+1,2),VLOOKUP($B1064,'RFR Data - preExcl'!$BF$2:$BG1679,2,FALSE))),IFERROR(0/0,""))</f>
        <v/>
      </c>
      <c r="V1064" s="212" t="str">
        <f t="shared" si="5"/>
        <v>RUN-COMB_2022-06-06_RFR-056</v>
      </c>
      <c r="W1064" s="51"/>
      <c r="X1064" s="51"/>
      <c r="Y1064" s="147" t="str">
        <f t="shared" ref="Y1064:Z1064" si="2128">IF(_xlfn.ISFORMULA(S1064),IFERROR(0/0,""),TRUE)</f>
        <v/>
      </c>
      <c r="Z1064" s="147" t="str">
        <f t="shared" si="2128"/>
        <v/>
      </c>
    </row>
    <row r="1065">
      <c r="A1065" s="6" t="str">
        <f>IFERROR(__xludf.DUMMYFUNCTION("""COMPUTED_VALUE"""),"FM2668")</f>
        <v>FM2668</v>
      </c>
      <c r="B1065" s="206">
        <f>IFERROR(__xludf.DUMMYFUNCTION("""COMPUTED_VALUE"""),44719.0)</f>
        <v>44719</v>
      </c>
      <c r="C1065" s="207">
        <f>IFERROR(__xludf.DUMMYFUNCTION("""COMPUTED_VALUE"""),0.2615046296296296)</f>
        <v>0.2615046296</v>
      </c>
      <c r="D1065" s="50"/>
      <c r="E1065" s="58"/>
      <c r="F1065" s="58"/>
      <c r="G1065" s="58" t="str">
        <f>IFERROR(__xludf.DUMMYFUNCTION("""COMPUTED_VALUE"""),"Null")</f>
        <v>Null</v>
      </c>
      <c r="H1065" s="206" t="str">
        <f>IFERROR(__xludf.DUMMYFUNCTION("""COMPUTED_VALUE"""),"Negative")</f>
        <v>Negative</v>
      </c>
      <c r="I1065" s="207">
        <f>IFERROR(__xludf.DUMMYFUNCTION("""COMPUTED_VALUE"""),44719.0)</f>
        <v>44719</v>
      </c>
      <c r="J1065" s="208">
        <f>IFERROR(__xludf.DUMMYFUNCTION("""COMPUTED_VALUE"""),0.34506944444444443)</f>
        <v>0.3450694444</v>
      </c>
      <c r="K1065" s="50">
        <f>IFERROR(__xludf.DUMMYFUNCTION("""COMPUTED_VALUE"""),2.0)</f>
        <v>2</v>
      </c>
      <c r="L1065" s="6"/>
      <c r="M1065" s="55"/>
      <c r="N1065" s="55">
        <f>IFERROR(__xludf.DUMMYFUNCTION("""COMPUTED_VALUE"""),1.0)</f>
        <v>1</v>
      </c>
      <c r="O1065" s="55" t="b">
        <f t="shared" si="3"/>
        <v>1</v>
      </c>
      <c r="P1065" s="209"/>
      <c r="Q1065" s="75" t="b">
        <f>VLOOKUP($B1065,'Run Reconcile'!B$2:P1679,15,FALSE)</f>
        <v>1</v>
      </c>
      <c r="R1065" s="211" t="str">
        <f t="array" ref="R1065">IF($Q1065, INDEX('Run Reconcile'!A$2:A1679,MATCH(B1065,'Run Reconcile'!B$2:B1679,0),1),IFERROR(0/0,""))</f>
        <v>RUN-COMB_2022-06-07_RFR-058</v>
      </c>
      <c r="S1065" s="165" t="str">
        <f t="shared" ref="S1065:T1065" si="2129">IF(COUNTIF(W$2:W1679, $A1065) &gt; 0,TRUE,IFERROR(0/0,""))</f>
        <v/>
      </c>
      <c r="T1065" s="165" t="str">
        <f t="shared" si="2129"/>
        <v/>
      </c>
      <c r="U1065" s="147" t="str">
        <f t="array" ref="U1065">IF(ISBLANK($R1065), IF($S1065,VLOOKUP($B1065+1,'RFR Data - preExcl'!$BF$2:$BG1679,2,FALSE),IF($T1065,INDEX('RFR Data - preExcl'!$BF$2:$BG1679,MATCH($B1065,'RFR Data - preExcl'!$BF$2:$BF1679,0)+1,2),VLOOKUP($B1065,'RFR Data - preExcl'!$BF$2:$BG1679,2,FALSE))),IFERROR(0/0,""))</f>
        <v/>
      </c>
      <c r="V1065" s="212" t="str">
        <f t="shared" si="5"/>
        <v>RUN-COMB_2022-06-07_RFR-058</v>
      </c>
      <c r="W1065" s="51"/>
      <c r="X1065" s="51"/>
      <c r="Y1065" s="147" t="str">
        <f t="shared" ref="Y1065:Z1065" si="2130">IF(_xlfn.ISFORMULA(S1065),IFERROR(0/0,""),TRUE)</f>
        <v/>
      </c>
      <c r="Z1065" s="147" t="str">
        <f t="shared" si="2130"/>
        <v/>
      </c>
    </row>
    <row r="1066">
      <c r="A1066" s="6" t="str">
        <f>IFERROR(__xludf.DUMMYFUNCTION("""COMPUTED_VALUE"""),"FM2822")</f>
        <v>FM2822</v>
      </c>
      <c r="B1066" s="206">
        <f>IFERROR(__xludf.DUMMYFUNCTION("""COMPUTED_VALUE"""),44719.0)</f>
        <v>44719</v>
      </c>
      <c r="C1066" s="207">
        <f>IFERROR(__xludf.DUMMYFUNCTION("""COMPUTED_VALUE"""),0.2632638888888889)</f>
        <v>0.2632638889</v>
      </c>
      <c r="D1066" s="50"/>
      <c r="E1066" s="58"/>
      <c r="F1066" s="58"/>
      <c r="G1066" s="58" t="str">
        <f>IFERROR(__xludf.DUMMYFUNCTION("""COMPUTED_VALUE"""),"Null")</f>
        <v>Null</v>
      </c>
      <c r="H1066" s="206" t="str">
        <f>IFERROR(__xludf.DUMMYFUNCTION("""COMPUTED_VALUE"""),"Negative")</f>
        <v>Negative</v>
      </c>
      <c r="I1066" s="207">
        <f>IFERROR(__xludf.DUMMYFUNCTION("""COMPUTED_VALUE"""),44719.0)</f>
        <v>44719</v>
      </c>
      <c r="J1066" s="208">
        <f>IFERROR(__xludf.DUMMYFUNCTION("""COMPUTED_VALUE"""),0.3450810185185185)</f>
        <v>0.3450810185</v>
      </c>
      <c r="K1066" s="50">
        <f>IFERROR(__xludf.DUMMYFUNCTION("""COMPUTED_VALUE"""),2.0)</f>
        <v>2</v>
      </c>
      <c r="L1066" s="6"/>
      <c r="M1066" s="55"/>
      <c r="N1066" s="55">
        <f>IFERROR(__xludf.DUMMYFUNCTION("""COMPUTED_VALUE"""),1.0)</f>
        <v>1</v>
      </c>
      <c r="O1066" s="55" t="str">
        <f t="shared" si="3"/>
        <v/>
      </c>
      <c r="P1066" s="209"/>
      <c r="Q1066" s="75" t="b">
        <f>VLOOKUP($B1066,'Run Reconcile'!B$2:P1679,15,FALSE)</f>
        <v>1</v>
      </c>
      <c r="R1066" s="211" t="str">
        <f t="array" ref="R1066">IF($Q1066, INDEX('Run Reconcile'!A$2:A1679,MATCH(B1066,'Run Reconcile'!B$2:B1679,0),1),IFERROR(0/0,""))</f>
        <v>RUN-COMB_2022-06-07_RFR-058</v>
      </c>
      <c r="S1066" s="165" t="str">
        <f t="shared" ref="S1066:T1066" si="2131">IF(COUNTIF(W$2:W1679, $A1066) &gt; 0,TRUE,IFERROR(0/0,""))</f>
        <v/>
      </c>
      <c r="T1066" s="165" t="str">
        <f t="shared" si="2131"/>
        <v/>
      </c>
      <c r="U1066" s="147" t="str">
        <f t="array" ref="U1066">IF(ISBLANK($R1066), IF($S1066,VLOOKUP($B1066+1,'RFR Data - preExcl'!$BF$2:$BG1679,2,FALSE),IF($T1066,INDEX('RFR Data - preExcl'!$BF$2:$BG1679,MATCH($B1066,'RFR Data - preExcl'!$BF$2:$BF1679,0)+1,2),VLOOKUP($B1066,'RFR Data - preExcl'!$BF$2:$BG1679,2,FALSE))),IFERROR(0/0,""))</f>
        <v/>
      </c>
      <c r="V1066" s="212" t="str">
        <f t="shared" si="5"/>
        <v>RUN-COMB_2022-06-07_RFR-058</v>
      </c>
      <c r="W1066" s="51"/>
      <c r="X1066" s="51"/>
      <c r="Y1066" s="147" t="str">
        <f t="shared" ref="Y1066:Z1066" si="2132">IF(_xlfn.ISFORMULA(S1066),IFERROR(0/0,""),TRUE)</f>
        <v/>
      </c>
      <c r="Z1066" s="147" t="str">
        <f t="shared" si="2132"/>
        <v/>
      </c>
    </row>
    <row r="1067">
      <c r="A1067" s="6" t="str">
        <f>IFERROR(__xludf.DUMMYFUNCTION("""COMPUTED_VALUE"""),"FM2880")</f>
        <v>FM2880</v>
      </c>
      <c r="B1067" s="206">
        <f>IFERROR(__xludf.DUMMYFUNCTION("""COMPUTED_VALUE"""),44719.0)</f>
        <v>44719</v>
      </c>
      <c r="C1067" s="207">
        <f>IFERROR(__xludf.DUMMYFUNCTION("""COMPUTED_VALUE"""),0.2636689814814815)</f>
        <v>0.2636689815</v>
      </c>
      <c r="D1067" s="50"/>
      <c r="E1067" s="58"/>
      <c r="F1067" s="58"/>
      <c r="G1067" s="58" t="str">
        <f>IFERROR(__xludf.DUMMYFUNCTION("""COMPUTED_VALUE"""),"Null")</f>
        <v>Null</v>
      </c>
      <c r="H1067" s="206" t="str">
        <f>IFERROR(__xludf.DUMMYFUNCTION("""COMPUTED_VALUE"""),"Negative")</f>
        <v>Negative</v>
      </c>
      <c r="I1067" s="207">
        <f>IFERROR(__xludf.DUMMYFUNCTION("""COMPUTED_VALUE"""),44719.0)</f>
        <v>44719</v>
      </c>
      <c r="J1067" s="208">
        <f>IFERROR(__xludf.DUMMYFUNCTION("""COMPUTED_VALUE"""),0.34510416666666666)</f>
        <v>0.3451041667</v>
      </c>
      <c r="K1067" s="50">
        <f>IFERROR(__xludf.DUMMYFUNCTION("""COMPUTED_VALUE"""),2.0)</f>
        <v>2</v>
      </c>
      <c r="L1067" s="6"/>
      <c r="M1067" s="55"/>
      <c r="N1067" s="55">
        <f>IFERROR(__xludf.DUMMYFUNCTION("""COMPUTED_VALUE"""),1.0)</f>
        <v>1</v>
      </c>
      <c r="O1067" s="55" t="str">
        <f t="shared" si="3"/>
        <v/>
      </c>
      <c r="P1067" s="209"/>
      <c r="Q1067" s="75" t="b">
        <f>VLOOKUP($B1067,'Run Reconcile'!B$2:P1679,15,FALSE)</f>
        <v>1</v>
      </c>
      <c r="R1067" s="211" t="str">
        <f t="array" ref="R1067">IF($Q1067, INDEX('Run Reconcile'!A$2:A1679,MATCH(B1067,'Run Reconcile'!B$2:B1679,0),1),IFERROR(0/0,""))</f>
        <v>RUN-COMB_2022-06-07_RFR-058</v>
      </c>
      <c r="S1067" s="165" t="str">
        <f t="shared" ref="S1067:T1067" si="2133">IF(COUNTIF(W$2:W1679, $A1067) &gt; 0,TRUE,IFERROR(0/0,""))</f>
        <v/>
      </c>
      <c r="T1067" s="165" t="str">
        <f t="shared" si="2133"/>
        <v/>
      </c>
      <c r="U1067" s="147" t="str">
        <f t="array" ref="U1067">IF(ISBLANK($R1067), IF($S1067,VLOOKUP($B1067+1,'RFR Data - preExcl'!$BF$2:$BG1679,2,FALSE),IF($T1067,INDEX('RFR Data - preExcl'!$BF$2:$BG1679,MATCH($B1067,'RFR Data - preExcl'!$BF$2:$BF1679,0)+1,2),VLOOKUP($B1067,'RFR Data - preExcl'!$BF$2:$BG1679,2,FALSE))),IFERROR(0/0,""))</f>
        <v/>
      </c>
      <c r="V1067" s="212" t="str">
        <f t="shared" si="5"/>
        <v>RUN-COMB_2022-06-07_RFR-058</v>
      </c>
      <c r="W1067" s="51"/>
      <c r="X1067" s="51"/>
      <c r="Y1067" s="147" t="str">
        <f t="shared" ref="Y1067:Z1067" si="2134">IF(_xlfn.ISFORMULA(S1067),IFERROR(0/0,""),TRUE)</f>
        <v/>
      </c>
      <c r="Z1067" s="147" t="str">
        <f t="shared" si="2134"/>
        <v/>
      </c>
    </row>
    <row r="1068">
      <c r="A1068" s="6" t="str">
        <f>IFERROR(__xludf.DUMMYFUNCTION("""COMPUTED_VALUE"""),"FM2840")</f>
        <v>FM2840</v>
      </c>
      <c r="B1068" s="206">
        <f>IFERROR(__xludf.DUMMYFUNCTION("""COMPUTED_VALUE"""),44719.0)</f>
        <v>44719</v>
      </c>
      <c r="C1068" s="207">
        <f>IFERROR(__xludf.DUMMYFUNCTION("""COMPUTED_VALUE"""),0.27113425925925927)</f>
        <v>0.2711342593</v>
      </c>
      <c r="D1068" s="50"/>
      <c r="E1068" s="58"/>
      <c r="F1068" s="58"/>
      <c r="G1068" s="58" t="str">
        <f>IFERROR(__xludf.DUMMYFUNCTION("""COMPUTED_VALUE"""),"Null")</f>
        <v>Null</v>
      </c>
      <c r="H1068" s="206" t="str">
        <f>IFERROR(__xludf.DUMMYFUNCTION("""COMPUTED_VALUE"""),"Negative")</f>
        <v>Negative</v>
      </c>
      <c r="I1068" s="207">
        <f>IFERROR(__xludf.DUMMYFUNCTION("""COMPUTED_VALUE"""),44719.0)</f>
        <v>44719</v>
      </c>
      <c r="J1068" s="208">
        <f>IFERROR(__xludf.DUMMYFUNCTION("""COMPUTED_VALUE"""),0.34511574074074075)</f>
        <v>0.3451157407</v>
      </c>
      <c r="K1068" s="50">
        <f>IFERROR(__xludf.DUMMYFUNCTION("""COMPUTED_VALUE"""),2.0)</f>
        <v>2</v>
      </c>
      <c r="L1068" s="6"/>
      <c r="M1068" s="55"/>
      <c r="N1068" s="55">
        <f>IFERROR(__xludf.DUMMYFUNCTION("""COMPUTED_VALUE"""),1.0)</f>
        <v>1</v>
      </c>
      <c r="O1068" s="55" t="str">
        <f t="shared" si="3"/>
        <v/>
      </c>
      <c r="P1068" s="209"/>
      <c r="Q1068" s="75" t="b">
        <f>VLOOKUP($B1068,'Run Reconcile'!B$2:P1679,15,FALSE)</f>
        <v>1</v>
      </c>
      <c r="R1068" s="211" t="str">
        <f t="array" ref="R1068">IF($Q1068, INDEX('Run Reconcile'!A$2:A1679,MATCH(B1068,'Run Reconcile'!B$2:B1679,0),1),IFERROR(0/0,""))</f>
        <v>RUN-COMB_2022-06-07_RFR-058</v>
      </c>
      <c r="S1068" s="165" t="str">
        <f t="shared" ref="S1068:T1068" si="2135">IF(COUNTIF(W$2:W1679, $A1068) &gt; 0,TRUE,IFERROR(0/0,""))</f>
        <v/>
      </c>
      <c r="T1068" s="165" t="str">
        <f t="shared" si="2135"/>
        <v/>
      </c>
      <c r="U1068" s="147" t="str">
        <f t="array" ref="U1068">IF(ISBLANK($R1068), IF($S1068,VLOOKUP($B1068+1,'RFR Data - preExcl'!$BF$2:$BG1679,2,FALSE),IF($T1068,INDEX('RFR Data - preExcl'!$BF$2:$BG1679,MATCH($B1068,'RFR Data - preExcl'!$BF$2:$BF1679,0)+1,2),VLOOKUP($B1068,'RFR Data - preExcl'!$BF$2:$BG1679,2,FALSE))),IFERROR(0/0,""))</f>
        <v/>
      </c>
      <c r="V1068" s="212" t="str">
        <f t="shared" si="5"/>
        <v>RUN-COMB_2022-06-07_RFR-058</v>
      </c>
      <c r="W1068" s="51"/>
      <c r="X1068" s="51"/>
      <c r="Y1068" s="147" t="str">
        <f t="shared" ref="Y1068:Z1068" si="2136">IF(_xlfn.ISFORMULA(S1068),IFERROR(0/0,""),TRUE)</f>
        <v/>
      </c>
      <c r="Z1068" s="147" t="str">
        <f t="shared" si="2136"/>
        <v/>
      </c>
    </row>
    <row r="1069">
      <c r="A1069" s="6" t="str">
        <f>IFERROR(__xludf.DUMMYFUNCTION("""COMPUTED_VALUE"""),"FM2841")</f>
        <v>FM2841</v>
      </c>
      <c r="B1069" s="206">
        <f>IFERROR(__xludf.DUMMYFUNCTION("""COMPUTED_VALUE"""),44719.0)</f>
        <v>44719</v>
      </c>
      <c r="C1069" s="207">
        <f>IFERROR(__xludf.DUMMYFUNCTION("""COMPUTED_VALUE"""),0.27149305555555553)</f>
        <v>0.2714930556</v>
      </c>
      <c r="D1069" s="50"/>
      <c r="E1069" s="58"/>
      <c r="F1069" s="58"/>
      <c r="G1069" s="58" t="str">
        <f>IFERROR(__xludf.DUMMYFUNCTION("""COMPUTED_VALUE"""),"Null")</f>
        <v>Null</v>
      </c>
      <c r="H1069" s="206" t="str">
        <f>IFERROR(__xludf.DUMMYFUNCTION("""COMPUTED_VALUE"""),"Negative")</f>
        <v>Negative</v>
      </c>
      <c r="I1069" s="207">
        <f>IFERROR(__xludf.DUMMYFUNCTION("""COMPUTED_VALUE"""),44719.0)</f>
        <v>44719</v>
      </c>
      <c r="J1069" s="208">
        <f>IFERROR(__xludf.DUMMYFUNCTION("""COMPUTED_VALUE"""),0.3451273148148148)</f>
        <v>0.3451273148</v>
      </c>
      <c r="K1069" s="50">
        <f>IFERROR(__xludf.DUMMYFUNCTION("""COMPUTED_VALUE"""),2.0)</f>
        <v>2</v>
      </c>
      <c r="L1069" s="6"/>
      <c r="M1069" s="55"/>
      <c r="N1069" s="55">
        <f>IFERROR(__xludf.DUMMYFUNCTION("""COMPUTED_VALUE"""),1.0)</f>
        <v>1</v>
      </c>
      <c r="O1069" s="55" t="str">
        <f t="shared" si="3"/>
        <v/>
      </c>
      <c r="P1069" s="209"/>
      <c r="Q1069" s="75" t="b">
        <f>VLOOKUP($B1069,'Run Reconcile'!B$2:P1679,15,FALSE)</f>
        <v>1</v>
      </c>
      <c r="R1069" s="211" t="str">
        <f t="array" ref="R1069">IF($Q1069, INDEX('Run Reconcile'!A$2:A1679,MATCH(B1069,'Run Reconcile'!B$2:B1679,0),1),IFERROR(0/0,""))</f>
        <v>RUN-COMB_2022-06-07_RFR-058</v>
      </c>
      <c r="S1069" s="165" t="str">
        <f t="shared" ref="S1069:T1069" si="2137">IF(COUNTIF(W$2:W1679, $A1069) &gt; 0,TRUE,IFERROR(0/0,""))</f>
        <v/>
      </c>
      <c r="T1069" s="165" t="str">
        <f t="shared" si="2137"/>
        <v/>
      </c>
      <c r="U1069" s="147" t="str">
        <f t="array" ref="U1069">IF(ISBLANK($R1069), IF($S1069,VLOOKUP($B1069+1,'RFR Data - preExcl'!$BF$2:$BG1679,2,FALSE),IF($T1069,INDEX('RFR Data - preExcl'!$BF$2:$BG1679,MATCH($B1069,'RFR Data - preExcl'!$BF$2:$BF1679,0)+1,2),VLOOKUP($B1069,'RFR Data - preExcl'!$BF$2:$BG1679,2,FALSE))),IFERROR(0/0,""))</f>
        <v/>
      </c>
      <c r="V1069" s="212" t="str">
        <f t="shared" si="5"/>
        <v>RUN-COMB_2022-06-07_RFR-058</v>
      </c>
      <c r="W1069" s="51"/>
      <c r="X1069" s="51"/>
      <c r="Y1069" s="147" t="str">
        <f t="shared" ref="Y1069:Z1069" si="2138">IF(_xlfn.ISFORMULA(S1069),IFERROR(0/0,""),TRUE)</f>
        <v/>
      </c>
      <c r="Z1069" s="147" t="str">
        <f t="shared" si="2138"/>
        <v/>
      </c>
    </row>
    <row r="1070">
      <c r="A1070" s="6" t="str">
        <f>IFERROR(__xludf.DUMMYFUNCTION("""COMPUTED_VALUE"""),"FM2824")</f>
        <v>FM2824</v>
      </c>
      <c r="B1070" s="206">
        <f>IFERROR(__xludf.DUMMYFUNCTION("""COMPUTED_VALUE"""),44719.0)</f>
        <v>44719</v>
      </c>
      <c r="C1070" s="207">
        <f>IFERROR(__xludf.DUMMYFUNCTION("""COMPUTED_VALUE"""),0.27197916666666666)</f>
        <v>0.2719791667</v>
      </c>
      <c r="D1070" s="50"/>
      <c r="E1070" s="58"/>
      <c r="F1070" s="58"/>
      <c r="G1070" s="58" t="str">
        <f>IFERROR(__xludf.DUMMYFUNCTION("""COMPUTED_VALUE"""),"Null")</f>
        <v>Null</v>
      </c>
      <c r="H1070" s="206" t="str">
        <f>IFERROR(__xludf.DUMMYFUNCTION("""COMPUTED_VALUE"""),"Negative")</f>
        <v>Negative</v>
      </c>
      <c r="I1070" s="207">
        <f>IFERROR(__xludf.DUMMYFUNCTION("""COMPUTED_VALUE"""),44719.0)</f>
        <v>44719</v>
      </c>
      <c r="J1070" s="208">
        <f>IFERROR(__xludf.DUMMYFUNCTION("""COMPUTED_VALUE"""),0.345150462962963)</f>
        <v>0.345150463</v>
      </c>
      <c r="K1070" s="50">
        <f>IFERROR(__xludf.DUMMYFUNCTION("""COMPUTED_VALUE"""),2.0)</f>
        <v>2</v>
      </c>
      <c r="L1070" s="6"/>
      <c r="M1070" s="55"/>
      <c r="N1070" s="55">
        <f>IFERROR(__xludf.DUMMYFUNCTION("""COMPUTED_VALUE"""),1.0)</f>
        <v>1</v>
      </c>
      <c r="O1070" s="55" t="str">
        <f t="shared" si="3"/>
        <v/>
      </c>
      <c r="P1070" s="209"/>
      <c r="Q1070" s="75" t="b">
        <f>VLOOKUP($B1070,'Run Reconcile'!B$2:P1679,15,FALSE)</f>
        <v>1</v>
      </c>
      <c r="R1070" s="211" t="str">
        <f t="array" ref="R1070">IF($Q1070, INDEX('Run Reconcile'!A$2:A1679,MATCH(B1070,'Run Reconcile'!B$2:B1679,0),1),IFERROR(0/0,""))</f>
        <v>RUN-COMB_2022-06-07_RFR-058</v>
      </c>
      <c r="S1070" s="165" t="str">
        <f t="shared" ref="S1070:T1070" si="2139">IF(COUNTIF(W$2:W1679, $A1070) &gt; 0,TRUE,IFERROR(0/0,""))</f>
        <v/>
      </c>
      <c r="T1070" s="165" t="str">
        <f t="shared" si="2139"/>
        <v/>
      </c>
      <c r="U1070" s="147" t="str">
        <f t="array" ref="U1070">IF(ISBLANK($R1070), IF($S1070,VLOOKUP($B1070+1,'RFR Data - preExcl'!$BF$2:$BG1679,2,FALSE),IF($T1070,INDEX('RFR Data - preExcl'!$BF$2:$BG1679,MATCH($B1070,'RFR Data - preExcl'!$BF$2:$BF1679,0)+1,2),VLOOKUP($B1070,'RFR Data - preExcl'!$BF$2:$BG1679,2,FALSE))),IFERROR(0/0,""))</f>
        <v/>
      </c>
      <c r="V1070" s="212" t="str">
        <f t="shared" si="5"/>
        <v>RUN-COMB_2022-06-07_RFR-058</v>
      </c>
      <c r="W1070" s="51"/>
      <c r="X1070" s="51"/>
      <c r="Y1070" s="147" t="str">
        <f t="shared" ref="Y1070:Z1070" si="2140">IF(_xlfn.ISFORMULA(S1070),IFERROR(0/0,""),TRUE)</f>
        <v/>
      </c>
      <c r="Z1070" s="147" t="str">
        <f t="shared" si="2140"/>
        <v/>
      </c>
    </row>
    <row r="1071">
      <c r="A1071" s="6" t="str">
        <f>IFERROR(__xludf.DUMMYFUNCTION("""COMPUTED_VALUE"""),"FM2684")</f>
        <v>FM2684</v>
      </c>
      <c r="B1071" s="206">
        <f>IFERROR(__xludf.DUMMYFUNCTION("""COMPUTED_VALUE"""),44719.0)</f>
        <v>44719</v>
      </c>
      <c r="C1071" s="207">
        <f>IFERROR(__xludf.DUMMYFUNCTION("""COMPUTED_VALUE"""),0.27270833333333333)</f>
        <v>0.2727083333</v>
      </c>
      <c r="D1071" s="50"/>
      <c r="E1071" s="58"/>
      <c r="F1071" s="58"/>
      <c r="G1071" s="58" t="str">
        <f>IFERROR(__xludf.DUMMYFUNCTION("""COMPUTED_VALUE"""),"Null")</f>
        <v>Null</v>
      </c>
      <c r="H1071" s="206" t="str">
        <f>IFERROR(__xludf.DUMMYFUNCTION("""COMPUTED_VALUE"""),"Negative")</f>
        <v>Negative</v>
      </c>
      <c r="I1071" s="207">
        <f>IFERROR(__xludf.DUMMYFUNCTION("""COMPUTED_VALUE"""),44719.0)</f>
        <v>44719</v>
      </c>
      <c r="J1071" s="208">
        <f>IFERROR(__xludf.DUMMYFUNCTION("""COMPUTED_VALUE"""),0.345162037037037)</f>
        <v>0.345162037</v>
      </c>
      <c r="K1071" s="50">
        <f>IFERROR(__xludf.DUMMYFUNCTION("""COMPUTED_VALUE"""),2.0)</f>
        <v>2</v>
      </c>
      <c r="L1071" s="6"/>
      <c r="M1071" s="55"/>
      <c r="N1071" s="55">
        <f>IFERROR(__xludf.DUMMYFUNCTION("""COMPUTED_VALUE"""),1.0)</f>
        <v>1</v>
      </c>
      <c r="O1071" s="55" t="str">
        <f t="shared" si="3"/>
        <v/>
      </c>
      <c r="P1071" s="209"/>
      <c r="Q1071" s="75" t="b">
        <f>VLOOKUP($B1071,'Run Reconcile'!B$2:P1679,15,FALSE)</f>
        <v>1</v>
      </c>
      <c r="R1071" s="211" t="str">
        <f t="array" ref="R1071">IF($Q1071, INDEX('Run Reconcile'!A$2:A1679,MATCH(B1071,'Run Reconcile'!B$2:B1679,0),1),IFERROR(0/0,""))</f>
        <v>RUN-COMB_2022-06-07_RFR-058</v>
      </c>
      <c r="S1071" s="165" t="str">
        <f t="shared" ref="S1071:T1071" si="2141">IF(COUNTIF(W$2:W1679, $A1071) &gt; 0,TRUE,IFERROR(0/0,""))</f>
        <v/>
      </c>
      <c r="T1071" s="165" t="str">
        <f t="shared" si="2141"/>
        <v/>
      </c>
      <c r="U1071" s="147" t="str">
        <f t="array" ref="U1071">IF(ISBLANK($R1071), IF($S1071,VLOOKUP($B1071+1,'RFR Data - preExcl'!$BF$2:$BG1679,2,FALSE),IF($T1071,INDEX('RFR Data - preExcl'!$BF$2:$BG1679,MATCH($B1071,'RFR Data - preExcl'!$BF$2:$BF1679,0)+1,2),VLOOKUP($B1071,'RFR Data - preExcl'!$BF$2:$BG1679,2,FALSE))),IFERROR(0/0,""))</f>
        <v/>
      </c>
      <c r="V1071" s="212" t="str">
        <f t="shared" si="5"/>
        <v>RUN-COMB_2022-06-07_RFR-058</v>
      </c>
      <c r="W1071" s="51"/>
      <c r="X1071" s="51"/>
      <c r="Y1071" s="147" t="str">
        <f t="shared" ref="Y1071:Z1071" si="2142">IF(_xlfn.ISFORMULA(S1071),IFERROR(0/0,""),TRUE)</f>
        <v/>
      </c>
      <c r="Z1071" s="147" t="str">
        <f t="shared" si="2142"/>
        <v/>
      </c>
    </row>
    <row r="1072">
      <c r="A1072" s="6" t="str">
        <f>IFERROR(__xludf.DUMMYFUNCTION("""COMPUTED_VALUE"""),"FM2869")</f>
        <v>FM2869</v>
      </c>
      <c r="B1072" s="206">
        <f>IFERROR(__xludf.DUMMYFUNCTION("""COMPUTED_VALUE"""),44719.0)</f>
        <v>44719</v>
      </c>
      <c r="C1072" s="207">
        <f>IFERROR(__xludf.DUMMYFUNCTION("""COMPUTED_VALUE"""),0.2730902777777778)</f>
        <v>0.2730902778</v>
      </c>
      <c r="D1072" s="50"/>
      <c r="E1072" s="58"/>
      <c r="F1072" s="58"/>
      <c r="G1072" s="58" t="str">
        <f>IFERROR(__xludf.DUMMYFUNCTION("""COMPUTED_VALUE"""),"Null")</f>
        <v>Null</v>
      </c>
      <c r="H1072" s="206" t="str">
        <f>IFERROR(__xludf.DUMMYFUNCTION("""COMPUTED_VALUE"""),"Negative")</f>
        <v>Negative</v>
      </c>
      <c r="I1072" s="207">
        <f>IFERROR(__xludf.DUMMYFUNCTION("""COMPUTED_VALUE"""),44719.0)</f>
        <v>44719</v>
      </c>
      <c r="J1072" s="208">
        <f>IFERROR(__xludf.DUMMYFUNCTION("""COMPUTED_VALUE"""),0.3451736111111111)</f>
        <v>0.3451736111</v>
      </c>
      <c r="K1072" s="50">
        <f>IFERROR(__xludf.DUMMYFUNCTION("""COMPUTED_VALUE"""),2.0)</f>
        <v>2</v>
      </c>
      <c r="L1072" s="6"/>
      <c r="M1072" s="55"/>
      <c r="N1072" s="55">
        <f>IFERROR(__xludf.DUMMYFUNCTION("""COMPUTED_VALUE"""),1.0)</f>
        <v>1</v>
      </c>
      <c r="O1072" s="55" t="str">
        <f t="shared" si="3"/>
        <v/>
      </c>
      <c r="P1072" s="209"/>
      <c r="Q1072" s="75" t="b">
        <f>VLOOKUP($B1072,'Run Reconcile'!B$2:P1679,15,FALSE)</f>
        <v>1</v>
      </c>
      <c r="R1072" s="211" t="str">
        <f t="array" ref="R1072">IF($Q1072, INDEX('Run Reconcile'!A$2:A1679,MATCH(B1072,'Run Reconcile'!B$2:B1679,0),1),IFERROR(0/0,""))</f>
        <v>RUN-COMB_2022-06-07_RFR-058</v>
      </c>
      <c r="S1072" s="165" t="str">
        <f t="shared" ref="S1072:T1072" si="2143">IF(COUNTIF(W$2:W1679, $A1072) &gt; 0,TRUE,IFERROR(0/0,""))</f>
        <v/>
      </c>
      <c r="T1072" s="165" t="str">
        <f t="shared" si="2143"/>
        <v/>
      </c>
      <c r="U1072" s="147" t="str">
        <f t="array" ref="U1072">IF(ISBLANK($R1072), IF($S1072,VLOOKUP($B1072+1,'RFR Data - preExcl'!$BF$2:$BG1679,2,FALSE),IF($T1072,INDEX('RFR Data - preExcl'!$BF$2:$BG1679,MATCH($B1072,'RFR Data - preExcl'!$BF$2:$BF1679,0)+1,2),VLOOKUP($B1072,'RFR Data - preExcl'!$BF$2:$BG1679,2,FALSE))),IFERROR(0/0,""))</f>
        <v/>
      </c>
      <c r="V1072" s="212" t="str">
        <f t="shared" si="5"/>
        <v>RUN-COMB_2022-06-07_RFR-058</v>
      </c>
      <c r="W1072" s="51"/>
      <c r="X1072" s="51"/>
      <c r="Y1072" s="147" t="str">
        <f t="shared" ref="Y1072:Z1072" si="2144">IF(_xlfn.ISFORMULA(S1072),IFERROR(0/0,""),TRUE)</f>
        <v/>
      </c>
      <c r="Z1072" s="147" t="str">
        <f t="shared" si="2144"/>
        <v/>
      </c>
    </row>
    <row r="1073">
      <c r="A1073" s="6" t="str">
        <f>IFERROR(__xludf.DUMMYFUNCTION("""COMPUTED_VALUE"""),"FM2763")</f>
        <v>FM2763</v>
      </c>
      <c r="B1073" s="206">
        <f>IFERROR(__xludf.DUMMYFUNCTION("""COMPUTED_VALUE"""),44719.0)</f>
        <v>44719</v>
      </c>
      <c r="C1073" s="207">
        <f>IFERROR(__xludf.DUMMYFUNCTION("""COMPUTED_VALUE"""),0.2735185185185185)</f>
        <v>0.2735185185</v>
      </c>
      <c r="D1073" s="50"/>
      <c r="E1073" s="58"/>
      <c r="F1073" s="58"/>
      <c r="G1073" s="58" t="str">
        <f>IFERROR(__xludf.DUMMYFUNCTION("""COMPUTED_VALUE"""),"Null")</f>
        <v>Null</v>
      </c>
      <c r="H1073" s="206" t="str">
        <f>IFERROR(__xludf.DUMMYFUNCTION("""COMPUTED_VALUE"""),"Negative")</f>
        <v>Negative</v>
      </c>
      <c r="I1073" s="207">
        <f>IFERROR(__xludf.DUMMYFUNCTION("""COMPUTED_VALUE"""),44719.0)</f>
        <v>44719</v>
      </c>
      <c r="J1073" s="208">
        <f>IFERROR(__xludf.DUMMYFUNCTION("""COMPUTED_VALUE"""),0.3451851851851852)</f>
        <v>0.3451851852</v>
      </c>
      <c r="K1073" s="50">
        <f>IFERROR(__xludf.DUMMYFUNCTION("""COMPUTED_VALUE"""),2.0)</f>
        <v>2</v>
      </c>
      <c r="L1073" s="6"/>
      <c r="M1073" s="55"/>
      <c r="N1073" s="55">
        <f>IFERROR(__xludf.DUMMYFUNCTION("""COMPUTED_VALUE"""),1.0)</f>
        <v>1</v>
      </c>
      <c r="O1073" s="55" t="str">
        <f t="shared" si="3"/>
        <v/>
      </c>
      <c r="P1073" s="209"/>
      <c r="Q1073" s="75" t="b">
        <f>VLOOKUP($B1073,'Run Reconcile'!B$2:P1679,15,FALSE)</f>
        <v>1</v>
      </c>
      <c r="R1073" s="211" t="str">
        <f t="array" ref="R1073">IF($Q1073, INDEX('Run Reconcile'!A$2:A1679,MATCH(B1073,'Run Reconcile'!B$2:B1679,0),1),IFERROR(0/0,""))</f>
        <v>RUN-COMB_2022-06-07_RFR-058</v>
      </c>
      <c r="S1073" s="165" t="str">
        <f t="shared" ref="S1073:T1073" si="2145">IF(COUNTIF(W$2:W1679, $A1073) &gt; 0,TRUE,IFERROR(0/0,""))</f>
        <v/>
      </c>
      <c r="T1073" s="165" t="str">
        <f t="shared" si="2145"/>
        <v/>
      </c>
      <c r="U1073" s="147" t="str">
        <f t="array" ref="U1073">IF(ISBLANK($R1073), IF($S1073,VLOOKUP($B1073+1,'RFR Data - preExcl'!$BF$2:$BG1679,2,FALSE),IF($T1073,INDEX('RFR Data - preExcl'!$BF$2:$BG1679,MATCH($B1073,'RFR Data - preExcl'!$BF$2:$BF1679,0)+1,2),VLOOKUP($B1073,'RFR Data - preExcl'!$BF$2:$BG1679,2,FALSE))),IFERROR(0/0,""))</f>
        <v/>
      </c>
      <c r="V1073" s="212" t="str">
        <f t="shared" si="5"/>
        <v>RUN-COMB_2022-06-07_RFR-058</v>
      </c>
      <c r="W1073" s="51"/>
      <c r="X1073" s="51"/>
      <c r="Y1073" s="147" t="str">
        <f t="shared" ref="Y1073:Z1073" si="2146">IF(_xlfn.ISFORMULA(S1073),IFERROR(0/0,""),TRUE)</f>
        <v/>
      </c>
      <c r="Z1073" s="147" t="str">
        <f t="shared" si="2146"/>
        <v/>
      </c>
    </row>
    <row r="1074">
      <c r="A1074" s="6" t="str">
        <f>IFERROR(__xludf.DUMMYFUNCTION("""COMPUTED_VALUE"""),"FM2864")</f>
        <v>FM2864</v>
      </c>
      <c r="B1074" s="206">
        <f>IFERROR(__xludf.DUMMYFUNCTION("""COMPUTED_VALUE"""),44719.0)</f>
        <v>44719</v>
      </c>
      <c r="C1074" s="207">
        <f>IFERROR(__xludf.DUMMYFUNCTION("""COMPUTED_VALUE"""),0.27392361111111113)</f>
        <v>0.2739236111</v>
      </c>
      <c r="D1074" s="50"/>
      <c r="E1074" s="58"/>
      <c r="F1074" s="58"/>
      <c r="G1074" s="58" t="str">
        <f>IFERROR(__xludf.DUMMYFUNCTION("""COMPUTED_VALUE"""),"Null")</f>
        <v>Null</v>
      </c>
      <c r="H1074" s="206" t="str">
        <f>IFERROR(__xludf.DUMMYFUNCTION("""COMPUTED_VALUE"""),"Negative")</f>
        <v>Negative</v>
      </c>
      <c r="I1074" s="207">
        <f>IFERROR(__xludf.DUMMYFUNCTION("""COMPUTED_VALUE"""),44719.0)</f>
        <v>44719</v>
      </c>
      <c r="J1074" s="208">
        <f>IFERROR(__xludf.DUMMYFUNCTION("""COMPUTED_VALUE"""),0.34519675925925924)</f>
        <v>0.3451967593</v>
      </c>
      <c r="K1074" s="50">
        <f>IFERROR(__xludf.DUMMYFUNCTION("""COMPUTED_VALUE"""),2.0)</f>
        <v>2</v>
      </c>
      <c r="L1074" s="6"/>
      <c r="M1074" s="55"/>
      <c r="N1074" s="55">
        <f>IFERROR(__xludf.DUMMYFUNCTION("""COMPUTED_VALUE"""),1.0)</f>
        <v>1</v>
      </c>
      <c r="O1074" s="55" t="str">
        <f t="shared" si="3"/>
        <v/>
      </c>
      <c r="P1074" s="209"/>
      <c r="Q1074" s="75" t="b">
        <f>VLOOKUP($B1074,'Run Reconcile'!B$2:P1679,15,FALSE)</f>
        <v>1</v>
      </c>
      <c r="R1074" s="211" t="str">
        <f t="array" ref="R1074">IF($Q1074, INDEX('Run Reconcile'!A$2:A1679,MATCH(B1074,'Run Reconcile'!B$2:B1679,0),1),IFERROR(0/0,""))</f>
        <v>RUN-COMB_2022-06-07_RFR-058</v>
      </c>
      <c r="S1074" s="165" t="str">
        <f t="shared" ref="S1074:T1074" si="2147">IF(COUNTIF(W$2:W1679, $A1074) &gt; 0,TRUE,IFERROR(0/0,""))</f>
        <v/>
      </c>
      <c r="T1074" s="165" t="str">
        <f t="shared" si="2147"/>
        <v/>
      </c>
      <c r="U1074" s="147" t="str">
        <f t="array" ref="U1074">IF(ISBLANK($R1074), IF($S1074,VLOOKUP($B1074+1,'RFR Data - preExcl'!$BF$2:$BG1679,2,FALSE),IF($T1074,INDEX('RFR Data - preExcl'!$BF$2:$BG1679,MATCH($B1074,'RFR Data - preExcl'!$BF$2:$BF1679,0)+1,2),VLOOKUP($B1074,'RFR Data - preExcl'!$BF$2:$BG1679,2,FALSE))),IFERROR(0/0,""))</f>
        <v/>
      </c>
      <c r="V1074" s="212" t="str">
        <f t="shared" si="5"/>
        <v>RUN-COMB_2022-06-07_RFR-058</v>
      </c>
      <c r="W1074" s="51"/>
      <c r="X1074" s="51"/>
      <c r="Y1074" s="147" t="str">
        <f t="shared" ref="Y1074:Z1074" si="2148">IF(_xlfn.ISFORMULA(S1074),IFERROR(0/0,""),TRUE)</f>
        <v/>
      </c>
      <c r="Z1074" s="147" t="str">
        <f t="shared" si="2148"/>
        <v/>
      </c>
    </row>
    <row r="1075">
      <c r="A1075" s="6" t="str">
        <f>IFERROR(__xludf.DUMMYFUNCTION("""COMPUTED_VALUE"""),"FM2871")</f>
        <v>FM2871</v>
      </c>
      <c r="B1075" s="206">
        <f>IFERROR(__xludf.DUMMYFUNCTION("""COMPUTED_VALUE"""),44719.0)</f>
        <v>44719</v>
      </c>
      <c r="C1075" s="207">
        <f>IFERROR(__xludf.DUMMYFUNCTION("""COMPUTED_VALUE"""),0.2743055555555556)</f>
        <v>0.2743055556</v>
      </c>
      <c r="D1075" s="50"/>
      <c r="E1075" s="58"/>
      <c r="F1075" s="58"/>
      <c r="G1075" s="58" t="str">
        <f>IFERROR(__xludf.DUMMYFUNCTION("""COMPUTED_VALUE"""),"Null")</f>
        <v>Null</v>
      </c>
      <c r="H1075" s="206" t="str">
        <f>IFERROR(__xludf.DUMMYFUNCTION("""COMPUTED_VALUE"""),"Negative")</f>
        <v>Negative</v>
      </c>
      <c r="I1075" s="207">
        <f>IFERROR(__xludf.DUMMYFUNCTION("""COMPUTED_VALUE"""),44719.0)</f>
        <v>44719</v>
      </c>
      <c r="J1075" s="208">
        <f>IFERROR(__xludf.DUMMYFUNCTION("""COMPUTED_VALUE"""),0.34520833333333334)</f>
        <v>0.3452083333</v>
      </c>
      <c r="K1075" s="50">
        <f>IFERROR(__xludf.DUMMYFUNCTION("""COMPUTED_VALUE"""),2.0)</f>
        <v>2</v>
      </c>
      <c r="L1075" s="6"/>
      <c r="M1075" s="55"/>
      <c r="N1075" s="55">
        <f>IFERROR(__xludf.DUMMYFUNCTION("""COMPUTED_VALUE"""),1.0)</f>
        <v>1</v>
      </c>
      <c r="O1075" s="55" t="str">
        <f t="shared" si="3"/>
        <v/>
      </c>
      <c r="P1075" s="209"/>
      <c r="Q1075" s="75" t="b">
        <f>VLOOKUP($B1075,'Run Reconcile'!B$2:P1679,15,FALSE)</f>
        <v>1</v>
      </c>
      <c r="R1075" s="211" t="str">
        <f t="array" ref="R1075">IF($Q1075, INDEX('Run Reconcile'!A$2:A1679,MATCH(B1075,'Run Reconcile'!B$2:B1679,0),1),IFERROR(0/0,""))</f>
        <v>RUN-COMB_2022-06-07_RFR-058</v>
      </c>
      <c r="S1075" s="165" t="str">
        <f t="shared" ref="S1075:T1075" si="2149">IF(COUNTIF(W$2:W1679, $A1075) &gt; 0,TRUE,IFERROR(0/0,""))</f>
        <v/>
      </c>
      <c r="T1075" s="165" t="str">
        <f t="shared" si="2149"/>
        <v/>
      </c>
      <c r="U1075" s="147" t="str">
        <f t="array" ref="U1075">IF(ISBLANK($R1075), IF($S1075,VLOOKUP($B1075+1,'RFR Data - preExcl'!$BF$2:$BG1679,2,FALSE),IF($T1075,INDEX('RFR Data - preExcl'!$BF$2:$BG1679,MATCH($B1075,'RFR Data - preExcl'!$BF$2:$BF1679,0)+1,2),VLOOKUP($B1075,'RFR Data - preExcl'!$BF$2:$BG1679,2,FALSE))),IFERROR(0/0,""))</f>
        <v/>
      </c>
      <c r="V1075" s="212" t="str">
        <f t="shared" si="5"/>
        <v>RUN-COMB_2022-06-07_RFR-058</v>
      </c>
      <c r="W1075" s="51"/>
      <c r="X1075" s="51"/>
      <c r="Y1075" s="147" t="str">
        <f t="shared" ref="Y1075:Z1075" si="2150">IF(_xlfn.ISFORMULA(S1075),IFERROR(0/0,""),TRUE)</f>
        <v/>
      </c>
      <c r="Z1075" s="147" t="str">
        <f t="shared" si="2150"/>
        <v/>
      </c>
    </row>
    <row r="1076">
      <c r="A1076" s="6" t="str">
        <f>IFERROR(__xludf.DUMMYFUNCTION("""COMPUTED_VALUE"""),"FM2847")</f>
        <v>FM2847</v>
      </c>
      <c r="B1076" s="206">
        <f>IFERROR(__xludf.DUMMYFUNCTION("""COMPUTED_VALUE"""),44719.0)</f>
        <v>44719</v>
      </c>
      <c r="C1076" s="207">
        <f>IFERROR(__xludf.DUMMYFUNCTION("""COMPUTED_VALUE"""),0.2746064814814815)</f>
        <v>0.2746064815</v>
      </c>
      <c r="D1076" s="50"/>
      <c r="E1076" s="58"/>
      <c r="F1076" s="58"/>
      <c r="G1076" s="58" t="str">
        <f>IFERROR(__xludf.DUMMYFUNCTION("""COMPUTED_VALUE"""),"Null")</f>
        <v>Null</v>
      </c>
      <c r="H1076" s="206" t="str">
        <f>IFERROR(__xludf.DUMMYFUNCTION("""COMPUTED_VALUE"""),"Negative")</f>
        <v>Negative</v>
      </c>
      <c r="I1076" s="207">
        <f>IFERROR(__xludf.DUMMYFUNCTION("""COMPUTED_VALUE"""),44719.0)</f>
        <v>44719</v>
      </c>
      <c r="J1076" s="208">
        <f>IFERROR(__xludf.DUMMYFUNCTION("""COMPUTED_VALUE"""),0.3452314814814815)</f>
        <v>0.3452314815</v>
      </c>
      <c r="K1076" s="50">
        <f>IFERROR(__xludf.DUMMYFUNCTION("""COMPUTED_VALUE"""),2.0)</f>
        <v>2</v>
      </c>
      <c r="L1076" s="6"/>
      <c r="M1076" s="55"/>
      <c r="N1076" s="55">
        <f>IFERROR(__xludf.DUMMYFUNCTION("""COMPUTED_VALUE"""),1.0)</f>
        <v>1</v>
      </c>
      <c r="O1076" s="55" t="str">
        <f t="shared" si="3"/>
        <v/>
      </c>
      <c r="P1076" s="209"/>
      <c r="Q1076" s="75" t="b">
        <f>VLOOKUP($B1076,'Run Reconcile'!B$2:P1679,15,FALSE)</f>
        <v>1</v>
      </c>
      <c r="R1076" s="211" t="str">
        <f t="array" ref="R1076">IF($Q1076, INDEX('Run Reconcile'!A$2:A1679,MATCH(B1076,'Run Reconcile'!B$2:B1679,0),1),IFERROR(0/0,""))</f>
        <v>RUN-COMB_2022-06-07_RFR-058</v>
      </c>
      <c r="S1076" s="165" t="str">
        <f t="shared" ref="S1076:T1076" si="2151">IF(COUNTIF(W$2:W1679, $A1076) &gt; 0,TRUE,IFERROR(0/0,""))</f>
        <v/>
      </c>
      <c r="T1076" s="165" t="str">
        <f t="shared" si="2151"/>
        <v/>
      </c>
      <c r="U1076" s="147" t="str">
        <f t="array" ref="U1076">IF(ISBLANK($R1076), IF($S1076,VLOOKUP($B1076+1,'RFR Data - preExcl'!$BF$2:$BG1679,2,FALSE),IF($T1076,INDEX('RFR Data - preExcl'!$BF$2:$BG1679,MATCH($B1076,'RFR Data - preExcl'!$BF$2:$BF1679,0)+1,2),VLOOKUP($B1076,'RFR Data - preExcl'!$BF$2:$BG1679,2,FALSE))),IFERROR(0/0,""))</f>
        <v/>
      </c>
      <c r="V1076" s="212" t="str">
        <f t="shared" si="5"/>
        <v>RUN-COMB_2022-06-07_RFR-058</v>
      </c>
      <c r="W1076" s="51"/>
      <c r="X1076" s="51"/>
      <c r="Y1076" s="147" t="str">
        <f t="shared" ref="Y1076:Z1076" si="2152">IF(_xlfn.ISFORMULA(S1076),IFERROR(0/0,""),TRUE)</f>
        <v/>
      </c>
      <c r="Z1076" s="147" t="str">
        <f t="shared" si="2152"/>
        <v/>
      </c>
    </row>
    <row r="1077">
      <c r="A1077" s="6" t="str">
        <f>IFERROR(__xludf.DUMMYFUNCTION("""COMPUTED_VALUE"""),"FM2836")</f>
        <v>FM2836</v>
      </c>
      <c r="B1077" s="206">
        <f>IFERROR(__xludf.DUMMYFUNCTION("""COMPUTED_VALUE"""),44719.0)</f>
        <v>44719</v>
      </c>
      <c r="C1077" s="207">
        <f>IFERROR(__xludf.DUMMYFUNCTION("""COMPUTED_VALUE"""),0.2754976851851852)</f>
        <v>0.2754976852</v>
      </c>
      <c r="D1077" s="50"/>
      <c r="E1077" s="58"/>
      <c r="F1077" s="58"/>
      <c r="G1077" s="58" t="str">
        <f>IFERROR(__xludf.DUMMYFUNCTION("""COMPUTED_VALUE"""),"Null")</f>
        <v>Null</v>
      </c>
      <c r="H1077" s="206" t="str">
        <f>IFERROR(__xludf.DUMMYFUNCTION("""COMPUTED_VALUE"""),"Negative")</f>
        <v>Negative</v>
      </c>
      <c r="I1077" s="207">
        <f>IFERROR(__xludf.DUMMYFUNCTION("""COMPUTED_VALUE"""),44719.0)</f>
        <v>44719</v>
      </c>
      <c r="J1077" s="208">
        <f>IFERROR(__xludf.DUMMYFUNCTION("""COMPUTED_VALUE"""),0.34524305555555557)</f>
        <v>0.3452430556</v>
      </c>
      <c r="K1077" s="50">
        <f>IFERROR(__xludf.DUMMYFUNCTION("""COMPUTED_VALUE"""),2.0)</f>
        <v>2</v>
      </c>
      <c r="L1077" s="6"/>
      <c r="M1077" s="55"/>
      <c r="N1077" s="55">
        <f>IFERROR(__xludf.DUMMYFUNCTION("""COMPUTED_VALUE"""),1.0)</f>
        <v>1</v>
      </c>
      <c r="O1077" s="55" t="str">
        <f t="shared" si="3"/>
        <v/>
      </c>
      <c r="P1077" s="209"/>
      <c r="Q1077" s="75" t="b">
        <f>VLOOKUP($B1077,'Run Reconcile'!B$2:P1679,15,FALSE)</f>
        <v>1</v>
      </c>
      <c r="R1077" s="211" t="str">
        <f t="array" ref="R1077">IF($Q1077, INDEX('Run Reconcile'!A$2:A1679,MATCH(B1077,'Run Reconcile'!B$2:B1679,0),1),IFERROR(0/0,""))</f>
        <v>RUN-COMB_2022-06-07_RFR-058</v>
      </c>
      <c r="S1077" s="165" t="str">
        <f t="shared" ref="S1077:T1077" si="2153">IF(COUNTIF(W$2:W1679, $A1077) &gt; 0,TRUE,IFERROR(0/0,""))</f>
        <v/>
      </c>
      <c r="T1077" s="165" t="str">
        <f t="shared" si="2153"/>
        <v/>
      </c>
      <c r="U1077" s="147" t="str">
        <f t="array" ref="U1077">IF(ISBLANK($R1077), IF($S1077,VLOOKUP($B1077+1,'RFR Data - preExcl'!$BF$2:$BG1679,2,FALSE),IF($T1077,INDEX('RFR Data - preExcl'!$BF$2:$BG1679,MATCH($B1077,'RFR Data - preExcl'!$BF$2:$BF1679,0)+1,2),VLOOKUP($B1077,'RFR Data - preExcl'!$BF$2:$BG1679,2,FALSE))),IFERROR(0/0,""))</f>
        <v/>
      </c>
      <c r="V1077" s="212" t="str">
        <f t="shared" si="5"/>
        <v>RUN-COMB_2022-06-07_RFR-058</v>
      </c>
      <c r="W1077" s="51"/>
      <c r="X1077" s="51"/>
      <c r="Y1077" s="147" t="str">
        <f t="shared" ref="Y1077:Z1077" si="2154">IF(_xlfn.ISFORMULA(S1077),IFERROR(0/0,""),TRUE)</f>
        <v/>
      </c>
      <c r="Z1077" s="147" t="str">
        <f t="shared" si="2154"/>
        <v/>
      </c>
    </row>
    <row r="1078">
      <c r="A1078" s="6" t="str">
        <f>IFERROR(__xludf.DUMMYFUNCTION("""COMPUTED_VALUE"""),"FM2909")</f>
        <v>FM2909</v>
      </c>
      <c r="B1078" s="206">
        <f>IFERROR(__xludf.DUMMYFUNCTION("""COMPUTED_VALUE"""),44719.0)</f>
        <v>44719</v>
      </c>
      <c r="C1078" s="207">
        <f>IFERROR(__xludf.DUMMYFUNCTION("""COMPUTED_VALUE"""),0.2759027777777778)</f>
        <v>0.2759027778</v>
      </c>
      <c r="D1078" s="50"/>
      <c r="E1078" s="58"/>
      <c r="F1078" s="58"/>
      <c r="G1078" s="58" t="str">
        <f>IFERROR(__xludf.DUMMYFUNCTION("""COMPUTED_VALUE"""),"Null")</f>
        <v>Null</v>
      </c>
      <c r="H1078" s="206" t="str">
        <f>IFERROR(__xludf.DUMMYFUNCTION("""COMPUTED_VALUE"""),"Negative")</f>
        <v>Negative</v>
      </c>
      <c r="I1078" s="207">
        <f>IFERROR(__xludf.DUMMYFUNCTION("""COMPUTED_VALUE"""),44719.0)</f>
        <v>44719</v>
      </c>
      <c r="J1078" s="208">
        <f>IFERROR(__xludf.DUMMYFUNCTION("""COMPUTED_VALUE"""),0.3452546296296296)</f>
        <v>0.3452546296</v>
      </c>
      <c r="K1078" s="50">
        <f>IFERROR(__xludf.DUMMYFUNCTION("""COMPUTED_VALUE"""),2.0)</f>
        <v>2</v>
      </c>
      <c r="L1078" s="6"/>
      <c r="M1078" s="55"/>
      <c r="N1078" s="55">
        <f>IFERROR(__xludf.DUMMYFUNCTION("""COMPUTED_VALUE"""),1.0)</f>
        <v>1</v>
      </c>
      <c r="O1078" s="55" t="str">
        <f t="shared" si="3"/>
        <v/>
      </c>
      <c r="P1078" s="209"/>
      <c r="Q1078" s="75" t="b">
        <f>VLOOKUP($B1078,'Run Reconcile'!B$2:P1679,15,FALSE)</f>
        <v>1</v>
      </c>
      <c r="R1078" s="211" t="str">
        <f t="array" ref="R1078">IF($Q1078, INDEX('Run Reconcile'!A$2:A1679,MATCH(B1078,'Run Reconcile'!B$2:B1679,0),1),IFERROR(0/0,""))</f>
        <v>RUN-COMB_2022-06-07_RFR-058</v>
      </c>
      <c r="S1078" s="165" t="str">
        <f t="shared" ref="S1078:T1078" si="2155">IF(COUNTIF(W$2:W1679, $A1078) &gt; 0,TRUE,IFERROR(0/0,""))</f>
        <v/>
      </c>
      <c r="T1078" s="165" t="str">
        <f t="shared" si="2155"/>
        <v/>
      </c>
      <c r="U1078" s="147" t="str">
        <f t="array" ref="U1078">IF(ISBLANK($R1078), IF($S1078,VLOOKUP($B1078+1,'RFR Data - preExcl'!$BF$2:$BG1679,2,FALSE),IF($T1078,INDEX('RFR Data - preExcl'!$BF$2:$BG1679,MATCH($B1078,'RFR Data - preExcl'!$BF$2:$BF1679,0)+1,2),VLOOKUP($B1078,'RFR Data - preExcl'!$BF$2:$BG1679,2,FALSE))),IFERROR(0/0,""))</f>
        <v/>
      </c>
      <c r="V1078" s="212" t="str">
        <f t="shared" si="5"/>
        <v>RUN-COMB_2022-06-07_RFR-058</v>
      </c>
      <c r="W1078" s="51"/>
      <c r="X1078" s="51"/>
      <c r="Y1078" s="147" t="str">
        <f t="shared" ref="Y1078:Z1078" si="2156">IF(_xlfn.ISFORMULA(S1078),IFERROR(0/0,""),TRUE)</f>
        <v/>
      </c>
      <c r="Z1078" s="147" t="str">
        <f t="shared" si="2156"/>
        <v/>
      </c>
    </row>
    <row r="1079">
      <c r="A1079" s="6" t="str">
        <f>IFERROR(__xludf.DUMMYFUNCTION("""COMPUTED_VALUE"""),"FM2829")</f>
        <v>FM2829</v>
      </c>
      <c r="B1079" s="206">
        <f>IFERROR(__xludf.DUMMYFUNCTION("""COMPUTED_VALUE"""),44719.0)</f>
        <v>44719</v>
      </c>
      <c r="C1079" s="207">
        <f>IFERROR(__xludf.DUMMYFUNCTION("""COMPUTED_VALUE"""),0.27622685185185186)</f>
        <v>0.2762268519</v>
      </c>
      <c r="D1079" s="50"/>
      <c r="E1079" s="58"/>
      <c r="F1079" s="58"/>
      <c r="G1079" s="58" t="str">
        <f>IFERROR(__xludf.DUMMYFUNCTION("""COMPUTED_VALUE"""),"Null")</f>
        <v>Null</v>
      </c>
      <c r="H1079" s="206" t="str">
        <f>IFERROR(__xludf.DUMMYFUNCTION("""COMPUTED_VALUE"""),"Negative")</f>
        <v>Negative</v>
      </c>
      <c r="I1079" s="207">
        <f>IFERROR(__xludf.DUMMYFUNCTION("""COMPUTED_VALUE"""),44719.0)</f>
        <v>44719</v>
      </c>
      <c r="J1079" s="208">
        <f>IFERROR(__xludf.DUMMYFUNCTION("""COMPUTED_VALUE"""),0.3452662037037037)</f>
        <v>0.3452662037</v>
      </c>
      <c r="K1079" s="50">
        <f>IFERROR(__xludf.DUMMYFUNCTION("""COMPUTED_VALUE"""),2.0)</f>
        <v>2</v>
      </c>
      <c r="L1079" s="6"/>
      <c r="M1079" s="55"/>
      <c r="N1079" s="55">
        <f>IFERROR(__xludf.DUMMYFUNCTION("""COMPUTED_VALUE"""),1.0)</f>
        <v>1</v>
      </c>
      <c r="O1079" s="55" t="str">
        <f t="shared" si="3"/>
        <v/>
      </c>
      <c r="P1079" s="209"/>
      <c r="Q1079" s="75" t="b">
        <f>VLOOKUP($B1079,'Run Reconcile'!B$2:P1679,15,FALSE)</f>
        <v>1</v>
      </c>
      <c r="R1079" s="211" t="str">
        <f t="array" ref="R1079">IF($Q1079, INDEX('Run Reconcile'!A$2:A1679,MATCH(B1079,'Run Reconcile'!B$2:B1679,0),1),IFERROR(0/0,""))</f>
        <v>RUN-COMB_2022-06-07_RFR-058</v>
      </c>
      <c r="S1079" s="165" t="str">
        <f t="shared" ref="S1079:T1079" si="2157">IF(COUNTIF(W$2:W1679, $A1079) &gt; 0,TRUE,IFERROR(0/0,""))</f>
        <v/>
      </c>
      <c r="T1079" s="165" t="str">
        <f t="shared" si="2157"/>
        <v/>
      </c>
      <c r="U1079" s="147" t="str">
        <f t="array" ref="U1079">IF(ISBLANK($R1079), IF($S1079,VLOOKUP($B1079+1,'RFR Data - preExcl'!$BF$2:$BG1679,2,FALSE),IF($T1079,INDEX('RFR Data - preExcl'!$BF$2:$BG1679,MATCH($B1079,'RFR Data - preExcl'!$BF$2:$BF1679,0)+1,2),VLOOKUP($B1079,'RFR Data - preExcl'!$BF$2:$BG1679,2,FALSE))),IFERROR(0/0,""))</f>
        <v/>
      </c>
      <c r="V1079" s="212" t="str">
        <f t="shared" si="5"/>
        <v>RUN-COMB_2022-06-07_RFR-058</v>
      </c>
      <c r="W1079" s="51"/>
      <c r="X1079" s="51"/>
      <c r="Y1079" s="147" t="str">
        <f t="shared" ref="Y1079:Z1079" si="2158">IF(_xlfn.ISFORMULA(S1079),IFERROR(0/0,""),TRUE)</f>
        <v/>
      </c>
      <c r="Z1079" s="147" t="str">
        <f t="shared" si="2158"/>
        <v/>
      </c>
    </row>
    <row r="1080">
      <c r="A1080" s="6" t="str">
        <f>IFERROR(__xludf.DUMMYFUNCTION("""COMPUTED_VALUE"""),"FM2831")</f>
        <v>FM2831</v>
      </c>
      <c r="B1080" s="206">
        <f>IFERROR(__xludf.DUMMYFUNCTION("""COMPUTED_VALUE"""),44719.0)</f>
        <v>44719</v>
      </c>
      <c r="C1080" s="207">
        <f>IFERROR(__xludf.DUMMYFUNCTION("""COMPUTED_VALUE"""),0.34399305555555554)</f>
        <v>0.3439930556</v>
      </c>
      <c r="D1080" s="50"/>
      <c r="E1080" s="58"/>
      <c r="F1080" s="58"/>
      <c r="G1080" s="58" t="str">
        <f>IFERROR(__xludf.DUMMYFUNCTION("""COMPUTED_VALUE"""),"Null")</f>
        <v>Null</v>
      </c>
      <c r="H1080" s="206" t="str">
        <f>IFERROR(__xludf.DUMMYFUNCTION("""COMPUTED_VALUE"""),"Negative")</f>
        <v>Negative</v>
      </c>
      <c r="I1080" s="207">
        <f>IFERROR(__xludf.DUMMYFUNCTION("""COMPUTED_VALUE"""),44719.0)</f>
        <v>44719</v>
      </c>
      <c r="J1080" s="208">
        <f>IFERROR(__xludf.DUMMYFUNCTION("""COMPUTED_VALUE"""),0.34528935185185183)</f>
        <v>0.3452893519</v>
      </c>
      <c r="K1080" s="50">
        <f>IFERROR(__xludf.DUMMYFUNCTION("""COMPUTED_VALUE"""),2.0)</f>
        <v>2</v>
      </c>
      <c r="L1080" s="6"/>
      <c r="M1080" s="55"/>
      <c r="N1080" s="55">
        <f>IFERROR(__xludf.DUMMYFUNCTION("""COMPUTED_VALUE"""),1.0)</f>
        <v>1</v>
      </c>
      <c r="O1080" s="55" t="str">
        <f t="shared" si="3"/>
        <v/>
      </c>
      <c r="P1080" s="209"/>
      <c r="Q1080" s="75" t="b">
        <f>VLOOKUP($B1080,'Run Reconcile'!B$2:P1679,15,FALSE)</f>
        <v>1</v>
      </c>
      <c r="R1080" s="211" t="str">
        <f t="array" ref="R1080">IF($Q1080, INDEX('Run Reconcile'!A$2:A1679,MATCH(B1080,'Run Reconcile'!B$2:B1679,0),1),IFERROR(0/0,""))</f>
        <v>RUN-COMB_2022-06-07_RFR-058</v>
      </c>
      <c r="S1080" s="165" t="str">
        <f t="shared" ref="S1080:T1080" si="2159">IF(COUNTIF(W$2:W1679, $A1080) &gt; 0,TRUE,IFERROR(0/0,""))</f>
        <v/>
      </c>
      <c r="T1080" s="165" t="str">
        <f t="shared" si="2159"/>
        <v/>
      </c>
      <c r="U1080" s="147" t="str">
        <f t="array" ref="U1080">IF(ISBLANK($R1080), IF($S1080,VLOOKUP($B1080+1,'RFR Data - preExcl'!$BF$2:$BG1679,2,FALSE),IF($T1080,INDEX('RFR Data - preExcl'!$BF$2:$BG1679,MATCH($B1080,'RFR Data - preExcl'!$BF$2:$BF1679,0)+1,2),VLOOKUP($B1080,'RFR Data - preExcl'!$BF$2:$BG1679,2,FALSE))),IFERROR(0/0,""))</f>
        <v/>
      </c>
      <c r="V1080" s="212" t="str">
        <f t="shared" si="5"/>
        <v>RUN-COMB_2022-06-07_RFR-058</v>
      </c>
      <c r="W1080" s="51"/>
      <c r="X1080" s="51"/>
      <c r="Y1080" s="147" t="str">
        <f t="shared" ref="Y1080:Z1080" si="2160">IF(_xlfn.ISFORMULA(S1080),IFERROR(0/0,""),TRUE)</f>
        <v/>
      </c>
      <c r="Z1080" s="147" t="str">
        <f t="shared" si="2160"/>
        <v/>
      </c>
    </row>
    <row r="1081">
      <c r="A1081" s="6" t="str">
        <f>IFERROR(__xludf.DUMMYFUNCTION("""COMPUTED_VALUE"""),"FM2818")</f>
        <v>FM2818</v>
      </c>
      <c r="B1081" s="206">
        <f>IFERROR(__xludf.DUMMYFUNCTION("""COMPUTED_VALUE"""),44720.0)</f>
        <v>44720</v>
      </c>
      <c r="C1081" s="207">
        <f>IFERROR(__xludf.DUMMYFUNCTION("""COMPUTED_VALUE"""),0.25516203703703705)</f>
        <v>0.255162037</v>
      </c>
      <c r="D1081" s="50"/>
      <c r="E1081" s="58"/>
      <c r="F1081" s="58"/>
      <c r="G1081" s="58" t="str">
        <f>IFERROR(__xludf.DUMMYFUNCTION("""COMPUTED_VALUE"""),"Null")</f>
        <v>Null</v>
      </c>
      <c r="H1081" s="206" t="str">
        <f>IFERROR(__xludf.DUMMYFUNCTION("""COMPUTED_VALUE"""),"Negative")</f>
        <v>Negative</v>
      </c>
      <c r="I1081" s="207"/>
      <c r="J1081" s="50"/>
      <c r="K1081" s="50">
        <f>IFERROR(__xludf.DUMMYFUNCTION("""COMPUTED_VALUE"""),2.0)</f>
        <v>2</v>
      </c>
      <c r="L1081" s="6"/>
      <c r="M1081" s="55"/>
      <c r="N1081" s="55">
        <f>IFERROR(__xludf.DUMMYFUNCTION("""COMPUTED_VALUE"""),1.0)</f>
        <v>1</v>
      </c>
      <c r="O1081" s="55" t="b">
        <f t="shared" si="3"/>
        <v>1</v>
      </c>
      <c r="P1081" s="209"/>
      <c r="Q1081" s="75" t="b">
        <f>VLOOKUP($B1081,'Run Reconcile'!B$2:P1679,15,FALSE)</f>
        <v>1</v>
      </c>
      <c r="R1081" s="211" t="str">
        <f t="array" ref="R1081">IF($Q1081, INDEX('Run Reconcile'!A$2:A1679,MATCH(B1081,'Run Reconcile'!B$2:B1679,0),1),IFERROR(0/0,""))</f>
        <v>RUN-COMB_2022-06-08_RFR-059</v>
      </c>
      <c r="S1081" s="165" t="str">
        <f t="shared" ref="S1081:T1081" si="2161">IF(COUNTIF(W$2:W1679, $A1081) &gt; 0,TRUE,IFERROR(0/0,""))</f>
        <v/>
      </c>
      <c r="T1081" s="165" t="str">
        <f t="shared" si="2161"/>
        <v/>
      </c>
      <c r="U1081" s="147" t="str">
        <f t="array" ref="U1081">IF(ISBLANK($R1081), IF($S1081,VLOOKUP($B1081+1,'RFR Data - preExcl'!$BF$2:$BG1679,2,FALSE),IF($T1081,INDEX('RFR Data - preExcl'!$BF$2:$BG1679,MATCH($B1081,'RFR Data - preExcl'!$BF$2:$BF1679,0)+1,2),VLOOKUP($B1081,'RFR Data - preExcl'!$BF$2:$BG1679,2,FALSE))),IFERROR(0/0,""))</f>
        <v/>
      </c>
      <c r="V1081" s="212" t="str">
        <f t="shared" si="5"/>
        <v>RUN-COMB_2022-06-08_RFR-059</v>
      </c>
      <c r="W1081" s="51"/>
      <c r="X1081" s="51"/>
      <c r="Y1081" s="147" t="str">
        <f t="shared" ref="Y1081:Z1081" si="2162">IF(_xlfn.ISFORMULA(S1081),IFERROR(0/0,""),TRUE)</f>
        <v/>
      </c>
      <c r="Z1081" s="147" t="str">
        <f t="shared" si="2162"/>
        <v/>
      </c>
    </row>
    <row r="1082">
      <c r="A1082" s="6" t="str">
        <f>IFERROR(__xludf.DUMMYFUNCTION("""COMPUTED_VALUE"""),"FM2187")</f>
        <v>FM2187</v>
      </c>
      <c r="B1082" s="206">
        <f>IFERROR(__xludf.DUMMYFUNCTION("""COMPUTED_VALUE"""),44720.0)</f>
        <v>44720</v>
      </c>
      <c r="C1082" s="207">
        <f>IFERROR(__xludf.DUMMYFUNCTION("""COMPUTED_VALUE"""),0.2555787037037037)</f>
        <v>0.2555787037</v>
      </c>
      <c r="D1082" s="50"/>
      <c r="E1082" s="58"/>
      <c r="F1082" s="58"/>
      <c r="G1082" s="58" t="str">
        <f>IFERROR(__xludf.DUMMYFUNCTION("""COMPUTED_VALUE"""),"Null")</f>
        <v>Null</v>
      </c>
      <c r="H1082" s="206" t="str">
        <f>IFERROR(__xludf.DUMMYFUNCTION("""COMPUTED_VALUE"""),"Negative")</f>
        <v>Negative</v>
      </c>
      <c r="I1082" s="207"/>
      <c r="J1082" s="50"/>
      <c r="K1082" s="50">
        <f>IFERROR(__xludf.DUMMYFUNCTION("""COMPUTED_VALUE"""),2.0)</f>
        <v>2</v>
      </c>
      <c r="L1082" s="6"/>
      <c r="M1082" s="55"/>
      <c r="N1082" s="55">
        <f>IFERROR(__xludf.DUMMYFUNCTION("""COMPUTED_VALUE"""),1.0)</f>
        <v>1</v>
      </c>
      <c r="O1082" s="55" t="str">
        <f t="shared" si="3"/>
        <v/>
      </c>
      <c r="P1082" s="209"/>
      <c r="Q1082" s="75" t="b">
        <f>VLOOKUP($B1082,'Run Reconcile'!B$2:P1679,15,FALSE)</f>
        <v>1</v>
      </c>
      <c r="R1082" s="211" t="str">
        <f t="array" ref="R1082">IF($Q1082, INDEX('Run Reconcile'!A$2:A1679,MATCH(B1082,'Run Reconcile'!B$2:B1679,0),1),IFERROR(0/0,""))</f>
        <v>RUN-COMB_2022-06-08_RFR-059</v>
      </c>
      <c r="S1082" s="165" t="str">
        <f t="shared" ref="S1082:T1082" si="2163">IF(COUNTIF(W$2:W1679, $A1082) &gt; 0,TRUE,IFERROR(0/0,""))</f>
        <v/>
      </c>
      <c r="T1082" s="165" t="str">
        <f t="shared" si="2163"/>
        <v/>
      </c>
      <c r="U1082" s="147" t="str">
        <f t="array" ref="U1082">IF(ISBLANK($R1082), IF($S1082,VLOOKUP($B1082+1,'RFR Data - preExcl'!$BF$2:$BG1679,2,FALSE),IF($T1082,INDEX('RFR Data - preExcl'!$BF$2:$BG1679,MATCH($B1082,'RFR Data - preExcl'!$BF$2:$BF1679,0)+1,2),VLOOKUP($B1082,'RFR Data - preExcl'!$BF$2:$BG1679,2,FALSE))),IFERROR(0/0,""))</f>
        <v/>
      </c>
      <c r="V1082" s="212" t="str">
        <f t="shared" si="5"/>
        <v>RUN-COMB_2022-06-08_RFR-059</v>
      </c>
      <c r="W1082" s="51"/>
      <c r="X1082" s="51"/>
      <c r="Y1082" s="147" t="str">
        <f t="shared" ref="Y1082:Z1082" si="2164">IF(_xlfn.ISFORMULA(S1082),IFERROR(0/0,""),TRUE)</f>
        <v/>
      </c>
      <c r="Z1082" s="147" t="str">
        <f t="shared" si="2164"/>
        <v/>
      </c>
    </row>
    <row r="1083">
      <c r="A1083" s="6" t="str">
        <f>IFERROR(__xludf.DUMMYFUNCTION("""COMPUTED_VALUE"""),"FM2173")</f>
        <v>FM2173</v>
      </c>
      <c r="B1083" s="206">
        <f>IFERROR(__xludf.DUMMYFUNCTION("""COMPUTED_VALUE"""),44720.0)</f>
        <v>44720</v>
      </c>
      <c r="C1083" s="207">
        <f>IFERROR(__xludf.DUMMYFUNCTION("""COMPUTED_VALUE"""),0.25605324074074076)</f>
        <v>0.2560532407</v>
      </c>
      <c r="D1083" s="50"/>
      <c r="E1083" s="58"/>
      <c r="F1083" s="58"/>
      <c r="G1083" s="58" t="str">
        <f>IFERROR(__xludf.DUMMYFUNCTION("""COMPUTED_VALUE"""),"Null")</f>
        <v>Null</v>
      </c>
      <c r="H1083" s="206" t="str">
        <f>IFERROR(__xludf.DUMMYFUNCTION("""COMPUTED_VALUE"""),"Negative")</f>
        <v>Negative</v>
      </c>
      <c r="I1083" s="207"/>
      <c r="J1083" s="50"/>
      <c r="K1083" s="50">
        <f>IFERROR(__xludf.DUMMYFUNCTION("""COMPUTED_VALUE"""),2.0)</f>
        <v>2</v>
      </c>
      <c r="L1083" s="6"/>
      <c r="M1083" s="55"/>
      <c r="N1083" s="55">
        <f>IFERROR(__xludf.DUMMYFUNCTION("""COMPUTED_VALUE"""),1.0)</f>
        <v>1</v>
      </c>
      <c r="O1083" s="55" t="str">
        <f t="shared" si="3"/>
        <v/>
      </c>
      <c r="P1083" s="209"/>
      <c r="Q1083" s="75" t="b">
        <f>VLOOKUP($B1083,'Run Reconcile'!B$2:P1679,15,FALSE)</f>
        <v>1</v>
      </c>
      <c r="R1083" s="211" t="str">
        <f t="array" ref="R1083">IF($Q1083, INDEX('Run Reconcile'!A$2:A1679,MATCH(B1083,'Run Reconcile'!B$2:B1679,0),1),IFERROR(0/0,""))</f>
        <v>RUN-COMB_2022-06-08_RFR-059</v>
      </c>
      <c r="S1083" s="165" t="str">
        <f t="shared" ref="S1083:T1083" si="2165">IF(COUNTIF(W$2:W1679, $A1083) &gt; 0,TRUE,IFERROR(0/0,""))</f>
        <v/>
      </c>
      <c r="T1083" s="165" t="str">
        <f t="shared" si="2165"/>
        <v/>
      </c>
      <c r="U1083" s="147" t="str">
        <f t="array" ref="U1083">IF(ISBLANK($R1083), IF($S1083,VLOOKUP($B1083+1,'RFR Data - preExcl'!$BF$2:$BG1679,2,FALSE),IF($T1083,INDEX('RFR Data - preExcl'!$BF$2:$BG1679,MATCH($B1083,'RFR Data - preExcl'!$BF$2:$BF1679,0)+1,2),VLOOKUP($B1083,'RFR Data - preExcl'!$BF$2:$BG1679,2,FALSE))),IFERROR(0/0,""))</f>
        <v/>
      </c>
      <c r="V1083" s="212" t="str">
        <f t="shared" si="5"/>
        <v>RUN-COMB_2022-06-08_RFR-059</v>
      </c>
      <c r="W1083" s="51"/>
      <c r="X1083" s="51"/>
      <c r="Y1083" s="147" t="str">
        <f t="shared" ref="Y1083:Z1083" si="2166">IF(_xlfn.ISFORMULA(S1083),IFERROR(0/0,""),TRUE)</f>
        <v/>
      </c>
      <c r="Z1083" s="147" t="str">
        <f t="shared" si="2166"/>
        <v/>
      </c>
    </row>
    <row r="1084">
      <c r="A1084" s="6" t="str">
        <f>IFERROR(__xludf.DUMMYFUNCTION("""COMPUTED_VALUE"""),"FM2130")</f>
        <v>FM2130</v>
      </c>
      <c r="B1084" s="206">
        <f>IFERROR(__xludf.DUMMYFUNCTION("""COMPUTED_VALUE"""),44720.0)</f>
        <v>44720</v>
      </c>
      <c r="C1084" s="207">
        <f>IFERROR(__xludf.DUMMYFUNCTION("""COMPUTED_VALUE"""),0.25980324074074074)</f>
        <v>0.2598032407</v>
      </c>
      <c r="D1084" s="50"/>
      <c r="E1084" s="58"/>
      <c r="F1084" s="58"/>
      <c r="G1084" s="58" t="str">
        <f>IFERROR(__xludf.DUMMYFUNCTION("""COMPUTED_VALUE"""),"Null")</f>
        <v>Null</v>
      </c>
      <c r="H1084" s="206" t="str">
        <f>IFERROR(__xludf.DUMMYFUNCTION("""COMPUTED_VALUE"""),"Negative")</f>
        <v>Negative</v>
      </c>
      <c r="I1084" s="207"/>
      <c r="J1084" s="50"/>
      <c r="K1084" s="50">
        <f>IFERROR(__xludf.DUMMYFUNCTION("""COMPUTED_VALUE"""),2.0)</f>
        <v>2</v>
      </c>
      <c r="L1084" s="6"/>
      <c r="M1084" s="55"/>
      <c r="N1084" s="55">
        <f>IFERROR(__xludf.DUMMYFUNCTION("""COMPUTED_VALUE"""),1.0)</f>
        <v>1</v>
      </c>
      <c r="O1084" s="55" t="str">
        <f t="shared" si="3"/>
        <v/>
      </c>
      <c r="P1084" s="209"/>
      <c r="Q1084" s="75" t="b">
        <f>VLOOKUP($B1084,'Run Reconcile'!B$2:P1679,15,FALSE)</f>
        <v>1</v>
      </c>
      <c r="R1084" s="211" t="str">
        <f t="array" ref="R1084">IF($Q1084, INDEX('Run Reconcile'!A$2:A1679,MATCH(B1084,'Run Reconcile'!B$2:B1679,0),1),IFERROR(0/0,""))</f>
        <v>RUN-COMB_2022-06-08_RFR-059</v>
      </c>
      <c r="S1084" s="165" t="str">
        <f t="shared" ref="S1084:T1084" si="2167">IF(COUNTIF(W$2:W1679, $A1084) &gt; 0,TRUE,IFERROR(0/0,""))</f>
        <v/>
      </c>
      <c r="T1084" s="165" t="str">
        <f t="shared" si="2167"/>
        <v/>
      </c>
      <c r="U1084" s="147" t="str">
        <f t="array" ref="U1084">IF(ISBLANK($R1084), IF($S1084,VLOOKUP($B1084+1,'RFR Data - preExcl'!$BF$2:$BG1679,2,FALSE),IF($T1084,INDEX('RFR Data - preExcl'!$BF$2:$BG1679,MATCH($B1084,'RFR Data - preExcl'!$BF$2:$BF1679,0)+1,2),VLOOKUP($B1084,'RFR Data - preExcl'!$BF$2:$BG1679,2,FALSE))),IFERROR(0/0,""))</f>
        <v/>
      </c>
      <c r="V1084" s="212" t="str">
        <f t="shared" si="5"/>
        <v>RUN-COMB_2022-06-08_RFR-059</v>
      </c>
      <c r="W1084" s="51"/>
      <c r="X1084" s="51"/>
      <c r="Y1084" s="147" t="str">
        <f t="shared" ref="Y1084:Z1084" si="2168">IF(_xlfn.ISFORMULA(S1084),IFERROR(0/0,""),TRUE)</f>
        <v/>
      </c>
      <c r="Z1084" s="147" t="str">
        <f t="shared" si="2168"/>
        <v/>
      </c>
    </row>
    <row r="1085">
      <c r="A1085" s="6" t="str">
        <f>IFERROR(__xludf.DUMMYFUNCTION("""COMPUTED_VALUE"""),"FM2123")</f>
        <v>FM2123</v>
      </c>
      <c r="B1085" s="206">
        <f>IFERROR(__xludf.DUMMYFUNCTION("""COMPUTED_VALUE"""),44720.0)</f>
        <v>44720</v>
      </c>
      <c r="C1085" s="207">
        <f>IFERROR(__xludf.DUMMYFUNCTION("""COMPUTED_VALUE"""),0.2647453703703704)</f>
        <v>0.2647453704</v>
      </c>
      <c r="D1085" s="50"/>
      <c r="E1085" s="58"/>
      <c r="F1085" s="58"/>
      <c r="G1085" s="58" t="str">
        <f>IFERROR(__xludf.DUMMYFUNCTION("""COMPUTED_VALUE"""),"Null")</f>
        <v>Null</v>
      </c>
      <c r="H1085" s="206" t="str">
        <f>IFERROR(__xludf.DUMMYFUNCTION("""COMPUTED_VALUE"""),"Negative")</f>
        <v>Negative</v>
      </c>
      <c r="I1085" s="207"/>
      <c r="J1085" s="50"/>
      <c r="K1085" s="50">
        <f>IFERROR(__xludf.DUMMYFUNCTION("""COMPUTED_VALUE"""),2.0)</f>
        <v>2</v>
      </c>
      <c r="L1085" s="6"/>
      <c r="M1085" s="55"/>
      <c r="N1085" s="55">
        <f>IFERROR(__xludf.DUMMYFUNCTION("""COMPUTED_VALUE"""),1.0)</f>
        <v>1</v>
      </c>
      <c r="O1085" s="55" t="str">
        <f t="shared" si="3"/>
        <v/>
      </c>
      <c r="P1085" s="209"/>
      <c r="Q1085" s="75" t="b">
        <f>VLOOKUP($B1085,'Run Reconcile'!B$2:P1679,15,FALSE)</f>
        <v>1</v>
      </c>
      <c r="R1085" s="211" t="str">
        <f t="array" ref="R1085">IF($Q1085, INDEX('Run Reconcile'!A$2:A1679,MATCH(B1085,'Run Reconcile'!B$2:B1679,0),1),IFERROR(0/0,""))</f>
        <v>RUN-COMB_2022-06-08_RFR-059</v>
      </c>
      <c r="S1085" s="165" t="str">
        <f t="shared" ref="S1085:T1085" si="2169">IF(COUNTIF(W$2:W1679, $A1085) &gt; 0,TRUE,IFERROR(0/0,""))</f>
        <v/>
      </c>
      <c r="T1085" s="165" t="str">
        <f t="shared" si="2169"/>
        <v/>
      </c>
      <c r="U1085" s="147" t="str">
        <f t="array" ref="U1085">IF(ISBLANK($R1085), IF($S1085,VLOOKUP($B1085+1,'RFR Data - preExcl'!$BF$2:$BG1679,2,FALSE),IF($T1085,INDEX('RFR Data - preExcl'!$BF$2:$BG1679,MATCH($B1085,'RFR Data - preExcl'!$BF$2:$BF1679,0)+1,2),VLOOKUP($B1085,'RFR Data - preExcl'!$BF$2:$BG1679,2,FALSE))),IFERROR(0/0,""))</f>
        <v/>
      </c>
      <c r="V1085" s="212" t="str">
        <f t="shared" si="5"/>
        <v>RUN-COMB_2022-06-08_RFR-059</v>
      </c>
      <c r="W1085" s="51"/>
      <c r="X1085" s="51"/>
      <c r="Y1085" s="147" t="str">
        <f t="shared" ref="Y1085:Z1085" si="2170">IF(_xlfn.ISFORMULA(S1085),IFERROR(0/0,""),TRUE)</f>
        <v/>
      </c>
      <c r="Z1085" s="147" t="str">
        <f t="shared" si="2170"/>
        <v/>
      </c>
    </row>
    <row r="1086">
      <c r="A1086" s="6" t="str">
        <f>IFERROR(__xludf.DUMMYFUNCTION("""COMPUTED_VALUE"""),"FM2839")</f>
        <v>FM2839</v>
      </c>
      <c r="B1086" s="206">
        <f>IFERROR(__xludf.DUMMYFUNCTION("""COMPUTED_VALUE"""),44720.0)</f>
        <v>44720</v>
      </c>
      <c r="C1086" s="207">
        <f>IFERROR(__xludf.DUMMYFUNCTION("""COMPUTED_VALUE"""),0.2653009259259259)</f>
        <v>0.2653009259</v>
      </c>
      <c r="D1086" s="50"/>
      <c r="E1086" s="58"/>
      <c r="F1086" s="58"/>
      <c r="G1086" s="58" t="str">
        <f>IFERROR(__xludf.DUMMYFUNCTION("""COMPUTED_VALUE"""),"Null")</f>
        <v>Null</v>
      </c>
      <c r="H1086" s="206" t="str">
        <f>IFERROR(__xludf.DUMMYFUNCTION("""COMPUTED_VALUE"""),"Negative")</f>
        <v>Negative</v>
      </c>
      <c r="I1086" s="207"/>
      <c r="J1086" s="50"/>
      <c r="K1086" s="50">
        <f>IFERROR(__xludf.DUMMYFUNCTION("""COMPUTED_VALUE"""),2.0)</f>
        <v>2</v>
      </c>
      <c r="L1086" s="6"/>
      <c r="M1086" s="55"/>
      <c r="N1086" s="55">
        <f>IFERROR(__xludf.DUMMYFUNCTION("""COMPUTED_VALUE"""),1.0)</f>
        <v>1</v>
      </c>
      <c r="O1086" s="55" t="str">
        <f t="shared" si="3"/>
        <v/>
      </c>
      <c r="P1086" s="209"/>
      <c r="Q1086" s="75" t="b">
        <f>VLOOKUP($B1086,'Run Reconcile'!B$2:P1679,15,FALSE)</f>
        <v>1</v>
      </c>
      <c r="R1086" s="211" t="str">
        <f t="array" ref="R1086">IF($Q1086, INDEX('Run Reconcile'!A$2:A1679,MATCH(B1086,'Run Reconcile'!B$2:B1679,0),1),IFERROR(0/0,""))</f>
        <v>RUN-COMB_2022-06-08_RFR-059</v>
      </c>
      <c r="S1086" s="165" t="str">
        <f t="shared" ref="S1086:T1086" si="2171">IF(COUNTIF(W$2:W1679, $A1086) &gt; 0,TRUE,IFERROR(0/0,""))</f>
        <v/>
      </c>
      <c r="T1086" s="165" t="str">
        <f t="shared" si="2171"/>
        <v/>
      </c>
      <c r="U1086" s="147" t="str">
        <f t="array" ref="U1086">IF(ISBLANK($R1086), IF($S1086,VLOOKUP($B1086+1,'RFR Data - preExcl'!$BF$2:$BG1679,2,FALSE),IF($T1086,INDEX('RFR Data - preExcl'!$BF$2:$BG1679,MATCH($B1086,'RFR Data - preExcl'!$BF$2:$BF1679,0)+1,2),VLOOKUP($B1086,'RFR Data - preExcl'!$BF$2:$BG1679,2,FALSE))),IFERROR(0/0,""))</f>
        <v/>
      </c>
      <c r="V1086" s="212" t="str">
        <f t="shared" si="5"/>
        <v>RUN-COMB_2022-06-08_RFR-059</v>
      </c>
      <c r="W1086" s="51"/>
      <c r="X1086" s="51"/>
      <c r="Y1086" s="147" t="str">
        <f t="shared" ref="Y1086:Z1086" si="2172">IF(_xlfn.ISFORMULA(S1086),IFERROR(0/0,""),TRUE)</f>
        <v/>
      </c>
      <c r="Z1086" s="147" t="str">
        <f t="shared" si="2172"/>
        <v/>
      </c>
    </row>
    <row r="1087">
      <c r="A1087" s="6" t="str">
        <f>IFERROR(__xludf.DUMMYFUNCTION("""COMPUTED_VALUE"""),"FM2210")</f>
        <v>FM2210</v>
      </c>
      <c r="B1087" s="206">
        <f>IFERROR(__xludf.DUMMYFUNCTION("""COMPUTED_VALUE"""),44720.0)</f>
        <v>44720</v>
      </c>
      <c r="C1087" s="207">
        <f>IFERROR(__xludf.DUMMYFUNCTION("""COMPUTED_VALUE"""),0.2656712962962963)</f>
        <v>0.2656712963</v>
      </c>
      <c r="D1087" s="50"/>
      <c r="E1087" s="58"/>
      <c r="F1087" s="58"/>
      <c r="G1087" s="58" t="str">
        <f>IFERROR(__xludf.DUMMYFUNCTION("""COMPUTED_VALUE"""),"Null")</f>
        <v>Null</v>
      </c>
      <c r="H1087" s="206" t="str">
        <f>IFERROR(__xludf.DUMMYFUNCTION("""COMPUTED_VALUE"""),"Negative")</f>
        <v>Negative</v>
      </c>
      <c r="I1087" s="207"/>
      <c r="J1087" s="50"/>
      <c r="K1087" s="50">
        <f>IFERROR(__xludf.DUMMYFUNCTION("""COMPUTED_VALUE"""),2.0)</f>
        <v>2</v>
      </c>
      <c r="L1087" s="6"/>
      <c r="M1087" s="55"/>
      <c r="N1087" s="55">
        <f>IFERROR(__xludf.DUMMYFUNCTION("""COMPUTED_VALUE"""),1.0)</f>
        <v>1</v>
      </c>
      <c r="O1087" s="55" t="str">
        <f t="shared" si="3"/>
        <v/>
      </c>
      <c r="P1087" s="209"/>
      <c r="Q1087" s="75" t="b">
        <f>VLOOKUP($B1087,'Run Reconcile'!B$2:P1679,15,FALSE)</f>
        <v>1</v>
      </c>
      <c r="R1087" s="211" t="str">
        <f t="array" ref="R1087">IF($Q1087, INDEX('Run Reconcile'!A$2:A1679,MATCH(B1087,'Run Reconcile'!B$2:B1679,0),1),IFERROR(0/0,""))</f>
        <v>RUN-COMB_2022-06-08_RFR-059</v>
      </c>
      <c r="S1087" s="165" t="str">
        <f t="shared" ref="S1087:T1087" si="2173">IF(COUNTIF(W$2:W1679, $A1087) &gt; 0,TRUE,IFERROR(0/0,""))</f>
        <v/>
      </c>
      <c r="T1087" s="165" t="str">
        <f t="shared" si="2173"/>
        <v/>
      </c>
      <c r="U1087" s="147" t="str">
        <f t="array" ref="U1087">IF(ISBLANK($R1087), IF($S1087,VLOOKUP($B1087+1,'RFR Data - preExcl'!$BF$2:$BG1679,2,FALSE),IF($T1087,INDEX('RFR Data - preExcl'!$BF$2:$BG1679,MATCH($B1087,'RFR Data - preExcl'!$BF$2:$BF1679,0)+1,2),VLOOKUP($B1087,'RFR Data - preExcl'!$BF$2:$BG1679,2,FALSE))),IFERROR(0/0,""))</f>
        <v/>
      </c>
      <c r="V1087" s="212" t="str">
        <f t="shared" si="5"/>
        <v>RUN-COMB_2022-06-08_RFR-059</v>
      </c>
      <c r="W1087" s="51"/>
      <c r="X1087" s="51"/>
      <c r="Y1087" s="147" t="str">
        <f t="shared" ref="Y1087:Z1087" si="2174">IF(_xlfn.ISFORMULA(S1087),IFERROR(0/0,""),TRUE)</f>
        <v/>
      </c>
      <c r="Z1087" s="147" t="str">
        <f t="shared" si="2174"/>
        <v/>
      </c>
    </row>
    <row r="1088">
      <c r="A1088" s="6" t="str">
        <f>IFERROR(__xludf.DUMMYFUNCTION("""COMPUTED_VALUE"""),"FM2921")</f>
        <v>FM2921</v>
      </c>
      <c r="B1088" s="206">
        <f>IFERROR(__xludf.DUMMYFUNCTION("""COMPUTED_VALUE"""),44720.0)</f>
        <v>44720</v>
      </c>
      <c r="C1088" s="207">
        <f>IFERROR(__xludf.DUMMYFUNCTION("""COMPUTED_VALUE"""),0.2661921296296296)</f>
        <v>0.2661921296</v>
      </c>
      <c r="D1088" s="50"/>
      <c r="E1088" s="58"/>
      <c r="F1088" s="58"/>
      <c r="G1088" s="58" t="str">
        <f>IFERROR(__xludf.DUMMYFUNCTION("""COMPUTED_VALUE"""),"Null")</f>
        <v>Null</v>
      </c>
      <c r="H1088" s="206" t="str">
        <f>IFERROR(__xludf.DUMMYFUNCTION("""COMPUTED_VALUE"""),"Negative")</f>
        <v>Negative</v>
      </c>
      <c r="I1088" s="207"/>
      <c r="J1088" s="50"/>
      <c r="K1088" s="50">
        <f>IFERROR(__xludf.DUMMYFUNCTION("""COMPUTED_VALUE"""),2.0)</f>
        <v>2</v>
      </c>
      <c r="L1088" s="6"/>
      <c r="M1088" s="55"/>
      <c r="N1088" s="55">
        <f>IFERROR(__xludf.DUMMYFUNCTION("""COMPUTED_VALUE"""),1.0)</f>
        <v>1</v>
      </c>
      <c r="O1088" s="55" t="str">
        <f t="shared" si="3"/>
        <v/>
      </c>
      <c r="P1088" s="209"/>
      <c r="Q1088" s="75" t="b">
        <f>VLOOKUP($B1088,'Run Reconcile'!B$2:P1679,15,FALSE)</f>
        <v>1</v>
      </c>
      <c r="R1088" s="211" t="str">
        <f t="array" ref="R1088">IF($Q1088, INDEX('Run Reconcile'!A$2:A1679,MATCH(B1088,'Run Reconcile'!B$2:B1679,0),1),IFERROR(0/0,""))</f>
        <v>RUN-COMB_2022-06-08_RFR-059</v>
      </c>
      <c r="S1088" s="165" t="str">
        <f t="shared" ref="S1088:T1088" si="2175">IF(COUNTIF(W$2:W1679, $A1088) &gt; 0,TRUE,IFERROR(0/0,""))</f>
        <v/>
      </c>
      <c r="T1088" s="165" t="str">
        <f t="shared" si="2175"/>
        <v/>
      </c>
      <c r="U1088" s="147" t="str">
        <f t="array" ref="U1088">IF(ISBLANK($R1088), IF($S1088,VLOOKUP($B1088+1,'RFR Data - preExcl'!$BF$2:$BG1679,2,FALSE),IF($T1088,INDEX('RFR Data - preExcl'!$BF$2:$BG1679,MATCH($B1088,'RFR Data - preExcl'!$BF$2:$BF1679,0)+1,2),VLOOKUP($B1088,'RFR Data - preExcl'!$BF$2:$BG1679,2,FALSE))),IFERROR(0/0,""))</f>
        <v/>
      </c>
      <c r="V1088" s="212" t="str">
        <f t="shared" si="5"/>
        <v>RUN-COMB_2022-06-08_RFR-059</v>
      </c>
      <c r="W1088" s="51"/>
      <c r="X1088" s="51"/>
      <c r="Y1088" s="147" t="str">
        <f t="shared" ref="Y1088:Z1088" si="2176">IF(_xlfn.ISFORMULA(S1088),IFERROR(0/0,""),TRUE)</f>
        <v/>
      </c>
      <c r="Z1088" s="147" t="str">
        <f t="shared" si="2176"/>
        <v/>
      </c>
    </row>
    <row r="1089">
      <c r="A1089" s="6" t="str">
        <f>IFERROR(__xludf.DUMMYFUNCTION("""COMPUTED_VALUE"""),"FM2147")</f>
        <v>FM2147</v>
      </c>
      <c r="B1089" s="206">
        <f>IFERROR(__xludf.DUMMYFUNCTION("""COMPUTED_VALUE"""),44720.0)</f>
        <v>44720</v>
      </c>
      <c r="C1089" s="207">
        <f>IFERROR(__xludf.DUMMYFUNCTION("""COMPUTED_VALUE"""),0.2780902777777778)</f>
        <v>0.2780902778</v>
      </c>
      <c r="D1089" s="50"/>
      <c r="E1089" s="58"/>
      <c r="F1089" s="58"/>
      <c r="G1089" s="58" t="str">
        <f>IFERROR(__xludf.DUMMYFUNCTION("""COMPUTED_VALUE"""),"Null")</f>
        <v>Null</v>
      </c>
      <c r="H1089" s="206" t="str">
        <f>IFERROR(__xludf.DUMMYFUNCTION("""COMPUTED_VALUE"""),"Negative")</f>
        <v>Negative</v>
      </c>
      <c r="I1089" s="207"/>
      <c r="J1089" s="50"/>
      <c r="K1089" s="50">
        <f>IFERROR(__xludf.DUMMYFUNCTION("""COMPUTED_VALUE"""),2.0)</f>
        <v>2</v>
      </c>
      <c r="L1089" s="6"/>
      <c r="M1089" s="55"/>
      <c r="N1089" s="55">
        <f>IFERROR(__xludf.DUMMYFUNCTION("""COMPUTED_VALUE"""),1.0)</f>
        <v>1</v>
      </c>
      <c r="O1089" s="55" t="str">
        <f t="shared" si="3"/>
        <v/>
      </c>
      <c r="P1089" s="209"/>
      <c r="Q1089" s="75" t="b">
        <f>VLOOKUP($B1089,'Run Reconcile'!B$2:P1679,15,FALSE)</f>
        <v>1</v>
      </c>
      <c r="R1089" s="211" t="str">
        <f t="array" ref="R1089">IF($Q1089, INDEX('Run Reconcile'!A$2:A1679,MATCH(B1089,'Run Reconcile'!B$2:B1679,0),1),IFERROR(0/0,""))</f>
        <v>RUN-COMB_2022-06-08_RFR-059</v>
      </c>
      <c r="S1089" s="165" t="str">
        <f t="shared" ref="S1089:T1089" si="2177">IF(COUNTIF(W$2:W1679, $A1089) &gt; 0,TRUE,IFERROR(0/0,""))</f>
        <v/>
      </c>
      <c r="T1089" s="165" t="str">
        <f t="shared" si="2177"/>
        <v/>
      </c>
      <c r="U1089" s="147" t="str">
        <f t="array" ref="U1089">IF(ISBLANK($R1089), IF($S1089,VLOOKUP($B1089+1,'RFR Data - preExcl'!$BF$2:$BG1679,2,FALSE),IF($T1089,INDEX('RFR Data - preExcl'!$BF$2:$BG1679,MATCH($B1089,'RFR Data - preExcl'!$BF$2:$BF1679,0)+1,2),VLOOKUP($B1089,'RFR Data - preExcl'!$BF$2:$BG1679,2,FALSE))),IFERROR(0/0,""))</f>
        <v/>
      </c>
      <c r="V1089" s="212" t="str">
        <f t="shared" si="5"/>
        <v>RUN-COMB_2022-06-08_RFR-059</v>
      </c>
      <c r="W1089" s="51"/>
      <c r="X1089" s="51"/>
      <c r="Y1089" s="147" t="str">
        <f t="shared" ref="Y1089:Z1089" si="2178">IF(_xlfn.ISFORMULA(S1089),IFERROR(0/0,""),TRUE)</f>
        <v/>
      </c>
      <c r="Z1089" s="147" t="str">
        <f t="shared" si="2178"/>
        <v/>
      </c>
    </row>
    <row r="1090">
      <c r="A1090" s="6" t="str">
        <f>IFERROR(__xludf.DUMMYFUNCTION("""COMPUTED_VALUE"""),"FM2125")</f>
        <v>FM2125</v>
      </c>
      <c r="B1090" s="206">
        <f>IFERROR(__xludf.DUMMYFUNCTION("""COMPUTED_VALUE"""),44720.0)</f>
        <v>44720</v>
      </c>
      <c r="C1090" s="207">
        <f>IFERROR(__xludf.DUMMYFUNCTION("""COMPUTED_VALUE"""),0.2785532407407407)</f>
        <v>0.2785532407</v>
      </c>
      <c r="D1090" s="50"/>
      <c r="E1090" s="58"/>
      <c r="F1090" s="58"/>
      <c r="G1090" s="58" t="str">
        <f>IFERROR(__xludf.DUMMYFUNCTION("""COMPUTED_VALUE"""),"Null")</f>
        <v>Null</v>
      </c>
      <c r="H1090" s="206" t="str">
        <f>IFERROR(__xludf.DUMMYFUNCTION("""COMPUTED_VALUE"""),"Negative")</f>
        <v>Negative</v>
      </c>
      <c r="I1090" s="207"/>
      <c r="J1090" s="50"/>
      <c r="K1090" s="50">
        <f>IFERROR(__xludf.DUMMYFUNCTION("""COMPUTED_VALUE"""),2.0)</f>
        <v>2</v>
      </c>
      <c r="L1090" s="6"/>
      <c r="M1090" s="55"/>
      <c r="N1090" s="55">
        <f>IFERROR(__xludf.DUMMYFUNCTION("""COMPUTED_VALUE"""),1.0)</f>
        <v>1</v>
      </c>
      <c r="O1090" s="55" t="str">
        <f t="shared" si="3"/>
        <v/>
      </c>
      <c r="P1090" s="209"/>
      <c r="Q1090" s="75" t="b">
        <f>VLOOKUP($B1090,'Run Reconcile'!B$2:P1679,15,FALSE)</f>
        <v>1</v>
      </c>
      <c r="R1090" s="211" t="str">
        <f t="array" ref="R1090">IF($Q1090, INDEX('Run Reconcile'!A$2:A1679,MATCH(B1090,'Run Reconcile'!B$2:B1679,0),1),IFERROR(0/0,""))</f>
        <v>RUN-COMB_2022-06-08_RFR-059</v>
      </c>
      <c r="S1090" s="165" t="str">
        <f t="shared" ref="S1090:T1090" si="2179">IF(COUNTIF(W$2:W1679, $A1090) &gt; 0,TRUE,IFERROR(0/0,""))</f>
        <v/>
      </c>
      <c r="T1090" s="165" t="str">
        <f t="shared" si="2179"/>
        <v/>
      </c>
      <c r="U1090" s="147" t="str">
        <f t="array" ref="U1090">IF(ISBLANK($R1090), IF($S1090,VLOOKUP($B1090+1,'RFR Data - preExcl'!$BF$2:$BG1679,2,FALSE),IF($T1090,INDEX('RFR Data - preExcl'!$BF$2:$BG1679,MATCH($B1090,'RFR Data - preExcl'!$BF$2:$BF1679,0)+1,2),VLOOKUP($B1090,'RFR Data - preExcl'!$BF$2:$BG1679,2,FALSE))),IFERROR(0/0,""))</f>
        <v/>
      </c>
      <c r="V1090" s="212" t="str">
        <f t="shared" si="5"/>
        <v>RUN-COMB_2022-06-08_RFR-059</v>
      </c>
      <c r="W1090" s="51"/>
      <c r="X1090" s="51"/>
      <c r="Y1090" s="147" t="str">
        <f t="shared" ref="Y1090:Z1090" si="2180">IF(_xlfn.ISFORMULA(S1090),IFERROR(0/0,""),TRUE)</f>
        <v/>
      </c>
      <c r="Z1090" s="147" t="str">
        <f t="shared" si="2180"/>
        <v/>
      </c>
    </row>
    <row r="1091">
      <c r="A1091" s="6" t="str">
        <f>IFERROR(__xludf.DUMMYFUNCTION("""COMPUTED_VALUE"""),"FM2129")</f>
        <v>FM2129</v>
      </c>
      <c r="B1091" s="206">
        <f>IFERROR(__xludf.DUMMYFUNCTION("""COMPUTED_VALUE"""),44720.0)</f>
        <v>44720</v>
      </c>
      <c r="C1091" s="207">
        <f>IFERROR(__xludf.DUMMYFUNCTION("""COMPUTED_VALUE"""),0.2798726851851852)</f>
        <v>0.2798726852</v>
      </c>
      <c r="D1091" s="50"/>
      <c r="E1091" s="58"/>
      <c r="F1091" s="58"/>
      <c r="G1091" s="58" t="str">
        <f>IFERROR(__xludf.DUMMYFUNCTION("""COMPUTED_VALUE"""),"Null")</f>
        <v>Null</v>
      </c>
      <c r="H1091" s="206" t="str">
        <f>IFERROR(__xludf.DUMMYFUNCTION("""COMPUTED_VALUE"""),"Negative")</f>
        <v>Negative</v>
      </c>
      <c r="I1091" s="207"/>
      <c r="J1091" s="50"/>
      <c r="K1091" s="50">
        <f>IFERROR(__xludf.DUMMYFUNCTION("""COMPUTED_VALUE"""),2.0)</f>
        <v>2</v>
      </c>
      <c r="L1091" s="6"/>
      <c r="M1091" s="55"/>
      <c r="N1091" s="55">
        <f>IFERROR(__xludf.DUMMYFUNCTION("""COMPUTED_VALUE"""),1.0)</f>
        <v>1</v>
      </c>
      <c r="O1091" s="55" t="str">
        <f t="shared" si="3"/>
        <v/>
      </c>
      <c r="P1091" s="209"/>
      <c r="Q1091" s="75" t="b">
        <f>VLOOKUP($B1091,'Run Reconcile'!B$2:P1679,15,FALSE)</f>
        <v>1</v>
      </c>
      <c r="R1091" s="211" t="str">
        <f t="array" ref="R1091">IF($Q1091, INDEX('Run Reconcile'!A$2:A1679,MATCH(B1091,'Run Reconcile'!B$2:B1679,0),1),IFERROR(0/0,""))</f>
        <v>RUN-COMB_2022-06-08_RFR-059</v>
      </c>
      <c r="S1091" s="165" t="str">
        <f t="shared" ref="S1091:T1091" si="2181">IF(COUNTIF(W$2:W1679, $A1091) &gt; 0,TRUE,IFERROR(0/0,""))</f>
        <v/>
      </c>
      <c r="T1091" s="165" t="str">
        <f t="shared" si="2181"/>
        <v/>
      </c>
      <c r="U1091" s="147" t="str">
        <f t="array" ref="U1091">IF(ISBLANK($R1091), IF($S1091,VLOOKUP($B1091+1,'RFR Data - preExcl'!$BF$2:$BG1679,2,FALSE),IF($T1091,INDEX('RFR Data - preExcl'!$BF$2:$BG1679,MATCH($B1091,'RFR Data - preExcl'!$BF$2:$BF1679,0)+1,2),VLOOKUP($B1091,'RFR Data - preExcl'!$BF$2:$BG1679,2,FALSE))),IFERROR(0/0,""))</f>
        <v/>
      </c>
      <c r="V1091" s="212" t="str">
        <f t="shared" si="5"/>
        <v>RUN-COMB_2022-06-08_RFR-059</v>
      </c>
      <c r="W1091" s="51"/>
      <c r="X1091" s="51"/>
      <c r="Y1091" s="147" t="str">
        <f t="shared" ref="Y1091:Z1091" si="2182">IF(_xlfn.ISFORMULA(S1091),IFERROR(0/0,""),TRUE)</f>
        <v/>
      </c>
      <c r="Z1091" s="147" t="str">
        <f t="shared" si="2182"/>
        <v/>
      </c>
    </row>
    <row r="1092">
      <c r="A1092" s="6" t="str">
        <f>IFERROR(__xludf.DUMMYFUNCTION("""COMPUTED_VALUE"""),"FM2154")</f>
        <v>FM2154</v>
      </c>
      <c r="B1092" s="206">
        <f>IFERROR(__xludf.DUMMYFUNCTION("""COMPUTED_VALUE"""),44720.0)</f>
        <v>44720</v>
      </c>
      <c r="C1092" s="207">
        <f>IFERROR(__xludf.DUMMYFUNCTION("""COMPUTED_VALUE"""),0.2803125)</f>
        <v>0.2803125</v>
      </c>
      <c r="D1092" s="50"/>
      <c r="E1092" s="58"/>
      <c r="F1092" s="58"/>
      <c r="G1092" s="58" t="str">
        <f>IFERROR(__xludf.DUMMYFUNCTION("""COMPUTED_VALUE"""),"Null")</f>
        <v>Null</v>
      </c>
      <c r="H1092" s="206" t="str">
        <f>IFERROR(__xludf.DUMMYFUNCTION("""COMPUTED_VALUE"""),"Negative")</f>
        <v>Negative</v>
      </c>
      <c r="I1092" s="207"/>
      <c r="J1092" s="50"/>
      <c r="K1092" s="50">
        <f>IFERROR(__xludf.DUMMYFUNCTION("""COMPUTED_VALUE"""),2.0)</f>
        <v>2</v>
      </c>
      <c r="L1092" s="6"/>
      <c r="M1092" s="55"/>
      <c r="N1092" s="55">
        <f>IFERROR(__xludf.DUMMYFUNCTION("""COMPUTED_VALUE"""),1.0)</f>
        <v>1</v>
      </c>
      <c r="O1092" s="55" t="str">
        <f t="shared" si="3"/>
        <v/>
      </c>
      <c r="P1092" s="209"/>
      <c r="Q1092" s="75" t="b">
        <f>VLOOKUP($B1092,'Run Reconcile'!B$2:P1679,15,FALSE)</f>
        <v>1</v>
      </c>
      <c r="R1092" s="211" t="str">
        <f t="array" ref="R1092">IF($Q1092, INDEX('Run Reconcile'!A$2:A1679,MATCH(B1092,'Run Reconcile'!B$2:B1679,0),1),IFERROR(0/0,""))</f>
        <v>RUN-COMB_2022-06-08_RFR-059</v>
      </c>
      <c r="S1092" s="165" t="str">
        <f t="shared" ref="S1092:T1092" si="2183">IF(COUNTIF(W$2:W1679, $A1092) &gt; 0,TRUE,IFERROR(0/0,""))</f>
        <v/>
      </c>
      <c r="T1092" s="165" t="str">
        <f t="shared" si="2183"/>
        <v/>
      </c>
      <c r="U1092" s="147" t="str">
        <f t="array" ref="U1092">IF(ISBLANK($R1092), IF($S1092,VLOOKUP($B1092+1,'RFR Data - preExcl'!$BF$2:$BG1679,2,FALSE),IF($T1092,INDEX('RFR Data - preExcl'!$BF$2:$BG1679,MATCH($B1092,'RFR Data - preExcl'!$BF$2:$BF1679,0)+1,2),VLOOKUP($B1092,'RFR Data - preExcl'!$BF$2:$BG1679,2,FALSE))),IFERROR(0/0,""))</f>
        <v/>
      </c>
      <c r="V1092" s="212" t="str">
        <f t="shared" si="5"/>
        <v>RUN-COMB_2022-06-08_RFR-059</v>
      </c>
      <c r="W1092" s="51"/>
      <c r="X1092" s="51"/>
      <c r="Y1092" s="147" t="str">
        <f t="shared" ref="Y1092:Z1092" si="2184">IF(_xlfn.ISFORMULA(S1092),IFERROR(0/0,""),TRUE)</f>
        <v/>
      </c>
      <c r="Z1092" s="147" t="str">
        <f t="shared" si="2184"/>
        <v/>
      </c>
    </row>
    <row r="1093">
      <c r="A1093" s="6" t="str">
        <f>IFERROR(__xludf.DUMMYFUNCTION("""COMPUTED_VALUE"""),"FM2194")</f>
        <v>FM2194</v>
      </c>
      <c r="B1093" s="206">
        <f>IFERROR(__xludf.DUMMYFUNCTION("""COMPUTED_VALUE"""),44720.0)</f>
        <v>44720</v>
      </c>
      <c r="C1093" s="207">
        <f>IFERROR(__xludf.DUMMYFUNCTION("""COMPUTED_VALUE"""),0.2808101851851852)</f>
        <v>0.2808101852</v>
      </c>
      <c r="D1093" s="50"/>
      <c r="E1093" s="58"/>
      <c r="F1093" s="58"/>
      <c r="G1093" s="58" t="str">
        <f>IFERROR(__xludf.DUMMYFUNCTION("""COMPUTED_VALUE"""),"Null")</f>
        <v>Null</v>
      </c>
      <c r="H1093" s="206" t="str">
        <f>IFERROR(__xludf.DUMMYFUNCTION("""COMPUTED_VALUE"""),"Negative")</f>
        <v>Negative</v>
      </c>
      <c r="I1093" s="207"/>
      <c r="J1093" s="50"/>
      <c r="K1093" s="50">
        <f>IFERROR(__xludf.DUMMYFUNCTION("""COMPUTED_VALUE"""),2.0)</f>
        <v>2</v>
      </c>
      <c r="L1093" s="6"/>
      <c r="M1093" s="55"/>
      <c r="N1093" s="55">
        <f>IFERROR(__xludf.DUMMYFUNCTION("""COMPUTED_VALUE"""),1.0)</f>
        <v>1</v>
      </c>
      <c r="O1093" s="55" t="str">
        <f t="shared" si="3"/>
        <v/>
      </c>
      <c r="P1093" s="209"/>
      <c r="Q1093" s="75" t="b">
        <f>VLOOKUP($B1093,'Run Reconcile'!B$2:P1679,15,FALSE)</f>
        <v>1</v>
      </c>
      <c r="R1093" s="211" t="str">
        <f t="array" ref="R1093">IF($Q1093, INDEX('Run Reconcile'!A$2:A1679,MATCH(B1093,'Run Reconcile'!B$2:B1679,0),1),IFERROR(0/0,""))</f>
        <v>RUN-COMB_2022-06-08_RFR-059</v>
      </c>
      <c r="S1093" s="165" t="str">
        <f t="shared" ref="S1093:T1093" si="2185">IF(COUNTIF(W$2:W1679, $A1093) &gt; 0,TRUE,IFERROR(0/0,""))</f>
        <v/>
      </c>
      <c r="T1093" s="165" t="str">
        <f t="shared" si="2185"/>
        <v/>
      </c>
      <c r="U1093" s="147" t="str">
        <f t="array" ref="U1093">IF(ISBLANK($R1093), IF($S1093,VLOOKUP($B1093+1,'RFR Data - preExcl'!$BF$2:$BG1679,2,FALSE),IF($T1093,INDEX('RFR Data - preExcl'!$BF$2:$BG1679,MATCH($B1093,'RFR Data - preExcl'!$BF$2:$BF1679,0)+1,2),VLOOKUP($B1093,'RFR Data - preExcl'!$BF$2:$BG1679,2,FALSE))),IFERROR(0/0,""))</f>
        <v/>
      </c>
      <c r="V1093" s="212" t="str">
        <f t="shared" si="5"/>
        <v>RUN-COMB_2022-06-08_RFR-059</v>
      </c>
      <c r="W1093" s="51"/>
      <c r="X1093" s="51"/>
      <c r="Y1093" s="147" t="str">
        <f t="shared" ref="Y1093:Z1093" si="2186">IF(_xlfn.ISFORMULA(S1093),IFERROR(0/0,""),TRUE)</f>
        <v/>
      </c>
      <c r="Z1093" s="147" t="str">
        <f t="shared" si="2186"/>
        <v/>
      </c>
    </row>
    <row r="1094">
      <c r="A1094" s="6" t="str">
        <f>IFERROR(__xludf.DUMMYFUNCTION("""COMPUTED_VALUE"""),"FM2859")</f>
        <v>FM2859</v>
      </c>
      <c r="B1094" s="206">
        <f>IFERROR(__xludf.DUMMYFUNCTION("""COMPUTED_VALUE"""),44720.0)</f>
        <v>44720</v>
      </c>
      <c r="C1094" s="207">
        <f>IFERROR(__xludf.DUMMYFUNCTION("""COMPUTED_VALUE"""),0.2811574074074074)</f>
        <v>0.2811574074</v>
      </c>
      <c r="D1094" s="50"/>
      <c r="E1094" s="58"/>
      <c r="F1094" s="58"/>
      <c r="G1094" s="58" t="str">
        <f>IFERROR(__xludf.DUMMYFUNCTION("""COMPUTED_VALUE"""),"Null")</f>
        <v>Null</v>
      </c>
      <c r="H1094" s="206" t="str">
        <f>IFERROR(__xludf.DUMMYFUNCTION("""COMPUTED_VALUE"""),"Negative")</f>
        <v>Negative</v>
      </c>
      <c r="I1094" s="207"/>
      <c r="J1094" s="50"/>
      <c r="K1094" s="50">
        <f>IFERROR(__xludf.DUMMYFUNCTION("""COMPUTED_VALUE"""),2.0)</f>
        <v>2</v>
      </c>
      <c r="L1094" s="6"/>
      <c r="M1094" s="55"/>
      <c r="N1094" s="55">
        <f>IFERROR(__xludf.DUMMYFUNCTION("""COMPUTED_VALUE"""),1.0)</f>
        <v>1</v>
      </c>
      <c r="O1094" s="55" t="str">
        <f t="shared" si="3"/>
        <v/>
      </c>
      <c r="P1094" s="209"/>
      <c r="Q1094" s="75" t="b">
        <f>VLOOKUP($B1094,'Run Reconcile'!B$2:P1679,15,FALSE)</f>
        <v>1</v>
      </c>
      <c r="R1094" s="211" t="str">
        <f t="array" ref="R1094">IF($Q1094, INDEX('Run Reconcile'!A$2:A1679,MATCH(B1094,'Run Reconcile'!B$2:B1679,0),1),IFERROR(0/0,""))</f>
        <v>RUN-COMB_2022-06-08_RFR-059</v>
      </c>
      <c r="S1094" s="165" t="str">
        <f t="shared" ref="S1094:T1094" si="2187">IF(COUNTIF(W$2:W1679, $A1094) &gt; 0,TRUE,IFERROR(0/0,""))</f>
        <v/>
      </c>
      <c r="T1094" s="165" t="str">
        <f t="shared" si="2187"/>
        <v/>
      </c>
      <c r="U1094" s="147" t="str">
        <f t="array" ref="U1094">IF(ISBLANK($R1094), IF($S1094,VLOOKUP($B1094+1,'RFR Data - preExcl'!$BF$2:$BG1679,2,FALSE),IF($T1094,INDEX('RFR Data - preExcl'!$BF$2:$BG1679,MATCH($B1094,'RFR Data - preExcl'!$BF$2:$BF1679,0)+1,2),VLOOKUP($B1094,'RFR Data - preExcl'!$BF$2:$BG1679,2,FALSE))),IFERROR(0/0,""))</f>
        <v/>
      </c>
      <c r="V1094" s="212" t="str">
        <f t="shared" si="5"/>
        <v>RUN-COMB_2022-06-08_RFR-059</v>
      </c>
      <c r="W1094" s="51"/>
      <c r="X1094" s="51"/>
      <c r="Y1094" s="147" t="str">
        <f t="shared" ref="Y1094:Z1094" si="2188">IF(_xlfn.ISFORMULA(S1094),IFERROR(0/0,""),TRUE)</f>
        <v/>
      </c>
      <c r="Z1094" s="147" t="str">
        <f t="shared" si="2188"/>
        <v/>
      </c>
    </row>
    <row r="1095">
      <c r="A1095" s="6" t="str">
        <f>IFERROR(__xludf.DUMMYFUNCTION("""COMPUTED_VALUE"""),"FM2126")</f>
        <v>FM2126</v>
      </c>
      <c r="B1095" s="206">
        <f>IFERROR(__xludf.DUMMYFUNCTION("""COMPUTED_VALUE"""),44720.0)</f>
        <v>44720</v>
      </c>
      <c r="C1095" s="207">
        <f>IFERROR(__xludf.DUMMYFUNCTION("""COMPUTED_VALUE"""),0.28152777777777777)</f>
        <v>0.2815277778</v>
      </c>
      <c r="D1095" s="50"/>
      <c r="E1095" s="58"/>
      <c r="F1095" s="58"/>
      <c r="G1095" s="58" t="str">
        <f>IFERROR(__xludf.DUMMYFUNCTION("""COMPUTED_VALUE"""),"Null")</f>
        <v>Null</v>
      </c>
      <c r="H1095" s="206" t="str">
        <f>IFERROR(__xludf.DUMMYFUNCTION("""COMPUTED_VALUE"""),"Negative")</f>
        <v>Negative</v>
      </c>
      <c r="I1095" s="207"/>
      <c r="J1095" s="50"/>
      <c r="K1095" s="50">
        <f>IFERROR(__xludf.DUMMYFUNCTION("""COMPUTED_VALUE"""),2.0)</f>
        <v>2</v>
      </c>
      <c r="L1095" s="6"/>
      <c r="M1095" s="55"/>
      <c r="N1095" s="55">
        <f>IFERROR(__xludf.DUMMYFUNCTION("""COMPUTED_VALUE"""),1.0)</f>
        <v>1</v>
      </c>
      <c r="O1095" s="55" t="str">
        <f t="shared" si="3"/>
        <v/>
      </c>
      <c r="P1095" s="209"/>
      <c r="Q1095" s="75" t="b">
        <f>VLOOKUP($B1095,'Run Reconcile'!B$2:P1679,15,FALSE)</f>
        <v>1</v>
      </c>
      <c r="R1095" s="211" t="str">
        <f t="array" ref="R1095">IF($Q1095, INDEX('Run Reconcile'!A$2:A1679,MATCH(B1095,'Run Reconcile'!B$2:B1679,0),1),IFERROR(0/0,""))</f>
        <v>RUN-COMB_2022-06-08_RFR-059</v>
      </c>
      <c r="S1095" s="165" t="str">
        <f t="shared" ref="S1095:T1095" si="2189">IF(COUNTIF(W$2:W1679, $A1095) &gt; 0,TRUE,IFERROR(0/0,""))</f>
        <v/>
      </c>
      <c r="T1095" s="165" t="str">
        <f t="shared" si="2189"/>
        <v/>
      </c>
      <c r="U1095" s="147" t="str">
        <f t="array" ref="U1095">IF(ISBLANK($R1095), IF($S1095,VLOOKUP($B1095+1,'RFR Data - preExcl'!$BF$2:$BG1679,2,FALSE),IF($T1095,INDEX('RFR Data - preExcl'!$BF$2:$BG1679,MATCH($B1095,'RFR Data - preExcl'!$BF$2:$BF1679,0)+1,2),VLOOKUP($B1095,'RFR Data - preExcl'!$BF$2:$BG1679,2,FALSE))),IFERROR(0/0,""))</f>
        <v/>
      </c>
      <c r="V1095" s="212" t="str">
        <f t="shared" si="5"/>
        <v>RUN-COMB_2022-06-08_RFR-059</v>
      </c>
      <c r="W1095" s="51"/>
      <c r="X1095" s="51"/>
      <c r="Y1095" s="147" t="str">
        <f t="shared" ref="Y1095:Z1095" si="2190">IF(_xlfn.ISFORMULA(S1095),IFERROR(0/0,""),TRUE)</f>
        <v/>
      </c>
      <c r="Z1095" s="147" t="str">
        <f t="shared" si="2190"/>
        <v/>
      </c>
    </row>
    <row r="1096">
      <c r="A1096" s="6" t="str">
        <f>IFERROR(__xludf.DUMMYFUNCTION("""COMPUTED_VALUE"""),"FM2913")</f>
        <v>FM2913</v>
      </c>
      <c r="B1096" s="206">
        <f>IFERROR(__xludf.DUMMYFUNCTION("""COMPUTED_VALUE"""),44720.0)</f>
        <v>44720</v>
      </c>
      <c r="C1096" s="207">
        <f>IFERROR(__xludf.DUMMYFUNCTION("""COMPUTED_VALUE"""),0.28197916666666667)</f>
        <v>0.2819791667</v>
      </c>
      <c r="D1096" s="50"/>
      <c r="E1096" s="58"/>
      <c r="F1096" s="58"/>
      <c r="G1096" s="58" t="str">
        <f>IFERROR(__xludf.DUMMYFUNCTION("""COMPUTED_VALUE"""),"Null")</f>
        <v>Null</v>
      </c>
      <c r="H1096" s="206" t="str">
        <f>IFERROR(__xludf.DUMMYFUNCTION("""COMPUTED_VALUE"""),"Negative")</f>
        <v>Negative</v>
      </c>
      <c r="I1096" s="207"/>
      <c r="J1096" s="50"/>
      <c r="K1096" s="50">
        <f>IFERROR(__xludf.DUMMYFUNCTION("""COMPUTED_VALUE"""),2.0)</f>
        <v>2</v>
      </c>
      <c r="L1096" s="6"/>
      <c r="M1096" s="55"/>
      <c r="N1096" s="55">
        <f>IFERROR(__xludf.DUMMYFUNCTION("""COMPUTED_VALUE"""),1.0)</f>
        <v>1</v>
      </c>
      <c r="O1096" s="55" t="str">
        <f t="shared" si="3"/>
        <v/>
      </c>
      <c r="P1096" s="209"/>
      <c r="Q1096" s="75" t="b">
        <f>VLOOKUP($B1096,'Run Reconcile'!B$2:P1679,15,FALSE)</f>
        <v>1</v>
      </c>
      <c r="R1096" s="211" t="str">
        <f t="array" ref="R1096">IF($Q1096, INDEX('Run Reconcile'!A$2:A1679,MATCH(B1096,'Run Reconcile'!B$2:B1679,0),1),IFERROR(0/0,""))</f>
        <v>RUN-COMB_2022-06-08_RFR-059</v>
      </c>
      <c r="S1096" s="165" t="str">
        <f t="shared" ref="S1096:T1096" si="2191">IF(COUNTIF(W$2:W1679, $A1096) &gt; 0,TRUE,IFERROR(0/0,""))</f>
        <v/>
      </c>
      <c r="T1096" s="165" t="str">
        <f t="shared" si="2191"/>
        <v/>
      </c>
      <c r="U1096" s="147" t="str">
        <f t="array" ref="U1096">IF(ISBLANK($R1096), IF($S1096,VLOOKUP($B1096+1,'RFR Data - preExcl'!$BF$2:$BG1679,2,FALSE),IF($T1096,INDEX('RFR Data - preExcl'!$BF$2:$BG1679,MATCH($B1096,'RFR Data - preExcl'!$BF$2:$BF1679,0)+1,2),VLOOKUP($B1096,'RFR Data - preExcl'!$BF$2:$BG1679,2,FALSE))),IFERROR(0/0,""))</f>
        <v/>
      </c>
      <c r="V1096" s="212" t="str">
        <f t="shared" si="5"/>
        <v>RUN-COMB_2022-06-08_RFR-059</v>
      </c>
      <c r="W1096" s="51"/>
      <c r="X1096" s="51"/>
      <c r="Y1096" s="147" t="str">
        <f t="shared" ref="Y1096:Z1096" si="2192">IF(_xlfn.ISFORMULA(S1096),IFERROR(0/0,""),TRUE)</f>
        <v/>
      </c>
      <c r="Z1096" s="147" t="str">
        <f t="shared" si="2192"/>
        <v/>
      </c>
    </row>
    <row r="1097">
      <c r="A1097" s="6" t="str">
        <f>IFERROR(__xludf.DUMMYFUNCTION("""COMPUTED_VALUE"""),"FM2133")</f>
        <v>FM2133</v>
      </c>
      <c r="B1097" s="206">
        <f>IFERROR(__xludf.DUMMYFUNCTION("""COMPUTED_VALUE"""),44720.0)</f>
        <v>44720</v>
      </c>
      <c r="C1097" s="207">
        <f>IFERROR(__xludf.DUMMYFUNCTION("""COMPUTED_VALUE"""),0.2824421296296296)</f>
        <v>0.2824421296</v>
      </c>
      <c r="D1097" s="50"/>
      <c r="E1097" s="58"/>
      <c r="F1097" s="58"/>
      <c r="G1097" s="58" t="str">
        <f>IFERROR(__xludf.DUMMYFUNCTION("""COMPUTED_VALUE"""),"Null")</f>
        <v>Null</v>
      </c>
      <c r="H1097" s="206" t="str">
        <f>IFERROR(__xludf.DUMMYFUNCTION("""COMPUTED_VALUE"""),"Negative")</f>
        <v>Negative</v>
      </c>
      <c r="I1097" s="207"/>
      <c r="J1097" s="50"/>
      <c r="K1097" s="50">
        <f>IFERROR(__xludf.DUMMYFUNCTION("""COMPUTED_VALUE"""),2.0)</f>
        <v>2</v>
      </c>
      <c r="L1097" s="6"/>
      <c r="M1097" s="55"/>
      <c r="N1097" s="55">
        <f>IFERROR(__xludf.DUMMYFUNCTION("""COMPUTED_VALUE"""),1.0)</f>
        <v>1</v>
      </c>
      <c r="O1097" s="55" t="str">
        <f t="shared" si="3"/>
        <v/>
      </c>
      <c r="P1097" s="209"/>
      <c r="Q1097" s="75" t="b">
        <f>VLOOKUP($B1097,'Run Reconcile'!B$2:P1679,15,FALSE)</f>
        <v>1</v>
      </c>
      <c r="R1097" s="211" t="str">
        <f t="array" ref="R1097">IF($Q1097, INDEX('Run Reconcile'!A$2:A1679,MATCH(B1097,'Run Reconcile'!B$2:B1679,0),1),IFERROR(0/0,""))</f>
        <v>RUN-COMB_2022-06-08_RFR-059</v>
      </c>
      <c r="S1097" s="165" t="str">
        <f t="shared" ref="S1097:T1097" si="2193">IF(COUNTIF(W$2:W1679, $A1097) &gt; 0,TRUE,IFERROR(0/0,""))</f>
        <v/>
      </c>
      <c r="T1097" s="165" t="str">
        <f t="shared" si="2193"/>
        <v/>
      </c>
      <c r="U1097" s="147" t="str">
        <f t="array" ref="U1097">IF(ISBLANK($R1097), IF($S1097,VLOOKUP($B1097+1,'RFR Data - preExcl'!$BF$2:$BG1679,2,FALSE),IF($T1097,INDEX('RFR Data - preExcl'!$BF$2:$BG1679,MATCH($B1097,'RFR Data - preExcl'!$BF$2:$BF1679,0)+1,2),VLOOKUP($B1097,'RFR Data - preExcl'!$BF$2:$BG1679,2,FALSE))),IFERROR(0/0,""))</f>
        <v/>
      </c>
      <c r="V1097" s="212" t="str">
        <f t="shared" si="5"/>
        <v>RUN-COMB_2022-06-08_RFR-059</v>
      </c>
      <c r="W1097" s="51"/>
      <c r="X1097" s="51"/>
      <c r="Y1097" s="147" t="str">
        <f t="shared" ref="Y1097:Z1097" si="2194">IF(_xlfn.ISFORMULA(S1097),IFERROR(0/0,""),TRUE)</f>
        <v/>
      </c>
      <c r="Z1097" s="147" t="str">
        <f t="shared" si="2194"/>
        <v/>
      </c>
    </row>
    <row r="1098">
      <c r="A1098" s="6" t="str">
        <f>IFERROR(__xludf.DUMMYFUNCTION("""COMPUTED_VALUE"""),"FM2214")</f>
        <v>FM2214</v>
      </c>
      <c r="B1098" s="206">
        <f>IFERROR(__xludf.DUMMYFUNCTION("""COMPUTED_VALUE"""),44721.0)</f>
        <v>44721</v>
      </c>
      <c r="C1098" s="207">
        <f>IFERROR(__xludf.DUMMYFUNCTION("""COMPUTED_VALUE"""),0.25850694444444444)</f>
        <v>0.2585069444</v>
      </c>
      <c r="D1098" s="50"/>
      <c r="E1098" s="58"/>
      <c r="F1098" s="58"/>
      <c r="G1098" s="58" t="str">
        <f>IFERROR(__xludf.DUMMYFUNCTION("""COMPUTED_VALUE"""),"Null")</f>
        <v>Null</v>
      </c>
      <c r="H1098" s="206" t="str">
        <f>IFERROR(__xludf.DUMMYFUNCTION("""COMPUTED_VALUE"""),"Negative")</f>
        <v>Negative</v>
      </c>
      <c r="I1098" s="207"/>
      <c r="J1098" s="50"/>
      <c r="K1098" s="50">
        <f>IFERROR(__xludf.DUMMYFUNCTION("""COMPUTED_VALUE"""),2.0)</f>
        <v>2</v>
      </c>
      <c r="L1098" s="6"/>
      <c r="M1098" s="55"/>
      <c r="N1098" s="55">
        <f>IFERROR(__xludf.DUMMYFUNCTION("""COMPUTED_VALUE"""),1.0)</f>
        <v>1</v>
      </c>
      <c r="O1098" s="55" t="b">
        <f t="shared" si="3"/>
        <v>1</v>
      </c>
      <c r="P1098" s="209"/>
      <c r="Q1098" s="75" t="b">
        <f>VLOOKUP($B1098,'Run Reconcile'!B$2:P1679,15,FALSE)</f>
        <v>1</v>
      </c>
      <c r="R1098" s="211" t="str">
        <f t="array" ref="R1098">IF($Q1098, INDEX('Run Reconcile'!A$2:A1679,MATCH(B1098,'Run Reconcile'!B$2:B1679,0),1),IFERROR(0/0,""))</f>
        <v>RUN-COMB_2022-06-09_RFR-060</v>
      </c>
      <c r="S1098" s="165" t="str">
        <f t="shared" ref="S1098:T1098" si="2195">IF(COUNTIF(W$2:W1679, $A1098) &gt; 0,TRUE,IFERROR(0/0,""))</f>
        <v/>
      </c>
      <c r="T1098" s="165" t="str">
        <f t="shared" si="2195"/>
        <v/>
      </c>
      <c r="U1098" s="147" t="str">
        <f t="array" ref="U1098">IF(ISBLANK($R1098), IF($S1098,VLOOKUP($B1098+1,'RFR Data - preExcl'!$BF$2:$BG1679,2,FALSE),IF($T1098,INDEX('RFR Data - preExcl'!$BF$2:$BG1679,MATCH($B1098,'RFR Data - preExcl'!$BF$2:$BF1679,0)+1,2),VLOOKUP($B1098,'RFR Data - preExcl'!$BF$2:$BG1679,2,FALSE))),IFERROR(0/0,""))</f>
        <v/>
      </c>
      <c r="V1098" s="212" t="str">
        <f t="shared" si="5"/>
        <v>RUN-COMB_2022-06-09_RFR-060</v>
      </c>
      <c r="W1098" s="51"/>
      <c r="X1098" s="51"/>
      <c r="Y1098" s="147" t="str">
        <f t="shared" ref="Y1098:Z1098" si="2196">IF(_xlfn.ISFORMULA(S1098),IFERROR(0/0,""),TRUE)</f>
        <v/>
      </c>
      <c r="Z1098" s="147" t="str">
        <f t="shared" si="2196"/>
        <v/>
      </c>
    </row>
    <row r="1099">
      <c r="A1099" s="6" t="str">
        <f>IFERROR(__xludf.DUMMYFUNCTION("""COMPUTED_VALUE"""),"FM2179")</f>
        <v>FM2179</v>
      </c>
      <c r="B1099" s="206">
        <f>IFERROR(__xludf.DUMMYFUNCTION("""COMPUTED_VALUE"""),44721.0)</f>
        <v>44721</v>
      </c>
      <c r="C1099" s="207">
        <f>IFERROR(__xludf.DUMMYFUNCTION("""COMPUTED_VALUE"""),0.25886574074074076)</f>
        <v>0.2588657407</v>
      </c>
      <c r="D1099" s="50"/>
      <c r="E1099" s="58"/>
      <c r="F1099" s="58"/>
      <c r="G1099" s="58" t="str">
        <f>IFERROR(__xludf.DUMMYFUNCTION("""COMPUTED_VALUE"""),"Null")</f>
        <v>Null</v>
      </c>
      <c r="H1099" s="206" t="str">
        <f>IFERROR(__xludf.DUMMYFUNCTION("""COMPUTED_VALUE"""),"Negative")</f>
        <v>Negative</v>
      </c>
      <c r="I1099" s="207"/>
      <c r="J1099" s="50"/>
      <c r="K1099" s="50">
        <f>IFERROR(__xludf.DUMMYFUNCTION("""COMPUTED_VALUE"""),2.0)</f>
        <v>2</v>
      </c>
      <c r="L1099" s="6"/>
      <c r="M1099" s="55"/>
      <c r="N1099" s="55">
        <f>IFERROR(__xludf.DUMMYFUNCTION("""COMPUTED_VALUE"""),1.0)</f>
        <v>1</v>
      </c>
      <c r="O1099" s="55" t="str">
        <f t="shared" si="3"/>
        <v/>
      </c>
      <c r="P1099" s="209"/>
      <c r="Q1099" s="75" t="b">
        <f>VLOOKUP($B1099,'Run Reconcile'!B$2:P1679,15,FALSE)</f>
        <v>1</v>
      </c>
      <c r="R1099" s="211" t="str">
        <f t="array" ref="R1099">IF($Q1099, INDEX('Run Reconcile'!A$2:A1679,MATCH(B1099,'Run Reconcile'!B$2:B1679,0),1),IFERROR(0/0,""))</f>
        <v>RUN-COMB_2022-06-09_RFR-060</v>
      </c>
      <c r="S1099" s="165" t="str">
        <f t="shared" ref="S1099:T1099" si="2197">IF(COUNTIF(W$2:W1679, $A1099) &gt; 0,TRUE,IFERROR(0/0,""))</f>
        <v/>
      </c>
      <c r="T1099" s="165" t="str">
        <f t="shared" si="2197"/>
        <v/>
      </c>
      <c r="U1099" s="147" t="str">
        <f t="array" ref="U1099">IF(ISBLANK($R1099), IF($S1099,VLOOKUP($B1099+1,'RFR Data - preExcl'!$BF$2:$BG1679,2,FALSE),IF($T1099,INDEX('RFR Data - preExcl'!$BF$2:$BG1679,MATCH($B1099,'RFR Data - preExcl'!$BF$2:$BF1679,0)+1,2),VLOOKUP($B1099,'RFR Data - preExcl'!$BF$2:$BG1679,2,FALSE))),IFERROR(0/0,""))</f>
        <v/>
      </c>
      <c r="V1099" s="212" t="str">
        <f t="shared" si="5"/>
        <v>RUN-COMB_2022-06-09_RFR-060</v>
      </c>
      <c r="W1099" s="51"/>
      <c r="X1099" s="51"/>
      <c r="Y1099" s="147" t="str">
        <f t="shared" ref="Y1099:Z1099" si="2198">IF(_xlfn.ISFORMULA(S1099),IFERROR(0/0,""),TRUE)</f>
        <v/>
      </c>
      <c r="Z1099" s="147" t="str">
        <f t="shared" si="2198"/>
        <v/>
      </c>
    </row>
    <row r="1100">
      <c r="A1100" s="6" t="str">
        <f>IFERROR(__xludf.DUMMYFUNCTION("""COMPUTED_VALUE"""),"FM2107")</f>
        <v>FM2107</v>
      </c>
      <c r="B1100" s="206">
        <f>IFERROR(__xludf.DUMMYFUNCTION("""COMPUTED_VALUE"""),44721.0)</f>
        <v>44721</v>
      </c>
      <c r="C1100" s="207">
        <f>IFERROR(__xludf.DUMMYFUNCTION("""COMPUTED_VALUE"""),0.26101851851851854)</f>
        <v>0.2610185185</v>
      </c>
      <c r="D1100" s="50"/>
      <c r="E1100" s="58"/>
      <c r="F1100" s="58"/>
      <c r="G1100" s="58" t="str">
        <f>IFERROR(__xludf.DUMMYFUNCTION("""COMPUTED_VALUE"""),"Null")</f>
        <v>Null</v>
      </c>
      <c r="H1100" s="206" t="str">
        <f>IFERROR(__xludf.DUMMYFUNCTION("""COMPUTED_VALUE"""),"Negative")</f>
        <v>Negative</v>
      </c>
      <c r="I1100" s="207"/>
      <c r="J1100" s="50"/>
      <c r="K1100" s="50">
        <f>IFERROR(__xludf.DUMMYFUNCTION("""COMPUTED_VALUE"""),2.0)</f>
        <v>2</v>
      </c>
      <c r="L1100" s="6"/>
      <c r="M1100" s="55"/>
      <c r="N1100" s="55">
        <f>IFERROR(__xludf.DUMMYFUNCTION("""COMPUTED_VALUE"""),1.0)</f>
        <v>1</v>
      </c>
      <c r="O1100" s="55" t="str">
        <f t="shared" si="3"/>
        <v/>
      </c>
      <c r="P1100" s="209"/>
      <c r="Q1100" s="75" t="b">
        <f>VLOOKUP($B1100,'Run Reconcile'!B$2:P1679,15,FALSE)</f>
        <v>1</v>
      </c>
      <c r="R1100" s="211" t="str">
        <f t="array" ref="R1100">IF($Q1100, INDEX('Run Reconcile'!A$2:A1679,MATCH(B1100,'Run Reconcile'!B$2:B1679,0),1),IFERROR(0/0,""))</f>
        <v>RUN-COMB_2022-06-09_RFR-060</v>
      </c>
      <c r="S1100" s="165" t="str">
        <f t="shared" ref="S1100:T1100" si="2199">IF(COUNTIF(W$2:W1679, $A1100) &gt; 0,TRUE,IFERROR(0/0,""))</f>
        <v/>
      </c>
      <c r="T1100" s="165" t="str">
        <f t="shared" si="2199"/>
        <v/>
      </c>
      <c r="U1100" s="147" t="str">
        <f t="array" ref="U1100">IF(ISBLANK($R1100), IF($S1100,VLOOKUP($B1100+1,'RFR Data - preExcl'!$BF$2:$BG1679,2,FALSE),IF($T1100,INDEX('RFR Data - preExcl'!$BF$2:$BG1679,MATCH($B1100,'RFR Data - preExcl'!$BF$2:$BF1679,0)+1,2),VLOOKUP($B1100,'RFR Data - preExcl'!$BF$2:$BG1679,2,FALSE))),IFERROR(0/0,""))</f>
        <v/>
      </c>
      <c r="V1100" s="212" t="str">
        <f t="shared" si="5"/>
        <v>RUN-COMB_2022-06-09_RFR-060</v>
      </c>
      <c r="W1100" s="51"/>
      <c r="X1100" s="51"/>
      <c r="Y1100" s="147" t="str">
        <f t="shared" ref="Y1100:Z1100" si="2200">IF(_xlfn.ISFORMULA(S1100),IFERROR(0/0,""),TRUE)</f>
        <v/>
      </c>
      <c r="Z1100" s="147" t="str">
        <f t="shared" si="2200"/>
        <v/>
      </c>
    </row>
    <row r="1101">
      <c r="A1101" s="6" t="str">
        <f>IFERROR(__xludf.DUMMYFUNCTION("""COMPUTED_VALUE"""),"FM2890")</f>
        <v>FM2890</v>
      </c>
      <c r="B1101" s="206">
        <f>IFERROR(__xludf.DUMMYFUNCTION("""COMPUTED_VALUE"""),44721.0)</f>
        <v>44721</v>
      </c>
      <c r="C1101" s="207">
        <f>IFERROR(__xludf.DUMMYFUNCTION("""COMPUTED_VALUE"""),0.27149305555555553)</f>
        <v>0.2714930556</v>
      </c>
      <c r="D1101" s="50"/>
      <c r="E1101" s="58"/>
      <c r="F1101" s="58"/>
      <c r="G1101" s="58" t="str">
        <f>IFERROR(__xludf.DUMMYFUNCTION("""COMPUTED_VALUE"""),"Null")</f>
        <v>Null</v>
      </c>
      <c r="H1101" s="206" t="str">
        <f>IFERROR(__xludf.DUMMYFUNCTION("""COMPUTED_VALUE"""),"Negative")</f>
        <v>Negative</v>
      </c>
      <c r="I1101" s="207"/>
      <c r="J1101" s="50"/>
      <c r="K1101" s="50">
        <f>IFERROR(__xludf.DUMMYFUNCTION("""COMPUTED_VALUE"""),2.0)</f>
        <v>2</v>
      </c>
      <c r="L1101" s="6"/>
      <c r="M1101" s="55"/>
      <c r="N1101" s="55">
        <f>IFERROR(__xludf.DUMMYFUNCTION("""COMPUTED_VALUE"""),1.0)</f>
        <v>1</v>
      </c>
      <c r="O1101" s="55" t="str">
        <f t="shared" si="3"/>
        <v/>
      </c>
      <c r="P1101" s="209"/>
      <c r="Q1101" s="75" t="b">
        <f>VLOOKUP($B1101,'Run Reconcile'!B$2:P1679,15,FALSE)</f>
        <v>1</v>
      </c>
      <c r="R1101" s="211" t="str">
        <f t="array" ref="R1101">IF($Q1101, INDEX('Run Reconcile'!A$2:A1679,MATCH(B1101,'Run Reconcile'!B$2:B1679,0),1),IFERROR(0/0,""))</f>
        <v>RUN-COMB_2022-06-09_RFR-060</v>
      </c>
      <c r="S1101" s="165" t="str">
        <f t="shared" ref="S1101:T1101" si="2201">IF(COUNTIF(W$2:W1679, $A1101) &gt; 0,TRUE,IFERROR(0/0,""))</f>
        <v/>
      </c>
      <c r="T1101" s="165" t="str">
        <f t="shared" si="2201"/>
        <v/>
      </c>
      <c r="U1101" s="147" t="str">
        <f t="array" ref="U1101">IF(ISBLANK($R1101), IF($S1101,VLOOKUP($B1101+1,'RFR Data - preExcl'!$BF$2:$BG1679,2,FALSE),IF($T1101,INDEX('RFR Data - preExcl'!$BF$2:$BG1679,MATCH($B1101,'RFR Data - preExcl'!$BF$2:$BF1679,0)+1,2),VLOOKUP($B1101,'RFR Data - preExcl'!$BF$2:$BG1679,2,FALSE))),IFERROR(0/0,""))</f>
        <v/>
      </c>
      <c r="V1101" s="212" t="str">
        <f t="shared" si="5"/>
        <v>RUN-COMB_2022-06-09_RFR-060</v>
      </c>
      <c r="W1101" s="51"/>
      <c r="X1101" s="51"/>
      <c r="Y1101" s="147" t="str">
        <f t="shared" ref="Y1101:Z1101" si="2202">IF(_xlfn.ISFORMULA(S1101),IFERROR(0/0,""),TRUE)</f>
        <v/>
      </c>
      <c r="Z1101" s="147" t="str">
        <f t="shared" si="2202"/>
        <v/>
      </c>
    </row>
    <row r="1102">
      <c r="A1102" s="6" t="str">
        <f>IFERROR(__xludf.DUMMYFUNCTION("""COMPUTED_VALUE"""),"FM2186")</f>
        <v>FM2186</v>
      </c>
      <c r="B1102" s="206">
        <f>IFERROR(__xludf.DUMMYFUNCTION("""COMPUTED_VALUE"""),44721.0)</f>
        <v>44721</v>
      </c>
      <c r="C1102" s="207">
        <f>IFERROR(__xludf.DUMMYFUNCTION("""COMPUTED_VALUE"""),0.27194444444444443)</f>
        <v>0.2719444444</v>
      </c>
      <c r="D1102" s="50"/>
      <c r="E1102" s="58"/>
      <c r="F1102" s="58"/>
      <c r="G1102" s="58" t="str">
        <f>IFERROR(__xludf.DUMMYFUNCTION("""COMPUTED_VALUE"""),"Null")</f>
        <v>Null</v>
      </c>
      <c r="H1102" s="206" t="str">
        <f>IFERROR(__xludf.DUMMYFUNCTION("""COMPUTED_VALUE"""),"Negative")</f>
        <v>Negative</v>
      </c>
      <c r="I1102" s="207"/>
      <c r="J1102" s="50"/>
      <c r="K1102" s="50">
        <f>IFERROR(__xludf.DUMMYFUNCTION("""COMPUTED_VALUE"""),2.0)</f>
        <v>2</v>
      </c>
      <c r="L1102" s="6"/>
      <c r="M1102" s="55"/>
      <c r="N1102" s="55">
        <f>IFERROR(__xludf.DUMMYFUNCTION("""COMPUTED_VALUE"""),1.0)</f>
        <v>1</v>
      </c>
      <c r="O1102" s="55" t="str">
        <f t="shared" si="3"/>
        <v/>
      </c>
      <c r="P1102" s="209"/>
      <c r="Q1102" s="75" t="b">
        <f>VLOOKUP($B1102,'Run Reconcile'!B$2:P1679,15,FALSE)</f>
        <v>1</v>
      </c>
      <c r="R1102" s="211" t="str">
        <f t="array" ref="R1102">IF($Q1102, INDEX('Run Reconcile'!A$2:A1679,MATCH(B1102,'Run Reconcile'!B$2:B1679,0),1),IFERROR(0/0,""))</f>
        <v>RUN-COMB_2022-06-09_RFR-060</v>
      </c>
      <c r="S1102" s="165" t="str">
        <f t="shared" ref="S1102:T1102" si="2203">IF(COUNTIF(W$2:W1679, $A1102) &gt; 0,TRUE,IFERROR(0/0,""))</f>
        <v/>
      </c>
      <c r="T1102" s="165" t="str">
        <f t="shared" si="2203"/>
        <v/>
      </c>
      <c r="U1102" s="147" t="str">
        <f t="array" ref="U1102">IF(ISBLANK($R1102), IF($S1102,VLOOKUP($B1102+1,'RFR Data - preExcl'!$BF$2:$BG1679,2,FALSE),IF($T1102,INDEX('RFR Data - preExcl'!$BF$2:$BG1679,MATCH($B1102,'RFR Data - preExcl'!$BF$2:$BF1679,0)+1,2),VLOOKUP($B1102,'RFR Data - preExcl'!$BF$2:$BG1679,2,FALSE))),IFERROR(0/0,""))</f>
        <v/>
      </c>
      <c r="V1102" s="212" t="str">
        <f t="shared" si="5"/>
        <v>RUN-COMB_2022-06-09_RFR-060</v>
      </c>
      <c r="W1102" s="51"/>
      <c r="X1102" s="51"/>
      <c r="Y1102" s="147" t="str">
        <f t="shared" ref="Y1102:Z1102" si="2204">IF(_xlfn.ISFORMULA(S1102),IFERROR(0/0,""),TRUE)</f>
        <v/>
      </c>
      <c r="Z1102" s="147" t="str">
        <f t="shared" si="2204"/>
        <v/>
      </c>
    </row>
    <row r="1103">
      <c r="A1103" s="6" t="str">
        <f>IFERROR(__xludf.DUMMYFUNCTION("""COMPUTED_VALUE"""),"FM2143")</f>
        <v>FM2143</v>
      </c>
      <c r="B1103" s="206">
        <f>IFERROR(__xludf.DUMMYFUNCTION("""COMPUTED_VALUE"""),44721.0)</f>
        <v>44721</v>
      </c>
      <c r="C1103" s="207">
        <f>IFERROR(__xludf.DUMMYFUNCTION("""COMPUTED_VALUE"""),0.2723263888888889)</f>
        <v>0.2723263889</v>
      </c>
      <c r="D1103" s="50"/>
      <c r="E1103" s="58"/>
      <c r="F1103" s="58"/>
      <c r="G1103" s="58" t="str">
        <f>IFERROR(__xludf.DUMMYFUNCTION("""COMPUTED_VALUE"""),"Null")</f>
        <v>Null</v>
      </c>
      <c r="H1103" s="206" t="str">
        <f>IFERROR(__xludf.DUMMYFUNCTION("""COMPUTED_VALUE"""),"Negative")</f>
        <v>Negative</v>
      </c>
      <c r="I1103" s="207"/>
      <c r="J1103" s="50"/>
      <c r="K1103" s="50">
        <f>IFERROR(__xludf.DUMMYFUNCTION("""COMPUTED_VALUE"""),2.0)</f>
        <v>2</v>
      </c>
      <c r="L1103" s="6"/>
      <c r="M1103" s="55"/>
      <c r="N1103" s="55">
        <f>IFERROR(__xludf.DUMMYFUNCTION("""COMPUTED_VALUE"""),1.0)</f>
        <v>1</v>
      </c>
      <c r="O1103" s="55" t="str">
        <f t="shared" si="3"/>
        <v/>
      </c>
      <c r="P1103" s="209"/>
      <c r="Q1103" s="75" t="b">
        <f>VLOOKUP($B1103,'Run Reconcile'!B$2:P1679,15,FALSE)</f>
        <v>1</v>
      </c>
      <c r="R1103" s="211" t="str">
        <f t="array" ref="R1103">IF($Q1103, INDEX('Run Reconcile'!A$2:A1679,MATCH(B1103,'Run Reconcile'!B$2:B1679,0),1),IFERROR(0/0,""))</f>
        <v>RUN-COMB_2022-06-09_RFR-060</v>
      </c>
      <c r="S1103" s="165" t="str">
        <f t="shared" ref="S1103:T1103" si="2205">IF(COUNTIF(W$2:W1679, $A1103) &gt; 0,TRUE,IFERROR(0/0,""))</f>
        <v/>
      </c>
      <c r="T1103" s="165" t="str">
        <f t="shared" si="2205"/>
        <v/>
      </c>
      <c r="U1103" s="147" t="str">
        <f t="array" ref="U1103">IF(ISBLANK($R1103), IF($S1103,VLOOKUP($B1103+1,'RFR Data - preExcl'!$BF$2:$BG1679,2,FALSE),IF($T1103,INDEX('RFR Data - preExcl'!$BF$2:$BG1679,MATCH($B1103,'RFR Data - preExcl'!$BF$2:$BF1679,0)+1,2),VLOOKUP($B1103,'RFR Data - preExcl'!$BF$2:$BG1679,2,FALSE))),IFERROR(0/0,""))</f>
        <v/>
      </c>
      <c r="V1103" s="212" t="str">
        <f t="shared" si="5"/>
        <v>RUN-COMB_2022-06-09_RFR-060</v>
      </c>
      <c r="W1103" s="51"/>
      <c r="X1103" s="51"/>
      <c r="Y1103" s="147" t="str">
        <f t="shared" ref="Y1103:Z1103" si="2206">IF(_xlfn.ISFORMULA(S1103),IFERROR(0/0,""),TRUE)</f>
        <v/>
      </c>
      <c r="Z1103" s="147" t="str">
        <f t="shared" si="2206"/>
        <v/>
      </c>
    </row>
    <row r="1104">
      <c r="A1104" s="6" t="str">
        <f>IFERROR(__xludf.DUMMYFUNCTION("""COMPUTED_VALUE"""),"FM2102")</f>
        <v>FM2102</v>
      </c>
      <c r="B1104" s="206">
        <f>IFERROR(__xludf.DUMMYFUNCTION("""COMPUTED_VALUE"""),44721.0)</f>
        <v>44721</v>
      </c>
      <c r="C1104" s="207">
        <f>IFERROR(__xludf.DUMMYFUNCTION("""COMPUTED_VALUE"""),0.2737384259259259)</f>
        <v>0.2737384259</v>
      </c>
      <c r="D1104" s="50"/>
      <c r="E1104" s="58"/>
      <c r="F1104" s="58"/>
      <c r="G1104" s="58" t="str">
        <f>IFERROR(__xludf.DUMMYFUNCTION("""COMPUTED_VALUE"""),"Null")</f>
        <v>Null</v>
      </c>
      <c r="H1104" s="206" t="str">
        <f>IFERROR(__xludf.DUMMYFUNCTION("""COMPUTED_VALUE"""),"Negative")</f>
        <v>Negative</v>
      </c>
      <c r="I1104" s="207"/>
      <c r="J1104" s="50"/>
      <c r="K1104" s="50">
        <f>IFERROR(__xludf.DUMMYFUNCTION("""COMPUTED_VALUE"""),2.0)</f>
        <v>2</v>
      </c>
      <c r="L1104" s="6"/>
      <c r="M1104" s="55"/>
      <c r="N1104" s="55">
        <f>IFERROR(__xludf.DUMMYFUNCTION("""COMPUTED_VALUE"""),1.0)</f>
        <v>1</v>
      </c>
      <c r="O1104" s="55" t="str">
        <f t="shared" si="3"/>
        <v/>
      </c>
      <c r="P1104" s="209"/>
      <c r="Q1104" s="75" t="b">
        <f>VLOOKUP($B1104,'Run Reconcile'!B$2:P1679,15,FALSE)</f>
        <v>1</v>
      </c>
      <c r="R1104" s="211" t="str">
        <f t="array" ref="R1104">IF($Q1104, INDEX('Run Reconcile'!A$2:A1679,MATCH(B1104,'Run Reconcile'!B$2:B1679,0),1),IFERROR(0/0,""))</f>
        <v>RUN-COMB_2022-06-09_RFR-060</v>
      </c>
      <c r="S1104" s="165" t="str">
        <f t="shared" ref="S1104:T1104" si="2207">IF(COUNTIF(W$2:W1679, $A1104) &gt; 0,TRUE,IFERROR(0/0,""))</f>
        <v/>
      </c>
      <c r="T1104" s="165" t="str">
        <f t="shared" si="2207"/>
        <v/>
      </c>
      <c r="U1104" s="147" t="str">
        <f t="array" ref="U1104">IF(ISBLANK($R1104), IF($S1104,VLOOKUP($B1104+1,'RFR Data - preExcl'!$BF$2:$BG1679,2,FALSE),IF($T1104,INDEX('RFR Data - preExcl'!$BF$2:$BG1679,MATCH($B1104,'RFR Data - preExcl'!$BF$2:$BF1679,0)+1,2),VLOOKUP($B1104,'RFR Data - preExcl'!$BF$2:$BG1679,2,FALSE))),IFERROR(0/0,""))</f>
        <v/>
      </c>
      <c r="V1104" s="212" t="str">
        <f t="shared" si="5"/>
        <v>RUN-COMB_2022-06-09_RFR-060</v>
      </c>
      <c r="W1104" s="51"/>
      <c r="X1104" s="51"/>
      <c r="Y1104" s="147" t="str">
        <f t="shared" ref="Y1104:Z1104" si="2208">IF(_xlfn.ISFORMULA(S1104),IFERROR(0/0,""),TRUE)</f>
        <v/>
      </c>
      <c r="Z1104" s="147" t="str">
        <f t="shared" si="2208"/>
        <v/>
      </c>
    </row>
    <row r="1105">
      <c r="A1105" s="6" t="str">
        <f>IFERROR(__xludf.DUMMYFUNCTION("""COMPUTED_VALUE"""),"FM2140")</f>
        <v>FM2140</v>
      </c>
      <c r="B1105" s="206">
        <f>IFERROR(__xludf.DUMMYFUNCTION("""COMPUTED_VALUE"""),44721.0)</f>
        <v>44721</v>
      </c>
      <c r="C1105" s="207">
        <f>IFERROR(__xludf.DUMMYFUNCTION("""COMPUTED_VALUE"""),0.2742824074074074)</f>
        <v>0.2742824074</v>
      </c>
      <c r="D1105" s="50"/>
      <c r="E1105" s="58"/>
      <c r="F1105" s="58"/>
      <c r="G1105" s="58" t="str">
        <f>IFERROR(__xludf.DUMMYFUNCTION("""COMPUTED_VALUE"""),"Null")</f>
        <v>Null</v>
      </c>
      <c r="H1105" s="206" t="str">
        <f>IFERROR(__xludf.DUMMYFUNCTION("""COMPUTED_VALUE"""),"Negative")</f>
        <v>Negative</v>
      </c>
      <c r="I1105" s="207"/>
      <c r="J1105" s="50"/>
      <c r="K1105" s="50">
        <f>IFERROR(__xludf.DUMMYFUNCTION("""COMPUTED_VALUE"""),2.0)</f>
        <v>2</v>
      </c>
      <c r="L1105" s="6"/>
      <c r="M1105" s="55"/>
      <c r="N1105" s="55">
        <f>IFERROR(__xludf.DUMMYFUNCTION("""COMPUTED_VALUE"""),1.0)</f>
        <v>1</v>
      </c>
      <c r="O1105" s="55" t="str">
        <f t="shared" si="3"/>
        <v/>
      </c>
      <c r="P1105" s="209"/>
      <c r="Q1105" s="75" t="b">
        <f>VLOOKUP($B1105,'Run Reconcile'!B$2:P1679,15,FALSE)</f>
        <v>1</v>
      </c>
      <c r="R1105" s="211" t="str">
        <f t="array" ref="R1105">IF($Q1105, INDEX('Run Reconcile'!A$2:A1679,MATCH(B1105,'Run Reconcile'!B$2:B1679,0),1),IFERROR(0/0,""))</f>
        <v>RUN-COMB_2022-06-09_RFR-060</v>
      </c>
      <c r="S1105" s="165" t="str">
        <f t="shared" ref="S1105:T1105" si="2209">IF(COUNTIF(W$2:W1679, $A1105) &gt; 0,TRUE,IFERROR(0/0,""))</f>
        <v/>
      </c>
      <c r="T1105" s="165" t="str">
        <f t="shared" si="2209"/>
        <v/>
      </c>
      <c r="U1105" s="147" t="str">
        <f t="array" ref="U1105">IF(ISBLANK($R1105), IF($S1105,VLOOKUP($B1105+1,'RFR Data - preExcl'!$BF$2:$BG1679,2,FALSE),IF($T1105,INDEX('RFR Data - preExcl'!$BF$2:$BG1679,MATCH($B1105,'RFR Data - preExcl'!$BF$2:$BF1679,0)+1,2),VLOOKUP($B1105,'RFR Data - preExcl'!$BF$2:$BG1679,2,FALSE))),IFERROR(0/0,""))</f>
        <v/>
      </c>
      <c r="V1105" s="212" t="str">
        <f t="shared" si="5"/>
        <v>RUN-COMB_2022-06-09_RFR-060</v>
      </c>
      <c r="W1105" s="51"/>
      <c r="X1105" s="51"/>
      <c r="Y1105" s="147" t="str">
        <f t="shared" ref="Y1105:Z1105" si="2210">IF(_xlfn.ISFORMULA(S1105),IFERROR(0/0,""),TRUE)</f>
        <v/>
      </c>
      <c r="Z1105" s="147" t="str">
        <f t="shared" si="2210"/>
        <v/>
      </c>
    </row>
    <row r="1106">
      <c r="A1106" s="6" t="str">
        <f>IFERROR(__xludf.DUMMYFUNCTION("""COMPUTED_VALUE"""),"FM2124")</f>
        <v>FM2124</v>
      </c>
      <c r="B1106" s="206">
        <f>IFERROR(__xludf.DUMMYFUNCTION("""COMPUTED_VALUE"""),44721.0)</f>
        <v>44721</v>
      </c>
      <c r="C1106" s="207">
        <f>IFERROR(__xludf.DUMMYFUNCTION("""COMPUTED_VALUE"""),0.2747222222222222)</f>
        <v>0.2747222222</v>
      </c>
      <c r="D1106" s="50"/>
      <c r="E1106" s="58"/>
      <c r="F1106" s="58"/>
      <c r="G1106" s="58" t="str">
        <f>IFERROR(__xludf.DUMMYFUNCTION("""COMPUTED_VALUE"""),"Null")</f>
        <v>Null</v>
      </c>
      <c r="H1106" s="206" t="str">
        <f>IFERROR(__xludf.DUMMYFUNCTION("""COMPUTED_VALUE"""),"Negative")</f>
        <v>Negative</v>
      </c>
      <c r="I1106" s="207"/>
      <c r="J1106" s="50"/>
      <c r="K1106" s="50">
        <f>IFERROR(__xludf.DUMMYFUNCTION("""COMPUTED_VALUE"""),2.0)</f>
        <v>2</v>
      </c>
      <c r="L1106" s="6"/>
      <c r="M1106" s="55"/>
      <c r="N1106" s="55">
        <f>IFERROR(__xludf.DUMMYFUNCTION("""COMPUTED_VALUE"""),1.0)</f>
        <v>1</v>
      </c>
      <c r="O1106" s="55" t="str">
        <f t="shared" si="3"/>
        <v/>
      </c>
      <c r="P1106" s="209"/>
      <c r="Q1106" s="75" t="b">
        <f>VLOOKUP($B1106,'Run Reconcile'!B$2:P1679,15,FALSE)</f>
        <v>1</v>
      </c>
      <c r="R1106" s="211" t="str">
        <f t="array" ref="R1106">IF($Q1106, INDEX('Run Reconcile'!A$2:A1679,MATCH(B1106,'Run Reconcile'!B$2:B1679,0),1),IFERROR(0/0,""))</f>
        <v>RUN-COMB_2022-06-09_RFR-060</v>
      </c>
      <c r="S1106" s="165" t="str">
        <f t="shared" ref="S1106:T1106" si="2211">IF(COUNTIF(W$2:W1679, $A1106) &gt; 0,TRUE,IFERROR(0/0,""))</f>
        <v/>
      </c>
      <c r="T1106" s="165" t="str">
        <f t="shared" si="2211"/>
        <v/>
      </c>
      <c r="U1106" s="147" t="str">
        <f t="array" ref="U1106">IF(ISBLANK($R1106), IF($S1106,VLOOKUP($B1106+1,'RFR Data - preExcl'!$BF$2:$BG1679,2,FALSE),IF($T1106,INDEX('RFR Data - preExcl'!$BF$2:$BG1679,MATCH($B1106,'RFR Data - preExcl'!$BF$2:$BF1679,0)+1,2),VLOOKUP($B1106,'RFR Data - preExcl'!$BF$2:$BG1679,2,FALSE))),IFERROR(0/0,""))</f>
        <v/>
      </c>
      <c r="V1106" s="212" t="str">
        <f t="shared" si="5"/>
        <v>RUN-COMB_2022-06-09_RFR-060</v>
      </c>
      <c r="W1106" s="51"/>
      <c r="X1106" s="51"/>
      <c r="Y1106" s="147" t="str">
        <f t="shared" ref="Y1106:Z1106" si="2212">IF(_xlfn.ISFORMULA(S1106),IFERROR(0/0,""),TRUE)</f>
        <v/>
      </c>
      <c r="Z1106" s="147" t="str">
        <f t="shared" si="2212"/>
        <v/>
      </c>
    </row>
    <row r="1107">
      <c r="A1107" s="6" t="str">
        <f>IFERROR(__xludf.DUMMYFUNCTION("""COMPUTED_VALUE"""),"FM2148")</f>
        <v>FM2148</v>
      </c>
      <c r="B1107" s="206">
        <f>IFERROR(__xludf.DUMMYFUNCTION("""COMPUTED_VALUE"""),44721.0)</f>
        <v>44721</v>
      </c>
      <c r="C1107" s="207">
        <f>IFERROR(__xludf.DUMMYFUNCTION("""COMPUTED_VALUE"""),0.28760416666666666)</f>
        <v>0.2876041667</v>
      </c>
      <c r="D1107" s="50"/>
      <c r="E1107" s="58"/>
      <c r="F1107" s="58"/>
      <c r="G1107" s="58" t="str">
        <f>IFERROR(__xludf.DUMMYFUNCTION("""COMPUTED_VALUE"""),"Null")</f>
        <v>Null</v>
      </c>
      <c r="H1107" s="206" t="str">
        <f>IFERROR(__xludf.DUMMYFUNCTION("""COMPUTED_VALUE"""),"Negative")</f>
        <v>Negative</v>
      </c>
      <c r="I1107" s="207"/>
      <c r="J1107" s="50"/>
      <c r="K1107" s="50">
        <f>IFERROR(__xludf.DUMMYFUNCTION("""COMPUTED_VALUE"""),2.0)</f>
        <v>2</v>
      </c>
      <c r="L1107" s="6"/>
      <c r="M1107" s="55"/>
      <c r="N1107" s="55">
        <f>IFERROR(__xludf.DUMMYFUNCTION("""COMPUTED_VALUE"""),1.0)</f>
        <v>1</v>
      </c>
      <c r="O1107" s="55" t="str">
        <f t="shared" si="3"/>
        <v/>
      </c>
      <c r="P1107" s="209"/>
      <c r="Q1107" s="75" t="b">
        <f>VLOOKUP($B1107,'Run Reconcile'!B$2:P1679,15,FALSE)</f>
        <v>1</v>
      </c>
      <c r="R1107" s="211" t="str">
        <f t="array" ref="R1107">IF($Q1107, INDEX('Run Reconcile'!A$2:A1679,MATCH(B1107,'Run Reconcile'!B$2:B1679,0),1),IFERROR(0/0,""))</f>
        <v>RUN-COMB_2022-06-09_RFR-060</v>
      </c>
      <c r="S1107" s="165" t="str">
        <f t="shared" ref="S1107:T1107" si="2213">IF(COUNTIF(W$2:W1679, $A1107) &gt; 0,TRUE,IFERROR(0/0,""))</f>
        <v/>
      </c>
      <c r="T1107" s="165" t="str">
        <f t="shared" si="2213"/>
        <v/>
      </c>
      <c r="U1107" s="147" t="str">
        <f t="array" ref="U1107">IF(ISBLANK($R1107), IF($S1107,VLOOKUP($B1107+1,'RFR Data - preExcl'!$BF$2:$BG1679,2,FALSE),IF($T1107,INDEX('RFR Data - preExcl'!$BF$2:$BG1679,MATCH($B1107,'RFR Data - preExcl'!$BF$2:$BF1679,0)+1,2),VLOOKUP($B1107,'RFR Data - preExcl'!$BF$2:$BG1679,2,FALSE))),IFERROR(0/0,""))</f>
        <v/>
      </c>
      <c r="V1107" s="212" t="str">
        <f t="shared" si="5"/>
        <v>RUN-COMB_2022-06-09_RFR-060</v>
      </c>
      <c r="W1107" s="51"/>
      <c r="X1107" s="51"/>
      <c r="Y1107" s="147" t="str">
        <f t="shared" ref="Y1107:Z1107" si="2214">IF(_xlfn.ISFORMULA(S1107),IFERROR(0/0,""),TRUE)</f>
        <v/>
      </c>
      <c r="Z1107" s="147" t="str">
        <f t="shared" si="2214"/>
        <v/>
      </c>
    </row>
    <row r="1108">
      <c r="A1108" s="6" t="str">
        <f>IFERROR(__xludf.DUMMYFUNCTION("""COMPUTED_VALUE"""),"FM2127")</f>
        <v>FM2127</v>
      </c>
      <c r="B1108" s="206">
        <f>IFERROR(__xludf.DUMMYFUNCTION("""COMPUTED_VALUE"""),44721.0)</f>
        <v>44721</v>
      </c>
      <c r="C1108" s="207">
        <f>IFERROR(__xludf.DUMMYFUNCTION("""COMPUTED_VALUE"""),0.28800925925925924)</f>
        <v>0.2880092593</v>
      </c>
      <c r="D1108" s="50"/>
      <c r="E1108" s="58"/>
      <c r="F1108" s="58"/>
      <c r="G1108" s="58" t="str">
        <f>IFERROR(__xludf.DUMMYFUNCTION("""COMPUTED_VALUE"""),"Null")</f>
        <v>Null</v>
      </c>
      <c r="H1108" s="206" t="str">
        <f>IFERROR(__xludf.DUMMYFUNCTION("""COMPUTED_VALUE"""),"Negative")</f>
        <v>Negative</v>
      </c>
      <c r="I1108" s="207"/>
      <c r="J1108" s="50"/>
      <c r="K1108" s="50">
        <f>IFERROR(__xludf.DUMMYFUNCTION("""COMPUTED_VALUE"""),2.0)</f>
        <v>2</v>
      </c>
      <c r="L1108" s="6"/>
      <c r="M1108" s="55"/>
      <c r="N1108" s="55">
        <f>IFERROR(__xludf.DUMMYFUNCTION("""COMPUTED_VALUE"""),1.0)</f>
        <v>1</v>
      </c>
      <c r="O1108" s="55" t="str">
        <f t="shared" si="3"/>
        <v/>
      </c>
      <c r="P1108" s="209"/>
      <c r="Q1108" s="75" t="b">
        <f>VLOOKUP($B1108,'Run Reconcile'!B$2:P1679,15,FALSE)</f>
        <v>1</v>
      </c>
      <c r="R1108" s="211" t="str">
        <f t="array" ref="R1108">IF($Q1108, INDEX('Run Reconcile'!A$2:A1679,MATCH(B1108,'Run Reconcile'!B$2:B1679,0),1),IFERROR(0/0,""))</f>
        <v>RUN-COMB_2022-06-09_RFR-060</v>
      </c>
      <c r="S1108" s="165" t="str">
        <f t="shared" ref="S1108:T1108" si="2215">IF(COUNTIF(W$2:W1679, $A1108) &gt; 0,TRUE,IFERROR(0/0,""))</f>
        <v/>
      </c>
      <c r="T1108" s="165" t="str">
        <f t="shared" si="2215"/>
        <v/>
      </c>
      <c r="U1108" s="147" t="str">
        <f t="array" ref="U1108">IF(ISBLANK($R1108), IF($S1108,VLOOKUP($B1108+1,'RFR Data - preExcl'!$BF$2:$BG1679,2,FALSE),IF($T1108,INDEX('RFR Data - preExcl'!$BF$2:$BG1679,MATCH($B1108,'RFR Data - preExcl'!$BF$2:$BF1679,0)+1,2),VLOOKUP($B1108,'RFR Data - preExcl'!$BF$2:$BG1679,2,FALSE))),IFERROR(0/0,""))</f>
        <v/>
      </c>
      <c r="V1108" s="212" t="str">
        <f t="shared" si="5"/>
        <v>RUN-COMB_2022-06-09_RFR-060</v>
      </c>
      <c r="W1108" s="51"/>
      <c r="X1108" s="51"/>
      <c r="Y1108" s="147" t="str">
        <f t="shared" ref="Y1108:Z1108" si="2216">IF(_xlfn.ISFORMULA(S1108),IFERROR(0/0,""),TRUE)</f>
        <v/>
      </c>
      <c r="Z1108" s="147" t="str">
        <f t="shared" si="2216"/>
        <v/>
      </c>
    </row>
    <row r="1109">
      <c r="A1109" s="6" t="str">
        <f>IFERROR(__xludf.DUMMYFUNCTION("""COMPUTED_VALUE"""),"FM2151")</f>
        <v>FM2151</v>
      </c>
      <c r="B1109" s="206">
        <f>IFERROR(__xludf.DUMMYFUNCTION("""COMPUTED_VALUE"""),44721.0)</f>
        <v>44721</v>
      </c>
      <c r="C1109" s="207">
        <f>IFERROR(__xludf.DUMMYFUNCTION("""COMPUTED_VALUE"""),0.28844907407407405)</f>
        <v>0.2884490741</v>
      </c>
      <c r="D1109" s="50"/>
      <c r="E1109" s="58"/>
      <c r="F1109" s="58"/>
      <c r="G1109" s="58" t="str">
        <f>IFERROR(__xludf.DUMMYFUNCTION("""COMPUTED_VALUE"""),"Null")</f>
        <v>Null</v>
      </c>
      <c r="H1109" s="206" t="str">
        <f>IFERROR(__xludf.DUMMYFUNCTION("""COMPUTED_VALUE"""),"Negative")</f>
        <v>Negative</v>
      </c>
      <c r="I1109" s="207"/>
      <c r="J1109" s="50"/>
      <c r="K1109" s="50">
        <f>IFERROR(__xludf.DUMMYFUNCTION("""COMPUTED_VALUE"""),2.0)</f>
        <v>2</v>
      </c>
      <c r="L1109" s="6"/>
      <c r="M1109" s="55"/>
      <c r="N1109" s="55">
        <f>IFERROR(__xludf.DUMMYFUNCTION("""COMPUTED_VALUE"""),1.0)</f>
        <v>1</v>
      </c>
      <c r="O1109" s="55" t="str">
        <f t="shared" si="3"/>
        <v/>
      </c>
      <c r="P1109" s="209"/>
      <c r="Q1109" s="75" t="b">
        <f>VLOOKUP($B1109,'Run Reconcile'!B$2:P1679,15,FALSE)</f>
        <v>1</v>
      </c>
      <c r="R1109" s="211" t="str">
        <f t="array" ref="R1109">IF($Q1109, INDEX('Run Reconcile'!A$2:A1679,MATCH(B1109,'Run Reconcile'!B$2:B1679,0),1),IFERROR(0/0,""))</f>
        <v>RUN-COMB_2022-06-09_RFR-060</v>
      </c>
      <c r="S1109" s="165" t="str">
        <f t="shared" ref="S1109:T1109" si="2217">IF(COUNTIF(W$2:W1679, $A1109) &gt; 0,TRUE,IFERROR(0/0,""))</f>
        <v/>
      </c>
      <c r="T1109" s="165" t="str">
        <f t="shared" si="2217"/>
        <v/>
      </c>
      <c r="U1109" s="147" t="str">
        <f t="array" ref="U1109">IF(ISBLANK($R1109), IF($S1109,VLOOKUP($B1109+1,'RFR Data - preExcl'!$BF$2:$BG1679,2,FALSE),IF($T1109,INDEX('RFR Data - preExcl'!$BF$2:$BG1679,MATCH($B1109,'RFR Data - preExcl'!$BF$2:$BF1679,0)+1,2),VLOOKUP($B1109,'RFR Data - preExcl'!$BF$2:$BG1679,2,FALSE))),IFERROR(0/0,""))</f>
        <v/>
      </c>
      <c r="V1109" s="212" t="str">
        <f t="shared" si="5"/>
        <v>RUN-COMB_2022-06-09_RFR-060</v>
      </c>
      <c r="W1109" s="51"/>
      <c r="X1109" s="51"/>
      <c r="Y1109" s="147" t="str">
        <f t="shared" ref="Y1109:Z1109" si="2218">IF(_xlfn.ISFORMULA(S1109),IFERROR(0/0,""),TRUE)</f>
        <v/>
      </c>
      <c r="Z1109" s="147" t="str">
        <f t="shared" si="2218"/>
        <v/>
      </c>
    </row>
    <row r="1110">
      <c r="A1110" s="6" t="str">
        <f>IFERROR(__xludf.DUMMYFUNCTION("""COMPUTED_VALUE"""),"FM2134")</f>
        <v>FM2134</v>
      </c>
      <c r="B1110" s="206">
        <f>IFERROR(__xludf.DUMMYFUNCTION("""COMPUTED_VALUE"""),44721.0)</f>
        <v>44721</v>
      </c>
      <c r="C1110" s="207">
        <f>IFERROR(__xludf.DUMMYFUNCTION("""COMPUTED_VALUE"""),0.2891782407407407)</f>
        <v>0.2891782407</v>
      </c>
      <c r="D1110" s="50"/>
      <c r="E1110" s="58"/>
      <c r="F1110" s="58"/>
      <c r="G1110" s="58" t="str">
        <f>IFERROR(__xludf.DUMMYFUNCTION("""COMPUTED_VALUE"""),"Null")</f>
        <v>Null</v>
      </c>
      <c r="H1110" s="206" t="str">
        <f>IFERROR(__xludf.DUMMYFUNCTION("""COMPUTED_VALUE"""),"Negative")</f>
        <v>Negative</v>
      </c>
      <c r="I1110" s="207"/>
      <c r="J1110" s="50"/>
      <c r="K1110" s="50">
        <f>IFERROR(__xludf.DUMMYFUNCTION("""COMPUTED_VALUE"""),2.0)</f>
        <v>2</v>
      </c>
      <c r="L1110" s="6"/>
      <c r="M1110" s="55"/>
      <c r="N1110" s="55">
        <f>IFERROR(__xludf.DUMMYFUNCTION("""COMPUTED_VALUE"""),1.0)</f>
        <v>1</v>
      </c>
      <c r="O1110" s="55" t="str">
        <f t="shared" si="3"/>
        <v/>
      </c>
      <c r="P1110" s="209"/>
      <c r="Q1110" s="75" t="b">
        <f>VLOOKUP($B1110,'Run Reconcile'!B$2:P1679,15,FALSE)</f>
        <v>1</v>
      </c>
      <c r="R1110" s="211" t="str">
        <f t="array" ref="R1110">IF($Q1110, INDEX('Run Reconcile'!A$2:A1679,MATCH(B1110,'Run Reconcile'!B$2:B1679,0),1),IFERROR(0/0,""))</f>
        <v>RUN-COMB_2022-06-09_RFR-060</v>
      </c>
      <c r="S1110" s="165" t="str">
        <f t="shared" ref="S1110:T1110" si="2219">IF(COUNTIF(W$2:W1679, $A1110) &gt; 0,TRUE,IFERROR(0/0,""))</f>
        <v/>
      </c>
      <c r="T1110" s="165" t="str">
        <f t="shared" si="2219"/>
        <v/>
      </c>
      <c r="U1110" s="147" t="str">
        <f t="array" ref="U1110">IF(ISBLANK($R1110), IF($S1110,VLOOKUP($B1110+1,'RFR Data - preExcl'!$BF$2:$BG1679,2,FALSE),IF($T1110,INDEX('RFR Data - preExcl'!$BF$2:$BG1679,MATCH($B1110,'RFR Data - preExcl'!$BF$2:$BF1679,0)+1,2),VLOOKUP($B1110,'RFR Data - preExcl'!$BF$2:$BG1679,2,FALSE))),IFERROR(0/0,""))</f>
        <v/>
      </c>
      <c r="V1110" s="212" t="str">
        <f t="shared" si="5"/>
        <v>RUN-COMB_2022-06-09_RFR-060</v>
      </c>
      <c r="W1110" s="51"/>
      <c r="X1110" s="51"/>
      <c r="Y1110" s="147" t="str">
        <f t="shared" ref="Y1110:Z1110" si="2220">IF(_xlfn.ISFORMULA(S1110),IFERROR(0/0,""),TRUE)</f>
        <v/>
      </c>
      <c r="Z1110" s="147" t="str">
        <f t="shared" si="2220"/>
        <v/>
      </c>
    </row>
    <row r="1111">
      <c r="A1111" s="6" t="str">
        <f>IFERROR(__xludf.DUMMYFUNCTION("""COMPUTED_VALUE"""),"FM2901")</f>
        <v>FM2901</v>
      </c>
      <c r="B1111" s="206">
        <f>IFERROR(__xludf.DUMMYFUNCTION("""COMPUTED_VALUE"""),44721.0)</f>
        <v>44721</v>
      </c>
      <c r="C1111" s="207">
        <f>IFERROR(__xludf.DUMMYFUNCTION("""COMPUTED_VALUE"""),0.28953703703703704)</f>
        <v>0.289537037</v>
      </c>
      <c r="D1111" s="50"/>
      <c r="E1111" s="58"/>
      <c r="F1111" s="58"/>
      <c r="G1111" s="58" t="str">
        <f>IFERROR(__xludf.DUMMYFUNCTION("""COMPUTED_VALUE"""),"Null")</f>
        <v>Null</v>
      </c>
      <c r="H1111" s="206" t="str">
        <f>IFERROR(__xludf.DUMMYFUNCTION("""COMPUTED_VALUE"""),"Negative")</f>
        <v>Negative</v>
      </c>
      <c r="I1111" s="207"/>
      <c r="J1111" s="50"/>
      <c r="K1111" s="50">
        <f>IFERROR(__xludf.DUMMYFUNCTION("""COMPUTED_VALUE"""),2.0)</f>
        <v>2</v>
      </c>
      <c r="L1111" s="6"/>
      <c r="M1111" s="55"/>
      <c r="N1111" s="55">
        <f>IFERROR(__xludf.DUMMYFUNCTION("""COMPUTED_VALUE"""),1.0)</f>
        <v>1</v>
      </c>
      <c r="O1111" s="55" t="str">
        <f t="shared" si="3"/>
        <v/>
      </c>
      <c r="P1111" s="209"/>
      <c r="Q1111" s="75" t="b">
        <f>VLOOKUP($B1111,'Run Reconcile'!B$2:P1679,15,FALSE)</f>
        <v>1</v>
      </c>
      <c r="R1111" s="211" t="str">
        <f t="array" ref="R1111">IF($Q1111, INDEX('Run Reconcile'!A$2:A1679,MATCH(B1111,'Run Reconcile'!B$2:B1679,0),1),IFERROR(0/0,""))</f>
        <v>RUN-COMB_2022-06-09_RFR-060</v>
      </c>
      <c r="S1111" s="165" t="str">
        <f t="shared" ref="S1111:T1111" si="2221">IF(COUNTIF(W$2:W1679, $A1111) &gt; 0,TRUE,IFERROR(0/0,""))</f>
        <v/>
      </c>
      <c r="T1111" s="165" t="str">
        <f t="shared" si="2221"/>
        <v/>
      </c>
      <c r="U1111" s="147" t="str">
        <f t="array" ref="U1111">IF(ISBLANK($R1111), IF($S1111,VLOOKUP($B1111+1,'RFR Data - preExcl'!$BF$2:$BG1679,2,FALSE),IF($T1111,INDEX('RFR Data - preExcl'!$BF$2:$BG1679,MATCH($B1111,'RFR Data - preExcl'!$BF$2:$BF1679,0)+1,2),VLOOKUP($B1111,'RFR Data - preExcl'!$BF$2:$BG1679,2,FALSE))),IFERROR(0/0,""))</f>
        <v/>
      </c>
      <c r="V1111" s="212" t="str">
        <f t="shared" si="5"/>
        <v>RUN-COMB_2022-06-09_RFR-060</v>
      </c>
      <c r="W1111" s="51"/>
      <c r="X1111" s="51"/>
      <c r="Y1111" s="147" t="str">
        <f t="shared" ref="Y1111:Z1111" si="2222">IF(_xlfn.ISFORMULA(S1111),IFERROR(0/0,""),TRUE)</f>
        <v/>
      </c>
      <c r="Z1111" s="147" t="str">
        <f t="shared" si="2222"/>
        <v/>
      </c>
    </row>
    <row r="1112">
      <c r="A1112" s="6" t="str">
        <f>IFERROR(__xludf.DUMMYFUNCTION("""COMPUTED_VALUE"""),"FM2885")</f>
        <v>FM2885</v>
      </c>
      <c r="B1112" s="206">
        <f>IFERROR(__xludf.DUMMYFUNCTION("""COMPUTED_VALUE"""),44721.0)</f>
        <v>44721</v>
      </c>
      <c r="C1112" s="207">
        <f>IFERROR(__xludf.DUMMYFUNCTION("""COMPUTED_VALUE"""),0.29011574074074076)</f>
        <v>0.2901157407</v>
      </c>
      <c r="D1112" s="50"/>
      <c r="E1112" s="58"/>
      <c r="F1112" s="58"/>
      <c r="G1112" s="58" t="str">
        <f>IFERROR(__xludf.DUMMYFUNCTION("""COMPUTED_VALUE"""),"Null")</f>
        <v>Null</v>
      </c>
      <c r="H1112" s="206" t="str">
        <f>IFERROR(__xludf.DUMMYFUNCTION("""COMPUTED_VALUE"""),"Negative")</f>
        <v>Negative</v>
      </c>
      <c r="I1112" s="207"/>
      <c r="J1112" s="50"/>
      <c r="K1112" s="50">
        <f>IFERROR(__xludf.DUMMYFUNCTION("""COMPUTED_VALUE"""),2.0)</f>
        <v>2</v>
      </c>
      <c r="L1112" s="6"/>
      <c r="M1112" s="55"/>
      <c r="N1112" s="55">
        <f>IFERROR(__xludf.DUMMYFUNCTION("""COMPUTED_VALUE"""),1.0)</f>
        <v>1</v>
      </c>
      <c r="O1112" s="55" t="str">
        <f t="shared" si="3"/>
        <v/>
      </c>
      <c r="P1112" s="209"/>
      <c r="Q1112" s="75" t="b">
        <f>VLOOKUP($B1112,'Run Reconcile'!B$2:P1679,15,FALSE)</f>
        <v>1</v>
      </c>
      <c r="R1112" s="211" t="str">
        <f t="array" ref="R1112">IF($Q1112, INDEX('Run Reconcile'!A$2:A1679,MATCH(B1112,'Run Reconcile'!B$2:B1679,0),1),IFERROR(0/0,""))</f>
        <v>RUN-COMB_2022-06-09_RFR-060</v>
      </c>
      <c r="S1112" s="165" t="str">
        <f t="shared" ref="S1112:T1112" si="2223">IF(COUNTIF(W$2:W1679, $A1112) &gt; 0,TRUE,IFERROR(0/0,""))</f>
        <v/>
      </c>
      <c r="T1112" s="165" t="str">
        <f t="shared" si="2223"/>
        <v/>
      </c>
      <c r="U1112" s="147" t="str">
        <f t="array" ref="U1112">IF(ISBLANK($R1112), IF($S1112,VLOOKUP($B1112+1,'RFR Data - preExcl'!$BF$2:$BG1679,2,FALSE),IF($T1112,INDEX('RFR Data - preExcl'!$BF$2:$BG1679,MATCH($B1112,'RFR Data - preExcl'!$BF$2:$BF1679,0)+1,2),VLOOKUP($B1112,'RFR Data - preExcl'!$BF$2:$BG1679,2,FALSE))),IFERROR(0/0,""))</f>
        <v/>
      </c>
      <c r="V1112" s="212" t="str">
        <f t="shared" si="5"/>
        <v>RUN-COMB_2022-06-09_RFR-060</v>
      </c>
      <c r="W1112" s="51"/>
      <c r="X1112" s="51"/>
      <c r="Y1112" s="147" t="str">
        <f t="shared" ref="Y1112:Z1112" si="2224">IF(_xlfn.ISFORMULA(S1112),IFERROR(0/0,""),TRUE)</f>
        <v/>
      </c>
      <c r="Z1112" s="147" t="str">
        <f t="shared" si="2224"/>
        <v/>
      </c>
    </row>
    <row r="1113">
      <c r="A1113" s="6" t="str">
        <f>IFERROR(__xludf.DUMMYFUNCTION("""COMPUTED_VALUE"""),"FM2169")</f>
        <v>FM2169</v>
      </c>
      <c r="B1113" s="206">
        <f>IFERROR(__xludf.DUMMYFUNCTION("""COMPUTED_VALUE"""),44721.0)</f>
        <v>44721</v>
      </c>
      <c r="C1113" s="207">
        <f>IFERROR(__xludf.DUMMYFUNCTION("""COMPUTED_VALUE"""),0.2905439814814815)</f>
        <v>0.2905439815</v>
      </c>
      <c r="D1113" s="50"/>
      <c r="E1113" s="58"/>
      <c r="F1113" s="58"/>
      <c r="G1113" s="58" t="str">
        <f>IFERROR(__xludf.DUMMYFUNCTION("""COMPUTED_VALUE"""),"Null")</f>
        <v>Null</v>
      </c>
      <c r="H1113" s="206" t="str">
        <f>IFERROR(__xludf.DUMMYFUNCTION("""COMPUTED_VALUE"""),"Negative")</f>
        <v>Negative</v>
      </c>
      <c r="I1113" s="207"/>
      <c r="J1113" s="50"/>
      <c r="K1113" s="50">
        <f>IFERROR(__xludf.DUMMYFUNCTION("""COMPUTED_VALUE"""),2.0)</f>
        <v>2</v>
      </c>
      <c r="L1113" s="6"/>
      <c r="M1113" s="55"/>
      <c r="N1113" s="55">
        <f>IFERROR(__xludf.DUMMYFUNCTION("""COMPUTED_VALUE"""),1.0)</f>
        <v>1</v>
      </c>
      <c r="O1113" s="55" t="str">
        <f t="shared" si="3"/>
        <v/>
      </c>
      <c r="P1113" s="209"/>
      <c r="Q1113" s="75" t="b">
        <f>VLOOKUP($B1113,'Run Reconcile'!B$2:P1679,15,FALSE)</f>
        <v>1</v>
      </c>
      <c r="R1113" s="211" t="str">
        <f t="array" ref="R1113">IF($Q1113, INDEX('Run Reconcile'!A$2:A1679,MATCH(B1113,'Run Reconcile'!B$2:B1679,0),1),IFERROR(0/0,""))</f>
        <v>RUN-COMB_2022-06-09_RFR-060</v>
      </c>
      <c r="S1113" s="165" t="str">
        <f t="shared" ref="S1113:T1113" si="2225">IF(COUNTIF(W$2:W1679, $A1113) &gt; 0,TRUE,IFERROR(0/0,""))</f>
        <v/>
      </c>
      <c r="T1113" s="165" t="str">
        <f t="shared" si="2225"/>
        <v/>
      </c>
      <c r="U1113" s="147" t="str">
        <f t="array" ref="U1113">IF(ISBLANK($R1113), IF($S1113,VLOOKUP($B1113+1,'RFR Data - preExcl'!$BF$2:$BG1679,2,FALSE),IF($T1113,INDEX('RFR Data - preExcl'!$BF$2:$BG1679,MATCH($B1113,'RFR Data - preExcl'!$BF$2:$BF1679,0)+1,2),VLOOKUP($B1113,'RFR Data - preExcl'!$BF$2:$BG1679,2,FALSE))),IFERROR(0/0,""))</f>
        <v/>
      </c>
      <c r="V1113" s="212" t="str">
        <f t="shared" si="5"/>
        <v>RUN-COMB_2022-06-09_RFR-060</v>
      </c>
      <c r="W1113" s="51"/>
      <c r="X1113" s="51"/>
      <c r="Y1113" s="147" t="str">
        <f t="shared" ref="Y1113:Z1113" si="2226">IF(_xlfn.ISFORMULA(S1113),IFERROR(0/0,""),TRUE)</f>
        <v/>
      </c>
      <c r="Z1113" s="147" t="str">
        <f t="shared" si="2226"/>
        <v/>
      </c>
    </row>
    <row r="1114">
      <c r="A1114" s="6" t="str">
        <f>IFERROR(__xludf.DUMMYFUNCTION("""COMPUTED_VALUE"""),"FM2144")</f>
        <v>FM2144</v>
      </c>
      <c r="B1114" s="206">
        <f>IFERROR(__xludf.DUMMYFUNCTION("""COMPUTED_VALUE"""),44721.0)</f>
        <v>44721</v>
      </c>
      <c r="C1114" s="207">
        <f>IFERROR(__xludf.DUMMYFUNCTION("""COMPUTED_VALUE"""),0.29104166666666664)</f>
        <v>0.2910416667</v>
      </c>
      <c r="D1114" s="50"/>
      <c r="E1114" s="58"/>
      <c r="F1114" s="58"/>
      <c r="G1114" s="58" t="str">
        <f>IFERROR(__xludf.DUMMYFUNCTION("""COMPUTED_VALUE"""),"Null")</f>
        <v>Null</v>
      </c>
      <c r="H1114" s="206" t="str">
        <f>IFERROR(__xludf.DUMMYFUNCTION("""COMPUTED_VALUE"""),"Negative")</f>
        <v>Negative</v>
      </c>
      <c r="I1114" s="207"/>
      <c r="J1114" s="50"/>
      <c r="K1114" s="50">
        <f>IFERROR(__xludf.DUMMYFUNCTION("""COMPUTED_VALUE"""),2.0)</f>
        <v>2</v>
      </c>
      <c r="L1114" s="6"/>
      <c r="M1114" s="55"/>
      <c r="N1114" s="55">
        <f>IFERROR(__xludf.DUMMYFUNCTION("""COMPUTED_VALUE"""),1.0)</f>
        <v>1</v>
      </c>
      <c r="O1114" s="55" t="str">
        <f t="shared" si="3"/>
        <v/>
      </c>
      <c r="P1114" s="209"/>
      <c r="Q1114" s="75" t="b">
        <f>VLOOKUP($B1114,'Run Reconcile'!B$2:P1679,15,FALSE)</f>
        <v>1</v>
      </c>
      <c r="R1114" s="211" t="str">
        <f t="array" ref="R1114">IF($Q1114, INDEX('Run Reconcile'!A$2:A1679,MATCH(B1114,'Run Reconcile'!B$2:B1679,0),1),IFERROR(0/0,""))</f>
        <v>RUN-COMB_2022-06-09_RFR-060</v>
      </c>
      <c r="S1114" s="165" t="str">
        <f t="shared" ref="S1114:T1114" si="2227">IF(COUNTIF(W$2:W1679, $A1114) &gt; 0,TRUE,IFERROR(0/0,""))</f>
        <v/>
      </c>
      <c r="T1114" s="165" t="str">
        <f t="shared" si="2227"/>
        <v/>
      </c>
      <c r="U1114" s="147" t="str">
        <f t="array" ref="U1114">IF(ISBLANK($R1114), IF($S1114,VLOOKUP($B1114+1,'RFR Data - preExcl'!$BF$2:$BG1679,2,FALSE),IF($T1114,INDEX('RFR Data - preExcl'!$BF$2:$BG1679,MATCH($B1114,'RFR Data - preExcl'!$BF$2:$BF1679,0)+1,2),VLOOKUP($B1114,'RFR Data - preExcl'!$BF$2:$BG1679,2,FALSE))),IFERROR(0/0,""))</f>
        <v/>
      </c>
      <c r="V1114" s="212" t="str">
        <f t="shared" si="5"/>
        <v>RUN-COMB_2022-06-09_RFR-060</v>
      </c>
      <c r="W1114" s="51"/>
      <c r="X1114" s="51"/>
      <c r="Y1114" s="147" t="str">
        <f t="shared" ref="Y1114:Z1114" si="2228">IF(_xlfn.ISFORMULA(S1114),IFERROR(0/0,""),TRUE)</f>
        <v/>
      </c>
      <c r="Z1114" s="147" t="str">
        <f t="shared" si="2228"/>
        <v/>
      </c>
    </row>
    <row r="1115">
      <c r="A1115" s="6" t="str">
        <f>IFERROR(__xludf.DUMMYFUNCTION("""COMPUTED_VALUE"""),"FM2158")</f>
        <v>FM2158</v>
      </c>
      <c r="B1115" s="206">
        <f>IFERROR(__xludf.DUMMYFUNCTION("""COMPUTED_VALUE"""),44721.0)</f>
        <v>44721</v>
      </c>
      <c r="C1115" s="207">
        <f>IFERROR(__xludf.DUMMYFUNCTION("""COMPUTED_VALUE"""),0.2916666666666667)</f>
        <v>0.2916666667</v>
      </c>
      <c r="D1115" s="50"/>
      <c r="E1115" s="58"/>
      <c r="F1115" s="58"/>
      <c r="G1115" s="58" t="str">
        <f>IFERROR(__xludf.DUMMYFUNCTION("""COMPUTED_VALUE"""),"Null")</f>
        <v>Null</v>
      </c>
      <c r="H1115" s="206" t="str">
        <f>IFERROR(__xludf.DUMMYFUNCTION("""COMPUTED_VALUE"""),"Negative")</f>
        <v>Negative</v>
      </c>
      <c r="I1115" s="207"/>
      <c r="J1115" s="50"/>
      <c r="K1115" s="50">
        <f>IFERROR(__xludf.DUMMYFUNCTION("""COMPUTED_VALUE"""),2.0)</f>
        <v>2</v>
      </c>
      <c r="L1115" s="6"/>
      <c r="M1115" s="55"/>
      <c r="N1115" s="55">
        <f>IFERROR(__xludf.DUMMYFUNCTION("""COMPUTED_VALUE"""),1.0)</f>
        <v>1</v>
      </c>
      <c r="O1115" s="55" t="str">
        <f t="shared" si="3"/>
        <v/>
      </c>
      <c r="P1115" s="209"/>
      <c r="Q1115" s="75" t="b">
        <f>VLOOKUP($B1115,'Run Reconcile'!B$2:P1679,15,FALSE)</f>
        <v>1</v>
      </c>
      <c r="R1115" s="211" t="str">
        <f t="array" ref="R1115">IF($Q1115, INDEX('Run Reconcile'!A$2:A1679,MATCH(B1115,'Run Reconcile'!B$2:B1679,0),1),IFERROR(0/0,""))</f>
        <v>RUN-COMB_2022-06-09_RFR-060</v>
      </c>
      <c r="S1115" s="165" t="str">
        <f t="shared" ref="S1115:T1115" si="2229">IF(COUNTIF(W$2:W1679, $A1115) &gt; 0,TRUE,IFERROR(0/0,""))</f>
        <v/>
      </c>
      <c r="T1115" s="165" t="str">
        <f t="shared" si="2229"/>
        <v/>
      </c>
      <c r="U1115" s="147" t="str">
        <f t="array" ref="U1115">IF(ISBLANK($R1115), IF($S1115,VLOOKUP($B1115+1,'RFR Data - preExcl'!$BF$2:$BG1679,2,FALSE),IF($T1115,INDEX('RFR Data - preExcl'!$BF$2:$BG1679,MATCH($B1115,'RFR Data - preExcl'!$BF$2:$BF1679,0)+1,2),VLOOKUP($B1115,'RFR Data - preExcl'!$BF$2:$BG1679,2,FALSE))),IFERROR(0/0,""))</f>
        <v/>
      </c>
      <c r="V1115" s="212" t="str">
        <f t="shared" si="5"/>
        <v>RUN-COMB_2022-06-09_RFR-060</v>
      </c>
      <c r="W1115" s="51"/>
      <c r="X1115" s="51"/>
      <c r="Y1115" s="147" t="str">
        <f t="shared" ref="Y1115:Z1115" si="2230">IF(_xlfn.ISFORMULA(S1115),IFERROR(0/0,""),TRUE)</f>
        <v/>
      </c>
      <c r="Z1115" s="147" t="str">
        <f t="shared" si="2230"/>
        <v/>
      </c>
    </row>
    <row r="1116">
      <c r="A1116" s="6" t="str">
        <f>IFERROR(__xludf.DUMMYFUNCTION("""COMPUTED_VALUE"""),"FM2197")</f>
        <v>FM2197</v>
      </c>
      <c r="B1116" s="206">
        <f>IFERROR(__xludf.DUMMYFUNCTION("""COMPUTED_VALUE"""),44721.0)</f>
        <v>44721</v>
      </c>
      <c r="C1116" s="207">
        <f>IFERROR(__xludf.DUMMYFUNCTION("""COMPUTED_VALUE"""),0.29225694444444444)</f>
        <v>0.2922569444</v>
      </c>
      <c r="D1116" s="50"/>
      <c r="E1116" s="58"/>
      <c r="F1116" s="58"/>
      <c r="G1116" s="58" t="str">
        <f>IFERROR(__xludf.DUMMYFUNCTION("""COMPUTED_VALUE"""),"Null")</f>
        <v>Null</v>
      </c>
      <c r="H1116" s="206" t="str">
        <f>IFERROR(__xludf.DUMMYFUNCTION("""COMPUTED_VALUE"""),"Negative")</f>
        <v>Negative</v>
      </c>
      <c r="I1116" s="207"/>
      <c r="J1116" s="50"/>
      <c r="K1116" s="50">
        <f>IFERROR(__xludf.DUMMYFUNCTION("""COMPUTED_VALUE"""),2.0)</f>
        <v>2</v>
      </c>
      <c r="L1116" s="6"/>
      <c r="M1116" s="55"/>
      <c r="N1116" s="55">
        <f>IFERROR(__xludf.DUMMYFUNCTION("""COMPUTED_VALUE"""),1.0)</f>
        <v>1</v>
      </c>
      <c r="O1116" s="55" t="str">
        <f t="shared" si="3"/>
        <v/>
      </c>
      <c r="P1116" s="209"/>
      <c r="Q1116" s="75" t="b">
        <f>VLOOKUP($B1116,'Run Reconcile'!B$2:P1679,15,FALSE)</f>
        <v>1</v>
      </c>
      <c r="R1116" s="211" t="str">
        <f t="array" ref="R1116">IF($Q1116, INDEX('Run Reconcile'!A$2:A1679,MATCH(B1116,'Run Reconcile'!B$2:B1679,0),1),IFERROR(0/0,""))</f>
        <v>RUN-COMB_2022-06-09_RFR-060</v>
      </c>
      <c r="S1116" s="165" t="str">
        <f t="shared" ref="S1116:T1116" si="2231">IF(COUNTIF(W$2:W1679, $A1116) &gt; 0,TRUE,IFERROR(0/0,""))</f>
        <v/>
      </c>
      <c r="T1116" s="165" t="str">
        <f t="shared" si="2231"/>
        <v/>
      </c>
      <c r="U1116" s="147" t="str">
        <f t="array" ref="U1116">IF(ISBLANK($R1116), IF($S1116,VLOOKUP($B1116+1,'RFR Data - preExcl'!$BF$2:$BG1679,2,FALSE),IF($T1116,INDEX('RFR Data - preExcl'!$BF$2:$BG1679,MATCH($B1116,'RFR Data - preExcl'!$BF$2:$BF1679,0)+1,2),VLOOKUP($B1116,'RFR Data - preExcl'!$BF$2:$BG1679,2,FALSE))),IFERROR(0/0,""))</f>
        <v/>
      </c>
      <c r="V1116" s="212" t="str">
        <f t="shared" si="5"/>
        <v>RUN-COMB_2022-06-09_RFR-060</v>
      </c>
      <c r="W1116" s="51"/>
      <c r="X1116" s="51"/>
      <c r="Y1116" s="147" t="str">
        <f t="shared" ref="Y1116:Z1116" si="2232">IF(_xlfn.ISFORMULA(S1116),IFERROR(0/0,""),TRUE)</f>
        <v/>
      </c>
      <c r="Z1116" s="147" t="str">
        <f t="shared" si="2232"/>
        <v/>
      </c>
    </row>
    <row r="1117">
      <c r="A1117" s="6" t="str">
        <f>IFERROR(__xludf.DUMMYFUNCTION("""COMPUTED_VALUE"""),"FM2209")</f>
        <v>FM2209</v>
      </c>
      <c r="B1117" s="206">
        <f>IFERROR(__xludf.DUMMYFUNCTION("""COMPUTED_VALUE"""),44721.0)</f>
        <v>44721</v>
      </c>
      <c r="C1117" s="207">
        <f>IFERROR(__xludf.DUMMYFUNCTION("""COMPUTED_VALUE"""),0.29282407407407407)</f>
        <v>0.2928240741</v>
      </c>
      <c r="D1117" s="50"/>
      <c r="E1117" s="58"/>
      <c r="F1117" s="58"/>
      <c r="G1117" s="58" t="str">
        <f>IFERROR(__xludf.DUMMYFUNCTION("""COMPUTED_VALUE"""),"Null")</f>
        <v>Null</v>
      </c>
      <c r="H1117" s="206" t="str">
        <f>IFERROR(__xludf.DUMMYFUNCTION("""COMPUTED_VALUE"""),"Negative")</f>
        <v>Negative</v>
      </c>
      <c r="I1117" s="207"/>
      <c r="J1117" s="50"/>
      <c r="K1117" s="50">
        <f>IFERROR(__xludf.DUMMYFUNCTION("""COMPUTED_VALUE"""),2.0)</f>
        <v>2</v>
      </c>
      <c r="L1117" s="6"/>
      <c r="M1117" s="55"/>
      <c r="N1117" s="55">
        <f>IFERROR(__xludf.DUMMYFUNCTION("""COMPUTED_VALUE"""),1.0)</f>
        <v>1</v>
      </c>
      <c r="O1117" s="55" t="str">
        <f t="shared" si="3"/>
        <v/>
      </c>
      <c r="P1117" s="209"/>
      <c r="Q1117" s="75" t="b">
        <f>VLOOKUP($B1117,'Run Reconcile'!B$2:P1679,15,FALSE)</f>
        <v>1</v>
      </c>
      <c r="R1117" s="211" t="str">
        <f t="array" ref="R1117">IF($Q1117, INDEX('Run Reconcile'!A$2:A1679,MATCH(B1117,'Run Reconcile'!B$2:B1679,0),1),IFERROR(0/0,""))</f>
        <v>RUN-COMB_2022-06-09_RFR-060</v>
      </c>
      <c r="S1117" s="165" t="str">
        <f t="shared" ref="S1117:T1117" si="2233">IF(COUNTIF(W$2:W1679, $A1117) &gt; 0,TRUE,IFERROR(0/0,""))</f>
        <v/>
      </c>
      <c r="T1117" s="165" t="str">
        <f t="shared" si="2233"/>
        <v/>
      </c>
      <c r="U1117" s="147" t="str">
        <f t="array" ref="U1117">IF(ISBLANK($R1117), IF($S1117,VLOOKUP($B1117+1,'RFR Data - preExcl'!$BF$2:$BG1679,2,FALSE),IF($T1117,INDEX('RFR Data - preExcl'!$BF$2:$BG1679,MATCH($B1117,'RFR Data - preExcl'!$BF$2:$BF1679,0)+1,2),VLOOKUP($B1117,'RFR Data - preExcl'!$BF$2:$BG1679,2,FALSE))),IFERROR(0/0,""))</f>
        <v/>
      </c>
      <c r="V1117" s="212" t="str">
        <f t="shared" si="5"/>
        <v>RUN-COMB_2022-06-09_RFR-060</v>
      </c>
      <c r="W1117" s="51"/>
      <c r="X1117" s="51"/>
      <c r="Y1117" s="147" t="str">
        <f t="shared" ref="Y1117:Z1117" si="2234">IF(_xlfn.ISFORMULA(S1117),IFERROR(0/0,""),TRUE)</f>
        <v/>
      </c>
      <c r="Z1117" s="147" t="str">
        <f t="shared" si="2234"/>
        <v/>
      </c>
    </row>
    <row r="1118">
      <c r="A1118" s="6" t="str">
        <f>IFERROR(__xludf.DUMMYFUNCTION("""COMPUTED_VALUE"""),"FM2475")</f>
        <v>FM2475</v>
      </c>
      <c r="B1118" s="206">
        <f>IFERROR(__xludf.DUMMYFUNCTION("""COMPUTED_VALUE"""),44739.0)</f>
        <v>44739</v>
      </c>
      <c r="C1118" s="207">
        <f>IFERROR(__xludf.DUMMYFUNCTION("""COMPUTED_VALUE"""),0.6795601851851852)</f>
        <v>0.6795601852</v>
      </c>
      <c r="D1118" s="50"/>
      <c r="E1118" s="58"/>
      <c r="F1118" s="58"/>
      <c r="G1118" s="58" t="str">
        <f>IFERROR(__xludf.DUMMYFUNCTION("""COMPUTED_VALUE"""),"Null")</f>
        <v>Null</v>
      </c>
      <c r="H1118" s="206" t="str">
        <f>IFERROR(__xludf.DUMMYFUNCTION("""COMPUTED_VALUE"""),"Inconclusive")</f>
        <v>Inconclusive</v>
      </c>
      <c r="I1118" s="207"/>
      <c r="J1118" s="50"/>
      <c r="K1118" s="50">
        <f>IFERROR(__xludf.DUMMYFUNCTION("""COMPUTED_VALUE"""),4.0)</f>
        <v>4</v>
      </c>
      <c r="L1118" s="6" t="str">
        <f>IFERROR(__xludf.DUMMYFUNCTION("""COMPUTED_VALUE"""),"There is an RFR audited inconclusive that was also explicitly described in the Run Form Notes that was never resulted as Inconclusive in the App (all App results that day Null), so chose the first tube and made Final Result Inconclusive.")</f>
        <v>There is an RFR audited inconclusive that was also explicitly described in the Run Form Notes that was never resulted as Inconclusive in the App (all App results that day Null), so chose the first tube and made Final Result Inconclusive.</v>
      </c>
      <c r="M1118" s="55"/>
      <c r="N1118" s="55">
        <f>IFERROR(__xludf.DUMMYFUNCTION("""COMPUTED_VALUE"""),1.0)</f>
        <v>1</v>
      </c>
      <c r="O1118" s="55" t="b">
        <f t="shared" si="3"/>
        <v>1</v>
      </c>
      <c r="P1118" s="209"/>
      <c r="Q1118" s="75" t="b">
        <f>VLOOKUP($B1118,'Run Reconcile'!B$2:P1679,15,FALSE)</f>
        <v>1</v>
      </c>
      <c r="R1118" s="211" t="str">
        <f t="array" ref="R1118">IF($Q1118, INDEX('Run Reconcile'!A$2:A1679,MATCH(B1118,'Run Reconcile'!B$2:B1679,0),1),IFERROR(0/0,""))</f>
        <v>RUN-COMB_2022-06-27_RFR-061</v>
      </c>
      <c r="S1118" s="165" t="str">
        <f t="shared" ref="S1118:T1118" si="2235">IF(COUNTIF(W$2:W1679, $A1118) &gt; 0,TRUE,IFERROR(0/0,""))</f>
        <v/>
      </c>
      <c r="T1118" s="165" t="str">
        <f t="shared" si="2235"/>
        <v/>
      </c>
      <c r="U1118" s="147" t="str">
        <f t="array" ref="U1118">IF(ISBLANK($R1118), IF($S1118,VLOOKUP($B1118+1,'RFR Data - preExcl'!$BF$2:$BG1679,2,FALSE),IF($T1118,INDEX('RFR Data - preExcl'!$BF$2:$BG1679,MATCH($B1118,'RFR Data - preExcl'!$BF$2:$BF1679,0)+1,2),VLOOKUP($B1118,'RFR Data - preExcl'!$BF$2:$BG1679,2,FALSE))),IFERROR(0/0,""))</f>
        <v/>
      </c>
      <c r="V1118" s="212" t="str">
        <f t="shared" si="5"/>
        <v>RUN-COMB_2022-06-27_RFR-061</v>
      </c>
      <c r="W1118" s="51"/>
      <c r="X1118" s="51"/>
      <c r="Y1118" s="147" t="str">
        <f t="shared" ref="Y1118:Z1118" si="2236">IF(_xlfn.ISFORMULA(S1118),IFERROR(0/0,""),TRUE)</f>
        <v/>
      </c>
      <c r="Z1118" s="147" t="str">
        <f t="shared" si="2236"/>
        <v/>
      </c>
    </row>
    <row r="1119">
      <c r="A1119" s="6" t="str">
        <f>IFERROR(__xludf.DUMMYFUNCTION("""COMPUTED_VALUE"""),"FM2135")</f>
        <v>FM2135</v>
      </c>
      <c r="B1119" s="206">
        <f>IFERROR(__xludf.DUMMYFUNCTION("""COMPUTED_VALUE"""),44739.0)</f>
        <v>44739</v>
      </c>
      <c r="C1119" s="207">
        <f>IFERROR(__xludf.DUMMYFUNCTION("""COMPUTED_VALUE"""),0.6802662037037037)</f>
        <v>0.6802662037</v>
      </c>
      <c r="D1119" s="50"/>
      <c r="E1119" s="58"/>
      <c r="F1119" s="58"/>
      <c r="G1119" s="58" t="str">
        <f>IFERROR(__xludf.DUMMYFUNCTION("""COMPUTED_VALUE"""),"Null")</f>
        <v>Null</v>
      </c>
      <c r="H1119" s="206" t="str">
        <f>IFERROR(__xludf.DUMMYFUNCTION("""COMPUTED_VALUE"""),"Negative")</f>
        <v>Negative</v>
      </c>
      <c r="I1119" s="207"/>
      <c r="J1119" s="50"/>
      <c r="K1119" s="50">
        <f>IFERROR(__xludf.DUMMYFUNCTION("""COMPUTED_VALUE"""),2.0)</f>
        <v>2</v>
      </c>
      <c r="L1119" s="6"/>
      <c r="M1119" s="55"/>
      <c r="N1119" s="55">
        <f>IFERROR(__xludf.DUMMYFUNCTION("""COMPUTED_VALUE"""),1.0)</f>
        <v>1</v>
      </c>
      <c r="O1119" s="55" t="str">
        <f t="shared" si="3"/>
        <v/>
      </c>
      <c r="P1119" s="209"/>
      <c r="Q1119" s="75" t="b">
        <f>VLOOKUP($B1119,'Run Reconcile'!B$2:P1679,15,FALSE)</f>
        <v>1</v>
      </c>
      <c r="R1119" s="211" t="str">
        <f t="array" ref="R1119">IF($Q1119, INDEX('Run Reconcile'!A$2:A1679,MATCH(B1119,'Run Reconcile'!B$2:B1679,0),1),IFERROR(0/0,""))</f>
        <v>RUN-COMB_2022-06-27_RFR-061</v>
      </c>
      <c r="S1119" s="165" t="str">
        <f t="shared" ref="S1119:T1119" si="2237">IF(COUNTIF(W$2:W1679, $A1119) &gt; 0,TRUE,IFERROR(0/0,""))</f>
        <v/>
      </c>
      <c r="T1119" s="165" t="str">
        <f t="shared" si="2237"/>
        <v/>
      </c>
      <c r="U1119" s="147" t="str">
        <f t="array" ref="U1119">IF(ISBLANK($R1119), IF($S1119,VLOOKUP($B1119+1,'RFR Data - preExcl'!$BF$2:$BG1679,2,FALSE),IF($T1119,INDEX('RFR Data - preExcl'!$BF$2:$BG1679,MATCH($B1119,'RFR Data - preExcl'!$BF$2:$BF1679,0)+1,2),VLOOKUP($B1119,'RFR Data - preExcl'!$BF$2:$BG1679,2,FALSE))),IFERROR(0/0,""))</f>
        <v/>
      </c>
      <c r="V1119" s="212" t="str">
        <f t="shared" si="5"/>
        <v>RUN-COMB_2022-06-27_RFR-061</v>
      </c>
      <c r="W1119" s="51"/>
      <c r="X1119" s="51"/>
      <c r="Y1119" s="147" t="str">
        <f t="shared" ref="Y1119:Z1119" si="2238">IF(_xlfn.ISFORMULA(S1119),IFERROR(0/0,""),TRUE)</f>
        <v/>
      </c>
      <c r="Z1119" s="147" t="str">
        <f t="shared" si="2238"/>
        <v/>
      </c>
    </row>
    <row r="1120">
      <c r="A1120" s="6" t="str">
        <f>IFERROR(__xludf.DUMMYFUNCTION("""COMPUTED_VALUE"""),"FM2122")</f>
        <v>FM2122</v>
      </c>
      <c r="B1120" s="206">
        <f>IFERROR(__xludf.DUMMYFUNCTION("""COMPUTED_VALUE"""),44739.0)</f>
        <v>44739</v>
      </c>
      <c r="C1120" s="207">
        <f>IFERROR(__xludf.DUMMYFUNCTION("""COMPUTED_VALUE"""),0.6813657407407407)</f>
        <v>0.6813657407</v>
      </c>
      <c r="D1120" s="50"/>
      <c r="E1120" s="58"/>
      <c r="F1120" s="58"/>
      <c r="G1120" s="58" t="str">
        <f>IFERROR(__xludf.DUMMYFUNCTION("""COMPUTED_VALUE"""),"Null")</f>
        <v>Null</v>
      </c>
      <c r="H1120" s="206" t="str">
        <f>IFERROR(__xludf.DUMMYFUNCTION("""COMPUTED_VALUE"""),"Negative")</f>
        <v>Negative</v>
      </c>
      <c r="I1120" s="207"/>
      <c r="J1120" s="50"/>
      <c r="K1120" s="50">
        <f>IFERROR(__xludf.DUMMYFUNCTION("""COMPUTED_VALUE"""),2.0)</f>
        <v>2</v>
      </c>
      <c r="L1120" s="6"/>
      <c r="M1120" s="55"/>
      <c r="N1120" s="55">
        <f>IFERROR(__xludf.DUMMYFUNCTION("""COMPUTED_VALUE"""),1.0)</f>
        <v>1</v>
      </c>
      <c r="O1120" s="55" t="str">
        <f t="shared" si="3"/>
        <v/>
      </c>
      <c r="P1120" s="209"/>
      <c r="Q1120" s="75" t="b">
        <f>VLOOKUP($B1120,'Run Reconcile'!B$2:P1679,15,FALSE)</f>
        <v>1</v>
      </c>
      <c r="R1120" s="211" t="str">
        <f t="array" ref="R1120">IF($Q1120, INDEX('Run Reconcile'!A$2:A1679,MATCH(B1120,'Run Reconcile'!B$2:B1679,0),1),IFERROR(0/0,""))</f>
        <v>RUN-COMB_2022-06-27_RFR-061</v>
      </c>
      <c r="S1120" s="165" t="str">
        <f t="shared" ref="S1120:T1120" si="2239">IF(COUNTIF(W$2:W1679, $A1120) &gt; 0,TRUE,IFERROR(0/0,""))</f>
        <v/>
      </c>
      <c r="T1120" s="165" t="str">
        <f t="shared" si="2239"/>
        <v/>
      </c>
      <c r="U1120" s="147" t="str">
        <f t="array" ref="U1120">IF(ISBLANK($R1120), IF($S1120,VLOOKUP($B1120+1,'RFR Data - preExcl'!$BF$2:$BG1679,2,FALSE),IF($T1120,INDEX('RFR Data - preExcl'!$BF$2:$BG1679,MATCH($B1120,'RFR Data - preExcl'!$BF$2:$BF1679,0)+1,2),VLOOKUP($B1120,'RFR Data - preExcl'!$BF$2:$BG1679,2,FALSE))),IFERROR(0/0,""))</f>
        <v/>
      </c>
      <c r="V1120" s="212" t="str">
        <f t="shared" si="5"/>
        <v>RUN-COMB_2022-06-27_RFR-061</v>
      </c>
      <c r="W1120" s="51"/>
      <c r="X1120" s="51"/>
      <c r="Y1120" s="147" t="str">
        <f t="shared" ref="Y1120:Z1120" si="2240">IF(_xlfn.ISFORMULA(S1120),IFERROR(0/0,""),TRUE)</f>
        <v/>
      </c>
      <c r="Z1120" s="147" t="str">
        <f t="shared" si="2240"/>
        <v/>
      </c>
    </row>
    <row r="1121">
      <c r="A1121" s="6" t="str">
        <f>IFERROR(__xludf.DUMMYFUNCTION("""COMPUTED_VALUE"""),"FM2198")</f>
        <v>FM2198</v>
      </c>
      <c r="B1121" s="206">
        <f>IFERROR(__xludf.DUMMYFUNCTION("""COMPUTED_VALUE"""),44739.0)</f>
        <v>44739</v>
      </c>
      <c r="C1121" s="207">
        <f>IFERROR(__xludf.DUMMYFUNCTION("""COMPUTED_VALUE"""),0.681863425925926)</f>
        <v>0.6818634259</v>
      </c>
      <c r="D1121" s="50"/>
      <c r="E1121" s="58"/>
      <c r="F1121" s="58"/>
      <c r="G1121" s="58" t="str">
        <f>IFERROR(__xludf.DUMMYFUNCTION("""COMPUTED_VALUE"""),"Null")</f>
        <v>Null</v>
      </c>
      <c r="H1121" s="206" t="str">
        <f>IFERROR(__xludf.DUMMYFUNCTION("""COMPUTED_VALUE"""),"Positive")</f>
        <v>Positive</v>
      </c>
      <c r="I1121" s="207"/>
      <c r="J1121" s="50"/>
      <c r="K1121" s="50">
        <f>IFERROR(__xludf.DUMMYFUNCTION("""COMPUTED_VALUE"""),3.0)</f>
        <v>3</v>
      </c>
      <c r="L1121" s="6" t="str">
        <f>IFERROR(__xludf.DUMMYFUNCTION("""COMPUTED_VALUE"""),"Null changed to Positive")</f>
        <v>Null changed to Positive</v>
      </c>
      <c r="M1121" s="55"/>
      <c r="N1121" s="55">
        <f>IFERROR(__xludf.DUMMYFUNCTION("""COMPUTED_VALUE"""),1.0)</f>
        <v>1</v>
      </c>
      <c r="O1121" s="55" t="str">
        <f t="shared" si="3"/>
        <v/>
      </c>
      <c r="P1121" s="209"/>
      <c r="Q1121" s="75" t="b">
        <f>VLOOKUP($B1121,'Run Reconcile'!B$2:P1679,15,FALSE)</f>
        <v>1</v>
      </c>
      <c r="R1121" s="211" t="str">
        <f t="array" ref="R1121">IF($Q1121, INDEX('Run Reconcile'!A$2:A1679,MATCH(B1121,'Run Reconcile'!B$2:B1679,0),1),IFERROR(0/0,""))</f>
        <v>RUN-COMB_2022-06-27_RFR-061</v>
      </c>
      <c r="S1121" s="165" t="str">
        <f t="shared" ref="S1121:T1121" si="2241">IF(COUNTIF(W$2:W1679, $A1121) &gt; 0,TRUE,IFERROR(0/0,""))</f>
        <v/>
      </c>
      <c r="T1121" s="165" t="str">
        <f t="shared" si="2241"/>
        <v/>
      </c>
      <c r="U1121" s="147" t="str">
        <f t="array" ref="U1121">IF(ISBLANK($R1121), IF($S1121,VLOOKUP($B1121+1,'RFR Data - preExcl'!$BF$2:$BG1679,2,FALSE),IF($T1121,INDEX('RFR Data - preExcl'!$BF$2:$BG1679,MATCH($B1121,'RFR Data - preExcl'!$BF$2:$BF1679,0)+1,2),VLOOKUP($B1121,'RFR Data - preExcl'!$BF$2:$BG1679,2,FALSE))),IFERROR(0/0,""))</f>
        <v/>
      </c>
      <c r="V1121" s="212" t="str">
        <f t="shared" si="5"/>
        <v>RUN-COMB_2022-06-27_RFR-061</v>
      </c>
      <c r="W1121" s="51"/>
      <c r="X1121" s="51"/>
      <c r="Y1121" s="147" t="str">
        <f t="shared" ref="Y1121:Z1121" si="2242">IF(_xlfn.ISFORMULA(S1121),IFERROR(0/0,""),TRUE)</f>
        <v/>
      </c>
      <c r="Z1121" s="147" t="str">
        <f t="shared" si="2242"/>
        <v/>
      </c>
    </row>
    <row r="1122">
      <c r="A1122" s="6" t="str">
        <f>IFERROR(__xludf.DUMMYFUNCTION("""COMPUTED_VALUE"""),"FM2128")</f>
        <v>FM2128</v>
      </c>
      <c r="B1122" s="206">
        <f>IFERROR(__xludf.DUMMYFUNCTION("""COMPUTED_VALUE"""),44739.0)</f>
        <v>44739</v>
      </c>
      <c r="C1122" s="207">
        <f>IFERROR(__xludf.DUMMYFUNCTION("""COMPUTED_VALUE"""),0.6824768518518518)</f>
        <v>0.6824768519</v>
      </c>
      <c r="D1122" s="50"/>
      <c r="E1122" s="58"/>
      <c r="F1122" s="58"/>
      <c r="G1122" s="58" t="str">
        <f>IFERROR(__xludf.DUMMYFUNCTION("""COMPUTED_VALUE"""),"Null")</f>
        <v>Null</v>
      </c>
      <c r="H1122" s="206" t="str">
        <f>IFERROR(__xludf.DUMMYFUNCTION("""COMPUTED_VALUE"""),"Positive")</f>
        <v>Positive</v>
      </c>
      <c r="I1122" s="207"/>
      <c r="J1122" s="50"/>
      <c r="K1122" s="50">
        <f>IFERROR(__xludf.DUMMYFUNCTION("""COMPUTED_VALUE"""),3.0)</f>
        <v>3</v>
      </c>
      <c r="L1122" s="6" t="str">
        <f>IFERROR(__xludf.DUMMYFUNCTION("""COMPUTED_VALUE"""),"Null changed to Positive")</f>
        <v>Null changed to Positive</v>
      </c>
      <c r="M1122" s="55"/>
      <c r="N1122" s="55">
        <f>IFERROR(__xludf.DUMMYFUNCTION("""COMPUTED_VALUE"""),1.0)</f>
        <v>1</v>
      </c>
      <c r="O1122" s="55" t="str">
        <f t="shared" si="3"/>
        <v/>
      </c>
      <c r="P1122" s="209"/>
      <c r="Q1122" s="75" t="b">
        <f>VLOOKUP($B1122,'Run Reconcile'!B$2:P1679,15,FALSE)</f>
        <v>1</v>
      </c>
      <c r="R1122" s="211" t="str">
        <f t="array" ref="R1122">IF($Q1122, INDEX('Run Reconcile'!A$2:A1679,MATCH(B1122,'Run Reconcile'!B$2:B1679,0),1),IFERROR(0/0,""))</f>
        <v>RUN-COMB_2022-06-27_RFR-061</v>
      </c>
      <c r="S1122" s="165" t="str">
        <f t="shared" ref="S1122:T1122" si="2243">IF(COUNTIF(W$2:W1679, $A1122) &gt; 0,TRUE,IFERROR(0/0,""))</f>
        <v/>
      </c>
      <c r="T1122" s="165" t="str">
        <f t="shared" si="2243"/>
        <v/>
      </c>
      <c r="U1122" s="147" t="str">
        <f t="array" ref="U1122">IF(ISBLANK($R1122), IF($S1122,VLOOKUP($B1122+1,'RFR Data - preExcl'!$BF$2:$BG1679,2,FALSE),IF($T1122,INDEX('RFR Data - preExcl'!$BF$2:$BG1679,MATCH($B1122,'RFR Data - preExcl'!$BF$2:$BF1679,0)+1,2),VLOOKUP($B1122,'RFR Data - preExcl'!$BF$2:$BG1679,2,FALSE))),IFERROR(0/0,""))</f>
        <v/>
      </c>
      <c r="V1122" s="212" t="str">
        <f t="shared" si="5"/>
        <v>RUN-COMB_2022-06-27_RFR-061</v>
      </c>
      <c r="W1122" s="51"/>
      <c r="X1122" s="51"/>
      <c r="Y1122" s="147" t="str">
        <f t="shared" ref="Y1122:Z1122" si="2244">IF(_xlfn.ISFORMULA(S1122),IFERROR(0/0,""),TRUE)</f>
        <v/>
      </c>
      <c r="Z1122" s="147" t="str">
        <f t="shared" si="2244"/>
        <v/>
      </c>
    </row>
    <row r="1123">
      <c r="A1123" s="6" t="str">
        <f>IFERROR(__xludf.DUMMYFUNCTION("""COMPUTED_VALUE"""),"FM2159")</f>
        <v>FM2159</v>
      </c>
      <c r="B1123" s="206">
        <f>IFERROR(__xludf.DUMMYFUNCTION("""COMPUTED_VALUE"""),44739.0)</f>
        <v>44739</v>
      </c>
      <c r="C1123" s="207">
        <f>IFERROR(__xludf.DUMMYFUNCTION("""COMPUTED_VALUE"""),0.6867361111111111)</f>
        <v>0.6867361111</v>
      </c>
      <c r="D1123" s="50"/>
      <c r="E1123" s="58"/>
      <c r="F1123" s="58"/>
      <c r="G1123" s="58" t="str">
        <f>IFERROR(__xludf.DUMMYFUNCTION("""COMPUTED_VALUE"""),"Null")</f>
        <v>Null</v>
      </c>
      <c r="H1123" s="206" t="str">
        <f>IFERROR(__xludf.DUMMYFUNCTION("""COMPUTED_VALUE"""),"Positive")</f>
        <v>Positive</v>
      </c>
      <c r="I1123" s="207"/>
      <c r="J1123" s="50"/>
      <c r="K1123" s="50">
        <f>IFERROR(__xludf.DUMMYFUNCTION("""COMPUTED_VALUE"""),3.0)</f>
        <v>3</v>
      </c>
      <c r="L1123" s="6" t="str">
        <f>IFERROR(__xludf.DUMMYFUNCTION("""COMPUTED_VALUE"""),"Null changed to Positive")</f>
        <v>Null changed to Positive</v>
      </c>
      <c r="M1123" s="55"/>
      <c r="N1123" s="55">
        <f>IFERROR(__xludf.DUMMYFUNCTION("""COMPUTED_VALUE"""),1.0)</f>
        <v>1</v>
      </c>
      <c r="O1123" s="55" t="str">
        <f t="shared" si="3"/>
        <v/>
      </c>
      <c r="P1123" s="209"/>
      <c r="Q1123" s="75" t="b">
        <f>VLOOKUP($B1123,'Run Reconcile'!B$2:P1679,15,FALSE)</f>
        <v>1</v>
      </c>
      <c r="R1123" s="211" t="str">
        <f t="array" ref="R1123">IF($Q1123, INDEX('Run Reconcile'!A$2:A1679,MATCH(B1123,'Run Reconcile'!B$2:B1679,0),1),IFERROR(0/0,""))</f>
        <v>RUN-COMB_2022-06-27_RFR-061</v>
      </c>
      <c r="S1123" s="165" t="str">
        <f t="shared" ref="S1123:T1123" si="2245">IF(COUNTIF(W$2:W1679, $A1123) &gt; 0,TRUE,IFERROR(0/0,""))</f>
        <v/>
      </c>
      <c r="T1123" s="165" t="str">
        <f t="shared" si="2245"/>
        <v/>
      </c>
      <c r="U1123" s="147" t="str">
        <f t="array" ref="U1123">IF(ISBLANK($R1123), IF($S1123,VLOOKUP($B1123+1,'RFR Data - preExcl'!$BF$2:$BG1679,2,FALSE),IF($T1123,INDEX('RFR Data - preExcl'!$BF$2:$BG1679,MATCH($B1123,'RFR Data - preExcl'!$BF$2:$BF1679,0)+1,2),VLOOKUP($B1123,'RFR Data - preExcl'!$BF$2:$BG1679,2,FALSE))),IFERROR(0/0,""))</f>
        <v/>
      </c>
      <c r="V1123" s="212" t="str">
        <f t="shared" si="5"/>
        <v>RUN-COMB_2022-06-27_RFR-061</v>
      </c>
      <c r="W1123" s="51"/>
      <c r="X1123" s="51"/>
      <c r="Y1123" s="147" t="str">
        <f t="shared" ref="Y1123:Z1123" si="2246">IF(_xlfn.ISFORMULA(S1123),IFERROR(0/0,""),TRUE)</f>
        <v/>
      </c>
      <c r="Z1123" s="147" t="str">
        <f t="shared" si="2246"/>
        <v/>
      </c>
    </row>
    <row r="1124">
      <c r="A1124" s="6" t="str">
        <f>IFERROR(__xludf.DUMMYFUNCTION("""COMPUTED_VALUE"""),"FM2116")</f>
        <v>FM2116</v>
      </c>
      <c r="B1124" s="206">
        <f>IFERROR(__xludf.DUMMYFUNCTION("""COMPUTED_VALUE"""),44739.0)</f>
        <v>44739</v>
      </c>
      <c r="C1124" s="207">
        <f>IFERROR(__xludf.DUMMYFUNCTION("""COMPUTED_VALUE"""),0.6871527777777777)</f>
        <v>0.6871527778</v>
      </c>
      <c r="D1124" s="50"/>
      <c r="E1124" s="58"/>
      <c r="F1124" s="58"/>
      <c r="G1124" s="58" t="str">
        <f>IFERROR(__xludf.DUMMYFUNCTION("""COMPUTED_VALUE"""),"Null")</f>
        <v>Null</v>
      </c>
      <c r="H1124" s="206" t="str">
        <f>IFERROR(__xludf.DUMMYFUNCTION("""COMPUTED_VALUE"""),"Negative")</f>
        <v>Negative</v>
      </c>
      <c r="I1124" s="207"/>
      <c r="J1124" s="50"/>
      <c r="K1124" s="50">
        <f>IFERROR(__xludf.DUMMYFUNCTION("""COMPUTED_VALUE"""),2.0)</f>
        <v>2</v>
      </c>
      <c r="L1124" s="6"/>
      <c r="M1124" s="55"/>
      <c r="N1124" s="55">
        <f>IFERROR(__xludf.DUMMYFUNCTION("""COMPUTED_VALUE"""),1.0)</f>
        <v>1</v>
      </c>
      <c r="O1124" s="55" t="str">
        <f t="shared" si="3"/>
        <v/>
      </c>
      <c r="P1124" s="209"/>
      <c r="Q1124" s="75" t="b">
        <f>VLOOKUP($B1124,'Run Reconcile'!B$2:P1679,15,FALSE)</f>
        <v>1</v>
      </c>
      <c r="R1124" s="211" t="str">
        <f t="array" ref="R1124">IF($Q1124, INDEX('Run Reconcile'!A$2:A1679,MATCH(B1124,'Run Reconcile'!B$2:B1679,0),1),IFERROR(0/0,""))</f>
        <v>RUN-COMB_2022-06-27_RFR-061</v>
      </c>
      <c r="S1124" s="165" t="str">
        <f t="shared" ref="S1124:T1124" si="2247">IF(COUNTIF(W$2:W1679, $A1124) &gt; 0,TRUE,IFERROR(0/0,""))</f>
        <v/>
      </c>
      <c r="T1124" s="165" t="str">
        <f t="shared" si="2247"/>
        <v/>
      </c>
      <c r="U1124" s="147" t="str">
        <f t="array" ref="U1124">IF(ISBLANK($R1124), IF($S1124,VLOOKUP($B1124+1,'RFR Data - preExcl'!$BF$2:$BG1679,2,FALSE),IF($T1124,INDEX('RFR Data - preExcl'!$BF$2:$BG1679,MATCH($B1124,'RFR Data - preExcl'!$BF$2:$BF1679,0)+1,2),VLOOKUP($B1124,'RFR Data - preExcl'!$BF$2:$BG1679,2,FALSE))),IFERROR(0/0,""))</f>
        <v/>
      </c>
      <c r="V1124" s="212" t="str">
        <f t="shared" si="5"/>
        <v>RUN-COMB_2022-06-27_RFR-061</v>
      </c>
      <c r="W1124" s="51"/>
      <c r="X1124" s="51"/>
      <c r="Y1124" s="147" t="str">
        <f t="shared" ref="Y1124:Z1124" si="2248">IF(_xlfn.ISFORMULA(S1124),IFERROR(0/0,""),TRUE)</f>
        <v/>
      </c>
      <c r="Z1124" s="147" t="str">
        <f t="shared" si="2248"/>
        <v/>
      </c>
    </row>
    <row r="1125">
      <c r="A1125" s="6" t="str">
        <f>IFERROR(__xludf.DUMMYFUNCTION("""COMPUTED_VALUE"""),"FM2175")</f>
        <v>FM2175</v>
      </c>
      <c r="B1125" s="206">
        <f>IFERROR(__xludf.DUMMYFUNCTION("""COMPUTED_VALUE"""),44739.0)</f>
        <v>44739</v>
      </c>
      <c r="C1125" s="207">
        <f>IFERROR(__xludf.DUMMYFUNCTION("""COMPUTED_VALUE"""),0.6878356481481481)</f>
        <v>0.6878356481</v>
      </c>
      <c r="D1125" s="50"/>
      <c r="E1125" s="58"/>
      <c r="F1125" s="58"/>
      <c r="G1125" s="58" t="str">
        <f>IFERROR(__xludf.DUMMYFUNCTION("""COMPUTED_VALUE"""),"Null")</f>
        <v>Null</v>
      </c>
      <c r="H1125" s="206" t="str">
        <f>IFERROR(__xludf.DUMMYFUNCTION("""COMPUTED_VALUE"""),"Negative")</f>
        <v>Negative</v>
      </c>
      <c r="I1125" s="207"/>
      <c r="J1125" s="50"/>
      <c r="K1125" s="50">
        <f>IFERROR(__xludf.DUMMYFUNCTION("""COMPUTED_VALUE"""),2.0)</f>
        <v>2</v>
      </c>
      <c r="L1125" s="6"/>
      <c r="M1125" s="55"/>
      <c r="N1125" s="55">
        <f>IFERROR(__xludf.DUMMYFUNCTION("""COMPUTED_VALUE"""),1.0)</f>
        <v>1</v>
      </c>
      <c r="O1125" s="55" t="str">
        <f t="shared" si="3"/>
        <v/>
      </c>
      <c r="P1125" s="209"/>
      <c r="Q1125" s="75" t="b">
        <f>VLOOKUP($B1125,'Run Reconcile'!B$2:P1679,15,FALSE)</f>
        <v>1</v>
      </c>
      <c r="R1125" s="211" t="str">
        <f t="array" ref="R1125">IF($Q1125, INDEX('Run Reconcile'!A$2:A1679,MATCH(B1125,'Run Reconcile'!B$2:B1679,0),1),IFERROR(0/0,""))</f>
        <v>RUN-COMB_2022-06-27_RFR-061</v>
      </c>
      <c r="S1125" s="165" t="str">
        <f t="shared" ref="S1125:T1125" si="2249">IF(COUNTIF(W$2:W1679, $A1125) &gt; 0,TRUE,IFERROR(0/0,""))</f>
        <v/>
      </c>
      <c r="T1125" s="165" t="str">
        <f t="shared" si="2249"/>
        <v/>
      </c>
      <c r="U1125" s="147" t="str">
        <f t="array" ref="U1125">IF(ISBLANK($R1125), IF($S1125,VLOOKUP($B1125+1,'RFR Data - preExcl'!$BF$2:$BG1679,2,FALSE),IF($T1125,INDEX('RFR Data - preExcl'!$BF$2:$BG1679,MATCH($B1125,'RFR Data - preExcl'!$BF$2:$BF1679,0)+1,2),VLOOKUP($B1125,'RFR Data - preExcl'!$BF$2:$BG1679,2,FALSE))),IFERROR(0/0,""))</f>
        <v/>
      </c>
      <c r="V1125" s="212" t="str">
        <f t="shared" si="5"/>
        <v>RUN-COMB_2022-06-27_RFR-061</v>
      </c>
      <c r="W1125" s="51"/>
      <c r="X1125" s="51"/>
      <c r="Y1125" s="147" t="str">
        <f t="shared" ref="Y1125:Z1125" si="2250">IF(_xlfn.ISFORMULA(S1125),IFERROR(0/0,""),TRUE)</f>
        <v/>
      </c>
      <c r="Z1125" s="147" t="str">
        <f t="shared" si="2250"/>
        <v/>
      </c>
    </row>
    <row r="1126">
      <c r="A1126" s="6" t="str">
        <f>IFERROR(__xludf.DUMMYFUNCTION("""COMPUTED_VALUE"""),"FM2108")</f>
        <v>FM2108</v>
      </c>
      <c r="B1126" s="206">
        <f>IFERROR(__xludf.DUMMYFUNCTION("""COMPUTED_VALUE"""),44739.0)</f>
        <v>44739</v>
      </c>
      <c r="C1126" s="207">
        <f>IFERROR(__xludf.DUMMYFUNCTION("""COMPUTED_VALUE"""),0.6978819444444444)</f>
        <v>0.6978819444</v>
      </c>
      <c r="D1126" s="50"/>
      <c r="E1126" s="58"/>
      <c r="F1126" s="58"/>
      <c r="G1126" s="58" t="str">
        <f>IFERROR(__xludf.DUMMYFUNCTION("""COMPUTED_VALUE"""),"Null")</f>
        <v>Null</v>
      </c>
      <c r="H1126" s="206" t="str">
        <f>IFERROR(__xludf.DUMMYFUNCTION("""COMPUTED_VALUE"""),"Negative")</f>
        <v>Negative</v>
      </c>
      <c r="I1126" s="207"/>
      <c r="J1126" s="50"/>
      <c r="K1126" s="50">
        <f>IFERROR(__xludf.DUMMYFUNCTION("""COMPUTED_VALUE"""),2.0)</f>
        <v>2</v>
      </c>
      <c r="L1126" s="6"/>
      <c r="M1126" s="55"/>
      <c r="N1126" s="55">
        <f>IFERROR(__xludf.DUMMYFUNCTION("""COMPUTED_VALUE"""),1.0)</f>
        <v>1</v>
      </c>
      <c r="O1126" s="55" t="str">
        <f t="shared" si="3"/>
        <v/>
      </c>
      <c r="P1126" s="209"/>
      <c r="Q1126" s="75" t="b">
        <f>VLOOKUP($B1126,'Run Reconcile'!B$2:P1679,15,FALSE)</f>
        <v>1</v>
      </c>
      <c r="R1126" s="211" t="str">
        <f t="array" ref="R1126">IF($Q1126, INDEX('Run Reconcile'!A$2:A1679,MATCH(B1126,'Run Reconcile'!B$2:B1679,0),1),IFERROR(0/0,""))</f>
        <v>RUN-COMB_2022-06-27_RFR-061</v>
      </c>
      <c r="S1126" s="165" t="str">
        <f t="shared" ref="S1126:T1126" si="2251">IF(COUNTIF(W$2:W1679, $A1126) &gt; 0,TRUE,IFERROR(0/0,""))</f>
        <v/>
      </c>
      <c r="T1126" s="165" t="str">
        <f t="shared" si="2251"/>
        <v/>
      </c>
      <c r="U1126" s="147" t="str">
        <f t="array" ref="U1126">IF(ISBLANK($R1126), IF($S1126,VLOOKUP($B1126+1,'RFR Data - preExcl'!$BF$2:$BG1679,2,FALSE),IF($T1126,INDEX('RFR Data - preExcl'!$BF$2:$BG1679,MATCH($B1126,'RFR Data - preExcl'!$BF$2:$BF1679,0)+1,2),VLOOKUP($B1126,'RFR Data - preExcl'!$BF$2:$BG1679,2,FALSE))),IFERROR(0/0,""))</f>
        <v/>
      </c>
      <c r="V1126" s="212" t="str">
        <f t="shared" si="5"/>
        <v>RUN-COMB_2022-06-27_RFR-061</v>
      </c>
      <c r="W1126" s="51"/>
      <c r="X1126" s="51"/>
      <c r="Y1126" s="147" t="str">
        <f t="shared" ref="Y1126:Z1126" si="2252">IF(_xlfn.ISFORMULA(S1126),IFERROR(0/0,""),TRUE)</f>
        <v/>
      </c>
      <c r="Z1126" s="147" t="str">
        <f t="shared" si="2252"/>
        <v/>
      </c>
    </row>
    <row r="1127">
      <c r="A1127" s="6" t="str">
        <f>IFERROR(__xludf.DUMMYFUNCTION("""COMPUTED_VALUE"""),"FM2465")</f>
        <v>FM2465</v>
      </c>
      <c r="B1127" s="206">
        <f>IFERROR(__xludf.DUMMYFUNCTION("""COMPUTED_VALUE"""),44739.0)</f>
        <v>44739</v>
      </c>
      <c r="C1127" s="207">
        <f>IFERROR(__xludf.DUMMYFUNCTION("""COMPUTED_VALUE"""),0.6995949074074074)</f>
        <v>0.6995949074</v>
      </c>
      <c r="D1127" s="50"/>
      <c r="E1127" s="58"/>
      <c r="F1127" s="58"/>
      <c r="G1127" s="58" t="str">
        <f>IFERROR(__xludf.DUMMYFUNCTION("""COMPUTED_VALUE"""),"Null")</f>
        <v>Null</v>
      </c>
      <c r="H1127" s="206" t="str">
        <f>IFERROR(__xludf.DUMMYFUNCTION("""COMPUTED_VALUE"""),"Negative")</f>
        <v>Negative</v>
      </c>
      <c r="I1127" s="207"/>
      <c r="J1127" s="50"/>
      <c r="K1127" s="50">
        <f>IFERROR(__xludf.DUMMYFUNCTION("""COMPUTED_VALUE"""),2.0)</f>
        <v>2</v>
      </c>
      <c r="L1127" s="6"/>
      <c r="M1127" s="55"/>
      <c r="N1127" s="55">
        <f>IFERROR(__xludf.DUMMYFUNCTION("""COMPUTED_VALUE"""),1.0)</f>
        <v>1</v>
      </c>
      <c r="O1127" s="55" t="str">
        <f t="shared" si="3"/>
        <v/>
      </c>
      <c r="P1127" s="209"/>
      <c r="Q1127" s="75" t="b">
        <f>VLOOKUP($B1127,'Run Reconcile'!B$2:P1679,15,FALSE)</f>
        <v>1</v>
      </c>
      <c r="R1127" s="211" t="str">
        <f t="array" ref="R1127">IF($Q1127, INDEX('Run Reconcile'!A$2:A1679,MATCH(B1127,'Run Reconcile'!B$2:B1679,0),1),IFERROR(0/0,""))</f>
        <v>RUN-COMB_2022-06-27_RFR-061</v>
      </c>
      <c r="S1127" s="165" t="str">
        <f t="shared" ref="S1127:T1127" si="2253">IF(COUNTIF(W$2:W1679, $A1127) &gt; 0,TRUE,IFERROR(0/0,""))</f>
        <v/>
      </c>
      <c r="T1127" s="165" t="str">
        <f t="shared" si="2253"/>
        <v/>
      </c>
      <c r="U1127" s="147" t="str">
        <f t="array" ref="U1127">IF(ISBLANK($R1127), IF($S1127,VLOOKUP($B1127+1,'RFR Data - preExcl'!$BF$2:$BG1679,2,FALSE),IF($T1127,INDEX('RFR Data - preExcl'!$BF$2:$BG1679,MATCH($B1127,'RFR Data - preExcl'!$BF$2:$BF1679,0)+1,2),VLOOKUP($B1127,'RFR Data - preExcl'!$BF$2:$BG1679,2,FALSE))),IFERROR(0/0,""))</f>
        <v/>
      </c>
      <c r="V1127" s="212" t="str">
        <f t="shared" si="5"/>
        <v>RUN-COMB_2022-06-27_RFR-061</v>
      </c>
      <c r="W1127" s="51"/>
      <c r="X1127" s="51"/>
      <c r="Y1127" s="147" t="str">
        <f t="shared" ref="Y1127:Z1127" si="2254">IF(_xlfn.ISFORMULA(S1127),IFERROR(0/0,""),TRUE)</f>
        <v/>
      </c>
      <c r="Z1127" s="147" t="str">
        <f t="shared" si="2254"/>
        <v/>
      </c>
    </row>
    <row r="1128">
      <c r="A1128" s="6" t="str">
        <f>IFERROR(__xludf.DUMMYFUNCTION("""COMPUTED_VALUE"""),"FM2195")</f>
        <v>FM2195</v>
      </c>
      <c r="B1128" s="206">
        <f>IFERROR(__xludf.DUMMYFUNCTION("""COMPUTED_VALUE"""),44739.0)</f>
        <v>44739</v>
      </c>
      <c r="C1128" s="207">
        <f>IFERROR(__xludf.DUMMYFUNCTION("""COMPUTED_VALUE"""),0.703587962962963)</f>
        <v>0.703587963</v>
      </c>
      <c r="D1128" s="50"/>
      <c r="E1128" s="58"/>
      <c r="F1128" s="58"/>
      <c r="G1128" s="58" t="str">
        <f>IFERROR(__xludf.DUMMYFUNCTION("""COMPUTED_VALUE"""),"Null")</f>
        <v>Null</v>
      </c>
      <c r="H1128" s="206" t="str">
        <f>IFERROR(__xludf.DUMMYFUNCTION("""COMPUTED_VALUE"""),"Negative")</f>
        <v>Negative</v>
      </c>
      <c r="I1128" s="207"/>
      <c r="J1128" s="50"/>
      <c r="K1128" s="50">
        <f>IFERROR(__xludf.DUMMYFUNCTION("""COMPUTED_VALUE"""),2.0)</f>
        <v>2</v>
      </c>
      <c r="L1128" s="6"/>
      <c r="M1128" s="55"/>
      <c r="N1128" s="55">
        <f>IFERROR(__xludf.DUMMYFUNCTION("""COMPUTED_VALUE"""),1.0)</f>
        <v>1</v>
      </c>
      <c r="O1128" s="55" t="str">
        <f t="shared" si="3"/>
        <v/>
      </c>
      <c r="P1128" s="209"/>
      <c r="Q1128" s="75" t="b">
        <f>VLOOKUP($B1128,'Run Reconcile'!B$2:P1679,15,FALSE)</f>
        <v>1</v>
      </c>
      <c r="R1128" s="211" t="str">
        <f t="array" ref="R1128">IF($Q1128, INDEX('Run Reconcile'!A$2:A1679,MATCH(B1128,'Run Reconcile'!B$2:B1679,0),1),IFERROR(0/0,""))</f>
        <v>RUN-COMB_2022-06-27_RFR-061</v>
      </c>
      <c r="S1128" s="165" t="str">
        <f t="shared" ref="S1128:T1128" si="2255">IF(COUNTIF(W$2:W1679, $A1128) &gt; 0,TRUE,IFERROR(0/0,""))</f>
        <v/>
      </c>
      <c r="T1128" s="165" t="str">
        <f t="shared" si="2255"/>
        <v/>
      </c>
      <c r="U1128" s="147" t="str">
        <f t="array" ref="U1128">IF(ISBLANK($R1128), IF($S1128,VLOOKUP($B1128+1,'RFR Data - preExcl'!$BF$2:$BG1679,2,FALSE),IF($T1128,INDEX('RFR Data - preExcl'!$BF$2:$BG1679,MATCH($B1128,'RFR Data - preExcl'!$BF$2:$BF1679,0)+1,2),VLOOKUP($B1128,'RFR Data - preExcl'!$BF$2:$BG1679,2,FALSE))),IFERROR(0/0,""))</f>
        <v/>
      </c>
      <c r="V1128" s="212" t="str">
        <f t="shared" si="5"/>
        <v>RUN-COMB_2022-06-27_RFR-061</v>
      </c>
      <c r="W1128" s="51"/>
      <c r="X1128" s="51"/>
      <c r="Y1128" s="147" t="str">
        <f t="shared" ref="Y1128:Z1128" si="2256">IF(_xlfn.ISFORMULA(S1128),IFERROR(0/0,""),TRUE)</f>
        <v/>
      </c>
      <c r="Z1128" s="147" t="str">
        <f t="shared" si="2256"/>
        <v/>
      </c>
    </row>
    <row r="1129">
      <c r="A1129" s="6" t="str">
        <f>IFERROR(__xludf.DUMMYFUNCTION("""COMPUTED_VALUE"""),"FM2104")</f>
        <v>FM2104</v>
      </c>
      <c r="B1129" s="206">
        <f>IFERROR(__xludf.DUMMYFUNCTION("""COMPUTED_VALUE"""),44739.0)</f>
        <v>44739</v>
      </c>
      <c r="C1129" s="207">
        <f>IFERROR(__xludf.DUMMYFUNCTION("""COMPUTED_VALUE"""),0.7044328703703704)</f>
        <v>0.7044328704</v>
      </c>
      <c r="D1129" s="50"/>
      <c r="E1129" s="58"/>
      <c r="F1129" s="58"/>
      <c r="G1129" s="58" t="str">
        <f>IFERROR(__xludf.DUMMYFUNCTION("""COMPUTED_VALUE"""),"Null")</f>
        <v>Null</v>
      </c>
      <c r="H1129" s="206" t="str">
        <f>IFERROR(__xludf.DUMMYFUNCTION("""COMPUTED_VALUE"""),"Negative")</f>
        <v>Negative</v>
      </c>
      <c r="I1129" s="207"/>
      <c r="J1129" s="50"/>
      <c r="K1129" s="50">
        <f>IFERROR(__xludf.DUMMYFUNCTION("""COMPUTED_VALUE"""),2.0)</f>
        <v>2</v>
      </c>
      <c r="L1129" s="6"/>
      <c r="M1129" s="55"/>
      <c r="N1129" s="55">
        <f>IFERROR(__xludf.DUMMYFUNCTION("""COMPUTED_VALUE"""),1.0)</f>
        <v>1</v>
      </c>
      <c r="O1129" s="55" t="str">
        <f t="shared" si="3"/>
        <v/>
      </c>
      <c r="P1129" s="209"/>
      <c r="Q1129" s="75" t="b">
        <f>VLOOKUP($B1129,'Run Reconcile'!B$2:P1679,15,FALSE)</f>
        <v>1</v>
      </c>
      <c r="R1129" s="211" t="str">
        <f t="array" ref="R1129">IF($Q1129, INDEX('Run Reconcile'!A$2:A1679,MATCH(B1129,'Run Reconcile'!B$2:B1679,0),1),IFERROR(0/0,""))</f>
        <v>RUN-COMB_2022-06-27_RFR-061</v>
      </c>
      <c r="S1129" s="165" t="str">
        <f t="shared" ref="S1129:T1129" si="2257">IF(COUNTIF(W$2:W1679, $A1129) &gt; 0,TRUE,IFERROR(0/0,""))</f>
        <v/>
      </c>
      <c r="T1129" s="165" t="str">
        <f t="shared" si="2257"/>
        <v/>
      </c>
      <c r="U1129" s="147" t="str">
        <f t="array" ref="U1129">IF(ISBLANK($R1129), IF($S1129,VLOOKUP($B1129+1,'RFR Data - preExcl'!$BF$2:$BG1679,2,FALSE),IF($T1129,INDEX('RFR Data - preExcl'!$BF$2:$BG1679,MATCH($B1129,'RFR Data - preExcl'!$BF$2:$BF1679,0)+1,2),VLOOKUP($B1129,'RFR Data - preExcl'!$BF$2:$BG1679,2,FALSE))),IFERROR(0/0,""))</f>
        <v/>
      </c>
      <c r="V1129" s="212" t="str">
        <f t="shared" si="5"/>
        <v>RUN-COMB_2022-06-27_RFR-061</v>
      </c>
      <c r="W1129" s="51"/>
      <c r="X1129" s="51"/>
      <c r="Y1129" s="147" t="str">
        <f t="shared" ref="Y1129:Z1129" si="2258">IF(_xlfn.ISFORMULA(S1129),IFERROR(0/0,""),TRUE)</f>
        <v/>
      </c>
      <c r="Z1129" s="147" t="str">
        <f t="shared" si="2258"/>
        <v/>
      </c>
    </row>
    <row r="1130">
      <c r="A1130" s="6" t="str">
        <f>IFERROR(__xludf.DUMMYFUNCTION("""COMPUTED_VALUE"""),"FM2515")</f>
        <v>FM2515</v>
      </c>
      <c r="B1130" s="206">
        <f>IFERROR(__xludf.DUMMYFUNCTION("""COMPUTED_VALUE"""),44739.0)</f>
        <v>44739</v>
      </c>
      <c r="C1130" s="207">
        <f>IFERROR(__xludf.DUMMYFUNCTION("""COMPUTED_VALUE"""),0.7047337962962963)</f>
        <v>0.7047337963</v>
      </c>
      <c r="D1130" s="50"/>
      <c r="E1130" s="58"/>
      <c r="F1130" s="58"/>
      <c r="G1130" s="58" t="str">
        <f>IFERROR(__xludf.DUMMYFUNCTION("""COMPUTED_VALUE"""),"Null")</f>
        <v>Null</v>
      </c>
      <c r="H1130" s="206" t="str">
        <f>IFERROR(__xludf.DUMMYFUNCTION("""COMPUTED_VALUE"""),"Negative")</f>
        <v>Negative</v>
      </c>
      <c r="I1130" s="207"/>
      <c r="J1130" s="50"/>
      <c r="K1130" s="50">
        <f>IFERROR(__xludf.DUMMYFUNCTION("""COMPUTED_VALUE"""),2.0)</f>
        <v>2</v>
      </c>
      <c r="L1130" s="6"/>
      <c r="M1130" s="55"/>
      <c r="N1130" s="55">
        <f>IFERROR(__xludf.DUMMYFUNCTION("""COMPUTED_VALUE"""),1.0)</f>
        <v>1</v>
      </c>
      <c r="O1130" s="55" t="str">
        <f t="shared" si="3"/>
        <v/>
      </c>
      <c r="P1130" s="209"/>
      <c r="Q1130" s="75" t="b">
        <f>VLOOKUP($B1130,'Run Reconcile'!B$2:P1679,15,FALSE)</f>
        <v>1</v>
      </c>
      <c r="R1130" s="211" t="str">
        <f t="array" ref="R1130">IF($Q1130, INDEX('Run Reconcile'!A$2:A1679,MATCH(B1130,'Run Reconcile'!B$2:B1679,0),1),IFERROR(0/0,""))</f>
        <v>RUN-COMB_2022-06-27_RFR-061</v>
      </c>
      <c r="S1130" s="165" t="str">
        <f t="shared" ref="S1130:T1130" si="2259">IF(COUNTIF(W$2:W1679, $A1130) &gt; 0,TRUE,IFERROR(0/0,""))</f>
        <v/>
      </c>
      <c r="T1130" s="165" t="str">
        <f t="shared" si="2259"/>
        <v/>
      </c>
      <c r="U1130" s="147" t="str">
        <f t="array" ref="U1130">IF(ISBLANK($R1130), IF($S1130,VLOOKUP($B1130+1,'RFR Data - preExcl'!$BF$2:$BG1679,2,FALSE),IF($T1130,INDEX('RFR Data - preExcl'!$BF$2:$BG1679,MATCH($B1130,'RFR Data - preExcl'!$BF$2:$BF1679,0)+1,2),VLOOKUP($B1130,'RFR Data - preExcl'!$BF$2:$BG1679,2,FALSE))),IFERROR(0/0,""))</f>
        <v/>
      </c>
      <c r="V1130" s="212" t="str">
        <f t="shared" si="5"/>
        <v>RUN-COMB_2022-06-27_RFR-061</v>
      </c>
      <c r="W1130" s="51"/>
      <c r="X1130" s="51"/>
      <c r="Y1130" s="147" t="str">
        <f t="shared" ref="Y1130:Z1130" si="2260">IF(_xlfn.ISFORMULA(S1130),IFERROR(0/0,""),TRUE)</f>
        <v/>
      </c>
      <c r="Z1130" s="147" t="str">
        <f t="shared" si="2260"/>
        <v/>
      </c>
    </row>
    <row r="1131">
      <c r="A1131" s="6" t="str">
        <f>IFERROR(__xludf.DUMMYFUNCTION("""COMPUTED_VALUE"""),"FM2473")</f>
        <v>FM2473</v>
      </c>
      <c r="B1131" s="206">
        <f>IFERROR(__xludf.DUMMYFUNCTION("""COMPUTED_VALUE"""),44739.0)</f>
        <v>44739</v>
      </c>
      <c r="C1131" s="207">
        <f>IFERROR(__xludf.DUMMYFUNCTION("""COMPUTED_VALUE"""),0.7050231481481481)</f>
        <v>0.7050231481</v>
      </c>
      <c r="D1131" s="50"/>
      <c r="E1131" s="58"/>
      <c r="F1131" s="58"/>
      <c r="G1131" s="58" t="str">
        <f>IFERROR(__xludf.DUMMYFUNCTION("""COMPUTED_VALUE"""),"Null")</f>
        <v>Null</v>
      </c>
      <c r="H1131" s="206" t="str">
        <f>IFERROR(__xludf.DUMMYFUNCTION("""COMPUTED_VALUE"""),"Negative")</f>
        <v>Negative</v>
      </c>
      <c r="I1131" s="207"/>
      <c r="J1131" s="50"/>
      <c r="K1131" s="50">
        <f>IFERROR(__xludf.DUMMYFUNCTION("""COMPUTED_VALUE"""),2.0)</f>
        <v>2</v>
      </c>
      <c r="L1131" s="6"/>
      <c r="M1131" s="55"/>
      <c r="N1131" s="55">
        <f>IFERROR(__xludf.DUMMYFUNCTION("""COMPUTED_VALUE"""),1.0)</f>
        <v>1</v>
      </c>
      <c r="O1131" s="55" t="str">
        <f t="shared" si="3"/>
        <v/>
      </c>
      <c r="P1131" s="209"/>
      <c r="Q1131" s="75" t="b">
        <f>VLOOKUP($B1131,'Run Reconcile'!B$2:P1679,15,FALSE)</f>
        <v>1</v>
      </c>
      <c r="R1131" s="211" t="str">
        <f t="array" ref="R1131">IF($Q1131, INDEX('Run Reconcile'!A$2:A1679,MATCH(B1131,'Run Reconcile'!B$2:B1679,0),1),IFERROR(0/0,""))</f>
        <v>RUN-COMB_2022-06-27_RFR-061</v>
      </c>
      <c r="S1131" s="165" t="str">
        <f t="shared" ref="S1131:T1131" si="2261">IF(COUNTIF(W$2:W1679, $A1131) &gt; 0,TRUE,IFERROR(0/0,""))</f>
        <v/>
      </c>
      <c r="T1131" s="165" t="str">
        <f t="shared" si="2261"/>
        <v/>
      </c>
      <c r="U1131" s="147" t="str">
        <f t="array" ref="U1131">IF(ISBLANK($R1131), IF($S1131,VLOOKUP($B1131+1,'RFR Data - preExcl'!$BF$2:$BG1679,2,FALSE),IF($T1131,INDEX('RFR Data - preExcl'!$BF$2:$BG1679,MATCH($B1131,'RFR Data - preExcl'!$BF$2:$BF1679,0)+1,2),VLOOKUP($B1131,'RFR Data - preExcl'!$BF$2:$BG1679,2,FALSE))),IFERROR(0/0,""))</f>
        <v/>
      </c>
      <c r="V1131" s="212" t="str">
        <f t="shared" si="5"/>
        <v>RUN-COMB_2022-06-27_RFR-061</v>
      </c>
      <c r="W1131" s="51"/>
      <c r="X1131" s="51"/>
      <c r="Y1131" s="147" t="str">
        <f t="shared" ref="Y1131:Z1131" si="2262">IF(_xlfn.ISFORMULA(S1131),IFERROR(0/0,""),TRUE)</f>
        <v/>
      </c>
      <c r="Z1131" s="147" t="str">
        <f t="shared" si="2262"/>
        <v/>
      </c>
    </row>
    <row r="1132">
      <c r="A1132" s="6" t="str">
        <f>IFERROR(__xludf.DUMMYFUNCTION("""COMPUTED_VALUE"""),"FM2105")</f>
        <v>FM2105</v>
      </c>
      <c r="B1132" s="206">
        <f>IFERROR(__xludf.DUMMYFUNCTION("""COMPUTED_VALUE"""),44739.0)</f>
        <v>44739</v>
      </c>
      <c r="C1132" s="207">
        <f>IFERROR(__xludf.DUMMYFUNCTION("""COMPUTED_VALUE"""),0.7053703703703704)</f>
        <v>0.7053703704</v>
      </c>
      <c r="D1132" s="50"/>
      <c r="E1132" s="58"/>
      <c r="F1132" s="58"/>
      <c r="G1132" s="58" t="str">
        <f>IFERROR(__xludf.DUMMYFUNCTION("""COMPUTED_VALUE"""),"Null")</f>
        <v>Null</v>
      </c>
      <c r="H1132" s="206" t="str">
        <f>IFERROR(__xludf.DUMMYFUNCTION("""COMPUTED_VALUE"""),"Negative")</f>
        <v>Negative</v>
      </c>
      <c r="I1132" s="207"/>
      <c r="J1132" s="50"/>
      <c r="K1132" s="50">
        <f>IFERROR(__xludf.DUMMYFUNCTION("""COMPUTED_VALUE"""),2.0)</f>
        <v>2</v>
      </c>
      <c r="L1132" s="6"/>
      <c r="M1132" s="55"/>
      <c r="N1132" s="55">
        <f>IFERROR(__xludf.DUMMYFUNCTION("""COMPUTED_VALUE"""),1.0)</f>
        <v>1</v>
      </c>
      <c r="O1132" s="55" t="str">
        <f t="shared" si="3"/>
        <v/>
      </c>
      <c r="P1132" s="209"/>
      <c r="Q1132" s="75" t="b">
        <f>VLOOKUP($B1132,'Run Reconcile'!B$2:P1679,15,FALSE)</f>
        <v>1</v>
      </c>
      <c r="R1132" s="211" t="str">
        <f t="array" ref="R1132">IF($Q1132, INDEX('Run Reconcile'!A$2:A1679,MATCH(B1132,'Run Reconcile'!B$2:B1679,0),1),IFERROR(0/0,""))</f>
        <v>RUN-COMB_2022-06-27_RFR-061</v>
      </c>
      <c r="S1132" s="165" t="str">
        <f t="shared" ref="S1132:T1132" si="2263">IF(COUNTIF(W$2:W1679, $A1132) &gt; 0,TRUE,IFERROR(0/0,""))</f>
        <v/>
      </c>
      <c r="T1132" s="165" t="str">
        <f t="shared" si="2263"/>
        <v/>
      </c>
      <c r="U1132" s="147" t="str">
        <f t="array" ref="U1132">IF(ISBLANK($R1132), IF($S1132,VLOOKUP($B1132+1,'RFR Data - preExcl'!$BF$2:$BG1679,2,FALSE),IF($T1132,INDEX('RFR Data - preExcl'!$BF$2:$BG1679,MATCH($B1132,'RFR Data - preExcl'!$BF$2:$BF1679,0)+1,2),VLOOKUP($B1132,'RFR Data - preExcl'!$BF$2:$BG1679,2,FALSE))),IFERROR(0/0,""))</f>
        <v/>
      </c>
      <c r="V1132" s="212" t="str">
        <f t="shared" si="5"/>
        <v>RUN-COMB_2022-06-27_RFR-061</v>
      </c>
      <c r="W1132" s="51"/>
      <c r="X1132" s="51"/>
      <c r="Y1132" s="147" t="str">
        <f t="shared" ref="Y1132:Z1132" si="2264">IF(_xlfn.ISFORMULA(S1132),IFERROR(0/0,""),TRUE)</f>
        <v/>
      </c>
      <c r="Z1132" s="147" t="str">
        <f t="shared" si="2264"/>
        <v/>
      </c>
    </row>
    <row r="1133">
      <c r="A1133" s="6" t="str">
        <f>IFERROR(__xludf.DUMMYFUNCTION("""COMPUTED_VALUE"""),"FM2162")</f>
        <v>FM2162</v>
      </c>
      <c r="B1133" s="206">
        <f>IFERROR(__xludf.DUMMYFUNCTION("""COMPUTED_VALUE"""),44739.0)</f>
        <v>44739</v>
      </c>
      <c r="C1133" s="207">
        <f>IFERROR(__xludf.DUMMYFUNCTION("""COMPUTED_VALUE"""),0.7058101851851852)</f>
        <v>0.7058101852</v>
      </c>
      <c r="D1133" s="50"/>
      <c r="E1133" s="58"/>
      <c r="F1133" s="58"/>
      <c r="G1133" s="58" t="str">
        <f>IFERROR(__xludf.DUMMYFUNCTION("""COMPUTED_VALUE"""),"Null")</f>
        <v>Null</v>
      </c>
      <c r="H1133" s="206" t="str">
        <f>IFERROR(__xludf.DUMMYFUNCTION("""COMPUTED_VALUE"""),"Negative")</f>
        <v>Negative</v>
      </c>
      <c r="I1133" s="207"/>
      <c r="J1133" s="50"/>
      <c r="K1133" s="50">
        <f>IFERROR(__xludf.DUMMYFUNCTION("""COMPUTED_VALUE"""),2.0)</f>
        <v>2</v>
      </c>
      <c r="L1133" s="6"/>
      <c r="M1133" s="55"/>
      <c r="N1133" s="55">
        <f>IFERROR(__xludf.DUMMYFUNCTION("""COMPUTED_VALUE"""),1.0)</f>
        <v>1</v>
      </c>
      <c r="O1133" s="55" t="str">
        <f t="shared" si="3"/>
        <v/>
      </c>
      <c r="P1133" s="209"/>
      <c r="Q1133" s="75" t="b">
        <f>VLOOKUP($B1133,'Run Reconcile'!B$2:P1679,15,FALSE)</f>
        <v>1</v>
      </c>
      <c r="R1133" s="211" t="str">
        <f t="array" ref="R1133">IF($Q1133, INDEX('Run Reconcile'!A$2:A1679,MATCH(B1133,'Run Reconcile'!B$2:B1679,0),1),IFERROR(0/0,""))</f>
        <v>RUN-COMB_2022-06-27_RFR-061</v>
      </c>
      <c r="S1133" s="165" t="str">
        <f t="shared" ref="S1133:T1133" si="2265">IF(COUNTIF(W$2:W1679, $A1133) &gt; 0,TRUE,IFERROR(0/0,""))</f>
        <v/>
      </c>
      <c r="T1133" s="165" t="str">
        <f t="shared" si="2265"/>
        <v/>
      </c>
      <c r="U1133" s="147" t="str">
        <f t="array" ref="U1133">IF(ISBLANK($R1133), IF($S1133,VLOOKUP($B1133+1,'RFR Data - preExcl'!$BF$2:$BG1679,2,FALSE),IF($T1133,INDEX('RFR Data - preExcl'!$BF$2:$BG1679,MATCH($B1133,'RFR Data - preExcl'!$BF$2:$BF1679,0)+1,2),VLOOKUP($B1133,'RFR Data - preExcl'!$BF$2:$BG1679,2,FALSE))),IFERROR(0/0,""))</f>
        <v/>
      </c>
      <c r="V1133" s="212" t="str">
        <f t="shared" si="5"/>
        <v>RUN-COMB_2022-06-27_RFR-061</v>
      </c>
      <c r="W1133" s="51"/>
      <c r="X1133" s="51"/>
      <c r="Y1133" s="147" t="str">
        <f t="shared" ref="Y1133:Z1133" si="2266">IF(_xlfn.ISFORMULA(S1133),IFERROR(0/0,""),TRUE)</f>
        <v/>
      </c>
      <c r="Z1133" s="147" t="str">
        <f t="shared" si="2266"/>
        <v/>
      </c>
    </row>
    <row r="1134">
      <c r="A1134" s="6" t="str">
        <f>IFERROR(__xludf.DUMMYFUNCTION("""COMPUTED_VALUE"""),"FM2213")</f>
        <v>FM2213</v>
      </c>
      <c r="B1134" s="206">
        <f>IFERROR(__xludf.DUMMYFUNCTION("""COMPUTED_VALUE"""),44739.0)</f>
        <v>44739</v>
      </c>
      <c r="C1134" s="207">
        <f>IFERROR(__xludf.DUMMYFUNCTION("""COMPUTED_VALUE"""),0.7061689814814814)</f>
        <v>0.7061689815</v>
      </c>
      <c r="D1134" s="50"/>
      <c r="E1134" s="58"/>
      <c r="F1134" s="58"/>
      <c r="G1134" s="58" t="str">
        <f>IFERROR(__xludf.DUMMYFUNCTION("""COMPUTED_VALUE"""),"Null")</f>
        <v>Null</v>
      </c>
      <c r="H1134" s="206" t="str">
        <f>IFERROR(__xludf.DUMMYFUNCTION("""COMPUTED_VALUE"""),"Negative")</f>
        <v>Negative</v>
      </c>
      <c r="I1134" s="207"/>
      <c r="J1134" s="50"/>
      <c r="K1134" s="50">
        <f>IFERROR(__xludf.DUMMYFUNCTION("""COMPUTED_VALUE"""),2.0)</f>
        <v>2</v>
      </c>
      <c r="L1134" s="6"/>
      <c r="M1134" s="55"/>
      <c r="N1134" s="55">
        <f>IFERROR(__xludf.DUMMYFUNCTION("""COMPUTED_VALUE"""),1.0)</f>
        <v>1</v>
      </c>
      <c r="O1134" s="55" t="str">
        <f t="shared" si="3"/>
        <v/>
      </c>
      <c r="P1134" s="209"/>
      <c r="Q1134" s="75" t="b">
        <f>VLOOKUP($B1134,'Run Reconcile'!B$2:P1679,15,FALSE)</f>
        <v>1</v>
      </c>
      <c r="R1134" s="211" t="str">
        <f t="array" ref="R1134">IF($Q1134, INDEX('Run Reconcile'!A$2:A1679,MATCH(B1134,'Run Reconcile'!B$2:B1679,0),1),IFERROR(0/0,""))</f>
        <v>RUN-COMB_2022-06-27_RFR-061</v>
      </c>
      <c r="S1134" s="165" t="str">
        <f t="shared" ref="S1134:T1134" si="2267">IF(COUNTIF(W$2:W1679, $A1134) &gt; 0,TRUE,IFERROR(0/0,""))</f>
        <v/>
      </c>
      <c r="T1134" s="165" t="str">
        <f t="shared" si="2267"/>
        <v/>
      </c>
      <c r="U1134" s="147" t="str">
        <f t="array" ref="U1134">IF(ISBLANK($R1134), IF($S1134,VLOOKUP($B1134+1,'RFR Data - preExcl'!$BF$2:$BG1679,2,FALSE),IF($T1134,INDEX('RFR Data - preExcl'!$BF$2:$BG1679,MATCH($B1134,'RFR Data - preExcl'!$BF$2:$BF1679,0)+1,2),VLOOKUP($B1134,'RFR Data - preExcl'!$BF$2:$BG1679,2,FALSE))),IFERROR(0/0,""))</f>
        <v/>
      </c>
      <c r="V1134" s="212" t="str">
        <f t="shared" si="5"/>
        <v>RUN-COMB_2022-06-27_RFR-061</v>
      </c>
      <c r="W1134" s="51"/>
      <c r="X1134" s="51"/>
      <c r="Y1134" s="147" t="str">
        <f t="shared" ref="Y1134:Z1134" si="2268">IF(_xlfn.ISFORMULA(S1134),IFERROR(0/0,""),TRUE)</f>
        <v/>
      </c>
      <c r="Z1134" s="147" t="str">
        <f t="shared" si="2268"/>
        <v/>
      </c>
    </row>
    <row r="1135">
      <c r="A1135" s="6" t="str">
        <f>IFERROR(__xludf.DUMMYFUNCTION("""COMPUTED_VALUE"""),"FM2201")</f>
        <v>FM2201</v>
      </c>
      <c r="B1135" s="206">
        <f>IFERROR(__xludf.DUMMYFUNCTION("""COMPUTED_VALUE"""),44739.0)</f>
        <v>44739</v>
      </c>
      <c r="C1135" s="207">
        <f>IFERROR(__xludf.DUMMYFUNCTION("""COMPUTED_VALUE"""),0.7065046296296297)</f>
        <v>0.7065046296</v>
      </c>
      <c r="D1135" s="50"/>
      <c r="E1135" s="58"/>
      <c r="F1135" s="58"/>
      <c r="G1135" s="58" t="str">
        <f>IFERROR(__xludf.DUMMYFUNCTION("""COMPUTED_VALUE"""),"Null")</f>
        <v>Null</v>
      </c>
      <c r="H1135" s="206" t="str">
        <f>IFERROR(__xludf.DUMMYFUNCTION("""COMPUTED_VALUE"""),"Negative")</f>
        <v>Negative</v>
      </c>
      <c r="I1135" s="207"/>
      <c r="J1135" s="50"/>
      <c r="K1135" s="50">
        <f>IFERROR(__xludf.DUMMYFUNCTION("""COMPUTED_VALUE"""),2.0)</f>
        <v>2</v>
      </c>
      <c r="L1135" s="6"/>
      <c r="M1135" s="55"/>
      <c r="N1135" s="55">
        <f>IFERROR(__xludf.DUMMYFUNCTION("""COMPUTED_VALUE"""),1.0)</f>
        <v>1</v>
      </c>
      <c r="O1135" s="55" t="str">
        <f t="shared" si="3"/>
        <v/>
      </c>
      <c r="P1135" s="209"/>
      <c r="Q1135" s="75" t="b">
        <f>VLOOKUP($B1135,'Run Reconcile'!B$2:P1679,15,FALSE)</f>
        <v>1</v>
      </c>
      <c r="R1135" s="211" t="str">
        <f t="array" ref="R1135">IF($Q1135, INDEX('Run Reconcile'!A$2:A1679,MATCH(B1135,'Run Reconcile'!B$2:B1679,0),1),IFERROR(0/0,""))</f>
        <v>RUN-COMB_2022-06-27_RFR-061</v>
      </c>
      <c r="S1135" s="165" t="str">
        <f t="shared" ref="S1135:T1135" si="2269">IF(COUNTIF(W$2:W1679, $A1135) &gt; 0,TRUE,IFERROR(0/0,""))</f>
        <v/>
      </c>
      <c r="T1135" s="165" t="str">
        <f t="shared" si="2269"/>
        <v/>
      </c>
      <c r="U1135" s="147" t="str">
        <f t="array" ref="U1135">IF(ISBLANK($R1135), IF($S1135,VLOOKUP($B1135+1,'RFR Data - preExcl'!$BF$2:$BG1679,2,FALSE),IF($T1135,INDEX('RFR Data - preExcl'!$BF$2:$BG1679,MATCH($B1135,'RFR Data - preExcl'!$BF$2:$BF1679,0)+1,2),VLOOKUP($B1135,'RFR Data - preExcl'!$BF$2:$BG1679,2,FALSE))),IFERROR(0/0,""))</f>
        <v/>
      </c>
      <c r="V1135" s="212" t="str">
        <f t="shared" si="5"/>
        <v>RUN-COMB_2022-06-27_RFR-061</v>
      </c>
      <c r="W1135" s="51"/>
      <c r="X1135" s="51"/>
      <c r="Y1135" s="147" t="str">
        <f t="shared" ref="Y1135:Z1135" si="2270">IF(_xlfn.ISFORMULA(S1135),IFERROR(0/0,""),TRUE)</f>
        <v/>
      </c>
      <c r="Z1135" s="147" t="str">
        <f t="shared" si="2270"/>
        <v/>
      </c>
    </row>
    <row r="1136">
      <c r="A1136" s="6" t="str">
        <f>IFERROR(__xludf.DUMMYFUNCTION("""COMPUTED_VALUE"""),"FM2462")</f>
        <v>FM2462</v>
      </c>
      <c r="B1136" s="206">
        <f>IFERROR(__xludf.DUMMYFUNCTION("""COMPUTED_VALUE"""),44739.0)</f>
        <v>44739</v>
      </c>
      <c r="C1136" s="207">
        <f>IFERROR(__xludf.DUMMYFUNCTION("""COMPUTED_VALUE"""),0.7075694444444445)</f>
        <v>0.7075694444</v>
      </c>
      <c r="D1136" s="50"/>
      <c r="E1136" s="58"/>
      <c r="F1136" s="58"/>
      <c r="G1136" s="58" t="str">
        <f>IFERROR(__xludf.DUMMYFUNCTION("""COMPUTED_VALUE"""),"Null")</f>
        <v>Null</v>
      </c>
      <c r="H1136" s="206" t="str">
        <f>IFERROR(__xludf.DUMMYFUNCTION("""COMPUTED_VALUE"""),"Negative")</f>
        <v>Negative</v>
      </c>
      <c r="I1136" s="207"/>
      <c r="J1136" s="50"/>
      <c r="K1136" s="50">
        <f>IFERROR(__xludf.DUMMYFUNCTION("""COMPUTED_VALUE"""),2.0)</f>
        <v>2</v>
      </c>
      <c r="L1136" s="6"/>
      <c r="M1136" s="55"/>
      <c r="N1136" s="55">
        <f>IFERROR(__xludf.DUMMYFUNCTION("""COMPUTED_VALUE"""),1.0)</f>
        <v>1</v>
      </c>
      <c r="O1136" s="55" t="str">
        <f t="shared" si="3"/>
        <v/>
      </c>
      <c r="P1136" s="209"/>
      <c r="Q1136" s="75" t="b">
        <f>VLOOKUP($B1136,'Run Reconcile'!B$2:P1679,15,FALSE)</f>
        <v>1</v>
      </c>
      <c r="R1136" s="211" t="str">
        <f t="array" ref="R1136">IF($Q1136, INDEX('Run Reconcile'!A$2:A1679,MATCH(B1136,'Run Reconcile'!B$2:B1679,0),1),IFERROR(0/0,""))</f>
        <v>RUN-COMB_2022-06-27_RFR-061</v>
      </c>
      <c r="S1136" s="165" t="str">
        <f t="shared" ref="S1136:T1136" si="2271">IF(COUNTIF(W$2:W1679, $A1136) &gt; 0,TRUE,IFERROR(0/0,""))</f>
        <v/>
      </c>
      <c r="T1136" s="165" t="str">
        <f t="shared" si="2271"/>
        <v/>
      </c>
      <c r="U1136" s="147" t="str">
        <f t="array" ref="U1136">IF(ISBLANK($R1136), IF($S1136,VLOOKUP($B1136+1,'RFR Data - preExcl'!$BF$2:$BG1679,2,FALSE),IF($T1136,INDEX('RFR Data - preExcl'!$BF$2:$BG1679,MATCH($B1136,'RFR Data - preExcl'!$BF$2:$BF1679,0)+1,2),VLOOKUP($B1136,'RFR Data - preExcl'!$BF$2:$BG1679,2,FALSE))),IFERROR(0/0,""))</f>
        <v/>
      </c>
      <c r="V1136" s="212" t="str">
        <f t="shared" si="5"/>
        <v>RUN-COMB_2022-06-27_RFR-061</v>
      </c>
      <c r="W1136" s="51"/>
      <c r="X1136" s="51"/>
      <c r="Y1136" s="147" t="str">
        <f t="shared" ref="Y1136:Z1136" si="2272">IF(_xlfn.ISFORMULA(S1136),IFERROR(0/0,""),TRUE)</f>
        <v/>
      </c>
      <c r="Z1136" s="147" t="str">
        <f t="shared" si="2272"/>
        <v/>
      </c>
    </row>
    <row r="1137">
      <c r="A1137" s="6" t="str">
        <f>IFERROR(__xludf.DUMMYFUNCTION("""COMPUTED_VALUE"""),"FM2426")</f>
        <v>FM2426</v>
      </c>
      <c r="B1137" s="206">
        <f>IFERROR(__xludf.DUMMYFUNCTION("""COMPUTED_VALUE"""),44739.0)</f>
        <v>44739</v>
      </c>
      <c r="C1137" s="207">
        <f>IFERROR(__xludf.DUMMYFUNCTION("""COMPUTED_VALUE"""),0.7082291666666667)</f>
        <v>0.7082291667</v>
      </c>
      <c r="D1137" s="50"/>
      <c r="E1137" s="58"/>
      <c r="F1137" s="58"/>
      <c r="G1137" s="58" t="str">
        <f>IFERROR(__xludf.DUMMYFUNCTION("""COMPUTED_VALUE"""),"Null")</f>
        <v>Null</v>
      </c>
      <c r="H1137" s="206" t="str">
        <f>IFERROR(__xludf.DUMMYFUNCTION("""COMPUTED_VALUE"""),"Negative")</f>
        <v>Negative</v>
      </c>
      <c r="I1137" s="207"/>
      <c r="J1137" s="50"/>
      <c r="K1137" s="50">
        <f>IFERROR(__xludf.DUMMYFUNCTION("""COMPUTED_VALUE"""),2.0)</f>
        <v>2</v>
      </c>
      <c r="L1137" s="6"/>
      <c r="M1137" s="55"/>
      <c r="N1137" s="55">
        <f>IFERROR(__xludf.DUMMYFUNCTION("""COMPUTED_VALUE"""),1.0)</f>
        <v>1</v>
      </c>
      <c r="O1137" s="55" t="str">
        <f t="shared" si="3"/>
        <v/>
      </c>
      <c r="P1137" s="209"/>
      <c r="Q1137" s="75" t="b">
        <f>VLOOKUP($B1137,'Run Reconcile'!B$2:P1679,15,FALSE)</f>
        <v>1</v>
      </c>
      <c r="R1137" s="211" t="str">
        <f t="array" ref="R1137">IF($Q1137, INDEX('Run Reconcile'!A$2:A1679,MATCH(B1137,'Run Reconcile'!B$2:B1679,0),1),IFERROR(0/0,""))</f>
        <v>RUN-COMB_2022-06-27_RFR-061</v>
      </c>
      <c r="S1137" s="165" t="str">
        <f t="shared" ref="S1137:T1137" si="2273">IF(COUNTIF(W$2:W1679, $A1137) &gt; 0,TRUE,IFERROR(0/0,""))</f>
        <v/>
      </c>
      <c r="T1137" s="165" t="str">
        <f t="shared" si="2273"/>
        <v/>
      </c>
      <c r="U1137" s="147" t="str">
        <f t="array" ref="U1137">IF(ISBLANK($R1137), IF($S1137,VLOOKUP($B1137+1,'RFR Data - preExcl'!$BF$2:$BG1679,2,FALSE),IF($T1137,INDEX('RFR Data - preExcl'!$BF$2:$BG1679,MATCH($B1137,'RFR Data - preExcl'!$BF$2:$BF1679,0)+1,2),VLOOKUP($B1137,'RFR Data - preExcl'!$BF$2:$BG1679,2,FALSE))),IFERROR(0/0,""))</f>
        <v/>
      </c>
      <c r="V1137" s="212" t="str">
        <f t="shared" si="5"/>
        <v>RUN-COMB_2022-06-27_RFR-061</v>
      </c>
      <c r="W1137" s="51"/>
      <c r="X1137" s="51"/>
      <c r="Y1137" s="147" t="str">
        <f t="shared" ref="Y1137:Z1137" si="2274">IF(_xlfn.ISFORMULA(S1137),IFERROR(0/0,""),TRUE)</f>
        <v/>
      </c>
      <c r="Z1137" s="147" t="str">
        <f t="shared" si="2274"/>
        <v/>
      </c>
    </row>
    <row r="1138">
      <c r="A1138" s="6" t="str">
        <f>IFERROR(__xludf.DUMMYFUNCTION("""COMPUTED_VALUE"""),"FM2152")</f>
        <v>FM2152</v>
      </c>
      <c r="B1138" s="206">
        <f>IFERROR(__xludf.DUMMYFUNCTION("""COMPUTED_VALUE"""),44739.0)</f>
        <v>44739</v>
      </c>
      <c r="C1138" s="207">
        <f>IFERROR(__xludf.DUMMYFUNCTION("""COMPUTED_VALUE"""),0.7093402777777778)</f>
        <v>0.7093402778</v>
      </c>
      <c r="D1138" s="50"/>
      <c r="E1138" s="58"/>
      <c r="F1138" s="58"/>
      <c r="G1138" s="58" t="str">
        <f>IFERROR(__xludf.DUMMYFUNCTION("""COMPUTED_VALUE"""),"Null")</f>
        <v>Null</v>
      </c>
      <c r="H1138" s="206" t="str">
        <f>IFERROR(__xludf.DUMMYFUNCTION("""COMPUTED_VALUE"""),"Negative")</f>
        <v>Negative</v>
      </c>
      <c r="I1138" s="207"/>
      <c r="J1138" s="50"/>
      <c r="K1138" s="50">
        <f>IFERROR(__xludf.DUMMYFUNCTION("""COMPUTED_VALUE"""),2.0)</f>
        <v>2</v>
      </c>
      <c r="L1138" s="6"/>
      <c r="M1138" s="55"/>
      <c r="N1138" s="55">
        <f>IFERROR(__xludf.DUMMYFUNCTION("""COMPUTED_VALUE"""),1.0)</f>
        <v>1</v>
      </c>
      <c r="O1138" s="55" t="str">
        <f t="shared" si="3"/>
        <v/>
      </c>
      <c r="P1138" s="209"/>
      <c r="Q1138" s="75" t="b">
        <f>VLOOKUP($B1138,'Run Reconcile'!B$2:P1679,15,FALSE)</f>
        <v>1</v>
      </c>
      <c r="R1138" s="211" t="str">
        <f t="array" ref="R1138">IF($Q1138, INDEX('Run Reconcile'!A$2:A1679,MATCH(B1138,'Run Reconcile'!B$2:B1679,0),1),IFERROR(0/0,""))</f>
        <v>RUN-COMB_2022-06-27_RFR-061</v>
      </c>
      <c r="S1138" s="165" t="str">
        <f t="shared" ref="S1138:T1138" si="2275">IF(COUNTIF(W$2:W1679, $A1138) &gt; 0,TRUE,IFERROR(0/0,""))</f>
        <v/>
      </c>
      <c r="T1138" s="165" t="str">
        <f t="shared" si="2275"/>
        <v/>
      </c>
      <c r="U1138" s="147" t="str">
        <f t="array" ref="U1138">IF(ISBLANK($R1138), IF($S1138,VLOOKUP($B1138+1,'RFR Data - preExcl'!$BF$2:$BG1679,2,FALSE),IF($T1138,INDEX('RFR Data - preExcl'!$BF$2:$BG1679,MATCH($B1138,'RFR Data - preExcl'!$BF$2:$BF1679,0)+1,2),VLOOKUP($B1138,'RFR Data - preExcl'!$BF$2:$BG1679,2,FALSE))),IFERROR(0/0,""))</f>
        <v/>
      </c>
      <c r="V1138" s="212" t="str">
        <f t="shared" si="5"/>
        <v>RUN-COMB_2022-06-27_RFR-061</v>
      </c>
      <c r="W1138" s="51"/>
      <c r="X1138" s="51"/>
      <c r="Y1138" s="147" t="str">
        <f t="shared" ref="Y1138:Z1138" si="2276">IF(_xlfn.ISFORMULA(S1138),IFERROR(0/0,""),TRUE)</f>
        <v/>
      </c>
      <c r="Z1138" s="147" t="str">
        <f t="shared" si="2276"/>
        <v/>
      </c>
    </row>
    <row r="1139">
      <c r="A1139" s="6" t="str">
        <f>IFERROR(__xludf.DUMMYFUNCTION("""COMPUTED_VALUE"""),"FM2160")</f>
        <v>FM2160</v>
      </c>
      <c r="B1139" s="206">
        <f>IFERROR(__xludf.DUMMYFUNCTION("""COMPUTED_VALUE"""),44739.0)</f>
        <v>44739</v>
      </c>
      <c r="C1139" s="207">
        <f>IFERROR(__xludf.DUMMYFUNCTION("""COMPUTED_VALUE"""),0.7112268518518519)</f>
        <v>0.7112268519</v>
      </c>
      <c r="D1139" s="50"/>
      <c r="E1139" s="58"/>
      <c r="F1139" s="58"/>
      <c r="G1139" s="58" t="str">
        <f>IFERROR(__xludf.DUMMYFUNCTION("""COMPUTED_VALUE"""),"Null")</f>
        <v>Null</v>
      </c>
      <c r="H1139" s="206" t="str">
        <f>IFERROR(__xludf.DUMMYFUNCTION("""COMPUTED_VALUE"""),"Negative")</f>
        <v>Negative</v>
      </c>
      <c r="I1139" s="207"/>
      <c r="J1139" s="50"/>
      <c r="K1139" s="50">
        <f>IFERROR(__xludf.DUMMYFUNCTION("""COMPUTED_VALUE"""),2.0)</f>
        <v>2</v>
      </c>
      <c r="L1139" s="6"/>
      <c r="M1139" s="55"/>
      <c r="N1139" s="55">
        <f>IFERROR(__xludf.DUMMYFUNCTION("""COMPUTED_VALUE"""),1.0)</f>
        <v>1</v>
      </c>
      <c r="O1139" s="55" t="str">
        <f t="shared" si="3"/>
        <v/>
      </c>
      <c r="P1139" s="209"/>
      <c r="Q1139" s="75" t="b">
        <f>VLOOKUP($B1139,'Run Reconcile'!B$2:P1679,15,FALSE)</f>
        <v>1</v>
      </c>
      <c r="R1139" s="211" t="str">
        <f t="array" ref="R1139">IF($Q1139, INDEX('Run Reconcile'!A$2:A1679,MATCH(B1139,'Run Reconcile'!B$2:B1679,0),1),IFERROR(0/0,""))</f>
        <v>RUN-COMB_2022-06-27_RFR-061</v>
      </c>
      <c r="S1139" s="165" t="str">
        <f t="shared" ref="S1139:T1139" si="2277">IF(COUNTIF(W$2:W1679, $A1139) &gt; 0,TRUE,IFERROR(0/0,""))</f>
        <v/>
      </c>
      <c r="T1139" s="165" t="str">
        <f t="shared" si="2277"/>
        <v/>
      </c>
      <c r="U1139" s="147" t="str">
        <f t="array" ref="U1139">IF(ISBLANK($R1139), IF($S1139,VLOOKUP($B1139+1,'RFR Data - preExcl'!$BF$2:$BG1679,2,FALSE),IF($T1139,INDEX('RFR Data - preExcl'!$BF$2:$BG1679,MATCH($B1139,'RFR Data - preExcl'!$BF$2:$BF1679,0)+1,2),VLOOKUP($B1139,'RFR Data - preExcl'!$BF$2:$BG1679,2,FALSE))),IFERROR(0/0,""))</f>
        <v/>
      </c>
      <c r="V1139" s="212" t="str">
        <f t="shared" si="5"/>
        <v>RUN-COMB_2022-06-27_RFR-061</v>
      </c>
      <c r="W1139" s="51"/>
      <c r="X1139" s="51"/>
      <c r="Y1139" s="147" t="str">
        <f t="shared" ref="Y1139:Z1139" si="2278">IF(_xlfn.ISFORMULA(S1139),IFERROR(0/0,""),TRUE)</f>
        <v/>
      </c>
      <c r="Z1139" s="147" t="str">
        <f t="shared" si="2278"/>
        <v/>
      </c>
    </row>
    <row r="1140">
      <c r="A1140" s="6" t="str">
        <f>IFERROR(__xludf.DUMMYFUNCTION("""COMPUTED_VALUE"""),"FM2430")</f>
        <v>FM2430</v>
      </c>
      <c r="B1140" s="206">
        <f>IFERROR(__xludf.DUMMYFUNCTION("""COMPUTED_VALUE"""),44739.0)</f>
        <v>44739</v>
      </c>
      <c r="C1140" s="207">
        <f>IFERROR(__xludf.DUMMYFUNCTION("""COMPUTED_VALUE"""),0.7313773148148148)</f>
        <v>0.7313773148</v>
      </c>
      <c r="D1140" s="50"/>
      <c r="E1140" s="58"/>
      <c r="F1140" s="58"/>
      <c r="G1140" s="58" t="str">
        <f>IFERROR(__xludf.DUMMYFUNCTION("""COMPUTED_VALUE"""),"Null")</f>
        <v>Null</v>
      </c>
      <c r="H1140" s="206" t="str">
        <f>IFERROR(__xludf.DUMMYFUNCTION("""COMPUTED_VALUE"""),"Negative")</f>
        <v>Negative</v>
      </c>
      <c r="I1140" s="207"/>
      <c r="J1140" s="50"/>
      <c r="K1140" s="50">
        <f>IFERROR(__xludf.DUMMYFUNCTION("""COMPUTED_VALUE"""),2.0)</f>
        <v>2</v>
      </c>
      <c r="L1140" s="6"/>
      <c r="M1140" s="55"/>
      <c r="N1140" s="55">
        <f>IFERROR(__xludf.DUMMYFUNCTION("""COMPUTED_VALUE"""),1.0)</f>
        <v>1</v>
      </c>
      <c r="O1140" s="55" t="str">
        <f t="shared" si="3"/>
        <v/>
      </c>
      <c r="P1140" s="209"/>
      <c r="Q1140" s="75" t="b">
        <f>VLOOKUP($B1140,'Run Reconcile'!B$2:P1679,15,FALSE)</f>
        <v>1</v>
      </c>
      <c r="R1140" s="211" t="str">
        <f t="array" ref="R1140">IF($Q1140, INDEX('Run Reconcile'!A$2:A1679,MATCH(B1140,'Run Reconcile'!B$2:B1679,0),1),IFERROR(0/0,""))</f>
        <v>RUN-COMB_2022-06-27_RFR-061</v>
      </c>
      <c r="S1140" s="165" t="str">
        <f t="shared" ref="S1140:T1140" si="2279">IF(COUNTIF(W$2:W1679, $A1140) &gt; 0,TRUE,IFERROR(0/0,""))</f>
        <v/>
      </c>
      <c r="T1140" s="165" t="str">
        <f t="shared" si="2279"/>
        <v/>
      </c>
      <c r="U1140" s="147" t="str">
        <f t="array" ref="U1140">IF(ISBLANK($R1140), IF($S1140,VLOOKUP($B1140+1,'RFR Data - preExcl'!$BF$2:$BG1679,2,FALSE),IF($T1140,INDEX('RFR Data - preExcl'!$BF$2:$BG1679,MATCH($B1140,'RFR Data - preExcl'!$BF$2:$BF1679,0)+1,2),VLOOKUP($B1140,'RFR Data - preExcl'!$BF$2:$BG1679,2,FALSE))),IFERROR(0/0,""))</f>
        <v/>
      </c>
      <c r="V1140" s="212" t="str">
        <f t="shared" si="5"/>
        <v>RUN-COMB_2022-06-27_RFR-061</v>
      </c>
      <c r="W1140" s="51"/>
      <c r="X1140" s="51"/>
      <c r="Y1140" s="147" t="str">
        <f t="shared" ref="Y1140:Z1140" si="2280">IF(_xlfn.ISFORMULA(S1140),IFERROR(0/0,""),TRUE)</f>
        <v/>
      </c>
      <c r="Z1140" s="147" t="str">
        <f t="shared" si="2280"/>
        <v/>
      </c>
    </row>
    <row r="1141">
      <c r="A1141" s="6" t="str">
        <f>IFERROR(__xludf.DUMMYFUNCTION("""COMPUTED_VALUE"""),"FM2182")</f>
        <v>FM2182</v>
      </c>
      <c r="B1141" s="206">
        <f>IFERROR(__xludf.DUMMYFUNCTION("""COMPUTED_VALUE"""),44739.0)</f>
        <v>44739</v>
      </c>
      <c r="C1141" s="207">
        <f>IFERROR(__xludf.DUMMYFUNCTION("""COMPUTED_VALUE"""),0.7317361111111111)</f>
        <v>0.7317361111</v>
      </c>
      <c r="D1141" s="50"/>
      <c r="E1141" s="58"/>
      <c r="F1141" s="58"/>
      <c r="G1141" s="58" t="str">
        <f>IFERROR(__xludf.DUMMYFUNCTION("""COMPUTED_VALUE"""),"Null")</f>
        <v>Null</v>
      </c>
      <c r="H1141" s="206" t="str">
        <f>IFERROR(__xludf.DUMMYFUNCTION("""COMPUTED_VALUE"""),"Negative")</f>
        <v>Negative</v>
      </c>
      <c r="I1141" s="207"/>
      <c r="J1141" s="50"/>
      <c r="K1141" s="50">
        <f>IFERROR(__xludf.DUMMYFUNCTION("""COMPUTED_VALUE"""),2.0)</f>
        <v>2</v>
      </c>
      <c r="L1141" s="6"/>
      <c r="M1141" s="55"/>
      <c r="N1141" s="55">
        <f>IFERROR(__xludf.DUMMYFUNCTION("""COMPUTED_VALUE"""),1.0)</f>
        <v>1</v>
      </c>
      <c r="O1141" s="55" t="str">
        <f t="shared" si="3"/>
        <v/>
      </c>
      <c r="P1141" s="209"/>
      <c r="Q1141" s="75" t="b">
        <f>VLOOKUP($B1141,'Run Reconcile'!B$2:P1679,15,FALSE)</f>
        <v>1</v>
      </c>
      <c r="R1141" s="211" t="str">
        <f t="array" ref="R1141">IF($Q1141, INDEX('Run Reconcile'!A$2:A1679,MATCH(B1141,'Run Reconcile'!B$2:B1679,0),1),IFERROR(0/0,""))</f>
        <v>RUN-COMB_2022-06-27_RFR-061</v>
      </c>
      <c r="S1141" s="165" t="str">
        <f t="shared" ref="S1141:T1141" si="2281">IF(COUNTIF(W$2:W1679, $A1141) &gt; 0,TRUE,IFERROR(0/0,""))</f>
        <v/>
      </c>
      <c r="T1141" s="165" t="str">
        <f t="shared" si="2281"/>
        <v/>
      </c>
      <c r="U1141" s="147" t="str">
        <f t="array" ref="U1141">IF(ISBLANK($R1141), IF($S1141,VLOOKUP($B1141+1,'RFR Data - preExcl'!$BF$2:$BG1679,2,FALSE),IF($T1141,INDEX('RFR Data - preExcl'!$BF$2:$BG1679,MATCH($B1141,'RFR Data - preExcl'!$BF$2:$BF1679,0)+1,2),VLOOKUP($B1141,'RFR Data - preExcl'!$BF$2:$BG1679,2,FALSE))),IFERROR(0/0,""))</f>
        <v/>
      </c>
      <c r="V1141" s="212" t="str">
        <f t="shared" si="5"/>
        <v>RUN-COMB_2022-06-27_RFR-061</v>
      </c>
      <c r="W1141" s="51"/>
      <c r="X1141" s="51"/>
      <c r="Y1141" s="147" t="str">
        <f t="shared" ref="Y1141:Z1141" si="2282">IF(_xlfn.ISFORMULA(S1141),IFERROR(0/0,""),TRUE)</f>
        <v/>
      </c>
      <c r="Z1141" s="147" t="str">
        <f t="shared" si="2282"/>
        <v/>
      </c>
    </row>
    <row r="1142">
      <c r="A1142" s="6" t="str">
        <f>IFERROR(__xludf.DUMMYFUNCTION("""COMPUTED_VALUE"""),"FM2514")</f>
        <v>FM2514</v>
      </c>
      <c r="B1142" s="206">
        <f>IFERROR(__xludf.DUMMYFUNCTION("""COMPUTED_VALUE"""),44740.0)</f>
        <v>44740</v>
      </c>
      <c r="C1142" s="207">
        <f>IFERROR(__xludf.DUMMYFUNCTION("""COMPUTED_VALUE"""),0.2754976851851852)</f>
        <v>0.2754976852</v>
      </c>
      <c r="D1142" s="50"/>
      <c r="E1142" s="58"/>
      <c r="F1142" s="58"/>
      <c r="G1142" s="58" t="str">
        <f>IFERROR(__xludf.DUMMYFUNCTION("""COMPUTED_VALUE"""),"Null")</f>
        <v>Null</v>
      </c>
      <c r="H1142" s="206" t="str">
        <f>IFERROR(__xludf.DUMMYFUNCTION("""COMPUTED_VALUE"""),"Negative")</f>
        <v>Negative</v>
      </c>
      <c r="I1142" s="207"/>
      <c r="J1142" s="50"/>
      <c r="K1142" s="50">
        <f>IFERROR(__xludf.DUMMYFUNCTION("""COMPUTED_VALUE"""),2.0)</f>
        <v>2</v>
      </c>
      <c r="L1142" s="6"/>
      <c r="M1142" s="55"/>
      <c r="N1142" s="55">
        <f>IFERROR(__xludf.DUMMYFUNCTION("""COMPUTED_VALUE"""),1.0)</f>
        <v>1</v>
      </c>
      <c r="O1142" s="55" t="b">
        <f t="shared" si="3"/>
        <v>1</v>
      </c>
      <c r="P1142" s="209"/>
      <c r="Q1142" s="75" t="b">
        <f>VLOOKUP($B1142,'Run Reconcile'!B$2:P1679,15,FALSE)</f>
        <v>1</v>
      </c>
      <c r="R1142" s="211" t="str">
        <f t="array" ref="R1142">IF($Q1142, INDEX('Run Reconcile'!A$2:A1679,MATCH(B1142,'Run Reconcile'!B$2:B1679,0),1),IFERROR(0/0,""))</f>
        <v>RUN-COMB_2022-06-28_RFR-063</v>
      </c>
      <c r="S1142" s="165" t="str">
        <f t="shared" ref="S1142:T1142" si="2283">IF(COUNTIF(W$2:W1679, $A1142) &gt; 0,TRUE,IFERROR(0/0,""))</f>
        <v/>
      </c>
      <c r="T1142" s="165" t="str">
        <f t="shared" si="2283"/>
        <v/>
      </c>
      <c r="U1142" s="147" t="str">
        <f t="array" ref="U1142">IF(ISBLANK($R1142), IF($S1142,VLOOKUP($B1142+1,'RFR Data - preExcl'!$BF$2:$BG1679,2,FALSE),IF($T1142,INDEX('RFR Data - preExcl'!$BF$2:$BG1679,MATCH($B1142,'RFR Data - preExcl'!$BF$2:$BF1679,0)+1,2),VLOOKUP($B1142,'RFR Data - preExcl'!$BF$2:$BG1679,2,FALSE))),IFERROR(0/0,""))</f>
        <v/>
      </c>
      <c r="V1142" s="212" t="str">
        <f t="shared" si="5"/>
        <v>RUN-COMB_2022-06-28_RFR-063</v>
      </c>
      <c r="W1142" s="51"/>
      <c r="X1142" s="51"/>
      <c r="Y1142" s="147" t="str">
        <f t="shared" ref="Y1142:Z1142" si="2284">IF(_xlfn.ISFORMULA(S1142),IFERROR(0/0,""),TRUE)</f>
        <v/>
      </c>
      <c r="Z1142" s="147" t="str">
        <f t="shared" si="2284"/>
        <v/>
      </c>
    </row>
    <row r="1143">
      <c r="A1143" s="6" t="str">
        <f>IFERROR(__xludf.DUMMYFUNCTION("""COMPUTED_VALUE"""),"FM2449")</f>
        <v>FM2449</v>
      </c>
      <c r="B1143" s="206">
        <f>IFERROR(__xludf.DUMMYFUNCTION("""COMPUTED_VALUE"""),44740.0)</f>
        <v>44740</v>
      </c>
      <c r="C1143" s="207">
        <f>IFERROR(__xludf.DUMMYFUNCTION("""COMPUTED_VALUE"""),0.2758217592592593)</f>
        <v>0.2758217593</v>
      </c>
      <c r="D1143" s="50"/>
      <c r="E1143" s="58"/>
      <c r="F1143" s="58"/>
      <c r="G1143" s="58" t="str">
        <f>IFERROR(__xludf.DUMMYFUNCTION("""COMPUTED_VALUE"""),"Null")</f>
        <v>Null</v>
      </c>
      <c r="H1143" s="206" t="str">
        <f>IFERROR(__xludf.DUMMYFUNCTION("""COMPUTED_VALUE"""),"Negative")</f>
        <v>Negative</v>
      </c>
      <c r="I1143" s="207"/>
      <c r="J1143" s="50"/>
      <c r="K1143" s="50">
        <f>IFERROR(__xludf.DUMMYFUNCTION("""COMPUTED_VALUE"""),2.0)</f>
        <v>2</v>
      </c>
      <c r="L1143" s="6"/>
      <c r="M1143" s="55"/>
      <c r="N1143" s="55">
        <f>IFERROR(__xludf.DUMMYFUNCTION("""COMPUTED_VALUE"""),1.0)</f>
        <v>1</v>
      </c>
      <c r="O1143" s="55" t="str">
        <f t="shared" si="3"/>
        <v/>
      </c>
      <c r="P1143" s="209"/>
      <c r="Q1143" s="75" t="b">
        <f>VLOOKUP($B1143,'Run Reconcile'!B$2:P1679,15,FALSE)</f>
        <v>1</v>
      </c>
      <c r="R1143" s="211" t="str">
        <f t="array" ref="R1143">IF($Q1143, INDEX('Run Reconcile'!A$2:A1679,MATCH(B1143,'Run Reconcile'!B$2:B1679,0),1),IFERROR(0/0,""))</f>
        <v>RUN-COMB_2022-06-28_RFR-063</v>
      </c>
      <c r="S1143" s="165" t="str">
        <f t="shared" ref="S1143:T1143" si="2285">IF(COUNTIF(W$2:W1679, $A1143) &gt; 0,TRUE,IFERROR(0/0,""))</f>
        <v/>
      </c>
      <c r="T1143" s="165" t="str">
        <f t="shared" si="2285"/>
        <v/>
      </c>
      <c r="U1143" s="147" t="str">
        <f t="array" ref="U1143">IF(ISBLANK($R1143), IF($S1143,VLOOKUP($B1143+1,'RFR Data - preExcl'!$BF$2:$BG1679,2,FALSE),IF($T1143,INDEX('RFR Data - preExcl'!$BF$2:$BG1679,MATCH($B1143,'RFR Data - preExcl'!$BF$2:$BF1679,0)+1,2),VLOOKUP($B1143,'RFR Data - preExcl'!$BF$2:$BG1679,2,FALSE))),IFERROR(0/0,""))</f>
        <v/>
      </c>
      <c r="V1143" s="212" t="str">
        <f t="shared" si="5"/>
        <v>RUN-COMB_2022-06-28_RFR-063</v>
      </c>
      <c r="W1143" s="51"/>
      <c r="X1143" s="51"/>
      <c r="Y1143" s="147" t="str">
        <f t="shared" ref="Y1143:Z1143" si="2286">IF(_xlfn.ISFORMULA(S1143),IFERROR(0/0,""),TRUE)</f>
        <v/>
      </c>
      <c r="Z1143" s="147" t="str">
        <f t="shared" si="2286"/>
        <v/>
      </c>
    </row>
    <row r="1144">
      <c r="A1144" s="6" t="str">
        <f>IFERROR(__xludf.DUMMYFUNCTION("""COMPUTED_VALUE"""),"FM2461")</f>
        <v>FM2461</v>
      </c>
      <c r="B1144" s="206">
        <f>IFERROR(__xludf.DUMMYFUNCTION("""COMPUTED_VALUE"""),44740.0)</f>
        <v>44740</v>
      </c>
      <c r="C1144" s="207">
        <f>IFERROR(__xludf.DUMMYFUNCTION("""COMPUTED_VALUE"""),0.2761458333333333)</f>
        <v>0.2761458333</v>
      </c>
      <c r="D1144" s="50"/>
      <c r="E1144" s="58"/>
      <c r="F1144" s="58"/>
      <c r="G1144" s="58" t="str">
        <f>IFERROR(__xludf.DUMMYFUNCTION("""COMPUTED_VALUE"""),"Null")</f>
        <v>Null</v>
      </c>
      <c r="H1144" s="206" t="str">
        <f>IFERROR(__xludf.DUMMYFUNCTION("""COMPUTED_VALUE"""),"Negative")</f>
        <v>Negative</v>
      </c>
      <c r="I1144" s="207"/>
      <c r="J1144" s="50"/>
      <c r="K1144" s="50">
        <f>IFERROR(__xludf.DUMMYFUNCTION("""COMPUTED_VALUE"""),2.0)</f>
        <v>2</v>
      </c>
      <c r="L1144" s="6"/>
      <c r="M1144" s="55"/>
      <c r="N1144" s="55">
        <f>IFERROR(__xludf.DUMMYFUNCTION("""COMPUTED_VALUE"""),1.0)</f>
        <v>1</v>
      </c>
      <c r="O1144" s="55" t="str">
        <f t="shared" si="3"/>
        <v/>
      </c>
      <c r="P1144" s="209"/>
      <c r="Q1144" s="75" t="b">
        <f>VLOOKUP($B1144,'Run Reconcile'!B$2:P1679,15,FALSE)</f>
        <v>1</v>
      </c>
      <c r="R1144" s="211" t="str">
        <f t="array" ref="R1144">IF($Q1144, INDEX('Run Reconcile'!A$2:A1679,MATCH(B1144,'Run Reconcile'!B$2:B1679,0),1),IFERROR(0/0,""))</f>
        <v>RUN-COMB_2022-06-28_RFR-063</v>
      </c>
      <c r="S1144" s="165" t="str">
        <f t="shared" ref="S1144:T1144" si="2287">IF(COUNTIF(W$2:W1679, $A1144) &gt; 0,TRUE,IFERROR(0/0,""))</f>
        <v/>
      </c>
      <c r="T1144" s="165" t="str">
        <f t="shared" si="2287"/>
        <v/>
      </c>
      <c r="U1144" s="147" t="str">
        <f t="array" ref="U1144">IF(ISBLANK($R1144), IF($S1144,VLOOKUP($B1144+1,'RFR Data - preExcl'!$BF$2:$BG1679,2,FALSE),IF($T1144,INDEX('RFR Data - preExcl'!$BF$2:$BG1679,MATCH($B1144,'RFR Data - preExcl'!$BF$2:$BF1679,0)+1,2),VLOOKUP($B1144,'RFR Data - preExcl'!$BF$2:$BG1679,2,FALSE))),IFERROR(0/0,""))</f>
        <v/>
      </c>
      <c r="V1144" s="212" t="str">
        <f t="shared" si="5"/>
        <v>RUN-COMB_2022-06-28_RFR-063</v>
      </c>
      <c r="W1144" s="51"/>
      <c r="X1144" s="51"/>
      <c r="Y1144" s="147" t="str">
        <f t="shared" ref="Y1144:Z1144" si="2288">IF(_xlfn.ISFORMULA(S1144),IFERROR(0/0,""),TRUE)</f>
        <v/>
      </c>
      <c r="Z1144" s="147" t="str">
        <f t="shared" si="2288"/>
        <v/>
      </c>
    </row>
    <row r="1145">
      <c r="A1145" s="6" t="str">
        <f>IFERROR(__xludf.DUMMYFUNCTION("""COMPUTED_VALUE"""),"FM2501")</f>
        <v>FM2501</v>
      </c>
      <c r="B1145" s="206">
        <f>IFERROR(__xludf.DUMMYFUNCTION("""COMPUTED_VALUE"""),44740.0)</f>
        <v>44740</v>
      </c>
      <c r="C1145" s="207">
        <f>IFERROR(__xludf.DUMMYFUNCTION("""COMPUTED_VALUE"""),0.2765162037037037)</f>
        <v>0.2765162037</v>
      </c>
      <c r="D1145" s="50"/>
      <c r="E1145" s="58"/>
      <c r="F1145" s="58"/>
      <c r="G1145" s="58" t="str">
        <f>IFERROR(__xludf.DUMMYFUNCTION("""COMPUTED_VALUE"""),"Null")</f>
        <v>Null</v>
      </c>
      <c r="H1145" s="206" t="str">
        <f>IFERROR(__xludf.DUMMYFUNCTION("""COMPUTED_VALUE"""),"Negative")</f>
        <v>Negative</v>
      </c>
      <c r="I1145" s="207"/>
      <c r="J1145" s="50"/>
      <c r="K1145" s="50">
        <f>IFERROR(__xludf.DUMMYFUNCTION("""COMPUTED_VALUE"""),2.0)</f>
        <v>2</v>
      </c>
      <c r="L1145" s="6"/>
      <c r="M1145" s="55"/>
      <c r="N1145" s="55">
        <f>IFERROR(__xludf.DUMMYFUNCTION("""COMPUTED_VALUE"""),1.0)</f>
        <v>1</v>
      </c>
      <c r="O1145" s="55" t="str">
        <f t="shared" si="3"/>
        <v/>
      </c>
      <c r="P1145" s="209"/>
      <c r="Q1145" s="75" t="b">
        <f>VLOOKUP($B1145,'Run Reconcile'!B$2:P1679,15,FALSE)</f>
        <v>1</v>
      </c>
      <c r="R1145" s="211" t="str">
        <f t="array" ref="R1145">IF($Q1145, INDEX('Run Reconcile'!A$2:A1679,MATCH(B1145,'Run Reconcile'!B$2:B1679,0),1),IFERROR(0/0,""))</f>
        <v>RUN-COMB_2022-06-28_RFR-063</v>
      </c>
      <c r="S1145" s="165" t="str">
        <f t="shared" ref="S1145:T1145" si="2289">IF(COUNTIF(W$2:W1679, $A1145) &gt; 0,TRUE,IFERROR(0/0,""))</f>
        <v/>
      </c>
      <c r="T1145" s="165" t="str">
        <f t="shared" si="2289"/>
        <v/>
      </c>
      <c r="U1145" s="147" t="str">
        <f t="array" ref="U1145">IF(ISBLANK($R1145), IF($S1145,VLOOKUP($B1145+1,'RFR Data - preExcl'!$BF$2:$BG1679,2,FALSE),IF($T1145,INDEX('RFR Data - preExcl'!$BF$2:$BG1679,MATCH($B1145,'RFR Data - preExcl'!$BF$2:$BF1679,0)+1,2),VLOOKUP($B1145,'RFR Data - preExcl'!$BF$2:$BG1679,2,FALSE))),IFERROR(0/0,""))</f>
        <v/>
      </c>
      <c r="V1145" s="212" t="str">
        <f t="shared" si="5"/>
        <v>RUN-COMB_2022-06-28_RFR-063</v>
      </c>
      <c r="W1145" s="51"/>
      <c r="X1145" s="51"/>
      <c r="Y1145" s="147" t="str">
        <f t="shared" ref="Y1145:Z1145" si="2290">IF(_xlfn.ISFORMULA(S1145),IFERROR(0/0,""),TRUE)</f>
        <v/>
      </c>
      <c r="Z1145" s="147" t="str">
        <f t="shared" si="2290"/>
        <v/>
      </c>
    </row>
    <row r="1146">
      <c r="A1146" s="6" t="str">
        <f>IFERROR(__xludf.DUMMYFUNCTION("""COMPUTED_VALUE"""),"FM2511")</f>
        <v>FM2511</v>
      </c>
      <c r="B1146" s="206">
        <f>IFERROR(__xludf.DUMMYFUNCTION("""COMPUTED_VALUE"""),44740.0)</f>
        <v>44740</v>
      </c>
      <c r="C1146" s="207">
        <f>IFERROR(__xludf.DUMMYFUNCTION("""COMPUTED_VALUE"""),0.27685185185185185)</f>
        <v>0.2768518519</v>
      </c>
      <c r="D1146" s="50"/>
      <c r="E1146" s="58"/>
      <c r="F1146" s="58"/>
      <c r="G1146" s="58" t="str">
        <f>IFERROR(__xludf.DUMMYFUNCTION("""COMPUTED_VALUE"""),"Null")</f>
        <v>Null</v>
      </c>
      <c r="H1146" s="206" t="str">
        <f>IFERROR(__xludf.DUMMYFUNCTION("""COMPUTED_VALUE"""),"Negative")</f>
        <v>Negative</v>
      </c>
      <c r="I1146" s="207"/>
      <c r="J1146" s="50"/>
      <c r="K1146" s="50">
        <f>IFERROR(__xludf.DUMMYFUNCTION("""COMPUTED_VALUE"""),2.0)</f>
        <v>2</v>
      </c>
      <c r="L1146" s="6"/>
      <c r="M1146" s="55"/>
      <c r="N1146" s="55">
        <f>IFERROR(__xludf.DUMMYFUNCTION("""COMPUTED_VALUE"""),1.0)</f>
        <v>1</v>
      </c>
      <c r="O1146" s="55" t="str">
        <f t="shared" si="3"/>
        <v/>
      </c>
      <c r="P1146" s="209"/>
      <c r="Q1146" s="75" t="b">
        <f>VLOOKUP($B1146,'Run Reconcile'!B$2:P1679,15,FALSE)</f>
        <v>1</v>
      </c>
      <c r="R1146" s="211" t="str">
        <f t="array" ref="R1146">IF($Q1146, INDEX('Run Reconcile'!A$2:A1679,MATCH(B1146,'Run Reconcile'!B$2:B1679,0),1),IFERROR(0/0,""))</f>
        <v>RUN-COMB_2022-06-28_RFR-063</v>
      </c>
      <c r="S1146" s="165" t="str">
        <f t="shared" ref="S1146:T1146" si="2291">IF(COUNTIF(W$2:W1679, $A1146) &gt; 0,TRUE,IFERROR(0/0,""))</f>
        <v/>
      </c>
      <c r="T1146" s="165" t="str">
        <f t="shared" si="2291"/>
        <v/>
      </c>
      <c r="U1146" s="147" t="str">
        <f t="array" ref="U1146">IF(ISBLANK($R1146), IF($S1146,VLOOKUP($B1146+1,'RFR Data - preExcl'!$BF$2:$BG1679,2,FALSE),IF($T1146,INDEX('RFR Data - preExcl'!$BF$2:$BG1679,MATCH($B1146,'RFR Data - preExcl'!$BF$2:$BF1679,0)+1,2),VLOOKUP($B1146,'RFR Data - preExcl'!$BF$2:$BG1679,2,FALSE))),IFERROR(0/0,""))</f>
        <v/>
      </c>
      <c r="V1146" s="212" t="str">
        <f t="shared" si="5"/>
        <v>RUN-COMB_2022-06-28_RFR-063</v>
      </c>
      <c r="W1146" s="51"/>
      <c r="X1146" s="51"/>
      <c r="Y1146" s="147" t="str">
        <f t="shared" ref="Y1146:Z1146" si="2292">IF(_xlfn.ISFORMULA(S1146),IFERROR(0/0,""),TRUE)</f>
        <v/>
      </c>
      <c r="Z1146" s="147" t="str">
        <f t="shared" si="2292"/>
        <v/>
      </c>
    </row>
    <row r="1147">
      <c r="A1147" s="6" t="str">
        <f>IFERROR(__xludf.DUMMYFUNCTION("""COMPUTED_VALUE"""),"FM2472")</f>
        <v>FM2472</v>
      </c>
      <c r="B1147" s="206">
        <f>IFERROR(__xludf.DUMMYFUNCTION("""COMPUTED_VALUE"""),44740.0)</f>
        <v>44740</v>
      </c>
      <c r="C1147" s="207">
        <f>IFERROR(__xludf.DUMMYFUNCTION("""COMPUTED_VALUE"""),0.27748842592592593)</f>
        <v>0.2774884259</v>
      </c>
      <c r="D1147" s="50"/>
      <c r="E1147" s="58"/>
      <c r="F1147" s="58"/>
      <c r="G1147" s="58" t="str">
        <f>IFERROR(__xludf.DUMMYFUNCTION("""COMPUTED_VALUE"""),"Null")</f>
        <v>Null</v>
      </c>
      <c r="H1147" s="206" t="str">
        <f>IFERROR(__xludf.DUMMYFUNCTION("""COMPUTED_VALUE"""),"Inconclusive")</f>
        <v>Inconclusive</v>
      </c>
      <c r="I1147" s="207"/>
      <c r="J1147" s="50"/>
      <c r="K1147" s="50">
        <f>IFERROR(__xludf.DUMMYFUNCTION("""COMPUTED_VALUE"""),4.0)</f>
        <v>4</v>
      </c>
      <c r="L1147" s="6" t="str">
        <f>IFERROR(__xludf.DUMMYFUNCTION("""COMPUTED_VALUE"""),"Inconclusive")</f>
        <v>Inconclusive</v>
      </c>
      <c r="M1147" s="55"/>
      <c r="N1147" s="55">
        <f>IFERROR(__xludf.DUMMYFUNCTION("""COMPUTED_VALUE"""),1.0)</f>
        <v>1</v>
      </c>
      <c r="O1147" s="55" t="str">
        <f t="shared" si="3"/>
        <v/>
      </c>
      <c r="P1147" s="209"/>
      <c r="Q1147" s="75" t="b">
        <f>VLOOKUP($B1147,'Run Reconcile'!B$2:P1679,15,FALSE)</f>
        <v>1</v>
      </c>
      <c r="R1147" s="211" t="str">
        <f t="array" ref="R1147">IF($Q1147, INDEX('Run Reconcile'!A$2:A1679,MATCH(B1147,'Run Reconcile'!B$2:B1679,0),1),IFERROR(0/0,""))</f>
        <v>RUN-COMB_2022-06-28_RFR-063</v>
      </c>
      <c r="S1147" s="165" t="str">
        <f t="shared" ref="S1147:T1147" si="2293">IF(COUNTIF(W$2:W1679, $A1147) &gt; 0,TRUE,IFERROR(0/0,""))</f>
        <v/>
      </c>
      <c r="T1147" s="165" t="str">
        <f t="shared" si="2293"/>
        <v/>
      </c>
      <c r="U1147" s="147" t="str">
        <f t="array" ref="U1147">IF(ISBLANK($R1147), IF($S1147,VLOOKUP($B1147+1,'RFR Data - preExcl'!$BF$2:$BG1679,2,FALSE),IF($T1147,INDEX('RFR Data - preExcl'!$BF$2:$BG1679,MATCH($B1147,'RFR Data - preExcl'!$BF$2:$BF1679,0)+1,2),VLOOKUP($B1147,'RFR Data - preExcl'!$BF$2:$BG1679,2,FALSE))),IFERROR(0/0,""))</f>
        <v/>
      </c>
      <c r="V1147" s="212" t="str">
        <f t="shared" si="5"/>
        <v>RUN-COMB_2022-06-28_RFR-063</v>
      </c>
      <c r="W1147" s="51"/>
      <c r="X1147" s="51"/>
      <c r="Y1147" s="147" t="str">
        <f t="shared" ref="Y1147:Z1147" si="2294">IF(_xlfn.ISFORMULA(S1147),IFERROR(0/0,""),TRUE)</f>
        <v/>
      </c>
      <c r="Z1147" s="147" t="str">
        <f t="shared" si="2294"/>
        <v/>
      </c>
    </row>
    <row r="1148">
      <c r="A1148" s="6" t="str">
        <f>IFERROR(__xludf.DUMMYFUNCTION("""COMPUTED_VALUE"""),"FM2508")</f>
        <v>FM2508</v>
      </c>
      <c r="B1148" s="206">
        <f>IFERROR(__xludf.DUMMYFUNCTION("""COMPUTED_VALUE"""),44740.0)</f>
        <v>44740</v>
      </c>
      <c r="C1148" s="207">
        <f>IFERROR(__xludf.DUMMYFUNCTION("""COMPUTED_VALUE"""),0.27782407407407406)</f>
        <v>0.2778240741</v>
      </c>
      <c r="D1148" s="50"/>
      <c r="E1148" s="58"/>
      <c r="F1148" s="58"/>
      <c r="G1148" s="58" t="str">
        <f>IFERROR(__xludf.DUMMYFUNCTION("""COMPUTED_VALUE"""),"Null")</f>
        <v>Null</v>
      </c>
      <c r="H1148" s="206" t="str">
        <f>IFERROR(__xludf.DUMMYFUNCTION("""COMPUTED_VALUE"""),"Negative")</f>
        <v>Negative</v>
      </c>
      <c r="I1148" s="207"/>
      <c r="J1148" s="50"/>
      <c r="K1148" s="50">
        <f>IFERROR(__xludf.DUMMYFUNCTION("""COMPUTED_VALUE"""),2.0)</f>
        <v>2</v>
      </c>
      <c r="L1148" s="6"/>
      <c r="M1148" s="55"/>
      <c r="N1148" s="55">
        <f>IFERROR(__xludf.DUMMYFUNCTION("""COMPUTED_VALUE"""),1.0)</f>
        <v>1</v>
      </c>
      <c r="O1148" s="55" t="str">
        <f t="shared" si="3"/>
        <v/>
      </c>
      <c r="P1148" s="209"/>
      <c r="Q1148" s="75" t="b">
        <f>VLOOKUP($B1148,'Run Reconcile'!B$2:P1679,15,FALSE)</f>
        <v>1</v>
      </c>
      <c r="R1148" s="211" t="str">
        <f t="array" ref="R1148">IF($Q1148, INDEX('Run Reconcile'!A$2:A1679,MATCH(B1148,'Run Reconcile'!B$2:B1679,0),1),IFERROR(0/0,""))</f>
        <v>RUN-COMB_2022-06-28_RFR-063</v>
      </c>
      <c r="S1148" s="165" t="str">
        <f t="shared" ref="S1148:T1148" si="2295">IF(COUNTIF(W$2:W1679, $A1148) &gt; 0,TRUE,IFERROR(0/0,""))</f>
        <v/>
      </c>
      <c r="T1148" s="165" t="str">
        <f t="shared" si="2295"/>
        <v/>
      </c>
      <c r="U1148" s="147" t="str">
        <f t="array" ref="U1148">IF(ISBLANK($R1148), IF($S1148,VLOOKUP($B1148+1,'RFR Data - preExcl'!$BF$2:$BG1679,2,FALSE),IF($T1148,INDEX('RFR Data - preExcl'!$BF$2:$BG1679,MATCH($B1148,'RFR Data - preExcl'!$BF$2:$BF1679,0)+1,2),VLOOKUP($B1148,'RFR Data - preExcl'!$BF$2:$BG1679,2,FALSE))),IFERROR(0/0,""))</f>
        <v/>
      </c>
      <c r="V1148" s="212" t="str">
        <f t="shared" si="5"/>
        <v>RUN-COMB_2022-06-28_RFR-063</v>
      </c>
      <c r="W1148" s="51"/>
      <c r="X1148" s="51"/>
      <c r="Y1148" s="147" t="str">
        <f t="shared" ref="Y1148:Z1148" si="2296">IF(_xlfn.ISFORMULA(S1148),IFERROR(0/0,""),TRUE)</f>
        <v/>
      </c>
      <c r="Z1148" s="147" t="str">
        <f t="shared" si="2296"/>
        <v/>
      </c>
    </row>
    <row r="1149">
      <c r="A1149" s="6" t="str">
        <f>IFERROR(__xludf.DUMMYFUNCTION("""COMPUTED_VALUE"""),"FM2459")</f>
        <v>FM2459</v>
      </c>
      <c r="B1149" s="206">
        <f>IFERROR(__xludf.DUMMYFUNCTION("""COMPUTED_VALUE"""),44740.0)</f>
        <v>44740</v>
      </c>
      <c r="C1149" s="207">
        <f>IFERROR(__xludf.DUMMYFUNCTION("""COMPUTED_VALUE"""),0.2781712962962963)</f>
        <v>0.2781712963</v>
      </c>
      <c r="D1149" s="50"/>
      <c r="E1149" s="58"/>
      <c r="F1149" s="58"/>
      <c r="G1149" s="58" t="str">
        <f>IFERROR(__xludf.DUMMYFUNCTION("""COMPUTED_VALUE"""),"Null")</f>
        <v>Null</v>
      </c>
      <c r="H1149" s="206" t="str">
        <f>IFERROR(__xludf.DUMMYFUNCTION("""COMPUTED_VALUE"""),"Negative")</f>
        <v>Negative</v>
      </c>
      <c r="I1149" s="207"/>
      <c r="J1149" s="50"/>
      <c r="K1149" s="50">
        <f>IFERROR(__xludf.DUMMYFUNCTION("""COMPUTED_VALUE"""),2.0)</f>
        <v>2</v>
      </c>
      <c r="L1149" s="6"/>
      <c r="M1149" s="55"/>
      <c r="N1149" s="55">
        <f>IFERROR(__xludf.DUMMYFUNCTION("""COMPUTED_VALUE"""),1.0)</f>
        <v>1</v>
      </c>
      <c r="O1149" s="55" t="str">
        <f t="shared" si="3"/>
        <v/>
      </c>
      <c r="P1149" s="209"/>
      <c r="Q1149" s="75" t="b">
        <f>VLOOKUP($B1149,'Run Reconcile'!B$2:P1679,15,FALSE)</f>
        <v>1</v>
      </c>
      <c r="R1149" s="211" t="str">
        <f t="array" ref="R1149">IF($Q1149, INDEX('Run Reconcile'!A$2:A1679,MATCH(B1149,'Run Reconcile'!B$2:B1679,0),1),IFERROR(0/0,""))</f>
        <v>RUN-COMB_2022-06-28_RFR-063</v>
      </c>
      <c r="S1149" s="165" t="str">
        <f t="shared" ref="S1149:T1149" si="2297">IF(COUNTIF(W$2:W1679, $A1149) &gt; 0,TRUE,IFERROR(0/0,""))</f>
        <v/>
      </c>
      <c r="T1149" s="165" t="str">
        <f t="shared" si="2297"/>
        <v/>
      </c>
      <c r="U1149" s="147" t="str">
        <f t="array" ref="U1149">IF(ISBLANK($R1149), IF($S1149,VLOOKUP($B1149+1,'RFR Data - preExcl'!$BF$2:$BG1679,2,FALSE),IF($T1149,INDEX('RFR Data - preExcl'!$BF$2:$BG1679,MATCH($B1149,'RFR Data - preExcl'!$BF$2:$BF1679,0)+1,2),VLOOKUP($B1149,'RFR Data - preExcl'!$BF$2:$BG1679,2,FALSE))),IFERROR(0/0,""))</f>
        <v/>
      </c>
      <c r="V1149" s="212" t="str">
        <f t="shared" si="5"/>
        <v>RUN-COMB_2022-06-28_RFR-063</v>
      </c>
      <c r="W1149" s="51"/>
      <c r="X1149" s="51"/>
      <c r="Y1149" s="147" t="str">
        <f t="shared" ref="Y1149:Z1149" si="2298">IF(_xlfn.ISFORMULA(S1149),IFERROR(0/0,""),TRUE)</f>
        <v/>
      </c>
      <c r="Z1149" s="147" t="str">
        <f t="shared" si="2298"/>
        <v/>
      </c>
    </row>
    <row r="1150">
      <c r="A1150" s="6" t="str">
        <f>IFERROR(__xludf.DUMMYFUNCTION("""COMPUTED_VALUE"""),"FM2481")</f>
        <v>FM2481</v>
      </c>
      <c r="B1150" s="206">
        <f>IFERROR(__xludf.DUMMYFUNCTION("""COMPUTED_VALUE"""),44740.0)</f>
        <v>44740</v>
      </c>
      <c r="C1150" s="207">
        <f>IFERROR(__xludf.DUMMYFUNCTION("""COMPUTED_VALUE"""),0.27849537037037037)</f>
        <v>0.2784953704</v>
      </c>
      <c r="D1150" s="50"/>
      <c r="E1150" s="58"/>
      <c r="F1150" s="58"/>
      <c r="G1150" s="58" t="str">
        <f>IFERROR(__xludf.DUMMYFUNCTION("""COMPUTED_VALUE"""),"Null")</f>
        <v>Null</v>
      </c>
      <c r="H1150" s="206" t="str">
        <f>IFERROR(__xludf.DUMMYFUNCTION("""COMPUTED_VALUE"""),"Negative")</f>
        <v>Negative</v>
      </c>
      <c r="I1150" s="207"/>
      <c r="J1150" s="50"/>
      <c r="K1150" s="50">
        <f>IFERROR(__xludf.DUMMYFUNCTION("""COMPUTED_VALUE"""),2.0)</f>
        <v>2</v>
      </c>
      <c r="L1150" s="6"/>
      <c r="M1150" s="55"/>
      <c r="N1150" s="55">
        <f>IFERROR(__xludf.DUMMYFUNCTION("""COMPUTED_VALUE"""),1.0)</f>
        <v>1</v>
      </c>
      <c r="O1150" s="55" t="str">
        <f t="shared" si="3"/>
        <v/>
      </c>
      <c r="P1150" s="209"/>
      <c r="Q1150" s="75" t="b">
        <f>VLOOKUP($B1150,'Run Reconcile'!B$2:P1679,15,FALSE)</f>
        <v>1</v>
      </c>
      <c r="R1150" s="211" t="str">
        <f t="array" ref="R1150">IF($Q1150, INDEX('Run Reconcile'!A$2:A1679,MATCH(B1150,'Run Reconcile'!B$2:B1679,0),1),IFERROR(0/0,""))</f>
        <v>RUN-COMB_2022-06-28_RFR-063</v>
      </c>
      <c r="S1150" s="165" t="str">
        <f t="shared" ref="S1150:T1150" si="2299">IF(COUNTIF(W$2:W1679, $A1150) &gt; 0,TRUE,IFERROR(0/0,""))</f>
        <v/>
      </c>
      <c r="T1150" s="165" t="str">
        <f t="shared" si="2299"/>
        <v/>
      </c>
      <c r="U1150" s="147" t="str">
        <f t="array" ref="U1150">IF(ISBLANK($R1150), IF($S1150,VLOOKUP($B1150+1,'RFR Data - preExcl'!$BF$2:$BG1679,2,FALSE),IF($T1150,INDEX('RFR Data - preExcl'!$BF$2:$BG1679,MATCH($B1150,'RFR Data - preExcl'!$BF$2:$BF1679,0)+1,2),VLOOKUP($B1150,'RFR Data - preExcl'!$BF$2:$BG1679,2,FALSE))),IFERROR(0/0,""))</f>
        <v/>
      </c>
      <c r="V1150" s="212" t="str">
        <f t="shared" si="5"/>
        <v>RUN-COMB_2022-06-28_RFR-063</v>
      </c>
      <c r="W1150" s="51"/>
      <c r="X1150" s="51"/>
      <c r="Y1150" s="147" t="str">
        <f t="shared" ref="Y1150:Z1150" si="2300">IF(_xlfn.ISFORMULA(S1150),IFERROR(0/0,""),TRUE)</f>
        <v/>
      </c>
      <c r="Z1150" s="147" t="str">
        <f t="shared" si="2300"/>
        <v/>
      </c>
    </row>
    <row r="1151">
      <c r="A1151" s="6" t="str">
        <f>IFERROR(__xludf.DUMMYFUNCTION("""COMPUTED_VALUE"""),"FM2493")</f>
        <v>FM2493</v>
      </c>
      <c r="B1151" s="206">
        <f>IFERROR(__xludf.DUMMYFUNCTION("""COMPUTED_VALUE"""),44740.0)</f>
        <v>44740</v>
      </c>
      <c r="C1151" s="207">
        <f>IFERROR(__xludf.DUMMYFUNCTION("""COMPUTED_VALUE"""),0.27927083333333336)</f>
        <v>0.2792708333</v>
      </c>
      <c r="D1151" s="50"/>
      <c r="E1151" s="58"/>
      <c r="F1151" s="58"/>
      <c r="G1151" s="58" t="str">
        <f>IFERROR(__xludf.DUMMYFUNCTION("""COMPUTED_VALUE"""),"Null")</f>
        <v>Null</v>
      </c>
      <c r="H1151" s="206" t="str">
        <f>IFERROR(__xludf.DUMMYFUNCTION("""COMPUTED_VALUE"""),"Negative")</f>
        <v>Negative</v>
      </c>
      <c r="I1151" s="207"/>
      <c r="J1151" s="50"/>
      <c r="K1151" s="50">
        <f>IFERROR(__xludf.DUMMYFUNCTION("""COMPUTED_VALUE"""),2.0)</f>
        <v>2</v>
      </c>
      <c r="L1151" s="6"/>
      <c r="M1151" s="55"/>
      <c r="N1151" s="55">
        <f>IFERROR(__xludf.DUMMYFUNCTION("""COMPUTED_VALUE"""),1.0)</f>
        <v>1</v>
      </c>
      <c r="O1151" s="55" t="str">
        <f t="shared" si="3"/>
        <v/>
      </c>
      <c r="P1151" s="209"/>
      <c r="Q1151" s="75" t="b">
        <f>VLOOKUP($B1151,'Run Reconcile'!B$2:P1679,15,FALSE)</f>
        <v>1</v>
      </c>
      <c r="R1151" s="211" t="str">
        <f t="array" ref="R1151">IF($Q1151, INDEX('Run Reconcile'!A$2:A1679,MATCH(B1151,'Run Reconcile'!B$2:B1679,0),1),IFERROR(0/0,""))</f>
        <v>RUN-COMB_2022-06-28_RFR-063</v>
      </c>
      <c r="S1151" s="165" t="str">
        <f t="shared" ref="S1151:T1151" si="2301">IF(COUNTIF(W$2:W1679, $A1151) &gt; 0,TRUE,IFERROR(0/0,""))</f>
        <v/>
      </c>
      <c r="T1151" s="165" t="str">
        <f t="shared" si="2301"/>
        <v/>
      </c>
      <c r="U1151" s="147" t="str">
        <f t="array" ref="U1151">IF(ISBLANK($R1151), IF($S1151,VLOOKUP($B1151+1,'RFR Data - preExcl'!$BF$2:$BG1679,2,FALSE),IF($T1151,INDEX('RFR Data - preExcl'!$BF$2:$BG1679,MATCH($B1151,'RFR Data - preExcl'!$BF$2:$BF1679,0)+1,2),VLOOKUP($B1151,'RFR Data - preExcl'!$BF$2:$BG1679,2,FALSE))),IFERROR(0/0,""))</f>
        <v/>
      </c>
      <c r="V1151" s="212" t="str">
        <f t="shared" si="5"/>
        <v>RUN-COMB_2022-06-28_RFR-063</v>
      </c>
      <c r="W1151" s="51"/>
      <c r="X1151" s="51"/>
      <c r="Y1151" s="147" t="str">
        <f t="shared" ref="Y1151:Z1151" si="2302">IF(_xlfn.ISFORMULA(S1151),IFERROR(0/0,""),TRUE)</f>
        <v/>
      </c>
      <c r="Z1151" s="147" t="str">
        <f t="shared" si="2302"/>
        <v/>
      </c>
    </row>
    <row r="1152">
      <c r="A1152" s="6" t="str">
        <f>IFERROR(__xludf.DUMMYFUNCTION("""COMPUTED_VALUE"""),"FM2423")</f>
        <v>FM2423</v>
      </c>
      <c r="B1152" s="206">
        <f>IFERROR(__xludf.DUMMYFUNCTION("""COMPUTED_VALUE"""),44740.0)</f>
        <v>44740</v>
      </c>
      <c r="C1152" s="207">
        <f>IFERROR(__xludf.DUMMYFUNCTION("""COMPUTED_VALUE"""),0.2882060185185185)</f>
        <v>0.2882060185</v>
      </c>
      <c r="D1152" s="50"/>
      <c r="E1152" s="58"/>
      <c r="F1152" s="58"/>
      <c r="G1152" s="58" t="str">
        <f>IFERROR(__xludf.DUMMYFUNCTION("""COMPUTED_VALUE"""),"Null")</f>
        <v>Null</v>
      </c>
      <c r="H1152" s="206" t="str">
        <f>IFERROR(__xludf.DUMMYFUNCTION("""COMPUTED_VALUE"""),"Negative")</f>
        <v>Negative</v>
      </c>
      <c r="I1152" s="207"/>
      <c r="J1152" s="50"/>
      <c r="K1152" s="50">
        <f>IFERROR(__xludf.DUMMYFUNCTION("""COMPUTED_VALUE"""),2.0)</f>
        <v>2</v>
      </c>
      <c r="L1152" s="6"/>
      <c r="M1152" s="55"/>
      <c r="N1152" s="55">
        <f>IFERROR(__xludf.DUMMYFUNCTION("""COMPUTED_VALUE"""),1.0)</f>
        <v>1</v>
      </c>
      <c r="O1152" s="55" t="str">
        <f t="shared" si="3"/>
        <v/>
      </c>
      <c r="P1152" s="209"/>
      <c r="Q1152" s="75" t="b">
        <f>VLOOKUP($B1152,'Run Reconcile'!B$2:P1679,15,FALSE)</f>
        <v>1</v>
      </c>
      <c r="R1152" s="211" t="str">
        <f t="array" ref="R1152">IF($Q1152, INDEX('Run Reconcile'!A$2:A1679,MATCH(B1152,'Run Reconcile'!B$2:B1679,0),1),IFERROR(0/0,""))</f>
        <v>RUN-COMB_2022-06-28_RFR-063</v>
      </c>
      <c r="S1152" s="165" t="str">
        <f t="shared" ref="S1152:T1152" si="2303">IF(COUNTIF(W$2:W1679, $A1152) &gt; 0,TRUE,IFERROR(0/0,""))</f>
        <v/>
      </c>
      <c r="T1152" s="165" t="str">
        <f t="shared" si="2303"/>
        <v/>
      </c>
      <c r="U1152" s="147" t="str">
        <f t="array" ref="U1152">IF(ISBLANK($R1152), IF($S1152,VLOOKUP($B1152+1,'RFR Data - preExcl'!$BF$2:$BG1679,2,FALSE),IF($T1152,INDEX('RFR Data - preExcl'!$BF$2:$BG1679,MATCH($B1152,'RFR Data - preExcl'!$BF$2:$BF1679,0)+1,2),VLOOKUP($B1152,'RFR Data - preExcl'!$BF$2:$BG1679,2,FALSE))),IFERROR(0/0,""))</f>
        <v/>
      </c>
      <c r="V1152" s="212" t="str">
        <f t="shared" si="5"/>
        <v>RUN-COMB_2022-06-28_RFR-063</v>
      </c>
      <c r="W1152" s="51"/>
      <c r="X1152" s="51"/>
      <c r="Y1152" s="147" t="str">
        <f t="shared" ref="Y1152:Z1152" si="2304">IF(_xlfn.ISFORMULA(S1152),IFERROR(0/0,""),TRUE)</f>
        <v/>
      </c>
      <c r="Z1152" s="147" t="str">
        <f t="shared" si="2304"/>
        <v/>
      </c>
    </row>
    <row r="1153">
      <c r="A1153" s="6" t="str">
        <f>IFERROR(__xludf.DUMMYFUNCTION("""COMPUTED_VALUE"""),"FM2467")</f>
        <v>FM2467</v>
      </c>
      <c r="B1153" s="206">
        <f>IFERROR(__xludf.DUMMYFUNCTION("""COMPUTED_VALUE"""),44740.0)</f>
        <v>44740</v>
      </c>
      <c r="C1153" s="207">
        <f>IFERROR(__xludf.DUMMYFUNCTION("""COMPUTED_VALUE"""),0.2885185185185185)</f>
        <v>0.2885185185</v>
      </c>
      <c r="D1153" s="50"/>
      <c r="E1153" s="58"/>
      <c r="F1153" s="58"/>
      <c r="G1153" s="58" t="str">
        <f>IFERROR(__xludf.DUMMYFUNCTION("""COMPUTED_VALUE"""),"Null")</f>
        <v>Null</v>
      </c>
      <c r="H1153" s="206" t="str">
        <f>IFERROR(__xludf.DUMMYFUNCTION("""COMPUTED_VALUE"""),"Negative")</f>
        <v>Negative</v>
      </c>
      <c r="I1153" s="207"/>
      <c r="J1153" s="50"/>
      <c r="K1153" s="50">
        <f>IFERROR(__xludf.DUMMYFUNCTION("""COMPUTED_VALUE"""),2.0)</f>
        <v>2</v>
      </c>
      <c r="L1153" s="6"/>
      <c r="M1153" s="55"/>
      <c r="N1153" s="55">
        <f>IFERROR(__xludf.DUMMYFUNCTION("""COMPUTED_VALUE"""),1.0)</f>
        <v>1</v>
      </c>
      <c r="O1153" s="55" t="str">
        <f t="shared" si="3"/>
        <v/>
      </c>
      <c r="P1153" s="209"/>
      <c r="Q1153" s="75" t="b">
        <f>VLOOKUP($B1153,'Run Reconcile'!B$2:P1679,15,FALSE)</f>
        <v>1</v>
      </c>
      <c r="R1153" s="211" t="str">
        <f t="array" ref="R1153">IF($Q1153, INDEX('Run Reconcile'!A$2:A1679,MATCH(B1153,'Run Reconcile'!B$2:B1679,0),1),IFERROR(0/0,""))</f>
        <v>RUN-COMB_2022-06-28_RFR-063</v>
      </c>
      <c r="S1153" s="165" t="str">
        <f t="shared" ref="S1153:T1153" si="2305">IF(COUNTIF(W$2:W1679, $A1153) &gt; 0,TRUE,IFERROR(0/0,""))</f>
        <v/>
      </c>
      <c r="T1153" s="165" t="str">
        <f t="shared" si="2305"/>
        <v/>
      </c>
      <c r="U1153" s="147" t="str">
        <f t="array" ref="U1153">IF(ISBLANK($R1153), IF($S1153,VLOOKUP($B1153+1,'RFR Data - preExcl'!$BF$2:$BG1679,2,FALSE),IF($T1153,INDEX('RFR Data - preExcl'!$BF$2:$BG1679,MATCH($B1153,'RFR Data - preExcl'!$BF$2:$BF1679,0)+1,2),VLOOKUP($B1153,'RFR Data - preExcl'!$BF$2:$BG1679,2,FALSE))),IFERROR(0/0,""))</f>
        <v/>
      </c>
      <c r="V1153" s="212" t="str">
        <f t="shared" si="5"/>
        <v>RUN-COMB_2022-06-28_RFR-063</v>
      </c>
      <c r="W1153" s="51"/>
      <c r="X1153" s="51"/>
      <c r="Y1153" s="147" t="str">
        <f t="shared" ref="Y1153:Z1153" si="2306">IF(_xlfn.ISFORMULA(S1153),IFERROR(0/0,""),TRUE)</f>
        <v/>
      </c>
      <c r="Z1153" s="147" t="str">
        <f t="shared" si="2306"/>
        <v/>
      </c>
    </row>
    <row r="1154">
      <c r="A1154" s="6" t="str">
        <f>IFERROR(__xludf.DUMMYFUNCTION("""COMPUTED_VALUE"""),"FM2466")</f>
        <v>FM2466</v>
      </c>
      <c r="B1154" s="206">
        <f>IFERROR(__xludf.DUMMYFUNCTION("""COMPUTED_VALUE"""),44740.0)</f>
        <v>44740</v>
      </c>
      <c r="C1154" s="207">
        <f>IFERROR(__xludf.DUMMYFUNCTION("""COMPUTED_VALUE"""),0.2888773148148148)</f>
        <v>0.2888773148</v>
      </c>
      <c r="D1154" s="50"/>
      <c r="E1154" s="58"/>
      <c r="F1154" s="58"/>
      <c r="G1154" s="58" t="str">
        <f>IFERROR(__xludf.DUMMYFUNCTION("""COMPUTED_VALUE"""),"Null")</f>
        <v>Null</v>
      </c>
      <c r="H1154" s="206" t="str">
        <f>IFERROR(__xludf.DUMMYFUNCTION("""COMPUTED_VALUE"""),"Negative")</f>
        <v>Negative</v>
      </c>
      <c r="I1154" s="207"/>
      <c r="J1154" s="50"/>
      <c r="K1154" s="50">
        <f>IFERROR(__xludf.DUMMYFUNCTION("""COMPUTED_VALUE"""),2.0)</f>
        <v>2</v>
      </c>
      <c r="L1154" s="6"/>
      <c r="M1154" s="55"/>
      <c r="N1154" s="55">
        <f>IFERROR(__xludf.DUMMYFUNCTION("""COMPUTED_VALUE"""),1.0)</f>
        <v>1</v>
      </c>
      <c r="O1154" s="55" t="str">
        <f t="shared" si="3"/>
        <v/>
      </c>
      <c r="P1154" s="209"/>
      <c r="Q1154" s="75" t="b">
        <f>VLOOKUP($B1154,'Run Reconcile'!B$2:P1679,15,FALSE)</f>
        <v>1</v>
      </c>
      <c r="R1154" s="211" t="str">
        <f t="array" ref="R1154">IF($Q1154, INDEX('Run Reconcile'!A$2:A1679,MATCH(B1154,'Run Reconcile'!B$2:B1679,0),1),IFERROR(0/0,""))</f>
        <v>RUN-COMB_2022-06-28_RFR-063</v>
      </c>
      <c r="S1154" s="165" t="str">
        <f t="shared" ref="S1154:T1154" si="2307">IF(COUNTIF(W$2:W1679, $A1154) &gt; 0,TRUE,IFERROR(0/0,""))</f>
        <v/>
      </c>
      <c r="T1154" s="165" t="str">
        <f t="shared" si="2307"/>
        <v/>
      </c>
      <c r="U1154" s="147" t="str">
        <f t="array" ref="U1154">IF(ISBLANK($R1154), IF($S1154,VLOOKUP($B1154+1,'RFR Data - preExcl'!$BF$2:$BG1679,2,FALSE),IF($T1154,INDEX('RFR Data - preExcl'!$BF$2:$BG1679,MATCH($B1154,'RFR Data - preExcl'!$BF$2:$BF1679,0)+1,2),VLOOKUP($B1154,'RFR Data - preExcl'!$BF$2:$BG1679,2,FALSE))),IFERROR(0/0,""))</f>
        <v/>
      </c>
      <c r="V1154" s="212" t="str">
        <f t="shared" si="5"/>
        <v>RUN-COMB_2022-06-28_RFR-063</v>
      </c>
      <c r="W1154" s="51"/>
      <c r="X1154" s="51"/>
      <c r="Y1154" s="147" t="str">
        <f t="shared" ref="Y1154:Z1154" si="2308">IF(_xlfn.ISFORMULA(S1154),IFERROR(0/0,""),TRUE)</f>
        <v/>
      </c>
      <c r="Z1154" s="147" t="str">
        <f t="shared" si="2308"/>
        <v/>
      </c>
    </row>
    <row r="1155">
      <c r="A1155" s="6" t="str">
        <f>IFERROR(__xludf.DUMMYFUNCTION("""COMPUTED_VALUE"""),"FM2450")</f>
        <v>FM2450</v>
      </c>
      <c r="B1155" s="206">
        <f>IFERROR(__xludf.DUMMYFUNCTION("""COMPUTED_VALUE"""),44740.0)</f>
        <v>44740</v>
      </c>
      <c r="C1155" s="207">
        <f>IFERROR(__xludf.DUMMYFUNCTION("""COMPUTED_VALUE"""),0.2891782407407407)</f>
        <v>0.2891782407</v>
      </c>
      <c r="D1155" s="50"/>
      <c r="E1155" s="58"/>
      <c r="F1155" s="58"/>
      <c r="G1155" s="58" t="str">
        <f>IFERROR(__xludf.DUMMYFUNCTION("""COMPUTED_VALUE"""),"Null")</f>
        <v>Null</v>
      </c>
      <c r="H1155" s="206" t="str">
        <f>IFERROR(__xludf.DUMMYFUNCTION("""COMPUTED_VALUE"""),"Negative")</f>
        <v>Negative</v>
      </c>
      <c r="I1155" s="207"/>
      <c r="J1155" s="50"/>
      <c r="K1155" s="50">
        <f>IFERROR(__xludf.DUMMYFUNCTION("""COMPUTED_VALUE"""),2.0)</f>
        <v>2</v>
      </c>
      <c r="L1155" s="6"/>
      <c r="M1155" s="55"/>
      <c r="N1155" s="55">
        <f>IFERROR(__xludf.DUMMYFUNCTION("""COMPUTED_VALUE"""),1.0)</f>
        <v>1</v>
      </c>
      <c r="O1155" s="55" t="str">
        <f t="shared" si="3"/>
        <v/>
      </c>
      <c r="P1155" s="209"/>
      <c r="Q1155" s="75" t="b">
        <f>VLOOKUP($B1155,'Run Reconcile'!B$2:P1679,15,FALSE)</f>
        <v>1</v>
      </c>
      <c r="R1155" s="211" t="str">
        <f t="array" ref="R1155">IF($Q1155, INDEX('Run Reconcile'!A$2:A1679,MATCH(B1155,'Run Reconcile'!B$2:B1679,0),1),IFERROR(0/0,""))</f>
        <v>RUN-COMB_2022-06-28_RFR-063</v>
      </c>
      <c r="S1155" s="165" t="str">
        <f t="shared" ref="S1155:T1155" si="2309">IF(COUNTIF(W$2:W1679, $A1155) &gt; 0,TRUE,IFERROR(0/0,""))</f>
        <v/>
      </c>
      <c r="T1155" s="165" t="str">
        <f t="shared" si="2309"/>
        <v/>
      </c>
      <c r="U1155" s="147" t="str">
        <f t="array" ref="U1155">IF(ISBLANK($R1155), IF($S1155,VLOOKUP($B1155+1,'RFR Data - preExcl'!$BF$2:$BG1679,2,FALSE),IF($T1155,INDEX('RFR Data - preExcl'!$BF$2:$BG1679,MATCH($B1155,'RFR Data - preExcl'!$BF$2:$BF1679,0)+1,2),VLOOKUP($B1155,'RFR Data - preExcl'!$BF$2:$BG1679,2,FALSE))),IFERROR(0/0,""))</f>
        <v/>
      </c>
      <c r="V1155" s="212" t="str">
        <f t="shared" si="5"/>
        <v>RUN-COMB_2022-06-28_RFR-063</v>
      </c>
      <c r="W1155" s="51"/>
      <c r="X1155" s="51"/>
      <c r="Y1155" s="147" t="str">
        <f t="shared" ref="Y1155:Z1155" si="2310">IF(_xlfn.ISFORMULA(S1155),IFERROR(0/0,""),TRUE)</f>
        <v/>
      </c>
      <c r="Z1155" s="147" t="str">
        <f t="shared" si="2310"/>
        <v/>
      </c>
    </row>
    <row r="1156">
      <c r="A1156" s="6" t="str">
        <f>IFERROR(__xludf.DUMMYFUNCTION("""COMPUTED_VALUE"""),"FM2446")</f>
        <v>FM2446</v>
      </c>
      <c r="B1156" s="206">
        <f>IFERROR(__xludf.DUMMYFUNCTION("""COMPUTED_VALUE"""),44740.0)</f>
        <v>44740</v>
      </c>
      <c r="C1156" s="207">
        <f>IFERROR(__xludf.DUMMYFUNCTION("""COMPUTED_VALUE"""),0.29159722222222223)</f>
        <v>0.2915972222</v>
      </c>
      <c r="D1156" s="50"/>
      <c r="E1156" s="58"/>
      <c r="F1156" s="58"/>
      <c r="G1156" s="58" t="str">
        <f>IFERROR(__xludf.DUMMYFUNCTION("""COMPUTED_VALUE"""),"Null")</f>
        <v>Null</v>
      </c>
      <c r="H1156" s="206" t="str">
        <f>IFERROR(__xludf.DUMMYFUNCTION("""COMPUTED_VALUE"""),"Negative")</f>
        <v>Negative</v>
      </c>
      <c r="I1156" s="207"/>
      <c r="J1156" s="50"/>
      <c r="K1156" s="50">
        <f>IFERROR(__xludf.DUMMYFUNCTION("""COMPUTED_VALUE"""),2.0)</f>
        <v>2</v>
      </c>
      <c r="L1156" s="6"/>
      <c r="M1156" s="55"/>
      <c r="N1156" s="55">
        <f>IFERROR(__xludf.DUMMYFUNCTION("""COMPUTED_VALUE"""),1.0)</f>
        <v>1</v>
      </c>
      <c r="O1156" s="55" t="str">
        <f t="shared" si="3"/>
        <v/>
      </c>
      <c r="P1156" s="209"/>
      <c r="Q1156" s="75" t="b">
        <f>VLOOKUP($B1156,'Run Reconcile'!B$2:P1679,15,FALSE)</f>
        <v>1</v>
      </c>
      <c r="R1156" s="211" t="str">
        <f t="array" ref="R1156">IF($Q1156, INDEX('Run Reconcile'!A$2:A1679,MATCH(B1156,'Run Reconcile'!B$2:B1679,0),1),IFERROR(0/0,""))</f>
        <v>RUN-COMB_2022-06-28_RFR-063</v>
      </c>
      <c r="S1156" s="165" t="str">
        <f t="shared" ref="S1156:T1156" si="2311">IF(COUNTIF(W$2:W1679, $A1156) &gt; 0,TRUE,IFERROR(0/0,""))</f>
        <v/>
      </c>
      <c r="T1156" s="165" t="str">
        <f t="shared" si="2311"/>
        <v/>
      </c>
      <c r="U1156" s="147" t="str">
        <f t="array" ref="U1156">IF(ISBLANK($R1156), IF($S1156,VLOOKUP($B1156+1,'RFR Data - preExcl'!$BF$2:$BG1679,2,FALSE),IF($T1156,INDEX('RFR Data - preExcl'!$BF$2:$BG1679,MATCH($B1156,'RFR Data - preExcl'!$BF$2:$BF1679,0)+1,2),VLOOKUP($B1156,'RFR Data - preExcl'!$BF$2:$BG1679,2,FALSE))),IFERROR(0/0,""))</f>
        <v/>
      </c>
      <c r="V1156" s="212" t="str">
        <f t="shared" si="5"/>
        <v>RUN-COMB_2022-06-28_RFR-063</v>
      </c>
      <c r="W1156" s="51"/>
      <c r="X1156" s="51"/>
      <c r="Y1156" s="147" t="str">
        <f t="shared" ref="Y1156:Z1156" si="2312">IF(_xlfn.ISFORMULA(S1156),IFERROR(0/0,""),TRUE)</f>
        <v/>
      </c>
      <c r="Z1156" s="147" t="str">
        <f t="shared" si="2312"/>
        <v/>
      </c>
    </row>
    <row r="1157">
      <c r="A1157" s="6" t="str">
        <f>IFERROR(__xludf.DUMMYFUNCTION("""COMPUTED_VALUE"""),"FM2499")</f>
        <v>FM2499</v>
      </c>
      <c r="B1157" s="206">
        <f>IFERROR(__xludf.DUMMYFUNCTION("""COMPUTED_VALUE"""),44740.0)</f>
        <v>44740</v>
      </c>
      <c r="C1157" s="207">
        <f>IFERROR(__xludf.DUMMYFUNCTION("""COMPUTED_VALUE"""),0.2919791666666667)</f>
        <v>0.2919791667</v>
      </c>
      <c r="D1157" s="50"/>
      <c r="E1157" s="58"/>
      <c r="F1157" s="58"/>
      <c r="G1157" s="58" t="str">
        <f>IFERROR(__xludf.DUMMYFUNCTION("""COMPUTED_VALUE"""),"Null")</f>
        <v>Null</v>
      </c>
      <c r="H1157" s="206" t="str">
        <f>IFERROR(__xludf.DUMMYFUNCTION("""COMPUTED_VALUE"""),"Negative")</f>
        <v>Negative</v>
      </c>
      <c r="I1157" s="207"/>
      <c r="J1157" s="50"/>
      <c r="K1157" s="50">
        <f>IFERROR(__xludf.DUMMYFUNCTION("""COMPUTED_VALUE"""),2.0)</f>
        <v>2</v>
      </c>
      <c r="L1157" s="6"/>
      <c r="M1157" s="55"/>
      <c r="N1157" s="55">
        <f>IFERROR(__xludf.DUMMYFUNCTION("""COMPUTED_VALUE"""),1.0)</f>
        <v>1</v>
      </c>
      <c r="O1157" s="55" t="str">
        <f t="shared" si="3"/>
        <v/>
      </c>
      <c r="P1157" s="209"/>
      <c r="Q1157" s="75" t="b">
        <f>VLOOKUP($B1157,'Run Reconcile'!B$2:P1679,15,FALSE)</f>
        <v>1</v>
      </c>
      <c r="R1157" s="211" t="str">
        <f t="array" ref="R1157">IF($Q1157, INDEX('Run Reconcile'!A$2:A1679,MATCH(B1157,'Run Reconcile'!B$2:B1679,0),1),IFERROR(0/0,""))</f>
        <v>RUN-COMB_2022-06-28_RFR-063</v>
      </c>
      <c r="S1157" s="165" t="str">
        <f t="shared" ref="S1157:T1157" si="2313">IF(COUNTIF(W$2:W1679, $A1157) &gt; 0,TRUE,IFERROR(0/0,""))</f>
        <v/>
      </c>
      <c r="T1157" s="165" t="str">
        <f t="shared" si="2313"/>
        <v/>
      </c>
      <c r="U1157" s="147" t="str">
        <f t="array" ref="U1157">IF(ISBLANK($R1157), IF($S1157,VLOOKUP($B1157+1,'RFR Data - preExcl'!$BF$2:$BG1679,2,FALSE),IF($T1157,INDEX('RFR Data - preExcl'!$BF$2:$BG1679,MATCH($B1157,'RFR Data - preExcl'!$BF$2:$BF1679,0)+1,2),VLOOKUP($B1157,'RFR Data - preExcl'!$BF$2:$BG1679,2,FALSE))),IFERROR(0/0,""))</f>
        <v/>
      </c>
      <c r="V1157" s="212" t="str">
        <f t="shared" si="5"/>
        <v>RUN-COMB_2022-06-28_RFR-063</v>
      </c>
      <c r="W1157" s="51"/>
      <c r="X1157" s="51"/>
      <c r="Y1157" s="147" t="str">
        <f t="shared" ref="Y1157:Z1157" si="2314">IF(_xlfn.ISFORMULA(S1157),IFERROR(0/0,""),TRUE)</f>
        <v/>
      </c>
      <c r="Z1157" s="147" t="str">
        <f t="shared" si="2314"/>
        <v/>
      </c>
    </row>
    <row r="1158">
      <c r="A1158" s="6" t="str">
        <f>IFERROR(__xludf.DUMMYFUNCTION("""COMPUTED_VALUE"""),"FM2429")</f>
        <v>FM2429</v>
      </c>
      <c r="B1158" s="206">
        <f>IFERROR(__xludf.DUMMYFUNCTION("""COMPUTED_VALUE"""),44740.0)</f>
        <v>44740</v>
      </c>
      <c r="C1158" s="207">
        <f>IFERROR(__xludf.DUMMYFUNCTION("""COMPUTED_VALUE"""),0.2924305555555556)</f>
        <v>0.2924305556</v>
      </c>
      <c r="D1158" s="50"/>
      <c r="E1158" s="58"/>
      <c r="F1158" s="58"/>
      <c r="G1158" s="58" t="str">
        <f>IFERROR(__xludf.DUMMYFUNCTION("""COMPUTED_VALUE"""),"Null")</f>
        <v>Null</v>
      </c>
      <c r="H1158" s="206" t="str">
        <f>IFERROR(__xludf.DUMMYFUNCTION("""COMPUTED_VALUE"""),"Negative")</f>
        <v>Negative</v>
      </c>
      <c r="I1158" s="207"/>
      <c r="J1158" s="50"/>
      <c r="K1158" s="50">
        <f>IFERROR(__xludf.DUMMYFUNCTION("""COMPUTED_VALUE"""),2.0)</f>
        <v>2</v>
      </c>
      <c r="L1158" s="6"/>
      <c r="M1158" s="55"/>
      <c r="N1158" s="55">
        <f>IFERROR(__xludf.DUMMYFUNCTION("""COMPUTED_VALUE"""),1.0)</f>
        <v>1</v>
      </c>
      <c r="O1158" s="55" t="str">
        <f t="shared" si="3"/>
        <v/>
      </c>
      <c r="P1158" s="209"/>
      <c r="Q1158" s="75" t="b">
        <f>VLOOKUP($B1158,'Run Reconcile'!B$2:P1679,15,FALSE)</f>
        <v>1</v>
      </c>
      <c r="R1158" s="211" t="str">
        <f t="array" ref="R1158">IF($Q1158, INDEX('Run Reconcile'!A$2:A1679,MATCH(B1158,'Run Reconcile'!B$2:B1679,0),1),IFERROR(0/0,""))</f>
        <v>RUN-COMB_2022-06-28_RFR-063</v>
      </c>
      <c r="S1158" s="165" t="str">
        <f t="shared" ref="S1158:T1158" si="2315">IF(COUNTIF(W$2:W1679, $A1158) &gt; 0,TRUE,IFERROR(0/0,""))</f>
        <v/>
      </c>
      <c r="T1158" s="165" t="str">
        <f t="shared" si="2315"/>
        <v/>
      </c>
      <c r="U1158" s="147" t="str">
        <f t="array" ref="U1158">IF(ISBLANK($R1158), IF($S1158,VLOOKUP($B1158+1,'RFR Data - preExcl'!$BF$2:$BG1679,2,FALSE),IF($T1158,INDEX('RFR Data - preExcl'!$BF$2:$BG1679,MATCH($B1158,'RFR Data - preExcl'!$BF$2:$BF1679,0)+1,2),VLOOKUP($B1158,'RFR Data - preExcl'!$BF$2:$BG1679,2,FALSE))),IFERROR(0/0,""))</f>
        <v/>
      </c>
      <c r="V1158" s="212" t="str">
        <f t="shared" si="5"/>
        <v>RUN-COMB_2022-06-28_RFR-063</v>
      </c>
      <c r="W1158" s="51"/>
      <c r="X1158" s="51"/>
      <c r="Y1158" s="147" t="str">
        <f t="shared" ref="Y1158:Z1158" si="2316">IF(_xlfn.ISFORMULA(S1158),IFERROR(0/0,""),TRUE)</f>
        <v/>
      </c>
      <c r="Z1158" s="147" t="str">
        <f t="shared" si="2316"/>
        <v/>
      </c>
    </row>
    <row r="1159">
      <c r="A1159" s="6" t="str">
        <f>IFERROR(__xludf.DUMMYFUNCTION("""COMPUTED_VALUE"""),"FM2165")</f>
        <v>FM2165</v>
      </c>
      <c r="B1159" s="206">
        <f>IFERROR(__xludf.DUMMYFUNCTION("""COMPUTED_VALUE"""),44740.0)</f>
        <v>44740</v>
      </c>
      <c r="C1159" s="207">
        <f>IFERROR(__xludf.DUMMYFUNCTION("""COMPUTED_VALUE"""),0.2927777777777778)</f>
        <v>0.2927777778</v>
      </c>
      <c r="D1159" s="50"/>
      <c r="E1159" s="58"/>
      <c r="F1159" s="58"/>
      <c r="G1159" s="58" t="str">
        <f>IFERROR(__xludf.DUMMYFUNCTION("""COMPUTED_VALUE"""),"Null")</f>
        <v>Null</v>
      </c>
      <c r="H1159" s="206" t="str">
        <f>IFERROR(__xludf.DUMMYFUNCTION("""COMPUTED_VALUE"""),"Negative")</f>
        <v>Negative</v>
      </c>
      <c r="I1159" s="207"/>
      <c r="J1159" s="50"/>
      <c r="K1159" s="50">
        <f>IFERROR(__xludf.DUMMYFUNCTION("""COMPUTED_VALUE"""),2.0)</f>
        <v>2</v>
      </c>
      <c r="L1159" s="6"/>
      <c r="M1159" s="55"/>
      <c r="N1159" s="55">
        <f>IFERROR(__xludf.DUMMYFUNCTION("""COMPUTED_VALUE"""),1.0)</f>
        <v>1</v>
      </c>
      <c r="O1159" s="55" t="str">
        <f t="shared" si="3"/>
        <v/>
      </c>
      <c r="P1159" s="209"/>
      <c r="Q1159" s="75" t="b">
        <f>VLOOKUP($B1159,'Run Reconcile'!B$2:P1679,15,FALSE)</f>
        <v>1</v>
      </c>
      <c r="R1159" s="211" t="str">
        <f t="array" ref="R1159">IF($Q1159, INDEX('Run Reconcile'!A$2:A1679,MATCH(B1159,'Run Reconcile'!B$2:B1679,0),1),IFERROR(0/0,""))</f>
        <v>RUN-COMB_2022-06-28_RFR-063</v>
      </c>
      <c r="S1159" s="165" t="str">
        <f t="shared" ref="S1159:T1159" si="2317">IF(COUNTIF(W$2:W1679, $A1159) &gt; 0,TRUE,IFERROR(0/0,""))</f>
        <v/>
      </c>
      <c r="T1159" s="165" t="str">
        <f t="shared" si="2317"/>
        <v/>
      </c>
      <c r="U1159" s="147" t="str">
        <f t="array" ref="U1159">IF(ISBLANK($R1159), IF($S1159,VLOOKUP($B1159+1,'RFR Data - preExcl'!$BF$2:$BG1679,2,FALSE),IF($T1159,INDEX('RFR Data - preExcl'!$BF$2:$BG1679,MATCH($B1159,'RFR Data - preExcl'!$BF$2:$BF1679,0)+1,2),VLOOKUP($B1159,'RFR Data - preExcl'!$BF$2:$BG1679,2,FALSE))),IFERROR(0/0,""))</f>
        <v/>
      </c>
      <c r="V1159" s="212" t="str">
        <f t="shared" si="5"/>
        <v>RUN-COMB_2022-06-28_RFR-063</v>
      </c>
      <c r="W1159" s="51"/>
      <c r="X1159" s="51"/>
      <c r="Y1159" s="147" t="str">
        <f t="shared" ref="Y1159:Z1159" si="2318">IF(_xlfn.ISFORMULA(S1159),IFERROR(0/0,""),TRUE)</f>
        <v/>
      </c>
      <c r="Z1159" s="147" t="str">
        <f t="shared" si="2318"/>
        <v/>
      </c>
    </row>
    <row r="1160">
      <c r="A1160" s="6" t="str">
        <f>IFERROR(__xludf.DUMMYFUNCTION("""COMPUTED_VALUE"""),"FM2115")</f>
        <v>FM2115</v>
      </c>
      <c r="B1160" s="206">
        <f>IFERROR(__xludf.DUMMYFUNCTION("""COMPUTED_VALUE"""),44740.0)</f>
        <v>44740</v>
      </c>
      <c r="C1160" s="207">
        <f>IFERROR(__xludf.DUMMYFUNCTION("""COMPUTED_VALUE"""),0.29434027777777777)</f>
        <v>0.2943402778</v>
      </c>
      <c r="D1160" s="50"/>
      <c r="E1160" s="58"/>
      <c r="F1160" s="58"/>
      <c r="G1160" s="58" t="str">
        <f>IFERROR(__xludf.DUMMYFUNCTION("""COMPUTED_VALUE"""),"Null")</f>
        <v>Null</v>
      </c>
      <c r="H1160" s="206" t="str">
        <f>IFERROR(__xludf.DUMMYFUNCTION("""COMPUTED_VALUE"""),"Negative")</f>
        <v>Negative</v>
      </c>
      <c r="I1160" s="207"/>
      <c r="J1160" s="50"/>
      <c r="K1160" s="50">
        <f>IFERROR(__xludf.DUMMYFUNCTION("""COMPUTED_VALUE"""),2.0)</f>
        <v>2</v>
      </c>
      <c r="L1160" s="6"/>
      <c r="M1160" s="55"/>
      <c r="N1160" s="55">
        <f>IFERROR(__xludf.DUMMYFUNCTION("""COMPUTED_VALUE"""),1.0)</f>
        <v>1</v>
      </c>
      <c r="O1160" s="55" t="str">
        <f t="shared" si="3"/>
        <v/>
      </c>
      <c r="P1160" s="209"/>
      <c r="Q1160" s="75" t="b">
        <f>VLOOKUP($B1160,'Run Reconcile'!B$2:P1679,15,FALSE)</f>
        <v>1</v>
      </c>
      <c r="R1160" s="211" t="str">
        <f t="array" ref="R1160">IF($Q1160, INDEX('Run Reconcile'!A$2:A1679,MATCH(B1160,'Run Reconcile'!B$2:B1679,0),1),IFERROR(0/0,""))</f>
        <v>RUN-COMB_2022-06-28_RFR-063</v>
      </c>
      <c r="S1160" s="165" t="str">
        <f t="shared" ref="S1160:T1160" si="2319">IF(COUNTIF(W$2:W1679, $A1160) &gt; 0,TRUE,IFERROR(0/0,""))</f>
        <v/>
      </c>
      <c r="T1160" s="165" t="str">
        <f t="shared" si="2319"/>
        <v/>
      </c>
      <c r="U1160" s="147" t="str">
        <f t="array" ref="U1160">IF(ISBLANK($R1160), IF($S1160,VLOOKUP($B1160+1,'RFR Data - preExcl'!$BF$2:$BG1679,2,FALSE),IF($T1160,INDEX('RFR Data - preExcl'!$BF$2:$BG1679,MATCH($B1160,'RFR Data - preExcl'!$BF$2:$BF1679,0)+1,2),VLOOKUP($B1160,'RFR Data - preExcl'!$BF$2:$BG1679,2,FALSE))),IFERROR(0/0,""))</f>
        <v/>
      </c>
      <c r="V1160" s="212" t="str">
        <f t="shared" si="5"/>
        <v>RUN-COMB_2022-06-28_RFR-063</v>
      </c>
      <c r="W1160" s="51"/>
      <c r="X1160" s="51"/>
      <c r="Y1160" s="147" t="str">
        <f t="shared" ref="Y1160:Z1160" si="2320">IF(_xlfn.ISFORMULA(S1160),IFERROR(0/0,""),TRUE)</f>
        <v/>
      </c>
      <c r="Z1160" s="147" t="str">
        <f t="shared" si="2320"/>
        <v/>
      </c>
    </row>
    <row r="1161">
      <c r="A1161" s="6" t="str">
        <f>IFERROR(__xludf.DUMMYFUNCTION("""COMPUTED_VALUE"""),"FM2471")</f>
        <v>FM2471</v>
      </c>
      <c r="B1161" s="206">
        <f>IFERROR(__xludf.DUMMYFUNCTION("""COMPUTED_VALUE"""),44740.0)</f>
        <v>44740</v>
      </c>
      <c r="C1161" s="207">
        <f>IFERROR(__xludf.DUMMYFUNCTION("""COMPUTED_VALUE"""),0.2946990740740741)</f>
        <v>0.2946990741</v>
      </c>
      <c r="D1161" s="50"/>
      <c r="E1161" s="58"/>
      <c r="F1161" s="58"/>
      <c r="G1161" s="58" t="str">
        <f>IFERROR(__xludf.DUMMYFUNCTION("""COMPUTED_VALUE"""),"Null")</f>
        <v>Null</v>
      </c>
      <c r="H1161" s="206" t="str">
        <f>IFERROR(__xludf.DUMMYFUNCTION("""COMPUTED_VALUE"""),"Negative")</f>
        <v>Negative</v>
      </c>
      <c r="I1161" s="207"/>
      <c r="J1161" s="50"/>
      <c r="K1161" s="50">
        <f>IFERROR(__xludf.DUMMYFUNCTION("""COMPUTED_VALUE"""),2.0)</f>
        <v>2</v>
      </c>
      <c r="L1161" s="6"/>
      <c r="M1161" s="55"/>
      <c r="N1161" s="55">
        <f>IFERROR(__xludf.DUMMYFUNCTION("""COMPUTED_VALUE"""),1.0)</f>
        <v>1</v>
      </c>
      <c r="O1161" s="55" t="str">
        <f t="shared" si="3"/>
        <v/>
      </c>
      <c r="P1161" s="209"/>
      <c r="Q1161" s="75" t="b">
        <f>VLOOKUP($B1161,'Run Reconcile'!B$2:P1679,15,FALSE)</f>
        <v>1</v>
      </c>
      <c r="R1161" s="211" t="str">
        <f t="array" ref="R1161">IF($Q1161, INDEX('Run Reconcile'!A$2:A1679,MATCH(B1161,'Run Reconcile'!B$2:B1679,0),1),IFERROR(0/0,""))</f>
        <v>RUN-COMB_2022-06-28_RFR-063</v>
      </c>
      <c r="S1161" s="165" t="str">
        <f t="shared" ref="S1161:T1161" si="2321">IF(COUNTIF(W$2:W1679, $A1161) &gt; 0,TRUE,IFERROR(0/0,""))</f>
        <v/>
      </c>
      <c r="T1161" s="165" t="str">
        <f t="shared" si="2321"/>
        <v/>
      </c>
      <c r="U1161" s="147" t="str">
        <f t="array" ref="U1161">IF(ISBLANK($R1161), IF($S1161,VLOOKUP($B1161+1,'RFR Data - preExcl'!$BF$2:$BG1679,2,FALSE),IF($T1161,INDEX('RFR Data - preExcl'!$BF$2:$BG1679,MATCH($B1161,'RFR Data - preExcl'!$BF$2:$BF1679,0)+1,2),VLOOKUP($B1161,'RFR Data - preExcl'!$BF$2:$BG1679,2,FALSE))),IFERROR(0/0,""))</f>
        <v/>
      </c>
      <c r="V1161" s="212" t="str">
        <f t="shared" si="5"/>
        <v>RUN-COMB_2022-06-28_RFR-063</v>
      </c>
      <c r="W1161" s="51"/>
      <c r="X1161" s="51"/>
      <c r="Y1161" s="147" t="str">
        <f t="shared" ref="Y1161:Z1161" si="2322">IF(_xlfn.ISFORMULA(S1161),IFERROR(0/0,""),TRUE)</f>
        <v/>
      </c>
      <c r="Z1161" s="147" t="str">
        <f t="shared" si="2322"/>
        <v/>
      </c>
    </row>
    <row r="1162">
      <c r="A1162" s="6" t="str">
        <f>IFERROR(__xludf.DUMMYFUNCTION("""COMPUTED_VALUE"""),"FM2463")</f>
        <v>FM2463</v>
      </c>
      <c r="B1162" s="206">
        <f>IFERROR(__xludf.DUMMYFUNCTION("""COMPUTED_VALUE"""),44740.0)</f>
        <v>44740</v>
      </c>
      <c r="C1162" s="207">
        <f>IFERROR(__xludf.DUMMYFUNCTION("""COMPUTED_VALUE"""),0.2950347222222222)</f>
        <v>0.2950347222</v>
      </c>
      <c r="D1162" s="50"/>
      <c r="E1162" s="58"/>
      <c r="F1162" s="58"/>
      <c r="G1162" s="58" t="str">
        <f>IFERROR(__xludf.DUMMYFUNCTION("""COMPUTED_VALUE"""),"Null")</f>
        <v>Null</v>
      </c>
      <c r="H1162" s="206" t="str">
        <f>IFERROR(__xludf.DUMMYFUNCTION("""COMPUTED_VALUE"""),"Negative")</f>
        <v>Negative</v>
      </c>
      <c r="I1162" s="207"/>
      <c r="J1162" s="50"/>
      <c r="K1162" s="50">
        <f>IFERROR(__xludf.DUMMYFUNCTION("""COMPUTED_VALUE"""),2.0)</f>
        <v>2</v>
      </c>
      <c r="L1162" s="6"/>
      <c r="M1162" s="55"/>
      <c r="N1162" s="55">
        <f>IFERROR(__xludf.DUMMYFUNCTION("""COMPUTED_VALUE"""),1.0)</f>
        <v>1</v>
      </c>
      <c r="O1162" s="55" t="str">
        <f t="shared" si="3"/>
        <v/>
      </c>
      <c r="P1162" s="209"/>
      <c r="Q1162" s="75" t="b">
        <f>VLOOKUP($B1162,'Run Reconcile'!B$2:P1679,15,FALSE)</f>
        <v>1</v>
      </c>
      <c r="R1162" s="211" t="str">
        <f t="array" ref="R1162">IF($Q1162, INDEX('Run Reconcile'!A$2:A1679,MATCH(B1162,'Run Reconcile'!B$2:B1679,0),1),IFERROR(0/0,""))</f>
        <v>RUN-COMB_2022-06-28_RFR-063</v>
      </c>
      <c r="S1162" s="165" t="str">
        <f t="shared" ref="S1162:T1162" si="2323">IF(COUNTIF(W$2:W1679, $A1162) &gt; 0,TRUE,IFERROR(0/0,""))</f>
        <v/>
      </c>
      <c r="T1162" s="165" t="str">
        <f t="shared" si="2323"/>
        <v/>
      </c>
      <c r="U1162" s="147" t="str">
        <f t="array" ref="U1162">IF(ISBLANK($R1162), IF($S1162,VLOOKUP($B1162+1,'RFR Data - preExcl'!$BF$2:$BG1679,2,FALSE),IF($T1162,INDEX('RFR Data - preExcl'!$BF$2:$BG1679,MATCH($B1162,'RFR Data - preExcl'!$BF$2:$BF1679,0)+1,2),VLOOKUP($B1162,'RFR Data - preExcl'!$BF$2:$BG1679,2,FALSE))),IFERROR(0/0,""))</f>
        <v/>
      </c>
      <c r="V1162" s="212" t="str">
        <f t="shared" si="5"/>
        <v>RUN-COMB_2022-06-28_RFR-063</v>
      </c>
      <c r="W1162" s="51"/>
      <c r="X1162" s="51"/>
      <c r="Y1162" s="147" t="str">
        <f t="shared" ref="Y1162:Z1162" si="2324">IF(_xlfn.ISFORMULA(S1162),IFERROR(0/0,""),TRUE)</f>
        <v/>
      </c>
      <c r="Z1162" s="147" t="str">
        <f t="shared" si="2324"/>
        <v/>
      </c>
    </row>
    <row r="1163">
      <c r="A1163" s="6" t="str">
        <f>IFERROR(__xludf.DUMMYFUNCTION("""COMPUTED_VALUE"""),"FM2435")</f>
        <v>FM2435</v>
      </c>
      <c r="B1163" s="206">
        <f>IFERROR(__xludf.DUMMYFUNCTION("""COMPUTED_VALUE"""),44740.0)</f>
        <v>44740</v>
      </c>
      <c r="C1163" s="207">
        <f>IFERROR(__xludf.DUMMYFUNCTION("""COMPUTED_VALUE"""),0.29574074074074075)</f>
        <v>0.2957407407</v>
      </c>
      <c r="D1163" s="50"/>
      <c r="E1163" s="58"/>
      <c r="F1163" s="58"/>
      <c r="G1163" s="58" t="str">
        <f>IFERROR(__xludf.DUMMYFUNCTION("""COMPUTED_VALUE"""),"Null")</f>
        <v>Null</v>
      </c>
      <c r="H1163" s="206" t="str">
        <f>IFERROR(__xludf.DUMMYFUNCTION("""COMPUTED_VALUE"""),"Negative")</f>
        <v>Negative</v>
      </c>
      <c r="I1163" s="207"/>
      <c r="J1163" s="50"/>
      <c r="K1163" s="50">
        <f>IFERROR(__xludf.DUMMYFUNCTION("""COMPUTED_VALUE"""),2.0)</f>
        <v>2</v>
      </c>
      <c r="L1163" s="6"/>
      <c r="M1163" s="55"/>
      <c r="N1163" s="55">
        <f>IFERROR(__xludf.DUMMYFUNCTION("""COMPUTED_VALUE"""),1.0)</f>
        <v>1</v>
      </c>
      <c r="O1163" s="55" t="str">
        <f t="shared" si="3"/>
        <v/>
      </c>
      <c r="P1163" s="209"/>
      <c r="Q1163" s="75" t="b">
        <f>VLOOKUP($B1163,'Run Reconcile'!B$2:P1679,15,FALSE)</f>
        <v>1</v>
      </c>
      <c r="R1163" s="211" t="str">
        <f t="array" ref="R1163">IF($Q1163, INDEX('Run Reconcile'!A$2:A1679,MATCH(B1163,'Run Reconcile'!B$2:B1679,0),1),IFERROR(0/0,""))</f>
        <v>RUN-COMB_2022-06-28_RFR-063</v>
      </c>
      <c r="S1163" s="165" t="str">
        <f t="shared" ref="S1163:T1163" si="2325">IF(COUNTIF(W$2:W1679, $A1163) &gt; 0,TRUE,IFERROR(0/0,""))</f>
        <v/>
      </c>
      <c r="T1163" s="165" t="str">
        <f t="shared" si="2325"/>
        <v/>
      </c>
      <c r="U1163" s="147" t="str">
        <f t="array" ref="U1163">IF(ISBLANK($R1163), IF($S1163,VLOOKUP($B1163+1,'RFR Data - preExcl'!$BF$2:$BG1679,2,FALSE),IF($T1163,INDEX('RFR Data - preExcl'!$BF$2:$BG1679,MATCH($B1163,'RFR Data - preExcl'!$BF$2:$BF1679,0)+1,2),VLOOKUP($B1163,'RFR Data - preExcl'!$BF$2:$BG1679,2,FALSE))),IFERROR(0/0,""))</f>
        <v/>
      </c>
      <c r="V1163" s="212" t="str">
        <f t="shared" si="5"/>
        <v>RUN-COMB_2022-06-28_RFR-063</v>
      </c>
      <c r="W1163" s="51"/>
      <c r="X1163" s="51"/>
      <c r="Y1163" s="147" t="str">
        <f t="shared" ref="Y1163:Z1163" si="2326">IF(_xlfn.ISFORMULA(S1163),IFERROR(0/0,""),TRUE)</f>
        <v/>
      </c>
      <c r="Z1163" s="147" t="str">
        <f t="shared" si="2326"/>
        <v/>
      </c>
    </row>
    <row r="1164">
      <c r="A1164" s="6" t="str">
        <f>IFERROR(__xludf.DUMMYFUNCTION("""COMPUTED_VALUE"""),"FM2496")</f>
        <v>FM2496</v>
      </c>
      <c r="B1164" s="206">
        <f>IFERROR(__xludf.DUMMYFUNCTION("""COMPUTED_VALUE"""),44740.0)</f>
        <v>44740</v>
      </c>
      <c r="C1164" s="207">
        <f>IFERROR(__xludf.DUMMYFUNCTION("""COMPUTED_VALUE"""),0.29604166666666665)</f>
        <v>0.2960416667</v>
      </c>
      <c r="D1164" s="50"/>
      <c r="E1164" s="58"/>
      <c r="F1164" s="58"/>
      <c r="G1164" s="58" t="str">
        <f>IFERROR(__xludf.DUMMYFUNCTION("""COMPUTED_VALUE"""),"Null")</f>
        <v>Null</v>
      </c>
      <c r="H1164" s="206" t="str">
        <f>IFERROR(__xludf.DUMMYFUNCTION("""COMPUTED_VALUE"""),"Negative")</f>
        <v>Negative</v>
      </c>
      <c r="I1164" s="207"/>
      <c r="J1164" s="50"/>
      <c r="K1164" s="50">
        <f>IFERROR(__xludf.DUMMYFUNCTION("""COMPUTED_VALUE"""),2.0)</f>
        <v>2</v>
      </c>
      <c r="L1164" s="6"/>
      <c r="M1164" s="55"/>
      <c r="N1164" s="55">
        <f>IFERROR(__xludf.DUMMYFUNCTION("""COMPUTED_VALUE"""),1.0)</f>
        <v>1</v>
      </c>
      <c r="O1164" s="55" t="str">
        <f t="shared" si="3"/>
        <v/>
      </c>
      <c r="P1164" s="209"/>
      <c r="Q1164" s="75" t="b">
        <f>VLOOKUP($B1164,'Run Reconcile'!B$2:P1679,15,FALSE)</f>
        <v>1</v>
      </c>
      <c r="R1164" s="211" t="str">
        <f t="array" ref="R1164">IF($Q1164, INDEX('Run Reconcile'!A$2:A1679,MATCH(B1164,'Run Reconcile'!B$2:B1679,0),1),IFERROR(0/0,""))</f>
        <v>RUN-COMB_2022-06-28_RFR-063</v>
      </c>
      <c r="S1164" s="165" t="str">
        <f t="shared" ref="S1164:T1164" si="2327">IF(COUNTIF(W$2:W1679, $A1164) &gt; 0,TRUE,IFERROR(0/0,""))</f>
        <v/>
      </c>
      <c r="T1164" s="165" t="str">
        <f t="shared" si="2327"/>
        <v/>
      </c>
      <c r="U1164" s="147" t="str">
        <f t="array" ref="U1164">IF(ISBLANK($R1164), IF($S1164,VLOOKUP($B1164+1,'RFR Data - preExcl'!$BF$2:$BG1679,2,FALSE),IF($T1164,INDEX('RFR Data - preExcl'!$BF$2:$BG1679,MATCH($B1164,'RFR Data - preExcl'!$BF$2:$BF1679,0)+1,2),VLOOKUP($B1164,'RFR Data - preExcl'!$BF$2:$BG1679,2,FALSE))),IFERROR(0/0,""))</f>
        <v/>
      </c>
      <c r="V1164" s="212" t="str">
        <f t="shared" si="5"/>
        <v>RUN-COMB_2022-06-28_RFR-063</v>
      </c>
      <c r="W1164" s="51"/>
      <c r="X1164" s="51"/>
      <c r="Y1164" s="147" t="str">
        <f t="shared" ref="Y1164:Z1164" si="2328">IF(_xlfn.ISFORMULA(S1164),IFERROR(0/0,""),TRUE)</f>
        <v/>
      </c>
      <c r="Z1164" s="147" t="str">
        <f t="shared" si="2328"/>
        <v/>
      </c>
    </row>
    <row r="1165">
      <c r="A1165" s="6" t="str">
        <f>IFERROR(__xludf.DUMMYFUNCTION("""COMPUTED_VALUE"""),"FM2495")</f>
        <v>FM2495</v>
      </c>
      <c r="B1165" s="206">
        <f>IFERROR(__xludf.DUMMYFUNCTION("""COMPUTED_VALUE"""),44740.0)</f>
        <v>44740</v>
      </c>
      <c r="C1165" s="207">
        <f>IFERROR(__xludf.DUMMYFUNCTION("""COMPUTED_VALUE"""),0.29636574074074074)</f>
        <v>0.2963657407</v>
      </c>
      <c r="D1165" s="50"/>
      <c r="E1165" s="58"/>
      <c r="F1165" s="58"/>
      <c r="G1165" s="58" t="str">
        <f>IFERROR(__xludf.DUMMYFUNCTION("""COMPUTED_VALUE"""),"Null")</f>
        <v>Null</v>
      </c>
      <c r="H1165" s="206" t="str">
        <f>IFERROR(__xludf.DUMMYFUNCTION("""COMPUTED_VALUE"""),"Negative")</f>
        <v>Negative</v>
      </c>
      <c r="I1165" s="207"/>
      <c r="J1165" s="50"/>
      <c r="K1165" s="50">
        <f>IFERROR(__xludf.DUMMYFUNCTION("""COMPUTED_VALUE"""),2.0)</f>
        <v>2</v>
      </c>
      <c r="L1165" s="6"/>
      <c r="M1165" s="55"/>
      <c r="N1165" s="55">
        <f>IFERROR(__xludf.DUMMYFUNCTION("""COMPUTED_VALUE"""),1.0)</f>
        <v>1</v>
      </c>
      <c r="O1165" s="55" t="str">
        <f t="shared" si="3"/>
        <v/>
      </c>
      <c r="P1165" s="209"/>
      <c r="Q1165" s="75" t="b">
        <f>VLOOKUP($B1165,'Run Reconcile'!B$2:P1679,15,FALSE)</f>
        <v>1</v>
      </c>
      <c r="R1165" s="211" t="str">
        <f t="array" ref="R1165">IF($Q1165, INDEX('Run Reconcile'!A$2:A1679,MATCH(B1165,'Run Reconcile'!B$2:B1679,0),1),IFERROR(0/0,""))</f>
        <v>RUN-COMB_2022-06-28_RFR-063</v>
      </c>
      <c r="S1165" s="165" t="str">
        <f t="shared" ref="S1165:T1165" si="2329">IF(COUNTIF(W$2:W1679, $A1165) &gt; 0,TRUE,IFERROR(0/0,""))</f>
        <v/>
      </c>
      <c r="T1165" s="165" t="str">
        <f t="shared" si="2329"/>
        <v/>
      </c>
      <c r="U1165" s="147" t="str">
        <f t="array" ref="U1165">IF(ISBLANK($R1165), IF($S1165,VLOOKUP($B1165+1,'RFR Data - preExcl'!$BF$2:$BG1679,2,FALSE),IF($T1165,INDEX('RFR Data - preExcl'!$BF$2:$BG1679,MATCH($B1165,'RFR Data - preExcl'!$BF$2:$BF1679,0)+1,2),VLOOKUP($B1165,'RFR Data - preExcl'!$BF$2:$BG1679,2,FALSE))),IFERROR(0/0,""))</f>
        <v/>
      </c>
      <c r="V1165" s="212" t="str">
        <f t="shared" si="5"/>
        <v>RUN-COMB_2022-06-28_RFR-063</v>
      </c>
      <c r="W1165" s="51"/>
      <c r="X1165" s="51"/>
      <c r="Y1165" s="147" t="str">
        <f t="shared" ref="Y1165:Z1165" si="2330">IF(_xlfn.ISFORMULA(S1165),IFERROR(0/0,""),TRUE)</f>
        <v/>
      </c>
      <c r="Z1165" s="147" t="str">
        <f t="shared" si="2330"/>
        <v/>
      </c>
    </row>
    <row r="1166">
      <c r="A1166" s="6" t="str">
        <f>IFERROR(__xludf.DUMMYFUNCTION("""COMPUTED_VALUE"""),"FM2414")</f>
        <v>FM2414</v>
      </c>
      <c r="B1166" s="206">
        <f>IFERROR(__xludf.DUMMYFUNCTION("""COMPUTED_VALUE"""),44740.0)</f>
        <v>44740</v>
      </c>
      <c r="C1166" s="207">
        <f>IFERROR(__xludf.DUMMYFUNCTION("""COMPUTED_VALUE"""),0.29671296296296296)</f>
        <v>0.296712963</v>
      </c>
      <c r="D1166" s="50"/>
      <c r="E1166" s="58"/>
      <c r="F1166" s="58"/>
      <c r="G1166" s="58" t="str">
        <f>IFERROR(__xludf.DUMMYFUNCTION("""COMPUTED_VALUE"""),"Null")</f>
        <v>Null</v>
      </c>
      <c r="H1166" s="206" t="str">
        <f>IFERROR(__xludf.DUMMYFUNCTION("""COMPUTED_VALUE"""),"Negative")</f>
        <v>Negative</v>
      </c>
      <c r="I1166" s="207"/>
      <c r="J1166" s="50"/>
      <c r="K1166" s="50">
        <f>IFERROR(__xludf.DUMMYFUNCTION("""COMPUTED_VALUE"""),2.0)</f>
        <v>2</v>
      </c>
      <c r="L1166" s="6"/>
      <c r="M1166" s="55"/>
      <c r="N1166" s="55">
        <f>IFERROR(__xludf.DUMMYFUNCTION("""COMPUTED_VALUE"""),1.0)</f>
        <v>1</v>
      </c>
      <c r="O1166" s="55" t="str">
        <f t="shared" si="3"/>
        <v/>
      </c>
      <c r="P1166" s="209"/>
      <c r="Q1166" s="75" t="b">
        <f>VLOOKUP($B1166,'Run Reconcile'!B$2:P1679,15,FALSE)</f>
        <v>1</v>
      </c>
      <c r="R1166" s="211" t="str">
        <f t="array" ref="R1166">IF($Q1166, INDEX('Run Reconcile'!A$2:A1679,MATCH(B1166,'Run Reconcile'!B$2:B1679,0),1),IFERROR(0/0,""))</f>
        <v>RUN-COMB_2022-06-28_RFR-063</v>
      </c>
      <c r="S1166" s="165" t="str">
        <f t="shared" ref="S1166:T1166" si="2331">IF(COUNTIF(W$2:W1679, $A1166) &gt; 0,TRUE,IFERROR(0/0,""))</f>
        <v/>
      </c>
      <c r="T1166" s="165" t="str">
        <f t="shared" si="2331"/>
        <v/>
      </c>
      <c r="U1166" s="147" t="str">
        <f t="array" ref="U1166">IF(ISBLANK($R1166), IF($S1166,VLOOKUP($B1166+1,'RFR Data - preExcl'!$BF$2:$BG1679,2,FALSE),IF($T1166,INDEX('RFR Data - preExcl'!$BF$2:$BG1679,MATCH($B1166,'RFR Data - preExcl'!$BF$2:$BF1679,0)+1,2),VLOOKUP($B1166,'RFR Data - preExcl'!$BF$2:$BG1679,2,FALSE))),IFERROR(0/0,""))</f>
        <v/>
      </c>
      <c r="V1166" s="212" t="str">
        <f t="shared" si="5"/>
        <v>RUN-COMB_2022-06-28_RFR-063</v>
      </c>
      <c r="W1166" s="51"/>
      <c r="X1166" s="51"/>
      <c r="Y1166" s="147" t="str">
        <f t="shared" ref="Y1166:Z1166" si="2332">IF(_xlfn.ISFORMULA(S1166),IFERROR(0/0,""),TRUE)</f>
        <v/>
      </c>
      <c r="Z1166" s="147" t="str">
        <f t="shared" si="2332"/>
        <v/>
      </c>
    </row>
    <row r="1167">
      <c r="A1167" s="6" t="str">
        <f>IFERROR(__xludf.DUMMYFUNCTION("""COMPUTED_VALUE"""),"FM2509")</f>
        <v>FM2509</v>
      </c>
      <c r="B1167" s="206">
        <f>IFERROR(__xludf.DUMMYFUNCTION("""COMPUTED_VALUE"""),44741.0)</f>
        <v>44741</v>
      </c>
      <c r="C1167" s="207">
        <f>IFERROR(__xludf.DUMMYFUNCTION("""COMPUTED_VALUE"""),0.29585648148148147)</f>
        <v>0.2958564815</v>
      </c>
      <c r="D1167" s="50"/>
      <c r="E1167" s="58"/>
      <c r="F1167" s="58"/>
      <c r="G1167" s="58" t="str">
        <f>IFERROR(__xludf.DUMMYFUNCTION("""COMPUTED_VALUE"""),"Null")</f>
        <v>Null</v>
      </c>
      <c r="H1167" s="206" t="str">
        <f>IFERROR(__xludf.DUMMYFUNCTION("""COMPUTED_VALUE"""),"Negative")</f>
        <v>Negative</v>
      </c>
      <c r="I1167" s="207"/>
      <c r="J1167" s="50"/>
      <c r="K1167" s="50">
        <f>IFERROR(__xludf.DUMMYFUNCTION("""COMPUTED_VALUE"""),2.0)</f>
        <v>2</v>
      </c>
      <c r="L1167" s="6"/>
      <c r="M1167" s="55"/>
      <c r="N1167" s="55">
        <f>IFERROR(__xludf.DUMMYFUNCTION("""COMPUTED_VALUE"""),1.0)</f>
        <v>1</v>
      </c>
      <c r="O1167" s="55" t="b">
        <f t="shared" si="3"/>
        <v>1</v>
      </c>
      <c r="P1167" s="209"/>
      <c r="Q1167" s="75" t="b">
        <f>VLOOKUP($B1167,'Run Reconcile'!B$2:P1679,15,FALSE)</f>
        <v>1</v>
      </c>
      <c r="R1167" s="211" t="str">
        <f t="array" ref="R1167">IF($Q1167, INDEX('Run Reconcile'!A$2:A1679,MATCH(B1167,'Run Reconcile'!B$2:B1679,0),1),IFERROR(0/0,""))</f>
        <v>RUN-COMB_2022-06-29_RFR-065</v>
      </c>
      <c r="S1167" s="165" t="str">
        <f t="shared" ref="S1167:T1167" si="2333">IF(COUNTIF(W$2:W1679, $A1167) &gt; 0,TRUE,IFERROR(0/0,""))</f>
        <v/>
      </c>
      <c r="T1167" s="165" t="str">
        <f t="shared" si="2333"/>
        <v/>
      </c>
      <c r="U1167" s="147" t="str">
        <f t="array" ref="U1167">IF(ISBLANK($R1167), IF($S1167,VLOOKUP($B1167+1,'RFR Data - preExcl'!$BF$2:$BG1679,2,FALSE),IF($T1167,INDEX('RFR Data - preExcl'!$BF$2:$BG1679,MATCH($B1167,'RFR Data - preExcl'!$BF$2:$BF1679,0)+1,2),VLOOKUP($B1167,'RFR Data - preExcl'!$BF$2:$BG1679,2,FALSE))),IFERROR(0/0,""))</f>
        <v/>
      </c>
      <c r="V1167" s="212" t="str">
        <f t="shared" si="5"/>
        <v>RUN-COMB_2022-06-29_RFR-065</v>
      </c>
      <c r="W1167" s="51"/>
      <c r="X1167" s="51"/>
      <c r="Y1167" s="147" t="str">
        <f t="shared" ref="Y1167:Z1167" si="2334">IF(_xlfn.ISFORMULA(S1167),IFERROR(0/0,""),TRUE)</f>
        <v/>
      </c>
      <c r="Z1167" s="147" t="str">
        <f t="shared" si="2334"/>
        <v/>
      </c>
    </row>
    <row r="1168">
      <c r="A1168" s="6" t="str">
        <f>IFERROR(__xludf.DUMMYFUNCTION("""COMPUTED_VALUE"""),"FM2474")</f>
        <v>FM2474</v>
      </c>
      <c r="B1168" s="206">
        <f>IFERROR(__xludf.DUMMYFUNCTION("""COMPUTED_VALUE"""),44741.0)</f>
        <v>44741</v>
      </c>
      <c r="C1168" s="207">
        <f>IFERROR(__xludf.DUMMYFUNCTION("""COMPUTED_VALUE"""),0.2961574074074074)</f>
        <v>0.2961574074</v>
      </c>
      <c r="D1168" s="50"/>
      <c r="E1168" s="58"/>
      <c r="F1168" s="58"/>
      <c r="G1168" s="58" t="str">
        <f>IFERROR(__xludf.DUMMYFUNCTION("""COMPUTED_VALUE"""),"Null")</f>
        <v>Null</v>
      </c>
      <c r="H1168" s="206" t="str">
        <f>IFERROR(__xludf.DUMMYFUNCTION("""COMPUTED_VALUE"""),"Negative")</f>
        <v>Negative</v>
      </c>
      <c r="I1168" s="207"/>
      <c r="J1168" s="50"/>
      <c r="K1168" s="50">
        <f>IFERROR(__xludf.DUMMYFUNCTION("""COMPUTED_VALUE"""),2.0)</f>
        <v>2</v>
      </c>
      <c r="L1168" s="6"/>
      <c r="M1168" s="55"/>
      <c r="N1168" s="55">
        <f>IFERROR(__xludf.DUMMYFUNCTION("""COMPUTED_VALUE"""),1.0)</f>
        <v>1</v>
      </c>
      <c r="O1168" s="55" t="str">
        <f t="shared" si="3"/>
        <v/>
      </c>
      <c r="P1168" s="209"/>
      <c r="Q1168" s="75" t="b">
        <f>VLOOKUP($B1168,'Run Reconcile'!B$2:P1679,15,FALSE)</f>
        <v>1</v>
      </c>
      <c r="R1168" s="211" t="str">
        <f t="array" ref="R1168">IF($Q1168, INDEX('Run Reconcile'!A$2:A1679,MATCH(B1168,'Run Reconcile'!B$2:B1679,0),1),IFERROR(0/0,""))</f>
        <v>RUN-COMB_2022-06-29_RFR-065</v>
      </c>
      <c r="S1168" s="165" t="str">
        <f t="shared" ref="S1168:T1168" si="2335">IF(COUNTIF(W$2:W1679, $A1168) &gt; 0,TRUE,IFERROR(0/0,""))</f>
        <v/>
      </c>
      <c r="T1168" s="165" t="str">
        <f t="shared" si="2335"/>
        <v/>
      </c>
      <c r="U1168" s="147" t="str">
        <f t="array" ref="U1168">IF(ISBLANK($R1168), IF($S1168,VLOOKUP($B1168+1,'RFR Data - preExcl'!$BF$2:$BG1679,2,FALSE),IF($T1168,INDEX('RFR Data - preExcl'!$BF$2:$BG1679,MATCH($B1168,'RFR Data - preExcl'!$BF$2:$BF1679,0)+1,2),VLOOKUP($B1168,'RFR Data - preExcl'!$BF$2:$BG1679,2,FALSE))),IFERROR(0/0,""))</f>
        <v/>
      </c>
      <c r="V1168" s="212" t="str">
        <f t="shared" si="5"/>
        <v>RUN-COMB_2022-06-29_RFR-065</v>
      </c>
      <c r="W1168" s="51"/>
      <c r="X1168" s="51"/>
      <c r="Y1168" s="147" t="str">
        <f t="shared" ref="Y1168:Z1168" si="2336">IF(_xlfn.ISFORMULA(S1168),IFERROR(0/0,""),TRUE)</f>
        <v/>
      </c>
      <c r="Z1168" s="147" t="str">
        <f t="shared" si="2336"/>
        <v/>
      </c>
    </row>
    <row r="1169">
      <c r="A1169" s="6" t="str">
        <f>IFERROR(__xludf.DUMMYFUNCTION("""COMPUTED_VALUE"""),"FM2181")</f>
        <v>FM2181</v>
      </c>
      <c r="B1169" s="206">
        <f>IFERROR(__xludf.DUMMYFUNCTION("""COMPUTED_VALUE"""),44741.0)</f>
        <v>44741</v>
      </c>
      <c r="C1169" s="207">
        <f>IFERROR(__xludf.DUMMYFUNCTION("""COMPUTED_VALUE"""),0.2965393518518519)</f>
        <v>0.2965393519</v>
      </c>
      <c r="D1169" s="50"/>
      <c r="E1169" s="58"/>
      <c r="F1169" s="58"/>
      <c r="G1169" s="58" t="str">
        <f>IFERROR(__xludf.DUMMYFUNCTION("""COMPUTED_VALUE"""),"Null")</f>
        <v>Null</v>
      </c>
      <c r="H1169" s="206" t="str">
        <f>IFERROR(__xludf.DUMMYFUNCTION("""COMPUTED_VALUE"""),"Negative")</f>
        <v>Negative</v>
      </c>
      <c r="I1169" s="207"/>
      <c r="J1169" s="50"/>
      <c r="K1169" s="50">
        <f>IFERROR(__xludf.DUMMYFUNCTION("""COMPUTED_VALUE"""),2.0)</f>
        <v>2</v>
      </c>
      <c r="L1169" s="6"/>
      <c r="M1169" s="55"/>
      <c r="N1169" s="55">
        <f>IFERROR(__xludf.DUMMYFUNCTION("""COMPUTED_VALUE"""),1.0)</f>
        <v>1</v>
      </c>
      <c r="O1169" s="55" t="str">
        <f t="shared" si="3"/>
        <v/>
      </c>
      <c r="P1169" s="209"/>
      <c r="Q1169" s="75" t="b">
        <f>VLOOKUP($B1169,'Run Reconcile'!B$2:P1679,15,FALSE)</f>
        <v>1</v>
      </c>
      <c r="R1169" s="211" t="str">
        <f t="array" ref="R1169">IF($Q1169, INDEX('Run Reconcile'!A$2:A1679,MATCH(B1169,'Run Reconcile'!B$2:B1679,0),1),IFERROR(0/0,""))</f>
        <v>RUN-COMB_2022-06-29_RFR-065</v>
      </c>
      <c r="S1169" s="165" t="str">
        <f t="shared" ref="S1169:T1169" si="2337">IF(COUNTIF(W$2:W1679, $A1169) &gt; 0,TRUE,IFERROR(0/0,""))</f>
        <v/>
      </c>
      <c r="T1169" s="165" t="str">
        <f t="shared" si="2337"/>
        <v/>
      </c>
      <c r="U1169" s="147" t="str">
        <f t="array" ref="U1169">IF(ISBLANK($R1169), IF($S1169,VLOOKUP($B1169+1,'RFR Data - preExcl'!$BF$2:$BG1679,2,FALSE),IF($T1169,INDEX('RFR Data - preExcl'!$BF$2:$BG1679,MATCH($B1169,'RFR Data - preExcl'!$BF$2:$BF1679,0)+1,2),VLOOKUP($B1169,'RFR Data - preExcl'!$BF$2:$BG1679,2,FALSE))),IFERROR(0/0,""))</f>
        <v/>
      </c>
      <c r="V1169" s="212" t="str">
        <f t="shared" si="5"/>
        <v>RUN-COMB_2022-06-29_RFR-065</v>
      </c>
      <c r="W1169" s="51"/>
      <c r="X1169" s="51"/>
      <c r="Y1169" s="147" t="str">
        <f t="shared" ref="Y1169:Z1169" si="2338">IF(_xlfn.ISFORMULA(S1169),IFERROR(0/0,""),TRUE)</f>
        <v/>
      </c>
      <c r="Z1169" s="147" t="str">
        <f t="shared" si="2338"/>
        <v/>
      </c>
    </row>
    <row r="1170">
      <c r="A1170" s="6" t="str">
        <f>IFERROR(__xludf.DUMMYFUNCTION("""COMPUTED_VALUE"""),"FM2445")</f>
        <v>FM2445</v>
      </c>
      <c r="B1170" s="206">
        <f>IFERROR(__xludf.DUMMYFUNCTION("""COMPUTED_VALUE"""),44741.0)</f>
        <v>44741</v>
      </c>
      <c r="C1170" s="207">
        <f>IFERROR(__xludf.DUMMYFUNCTION("""COMPUTED_VALUE"""),0.2969212962962963)</f>
        <v>0.2969212963</v>
      </c>
      <c r="D1170" s="50"/>
      <c r="E1170" s="58"/>
      <c r="F1170" s="58"/>
      <c r="G1170" s="58" t="str">
        <f>IFERROR(__xludf.DUMMYFUNCTION("""COMPUTED_VALUE"""),"Null")</f>
        <v>Null</v>
      </c>
      <c r="H1170" s="206" t="str">
        <f>IFERROR(__xludf.DUMMYFUNCTION("""COMPUTED_VALUE"""),"Negative")</f>
        <v>Negative</v>
      </c>
      <c r="I1170" s="207"/>
      <c r="J1170" s="50"/>
      <c r="K1170" s="50">
        <f>IFERROR(__xludf.DUMMYFUNCTION("""COMPUTED_VALUE"""),2.0)</f>
        <v>2</v>
      </c>
      <c r="L1170" s="6"/>
      <c r="M1170" s="55"/>
      <c r="N1170" s="55">
        <f>IFERROR(__xludf.DUMMYFUNCTION("""COMPUTED_VALUE"""),1.0)</f>
        <v>1</v>
      </c>
      <c r="O1170" s="55" t="str">
        <f t="shared" si="3"/>
        <v/>
      </c>
      <c r="P1170" s="209"/>
      <c r="Q1170" s="75" t="b">
        <f>VLOOKUP($B1170,'Run Reconcile'!B$2:P1679,15,FALSE)</f>
        <v>1</v>
      </c>
      <c r="R1170" s="211" t="str">
        <f t="array" ref="R1170">IF($Q1170, INDEX('Run Reconcile'!A$2:A1679,MATCH(B1170,'Run Reconcile'!B$2:B1679,0),1),IFERROR(0/0,""))</f>
        <v>RUN-COMB_2022-06-29_RFR-065</v>
      </c>
      <c r="S1170" s="165" t="str">
        <f t="shared" ref="S1170:T1170" si="2339">IF(COUNTIF(W$2:W1679, $A1170) &gt; 0,TRUE,IFERROR(0/0,""))</f>
        <v/>
      </c>
      <c r="T1170" s="165" t="str">
        <f t="shared" si="2339"/>
        <v/>
      </c>
      <c r="U1170" s="147" t="str">
        <f t="array" ref="U1170">IF(ISBLANK($R1170), IF($S1170,VLOOKUP($B1170+1,'RFR Data - preExcl'!$BF$2:$BG1679,2,FALSE),IF($T1170,INDEX('RFR Data - preExcl'!$BF$2:$BG1679,MATCH($B1170,'RFR Data - preExcl'!$BF$2:$BF1679,0)+1,2),VLOOKUP($B1170,'RFR Data - preExcl'!$BF$2:$BG1679,2,FALSE))),IFERROR(0/0,""))</f>
        <v/>
      </c>
      <c r="V1170" s="212" t="str">
        <f t="shared" si="5"/>
        <v>RUN-COMB_2022-06-29_RFR-065</v>
      </c>
      <c r="W1170" s="51"/>
      <c r="X1170" s="51"/>
      <c r="Y1170" s="147" t="str">
        <f t="shared" ref="Y1170:Z1170" si="2340">IF(_xlfn.ISFORMULA(S1170),IFERROR(0/0,""),TRUE)</f>
        <v/>
      </c>
      <c r="Z1170" s="147" t="str">
        <f t="shared" si="2340"/>
        <v/>
      </c>
    </row>
    <row r="1171">
      <c r="A1171" s="6" t="str">
        <f>IFERROR(__xludf.DUMMYFUNCTION("""COMPUTED_VALUE"""),"FM2517")</f>
        <v>FM2517</v>
      </c>
      <c r="B1171" s="206">
        <f>IFERROR(__xludf.DUMMYFUNCTION("""COMPUTED_VALUE"""),44741.0)</f>
        <v>44741</v>
      </c>
      <c r="C1171" s="207">
        <f>IFERROR(__xludf.DUMMYFUNCTION("""COMPUTED_VALUE"""),0.2972916666666667)</f>
        <v>0.2972916667</v>
      </c>
      <c r="D1171" s="50"/>
      <c r="E1171" s="58"/>
      <c r="F1171" s="58"/>
      <c r="G1171" s="58" t="str">
        <f>IFERROR(__xludf.DUMMYFUNCTION("""COMPUTED_VALUE"""),"Null")</f>
        <v>Null</v>
      </c>
      <c r="H1171" s="206" t="str">
        <f>IFERROR(__xludf.DUMMYFUNCTION("""COMPUTED_VALUE"""),"Negative")</f>
        <v>Negative</v>
      </c>
      <c r="I1171" s="207"/>
      <c r="J1171" s="50"/>
      <c r="K1171" s="50">
        <f>IFERROR(__xludf.DUMMYFUNCTION("""COMPUTED_VALUE"""),2.0)</f>
        <v>2</v>
      </c>
      <c r="L1171" s="6"/>
      <c r="M1171" s="55"/>
      <c r="N1171" s="55">
        <f>IFERROR(__xludf.DUMMYFUNCTION("""COMPUTED_VALUE"""),1.0)</f>
        <v>1</v>
      </c>
      <c r="O1171" s="55" t="str">
        <f t="shared" si="3"/>
        <v/>
      </c>
      <c r="P1171" s="209"/>
      <c r="Q1171" s="75" t="b">
        <f>VLOOKUP($B1171,'Run Reconcile'!B$2:P1679,15,FALSE)</f>
        <v>1</v>
      </c>
      <c r="R1171" s="211" t="str">
        <f t="array" ref="R1171">IF($Q1171, INDEX('Run Reconcile'!A$2:A1679,MATCH(B1171,'Run Reconcile'!B$2:B1679,0),1),IFERROR(0/0,""))</f>
        <v>RUN-COMB_2022-06-29_RFR-065</v>
      </c>
      <c r="S1171" s="165" t="str">
        <f t="shared" ref="S1171:T1171" si="2341">IF(COUNTIF(W$2:W1679, $A1171) &gt; 0,TRUE,IFERROR(0/0,""))</f>
        <v/>
      </c>
      <c r="T1171" s="165" t="str">
        <f t="shared" si="2341"/>
        <v/>
      </c>
      <c r="U1171" s="147" t="str">
        <f t="array" ref="U1171">IF(ISBLANK($R1171), IF($S1171,VLOOKUP($B1171+1,'RFR Data - preExcl'!$BF$2:$BG1679,2,FALSE),IF($T1171,INDEX('RFR Data - preExcl'!$BF$2:$BG1679,MATCH($B1171,'RFR Data - preExcl'!$BF$2:$BF1679,0)+1,2),VLOOKUP($B1171,'RFR Data - preExcl'!$BF$2:$BG1679,2,FALSE))),IFERROR(0/0,""))</f>
        <v/>
      </c>
      <c r="V1171" s="212" t="str">
        <f t="shared" si="5"/>
        <v>RUN-COMB_2022-06-29_RFR-065</v>
      </c>
      <c r="W1171" s="51"/>
      <c r="X1171" s="51"/>
      <c r="Y1171" s="147" t="str">
        <f t="shared" ref="Y1171:Z1171" si="2342">IF(_xlfn.ISFORMULA(S1171),IFERROR(0/0,""),TRUE)</f>
        <v/>
      </c>
      <c r="Z1171" s="147" t="str">
        <f t="shared" si="2342"/>
        <v/>
      </c>
    </row>
    <row r="1172">
      <c r="A1172" s="6" t="str">
        <f>IFERROR(__xludf.DUMMYFUNCTION("""COMPUTED_VALUE"""),"FM2406")</f>
        <v>FM2406</v>
      </c>
      <c r="B1172" s="206">
        <f>IFERROR(__xludf.DUMMYFUNCTION("""COMPUTED_VALUE"""),44741.0)</f>
        <v>44741</v>
      </c>
      <c r="C1172" s="207">
        <f>IFERROR(__xludf.DUMMYFUNCTION("""COMPUTED_VALUE"""),0.29760416666666667)</f>
        <v>0.2976041667</v>
      </c>
      <c r="D1172" s="50"/>
      <c r="E1172" s="58"/>
      <c r="F1172" s="58"/>
      <c r="G1172" s="58" t="str">
        <f>IFERROR(__xludf.DUMMYFUNCTION("""COMPUTED_VALUE"""),"Null")</f>
        <v>Null</v>
      </c>
      <c r="H1172" s="206" t="str">
        <f>IFERROR(__xludf.DUMMYFUNCTION("""COMPUTED_VALUE"""),"Negative")</f>
        <v>Negative</v>
      </c>
      <c r="I1172" s="207"/>
      <c r="J1172" s="50"/>
      <c r="K1172" s="50">
        <f>IFERROR(__xludf.DUMMYFUNCTION("""COMPUTED_VALUE"""),2.0)</f>
        <v>2</v>
      </c>
      <c r="L1172" s="6"/>
      <c r="M1172" s="55"/>
      <c r="N1172" s="55">
        <f>IFERROR(__xludf.DUMMYFUNCTION("""COMPUTED_VALUE"""),1.0)</f>
        <v>1</v>
      </c>
      <c r="O1172" s="55" t="str">
        <f t="shared" si="3"/>
        <v/>
      </c>
      <c r="P1172" s="209"/>
      <c r="Q1172" s="75" t="b">
        <f>VLOOKUP($B1172,'Run Reconcile'!B$2:P1679,15,FALSE)</f>
        <v>1</v>
      </c>
      <c r="R1172" s="211" t="str">
        <f t="array" ref="R1172">IF($Q1172, INDEX('Run Reconcile'!A$2:A1679,MATCH(B1172,'Run Reconcile'!B$2:B1679,0),1),IFERROR(0/0,""))</f>
        <v>RUN-COMB_2022-06-29_RFR-065</v>
      </c>
      <c r="S1172" s="165" t="str">
        <f t="shared" ref="S1172:T1172" si="2343">IF(COUNTIF(W$2:W1679, $A1172) &gt; 0,TRUE,IFERROR(0/0,""))</f>
        <v/>
      </c>
      <c r="T1172" s="165" t="str">
        <f t="shared" si="2343"/>
        <v/>
      </c>
      <c r="U1172" s="147" t="str">
        <f t="array" ref="U1172">IF(ISBLANK($R1172), IF($S1172,VLOOKUP($B1172+1,'RFR Data - preExcl'!$BF$2:$BG1679,2,FALSE),IF($T1172,INDEX('RFR Data - preExcl'!$BF$2:$BG1679,MATCH($B1172,'RFR Data - preExcl'!$BF$2:$BF1679,0)+1,2),VLOOKUP($B1172,'RFR Data - preExcl'!$BF$2:$BG1679,2,FALSE))),IFERROR(0/0,""))</f>
        <v/>
      </c>
      <c r="V1172" s="212" t="str">
        <f t="shared" si="5"/>
        <v>RUN-COMB_2022-06-29_RFR-065</v>
      </c>
      <c r="W1172" s="51"/>
      <c r="X1172" s="51"/>
      <c r="Y1172" s="147" t="str">
        <f t="shared" ref="Y1172:Z1172" si="2344">IF(_xlfn.ISFORMULA(S1172),IFERROR(0/0,""),TRUE)</f>
        <v/>
      </c>
      <c r="Z1172" s="147" t="str">
        <f t="shared" si="2344"/>
        <v/>
      </c>
    </row>
    <row r="1173">
      <c r="A1173" s="6" t="str">
        <f>IFERROR(__xludf.DUMMYFUNCTION("""COMPUTED_VALUE"""),"FM2477")</f>
        <v>FM2477</v>
      </c>
      <c r="B1173" s="206">
        <f>IFERROR(__xludf.DUMMYFUNCTION("""COMPUTED_VALUE"""),44741.0)</f>
        <v>44741</v>
      </c>
      <c r="C1173" s="207">
        <f>IFERROR(__xludf.DUMMYFUNCTION("""COMPUTED_VALUE"""),0.2979398148148148)</f>
        <v>0.2979398148</v>
      </c>
      <c r="D1173" s="50"/>
      <c r="E1173" s="58"/>
      <c r="F1173" s="58"/>
      <c r="G1173" s="58" t="str">
        <f>IFERROR(__xludf.DUMMYFUNCTION("""COMPUTED_VALUE"""),"Null")</f>
        <v>Null</v>
      </c>
      <c r="H1173" s="206" t="str">
        <f>IFERROR(__xludf.DUMMYFUNCTION("""COMPUTED_VALUE"""),"Negative")</f>
        <v>Negative</v>
      </c>
      <c r="I1173" s="207"/>
      <c r="J1173" s="50"/>
      <c r="K1173" s="50">
        <f>IFERROR(__xludf.DUMMYFUNCTION("""COMPUTED_VALUE"""),2.0)</f>
        <v>2</v>
      </c>
      <c r="L1173" s="6"/>
      <c r="M1173" s="55"/>
      <c r="N1173" s="55">
        <f>IFERROR(__xludf.DUMMYFUNCTION("""COMPUTED_VALUE"""),1.0)</f>
        <v>1</v>
      </c>
      <c r="O1173" s="55" t="str">
        <f t="shared" si="3"/>
        <v/>
      </c>
      <c r="P1173" s="209"/>
      <c r="Q1173" s="75" t="b">
        <f>VLOOKUP($B1173,'Run Reconcile'!B$2:P1679,15,FALSE)</f>
        <v>1</v>
      </c>
      <c r="R1173" s="211" t="str">
        <f t="array" ref="R1173">IF($Q1173, INDEX('Run Reconcile'!A$2:A1679,MATCH(B1173,'Run Reconcile'!B$2:B1679,0),1),IFERROR(0/0,""))</f>
        <v>RUN-COMB_2022-06-29_RFR-065</v>
      </c>
      <c r="S1173" s="165" t="str">
        <f t="shared" ref="S1173:T1173" si="2345">IF(COUNTIF(W$2:W1679, $A1173) &gt; 0,TRUE,IFERROR(0/0,""))</f>
        <v/>
      </c>
      <c r="T1173" s="165" t="str">
        <f t="shared" si="2345"/>
        <v/>
      </c>
      <c r="U1173" s="147" t="str">
        <f t="array" ref="U1173">IF(ISBLANK($R1173), IF($S1173,VLOOKUP($B1173+1,'RFR Data - preExcl'!$BF$2:$BG1679,2,FALSE),IF($T1173,INDEX('RFR Data - preExcl'!$BF$2:$BG1679,MATCH($B1173,'RFR Data - preExcl'!$BF$2:$BF1679,0)+1,2),VLOOKUP($B1173,'RFR Data - preExcl'!$BF$2:$BG1679,2,FALSE))),IFERROR(0/0,""))</f>
        <v/>
      </c>
      <c r="V1173" s="212" t="str">
        <f t="shared" si="5"/>
        <v>RUN-COMB_2022-06-29_RFR-065</v>
      </c>
      <c r="W1173" s="51"/>
      <c r="X1173" s="51"/>
      <c r="Y1173" s="147" t="str">
        <f t="shared" ref="Y1173:Z1173" si="2346">IF(_xlfn.ISFORMULA(S1173),IFERROR(0/0,""),TRUE)</f>
        <v/>
      </c>
      <c r="Z1173" s="147" t="str">
        <f t="shared" si="2346"/>
        <v/>
      </c>
    </row>
    <row r="1174">
      <c r="A1174" s="6" t="str">
        <f>IFERROR(__xludf.DUMMYFUNCTION("""COMPUTED_VALUE"""),"FM2483")</f>
        <v>FM2483</v>
      </c>
      <c r="B1174" s="206">
        <f>IFERROR(__xludf.DUMMYFUNCTION("""COMPUTED_VALUE"""),44741.0)</f>
        <v>44741</v>
      </c>
      <c r="C1174" s="207">
        <f>IFERROR(__xludf.DUMMYFUNCTION("""COMPUTED_VALUE"""),0.2982638888888889)</f>
        <v>0.2982638889</v>
      </c>
      <c r="D1174" s="50"/>
      <c r="E1174" s="58"/>
      <c r="F1174" s="58"/>
      <c r="G1174" s="58" t="str">
        <f>IFERROR(__xludf.DUMMYFUNCTION("""COMPUTED_VALUE"""),"Null")</f>
        <v>Null</v>
      </c>
      <c r="H1174" s="206" t="str">
        <f>IFERROR(__xludf.DUMMYFUNCTION("""COMPUTED_VALUE"""),"Negative")</f>
        <v>Negative</v>
      </c>
      <c r="I1174" s="207"/>
      <c r="J1174" s="50"/>
      <c r="K1174" s="50">
        <f>IFERROR(__xludf.DUMMYFUNCTION("""COMPUTED_VALUE"""),2.0)</f>
        <v>2</v>
      </c>
      <c r="L1174" s="6"/>
      <c r="M1174" s="55"/>
      <c r="N1174" s="55">
        <f>IFERROR(__xludf.DUMMYFUNCTION("""COMPUTED_VALUE"""),1.0)</f>
        <v>1</v>
      </c>
      <c r="O1174" s="55" t="str">
        <f t="shared" si="3"/>
        <v/>
      </c>
      <c r="P1174" s="209"/>
      <c r="Q1174" s="75" t="b">
        <f>VLOOKUP($B1174,'Run Reconcile'!B$2:P1679,15,FALSE)</f>
        <v>1</v>
      </c>
      <c r="R1174" s="211" t="str">
        <f t="array" ref="R1174">IF($Q1174, INDEX('Run Reconcile'!A$2:A1679,MATCH(B1174,'Run Reconcile'!B$2:B1679,0),1),IFERROR(0/0,""))</f>
        <v>RUN-COMB_2022-06-29_RFR-065</v>
      </c>
      <c r="S1174" s="165" t="str">
        <f t="shared" ref="S1174:T1174" si="2347">IF(COUNTIF(W$2:W1679, $A1174) &gt; 0,TRUE,IFERROR(0/0,""))</f>
        <v/>
      </c>
      <c r="T1174" s="165" t="str">
        <f t="shared" si="2347"/>
        <v/>
      </c>
      <c r="U1174" s="147" t="str">
        <f t="array" ref="U1174">IF(ISBLANK($R1174), IF($S1174,VLOOKUP($B1174+1,'RFR Data - preExcl'!$BF$2:$BG1679,2,FALSE),IF($T1174,INDEX('RFR Data - preExcl'!$BF$2:$BG1679,MATCH($B1174,'RFR Data - preExcl'!$BF$2:$BF1679,0)+1,2),VLOOKUP($B1174,'RFR Data - preExcl'!$BF$2:$BG1679,2,FALSE))),IFERROR(0/0,""))</f>
        <v/>
      </c>
      <c r="V1174" s="212" t="str">
        <f t="shared" si="5"/>
        <v>RUN-COMB_2022-06-29_RFR-065</v>
      </c>
      <c r="W1174" s="51"/>
      <c r="X1174" s="51"/>
      <c r="Y1174" s="147" t="str">
        <f t="shared" ref="Y1174:Z1174" si="2348">IF(_xlfn.ISFORMULA(S1174),IFERROR(0/0,""),TRUE)</f>
        <v/>
      </c>
      <c r="Z1174" s="147" t="str">
        <f t="shared" si="2348"/>
        <v/>
      </c>
    </row>
    <row r="1175">
      <c r="A1175" s="6" t="str">
        <f>IFERROR(__xludf.DUMMYFUNCTION("""COMPUTED_VALUE"""),"FM2118")</f>
        <v>FM2118</v>
      </c>
      <c r="B1175" s="206">
        <f>IFERROR(__xludf.DUMMYFUNCTION("""COMPUTED_VALUE"""),44741.0)</f>
        <v>44741</v>
      </c>
      <c r="C1175" s="207">
        <f>IFERROR(__xludf.DUMMYFUNCTION("""COMPUTED_VALUE"""),0.29858796296296297)</f>
        <v>0.298587963</v>
      </c>
      <c r="D1175" s="50"/>
      <c r="E1175" s="58"/>
      <c r="F1175" s="58"/>
      <c r="G1175" s="58" t="str">
        <f>IFERROR(__xludf.DUMMYFUNCTION("""COMPUTED_VALUE"""),"Null")</f>
        <v>Null</v>
      </c>
      <c r="H1175" s="206" t="str">
        <f>IFERROR(__xludf.DUMMYFUNCTION("""COMPUTED_VALUE"""),"Negative")</f>
        <v>Negative</v>
      </c>
      <c r="I1175" s="207"/>
      <c r="J1175" s="50"/>
      <c r="K1175" s="50">
        <f>IFERROR(__xludf.DUMMYFUNCTION("""COMPUTED_VALUE"""),2.0)</f>
        <v>2</v>
      </c>
      <c r="L1175" s="6"/>
      <c r="M1175" s="55"/>
      <c r="N1175" s="55">
        <f>IFERROR(__xludf.DUMMYFUNCTION("""COMPUTED_VALUE"""),1.0)</f>
        <v>1</v>
      </c>
      <c r="O1175" s="55" t="str">
        <f t="shared" si="3"/>
        <v/>
      </c>
      <c r="P1175" s="209"/>
      <c r="Q1175" s="75" t="b">
        <f>VLOOKUP($B1175,'Run Reconcile'!B$2:P1679,15,FALSE)</f>
        <v>1</v>
      </c>
      <c r="R1175" s="211" t="str">
        <f t="array" ref="R1175">IF($Q1175, INDEX('Run Reconcile'!A$2:A1679,MATCH(B1175,'Run Reconcile'!B$2:B1679,0),1),IFERROR(0/0,""))</f>
        <v>RUN-COMB_2022-06-29_RFR-065</v>
      </c>
      <c r="S1175" s="165" t="str">
        <f t="shared" ref="S1175:T1175" si="2349">IF(COUNTIF(W$2:W1679, $A1175) &gt; 0,TRUE,IFERROR(0/0,""))</f>
        <v/>
      </c>
      <c r="T1175" s="165" t="str">
        <f t="shared" si="2349"/>
        <v/>
      </c>
      <c r="U1175" s="147" t="str">
        <f t="array" ref="U1175">IF(ISBLANK($R1175), IF($S1175,VLOOKUP($B1175+1,'RFR Data - preExcl'!$BF$2:$BG1679,2,FALSE),IF($T1175,INDEX('RFR Data - preExcl'!$BF$2:$BG1679,MATCH($B1175,'RFR Data - preExcl'!$BF$2:$BF1679,0)+1,2),VLOOKUP($B1175,'RFR Data - preExcl'!$BF$2:$BG1679,2,FALSE))),IFERROR(0/0,""))</f>
        <v/>
      </c>
      <c r="V1175" s="212" t="str">
        <f t="shared" si="5"/>
        <v>RUN-COMB_2022-06-29_RFR-065</v>
      </c>
      <c r="W1175" s="51"/>
      <c r="X1175" s="51"/>
      <c r="Y1175" s="147" t="str">
        <f t="shared" ref="Y1175:Z1175" si="2350">IF(_xlfn.ISFORMULA(S1175),IFERROR(0/0,""),TRUE)</f>
        <v/>
      </c>
      <c r="Z1175" s="147" t="str">
        <f t="shared" si="2350"/>
        <v/>
      </c>
    </row>
    <row r="1176">
      <c r="A1176" s="6" t="str">
        <f>IFERROR(__xludf.DUMMYFUNCTION("""COMPUTED_VALUE"""),"FM2494")</f>
        <v>FM2494</v>
      </c>
      <c r="B1176" s="206">
        <f>IFERROR(__xludf.DUMMYFUNCTION("""COMPUTED_VALUE"""),44741.0)</f>
        <v>44741</v>
      </c>
      <c r="C1176" s="207">
        <f>IFERROR(__xludf.DUMMYFUNCTION("""COMPUTED_VALUE"""),0.29890046296296297)</f>
        <v>0.298900463</v>
      </c>
      <c r="D1176" s="50"/>
      <c r="E1176" s="58"/>
      <c r="F1176" s="58"/>
      <c r="G1176" s="58" t="str">
        <f>IFERROR(__xludf.DUMMYFUNCTION("""COMPUTED_VALUE"""),"Null")</f>
        <v>Null</v>
      </c>
      <c r="H1176" s="206" t="str">
        <f>IFERROR(__xludf.DUMMYFUNCTION("""COMPUTED_VALUE"""),"Negative")</f>
        <v>Negative</v>
      </c>
      <c r="I1176" s="207"/>
      <c r="J1176" s="50"/>
      <c r="K1176" s="50">
        <f>IFERROR(__xludf.DUMMYFUNCTION("""COMPUTED_VALUE"""),2.0)</f>
        <v>2</v>
      </c>
      <c r="L1176" s="6"/>
      <c r="M1176" s="55"/>
      <c r="N1176" s="55">
        <f>IFERROR(__xludf.DUMMYFUNCTION("""COMPUTED_VALUE"""),1.0)</f>
        <v>1</v>
      </c>
      <c r="O1176" s="55" t="str">
        <f t="shared" si="3"/>
        <v/>
      </c>
      <c r="P1176" s="209"/>
      <c r="Q1176" s="75" t="b">
        <f>VLOOKUP($B1176,'Run Reconcile'!B$2:P1679,15,FALSE)</f>
        <v>1</v>
      </c>
      <c r="R1176" s="211" t="str">
        <f t="array" ref="R1176">IF($Q1176, INDEX('Run Reconcile'!A$2:A1679,MATCH(B1176,'Run Reconcile'!B$2:B1679,0),1),IFERROR(0/0,""))</f>
        <v>RUN-COMB_2022-06-29_RFR-065</v>
      </c>
      <c r="S1176" s="165" t="str">
        <f t="shared" ref="S1176:T1176" si="2351">IF(COUNTIF(W$2:W1679, $A1176) &gt; 0,TRUE,IFERROR(0/0,""))</f>
        <v/>
      </c>
      <c r="T1176" s="165" t="str">
        <f t="shared" si="2351"/>
        <v/>
      </c>
      <c r="U1176" s="147" t="str">
        <f t="array" ref="U1176">IF(ISBLANK($R1176), IF($S1176,VLOOKUP($B1176+1,'RFR Data - preExcl'!$BF$2:$BG1679,2,FALSE),IF($T1176,INDEX('RFR Data - preExcl'!$BF$2:$BG1679,MATCH($B1176,'RFR Data - preExcl'!$BF$2:$BF1679,0)+1,2),VLOOKUP($B1176,'RFR Data - preExcl'!$BF$2:$BG1679,2,FALSE))),IFERROR(0/0,""))</f>
        <v/>
      </c>
      <c r="V1176" s="212" t="str">
        <f t="shared" si="5"/>
        <v>RUN-COMB_2022-06-29_RFR-065</v>
      </c>
      <c r="W1176" s="51"/>
      <c r="X1176" s="51"/>
      <c r="Y1176" s="147" t="str">
        <f t="shared" ref="Y1176:Z1176" si="2352">IF(_xlfn.ISFORMULA(S1176),IFERROR(0/0,""),TRUE)</f>
        <v/>
      </c>
      <c r="Z1176" s="147" t="str">
        <f t="shared" si="2352"/>
        <v/>
      </c>
    </row>
    <row r="1177">
      <c r="A1177" s="6" t="str">
        <f>IFERROR(__xludf.DUMMYFUNCTION("""COMPUTED_VALUE"""),"FM2516")</f>
        <v>FM2516</v>
      </c>
      <c r="B1177" s="206">
        <f>IFERROR(__xludf.DUMMYFUNCTION("""COMPUTED_VALUE"""),44741.0)</f>
        <v>44741</v>
      </c>
      <c r="C1177" s="207">
        <f>IFERROR(__xludf.DUMMYFUNCTION("""COMPUTED_VALUE"""),0.29920138888888886)</f>
        <v>0.2992013889</v>
      </c>
      <c r="D1177" s="50"/>
      <c r="E1177" s="58"/>
      <c r="F1177" s="58"/>
      <c r="G1177" s="58" t="str">
        <f>IFERROR(__xludf.DUMMYFUNCTION("""COMPUTED_VALUE"""),"Null")</f>
        <v>Null</v>
      </c>
      <c r="H1177" s="206" t="str">
        <f>IFERROR(__xludf.DUMMYFUNCTION("""COMPUTED_VALUE"""),"Negative")</f>
        <v>Negative</v>
      </c>
      <c r="I1177" s="207"/>
      <c r="J1177" s="50"/>
      <c r="K1177" s="50">
        <f>IFERROR(__xludf.DUMMYFUNCTION("""COMPUTED_VALUE"""),2.0)</f>
        <v>2</v>
      </c>
      <c r="L1177" s="6"/>
      <c r="M1177" s="55"/>
      <c r="N1177" s="55">
        <f>IFERROR(__xludf.DUMMYFUNCTION("""COMPUTED_VALUE"""),1.0)</f>
        <v>1</v>
      </c>
      <c r="O1177" s="55" t="str">
        <f t="shared" si="3"/>
        <v/>
      </c>
      <c r="P1177" s="209"/>
      <c r="Q1177" s="75" t="b">
        <f>VLOOKUP($B1177,'Run Reconcile'!B$2:P1679,15,FALSE)</f>
        <v>1</v>
      </c>
      <c r="R1177" s="211" t="str">
        <f t="array" ref="R1177">IF($Q1177, INDEX('Run Reconcile'!A$2:A1679,MATCH(B1177,'Run Reconcile'!B$2:B1679,0),1),IFERROR(0/0,""))</f>
        <v>RUN-COMB_2022-06-29_RFR-065</v>
      </c>
      <c r="S1177" s="165" t="str">
        <f t="shared" ref="S1177:T1177" si="2353">IF(COUNTIF(W$2:W1679, $A1177) &gt; 0,TRUE,IFERROR(0/0,""))</f>
        <v/>
      </c>
      <c r="T1177" s="165" t="str">
        <f t="shared" si="2353"/>
        <v/>
      </c>
      <c r="U1177" s="147" t="str">
        <f t="array" ref="U1177">IF(ISBLANK($R1177), IF($S1177,VLOOKUP($B1177+1,'RFR Data - preExcl'!$BF$2:$BG1679,2,FALSE),IF($T1177,INDEX('RFR Data - preExcl'!$BF$2:$BG1679,MATCH($B1177,'RFR Data - preExcl'!$BF$2:$BF1679,0)+1,2),VLOOKUP($B1177,'RFR Data - preExcl'!$BF$2:$BG1679,2,FALSE))),IFERROR(0/0,""))</f>
        <v/>
      </c>
      <c r="V1177" s="212" t="str">
        <f t="shared" si="5"/>
        <v>RUN-COMB_2022-06-29_RFR-065</v>
      </c>
      <c r="W1177" s="51"/>
      <c r="X1177" s="51"/>
      <c r="Y1177" s="147" t="str">
        <f t="shared" ref="Y1177:Z1177" si="2354">IF(_xlfn.ISFORMULA(S1177),IFERROR(0/0,""),TRUE)</f>
        <v/>
      </c>
      <c r="Z1177" s="147" t="str">
        <f t="shared" si="2354"/>
        <v/>
      </c>
    </row>
    <row r="1178">
      <c r="A1178" s="6" t="str">
        <f>IFERROR(__xludf.DUMMYFUNCTION("""COMPUTED_VALUE"""),"FM2520")</f>
        <v>FM2520</v>
      </c>
      <c r="B1178" s="206">
        <f>IFERROR(__xludf.DUMMYFUNCTION("""COMPUTED_VALUE"""),44741.0)</f>
        <v>44741</v>
      </c>
      <c r="C1178" s="207">
        <f>IFERROR(__xludf.DUMMYFUNCTION("""COMPUTED_VALUE"""),0.2995023148148148)</f>
        <v>0.2995023148</v>
      </c>
      <c r="D1178" s="50"/>
      <c r="E1178" s="58"/>
      <c r="F1178" s="58"/>
      <c r="G1178" s="58" t="str">
        <f>IFERROR(__xludf.DUMMYFUNCTION("""COMPUTED_VALUE"""),"Null")</f>
        <v>Null</v>
      </c>
      <c r="H1178" s="206" t="str">
        <f>IFERROR(__xludf.DUMMYFUNCTION("""COMPUTED_VALUE"""),"Negative")</f>
        <v>Negative</v>
      </c>
      <c r="I1178" s="207"/>
      <c r="J1178" s="50"/>
      <c r="K1178" s="50">
        <f>IFERROR(__xludf.DUMMYFUNCTION("""COMPUTED_VALUE"""),2.0)</f>
        <v>2</v>
      </c>
      <c r="L1178" s="6"/>
      <c r="M1178" s="55"/>
      <c r="N1178" s="55">
        <f>IFERROR(__xludf.DUMMYFUNCTION("""COMPUTED_VALUE"""),1.0)</f>
        <v>1</v>
      </c>
      <c r="O1178" s="55" t="str">
        <f t="shared" si="3"/>
        <v/>
      </c>
      <c r="P1178" s="209"/>
      <c r="Q1178" s="75" t="b">
        <f>VLOOKUP($B1178,'Run Reconcile'!B$2:P1679,15,FALSE)</f>
        <v>1</v>
      </c>
      <c r="R1178" s="211" t="str">
        <f t="array" ref="R1178">IF($Q1178, INDEX('Run Reconcile'!A$2:A1679,MATCH(B1178,'Run Reconcile'!B$2:B1679,0),1),IFERROR(0/0,""))</f>
        <v>RUN-COMB_2022-06-29_RFR-065</v>
      </c>
      <c r="S1178" s="165" t="str">
        <f t="shared" ref="S1178:T1178" si="2355">IF(COUNTIF(W$2:W1679, $A1178) &gt; 0,TRUE,IFERROR(0/0,""))</f>
        <v/>
      </c>
      <c r="T1178" s="165" t="str">
        <f t="shared" si="2355"/>
        <v/>
      </c>
      <c r="U1178" s="147" t="str">
        <f t="array" ref="U1178">IF(ISBLANK($R1178), IF($S1178,VLOOKUP($B1178+1,'RFR Data - preExcl'!$BF$2:$BG1679,2,FALSE),IF($T1178,INDEX('RFR Data - preExcl'!$BF$2:$BG1679,MATCH($B1178,'RFR Data - preExcl'!$BF$2:$BF1679,0)+1,2),VLOOKUP($B1178,'RFR Data - preExcl'!$BF$2:$BG1679,2,FALSE))),IFERROR(0/0,""))</f>
        <v/>
      </c>
      <c r="V1178" s="212" t="str">
        <f t="shared" si="5"/>
        <v>RUN-COMB_2022-06-29_RFR-065</v>
      </c>
      <c r="W1178" s="51"/>
      <c r="X1178" s="51"/>
      <c r="Y1178" s="147" t="str">
        <f t="shared" ref="Y1178:Z1178" si="2356">IF(_xlfn.ISFORMULA(S1178),IFERROR(0/0,""),TRUE)</f>
        <v/>
      </c>
      <c r="Z1178" s="147" t="str">
        <f t="shared" si="2356"/>
        <v/>
      </c>
    </row>
    <row r="1179">
      <c r="A1179" s="6" t="str">
        <f>IFERROR(__xludf.DUMMYFUNCTION("""COMPUTED_VALUE"""),"FM2455")</f>
        <v>FM2455</v>
      </c>
      <c r="B1179" s="206">
        <f>IFERROR(__xludf.DUMMYFUNCTION("""COMPUTED_VALUE"""),44741.0)</f>
        <v>44741</v>
      </c>
      <c r="C1179" s="207">
        <f>IFERROR(__xludf.DUMMYFUNCTION("""COMPUTED_VALUE"""),0.2999537037037037)</f>
        <v>0.2999537037</v>
      </c>
      <c r="D1179" s="50"/>
      <c r="E1179" s="58"/>
      <c r="F1179" s="58"/>
      <c r="G1179" s="58" t="str">
        <f>IFERROR(__xludf.DUMMYFUNCTION("""COMPUTED_VALUE"""),"Null")</f>
        <v>Null</v>
      </c>
      <c r="H1179" s="206" t="str">
        <f>IFERROR(__xludf.DUMMYFUNCTION("""COMPUTED_VALUE"""),"Negative")</f>
        <v>Negative</v>
      </c>
      <c r="I1179" s="207"/>
      <c r="J1179" s="50"/>
      <c r="K1179" s="50">
        <f>IFERROR(__xludf.DUMMYFUNCTION("""COMPUTED_VALUE"""),2.0)</f>
        <v>2</v>
      </c>
      <c r="L1179" s="6"/>
      <c r="M1179" s="55"/>
      <c r="N1179" s="55">
        <f>IFERROR(__xludf.DUMMYFUNCTION("""COMPUTED_VALUE"""),1.0)</f>
        <v>1</v>
      </c>
      <c r="O1179" s="55" t="str">
        <f t="shared" si="3"/>
        <v/>
      </c>
      <c r="P1179" s="209"/>
      <c r="Q1179" s="75" t="b">
        <f>VLOOKUP($B1179,'Run Reconcile'!B$2:P1679,15,FALSE)</f>
        <v>1</v>
      </c>
      <c r="R1179" s="211" t="str">
        <f t="array" ref="R1179">IF($Q1179, INDEX('Run Reconcile'!A$2:A1679,MATCH(B1179,'Run Reconcile'!B$2:B1679,0),1),IFERROR(0/0,""))</f>
        <v>RUN-COMB_2022-06-29_RFR-065</v>
      </c>
      <c r="S1179" s="165" t="str">
        <f t="shared" ref="S1179:T1179" si="2357">IF(COUNTIF(W$2:W1679, $A1179) &gt; 0,TRUE,IFERROR(0/0,""))</f>
        <v/>
      </c>
      <c r="T1179" s="165" t="str">
        <f t="shared" si="2357"/>
        <v/>
      </c>
      <c r="U1179" s="147" t="str">
        <f t="array" ref="U1179">IF(ISBLANK($R1179), IF($S1179,VLOOKUP($B1179+1,'RFR Data - preExcl'!$BF$2:$BG1679,2,FALSE),IF($T1179,INDEX('RFR Data - preExcl'!$BF$2:$BG1679,MATCH($B1179,'RFR Data - preExcl'!$BF$2:$BF1679,0)+1,2),VLOOKUP($B1179,'RFR Data - preExcl'!$BF$2:$BG1679,2,FALSE))),IFERROR(0/0,""))</f>
        <v/>
      </c>
      <c r="V1179" s="212" t="str">
        <f t="shared" si="5"/>
        <v>RUN-COMB_2022-06-29_RFR-065</v>
      </c>
      <c r="W1179" s="51"/>
      <c r="X1179" s="51"/>
      <c r="Y1179" s="147" t="str">
        <f t="shared" ref="Y1179:Z1179" si="2358">IF(_xlfn.ISFORMULA(S1179),IFERROR(0/0,""),TRUE)</f>
        <v/>
      </c>
      <c r="Z1179" s="147" t="str">
        <f t="shared" si="2358"/>
        <v/>
      </c>
    </row>
    <row r="1180">
      <c r="A1180" s="6" t="str">
        <f>IFERROR(__xludf.DUMMYFUNCTION("""COMPUTED_VALUE"""),"FM2447")</f>
        <v>FM2447</v>
      </c>
      <c r="B1180" s="206">
        <f>IFERROR(__xludf.DUMMYFUNCTION("""COMPUTED_VALUE"""),44741.0)</f>
        <v>44741</v>
      </c>
      <c r="C1180" s="207">
        <f>IFERROR(__xludf.DUMMYFUNCTION("""COMPUTED_VALUE"""),0.30030092592592594)</f>
        <v>0.3003009259</v>
      </c>
      <c r="D1180" s="50"/>
      <c r="E1180" s="58"/>
      <c r="F1180" s="58"/>
      <c r="G1180" s="58" t="str">
        <f>IFERROR(__xludf.DUMMYFUNCTION("""COMPUTED_VALUE"""),"Null")</f>
        <v>Null</v>
      </c>
      <c r="H1180" s="206" t="str">
        <f>IFERROR(__xludf.DUMMYFUNCTION("""COMPUTED_VALUE"""),"Negative")</f>
        <v>Negative</v>
      </c>
      <c r="I1180" s="207"/>
      <c r="J1180" s="50"/>
      <c r="K1180" s="50">
        <f>IFERROR(__xludf.DUMMYFUNCTION("""COMPUTED_VALUE"""),2.0)</f>
        <v>2</v>
      </c>
      <c r="L1180" s="6"/>
      <c r="M1180" s="55"/>
      <c r="N1180" s="55">
        <f>IFERROR(__xludf.DUMMYFUNCTION("""COMPUTED_VALUE"""),1.0)</f>
        <v>1</v>
      </c>
      <c r="O1180" s="55" t="str">
        <f t="shared" si="3"/>
        <v/>
      </c>
      <c r="P1180" s="209"/>
      <c r="Q1180" s="75" t="b">
        <f>VLOOKUP($B1180,'Run Reconcile'!B$2:P1679,15,FALSE)</f>
        <v>1</v>
      </c>
      <c r="R1180" s="211" t="str">
        <f t="array" ref="R1180">IF($Q1180, INDEX('Run Reconcile'!A$2:A1679,MATCH(B1180,'Run Reconcile'!B$2:B1679,0),1),IFERROR(0/0,""))</f>
        <v>RUN-COMB_2022-06-29_RFR-065</v>
      </c>
      <c r="S1180" s="165" t="str">
        <f t="shared" ref="S1180:T1180" si="2359">IF(COUNTIF(W$2:W1679, $A1180) &gt; 0,TRUE,IFERROR(0/0,""))</f>
        <v/>
      </c>
      <c r="T1180" s="165" t="str">
        <f t="shared" si="2359"/>
        <v/>
      </c>
      <c r="U1180" s="147" t="str">
        <f t="array" ref="U1180">IF(ISBLANK($R1180), IF($S1180,VLOOKUP($B1180+1,'RFR Data - preExcl'!$BF$2:$BG1679,2,FALSE),IF($T1180,INDEX('RFR Data - preExcl'!$BF$2:$BG1679,MATCH($B1180,'RFR Data - preExcl'!$BF$2:$BF1679,0)+1,2),VLOOKUP($B1180,'RFR Data - preExcl'!$BF$2:$BG1679,2,FALSE))),IFERROR(0/0,""))</f>
        <v/>
      </c>
      <c r="V1180" s="212" t="str">
        <f t="shared" si="5"/>
        <v>RUN-COMB_2022-06-29_RFR-065</v>
      </c>
      <c r="W1180" s="51"/>
      <c r="X1180" s="51"/>
      <c r="Y1180" s="147" t="str">
        <f t="shared" ref="Y1180:Z1180" si="2360">IF(_xlfn.ISFORMULA(S1180),IFERROR(0/0,""),TRUE)</f>
        <v/>
      </c>
      <c r="Z1180" s="147" t="str">
        <f t="shared" si="2360"/>
        <v/>
      </c>
    </row>
    <row r="1181">
      <c r="A1181" s="6" t="str">
        <f>IFERROR(__xludf.DUMMYFUNCTION("""COMPUTED_VALUE"""),"FM2512")</f>
        <v>FM2512</v>
      </c>
      <c r="B1181" s="206">
        <f>IFERROR(__xludf.DUMMYFUNCTION("""COMPUTED_VALUE"""),44741.0)</f>
        <v>44741</v>
      </c>
      <c r="C1181" s="207">
        <f>IFERROR(__xludf.DUMMYFUNCTION("""COMPUTED_VALUE"""),0.3006597222222222)</f>
        <v>0.3006597222</v>
      </c>
      <c r="D1181" s="50"/>
      <c r="E1181" s="58"/>
      <c r="F1181" s="58"/>
      <c r="G1181" s="58" t="str">
        <f>IFERROR(__xludf.DUMMYFUNCTION("""COMPUTED_VALUE"""),"Null")</f>
        <v>Null</v>
      </c>
      <c r="H1181" s="206" t="str">
        <f>IFERROR(__xludf.DUMMYFUNCTION("""COMPUTED_VALUE"""),"Negative")</f>
        <v>Negative</v>
      </c>
      <c r="I1181" s="207"/>
      <c r="J1181" s="50"/>
      <c r="K1181" s="50">
        <f>IFERROR(__xludf.DUMMYFUNCTION("""COMPUTED_VALUE"""),2.0)</f>
        <v>2</v>
      </c>
      <c r="L1181" s="6"/>
      <c r="M1181" s="55"/>
      <c r="N1181" s="55">
        <f>IFERROR(__xludf.DUMMYFUNCTION("""COMPUTED_VALUE"""),1.0)</f>
        <v>1</v>
      </c>
      <c r="O1181" s="55" t="str">
        <f t="shared" si="3"/>
        <v/>
      </c>
      <c r="P1181" s="209"/>
      <c r="Q1181" s="75" t="b">
        <f>VLOOKUP($B1181,'Run Reconcile'!B$2:P1679,15,FALSE)</f>
        <v>1</v>
      </c>
      <c r="R1181" s="211" t="str">
        <f t="array" ref="R1181">IF($Q1181, INDEX('Run Reconcile'!A$2:A1679,MATCH(B1181,'Run Reconcile'!B$2:B1679,0),1),IFERROR(0/0,""))</f>
        <v>RUN-COMB_2022-06-29_RFR-065</v>
      </c>
      <c r="S1181" s="165" t="str">
        <f t="shared" ref="S1181:T1181" si="2361">IF(COUNTIF(W$2:W1679, $A1181) &gt; 0,TRUE,IFERROR(0/0,""))</f>
        <v/>
      </c>
      <c r="T1181" s="165" t="str">
        <f t="shared" si="2361"/>
        <v/>
      </c>
      <c r="U1181" s="147" t="str">
        <f t="array" ref="U1181">IF(ISBLANK($R1181), IF($S1181,VLOOKUP($B1181+1,'RFR Data - preExcl'!$BF$2:$BG1679,2,FALSE),IF($T1181,INDEX('RFR Data - preExcl'!$BF$2:$BG1679,MATCH($B1181,'RFR Data - preExcl'!$BF$2:$BF1679,0)+1,2),VLOOKUP($B1181,'RFR Data - preExcl'!$BF$2:$BG1679,2,FALSE))),IFERROR(0/0,""))</f>
        <v/>
      </c>
      <c r="V1181" s="212" t="str">
        <f t="shared" si="5"/>
        <v>RUN-COMB_2022-06-29_RFR-065</v>
      </c>
      <c r="W1181" s="51"/>
      <c r="X1181" s="51"/>
      <c r="Y1181" s="147" t="str">
        <f t="shared" ref="Y1181:Z1181" si="2362">IF(_xlfn.ISFORMULA(S1181),IFERROR(0/0,""),TRUE)</f>
        <v/>
      </c>
      <c r="Z1181" s="147" t="str">
        <f t="shared" si="2362"/>
        <v/>
      </c>
    </row>
    <row r="1182">
      <c r="A1182" s="6" t="str">
        <f>IFERROR(__xludf.DUMMYFUNCTION("""COMPUTED_VALUE"""),"FM2480")</f>
        <v>FM2480</v>
      </c>
      <c r="B1182" s="206">
        <f>IFERROR(__xludf.DUMMYFUNCTION("""COMPUTED_VALUE"""),44741.0)</f>
        <v>44741</v>
      </c>
      <c r="C1182" s="207">
        <f>IFERROR(__xludf.DUMMYFUNCTION("""COMPUTED_VALUE"""),0.30114583333333333)</f>
        <v>0.3011458333</v>
      </c>
      <c r="D1182" s="50"/>
      <c r="E1182" s="58"/>
      <c r="F1182" s="58"/>
      <c r="G1182" s="58" t="str">
        <f>IFERROR(__xludf.DUMMYFUNCTION("""COMPUTED_VALUE"""),"Null")</f>
        <v>Null</v>
      </c>
      <c r="H1182" s="206" t="str">
        <f>IFERROR(__xludf.DUMMYFUNCTION("""COMPUTED_VALUE"""),"Negative")</f>
        <v>Negative</v>
      </c>
      <c r="I1182" s="207"/>
      <c r="J1182" s="50"/>
      <c r="K1182" s="50">
        <f>IFERROR(__xludf.DUMMYFUNCTION("""COMPUTED_VALUE"""),2.0)</f>
        <v>2</v>
      </c>
      <c r="L1182" s="6"/>
      <c r="M1182" s="55"/>
      <c r="N1182" s="55">
        <f>IFERROR(__xludf.DUMMYFUNCTION("""COMPUTED_VALUE"""),1.0)</f>
        <v>1</v>
      </c>
      <c r="O1182" s="55" t="str">
        <f t="shared" si="3"/>
        <v/>
      </c>
      <c r="P1182" s="209"/>
      <c r="Q1182" s="75" t="b">
        <f>VLOOKUP($B1182,'Run Reconcile'!B$2:P1679,15,FALSE)</f>
        <v>1</v>
      </c>
      <c r="R1182" s="211" t="str">
        <f t="array" ref="R1182">IF($Q1182, INDEX('Run Reconcile'!A$2:A1679,MATCH(B1182,'Run Reconcile'!B$2:B1679,0),1),IFERROR(0/0,""))</f>
        <v>RUN-COMB_2022-06-29_RFR-065</v>
      </c>
      <c r="S1182" s="165" t="str">
        <f t="shared" ref="S1182:T1182" si="2363">IF(COUNTIF(W$2:W1679, $A1182) &gt; 0,TRUE,IFERROR(0/0,""))</f>
        <v/>
      </c>
      <c r="T1182" s="165" t="str">
        <f t="shared" si="2363"/>
        <v/>
      </c>
      <c r="U1182" s="147" t="str">
        <f t="array" ref="U1182">IF(ISBLANK($R1182), IF($S1182,VLOOKUP($B1182+1,'RFR Data - preExcl'!$BF$2:$BG1679,2,FALSE),IF($T1182,INDEX('RFR Data - preExcl'!$BF$2:$BG1679,MATCH($B1182,'RFR Data - preExcl'!$BF$2:$BF1679,0)+1,2),VLOOKUP($B1182,'RFR Data - preExcl'!$BF$2:$BG1679,2,FALSE))),IFERROR(0/0,""))</f>
        <v/>
      </c>
      <c r="V1182" s="212" t="str">
        <f t="shared" si="5"/>
        <v>RUN-COMB_2022-06-29_RFR-065</v>
      </c>
      <c r="W1182" s="51"/>
      <c r="X1182" s="51"/>
      <c r="Y1182" s="147" t="str">
        <f t="shared" ref="Y1182:Z1182" si="2364">IF(_xlfn.ISFORMULA(S1182),IFERROR(0/0,""),TRUE)</f>
        <v/>
      </c>
      <c r="Z1182" s="147" t="str">
        <f t="shared" si="2364"/>
        <v/>
      </c>
    </row>
    <row r="1183">
      <c r="A1183" s="6" t="str">
        <f>IFERROR(__xludf.DUMMYFUNCTION("""COMPUTED_VALUE"""),"FM2111")</f>
        <v>FM2111</v>
      </c>
      <c r="B1183" s="206">
        <f>IFERROR(__xludf.DUMMYFUNCTION("""COMPUTED_VALUE"""),44741.0)</f>
        <v>44741</v>
      </c>
      <c r="C1183" s="207">
        <f>IFERROR(__xludf.DUMMYFUNCTION("""COMPUTED_VALUE"""),0.30145833333333333)</f>
        <v>0.3014583333</v>
      </c>
      <c r="D1183" s="50"/>
      <c r="E1183" s="58"/>
      <c r="F1183" s="58"/>
      <c r="G1183" s="58" t="str">
        <f>IFERROR(__xludf.DUMMYFUNCTION("""COMPUTED_VALUE"""),"Null")</f>
        <v>Null</v>
      </c>
      <c r="H1183" s="206" t="str">
        <f>IFERROR(__xludf.DUMMYFUNCTION("""COMPUTED_VALUE"""),"Negative")</f>
        <v>Negative</v>
      </c>
      <c r="I1183" s="207"/>
      <c r="J1183" s="50"/>
      <c r="K1183" s="50">
        <f>IFERROR(__xludf.DUMMYFUNCTION("""COMPUTED_VALUE"""),2.0)</f>
        <v>2</v>
      </c>
      <c r="L1183" s="6"/>
      <c r="M1183" s="55"/>
      <c r="N1183" s="55">
        <f>IFERROR(__xludf.DUMMYFUNCTION("""COMPUTED_VALUE"""),1.0)</f>
        <v>1</v>
      </c>
      <c r="O1183" s="55" t="str">
        <f t="shared" si="3"/>
        <v/>
      </c>
      <c r="P1183" s="209"/>
      <c r="Q1183" s="75" t="b">
        <f>VLOOKUP($B1183,'Run Reconcile'!B$2:P1679,15,FALSE)</f>
        <v>1</v>
      </c>
      <c r="R1183" s="211" t="str">
        <f t="array" ref="R1183">IF($Q1183, INDEX('Run Reconcile'!A$2:A1679,MATCH(B1183,'Run Reconcile'!B$2:B1679,0),1),IFERROR(0/0,""))</f>
        <v>RUN-COMB_2022-06-29_RFR-065</v>
      </c>
      <c r="S1183" s="165" t="str">
        <f t="shared" ref="S1183:T1183" si="2365">IF(COUNTIF(W$2:W1679, $A1183) &gt; 0,TRUE,IFERROR(0/0,""))</f>
        <v/>
      </c>
      <c r="T1183" s="165" t="str">
        <f t="shared" si="2365"/>
        <v/>
      </c>
      <c r="U1183" s="147" t="str">
        <f t="array" ref="U1183">IF(ISBLANK($R1183), IF($S1183,VLOOKUP($B1183+1,'RFR Data - preExcl'!$BF$2:$BG1679,2,FALSE),IF($T1183,INDEX('RFR Data - preExcl'!$BF$2:$BG1679,MATCH($B1183,'RFR Data - preExcl'!$BF$2:$BF1679,0)+1,2),VLOOKUP($B1183,'RFR Data - preExcl'!$BF$2:$BG1679,2,FALSE))),IFERROR(0/0,""))</f>
        <v/>
      </c>
      <c r="V1183" s="212" t="str">
        <f t="shared" si="5"/>
        <v>RUN-COMB_2022-06-29_RFR-065</v>
      </c>
      <c r="W1183" s="51"/>
      <c r="X1183" s="51"/>
      <c r="Y1183" s="147" t="str">
        <f t="shared" ref="Y1183:Z1183" si="2366">IF(_xlfn.ISFORMULA(S1183),IFERROR(0/0,""),TRUE)</f>
        <v/>
      </c>
      <c r="Z1183" s="147" t="str">
        <f t="shared" si="2366"/>
        <v/>
      </c>
    </row>
    <row r="1184">
      <c r="A1184" s="6" t="str">
        <f>IFERROR(__xludf.DUMMYFUNCTION("""COMPUTED_VALUE"""),"FM2500")</f>
        <v>FM2500</v>
      </c>
      <c r="B1184" s="206">
        <f>IFERROR(__xludf.DUMMYFUNCTION("""COMPUTED_VALUE"""),44743.0)</f>
        <v>44743</v>
      </c>
      <c r="C1184" s="207">
        <f>IFERROR(__xludf.DUMMYFUNCTION("""COMPUTED_VALUE"""),0.36114583333333333)</f>
        <v>0.3611458333</v>
      </c>
      <c r="D1184" s="50"/>
      <c r="E1184" s="58"/>
      <c r="F1184" s="58"/>
      <c r="G1184" s="58" t="str">
        <f>IFERROR(__xludf.DUMMYFUNCTION("""COMPUTED_VALUE"""),"Null")</f>
        <v>Null</v>
      </c>
      <c r="H1184" s="206" t="str">
        <f>IFERROR(__xludf.DUMMYFUNCTION("""COMPUTED_VALUE"""),"Negative")</f>
        <v>Negative</v>
      </c>
      <c r="I1184" s="207"/>
      <c r="J1184" s="50"/>
      <c r="K1184" s="50">
        <f>IFERROR(__xludf.DUMMYFUNCTION("""COMPUTED_VALUE"""),2.0)</f>
        <v>2</v>
      </c>
      <c r="L1184" s="6"/>
      <c r="M1184" s="55"/>
      <c r="N1184" s="55">
        <f>IFERROR(__xludf.DUMMYFUNCTION("""COMPUTED_VALUE"""),1.0)</f>
        <v>1</v>
      </c>
      <c r="O1184" s="55" t="b">
        <f t="shared" si="3"/>
        <v>1</v>
      </c>
      <c r="P1184" s="209"/>
      <c r="Q1184" s="75" t="b">
        <f>VLOOKUP($B1184,'Run Reconcile'!B$2:P1679,15,FALSE)</f>
        <v>1</v>
      </c>
      <c r="R1184" s="211" t="str">
        <f t="array" ref="R1184">IF($Q1184, INDEX('Run Reconcile'!A$2:A1679,MATCH(B1184,'Run Reconcile'!B$2:B1679,0),1),IFERROR(0/0,""))</f>
        <v>RUN-COMB_2022-07-01_RFR-068</v>
      </c>
      <c r="S1184" s="165" t="str">
        <f t="shared" ref="S1184:T1184" si="2367">IF(COUNTIF(W$2:W1679, $A1184) &gt; 0,TRUE,IFERROR(0/0,""))</f>
        <v/>
      </c>
      <c r="T1184" s="165" t="str">
        <f t="shared" si="2367"/>
        <v/>
      </c>
      <c r="U1184" s="147" t="str">
        <f t="array" ref="U1184">IF(ISBLANK($R1184), IF($S1184,VLOOKUP($B1184+1,'RFR Data - preExcl'!$BF$2:$BG1679,2,FALSE),IF($T1184,INDEX('RFR Data - preExcl'!$BF$2:$BG1679,MATCH($B1184,'RFR Data - preExcl'!$BF$2:$BF1679,0)+1,2),VLOOKUP($B1184,'RFR Data - preExcl'!$BF$2:$BG1679,2,FALSE))),IFERROR(0/0,""))</f>
        <v/>
      </c>
      <c r="V1184" s="212" t="str">
        <f t="shared" si="5"/>
        <v>RUN-COMB_2022-07-01_RFR-068</v>
      </c>
      <c r="W1184" s="51"/>
      <c r="X1184" s="51"/>
      <c r="Y1184" s="147" t="str">
        <f t="shared" ref="Y1184:Z1184" si="2368">IF(_xlfn.ISFORMULA(S1184),IFERROR(0/0,""),TRUE)</f>
        <v/>
      </c>
      <c r="Z1184" s="147" t="str">
        <f t="shared" si="2368"/>
        <v/>
      </c>
    </row>
    <row r="1185">
      <c r="A1185" s="6" t="str">
        <f>IFERROR(__xludf.DUMMYFUNCTION("""COMPUTED_VALUE"""),"FM2492")</f>
        <v>FM2492</v>
      </c>
      <c r="B1185" s="206">
        <f>IFERROR(__xludf.DUMMYFUNCTION("""COMPUTED_VALUE"""),44743.0)</f>
        <v>44743</v>
      </c>
      <c r="C1185" s="207">
        <f>IFERROR(__xludf.DUMMYFUNCTION("""COMPUTED_VALUE"""),0.3614583333333333)</f>
        <v>0.3614583333</v>
      </c>
      <c r="D1185" s="50"/>
      <c r="E1185" s="58"/>
      <c r="F1185" s="58"/>
      <c r="G1185" s="58" t="str">
        <f>IFERROR(__xludf.DUMMYFUNCTION("""COMPUTED_VALUE"""),"Null")</f>
        <v>Null</v>
      </c>
      <c r="H1185" s="206" t="str">
        <f>IFERROR(__xludf.DUMMYFUNCTION("""COMPUTED_VALUE"""),"Inconclusive")</f>
        <v>Inconclusive</v>
      </c>
      <c r="I1185" s="207"/>
      <c r="J1185" s="50"/>
      <c r="K1185" s="50">
        <f>IFERROR(__xludf.DUMMYFUNCTION("""COMPUTED_VALUE"""),4.0)</f>
        <v>4</v>
      </c>
      <c r="L1185" s="6" t="str">
        <f>IFERROR(__xludf.DUMMYFUNCTION("""COMPUTED_VALUE"""),"initial pos but called as session inconclusive after rerun with only 1/3 inconclusive and 2/3 neg")</f>
        <v>initial pos but called as session inconclusive after rerun with only 1/3 inconclusive and 2/3 neg</v>
      </c>
      <c r="M1185" s="55"/>
      <c r="N1185" s="55">
        <f>IFERROR(__xludf.DUMMYFUNCTION("""COMPUTED_VALUE"""),1.0)</f>
        <v>1</v>
      </c>
      <c r="O1185" s="55" t="str">
        <f t="shared" si="3"/>
        <v/>
      </c>
      <c r="P1185" s="209"/>
      <c r="Q1185" s="75" t="b">
        <f>VLOOKUP($B1185,'Run Reconcile'!B$2:P1679,15,FALSE)</f>
        <v>1</v>
      </c>
      <c r="R1185" s="211" t="str">
        <f t="array" ref="R1185">IF($Q1185, INDEX('Run Reconcile'!A$2:A1679,MATCH(B1185,'Run Reconcile'!B$2:B1679,0),1),IFERROR(0/0,""))</f>
        <v>RUN-COMB_2022-07-01_RFR-068</v>
      </c>
      <c r="S1185" s="165" t="str">
        <f t="shared" ref="S1185:T1185" si="2369">IF(COUNTIF(W$2:W1679, $A1185) &gt; 0,TRUE,IFERROR(0/0,""))</f>
        <v/>
      </c>
      <c r="T1185" s="165" t="str">
        <f t="shared" si="2369"/>
        <v/>
      </c>
      <c r="U1185" s="147" t="str">
        <f t="array" ref="U1185">IF(ISBLANK($R1185), IF($S1185,VLOOKUP($B1185+1,'RFR Data - preExcl'!$BF$2:$BG1679,2,FALSE),IF($T1185,INDEX('RFR Data - preExcl'!$BF$2:$BG1679,MATCH($B1185,'RFR Data - preExcl'!$BF$2:$BF1679,0)+1,2),VLOOKUP($B1185,'RFR Data - preExcl'!$BF$2:$BG1679,2,FALSE))),IFERROR(0/0,""))</f>
        <v/>
      </c>
      <c r="V1185" s="212" t="str">
        <f t="shared" si="5"/>
        <v>RUN-COMB_2022-07-01_RFR-068</v>
      </c>
      <c r="W1185" s="51"/>
      <c r="X1185" s="51"/>
      <c r="Y1185" s="147" t="str">
        <f t="shared" ref="Y1185:Z1185" si="2370">IF(_xlfn.ISFORMULA(S1185),IFERROR(0/0,""),TRUE)</f>
        <v/>
      </c>
      <c r="Z1185" s="147" t="str">
        <f t="shared" si="2370"/>
        <v/>
      </c>
    </row>
    <row r="1186">
      <c r="A1186" s="6" t="str">
        <f>IFERROR(__xludf.DUMMYFUNCTION("""COMPUTED_VALUE"""),"FM2438")</f>
        <v>FM2438</v>
      </c>
      <c r="B1186" s="206">
        <f>IFERROR(__xludf.DUMMYFUNCTION("""COMPUTED_VALUE"""),44743.0)</f>
        <v>44743</v>
      </c>
      <c r="C1186" s="207">
        <f>IFERROR(__xludf.DUMMYFUNCTION("""COMPUTED_VALUE"""),0.3618402777777778)</f>
        <v>0.3618402778</v>
      </c>
      <c r="D1186" s="50"/>
      <c r="E1186" s="58"/>
      <c r="F1186" s="58"/>
      <c r="G1186" s="58" t="str">
        <f>IFERROR(__xludf.DUMMYFUNCTION("""COMPUTED_VALUE"""),"Null")</f>
        <v>Null</v>
      </c>
      <c r="H1186" s="206" t="str">
        <f>IFERROR(__xludf.DUMMYFUNCTION("""COMPUTED_VALUE"""),"Negative")</f>
        <v>Negative</v>
      </c>
      <c r="I1186" s="207"/>
      <c r="J1186" s="50"/>
      <c r="K1186" s="50">
        <f>IFERROR(__xludf.DUMMYFUNCTION("""COMPUTED_VALUE"""),2.0)</f>
        <v>2</v>
      </c>
      <c r="L1186" s="6"/>
      <c r="M1186" s="55"/>
      <c r="N1186" s="55">
        <f>IFERROR(__xludf.DUMMYFUNCTION("""COMPUTED_VALUE"""),1.0)</f>
        <v>1</v>
      </c>
      <c r="O1186" s="55" t="str">
        <f t="shared" si="3"/>
        <v/>
      </c>
      <c r="P1186" s="209"/>
      <c r="Q1186" s="75" t="b">
        <f>VLOOKUP($B1186,'Run Reconcile'!B$2:P1679,15,FALSE)</f>
        <v>1</v>
      </c>
      <c r="R1186" s="211" t="str">
        <f t="array" ref="R1186">IF($Q1186, INDEX('Run Reconcile'!A$2:A1679,MATCH(B1186,'Run Reconcile'!B$2:B1679,0),1),IFERROR(0/0,""))</f>
        <v>RUN-COMB_2022-07-01_RFR-068</v>
      </c>
      <c r="S1186" s="165" t="str">
        <f t="shared" ref="S1186:T1186" si="2371">IF(COUNTIF(W$2:W1679, $A1186) &gt; 0,TRUE,IFERROR(0/0,""))</f>
        <v/>
      </c>
      <c r="T1186" s="165" t="str">
        <f t="shared" si="2371"/>
        <v/>
      </c>
      <c r="U1186" s="147" t="str">
        <f t="array" ref="U1186">IF(ISBLANK($R1186), IF($S1186,VLOOKUP($B1186+1,'RFR Data - preExcl'!$BF$2:$BG1679,2,FALSE),IF($T1186,INDEX('RFR Data - preExcl'!$BF$2:$BG1679,MATCH($B1186,'RFR Data - preExcl'!$BF$2:$BF1679,0)+1,2),VLOOKUP($B1186,'RFR Data - preExcl'!$BF$2:$BG1679,2,FALSE))),IFERROR(0/0,""))</f>
        <v/>
      </c>
      <c r="V1186" s="212" t="str">
        <f t="shared" si="5"/>
        <v>RUN-COMB_2022-07-01_RFR-068</v>
      </c>
      <c r="W1186" s="51"/>
      <c r="X1186" s="51"/>
      <c r="Y1186" s="147" t="str">
        <f t="shared" ref="Y1186:Z1186" si="2372">IF(_xlfn.ISFORMULA(S1186),IFERROR(0/0,""),TRUE)</f>
        <v/>
      </c>
      <c r="Z1186" s="147" t="str">
        <f t="shared" si="2372"/>
        <v/>
      </c>
    </row>
    <row r="1187">
      <c r="A1187" s="6" t="str">
        <f>IFERROR(__xludf.DUMMYFUNCTION("""COMPUTED_VALUE"""),"FM2458")</f>
        <v>FM2458</v>
      </c>
      <c r="B1187" s="206">
        <f>IFERROR(__xludf.DUMMYFUNCTION("""COMPUTED_VALUE"""),44743.0)</f>
        <v>44743</v>
      </c>
      <c r="C1187" s="207">
        <f>IFERROR(__xludf.DUMMYFUNCTION("""COMPUTED_VALUE"""),0.3621875)</f>
        <v>0.3621875</v>
      </c>
      <c r="D1187" s="50"/>
      <c r="E1187" s="58"/>
      <c r="F1187" s="58"/>
      <c r="G1187" s="58" t="str">
        <f>IFERROR(__xludf.DUMMYFUNCTION("""COMPUTED_VALUE"""),"Null")</f>
        <v>Null</v>
      </c>
      <c r="H1187" s="206" t="str">
        <f>IFERROR(__xludf.DUMMYFUNCTION("""COMPUTED_VALUE"""),"Negative")</f>
        <v>Negative</v>
      </c>
      <c r="I1187" s="207"/>
      <c r="J1187" s="50"/>
      <c r="K1187" s="50">
        <f>IFERROR(__xludf.DUMMYFUNCTION("""COMPUTED_VALUE"""),2.0)</f>
        <v>2</v>
      </c>
      <c r="L1187" s="6"/>
      <c r="M1187" s="55"/>
      <c r="N1187" s="55">
        <f>IFERROR(__xludf.DUMMYFUNCTION("""COMPUTED_VALUE"""),1.0)</f>
        <v>1</v>
      </c>
      <c r="O1187" s="55" t="str">
        <f t="shared" si="3"/>
        <v/>
      </c>
      <c r="P1187" s="209"/>
      <c r="Q1187" s="75" t="b">
        <f>VLOOKUP($B1187,'Run Reconcile'!B$2:P1679,15,FALSE)</f>
        <v>1</v>
      </c>
      <c r="R1187" s="211" t="str">
        <f t="array" ref="R1187">IF($Q1187, INDEX('Run Reconcile'!A$2:A1679,MATCH(B1187,'Run Reconcile'!B$2:B1679,0),1),IFERROR(0/0,""))</f>
        <v>RUN-COMB_2022-07-01_RFR-068</v>
      </c>
      <c r="S1187" s="165" t="str">
        <f t="shared" ref="S1187:T1187" si="2373">IF(COUNTIF(W$2:W1679, $A1187) &gt; 0,TRUE,IFERROR(0/0,""))</f>
        <v/>
      </c>
      <c r="T1187" s="165" t="str">
        <f t="shared" si="2373"/>
        <v/>
      </c>
      <c r="U1187" s="147" t="str">
        <f t="array" ref="U1187">IF(ISBLANK($R1187), IF($S1187,VLOOKUP($B1187+1,'RFR Data - preExcl'!$BF$2:$BG1679,2,FALSE),IF($T1187,INDEX('RFR Data - preExcl'!$BF$2:$BG1679,MATCH($B1187,'RFR Data - preExcl'!$BF$2:$BF1679,0)+1,2),VLOOKUP($B1187,'RFR Data - preExcl'!$BF$2:$BG1679,2,FALSE))),IFERROR(0/0,""))</f>
        <v/>
      </c>
      <c r="V1187" s="212" t="str">
        <f t="shared" si="5"/>
        <v>RUN-COMB_2022-07-01_RFR-068</v>
      </c>
      <c r="W1187" s="51"/>
      <c r="X1187" s="51"/>
      <c r="Y1187" s="147" t="str">
        <f t="shared" ref="Y1187:Z1187" si="2374">IF(_xlfn.ISFORMULA(S1187),IFERROR(0/0,""),TRUE)</f>
        <v/>
      </c>
      <c r="Z1187" s="147" t="str">
        <f t="shared" si="2374"/>
        <v/>
      </c>
    </row>
    <row r="1188">
      <c r="A1188" s="6" t="str">
        <f>IFERROR(__xludf.DUMMYFUNCTION("""COMPUTED_VALUE"""),"FM2409")</f>
        <v>FM2409</v>
      </c>
      <c r="B1188" s="206">
        <f>IFERROR(__xludf.DUMMYFUNCTION("""COMPUTED_VALUE"""),44743.0)</f>
        <v>44743</v>
      </c>
      <c r="C1188" s="207">
        <f>IFERROR(__xludf.DUMMYFUNCTION("""COMPUTED_VALUE"""),0.3625115740740741)</f>
        <v>0.3625115741</v>
      </c>
      <c r="D1188" s="50"/>
      <c r="E1188" s="58"/>
      <c r="F1188" s="58"/>
      <c r="G1188" s="58" t="str">
        <f>IFERROR(__xludf.DUMMYFUNCTION("""COMPUTED_VALUE"""),"Null")</f>
        <v>Null</v>
      </c>
      <c r="H1188" s="206" t="str">
        <f>IFERROR(__xludf.DUMMYFUNCTION("""COMPUTED_VALUE"""),"Negative")</f>
        <v>Negative</v>
      </c>
      <c r="I1188" s="207"/>
      <c r="J1188" s="50"/>
      <c r="K1188" s="50">
        <f>IFERROR(__xludf.DUMMYFUNCTION("""COMPUTED_VALUE"""),2.0)</f>
        <v>2</v>
      </c>
      <c r="L1188" s="6"/>
      <c r="M1188" s="55"/>
      <c r="N1188" s="55">
        <f>IFERROR(__xludf.DUMMYFUNCTION("""COMPUTED_VALUE"""),1.0)</f>
        <v>1</v>
      </c>
      <c r="O1188" s="55" t="str">
        <f t="shared" si="3"/>
        <v/>
      </c>
      <c r="P1188" s="209"/>
      <c r="Q1188" s="75" t="b">
        <f>VLOOKUP($B1188,'Run Reconcile'!B$2:P1679,15,FALSE)</f>
        <v>1</v>
      </c>
      <c r="R1188" s="211" t="str">
        <f t="array" ref="R1188">IF($Q1188, INDEX('Run Reconcile'!A$2:A1679,MATCH(B1188,'Run Reconcile'!B$2:B1679,0),1),IFERROR(0/0,""))</f>
        <v>RUN-COMB_2022-07-01_RFR-068</v>
      </c>
      <c r="S1188" s="165" t="str">
        <f t="shared" ref="S1188:T1188" si="2375">IF(COUNTIF(W$2:W1679, $A1188) &gt; 0,TRUE,IFERROR(0/0,""))</f>
        <v/>
      </c>
      <c r="T1188" s="165" t="str">
        <f t="shared" si="2375"/>
        <v/>
      </c>
      <c r="U1188" s="147" t="str">
        <f t="array" ref="U1188">IF(ISBLANK($R1188), IF($S1188,VLOOKUP($B1188+1,'RFR Data - preExcl'!$BF$2:$BG1679,2,FALSE),IF($T1188,INDEX('RFR Data - preExcl'!$BF$2:$BG1679,MATCH($B1188,'RFR Data - preExcl'!$BF$2:$BF1679,0)+1,2),VLOOKUP($B1188,'RFR Data - preExcl'!$BF$2:$BG1679,2,FALSE))),IFERROR(0/0,""))</f>
        <v/>
      </c>
      <c r="V1188" s="212" t="str">
        <f t="shared" si="5"/>
        <v>RUN-COMB_2022-07-01_RFR-068</v>
      </c>
      <c r="W1188" s="51"/>
      <c r="X1188" s="51"/>
      <c r="Y1188" s="147" t="str">
        <f t="shared" ref="Y1188:Z1188" si="2376">IF(_xlfn.ISFORMULA(S1188),IFERROR(0/0,""),TRUE)</f>
        <v/>
      </c>
      <c r="Z1188" s="147" t="str">
        <f t="shared" si="2376"/>
        <v/>
      </c>
    </row>
    <row r="1189">
      <c r="A1189" s="6" t="str">
        <f>IFERROR(__xludf.DUMMYFUNCTION("""COMPUTED_VALUE"""),"FM2519")</f>
        <v>FM2519</v>
      </c>
      <c r="B1189" s="206">
        <f>IFERROR(__xludf.DUMMYFUNCTION("""COMPUTED_VALUE"""),44743.0)</f>
        <v>44743</v>
      </c>
      <c r="C1189" s="207">
        <f>IFERROR(__xludf.DUMMYFUNCTION("""COMPUTED_VALUE"""),0.36290509259259257)</f>
        <v>0.3629050926</v>
      </c>
      <c r="D1189" s="50"/>
      <c r="E1189" s="58"/>
      <c r="F1189" s="58"/>
      <c r="G1189" s="58" t="str">
        <f>IFERROR(__xludf.DUMMYFUNCTION("""COMPUTED_VALUE"""),"Null")</f>
        <v>Null</v>
      </c>
      <c r="H1189" s="206" t="str">
        <f>IFERROR(__xludf.DUMMYFUNCTION("""COMPUTED_VALUE"""),"Negative")</f>
        <v>Negative</v>
      </c>
      <c r="I1189" s="207"/>
      <c r="J1189" s="50"/>
      <c r="K1189" s="50">
        <f>IFERROR(__xludf.DUMMYFUNCTION("""COMPUTED_VALUE"""),2.0)</f>
        <v>2</v>
      </c>
      <c r="L1189" s="6"/>
      <c r="M1189" s="55"/>
      <c r="N1189" s="55">
        <f>IFERROR(__xludf.DUMMYFUNCTION("""COMPUTED_VALUE"""),1.0)</f>
        <v>1</v>
      </c>
      <c r="O1189" s="55" t="str">
        <f t="shared" si="3"/>
        <v/>
      </c>
      <c r="P1189" s="209"/>
      <c r="Q1189" s="75" t="b">
        <f>VLOOKUP($B1189,'Run Reconcile'!B$2:P1679,15,FALSE)</f>
        <v>1</v>
      </c>
      <c r="R1189" s="211" t="str">
        <f t="array" ref="R1189">IF($Q1189, INDEX('Run Reconcile'!A$2:A1679,MATCH(B1189,'Run Reconcile'!B$2:B1679,0),1),IFERROR(0/0,""))</f>
        <v>RUN-COMB_2022-07-01_RFR-068</v>
      </c>
      <c r="S1189" s="165" t="str">
        <f t="shared" ref="S1189:T1189" si="2377">IF(COUNTIF(W$2:W1679, $A1189) &gt; 0,TRUE,IFERROR(0/0,""))</f>
        <v/>
      </c>
      <c r="T1189" s="165" t="str">
        <f t="shared" si="2377"/>
        <v/>
      </c>
      <c r="U1189" s="147" t="str">
        <f t="array" ref="U1189">IF(ISBLANK($R1189), IF($S1189,VLOOKUP($B1189+1,'RFR Data - preExcl'!$BF$2:$BG1679,2,FALSE),IF($T1189,INDEX('RFR Data - preExcl'!$BF$2:$BG1679,MATCH($B1189,'RFR Data - preExcl'!$BF$2:$BF1679,0)+1,2),VLOOKUP($B1189,'RFR Data - preExcl'!$BF$2:$BG1679,2,FALSE))),IFERROR(0/0,""))</f>
        <v/>
      </c>
      <c r="V1189" s="212" t="str">
        <f t="shared" si="5"/>
        <v>RUN-COMB_2022-07-01_RFR-068</v>
      </c>
      <c r="W1189" s="51"/>
      <c r="X1189" s="51"/>
      <c r="Y1189" s="147" t="str">
        <f t="shared" ref="Y1189:Z1189" si="2378">IF(_xlfn.ISFORMULA(S1189),IFERROR(0/0,""),TRUE)</f>
        <v/>
      </c>
      <c r="Z1189" s="147" t="str">
        <f t="shared" si="2378"/>
        <v/>
      </c>
    </row>
    <row r="1190">
      <c r="A1190" s="6" t="str">
        <f>IFERROR(__xludf.DUMMYFUNCTION("""COMPUTED_VALUE"""),"FM2507")</f>
        <v>FM2507</v>
      </c>
      <c r="B1190" s="206">
        <f>IFERROR(__xludf.DUMMYFUNCTION("""COMPUTED_VALUE"""),44743.0)</f>
        <v>44743</v>
      </c>
      <c r="C1190" s="207">
        <f>IFERROR(__xludf.DUMMYFUNCTION("""COMPUTED_VALUE"""),0.3632175925925926)</f>
        <v>0.3632175926</v>
      </c>
      <c r="D1190" s="50"/>
      <c r="E1190" s="58"/>
      <c r="F1190" s="58"/>
      <c r="G1190" s="58" t="str">
        <f>IFERROR(__xludf.DUMMYFUNCTION("""COMPUTED_VALUE"""),"Null")</f>
        <v>Null</v>
      </c>
      <c r="H1190" s="206" t="str">
        <f>IFERROR(__xludf.DUMMYFUNCTION("""COMPUTED_VALUE"""),"Negative")</f>
        <v>Negative</v>
      </c>
      <c r="I1190" s="207"/>
      <c r="J1190" s="50"/>
      <c r="K1190" s="50">
        <f>IFERROR(__xludf.DUMMYFUNCTION("""COMPUTED_VALUE"""),2.0)</f>
        <v>2</v>
      </c>
      <c r="L1190" s="6"/>
      <c r="M1190" s="55"/>
      <c r="N1190" s="55">
        <f>IFERROR(__xludf.DUMMYFUNCTION("""COMPUTED_VALUE"""),1.0)</f>
        <v>1</v>
      </c>
      <c r="O1190" s="55" t="str">
        <f t="shared" si="3"/>
        <v/>
      </c>
      <c r="P1190" s="209"/>
      <c r="Q1190" s="75" t="b">
        <f>VLOOKUP($B1190,'Run Reconcile'!B$2:P1679,15,FALSE)</f>
        <v>1</v>
      </c>
      <c r="R1190" s="211" t="str">
        <f t="array" ref="R1190">IF($Q1190, INDEX('Run Reconcile'!A$2:A1679,MATCH(B1190,'Run Reconcile'!B$2:B1679,0),1),IFERROR(0/0,""))</f>
        <v>RUN-COMB_2022-07-01_RFR-068</v>
      </c>
      <c r="S1190" s="165" t="str">
        <f t="shared" ref="S1190:T1190" si="2379">IF(COUNTIF(W$2:W1679, $A1190) &gt; 0,TRUE,IFERROR(0/0,""))</f>
        <v/>
      </c>
      <c r="T1190" s="165" t="str">
        <f t="shared" si="2379"/>
        <v/>
      </c>
      <c r="U1190" s="147" t="str">
        <f t="array" ref="U1190">IF(ISBLANK($R1190), IF($S1190,VLOOKUP($B1190+1,'RFR Data - preExcl'!$BF$2:$BG1679,2,FALSE),IF($T1190,INDEX('RFR Data - preExcl'!$BF$2:$BG1679,MATCH($B1190,'RFR Data - preExcl'!$BF$2:$BF1679,0)+1,2),VLOOKUP($B1190,'RFR Data - preExcl'!$BF$2:$BG1679,2,FALSE))),IFERROR(0/0,""))</f>
        <v/>
      </c>
      <c r="V1190" s="212" t="str">
        <f t="shared" si="5"/>
        <v>RUN-COMB_2022-07-01_RFR-068</v>
      </c>
      <c r="W1190" s="51"/>
      <c r="X1190" s="51"/>
      <c r="Y1190" s="147" t="str">
        <f t="shared" ref="Y1190:Z1190" si="2380">IF(_xlfn.ISFORMULA(S1190),IFERROR(0/0,""),TRUE)</f>
        <v/>
      </c>
      <c r="Z1190" s="147" t="str">
        <f t="shared" si="2380"/>
        <v/>
      </c>
    </row>
    <row r="1191">
      <c r="A1191" s="6" t="str">
        <f>IFERROR(__xludf.DUMMYFUNCTION("""COMPUTED_VALUE"""),"FM2497")</f>
        <v>FM2497</v>
      </c>
      <c r="B1191" s="206">
        <f>IFERROR(__xludf.DUMMYFUNCTION("""COMPUTED_VALUE"""),44743.0)</f>
        <v>44743</v>
      </c>
      <c r="C1191" s="207">
        <f>IFERROR(__xludf.DUMMYFUNCTION("""COMPUTED_VALUE"""),0.3636111111111111)</f>
        <v>0.3636111111</v>
      </c>
      <c r="D1191" s="50"/>
      <c r="E1191" s="58"/>
      <c r="F1191" s="58"/>
      <c r="G1191" s="58" t="str">
        <f>IFERROR(__xludf.DUMMYFUNCTION("""COMPUTED_VALUE"""),"Null")</f>
        <v>Null</v>
      </c>
      <c r="H1191" s="206" t="str">
        <f>IFERROR(__xludf.DUMMYFUNCTION("""COMPUTED_VALUE"""),"Negative")</f>
        <v>Negative</v>
      </c>
      <c r="I1191" s="207"/>
      <c r="J1191" s="50"/>
      <c r="K1191" s="50">
        <f>IFERROR(__xludf.DUMMYFUNCTION("""COMPUTED_VALUE"""),2.0)</f>
        <v>2</v>
      </c>
      <c r="L1191" s="6"/>
      <c r="M1191" s="55"/>
      <c r="N1191" s="55">
        <f>IFERROR(__xludf.DUMMYFUNCTION("""COMPUTED_VALUE"""),1.0)</f>
        <v>1</v>
      </c>
      <c r="O1191" s="55" t="str">
        <f t="shared" si="3"/>
        <v/>
      </c>
      <c r="P1191" s="209"/>
      <c r="Q1191" s="75" t="b">
        <f>VLOOKUP($B1191,'Run Reconcile'!B$2:P1679,15,FALSE)</f>
        <v>1</v>
      </c>
      <c r="R1191" s="211" t="str">
        <f t="array" ref="R1191">IF($Q1191, INDEX('Run Reconcile'!A$2:A1679,MATCH(B1191,'Run Reconcile'!B$2:B1679,0),1),IFERROR(0/0,""))</f>
        <v>RUN-COMB_2022-07-01_RFR-068</v>
      </c>
      <c r="S1191" s="165" t="str">
        <f t="shared" ref="S1191:T1191" si="2381">IF(COUNTIF(W$2:W1679, $A1191) &gt; 0,TRUE,IFERROR(0/0,""))</f>
        <v/>
      </c>
      <c r="T1191" s="165" t="str">
        <f t="shared" si="2381"/>
        <v/>
      </c>
      <c r="U1191" s="147" t="str">
        <f t="array" ref="U1191">IF(ISBLANK($R1191), IF($S1191,VLOOKUP($B1191+1,'RFR Data - preExcl'!$BF$2:$BG1679,2,FALSE),IF($T1191,INDEX('RFR Data - preExcl'!$BF$2:$BG1679,MATCH($B1191,'RFR Data - preExcl'!$BF$2:$BF1679,0)+1,2),VLOOKUP($B1191,'RFR Data - preExcl'!$BF$2:$BG1679,2,FALSE))),IFERROR(0/0,""))</f>
        <v/>
      </c>
      <c r="V1191" s="212" t="str">
        <f t="shared" si="5"/>
        <v>RUN-COMB_2022-07-01_RFR-068</v>
      </c>
      <c r="W1191" s="51"/>
      <c r="X1191" s="51"/>
      <c r="Y1191" s="147" t="str">
        <f t="shared" ref="Y1191:Z1191" si="2382">IF(_xlfn.ISFORMULA(S1191),IFERROR(0/0,""),TRUE)</f>
        <v/>
      </c>
      <c r="Z1191" s="147" t="str">
        <f t="shared" si="2382"/>
        <v/>
      </c>
    </row>
    <row r="1192">
      <c r="A1192" s="6" t="str">
        <f>IFERROR(__xludf.DUMMYFUNCTION("""COMPUTED_VALUE"""),"FM2502")</f>
        <v>FM2502</v>
      </c>
      <c r="B1192" s="206">
        <f>IFERROR(__xludf.DUMMYFUNCTION("""COMPUTED_VALUE"""),44743.0)</f>
        <v>44743</v>
      </c>
      <c r="C1192" s="207">
        <f>IFERROR(__xludf.DUMMYFUNCTION("""COMPUTED_VALUE"""),0.3640509259259259)</f>
        <v>0.3640509259</v>
      </c>
      <c r="D1192" s="50"/>
      <c r="E1192" s="58"/>
      <c r="F1192" s="58"/>
      <c r="G1192" s="58" t="str">
        <f>IFERROR(__xludf.DUMMYFUNCTION("""COMPUTED_VALUE"""),"Null")</f>
        <v>Null</v>
      </c>
      <c r="H1192" s="206" t="str">
        <f>IFERROR(__xludf.DUMMYFUNCTION("""COMPUTED_VALUE"""),"Negative")</f>
        <v>Negative</v>
      </c>
      <c r="I1192" s="207"/>
      <c r="J1192" s="50"/>
      <c r="K1192" s="50">
        <f>IFERROR(__xludf.DUMMYFUNCTION("""COMPUTED_VALUE"""),2.0)</f>
        <v>2</v>
      </c>
      <c r="L1192" s="6"/>
      <c r="M1192" s="55"/>
      <c r="N1192" s="55">
        <f>IFERROR(__xludf.DUMMYFUNCTION("""COMPUTED_VALUE"""),1.0)</f>
        <v>1</v>
      </c>
      <c r="O1192" s="55" t="str">
        <f t="shared" si="3"/>
        <v/>
      </c>
      <c r="P1192" s="209"/>
      <c r="Q1192" s="75" t="b">
        <f>VLOOKUP($B1192,'Run Reconcile'!B$2:P1679,15,FALSE)</f>
        <v>1</v>
      </c>
      <c r="R1192" s="211" t="str">
        <f t="array" ref="R1192">IF($Q1192, INDEX('Run Reconcile'!A$2:A1679,MATCH(B1192,'Run Reconcile'!B$2:B1679,0),1),IFERROR(0/0,""))</f>
        <v>RUN-COMB_2022-07-01_RFR-068</v>
      </c>
      <c r="S1192" s="165" t="str">
        <f t="shared" ref="S1192:T1192" si="2383">IF(COUNTIF(W$2:W1679, $A1192) &gt; 0,TRUE,IFERROR(0/0,""))</f>
        <v/>
      </c>
      <c r="T1192" s="165" t="str">
        <f t="shared" si="2383"/>
        <v/>
      </c>
      <c r="U1192" s="147" t="str">
        <f t="array" ref="U1192">IF(ISBLANK($R1192), IF($S1192,VLOOKUP($B1192+1,'RFR Data - preExcl'!$BF$2:$BG1679,2,FALSE),IF($T1192,INDEX('RFR Data - preExcl'!$BF$2:$BG1679,MATCH($B1192,'RFR Data - preExcl'!$BF$2:$BF1679,0)+1,2),VLOOKUP($B1192,'RFR Data - preExcl'!$BF$2:$BG1679,2,FALSE))),IFERROR(0/0,""))</f>
        <v/>
      </c>
      <c r="V1192" s="212" t="str">
        <f t="shared" si="5"/>
        <v>RUN-COMB_2022-07-01_RFR-068</v>
      </c>
      <c r="W1192" s="51"/>
      <c r="X1192" s="51"/>
      <c r="Y1192" s="147" t="str">
        <f t="shared" ref="Y1192:Z1192" si="2384">IF(_xlfn.ISFORMULA(S1192),IFERROR(0/0,""),TRUE)</f>
        <v/>
      </c>
      <c r="Z1192" s="147" t="str">
        <f t="shared" si="2384"/>
        <v/>
      </c>
    </row>
    <row r="1193">
      <c r="A1193" s="6" t="str">
        <f>IFERROR(__xludf.DUMMYFUNCTION("""COMPUTED_VALUE"""),"FM2427")</f>
        <v>FM2427</v>
      </c>
      <c r="B1193" s="206">
        <f>IFERROR(__xludf.DUMMYFUNCTION("""COMPUTED_VALUE"""),44743.0)</f>
        <v>44743</v>
      </c>
      <c r="C1193" s="207">
        <f>IFERROR(__xludf.DUMMYFUNCTION("""COMPUTED_VALUE"""),0.36443287037037037)</f>
        <v>0.3644328704</v>
      </c>
      <c r="D1193" s="50"/>
      <c r="E1193" s="58"/>
      <c r="F1193" s="58"/>
      <c r="G1193" s="58" t="str">
        <f>IFERROR(__xludf.DUMMYFUNCTION("""COMPUTED_VALUE"""),"Null")</f>
        <v>Null</v>
      </c>
      <c r="H1193" s="206" t="str">
        <f>IFERROR(__xludf.DUMMYFUNCTION("""COMPUTED_VALUE"""),"Negative")</f>
        <v>Negative</v>
      </c>
      <c r="I1193" s="207"/>
      <c r="J1193" s="50"/>
      <c r="K1193" s="50">
        <f>IFERROR(__xludf.DUMMYFUNCTION("""COMPUTED_VALUE"""),2.0)</f>
        <v>2</v>
      </c>
      <c r="L1193" s="6"/>
      <c r="M1193" s="55"/>
      <c r="N1193" s="55">
        <f>IFERROR(__xludf.DUMMYFUNCTION("""COMPUTED_VALUE"""),1.0)</f>
        <v>1</v>
      </c>
      <c r="O1193" s="55" t="str">
        <f t="shared" si="3"/>
        <v/>
      </c>
      <c r="P1193" s="209"/>
      <c r="Q1193" s="75" t="b">
        <f>VLOOKUP($B1193,'Run Reconcile'!B$2:P1679,15,FALSE)</f>
        <v>1</v>
      </c>
      <c r="R1193" s="211" t="str">
        <f t="array" ref="R1193">IF($Q1193, INDEX('Run Reconcile'!A$2:A1679,MATCH(B1193,'Run Reconcile'!B$2:B1679,0),1),IFERROR(0/0,""))</f>
        <v>RUN-COMB_2022-07-01_RFR-068</v>
      </c>
      <c r="S1193" s="165" t="str">
        <f t="shared" ref="S1193:T1193" si="2385">IF(COUNTIF(W$2:W1679, $A1193) &gt; 0,TRUE,IFERROR(0/0,""))</f>
        <v/>
      </c>
      <c r="T1193" s="165" t="str">
        <f t="shared" si="2385"/>
        <v/>
      </c>
      <c r="U1193" s="147" t="str">
        <f t="array" ref="U1193">IF(ISBLANK($R1193), IF($S1193,VLOOKUP($B1193+1,'RFR Data - preExcl'!$BF$2:$BG1679,2,FALSE),IF($T1193,INDEX('RFR Data - preExcl'!$BF$2:$BG1679,MATCH($B1193,'RFR Data - preExcl'!$BF$2:$BF1679,0)+1,2),VLOOKUP($B1193,'RFR Data - preExcl'!$BF$2:$BG1679,2,FALSE))),IFERROR(0/0,""))</f>
        <v/>
      </c>
      <c r="V1193" s="212" t="str">
        <f t="shared" si="5"/>
        <v>RUN-COMB_2022-07-01_RFR-068</v>
      </c>
      <c r="W1193" s="51"/>
      <c r="X1193" s="51"/>
      <c r="Y1193" s="147" t="str">
        <f t="shared" ref="Y1193:Z1193" si="2386">IF(_xlfn.ISFORMULA(S1193),IFERROR(0/0,""),TRUE)</f>
        <v/>
      </c>
      <c r="Z1193" s="147" t="str">
        <f t="shared" si="2386"/>
        <v/>
      </c>
    </row>
    <row r="1194">
      <c r="A1194" s="6" t="str">
        <f>IFERROR(__xludf.DUMMYFUNCTION("""COMPUTED_VALUE"""),"FM2425")</f>
        <v>FM2425</v>
      </c>
      <c r="B1194" s="206">
        <f>IFERROR(__xludf.DUMMYFUNCTION("""COMPUTED_VALUE"""),44743.0)</f>
        <v>44743</v>
      </c>
      <c r="C1194" s="207">
        <f>IFERROR(__xludf.DUMMYFUNCTION("""COMPUTED_VALUE"""),0.3647337962962963)</f>
        <v>0.3647337963</v>
      </c>
      <c r="D1194" s="50"/>
      <c r="E1194" s="58"/>
      <c r="F1194" s="58"/>
      <c r="G1194" s="58" t="str">
        <f>IFERROR(__xludf.DUMMYFUNCTION("""COMPUTED_VALUE"""),"Null")</f>
        <v>Null</v>
      </c>
      <c r="H1194" s="206" t="str">
        <f>IFERROR(__xludf.DUMMYFUNCTION("""COMPUTED_VALUE"""),"Negative")</f>
        <v>Negative</v>
      </c>
      <c r="I1194" s="207"/>
      <c r="J1194" s="50"/>
      <c r="K1194" s="50">
        <f>IFERROR(__xludf.DUMMYFUNCTION("""COMPUTED_VALUE"""),2.0)</f>
        <v>2</v>
      </c>
      <c r="L1194" s="6"/>
      <c r="M1194" s="55"/>
      <c r="N1194" s="55">
        <f>IFERROR(__xludf.DUMMYFUNCTION("""COMPUTED_VALUE"""),1.0)</f>
        <v>1</v>
      </c>
      <c r="O1194" s="55" t="str">
        <f t="shared" si="3"/>
        <v/>
      </c>
      <c r="P1194" s="209"/>
      <c r="Q1194" s="75" t="b">
        <f>VLOOKUP($B1194,'Run Reconcile'!B$2:P1679,15,FALSE)</f>
        <v>1</v>
      </c>
      <c r="R1194" s="211" t="str">
        <f t="array" ref="R1194">IF($Q1194, INDEX('Run Reconcile'!A$2:A1679,MATCH(B1194,'Run Reconcile'!B$2:B1679,0),1),IFERROR(0/0,""))</f>
        <v>RUN-COMB_2022-07-01_RFR-068</v>
      </c>
      <c r="S1194" s="165" t="str">
        <f t="shared" ref="S1194:T1194" si="2387">IF(COUNTIF(W$2:W1679, $A1194) &gt; 0,TRUE,IFERROR(0/0,""))</f>
        <v/>
      </c>
      <c r="T1194" s="165" t="str">
        <f t="shared" si="2387"/>
        <v/>
      </c>
      <c r="U1194" s="147" t="str">
        <f t="array" ref="U1194">IF(ISBLANK($R1194), IF($S1194,VLOOKUP($B1194+1,'RFR Data - preExcl'!$BF$2:$BG1679,2,FALSE),IF($T1194,INDEX('RFR Data - preExcl'!$BF$2:$BG1679,MATCH($B1194,'RFR Data - preExcl'!$BF$2:$BF1679,0)+1,2),VLOOKUP($B1194,'RFR Data - preExcl'!$BF$2:$BG1679,2,FALSE))),IFERROR(0/0,""))</f>
        <v/>
      </c>
      <c r="V1194" s="212" t="str">
        <f t="shared" si="5"/>
        <v>RUN-COMB_2022-07-01_RFR-068</v>
      </c>
      <c r="W1194" s="51"/>
      <c r="X1194" s="51"/>
      <c r="Y1194" s="147" t="str">
        <f t="shared" ref="Y1194:Z1194" si="2388">IF(_xlfn.ISFORMULA(S1194),IFERROR(0/0,""),TRUE)</f>
        <v/>
      </c>
      <c r="Z1194" s="147" t="str">
        <f t="shared" si="2388"/>
        <v/>
      </c>
    </row>
    <row r="1195">
      <c r="A1195" s="6" t="str">
        <f>IFERROR(__xludf.DUMMYFUNCTION("""COMPUTED_VALUE"""),"FM2489")</f>
        <v>FM2489</v>
      </c>
      <c r="B1195" s="206">
        <f>IFERROR(__xludf.DUMMYFUNCTION("""COMPUTED_VALUE"""),44743.0)</f>
        <v>44743</v>
      </c>
      <c r="C1195" s="207">
        <f>IFERROR(__xludf.DUMMYFUNCTION("""COMPUTED_VALUE"""),0.3650462962962963)</f>
        <v>0.3650462963</v>
      </c>
      <c r="D1195" s="50"/>
      <c r="E1195" s="58"/>
      <c r="F1195" s="58"/>
      <c r="G1195" s="58" t="str">
        <f>IFERROR(__xludf.DUMMYFUNCTION("""COMPUTED_VALUE"""),"Null")</f>
        <v>Null</v>
      </c>
      <c r="H1195" s="206" t="str">
        <f>IFERROR(__xludf.DUMMYFUNCTION("""COMPUTED_VALUE"""),"Negative")</f>
        <v>Negative</v>
      </c>
      <c r="I1195" s="207"/>
      <c r="J1195" s="50"/>
      <c r="K1195" s="50">
        <f>IFERROR(__xludf.DUMMYFUNCTION("""COMPUTED_VALUE"""),2.0)</f>
        <v>2</v>
      </c>
      <c r="L1195" s="6"/>
      <c r="M1195" s="55"/>
      <c r="N1195" s="55">
        <f>IFERROR(__xludf.DUMMYFUNCTION("""COMPUTED_VALUE"""),1.0)</f>
        <v>1</v>
      </c>
      <c r="O1195" s="55" t="str">
        <f t="shared" si="3"/>
        <v/>
      </c>
      <c r="P1195" s="209"/>
      <c r="Q1195" s="75" t="b">
        <f>VLOOKUP($B1195,'Run Reconcile'!B$2:P1679,15,FALSE)</f>
        <v>1</v>
      </c>
      <c r="R1195" s="211" t="str">
        <f t="array" ref="R1195">IF($Q1195, INDEX('Run Reconcile'!A$2:A1679,MATCH(B1195,'Run Reconcile'!B$2:B1679,0),1),IFERROR(0/0,""))</f>
        <v>RUN-COMB_2022-07-01_RFR-068</v>
      </c>
      <c r="S1195" s="165" t="str">
        <f t="shared" ref="S1195:T1195" si="2389">IF(COUNTIF(W$2:W1679, $A1195) &gt; 0,TRUE,IFERROR(0/0,""))</f>
        <v/>
      </c>
      <c r="T1195" s="165" t="str">
        <f t="shared" si="2389"/>
        <v/>
      </c>
      <c r="U1195" s="147" t="str">
        <f t="array" ref="U1195">IF(ISBLANK($R1195), IF($S1195,VLOOKUP($B1195+1,'RFR Data - preExcl'!$BF$2:$BG1679,2,FALSE),IF($T1195,INDEX('RFR Data - preExcl'!$BF$2:$BG1679,MATCH($B1195,'RFR Data - preExcl'!$BF$2:$BF1679,0)+1,2),VLOOKUP($B1195,'RFR Data - preExcl'!$BF$2:$BG1679,2,FALSE))),IFERROR(0/0,""))</f>
        <v/>
      </c>
      <c r="V1195" s="212" t="str">
        <f t="shared" si="5"/>
        <v>RUN-COMB_2022-07-01_RFR-068</v>
      </c>
      <c r="W1195" s="51"/>
      <c r="X1195" s="51"/>
      <c r="Y1195" s="147" t="str">
        <f t="shared" ref="Y1195:Z1195" si="2390">IF(_xlfn.ISFORMULA(S1195),IFERROR(0/0,""),TRUE)</f>
        <v/>
      </c>
      <c r="Z1195" s="147" t="str">
        <f t="shared" si="2390"/>
        <v/>
      </c>
    </row>
    <row r="1196">
      <c r="A1196" s="6" t="str">
        <f>IFERROR(__xludf.DUMMYFUNCTION("""COMPUTED_VALUE"""),"FM2468")</f>
        <v>FM2468</v>
      </c>
      <c r="B1196" s="206">
        <f>IFERROR(__xludf.DUMMYFUNCTION("""COMPUTED_VALUE"""),44743.0)</f>
        <v>44743</v>
      </c>
      <c r="C1196" s="207">
        <f>IFERROR(__xludf.DUMMYFUNCTION("""COMPUTED_VALUE"""),0.36539351851851853)</f>
        <v>0.3653935185</v>
      </c>
      <c r="D1196" s="50"/>
      <c r="E1196" s="58"/>
      <c r="F1196" s="58"/>
      <c r="G1196" s="58" t="str">
        <f>IFERROR(__xludf.DUMMYFUNCTION("""COMPUTED_VALUE"""),"Null")</f>
        <v>Null</v>
      </c>
      <c r="H1196" s="206" t="str">
        <f>IFERROR(__xludf.DUMMYFUNCTION("""COMPUTED_VALUE"""),"Negative")</f>
        <v>Negative</v>
      </c>
      <c r="I1196" s="207"/>
      <c r="J1196" s="50"/>
      <c r="K1196" s="50">
        <f>IFERROR(__xludf.DUMMYFUNCTION("""COMPUTED_VALUE"""),2.0)</f>
        <v>2</v>
      </c>
      <c r="L1196" s="6"/>
      <c r="M1196" s="55"/>
      <c r="N1196" s="55">
        <f>IFERROR(__xludf.DUMMYFUNCTION("""COMPUTED_VALUE"""),1.0)</f>
        <v>1</v>
      </c>
      <c r="O1196" s="55" t="str">
        <f t="shared" si="3"/>
        <v/>
      </c>
      <c r="P1196" s="209"/>
      <c r="Q1196" s="75" t="b">
        <f>VLOOKUP($B1196,'Run Reconcile'!B$2:P1679,15,FALSE)</f>
        <v>1</v>
      </c>
      <c r="R1196" s="211" t="str">
        <f t="array" ref="R1196">IF($Q1196, INDEX('Run Reconcile'!A$2:A1679,MATCH(B1196,'Run Reconcile'!B$2:B1679,0),1),IFERROR(0/0,""))</f>
        <v>RUN-COMB_2022-07-01_RFR-068</v>
      </c>
      <c r="S1196" s="165" t="str">
        <f t="shared" ref="S1196:T1196" si="2391">IF(COUNTIF(W$2:W1679, $A1196) &gt; 0,TRUE,IFERROR(0/0,""))</f>
        <v/>
      </c>
      <c r="T1196" s="165" t="str">
        <f t="shared" si="2391"/>
        <v/>
      </c>
      <c r="U1196" s="147" t="str">
        <f t="array" ref="U1196">IF(ISBLANK($R1196), IF($S1196,VLOOKUP($B1196+1,'RFR Data - preExcl'!$BF$2:$BG1679,2,FALSE),IF($T1196,INDEX('RFR Data - preExcl'!$BF$2:$BG1679,MATCH($B1196,'RFR Data - preExcl'!$BF$2:$BF1679,0)+1,2),VLOOKUP($B1196,'RFR Data - preExcl'!$BF$2:$BG1679,2,FALSE))),IFERROR(0/0,""))</f>
        <v/>
      </c>
      <c r="V1196" s="212" t="str">
        <f t="shared" si="5"/>
        <v>RUN-COMB_2022-07-01_RFR-068</v>
      </c>
      <c r="W1196" s="51"/>
      <c r="X1196" s="51"/>
      <c r="Y1196" s="147" t="str">
        <f t="shared" ref="Y1196:Z1196" si="2392">IF(_xlfn.ISFORMULA(S1196),IFERROR(0/0,""),TRUE)</f>
        <v/>
      </c>
      <c r="Z1196" s="147" t="str">
        <f t="shared" si="2392"/>
        <v/>
      </c>
    </row>
    <row r="1197">
      <c r="A1197" s="6" t="str">
        <f>IFERROR(__xludf.DUMMYFUNCTION("""COMPUTED_VALUE"""),"FM2413")</f>
        <v>FM2413</v>
      </c>
      <c r="B1197" s="206">
        <f>IFERROR(__xludf.DUMMYFUNCTION("""COMPUTED_VALUE"""),44743.0)</f>
        <v>44743</v>
      </c>
      <c r="C1197" s="207">
        <f>IFERROR(__xludf.DUMMYFUNCTION("""COMPUTED_VALUE"""),0.36569444444444443)</f>
        <v>0.3656944444</v>
      </c>
      <c r="D1197" s="50"/>
      <c r="E1197" s="58"/>
      <c r="F1197" s="58"/>
      <c r="G1197" s="58" t="str">
        <f>IFERROR(__xludf.DUMMYFUNCTION("""COMPUTED_VALUE"""),"Null")</f>
        <v>Null</v>
      </c>
      <c r="H1197" s="206" t="str">
        <f>IFERROR(__xludf.DUMMYFUNCTION("""COMPUTED_VALUE"""),"Negative")</f>
        <v>Negative</v>
      </c>
      <c r="I1197" s="207"/>
      <c r="J1197" s="50"/>
      <c r="K1197" s="50">
        <f>IFERROR(__xludf.DUMMYFUNCTION("""COMPUTED_VALUE"""),2.0)</f>
        <v>2</v>
      </c>
      <c r="L1197" s="6"/>
      <c r="M1197" s="55"/>
      <c r="N1197" s="55">
        <f>IFERROR(__xludf.DUMMYFUNCTION("""COMPUTED_VALUE"""),1.0)</f>
        <v>1</v>
      </c>
      <c r="O1197" s="55" t="str">
        <f t="shared" si="3"/>
        <v/>
      </c>
      <c r="P1197" s="209"/>
      <c r="Q1197" s="75" t="b">
        <f>VLOOKUP($B1197,'Run Reconcile'!B$2:P1679,15,FALSE)</f>
        <v>1</v>
      </c>
      <c r="R1197" s="211" t="str">
        <f t="array" ref="R1197">IF($Q1197, INDEX('Run Reconcile'!A$2:A1679,MATCH(B1197,'Run Reconcile'!B$2:B1679,0),1),IFERROR(0/0,""))</f>
        <v>RUN-COMB_2022-07-01_RFR-068</v>
      </c>
      <c r="S1197" s="165" t="str">
        <f t="shared" ref="S1197:T1197" si="2393">IF(COUNTIF(W$2:W1679, $A1197) &gt; 0,TRUE,IFERROR(0/0,""))</f>
        <v/>
      </c>
      <c r="T1197" s="165" t="str">
        <f t="shared" si="2393"/>
        <v/>
      </c>
      <c r="U1197" s="147" t="str">
        <f t="array" ref="U1197">IF(ISBLANK($R1197), IF($S1197,VLOOKUP($B1197+1,'RFR Data - preExcl'!$BF$2:$BG1679,2,FALSE),IF($T1197,INDEX('RFR Data - preExcl'!$BF$2:$BG1679,MATCH($B1197,'RFR Data - preExcl'!$BF$2:$BF1679,0)+1,2),VLOOKUP($B1197,'RFR Data - preExcl'!$BF$2:$BG1679,2,FALSE))),IFERROR(0/0,""))</f>
        <v/>
      </c>
      <c r="V1197" s="212" t="str">
        <f t="shared" si="5"/>
        <v>RUN-COMB_2022-07-01_RFR-068</v>
      </c>
      <c r="W1197" s="51"/>
      <c r="X1197" s="51"/>
      <c r="Y1197" s="147" t="str">
        <f t="shared" ref="Y1197:Z1197" si="2394">IF(_xlfn.ISFORMULA(S1197),IFERROR(0/0,""),TRUE)</f>
        <v/>
      </c>
      <c r="Z1197" s="147" t="str">
        <f t="shared" si="2394"/>
        <v/>
      </c>
    </row>
    <row r="1198">
      <c r="A1198" s="6" t="str">
        <f>IFERROR(__xludf.DUMMYFUNCTION("""COMPUTED_VALUE"""),"FM2491")</f>
        <v>FM2491</v>
      </c>
      <c r="B1198" s="206">
        <f>IFERROR(__xludf.DUMMYFUNCTION("""COMPUTED_VALUE"""),44743.0)</f>
        <v>44743</v>
      </c>
      <c r="C1198" s="207">
        <f>IFERROR(__xludf.DUMMYFUNCTION("""COMPUTED_VALUE"""),0.3659837962962963)</f>
        <v>0.3659837963</v>
      </c>
      <c r="D1198" s="50"/>
      <c r="E1198" s="58"/>
      <c r="F1198" s="58"/>
      <c r="G1198" s="58" t="str">
        <f>IFERROR(__xludf.DUMMYFUNCTION("""COMPUTED_VALUE"""),"Null")</f>
        <v>Null</v>
      </c>
      <c r="H1198" s="206" t="str">
        <f>IFERROR(__xludf.DUMMYFUNCTION("""COMPUTED_VALUE"""),"Negative")</f>
        <v>Negative</v>
      </c>
      <c r="I1198" s="207"/>
      <c r="J1198" s="50"/>
      <c r="K1198" s="50">
        <f>IFERROR(__xludf.DUMMYFUNCTION("""COMPUTED_VALUE"""),2.0)</f>
        <v>2</v>
      </c>
      <c r="L1198" s="6"/>
      <c r="M1198" s="55"/>
      <c r="N1198" s="55">
        <f>IFERROR(__xludf.DUMMYFUNCTION("""COMPUTED_VALUE"""),1.0)</f>
        <v>1</v>
      </c>
      <c r="O1198" s="55" t="str">
        <f t="shared" si="3"/>
        <v/>
      </c>
      <c r="P1198" s="209"/>
      <c r="Q1198" s="75" t="b">
        <f>VLOOKUP($B1198,'Run Reconcile'!B$2:P1679,15,FALSE)</f>
        <v>1</v>
      </c>
      <c r="R1198" s="211" t="str">
        <f t="array" ref="R1198">IF($Q1198, INDEX('Run Reconcile'!A$2:A1679,MATCH(B1198,'Run Reconcile'!B$2:B1679,0),1),IFERROR(0/0,""))</f>
        <v>RUN-COMB_2022-07-01_RFR-068</v>
      </c>
      <c r="S1198" s="165" t="str">
        <f t="shared" ref="S1198:T1198" si="2395">IF(COUNTIF(W$2:W1679, $A1198) &gt; 0,TRUE,IFERROR(0/0,""))</f>
        <v/>
      </c>
      <c r="T1198" s="165" t="str">
        <f t="shared" si="2395"/>
        <v/>
      </c>
      <c r="U1198" s="147" t="str">
        <f t="array" ref="U1198">IF(ISBLANK($R1198), IF($S1198,VLOOKUP($B1198+1,'RFR Data - preExcl'!$BF$2:$BG1679,2,FALSE),IF($T1198,INDEX('RFR Data - preExcl'!$BF$2:$BG1679,MATCH($B1198,'RFR Data - preExcl'!$BF$2:$BF1679,0)+1,2),VLOOKUP($B1198,'RFR Data - preExcl'!$BF$2:$BG1679,2,FALSE))),IFERROR(0/0,""))</f>
        <v/>
      </c>
      <c r="V1198" s="212" t="str">
        <f t="shared" si="5"/>
        <v>RUN-COMB_2022-07-01_RFR-068</v>
      </c>
      <c r="W1198" s="51"/>
      <c r="X1198" s="51"/>
      <c r="Y1198" s="147" t="str">
        <f t="shared" ref="Y1198:Z1198" si="2396">IF(_xlfn.ISFORMULA(S1198),IFERROR(0/0,""),TRUE)</f>
        <v/>
      </c>
      <c r="Z1198" s="147" t="str">
        <f t="shared" si="2396"/>
        <v/>
      </c>
    </row>
    <row r="1199">
      <c r="A1199" s="6" t="str">
        <f>IFERROR(__xludf.DUMMYFUNCTION("""COMPUTED_VALUE"""),"FM2510")</f>
        <v>FM2510</v>
      </c>
      <c r="B1199" s="206">
        <f>IFERROR(__xludf.DUMMYFUNCTION("""COMPUTED_VALUE"""),44743.0)</f>
        <v>44743</v>
      </c>
      <c r="C1199" s="207">
        <f>IFERROR(__xludf.DUMMYFUNCTION("""COMPUTED_VALUE"""),0.3663310185185185)</f>
        <v>0.3663310185</v>
      </c>
      <c r="D1199" s="50"/>
      <c r="E1199" s="58"/>
      <c r="F1199" s="58"/>
      <c r="G1199" s="58" t="str">
        <f>IFERROR(__xludf.DUMMYFUNCTION("""COMPUTED_VALUE"""),"Null")</f>
        <v>Null</v>
      </c>
      <c r="H1199" s="206" t="str">
        <f>IFERROR(__xludf.DUMMYFUNCTION("""COMPUTED_VALUE"""),"Negative")</f>
        <v>Negative</v>
      </c>
      <c r="I1199" s="207"/>
      <c r="J1199" s="50"/>
      <c r="K1199" s="50">
        <f>IFERROR(__xludf.DUMMYFUNCTION("""COMPUTED_VALUE"""),2.0)</f>
        <v>2</v>
      </c>
      <c r="L1199" s="6"/>
      <c r="M1199" s="55"/>
      <c r="N1199" s="55">
        <f>IFERROR(__xludf.DUMMYFUNCTION("""COMPUTED_VALUE"""),1.0)</f>
        <v>1</v>
      </c>
      <c r="O1199" s="55" t="str">
        <f t="shared" si="3"/>
        <v/>
      </c>
      <c r="P1199" s="209"/>
      <c r="Q1199" s="75" t="b">
        <f>VLOOKUP($B1199,'Run Reconcile'!B$2:P1679,15,FALSE)</f>
        <v>1</v>
      </c>
      <c r="R1199" s="211" t="str">
        <f t="array" ref="R1199">IF($Q1199, INDEX('Run Reconcile'!A$2:A1679,MATCH(B1199,'Run Reconcile'!B$2:B1679,0),1),IFERROR(0/0,""))</f>
        <v>RUN-COMB_2022-07-01_RFR-068</v>
      </c>
      <c r="S1199" s="165" t="str">
        <f t="shared" ref="S1199:T1199" si="2397">IF(COUNTIF(W$2:W1679, $A1199) &gt; 0,TRUE,IFERROR(0/0,""))</f>
        <v/>
      </c>
      <c r="T1199" s="165" t="str">
        <f t="shared" si="2397"/>
        <v/>
      </c>
      <c r="U1199" s="147" t="str">
        <f t="array" ref="U1199">IF(ISBLANK($R1199), IF($S1199,VLOOKUP($B1199+1,'RFR Data - preExcl'!$BF$2:$BG1679,2,FALSE),IF($T1199,INDEX('RFR Data - preExcl'!$BF$2:$BG1679,MATCH($B1199,'RFR Data - preExcl'!$BF$2:$BF1679,0)+1,2),VLOOKUP($B1199,'RFR Data - preExcl'!$BF$2:$BG1679,2,FALSE))),IFERROR(0/0,""))</f>
        <v/>
      </c>
      <c r="V1199" s="212" t="str">
        <f t="shared" si="5"/>
        <v>RUN-COMB_2022-07-01_RFR-068</v>
      </c>
      <c r="W1199" s="51"/>
      <c r="X1199" s="51"/>
      <c r="Y1199" s="147" t="str">
        <f t="shared" ref="Y1199:Z1199" si="2398">IF(_xlfn.ISFORMULA(S1199),IFERROR(0/0,""),TRUE)</f>
        <v/>
      </c>
      <c r="Z1199" s="147" t="str">
        <f t="shared" si="2398"/>
        <v/>
      </c>
    </row>
    <row r="1200">
      <c r="A1200" s="6" t="str">
        <f>IFERROR(__xludf.DUMMYFUNCTION("""COMPUTED_VALUE"""),"FM2737")</f>
        <v>FM2737</v>
      </c>
      <c r="B1200" s="206">
        <f>IFERROR(__xludf.DUMMYFUNCTION("""COMPUTED_VALUE"""),44743.0)</f>
        <v>44743</v>
      </c>
      <c r="C1200" s="207">
        <f>IFERROR(__xludf.DUMMYFUNCTION("""COMPUTED_VALUE"""),0.3666435185185185)</f>
        <v>0.3666435185</v>
      </c>
      <c r="D1200" s="50"/>
      <c r="E1200" s="58"/>
      <c r="F1200" s="58"/>
      <c r="G1200" s="58" t="str">
        <f>IFERROR(__xludf.DUMMYFUNCTION("""COMPUTED_VALUE"""),"Null")</f>
        <v>Null</v>
      </c>
      <c r="H1200" s="206" t="str">
        <f>IFERROR(__xludf.DUMMYFUNCTION("""COMPUTED_VALUE"""),"Negative")</f>
        <v>Negative</v>
      </c>
      <c r="I1200" s="207"/>
      <c r="J1200" s="50"/>
      <c r="K1200" s="50">
        <f>IFERROR(__xludf.DUMMYFUNCTION("""COMPUTED_VALUE"""),2.0)</f>
        <v>2</v>
      </c>
      <c r="L1200" s="6"/>
      <c r="M1200" s="55"/>
      <c r="N1200" s="55">
        <f>IFERROR(__xludf.DUMMYFUNCTION("""COMPUTED_VALUE"""),1.0)</f>
        <v>1</v>
      </c>
      <c r="O1200" s="55" t="str">
        <f t="shared" si="3"/>
        <v/>
      </c>
      <c r="P1200" s="209"/>
      <c r="Q1200" s="75" t="b">
        <f>VLOOKUP($B1200,'Run Reconcile'!B$2:P1679,15,FALSE)</f>
        <v>1</v>
      </c>
      <c r="R1200" s="211" t="str">
        <f t="array" ref="R1200">IF($Q1200, INDEX('Run Reconcile'!A$2:A1679,MATCH(B1200,'Run Reconcile'!B$2:B1679,0),1),IFERROR(0/0,""))</f>
        <v>RUN-COMB_2022-07-01_RFR-068</v>
      </c>
      <c r="S1200" s="165" t="str">
        <f t="shared" ref="S1200:T1200" si="2399">IF(COUNTIF(W$2:W1679, $A1200) &gt; 0,TRUE,IFERROR(0/0,""))</f>
        <v/>
      </c>
      <c r="T1200" s="165" t="str">
        <f t="shared" si="2399"/>
        <v/>
      </c>
      <c r="U1200" s="147" t="str">
        <f t="array" ref="U1200">IF(ISBLANK($R1200), IF($S1200,VLOOKUP($B1200+1,'RFR Data - preExcl'!$BF$2:$BG1679,2,FALSE),IF($T1200,INDEX('RFR Data - preExcl'!$BF$2:$BG1679,MATCH($B1200,'RFR Data - preExcl'!$BF$2:$BF1679,0)+1,2),VLOOKUP($B1200,'RFR Data - preExcl'!$BF$2:$BG1679,2,FALSE))),IFERROR(0/0,""))</f>
        <v/>
      </c>
      <c r="V1200" s="212" t="str">
        <f t="shared" si="5"/>
        <v>RUN-COMB_2022-07-01_RFR-068</v>
      </c>
      <c r="W1200" s="51"/>
      <c r="X1200" s="51"/>
      <c r="Y1200" s="147" t="str">
        <f t="shared" ref="Y1200:Z1200" si="2400">IF(_xlfn.ISFORMULA(S1200),IFERROR(0/0,""),TRUE)</f>
        <v/>
      </c>
      <c r="Z1200" s="147" t="str">
        <f t="shared" si="2400"/>
        <v/>
      </c>
    </row>
    <row r="1201">
      <c r="A1201" s="6" t="str">
        <f>IFERROR(__xludf.DUMMYFUNCTION("""COMPUTED_VALUE"""),"FM2488")</f>
        <v>FM2488</v>
      </c>
      <c r="B1201" s="206">
        <f>IFERROR(__xludf.DUMMYFUNCTION("""COMPUTED_VALUE"""),44743.0)</f>
        <v>44743</v>
      </c>
      <c r="C1201" s="207">
        <f>IFERROR(__xludf.DUMMYFUNCTION("""COMPUTED_VALUE"""),0.3669675925925926)</f>
        <v>0.3669675926</v>
      </c>
      <c r="D1201" s="50"/>
      <c r="E1201" s="58"/>
      <c r="F1201" s="58"/>
      <c r="G1201" s="58" t="str">
        <f>IFERROR(__xludf.DUMMYFUNCTION("""COMPUTED_VALUE"""),"Null")</f>
        <v>Null</v>
      </c>
      <c r="H1201" s="206" t="str">
        <f>IFERROR(__xludf.DUMMYFUNCTION("""COMPUTED_VALUE"""),"Negative")</f>
        <v>Negative</v>
      </c>
      <c r="I1201" s="207"/>
      <c r="J1201" s="50"/>
      <c r="K1201" s="50">
        <f>IFERROR(__xludf.DUMMYFUNCTION("""COMPUTED_VALUE"""),2.0)</f>
        <v>2</v>
      </c>
      <c r="L1201" s="6"/>
      <c r="M1201" s="55"/>
      <c r="N1201" s="55">
        <f>IFERROR(__xludf.DUMMYFUNCTION("""COMPUTED_VALUE"""),1.0)</f>
        <v>1</v>
      </c>
      <c r="O1201" s="55" t="str">
        <f t="shared" si="3"/>
        <v/>
      </c>
      <c r="P1201" s="209"/>
      <c r="Q1201" s="75" t="b">
        <f>VLOOKUP($B1201,'Run Reconcile'!B$2:P1679,15,FALSE)</f>
        <v>1</v>
      </c>
      <c r="R1201" s="211" t="str">
        <f t="array" ref="R1201">IF($Q1201, INDEX('Run Reconcile'!A$2:A1679,MATCH(B1201,'Run Reconcile'!B$2:B1679,0),1),IFERROR(0/0,""))</f>
        <v>RUN-COMB_2022-07-01_RFR-068</v>
      </c>
      <c r="S1201" s="165" t="str">
        <f t="shared" ref="S1201:T1201" si="2401">IF(COUNTIF(W$2:W1679, $A1201) &gt; 0,TRUE,IFERROR(0/0,""))</f>
        <v/>
      </c>
      <c r="T1201" s="165" t="str">
        <f t="shared" si="2401"/>
        <v/>
      </c>
      <c r="U1201" s="147" t="str">
        <f t="array" ref="U1201">IF(ISBLANK($R1201), IF($S1201,VLOOKUP($B1201+1,'RFR Data - preExcl'!$BF$2:$BG1679,2,FALSE),IF($T1201,INDEX('RFR Data - preExcl'!$BF$2:$BG1679,MATCH($B1201,'RFR Data - preExcl'!$BF$2:$BF1679,0)+1,2),VLOOKUP($B1201,'RFR Data - preExcl'!$BF$2:$BG1679,2,FALSE))),IFERROR(0/0,""))</f>
        <v/>
      </c>
      <c r="V1201" s="212" t="str">
        <f t="shared" si="5"/>
        <v>RUN-COMB_2022-07-01_RFR-068</v>
      </c>
      <c r="W1201" s="51"/>
      <c r="X1201" s="51"/>
      <c r="Y1201" s="147" t="str">
        <f t="shared" ref="Y1201:Z1201" si="2402">IF(_xlfn.ISFORMULA(S1201),IFERROR(0/0,""),TRUE)</f>
        <v/>
      </c>
      <c r="Z1201" s="147" t="str">
        <f t="shared" si="2402"/>
        <v/>
      </c>
    </row>
    <row r="1202">
      <c r="A1202" s="6" t="str">
        <f>IFERROR(__xludf.DUMMYFUNCTION("""COMPUTED_VALUE"""),"FM2820")</f>
        <v>FM2820</v>
      </c>
      <c r="B1202" s="206">
        <f>IFERROR(__xludf.DUMMYFUNCTION("""COMPUTED_VALUE"""),44743.0)</f>
        <v>44743</v>
      </c>
      <c r="C1202" s="207">
        <f>IFERROR(__xludf.DUMMYFUNCTION("""COMPUTED_VALUE"""),0.3676388888888889)</f>
        <v>0.3676388889</v>
      </c>
      <c r="D1202" s="50"/>
      <c r="E1202" s="58"/>
      <c r="F1202" s="58"/>
      <c r="G1202" s="58" t="str">
        <f>IFERROR(__xludf.DUMMYFUNCTION("""COMPUTED_VALUE"""),"Null")</f>
        <v>Null</v>
      </c>
      <c r="H1202" s="206" t="str">
        <f>IFERROR(__xludf.DUMMYFUNCTION("""COMPUTED_VALUE"""),"Negative")</f>
        <v>Negative</v>
      </c>
      <c r="I1202" s="207"/>
      <c r="J1202" s="50"/>
      <c r="K1202" s="50">
        <f>IFERROR(__xludf.DUMMYFUNCTION("""COMPUTED_VALUE"""),2.0)</f>
        <v>2</v>
      </c>
      <c r="L1202" s="6"/>
      <c r="M1202" s="55"/>
      <c r="N1202" s="55">
        <f>IFERROR(__xludf.DUMMYFUNCTION("""COMPUTED_VALUE"""),1.0)</f>
        <v>1</v>
      </c>
      <c r="O1202" s="55" t="str">
        <f t="shared" si="3"/>
        <v/>
      </c>
      <c r="P1202" s="209"/>
      <c r="Q1202" s="75" t="b">
        <f>VLOOKUP($B1202,'Run Reconcile'!B$2:P1679,15,FALSE)</f>
        <v>1</v>
      </c>
      <c r="R1202" s="211" t="str">
        <f t="array" ref="R1202">IF($Q1202, INDEX('Run Reconcile'!A$2:A1679,MATCH(B1202,'Run Reconcile'!B$2:B1679,0),1),IFERROR(0/0,""))</f>
        <v>RUN-COMB_2022-07-01_RFR-068</v>
      </c>
      <c r="S1202" s="165" t="str">
        <f t="shared" ref="S1202:T1202" si="2403">IF(COUNTIF(W$2:W1679, $A1202) &gt; 0,TRUE,IFERROR(0/0,""))</f>
        <v/>
      </c>
      <c r="T1202" s="165" t="str">
        <f t="shared" si="2403"/>
        <v/>
      </c>
      <c r="U1202" s="147" t="str">
        <f t="array" ref="U1202">IF(ISBLANK($R1202), IF($S1202,VLOOKUP($B1202+1,'RFR Data - preExcl'!$BF$2:$BG1679,2,FALSE),IF($T1202,INDEX('RFR Data - preExcl'!$BF$2:$BG1679,MATCH($B1202,'RFR Data - preExcl'!$BF$2:$BF1679,0)+1,2),VLOOKUP($B1202,'RFR Data - preExcl'!$BF$2:$BG1679,2,FALSE))),IFERROR(0/0,""))</f>
        <v/>
      </c>
      <c r="V1202" s="212" t="str">
        <f t="shared" si="5"/>
        <v>RUN-COMB_2022-07-01_RFR-068</v>
      </c>
      <c r="W1202" s="51"/>
      <c r="X1202" s="51"/>
      <c r="Y1202" s="147" t="str">
        <f t="shared" ref="Y1202:Z1202" si="2404">IF(_xlfn.ISFORMULA(S1202),IFERROR(0/0,""),TRUE)</f>
        <v/>
      </c>
      <c r="Z1202" s="147" t="str">
        <f t="shared" si="2404"/>
        <v/>
      </c>
    </row>
    <row r="1203">
      <c r="A1203" s="6" t="str">
        <f>IFERROR(__xludf.DUMMYFUNCTION("""COMPUTED_VALUE"""),"FM2505")</f>
        <v>FM2505</v>
      </c>
      <c r="B1203" s="206">
        <f>IFERROR(__xludf.DUMMYFUNCTION("""COMPUTED_VALUE"""),44743.0)</f>
        <v>44743</v>
      </c>
      <c r="C1203" s="207">
        <f>IFERROR(__xludf.DUMMYFUNCTION("""COMPUTED_VALUE"""),0.3679861111111111)</f>
        <v>0.3679861111</v>
      </c>
      <c r="D1203" s="50"/>
      <c r="E1203" s="58"/>
      <c r="F1203" s="58"/>
      <c r="G1203" s="58" t="str">
        <f>IFERROR(__xludf.DUMMYFUNCTION("""COMPUTED_VALUE"""),"Null")</f>
        <v>Null</v>
      </c>
      <c r="H1203" s="206" t="str">
        <f>IFERROR(__xludf.DUMMYFUNCTION("""COMPUTED_VALUE"""),"Negative")</f>
        <v>Negative</v>
      </c>
      <c r="I1203" s="207"/>
      <c r="J1203" s="50"/>
      <c r="K1203" s="50">
        <f>IFERROR(__xludf.DUMMYFUNCTION("""COMPUTED_VALUE"""),2.0)</f>
        <v>2</v>
      </c>
      <c r="L1203" s="6"/>
      <c r="M1203" s="55"/>
      <c r="N1203" s="55">
        <f>IFERROR(__xludf.DUMMYFUNCTION("""COMPUTED_VALUE"""),1.0)</f>
        <v>1</v>
      </c>
      <c r="O1203" s="55" t="str">
        <f t="shared" si="3"/>
        <v/>
      </c>
      <c r="P1203" s="209"/>
      <c r="Q1203" s="75" t="b">
        <f>VLOOKUP($B1203,'Run Reconcile'!B$2:P1679,15,FALSE)</f>
        <v>1</v>
      </c>
      <c r="R1203" s="211" t="str">
        <f t="array" ref="R1203">IF($Q1203, INDEX('Run Reconcile'!A$2:A1679,MATCH(B1203,'Run Reconcile'!B$2:B1679,0),1),IFERROR(0/0,""))</f>
        <v>RUN-COMB_2022-07-01_RFR-068</v>
      </c>
      <c r="S1203" s="165" t="str">
        <f t="shared" ref="S1203:T1203" si="2405">IF(COUNTIF(W$2:W1679, $A1203) &gt; 0,TRUE,IFERROR(0/0,""))</f>
        <v/>
      </c>
      <c r="T1203" s="165" t="str">
        <f t="shared" si="2405"/>
        <v/>
      </c>
      <c r="U1203" s="147" t="str">
        <f t="array" ref="U1203">IF(ISBLANK($R1203), IF($S1203,VLOOKUP($B1203+1,'RFR Data - preExcl'!$BF$2:$BG1679,2,FALSE),IF($T1203,INDEX('RFR Data - preExcl'!$BF$2:$BG1679,MATCH($B1203,'RFR Data - preExcl'!$BF$2:$BF1679,0)+1,2),VLOOKUP($B1203,'RFR Data - preExcl'!$BF$2:$BG1679,2,FALSE))),IFERROR(0/0,""))</f>
        <v/>
      </c>
      <c r="V1203" s="212" t="str">
        <f t="shared" si="5"/>
        <v>RUN-COMB_2022-07-01_RFR-068</v>
      </c>
      <c r="W1203" s="51"/>
      <c r="X1203" s="51"/>
      <c r="Y1203" s="147" t="str">
        <f t="shared" ref="Y1203:Z1203" si="2406">IF(_xlfn.ISFORMULA(S1203),IFERROR(0/0,""),TRUE)</f>
        <v/>
      </c>
      <c r="Z1203" s="147" t="str">
        <f t="shared" si="2406"/>
        <v/>
      </c>
    </row>
    <row r="1204">
      <c r="A1204" s="6" t="str">
        <f>IFERROR(__xludf.DUMMYFUNCTION("""COMPUTED_VALUE"""),"FM2442")</f>
        <v>FM2442</v>
      </c>
      <c r="B1204" s="206">
        <f>IFERROR(__xludf.DUMMYFUNCTION("""COMPUTED_VALUE"""),44743.0)</f>
        <v>44743</v>
      </c>
      <c r="C1204" s="207">
        <f>IFERROR(__xludf.DUMMYFUNCTION("""COMPUTED_VALUE"""),0.3682986111111111)</f>
        <v>0.3682986111</v>
      </c>
      <c r="D1204" s="50"/>
      <c r="E1204" s="58"/>
      <c r="F1204" s="58"/>
      <c r="G1204" s="58" t="str">
        <f>IFERROR(__xludf.DUMMYFUNCTION("""COMPUTED_VALUE"""),"Null")</f>
        <v>Null</v>
      </c>
      <c r="H1204" s="206" t="str">
        <f>IFERROR(__xludf.DUMMYFUNCTION("""COMPUTED_VALUE"""),"Negative")</f>
        <v>Negative</v>
      </c>
      <c r="I1204" s="207"/>
      <c r="J1204" s="50"/>
      <c r="K1204" s="50">
        <f>IFERROR(__xludf.DUMMYFUNCTION("""COMPUTED_VALUE"""),2.0)</f>
        <v>2</v>
      </c>
      <c r="L1204" s="6"/>
      <c r="M1204" s="55"/>
      <c r="N1204" s="55">
        <f>IFERROR(__xludf.DUMMYFUNCTION("""COMPUTED_VALUE"""),1.0)</f>
        <v>1</v>
      </c>
      <c r="O1204" s="55" t="str">
        <f t="shared" si="3"/>
        <v/>
      </c>
      <c r="P1204" s="209"/>
      <c r="Q1204" s="75" t="b">
        <f>VLOOKUP($B1204,'Run Reconcile'!B$2:P1679,15,FALSE)</f>
        <v>1</v>
      </c>
      <c r="R1204" s="211" t="str">
        <f t="array" ref="R1204">IF($Q1204, INDEX('Run Reconcile'!A$2:A1679,MATCH(B1204,'Run Reconcile'!B$2:B1679,0),1),IFERROR(0/0,""))</f>
        <v>RUN-COMB_2022-07-01_RFR-068</v>
      </c>
      <c r="S1204" s="165" t="str">
        <f t="shared" ref="S1204:T1204" si="2407">IF(COUNTIF(W$2:W1679, $A1204) &gt; 0,TRUE,IFERROR(0/0,""))</f>
        <v/>
      </c>
      <c r="T1204" s="165" t="str">
        <f t="shared" si="2407"/>
        <v/>
      </c>
      <c r="U1204" s="147" t="str">
        <f t="array" ref="U1204">IF(ISBLANK($R1204), IF($S1204,VLOOKUP($B1204+1,'RFR Data - preExcl'!$BF$2:$BG1679,2,FALSE),IF($T1204,INDEX('RFR Data - preExcl'!$BF$2:$BG1679,MATCH($B1204,'RFR Data - preExcl'!$BF$2:$BF1679,0)+1,2),VLOOKUP($B1204,'RFR Data - preExcl'!$BF$2:$BG1679,2,FALSE))),IFERROR(0/0,""))</f>
        <v/>
      </c>
      <c r="V1204" s="212" t="str">
        <f t="shared" si="5"/>
        <v>RUN-COMB_2022-07-01_RFR-068</v>
      </c>
      <c r="W1204" s="51"/>
      <c r="X1204" s="51"/>
      <c r="Y1204" s="147" t="str">
        <f t="shared" ref="Y1204:Z1204" si="2408">IF(_xlfn.ISFORMULA(S1204),IFERROR(0/0,""),TRUE)</f>
        <v/>
      </c>
      <c r="Z1204" s="147" t="str">
        <f t="shared" si="2408"/>
        <v/>
      </c>
    </row>
    <row r="1205">
      <c r="A1205" s="6" t="str">
        <f>IFERROR(__xludf.DUMMYFUNCTION("""COMPUTED_VALUE"""),"FM2437")</f>
        <v>FM2437</v>
      </c>
      <c r="B1205" s="206">
        <f>IFERROR(__xludf.DUMMYFUNCTION("""COMPUTED_VALUE"""),44743.0)</f>
        <v>44743</v>
      </c>
      <c r="C1205" s="207">
        <f>IFERROR(__xludf.DUMMYFUNCTION("""COMPUTED_VALUE"""),0.37030092592592595)</f>
        <v>0.3703009259</v>
      </c>
      <c r="D1205" s="50"/>
      <c r="E1205" s="58"/>
      <c r="F1205" s="58"/>
      <c r="G1205" s="58" t="str">
        <f>IFERROR(__xludf.DUMMYFUNCTION("""COMPUTED_VALUE"""),"Null")</f>
        <v>Null</v>
      </c>
      <c r="H1205" s="206" t="str">
        <f>IFERROR(__xludf.DUMMYFUNCTION("""COMPUTED_VALUE"""),"Negative")</f>
        <v>Negative</v>
      </c>
      <c r="I1205" s="207"/>
      <c r="J1205" s="50"/>
      <c r="K1205" s="50">
        <f>IFERROR(__xludf.DUMMYFUNCTION("""COMPUTED_VALUE"""),2.0)</f>
        <v>2</v>
      </c>
      <c r="L1205" s="6"/>
      <c r="M1205" s="55"/>
      <c r="N1205" s="55">
        <f>IFERROR(__xludf.DUMMYFUNCTION("""COMPUTED_VALUE"""),1.0)</f>
        <v>1</v>
      </c>
      <c r="O1205" s="55" t="str">
        <f t="shared" si="3"/>
        <v/>
      </c>
      <c r="P1205" s="209"/>
      <c r="Q1205" s="75" t="b">
        <f>VLOOKUP($B1205,'Run Reconcile'!B$2:P1679,15,FALSE)</f>
        <v>1</v>
      </c>
      <c r="R1205" s="211" t="str">
        <f t="array" ref="R1205">IF($Q1205, INDEX('Run Reconcile'!A$2:A1679,MATCH(B1205,'Run Reconcile'!B$2:B1679,0),1),IFERROR(0/0,""))</f>
        <v>RUN-COMB_2022-07-01_RFR-068</v>
      </c>
      <c r="S1205" s="165" t="str">
        <f t="shared" ref="S1205:T1205" si="2409">IF(COUNTIF(W$2:W1679, $A1205) &gt; 0,TRUE,IFERROR(0/0,""))</f>
        <v/>
      </c>
      <c r="T1205" s="165" t="str">
        <f t="shared" si="2409"/>
        <v/>
      </c>
      <c r="U1205" s="147" t="str">
        <f t="array" ref="U1205">IF(ISBLANK($R1205), IF($S1205,VLOOKUP($B1205+1,'RFR Data - preExcl'!$BF$2:$BG1679,2,FALSE),IF($T1205,INDEX('RFR Data - preExcl'!$BF$2:$BG1679,MATCH($B1205,'RFR Data - preExcl'!$BF$2:$BF1679,0)+1,2),VLOOKUP($B1205,'RFR Data - preExcl'!$BF$2:$BG1679,2,FALSE))),IFERROR(0/0,""))</f>
        <v/>
      </c>
      <c r="V1205" s="212" t="str">
        <f t="shared" si="5"/>
        <v>RUN-COMB_2022-07-01_RFR-068</v>
      </c>
      <c r="W1205" s="51"/>
      <c r="X1205" s="51"/>
      <c r="Y1205" s="147" t="str">
        <f t="shared" ref="Y1205:Z1205" si="2410">IF(_xlfn.ISFORMULA(S1205),IFERROR(0/0,""),TRUE)</f>
        <v/>
      </c>
      <c r="Z1205" s="147" t="str">
        <f t="shared" si="2410"/>
        <v/>
      </c>
    </row>
    <row r="1206">
      <c r="A1206" s="6" t="str">
        <f>IFERROR(__xludf.DUMMYFUNCTION("""COMPUTED_VALUE"""),"FM2422")</f>
        <v>FM2422</v>
      </c>
      <c r="B1206" s="206">
        <f>IFERROR(__xludf.DUMMYFUNCTION("""COMPUTED_VALUE"""),44743.0)</f>
        <v>44743</v>
      </c>
      <c r="C1206" s="207">
        <f>IFERROR(__xludf.DUMMYFUNCTION("""COMPUTED_VALUE"""),0.370787037037037)</f>
        <v>0.370787037</v>
      </c>
      <c r="D1206" s="50"/>
      <c r="E1206" s="58"/>
      <c r="F1206" s="58"/>
      <c r="G1206" s="58" t="str">
        <f>IFERROR(__xludf.DUMMYFUNCTION("""COMPUTED_VALUE"""),"Null")</f>
        <v>Null</v>
      </c>
      <c r="H1206" s="206" t="str">
        <f>IFERROR(__xludf.DUMMYFUNCTION("""COMPUTED_VALUE"""),"Negative")</f>
        <v>Negative</v>
      </c>
      <c r="I1206" s="207"/>
      <c r="J1206" s="50"/>
      <c r="K1206" s="50">
        <f>IFERROR(__xludf.DUMMYFUNCTION("""COMPUTED_VALUE"""),2.0)</f>
        <v>2</v>
      </c>
      <c r="L1206" s="6"/>
      <c r="M1206" s="55"/>
      <c r="N1206" s="55">
        <f>IFERROR(__xludf.DUMMYFUNCTION("""COMPUTED_VALUE"""),1.0)</f>
        <v>1</v>
      </c>
      <c r="O1206" s="55" t="str">
        <f t="shared" si="3"/>
        <v/>
      </c>
      <c r="P1206" s="209"/>
      <c r="Q1206" s="75" t="b">
        <f>VLOOKUP($B1206,'Run Reconcile'!B$2:P1679,15,FALSE)</f>
        <v>1</v>
      </c>
      <c r="R1206" s="211" t="str">
        <f t="array" ref="R1206">IF($Q1206, INDEX('Run Reconcile'!A$2:A1679,MATCH(B1206,'Run Reconcile'!B$2:B1679,0),1),IFERROR(0/0,""))</f>
        <v>RUN-COMB_2022-07-01_RFR-068</v>
      </c>
      <c r="S1206" s="165" t="str">
        <f t="shared" ref="S1206:T1206" si="2411">IF(COUNTIF(W$2:W1679, $A1206) &gt; 0,TRUE,IFERROR(0/0,""))</f>
        <v/>
      </c>
      <c r="T1206" s="165" t="str">
        <f t="shared" si="2411"/>
        <v/>
      </c>
      <c r="U1206" s="147" t="str">
        <f t="array" ref="U1206">IF(ISBLANK($R1206), IF($S1206,VLOOKUP($B1206+1,'RFR Data - preExcl'!$BF$2:$BG1679,2,FALSE),IF($T1206,INDEX('RFR Data - preExcl'!$BF$2:$BG1679,MATCH($B1206,'RFR Data - preExcl'!$BF$2:$BF1679,0)+1,2),VLOOKUP($B1206,'RFR Data - preExcl'!$BF$2:$BG1679,2,FALSE))),IFERROR(0/0,""))</f>
        <v/>
      </c>
      <c r="V1206" s="212" t="str">
        <f t="shared" si="5"/>
        <v>RUN-COMB_2022-07-01_RFR-068</v>
      </c>
      <c r="W1206" s="51"/>
      <c r="X1206" s="51"/>
      <c r="Y1206" s="147" t="str">
        <f t="shared" ref="Y1206:Z1206" si="2412">IF(_xlfn.ISFORMULA(S1206),IFERROR(0/0,""),TRUE)</f>
        <v/>
      </c>
      <c r="Z1206" s="147" t="str">
        <f t="shared" si="2412"/>
        <v/>
      </c>
    </row>
    <row r="1207">
      <c r="A1207" s="6" t="str">
        <f>IFERROR(__xludf.DUMMYFUNCTION("""COMPUTED_VALUE"""),"FM2469")</f>
        <v>FM2469</v>
      </c>
      <c r="B1207" s="206">
        <f>IFERROR(__xludf.DUMMYFUNCTION("""COMPUTED_VALUE"""),44743.0)</f>
        <v>44743</v>
      </c>
      <c r="C1207" s="207">
        <f>IFERROR(__xludf.DUMMYFUNCTION("""COMPUTED_VALUE"""),0.3721759259259259)</f>
        <v>0.3721759259</v>
      </c>
      <c r="D1207" s="50"/>
      <c r="E1207" s="58"/>
      <c r="F1207" s="58"/>
      <c r="G1207" s="58" t="str">
        <f>IFERROR(__xludf.DUMMYFUNCTION("""COMPUTED_VALUE"""),"Null")</f>
        <v>Null</v>
      </c>
      <c r="H1207" s="206" t="str">
        <f>IFERROR(__xludf.DUMMYFUNCTION("""COMPUTED_VALUE"""),"Negative")</f>
        <v>Negative</v>
      </c>
      <c r="I1207" s="207"/>
      <c r="J1207" s="50"/>
      <c r="K1207" s="50">
        <f>IFERROR(__xludf.DUMMYFUNCTION("""COMPUTED_VALUE"""),2.0)</f>
        <v>2</v>
      </c>
      <c r="L1207" s="6"/>
      <c r="M1207" s="55"/>
      <c r="N1207" s="55">
        <f>IFERROR(__xludf.DUMMYFUNCTION("""COMPUTED_VALUE"""),1.0)</f>
        <v>1</v>
      </c>
      <c r="O1207" s="55" t="str">
        <f t="shared" si="3"/>
        <v/>
      </c>
      <c r="P1207" s="209"/>
      <c r="Q1207" s="75" t="b">
        <f>VLOOKUP($B1207,'Run Reconcile'!B$2:P1679,15,FALSE)</f>
        <v>1</v>
      </c>
      <c r="R1207" s="211" t="str">
        <f t="array" ref="R1207">IF($Q1207, INDEX('Run Reconcile'!A$2:A1679,MATCH(B1207,'Run Reconcile'!B$2:B1679,0),1),IFERROR(0/0,""))</f>
        <v>RUN-COMB_2022-07-01_RFR-068</v>
      </c>
      <c r="S1207" s="165" t="str">
        <f t="shared" ref="S1207:T1207" si="2413">IF(COUNTIF(W$2:W1679, $A1207) &gt; 0,TRUE,IFERROR(0/0,""))</f>
        <v/>
      </c>
      <c r="T1207" s="165" t="str">
        <f t="shared" si="2413"/>
        <v/>
      </c>
      <c r="U1207" s="147" t="str">
        <f t="array" ref="U1207">IF(ISBLANK($R1207), IF($S1207,VLOOKUP($B1207+1,'RFR Data - preExcl'!$BF$2:$BG1679,2,FALSE),IF($T1207,INDEX('RFR Data - preExcl'!$BF$2:$BG1679,MATCH($B1207,'RFR Data - preExcl'!$BF$2:$BF1679,0)+1,2),VLOOKUP($B1207,'RFR Data - preExcl'!$BF$2:$BG1679,2,FALSE))),IFERROR(0/0,""))</f>
        <v/>
      </c>
      <c r="V1207" s="212" t="str">
        <f t="shared" si="5"/>
        <v>RUN-COMB_2022-07-01_RFR-068</v>
      </c>
      <c r="W1207" s="51"/>
      <c r="X1207" s="51"/>
      <c r="Y1207" s="147" t="str">
        <f t="shared" ref="Y1207:Z1207" si="2414">IF(_xlfn.ISFORMULA(S1207),IFERROR(0/0,""),TRUE)</f>
        <v/>
      </c>
      <c r="Z1207" s="147" t="str">
        <f t="shared" si="2414"/>
        <v/>
      </c>
    </row>
    <row r="1208">
      <c r="A1208" s="6" t="str">
        <f>IFERROR(__xludf.DUMMYFUNCTION("""COMPUTED_VALUE"""),"FM2711")</f>
        <v>FM2711</v>
      </c>
      <c r="B1208" s="206">
        <f>IFERROR(__xludf.DUMMYFUNCTION("""COMPUTED_VALUE"""),44746.0)</f>
        <v>44746</v>
      </c>
      <c r="C1208" s="207">
        <f>IFERROR(__xludf.DUMMYFUNCTION("""COMPUTED_VALUE"""),0.7804513888888889)</f>
        <v>0.7804513889</v>
      </c>
      <c r="D1208" s="50"/>
      <c r="E1208" s="58"/>
      <c r="F1208" s="58"/>
      <c r="G1208" s="58" t="str">
        <f>IFERROR(__xludf.DUMMYFUNCTION("""COMPUTED_VALUE"""),"Null")</f>
        <v>Null</v>
      </c>
      <c r="H1208" s="206" t="str">
        <f>IFERROR(__xludf.DUMMYFUNCTION("""COMPUTED_VALUE"""),"Negative")</f>
        <v>Negative</v>
      </c>
      <c r="I1208" s="207"/>
      <c r="J1208" s="50"/>
      <c r="K1208" s="50">
        <f>IFERROR(__xludf.DUMMYFUNCTION("""COMPUTED_VALUE"""),2.0)</f>
        <v>2</v>
      </c>
      <c r="L1208" s="6"/>
      <c r="M1208" s="55"/>
      <c r="N1208" s="55">
        <f>IFERROR(__xludf.DUMMYFUNCTION("""COMPUTED_VALUE"""),1.0)</f>
        <v>1</v>
      </c>
      <c r="O1208" s="55" t="b">
        <f t="shared" si="3"/>
        <v>1</v>
      </c>
      <c r="P1208" s="209"/>
      <c r="Q1208" s="75" t="b">
        <f>VLOOKUP($B1208,'Run Reconcile'!B$2:P1679,15,FALSE)</f>
        <v>1</v>
      </c>
      <c r="R1208" s="211" t="str">
        <f t="array" ref="R1208">IF($Q1208, INDEX('Run Reconcile'!A$2:A1679,MATCH(B1208,'Run Reconcile'!B$2:B1679,0),1),IFERROR(0/0,""))</f>
        <v>RUN-COMB_2022-07-04_RFR-070</v>
      </c>
      <c r="S1208" s="165" t="str">
        <f t="shared" ref="S1208:T1208" si="2415">IF(COUNTIF(W$2:W1679, $A1208) &gt; 0,TRUE,IFERROR(0/0,""))</f>
        <v/>
      </c>
      <c r="T1208" s="165" t="str">
        <f t="shared" si="2415"/>
        <v/>
      </c>
      <c r="U1208" s="147" t="str">
        <f t="array" ref="U1208">IF(ISBLANK($R1208), IF($S1208,VLOOKUP($B1208+1,'RFR Data - preExcl'!$BF$2:$BG1679,2,FALSE),IF($T1208,INDEX('RFR Data - preExcl'!$BF$2:$BG1679,MATCH($B1208,'RFR Data - preExcl'!$BF$2:$BF1679,0)+1,2),VLOOKUP($B1208,'RFR Data - preExcl'!$BF$2:$BG1679,2,FALSE))),IFERROR(0/0,""))</f>
        <v/>
      </c>
      <c r="V1208" s="212" t="str">
        <f t="shared" si="5"/>
        <v>RUN-COMB_2022-07-04_RFR-070</v>
      </c>
      <c r="W1208" s="51"/>
      <c r="X1208" s="51"/>
      <c r="Y1208" s="147" t="str">
        <f t="shared" ref="Y1208:Z1208" si="2416">IF(_xlfn.ISFORMULA(S1208),IFERROR(0/0,""),TRUE)</f>
        <v/>
      </c>
      <c r="Z1208" s="147" t="str">
        <f t="shared" si="2416"/>
        <v/>
      </c>
    </row>
    <row r="1209">
      <c r="A1209" s="6" t="str">
        <f>IFERROR(__xludf.DUMMYFUNCTION("""COMPUTED_VALUE"""),"FM2727")</f>
        <v>FM2727</v>
      </c>
      <c r="B1209" s="206">
        <f>IFERROR(__xludf.DUMMYFUNCTION("""COMPUTED_VALUE"""),44746.0)</f>
        <v>44746</v>
      </c>
      <c r="C1209" s="207">
        <f>IFERROR(__xludf.DUMMYFUNCTION("""COMPUTED_VALUE"""),0.7807986111111112)</f>
        <v>0.7807986111</v>
      </c>
      <c r="D1209" s="50"/>
      <c r="E1209" s="58"/>
      <c r="F1209" s="58"/>
      <c r="G1209" s="58" t="str">
        <f>IFERROR(__xludf.DUMMYFUNCTION("""COMPUTED_VALUE"""),"Null")</f>
        <v>Null</v>
      </c>
      <c r="H1209" s="206" t="str">
        <f>IFERROR(__xludf.DUMMYFUNCTION("""COMPUTED_VALUE"""),"Negative")</f>
        <v>Negative</v>
      </c>
      <c r="I1209" s="207"/>
      <c r="J1209" s="50"/>
      <c r="K1209" s="50">
        <f>IFERROR(__xludf.DUMMYFUNCTION("""COMPUTED_VALUE"""),2.0)</f>
        <v>2</v>
      </c>
      <c r="L1209" s="6"/>
      <c r="M1209" s="55"/>
      <c r="N1209" s="55">
        <f>IFERROR(__xludf.DUMMYFUNCTION("""COMPUTED_VALUE"""),1.0)</f>
        <v>1</v>
      </c>
      <c r="O1209" s="55" t="str">
        <f t="shared" si="3"/>
        <v/>
      </c>
      <c r="P1209" s="209"/>
      <c r="Q1209" s="75" t="b">
        <f>VLOOKUP($B1209,'Run Reconcile'!B$2:P1679,15,FALSE)</f>
        <v>1</v>
      </c>
      <c r="R1209" s="211" t="str">
        <f t="array" ref="R1209">IF($Q1209, INDEX('Run Reconcile'!A$2:A1679,MATCH(B1209,'Run Reconcile'!B$2:B1679,0),1),IFERROR(0/0,""))</f>
        <v>RUN-COMB_2022-07-04_RFR-070</v>
      </c>
      <c r="S1209" s="165" t="str">
        <f t="shared" ref="S1209:T1209" si="2417">IF(COUNTIF(W$2:W1679, $A1209) &gt; 0,TRUE,IFERROR(0/0,""))</f>
        <v/>
      </c>
      <c r="T1209" s="165" t="str">
        <f t="shared" si="2417"/>
        <v/>
      </c>
      <c r="U1209" s="147" t="str">
        <f t="array" ref="U1209">IF(ISBLANK($R1209), IF($S1209,VLOOKUP($B1209+1,'RFR Data - preExcl'!$BF$2:$BG1679,2,FALSE),IF($T1209,INDEX('RFR Data - preExcl'!$BF$2:$BG1679,MATCH($B1209,'RFR Data - preExcl'!$BF$2:$BF1679,0)+1,2),VLOOKUP($B1209,'RFR Data - preExcl'!$BF$2:$BG1679,2,FALSE))),IFERROR(0/0,""))</f>
        <v/>
      </c>
      <c r="V1209" s="212" t="str">
        <f t="shared" si="5"/>
        <v>RUN-COMB_2022-07-04_RFR-070</v>
      </c>
      <c r="W1209" s="51"/>
      <c r="X1209" s="51"/>
      <c r="Y1209" s="147" t="str">
        <f t="shared" ref="Y1209:Z1209" si="2418">IF(_xlfn.ISFORMULA(S1209),IFERROR(0/0,""),TRUE)</f>
        <v/>
      </c>
      <c r="Z1209" s="147" t="str">
        <f t="shared" si="2418"/>
        <v/>
      </c>
    </row>
    <row r="1210">
      <c r="A1210" s="6" t="str">
        <f>IFERROR(__xludf.DUMMYFUNCTION("""COMPUTED_VALUE"""),"FM2769")</f>
        <v>FM2769</v>
      </c>
      <c r="B1210" s="206">
        <f>IFERROR(__xludf.DUMMYFUNCTION("""COMPUTED_VALUE"""),44746.0)</f>
        <v>44746</v>
      </c>
      <c r="C1210" s="207">
        <f>IFERROR(__xludf.DUMMYFUNCTION("""COMPUTED_VALUE"""),0.7811342592592593)</f>
        <v>0.7811342593</v>
      </c>
      <c r="D1210" s="50"/>
      <c r="E1210" s="58"/>
      <c r="F1210" s="58"/>
      <c r="G1210" s="58" t="str">
        <f>IFERROR(__xludf.DUMMYFUNCTION("""COMPUTED_VALUE"""),"Null")</f>
        <v>Null</v>
      </c>
      <c r="H1210" s="206" t="str">
        <f>IFERROR(__xludf.DUMMYFUNCTION("""COMPUTED_VALUE"""),"Negative")</f>
        <v>Negative</v>
      </c>
      <c r="I1210" s="207"/>
      <c r="J1210" s="50"/>
      <c r="K1210" s="50">
        <f>IFERROR(__xludf.DUMMYFUNCTION("""COMPUTED_VALUE"""),2.0)</f>
        <v>2</v>
      </c>
      <c r="L1210" s="6"/>
      <c r="M1210" s="55"/>
      <c r="N1210" s="55">
        <f>IFERROR(__xludf.DUMMYFUNCTION("""COMPUTED_VALUE"""),1.0)</f>
        <v>1</v>
      </c>
      <c r="O1210" s="55" t="str">
        <f t="shared" si="3"/>
        <v/>
      </c>
      <c r="P1210" s="209"/>
      <c r="Q1210" s="75" t="b">
        <f>VLOOKUP($B1210,'Run Reconcile'!B$2:P1679,15,FALSE)</f>
        <v>1</v>
      </c>
      <c r="R1210" s="211" t="str">
        <f t="array" ref="R1210">IF($Q1210, INDEX('Run Reconcile'!A$2:A1679,MATCH(B1210,'Run Reconcile'!B$2:B1679,0),1),IFERROR(0/0,""))</f>
        <v>RUN-COMB_2022-07-04_RFR-070</v>
      </c>
      <c r="S1210" s="165" t="str">
        <f t="shared" ref="S1210:T1210" si="2419">IF(COUNTIF(W$2:W1679, $A1210) &gt; 0,TRUE,IFERROR(0/0,""))</f>
        <v/>
      </c>
      <c r="T1210" s="165" t="str">
        <f t="shared" si="2419"/>
        <v/>
      </c>
      <c r="U1210" s="147" t="str">
        <f t="array" ref="U1210">IF(ISBLANK($R1210), IF($S1210,VLOOKUP($B1210+1,'RFR Data - preExcl'!$BF$2:$BG1679,2,FALSE),IF($T1210,INDEX('RFR Data - preExcl'!$BF$2:$BG1679,MATCH($B1210,'RFR Data - preExcl'!$BF$2:$BF1679,0)+1,2),VLOOKUP($B1210,'RFR Data - preExcl'!$BF$2:$BG1679,2,FALSE))),IFERROR(0/0,""))</f>
        <v/>
      </c>
      <c r="V1210" s="212" t="str">
        <f t="shared" si="5"/>
        <v>RUN-COMB_2022-07-04_RFR-070</v>
      </c>
      <c r="W1210" s="51"/>
      <c r="X1210" s="51"/>
      <c r="Y1210" s="147" t="str">
        <f t="shared" ref="Y1210:Z1210" si="2420">IF(_xlfn.ISFORMULA(S1210),IFERROR(0/0,""),TRUE)</f>
        <v/>
      </c>
      <c r="Z1210" s="147" t="str">
        <f t="shared" si="2420"/>
        <v/>
      </c>
    </row>
    <row r="1211">
      <c r="A1211" s="6" t="str">
        <f>IFERROR(__xludf.DUMMYFUNCTION("""COMPUTED_VALUE"""),"FM2740")</f>
        <v>FM2740</v>
      </c>
      <c r="B1211" s="206">
        <f>IFERROR(__xludf.DUMMYFUNCTION("""COMPUTED_VALUE"""),44746.0)</f>
        <v>44746</v>
      </c>
      <c r="C1211" s="207">
        <f>IFERROR(__xludf.DUMMYFUNCTION("""COMPUTED_VALUE"""),0.781712962962963)</f>
        <v>0.781712963</v>
      </c>
      <c r="D1211" s="50"/>
      <c r="E1211" s="58"/>
      <c r="F1211" s="58"/>
      <c r="G1211" s="58" t="str">
        <f>IFERROR(__xludf.DUMMYFUNCTION("""COMPUTED_VALUE"""),"Null")</f>
        <v>Null</v>
      </c>
      <c r="H1211" s="206" t="str">
        <f>IFERROR(__xludf.DUMMYFUNCTION("""COMPUTED_VALUE"""),"Negative")</f>
        <v>Negative</v>
      </c>
      <c r="I1211" s="207"/>
      <c r="J1211" s="50"/>
      <c r="K1211" s="50">
        <f>IFERROR(__xludf.DUMMYFUNCTION("""COMPUTED_VALUE"""),2.0)</f>
        <v>2</v>
      </c>
      <c r="L1211" s="6"/>
      <c r="M1211" s="55"/>
      <c r="N1211" s="55">
        <f>IFERROR(__xludf.DUMMYFUNCTION("""COMPUTED_VALUE"""),1.0)</f>
        <v>1</v>
      </c>
      <c r="O1211" s="55" t="str">
        <f t="shared" si="3"/>
        <v/>
      </c>
      <c r="P1211" s="209"/>
      <c r="Q1211" s="75" t="b">
        <f>VLOOKUP($B1211,'Run Reconcile'!B$2:P1679,15,FALSE)</f>
        <v>1</v>
      </c>
      <c r="R1211" s="211" t="str">
        <f t="array" ref="R1211">IF($Q1211, INDEX('Run Reconcile'!A$2:A1679,MATCH(B1211,'Run Reconcile'!B$2:B1679,0),1),IFERROR(0/0,""))</f>
        <v>RUN-COMB_2022-07-04_RFR-070</v>
      </c>
      <c r="S1211" s="165" t="str">
        <f t="shared" ref="S1211:T1211" si="2421">IF(COUNTIF(W$2:W1679, $A1211) &gt; 0,TRUE,IFERROR(0/0,""))</f>
        <v/>
      </c>
      <c r="T1211" s="165" t="str">
        <f t="shared" si="2421"/>
        <v/>
      </c>
      <c r="U1211" s="147" t="str">
        <f t="array" ref="U1211">IF(ISBLANK($R1211), IF($S1211,VLOOKUP($B1211+1,'RFR Data - preExcl'!$BF$2:$BG1679,2,FALSE),IF($T1211,INDEX('RFR Data - preExcl'!$BF$2:$BG1679,MATCH($B1211,'RFR Data - preExcl'!$BF$2:$BF1679,0)+1,2),VLOOKUP($B1211,'RFR Data - preExcl'!$BF$2:$BG1679,2,FALSE))),IFERROR(0/0,""))</f>
        <v/>
      </c>
      <c r="V1211" s="212" t="str">
        <f t="shared" si="5"/>
        <v>RUN-COMB_2022-07-04_RFR-070</v>
      </c>
      <c r="W1211" s="51"/>
      <c r="X1211" s="51"/>
      <c r="Y1211" s="147" t="str">
        <f t="shared" ref="Y1211:Z1211" si="2422">IF(_xlfn.ISFORMULA(S1211),IFERROR(0/0,""),TRUE)</f>
        <v/>
      </c>
      <c r="Z1211" s="147" t="str">
        <f t="shared" si="2422"/>
        <v/>
      </c>
    </row>
    <row r="1212">
      <c r="A1212" s="6" t="str">
        <f>IFERROR(__xludf.DUMMYFUNCTION("""COMPUTED_VALUE"""),"FM2702")</f>
        <v>FM2702</v>
      </c>
      <c r="B1212" s="206">
        <f>IFERROR(__xludf.DUMMYFUNCTION("""COMPUTED_VALUE"""),44746.0)</f>
        <v>44746</v>
      </c>
      <c r="C1212" s="207">
        <f>IFERROR(__xludf.DUMMYFUNCTION("""COMPUTED_VALUE"""),0.7830902777777777)</f>
        <v>0.7830902778</v>
      </c>
      <c r="D1212" s="50"/>
      <c r="E1212" s="58"/>
      <c r="F1212" s="58"/>
      <c r="G1212" s="58" t="str">
        <f>IFERROR(__xludf.DUMMYFUNCTION("""COMPUTED_VALUE"""),"Null")</f>
        <v>Null</v>
      </c>
      <c r="H1212" s="206" t="str">
        <f>IFERROR(__xludf.DUMMYFUNCTION("""COMPUTED_VALUE"""),"Negative")</f>
        <v>Negative</v>
      </c>
      <c r="I1212" s="207"/>
      <c r="J1212" s="50"/>
      <c r="K1212" s="50">
        <f>IFERROR(__xludf.DUMMYFUNCTION("""COMPUTED_VALUE"""),2.0)</f>
        <v>2</v>
      </c>
      <c r="L1212" s="6"/>
      <c r="M1212" s="55"/>
      <c r="N1212" s="55">
        <f>IFERROR(__xludf.DUMMYFUNCTION("""COMPUTED_VALUE"""),1.0)</f>
        <v>1</v>
      </c>
      <c r="O1212" s="55" t="str">
        <f t="shared" si="3"/>
        <v/>
      </c>
      <c r="P1212" s="209"/>
      <c r="Q1212" s="75" t="b">
        <f>VLOOKUP($B1212,'Run Reconcile'!B$2:P1679,15,FALSE)</f>
        <v>1</v>
      </c>
      <c r="R1212" s="211" t="str">
        <f t="array" ref="R1212">IF($Q1212, INDEX('Run Reconcile'!A$2:A1679,MATCH(B1212,'Run Reconcile'!B$2:B1679,0),1),IFERROR(0/0,""))</f>
        <v>RUN-COMB_2022-07-04_RFR-070</v>
      </c>
      <c r="S1212" s="165" t="str">
        <f t="shared" ref="S1212:T1212" si="2423">IF(COUNTIF(W$2:W1679, $A1212) &gt; 0,TRUE,IFERROR(0/0,""))</f>
        <v/>
      </c>
      <c r="T1212" s="165" t="str">
        <f t="shared" si="2423"/>
        <v/>
      </c>
      <c r="U1212" s="147" t="str">
        <f t="array" ref="U1212">IF(ISBLANK($R1212), IF($S1212,VLOOKUP($B1212+1,'RFR Data - preExcl'!$BF$2:$BG1679,2,FALSE),IF($T1212,INDEX('RFR Data - preExcl'!$BF$2:$BG1679,MATCH($B1212,'RFR Data - preExcl'!$BF$2:$BF1679,0)+1,2),VLOOKUP($B1212,'RFR Data - preExcl'!$BF$2:$BG1679,2,FALSE))),IFERROR(0/0,""))</f>
        <v/>
      </c>
      <c r="V1212" s="212" t="str">
        <f t="shared" si="5"/>
        <v>RUN-COMB_2022-07-04_RFR-070</v>
      </c>
      <c r="W1212" s="51"/>
      <c r="X1212" s="51"/>
      <c r="Y1212" s="147" t="str">
        <f t="shared" ref="Y1212:Z1212" si="2424">IF(_xlfn.ISFORMULA(S1212),IFERROR(0/0,""),TRUE)</f>
        <v/>
      </c>
      <c r="Z1212" s="147" t="str">
        <f t="shared" si="2424"/>
        <v/>
      </c>
    </row>
    <row r="1213">
      <c r="A1213" s="6" t="str">
        <f>IFERROR(__xludf.DUMMYFUNCTION("""COMPUTED_VALUE"""),"FM2732")</f>
        <v>FM2732</v>
      </c>
      <c r="B1213" s="206">
        <f>IFERROR(__xludf.DUMMYFUNCTION("""COMPUTED_VALUE"""),44746.0)</f>
        <v>44746</v>
      </c>
      <c r="C1213" s="207">
        <f>IFERROR(__xludf.DUMMYFUNCTION("""COMPUTED_VALUE"""),0.7834606481481482)</f>
        <v>0.7834606481</v>
      </c>
      <c r="D1213" s="50"/>
      <c r="E1213" s="58"/>
      <c r="F1213" s="58"/>
      <c r="G1213" s="58" t="str">
        <f>IFERROR(__xludf.DUMMYFUNCTION("""COMPUTED_VALUE"""),"Null")</f>
        <v>Null</v>
      </c>
      <c r="H1213" s="206" t="str">
        <f>IFERROR(__xludf.DUMMYFUNCTION("""COMPUTED_VALUE"""),"Negative")</f>
        <v>Negative</v>
      </c>
      <c r="I1213" s="207"/>
      <c r="J1213" s="50"/>
      <c r="K1213" s="50">
        <f>IFERROR(__xludf.DUMMYFUNCTION("""COMPUTED_VALUE"""),2.0)</f>
        <v>2</v>
      </c>
      <c r="L1213" s="6"/>
      <c r="M1213" s="55"/>
      <c r="N1213" s="55">
        <f>IFERROR(__xludf.DUMMYFUNCTION("""COMPUTED_VALUE"""),1.0)</f>
        <v>1</v>
      </c>
      <c r="O1213" s="55" t="str">
        <f t="shared" si="3"/>
        <v/>
      </c>
      <c r="P1213" s="209"/>
      <c r="Q1213" s="75" t="b">
        <f>VLOOKUP($B1213,'Run Reconcile'!B$2:P1679,15,FALSE)</f>
        <v>1</v>
      </c>
      <c r="R1213" s="211" t="str">
        <f t="array" ref="R1213">IF($Q1213, INDEX('Run Reconcile'!A$2:A1679,MATCH(B1213,'Run Reconcile'!B$2:B1679,0),1),IFERROR(0/0,""))</f>
        <v>RUN-COMB_2022-07-04_RFR-070</v>
      </c>
      <c r="S1213" s="165" t="str">
        <f t="shared" ref="S1213:T1213" si="2425">IF(COUNTIF(W$2:W1679, $A1213) &gt; 0,TRUE,IFERROR(0/0,""))</f>
        <v/>
      </c>
      <c r="T1213" s="165" t="str">
        <f t="shared" si="2425"/>
        <v/>
      </c>
      <c r="U1213" s="147" t="str">
        <f t="array" ref="U1213">IF(ISBLANK($R1213), IF($S1213,VLOOKUP($B1213+1,'RFR Data - preExcl'!$BF$2:$BG1679,2,FALSE),IF($T1213,INDEX('RFR Data - preExcl'!$BF$2:$BG1679,MATCH($B1213,'RFR Data - preExcl'!$BF$2:$BF1679,0)+1,2),VLOOKUP($B1213,'RFR Data - preExcl'!$BF$2:$BG1679,2,FALSE))),IFERROR(0/0,""))</f>
        <v/>
      </c>
      <c r="V1213" s="212" t="str">
        <f t="shared" si="5"/>
        <v>RUN-COMB_2022-07-04_RFR-070</v>
      </c>
      <c r="W1213" s="51"/>
      <c r="X1213" s="51"/>
      <c r="Y1213" s="147" t="str">
        <f t="shared" ref="Y1213:Z1213" si="2426">IF(_xlfn.ISFORMULA(S1213),IFERROR(0/0,""),TRUE)</f>
        <v/>
      </c>
      <c r="Z1213" s="147" t="str">
        <f t="shared" si="2426"/>
        <v/>
      </c>
    </row>
    <row r="1214">
      <c r="A1214" s="6" t="str">
        <f>IFERROR(__xludf.DUMMYFUNCTION("""COMPUTED_VALUE"""),"FM2728")</f>
        <v>FM2728</v>
      </c>
      <c r="B1214" s="206">
        <f>IFERROR(__xludf.DUMMYFUNCTION("""COMPUTED_VALUE"""),44746.0)</f>
        <v>44746</v>
      </c>
      <c r="C1214" s="207">
        <f>IFERROR(__xludf.DUMMYFUNCTION("""COMPUTED_VALUE"""),0.7838425925925926)</f>
        <v>0.7838425926</v>
      </c>
      <c r="D1214" s="50"/>
      <c r="E1214" s="58"/>
      <c r="F1214" s="58"/>
      <c r="G1214" s="58" t="str">
        <f>IFERROR(__xludf.DUMMYFUNCTION("""COMPUTED_VALUE"""),"Null")</f>
        <v>Null</v>
      </c>
      <c r="H1214" s="206" t="str">
        <f>IFERROR(__xludf.DUMMYFUNCTION("""COMPUTED_VALUE"""),"Negative")</f>
        <v>Negative</v>
      </c>
      <c r="I1214" s="207"/>
      <c r="J1214" s="50"/>
      <c r="K1214" s="50">
        <f>IFERROR(__xludf.DUMMYFUNCTION("""COMPUTED_VALUE"""),2.0)</f>
        <v>2</v>
      </c>
      <c r="L1214" s="6"/>
      <c r="M1214" s="55"/>
      <c r="N1214" s="55">
        <f>IFERROR(__xludf.DUMMYFUNCTION("""COMPUTED_VALUE"""),1.0)</f>
        <v>1</v>
      </c>
      <c r="O1214" s="55" t="str">
        <f t="shared" si="3"/>
        <v/>
      </c>
      <c r="P1214" s="209"/>
      <c r="Q1214" s="75" t="b">
        <f>VLOOKUP($B1214,'Run Reconcile'!B$2:P1679,15,FALSE)</f>
        <v>1</v>
      </c>
      <c r="R1214" s="211" t="str">
        <f t="array" ref="R1214">IF($Q1214, INDEX('Run Reconcile'!A$2:A1679,MATCH(B1214,'Run Reconcile'!B$2:B1679,0),1),IFERROR(0/0,""))</f>
        <v>RUN-COMB_2022-07-04_RFR-070</v>
      </c>
      <c r="S1214" s="165" t="str">
        <f t="shared" ref="S1214:T1214" si="2427">IF(COUNTIF(W$2:W1679, $A1214) &gt; 0,TRUE,IFERROR(0/0,""))</f>
        <v/>
      </c>
      <c r="T1214" s="165" t="str">
        <f t="shared" si="2427"/>
        <v/>
      </c>
      <c r="U1214" s="147" t="str">
        <f t="array" ref="U1214">IF(ISBLANK($R1214), IF($S1214,VLOOKUP($B1214+1,'RFR Data - preExcl'!$BF$2:$BG1679,2,FALSE),IF($T1214,INDEX('RFR Data - preExcl'!$BF$2:$BG1679,MATCH($B1214,'RFR Data - preExcl'!$BF$2:$BF1679,0)+1,2),VLOOKUP($B1214,'RFR Data - preExcl'!$BF$2:$BG1679,2,FALSE))),IFERROR(0/0,""))</f>
        <v/>
      </c>
      <c r="V1214" s="212" t="str">
        <f t="shared" si="5"/>
        <v>RUN-COMB_2022-07-04_RFR-070</v>
      </c>
      <c r="W1214" s="51"/>
      <c r="X1214" s="51"/>
      <c r="Y1214" s="147" t="str">
        <f t="shared" ref="Y1214:Z1214" si="2428">IF(_xlfn.ISFORMULA(S1214),IFERROR(0/0,""),TRUE)</f>
        <v/>
      </c>
      <c r="Z1214" s="147" t="str">
        <f t="shared" si="2428"/>
        <v/>
      </c>
    </row>
    <row r="1215">
      <c r="A1215" s="6" t="str">
        <f>IFERROR(__xludf.DUMMYFUNCTION("""COMPUTED_VALUE"""),"FM2739")</f>
        <v>FM2739</v>
      </c>
      <c r="B1215" s="206">
        <f>IFERROR(__xludf.DUMMYFUNCTION("""COMPUTED_VALUE"""),44746.0)</f>
        <v>44746</v>
      </c>
      <c r="C1215" s="207">
        <f>IFERROR(__xludf.DUMMYFUNCTION("""COMPUTED_VALUE"""),0.784537037037037)</f>
        <v>0.784537037</v>
      </c>
      <c r="D1215" s="50"/>
      <c r="E1215" s="58"/>
      <c r="F1215" s="58"/>
      <c r="G1215" s="58" t="str">
        <f>IFERROR(__xludf.DUMMYFUNCTION("""COMPUTED_VALUE"""),"Null")</f>
        <v>Null</v>
      </c>
      <c r="H1215" s="206" t="str">
        <f>IFERROR(__xludf.DUMMYFUNCTION("""COMPUTED_VALUE"""),"Negative")</f>
        <v>Negative</v>
      </c>
      <c r="I1215" s="207"/>
      <c r="J1215" s="50"/>
      <c r="K1215" s="50">
        <f>IFERROR(__xludf.DUMMYFUNCTION("""COMPUTED_VALUE"""),2.0)</f>
        <v>2</v>
      </c>
      <c r="L1215" s="6"/>
      <c r="M1215" s="55"/>
      <c r="N1215" s="55">
        <f>IFERROR(__xludf.DUMMYFUNCTION("""COMPUTED_VALUE"""),1.0)</f>
        <v>1</v>
      </c>
      <c r="O1215" s="55" t="str">
        <f t="shared" si="3"/>
        <v/>
      </c>
      <c r="P1215" s="209"/>
      <c r="Q1215" s="75" t="b">
        <f>VLOOKUP($B1215,'Run Reconcile'!B$2:P1679,15,FALSE)</f>
        <v>1</v>
      </c>
      <c r="R1215" s="211" t="str">
        <f t="array" ref="R1215">IF($Q1215, INDEX('Run Reconcile'!A$2:A1679,MATCH(B1215,'Run Reconcile'!B$2:B1679,0),1),IFERROR(0/0,""))</f>
        <v>RUN-COMB_2022-07-04_RFR-070</v>
      </c>
      <c r="S1215" s="165" t="str">
        <f t="shared" ref="S1215:T1215" si="2429">IF(COUNTIF(W$2:W1679, $A1215) &gt; 0,TRUE,IFERROR(0/0,""))</f>
        <v/>
      </c>
      <c r="T1215" s="165" t="str">
        <f t="shared" si="2429"/>
        <v/>
      </c>
      <c r="U1215" s="147" t="str">
        <f t="array" ref="U1215">IF(ISBLANK($R1215), IF($S1215,VLOOKUP($B1215+1,'RFR Data - preExcl'!$BF$2:$BG1679,2,FALSE),IF($T1215,INDEX('RFR Data - preExcl'!$BF$2:$BG1679,MATCH($B1215,'RFR Data - preExcl'!$BF$2:$BF1679,0)+1,2),VLOOKUP($B1215,'RFR Data - preExcl'!$BF$2:$BG1679,2,FALSE))),IFERROR(0/0,""))</f>
        <v/>
      </c>
      <c r="V1215" s="212" t="str">
        <f t="shared" si="5"/>
        <v>RUN-COMB_2022-07-04_RFR-070</v>
      </c>
      <c r="W1215" s="51"/>
      <c r="X1215" s="51"/>
      <c r="Y1215" s="147" t="str">
        <f t="shared" ref="Y1215:Z1215" si="2430">IF(_xlfn.ISFORMULA(S1215),IFERROR(0/0,""),TRUE)</f>
        <v/>
      </c>
      <c r="Z1215" s="147" t="str">
        <f t="shared" si="2430"/>
        <v/>
      </c>
    </row>
    <row r="1216">
      <c r="A1216" s="6" t="str">
        <f>IFERROR(__xludf.DUMMYFUNCTION("""COMPUTED_VALUE"""),"FM2750")</f>
        <v>FM2750</v>
      </c>
      <c r="B1216" s="206">
        <f>IFERROR(__xludf.DUMMYFUNCTION("""COMPUTED_VALUE"""),44746.0)</f>
        <v>44746</v>
      </c>
      <c r="C1216" s="207">
        <f>IFERROR(__xludf.DUMMYFUNCTION("""COMPUTED_VALUE"""),0.7848726851851852)</f>
        <v>0.7848726852</v>
      </c>
      <c r="D1216" s="50"/>
      <c r="E1216" s="58"/>
      <c r="F1216" s="58"/>
      <c r="G1216" s="58" t="str">
        <f>IFERROR(__xludf.DUMMYFUNCTION("""COMPUTED_VALUE"""),"Null")</f>
        <v>Null</v>
      </c>
      <c r="H1216" s="206" t="str">
        <f>IFERROR(__xludf.DUMMYFUNCTION("""COMPUTED_VALUE"""),"Negative")</f>
        <v>Negative</v>
      </c>
      <c r="I1216" s="207"/>
      <c r="J1216" s="50"/>
      <c r="K1216" s="50">
        <f>IFERROR(__xludf.DUMMYFUNCTION("""COMPUTED_VALUE"""),2.0)</f>
        <v>2</v>
      </c>
      <c r="L1216" s="6"/>
      <c r="M1216" s="55"/>
      <c r="N1216" s="55">
        <f>IFERROR(__xludf.DUMMYFUNCTION("""COMPUTED_VALUE"""),1.0)</f>
        <v>1</v>
      </c>
      <c r="O1216" s="55" t="str">
        <f t="shared" si="3"/>
        <v/>
      </c>
      <c r="P1216" s="209"/>
      <c r="Q1216" s="75" t="b">
        <f>VLOOKUP($B1216,'Run Reconcile'!B$2:P1679,15,FALSE)</f>
        <v>1</v>
      </c>
      <c r="R1216" s="211" t="str">
        <f t="array" ref="R1216">IF($Q1216, INDEX('Run Reconcile'!A$2:A1679,MATCH(B1216,'Run Reconcile'!B$2:B1679,0),1),IFERROR(0/0,""))</f>
        <v>RUN-COMB_2022-07-04_RFR-070</v>
      </c>
      <c r="S1216" s="165" t="str">
        <f t="shared" ref="S1216:T1216" si="2431">IF(COUNTIF(W$2:W1679, $A1216) &gt; 0,TRUE,IFERROR(0/0,""))</f>
        <v/>
      </c>
      <c r="T1216" s="165" t="str">
        <f t="shared" si="2431"/>
        <v/>
      </c>
      <c r="U1216" s="147" t="str">
        <f t="array" ref="U1216">IF(ISBLANK($R1216), IF($S1216,VLOOKUP($B1216+1,'RFR Data - preExcl'!$BF$2:$BG1679,2,FALSE),IF($T1216,INDEX('RFR Data - preExcl'!$BF$2:$BG1679,MATCH($B1216,'RFR Data - preExcl'!$BF$2:$BF1679,0)+1,2),VLOOKUP($B1216,'RFR Data - preExcl'!$BF$2:$BG1679,2,FALSE))),IFERROR(0/0,""))</f>
        <v/>
      </c>
      <c r="V1216" s="212" t="str">
        <f t="shared" si="5"/>
        <v>RUN-COMB_2022-07-04_RFR-070</v>
      </c>
      <c r="W1216" s="51"/>
      <c r="X1216" s="51"/>
      <c r="Y1216" s="147" t="str">
        <f t="shared" ref="Y1216:Z1216" si="2432">IF(_xlfn.ISFORMULA(S1216),IFERROR(0/0,""),TRUE)</f>
        <v/>
      </c>
      <c r="Z1216" s="147" t="str">
        <f t="shared" si="2432"/>
        <v/>
      </c>
    </row>
    <row r="1217">
      <c r="A1217" s="6" t="str">
        <f>IFERROR(__xludf.DUMMYFUNCTION("""COMPUTED_VALUE"""),"FM2749")</f>
        <v>FM2749</v>
      </c>
      <c r="B1217" s="206">
        <f>IFERROR(__xludf.DUMMYFUNCTION("""COMPUTED_VALUE"""),44746.0)</f>
        <v>44746</v>
      </c>
      <c r="C1217" s="207">
        <f>IFERROR(__xludf.DUMMYFUNCTION("""COMPUTED_VALUE"""),0.7853240740740741)</f>
        <v>0.7853240741</v>
      </c>
      <c r="D1217" s="50"/>
      <c r="E1217" s="58"/>
      <c r="F1217" s="58"/>
      <c r="G1217" s="58" t="str">
        <f>IFERROR(__xludf.DUMMYFUNCTION("""COMPUTED_VALUE"""),"Null")</f>
        <v>Null</v>
      </c>
      <c r="H1217" s="206" t="str">
        <f>IFERROR(__xludf.DUMMYFUNCTION("""COMPUTED_VALUE"""),"Negative")</f>
        <v>Negative</v>
      </c>
      <c r="I1217" s="207"/>
      <c r="J1217" s="50"/>
      <c r="K1217" s="50">
        <f>IFERROR(__xludf.DUMMYFUNCTION("""COMPUTED_VALUE"""),2.0)</f>
        <v>2</v>
      </c>
      <c r="L1217" s="6"/>
      <c r="M1217" s="55"/>
      <c r="N1217" s="55">
        <f>IFERROR(__xludf.DUMMYFUNCTION("""COMPUTED_VALUE"""),1.0)</f>
        <v>1</v>
      </c>
      <c r="O1217" s="55" t="str">
        <f t="shared" si="3"/>
        <v/>
      </c>
      <c r="P1217" s="209"/>
      <c r="Q1217" s="75" t="b">
        <f>VLOOKUP($B1217,'Run Reconcile'!B$2:P1679,15,FALSE)</f>
        <v>1</v>
      </c>
      <c r="R1217" s="211" t="str">
        <f t="array" ref="R1217">IF($Q1217, INDEX('Run Reconcile'!A$2:A1679,MATCH(B1217,'Run Reconcile'!B$2:B1679,0),1),IFERROR(0/0,""))</f>
        <v>RUN-COMB_2022-07-04_RFR-070</v>
      </c>
      <c r="S1217" s="165" t="str">
        <f t="shared" ref="S1217:T1217" si="2433">IF(COUNTIF(W$2:W1679, $A1217) &gt; 0,TRUE,IFERROR(0/0,""))</f>
        <v/>
      </c>
      <c r="T1217" s="165" t="str">
        <f t="shared" si="2433"/>
        <v/>
      </c>
      <c r="U1217" s="147" t="str">
        <f t="array" ref="U1217">IF(ISBLANK($R1217), IF($S1217,VLOOKUP($B1217+1,'RFR Data - preExcl'!$BF$2:$BG1679,2,FALSE),IF($T1217,INDEX('RFR Data - preExcl'!$BF$2:$BG1679,MATCH($B1217,'RFR Data - preExcl'!$BF$2:$BF1679,0)+1,2),VLOOKUP($B1217,'RFR Data - preExcl'!$BF$2:$BG1679,2,FALSE))),IFERROR(0/0,""))</f>
        <v/>
      </c>
      <c r="V1217" s="212" t="str">
        <f t="shared" si="5"/>
        <v>RUN-COMB_2022-07-04_RFR-070</v>
      </c>
      <c r="W1217" s="51"/>
      <c r="X1217" s="51"/>
      <c r="Y1217" s="147" t="str">
        <f t="shared" ref="Y1217:Z1217" si="2434">IF(_xlfn.ISFORMULA(S1217),IFERROR(0/0,""),TRUE)</f>
        <v/>
      </c>
      <c r="Z1217" s="147" t="str">
        <f t="shared" si="2434"/>
        <v/>
      </c>
    </row>
    <row r="1218">
      <c r="A1218" s="6" t="str">
        <f>IFERROR(__xludf.DUMMYFUNCTION("""COMPUTED_VALUE"""),"FM2717")</f>
        <v>FM2717</v>
      </c>
      <c r="B1218" s="206">
        <f>IFERROR(__xludf.DUMMYFUNCTION("""COMPUTED_VALUE"""),44746.0)</f>
        <v>44746</v>
      </c>
      <c r="C1218" s="207">
        <f>IFERROR(__xludf.DUMMYFUNCTION("""COMPUTED_VALUE"""),0.7872106481481481)</f>
        <v>0.7872106481</v>
      </c>
      <c r="D1218" s="50"/>
      <c r="E1218" s="58"/>
      <c r="F1218" s="58"/>
      <c r="G1218" s="58" t="str">
        <f>IFERROR(__xludf.DUMMYFUNCTION("""COMPUTED_VALUE"""),"Null")</f>
        <v>Null</v>
      </c>
      <c r="H1218" s="206" t="str">
        <f>IFERROR(__xludf.DUMMYFUNCTION("""COMPUTED_VALUE"""),"Negative")</f>
        <v>Negative</v>
      </c>
      <c r="I1218" s="207"/>
      <c r="J1218" s="50"/>
      <c r="K1218" s="50">
        <f>IFERROR(__xludf.DUMMYFUNCTION("""COMPUTED_VALUE"""),2.0)</f>
        <v>2</v>
      </c>
      <c r="L1218" s="6"/>
      <c r="M1218" s="55"/>
      <c r="N1218" s="55">
        <f>IFERROR(__xludf.DUMMYFUNCTION("""COMPUTED_VALUE"""),1.0)</f>
        <v>1</v>
      </c>
      <c r="O1218" s="55" t="str">
        <f t="shared" si="3"/>
        <v/>
      </c>
      <c r="P1218" s="209"/>
      <c r="Q1218" s="75" t="b">
        <f>VLOOKUP($B1218,'Run Reconcile'!B$2:P1679,15,FALSE)</f>
        <v>1</v>
      </c>
      <c r="R1218" s="211" t="str">
        <f t="array" ref="R1218">IF($Q1218, INDEX('Run Reconcile'!A$2:A1679,MATCH(B1218,'Run Reconcile'!B$2:B1679,0),1),IFERROR(0/0,""))</f>
        <v>RUN-COMB_2022-07-04_RFR-070</v>
      </c>
      <c r="S1218" s="165" t="str">
        <f t="shared" ref="S1218:T1218" si="2435">IF(COUNTIF(W$2:W1679, $A1218) &gt; 0,TRUE,IFERROR(0/0,""))</f>
        <v/>
      </c>
      <c r="T1218" s="165" t="str">
        <f t="shared" si="2435"/>
        <v/>
      </c>
      <c r="U1218" s="147" t="str">
        <f t="array" ref="U1218">IF(ISBLANK($R1218), IF($S1218,VLOOKUP($B1218+1,'RFR Data - preExcl'!$BF$2:$BG1679,2,FALSE),IF($T1218,INDEX('RFR Data - preExcl'!$BF$2:$BG1679,MATCH($B1218,'RFR Data - preExcl'!$BF$2:$BF1679,0)+1,2),VLOOKUP($B1218,'RFR Data - preExcl'!$BF$2:$BG1679,2,FALSE))),IFERROR(0/0,""))</f>
        <v/>
      </c>
      <c r="V1218" s="212" t="str">
        <f t="shared" si="5"/>
        <v>RUN-COMB_2022-07-04_RFR-070</v>
      </c>
      <c r="W1218" s="51"/>
      <c r="X1218" s="51"/>
      <c r="Y1218" s="147" t="str">
        <f t="shared" ref="Y1218:Z1218" si="2436">IF(_xlfn.ISFORMULA(S1218),IFERROR(0/0,""),TRUE)</f>
        <v/>
      </c>
      <c r="Z1218" s="147" t="str">
        <f t="shared" si="2436"/>
        <v/>
      </c>
    </row>
    <row r="1219">
      <c r="A1219" s="6" t="str">
        <f>IFERROR(__xludf.DUMMYFUNCTION("""COMPUTED_VALUE"""),"FM2746")</f>
        <v>FM2746</v>
      </c>
      <c r="B1219" s="206">
        <f>IFERROR(__xludf.DUMMYFUNCTION("""COMPUTED_VALUE"""),44746.0)</f>
        <v>44746</v>
      </c>
      <c r="C1219" s="207">
        <f>IFERROR(__xludf.DUMMYFUNCTION("""COMPUTED_VALUE"""),0.7875347222222222)</f>
        <v>0.7875347222</v>
      </c>
      <c r="D1219" s="50"/>
      <c r="E1219" s="58"/>
      <c r="F1219" s="58"/>
      <c r="G1219" s="58" t="str">
        <f>IFERROR(__xludf.DUMMYFUNCTION("""COMPUTED_VALUE"""),"Null")</f>
        <v>Null</v>
      </c>
      <c r="H1219" s="206" t="str">
        <f>IFERROR(__xludf.DUMMYFUNCTION("""COMPUTED_VALUE"""),"Negative")</f>
        <v>Negative</v>
      </c>
      <c r="I1219" s="207"/>
      <c r="J1219" s="50"/>
      <c r="K1219" s="50">
        <f>IFERROR(__xludf.DUMMYFUNCTION("""COMPUTED_VALUE"""),2.0)</f>
        <v>2</v>
      </c>
      <c r="L1219" s="6"/>
      <c r="M1219" s="55"/>
      <c r="N1219" s="55">
        <f>IFERROR(__xludf.DUMMYFUNCTION("""COMPUTED_VALUE"""),1.0)</f>
        <v>1</v>
      </c>
      <c r="O1219" s="55" t="str">
        <f t="shared" si="3"/>
        <v/>
      </c>
      <c r="P1219" s="209"/>
      <c r="Q1219" s="75" t="b">
        <f>VLOOKUP($B1219,'Run Reconcile'!B$2:P1679,15,FALSE)</f>
        <v>1</v>
      </c>
      <c r="R1219" s="211" t="str">
        <f t="array" ref="R1219">IF($Q1219, INDEX('Run Reconcile'!A$2:A1679,MATCH(B1219,'Run Reconcile'!B$2:B1679,0),1),IFERROR(0/0,""))</f>
        <v>RUN-COMB_2022-07-04_RFR-070</v>
      </c>
      <c r="S1219" s="165" t="str">
        <f t="shared" ref="S1219:T1219" si="2437">IF(COUNTIF(W$2:W1679, $A1219) &gt; 0,TRUE,IFERROR(0/0,""))</f>
        <v/>
      </c>
      <c r="T1219" s="165" t="str">
        <f t="shared" si="2437"/>
        <v/>
      </c>
      <c r="U1219" s="147" t="str">
        <f t="array" ref="U1219">IF(ISBLANK($R1219), IF($S1219,VLOOKUP($B1219+1,'RFR Data - preExcl'!$BF$2:$BG1679,2,FALSE),IF($T1219,INDEX('RFR Data - preExcl'!$BF$2:$BG1679,MATCH($B1219,'RFR Data - preExcl'!$BF$2:$BF1679,0)+1,2),VLOOKUP($B1219,'RFR Data - preExcl'!$BF$2:$BG1679,2,FALSE))),IFERROR(0/0,""))</f>
        <v/>
      </c>
      <c r="V1219" s="212" t="str">
        <f t="shared" si="5"/>
        <v>RUN-COMB_2022-07-04_RFR-070</v>
      </c>
      <c r="W1219" s="51"/>
      <c r="X1219" s="51"/>
      <c r="Y1219" s="147" t="str">
        <f t="shared" ref="Y1219:Z1219" si="2438">IF(_xlfn.ISFORMULA(S1219),IFERROR(0/0,""),TRUE)</f>
        <v/>
      </c>
      <c r="Z1219" s="147" t="str">
        <f t="shared" si="2438"/>
        <v/>
      </c>
    </row>
    <row r="1220">
      <c r="A1220" s="6" t="str">
        <f>IFERROR(__xludf.DUMMYFUNCTION("""COMPUTED_VALUE"""),"FM2706")</f>
        <v>FM2706</v>
      </c>
      <c r="B1220" s="206">
        <f>IFERROR(__xludf.DUMMYFUNCTION("""COMPUTED_VALUE"""),44746.0)</f>
        <v>44746</v>
      </c>
      <c r="C1220" s="207">
        <f>IFERROR(__xludf.DUMMYFUNCTION("""COMPUTED_VALUE"""),0.7878935185185185)</f>
        <v>0.7878935185</v>
      </c>
      <c r="D1220" s="50"/>
      <c r="E1220" s="58"/>
      <c r="F1220" s="58"/>
      <c r="G1220" s="58" t="str">
        <f>IFERROR(__xludf.DUMMYFUNCTION("""COMPUTED_VALUE"""),"Null")</f>
        <v>Null</v>
      </c>
      <c r="H1220" s="206" t="str">
        <f>IFERROR(__xludf.DUMMYFUNCTION("""COMPUTED_VALUE"""),"Negative")</f>
        <v>Negative</v>
      </c>
      <c r="I1220" s="207"/>
      <c r="J1220" s="50"/>
      <c r="K1220" s="50">
        <f>IFERROR(__xludf.DUMMYFUNCTION("""COMPUTED_VALUE"""),2.0)</f>
        <v>2</v>
      </c>
      <c r="L1220" s="6"/>
      <c r="M1220" s="55"/>
      <c r="N1220" s="55">
        <f>IFERROR(__xludf.DUMMYFUNCTION("""COMPUTED_VALUE"""),1.0)</f>
        <v>1</v>
      </c>
      <c r="O1220" s="55" t="str">
        <f t="shared" si="3"/>
        <v/>
      </c>
      <c r="P1220" s="209"/>
      <c r="Q1220" s="75" t="b">
        <f>VLOOKUP($B1220,'Run Reconcile'!B$2:P1679,15,FALSE)</f>
        <v>1</v>
      </c>
      <c r="R1220" s="211" t="str">
        <f t="array" ref="R1220">IF($Q1220, INDEX('Run Reconcile'!A$2:A1679,MATCH(B1220,'Run Reconcile'!B$2:B1679,0),1),IFERROR(0/0,""))</f>
        <v>RUN-COMB_2022-07-04_RFR-070</v>
      </c>
      <c r="S1220" s="165" t="str">
        <f t="shared" ref="S1220:T1220" si="2439">IF(COUNTIF(W$2:W1679, $A1220) &gt; 0,TRUE,IFERROR(0/0,""))</f>
        <v/>
      </c>
      <c r="T1220" s="165" t="str">
        <f t="shared" si="2439"/>
        <v/>
      </c>
      <c r="U1220" s="147" t="str">
        <f t="array" ref="U1220">IF(ISBLANK($R1220), IF($S1220,VLOOKUP($B1220+1,'RFR Data - preExcl'!$BF$2:$BG1679,2,FALSE),IF($T1220,INDEX('RFR Data - preExcl'!$BF$2:$BG1679,MATCH($B1220,'RFR Data - preExcl'!$BF$2:$BF1679,0)+1,2),VLOOKUP($B1220,'RFR Data - preExcl'!$BF$2:$BG1679,2,FALSE))),IFERROR(0/0,""))</f>
        <v/>
      </c>
      <c r="V1220" s="212" t="str">
        <f t="shared" si="5"/>
        <v>RUN-COMB_2022-07-04_RFR-070</v>
      </c>
      <c r="W1220" s="51"/>
      <c r="X1220" s="51"/>
      <c r="Y1220" s="147" t="str">
        <f t="shared" ref="Y1220:Z1220" si="2440">IF(_xlfn.ISFORMULA(S1220),IFERROR(0/0,""),TRUE)</f>
        <v/>
      </c>
      <c r="Z1220" s="147" t="str">
        <f t="shared" si="2440"/>
        <v/>
      </c>
    </row>
    <row r="1221">
      <c r="A1221" s="6" t="str">
        <f>IFERROR(__xludf.DUMMYFUNCTION("""COMPUTED_VALUE"""),"FM2805")</f>
        <v>FM2805</v>
      </c>
      <c r="B1221" s="206">
        <f>IFERROR(__xludf.DUMMYFUNCTION("""COMPUTED_VALUE"""),44746.0)</f>
        <v>44746</v>
      </c>
      <c r="C1221" s="207">
        <f>IFERROR(__xludf.DUMMYFUNCTION("""COMPUTED_VALUE"""),0.7882407407407407)</f>
        <v>0.7882407407</v>
      </c>
      <c r="D1221" s="50"/>
      <c r="E1221" s="58"/>
      <c r="F1221" s="58"/>
      <c r="G1221" s="58" t="str">
        <f>IFERROR(__xludf.DUMMYFUNCTION("""COMPUTED_VALUE"""),"Null")</f>
        <v>Null</v>
      </c>
      <c r="H1221" s="206" t="str">
        <f>IFERROR(__xludf.DUMMYFUNCTION("""COMPUTED_VALUE"""),"Negative")</f>
        <v>Negative</v>
      </c>
      <c r="I1221" s="207"/>
      <c r="J1221" s="50"/>
      <c r="K1221" s="50">
        <f>IFERROR(__xludf.DUMMYFUNCTION("""COMPUTED_VALUE"""),2.0)</f>
        <v>2</v>
      </c>
      <c r="L1221" s="6"/>
      <c r="M1221" s="55"/>
      <c r="N1221" s="55">
        <f>IFERROR(__xludf.DUMMYFUNCTION("""COMPUTED_VALUE"""),1.0)</f>
        <v>1</v>
      </c>
      <c r="O1221" s="55" t="str">
        <f t="shared" si="3"/>
        <v/>
      </c>
      <c r="P1221" s="209"/>
      <c r="Q1221" s="75" t="b">
        <f>VLOOKUP($B1221,'Run Reconcile'!B$2:P1679,15,FALSE)</f>
        <v>1</v>
      </c>
      <c r="R1221" s="211" t="str">
        <f t="array" ref="R1221">IF($Q1221, INDEX('Run Reconcile'!A$2:A1679,MATCH(B1221,'Run Reconcile'!B$2:B1679,0),1),IFERROR(0/0,""))</f>
        <v>RUN-COMB_2022-07-04_RFR-070</v>
      </c>
      <c r="S1221" s="165" t="str">
        <f t="shared" ref="S1221:T1221" si="2441">IF(COUNTIF(W$2:W1679, $A1221) &gt; 0,TRUE,IFERROR(0/0,""))</f>
        <v/>
      </c>
      <c r="T1221" s="165" t="str">
        <f t="shared" si="2441"/>
        <v/>
      </c>
      <c r="U1221" s="147" t="str">
        <f t="array" ref="U1221">IF(ISBLANK($R1221), IF($S1221,VLOOKUP($B1221+1,'RFR Data - preExcl'!$BF$2:$BG1679,2,FALSE),IF($T1221,INDEX('RFR Data - preExcl'!$BF$2:$BG1679,MATCH($B1221,'RFR Data - preExcl'!$BF$2:$BF1679,0)+1,2),VLOOKUP($B1221,'RFR Data - preExcl'!$BF$2:$BG1679,2,FALSE))),IFERROR(0/0,""))</f>
        <v/>
      </c>
      <c r="V1221" s="212" t="str">
        <f t="shared" si="5"/>
        <v>RUN-COMB_2022-07-04_RFR-070</v>
      </c>
      <c r="W1221" s="51"/>
      <c r="X1221" s="51"/>
      <c r="Y1221" s="147" t="str">
        <f t="shared" ref="Y1221:Z1221" si="2442">IF(_xlfn.ISFORMULA(S1221),IFERROR(0/0,""),TRUE)</f>
        <v/>
      </c>
      <c r="Z1221" s="147" t="str">
        <f t="shared" si="2442"/>
        <v/>
      </c>
    </row>
    <row r="1222">
      <c r="A1222" s="6" t="str">
        <f>IFERROR(__xludf.DUMMYFUNCTION("""COMPUTED_VALUE"""),"FM2734")</f>
        <v>FM2734</v>
      </c>
      <c r="B1222" s="206">
        <f>IFERROR(__xludf.DUMMYFUNCTION("""COMPUTED_VALUE"""),44746.0)</f>
        <v>44746</v>
      </c>
      <c r="C1222" s="207">
        <f>IFERROR(__xludf.DUMMYFUNCTION("""COMPUTED_VALUE"""),0.7906365740740741)</f>
        <v>0.7906365741</v>
      </c>
      <c r="D1222" s="50"/>
      <c r="E1222" s="58"/>
      <c r="F1222" s="58"/>
      <c r="G1222" s="58" t="str">
        <f>IFERROR(__xludf.DUMMYFUNCTION("""COMPUTED_VALUE"""),"Null")</f>
        <v>Null</v>
      </c>
      <c r="H1222" s="206" t="str">
        <f>IFERROR(__xludf.DUMMYFUNCTION("""COMPUTED_VALUE"""),"Negative")</f>
        <v>Negative</v>
      </c>
      <c r="I1222" s="207"/>
      <c r="J1222" s="50"/>
      <c r="K1222" s="50">
        <f>IFERROR(__xludf.DUMMYFUNCTION("""COMPUTED_VALUE"""),2.0)</f>
        <v>2</v>
      </c>
      <c r="L1222" s="6"/>
      <c r="M1222" s="55"/>
      <c r="N1222" s="55">
        <f>IFERROR(__xludf.DUMMYFUNCTION("""COMPUTED_VALUE"""),1.0)</f>
        <v>1</v>
      </c>
      <c r="O1222" s="55" t="str">
        <f t="shared" si="3"/>
        <v/>
      </c>
      <c r="P1222" s="209"/>
      <c r="Q1222" s="75" t="b">
        <f>VLOOKUP($B1222,'Run Reconcile'!B$2:P1679,15,FALSE)</f>
        <v>1</v>
      </c>
      <c r="R1222" s="211" t="str">
        <f t="array" ref="R1222">IF($Q1222, INDEX('Run Reconcile'!A$2:A1679,MATCH(B1222,'Run Reconcile'!B$2:B1679,0),1),IFERROR(0/0,""))</f>
        <v>RUN-COMB_2022-07-04_RFR-070</v>
      </c>
      <c r="S1222" s="165" t="str">
        <f t="shared" ref="S1222:T1222" si="2443">IF(COUNTIF(W$2:W1679, $A1222) &gt; 0,TRUE,IFERROR(0/0,""))</f>
        <v/>
      </c>
      <c r="T1222" s="165" t="str">
        <f t="shared" si="2443"/>
        <v/>
      </c>
      <c r="U1222" s="147" t="str">
        <f t="array" ref="U1222">IF(ISBLANK($R1222), IF($S1222,VLOOKUP($B1222+1,'RFR Data - preExcl'!$BF$2:$BG1679,2,FALSE),IF($T1222,INDEX('RFR Data - preExcl'!$BF$2:$BG1679,MATCH($B1222,'RFR Data - preExcl'!$BF$2:$BF1679,0)+1,2),VLOOKUP($B1222,'RFR Data - preExcl'!$BF$2:$BG1679,2,FALSE))),IFERROR(0/0,""))</f>
        <v/>
      </c>
      <c r="V1222" s="212" t="str">
        <f t="shared" si="5"/>
        <v>RUN-COMB_2022-07-04_RFR-070</v>
      </c>
      <c r="W1222" s="51"/>
      <c r="X1222" s="51"/>
      <c r="Y1222" s="147" t="str">
        <f t="shared" ref="Y1222:Z1222" si="2444">IF(_xlfn.ISFORMULA(S1222),IFERROR(0/0,""),TRUE)</f>
        <v/>
      </c>
      <c r="Z1222" s="147" t="str">
        <f t="shared" si="2444"/>
        <v/>
      </c>
    </row>
    <row r="1223">
      <c r="A1223" s="6" t="str">
        <f>IFERROR(__xludf.DUMMYFUNCTION("""COMPUTED_VALUE"""),"FM2722")</f>
        <v>FM2722</v>
      </c>
      <c r="B1223" s="206">
        <f>IFERROR(__xludf.DUMMYFUNCTION("""COMPUTED_VALUE"""),44746.0)</f>
        <v>44746</v>
      </c>
      <c r="C1223" s="207">
        <f>IFERROR(__xludf.DUMMYFUNCTION("""COMPUTED_VALUE"""),0.7910648148148148)</f>
        <v>0.7910648148</v>
      </c>
      <c r="D1223" s="50"/>
      <c r="E1223" s="58"/>
      <c r="F1223" s="58"/>
      <c r="G1223" s="58" t="str">
        <f>IFERROR(__xludf.DUMMYFUNCTION("""COMPUTED_VALUE"""),"Null")</f>
        <v>Null</v>
      </c>
      <c r="H1223" s="206" t="str">
        <f>IFERROR(__xludf.DUMMYFUNCTION("""COMPUTED_VALUE"""),"Negative")</f>
        <v>Negative</v>
      </c>
      <c r="I1223" s="207"/>
      <c r="J1223" s="50"/>
      <c r="K1223" s="50">
        <f>IFERROR(__xludf.DUMMYFUNCTION("""COMPUTED_VALUE"""),2.0)</f>
        <v>2</v>
      </c>
      <c r="L1223" s="6"/>
      <c r="M1223" s="55"/>
      <c r="N1223" s="55">
        <f>IFERROR(__xludf.DUMMYFUNCTION("""COMPUTED_VALUE"""),1.0)</f>
        <v>1</v>
      </c>
      <c r="O1223" s="55" t="str">
        <f t="shared" si="3"/>
        <v/>
      </c>
      <c r="P1223" s="209"/>
      <c r="Q1223" s="75" t="b">
        <f>VLOOKUP($B1223,'Run Reconcile'!B$2:P1679,15,FALSE)</f>
        <v>1</v>
      </c>
      <c r="R1223" s="211" t="str">
        <f t="array" ref="R1223">IF($Q1223, INDEX('Run Reconcile'!A$2:A1679,MATCH(B1223,'Run Reconcile'!B$2:B1679,0),1),IFERROR(0/0,""))</f>
        <v>RUN-COMB_2022-07-04_RFR-070</v>
      </c>
      <c r="S1223" s="165" t="str">
        <f t="shared" ref="S1223:T1223" si="2445">IF(COUNTIF(W$2:W1679, $A1223) &gt; 0,TRUE,IFERROR(0/0,""))</f>
        <v/>
      </c>
      <c r="T1223" s="165" t="str">
        <f t="shared" si="2445"/>
        <v/>
      </c>
      <c r="U1223" s="147" t="str">
        <f t="array" ref="U1223">IF(ISBLANK($R1223), IF($S1223,VLOOKUP($B1223+1,'RFR Data - preExcl'!$BF$2:$BG1679,2,FALSE),IF($T1223,INDEX('RFR Data - preExcl'!$BF$2:$BG1679,MATCH($B1223,'RFR Data - preExcl'!$BF$2:$BF1679,0)+1,2),VLOOKUP($B1223,'RFR Data - preExcl'!$BF$2:$BG1679,2,FALSE))),IFERROR(0/0,""))</f>
        <v/>
      </c>
      <c r="V1223" s="212" t="str">
        <f t="shared" si="5"/>
        <v>RUN-COMB_2022-07-04_RFR-070</v>
      </c>
      <c r="W1223" s="51"/>
      <c r="X1223" s="51"/>
      <c r="Y1223" s="147" t="str">
        <f t="shared" ref="Y1223:Z1223" si="2446">IF(_xlfn.ISFORMULA(S1223),IFERROR(0/0,""),TRUE)</f>
        <v/>
      </c>
      <c r="Z1223" s="147" t="str">
        <f t="shared" si="2446"/>
        <v/>
      </c>
    </row>
    <row r="1224">
      <c r="A1224" s="6" t="str">
        <f>IFERROR(__xludf.DUMMYFUNCTION("""COMPUTED_VALUE"""),"FM2772")</f>
        <v>FM2772</v>
      </c>
      <c r="B1224" s="206">
        <f>IFERROR(__xludf.DUMMYFUNCTION("""COMPUTED_VALUE"""),44746.0)</f>
        <v>44746</v>
      </c>
      <c r="C1224" s="207">
        <f>IFERROR(__xludf.DUMMYFUNCTION("""COMPUTED_VALUE"""),0.7913541666666667)</f>
        <v>0.7913541667</v>
      </c>
      <c r="D1224" s="50"/>
      <c r="E1224" s="58"/>
      <c r="F1224" s="58"/>
      <c r="G1224" s="58" t="str">
        <f>IFERROR(__xludf.DUMMYFUNCTION("""COMPUTED_VALUE"""),"Null")</f>
        <v>Null</v>
      </c>
      <c r="H1224" s="206" t="str">
        <f>IFERROR(__xludf.DUMMYFUNCTION("""COMPUTED_VALUE"""),"Negative")</f>
        <v>Negative</v>
      </c>
      <c r="I1224" s="207"/>
      <c r="J1224" s="50"/>
      <c r="K1224" s="50">
        <f>IFERROR(__xludf.DUMMYFUNCTION("""COMPUTED_VALUE"""),2.0)</f>
        <v>2</v>
      </c>
      <c r="L1224" s="6"/>
      <c r="M1224" s="55"/>
      <c r="N1224" s="55">
        <f>IFERROR(__xludf.DUMMYFUNCTION("""COMPUTED_VALUE"""),1.0)</f>
        <v>1</v>
      </c>
      <c r="O1224" s="55" t="str">
        <f t="shared" si="3"/>
        <v/>
      </c>
      <c r="P1224" s="209"/>
      <c r="Q1224" s="75" t="b">
        <f>VLOOKUP($B1224,'Run Reconcile'!B$2:P1679,15,FALSE)</f>
        <v>1</v>
      </c>
      <c r="R1224" s="211" t="str">
        <f t="array" ref="R1224">IF($Q1224, INDEX('Run Reconcile'!A$2:A1679,MATCH(B1224,'Run Reconcile'!B$2:B1679,0),1),IFERROR(0/0,""))</f>
        <v>RUN-COMB_2022-07-04_RFR-070</v>
      </c>
      <c r="S1224" s="165" t="str">
        <f t="shared" ref="S1224:T1224" si="2447">IF(COUNTIF(W$2:W1679, $A1224) &gt; 0,TRUE,IFERROR(0/0,""))</f>
        <v/>
      </c>
      <c r="T1224" s="165" t="str">
        <f t="shared" si="2447"/>
        <v/>
      </c>
      <c r="U1224" s="147" t="str">
        <f t="array" ref="U1224">IF(ISBLANK($R1224), IF($S1224,VLOOKUP($B1224+1,'RFR Data - preExcl'!$BF$2:$BG1679,2,FALSE),IF($T1224,INDEX('RFR Data - preExcl'!$BF$2:$BG1679,MATCH($B1224,'RFR Data - preExcl'!$BF$2:$BF1679,0)+1,2),VLOOKUP($B1224,'RFR Data - preExcl'!$BF$2:$BG1679,2,FALSE))),IFERROR(0/0,""))</f>
        <v/>
      </c>
      <c r="V1224" s="212" t="str">
        <f t="shared" si="5"/>
        <v>RUN-COMB_2022-07-04_RFR-070</v>
      </c>
      <c r="W1224" s="51"/>
      <c r="X1224" s="51"/>
      <c r="Y1224" s="147" t="str">
        <f t="shared" ref="Y1224:Z1224" si="2448">IF(_xlfn.ISFORMULA(S1224),IFERROR(0/0,""),TRUE)</f>
        <v/>
      </c>
      <c r="Z1224" s="147" t="str">
        <f t="shared" si="2448"/>
        <v/>
      </c>
    </row>
    <row r="1225">
      <c r="A1225" s="6" t="str">
        <f>IFERROR(__xludf.DUMMYFUNCTION("""COMPUTED_VALUE"""),"FM2716")</f>
        <v>FM2716</v>
      </c>
      <c r="B1225" s="206">
        <f>IFERROR(__xludf.DUMMYFUNCTION("""COMPUTED_VALUE"""),44746.0)</f>
        <v>44746</v>
      </c>
      <c r="C1225" s="207">
        <f>IFERROR(__xludf.DUMMYFUNCTION("""COMPUTED_VALUE"""),0.7988541666666666)</f>
        <v>0.7988541667</v>
      </c>
      <c r="D1225" s="50"/>
      <c r="E1225" s="58"/>
      <c r="F1225" s="58"/>
      <c r="G1225" s="58" t="str">
        <f>IFERROR(__xludf.DUMMYFUNCTION("""COMPUTED_VALUE"""),"Null")</f>
        <v>Null</v>
      </c>
      <c r="H1225" s="206" t="str">
        <f>IFERROR(__xludf.DUMMYFUNCTION("""COMPUTED_VALUE"""),"Negative")</f>
        <v>Negative</v>
      </c>
      <c r="I1225" s="207"/>
      <c r="J1225" s="50"/>
      <c r="K1225" s="50">
        <f>IFERROR(__xludf.DUMMYFUNCTION("""COMPUTED_VALUE"""),2.0)</f>
        <v>2</v>
      </c>
      <c r="L1225" s="6"/>
      <c r="M1225" s="55"/>
      <c r="N1225" s="55">
        <f>IFERROR(__xludf.DUMMYFUNCTION("""COMPUTED_VALUE"""),1.0)</f>
        <v>1</v>
      </c>
      <c r="O1225" s="55" t="str">
        <f t="shared" si="3"/>
        <v/>
      </c>
      <c r="P1225" s="209"/>
      <c r="Q1225" s="75" t="b">
        <f>VLOOKUP($B1225,'Run Reconcile'!B$2:P1679,15,FALSE)</f>
        <v>1</v>
      </c>
      <c r="R1225" s="211" t="str">
        <f t="array" ref="R1225">IF($Q1225, INDEX('Run Reconcile'!A$2:A1679,MATCH(B1225,'Run Reconcile'!B$2:B1679,0),1),IFERROR(0/0,""))</f>
        <v>RUN-COMB_2022-07-04_RFR-070</v>
      </c>
      <c r="S1225" s="165" t="str">
        <f t="shared" ref="S1225:T1225" si="2449">IF(COUNTIF(W$2:W1679, $A1225) &gt; 0,TRUE,IFERROR(0/0,""))</f>
        <v/>
      </c>
      <c r="T1225" s="165" t="str">
        <f t="shared" si="2449"/>
        <v/>
      </c>
      <c r="U1225" s="147" t="str">
        <f t="array" ref="U1225">IF(ISBLANK($R1225), IF($S1225,VLOOKUP($B1225+1,'RFR Data - preExcl'!$BF$2:$BG1679,2,FALSE),IF($T1225,INDEX('RFR Data - preExcl'!$BF$2:$BG1679,MATCH($B1225,'RFR Data - preExcl'!$BF$2:$BF1679,0)+1,2),VLOOKUP($B1225,'RFR Data - preExcl'!$BF$2:$BG1679,2,FALSE))),IFERROR(0/0,""))</f>
        <v/>
      </c>
      <c r="V1225" s="212" t="str">
        <f t="shared" si="5"/>
        <v>RUN-COMB_2022-07-04_RFR-070</v>
      </c>
      <c r="W1225" s="51"/>
      <c r="X1225" s="51"/>
      <c r="Y1225" s="147" t="str">
        <f t="shared" ref="Y1225:Z1225" si="2450">IF(_xlfn.ISFORMULA(S1225),IFERROR(0/0,""),TRUE)</f>
        <v/>
      </c>
      <c r="Z1225" s="147" t="str">
        <f t="shared" si="2450"/>
        <v/>
      </c>
    </row>
    <row r="1226">
      <c r="A1226" s="6" t="str">
        <f>IFERROR(__xludf.DUMMYFUNCTION("""COMPUTED_VALUE"""),"FM2713")</f>
        <v>FM2713</v>
      </c>
      <c r="B1226" s="206">
        <f>IFERROR(__xludf.DUMMYFUNCTION("""COMPUTED_VALUE"""),44746.0)</f>
        <v>44746</v>
      </c>
      <c r="C1226" s="207">
        <f>IFERROR(__xludf.DUMMYFUNCTION("""COMPUTED_VALUE"""),0.799224537037037)</f>
        <v>0.799224537</v>
      </c>
      <c r="D1226" s="50"/>
      <c r="E1226" s="58"/>
      <c r="F1226" s="58"/>
      <c r="G1226" s="58" t="str">
        <f>IFERROR(__xludf.DUMMYFUNCTION("""COMPUTED_VALUE"""),"Null")</f>
        <v>Null</v>
      </c>
      <c r="H1226" s="206" t="str">
        <f>IFERROR(__xludf.DUMMYFUNCTION("""COMPUTED_VALUE"""),"Negative")</f>
        <v>Negative</v>
      </c>
      <c r="I1226" s="207"/>
      <c r="J1226" s="50"/>
      <c r="K1226" s="50">
        <f>IFERROR(__xludf.DUMMYFUNCTION("""COMPUTED_VALUE"""),2.0)</f>
        <v>2</v>
      </c>
      <c r="L1226" s="6"/>
      <c r="M1226" s="55"/>
      <c r="N1226" s="55">
        <f>IFERROR(__xludf.DUMMYFUNCTION("""COMPUTED_VALUE"""),1.0)</f>
        <v>1</v>
      </c>
      <c r="O1226" s="55" t="str">
        <f t="shared" si="3"/>
        <v/>
      </c>
      <c r="P1226" s="209"/>
      <c r="Q1226" s="75" t="b">
        <f>VLOOKUP($B1226,'Run Reconcile'!B$2:P1679,15,FALSE)</f>
        <v>1</v>
      </c>
      <c r="R1226" s="211" t="str">
        <f t="array" ref="R1226">IF($Q1226, INDEX('Run Reconcile'!A$2:A1679,MATCH(B1226,'Run Reconcile'!B$2:B1679,0),1),IFERROR(0/0,""))</f>
        <v>RUN-COMB_2022-07-04_RFR-070</v>
      </c>
      <c r="S1226" s="165" t="str">
        <f t="shared" ref="S1226:T1226" si="2451">IF(COUNTIF(W$2:W1679, $A1226) &gt; 0,TRUE,IFERROR(0/0,""))</f>
        <v/>
      </c>
      <c r="T1226" s="165" t="str">
        <f t="shared" si="2451"/>
        <v/>
      </c>
      <c r="U1226" s="147" t="str">
        <f t="array" ref="U1226">IF(ISBLANK($R1226), IF($S1226,VLOOKUP($B1226+1,'RFR Data - preExcl'!$BF$2:$BG1679,2,FALSE),IF($T1226,INDEX('RFR Data - preExcl'!$BF$2:$BG1679,MATCH($B1226,'RFR Data - preExcl'!$BF$2:$BF1679,0)+1,2),VLOOKUP($B1226,'RFR Data - preExcl'!$BF$2:$BG1679,2,FALSE))),IFERROR(0/0,""))</f>
        <v/>
      </c>
      <c r="V1226" s="212" t="str">
        <f t="shared" si="5"/>
        <v>RUN-COMB_2022-07-04_RFR-070</v>
      </c>
      <c r="W1226" s="51"/>
      <c r="X1226" s="51"/>
      <c r="Y1226" s="147" t="str">
        <f t="shared" ref="Y1226:Z1226" si="2452">IF(_xlfn.ISFORMULA(S1226),IFERROR(0/0,""),TRUE)</f>
        <v/>
      </c>
      <c r="Z1226" s="147" t="str">
        <f t="shared" si="2452"/>
        <v/>
      </c>
    </row>
    <row r="1227">
      <c r="A1227" s="6" t="str">
        <f>IFERROR(__xludf.DUMMYFUNCTION("""COMPUTED_VALUE"""),"FM2729")</f>
        <v>FM2729</v>
      </c>
      <c r="B1227" s="206">
        <f>IFERROR(__xludf.DUMMYFUNCTION("""COMPUTED_VALUE"""),44746.0)</f>
        <v>44746</v>
      </c>
      <c r="C1227" s="207">
        <f>IFERROR(__xludf.DUMMYFUNCTION("""COMPUTED_VALUE"""),0.7996412037037037)</f>
        <v>0.7996412037</v>
      </c>
      <c r="D1227" s="50"/>
      <c r="E1227" s="58"/>
      <c r="F1227" s="58"/>
      <c r="G1227" s="58" t="str">
        <f>IFERROR(__xludf.DUMMYFUNCTION("""COMPUTED_VALUE"""),"Null")</f>
        <v>Null</v>
      </c>
      <c r="H1227" s="206" t="str">
        <f>IFERROR(__xludf.DUMMYFUNCTION("""COMPUTED_VALUE"""),"Negative")</f>
        <v>Negative</v>
      </c>
      <c r="I1227" s="207"/>
      <c r="J1227" s="50"/>
      <c r="K1227" s="50">
        <f>IFERROR(__xludf.DUMMYFUNCTION("""COMPUTED_VALUE"""),2.0)</f>
        <v>2</v>
      </c>
      <c r="L1227" s="6"/>
      <c r="M1227" s="55"/>
      <c r="N1227" s="55">
        <f>IFERROR(__xludf.DUMMYFUNCTION("""COMPUTED_VALUE"""),1.0)</f>
        <v>1</v>
      </c>
      <c r="O1227" s="55" t="str">
        <f t="shared" si="3"/>
        <v/>
      </c>
      <c r="P1227" s="209"/>
      <c r="Q1227" s="75" t="b">
        <f>VLOOKUP($B1227,'Run Reconcile'!B$2:P1679,15,FALSE)</f>
        <v>1</v>
      </c>
      <c r="R1227" s="211" t="str">
        <f t="array" ref="R1227">IF($Q1227, INDEX('Run Reconcile'!A$2:A1679,MATCH(B1227,'Run Reconcile'!B$2:B1679,0),1),IFERROR(0/0,""))</f>
        <v>RUN-COMB_2022-07-04_RFR-070</v>
      </c>
      <c r="S1227" s="165" t="str">
        <f t="shared" ref="S1227:T1227" si="2453">IF(COUNTIF(W$2:W1679, $A1227) &gt; 0,TRUE,IFERROR(0/0,""))</f>
        <v/>
      </c>
      <c r="T1227" s="165" t="str">
        <f t="shared" si="2453"/>
        <v/>
      </c>
      <c r="U1227" s="147" t="str">
        <f t="array" ref="U1227">IF(ISBLANK($R1227), IF($S1227,VLOOKUP($B1227+1,'RFR Data - preExcl'!$BF$2:$BG1679,2,FALSE),IF($T1227,INDEX('RFR Data - preExcl'!$BF$2:$BG1679,MATCH($B1227,'RFR Data - preExcl'!$BF$2:$BF1679,0)+1,2),VLOOKUP($B1227,'RFR Data - preExcl'!$BF$2:$BG1679,2,FALSE))),IFERROR(0/0,""))</f>
        <v/>
      </c>
      <c r="V1227" s="212" t="str">
        <f t="shared" si="5"/>
        <v>RUN-COMB_2022-07-04_RFR-070</v>
      </c>
      <c r="W1227" s="51"/>
      <c r="X1227" s="51"/>
      <c r="Y1227" s="147" t="str">
        <f t="shared" ref="Y1227:Z1227" si="2454">IF(_xlfn.ISFORMULA(S1227),IFERROR(0/0,""),TRUE)</f>
        <v/>
      </c>
      <c r="Z1227" s="147" t="str">
        <f t="shared" si="2454"/>
        <v/>
      </c>
    </row>
    <row r="1228">
      <c r="A1228" s="6" t="str">
        <f>IFERROR(__xludf.DUMMYFUNCTION("""COMPUTED_VALUE"""),"FM2777")</f>
        <v>FM2777</v>
      </c>
      <c r="B1228" s="206">
        <f>IFERROR(__xludf.DUMMYFUNCTION("""COMPUTED_VALUE"""),44746.0)</f>
        <v>44746</v>
      </c>
      <c r="C1228" s="207">
        <f>IFERROR(__xludf.DUMMYFUNCTION("""COMPUTED_VALUE"""),0.8016087962962963)</f>
        <v>0.8016087963</v>
      </c>
      <c r="D1228" s="50"/>
      <c r="E1228" s="58"/>
      <c r="F1228" s="58"/>
      <c r="G1228" s="58" t="str">
        <f>IFERROR(__xludf.DUMMYFUNCTION("""COMPUTED_VALUE"""),"Null")</f>
        <v>Null</v>
      </c>
      <c r="H1228" s="206" t="str">
        <f>IFERROR(__xludf.DUMMYFUNCTION("""COMPUTED_VALUE"""),"Negative")</f>
        <v>Negative</v>
      </c>
      <c r="I1228" s="207"/>
      <c r="J1228" s="50"/>
      <c r="K1228" s="50">
        <f>IFERROR(__xludf.DUMMYFUNCTION("""COMPUTED_VALUE"""),2.0)</f>
        <v>2</v>
      </c>
      <c r="L1228" s="6"/>
      <c r="M1228" s="55"/>
      <c r="N1228" s="55">
        <f>IFERROR(__xludf.DUMMYFUNCTION("""COMPUTED_VALUE"""),1.0)</f>
        <v>1</v>
      </c>
      <c r="O1228" s="55" t="str">
        <f t="shared" si="3"/>
        <v/>
      </c>
      <c r="P1228" s="209"/>
      <c r="Q1228" s="75" t="b">
        <f>VLOOKUP($B1228,'Run Reconcile'!B$2:P1679,15,FALSE)</f>
        <v>1</v>
      </c>
      <c r="R1228" s="211" t="str">
        <f t="array" ref="R1228">IF($Q1228, INDEX('Run Reconcile'!A$2:A1679,MATCH(B1228,'Run Reconcile'!B$2:B1679,0),1),IFERROR(0/0,""))</f>
        <v>RUN-COMB_2022-07-04_RFR-070</v>
      </c>
      <c r="S1228" s="165" t="str">
        <f t="shared" ref="S1228:T1228" si="2455">IF(COUNTIF(W$2:W1679, $A1228) &gt; 0,TRUE,IFERROR(0/0,""))</f>
        <v/>
      </c>
      <c r="T1228" s="165" t="str">
        <f t="shared" si="2455"/>
        <v/>
      </c>
      <c r="U1228" s="147" t="str">
        <f t="array" ref="U1228">IF(ISBLANK($R1228), IF($S1228,VLOOKUP($B1228+1,'RFR Data - preExcl'!$BF$2:$BG1679,2,FALSE),IF($T1228,INDEX('RFR Data - preExcl'!$BF$2:$BG1679,MATCH($B1228,'RFR Data - preExcl'!$BF$2:$BF1679,0)+1,2),VLOOKUP($B1228,'RFR Data - preExcl'!$BF$2:$BG1679,2,FALSE))),IFERROR(0/0,""))</f>
        <v/>
      </c>
      <c r="V1228" s="212" t="str">
        <f t="shared" si="5"/>
        <v>RUN-COMB_2022-07-04_RFR-070</v>
      </c>
      <c r="W1228" s="51"/>
      <c r="X1228" s="51"/>
      <c r="Y1228" s="147" t="str">
        <f t="shared" ref="Y1228:Z1228" si="2456">IF(_xlfn.ISFORMULA(S1228),IFERROR(0/0,""),TRUE)</f>
        <v/>
      </c>
      <c r="Z1228" s="147" t="str">
        <f t="shared" si="2456"/>
        <v/>
      </c>
    </row>
    <row r="1229">
      <c r="A1229" s="6" t="str">
        <f>IFERROR(__xludf.DUMMYFUNCTION("""COMPUTED_VALUE"""),"FM2790")</f>
        <v>FM2790</v>
      </c>
      <c r="B1229" s="206">
        <f>IFERROR(__xludf.DUMMYFUNCTION("""COMPUTED_VALUE"""),44746.0)</f>
        <v>44746</v>
      </c>
      <c r="C1229" s="207">
        <f>IFERROR(__xludf.DUMMYFUNCTION("""COMPUTED_VALUE"""),0.8019560185185185)</f>
        <v>0.8019560185</v>
      </c>
      <c r="D1229" s="50"/>
      <c r="E1229" s="58"/>
      <c r="F1229" s="58"/>
      <c r="G1229" s="58" t="str">
        <f>IFERROR(__xludf.DUMMYFUNCTION("""COMPUTED_VALUE"""),"Null")</f>
        <v>Null</v>
      </c>
      <c r="H1229" s="206" t="str">
        <f>IFERROR(__xludf.DUMMYFUNCTION("""COMPUTED_VALUE"""),"Negative")</f>
        <v>Negative</v>
      </c>
      <c r="I1229" s="207"/>
      <c r="J1229" s="50"/>
      <c r="K1229" s="50">
        <f>IFERROR(__xludf.DUMMYFUNCTION("""COMPUTED_VALUE"""),2.0)</f>
        <v>2</v>
      </c>
      <c r="L1229" s="6"/>
      <c r="M1229" s="55"/>
      <c r="N1229" s="55">
        <f>IFERROR(__xludf.DUMMYFUNCTION("""COMPUTED_VALUE"""),1.0)</f>
        <v>1</v>
      </c>
      <c r="O1229" s="55" t="str">
        <f t="shared" si="3"/>
        <v/>
      </c>
      <c r="P1229" s="209"/>
      <c r="Q1229" s="75" t="b">
        <f>VLOOKUP($B1229,'Run Reconcile'!B$2:P1679,15,FALSE)</f>
        <v>1</v>
      </c>
      <c r="R1229" s="211" t="str">
        <f t="array" ref="R1229">IF($Q1229, INDEX('Run Reconcile'!A$2:A1679,MATCH(B1229,'Run Reconcile'!B$2:B1679,0),1),IFERROR(0/0,""))</f>
        <v>RUN-COMB_2022-07-04_RFR-070</v>
      </c>
      <c r="S1229" s="165" t="str">
        <f t="shared" ref="S1229:T1229" si="2457">IF(COUNTIF(W$2:W1679, $A1229) &gt; 0,TRUE,IFERROR(0/0,""))</f>
        <v/>
      </c>
      <c r="T1229" s="165" t="str">
        <f t="shared" si="2457"/>
        <v/>
      </c>
      <c r="U1229" s="147" t="str">
        <f t="array" ref="U1229">IF(ISBLANK($R1229), IF($S1229,VLOOKUP($B1229+1,'RFR Data - preExcl'!$BF$2:$BG1679,2,FALSE),IF($T1229,INDEX('RFR Data - preExcl'!$BF$2:$BG1679,MATCH($B1229,'RFR Data - preExcl'!$BF$2:$BF1679,0)+1,2),VLOOKUP($B1229,'RFR Data - preExcl'!$BF$2:$BG1679,2,FALSE))),IFERROR(0/0,""))</f>
        <v/>
      </c>
      <c r="V1229" s="212" t="str">
        <f t="shared" si="5"/>
        <v>RUN-COMB_2022-07-04_RFR-070</v>
      </c>
      <c r="W1229" s="51"/>
      <c r="X1229" s="51"/>
      <c r="Y1229" s="147" t="str">
        <f t="shared" ref="Y1229:Z1229" si="2458">IF(_xlfn.ISFORMULA(S1229),IFERROR(0/0,""),TRUE)</f>
        <v/>
      </c>
      <c r="Z1229" s="147" t="str">
        <f t="shared" si="2458"/>
        <v/>
      </c>
    </row>
    <row r="1230">
      <c r="A1230" s="6" t="str">
        <f>IFERROR(__xludf.DUMMYFUNCTION("""COMPUTED_VALUE"""),"FM2789")</f>
        <v>FM2789</v>
      </c>
      <c r="B1230" s="206">
        <f>IFERROR(__xludf.DUMMYFUNCTION("""COMPUTED_VALUE"""),44746.0)</f>
        <v>44746</v>
      </c>
      <c r="C1230" s="207">
        <f>IFERROR(__xludf.DUMMYFUNCTION("""COMPUTED_VALUE"""),0.8022453703703704)</f>
        <v>0.8022453704</v>
      </c>
      <c r="D1230" s="50"/>
      <c r="E1230" s="58"/>
      <c r="F1230" s="58"/>
      <c r="G1230" s="58" t="str">
        <f>IFERROR(__xludf.DUMMYFUNCTION("""COMPUTED_VALUE"""),"Null")</f>
        <v>Null</v>
      </c>
      <c r="H1230" s="206" t="str">
        <f>IFERROR(__xludf.DUMMYFUNCTION("""COMPUTED_VALUE"""),"Negative")</f>
        <v>Negative</v>
      </c>
      <c r="I1230" s="207"/>
      <c r="J1230" s="50"/>
      <c r="K1230" s="50">
        <f>IFERROR(__xludf.DUMMYFUNCTION("""COMPUTED_VALUE"""),2.0)</f>
        <v>2</v>
      </c>
      <c r="L1230" s="6"/>
      <c r="M1230" s="55"/>
      <c r="N1230" s="55">
        <f>IFERROR(__xludf.DUMMYFUNCTION("""COMPUTED_VALUE"""),1.0)</f>
        <v>1</v>
      </c>
      <c r="O1230" s="55" t="str">
        <f t="shared" si="3"/>
        <v/>
      </c>
      <c r="P1230" s="209"/>
      <c r="Q1230" s="75" t="b">
        <f>VLOOKUP($B1230,'Run Reconcile'!B$2:P1679,15,FALSE)</f>
        <v>1</v>
      </c>
      <c r="R1230" s="211" t="str">
        <f t="array" ref="R1230">IF($Q1230, INDEX('Run Reconcile'!A$2:A1679,MATCH(B1230,'Run Reconcile'!B$2:B1679,0),1),IFERROR(0/0,""))</f>
        <v>RUN-COMB_2022-07-04_RFR-070</v>
      </c>
      <c r="S1230" s="165" t="str">
        <f t="shared" ref="S1230:T1230" si="2459">IF(COUNTIF(W$2:W1679, $A1230) &gt; 0,TRUE,IFERROR(0/0,""))</f>
        <v/>
      </c>
      <c r="T1230" s="165" t="str">
        <f t="shared" si="2459"/>
        <v/>
      </c>
      <c r="U1230" s="147" t="str">
        <f t="array" ref="U1230">IF(ISBLANK($R1230), IF($S1230,VLOOKUP($B1230+1,'RFR Data - preExcl'!$BF$2:$BG1679,2,FALSE),IF($T1230,INDEX('RFR Data - preExcl'!$BF$2:$BG1679,MATCH($B1230,'RFR Data - preExcl'!$BF$2:$BF1679,0)+1,2),VLOOKUP($B1230,'RFR Data - preExcl'!$BF$2:$BG1679,2,FALSE))),IFERROR(0/0,""))</f>
        <v/>
      </c>
      <c r="V1230" s="212" t="str">
        <f t="shared" si="5"/>
        <v>RUN-COMB_2022-07-04_RFR-070</v>
      </c>
      <c r="W1230" s="51"/>
      <c r="X1230" s="51"/>
      <c r="Y1230" s="147" t="str">
        <f t="shared" ref="Y1230:Z1230" si="2460">IF(_xlfn.ISFORMULA(S1230),IFERROR(0/0,""),TRUE)</f>
        <v/>
      </c>
      <c r="Z1230" s="147" t="str">
        <f t="shared" si="2460"/>
        <v/>
      </c>
    </row>
    <row r="1231">
      <c r="A1231" s="6" t="str">
        <f>IFERROR(__xludf.DUMMYFUNCTION("""COMPUTED_VALUE"""),"FM2753")</f>
        <v>FM2753</v>
      </c>
      <c r="B1231" s="206">
        <f>IFERROR(__xludf.DUMMYFUNCTION("""COMPUTED_VALUE"""),44746.0)</f>
        <v>44746</v>
      </c>
      <c r="C1231" s="207">
        <f>IFERROR(__xludf.DUMMYFUNCTION("""COMPUTED_VALUE"""),0.8025578703703704)</f>
        <v>0.8025578704</v>
      </c>
      <c r="D1231" s="50"/>
      <c r="E1231" s="58"/>
      <c r="F1231" s="58"/>
      <c r="G1231" s="58" t="str">
        <f>IFERROR(__xludf.DUMMYFUNCTION("""COMPUTED_VALUE"""),"Null")</f>
        <v>Null</v>
      </c>
      <c r="H1231" s="206" t="str">
        <f>IFERROR(__xludf.DUMMYFUNCTION("""COMPUTED_VALUE"""),"Negative")</f>
        <v>Negative</v>
      </c>
      <c r="I1231" s="207"/>
      <c r="J1231" s="50"/>
      <c r="K1231" s="50">
        <f>IFERROR(__xludf.DUMMYFUNCTION("""COMPUTED_VALUE"""),2.0)</f>
        <v>2</v>
      </c>
      <c r="L1231" s="6"/>
      <c r="M1231" s="55"/>
      <c r="N1231" s="55">
        <f>IFERROR(__xludf.DUMMYFUNCTION("""COMPUTED_VALUE"""),1.0)</f>
        <v>1</v>
      </c>
      <c r="O1231" s="55" t="str">
        <f t="shared" si="3"/>
        <v/>
      </c>
      <c r="P1231" s="209"/>
      <c r="Q1231" s="75" t="b">
        <f>VLOOKUP($B1231,'Run Reconcile'!B$2:P1679,15,FALSE)</f>
        <v>1</v>
      </c>
      <c r="R1231" s="211" t="str">
        <f t="array" ref="R1231">IF($Q1231, INDEX('Run Reconcile'!A$2:A1679,MATCH(B1231,'Run Reconcile'!B$2:B1679,0),1),IFERROR(0/0,""))</f>
        <v>RUN-COMB_2022-07-04_RFR-070</v>
      </c>
      <c r="S1231" s="165" t="str">
        <f t="shared" ref="S1231:T1231" si="2461">IF(COUNTIF(W$2:W1679, $A1231) &gt; 0,TRUE,IFERROR(0/0,""))</f>
        <v/>
      </c>
      <c r="T1231" s="165" t="str">
        <f t="shared" si="2461"/>
        <v/>
      </c>
      <c r="U1231" s="147" t="str">
        <f t="array" ref="U1231">IF(ISBLANK($R1231), IF($S1231,VLOOKUP($B1231+1,'RFR Data - preExcl'!$BF$2:$BG1679,2,FALSE),IF($T1231,INDEX('RFR Data - preExcl'!$BF$2:$BG1679,MATCH($B1231,'RFR Data - preExcl'!$BF$2:$BF1679,0)+1,2),VLOOKUP($B1231,'RFR Data - preExcl'!$BF$2:$BG1679,2,FALSE))),IFERROR(0/0,""))</f>
        <v/>
      </c>
      <c r="V1231" s="212" t="str">
        <f t="shared" si="5"/>
        <v>RUN-COMB_2022-07-04_RFR-070</v>
      </c>
      <c r="W1231" s="51"/>
      <c r="X1231" s="51"/>
      <c r="Y1231" s="147" t="str">
        <f t="shared" ref="Y1231:Z1231" si="2462">IF(_xlfn.ISFORMULA(S1231),IFERROR(0/0,""),TRUE)</f>
        <v/>
      </c>
      <c r="Z1231" s="147" t="str">
        <f t="shared" si="2462"/>
        <v/>
      </c>
    </row>
    <row r="1232">
      <c r="A1232" s="6" t="str">
        <f>IFERROR(__xludf.DUMMYFUNCTION("""COMPUTED_VALUE"""),"FM2752")</f>
        <v>FM2752</v>
      </c>
      <c r="B1232" s="206">
        <f>IFERROR(__xludf.DUMMYFUNCTION("""COMPUTED_VALUE"""),44746.0)</f>
        <v>44746</v>
      </c>
      <c r="C1232" s="207">
        <f>IFERROR(__xludf.DUMMYFUNCTION("""COMPUTED_VALUE"""),0.8028356481481481)</f>
        <v>0.8028356481</v>
      </c>
      <c r="D1232" s="50"/>
      <c r="E1232" s="58"/>
      <c r="F1232" s="58"/>
      <c r="G1232" s="58" t="str">
        <f>IFERROR(__xludf.DUMMYFUNCTION("""COMPUTED_VALUE"""),"Null")</f>
        <v>Null</v>
      </c>
      <c r="H1232" s="206" t="str">
        <f>IFERROR(__xludf.DUMMYFUNCTION("""COMPUTED_VALUE"""),"Negative")</f>
        <v>Negative</v>
      </c>
      <c r="I1232" s="207"/>
      <c r="J1232" s="50"/>
      <c r="K1232" s="50">
        <f>IFERROR(__xludf.DUMMYFUNCTION("""COMPUTED_VALUE"""),2.0)</f>
        <v>2</v>
      </c>
      <c r="L1232" s="6"/>
      <c r="M1232" s="55"/>
      <c r="N1232" s="55">
        <f>IFERROR(__xludf.DUMMYFUNCTION("""COMPUTED_VALUE"""),1.0)</f>
        <v>1</v>
      </c>
      <c r="O1232" s="55" t="str">
        <f t="shared" si="3"/>
        <v/>
      </c>
      <c r="P1232" s="209"/>
      <c r="Q1232" s="75" t="b">
        <f>VLOOKUP($B1232,'Run Reconcile'!B$2:P1679,15,FALSE)</f>
        <v>1</v>
      </c>
      <c r="R1232" s="211" t="str">
        <f t="array" ref="R1232">IF($Q1232, INDEX('Run Reconcile'!A$2:A1679,MATCH(B1232,'Run Reconcile'!B$2:B1679,0),1),IFERROR(0/0,""))</f>
        <v>RUN-COMB_2022-07-04_RFR-070</v>
      </c>
      <c r="S1232" s="165" t="str">
        <f t="shared" ref="S1232:T1232" si="2463">IF(COUNTIF(W$2:W1679, $A1232) &gt; 0,TRUE,IFERROR(0/0,""))</f>
        <v/>
      </c>
      <c r="T1232" s="165" t="str">
        <f t="shared" si="2463"/>
        <v/>
      </c>
      <c r="U1232" s="147" t="str">
        <f t="array" ref="U1232">IF(ISBLANK($R1232), IF($S1232,VLOOKUP($B1232+1,'RFR Data - preExcl'!$BF$2:$BG1679,2,FALSE),IF($T1232,INDEX('RFR Data - preExcl'!$BF$2:$BG1679,MATCH($B1232,'RFR Data - preExcl'!$BF$2:$BF1679,0)+1,2),VLOOKUP($B1232,'RFR Data - preExcl'!$BF$2:$BG1679,2,FALSE))),IFERROR(0/0,""))</f>
        <v/>
      </c>
      <c r="V1232" s="212" t="str">
        <f t="shared" si="5"/>
        <v>RUN-COMB_2022-07-04_RFR-070</v>
      </c>
      <c r="W1232" s="51"/>
      <c r="X1232" s="51"/>
      <c r="Y1232" s="147" t="str">
        <f t="shared" ref="Y1232:Z1232" si="2464">IF(_xlfn.ISFORMULA(S1232),IFERROR(0/0,""),TRUE)</f>
        <v/>
      </c>
      <c r="Z1232" s="147" t="str">
        <f t="shared" si="2464"/>
        <v/>
      </c>
    </row>
    <row r="1233">
      <c r="A1233" s="6" t="str">
        <f>IFERROR(__xludf.DUMMYFUNCTION("""COMPUTED_VALUE"""),"FM2731")</f>
        <v>FM2731</v>
      </c>
      <c r="B1233" s="206">
        <f>IFERROR(__xludf.DUMMYFUNCTION("""COMPUTED_VALUE"""),44746.0)</f>
        <v>44746</v>
      </c>
      <c r="C1233" s="207">
        <f>IFERROR(__xludf.DUMMYFUNCTION("""COMPUTED_VALUE"""),0.803125)</f>
        <v>0.803125</v>
      </c>
      <c r="D1233" s="50"/>
      <c r="E1233" s="58"/>
      <c r="F1233" s="58"/>
      <c r="G1233" s="58" t="str">
        <f>IFERROR(__xludf.DUMMYFUNCTION("""COMPUTED_VALUE"""),"Null")</f>
        <v>Null</v>
      </c>
      <c r="H1233" s="206" t="str">
        <f>IFERROR(__xludf.DUMMYFUNCTION("""COMPUTED_VALUE"""),"Negative")</f>
        <v>Negative</v>
      </c>
      <c r="I1233" s="207"/>
      <c r="J1233" s="50"/>
      <c r="K1233" s="50">
        <f>IFERROR(__xludf.DUMMYFUNCTION("""COMPUTED_VALUE"""),2.0)</f>
        <v>2</v>
      </c>
      <c r="L1233" s="6"/>
      <c r="M1233" s="55"/>
      <c r="N1233" s="55">
        <f>IFERROR(__xludf.DUMMYFUNCTION("""COMPUTED_VALUE"""),1.0)</f>
        <v>1</v>
      </c>
      <c r="O1233" s="55" t="str">
        <f t="shared" si="3"/>
        <v/>
      </c>
      <c r="P1233" s="209"/>
      <c r="Q1233" s="75" t="b">
        <f>VLOOKUP($B1233,'Run Reconcile'!B$2:P1679,15,FALSE)</f>
        <v>1</v>
      </c>
      <c r="R1233" s="211" t="str">
        <f t="array" ref="R1233">IF($Q1233, INDEX('Run Reconcile'!A$2:A1679,MATCH(B1233,'Run Reconcile'!B$2:B1679,0),1),IFERROR(0/0,""))</f>
        <v>RUN-COMB_2022-07-04_RFR-070</v>
      </c>
      <c r="S1233" s="165" t="str">
        <f t="shared" ref="S1233:T1233" si="2465">IF(COUNTIF(W$2:W1679, $A1233) &gt; 0,TRUE,IFERROR(0/0,""))</f>
        <v/>
      </c>
      <c r="T1233" s="165" t="str">
        <f t="shared" si="2465"/>
        <v/>
      </c>
      <c r="U1233" s="147" t="str">
        <f t="array" ref="U1233">IF(ISBLANK($R1233), IF($S1233,VLOOKUP($B1233+1,'RFR Data - preExcl'!$BF$2:$BG1679,2,FALSE),IF($T1233,INDEX('RFR Data - preExcl'!$BF$2:$BG1679,MATCH($B1233,'RFR Data - preExcl'!$BF$2:$BF1679,0)+1,2),VLOOKUP($B1233,'RFR Data - preExcl'!$BF$2:$BG1679,2,FALSE))),IFERROR(0/0,""))</f>
        <v/>
      </c>
      <c r="V1233" s="212" t="str">
        <f t="shared" si="5"/>
        <v>RUN-COMB_2022-07-04_RFR-070</v>
      </c>
      <c r="W1233" s="51"/>
      <c r="X1233" s="51"/>
      <c r="Y1233" s="147" t="str">
        <f t="shared" ref="Y1233:Z1233" si="2466">IF(_xlfn.ISFORMULA(S1233),IFERROR(0/0,""),TRUE)</f>
        <v/>
      </c>
      <c r="Z1233" s="147" t="str">
        <f t="shared" si="2466"/>
        <v/>
      </c>
    </row>
    <row r="1234">
      <c r="A1234" s="6" t="str">
        <f>IFERROR(__xludf.DUMMYFUNCTION("""COMPUTED_VALUE"""),"FM2730")</f>
        <v>FM2730</v>
      </c>
      <c r="B1234" s="206">
        <f>IFERROR(__xludf.DUMMYFUNCTION("""COMPUTED_VALUE"""),44746.0)</f>
        <v>44746</v>
      </c>
      <c r="C1234" s="207">
        <f>IFERROR(__xludf.DUMMYFUNCTION("""COMPUTED_VALUE"""),0.8034837962962963)</f>
        <v>0.8034837963</v>
      </c>
      <c r="D1234" s="50"/>
      <c r="E1234" s="58"/>
      <c r="F1234" s="58"/>
      <c r="G1234" s="58" t="str">
        <f>IFERROR(__xludf.DUMMYFUNCTION("""COMPUTED_VALUE"""),"Null")</f>
        <v>Null</v>
      </c>
      <c r="H1234" s="206" t="str">
        <f>IFERROR(__xludf.DUMMYFUNCTION("""COMPUTED_VALUE"""),"Negative")</f>
        <v>Negative</v>
      </c>
      <c r="I1234" s="207"/>
      <c r="J1234" s="50"/>
      <c r="K1234" s="50">
        <f>IFERROR(__xludf.DUMMYFUNCTION("""COMPUTED_VALUE"""),2.0)</f>
        <v>2</v>
      </c>
      <c r="L1234" s="6"/>
      <c r="M1234" s="55"/>
      <c r="N1234" s="55">
        <f>IFERROR(__xludf.DUMMYFUNCTION("""COMPUTED_VALUE"""),1.0)</f>
        <v>1</v>
      </c>
      <c r="O1234" s="55" t="str">
        <f t="shared" si="3"/>
        <v/>
      </c>
      <c r="P1234" s="209"/>
      <c r="Q1234" s="75" t="b">
        <f>VLOOKUP($B1234,'Run Reconcile'!B$2:P1679,15,FALSE)</f>
        <v>1</v>
      </c>
      <c r="R1234" s="211" t="str">
        <f t="array" ref="R1234">IF($Q1234, INDEX('Run Reconcile'!A$2:A1679,MATCH(B1234,'Run Reconcile'!B$2:B1679,0),1),IFERROR(0/0,""))</f>
        <v>RUN-COMB_2022-07-04_RFR-070</v>
      </c>
      <c r="S1234" s="165" t="str">
        <f t="shared" ref="S1234:T1234" si="2467">IF(COUNTIF(W$2:W1679, $A1234) &gt; 0,TRUE,IFERROR(0/0,""))</f>
        <v/>
      </c>
      <c r="T1234" s="165" t="str">
        <f t="shared" si="2467"/>
        <v/>
      </c>
      <c r="U1234" s="147" t="str">
        <f t="array" ref="U1234">IF(ISBLANK($R1234), IF($S1234,VLOOKUP($B1234+1,'RFR Data - preExcl'!$BF$2:$BG1679,2,FALSE),IF($T1234,INDEX('RFR Data - preExcl'!$BF$2:$BG1679,MATCH($B1234,'RFR Data - preExcl'!$BF$2:$BF1679,0)+1,2),VLOOKUP($B1234,'RFR Data - preExcl'!$BF$2:$BG1679,2,FALSE))),IFERROR(0/0,""))</f>
        <v/>
      </c>
      <c r="V1234" s="212" t="str">
        <f t="shared" si="5"/>
        <v>RUN-COMB_2022-07-04_RFR-070</v>
      </c>
      <c r="W1234" s="51"/>
      <c r="X1234" s="51"/>
      <c r="Y1234" s="147" t="str">
        <f t="shared" ref="Y1234:Z1234" si="2468">IF(_xlfn.ISFORMULA(S1234),IFERROR(0/0,""),TRUE)</f>
        <v/>
      </c>
      <c r="Z1234" s="147" t="str">
        <f t="shared" si="2468"/>
        <v/>
      </c>
    </row>
    <row r="1235">
      <c r="A1235" s="6" t="str">
        <f>IFERROR(__xludf.DUMMYFUNCTION("""COMPUTED_VALUE"""),"FM2770")</f>
        <v>FM2770</v>
      </c>
      <c r="B1235" s="206">
        <f>IFERROR(__xludf.DUMMYFUNCTION("""COMPUTED_VALUE"""),44746.0)</f>
        <v>44746</v>
      </c>
      <c r="C1235" s="207">
        <f>IFERROR(__xludf.DUMMYFUNCTION("""COMPUTED_VALUE"""),0.8038078703703704)</f>
        <v>0.8038078704</v>
      </c>
      <c r="D1235" s="50"/>
      <c r="E1235" s="58"/>
      <c r="F1235" s="58"/>
      <c r="G1235" s="58" t="str">
        <f>IFERROR(__xludf.DUMMYFUNCTION("""COMPUTED_VALUE"""),"Null")</f>
        <v>Null</v>
      </c>
      <c r="H1235" s="206" t="str">
        <f>IFERROR(__xludf.DUMMYFUNCTION("""COMPUTED_VALUE"""),"Negative")</f>
        <v>Negative</v>
      </c>
      <c r="I1235" s="207"/>
      <c r="J1235" s="50"/>
      <c r="K1235" s="50">
        <f>IFERROR(__xludf.DUMMYFUNCTION("""COMPUTED_VALUE"""),2.0)</f>
        <v>2</v>
      </c>
      <c r="L1235" s="6"/>
      <c r="M1235" s="55"/>
      <c r="N1235" s="55">
        <f>IFERROR(__xludf.DUMMYFUNCTION("""COMPUTED_VALUE"""),1.0)</f>
        <v>1</v>
      </c>
      <c r="O1235" s="55" t="str">
        <f t="shared" si="3"/>
        <v/>
      </c>
      <c r="P1235" s="209"/>
      <c r="Q1235" s="75" t="b">
        <f>VLOOKUP($B1235,'Run Reconcile'!B$2:P1679,15,FALSE)</f>
        <v>1</v>
      </c>
      <c r="R1235" s="211" t="str">
        <f t="array" ref="R1235">IF($Q1235, INDEX('Run Reconcile'!A$2:A1679,MATCH(B1235,'Run Reconcile'!B$2:B1679,0),1),IFERROR(0/0,""))</f>
        <v>RUN-COMB_2022-07-04_RFR-070</v>
      </c>
      <c r="S1235" s="165" t="str">
        <f t="shared" ref="S1235:T1235" si="2469">IF(COUNTIF(W$2:W1679, $A1235) &gt; 0,TRUE,IFERROR(0/0,""))</f>
        <v/>
      </c>
      <c r="T1235" s="165" t="str">
        <f t="shared" si="2469"/>
        <v/>
      </c>
      <c r="U1235" s="147" t="str">
        <f t="array" ref="U1235">IF(ISBLANK($R1235), IF($S1235,VLOOKUP($B1235+1,'RFR Data - preExcl'!$BF$2:$BG1679,2,FALSE),IF($T1235,INDEX('RFR Data - preExcl'!$BF$2:$BG1679,MATCH($B1235,'RFR Data - preExcl'!$BF$2:$BF1679,0)+1,2),VLOOKUP($B1235,'RFR Data - preExcl'!$BF$2:$BG1679,2,FALSE))),IFERROR(0/0,""))</f>
        <v/>
      </c>
      <c r="V1235" s="212" t="str">
        <f t="shared" si="5"/>
        <v>RUN-COMB_2022-07-04_RFR-070</v>
      </c>
      <c r="W1235" s="51"/>
      <c r="X1235" s="51"/>
      <c r="Y1235" s="147" t="str">
        <f t="shared" ref="Y1235:Z1235" si="2470">IF(_xlfn.ISFORMULA(S1235),IFERROR(0/0,""),TRUE)</f>
        <v/>
      </c>
      <c r="Z1235" s="147" t="str">
        <f t="shared" si="2470"/>
        <v/>
      </c>
    </row>
    <row r="1236">
      <c r="A1236" s="6" t="str">
        <f>IFERROR(__xludf.DUMMYFUNCTION("""COMPUTED_VALUE"""),"FM2721")</f>
        <v>FM2721</v>
      </c>
      <c r="B1236" s="206">
        <f>IFERROR(__xludf.DUMMYFUNCTION("""COMPUTED_VALUE"""),44746.0)</f>
        <v>44746</v>
      </c>
      <c r="C1236" s="207">
        <f>IFERROR(__xludf.DUMMYFUNCTION("""COMPUTED_VALUE"""),0.8041782407407407)</f>
        <v>0.8041782407</v>
      </c>
      <c r="D1236" s="50"/>
      <c r="E1236" s="58"/>
      <c r="F1236" s="58"/>
      <c r="G1236" s="58" t="str">
        <f>IFERROR(__xludf.DUMMYFUNCTION("""COMPUTED_VALUE"""),"Null")</f>
        <v>Null</v>
      </c>
      <c r="H1236" s="206" t="str">
        <f>IFERROR(__xludf.DUMMYFUNCTION("""COMPUTED_VALUE"""),"Negative")</f>
        <v>Negative</v>
      </c>
      <c r="I1236" s="207"/>
      <c r="J1236" s="50"/>
      <c r="K1236" s="50">
        <f>IFERROR(__xludf.DUMMYFUNCTION("""COMPUTED_VALUE"""),2.0)</f>
        <v>2</v>
      </c>
      <c r="L1236" s="6"/>
      <c r="M1236" s="55"/>
      <c r="N1236" s="55">
        <f>IFERROR(__xludf.DUMMYFUNCTION("""COMPUTED_VALUE"""),1.0)</f>
        <v>1</v>
      </c>
      <c r="O1236" s="55" t="str">
        <f t="shared" si="3"/>
        <v/>
      </c>
      <c r="P1236" s="209"/>
      <c r="Q1236" s="75" t="b">
        <f>VLOOKUP($B1236,'Run Reconcile'!B$2:P1679,15,FALSE)</f>
        <v>1</v>
      </c>
      <c r="R1236" s="211" t="str">
        <f t="array" ref="R1236">IF($Q1236, INDEX('Run Reconcile'!A$2:A1679,MATCH(B1236,'Run Reconcile'!B$2:B1679,0),1),IFERROR(0/0,""))</f>
        <v>RUN-COMB_2022-07-04_RFR-070</v>
      </c>
      <c r="S1236" s="165" t="str">
        <f t="shared" ref="S1236:T1236" si="2471">IF(COUNTIF(W$2:W1679, $A1236) &gt; 0,TRUE,IFERROR(0/0,""))</f>
        <v/>
      </c>
      <c r="T1236" s="165" t="str">
        <f t="shared" si="2471"/>
        <v/>
      </c>
      <c r="U1236" s="147" t="str">
        <f t="array" ref="U1236">IF(ISBLANK($R1236), IF($S1236,VLOOKUP($B1236+1,'RFR Data - preExcl'!$BF$2:$BG1679,2,FALSE),IF($T1236,INDEX('RFR Data - preExcl'!$BF$2:$BG1679,MATCH($B1236,'RFR Data - preExcl'!$BF$2:$BF1679,0)+1,2),VLOOKUP($B1236,'RFR Data - preExcl'!$BF$2:$BG1679,2,FALSE))),IFERROR(0/0,""))</f>
        <v/>
      </c>
      <c r="V1236" s="212" t="str">
        <f t="shared" si="5"/>
        <v>RUN-COMB_2022-07-04_RFR-070</v>
      </c>
      <c r="W1236" s="51"/>
      <c r="X1236" s="51"/>
      <c r="Y1236" s="147" t="str">
        <f t="shared" ref="Y1236:Z1236" si="2472">IF(_xlfn.ISFORMULA(S1236),IFERROR(0/0,""),TRUE)</f>
        <v/>
      </c>
      <c r="Z1236" s="147" t="str">
        <f t="shared" si="2472"/>
        <v/>
      </c>
    </row>
    <row r="1237">
      <c r="A1237" s="6" t="str">
        <f>IFERROR(__xludf.DUMMYFUNCTION("""COMPUTED_VALUE"""),"FM2755")</f>
        <v>FM2755</v>
      </c>
      <c r="B1237" s="206">
        <f>IFERROR(__xludf.DUMMYFUNCTION("""COMPUTED_VALUE"""),44746.0)</f>
        <v>44746</v>
      </c>
      <c r="C1237" s="207">
        <f>IFERROR(__xludf.DUMMYFUNCTION("""COMPUTED_VALUE"""),0.8044907407407408)</f>
        <v>0.8044907407</v>
      </c>
      <c r="D1237" s="50"/>
      <c r="E1237" s="58"/>
      <c r="F1237" s="58"/>
      <c r="G1237" s="58" t="str">
        <f>IFERROR(__xludf.DUMMYFUNCTION("""COMPUTED_VALUE"""),"Null")</f>
        <v>Null</v>
      </c>
      <c r="H1237" s="206" t="str">
        <f>IFERROR(__xludf.DUMMYFUNCTION("""COMPUTED_VALUE"""),"Negative")</f>
        <v>Negative</v>
      </c>
      <c r="I1237" s="207"/>
      <c r="J1237" s="50"/>
      <c r="K1237" s="50">
        <f>IFERROR(__xludf.DUMMYFUNCTION("""COMPUTED_VALUE"""),2.0)</f>
        <v>2</v>
      </c>
      <c r="L1237" s="6"/>
      <c r="M1237" s="55"/>
      <c r="N1237" s="55">
        <f>IFERROR(__xludf.DUMMYFUNCTION("""COMPUTED_VALUE"""),1.0)</f>
        <v>1</v>
      </c>
      <c r="O1237" s="55" t="str">
        <f t="shared" si="3"/>
        <v/>
      </c>
      <c r="P1237" s="209"/>
      <c r="Q1237" s="75" t="b">
        <f>VLOOKUP($B1237,'Run Reconcile'!B$2:P1679,15,FALSE)</f>
        <v>1</v>
      </c>
      <c r="R1237" s="211" t="str">
        <f t="array" ref="R1237">IF($Q1237, INDEX('Run Reconcile'!A$2:A1679,MATCH(B1237,'Run Reconcile'!B$2:B1679,0),1),IFERROR(0/0,""))</f>
        <v>RUN-COMB_2022-07-04_RFR-070</v>
      </c>
      <c r="S1237" s="165" t="str">
        <f t="shared" ref="S1237:T1237" si="2473">IF(COUNTIF(W$2:W1679, $A1237) &gt; 0,TRUE,IFERROR(0/0,""))</f>
        <v/>
      </c>
      <c r="T1237" s="165" t="str">
        <f t="shared" si="2473"/>
        <v/>
      </c>
      <c r="U1237" s="147" t="str">
        <f t="array" ref="U1237">IF(ISBLANK($R1237), IF($S1237,VLOOKUP($B1237+1,'RFR Data - preExcl'!$BF$2:$BG1679,2,FALSE),IF($T1237,INDEX('RFR Data - preExcl'!$BF$2:$BG1679,MATCH($B1237,'RFR Data - preExcl'!$BF$2:$BF1679,0)+1,2),VLOOKUP($B1237,'RFR Data - preExcl'!$BF$2:$BG1679,2,FALSE))),IFERROR(0/0,""))</f>
        <v/>
      </c>
      <c r="V1237" s="212" t="str">
        <f t="shared" si="5"/>
        <v>RUN-COMB_2022-07-04_RFR-070</v>
      </c>
      <c r="W1237" s="51"/>
      <c r="X1237" s="51"/>
      <c r="Y1237" s="147" t="str">
        <f t="shared" ref="Y1237:Z1237" si="2474">IF(_xlfn.ISFORMULA(S1237),IFERROR(0/0,""),TRUE)</f>
        <v/>
      </c>
      <c r="Z1237" s="147" t="str">
        <f t="shared" si="2474"/>
        <v/>
      </c>
    </row>
    <row r="1238">
      <c r="A1238" s="6" t="str">
        <f>IFERROR(__xludf.DUMMYFUNCTION("""COMPUTED_VALUE"""),"FM2748")</f>
        <v>FM2748</v>
      </c>
      <c r="B1238" s="206">
        <f>IFERROR(__xludf.DUMMYFUNCTION("""COMPUTED_VALUE"""),44746.0)</f>
        <v>44746</v>
      </c>
      <c r="C1238" s="207">
        <f>IFERROR(__xludf.DUMMYFUNCTION("""COMPUTED_VALUE"""),0.804849537037037)</f>
        <v>0.804849537</v>
      </c>
      <c r="D1238" s="50"/>
      <c r="E1238" s="58"/>
      <c r="F1238" s="58"/>
      <c r="G1238" s="58" t="str">
        <f>IFERROR(__xludf.DUMMYFUNCTION("""COMPUTED_VALUE"""),"Null")</f>
        <v>Null</v>
      </c>
      <c r="H1238" s="206" t="str">
        <f>IFERROR(__xludf.DUMMYFUNCTION("""COMPUTED_VALUE"""),"Negative")</f>
        <v>Negative</v>
      </c>
      <c r="I1238" s="207"/>
      <c r="J1238" s="50"/>
      <c r="K1238" s="50">
        <f>IFERROR(__xludf.DUMMYFUNCTION("""COMPUTED_VALUE"""),2.0)</f>
        <v>2</v>
      </c>
      <c r="L1238" s="6"/>
      <c r="M1238" s="55"/>
      <c r="N1238" s="55">
        <f>IFERROR(__xludf.DUMMYFUNCTION("""COMPUTED_VALUE"""),1.0)</f>
        <v>1</v>
      </c>
      <c r="O1238" s="55" t="str">
        <f t="shared" si="3"/>
        <v/>
      </c>
      <c r="P1238" s="209"/>
      <c r="Q1238" s="75" t="b">
        <f>VLOOKUP($B1238,'Run Reconcile'!B$2:P1679,15,FALSE)</f>
        <v>1</v>
      </c>
      <c r="R1238" s="211" t="str">
        <f t="array" ref="R1238">IF($Q1238, INDEX('Run Reconcile'!A$2:A1679,MATCH(B1238,'Run Reconcile'!B$2:B1679,0),1),IFERROR(0/0,""))</f>
        <v>RUN-COMB_2022-07-04_RFR-070</v>
      </c>
      <c r="S1238" s="165" t="str">
        <f t="shared" ref="S1238:T1238" si="2475">IF(COUNTIF(W$2:W1679, $A1238) &gt; 0,TRUE,IFERROR(0/0,""))</f>
        <v/>
      </c>
      <c r="T1238" s="165" t="str">
        <f t="shared" si="2475"/>
        <v/>
      </c>
      <c r="U1238" s="147" t="str">
        <f t="array" ref="U1238">IF(ISBLANK($R1238), IF($S1238,VLOOKUP($B1238+1,'RFR Data - preExcl'!$BF$2:$BG1679,2,FALSE),IF($T1238,INDEX('RFR Data - preExcl'!$BF$2:$BG1679,MATCH($B1238,'RFR Data - preExcl'!$BF$2:$BF1679,0)+1,2),VLOOKUP($B1238,'RFR Data - preExcl'!$BF$2:$BG1679,2,FALSE))),IFERROR(0/0,""))</f>
        <v/>
      </c>
      <c r="V1238" s="212" t="str">
        <f t="shared" si="5"/>
        <v>RUN-COMB_2022-07-04_RFR-070</v>
      </c>
      <c r="W1238" s="51"/>
      <c r="X1238" s="51"/>
      <c r="Y1238" s="147" t="str">
        <f t="shared" ref="Y1238:Z1238" si="2476">IF(_xlfn.ISFORMULA(S1238),IFERROR(0/0,""),TRUE)</f>
        <v/>
      </c>
      <c r="Z1238" s="147" t="str">
        <f t="shared" si="2476"/>
        <v/>
      </c>
    </row>
    <row r="1239">
      <c r="A1239" s="6" t="str">
        <f>IFERROR(__xludf.DUMMYFUNCTION("""COMPUTED_VALUE"""),"FM2707")</f>
        <v>FM2707</v>
      </c>
      <c r="B1239" s="206">
        <f>IFERROR(__xludf.DUMMYFUNCTION("""COMPUTED_VALUE"""),44746.0)</f>
        <v>44746</v>
      </c>
      <c r="C1239" s="207">
        <f>IFERROR(__xludf.DUMMYFUNCTION("""COMPUTED_VALUE"""),0.8054629629629629)</f>
        <v>0.805462963</v>
      </c>
      <c r="D1239" s="50"/>
      <c r="E1239" s="58"/>
      <c r="F1239" s="58"/>
      <c r="G1239" s="58" t="str">
        <f>IFERROR(__xludf.DUMMYFUNCTION("""COMPUTED_VALUE"""),"Null")</f>
        <v>Null</v>
      </c>
      <c r="H1239" s="206" t="str">
        <f>IFERROR(__xludf.DUMMYFUNCTION("""COMPUTED_VALUE"""),"Negative")</f>
        <v>Negative</v>
      </c>
      <c r="I1239" s="207"/>
      <c r="J1239" s="50"/>
      <c r="K1239" s="50">
        <f>IFERROR(__xludf.DUMMYFUNCTION("""COMPUTED_VALUE"""),2.0)</f>
        <v>2</v>
      </c>
      <c r="L1239" s="6"/>
      <c r="M1239" s="55"/>
      <c r="N1239" s="55">
        <f>IFERROR(__xludf.DUMMYFUNCTION("""COMPUTED_VALUE"""),1.0)</f>
        <v>1</v>
      </c>
      <c r="O1239" s="55" t="str">
        <f t="shared" si="3"/>
        <v/>
      </c>
      <c r="P1239" s="209"/>
      <c r="Q1239" s="75" t="b">
        <f>VLOOKUP($B1239,'Run Reconcile'!B$2:P1679,15,FALSE)</f>
        <v>1</v>
      </c>
      <c r="R1239" s="211" t="str">
        <f t="array" ref="R1239">IF($Q1239, INDEX('Run Reconcile'!A$2:A1679,MATCH(B1239,'Run Reconcile'!B$2:B1679,0),1),IFERROR(0/0,""))</f>
        <v>RUN-COMB_2022-07-04_RFR-070</v>
      </c>
      <c r="S1239" s="165" t="str">
        <f t="shared" ref="S1239:T1239" si="2477">IF(COUNTIF(W$2:W1679, $A1239) &gt; 0,TRUE,IFERROR(0/0,""))</f>
        <v/>
      </c>
      <c r="T1239" s="165" t="str">
        <f t="shared" si="2477"/>
        <v/>
      </c>
      <c r="U1239" s="147" t="str">
        <f t="array" ref="U1239">IF(ISBLANK($R1239), IF($S1239,VLOOKUP($B1239+1,'RFR Data - preExcl'!$BF$2:$BG1679,2,FALSE),IF($T1239,INDEX('RFR Data - preExcl'!$BF$2:$BG1679,MATCH($B1239,'RFR Data - preExcl'!$BF$2:$BF1679,0)+1,2),VLOOKUP($B1239,'RFR Data - preExcl'!$BF$2:$BG1679,2,FALSE))),IFERROR(0/0,""))</f>
        <v/>
      </c>
      <c r="V1239" s="212" t="str">
        <f t="shared" si="5"/>
        <v>RUN-COMB_2022-07-04_RFR-070</v>
      </c>
      <c r="W1239" s="51"/>
      <c r="X1239" s="51"/>
      <c r="Y1239" s="147" t="str">
        <f t="shared" ref="Y1239:Z1239" si="2478">IF(_xlfn.ISFORMULA(S1239),IFERROR(0/0,""),TRUE)</f>
        <v/>
      </c>
      <c r="Z1239" s="147" t="str">
        <f t="shared" si="2478"/>
        <v/>
      </c>
    </row>
    <row r="1240">
      <c r="A1240" s="6" t="str">
        <f>IFERROR(__xludf.DUMMYFUNCTION("""COMPUTED_VALUE"""),"FM2765")</f>
        <v>FM2765</v>
      </c>
      <c r="B1240" s="206">
        <f>IFERROR(__xludf.DUMMYFUNCTION("""COMPUTED_VALUE"""),44746.0)</f>
        <v>44746</v>
      </c>
      <c r="C1240" s="207">
        <f>IFERROR(__xludf.DUMMYFUNCTION("""COMPUTED_VALUE"""),0.8062731481481481)</f>
        <v>0.8062731481</v>
      </c>
      <c r="D1240" s="50"/>
      <c r="E1240" s="58"/>
      <c r="F1240" s="58"/>
      <c r="G1240" s="58" t="str">
        <f>IFERROR(__xludf.DUMMYFUNCTION("""COMPUTED_VALUE"""),"Null")</f>
        <v>Null</v>
      </c>
      <c r="H1240" s="206" t="str">
        <f>IFERROR(__xludf.DUMMYFUNCTION("""COMPUTED_VALUE"""),"Positive")</f>
        <v>Positive</v>
      </c>
      <c r="I1240" s="207"/>
      <c r="J1240" s="50"/>
      <c r="K1240" s="50">
        <f>IFERROR(__xludf.DUMMYFUNCTION("""COMPUTED_VALUE"""),3.0)</f>
        <v>3</v>
      </c>
      <c r="L1240" s="6" t="str">
        <f>IFERROR(__xludf.DUMMYFUNCTION("""COMPUTED_VALUE"""),"RFR Audit shows 1 positive and note says it was a person positive last week so arbitrarily chose this one of the 3 people")</f>
        <v>RFR Audit shows 1 positive and note says it was a person positive last week so arbitrarily chose this one of the 3 people</v>
      </c>
      <c r="M1240" s="55"/>
      <c r="N1240" s="55">
        <f>IFERROR(__xludf.DUMMYFUNCTION("""COMPUTED_VALUE"""),1.0)</f>
        <v>1</v>
      </c>
      <c r="O1240" s="55" t="str">
        <f t="shared" si="3"/>
        <v/>
      </c>
      <c r="P1240" s="209"/>
      <c r="Q1240" s="75" t="b">
        <f>VLOOKUP($B1240,'Run Reconcile'!B$2:P1679,15,FALSE)</f>
        <v>1</v>
      </c>
      <c r="R1240" s="211" t="str">
        <f t="array" ref="R1240">IF($Q1240, INDEX('Run Reconcile'!A$2:A1679,MATCH(B1240,'Run Reconcile'!B$2:B1679,0),1),IFERROR(0/0,""))</f>
        <v>RUN-COMB_2022-07-04_RFR-070</v>
      </c>
      <c r="S1240" s="165" t="str">
        <f t="shared" ref="S1240:T1240" si="2479">IF(COUNTIF(W$2:W1679, $A1240) &gt; 0,TRUE,IFERROR(0/0,""))</f>
        <v/>
      </c>
      <c r="T1240" s="165" t="str">
        <f t="shared" si="2479"/>
        <v/>
      </c>
      <c r="U1240" s="147" t="str">
        <f t="array" ref="U1240">IF(ISBLANK($R1240), IF($S1240,VLOOKUP($B1240+1,'RFR Data - preExcl'!$BF$2:$BG1679,2,FALSE),IF($T1240,INDEX('RFR Data - preExcl'!$BF$2:$BG1679,MATCH($B1240,'RFR Data - preExcl'!$BF$2:$BF1679,0)+1,2),VLOOKUP($B1240,'RFR Data - preExcl'!$BF$2:$BG1679,2,FALSE))),IFERROR(0/0,""))</f>
        <v/>
      </c>
      <c r="V1240" s="212" t="str">
        <f t="shared" si="5"/>
        <v>RUN-COMB_2022-07-04_RFR-070</v>
      </c>
      <c r="W1240" s="51"/>
      <c r="X1240" s="51"/>
      <c r="Y1240" s="147" t="str">
        <f t="shared" ref="Y1240:Z1240" si="2480">IF(_xlfn.ISFORMULA(S1240),IFERROR(0/0,""),TRUE)</f>
        <v/>
      </c>
      <c r="Z1240" s="147" t="str">
        <f t="shared" si="2480"/>
        <v/>
      </c>
    </row>
    <row r="1241">
      <c r="A1241" s="6" t="str">
        <f>IFERROR(__xludf.DUMMYFUNCTION("""COMPUTED_VALUE"""),"FM2774")</f>
        <v>FM2774</v>
      </c>
      <c r="B1241" s="206">
        <f>IFERROR(__xludf.DUMMYFUNCTION("""COMPUTED_VALUE"""),44746.0)</f>
        <v>44746</v>
      </c>
      <c r="C1241" s="207">
        <f>IFERROR(__xludf.DUMMYFUNCTION("""COMPUTED_VALUE"""),0.8066203703703704)</f>
        <v>0.8066203704</v>
      </c>
      <c r="D1241" s="50"/>
      <c r="E1241" s="58"/>
      <c r="F1241" s="58"/>
      <c r="G1241" s="58" t="str">
        <f>IFERROR(__xludf.DUMMYFUNCTION("""COMPUTED_VALUE"""),"Null")</f>
        <v>Null</v>
      </c>
      <c r="H1241" s="206" t="str">
        <f>IFERROR(__xludf.DUMMYFUNCTION("""COMPUTED_VALUE"""),"Negative")</f>
        <v>Negative</v>
      </c>
      <c r="I1241" s="207"/>
      <c r="J1241" s="50"/>
      <c r="K1241" s="50">
        <f>IFERROR(__xludf.DUMMYFUNCTION("""COMPUTED_VALUE"""),2.0)</f>
        <v>2</v>
      </c>
      <c r="L1241" s="6" t="str">
        <f>IFERROR(__xludf.DUMMYFUNCTION("""COMPUTED_VALUE"""),"Could have been positive - see above")</f>
        <v>Could have been positive - see above</v>
      </c>
      <c r="M1241" s="55"/>
      <c r="N1241" s="55">
        <f>IFERROR(__xludf.DUMMYFUNCTION("""COMPUTED_VALUE"""),1.0)</f>
        <v>1</v>
      </c>
      <c r="O1241" s="55" t="str">
        <f t="shared" si="3"/>
        <v/>
      </c>
      <c r="P1241" s="209"/>
      <c r="Q1241" s="75" t="b">
        <f>VLOOKUP($B1241,'Run Reconcile'!B$2:P1679,15,FALSE)</f>
        <v>1</v>
      </c>
      <c r="R1241" s="211" t="str">
        <f t="array" ref="R1241">IF($Q1241, INDEX('Run Reconcile'!A$2:A1679,MATCH(B1241,'Run Reconcile'!B$2:B1679,0),1),IFERROR(0/0,""))</f>
        <v>RUN-COMB_2022-07-04_RFR-070</v>
      </c>
      <c r="S1241" s="165" t="str">
        <f t="shared" ref="S1241:T1241" si="2481">IF(COUNTIF(W$2:W1679, $A1241) &gt; 0,TRUE,IFERROR(0/0,""))</f>
        <v/>
      </c>
      <c r="T1241" s="165" t="str">
        <f t="shared" si="2481"/>
        <v/>
      </c>
      <c r="U1241" s="147" t="str">
        <f t="array" ref="U1241">IF(ISBLANK($R1241), IF($S1241,VLOOKUP($B1241+1,'RFR Data - preExcl'!$BF$2:$BG1679,2,FALSE),IF($T1241,INDEX('RFR Data - preExcl'!$BF$2:$BG1679,MATCH($B1241,'RFR Data - preExcl'!$BF$2:$BF1679,0)+1,2),VLOOKUP($B1241,'RFR Data - preExcl'!$BF$2:$BG1679,2,FALSE))),IFERROR(0/0,""))</f>
        <v/>
      </c>
      <c r="V1241" s="212" t="str">
        <f t="shared" si="5"/>
        <v>RUN-COMB_2022-07-04_RFR-070</v>
      </c>
      <c r="W1241" s="51"/>
      <c r="X1241" s="51"/>
      <c r="Y1241" s="147" t="str">
        <f t="shared" ref="Y1241:Z1241" si="2482">IF(_xlfn.ISFORMULA(S1241),IFERROR(0/0,""),TRUE)</f>
        <v/>
      </c>
      <c r="Z1241" s="147" t="str">
        <f t="shared" si="2482"/>
        <v/>
      </c>
    </row>
    <row r="1242">
      <c r="A1242" s="6" t="str">
        <f>IFERROR(__xludf.DUMMYFUNCTION("""COMPUTED_VALUE"""),"FM2712")</f>
        <v>FM2712</v>
      </c>
      <c r="B1242" s="206">
        <f>IFERROR(__xludf.DUMMYFUNCTION("""COMPUTED_VALUE"""),44746.0)</f>
        <v>44746</v>
      </c>
      <c r="C1242" s="207">
        <f>IFERROR(__xludf.DUMMYFUNCTION("""COMPUTED_VALUE"""),0.8069212962962963)</f>
        <v>0.8069212963</v>
      </c>
      <c r="D1242" s="50"/>
      <c r="E1242" s="58"/>
      <c r="F1242" s="58"/>
      <c r="G1242" s="58" t="str">
        <f>IFERROR(__xludf.DUMMYFUNCTION("""COMPUTED_VALUE"""),"Null")</f>
        <v>Null</v>
      </c>
      <c r="H1242" s="206" t="str">
        <f>IFERROR(__xludf.DUMMYFUNCTION("""COMPUTED_VALUE"""),"Negative")</f>
        <v>Negative</v>
      </c>
      <c r="I1242" s="207"/>
      <c r="J1242" s="50"/>
      <c r="K1242" s="50">
        <f>IFERROR(__xludf.DUMMYFUNCTION("""COMPUTED_VALUE"""),2.0)</f>
        <v>2</v>
      </c>
      <c r="L1242" s="6" t="str">
        <f>IFERROR(__xludf.DUMMYFUNCTION("""COMPUTED_VALUE"""),"Could have been positive - see above")</f>
        <v>Could have been positive - see above</v>
      </c>
      <c r="M1242" s="55"/>
      <c r="N1242" s="55">
        <f>IFERROR(__xludf.DUMMYFUNCTION("""COMPUTED_VALUE"""),1.0)</f>
        <v>1</v>
      </c>
      <c r="O1242" s="55" t="str">
        <f t="shared" si="3"/>
        <v/>
      </c>
      <c r="P1242" s="209"/>
      <c r="Q1242" s="75" t="b">
        <f>VLOOKUP($B1242,'Run Reconcile'!B$2:P1679,15,FALSE)</f>
        <v>1</v>
      </c>
      <c r="R1242" s="211" t="str">
        <f t="array" ref="R1242">IF($Q1242, INDEX('Run Reconcile'!A$2:A1679,MATCH(B1242,'Run Reconcile'!B$2:B1679,0),1),IFERROR(0/0,""))</f>
        <v>RUN-COMB_2022-07-04_RFR-070</v>
      </c>
      <c r="S1242" s="165" t="str">
        <f t="shared" ref="S1242:T1242" si="2483">IF(COUNTIF(W$2:W1679, $A1242) &gt; 0,TRUE,IFERROR(0/0,""))</f>
        <v/>
      </c>
      <c r="T1242" s="165" t="str">
        <f t="shared" si="2483"/>
        <v/>
      </c>
      <c r="U1242" s="147" t="str">
        <f t="array" ref="U1242">IF(ISBLANK($R1242), IF($S1242,VLOOKUP($B1242+1,'RFR Data - preExcl'!$BF$2:$BG1679,2,FALSE),IF($T1242,INDEX('RFR Data - preExcl'!$BF$2:$BG1679,MATCH($B1242,'RFR Data - preExcl'!$BF$2:$BF1679,0)+1,2),VLOOKUP($B1242,'RFR Data - preExcl'!$BF$2:$BG1679,2,FALSE))),IFERROR(0/0,""))</f>
        <v/>
      </c>
      <c r="V1242" s="212" t="str">
        <f t="shared" si="5"/>
        <v>RUN-COMB_2022-07-04_RFR-070</v>
      </c>
      <c r="W1242" s="51"/>
      <c r="X1242" s="51"/>
      <c r="Y1242" s="147" t="str">
        <f t="shared" ref="Y1242:Z1242" si="2484">IF(_xlfn.ISFORMULA(S1242),IFERROR(0/0,""),TRUE)</f>
        <v/>
      </c>
      <c r="Z1242" s="147" t="str">
        <f t="shared" si="2484"/>
        <v/>
      </c>
    </row>
    <row r="1243">
      <c r="A1243" s="6" t="str">
        <f>IFERROR(__xludf.DUMMYFUNCTION("""COMPUTED_VALUE"""),"FM2735")</f>
        <v>FM2735</v>
      </c>
      <c r="B1243" s="206">
        <f>IFERROR(__xludf.DUMMYFUNCTION("""COMPUTED_VALUE"""),44746.0)</f>
        <v>44746</v>
      </c>
      <c r="C1243" s="207">
        <f>IFERROR(__xludf.DUMMYFUNCTION("""COMPUTED_VALUE"""),0.8072337962962963)</f>
        <v>0.8072337963</v>
      </c>
      <c r="D1243" s="50"/>
      <c r="E1243" s="58"/>
      <c r="F1243" s="58"/>
      <c r="G1243" s="58" t="str">
        <f>IFERROR(__xludf.DUMMYFUNCTION("""COMPUTED_VALUE"""),"Null")</f>
        <v>Null</v>
      </c>
      <c r="H1243" s="206" t="str">
        <f>IFERROR(__xludf.DUMMYFUNCTION("""COMPUTED_VALUE"""),"Negative")</f>
        <v>Negative</v>
      </c>
      <c r="I1243" s="207"/>
      <c r="J1243" s="50"/>
      <c r="K1243" s="50">
        <f>IFERROR(__xludf.DUMMYFUNCTION("""COMPUTED_VALUE"""),2.0)</f>
        <v>2</v>
      </c>
      <c r="L1243" s="6"/>
      <c r="M1243" s="55"/>
      <c r="N1243" s="55">
        <f>IFERROR(__xludf.DUMMYFUNCTION("""COMPUTED_VALUE"""),1.0)</f>
        <v>1</v>
      </c>
      <c r="O1243" s="55" t="str">
        <f t="shared" si="3"/>
        <v/>
      </c>
      <c r="P1243" s="209"/>
      <c r="Q1243" s="75" t="b">
        <f>VLOOKUP($B1243,'Run Reconcile'!B$2:P1679,15,FALSE)</f>
        <v>1</v>
      </c>
      <c r="R1243" s="211" t="str">
        <f t="array" ref="R1243">IF($Q1243, INDEX('Run Reconcile'!A$2:A1679,MATCH(B1243,'Run Reconcile'!B$2:B1679,0),1),IFERROR(0/0,""))</f>
        <v>RUN-COMB_2022-07-04_RFR-070</v>
      </c>
      <c r="S1243" s="165" t="str">
        <f t="shared" ref="S1243:T1243" si="2485">IF(COUNTIF(W$2:W1679, $A1243) &gt; 0,TRUE,IFERROR(0/0,""))</f>
        <v/>
      </c>
      <c r="T1243" s="165" t="str">
        <f t="shared" si="2485"/>
        <v/>
      </c>
      <c r="U1243" s="147" t="str">
        <f t="array" ref="U1243">IF(ISBLANK($R1243), IF($S1243,VLOOKUP($B1243+1,'RFR Data - preExcl'!$BF$2:$BG1679,2,FALSE),IF($T1243,INDEX('RFR Data - preExcl'!$BF$2:$BG1679,MATCH($B1243,'RFR Data - preExcl'!$BF$2:$BF1679,0)+1,2),VLOOKUP($B1243,'RFR Data - preExcl'!$BF$2:$BG1679,2,FALSE))),IFERROR(0/0,""))</f>
        <v/>
      </c>
      <c r="V1243" s="212" t="str">
        <f t="shared" si="5"/>
        <v>RUN-COMB_2022-07-04_RFR-070</v>
      </c>
      <c r="W1243" s="51"/>
      <c r="X1243" s="51"/>
      <c r="Y1243" s="147" t="str">
        <f t="shared" ref="Y1243:Z1243" si="2486">IF(_xlfn.ISFORMULA(S1243),IFERROR(0/0,""),TRUE)</f>
        <v/>
      </c>
      <c r="Z1243" s="147" t="str">
        <f t="shared" si="2486"/>
        <v/>
      </c>
    </row>
    <row r="1244">
      <c r="A1244" s="6" t="str">
        <f>IFERROR(__xludf.DUMMYFUNCTION("""COMPUTED_VALUE"""),"FM2733")</f>
        <v>FM2733</v>
      </c>
      <c r="B1244" s="206">
        <f>IFERROR(__xludf.DUMMYFUNCTION("""COMPUTED_VALUE"""),44747.0)</f>
        <v>44747</v>
      </c>
      <c r="C1244" s="207">
        <f>IFERROR(__xludf.DUMMYFUNCTION("""COMPUTED_VALUE"""),0.3088310185185185)</f>
        <v>0.3088310185</v>
      </c>
      <c r="D1244" s="50"/>
      <c r="E1244" s="58"/>
      <c r="F1244" s="58"/>
      <c r="G1244" s="58" t="str">
        <f>IFERROR(__xludf.DUMMYFUNCTION("""COMPUTED_VALUE"""),"Null")</f>
        <v>Null</v>
      </c>
      <c r="H1244" s="206" t="str">
        <f>IFERROR(__xludf.DUMMYFUNCTION("""COMPUTED_VALUE"""),"Negative")</f>
        <v>Negative</v>
      </c>
      <c r="I1244" s="207"/>
      <c r="J1244" s="50"/>
      <c r="K1244" s="50">
        <f>IFERROR(__xludf.DUMMYFUNCTION("""COMPUTED_VALUE"""),2.0)</f>
        <v>2</v>
      </c>
      <c r="L1244" s="6"/>
      <c r="M1244" s="55"/>
      <c r="N1244" s="55">
        <f>IFERROR(__xludf.DUMMYFUNCTION("""COMPUTED_VALUE"""),1.0)</f>
        <v>1</v>
      </c>
      <c r="O1244" s="55" t="b">
        <f t="shared" si="3"/>
        <v>1</v>
      </c>
      <c r="P1244" s="209"/>
      <c r="Q1244" s="75" t="b">
        <f>VLOOKUP($B1244,'Run Reconcile'!B$2:P1679,15,FALSE)</f>
        <v>1</v>
      </c>
      <c r="R1244" s="211" t="str">
        <f t="array" ref="R1244">IF($Q1244, INDEX('Run Reconcile'!A$2:A1679,MATCH(B1244,'Run Reconcile'!B$2:B1679,0),1),IFERROR(0/0,""))</f>
        <v>RUN-COMB_2022-07-05_RFR-071</v>
      </c>
      <c r="S1244" s="165" t="str">
        <f t="shared" ref="S1244:T1244" si="2487">IF(COUNTIF(W$2:W1679, $A1244) &gt; 0,TRUE,IFERROR(0/0,""))</f>
        <v/>
      </c>
      <c r="T1244" s="165" t="str">
        <f t="shared" si="2487"/>
        <v/>
      </c>
      <c r="U1244" s="147" t="str">
        <f t="array" ref="U1244">IF(ISBLANK($R1244), IF($S1244,VLOOKUP($B1244+1,'RFR Data - preExcl'!$BF$2:$BG1679,2,FALSE),IF($T1244,INDEX('RFR Data - preExcl'!$BF$2:$BG1679,MATCH($B1244,'RFR Data - preExcl'!$BF$2:$BF1679,0)+1,2),VLOOKUP($B1244,'RFR Data - preExcl'!$BF$2:$BG1679,2,FALSE))),IFERROR(0/0,""))</f>
        <v/>
      </c>
      <c r="V1244" s="212" t="str">
        <f t="shared" si="5"/>
        <v>RUN-COMB_2022-07-05_RFR-071</v>
      </c>
      <c r="W1244" s="51"/>
      <c r="X1244" s="51"/>
      <c r="Y1244" s="147" t="str">
        <f t="shared" ref="Y1244:Z1244" si="2488">IF(_xlfn.ISFORMULA(S1244),IFERROR(0/0,""),TRUE)</f>
        <v/>
      </c>
      <c r="Z1244" s="147" t="str">
        <f t="shared" si="2488"/>
        <v/>
      </c>
    </row>
    <row r="1245">
      <c r="A1245" s="6" t="str">
        <f>IFERROR(__xludf.DUMMYFUNCTION("""COMPUTED_VALUE"""),"FM2785")</f>
        <v>FM2785</v>
      </c>
      <c r="B1245" s="206">
        <f>IFERROR(__xludf.DUMMYFUNCTION("""COMPUTED_VALUE"""),44747.0)</f>
        <v>44747</v>
      </c>
      <c r="C1245" s="207">
        <f>IFERROR(__xludf.DUMMYFUNCTION("""COMPUTED_VALUE"""),0.3091087962962963)</f>
        <v>0.3091087963</v>
      </c>
      <c r="D1245" s="50"/>
      <c r="E1245" s="58"/>
      <c r="F1245" s="58"/>
      <c r="G1245" s="58" t="str">
        <f>IFERROR(__xludf.DUMMYFUNCTION("""COMPUTED_VALUE"""),"Null")</f>
        <v>Null</v>
      </c>
      <c r="H1245" s="206" t="str">
        <f>IFERROR(__xludf.DUMMYFUNCTION("""COMPUTED_VALUE"""),"Negative")</f>
        <v>Negative</v>
      </c>
      <c r="I1245" s="207"/>
      <c r="J1245" s="50"/>
      <c r="K1245" s="50">
        <f>IFERROR(__xludf.DUMMYFUNCTION("""COMPUTED_VALUE"""),2.0)</f>
        <v>2</v>
      </c>
      <c r="L1245" s="6"/>
      <c r="M1245" s="55"/>
      <c r="N1245" s="55">
        <f>IFERROR(__xludf.DUMMYFUNCTION("""COMPUTED_VALUE"""),1.0)</f>
        <v>1</v>
      </c>
      <c r="O1245" s="55" t="str">
        <f t="shared" si="3"/>
        <v/>
      </c>
      <c r="P1245" s="209"/>
      <c r="Q1245" s="75" t="b">
        <f>VLOOKUP($B1245,'Run Reconcile'!B$2:P1679,15,FALSE)</f>
        <v>1</v>
      </c>
      <c r="R1245" s="211" t="str">
        <f t="array" ref="R1245">IF($Q1245, INDEX('Run Reconcile'!A$2:A1679,MATCH(B1245,'Run Reconcile'!B$2:B1679,0),1),IFERROR(0/0,""))</f>
        <v>RUN-COMB_2022-07-05_RFR-071</v>
      </c>
      <c r="S1245" s="165" t="str">
        <f t="shared" ref="S1245:T1245" si="2489">IF(COUNTIF(W$2:W1679, $A1245) &gt; 0,TRUE,IFERROR(0/0,""))</f>
        <v/>
      </c>
      <c r="T1245" s="165" t="str">
        <f t="shared" si="2489"/>
        <v/>
      </c>
      <c r="U1245" s="147" t="str">
        <f t="array" ref="U1245">IF(ISBLANK($R1245), IF($S1245,VLOOKUP($B1245+1,'RFR Data - preExcl'!$BF$2:$BG1679,2,FALSE),IF($T1245,INDEX('RFR Data - preExcl'!$BF$2:$BG1679,MATCH($B1245,'RFR Data - preExcl'!$BF$2:$BF1679,0)+1,2),VLOOKUP($B1245,'RFR Data - preExcl'!$BF$2:$BG1679,2,FALSE))),IFERROR(0/0,""))</f>
        <v/>
      </c>
      <c r="V1245" s="212" t="str">
        <f t="shared" si="5"/>
        <v>RUN-COMB_2022-07-05_RFR-071</v>
      </c>
      <c r="W1245" s="51"/>
      <c r="X1245" s="51"/>
      <c r="Y1245" s="147" t="str">
        <f t="shared" ref="Y1245:Z1245" si="2490">IF(_xlfn.ISFORMULA(S1245),IFERROR(0/0,""),TRUE)</f>
        <v/>
      </c>
      <c r="Z1245" s="147" t="str">
        <f t="shared" si="2490"/>
        <v/>
      </c>
    </row>
    <row r="1246">
      <c r="A1246" s="6" t="str">
        <f>IFERROR(__xludf.DUMMYFUNCTION("""COMPUTED_VALUE"""),"FM2808")</f>
        <v>FM2808</v>
      </c>
      <c r="B1246" s="206">
        <f>IFERROR(__xludf.DUMMYFUNCTION("""COMPUTED_VALUE"""),44747.0)</f>
        <v>44747</v>
      </c>
      <c r="C1246" s="207">
        <f>IFERROR(__xludf.DUMMYFUNCTION("""COMPUTED_VALUE"""),0.3093518518518519)</f>
        <v>0.3093518519</v>
      </c>
      <c r="D1246" s="50"/>
      <c r="E1246" s="58"/>
      <c r="F1246" s="58"/>
      <c r="G1246" s="58" t="str">
        <f>IFERROR(__xludf.DUMMYFUNCTION("""COMPUTED_VALUE"""),"Null")</f>
        <v>Null</v>
      </c>
      <c r="H1246" s="206" t="str">
        <f>IFERROR(__xludf.DUMMYFUNCTION("""COMPUTED_VALUE"""),"Negative")</f>
        <v>Negative</v>
      </c>
      <c r="I1246" s="207"/>
      <c r="J1246" s="50"/>
      <c r="K1246" s="50">
        <f>IFERROR(__xludf.DUMMYFUNCTION("""COMPUTED_VALUE"""),2.0)</f>
        <v>2</v>
      </c>
      <c r="L1246" s="6"/>
      <c r="M1246" s="55"/>
      <c r="N1246" s="55">
        <f>IFERROR(__xludf.DUMMYFUNCTION("""COMPUTED_VALUE"""),1.0)</f>
        <v>1</v>
      </c>
      <c r="O1246" s="55" t="str">
        <f t="shared" si="3"/>
        <v/>
      </c>
      <c r="P1246" s="209"/>
      <c r="Q1246" s="75" t="b">
        <f>VLOOKUP($B1246,'Run Reconcile'!B$2:P1679,15,FALSE)</f>
        <v>1</v>
      </c>
      <c r="R1246" s="211" t="str">
        <f t="array" ref="R1246">IF($Q1246, INDEX('Run Reconcile'!A$2:A1679,MATCH(B1246,'Run Reconcile'!B$2:B1679,0),1),IFERROR(0/0,""))</f>
        <v>RUN-COMB_2022-07-05_RFR-071</v>
      </c>
      <c r="S1246" s="165" t="str">
        <f t="shared" ref="S1246:T1246" si="2491">IF(COUNTIF(W$2:W1679, $A1246) &gt; 0,TRUE,IFERROR(0/0,""))</f>
        <v/>
      </c>
      <c r="T1246" s="165" t="str">
        <f t="shared" si="2491"/>
        <v/>
      </c>
      <c r="U1246" s="147" t="str">
        <f t="array" ref="U1246">IF(ISBLANK($R1246), IF($S1246,VLOOKUP($B1246+1,'RFR Data - preExcl'!$BF$2:$BG1679,2,FALSE),IF($T1246,INDEX('RFR Data - preExcl'!$BF$2:$BG1679,MATCH($B1246,'RFR Data - preExcl'!$BF$2:$BF1679,0)+1,2),VLOOKUP($B1246,'RFR Data - preExcl'!$BF$2:$BG1679,2,FALSE))),IFERROR(0/0,""))</f>
        <v/>
      </c>
      <c r="V1246" s="212" t="str">
        <f t="shared" si="5"/>
        <v>RUN-COMB_2022-07-05_RFR-071</v>
      </c>
      <c r="W1246" s="51"/>
      <c r="X1246" s="51"/>
      <c r="Y1246" s="147" t="str">
        <f t="shared" ref="Y1246:Z1246" si="2492">IF(_xlfn.ISFORMULA(S1246),IFERROR(0/0,""),TRUE)</f>
        <v/>
      </c>
      <c r="Z1246" s="147" t="str">
        <f t="shared" si="2492"/>
        <v/>
      </c>
    </row>
    <row r="1247">
      <c r="A1247" s="6" t="str">
        <f>IFERROR(__xludf.DUMMYFUNCTION("""COMPUTED_VALUE"""),"FM2776A")</f>
        <v>FM2776A</v>
      </c>
      <c r="B1247" s="206">
        <f>IFERROR(__xludf.DUMMYFUNCTION("""COMPUTED_VALUE"""),44747.0)</f>
        <v>44747</v>
      </c>
      <c r="C1247" s="207">
        <f>IFERROR(__xludf.DUMMYFUNCTION("""COMPUTED_VALUE"""),0.30962962962962964)</f>
        <v>0.3096296296</v>
      </c>
      <c r="D1247" s="50"/>
      <c r="E1247" s="58"/>
      <c r="F1247" s="58"/>
      <c r="G1247" s="58" t="str">
        <f>IFERROR(__xludf.DUMMYFUNCTION("""COMPUTED_VALUE"""),"Null")</f>
        <v>Null</v>
      </c>
      <c r="H1247" s="206" t="str">
        <f>IFERROR(__xludf.DUMMYFUNCTION("""COMPUTED_VALUE"""),"Negative")</f>
        <v>Negative</v>
      </c>
      <c r="I1247" s="207"/>
      <c r="J1247" s="50"/>
      <c r="K1247" s="50">
        <f>IFERROR(__xludf.DUMMYFUNCTION("""COMPUTED_VALUE"""),2.0)</f>
        <v>2</v>
      </c>
      <c r="L1247" s="6" t="str">
        <f>IFERROR(__xludf.DUMMYFUNCTION("""COMPUTED_VALUE"""),"duplicate tube id modified")</f>
        <v>duplicate tube id modified</v>
      </c>
      <c r="M1247" s="55"/>
      <c r="N1247" s="55">
        <f>IFERROR(__xludf.DUMMYFUNCTION("""COMPUTED_VALUE"""),1.0)</f>
        <v>1</v>
      </c>
      <c r="O1247" s="55" t="str">
        <f t="shared" si="3"/>
        <v/>
      </c>
      <c r="P1247" s="209"/>
      <c r="Q1247" s="75" t="b">
        <f>VLOOKUP($B1247,'Run Reconcile'!B$2:P1679,15,FALSE)</f>
        <v>1</v>
      </c>
      <c r="R1247" s="211" t="str">
        <f t="array" ref="R1247">IF($Q1247, INDEX('Run Reconcile'!A$2:A1679,MATCH(B1247,'Run Reconcile'!B$2:B1679,0),1),IFERROR(0/0,""))</f>
        <v>RUN-COMB_2022-07-05_RFR-071</v>
      </c>
      <c r="S1247" s="165" t="str">
        <f t="shared" ref="S1247:T1247" si="2493">IF(COUNTIF(W$2:W1679, $A1247) &gt; 0,TRUE,IFERROR(0/0,""))</f>
        <v/>
      </c>
      <c r="T1247" s="165" t="str">
        <f t="shared" si="2493"/>
        <v/>
      </c>
      <c r="U1247" s="147" t="str">
        <f t="array" ref="U1247">IF(ISBLANK($R1247), IF($S1247,VLOOKUP($B1247+1,'RFR Data - preExcl'!$BF$2:$BG1679,2,FALSE),IF($T1247,INDEX('RFR Data - preExcl'!$BF$2:$BG1679,MATCH($B1247,'RFR Data - preExcl'!$BF$2:$BF1679,0)+1,2),VLOOKUP($B1247,'RFR Data - preExcl'!$BF$2:$BG1679,2,FALSE))),IFERROR(0/0,""))</f>
        <v/>
      </c>
      <c r="V1247" s="212" t="str">
        <f t="shared" si="5"/>
        <v>RUN-COMB_2022-07-05_RFR-071</v>
      </c>
      <c r="W1247" s="51"/>
      <c r="X1247" s="51"/>
      <c r="Y1247" s="147" t="str">
        <f t="shared" ref="Y1247:Z1247" si="2494">IF(_xlfn.ISFORMULA(S1247),IFERROR(0/0,""),TRUE)</f>
        <v/>
      </c>
      <c r="Z1247" s="147" t="str">
        <f t="shared" si="2494"/>
        <v/>
      </c>
    </row>
    <row r="1248">
      <c r="A1248" s="6" t="str">
        <f>IFERROR(__xludf.DUMMYFUNCTION("""COMPUTED_VALUE"""),"FM2776B")</f>
        <v>FM2776B</v>
      </c>
      <c r="B1248" s="206">
        <f>IFERROR(__xludf.DUMMYFUNCTION("""COMPUTED_VALUE"""),44747.0)</f>
        <v>44747</v>
      </c>
      <c r="C1248" s="207">
        <f>IFERROR(__xludf.DUMMYFUNCTION("""COMPUTED_VALUE"""),0.3102199074074074)</f>
        <v>0.3102199074</v>
      </c>
      <c r="D1248" s="50"/>
      <c r="E1248" s="58"/>
      <c r="F1248" s="58"/>
      <c r="G1248" s="58" t="str">
        <f>IFERROR(__xludf.DUMMYFUNCTION("""COMPUTED_VALUE"""),"Null")</f>
        <v>Null</v>
      </c>
      <c r="H1248" s="206" t="str">
        <f>IFERROR(__xludf.DUMMYFUNCTION("""COMPUTED_VALUE"""),"Negative")</f>
        <v>Negative</v>
      </c>
      <c r="I1248" s="207"/>
      <c r="J1248" s="50"/>
      <c r="K1248" s="50">
        <f>IFERROR(__xludf.DUMMYFUNCTION("""COMPUTED_VALUE"""),2.0)</f>
        <v>2</v>
      </c>
      <c r="L1248" s="6" t="str">
        <f>IFERROR(__xludf.DUMMYFUNCTION("""COMPUTED_VALUE"""),"duplicate tube id modified")</f>
        <v>duplicate tube id modified</v>
      </c>
      <c r="M1248" s="55"/>
      <c r="N1248" s="55">
        <f>IFERROR(__xludf.DUMMYFUNCTION("""COMPUTED_VALUE"""),1.0)</f>
        <v>1</v>
      </c>
      <c r="O1248" s="55" t="str">
        <f t="shared" si="3"/>
        <v/>
      </c>
      <c r="P1248" s="209"/>
      <c r="Q1248" s="75" t="b">
        <f>VLOOKUP($B1248,'Run Reconcile'!B$2:P1679,15,FALSE)</f>
        <v>1</v>
      </c>
      <c r="R1248" s="211" t="str">
        <f t="array" ref="R1248">IF($Q1248, INDEX('Run Reconcile'!A$2:A1679,MATCH(B1248,'Run Reconcile'!B$2:B1679,0),1),IFERROR(0/0,""))</f>
        <v>RUN-COMB_2022-07-05_RFR-071</v>
      </c>
      <c r="S1248" s="165" t="str">
        <f t="shared" ref="S1248:T1248" si="2495">IF(COUNTIF(W$2:W1679, $A1248) &gt; 0,TRUE,IFERROR(0/0,""))</f>
        <v/>
      </c>
      <c r="T1248" s="165" t="str">
        <f t="shared" si="2495"/>
        <v/>
      </c>
      <c r="U1248" s="147" t="str">
        <f t="array" ref="U1248">IF(ISBLANK($R1248), IF($S1248,VLOOKUP($B1248+1,'RFR Data - preExcl'!$BF$2:$BG1679,2,FALSE),IF($T1248,INDEX('RFR Data - preExcl'!$BF$2:$BG1679,MATCH($B1248,'RFR Data - preExcl'!$BF$2:$BF1679,0)+1,2),VLOOKUP($B1248,'RFR Data - preExcl'!$BF$2:$BG1679,2,FALSE))),IFERROR(0/0,""))</f>
        <v/>
      </c>
      <c r="V1248" s="212" t="str">
        <f t="shared" si="5"/>
        <v>RUN-COMB_2022-07-05_RFR-071</v>
      </c>
      <c r="W1248" s="51"/>
      <c r="X1248" s="51"/>
      <c r="Y1248" s="147" t="str">
        <f t="shared" ref="Y1248:Z1248" si="2496">IF(_xlfn.ISFORMULA(S1248),IFERROR(0/0,""),TRUE)</f>
        <v/>
      </c>
      <c r="Z1248" s="147" t="str">
        <f t="shared" si="2496"/>
        <v/>
      </c>
    </row>
    <row r="1249">
      <c r="A1249" s="6" t="str">
        <f>IFERROR(__xludf.DUMMYFUNCTION("""COMPUTED_VALUE"""),"FM2776C")</f>
        <v>FM2776C</v>
      </c>
      <c r="B1249" s="206">
        <f>IFERROR(__xludf.DUMMYFUNCTION("""COMPUTED_VALUE"""),44747.0)</f>
        <v>44747</v>
      </c>
      <c r="C1249" s="207">
        <f>IFERROR(__xludf.DUMMYFUNCTION("""COMPUTED_VALUE"""),0.3108680555555556)</f>
        <v>0.3108680556</v>
      </c>
      <c r="D1249" s="50"/>
      <c r="E1249" s="58"/>
      <c r="F1249" s="58"/>
      <c r="G1249" s="58" t="str">
        <f>IFERROR(__xludf.DUMMYFUNCTION("""COMPUTED_VALUE"""),"Null")</f>
        <v>Null</v>
      </c>
      <c r="H1249" s="206" t="str">
        <f>IFERROR(__xludf.DUMMYFUNCTION("""COMPUTED_VALUE"""),"Negative")</f>
        <v>Negative</v>
      </c>
      <c r="I1249" s="207"/>
      <c r="J1249" s="50"/>
      <c r="K1249" s="50">
        <f>IFERROR(__xludf.DUMMYFUNCTION("""COMPUTED_VALUE"""),2.0)</f>
        <v>2</v>
      </c>
      <c r="L1249" s="6" t="str">
        <f>IFERROR(__xludf.DUMMYFUNCTION("""COMPUTED_VALUE"""),"duplicate tube id modified")</f>
        <v>duplicate tube id modified</v>
      </c>
      <c r="M1249" s="55"/>
      <c r="N1249" s="55">
        <f>IFERROR(__xludf.DUMMYFUNCTION("""COMPUTED_VALUE"""),1.0)</f>
        <v>1</v>
      </c>
      <c r="O1249" s="55" t="str">
        <f t="shared" si="3"/>
        <v/>
      </c>
      <c r="P1249" s="209"/>
      <c r="Q1249" s="75" t="b">
        <f>VLOOKUP($B1249,'Run Reconcile'!B$2:P1679,15,FALSE)</f>
        <v>1</v>
      </c>
      <c r="R1249" s="211" t="str">
        <f t="array" ref="R1249">IF($Q1249, INDEX('Run Reconcile'!A$2:A1679,MATCH(B1249,'Run Reconcile'!B$2:B1679,0),1),IFERROR(0/0,""))</f>
        <v>RUN-COMB_2022-07-05_RFR-071</v>
      </c>
      <c r="S1249" s="165" t="str">
        <f t="shared" ref="S1249:T1249" si="2497">IF(COUNTIF(W$2:W1679, $A1249) &gt; 0,TRUE,IFERROR(0/0,""))</f>
        <v/>
      </c>
      <c r="T1249" s="165" t="str">
        <f t="shared" si="2497"/>
        <v/>
      </c>
      <c r="U1249" s="147" t="str">
        <f t="array" ref="U1249">IF(ISBLANK($R1249), IF($S1249,VLOOKUP($B1249+1,'RFR Data - preExcl'!$BF$2:$BG1679,2,FALSE),IF($T1249,INDEX('RFR Data - preExcl'!$BF$2:$BG1679,MATCH($B1249,'RFR Data - preExcl'!$BF$2:$BF1679,0)+1,2),VLOOKUP($B1249,'RFR Data - preExcl'!$BF$2:$BG1679,2,FALSE))),IFERROR(0/0,""))</f>
        <v/>
      </c>
      <c r="V1249" s="212" t="str">
        <f t="shared" si="5"/>
        <v>RUN-COMB_2022-07-05_RFR-071</v>
      </c>
      <c r="W1249" s="51"/>
      <c r="X1249" s="51"/>
      <c r="Y1249" s="147" t="str">
        <f t="shared" ref="Y1249:Z1249" si="2498">IF(_xlfn.ISFORMULA(S1249),IFERROR(0/0,""),TRUE)</f>
        <v/>
      </c>
      <c r="Z1249" s="147" t="str">
        <f t="shared" si="2498"/>
        <v/>
      </c>
    </row>
    <row r="1250">
      <c r="A1250" s="6" t="str">
        <f>IFERROR(__xludf.DUMMYFUNCTION("""COMPUTED_VALUE"""),"FM2812")</f>
        <v>FM2812</v>
      </c>
      <c r="B1250" s="206">
        <f>IFERROR(__xludf.DUMMYFUNCTION("""COMPUTED_VALUE"""),44747.0)</f>
        <v>44747</v>
      </c>
      <c r="C1250" s="207">
        <f>IFERROR(__xludf.DUMMYFUNCTION("""COMPUTED_VALUE"""),0.3113773148148148)</f>
        <v>0.3113773148</v>
      </c>
      <c r="D1250" s="50"/>
      <c r="E1250" s="58"/>
      <c r="F1250" s="58"/>
      <c r="G1250" s="58" t="str">
        <f>IFERROR(__xludf.DUMMYFUNCTION("""COMPUTED_VALUE"""),"Null")</f>
        <v>Null</v>
      </c>
      <c r="H1250" s="206" t="str">
        <f>IFERROR(__xludf.DUMMYFUNCTION("""COMPUTED_VALUE"""),"Negative")</f>
        <v>Negative</v>
      </c>
      <c r="I1250" s="207"/>
      <c r="J1250" s="50"/>
      <c r="K1250" s="50">
        <f>IFERROR(__xludf.DUMMYFUNCTION("""COMPUTED_VALUE"""),2.0)</f>
        <v>2</v>
      </c>
      <c r="L1250" s="6"/>
      <c r="M1250" s="55"/>
      <c r="N1250" s="55">
        <f>IFERROR(__xludf.DUMMYFUNCTION("""COMPUTED_VALUE"""),1.0)</f>
        <v>1</v>
      </c>
      <c r="O1250" s="55" t="str">
        <f t="shared" si="3"/>
        <v/>
      </c>
      <c r="P1250" s="209"/>
      <c r="Q1250" s="75" t="b">
        <f>VLOOKUP($B1250,'Run Reconcile'!B$2:P1679,15,FALSE)</f>
        <v>1</v>
      </c>
      <c r="R1250" s="211" t="str">
        <f t="array" ref="R1250">IF($Q1250, INDEX('Run Reconcile'!A$2:A1679,MATCH(B1250,'Run Reconcile'!B$2:B1679,0),1),IFERROR(0/0,""))</f>
        <v>RUN-COMB_2022-07-05_RFR-071</v>
      </c>
      <c r="S1250" s="165" t="str">
        <f t="shared" ref="S1250:T1250" si="2499">IF(COUNTIF(W$2:W1679, $A1250) &gt; 0,TRUE,IFERROR(0/0,""))</f>
        <v/>
      </c>
      <c r="T1250" s="165" t="str">
        <f t="shared" si="2499"/>
        <v/>
      </c>
      <c r="U1250" s="147" t="str">
        <f t="array" ref="U1250">IF(ISBLANK($R1250), IF($S1250,VLOOKUP($B1250+1,'RFR Data - preExcl'!$BF$2:$BG1679,2,FALSE),IF($T1250,INDEX('RFR Data - preExcl'!$BF$2:$BG1679,MATCH($B1250,'RFR Data - preExcl'!$BF$2:$BF1679,0)+1,2),VLOOKUP($B1250,'RFR Data - preExcl'!$BF$2:$BG1679,2,FALSE))),IFERROR(0/0,""))</f>
        <v/>
      </c>
      <c r="V1250" s="212" t="str">
        <f t="shared" si="5"/>
        <v>RUN-COMB_2022-07-05_RFR-071</v>
      </c>
      <c r="W1250" s="51"/>
      <c r="X1250" s="51"/>
      <c r="Y1250" s="147" t="str">
        <f t="shared" ref="Y1250:Z1250" si="2500">IF(_xlfn.ISFORMULA(S1250),IFERROR(0/0,""),TRUE)</f>
        <v/>
      </c>
      <c r="Z1250" s="147" t="str">
        <f t="shared" si="2500"/>
        <v/>
      </c>
    </row>
    <row r="1251">
      <c r="A1251" s="6" t="str">
        <f>IFERROR(__xludf.DUMMYFUNCTION("""COMPUTED_VALUE"""),"FM2705")</f>
        <v>FM2705</v>
      </c>
      <c r="B1251" s="206">
        <f>IFERROR(__xludf.DUMMYFUNCTION("""COMPUTED_VALUE"""),44747.0)</f>
        <v>44747</v>
      </c>
      <c r="C1251" s="207">
        <f>IFERROR(__xludf.DUMMYFUNCTION("""COMPUTED_VALUE"""),0.31188657407407405)</f>
        <v>0.3118865741</v>
      </c>
      <c r="D1251" s="50"/>
      <c r="E1251" s="58"/>
      <c r="F1251" s="58"/>
      <c r="G1251" s="58" t="str">
        <f>IFERROR(__xludf.DUMMYFUNCTION("""COMPUTED_VALUE"""),"Null")</f>
        <v>Null</v>
      </c>
      <c r="H1251" s="206" t="str">
        <f>IFERROR(__xludf.DUMMYFUNCTION("""COMPUTED_VALUE"""),"Negative")</f>
        <v>Negative</v>
      </c>
      <c r="I1251" s="207"/>
      <c r="J1251" s="50"/>
      <c r="K1251" s="50">
        <f>IFERROR(__xludf.DUMMYFUNCTION("""COMPUTED_VALUE"""),2.0)</f>
        <v>2</v>
      </c>
      <c r="L1251" s="6"/>
      <c r="M1251" s="55"/>
      <c r="N1251" s="55">
        <f>IFERROR(__xludf.DUMMYFUNCTION("""COMPUTED_VALUE"""),1.0)</f>
        <v>1</v>
      </c>
      <c r="O1251" s="55" t="str">
        <f t="shared" si="3"/>
        <v/>
      </c>
      <c r="P1251" s="209"/>
      <c r="Q1251" s="75" t="b">
        <f>VLOOKUP($B1251,'Run Reconcile'!B$2:P1679,15,FALSE)</f>
        <v>1</v>
      </c>
      <c r="R1251" s="211" t="str">
        <f t="array" ref="R1251">IF($Q1251, INDEX('Run Reconcile'!A$2:A1679,MATCH(B1251,'Run Reconcile'!B$2:B1679,0),1),IFERROR(0/0,""))</f>
        <v>RUN-COMB_2022-07-05_RFR-071</v>
      </c>
      <c r="S1251" s="165" t="str">
        <f t="shared" ref="S1251:T1251" si="2501">IF(COUNTIF(W$2:W1679, $A1251) &gt; 0,TRUE,IFERROR(0/0,""))</f>
        <v/>
      </c>
      <c r="T1251" s="165" t="str">
        <f t="shared" si="2501"/>
        <v/>
      </c>
      <c r="U1251" s="147" t="str">
        <f t="array" ref="U1251">IF(ISBLANK($R1251), IF($S1251,VLOOKUP($B1251+1,'RFR Data - preExcl'!$BF$2:$BG1679,2,FALSE),IF($T1251,INDEX('RFR Data - preExcl'!$BF$2:$BG1679,MATCH($B1251,'RFR Data - preExcl'!$BF$2:$BF1679,0)+1,2),VLOOKUP($B1251,'RFR Data - preExcl'!$BF$2:$BG1679,2,FALSE))),IFERROR(0/0,""))</f>
        <v/>
      </c>
      <c r="V1251" s="212" t="str">
        <f t="shared" si="5"/>
        <v>RUN-COMB_2022-07-05_RFR-071</v>
      </c>
      <c r="W1251" s="51"/>
      <c r="X1251" s="51"/>
      <c r="Y1251" s="147" t="str">
        <f t="shared" ref="Y1251:Z1251" si="2502">IF(_xlfn.ISFORMULA(S1251),IFERROR(0/0,""),TRUE)</f>
        <v/>
      </c>
      <c r="Z1251" s="147" t="str">
        <f t="shared" si="2502"/>
        <v/>
      </c>
    </row>
    <row r="1252">
      <c r="A1252" s="6" t="str">
        <f>IFERROR(__xludf.DUMMYFUNCTION("""COMPUTED_VALUE"""),"FM2801")</f>
        <v>FM2801</v>
      </c>
      <c r="B1252" s="206">
        <f>IFERROR(__xludf.DUMMYFUNCTION("""COMPUTED_VALUE"""),44747.0)</f>
        <v>44747</v>
      </c>
      <c r="C1252" s="207">
        <f>IFERROR(__xludf.DUMMYFUNCTION("""COMPUTED_VALUE"""),0.3122916666666667)</f>
        <v>0.3122916667</v>
      </c>
      <c r="D1252" s="50"/>
      <c r="E1252" s="58"/>
      <c r="F1252" s="58"/>
      <c r="G1252" s="58" t="str">
        <f>IFERROR(__xludf.DUMMYFUNCTION("""COMPUTED_VALUE"""),"Null")</f>
        <v>Null</v>
      </c>
      <c r="H1252" s="206" t="str">
        <f>IFERROR(__xludf.DUMMYFUNCTION("""COMPUTED_VALUE"""),"Negative")</f>
        <v>Negative</v>
      </c>
      <c r="I1252" s="207"/>
      <c r="J1252" s="50"/>
      <c r="K1252" s="50">
        <f>IFERROR(__xludf.DUMMYFUNCTION("""COMPUTED_VALUE"""),2.0)</f>
        <v>2</v>
      </c>
      <c r="L1252" s="6"/>
      <c r="M1252" s="55"/>
      <c r="N1252" s="55">
        <f>IFERROR(__xludf.DUMMYFUNCTION("""COMPUTED_VALUE"""),1.0)</f>
        <v>1</v>
      </c>
      <c r="O1252" s="55" t="str">
        <f t="shared" si="3"/>
        <v/>
      </c>
      <c r="P1252" s="209"/>
      <c r="Q1252" s="75" t="b">
        <f>VLOOKUP($B1252,'Run Reconcile'!B$2:P1679,15,FALSE)</f>
        <v>1</v>
      </c>
      <c r="R1252" s="211" t="str">
        <f t="array" ref="R1252">IF($Q1252, INDEX('Run Reconcile'!A$2:A1679,MATCH(B1252,'Run Reconcile'!B$2:B1679,0),1),IFERROR(0/0,""))</f>
        <v>RUN-COMB_2022-07-05_RFR-071</v>
      </c>
      <c r="S1252" s="165" t="str">
        <f t="shared" ref="S1252:T1252" si="2503">IF(COUNTIF(W$2:W1679, $A1252) &gt; 0,TRUE,IFERROR(0/0,""))</f>
        <v/>
      </c>
      <c r="T1252" s="165" t="str">
        <f t="shared" si="2503"/>
        <v/>
      </c>
      <c r="U1252" s="147" t="str">
        <f t="array" ref="U1252">IF(ISBLANK($R1252), IF($S1252,VLOOKUP($B1252+1,'RFR Data - preExcl'!$BF$2:$BG1679,2,FALSE),IF($T1252,INDEX('RFR Data - preExcl'!$BF$2:$BG1679,MATCH($B1252,'RFR Data - preExcl'!$BF$2:$BF1679,0)+1,2),VLOOKUP($B1252,'RFR Data - preExcl'!$BF$2:$BG1679,2,FALSE))),IFERROR(0/0,""))</f>
        <v/>
      </c>
      <c r="V1252" s="212" t="str">
        <f t="shared" si="5"/>
        <v>RUN-COMB_2022-07-05_RFR-071</v>
      </c>
      <c r="W1252" s="51"/>
      <c r="X1252" s="51"/>
      <c r="Y1252" s="147" t="str">
        <f t="shared" ref="Y1252:Z1252" si="2504">IF(_xlfn.ISFORMULA(S1252),IFERROR(0/0,""),TRUE)</f>
        <v/>
      </c>
      <c r="Z1252" s="147" t="str">
        <f t="shared" si="2504"/>
        <v/>
      </c>
    </row>
    <row r="1253">
      <c r="A1253" s="6" t="str">
        <f>IFERROR(__xludf.DUMMYFUNCTION("""COMPUTED_VALUE"""),"FM2817")</f>
        <v>FM2817</v>
      </c>
      <c r="B1253" s="206">
        <f>IFERROR(__xludf.DUMMYFUNCTION("""COMPUTED_VALUE"""),44747.0)</f>
        <v>44747</v>
      </c>
      <c r="C1253" s="207">
        <f>IFERROR(__xludf.DUMMYFUNCTION("""COMPUTED_VALUE"""),0.31278935185185186)</f>
        <v>0.3127893519</v>
      </c>
      <c r="D1253" s="50"/>
      <c r="E1253" s="58"/>
      <c r="F1253" s="58"/>
      <c r="G1253" s="58" t="str">
        <f>IFERROR(__xludf.DUMMYFUNCTION("""COMPUTED_VALUE"""),"Null")</f>
        <v>Null</v>
      </c>
      <c r="H1253" s="206" t="str">
        <f>IFERROR(__xludf.DUMMYFUNCTION("""COMPUTED_VALUE"""),"Negative")</f>
        <v>Negative</v>
      </c>
      <c r="I1253" s="207"/>
      <c r="J1253" s="50"/>
      <c r="K1253" s="50">
        <f>IFERROR(__xludf.DUMMYFUNCTION("""COMPUTED_VALUE"""),2.0)</f>
        <v>2</v>
      </c>
      <c r="L1253" s="6"/>
      <c r="M1253" s="55"/>
      <c r="N1253" s="55">
        <f>IFERROR(__xludf.DUMMYFUNCTION("""COMPUTED_VALUE"""),1.0)</f>
        <v>1</v>
      </c>
      <c r="O1253" s="55" t="str">
        <f t="shared" si="3"/>
        <v/>
      </c>
      <c r="P1253" s="209"/>
      <c r="Q1253" s="75" t="b">
        <f>VLOOKUP($B1253,'Run Reconcile'!B$2:P1679,15,FALSE)</f>
        <v>1</v>
      </c>
      <c r="R1253" s="211" t="str">
        <f t="array" ref="R1253">IF($Q1253, INDEX('Run Reconcile'!A$2:A1679,MATCH(B1253,'Run Reconcile'!B$2:B1679,0),1),IFERROR(0/0,""))</f>
        <v>RUN-COMB_2022-07-05_RFR-071</v>
      </c>
      <c r="S1253" s="165" t="str">
        <f t="shared" ref="S1253:T1253" si="2505">IF(COUNTIF(W$2:W1679, $A1253) &gt; 0,TRUE,IFERROR(0/0,""))</f>
        <v/>
      </c>
      <c r="T1253" s="165" t="str">
        <f t="shared" si="2505"/>
        <v/>
      </c>
      <c r="U1253" s="147" t="str">
        <f t="array" ref="U1253">IF(ISBLANK($R1253), IF($S1253,VLOOKUP($B1253+1,'RFR Data - preExcl'!$BF$2:$BG1679,2,FALSE),IF($T1253,INDEX('RFR Data - preExcl'!$BF$2:$BG1679,MATCH($B1253,'RFR Data - preExcl'!$BF$2:$BF1679,0)+1,2),VLOOKUP($B1253,'RFR Data - preExcl'!$BF$2:$BG1679,2,FALSE))),IFERROR(0/0,""))</f>
        <v/>
      </c>
      <c r="V1253" s="212" t="str">
        <f t="shared" si="5"/>
        <v>RUN-COMB_2022-07-05_RFR-071</v>
      </c>
      <c r="W1253" s="51"/>
      <c r="X1253" s="51"/>
      <c r="Y1253" s="147" t="str">
        <f t="shared" ref="Y1253:Z1253" si="2506">IF(_xlfn.ISFORMULA(S1253),IFERROR(0/0,""),TRUE)</f>
        <v/>
      </c>
      <c r="Z1253" s="147" t="str">
        <f t="shared" si="2506"/>
        <v/>
      </c>
    </row>
    <row r="1254">
      <c r="A1254" s="6" t="str">
        <f>IFERROR(__xludf.DUMMYFUNCTION("""COMPUTED_VALUE"""),"FM2742")</f>
        <v>FM2742</v>
      </c>
      <c r="B1254" s="206">
        <f>IFERROR(__xludf.DUMMYFUNCTION("""COMPUTED_VALUE"""),44747.0)</f>
        <v>44747</v>
      </c>
      <c r="C1254" s="207">
        <f>IFERROR(__xludf.DUMMYFUNCTION("""COMPUTED_VALUE"""),0.31333333333333335)</f>
        <v>0.3133333333</v>
      </c>
      <c r="D1254" s="50"/>
      <c r="E1254" s="58"/>
      <c r="F1254" s="58"/>
      <c r="G1254" s="58" t="str">
        <f>IFERROR(__xludf.DUMMYFUNCTION("""COMPUTED_VALUE"""),"Null")</f>
        <v>Null</v>
      </c>
      <c r="H1254" s="206" t="str">
        <f>IFERROR(__xludf.DUMMYFUNCTION("""COMPUTED_VALUE"""),"Negative")</f>
        <v>Negative</v>
      </c>
      <c r="I1254" s="207"/>
      <c r="J1254" s="50"/>
      <c r="K1254" s="50">
        <f>IFERROR(__xludf.DUMMYFUNCTION("""COMPUTED_VALUE"""),2.0)</f>
        <v>2</v>
      </c>
      <c r="L1254" s="6"/>
      <c r="M1254" s="55"/>
      <c r="N1254" s="55">
        <f>IFERROR(__xludf.DUMMYFUNCTION("""COMPUTED_VALUE"""),1.0)</f>
        <v>1</v>
      </c>
      <c r="O1254" s="55" t="str">
        <f t="shared" si="3"/>
        <v/>
      </c>
      <c r="P1254" s="209"/>
      <c r="Q1254" s="75" t="b">
        <f>VLOOKUP($B1254,'Run Reconcile'!B$2:P1679,15,FALSE)</f>
        <v>1</v>
      </c>
      <c r="R1254" s="211" t="str">
        <f t="array" ref="R1254">IF($Q1254, INDEX('Run Reconcile'!A$2:A1679,MATCH(B1254,'Run Reconcile'!B$2:B1679,0),1),IFERROR(0/0,""))</f>
        <v>RUN-COMB_2022-07-05_RFR-071</v>
      </c>
      <c r="S1254" s="165" t="str">
        <f t="shared" ref="S1254:T1254" si="2507">IF(COUNTIF(W$2:W1679, $A1254) &gt; 0,TRUE,IFERROR(0/0,""))</f>
        <v/>
      </c>
      <c r="T1254" s="165" t="str">
        <f t="shared" si="2507"/>
        <v/>
      </c>
      <c r="U1254" s="147" t="str">
        <f t="array" ref="U1254">IF(ISBLANK($R1254), IF($S1254,VLOOKUP($B1254+1,'RFR Data - preExcl'!$BF$2:$BG1679,2,FALSE),IF($T1254,INDEX('RFR Data - preExcl'!$BF$2:$BG1679,MATCH($B1254,'RFR Data - preExcl'!$BF$2:$BF1679,0)+1,2),VLOOKUP($B1254,'RFR Data - preExcl'!$BF$2:$BG1679,2,FALSE))),IFERROR(0/0,""))</f>
        <v/>
      </c>
      <c r="V1254" s="212" t="str">
        <f t="shared" si="5"/>
        <v>RUN-COMB_2022-07-05_RFR-071</v>
      </c>
      <c r="W1254" s="51"/>
      <c r="X1254" s="51"/>
      <c r="Y1254" s="147" t="str">
        <f t="shared" ref="Y1254:Z1254" si="2508">IF(_xlfn.ISFORMULA(S1254),IFERROR(0/0,""),TRUE)</f>
        <v/>
      </c>
      <c r="Z1254" s="147" t="str">
        <f t="shared" si="2508"/>
        <v/>
      </c>
    </row>
    <row r="1255">
      <c r="A1255" s="6" t="str">
        <f>IFERROR(__xludf.DUMMYFUNCTION("""COMPUTED_VALUE"""),"FM2726")</f>
        <v>FM2726</v>
      </c>
      <c r="B1255" s="206">
        <f>IFERROR(__xludf.DUMMYFUNCTION("""COMPUTED_VALUE"""),44747.0)</f>
        <v>44747</v>
      </c>
      <c r="C1255" s="207">
        <f>IFERROR(__xludf.DUMMYFUNCTION("""COMPUTED_VALUE"""),0.3137962962962963)</f>
        <v>0.3137962963</v>
      </c>
      <c r="D1255" s="50"/>
      <c r="E1255" s="58"/>
      <c r="F1255" s="58"/>
      <c r="G1255" s="58" t="str">
        <f>IFERROR(__xludf.DUMMYFUNCTION("""COMPUTED_VALUE"""),"Null")</f>
        <v>Null</v>
      </c>
      <c r="H1255" s="206" t="str">
        <f>IFERROR(__xludf.DUMMYFUNCTION("""COMPUTED_VALUE"""),"Negative")</f>
        <v>Negative</v>
      </c>
      <c r="I1255" s="207"/>
      <c r="J1255" s="50"/>
      <c r="K1255" s="50">
        <f>IFERROR(__xludf.DUMMYFUNCTION("""COMPUTED_VALUE"""),2.0)</f>
        <v>2</v>
      </c>
      <c r="L1255" s="6"/>
      <c r="M1255" s="55"/>
      <c r="N1255" s="55">
        <f>IFERROR(__xludf.DUMMYFUNCTION("""COMPUTED_VALUE"""),1.0)</f>
        <v>1</v>
      </c>
      <c r="O1255" s="55" t="str">
        <f t="shared" si="3"/>
        <v/>
      </c>
      <c r="P1255" s="209"/>
      <c r="Q1255" s="75" t="b">
        <f>VLOOKUP($B1255,'Run Reconcile'!B$2:P1679,15,FALSE)</f>
        <v>1</v>
      </c>
      <c r="R1255" s="211" t="str">
        <f t="array" ref="R1255">IF($Q1255, INDEX('Run Reconcile'!A$2:A1679,MATCH(B1255,'Run Reconcile'!B$2:B1679,0),1),IFERROR(0/0,""))</f>
        <v>RUN-COMB_2022-07-05_RFR-071</v>
      </c>
      <c r="S1255" s="165" t="str">
        <f t="shared" ref="S1255:T1255" si="2509">IF(COUNTIF(W$2:W1679, $A1255) &gt; 0,TRUE,IFERROR(0/0,""))</f>
        <v/>
      </c>
      <c r="T1255" s="165" t="str">
        <f t="shared" si="2509"/>
        <v/>
      </c>
      <c r="U1255" s="147" t="str">
        <f t="array" ref="U1255">IF(ISBLANK($R1255), IF($S1255,VLOOKUP($B1255+1,'RFR Data - preExcl'!$BF$2:$BG1679,2,FALSE),IF($T1255,INDEX('RFR Data - preExcl'!$BF$2:$BG1679,MATCH($B1255,'RFR Data - preExcl'!$BF$2:$BF1679,0)+1,2),VLOOKUP($B1255,'RFR Data - preExcl'!$BF$2:$BG1679,2,FALSE))),IFERROR(0/0,""))</f>
        <v/>
      </c>
      <c r="V1255" s="212" t="str">
        <f t="shared" si="5"/>
        <v>RUN-COMB_2022-07-05_RFR-071</v>
      </c>
      <c r="W1255" s="51"/>
      <c r="X1255" s="51"/>
      <c r="Y1255" s="147" t="str">
        <f t="shared" ref="Y1255:Z1255" si="2510">IF(_xlfn.ISFORMULA(S1255),IFERROR(0/0,""),TRUE)</f>
        <v/>
      </c>
      <c r="Z1255" s="147" t="str">
        <f t="shared" si="2510"/>
        <v/>
      </c>
    </row>
    <row r="1256">
      <c r="A1256" s="6" t="str">
        <f>IFERROR(__xludf.DUMMYFUNCTION("""COMPUTED_VALUE"""),"FM2800")</f>
        <v>FM2800</v>
      </c>
      <c r="B1256" s="206">
        <f>IFERROR(__xludf.DUMMYFUNCTION("""COMPUTED_VALUE"""),44747.0)</f>
        <v>44747</v>
      </c>
      <c r="C1256" s="207">
        <f>IFERROR(__xludf.DUMMYFUNCTION("""COMPUTED_VALUE"""),0.31430555555555556)</f>
        <v>0.3143055556</v>
      </c>
      <c r="D1256" s="50"/>
      <c r="E1256" s="58"/>
      <c r="F1256" s="58"/>
      <c r="G1256" s="58" t="str">
        <f>IFERROR(__xludf.DUMMYFUNCTION("""COMPUTED_VALUE"""),"Null")</f>
        <v>Null</v>
      </c>
      <c r="H1256" s="206" t="str">
        <f>IFERROR(__xludf.DUMMYFUNCTION("""COMPUTED_VALUE"""),"Negative")</f>
        <v>Negative</v>
      </c>
      <c r="I1256" s="207"/>
      <c r="J1256" s="50"/>
      <c r="K1256" s="50">
        <f>IFERROR(__xludf.DUMMYFUNCTION("""COMPUTED_VALUE"""),2.0)</f>
        <v>2</v>
      </c>
      <c r="L1256" s="6"/>
      <c r="M1256" s="55"/>
      <c r="N1256" s="55">
        <f>IFERROR(__xludf.DUMMYFUNCTION("""COMPUTED_VALUE"""),1.0)</f>
        <v>1</v>
      </c>
      <c r="O1256" s="55" t="str">
        <f t="shared" si="3"/>
        <v/>
      </c>
      <c r="P1256" s="209"/>
      <c r="Q1256" s="75" t="b">
        <f>VLOOKUP($B1256,'Run Reconcile'!B$2:P1679,15,FALSE)</f>
        <v>1</v>
      </c>
      <c r="R1256" s="211" t="str">
        <f t="array" ref="R1256">IF($Q1256, INDEX('Run Reconcile'!A$2:A1679,MATCH(B1256,'Run Reconcile'!B$2:B1679,0),1),IFERROR(0/0,""))</f>
        <v>RUN-COMB_2022-07-05_RFR-071</v>
      </c>
      <c r="S1256" s="165" t="str">
        <f t="shared" ref="S1256:T1256" si="2511">IF(COUNTIF(W$2:W1679, $A1256) &gt; 0,TRUE,IFERROR(0/0,""))</f>
        <v/>
      </c>
      <c r="T1256" s="165" t="str">
        <f t="shared" si="2511"/>
        <v/>
      </c>
      <c r="U1256" s="147" t="str">
        <f t="array" ref="U1256">IF(ISBLANK($R1256), IF($S1256,VLOOKUP($B1256+1,'RFR Data - preExcl'!$BF$2:$BG1679,2,FALSE),IF($T1256,INDEX('RFR Data - preExcl'!$BF$2:$BG1679,MATCH($B1256,'RFR Data - preExcl'!$BF$2:$BF1679,0)+1,2),VLOOKUP($B1256,'RFR Data - preExcl'!$BF$2:$BG1679,2,FALSE))),IFERROR(0/0,""))</f>
        <v/>
      </c>
      <c r="V1256" s="212" t="str">
        <f t="shared" si="5"/>
        <v>RUN-COMB_2022-07-05_RFR-071</v>
      </c>
      <c r="W1256" s="51"/>
      <c r="X1256" s="51"/>
      <c r="Y1256" s="147" t="str">
        <f t="shared" ref="Y1256:Z1256" si="2512">IF(_xlfn.ISFORMULA(S1256),IFERROR(0/0,""),TRUE)</f>
        <v/>
      </c>
      <c r="Z1256" s="147" t="str">
        <f t="shared" si="2512"/>
        <v/>
      </c>
    </row>
    <row r="1257">
      <c r="A1257" s="6" t="str">
        <f>IFERROR(__xludf.DUMMYFUNCTION("""COMPUTED_VALUE"""),"FM2709")</f>
        <v>FM2709</v>
      </c>
      <c r="B1257" s="206">
        <f>IFERROR(__xludf.DUMMYFUNCTION("""COMPUTED_VALUE"""),44747.0)</f>
        <v>44747</v>
      </c>
      <c r="C1257" s="207">
        <f>IFERROR(__xludf.DUMMYFUNCTION("""COMPUTED_VALUE"""),0.315)</f>
        <v>0.315</v>
      </c>
      <c r="D1257" s="50"/>
      <c r="E1257" s="58"/>
      <c r="F1257" s="58"/>
      <c r="G1257" s="58" t="str">
        <f>IFERROR(__xludf.DUMMYFUNCTION("""COMPUTED_VALUE"""),"Null")</f>
        <v>Null</v>
      </c>
      <c r="H1257" s="206" t="str">
        <f>IFERROR(__xludf.DUMMYFUNCTION("""COMPUTED_VALUE"""),"Negative")</f>
        <v>Negative</v>
      </c>
      <c r="I1257" s="207"/>
      <c r="J1257" s="50"/>
      <c r="K1257" s="50">
        <f>IFERROR(__xludf.DUMMYFUNCTION("""COMPUTED_VALUE"""),2.0)</f>
        <v>2</v>
      </c>
      <c r="L1257" s="6"/>
      <c r="M1257" s="55"/>
      <c r="N1257" s="55">
        <f>IFERROR(__xludf.DUMMYFUNCTION("""COMPUTED_VALUE"""),1.0)</f>
        <v>1</v>
      </c>
      <c r="O1257" s="55" t="str">
        <f t="shared" si="3"/>
        <v/>
      </c>
      <c r="P1257" s="209"/>
      <c r="Q1257" s="75" t="b">
        <f>VLOOKUP($B1257,'Run Reconcile'!B$2:P1679,15,FALSE)</f>
        <v>1</v>
      </c>
      <c r="R1257" s="211" t="str">
        <f t="array" ref="R1257">IF($Q1257, INDEX('Run Reconcile'!A$2:A1679,MATCH(B1257,'Run Reconcile'!B$2:B1679,0),1),IFERROR(0/0,""))</f>
        <v>RUN-COMB_2022-07-05_RFR-071</v>
      </c>
      <c r="S1257" s="165" t="str">
        <f t="shared" ref="S1257:T1257" si="2513">IF(COUNTIF(W$2:W1679, $A1257) &gt; 0,TRUE,IFERROR(0/0,""))</f>
        <v/>
      </c>
      <c r="T1257" s="165" t="str">
        <f t="shared" si="2513"/>
        <v/>
      </c>
      <c r="U1257" s="147" t="str">
        <f t="array" ref="U1257">IF(ISBLANK($R1257), IF($S1257,VLOOKUP($B1257+1,'RFR Data - preExcl'!$BF$2:$BG1679,2,FALSE),IF($T1257,INDEX('RFR Data - preExcl'!$BF$2:$BG1679,MATCH($B1257,'RFR Data - preExcl'!$BF$2:$BF1679,0)+1,2),VLOOKUP($B1257,'RFR Data - preExcl'!$BF$2:$BG1679,2,FALSE))),IFERROR(0/0,""))</f>
        <v/>
      </c>
      <c r="V1257" s="212" t="str">
        <f t="shared" si="5"/>
        <v>RUN-COMB_2022-07-05_RFR-071</v>
      </c>
      <c r="W1257" s="51"/>
      <c r="X1257" s="51"/>
      <c r="Y1257" s="147" t="str">
        <f t="shared" ref="Y1257:Z1257" si="2514">IF(_xlfn.ISFORMULA(S1257),IFERROR(0/0,""),TRUE)</f>
        <v/>
      </c>
      <c r="Z1257" s="147" t="str">
        <f t="shared" si="2514"/>
        <v/>
      </c>
    </row>
    <row r="1258">
      <c r="A1258" s="6" t="str">
        <f>IFERROR(__xludf.DUMMYFUNCTION("""COMPUTED_VALUE"""),"FM2741")</f>
        <v>FM2741</v>
      </c>
      <c r="B1258" s="206">
        <f>IFERROR(__xludf.DUMMYFUNCTION("""COMPUTED_VALUE"""),44747.0)</f>
        <v>44747</v>
      </c>
      <c r="C1258" s="207">
        <f>IFERROR(__xludf.DUMMYFUNCTION("""COMPUTED_VALUE"""),0.3154513888888889)</f>
        <v>0.3154513889</v>
      </c>
      <c r="D1258" s="50"/>
      <c r="E1258" s="58"/>
      <c r="F1258" s="58"/>
      <c r="G1258" s="58" t="str">
        <f>IFERROR(__xludf.DUMMYFUNCTION("""COMPUTED_VALUE"""),"Null")</f>
        <v>Null</v>
      </c>
      <c r="H1258" s="206" t="str">
        <f>IFERROR(__xludf.DUMMYFUNCTION("""COMPUTED_VALUE"""),"Negative")</f>
        <v>Negative</v>
      </c>
      <c r="I1258" s="207"/>
      <c r="J1258" s="50"/>
      <c r="K1258" s="50">
        <f>IFERROR(__xludf.DUMMYFUNCTION("""COMPUTED_VALUE"""),2.0)</f>
        <v>2</v>
      </c>
      <c r="L1258" s="6"/>
      <c r="M1258" s="55"/>
      <c r="N1258" s="55">
        <f>IFERROR(__xludf.DUMMYFUNCTION("""COMPUTED_VALUE"""),1.0)</f>
        <v>1</v>
      </c>
      <c r="O1258" s="55" t="str">
        <f t="shared" si="3"/>
        <v/>
      </c>
      <c r="P1258" s="209"/>
      <c r="Q1258" s="75" t="b">
        <f>VLOOKUP($B1258,'Run Reconcile'!B$2:P1679,15,FALSE)</f>
        <v>1</v>
      </c>
      <c r="R1258" s="211" t="str">
        <f t="array" ref="R1258">IF($Q1258, INDEX('Run Reconcile'!A$2:A1679,MATCH(B1258,'Run Reconcile'!B$2:B1679,0),1),IFERROR(0/0,""))</f>
        <v>RUN-COMB_2022-07-05_RFR-071</v>
      </c>
      <c r="S1258" s="165" t="str">
        <f t="shared" ref="S1258:T1258" si="2515">IF(COUNTIF(W$2:W1679, $A1258) &gt; 0,TRUE,IFERROR(0/0,""))</f>
        <v/>
      </c>
      <c r="T1258" s="165" t="str">
        <f t="shared" si="2515"/>
        <v/>
      </c>
      <c r="U1258" s="147" t="str">
        <f t="array" ref="U1258">IF(ISBLANK($R1258), IF($S1258,VLOOKUP($B1258+1,'RFR Data - preExcl'!$BF$2:$BG1679,2,FALSE),IF($T1258,INDEX('RFR Data - preExcl'!$BF$2:$BG1679,MATCH($B1258,'RFR Data - preExcl'!$BF$2:$BF1679,0)+1,2),VLOOKUP($B1258,'RFR Data - preExcl'!$BF$2:$BG1679,2,FALSE))),IFERROR(0/0,""))</f>
        <v/>
      </c>
      <c r="V1258" s="212" t="str">
        <f t="shared" si="5"/>
        <v>RUN-COMB_2022-07-05_RFR-071</v>
      </c>
      <c r="W1258" s="51"/>
      <c r="X1258" s="51"/>
      <c r="Y1258" s="147" t="str">
        <f t="shared" ref="Y1258:Z1258" si="2516">IF(_xlfn.ISFORMULA(S1258),IFERROR(0/0,""),TRUE)</f>
        <v/>
      </c>
      <c r="Z1258" s="147" t="str">
        <f t="shared" si="2516"/>
        <v/>
      </c>
    </row>
    <row r="1259">
      <c r="A1259" s="6" t="str">
        <f>IFERROR(__xludf.DUMMYFUNCTION("""COMPUTED_VALUE"""),"FM2768")</f>
        <v>FM2768</v>
      </c>
      <c r="B1259" s="206">
        <f>IFERROR(__xludf.DUMMYFUNCTION("""COMPUTED_VALUE"""),44747.0)</f>
        <v>44747</v>
      </c>
      <c r="C1259" s="207">
        <f>IFERROR(__xludf.DUMMYFUNCTION("""COMPUTED_VALUE"""),0.3158912037037037)</f>
        <v>0.3158912037</v>
      </c>
      <c r="D1259" s="50"/>
      <c r="E1259" s="58"/>
      <c r="F1259" s="58"/>
      <c r="G1259" s="58" t="str">
        <f>IFERROR(__xludf.DUMMYFUNCTION("""COMPUTED_VALUE"""),"Null")</f>
        <v>Null</v>
      </c>
      <c r="H1259" s="206" t="str">
        <f>IFERROR(__xludf.DUMMYFUNCTION("""COMPUTED_VALUE"""),"Negative")</f>
        <v>Negative</v>
      </c>
      <c r="I1259" s="207"/>
      <c r="J1259" s="50"/>
      <c r="K1259" s="50">
        <f>IFERROR(__xludf.DUMMYFUNCTION("""COMPUTED_VALUE"""),2.0)</f>
        <v>2</v>
      </c>
      <c r="L1259" s="6"/>
      <c r="M1259" s="55"/>
      <c r="N1259" s="55">
        <f>IFERROR(__xludf.DUMMYFUNCTION("""COMPUTED_VALUE"""),1.0)</f>
        <v>1</v>
      </c>
      <c r="O1259" s="55" t="str">
        <f t="shared" si="3"/>
        <v/>
      </c>
      <c r="P1259" s="209"/>
      <c r="Q1259" s="75" t="b">
        <f>VLOOKUP($B1259,'Run Reconcile'!B$2:P1679,15,FALSE)</f>
        <v>1</v>
      </c>
      <c r="R1259" s="211" t="str">
        <f t="array" ref="R1259">IF($Q1259, INDEX('Run Reconcile'!A$2:A1679,MATCH(B1259,'Run Reconcile'!B$2:B1679,0),1),IFERROR(0/0,""))</f>
        <v>RUN-COMB_2022-07-05_RFR-071</v>
      </c>
      <c r="S1259" s="165" t="str">
        <f t="shared" ref="S1259:T1259" si="2517">IF(COUNTIF(W$2:W1679, $A1259) &gt; 0,TRUE,IFERROR(0/0,""))</f>
        <v/>
      </c>
      <c r="T1259" s="165" t="str">
        <f t="shared" si="2517"/>
        <v/>
      </c>
      <c r="U1259" s="147" t="str">
        <f t="array" ref="U1259">IF(ISBLANK($R1259), IF($S1259,VLOOKUP($B1259+1,'RFR Data - preExcl'!$BF$2:$BG1679,2,FALSE),IF($T1259,INDEX('RFR Data - preExcl'!$BF$2:$BG1679,MATCH($B1259,'RFR Data - preExcl'!$BF$2:$BF1679,0)+1,2),VLOOKUP($B1259,'RFR Data - preExcl'!$BF$2:$BG1679,2,FALSE))),IFERROR(0/0,""))</f>
        <v/>
      </c>
      <c r="V1259" s="212" t="str">
        <f t="shared" si="5"/>
        <v>RUN-COMB_2022-07-05_RFR-071</v>
      </c>
      <c r="W1259" s="51"/>
      <c r="X1259" s="51"/>
      <c r="Y1259" s="147" t="str">
        <f t="shared" ref="Y1259:Z1259" si="2518">IF(_xlfn.ISFORMULA(S1259),IFERROR(0/0,""),TRUE)</f>
        <v/>
      </c>
      <c r="Z1259" s="147" t="str">
        <f t="shared" si="2518"/>
        <v/>
      </c>
    </row>
    <row r="1260">
      <c r="A1260" s="6" t="str">
        <f>IFERROR(__xludf.DUMMYFUNCTION("""COMPUTED_VALUE"""),"FM2782")</f>
        <v>FM2782</v>
      </c>
      <c r="B1260" s="206">
        <f>IFERROR(__xludf.DUMMYFUNCTION("""COMPUTED_VALUE"""),44747.0)</f>
        <v>44747</v>
      </c>
      <c r="C1260" s="207">
        <f>IFERROR(__xludf.DUMMYFUNCTION("""COMPUTED_VALUE"""),0.31645833333333334)</f>
        <v>0.3164583333</v>
      </c>
      <c r="D1260" s="50"/>
      <c r="E1260" s="58"/>
      <c r="F1260" s="58"/>
      <c r="G1260" s="58" t="str">
        <f>IFERROR(__xludf.DUMMYFUNCTION("""COMPUTED_VALUE"""),"Null")</f>
        <v>Null</v>
      </c>
      <c r="H1260" s="206" t="str">
        <f>IFERROR(__xludf.DUMMYFUNCTION("""COMPUTED_VALUE"""),"Negative")</f>
        <v>Negative</v>
      </c>
      <c r="I1260" s="207"/>
      <c r="J1260" s="50"/>
      <c r="K1260" s="50">
        <f>IFERROR(__xludf.DUMMYFUNCTION("""COMPUTED_VALUE"""),2.0)</f>
        <v>2</v>
      </c>
      <c r="L1260" s="6"/>
      <c r="M1260" s="55"/>
      <c r="N1260" s="55">
        <f>IFERROR(__xludf.DUMMYFUNCTION("""COMPUTED_VALUE"""),1.0)</f>
        <v>1</v>
      </c>
      <c r="O1260" s="55" t="str">
        <f t="shared" si="3"/>
        <v/>
      </c>
      <c r="P1260" s="209"/>
      <c r="Q1260" s="75" t="b">
        <f>VLOOKUP($B1260,'Run Reconcile'!B$2:P1679,15,FALSE)</f>
        <v>1</v>
      </c>
      <c r="R1260" s="211" t="str">
        <f t="array" ref="R1260">IF($Q1260, INDEX('Run Reconcile'!A$2:A1679,MATCH(B1260,'Run Reconcile'!B$2:B1679,0),1),IFERROR(0/0,""))</f>
        <v>RUN-COMB_2022-07-05_RFR-071</v>
      </c>
      <c r="S1260" s="165" t="str">
        <f t="shared" ref="S1260:T1260" si="2519">IF(COUNTIF(W$2:W1679, $A1260) &gt; 0,TRUE,IFERROR(0/0,""))</f>
        <v/>
      </c>
      <c r="T1260" s="165" t="str">
        <f t="shared" si="2519"/>
        <v/>
      </c>
      <c r="U1260" s="147" t="str">
        <f t="array" ref="U1260">IF(ISBLANK($R1260), IF($S1260,VLOOKUP($B1260+1,'RFR Data - preExcl'!$BF$2:$BG1679,2,FALSE),IF($T1260,INDEX('RFR Data - preExcl'!$BF$2:$BG1679,MATCH($B1260,'RFR Data - preExcl'!$BF$2:$BF1679,0)+1,2),VLOOKUP($B1260,'RFR Data - preExcl'!$BF$2:$BG1679,2,FALSE))),IFERROR(0/0,""))</f>
        <v/>
      </c>
      <c r="V1260" s="212" t="str">
        <f t="shared" si="5"/>
        <v>RUN-COMB_2022-07-05_RFR-071</v>
      </c>
      <c r="W1260" s="51"/>
      <c r="X1260" s="51"/>
      <c r="Y1260" s="147" t="str">
        <f t="shared" ref="Y1260:Z1260" si="2520">IF(_xlfn.ISFORMULA(S1260),IFERROR(0/0,""),TRUE)</f>
        <v/>
      </c>
      <c r="Z1260" s="147" t="str">
        <f t="shared" si="2520"/>
        <v/>
      </c>
    </row>
    <row r="1261">
      <c r="A1261" s="6" t="str">
        <f>IFERROR(__xludf.DUMMYFUNCTION("""COMPUTED_VALUE"""),"FM2778")</f>
        <v>FM2778</v>
      </c>
      <c r="B1261" s="206">
        <f>IFERROR(__xludf.DUMMYFUNCTION("""COMPUTED_VALUE"""),44747.0)</f>
        <v>44747</v>
      </c>
      <c r="C1261" s="207">
        <f>IFERROR(__xludf.DUMMYFUNCTION("""COMPUTED_VALUE"""),0.31685185185185183)</f>
        <v>0.3168518519</v>
      </c>
      <c r="D1261" s="50"/>
      <c r="E1261" s="58"/>
      <c r="F1261" s="58"/>
      <c r="G1261" s="58" t="str">
        <f>IFERROR(__xludf.DUMMYFUNCTION("""COMPUTED_VALUE"""),"Null")</f>
        <v>Null</v>
      </c>
      <c r="H1261" s="206" t="str">
        <f>IFERROR(__xludf.DUMMYFUNCTION("""COMPUTED_VALUE"""),"Negative")</f>
        <v>Negative</v>
      </c>
      <c r="I1261" s="207"/>
      <c r="J1261" s="50"/>
      <c r="K1261" s="50">
        <f>IFERROR(__xludf.DUMMYFUNCTION("""COMPUTED_VALUE"""),2.0)</f>
        <v>2</v>
      </c>
      <c r="L1261" s="6"/>
      <c r="M1261" s="55"/>
      <c r="N1261" s="55">
        <f>IFERROR(__xludf.DUMMYFUNCTION("""COMPUTED_VALUE"""),1.0)</f>
        <v>1</v>
      </c>
      <c r="O1261" s="55" t="str">
        <f t="shared" si="3"/>
        <v/>
      </c>
      <c r="P1261" s="209"/>
      <c r="Q1261" s="75" t="b">
        <f>VLOOKUP($B1261,'Run Reconcile'!B$2:P1679,15,FALSE)</f>
        <v>1</v>
      </c>
      <c r="R1261" s="211" t="str">
        <f t="array" ref="R1261">IF($Q1261, INDEX('Run Reconcile'!A$2:A1679,MATCH(B1261,'Run Reconcile'!B$2:B1679,0),1),IFERROR(0/0,""))</f>
        <v>RUN-COMB_2022-07-05_RFR-071</v>
      </c>
      <c r="S1261" s="165" t="str">
        <f t="shared" ref="S1261:T1261" si="2521">IF(COUNTIF(W$2:W1679, $A1261) &gt; 0,TRUE,IFERROR(0/0,""))</f>
        <v/>
      </c>
      <c r="T1261" s="165" t="str">
        <f t="shared" si="2521"/>
        <v/>
      </c>
      <c r="U1261" s="147" t="str">
        <f t="array" ref="U1261">IF(ISBLANK($R1261), IF($S1261,VLOOKUP($B1261+1,'RFR Data - preExcl'!$BF$2:$BG1679,2,FALSE),IF($T1261,INDEX('RFR Data - preExcl'!$BF$2:$BG1679,MATCH($B1261,'RFR Data - preExcl'!$BF$2:$BF1679,0)+1,2),VLOOKUP($B1261,'RFR Data - preExcl'!$BF$2:$BG1679,2,FALSE))),IFERROR(0/0,""))</f>
        <v/>
      </c>
      <c r="V1261" s="212" t="str">
        <f t="shared" si="5"/>
        <v>RUN-COMB_2022-07-05_RFR-071</v>
      </c>
      <c r="W1261" s="51"/>
      <c r="X1261" s="51"/>
      <c r="Y1261" s="147" t="str">
        <f t="shared" ref="Y1261:Z1261" si="2522">IF(_xlfn.ISFORMULA(S1261),IFERROR(0/0,""),TRUE)</f>
        <v/>
      </c>
      <c r="Z1261" s="147" t="str">
        <f t="shared" si="2522"/>
        <v/>
      </c>
    </row>
    <row r="1262">
      <c r="A1262" s="6" t="str">
        <f>IFERROR(__xludf.DUMMYFUNCTION("""COMPUTED_VALUE"""),"FM2704")</f>
        <v>FM2704</v>
      </c>
      <c r="B1262" s="206">
        <f>IFERROR(__xludf.DUMMYFUNCTION("""COMPUTED_VALUE"""),44747.0)</f>
        <v>44747</v>
      </c>
      <c r="C1262" s="207">
        <f>IFERROR(__xludf.DUMMYFUNCTION("""COMPUTED_VALUE"""),0.31741898148148145)</f>
        <v>0.3174189815</v>
      </c>
      <c r="D1262" s="50"/>
      <c r="E1262" s="58"/>
      <c r="F1262" s="58"/>
      <c r="G1262" s="58" t="str">
        <f>IFERROR(__xludf.DUMMYFUNCTION("""COMPUTED_VALUE"""),"Null")</f>
        <v>Null</v>
      </c>
      <c r="H1262" s="206" t="str">
        <f>IFERROR(__xludf.DUMMYFUNCTION("""COMPUTED_VALUE"""),"Negative")</f>
        <v>Negative</v>
      </c>
      <c r="I1262" s="207"/>
      <c r="J1262" s="50"/>
      <c r="K1262" s="50">
        <f>IFERROR(__xludf.DUMMYFUNCTION("""COMPUTED_VALUE"""),2.0)</f>
        <v>2</v>
      </c>
      <c r="L1262" s="6"/>
      <c r="M1262" s="55"/>
      <c r="N1262" s="55">
        <f>IFERROR(__xludf.DUMMYFUNCTION("""COMPUTED_VALUE"""),1.0)</f>
        <v>1</v>
      </c>
      <c r="O1262" s="55" t="str">
        <f t="shared" si="3"/>
        <v/>
      </c>
      <c r="P1262" s="209"/>
      <c r="Q1262" s="75" t="b">
        <f>VLOOKUP($B1262,'Run Reconcile'!B$2:P1679,15,FALSE)</f>
        <v>1</v>
      </c>
      <c r="R1262" s="211" t="str">
        <f t="array" ref="R1262">IF($Q1262, INDEX('Run Reconcile'!A$2:A1679,MATCH(B1262,'Run Reconcile'!B$2:B1679,0),1),IFERROR(0/0,""))</f>
        <v>RUN-COMB_2022-07-05_RFR-071</v>
      </c>
      <c r="S1262" s="165" t="str">
        <f t="shared" ref="S1262:T1262" si="2523">IF(COUNTIF(W$2:W1679, $A1262) &gt; 0,TRUE,IFERROR(0/0,""))</f>
        <v/>
      </c>
      <c r="T1262" s="165" t="str">
        <f t="shared" si="2523"/>
        <v/>
      </c>
      <c r="U1262" s="147" t="str">
        <f t="array" ref="U1262">IF(ISBLANK($R1262), IF($S1262,VLOOKUP($B1262+1,'RFR Data - preExcl'!$BF$2:$BG1679,2,FALSE),IF($T1262,INDEX('RFR Data - preExcl'!$BF$2:$BG1679,MATCH($B1262,'RFR Data - preExcl'!$BF$2:$BF1679,0)+1,2),VLOOKUP($B1262,'RFR Data - preExcl'!$BF$2:$BG1679,2,FALSE))),IFERROR(0/0,""))</f>
        <v/>
      </c>
      <c r="V1262" s="212" t="str">
        <f t="shared" si="5"/>
        <v>RUN-COMB_2022-07-05_RFR-071</v>
      </c>
      <c r="W1262" s="51"/>
      <c r="X1262" s="51"/>
      <c r="Y1262" s="147" t="str">
        <f t="shared" ref="Y1262:Z1262" si="2524">IF(_xlfn.ISFORMULA(S1262),IFERROR(0/0,""),TRUE)</f>
        <v/>
      </c>
      <c r="Z1262" s="147" t="str">
        <f t="shared" si="2524"/>
        <v/>
      </c>
    </row>
    <row r="1263">
      <c r="A1263" s="6" t="str">
        <f>IFERROR(__xludf.DUMMYFUNCTION("""COMPUTED_VALUE"""),"FM2718")</f>
        <v>FM2718</v>
      </c>
      <c r="B1263" s="206">
        <f>IFERROR(__xludf.DUMMYFUNCTION("""COMPUTED_VALUE"""),44748.0)</f>
        <v>44748</v>
      </c>
      <c r="C1263" s="207">
        <f>IFERROR(__xludf.DUMMYFUNCTION("""COMPUTED_VALUE"""),0.31681712962962966)</f>
        <v>0.3168171296</v>
      </c>
      <c r="D1263" s="50"/>
      <c r="E1263" s="58"/>
      <c r="F1263" s="58"/>
      <c r="G1263" s="58" t="str">
        <f>IFERROR(__xludf.DUMMYFUNCTION("""COMPUTED_VALUE"""),"Null")</f>
        <v>Null</v>
      </c>
      <c r="H1263" s="206" t="str">
        <f>IFERROR(__xludf.DUMMYFUNCTION("""COMPUTED_VALUE"""),"Negative")</f>
        <v>Negative</v>
      </c>
      <c r="I1263" s="207"/>
      <c r="J1263" s="50"/>
      <c r="K1263" s="50">
        <f>IFERROR(__xludf.DUMMYFUNCTION("""COMPUTED_VALUE"""),2.0)</f>
        <v>2</v>
      </c>
      <c r="L1263" s="6"/>
      <c r="M1263" s="55"/>
      <c r="N1263" s="55">
        <f>IFERROR(__xludf.DUMMYFUNCTION("""COMPUTED_VALUE"""),1.0)</f>
        <v>1</v>
      </c>
      <c r="O1263" s="55" t="b">
        <f t="shared" si="3"/>
        <v>1</v>
      </c>
      <c r="P1263" s="209"/>
      <c r="Q1263" s="75" t="b">
        <f>VLOOKUP($B1263,'Run Reconcile'!B$2:P1679,15,FALSE)</f>
        <v>1</v>
      </c>
      <c r="R1263" s="211" t="str">
        <f t="array" ref="R1263">IF($Q1263, INDEX('Run Reconcile'!A$2:A1679,MATCH(B1263,'Run Reconcile'!B$2:B1679,0),1),IFERROR(0/0,""))</f>
        <v>RUN-COMB_2022-07-06_RFR-072</v>
      </c>
      <c r="S1263" s="165" t="str">
        <f t="shared" ref="S1263:T1263" si="2525">IF(COUNTIF(W$2:W1679, $A1263) &gt; 0,TRUE,IFERROR(0/0,""))</f>
        <v/>
      </c>
      <c r="T1263" s="165" t="str">
        <f t="shared" si="2525"/>
        <v/>
      </c>
      <c r="U1263" s="147" t="str">
        <f t="array" ref="U1263">IF(ISBLANK($R1263), IF($S1263,VLOOKUP($B1263+1,'RFR Data - preExcl'!$BF$2:$BG1679,2,FALSE),IF($T1263,INDEX('RFR Data - preExcl'!$BF$2:$BG1679,MATCH($B1263,'RFR Data - preExcl'!$BF$2:$BF1679,0)+1,2),VLOOKUP($B1263,'RFR Data - preExcl'!$BF$2:$BG1679,2,FALSE))),IFERROR(0/0,""))</f>
        <v/>
      </c>
      <c r="V1263" s="212" t="str">
        <f t="shared" si="5"/>
        <v>RUN-COMB_2022-07-06_RFR-072</v>
      </c>
      <c r="W1263" s="51"/>
      <c r="X1263" s="51"/>
      <c r="Y1263" s="147" t="str">
        <f t="shared" ref="Y1263:Z1263" si="2526">IF(_xlfn.ISFORMULA(S1263),IFERROR(0/0,""),TRUE)</f>
        <v/>
      </c>
      <c r="Z1263" s="147" t="str">
        <f t="shared" si="2526"/>
        <v/>
      </c>
    </row>
    <row r="1264">
      <c r="A1264" s="6" t="str">
        <f>IFERROR(__xludf.DUMMYFUNCTION("""COMPUTED_VALUE"""),"FM2754")</f>
        <v>FM2754</v>
      </c>
      <c r="B1264" s="206">
        <f>IFERROR(__xludf.DUMMYFUNCTION("""COMPUTED_VALUE"""),44748.0)</f>
        <v>44748</v>
      </c>
      <c r="C1264" s="207">
        <f>IFERROR(__xludf.DUMMYFUNCTION("""COMPUTED_VALUE"""),0.3171759259259259)</f>
        <v>0.3171759259</v>
      </c>
      <c r="D1264" s="50"/>
      <c r="E1264" s="58"/>
      <c r="F1264" s="58"/>
      <c r="G1264" s="58" t="str">
        <f>IFERROR(__xludf.DUMMYFUNCTION("""COMPUTED_VALUE"""),"Null")</f>
        <v>Null</v>
      </c>
      <c r="H1264" s="206" t="str">
        <f>IFERROR(__xludf.DUMMYFUNCTION("""COMPUTED_VALUE"""),"Negative")</f>
        <v>Negative</v>
      </c>
      <c r="I1264" s="207"/>
      <c r="J1264" s="50"/>
      <c r="K1264" s="50">
        <f>IFERROR(__xludf.DUMMYFUNCTION("""COMPUTED_VALUE"""),2.0)</f>
        <v>2</v>
      </c>
      <c r="L1264" s="6"/>
      <c r="M1264" s="55"/>
      <c r="N1264" s="55">
        <f>IFERROR(__xludf.DUMMYFUNCTION("""COMPUTED_VALUE"""),1.0)</f>
        <v>1</v>
      </c>
      <c r="O1264" s="55" t="str">
        <f t="shared" si="3"/>
        <v/>
      </c>
      <c r="P1264" s="209"/>
      <c r="Q1264" s="75" t="b">
        <f>VLOOKUP($B1264,'Run Reconcile'!B$2:P1679,15,FALSE)</f>
        <v>1</v>
      </c>
      <c r="R1264" s="211" t="str">
        <f t="array" ref="R1264">IF($Q1264, INDEX('Run Reconcile'!A$2:A1679,MATCH(B1264,'Run Reconcile'!B$2:B1679,0),1),IFERROR(0/0,""))</f>
        <v>RUN-COMB_2022-07-06_RFR-072</v>
      </c>
      <c r="S1264" s="165" t="str">
        <f t="shared" ref="S1264:T1264" si="2527">IF(COUNTIF(W$2:W1679, $A1264) &gt; 0,TRUE,IFERROR(0/0,""))</f>
        <v/>
      </c>
      <c r="T1264" s="165" t="str">
        <f t="shared" si="2527"/>
        <v/>
      </c>
      <c r="U1264" s="147" t="str">
        <f t="array" ref="U1264">IF(ISBLANK($R1264), IF($S1264,VLOOKUP($B1264+1,'RFR Data - preExcl'!$BF$2:$BG1679,2,FALSE),IF($T1264,INDEX('RFR Data - preExcl'!$BF$2:$BG1679,MATCH($B1264,'RFR Data - preExcl'!$BF$2:$BF1679,0)+1,2),VLOOKUP($B1264,'RFR Data - preExcl'!$BF$2:$BG1679,2,FALSE))),IFERROR(0/0,""))</f>
        <v/>
      </c>
      <c r="V1264" s="212" t="str">
        <f t="shared" si="5"/>
        <v>RUN-COMB_2022-07-06_RFR-072</v>
      </c>
      <c r="W1264" s="51"/>
      <c r="X1264" s="51"/>
      <c r="Y1264" s="147" t="str">
        <f t="shared" ref="Y1264:Z1264" si="2528">IF(_xlfn.ISFORMULA(S1264),IFERROR(0/0,""),TRUE)</f>
        <v/>
      </c>
      <c r="Z1264" s="147" t="str">
        <f t="shared" si="2528"/>
        <v/>
      </c>
    </row>
    <row r="1265">
      <c r="A1265" s="6" t="str">
        <f>IFERROR(__xludf.DUMMYFUNCTION("""COMPUTED_VALUE"""),"FM2759")</f>
        <v>FM2759</v>
      </c>
      <c r="B1265" s="206">
        <f>IFERROR(__xludf.DUMMYFUNCTION("""COMPUTED_VALUE"""),44748.0)</f>
        <v>44748</v>
      </c>
      <c r="C1265" s="207">
        <f>IFERROR(__xludf.DUMMYFUNCTION("""COMPUTED_VALUE"""),0.3174652777777778)</f>
        <v>0.3174652778</v>
      </c>
      <c r="D1265" s="50"/>
      <c r="E1265" s="58"/>
      <c r="F1265" s="58"/>
      <c r="G1265" s="58" t="str">
        <f>IFERROR(__xludf.DUMMYFUNCTION("""COMPUTED_VALUE"""),"Null")</f>
        <v>Null</v>
      </c>
      <c r="H1265" s="206" t="str">
        <f>IFERROR(__xludf.DUMMYFUNCTION("""COMPUTED_VALUE"""),"Negative")</f>
        <v>Negative</v>
      </c>
      <c r="I1265" s="207"/>
      <c r="J1265" s="50"/>
      <c r="K1265" s="50">
        <f>IFERROR(__xludf.DUMMYFUNCTION("""COMPUTED_VALUE"""),2.0)</f>
        <v>2</v>
      </c>
      <c r="L1265" s="6"/>
      <c r="M1265" s="55"/>
      <c r="N1265" s="55">
        <f>IFERROR(__xludf.DUMMYFUNCTION("""COMPUTED_VALUE"""),1.0)</f>
        <v>1</v>
      </c>
      <c r="O1265" s="55" t="str">
        <f t="shared" si="3"/>
        <v/>
      </c>
      <c r="P1265" s="209"/>
      <c r="Q1265" s="75" t="b">
        <f>VLOOKUP($B1265,'Run Reconcile'!B$2:P1679,15,FALSE)</f>
        <v>1</v>
      </c>
      <c r="R1265" s="211" t="str">
        <f t="array" ref="R1265">IF($Q1265, INDEX('Run Reconcile'!A$2:A1679,MATCH(B1265,'Run Reconcile'!B$2:B1679,0),1),IFERROR(0/0,""))</f>
        <v>RUN-COMB_2022-07-06_RFR-072</v>
      </c>
      <c r="S1265" s="165" t="str">
        <f t="shared" ref="S1265:T1265" si="2529">IF(COUNTIF(W$2:W1679, $A1265) &gt; 0,TRUE,IFERROR(0/0,""))</f>
        <v/>
      </c>
      <c r="T1265" s="165" t="str">
        <f t="shared" si="2529"/>
        <v/>
      </c>
      <c r="U1265" s="147" t="str">
        <f t="array" ref="U1265">IF(ISBLANK($R1265), IF($S1265,VLOOKUP($B1265+1,'RFR Data - preExcl'!$BF$2:$BG1679,2,FALSE),IF($T1265,INDEX('RFR Data - preExcl'!$BF$2:$BG1679,MATCH($B1265,'RFR Data - preExcl'!$BF$2:$BF1679,0)+1,2),VLOOKUP($B1265,'RFR Data - preExcl'!$BF$2:$BG1679,2,FALSE))),IFERROR(0/0,""))</f>
        <v/>
      </c>
      <c r="V1265" s="212" t="str">
        <f t="shared" si="5"/>
        <v>RUN-COMB_2022-07-06_RFR-072</v>
      </c>
      <c r="W1265" s="51"/>
      <c r="X1265" s="51"/>
      <c r="Y1265" s="147" t="str">
        <f t="shared" ref="Y1265:Z1265" si="2530">IF(_xlfn.ISFORMULA(S1265),IFERROR(0/0,""),TRUE)</f>
        <v/>
      </c>
      <c r="Z1265" s="147" t="str">
        <f t="shared" si="2530"/>
        <v/>
      </c>
    </row>
    <row r="1266">
      <c r="A1266" s="6" t="str">
        <f>IFERROR(__xludf.DUMMYFUNCTION("""COMPUTED_VALUE"""),"FM2745")</f>
        <v>FM2745</v>
      </c>
      <c r="B1266" s="206">
        <f>IFERROR(__xludf.DUMMYFUNCTION("""COMPUTED_VALUE"""),44748.0)</f>
        <v>44748</v>
      </c>
      <c r="C1266" s="207">
        <f>IFERROR(__xludf.DUMMYFUNCTION("""COMPUTED_VALUE"""),0.31776620370370373)</f>
        <v>0.3177662037</v>
      </c>
      <c r="D1266" s="50"/>
      <c r="E1266" s="58"/>
      <c r="F1266" s="58"/>
      <c r="G1266" s="58" t="str">
        <f>IFERROR(__xludf.DUMMYFUNCTION("""COMPUTED_VALUE"""),"Null")</f>
        <v>Null</v>
      </c>
      <c r="H1266" s="206" t="str">
        <f>IFERROR(__xludf.DUMMYFUNCTION("""COMPUTED_VALUE"""),"Negative")</f>
        <v>Negative</v>
      </c>
      <c r="I1266" s="207"/>
      <c r="J1266" s="50"/>
      <c r="K1266" s="50">
        <f>IFERROR(__xludf.DUMMYFUNCTION("""COMPUTED_VALUE"""),2.0)</f>
        <v>2</v>
      </c>
      <c r="L1266" s="6"/>
      <c r="M1266" s="55"/>
      <c r="N1266" s="55">
        <f>IFERROR(__xludf.DUMMYFUNCTION("""COMPUTED_VALUE"""),1.0)</f>
        <v>1</v>
      </c>
      <c r="O1266" s="55" t="str">
        <f t="shared" si="3"/>
        <v/>
      </c>
      <c r="P1266" s="209"/>
      <c r="Q1266" s="75" t="b">
        <f>VLOOKUP($B1266,'Run Reconcile'!B$2:P1679,15,FALSE)</f>
        <v>1</v>
      </c>
      <c r="R1266" s="211" t="str">
        <f t="array" ref="R1266">IF($Q1266, INDEX('Run Reconcile'!A$2:A1679,MATCH(B1266,'Run Reconcile'!B$2:B1679,0),1),IFERROR(0/0,""))</f>
        <v>RUN-COMB_2022-07-06_RFR-072</v>
      </c>
      <c r="S1266" s="165" t="str">
        <f t="shared" ref="S1266:T1266" si="2531">IF(COUNTIF(W$2:W1679, $A1266) &gt; 0,TRUE,IFERROR(0/0,""))</f>
        <v/>
      </c>
      <c r="T1266" s="165" t="str">
        <f t="shared" si="2531"/>
        <v/>
      </c>
      <c r="U1266" s="147" t="str">
        <f t="array" ref="U1266">IF(ISBLANK($R1266), IF($S1266,VLOOKUP($B1266+1,'RFR Data - preExcl'!$BF$2:$BG1679,2,FALSE),IF($T1266,INDEX('RFR Data - preExcl'!$BF$2:$BG1679,MATCH($B1266,'RFR Data - preExcl'!$BF$2:$BF1679,0)+1,2),VLOOKUP($B1266,'RFR Data - preExcl'!$BF$2:$BG1679,2,FALSE))),IFERROR(0/0,""))</f>
        <v/>
      </c>
      <c r="V1266" s="212" t="str">
        <f t="shared" si="5"/>
        <v>RUN-COMB_2022-07-06_RFR-072</v>
      </c>
      <c r="W1266" s="51"/>
      <c r="X1266" s="51"/>
      <c r="Y1266" s="147" t="str">
        <f t="shared" ref="Y1266:Z1266" si="2532">IF(_xlfn.ISFORMULA(S1266),IFERROR(0/0,""),TRUE)</f>
        <v/>
      </c>
      <c r="Z1266" s="147" t="str">
        <f t="shared" si="2532"/>
        <v/>
      </c>
    </row>
    <row r="1267">
      <c r="A1267" s="6" t="str">
        <f>IFERROR(__xludf.DUMMYFUNCTION("""COMPUTED_VALUE"""),"FM2710")</f>
        <v>FM2710</v>
      </c>
      <c r="B1267" s="206">
        <f>IFERROR(__xludf.DUMMYFUNCTION("""COMPUTED_VALUE"""),44748.0)</f>
        <v>44748</v>
      </c>
      <c r="C1267" s="207">
        <f>IFERROR(__xludf.DUMMYFUNCTION("""COMPUTED_VALUE"""),0.31811342592592595)</f>
        <v>0.3181134259</v>
      </c>
      <c r="D1267" s="50"/>
      <c r="E1267" s="58"/>
      <c r="F1267" s="58"/>
      <c r="G1267" s="58" t="str">
        <f>IFERROR(__xludf.DUMMYFUNCTION("""COMPUTED_VALUE"""),"Null")</f>
        <v>Null</v>
      </c>
      <c r="H1267" s="206" t="str">
        <f>IFERROR(__xludf.DUMMYFUNCTION("""COMPUTED_VALUE"""),"Negative")</f>
        <v>Negative</v>
      </c>
      <c r="I1267" s="207"/>
      <c r="J1267" s="50"/>
      <c r="K1267" s="50">
        <f>IFERROR(__xludf.DUMMYFUNCTION("""COMPUTED_VALUE"""),2.0)</f>
        <v>2</v>
      </c>
      <c r="L1267" s="6"/>
      <c r="M1267" s="55"/>
      <c r="N1267" s="55">
        <f>IFERROR(__xludf.DUMMYFUNCTION("""COMPUTED_VALUE"""),1.0)</f>
        <v>1</v>
      </c>
      <c r="O1267" s="55" t="str">
        <f t="shared" si="3"/>
        <v/>
      </c>
      <c r="P1267" s="209"/>
      <c r="Q1267" s="75" t="b">
        <f>VLOOKUP($B1267,'Run Reconcile'!B$2:P1679,15,FALSE)</f>
        <v>1</v>
      </c>
      <c r="R1267" s="211" t="str">
        <f t="array" ref="R1267">IF($Q1267, INDEX('Run Reconcile'!A$2:A1679,MATCH(B1267,'Run Reconcile'!B$2:B1679,0),1),IFERROR(0/0,""))</f>
        <v>RUN-COMB_2022-07-06_RFR-072</v>
      </c>
      <c r="S1267" s="165" t="str">
        <f t="shared" ref="S1267:T1267" si="2533">IF(COUNTIF(W$2:W1679, $A1267) &gt; 0,TRUE,IFERROR(0/0,""))</f>
        <v/>
      </c>
      <c r="T1267" s="165" t="str">
        <f t="shared" si="2533"/>
        <v/>
      </c>
      <c r="U1267" s="147" t="str">
        <f t="array" ref="U1267">IF(ISBLANK($R1267), IF($S1267,VLOOKUP($B1267+1,'RFR Data - preExcl'!$BF$2:$BG1679,2,FALSE),IF($T1267,INDEX('RFR Data - preExcl'!$BF$2:$BG1679,MATCH($B1267,'RFR Data - preExcl'!$BF$2:$BF1679,0)+1,2),VLOOKUP($B1267,'RFR Data - preExcl'!$BF$2:$BG1679,2,FALSE))),IFERROR(0/0,""))</f>
        <v/>
      </c>
      <c r="V1267" s="212" t="str">
        <f t="shared" si="5"/>
        <v>RUN-COMB_2022-07-06_RFR-072</v>
      </c>
      <c r="W1267" s="51"/>
      <c r="X1267" s="51"/>
      <c r="Y1267" s="147" t="str">
        <f t="shared" ref="Y1267:Z1267" si="2534">IF(_xlfn.ISFORMULA(S1267),IFERROR(0/0,""),TRUE)</f>
        <v/>
      </c>
      <c r="Z1267" s="147" t="str">
        <f t="shared" si="2534"/>
        <v/>
      </c>
    </row>
    <row r="1268">
      <c r="A1268" s="6" t="str">
        <f>IFERROR(__xludf.DUMMYFUNCTION("""COMPUTED_VALUE"""),"FM2816")</f>
        <v>FM2816</v>
      </c>
      <c r="B1268" s="206">
        <f>IFERROR(__xludf.DUMMYFUNCTION("""COMPUTED_VALUE"""),44748.0)</f>
        <v>44748</v>
      </c>
      <c r="C1268" s="207">
        <f>IFERROR(__xludf.DUMMYFUNCTION("""COMPUTED_VALUE"""),0.31854166666666667)</f>
        <v>0.3185416667</v>
      </c>
      <c r="D1268" s="50"/>
      <c r="E1268" s="58"/>
      <c r="F1268" s="58"/>
      <c r="G1268" s="58" t="str">
        <f>IFERROR(__xludf.DUMMYFUNCTION("""COMPUTED_VALUE"""),"Null")</f>
        <v>Null</v>
      </c>
      <c r="H1268" s="206" t="str">
        <f>IFERROR(__xludf.DUMMYFUNCTION("""COMPUTED_VALUE"""),"Negative")</f>
        <v>Negative</v>
      </c>
      <c r="I1268" s="207"/>
      <c r="J1268" s="50"/>
      <c r="K1268" s="50">
        <f>IFERROR(__xludf.DUMMYFUNCTION("""COMPUTED_VALUE"""),2.0)</f>
        <v>2</v>
      </c>
      <c r="L1268" s="6"/>
      <c r="M1268" s="55"/>
      <c r="N1268" s="55">
        <f>IFERROR(__xludf.DUMMYFUNCTION("""COMPUTED_VALUE"""),1.0)</f>
        <v>1</v>
      </c>
      <c r="O1268" s="55" t="str">
        <f t="shared" si="3"/>
        <v/>
      </c>
      <c r="P1268" s="209"/>
      <c r="Q1268" s="75" t="b">
        <f>VLOOKUP($B1268,'Run Reconcile'!B$2:P1679,15,FALSE)</f>
        <v>1</v>
      </c>
      <c r="R1268" s="211" t="str">
        <f t="array" ref="R1268">IF($Q1268, INDEX('Run Reconcile'!A$2:A1679,MATCH(B1268,'Run Reconcile'!B$2:B1679,0),1),IFERROR(0/0,""))</f>
        <v>RUN-COMB_2022-07-06_RFR-072</v>
      </c>
      <c r="S1268" s="165" t="str">
        <f t="shared" ref="S1268:T1268" si="2535">IF(COUNTIF(W$2:W1679, $A1268) &gt; 0,TRUE,IFERROR(0/0,""))</f>
        <v/>
      </c>
      <c r="T1268" s="165" t="str">
        <f t="shared" si="2535"/>
        <v/>
      </c>
      <c r="U1268" s="147" t="str">
        <f t="array" ref="U1268">IF(ISBLANK($R1268), IF($S1268,VLOOKUP($B1268+1,'RFR Data - preExcl'!$BF$2:$BG1679,2,FALSE),IF($T1268,INDEX('RFR Data - preExcl'!$BF$2:$BG1679,MATCH($B1268,'RFR Data - preExcl'!$BF$2:$BF1679,0)+1,2),VLOOKUP($B1268,'RFR Data - preExcl'!$BF$2:$BG1679,2,FALSE))),IFERROR(0/0,""))</f>
        <v/>
      </c>
      <c r="V1268" s="212" t="str">
        <f t="shared" si="5"/>
        <v>RUN-COMB_2022-07-06_RFR-072</v>
      </c>
      <c r="W1268" s="51"/>
      <c r="X1268" s="51"/>
      <c r="Y1268" s="147" t="str">
        <f t="shared" ref="Y1268:Z1268" si="2536">IF(_xlfn.ISFORMULA(S1268),IFERROR(0/0,""),TRUE)</f>
        <v/>
      </c>
      <c r="Z1268" s="147" t="str">
        <f t="shared" si="2536"/>
        <v/>
      </c>
    </row>
    <row r="1269">
      <c r="A1269" s="6" t="str">
        <f>IFERROR(__xludf.DUMMYFUNCTION("""COMPUTED_VALUE"""),"FM2804")</f>
        <v>FM2804</v>
      </c>
      <c r="B1269" s="206">
        <f>IFERROR(__xludf.DUMMYFUNCTION("""COMPUTED_VALUE"""),44748.0)</f>
        <v>44748</v>
      </c>
      <c r="C1269" s="207">
        <f>IFERROR(__xludf.DUMMYFUNCTION("""COMPUTED_VALUE"""),0.3193402777777778)</f>
        <v>0.3193402778</v>
      </c>
      <c r="D1269" s="50"/>
      <c r="E1269" s="58"/>
      <c r="F1269" s="58"/>
      <c r="G1269" s="58" t="str">
        <f>IFERROR(__xludf.DUMMYFUNCTION("""COMPUTED_VALUE"""),"Null")</f>
        <v>Null</v>
      </c>
      <c r="H1269" s="206" t="str">
        <f>IFERROR(__xludf.DUMMYFUNCTION("""COMPUTED_VALUE"""),"Negative")</f>
        <v>Negative</v>
      </c>
      <c r="I1269" s="207"/>
      <c r="J1269" s="50"/>
      <c r="K1269" s="50">
        <f>IFERROR(__xludf.DUMMYFUNCTION("""COMPUTED_VALUE"""),2.0)</f>
        <v>2</v>
      </c>
      <c r="L1269" s="6"/>
      <c r="M1269" s="55"/>
      <c r="N1269" s="55">
        <f>IFERROR(__xludf.DUMMYFUNCTION("""COMPUTED_VALUE"""),1.0)</f>
        <v>1</v>
      </c>
      <c r="O1269" s="55" t="str">
        <f t="shared" si="3"/>
        <v/>
      </c>
      <c r="P1269" s="209"/>
      <c r="Q1269" s="75" t="b">
        <f>VLOOKUP($B1269,'Run Reconcile'!B$2:P1679,15,FALSE)</f>
        <v>1</v>
      </c>
      <c r="R1269" s="211" t="str">
        <f t="array" ref="R1269">IF($Q1269, INDEX('Run Reconcile'!A$2:A1679,MATCH(B1269,'Run Reconcile'!B$2:B1679,0),1),IFERROR(0/0,""))</f>
        <v>RUN-COMB_2022-07-06_RFR-072</v>
      </c>
      <c r="S1269" s="165" t="str">
        <f t="shared" ref="S1269:T1269" si="2537">IF(COUNTIF(W$2:W1679, $A1269) &gt; 0,TRUE,IFERROR(0/0,""))</f>
        <v/>
      </c>
      <c r="T1269" s="165" t="str">
        <f t="shared" si="2537"/>
        <v/>
      </c>
      <c r="U1269" s="147" t="str">
        <f t="array" ref="U1269">IF(ISBLANK($R1269), IF($S1269,VLOOKUP($B1269+1,'RFR Data - preExcl'!$BF$2:$BG1679,2,FALSE),IF($T1269,INDEX('RFR Data - preExcl'!$BF$2:$BG1679,MATCH($B1269,'RFR Data - preExcl'!$BF$2:$BF1679,0)+1,2),VLOOKUP($B1269,'RFR Data - preExcl'!$BF$2:$BG1679,2,FALSE))),IFERROR(0/0,""))</f>
        <v/>
      </c>
      <c r="V1269" s="212" t="str">
        <f t="shared" si="5"/>
        <v>RUN-COMB_2022-07-06_RFR-072</v>
      </c>
      <c r="W1269" s="51"/>
      <c r="X1269" s="51"/>
      <c r="Y1269" s="147" t="str">
        <f t="shared" ref="Y1269:Z1269" si="2538">IF(_xlfn.ISFORMULA(S1269),IFERROR(0/0,""),TRUE)</f>
        <v/>
      </c>
      <c r="Z1269" s="147" t="str">
        <f t="shared" si="2538"/>
        <v/>
      </c>
    </row>
    <row r="1270">
      <c r="A1270" s="6" t="str">
        <f>IFERROR(__xludf.DUMMYFUNCTION("""COMPUTED_VALUE"""),"FM2751")</f>
        <v>FM2751</v>
      </c>
      <c r="B1270" s="206">
        <f>IFERROR(__xludf.DUMMYFUNCTION("""COMPUTED_VALUE"""),44748.0)</f>
        <v>44748</v>
      </c>
      <c r="C1270" s="207">
        <f>IFERROR(__xludf.DUMMYFUNCTION("""COMPUTED_VALUE"""),0.3196875)</f>
        <v>0.3196875</v>
      </c>
      <c r="D1270" s="50"/>
      <c r="E1270" s="58"/>
      <c r="F1270" s="58"/>
      <c r="G1270" s="58" t="str">
        <f>IFERROR(__xludf.DUMMYFUNCTION("""COMPUTED_VALUE"""),"Null")</f>
        <v>Null</v>
      </c>
      <c r="H1270" s="206" t="str">
        <f>IFERROR(__xludf.DUMMYFUNCTION("""COMPUTED_VALUE"""),"Negative")</f>
        <v>Negative</v>
      </c>
      <c r="I1270" s="207"/>
      <c r="J1270" s="50"/>
      <c r="K1270" s="50">
        <f>IFERROR(__xludf.DUMMYFUNCTION("""COMPUTED_VALUE"""),2.0)</f>
        <v>2</v>
      </c>
      <c r="L1270" s="6"/>
      <c r="M1270" s="55"/>
      <c r="N1270" s="55">
        <f>IFERROR(__xludf.DUMMYFUNCTION("""COMPUTED_VALUE"""),1.0)</f>
        <v>1</v>
      </c>
      <c r="O1270" s="55" t="str">
        <f t="shared" si="3"/>
        <v/>
      </c>
      <c r="P1270" s="209"/>
      <c r="Q1270" s="75" t="b">
        <f>VLOOKUP($B1270,'Run Reconcile'!B$2:P1679,15,FALSE)</f>
        <v>1</v>
      </c>
      <c r="R1270" s="211" t="str">
        <f t="array" ref="R1270">IF($Q1270, INDEX('Run Reconcile'!A$2:A1679,MATCH(B1270,'Run Reconcile'!B$2:B1679,0),1),IFERROR(0/0,""))</f>
        <v>RUN-COMB_2022-07-06_RFR-072</v>
      </c>
      <c r="S1270" s="165" t="str">
        <f t="shared" ref="S1270:T1270" si="2539">IF(COUNTIF(W$2:W1679, $A1270) &gt; 0,TRUE,IFERROR(0/0,""))</f>
        <v/>
      </c>
      <c r="T1270" s="165" t="str">
        <f t="shared" si="2539"/>
        <v/>
      </c>
      <c r="U1270" s="147" t="str">
        <f t="array" ref="U1270">IF(ISBLANK($R1270), IF($S1270,VLOOKUP($B1270+1,'RFR Data - preExcl'!$BF$2:$BG1679,2,FALSE),IF($T1270,INDEX('RFR Data - preExcl'!$BF$2:$BG1679,MATCH($B1270,'RFR Data - preExcl'!$BF$2:$BF1679,0)+1,2),VLOOKUP($B1270,'RFR Data - preExcl'!$BF$2:$BG1679,2,FALSE))),IFERROR(0/0,""))</f>
        <v/>
      </c>
      <c r="V1270" s="212" t="str">
        <f t="shared" si="5"/>
        <v>RUN-COMB_2022-07-06_RFR-072</v>
      </c>
      <c r="W1270" s="51"/>
      <c r="X1270" s="51"/>
      <c r="Y1270" s="147" t="str">
        <f t="shared" ref="Y1270:Z1270" si="2540">IF(_xlfn.ISFORMULA(S1270),IFERROR(0/0,""),TRUE)</f>
        <v/>
      </c>
      <c r="Z1270" s="147" t="str">
        <f t="shared" si="2540"/>
        <v/>
      </c>
    </row>
    <row r="1271">
      <c r="A1271" s="6" t="str">
        <f>IFERROR(__xludf.DUMMYFUNCTION("""COMPUTED_VALUE"""),"FM2715")</f>
        <v>FM2715</v>
      </c>
      <c r="B1271" s="206">
        <f>IFERROR(__xludf.DUMMYFUNCTION("""COMPUTED_VALUE"""),44748.0)</f>
        <v>44748</v>
      </c>
      <c r="C1271" s="207">
        <f>IFERROR(__xludf.DUMMYFUNCTION("""COMPUTED_VALUE"""),0.3200462962962963)</f>
        <v>0.3200462963</v>
      </c>
      <c r="D1271" s="50"/>
      <c r="E1271" s="58"/>
      <c r="F1271" s="58"/>
      <c r="G1271" s="58" t="str">
        <f>IFERROR(__xludf.DUMMYFUNCTION("""COMPUTED_VALUE"""),"Null")</f>
        <v>Null</v>
      </c>
      <c r="H1271" s="206" t="str">
        <f>IFERROR(__xludf.DUMMYFUNCTION("""COMPUTED_VALUE"""),"Negative")</f>
        <v>Negative</v>
      </c>
      <c r="I1271" s="207"/>
      <c r="J1271" s="50"/>
      <c r="K1271" s="50">
        <f>IFERROR(__xludf.DUMMYFUNCTION("""COMPUTED_VALUE"""),2.0)</f>
        <v>2</v>
      </c>
      <c r="L1271" s="6"/>
      <c r="M1271" s="55"/>
      <c r="N1271" s="55">
        <f>IFERROR(__xludf.DUMMYFUNCTION("""COMPUTED_VALUE"""),1.0)</f>
        <v>1</v>
      </c>
      <c r="O1271" s="55" t="str">
        <f t="shared" si="3"/>
        <v/>
      </c>
      <c r="P1271" s="209"/>
      <c r="Q1271" s="75" t="b">
        <f>VLOOKUP($B1271,'Run Reconcile'!B$2:P1679,15,FALSE)</f>
        <v>1</v>
      </c>
      <c r="R1271" s="211" t="str">
        <f t="array" ref="R1271">IF($Q1271, INDEX('Run Reconcile'!A$2:A1679,MATCH(B1271,'Run Reconcile'!B$2:B1679,0),1),IFERROR(0/0,""))</f>
        <v>RUN-COMB_2022-07-06_RFR-072</v>
      </c>
      <c r="S1271" s="165" t="str">
        <f t="shared" ref="S1271:T1271" si="2541">IF(COUNTIF(W$2:W1679, $A1271) &gt; 0,TRUE,IFERROR(0/0,""))</f>
        <v/>
      </c>
      <c r="T1271" s="165" t="str">
        <f t="shared" si="2541"/>
        <v/>
      </c>
      <c r="U1271" s="147" t="str">
        <f t="array" ref="U1271">IF(ISBLANK($R1271), IF($S1271,VLOOKUP($B1271+1,'RFR Data - preExcl'!$BF$2:$BG1679,2,FALSE),IF($T1271,INDEX('RFR Data - preExcl'!$BF$2:$BG1679,MATCH($B1271,'RFR Data - preExcl'!$BF$2:$BF1679,0)+1,2),VLOOKUP($B1271,'RFR Data - preExcl'!$BF$2:$BG1679,2,FALSE))),IFERROR(0/0,""))</f>
        <v/>
      </c>
      <c r="V1271" s="212" t="str">
        <f t="shared" si="5"/>
        <v>RUN-COMB_2022-07-06_RFR-072</v>
      </c>
      <c r="W1271" s="51"/>
      <c r="X1271" s="51"/>
      <c r="Y1271" s="147" t="str">
        <f t="shared" ref="Y1271:Z1271" si="2542">IF(_xlfn.ISFORMULA(S1271),IFERROR(0/0,""),TRUE)</f>
        <v/>
      </c>
      <c r="Z1271" s="147" t="str">
        <f t="shared" si="2542"/>
        <v/>
      </c>
    </row>
    <row r="1272">
      <c r="A1272" s="6" t="str">
        <f>IFERROR(__xludf.DUMMYFUNCTION("""COMPUTED_VALUE"""),"FM2761")</f>
        <v>FM2761</v>
      </c>
      <c r="B1272" s="206">
        <f>IFERROR(__xludf.DUMMYFUNCTION("""COMPUTED_VALUE"""),44748.0)</f>
        <v>44748</v>
      </c>
      <c r="C1272" s="207">
        <f>IFERROR(__xludf.DUMMYFUNCTION("""COMPUTED_VALUE"""),0.3203587962962963)</f>
        <v>0.3203587963</v>
      </c>
      <c r="D1272" s="50"/>
      <c r="E1272" s="58"/>
      <c r="F1272" s="58"/>
      <c r="G1272" s="58" t="str">
        <f>IFERROR(__xludf.DUMMYFUNCTION("""COMPUTED_VALUE"""),"Null")</f>
        <v>Null</v>
      </c>
      <c r="H1272" s="206" t="str">
        <f>IFERROR(__xludf.DUMMYFUNCTION("""COMPUTED_VALUE"""),"Negative")</f>
        <v>Negative</v>
      </c>
      <c r="I1272" s="207"/>
      <c r="J1272" s="50"/>
      <c r="K1272" s="50">
        <f>IFERROR(__xludf.DUMMYFUNCTION("""COMPUTED_VALUE"""),2.0)</f>
        <v>2</v>
      </c>
      <c r="L1272" s="6"/>
      <c r="M1272" s="55"/>
      <c r="N1272" s="55">
        <f>IFERROR(__xludf.DUMMYFUNCTION("""COMPUTED_VALUE"""),1.0)</f>
        <v>1</v>
      </c>
      <c r="O1272" s="55" t="str">
        <f t="shared" si="3"/>
        <v/>
      </c>
      <c r="P1272" s="209"/>
      <c r="Q1272" s="75" t="b">
        <f>VLOOKUP($B1272,'Run Reconcile'!B$2:P1679,15,FALSE)</f>
        <v>1</v>
      </c>
      <c r="R1272" s="211" t="str">
        <f t="array" ref="R1272">IF($Q1272, INDEX('Run Reconcile'!A$2:A1679,MATCH(B1272,'Run Reconcile'!B$2:B1679,0),1),IFERROR(0/0,""))</f>
        <v>RUN-COMB_2022-07-06_RFR-072</v>
      </c>
      <c r="S1272" s="165" t="str">
        <f t="shared" ref="S1272:T1272" si="2543">IF(COUNTIF(W$2:W1679, $A1272) &gt; 0,TRUE,IFERROR(0/0,""))</f>
        <v/>
      </c>
      <c r="T1272" s="165" t="str">
        <f t="shared" si="2543"/>
        <v/>
      </c>
      <c r="U1272" s="147" t="str">
        <f t="array" ref="U1272">IF(ISBLANK($R1272), IF($S1272,VLOOKUP($B1272+1,'RFR Data - preExcl'!$BF$2:$BG1679,2,FALSE),IF($T1272,INDEX('RFR Data - preExcl'!$BF$2:$BG1679,MATCH($B1272,'RFR Data - preExcl'!$BF$2:$BF1679,0)+1,2),VLOOKUP($B1272,'RFR Data - preExcl'!$BF$2:$BG1679,2,FALSE))),IFERROR(0/0,""))</f>
        <v/>
      </c>
      <c r="V1272" s="212" t="str">
        <f t="shared" si="5"/>
        <v>RUN-COMB_2022-07-06_RFR-072</v>
      </c>
      <c r="W1272" s="51"/>
      <c r="X1272" s="51"/>
      <c r="Y1272" s="147" t="str">
        <f t="shared" ref="Y1272:Z1272" si="2544">IF(_xlfn.ISFORMULA(S1272),IFERROR(0/0,""),TRUE)</f>
        <v/>
      </c>
      <c r="Z1272" s="147" t="str">
        <f t="shared" si="2544"/>
        <v/>
      </c>
    </row>
    <row r="1273">
      <c r="A1273" s="6" t="str">
        <f>IFERROR(__xludf.DUMMYFUNCTION("""COMPUTED_VALUE"""),"FM2701")</f>
        <v>FM2701</v>
      </c>
      <c r="B1273" s="206">
        <f>IFERROR(__xludf.DUMMYFUNCTION("""COMPUTED_VALUE"""),44748.0)</f>
        <v>44748</v>
      </c>
      <c r="C1273" s="207">
        <f>IFERROR(__xludf.DUMMYFUNCTION("""COMPUTED_VALUE"""),0.32069444444444445)</f>
        <v>0.3206944444</v>
      </c>
      <c r="D1273" s="50"/>
      <c r="E1273" s="58"/>
      <c r="F1273" s="58"/>
      <c r="G1273" s="58" t="str">
        <f>IFERROR(__xludf.DUMMYFUNCTION("""COMPUTED_VALUE"""),"Null")</f>
        <v>Null</v>
      </c>
      <c r="H1273" s="206" t="str">
        <f>IFERROR(__xludf.DUMMYFUNCTION("""COMPUTED_VALUE"""),"Negative")</f>
        <v>Negative</v>
      </c>
      <c r="I1273" s="207"/>
      <c r="J1273" s="50"/>
      <c r="K1273" s="50">
        <f>IFERROR(__xludf.DUMMYFUNCTION("""COMPUTED_VALUE"""),2.0)</f>
        <v>2</v>
      </c>
      <c r="L1273" s="6"/>
      <c r="M1273" s="55"/>
      <c r="N1273" s="55">
        <f>IFERROR(__xludf.DUMMYFUNCTION("""COMPUTED_VALUE"""),1.0)</f>
        <v>1</v>
      </c>
      <c r="O1273" s="55" t="str">
        <f t="shared" si="3"/>
        <v/>
      </c>
      <c r="P1273" s="209"/>
      <c r="Q1273" s="75" t="b">
        <f>VLOOKUP($B1273,'Run Reconcile'!B$2:P1679,15,FALSE)</f>
        <v>1</v>
      </c>
      <c r="R1273" s="211" t="str">
        <f t="array" ref="R1273">IF($Q1273, INDEX('Run Reconcile'!A$2:A1679,MATCH(B1273,'Run Reconcile'!B$2:B1679,0),1),IFERROR(0/0,""))</f>
        <v>RUN-COMB_2022-07-06_RFR-072</v>
      </c>
      <c r="S1273" s="165" t="str">
        <f t="shared" ref="S1273:T1273" si="2545">IF(COUNTIF(W$2:W1679, $A1273) &gt; 0,TRUE,IFERROR(0/0,""))</f>
        <v/>
      </c>
      <c r="T1273" s="165" t="str">
        <f t="shared" si="2545"/>
        <v/>
      </c>
      <c r="U1273" s="147" t="str">
        <f t="array" ref="U1273">IF(ISBLANK($R1273), IF($S1273,VLOOKUP($B1273+1,'RFR Data - preExcl'!$BF$2:$BG1679,2,FALSE),IF($T1273,INDEX('RFR Data - preExcl'!$BF$2:$BG1679,MATCH($B1273,'RFR Data - preExcl'!$BF$2:$BF1679,0)+1,2),VLOOKUP($B1273,'RFR Data - preExcl'!$BF$2:$BG1679,2,FALSE))),IFERROR(0/0,""))</f>
        <v/>
      </c>
      <c r="V1273" s="212" t="str">
        <f t="shared" si="5"/>
        <v>RUN-COMB_2022-07-06_RFR-072</v>
      </c>
      <c r="W1273" s="51"/>
      <c r="X1273" s="51"/>
      <c r="Y1273" s="147" t="str">
        <f t="shared" ref="Y1273:Z1273" si="2546">IF(_xlfn.ISFORMULA(S1273),IFERROR(0/0,""),TRUE)</f>
        <v/>
      </c>
      <c r="Z1273" s="147" t="str">
        <f t="shared" si="2546"/>
        <v/>
      </c>
    </row>
    <row r="1274">
      <c r="A1274" s="6" t="str">
        <f>IFERROR(__xludf.DUMMYFUNCTION("""COMPUTED_VALUE"""),"FM2793")</f>
        <v>FM2793</v>
      </c>
      <c r="B1274" s="206">
        <f>IFERROR(__xludf.DUMMYFUNCTION("""COMPUTED_VALUE"""),44748.0)</f>
        <v>44748</v>
      </c>
      <c r="C1274" s="207">
        <f>IFERROR(__xludf.DUMMYFUNCTION("""COMPUTED_VALUE"""),0.32099537037037035)</f>
        <v>0.3209953704</v>
      </c>
      <c r="D1274" s="50"/>
      <c r="E1274" s="58"/>
      <c r="F1274" s="58"/>
      <c r="G1274" s="58" t="str">
        <f>IFERROR(__xludf.DUMMYFUNCTION("""COMPUTED_VALUE"""),"Null")</f>
        <v>Null</v>
      </c>
      <c r="H1274" s="206" t="str">
        <f>IFERROR(__xludf.DUMMYFUNCTION("""COMPUTED_VALUE"""),"Negative")</f>
        <v>Negative</v>
      </c>
      <c r="I1274" s="207"/>
      <c r="J1274" s="50"/>
      <c r="K1274" s="50">
        <f>IFERROR(__xludf.DUMMYFUNCTION("""COMPUTED_VALUE"""),2.0)</f>
        <v>2</v>
      </c>
      <c r="L1274" s="6"/>
      <c r="M1274" s="55"/>
      <c r="N1274" s="55">
        <f>IFERROR(__xludf.DUMMYFUNCTION("""COMPUTED_VALUE"""),1.0)</f>
        <v>1</v>
      </c>
      <c r="O1274" s="55" t="str">
        <f t="shared" si="3"/>
        <v/>
      </c>
      <c r="P1274" s="209"/>
      <c r="Q1274" s="75" t="b">
        <f>VLOOKUP($B1274,'Run Reconcile'!B$2:P1679,15,FALSE)</f>
        <v>1</v>
      </c>
      <c r="R1274" s="211" t="str">
        <f t="array" ref="R1274">IF($Q1274, INDEX('Run Reconcile'!A$2:A1679,MATCH(B1274,'Run Reconcile'!B$2:B1679,0),1),IFERROR(0/0,""))</f>
        <v>RUN-COMB_2022-07-06_RFR-072</v>
      </c>
      <c r="S1274" s="165" t="str">
        <f t="shared" ref="S1274:T1274" si="2547">IF(COUNTIF(W$2:W1679, $A1274) &gt; 0,TRUE,IFERROR(0/0,""))</f>
        <v/>
      </c>
      <c r="T1274" s="165" t="str">
        <f t="shared" si="2547"/>
        <v/>
      </c>
      <c r="U1274" s="147" t="str">
        <f t="array" ref="U1274">IF(ISBLANK($R1274), IF($S1274,VLOOKUP($B1274+1,'RFR Data - preExcl'!$BF$2:$BG1679,2,FALSE),IF($T1274,INDEX('RFR Data - preExcl'!$BF$2:$BG1679,MATCH($B1274,'RFR Data - preExcl'!$BF$2:$BF1679,0)+1,2),VLOOKUP($B1274,'RFR Data - preExcl'!$BF$2:$BG1679,2,FALSE))),IFERROR(0/0,""))</f>
        <v/>
      </c>
      <c r="V1274" s="212" t="str">
        <f t="shared" si="5"/>
        <v>RUN-COMB_2022-07-06_RFR-072</v>
      </c>
      <c r="W1274" s="51"/>
      <c r="X1274" s="51"/>
      <c r="Y1274" s="147" t="str">
        <f t="shared" ref="Y1274:Z1274" si="2548">IF(_xlfn.ISFORMULA(S1274),IFERROR(0/0,""),TRUE)</f>
        <v/>
      </c>
      <c r="Z1274" s="147" t="str">
        <f t="shared" si="2548"/>
        <v/>
      </c>
    </row>
    <row r="1275">
      <c r="A1275" s="6" t="str">
        <f>IFERROR(__xludf.DUMMYFUNCTION("""COMPUTED_VALUE"""),"FM2781")</f>
        <v>FM2781</v>
      </c>
      <c r="B1275" s="206">
        <f>IFERROR(__xludf.DUMMYFUNCTION("""COMPUTED_VALUE"""),44748.0)</f>
        <v>44748</v>
      </c>
      <c r="C1275" s="207">
        <f>IFERROR(__xludf.DUMMYFUNCTION("""COMPUTED_VALUE"""),0.3212962962962963)</f>
        <v>0.3212962963</v>
      </c>
      <c r="D1275" s="50"/>
      <c r="E1275" s="58"/>
      <c r="F1275" s="58"/>
      <c r="G1275" s="58" t="str">
        <f>IFERROR(__xludf.DUMMYFUNCTION("""COMPUTED_VALUE"""),"Null")</f>
        <v>Null</v>
      </c>
      <c r="H1275" s="206" t="str">
        <f>IFERROR(__xludf.DUMMYFUNCTION("""COMPUTED_VALUE"""),"Negative")</f>
        <v>Negative</v>
      </c>
      <c r="I1275" s="207"/>
      <c r="J1275" s="50"/>
      <c r="K1275" s="50">
        <f>IFERROR(__xludf.DUMMYFUNCTION("""COMPUTED_VALUE"""),2.0)</f>
        <v>2</v>
      </c>
      <c r="L1275" s="6"/>
      <c r="M1275" s="55"/>
      <c r="N1275" s="55">
        <f>IFERROR(__xludf.DUMMYFUNCTION("""COMPUTED_VALUE"""),1.0)</f>
        <v>1</v>
      </c>
      <c r="O1275" s="55" t="str">
        <f t="shared" si="3"/>
        <v/>
      </c>
      <c r="P1275" s="209"/>
      <c r="Q1275" s="75" t="b">
        <f>VLOOKUP($B1275,'Run Reconcile'!B$2:P1679,15,FALSE)</f>
        <v>1</v>
      </c>
      <c r="R1275" s="211" t="str">
        <f t="array" ref="R1275">IF($Q1275, INDEX('Run Reconcile'!A$2:A1679,MATCH(B1275,'Run Reconcile'!B$2:B1679,0),1),IFERROR(0/0,""))</f>
        <v>RUN-COMB_2022-07-06_RFR-072</v>
      </c>
      <c r="S1275" s="165" t="str">
        <f t="shared" ref="S1275:T1275" si="2549">IF(COUNTIF(W$2:W1679, $A1275) &gt; 0,TRUE,IFERROR(0/0,""))</f>
        <v/>
      </c>
      <c r="T1275" s="165" t="str">
        <f t="shared" si="2549"/>
        <v/>
      </c>
      <c r="U1275" s="147" t="str">
        <f t="array" ref="U1275">IF(ISBLANK($R1275), IF($S1275,VLOOKUP($B1275+1,'RFR Data - preExcl'!$BF$2:$BG1679,2,FALSE),IF($T1275,INDEX('RFR Data - preExcl'!$BF$2:$BG1679,MATCH($B1275,'RFR Data - preExcl'!$BF$2:$BF1679,0)+1,2),VLOOKUP($B1275,'RFR Data - preExcl'!$BF$2:$BG1679,2,FALSE))),IFERROR(0/0,""))</f>
        <v/>
      </c>
      <c r="V1275" s="212" t="str">
        <f t="shared" si="5"/>
        <v>RUN-COMB_2022-07-06_RFR-072</v>
      </c>
      <c r="W1275" s="51"/>
      <c r="X1275" s="51"/>
      <c r="Y1275" s="147" t="str">
        <f t="shared" ref="Y1275:Z1275" si="2550">IF(_xlfn.ISFORMULA(S1275),IFERROR(0/0,""),TRUE)</f>
        <v/>
      </c>
      <c r="Z1275" s="147" t="str">
        <f t="shared" si="2550"/>
        <v/>
      </c>
    </row>
    <row r="1276">
      <c r="A1276" s="6" t="str">
        <f>IFERROR(__xludf.DUMMYFUNCTION("""COMPUTED_VALUE"""),"FM2736")</f>
        <v>FM2736</v>
      </c>
      <c r="B1276" s="206">
        <f>IFERROR(__xludf.DUMMYFUNCTION("""COMPUTED_VALUE"""),44748.0)</f>
        <v>44748</v>
      </c>
      <c r="C1276" s="207">
        <f>IFERROR(__xludf.DUMMYFUNCTION("""COMPUTED_VALUE"""),0.3216550925925926)</f>
        <v>0.3216550926</v>
      </c>
      <c r="D1276" s="50"/>
      <c r="E1276" s="58"/>
      <c r="F1276" s="58"/>
      <c r="G1276" s="58" t="str">
        <f>IFERROR(__xludf.DUMMYFUNCTION("""COMPUTED_VALUE"""),"Null")</f>
        <v>Null</v>
      </c>
      <c r="H1276" s="206" t="str">
        <f>IFERROR(__xludf.DUMMYFUNCTION("""COMPUTED_VALUE"""),"Negative")</f>
        <v>Negative</v>
      </c>
      <c r="I1276" s="207"/>
      <c r="J1276" s="50"/>
      <c r="K1276" s="50">
        <f>IFERROR(__xludf.DUMMYFUNCTION("""COMPUTED_VALUE"""),2.0)</f>
        <v>2</v>
      </c>
      <c r="L1276" s="6"/>
      <c r="M1276" s="55"/>
      <c r="N1276" s="55">
        <f>IFERROR(__xludf.DUMMYFUNCTION("""COMPUTED_VALUE"""),1.0)</f>
        <v>1</v>
      </c>
      <c r="O1276" s="55" t="str">
        <f t="shared" si="3"/>
        <v/>
      </c>
      <c r="P1276" s="209"/>
      <c r="Q1276" s="75" t="b">
        <f>VLOOKUP($B1276,'Run Reconcile'!B$2:P1679,15,FALSE)</f>
        <v>1</v>
      </c>
      <c r="R1276" s="211" t="str">
        <f t="array" ref="R1276">IF($Q1276, INDEX('Run Reconcile'!A$2:A1679,MATCH(B1276,'Run Reconcile'!B$2:B1679,0),1),IFERROR(0/0,""))</f>
        <v>RUN-COMB_2022-07-06_RFR-072</v>
      </c>
      <c r="S1276" s="165" t="str">
        <f t="shared" ref="S1276:T1276" si="2551">IF(COUNTIF(W$2:W1679, $A1276) &gt; 0,TRUE,IFERROR(0/0,""))</f>
        <v/>
      </c>
      <c r="T1276" s="165" t="str">
        <f t="shared" si="2551"/>
        <v/>
      </c>
      <c r="U1276" s="147" t="str">
        <f t="array" ref="U1276">IF(ISBLANK($R1276), IF($S1276,VLOOKUP($B1276+1,'RFR Data - preExcl'!$BF$2:$BG1679,2,FALSE),IF($T1276,INDEX('RFR Data - preExcl'!$BF$2:$BG1679,MATCH($B1276,'RFR Data - preExcl'!$BF$2:$BF1679,0)+1,2),VLOOKUP($B1276,'RFR Data - preExcl'!$BF$2:$BG1679,2,FALSE))),IFERROR(0/0,""))</f>
        <v/>
      </c>
      <c r="V1276" s="212" t="str">
        <f t="shared" si="5"/>
        <v>RUN-COMB_2022-07-06_RFR-072</v>
      </c>
      <c r="W1276" s="51"/>
      <c r="X1276" s="51"/>
      <c r="Y1276" s="147" t="str">
        <f t="shared" ref="Y1276:Z1276" si="2552">IF(_xlfn.ISFORMULA(S1276),IFERROR(0/0,""),TRUE)</f>
        <v/>
      </c>
      <c r="Z1276" s="147" t="str">
        <f t="shared" si="2552"/>
        <v/>
      </c>
    </row>
    <row r="1277">
      <c r="A1277" s="6" t="str">
        <f>IFERROR(__xludf.DUMMYFUNCTION("""COMPUTED_VALUE"""),"FM2760")</f>
        <v>FM2760</v>
      </c>
      <c r="B1277" s="206">
        <f>IFERROR(__xludf.DUMMYFUNCTION("""COMPUTED_VALUE"""),44748.0)</f>
        <v>44748</v>
      </c>
      <c r="C1277" s="207">
        <f>IFERROR(__xludf.DUMMYFUNCTION("""COMPUTED_VALUE"""),0.3220138888888889)</f>
        <v>0.3220138889</v>
      </c>
      <c r="D1277" s="50"/>
      <c r="E1277" s="58"/>
      <c r="F1277" s="58"/>
      <c r="G1277" s="58" t="str">
        <f>IFERROR(__xludf.DUMMYFUNCTION("""COMPUTED_VALUE"""),"Null")</f>
        <v>Null</v>
      </c>
      <c r="H1277" s="206" t="str">
        <f>IFERROR(__xludf.DUMMYFUNCTION("""COMPUTED_VALUE"""),"Negative")</f>
        <v>Negative</v>
      </c>
      <c r="I1277" s="207"/>
      <c r="J1277" s="50"/>
      <c r="K1277" s="50">
        <f>IFERROR(__xludf.DUMMYFUNCTION("""COMPUTED_VALUE"""),2.0)</f>
        <v>2</v>
      </c>
      <c r="L1277" s="6"/>
      <c r="M1277" s="55"/>
      <c r="N1277" s="55">
        <f>IFERROR(__xludf.DUMMYFUNCTION("""COMPUTED_VALUE"""),1.0)</f>
        <v>1</v>
      </c>
      <c r="O1277" s="55" t="str">
        <f t="shared" si="3"/>
        <v/>
      </c>
      <c r="P1277" s="209"/>
      <c r="Q1277" s="75" t="b">
        <f>VLOOKUP($B1277,'Run Reconcile'!B$2:P1679,15,FALSE)</f>
        <v>1</v>
      </c>
      <c r="R1277" s="211" t="str">
        <f t="array" ref="R1277">IF($Q1277, INDEX('Run Reconcile'!A$2:A1679,MATCH(B1277,'Run Reconcile'!B$2:B1679,0),1),IFERROR(0/0,""))</f>
        <v>RUN-COMB_2022-07-06_RFR-072</v>
      </c>
      <c r="S1277" s="165" t="str">
        <f t="shared" ref="S1277:T1277" si="2553">IF(COUNTIF(W$2:W1679, $A1277) &gt; 0,TRUE,IFERROR(0/0,""))</f>
        <v/>
      </c>
      <c r="T1277" s="165" t="str">
        <f t="shared" si="2553"/>
        <v/>
      </c>
      <c r="U1277" s="147" t="str">
        <f t="array" ref="U1277">IF(ISBLANK($R1277), IF($S1277,VLOOKUP($B1277+1,'RFR Data - preExcl'!$BF$2:$BG1679,2,FALSE),IF($T1277,INDEX('RFR Data - preExcl'!$BF$2:$BG1679,MATCH($B1277,'RFR Data - preExcl'!$BF$2:$BF1679,0)+1,2),VLOOKUP($B1277,'RFR Data - preExcl'!$BF$2:$BG1679,2,FALSE))),IFERROR(0/0,""))</f>
        <v/>
      </c>
      <c r="V1277" s="212" t="str">
        <f t="shared" si="5"/>
        <v>RUN-COMB_2022-07-06_RFR-072</v>
      </c>
      <c r="W1277" s="51"/>
      <c r="X1277" s="51"/>
      <c r="Y1277" s="147" t="str">
        <f t="shared" ref="Y1277:Z1277" si="2554">IF(_xlfn.ISFORMULA(S1277),IFERROR(0/0,""),TRUE)</f>
        <v/>
      </c>
      <c r="Z1277" s="147" t="str">
        <f t="shared" si="2554"/>
        <v/>
      </c>
    </row>
    <row r="1278">
      <c r="A1278" s="6" t="str">
        <f>IFERROR(__xludf.DUMMYFUNCTION("""COMPUTED_VALUE"""),"FM2720")</f>
        <v>FM2720</v>
      </c>
      <c r="B1278" s="206">
        <f>IFERROR(__xludf.DUMMYFUNCTION("""COMPUTED_VALUE"""),44748.0)</f>
        <v>44748</v>
      </c>
      <c r="C1278" s="207">
        <f>IFERROR(__xludf.DUMMYFUNCTION("""COMPUTED_VALUE"""),0.32232638888888887)</f>
        <v>0.3223263889</v>
      </c>
      <c r="D1278" s="50"/>
      <c r="E1278" s="58"/>
      <c r="F1278" s="58"/>
      <c r="G1278" s="58" t="str">
        <f>IFERROR(__xludf.DUMMYFUNCTION("""COMPUTED_VALUE"""),"Null")</f>
        <v>Null</v>
      </c>
      <c r="H1278" s="206" t="str">
        <f>IFERROR(__xludf.DUMMYFUNCTION("""COMPUTED_VALUE"""),"Negative")</f>
        <v>Negative</v>
      </c>
      <c r="I1278" s="207"/>
      <c r="J1278" s="50"/>
      <c r="K1278" s="50">
        <f>IFERROR(__xludf.DUMMYFUNCTION("""COMPUTED_VALUE"""),2.0)</f>
        <v>2</v>
      </c>
      <c r="L1278" s="6"/>
      <c r="M1278" s="55"/>
      <c r="N1278" s="55">
        <f>IFERROR(__xludf.DUMMYFUNCTION("""COMPUTED_VALUE"""),1.0)</f>
        <v>1</v>
      </c>
      <c r="O1278" s="55" t="str">
        <f t="shared" si="3"/>
        <v/>
      </c>
      <c r="P1278" s="209"/>
      <c r="Q1278" s="75" t="b">
        <f>VLOOKUP($B1278,'Run Reconcile'!B$2:P1679,15,FALSE)</f>
        <v>1</v>
      </c>
      <c r="R1278" s="211" t="str">
        <f t="array" ref="R1278">IF($Q1278, INDEX('Run Reconcile'!A$2:A1679,MATCH(B1278,'Run Reconcile'!B$2:B1679,0),1),IFERROR(0/0,""))</f>
        <v>RUN-COMB_2022-07-06_RFR-072</v>
      </c>
      <c r="S1278" s="165" t="str">
        <f t="shared" ref="S1278:T1278" si="2555">IF(COUNTIF(W$2:W1679, $A1278) &gt; 0,TRUE,IFERROR(0/0,""))</f>
        <v/>
      </c>
      <c r="T1278" s="165" t="str">
        <f t="shared" si="2555"/>
        <v/>
      </c>
      <c r="U1278" s="147" t="str">
        <f t="array" ref="U1278">IF(ISBLANK($R1278), IF($S1278,VLOOKUP($B1278+1,'RFR Data - preExcl'!$BF$2:$BG1679,2,FALSE),IF($T1278,INDEX('RFR Data - preExcl'!$BF$2:$BG1679,MATCH($B1278,'RFR Data - preExcl'!$BF$2:$BF1679,0)+1,2),VLOOKUP($B1278,'RFR Data - preExcl'!$BF$2:$BG1679,2,FALSE))),IFERROR(0/0,""))</f>
        <v/>
      </c>
      <c r="V1278" s="212" t="str">
        <f t="shared" si="5"/>
        <v>RUN-COMB_2022-07-06_RFR-072</v>
      </c>
      <c r="W1278" s="51"/>
      <c r="X1278" s="51"/>
      <c r="Y1278" s="147" t="str">
        <f t="shared" ref="Y1278:Z1278" si="2556">IF(_xlfn.ISFORMULA(S1278),IFERROR(0/0,""),TRUE)</f>
        <v/>
      </c>
      <c r="Z1278" s="147" t="str">
        <f t="shared" si="2556"/>
        <v/>
      </c>
    </row>
    <row r="1279">
      <c r="A1279" s="6" t="str">
        <f>IFERROR(__xludf.DUMMYFUNCTION("""COMPUTED_VALUE"""),"FM2798")</f>
        <v>FM2798</v>
      </c>
      <c r="B1279" s="206">
        <f>IFERROR(__xludf.DUMMYFUNCTION("""COMPUTED_VALUE"""),44748.0)</f>
        <v>44748</v>
      </c>
      <c r="C1279" s="207">
        <f>IFERROR(__xludf.DUMMYFUNCTION("""COMPUTED_VALUE"""),0.32266203703703705)</f>
        <v>0.322662037</v>
      </c>
      <c r="D1279" s="50"/>
      <c r="E1279" s="58"/>
      <c r="F1279" s="58"/>
      <c r="G1279" s="58" t="str">
        <f>IFERROR(__xludf.DUMMYFUNCTION("""COMPUTED_VALUE"""),"Null")</f>
        <v>Null</v>
      </c>
      <c r="H1279" s="206" t="str">
        <f>IFERROR(__xludf.DUMMYFUNCTION("""COMPUTED_VALUE"""),"Negative")</f>
        <v>Negative</v>
      </c>
      <c r="I1279" s="207"/>
      <c r="J1279" s="50"/>
      <c r="K1279" s="50">
        <f>IFERROR(__xludf.DUMMYFUNCTION("""COMPUTED_VALUE"""),2.0)</f>
        <v>2</v>
      </c>
      <c r="L1279" s="6"/>
      <c r="M1279" s="55"/>
      <c r="N1279" s="55">
        <f>IFERROR(__xludf.DUMMYFUNCTION("""COMPUTED_VALUE"""),1.0)</f>
        <v>1</v>
      </c>
      <c r="O1279" s="55" t="str">
        <f t="shared" si="3"/>
        <v/>
      </c>
      <c r="P1279" s="209"/>
      <c r="Q1279" s="75" t="b">
        <f>VLOOKUP($B1279,'Run Reconcile'!B$2:P1679,15,FALSE)</f>
        <v>1</v>
      </c>
      <c r="R1279" s="211" t="str">
        <f t="array" ref="R1279">IF($Q1279, INDEX('Run Reconcile'!A$2:A1679,MATCH(B1279,'Run Reconcile'!B$2:B1679,0),1),IFERROR(0/0,""))</f>
        <v>RUN-COMB_2022-07-06_RFR-072</v>
      </c>
      <c r="S1279" s="165" t="str">
        <f t="shared" ref="S1279:T1279" si="2557">IF(COUNTIF(W$2:W1679, $A1279) &gt; 0,TRUE,IFERROR(0/0,""))</f>
        <v/>
      </c>
      <c r="T1279" s="165" t="str">
        <f t="shared" si="2557"/>
        <v/>
      </c>
      <c r="U1279" s="147" t="str">
        <f t="array" ref="U1279">IF(ISBLANK($R1279), IF($S1279,VLOOKUP($B1279+1,'RFR Data - preExcl'!$BF$2:$BG1679,2,FALSE),IF($T1279,INDEX('RFR Data - preExcl'!$BF$2:$BG1679,MATCH($B1279,'RFR Data - preExcl'!$BF$2:$BF1679,0)+1,2),VLOOKUP($B1279,'RFR Data - preExcl'!$BF$2:$BG1679,2,FALSE))),IFERROR(0/0,""))</f>
        <v/>
      </c>
      <c r="V1279" s="212" t="str">
        <f t="shared" si="5"/>
        <v>RUN-COMB_2022-07-06_RFR-072</v>
      </c>
      <c r="W1279" s="51"/>
      <c r="X1279" s="51"/>
      <c r="Y1279" s="147" t="str">
        <f t="shared" ref="Y1279:Z1279" si="2558">IF(_xlfn.ISFORMULA(S1279),IFERROR(0/0,""),TRUE)</f>
        <v/>
      </c>
      <c r="Z1279" s="147" t="str">
        <f t="shared" si="2558"/>
        <v/>
      </c>
    </row>
    <row r="1280">
      <c r="A1280" s="6" t="str">
        <f>IFERROR(__xludf.DUMMYFUNCTION("""COMPUTED_VALUE"""),"FM2738")</f>
        <v>FM2738</v>
      </c>
      <c r="B1280" s="206">
        <f>IFERROR(__xludf.DUMMYFUNCTION("""COMPUTED_VALUE"""),44749.0)</f>
        <v>44749</v>
      </c>
      <c r="C1280" s="207">
        <f>IFERROR(__xludf.DUMMYFUNCTION("""COMPUTED_VALUE"""),0.27282407407407405)</f>
        <v>0.2728240741</v>
      </c>
      <c r="D1280" s="50"/>
      <c r="E1280" s="58"/>
      <c r="F1280" s="58"/>
      <c r="G1280" s="58" t="str">
        <f>IFERROR(__xludf.DUMMYFUNCTION("""COMPUTED_VALUE"""),"Null")</f>
        <v>Null</v>
      </c>
      <c r="H1280" s="206" t="str">
        <f>IFERROR(__xludf.DUMMYFUNCTION("""COMPUTED_VALUE"""),"Negative")</f>
        <v>Negative</v>
      </c>
      <c r="I1280" s="207"/>
      <c r="J1280" s="50"/>
      <c r="K1280" s="50">
        <f>IFERROR(__xludf.DUMMYFUNCTION("""COMPUTED_VALUE"""),2.0)</f>
        <v>2</v>
      </c>
      <c r="L1280" s="6"/>
      <c r="M1280" s="55"/>
      <c r="N1280" s="55">
        <f>IFERROR(__xludf.DUMMYFUNCTION("""COMPUTED_VALUE"""),1.0)</f>
        <v>1</v>
      </c>
      <c r="O1280" s="55" t="b">
        <f t="shared" si="3"/>
        <v>1</v>
      </c>
      <c r="P1280" s="209"/>
      <c r="Q1280" s="75" t="b">
        <f>VLOOKUP($B1280,'Run Reconcile'!B$2:P1679,15,FALSE)</f>
        <v>1</v>
      </c>
      <c r="R1280" s="211" t="str">
        <f t="array" ref="R1280">IF($Q1280, INDEX('Run Reconcile'!A$2:A1679,MATCH(B1280,'Run Reconcile'!B$2:B1679,0),1),IFERROR(0/0,""))</f>
        <v>RUN-COMB_2022-07-07_APS-001</v>
      </c>
      <c r="S1280" s="165" t="str">
        <f t="shared" ref="S1280:T1280" si="2559">IF(COUNTIF(W$2:W1679, $A1280) &gt; 0,TRUE,IFERROR(0/0,""))</f>
        <v/>
      </c>
      <c r="T1280" s="165" t="str">
        <f t="shared" si="2559"/>
        <v/>
      </c>
      <c r="U1280" s="147" t="str">
        <f t="array" ref="U1280">IF(ISBLANK($R1280), IF($S1280,VLOOKUP($B1280+1,'RFR Data - preExcl'!$BF$2:$BG1679,2,FALSE),IF($T1280,INDEX('RFR Data - preExcl'!$BF$2:$BG1679,MATCH($B1280,'RFR Data - preExcl'!$BF$2:$BF1679,0)+1,2),VLOOKUP($B1280,'RFR Data - preExcl'!$BF$2:$BG1679,2,FALSE))),IFERROR(0/0,""))</f>
        <v/>
      </c>
      <c r="V1280" s="212" t="str">
        <f t="shared" si="5"/>
        <v>RUN-COMB_2022-07-07_APS-001</v>
      </c>
      <c r="W1280" s="51"/>
      <c r="X1280" s="51"/>
      <c r="Y1280" s="147" t="str">
        <f t="shared" ref="Y1280:Z1280" si="2560">IF(_xlfn.ISFORMULA(S1280),IFERROR(0/0,""),TRUE)</f>
        <v/>
      </c>
      <c r="Z1280" s="147" t="str">
        <f t="shared" si="2560"/>
        <v/>
      </c>
    </row>
    <row r="1281">
      <c r="A1281" s="6" t="str">
        <f>IFERROR(__xludf.DUMMYFUNCTION("""COMPUTED_VALUE"""),"FM2809")</f>
        <v>FM2809</v>
      </c>
      <c r="B1281" s="206">
        <f>IFERROR(__xludf.DUMMYFUNCTION("""COMPUTED_VALUE"""),44749.0)</f>
        <v>44749</v>
      </c>
      <c r="C1281" s="207">
        <f>IFERROR(__xludf.DUMMYFUNCTION("""COMPUTED_VALUE"""),0.2731712962962963)</f>
        <v>0.2731712963</v>
      </c>
      <c r="D1281" s="50"/>
      <c r="E1281" s="58"/>
      <c r="F1281" s="58"/>
      <c r="G1281" s="58" t="str">
        <f>IFERROR(__xludf.DUMMYFUNCTION("""COMPUTED_VALUE"""),"Null")</f>
        <v>Null</v>
      </c>
      <c r="H1281" s="206" t="str">
        <f>IFERROR(__xludf.DUMMYFUNCTION("""COMPUTED_VALUE"""),"Negative")</f>
        <v>Negative</v>
      </c>
      <c r="I1281" s="207"/>
      <c r="J1281" s="50"/>
      <c r="K1281" s="50">
        <f>IFERROR(__xludf.DUMMYFUNCTION("""COMPUTED_VALUE"""),2.0)</f>
        <v>2</v>
      </c>
      <c r="L1281" s="6"/>
      <c r="M1281" s="55"/>
      <c r="N1281" s="55">
        <f>IFERROR(__xludf.DUMMYFUNCTION("""COMPUTED_VALUE"""),1.0)</f>
        <v>1</v>
      </c>
      <c r="O1281" s="55" t="str">
        <f t="shared" si="3"/>
        <v/>
      </c>
      <c r="P1281" s="209"/>
      <c r="Q1281" s="75" t="b">
        <f>VLOOKUP($B1281,'Run Reconcile'!B$2:P1679,15,FALSE)</f>
        <v>1</v>
      </c>
      <c r="R1281" s="211" t="str">
        <f t="array" ref="R1281">IF($Q1281, INDEX('Run Reconcile'!A$2:A1679,MATCH(B1281,'Run Reconcile'!B$2:B1679,0),1),IFERROR(0/0,""))</f>
        <v>RUN-COMB_2022-07-07_APS-001</v>
      </c>
      <c r="S1281" s="165" t="str">
        <f t="shared" ref="S1281:T1281" si="2561">IF(COUNTIF(W$2:W1679, $A1281) &gt; 0,TRUE,IFERROR(0/0,""))</f>
        <v/>
      </c>
      <c r="T1281" s="165" t="str">
        <f t="shared" si="2561"/>
        <v/>
      </c>
      <c r="U1281" s="147" t="str">
        <f t="array" ref="U1281">IF(ISBLANK($R1281), IF($S1281,VLOOKUP($B1281+1,'RFR Data - preExcl'!$BF$2:$BG1679,2,FALSE),IF($T1281,INDEX('RFR Data - preExcl'!$BF$2:$BG1679,MATCH($B1281,'RFR Data - preExcl'!$BF$2:$BF1679,0)+1,2),VLOOKUP($B1281,'RFR Data - preExcl'!$BF$2:$BG1679,2,FALSE))),IFERROR(0/0,""))</f>
        <v/>
      </c>
      <c r="V1281" s="212" t="str">
        <f t="shared" si="5"/>
        <v>RUN-COMB_2022-07-07_APS-001</v>
      </c>
      <c r="W1281" s="51"/>
      <c r="X1281" s="51"/>
      <c r="Y1281" s="147" t="str">
        <f t="shared" ref="Y1281:Z1281" si="2562">IF(_xlfn.ISFORMULA(S1281),IFERROR(0/0,""),TRUE)</f>
        <v/>
      </c>
      <c r="Z1281" s="147" t="str">
        <f t="shared" si="2562"/>
        <v/>
      </c>
    </row>
    <row r="1282">
      <c r="A1282" s="6" t="str">
        <f>IFERROR(__xludf.DUMMYFUNCTION("""COMPUTED_VALUE"""),"FM2784")</f>
        <v>FM2784</v>
      </c>
      <c r="B1282" s="206">
        <f>IFERROR(__xludf.DUMMYFUNCTION("""COMPUTED_VALUE"""),44749.0)</f>
        <v>44749</v>
      </c>
      <c r="C1282" s="207">
        <f>IFERROR(__xludf.DUMMYFUNCTION("""COMPUTED_VALUE"""),0.27350694444444446)</f>
        <v>0.2735069444</v>
      </c>
      <c r="D1282" s="50"/>
      <c r="E1282" s="58"/>
      <c r="F1282" s="58"/>
      <c r="G1282" s="58" t="str">
        <f>IFERROR(__xludf.DUMMYFUNCTION("""COMPUTED_VALUE"""),"Null")</f>
        <v>Null</v>
      </c>
      <c r="H1282" s="206" t="str">
        <f>IFERROR(__xludf.DUMMYFUNCTION("""COMPUTED_VALUE"""),"Negative")</f>
        <v>Negative</v>
      </c>
      <c r="I1282" s="207"/>
      <c r="J1282" s="50"/>
      <c r="K1282" s="50">
        <f>IFERROR(__xludf.DUMMYFUNCTION("""COMPUTED_VALUE"""),2.0)</f>
        <v>2</v>
      </c>
      <c r="L1282" s="6"/>
      <c r="M1282" s="55"/>
      <c r="N1282" s="55">
        <f>IFERROR(__xludf.DUMMYFUNCTION("""COMPUTED_VALUE"""),1.0)</f>
        <v>1</v>
      </c>
      <c r="O1282" s="55" t="str">
        <f t="shared" si="3"/>
        <v/>
      </c>
      <c r="P1282" s="209"/>
      <c r="Q1282" s="75" t="b">
        <f>VLOOKUP($B1282,'Run Reconcile'!B$2:P1679,15,FALSE)</f>
        <v>1</v>
      </c>
      <c r="R1282" s="211" t="str">
        <f t="array" ref="R1282">IF($Q1282, INDEX('Run Reconcile'!A$2:A1679,MATCH(B1282,'Run Reconcile'!B$2:B1679,0),1),IFERROR(0/0,""))</f>
        <v>RUN-COMB_2022-07-07_APS-001</v>
      </c>
      <c r="S1282" s="165" t="str">
        <f t="shared" ref="S1282:T1282" si="2563">IF(COUNTIF(W$2:W1679, $A1282) &gt; 0,TRUE,IFERROR(0/0,""))</f>
        <v/>
      </c>
      <c r="T1282" s="165" t="str">
        <f t="shared" si="2563"/>
        <v/>
      </c>
      <c r="U1282" s="147" t="str">
        <f t="array" ref="U1282">IF(ISBLANK($R1282), IF($S1282,VLOOKUP($B1282+1,'RFR Data - preExcl'!$BF$2:$BG1679,2,FALSE),IF($T1282,INDEX('RFR Data - preExcl'!$BF$2:$BG1679,MATCH($B1282,'RFR Data - preExcl'!$BF$2:$BF1679,0)+1,2),VLOOKUP($B1282,'RFR Data - preExcl'!$BF$2:$BG1679,2,FALSE))),IFERROR(0/0,""))</f>
        <v/>
      </c>
      <c r="V1282" s="212" t="str">
        <f t="shared" si="5"/>
        <v>RUN-COMB_2022-07-07_APS-001</v>
      </c>
      <c r="W1282" s="51"/>
      <c r="X1282" s="51"/>
      <c r="Y1282" s="147" t="str">
        <f t="shared" ref="Y1282:Z1282" si="2564">IF(_xlfn.ISFORMULA(S1282),IFERROR(0/0,""),TRUE)</f>
        <v/>
      </c>
      <c r="Z1282" s="147" t="str">
        <f t="shared" si="2564"/>
        <v/>
      </c>
    </row>
    <row r="1283">
      <c r="A1283" s="6" t="str">
        <f>IFERROR(__xludf.DUMMYFUNCTION("""COMPUTED_VALUE"""),"FM2773")</f>
        <v>FM2773</v>
      </c>
      <c r="B1283" s="206">
        <f>IFERROR(__xludf.DUMMYFUNCTION("""COMPUTED_VALUE"""),44749.0)</f>
        <v>44749</v>
      </c>
      <c r="C1283" s="207">
        <f>IFERROR(__xludf.DUMMYFUNCTION("""COMPUTED_VALUE"""),0.2740856481481482)</f>
        <v>0.2740856481</v>
      </c>
      <c r="D1283" s="50"/>
      <c r="E1283" s="58"/>
      <c r="F1283" s="58"/>
      <c r="G1283" s="58" t="str">
        <f>IFERROR(__xludf.DUMMYFUNCTION("""COMPUTED_VALUE"""),"Null")</f>
        <v>Null</v>
      </c>
      <c r="H1283" s="206" t="str">
        <f>IFERROR(__xludf.DUMMYFUNCTION("""COMPUTED_VALUE"""),"Negative")</f>
        <v>Negative</v>
      </c>
      <c r="I1283" s="207"/>
      <c r="J1283" s="50"/>
      <c r="K1283" s="50">
        <f>IFERROR(__xludf.DUMMYFUNCTION("""COMPUTED_VALUE"""),2.0)</f>
        <v>2</v>
      </c>
      <c r="L1283" s="6"/>
      <c r="M1283" s="55"/>
      <c r="N1283" s="55">
        <f>IFERROR(__xludf.DUMMYFUNCTION("""COMPUTED_VALUE"""),1.0)</f>
        <v>1</v>
      </c>
      <c r="O1283" s="55" t="str">
        <f t="shared" si="3"/>
        <v/>
      </c>
      <c r="P1283" s="209"/>
      <c r="Q1283" s="75" t="b">
        <f>VLOOKUP($B1283,'Run Reconcile'!B$2:P1679,15,FALSE)</f>
        <v>1</v>
      </c>
      <c r="R1283" s="211" t="str">
        <f t="array" ref="R1283">IF($Q1283, INDEX('Run Reconcile'!A$2:A1679,MATCH(B1283,'Run Reconcile'!B$2:B1679,0),1),IFERROR(0/0,""))</f>
        <v>RUN-COMB_2022-07-07_APS-001</v>
      </c>
      <c r="S1283" s="165" t="str">
        <f t="shared" ref="S1283:T1283" si="2565">IF(COUNTIF(W$2:W1679, $A1283) &gt; 0,TRUE,IFERROR(0/0,""))</f>
        <v/>
      </c>
      <c r="T1283" s="165" t="str">
        <f t="shared" si="2565"/>
        <v/>
      </c>
      <c r="U1283" s="147" t="str">
        <f t="array" ref="U1283">IF(ISBLANK($R1283), IF($S1283,VLOOKUP($B1283+1,'RFR Data - preExcl'!$BF$2:$BG1679,2,FALSE),IF($T1283,INDEX('RFR Data - preExcl'!$BF$2:$BG1679,MATCH($B1283,'RFR Data - preExcl'!$BF$2:$BF1679,0)+1,2),VLOOKUP($B1283,'RFR Data - preExcl'!$BF$2:$BG1679,2,FALSE))),IFERROR(0/0,""))</f>
        <v/>
      </c>
      <c r="V1283" s="212" t="str">
        <f t="shared" si="5"/>
        <v>RUN-COMB_2022-07-07_APS-001</v>
      </c>
      <c r="W1283" s="51"/>
      <c r="X1283" s="51"/>
      <c r="Y1283" s="147" t="str">
        <f t="shared" ref="Y1283:Z1283" si="2566">IF(_xlfn.ISFORMULA(S1283),IFERROR(0/0,""),TRUE)</f>
        <v/>
      </c>
      <c r="Z1283" s="147" t="str">
        <f t="shared" si="2566"/>
        <v/>
      </c>
    </row>
    <row r="1284">
      <c r="A1284" s="6" t="str">
        <f>IFERROR(__xludf.DUMMYFUNCTION("""COMPUTED_VALUE"""),"FM2764")</f>
        <v>FM2764</v>
      </c>
      <c r="B1284" s="206">
        <f>IFERROR(__xludf.DUMMYFUNCTION("""COMPUTED_VALUE"""),44749.0)</f>
        <v>44749</v>
      </c>
      <c r="C1284" s="207">
        <f>IFERROR(__xludf.DUMMYFUNCTION("""COMPUTED_VALUE"""),0.27447916666666666)</f>
        <v>0.2744791667</v>
      </c>
      <c r="D1284" s="50"/>
      <c r="E1284" s="58"/>
      <c r="F1284" s="58"/>
      <c r="G1284" s="58" t="str">
        <f>IFERROR(__xludf.DUMMYFUNCTION("""COMPUTED_VALUE"""),"Null")</f>
        <v>Null</v>
      </c>
      <c r="H1284" s="206" t="str">
        <f>IFERROR(__xludf.DUMMYFUNCTION("""COMPUTED_VALUE"""),"Negative")</f>
        <v>Negative</v>
      </c>
      <c r="I1284" s="207"/>
      <c r="J1284" s="50"/>
      <c r="K1284" s="50">
        <f>IFERROR(__xludf.DUMMYFUNCTION("""COMPUTED_VALUE"""),2.0)</f>
        <v>2</v>
      </c>
      <c r="L1284" s="6"/>
      <c r="M1284" s="55"/>
      <c r="N1284" s="55">
        <f>IFERROR(__xludf.DUMMYFUNCTION("""COMPUTED_VALUE"""),1.0)</f>
        <v>1</v>
      </c>
      <c r="O1284" s="55" t="str">
        <f t="shared" si="3"/>
        <v/>
      </c>
      <c r="P1284" s="209"/>
      <c r="Q1284" s="75" t="b">
        <f>VLOOKUP($B1284,'Run Reconcile'!B$2:P1679,15,FALSE)</f>
        <v>1</v>
      </c>
      <c r="R1284" s="211" t="str">
        <f t="array" ref="R1284">IF($Q1284, INDEX('Run Reconcile'!A$2:A1679,MATCH(B1284,'Run Reconcile'!B$2:B1679,0),1),IFERROR(0/0,""))</f>
        <v>RUN-COMB_2022-07-07_APS-001</v>
      </c>
      <c r="S1284" s="165" t="str">
        <f t="shared" ref="S1284:T1284" si="2567">IF(COUNTIF(W$2:W1679, $A1284) &gt; 0,TRUE,IFERROR(0/0,""))</f>
        <v/>
      </c>
      <c r="T1284" s="165" t="str">
        <f t="shared" si="2567"/>
        <v/>
      </c>
      <c r="U1284" s="147" t="str">
        <f t="array" ref="U1284">IF(ISBLANK($R1284), IF($S1284,VLOOKUP($B1284+1,'RFR Data - preExcl'!$BF$2:$BG1679,2,FALSE),IF($T1284,INDEX('RFR Data - preExcl'!$BF$2:$BG1679,MATCH($B1284,'RFR Data - preExcl'!$BF$2:$BF1679,0)+1,2),VLOOKUP($B1284,'RFR Data - preExcl'!$BF$2:$BG1679,2,FALSE))),IFERROR(0/0,""))</f>
        <v/>
      </c>
      <c r="V1284" s="212" t="str">
        <f t="shared" si="5"/>
        <v>RUN-COMB_2022-07-07_APS-001</v>
      </c>
      <c r="W1284" s="51"/>
      <c r="X1284" s="51"/>
      <c r="Y1284" s="147" t="str">
        <f t="shared" ref="Y1284:Z1284" si="2568">IF(_xlfn.ISFORMULA(S1284),IFERROR(0/0,""),TRUE)</f>
        <v/>
      </c>
      <c r="Z1284" s="147" t="str">
        <f t="shared" si="2568"/>
        <v/>
      </c>
    </row>
    <row r="1285">
      <c r="A1285" s="6" t="str">
        <f>IFERROR(__xludf.DUMMYFUNCTION("""COMPUTED_VALUE"""),"FM2796")</f>
        <v>FM2796</v>
      </c>
      <c r="B1285" s="206">
        <f>IFERROR(__xludf.DUMMYFUNCTION("""COMPUTED_VALUE"""),44749.0)</f>
        <v>44749</v>
      </c>
      <c r="C1285" s="207">
        <f>IFERROR(__xludf.DUMMYFUNCTION("""COMPUTED_VALUE"""),0.2747800925925926)</f>
        <v>0.2747800926</v>
      </c>
      <c r="D1285" s="50"/>
      <c r="E1285" s="58"/>
      <c r="F1285" s="58"/>
      <c r="G1285" s="58" t="str">
        <f>IFERROR(__xludf.DUMMYFUNCTION("""COMPUTED_VALUE"""),"Null")</f>
        <v>Null</v>
      </c>
      <c r="H1285" s="206" t="str">
        <f>IFERROR(__xludf.DUMMYFUNCTION("""COMPUTED_VALUE"""),"Negative")</f>
        <v>Negative</v>
      </c>
      <c r="I1285" s="207"/>
      <c r="J1285" s="50"/>
      <c r="K1285" s="50">
        <f>IFERROR(__xludf.DUMMYFUNCTION("""COMPUTED_VALUE"""),2.0)</f>
        <v>2</v>
      </c>
      <c r="L1285" s="6"/>
      <c r="M1285" s="55"/>
      <c r="N1285" s="55">
        <f>IFERROR(__xludf.DUMMYFUNCTION("""COMPUTED_VALUE"""),1.0)</f>
        <v>1</v>
      </c>
      <c r="O1285" s="55" t="str">
        <f t="shared" si="3"/>
        <v/>
      </c>
      <c r="P1285" s="209"/>
      <c r="Q1285" s="75" t="b">
        <f>VLOOKUP($B1285,'Run Reconcile'!B$2:P1679,15,FALSE)</f>
        <v>1</v>
      </c>
      <c r="R1285" s="211" t="str">
        <f t="array" ref="R1285">IF($Q1285, INDEX('Run Reconcile'!A$2:A1679,MATCH(B1285,'Run Reconcile'!B$2:B1679,0),1),IFERROR(0/0,""))</f>
        <v>RUN-COMB_2022-07-07_APS-001</v>
      </c>
      <c r="S1285" s="165" t="str">
        <f t="shared" ref="S1285:T1285" si="2569">IF(COUNTIF(W$2:W1679, $A1285) &gt; 0,TRUE,IFERROR(0/0,""))</f>
        <v/>
      </c>
      <c r="T1285" s="165" t="str">
        <f t="shared" si="2569"/>
        <v/>
      </c>
      <c r="U1285" s="147" t="str">
        <f t="array" ref="U1285">IF(ISBLANK($R1285), IF($S1285,VLOOKUP($B1285+1,'RFR Data - preExcl'!$BF$2:$BG1679,2,FALSE),IF($T1285,INDEX('RFR Data - preExcl'!$BF$2:$BG1679,MATCH($B1285,'RFR Data - preExcl'!$BF$2:$BF1679,0)+1,2),VLOOKUP($B1285,'RFR Data - preExcl'!$BF$2:$BG1679,2,FALSE))),IFERROR(0/0,""))</f>
        <v/>
      </c>
      <c r="V1285" s="212" t="str">
        <f t="shared" si="5"/>
        <v>RUN-COMB_2022-07-07_APS-001</v>
      </c>
      <c r="W1285" s="51"/>
      <c r="X1285" s="51"/>
      <c r="Y1285" s="147" t="str">
        <f t="shared" ref="Y1285:Z1285" si="2570">IF(_xlfn.ISFORMULA(S1285),IFERROR(0/0,""),TRUE)</f>
        <v/>
      </c>
      <c r="Z1285" s="147" t="str">
        <f t="shared" si="2570"/>
        <v/>
      </c>
    </row>
    <row r="1286">
      <c r="A1286" s="6" t="str">
        <f>IFERROR(__xludf.DUMMYFUNCTION("""COMPUTED_VALUE"""),"FM2747")</f>
        <v>FM2747</v>
      </c>
      <c r="B1286" s="206">
        <f>IFERROR(__xludf.DUMMYFUNCTION("""COMPUTED_VALUE"""),44749.0)</f>
        <v>44749</v>
      </c>
      <c r="C1286" s="207">
        <f>IFERROR(__xludf.DUMMYFUNCTION("""COMPUTED_VALUE"""),0.2750925925925926)</f>
        <v>0.2750925926</v>
      </c>
      <c r="D1286" s="50"/>
      <c r="E1286" s="58"/>
      <c r="F1286" s="58"/>
      <c r="G1286" s="58" t="str">
        <f>IFERROR(__xludf.DUMMYFUNCTION("""COMPUTED_VALUE"""),"Null")</f>
        <v>Null</v>
      </c>
      <c r="H1286" s="206" t="str">
        <f>IFERROR(__xludf.DUMMYFUNCTION("""COMPUTED_VALUE"""),"Negative")</f>
        <v>Negative</v>
      </c>
      <c r="I1286" s="207"/>
      <c r="J1286" s="50"/>
      <c r="K1286" s="50">
        <f>IFERROR(__xludf.DUMMYFUNCTION("""COMPUTED_VALUE"""),2.0)</f>
        <v>2</v>
      </c>
      <c r="L1286" s="6"/>
      <c r="M1286" s="55"/>
      <c r="N1286" s="55">
        <f>IFERROR(__xludf.DUMMYFUNCTION("""COMPUTED_VALUE"""),1.0)</f>
        <v>1</v>
      </c>
      <c r="O1286" s="55" t="str">
        <f t="shared" si="3"/>
        <v/>
      </c>
      <c r="P1286" s="209"/>
      <c r="Q1286" s="75" t="b">
        <f>VLOOKUP($B1286,'Run Reconcile'!B$2:P1679,15,FALSE)</f>
        <v>1</v>
      </c>
      <c r="R1286" s="211" t="str">
        <f t="array" ref="R1286">IF($Q1286, INDEX('Run Reconcile'!A$2:A1679,MATCH(B1286,'Run Reconcile'!B$2:B1679,0),1),IFERROR(0/0,""))</f>
        <v>RUN-COMB_2022-07-07_APS-001</v>
      </c>
      <c r="S1286" s="165" t="str">
        <f t="shared" ref="S1286:T1286" si="2571">IF(COUNTIF(W$2:W1679, $A1286) &gt; 0,TRUE,IFERROR(0/0,""))</f>
        <v/>
      </c>
      <c r="T1286" s="165" t="str">
        <f t="shared" si="2571"/>
        <v/>
      </c>
      <c r="U1286" s="147" t="str">
        <f t="array" ref="U1286">IF(ISBLANK($R1286), IF($S1286,VLOOKUP($B1286+1,'RFR Data - preExcl'!$BF$2:$BG1679,2,FALSE),IF($T1286,INDEX('RFR Data - preExcl'!$BF$2:$BG1679,MATCH($B1286,'RFR Data - preExcl'!$BF$2:$BF1679,0)+1,2),VLOOKUP($B1286,'RFR Data - preExcl'!$BF$2:$BG1679,2,FALSE))),IFERROR(0/0,""))</f>
        <v/>
      </c>
      <c r="V1286" s="212" t="str">
        <f t="shared" si="5"/>
        <v>RUN-COMB_2022-07-07_APS-001</v>
      </c>
      <c r="W1286" s="51"/>
      <c r="X1286" s="51"/>
      <c r="Y1286" s="147" t="str">
        <f t="shared" ref="Y1286:Z1286" si="2572">IF(_xlfn.ISFORMULA(S1286),IFERROR(0/0,""),TRUE)</f>
        <v/>
      </c>
      <c r="Z1286" s="147" t="str">
        <f t="shared" si="2572"/>
        <v/>
      </c>
    </row>
    <row r="1287">
      <c r="A1287" s="6" t="str">
        <f>IFERROR(__xludf.DUMMYFUNCTION("""COMPUTED_VALUE"""),"FM2797")</f>
        <v>FM2797</v>
      </c>
      <c r="B1287" s="206">
        <f>IFERROR(__xludf.DUMMYFUNCTION("""COMPUTED_VALUE"""),44749.0)</f>
        <v>44749</v>
      </c>
      <c r="C1287" s="207">
        <f>IFERROR(__xludf.DUMMYFUNCTION("""COMPUTED_VALUE"""),0.2754861111111111)</f>
        <v>0.2754861111</v>
      </c>
      <c r="D1287" s="50"/>
      <c r="E1287" s="58"/>
      <c r="F1287" s="58"/>
      <c r="G1287" s="58" t="str">
        <f>IFERROR(__xludf.DUMMYFUNCTION("""COMPUTED_VALUE"""),"Null")</f>
        <v>Null</v>
      </c>
      <c r="H1287" s="206" t="str">
        <f>IFERROR(__xludf.DUMMYFUNCTION("""COMPUTED_VALUE"""),"Negative")</f>
        <v>Negative</v>
      </c>
      <c r="I1287" s="207"/>
      <c r="J1287" s="50"/>
      <c r="K1287" s="50">
        <f>IFERROR(__xludf.DUMMYFUNCTION("""COMPUTED_VALUE"""),2.0)</f>
        <v>2</v>
      </c>
      <c r="L1287" s="6"/>
      <c r="M1287" s="55"/>
      <c r="N1287" s="55">
        <f>IFERROR(__xludf.DUMMYFUNCTION("""COMPUTED_VALUE"""),1.0)</f>
        <v>1</v>
      </c>
      <c r="O1287" s="55" t="str">
        <f t="shared" si="3"/>
        <v/>
      </c>
      <c r="P1287" s="209"/>
      <c r="Q1287" s="75" t="b">
        <f>VLOOKUP($B1287,'Run Reconcile'!B$2:P1679,15,FALSE)</f>
        <v>1</v>
      </c>
      <c r="R1287" s="211" t="str">
        <f t="array" ref="R1287">IF($Q1287, INDEX('Run Reconcile'!A$2:A1679,MATCH(B1287,'Run Reconcile'!B$2:B1679,0),1),IFERROR(0/0,""))</f>
        <v>RUN-COMB_2022-07-07_APS-001</v>
      </c>
      <c r="S1287" s="165" t="str">
        <f t="shared" ref="S1287:T1287" si="2573">IF(COUNTIF(W$2:W1679, $A1287) &gt; 0,TRUE,IFERROR(0/0,""))</f>
        <v/>
      </c>
      <c r="T1287" s="165" t="str">
        <f t="shared" si="2573"/>
        <v/>
      </c>
      <c r="U1287" s="147" t="str">
        <f t="array" ref="U1287">IF(ISBLANK($R1287), IF($S1287,VLOOKUP($B1287+1,'RFR Data - preExcl'!$BF$2:$BG1679,2,FALSE),IF($T1287,INDEX('RFR Data - preExcl'!$BF$2:$BG1679,MATCH($B1287,'RFR Data - preExcl'!$BF$2:$BF1679,0)+1,2),VLOOKUP($B1287,'RFR Data - preExcl'!$BF$2:$BG1679,2,FALSE))),IFERROR(0/0,""))</f>
        <v/>
      </c>
      <c r="V1287" s="212" t="str">
        <f t="shared" si="5"/>
        <v>RUN-COMB_2022-07-07_APS-001</v>
      </c>
      <c r="W1287" s="51"/>
      <c r="X1287" s="51"/>
      <c r="Y1287" s="147" t="str">
        <f t="shared" ref="Y1287:Z1287" si="2574">IF(_xlfn.ISFORMULA(S1287),IFERROR(0/0,""),TRUE)</f>
        <v/>
      </c>
      <c r="Z1287" s="147" t="str">
        <f t="shared" si="2574"/>
        <v/>
      </c>
    </row>
    <row r="1288">
      <c r="A1288" s="6" t="str">
        <f>IFERROR(__xludf.DUMMYFUNCTION("""COMPUTED_VALUE"""),"FM2744")</f>
        <v>FM2744</v>
      </c>
      <c r="B1288" s="206">
        <f>IFERROR(__xludf.DUMMYFUNCTION("""COMPUTED_VALUE"""),44749.0)</f>
        <v>44749</v>
      </c>
      <c r="C1288" s="207">
        <f>IFERROR(__xludf.DUMMYFUNCTION("""COMPUTED_VALUE"""),0.27591435185185187)</f>
        <v>0.2759143519</v>
      </c>
      <c r="D1288" s="50"/>
      <c r="E1288" s="58"/>
      <c r="F1288" s="58"/>
      <c r="G1288" s="58" t="str">
        <f>IFERROR(__xludf.DUMMYFUNCTION("""COMPUTED_VALUE"""),"Null")</f>
        <v>Null</v>
      </c>
      <c r="H1288" s="206" t="str">
        <f>IFERROR(__xludf.DUMMYFUNCTION("""COMPUTED_VALUE"""),"Negative")</f>
        <v>Negative</v>
      </c>
      <c r="I1288" s="207"/>
      <c r="J1288" s="50"/>
      <c r="K1288" s="50">
        <f>IFERROR(__xludf.DUMMYFUNCTION("""COMPUTED_VALUE"""),2.0)</f>
        <v>2</v>
      </c>
      <c r="L1288" s="6"/>
      <c r="M1288" s="55"/>
      <c r="N1288" s="55">
        <f>IFERROR(__xludf.DUMMYFUNCTION("""COMPUTED_VALUE"""),1.0)</f>
        <v>1</v>
      </c>
      <c r="O1288" s="55" t="str">
        <f t="shared" si="3"/>
        <v/>
      </c>
      <c r="P1288" s="209"/>
      <c r="Q1288" s="75" t="b">
        <f>VLOOKUP($B1288,'Run Reconcile'!B$2:P1679,15,FALSE)</f>
        <v>1</v>
      </c>
      <c r="R1288" s="211" t="str">
        <f t="array" ref="R1288">IF($Q1288, INDEX('Run Reconcile'!A$2:A1679,MATCH(B1288,'Run Reconcile'!B$2:B1679,0),1),IFERROR(0/0,""))</f>
        <v>RUN-COMB_2022-07-07_APS-001</v>
      </c>
      <c r="S1288" s="165" t="str">
        <f t="shared" ref="S1288:T1288" si="2575">IF(COUNTIF(W$2:W1679, $A1288) &gt; 0,TRUE,IFERROR(0/0,""))</f>
        <v/>
      </c>
      <c r="T1288" s="165" t="str">
        <f t="shared" si="2575"/>
        <v/>
      </c>
      <c r="U1288" s="147" t="str">
        <f t="array" ref="U1288">IF(ISBLANK($R1288), IF($S1288,VLOOKUP($B1288+1,'RFR Data - preExcl'!$BF$2:$BG1679,2,FALSE),IF($T1288,INDEX('RFR Data - preExcl'!$BF$2:$BG1679,MATCH($B1288,'RFR Data - preExcl'!$BF$2:$BF1679,0)+1,2),VLOOKUP($B1288,'RFR Data - preExcl'!$BF$2:$BG1679,2,FALSE))),IFERROR(0/0,""))</f>
        <v/>
      </c>
      <c r="V1288" s="212" t="str">
        <f t="shared" si="5"/>
        <v>RUN-COMB_2022-07-07_APS-001</v>
      </c>
      <c r="W1288" s="51"/>
      <c r="X1288" s="51"/>
      <c r="Y1288" s="147" t="str">
        <f t="shared" ref="Y1288:Z1288" si="2576">IF(_xlfn.ISFORMULA(S1288),IFERROR(0/0,""),TRUE)</f>
        <v/>
      </c>
      <c r="Z1288" s="147" t="str">
        <f t="shared" si="2576"/>
        <v/>
      </c>
    </row>
    <row r="1289">
      <c r="A1289" s="6" t="str">
        <f>IFERROR(__xludf.DUMMYFUNCTION("""COMPUTED_VALUE"""),"FM2786")</f>
        <v>FM2786</v>
      </c>
      <c r="B1289" s="206">
        <f>IFERROR(__xludf.DUMMYFUNCTION("""COMPUTED_VALUE"""),44749.0)</f>
        <v>44749</v>
      </c>
      <c r="C1289" s="207">
        <f>IFERROR(__xludf.DUMMYFUNCTION("""COMPUTED_VALUE"""),0.2763657407407407)</f>
        <v>0.2763657407</v>
      </c>
      <c r="D1289" s="50"/>
      <c r="E1289" s="58"/>
      <c r="F1289" s="58"/>
      <c r="G1289" s="58" t="str">
        <f>IFERROR(__xludf.DUMMYFUNCTION("""COMPUTED_VALUE"""),"Null")</f>
        <v>Null</v>
      </c>
      <c r="H1289" s="206" t="str">
        <f>IFERROR(__xludf.DUMMYFUNCTION("""COMPUTED_VALUE"""),"Negative")</f>
        <v>Negative</v>
      </c>
      <c r="I1289" s="207"/>
      <c r="J1289" s="50"/>
      <c r="K1289" s="50">
        <f>IFERROR(__xludf.DUMMYFUNCTION("""COMPUTED_VALUE"""),2.0)</f>
        <v>2</v>
      </c>
      <c r="L1289" s="6"/>
      <c r="M1289" s="55"/>
      <c r="N1289" s="55">
        <f>IFERROR(__xludf.DUMMYFUNCTION("""COMPUTED_VALUE"""),1.0)</f>
        <v>1</v>
      </c>
      <c r="O1289" s="55" t="str">
        <f t="shared" si="3"/>
        <v/>
      </c>
      <c r="P1289" s="209"/>
      <c r="Q1289" s="75" t="b">
        <f>VLOOKUP($B1289,'Run Reconcile'!B$2:P1679,15,FALSE)</f>
        <v>1</v>
      </c>
      <c r="R1289" s="211" t="str">
        <f t="array" ref="R1289">IF($Q1289, INDEX('Run Reconcile'!A$2:A1679,MATCH(B1289,'Run Reconcile'!B$2:B1679,0),1),IFERROR(0/0,""))</f>
        <v>RUN-COMB_2022-07-07_APS-001</v>
      </c>
      <c r="S1289" s="165" t="str">
        <f t="shared" ref="S1289:T1289" si="2577">IF(COUNTIF(W$2:W1679, $A1289) &gt; 0,TRUE,IFERROR(0/0,""))</f>
        <v/>
      </c>
      <c r="T1289" s="165" t="str">
        <f t="shared" si="2577"/>
        <v/>
      </c>
      <c r="U1289" s="147" t="str">
        <f t="array" ref="U1289">IF(ISBLANK($R1289), IF($S1289,VLOOKUP($B1289+1,'RFR Data - preExcl'!$BF$2:$BG1679,2,FALSE),IF($T1289,INDEX('RFR Data - preExcl'!$BF$2:$BG1679,MATCH($B1289,'RFR Data - preExcl'!$BF$2:$BF1679,0)+1,2),VLOOKUP($B1289,'RFR Data - preExcl'!$BF$2:$BG1679,2,FALSE))),IFERROR(0/0,""))</f>
        <v/>
      </c>
      <c r="V1289" s="212" t="str">
        <f t="shared" si="5"/>
        <v>RUN-COMB_2022-07-07_APS-001</v>
      </c>
      <c r="W1289" s="51"/>
      <c r="X1289" s="51"/>
      <c r="Y1289" s="147" t="str">
        <f t="shared" ref="Y1289:Z1289" si="2578">IF(_xlfn.ISFORMULA(S1289),IFERROR(0/0,""),TRUE)</f>
        <v/>
      </c>
      <c r="Z1289" s="147" t="str">
        <f t="shared" si="2578"/>
        <v/>
      </c>
    </row>
    <row r="1290">
      <c r="A1290" s="6" t="str">
        <f>IFERROR(__xludf.DUMMYFUNCTION("""COMPUTED_VALUE"""),"FM2757")</f>
        <v>FM2757</v>
      </c>
      <c r="B1290" s="206">
        <f>IFERROR(__xludf.DUMMYFUNCTION("""COMPUTED_VALUE"""),44749.0)</f>
        <v>44749</v>
      </c>
      <c r="C1290" s="207">
        <f>IFERROR(__xludf.DUMMYFUNCTION("""COMPUTED_VALUE"""),0.27671296296296294)</f>
        <v>0.276712963</v>
      </c>
      <c r="D1290" s="50"/>
      <c r="E1290" s="58"/>
      <c r="F1290" s="58"/>
      <c r="G1290" s="58" t="str">
        <f>IFERROR(__xludf.DUMMYFUNCTION("""COMPUTED_VALUE"""),"Null")</f>
        <v>Null</v>
      </c>
      <c r="H1290" s="206" t="str">
        <f>IFERROR(__xludf.DUMMYFUNCTION("""COMPUTED_VALUE"""),"Negative")</f>
        <v>Negative</v>
      </c>
      <c r="I1290" s="207"/>
      <c r="J1290" s="50"/>
      <c r="K1290" s="50">
        <f>IFERROR(__xludf.DUMMYFUNCTION("""COMPUTED_VALUE"""),2.0)</f>
        <v>2</v>
      </c>
      <c r="L1290" s="6"/>
      <c r="M1290" s="55"/>
      <c r="N1290" s="55">
        <f>IFERROR(__xludf.DUMMYFUNCTION("""COMPUTED_VALUE"""),1.0)</f>
        <v>1</v>
      </c>
      <c r="O1290" s="55" t="str">
        <f t="shared" si="3"/>
        <v/>
      </c>
      <c r="P1290" s="209"/>
      <c r="Q1290" s="75" t="b">
        <f>VLOOKUP($B1290,'Run Reconcile'!B$2:P1679,15,FALSE)</f>
        <v>1</v>
      </c>
      <c r="R1290" s="211" t="str">
        <f t="array" ref="R1290">IF($Q1290, INDEX('Run Reconcile'!A$2:A1679,MATCH(B1290,'Run Reconcile'!B$2:B1679,0),1),IFERROR(0/0,""))</f>
        <v>RUN-COMB_2022-07-07_APS-001</v>
      </c>
      <c r="S1290" s="165" t="str">
        <f t="shared" ref="S1290:T1290" si="2579">IF(COUNTIF(W$2:W1679, $A1290) &gt; 0,TRUE,IFERROR(0/0,""))</f>
        <v/>
      </c>
      <c r="T1290" s="165" t="str">
        <f t="shared" si="2579"/>
        <v/>
      </c>
      <c r="U1290" s="147" t="str">
        <f t="array" ref="U1290">IF(ISBLANK($R1290), IF($S1290,VLOOKUP($B1290+1,'RFR Data - preExcl'!$BF$2:$BG1679,2,FALSE),IF($T1290,INDEX('RFR Data - preExcl'!$BF$2:$BG1679,MATCH($B1290,'RFR Data - preExcl'!$BF$2:$BF1679,0)+1,2),VLOOKUP($B1290,'RFR Data - preExcl'!$BF$2:$BG1679,2,FALSE))),IFERROR(0/0,""))</f>
        <v/>
      </c>
      <c r="V1290" s="212" t="str">
        <f t="shared" si="5"/>
        <v>RUN-COMB_2022-07-07_APS-001</v>
      </c>
      <c r="W1290" s="51"/>
      <c r="X1290" s="51"/>
      <c r="Y1290" s="147" t="str">
        <f t="shared" ref="Y1290:Z1290" si="2580">IF(_xlfn.ISFORMULA(S1290),IFERROR(0/0,""),TRUE)</f>
        <v/>
      </c>
      <c r="Z1290" s="147" t="str">
        <f t="shared" si="2580"/>
        <v/>
      </c>
    </row>
    <row r="1291">
      <c r="A1291" s="6" t="str">
        <f>IFERROR(__xludf.DUMMYFUNCTION("""COMPUTED_VALUE"""),"FM2756")</f>
        <v>FM2756</v>
      </c>
      <c r="B1291" s="206">
        <f>IFERROR(__xludf.DUMMYFUNCTION("""COMPUTED_VALUE"""),44749.0)</f>
        <v>44749</v>
      </c>
      <c r="C1291" s="207">
        <f>IFERROR(__xludf.DUMMYFUNCTION("""COMPUTED_VALUE"""),0.2771296296296296)</f>
        <v>0.2771296296</v>
      </c>
      <c r="D1291" s="50"/>
      <c r="E1291" s="58"/>
      <c r="F1291" s="58"/>
      <c r="G1291" s="58" t="str">
        <f>IFERROR(__xludf.DUMMYFUNCTION("""COMPUTED_VALUE"""),"Null")</f>
        <v>Null</v>
      </c>
      <c r="H1291" s="206" t="str">
        <f>IFERROR(__xludf.DUMMYFUNCTION("""COMPUTED_VALUE"""),"Negative")</f>
        <v>Negative</v>
      </c>
      <c r="I1291" s="207"/>
      <c r="J1291" s="50"/>
      <c r="K1291" s="50">
        <f>IFERROR(__xludf.DUMMYFUNCTION("""COMPUTED_VALUE"""),2.0)</f>
        <v>2</v>
      </c>
      <c r="L1291" s="6"/>
      <c r="M1291" s="55"/>
      <c r="N1291" s="55">
        <f>IFERROR(__xludf.DUMMYFUNCTION("""COMPUTED_VALUE"""),1.0)</f>
        <v>1</v>
      </c>
      <c r="O1291" s="55" t="str">
        <f t="shared" si="3"/>
        <v/>
      </c>
      <c r="P1291" s="209"/>
      <c r="Q1291" s="75" t="b">
        <f>VLOOKUP($B1291,'Run Reconcile'!B$2:P1679,15,FALSE)</f>
        <v>1</v>
      </c>
      <c r="R1291" s="211" t="str">
        <f t="array" ref="R1291">IF($Q1291, INDEX('Run Reconcile'!A$2:A1679,MATCH(B1291,'Run Reconcile'!B$2:B1679,0),1),IFERROR(0/0,""))</f>
        <v>RUN-COMB_2022-07-07_APS-001</v>
      </c>
      <c r="S1291" s="165" t="str">
        <f t="shared" ref="S1291:T1291" si="2581">IF(COUNTIF(W$2:W1679, $A1291) &gt; 0,TRUE,IFERROR(0/0,""))</f>
        <v/>
      </c>
      <c r="T1291" s="165" t="str">
        <f t="shared" si="2581"/>
        <v/>
      </c>
      <c r="U1291" s="147" t="str">
        <f t="array" ref="U1291">IF(ISBLANK($R1291), IF($S1291,VLOOKUP($B1291+1,'RFR Data - preExcl'!$BF$2:$BG1679,2,FALSE),IF($T1291,INDEX('RFR Data - preExcl'!$BF$2:$BG1679,MATCH($B1291,'RFR Data - preExcl'!$BF$2:$BF1679,0)+1,2),VLOOKUP($B1291,'RFR Data - preExcl'!$BF$2:$BG1679,2,FALSE))),IFERROR(0/0,""))</f>
        <v/>
      </c>
      <c r="V1291" s="212" t="str">
        <f t="shared" si="5"/>
        <v>RUN-COMB_2022-07-07_APS-001</v>
      </c>
      <c r="W1291" s="51"/>
      <c r="X1291" s="51"/>
      <c r="Y1291" s="147" t="str">
        <f t="shared" ref="Y1291:Z1291" si="2582">IF(_xlfn.ISFORMULA(S1291),IFERROR(0/0,""),TRUE)</f>
        <v/>
      </c>
      <c r="Z1291" s="147" t="str">
        <f t="shared" si="2582"/>
        <v/>
      </c>
    </row>
    <row r="1292">
      <c r="A1292" s="6" t="str">
        <f>IFERROR(__xludf.DUMMYFUNCTION("""COMPUTED_VALUE"""),"FM2758")</f>
        <v>FM2758</v>
      </c>
      <c r="B1292" s="206">
        <f>IFERROR(__xludf.DUMMYFUNCTION("""COMPUTED_VALUE"""),44749.0)</f>
        <v>44749</v>
      </c>
      <c r="C1292" s="207">
        <f>IFERROR(__xludf.DUMMYFUNCTION("""COMPUTED_VALUE"""),0.2773726851851852)</f>
        <v>0.2773726852</v>
      </c>
      <c r="D1292" s="50"/>
      <c r="E1292" s="58"/>
      <c r="F1292" s="58"/>
      <c r="G1292" s="58" t="str">
        <f>IFERROR(__xludf.DUMMYFUNCTION("""COMPUTED_VALUE"""),"Null")</f>
        <v>Null</v>
      </c>
      <c r="H1292" s="206" t="str">
        <f>IFERROR(__xludf.DUMMYFUNCTION("""COMPUTED_VALUE"""),"Negative")</f>
        <v>Negative</v>
      </c>
      <c r="I1292" s="207"/>
      <c r="J1292" s="50"/>
      <c r="K1292" s="50">
        <f>IFERROR(__xludf.DUMMYFUNCTION("""COMPUTED_VALUE"""),2.0)</f>
        <v>2</v>
      </c>
      <c r="L1292" s="6"/>
      <c r="M1292" s="55"/>
      <c r="N1292" s="55">
        <f>IFERROR(__xludf.DUMMYFUNCTION("""COMPUTED_VALUE"""),1.0)</f>
        <v>1</v>
      </c>
      <c r="O1292" s="55" t="str">
        <f t="shared" si="3"/>
        <v/>
      </c>
      <c r="P1292" s="209"/>
      <c r="Q1292" s="75" t="b">
        <f>VLOOKUP($B1292,'Run Reconcile'!B$2:P1679,15,FALSE)</f>
        <v>1</v>
      </c>
      <c r="R1292" s="211" t="str">
        <f t="array" ref="R1292">IF($Q1292, INDEX('Run Reconcile'!A$2:A1679,MATCH(B1292,'Run Reconcile'!B$2:B1679,0),1),IFERROR(0/0,""))</f>
        <v>RUN-COMB_2022-07-07_APS-001</v>
      </c>
      <c r="S1292" s="165" t="str">
        <f t="shared" ref="S1292:T1292" si="2583">IF(COUNTIF(W$2:W1679, $A1292) &gt; 0,TRUE,IFERROR(0/0,""))</f>
        <v/>
      </c>
      <c r="T1292" s="165" t="str">
        <f t="shared" si="2583"/>
        <v/>
      </c>
      <c r="U1292" s="147" t="str">
        <f t="array" ref="U1292">IF(ISBLANK($R1292), IF($S1292,VLOOKUP($B1292+1,'RFR Data - preExcl'!$BF$2:$BG1679,2,FALSE),IF($T1292,INDEX('RFR Data - preExcl'!$BF$2:$BG1679,MATCH($B1292,'RFR Data - preExcl'!$BF$2:$BF1679,0)+1,2),VLOOKUP($B1292,'RFR Data - preExcl'!$BF$2:$BG1679,2,FALSE))),IFERROR(0/0,""))</f>
        <v/>
      </c>
      <c r="V1292" s="212" t="str">
        <f t="shared" si="5"/>
        <v>RUN-COMB_2022-07-07_APS-001</v>
      </c>
      <c r="W1292" s="51"/>
      <c r="X1292" s="51"/>
      <c r="Y1292" s="147" t="str">
        <f t="shared" ref="Y1292:Z1292" si="2584">IF(_xlfn.ISFORMULA(S1292),IFERROR(0/0,""),TRUE)</f>
        <v/>
      </c>
      <c r="Z1292" s="147" t="str">
        <f t="shared" si="2584"/>
        <v/>
      </c>
    </row>
    <row r="1293">
      <c r="A1293" s="6" t="str">
        <f>IFERROR(__xludf.DUMMYFUNCTION("""COMPUTED_VALUE"""),"FM2780")</f>
        <v>FM2780</v>
      </c>
      <c r="B1293" s="206">
        <f>IFERROR(__xludf.DUMMYFUNCTION("""COMPUTED_VALUE"""),44749.0)</f>
        <v>44749</v>
      </c>
      <c r="C1293" s="207">
        <f>IFERROR(__xludf.DUMMYFUNCTION("""COMPUTED_VALUE"""),0.27773148148148147)</f>
        <v>0.2777314815</v>
      </c>
      <c r="D1293" s="50"/>
      <c r="E1293" s="58"/>
      <c r="F1293" s="58"/>
      <c r="G1293" s="58" t="str">
        <f>IFERROR(__xludf.DUMMYFUNCTION("""COMPUTED_VALUE"""),"Null")</f>
        <v>Null</v>
      </c>
      <c r="H1293" s="206" t="str">
        <f>IFERROR(__xludf.DUMMYFUNCTION("""COMPUTED_VALUE"""),"Negative")</f>
        <v>Negative</v>
      </c>
      <c r="I1293" s="207"/>
      <c r="J1293" s="50"/>
      <c r="K1293" s="50">
        <f>IFERROR(__xludf.DUMMYFUNCTION("""COMPUTED_VALUE"""),2.0)</f>
        <v>2</v>
      </c>
      <c r="L1293" s="6"/>
      <c r="M1293" s="55"/>
      <c r="N1293" s="55">
        <f>IFERROR(__xludf.DUMMYFUNCTION("""COMPUTED_VALUE"""),1.0)</f>
        <v>1</v>
      </c>
      <c r="O1293" s="55" t="str">
        <f t="shared" si="3"/>
        <v/>
      </c>
      <c r="P1293" s="209"/>
      <c r="Q1293" s="75" t="b">
        <f>VLOOKUP($B1293,'Run Reconcile'!B$2:P1679,15,FALSE)</f>
        <v>1</v>
      </c>
      <c r="R1293" s="211" t="str">
        <f t="array" ref="R1293">IF($Q1293, INDEX('Run Reconcile'!A$2:A1679,MATCH(B1293,'Run Reconcile'!B$2:B1679,0),1),IFERROR(0/0,""))</f>
        <v>RUN-COMB_2022-07-07_APS-001</v>
      </c>
      <c r="S1293" s="165" t="str">
        <f t="shared" ref="S1293:T1293" si="2585">IF(COUNTIF(W$2:W1679, $A1293) &gt; 0,TRUE,IFERROR(0/0,""))</f>
        <v/>
      </c>
      <c r="T1293" s="165" t="str">
        <f t="shared" si="2585"/>
        <v/>
      </c>
      <c r="U1293" s="147" t="str">
        <f t="array" ref="U1293">IF(ISBLANK($R1293), IF($S1293,VLOOKUP($B1293+1,'RFR Data - preExcl'!$BF$2:$BG1679,2,FALSE),IF($T1293,INDEX('RFR Data - preExcl'!$BF$2:$BG1679,MATCH($B1293,'RFR Data - preExcl'!$BF$2:$BF1679,0)+1,2),VLOOKUP($B1293,'RFR Data - preExcl'!$BF$2:$BG1679,2,FALSE))),IFERROR(0/0,""))</f>
        <v/>
      </c>
      <c r="V1293" s="212" t="str">
        <f t="shared" si="5"/>
        <v>RUN-COMB_2022-07-07_APS-001</v>
      </c>
      <c r="W1293" s="51"/>
      <c r="X1293" s="51"/>
      <c r="Y1293" s="147" t="str">
        <f t="shared" ref="Y1293:Z1293" si="2586">IF(_xlfn.ISFORMULA(S1293),IFERROR(0/0,""),TRUE)</f>
        <v/>
      </c>
      <c r="Z1293" s="147" t="str">
        <f t="shared" si="2586"/>
        <v/>
      </c>
    </row>
    <row r="1294">
      <c r="A1294" s="6" t="str">
        <f>IFERROR(__xludf.DUMMYFUNCTION("""COMPUTED_VALUE"""),"FM2708")</f>
        <v>FM2708</v>
      </c>
      <c r="B1294" s="206">
        <f>IFERROR(__xludf.DUMMYFUNCTION("""COMPUTED_VALUE"""),44749.0)</f>
        <v>44749</v>
      </c>
      <c r="C1294" s="207">
        <f>IFERROR(__xludf.DUMMYFUNCTION("""COMPUTED_VALUE"""),0.27806712962962965)</f>
        <v>0.2780671296</v>
      </c>
      <c r="D1294" s="50"/>
      <c r="E1294" s="58"/>
      <c r="F1294" s="58"/>
      <c r="G1294" s="58" t="str">
        <f>IFERROR(__xludf.DUMMYFUNCTION("""COMPUTED_VALUE"""),"Null")</f>
        <v>Null</v>
      </c>
      <c r="H1294" s="206" t="str">
        <f>IFERROR(__xludf.DUMMYFUNCTION("""COMPUTED_VALUE"""),"Negative")</f>
        <v>Negative</v>
      </c>
      <c r="I1294" s="207"/>
      <c r="J1294" s="50"/>
      <c r="K1294" s="50">
        <f>IFERROR(__xludf.DUMMYFUNCTION("""COMPUTED_VALUE"""),2.0)</f>
        <v>2</v>
      </c>
      <c r="L1294" s="6"/>
      <c r="M1294" s="55"/>
      <c r="N1294" s="55">
        <f>IFERROR(__xludf.DUMMYFUNCTION("""COMPUTED_VALUE"""),1.0)</f>
        <v>1</v>
      </c>
      <c r="O1294" s="55" t="str">
        <f t="shared" si="3"/>
        <v/>
      </c>
      <c r="P1294" s="209"/>
      <c r="Q1294" s="75" t="b">
        <f>VLOOKUP($B1294,'Run Reconcile'!B$2:P1679,15,FALSE)</f>
        <v>1</v>
      </c>
      <c r="R1294" s="211" t="str">
        <f t="array" ref="R1294">IF($Q1294, INDEX('Run Reconcile'!A$2:A1679,MATCH(B1294,'Run Reconcile'!B$2:B1679,0),1),IFERROR(0/0,""))</f>
        <v>RUN-COMB_2022-07-07_APS-001</v>
      </c>
      <c r="S1294" s="165" t="str">
        <f t="shared" ref="S1294:T1294" si="2587">IF(COUNTIF(W$2:W1679, $A1294) &gt; 0,TRUE,IFERROR(0/0,""))</f>
        <v/>
      </c>
      <c r="T1294" s="165" t="str">
        <f t="shared" si="2587"/>
        <v/>
      </c>
      <c r="U1294" s="147" t="str">
        <f t="array" ref="U1294">IF(ISBLANK($R1294), IF($S1294,VLOOKUP($B1294+1,'RFR Data - preExcl'!$BF$2:$BG1679,2,FALSE),IF($T1294,INDEX('RFR Data - preExcl'!$BF$2:$BG1679,MATCH($B1294,'RFR Data - preExcl'!$BF$2:$BF1679,0)+1,2),VLOOKUP($B1294,'RFR Data - preExcl'!$BF$2:$BG1679,2,FALSE))),IFERROR(0/0,""))</f>
        <v/>
      </c>
      <c r="V1294" s="212" t="str">
        <f t="shared" si="5"/>
        <v>RUN-COMB_2022-07-07_APS-001</v>
      </c>
      <c r="W1294" s="51"/>
      <c r="X1294" s="51"/>
      <c r="Y1294" s="147" t="str">
        <f t="shared" ref="Y1294:Z1294" si="2588">IF(_xlfn.ISFORMULA(S1294),IFERROR(0/0,""),TRUE)</f>
        <v/>
      </c>
      <c r="Z1294" s="147" t="str">
        <f t="shared" si="2588"/>
        <v/>
      </c>
    </row>
    <row r="1295">
      <c r="A1295" s="6" t="str">
        <f>IFERROR(__xludf.DUMMYFUNCTION("""COMPUTED_VALUE"""),"FM2813")</f>
        <v>FM2813</v>
      </c>
      <c r="B1295" s="206">
        <f>IFERROR(__xludf.DUMMYFUNCTION("""COMPUTED_VALUE"""),44749.0)</f>
        <v>44749</v>
      </c>
      <c r="C1295" s="207">
        <f>IFERROR(__xludf.DUMMYFUNCTION("""COMPUTED_VALUE"""),0.2783449074074074)</f>
        <v>0.2783449074</v>
      </c>
      <c r="D1295" s="50"/>
      <c r="E1295" s="58"/>
      <c r="F1295" s="58"/>
      <c r="G1295" s="58" t="str">
        <f>IFERROR(__xludf.DUMMYFUNCTION("""COMPUTED_VALUE"""),"Null")</f>
        <v>Null</v>
      </c>
      <c r="H1295" s="206" t="str">
        <f>IFERROR(__xludf.DUMMYFUNCTION("""COMPUTED_VALUE"""),"Negative")</f>
        <v>Negative</v>
      </c>
      <c r="I1295" s="207"/>
      <c r="J1295" s="50"/>
      <c r="K1295" s="50">
        <f>IFERROR(__xludf.DUMMYFUNCTION("""COMPUTED_VALUE"""),2.0)</f>
        <v>2</v>
      </c>
      <c r="L1295" s="6"/>
      <c r="M1295" s="55"/>
      <c r="N1295" s="55">
        <f>IFERROR(__xludf.DUMMYFUNCTION("""COMPUTED_VALUE"""),1.0)</f>
        <v>1</v>
      </c>
      <c r="O1295" s="55" t="str">
        <f t="shared" si="3"/>
        <v/>
      </c>
      <c r="P1295" s="209"/>
      <c r="Q1295" s="75" t="b">
        <f>VLOOKUP($B1295,'Run Reconcile'!B$2:P1679,15,FALSE)</f>
        <v>1</v>
      </c>
      <c r="R1295" s="211" t="str">
        <f t="array" ref="R1295">IF($Q1295, INDEX('Run Reconcile'!A$2:A1679,MATCH(B1295,'Run Reconcile'!B$2:B1679,0),1),IFERROR(0/0,""))</f>
        <v>RUN-COMB_2022-07-07_APS-001</v>
      </c>
      <c r="S1295" s="165" t="str">
        <f t="shared" ref="S1295:T1295" si="2589">IF(COUNTIF(W$2:W1679, $A1295) &gt; 0,TRUE,IFERROR(0/0,""))</f>
        <v/>
      </c>
      <c r="T1295" s="165" t="str">
        <f t="shared" si="2589"/>
        <v/>
      </c>
      <c r="U1295" s="147" t="str">
        <f t="array" ref="U1295">IF(ISBLANK($R1295), IF($S1295,VLOOKUP($B1295+1,'RFR Data - preExcl'!$BF$2:$BG1679,2,FALSE),IF($T1295,INDEX('RFR Data - preExcl'!$BF$2:$BG1679,MATCH($B1295,'RFR Data - preExcl'!$BF$2:$BF1679,0)+1,2),VLOOKUP($B1295,'RFR Data - preExcl'!$BF$2:$BG1679,2,FALSE))),IFERROR(0/0,""))</f>
        <v/>
      </c>
      <c r="V1295" s="212" t="str">
        <f t="shared" si="5"/>
        <v>RUN-COMB_2022-07-07_APS-001</v>
      </c>
      <c r="W1295" s="51"/>
      <c r="X1295" s="51"/>
      <c r="Y1295" s="147" t="str">
        <f t="shared" ref="Y1295:Z1295" si="2590">IF(_xlfn.ISFORMULA(S1295),IFERROR(0/0,""),TRUE)</f>
        <v/>
      </c>
      <c r="Z1295" s="147" t="str">
        <f t="shared" si="2590"/>
        <v/>
      </c>
    </row>
    <row r="1296">
      <c r="A1296" s="6" t="str">
        <f>IFERROR(__xludf.DUMMYFUNCTION("""COMPUTED_VALUE"""),"FM2714")</f>
        <v>FM2714</v>
      </c>
      <c r="B1296" s="206">
        <f>IFERROR(__xludf.DUMMYFUNCTION("""COMPUTED_VALUE"""),44749.0)</f>
        <v>44749</v>
      </c>
      <c r="C1296" s="207">
        <f>IFERROR(__xludf.DUMMYFUNCTION("""COMPUTED_VALUE"""),0.2798148148148148)</f>
        <v>0.2798148148</v>
      </c>
      <c r="D1296" s="50"/>
      <c r="E1296" s="58"/>
      <c r="F1296" s="58"/>
      <c r="G1296" s="58" t="str">
        <f>IFERROR(__xludf.DUMMYFUNCTION("""COMPUTED_VALUE"""),"Null")</f>
        <v>Null</v>
      </c>
      <c r="H1296" s="206" t="str">
        <f>IFERROR(__xludf.DUMMYFUNCTION("""COMPUTED_VALUE"""),"Negative")</f>
        <v>Negative</v>
      </c>
      <c r="I1296" s="207"/>
      <c r="J1296" s="50"/>
      <c r="K1296" s="50">
        <f>IFERROR(__xludf.DUMMYFUNCTION("""COMPUTED_VALUE"""),2.0)</f>
        <v>2</v>
      </c>
      <c r="L1296" s="6"/>
      <c r="M1296" s="55"/>
      <c r="N1296" s="55">
        <f>IFERROR(__xludf.DUMMYFUNCTION("""COMPUTED_VALUE"""),1.0)</f>
        <v>1</v>
      </c>
      <c r="O1296" s="55" t="str">
        <f t="shared" si="3"/>
        <v/>
      </c>
      <c r="P1296" s="209"/>
      <c r="Q1296" s="75" t="b">
        <f>VLOOKUP($B1296,'Run Reconcile'!B$2:P1679,15,FALSE)</f>
        <v>1</v>
      </c>
      <c r="R1296" s="211" t="str">
        <f t="array" ref="R1296">IF($Q1296, INDEX('Run Reconcile'!A$2:A1679,MATCH(B1296,'Run Reconcile'!B$2:B1679,0),1),IFERROR(0/0,""))</f>
        <v>RUN-COMB_2022-07-07_APS-001</v>
      </c>
      <c r="S1296" s="165" t="str">
        <f t="shared" ref="S1296:T1296" si="2591">IF(COUNTIF(W$2:W1679, $A1296) &gt; 0,TRUE,IFERROR(0/0,""))</f>
        <v/>
      </c>
      <c r="T1296" s="165" t="str">
        <f t="shared" si="2591"/>
        <v/>
      </c>
      <c r="U1296" s="147" t="str">
        <f t="array" ref="U1296">IF(ISBLANK($R1296), IF($S1296,VLOOKUP($B1296+1,'RFR Data - preExcl'!$BF$2:$BG1679,2,FALSE),IF($T1296,INDEX('RFR Data - preExcl'!$BF$2:$BG1679,MATCH($B1296,'RFR Data - preExcl'!$BF$2:$BF1679,0)+1,2),VLOOKUP($B1296,'RFR Data - preExcl'!$BF$2:$BG1679,2,FALSE))),IFERROR(0/0,""))</f>
        <v/>
      </c>
      <c r="V1296" s="212" t="str">
        <f t="shared" si="5"/>
        <v>RUN-COMB_2022-07-07_APS-001</v>
      </c>
      <c r="W1296" s="51"/>
      <c r="X1296" s="51"/>
      <c r="Y1296" s="147" t="str">
        <f t="shared" ref="Y1296:Z1296" si="2592">IF(_xlfn.ISFORMULA(S1296),IFERROR(0/0,""),TRUE)</f>
        <v/>
      </c>
      <c r="Z1296" s="147" t="str">
        <f t="shared" si="2592"/>
        <v/>
      </c>
    </row>
    <row r="1297">
      <c r="A1297" s="6" t="str">
        <f>IFERROR(__xludf.DUMMYFUNCTION("""COMPUTED_VALUE"""),"FM2766")</f>
        <v>FM2766</v>
      </c>
      <c r="B1297" s="206">
        <f>IFERROR(__xludf.DUMMYFUNCTION("""COMPUTED_VALUE"""),44749.0)</f>
        <v>44749</v>
      </c>
      <c r="C1297" s="207">
        <f>IFERROR(__xludf.DUMMYFUNCTION("""COMPUTED_VALUE"""),0.2802777777777778)</f>
        <v>0.2802777778</v>
      </c>
      <c r="D1297" s="50"/>
      <c r="E1297" s="58"/>
      <c r="F1297" s="58"/>
      <c r="G1297" s="58" t="str">
        <f>IFERROR(__xludf.DUMMYFUNCTION("""COMPUTED_VALUE"""),"Null")</f>
        <v>Null</v>
      </c>
      <c r="H1297" s="206" t="str">
        <f>IFERROR(__xludf.DUMMYFUNCTION("""COMPUTED_VALUE"""),"Negative")</f>
        <v>Negative</v>
      </c>
      <c r="I1297" s="207"/>
      <c r="J1297" s="50"/>
      <c r="K1297" s="50">
        <f>IFERROR(__xludf.DUMMYFUNCTION("""COMPUTED_VALUE"""),2.0)</f>
        <v>2</v>
      </c>
      <c r="L1297" s="6"/>
      <c r="M1297" s="55"/>
      <c r="N1297" s="55">
        <f>IFERROR(__xludf.DUMMYFUNCTION("""COMPUTED_VALUE"""),1.0)</f>
        <v>1</v>
      </c>
      <c r="O1297" s="55" t="str">
        <f t="shared" si="3"/>
        <v/>
      </c>
      <c r="P1297" s="209"/>
      <c r="Q1297" s="75" t="b">
        <f>VLOOKUP($B1297,'Run Reconcile'!B$2:P1679,15,FALSE)</f>
        <v>1</v>
      </c>
      <c r="R1297" s="211" t="str">
        <f t="array" ref="R1297">IF($Q1297, INDEX('Run Reconcile'!A$2:A1679,MATCH(B1297,'Run Reconcile'!B$2:B1679,0),1),IFERROR(0/0,""))</f>
        <v>RUN-COMB_2022-07-07_APS-001</v>
      </c>
      <c r="S1297" s="165" t="str">
        <f t="shared" ref="S1297:T1297" si="2593">IF(COUNTIF(W$2:W1679, $A1297) &gt; 0,TRUE,IFERROR(0/0,""))</f>
        <v/>
      </c>
      <c r="T1297" s="165" t="str">
        <f t="shared" si="2593"/>
        <v/>
      </c>
      <c r="U1297" s="147" t="str">
        <f t="array" ref="U1297">IF(ISBLANK($R1297), IF($S1297,VLOOKUP($B1297+1,'RFR Data - preExcl'!$BF$2:$BG1679,2,FALSE),IF($T1297,INDEX('RFR Data - preExcl'!$BF$2:$BG1679,MATCH($B1297,'RFR Data - preExcl'!$BF$2:$BF1679,0)+1,2),VLOOKUP($B1297,'RFR Data - preExcl'!$BF$2:$BG1679,2,FALSE))),IFERROR(0/0,""))</f>
        <v/>
      </c>
      <c r="V1297" s="212" t="str">
        <f t="shared" si="5"/>
        <v>RUN-COMB_2022-07-07_APS-001</v>
      </c>
      <c r="W1297" s="51"/>
      <c r="X1297" s="51"/>
      <c r="Y1297" s="147" t="str">
        <f t="shared" ref="Y1297:Z1297" si="2594">IF(_xlfn.ISFORMULA(S1297),IFERROR(0/0,""),TRUE)</f>
        <v/>
      </c>
      <c r="Z1297" s="147" t="str">
        <f t="shared" si="2594"/>
        <v/>
      </c>
    </row>
    <row r="1298">
      <c r="A1298" s="6" t="str">
        <f>IFERROR(__xludf.DUMMYFUNCTION("""COMPUTED_VALUE"""),"FM2724")</f>
        <v>FM2724</v>
      </c>
      <c r="B1298" s="206">
        <f>IFERROR(__xludf.DUMMYFUNCTION("""COMPUTED_VALUE"""),44749.0)</f>
        <v>44749</v>
      </c>
      <c r="C1298" s="207">
        <f>IFERROR(__xludf.DUMMYFUNCTION("""COMPUTED_VALUE"""),0.28056712962962965)</f>
        <v>0.2805671296</v>
      </c>
      <c r="D1298" s="50"/>
      <c r="E1298" s="58"/>
      <c r="F1298" s="58"/>
      <c r="G1298" s="58" t="str">
        <f>IFERROR(__xludf.DUMMYFUNCTION("""COMPUTED_VALUE"""),"Null")</f>
        <v>Null</v>
      </c>
      <c r="H1298" s="206" t="str">
        <f>IFERROR(__xludf.DUMMYFUNCTION("""COMPUTED_VALUE"""),"Negative")</f>
        <v>Negative</v>
      </c>
      <c r="I1298" s="207"/>
      <c r="J1298" s="50"/>
      <c r="K1298" s="50">
        <f>IFERROR(__xludf.DUMMYFUNCTION("""COMPUTED_VALUE"""),2.0)</f>
        <v>2</v>
      </c>
      <c r="L1298" s="6"/>
      <c r="M1298" s="55"/>
      <c r="N1298" s="55">
        <f>IFERROR(__xludf.DUMMYFUNCTION("""COMPUTED_VALUE"""),1.0)</f>
        <v>1</v>
      </c>
      <c r="O1298" s="55" t="str">
        <f t="shared" si="3"/>
        <v/>
      </c>
      <c r="P1298" s="209"/>
      <c r="Q1298" s="75" t="b">
        <f>VLOOKUP($B1298,'Run Reconcile'!B$2:P1679,15,FALSE)</f>
        <v>1</v>
      </c>
      <c r="R1298" s="211" t="str">
        <f t="array" ref="R1298">IF($Q1298, INDEX('Run Reconcile'!A$2:A1679,MATCH(B1298,'Run Reconcile'!B$2:B1679,0),1),IFERROR(0/0,""))</f>
        <v>RUN-COMB_2022-07-07_APS-001</v>
      </c>
      <c r="S1298" s="165" t="str">
        <f t="shared" ref="S1298:T1298" si="2595">IF(COUNTIF(W$2:W1679, $A1298) &gt; 0,TRUE,IFERROR(0/0,""))</f>
        <v/>
      </c>
      <c r="T1298" s="165" t="str">
        <f t="shared" si="2595"/>
        <v/>
      </c>
      <c r="U1298" s="147" t="str">
        <f t="array" ref="U1298">IF(ISBLANK($R1298), IF($S1298,VLOOKUP($B1298+1,'RFR Data - preExcl'!$BF$2:$BG1679,2,FALSE),IF($T1298,INDEX('RFR Data - preExcl'!$BF$2:$BG1679,MATCH($B1298,'RFR Data - preExcl'!$BF$2:$BF1679,0)+1,2),VLOOKUP($B1298,'RFR Data - preExcl'!$BF$2:$BG1679,2,FALSE))),IFERROR(0/0,""))</f>
        <v/>
      </c>
      <c r="V1298" s="212" t="str">
        <f t="shared" si="5"/>
        <v>RUN-COMB_2022-07-07_APS-001</v>
      </c>
      <c r="W1298" s="51"/>
      <c r="X1298" s="51"/>
      <c r="Y1298" s="147" t="str">
        <f t="shared" ref="Y1298:Z1298" si="2596">IF(_xlfn.ISFORMULA(S1298),IFERROR(0/0,""),TRUE)</f>
        <v/>
      </c>
      <c r="Z1298" s="147" t="str">
        <f t="shared" si="2596"/>
        <v/>
      </c>
    </row>
    <row r="1299">
      <c r="A1299" s="6" t="str">
        <f>IFERROR(__xludf.DUMMYFUNCTION("""COMPUTED_VALUE"""),"FM2794")</f>
        <v>FM2794</v>
      </c>
      <c r="B1299" s="206">
        <f>IFERROR(__xludf.DUMMYFUNCTION("""COMPUTED_VALUE"""),44749.0)</f>
        <v>44749</v>
      </c>
      <c r="C1299" s="207">
        <f>IFERROR(__xludf.DUMMYFUNCTION("""COMPUTED_VALUE"""),0.2809375)</f>
        <v>0.2809375</v>
      </c>
      <c r="D1299" s="50"/>
      <c r="E1299" s="58"/>
      <c r="F1299" s="58"/>
      <c r="G1299" s="58" t="str">
        <f>IFERROR(__xludf.DUMMYFUNCTION("""COMPUTED_VALUE"""),"Null")</f>
        <v>Null</v>
      </c>
      <c r="H1299" s="206" t="str">
        <f>IFERROR(__xludf.DUMMYFUNCTION("""COMPUTED_VALUE"""),"Negative")</f>
        <v>Negative</v>
      </c>
      <c r="I1299" s="207"/>
      <c r="J1299" s="50"/>
      <c r="K1299" s="50">
        <f>IFERROR(__xludf.DUMMYFUNCTION("""COMPUTED_VALUE"""),2.0)</f>
        <v>2</v>
      </c>
      <c r="L1299" s="6"/>
      <c r="M1299" s="55"/>
      <c r="N1299" s="55">
        <f>IFERROR(__xludf.DUMMYFUNCTION("""COMPUTED_VALUE"""),1.0)</f>
        <v>1</v>
      </c>
      <c r="O1299" s="55" t="str">
        <f t="shared" si="3"/>
        <v/>
      </c>
      <c r="P1299" s="209"/>
      <c r="Q1299" s="75" t="b">
        <f>VLOOKUP($B1299,'Run Reconcile'!B$2:P1679,15,FALSE)</f>
        <v>1</v>
      </c>
      <c r="R1299" s="211" t="str">
        <f t="array" ref="R1299">IF($Q1299, INDEX('Run Reconcile'!A$2:A1679,MATCH(B1299,'Run Reconcile'!B$2:B1679,0),1),IFERROR(0/0,""))</f>
        <v>RUN-COMB_2022-07-07_APS-001</v>
      </c>
      <c r="S1299" s="165" t="str">
        <f t="shared" ref="S1299:T1299" si="2597">IF(COUNTIF(W$2:W1679, $A1299) &gt; 0,TRUE,IFERROR(0/0,""))</f>
        <v/>
      </c>
      <c r="T1299" s="165" t="str">
        <f t="shared" si="2597"/>
        <v/>
      </c>
      <c r="U1299" s="147" t="str">
        <f t="array" ref="U1299">IF(ISBLANK($R1299), IF($S1299,VLOOKUP($B1299+1,'RFR Data - preExcl'!$BF$2:$BG1679,2,FALSE),IF($T1299,INDEX('RFR Data - preExcl'!$BF$2:$BG1679,MATCH($B1299,'RFR Data - preExcl'!$BF$2:$BF1679,0)+1,2),VLOOKUP($B1299,'RFR Data - preExcl'!$BF$2:$BG1679,2,FALSE))),IFERROR(0/0,""))</f>
        <v/>
      </c>
      <c r="V1299" s="212" t="str">
        <f t="shared" si="5"/>
        <v>RUN-COMB_2022-07-07_APS-001</v>
      </c>
      <c r="W1299" s="51"/>
      <c r="X1299" s="51"/>
      <c r="Y1299" s="147" t="str">
        <f t="shared" ref="Y1299:Z1299" si="2598">IF(_xlfn.ISFORMULA(S1299),IFERROR(0/0,""),TRUE)</f>
        <v/>
      </c>
      <c r="Z1299" s="147" t="str">
        <f t="shared" si="2598"/>
        <v/>
      </c>
    </row>
    <row r="1300">
      <c r="A1300" s="6" t="str">
        <f>IFERROR(__xludf.DUMMYFUNCTION("""COMPUTED_VALUE"""),"FM2723")</f>
        <v>FM2723</v>
      </c>
      <c r="B1300" s="206">
        <f>IFERROR(__xludf.DUMMYFUNCTION("""COMPUTED_VALUE"""),44749.0)</f>
        <v>44749</v>
      </c>
      <c r="C1300" s="207">
        <f>IFERROR(__xludf.DUMMYFUNCTION("""COMPUTED_VALUE"""),0.28153935185185186)</f>
        <v>0.2815393519</v>
      </c>
      <c r="D1300" s="50"/>
      <c r="E1300" s="58"/>
      <c r="F1300" s="58"/>
      <c r="G1300" s="58" t="str">
        <f>IFERROR(__xludf.DUMMYFUNCTION("""COMPUTED_VALUE"""),"Null")</f>
        <v>Null</v>
      </c>
      <c r="H1300" s="206" t="str">
        <f>IFERROR(__xludf.DUMMYFUNCTION("""COMPUTED_VALUE"""),"Negative")</f>
        <v>Negative</v>
      </c>
      <c r="I1300" s="207"/>
      <c r="J1300" s="50"/>
      <c r="K1300" s="50">
        <f>IFERROR(__xludf.DUMMYFUNCTION("""COMPUTED_VALUE"""),2.0)</f>
        <v>2</v>
      </c>
      <c r="L1300" s="6"/>
      <c r="M1300" s="55"/>
      <c r="N1300" s="55">
        <f>IFERROR(__xludf.DUMMYFUNCTION("""COMPUTED_VALUE"""),1.0)</f>
        <v>1</v>
      </c>
      <c r="O1300" s="55" t="str">
        <f t="shared" si="3"/>
        <v/>
      </c>
      <c r="P1300" s="209"/>
      <c r="Q1300" s="75" t="b">
        <f>VLOOKUP($B1300,'Run Reconcile'!B$2:P1679,15,FALSE)</f>
        <v>1</v>
      </c>
      <c r="R1300" s="211" t="str">
        <f t="array" ref="R1300">IF($Q1300, INDEX('Run Reconcile'!A$2:A1679,MATCH(B1300,'Run Reconcile'!B$2:B1679,0),1),IFERROR(0/0,""))</f>
        <v>RUN-COMB_2022-07-07_APS-001</v>
      </c>
      <c r="S1300" s="165" t="str">
        <f t="shared" ref="S1300:T1300" si="2599">IF(COUNTIF(W$2:W1679, $A1300) &gt; 0,TRUE,IFERROR(0/0,""))</f>
        <v/>
      </c>
      <c r="T1300" s="165" t="str">
        <f t="shared" si="2599"/>
        <v/>
      </c>
      <c r="U1300" s="147" t="str">
        <f t="array" ref="U1300">IF(ISBLANK($R1300), IF($S1300,VLOOKUP($B1300+1,'RFR Data - preExcl'!$BF$2:$BG1679,2,FALSE),IF($T1300,INDEX('RFR Data - preExcl'!$BF$2:$BG1679,MATCH($B1300,'RFR Data - preExcl'!$BF$2:$BF1679,0)+1,2),VLOOKUP($B1300,'RFR Data - preExcl'!$BF$2:$BG1679,2,FALSE))),IFERROR(0/0,""))</f>
        <v/>
      </c>
      <c r="V1300" s="212" t="str">
        <f t="shared" si="5"/>
        <v>RUN-COMB_2022-07-07_APS-001</v>
      </c>
      <c r="W1300" s="51"/>
      <c r="X1300" s="51"/>
      <c r="Y1300" s="147" t="str">
        <f t="shared" ref="Y1300:Z1300" si="2600">IF(_xlfn.ISFORMULA(S1300),IFERROR(0/0,""),TRUE)</f>
        <v/>
      </c>
      <c r="Z1300" s="147" t="str">
        <f t="shared" si="2600"/>
        <v/>
      </c>
    </row>
    <row r="1301">
      <c r="A1301" s="6" t="str">
        <f>IFERROR(__xludf.DUMMYFUNCTION("""COMPUTED_VALUE"""),"FM2788")</f>
        <v>FM2788</v>
      </c>
      <c r="B1301" s="206">
        <f>IFERROR(__xludf.DUMMYFUNCTION("""COMPUTED_VALUE"""),44749.0)</f>
        <v>44749</v>
      </c>
      <c r="C1301" s="207">
        <f>IFERROR(__xludf.DUMMYFUNCTION("""COMPUTED_VALUE"""),0.2818865740740741)</f>
        <v>0.2818865741</v>
      </c>
      <c r="D1301" s="50"/>
      <c r="E1301" s="58"/>
      <c r="F1301" s="58"/>
      <c r="G1301" s="58" t="str">
        <f>IFERROR(__xludf.DUMMYFUNCTION("""COMPUTED_VALUE"""),"Null")</f>
        <v>Null</v>
      </c>
      <c r="H1301" s="206" t="str">
        <f>IFERROR(__xludf.DUMMYFUNCTION("""COMPUTED_VALUE"""),"Negative")</f>
        <v>Negative</v>
      </c>
      <c r="I1301" s="207"/>
      <c r="J1301" s="50"/>
      <c r="K1301" s="50">
        <f>IFERROR(__xludf.DUMMYFUNCTION("""COMPUTED_VALUE"""),2.0)</f>
        <v>2</v>
      </c>
      <c r="L1301" s="6"/>
      <c r="M1301" s="55"/>
      <c r="N1301" s="55">
        <f>IFERROR(__xludf.DUMMYFUNCTION("""COMPUTED_VALUE"""),1.0)</f>
        <v>1</v>
      </c>
      <c r="O1301" s="55" t="str">
        <f t="shared" si="3"/>
        <v/>
      </c>
      <c r="P1301" s="209"/>
      <c r="Q1301" s="75" t="b">
        <f>VLOOKUP($B1301,'Run Reconcile'!B$2:P1679,15,FALSE)</f>
        <v>1</v>
      </c>
      <c r="R1301" s="211" t="str">
        <f t="array" ref="R1301">IF($Q1301, INDEX('Run Reconcile'!A$2:A1679,MATCH(B1301,'Run Reconcile'!B$2:B1679,0),1),IFERROR(0/0,""))</f>
        <v>RUN-COMB_2022-07-07_APS-001</v>
      </c>
      <c r="S1301" s="165" t="str">
        <f t="shared" ref="S1301:T1301" si="2601">IF(COUNTIF(W$2:W1679, $A1301) &gt; 0,TRUE,IFERROR(0/0,""))</f>
        <v/>
      </c>
      <c r="T1301" s="165" t="str">
        <f t="shared" si="2601"/>
        <v/>
      </c>
      <c r="U1301" s="147" t="str">
        <f t="array" ref="U1301">IF(ISBLANK($R1301), IF($S1301,VLOOKUP($B1301+1,'RFR Data - preExcl'!$BF$2:$BG1679,2,FALSE),IF($T1301,INDEX('RFR Data - preExcl'!$BF$2:$BG1679,MATCH($B1301,'RFR Data - preExcl'!$BF$2:$BF1679,0)+1,2),VLOOKUP($B1301,'RFR Data - preExcl'!$BF$2:$BG1679,2,FALSE))),IFERROR(0/0,""))</f>
        <v/>
      </c>
      <c r="V1301" s="212" t="str">
        <f t="shared" si="5"/>
        <v>RUN-COMB_2022-07-07_APS-001</v>
      </c>
      <c r="W1301" s="51"/>
      <c r="X1301" s="51"/>
      <c r="Y1301" s="147" t="str">
        <f t="shared" ref="Y1301:Z1301" si="2602">IF(_xlfn.ISFORMULA(S1301),IFERROR(0/0,""),TRUE)</f>
        <v/>
      </c>
      <c r="Z1301" s="147" t="str">
        <f t="shared" si="2602"/>
        <v/>
      </c>
    </row>
    <row r="1302">
      <c r="A1302" s="6" t="str">
        <f>IFERROR(__xludf.DUMMYFUNCTION("""COMPUTED_VALUE"""),"FM2703")</f>
        <v>FM2703</v>
      </c>
      <c r="B1302" s="206">
        <f>IFERROR(__xludf.DUMMYFUNCTION("""COMPUTED_VALUE"""),44749.0)</f>
        <v>44749</v>
      </c>
      <c r="C1302" s="207">
        <f>IFERROR(__xludf.DUMMYFUNCTION("""COMPUTED_VALUE"""),0.28225694444444444)</f>
        <v>0.2822569444</v>
      </c>
      <c r="D1302" s="50"/>
      <c r="E1302" s="58"/>
      <c r="F1302" s="58"/>
      <c r="G1302" s="58" t="str">
        <f>IFERROR(__xludf.DUMMYFUNCTION("""COMPUTED_VALUE"""),"Null")</f>
        <v>Null</v>
      </c>
      <c r="H1302" s="206" t="str">
        <f>IFERROR(__xludf.DUMMYFUNCTION("""COMPUTED_VALUE"""),"Negative")</f>
        <v>Negative</v>
      </c>
      <c r="I1302" s="207"/>
      <c r="J1302" s="50"/>
      <c r="K1302" s="50">
        <f>IFERROR(__xludf.DUMMYFUNCTION("""COMPUTED_VALUE"""),2.0)</f>
        <v>2</v>
      </c>
      <c r="L1302" s="6"/>
      <c r="M1302" s="55"/>
      <c r="N1302" s="55">
        <f>IFERROR(__xludf.DUMMYFUNCTION("""COMPUTED_VALUE"""),1.0)</f>
        <v>1</v>
      </c>
      <c r="O1302" s="55" t="str">
        <f t="shared" si="3"/>
        <v/>
      </c>
      <c r="P1302" s="209"/>
      <c r="Q1302" s="75" t="b">
        <f>VLOOKUP($B1302,'Run Reconcile'!B$2:P1679,15,FALSE)</f>
        <v>1</v>
      </c>
      <c r="R1302" s="211" t="str">
        <f t="array" ref="R1302">IF($Q1302, INDEX('Run Reconcile'!A$2:A1679,MATCH(B1302,'Run Reconcile'!B$2:B1679,0),1),IFERROR(0/0,""))</f>
        <v>RUN-COMB_2022-07-07_APS-001</v>
      </c>
      <c r="S1302" s="165" t="str">
        <f t="shared" ref="S1302:T1302" si="2603">IF(COUNTIF(W$2:W1679, $A1302) &gt; 0,TRUE,IFERROR(0/0,""))</f>
        <v/>
      </c>
      <c r="T1302" s="165" t="str">
        <f t="shared" si="2603"/>
        <v/>
      </c>
      <c r="U1302" s="147" t="str">
        <f t="array" ref="U1302">IF(ISBLANK($R1302), IF($S1302,VLOOKUP($B1302+1,'RFR Data - preExcl'!$BF$2:$BG1679,2,FALSE),IF($T1302,INDEX('RFR Data - preExcl'!$BF$2:$BG1679,MATCH($B1302,'RFR Data - preExcl'!$BF$2:$BF1679,0)+1,2),VLOOKUP($B1302,'RFR Data - preExcl'!$BF$2:$BG1679,2,FALSE))),IFERROR(0/0,""))</f>
        <v/>
      </c>
      <c r="V1302" s="212" t="str">
        <f t="shared" si="5"/>
        <v>RUN-COMB_2022-07-07_APS-001</v>
      </c>
      <c r="W1302" s="51"/>
      <c r="X1302" s="51"/>
      <c r="Y1302" s="147" t="str">
        <f t="shared" ref="Y1302:Z1302" si="2604">IF(_xlfn.ISFORMULA(S1302),IFERROR(0/0,""),TRUE)</f>
        <v/>
      </c>
      <c r="Z1302" s="147" t="str">
        <f t="shared" si="2604"/>
        <v/>
      </c>
    </row>
    <row r="1303">
      <c r="A1303" s="6" t="str">
        <f>IFERROR(__xludf.DUMMYFUNCTION("""COMPUTED_VALUE"""),"FM2529")</f>
        <v>FM2529</v>
      </c>
      <c r="B1303" s="206">
        <f>IFERROR(__xludf.DUMMYFUNCTION("""COMPUTED_VALUE"""),44749.0)</f>
        <v>44749</v>
      </c>
      <c r="C1303" s="207">
        <f>IFERROR(__xludf.DUMMYFUNCTION("""COMPUTED_VALUE"""),0.28261574074074075)</f>
        <v>0.2826157407</v>
      </c>
      <c r="D1303" s="50"/>
      <c r="E1303" s="58"/>
      <c r="F1303" s="58"/>
      <c r="G1303" s="58" t="str">
        <f>IFERROR(__xludf.DUMMYFUNCTION("""COMPUTED_VALUE"""),"Null")</f>
        <v>Null</v>
      </c>
      <c r="H1303" s="206" t="str">
        <f>IFERROR(__xludf.DUMMYFUNCTION("""COMPUTED_VALUE"""),"Negative")</f>
        <v>Negative</v>
      </c>
      <c r="I1303" s="207"/>
      <c r="J1303" s="50"/>
      <c r="K1303" s="50">
        <f>IFERROR(__xludf.DUMMYFUNCTION("""COMPUTED_VALUE"""),2.0)</f>
        <v>2</v>
      </c>
      <c r="L1303" s="6"/>
      <c r="M1303" s="55"/>
      <c r="N1303" s="55">
        <f>IFERROR(__xludf.DUMMYFUNCTION("""COMPUTED_VALUE"""),1.0)</f>
        <v>1</v>
      </c>
      <c r="O1303" s="55" t="str">
        <f t="shared" si="3"/>
        <v/>
      </c>
      <c r="P1303" s="209"/>
      <c r="Q1303" s="75" t="b">
        <f>VLOOKUP($B1303,'Run Reconcile'!B$2:P1679,15,FALSE)</f>
        <v>1</v>
      </c>
      <c r="R1303" s="211" t="str">
        <f t="array" ref="R1303">IF($Q1303, INDEX('Run Reconcile'!A$2:A1679,MATCH(B1303,'Run Reconcile'!B$2:B1679,0),1),IFERROR(0/0,""))</f>
        <v>RUN-COMB_2022-07-07_APS-001</v>
      </c>
      <c r="S1303" s="165" t="str">
        <f t="shared" ref="S1303:T1303" si="2605">IF(COUNTIF(W$2:W1679, $A1303) &gt; 0,TRUE,IFERROR(0/0,""))</f>
        <v/>
      </c>
      <c r="T1303" s="165" t="str">
        <f t="shared" si="2605"/>
        <v/>
      </c>
      <c r="U1303" s="147" t="str">
        <f t="array" ref="U1303">IF(ISBLANK($R1303), IF($S1303,VLOOKUP($B1303+1,'RFR Data - preExcl'!$BF$2:$BG1679,2,FALSE),IF($T1303,INDEX('RFR Data - preExcl'!$BF$2:$BG1679,MATCH($B1303,'RFR Data - preExcl'!$BF$2:$BF1679,0)+1,2),VLOOKUP($B1303,'RFR Data - preExcl'!$BF$2:$BG1679,2,FALSE))),IFERROR(0/0,""))</f>
        <v/>
      </c>
      <c r="V1303" s="212" t="str">
        <f t="shared" si="5"/>
        <v>RUN-COMB_2022-07-07_APS-001</v>
      </c>
      <c r="W1303" s="51"/>
      <c r="X1303" s="51"/>
      <c r="Y1303" s="147" t="str">
        <f t="shared" ref="Y1303:Z1303" si="2606">IF(_xlfn.ISFORMULA(S1303),IFERROR(0/0,""),TRUE)</f>
        <v/>
      </c>
      <c r="Z1303" s="147" t="str">
        <f t="shared" si="2606"/>
        <v/>
      </c>
    </row>
    <row r="1304">
      <c r="A1304" s="6" t="str">
        <f>IFERROR(__xludf.DUMMYFUNCTION("""COMPUTED_VALUE"""),"FM2559")</f>
        <v>FM2559</v>
      </c>
      <c r="B1304" s="206">
        <f>IFERROR(__xludf.DUMMYFUNCTION("""COMPUTED_VALUE"""),44749.0)</f>
        <v>44749</v>
      </c>
      <c r="C1304" s="207">
        <f>IFERROR(__xludf.DUMMYFUNCTION("""COMPUTED_VALUE"""),0.28296296296296297)</f>
        <v>0.282962963</v>
      </c>
      <c r="D1304" s="50"/>
      <c r="E1304" s="58"/>
      <c r="F1304" s="58"/>
      <c r="G1304" s="58" t="str">
        <f>IFERROR(__xludf.DUMMYFUNCTION("""COMPUTED_VALUE"""),"Null")</f>
        <v>Null</v>
      </c>
      <c r="H1304" s="206" t="str">
        <f>IFERROR(__xludf.DUMMYFUNCTION("""COMPUTED_VALUE"""),"Negative")</f>
        <v>Negative</v>
      </c>
      <c r="I1304" s="207"/>
      <c r="J1304" s="50"/>
      <c r="K1304" s="50">
        <f>IFERROR(__xludf.DUMMYFUNCTION("""COMPUTED_VALUE"""),2.0)</f>
        <v>2</v>
      </c>
      <c r="L1304" s="6"/>
      <c r="M1304" s="55"/>
      <c r="N1304" s="55">
        <f>IFERROR(__xludf.DUMMYFUNCTION("""COMPUTED_VALUE"""),1.0)</f>
        <v>1</v>
      </c>
      <c r="O1304" s="55" t="str">
        <f t="shared" si="3"/>
        <v/>
      </c>
      <c r="P1304" s="209"/>
      <c r="Q1304" s="75" t="b">
        <f>VLOOKUP($B1304,'Run Reconcile'!B$2:P1679,15,FALSE)</f>
        <v>1</v>
      </c>
      <c r="R1304" s="211" t="str">
        <f t="array" ref="R1304">IF($Q1304, INDEX('Run Reconcile'!A$2:A1679,MATCH(B1304,'Run Reconcile'!B$2:B1679,0),1),IFERROR(0/0,""))</f>
        <v>RUN-COMB_2022-07-07_APS-001</v>
      </c>
      <c r="S1304" s="165" t="str">
        <f t="shared" ref="S1304:T1304" si="2607">IF(COUNTIF(W$2:W1679, $A1304) &gt; 0,TRUE,IFERROR(0/0,""))</f>
        <v/>
      </c>
      <c r="T1304" s="165" t="str">
        <f t="shared" si="2607"/>
        <v/>
      </c>
      <c r="U1304" s="147" t="str">
        <f t="array" ref="U1304">IF(ISBLANK($R1304), IF($S1304,VLOOKUP($B1304+1,'RFR Data - preExcl'!$BF$2:$BG1679,2,FALSE),IF($T1304,INDEX('RFR Data - preExcl'!$BF$2:$BG1679,MATCH($B1304,'RFR Data - preExcl'!$BF$2:$BF1679,0)+1,2),VLOOKUP($B1304,'RFR Data - preExcl'!$BF$2:$BG1679,2,FALSE))),IFERROR(0/0,""))</f>
        <v/>
      </c>
      <c r="V1304" s="212" t="str">
        <f t="shared" si="5"/>
        <v>RUN-COMB_2022-07-07_APS-001</v>
      </c>
      <c r="W1304" s="51"/>
      <c r="X1304" s="51"/>
      <c r="Y1304" s="147" t="str">
        <f t="shared" ref="Y1304:Z1304" si="2608">IF(_xlfn.ISFORMULA(S1304),IFERROR(0/0,""),TRUE)</f>
        <v/>
      </c>
      <c r="Z1304" s="147" t="str">
        <f t="shared" si="2608"/>
        <v/>
      </c>
    </row>
    <row r="1305">
      <c r="A1305" s="6" t="str">
        <f>IFERROR(__xludf.DUMMYFUNCTION("""COMPUTED_VALUE"""),"FM2762")</f>
        <v>FM2762</v>
      </c>
      <c r="B1305" s="206">
        <f>IFERROR(__xludf.DUMMYFUNCTION("""COMPUTED_VALUE"""),44749.0)</f>
        <v>44749</v>
      </c>
      <c r="C1305" s="207">
        <f>IFERROR(__xludf.DUMMYFUNCTION("""COMPUTED_VALUE"""),0.28327546296296297)</f>
        <v>0.283275463</v>
      </c>
      <c r="D1305" s="50"/>
      <c r="E1305" s="58"/>
      <c r="F1305" s="58"/>
      <c r="G1305" s="58" t="str">
        <f>IFERROR(__xludf.DUMMYFUNCTION("""COMPUTED_VALUE"""),"Null")</f>
        <v>Null</v>
      </c>
      <c r="H1305" s="206" t="str">
        <f>IFERROR(__xludf.DUMMYFUNCTION("""COMPUTED_VALUE"""),"Negative")</f>
        <v>Negative</v>
      </c>
      <c r="I1305" s="207"/>
      <c r="J1305" s="50"/>
      <c r="K1305" s="50">
        <f>IFERROR(__xludf.DUMMYFUNCTION("""COMPUTED_VALUE"""),2.0)</f>
        <v>2</v>
      </c>
      <c r="L1305" s="6"/>
      <c r="M1305" s="55"/>
      <c r="N1305" s="55">
        <f>IFERROR(__xludf.DUMMYFUNCTION("""COMPUTED_VALUE"""),1.0)</f>
        <v>1</v>
      </c>
      <c r="O1305" s="55" t="str">
        <f t="shared" si="3"/>
        <v/>
      </c>
      <c r="P1305" s="209"/>
      <c r="Q1305" s="75" t="b">
        <f>VLOOKUP($B1305,'Run Reconcile'!B$2:P1679,15,FALSE)</f>
        <v>1</v>
      </c>
      <c r="R1305" s="211" t="str">
        <f t="array" ref="R1305">IF($Q1305, INDEX('Run Reconcile'!A$2:A1679,MATCH(B1305,'Run Reconcile'!B$2:B1679,0),1),IFERROR(0/0,""))</f>
        <v>RUN-COMB_2022-07-07_APS-001</v>
      </c>
      <c r="S1305" s="165" t="str">
        <f t="shared" ref="S1305:T1305" si="2609">IF(COUNTIF(W$2:W1679, $A1305) &gt; 0,TRUE,IFERROR(0/0,""))</f>
        <v/>
      </c>
      <c r="T1305" s="165" t="str">
        <f t="shared" si="2609"/>
        <v/>
      </c>
      <c r="U1305" s="147" t="str">
        <f t="array" ref="U1305">IF(ISBLANK($R1305), IF($S1305,VLOOKUP($B1305+1,'RFR Data - preExcl'!$BF$2:$BG1679,2,FALSE),IF($T1305,INDEX('RFR Data - preExcl'!$BF$2:$BG1679,MATCH($B1305,'RFR Data - preExcl'!$BF$2:$BF1679,0)+1,2),VLOOKUP($B1305,'RFR Data - preExcl'!$BF$2:$BG1679,2,FALSE))),IFERROR(0/0,""))</f>
        <v/>
      </c>
      <c r="V1305" s="212" t="str">
        <f t="shared" si="5"/>
        <v>RUN-COMB_2022-07-07_APS-001</v>
      </c>
      <c r="W1305" s="51"/>
      <c r="X1305" s="51"/>
      <c r="Y1305" s="147" t="str">
        <f t="shared" ref="Y1305:Z1305" si="2610">IF(_xlfn.ISFORMULA(S1305),IFERROR(0/0,""),TRUE)</f>
        <v/>
      </c>
      <c r="Z1305" s="147" t="str">
        <f t="shared" si="2610"/>
        <v/>
      </c>
    </row>
    <row r="1306">
      <c r="A1306" s="6" t="str">
        <f>IFERROR(__xludf.DUMMYFUNCTION("""COMPUTED_VALUE"""),"FM2792")</f>
        <v>FM2792</v>
      </c>
      <c r="B1306" s="206">
        <f>IFERROR(__xludf.DUMMYFUNCTION("""COMPUTED_VALUE"""),44749.0)</f>
        <v>44749</v>
      </c>
      <c r="C1306" s="207">
        <f>IFERROR(__xludf.DUMMYFUNCTION("""COMPUTED_VALUE"""),0.28368055555555555)</f>
        <v>0.2836805556</v>
      </c>
      <c r="D1306" s="50"/>
      <c r="E1306" s="58"/>
      <c r="F1306" s="58"/>
      <c r="G1306" s="58" t="str">
        <f>IFERROR(__xludf.DUMMYFUNCTION("""COMPUTED_VALUE"""),"Null")</f>
        <v>Null</v>
      </c>
      <c r="H1306" s="206" t="str">
        <f>IFERROR(__xludf.DUMMYFUNCTION("""COMPUTED_VALUE"""),"Negative")</f>
        <v>Negative</v>
      </c>
      <c r="I1306" s="207"/>
      <c r="J1306" s="50"/>
      <c r="K1306" s="50">
        <f>IFERROR(__xludf.DUMMYFUNCTION("""COMPUTED_VALUE"""),2.0)</f>
        <v>2</v>
      </c>
      <c r="L1306" s="6"/>
      <c r="M1306" s="55"/>
      <c r="N1306" s="55">
        <f>IFERROR(__xludf.DUMMYFUNCTION("""COMPUTED_VALUE"""),1.0)</f>
        <v>1</v>
      </c>
      <c r="O1306" s="55" t="str">
        <f t="shared" si="3"/>
        <v/>
      </c>
      <c r="P1306" s="209"/>
      <c r="Q1306" s="75" t="b">
        <f>VLOOKUP($B1306,'Run Reconcile'!B$2:P1679,15,FALSE)</f>
        <v>1</v>
      </c>
      <c r="R1306" s="211" t="str">
        <f t="array" ref="R1306">IF($Q1306, INDEX('Run Reconcile'!A$2:A1679,MATCH(B1306,'Run Reconcile'!B$2:B1679,0),1),IFERROR(0/0,""))</f>
        <v>RUN-COMB_2022-07-07_APS-001</v>
      </c>
      <c r="S1306" s="165" t="str">
        <f t="shared" ref="S1306:T1306" si="2611">IF(COUNTIF(W$2:W1679, $A1306) &gt; 0,TRUE,IFERROR(0/0,""))</f>
        <v/>
      </c>
      <c r="T1306" s="165" t="str">
        <f t="shared" si="2611"/>
        <v/>
      </c>
      <c r="U1306" s="147" t="str">
        <f t="array" ref="U1306">IF(ISBLANK($R1306), IF($S1306,VLOOKUP($B1306+1,'RFR Data - preExcl'!$BF$2:$BG1679,2,FALSE),IF($T1306,INDEX('RFR Data - preExcl'!$BF$2:$BG1679,MATCH($B1306,'RFR Data - preExcl'!$BF$2:$BF1679,0)+1,2),VLOOKUP($B1306,'RFR Data - preExcl'!$BF$2:$BG1679,2,FALSE))),IFERROR(0/0,""))</f>
        <v/>
      </c>
      <c r="V1306" s="212" t="str">
        <f t="shared" si="5"/>
        <v>RUN-COMB_2022-07-07_APS-001</v>
      </c>
      <c r="W1306" s="51"/>
      <c r="X1306" s="51"/>
      <c r="Y1306" s="147" t="str">
        <f t="shared" ref="Y1306:Z1306" si="2612">IF(_xlfn.ISFORMULA(S1306),IFERROR(0/0,""),TRUE)</f>
        <v/>
      </c>
      <c r="Z1306" s="147" t="str">
        <f t="shared" si="2612"/>
        <v/>
      </c>
    </row>
    <row r="1307">
      <c r="A1307" s="6" t="str">
        <f>IFERROR(__xludf.DUMMYFUNCTION("""COMPUTED_VALUE"""),"FM2725")</f>
        <v>FM2725</v>
      </c>
      <c r="B1307" s="206">
        <f>IFERROR(__xludf.DUMMYFUNCTION("""COMPUTED_VALUE"""),44749.0)</f>
        <v>44749</v>
      </c>
      <c r="C1307" s="207">
        <f>IFERROR(__xludf.DUMMYFUNCTION("""COMPUTED_VALUE"""),0.28408564814814813)</f>
        <v>0.2840856481</v>
      </c>
      <c r="D1307" s="50"/>
      <c r="E1307" s="58"/>
      <c r="F1307" s="58"/>
      <c r="G1307" s="58" t="str">
        <f>IFERROR(__xludf.DUMMYFUNCTION("""COMPUTED_VALUE"""),"Null")</f>
        <v>Null</v>
      </c>
      <c r="H1307" s="206" t="str">
        <f>IFERROR(__xludf.DUMMYFUNCTION("""COMPUTED_VALUE"""),"Negative")</f>
        <v>Negative</v>
      </c>
      <c r="I1307" s="207"/>
      <c r="J1307" s="50"/>
      <c r="K1307" s="50">
        <f>IFERROR(__xludf.DUMMYFUNCTION("""COMPUTED_VALUE"""),2.0)</f>
        <v>2</v>
      </c>
      <c r="L1307" s="6"/>
      <c r="M1307" s="55"/>
      <c r="N1307" s="55">
        <f>IFERROR(__xludf.DUMMYFUNCTION("""COMPUTED_VALUE"""),1.0)</f>
        <v>1</v>
      </c>
      <c r="O1307" s="55" t="str">
        <f t="shared" si="3"/>
        <v/>
      </c>
      <c r="P1307" s="209"/>
      <c r="Q1307" s="75" t="b">
        <f>VLOOKUP($B1307,'Run Reconcile'!B$2:P1679,15,FALSE)</f>
        <v>1</v>
      </c>
      <c r="R1307" s="211" t="str">
        <f t="array" ref="R1307">IF($Q1307, INDEX('Run Reconcile'!A$2:A1679,MATCH(B1307,'Run Reconcile'!B$2:B1679,0),1),IFERROR(0/0,""))</f>
        <v>RUN-COMB_2022-07-07_APS-001</v>
      </c>
      <c r="S1307" s="165" t="str">
        <f t="shared" ref="S1307:T1307" si="2613">IF(COUNTIF(W$2:W1679, $A1307) &gt; 0,TRUE,IFERROR(0/0,""))</f>
        <v/>
      </c>
      <c r="T1307" s="165" t="str">
        <f t="shared" si="2613"/>
        <v/>
      </c>
      <c r="U1307" s="147" t="str">
        <f t="array" ref="U1307">IF(ISBLANK($R1307), IF($S1307,VLOOKUP($B1307+1,'RFR Data - preExcl'!$BF$2:$BG1679,2,FALSE),IF($T1307,INDEX('RFR Data - preExcl'!$BF$2:$BG1679,MATCH($B1307,'RFR Data - preExcl'!$BF$2:$BF1679,0)+1,2),VLOOKUP($B1307,'RFR Data - preExcl'!$BF$2:$BG1679,2,FALSE))),IFERROR(0/0,""))</f>
        <v/>
      </c>
      <c r="V1307" s="212" t="str">
        <f t="shared" si="5"/>
        <v>RUN-COMB_2022-07-07_APS-001</v>
      </c>
      <c r="W1307" s="51"/>
      <c r="X1307" s="51"/>
      <c r="Y1307" s="147" t="str">
        <f t="shared" ref="Y1307:Z1307" si="2614">IF(_xlfn.ISFORMULA(S1307),IFERROR(0/0,""),TRUE)</f>
        <v/>
      </c>
      <c r="Z1307" s="147" t="str">
        <f t="shared" si="2614"/>
        <v/>
      </c>
    </row>
    <row r="1308">
      <c r="A1308" s="6" t="str">
        <f>IFERROR(__xludf.DUMMYFUNCTION("""COMPUTED_VALUE"""),"FM2530")</f>
        <v>FM2530</v>
      </c>
      <c r="B1308" s="206">
        <f>IFERROR(__xludf.DUMMYFUNCTION("""COMPUTED_VALUE"""),44749.0)</f>
        <v>44749</v>
      </c>
      <c r="C1308" s="207">
        <f>IFERROR(__xludf.DUMMYFUNCTION("""COMPUTED_VALUE"""),0.2845949074074074)</f>
        <v>0.2845949074</v>
      </c>
      <c r="D1308" s="50"/>
      <c r="E1308" s="58"/>
      <c r="F1308" s="58"/>
      <c r="G1308" s="58" t="str">
        <f>IFERROR(__xludf.DUMMYFUNCTION("""COMPUTED_VALUE"""),"Null")</f>
        <v>Null</v>
      </c>
      <c r="H1308" s="206" t="str">
        <f>IFERROR(__xludf.DUMMYFUNCTION("""COMPUTED_VALUE"""),"Negative")</f>
        <v>Negative</v>
      </c>
      <c r="I1308" s="207"/>
      <c r="J1308" s="50"/>
      <c r="K1308" s="50">
        <f>IFERROR(__xludf.DUMMYFUNCTION("""COMPUTED_VALUE"""),2.0)</f>
        <v>2</v>
      </c>
      <c r="L1308" s="6"/>
      <c r="M1308" s="55"/>
      <c r="N1308" s="55">
        <f>IFERROR(__xludf.DUMMYFUNCTION("""COMPUTED_VALUE"""),1.0)</f>
        <v>1</v>
      </c>
      <c r="O1308" s="55" t="str">
        <f t="shared" si="3"/>
        <v/>
      </c>
      <c r="P1308" s="209"/>
      <c r="Q1308" s="75" t="b">
        <f>VLOOKUP($B1308,'Run Reconcile'!B$2:P1679,15,FALSE)</f>
        <v>1</v>
      </c>
      <c r="R1308" s="211" t="str">
        <f t="array" ref="R1308">IF($Q1308, INDEX('Run Reconcile'!A$2:A1679,MATCH(B1308,'Run Reconcile'!B$2:B1679,0),1),IFERROR(0/0,""))</f>
        <v>RUN-COMB_2022-07-07_APS-001</v>
      </c>
      <c r="S1308" s="165" t="str">
        <f t="shared" ref="S1308:T1308" si="2615">IF(COUNTIF(W$2:W1679, $A1308) &gt; 0,TRUE,IFERROR(0/0,""))</f>
        <v/>
      </c>
      <c r="T1308" s="165" t="str">
        <f t="shared" si="2615"/>
        <v/>
      </c>
      <c r="U1308" s="147" t="str">
        <f t="array" ref="U1308">IF(ISBLANK($R1308), IF($S1308,VLOOKUP($B1308+1,'RFR Data - preExcl'!$BF$2:$BG1679,2,FALSE),IF($T1308,INDEX('RFR Data - preExcl'!$BF$2:$BG1679,MATCH($B1308,'RFR Data - preExcl'!$BF$2:$BF1679,0)+1,2),VLOOKUP($B1308,'RFR Data - preExcl'!$BF$2:$BG1679,2,FALSE))),IFERROR(0/0,""))</f>
        <v/>
      </c>
      <c r="V1308" s="212" t="str">
        <f t="shared" si="5"/>
        <v>RUN-COMB_2022-07-07_APS-001</v>
      </c>
      <c r="W1308" s="51"/>
      <c r="X1308" s="51"/>
      <c r="Y1308" s="147" t="str">
        <f t="shared" ref="Y1308:Z1308" si="2616">IF(_xlfn.ISFORMULA(S1308),IFERROR(0/0,""),TRUE)</f>
        <v/>
      </c>
      <c r="Z1308" s="147" t="str">
        <f t="shared" si="2616"/>
        <v/>
      </c>
    </row>
    <row r="1309">
      <c r="A1309" s="6" t="str">
        <f>IFERROR(__xludf.DUMMYFUNCTION("""COMPUTED_VALUE"""),"FM2456")</f>
        <v>FM2456</v>
      </c>
      <c r="B1309" s="206">
        <f>IFERROR(__xludf.DUMMYFUNCTION("""COMPUTED_VALUE"""),44749.0)</f>
        <v>44749</v>
      </c>
      <c r="C1309" s="207">
        <f>IFERROR(__xludf.DUMMYFUNCTION("""COMPUTED_VALUE"""),0.28501157407407407)</f>
        <v>0.2850115741</v>
      </c>
      <c r="D1309" s="50"/>
      <c r="E1309" s="58"/>
      <c r="F1309" s="58"/>
      <c r="G1309" s="58" t="str">
        <f>IFERROR(__xludf.DUMMYFUNCTION("""COMPUTED_VALUE"""),"Null")</f>
        <v>Null</v>
      </c>
      <c r="H1309" s="206" t="str">
        <f>IFERROR(__xludf.DUMMYFUNCTION("""COMPUTED_VALUE"""),"Negative")</f>
        <v>Negative</v>
      </c>
      <c r="I1309" s="207"/>
      <c r="J1309" s="50"/>
      <c r="K1309" s="50">
        <f>IFERROR(__xludf.DUMMYFUNCTION("""COMPUTED_VALUE"""),2.0)</f>
        <v>2</v>
      </c>
      <c r="L1309" s="6"/>
      <c r="M1309" s="55"/>
      <c r="N1309" s="55">
        <f>IFERROR(__xludf.DUMMYFUNCTION("""COMPUTED_VALUE"""),1.0)</f>
        <v>1</v>
      </c>
      <c r="O1309" s="55" t="str">
        <f t="shared" si="3"/>
        <v/>
      </c>
      <c r="P1309" s="209"/>
      <c r="Q1309" s="75" t="b">
        <f>VLOOKUP($B1309,'Run Reconcile'!B$2:P1679,15,FALSE)</f>
        <v>1</v>
      </c>
      <c r="R1309" s="211" t="str">
        <f t="array" ref="R1309">IF($Q1309, INDEX('Run Reconcile'!A$2:A1679,MATCH(B1309,'Run Reconcile'!B$2:B1679,0),1),IFERROR(0/0,""))</f>
        <v>RUN-COMB_2022-07-07_APS-001</v>
      </c>
      <c r="S1309" s="165" t="str">
        <f t="shared" ref="S1309:T1309" si="2617">IF(COUNTIF(W$2:W1679, $A1309) &gt; 0,TRUE,IFERROR(0/0,""))</f>
        <v/>
      </c>
      <c r="T1309" s="165" t="str">
        <f t="shared" si="2617"/>
        <v/>
      </c>
      <c r="U1309" s="147" t="str">
        <f t="array" ref="U1309">IF(ISBLANK($R1309), IF($S1309,VLOOKUP($B1309+1,'RFR Data - preExcl'!$BF$2:$BG1679,2,FALSE),IF($T1309,INDEX('RFR Data - preExcl'!$BF$2:$BG1679,MATCH($B1309,'RFR Data - preExcl'!$BF$2:$BF1679,0)+1,2),VLOOKUP($B1309,'RFR Data - preExcl'!$BF$2:$BG1679,2,FALSE))),IFERROR(0/0,""))</f>
        <v/>
      </c>
      <c r="V1309" s="212" t="str">
        <f t="shared" si="5"/>
        <v>RUN-COMB_2022-07-07_APS-001</v>
      </c>
      <c r="W1309" s="51"/>
      <c r="X1309" s="51"/>
      <c r="Y1309" s="147" t="str">
        <f t="shared" ref="Y1309:Z1309" si="2618">IF(_xlfn.ISFORMULA(S1309),IFERROR(0/0,""),TRUE)</f>
        <v/>
      </c>
      <c r="Z1309" s="147" t="str">
        <f t="shared" si="2618"/>
        <v/>
      </c>
    </row>
    <row r="1310">
      <c r="A1310" s="6" t="str">
        <f>IFERROR(__xludf.DUMMYFUNCTION("""COMPUTED_VALUE"""),"FM2593")</f>
        <v>FM2593</v>
      </c>
      <c r="B1310" s="206">
        <f>IFERROR(__xludf.DUMMYFUNCTION("""COMPUTED_VALUE"""),44749.0)</f>
        <v>44749</v>
      </c>
      <c r="C1310" s="207">
        <f>IFERROR(__xludf.DUMMYFUNCTION("""COMPUTED_VALUE"""),0.2853935185185185)</f>
        <v>0.2853935185</v>
      </c>
      <c r="D1310" s="50"/>
      <c r="E1310" s="58"/>
      <c r="F1310" s="58"/>
      <c r="G1310" s="58" t="str">
        <f>IFERROR(__xludf.DUMMYFUNCTION("""COMPUTED_VALUE"""),"Null")</f>
        <v>Null</v>
      </c>
      <c r="H1310" s="206" t="str">
        <f>IFERROR(__xludf.DUMMYFUNCTION("""COMPUTED_VALUE"""),"Negative")</f>
        <v>Negative</v>
      </c>
      <c r="I1310" s="207"/>
      <c r="J1310" s="50"/>
      <c r="K1310" s="50">
        <f>IFERROR(__xludf.DUMMYFUNCTION("""COMPUTED_VALUE"""),2.0)</f>
        <v>2</v>
      </c>
      <c r="L1310" s="6"/>
      <c r="M1310" s="55"/>
      <c r="N1310" s="55">
        <f>IFERROR(__xludf.DUMMYFUNCTION("""COMPUTED_VALUE"""),1.0)</f>
        <v>1</v>
      </c>
      <c r="O1310" s="55" t="str">
        <f t="shared" si="3"/>
        <v/>
      </c>
      <c r="P1310" s="209"/>
      <c r="Q1310" s="75" t="b">
        <f>VLOOKUP($B1310,'Run Reconcile'!B$2:P1679,15,FALSE)</f>
        <v>1</v>
      </c>
      <c r="R1310" s="211" t="str">
        <f t="array" ref="R1310">IF($Q1310, INDEX('Run Reconcile'!A$2:A1679,MATCH(B1310,'Run Reconcile'!B$2:B1679,0),1),IFERROR(0/0,""))</f>
        <v>RUN-COMB_2022-07-07_APS-001</v>
      </c>
      <c r="S1310" s="165" t="str">
        <f t="shared" ref="S1310:T1310" si="2619">IF(COUNTIF(W$2:W1679, $A1310) &gt; 0,TRUE,IFERROR(0/0,""))</f>
        <v/>
      </c>
      <c r="T1310" s="165" t="str">
        <f t="shared" si="2619"/>
        <v/>
      </c>
      <c r="U1310" s="147" t="str">
        <f t="array" ref="U1310">IF(ISBLANK($R1310), IF($S1310,VLOOKUP($B1310+1,'RFR Data - preExcl'!$BF$2:$BG1679,2,FALSE),IF($T1310,INDEX('RFR Data - preExcl'!$BF$2:$BG1679,MATCH($B1310,'RFR Data - preExcl'!$BF$2:$BF1679,0)+1,2),VLOOKUP($B1310,'RFR Data - preExcl'!$BF$2:$BG1679,2,FALSE))),IFERROR(0/0,""))</f>
        <v/>
      </c>
      <c r="V1310" s="212" t="str">
        <f t="shared" si="5"/>
        <v>RUN-COMB_2022-07-07_APS-001</v>
      </c>
      <c r="W1310" s="51"/>
      <c r="X1310" s="51"/>
      <c r="Y1310" s="147" t="str">
        <f t="shared" ref="Y1310:Z1310" si="2620">IF(_xlfn.ISFORMULA(S1310),IFERROR(0/0,""),TRUE)</f>
        <v/>
      </c>
      <c r="Z1310" s="147" t="str">
        <f t="shared" si="2620"/>
        <v/>
      </c>
    </row>
    <row r="1311">
      <c r="A1311" s="6" t="str">
        <f>IFERROR(__xludf.DUMMYFUNCTION("""COMPUTED_VALUE"""),"FM2415")</f>
        <v>FM2415</v>
      </c>
      <c r="B1311" s="206">
        <f>IFERROR(__xludf.DUMMYFUNCTION("""COMPUTED_VALUE"""),44749.0)</f>
        <v>44749</v>
      </c>
      <c r="C1311" s="207">
        <f>IFERROR(__xludf.DUMMYFUNCTION("""COMPUTED_VALUE"""),0.28577546296296297)</f>
        <v>0.285775463</v>
      </c>
      <c r="D1311" s="50"/>
      <c r="E1311" s="58"/>
      <c r="F1311" s="58"/>
      <c r="G1311" s="58" t="str">
        <f>IFERROR(__xludf.DUMMYFUNCTION("""COMPUTED_VALUE"""),"Null")</f>
        <v>Null</v>
      </c>
      <c r="H1311" s="206" t="str">
        <f>IFERROR(__xludf.DUMMYFUNCTION("""COMPUTED_VALUE"""),"Negative")</f>
        <v>Negative</v>
      </c>
      <c r="I1311" s="207"/>
      <c r="J1311" s="50"/>
      <c r="K1311" s="50">
        <f>IFERROR(__xludf.DUMMYFUNCTION("""COMPUTED_VALUE"""),2.0)</f>
        <v>2</v>
      </c>
      <c r="L1311" s="6"/>
      <c r="M1311" s="55"/>
      <c r="N1311" s="55">
        <f>IFERROR(__xludf.DUMMYFUNCTION("""COMPUTED_VALUE"""),1.0)</f>
        <v>1</v>
      </c>
      <c r="O1311" s="55" t="str">
        <f t="shared" si="3"/>
        <v/>
      </c>
      <c r="P1311" s="209"/>
      <c r="Q1311" s="75" t="b">
        <f>VLOOKUP($B1311,'Run Reconcile'!B$2:P1679,15,FALSE)</f>
        <v>1</v>
      </c>
      <c r="R1311" s="211" t="str">
        <f t="array" ref="R1311">IF($Q1311, INDEX('Run Reconcile'!A$2:A1679,MATCH(B1311,'Run Reconcile'!B$2:B1679,0),1),IFERROR(0/0,""))</f>
        <v>RUN-COMB_2022-07-07_APS-001</v>
      </c>
      <c r="S1311" s="165" t="str">
        <f t="shared" ref="S1311:T1311" si="2621">IF(COUNTIF(W$2:W1679, $A1311) &gt; 0,TRUE,IFERROR(0/0,""))</f>
        <v/>
      </c>
      <c r="T1311" s="165" t="str">
        <f t="shared" si="2621"/>
        <v/>
      </c>
      <c r="U1311" s="147" t="str">
        <f t="array" ref="U1311">IF(ISBLANK($R1311), IF($S1311,VLOOKUP($B1311+1,'RFR Data - preExcl'!$BF$2:$BG1679,2,FALSE),IF($T1311,INDEX('RFR Data - preExcl'!$BF$2:$BG1679,MATCH($B1311,'RFR Data - preExcl'!$BF$2:$BF1679,0)+1,2),VLOOKUP($B1311,'RFR Data - preExcl'!$BF$2:$BG1679,2,FALSE))),IFERROR(0/0,""))</f>
        <v/>
      </c>
      <c r="V1311" s="212" t="str">
        <f t="shared" si="5"/>
        <v>RUN-COMB_2022-07-07_APS-001</v>
      </c>
      <c r="W1311" s="51"/>
      <c r="X1311" s="51"/>
      <c r="Y1311" s="147" t="str">
        <f t="shared" ref="Y1311:Z1311" si="2622">IF(_xlfn.ISFORMULA(S1311),IFERROR(0/0,""),TRUE)</f>
        <v/>
      </c>
      <c r="Z1311" s="147" t="str">
        <f t="shared" si="2622"/>
        <v/>
      </c>
    </row>
    <row r="1312">
      <c r="A1312" s="6" t="str">
        <f>IFERROR(__xludf.DUMMYFUNCTION("""COMPUTED_VALUE"""),"FM2557")</f>
        <v>FM2557</v>
      </c>
      <c r="B1312" s="206">
        <f>IFERROR(__xludf.DUMMYFUNCTION("""COMPUTED_VALUE"""),44749.0)</f>
        <v>44749</v>
      </c>
      <c r="C1312" s="207">
        <f>IFERROR(__xludf.DUMMYFUNCTION("""COMPUTED_VALUE"""),0.2861226851851852)</f>
        <v>0.2861226852</v>
      </c>
      <c r="D1312" s="50"/>
      <c r="E1312" s="58"/>
      <c r="F1312" s="58"/>
      <c r="G1312" s="58" t="str">
        <f>IFERROR(__xludf.DUMMYFUNCTION("""COMPUTED_VALUE"""),"Null")</f>
        <v>Null</v>
      </c>
      <c r="H1312" s="206" t="str">
        <f>IFERROR(__xludf.DUMMYFUNCTION("""COMPUTED_VALUE"""),"Negative")</f>
        <v>Negative</v>
      </c>
      <c r="I1312" s="207"/>
      <c r="J1312" s="50"/>
      <c r="K1312" s="50">
        <f>IFERROR(__xludf.DUMMYFUNCTION("""COMPUTED_VALUE"""),2.0)</f>
        <v>2</v>
      </c>
      <c r="L1312" s="6"/>
      <c r="M1312" s="55"/>
      <c r="N1312" s="55">
        <f>IFERROR(__xludf.DUMMYFUNCTION("""COMPUTED_VALUE"""),1.0)</f>
        <v>1</v>
      </c>
      <c r="O1312" s="55" t="str">
        <f t="shared" si="3"/>
        <v/>
      </c>
      <c r="P1312" s="209"/>
      <c r="Q1312" s="75" t="b">
        <f>VLOOKUP($B1312,'Run Reconcile'!B$2:P1679,15,FALSE)</f>
        <v>1</v>
      </c>
      <c r="R1312" s="211" t="str">
        <f t="array" ref="R1312">IF($Q1312, INDEX('Run Reconcile'!A$2:A1679,MATCH(B1312,'Run Reconcile'!B$2:B1679,0),1),IFERROR(0/0,""))</f>
        <v>RUN-COMB_2022-07-07_APS-001</v>
      </c>
      <c r="S1312" s="165" t="str">
        <f t="shared" ref="S1312:T1312" si="2623">IF(COUNTIF(W$2:W1679, $A1312) &gt; 0,TRUE,IFERROR(0/0,""))</f>
        <v/>
      </c>
      <c r="T1312" s="165" t="str">
        <f t="shared" si="2623"/>
        <v/>
      </c>
      <c r="U1312" s="147" t="str">
        <f t="array" ref="U1312">IF(ISBLANK($R1312), IF($S1312,VLOOKUP($B1312+1,'RFR Data - preExcl'!$BF$2:$BG1679,2,FALSE),IF($T1312,INDEX('RFR Data - preExcl'!$BF$2:$BG1679,MATCH($B1312,'RFR Data - preExcl'!$BF$2:$BF1679,0)+1,2),VLOOKUP($B1312,'RFR Data - preExcl'!$BF$2:$BG1679,2,FALSE))),IFERROR(0/0,""))</f>
        <v/>
      </c>
      <c r="V1312" s="212" t="str">
        <f t="shared" si="5"/>
        <v>RUN-COMB_2022-07-07_APS-001</v>
      </c>
      <c r="W1312" s="51"/>
      <c r="X1312" s="51"/>
      <c r="Y1312" s="147" t="str">
        <f t="shared" ref="Y1312:Z1312" si="2624">IF(_xlfn.ISFORMULA(S1312),IFERROR(0/0,""),TRUE)</f>
        <v/>
      </c>
      <c r="Z1312" s="147" t="str">
        <f t="shared" si="2624"/>
        <v/>
      </c>
    </row>
    <row r="1313">
      <c r="A1313" s="6" t="str">
        <f>IFERROR(__xludf.DUMMYFUNCTION("""COMPUTED_VALUE"""),"FM2598")</f>
        <v>FM2598</v>
      </c>
      <c r="B1313" s="206">
        <f>IFERROR(__xludf.DUMMYFUNCTION("""COMPUTED_VALUE"""),44749.0)</f>
        <v>44749</v>
      </c>
      <c r="C1313" s="207">
        <f>IFERROR(__xludf.DUMMYFUNCTION("""COMPUTED_VALUE"""),0.28653935185185186)</f>
        <v>0.2865393519</v>
      </c>
      <c r="D1313" s="50"/>
      <c r="E1313" s="58"/>
      <c r="F1313" s="58"/>
      <c r="G1313" s="58" t="str">
        <f>IFERROR(__xludf.DUMMYFUNCTION("""COMPUTED_VALUE"""),"Null")</f>
        <v>Null</v>
      </c>
      <c r="H1313" s="206" t="str">
        <f>IFERROR(__xludf.DUMMYFUNCTION("""COMPUTED_VALUE"""),"Negative")</f>
        <v>Negative</v>
      </c>
      <c r="I1313" s="207"/>
      <c r="J1313" s="50"/>
      <c r="K1313" s="50">
        <f>IFERROR(__xludf.DUMMYFUNCTION("""COMPUTED_VALUE"""),2.0)</f>
        <v>2</v>
      </c>
      <c r="L1313" s="6"/>
      <c r="M1313" s="55"/>
      <c r="N1313" s="55">
        <f>IFERROR(__xludf.DUMMYFUNCTION("""COMPUTED_VALUE"""),1.0)</f>
        <v>1</v>
      </c>
      <c r="O1313" s="55" t="str">
        <f t="shared" si="3"/>
        <v/>
      </c>
      <c r="P1313" s="209"/>
      <c r="Q1313" s="75" t="b">
        <f>VLOOKUP($B1313,'Run Reconcile'!B$2:P1679,15,FALSE)</f>
        <v>1</v>
      </c>
      <c r="R1313" s="211" t="str">
        <f t="array" ref="R1313">IF($Q1313, INDEX('Run Reconcile'!A$2:A1679,MATCH(B1313,'Run Reconcile'!B$2:B1679,0),1),IFERROR(0/0,""))</f>
        <v>RUN-COMB_2022-07-07_APS-001</v>
      </c>
      <c r="S1313" s="165" t="str">
        <f t="shared" ref="S1313:T1313" si="2625">IF(COUNTIF(W$2:W1679, $A1313) &gt; 0,TRUE,IFERROR(0/0,""))</f>
        <v/>
      </c>
      <c r="T1313" s="165" t="str">
        <f t="shared" si="2625"/>
        <v/>
      </c>
      <c r="U1313" s="147" t="str">
        <f t="array" ref="U1313">IF(ISBLANK($R1313), IF($S1313,VLOOKUP($B1313+1,'RFR Data - preExcl'!$BF$2:$BG1679,2,FALSE),IF($T1313,INDEX('RFR Data - preExcl'!$BF$2:$BG1679,MATCH($B1313,'RFR Data - preExcl'!$BF$2:$BF1679,0)+1,2),VLOOKUP($B1313,'RFR Data - preExcl'!$BF$2:$BG1679,2,FALSE))),IFERROR(0/0,""))</f>
        <v/>
      </c>
      <c r="V1313" s="212" t="str">
        <f t="shared" si="5"/>
        <v>RUN-COMB_2022-07-07_APS-001</v>
      </c>
      <c r="W1313" s="51"/>
      <c r="X1313" s="51"/>
      <c r="Y1313" s="147" t="str">
        <f t="shared" ref="Y1313:Z1313" si="2626">IF(_xlfn.ISFORMULA(S1313),IFERROR(0/0,""),TRUE)</f>
        <v/>
      </c>
      <c r="Z1313" s="147" t="str">
        <f t="shared" si="2626"/>
        <v/>
      </c>
    </row>
    <row r="1314">
      <c r="A1314" s="6" t="str">
        <f>IFERROR(__xludf.DUMMYFUNCTION("""COMPUTED_VALUE"""),"FM2538")</f>
        <v>FM2538</v>
      </c>
      <c r="B1314" s="206">
        <f>IFERROR(__xludf.DUMMYFUNCTION("""COMPUTED_VALUE"""),44750.0)</f>
        <v>44750</v>
      </c>
      <c r="C1314" s="207">
        <f>IFERROR(__xludf.DUMMYFUNCTION("""COMPUTED_VALUE"""),0.2665046296296296)</f>
        <v>0.2665046296</v>
      </c>
      <c r="D1314" s="50"/>
      <c r="E1314" s="58"/>
      <c r="F1314" s="58"/>
      <c r="G1314" s="58" t="str">
        <f>IFERROR(__xludf.DUMMYFUNCTION("""COMPUTED_VALUE"""),"Null")</f>
        <v>Null</v>
      </c>
      <c r="H1314" s="206" t="str">
        <f>IFERROR(__xludf.DUMMYFUNCTION("""COMPUTED_VALUE"""),"Negative")</f>
        <v>Negative</v>
      </c>
      <c r="I1314" s="207"/>
      <c r="J1314" s="50"/>
      <c r="K1314" s="50">
        <f>IFERROR(__xludf.DUMMYFUNCTION("""COMPUTED_VALUE"""),2.0)</f>
        <v>2</v>
      </c>
      <c r="L1314" s="6"/>
      <c r="M1314" s="55"/>
      <c r="N1314" s="55">
        <f>IFERROR(__xludf.DUMMYFUNCTION("""COMPUTED_VALUE"""),1.0)</f>
        <v>1</v>
      </c>
      <c r="O1314" s="55" t="b">
        <f t="shared" si="3"/>
        <v>1</v>
      </c>
      <c r="P1314" s="209"/>
      <c r="Q1314" s="75" t="b">
        <f>VLOOKUP($B1314,'Run Reconcile'!B$2:P1679,15,FALSE)</f>
        <v>1</v>
      </c>
      <c r="R1314" s="211" t="str">
        <f t="array" ref="R1314">IF($Q1314, INDEX('Run Reconcile'!A$2:A1679,MATCH(B1314,'Run Reconcile'!B$2:B1679,0),1),IFERROR(0/0,""))</f>
        <v>RUN-COMB_2022-07-08_RFR-074</v>
      </c>
      <c r="S1314" s="165" t="str">
        <f t="shared" ref="S1314:T1314" si="2627">IF(COUNTIF(W$2:W1679, $A1314) &gt; 0,TRUE,IFERROR(0/0,""))</f>
        <v/>
      </c>
      <c r="T1314" s="165" t="str">
        <f t="shared" si="2627"/>
        <v/>
      </c>
      <c r="U1314" s="147" t="str">
        <f t="array" ref="U1314">IF(ISBLANK($R1314), IF($S1314,VLOOKUP($B1314+1,'RFR Data - preExcl'!$BF$2:$BG1679,2,FALSE),IF($T1314,INDEX('RFR Data - preExcl'!$BF$2:$BG1679,MATCH($B1314,'RFR Data - preExcl'!$BF$2:$BF1679,0)+1,2),VLOOKUP($B1314,'RFR Data - preExcl'!$BF$2:$BG1679,2,FALSE))),IFERROR(0/0,""))</f>
        <v/>
      </c>
      <c r="V1314" s="212" t="str">
        <f t="shared" si="5"/>
        <v>RUN-COMB_2022-07-08_RFR-074</v>
      </c>
      <c r="W1314" s="51"/>
      <c r="X1314" s="51"/>
      <c r="Y1314" s="147" t="str">
        <f t="shared" ref="Y1314:Z1314" si="2628">IF(_xlfn.ISFORMULA(S1314),IFERROR(0/0,""),TRUE)</f>
        <v/>
      </c>
      <c r="Z1314" s="147" t="str">
        <f t="shared" si="2628"/>
        <v/>
      </c>
    </row>
    <row r="1315">
      <c r="A1315" s="6" t="str">
        <f>IFERROR(__xludf.DUMMYFUNCTION("""COMPUTED_VALUE"""),"FM2574")</f>
        <v>FM2574</v>
      </c>
      <c r="B1315" s="206">
        <f>IFERROR(__xludf.DUMMYFUNCTION("""COMPUTED_VALUE"""),44750.0)</f>
        <v>44750</v>
      </c>
      <c r="C1315" s="207">
        <f>IFERROR(__xludf.DUMMYFUNCTION("""COMPUTED_VALUE"""),0.2670601851851852)</f>
        <v>0.2670601852</v>
      </c>
      <c r="D1315" s="50"/>
      <c r="E1315" s="58"/>
      <c r="F1315" s="58"/>
      <c r="G1315" s="58" t="str">
        <f>IFERROR(__xludf.DUMMYFUNCTION("""COMPUTED_VALUE"""),"Null")</f>
        <v>Null</v>
      </c>
      <c r="H1315" s="206" t="str">
        <f>IFERROR(__xludf.DUMMYFUNCTION("""COMPUTED_VALUE"""),"Negative")</f>
        <v>Negative</v>
      </c>
      <c r="I1315" s="207"/>
      <c r="J1315" s="50"/>
      <c r="K1315" s="50">
        <f>IFERROR(__xludf.DUMMYFUNCTION("""COMPUTED_VALUE"""),2.0)</f>
        <v>2</v>
      </c>
      <c r="L1315" s="6"/>
      <c r="M1315" s="55"/>
      <c r="N1315" s="55">
        <f>IFERROR(__xludf.DUMMYFUNCTION("""COMPUTED_VALUE"""),1.0)</f>
        <v>1</v>
      </c>
      <c r="O1315" s="55" t="str">
        <f t="shared" si="3"/>
        <v/>
      </c>
      <c r="P1315" s="209"/>
      <c r="Q1315" s="75" t="b">
        <f>VLOOKUP($B1315,'Run Reconcile'!B$2:P1679,15,FALSE)</f>
        <v>1</v>
      </c>
      <c r="R1315" s="211" t="str">
        <f t="array" ref="R1315">IF($Q1315, INDEX('Run Reconcile'!A$2:A1679,MATCH(B1315,'Run Reconcile'!B$2:B1679,0),1),IFERROR(0/0,""))</f>
        <v>RUN-COMB_2022-07-08_RFR-074</v>
      </c>
      <c r="S1315" s="165" t="str">
        <f t="shared" ref="S1315:T1315" si="2629">IF(COUNTIF(W$2:W1679, $A1315) &gt; 0,TRUE,IFERROR(0/0,""))</f>
        <v/>
      </c>
      <c r="T1315" s="165" t="str">
        <f t="shared" si="2629"/>
        <v/>
      </c>
      <c r="U1315" s="147" t="str">
        <f t="array" ref="U1315">IF(ISBLANK($R1315), IF($S1315,VLOOKUP($B1315+1,'RFR Data - preExcl'!$BF$2:$BG1679,2,FALSE),IF($T1315,INDEX('RFR Data - preExcl'!$BF$2:$BG1679,MATCH($B1315,'RFR Data - preExcl'!$BF$2:$BF1679,0)+1,2),VLOOKUP($B1315,'RFR Data - preExcl'!$BF$2:$BG1679,2,FALSE))),IFERROR(0/0,""))</f>
        <v/>
      </c>
      <c r="V1315" s="212" t="str">
        <f t="shared" si="5"/>
        <v>RUN-COMB_2022-07-08_RFR-074</v>
      </c>
      <c r="W1315" s="51"/>
      <c r="X1315" s="51"/>
      <c r="Y1315" s="147" t="str">
        <f t="shared" ref="Y1315:Z1315" si="2630">IF(_xlfn.ISFORMULA(S1315),IFERROR(0/0,""),TRUE)</f>
        <v/>
      </c>
      <c r="Z1315" s="147" t="str">
        <f t="shared" si="2630"/>
        <v/>
      </c>
    </row>
    <row r="1316">
      <c r="A1316" s="6" t="str">
        <f>IFERROR(__xludf.DUMMYFUNCTION("""COMPUTED_VALUE"""),"FM2563")</f>
        <v>FM2563</v>
      </c>
      <c r="B1316" s="206">
        <f>IFERROR(__xludf.DUMMYFUNCTION("""COMPUTED_VALUE"""),44750.0)</f>
        <v>44750</v>
      </c>
      <c r="C1316" s="207">
        <f>IFERROR(__xludf.DUMMYFUNCTION("""COMPUTED_VALUE"""),0.2708333333333333)</f>
        <v>0.2708333333</v>
      </c>
      <c r="D1316" s="50"/>
      <c r="E1316" s="58"/>
      <c r="F1316" s="58"/>
      <c r="G1316" s="58" t="str">
        <f>IFERROR(__xludf.DUMMYFUNCTION("""COMPUTED_VALUE"""),"Null")</f>
        <v>Null</v>
      </c>
      <c r="H1316" s="206" t="str">
        <f>IFERROR(__xludf.DUMMYFUNCTION("""COMPUTED_VALUE"""),"Negative")</f>
        <v>Negative</v>
      </c>
      <c r="I1316" s="207"/>
      <c r="J1316" s="50"/>
      <c r="K1316" s="50">
        <f>IFERROR(__xludf.DUMMYFUNCTION("""COMPUTED_VALUE"""),2.0)</f>
        <v>2</v>
      </c>
      <c r="L1316" s="6"/>
      <c r="M1316" s="55"/>
      <c r="N1316" s="55">
        <f>IFERROR(__xludf.DUMMYFUNCTION("""COMPUTED_VALUE"""),1.0)</f>
        <v>1</v>
      </c>
      <c r="O1316" s="55" t="str">
        <f t="shared" si="3"/>
        <v/>
      </c>
      <c r="P1316" s="209"/>
      <c r="Q1316" s="75" t="b">
        <f>VLOOKUP($B1316,'Run Reconcile'!B$2:P1679,15,FALSE)</f>
        <v>1</v>
      </c>
      <c r="R1316" s="211" t="str">
        <f t="array" ref="R1316">IF($Q1316, INDEX('Run Reconcile'!A$2:A1679,MATCH(B1316,'Run Reconcile'!B$2:B1679,0),1),IFERROR(0/0,""))</f>
        <v>RUN-COMB_2022-07-08_RFR-074</v>
      </c>
      <c r="S1316" s="165" t="str">
        <f t="shared" ref="S1316:T1316" si="2631">IF(COUNTIF(W$2:W1679, $A1316) &gt; 0,TRUE,IFERROR(0/0,""))</f>
        <v/>
      </c>
      <c r="T1316" s="165" t="str">
        <f t="shared" si="2631"/>
        <v/>
      </c>
      <c r="U1316" s="147" t="str">
        <f t="array" ref="U1316">IF(ISBLANK($R1316), IF($S1316,VLOOKUP($B1316+1,'RFR Data - preExcl'!$BF$2:$BG1679,2,FALSE),IF($T1316,INDEX('RFR Data - preExcl'!$BF$2:$BG1679,MATCH($B1316,'RFR Data - preExcl'!$BF$2:$BF1679,0)+1,2),VLOOKUP($B1316,'RFR Data - preExcl'!$BF$2:$BG1679,2,FALSE))),IFERROR(0/0,""))</f>
        <v/>
      </c>
      <c r="V1316" s="212" t="str">
        <f t="shared" si="5"/>
        <v>RUN-COMB_2022-07-08_RFR-074</v>
      </c>
      <c r="W1316" s="51"/>
      <c r="X1316" s="51"/>
      <c r="Y1316" s="147" t="str">
        <f t="shared" ref="Y1316:Z1316" si="2632">IF(_xlfn.ISFORMULA(S1316),IFERROR(0/0,""),TRUE)</f>
        <v/>
      </c>
      <c r="Z1316" s="147" t="str">
        <f t="shared" si="2632"/>
        <v/>
      </c>
    </row>
    <row r="1317">
      <c r="A1317" s="6" t="str">
        <f>IFERROR(__xludf.DUMMYFUNCTION("""COMPUTED_VALUE"""),"FM2540")</f>
        <v>FM2540</v>
      </c>
      <c r="B1317" s="206">
        <f>IFERROR(__xludf.DUMMYFUNCTION("""COMPUTED_VALUE"""),44750.0)</f>
        <v>44750</v>
      </c>
      <c r="C1317" s="207">
        <f>IFERROR(__xludf.DUMMYFUNCTION("""COMPUTED_VALUE"""),0.27111111111111114)</f>
        <v>0.2711111111</v>
      </c>
      <c r="D1317" s="50"/>
      <c r="E1317" s="58"/>
      <c r="F1317" s="58"/>
      <c r="G1317" s="58" t="str">
        <f>IFERROR(__xludf.DUMMYFUNCTION("""COMPUTED_VALUE"""),"Null")</f>
        <v>Null</v>
      </c>
      <c r="H1317" s="206" t="str">
        <f>IFERROR(__xludf.DUMMYFUNCTION("""COMPUTED_VALUE"""),"Negative")</f>
        <v>Negative</v>
      </c>
      <c r="I1317" s="207"/>
      <c r="J1317" s="50"/>
      <c r="K1317" s="50">
        <f>IFERROR(__xludf.DUMMYFUNCTION("""COMPUTED_VALUE"""),2.0)</f>
        <v>2</v>
      </c>
      <c r="L1317" s="6"/>
      <c r="M1317" s="55"/>
      <c r="N1317" s="55">
        <f>IFERROR(__xludf.DUMMYFUNCTION("""COMPUTED_VALUE"""),1.0)</f>
        <v>1</v>
      </c>
      <c r="O1317" s="55" t="str">
        <f t="shared" si="3"/>
        <v/>
      </c>
      <c r="P1317" s="209"/>
      <c r="Q1317" s="75" t="b">
        <f>VLOOKUP($B1317,'Run Reconcile'!B$2:P1679,15,FALSE)</f>
        <v>1</v>
      </c>
      <c r="R1317" s="211" t="str">
        <f t="array" ref="R1317">IF($Q1317, INDEX('Run Reconcile'!A$2:A1679,MATCH(B1317,'Run Reconcile'!B$2:B1679,0),1),IFERROR(0/0,""))</f>
        <v>RUN-COMB_2022-07-08_RFR-074</v>
      </c>
      <c r="S1317" s="165" t="str">
        <f t="shared" ref="S1317:T1317" si="2633">IF(COUNTIF(W$2:W1679, $A1317) &gt; 0,TRUE,IFERROR(0/0,""))</f>
        <v/>
      </c>
      <c r="T1317" s="165" t="str">
        <f t="shared" si="2633"/>
        <v/>
      </c>
      <c r="U1317" s="147" t="str">
        <f t="array" ref="U1317">IF(ISBLANK($R1317), IF($S1317,VLOOKUP($B1317+1,'RFR Data - preExcl'!$BF$2:$BG1679,2,FALSE),IF($T1317,INDEX('RFR Data - preExcl'!$BF$2:$BG1679,MATCH($B1317,'RFR Data - preExcl'!$BF$2:$BF1679,0)+1,2),VLOOKUP($B1317,'RFR Data - preExcl'!$BF$2:$BG1679,2,FALSE))),IFERROR(0/0,""))</f>
        <v/>
      </c>
      <c r="V1317" s="212" t="str">
        <f t="shared" si="5"/>
        <v>RUN-COMB_2022-07-08_RFR-074</v>
      </c>
      <c r="W1317" s="51"/>
      <c r="X1317" s="51"/>
      <c r="Y1317" s="147" t="str">
        <f t="shared" ref="Y1317:Z1317" si="2634">IF(_xlfn.ISFORMULA(S1317),IFERROR(0/0,""),TRUE)</f>
        <v/>
      </c>
      <c r="Z1317" s="147" t="str">
        <f t="shared" si="2634"/>
        <v/>
      </c>
    </row>
    <row r="1318">
      <c r="A1318" s="6" t="str">
        <f>IFERROR(__xludf.DUMMYFUNCTION("""COMPUTED_VALUE"""),"FM2428")</f>
        <v>FM2428</v>
      </c>
      <c r="B1318" s="206">
        <f>IFERROR(__xludf.DUMMYFUNCTION("""COMPUTED_VALUE"""),44750.0)</f>
        <v>44750</v>
      </c>
      <c r="C1318" s="207">
        <f>IFERROR(__xludf.DUMMYFUNCTION("""COMPUTED_VALUE"""),0.2713773148148148)</f>
        <v>0.2713773148</v>
      </c>
      <c r="D1318" s="50"/>
      <c r="E1318" s="58"/>
      <c r="F1318" s="58"/>
      <c r="G1318" s="58" t="str">
        <f>IFERROR(__xludf.DUMMYFUNCTION("""COMPUTED_VALUE"""),"Null")</f>
        <v>Null</v>
      </c>
      <c r="H1318" s="206" t="str">
        <f>IFERROR(__xludf.DUMMYFUNCTION("""COMPUTED_VALUE"""),"Negative")</f>
        <v>Negative</v>
      </c>
      <c r="I1318" s="207"/>
      <c r="J1318" s="50"/>
      <c r="K1318" s="50">
        <f>IFERROR(__xludf.DUMMYFUNCTION("""COMPUTED_VALUE"""),2.0)</f>
        <v>2</v>
      </c>
      <c r="L1318" s="6"/>
      <c r="M1318" s="55"/>
      <c r="N1318" s="55">
        <f>IFERROR(__xludf.DUMMYFUNCTION("""COMPUTED_VALUE"""),1.0)</f>
        <v>1</v>
      </c>
      <c r="O1318" s="55" t="str">
        <f t="shared" si="3"/>
        <v/>
      </c>
      <c r="P1318" s="209"/>
      <c r="Q1318" s="75" t="b">
        <f>VLOOKUP($B1318,'Run Reconcile'!B$2:P1679,15,FALSE)</f>
        <v>1</v>
      </c>
      <c r="R1318" s="211" t="str">
        <f t="array" ref="R1318">IF($Q1318, INDEX('Run Reconcile'!A$2:A1679,MATCH(B1318,'Run Reconcile'!B$2:B1679,0),1),IFERROR(0/0,""))</f>
        <v>RUN-COMB_2022-07-08_RFR-074</v>
      </c>
      <c r="S1318" s="165" t="str">
        <f t="shared" ref="S1318:T1318" si="2635">IF(COUNTIF(W$2:W1679, $A1318) &gt; 0,TRUE,IFERROR(0/0,""))</f>
        <v/>
      </c>
      <c r="T1318" s="165" t="str">
        <f t="shared" si="2635"/>
        <v/>
      </c>
      <c r="U1318" s="147" t="str">
        <f t="array" ref="U1318">IF(ISBLANK($R1318), IF($S1318,VLOOKUP($B1318+1,'RFR Data - preExcl'!$BF$2:$BG1679,2,FALSE),IF($T1318,INDEX('RFR Data - preExcl'!$BF$2:$BG1679,MATCH($B1318,'RFR Data - preExcl'!$BF$2:$BF1679,0)+1,2),VLOOKUP($B1318,'RFR Data - preExcl'!$BF$2:$BG1679,2,FALSE))),IFERROR(0/0,""))</f>
        <v/>
      </c>
      <c r="V1318" s="212" t="str">
        <f t="shared" si="5"/>
        <v>RUN-COMB_2022-07-08_RFR-074</v>
      </c>
      <c r="W1318" s="51"/>
      <c r="X1318" s="51"/>
      <c r="Y1318" s="147" t="str">
        <f t="shared" ref="Y1318:Z1318" si="2636">IF(_xlfn.ISFORMULA(S1318),IFERROR(0/0,""),TRUE)</f>
        <v/>
      </c>
      <c r="Z1318" s="147" t="str">
        <f t="shared" si="2636"/>
        <v/>
      </c>
    </row>
    <row r="1319">
      <c r="A1319" s="6" t="str">
        <f>IFERROR(__xludf.DUMMYFUNCTION("""COMPUTED_VALUE"""),"FM2549")</f>
        <v>FM2549</v>
      </c>
      <c r="B1319" s="206">
        <f>IFERROR(__xludf.DUMMYFUNCTION("""COMPUTED_VALUE"""),44750.0)</f>
        <v>44750</v>
      </c>
      <c r="C1319" s="207">
        <f>IFERROR(__xludf.DUMMYFUNCTION("""COMPUTED_VALUE"""),0.2717361111111111)</f>
        <v>0.2717361111</v>
      </c>
      <c r="D1319" s="50"/>
      <c r="E1319" s="58"/>
      <c r="F1319" s="58"/>
      <c r="G1319" s="58" t="str">
        <f>IFERROR(__xludf.DUMMYFUNCTION("""COMPUTED_VALUE"""),"Null")</f>
        <v>Null</v>
      </c>
      <c r="H1319" s="206" t="str">
        <f>IFERROR(__xludf.DUMMYFUNCTION("""COMPUTED_VALUE"""),"Negative")</f>
        <v>Negative</v>
      </c>
      <c r="I1319" s="207"/>
      <c r="J1319" s="50"/>
      <c r="K1319" s="50">
        <f>IFERROR(__xludf.DUMMYFUNCTION("""COMPUTED_VALUE"""),2.0)</f>
        <v>2</v>
      </c>
      <c r="L1319" s="6"/>
      <c r="M1319" s="55"/>
      <c r="N1319" s="55">
        <f>IFERROR(__xludf.DUMMYFUNCTION("""COMPUTED_VALUE"""),1.0)</f>
        <v>1</v>
      </c>
      <c r="O1319" s="55" t="str">
        <f t="shared" si="3"/>
        <v/>
      </c>
      <c r="P1319" s="209"/>
      <c r="Q1319" s="75" t="b">
        <f>VLOOKUP($B1319,'Run Reconcile'!B$2:P1679,15,FALSE)</f>
        <v>1</v>
      </c>
      <c r="R1319" s="211" t="str">
        <f t="array" ref="R1319">IF($Q1319, INDEX('Run Reconcile'!A$2:A1679,MATCH(B1319,'Run Reconcile'!B$2:B1679,0),1),IFERROR(0/0,""))</f>
        <v>RUN-COMB_2022-07-08_RFR-074</v>
      </c>
      <c r="S1319" s="165" t="str">
        <f t="shared" ref="S1319:T1319" si="2637">IF(COUNTIF(W$2:W1679, $A1319) &gt; 0,TRUE,IFERROR(0/0,""))</f>
        <v/>
      </c>
      <c r="T1319" s="165" t="str">
        <f t="shared" si="2637"/>
        <v/>
      </c>
      <c r="U1319" s="147" t="str">
        <f t="array" ref="U1319">IF(ISBLANK($R1319), IF($S1319,VLOOKUP($B1319+1,'RFR Data - preExcl'!$BF$2:$BG1679,2,FALSE),IF($T1319,INDEX('RFR Data - preExcl'!$BF$2:$BG1679,MATCH($B1319,'RFR Data - preExcl'!$BF$2:$BF1679,0)+1,2),VLOOKUP($B1319,'RFR Data - preExcl'!$BF$2:$BG1679,2,FALSE))),IFERROR(0/0,""))</f>
        <v/>
      </c>
      <c r="V1319" s="212" t="str">
        <f t="shared" si="5"/>
        <v>RUN-COMB_2022-07-08_RFR-074</v>
      </c>
      <c r="W1319" s="51"/>
      <c r="X1319" s="51"/>
      <c r="Y1319" s="147" t="str">
        <f t="shared" ref="Y1319:Z1319" si="2638">IF(_xlfn.ISFORMULA(S1319),IFERROR(0/0,""),TRUE)</f>
        <v/>
      </c>
      <c r="Z1319" s="147" t="str">
        <f t="shared" si="2638"/>
        <v/>
      </c>
    </row>
    <row r="1320">
      <c r="A1320" s="6" t="str">
        <f>IFERROR(__xludf.DUMMYFUNCTION("""COMPUTED_VALUE"""),"FM2565")</f>
        <v>FM2565</v>
      </c>
      <c r="B1320" s="206">
        <f>IFERROR(__xludf.DUMMYFUNCTION("""COMPUTED_VALUE"""),44750.0)</f>
        <v>44750</v>
      </c>
      <c r="C1320" s="207">
        <f>IFERROR(__xludf.DUMMYFUNCTION("""COMPUTED_VALUE"""),0.2720138888888889)</f>
        <v>0.2720138889</v>
      </c>
      <c r="D1320" s="50"/>
      <c r="E1320" s="58"/>
      <c r="F1320" s="58"/>
      <c r="G1320" s="58" t="str">
        <f>IFERROR(__xludf.DUMMYFUNCTION("""COMPUTED_VALUE"""),"Null")</f>
        <v>Null</v>
      </c>
      <c r="H1320" s="206" t="str">
        <f>IFERROR(__xludf.DUMMYFUNCTION("""COMPUTED_VALUE"""),"Negative")</f>
        <v>Negative</v>
      </c>
      <c r="I1320" s="207"/>
      <c r="J1320" s="50"/>
      <c r="K1320" s="50">
        <f>IFERROR(__xludf.DUMMYFUNCTION("""COMPUTED_VALUE"""),2.0)</f>
        <v>2</v>
      </c>
      <c r="L1320" s="6"/>
      <c r="M1320" s="55"/>
      <c r="N1320" s="55">
        <f>IFERROR(__xludf.DUMMYFUNCTION("""COMPUTED_VALUE"""),1.0)</f>
        <v>1</v>
      </c>
      <c r="O1320" s="55" t="str">
        <f t="shared" si="3"/>
        <v/>
      </c>
      <c r="P1320" s="209"/>
      <c r="Q1320" s="75" t="b">
        <f>VLOOKUP($B1320,'Run Reconcile'!B$2:P1679,15,FALSE)</f>
        <v>1</v>
      </c>
      <c r="R1320" s="211" t="str">
        <f t="array" ref="R1320">IF($Q1320, INDEX('Run Reconcile'!A$2:A1679,MATCH(B1320,'Run Reconcile'!B$2:B1679,0),1),IFERROR(0/0,""))</f>
        <v>RUN-COMB_2022-07-08_RFR-074</v>
      </c>
      <c r="S1320" s="165" t="str">
        <f t="shared" ref="S1320:T1320" si="2639">IF(COUNTIF(W$2:W1679, $A1320) &gt; 0,TRUE,IFERROR(0/0,""))</f>
        <v/>
      </c>
      <c r="T1320" s="165" t="str">
        <f t="shared" si="2639"/>
        <v/>
      </c>
      <c r="U1320" s="147" t="str">
        <f t="array" ref="U1320">IF(ISBLANK($R1320), IF($S1320,VLOOKUP($B1320+1,'RFR Data - preExcl'!$BF$2:$BG1679,2,FALSE),IF($T1320,INDEX('RFR Data - preExcl'!$BF$2:$BG1679,MATCH($B1320,'RFR Data - preExcl'!$BF$2:$BF1679,0)+1,2),VLOOKUP($B1320,'RFR Data - preExcl'!$BF$2:$BG1679,2,FALSE))),IFERROR(0/0,""))</f>
        <v/>
      </c>
      <c r="V1320" s="212" t="str">
        <f t="shared" si="5"/>
        <v>RUN-COMB_2022-07-08_RFR-074</v>
      </c>
      <c r="W1320" s="51"/>
      <c r="X1320" s="51"/>
      <c r="Y1320" s="147" t="str">
        <f t="shared" ref="Y1320:Z1320" si="2640">IF(_xlfn.ISFORMULA(S1320),IFERROR(0/0,""),TRUE)</f>
        <v/>
      </c>
      <c r="Z1320" s="147" t="str">
        <f t="shared" si="2640"/>
        <v/>
      </c>
    </row>
    <row r="1321">
      <c r="A1321" s="6" t="str">
        <f>IFERROR(__xludf.DUMMYFUNCTION("""COMPUTED_VALUE"""),"FM2582")</f>
        <v>FM2582</v>
      </c>
      <c r="B1321" s="206">
        <f>IFERROR(__xludf.DUMMYFUNCTION("""COMPUTED_VALUE"""),44750.0)</f>
        <v>44750</v>
      </c>
      <c r="C1321" s="207">
        <f>IFERROR(__xludf.DUMMYFUNCTION("""COMPUTED_VALUE"""),0.2722685185185185)</f>
        <v>0.2722685185</v>
      </c>
      <c r="D1321" s="50"/>
      <c r="E1321" s="58"/>
      <c r="F1321" s="58"/>
      <c r="G1321" s="58" t="str">
        <f>IFERROR(__xludf.DUMMYFUNCTION("""COMPUTED_VALUE"""),"Null")</f>
        <v>Null</v>
      </c>
      <c r="H1321" s="206" t="str">
        <f>IFERROR(__xludf.DUMMYFUNCTION("""COMPUTED_VALUE"""),"Negative")</f>
        <v>Negative</v>
      </c>
      <c r="I1321" s="207"/>
      <c r="J1321" s="50"/>
      <c r="K1321" s="50">
        <f>IFERROR(__xludf.DUMMYFUNCTION("""COMPUTED_VALUE"""),2.0)</f>
        <v>2</v>
      </c>
      <c r="L1321" s="6"/>
      <c r="M1321" s="55"/>
      <c r="N1321" s="55">
        <f>IFERROR(__xludf.DUMMYFUNCTION("""COMPUTED_VALUE"""),1.0)</f>
        <v>1</v>
      </c>
      <c r="O1321" s="55" t="str">
        <f t="shared" si="3"/>
        <v/>
      </c>
      <c r="P1321" s="209"/>
      <c r="Q1321" s="75" t="b">
        <f>VLOOKUP($B1321,'Run Reconcile'!B$2:P1679,15,FALSE)</f>
        <v>1</v>
      </c>
      <c r="R1321" s="211" t="str">
        <f t="array" ref="R1321">IF($Q1321, INDEX('Run Reconcile'!A$2:A1679,MATCH(B1321,'Run Reconcile'!B$2:B1679,0),1),IFERROR(0/0,""))</f>
        <v>RUN-COMB_2022-07-08_RFR-074</v>
      </c>
      <c r="S1321" s="165" t="str">
        <f t="shared" ref="S1321:T1321" si="2641">IF(COUNTIF(W$2:W1679, $A1321) &gt; 0,TRUE,IFERROR(0/0,""))</f>
        <v/>
      </c>
      <c r="T1321" s="165" t="str">
        <f t="shared" si="2641"/>
        <v/>
      </c>
      <c r="U1321" s="147" t="str">
        <f t="array" ref="U1321">IF(ISBLANK($R1321), IF($S1321,VLOOKUP($B1321+1,'RFR Data - preExcl'!$BF$2:$BG1679,2,FALSE),IF($T1321,INDEX('RFR Data - preExcl'!$BF$2:$BG1679,MATCH($B1321,'RFR Data - preExcl'!$BF$2:$BF1679,0)+1,2),VLOOKUP($B1321,'RFR Data - preExcl'!$BF$2:$BG1679,2,FALSE))),IFERROR(0/0,""))</f>
        <v/>
      </c>
      <c r="V1321" s="212" t="str">
        <f t="shared" si="5"/>
        <v>RUN-COMB_2022-07-08_RFR-074</v>
      </c>
      <c r="W1321" s="51"/>
      <c r="X1321" s="51"/>
      <c r="Y1321" s="147" t="str">
        <f t="shared" ref="Y1321:Z1321" si="2642">IF(_xlfn.ISFORMULA(S1321),IFERROR(0/0,""),TRUE)</f>
        <v/>
      </c>
      <c r="Z1321" s="147" t="str">
        <f t="shared" si="2642"/>
        <v/>
      </c>
    </row>
    <row r="1322">
      <c r="A1322" s="6" t="str">
        <f>IFERROR(__xludf.DUMMYFUNCTION("""COMPUTED_VALUE"""),"FM2625")</f>
        <v>FM2625</v>
      </c>
      <c r="B1322" s="206">
        <f>IFERROR(__xludf.DUMMYFUNCTION("""COMPUTED_VALUE"""),44750.0)</f>
        <v>44750</v>
      </c>
      <c r="C1322" s="207">
        <f>IFERROR(__xludf.DUMMYFUNCTION("""COMPUTED_VALUE"""),0.2725578703703704)</f>
        <v>0.2725578704</v>
      </c>
      <c r="D1322" s="50"/>
      <c r="E1322" s="58"/>
      <c r="F1322" s="58"/>
      <c r="G1322" s="58" t="str">
        <f>IFERROR(__xludf.DUMMYFUNCTION("""COMPUTED_VALUE"""),"Null")</f>
        <v>Null</v>
      </c>
      <c r="H1322" s="206" t="str">
        <f>IFERROR(__xludf.DUMMYFUNCTION("""COMPUTED_VALUE"""),"Negative")</f>
        <v>Negative</v>
      </c>
      <c r="I1322" s="207"/>
      <c r="J1322" s="50"/>
      <c r="K1322" s="50">
        <f>IFERROR(__xludf.DUMMYFUNCTION("""COMPUTED_VALUE"""),2.0)</f>
        <v>2</v>
      </c>
      <c r="L1322" s="6"/>
      <c r="M1322" s="55"/>
      <c r="N1322" s="55">
        <f>IFERROR(__xludf.DUMMYFUNCTION("""COMPUTED_VALUE"""),1.0)</f>
        <v>1</v>
      </c>
      <c r="O1322" s="55" t="str">
        <f t="shared" si="3"/>
        <v/>
      </c>
      <c r="P1322" s="209"/>
      <c r="Q1322" s="75" t="b">
        <f>VLOOKUP($B1322,'Run Reconcile'!B$2:P1679,15,FALSE)</f>
        <v>1</v>
      </c>
      <c r="R1322" s="211" t="str">
        <f t="array" ref="R1322">IF($Q1322, INDEX('Run Reconcile'!A$2:A1679,MATCH(B1322,'Run Reconcile'!B$2:B1679,0),1),IFERROR(0/0,""))</f>
        <v>RUN-COMB_2022-07-08_RFR-074</v>
      </c>
      <c r="S1322" s="165" t="str">
        <f t="shared" ref="S1322:T1322" si="2643">IF(COUNTIF(W$2:W1679, $A1322) &gt; 0,TRUE,IFERROR(0/0,""))</f>
        <v/>
      </c>
      <c r="T1322" s="165" t="str">
        <f t="shared" si="2643"/>
        <v/>
      </c>
      <c r="U1322" s="147" t="str">
        <f t="array" ref="U1322">IF(ISBLANK($R1322), IF($S1322,VLOOKUP($B1322+1,'RFR Data - preExcl'!$BF$2:$BG1679,2,FALSE),IF($T1322,INDEX('RFR Data - preExcl'!$BF$2:$BG1679,MATCH($B1322,'RFR Data - preExcl'!$BF$2:$BF1679,0)+1,2),VLOOKUP($B1322,'RFR Data - preExcl'!$BF$2:$BG1679,2,FALSE))),IFERROR(0/0,""))</f>
        <v/>
      </c>
      <c r="V1322" s="212" t="str">
        <f t="shared" si="5"/>
        <v>RUN-COMB_2022-07-08_RFR-074</v>
      </c>
      <c r="W1322" s="51"/>
      <c r="X1322" s="51"/>
      <c r="Y1322" s="147" t="str">
        <f t="shared" ref="Y1322:Z1322" si="2644">IF(_xlfn.ISFORMULA(S1322),IFERROR(0/0,""),TRUE)</f>
        <v/>
      </c>
      <c r="Z1322" s="147" t="str">
        <f t="shared" si="2644"/>
        <v/>
      </c>
    </row>
    <row r="1323">
      <c r="A1323" s="6" t="str">
        <f>IFERROR(__xludf.DUMMYFUNCTION("""COMPUTED_VALUE"""),"FM2543")</f>
        <v>FM2543</v>
      </c>
      <c r="B1323" s="206">
        <f>IFERROR(__xludf.DUMMYFUNCTION("""COMPUTED_VALUE"""),44750.0)</f>
        <v>44750</v>
      </c>
      <c r="C1323" s="207">
        <f>IFERROR(__xludf.DUMMYFUNCTION("""COMPUTED_VALUE"""),0.27282407407407405)</f>
        <v>0.2728240741</v>
      </c>
      <c r="D1323" s="50"/>
      <c r="E1323" s="58"/>
      <c r="F1323" s="58"/>
      <c r="G1323" s="58" t="str">
        <f>IFERROR(__xludf.DUMMYFUNCTION("""COMPUTED_VALUE"""),"Null")</f>
        <v>Null</v>
      </c>
      <c r="H1323" s="206" t="str">
        <f>IFERROR(__xludf.DUMMYFUNCTION("""COMPUTED_VALUE"""),"Negative")</f>
        <v>Negative</v>
      </c>
      <c r="I1323" s="207"/>
      <c r="J1323" s="50"/>
      <c r="K1323" s="50">
        <f>IFERROR(__xludf.DUMMYFUNCTION("""COMPUTED_VALUE"""),2.0)</f>
        <v>2</v>
      </c>
      <c r="L1323" s="6"/>
      <c r="M1323" s="55"/>
      <c r="N1323" s="55">
        <f>IFERROR(__xludf.DUMMYFUNCTION("""COMPUTED_VALUE"""),1.0)</f>
        <v>1</v>
      </c>
      <c r="O1323" s="55" t="str">
        <f t="shared" si="3"/>
        <v/>
      </c>
      <c r="P1323" s="209"/>
      <c r="Q1323" s="75" t="b">
        <f>VLOOKUP($B1323,'Run Reconcile'!B$2:P1679,15,FALSE)</f>
        <v>1</v>
      </c>
      <c r="R1323" s="211" t="str">
        <f t="array" ref="R1323">IF($Q1323, INDEX('Run Reconcile'!A$2:A1679,MATCH(B1323,'Run Reconcile'!B$2:B1679,0),1),IFERROR(0/0,""))</f>
        <v>RUN-COMB_2022-07-08_RFR-074</v>
      </c>
      <c r="S1323" s="165" t="str">
        <f t="shared" ref="S1323:T1323" si="2645">IF(COUNTIF(W$2:W1679, $A1323) &gt; 0,TRUE,IFERROR(0/0,""))</f>
        <v/>
      </c>
      <c r="T1323" s="165" t="str">
        <f t="shared" si="2645"/>
        <v/>
      </c>
      <c r="U1323" s="147" t="str">
        <f t="array" ref="U1323">IF(ISBLANK($R1323), IF($S1323,VLOOKUP($B1323+1,'RFR Data - preExcl'!$BF$2:$BG1679,2,FALSE),IF($T1323,INDEX('RFR Data - preExcl'!$BF$2:$BG1679,MATCH($B1323,'RFR Data - preExcl'!$BF$2:$BF1679,0)+1,2),VLOOKUP($B1323,'RFR Data - preExcl'!$BF$2:$BG1679,2,FALSE))),IFERROR(0/0,""))</f>
        <v/>
      </c>
      <c r="V1323" s="212" t="str">
        <f t="shared" si="5"/>
        <v>RUN-COMB_2022-07-08_RFR-074</v>
      </c>
      <c r="W1323" s="51"/>
      <c r="X1323" s="51"/>
      <c r="Y1323" s="147" t="str">
        <f t="shared" ref="Y1323:Z1323" si="2646">IF(_xlfn.ISFORMULA(S1323),IFERROR(0/0,""),TRUE)</f>
        <v/>
      </c>
      <c r="Z1323" s="147" t="str">
        <f t="shared" si="2646"/>
        <v/>
      </c>
    </row>
    <row r="1324">
      <c r="A1324" s="6" t="str">
        <f>IFERROR(__xludf.DUMMYFUNCTION("""COMPUTED_VALUE"""),"FM2460")</f>
        <v>FM2460</v>
      </c>
      <c r="B1324" s="206">
        <f>IFERROR(__xludf.DUMMYFUNCTION("""COMPUTED_VALUE"""),44750.0)</f>
        <v>44750</v>
      </c>
      <c r="C1324" s="207">
        <f>IFERROR(__xludf.DUMMYFUNCTION("""COMPUTED_VALUE"""),0.2730787037037037)</f>
        <v>0.2730787037</v>
      </c>
      <c r="D1324" s="50"/>
      <c r="E1324" s="58"/>
      <c r="F1324" s="58"/>
      <c r="G1324" s="58" t="str">
        <f>IFERROR(__xludf.DUMMYFUNCTION("""COMPUTED_VALUE"""),"Null")</f>
        <v>Null</v>
      </c>
      <c r="H1324" s="206" t="str">
        <f>IFERROR(__xludf.DUMMYFUNCTION("""COMPUTED_VALUE"""),"Negative")</f>
        <v>Negative</v>
      </c>
      <c r="I1324" s="207"/>
      <c r="J1324" s="50"/>
      <c r="K1324" s="50">
        <f>IFERROR(__xludf.DUMMYFUNCTION("""COMPUTED_VALUE"""),2.0)</f>
        <v>2</v>
      </c>
      <c r="L1324" s="6"/>
      <c r="M1324" s="55"/>
      <c r="N1324" s="55">
        <f>IFERROR(__xludf.DUMMYFUNCTION("""COMPUTED_VALUE"""),1.0)</f>
        <v>1</v>
      </c>
      <c r="O1324" s="55" t="str">
        <f t="shared" si="3"/>
        <v/>
      </c>
      <c r="P1324" s="209"/>
      <c r="Q1324" s="75" t="b">
        <f>VLOOKUP($B1324,'Run Reconcile'!B$2:P1679,15,FALSE)</f>
        <v>1</v>
      </c>
      <c r="R1324" s="211" t="str">
        <f t="array" ref="R1324">IF($Q1324, INDEX('Run Reconcile'!A$2:A1679,MATCH(B1324,'Run Reconcile'!B$2:B1679,0),1),IFERROR(0/0,""))</f>
        <v>RUN-COMB_2022-07-08_RFR-074</v>
      </c>
      <c r="S1324" s="165" t="str">
        <f t="shared" ref="S1324:T1324" si="2647">IF(COUNTIF(W$2:W1679, $A1324) &gt; 0,TRUE,IFERROR(0/0,""))</f>
        <v/>
      </c>
      <c r="T1324" s="165" t="str">
        <f t="shared" si="2647"/>
        <v/>
      </c>
      <c r="U1324" s="147" t="str">
        <f t="array" ref="U1324">IF(ISBLANK($R1324), IF($S1324,VLOOKUP($B1324+1,'RFR Data - preExcl'!$BF$2:$BG1679,2,FALSE),IF($T1324,INDEX('RFR Data - preExcl'!$BF$2:$BG1679,MATCH($B1324,'RFR Data - preExcl'!$BF$2:$BF1679,0)+1,2),VLOOKUP($B1324,'RFR Data - preExcl'!$BF$2:$BG1679,2,FALSE))),IFERROR(0/0,""))</f>
        <v/>
      </c>
      <c r="V1324" s="212" t="str">
        <f t="shared" si="5"/>
        <v>RUN-COMB_2022-07-08_RFR-074</v>
      </c>
      <c r="W1324" s="51"/>
      <c r="X1324" s="51"/>
      <c r="Y1324" s="147" t="str">
        <f t="shared" ref="Y1324:Z1324" si="2648">IF(_xlfn.ISFORMULA(S1324),IFERROR(0/0,""),TRUE)</f>
        <v/>
      </c>
      <c r="Z1324" s="147" t="str">
        <f t="shared" si="2648"/>
        <v/>
      </c>
    </row>
    <row r="1325">
      <c r="A1325" s="6" t="str">
        <f>IFERROR(__xludf.DUMMYFUNCTION("""COMPUTED_VALUE"""),"FM2420")</f>
        <v>FM2420</v>
      </c>
      <c r="B1325" s="206">
        <f>IFERROR(__xludf.DUMMYFUNCTION("""COMPUTED_VALUE"""),44750.0)</f>
        <v>44750</v>
      </c>
      <c r="C1325" s="207">
        <f>IFERROR(__xludf.DUMMYFUNCTION("""COMPUTED_VALUE"""),0.2733564814814815)</f>
        <v>0.2733564815</v>
      </c>
      <c r="D1325" s="50"/>
      <c r="E1325" s="58"/>
      <c r="F1325" s="58"/>
      <c r="G1325" s="58" t="str">
        <f>IFERROR(__xludf.DUMMYFUNCTION("""COMPUTED_VALUE"""),"Null")</f>
        <v>Null</v>
      </c>
      <c r="H1325" s="206" t="str">
        <f>IFERROR(__xludf.DUMMYFUNCTION("""COMPUTED_VALUE"""),"Negative")</f>
        <v>Negative</v>
      </c>
      <c r="I1325" s="207"/>
      <c r="J1325" s="50"/>
      <c r="K1325" s="50">
        <f>IFERROR(__xludf.DUMMYFUNCTION("""COMPUTED_VALUE"""),2.0)</f>
        <v>2</v>
      </c>
      <c r="L1325" s="6"/>
      <c r="M1325" s="55"/>
      <c r="N1325" s="55">
        <f>IFERROR(__xludf.DUMMYFUNCTION("""COMPUTED_VALUE"""),1.0)</f>
        <v>1</v>
      </c>
      <c r="O1325" s="55" t="str">
        <f t="shared" si="3"/>
        <v/>
      </c>
      <c r="P1325" s="209"/>
      <c r="Q1325" s="75" t="b">
        <f>VLOOKUP($B1325,'Run Reconcile'!B$2:P1679,15,FALSE)</f>
        <v>1</v>
      </c>
      <c r="R1325" s="211" t="str">
        <f t="array" ref="R1325">IF($Q1325, INDEX('Run Reconcile'!A$2:A1679,MATCH(B1325,'Run Reconcile'!B$2:B1679,0),1),IFERROR(0/0,""))</f>
        <v>RUN-COMB_2022-07-08_RFR-074</v>
      </c>
      <c r="S1325" s="165" t="str">
        <f t="shared" ref="S1325:T1325" si="2649">IF(COUNTIF(W$2:W1679, $A1325) &gt; 0,TRUE,IFERROR(0/0,""))</f>
        <v/>
      </c>
      <c r="T1325" s="165" t="str">
        <f t="shared" si="2649"/>
        <v/>
      </c>
      <c r="U1325" s="147" t="str">
        <f t="array" ref="U1325">IF(ISBLANK($R1325), IF($S1325,VLOOKUP($B1325+1,'RFR Data - preExcl'!$BF$2:$BG1679,2,FALSE),IF($T1325,INDEX('RFR Data - preExcl'!$BF$2:$BG1679,MATCH($B1325,'RFR Data - preExcl'!$BF$2:$BF1679,0)+1,2),VLOOKUP($B1325,'RFR Data - preExcl'!$BF$2:$BG1679,2,FALSE))),IFERROR(0/0,""))</f>
        <v/>
      </c>
      <c r="V1325" s="212" t="str">
        <f t="shared" si="5"/>
        <v>RUN-COMB_2022-07-08_RFR-074</v>
      </c>
      <c r="W1325" s="51"/>
      <c r="X1325" s="51"/>
      <c r="Y1325" s="147" t="str">
        <f t="shared" ref="Y1325:Z1325" si="2650">IF(_xlfn.ISFORMULA(S1325),IFERROR(0/0,""),TRUE)</f>
        <v/>
      </c>
      <c r="Z1325" s="147" t="str">
        <f t="shared" si="2650"/>
        <v/>
      </c>
    </row>
    <row r="1326">
      <c r="A1326" s="6" t="str">
        <f>IFERROR(__xludf.DUMMYFUNCTION("""COMPUTED_VALUE"""),"FM2432")</f>
        <v>FM2432</v>
      </c>
      <c r="B1326" s="206">
        <f>IFERROR(__xludf.DUMMYFUNCTION("""COMPUTED_VALUE"""),44750.0)</f>
        <v>44750</v>
      </c>
      <c r="C1326" s="207">
        <f>IFERROR(__xludf.DUMMYFUNCTION("""COMPUTED_VALUE"""),0.2736226851851852)</f>
        <v>0.2736226852</v>
      </c>
      <c r="D1326" s="50"/>
      <c r="E1326" s="58"/>
      <c r="F1326" s="58"/>
      <c r="G1326" s="58" t="str">
        <f>IFERROR(__xludf.DUMMYFUNCTION("""COMPUTED_VALUE"""),"Null")</f>
        <v>Null</v>
      </c>
      <c r="H1326" s="206" t="str">
        <f>IFERROR(__xludf.DUMMYFUNCTION("""COMPUTED_VALUE"""),"Negative")</f>
        <v>Negative</v>
      </c>
      <c r="I1326" s="207"/>
      <c r="J1326" s="50"/>
      <c r="K1326" s="50">
        <f>IFERROR(__xludf.DUMMYFUNCTION("""COMPUTED_VALUE"""),2.0)</f>
        <v>2</v>
      </c>
      <c r="L1326" s="6"/>
      <c r="M1326" s="55"/>
      <c r="N1326" s="55">
        <f>IFERROR(__xludf.DUMMYFUNCTION("""COMPUTED_VALUE"""),1.0)</f>
        <v>1</v>
      </c>
      <c r="O1326" s="55" t="str">
        <f t="shared" si="3"/>
        <v/>
      </c>
      <c r="P1326" s="209"/>
      <c r="Q1326" s="75" t="b">
        <f>VLOOKUP($B1326,'Run Reconcile'!B$2:P1679,15,FALSE)</f>
        <v>1</v>
      </c>
      <c r="R1326" s="211" t="str">
        <f t="array" ref="R1326">IF($Q1326, INDEX('Run Reconcile'!A$2:A1679,MATCH(B1326,'Run Reconcile'!B$2:B1679,0),1),IFERROR(0/0,""))</f>
        <v>RUN-COMB_2022-07-08_RFR-074</v>
      </c>
      <c r="S1326" s="165" t="str">
        <f t="shared" ref="S1326:T1326" si="2651">IF(COUNTIF(W$2:W1679, $A1326) &gt; 0,TRUE,IFERROR(0/0,""))</f>
        <v/>
      </c>
      <c r="T1326" s="165" t="str">
        <f t="shared" si="2651"/>
        <v/>
      </c>
      <c r="U1326" s="147" t="str">
        <f t="array" ref="U1326">IF(ISBLANK($R1326), IF($S1326,VLOOKUP($B1326+1,'RFR Data - preExcl'!$BF$2:$BG1679,2,FALSE),IF($T1326,INDEX('RFR Data - preExcl'!$BF$2:$BG1679,MATCH($B1326,'RFR Data - preExcl'!$BF$2:$BF1679,0)+1,2),VLOOKUP($B1326,'RFR Data - preExcl'!$BF$2:$BG1679,2,FALSE))),IFERROR(0/0,""))</f>
        <v/>
      </c>
      <c r="V1326" s="212" t="str">
        <f t="shared" si="5"/>
        <v>RUN-COMB_2022-07-08_RFR-074</v>
      </c>
      <c r="W1326" s="51"/>
      <c r="X1326" s="51"/>
      <c r="Y1326" s="147" t="str">
        <f t="shared" ref="Y1326:Z1326" si="2652">IF(_xlfn.ISFORMULA(S1326),IFERROR(0/0,""),TRUE)</f>
        <v/>
      </c>
      <c r="Z1326" s="147" t="str">
        <f t="shared" si="2652"/>
        <v/>
      </c>
    </row>
    <row r="1327">
      <c r="A1327" s="6" t="str">
        <f>IFERROR(__xludf.DUMMYFUNCTION("""COMPUTED_VALUE"""),"FM2524")</f>
        <v>FM2524</v>
      </c>
      <c r="B1327" s="206">
        <f>IFERROR(__xludf.DUMMYFUNCTION("""COMPUTED_VALUE"""),44750.0)</f>
        <v>44750</v>
      </c>
      <c r="C1327" s="207">
        <f>IFERROR(__xludf.DUMMYFUNCTION("""COMPUTED_VALUE"""),0.27392361111111113)</f>
        <v>0.2739236111</v>
      </c>
      <c r="D1327" s="50"/>
      <c r="E1327" s="58"/>
      <c r="F1327" s="58"/>
      <c r="G1327" s="58" t="str">
        <f>IFERROR(__xludf.DUMMYFUNCTION("""COMPUTED_VALUE"""),"Null")</f>
        <v>Null</v>
      </c>
      <c r="H1327" s="206" t="str">
        <f>IFERROR(__xludf.DUMMYFUNCTION("""COMPUTED_VALUE"""),"Negative")</f>
        <v>Negative</v>
      </c>
      <c r="I1327" s="207"/>
      <c r="J1327" s="50"/>
      <c r="K1327" s="50">
        <f>IFERROR(__xludf.DUMMYFUNCTION("""COMPUTED_VALUE"""),2.0)</f>
        <v>2</v>
      </c>
      <c r="L1327" s="6"/>
      <c r="M1327" s="55"/>
      <c r="N1327" s="55">
        <f>IFERROR(__xludf.DUMMYFUNCTION("""COMPUTED_VALUE"""),1.0)</f>
        <v>1</v>
      </c>
      <c r="O1327" s="55" t="str">
        <f t="shared" si="3"/>
        <v/>
      </c>
      <c r="P1327" s="209"/>
      <c r="Q1327" s="75" t="b">
        <f>VLOOKUP($B1327,'Run Reconcile'!B$2:P1679,15,FALSE)</f>
        <v>1</v>
      </c>
      <c r="R1327" s="211" t="str">
        <f t="array" ref="R1327">IF($Q1327, INDEX('Run Reconcile'!A$2:A1679,MATCH(B1327,'Run Reconcile'!B$2:B1679,0),1),IFERROR(0/0,""))</f>
        <v>RUN-COMB_2022-07-08_RFR-074</v>
      </c>
      <c r="S1327" s="165" t="str">
        <f t="shared" ref="S1327:T1327" si="2653">IF(COUNTIF(W$2:W1679, $A1327) &gt; 0,TRUE,IFERROR(0/0,""))</f>
        <v/>
      </c>
      <c r="T1327" s="165" t="str">
        <f t="shared" si="2653"/>
        <v/>
      </c>
      <c r="U1327" s="147" t="str">
        <f t="array" ref="U1327">IF(ISBLANK($R1327), IF($S1327,VLOOKUP($B1327+1,'RFR Data - preExcl'!$BF$2:$BG1679,2,FALSE),IF($T1327,INDEX('RFR Data - preExcl'!$BF$2:$BG1679,MATCH($B1327,'RFR Data - preExcl'!$BF$2:$BF1679,0)+1,2),VLOOKUP($B1327,'RFR Data - preExcl'!$BF$2:$BG1679,2,FALSE))),IFERROR(0/0,""))</f>
        <v/>
      </c>
      <c r="V1327" s="212" t="str">
        <f t="shared" si="5"/>
        <v>RUN-COMB_2022-07-08_RFR-074</v>
      </c>
      <c r="W1327" s="51"/>
      <c r="X1327" s="51"/>
      <c r="Y1327" s="147" t="str">
        <f t="shared" ref="Y1327:Z1327" si="2654">IF(_xlfn.ISFORMULA(S1327),IFERROR(0/0,""),TRUE)</f>
        <v/>
      </c>
      <c r="Z1327" s="147" t="str">
        <f t="shared" si="2654"/>
        <v/>
      </c>
    </row>
    <row r="1328">
      <c r="A1328" s="6" t="str">
        <f>IFERROR(__xludf.DUMMYFUNCTION("""COMPUTED_VALUE"""),"FM2554")</f>
        <v>FM2554</v>
      </c>
      <c r="B1328" s="206">
        <f>IFERROR(__xludf.DUMMYFUNCTION("""COMPUTED_VALUE"""),44750.0)</f>
        <v>44750</v>
      </c>
      <c r="C1328" s="207">
        <f>IFERROR(__xludf.DUMMYFUNCTION("""COMPUTED_VALUE"""),0.27421296296296294)</f>
        <v>0.274212963</v>
      </c>
      <c r="D1328" s="50"/>
      <c r="E1328" s="58"/>
      <c r="F1328" s="58"/>
      <c r="G1328" s="58" t="str">
        <f>IFERROR(__xludf.DUMMYFUNCTION("""COMPUTED_VALUE"""),"Null")</f>
        <v>Null</v>
      </c>
      <c r="H1328" s="206" t="str">
        <f>IFERROR(__xludf.DUMMYFUNCTION("""COMPUTED_VALUE"""),"Negative")</f>
        <v>Negative</v>
      </c>
      <c r="I1328" s="207"/>
      <c r="J1328" s="50"/>
      <c r="K1328" s="50">
        <f>IFERROR(__xludf.DUMMYFUNCTION("""COMPUTED_VALUE"""),2.0)</f>
        <v>2</v>
      </c>
      <c r="L1328" s="6"/>
      <c r="M1328" s="55"/>
      <c r="N1328" s="55">
        <f>IFERROR(__xludf.DUMMYFUNCTION("""COMPUTED_VALUE"""),1.0)</f>
        <v>1</v>
      </c>
      <c r="O1328" s="55" t="str">
        <f t="shared" si="3"/>
        <v/>
      </c>
      <c r="P1328" s="209"/>
      <c r="Q1328" s="75" t="b">
        <f>VLOOKUP($B1328,'Run Reconcile'!B$2:P1679,15,FALSE)</f>
        <v>1</v>
      </c>
      <c r="R1328" s="211" t="str">
        <f t="array" ref="R1328">IF($Q1328, INDEX('Run Reconcile'!A$2:A1679,MATCH(B1328,'Run Reconcile'!B$2:B1679,0),1),IFERROR(0/0,""))</f>
        <v>RUN-COMB_2022-07-08_RFR-074</v>
      </c>
      <c r="S1328" s="165" t="str">
        <f t="shared" ref="S1328:T1328" si="2655">IF(COUNTIF(W$2:W1679, $A1328) &gt; 0,TRUE,IFERROR(0/0,""))</f>
        <v/>
      </c>
      <c r="T1328" s="165" t="str">
        <f t="shared" si="2655"/>
        <v/>
      </c>
      <c r="U1328" s="147" t="str">
        <f t="array" ref="U1328">IF(ISBLANK($R1328), IF($S1328,VLOOKUP($B1328+1,'RFR Data - preExcl'!$BF$2:$BG1679,2,FALSE),IF($T1328,INDEX('RFR Data - preExcl'!$BF$2:$BG1679,MATCH($B1328,'RFR Data - preExcl'!$BF$2:$BF1679,0)+1,2),VLOOKUP($B1328,'RFR Data - preExcl'!$BF$2:$BG1679,2,FALSE))),IFERROR(0/0,""))</f>
        <v/>
      </c>
      <c r="V1328" s="212" t="str">
        <f t="shared" si="5"/>
        <v>RUN-COMB_2022-07-08_RFR-074</v>
      </c>
      <c r="W1328" s="51"/>
      <c r="X1328" s="51"/>
      <c r="Y1328" s="147" t="str">
        <f t="shared" ref="Y1328:Z1328" si="2656">IF(_xlfn.ISFORMULA(S1328),IFERROR(0/0,""),TRUE)</f>
        <v/>
      </c>
      <c r="Z1328" s="147" t="str">
        <f t="shared" si="2656"/>
        <v/>
      </c>
    </row>
    <row r="1329">
      <c r="A1329" s="6" t="str">
        <f>IFERROR(__xludf.DUMMYFUNCTION("""COMPUTED_VALUE"""),"FM2526")</f>
        <v>FM2526</v>
      </c>
      <c r="B1329" s="206">
        <f>IFERROR(__xludf.DUMMYFUNCTION("""COMPUTED_VALUE"""),44750.0)</f>
        <v>44750</v>
      </c>
      <c r="C1329" s="207">
        <f>IFERROR(__xludf.DUMMYFUNCTION("""COMPUTED_VALUE"""),0.2752777777777778)</f>
        <v>0.2752777778</v>
      </c>
      <c r="D1329" s="50"/>
      <c r="E1329" s="58"/>
      <c r="F1329" s="58"/>
      <c r="G1329" s="58" t="str">
        <f>IFERROR(__xludf.DUMMYFUNCTION("""COMPUTED_VALUE"""),"Null")</f>
        <v>Null</v>
      </c>
      <c r="H1329" s="206" t="str">
        <f>IFERROR(__xludf.DUMMYFUNCTION("""COMPUTED_VALUE"""),"Negative")</f>
        <v>Negative</v>
      </c>
      <c r="I1329" s="207"/>
      <c r="J1329" s="50"/>
      <c r="K1329" s="50">
        <f>IFERROR(__xludf.DUMMYFUNCTION("""COMPUTED_VALUE"""),2.0)</f>
        <v>2</v>
      </c>
      <c r="L1329" s="6"/>
      <c r="M1329" s="55"/>
      <c r="N1329" s="55">
        <f>IFERROR(__xludf.DUMMYFUNCTION("""COMPUTED_VALUE"""),1.0)</f>
        <v>1</v>
      </c>
      <c r="O1329" s="55" t="str">
        <f t="shared" si="3"/>
        <v/>
      </c>
      <c r="P1329" s="209"/>
      <c r="Q1329" s="75" t="b">
        <f>VLOOKUP($B1329,'Run Reconcile'!B$2:P1679,15,FALSE)</f>
        <v>1</v>
      </c>
      <c r="R1329" s="211" t="str">
        <f t="array" ref="R1329">IF($Q1329, INDEX('Run Reconcile'!A$2:A1679,MATCH(B1329,'Run Reconcile'!B$2:B1679,0),1),IFERROR(0/0,""))</f>
        <v>RUN-COMB_2022-07-08_RFR-074</v>
      </c>
      <c r="S1329" s="165" t="str">
        <f t="shared" ref="S1329:T1329" si="2657">IF(COUNTIF(W$2:W1679, $A1329) &gt; 0,TRUE,IFERROR(0/0,""))</f>
        <v/>
      </c>
      <c r="T1329" s="165" t="str">
        <f t="shared" si="2657"/>
        <v/>
      </c>
      <c r="U1329" s="147" t="str">
        <f t="array" ref="U1329">IF(ISBLANK($R1329), IF($S1329,VLOOKUP($B1329+1,'RFR Data - preExcl'!$BF$2:$BG1679,2,FALSE),IF($T1329,INDEX('RFR Data - preExcl'!$BF$2:$BG1679,MATCH($B1329,'RFR Data - preExcl'!$BF$2:$BF1679,0)+1,2),VLOOKUP($B1329,'RFR Data - preExcl'!$BF$2:$BG1679,2,FALSE))),IFERROR(0/0,""))</f>
        <v/>
      </c>
      <c r="V1329" s="212" t="str">
        <f t="shared" si="5"/>
        <v>RUN-COMB_2022-07-08_RFR-074</v>
      </c>
      <c r="W1329" s="51"/>
      <c r="X1329" s="51"/>
      <c r="Y1329" s="147" t="str">
        <f t="shared" ref="Y1329:Z1329" si="2658">IF(_xlfn.ISFORMULA(S1329),IFERROR(0/0,""),TRUE)</f>
        <v/>
      </c>
      <c r="Z1329" s="147" t="str">
        <f t="shared" si="2658"/>
        <v/>
      </c>
    </row>
    <row r="1330">
      <c r="A1330" s="6" t="str">
        <f>IFERROR(__xludf.DUMMYFUNCTION("""COMPUTED_VALUE"""),"FM2585")</f>
        <v>FM2585</v>
      </c>
      <c r="B1330" s="206">
        <f>IFERROR(__xludf.DUMMYFUNCTION("""COMPUTED_VALUE"""),44750.0)</f>
        <v>44750</v>
      </c>
      <c r="C1330" s="207">
        <f>IFERROR(__xludf.DUMMYFUNCTION("""COMPUTED_VALUE"""),0.2757060185185185)</f>
        <v>0.2757060185</v>
      </c>
      <c r="D1330" s="50"/>
      <c r="E1330" s="58"/>
      <c r="F1330" s="58"/>
      <c r="G1330" s="58" t="str">
        <f>IFERROR(__xludf.DUMMYFUNCTION("""COMPUTED_VALUE"""),"Null")</f>
        <v>Null</v>
      </c>
      <c r="H1330" s="206" t="str">
        <f>IFERROR(__xludf.DUMMYFUNCTION("""COMPUTED_VALUE"""),"Negative")</f>
        <v>Negative</v>
      </c>
      <c r="I1330" s="207"/>
      <c r="J1330" s="50"/>
      <c r="K1330" s="50">
        <f>IFERROR(__xludf.DUMMYFUNCTION("""COMPUTED_VALUE"""),2.0)</f>
        <v>2</v>
      </c>
      <c r="L1330" s="6"/>
      <c r="M1330" s="55"/>
      <c r="N1330" s="55">
        <f>IFERROR(__xludf.DUMMYFUNCTION("""COMPUTED_VALUE"""),1.0)</f>
        <v>1</v>
      </c>
      <c r="O1330" s="55" t="str">
        <f t="shared" si="3"/>
        <v/>
      </c>
      <c r="P1330" s="209"/>
      <c r="Q1330" s="75" t="b">
        <f>VLOOKUP($B1330,'Run Reconcile'!B$2:P1679,15,FALSE)</f>
        <v>1</v>
      </c>
      <c r="R1330" s="211" t="str">
        <f t="array" ref="R1330">IF($Q1330, INDEX('Run Reconcile'!A$2:A1679,MATCH(B1330,'Run Reconcile'!B$2:B1679,0),1),IFERROR(0/0,""))</f>
        <v>RUN-COMB_2022-07-08_RFR-074</v>
      </c>
      <c r="S1330" s="165" t="str">
        <f t="shared" ref="S1330:T1330" si="2659">IF(COUNTIF(W$2:W1679, $A1330) &gt; 0,TRUE,IFERROR(0/0,""))</f>
        <v/>
      </c>
      <c r="T1330" s="165" t="str">
        <f t="shared" si="2659"/>
        <v/>
      </c>
      <c r="U1330" s="147" t="str">
        <f t="array" ref="U1330">IF(ISBLANK($R1330), IF($S1330,VLOOKUP($B1330+1,'RFR Data - preExcl'!$BF$2:$BG1679,2,FALSE),IF($T1330,INDEX('RFR Data - preExcl'!$BF$2:$BG1679,MATCH($B1330,'RFR Data - preExcl'!$BF$2:$BF1679,0)+1,2),VLOOKUP($B1330,'RFR Data - preExcl'!$BF$2:$BG1679,2,FALSE))),IFERROR(0/0,""))</f>
        <v/>
      </c>
      <c r="V1330" s="212" t="str">
        <f t="shared" si="5"/>
        <v>RUN-COMB_2022-07-08_RFR-074</v>
      </c>
      <c r="W1330" s="51"/>
      <c r="X1330" s="51"/>
      <c r="Y1330" s="147" t="str">
        <f t="shared" ref="Y1330:Z1330" si="2660">IF(_xlfn.ISFORMULA(S1330),IFERROR(0/0,""),TRUE)</f>
        <v/>
      </c>
      <c r="Z1330" s="147" t="str">
        <f t="shared" si="2660"/>
        <v/>
      </c>
    </row>
    <row r="1331">
      <c r="A1331" s="6" t="str">
        <f>IFERROR(__xludf.DUMMYFUNCTION("""COMPUTED_VALUE"""),"FM2572")</f>
        <v>FM2572</v>
      </c>
      <c r="B1331" s="206">
        <f>IFERROR(__xludf.DUMMYFUNCTION("""COMPUTED_VALUE"""),44750.0)</f>
        <v>44750</v>
      </c>
      <c r="C1331" s="207">
        <f>IFERROR(__xludf.DUMMYFUNCTION("""COMPUTED_VALUE"""),0.27596064814814814)</f>
        <v>0.2759606481</v>
      </c>
      <c r="D1331" s="50"/>
      <c r="E1331" s="58"/>
      <c r="F1331" s="58"/>
      <c r="G1331" s="58" t="str">
        <f>IFERROR(__xludf.DUMMYFUNCTION("""COMPUTED_VALUE"""),"Null")</f>
        <v>Null</v>
      </c>
      <c r="H1331" s="206" t="str">
        <f>IFERROR(__xludf.DUMMYFUNCTION("""COMPUTED_VALUE"""),"Negative")</f>
        <v>Negative</v>
      </c>
      <c r="I1331" s="207"/>
      <c r="J1331" s="50"/>
      <c r="K1331" s="50">
        <f>IFERROR(__xludf.DUMMYFUNCTION("""COMPUTED_VALUE"""),2.0)</f>
        <v>2</v>
      </c>
      <c r="L1331" s="6"/>
      <c r="M1331" s="55"/>
      <c r="N1331" s="55">
        <f>IFERROR(__xludf.DUMMYFUNCTION("""COMPUTED_VALUE"""),1.0)</f>
        <v>1</v>
      </c>
      <c r="O1331" s="55" t="str">
        <f t="shared" si="3"/>
        <v/>
      </c>
      <c r="P1331" s="209"/>
      <c r="Q1331" s="75" t="b">
        <f>VLOOKUP($B1331,'Run Reconcile'!B$2:P1679,15,FALSE)</f>
        <v>1</v>
      </c>
      <c r="R1331" s="211" t="str">
        <f t="array" ref="R1331">IF($Q1331, INDEX('Run Reconcile'!A$2:A1679,MATCH(B1331,'Run Reconcile'!B$2:B1679,0),1),IFERROR(0/0,""))</f>
        <v>RUN-COMB_2022-07-08_RFR-074</v>
      </c>
      <c r="S1331" s="165" t="str">
        <f t="shared" ref="S1331:T1331" si="2661">IF(COUNTIF(W$2:W1679, $A1331) &gt; 0,TRUE,IFERROR(0/0,""))</f>
        <v/>
      </c>
      <c r="T1331" s="165" t="str">
        <f t="shared" si="2661"/>
        <v/>
      </c>
      <c r="U1331" s="147" t="str">
        <f t="array" ref="U1331">IF(ISBLANK($R1331), IF($S1331,VLOOKUP($B1331+1,'RFR Data - preExcl'!$BF$2:$BG1679,2,FALSE),IF($T1331,INDEX('RFR Data - preExcl'!$BF$2:$BG1679,MATCH($B1331,'RFR Data - preExcl'!$BF$2:$BF1679,0)+1,2),VLOOKUP($B1331,'RFR Data - preExcl'!$BF$2:$BG1679,2,FALSE))),IFERROR(0/0,""))</f>
        <v/>
      </c>
      <c r="V1331" s="212" t="str">
        <f t="shared" si="5"/>
        <v>RUN-COMB_2022-07-08_RFR-074</v>
      </c>
      <c r="W1331" s="51"/>
      <c r="X1331" s="51"/>
      <c r="Y1331" s="147" t="str">
        <f t="shared" ref="Y1331:Z1331" si="2662">IF(_xlfn.ISFORMULA(S1331),IFERROR(0/0,""),TRUE)</f>
        <v/>
      </c>
      <c r="Z1331" s="147" t="str">
        <f t="shared" si="2662"/>
        <v/>
      </c>
    </row>
    <row r="1332">
      <c r="A1332" s="6" t="str">
        <f>IFERROR(__xludf.DUMMYFUNCTION("""COMPUTED_VALUE"""),"FM2534")</f>
        <v>FM2534</v>
      </c>
      <c r="B1332" s="206">
        <f>IFERROR(__xludf.DUMMYFUNCTION("""COMPUTED_VALUE"""),44750.0)</f>
        <v>44750</v>
      </c>
      <c r="C1332" s="207">
        <f>IFERROR(__xludf.DUMMYFUNCTION("""COMPUTED_VALUE"""),0.2763888888888889)</f>
        <v>0.2763888889</v>
      </c>
      <c r="D1332" s="50"/>
      <c r="E1332" s="58"/>
      <c r="F1332" s="58"/>
      <c r="G1332" s="58" t="str">
        <f>IFERROR(__xludf.DUMMYFUNCTION("""COMPUTED_VALUE"""),"Null")</f>
        <v>Null</v>
      </c>
      <c r="H1332" s="206" t="str">
        <f>IFERROR(__xludf.DUMMYFUNCTION("""COMPUTED_VALUE"""),"Negative")</f>
        <v>Negative</v>
      </c>
      <c r="I1332" s="207"/>
      <c r="J1332" s="50"/>
      <c r="K1332" s="50">
        <f>IFERROR(__xludf.DUMMYFUNCTION("""COMPUTED_VALUE"""),2.0)</f>
        <v>2</v>
      </c>
      <c r="L1332" s="6"/>
      <c r="M1332" s="55"/>
      <c r="N1332" s="55">
        <f>IFERROR(__xludf.DUMMYFUNCTION("""COMPUTED_VALUE"""),1.0)</f>
        <v>1</v>
      </c>
      <c r="O1332" s="55" t="str">
        <f t="shared" si="3"/>
        <v/>
      </c>
      <c r="P1332" s="209"/>
      <c r="Q1332" s="75" t="b">
        <f>VLOOKUP($B1332,'Run Reconcile'!B$2:P1679,15,FALSE)</f>
        <v>1</v>
      </c>
      <c r="R1332" s="211" t="str">
        <f t="array" ref="R1332">IF($Q1332, INDEX('Run Reconcile'!A$2:A1679,MATCH(B1332,'Run Reconcile'!B$2:B1679,0),1),IFERROR(0/0,""))</f>
        <v>RUN-COMB_2022-07-08_RFR-074</v>
      </c>
      <c r="S1332" s="165" t="str">
        <f t="shared" ref="S1332:T1332" si="2663">IF(COUNTIF(W$2:W1679, $A1332) &gt; 0,TRUE,IFERROR(0/0,""))</f>
        <v/>
      </c>
      <c r="T1332" s="165" t="str">
        <f t="shared" si="2663"/>
        <v/>
      </c>
      <c r="U1332" s="147" t="str">
        <f t="array" ref="U1332">IF(ISBLANK($R1332), IF($S1332,VLOOKUP($B1332+1,'RFR Data - preExcl'!$BF$2:$BG1679,2,FALSE),IF($T1332,INDEX('RFR Data - preExcl'!$BF$2:$BG1679,MATCH($B1332,'RFR Data - preExcl'!$BF$2:$BF1679,0)+1,2),VLOOKUP($B1332,'RFR Data - preExcl'!$BF$2:$BG1679,2,FALSE))),IFERROR(0/0,""))</f>
        <v/>
      </c>
      <c r="V1332" s="212" t="str">
        <f t="shared" si="5"/>
        <v>RUN-COMB_2022-07-08_RFR-074</v>
      </c>
      <c r="W1332" s="51"/>
      <c r="X1332" s="51"/>
      <c r="Y1332" s="147" t="str">
        <f t="shared" ref="Y1332:Z1332" si="2664">IF(_xlfn.ISFORMULA(S1332),IFERROR(0/0,""),TRUE)</f>
        <v/>
      </c>
      <c r="Z1332" s="147" t="str">
        <f t="shared" si="2664"/>
        <v/>
      </c>
    </row>
    <row r="1333">
      <c r="A1333" s="6" t="str">
        <f>IFERROR(__xludf.DUMMYFUNCTION("""COMPUTED_VALUE"""),"FM2521")</f>
        <v>FM2521</v>
      </c>
      <c r="B1333" s="206">
        <f>IFERROR(__xludf.DUMMYFUNCTION("""COMPUTED_VALUE"""),44750.0)</f>
        <v>44750</v>
      </c>
      <c r="C1333" s="207">
        <f>IFERROR(__xludf.DUMMYFUNCTION("""COMPUTED_VALUE"""),0.27667824074074077)</f>
        <v>0.2766782407</v>
      </c>
      <c r="D1333" s="50"/>
      <c r="E1333" s="58"/>
      <c r="F1333" s="58"/>
      <c r="G1333" s="58" t="str">
        <f>IFERROR(__xludf.DUMMYFUNCTION("""COMPUTED_VALUE"""),"Null")</f>
        <v>Null</v>
      </c>
      <c r="H1333" s="206" t="str">
        <f>IFERROR(__xludf.DUMMYFUNCTION("""COMPUTED_VALUE"""),"Negative")</f>
        <v>Negative</v>
      </c>
      <c r="I1333" s="207"/>
      <c r="J1333" s="50"/>
      <c r="K1333" s="50">
        <f>IFERROR(__xludf.DUMMYFUNCTION("""COMPUTED_VALUE"""),2.0)</f>
        <v>2</v>
      </c>
      <c r="L1333" s="6"/>
      <c r="M1333" s="55"/>
      <c r="N1333" s="55">
        <f>IFERROR(__xludf.DUMMYFUNCTION("""COMPUTED_VALUE"""),1.0)</f>
        <v>1</v>
      </c>
      <c r="O1333" s="55" t="str">
        <f t="shared" si="3"/>
        <v/>
      </c>
      <c r="P1333" s="209"/>
      <c r="Q1333" s="75" t="b">
        <f>VLOOKUP($B1333,'Run Reconcile'!B$2:P1679,15,FALSE)</f>
        <v>1</v>
      </c>
      <c r="R1333" s="211" t="str">
        <f t="array" ref="R1333">IF($Q1333, INDEX('Run Reconcile'!A$2:A1679,MATCH(B1333,'Run Reconcile'!B$2:B1679,0),1),IFERROR(0/0,""))</f>
        <v>RUN-COMB_2022-07-08_RFR-074</v>
      </c>
      <c r="S1333" s="165" t="str">
        <f t="shared" ref="S1333:T1333" si="2665">IF(COUNTIF(W$2:W1679, $A1333) &gt; 0,TRUE,IFERROR(0/0,""))</f>
        <v/>
      </c>
      <c r="T1333" s="165" t="str">
        <f t="shared" si="2665"/>
        <v/>
      </c>
      <c r="U1333" s="147" t="str">
        <f t="array" ref="U1333">IF(ISBLANK($R1333), IF($S1333,VLOOKUP($B1333+1,'RFR Data - preExcl'!$BF$2:$BG1679,2,FALSE),IF($T1333,INDEX('RFR Data - preExcl'!$BF$2:$BG1679,MATCH($B1333,'RFR Data - preExcl'!$BF$2:$BF1679,0)+1,2),VLOOKUP($B1333,'RFR Data - preExcl'!$BF$2:$BG1679,2,FALSE))),IFERROR(0/0,""))</f>
        <v/>
      </c>
      <c r="V1333" s="212" t="str">
        <f t="shared" si="5"/>
        <v>RUN-COMB_2022-07-08_RFR-074</v>
      </c>
      <c r="W1333" s="51"/>
      <c r="X1333" s="51"/>
      <c r="Y1333" s="147" t="str">
        <f t="shared" ref="Y1333:Z1333" si="2666">IF(_xlfn.ISFORMULA(S1333),IFERROR(0/0,""),TRUE)</f>
        <v/>
      </c>
      <c r="Z1333" s="147" t="str">
        <f t="shared" si="2666"/>
        <v/>
      </c>
    </row>
    <row r="1334">
      <c r="A1334" s="6" t="str">
        <f>IFERROR(__xludf.DUMMYFUNCTION("""COMPUTED_VALUE"""),"FM2617")</f>
        <v>FM2617</v>
      </c>
      <c r="B1334" s="206">
        <f>IFERROR(__xludf.DUMMYFUNCTION("""COMPUTED_VALUE"""),44750.0)</f>
        <v>44750</v>
      </c>
      <c r="C1334" s="207">
        <f>IFERROR(__xludf.DUMMYFUNCTION("""COMPUTED_VALUE"""),0.27699074074074076)</f>
        <v>0.2769907407</v>
      </c>
      <c r="D1334" s="50"/>
      <c r="E1334" s="58"/>
      <c r="F1334" s="58"/>
      <c r="G1334" s="58" t="str">
        <f>IFERROR(__xludf.DUMMYFUNCTION("""COMPUTED_VALUE"""),"Null")</f>
        <v>Null</v>
      </c>
      <c r="H1334" s="206" t="str">
        <f>IFERROR(__xludf.DUMMYFUNCTION("""COMPUTED_VALUE"""),"Negative")</f>
        <v>Negative</v>
      </c>
      <c r="I1334" s="207"/>
      <c r="J1334" s="50"/>
      <c r="K1334" s="50">
        <f>IFERROR(__xludf.DUMMYFUNCTION("""COMPUTED_VALUE"""),2.0)</f>
        <v>2</v>
      </c>
      <c r="L1334" s="6"/>
      <c r="M1334" s="55"/>
      <c r="N1334" s="55">
        <f>IFERROR(__xludf.DUMMYFUNCTION("""COMPUTED_VALUE"""),1.0)</f>
        <v>1</v>
      </c>
      <c r="O1334" s="55" t="str">
        <f t="shared" si="3"/>
        <v/>
      </c>
      <c r="P1334" s="209"/>
      <c r="Q1334" s="75" t="b">
        <f>VLOOKUP($B1334,'Run Reconcile'!B$2:P1679,15,FALSE)</f>
        <v>1</v>
      </c>
      <c r="R1334" s="211" t="str">
        <f t="array" ref="R1334">IF($Q1334, INDEX('Run Reconcile'!A$2:A1679,MATCH(B1334,'Run Reconcile'!B$2:B1679,0),1),IFERROR(0/0,""))</f>
        <v>RUN-COMB_2022-07-08_RFR-074</v>
      </c>
      <c r="S1334" s="165" t="str">
        <f t="shared" ref="S1334:T1334" si="2667">IF(COUNTIF(W$2:W1679, $A1334) &gt; 0,TRUE,IFERROR(0/0,""))</f>
        <v/>
      </c>
      <c r="T1334" s="165" t="str">
        <f t="shared" si="2667"/>
        <v/>
      </c>
      <c r="U1334" s="147" t="str">
        <f t="array" ref="U1334">IF(ISBLANK($R1334), IF($S1334,VLOOKUP($B1334+1,'RFR Data - preExcl'!$BF$2:$BG1679,2,FALSE),IF($T1334,INDEX('RFR Data - preExcl'!$BF$2:$BG1679,MATCH($B1334,'RFR Data - preExcl'!$BF$2:$BF1679,0)+1,2),VLOOKUP($B1334,'RFR Data - preExcl'!$BF$2:$BG1679,2,FALSE))),IFERROR(0/0,""))</f>
        <v/>
      </c>
      <c r="V1334" s="212" t="str">
        <f t="shared" si="5"/>
        <v>RUN-COMB_2022-07-08_RFR-074</v>
      </c>
      <c r="W1334" s="51"/>
      <c r="X1334" s="51"/>
      <c r="Y1334" s="147" t="str">
        <f t="shared" ref="Y1334:Z1334" si="2668">IF(_xlfn.ISFORMULA(S1334),IFERROR(0/0,""),TRUE)</f>
        <v/>
      </c>
      <c r="Z1334" s="147" t="str">
        <f t="shared" si="2668"/>
        <v/>
      </c>
    </row>
    <row r="1335">
      <c r="A1335" s="6" t="str">
        <f>IFERROR(__xludf.DUMMYFUNCTION("""COMPUTED_VALUE"""),"FM2444")</f>
        <v>FM2444</v>
      </c>
      <c r="B1335" s="206">
        <f>IFERROR(__xludf.DUMMYFUNCTION("""COMPUTED_VALUE"""),44750.0)</f>
        <v>44750</v>
      </c>
      <c r="C1335" s="207">
        <f>IFERROR(__xludf.DUMMYFUNCTION("""COMPUTED_VALUE"""),0.27738425925925925)</f>
        <v>0.2773842593</v>
      </c>
      <c r="D1335" s="50"/>
      <c r="E1335" s="58"/>
      <c r="F1335" s="58"/>
      <c r="G1335" s="58" t="str">
        <f>IFERROR(__xludf.DUMMYFUNCTION("""COMPUTED_VALUE"""),"Null")</f>
        <v>Null</v>
      </c>
      <c r="H1335" s="206" t="str">
        <f>IFERROR(__xludf.DUMMYFUNCTION("""COMPUTED_VALUE"""),"Negative")</f>
        <v>Negative</v>
      </c>
      <c r="I1335" s="207"/>
      <c r="J1335" s="50"/>
      <c r="K1335" s="50">
        <f>IFERROR(__xludf.DUMMYFUNCTION("""COMPUTED_VALUE"""),2.0)</f>
        <v>2</v>
      </c>
      <c r="L1335" s="6"/>
      <c r="M1335" s="55"/>
      <c r="N1335" s="55">
        <f>IFERROR(__xludf.DUMMYFUNCTION("""COMPUTED_VALUE"""),1.0)</f>
        <v>1</v>
      </c>
      <c r="O1335" s="55" t="str">
        <f t="shared" si="3"/>
        <v/>
      </c>
      <c r="P1335" s="209"/>
      <c r="Q1335" s="75" t="b">
        <f>VLOOKUP($B1335,'Run Reconcile'!B$2:P1679,15,FALSE)</f>
        <v>1</v>
      </c>
      <c r="R1335" s="211" t="str">
        <f t="array" ref="R1335">IF($Q1335, INDEX('Run Reconcile'!A$2:A1679,MATCH(B1335,'Run Reconcile'!B$2:B1679,0),1),IFERROR(0/0,""))</f>
        <v>RUN-COMB_2022-07-08_RFR-074</v>
      </c>
      <c r="S1335" s="165" t="str">
        <f t="shared" ref="S1335:T1335" si="2669">IF(COUNTIF(W$2:W1679, $A1335) &gt; 0,TRUE,IFERROR(0/0,""))</f>
        <v/>
      </c>
      <c r="T1335" s="165" t="str">
        <f t="shared" si="2669"/>
        <v/>
      </c>
      <c r="U1335" s="147" t="str">
        <f t="array" ref="U1335">IF(ISBLANK($R1335), IF($S1335,VLOOKUP($B1335+1,'RFR Data - preExcl'!$BF$2:$BG1679,2,FALSE),IF($T1335,INDEX('RFR Data - preExcl'!$BF$2:$BG1679,MATCH($B1335,'RFR Data - preExcl'!$BF$2:$BF1679,0)+1,2),VLOOKUP($B1335,'RFR Data - preExcl'!$BF$2:$BG1679,2,FALSE))),IFERROR(0/0,""))</f>
        <v/>
      </c>
      <c r="V1335" s="212" t="str">
        <f t="shared" si="5"/>
        <v>RUN-COMB_2022-07-08_RFR-074</v>
      </c>
      <c r="W1335" s="51"/>
      <c r="X1335" s="51"/>
      <c r="Y1335" s="147" t="str">
        <f t="shared" ref="Y1335:Z1335" si="2670">IF(_xlfn.ISFORMULA(S1335),IFERROR(0/0,""),TRUE)</f>
        <v/>
      </c>
      <c r="Z1335" s="147" t="str">
        <f t="shared" si="2670"/>
        <v/>
      </c>
    </row>
    <row r="1336">
      <c r="A1336" s="6" t="str">
        <f>IFERROR(__xludf.DUMMYFUNCTION("""COMPUTED_VALUE"""),"FM2411")</f>
        <v>FM2411</v>
      </c>
      <c r="B1336" s="206">
        <f>IFERROR(__xludf.DUMMYFUNCTION("""COMPUTED_VALUE"""),44750.0)</f>
        <v>44750</v>
      </c>
      <c r="C1336" s="207">
        <f>IFERROR(__xludf.DUMMYFUNCTION("""COMPUTED_VALUE"""),0.2777662037037037)</f>
        <v>0.2777662037</v>
      </c>
      <c r="D1336" s="50"/>
      <c r="E1336" s="58"/>
      <c r="F1336" s="58"/>
      <c r="G1336" s="58" t="str">
        <f>IFERROR(__xludf.DUMMYFUNCTION("""COMPUTED_VALUE"""),"Null")</f>
        <v>Null</v>
      </c>
      <c r="H1336" s="206" t="str">
        <f>IFERROR(__xludf.DUMMYFUNCTION("""COMPUTED_VALUE"""),"Negative")</f>
        <v>Negative</v>
      </c>
      <c r="I1336" s="207"/>
      <c r="J1336" s="50"/>
      <c r="K1336" s="50">
        <f>IFERROR(__xludf.DUMMYFUNCTION("""COMPUTED_VALUE"""),2.0)</f>
        <v>2</v>
      </c>
      <c r="L1336" s="6"/>
      <c r="M1336" s="55"/>
      <c r="N1336" s="55">
        <f>IFERROR(__xludf.DUMMYFUNCTION("""COMPUTED_VALUE"""),1.0)</f>
        <v>1</v>
      </c>
      <c r="O1336" s="55" t="str">
        <f t="shared" si="3"/>
        <v/>
      </c>
      <c r="P1336" s="209"/>
      <c r="Q1336" s="75" t="b">
        <f>VLOOKUP($B1336,'Run Reconcile'!B$2:P1679,15,FALSE)</f>
        <v>1</v>
      </c>
      <c r="R1336" s="211" t="str">
        <f t="array" ref="R1336">IF($Q1336, INDEX('Run Reconcile'!A$2:A1679,MATCH(B1336,'Run Reconcile'!B$2:B1679,0),1),IFERROR(0/0,""))</f>
        <v>RUN-COMB_2022-07-08_RFR-074</v>
      </c>
      <c r="S1336" s="165" t="str">
        <f t="shared" ref="S1336:T1336" si="2671">IF(COUNTIF(W$2:W1679, $A1336) &gt; 0,TRUE,IFERROR(0/0,""))</f>
        <v/>
      </c>
      <c r="T1336" s="165" t="str">
        <f t="shared" si="2671"/>
        <v/>
      </c>
      <c r="U1336" s="147" t="str">
        <f t="array" ref="U1336">IF(ISBLANK($R1336), IF($S1336,VLOOKUP($B1336+1,'RFR Data - preExcl'!$BF$2:$BG1679,2,FALSE),IF($T1336,INDEX('RFR Data - preExcl'!$BF$2:$BG1679,MATCH($B1336,'RFR Data - preExcl'!$BF$2:$BF1679,0)+1,2),VLOOKUP($B1336,'RFR Data - preExcl'!$BF$2:$BG1679,2,FALSE))),IFERROR(0/0,""))</f>
        <v/>
      </c>
      <c r="V1336" s="212" t="str">
        <f t="shared" si="5"/>
        <v>RUN-COMB_2022-07-08_RFR-074</v>
      </c>
      <c r="W1336" s="51"/>
      <c r="X1336" s="51"/>
      <c r="Y1336" s="147" t="str">
        <f t="shared" ref="Y1336:Z1336" si="2672">IF(_xlfn.ISFORMULA(S1336),IFERROR(0/0,""),TRUE)</f>
        <v/>
      </c>
      <c r="Z1336" s="147" t="str">
        <f t="shared" si="2672"/>
        <v/>
      </c>
    </row>
    <row r="1337">
      <c r="A1337" s="6" t="str">
        <f>IFERROR(__xludf.DUMMYFUNCTION("""COMPUTED_VALUE"""),"FM2562")</f>
        <v>FM2562</v>
      </c>
      <c r="B1337" s="206">
        <f>IFERROR(__xludf.DUMMYFUNCTION("""COMPUTED_VALUE"""),44750.0)</f>
        <v>44750</v>
      </c>
      <c r="C1337" s="207">
        <f>IFERROR(__xludf.DUMMYFUNCTION("""COMPUTED_VALUE"""),0.27802083333333333)</f>
        <v>0.2780208333</v>
      </c>
      <c r="D1337" s="50"/>
      <c r="E1337" s="58"/>
      <c r="F1337" s="58"/>
      <c r="G1337" s="58" t="str">
        <f>IFERROR(__xludf.DUMMYFUNCTION("""COMPUTED_VALUE"""),"Null")</f>
        <v>Null</v>
      </c>
      <c r="H1337" s="206" t="str">
        <f>IFERROR(__xludf.DUMMYFUNCTION("""COMPUTED_VALUE"""),"Negative")</f>
        <v>Negative</v>
      </c>
      <c r="I1337" s="207"/>
      <c r="J1337" s="50"/>
      <c r="K1337" s="50">
        <f>IFERROR(__xludf.DUMMYFUNCTION("""COMPUTED_VALUE"""),2.0)</f>
        <v>2</v>
      </c>
      <c r="L1337" s="6"/>
      <c r="M1337" s="55"/>
      <c r="N1337" s="55">
        <f>IFERROR(__xludf.DUMMYFUNCTION("""COMPUTED_VALUE"""),1.0)</f>
        <v>1</v>
      </c>
      <c r="O1337" s="55" t="str">
        <f t="shared" si="3"/>
        <v/>
      </c>
      <c r="P1337" s="209"/>
      <c r="Q1337" s="75" t="b">
        <f>VLOOKUP($B1337,'Run Reconcile'!B$2:P1679,15,FALSE)</f>
        <v>1</v>
      </c>
      <c r="R1337" s="211" t="str">
        <f t="array" ref="R1337">IF($Q1337, INDEX('Run Reconcile'!A$2:A1679,MATCH(B1337,'Run Reconcile'!B$2:B1679,0),1),IFERROR(0/0,""))</f>
        <v>RUN-COMB_2022-07-08_RFR-074</v>
      </c>
      <c r="S1337" s="165" t="str">
        <f t="shared" ref="S1337:T1337" si="2673">IF(COUNTIF(W$2:W1679, $A1337) &gt; 0,TRUE,IFERROR(0/0,""))</f>
        <v/>
      </c>
      <c r="T1337" s="165" t="str">
        <f t="shared" si="2673"/>
        <v/>
      </c>
      <c r="U1337" s="147" t="str">
        <f t="array" ref="U1337">IF(ISBLANK($R1337), IF($S1337,VLOOKUP($B1337+1,'RFR Data - preExcl'!$BF$2:$BG1679,2,FALSE),IF($T1337,INDEX('RFR Data - preExcl'!$BF$2:$BG1679,MATCH($B1337,'RFR Data - preExcl'!$BF$2:$BF1679,0)+1,2),VLOOKUP($B1337,'RFR Data - preExcl'!$BF$2:$BG1679,2,FALSE))),IFERROR(0/0,""))</f>
        <v/>
      </c>
      <c r="V1337" s="212" t="str">
        <f t="shared" si="5"/>
        <v>RUN-COMB_2022-07-08_RFR-074</v>
      </c>
      <c r="W1337" s="51"/>
      <c r="X1337" s="51"/>
      <c r="Y1337" s="147" t="str">
        <f t="shared" ref="Y1337:Z1337" si="2674">IF(_xlfn.ISFORMULA(S1337),IFERROR(0/0,""),TRUE)</f>
        <v/>
      </c>
      <c r="Z1337" s="147" t="str">
        <f t="shared" si="2674"/>
        <v/>
      </c>
    </row>
    <row r="1338">
      <c r="A1338" s="6" t="str">
        <f>IFERROR(__xludf.DUMMYFUNCTION("""COMPUTED_VALUE"""),"FM2407")</f>
        <v>FM2407</v>
      </c>
      <c r="B1338" s="206">
        <f>IFERROR(__xludf.DUMMYFUNCTION("""COMPUTED_VALUE"""),44750.0)</f>
        <v>44750</v>
      </c>
      <c r="C1338" s="207">
        <f>IFERROR(__xludf.DUMMYFUNCTION("""COMPUTED_VALUE"""),0.2783217592592593)</f>
        <v>0.2783217593</v>
      </c>
      <c r="D1338" s="50"/>
      <c r="E1338" s="58"/>
      <c r="F1338" s="58"/>
      <c r="G1338" s="58" t="str">
        <f>IFERROR(__xludf.DUMMYFUNCTION("""COMPUTED_VALUE"""),"Null")</f>
        <v>Null</v>
      </c>
      <c r="H1338" s="206" t="str">
        <f>IFERROR(__xludf.DUMMYFUNCTION("""COMPUTED_VALUE"""),"Negative")</f>
        <v>Negative</v>
      </c>
      <c r="I1338" s="207"/>
      <c r="J1338" s="50"/>
      <c r="K1338" s="50">
        <f>IFERROR(__xludf.DUMMYFUNCTION("""COMPUTED_VALUE"""),2.0)</f>
        <v>2</v>
      </c>
      <c r="L1338" s="6"/>
      <c r="M1338" s="55"/>
      <c r="N1338" s="55">
        <f>IFERROR(__xludf.DUMMYFUNCTION("""COMPUTED_VALUE"""),1.0)</f>
        <v>1</v>
      </c>
      <c r="O1338" s="55" t="str">
        <f t="shared" si="3"/>
        <v/>
      </c>
      <c r="P1338" s="209"/>
      <c r="Q1338" s="75" t="b">
        <f>VLOOKUP($B1338,'Run Reconcile'!B$2:P1679,15,FALSE)</f>
        <v>1</v>
      </c>
      <c r="R1338" s="211" t="str">
        <f t="array" ref="R1338">IF($Q1338, INDEX('Run Reconcile'!A$2:A1679,MATCH(B1338,'Run Reconcile'!B$2:B1679,0),1),IFERROR(0/0,""))</f>
        <v>RUN-COMB_2022-07-08_RFR-074</v>
      </c>
      <c r="S1338" s="165" t="str">
        <f t="shared" ref="S1338:T1338" si="2675">IF(COUNTIF(W$2:W1679, $A1338) &gt; 0,TRUE,IFERROR(0/0,""))</f>
        <v/>
      </c>
      <c r="T1338" s="165" t="str">
        <f t="shared" si="2675"/>
        <v/>
      </c>
      <c r="U1338" s="147" t="str">
        <f t="array" ref="U1338">IF(ISBLANK($R1338), IF($S1338,VLOOKUP($B1338+1,'RFR Data - preExcl'!$BF$2:$BG1679,2,FALSE),IF($T1338,INDEX('RFR Data - preExcl'!$BF$2:$BG1679,MATCH($B1338,'RFR Data - preExcl'!$BF$2:$BF1679,0)+1,2),VLOOKUP($B1338,'RFR Data - preExcl'!$BF$2:$BG1679,2,FALSE))),IFERROR(0/0,""))</f>
        <v/>
      </c>
      <c r="V1338" s="212" t="str">
        <f t="shared" si="5"/>
        <v>RUN-COMB_2022-07-08_RFR-074</v>
      </c>
      <c r="W1338" s="51"/>
      <c r="X1338" s="51"/>
      <c r="Y1338" s="147" t="str">
        <f t="shared" ref="Y1338:Z1338" si="2676">IF(_xlfn.ISFORMULA(S1338),IFERROR(0/0,""),TRUE)</f>
        <v/>
      </c>
      <c r="Z1338" s="147" t="str">
        <f t="shared" si="2676"/>
        <v/>
      </c>
    </row>
    <row r="1339">
      <c r="A1339" s="6" t="str">
        <f>IFERROR(__xludf.DUMMYFUNCTION("""COMPUTED_VALUE"""),"FM2547")</f>
        <v>FM2547</v>
      </c>
      <c r="B1339" s="206">
        <f>IFERROR(__xludf.DUMMYFUNCTION("""COMPUTED_VALUE"""),44753.0)</f>
        <v>44753</v>
      </c>
      <c r="C1339" s="207">
        <f>IFERROR(__xludf.DUMMYFUNCTION("""COMPUTED_VALUE"""),0.6986921296296297)</f>
        <v>0.6986921296</v>
      </c>
      <c r="D1339" s="50"/>
      <c r="E1339" s="58"/>
      <c r="F1339" s="58"/>
      <c r="G1339" s="58" t="str">
        <f>IFERROR(__xludf.DUMMYFUNCTION("""COMPUTED_VALUE"""),"Null")</f>
        <v>Null</v>
      </c>
      <c r="H1339" s="206" t="str">
        <f>IFERROR(__xludf.DUMMYFUNCTION("""COMPUTED_VALUE"""),"Negative")</f>
        <v>Negative</v>
      </c>
      <c r="I1339" s="207"/>
      <c r="J1339" s="50"/>
      <c r="K1339" s="50">
        <f>IFERROR(__xludf.DUMMYFUNCTION("""COMPUTED_VALUE"""),2.0)</f>
        <v>2</v>
      </c>
      <c r="L1339" s="6"/>
      <c r="M1339" s="55"/>
      <c r="N1339" s="55">
        <f>IFERROR(__xludf.DUMMYFUNCTION("""COMPUTED_VALUE"""),1.0)</f>
        <v>1</v>
      </c>
      <c r="O1339" s="55" t="b">
        <f t="shared" si="3"/>
        <v>1</v>
      </c>
      <c r="P1339" s="209"/>
      <c r="Q1339" s="75" t="b">
        <f>VLOOKUP($B1339,'Run Reconcile'!B$2:P1679,15,FALSE)</f>
        <v>1</v>
      </c>
      <c r="R1339" s="211" t="str">
        <f t="array" ref="R1339">IF($Q1339, INDEX('Run Reconcile'!A$2:A1679,MATCH(B1339,'Run Reconcile'!B$2:B1679,0),1),IFERROR(0/0,""))</f>
        <v>RUN-COMB_2022-07-11_RFR-075</v>
      </c>
      <c r="S1339" s="165" t="str">
        <f t="shared" ref="S1339:T1339" si="2677">IF(COUNTIF(W$2:W1679, $A1339) &gt; 0,TRUE,IFERROR(0/0,""))</f>
        <v/>
      </c>
      <c r="T1339" s="165" t="str">
        <f t="shared" si="2677"/>
        <v/>
      </c>
      <c r="U1339" s="147" t="str">
        <f t="array" ref="U1339">IF(ISBLANK($R1339), IF($S1339,VLOOKUP($B1339+1,'RFR Data - preExcl'!$BF$2:$BG1679,2,FALSE),IF($T1339,INDEX('RFR Data - preExcl'!$BF$2:$BG1679,MATCH($B1339,'RFR Data - preExcl'!$BF$2:$BF1679,0)+1,2),VLOOKUP($B1339,'RFR Data - preExcl'!$BF$2:$BG1679,2,FALSE))),IFERROR(0/0,""))</f>
        <v/>
      </c>
      <c r="V1339" s="212" t="str">
        <f t="shared" si="5"/>
        <v>RUN-COMB_2022-07-11_RFR-075</v>
      </c>
      <c r="W1339" s="51"/>
      <c r="X1339" s="51"/>
      <c r="Y1339" s="147" t="str">
        <f t="shared" ref="Y1339:Z1339" si="2678">IF(_xlfn.ISFORMULA(S1339),IFERROR(0/0,""),TRUE)</f>
        <v/>
      </c>
      <c r="Z1339" s="147" t="str">
        <f t="shared" si="2678"/>
        <v/>
      </c>
    </row>
    <row r="1340">
      <c r="A1340" s="6" t="str">
        <f>IFERROR(__xludf.DUMMYFUNCTION("""COMPUTED_VALUE"""),"FM2581")</f>
        <v>FM2581</v>
      </c>
      <c r="B1340" s="206">
        <f>IFERROR(__xludf.DUMMYFUNCTION("""COMPUTED_VALUE"""),44753.0)</f>
        <v>44753</v>
      </c>
      <c r="C1340" s="207">
        <f>IFERROR(__xludf.DUMMYFUNCTION("""COMPUTED_VALUE"""),0.6990625)</f>
        <v>0.6990625</v>
      </c>
      <c r="D1340" s="50"/>
      <c r="E1340" s="58"/>
      <c r="F1340" s="58"/>
      <c r="G1340" s="58" t="str">
        <f>IFERROR(__xludf.DUMMYFUNCTION("""COMPUTED_VALUE"""),"Null")</f>
        <v>Null</v>
      </c>
      <c r="H1340" s="206" t="str">
        <f>IFERROR(__xludf.DUMMYFUNCTION("""COMPUTED_VALUE"""),"Negative")</f>
        <v>Negative</v>
      </c>
      <c r="I1340" s="207"/>
      <c r="J1340" s="50"/>
      <c r="K1340" s="50">
        <f>IFERROR(__xludf.DUMMYFUNCTION("""COMPUTED_VALUE"""),2.0)</f>
        <v>2</v>
      </c>
      <c r="L1340" s="6"/>
      <c r="M1340" s="55"/>
      <c r="N1340" s="55">
        <f>IFERROR(__xludf.DUMMYFUNCTION("""COMPUTED_VALUE"""),1.0)</f>
        <v>1</v>
      </c>
      <c r="O1340" s="55" t="str">
        <f t="shared" si="3"/>
        <v/>
      </c>
      <c r="P1340" s="209"/>
      <c r="Q1340" s="75" t="b">
        <f>VLOOKUP($B1340,'Run Reconcile'!B$2:P1679,15,FALSE)</f>
        <v>1</v>
      </c>
      <c r="R1340" s="211" t="str">
        <f t="array" ref="R1340">IF($Q1340, INDEX('Run Reconcile'!A$2:A1679,MATCH(B1340,'Run Reconcile'!B$2:B1679,0),1),IFERROR(0/0,""))</f>
        <v>RUN-COMB_2022-07-11_RFR-075</v>
      </c>
      <c r="S1340" s="165" t="str">
        <f t="shared" ref="S1340:T1340" si="2679">IF(COUNTIF(W$2:W1679, $A1340) &gt; 0,TRUE,IFERROR(0/0,""))</f>
        <v/>
      </c>
      <c r="T1340" s="165" t="str">
        <f t="shared" si="2679"/>
        <v/>
      </c>
      <c r="U1340" s="147" t="str">
        <f t="array" ref="U1340">IF(ISBLANK($R1340), IF($S1340,VLOOKUP($B1340+1,'RFR Data - preExcl'!$BF$2:$BG1679,2,FALSE),IF($T1340,INDEX('RFR Data - preExcl'!$BF$2:$BG1679,MATCH($B1340,'RFR Data - preExcl'!$BF$2:$BF1679,0)+1,2),VLOOKUP($B1340,'RFR Data - preExcl'!$BF$2:$BG1679,2,FALSE))),IFERROR(0/0,""))</f>
        <v/>
      </c>
      <c r="V1340" s="212" t="str">
        <f t="shared" si="5"/>
        <v>RUN-COMB_2022-07-11_RFR-075</v>
      </c>
      <c r="W1340" s="51"/>
      <c r="X1340" s="51"/>
      <c r="Y1340" s="147" t="str">
        <f t="shared" ref="Y1340:Z1340" si="2680">IF(_xlfn.ISFORMULA(S1340),IFERROR(0/0,""),TRUE)</f>
        <v/>
      </c>
      <c r="Z1340" s="147" t="str">
        <f t="shared" si="2680"/>
        <v/>
      </c>
    </row>
    <row r="1341">
      <c r="A1341" s="6" t="str">
        <f>IFERROR(__xludf.DUMMYFUNCTION("""COMPUTED_VALUE"""),"FM2436")</f>
        <v>FM2436</v>
      </c>
      <c r="B1341" s="206">
        <f>IFERROR(__xludf.DUMMYFUNCTION("""COMPUTED_VALUE"""),44753.0)</f>
        <v>44753</v>
      </c>
      <c r="C1341" s="207">
        <f>IFERROR(__xludf.DUMMYFUNCTION("""COMPUTED_VALUE"""),0.6996875)</f>
        <v>0.6996875</v>
      </c>
      <c r="D1341" s="50"/>
      <c r="E1341" s="58"/>
      <c r="F1341" s="58"/>
      <c r="G1341" s="58" t="str">
        <f>IFERROR(__xludf.DUMMYFUNCTION("""COMPUTED_VALUE"""),"Null")</f>
        <v>Null</v>
      </c>
      <c r="H1341" s="206" t="str">
        <f>IFERROR(__xludf.DUMMYFUNCTION("""COMPUTED_VALUE"""),"Negative")</f>
        <v>Negative</v>
      </c>
      <c r="I1341" s="207"/>
      <c r="J1341" s="50"/>
      <c r="K1341" s="50">
        <f>IFERROR(__xludf.DUMMYFUNCTION("""COMPUTED_VALUE"""),2.0)</f>
        <v>2</v>
      </c>
      <c r="L1341" s="6"/>
      <c r="M1341" s="55"/>
      <c r="N1341" s="55">
        <f>IFERROR(__xludf.DUMMYFUNCTION("""COMPUTED_VALUE"""),1.0)</f>
        <v>1</v>
      </c>
      <c r="O1341" s="55" t="str">
        <f t="shared" si="3"/>
        <v/>
      </c>
      <c r="P1341" s="209"/>
      <c r="Q1341" s="75" t="b">
        <f>VLOOKUP($B1341,'Run Reconcile'!B$2:P1679,15,FALSE)</f>
        <v>1</v>
      </c>
      <c r="R1341" s="211" t="str">
        <f t="array" ref="R1341">IF($Q1341, INDEX('Run Reconcile'!A$2:A1679,MATCH(B1341,'Run Reconcile'!B$2:B1679,0),1),IFERROR(0/0,""))</f>
        <v>RUN-COMB_2022-07-11_RFR-075</v>
      </c>
      <c r="S1341" s="165" t="str">
        <f t="shared" ref="S1341:T1341" si="2681">IF(COUNTIF(W$2:W1679, $A1341) &gt; 0,TRUE,IFERROR(0/0,""))</f>
        <v/>
      </c>
      <c r="T1341" s="165" t="str">
        <f t="shared" si="2681"/>
        <v/>
      </c>
      <c r="U1341" s="147" t="str">
        <f t="array" ref="U1341">IF(ISBLANK($R1341), IF($S1341,VLOOKUP($B1341+1,'RFR Data - preExcl'!$BF$2:$BG1679,2,FALSE),IF($T1341,INDEX('RFR Data - preExcl'!$BF$2:$BG1679,MATCH($B1341,'RFR Data - preExcl'!$BF$2:$BF1679,0)+1,2),VLOOKUP($B1341,'RFR Data - preExcl'!$BF$2:$BG1679,2,FALSE))),IFERROR(0/0,""))</f>
        <v/>
      </c>
      <c r="V1341" s="212" t="str">
        <f t="shared" si="5"/>
        <v>RUN-COMB_2022-07-11_RFR-075</v>
      </c>
      <c r="W1341" s="51"/>
      <c r="X1341" s="51"/>
      <c r="Y1341" s="147" t="str">
        <f t="shared" ref="Y1341:Z1341" si="2682">IF(_xlfn.ISFORMULA(S1341),IFERROR(0/0,""),TRUE)</f>
        <v/>
      </c>
      <c r="Z1341" s="147" t="str">
        <f t="shared" si="2682"/>
        <v/>
      </c>
    </row>
    <row r="1342">
      <c r="A1342" s="6" t="str">
        <f>IFERROR(__xludf.DUMMYFUNCTION("""COMPUTED_VALUE"""),"FM2576")</f>
        <v>FM2576</v>
      </c>
      <c r="B1342" s="206">
        <f>IFERROR(__xludf.DUMMYFUNCTION("""COMPUTED_VALUE"""),44753.0)</f>
        <v>44753</v>
      </c>
      <c r="C1342" s="207">
        <f>IFERROR(__xludf.DUMMYFUNCTION("""COMPUTED_VALUE"""),0.7033680555555556)</f>
        <v>0.7033680556</v>
      </c>
      <c r="D1342" s="50"/>
      <c r="E1342" s="58"/>
      <c r="F1342" s="58"/>
      <c r="G1342" s="58" t="str">
        <f>IFERROR(__xludf.DUMMYFUNCTION("""COMPUTED_VALUE"""),"Null")</f>
        <v>Null</v>
      </c>
      <c r="H1342" s="206" t="str">
        <f>IFERROR(__xludf.DUMMYFUNCTION("""COMPUTED_VALUE"""),"Negative")</f>
        <v>Negative</v>
      </c>
      <c r="I1342" s="207"/>
      <c r="J1342" s="50"/>
      <c r="K1342" s="50">
        <f>IFERROR(__xludf.DUMMYFUNCTION("""COMPUTED_VALUE"""),2.0)</f>
        <v>2</v>
      </c>
      <c r="L1342" s="6"/>
      <c r="M1342" s="55"/>
      <c r="N1342" s="55">
        <f>IFERROR(__xludf.DUMMYFUNCTION("""COMPUTED_VALUE"""),1.0)</f>
        <v>1</v>
      </c>
      <c r="O1342" s="55" t="str">
        <f t="shared" si="3"/>
        <v/>
      </c>
      <c r="P1342" s="209"/>
      <c r="Q1342" s="75" t="b">
        <f>VLOOKUP($B1342,'Run Reconcile'!B$2:P1679,15,FALSE)</f>
        <v>1</v>
      </c>
      <c r="R1342" s="211" t="str">
        <f t="array" ref="R1342">IF($Q1342, INDEX('Run Reconcile'!A$2:A1679,MATCH(B1342,'Run Reconcile'!B$2:B1679,0),1),IFERROR(0/0,""))</f>
        <v>RUN-COMB_2022-07-11_RFR-075</v>
      </c>
      <c r="S1342" s="165" t="str">
        <f t="shared" ref="S1342:T1342" si="2683">IF(COUNTIF(W$2:W1679, $A1342) &gt; 0,TRUE,IFERROR(0/0,""))</f>
        <v/>
      </c>
      <c r="T1342" s="165" t="str">
        <f t="shared" si="2683"/>
        <v/>
      </c>
      <c r="U1342" s="147" t="str">
        <f t="array" ref="U1342">IF(ISBLANK($R1342), IF($S1342,VLOOKUP($B1342+1,'RFR Data - preExcl'!$BF$2:$BG1679,2,FALSE),IF($T1342,INDEX('RFR Data - preExcl'!$BF$2:$BG1679,MATCH($B1342,'RFR Data - preExcl'!$BF$2:$BF1679,0)+1,2),VLOOKUP($B1342,'RFR Data - preExcl'!$BF$2:$BG1679,2,FALSE))),IFERROR(0/0,""))</f>
        <v/>
      </c>
      <c r="V1342" s="212" t="str">
        <f t="shared" si="5"/>
        <v>RUN-COMB_2022-07-11_RFR-075</v>
      </c>
      <c r="W1342" s="51"/>
      <c r="X1342" s="51"/>
      <c r="Y1342" s="147" t="str">
        <f t="shared" ref="Y1342:Z1342" si="2684">IF(_xlfn.ISFORMULA(S1342),IFERROR(0/0,""),TRUE)</f>
        <v/>
      </c>
      <c r="Z1342" s="147" t="str">
        <f t="shared" si="2684"/>
        <v/>
      </c>
    </row>
    <row r="1343">
      <c r="A1343" s="6" t="str">
        <f>IFERROR(__xludf.DUMMYFUNCTION("""COMPUTED_VALUE"""),"FM2553")</f>
        <v>FM2553</v>
      </c>
      <c r="B1343" s="206">
        <f>IFERROR(__xludf.DUMMYFUNCTION("""COMPUTED_VALUE"""),44753.0)</f>
        <v>44753</v>
      </c>
      <c r="C1343" s="207">
        <f>IFERROR(__xludf.DUMMYFUNCTION("""COMPUTED_VALUE"""),0.7037268518518518)</f>
        <v>0.7037268519</v>
      </c>
      <c r="D1343" s="50"/>
      <c r="E1343" s="58"/>
      <c r="F1343" s="58"/>
      <c r="G1343" s="58" t="str">
        <f>IFERROR(__xludf.DUMMYFUNCTION("""COMPUTED_VALUE"""),"Null")</f>
        <v>Null</v>
      </c>
      <c r="H1343" s="206" t="str">
        <f>IFERROR(__xludf.DUMMYFUNCTION("""COMPUTED_VALUE"""),"Negative")</f>
        <v>Negative</v>
      </c>
      <c r="I1343" s="207"/>
      <c r="J1343" s="50"/>
      <c r="K1343" s="50">
        <f>IFERROR(__xludf.DUMMYFUNCTION("""COMPUTED_VALUE"""),2.0)</f>
        <v>2</v>
      </c>
      <c r="L1343" s="6"/>
      <c r="M1343" s="55"/>
      <c r="N1343" s="55">
        <f>IFERROR(__xludf.DUMMYFUNCTION("""COMPUTED_VALUE"""),1.0)</f>
        <v>1</v>
      </c>
      <c r="O1343" s="55" t="str">
        <f t="shared" si="3"/>
        <v/>
      </c>
      <c r="P1343" s="209"/>
      <c r="Q1343" s="75" t="b">
        <f>VLOOKUP($B1343,'Run Reconcile'!B$2:P1679,15,FALSE)</f>
        <v>1</v>
      </c>
      <c r="R1343" s="211" t="str">
        <f t="array" ref="R1343">IF($Q1343, INDEX('Run Reconcile'!A$2:A1679,MATCH(B1343,'Run Reconcile'!B$2:B1679,0),1),IFERROR(0/0,""))</f>
        <v>RUN-COMB_2022-07-11_RFR-075</v>
      </c>
      <c r="S1343" s="165" t="str">
        <f t="shared" ref="S1343:T1343" si="2685">IF(COUNTIF(W$2:W1679, $A1343) &gt; 0,TRUE,IFERROR(0/0,""))</f>
        <v/>
      </c>
      <c r="T1343" s="165" t="str">
        <f t="shared" si="2685"/>
        <v/>
      </c>
      <c r="U1343" s="147" t="str">
        <f t="array" ref="U1343">IF(ISBLANK($R1343), IF($S1343,VLOOKUP($B1343+1,'RFR Data - preExcl'!$BF$2:$BG1679,2,FALSE),IF($T1343,INDEX('RFR Data - preExcl'!$BF$2:$BG1679,MATCH($B1343,'RFR Data - preExcl'!$BF$2:$BF1679,0)+1,2),VLOOKUP($B1343,'RFR Data - preExcl'!$BF$2:$BG1679,2,FALSE))),IFERROR(0/0,""))</f>
        <v/>
      </c>
      <c r="V1343" s="212" t="str">
        <f t="shared" si="5"/>
        <v>RUN-COMB_2022-07-11_RFR-075</v>
      </c>
      <c r="W1343" s="51"/>
      <c r="X1343" s="51"/>
      <c r="Y1343" s="147" t="str">
        <f t="shared" ref="Y1343:Z1343" si="2686">IF(_xlfn.ISFORMULA(S1343),IFERROR(0/0,""),TRUE)</f>
        <v/>
      </c>
      <c r="Z1343" s="147" t="str">
        <f t="shared" si="2686"/>
        <v/>
      </c>
    </row>
    <row r="1344">
      <c r="A1344" s="6" t="str">
        <f>IFERROR(__xludf.DUMMYFUNCTION("""COMPUTED_VALUE"""),"FM2533")</f>
        <v>FM2533</v>
      </c>
      <c r="B1344" s="206">
        <f>IFERROR(__xludf.DUMMYFUNCTION("""COMPUTED_VALUE"""),44753.0)</f>
        <v>44753</v>
      </c>
      <c r="C1344" s="207">
        <f>IFERROR(__xludf.DUMMYFUNCTION("""COMPUTED_VALUE"""),0.7040162037037037)</f>
        <v>0.7040162037</v>
      </c>
      <c r="D1344" s="50"/>
      <c r="E1344" s="58"/>
      <c r="F1344" s="58"/>
      <c r="G1344" s="58" t="str">
        <f>IFERROR(__xludf.DUMMYFUNCTION("""COMPUTED_VALUE"""),"Null")</f>
        <v>Null</v>
      </c>
      <c r="H1344" s="206" t="str">
        <f>IFERROR(__xludf.DUMMYFUNCTION("""COMPUTED_VALUE"""),"Negative")</f>
        <v>Negative</v>
      </c>
      <c r="I1344" s="207"/>
      <c r="J1344" s="50"/>
      <c r="K1344" s="50">
        <f>IFERROR(__xludf.DUMMYFUNCTION("""COMPUTED_VALUE"""),2.0)</f>
        <v>2</v>
      </c>
      <c r="L1344" s="6"/>
      <c r="M1344" s="55"/>
      <c r="N1344" s="55">
        <f>IFERROR(__xludf.DUMMYFUNCTION("""COMPUTED_VALUE"""),1.0)</f>
        <v>1</v>
      </c>
      <c r="O1344" s="55" t="str">
        <f t="shared" si="3"/>
        <v/>
      </c>
      <c r="P1344" s="209"/>
      <c r="Q1344" s="75" t="b">
        <f>VLOOKUP($B1344,'Run Reconcile'!B$2:P1679,15,FALSE)</f>
        <v>1</v>
      </c>
      <c r="R1344" s="211" t="str">
        <f t="array" ref="R1344">IF($Q1344, INDEX('Run Reconcile'!A$2:A1679,MATCH(B1344,'Run Reconcile'!B$2:B1679,0),1),IFERROR(0/0,""))</f>
        <v>RUN-COMB_2022-07-11_RFR-075</v>
      </c>
      <c r="S1344" s="165" t="str">
        <f t="shared" ref="S1344:T1344" si="2687">IF(COUNTIF(W$2:W1679, $A1344) &gt; 0,TRUE,IFERROR(0/0,""))</f>
        <v/>
      </c>
      <c r="T1344" s="165" t="str">
        <f t="shared" si="2687"/>
        <v/>
      </c>
      <c r="U1344" s="147" t="str">
        <f t="array" ref="U1344">IF(ISBLANK($R1344), IF($S1344,VLOOKUP($B1344+1,'RFR Data - preExcl'!$BF$2:$BG1679,2,FALSE),IF($T1344,INDEX('RFR Data - preExcl'!$BF$2:$BG1679,MATCH($B1344,'RFR Data - preExcl'!$BF$2:$BF1679,0)+1,2),VLOOKUP($B1344,'RFR Data - preExcl'!$BF$2:$BG1679,2,FALSE))),IFERROR(0/0,""))</f>
        <v/>
      </c>
      <c r="V1344" s="212" t="str">
        <f t="shared" si="5"/>
        <v>RUN-COMB_2022-07-11_RFR-075</v>
      </c>
      <c r="W1344" s="51"/>
      <c r="X1344" s="51"/>
      <c r="Y1344" s="147" t="str">
        <f t="shared" ref="Y1344:Z1344" si="2688">IF(_xlfn.ISFORMULA(S1344),IFERROR(0/0,""),TRUE)</f>
        <v/>
      </c>
      <c r="Z1344" s="147" t="str">
        <f t="shared" si="2688"/>
        <v/>
      </c>
    </row>
    <row r="1345">
      <c r="A1345" s="6" t="str">
        <f>IFERROR(__xludf.DUMMYFUNCTION("""COMPUTED_VALUE"""),"FM2580")</f>
        <v>FM2580</v>
      </c>
      <c r="B1345" s="206">
        <f>IFERROR(__xludf.DUMMYFUNCTION("""COMPUTED_VALUE"""),44753.0)</f>
        <v>44753</v>
      </c>
      <c r="C1345" s="207">
        <f>IFERROR(__xludf.DUMMYFUNCTION("""COMPUTED_VALUE"""),0.7044560185185185)</f>
        <v>0.7044560185</v>
      </c>
      <c r="D1345" s="50"/>
      <c r="E1345" s="58"/>
      <c r="F1345" s="58"/>
      <c r="G1345" s="58" t="str">
        <f>IFERROR(__xludf.DUMMYFUNCTION("""COMPUTED_VALUE"""),"Null")</f>
        <v>Null</v>
      </c>
      <c r="H1345" s="206" t="str">
        <f>IFERROR(__xludf.DUMMYFUNCTION("""COMPUTED_VALUE"""),"Negative")</f>
        <v>Negative</v>
      </c>
      <c r="I1345" s="207"/>
      <c r="J1345" s="50"/>
      <c r="K1345" s="50">
        <f>IFERROR(__xludf.DUMMYFUNCTION("""COMPUTED_VALUE"""),2.0)</f>
        <v>2</v>
      </c>
      <c r="L1345" s="6"/>
      <c r="M1345" s="55"/>
      <c r="N1345" s="55">
        <f>IFERROR(__xludf.DUMMYFUNCTION("""COMPUTED_VALUE"""),1.0)</f>
        <v>1</v>
      </c>
      <c r="O1345" s="55" t="str">
        <f t="shared" si="3"/>
        <v/>
      </c>
      <c r="P1345" s="209"/>
      <c r="Q1345" s="75" t="b">
        <f>VLOOKUP($B1345,'Run Reconcile'!B$2:P1679,15,FALSE)</f>
        <v>1</v>
      </c>
      <c r="R1345" s="211" t="str">
        <f t="array" ref="R1345">IF($Q1345, INDEX('Run Reconcile'!A$2:A1679,MATCH(B1345,'Run Reconcile'!B$2:B1679,0),1),IFERROR(0/0,""))</f>
        <v>RUN-COMB_2022-07-11_RFR-075</v>
      </c>
      <c r="S1345" s="165" t="str">
        <f t="shared" ref="S1345:T1345" si="2689">IF(COUNTIF(W$2:W1679, $A1345) &gt; 0,TRUE,IFERROR(0/0,""))</f>
        <v/>
      </c>
      <c r="T1345" s="165" t="str">
        <f t="shared" si="2689"/>
        <v/>
      </c>
      <c r="U1345" s="147" t="str">
        <f t="array" ref="U1345">IF(ISBLANK($R1345), IF($S1345,VLOOKUP($B1345+1,'RFR Data - preExcl'!$BF$2:$BG1679,2,FALSE),IF($T1345,INDEX('RFR Data - preExcl'!$BF$2:$BG1679,MATCH($B1345,'RFR Data - preExcl'!$BF$2:$BF1679,0)+1,2),VLOOKUP($B1345,'RFR Data - preExcl'!$BF$2:$BG1679,2,FALSE))),IFERROR(0/0,""))</f>
        <v/>
      </c>
      <c r="V1345" s="212" t="str">
        <f t="shared" si="5"/>
        <v>RUN-COMB_2022-07-11_RFR-075</v>
      </c>
      <c r="W1345" s="51"/>
      <c r="X1345" s="51"/>
      <c r="Y1345" s="147" t="str">
        <f t="shared" ref="Y1345:Z1345" si="2690">IF(_xlfn.ISFORMULA(S1345),IFERROR(0/0,""),TRUE)</f>
        <v/>
      </c>
      <c r="Z1345" s="147" t="str">
        <f t="shared" si="2690"/>
        <v/>
      </c>
    </row>
    <row r="1346">
      <c r="A1346" s="6" t="str">
        <f>IFERROR(__xludf.DUMMYFUNCTION("""COMPUTED_VALUE"""),"FM2404")</f>
        <v>FM2404</v>
      </c>
      <c r="B1346" s="206">
        <f>IFERROR(__xludf.DUMMYFUNCTION("""COMPUTED_VALUE"""),44753.0)</f>
        <v>44753</v>
      </c>
      <c r="C1346" s="207">
        <f>IFERROR(__xludf.DUMMYFUNCTION("""COMPUTED_VALUE"""),0.7048148148148148)</f>
        <v>0.7048148148</v>
      </c>
      <c r="D1346" s="50"/>
      <c r="E1346" s="58"/>
      <c r="F1346" s="58"/>
      <c r="G1346" s="58" t="str">
        <f>IFERROR(__xludf.DUMMYFUNCTION("""COMPUTED_VALUE"""),"Null")</f>
        <v>Null</v>
      </c>
      <c r="H1346" s="206" t="str">
        <f>IFERROR(__xludf.DUMMYFUNCTION("""COMPUTED_VALUE"""),"Negative")</f>
        <v>Negative</v>
      </c>
      <c r="I1346" s="207"/>
      <c r="J1346" s="50"/>
      <c r="K1346" s="50">
        <f>IFERROR(__xludf.DUMMYFUNCTION("""COMPUTED_VALUE"""),2.0)</f>
        <v>2</v>
      </c>
      <c r="L1346" s="6"/>
      <c r="M1346" s="55"/>
      <c r="N1346" s="55">
        <f>IFERROR(__xludf.DUMMYFUNCTION("""COMPUTED_VALUE"""),1.0)</f>
        <v>1</v>
      </c>
      <c r="O1346" s="55" t="str">
        <f t="shared" si="3"/>
        <v/>
      </c>
      <c r="P1346" s="209"/>
      <c r="Q1346" s="75" t="b">
        <f>VLOOKUP($B1346,'Run Reconcile'!B$2:P1679,15,FALSE)</f>
        <v>1</v>
      </c>
      <c r="R1346" s="211" t="str">
        <f t="array" ref="R1346">IF($Q1346, INDEX('Run Reconcile'!A$2:A1679,MATCH(B1346,'Run Reconcile'!B$2:B1679,0),1),IFERROR(0/0,""))</f>
        <v>RUN-COMB_2022-07-11_RFR-075</v>
      </c>
      <c r="S1346" s="165" t="str">
        <f t="shared" ref="S1346:T1346" si="2691">IF(COUNTIF(W$2:W1679, $A1346) &gt; 0,TRUE,IFERROR(0/0,""))</f>
        <v/>
      </c>
      <c r="T1346" s="165" t="str">
        <f t="shared" si="2691"/>
        <v/>
      </c>
      <c r="U1346" s="147" t="str">
        <f t="array" ref="U1346">IF(ISBLANK($R1346), IF($S1346,VLOOKUP($B1346+1,'RFR Data - preExcl'!$BF$2:$BG1679,2,FALSE),IF($T1346,INDEX('RFR Data - preExcl'!$BF$2:$BG1679,MATCH($B1346,'RFR Data - preExcl'!$BF$2:$BF1679,0)+1,2),VLOOKUP($B1346,'RFR Data - preExcl'!$BF$2:$BG1679,2,FALSE))),IFERROR(0/0,""))</f>
        <v/>
      </c>
      <c r="V1346" s="212" t="str">
        <f t="shared" si="5"/>
        <v>RUN-COMB_2022-07-11_RFR-075</v>
      </c>
      <c r="W1346" s="51"/>
      <c r="X1346" s="51"/>
      <c r="Y1346" s="147" t="str">
        <f t="shared" ref="Y1346:Z1346" si="2692">IF(_xlfn.ISFORMULA(S1346),IFERROR(0/0,""),TRUE)</f>
        <v/>
      </c>
      <c r="Z1346" s="147" t="str">
        <f t="shared" si="2692"/>
        <v/>
      </c>
    </row>
    <row r="1347">
      <c r="A1347" s="6" t="str">
        <f>IFERROR(__xludf.DUMMYFUNCTION("""COMPUTED_VALUE"""),"FM2561")</f>
        <v>FM2561</v>
      </c>
      <c r="B1347" s="206">
        <f>IFERROR(__xludf.DUMMYFUNCTION("""COMPUTED_VALUE"""),44753.0)</f>
        <v>44753</v>
      </c>
      <c r="C1347" s="207">
        <f>IFERROR(__xludf.DUMMYFUNCTION("""COMPUTED_VALUE"""),0.7052083333333333)</f>
        <v>0.7052083333</v>
      </c>
      <c r="D1347" s="50"/>
      <c r="E1347" s="58"/>
      <c r="F1347" s="58"/>
      <c r="G1347" s="58" t="str">
        <f>IFERROR(__xludf.DUMMYFUNCTION("""COMPUTED_VALUE"""),"Null")</f>
        <v>Null</v>
      </c>
      <c r="H1347" s="206" t="str">
        <f>IFERROR(__xludf.DUMMYFUNCTION("""COMPUTED_VALUE"""),"Negative")</f>
        <v>Negative</v>
      </c>
      <c r="I1347" s="207"/>
      <c r="J1347" s="50"/>
      <c r="K1347" s="50">
        <f>IFERROR(__xludf.DUMMYFUNCTION("""COMPUTED_VALUE"""),2.0)</f>
        <v>2</v>
      </c>
      <c r="L1347" s="6"/>
      <c r="M1347" s="55"/>
      <c r="N1347" s="55">
        <f>IFERROR(__xludf.DUMMYFUNCTION("""COMPUTED_VALUE"""),1.0)</f>
        <v>1</v>
      </c>
      <c r="O1347" s="55" t="str">
        <f t="shared" si="3"/>
        <v/>
      </c>
      <c r="P1347" s="209"/>
      <c r="Q1347" s="75" t="b">
        <f>VLOOKUP($B1347,'Run Reconcile'!B$2:P1679,15,FALSE)</f>
        <v>1</v>
      </c>
      <c r="R1347" s="211" t="str">
        <f t="array" ref="R1347">IF($Q1347, INDEX('Run Reconcile'!A$2:A1679,MATCH(B1347,'Run Reconcile'!B$2:B1679,0),1),IFERROR(0/0,""))</f>
        <v>RUN-COMB_2022-07-11_RFR-075</v>
      </c>
      <c r="S1347" s="165" t="str">
        <f t="shared" ref="S1347:T1347" si="2693">IF(COUNTIF(W$2:W1679, $A1347) &gt; 0,TRUE,IFERROR(0/0,""))</f>
        <v/>
      </c>
      <c r="T1347" s="165" t="str">
        <f t="shared" si="2693"/>
        <v/>
      </c>
      <c r="U1347" s="147" t="str">
        <f t="array" ref="U1347">IF(ISBLANK($R1347), IF($S1347,VLOOKUP($B1347+1,'RFR Data - preExcl'!$BF$2:$BG1679,2,FALSE),IF($T1347,INDEX('RFR Data - preExcl'!$BF$2:$BG1679,MATCH($B1347,'RFR Data - preExcl'!$BF$2:$BF1679,0)+1,2),VLOOKUP($B1347,'RFR Data - preExcl'!$BF$2:$BG1679,2,FALSE))),IFERROR(0/0,""))</f>
        <v/>
      </c>
      <c r="V1347" s="212" t="str">
        <f t="shared" si="5"/>
        <v>RUN-COMB_2022-07-11_RFR-075</v>
      </c>
      <c r="W1347" s="51"/>
      <c r="X1347" s="51"/>
      <c r="Y1347" s="147" t="str">
        <f t="shared" ref="Y1347:Z1347" si="2694">IF(_xlfn.ISFORMULA(S1347),IFERROR(0/0,""),TRUE)</f>
        <v/>
      </c>
      <c r="Z1347" s="147" t="str">
        <f t="shared" si="2694"/>
        <v/>
      </c>
    </row>
    <row r="1348">
      <c r="A1348" s="6" t="str">
        <f>IFERROR(__xludf.DUMMYFUNCTION("""COMPUTED_VALUE"""),"FM2536")</f>
        <v>FM2536</v>
      </c>
      <c r="B1348" s="206">
        <f>IFERROR(__xludf.DUMMYFUNCTION("""COMPUTED_VALUE"""),44753.0)</f>
        <v>44753</v>
      </c>
      <c r="C1348" s="207">
        <f>IFERROR(__xludf.DUMMYFUNCTION("""COMPUTED_VALUE"""),0.7062384259259259)</f>
        <v>0.7062384259</v>
      </c>
      <c r="D1348" s="50"/>
      <c r="E1348" s="58"/>
      <c r="F1348" s="58"/>
      <c r="G1348" s="58" t="str">
        <f>IFERROR(__xludf.DUMMYFUNCTION("""COMPUTED_VALUE"""),"Null")</f>
        <v>Null</v>
      </c>
      <c r="H1348" s="206" t="str">
        <f>IFERROR(__xludf.DUMMYFUNCTION("""COMPUTED_VALUE"""),"Negative")</f>
        <v>Negative</v>
      </c>
      <c r="I1348" s="207"/>
      <c r="J1348" s="50"/>
      <c r="K1348" s="50">
        <f>IFERROR(__xludf.DUMMYFUNCTION("""COMPUTED_VALUE"""),2.0)</f>
        <v>2</v>
      </c>
      <c r="L1348" s="6"/>
      <c r="M1348" s="55"/>
      <c r="N1348" s="55">
        <f>IFERROR(__xludf.DUMMYFUNCTION("""COMPUTED_VALUE"""),1.0)</f>
        <v>1</v>
      </c>
      <c r="O1348" s="55" t="str">
        <f t="shared" si="3"/>
        <v/>
      </c>
      <c r="P1348" s="209"/>
      <c r="Q1348" s="75" t="b">
        <f>VLOOKUP($B1348,'Run Reconcile'!B$2:P1679,15,FALSE)</f>
        <v>1</v>
      </c>
      <c r="R1348" s="211" t="str">
        <f t="array" ref="R1348">IF($Q1348, INDEX('Run Reconcile'!A$2:A1679,MATCH(B1348,'Run Reconcile'!B$2:B1679,0),1),IFERROR(0/0,""))</f>
        <v>RUN-COMB_2022-07-11_RFR-075</v>
      </c>
      <c r="S1348" s="165" t="str">
        <f t="shared" ref="S1348:T1348" si="2695">IF(COUNTIF(W$2:W1679, $A1348) &gt; 0,TRUE,IFERROR(0/0,""))</f>
        <v/>
      </c>
      <c r="T1348" s="165" t="str">
        <f t="shared" si="2695"/>
        <v/>
      </c>
      <c r="U1348" s="147" t="str">
        <f t="array" ref="U1348">IF(ISBLANK($R1348), IF($S1348,VLOOKUP($B1348+1,'RFR Data - preExcl'!$BF$2:$BG1679,2,FALSE),IF($T1348,INDEX('RFR Data - preExcl'!$BF$2:$BG1679,MATCH($B1348,'RFR Data - preExcl'!$BF$2:$BF1679,0)+1,2),VLOOKUP($B1348,'RFR Data - preExcl'!$BF$2:$BG1679,2,FALSE))),IFERROR(0/0,""))</f>
        <v/>
      </c>
      <c r="V1348" s="212" t="str">
        <f t="shared" si="5"/>
        <v>RUN-COMB_2022-07-11_RFR-075</v>
      </c>
      <c r="W1348" s="51"/>
      <c r="X1348" s="51"/>
      <c r="Y1348" s="147" t="str">
        <f t="shared" ref="Y1348:Z1348" si="2696">IF(_xlfn.ISFORMULA(S1348),IFERROR(0/0,""),TRUE)</f>
        <v/>
      </c>
      <c r="Z1348" s="147" t="str">
        <f t="shared" si="2696"/>
        <v/>
      </c>
    </row>
    <row r="1349">
      <c r="A1349" s="6" t="str">
        <f>IFERROR(__xludf.DUMMYFUNCTION("""COMPUTED_VALUE"""),"FM2571")</f>
        <v>FM2571</v>
      </c>
      <c r="B1349" s="206">
        <f>IFERROR(__xludf.DUMMYFUNCTION("""COMPUTED_VALUE"""),44753.0)</f>
        <v>44753</v>
      </c>
      <c r="C1349" s="207">
        <f>IFERROR(__xludf.DUMMYFUNCTION("""COMPUTED_VALUE"""),0.7066203703703704)</f>
        <v>0.7066203704</v>
      </c>
      <c r="D1349" s="50"/>
      <c r="E1349" s="58"/>
      <c r="F1349" s="58"/>
      <c r="G1349" s="58" t="str">
        <f>IFERROR(__xludf.DUMMYFUNCTION("""COMPUTED_VALUE"""),"Null")</f>
        <v>Null</v>
      </c>
      <c r="H1349" s="206" t="str">
        <f>IFERROR(__xludf.DUMMYFUNCTION("""COMPUTED_VALUE"""),"Negative")</f>
        <v>Negative</v>
      </c>
      <c r="I1349" s="207"/>
      <c r="J1349" s="50"/>
      <c r="K1349" s="50">
        <f>IFERROR(__xludf.DUMMYFUNCTION("""COMPUTED_VALUE"""),2.0)</f>
        <v>2</v>
      </c>
      <c r="L1349" s="6"/>
      <c r="M1349" s="55"/>
      <c r="N1349" s="55">
        <f>IFERROR(__xludf.DUMMYFUNCTION("""COMPUTED_VALUE"""),1.0)</f>
        <v>1</v>
      </c>
      <c r="O1349" s="55" t="str">
        <f t="shared" si="3"/>
        <v/>
      </c>
      <c r="P1349" s="209"/>
      <c r="Q1349" s="75" t="b">
        <f>VLOOKUP($B1349,'Run Reconcile'!B$2:P1679,15,FALSE)</f>
        <v>1</v>
      </c>
      <c r="R1349" s="211" t="str">
        <f t="array" ref="R1349">IF($Q1349, INDEX('Run Reconcile'!A$2:A1679,MATCH(B1349,'Run Reconcile'!B$2:B1679,0),1),IFERROR(0/0,""))</f>
        <v>RUN-COMB_2022-07-11_RFR-075</v>
      </c>
      <c r="S1349" s="165" t="str">
        <f t="shared" ref="S1349:T1349" si="2697">IF(COUNTIF(W$2:W1679, $A1349) &gt; 0,TRUE,IFERROR(0/0,""))</f>
        <v/>
      </c>
      <c r="T1349" s="165" t="str">
        <f t="shared" si="2697"/>
        <v/>
      </c>
      <c r="U1349" s="147" t="str">
        <f t="array" ref="U1349">IF(ISBLANK($R1349), IF($S1349,VLOOKUP($B1349+1,'RFR Data - preExcl'!$BF$2:$BG1679,2,FALSE),IF($T1349,INDEX('RFR Data - preExcl'!$BF$2:$BG1679,MATCH($B1349,'RFR Data - preExcl'!$BF$2:$BF1679,0)+1,2),VLOOKUP($B1349,'RFR Data - preExcl'!$BF$2:$BG1679,2,FALSE))),IFERROR(0/0,""))</f>
        <v/>
      </c>
      <c r="V1349" s="212" t="str">
        <f t="shared" si="5"/>
        <v>RUN-COMB_2022-07-11_RFR-075</v>
      </c>
      <c r="W1349" s="51"/>
      <c r="X1349" s="51"/>
      <c r="Y1349" s="147" t="str">
        <f t="shared" ref="Y1349:Z1349" si="2698">IF(_xlfn.ISFORMULA(S1349),IFERROR(0/0,""),TRUE)</f>
        <v/>
      </c>
      <c r="Z1349" s="147" t="str">
        <f t="shared" si="2698"/>
        <v/>
      </c>
    </row>
    <row r="1350">
      <c r="A1350" s="6" t="str">
        <f>IFERROR(__xludf.DUMMYFUNCTION("""COMPUTED_VALUE"""),"FM2633")</f>
        <v>FM2633</v>
      </c>
      <c r="B1350" s="206">
        <f>IFERROR(__xludf.DUMMYFUNCTION("""COMPUTED_VALUE"""),44753.0)</f>
        <v>44753</v>
      </c>
      <c r="C1350" s="207">
        <f>IFERROR(__xludf.DUMMYFUNCTION("""COMPUTED_VALUE"""),0.7069560185185185)</f>
        <v>0.7069560185</v>
      </c>
      <c r="D1350" s="50"/>
      <c r="E1350" s="58"/>
      <c r="F1350" s="58"/>
      <c r="G1350" s="58" t="str">
        <f>IFERROR(__xludf.DUMMYFUNCTION("""COMPUTED_VALUE"""),"Null")</f>
        <v>Null</v>
      </c>
      <c r="H1350" s="206" t="str">
        <f>IFERROR(__xludf.DUMMYFUNCTION("""COMPUTED_VALUE"""),"Negative")</f>
        <v>Negative</v>
      </c>
      <c r="I1350" s="207"/>
      <c r="J1350" s="50"/>
      <c r="K1350" s="50">
        <f>IFERROR(__xludf.DUMMYFUNCTION("""COMPUTED_VALUE"""),2.0)</f>
        <v>2</v>
      </c>
      <c r="L1350" s="6"/>
      <c r="M1350" s="55"/>
      <c r="N1350" s="55">
        <f>IFERROR(__xludf.DUMMYFUNCTION("""COMPUTED_VALUE"""),1.0)</f>
        <v>1</v>
      </c>
      <c r="O1350" s="55" t="str">
        <f t="shared" si="3"/>
        <v/>
      </c>
      <c r="P1350" s="209"/>
      <c r="Q1350" s="75" t="b">
        <f>VLOOKUP($B1350,'Run Reconcile'!B$2:P1679,15,FALSE)</f>
        <v>1</v>
      </c>
      <c r="R1350" s="211" t="str">
        <f t="array" ref="R1350">IF($Q1350, INDEX('Run Reconcile'!A$2:A1679,MATCH(B1350,'Run Reconcile'!B$2:B1679,0),1),IFERROR(0/0,""))</f>
        <v>RUN-COMB_2022-07-11_RFR-075</v>
      </c>
      <c r="S1350" s="165" t="str">
        <f t="shared" ref="S1350:T1350" si="2699">IF(COUNTIF(W$2:W1679, $A1350) &gt; 0,TRUE,IFERROR(0/0,""))</f>
        <v/>
      </c>
      <c r="T1350" s="165" t="str">
        <f t="shared" si="2699"/>
        <v/>
      </c>
      <c r="U1350" s="147" t="str">
        <f t="array" ref="U1350">IF(ISBLANK($R1350), IF($S1350,VLOOKUP($B1350+1,'RFR Data - preExcl'!$BF$2:$BG1679,2,FALSE),IF($T1350,INDEX('RFR Data - preExcl'!$BF$2:$BG1679,MATCH($B1350,'RFR Data - preExcl'!$BF$2:$BF1679,0)+1,2),VLOOKUP($B1350,'RFR Data - preExcl'!$BF$2:$BG1679,2,FALSE))),IFERROR(0/0,""))</f>
        <v/>
      </c>
      <c r="V1350" s="212" t="str">
        <f t="shared" si="5"/>
        <v>RUN-COMB_2022-07-11_RFR-075</v>
      </c>
      <c r="W1350" s="51"/>
      <c r="X1350" s="51"/>
      <c r="Y1350" s="147" t="str">
        <f t="shared" ref="Y1350:Z1350" si="2700">IF(_xlfn.ISFORMULA(S1350),IFERROR(0/0,""),TRUE)</f>
        <v/>
      </c>
      <c r="Z1350" s="147" t="str">
        <f t="shared" si="2700"/>
        <v/>
      </c>
    </row>
    <row r="1351">
      <c r="A1351" s="6" t="str">
        <f>IFERROR(__xludf.DUMMYFUNCTION("""COMPUTED_VALUE"""),"FM2424")</f>
        <v>FM2424</v>
      </c>
      <c r="B1351" s="206">
        <f>IFERROR(__xludf.DUMMYFUNCTION("""COMPUTED_VALUE"""),44753.0)</f>
        <v>44753</v>
      </c>
      <c r="C1351" s="207">
        <f>IFERROR(__xludf.DUMMYFUNCTION("""COMPUTED_VALUE"""),0.707650462962963)</f>
        <v>0.707650463</v>
      </c>
      <c r="D1351" s="50"/>
      <c r="E1351" s="58"/>
      <c r="F1351" s="58"/>
      <c r="G1351" s="58" t="str">
        <f>IFERROR(__xludf.DUMMYFUNCTION("""COMPUTED_VALUE"""),"Null")</f>
        <v>Null</v>
      </c>
      <c r="H1351" s="206" t="str">
        <f>IFERROR(__xludf.DUMMYFUNCTION("""COMPUTED_VALUE"""),"Negative")</f>
        <v>Negative</v>
      </c>
      <c r="I1351" s="207"/>
      <c r="J1351" s="50"/>
      <c r="K1351" s="50">
        <f>IFERROR(__xludf.DUMMYFUNCTION("""COMPUTED_VALUE"""),2.0)</f>
        <v>2</v>
      </c>
      <c r="L1351" s="6"/>
      <c r="M1351" s="55"/>
      <c r="N1351" s="55">
        <f>IFERROR(__xludf.DUMMYFUNCTION("""COMPUTED_VALUE"""),1.0)</f>
        <v>1</v>
      </c>
      <c r="O1351" s="55" t="str">
        <f t="shared" si="3"/>
        <v/>
      </c>
      <c r="P1351" s="209"/>
      <c r="Q1351" s="75" t="b">
        <f>VLOOKUP($B1351,'Run Reconcile'!B$2:P1679,15,FALSE)</f>
        <v>1</v>
      </c>
      <c r="R1351" s="211" t="str">
        <f t="array" ref="R1351">IF($Q1351, INDEX('Run Reconcile'!A$2:A1679,MATCH(B1351,'Run Reconcile'!B$2:B1679,0),1),IFERROR(0/0,""))</f>
        <v>RUN-COMB_2022-07-11_RFR-075</v>
      </c>
      <c r="S1351" s="165" t="str">
        <f t="shared" ref="S1351:T1351" si="2701">IF(COUNTIF(W$2:W1679, $A1351) &gt; 0,TRUE,IFERROR(0/0,""))</f>
        <v/>
      </c>
      <c r="T1351" s="165" t="str">
        <f t="shared" si="2701"/>
        <v/>
      </c>
      <c r="U1351" s="147" t="str">
        <f t="array" ref="U1351">IF(ISBLANK($R1351), IF($S1351,VLOOKUP($B1351+1,'RFR Data - preExcl'!$BF$2:$BG1679,2,FALSE),IF($T1351,INDEX('RFR Data - preExcl'!$BF$2:$BG1679,MATCH($B1351,'RFR Data - preExcl'!$BF$2:$BF1679,0)+1,2),VLOOKUP($B1351,'RFR Data - preExcl'!$BF$2:$BG1679,2,FALSE))),IFERROR(0/0,""))</f>
        <v/>
      </c>
      <c r="V1351" s="212" t="str">
        <f t="shared" si="5"/>
        <v>RUN-COMB_2022-07-11_RFR-075</v>
      </c>
      <c r="W1351" s="51"/>
      <c r="X1351" s="51"/>
      <c r="Y1351" s="147" t="str">
        <f t="shared" ref="Y1351:Z1351" si="2702">IF(_xlfn.ISFORMULA(S1351),IFERROR(0/0,""),TRUE)</f>
        <v/>
      </c>
      <c r="Z1351" s="147" t="str">
        <f t="shared" si="2702"/>
        <v/>
      </c>
    </row>
    <row r="1352">
      <c r="A1352" s="6" t="str">
        <f>IFERROR(__xludf.DUMMYFUNCTION("""COMPUTED_VALUE"""),"FM2539")</f>
        <v>FM2539</v>
      </c>
      <c r="B1352" s="206">
        <f>IFERROR(__xludf.DUMMYFUNCTION("""COMPUTED_VALUE"""),44753.0)</f>
        <v>44753</v>
      </c>
      <c r="C1352" s="207">
        <f>IFERROR(__xludf.DUMMYFUNCTION("""COMPUTED_VALUE"""),0.7080439814814815)</f>
        <v>0.7080439815</v>
      </c>
      <c r="D1352" s="50"/>
      <c r="E1352" s="58"/>
      <c r="F1352" s="58"/>
      <c r="G1352" s="58" t="str">
        <f>IFERROR(__xludf.DUMMYFUNCTION("""COMPUTED_VALUE"""),"Null")</f>
        <v>Null</v>
      </c>
      <c r="H1352" s="206" t="str">
        <f>IFERROR(__xludf.DUMMYFUNCTION("""COMPUTED_VALUE"""),"Negative")</f>
        <v>Negative</v>
      </c>
      <c r="I1352" s="207"/>
      <c r="J1352" s="50"/>
      <c r="K1352" s="50">
        <f>IFERROR(__xludf.DUMMYFUNCTION("""COMPUTED_VALUE"""),2.0)</f>
        <v>2</v>
      </c>
      <c r="L1352" s="6"/>
      <c r="M1352" s="55"/>
      <c r="N1352" s="55">
        <f>IFERROR(__xludf.DUMMYFUNCTION("""COMPUTED_VALUE"""),1.0)</f>
        <v>1</v>
      </c>
      <c r="O1352" s="55" t="str">
        <f t="shared" si="3"/>
        <v/>
      </c>
      <c r="P1352" s="209"/>
      <c r="Q1352" s="75" t="b">
        <f>VLOOKUP($B1352,'Run Reconcile'!B$2:P1679,15,FALSE)</f>
        <v>1</v>
      </c>
      <c r="R1352" s="211" t="str">
        <f t="array" ref="R1352">IF($Q1352, INDEX('Run Reconcile'!A$2:A1679,MATCH(B1352,'Run Reconcile'!B$2:B1679,0),1),IFERROR(0/0,""))</f>
        <v>RUN-COMB_2022-07-11_RFR-075</v>
      </c>
      <c r="S1352" s="165" t="str">
        <f t="shared" ref="S1352:T1352" si="2703">IF(COUNTIF(W$2:W1679, $A1352) &gt; 0,TRUE,IFERROR(0/0,""))</f>
        <v/>
      </c>
      <c r="T1352" s="165" t="str">
        <f t="shared" si="2703"/>
        <v/>
      </c>
      <c r="U1352" s="147" t="str">
        <f t="array" ref="U1352">IF(ISBLANK($R1352), IF($S1352,VLOOKUP($B1352+1,'RFR Data - preExcl'!$BF$2:$BG1679,2,FALSE),IF($T1352,INDEX('RFR Data - preExcl'!$BF$2:$BG1679,MATCH($B1352,'RFR Data - preExcl'!$BF$2:$BF1679,0)+1,2),VLOOKUP($B1352,'RFR Data - preExcl'!$BF$2:$BG1679,2,FALSE))),IFERROR(0/0,""))</f>
        <v/>
      </c>
      <c r="V1352" s="212" t="str">
        <f t="shared" si="5"/>
        <v>RUN-COMB_2022-07-11_RFR-075</v>
      </c>
      <c r="W1352" s="51"/>
      <c r="X1352" s="51"/>
      <c r="Y1352" s="147" t="str">
        <f t="shared" ref="Y1352:Z1352" si="2704">IF(_xlfn.ISFORMULA(S1352),IFERROR(0/0,""),TRUE)</f>
        <v/>
      </c>
      <c r="Z1352" s="147" t="str">
        <f t="shared" si="2704"/>
        <v/>
      </c>
    </row>
    <row r="1353">
      <c r="A1353" s="6" t="str">
        <f>IFERROR(__xludf.DUMMYFUNCTION("""COMPUTED_VALUE"""),"FM2452")</f>
        <v>FM2452</v>
      </c>
      <c r="B1353" s="206">
        <f>IFERROR(__xludf.DUMMYFUNCTION("""COMPUTED_VALUE"""),44753.0)</f>
        <v>44753</v>
      </c>
      <c r="C1353" s="207">
        <f>IFERROR(__xludf.DUMMYFUNCTION("""COMPUTED_VALUE"""),0.7086458333333333)</f>
        <v>0.7086458333</v>
      </c>
      <c r="D1353" s="50"/>
      <c r="E1353" s="58"/>
      <c r="F1353" s="58"/>
      <c r="G1353" s="58" t="str">
        <f>IFERROR(__xludf.DUMMYFUNCTION("""COMPUTED_VALUE"""),"Null")</f>
        <v>Null</v>
      </c>
      <c r="H1353" s="206" t="str">
        <f>IFERROR(__xludf.DUMMYFUNCTION("""COMPUTED_VALUE"""),"Negative")</f>
        <v>Negative</v>
      </c>
      <c r="I1353" s="207"/>
      <c r="J1353" s="50"/>
      <c r="K1353" s="50">
        <f>IFERROR(__xludf.DUMMYFUNCTION("""COMPUTED_VALUE"""),2.0)</f>
        <v>2</v>
      </c>
      <c r="L1353" s="6"/>
      <c r="M1353" s="55"/>
      <c r="N1353" s="55">
        <f>IFERROR(__xludf.DUMMYFUNCTION("""COMPUTED_VALUE"""),1.0)</f>
        <v>1</v>
      </c>
      <c r="O1353" s="55" t="str">
        <f t="shared" si="3"/>
        <v/>
      </c>
      <c r="P1353" s="209"/>
      <c r="Q1353" s="75" t="b">
        <f>VLOOKUP($B1353,'Run Reconcile'!B$2:P1679,15,FALSE)</f>
        <v>1</v>
      </c>
      <c r="R1353" s="211" t="str">
        <f t="array" ref="R1353">IF($Q1353, INDEX('Run Reconcile'!A$2:A1679,MATCH(B1353,'Run Reconcile'!B$2:B1679,0),1),IFERROR(0/0,""))</f>
        <v>RUN-COMB_2022-07-11_RFR-075</v>
      </c>
      <c r="S1353" s="165" t="str">
        <f t="shared" ref="S1353:T1353" si="2705">IF(COUNTIF(W$2:W1679, $A1353) &gt; 0,TRUE,IFERROR(0/0,""))</f>
        <v/>
      </c>
      <c r="T1353" s="165" t="str">
        <f t="shared" si="2705"/>
        <v/>
      </c>
      <c r="U1353" s="147" t="str">
        <f t="array" ref="U1353">IF(ISBLANK($R1353), IF($S1353,VLOOKUP($B1353+1,'RFR Data - preExcl'!$BF$2:$BG1679,2,FALSE),IF($T1353,INDEX('RFR Data - preExcl'!$BF$2:$BG1679,MATCH($B1353,'RFR Data - preExcl'!$BF$2:$BF1679,0)+1,2),VLOOKUP($B1353,'RFR Data - preExcl'!$BF$2:$BG1679,2,FALSE))),IFERROR(0/0,""))</f>
        <v/>
      </c>
      <c r="V1353" s="212" t="str">
        <f t="shared" si="5"/>
        <v>RUN-COMB_2022-07-11_RFR-075</v>
      </c>
      <c r="W1353" s="51"/>
      <c r="X1353" s="51"/>
      <c r="Y1353" s="147" t="str">
        <f t="shared" ref="Y1353:Z1353" si="2706">IF(_xlfn.ISFORMULA(S1353),IFERROR(0/0,""),TRUE)</f>
        <v/>
      </c>
      <c r="Z1353" s="147" t="str">
        <f t="shared" si="2706"/>
        <v/>
      </c>
    </row>
    <row r="1354">
      <c r="A1354" s="6" t="str">
        <f>IFERROR(__xludf.DUMMYFUNCTION("""COMPUTED_VALUE"""),"FM2440")</f>
        <v>FM2440</v>
      </c>
      <c r="B1354" s="206">
        <f>IFERROR(__xludf.DUMMYFUNCTION("""COMPUTED_VALUE"""),44753.0)</f>
        <v>44753</v>
      </c>
      <c r="C1354" s="207">
        <f>IFERROR(__xludf.DUMMYFUNCTION("""COMPUTED_VALUE"""),0.7091782407407408)</f>
        <v>0.7091782407</v>
      </c>
      <c r="D1354" s="50"/>
      <c r="E1354" s="58"/>
      <c r="F1354" s="58"/>
      <c r="G1354" s="58" t="str">
        <f>IFERROR(__xludf.DUMMYFUNCTION("""COMPUTED_VALUE"""),"Null")</f>
        <v>Null</v>
      </c>
      <c r="H1354" s="206" t="str">
        <f>IFERROR(__xludf.DUMMYFUNCTION("""COMPUTED_VALUE"""),"Negative")</f>
        <v>Negative</v>
      </c>
      <c r="I1354" s="207"/>
      <c r="J1354" s="50"/>
      <c r="K1354" s="50">
        <f>IFERROR(__xludf.DUMMYFUNCTION("""COMPUTED_VALUE"""),2.0)</f>
        <v>2</v>
      </c>
      <c r="L1354" s="6"/>
      <c r="M1354" s="55"/>
      <c r="N1354" s="55">
        <f>IFERROR(__xludf.DUMMYFUNCTION("""COMPUTED_VALUE"""),1.0)</f>
        <v>1</v>
      </c>
      <c r="O1354" s="55" t="str">
        <f t="shared" si="3"/>
        <v/>
      </c>
      <c r="P1354" s="209"/>
      <c r="Q1354" s="75" t="b">
        <f>VLOOKUP($B1354,'Run Reconcile'!B$2:P1679,15,FALSE)</f>
        <v>1</v>
      </c>
      <c r="R1354" s="211" t="str">
        <f t="array" ref="R1354">IF($Q1354, INDEX('Run Reconcile'!A$2:A1679,MATCH(B1354,'Run Reconcile'!B$2:B1679,0),1),IFERROR(0/0,""))</f>
        <v>RUN-COMB_2022-07-11_RFR-075</v>
      </c>
      <c r="S1354" s="165" t="str">
        <f t="shared" ref="S1354:T1354" si="2707">IF(COUNTIF(W$2:W1679, $A1354) &gt; 0,TRUE,IFERROR(0/0,""))</f>
        <v/>
      </c>
      <c r="T1354" s="165" t="str">
        <f t="shared" si="2707"/>
        <v/>
      </c>
      <c r="U1354" s="147" t="str">
        <f t="array" ref="U1354">IF(ISBLANK($R1354), IF($S1354,VLOOKUP($B1354+1,'RFR Data - preExcl'!$BF$2:$BG1679,2,FALSE),IF($T1354,INDEX('RFR Data - preExcl'!$BF$2:$BG1679,MATCH($B1354,'RFR Data - preExcl'!$BF$2:$BF1679,0)+1,2),VLOOKUP($B1354,'RFR Data - preExcl'!$BF$2:$BG1679,2,FALSE))),IFERROR(0/0,""))</f>
        <v/>
      </c>
      <c r="V1354" s="212" t="str">
        <f t="shared" si="5"/>
        <v>RUN-COMB_2022-07-11_RFR-075</v>
      </c>
      <c r="W1354" s="51"/>
      <c r="X1354" s="51"/>
      <c r="Y1354" s="147" t="str">
        <f t="shared" ref="Y1354:Z1354" si="2708">IF(_xlfn.ISFORMULA(S1354),IFERROR(0/0,""),TRUE)</f>
        <v/>
      </c>
      <c r="Z1354" s="147" t="str">
        <f t="shared" si="2708"/>
        <v/>
      </c>
    </row>
    <row r="1355">
      <c r="A1355" s="6" t="str">
        <f>IFERROR(__xludf.DUMMYFUNCTION("""COMPUTED_VALUE"""),"FM2531")</f>
        <v>FM2531</v>
      </c>
      <c r="B1355" s="206">
        <f>IFERROR(__xludf.DUMMYFUNCTION("""COMPUTED_VALUE"""),44753.0)</f>
        <v>44753</v>
      </c>
      <c r="C1355" s="207">
        <f>IFERROR(__xludf.DUMMYFUNCTION("""COMPUTED_VALUE"""),0.7095023148148148)</f>
        <v>0.7095023148</v>
      </c>
      <c r="D1355" s="50"/>
      <c r="E1355" s="58"/>
      <c r="F1355" s="58"/>
      <c r="G1355" s="58" t="str">
        <f>IFERROR(__xludf.DUMMYFUNCTION("""COMPUTED_VALUE"""),"Null")</f>
        <v>Null</v>
      </c>
      <c r="H1355" s="206" t="str">
        <f>IFERROR(__xludf.DUMMYFUNCTION("""COMPUTED_VALUE"""),"Negative")</f>
        <v>Negative</v>
      </c>
      <c r="I1355" s="207"/>
      <c r="J1355" s="50"/>
      <c r="K1355" s="50">
        <f>IFERROR(__xludf.DUMMYFUNCTION("""COMPUTED_VALUE"""),2.0)</f>
        <v>2</v>
      </c>
      <c r="L1355" s="6"/>
      <c r="M1355" s="55"/>
      <c r="N1355" s="55">
        <f>IFERROR(__xludf.DUMMYFUNCTION("""COMPUTED_VALUE"""),1.0)</f>
        <v>1</v>
      </c>
      <c r="O1355" s="55" t="str">
        <f t="shared" si="3"/>
        <v/>
      </c>
      <c r="P1355" s="209"/>
      <c r="Q1355" s="75" t="b">
        <f>VLOOKUP($B1355,'Run Reconcile'!B$2:P1679,15,FALSE)</f>
        <v>1</v>
      </c>
      <c r="R1355" s="211" t="str">
        <f t="array" ref="R1355">IF($Q1355, INDEX('Run Reconcile'!A$2:A1679,MATCH(B1355,'Run Reconcile'!B$2:B1679,0),1),IFERROR(0/0,""))</f>
        <v>RUN-COMB_2022-07-11_RFR-075</v>
      </c>
      <c r="S1355" s="165" t="str">
        <f t="shared" ref="S1355:T1355" si="2709">IF(COUNTIF(W$2:W1679, $A1355) &gt; 0,TRUE,IFERROR(0/0,""))</f>
        <v/>
      </c>
      <c r="T1355" s="165" t="str">
        <f t="shared" si="2709"/>
        <v/>
      </c>
      <c r="U1355" s="147" t="str">
        <f t="array" ref="U1355">IF(ISBLANK($R1355), IF($S1355,VLOOKUP($B1355+1,'RFR Data - preExcl'!$BF$2:$BG1679,2,FALSE),IF($T1355,INDEX('RFR Data - preExcl'!$BF$2:$BG1679,MATCH($B1355,'RFR Data - preExcl'!$BF$2:$BF1679,0)+1,2),VLOOKUP($B1355,'RFR Data - preExcl'!$BF$2:$BG1679,2,FALSE))),IFERROR(0/0,""))</f>
        <v/>
      </c>
      <c r="V1355" s="212" t="str">
        <f t="shared" si="5"/>
        <v>RUN-COMB_2022-07-11_RFR-075</v>
      </c>
      <c r="W1355" s="51"/>
      <c r="X1355" s="51"/>
      <c r="Y1355" s="147" t="str">
        <f t="shared" ref="Y1355:Z1355" si="2710">IF(_xlfn.ISFORMULA(S1355),IFERROR(0/0,""),TRUE)</f>
        <v/>
      </c>
      <c r="Z1355" s="147" t="str">
        <f t="shared" si="2710"/>
        <v/>
      </c>
    </row>
    <row r="1356">
      <c r="A1356" s="6" t="str">
        <f>IFERROR(__xludf.DUMMYFUNCTION("""COMPUTED_VALUE"""),"FM2408")</f>
        <v>FM2408</v>
      </c>
      <c r="B1356" s="206">
        <f>IFERROR(__xludf.DUMMYFUNCTION("""COMPUTED_VALUE"""),44753.0)</f>
        <v>44753</v>
      </c>
      <c r="C1356" s="207">
        <f>IFERROR(__xludf.DUMMYFUNCTION("""COMPUTED_VALUE"""),0.7099768518518519)</f>
        <v>0.7099768519</v>
      </c>
      <c r="D1356" s="50"/>
      <c r="E1356" s="58"/>
      <c r="F1356" s="58"/>
      <c r="G1356" s="58" t="str">
        <f>IFERROR(__xludf.DUMMYFUNCTION("""COMPUTED_VALUE"""),"Null")</f>
        <v>Null</v>
      </c>
      <c r="H1356" s="206" t="str">
        <f>IFERROR(__xludf.DUMMYFUNCTION("""COMPUTED_VALUE"""),"Negative")</f>
        <v>Negative</v>
      </c>
      <c r="I1356" s="207"/>
      <c r="J1356" s="50"/>
      <c r="K1356" s="50">
        <f>IFERROR(__xludf.DUMMYFUNCTION("""COMPUTED_VALUE"""),2.0)</f>
        <v>2</v>
      </c>
      <c r="L1356" s="6"/>
      <c r="M1356" s="55"/>
      <c r="N1356" s="55">
        <f>IFERROR(__xludf.DUMMYFUNCTION("""COMPUTED_VALUE"""),1.0)</f>
        <v>1</v>
      </c>
      <c r="O1356" s="55" t="str">
        <f t="shared" si="3"/>
        <v/>
      </c>
      <c r="P1356" s="209"/>
      <c r="Q1356" s="75" t="b">
        <f>VLOOKUP($B1356,'Run Reconcile'!B$2:P1679,15,FALSE)</f>
        <v>1</v>
      </c>
      <c r="R1356" s="211" t="str">
        <f t="array" ref="R1356">IF($Q1356, INDEX('Run Reconcile'!A$2:A1679,MATCH(B1356,'Run Reconcile'!B$2:B1679,0),1),IFERROR(0/0,""))</f>
        <v>RUN-COMB_2022-07-11_RFR-075</v>
      </c>
      <c r="S1356" s="165" t="str">
        <f t="shared" ref="S1356:T1356" si="2711">IF(COUNTIF(W$2:W1679, $A1356) &gt; 0,TRUE,IFERROR(0/0,""))</f>
        <v/>
      </c>
      <c r="T1356" s="165" t="str">
        <f t="shared" si="2711"/>
        <v/>
      </c>
      <c r="U1356" s="147" t="str">
        <f t="array" ref="U1356">IF(ISBLANK($R1356), IF($S1356,VLOOKUP($B1356+1,'RFR Data - preExcl'!$BF$2:$BG1679,2,FALSE),IF($T1356,INDEX('RFR Data - preExcl'!$BF$2:$BG1679,MATCH($B1356,'RFR Data - preExcl'!$BF$2:$BF1679,0)+1,2),VLOOKUP($B1356,'RFR Data - preExcl'!$BF$2:$BG1679,2,FALSE))),IFERROR(0/0,""))</f>
        <v/>
      </c>
      <c r="V1356" s="212" t="str">
        <f t="shared" si="5"/>
        <v>RUN-COMB_2022-07-11_RFR-075</v>
      </c>
      <c r="W1356" s="51"/>
      <c r="X1356" s="51"/>
      <c r="Y1356" s="147" t="str">
        <f t="shared" ref="Y1356:Z1356" si="2712">IF(_xlfn.ISFORMULA(S1356),IFERROR(0/0,""),TRUE)</f>
        <v/>
      </c>
      <c r="Z1356" s="147" t="str">
        <f t="shared" si="2712"/>
        <v/>
      </c>
    </row>
    <row r="1357">
      <c r="A1357" s="6" t="str">
        <f>IFERROR(__xludf.DUMMYFUNCTION("""COMPUTED_VALUE"""),"FM2448")</f>
        <v>FM2448</v>
      </c>
      <c r="B1357" s="206">
        <f>IFERROR(__xludf.DUMMYFUNCTION("""COMPUTED_VALUE"""),44753.0)</f>
        <v>44753</v>
      </c>
      <c r="C1357" s="207">
        <f>IFERROR(__xludf.DUMMYFUNCTION("""COMPUTED_VALUE"""),0.7195833333333334)</f>
        <v>0.7195833333</v>
      </c>
      <c r="D1357" s="50"/>
      <c r="E1357" s="58"/>
      <c r="F1357" s="58"/>
      <c r="G1357" s="58" t="str">
        <f>IFERROR(__xludf.DUMMYFUNCTION("""COMPUTED_VALUE"""),"Null")</f>
        <v>Null</v>
      </c>
      <c r="H1357" s="206" t="str">
        <f>IFERROR(__xludf.DUMMYFUNCTION("""COMPUTED_VALUE"""),"Negative")</f>
        <v>Negative</v>
      </c>
      <c r="I1357" s="207"/>
      <c r="J1357" s="50"/>
      <c r="K1357" s="50">
        <f>IFERROR(__xludf.DUMMYFUNCTION("""COMPUTED_VALUE"""),2.0)</f>
        <v>2</v>
      </c>
      <c r="L1357" s="6"/>
      <c r="M1357" s="55"/>
      <c r="N1357" s="55">
        <f>IFERROR(__xludf.DUMMYFUNCTION("""COMPUTED_VALUE"""),1.0)</f>
        <v>1</v>
      </c>
      <c r="O1357" s="55" t="str">
        <f t="shared" si="3"/>
        <v/>
      </c>
      <c r="P1357" s="209"/>
      <c r="Q1357" s="75" t="b">
        <f>VLOOKUP($B1357,'Run Reconcile'!B$2:P1679,15,FALSE)</f>
        <v>1</v>
      </c>
      <c r="R1357" s="211" t="str">
        <f t="array" ref="R1357">IF($Q1357, INDEX('Run Reconcile'!A$2:A1679,MATCH(B1357,'Run Reconcile'!B$2:B1679,0),1),IFERROR(0/0,""))</f>
        <v>RUN-COMB_2022-07-11_RFR-075</v>
      </c>
      <c r="S1357" s="165" t="str">
        <f t="shared" ref="S1357:T1357" si="2713">IF(COUNTIF(W$2:W1679, $A1357) &gt; 0,TRUE,IFERROR(0/0,""))</f>
        <v/>
      </c>
      <c r="T1357" s="165" t="str">
        <f t="shared" si="2713"/>
        <v/>
      </c>
      <c r="U1357" s="147" t="str">
        <f t="array" ref="U1357">IF(ISBLANK($R1357), IF($S1357,VLOOKUP($B1357+1,'RFR Data - preExcl'!$BF$2:$BG1679,2,FALSE),IF($T1357,INDEX('RFR Data - preExcl'!$BF$2:$BG1679,MATCH($B1357,'RFR Data - preExcl'!$BF$2:$BF1679,0)+1,2),VLOOKUP($B1357,'RFR Data - preExcl'!$BF$2:$BG1679,2,FALSE))),IFERROR(0/0,""))</f>
        <v/>
      </c>
      <c r="V1357" s="212" t="str">
        <f t="shared" si="5"/>
        <v>RUN-COMB_2022-07-11_RFR-075</v>
      </c>
      <c r="W1357" s="51"/>
      <c r="X1357" s="51"/>
      <c r="Y1357" s="147" t="str">
        <f t="shared" ref="Y1357:Z1357" si="2714">IF(_xlfn.ISFORMULA(S1357),IFERROR(0/0,""),TRUE)</f>
        <v/>
      </c>
      <c r="Z1357" s="147" t="str">
        <f t="shared" si="2714"/>
        <v/>
      </c>
    </row>
    <row r="1358">
      <c r="A1358" s="6" t="str">
        <f>IFERROR(__xludf.DUMMYFUNCTION("""COMPUTED_VALUE"""),"FM2621")</f>
        <v>FM2621</v>
      </c>
      <c r="B1358" s="206">
        <f>IFERROR(__xludf.DUMMYFUNCTION("""COMPUTED_VALUE"""),44753.0)</f>
        <v>44753</v>
      </c>
      <c r="C1358" s="207">
        <f>IFERROR(__xludf.DUMMYFUNCTION("""COMPUTED_VALUE"""),0.7201388888888889)</f>
        <v>0.7201388889</v>
      </c>
      <c r="D1358" s="50"/>
      <c r="E1358" s="58"/>
      <c r="F1358" s="58"/>
      <c r="G1358" s="58" t="str">
        <f>IFERROR(__xludf.DUMMYFUNCTION("""COMPUTED_VALUE"""),"Null")</f>
        <v>Null</v>
      </c>
      <c r="H1358" s="206" t="str">
        <f>IFERROR(__xludf.DUMMYFUNCTION("""COMPUTED_VALUE"""),"Negative")</f>
        <v>Negative</v>
      </c>
      <c r="I1358" s="207"/>
      <c r="J1358" s="50"/>
      <c r="K1358" s="50">
        <f>IFERROR(__xludf.DUMMYFUNCTION("""COMPUTED_VALUE"""),2.0)</f>
        <v>2</v>
      </c>
      <c r="L1358" s="6"/>
      <c r="M1358" s="55"/>
      <c r="N1358" s="55">
        <f>IFERROR(__xludf.DUMMYFUNCTION("""COMPUTED_VALUE"""),1.0)</f>
        <v>1</v>
      </c>
      <c r="O1358" s="55" t="str">
        <f t="shared" si="3"/>
        <v/>
      </c>
      <c r="P1358" s="209"/>
      <c r="Q1358" s="75" t="b">
        <f>VLOOKUP($B1358,'Run Reconcile'!B$2:P1679,15,FALSE)</f>
        <v>1</v>
      </c>
      <c r="R1358" s="211" t="str">
        <f t="array" ref="R1358">IF($Q1358, INDEX('Run Reconcile'!A$2:A1679,MATCH(B1358,'Run Reconcile'!B$2:B1679,0),1),IFERROR(0/0,""))</f>
        <v>RUN-COMB_2022-07-11_RFR-075</v>
      </c>
      <c r="S1358" s="165" t="str">
        <f t="shared" ref="S1358:T1358" si="2715">IF(COUNTIF(W$2:W1679, $A1358) &gt; 0,TRUE,IFERROR(0/0,""))</f>
        <v/>
      </c>
      <c r="T1358" s="165" t="str">
        <f t="shared" si="2715"/>
        <v/>
      </c>
      <c r="U1358" s="147" t="str">
        <f t="array" ref="U1358">IF(ISBLANK($R1358), IF($S1358,VLOOKUP($B1358+1,'RFR Data - preExcl'!$BF$2:$BG1679,2,FALSE),IF($T1358,INDEX('RFR Data - preExcl'!$BF$2:$BG1679,MATCH($B1358,'RFR Data - preExcl'!$BF$2:$BF1679,0)+1,2),VLOOKUP($B1358,'RFR Data - preExcl'!$BF$2:$BG1679,2,FALSE))),IFERROR(0/0,""))</f>
        <v/>
      </c>
      <c r="V1358" s="212" t="str">
        <f t="shared" si="5"/>
        <v>RUN-COMB_2022-07-11_RFR-075</v>
      </c>
      <c r="W1358" s="51"/>
      <c r="X1358" s="51"/>
      <c r="Y1358" s="147" t="str">
        <f t="shared" ref="Y1358:Z1358" si="2716">IF(_xlfn.ISFORMULA(S1358),IFERROR(0/0,""),TRUE)</f>
        <v/>
      </c>
      <c r="Z1358" s="147" t="str">
        <f t="shared" si="2716"/>
        <v/>
      </c>
    </row>
    <row r="1359">
      <c r="A1359" s="6" t="str">
        <f>IFERROR(__xludf.DUMMYFUNCTION("""COMPUTED_VALUE"""),"FM2545")</f>
        <v>FM2545</v>
      </c>
      <c r="B1359" s="206">
        <f>IFERROR(__xludf.DUMMYFUNCTION("""COMPUTED_VALUE"""),44753.0)</f>
        <v>44753</v>
      </c>
      <c r="C1359" s="207">
        <f>IFERROR(__xludf.DUMMYFUNCTION("""COMPUTED_VALUE"""),0.7208101851851851)</f>
        <v>0.7208101852</v>
      </c>
      <c r="D1359" s="50"/>
      <c r="E1359" s="58"/>
      <c r="F1359" s="58"/>
      <c r="G1359" s="58" t="str">
        <f>IFERROR(__xludf.DUMMYFUNCTION("""COMPUTED_VALUE"""),"Null")</f>
        <v>Null</v>
      </c>
      <c r="H1359" s="206" t="str">
        <f>IFERROR(__xludf.DUMMYFUNCTION("""COMPUTED_VALUE"""),"Negative")</f>
        <v>Negative</v>
      </c>
      <c r="I1359" s="207"/>
      <c r="J1359" s="50"/>
      <c r="K1359" s="50">
        <f>IFERROR(__xludf.DUMMYFUNCTION("""COMPUTED_VALUE"""),2.0)</f>
        <v>2</v>
      </c>
      <c r="L1359" s="6"/>
      <c r="M1359" s="55"/>
      <c r="N1359" s="55">
        <f>IFERROR(__xludf.DUMMYFUNCTION("""COMPUTED_VALUE"""),1.0)</f>
        <v>1</v>
      </c>
      <c r="O1359" s="55" t="str">
        <f t="shared" si="3"/>
        <v/>
      </c>
      <c r="P1359" s="209"/>
      <c r="Q1359" s="75" t="b">
        <f>VLOOKUP($B1359,'Run Reconcile'!B$2:P1679,15,FALSE)</f>
        <v>1</v>
      </c>
      <c r="R1359" s="211" t="str">
        <f t="array" ref="R1359">IF($Q1359, INDEX('Run Reconcile'!A$2:A1679,MATCH(B1359,'Run Reconcile'!B$2:B1679,0),1),IFERROR(0/0,""))</f>
        <v>RUN-COMB_2022-07-11_RFR-075</v>
      </c>
      <c r="S1359" s="165" t="str">
        <f t="shared" ref="S1359:T1359" si="2717">IF(COUNTIF(W$2:W1679, $A1359) &gt; 0,TRUE,IFERROR(0/0,""))</f>
        <v/>
      </c>
      <c r="T1359" s="165" t="str">
        <f t="shared" si="2717"/>
        <v/>
      </c>
      <c r="U1359" s="147" t="str">
        <f t="array" ref="U1359">IF(ISBLANK($R1359), IF($S1359,VLOOKUP($B1359+1,'RFR Data - preExcl'!$BF$2:$BG1679,2,FALSE),IF($T1359,INDEX('RFR Data - preExcl'!$BF$2:$BG1679,MATCH($B1359,'RFR Data - preExcl'!$BF$2:$BF1679,0)+1,2),VLOOKUP($B1359,'RFR Data - preExcl'!$BF$2:$BG1679,2,FALSE))),IFERROR(0/0,""))</f>
        <v/>
      </c>
      <c r="V1359" s="212" t="str">
        <f t="shared" si="5"/>
        <v>RUN-COMB_2022-07-11_RFR-075</v>
      </c>
      <c r="W1359" s="51"/>
      <c r="X1359" s="51"/>
      <c r="Y1359" s="147" t="str">
        <f t="shared" ref="Y1359:Z1359" si="2718">IF(_xlfn.ISFORMULA(S1359),IFERROR(0/0,""),TRUE)</f>
        <v/>
      </c>
      <c r="Z1359" s="147" t="str">
        <f t="shared" si="2718"/>
        <v/>
      </c>
    </row>
    <row r="1360">
      <c r="A1360" s="6" t="str">
        <f>IFERROR(__xludf.DUMMYFUNCTION("""COMPUTED_VALUE"""),"FM2419")</f>
        <v>FM2419</v>
      </c>
      <c r="B1360" s="206">
        <f>IFERROR(__xludf.DUMMYFUNCTION("""COMPUTED_VALUE"""),44753.0)</f>
        <v>44753</v>
      </c>
      <c r="C1360" s="207">
        <f>IFERROR(__xludf.DUMMYFUNCTION("""COMPUTED_VALUE"""),0.7218171296296296)</f>
        <v>0.7218171296</v>
      </c>
      <c r="D1360" s="50"/>
      <c r="E1360" s="58"/>
      <c r="F1360" s="58"/>
      <c r="G1360" s="58" t="str">
        <f>IFERROR(__xludf.DUMMYFUNCTION("""COMPUTED_VALUE"""),"Null")</f>
        <v>Null</v>
      </c>
      <c r="H1360" s="206" t="str">
        <f>IFERROR(__xludf.DUMMYFUNCTION("""COMPUTED_VALUE"""),"Negative")</f>
        <v>Negative</v>
      </c>
      <c r="I1360" s="207"/>
      <c r="J1360" s="50"/>
      <c r="K1360" s="50">
        <f>IFERROR(__xludf.DUMMYFUNCTION("""COMPUTED_VALUE"""),2.0)</f>
        <v>2</v>
      </c>
      <c r="L1360" s="6"/>
      <c r="M1360" s="55"/>
      <c r="N1360" s="55">
        <f>IFERROR(__xludf.DUMMYFUNCTION("""COMPUTED_VALUE"""),1.0)</f>
        <v>1</v>
      </c>
      <c r="O1360" s="55" t="str">
        <f t="shared" si="3"/>
        <v/>
      </c>
      <c r="P1360" s="209"/>
      <c r="Q1360" s="75" t="b">
        <f>VLOOKUP($B1360,'Run Reconcile'!B$2:P1679,15,FALSE)</f>
        <v>1</v>
      </c>
      <c r="R1360" s="211" t="str">
        <f t="array" ref="R1360">IF($Q1360, INDEX('Run Reconcile'!A$2:A1679,MATCH(B1360,'Run Reconcile'!B$2:B1679,0),1),IFERROR(0/0,""))</f>
        <v>RUN-COMB_2022-07-11_RFR-075</v>
      </c>
      <c r="S1360" s="165" t="str">
        <f t="shared" ref="S1360:T1360" si="2719">IF(COUNTIF(W$2:W1679, $A1360) &gt; 0,TRUE,IFERROR(0/0,""))</f>
        <v/>
      </c>
      <c r="T1360" s="165" t="str">
        <f t="shared" si="2719"/>
        <v/>
      </c>
      <c r="U1360" s="147" t="str">
        <f t="array" ref="U1360">IF(ISBLANK($R1360), IF($S1360,VLOOKUP($B1360+1,'RFR Data - preExcl'!$BF$2:$BG1679,2,FALSE),IF($T1360,INDEX('RFR Data - preExcl'!$BF$2:$BG1679,MATCH($B1360,'RFR Data - preExcl'!$BF$2:$BF1679,0)+1,2),VLOOKUP($B1360,'RFR Data - preExcl'!$BF$2:$BG1679,2,FALSE))),IFERROR(0/0,""))</f>
        <v/>
      </c>
      <c r="V1360" s="212" t="str">
        <f t="shared" si="5"/>
        <v>RUN-COMB_2022-07-11_RFR-075</v>
      </c>
      <c r="W1360" s="51"/>
      <c r="X1360" s="51"/>
      <c r="Y1360" s="147" t="str">
        <f t="shared" ref="Y1360:Z1360" si="2720">IF(_xlfn.ISFORMULA(S1360),IFERROR(0/0,""),TRUE)</f>
        <v/>
      </c>
      <c r="Z1360" s="147" t="str">
        <f t="shared" si="2720"/>
        <v/>
      </c>
    </row>
    <row r="1361">
      <c r="A1361" s="6" t="str">
        <f>IFERROR(__xludf.DUMMYFUNCTION("""COMPUTED_VALUE"""),"FM2597")</f>
        <v>FM2597</v>
      </c>
      <c r="B1361" s="206">
        <f>IFERROR(__xludf.DUMMYFUNCTION("""COMPUTED_VALUE"""),44753.0)</f>
        <v>44753</v>
      </c>
      <c r="C1361" s="207">
        <f>IFERROR(__xludf.DUMMYFUNCTION("""COMPUTED_VALUE"""),0.7223842592592593)</f>
        <v>0.7223842593</v>
      </c>
      <c r="D1361" s="50"/>
      <c r="E1361" s="58"/>
      <c r="F1361" s="58"/>
      <c r="G1361" s="58" t="str">
        <f>IFERROR(__xludf.DUMMYFUNCTION("""COMPUTED_VALUE"""),"Null")</f>
        <v>Null</v>
      </c>
      <c r="H1361" s="206" t="str">
        <f>IFERROR(__xludf.DUMMYFUNCTION("""COMPUTED_VALUE"""),"Negative")</f>
        <v>Negative</v>
      </c>
      <c r="I1361" s="207"/>
      <c r="J1361" s="50"/>
      <c r="K1361" s="50">
        <f>IFERROR(__xludf.DUMMYFUNCTION("""COMPUTED_VALUE"""),2.0)</f>
        <v>2</v>
      </c>
      <c r="L1361" s="6"/>
      <c r="M1361" s="55"/>
      <c r="N1361" s="55">
        <f>IFERROR(__xludf.DUMMYFUNCTION("""COMPUTED_VALUE"""),1.0)</f>
        <v>1</v>
      </c>
      <c r="O1361" s="55" t="str">
        <f t="shared" si="3"/>
        <v/>
      </c>
      <c r="P1361" s="209"/>
      <c r="Q1361" s="75" t="b">
        <f>VLOOKUP($B1361,'Run Reconcile'!B$2:P1679,15,FALSE)</f>
        <v>1</v>
      </c>
      <c r="R1361" s="211" t="str">
        <f t="array" ref="R1361">IF($Q1361, INDEX('Run Reconcile'!A$2:A1679,MATCH(B1361,'Run Reconcile'!B$2:B1679,0),1),IFERROR(0/0,""))</f>
        <v>RUN-COMB_2022-07-11_RFR-075</v>
      </c>
      <c r="S1361" s="165" t="str">
        <f t="shared" ref="S1361:T1361" si="2721">IF(COUNTIF(W$2:W1679, $A1361) &gt; 0,TRUE,IFERROR(0/0,""))</f>
        <v/>
      </c>
      <c r="T1361" s="165" t="str">
        <f t="shared" si="2721"/>
        <v/>
      </c>
      <c r="U1361" s="147" t="str">
        <f t="array" ref="U1361">IF(ISBLANK($R1361), IF($S1361,VLOOKUP($B1361+1,'RFR Data - preExcl'!$BF$2:$BG1679,2,FALSE),IF($T1361,INDEX('RFR Data - preExcl'!$BF$2:$BG1679,MATCH($B1361,'RFR Data - preExcl'!$BF$2:$BF1679,0)+1,2),VLOOKUP($B1361,'RFR Data - preExcl'!$BF$2:$BG1679,2,FALSE))),IFERROR(0/0,""))</f>
        <v/>
      </c>
      <c r="V1361" s="212" t="str">
        <f t="shared" si="5"/>
        <v>RUN-COMB_2022-07-11_RFR-075</v>
      </c>
      <c r="W1361" s="51"/>
      <c r="X1361" s="51"/>
      <c r="Y1361" s="147" t="str">
        <f t="shared" ref="Y1361:Z1361" si="2722">IF(_xlfn.ISFORMULA(S1361),IFERROR(0/0,""),TRUE)</f>
        <v/>
      </c>
      <c r="Z1361" s="147" t="str">
        <f t="shared" si="2722"/>
        <v/>
      </c>
    </row>
    <row r="1362">
      <c r="A1362" s="6" t="str">
        <f>IFERROR(__xludf.DUMMYFUNCTION("""COMPUTED_VALUE"""),"FM2575")</f>
        <v>FM2575</v>
      </c>
      <c r="B1362" s="206">
        <f>IFERROR(__xludf.DUMMYFUNCTION("""COMPUTED_VALUE"""),44753.0)</f>
        <v>44753</v>
      </c>
      <c r="C1362" s="207">
        <f>IFERROR(__xludf.DUMMYFUNCTION("""COMPUTED_VALUE"""),0.7236342592592593)</f>
        <v>0.7236342593</v>
      </c>
      <c r="D1362" s="50"/>
      <c r="E1362" s="58"/>
      <c r="F1362" s="58"/>
      <c r="G1362" s="58" t="str">
        <f>IFERROR(__xludf.DUMMYFUNCTION("""COMPUTED_VALUE"""),"Null")</f>
        <v>Null</v>
      </c>
      <c r="H1362" s="206" t="str">
        <f>IFERROR(__xludf.DUMMYFUNCTION("""COMPUTED_VALUE"""),"Negative")</f>
        <v>Negative</v>
      </c>
      <c r="I1362" s="207"/>
      <c r="J1362" s="50"/>
      <c r="K1362" s="50">
        <f>IFERROR(__xludf.DUMMYFUNCTION("""COMPUTED_VALUE"""),2.0)</f>
        <v>2</v>
      </c>
      <c r="L1362" s="6"/>
      <c r="M1362" s="55"/>
      <c r="N1362" s="55">
        <f>IFERROR(__xludf.DUMMYFUNCTION("""COMPUTED_VALUE"""),1.0)</f>
        <v>1</v>
      </c>
      <c r="O1362" s="55" t="str">
        <f t="shared" si="3"/>
        <v/>
      </c>
      <c r="P1362" s="209"/>
      <c r="Q1362" s="75" t="b">
        <f>VLOOKUP($B1362,'Run Reconcile'!B$2:P1679,15,FALSE)</f>
        <v>1</v>
      </c>
      <c r="R1362" s="211" t="str">
        <f t="array" ref="R1362">IF($Q1362, INDEX('Run Reconcile'!A$2:A1679,MATCH(B1362,'Run Reconcile'!B$2:B1679,0),1),IFERROR(0/0,""))</f>
        <v>RUN-COMB_2022-07-11_RFR-075</v>
      </c>
      <c r="S1362" s="165" t="str">
        <f t="shared" ref="S1362:T1362" si="2723">IF(COUNTIF(W$2:W1679, $A1362) &gt; 0,TRUE,IFERROR(0/0,""))</f>
        <v/>
      </c>
      <c r="T1362" s="165" t="str">
        <f t="shared" si="2723"/>
        <v/>
      </c>
      <c r="U1362" s="147" t="str">
        <f t="array" ref="U1362">IF(ISBLANK($R1362), IF($S1362,VLOOKUP($B1362+1,'RFR Data - preExcl'!$BF$2:$BG1679,2,FALSE),IF($T1362,INDEX('RFR Data - preExcl'!$BF$2:$BG1679,MATCH($B1362,'RFR Data - preExcl'!$BF$2:$BF1679,0)+1,2),VLOOKUP($B1362,'RFR Data - preExcl'!$BF$2:$BG1679,2,FALSE))),IFERROR(0/0,""))</f>
        <v/>
      </c>
      <c r="V1362" s="212" t="str">
        <f t="shared" si="5"/>
        <v>RUN-COMB_2022-07-11_RFR-075</v>
      </c>
      <c r="W1362" s="51"/>
      <c r="X1362" s="51"/>
      <c r="Y1362" s="147" t="str">
        <f t="shared" ref="Y1362:Z1362" si="2724">IF(_xlfn.ISFORMULA(S1362),IFERROR(0/0,""),TRUE)</f>
        <v/>
      </c>
      <c r="Z1362" s="147" t="str">
        <f t="shared" si="2724"/>
        <v/>
      </c>
    </row>
    <row r="1363">
      <c r="A1363" s="6" t="str">
        <f>IFERROR(__xludf.DUMMYFUNCTION("""COMPUTED_VALUE"""),"FM2544")</f>
        <v>FM2544</v>
      </c>
      <c r="B1363" s="206">
        <f>IFERROR(__xludf.DUMMYFUNCTION("""COMPUTED_VALUE"""),44753.0)</f>
        <v>44753</v>
      </c>
      <c r="C1363" s="207">
        <f>IFERROR(__xludf.DUMMYFUNCTION("""COMPUTED_VALUE"""),0.7243402777777778)</f>
        <v>0.7243402778</v>
      </c>
      <c r="D1363" s="50"/>
      <c r="E1363" s="58"/>
      <c r="F1363" s="58"/>
      <c r="G1363" s="58" t="str">
        <f>IFERROR(__xludf.DUMMYFUNCTION("""COMPUTED_VALUE"""),"Null")</f>
        <v>Null</v>
      </c>
      <c r="H1363" s="206" t="str">
        <f>IFERROR(__xludf.DUMMYFUNCTION("""COMPUTED_VALUE"""),"Negative")</f>
        <v>Negative</v>
      </c>
      <c r="I1363" s="207"/>
      <c r="J1363" s="50"/>
      <c r="K1363" s="50">
        <f>IFERROR(__xludf.DUMMYFUNCTION("""COMPUTED_VALUE"""),2.0)</f>
        <v>2</v>
      </c>
      <c r="L1363" s="6"/>
      <c r="M1363" s="55"/>
      <c r="N1363" s="55">
        <f>IFERROR(__xludf.DUMMYFUNCTION("""COMPUTED_VALUE"""),1.0)</f>
        <v>1</v>
      </c>
      <c r="O1363" s="55" t="str">
        <f t="shared" si="3"/>
        <v/>
      </c>
      <c r="P1363" s="209"/>
      <c r="Q1363" s="75" t="b">
        <f>VLOOKUP($B1363,'Run Reconcile'!B$2:P1679,15,FALSE)</f>
        <v>1</v>
      </c>
      <c r="R1363" s="211" t="str">
        <f t="array" ref="R1363">IF($Q1363, INDEX('Run Reconcile'!A$2:A1679,MATCH(B1363,'Run Reconcile'!B$2:B1679,0),1),IFERROR(0/0,""))</f>
        <v>RUN-COMB_2022-07-11_RFR-075</v>
      </c>
      <c r="S1363" s="165" t="str">
        <f t="shared" ref="S1363:T1363" si="2725">IF(COUNTIF(W$2:W1679, $A1363) &gt; 0,TRUE,IFERROR(0/0,""))</f>
        <v/>
      </c>
      <c r="T1363" s="165" t="str">
        <f t="shared" si="2725"/>
        <v/>
      </c>
      <c r="U1363" s="147" t="str">
        <f t="array" ref="U1363">IF(ISBLANK($R1363), IF($S1363,VLOOKUP($B1363+1,'RFR Data - preExcl'!$BF$2:$BG1679,2,FALSE),IF($T1363,INDEX('RFR Data - preExcl'!$BF$2:$BG1679,MATCH($B1363,'RFR Data - preExcl'!$BF$2:$BF1679,0)+1,2),VLOOKUP($B1363,'RFR Data - preExcl'!$BF$2:$BG1679,2,FALSE))),IFERROR(0/0,""))</f>
        <v/>
      </c>
      <c r="V1363" s="212" t="str">
        <f t="shared" si="5"/>
        <v>RUN-COMB_2022-07-11_RFR-075</v>
      </c>
      <c r="W1363" s="51"/>
      <c r="X1363" s="51"/>
      <c r="Y1363" s="147" t="str">
        <f t="shared" ref="Y1363:Z1363" si="2726">IF(_xlfn.ISFORMULA(S1363),IFERROR(0/0,""),TRUE)</f>
        <v/>
      </c>
      <c r="Z1363" s="147" t="str">
        <f t="shared" si="2726"/>
        <v/>
      </c>
    </row>
    <row r="1364">
      <c r="A1364" s="6" t="str">
        <f>IFERROR(__xludf.DUMMYFUNCTION("""COMPUTED_VALUE"""),"FM2573")</f>
        <v>FM2573</v>
      </c>
      <c r="B1364" s="206">
        <f>IFERROR(__xludf.DUMMYFUNCTION("""COMPUTED_VALUE"""),44753.0)</f>
        <v>44753</v>
      </c>
      <c r="C1364" s="207">
        <f>IFERROR(__xludf.DUMMYFUNCTION("""COMPUTED_VALUE"""),0.7248148148148148)</f>
        <v>0.7248148148</v>
      </c>
      <c r="D1364" s="50"/>
      <c r="E1364" s="58"/>
      <c r="F1364" s="58"/>
      <c r="G1364" s="58" t="str">
        <f>IFERROR(__xludf.DUMMYFUNCTION("""COMPUTED_VALUE"""),"Null")</f>
        <v>Null</v>
      </c>
      <c r="H1364" s="206" t="str">
        <f>IFERROR(__xludf.DUMMYFUNCTION("""COMPUTED_VALUE"""),"Negative")</f>
        <v>Negative</v>
      </c>
      <c r="I1364" s="207"/>
      <c r="J1364" s="50"/>
      <c r="K1364" s="50">
        <f>IFERROR(__xludf.DUMMYFUNCTION("""COMPUTED_VALUE"""),2.0)</f>
        <v>2</v>
      </c>
      <c r="L1364" s="6"/>
      <c r="M1364" s="55"/>
      <c r="N1364" s="55">
        <f>IFERROR(__xludf.DUMMYFUNCTION("""COMPUTED_VALUE"""),1.0)</f>
        <v>1</v>
      </c>
      <c r="O1364" s="55" t="str">
        <f t="shared" si="3"/>
        <v/>
      </c>
      <c r="P1364" s="209"/>
      <c r="Q1364" s="75" t="b">
        <f>VLOOKUP($B1364,'Run Reconcile'!B$2:P1679,15,FALSE)</f>
        <v>1</v>
      </c>
      <c r="R1364" s="211" t="str">
        <f t="array" ref="R1364">IF($Q1364, INDEX('Run Reconcile'!A$2:A1679,MATCH(B1364,'Run Reconcile'!B$2:B1679,0),1),IFERROR(0/0,""))</f>
        <v>RUN-COMB_2022-07-11_RFR-075</v>
      </c>
      <c r="S1364" s="165" t="str">
        <f t="shared" ref="S1364:T1364" si="2727">IF(COUNTIF(W$2:W1679, $A1364) &gt; 0,TRUE,IFERROR(0/0,""))</f>
        <v/>
      </c>
      <c r="T1364" s="165" t="str">
        <f t="shared" si="2727"/>
        <v/>
      </c>
      <c r="U1364" s="147" t="str">
        <f t="array" ref="U1364">IF(ISBLANK($R1364), IF($S1364,VLOOKUP($B1364+1,'RFR Data - preExcl'!$BF$2:$BG1679,2,FALSE),IF($T1364,INDEX('RFR Data - preExcl'!$BF$2:$BG1679,MATCH($B1364,'RFR Data - preExcl'!$BF$2:$BF1679,0)+1,2),VLOOKUP($B1364,'RFR Data - preExcl'!$BF$2:$BG1679,2,FALSE))),IFERROR(0/0,""))</f>
        <v/>
      </c>
      <c r="V1364" s="212" t="str">
        <f t="shared" si="5"/>
        <v>RUN-COMB_2022-07-11_RFR-075</v>
      </c>
      <c r="W1364" s="51"/>
      <c r="X1364" s="51"/>
      <c r="Y1364" s="147" t="str">
        <f t="shared" ref="Y1364:Z1364" si="2728">IF(_xlfn.ISFORMULA(S1364),IFERROR(0/0,""),TRUE)</f>
        <v/>
      </c>
      <c r="Z1364" s="147" t="str">
        <f t="shared" si="2728"/>
        <v/>
      </c>
    </row>
    <row r="1365">
      <c r="A1365" s="6" t="str">
        <f>IFERROR(__xludf.DUMMYFUNCTION("""COMPUTED_VALUE"""),"FM2550")</f>
        <v>FM2550</v>
      </c>
      <c r="B1365" s="206">
        <f>IFERROR(__xludf.DUMMYFUNCTION("""COMPUTED_VALUE"""),44753.0)</f>
        <v>44753</v>
      </c>
      <c r="C1365" s="207">
        <f>IFERROR(__xludf.DUMMYFUNCTION("""COMPUTED_VALUE"""),0.7251388888888889)</f>
        <v>0.7251388889</v>
      </c>
      <c r="D1365" s="50"/>
      <c r="E1365" s="58"/>
      <c r="F1365" s="58"/>
      <c r="G1365" s="58" t="str">
        <f>IFERROR(__xludf.DUMMYFUNCTION("""COMPUTED_VALUE"""),"Null")</f>
        <v>Null</v>
      </c>
      <c r="H1365" s="206" t="str">
        <f>IFERROR(__xludf.DUMMYFUNCTION("""COMPUTED_VALUE"""),"Negative")</f>
        <v>Negative</v>
      </c>
      <c r="I1365" s="207"/>
      <c r="J1365" s="50"/>
      <c r="K1365" s="50">
        <f>IFERROR(__xludf.DUMMYFUNCTION("""COMPUTED_VALUE"""),2.0)</f>
        <v>2</v>
      </c>
      <c r="L1365" s="6"/>
      <c r="M1365" s="55"/>
      <c r="N1365" s="55">
        <f>IFERROR(__xludf.DUMMYFUNCTION("""COMPUTED_VALUE"""),1.0)</f>
        <v>1</v>
      </c>
      <c r="O1365" s="55" t="str">
        <f t="shared" si="3"/>
        <v/>
      </c>
      <c r="P1365" s="209"/>
      <c r="Q1365" s="75" t="b">
        <f>VLOOKUP($B1365,'Run Reconcile'!B$2:P1679,15,FALSE)</f>
        <v>1</v>
      </c>
      <c r="R1365" s="211" t="str">
        <f t="array" ref="R1365">IF($Q1365, INDEX('Run Reconcile'!A$2:A1679,MATCH(B1365,'Run Reconcile'!B$2:B1679,0),1),IFERROR(0/0,""))</f>
        <v>RUN-COMB_2022-07-11_RFR-075</v>
      </c>
      <c r="S1365" s="165" t="str">
        <f t="shared" ref="S1365:T1365" si="2729">IF(COUNTIF(W$2:W1679, $A1365) &gt; 0,TRUE,IFERROR(0/0,""))</f>
        <v/>
      </c>
      <c r="T1365" s="165" t="str">
        <f t="shared" si="2729"/>
        <v/>
      </c>
      <c r="U1365" s="147" t="str">
        <f t="array" ref="U1365">IF(ISBLANK($R1365), IF($S1365,VLOOKUP($B1365+1,'RFR Data - preExcl'!$BF$2:$BG1679,2,FALSE),IF($T1365,INDEX('RFR Data - preExcl'!$BF$2:$BG1679,MATCH($B1365,'RFR Data - preExcl'!$BF$2:$BF1679,0)+1,2),VLOOKUP($B1365,'RFR Data - preExcl'!$BF$2:$BG1679,2,FALSE))),IFERROR(0/0,""))</f>
        <v/>
      </c>
      <c r="V1365" s="212" t="str">
        <f t="shared" si="5"/>
        <v>RUN-COMB_2022-07-11_RFR-075</v>
      </c>
      <c r="W1365" s="51"/>
      <c r="X1365" s="51"/>
      <c r="Y1365" s="147" t="str">
        <f t="shared" ref="Y1365:Z1365" si="2730">IF(_xlfn.ISFORMULA(S1365),IFERROR(0/0,""),TRUE)</f>
        <v/>
      </c>
      <c r="Z1365" s="147" t="str">
        <f t="shared" si="2730"/>
        <v/>
      </c>
    </row>
    <row r="1366">
      <c r="A1366" s="6" t="str">
        <f>IFERROR(__xludf.DUMMYFUNCTION("""COMPUTED_VALUE"""),"FM2403")</f>
        <v>FM2403</v>
      </c>
      <c r="B1366" s="206">
        <f>IFERROR(__xludf.DUMMYFUNCTION("""COMPUTED_VALUE"""),44754.0)</f>
        <v>44754</v>
      </c>
      <c r="C1366" s="207">
        <f>IFERROR(__xludf.DUMMYFUNCTION("""COMPUTED_VALUE"""),0.3022685185185185)</f>
        <v>0.3022685185</v>
      </c>
      <c r="D1366" s="50"/>
      <c r="E1366" s="58"/>
      <c r="F1366" s="58"/>
      <c r="G1366" s="58" t="str">
        <f>IFERROR(__xludf.DUMMYFUNCTION("""COMPUTED_VALUE"""),"Null")</f>
        <v>Null</v>
      </c>
      <c r="H1366" s="206" t="str">
        <f>IFERROR(__xludf.DUMMYFUNCTION("""COMPUTED_VALUE"""),"Negative")</f>
        <v>Negative</v>
      </c>
      <c r="I1366" s="207"/>
      <c r="J1366" s="50"/>
      <c r="K1366" s="50">
        <f>IFERROR(__xludf.DUMMYFUNCTION("""COMPUTED_VALUE"""),2.0)</f>
        <v>2</v>
      </c>
      <c r="L1366" s="6"/>
      <c r="M1366" s="55"/>
      <c r="N1366" s="55">
        <f>IFERROR(__xludf.DUMMYFUNCTION("""COMPUTED_VALUE"""),1.0)</f>
        <v>1</v>
      </c>
      <c r="O1366" s="55" t="b">
        <f t="shared" si="3"/>
        <v>1</v>
      </c>
      <c r="P1366" s="209"/>
      <c r="Q1366" s="75" t="b">
        <f>VLOOKUP($B1366,'Run Reconcile'!B$2:P1679,15,FALSE)</f>
        <v>1</v>
      </c>
      <c r="R1366" s="211" t="str">
        <f t="array" ref="R1366">IF($Q1366, INDEX('Run Reconcile'!A$2:A1679,MATCH(B1366,'Run Reconcile'!B$2:B1679,0),1),IFERROR(0/0,""))</f>
        <v>RUN-COMB_2022-07-12_RFR-076</v>
      </c>
      <c r="S1366" s="165" t="str">
        <f t="shared" ref="S1366:T1366" si="2731">IF(COUNTIF(W$2:W1679, $A1366) &gt; 0,TRUE,IFERROR(0/0,""))</f>
        <v/>
      </c>
      <c r="T1366" s="165" t="str">
        <f t="shared" si="2731"/>
        <v/>
      </c>
      <c r="U1366" s="147" t="str">
        <f t="array" ref="U1366">IF(ISBLANK($R1366), IF($S1366,VLOOKUP($B1366+1,'RFR Data - preExcl'!$BF$2:$BG1679,2,FALSE),IF($T1366,INDEX('RFR Data - preExcl'!$BF$2:$BG1679,MATCH($B1366,'RFR Data - preExcl'!$BF$2:$BF1679,0)+1,2),VLOOKUP($B1366,'RFR Data - preExcl'!$BF$2:$BG1679,2,FALSE))),IFERROR(0/0,""))</f>
        <v/>
      </c>
      <c r="V1366" s="212" t="str">
        <f t="shared" si="5"/>
        <v>RUN-COMB_2022-07-12_RFR-076</v>
      </c>
      <c r="W1366" s="51"/>
      <c r="X1366" s="51"/>
      <c r="Y1366" s="147" t="str">
        <f t="shared" ref="Y1366:Z1366" si="2732">IF(_xlfn.ISFORMULA(S1366),IFERROR(0/0,""),TRUE)</f>
        <v/>
      </c>
      <c r="Z1366" s="147" t="str">
        <f t="shared" si="2732"/>
        <v/>
      </c>
    </row>
    <row r="1367">
      <c r="A1367" s="6" t="str">
        <f>IFERROR(__xludf.DUMMYFUNCTION("""COMPUTED_VALUE"""),"FM2594")</f>
        <v>FM2594</v>
      </c>
      <c r="B1367" s="206">
        <f>IFERROR(__xludf.DUMMYFUNCTION("""COMPUTED_VALUE"""),44754.0)</f>
        <v>44754</v>
      </c>
      <c r="C1367" s="207">
        <f>IFERROR(__xludf.DUMMYFUNCTION("""COMPUTED_VALUE"""),0.30256944444444445)</f>
        <v>0.3025694444</v>
      </c>
      <c r="D1367" s="50"/>
      <c r="E1367" s="58"/>
      <c r="F1367" s="58"/>
      <c r="G1367" s="58" t="str">
        <f>IFERROR(__xludf.DUMMYFUNCTION("""COMPUTED_VALUE"""),"Null")</f>
        <v>Null</v>
      </c>
      <c r="H1367" s="206" t="str">
        <f>IFERROR(__xludf.DUMMYFUNCTION("""COMPUTED_VALUE"""),"Negative")</f>
        <v>Negative</v>
      </c>
      <c r="I1367" s="207"/>
      <c r="J1367" s="50"/>
      <c r="K1367" s="50">
        <f>IFERROR(__xludf.DUMMYFUNCTION("""COMPUTED_VALUE"""),2.0)</f>
        <v>2</v>
      </c>
      <c r="L1367" s="6"/>
      <c r="M1367" s="55"/>
      <c r="N1367" s="55">
        <f>IFERROR(__xludf.DUMMYFUNCTION("""COMPUTED_VALUE"""),1.0)</f>
        <v>1</v>
      </c>
      <c r="O1367" s="55" t="str">
        <f t="shared" si="3"/>
        <v/>
      </c>
      <c r="P1367" s="209"/>
      <c r="Q1367" s="75" t="b">
        <f>VLOOKUP($B1367,'Run Reconcile'!B$2:P1679,15,FALSE)</f>
        <v>1</v>
      </c>
      <c r="R1367" s="211" t="str">
        <f t="array" ref="R1367">IF($Q1367, INDEX('Run Reconcile'!A$2:A1679,MATCH(B1367,'Run Reconcile'!B$2:B1679,0),1),IFERROR(0/0,""))</f>
        <v>RUN-COMB_2022-07-12_RFR-076</v>
      </c>
      <c r="S1367" s="165" t="str">
        <f t="shared" ref="S1367:T1367" si="2733">IF(COUNTIF(W$2:W1679, $A1367) &gt; 0,TRUE,IFERROR(0/0,""))</f>
        <v/>
      </c>
      <c r="T1367" s="165" t="str">
        <f t="shared" si="2733"/>
        <v/>
      </c>
      <c r="U1367" s="147" t="str">
        <f t="array" ref="U1367">IF(ISBLANK($R1367), IF($S1367,VLOOKUP($B1367+1,'RFR Data - preExcl'!$BF$2:$BG1679,2,FALSE),IF($T1367,INDEX('RFR Data - preExcl'!$BF$2:$BG1679,MATCH($B1367,'RFR Data - preExcl'!$BF$2:$BF1679,0)+1,2),VLOOKUP($B1367,'RFR Data - preExcl'!$BF$2:$BG1679,2,FALSE))),IFERROR(0/0,""))</f>
        <v/>
      </c>
      <c r="V1367" s="212" t="str">
        <f t="shared" si="5"/>
        <v>RUN-COMB_2022-07-12_RFR-076</v>
      </c>
      <c r="W1367" s="51"/>
      <c r="X1367" s="51"/>
      <c r="Y1367" s="147" t="str">
        <f t="shared" ref="Y1367:Z1367" si="2734">IF(_xlfn.ISFORMULA(S1367),IFERROR(0/0,""),TRUE)</f>
        <v/>
      </c>
      <c r="Z1367" s="147" t="str">
        <f t="shared" si="2734"/>
        <v/>
      </c>
    </row>
    <row r="1368">
      <c r="A1368" s="6" t="str">
        <f>IFERROR(__xludf.DUMMYFUNCTION("""COMPUTED_VALUE"""),"FM2551")</f>
        <v>FM2551</v>
      </c>
      <c r="B1368" s="206">
        <f>IFERROR(__xludf.DUMMYFUNCTION("""COMPUTED_VALUE"""),44754.0)</f>
        <v>44754</v>
      </c>
      <c r="C1368" s="207">
        <f>IFERROR(__xludf.DUMMYFUNCTION("""COMPUTED_VALUE"""),0.30288194444444444)</f>
        <v>0.3028819444</v>
      </c>
      <c r="D1368" s="50"/>
      <c r="E1368" s="58"/>
      <c r="F1368" s="58"/>
      <c r="G1368" s="58" t="str">
        <f>IFERROR(__xludf.DUMMYFUNCTION("""COMPUTED_VALUE"""),"Null")</f>
        <v>Null</v>
      </c>
      <c r="H1368" s="206" t="str">
        <f>IFERROR(__xludf.DUMMYFUNCTION("""COMPUTED_VALUE"""),"Negative")</f>
        <v>Negative</v>
      </c>
      <c r="I1368" s="207"/>
      <c r="J1368" s="50"/>
      <c r="K1368" s="50">
        <f>IFERROR(__xludf.DUMMYFUNCTION("""COMPUTED_VALUE"""),2.0)</f>
        <v>2</v>
      </c>
      <c r="L1368" s="6"/>
      <c r="M1368" s="55"/>
      <c r="N1368" s="55">
        <f>IFERROR(__xludf.DUMMYFUNCTION("""COMPUTED_VALUE"""),1.0)</f>
        <v>1</v>
      </c>
      <c r="O1368" s="55" t="str">
        <f t="shared" si="3"/>
        <v/>
      </c>
      <c r="P1368" s="209"/>
      <c r="Q1368" s="75" t="b">
        <f>VLOOKUP($B1368,'Run Reconcile'!B$2:P1679,15,FALSE)</f>
        <v>1</v>
      </c>
      <c r="R1368" s="211" t="str">
        <f t="array" ref="R1368">IF($Q1368, INDEX('Run Reconcile'!A$2:A1679,MATCH(B1368,'Run Reconcile'!B$2:B1679,0),1),IFERROR(0/0,""))</f>
        <v>RUN-COMB_2022-07-12_RFR-076</v>
      </c>
      <c r="S1368" s="165" t="str">
        <f t="shared" ref="S1368:T1368" si="2735">IF(COUNTIF(W$2:W1679, $A1368) &gt; 0,TRUE,IFERROR(0/0,""))</f>
        <v/>
      </c>
      <c r="T1368" s="165" t="str">
        <f t="shared" si="2735"/>
        <v/>
      </c>
      <c r="U1368" s="147" t="str">
        <f t="array" ref="U1368">IF(ISBLANK($R1368), IF($S1368,VLOOKUP($B1368+1,'RFR Data - preExcl'!$BF$2:$BG1679,2,FALSE),IF($T1368,INDEX('RFR Data - preExcl'!$BF$2:$BG1679,MATCH($B1368,'RFR Data - preExcl'!$BF$2:$BF1679,0)+1,2),VLOOKUP($B1368,'RFR Data - preExcl'!$BF$2:$BG1679,2,FALSE))),IFERROR(0/0,""))</f>
        <v/>
      </c>
      <c r="V1368" s="212" t="str">
        <f t="shared" si="5"/>
        <v>RUN-COMB_2022-07-12_RFR-076</v>
      </c>
      <c r="W1368" s="51"/>
      <c r="X1368" s="51"/>
      <c r="Y1368" s="147" t="str">
        <f t="shared" ref="Y1368:Z1368" si="2736">IF(_xlfn.ISFORMULA(S1368),IFERROR(0/0,""),TRUE)</f>
        <v/>
      </c>
      <c r="Z1368" s="147" t="str">
        <f t="shared" si="2736"/>
        <v/>
      </c>
    </row>
    <row r="1369">
      <c r="A1369" s="6" t="str">
        <f>IFERROR(__xludf.DUMMYFUNCTION("""COMPUTED_VALUE"""),"FM2568")</f>
        <v>FM2568</v>
      </c>
      <c r="B1369" s="206">
        <f>IFERROR(__xludf.DUMMYFUNCTION("""COMPUTED_VALUE"""),44754.0)</f>
        <v>44754</v>
      </c>
      <c r="C1369" s="207">
        <f>IFERROR(__xludf.DUMMYFUNCTION("""COMPUTED_VALUE"""),0.30322916666666666)</f>
        <v>0.3032291667</v>
      </c>
      <c r="D1369" s="50"/>
      <c r="E1369" s="58"/>
      <c r="F1369" s="58"/>
      <c r="G1369" s="58" t="str">
        <f>IFERROR(__xludf.DUMMYFUNCTION("""COMPUTED_VALUE"""),"Null")</f>
        <v>Null</v>
      </c>
      <c r="H1369" s="206" t="str">
        <f>IFERROR(__xludf.DUMMYFUNCTION("""COMPUTED_VALUE"""),"Negative")</f>
        <v>Negative</v>
      </c>
      <c r="I1369" s="207"/>
      <c r="J1369" s="50"/>
      <c r="K1369" s="50">
        <f>IFERROR(__xludf.DUMMYFUNCTION("""COMPUTED_VALUE"""),2.0)</f>
        <v>2</v>
      </c>
      <c r="L1369" s="6"/>
      <c r="M1369" s="55"/>
      <c r="N1369" s="55">
        <f>IFERROR(__xludf.DUMMYFUNCTION("""COMPUTED_VALUE"""),1.0)</f>
        <v>1</v>
      </c>
      <c r="O1369" s="55" t="str">
        <f t="shared" si="3"/>
        <v/>
      </c>
      <c r="P1369" s="209"/>
      <c r="Q1369" s="75" t="b">
        <f>VLOOKUP($B1369,'Run Reconcile'!B$2:P1679,15,FALSE)</f>
        <v>1</v>
      </c>
      <c r="R1369" s="211" t="str">
        <f t="array" ref="R1369">IF($Q1369, INDEX('Run Reconcile'!A$2:A1679,MATCH(B1369,'Run Reconcile'!B$2:B1679,0),1),IFERROR(0/0,""))</f>
        <v>RUN-COMB_2022-07-12_RFR-076</v>
      </c>
      <c r="S1369" s="165" t="str">
        <f t="shared" ref="S1369:T1369" si="2737">IF(COUNTIF(W$2:W1679, $A1369) &gt; 0,TRUE,IFERROR(0/0,""))</f>
        <v/>
      </c>
      <c r="T1369" s="165" t="str">
        <f t="shared" si="2737"/>
        <v/>
      </c>
      <c r="U1369" s="147" t="str">
        <f t="array" ref="U1369">IF(ISBLANK($R1369), IF($S1369,VLOOKUP($B1369+1,'RFR Data - preExcl'!$BF$2:$BG1679,2,FALSE),IF($T1369,INDEX('RFR Data - preExcl'!$BF$2:$BG1679,MATCH($B1369,'RFR Data - preExcl'!$BF$2:$BF1679,0)+1,2),VLOOKUP($B1369,'RFR Data - preExcl'!$BF$2:$BG1679,2,FALSE))),IFERROR(0/0,""))</f>
        <v/>
      </c>
      <c r="V1369" s="212" t="str">
        <f t="shared" si="5"/>
        <v>RUN-COMB_2022-07-12_RFR-076</v>
      </c>
      <c r="W1369" s="51"/>
      <c r="X1369" s="51"/>
      <c r="Y1369" s="147" t="str">
        <f t="shared" ref="Y1369:Z1369" si="2738">IF(_xlfn.ISFORMULA(S1369),IFERROR(0/0,""),TRUE)</f>
        <v/>
      </c>
      <c r="Z1369" s="147" t="str">
        <f t="shared" si="2738"/>
        <v/>
      </c>
    </row>
    <row r="1370">
      <c r="A1370" s="6" t="str">
        <f>IFERROR(__xludf.DUMMYFUNCTION("""COMPUTED_VALUE"""),"FM2564")</f>
        <v>FM2564</v>
      </c>
      <c r="B1370" s="206">
        <f>IFERROR(__xludf.DUMMYFUNCTION("""COMPUTED_VALUE"""),44754.0)</f>
        <v>44754</v>
      </c>
      <c r="C1370" s="207">
        <f>IFERROR(__xludf.DUMMYFUNCTION("""COMPUTED_VALUE"""),0.3034953703703704)</f>
        <v>0.3034953704</v>
      </c>
      <c r="D1370" s="50"/>
      <c r="E1370" s="58"/>
      <c r="F1370" s="58"/>
      <c r="G1370" s="58" t="str">
        <f>IFERROR(__xludf.DUMMYFUNCTION("""COMPUTED_VALUE"""),"Null")</f>
        <v>Null</v>
      </c>
      <c r="H1370" s="206" t="str">
        <f>IFERROR(__xludf.DUMMYFUNCTION("""COMPUTED_VALUE"""),"Negative")</f>
        <v>Negative</v>
      </c>
      <c r="I1370" s="207"/>
      <c r="J1370" s="50"/>
      <c r="K1370" s="50">
        <f>IFERROR(__xludf.DUMMYFUNCTION("""COMPUTED_VALUE"""),2.0)</f>
        <v>2</v>
      </c>
      <c r="L1370" s="6"/>
      <c r="M1370" s="55"/>
      <c r="N1370" s="55">
        <f>IFERROR(__xludf.DUMMYFUNCTION("""COMPUTED_VALUE"""),1.0)</f>
        <v>1</v>
      </c>
      <c r="O1370" s="55" t="str">
        <f t="shared" si="3"/>
        <v/>
      </c>
      <c r="P1370" s="209"/>
      <c r="Q1370" s="75" t="b">
        <f>VLOOKUP($B1370,'Run Reconcile'!B$2:P1679,15,FALSE)</f>
        <v>1</v>
      </c>
      <c r="R1370" s="211" t="str">
        <f t="array" ref="R1370">IF($Q1370, INDEX('Run Reconcile'!A$2:A1679,MATCH(B1370,'Run Reconcile'!B$2:B1679,0),1),IFERROR(0/0,""))</f>
        <v>RUN-COMB_2022-07-12_RFR-076</v>
      </c>
      <c r="S1370" s="165" t="str">
        <f t="shared" ref="S1370:T1370" si="2739">IF(COUNTIF(W$2:W1679, $A1370) &gt; 0,TRUE,IFERROR(0/0,""))</f>
        <v/>
      </c>
      <c r="T1370" s="165" t="str">
        <f t="shared" si="2739"/>
        <v/>
      </c>
      <c r="U1370" s="147" t="str">
        <f t="array" ref="U1370">IF(ISBLANK($R1370), IF($S1370,VLOOKUP($B1370+1,'RFR Data - preExcl'!$BF$2:$BG1679,2,FALSE),IF($T1370,INDEX('RFR Data - preExcl'!$BF$2:$BG1679,MATCH($B1370,'RFR Data - preExcl'!$BF$2:$BF1679,0)+1,2),VLOOKUP($B1370,'RFR Data - preExcl'!$BF$2:$BG1679,2,FALSE))),IFERROR(0/0,""))</f>
        <v/>
      </c>
      <c r="V1370" s="212" t="str">
        <f t="shared" si="5"/>
        <v>RUN-COMB_2022-07-12_RFR-076</v>
      </c>
      <c r="W1370" s="51"/>
      <c r="X1370" s="51"/>
      <c r="Y1370" s="147" t="str">
        <f t="shared" ref="Y1370:Z1370" si="2740">IF(_xlfn.ISFORMULA(S1370),IFERROR(0/0,""),TRUE)</f>
        <v/>
      </c>
      <c r="Z1370" s="147" t="str">
        <f t="shared" si="2740"/>
        <v/>
      </c>
    </row>
    <row r="1371">
      <c r="A1371" s="6" t="str">
        <f>IFERROR(__xludf.DUMMYFUNCTION("""COMPUTED_VALUE"""),"FM2577")</f>
        <v>FM2577</v>
      </c>
      <c r="B1371" s="206">
        <f>IFERROR(__xludf.DUMMYFUNCTION("""COMPUTED_VALUE"""),44754.0)</f>
        <v>44754</v>
      </c>
      <c r="C1371" s="207">
        <f>IFERROR(__xludf.DUMMYFUNCTION("""COMPUTED_VALUE"""),0.30377314814814815)</f>
        <v>0.3037731481</v>
      </c>
      <c r="D1371" s="50"/>
      <c r="E1371" s="58"/>
      <c r="F1371" s="58"/>
      <c r="G1371" s="58" t="str">
        <f>IFERROR(__xludf.DUMMYFUNCTION("""COMPUTED_VALUE"""),"Null")</f>
        <v>Null</v>
      </c>
      <c r="H1371" s="206" t="str">
        <f>IFERROR(__xludf.DUMMYFUNCTION("""COMPUTED_VALUE"""),"Negative")</f>
        <v>Negative</v>
      </c>
      <c r="I1371" s="207"/>
      <c r="J1371" s="50"/>
      <c r="K1371" s="50">
        <f>IFERROR(__xludf.DUMMYFUNCTION("""COMPUTED_VALUE"""),2.0)</f>
        <v>2</v>
      </c>
      <c r="L1371" s="6"/>
      <c r="M1371" s="55"/>
      <c r="N1371" s="55">
        <f>IFERROR(__xludf.DUMMYFUNCTION("""COMPUTED_VALUE"""),1.0)</f>
        <v>1</v>
      </c>
      <c r="O1371" s="55" t="str">
        <f t="shared" si="3"/>
        <v/>
      </c>
      <c r="P1371" s="209"/>
      <c r="Q1371" s="75" t="b">
        <f>VLOOKUP($B1371,'Run Reconcile'!B$2:P1679,15,FALSE)</f>
        <v>1</v>
      </c>
      <c r="R1371" s="211" t="str">
        <f t="array" ref="R1371">IF($Q1371, INDEX('Run Reconcile'!A$2:A1679,MATCH(B1371,'Run Reconcile'!B$2:B1679,0),1),IFERROR(0/0,""))</f>
        <v>RUN-COMB_2022-07-12_RFR-076</v>
      </c>
      <c r="S1371" s="165" t="str">
        <f t="shared" ref="S1371:T1371" si="2741">IF(COUNTIF(W$2:W1679, $A1371) &gt; 0,TRUE,IFERROR(0/0,""))</f>
        <v/>
      </c>
      <c r="T1371" s="165" t="str">
        <f t="shared" si="2741"/>
        <v/>
      </c>
      <c r="U1371" s="147" t="str">
        <f t="array" ref="U1371">IF(ISBLANK($R1371), IF($S1371,VLOOKUP($B1371+1,'RFR Data - preExcl'!$BF$2:$BG1679,2,FALSE),IF($T1371,INDEX('RFR Data - preExcl'!$BF$2:$BG1679,MATCH($B1371,'RFR Data - preExcl'!$BF$2:$BF1679,0)+1,2),VLOOKUP($B1371,'RFR Data - preExcl'!$BF$2:$BG1679,2,FALSE))),IFERROR(0/0,""))</f>
        <v/>
      </c>
      <c r="V1371" s="212" t="str">
        <f t="shared" si="5"/>
        <v>RUN-COMB_2022-07-12_RFR-076</v>
      </c>
      <c r="W1371" s="51"/>
      <c r="X1371" s="51"/>
      <c r="Y1371" s="147" t="str">
        <f t="shared" ref="Y1371:Z1371" si="2742">IF(_xlfn.ISFORMULA(S1371),IFERROR(0/0,""),TRUE)</f>
        <v/>
      </c>
      <c r="Z1371" s="147" t="str">
        <f t="shared" si="2742"/>
        <v/>
      </c>
    </row>
    <row r="1372">
      <c r="A1372" s="6" t="str">
        <f>IFERROR(__xludf.DUMMYFUNCTION("""COMPUTED_VALUE"""),"FM2532")</f>
        <v>FM2532</v>
      </c>
      <c r="B1372" s="206">
        <f>IFERROR(__xludf.DUMMYFUNCTION("""COMPUTED_VALUE"""),44754.0)</f>
        <v>44754</v>
      </c>
      <c r="C1372" s="207">
        <f>IFERROR(__xludf.DUMMYFUNCTION("""COMPUTED_VALUE"""),0.3041203703703704)</f>
        <v>0.3041203704</v>
      </c>
      <c r="D1372" s="50"/>
      <c r="E1372" s="58"/>
      <c r="F1372" s="58"/>
      <c r="G1372" s="58" t="str">
        <f>IFERROR(__xludf.DUMMYFUNCTION("""COMPUTED_VALUE"""),"Null")</f>
        <v>Null</v>
      </c>
      <c r="H1372" s="206" t="str">
        <f>IFERROR(__xludf.DUMMYFUNCTION("""COMPUTED_VALUE"""),"Negative")</f>
        <v>Negative</v>
      </c>
      <c r="I1372" s="207"/>
      <c r="J1372" s="50"/>
      <c r="K1372" s="50">
        <f>IFERROR(__xludf.DUMMYFUNCTION("""COMPUTED_VALUE"""),2.0)</f>
        <v>2</v>
      </c>
      <c r="L1372" s="6"/>
      <c r="M1372" s="55"/>
      <c r="N1372" s="55">
        <f>IFERROR(__xludf.DUMMYFUNCTION("""COMPUTED_VALUE"""),1.0)</f>
        <v>1</v>
      </c>
      <c r="O1372" s="55" t="str">
        <f t="shared" si="3"/>
        <v/>
      </c>
      <c r="P1372" s="209"/>
      <c r="Q1372" s="75" t="b">
        <f>VLOOKUP($B1372,'Run Reconcile'!B$2:P1679,15,FALSE)</f>
        <v>1</v>
      </c>
      <c r="R1372" s="211" t="str">
        <f t="array" ref="R1372">IF($Q1372, INDEX('Run Reconcile'!A$2:A1679,MATCH(B1372,'Run Reconcile'!B$2:B1679,0),1),IFERROR(0/0,""))</f>
        <v>RUN-COMB_2022-07-12_RFR-076</v>
      </c>
      <c r="S1372" s="165" t="str">
        <f t="shared" ref="S1372:T1372" si="2743">IF(COUNTIF(W$2:W1679, $A1372) &gt; 0,TRUE,IFERROR(0/0,""))</f>
        <v/>
      </c>
      <c r="T1372" s="165" t="str">
        <f t="shared" si="2743"/>
        <v/>
      </c>
      <c r="U1372" s="147" t="str">
        <f t="array" ref="U1372">IF(ISBLANK($R1372), IF($S1372,VLOOKUP($B1372+1,'RFR Data - preExcl'!$BF$2:$BG1679,2,FALSE),IF($T1372,INDEX('RFR Data - preExcl'!$BF$2:$BG1679,MATCH($B1372,'RFR Data - preExcl'!$BF$2:$BF1679,0)+1,2),VLOOKUP($B1372,'RFR Data - preExcl'!$BF$2:$BG1679,2,FALSE))),IFERROR(0/0,""))</f>
        <v/>
      </c>
      <c r="V1372" s="212" t="str">
        <f t="shared" si="5"/>
        <v>RUN-COMB_2022-07-12_RFR-076</v>
      </c>
      <c r="W1372" s="51"/>
      <c r="X1372" s="51"/>
      <c r="Y1372" s="147" t="str">
        <f t="shared" ref="Y1372:Z1372" si="2744">IF(_xlfn.ISFORMULA(S1372),IFERROR(0/0,""),TRUE)</f>
        <v/>
      </c>
      <c r="Z1372" s="147" t="str">
        <f t="shared" si="2744"/>
        <v/>
      </c>
    </row>
    <row r="1373">
      <c r="A1373" s="6" t="str">
        <f>IFERROR(__xludf.DUMMYFUNCTION("""COMPUTED_VALUE"""),"FM2601")</f>
        <v>FM2601</v>
      </c>
      <c r="B1373" s="206">
        <f>IFERROR(__xludf.DUMMYFUNCTION("""COMPUTED_VALUE"""),44754.0)</f>
        <v>44754</v>
      </c>
      <c r="C1373" s="207">
        <f>IFERROR(__xludf.DUMMYFUNCTION("""COMPUTED_VALUE"""),0.3044560185185185)</f>
        <v>0.3044560185</v>
      </c>
      <c r="D1373" s="50"/>
      <c r="E1373" s="58"/>
      <c r="F1373" s="58"/>
      <c r="G1373" s="58" t="str">
        <f>IFERROR(__xludf.DUMMYFUNCTION("""COMPUTED_VALUE"""),"Null")</f>
        <v>Null</v>
      </c>
      <c r="H1373" s="206" t="str">
        <f>IFERROR(__xludf.DUMMYFUNCTION("""COMPUTED_VALUE"""),"Negative")</f>
        <v>Negative</v>
      </c>
      <c r="I1373" s="207"/>
      <c r="J1373" s="50"/>
      <c r="K1373" s="50">
        <f>IFERROR(__xludf.DUMMYFUNCTION("""COMPUTED_VALUE"""),2.0)</f>
        <v>2</v>
      </c>
      <c r="L1373" s="6"/>
      <c r="M1373" s="55"/>
      <c r="N1373" s="55">
        <f>IFERROR(__xludf.DUMMYFUNCTION("""COMPUTED_VALUE"""),1.0)</f>
        <v>1</v>
      </c>
      <c r="O1373" s="55" t="str">
        <f t="shared" si="3"/>
        <v/>
      </c>
      <c r="P1373" s="209"/>
      <c r="Q1373" s="75" t="b">
        <f>VLOOKUP($B1373,'Run Reconcile'!B$2:P1679,15,FALSE)</f>
        <v>1</v>
      </c>
      <c r="R1373" s="211" t="str">
        <f t="array" ref="R1373">IF($Q1373, INDEX('Run Reconcile'!A$2:A1679,MATCH(B1373,'Run Reconcile'!B$2:B1679,0),1),IFERROR(0/0,""))</f>
        <v>RUN-COMB_2022-07-12_RFR-076</v>
      </c>
      <c r="S1373" s="165" t="str">
        <f t="shared" ref="S1373:T1373" si="2745">IF(COUNTIF(W$2:W1679, $A1373) &gt; 0,TRUE,IFERROR(0/0,""))</f>
        <v/>
      </c>
      <c r="T1373" s="165" t="str">
        <f t="shared" si="2745"/>
        <v/>
      </c>
      <c r="U1373" s="147" t="str">
        <f t="array" ref="U1373">IF(ISBLANK($R1373), IF($S1373,VLOOKUP($B1373+1,'RFR Data - preExcl'!$BF$2:$BG1679,2,FALSE),IF($T1373,INDEX('RFR Data - preExcl'!$BF$2:$BG1679,MATCH($B1373,'RFR Data - preExcl'!$BF$2:$BF1679,0)+1,2),VLOOKUP($B1373,'RFR Data - preExcl'!$BF$2:$BG1679,2,FALSE))),IFERROR(0/0,""))</f>
        <v/>
      </c>
      <c r="V1373" s="212" t="str">
        <f t="shared" si="5"/>
        <v>RUN-COMB_2022-07-12_RFR-076</v>
      </c>
      <c r="W1373" s="51"/>
      <c r="X1373" s="51"/>
      <c r="Y1373" s="147" t="str">
        <f t="shared" ref="Y1373:Z1373" si="2746">IF(_xlfn.ISFORMULA(S1373),IFERROR(0/0,""),TRUE)</f>
        <v/>
      </c>
      <c r="Z1373" s="147" t="str">
        <f t="shared" si="2746"/>
        <v/>
      </c>
    </row>
    <row r="1374">
      <c r="A1374" s="6" t="str">
        <f>IFERROR(__xludf.DUMMYFUNCTION("""COMPUTED_VALUE"""),"FM2525")</f>
        <v>FM2525</v>
      </c>
      <c r="B1374" s="206">
        <f>IFERROR(__xludf.DUMMYFUNCTION("""COMPUTED_VALUE"""),44754.0)</f>
        <v>44754</v>
      </c>
      <c r="C1374" s="207">
        <f>IFERROR(__xludf.DUMMYFUNCTION("""COMPUTED_VALUE"""),0.30475694444444446)</f>
        <v>0.3047569444</v>
      </c>
      <c r="D1374" s="50"/>
      <c r="E1374" s="58"/>
      <c r="F1374" s="58"/>
      <c r="G1374" s="58" t="str">
        <f>IFERROR(__xludf.DUMMYFUNCTION("""COMPUTED_VALUE"""),"Null")</f>
        <v>Null</v>
      </c>
      <c r="H1374" s="206" t="str">
        <f>IFERROR(__xludf.DUMMYFUNCTION("""COMPUTED_VALUE"""),"Negative")</f>
        <v>Negative</v>
      </c>
      <c r="I1374" s="207"/>
      <c r="J1374" s="50"/>
      <c r="K1374" s="50">
        <f>IFERROR(__xludf.DUMMYFUNCTION("""COMPUTED_VALUE"""),2.0)</f>
        <v>2</v>
      </c>
      <c r="L1374" s="6"/>
      <c r="M1374" s="55"/>
      <c r="N1374" s="55">
        <f>IFERROR(__xludf.DUMMYFUNCTION("""COMPUTED_VALUE"""),1.0)</f>
        <v>1</v>
      </c>
      <c r="O1374" s="55" t="str">
        <f t="shared" si="3"/>
        <v/>
      </c>
      <c r="P1374" s="209"/>
      <c r="Q1374" s="75" t="b">
        <f>VLOOKUP($B1374,'Run Reconcile'!B$2:P1679,15,FALSE)</f>
        <v>1</v>
      </c>
      <c r="R1374" s="211" t="str">
        <f t="array" ref="R1374">IF($Q1374, INDEX('Run Reconcile'!A$2:A1679,MATCH(B1374,'Run Reconcile'!B$2:B1679,0),1),IFERROR(0/0,""))</f>
        <v>RUN-COMB_2022-07-12_RFR-076</v>
      </c>
      <c r="S1374" s="165" t="str">
        <f t="shared" ref="S1374:T1374" si="2747">IF(COUNTIF(W$2:W1679, $A1374) &gt; 0,TRUE,IFERROR(0/0,""))</f>
        <v/>
      </c>
      <c r="T1374" s="165" t="str">
        <f t="shared" si="2747"/>
        <v/>
      </c>
      <c r="U1374" s="147" t="str">
        <f t="array" ref="U1374">IF(ISBLANK($R1374), IF($S1374,VLOOKUP($B1374+1,'RFR Data - preExcl'!$BF$2:$BG1679,2,FALSE),IF($T1374,INDEX('RFR Data - preExcl'!$BF$2:$BG1679,MATCH($B1374,'RFR Data - preExcl'!$BF$2:$BF1679,0)+1,2),VLOOKUP($B1374,'RFR Data - preExcl'!$BF$2:$BG1679,2,FALSE))),IFERROR(0/0,""))</f>
        <v/>
      </c>
      <c r="V1374" s="212" t="str">
        <f t="shared" si="5"/>
        <v>RUN-COMB_2022-07-12_RFR-076</v>
      </c>
      <c r="W1374" s="51"/>
      <c r="X1374" s="51"/>
      <c r="Y1374" s="147" t="str">
        <f t="shared" ref="Y1374:Z1374" si="2748">IF(_xlfn.ISFORMULA(S1374),IFERROR(0/0,""),TRUE)</f>
        <v/>
      </c>
      <c r="Z1374" s="147" t="str">
        <f t="shared" si="2748"/>
        <v/>
      </c>
    </row>
    <row r="1375">
      <c r="A1375" s="6" t="str">
        <f>IFERROR(__xludf.DUMMYFUNCTION("""COMPUTED_VALUE"""),"FM2605")</f>
        <v>FM2605</v>
      </c>
      <c r="B1375" s="206">
        <f>IFERROR(__xludf.DUMMYFUNCTION("""COMPUTED_VALUE"""),44754.0)</f>
        <v>44754</v>
      </c>
      <c r="C1375" s="207">
        <f>IFERROR(__xludf.DUMMYFUNCTION("""COMPUTED_VALUE"""),0.30506944444444445)</f>
        <v>0.3050694444</v>
      </c>
      <c r="D1375" s="50"/>
      <c r="E1375" s="58"/>
      <c r="F1375" s="58"/>
      <c r="G1375" s="58" t="str">
        <f>IFERROR(__xludf.DUMMYFUNCTION("""COMPUTED_VALUE"""),"Null")</f>
        <v>Null</v>
      </c>
      <c r="H1375" s="206" t="str">
        <f>IFERROR(__xludf.DUMMYFUNCTION("""COMPUTED_VALUE"""),"Negative")</f>
        <v>Negative</v>
      </c>
      <c r="I1375" s="207"/>
      <c r="J1375" s="50"/>
      <c r="K1375" s="50">
        <f>IFERROR(__xludf.DUMMYFUNCTION("""COMPUTED_VALUE"""),2.0)</f>
        <v>2</v>
      </c>
      <c r="L1375" s="6"/>
      <c r="M1375" s="55"/>
      <c r="N1375" s="55">
        <f>IFERROR(__xludf.DUMMYFUNCTION("""COMPUTED_VALUE"""),1.0)</f>
        <v>1</v>
      </c>
      <c r="O1375" s="55" t="str">
        <f t="shared" si="3"/>
        <v/>
      </c>
      <c r="P1375" s="209"/>
      <c r="Q1375" s="75" t="b">
        <f>VLOOKUP($B1375,'Run Reconcile'!B$2:P1679,15,FALSE)</f>
        <v>1</v>
      </c>
      <c r="R1375" s="211" t="str">
        <f t="array" ref="R1375">IF($Q1375, INDEX('Run Reconcile'!A$2:A1679,MATCH(B1375,'Run Reconcile'!B$2:B1679,0),1),IFERROR(0/0,""))</f>
        <v>RUN-COMB_2022-07-12_RFR-076</v>
      </c>
      <c r="S1375" s="165" t="str">
        <f t="shared" ref="S1375:T1375" si="2749">IF(COUNTIF(W$2:W1679, $A1375) &gt; 0,TRUE,IFERROR(0/0,""))</f>
        <v/>
      </c>
      <c r="T1375" s="165" t="str">
        <f t="shared" si="2749"/>
        <v/>
      </c>
      <c r="U1375" s="147" t="str">
        <f t="array" ref="U1375">IF(ISBLANK($R1375), IF($S1375,VLOOKUP($B1375+1,'RFR Data - preExcl'!$BF$2:$BG1679,2,FALSE),IF($T1375,INDEX('RFR Data - preExcl'!$BF$2:$BG1679,MATCH($B1375,'RFR Data - preExcl'!$BF$2:$BF1679,0)+1,2),VLOOKUP($B1375,'RFR Data - preExcl'!$BF$2:$BG1679,2,FALSE))),IFERROR(0/0,""))</f>
        <v/>
      </c>
      <c r="V1375" s="212" t="str">
        <f t="shared" si="5"/>
        <v>RUN-COMB_2022-07-12_RFR-076</v>
      </c>
      <c r="W1375" s="51"/>
      <c r="X1375" s="51"/>
      <c r="Y1375" s="147" t="str">
        <f t="shared" ref="Y1375:Z1375" si="2750">IF(_xlfn.ISFORMULA(S1375),IFERROR(0/0,""),TRUE)</f>
        <v/>
      </c>
      <c r="Z1375" s="147" t="str">
        <f t="shared" si="2750"/>
        <v/>
      </c>
    </row>
    <row r="1376">
      <c r="A1376" s="6" t="str">
        <f>IFERROR(__xludf.DUMMYFUNCTION("""COMPUTED_VALUE"""),"FM2570")</f>
        <v>FM2570</v>
      </c>
      <c r="B1376" s="206">
        <f>IFERROR(__xludf.DUMMYFUNCTION("""COMPUTED_VALUE"""),44754.0)</f>
        <v>44754</v>
      </c>
      <c r="C1376" s="207">
        <f>IFERROR(__xludf.DUMMYFUNCTION("""COMPUTED_VALUE"""),0.30539351851851854)</f>
        <v>0.3053935185</v>
      </c>
      <c r="D1376" s="50"/>
      <c r="E1376" s="58"/>
      <c r="F1376" s="58"/>
      <c r="G1376" s="58" t="str">
        <f>IFERROR(__xludf.DUMMYFUNCTION("""COMPUTED_VALUE"""),"Null")</f>
        <v>Null</v>
      </c>
      <c r="H1376" s="206" t="str">
        <f>IFERROR(__xludf.DUMMYFUNCTION("""COMPUTED_VALUE"""),"Negative")</f>
        <v>Negative</v>
      </c>
      <c r="I1376" s="207"/>
      <c r="J1376" s="50"/>
      <c r="K1376" s="50">
        <f>IFERROR(__xludf.DUMMYFUNCTION("""COMPUTED_VALUE"""),2.0)</f>
        <v>2</v>
      </c>
      <c r="L1376" s="6"/>
      <c r="M1376" s="55"/>
      <c r="N1376" s="55">
        <f>IFERROR(__xludf.DUMMYFUNCTION("""COMPUTED_VALUE"""),1.0)</f>
        <v>1</v>
      </c>
      <c r="O1376" s="55" t="str">
        <f t="shared" si="3"/>
        <v/>
      </c>
      <c r="P1376" s="209"/>
      <c r="Q1376" s="75" t="b">
        <f>VLOOKUP($B1376,'Run Reconcile'!B$2:P1679,15,FALSE)</f>
        <v>1</v>
      </c>
      <c r="R1376" s="211" t="str">
        <f t="array" ref="R1376">IF($Q1376, INDEX('Run Reconcile'!A$2:A1679,MATCH(B1376,'Run Reconcile'!B$2:B1679,0),1),IFERROR(0/0,""))</f>
        <v>RUN-COMB_2022-07-12_RFR-076</v>
      </c>
      <c r="S1376" s="165" t="str">
        <f t="shared" ref="S1376:T1376" si="2751">IF(COUNTIF(W$2:W1679, $A1376) &gt; 0,TRUE,IFERROR(0/0,""))</f>
        <v/>
      </c>
      <c r="T1376" s="165" t="str">
        <f t="shared" si="2751"/>
        <v/>
      </c>
      <c r="U1376" s="147" t="str">
        <f t="array" ref="U1376">IF(ISBLANK($R1376), IF($S1376,VLOOKUP($B1376+1,'RFR Data - preExcl'!$BF$2:$BG1679,2,FALSE),IF($T1376,INDEX('RFR Data - preExcl'!$BF$2:$BG1679,MATCH($B1376,'RFR Data - preExcl'!$BF$2:$BF1679,0)+1,2),VLOOKUP($B1376,'RFR Data - preExcl'!$BF$2:$BG1679,2,FALSE))),IFERROR(0/0,""))</f>
        <v/>
      </c>
      <c r="V1376" s="212" t="str">
        <f t="shared" si="5"/>
        <v>RUN-COMB_2022-07-12_RFR-076</v>
      </c>
      <c r="W1376" s="51"/>
      <c r="X1376" s="51"/>
      <c r="Y1376" s="147" t="str">
        <f t="shared" ref="Y1376:Z1376" si="2752">IF(_xlfn.ISFORMULA(S1376),IFERROR(0/0,""),TRUE)</f>
        <v/>
      </c>
      <c r="Z1376" s="147" t="str">
        <f t="shared" si="2752"/>
        <v/>
      </c>
    </row>
    <row r="1377">
      <c r="A1377" s="6" t="str">
        <f>IFERROR(__xludf.DUMMYFUNCTION("""COMPUTED_VALUE"""),"FM2541")</f>
        <v>FM2541</v>
      </c>
      <c r="B1377" s="206">
        <f>IFERROR(__xludf.DUMMYFUNCTION("""COMPUTED_VALUE"""),44754.0)</f>
        <v>44754</v>
      </c>
      <c r="C1377" s="207">
        <f>IFERROR(__xludf.DUMMYFUNCTION("""COMPUTED_VALUE"""),0.30571759259259257)</f>
        <v>0.3057175926</v>
      </c>
      <c r="D1377" s="50"/>
      <c r="E1377" s="58"/>
      <c r="F1377" s="58"/>
      <c r="G1377" s="58" t="str">
        <f>IFERROR(__xludf.DUMMYFUNCTION("""COMPUTED_VALUE"""),"Null")</f>
        <v>Null</v>
      </c>
      <c r="H1377" s="206" t="str">
        <f>IFERROR(__xludf.DUMMYFUNCTION("""COMPUTED_VALUE"""),"Negative")</f>
        <v>Negative</v>
      </c>
      <c r="I1377" s="207"/>
      <c r="J1377" s="50"/>
      <c r="K1377" s="50">
        <f>IFERROR(__xludf.DUMMYFUNCTION("""COMPUTED_VALUE"""),2.0)</f>
        <v>2</v>
      </c>
      <c r="L1377" s="6"/>
      <c r="M1377" s="55"/>
      <c r="N1377" s="55">
        <f>IFERROR(__xludf.DUMMYFUNCTION("""COMPUTED_VALUE"""),1.0)</f>
        <v>1</v>
      </c>
      <c r="O1377" s="55" t="str">
        <f t="shared" si="3"/>
        <v/>
      </c>
      <c r="P1377" s="209"/>
      <c r="Q1377" s="75" t="b">
        <f>VLOOKUP($B1377,'Run Reconcile'!B$2:P1679,15,FALSE)</f>
        <v>1</v>
      </c>
      <c r="R1377" s="211" t="str">
        <f t="array" ref="R1377">IF($Q1377, INDEX('Run Reconcile'!A$2:A1679,MATCH(B1377,'Run Reconcile'!B$2:B1679,0),1),IFERROR(0/0,""))</f>
        <v>RUN-COMB_2022-07-12_RFR-076</v>
      </c>
      <c r="S1377" s="165" t="str">
        <f t="shared" ref="S1377:T1377" si="2753">IF(COUNTIF(W$2:W1679, $A1377) &gt; 0,TRUE,IFERROR(0/0,""))</f>
        <v/>
      </c>
      <c r="T1377" s="165" t="str">
        <f t="shared" si="2753"/>
        <v/>
      </c>
      <c r="U1377" s="147" t="str">
        <f t="array" ref="U1377">IF(ISBLANK($R1377), IF($S1377,VLOOKUP($B1377+1,'RFR Data - preExcl'!$BF$2:$BG1679,2,FALSE),IF($T1377,INDEX('RFR Data - preExcl'!$BF$2:$BG1679,MATCH($B1377,'RFR Data - preExcl'!$BF$2:$BF1679,0)+1,2),VLOOKUP($B1377,'RFR Data - preExcl'!$BF$2:$BG1679,2,FALSE))),IFERROR(0/0,""))</f>
        <v/>
      </c>
      <c r="V1377" s="212" t="str">
        <f t="shared" si="5"/>
        <v>RUN-COMB_2022-07-12_RFR-076</v>
      </c>
      <c r="W1377" s="51"/>
      <c r="X1377" s="51"/>
      <c r="Y1377" s="147" t="str">
        <f t="shared" ref="Y1377:Z1377" si="2754">IF(_xlfn.ISFORMULA(S1377),IFERROR(0/0,""),TRUE)</f>
        <v/>
      </c>
      <c r="Z1377" s="147" t="str">
        <f t="shared" si="2754"/>
        <v/>
      </c>
    </row>
    <row r="1378">
      <c r="A1378" s="6" t="str">
        <f>IFERROR(__xludf.DUMMYFUNCTION("""COMPUTED_VALUE"""),"FM2613")</f>
        <v>FM2613</v>
      </c>
      <c r="B1378" s="206">
        <f>IFERROR(__xludf.DUMMYFUNCTION("""COMPUTED_VALUE"""),44754.0)</f>
        <v>44754</v>
      </c>
      <c r="C1378" s="207">
        <f>IFERROR(__xludf.DUMMYFUNCTION("""COMPUTED_VALUE"""),0.3059953703703704)</f>
        <v>0.3059953704</v>
      </c>
      <c r="D1378" s="50"/>
      <c r="E1378" s="58"/>
      <c r="F1378" s="58"/>
      <c r="G1378" s="58" t="str">
        <f>IFERROR(__xludf.DUMMYFUNCTION("""COMPUTED_VALUE"""),"Null")</f>
        <v>Null</v>
      </c>
      <c r="H1378" s="206" t="str">
        <f>IFERROR(__xludf.DUMMYFUNCTION("""COMPUTED_VALUE"""),"Negative")</f>
        <v>Negative</v>
      </c>
      <c r="I1378" s="207"/>
      <c r="J1378" s="50"/>
      <c r="K1378" s="50">
        <f>IFERROR(__xludf.DUMMYFUNCTION("""COMPUTED_VALUE"""),2.0)</f>
        <v>2</v>
      </c>
      <c r="L1378" s="6"/>
      <c r="M1378" s="55"/>
      <c r="N1378" s="55">
        <f>IFERROR(__xludf.DUMMYFUNCTION("""COMPUTED_VALUE"""),1.0)</f>
        <v>1</v>
      </c>
      <c r="O1378" s="55" t="str">
        <f t="shared" si="3"/>
        <v/>
      </c>
      <c r="P1378" s="209"/>
      <c r="Q1378" s="75" t="b">
        <f>VLOOKUP($B1378,'Run Reconcile'!B$2:P1679,15,FALSE)</f>
        <v>1</v>
      </c>
      <c r="R1378" s="211" t="str">
        <f t="array" ref="R1378">IF($Q1378, INDEX('Run Reconcile'!A$2:A1679,MATCH(B1378,'Run Reconcile'!B$2:B1679,0),1),IFERROR(0/0,""))</f>
        <v>RUN-COMB_2022-07-12_RFR-076</v>
      </c>
      <c r="S1378" s="165" t="str">
        <f t="shared" ref="S1378:T1378" si="2755">IF(COUNTIF(W$2:W1679, $A1378) &gt; 0,TRUE,IFERROR(0/0,""))</f>
        <v/>
      </c>
      <c r="T1378" s="165" t="str">
        <f t="shared" si="2755"/>
        <v/>
      </c>
      <c r="U1378" s="147" t="str">
        <f t="array" ref="U1378">IF(ISBLANK($R1378), IF($S1378,VLOOKUP($B1378+1,'RFR Data - preExcl'!$BF$2:$BG1679,2,FALSE),IF($T1378,INDEX('RFR Data - preExcl'!$BF$2:$BG1679,MATCH($B1378,'RFR Data - preExcl'!$BF$2:$BF1679,0)+1,2),VLOOKUP($B1378,'RFR Data - preExcl'!$BF$2:$BG1679,2,FALSE))),IFERROR(0/0,""))</f>
        <v/>
      </c>
      <c r="V1378" s="212" t="str">
        <f t="shared" si="5"/>
        <v>RUN-COMB_2022-07-12_RFR-076</v>
      </c>
      <c r="W1378" s="51"/>
      <c r="X1378" s="51"/>
      <c r="Y1378" s="147" t="str">
        <f t="shared" ref="Y1378:Z1378" si="2756">IF(_xlfn.ISFORMULA(S1378),IFERROR(0/0,""),TRUE)</f>
        <v/>
      </c>
      <c r="Z1378" s="147" t="str">
        <f t="shared" si="2756"/>
        <v/>
      </c>
    </row>
    <row r="1379">
      <c r="A1379" s="6" t="str">
        <f>IFERROR(__xludf.DUMMYFUNCTION("""COMPUTED_VALUE"""),"FM2586")</f>
        <v>FM2586</v>
      </c>
      <c r="B1379" s="206">
        <f>IFERROR(__xludf.DUMMYFUNCTION("""COMPUTED_VALUE"""),44754.0)</f>
        <v>44754</v>
      </c>
      <c r="C1379" s="207">
        <f>IFERROR(__xludf.DUMMYFUNCTION("""COMPUTED_VALUE"""),0.30628472222222225)</f>
        <v>0.3062847222</v>
      </c>
      <c r="D1379" s="50"/>
      <c r="E1379" s="58"/>
      <c r="F1379" s="58"/>
      <c r="G1379" s="58" t="str">
        <f>IFERROR(__xludf.DUMMYFUNCTION("""COMPUTED_VALUE"""),"Null")</f>
        <v>Null</v>
      </c>
      <c r="H1379" s="206" t="str">
        <f>IFERROR(__xludf.DUMMYFUNCTION("""COMPUTED_VALUE"""),"Negative")</f>
        <v>Negative</v>
      </c>
      <c r="I1379" s="207"/>
      <c r="J1379" s="50"/>
      <c r="K1379" s="50">
        <f>IFERROR(__xludf.DUMMYFUNCTION("""COMPUTED_VALUE"""),2.0)</f>
        <v>2</v>
      </c>
      <c r="L1379" s="6"/>
      <c r="M1379" s="55"/>
      <c r="N1379" s="55">
        <f>IFERROR(__xludf.DUMMYFUNCTION("""COMPUTED_VALUE"""),1.0)</f>
        <v>1</v>
      </c>
      <c r="O1379" s="55" t="str">
        <f t="shared" si="3"/>
        <v/>
      </c>
      <c r="P1379" s="209"/>
      <c r="Q1379" s="75" t="b">
        <f>VLOOKUP($B1379,'Run Reconcile'!B$2:P1679,15,FALSE)</f>
        <v>1</v>
      </c>
      <c r="R1379" s="211" t="str">
        <f t="array" ref="R1379">IF($Q1379, INDEX('Run Reconcile'!A$2:A1679,MATCH(B1379,'Run Reconcile'!B$2:B1679,0),1),IFERROR(0/0,""))</f>
        <v>RUN-COMB_2022-07-12_RFR-076</v>
      </c>
      <c r="S1379" s="165" t="str">
        <f t="shared" ref="S1379:T1379" si="2757">IF(COUNTIF(W$2:W1679, $A1379) &gt; 0,TRUE,IFERROR(0/0,""))</f>
        <v/>
      </c>
      <c r="T1379" s="165" t="str">
        <f t="shared" si="2757"/>
        <v/>
      </c>
      <c r="U1379" s="147" t="str">
        <f t="array" ref="U1379">IF(ISBLANK($R1379), IF($S1379,VLOOKUP($B1379+1,'RFR Data - preExcl'!$BF$2:$BG1679,2,FALSE),IF($T1379,INDEX('RFR Data - preExcl'!$BF$2:$BG1679,MATCH($B1379,'RFR Data - preExcl'!$BF$2:$BF1679,0)+1,2),VLOOKUP($B1379,'RFR Data - preExcl'!$BF$2:$BG1679,2,FALSE))),IFERROR(0/0,""))</f>
        <v/>
      </c>
      <c r="V1379" s="212" t="str">
        <f t="shared" si="5"/>
        <v>RUN-COMB_2022-07-12_RFR-076</v>
      </c>
      <c r="W1379" s="51"/>
      <c r="X1379" s="51"/>
      <c r="Y1379" s="147" t="str">
        <f t="shared" ref="Y1379:Z1379" si="2758">IF(_xlfn.ISFORMULA(S1379),IFERROR(0/0,""),TRUE)</f>
        <v/>
      </c>
      <c r="Z1379" s="147" t="str">
        <f t="shared" si="2758"/>
        <v/>
      </c>
    </row>
    <row r="1380">
      <c r="A1380" s="6" t="str">
        <f>IFERROR(__xludf.DUMMYFUNCTION("""COMPUTED_VALUE"""),"FM2589")</f>
        <v>FM2589</v>
      </c>
      <c r="B1380" s="206">
        <f>IFERROR(__xludf.DUMMYFUNCTION("""COMPUTED_VALUE"""),44754.0)</f>
        <v>44754</v>
      </c>
      <c r="C1380" s="207">
        <f>IFERROR(__xludf.DUMMYFUNCTION("""COMPUTED_VALUE"""),0.3066550925925926)</f>
        <v>0.3066550926</v>
      </c>
      <c r="D1380" s="50"/>
      <c r="E1380" s="58"/>
      <c r="F1380" s="58"/>
      <c r="G1380" s="58" t="str">
        <f>IFERROR(__xludf.DUMMYFUNCTION("""COMPUTED_VALUE"""),"Null")</f>
        <v>Null</v>
      </c>
      <c r="H1380" s="206" t="str">
        <f>IFERROR(__xludf.DUMMYFUNCTION("""COMPUTED_VALUE"""),"Negative")</f>
        <v>Negative</v>
      </c>
      <c r="I1380" s="207"/>
      <c r="J1380" s="50"/>
      <c r="K1380" s="50">
        <f>IFERROR(__xludf.DUMMYFUNCTION("""COMPUTED_VALUE"""),2.0)</f>
        <v>2</v>
      </c>
      <c r="L1380" s="6"/>
      <c r="M1380" s="55"/>
      <c r="N1380" s="55">
        <f>IFERROR(__xludf.DUMMYFUNCTION("""COMPUTED_VALUE"""),1.0)</f>
        <v>1</v>
      </c>
      <c r="O1380" s="55" t="str">
        <f t="shared" si="3"/>
        <v/>
      </c>
      <c r="P1380" s="209"/>
      <c r="Q1380" s="75" t="b">
        <f>VLOOKUP($B1380,'Run Reconcile'!B$2:P1679,15,FALSE)</f>
        <v>1</v>
      </c>
      <c r="R1380" s="211" t="str">
        <f t="array" ref="R1380">IF($Q1380, INDEX('Run Reconcile'!A$2:A1679,MATCH(B1380,'Run Reconcile'!B$2:B1679,0),1),IFERROR(0/0,""))</f>
        <v>RUN-COMB_2022-07-12_RFR-076</v>
      </c>
      <c r="S1380" s="165" t="str">
        <f t="shared" ref="S1380:T1380" si="2759">IF(COUNTIF(W$2:W1679, $A1380) &gt; 0,TRUE,IFERROR(0/0,""))</f>
        <v/>
      </c>
      <c r="T1380" s="165" t="str">
        <f t="shared" si="2759"/>
        <v/>
      </c>
      <c r="U1380" s="147" t="str">
        <f t="array" ref="U1380">IF(ISBLANK($R1380), IF($S1380,VLOOKUP($B1380+1,'RFR Data - preExcl'!$BF$2:$BG1679,2,FALSE),IF($T1380,INDEX('RFR Data - preExcl'!$BF$2:$BG1679,MATCH($B1380,'RFR Data - preExcl'!$BF$2:$BF1679,0)+1,2),VLOOKUP($B1380,'RFR Data - preExcl'!$BF$2:$BG1679,2,FALSE))),IFERROR(0/0,""))</f>
        <v/>
      </c>
      <c r="V1380" s="212" t="str">
        <f t="shared" si="5"/>
        <v>RUN-COMB_2022-07-12_RFR-076</v>
      </c>
      <c r="W1380" s="51"/>
      <c r="X1380" s="51"/>
      <c r="Y1380" s="147" t="str">
        <f t="shared" ref="Y1380:Z1380" si="2760">IF(_xlfn.ISFORMULA(S1380),IFERROR(0/0,""),TRUE)</f>
        <v/>
      </c>
      <c r="Z1380" s="147" t="str">
        <f t="shared" si="2760"/>
        <v/>
      </c>
    </row>
    <row r="1381">
      <c r="A1381" s="6" t="str">
        <f>IFERROR(__xludf.DUMMYFUNCTION("""COMPUTED_VALUE"""),"FM2416")</f>
        <v>FM2416</v>
      </c>
      <c r="B1381" s="206">
        <f>IFERROR(__xludf.DUMMYFUNCTION("""COMPUTED_VALUE"""),44754.0)</f>
        <v>44754</v>
      </c>
      <c r="C1381" s="207">
        <f>IFERROR(__xludf.DUMMYFUNCTION("""COMPUTED_VALUE"""),0.3069560185185185)</f>
        <v>0.3069560185</v>
      </c>
      <c r="D1381" s="50"/>
      <c r="E1381" s="58"/>
      <c r="F1381" s="58"/>
      <c r="G1381" s="58" t="str">
        <f>IFERROR(__xludf.DUMMYFUNCTION("""COMPUTED_VALUE"""),"Null")</f>
        <v>Null</v>
      </c>
      <c r="H1381" s="206" t="str">
        <f>IFERROR(__xludf.DUMMYFUNCTION("""COMPUTED_VALUE"""),"Negative")</f>
        <v>Negative</v>
      </c>
      <c r="I1381" s="207"/>
      <c r="J1381" s="50"/>
      <c r="K1381" s="50">
        <f>IFERROR(__xludf.DUMMYFUNCTION("""COMPUTED_VALUE"""),2.0)</f>
        <v>2</v>
      </c>
      <c r="L1381" s="6"/>
      <c r="M1381" s="55"/>
      <c r="N1381" s="55">
        <f>IFERROR(__xludf.DUMMYFUNCTION("""COMPUTED_VALUE"""),1.0)</f>
        <v>1</v>
      </c>
      <c r="O1381" s="55" t="str">
        <f t="shared" si="3"/>
        <v/>
      </c>
      <c r="P1381" s="209"/>
      <c r="Q1381" s="75" t="b">
        <f>VLOOKUP($B1381,'Run Reconcile'!B$2:P1679,15,FALSE)</f>
        <v>1</v>
      </c>
      <c r="R1381" s="211" t="str">
        <f t="array" ref="R1381">IF($Q1381, INDEX('Run Reconcile'!A$2:A1679,MATCH(B1381,'Run Reconcile'!B$2:B1679,0),1),IFERROR(0/0,""))</f>
        <v>RUN-COMB_2022-07-12_RFR-076</v>
      </c>
      <c r="S1381" s="165" t="str">
        <f t="shared" ref="S1381:T1381" si="2761">IF(COUNTIF(W$2:W1679, $A1381) &gt; 0,TRUE,IFERROR(0/0,""))</f>
        <v/>
      </c>
      <c r="T1381" s="165" t="str">
        <f t="shared" si="2761"/>
        <v/>
      </c>
      <c r="U1381" s="147" t="str">
        <f t="array" ref="U1381">IF(ISBLANK($R1381), IF($S1381,VLOOKUP($B1381+1,'RFR Data - preExcl'!$BF$2:$BG1679,2,FALSE),IF($T1381,INDEX('RFR Data - preExcl'!$BF$2:$BG1679,MATCH($B1381,'RFR Data - preExcl'!$BF$2:$BF1679,0)+1,2),VLOOKUP($B1381,'RFR Data - preExcl'!$BF$2:$BG1679,2,FALSE))),IFERROR(0/0,""))</f>
        <v/>
      </c>
      <c r="V1381" s="212" t="str">
        <f t="shared" si="5"/>
        <v>RUN-COMB_2022-07-12_RFR-076</v>
      </c>
      <c r="W1381" s="51"/>
      <c r="X1381" s="51"/>
      <c r="Y1381" s="147" t="str">
        <f t="shared" ref="Y1381:Z1381" si="2762">IF(_xlfn.ISFORMULA(S1381),IFERROR(0/0,""),TRUE)</f>
        <v/>
      </c>
      <c r="Z1381" s="147" t="str">
        <f t="shared" si="2762"/>
        <v/>
      </c>
    </row>
    <row r="1382">
      <c r="A1382" s="6" t="str">
        <f>IFERROR(__xludf.DUMMYFUNCTION("""COMPUTED_VALUE"""),"FM2523")</f>
        <v>FM2523</v>
      </c>
      <c r="B1382" s="206">
        <f>IFERROR(__xludf.DUMMYFUNCTION("""COMPUTED_VALUE"""),44754.0)</f>
        <v>44754</v>
      </c>
      <c r="C1382" s="207">
        <f>IFERROR(__xludf.DUMMYFUNCTION("""COMPUTED_VALUE"""),0.3072800925925926)</f>
        <v>0.3072800926</v>
      </c>
      <c r="D1382" s="50"/>
      <c r="E1382" s="58"/>
      <c r="F1382" s="58"/>
      <c r="G1382" s="58" t="str">
        <f>IFERROR(__xludf.DUMMYFUNCTION("""COMPUTED_VALUE"""),"Null")</f>
        <v>Null</v>
      </c>
      <c r="H1382" s="206" t="str">
        <f>IFERROR(__xludf.DUMMYFUNCTION("""COMPUTED_VALUE"""),"Negative")</f>
        <v>Negative</v>
      </c>
      <c r="I1382" s="207"/>
      <c r="J1382" s="50"/>
      <c r="K1382" s="50">
        <f>IFERROR(__xludf.DUMMYFUNCTION("""COMPUTED_VALUE"""),2.0)</f>
        <v>2</v>
      </c>
      <c r="L1382" s="6"/>
      <c r="M1382" s="55"/>
      <c r="N1382" s="55">
        <f>IFERROR(__xludf.DUMMYFUNCTION("""COMPUTED_VALUE"""),1.0)</f>
        <v>1</v>
      </c>
      <c r="O1382" s="55" t="str">
        <f t="shared" si="3"/>
        <v/>
      </c>
      <c r="P1382" s="209"/>
      <c r="Q1382" s="75" t="b">
        <f>VLOOKUP($B1382,'Run Reconcile'!B$2:P1679,15,FALSE)</f>
        <v>1</v>
      </c>
      <c r="R1382" s="211" t="str">
        <f t="array" ref="R1382">IF($Q1382, INDEX('Run Reconcile'!A$2:A1679,MATCH(B1382,'Run Reconcile'!B$2:B1679,0),1),IFERROR(0/0,""))</f>
        <v>RUN-COMB_2022-07-12_RFR-076</v>
      </c>
      <c r="S1382" s="165" t="str">
        <f t="shared" ref="S1382:T1382" si="2763">IF(COUNTIF(W$2:W1679, $A1382) &gt; 0,TRUE,IFERROR(0/0,""))</f>
        <v/>
      </c>
      <c r="T1382" s="165" t="str">
        <f t="shared" si="2763"/>
        <v/>
      </c>
      <c r="U1382" s="147" t="str">
        <f t="array" ref="U1382">IF(ISBLANK($R1382), IF($S1382,VLOOKUP($B1382+1,'RFR Data - preExcl'!$BF$2:$BG1679,2,FALSE),IF($T1382,INDEX('RFR Data - preExcl'!$BF$2:$BG1679,MATCH($B1382,'RFR Data - preExcl'!$BF$2:$BF1679,0)+1,2),VLOOKUP($B1382,'RFR Data - preExcl'!$BF$2:$BG1679,2,FALSE))),IFERROR(0/0,""))</f>
        <v/>
      </c>
      <c r="V1382" s="212" t="str">
        <f t="shared" si="5"/>
        <v>RUN-COMB_2022-07-12_RFR-076</v>
      </c>
      <c r="W1382" s="51"/>
      <c r="X1382" s="51"/>
      <c r="Y1382" s="147" t="str">
        <f t="shared" ref="Y1382:Z1382" si="2764">IF(_xlfn.ISFORMULA(S1382),IFERROR(0/0,""),TRUE)</f>
        <v/>
      </c>
      <c r="Z1382" s="147" t="str">
        <f t="shared" si="2764"/>
        <v/>
      </c>
    </row>
    <row r="1383">
      <c r="A1383" s="6" t="str">
        <f>IFERROR(__xludf.DUMMYFUNCTION("""COMPUTED_VALUE"""),"FM2542")</f>
        <v>FM2542</v>
      </c>
      <c r="B1383" s="206">
        <f>IFERROR(__xludf.DUMMYFUNCTION("""COMPUTED_VALUE"""),44754.0)</f>
        <v>44754</v>
      </c>
      <c r="C1383" s="207">
        <f>IFERROR(__xludf.DUMMYFUNCTION("""COMPUTED_VALUE"""),0.30756944444444445)</f>
        <v>0.3075694444</v>
      </c>
      <c r="D1383" s="50"/>
      <c r="E1383" s="58"/>
      <c r="F1383" s="58"/>
      <c r="G1383" s="58" t="str">
        <f>IFERROR(__xludf.DUMMYFUNCTION("""COMPUTED_VALUE"""),"Null")</f>
        <v>Null</v>
      </c>
      <c r="H1383" s="206" t="str">
        <f>IFERROR(__xludf.DUMMYFUNCTION("""COMPUTED_VALUE"""),"Negative")</f>
        <v>Negative</v>
      </c>
      <c r="I1383" s="207"/>
      <c r="J1383" s="50"/>
      <c r="K1383" s="50">
        <f>IFERROR(__xludf.DUMMYFUNCTION("""COMPUTED_VALUE"""),2.0)</f>
        <v>2</v>
      </c>
      <c r="L1383" s="6"/>
      <c r="M1383" s="55"/>
      <c r="N1383" s="55">
        <f>IFERROR(__xludf.DUMMYFUNCTION("""COMPUTED_VALUE"""),1.0)</f>
        <v>1</v>
      </c>
      <c r="O1383" s="55" t="str">
        <f t="shared" si="3"/>
        <v/>
      </c>
      <c r="P1383" s="209"/>
      <c r="Q1383" s="75" t="b">
        <f>VLOOKUP($B1383,'Run Reconcile'!B$2:P1679,15,FALSE)</f>
        <v>1</v>
      </c>
      <c r="R1383" s="211" t="str">
        <f t="array" ref="R1383">IF($Q1383, INDEX('Run Reconcile'!A$2:A1679,MATCH(B1383,'Run Reconcile'!B$2:B1679,0),1),IFERROR(0/0,""))</f>
        <v>RUN-COMB_2022-07-12_RFR-076</v>
      </c>
      <c r="S1383" s="165" t="str">
        <f t="shared" ref="S1383:T1383" si="2765">IF(COUNTIF(W$2:W1679, $A1383) &gt; 0,TRUE,IFERROR(0/0,""))</f>
        <v/>
      </c>
      <c r="T1383" s="165" t="str">
        <f t="shared" si="2765"/>
        <v/>
      </c>
      <c r="U1383" s="147" t="str">
        <f t="array" ref="U1383">IF(ISBLANK($R1383), IF($S1383,VLOOKUP($B1383+1,'RFR Data - preExcl'!$BF$2:$BG1679,2,FALSE),IF($T1383,INDEX('RFR Data - preExcl'!$BF$2:$BG1679,MATCH($B1383,'RFR Data - preExcl'!$BF$2:$BF1679,0)+1,2),VLOOKUP($B1383,'RFR Data - preExcl'!$BF$2:$BG1679,2,FALSE))),IFERROR(0/0,""))</f>
        <v/>
      </c>
      <c r="V1383" s="212" t="str">
        <f t="shared" si="5"/>
        <v>RUN-COMB_2022-07-12_RFR-076</v>
      </c>
      <c r="W1383" s="51"/>
      <c r="X1383" s="51"/>
      <c r="Y1383" s="147" t="str">
        <f t="shared" ref="Y1383:Z1383" si="2766">IF(_xlfn.ISFORMULA(S1383),IFERROR(0/0,""),TRUE)</f>
        <v/>
      </c>
      <c r="Z1383" s="147" t="str">
        <f t="shared" si="2766"/>
        <v/>
      </c>
    </row>
    <row r="1384">
      <c r="A1384" s="6" t="str">
        <f>IFERROR(__xludf.DUMMYFUNCTION("""COMPUTED_VALUE"""),"FM2560")</f>
        <v>FM2560</v>
      </c>
      <c r="B1384" s="206">
        <f>IFERROR(__xludf.DUMMYFUNCTION("""COMPUTED_VALUE"""),44754.0)</f>
        <v>44754</v>
      </c>
      <c r="C1384" s="207">
        <f>IFERROR(__xludf.DUMMYFUNCTION("""COMPUTED_VALUE"""),0.3078587962962963)</f>
        <v>0.3078587963</v>
      </c>
      <c r="D1384" s="50"/>
      <c r="E1384" s="58"/>
      <c r="F1384" s="58"/>
      <c r="G1384" s="58" t="str">
        <f>IFERROR(__xludf.DUMMYFUNCTION("""COMPUTED_VALUE"""),"Null")</f>
        <v>Null</v>
      </c>
      <c r="H1384" s="206" t="str">
        <f>IFERROR(__xludf.DUMMYFUNCTION("""COMPUTED_VALUE"""),"Negative")</f>
        <v>Negative</v>
      </c>
      <c r="I1384" s="207"/>
      <c r="J1384" s="50"/>
      <c r="K1384" s="50">
        <f>IFERROR(__xludf.DUMMYFUNCTION("""COMPUTED_VALUE"""),2.0)</f>
        <v>2</v>
      </c>
      <c r="L1384" s="6"/>
      <c r="M1384" s="55"/>
      <c r="N1384" s="55">
        <f>IFERROR(__xludf.DUMMYFUNCTION("""COMPUTED_VALUE"""),1.0)</f>
        <v>1</v>
      </c>
      <c r="O1384" s="55" t="str">
        <f t="shared" si="3"/>
        <v/>
      </c>
      <c r="P1384" s="209"/>
      <c r="Q1384" s="75" t="b">
        <f>VLOOKUP($B1384,'Run Reconcile'!B$2:P1679,15,FALSE)</f>
        <v>1</v>
      </c>
      <c r="R1384" s="211" t="str">
        <f t="array" ref="R1384">IF($Q1384, INDEX('Run Reconcile'!A$2:A1679,MATCH(B1384,'Run Reconcile'!B$2:B1679,0),1),IFERROR(0/0,""))</f>
        <v>RUN-COMB_2022-07-12_RFR-076</v>
      </c>
      <c r="S1384" s="165" t="str">
        <f t="shared" ref="S1384:T1384" si="2767">IF(COUNTIF(W$2:W1679, $A1384) &gt; 0,TRUE,IFERROR(0/0,""))</f>
        <v/>
      </c>
      <c r="T1384" s="165" t="str">
        <f t="shared" si="2767"/>
        <v/>
      </c>
      <c r="U1384" s="147" t="str">
        <f t="array" ref="U1384">IF(ISBLANK($R1384), IF($S1384,VLOOKUP($B1384+1,'RFR Data - preExcl'!$BF$2:$BG1679,2,FALSE),IF($T1384,INDEX('RFR Data - preExcl'!$BF$2:$BG1679,MATCH($B1384,'RFR Data - preExcl'!$BF$2:$BF1679,0)+1,2),VLOOKUP($B1384,'RFR Data - preExcl'!$BF$2:$BG1679,2,FALSE))),IFERROR(0/0,""))</f>
        <v/>
      </c>
      <c r="V1384" s="212" t="str">
        <f t="shared" si="5"/>
        <v>RUN-COMB_2022-07-12_RFR-076</v>
      </c>
      <c r="W1384" s="51"/>
      <c r="X1384" s="51"/>
      <c r="Y1384" s="147" t="str">
        <f t="shared" ref="Y1384:Z1384" si="2768">IF(_xlfn.ISFORMULA(S1384),IFERROR(0/0,""),TRUE)</f>
        <v/>
      </c>
      <c r="Z1384" s="147" t="str">
        <f t="shared" si="2768"/>
        <v/>
      </c>
    </row>
    <row r="1385">
      <c r="A1385" s="6" t="str">
        <f>IFERROR(__xludf.DUMMYFUNCTION("""COMPUTED_VALUE"""),"FM3689")</f>
        <v>FM3689</v>
      </c>
      <c r="B1385" s="206">
        <f>IFERROR(__xludf.DUMMYFUNCTION("""COMPUTED_VALUE"""),44755.0)</f>
        <v>44755</v>
      </c>
      <c r="C1385" s="207">
        <f>IFERROR(__xludf.DUMMYFUNCTION("""COMPUTED_VALUE"""),0.2965625)</f>
        <v>0.2965625</v>
      </c>
      <c r="D1385" s="50"/>
      <c r="E1385" s="58"/>
      <c r="F1385" s="58"/>
      <c r="G1385" s="58" t="str">
        <f>IFERROR(__xludf.DUMMYFUNCTION("""COMPUTED_VALUE"""),"Null")</f>
        <v>Null</v>
      </c>
      <c r="H1385" s="206" t="str">
        <f>IFERROR(__xludf.DUMMYFUNCTION("""COMPUTED_VALUE"""),"Negative")</f>
        <v>Negative</v>
      </c>
      <c r="I1385" s="207"/>
      <c r="J1385" s="50"/>
      <c r="K1385" s="50">
        <f>IFERROR(__xludf.DUMMYFUNCTION("""COMPUTED_VALUE"""),2.0)</f>
        <v>2</v>
      </c>
      <c r="L1385" s="6"/>
      <c r="M1385" s="55"/>
      <c r="N1385" s="55">
        <f>IFERROR(__xludf.DUMMYFUNCTION("""COMPUTED_VALUE"""),1.0)</f>
        <v>1</v>
      </c>
      <c r="O1385" s="55" t="b">
        <f t="shared" si="3"/>
        <v>1</v>
      </c>
      <c r="P1385" s="209"/>
      <c r="Q1385" s="75" t="b">
        <f>VLOOKUP($B1385,'Run Reconcile'!B$2:P1679,15,FALSE)</f>
        <v>1</v>
      </c>
      <c r="R1385" s="211" t="str">
        <f t="array" ref="R1385">IF($Q1385, INDEX('Run Reconcile'!A$2:A1679,MATCH(B1385,'Run Reconcile'!B$2:B1679,0),1),IFERROR(0/0,""))</f>
        <v>RUN-COMB_2022-07-13_RFR-077</v>
      </c>
      <c r="S1385" s="165" t="str">
        <f t="shared" ref="S1385:T1385" si="2769">IF(COUNTIF(W$2:W1679, $A1385) &gt; 0,TRUE,IFERROR(0/0,""))</f>
        <v/>
      </c>
      <c r="T1385" s="165" t="str">
        <f t="shared" si="2769"/>
        <v/>
      </c>
      <c r="U1385" s="147" t="str">
        <f t="array" ref="U1385">IF(ISBLANK($R1385), IF($S1385,VLOOKUP($B1385+1,'RFR Data - preExcl'!$BF$2:$BG1679,2,FALSE),IF($T1385,INDEX('RFR Data - preExcl'!$BF$2:$BG1679,MATCH($B1385,'RFR Data - preExcl'!$BF$2:$BF1679,0)+1,2),VLOOKUP($B1385,'RFR Data - preExcl'!$BF$2:$BG1679,2,FALSE))),IFERROR(0/0,""))</f>
        <v/>
      </c>
      <c r="V1385" s="212" t="str">
        <f t="shared" si="5"/>
        <v>RUN-COMB_2022-07-13_RFR-077</v>
      </c>
      <c r="W1385" s="51"/>
      <c r="X1385" s="51"/>
      <c r="Y1385" s="147" t="str">
        <f t="shared" ref="Y1385:Z1385" si="2770">IF(_xlfn.ISFORMULA(S1385),IFERROR(0/0,""),TRUE)</f>
        <v/>
      </c>
      <c r="Z1385" s="147" t="str">
        <f t="shared" si="2770"/>
        <v/>
      </c>
    </row>
    <row r="1386">
      <c r="A1386" s="6" t="str">
        <f>IFERROR(__xludf.DUMMYFUNCTION("""COMPUTED_VALUE"""),"FM3827")</f>
        <v>FM3827</v>
      </c>
      <c r="B1386" s="206">
        <f>IFERROR(__xludf.DUMMYFUNCTION("""COMPUTED_VALUE"""),44755.0)</f>
        <v>44755</v>
      </c>
      <c r="C1386" s="207">
        <f>IFERROR(__xludf.DUMMYFUNCTION("""COMPUTED_VALUE"""),0.29711805555555554)</f>
        <v>0.2971180556</v>
      </c>
      <c r="D1386" s="50"/>
      <c r="E1386" s="58"/>
      <c r="F1386" s="58"/>
      <c r="G1386" s="58" t="str">
        <f>IFERROR(__xludf.DUMMYFUNCTION("""COMPUTED_VALUE"""),"Null")</f>
        <v>Null</v>
      </c>
      <c r="H1386" s="206" t="str">
        <f>IFERROR(__xludf.DUMMYFUNCTION("""COMPUTED_VALUE"""),"Negative")</f>
        <v>Negative</v>
      </c>
      <c r="I1386" s="207"/>
      <c r="J1386" s="50"/>
      <c r="K1386" s="50">
        <f>IFERROR(__xludf.DUMMYFUNCTION("""COMPUTED_VALUE"""),2.0)</f>
        <v>2</v>
      </c>
      <c r="L1386" s="6"/>
      <c r="M1386" s="55"/>
      <c r="N1386" s="55">
        <f>IFERROR(__xludf.DUMMYFUNCTION("""COMPUTED_VALUE"""),1.0)</f>
        <v>1</v>
      </c>
      <c r="O1386" s="55" t="str">
        <f t="shared" si="3"/>
        <v/>
      </c>
      <c r="P1386" s="209"/>
      <c r="Q1386" s="75" t="b">
        <f>VLOOKUP($B1386,'Run Reconcile'!B$2:P1679,15,FALSE)</f>
        <v>1</v>
      </c>
      <c r="R1386" s="211" t="str">
        <f t="array" ref="R1386">IF($Q1386, INDEX('Run Reconcile'!A$2:A1679,MATCH(B1386,'Run Reconcile'!B$2:B1679,0),1),IFERROR(0/0,""))</f>
        <v>RUN-COMB_2022-07-13_RFR-077</v>
      </c>
      <c r="S1386" s="165" t="str">
        <f t="shared" ref="S1386:T1386" si="2771">IF(COUNTIF(W$2:W1679, $A1386) &gt; 0,TRUE,IFERROR(0/0,""))</f>
        <v/>
      </c>
      <c r="T1386" s="165" t="str">
        <f t="shared" si="2771"/>
        <v/>
      </c>
      <c r="U1386" s="147" t="str">
        <f t="array" ref="U1386">IF(ISBLANK($R1386), IF($S1386,VLOOKUP($B1386+1,'RFR Data - preExcl'!$BF$2:$BG1679,2,FALSE),IF($T1386,INDEX('RFR Data - preExcl'!$BF$2:$BG1679,MATCH($B1386,'RFR Data - preExcl'!$BF$2:$BF1679,0)+1,2),VLOOKUP($B1386,'RFR Data - preExcl'!$BF$2:$BG1679,2,FALSE))),IFERROR(0/0,""))</f>
        <v/>
      </c>
      <c r="V1386" s="212" t="str">
        <f t="shared" si="5"/>
        <v>RUN-COMB_2022-07-13_RFR-077</v>
      </c>
      <c r="W1386" s="51"/>
      <c r="X1386" s="51"/>
      <c r="Y1386" s="147" t="str">
        <f t="shared" ref="Y1386:Z1386" si="2772">IF(_xlfn.ISFORMULA(S1386),IFERROR(0/0,""),TRUE)</f>
        <v/>
      </c>
      <c r="Z1386" s="147" t="str">
        <f t="shared" si="2772"/>
        <v/>
      </c>
    </row>
    <row r="1387">
      <c r="A1387" s="6" t="str">
        <f>IFERROR(__xludf.DUMMYFUNCTION("""COMPUTED_VALUE"""),"FM3709")</f>
        <v>FM3709</v>
      </c>
      <c r="B1387" s="206">
        <f>IFERROR(__xludf.DUMMYFUNCTION("""COMPUTED_VALUE"""),44755.0)</f>
        <v>44755</v>
      </c>
      <c r="C1387" s="207">
        <f>IFERROR(__xludf.DUMMYFUNCTION("""COMPUTED_VALUE"""),0.29743055555555553)</f>
        <v>0.2974305556</v>
      </c>
      <c r="D1387" s="50"/>
      <c r="E1387" s="58"/>
      <c r="F1387" s="58"/>
      <c r="G1387" s="58" t="str">
        <f>IFERROR(__xludf.DUMMYFUNCTION("""COMPUTED_VALUE"""),"Null")</f>
        <v>Null</v>
      </c>
      <c r="H1387" s="206" t="str">
        <f>IFERROR(__xludf.DUMMYFUNCTION("""COMPUTED_VALUE"""),"Negative")</f>
        <v>Negative</v>
      </c>
      <c r="I1387" s="207"/>
      <c r="J1387" s="50"/>
      <c r="K1387" s="50">
        <f>IFERROR(__xludf.DUMMYFUNCTION("""COMPUTED_VALUE"""),2.0)</f>
        <v>2</v>
      </c>
      <c r="L1387" s="6"/>
      <c r="M1387" s="55"/>
      <c r="N1387" s="55">
        <f>IFERROR(__xludf.DUMMYFUNCTION("""COMPUTED_VALUE"""),1.0)</f>
        <v>1</v>
      </c>
      <c r="O1387" s="55" t="str">
        <f t="shared" si="3"/>
        <v/>
      </c>
      <c r="P1387" s="209"/>
      <c r="Q1387" s="75" t="b">
        <f>VLOOKUP($B1387,'Run Reconcile'!B$2:P1679,15,FALSE)</f>
        <v>1</v>
      </c>
      <c r="R1387" s="211" t="str">
        <f t="array" ref="R1387">IF($Q1387, INDEX('Run Reconcile'!A$2:A1679,MATCH(B1387,'Run Reconcile'!B$2:B1679,0),1),IFERROR(0/0,""))</f>
        <v>RUN-COMB_2022-07-13_RFR-077</v>
      </c>
      <c r="S1387" s="165" t="str">
        <f t="shared" ref="S1387:T1387" si="2773">IF(COUNTIF(W$2:W1679, $A1387) &gt; 0,TRUE,IFERROR(0/0,""))</f>
        <v/>
      </c>
      <c r="T1387" s="165" t="str">
        <f t="shared" si="2773"/>
        <v/>
      </c>
      <c r="U1387" s="147" t="str">
        <f t="array" ref="U1387">IF(ISBLANK($R1387), IF($S1387,VLOOKUP($B1387+1,'RFR Data - preExcl'!$BF$2:$BG1679,2,FALSE),IF($T1387,INDEX('RFR Data - preExcl'!$BF$2:$BG1679,MATCH($B1387,'RFR Data - preExcl'!$BF$2:$BF1679,0)+1,2),VLOOKUP($B1387,'RFR Data - preExcl'!$BF$2:$BG1679,2,FALSE))),IFERROR(0/0,""))</f>
        <v/>
      </c>
      <c r="V1387" s="212" t="str">
        <f t="shared" si="5"/>
        <v>RUN-COMB_2022-07-13_RFR-077</v>
      </c>
      <c r="W1387" s="51"/>
      <c r="X1387" s="51"/>
      <c r="Y1387" s="147" t="str">
        <f t="shared" ref="Y1387:Z1387" si="2774">IF(_xlfn.ISFORMULA(S1387),IFERROR(0/0,""),TRUE)</f>
        <v/>
      </c>
      <c r="Z1387" s="147" t="str">
        <f t="shared" si="2774"/>
        <v/>
      </c>
    </row>
    <row r="1388">
      <c r="A1388" s="6" t="str">
        <f>IFERROR(__xludf.DUMMYFUNCTION("""COMPUTED_VALUE"""),"FM2555")</f>
        <v>FM2555</v>
      </c>
      <c r="B1388" s="206">
        <f>IFERROR(__xludf.DUMMYFUNCTION("""COMPUTED_VALUE"""),44755.0)</f>
        <v>44755</v>
      </c>
      <c r="C1388" s="207">
        <f>IFERROR(__xludf.DUMMYFUNCTION("""COMPUTED_VALUE"""),0.2976736111111111)</f>
        <v>0.2976736111</v>
      </c>
      <c r="D1388" s="50"/>
      <c r="E1388" s="58"/>
      <c r="F1388" s="58"/>
      <c r="G1388" s="58" t="str">
        <f>IFERROR(__xludf.DUMMYFUNCTION("""COMPUTED_VALUE"""),"Null")</f>
        <v>Null</v>
      </c>
      <c r="H1388" s="206" t="str">
        <f>IFERROR(__xludf.DUMMYFUNCTION("""COMPUTED_VALUE"""),"Negative")</f>
        <v>Negative</v>
      </c>
      <c r="I1388" s="207"/>
      <c r="J1388" s="50"/>
      <c r="K1388" s="50">
        <f>IFERROR(__xludf.DUMMYFUNCTION("""COMPUTED_VALUE"""),2.0)</f>
        <v>2</v>
      </c>
      <c r="L1388" s="6"/>
      <c r="M1388" s="55"/>
      <c r="N1388" s="55">
        <f>IFERROR(__xludf.DUMMYFUNCTION("""COMPUTED_VALUE"""),1.0)</f>
        <v>1</v>
      </c>
      <c r="O1388" s="55" t="str">
        <f t="shared" si="3"/>
        <v/>
      </c>
      <c r="P1388" s="209"/>
      <c r="Q1388" s="75" t="b">
        <f>VLOOKUP($B1388,'Run Reconcile'!B$2:P1679,15,FALSE)</f>
        <v>1</v>
      </c>
      <c r="R1388" s="211" t="str">
        <f t="array" ref="R1388">IF($Q1388, INDEX('Run Reconcile'!A$2:A1679,MATCH(B1388,'Run Reconcile'!B$2:B1679,0),1),IFERROR(0/0,""))</f>
        <v>RUN-COMB_2022-07-13_RFR-077</v>
      </c>
      <c r="S1388" s="165" t="str">
        <f t="shared" ref="S1388:T1388" si="2775">IF(COUNTIF(W$2:W1679, $A1388) &gt; 0,TRUE,IFERROR(0/0,""))</f>
        <v/>
      </c>
      <c r="T1388" s="165" t="str">
        <f t="shared" si="2775"/>
        <v/>
      </c>
      <c r="U1388" s="147" t="str">
        <f t="array" ref="U1388">IF(ISBLANK($R1388), IF($S1388,VLOOKUP($B1388+1,'RFR Data - preExcl'!$BF$2:$BG1679,2,FALSE),IF($T1388,INDEX('RFR Data - preExcl'!$BF$2:$BG1679,MATCH($B1388,'RFR Data - preExcl'!$BF$2:$BF1679,0)+1,2),VLOOKUP($B1388,'RFR Data - preExcl'!$BF$2:$BG1679,2,FALSE))),IFERROR(0/0,""))</f>
        <v/>
      </c>
      <c r="V1388" s="212" t="str">
        <f t="shared" si="5"/>
        <v>RUN-COMB_2022-07-13_RFR-077</v>
      </c>
      <c r="W1388" s="51"/>
      <c r="X1388" s="51"/>
      <c r="Y1388" s="147" t="str">
        <f t="shared" ref="Y1388:Z1388" si="2776">IF(_xlfn.ISFORMULA(S1388),IFERROR(0/0,""),TRUE)</f>
        <v/>
      </c>
      <c r="Z1388" s="147" t="str">
        <f t="shared" si="2776"/>
        <v/>
      </c>
    </row>
    <row r="1389">
      <c r="A1389" s="6" t="str">
        <f>IFERROR(__xludf.DUMMYFUNCTION("""COMPUTED_VALUE"""),"FM3696")</f>
        <v>FM3696</v>
      </c>
      <c r="B1389" s="206">
        <f>IFERROR(__xludf.DUMMYFUNCTION("""COMPUTED_VALUE"""),44755.0)</f>
        <v>44755</v>
      </c>
      <c r="C1389" s="207">
        <f>IFERROR(__xludf.DUMMYFUNCTION("""COMPUTED_VALUE"""),0.297962962962963)</f>
        <v>0.297962963</v>
      </c>
      <c r="D1389" s="50"/>
      <c r="E1389" s="58"/>
      <c r="F1389" s="58"/>
      <c r="G1389" s="58" t="str">
        <f>IFERROR(__xludf.DUMMYFUNCTION("""COMPUTED_VALUE"""),"Null")</f>
        <v>Null</v>
      </c>
      <c r="H1389" s="206" t="str">
        <f>IFERROR(__xludf.DUMMYFUNCTION("""COMPUTED_VALUE"""),"Negative")</f>
        <v>Negative</v>
      </c>
      <c r="I1389" s="207"/>
      <c r="J1389" s="50"/>
      <c r="K1389" s="50">
        <f>IFERROR(__xludf.DUMMYFUNCTION("""COMPUTED_VALUE"""),2.0)</f>
        <v>2</v>
      </c>
      <c r="L1389" s="6"/>
      <c r="M1389" s="55"/>
      <c r="N1389" s="55">
        <f>IFERROR(__xludf.DUMMYFUNCTION("""COMPUTED_VALUE"""),1.0)</f>
        <v>1</v>
      </c>
      <c r="O1389" s="55" t="str">
        <f t="shared" si="3"/>
        <v/>
      </c>
      <c r="P1389" s="209"/>
      <c r="Q1389" s="75" t="b">
        <f>VLOOKUP($B1389,'Run Reconcile'!B$2:P1679,15,FALSE)</f>
        <v>1</v>
      </c>
      <c r="R1389" s="211" t="str">
        <f t="array" ref="R1389">IF($Q1389, INDEX('Run Reconcile'!A$2:A1679,MATCH(B1389,'Run Reconcile'!B$2:B1679,0),1),IFERROR(0/0,""))</f>
        <v>RUN-COMB_2022-07-13_RFR-077</v>
      </c>
      <c r="S1389" s="165" t="str">
        <f t="shared" ref="S1389:T1389" si="2777">IF(COUNTIF(W$2:W1679, $A1389) &gt; 0,TRUE,IFERROR(0/0,""))</f>
        <v/>
      </c>
      <c r="T1389" s="165" t="str">
        <f t="shared" si="2777"/>
        <v/>
      </c>
      <c r="U1389" s="147" t="str">
        <f t="array" ref="U1389">IF(ISBLANK($R1389), IF($S1389,VLOOKUP($B1389+1,'RFR Data - preExcl'!$BF$2:$BG1679,2,FALSE),IF($T1389,INDEX('RFR Data - preExcl'!$BF$2:$BG1679,MATCH($B1389,'RFR Data - preExcl'!$BF$2:$BF1679,0)+1,2),VLOOKUP($B1389,'RFR Data - preExcl'!$BF$2:$BG1679,2,FALSE))),IFERROR(0/0,""))</f>
        <v/>
      </c>
      <c r="V1389" s="212" t="str">
        <f t="shared" si="5"/>
        <v>RUN-COMB_2022-07-13_RFR-077</v>
      </c>
      <c r="W1389" s="51"/>
      <c r="X1389" s="51"/>
      <c r="Y1389" s="147" t="str">
        <f t="shared" ref="Y1389:Z1389" si="2778">IF(_xlfn.ISFORMULA(S1389),IFERROR(0/0,""),TRUE)</f>
        <v/>
      </c>
      <c r="Z1389" s="147" t="str">
        <f t="shared" si="2778"/>
        <v/>
      </c>
    </row>
    <row r="1390">
      <c r="A1390" s="6" t="str">
        <f>IFERROR(__xludf.DUMMYFUNCTION("""COMPUTED_VALUE"""),"FM2528")</f>
        <v>FM2528</v>
      </c>
      <c r="B1390" s="206">
        <f>IFERROR(__xludf.DUMMYFUNCTION("""COMPUTED_VALUE"""),44755.0)</f>
        <v>44755</v>
      </c>
      <c r="C1390" s="207">
        <f>IFERROR(__xludf.DUMMYFUNCTION("""COMPUTED_VALUE"""),0.29822916666666666)</f>
        <v>0.2982291667</v>
      </c>
      <c r="D1390" s="50"/>
      <c r="E1390" s="58"/>
      <c r="F1390" s="58"/>
      <c r="G1390" s="58" t="str">
        <f>IFERROR(__xludf.DUMMYFUNCTION("""COMPUTED_VALUE"""),"Null")</f>
        <v>Null</v>
      </c>
      <c r="H1390" s="206" t="str">
        <f>IFERROR(__xludf.DUMMYFUNCTION("""COMPUTED_VALUE"""),"Negative")</f>
        <v>Negative</v>
      </c>
      <c r="I1390" s="207"/>
      <c r="J1390" s="50"/>
      <c r="K1390" s="50">
        <f>IFERROR(__xludf.DUMMYFUNCTION("""COMPUTED_VALUE"""),2.0)</f>
        <v>2</v>
      </c>
      <c r="L1390" s="6"/>
      <c r="M1390" s="55"/>
      <c r="N1390" s="55">
        <f>IFERROR(__xludf.DUMMYFUNCTION("""COMPUTED_VALUE"""),1.0)</f>
        <v>1</v>
      </c>
      <c r="O1390" s="55" t="str">
        <f t="shared" si="3"/>
        <v/>
      </c>
      <c r="P1390" s="209"/>
      <c r="Q1390" s="75" t="b">
        <f>VLOOKUP($B1390,'Run Reconcile'!B$2:P1679,15,FALSE)</f>
        <v>1</v>
      </c>
      <c r="R1390" s="211" t="str">
        <f t="array" ref="R1390">IF($Q1390, INDEX('Run Reconcile'!A$2:A1679,MATCH(B1390,'Run Reconcile'!B$2:B1679,0),1),IFERROR(0/0,""))</f>
        <v>RUN-COMB_2022-07-13_RFR-077</v>
      </c>
      <c r="S1390" s="165" t="str">
        <f t="shared" ref="S1390:T1390" si="2779">IF(COUNTIF(W$2:W1679, $A1390) &gt; 0,TRUE,IFERROR(0/0,""))</f>
        <v/>
      </c>
      <c r="T1390" s="165" t="str">
        <f t="shared" si="2779"/>
        <v/>
      </c>
      <c r="U1390" s="147" t="str">
        <f t="array" ref="U1390">IF(ISBLANK($R1390), IF($S1390,VLOOKUP($B1390+1,'RFR Data - preExcl'!$BF$2:$BG1679,2,FALSE),IF($T1390,INDEX('RFR Data - preExcl'!$BF$2:$BG1679,MATCH($B1390,'RFR Data - preExcl'!$BF$2:$BF1679,0)+1,2),VLOOKUP($B1390,'RFR Data - preExcl'!$BF$2:$BG1679,2,FALSE))),IFERROR(0/0,""))</f>
        <v/>
      </c>
      <c r="V1390" s="212" t="str">
        <f t="shared" si="5"/>
        <v>RUN-COMB_2022-07-13_RFR-077</v>
      </c>
      <c r="W1390" s="51"/>
      <c r="X1390" s="51"/>
      <c r="Y1390" s="147" t="str">
        <f t="shared" ref="Y1390:Z1390" si="2780">IF(_xlfn.ISFORMULA(S1390),IFERROR(0/0,""),TRUE)</f>
        <v/>
      </c>
      <c r="Z1390" s="147" t="str">
        <f t="shared" si="2780"/>
        <v/>
      </c>
    </row>
    <row r="1391">
      <c r="A1391" s="6" t="str">
        <f>IFERROR(__xludf.DUMMYFUNCTION("""COMPUTED_VALUE"""),"FM2527")</f>
        <v>FM2527</v>
      </c>
      <c r="B1391" s="206">
        <f>IFERROR(__xludf.DUMMYFUNCTION("""COMPUTED_VALUE"""),44755.0)</f>
        <v>44755</v>
      </c>
      <c r="C1391" s="207">
        <f>IFERROR(__xludf.DUMMYFUNCTION("""COMPUTED_VALUE"""),0.2985300925925926)</f>
        <v>0.2985300926</v>
      </c>
      <c r="D1391" s="50"/>
      <c r="E1391" s="58"/>
      <c r="F1391" s="58"/>
      <c r="G1391" s="58" t="str">
        <f>IFERROR(__xludf.DUMMYFUNCTION("""COMPUTED_VALUE"""),"Null")</f>
        <v>Null</v>
      </c>
      <c r="H1391" s="206" t="str">
        <f>IFERROR(__xludf.DUMMYFUNCTION("""COMPUTED_VALUE"""),"Negative")</f>
        <v>Negative</v>
      </c>
      <c r="I1391" s="207"/>
      <c r="J1391" s="50"/>
      <c r="K1391" s="50">
        <f>IFERROR(__xludf.DUMMYFUNCTION("""COMPUTED_VALUE"""),2.0)</f>
        <v>2</v>
      </c>
      <c r="L1391" s="6"/>
      <c r="M1391" s="55"/>
      <c r="N1391" s="55">
        <f>IFERROR(__xludf.DUMMYFUNCTION("""COMPUTED_VALUE"""),1.0)</f>
        <v>1</v>
      </c>
      <c r="O1391" s="55" t="str">
        <f t="shared" si="3"/>
        <v/>
      </c>
      <c r="P1391" s="209"/>
      <c r="Q1391" s="75" t="b">
        <f>VLOOKUP($B1391,'Run Reconcile'!B$2:P1679,15,FALSE)</f>
        <v>1</v>
      </c>
      <c r="R1391" s="211" t="str">
        <f t="array" ref="R1391">IF($Q1391, INDEX('Run Reconcile'!A$2:A1679,MATCH(B1391,'Run Reconcile'!B$2:B1679,0),1),IFERROR(0/0,""))</f>
        <v>RUN-COMB_2022-07-13_RFR-077</v>
      </c>
      <c r="S1391" s="165" t="str">
        <f t="shared" ref="S1391:T1391" si="2781">IF(COUNTIF(W$2:W1679, $A1391) &gt; 0,TRUE,IFERROR(0/0,""))</f>
        <v/>
      </c>
      <c r="T1391" s="165" t="str">
        <f t="shared" si="2781"/>
        <v/>
      </c>
      <c r="U1391" s="147" t="str">
        <f t="array" ref="U1391">IF(ISBLANK($R1391), IF($S1391,VLOOKUP($B1391+1,'RFR Data - preExcl'!$BF$2:$BG1679,2,FALSE),IF($T1391,INDEX('RFR Data - preExcl'!$BF$2:$BG1679,MATCH($B1391,'RFR Data - preExcl'!$BF$2:$BF1679,0)+1,2),VLOOKUP($B1391,'RFR Data - preExcl'!$BF$2:$BG1679,2,FALSE))),IFERROR(0/0,""))</f>
        <v/>
      </c>
      <c r="V1391" s="212" t="str">
        <f t="shared" si="5"/>
        <v>RUN-COMB_2022-07-13_RFR-077</v>
      </c>
      <c r="W1391" s="51"/>
      <c r="X1391" s="51"/>
      <c r="Y1391" s="147" t="str">
        <f t="shared" ref="Y1391:Z1391" si="2782">IF(_xlfn.ISFORMULA(S1391),IFERROR(0/0,""),TRUE)</f>
        <v/>
      </c>
      <c r="Z1391" s="147" t="str">
        <f t="shared" si="2782"/>
        <v/>
      </c>
    </row>
    <row r="1392">
      <c r="A1392" s="6" t="str">
        <f>IFERROR(__xludf.DUMMYFUNCTION("""COMPUTED_VALUE"""),"FM3695")</f>
        <v>FM3695</v>
      </c>
      <c r="B1392" s="206">
        <f>IFERROR(__xludf.DUMMYFUNCTION("""COMPUTED_VALUE"""),44755.0)</f>
        <v>44755</v>
      </c>
      <c r="C1392" s="207">
        <f>IFERROR(__xludf.DUMMYFUNCTION("""COMPUTED_VALUE"""),0.2988310185185185)</f>
        <v>0.2988310185</v>
      </c>
      <c r="D1392" s="50"/>
      <c r="E1392" s="58"/>
      <c r="F1392" s="58"/>
      <c r="G1392" s="58" t="str">
        <f>IFERROR(__xludf.DUMMYFUNCTION("""COMPUTED_VALUE"""),"Null")</f>
        <v>Null</v>
      </c>
      <c r="H1392" s="206" t="str">
        <f>IFERROR(__xludf.DUMMYFUNCTION("""COMPUTED_VALUE"""),"Negative")</f>
        <v>Negative</v>
      </c>
      <c r="I1392" s="207"/>
      <c r="J1392" s="50"/>
      <c r="K1392" s="50">
        <f>IFERROR(__xludf.DUMMYFUNCTION("""COMPUTED_VALUE"""),2.0)</f>
        <v>2</v>
      </c>
      <c r="L1392" s="6"/>
      <c r="M1392" s="55"/>
      <c r="N1392" s="55">
        <f>IFERROR(__xludf.DUMMYFUNCTION("""COMPUTED_VALUE"""),1.0)</f>
        <v>1</v>
      </c>
      <c r="O1392" s="55" t="str">
        <f t="shared" si="3"/>
        <v/>
      </c>
      <c r="P1392" s="209"/>
      <c r="Q1392" s="75" t="b">
        <f>VLOOKUP($B1392,'Run Reconcile'!B$2:P1679,15,FALSE)</f>
        <v>1</v>
      </c>
      <c r="R1392" s="211" t="str">
        <f t="array" ref="R1392">IF($Q1392, INDEX('Run Reconcile'!A$2:A1679,MATCH(B1392,'Run Reconcile'!B$2:B1679,0),1),IFERROR(0/0,""))</f>
        <v>RUN-COMB_2022-07-13_RFR-077</v>
      </c>
      <c r="S1392" s="165" t="str">
        <f t="shared" ref="S1392:T1392" si="2783">IF(COUNTIF(W$2:W1679, $A1392) &gt; 0,TRUE,IFERROR(0/0,""))</f>
        <v/>
      </c>
      <c r="T1392" s="165" t="str">
        <f t="shared" si="2783"/>
        <v/>
      </c>
      <c r="U1392" s="147" t="str">
        <f t="array" ref="U1392">IF(ISBLANK($R1392), IF($S1392,VLOOKUP($B1392+1,'RFR Data - preExcl'!$BF$2:$BG1679,2,FALSE),IF($T1392,INDEX('RFR Data - preExcl'!$BF$2:$BG1679,MATCH($B1392,'RFR Data - preExcl'!$BF$2:$BF1679,0)+1,2),VLOOKUP($B1392,'RFR Data - preExcl'!$BF$2:$BG1679,2,FALSE))),IFERROR(0/0,""))</f>
        <v/>
      </c>
      <c r="V1392" s="212" t="str">
        <f t="shared" si="5"/>
        <v>RUN-COMB_2022-07-13_RFR-077</v>
      </c>
      <c r="W1392" s="51"/>
      <c r="X1392" s="51"/>
      <c r="Y1392" s="147" t="str">
        <f t="shared" ref="Y1392:Z1392" si="2784">IF(_xlfn.ISFORMULA(S1392),IFERROR(0/0,""),TRUE)</f>
        <v/>
      </c>
      <c r="Z1392" s="147" t="str">
        <f t="shared" si="2784"/>
        <v/>
      </c>
    </row>
    <row r="1393">
      <c r="A1393" s="6" t="str">
        <f>IFERROR(__xludf.DUMMYFUNCTION("""COMPUTED_VALUE"""),"FM3682")</f>
        <v>FM3682</v>
      </c>
      <c r="B1393" s="206">
        <f>IFERROR(__xludf.DUMMYFUNCTION("""COMPUTED_VALUE"""),44755.0)</f>
        <v>44755</v>
      </c>
      <c r="C1393" s="207">
        <f>IFERROR(__xludf.DUMMYFUNCTION("""COMPUTED_VALUE"""),0.2992361111111111)</f>
        <v>0.2992361111</v>
      </c>
      <c r="D1393" s="50"/>
      <c r="E1393" s="58"/>
      <c r="F1393" s="58"/>
      <c r="G1393" s="58" t="str">
        <f>IFERROR(__xludf.DUMMYFUNCTION("""COMPUTED_VALUE"""),"Null")</f>
        <v>Null</v>
      </c>
      <c r="H1393" s="206" t="str">
        <f>IFERROR(__xludf.DUMMYFUNCTION("""COMPUTED_VALUE"""),"Negative")</f>
        <v>Negative</v>
      </c>
      <c r="I1393" s="207"/>
      <c r="J1393" s="50"/>
      <c r="K1393" s="50">
        <f>IFERROR(__xludf.DUMMYFUNCTION("""COMPUTED_VALUE"""),2.0)</f>
        <v>2</v>
      </c>
      <c r="L1393" s="6"/>
      <c r="M1393" s="55"/>
      <c r="N1393" s="55">
        <f>IFERROR(__xludf.DUMMYFUNCTION("""COMPUTED_VALUE"""),1.0)</f>
        <v>1</v>
      </c>
      <c r="O1393" s="55" t="str">
        <f t="shared" si="3"/>
        <v/>
      </c>
      <c r="P1393" s="209"/>
      <c r="Q1393" s="75" t="b">
        <f>VLOOKUP($B1393,'Run Reconcile'!B$2:P1679,15,FALSE)</f>
        <v>1</v>
      </c>
      <c r="R1393" s="211" t="str">
        <f t="array" ref="R1393">IF($Q1393, INDEX('Run Reconcile'!A$2:A1679,MATCH(B1393,'Run Reconcile'!B$2:B1679,0),1),IFERROR(0/0,""))</f>
        <v>RUN-COMB_2022-07-13_RFR-077</v>
      </c>
      <c r="S1393" s="165" t="str">
        <f t="shared" ref="S1393:T1393" si="2785">IF(COUNTIF(W$2:W1679, $A1393) &gt; 0,TRUE,IFERROR(0/0,""))</f>
        <v/>
      </c>
      <c r="T1393" s="165" t="str">
        <f t="shared" si="2785"/>
        <v/>
      </c>
      <c r="U1393" s="147" t="str">
        <f t="array" ref="U1393">IF(ISBLANK($R1393), IF($S1393,VLOOKUP($B1393+1,'RFR Data - preExcl'!$BF$2:$BG1679,2,FALSE),IF($T1393,INDEX('RFR Data - preExcl'!$BF$2:$BG1679,MATCH($B1393,'RFR Data - preExcl'!$BF$2:$BF1679,0)+1,2),VLOOKUP($B1393,'RFR Data - preExcl'!$BF$2:$BG1679,2,FALSE))),IFERROR(0/0,""))</f>
        <v/>
      </c>
      <c r="V1393" s="212" t="str">
        <f t="shared" si="5"/>
        <v>RUN-COMB_2022-07-13_RFR-077</v>
      </c>
      <c r="W1393" s="51"/>
      <c r="X1393" s="51"/>
      <c r="Y1393" s="147" t="str">
        <f t="shared" ref="Y1393:Z1393" si="2786">IF(_xlfn.ISFORMULA(S1393),IFERROR(0/0,""),TRUE)</f>
        <v/>
      </c>
      <c r="Z1393" s="147" t="str">
        <f t="shared" si="2786"/>
        <v/>
      </c>
    </row>
    <row r="1394">
      <c r="A1394" s="6" t="str">
        <f>IFERROR(__xludf.DUMMYFUNCTION("""COMPUTED_VALUE"""),"FM3714")</f>
        <v>FM3714</v>
      </c>
      <c r="B1394" s="206">
        <f>IFERROR(__xludf.DUMMYFUNCTION("""COMPUTED_VALUE"""),44755.0)</f>
        <v>44755</v>
      </c>
      <c r="C1394" s="207">
        <f>IFERROR(__xludf.DUMMYFUNCTION("""COMPUTED_VALUE"""),0.2995717592592593)</f>
        <v>0.2995717593</v>
      </c>
      <c r="D1394" s="50"/>
      <c r="E1394" s="58"/>
      <c r="F1394" s="58"/>
      <c r="G1394" s="58" t="str">
        <f>IFERROR(__xludf.DUMMYFUNCTION("""COMPUTED_VALUE"""),"Null")</f>
        <v>Null</v>
      </c>
      <c r="H1394" s="206" t="str">
        <f>IFERROR(__xludf.DUMMYFUNCTION("""COMPUTED_VALUE"""),"Negative")</f>
        <v>Negative</v>
      </c>
      <c r="I1394" s="207"/>
      <c r="J1394" s="50"/>
      <c r="K1394" s="50">
        <f>IFERROR(__xludf.DUMMYFUNCTION("""COMPUTED_VALUE"""),2.0)</f>
        <v>2</v>
      </c>
      <c r="L1394" s="6"/>
      <c r="M1394" s="55"/>
      <c r="N1394" s="55">
        <f>IFERROR(__xludf.DUMMYFUNCTION("""COMPUTED_VALUE"""),1.0)</f>
        <v>1</v>
      </c>
      <c r="O1394" s="55" t="str">
        <f t="shared" si="3"/>
        <v/>
      </c>
      <c r="P1394" s="209"/>
      <c r="Q1394" s="75" t="b">
        <f>VLOOKUP($B1394,'Run Reconcile'!B$2:P1679,15,FALSE)</f>
        <v>1</v>
      </c>
      <c r="R1394" s="211" t="str">
        <f t="array" ref="R1394">IF($Q1394, INDEX('Run Reconcile'!A$2:A1679,MATCH(B1394,'Run Reconcile'!B$2:B1679,0),1),IFERROR(0/0,""))</f>
        <v>RUN-COMB_2022-07-13_RFR-077</v>
      </c>
      <c r="S1394" s="165" t="str">
        <f t="shared" ref="S1394:T1394" si="2787">IF(COUNTIF(W$2:W1679, $A1394) &gt; 0,TRUE,IFERROR(0/0,""))</f>
        <v/>
      </c>
      <c r="T1394" s="165" t="str">
        <f t="shared" si="2787"/>
        <v/>
      </c>
      <c r="U1394" s="147" t="str">
        <f t="array" ref="U1394">IF(ISBLANK($R1394), IF($S1394,VLOOKUP($B1394+1,'RFR Data - preExcl'!$BF$2:$BG1679,2,FALSE),IF($T1394,INDEX('RFR Data - preExcl'!$BF$2:$BG1679,MATCH($B1394,'RFR Data - preExcl'!$BF$2:$BF1679,0)+1,2),VLOOKUP($B1394,'RFR Data - preExcl'!$BF$2:$BG1679,2,FALSE))),IFERROR(0/0,""))</f>
        <v/>
      </c>
      <c r="V1394" s="212" t="str">
        <f t="shared" si="5"/>
        <v>RUN-COMB_2022-07-13_RFR-077</v>
      </c>
      <c r="W1394" s="51"/>
      <c r="X1394" s="51"/>
      <c r="Y1394" s="147" t="str">
        <f t="shared" ref="Y1394:Z1394" si="2788">IF(_xlfn.ISFORMULA(S1394),IFERROR(0/0,""),TRUE)</f>
        <v/>
      </c>
      <c r="Z1394" s="147" t="str">
        <f t="shared" si="2788"/>
        <v/>
      </c>
    </row>
    <row r="1395">
      <c r="A1395" s="6" t="str">
        <f>IFERROR(__xludf.DUMMYFUNCTION("""COMPUTED_VALUE"""),"FM2609")</f>
        <v>FM2609</v>
      </c>
      <c r="B1395" s="206">
        <f>IFERROR(__xludf.DUMMYFUNCTION("""COMPUTED_VALUE"""),44755.0)</f>
        <v>44755</v>
      </c>
      <c r="C1395" s="207">
        <f>IFERROR(__xludf.DUMMYFUNCTION("""COMPUTED_VALUE"""),0.29984953703703704)</f>
        <v>0.299849537</v>
      </c>
      <c r="D1395" s="50"/>
      <c r="E1395" s="58"/>
      <c r="F1395" s="58"/>
      <c r="G1395" s="58" t="str">
        <f>IFERROR(__xludf.DUMMYFUNCTION("""COMPUTED_VALUE"""),"Null")</f>
        <v>Null</v>
      </c>
      <c r="H1395" s="206" t="str">
        <f>IFERROR(__xludf.DUMMYFUNCTION("""COMPUTED_VALUE"""),"Negative")</f>
        <v>Negative</v>
      </c>
      <c r="I1395" s="207"/>
      <c r="J1395" s="50"/>
      <c r="K1395" s="50">
        <f>IFERROR(__xludf.DUMMYFUNCTION("""COMPUTED_VALUE"""),2.0)</f>
        <v>2</v>
      </c>
      <c r="L1395" s="6"/>
      <c r="M1395" s="55"/>
      <c r="N1395" s="55">
        <f>IFERROR(__xludf.DUMMYFUNCTION("""COMPUTED_VALUE"""),1.0)</f>
        <v>1</v>
      </c>
      <c r="O1395" s="55" t="str">
        <f t="shared" si="3"/>
        <v/>
      </c>
      <c r="P1395" s="209"/>
      <c r="Q1395" s="75" t="b">
        <f>VLOOKUP($B1395,'Run Reconcile'!B$2:P1679,15,FALSE)</f>
        <v>1</v>
      </c>
      <c r="R1395" s="211" t="str">
        <f t="array" ref="R1395">IF($Q1395, INDEX('Run Reconcile'!A$2:A1679,MATCH(B1395,'Run Reconcile'!B$2:B1679,0),1),IFERROR(0/0,""))</f>
        <v>RUN-COMB_2022-07-13_RFR-077</v>
      </c>
      <c r="S1395" s="165" t="str">
        <f t="shared" ref="S1395:T1395" si="2789">IF(COUNTIF(W$2:W1679, $A1395) &gt; 0,TRUE,IFERROR(0/0,""))</f>
        <v/>
      </c>
      <c r="T1395" s="165" t="str">
        <f t="shared" si="2789"/>
        <v/>
      </c>
      <c r="U1395" s="147" t="str">
        <f t="array" ref="U1395">IF(ISBLANK($R1395), IF($S1395,VLOOKUP($B1395+1,'RFR Data - preExcl'!$BF$2:$BG1679,2,FALSE),IF($T1395,INDEX('RFR Data - preExcl'!$BF$2:$BG1679,MATCH($B1395,'RFR Data - preExcl'!$BF$2:$BF1679,0)+1,2),VLOOKUP($B1395,'RFR Data - preExcl'!$BF$2:$BG1679,2,FALSE))),IFERROR(0/0,""))</f>
        <v/>
      </c>
      <c r="V1395" s="212" t="str">
        <f t="shared" si="5"/>
        <v>RUN-COMB_2022-07-13_RFR-077</v>
      </c>
      <c r="W1395" s="51"/>
      <c r="X1395" s="51"/>
      <c r="Y1395" s="147" t="str">
        <f t="shared" ref="Y1395:Z1395" si="2790">IF(_xlfn.ISFORMULA(S1395),IFERROR(0/0,""),TRUE)</f>
        <v/>
      </c>
      <c r="Z1395" s="147" t="str">
        <f t="shared" si="2790"/>
        <v/>
      </c>
    </row>
    <row r="1396">
      <c r="A1396" s="6" t="str">
        <f>IFERROR(__xludf.DUMMYFUNCTION("""COMPUTED_VALUE"""),"FM2629")</f>
        <v>FM2629</v>
      </c>
      <c r="B1396" s="206">
        <f>IFERROR(__xludf.DUMMYFUNCTION("""COMPUTED_VALUE"""),44755.0)</f>
        <v>44755</v>
      </c>
      <c r="C1396" s="207">
        <f>IFERROR(__xludf.DUMMYFUNCTION("""COMPUTED_VALUE"""),0.30018518518518517)</f>
        <v>0.3001851852</v>
      </c>
      <c r="D1396" s="50"/>
      <c r="E1396" s="58"/>
      <c r="F1396" s="58"/>
      <c r="G1396" s="58" t="str">
        <f>IFERROR(__xludf.DUMMYFUNCTION("""COMPUTED_VALUE"""),"Null")</f>
        <v>Null</v>
      </c>
      <c r="H1396" s="206" t="str">
        <f>IFERROR(__xludf.DUMMYFUNCTION("""COMPUTED_VALUE"""),"Negative")</f>
        <v>Negative</v>
      </c>
      <c r="I1396" s="207"/>
      <c r="J1396" s="50"/>
      <c r="K1396" s="50">
        <f>IFERROR(__xludf.DUMMYFUNCTION("""COMPUTED_VALUE"""),2.0)</f>
        <v>2</v>
      </c>
      <c r="L1396" s="6"/>
      <c r="M1396" s="55"/>
      <c r="N1396" s="55">
        <f>IFERROR(__xludf.DUMMYFUNCTION("""COMPUTED_VALUE"""),1.0)</f>
        <v>1</v>
      </c>
      <c r="O1396" s="55" t="str">
        <f t="shared" si="3"/>
        <v/>
      </c>
      <c r="P1396" s="209"/>
      <c r="Q1396" s="75" t="b">
        <f>VLOOKUP($B1396,'Run Reconcile'!B$2:P1679,15,FALSE)</f>
        <v>1</v>
      </c>
      <c r="R1396" s="211" t="str">
        <f t="array" ref="R1396">IF($Q1396, INDEX('Run Reconcile'!A$2:A1679,MATCH(B1396,'Run Reconcile'!B$2:B1679,0),1),IFERROR(0/0,""))</f>
        <v>RUN-COMB_2022-07-13_RFR-077</v>
      </c>
      <c r="S1396" s="165" t="str">
        <f t="shared" ref="S1396:T1396" si="2791">IF(COUNTIF(W$2:W1679, $A1396) &gt; 0,TRUE,IFERROR(0/0,""))</f>
        <v/>
      </c>
      <c r="T1396" s="165" t="str">
        <f t="shared" si="2791"/>
        <v/>
      </c>
      <c r="U1396" s="147" t="str">
        <f t="array" ref="U1396">IF(ISBLANK($R1396), IF($S1396,VLOOKUP($B1396+1,'RFR Data - preExcl'!$BF$2:$BG1679,2,FALSE),IF($T1396,INDEX('RFR Data - preExcl'!$BF$2:$BG1679,MATCH($B1396,'RFR Data - preExcl'!$BF$2:$BF1679,0)+1,2),VLOOKUP($B1396,'RFR Data - preExcl'!$BF$2:$BG1679,2,FALSE))),IFERROR(0/0,""))</f>
        <v/>
      </c>
      <c r="V1396" s="212" t="str">
        <f t="shared" si="5"/>
        <v>RUN-COMB_2022-07-13_RFR-077</v>
      </c>
      <c r="W1396" s="51"/>
      <c r="X1396" s="51"/>
      <c r="Y1396" s="147" t="str">
        <f t="shared" ref="Y1396:Z1396" si="2792">IF(_xlfn.ISFORMULA(S1396),IFERROR(0/0,""),TRUE)</f>
        <v/>
      </c>
      <c r="Z1396" s="147" t="str">
        <f t="shared" si="2792"/>
        <v/>
      </c>
    </row>
    <row r="1397">
      <c r="A1397" s="6" t="str">
        <f>IFERROR(__xludf.DUMMYFUNCTION("""COMPUTED_VALUE"""),"FM3713")</f>
        <v>FM3713</v>
      </c>
      <c r="B1397" s="206">
        <f>IFERROR(__xludf.DUMMYFUNCTION("""COMPUTED_VALUE"""),44755.0)</f>
        <v>44755</v>
      </c>
      <c r="C1397" s="207">
        <f>IFERROR(__xludf.DUMMYFUNCTION("""COMPUTED_VALUE"""),0.3005324074074074)</f>
        <v>0.3005324074</v>
      </c>
      <c r="D1397" s="50"/>
      <c r="E1397" s="58"/>
      <c r="F1397" s="58"/>
      <c r="G1397" s="58" t="str">
        <f>IFERROR(__xludf.DUMMYFUNCTION("""COMPUTED_VALUE"""),"Null")</f>
        <v>Null</v>
      </c>
      <c r="H1397" s="206" t="str">
        <f>IFERROR(__xludf.DUMMYFUNCTION("""COMPUTED_VALUE"""),"Negative")</f>
        <v>Negative</v>
      </c>
      <c r="I1397" s="207"/>
      <c r="J1397" s="50"/>
      <c r="K1397" s="50">
        <f>IFERROR(__xludf.DUMMYFUNCTION("""COMPUTED_VALUE"""),2.0)</f>
        <v>2</v>
      </c>
      <c r="L1397" s="6"/>
      <c r="M1397" s="55"/>
      <c r="N1397" s="55">
        <f>IFERROR(__xludf.DUMMYFUNCTION("""COMPUTED_VALUE"""),1.0)</f>
        <v>1</v>
      </c>
      <c r="O1397" s="55" t="str">
        <f t="shared" si="3"/>
        <v/>
      </c>
      <c r="P1397" s="209"/>
      <c r="Q1397" s="75" t="b">
        <f>VLOOKUP($B1397,'Run Reconcile'!B$2:P1679,15,FALSE)</f>
        <v>1</v>
      </c>
      <c r="R1397" s="211" t="str">
        <f t="array" ref="R1397">IF($Q1397, INDEX('Run Reconcile'!A$2:A1679,MATCH(B1397,'Run Reconcile'!B$2:B1679,0),1),IFERROR(0/0,""))</f>
        <v>RUN-COMB_2022-07-13_RFR-077</v>
      </c>
      <c r="S1397" s="165" t="str">
        <f t="shared" ref="S1397:T1397" si="2793">IF(COUNTIF(W$2:W1679, $A1397) &gt; 0,TRUE,IFERROR(0/0,""))</f>
        <v/>
      </c>
      <c r="T1397" s="165" t="str">
        <f t="shared" si="2793"/>
        <v/>
      </c>
      <c r="U1397" s="147" t="str">
        <f t="array" ref="U1397">IF(ISBLANK($R1397), IF($S1397,VLOOKUP($B1397+1,'RFR Data - preExcl'!$BF$2:$BG1679,2,FALSE),IF($T1397,INDEX('RFR Data - preExcl'!$BF$2:$BG1679,MATCH($B1397,'RFR Data - preExcl'!$BF$2:$BF1679,0)+1,2),VLOOKUP($B1397,'RFR Data - preExcl'!$BF$2:$BG1679,2,FALSE))),IFERROR(0/0,""))</f>
        <v/>
      </c>
      <c r="V1397" s="212" t="str">
        <f t="shared" si="5"/>
        <v>RUN-COMB_2022-07-13_RFR-077</v>
      </c>
      <c r="W1397" s="51"/>
      <c r="X1397" s="51"/>
      <c r="Y1397" s="147" t="str">
        <f t="shared" ref="Y1397:Z1397" si="2794">IF(_xlfn.ISFORMULA(S1397),IFERROR(0/0,""),TRUE)</f>
        <v/>
      </c>
      <c r="Z1397" s="147" t="str">
        <f t="shared" si="2794"/>
        <v/>
      </c>
    </row>
    <row r="1398">
      <c r="A1398" s="6" t="str">
        <f>IFERROR(__xludf.DUMMYFUNCTION("""COMPUTED_VALUE"""),"FM2569")</f>
        <v>FM2569</v>
      </c>
      <c r="B1398" s="206">
        <f>IFERROR(__xludf.DUMMYFUNCTION("""COMPUTED_VALUE"""),44755.0)</f>
        <v>44755</v>
      </c>
      <c r="C1398" s="207">
        <f>IFERROR(__xludf.DUMMYFUNCTION("""COMPUTED_VALUE"""),0.30083333333333334)</f>
        <v>0.3008333333</v>
      </c>
      <c r="D1398" s="50"/>
      <c r="E1398" s="58"/>
      <c r="F1398" s="58"/>
      <c r="G1398" s="58" t="str">
        <f>IFERROR(__xludf.DUMMYFUNCTION("""COMPUTED_VALUE"""),"Null")</f>
        <v>Null</v>
      </c>
      <c r="H1398" s="206" t="str">
        <f>IFERROR(__xludf.DUMMYFUNCTION("""COMPUTED_VALUE"""),"Negative")</f>
        <v>Negative</v>
      </c>
      <c r="I1398" s="207"/>
      <c r="J1398" s="50"/>
      <c r="K1398" s="50">
        <f>IFERROR(__xludf.DUMMYFUNCTION("""COMPUTED_VALUE"""),2.0)</f>
        <v>2</v>
      </c>
      <c r="L1398" s="6"/>
      <c r="M1398" s="55"/>
      <c r="N1398" s="55">
        <f>IFERROR(__xludf.DUMMYFUNCTION("""COMPUTED_VALUE"""),1.0)</f>
        <v>1</v>
      </c>
      <c r="O1398" s="55" t="str">
        <f t="shared" si="3"/>
        <v/>
      </c>
      <c r="P1398" s="209"/>
      <c r="Q1398" s="75" t="b">
        <f>VLOOKUP($B1398,'Run Reconcile'!B$2:P1679,15,FALSE)</f>
        <v>1</v>
      </c>
      <c r="R1398" s="211" t="str">
        <f t="array" ref="R1398">IF($Q1398, INDEX('Run Reconcile'!A$2:A1679,MATCH(B1398,'Run Reconcile'!B$2:B1679,0),1),IFERROR(0/0,""))</f>
        <v>RUN-COMB_2022-07-13_RFR-077</v>
      </c>
      <c r="S1398" s="165" t="str">
        <f t="shared" ref="S1398:T1398" si="2795">IF(COUNTIF(W$2:W1679, $A1398) &gt; 0,TRUE,IFERROR(0/0,""))</f>
        <v/>
      </c>
      <c r="T1398" s="165" t="str">
        <f t="shared" si="2795"/>
        <v/>
      </c>
      <c r="U1398" s="147" t="str">
        <f t="array" ref="U1398">IF(ISBLANK($R1398), IF($S1398,VLOOKUP($B1398+1,'RFR Data - preExcl'!$BF$2:$BG1679,2,FALSE),IF($T1398,INDEX('RFR Data - preExcl'!$BF$2:$BG1679,MATCH($B1398,'RFR Data - preExcl'!$BF$2:$BF1679,0)+1,2),VLOOKUP($B1398,'RFR Data - preExcl'!$BF$2:$BG1679,2,FALSE))),IFERROR(0/0,""))</f>
        <v/>
      </c>
      <c r="V1398" s="212" t="str">
        <f t="shared" si="5"/>
        <v>RUN-COMB_2022-07-13_RFR-077</v>
      </c>
      <c r="W1398" s="51"/>
      <c r="X1398" s="51"/>
      <c r="Y1398" s="147" t="str">
        <f t="shared" ref="Y1398:Z1398" si="2796">IF(_xlfn.ISFORMULA(S1398),IFERROR(0/0,""),TRUE)</f>
        <v/>
      </c>
      <c r="Z1398" s="147" t="str">
        <f t="shared" si="2796"/>
        <v/>
      </c>
    </row>
    <row r="1399">
      <c r="A1399" s="6" t="str">
        <f>IFERROR(__xludf.DUMMYFUNCTION("""COMPUTED_VALUE"""),"FM3823")</f>
        <v>FM3823</v>
      </c>
      <c r="B1399" s="206">
        <f>IFERROR(__xludf.DUMMYFUNCTION("""COMPUTED_VALUE"""),44755.0)</f>
        <v>44755</v>
      </c>
      <c r="C1399" s="207">
        <f>IFERROR(__xludf.DUMMYFUNCTION("""COMPUTED_VALUE"""),0.30116898148148147)</f>
        <v>0.3011689815</v>
      </c>
      <c r="D1399" s="50"/>
      <c r="E1399" s="58"/>
      <c r="F1399" s="58"/>
      <c r="G1399" s="58" t="str">
        <f>IFERROR(__xludf.DUMMYFUNCTION("""COMPUTED_VALUE"""),"Null")</f>
        <v>Null</v>
      </c>
      <c r="H1399" s="206" t="str">
        <f>IFERROR(__xludf.DUMMYFUNCTION("""COMPUTED_VALUE"""),"Negative")</f>
        <v>Negative</v>
      </c>
      <c r="I1399" s="207"/>
      <c r="J1399" s="50"/>
      <c r="K1399" s="50">
        <f>IFERROR(__xludf.DUMMYFUNCTION("""COMPUTED_VALUE"""),2.0)</f>
        <v>2</v>
      </c>
      <c r="L1399" s="6"/>
      <c r="M1399" s="55"/>
      <c r="N1399" s="55">
        <f>IFERROR(__xludf.DUMMYFUNCTION("""COMPUTED_VALUE"""),1.0)</f>
        <v>1</v>
      </c>
      <c r="O1399" s="55" t="str">
        <f t="shared" si="3"/>
        <v/>
      </c>
      <c r="P1399" s="209"/>
      <c r="Q1399" s="75" t="b">
        <f>VLOOKUP($B1399,'Run Reconcile'!B$2:P1679,15,FALSE)</f>
        <v>1</v>
      </c>
      <c r="R1399" s="211" t="str">
        <f t="array" ref="R1399">IF($Q1399, INDEX('Run Reconcile'!A$2:A1679,MATCH(B1399,'Run Reconcile'!B$2:B1679,0),1),IFERROR(0/0,""))</f>
        <v>RUN-COMB_2022-07-13_RFR-077</v>
      </c>
      <c r="S1399" s="165" t="str">
        <f t="shared" ref="S1399:T1399" si="2797">IF(COUNTIF(W$2:W1679, $A1399) &gt; 0,TRUE,IFERROR(0/0,""))</f>
        <v/>
      </c>
      <c r="T1399" s="165" t="str">
        <f t="shared" si="2797"/>
        <v/>
      </c>
      <c r="U1399" s="147" t="str">
        <f t="array" ref="U1399">IF(ISBLANK($R1399), IF($S1399,VLOOKUP($B1399+1,'RFR Data - preExcl'!$BF$2:$BG1679,2,FALSE),IF($T1399,INDEX('RFR Data - preExcl'!$BF$2:$BG1679,MATCH($B1399,'RFR Data - preExcl'!$BF$2:$BF1679,0)+1,2),VLOOKUP($B1399,'RFR Data - preExcl'!$BF$2:$BG1679,2,FALSE))),IFERROR(0/0,""))</f>
        <v/>
      </c>
      <c r="V1399" s="212" t="str">
        <f t="shared" si="5"/>
        <v>RUN-COMB_2022-07-13_RFR-077</v>
      </c>
      <c r="W1399" s="51"/>
      <c r="X1399" s="51"/>
      <c r="Y1399" s="147" t="str">
        <f t="shared" ref="Y1399:Z1399" si="2798">IF(_xlfn.ISFORMULA(S1399),IFERROR(0/0,""),TRUE)</f>
        <v/>
      </c>
      <c r="Z1399" s="147" t="str">
        <f t="shared" si="2798"/>
        <v/>
      </c>
    </row>
    <row r="1400">
      <c r="A1400" s="6" t="str">
        <f>IFERROR(__xludf.DUMMYFUNCTION("""COMPUTED_VALUE"""),"FM3715")</f>
        <v>FM3715</v>
      </c>
      <c r="B1400" s="206">
        <f>IFERROR(__xludf.DUMMYFUNCTION("""COMPUTED_VALUE"""),44755.0)</f>
        <v>44755</v>
      </c>
      <c r="C1400" s="207">
        <f>IFERROR(__xludf.DUMMYFUNCTION("""COMPUTED_VALUE"""),0.3014699074074074)</f>
        <v>0.3014699074</v>
      </c>
      <c r="D1400" s="50"/>
      <c r="E1400" s="58"/>
      <c r="F1400" s="58"/>
      <c r="G1400" s="58" t="str">
        <f>IFERROR(__xludf.DUMMYFUNCTION("""COMPUTED_VALUE"""),"Null")</f>
        <v>Null</v>
      </c>
      <c r="H1400" s="206" t="str">
        <f>IFERROR(__xludf.DUMMYFUNCTION("""COMPUTED_VALUE"""),"Negative")</f>
        <v>Negative</v>
      </c>
      <c r="I1400" s="207"/>
      <c r="J1400" s="50"/>
      <c r="K1400" s="50">
        <f>IFERROR(__xludf.DUMMYFUNCTION("""COMPUTED_VALUE"""),2.0)</f>
        <v>2</v>
      </c>
      <c r="L1400" s="6"/>
      <c r="M1400" s="55"/>
      <c r="N1400" s="55">
        <f>IFERROR(__xludf.DUMMYFUNCTION("""COMPUTED_VALUE"""),1.0)</f>
        <v>1</v>
      </c>
      <c r="O1400" s="55" t="str">
        <f t="shared" si="3"/>
        <v/>
      </c>
      <c r="P1400" s="209"/>
      <c r="Q1400" s="75" t="b">
        <f>VLOOKUP($B1400,'Run Reconcile'!B$2:P1679,15,FALSE)</f>
        <v>1</v>
      </c>
      <c r="R1400" s="211" t="str">
        <f t="array" ref="R1400">IF($Q1400, INDEX('Run Reconcile'!A$2:A1679,MATCH(B1400,'Run Reconcile'!B$2:B1679,0),1),IFERROR(0/0,""))</f>
        <v>RUN-COMB_2022-07-13_RFR-077</v>
      </c>
      <c r="S1400" s="165" t="str">
        <f t="shared" ref="S1400:T1400" si="2799">IF(COUNTIF(W$2:W1679, $A1400) &gt; 0,TRUE,IFERROR(0/0,""))</f>
        <v/>
      </c>
      <c r="T1400" s="165" t="str">
        <f t="shared" si="2799"/>
        <v/>
      </c>
      <c r="U1400" s="147" t="str">
        <f t="array" ref="U1400">IF(ISBLANK($R1400), IF($S1400,VLOOKUP($B1400+1,'RFR Data - preExcl'!$BF$2:$BG1679,2,FALSE),IF($T1400,INDEX('RFR Data - preExcl'!$BF$2:$BG1679,MATCH($B1400,'RFR Data - preExcl'!$BF$2:$BF1679,0)+1,2),VLOOKUP($B1400,'RFR Data - preExcl'!$BF$2:$BG1679,2,FALSE))),IFERROR(0/0,""))</f>
        <v/>
      </c>
      <c r="V1400" s="212" t="str">
        <f t="shared" si="5"/>
        <v>RUN-COMB_2022-07-13_RFR-077</v>
      </c>
      <c r="W1400" s="51"/>
      <c r="X1400" s="51"/>
      <c r="Y1400" s="147" t="str">
        <f t="shared" ref="Y1400:Z1400" si="2800">IF(_xlfn.ISFORMULA(S1400),IFERROR(0/0,""),TRUE)</f>
        <v/>
      </c>
      <c r="Z1400" s="147" t="str">
        <f t="shared" si="2800"/>
        <v/>
      </c>
    </row>
    <row r="1401">
      <c r="A1401" s="6" t="str">
        <f>IFERROR(__xludf.DUMMYFUNCTION("""COMPUTED_VALUE"""),"FM3783")</f>
        <v>FM3783</v>
      </c>
      <c r="B1401" s="206">
        <f>IFERROR(__xludf.DUMMYFUNCTION("""COMPUTED_VALUE"""),44755.0)</f>
        <v>44755</v>
      </c>
      <c r="C1401" s="207">
        <f>IFERROR(__xludf.DUMMYFUNCTION("""COMPUTED_VALUE"""),0.3017708333333333)</f>
        <v>0.3017708333</v>
      </c>
      <c r="D1401" s="50"/>
      <c r="E1401" s="58"/>
      <c r="F1401" s="58"/>
      <c r="G1401" s="58" t="str">
        <f>IFERROR(__xludf.DUMMYFUNCTION("""COMPUTED_VALUE"""),"Null")</f>
        <v>Null</v>
      </c>
      <c r="H1401" s="206" t="str">
        <f>IFERROR(__xludf.DUMMYFUNCTION("""COMPUTED_VALUE"""),"Negative")</f>
        <v>Negative</v>
      </c>
      <c r="I1401" s="207"/>
      <c r="J1401" s="50"/>
      <c r="K1401" s="50">
        <f>IFERROR(__xludf.DUMMYFUNCTION("""COMPUTED_VALUE"""),2.0)</f>
        <v>2</v>
      </c>
      <c r="L1401" s="6"/>
      <c r="M1401" s="55"/>
      <c r="N1401" s="55">
        <f>IFERROR(__xludf.DUMMYFUNCTION("""COMPUTED_VALUE"""),1.0)</f>
        <v>1</v>
      </c>
      <c r="O1401" s="55" t="str">
        <f t="shared" si="3"/>
        <v/>
      </c>
      <c r="P1401" s="209"/>
      <c r="Q1401" s="75" t="b">
        <f>VLOOKUP($B1401,'Run Reconcile'!B$2:P1679,15,FALSE)</f>
        <v>1</v>
      </c>
      <c r="R1401" s="211" t="str">
        <f t="array" ref="R1401">IF($Q1401, INDEX('Run Reconcile'!A$2:A1679,MATCH(B1401,'Run Reconcile'!B$2:B1679,0),1),IFERROR(0/0,""))</f>
        <v>RUN-COMB_2022-07-13_RFR-077</v>
      </c>
      <c r="S1401" s="165" t="str">
        <f t="shared" ref="S1401:T1401" si="2801">IF(COUNTIF(W$2:W1679, $A1401) &gt; 0,TRUE,IFERROR(0/0,""))</f>
        <v/>
      </c>
      <c r="T1401" s="165" t="str">
        <f t="shared" si="2801"/>
        <v/>
      </c>
      <c r="U1401" s="147" t="str">
        <f t="array" ref="U1401">IF(ISBLANK($R1401), IF($S1401,VLOOKUP($B1401+1,'RFR Data - preExcl'!$BF$2:$BG1679,2,FALSE),IF($T1401,INDEX('RFR Data - preExcl'!$BF$2:$BG1679,MATCH($B1401,'RFR Data - preExcl'!$BF$2:$BF1679,0)+1,2),VLOOKUP($B1401,'RFR Data - preExcl'!$BF$2:$BG1679,2,FALSE))),IFERROR(0/0,""))</f>
        <v/>
      </c>
      <c r="V1401" s="212" t="str">
        <f t="shared" si="5"/>
        <v>RUN-COMB_2022-07-13_RFR-077</v>
      </c>
      <c r="W1401" s="51"/>
      <c r="X1401" s="51"/>
      <c r="Y1401" s="147" t="str">
        <f t="shared" ref="Y1401:Z1401" si="2802">IF(_xlfn.ISFORMULA(S1401),IFERROR(0/0,""),TRUE)</f>
        <v/>
      </c>
      <c r="Z1401" s="147" t="str">
        <f t="shared" si="2802"/>
        <v/>
      </c>
    </row>
    <row r="1402">
      <c r="A1402" s="6" t="str">
        <f>IFERROR(__xludf.DUMMYFUNCTION("""COMPUTED_VALUE"""),"FM3704")</f>
        <v>FM3704</v>
      </c>
      <c r="B1402" s="206">
        <f>IFERROR(__xludf.DUMMYFUNCTION("""COMPUTED_VALUE"""),44756.0)</f>
        <v>44756</v>
      </c>
      <c r="C1402" s="207">
        <f>IFERROR(__xludf.DUMMYFUNCTION("""COMPUTED_VALUE"""),0.6199074074074075)</f>
        <v>0.6199074074</v>
      </c>
      <c r="D1402" s="50"/>
      <c r="E1402" s="58"/>
      <c r="F1402" s="58"/>
      <c r="G1402" s="58" t="str">
        <f>IFERROR(__xludf.DUMMYFUNCTION("""COMPUTED_VALUE"""),"Null")</f>
        <v>Null</v>
      </c>
      <c r="H1402" s="206" t="str">
        <f>IFERROR(__xludf.DUMMYFUNCTION("""COMPUTED_VALUE"""),"Negative")</f>
        <v>Negative</v>
      </c>
      <c r="I1402" s="207"/>
      <c r="J1402" s="50"/>
      <c r="K1402" s="50">
        <f>IFERROR(__xludf.DUMMYFUNCTION("""COMPUTED_VALUE"""),2.0)</f>
        <v>2</v>
      </c>
      <c r="L1402" s="6"/>
      <c r="M1402" s="55"/>
      <c r="N1402" s="55">
        <f>IFERROR(__xludf.DUMMYFUNCTION("""COMPUTED_VALUE"""),1.0)</f>
        <v>1</v>
      </c>
      <c r="O1402" s="55" t="b">
        <f t="shared" si="3"/>
        <v>1</v>
      </c>
      <c r="P1402" s="209"/>
      <c r="Q1402" s="75" t="b">
        <f>VLOOKUP($B1402,'Run Reconcile'!B$2:P1679,15,FALSE)</f>
        <v>1</v>
      </c>
      <c r="R1402" s="211" t="str">
        <f t="array" ref="R1402">IF($Q1402, INDEX('Run Reconcile'!A$2:A1679,MATCH(B1402,'Run Reconcile'!B$2:B1679,0),1),IFERROR(0/0,""))</f>
        <v>RUN-COMB_2022-07-14_RFR-078</v>
      </c>
      <c r="S1402" s="165" t="str">
        <f t="shared" ref="S1402:T1402" si="2803">IF(COUNTIF(W$2:W1679, $A1402) &gt; 0,TRUE,IFERROR(0/0,""))</f>
        <v/>
      </c>
      <c r="T1402" s="165" t="str">
        <f t="shared" si="2803"/>
        <v/>
      </c>
      <c r="U1402" s="147" t="str">
        <f t="array" ref="U1402">IF(ISBLANK($R1402), IF($S1402,VLOOKUP($B1402+1,'RFR Data - preExcl'!$BF$2:$BG1679,2,FALSE),IF($T1402,INDEX('RFR Data - preExcl'!$BF$2:$BG1679,MATCH($B1402,'RFR Data - preExcl'!$BF$2:$BF1679,0)+1,2),VLOOKUP($B1402,'RFR Data - preExcl'!$BF$2:$BG1679,2,FALSE))),IFERROR(0/0,""))</f>
        <v/>
      </c>
      <c r="V1402" s="212" t="str">
        <f t="shared" si="5"/>
        <v>RUN-COMB_2022-07-14_RFR-078</v>
      </c>
      <c r="W1402" s="51"/>
      <c r="X1402" s="51"/>
      <c r="Y1402" s="147" t="str">
        <f t="shared" ref="Y1402:Z1402" si="2804">IF(_xlfn.ISFORMULA(S1402),IFERROR(0/0,""),TRUE)</f>
        <v/>
      </c>
      <c r="Z1402" s="147" t="str">
        <f t="shared" si="2804"/>
        <v/>
      </c>
    </row>
    <row r="1403">
      <c r="A1403" s="6" t="str">
        <f>IFERROR(__xludf.DUMMYFUNCTION("""COMPUTED_VALUE"""),"FM3699")</f>
        <v>FM3699</v>
      </c>
      <c r="B1403" s="206">
        <f>IFERROR(__xludf.DUMMYFUNCTION("""COMPUTED_VALUE"""),44756.0)</f>
        <v>44756</v>
      </c>
      <c r="C1403" s="207">
        <f>IFERROR(__xludf.DUMMYFUNCTION("""COMPUTED_VALUE"""),0.6203125)</f>
        <v>0.6203125</v>
      </c>
      <c r="D1403" s="50"/>
      <c r="E1403" s="58"/>
      <c r="F1403" s="58"/>
      <c r="G1403" s="58" t="str">
        <f>IFERROR(__xludf.DUMMYFUNCTION("""COMPUTED_VALUE"""),"Null")</f>
        <v>Null</v>
      </c>
      <c r="H1403" s="206" t="str">
        <f>IFERROR(__xludf.DUMMYFUNCTION("""COMPUTED_VALUE"""),"Negative")</f>
        <v>Negative</v>
      </c>
      <c r="I1403" s="207"/>
      <c r="J1403" s="50"/>
      <c r="K1403" s="50">
        <f>IFERROR(__xludf.DUMMYFUNCTION("""COMPUTED_VALUE"""),2.0)</f>
        <v>2</v>
      </c>
      <c r="L1403" s="6"/>
      <c r="M1403" s="55"/>
      <c r="N1403" s="55">
        <f>IFERROR(__xludf.DUMMYFUNCTION("""COMPUTED_VALUE"""),1.0)</f>
        <v>1</v>
      </c>
      <c r="O1403" s="55" t="str">
        <f t="shared" si="3"/>
        <v/>
      </c>
      <c r="P1403" s="209"/>
      <c r="Q1403" s="75" t="b">
        <f>VLOOKUP($B1403,'Run Reconcile'!B$2:P1679,15,FALSE)</f>
        <v>1</v>
      </c>
      <c r="R1403" s="211" t="str">
        <f t="array" ref="R1403">IF($Q1403, INDEX('Run Reconcile'!A$2:A1679,MATCH(B1403,'Run Reconcile'!B$2:B1679,0),1),IFERROR(0/0,""))</f>
        <v>RUN-COMB_2022-07-14_RFR-078</v>
      </c>
      <c r="S1403" s="165" t="str">
        <f t="shared" ref="S1403:T1403" si="2805">IF(COUNTIF(W$2:W1679, $A1403) &gt; 0,TRUE,IFERROR(0/0,""))</f>
        <v/>
      </c>
      <c r="T1403" s="165" t="str">
        <f t="shared" si="2805"/>
        <v/>
      </c>
      <c r="U1403" s="147" t="str">
        <f t="array" ref="U1403">IF(ISBLANK($R1403), IF($S1403,VLOOKUP($B1403+1,'RFR Data - preExcl'!$BF$2:$BG1679,2,FALSE),IF($T1403,INDEX('RFR Data - preExcl'!$BF$2:$BG1679,MATCH($B1403,'RFR Data - preExcl'!$BF$2:$BF1679,0)+1,2),VLOOKUP($B1403,'RFR Data - preExcl'!$BF$2:$BG1679,2,FALSE))),IFERROR(0/0,""))</f>
        <v/>
      </c>
      <c r="V1403" s="212" t="str">
        <f t="shared" si="5"/>
        <v>RUN-COMB_2022-07-14_RFR-078</v>
      </c>
      <c r="W1403" s="51"/>
      <c r="X1403" s="51"/>
      <c r="Y1403" s="147" t="str">
        <f t="shared" ref="Y1403:Z1403" si="2806">IF(_xlfn.ISFORMULA(S1403),IFERROR(0/0,""),TRUE)</f>
        <v/>
      </c>
      <c r="Z1403" s="147" t="str">
        <f t="shared" si="2806"/>
        <v/>
      </c>
    </row>
    <row r="1404">
      <c r="A1404" s="6" t="str">
        <f>IFERROR(__xludf.DUMMYFUNCTION("""COMPUTED_VALUE"""),"FM2578")</f>
        <v>FM2578</v>
      </c>
      <c r="B1404" s="206">
        <f>IFERROR(__xludf.DUMMYFUNCTION("""COMPUTED_VALUE"""),44756.0)</f>
        <v>44756</v>
      </c>
      <c r="C1404" s="207">
        <f>IFERROR(__xludf.DUMMYFUNCTION("""COMPUTED_VALUE"""),0.6208680555555556)</f>
        <v>0.6208680556</v>
      </c>
      <c r="D1404" s="50"/>
      <c r="E1404" s="58"/>
      <c r="F1404" s="58"/>
      <c r="G1404" s="58" t="str">
        <f>IFERROR(__xludf.DUMMYFUNCTION("""COMPUTED_VALUE"""),"Null")</f>
        <v>Null</v>
      </c>
      <c r="H1404" s="206" t="str">
        <f>IFERROR(__xludf.DUMMYFUNCTION("""COMPUTED_VALUE"""),"Negative")</f>
        <v>Negative</v>
      </c>
      <c r="I1404" s="207"/>
      <c r="J1404" s="50"/>
      <c r="K1404" s="50">
        <f>IFERROR(__xludf.DUMMYFUNCTION("""COMPUTED_VALUE"""),2.0)</f>
        <v>2</v>
      </c>
      <c r="L1404" s="6"/>
      <c r="M1404" s="55"/>
      <c r="N1404" s="55">
        <f>IFERROR(__xludf.DUMMYFUNCTION("""COMPUTED_VALUE"""),1.0)</f>
        <v>1</v>
      </c>
      <c r="O1404" s="55" t="str">
        <f t="shared" si="3"/>
        <v/>
      </c>
      <c r="P1404" s="209"/>
      <c r="Q1404" s="75" t="b">
        <f>VLOOKUP($B1404,'Run Reconcile'!B$2:P1679,15,FALSE)</f>
        <v>1</v>
      </c>
      <c r="R1404" s="211" t="str">
        <f t="array" ref="R1404">IF($Q1404, INDEX('Run Reconcile'!A$2:A1679,MATCH(B1404,'Run Reconcile'!B$2:B1679,0),1),IFERROR(0/0,""))</f>
        <v>RUN-COMB_2022-07-14_RFR-078</v>
      </c>
      <c r="S1404" s="165" t="str">
        <f t="shared" ref="S1404:T1404" si="2807">IF(COUNTIF(W$2:W1679, $A1404) &gt; 0,TRUE,IFERROR(0/0,""))</f>
        <v/>
      </c>
      <c r="T1404" s="165" t="str">
        <f t="shared" si="2807"/>
        <v/>
      </c>
      <c r="U1404" s="147" t="str">
        <f t="array" ref="U1404">IF(ISBLANK($R1404), IF($S1404,VLOOKUP($B1404+1,'RFR Data - preExcl'!$BF$2:$BG1679,2,FALSE),IF($T1404,INDEX('RFR Data - preExcl'!$BF$2:$BG1679,MATCH($B1404,'RFR Data - preExcl'!$BF$2:$BF1679,0)+1,2),VLOOKUP($B1404,'RFR Data - preExcl'!$BF$2:$BG1679,2,FALSE))),IFERROR(0/0,""))</f>
        <v/>
      </c>
      <c r="V1404" s="212" t="str">
        <f t="shared" si="5"/>
        <v>RUN-COMB_2022-07-14_RFR-078</v>
      </c>
      <c r="W1404" s="51"/>
      <c r="X1404" s="51"/>
      <c r="Y1404" s="147" t="str">
        <f t="shared" ref="Y1404:Z1404" si="2808">IF(_xlfn.ISFORMULA(S1404),IFERROR(0/0,""),TRUE)</f>
        <v/>
      </c>
      <c r="Z1404" s="147" t="str">
        <f t="shared" si="2808"/>
        <v/>
      </c>
    </row>
    <row r="1405">
      <c r="A1405" s="6" t="str">
        <f>IFERROR(__xludf.DUMMYFUNCTION("""COMPUTED_VALUE"""),"FM3826")</f>
        <v>FM3826</v>
      </c>
      <c r="B1405" s="206">
        <f>IFERROR(__xludf.DUMMYFUNCTION("""COMPUTED_VALUE"""),44756.0)</f>
        <v>44756</v>
      </c>
      <c r="C1405" s="207">
        <f>IFERROR(__xludf.DUMMYFUNCTION("""COMPUTED_VALUE"""),0.6212037037037037)</f>
        <v>0.6212037037</v>
      </c>
      <c r="D1405" s="50"/>
      <c r="E1405" s="58"/>
      <c r="F1405" s="58"/>
      <c r="G1405" s="58" t="str">
        <f>IFERROR(__xludf.DUMMYFUNCTION("""COMPUTED_VALUE"""),"Null")</f>
        <v>Null</v>
      </c>
      <c r="H1405" s="206" t="str">
        <f>IFERROR(__xludf.DUMMYFUNCTION("""COMPUTED_VALUE"""),"Negative")</f>
        <v>Negative</v>
      </c>
      <c r="I1405" s="207"/>
      <c r="J1405" s="50"/>
      <c r="K1405" s="50">
        <f>IFERROR(__xludf.DUMMYFUNCTION("""COMPUTED_VALUE"""),2.0)</f>
        <v>2</v>
      </c>
      <c r="L1405" s="6"/>
      <c r="M1405" s="55"/>
      <c r="N1405" s="55">
        <f>IFERROR(__xludf.DUMMYFUNCTION("""COMPUTED_VALUE"""),1.0)</f>
        <v>1</v>
      </c>
      <c r="O1405" s="55" t="str">
        <f t="shared" si="3"/>
        <v/>
      </c>
      <c r="P1405" s="209"/>
      <c r="Q1405" s="75" t="b">
        <f>VLOOKUP($B1405,'Run Reconcile'!B$2:P1679,15,FALSE)</f>
        <v>1</v>
      </c>
      <c r="R1405" s="211" t="str">
        <f t="array" ref="R1405">IF($Q1405, INDEX('Run Reconcile'!A$2:A1679,MATCH(B1405,'Run Reconcile'!B$2:B1679,0),1),IFERROR(0/0,""))</f>
        <v>RUN-COMB_2022-07-14_RFR-078</v>
      </c>
      <c r="S1405" s="165" t="str">
        <f t="shared" ref="S1405:T1405" si="2809">IF(COUNTIF(W$2:W1679, $A1405) &gt; 0,TRUE,IFERROR(0/0,""))</f>
        <v/>
      </c>
      <c r="T1405" s="165" t="str">
        <f t="shared" si="2809"/>
        <v/>
      </c>
      <c r="U1405" s="147" t="str">
        <f t="array" ref="U1405">IF(ISBLANK($R1405), IF($S1405,VLOOKUP($B1405+1,'RFR Data - preExcl'!$BF$2:$BG1679,2,FALSE),IF($T1405,INDEX('RFR Data - preExcl'!$BF$2:$BG1679,MATCH($B1405,'RFR Data - preExcl'!$BF$2:$BF1679,0)+1,2),VLOOKUP($B1405,'RFR Data - preExcl'!$BF$2:$BG1679,2,FALSE))),IFERROR(0/0,""))</f>
        <v/>
      </c>
      <c r="V1405" s="212" t="str">
        <f t="shared" si="5"/>
        <v>RUN-COMB_2022-07-14_RFR-078</v>
      </c>
      <c r="W1405" s="51"/>
      <c r="X1405" s="51"/>
      <c r="Y1405" s="147" t="str">
        <f t="shared" ref="Y1405:Z1405" si="2810">IF(_xlfn.ISFORMULA(S1405),IFERROR(0/0,""),TRUE)</f>
        <v/>
      </c>
      <c r="Z1405" s="147" t="str">
        <f t="shared" si="2810"/>
        <v/>
      </c>
    </row>
    <row r="1406">
      <c r="A1406" s="6" t="str">
        <f>IFERROR(__xludf.DUMMYFUNCTION("""COMPUTED_VALUE"""),"FM2546")</f>
        <v>FM2546</v>
      </c>
      <c r="B1406" s="206">
        <f>IFERROR(__xludf.DUMMYFUNCTION("""COMPUTED_VALUE"""),44756.0)</f>
        <v>44756</v>
      </c>
      <c r="C1406" s="207">
        <f>IFERROR(__xludf.DUMMYFUNCTION("""COMPUTED_VALUE"""),0.6216435185185185)</f>
        <v>0.6216435185</v>
      </c>
      <c r="D1406" s="50"/>
      <c r="E1406" s="58"/>
      <c r="F1406" s="58"/>
      <c r="G1406" s="58" t="str">
        <f>IFERROR(__xludf.DUMMYFUNCTION("""COMPUTED_VALUE"""),"Null")</f>
        <v>Null</v>
      </c>
      <c r="H1406" s="206" t="str">
        <f>IFERROR(__xludf.DUMMYFUNCTION("""COMPUTED_VALUE"""),"Negative")</f>
        <v>Negative</v>
      </c>
      <c r="I1406" s="207"/>
      <c r="J1406" s="50"/>
      <c r="K1406" s="50">
        <f>IFERROR(__xludf.DUMMYFUNCTION("""COMPUTED_VALUE"""),2.0)</f>
        <v>2</v>
      </c>
      <c r="L1406" s="6"/>
      <c r="M1406" s="55"/>
      <c r="N1406" s="55">
        <f>IFERROR(__xludf.DUMMYFUNCTION("""COMPUTED_VALUE"""),1.0)</f>
        <v>1</v>
      </c>
      <c r="O1406" s="55" t="str">
        <f t="shared" si="3"/>
        <v/>
      </c>
      <c r="P1406" s="209"/>
      <c r="Q1406" s="75" t="b">
        <f>VLOOKUP($B1406,'Run Reconcile'!B$2:P1679,15,FALSE)</f>
        <v>1</v>
      </c>
      <c r="R1406" s="211" t="str">
        <f t="array" ref="R1406">IF($Q1406, INDEX('Run Reconcile'!A$2:A1679,MATCH(B1406,'Run Reconcile'!B$2:B1679,0),1),IFERROR(0/0,""))</f>
        <v>RUN-COMB_2022-07-14_RFR-078</v>
      </c>
      <c r="S1406" s="165" t="str">
        <f t="shared" ref="S1406:T1406" si="2811">IF(COUNTIF(W$2:W1679, $A1406) &gt; 0,TRUE,IFERROR(0/0,""))</f>
        <v/>
      </c>
      <c r="T1406" s="165" t="str">
        <f t="shared" si="2811"/>
        <v/>
      </c>
      <c r="U1406" s="147" t="str">
        <f t="array" ref="U1406">IF(ISBLANK($R1406), IF($S1406,VLOOKUP($B1406+1,'RFR Data - preExcl'!$BF$2:$BG1679,2,FALSE),IF($T1406,INDEX('RFR Data - preExcl'!$BF$2:$BG1679,MATCH($B1406,'RFR Data - preExcl'!$BF$2:$BF1679,0)+1,2),VLOOKUP($B1406,'RFR Data - preExcl'!$BF$2:$BG1679,2,FALSE))),IFERROR(0/0,""))</f>
        <v/>
      </c>
      <c r="V1406" s="212" t="str">
        <f t="shared" si="5"/>
        <v>RUN-COMB_2022-07-14_RFR-078</v>
      </c>
      <c r="W1406" s="51"/>
      <c r="X1406" s="51"/>
      <c r="Y1406" s="147" t="str">
        <f t="shared" ref="Y1406:Z1406" si="2812">IF(_xlfn.ISFORMULA(S1406),IFERROR(0/0,""),TRUE)</f>
        <v/>
      </c>
      <c r="Z1406" s="147" t="str">
        <f t="shared" si="2812"/>
        <v/>
      </c>
    </row>
    <row r="1407">
      <c r="A1407" s="6" t="str">
        <f>IFERROR(__xludf.DUMMYFUNCTION("""COMPUTED_VALUE"""),"FM3694")</f>
        <v>FM3694</v>
      </c>
      <c r="B1407" s="206">
        <f>IFERROR(__xludf.DUMMYFUNCTION("""COMPUTED_VALUE"""),44756.0)</f>
        <v>44756</v>
      </c>
      <c r="C1407" s="207">
        <f>IFERROR(__xludf.DUMMYFUNCTION("""COMPUTED_VALUE"""),0.6219328703703704)</f>
        <v>0.6219328704</v>
      </c>
      <c r="D1407" s="50"/>
      <c r="E1407" s="58"/>
      <c r="F1407" s="58"/>
      <c r="G1407" s="58" t="str">
        <f>IFERROR(__xludf.DUMMYFUNCTION("""COMPUTED_VALUE"""),"Null")</f>
        <v>Null</v>
      </c>
      <c r="H1407" s="206" t="str">
        <f>IFERROR(__xludf.DUMMYFUNCTION("""COMPUTED_VALUE"""),"Negative")</f>
        <v>Negative</v>
      </c>
      <c r="I1407" s="207"/>
      <c r="J1407" s="50"/>
      <c r="K1407" s="50">
        <f>IFERROR(__xludf.DUMMYFUNCTION("""COMPUTED_VALUE"""),2.0)</f>
        <v>2</v>
      </c>
      <c r="L1407" s="6"/>
      <c r="M1407" s="55"/>
      <c r="N1407" s="55">
        <f>IFERROR(__xludf.DUMMYFUNCTION("""COMPUTED_VALUE"""),1.0)</f>
        <v>1</v>
      </c>
      <c r="O1407" s="55" t="str">
        <f t="shared" si="3"/>
        <v/>
      </c>
      <c r="P1407" s="209"/>
      <c r="Q1407" s="75" t="b">
        <f>VLOOKUP($B1407,'Run Reconcile'!B$2:P1679,15,FALSE)</f>
        <v>1</v>
      </c>
      <c r="R1407" s="211" t="str">
        <f t="array" ref="R1407">IF($Q1407, INDEX('Run Reconcile'!A$2:A1679,MATCH(B1407,'Run Reconcile'!B$2:B1679,0),1),IFERROR(0/0,""))</f>
        <v>RUN-COMB_2022-07-14_RFR-078</v>
      </c>
      <c r="S1407" s="165" t="str">
        <f t="shared" ref="S1407:T1407" si="2813">IF(COUNTIF(W$2:W1679, $A1407) &gt; 0,TRUE,IFERROR(0/0,""))</f>
        <v/>
      </c>
      <c r="T1407" s="165" t="str">
        <f t="shared" si="2813"/>
        <v/>
      </c>
      <c r="U1407" s="147" t="str">
        <f t="array" ref="U1407">IF(ISBLANK($R1407), IF($S1407,VLOOKUP($B1407+1,'RFR Data - preExcl'!$BF$2:$BG1679,2,FALSE),IF($T1407,INDEX('RFR Data - preExcl'!$BF$2:$BG1679,MATCH($B1407,'RFR Data - preExcl'!$BF$2:$BF1679,0)+1,2),VLOOKUP($B1407,'RFR Data - preExcl'!$BF$2:$BG1679,2,FALSE))),IFERROR(0/0,""))</f>
        <v/>
      </c>
      <c r="V1407" s="212" t="str">
        <f t="shared" si="5"/>
        <v>RUN-COMB_2022-07-14_RFR-078</v>
      </c>
      <c r="W1407" s="51"/>
      <c r="X1407" s="51"/>
      <c r="Y1407" s="147" t="str">
        <f t="shared" ref="Y1407:Z1407" si="2814">IF(_xlfn.ISFORMULA(S1407),IFERROR(0/0,""),TRUE)</f>
        <v/>
      </c>
      <c r="Z1407" s="147" t="str">
        <f t="shared" si="2814"/>
        <v/>
      </c>
    </row>
    <row r="1408">
      <c r="A1408" s="6" t="str">
        <f>IFERROR(__xludf.DUMMYFUNCTION("""COMPUTED_VALUE"""),"FM3828")</f>
        <v>FM3828</v>
      </c>
      <c r="B1408" s="206">
        <f>IFERROR(__xludf.DUMMYFUNCTION("""COMPUTED_VALUE"""),44756.0)</f>
        <v>44756</v>
      </c>
      <c r="C1408" s="207">
        <f>IFERROR(__xludf.DUMMYFUNCTION("""COMPUTED_VALUE"""),0.6223032407407407)</f>
        <v>0.6223032407</v>
      </c>
      <c r="D1408" s="50"/>
      <c r="E1408" s="58"/>
      <c r="F1408" s="58"/>
      <c r="G1408" s="58" t="str">
        <f>IFERROR(__xludf.DUMMYFUNCTION("""COMPUTED_VALUE"""),"Null")</f>
        <v>Null</v>
      </c>
      <c r="H1408" s="206" t="str">
        <f>IFERROR(__xludf.DUMMYFUNCTION("""COMPUTED_VALUE"""),"Negative")</f>
        <v>Negative</v>
      </c>
      <c r="I1408" s="207"/>
      <c r="J1408" s="50"/>
      <c r="K1408" s="50">
        <f>IFERROR(__xludf.DUMMYFUNCTION("""COMPUTED_VALUE"""),2.0)</f>
        <v>2</v>
      </c>
      <c r="L1408" s="6"/>
      <c r="M1408" s="55"/>
      <c r="N1408" s="55">
        <f>IFERROR(__xludf.DUMMYFUNCTION("""COMPUTED_VALUE"""),1.0)</f>
        <v>1</v>
      </c>
      <c r="O1408" s="55" t="str">
        <f t="shared" si="3"/>
        <v/>
      </c>
      <c r="P1408" s="209"/>
      <c r="Q1408" s="75" t="b">
        <f>VLOOKUP($B1408,'Run Reconcile'!B$2:P1679,15,FALSE)</f>
        <v>1</v>
      </c>
      <c r="R1408" s="211" t="str">
        <f t="array" ref="R1408">IF($Q1408, INDEX('Run Reconcile'!A$2:A1679,MATCH(B1408,'Run Reconcile'!B$2:B1679,0),1),IFERROR(0/0,""))</f>
        <v>RUN-COMB_2022-07-14_RFR-078</v>
      </c>
      <c r="S1408" s="165" t="str">
        <f t="shared" ref="S1408:T1408" si="2815">IF(COUNTIF(W$2:W1679, $A1408) &gt; 0,TRUE,IFERROR(0/0,""))</f>
        <v/>
      </c>
      <c r="T1408" s="165" t="str">
        <f t="shared" si="2815"/>
        <v/>
      </c>
      <c r="U1408" s="147" t="str">
        <f t="array" ref="U1408">IF(ISBLANK($R1408), IF($S1408,VLOOKUP($B1408+1,'RFR Data - preExcl'!$BF$2:$BG1679,2,FALSE),IF($T1408,INDEX('RFR Data - preExcl'!$BF$2:$BG1679,MATCH($B1408,'RFR Data - preExcl'!$BF$2:$BF1679,0)+1,2),VLOOKUP($B1408,'RFR Data - preExcl'!$BF$2:$BG1679,2,FALSE))),IFERROR(0/0,""))</f>
        <v/>
      </c>
      <c r="V1408" s="212" t="str">
        <f t="shared" si="5"/>
        <v>RUN-COMB_2022-07-14_RFR-078</v>
      </c>
      <c r="W1408" s="51"/>
      <c r="X1408" s="51"/>
      <c r="Y1408" s="147" t="str">
        <f t="shared" ref="Y1408:Z1408" si="2816">IF(_xlfn.ISFORMULA(S1408),IFERROR(0/0,""),TRUE)</f>
        <v/>
      </c>
      <c r="Z1408" s="147" t="str">
        <f t="shared" si="2816"/>
        <v/>
      </c>
    </row>
    <row r="1409">
      <c r="A1409" s="6" t="str">
        <f>IFERROR(__xludf.DUMMYFUNCTION("""COMPUTED_VALUE"""),"FM3812")</f>
        <v>FM3812</v>
      </c>
      <c r="B1409" s="206">
        <f>IFERROR(__xludf.DUMMYFUNCTION("""COMPUTED_VALUE"""),44756.0)</f>
        <v>44756</v>
      </c>
      <c r="C1409" s="207">
        <f>IFERROR(__xludf.DUMMYFUNCTION("""COMPUTED_VALUE"""),0.6230439814814814)</f>
        <v>0.6230439815</v>
      </c>
      <c r="D1409" s="50"/>
      <c r="E1409" s="58"/>
      <c r="F1409" s="58"/>
      <c r="G1409" s="58" t="str">
        <f>IFERROR(__xludf.DUMMYFUNCTION("""COMPUTED_VALUE"""),"Null")</f>
        <v>Null</v>
      </c>
      <c r="H1409" s="206" t="str">
        <f>IFERROR(__xludf.DUMMYFUNCTION("""COMPUTED_VALUE"""),"Negative")</f>
        <v>Negative</v>
      </c>
      <c r="I1409" s="207"/>
      <c r="J1409" s="50"/>
      <c r="K1409" s="50">
        <f>IFERROR(__xludf.DUMMYFUNCTION("""COMPUTED_VALUE"""),2.0)</f>
        <v>2</v>
      </c>
      <c r="L1409" s="6"/>
      <c r="M1409" s="55"/>
      <c r="N1409" s="55">
        <f>IFERROR(__xludf.DUMMYFUNCTION("""COMPUTED_VALUE"""),1.0)</f>
        <v>1</v>
      </c>
      <c r="O1409" s="55" t="str">
        <f t="shared" si="3"/>
        <v/>
      </c>
      <c r="P1409" s="209"/>
      <c r="Q1409" s="75" t="b">
        <f>VLOOKUP($B1409,'Run Reconcile'!B$2:P1679,15,FALSE)</f>
        <v>1</v>
      </c>
      <c r="R1409" s="211" t="str">
        <f t="array" ref="R1409">IF($Q1409, INDEX('Run Reconcile'!A$2:A1679,MATCH(B1409,'Run Reconcile'!B$2:B1679,0),1),IFERROR(0/0,""))</f>
        <v>RUN-COMB_2022-07-14_RFR-078</v>
      </c>
      <c r="S1409" s="165" t="str">
        <f t="shared" ref="S1409:T1409" si="2817">IF(COUNTIF(W$2:W1679, $A1409) &gt; 0,TRUE,IFERROR(0/0,""))</f>
        <v/>
      </c>
      <c r="T1409" s="165" t="str">
        <f t="shared" si="2817"/>
        <v/>
      </c>
      <c r="U1409" s="147" t="str">
        <f t="array" ref="U1409">IF(ISBLANK($R1409), IF($S1409,VLOOKUP($B1409+1,'RFR Data - preExcl'!$BF$2:$BG1679,2,FALSE),IF($T1409,INDEX('RFR Data - preExcl'!$BF$2:$BG1679,MATCH($B1409,'RFR Data - preExcl'!$BF$2:$BF1679,0)+1,2),VLOOKUP($B1409,'RFR Data - preExcl'!$BF$2:$BG1679,2,FALSE))),IFERROR(0/0,""))</f>
        <v/>
      </c>
      <c r="V1409" s="212" t="str">
        <f t="shared" si="5"/>
        <v>RUN-COMB_2022-07-14_RFR-078</v>
      </c>
      <c r="W1409" s="51"/>
      <c r="X1409" s="51"/>
      <c r="Y1409" s="147" t="str">
        <f t="shared" ref="Y1409:Z1409" si="2818">IF(_xlfn.ISFORMULA(S1409),IFERROR(0/0,""),TRUE)</f>
        <v/>
      </c>
      <c r="Z1409" s="147" t="str">
        <f t="shared" si="2818"/>
        <v/>
      </c>
    </row>
    <row r="1410">
      <c r="A1410" s="6" t="str">
        <f>IFERROR(__xludf.DUMMYFUNCTION("""COMPUTED_VALUE"""),"FM2522")</f>
        <v>FM2522</v>
      </c>
      <c r="B1410" s="206">
        <f>IFERROR(__xludf.DUMMYFUNCTION("""COMPUTED_VALUE"""),44756.0)</f>
        <v>44756</v>
      </c>
      <c r="C1410" s="207">
        <f>IFERROR(__xludf.DUMMYFUNCTION("""COMPUTED_VALUE"""),0.6234027777777778)</f>
        <v>0.6234027778</v>
      </c>
      <c r="D1410" s="50"/>
      <c r="E1410" s="58"/>
      <c r="F1410" s="58"/>
      <c r="G1410" s="58" t="str">
        <f>IFERROR(__xludf.DUMMYFUNCTION("""COMPUTED_VALUE"""),"Null")</f>
        <v>Null</v>
      </c>
      <c r="H1410" s="206" t="str">
        <f>IFERROR(__xludf.DUMMYFUNCTION("""COMPUTED_VALUE"""),"Negative")</f>
        <v>Negative</v>
      </c>
      <c r="I1410" s="207"/>
      <c r="J1410" s="50"/>
      <c r="K1410" s="50">
        <f>IFERROR(__xludf.DUMMYFUNCTION("""COMPUTED_VALUE"""),2.0)</f>
        <v>2</v>
      </c>
      <c r="L1410" s="6"/>
      <c r="M1410" s="55"/>
      <c r="N1410" s="55">
        <f>IFERROR(__xludf.DUMMYFUNCTION("""COMPUTED_VALUE"""),1.0)</f>
        <v>1</v>
      </c>
      <c r="O1410" s="55" t="str">
        <f t="shared" si="3"/>
        <v/>
      </c>
      <c r="P1410" s="209"/>
      <c r="Q1410" s="75" t="b">
        <f>VLOOKUP($B1410,'Run Reconcile'!B$2:P1679,15,FALSE)</f>
        <v>1</v>
      </c>
      <c r="R1410" s="211" t="str">
        <f t="array" ref="R1410">IF($Q1410, INDEX('Run Reconcile'!A$2:A1679,MATCH(B1410,'Run Reconcile'!B$2:B1679,0),1),IFERROR(0/0,""))</f>
        <v>RUN-COMB_2022-07-14_RFR-078</v>
      </c>
      <c r="S1410" s="165" t="str">
        <f t="shared" ref="S1410:T1410" si="2819">IF(COUNTIF(W$2:W1679, $A1410) &gt; 0,TRUE,IFERROR(0/0,""))</f>
        <v/>
      </c>
      <c r="T1410" s="165" t="str">
        <f t="shared" si="2819"/>
        <v/>
      </c>
      <c r="U1410" s="147" t="str">
        <f t="array" ref="U1410">IF(ISBLANK($R1410), IF($S1410,VLOOKUP($B1410+1,'RFR Data - preExcl'!$BF$2:$BG1679,2,FALSE),IF($T1410,INDEX('RFR Data - preExcl'!$BF$2:$BG1679,MATCH($B1410,'RFR Data - preExcl'!$BF$2:$BF1679,0)+1,2),VLOOKUP($B1410,'RFR Data - preExcl'!$BF$2:$BG1679,2,FALSE))),IFERROR(0/0,""))</f>
        <v/>
      </c>
      <c r="V1410" s="212" t="str">
        <f t="shared" si="5"/>
        <v>RUN-COMB_2022-07-14_RFR-078</v>
      </c>
      <c r="W1410" s="51"/>
      <c r="X1410" s="51"/>
      <c r="Y1410" s="147" t="str">
        <f t="shared" ref="Y1410:Z1410" si="2820">IF(_xlfn.ISFORMULA(S1410),IFERROR(0/0,""),TRUE)</f>
        <v/>
      </c>
      <c r="Z1410" s="147" t="str">
        <f t="shared" si="2820"/>
        <v/>
      </c>
    </row>
    <row r="1411">
      <c r="A1411" s="6" t="str">
        <f>IFERROR(__xludf.DUMMYFUNCTION("""COMPUTED_VALUE"""),"FM3788")</f>
        <v>FM3788</v>
      </c>
      <c r="B1411" s="206">
        <f>IFERROR(__xludf.DUMMYFUNCTION("""COMPUTED_VALUE"""),44756.0)</f>
        <v>44756</v>
      </c>
      <c r="C1411" s="207">
        <f>IFERROR(__xludf.DUMMYFUNCTION("""COMPUTED_VALUE"""),0.6238194444444445)</f>
        <v>0.6238194444</v>
      </c>
      <c r="D1411" s="50"/>
      <c r="E1411" s="58"/>
      <c r="F1411" s="58"/>
      <c r="G1411" s="58" t="str">
        <f>IFERROR(__xludf.DUMMYFUNCTION("""COMPUTED_VALUE"""),"Null")</f>
        <v>Null</v>
      </c>
      <c r="H1411" s="206" t="str">
        <f>IFERROR(__xludf.DUMMYFUNCTION("""COMPUTED_VALUE"""),"Negative")</f>
        <v>Negative</v>
      </c>
      <c r="I1411" s="207"/>
      <c r="J1411" s="50"/>
      <c r="K1411" s="50">
        <f>IFERROR(__xludf.DUMMYFUNCTION("""COMPUTED_VALUE"""),2.0)</f>
        <v>2</v>
      </c>
      <c r="L1411" s="6"/>
      <c r="M1411" s="55"/>
      <c r="N1411" s="55">
        <f>IFERROR(__xludf.DUMMYFUNCTION("""COMPUTED_VALUE"""),1.0)</f>
        <v>1</v>
      </c>
      <c r="O1411" s="55" t="str">
        <f t="shared" si="3"/>
        <v/>
      </c>
      <c r="P1411" s="209"/>
      <c r="Q1411" s="75" t="b">
        <f>VLOOKUP($B1411,'Run Reconcile'!B$2:P1679,15,FALSE)</f>
        <v>1</v>
      </c>
      <c r="R1411" s="211" t="str">
        <f t="array" ref="R1411">IF($Q1411, INDEX('Run Reconcile'!A$2:A1679,MATCH(B1411,'Run Reconcile'!B$2:B1679,0),1),IFERROR(0/0,""))</f>
        <v>RUN-COMB_2022-07-14_RFR-078</v>
      </c>
      <c r="S1411" s="165" t="str">
        <f t="shared" ref="S1411:T1411" si="2821">IF(COUNTIF(W$2:W1679, $A1411) &gt; 0,TRUE,IFERROR(0/0,""))</f>
        <v/>
      </c>
      <c r="T1411" s="165" t="str">
        <f t="shared" si="2821"/>
        <v/>
      </c>
      <c r="U1411" s="147" t="str">
        <f t="array" ref="U1411">IF(ISBLANK($R1411), IF($S1411,VLOOKUP($B1411+1,'RFR Data - preExcl'!$BF$2:$BG1679,2,FALSE),IF($T1411,INDEX('RFR Data - preExcl'!$BF$2:$BG1679,MATCH($B1411,'RFR Data - preExcl'!$BF$2:$BF1679,0)+1,2),VLOOKUP($B1411,'RFR Data - preExcl'!$BF$2:$BG1679,2,FALSE))),IFERROR(0/0,""))</f>
        <v/>
      </c>
      <c r="V1411" s="212" t="str">
        <f t="shared" si="5"/>
        <v>RUN-COMB_2022-07-14_RFR-078</v>
      </c>
      <c r="W1411" s="51"/>
      <c r="X1411" s="51"/>
      <c r="Y1411" s="147" t="str">
        <f t="shared" ref="Y1411:Z1411" si="2822">IF(_xlfn.ISFORMULA(S1411),IFERROR(0/0,""),TRUE)</f>
        <v/>
      </c>
      <c r="Z1411" s="147" t="str">
        <f t="shared" si="2822"/>
        <v/>
      </c>
    </row>
    <row r="1412">
      <c r="A1412" s="6" t="str">
        <f>IFERROR(__xludf.DUMMYFUNCTION("""COMPUTED_VALUE"""),"FM3684")</f>
        <v>FM3684</v>
      </c>
      <c r="B1412" s="206">
        <f>IFERROR(__xludf.DUMMYFUNCTION("""COMPUTED_VALUE"""),44756.0)</f>
        <v>44756</v>
      </c>
      <c r="C1412" s="207">
        <f>IFERROR(__xludf.DUMMYFUNCTION("""COMPUTED_VALUE"""),0.6241319444444444)</f>
        <v>0.6241319444</v>
      </c>
      <c r="D1412" s="50"/>
      <c r="E1412" s="58"/>
      <c r="F1412" s="58"/>
      <c r="G1412" s="58" t="str">
        <f>IFERROR(__xludf.DUMMYFUNCTION("""COMPUTED_VALUE"""),"Null")</f>
        <v>Null</v>
      </c>
      <c r="H1412" s="206" t="str">
        <f>IFERROR(__xludf.DUMMYFUNCTION("""COMPUTED_VALUE"""),"Negative")</f>
        <v>Negative</v>
      </c>
      <c r="I1412" s="207"/>
      <c r="J1412" s="50"/>
      <c r="K1412" s="50">
        <f>IFERROR(__xludf.DUMMYFUNCTION("""COMPUTED_VALUE"""),2.0)</f>
        <v>2</v>
      </c>
      <c r="L1412" s="6"/>
      <c r="M1412" s="55"/>
      <c r="N1412" s="55">
        <f>IFERROR(__xludf.DUMMYFUNCTION("""COMPUTED_VALUE"""),1.0)</f>
        <v>1</v>
      </c>
      <c r="O1412" s="55" t="str">
        <f t="shared" si="3"/>
        <v/>
      </c>
      <c r="P1412" s="209"/>
      <c r="Q1412" s="75" t="b">
        <f>VLOOKUP($B1412,'Run Reconcile'!B$2:P1679,15,FALSE)</f>
        <v>1</v>
      </c>
      <c r="R1412" s="211" t="str">
        <f t="array" ref="R1412">IF($Q1412, INDEX('Run Reconcile'!A$2:A1679,MATCH(B1412,'Run Reconcile'!B$2:B1679,0),1),IFERROR(0/0,""))</f>
        <v>RUN-COMB_2022-07-14_RFR-078</v>
      </c>
      <c r="S1412" s="165" t="str">
        <f t="shared" ref="S1412:T1412" si="2823">IF(COUNTIF(W$2:W1679, $A1412) &gt; 0,TRUE,IFERROR(0/0,""))</f>
        <v/>
      </c>
      <c r="T1412" s="165" t="str">
        <f t="shared" si="2823"/>
        <v/>
      </c>
      <c r="U1412" s="147" t="str">
        <f t="array" ref="U1412">IF(ISBLANK($R1412), IF($S1412,VLOOKUP($B1412+1,'RFR Data - preExcl'!$BF$2:$BG1679,2,FALSE),IF($T1412,INDEX('RFR Data - preExcl'!$BF$2:$BG1679,MATCH($B1412,'RFR Data - preExcl'!$BF$2:$BF1679,0)+1,2),VLOOKUP($B1412,'RFR Data - preExcl'!$BF$2:$BG1679,2,FALSE))),IFERROR(0/0,""))</f>
        <v/>
      </c>
      <c r="V1412" s="212" t="str">
        <f t="shared" si="5"/>
        <v>RUN-COMB_2022-07-14_RFR-078</v>
      </c>
      <c r="W1412" s="51"/>
      <c r="X1412" s="51"/>
      <c r="Y1412" s="147" t="str">
        <f t="shared" ref="Y1412:Z1412" si="2824">IF(_xlfn.ISFORMULA(S1412),IFERROR(0/0,""),TRUE)</f>
        <v/>
      </c>
      <c r="Z1412" s="147" t="str">
        <f t="shared" si="2824"/>
        <v/>
      </c>
    </row>
    <row r="1413">
      <c r="A1413" s="6" t="str">
        <f>IFERROR(__xludf.DUMMYFUNCTION("""COMPUTED_VALUE"""),"FM3686")</f>
        <v>FM3686</v>
      </c>
      <c r="B1413" s="206">
        <f>IFERROR(__xludf.DUMMYFUNCTION("""COMPUTED_VALUE"""),44756.0)</f>
        <v>44756</v>
      </c>
      <c r="C1413" s="207">
        <f>IFERROR(__xludf.DUMMYFUNCTION("""COMPUTED_VALUE"""),0.624537037037037)</f>
        <v>0.624537037</v>
      </c>
      <c r="D1413" s="50"/>
      <c r="E1413" s="58"/>
      <c r="F1413" s="58"/>
      <c r="G1413" s="58" t="str">
        <f>IFERROR(__xludf.DUMMYFUNCTION("""COMPUTED_VALUE"""),"Null")</f>
        <v>Null</v>
      </c>
      <c r="H1413" s="206" t="str">
        <f>IFERROR(__xludf.DUMMYFUNCTION("""COMPUTED_VALUE"""),"Negative")</f>
        <v>Negative</v>
      </c>
      <c r="I1413" s="207"/>
      <c r="J1413" s="50"/>
      <c r="K1413" s="50">
        <f>IFERROR(__xludf.DUMMYFUNCTION("""COMPUTED_VALUE"""),2.0)</f>
        <v>2</v>
      </c>
      <c r="L1413" s="6"/>
      <c r="M1413" s="55"/>
      <c r="N1413" s="55">
        <f>IFERROR(__xludf.DUMMYFUNCTION("""COMPUTED_VALUE"""),1.0)</f>
        <v>1</v>
      </c>
      <c r="O1413" s="55" t="str">
        <f t="shared" si="3"/>
        <v/>
      </c>
      <c r="P1413" s="209"/>
      <c r="Q1413" s="75" t="b">
        <f>VLOOKUP($B1413,'Run Reconcile'!B$2:P1679,15,FALSE)</f>
        <v>1</v>
      </c>
      <c r="R1413" s="211" t="str">
        <f t="array" ref="R1413">IF($Q1413, INDEX('Run Reconcile'!A$2:A1679,MATCH(B1413,'Run Reconcile'!B$2:B1679,0),1),IFERROR(0/0,""))</f>
        <v>RUN-COMB_2022-07-14_RFR-078</v>
      </c>
      <c r="S1413" s="165" t="str">
        <f t="shared" ref="S1413:T1413" si="2825">IF(COUNTIF(W$2:W1679, $A1413) &gt; 0,TRUE,IFERROR(0/0,""))</f>
        <v/>
      </c>
      <c r="T1413" s="165" t="str">
        <f t="shared" si="2825"/>
        <v/>
      </c>
      <c r="U1413" s="147" t="str">
        <f t="array" ref="U1413">IF(ISBLANK($R1413), IF($S1413,VLOOKUP($B1413+1,'RFR Data - preExcl'!$BF$2:$BG1679,2,FALSE),IF($T1413,INDEX('RFR Data - preExcl'!$BF$2:$BG1679,MATCH($B1413,'RFR Data - preExcl'!$BF$2:$BF1679,0)+1,2),VLOOKUP($B1413,'RFR Data - preExcl'!$BF$2:$BG1679,2,FALSE))),IFERROR(0/0,""))</f>
        <v/>
      </c>
      <c r="V1413" s="212" t="str">
        <f t="shared" si="5"/>
        <v>RUN-COMB_2022-07-14_RFR-078</v>
      </c>
      <c r="W1413" s="51"/>
      <c r="X1413" s="51"/>
      <c r="Y1413" s="147" t="str">
        <f t="shared" ref="Y1413:Z1413" si="2826">IF(_xlfn.ISFORMULA(S1413),IFERROR(0/0,""),TRUE)</f>
        <v/>
      </c>
      <c r="Z1413" s="147" t="str">
        <f t="shared" si="2826"/>
        <v/>
      </c>
    </row>
    <row r="1414">
      <c r="A1414" s="6" t="str">
        <f>IFERROR(__xludf.DUMMYFUNCTION("""COMPUTED_VALUE"""),"FM2566")</f>
        <v>FM2566</v>
      </c>
      <c r="B1414" s="206">
        <f>IFERROR(__xludf.DUMMYFUNCTION("""COMPUTED_VALUE"""),44756.0)</f>
        <v>44756</v>
      </c>
      <c r="C1414" s="207">
        <f>IFERROR(__xludf.DUMMYFUNCTION("""COMPUTED_VALUE"""),0.6250231481481482)</f>
        <v>0.6250231481</v>
      </c>
      <c r="D1414" s="50"/>
      <c r="E1414" s="58"/>
      <c r="F1414" s="58"/>
      <c r="G1414" s="58" t="str">
        <f>IFERROR(__xludf.DUMMYFUNCTION("""COMPUTED_VALUE"""),"Null")</f>
        <v>Null</v>
      </c>
      <c r="H1414" s="206" t="str">
        <f>IFERROR(__xludf.DUMMYFUNCTION("""COMPUTED_VALUE"""),"Negative")</f>
        <v>Negative</v>
      </c>
      <c r="I1414" s="207"/>
      <c r="J1414" s="50"/>
      <c r="K1414" s="50">
        <f>IFERROR(__xludf.DUMMYFUNCTION("""COMPUTED_VALUE"""),2.0)</f>
        <v>2</v>
      </c>
      <c r="L1414" s="6"/>
      <c r="M1414" s="55"/>
      <c r="N1414" s="55">
        <f>IFERROR(__xludf.DUMMYFUNCTION("""COMPUTED_VALUE"""),1.0)</f>
        <v>1</v>
      </c>
      <c r="O1414" s="55" t="str">
        <f t="shared" si="3"/>
        <v/>
      </c>
      <c r="P1414" s="209"/>
      <c r="Q1414" s="75" t="b">
        <f>VLOOKUP($B1414,'Run Reconcile'!B$2:P1679,15,FALSE)</f>
        <v>1</v>
      </c>
      <c r="R1414" s="211" t="str">
        <f t="array" ref="R1414">IF($Q1414, INDEX('Run Reconcile'!A$2:A1679,MATCH(B1414,'Run Reconcile'!B$2:B1679,0),1),IFERROR(0/0,""))</f>
        <v>RUN-COMB_2022-07-14_RFR-078</v>
      </c>
      <c r="S1414" s="165" t="str">
        <f t="shared" ref="S1414:T1414" si="2827">IF(COUNTIF(W$2:W1679, $A1414) &gt; 0,TRUE,IFERROR(0/0,""))</f>
        <v/>
      </c>
      <c r="T1414" s="165" t="str">
        <f t="shared" si="2827"/>
        <v/>
      </c>
      <c r="U1414" s="147" t="str">
        <f t="array" ref="U1414">IF(ISBLANK($R1414), IF($S1414,VLOOKUP($B1414+1,'RFR Data - preExcl'!$BF$2:$BG1679,2,FALSE),IF($T1414,INDEX('RFR Data - preExcl'!$BF$2:$BG1679,MATCH($B1414,'RFR Data - preExcl'!$BF$2:$BF1679,0)+1,2),VLOOKUP($B1414,'RFR Data - preExcl'!$BF$2:$BG1679,2,FALSE))),IFERROR(0/0,""))</f>
        <v/>
      </c>
      <c r="V1414" s="212" t="str">
        <f t="shared" si="5"/>
        <v>RUN-COMB_2022-07-14_RFR-078</v>
      </c>
      <c r="W1414" s="51"/>
      <c r="X1414" s="51"/>
      <c r="Y1414" s="147" t="str">
        <f t="shared" ref="Y1414:Z1414" si="2828">IF(_xlfn.ISFORMULA(S1414),IFERROR(0/0,""),TRUE)</f>
        <v/>
      </c>
      <c r="Z1414" s="147" t="str">
        <f t="shared" si="2828"/>
        <v/>
      </c>
    </row>
    <row r="1415">
      <c r="A1415" s="6" t="str">
        <f>IFERROR(__xludf.DUMMYFUNCTION("""COMPUTED_VALUE"""),"FM3808")</f>
        <v>FM3808</v>
      </c>
      <c r="B1415" s="206">
        <f>IFERROR(__xludf.DUMMYFUNCTION("""COMPUTED_VALUE"""),44756.0)</f>
        <v>44756</v>
      </c>
      <c r="C1415" s="207">
        <f>IFERROR(__xludf.DUMMYFUNCTION("""COMPUTED_VALUE"""),0.6254398148148148)</f>
        <v>0.6254398148</v>
      </c>
      <c r="D1415" s="50"/>
      <c r="E1415" s="58"/>
      <c r="F1415" s="58"/>
      <c r="G1415" s="58" t="str">
        <f>IFERROR(__xludf.DUMMYFUNCTION("""COMPUTED_VALUE"""),"Null")</f>
        <v>Null</v>
      </c>
      <c r="H1415" s="206" t="str">
        <f>IFERROR(__xludf.DUMMYFUNCTION("""COMPUTED_VALUE"""),"Negative")</f>
        <v>Negative</v>
      </c>
      <c r="I1415" s="207"/>
      <c r="J1415" s="50"/>
      <c r="K1415" s="50">
        <f>IFERROR(__xludf.DUMMYFUNCTION("""COMPUTED_VALUE"""),2.0)</f>
        <v>2</v>
      </c>
      <c r="L1415" s="6"/>
      <c r="M1415" s="55"/>
      <c r="N1415" s="55">
        <f>IFERROR(__xludf.DUMMYFUNCTION("""COMPUTED_VALUE"""),1.0)</f>
        <v>1</v>
      </c>
      <c r="O1415" s="55" t="str">
        <f t="shared" si="3"/>
        <v/>
      </c>
      <c r="P1415" s="209"/>
      <c r="Q1415" s="75" t="b">
        <f>VLOOKUP($B1415,'Run Reconcile'!B$2:P1679,15,FALSE)</f>
        <v>1</v>
      </c>
      <c r="R1415" s="211" t="str">
        <f t="array" ref="R1415">IF($Q1415, INDEX('Run Reconcile'!A$2:A1679,MATCH(B1415,'Run Reconcile'!B$2:B1679,0),1),IFERROR(0/0,""))</f>
        <v>RUN-COMB_2022-07-14_RFR-078</v>
      </c>
      <c r="S1415" s="165" t="str">
        <f t="shared" ref="S1415:T1415" si="2829">IF(COUNTIF(W$2:W1679, $A1415) &gt; 0,TRUE,IFERROR(0/0,""))</f>
        <v/>
      </c>
      <c r="T1415" s="165" t="str">
        <f t="shared" si="2829"/>
        <v/>
      </c>
      <c r="U1415" s="147" t="str">
        <f t="array" ref="U1415">IF(ISBLANK($R1415), IF($S1415,VLOOKUP($B1415+1,'RFR Data - preExcl'!$BF$2:$BG1679,2,FALSE),IF($T1415,INDEX('RFR Data - preExcl'!$BF$2:$BG1679,MATCH($B1415,'RFR Data - preExcl'!$BF$2:$BF1679,0)+1,2),VLOOKUP($B1415,'RFR Data - preExcl'!$BF$2:$BG1679,2,FALSE))),IFERROR(0/0,""))</f>
        <v/>
      </c>
      <c r="V1415" s="212" t="str">
        <f t="shared" si="5"/>
        <v>RUN-COMB_2022-07-14_RFR-078</v>
      </c>
      <c r="W1415" s="51"/>
      <c r="X1415" s="51"/>
      <c r="Y1415" s="147" t="str">
        <f t="shared" ref="Y1415:Z1415" si="2830">IF(_xlfn.ISFORMULA(S1415),IFERROR(0/0,""),TRUE)</f>
        <v/>
      </c>
      <c r="Z1415" s="147" t="str">
        <f t="shared" si="2830"/>
        <v/>
      </c>
    </row>
    <row r="1416">
      <c r="A1416" s="6" t="str">
        <f>IFERROR(__xludf.DUMMYFUNCTION("""COMPUTED_VALUE"""),"FM3820")</f>
        <v>FM3820</v>
      </c>
      <c r="B1416" s="206">
        <f>IFERROR(__xludf.DUMMYFUNCTION("""COMPUTED_VALUE"""),44756.0)</f>
        <v>44756</v>
      </c>
      <c r="C1416" s="207">
        <f>IFERROR(__xludf.DUMMYFUNCTION("""COMPUTED_VALUE"""),0.6258564814814814)</f>
        <v>0.6258564815</v>
      </c>
      <c r="D1416" s="50"/>
      <c r="E1416" s="58"/>
      <c r="F1416" s="58"/>
      <c r="G1416" s="58" t="str">
        <f>IFERROR(__xludf.DUMMYFUNCTION("""COMPUTED_VALUE"""),"Null")</f>
        <v>Null</v>
      </c>
      <c r="H1416" s="206" t="str">
        <f>IFERROR(__xludf.DUMMYFUNCTION("""COMPUTED_VALUE"""),"Negative")</f>
        <v>Negative</v>
      </c>
      <c r="I1416" s="207"/>
      <c r="J1416" s="50"/>
      <c r="K1416" s="50">
        <f>IFERROR(__xludf.DUMMYFUNCTION("""COMPUTED_VALUE"""),2.0)</f>
        <v>2</v>
      </c>
      <c r="L1416" s="6"/>
      <c r="M1416" s="55"/>
      <c r="N1416" s="55">
        <f>IFERROR(__xludf.DUMMYFUNCTION("""COMPUTED_VALUE"""),1.0)</f>
        <v>1</v>
      </c>
      <c r="O1416" s="55" t="str">
        <f t="shared" si="3"/>
        <v/>
      </c>
      <c r="P1416" s="209"/>
      <c r="Q1416" s="75" t="b">
        <f>VLOOKUP($B1416,'Run Reconcile'!B$2:P1679,15,FALSE)</f>
        <v>1</v>
      </c>
      <c r="R1416" s="211" t="str">
        <f t="array" ref="R1416">IF($Q1416, INDEX('Run Reconcile'!A$2:A1679,MATCH(B1416,'Run Reconcile'!B$2:B1679,0),1),IFERROR(0/0,""))</f>
        <v>RUN-COMB_2022-07-14_RFR-078</v>
      </c>
      <c r="S1416" s="165" t="str">
        <f t="shared" ref="S1416:T1416" si="2831">IF(COUNTIF(W$2:W1679, $A1416) &gt; 0,TRUE,IFERROR(0/0,""))</f>
        <v/>
      </c>
      <c r="T1416" s="165" t="str">
        <f t="shared" si="2831"/>
        <v/>
      </c>
      <c r="U1416" s="147" t="str">
        <f t="array" ref="U1416">IF(ISBLANK($R1416), IF($S1416,VLOOKUP($B1416+1,'RFR Data - preExcl'!$BF$2:$BG1679,2,FALSE),IF($T1416,INDEX('RFR Data - preExcl'!$BF$2:$BG1679,MATCH($B1416,'RFR Data - preExcl'!$BF$2:$BF1679,0)+1,2),VLOOKUP($B1416,'RFR Data - preExcl'!$BF$2:$BG1679,2,FALSE))),IFERROR(0/0,""))</f>
        <v/>
      </c>
      <c r="V1416" s="212" t="str">
        <f t="shared" si="5"/>
        <v>RUN-COMB_2022-07-14_RFR-078</v>
      </c>
      <c r="W1416" s="51"/>
      <c r="X1416" s="51"/>
      <c r="Y1416" s="147" t="str">
        <f t="shared" ref="Y1416:Z1416" si="2832">IF(_xlfn.ISFORMULA(S1416),IFERROR(0/0,""),TRUE)</f>
        <v/>
      </c>
      <c r="Z1416" s="147" t="str">
        <f t="shared" si="2832"/>
        <v/>
      </c>
    </row>
    <row r="1417">
      <c r="A1417" s="6" t="str">
        <f>IFERROR(__xludf.DUMMYFUNCTION("""COMPUTED_VALUE"""),"FM3700")</f>
        <v>FM3700</v>
      </c>
      <c r="B1417" s="206">
        <f>IFERROR(__xludf.DUMMYFUNCTION("""COMPUTED_VALUE"""),44756.0)</f>
        <v>44756</v>
      </c>
      <c r="C1417" s="207">
        <f>IFERROR(__xludf.DUMMYFUNCTION("""COMPUTED_VALUE"""),0.6263773148148148)</f>
        <v>0.6263773148</v>
      </c>
      <c r="D1417" s="50"/>
      <c r="E1417" s="58"/>
      <c r="F1417" s="58"/>
      <c r="G1417" s="58" t="str">
        <f>IFERROR(__xludf.DUMMYFUNCTION("""COMPUTED_VALUE"""),"Null")</f>
        <v>Null</v>
      </c>
      <c r="H1417" s="206" t="str">
        <f>IFERROR(__xludf.DUMMYFUNCTION("""COMPUTED_VALUE"""),"Negative")</f>
        <v>Negative</v>
      </c>
      <c r="I1417" s="207"/>
      <c r="J1417" s="50"/>
      <c r="K1417" s="50">
        <f>IFERROR(__xludf.DUMMYFUNCTION("""COMPUTED_VALUE"""),2.0)</f>
        <v>2</v>
      </c>
      <c r="L1417" s="6"/>
      <c r="M1417" s="55"/>
      <c r="N1417" s="55">
        <f>IFERROR(__xludf.DUMMYFUNCTION("""COMPUTED_VALUE"""),1.0)</f>
        <v>1</v>
      </c>
      <c r="O1417" s="55" t="str">
        <f t="shared" si="3"/>
        <v/>
      </c>
      <c r="P1417" s="209"/>
      <c r="Q1417" s="75" t="b">
        <f>VLOOKUP($B1417,'Run Reconcile'!B$2:P1679,15,FALSE)</f>
        <v>1</v>
      </c>
      <c r="R1417" s="211" t="str">
        <f t="array" ref="R1417">IF($Q1417, INDEX('Run Reconcile'!A$2:A1679,MATCH(B1417,'Run Reconcile'!B$2:B1679,0),1),IFERROR(0/0,""))</f>
        <v>RUN-COMB_2022-07-14_RFR-078</v>
      </c>
      <c r="S1417" s="165" t="str">
        <f t="shared" ref="S1417:T1417" si="2833">IF(COUNTIF(W$2:W1679, $A1417) &gt; 0,TRUE,IFERROR(0/0,""))</f>
        <v/>
      </c>
      <c r="T1417" s="165" t="str">
        <f t="shared" si="2833"/>
        <v/>
      </c>
      <c r="U1417" s="147" t="str">
        <f t="array" ref="U1417">IF(ISBLANK($R1417), IF($S1417,VLOOKUP($B1417+1,'RFR Data - preExcl'!$BF$2:$BG1679,2,FALSE),IF($T1417,INDEX('RFR Data - preExcl'!$BF$2:$BG1679,MATCH($B1417,'RFR Data - preExcl'!$BF$2:$BF1679,0)+1,2),VLOOKUP($B1417,'RFR Data - preExcl'!$BF$2:$BG1679,2,FALSE))),IFERROR(0/0,""))</f>
        <v/>
      </c>
      <c r="V1417" s="212" t="str">
        <f t="shared" si="5"/>
        <v>RUN-COMB_2022-07-14_RFR-078</v>
      </c>
      <c r="W1417" s="51"/>
      <c r="X1417" s="51"/>
      <c r="Y1417" s="147" t="str">
        <f t="shared" ref="Y1417:Z1417" si="2834">IF(_xlfn.ISFORMULA(S1417),IFERROR(0/0,""),TRUE)</f>
        <v/>
      </c>
      <c r="Z1417" s="147" t="str">
        <f t="shared" si="2834"/>
        <v/>
      </c>
    </row>
    <row r="1418">
      <c r="A1418" s="6" t="str">
        <f>IFERROR(__xludf.DUMMYFUNCTION("""COMPUTED_VALUE"""),"FM3804")</f>
        <v>FM3804</v>
      </c>
      <c r="B1418" s="206">
        <f>IFERROR(__xludf.DUMMYFUNCTION("""COMPUTED_VALUE"""),44756.0)</f>
        <v>44756</v>
      </c>
      <c r="C1418" s="207">
        <f>IFERROR(__xludf.DUMMYFUNCTION("""COMPUTED_VALUE"""),0.626724537037037)</f>
        <v>0.626724537</v>
      </c>
      <c r="D1418" s="50"/>
      <c r="E1418" s="58"/>
      <c r="F1418" s="58"/>
      <c r="G1418" s="58" t="str">
        <f>IFERROR(__xludf.DUMMYFUNCTION("""COMPUTED_VALUE"""),"Null")</f>
        <v>Null</v>
      </c>
      <c r="H1418" s="206" t="str">
        <f>IFERROR(__xludf.DUMMYFUNCTION("""COMPUTED_VALUE"""),"Negative")</f>
        <v>Negative</v>
      </c>
      <c r="I1418" s="207"/>
      <c r="J1418" s="50"/>
      <c r="K1418" s="50">
        <f>IFERROR(__xludf.DUMMYFUNCTION("""COMPUTED_VALUE"""),2.0)</f>
        <v>2</v>
      </c>
      <c r="L1418" s="6"/>
      <c r="M1418" s="55"/>
      <c r="N1418" s="55">
        <f>IFERROR(__xludf.DUMMYFUNCTION("""COMPUTED_VALUE"""),1.0)</f>
        <v>1</v>
      </c>
      <c r="O1418" s="55" t="str">
        <f t="shared" si="3"/>
        <v/>
      </c>
      <c r="P1418" s="209"/>
      <c r="Q1418" s="75" t="b">
        <f>VLOOKUP($B1418,'Run Reconcile'!B$2:P1679,15,FALSE)</f>
        <v>1</v>
      </c>
      <c r="R1418" s="211" t="str">
        <f t="array" ref="R1418">IF($Q1418, INDEX('Run Reconcile'!A$2:A1679,MATCH(B1418,'Run Reconcile'!B$2:B1679,0),1),IFERROR(0/0,""))</f>
        <v>RUN-COMB_2022-07-14_RFR-078</v>
      </c>
      <c r="S1418" s="165" t="str">
        <f t="shared" ref="S1418:T1418" si="2835">IF(COUNTIF(W$2:W1679, $A1418) &gt; 0,TRUE,IFERROR(0/0,""))</f>
        <v/>
      </c>
      <c r="T1418" s="165" t="str">
        <f t="shared" si="2835"/>
        <v/>
      </c>
      <c r="U1418" s="147" t="str">
        <f t="array" ref="U1418">IF(ISBLANK($R1418), IF($S1418,VLOOKUP($B1418+1,'RFR Data - preExcl'!$BF$2:$BG1679,2,FALSE),IF($T1418,INDEX('RFR Data - preExcl'!$BF$2:$BG1679,MATCH($B1418,'RFR Data - preExcl'!$BF$2:$BF1679,0)+1,2),VLOOKUP($B1418,'RFR Data - preExcl'!$BF$2:$BG1679,2,FALSE))),IFERROR(0/0,""))</f>
        <v/>
      </c>
      <c r="V1418" s="212" t="str">
        <f t="shared" si="5"/>
        <v>RUN-COMB_2022-07-14_RFR-078</v>
      </c>
      <c r="W1418" s="51"/>
      <c r="X1418" s="51"/>
      <c r="Y1418" s="147" t="str">
        <f t="shared" ref="Y1418:Z1418" si="2836">IF(_xlfn.ISFORMULA(S1418),IFERROR(0/0,""),TRUE)</f>
        <v/>
      </c>
      <c r="Z1418" s="147" t="str">
        <f t="shared" si="2836"/>
        <v/>
      </c>
    </row>
    <row r="1419">
      <c r="A1419" s="6" t="str">
        <f>IFERROR(__xludf.DUMMYFUNCTION("""COMPUTED_VALUE"""),"FM2558")</f>
        <v>FM2558</v>
      </c>
      <c r="B1419" s="206">
        <f>IFERROR(__xludf.DUMMYFUNCTION("""COMPUTED_VALUE"""),44756.0)</f>
        <v>44756</v>
      </c>
      <c r="C1419" s="207">
        <f>IFERROR(__xludf.DUMMYFUNCTION("""COMPUTED_VALUE"""),0.6272222222222222)</f>
        <v>0.6272222222</v>
      </c>
      <c r="D1419" s="50"/>
      <c r="E1419" s="58"/>
      <c r="F1419" s="58"/>
      <c r="G1419" s="58" t="str">
        <f>IFERROR(__xludf.DUMMYFUNCTION("""COMPUTED_VALUE"""),"Null")</f>
        <v>Null</v>
      </c>
      <c r="H1419" s="206" t="str">
        <f>IFERROR(__xludf.DUMMYFUNCTION("""COMPUTED_VALUE"""),"Negative")</f>
        <v>Negative</v>
      </c>
      <c r="I1419" s="207"/>
      <c r="J1419" s="50"/>
      <c r="K1419" s="50">
        <f>IFERROR(__xludf.DUMMYFUNCTION("""COMPUTED_VALUE"""),2.0)</f>
        <v>2</v>
      </c>
      <c r="L1419" s="6"/>
      <c r="M1419" s="55"/>
      <c r="N1419" s="55">
        <f>IFERROR(__xludf.DUMMYFUNCTION("""COMPUTED_VALUE"""),1.0)</f>
        <v>1</v>
      </c>
      <c r="O1419" s="55" t="str">
        <f t="shared" si="3"/>
        <v/>
      </c>
      <c r="P1419" s="209"/>
      <c r="Q1419" s="75" t="b">
        <f>VLOOKUP($B1419,'Run Reconcile'!B$2:P1679,15,FALSE)</f>
        <v>1</v>
      </c>
      <c r="R1419" s="211" t="str">
        <f t="array" ref="R1419">IF($Q1419, INDEX('Run Reconcile'!A$2:A1679,MATCH(B1419,'Run Reconcile'!B$2:B1679,0),1),IFERROR(0/0,""))</f>
        <v>RUN-COMB_2022-07-14_RFR-078</v>
      </c>
      <c r="S1419" s="165" t="str">
        <f t="shared" ref="S1419:T1419" si="2837">IF(COUNTIF(W$2:W1679, $A1419) &gt; 0,TRUE,IFERROR(0/0,""))</f>
        <v/>
      </c>
      <c r="T1419" s="165" t="str">
        <f t="shared" si="2837"/>
        <v/>
      </c>
      <c r="U1419" s="147" t="str">
        <f t="array" ref="U1419">IF(ISBLANK($R1419), IF($S1419,VLOOKUP($B1419+1,'RFR Data - preExcl'!$BF$2:$BG1679,2,FALSE),IF($T1419,INDEX('RFR Data - preExcl'!$BF$2:$BG1679,MATCH($B1419,'RFR Data - preExcl'!$BF$2:$BF1679,0)+1,2),VLOOKUP($B1419,'RFR Data - preExcl'!$BF$2:$BG1679,2,FALSE))),IFERROR(0/0,""))</f>
        <v/>
      </c>
      <c r="V1419" s="212" t="str">
        <f t="shared" si="5"/>
        <v>RUN-COMB_2022-07-14_RFR-078</v>
      </c>
      <c r="W1419" s="51"/>
      <c r="X1419" s="51"/>
      <c r="Y1419" s="147" t="str">
        <f t="shared" ref="Y1419:Z1419" si="2838">IF(_xlfn.ISFORMULA(S1419),IFERROR(0/0,""),TRUE)</f>
        <v/>
      </c>
      <c r="Z1419" s="147" t="str">
        <f t="shared" si="2838"/>
        <v/>
      </c>
    </row>
    <row r="1420">
      <c r="A1420" s="6" t="str">
        <f>IFERROR(__xludf.DUMMYFUNCTION("""COMPUTED_VALUE"""),"FM3817")</f>
        <v>FM3817</v>
      </c>
      <c r="B1420" s="206">
        <f>IFERROR(__xludf.DUMMYFUNCTION("""COMPUTED_VALUE"""),44756.0)</f>
        <v>44756</v>
      </c>
      <c r="C1420" s="207">
        <f>IFERROR(__xludf.DUMMYFUNCTION("""COMPUTED_VALUE"""),0.627662037037037)</f>
        <v>0.627662037</v>
      </c>
      <c r="D1420" s="50"/>
      <c r="E1420" s="58"/>
      <c r="F1420" s="58"/>
      <c r="G1420" s="58" t="str">
        <f>IFERROR(__xludf.DUMMYFUNCTION("""COMPUTED_VALUE"""),"Null")</f>
        <v>Null</v>
      </c>
      <c r="H1420" s="206" t="str">
        <f>IFERROR(__xludf.DUMMYFUNCTION("""COMPUTED_VALUE"""),"Negative")</f>
        <v>Negative</v>
      </c>
      <c r="I1420" s="207"/>
      <c r="J1420" s="50"/>
      <c r="K1420" s="50">
        <f>IFERROR(__xludf.DUMMYFUNCTION("""COMPUTED_VALUE"""),2.0)</f>
        <v>2</v>
      </c>
      <c r="L1420" s="6"/>
      <c r="M1420" s="55"/>
      <c r="N1420" s="55">
        <f>IFERROR(__xludf.DUMMYFUNCTION("""COMPUTED_VALUE"""),1.0)</f>
        <v>1</v>
      </c>
      <c r="O1420" s="55" t="str">
        <f t="shared" si="3"/>
        <v/>
      </c>
      <c r="P1420" s="209"/>
      <c r="Q1420" s="75" t="b">
        <f>VLOOKUP($B1420,'Run Reconcile'!B$2:P1679,15,FALSE)</f>
        <v>1</v>
      </c>
      <c r="R1420" s="211" t="str">
        <f t="array" ref="R1420">IF($Q1420, INDEX('Run Reconcile'!A$2:A1679,MATCH(B1420,'Run Reconcile'!B$2:B1679,0),1),IFERROR(0/0,""))</f>
        <v>RUN-COMB_2022-07-14_RFR-078</v>
      </c>
      <c r="S1420" s="165" t="str">
        <f t="shared" ref="S1420:T1420" si="2839">IF(COUNTIF(W$2:W1679, $A1420) &gt; 0,TRUE,IFERROR(0/0,""))</f>
        <v/>
      </c>
      <c r="T1420" s="165" t="str">
        <f t="shared" si="2839"/>
        <v/>
      </c>
      <c r="U1420" s="147" t="str">
        <f t="array" ref="U1420">IF(ISBLANK($R1420), IF($S1420,VLOOKUP($B1420+1,'RFR Data - preExcl'!$BF$2:$BG1679,2,FALSE),IF($T1420,INDEX('RFR Data - preExcl'!$BF$2:$BG1679,MATCH($B1420,'RFR Data - preExcl'!$BF$2:$BF1679,0)+1,2),VLOOKUP($B1420,'RFR Data - preExcl'!$BF$2:$BG1679,2,FALSE))),IFERROR(0/0,""))</f>
        <v/>
      </c>
      <c r="V1420" s="212" t="str">
        <f t="shared" si="5"/>
        <v>RUN-COMB_2022-07-14_RFR-078</v>
      </c>
      <c r="W1420" s="51"/>
      <c r="X1420" s="51"/>
      <c r="Y1420" s="147" t="str">
        <f t="shared" ref="Y1420:Z1420" si="2840">IF(_xlfn.ISFORMULA(S1420),IFERROR(0/0,""),TRUE)</f>
        <v/>
      </c>
      <c r="Z1420" s="147" t="str">
        <f t="shared" si="2840"/>
        <v/>
      </c>
    </row>
    <row r="1421">
      <c r="A1421" s="6" t="str">
        <f>IFERROR(__xludf.DUMMYFUNCTION("""COMPUTED_VALUE"""),"FM3782")</f>
        <v>FM3782</v>
      </c>
      <c r="B1421" s="206">
        <f>IFERROR(__xludf.DUMMYFUNCTION("""COMPUTED_VALUE"""),44756.0)</f>
        <v>44756</v>
      </c>
      <c r="C1421" s="207">
        <f>IFERROR(__xludf.DUMMYFUNCTION("""COMPUTED_VALUE"""),0.627962962962963)</f>
        <v>0.627962963</v>
      </c>
      <c r="D1421" s="50"/>
      <c r="E1421" s="58"/>
      <c r="F1421" s="58"/>
      <c r="G1421" s="58" t="str">
        <f>IFERROR(__xludf.DUMMYFUNCTION("""COMPUTED_VALUE"""),"Null")</f>
        <v>Null</v>
      </c>
      <c r="H1421" s="206" t="str">
        <f>IFERROR(__xludf.DUMMYFUNCTION("""COMPUTED_VALUE"""),"Negative")</f>
        <v>Negative</v>
      </c>
      <c r="I1421" s="207"/>
      <c r="J1421" s="50"/>
      <c r="K1421" s="50">
        <f>IFERROR(__xludf.DUMMYFUNCTION("""COMPUTED_VALUE"""),2.0)</f>
        <v>2</v>
      </c>
      <c r="L1421" s="6"/>
      <c r="M1421" s="55"/>
      <c r="N1421" s="55">
        <f>IFERROR(__xludf.DUMMYFUNCTION("""COMPUTED_VALUE"""),1.0)</f>
        <v>1</v>
      </c>
      <c r="O1421" s="55" t="str">
        <f t="shared" si="3"/>
        <v/>
      </c>
      <c r="P1421" s="209"/>
      <c r="Q1421" s="75" t="b">
        <f>VLOOKUP($B1421,'Run Reconcile'!B$2:P1679,15,FALSE)</f>
        <v>1</v>
      </c>
      <c r="R1421" s="211" t="str">
        <f t="array" ref="R1421">IF($Q1421, INDEX('Run Reconcile'!A$2:A1679,MATCH(B1421,'Run Reconcile'!B$2:B1679,0),1),IFERROR(0/0,""))</f>
        <v>RUN-COMB_2022-07-14_RFR-078</v>
      </c>
      <c r="S1421" s="165" t="str">
        <f t="shared" ref="S1421:T1421" si="2841">IF(COUNTIF(W$2:W1679, $A1421) &gt; 0,TRUE,IFERROR(0/0,""))</f>
        <v/>
      </c>
      <c r="T1421" s="165" t="str">
        <f t="shared" si="2841"/>
        <v/>
      </c>
      <c r="U1421" s="147" t="str">
        <f t="array" ref="U1421">IF(ISBLANK($R1421), IF($S1421,VLOOKUP($B1421+1,'RFR Data - preExcl'!$BF$2:$BG1679,2,FALSE),IF($T1421,INDEX('RFR Data - preExcl'!$BF$2:$BG1679,MATCH($B1421,'RFR Data - preExcl'!$BF$2:$BF1679,0)+1,2),VLOOKUP($B1421,'RFR Data - preExcl'!$BF$2:$BG1679,2,FALSE))),IFERROR(0/0,""))</f>
        <v/>
      </c>
      <c r="V1421" s="212" t="str">
        <f t="shared" si="5"/>
        <v>RUN-COMB_2022-07-14_RFR-078</v>
      </c>
      <c r="W1421" s="51"/>
      <c r="X1421" s="51"/>
      <c r="Y1421" s="147" t="str">
        <f t="shared" ref="Y1421:Z1421" si="2842">IF(_xlfn.ISFORMULA(S1421),IFERROR(0/0,""),TRUE)</f>
        <v/>
      </c>
      <c r="Z1421" s="147" t="str">
        <f t="shared" si="2842"/>
        <v/>
      </c>
    </row>
    <row r="1422">
      <c r="A1422" s="6" t="str">
        <f>IFERROR(__xludf.DUMMYFUNCTION("""COMPUTED_VALUE"""),"FM3815")</f>
        <v>FM3815</v>
      </c>
      <c r="B1422" s="206">
        <f>IFERROR(__xludf.DUMMYFUNCTION("""COMPUTED_VALUE"""),44756.0)</f>
        <v>44756</v>
      </c>
      <c r="C1422" s="207">
        <f>IFERROR(__xludf.DUMMYFUNCTION("""COMPUTED_VALUE"""),0.6283217592592593)</f>
        <v>0.6283217593</v>
      </c>
      <c r="D1422" s="50"/>
      <c r="E1422" s="58"/>
      <c r="F1422" s="58"/>
      <c r="G1422" s="58" t="str">
        <f>IFERROR(__xludf.DUMMYFUNCTION("""COMPUTED_VALUE"""),"Null")</f>
        <v>Null</v>
      </c>
      <c r="H1422" s="206" t="str">
        <f>IFERROR(__xludf.DUMMYFUNCTION("""COMPUTED_VALUE"""),"Negative")</f>
        <v>Negative</v>
      </c>
      <c r="I1422" s="207"/>
      <c r="J1422" s="50"/>
      <c r="K1422" s="50">
        <f>IFERROR(__xludf.DUMMYFUNCTION("""COMPUTED_VALUE"""),2.0)</f>
        <v>2</v>
      </c>
      <c r="L1422" s="6"/>
      <c r="M1422" s="55"/>
      <c r="N1422" s="55">
        <f>IFERROR(__xludf.DUMMYFUNCTION("""COMPUTED_VALUE"""),1.0)</f>
        <v>1</v>
      </c>
      <c r="O1422" s="55" t="str">
        <f t="shared" si="3"/>
        <v/>
      </c>
      <c r="P1422" s="209"/>
      <c r="Q1422" s="75" t="b">
        <f>VLOOKUP($B1422,'Run Reconcile'!B$2:P1679,15,FALSE)</f>
        <v>1</v>
      </c>
      <c r="R1422" s="211" t="str">
        <f t="array" ref="R1422">IF($Q1422, INDEX('Run Reconcile'!A$2:A1679,MATCH(B1422,'Run Reconcile'!B$2:B1679,0),1),IFERROR(0/0,""))</f>
        <v>RUN-COMB_2022-07-14_RFR-078</v>
      </c>
      <c r="S1422" s="165" t="str">
        <f t="shared" ref="S1422:T1422" si="2843">IF(COUNTIF(W$2:W1679, $A1422) &gt; 0,TRUE,IFERROR(0/0,""))</f>
        <v/>
      </c>
      <c r="T1422" s="165" t="str">
        <f t="shared" si="2843"/>
        <v/>
      </c>
      <c r="U1422" s="147" t="str">
        <f t="array" ref="U1422">IF(ISBLANK($R1422), IF($S1422,VLOOKUP($B1422+1,'RFR Data - preExcl'!$BF$2:$BG1679,2,FALSE),IF($T1422,INDEX('RFR Data - preExcl'!$BF$2:$BG1679,MATCH($B1422,'RFR Data - preExcl'!$BF$2:$BF1679,0)+1,2),VLOOKUP($B1422,'RFR Data - preExcl'!$BF$2:$BG1679,2,FALSE))),IFERROR(0/0,""))</f>
        <v/>
      </c>
      <c r="V1422" s="212" t="str">
        <f t="shared" si="5"/>
        <v>RUN-COMB_2022-07-14_RFR-078</v>
      </c>
      <c r="W1422" s="51"/>
      <c r="X1422" s="51"/>
      <c r="Y1422" s="147" t="str">
        <f t="shared" ref="Y1422:Z1422" si="2844">IF(_xlfn.ISFORMULA(S1422),IFERROR(0/0,""),TRUE)</f>
        <v/>
      </c>
      <c r="Z1422" s="147" t="str">
        <f t="shared" si="2844"/>
        <v/>
      </c>
    </row>
    <row r="1423">
      <c r="A1423" s="6" t="str">
        <f>IFERROR(__xludf.DUMMYFUNCTION("""COMPUTED_VALUE"""),"FM3796")</f>
        <v>FM3796</v>
      </c>
      <c r="B1423" s="206">
        <f>IFERROR(__xludf.DUMMYFUNCTION("""COMPUTED_VALUE"""),44756.0)</f>
        <v>44756</v>
      </c>
      <c r="C1423" s="207">
        <f>IFERROR(__xludf.DUMMYFUNCTION("""COMPUTED_VALUE"""),0.6287615740740741)</f>
        <v>0.6287615741</v>
      </c>
      <c r="D1423" s="50"/>
      <c r="E1423" s="58"/>
      <c r="F1423" s="58"/>
      <c r="G1423" s="58" t="str">
        <f>IFERROR(__xludf.DUMMYFUNCTION("""COMPUTED_VALUE"""),"Null")</f>
        <v>Null</v>
      </c>
      <c r="H1423" s="206" t="str">
        <f>IFERROR(__xludf.DUMMYFUNCTION("""COMPUTED_VALUE"""),"Negative")</f>
        <v>Negative</v>
      </c>
      <c r="I1423" s="207"/>
      <c r="J1423" s="50"/>
      <c r="K1423" s="50">
        <f>IFERROR(__xludf.DUMMYFUNCTION("""COMPUTED_VALUE"""),2.0)</f>
        <v>2</v>
      </c>
      <c r="L1423" s="6"/>
      <c r="M1423" s="55"/>
      <c r="N1423" s="55">
        <f>IFERROR(__xludf.DUMMYFUNCTION("""COMPUTED_VALUE"""),1.0)</f>
        <v>1</v>
      </c>
      <c r="O1423" s="55" t="str">
        <f t="shared" si="3"/>
        <v/>
      </c>
      <c r="P1423" s="209"/>
      <c r="Q1423" s="75" t="b">
        <f>VLOOKUP($B1423,'Run Reconcile'!B$2:P1679,15,FALSE)</f>
        <v>1</v>
      </c>
      <c r="R1423" s="211" t="str">
        <f t="array" ref="R1423">IF($Q1423, INDEX('Run Reconcile'!A$2:A1679,MATCH(B1423,'Run Reconcile'!B$2:B1679,0),1),IFERROR(0/0,""))</f>
        <v>RUN-COMB_2022-07-14_RFR-078</v>
      </c>
      <c r="S1423" s="165" t="str">
        <f t="shared" ref="S1423:T1423" si="2845">IF(COUNTIF(W$2:W1679, $A1423) &gt; 0,TRUE,IFERROR(0/0,""))</f>
        <v/>
      </c>
      <c r="T1423" s="165" t="str">
        <f t="shared" si="2845"/>
        <v/>
      </c>
      <c r="U1423" s="147" t="str">
        <f t="array" ref="U1423">IF(ISBLANK($R1423), IF($S1423,VLOOKUP($B1423+1,'RFR Data - preExcl'!$BF$2:$BG1679,2,FALSE),IF($T1423,INDEX('RFR Data - preExcl'!$BF$2:$BG1679,MATCH($B1423,'RFR Data - preExcl'!$BF$2:$BF1679,0)+1,2),VLOOKUP($B1423,'RFR Data - preExcl'!$BF$2:$BG1679,2,FALSE))),IFERROR(0/0,""))</f>
        <v/>
      </c>
      <c r="V1423" s="212" t="str">
        <f t="shared" si="5"/>
        <v>RUN-COMB_2022-07-14_RFR-078</v>
      </c>
      <c r="W1423" s="51"/>
      <c r="X1423" s="51"/>
      <c r="Y1423" s="147" t="str">
        <f t="shared" ref="Y1423:Z1423" si="2846">IF(_xlfn.ISFORMULA(S1423),IFERROR(0/0,""),TRUE)</f>
        <v/>
      </c>
      <c r="Z1423" s="147" t="str">
        <f t="shared" si="2846"/>
        <v/>
      </c>
    </row>
    <row r="1424">
      <c r="A1424" s="6" t="str">
        <f>IFERROR(__xludf.DUMMYFUNCTION("""COMPUTED_VALUE"""),"FM2537")</f>
        <v>FM2537</v>
      </c>
      <c r="B1424" s="206">
        <f>IFERROR(__xludf.DUMMYFUNCTION("""COMPUTED_VALUE"""),44756.0)</f>
        <v>44756</v>
      </c>
      <c r="C1424" s="207">
        <f>IFERROR(__xludf.DUMMYFUNCTION("""COMPUTED_VALUE"""),0.6292245370370371)</f>
        <v>0.629224537</v>
      </c>
      <c r="D1424" s="50"/>
      <c r="E1424" s="58"/>
      <c r="F1424" s="58"/>
      <c r="G1424" s="58" t="str">
        <f>IFERROR(__xludf.DUMMYFUNCTION("""COMPUTED_VALUE"""),"Null")</f>
        <v>Null</v>
      </c>
      <c r="H1424" s="206" t="str">
        <f>IFERROR(__xludf.DUMMYFUNCTION("""COMPUTED_VALUE"""),"Negative")</f>
        <v>Negative</v>
      </c>
      <c r="I1424" s="207"/>
      <c r="J1424" s="50"/>
      <c r="K1424" s="50">
        <f>IFERROR(__xludf.DUMMYFUNCTION("""COMPUTED_VALUE"""),2.0)</f>
        <v>2</v>
      </c>
      <c r="L1424" s="6"/>
      <c r="M1424" s="55"/>
      <c r="N1424" s="55">
        <f>IFERROR(__xludf.DUMMYFUNCTION("""COMPUTED_VALUE"""),1.0)</f>
        <v>1</v>
      </c>
      <c r="O1424" s="55" t="str">
        <f t="shared" si="3"/>
        <v/>
      </c>
      <c r="P1424" s="209"/>
      <c r="Q1424" s="75" t="b">
        <f>VLOOKUP($B1424,'Run Reconcile'!B$2:P1679,15,FALSE)</f>
        <v>1</v>
      </c>
      <c r="R1424" s="211" t="str">
        <f t="array" ref="R1424">IF($Q1424, INDEX('Run Reconcile'!A$2:A1679,MATCH(B1424,'Run Reconcile'!B$2:B1679,0),1),IFERROR(0/0,""))</f>
        <v>RUN-COMB_2022-07-14_RFR-078</v>
      </c>
      <c r="S1424" s="165" t="str">
        <f t="shared" ref="S1424:T1424" si="2847">IF(COUNTIF(W$2:W1679, $A1424) &gt; 0,TRUE,IFERROR(0/0,""))</f>
        <v/>
      </c>
      <c r="T1424" s="165" t="str">
        <f t="shared" si="2847"/>
        <v/>
      </c>
      <c r="U1424" s="147" t="str">
        <f t="array" ref="U1424">IF(ISBLANK($R1424), IF($S1424,VLOOKUP($B1424+1,'RFR Data - preExcl'!$BF$2:$BG1679,2,FALSE),IF($T1424,INDEX('RFR Data - preExcl'!$BF$2:$BG1679,MATCH($B1424,'RFR Data - preExcl'!$BF$2:$BF1679,0)+1,2),VLOOKUP($B1424,'RFR Data - preExcl'!$BF$2:$BG1679,2,FALSE))),IFERROR(0/0,""))</f>
        <v/>
      </c>
      <c r="V1424" s="212" t="str">
        <f t="shared" si="5"/>
        <v>RUN-COMB_2022-07-14_RFR-078</v>
      </c>
      <c r="W1424" s="51"/>
      <c r="X1424" s="51"/>
      <c r="Y1424" s="147" t="str">
        <f t="shared" ref="Y1424:Z1424" si="2848">IF(_xlfn.ISFORMULA(S1424),IFERROR(0/0,""),TRUE)</f>
        <v/>
      </c>
      <c r="Z1424" s="147" t="str">
        <f t="shared" si="2848"/>
        <v/>
      </c>
    </row>
    <row r="1425">
      <c r="A1425" s="6" t="str">
        <f>IFERROR(__xludf.DUMMYFUNCTION("""COMPUTED_VALUE"""),"FM2637")</f>
        <v>FM2637</v>
      </c>
      <c r="B1425" s="206">
        <f>IFERROR(__xludf.DUMMYFUNCTION("""COMPUTED_VALUE"""),44756.0)</f>
        <v>44756</v>
      </c>
      <c r="C1425" s="207">
        <f>IFERROR(__xludf.DUMMYFUNCTION("""COMPUTED_VALUE"""),0.6296527777777777)</f>
        <v>0.6296527778</v>
      </c>
      <c r="D1425" s="50"/>
      <c r="E1425" s="58"/>
      <c r="F1425" s="58"/>
      <c r="G1425" s="58" t="str">
        <f>IFERROR(__xludf.DUMMYFUNCTION("""COMPUTED_VALUE"""),"Null")</f>
        <v>Null</v>
      </c>
      <c r="H1425" s="206" t="str">
        <f>IFERROR(__xludf.DUMMYFUNCTION("""COMPUTED_VALUE"""),"Negative")</f>
        <v>Negative</v>
      </c>
      <c r="I1425" s="207"/>
      <c r="J1425" s="50"/>
      <c r="K1425" s="50">
        <f>IFERROR(__xludf.DUMMYFUNCTION("""COMPUTED_VALUE"""),2.0)</f>
        <v>2</v>
      </c>
      <c r="L1425" s="6"/>
      <c r="M1425" s="55"/>
      <c r="N1425" s="55">
        <f>IFERROR(__xludf.DUMMYFUNCTION("""COMPUTED_VALUE"""),1.0)</f>
        <v>1</v>
      </c>
      <c r="O1425" s="55" t="str">
        <f t="shared" si="3"/>
        <v/>
      </c>
      <c r="P1425" s="209"/>
      <c r="Q1425" s="75" t="b">
        <f>VLOOKUP($B1425,'Run Reconcile'!B$2:P1679,15,FALSE)</f>
        <v>1</v>
      </c>
      <c r="R1425" s="211" t="str">
        <f t="array" ref="R1425">IF($Q1425, INDEX('Run Reconcile'!A$2:A1679,MATCH(B1425,'Run Reconcile'!B$2:B1679,0),1),IFERROR(0/0,""))</f>
        <v>RUN-COMB_2022-07-14_RFR-078</v>
      </c>
      <c r="S1425" s="165" t="str">
        <f t="shared" ref="S1425:T1425" si="2849">IF(COUNTIF(W$2:W1679, $A1425) &gt; 0,TRUE,IFERROR(0/0,""))</f>
        <v/>
      </c>
      <c r="T1425" s="165" t="str">
        <f t="shared" si="2849"/>
        <v/>
      </c>
      <c r="U1425" s="147" t="str">
        <f t="array" ref="U1425">IF(ISBLANK($R1425), IF($S1425,VLOOKUP($B1425+1,'RFR Data - preExcl'!$BF$2:$BG1679,2,FALSE),IF($T1425,INDEX('RFR Data - preExcl'!$BF$2:$BG1679,MATCH($B1425,'RFR Data - preExcl'!$BF$2:$BF1679,0)+1,2),VLOOKUP($B1425,'RFR Data - preExcl'!$BF$2:$BG1679,2,FALSE))),IFERROR(0/0,""))</f>
        <v/>
      </c>
      <c r="V1425" s="212" t="str">
        <f t="shared" si="5"/>
        <v>RUN-COMB_2022-07-14_RFR-078</v>
      </c>
      <c r="W1425" s="51"/>
      <c r="X1425" s="51"/>
      <c r="Y1425" s="147" t="str">
        <f t="shared" ref="Y1425:Z1425" si="2850">IF(_xlfn.ISFORMULA(S1425),IFERROR(0/0,""),TRUE)</f>
        <v/>
      </c>
      <c r="Z1425" s="147" t="str">
        <f t="shared" si="2850"/>
        <v/>
      </c>
    </row>
    <row r="1426">
      <c r="A1426" s="6" t="str">
        <f>IFERROR(__xludf.DUMMYFUNCTION("""COMPUTED_VALUE"""),"FM3703")</f>
        <v>FM3703</v>
      </c>
      <c r="B1426" s="206">
        <f>IFERROR(__xludf.DUMMYFUNCTION("""COMPUTED_VALUE"""),44756.0)</f>
        <v>44756</v>
      </c>
      <c r="C1426" s="207">
        <f>IFERROR(__xludf.DUMMYFUNCTION("""COMPUTED_VALUE"""),0.630636574074074)</f>
        <v>0.6306365741</v>
      </c>
      <c r="D1426" s="50"/>
      <c r="E1426" s="58"/>
      <c r="F1426" s="58"/>
      <c r="G1426" s="58" t="str">
        <f>IFERROR(__xludf.DUMMYFUNCTION("""COMPUTED_VALUE"""),"Null")</f>
        <v>Null</v>
      </c>
      <c r="H1426" s="206" t="str">
        <f>IFERROR(__xludf.DUMMYFUNCTION("""COMPUTED_VALUE"""),"Negative")</f>
        <v>Negative</v>
      </c>
      <c r="I1426" s="207"/>
      <c r="J1426" s="50"/>
      <c r="K1426" s="50">
        <f>IFERROR(__xludf.DUMMYFUNCTION("""COMPUTED_VALUE"""),2.0)</f>
        <v>2</v>
      </c>
      <c r="L1426" s="6"/>
      <c r="M1426" s="55"/>
      <c r="N1426" s="55">
        <f>IFERROR(__xludf.DUMMYFUNCTION("""COMPUTED_VALUE"""),1.0)</f>
        <v>1</v>
      </c>
      <c r="O1426" s="55" t="str">
        <f t="shared" si="3"/>
        <v/>
      </c>
      <c r="P1426" s="209"/>
      <c r="Q1426" s="75" t="b">
        <f>VLOOKUP($B1426,'Run Reconcile'!B$2:P1679,15,FALSE)</f>
        <v>1</v>
      </c>
      <c r="R1426" s="211" t="str">
        <f t="array" ref="R1426">IF($Q1426, INDEX('Run Reconcile'!A$2:A1679,MATCH(B1426,'Run Reconcile'!B$2:B1679,0),1),IFERROR(0/0,""))</f>
        <v>RUN-COMB_2022-07-14_RFR-078</v>
      </c>
      <c r="S1426" s="165" t="str">
        <f t="shared" ref="S1426:T1426" si="2851">IF(COUNTIF(W$2:W1679, $A1426) &gt; 0,TRUE,IFERROR(0/0,""))</f>
        <v/>
      </c>
      <c r="T1426" s="165" t="str">
        <f t="shared" si="2851"/>
        <v/>
      </c>
      <c r="U1426" s="147" t="str">
        <f t="array" ref="U1426">IF(ISBLANK($R1426), IF($S1426,VLOOKUP($B1426+1,'RFR Data - preExcl'!$BF$2:$BG1679,2,FALSE),IF($T1426,INDEX('RFR Data - preExcl'!$BF$2:$BG1679,MATCH($B1426,'RFR Data - preExcl'!$BF$2:$BF1679,0)+1,2),VLOOKUP($B1426,'RFR Data - preExcl'!$BF$2:$BG1679,2,FALSE))),IFERROR(0/0,""))</f>
        <v/>
      </c>
      <c r="V1426" s="212" t="str">
        <f t="shared" si="5"/>
        <v>RUN-COMB_2022-07-14_RFR-078</v>
      </c>
      <c r="W1426" s="51"/>
      <c r="X1426" s="51"/>
      <c r="Y1426" s="147" t="str">
        <f t="shared" ref="Y1426:Z1426" si="2852">IF(_xlfn.ISFORMULA(S1426),IFERROR(0/0,""),TRUE)</f>
        <v/>
      </c>
      <c r="Z1426" s="147" t="str">
        <f t="shared" si="2852"/>
        <v/>
      </c>
    </row>
    <row r="1427">
      <c r="A1427" s="6" t="str">
        <f>IFERROR(__xludf.DUMMYFUNCTION("""COMPUTED_VALUE"""),"FM2567")</f>
        <v>FM2567</v>
      </c>
      <c r="B1427" s="206">
        <f>IFERROR(__xludf.DUMMYFUNCTION("""COMPUTED_VALUE"""),44756.0)</f>
        <v>44756</v>
      </c>
      <c r="C1427" s="207">
        <f>IFERROR(__xludf.DUMMYFUNCTION("""COMPUTED_VALUE"""),0.6316319444444445)</f>
        <v>0.6316319444</v>
      </c>
      <c r="D1427" s="50"/>
      <c r="E1427" s="58"/>
      <c r="F1427" s="58"/>
      <c r="G1427" s="58" t="str">
        <f>IFERROR(__xludf.DUMMYFUNCTION("""COMPUTED_VALUE"""),"Null")</f>
        <v>Null</v>
      </c>
      <c r="H1427" s="206" t="str">
        <f>IFERROR(__xludf.DUMMYFUNCTION("""COMPUTED_VALUE"""),"Negative")</f>
        <v>Negative</v>
      </c>
      <c r="I1427" s="207"/>
      <c r="J1427" s="50"/>
      <c r="K1427" s="50">
        <f>IFERROR(__xludf.DUMMYFUNCTION("""COMPUTED_VALUE"""),2.0)</f>
        <v>2</v>
      </c>
      <c r="L1427" s="6"/>
      <c r="M1427" s="55"/>
      <c r="N1427" s="55">
        <f>IFERROR(__xludf.DUMMYFUNCTION("""COMPUTED_VALUE"""),1.0)</f>
        <v>1</v>
      </c>
      <c r="O1427" s="55" t="str">
        <f t="shared" si="3"/>
        <v/>
      </c>
      <c r="P1427" s="209"/>
      <c r="Q1427" s="75" t="b">
        <f>VLOOKUP($B1427,'Run Reconcile'!B$2:P1679,15,FALSE)</f>
        <v>1</v>
      </c>
      <c r="R1427" s="211" t="str">
        <f t="array" ref="R1427">IF($Q1427, INDEX('Run Reconcile'!A$2:A1679,MATCH(B1427,'Run Reconcile'!B$2:B1679,0),1),IFERROR(0/0,""))</f>
        <v>RUN-COMB_2022-07-14_RFR-078</v>
      </c>
      <c r="S1427" s="165" t="str">
        <f t="shared" ref="S1427:T1427" si="2853">IF(COUNTIF(W$2:W1679, $A1427) &gt; 0,TRUE,IFERROR(0/0,""))</f>
        <v/>
      </c>
      <c r="T1427" s="165" t="str">
        <f t="shared" si="2853"/>
        <v/>
      </c>
      <c r="U1427" s="147" t="str">
        <f t="array" ref="U1427">IF(ISBLANK($R1427), IF($S1427,VLOOKUP($B1427+1,'RFR Data - preExcl'!$BF$2:$BG1679,2,FALSE),IF($T1427,INDEX('RFR Data - preExcl'!$BF$2:$BG1679,MATCH($B1427,'RFR Data - preExcl'!$BF$2:$BF1679,0)+1,2),VLOOKUP($B1427,'RFR Data - preExcl'!$BF$2:$BG1679,2,FALSE))),IFERROR(0/0,""))</f>
        <v/>
      </c>
      <c r="V1427" s="212" t="str">
        <f t="shared" si="5"/>
        <v>RUN-COMB_2022-07-14_RFR-078</v>
      </c>
      <c r="W1427" s="51"/>
      <c r="X1427" s="51"/>
      <c r="Y1427" s="147" t="str">
        <f t="shared" ref="Y1427:Z1427" si="2854">IF(_xlfn.ISFORMULA(S1427),IFERROR(0/0,""),TRUE)</f>
        <v/>
      </c>
      <c r="Z1427" s="147" t="str">
        <f t="shared" si="2854"/>
        <v/>
      </c>
    </row>
    <row r="1428">
      <c r="A1428" s="6" t="str">
        <f>IFERROR(__xludf.DUMMYFUNCTION("""COMPUTED_VALUE"""),"FM3785")</f>
        <v>FM3785</v>
      </c>
      <c r="B1428" s="206">
        <f>IFERROR(__xludf.DUMMYFUNCTION("""COMPUTED_VALUE"""),44756.0)</f>
        <v>44756</v>
      </c>
      <c r="C1428" s="207">
        <f>IFERROR(__xludf.DUMMYFUNCTION("""COMPUTED_VALUE"""),0.6325462962962963)</f>
        <v>0.6325462963</v>
      </c>
      <c r="D1428" s="50"/>
      <c r="E1428" s="58"/>
      <c r="F1428" s="58"/>
      <c r="G1428" s="58" t="str">
        <f>IFERROR(__xludf.DUMMYFUNCTION("""COMPUTED_VALUE"""),"Null")</f>
        <v>Null</v>
      </c>
      <c r="H1428" s="206" t="str">
        <f>IFERROR(__xludf.DUMMYFUNCTION("""COMPUTED_VALUE"""),"Negative")</f>
        <v>Negative</v>
      </c>
      <c r="I1428" s="207"/>
      <c r="J1428" s="50"/>
      <c r="K1428" s="50">
        <f>IFERROR(__xludf.DUMMYFUNCTION("""COMPUTED_VALUE"""),2.0)</f>
        <v>2</v>
      </c>
      <c r="L1428" s="6"/>
      <c r="M1428" s="55"/>
      <c r="N1428" s="55">
        <f>IFERROR(__xludf.DUMMYFUNCTION("""COMPUTED_VALUE"""),1.0)</f>
        <v>1</v>
      </c>
      <c r="O1428" s="55" t="str">
        <f t="shared" si="3"/>
        <v/>
      </c>
      <c r="P1428" s="209"/>
      <c r="Q1428" s="75" t="b">
        <f>VLOOKUP($B1428,'Run Reconcile'!B$2:P1679,15,FALSE)</f>
        <v>1</v>
      </c>
      <c r="R1428" s="211" t="str">
        <f t="array" ref="R1428">IF($Q1428, INDEX('Run Reconcile'!A$2:A1679,MATCH(B1428,'Run Reconcile'!B$2:B1679,0),1),IFERROR(0/0,""))</f>
        <v>RUN-COMB_2022-07-14_RFR-078</v>
      </c>
      <c r="S1428" s="165" t="str">
        <f t="shared" ref="S1428:T1428" si="2855">IF(COUNTIF(W$2:W1679, $A1428) &gt; 0,TRUE,IFERROR(0/0,""))</f>
        <v/>
      </c>
      <c r="T1428" s="165" t="str">
        <f t="shared" si="2855"/>
        <v/>
      </c>
      <c r="U1428" s="147" t="str">
        <f t="array" ref="U1428">IF(ISBLANK($R1428), IF($S1428,VLOOKUP($B1428+1,'RFR Data - preExcl'!$BF$2:$BG1679,2,FALSE),IF($T1428,INDEX('RFR Data - preExcl'!$BF$2:$BG1679,MATCH($B1428,'RFR Data - preExcl'!$BF$2:$BF1679,0)+1,2),VLOOKUP($B1428,'RFR Data - preExcl'!$BF$2:$BG1679,2,FALSE))),IFERROR(0/0,""))</f>
        <v/>
      </c>
      <c r="V1428" s="212" t="str">
        <f t="shared" si="5"/>
        <v>RUN-COMB_2022-07-14_RFR-078</v>
      </c>
      <c r="W1428" s="51"/>
      <c r="X1428" s="51"/>
      <c r="Y1428" s="147" t="str">
        <f t="shared" ref="Y1428:Z1428" si="2856">IF(_xlfn.ISFORMULA(S1428),IFERROR(0/0,""),TRUE)</f>
        <v/>
      </c>
      <c r="Z1428" s="147" t="str">
        <f t="shared" si="2856"/>
        <v/>
      </c>
    </row>
    <row r="1429">
      <c r="A1429" s="6" t="str">
        <f>IFERROR(__xludf.DUMMYFUNCTION("""COMPUTED_VALUE"""),"FM3807")</f>
        <v>FM3807</v>
      </c>
      <c r="B1429" s="206">
        <f>IFERROR(__xludf.DUMMYFUNCTION("""COMPUTED_VALUE"""),44756.0)</f>
        <v>44756</v>
      </c>
      <c r="C1429" s="207">
        <f>IFERROR(__xludf.DUMMYFUNCTION("""COMPUTED_VALUE"""),0.6330671296296296)</f>
        <v>0.6330671296</v>
      </c>
      <c r="D1429" s="50"/>
      <c r="E1429" s="58"/>
      <c r="F1429" s="58"/>
      <c r="G1429" s="58" t="str">
        <f>IFERROR(__xludf.DUMMYFUNCTION("""COMPUTED_VALUE"""),"Null")</f>
        <v>Null</v>
      </c>
      <c r="H1429" s="206" t="str">
        <f>IFERROR(__xludf.DUMMYFUNCTION("""COMPUTED_VALUE"""),"Negative")</f>
        <v>Negative</v>
      </c>
      <c r="I1429" s="207"/>
      <c r="J1429" s="50"/>
      <c r="K1429" s="50">
        <f>IFERROR(__xludf.DUMMYFUNCTION("""COMPUTED_VALUE"""),2.0)</f>
        <v>2</v>
      </c>
      <c r="L1429" s="6"/>
      <c r="M1429" s="55"/>
      <c r="N1429" s="55">
        <f>IFERROR(__xludf.DUMMYFUNCTION("""COMPUTED_VALUE"""),1.0)</f>
        <v>1</v>
      </c>
      <c r="O1429" s="55" t="str">
        <f t="shared" si="3"/>
        <v/>
      </c>
      <c r="P1429" s="209"/>
      <c r="Q1429" s="75" t="b">
        <f>VLOOKUP($B1429,'Run Reconcile'!B$2:P1679,15,FALSE)</f>
        <v>1</v>
      </c>
      <c r="R1429" s="211" t="str">
        <f t="array" ref="R1429">IF($Q1429, INDEX('Run Reconcile'!A$2:A1679,MATCH(B1429,'Run Reconcile'!B$2:B1679,0),1),IFERROR(0/0,""))</f>
        <v>RUN-COMB_2022-07-14_RFR-078</v>
      </c>
      <c r="S1429" s="165" t="str">
        <f t="shared" ref="S1429:T1429" si="2857">IF(COUNTIF(W$2:W1679, $A1429) &gt; 0,TRUE,IFERROR(0/0,""))</f>
        <v/>
      </c>
      <c r="T1429" s="165" t="str">
        <f t="shared" si="2857"/>
        <v/>
      </c>
      <c r="U1429" s="147" t="str">
        <f t="array" ref="U1429">IF(ISBLANK($R1429), IF($S1429,VLOOKUP($B1429+1,'RFR Data - preExcl'!$BF$2:$BG1679,2,FALSE),IF($T1429,INDEX('RFR Data - preExcl'!$BF$2:$BG1679,MATCH($B1429,'RFR Data - preExcl'!$BF$2:$BF1679,0)+1,2),VLOOKUP($B1429,'RFR Data - preExcl'!$BF$2:$BG1679,2,FALSE))),IFERROR(0/0,""))</f>
        <v/>
      </c>
      <c r="V1429" s="212" t="str">
        <f t="shared" si="5"/>
        <v>RUN-COMB_2022-07-14_RFR-078</v>
      </c>
      <c r="W1429" s="51"/>
      <c r="X1429" s="51"/>
      <c r="Y1429" s="147" t="str">
        <f t="shared" ref="Y1429:Z1429" si="2858">IF(_xlfn.ISFORMULA(S1429),IFERROR(0/0,""),TRUE)</f>
        <v/>
      </c>
      <c r="Z1429" s="147" t="str">
        <f t="shared" si="2858"/>
        <v/>
      </c>
    </row>
    <row r="1430">
      <c r="A1430" s="6" t="str">
        <f>IFERROR(__xludf.DUMMYFUNCTION("""COMPUTED_VALUE"""),"FM3818")</f>
        <v>FM3818</v>
      </c>
      <c r="B1430" s="206">
        <f>IFERROR(__xludf.DUMMYFUNCTION("""COMPUTED_VALUE"""),44756.0)</f>
        <v>44756</v>
      </c>
      <c r="C1430" s="207">
        <f>IFERROR(__xludf.DUMMYFUNCTION("""COMPUTED_VALUE"""),0.6334953703703704)</f>
        <v>0.6334953704</v>
      </c>
      <c r="D1430" s="50"/>
      <c r="E1430" s="58"/>
      <c r="F1430" s="58"/>
      <c r="G1430" s="58" t="str">
        <f>IFERROR(__xludf.DUMMYFUNCTION("""COMPUTED_VALUE"""),"Null")</f>
        <v>Null</v>
      </c>
      <c r="H1430" s="206" t="str">
        <f>IFERROR(__xludf.DUMMYFUNCTION("""COMPUTED_VALUE"""),"Negative")</f>
        <v>Negative</v>
      </c>
      <c r="I1430" s="207"/>
      <c r="J1430" s="50"/>
      <c r="K1430" s="50">
        <f>IFERROR(__xludf.DUMMYFUNCTION("""COMPUTED_VALUE"""),2.0)</f>
        <v>2</v>
      </c>
      <c r="L1430" s="6"/>
      <c r="M1430" s="55"/>
      <c r="N1430" s="55">
        <f>IFERROR(__xludf.DUMMYFUNCTION("""COMPUTED_VALUE"""),1.0)</f>
        <v>1</v>
      </c>
      <c r="O1430" s="55" t="str">
        <f t="shared" si="3"/>
        <v/>
      </c>
      <c r="P1430" s="209"/>
      <c r="Q1430" s="75" t="b">
        <f>VLOOKUP($B1430,'Run Reconcile'!B$2:P1679,15,FALSE)</f>
        <v>1</v>
      </c>
      <c r="R1430" s="211" t="str">
        <f t="array" ref="R1430">IF($Q1430, INDEX('Run Reconcile'!A$2:A1679,MATCH(B1430,'Run Reconcile'!B$2:B1679,0),1),IFERROR(0/0,""))</f>
        <v>RUN-COMB_2022-07-14_RFR-078</v>
      </c>
      <c r="S1430" s="165" t="str">
        <f t="shared" ref="S1430:T1430" si="2859">IF(COUNTIF(W$2:W1679, $A1430) &gt; 0,TRUE,IFERROR(0/0,""))</f>
        <v/>
      </c>
      <c r="T1430" s="165" t="str">
        <f t="shared" si="2859"/>
        <v/>
      </c>
      <c r="U1430" s="147" t="str">
        <f t="array" ref="U1430">IF(ISBLANK($R1430), IF($S1430,VLOOKUP($B1430+1,'RFR Data - preExcl'!$BF$2:$BG1679,2,FALSE),IF($T1430,INDEX('RFR Data - preExcl'!$BF$2:$BG1679,MATCH($B1430,'RFR Data - preExcl'!$BF$2:$BF1679,0)+1,2),VLOOKUP($B1430,'RFR Data - preExcl'!$BF$2:$BG1679,2,FALSE))),IFERROR(0/0,""))</f>
        <v/>
      </c>
      <c r="V1430" s="212" t="str">
        <f t="shared" si="5"/>
        <v>RUN-COMB_2022-07-14_RFR-078</v>
      </c>
      <c r="W1430" s="51"/>
      <c r="X1430" s="51"/>
      <c r="Y1430" s="147" t="str">
        <f t="shared" ref="Y1430:Z1430" si="2860">IF(_xlfn.ISFORMULA(S1430),IFERROR(0/0,""),TRUE)</f>
        <v/>
      </c>
      <c r="Z1430" s="147" t="str">
        <f t="shared" si="2860"/>
        <v/>
      </c>
    </row>
    <row r="1431">
      <c r="A1431" s="6" t="str">
        <f>IFERROR(__xludf.DUMMYFUNCTION("""COMPUTED_VALUE"""),"FM3719")</f>
        <v>FM3719</v>
      </c>
      <c r="B1431" s="206">
        <f>IFERROR(__xludf.DUMMYFUNCTION("""COMPUTED_VALUE"""),44756.0)</f>
        <v>44756</v>
      </c>
      <c r="C1431" s="207">
        <f>IFERROR(__xludf.DUMMYFUNCTION("""COMPUTED_VALUE"""),0.6339699074074074)</f>
        <v>0.6339699074</v>
      </c>
      <c r="D1431" s="50"/>
      <c r="E1431" s="58"/>
      <c r="F1431" s="58"/>
      <c r="G1431" s="58" t="str">
        <f>IFERROR(__xludf.DUMMYFUNCTION("""COMPUTED_VALUE"""),"Null")</f>
        <v>Null</v>
      </c>
      <c r="H1431" s="206" t="str">
        <f>IFERROR(__xludf.DUMMYFUNCTION("""COMPUTED_VALUE"""),"Negative")</f>
        <v>Negative</v>
      </c>
      <c r="I1431" s="207"/>
      <c r="J1431" s="50"/>
      <c r="K1431" s="50">
        <f>IFERROR(__xludf.DUMMYFUNCTION("""COMPUTED_VALUE"""),2.0)</f>
        <v>2</v>
      </c>
      <c r="L1431" s="6"/>
      <c r="M1431" s="55"/>
      <c r="N1431" s="55">
        <f>IFERROR(__xludf.DUMMYFUNCTION("""COMPUTED_VALUE"""),1.0)</f>
        <v>1</v>
      </c>
      <c r="O1431" s="55" t="str">
        <f t="shared" si="3"/>
        <v/>
      </c>
      <c r="P1431" s="209"/>
      <c r="Q1431" s="75" t="b">
        <f>VLOOKUP($B1431,'Run Reconcile'!B$2:P1679,15,FALSE)</f>
        <v>1</v>
      </c>
      <c r="R1431" s="211" t="str">
        <f t="array" ref="R1431">IF($Q1431, INDEX('Run Reconcile'!A$2:A1679,MATCH(B1431,'Run Reconcile'!B$2:B1679,0),1),IFERROR(0/0,""))</f>
        <v>RUN-COMB_2022-07-14_RFR-078</v>
      </c>
      <c r="S1431" s="165" t="str">
        <f t="shared" ref="S1431:T1431" si="2861">IF(COUNTIF(W$2:W1679, $A1431) &gt; 0,TRUE,IFERROR(0/0,""))</f>
        <v/>
      </c>
      <c r="T1431" s="165" t="str">
        <f t="shared" si="2861"/>
        <v/>
      </c>
      <c r="U1431" s="147" t="str">
        <f t="array" ref="U1431">IF(ISBLANK($R1431), IF($S1431,VLOOKUP($B1431+1,'RFR Data - preExcl'!$BF$2:$BG1679,2,FALSE),IF($T1431,INDEX('RFR Data - preExcl'!$BF$2:$BG1679,MATCH($B1431,'RFR Data - preExcl'!$BF$2:$BF1679,0)+1,2),VLOOKUP($B1431,'RFR Data - preExcl'!$BF$2:$BG1679,2,FALSE))),IFERROR(0/0,""))</f>
        <v/>
      </c>
      <c r="V1431" s="212" t="str">
        <f t="shared" si="5"/>
        <v>RUN-COMB_2022-07-14_RFR-078</v>
      </c>
      <c r="W1431" s="51"/>
      <c r="X1431" s="51"/>
      <c r="Y1431" s="147" t="str">
        <f t="shared" ref="Y1431:Z1431" si="2862">IF(_xlfn.ISFORMULA(S1431),IFERROR(0/0,""),TRUE)</f>
        <v/>
      </c>
      <c r="Z1431" s="147" t="str">
        <f t="shared" si="2862"/>
        <v/>
      </c>
    </row>
    <row r="1432">
      <c r="A1432" s="6" t="str">
        <f>IFERROR(__xludf.DUMMYFUNCTION("""COMPUTED_VALUE"""),"FM3698")</f>
        <v>FM3698</v>
      </c>
      <c r="B1432" s="206">
        <f>IFERROR(__xludf.DUMMYFUNCTION("""COMPUTED_VALUE"""),44756.0)</f>
        <v>44756</v>
      </c>
      <c r="C1432" s="207">
        <f>IFERROR(__xludf.DUMMYFUNCTION("""COMPUTED_VALUE"""),0.6344444444444445)</f>
        <v>0.6344444444</v>
      </c>
      <c r="D1432" s="50"/>
      <c r="E1432" s="58"/>
      <c r="F1432" s="58"/>
      <c r="G1432" s="58" t="str">
        <f>IFERROR(__xludf.DUMMYFUNCTION("""COMPUTED_VALUE"""),"Null")</f>
        <v>Null</v>
      </c>
      <c r="H1432" s="206" t="str">
        <f>IFERROR(__xludf.DUMMYFUNCTION("""COMPUTED_VALUE"""),"Negative")</f>
        <v>Negative</v>
      </c>
      <c r="I1432" s="207"/>
      <c r="J1432" s="50"/>
      <c r="K1432" s="50">
        <f>IFERROR(__xludf.DUMMYFUNCTION("""COMPUTED_VALUE"""),2.0)</f>
        <v>2</v>
      </c>
      <c r="L1432" s="6"/>
      <c r="M1432" s="55"/>
      <c r="N1432" s="55">
        <f>IFERROR(__xludf.DUMMYFUNCTION("""COMPUTED_VALUE"""),1.0)</f>
        <v>1</v>
      </c>
      <c r="O1432" s="55" t="str">
        <f t="shared" si="3"/>
        <v/>
      </c>
      <c r="P1432" s="209"/>
      <c r="Q1432" s="75" t="b">
        <f>VLOOKUP($B1432,'Run Reconcile'!B$2:P1679,15,FALSE)</f>
        <v>1</v>
      </c>
      <c r="R1432" s="211" t="str">
        <f t="array" ref="R1432">IF($Q1432, INDEX('Run Reconcile'!A$2:A1679,MATCH(B1432,'Run Reconcile'!B$2:B1679,0),1),IFERROR(0/0,""))</f>
        <v>RUN-COMB_2022-07-14_RFR-078</v>
      </c>
      <c r="S1432" s="165" t="str">
        <f t="shared" ref="S1432:T1432" si="2863">IF(COUNTIF(W$2:W1679, $A1432) &gt; 0,TRUE,IFERROR(0/0,""))</f>
        <v/>
      </c>
      <c r="T1432" s="165" t="str">
        <f t="shared" si="2863"/>
        <v/>
      </c>
      <c r="U1432" s="147" t="str">
        <f t="array" ref="U1432">IF(ISBLANK($R1432), IF($S1432,VLOOKUP($B1432+1,'RFR Data - preExcl'!$BF$2:$BG1679,2,FALSE),IF($T1432,INDEX('RFR Data - preExcl'!$BF$2:$BG1679,MATCH($B1432,'RFR Data - preExcl'!$BF$2:$BF1679,0)+1,2),VLOOKUP($B1432,'RFR Data - preExcl'!$BF$2:$BG1679,2,FALSE))),IFERROR(0/0,""))</f>
        <v/>
      </c>
      <c r="V1432" s="212" t="str">
        <f t="shared" si="5"/>
        <v>RUN-COMB_2022-07-14_RFR-078</v>
      </c>
      <c r="W1432" s="51"/>
      <c r="X1432" s="51"/>
      <c r="Y1432" s="147" t="str">
        <f t="shared" ref="Y1432:Z1432" si="2864">IF(_xlfn.ISFORMULA(S1432),IFERROR(0/0,""),TRUE)</f>
        <v/>
      </c>
      <c r="Z1432" s="147" t="str">
        <f t="shared" si="2864"/>
        <v/>
      </c>
    </row>
    <row r="1433">
      <c r="A1433" s="6" t="str">
        <f>IFERROR(__xludf.DUMMYFUNCTION("""COMPUTED_VALUE"""),"FM3791")</f>
        <v>FM3791</v>
      </c>
      <c r="B1433" s="206">
        <f>IFERROR(__xludf.DUMMYFUNCTION("""COMPUTED_VALUE"""),44756.0)</f>
        <v>44756</v>
      </c>
      <c r="C1433" s="207">
        <f>IFERROR(__xludf.DUMMYFUNCTION("""COMPUTED_VALUE"""),0.6349421296296296)</f>
        <v>0.6349421296</v>
      </c>
      <c r="D1433" s="50"/>
      <c r="E1433" s="58"/>
      <c r="F1433" s="58"/>
      <c r="G1433" s="58" t="str">
        <f>IFERROR(__xludf.DUMMYFUNCTION("""COMPUTED_VALUE"""),"Null")</f>
        <v>Null</v>
      </c>
      <c r="H1433" s="206" t="str">
        <f>IFERROR(__xludf.DUMMYFUNCTION("""COMPUTED_VALUE"""),"Negative")</f>
        <v>Negative</v>
      </c>
      <c r="I1433" s="207"/>
      <c r="J1433" s="50"/>
      <c r="K1433" s="50">
        <f>IFERROR(__xludf.DUMMYFUNCTION("""COMPUTED_VALUE"""),2.0)</f>
        <v>2</v>
      </c>
      <c r="L1433" s="6"/>
      <c r="M1433" s="55"/>
      <c r="N1433" s="55">
        <f>IFERROR(__xludf.DUMMYFUNCTION("""COMPUTED_VALUE"""),1.0)</f>
        <v>1</v>
      </c>
      <c r="O1433" s="55" t="str">
        <f t="shared" si="3"/>
        <v/>
      </c>
      <c r="P1433" s="209"/>
      <c r="Q1433" s="75" t="b">
        <f>VLOOKUP($B1433,'Run Reconcile'!B$2:P1679,15,FALSE)</f>
        <v>1</v>
      </c>
      <c r="R1433" s="211" t="str">
        <f t="array" ref="R1433">IF($Q1433, INDEX('Run Reconcile'!A$2:A1679,MATCH(B1433,'Run Reconcile'!B$2:B1679,0),1),IFERROR(0/0,""))</f>
        <v>RUN-COMB_2022-07-14_RFR-078</v>
      </c>
      <c r="S1433" s="165" t="str">
        <f t="shared" ref="S1433:T1433" si="2865">IF(COUNTIF(W$2:W1679, $A1433) &gt; 0,TRUE,IFERROR(0/0,""))</f>
        <v/>
      </c>
      <c r="T1433" s="165" t="str">
        <f t="shared" si="2865"/>
        <v/>
      </c>
      <c r="U1433" s="147" t="str">
        <f t="array" ref="U1433">IF(ISBLANK($R1433), IF($S1433,VLOOKUP($B1433+1,'RFR Data - preExcl'!$BF$2:$BG1679,2,FALSE),IF($T1433,INDEX('RFR Data - preExcl'!$BF$2:$BG1679,MATCH($B1433,'RFR Data - preExcl'!$BF$2:$BF1679,0)+1,2),VLOOKUP($B1433,'RFR Data - preExcl'!$BF$2:$BG1679,2,FALSE))),IFERROR(0/0,""))</f>
        <v/>
      </c>
      <c r="V1433" s="212" t="str">
        <f t="shared" si="5"/>
        <v>RUN-COMB_2022-07-14_RFR-078</v>
      </c>
      <c r="W1433" s="51"/>
      <c r="X1433" s="51"/>
      <c r="Y1433" s="147" t="str">
        <f t="shared" ref="Y1433:Z1433" si="2866">IF(_xlfn.ISFORMULA(S1433),IFERROR(0/0,""),TRUE)</f>
        <v/>
      </c>
      <c r="Z1433" s="147" t="str">
        <f t="shared" si="2866"/>
        <v/>
      </c>
    </row>
    <row r="1434">
      <c r="A1434" s="6" t="str">
        <f>IFERROR(__xludf.DUMMYFUNCTION("""COMPUTED_VALUE"""),"FM3838")</f>
        <v>FM3838</v>
      </c>
      <c r="B1434" s="206">
        <f>IFERROR(__xludf.DUMMYFUNCTION("""COMPUTED_VALUE"""),44756.0)</f>
        <v>44756</v>
      </c>
      <c r="C1434" s="207">
        <f>IFERROR(__xludf.DUMMYFUNCTION("""COMPUTED_VALUE"""),0.6354050925925926)</f>
        <v>0.6354050926</v>
      </c>
      <c r="D1434" s="50"/>
      <c r="E1434" s="58"/>
      <c r="F1434" s="58"/>
      <c r="G1434" s="58" t="str">
        <f>IFERROR(__xludf.DUMMYFUNCTION("""COMPUTED_VALUE"""),"Null")</f>
        <v>Null</v>
      </c>
      <c r="H1434" s="206" t="str">
        <f>IFERROR(__xludf.DUMMYFUNCTION("""COMPUTED_VALUE"""),"Negative")</f>
        <v>Negative</v>
      </c>
      <c r="I1434" s="207"/>
      <c r="J1434" s="50"/>
      <c r="K1434" s="50">
        <f>IFERROR(__xludf.DUMMYFUNCTION("""COMPUTED_VALUE"""),2.0)</f>
        <v>2</v>
      </c>
      <c r="L1434" s="6"/>
      <c r="M1434" s="55"/>
      <c r="N1434" s="55">
        <f>IFERROR(__xludf.DUMMYFUNCTION("""COMPUTED_VALUE"""),1.0)</f>
        <v>1</v>
      </c>
      <c r="O1434" s="55" t="str">
        <f t="shared" si="3"/>
        <v/>
      </c>
      <c r="P1434" s="209"/>
      <c r="Q1434" s="75" t="b">
        <f>VLOOKUP($B1434,'Run Reconcile'!B$2:P1679,15,FALSE)</f>
        <v>1</v>
      </c>
      <c r="R1434" s="211" t="str">
        <f t="array" ref="R1434">IF($Q1434, INDEX('Run Reconcile'!A$2:A1679,MATCH(B1434,'Run Reconcile'!B$2:B1679,0),1),IFERROR(0/0,""))</f>
        <v>RUN-COMB_2022-07-14_RFR-078</v>
      </c>
      <c r="S1434" s="165" t="str">
        <f t="shared" ref="S1434:T1434" si="2867">IF(COUNTIF(W$2:W1679, $A1434) &gt; 0,TRUE,IFERROR(0/0,""))</f>
        <v/>
      </c>
      <c r="T1434" s="165" t="str">
        <f t="shared" si="2867"/>
        <v/>
      </c>
      <c r="U1434" s="147" t="str">
        <f t="array" ref="U1434">IF(ISBLANK($R1434), IF($S1434,VLOOKUP($B1434+1,'RFR Data - preExcl'!$BF$2:$BG1679,2,FALSE),IF($T1434,INDEX('RFR Data - preExcl'!$BF$2:$BG1679,MATCH($B1434,'RFR Data - preExcl'!$BF$2:$BF1679,0)+1,2),VLOOKUP($B1434,'RFR Data - preExcl'!$BF$2:$BG1679,2,FALSE))),IFERROR(0/0,""))</f>
        <v/>
      </c>
      <c r="V1434" s="212" t="str">
        <f t="shared" si="5"/>
        <v>RUN-COMB_2022-07-14_RFR-078</v>
      </c>
      <c r="W1434" s="51"/>
      <c r="X1434" s="51"/>
      <c r="Y1434" s="147" t="str">
        <f t="shared" ref="Y1434:Z1434" si="2868">IF(_xlfn.ISFORMULA(S1434),IFERROR(0/0,""),TRUE)</f>
        <v/>
      </c>
      <c r="Z1434" s="147" t="str">
        <f t="shared" si="2868"/>
        <v/>
      </c>
    </row>
    <row r="1435">
      <c r="A1435" s="6" t="str">
        <f>IFERROR(__xludf.DUMMYFUNCTION("""COMPUTED_VALUE"""),"FM3784")</f>
        <v>FM3784</v>
      </c>
      <c r="B1435" s="206">
        <f>IFERROR(__xludf.DUMMYFUNCTION("""COMPUTED_VALUE"""),44756.0)</f>
        <v>44756</v>
      </c>
      <c r="C1435" s="207">
        <f>IFERROR(__xludf.DUMMYFUNCTION("""COMPUTED_VALUE"""),0.6359722222222223)</f>
        <v>0.6359722222</v>
      </c>
      <c r="D1435" s="50"/>
      <c r="E1435" s="58"/>
      <c r="F1435" s="58"/>
      <c r="G1435" s="58" t="str">
        <f>IFERROR(__xludf.DUMMYFUNCTION("""COMPUTED_VALUE"""),"Null")</f>
        <v>Null</v>
      </c>
      <c r="H1435" s="206" t="str">
        <f>IFERROR(__xludf.DUMMYFUNCTION("""COMPUTED_VALUE"""),"Negative")</f>
        <v>Negative</v>
      </c>
      <c r="I1435" s="207"/>
      <c r="J1435" s="50"/>
      <c r="K1435" s="50">
        <f>IFERROR(__xludf.DUMMYFUNCTION("""COMPUTED_VALUE"""),2.0)</f>
        <v>2</v>
      </c>
      <c r="L1435" s="6"/>
      <c r="M1435" s="55"/>
      <c r="N1435" s="55">
        <f>IFERROR(__xludf.DUMMYFUNCTION("""COMPUTED_VALUE"""),1.0)</f>
        <v>1</v>
      </c>
      <c r="O1435" s="55" t="str">
        <f t="shared" si="3"/>
        <v/>
      </c>
      <c r="P1435" s="209"/>
      <c r="Q1435" s="75" t="b">
        <f>VLOOKUP($B1435,'Run Reconcile'!B$2:P1679,15,FALSE)</f>
        <v>1</v>
      </c>
      <c r="R1435" s="211" t="str">
        <f t="array" ref="R1435">IF($Q1435, INDEX('Run Reconcile'!A$2:A1679,MATCH(B1435,'Run Reconcile'!B$2:B1679,0),1),IFERROR(0/0,""))</f>
        <v>RUN-COMB_2022-07-14_RFR-078</v>
      </c>
      <c r="S1435" s="165" t="str">
        <f t="shared" ref="S1435:T1435" si="2869">IF(COUNTIF(W$2:W1679, $A1435) &gt; 0,TRUE,IFERROR(0/0,""))</f>
        <v/>
      </c>
      <c r="T1435" s="165" t="str">
        <f t="shared" si="2869"/>
        <v/>
      </c>
      <c r="U1435" s="147" t="str">
        <f t="array" ref="U1435">IF(ISBLANK($R1435), IF($S1435,VLOOKUP($B1435+1,'RFR Data - preExcl'!$BF$2:$BG1679,2,FALSE),IF($T1435,INDEX('RFR Data - preExcl'!$BF$2:$BG1679,MATCH($B1435,'RFR Data - preExcl'!$BF$2:$BF1679,0)+1,2),VLOOKUP($B1435,'RFR Data - preExcl'!$BF$2:$BG1679,2,FALSE))),IFERROR(0/0,""))</f>
        <v/>
      </c>
      <c r="V1435" s="212" t="str">
        <f t="shared" si="5"/>
        <v>RUN-COMB_2022-07-14_RFR-078</v>
      </c>
      <c r="W1435" s="51"/>
      <c r="X1435" s="51"/>
      <c r="Y1435" s="147" t="str">
        <f t="shared" ref="Y1435:Z1435" si="2870">IF(_xlfn.ISFORMULA(S1435),IFERROR(0/0,""),TRUE)</f>
        <v/>
      </c>
      <c r="Z1435" s="147" t="str">
        <f t="shared" si="2870"/>
        <v/>
      </c>
    </row>
    <row r="1436">
      <c r="A1436" s="6" t="str">
        <f>IFERROR(__xludf.DUMMYFUNCTION("""COMPUTED_VALUE"""),"FM3832")</f>
        <v>FM3832</v>
      </c>
      <c r="B1436" s="206">
        <f>IFERROR(__xludf.DUMMYFUNCTION("""COMPUTED_VALUE"""),44756.0)</f>
        <v>44756</v>
      </c>
      <c r="C1436" s="207">
        <f>IFERROR(__xludf.DUMMYFUNCTION("""COMPUTED_VALUE"""),0.6365740740740741)</f>
        <v>0.6365740741</v>
      </c>
      <c r="D1436" s="50"/>
      <c r="E1436" s="58"/>
      <c r="F1436" s="58"/>
      <c r="G1436" s="58" t="str">
        <f>IFERROR(__xludf.DUMMYFUNCTION("""COMPUTED_VALUE"""),"Null")</f>
        <v>Null</v>
      </c>
      <c r="H1436" s="206" t="str">
        <f>IFERROR(__xludf.DUMMYFUNCTION("""COMPUTED_VALUE"""),"Negative")</f>
        <v>Negative</v>
      </c>
      <c r="I1436" s="207"/>
      <c r="J1436" s="50"/>
      <c r="K1436" s="50">
        <f>IFERROR(__xludf.DUMMYFUNCTION("""COMPUTED_VALUE"""),2.0)</f>
        <v>2</v>
      </c>
      <c r="L1436" s="6"/>
      <c r="M1436" s="55"/>
      <c r="N1436" s="55">
        <f>IFERROR(__xludf.DUMMYFUNCTION("""COMPUTED_VALUE"""),1.0)</f>
        <v>1</v>
      </c>
      <c r="O1436" s="55" t="str">
        <f t="shared" si="3"/>
        <v/>
      </c>
      <c r="P1436" s="209"/>
      <c r="Q1436" s="75" t="b">
        <f>VLOOKUP($B1436,'Run Reconcile'!B$2:P1679,15,FALSE)</f>
        <v>1</v>
      </c>
      <c r="R1436" s="211" t="str">
        <f t="array" ref="R1436">IF($Q1436, INDEX('Run Reconcile'!A$2:A1679,MATCH(B1436,'Run Reconcile'!B$2:B1679,0),1),IFERROR(0/0,""))</f>
        <v>RUN-COMB_2022-07-14_RFR-078</v>
      </c>
      <c r="S1436" s="165" t="str">
        <f t="shared" ref="S1436:T1436" si="2871">IF(COUNTIF(W$2:W1679, $A1436) &gt; 0,TRUE,IFERROR(0/0,""))</f>
        <v/>
      </c>
      <c r="T1436" s="165" t="str">
        <f t="shared" si="2871"/>
        <v/>
      </c>
      <c r="U1436" s="147" t="str">
        <f t="array" ref="U1436">IF(ISBLANK($R1436), IF($S1436,VLOOKUP($B1436+1,'RFR Data - preExcl'!$BF$2:$BG1679,2,FALSE),IF($T1436,INDEX('RFR Data - preExcl'!$BF$2:$BG1679,MATCH($B1436,'RFR Data - preExcl'!$BF$2:$BF1679,0)+1,2),VLOOKUP($B1436,'RFR Data - preExcl'!$BF$2:$BG1679,2,FALSE))),IFERROR(0/0,""))</f>
        <v/>
      </c>
      <c r="V1436" s="212" t="str">
        <f t="shared" si="5"/>
        <v>RUN-COMB_2022-07-14_RFR-078</v>
      </c>
      <c r="W1436" s="51"/>
      <c r="X1436" s="51"/>
      <c r="Y1436" s="147" t="str">
        <f t="shared" ref="Y1436:Z1436" si="2872">IF(_xlfn.ISFORMULA(S1436),IFERROR(0/0,""),TRUE)</f>
        <v/>
      </c>
      <c r="Z1436" s="147" t="str">
        <f t="shared" si="2872"/>
        <v/>
      </c>
    </row>
    <row r="1437">
      <c r="A1437" s="6" t="str">
        <f>IFERROR(__xludf.DUMMYFUNCTION("""COMPUTED_VALUE"""),"FM3787")</f>
        <v>FM3787</v>
      </c>
      <c r="B1437" s="206">
        <f>IFERROR(__xludf.DUMMYFUNCTION("""COMPUTED_VALUE"""),44756.0)</f>
        <v>44756</v>
      </c>
      <c r="C1437" s="207">
        <f>IFERROR(__xludf.DUMMYFUNCTION("""COMPUTED_VALUE"""),0.637337962962963)</f>
        <v>0.637337963</v>
      </c>
      <c r="D1437" s="50"/>
      <c r="E1437" s="58"/>
      <c r="F1437" s="58"/>
      <c r="G1437" s="58" t="str">
        <f>IFERROR(__xludf.DUMMYFUNCTION("""COMPUTED_VALUE"""),"Null")</f>
        <v>Null</v>
      </c>
      <c r="H1437" s="206" t="str">
        <f>IFERROR(__xludf.DUMMYFUNCTION("""COMPUTED_VALUE"""),"Negative")</f>
        <v>Negative</v>
      </c>
      <c r="I1437" s="207"/>
      <c r="J1437" s="50"/>
      <c r="K1437" s="50">
        <f>IFERROR(__xludf.DUMMYFUNCTION("""COMPUTED_VALUE"""),2.0)</f>
        <v>2</v>
      </c>
      <c r="L1437" s="6"/>
      <c r="M1437" s="55"/>
      <c r="N1437" s="55">
        <f>IFERROR(__xludf.DUMMYFUNCTION("""COMPUTED_VALUE"""),1.0)</f>
        <v>1</v>
      </c>
      <c r="O1437" s="55" t="str">
        <f t="shared" si="3"/>
        <v/>
      </c>
      <c r="P1437" s="209"/>
      <c r="Q1437" s="75" t="b">
        <f>VLOOKUP($B1437,'Run Reconcile'!B$2:P1679,15,FALSE)</f>
        <v>1</v>
      </c>
      <c r="R1437" s="211" t="str">
        <f t="array" ref="R1437">IF($Q1437, INDEX('Run Reconcile'!A$2:A1679,MATCH(B1437,'Run Reconcile'!B$2:B1679,0),1),IFERROR(0/0,""))</f>
        <v>RUN-COMB_2022-07-14_RFR-078</v>
      </c>
      <c r="S1437" s="165" t="str">
        <f t="shared" ref="S1437:T1437" si="2873">IF(COUNTIF(W$2:W1679, $A1437) &gt; 0,TRUE,IFERROR(0/0,""))</f>
        <v/>
      </c>
      <c r="T1437" s="165" t="str">
        <f t="shared" si="2873"/>
        <v/>
      </c>
      <c r="U1437" s="147" t="str">
        <f t="array" ref="U1437">IF(ISBLANK($R1437), IF($S1437,VLOOKUP($B1437+1,'RFR Data - preExcl'!$BF$2:$BG1679,2,FALSE),IF($T1437,INDEX('RFR Data - preExcl'!$BF$2:$BG1679,MATCH($B1437,'RFR Data - preExcl'!$BF$2:$BF1679,0)+1,2),VLOOKUP($B1437,'RFR Data - preExcl'!$BF$2:$BG1679,2,FALSE))),IFERROR(0/0,""))</f>
        <v/>
      </c>
      <c r="V1437" s="212" t="str">
        <f t="shared" si="5"/>
        <v>RUN-COMB_2022-07-14_RFR-078</v>
      </c>
      <c r="W1437" s="51"/>
      <c r="X1437" s="51"/>
      <c r="Y1437" s="147" t="str">
        <f t="shared" ref="Y1437:Z1437" si="2874">IF(_xlfn.ISFORMULA(S1437),IFERROR(0/0,""),TRUE)</f>
        <v/>
      </c>
      <c r="Z1437" s="147" t="str">
        <f t="shared" si="2874"/>
        <v/>
      </c>
    </row>
    <row r="1438">
      <c r="A1438" s="6" t="str">
        <f>IFERROR(__xludf.DUMMYFUNCTION("""COMPUTED_VALUE"""),"FM3688")</f>
        <v>FM3688</v>
      </c>
      <c r="B1438" s="206">
        <f>IFERROR(__xludf.DUMMYFUNCTION("""COMPUTED_VALUE"""),44757.0)</f>
        <v>44757</v>
      </c>
      <c r="C1438" s="207">
        <f>IFERROR(__xludf.DUMMYFUNCTION("""COMPUTED_VALUE"""),0.7162731481481481)</f>
        <v>0.7162731481</v>
      </c>
      <c r="D1438" s="50"/>
      <c r="E1438" s="58"/>
      <c r="F1438" s="58"/>
      <c r="G1438" s="58" t="str">
        <f>IFERROR(__xludf.DUMMYFUNCTION("""COMPUTED_VALUE"""),"Null")</f>
        <v>Null</v>
      </c>
      <c r="H1438" s="206" t="str">
        <f>IFERROR(__xludf.DUMMYFUNCTION("""COMPUTED_VALUE"""),"Negative")</f>
        <v>Negative</v>
      </c>
      <c r="I1438" s="207"/>
      <c r="J1438" s="50"/>
      <c r="K1438" s="50">
        <f>IFERROR(__xludf.DUMMYFUNCTION("""COMPUTED_VALUE"""),2.0)</f>
        <v>2</v>
      </c>
      <c r="L1438" s="6"/>
      <c r="M1438" s="55"/>
      <c r="N1438" s="55">
        <f>IFERROR(__xludf.DUMMYFUNCTION("""COMPUTED_VALUE"""),1.0)</f>
        <v>1</v>
      </c>
      <c r="O1438" s="55" t="b">
        <f t="shared" si="3"/>
        <v>1</v>
      </c>
      <c r="P1438" s="209"/>
      <c r="Q1438" s="75" t="b">
        <f>VLOOKUP($B1438,'Run Reconcile'!B$2:P1679,15,FALSE)</f>
        <v>1</v>
      </c>
      <c r="R1438" s="211" t="str">
        <f t="array" ref="R1438">IF($Q1438, INDEX('Run Reconcile'!A$2:A1679,MATCH(B1438,'Run Reconcile'!B$2:B1679,0),1),IFERROR(0/0,""))</f>
        <v>RUN-COMB_2022-07-15_RFR-079</v>
      </c>
      <c r="S1438" s="165" t="str">
        <f t="shared" ref="S1438:T1438" si="2875">IF(COUNTIF(W$2:W1679, $A1438) &gt; 0,TRUE,IFERROR(0/0,""))</f>
        <v/>
      </c>
      <c r="T1438" s="165" t="str">
        <f t="shared" si="2875"/>
        <v/>
      </c>
      <c r="U1438" s="147" t="str">
        <f t="array" ref="U1438">IF(ISBLANK($R1438), IF($S1438,VLOOKUP($B1438+1,'RFR Data - preExcl'!$BF$2:$BG1679,2,FALSE),IF($T1438,INDEX('RFR Data - preExcl'!$BF$2:$BG1679,MATCH($B1438,'RFR Data - preExcl'!$BF$2:$BF1679,0)+1,2),VLOOKUP($B1438,'RFR Data - preExcl'!$BF$2:$BG1679,2,FALSE))),IFERROR(0/0,""))</f>
        <v/>
      </c>
      <c r="V1438" s="212" t="str">
        <f t="shared" si="5"/>
        <v>RUN-COMB_2022-07-15_RFR-079</v>
      </c>
      <c r="W1438" s="51"/>
      <c r="X1438" s="51"/>
      <c r="Y1438" s="147" t="str">
        <f t="shared" ref="Y1438:Z1438" si="2876">IF(_xlfn.ISFORMULA(S1438),IFERROR(0/0,""),TRUE)</f>
        <v/>
      </c>
      <c r="Z1438" s="147" t="str">
        <f t="shared" si="2876"/>
        <v/>
      </c>
    </row>
    <row r="1439">
      <c r="A1439" s="6" t="str">
        <f>IFERROR(__xludf.DUMMYFUNCTION("""COMPUTED_VALUE"""),"FM2535")</f>
        <v>FM2535</v>
      </c>
      <c r="B1439" s="206">
        <f>IFERROR(__xludf.DUMMYFUNCTION("""COMPUTED_VALUE"""),44757.0)</f>
        <v>44757</v>
      </c>
      <c r="C1439" s="207">
        <f>IFERROR(__xludf.DUMMYFUNCTION("""COMPUTED_VALUE"""),0.7166319444444444)</f>
        <v>0.7166319444</v>
      </c>
      <c r="D1439" s="50"/>
      <c r="E1439" s="58"/>
      <c r="F1439" s="58"/>
      <c r="G1439" s="58" t="str">
        <f>IFERROR(__xludf.DUMMYFUNCTION("""COMPUTED_VALUE"""),"Null")</f>
        <v>Null</v>
      </c>
      <c r="H1439" s="206" t="str">
        <f>IFERROR(__xludf.DUMMYFUNCTION("""COMPUTED_VALUE"""),"Negative")</f>
        <v>Negative</v>
      </c>
      <c r="I1439" s="207"/>
      <c r="J1439" s="50"/>
      <c r="K1439" s="50">
        <f>IFERROR(__xludf.DUMMYFUNCTION("""COMPUTED_VALUE"""),2.0)</f>
        <v>2</v>
      </c>
      <c r="L1439" s="6"/>
      <c r="M1439" s="55"/>
      <c r="N1439" s="55">
        <f>IFERROR(__xludf.DUMMYFUNCTION("""COMPUTED_VALUE"""),1.0)</f>
        <v>1</v>
      </c>
      <c r="O1439" s="55" t="str">
        <f t="shared" si="3"/>
        <v/>
      </c>
      <c r="P1439" s="209"/>
      <c r="Q1439" s="75" t="b">
        <f>VLOOKUP($B1439,'Run Reconcile'!B$2:P1679,15,FALSE)</f>
        <v>1</v>
      </c>
      <c r="R1439" s="211" t="str">
        <f t="array" ref="R1439">IF($Q1439, INDEX('Run Reconcile'!A$2:A1679,MATCH(B1439,'Run Reconcile'!B$2:B1679,0),1),IFERROR(0/0,""))</f>
        <v>RUN-COMB_2022-07-15_RFR-079</v>
      </c>
      <c r="S1439" s="165" t="str">
        <f t="shared" ref="S1439:T1439" si="2877">IF(COUNTIF(W$2:W1679, $A1439) &gt; 0,TRUE,IFERROR(0/0,""))</f>
        <v/>
      </c>
      <c r="T1439" s="165" t="str">
        <f t="shared" si="2877"/>
        <v/>
      </c>
      <c r="U1439" s="147" t="str">
        <f t="array" ref="U1439">IF(ISBLANK($R1439), IF($S1439,VLOOKUP($B1439+1,'RFR Data - preExcl'!$BF$2:$BG1679,2,FALSE),IF($T1439,INDEX('RFR Data - preExcl'!$BF$2:$BG1679,MATCH($B1439,'RFR Data - preExcl'!$BF$2:$BF1679,0)+1,2),VLOOKUP($B1439,'RFR Data - preExcl'!$BF$2:$BG1679,2,FALSE))),IFERROR(0/0,""))</f>
        <v/>
      </c>
      <c r="V1439" s="212" t="str">
        <f t="shared" si="5"/>
        <v>RUN-COMB_2022-07-15_RFR-079</v>
      </c>
      <c r="W1439" s="51"/>
      <c r="X1439" s="51"/>
      <c r="Y1439" s="147" t="str">
        <f t="shared" ref="Y1439:Z1439" si="2878">IF(_xlfn.ISFORMULA(S1439),IFERROR(0/0,""),TRUE)</f>
        <v/>
      </c>
      <c r="Z1439" s="147" t="str">
        <f t="shared" si="2878"/>
        <v/>
      </c>
    </row>
    <row r="1440">
      <c r="A1440" s="6" t="str">
        <f>IFERROR(__xludf.DUMMYFUNCTION("""COMPUTED_VALUE"""),"FM3819")</f>
        <v>FM3819</v>
      </c>
      <c r="B1440" s="206">
        <f>IFERROR(__xludf.DUMMYFUNCTION("""COMPUTED_VALUE"""),44757.0)</f>
        <v>44757</v>
      </c>
      <c r="C1440" s="207">
        <f>IFERROR(__xludf.DUMMYFUNCTION("""COMPUTED_VALUE"""),0.7169675925925926)</f>
        <v>0.7169675926</v>
      </c>
      <c r="D1440" s="50"/>
      <c r="E1440" s="58"/>
      <c r="F1440" s="58"/>
      <c r="G1440" s="58" t="str">
        <f>IFERROR(__xludf.DUMMYFUNCTION("""COMPUTED_VALUE"""),"Null")</f>
        <v>Null</v>
      </c>
      <c r="H1440" s="206" t="str">
        <f>IFERROR(__xludf.DUMMYFUNCTION("""COMPUTED_VALUE"""),"Negative")</f>
        <v>Negative</v>
      </c>
      <c r="I1440" s="207"/>
      <c r="J1440" s="50"/>
      <c r="K1440" s="50">
        <f>IFERROR(__xludf.DUMMYFUNCTION("""COMPUTED_VALUE"""),2.0)</f>
        <v>2</v>
      </c>
      <c r="L1440" s="6"/>
      <c r="M1440" s="55"/>
      <c r="N1440" s="55">
        <f>IFERROR(__xludf.DUMMYFUNCTION("""COMPUTED_VALUE"""),1.0)</f>
        <v>1</v>
      </c>
      <c r="O1440" s="55" t="str">
        <f t="shared" si="3"/>
        <v/>
      </c>
      <c r="P1440" s="209"/>
      <c r="Q1440" s="75" t="b">
        <f>VLOOKUP($B1440,'Run Reconcile'!B$2:P1679,15,FALSE)</f>
        <v>1</v>
      </c>
      <c r="R1440" s="211" t="str">
        <f t="array" ref="R1440">IF($Q1440, INDEX('Run Reconcile'!A$2:A1679,MATCH(B1440,'Run Reconcile'!B$2:B1679,0),1),IFERROR(0/0,""))</f>
        <v>RUN-COMB_2022-07-15_RFR-079</v>
      </c>
      <c r="S1440" s="165" t="str">
        <f t="shared" ref="S1440:T1440" si="2879">IF(COUNTIF(W$2:W1679, $A1440) &gt; 0,TRUE,IFERROR(0/0,""))</f>
        <v/>
      </c>
      <c r="T1440" s="165" t="str">
        <f t="shared" si="2879"/>
        <v/>
      </c>
      <c r="U1440" s="147" t="str">
        <f t="array" ref="U1440">IF(ISBLANK($R1440), IF($S1440,VLOOKUP($B1440+1,'RFR Data - preExcl'!$BF$2:$BG1679,2,FALSE),IF($T1440,INDEX('RFR Data - preExcl'!$BF$2:$BG1679,MATCH($B1440,'RFR Data - preExcl'!$BF$2:$BF1679,0)+1,2),VLOOKUP($B1440,'RFR Data - preExcl'!$BF$2:$BG1679,2,FALSE))),IFERROR(0/0,""))</f>
        <v/>
      </c>
      <c r="V1440" s="212" t="str">
        <f t="shared" si="5"/>
        <v>RUN-COMB_2022-07-15_RFR-079</v>
      </c>
      <c r="W1440" s="51"/>
      <c r="X1440" s="51"/>
      <c r="Y1440" s="147" t="str">
        <f t="shared" ref="Y1440:Z1440" si="2880">IF(_xlfn.ISFORMULA(S1440),IFERROR(0/0,""),TRUE)</f>
        <v/>
      </c>
      <c r="Z1440" s="147" t="str">
        <f t="shared" si="2880"/>
        <v/>
      </c>
    </row>
    <row r="1441">
      <c r="A1441" s="6" t="str">
        <f>IFERROR(__xludf.DUMMYFUNCTION("""COMPUTED_VALUE"""),"FM3705")</f>
        <v>FM3705</v>
      </c>
      <c r="B1441" s="206">
        <f>IFERROR(__xludf.DUMMYFUNCTION("""COMPUTED_VALUE"""),44757.0)</f>
        <v>44757</v>
      </c>
      <c r="C1441" s="207">
        <f>IFERROR(__xludf.DUMMYFUNCTION("""COMPUTED_VALUE"""),0.7173726851851852)</f>
        <v>0.7173726852</v>
      </c>
      <c r="D1441" s="50"/>
      <c r="E1441" s="58"/>
      <c r="F1441" s="58"/>
      <c r="G1441" s="58" t="str">
        <f>IFERROR(__xludf.DUMMYFUNCTION("""COMPUTED_VALUE"""),"Null")</f>
        <v>Null</v>
      </c>
      <c r="H1441" s="206" t="str">
        <f>IFERROR(__xludf.DUMMYFUNCTION("""COMPUTED_VALUE"""),"Negative")</f>
        <v>Negative</v>
      </c>
      <c r="I1441" s="207"/>
      <c r="J1441" s="50"/>
      <c r="K1441" s="50">
        <f>IFERROR(__xludf.DUMMYFUNCTION("""COMPUTED_VALUE"""),2.0)</f>
        <v>2</v>
      </c>
      <c r="L1441" s="6"/>
      <c r="M1441" s="55"/>
      <c r="N1441" s="55">
        <f>IFERROR(__xludf.DUMMYFUNCTION("""COMPUTED_VALUE"""),1.0)</f>
        <v>1</v>
      </c>
      <c r="O1441" s="55" t="str">
        <f t="shared" si="3"/>
        <v/>
      </c>
      <c r="P1441" s="209"/>
      <c r="Q1441" s="75" t="b">
        <f>VLOOKUP($B1441,'Run Reconcile'!B$2:P1679,15,FALSE)</f>
        <v>1</v>
      </c>
      <c r="R1441" s="211" t="str">
        <f t="array" ref="R1441">IF($Q1441, INDEX('Run Reconcile'!A$2:A1679,MATCH(B1441,'Run Reconcile'!B$2:B1679,0),1),IFERROR(0/0,""))</f>
        <v>RUN-COMB_2022-07-15_RFR-079</v>
      </c>
      <c r="S1441" s="165" t="str">
        <f t="shared" ref="S1441:T1441" si="2881">IF(COUNTIF(W$2:W1679, $A1441) &gt; 0,TRUE,IFERROR(0/0,""))</f>
        <v/>
      </c>
      <c r="T1441" s="165" t="str">
        <f t="shared" si="2881"/>
        <v/>
      </c>
      <c r="U1441" s="147" t="str">
        <f t="array" ref="U1441">IF(ISBLANK($R1441), IF($S1441,VLOOKUP($B1441+1,'RFR Data - preExcl'!$BF$2:$BG1679,2,FALSE),IF($T1441,INDEX('RFR Data - preExcl'!$BF$2:$BG1679,MATCH($B1441,'RFR Data - preExcl'!$BF$2:$BF1679,0)+1,2),VLOOKUP($B1441,'RFR Data - preExcl'!$BF$2:$BG1679,2,FALSE))),IFERROR(0/0,""))</f>
        <v/>
      </c>
      <c r="V1441" s="212" t="str">
        <f t="shared" si="5"/>
        <v>RUN-COMB_2022-07-15_RFR-079</v>
      </c>
      <c r="W1441" s="51"/>
      <c r="X1441" s="51"/>
      <c r="Y1441" s="147" t="str">
        <f t="shared" ref="Y1441:Z1441" si="2882">IF(_xlfn.ISFORMULA(S1441),IFERROR(0/0,""),TRUE)</f>
        <v/>
      </c>
      <c r="Z1441" s="147" t="str">
        <f t="shared" si="2882"/>
        <v/>
      </c>
    </row>
    <row r="1442">
      <c r="A1442" s="6" t="str">
        <f>IFERROR(__xludf.DUMMYFUNCTION("""COMPUTED_VALUE"""),"FM3809")</f>
        <v>FM3809</v>
      </c>
      <c r="B1442" s="206">
        <f>IFERROR(__xludf.DUMMYFUNCTION("""COMPUTED_VALUE"""),44757.0)</f>
        <v>44757</v>
      </c>
      <c r="C1442" s="207">
        <f>IFERROR(__xludf.DUMMYFUNCTION("""COMPUTED_VALUE"""),0.7176967592592592)</f>
        <v>0.7176967593</v>
      </c>
      <c r="D1442" s="50"/>
      <c r="E1442" s="58"/>
      <c r="F1442" s="58"/>
      <c r="G1442" s="58" t="str">
        <f>IFERROR(__xludf.DUMMYFUNCTION("""COMPUTED_VALUE"""),"Null")</f>
        <v>Null</v>
      </c>
      <c r="H1442" s="206" t="str">
        <f>IFERROR(__xludf.DUMMYFUNCTION("""COMPUTED_VALUE"""),"Negative")</f>
        <v>Negative</v>
      </c>
      <c r="I1442" s="207"/>
      <c r="J1442" s="50"/>
      <c r="K1442" s="50">
        <f>IFERROR(__xludf.DUMMYFUNCTION("""COMPUTED_VALUE"""),2.0)</f>
        <v>2</v>
      </c>
      <c r="L1442" s="6"/>
      <c r="M1442" s="55"/>
      <c r="N1442" s="55">
        <f>IFERROR(__xludf.DUMMYFUNCTION("""COMPUTED_VALUE"""),1.0)</f>
        <v>1</v>
      </c>
      <c r="O1442" s="55" t="str">
        <f t="shared" si="3"/>
        <v/>
      </c>
      <c r="P1442" s="209"/>
      <c r="Q1442" s="75" t="b">
        <f>VLOOKUP($B1442,'Run Reconcile'!B$2:P1679,15,FALSE)</f>
        <v>1</v>
      </c>
      <c r="R1442" s="211" t="str">
        <f t="array" ref="R1442">IF($Q1442, INDEX('Run Reconcile'!A$2:A1679,MATCH(B1442,'Run Reconcile'!B$2:B1679,0),1),IFERROR(0/0,""))</f>
        <v>RUN-COMB_2022-07-15_RFR-079</v>
      </c>
      <c r="S1442" s="165" t="str">
        <f t="shared" ref="S1442:T1442" si="2883">IF(COUNTIF(W$2:W1679, $A1442) &gt; 0,TRUE,IFERROR(0/0,""))</f>
        <v/>
      </c>
      <c r="T1442" s="165" t="str">
        <f t="shared" si="2883"/>
        <v/>
      </c>
      <c r="U1442" s="147" t="str">
        <f t="array" ref="U1442">IF(ISBLANK($R1442), IF($S1442,VLOOKUP($B1442+1,'RFR Data - preExcl'!$BF$2:$BG1679,2,FALSE),IF($T1442,INDEX('RFR Data - preExcl'!$BF$2:$BG1679,MATCH($B1442,'RFR Data - preExcl'!$BF$2:$BF1679,0)+1,2),VLOOKUP($B1442,'RFR Data - preExcl'!$BF$2:$BG1679,2,FALSE))),IFERROR(0/0,""))</f>
        <v/>
      </c>
      <c r="V1442" s="212" t="str">
        <f t="shared" si="5"/>
        <v>RUN-COMB_2022-07-15_RFR-079</v>
      </c>
      <c r="W1442" s="51"/>
      <c r="X1442" s="51"/>
      <c r="Y1442" s="147" t="str">
        <f t="shared" ref="Y1442:Z1442" si="2884">IF(_xlfn.ISFORMULA(S1442),IFERROR(0/0,""),TRUE)</f>
        <v/>
      </c>
      <c r="Z1442" s="147" t="str">
        <f t="shared" si="2884"/>
        <v/>
      </c>
    </row>
    <row r="1443">
      <c r="A1443" s="6" t="str">
        <f>IFERROR(__xludf.DUMMYFUNCTION("""COMPUTED_VALUE"""),"FM2590")</f>
        <v>FM2590</v>
      </c>
      <c r="B1443" s="206">
        <f>IFERROR(__xludf.DUMMYFUNCTION("""COMPUTED_VALUE"""),44757.0)</f>
        <v>44757</v>
      </c>
      <c r="C1443" s="207">
        <f>IFERROR(__xludf.DUMMYFUNCTION("""COMPUTED_VALUE"""),0.7181597222222222)</f>
        <v>0.7181597222</v>
      </c>
      <c r="D1443" s="50"/>
      <c r="E1443" s="58"/>
      <c r="F1443" s="58"/>
      <c r="G1443" s="58" t="str">
        <f>IFERROR(__xludf.DUMMYFUNCTION("""COMPUTED_VALUE"""),"Null")</f>
        <v>Null</v>
      </c>
      <c r="H1443" s="206" t="str">
        <f>IFERROR(__xludf.DUMMYFUNCTION("""COMPUTED_VALUE"""),"Negative")</f>
        <v>Negative</v>
      </c>
      <c r="I1443" s="207"/>
      <c r="J1443" s="50"/>
      <c r="K1443" s="50">
        <f>IFERROR(__xludf.DUMMYFUNCTION("""COMPUTED_VALUE"""),2.0)</f>
        <v>2</v>
      </c>
      <c r="L1443" s="6"/>
      <c r="M1443" s="55"/>
      <c r="N1443" s="55">
        <f>IFERROR(__xludf.DUMMYFUNCTION("""COMPUTED_VALUE"""),1.0)</f>
        <v>1</v>
      </c>
      <c r="O1443" s="55" t="str">
        <f t="shared" si="3"/>
        <v/>
      </c>
      <c r="P1443" s="209"/>
      <c r="Q1443" s="75" t="b">
        <f>VLOOKUP($B1443,'Run Reconcile'!B$2:P1679,15,FALSE)</f>
        <v>1</v>
      </c>
      <c r="R1443" s="211" t="str">
        <f t="array" ref="R1443">IF($Q1443, INDEX('Run Reconcile'!A$2:A1679,MATCH(B1443,'Run Reconcile'!B$2:B1679,0),1),IFERROR(0/0,""))</f>
        <v>RUN-COMB_2022-07-15_RFR-079</v>
      </c>
      <c r="S1443" s="165" t="str">
        <f t="shared" ref="S1443:T1443" si="2885">IF(COUNTIF(W$2:W1679, $A1443) &gt; 0,TRUE,IFERROR(0/0,""))</f>
        <v/>
      </c>
      <c r="T1443" s="165" t="str">
        <f t="shared" si="2885"/>
        <v/>
      </c>
      <c r="U1443" s="147" t="str">
        <f t="array" ref="U1443">IF(ISBLANK($R1443), IF($S1443,VLOOKUP($B1443+1,'RFR Data - preExcl'!$BF$2:$BG1679,2,FALSE),IF($T1443,INDEX('RFR Data - preExcl'!$BF$2:$BG1679,MATCH($B1443,'RFR Data - preExcl'!$BF$2:$BF1679,0)+1,2),VLOOKUP($B1443,'RFR Data - preExcl'!$BF$2:$BG1679,2,FALSE))),IFERROR(0/0,""))</f>
        <v/>
      </c>
      <c r="V1443" s="212" t="str">
        <f t="shared" si="5"/>
        <v>RUN-COMB_2022-07-15_RFR-079</v>
      </c>
      <c r="W1443" s="51"/>
      <c r="X1443" s="51"/>
      <c r="Y1443" s="147" t="str">
        <f t="shared" ref="Y1443:Z1443" si="2886">IF(_xlfn.ISFORMULA(S1443),IFERROR(0/0,""),TRUE)</f>
        <v/>
      </c>
      <c r="Z1443" s="147" t="str">
        <f t="shared" si="2886"/>
        <v/>
      </c>
    </row>
    <row r="1444">
      <c r="A1444" s="6" t="str">
        <f>IFERROR(__xludf.DUMMYFUNCTION("""COMPUTED_VALUE"""),"FM3811")</f>
        <v>FM3811</v>
      </c>
      <c r="B1444" s="206">
        <f>IFERROR(__xludf.DUMMYFUNCTION("""COMPUTED_VALUE"""),44757.0)</f>
        <v>44757</v>
      </c>
      <c r="C1444" s="207">
        <f>IFERROR(__xludf.DUMMYFUNCTION("""COMPUTED_VALUE"""),0.7185648148148148)</f>
        <v>0.7185648148</v>
      </c>
      <c r="D1444" s="50"/>
      <c r="E1444" s="58"/>
      <c r="F1444" s="58"/>
      <c r="G1444" s="58" t="str">
        <f>IFERROR(__xludf.DUMMYFUNCTION("""COMPUTED_VALUE"""),"Null")</f>
        <v>Null</v>
      </c>
      <c r="H1444" s="206" t="str">
        <f>IFERROR(__xludf.DUMMYFUNCTION("""COMPUTED_VALUE"""),"Negative")</f>
        <v>Negative</v>
      </c>
      <c r="I1444" s="207"/>
      <c r="J1444" s="50"/>
      <c r="K1444" s="50">
        <f>IFERROR(__xludf.DUMMYFUNCTION("""COMPUTED_VALUE"""),2.0)</f>
        <v>2</v>
      </c>
      <c r="L1444" s="6"/>
      <c r="M1444" s="55"/>
      <c r="N1444" s="55">
        <f>IFERROR(__xludf.DUMMYFUNCTION("""COMPUTED_VALUE"""),1.0)</f>
        <v>1</v>
      </c>
      <c r="O1444" s="55" t="str">
        <f t="shared" si="3"/>
        <v/>
      </c>
      <c r="P1444" s="209"/>
      <c r="Q1444" s="75" t="b">
        <f>VLOOKUP($B1444,'Run Reconcile'!B$2:P1679,15,FALSE)</f>
        <v>1</v>
      </c>
      <c r="R1444" s="211" t="str">
        <f t="array" ref="R1444">IF($Q1444, INDEX('Run Reconcile'!A$2:A1679,MATCH(B1444,'Run Reconcile'!B$2:B1679,0),1),IFERROR(0/0,""))</f>
        <v>RUN-COMB_2022-07-15_RFR-079</v>
      </c>
      <c r="S1444" s="165" t="str">
        <f t="shared" ref="S1444:T1444" si="2887">IF(COUNTIF(W$2:W1679, $A1444) &gt; 0,TRUE,IFERROR(0/0,""))</f>
        <v/>
      </c>
      <c r="T1444" s="165" t="str">
        <f t="shared" si="2887"/>
        <v/>
      </c>
      <c r="U1444" s="147" t="str">
        <f t="array" ref="U1444">IF(ISBLANK($R1444), IF($S1444,VLOOKUP($B1444+1,'RFR Data - preExcl'!$BF$2:$BG1679,2,FALSE),IF($T1444,INDEX('RFR Data - preExcl'!$BF$2:$BG1679,MATCH($B1444,'RFR Data - preExcl'!$BF$2:$BF1679,0)+1,2),VLOOKUP($B1444,'RFR Data - preExcl'!$BF$2:$BG1679,2,FALSE))),IFERROR(0/0,""))</f>
        <v/>
      </c>
      <c r="V1444" s="212" t="str">
        <f t="shared" si="5"/>
        <v>RUN-COMB_2022-07-15_RFR-079</v>
      </c>
      <c r="W1444" s="51"/>
      <c r="X1444" s="51"/>
      <c r="Y1444" s="147" t="str">
        <f t="shared" ref="Y1444:Z1444" si="2888">IF(_xlfn.ISFORMULA(S1444),IFERROR(0/0,""),TRUE)</f>
        <v/>
      </c>
      <c r="Z1444" s="147" t="str">
        <f t="shared" si="2888"/>
        <v/>
      </c>
    </row>
    <row r="1445">
      <c r="A1445" s="6" t="str">
        <f>IFERROR(__xludf.DUMMYFUNCTION("""COMPUTED_VALUE"""),"FM3825")</f>
        <v>FM3825</v>
      </c>
      <c r="B1445" s="206">
        <f>IFERROR(__xludf.DUMMYFUNCTION("""COMPUTED_VALUE"""),44757.0)</f>
        <v>44757</v>
      </c>
      <c r="C1445" s="207">
        <f>IFERROR(__xludf.DUMMYFUNCTION("""COMPUTED_VALUE"""),0.7188773148148148)</f>
        <v>0.7188773148</v>
      </c>
      <c r="D1445" s="50"/>
      <c r="E1445" s="58"/>
      <c r="F1445" s="58"/>
      <c r="G1445" s="58" t="str">
        <f>IFERROR(__xludf.DUMMYFUNCTION("""COMPUTED_VALUE"""),"Null")</f>
        <v>Null</v>
      </c>
      <c r="H1445" s="206" t="str">
        <f>IFERROR(__xludf.DUMMYFUNCTION("""COMPUTED_VALUE"""),"Negative")</f>
        <v>Negative</v>
      </c>
      <c r="I1445" s="207"/>
      <c r="J1445" s="50"/>
      <c r="K1445" s="50">
        <f>IFERROR(__xludf.DUMMYFUNCTION("""COMPUTED_VALUE"""),2.0)</f>
        <v>2</v>
      </c>
      <c r="L1445" s="6"/>
      <c r="M1445" s="55"/>
      <c r="N1445" s="55">
        <f>IFERROR(__xludf.DUMMYFUNCTION("""COMPUTED_VALUE"""),1.0)</f>
        <v>1</v>
      </c>
      <c r="O1445" s="55" t="str">
        <f t="shared" si="3"/>
        <v/>
      </c>
      <c r="P1445" s="209"/>
      <c r="Q1445" s="75" t="b">
        <f>VLOOKUP($B1445,'Run Reconcile'!B$2:P1679,15,FALSE)</f>
        <v>1</v>
      </c>
      <c r="R1445" s="211" t="str">
        <f t="array" ref="R1445">IF($Q1445, INDEX('Run Reconcile'!A$2:A1679,MATCH(B1445,'Run Reconcile'!B$2:B1679,0),1),IFERROR(0/0,""))</f>
        <v>RUN-COMB_2022-07-15_RFR-079</v>
      </c>
      <c r="S1445" s="165" t="str">
        <f t="shared" ref="S1445:T1445" si="2889">IF(COUNTIF(W$2:W1679, $A1445) &gt; 0,TRUE,IFERROR(0/0,""))</f>
        <v/>
      </c>
      <c r="T1445" s="165" t="str">
        <f t="shared" si="2889"/>
        <v/>
      </c>
      <c r="U1445" s="147" t="str">
        <f t="array" ref="U1445">IF(ISBLANK($R1445), IF($S1445,VLOOKUP($B1445+1,'RFR Data - preExcl'!$BF$2:$BG1679,2,FALSE),IF($T1445,INDEX('RFR Data - preExcl'!$BF$2:$BG1679,MATCH($B1445,'RFR Data - preExcl'!$BF$2:$BF1679,0)+1,2),VLOOKUP($B1445,'RFR Data - preExcl'!$BF$2:$BG1679,2,FALSE))),IFERROR(0/0,""))</f>
        <v/>
      </c>
      <c r="V1445" s="212" t="str">
        <f t="shared" si="5"/>
        <v>RUN-COMB_2022-07-15_RFR-079</v>
      </c>
      <c r="W1445" s="51"/>
      <c r="X1445" s="51"/>
      <c r="Y1445" s="147" t="str">
        <f t="shared" ref="Y1445:Z1445" si="2890">IF(_xlfn.ISFORMULA(S1445),IFERROR(0/0,""),TRUE)</f>
        <v/>
      </c>
      <c r="Z1445" s="147" t="str">
        <f t="shared" si="2890"/>
        <v/>
      </c>
    </row>
    <row r="1446">
      <c r="A1446" s="6" t="str">
        <f>IFERROR(__xludf.DUMMYFUNCTION("""COMPUTED_VALUE"""),"FM3803")</f>
        <v>FM3803</v>
      </c>
      <c r="B1446" s="206">
        <f>IFERROR(__xludf.DUMMYFUNCTION("""COMPUTED_VALUE"""),44757.0)</f>
        <v>44757</v>
      </c>
      <c r="C1446" s="207">
        <f>IFERROR(__xludf.DUMMYFUNCTION("""COMPUTED_VALUE"""),0.7202777777777778)</f>
        <v>0.7202777778</v>
      </c>
      <c r="D1446" s="50"/>
      <c r="E1446" s="58"/>
      <c r="F1446" s="58"/>
      <c r="G1446" s="58" t="str">
        <f>IFERROR(__xludf.DUMMYFUNCTION("""COMPUTED_VALUE"""),"Null")</f>
        <v>Null</v>
      </c>
      <c r="H1446" s="206" t="str">
        <f>IFERROR(__xludf.DUMMYFUNCTION("""COMPUTED_VALUE"""),"Negative")</f>
        <v>Negative</v>
      </c>
      <c r="I1446" s="207"/>
      <c r="J1446" s="50"/>
      <c r="K1446" s="50">
        <f>IFERROR(__xludf.DUMMYFUNCTION("""COMPUTED_VALUE"""),2.0)</f>
        <v>2</v>
      </c>
      <c r="L1446" s="6"/>
      <c r="M1446" s="55"/>
      <c r="N1446" s="55">
        <f>IFERROR(__xludf.DUMMYFUNCTION("""COMPUTED_VALUE"""),1.0)</f>
        <v>1</v>
      </c>
      <c r="O1446" s="55" t="str">
        <f t="shared" si="3"/>
        <v/>
      </c>
      <c r="P1446" s="209"/>
      <c r="Q1446" s="75" t="b">
        <f>VLOOKUP($B1446,'Run Reconcile'!B$2:P1679,15,FALSE)</f>
        <v>1</v>
      </c>
      <c r="R1446" s="211" t="str">
        <f t="array" ref="R1446">IF($Q1446, INDEX('Run Reconcile'!A$2:A1679,MATCH(B1446,'Run Reconcile'!B$2:B1679,0),1),IFERROR(0/0,""))</f>
        <v>RUN-COMB_2022-07-15_RFR-079</v>
      </c>
      <c r="S1446" s="165" t="str">
        <f t="shared" ref="S1446:T1446" si="2891">IF(COUNTIF(W$2:W1679, $A1446) &gt; 0,TRUE,IFERROR(0/0,""))</f>
        <v/>
      </c>
      <c r="T1446" s="165" t="str">
        <f t="shared" si="2891"/>
        <v/>
      </c>
      <c r="U1446" s="147" t="str">
        <f t="array" ref="U1446">IF(ISBLANK($R1446), IF($S1446,VLOOKUP($B1446+1,'RFR Data - preExcl'!$BF$2:$BG1679,2,FALSE),IF($T1446,INDEX('RFR Data - preExcl'!$BF$2:$BG1679,MATCH($B1446,'RFR Data - preExcl'!$BF$2:$BF1679,0)+1,2),VLOOKUP($B1446,'RFR Data - preExcl'!$BF$2:$BG1679,2,FALSE))),IFERROR(0/0,""))</f>
        <v/>
      </c>
      <c r="V1446" s="212" t="str">
        <f t="shared" si="5"/>
        <v>RUN-COMB_2022-07-15_RFR-079</v>
      </c>
      <c r="W1446" s="51"/>
      <c r="X1446" s="51"/>
      <c r="Y1446" s="147" t="str">
        <f t="shared" ref="Y1446:Z1446" si="2892">IF(_xlfn.ISFORMULA(S1446),IFERROR(0/0,""),TRUE)</f>
        <v/>
      </c>
      <c r="Z1446" s="147" t="str">
        <f t="shared" si="2892"/>
        <v/>
      </c>
    </row>
    <row r="1447">
      <c r="A1447" s="6" t="str">
        <f>IFERROR(__xludf.DUMMYFUNCTION("""COMPUTED_VALUE"""),"FM3798")</f>
        <v>FM3798</v>
      </c>
      <c r="B1447" s="206">
        <f>IFERROR(__xludf.DUMMYFUNCTION("""COMPUTED_VALUE"""),44757.0)</f>
        <v>44757</v>
      </c>
      <c r="C1447" s="207">
        <f>IFERROR(__xludf.DUMMYFUNCTION("""COMPUTED_VALUE"""),0.7206365740740741)</f>
        <v>0.7206365741</v>
      </c>
      <c r="D1447" s="50"/>
      <c r="E1447" s="58"/>
      <c r="F1447" s="58"/>
      <c r="G1447" s="58" t="str">
        <f>IFERROR(__xludf.DUMMYFUNCTION("""COMPUTED_VALUE"""),"Null")</f>
        <v>Null</v>
      </c>
      <c r="H1447" s="206" t="str">
        <f>IFERROR(__xludf.DUMMYFUNCTION("""COMPUTED_VALUE"""),"Negative")</f>
        <v>Negative</v>
      </c>
      <c r="I1447" s="207"/>
      <c r="J1447" s="50"/>
      <c r="K1447" s="50">
        <f>IFERROR(__xludf.DUMMYFUNCTION("""COMPUTED_VALUE"""),2.0)</f>
        <v>2</v>
      </c>
      <c r="L1447" s="6"/>
      <c r="M1447" s="55"/>
      <c r="N1447" s="55">
        <f>IFERROR(__xludf.DUMMYFUNCTION("""COMPUTED_VALUE"""),1.0)</f>
        <v>1</v>
      </c>
      <c r="O1447" s="55" t="str">
        <f t="shared" si="3"/>
        <v/>
      </c>
      <c r="P1447" s="209"/>
      <c r="Q1447" s="75" t="b">
        <f>VLOOKUP($B1447,'Run Reconcile'!B$2:P1679,15,FALSE)</f>
        <v>1</v>
      </c>
      <c r="R1447" s="211" t="str">
        <f t="array" ref="R1447">IF($Q1447, INDEX('Run Reconcile'!A$2:A1679,MATCH(B1447,'Run Reconcile'!B$2:B1679,0),1),IFERROR(0/0,""))</f>
        <v>RUN-COMB_2022-07-15_RFR-079</v>
      </c>
      <c r="S1447" s="165" t="str">
        <f t="shared" ref="S1447:T1447" si="2893">IF(COUNTIF(W$2:W1679, $A1447) &gt; 0,TRUE,IFERROR(0/0,""))</f>
        <v/>
      </c>
      <c r="T1447" s="165" t="str">
        <f t="shared" si="2893"/>
        <v/>
      </c>
      <c r="U1447" s="147" t="str">
        <f t="array" ref="U1447">IF(ISBLANK($R1447), IF($S1447,VLOOKUP($B1447+1,'RFR Data - preExcl'!$BF$2:$BG1679,2,FALSE),IF($T1447,INDEX('RFR Data - preExcl'!$BF$2:$BG1679,MATCH($B1447,'RFR Data - preExcl'!$BF$2:$BF1679,0)+1,2),VLOOKUP($B1447,'RFR Data - preExcl'!$BF$2:$BG1679,2,FALSE))),IFERROR(0/0,""))</f>
        <v/>
      </c>
      <c r="V1447" s="212" t="str">
        <f t="shared" si="5"/>
        <v>RUN-COMB_2022-07-15_RFR-079</v>
      </c>
      <c r="W1447" s="51"/>
      <c r="X1447" s="51"/>
      <c r="Y1447" s="147" t="str">
        <f t="shared" ref="Y1447:Z1447" si="2894">IF(_xlfn.ISFORMULA(S1447),IFERROR(0/0,""),TRUE)</f>
        <v/>
      </c>
      <c r="Z1447" s="147" t="str">
        <f t="shared" si="2894"/>
        <v/>
      </c>
    </row>
    <row r="1448">
      <c r="A1448" s="6" t="str">
        <f>IFERROR(__xludf.DUMMYFUNCTION("""COMPUTED_VALUE"""),"FM3701")</f>
        <v>FM3701</v>
      </c>
      <c r="B1448" s="206">
        <f>IFERROR(__xludf.DUMMYFUNCTION("""COMPUTED_VALUE"""),44757.0)</f>
        <v>44757</v>
      </c>
      <c r="C1448" s="207">
        <f>IFERROR(__xludf.DUMMYFUNCTION("""COMPUTED_VALUE"""),0.720925925925926)</f>
        <v>0.7209259259</v>
      </c>
      <c r="D1448" s="50"/>
      <c r="E1448" s="58"/>
      <c r="F1448" s="58"/>
      <c r="G1448" s="58" t="str">
        <f>IFERROR(__xludf.DUMMYFUNCTION("""COMPUTED_VALUE"""),"Null")</f>
        <v>Null</v>
      </c>
      <c r="H1448" s="206" t="str">
        <f>IFERROR(__xludf.DUMMYFUNCTION("""COMPUTED_VALUE"""),"Negative")</f>
        <v>Negative</v>
      </c>
      <c r="I1448" s="207"/>
      <c r="J1448" s="50"/>
      <c r="K1448" s="50">
        <f>IFERROR(__xludf.DUMMYFUNCTION("""COMPUTED_VALUE"""),2.0)</f>
        <v>2</v>
      </c>
      <c r="L1448" s="6"/>
      <c r="M1448" s="55"/>
      <c r="N1448" s="55">
        <f>IFERROR(__xludf.DUMMYFUNCTION("""COMPUTED_VALUE"""),1.0)</f>
        <v>1</v>
      </c>
      <c r="O1448" s="55" t="str">
        <f t="shared" si="3"/>
        <v/>
      </c>
      <c r="P1448" s="209"/>
      <c r="Q1448" s="75" t="b">
        <f>VLOOKUP($B1448,'Run Reconcile'!B$2:P1679,15,FALSE)</f>
        <v>1</v>
      </c>
      <c r="R1448" s="211" t="str">
        <f t="array" ref="R1448">IF($Q1448, INDEX('Run Reconcile'!A$2:A1679,MATCH(B1448,'Run Reconcile'!B$2:B1679,0),1),IFERROR(0/0,""))</f>
        <v>RUN-COMB_2022-07-15_RFR-079</v>
      </c>
      <c r="S1448" s="165" t="str">
        <f t="shared" ref="S1448:T1448" si="2895">IF(COUNTIF(W$2:W1679, $A1448) &gt; 0,TRUE,IFERROR(0/0,""))</f>
        <v/>
      </c>
      <c r="T1448" s="165" t="str">
        <f t="shared" si="2895"/>
        <v/>
      </c>
      <c r="U1448" s="147" t="str">
        <f t="array" ref="U1448">IF(ISBLANK($R1448), IF($S1448,VLOOKUP($B1448+1,'RFR Data - preExcl'!$BF$2:$BG1679,2,FALSE),IF($T1448,INDEX('RFR Data - preExcl'!$BF$2:$BG1679,MATCH($B1448,'RFR Data - preExcl'!$BF$2:$BF1679,0)+1,2),VLOOKUP($B1448,'RFR Data - preExcl'!$BF$2:$BG1679,2,FALSE))),IFERROR(0/0,""))</f>
        <v/>
      </c>
      <c r="V1448" s="212" t="str">
        <f t="shared" si="5"/>
        <v>RUN-COMB_2022-07-15_RFR-079</v>
      </c>
      <c r="W1448" s="51"/>
      <c r="X1448" s="51"/>
      <c r="Y1448" s="147" t="str">
        <f t="shared" ref="Y1448:Z1448" si="2896">IF(_xlfn.ISFORMULA(S1448),IFERROR(0/0,""),TRUE)</f>
        <v/>
      </c>
      <c r="Z1448" s="147" t="str">
        <f t="shared" si="2896"/>
        <v/>
      </c>
    </row>
    <row r="1449">
      <c r="A1449" s="6" t="str">
        <f>IFERROR(__xludf.DUMMYFUNCTION("""COMPUTED_VALUE"""),"FM3789")</f>
        <v>FM3789</v>
      </c>
      <c r="B1449" s="206">
        <f>IFERROR(__xludf.DUMMYFUNCTION("""COMPUTED_VALUE"""),44757.0)</f>
        <v>44757</v>
      </c>
      <c r="C1449" s="207">
        <f>IFERROR(__xludf.DUMMYFUNCTION("""COMPUTED_VALUE"""),0.7213310185185186)</f>
        <v>0.7213310185</v>
      </c>
      <c r="D1449" s="50"/>
      <c r="E1449" s="58"/>
      <c r="F1449" s="58"/>
      <c r="G1449" s="58" t="str">
        <f>IFERROR(__xludf.DUMMYFUNCTION("""COMPUTED_VALUE"""),"Null")</f>
        <v>Null</v>
      </c>
      <c r="H1449" s="206" t="str">
        <f>IFERROR(__xludf.DUMMYFUNCTION("""COMPUTED_VALUE"""),"Negative")</f>
        <v>Negative</v>
      </c>
      <c r="I1449" s="207"/>
      <c r="J1449" s="50"/>
      <c r="K1449" s="50">
        <f>IFERROR(__xludf.DUMMYFUNCTION("""COMPUTED_VALUE"""),2.0)</f>
        <v>2</v>
      </c>
      <c r="L1449" s="6"/>
      <c r="M1449" s="55"/>
      <c r="N1449" s="55">
        <f>IFERROR(__xludf.DUMMYFUNCTION("""COMPUTED_VALUE"""),1.0)</f>
        <v>1</v>
      </c>
      <c r="O1449" s="55" t="str">
        <f t="shared" si="3"/>
        <v/>
      </c>
      <c r="P1449" s="209"/>
      <c r="Q1449" s="75" t="b">
        <f>VLOOKUP($B1449,'Run Reconcile'!B$2:P1679,15,FALSE)</f>
        <v>1</v>
      </c>
      <c r="R1449" s="211" t="str">
        <f t="array" ref="R1449">IF($Q1449, INDEX('Run Reconcile'!A$2:A1679,MATCH(B1449,'Run Reconcile'!B$2:B1679,0),1),IFERROR(0/0,""))</f>
        <v>RUN-COMB_2022-07-15_RFR-079</v>
      </c>
      <c r="S1449" s="165" t="str">
        <f t="shared" ref="S1449:T1449" si="2897">IF(COUNTIF(W$2:W1679, $A1449) &gt; 0,TRUE,IFERROR(0/0,""))</f>
        <v/>
      </c>
      <c r="T1449" s="165" t="str">
        <f t="shared" si="2897"/>
        <v/>
      </c>
      <c r="U1449" s="147" t="str">
        <f t="array" ref="U1449">IF(ISBLANK($R1449), IF($S1449,VLOOKUP($B1449+1,'RFR Data - preExcl'!$BF$2:$BG1679,2,FALSE),IF($T1449,INDEX('RFR Data - preExcl'!$BF$2:$BG1679,MATCH($B1449,'RFR Data - preExcl'!$BF$2:$BF1679,0)+1,2),VLOOKUP($B1449,'RFR Data - preExcl'!$BF$2:$BG1679,2,FALSE))),IFERROR(0/0,""))</f>
        <v/>
      </c>
      <c r="V1449" s="212" t="str">
        <f t="shared" si="5"/>
        <v>RUN-COMB_2022-07-15_RFR-079</v>
      </c>
      <c r="W1449" s="51"/>
      <c r="X1449" s="51"/>
      <c r="Y1449" s="147" t="str">
        <f t="shared" ref="Y1449:Z1449" si="2898">IF(_xlfn.ISFORMULA(S1449),IFERROR(0/0,""),TRUE)</f>
        <v/>
      </c>
      <c r="Z1449" s="147" t="str">
        <f t="shared" si="2898"/>
        <v/>
      </c>
    </row>
    <row r="1450">
      <c r="A1450" s="6" t="str">
        <f>IFERROR(__xludf.DUMMYFUNCTION("""COMPUTED_VALUE"""),"FM3800")</f>
        <v>FM3800</v>
      </c>
      <c r="B1450" s="206">
        <f>IFERROR(__xludf.DUMMYFUNCTION("""COMPUTED_VALUE"""),44757.0)</f>
        <v>44757</v>
      </c>
      <c r="C1450" s="207">
        <f>IFERROR(__xludf.DUMMYFUNCTION("""COMPUTED_VALUE"""),0.7216666666666667)</f>
        <v>0.7216666667</v>
      </c>
      <c r="D1450" s="50"/>
      <c r="E1450" s="58"/>
      <c r="F1450" s="58"/>
      <c r="G1450" s="58" t="str">
        <f>IFERROR(__xludf.DUMMYFUNCTION("""COMPUTED_VALUE"""),"Null")</f>
        <v>Null</v>
      </c>
      <c r="H1450" s="206" t="str">
        <f>IFERROR(__xludf.DUMMYFUNCTION("""COMPUTED_VALUE"""),"Negative")</f>
        <v>Negative</v>
      </c>
      <c r="I1450" s="207"/>
      <c r="J1450" s="50"/>
      <c r="K1450" s="50">
        <f>IFERROR(__xludf.DUMMYFUNCTION("""COMPUTED_VALUE"""),2.0)</f>
        <v>2</v>
      </c>
      <c r="L1450" s="6"/>
      <c r="M1450" s="55"/>
      <c r="N1450" s="55">
        <f>IFERROR(__xludf.DUMMYFUNCTION("""COMPUTED_VALUE"""),1.0)</f>
        <v>1</v>
      </c>
      <c r="O1450" s="55" t="str">
        <f t="shared" si="3"/>
        <v/>
      </c>
      <c r="P1450" s="209"/>
      <c r="Q1450" s="75" t="b">
        <f>VLOOKUP($B1450,'Run Reconcile'!B$2:P1679,15,FALSE)</f>
        <v>1</v>
      </c>
      <c r="R1450" s="211" t="str">
        <f t="array" ref="R1450">IF($Q1450, INDEX('Run Reconcile'!A$2:A1679,MATCH(B1450,'Run Reconcile'!B$2:B1679,0),1),IFERROR(0/0,""))</f>
        <v>RUN-COMB_2022-07-15_RFR-079</v>
      </c>
      <c r="S1450" s="165" t="str">
        <f t="shared" ref="S1450:T1450" si="2899">IF(COUNTIF(W$2:W1679, $A1450) &gt; 0,TRUE,IFERROR(0/0,""))</f>
        <v/>
      </c>
      <c r="T1450" s="165" t="str">
        <f t="shared" si="2899"/>
        <v/>
      </c>
      <c r="U1450" s="147" t="str">
        <f t="array" ref="U1450">IF(ISBLANK($R1450), IF($S1450,VLOOKUP($B1450+1,'RFR Data - preExcl'!$BF$2:$BG1679,2,FALSE),IF($T1450,INDEX('RFR Data - preExcl'!$BF$2:$BG1679,MATCH($B1450,'RFR Data - preExcl'!$BF$2:$BF1679,0)+1,2),VLOOKUP($B1450,'RFR Data - preExcl'!$BF$2:$BG1679,2,FALSE))),IFERROR(0/0,""))</f>
        <v/>
      </c>
      <c r="V1450" s="212" t="str">
        <f t="shared" si="5"/>
        <v>RUN-COMB_2022-07-15_RFR-079</v>
      </c>
      <c r="W1450" s="51"/>
      <c r="X1450" s="51"/>
      <c r="Y1450" s="147" t="str">
        <f t="shared" ref="Y1450:Z1450" si="2900">IF(_xlfn.ISFORMULA(S1450),IFERROR(0/0,""),TRUE)</f>
        <v/>
      </c>
      <c r="Z1450" s="147" t="str">
        <f t="shared" si="2900"/>
        <v/>
      </c>
    </row>
    <row r="1451">
      <c r="A1451" s="6" t="str">
        <f>IFERROR(__xludf.DUMMYFUNCTION("""COMPUTED_VALUE"""),"FM3690")</f>
        <v>FM3690</v>
      </c>
      <c r="B1451" s="206">
        <f>IFERROR(__xludf.DUMMYFUNCTION("""COMPUTED_VALUE"""),44757.0)</f>
        <v>44757</v>
      </c>
      <c r="C1451" s="207">
        <f>IFERROR(__xludf.DUMMYFUNCTION("""COMPUTED_VALUE"""),0.722037037037037)</f>
        <v>0.722037037</v>
      </c>
      <c r="D1451" s="50"/>
      <c r="E1451" s="58"/>
      <c r="F1451" s="58"/>
      <c r="G1451" s="58" t="str">
        <f>IFERROR(__xludf.DUMMYFUNCTION("""COMPUTED_VALUE"""),"Null")</f>
        <v>Null</v>
      </c>
      <c r="H1451" s="206" t="str">
        <f>IFERROR(__xludf.DUMMYFUNCTION("""COMPUTED_VALUE"""),"Negative")</f>
        <v>Negative</v>
      </c>
      <c r="I1451" s="207"/>
      <c r="J1451" s="50"/>
      <c r="K1451" s="50">
        <f>IFERROR(__xludf.DUMMYFUNCTION("""COMPUTED_VALUE"""),2.0)</f>
        <v>2</v>
      </c>
      <c r="L1451" s="6"/>
      <c r="M1451" s="55"/>
      <c r="N1451" s="55">
        <f>IFERROR(__xludf.DUMMYFUNCTION("""COMPUTED_VALUE"""),1.0)</f>
        <v>1</v>
      </c>
      <c r="O1451" s="55" t="str">
        <f t="shared" si="3"/>
        <v/>
      </c>
      <c r="P1451" s="209"/>
      <c r="Q1451" s="75" t="b">
        <f>VLOOKUP($B1451,'Run Reconcile'!B$2:P1679,15,FALSE)</f>
        <v>1</v>
      </c>
      <c r="R1451" s="211" t="str">
        <f t="array" ref="R1451">IF($Q1451, INDEX('Run Reconcile'!A$2:A1679,MATCH(B1451,'Run Reconcile'!B$2:B1679,0),1),IFERROR(0/0,""))</f>
        <v>RUN-COMB_2022-07-15_RFR-079</v>
      </c>
      <c r="S1451" s="165" t="str">
        <f t="shared" ref="S1451:T1451" si="2901">IF(COUNTIF(W$2:W1679, $A1451) &gt; 0,TRUE,IFERROR(0/0,""))</f>
        <v/>
      </c>
      <c r="T1451" s="165" t="str">
        <f t="shared" si="2901"/>
        <v/>
      </c>
      <c r="U1451" s="147" t="str">
        <f t="array" ref="U1451">IF(ISBLANK($R1451), IF($S1451,VLOOKUP($B1451+1,'RFR Data - preExcl'!$BF$2:$BG1679,2,FALSE),IF($T1451,INDEX('RFR Data - preExcl'!$BF$2:$BG1679,MATCH($B1451,'RFR Data - preExcl'!$BF$2:$BF1679,0)+1,2),VLOOKUP($B1451,'RFR Data - preExcl'!$BF$2:$BG1679,2,FALSE))),IFERROR(0/0,""))</f>
        <v/>
      </c>
      <c r="V1451" s="212" t="str">
        <f t="shared" si="5"/>
        <v>RUN-COMB_2022-07-15_RFR-079</v>
      </c>
      <c r="W1451" s="51"/>
      <c r="X1451" s="51"/>
      <c r="Y1451" s="147" t="str">
        <f t="shared" ref="Y1451:Z1451" si="2902">IF(_xlfn.ISFORMULA(S1451),IFERROR(0/0,""),TRUE)</f>
        <v/>
      </c>
      <c r="Z1451" s="147" t="str">
        <f t="shared" si="2902"/>
        <v/>
      </c>
    </row>
    <row r="1452">
      <c r="A1452" s="6" t="str">
        <f>IFERROR(__xludf.DUMMYFUNCTION("""COMPUTED_VALUE"""),"FM3786")</f>
        <v>FM3786</v>
      </c>
      <c r="B1452" s="206">
        <f>IFERROR(__xludf.DUMMYFUNCTION("""COMPUTED_VALUE"""),44757.0)</f>
        <v>44757</v>
      </c>
      <c r="C1452" s="207">
        <f>IFERROR(__xludf.DUMMYFUNCTION("""COMPUTED_VALUE"""),0.7223148148148149)</f>
        <v>0.7223148148</v>
      </c>
      <c r="D1452" s="50"/>
      <c r="E1452" s="58"/>
      <c r="F1452" s="58"/>
      <c r="G1452" s="58" t="str">
        <f>IFERROR(__xludf.DUMMYFUNCTION("""COMPUTED_VALUE"""),"Null")</f>
        <v>Null</v>
      </c>
      <c r="H1452" s="206" t="str">
        <f>IFERROR(__xludf.DUMMYFUNCTION("""COMPUTED_VALUE"""),"Negative")</f>
        <v>Negative</v>
      </c>
      <c r="I1452" s="207"/>
      <c r="J1452" s="50"/>
      <c r="K1452" s="50">
        <f>IFERROR(__xludf.DUMMYFUNCTION("""COMPUTED_VALUE"""),2.0)</f>
        <v>2</v>
      </c>
      <c r="L1452" s="6"/>
      <c r="M1452" s="55"/>
      <c r="N1452" s="55">
        <f>IFERROR(__xludf.DUMMYFUNCTION("""COMPUTED_VALUE"""),1.0)</f>
        <v>1</v>
      </c>
      <c r="O1452" s="55" t="str">
        <f t="shared" si="3"/>
        <v/>
      </c>
      <c r="P1452" s="209"/>
      <c r="Q1452" s="75" t="b">
        <f>VLOOKUP($B1452,'Run Reconcile'!B$2:P1679,15,FALSE)</f>
        <v>1</v>
      </c>
      <c r="R1452" s="211" t="str">
        <f t="array" ref="R1452">IF($Q1452, INDEX('Run Reconcile'!A$2:A1679,MATCH(B1452,'Run Reconcile'!B$2:B1679,0),1),IFERROR(0/0,""))</f>
        <v>RUN-COMB_2022-07-15_RFR-079</v>
      </c>
      <c r="S1452" s="165" t="str">
        <f t="shared" ref="S1452:T1452" si="2903">IF(COUNTIF(W$2:W1679, $A1452) &gt; 0,TRUE,IFERROR(0/0,""))</f>
        <v/>
      </c>
      <c r="T1452" s="165" t="str">
        <f t="shared" si="2903"/>
        <v/>
      </c>
      <c r="U1452" s="147" t="str">
        <f t="array" ref="U1452">IF(ISBLANK($R1452), IF($S1452,VLOOKUP($B1452+1,'RFR Data - preExcl'!$BF$2:$BG1679,2,FALSE),IF($T1452,INDEX('RFR Data - preExcl'!$BF$2:$BG1679,MATCH($B1452,'RFR Data - preExcl'!$BF$2:$BF1679,0)+1,2),VLOOKUP($B1452,'RFR Data - preExcl'!$BF$2:$BG1679,2,FALSE))),IFERROR(0/0,""))</f>
        <v/>
      </c>
      <c r="V1452" s="212" t="str">
        <f t="shared" si="5"/>
        <v>RUN-COMB_2022-07-15_RFR-079</v>
      </c>
      <c r="W1452" s="51"/>
      <c r="X1452" s="51"/>
      <c r="Y1452" s="147" t="str">
        <f t="shared" ref="Y1452:Z1452" si="2904">IF(_xlfn.ISFORMULA(S1452),IFERROR(0/0,""),TRUE)</f>
        <v/>
      </c>
      <c r="Z1452" s="147" t="str">
        <f t="shared" si="2904"/>
        <v/>
      </c>
    </row>
    <row r="1453">
      <c r="A1453" s="6" t="str">
        <f>IFERROR(__xludf.DUMMYFUNCTION("""COMPUTED_VALUE"""),"FM3720")</f>
        <v>FM3720</v>
      </c>
      <c r="B1453" s="206">
        <f>IFERROR(__xludf.DUMMYFUNCTION("""COMPUTED_VALUE"""),44757.0)</f>
        <v>44757</v>
      </c>
      <c r="C1453" s="207">
        <f>IFERROR(__xludf.DUMMYFUNCTION("""COMPUTED_VALUE"""),0.7226967592592592)</f>
        <v>0.7226967593</v>
      </c>
      <c r="D1453" s="50"/>
      <c r="E1453" s="58"/>
      <c r="F1453" s="58"/>
      <c r="G1453" s="58" t="str">
        <f>IFERROR(__xludf.DUMMYFUNCTION("""COMPUTED_VALUE"""),"Null")</f>
        <v>Null</v>
      </c>
      <c r="H1453" s="206" t="str">
        <f>IFERROR(__xludf.DUMMYFUNCTION("""COMPUTED_VALUE"""),"Negative")</f>
        <v>Negative</v>
      </c>
      <c r="I1453" s="207"/>
      <c r="J1453" s="50"/>
      <c r="K1453" s="50">
        <f>IFERROR(__xludf.DUMMYFUNCTION("""COMPUTED_VALUE"""),2.0)</f>
        <v>2</v>
      </c>
      <c r="L1453" s="6"/>
      <c r="M1453" s="55"/>
      <c r="N1453" s="55">
        <f>IFERROR(__xludf.DUMMYFUNCTION("""COMPUTED_VALUE"""),1.0)</f>
        <v>1</v>
      </c>
      <c r="O1453" s="55" t="str">
        <f t="shared" si="3"/>
        <v/>
      </c>
      <c r="P1453" s="209"/>
      <c r="Q1453" s="75" t="b">
        <f>VLOOKUP($B1453,'Run Reconcile'!B$2:P1679,15,FALSE)</f>
        <v>1</v>
      </c>
      <c r="R1453" s="211" t="str">
        <f t="array" ref="R1453">IF($Q1453, INDEX('Run Reconcile'!A$2:A1679,MATCH(B1453,'Run Reconcile'!B$2:B1679,0),1),IFERROR(0/0,""))</f>
        <v>RUN-COMB_2022-07-15_RFR-079</v>
      </c>
      <c r="S1453" s="165" t="str">
        <f t="shared" ref="S1453:T1453" si="2905">IF(COUNTIF(W$2:W1679, $A1453) &gt; 0,TRUE,IFERROR(0/0,""))</f>
        <v/>
      </c>
      <c r="T1453" s="165" t="str">
        <f t="shared" si="2905"/>
        <v/>
      </c>
      <c r="U1453" s="147" t="str">
        <f t="array" ref="U1453">IF(ISBLANK($R1453), IF($S1453,VLOOKUP($B1453+1,'RFR Data - preExcl'!$BF$2:$BG1679,2,FALSE),IF($T1453,INDEX('RFR Data - preExcl'!$BF$2:$BG1679,MATCH($B1453,'RFR Data - preExcl'!$BF$2:$BF1679,0)+1,2),VLOOKUP($B1453,'RFR Data - preExcl'!$BF$2:$BG1679,2,FALSE))),IFERROR(0/0,""))</f>
        <v/>
      </c>
      <c r="V1453" s="212" t="str">
        <f t="shared" si="5"/>
        <v>RUN-COMB_2022-07-15_RFR-079</v>
      </c>
      <c r="W1453" s="51"/>
      <c r="X1453" s="51"/>
      <c r="Y1453" s="147" t="str">
        <f t="shared" ref="Y1453:Z1453" si="2906">IF(_xlfn.ISFORMULA(S1453),IFERROR(0/0,""),TRUE)</f>
        <v/>
      </c>
      <c r="Z1453" s="147" t="str">
        <f t="shared" si="2906"/>
        <v/>
      </c>
    </row>
    <row r="1454">
      <c r="A1454" s="6" t="str">
        <f>IFERROR(__xludf.DUMMYFUNCTION("""COMPUTED_VALUE"""),"FM3692")</f>
        <v>FM3692</v>
      </c>
      <c r="B1454" s="206">
        <f>IFERROR(__xludf.DUMMYFUNCTION("""COMPUTED_VALUE"""),44757.0)</f>
        <v>44757</v>
      </c>
      <c r="C1454" s="207">
        <f>IFERROR(__xludf.DUMMYFUNCTION("""COMPUTED_VALUE"""),0.7231712962962963)</f>
        <v>0.7231712963</v>
      </c>
      <c r="D1454" s="50"/>
      <c r="E1454" s="58"/>
      <c r="F1454" s="58"/>
      <c r="G1454" s="58" t="str">
        <f>IFERROR(__xludf.DUMMYFUNCTION("""COMPUTED_VALUE"""),"Null")</f>
        <v>Null</v>
      </c>
      <c r="H1454" s="206" t="str">
        <f>IFERROR(__xludf.DUMMYFUNCTION("""COMPUTED_VALUE"""),"Negative")</f>
        <v>Negative</v>
      </c>
      <c r="I1454" s="207"/>
      <c r="J1454" s="50"/>
      <c r="K1454" s="50">
        <f>IFERROR(__xludf.DUMMYFUNCTION("""COMPUTED_VALUE"""),2.0)</f>
        <v>2</v>
      </c>
      <c r="L1454" s="6"/>
      <c r="M1454" s="55"/>
      <c r="N1454" s="55">
        <f>IFERROR(__xludf.DUMMYFUNCTION("""COMPUTED_VALUE"""),1.0)</f>
        <v>1</v>
      </c>
      <c r="O1454" s="55" t="str">
        <f t="shared" si="3"/>
        <v/>
      </c>
      <c r="P1454" s="209"/>
      <c r="Q1454" s="75" t="b">
        <f>VLOOKUP($B1454,'Run Reconcile'!B$2:P1679,15,FALSE)</f>
        <v>1</v>
      </c>
      <c r="R1454" s="211" t="str">
        <f t="array" ref="R1454">IF($Q1454, INDEX('Run Reconcile'!A$2:A1679,MATCH(B1454,'Run Reconcile'!B$2:B1679,0),1),IFERROR(0/0,""))</f>
        <v>RUN-COMB_2022-07-15_RFR-079</v>
      </c>
      <c r="S1454" s="165" t="str">
        <f t="shared" ref="S1454:T1454" si="2907">IF(COUNTIF(W$2:W1679, $A1454) &gt; 0,TRUE,IFERROR(0/0,""))</f>
        <v/>
      </c>
      <c r="T1454" s="165" t="str">
        <f t="shared" si="2907"/>
        <v/>
      </c>
      <c r="U1454" s="147" t="str">
        <f t="array" ref="U1454">IF(ISBLANK($R1454), IF($S1454,VLOOKUP($B1454+1,'RFR Data - preExcl'!$BF$2:$BG1679,2,FALSE),IF($T1454,INDEX('RFR Data - preExcl'!$BF$2:$BG1679,MATCH($B1454,'RFR Data - preExcl'!$BF$2:$BF1679,0)+1,2),VLOOKUP($B1454,'RFR Data - preExcl'!$BF$2:$BG1679,2,FALSE))),IFERROR(0/0,""))</f>
        <v/>
      </c>
      <c r="V1454" s="212" t="str">
        <f t="shared" si="5"/>
        <v>RUN-COMB_2022-07-15_RFR-079</v>
      </c>
      <c r="W1454" s="51"/>
      <c r="X1454" s="51"/>
      <c r="Y1454" s="147" t="str">
        <f t="shared" ref="Y1454:Z1454" si="2908">IF(_xlfn.ISFORMULA(S1454),IFERROR(0/0,""),TRUE)</f>
        <v/>
      </c>
      <c r="Z1454" s="147" t="str">
        <f t="shared" si="2908"/>
        <v/>
      </c>
    </row>
    <row r="1455">
      <c r="A1455" s="6" t="str">
        <f>IFERROR(__xludf.DUMMYFUNCTION("""COMPUTED_VALUE"""),"FM3683")</f>
        <v>FM3683</v>
      </c>
      <c r="B1455" s="206">
        <f>IFERROR(__xludf.DUMMYFUNCTION("""COMPUTED_VALUE"""),44757.0)</f>
        <v>44757</v>
      </c>
      <c r="C1455" s="207">
        <f>IFERROR(__xludf.DUMMYFUNCTION("""COMPUTED_VALUE"""),0.7234837962962963)</f>
        <v>0.7234837963</v>
      </c>
      <c r="D1455" s="50"/>
      <c r="E1455" s="58"/>
      <c r="F1455" s="58"/>
      <c r="G1455" s="58" t="str">
        <f>IFERROR(__xludf.DUMMYFUNCTION("""COMPUTED_VALUE"""),"Null")</f>
        <v>Null</v>
      </c>
      <c r="H1455" s="206" t="str">
        <f>IFERROR(__xludf.DUMMYFUNCTION("""COMPUTED_VALUE"""),"Negative")</f>
        <v>Negative</v>
      </c>
      <c r="I1455" s="207"/>
      <c r="J1455" s="50"/>
      <c r="K1455" s="50">
        <f>IFERROR(__xludf.DUMMYFUNCTION("""COMPUTED_VALUE"""),2.0)</f>
        <v>2</v>
      </c>
      <c r="L1455" s="6"/>
      <c r="M1455" s="55"/>
      <c r="N1455" s="55">
        <f>IFERROR(__xludf.DUMMYFUNCTION("""COMPUTED_VALUE"""),1.0)</f>
        <v>1</v>
      </c>
      <c r="O1455" s="55" t="str">
        <f t="shared" si="3"/>
        <v/>
      </c>
      <c r="P1455" s="209"/>
      <c r="Q1455" s="75" t="b">
        <f>VLOOKUP($B1455,'Run Reconcile'!B$2:P1679,15,FALSE)</f>
        <v>1</v>
      </c>
      <c r="R1455" s="211" t="str">
        <f t="array" ref="R1455">IF($Q1455, INDEX('Run Reconcile'!A$2:A1679,MATCH(B1455,'Run Reconcile'!B$2:B1679,0),1),IFERROR(0/0,""))</f>
        <v>RUN-COMB_2022-07-15_RFR-079</v>
      </c>
      <c r="S1455" s="165" t="str">
        <f t="shared" ref="S1455:T1455" si="2909">IF(COUNTIF(W$2:W1679, $A1455) &gt; 0,TRUE,IFERROR(0/0,""))</f>
        <v/>
      </c>
      <c r="T1455" s="165" t="str">
        <f t="shared" si="2909"/>
        <v/>
      </c>
      <c r="U1455" s="147" t="str">
        <f t="array" ref="U1455">IF(ISBLANK($R1455), IF($S1455,VLOOKUP($B1455+1,'RFR Data - preExcl'!$BF$2:$BG1679,2,FALSE),IF($T1455,INDEX('RFR Data - preExcl'!$BF$2:$BG1679,MATCH($B1455,'RFR Data - preExcl'!$BF$2:$BF1679,0)+1,2),VLOOKUP($B1455,'RFR Data - preExcl'!$BF$2:$BG1679,2,FALSE))),IFERROR(0/0,""))</f>
        <v/>
      </c>
      <c r="V1455" s="212" t="str">
        <f t="shared" si="5"/>
        <v>RUN-COMB_2022-07-15_RFR-079</v>
      </c>
      <c r="W1455" s="51"/>
      <c r="X1455" s="51"/>
      <c r="Y1455" s="147" t="str">
        <f t="shared" ref="Y1455:Z1455" si="2910">IF(_xlfn.ISFORMULA(S1455),IFERROR(0/0,""),TRUE)</f>
        <v/>
      </c>
      <c r="Z1455" s="147" t="str">
        <f t="shared" si="2910"/>
        <v/>
      </c>
    </row>
    <row r="1456">
      <c r="A1456" s="6" t="str">
        <f>IFERROR(__xludf.DUMMYFUNCTION("""COMPUTED_VALUE"""),"FM3805")</f>
        <v>FM3805</v>
      </c>
      <c r="B1456" s="206">
        <f>IFERROR(__xludf.DUMMYFUNCTION("""COMPUTED_VALUE"""),44757.0)</f>
        <v>44757</v>
      </c>
      <c r="C1456" s="207">
        <f>IFERROR(__xludf.DUMMYFUNCTION("""COMPUTED_VALUE"""),0.7237731481481482)</f>
        <v>0.7237731481</v>
      </c>
      <c r="D1456" s="50"/>
      <c r="E1456" s="58"/>
      <c r="F1456" s="58"/>
      <c r="G1456" s="58" t="str">
        <f>IFERROR(__xludf.DUMMYFUNCTION("""COMPUTED_VALUE"""),"Null")</f>
        <v>Null</v>
      </c>
      <c r="H1456" s="206" t="str">
        <f>IFERROR(__xludf.DUMMYFUNCTION("""COMPUTED_VALUE"""),"Negative")</f>
        <v>Negative</v>
      </c>
      <c r="I1456" s="207"/>
      <c r="J1456" s="50"/>
      <c r="K1456" s="50">
        <f>IFERROR(__xludf.DUMMYFUNCTION("""COMPUTED_VALUE"""),2.0)</f>
        <v>2</v>
      </c>
      <c r="L1456" s="6"/>
      <c r="M1456" s="55"/>
      <c r="N1456" s="55">
        <f>IFERROR(__xludf.DUMMYFUNCTION("""COMPUTED_VALUE"""),1.0)</f>
        <v>1</v>
      </c>
      <c r="O1456" s="55" t="str">
        <f t="shared" si="3"/>
        <v/>
      </c>
      <c r="P1456" s="209"/>
      <c r="Q1456" s="75" t="b">
        <f>VLOOKUP($B1456,'Run Reconcile'!B$2:P1679,15,FALSE)</f>
        <v>1</v>
      </c>
      <c r="R1456" s="211" t="str">
        <f t="array" ref="R1456">IF($Q1456, INDEX('Run Reconcile'!A$2:A1679,MATCH(B1456,'Run Reconcile'!B$2:B1679,0),1),IFERROR(0/0,""))</f>
        <v>RUN-COMB_2022-07-15_RFR-079</v>
      </c>
      <c r="S1456" s="165" t="str">
        <f t="shared" ref="S1456:T1456" si="2911">IF(COUNTIF(W$2:W1679, $A1456) &gt; 0,TRUE,IFERROR(0/0,""))</f>
        <v/>
      </c>
      <c r="T1456" s="165" t="str">
        <f t="shared" si="2911"/>
        <v/>
      </c>
      <c r="U1456" s="147" t="str">
        <f t="array" ref="U1456">IF(ISBLANK($R1456), IF($S1456,VLOOKUP($B1456+1,'RFR Data - preExcl'!$BF$2:$BG1679,2,FALSE),IF($T1456,INDEX('RFR Data - preExcl'!$BF$2:$BG1679,MATCH($B1456,'RFR Data - preExcl'!$BF$2:$BF1679,0)+1,2),VLOOKUP($B1456,'RFR Data - preExcl'!$BF$2:$BG1679,2,FALSE))),IFERROR(0/0,""))</f>
        <v/>
      </c>
      <c r="V1456" s="212" t="str">
        <f t="shared" si="5"/>
        <v>RUN-COMB_2022-07-15_RFR-079</v>
      </c>
      <c r="W1456" s="51"/>
      <c r="X1456" s="51"/>
      <c r="Y1456" s="147" t="str">
        <f t="shared" ref="Y1456:Z1456" si="2912">IF(_xlfn.ISFORMULA(S1456),IFERROR(0/0,""),TRUE)</f>
        <v/>
      </c>
      <c r="Z1456" s="147" t="str">
        <f t="shared" si="2912"/>
        <v/>
      </c>
    </row>
    <row r="1457">
      <c r="A1457" s="6" t="str">
        <f>IFERROR(__xludf.DUMMYFUNCTION("""COMPUTED_VALUE"""),"FM3712")</f>
        <v>FM3712</v>
      </c>
      <c r="B1457" s="206">
        <f>IFERROR(__xludf.DUMMYFUNCTION("""COMPUTED_VALUE"""),44757.0)</f>
        <v>44757</v>
      </c>
      <c r="C1457" s="207">
        <f>IFERROR(__xludf.DUMMYFUNCTION("""COMPUTED_VALUE"""),0.7244560185185185)</f>
        <v>0.7244560185</v>
      </c>
      <c r="D1457" s="50"/>
      <c r="E1457" s="58"/>
      <c r="F1457" s="58"/>
      <c r="G1457" s="58" t="str">
        <f>IFERROR(__xludf.DUMMYFUNCTION("""COMPUTED_VALUE"""),"Null")</f>
        <v>Null</v>
      </c>
      <c r="H1457" s="206" t="str">
        <f>IFERROR(__xludf.DUMMYFUNCTION("""COMPUTED_VALUE"""),"Negative")</f>
        <v>Negative</v>
      </c>
      <c r="I1457" s="207"/>
      <c r="J1457" s="50"/>
      <c r="K1457" s="50">
        <f>IFERROR(__xludf.DUMMYFUNCTION("""COMPUTED_VALUE"""),2.0)</f>
        <v>2</v>
      </c>
      <c r="L1457" s="6"/>
      <c r="M1457" s="55"/>
      <c r="N1457" s="55">
        <f>IFERROR(__xludf.DUMMYFUNCTION("""COMPUTED_VALUE"""),1.0)</f>
        <v>1</v>
      </c>
      <c r="O1457" s="55" t="str">
        <f t="shared" si="3"/>
        <v/>
      </c>
      <c r="P1457" s="209"/>
      <c r="Q1457" s="75" t="b">
        <f>VLOOKUP($B1457,'Run Reconcile'!B$2:P1679,15,FALSE)</f>
        <v>1</v>
      </c>
      <c r="R1457" s="211" t="str">
        <f t="array" ref="R1457">IF($Q1457, INDEX('Run Reconcile'!A$2:A1679,MATCH(B1457,'Run Reconcile'!B$2:B1679,0),1),IFERROR(0/0,""))</f>
        <v>RUN-COMB_2022-07-15_RFR-079</v>
      </c>
      <c r="S1457" s="165" t="str">
        <f t="shared" ref="S1457:T1457" si="2913">IF(COUNTIF(W$2:W1679, $A1457) &gt; 0,TRUE,IFERROR(0/0,""))</f>
        <v/>
      </c>
      <c r="T1457" s="165" t="str">
        <f t="shared" si="2913"/>
        <v/>
      </c>
      <c r="U1457" s="147" t="str">
        <f t="array" ref="U1457">IF(ISBLANK($R1457), IF($S1457,VLOOKUP($B1457+1,'RFR Data - preExcl'!$BF$2:$BG1679,2,FALSE),IF($T1457,INDEX('RFR Data - preExcl'!$BF$2:$BG1679,MATCH($B1457,'RFR Data - preExcl'!$BF$2:$BF1679,0)+1,2),VLOOKUP($B1457,'RFR Data - preExcl'!$BF$2:$BG1679,2,FALSE))),IFERROR(0/0,""))</f>
        <v/>
      </c>
      <c r="V1457" s="212" t="str">
        <f t="shared" si="5"/>
        <v>RUN-COMB_2022-07-15_RFR-079</v>
      </c>
      <c r="W1457" s="51"/>
      <c r="X1457" s="51"/>
      <c r="Y1457" s="147" t="str">
        <f t="shared" ref="Y1457:Z1457" si="2914">IF(_xlfn.ISFORMULA(S1457),IFERROR(0/0,""),TRUE)</f>
        <v/>
      </c>
      <c r="Z1457" s="147" t="str">
        <f t="shared" si="2914"/>
        <v/>
      </c>
    </row>
    <row r="1458">
      <c r="A1458" s="6" t="str">
        <f>IFERROR(__xludf.DUMMYFUNCTION("""COMPUTED_VALUE"""),"FM3790")</f>
        <v>FM3790</v>
      </c>
      <c r="B1458" s="206">
        <f>IFERROR(__xludf.DUMMYFUNCTION("""COMPUTED_VALUE"""),44757.0)</f>
        <v>44757</v>
      </c>
      <c r="C1458" s="207">
        <f>IFERROR(__xludf.DUMMYFUNCTION("""COMPUTED_VALUE"""),0.724837962962963)</f>
        <v>0.724837963</v>
      </c>
      <c r="D1458" s="50"/>
      <c r="E1458" s="58"/>
      <c r="F1458" s="58"/>
      <c r="G1458" s="58" t="str">
        <f>IFERROR(__xludf.DUMMYFUNCTION("""COMPUTED_VALUE"""),"Null")</f>
        <v>Null</v>
      </c>
      <c r="H1458" s="206" t="str">
        <f>IFERROR(__xludf.DUMMYFUNCTION("""COMPUTED_VALUE"""),"Negative")</f>
        <v>Negative</v>
      </c>
      <c r="I1458" s="207"/>
      <c r="J1458" s="50"/>
      <c r="K1458" s="50">
        <f>IFERROR(__xludf.DUMMYFUNCTION("""COMPUTED_VALUE"""),2.0)</f>
        <v>2</v>
      </c>
      <c r="L1458" s="6"/>
      <c r="M1458" s="55"/>
      <c r="N1458" s="55">
        <f>IFERROR(__xludf.DUMMYFUNCTION("""COMPUTED_VALUE"""),1.0)</f>
        <v>1</v>
      </c>
      <c r="O1458" s="55" t="str">
        <f t="shared" si="3"/>
        <v/>
      </c>
      <c r="P1458" s="209"/>
      <c r="Q1458" s="75" t="b">
        <f>VLOOKUP($B1458,'Run Reconcile'!B$2:P1679,15,FALSE)</f>
        <v>1</v>
      </c>
      <c r="R1458" s="211" t="str">
        <f t="array" ref="R1458">IF($Q1458, INDEX('Run Reconcile'!A$2:A1679,MATCH(B1458,'Run Reconcile'!B$2:B1679,0),1),IFERROR(0/0,""))</f>
        <v>RUN-COMB_2022-07-15_RFR-079</v>
      </c>
      <c r="S1458" s="165" t="str">
        <f t="shared" ref="S1458:T1458" si="2915">IF(COUNTIF(W$2:W1679, $A1458) &gt; 0,TRUE,IFERROR(0/0,""))</f>
        <v/>
      </c>
      <c r="T1458" s="165" t="str">
        <f t="shared" si="2915"/>
        <v/>
      </c>
      <c r="U1458" s="147" t="str">
        <f t="array" ref="U1458">IF(ISBLANK($R1458), IF($S1458,VLOOKUP($B1458+1,'RFR Data - preExcl'!$BF$2:$BG1679,2,FALSE),IF($T1458,INDEX('RFR Data - preExcl'!$BF$2:$BG1679,MATCH($B1458,'RFR Data - preExcl'!$BF$2:$BF1679,0)+1,2),VLOOKUP($B1458,'RFR Data - preExcl'!$BF$2:$BG1679,2,FALSE))),IFERROR(0/0,""))</f>
        <v/>
      </c>
      <c r="V1458" s="212" t="str">
        <f t="shared" si="5"/>
        <v>RUN-COMB_2022-07-15_RFR-079</v>
      </c>
      <c r="W1458" s="51"/>
      <c r="X1458" s="51"/>
      <c r="Y1458" s="147" t="str">
        <f t="shared" ref="Y1458:Z1458" si="2916">IF(_xlfn.ISFORMULA(S1458),IFERROR(0/0,""),TRUE)</f>
        <v/>
      </c>
      <c r="Z1458" s="147" t="str">
        <f t="shared" si="2916"/>
        <v/>
      </c>
    </row>
    <row r="1459">
      <c r="A1459" s="6" t="str">
        <f>IFERROR(__xludf.DUMMYFUNCTION("""COMPUTED_VALUE"""),"FM3821")</f>
        <v>FM3821</v>
      </c>
      <c r="B1459" s="206">
        <f>IFERROR(__xludf.DUMMYFUNCTION("""COMPUTED_VALUE"""),44757.0)</f>
        <v>44757</v>
      </c>
      <c r="C1459" s="207">
        <f>IFERROR(__xludf.DUMMYFUNCTION("""COMPUTED_VALUE"""),0.7251504629629629)</f>
        <v>0.725150463</v>
      </c>
      <c r="D1459" s="50"/>
      <c r="E1459" s="58"/>
      <c r="F1459" s="58"/>
      <c r="G1459" s="58" t="str">
        <f>IFERROR(__xludf.DUMMYFUNCTION("""COMPUTED_VALUE"""),"Null")</f>
        <v>Null</v>
      </c>
      <c r="H1459" s="206" t="str">
        <f>IFERROR(__xludf.DUMMYFUNCTION("""COMPUTED_VALUE"""),"Negative")</f>
        <v>Negative</v>
      </c>
      <c r="I1459" s="207"/>
      <c r="J1459" s="50"/>
      <c r="K1459" s="50">
        <f>IFERROR(__xludf.DUMMYFUNCTION("""COMPUTED_VALUE"""),2.0)</f>
        <v>2</v>
      </c>
      <c r="L1459" s="6"/>
      <c r="M1459" s="55"/>
      <c r="N1459" s="55">
        <f>IFERROR(__xludf.DUMMYFUNCTION("""COMPUTED_VALUE"""),1.0)</f>
        <v>1</v>
      </c>
      <c r="O1459" s="55" t="str">
        <f t="shared" si="3"/>
        <v/>
      </c>
      <c r="P1459" s="209"/>
      <c r="Q1459" s="75" t="b">
        <f>VLOOKUP($B1459,'Run Reconcile'!B$2:P1679,15,FALSE)</f>
        <v>1</v>
      </c>
      <c r="R1459" s="211" t="str">
        <f t="array" ref="R1459">IF($Q1459, INDEX('Run Reconcile'!A$2:A1679,MATCH(B1459,'Run Reconcile'!B$2:B1679,0),1),IFERROR(0/0,""))</f>
        <v>RUN-COMB_2022-07-15_RFR-079</v>
      </c>
      <c r="S1459" s="165" t="str">
        <f t="shared" ref="S1459:T1459" si="2917">IF(COUNTIF(W$2:W1679, $A1459) &gt; 0,TRUE,IFERROR(0/0,""))</f>
        <v/>
      </c>
      <c r="T1459" s="165" t="str">
        <f t="shared" si="2917"/>
        <v/>
      </c>
      <c r="U1459" s="147" t="str">
        <f t="array" ref="U1459">IF(ISBLANK($R1459), IF($S1459,VLOOKUP($B1459+1,'RFR Data - preExcl'!$BF$2:$BG1679,2,FALSE),IF($T1459,INDEX('RFR Data - preExcl'!$BF$2:$BG1679,MATCH($B1459,'RFR Data - preExcl'!$BF$2:$BF1679,0)+1,2),VLOOKUP($B1459,'RFR Data - preExcl'!$BF$2:$BG1679,2,FALSE))),IFERROR(0/0,""))</f>
        <v/>
      </c>
      <c r="V1459" s="212" t="str">
        <f t="shared" si="5"/>
        <v>RUN-COMB_2022-07-15_RFR-079</v>
      </c>
      <c r="W1459" s="51"/>
      <c r="X1459" s="51"/>
      <c r="Y1459" s="147" t="str">
        <f t="shared" ref="Y1459:Z1459" si="2918">IF(_xlfn.ISFORMULA(S1459),IFERROR(0/0,""),TRUE)</f>
        <v/>
      </c>
      <c r="Z1459" s="147" t="str">
        <f t="shared" si="2918"/>
        <v/>
      </c>
    </row>
    <row r="1460">
      <c r="A1460" s="6" t="str">
        <f>IFERROR(__xludf.DUMMYFUNCTION("""COMPUTED_VALUE"""),"FM3833")</f>
        <v>FM3833</v>
      </c>
      <c r="B1460" s="206">
        <f>IFERROR(__xludf.DUMMYFUNCTION("""COMPUTED_VALUE"""),44757.0)</f>
        <v>44757</v>
      </c>
      <c r="C1460" s="207">
        <f>IFERROR(__xludf.DUMMYFUNCTION("""COMPUTED_VALUE"""),0.7254166666666667)</f>
        <v>0.7254166667</v>
      </c>
      <c r="D1460" s="50"/>
      <c r="E1460" s="58"/>
      <c r="F1460" s="58"/>
      <c r="G1460" s="58" t="str">
        <f>IFERROR(__xludf.DUMMYFUNCTION("""COMPUTED_VALUE"""),"Null")</f>
        <v>Null</v>
      </c>
      <c r="H1460" s="206" t="str">
        <f>IFERROR(__xludf.DUMMYFUNCTION("""COMPUTED_VALUE"""),"Negative")</f>
        <v>Negative</v>
      </c>
      <c r="I1460" s="207"/>
      <c r="J1460" s="50"/>
      <c r="K1460" s="50">
        <f>IFERROR(__xludf.DUMMYFUNCTION("""COMPUTED_VALUE"""),2.0)</f>
        <v>2</v>
      </c>
      <c r="L1460" s="6"/>
      <c r="M1460" s="55"/>
      <c r="N1460" s="55">
        <f>IFERROR(__xludf.DUMMYFUNCTION("""COMPUTED_VALUE"""),1.0)</f>
        <v>1</v>
      </c>
      <c r="O1460" s="55" t="str">
        <f t="shared" si="3"/>
        <v/>
      </c>
      <c r="P1460" s="209"/>
      <c r="Q1460" s="75" t="b">
        <f>VLOOKUP($B1460,'Run Reconcile'!B$2:P1679,15,FALSE)</f>
        <v>1</v>
      </c>
      <c r="R1460" s="211" t="str">
        <f t="array" ref="R1460">IF($Q1460, INDEX('Run Reconcile'!A$2:A1679,MATCH(B1460,'Run Reconcile'!B$2:B1679,0),1),IFERROR(0/0,""))</f>
        <v>RUN-COMB_2022-07-15_RFR-079</v>
      </c>
      <c r="S1460" s="165" t="str">
        <f t="shared" ref="S1460:T1460" si="2919">IF(COUNTIF(W$2:W1679, $A1460) &gt; 0,TRUE,IFERROR(0/0,""))</f>
        <v/>
      </c>
      <c r="T1460" s="165" t="str">
        <f t="shared" si="2919"/>
        <v/>
      </c>
      <c r="U1460" s="147" t="str">
        <f t="array" ref="U1460">IF(ISBLANK($R1460), IF($S1460,VLOOKUP($B1460+1,'RFR Data - preExcl'!$BF$2:$BG1679,2,FALSE),IF($T1460,INDEX('RFR Data - preExcl'!$BF$2:$BG1679,MATCH($B1460,'RFR Data - preExcl'!$BF$2:$BF1679,0)+1,2),VLOOKUP($B1460,'RFR Data - preExcl'!$BF$2:$BG1679,2,FALSE))),IFERROR(0/0,""))</f>
        <v/>
      </c>
      <c r="V1460" s="212" t="str">
        <f t="shared" si="5"/>
        <v>RUN-COMB_2022-07-15_RFR-079</v>
      </c>
      <c r="W1460" s="51"/>
      <c r="X1460" s="51"/>
      <c r="Y1460" s="147" t="str">
        <f t="shared" ref="Y1460:Z1460" si="2920">IF(_xlfn.ISFORMULA(S1460),IFERROR(0/0,""),TRUE)</f>
        <v/>
      </c>
      <c r="Z1460" s="147" t="str">
        <f t="shared" si="2920"/>
        <v/>
      </c>
    </row>
    <row r="1461">
      <c r="A1461" s="6" t="str">
        <f>IFERROR(__xludf.DUMMYFUNCTION("""COMPUTED_VALUE"""),"FM1742")</f>
        <v>FM1742</v>
      </c>
      <c r="B1461" s="206">
        <f>IFERROR(__xludf.DUMMYFUNCTION("""COMPUTED_VALUE"""),44761.0)</f>
        <v>44761</v>
      </c>
      <c r="C1461" s="207">
        <f>IFERROR(__xludf.DUMMYFUNCTION("""COMPUTED_VALUE"""),0.26938657407407407)</f>
        <v>0.2693865741</v>
      </c>
      <c r="D1461" s="50"/>
      <c r="E1461" s="58"/>
      <c r="F1461" s="58"/>
      <c r="G1461" s="58" t="str">
        <f>IFERROR(__xludf.DUMMYFUNCTION("""COMPUTED_VALUE"""),"Null")</f>
        <v>Null</v>
      </c>
      <c r="H1461" s="206" t="str">
        <f>IFERROR(__xludf.DUMMYFUNCTION("""COMPUTED_VALUE"""),"Negative")</f>
        <v>Negative</v>
      </c>
      <c r="I1461" s="207"/>
      <c r="J1461" s="50"/>
      <c r="K1461" s="50">
        <f>IFERROR(__xludf.DUMMYFUNCTION("""COMPUTED_VALUE"""),2.0)</f>
        <v>2</v>
      </c>
      <c r="L1461" s="6"/>
      <c r="M1461" s="55"/>
      <c r="N1461" s="55">
        <f>IFERROR(__xludf.DUMMYFUNCTION("""COMPUTED_VALUE"""),1.0)</f>
        <v>1</v>
      </c>
      <c r="O1461" s="55" t="b">
        <f t="shared" si="3"/>
        <v>1</v>
      </c>
      <c r="P1461" s="209"/>
      <c r="Q1461" s="75" t="b">
        <f>VLOOKUP($B1461,'Run Reconcile'!B$2:P1679,15,FALSE)</f>
        <v>1</v>
      </c>
      <c r="R1461" s="211" t="str">
        <f t="array" ref="R1461">IF($Q1461, INDEX('Run Reconcile'!A$2:A1679,MATCH(B1461,'Run Reconcile'!B$2:B1679,0),1),IFERROR(0/0,""))</f>
        <v>RUN-COMB_2022-07-19_RFR-082</v>
      </c>
      <c r="S1461" s="165" t="str">
        <f t="shared" ref="S1461:T1461" si="2921">IF(COUNTIF(W$2:W1679, $A1461) &gt; 0,TRUE,IFERROR(0/0,""))</f>
        <v/>
      </c>
      <c r="T1461" s="165" t="str">
        <f t="shared" si="2921"/>
        <v/>
      </c>
      <c r="U1461" s="147" t="str">
        <f t="array" ref="U1461">IF(ISBLANK($R1461), IF($S1461,VLOOKUP($B1461+1,'RFR Data - preExcl'!$BF$2:$BG1679,2,FALSE),IF($T1461,INDEX('RFR Data - preExcl'!$BF$2:$BG1679,MATCH($B1461,'RFR Data - preExcl'!$BF$2:$BF1679,0)+1,2),VLOOKUP($B1461,'RFR Data - preExcl'!$BF$2:$BG1679,2,FALSE))),IFERROR(0/0,""))</f>
        <v/>
      </c>
      <c r="V1461" s="212" t="str">
        <f t="shared" si="5"/>
        <v>RUN-COMB_2022-07-19_RFR-082</v>
      </c>
      <c r="W1461" s="51"/>
      <c r="X1461" s="51"/>
      <c r="Y1461" s="147" t="str">
        <f t="shared" ref="Y1461:Z1461" si="2922">IF(_xlfn.ISFORMULA(S1461),IFERROR(0/0,""),TRUE)</f>
        <v/>
      </c>
      <c r="Z1461" s="147" t="str">
        <f t="shared" si="2922"/>
        <v/>
      </c>
    </row>
    <row r="1462">
      <c r="A1462" s="6" t="str">
        <f>IFERROR(__xludf.DUMMYFUNCTION("""COMPUTED_VALUE"""),"FM1746")</f>
        <v>FM1746</v>
      </c>
      <c r="B1462" s="206">
        <f>IFERROR(__xludf.DUMMYFUNCTION("""COMPUTED_VALUE"""),44761.0)</f>
        <v>44761</v>
      </c>
      <c r="C1462" s="207">
        <f>IFERROR(__xludf.DUMMYFUNCTION("""COMPUTED_VALUE"""),0.27067129629629627)</f>
        <v>0.2706712963</v>
      </c>
      <c r="D1462" s="50"/>
      <c r="E1462" s="58"/>
      <c r="F1462" s="58"/>
      <c r="G1462" s="58" t="str">
        <f>IFERROR(__xludf.DUMMYFUNCTION("""COMPUTED_VALUE"""),"Null")</f>
        <v>Null</v>
      </c>
      <c r="H1462" s="206" t="str">
        <f>IFERROR(__xludf.DUMMYFUNCTION("""COMPUTED_VALUE"""),"Negative")</f>
        <v>Negative</v>
      </c>
      <c r="I1462" s="207"/>
      <c r="J1462" s="50"/>
      <c r="K1462" s="50">
        <f>IFERROR(__xludf.DUMMYFUNCTION("""COMPUTED_VALUE"""),2.0)</f>
        <v>2</v>
      </c>
      <c r="L1462" s="6"/>
      <c r="M1462" s="55"/>
      <c r="N1462" s="55">
        <f>IFERROR(__xludf.DUMMYFUNCTION("""COMPUTED_VALUE"""),1.0)</f>
        <v>1</v>
      </c>
      <c r="O1462" s="55" t="str">
        <f t="shared" si="3"/>
        <v/>
      </c>
      <c r="P1462" s="209"/>
      <c r="Q1462" s="75" t="b">
        <f>VLOOKUP($B1462,'Run Reconcile'!B$2:P1679,15,FALSE)</f>
        <v>1</v>
      </c>
      <c r="R1462" s="211" t="str">
        <f t="array" ref="R1462">IF($Q1462, INDEX('Run Reconcile'!A$2:A1679,MATCH(B1462,'Run Reconcile'!B$2:B1679,0),1),IFERROR(0/0,""))</f>
        <v>RUN-COMB_2022-07-19_RFR-082</v>
      </c>
      <c r="S1462" s="165" t="str">
        <f t="shared" ref="S1462:T1462" si="2923">IF(COUNTIF(W$2:W1679, $A1462) &gt; 0,TRUE,IFERROR(0/0,""))</f>
        <v/>
      </c>
      <c r="T1462" s="165" t="str">
        <f t="shared" si="2923"/>
        <v/>
      </c>
      <c r="U1462" s="147" t="str">
        <f t="array" ref="U1462">IF(ISBLANK($R1462), IF($S1462,VLOOKUP($B1462+1,'RFR Data - preExcl'!$BF$2:$BG1679,2,FALSE),IF($T1462,INDEX('RFR Data - preExcl'!$BF$2:$BG1679,MATCH($B1462,'RFR Data - preExcl'!$BF$2:$BF1679,0)+1,2),VLOOKUP($B1462,'RFR Data - preExcl'!$BF$2:$BG1679,2,FALSE))),IFERROR(0/0,""))</f>
        <v/>
      </c>
      <c r="V1462" s="212" t="str">
        <f t="shared" si="5"/>
        <v>RUN-COMB_2022-07-19_RFR-082</v>
      </c>
      <c r="W1462" s="51"/>
      <c r="X1462" s="51"/>
      <c r="Y1462" s="147" t="str">
        <f t="shared" ref="Y1462:Z1462" si="2924">IF(_xlfn.ISFORMULA(S1462),IFERROR(0/0,""),TRUE)</f>
        <v/>
      </c>
      <c r="Z1462" s="147" t="str">
        <f t="shared" si="2924"/>
        <v/>
      </c>
    </row>
    <row r="1463">
      <c r="A1463" s="6" t="str">
        <f>IFERROR(__xludf.DUMMYFUNCTION("""COMPUTED_VALUE"""),"FM1144")</f>
        <v>FM1144</v>
      </c>
      <c r="B1463" s="206">
        <f>IFERROR(__xludf.DUMMYFUNCTION("""COMPUTED_VALUE"""),44761.0)</f>
        <v>44761</v>
      </c>
      <c r="C1463" s="207">
        <f>IFERROR(__xludf.DUMMYFUNCTION("""COMPUTED_VALUE"""),0.2710416666666667)</f>
        <v>0.2710416667</v>
      </c>
      <c r="D1463" s="50"/>
      <c r="E1463" s="58"/>
      <c r="F1463" s="58"/>
      <c r="G1463" s="58" t="str">
        <f>IFERROR(__xludf.DUMMYFUNCTION("""COMPUTED_VALUE"""),"Null")</f>
        <v>Null</v>
      </c>
      <c r="H1463" s="206" t="str">
        <f>IFERROR(__xludf.DUMMYFUNCTION("""COMPUTED_VALUE"""),"Negative")</f>
        <v>Negative</v>
      </c>
      <c r="I1463" s="207"/>
      <c r="J1463" s="50"/>
      <c r="K1463" s="50">
        <f>IFERROR(__xludf.DUMMYFUNCTION("""COMPUTED_VALUE"""),2.0)</f>
        <v>2</v>
      </c>
      <c r="L1463" s="6"/>
      <c r="M1463" s="55"/>
      <c r="N1463" s="55">
        <f>IFERROR(__xludf.DUMMYFUNCTION("""COMPUTED_VALUE"""),1.0)</f>
        <v>1</v>
      </c>
      <c r="O1463" s="55" t="str">
        <f t="shared" si="3"/>
        <v/>
      </c>
      <c r="P1463" s="209"/>
      <c r="Q1463" s="75" t="b">
        <f>VLOOKUP($B1463,'Run Reconcile'!B$2:P1679,15,FALSE)</f>
        <v>1</v>
      </c>
      <c r="R1463" s="211" t="str">
        <f t="array" ref="R1463">IF($Q1463, INDEX('Run Reconcile'!A$2:A1679,MATCH(B1463,'Run Reconcile'!B$2:B1679,0),1),IFERROR(0/0,""))</f>
        <v>RUN-COMB_2022-07-19_RFR-082</v>
      </c>
      <c r="S1463" s="165" t="str">
        <f t="shared" ref="S1463:T1463" si="2925">IF(COUNTIF(W$2:W1679, $A1463) &gt; 0,TRUE,IFERROR(0/0,""))</f>
        <v/>
      </c>
      <c r="T1463" s="165" t="str">
        <f t="shared" si="2925"/>
        <v/>
      </c>
      <c r="U1463" s="147" t="str">
        <f t="array" ref="U1463">IF(ISBLANK($R1463), IF($S1463,VLOOKUP($B1463+1,'RFR Data - preExcl'!$BF$2:$BG1679,2,FALSE),IF($T1463,INDEX('RFR Data - preExcl'!$BF$2:$BG1679,MATCH($B1463,'RFR Data - preExcl'!$BF$2:$BF1679,0)+1,2),VLOOKUP($B1463,'RFR Data - preExcl'!$BF$2:$BG1679,2,FALSE))),IFERROR(0/0,""))</f>
        <v/>
      </c>
      <c r="V1463" s="212" t="str">
        <f t="shared" si="5"/>
        <v>RUN-COMB_2022-07-19_RFR-082</v>
      </c>
      <c r="W1463" s="51"/>
      <c r="X1463" s="51"/>
      <c r="Y1463" s="147" t="str">
        <f t="shared" ref="Y1463:Z1463" si="2926">IF(_xlfn.ISFORMULA(S1463),IFERROR(0/0,""),TRUE)</f>
        <v/>
      </c>
      <c r="Z1463" s="147" t="str">
        <f t="shared" si="2926"/>
        <v/>
      </c>
    </row>
    <row r="1464">
      <c r="A1464" s="6" t="str">
        <f>IFERROR(__xludf.DUMMYFUNCTION("""COMPUTED_VALUE"""),"FM1158")</f>
        <v>FM1158</v>
      </c>
      <c r="B1464" s="206">
        <f>IFERROR(__xludf.DUMMYFUNCTION("""COMPUTED_VALUE"""),44761.0)</f>
        <v>44761</v>
      </c>
      <c r="C1464" s="207">
        <f>IFERROR(__xludf.DUMMYFUNCTION("""COMPUTED_VALUE"""),0.27145833333333336)</f>
        <v>0.2714583333</v>
      </c>
      <c r="D1464" s="50"/>
      <c r="E1464" s="58"/>
      <c r="F1464" s="58"/>
      <c r="G1464" s="58" t="str">
        <f>IFERROR(__xludf.DUMMYFUNCTION("""COMPUTED_VALUE"""),"Null")</f>
        <v>Null</v>
      </c>
      <c r="H1464" s="206" t="str">
        <f>IFERROR(__xludf.DUMMYFUNCTION("""COMPUTED_VALUE"""),"Negative")</f>
        <v>Negative</v>
      </c>
      <c r="I1464" s="207"/>
      <c r="J1464" s="50"/>
      <c r="K1464" s="50">
        <f>IFERROR(__xludf.DUMMYFUNCTION("""COMPUTED_VALUE"""),2.0)</f>
        <v>2</v>
      </c>
      <c r="L1464" s="6"/>
      <c r="M1464" s="55"/>
      <c r="N1464" s="55">
        <f>IFERROR(__xludf.DUMMYFUNCTION("""COMPUTED_VALUE"""),1.0)</f>
        <v>1</v>
      </c>
      <c r="O1464" s="55" t="str">
        <f t="shared" si="3"/>
        <v/>
      </c>
      <c r="P1464" s="209"/>
      <c r="Q1464" s="75" t="b">
        <f>VLOOKUP($B1464,'Run Reconcile'!B$2:P1679,15,FALSE)</f>
        <v>1</v>
      </c>
      <c r="R1464" s="211" t="str">
        <f t="array" ref="R1464">IF($Q1464, INDEX('Run Reconcile'!A$2:A1679,MATCH(B1464,'Run Reconcile'!B$2:B1679,0),1),IFERROR(0/0,""))</f>
        <v>RUN-COMB_2022-07-19_RFR-082</v>
      </c>
      <c r="S1464" s="165" t="str">
        <f t="shared" ref="S1464:T1464" si="2927">IF(COUNTIF(W$2:W1679, $A1464) &gt; 0,TRUE,IFERROR(0/0,""))</f>
        <v/>
      </c>
      <c r="T1464" s="165" t="str">
        <f t="shared" si="2927"/>
        <v/>
      </c>
      <c r="U1464" s="147" t="str">
        <f t="array" ref="U1464">IF(ISBLANK($R1464), IF($S1464,VLOOKUP($B1464+1,'RFR Data - preExcl'!$BF$2:$BG1679,2,FALSE),IF($T1464,INDEX('RFR Data - preExcl'!$BF$2:$BG1679,MATCH($B1464,'RFR Data - preExcl'!$BF$2:$BF1679,0)+1,2),VLOOKUP($B1464,'RFR Data - preExcl'!$BF$2:$BG1679,2,FALSE))),IFERROR(0/0,""))</f>
        <v/>
      </c>
      <c r="V1464" s="212" t="str">
        <f t="shared" si="5"/>
        <v>RUN-COMB_2022-07-19_RFR-082</v>
      </c>
      <c r="W1464" s="51"/>
      <c r="X1464" s="51"/>
      <c r="Y1464" s="147" t="str">
        <f t="shared" ref="Y1464:Z1464" si="2928">IF(_xlfn.ISFORMULA(S1464),IFERROR(0/0,""),TRUE)</f>
        <v/>
      </c>
      <c r="Z1464" s="147" t="str">
        <f t="shared" si="2928"/>
        <v/>
      </c>
    </row>
    <row r="1465">
      <c r="A1465" s="6" t="str">
        <f>IFERROR(__xludf.DUMMYFUNCTION("""COMPUTED_VALUE"""),"FM1152")</f>
        <v>FM1152</v>
      </c>
      <c r="B1465" s="206">
        <f>IFERROR(__xludf.DUMMYFUNCTION("""COMPUTED_VALUE"""),44761.0)</f>
        <v>44761</v>
      </c>
      <c r="C1465" s="207">
        <f>IFERROR(__xludf.DUMMYFUNCTION("""COMPUTED_VALUE"""),0.27172453703703703)</f>
        <v>0.271724537</v>
      </c>
      <c r="D1465" s="50"/>
      <c r="E1465" s="58"/>
      <c r="F1465" s="58"/>
      <c r="G1465" s="58" t="str">
        <f>IFERROR(__xludf.DUMMYFUNCTION("""COMPUTED_VALUE"""),"Null")</f>
        <v>Null</v>
      </c>
      <c r="H1465" s="206" t="str">
        <f>IFERROR(__xludf.DUMMYFUNCTION("""COMPUTED_VALUE"""),"Negative")</f>
        <v>Negative</v>
      </c>
      <c r="I1465" s="207"/>
      <c r="J1465" s="50"/>
      <c r="K1465" s="50">
        <f>IFERROR(__xludf.DUMMYFUNCTION("""COMPUTED_VALUE"""),2.0)</f>
        <v>2</v>
      </c>
      <c r="L1465" s="6"/>
      <c r="M1465" s="55"/>
      <c r="N1465" s="55">
        <f>IFERROR(__xludf.DUMMYFUNCTION("""COMPUTED_VALUE"""),1.0)</f>
        <v>1</v>
      </c>
      <c r="O1465" s="55" t="str">
        <f t="shared" si="3"/>
        <v/>
      </c>
      <c r="P1465" s="209"/>
      <c r="Q1465" s="75" t="b">
        <f>VLOOKUP($B1465,'Run Reconcile'!B$2:P1679,15,FALSE)</f>
        <v>1</v>
      </c>
      <c r="R1465" s="211" t="str">
        <f t="array" ref="R1465">IF($Q1465, INDEX('Run Reconcile'!A$2:A1679,MATCH(B1465,'Run Reconcile'!B$2:B1679,0),1),IFERROR(0/0,""))</f>
        <v>RUN-COMB_2022-07-19_RFR-082</v>
      </c>
      <c r="S1465" s="165" t="str">
        <f t="shared" ref="S1465:T1465" si="2929">IF(COUNTIF(W$2:W1679, $A1465) &gt; 0,TRUE,IFERROR(0/0,""))</f>
        <v/>
      </c>
      <c r="T1465" s="165" t="str">
        <f t="shared" si="2929"/>
        <v/>
      </c>
      <c r="U1465" s="147" t="str">
        <f t="array" ref="U1465">IF(ISBLANK($R1465), IF($S1465,VLOOKUP($B1465+1,'RFR Data - preExcl'!$BF$2:$BG1679,2,FALSE),IF($T1465,INDEX('RFR Data - preExcl'!$BF$2:$BG1679,MATCH($B1465,'RFR Data - preExcl'!$BF$2:$BF1679,0)+1,2),VLOOKUP($B1465,'RFR Data - preExcl'!$BF$2:$BG1679,2,FALSE))),IFERROR(0/0,""))</f>
        <v/>
      </c>
      <c r="V1465" s="212" t="str">
        <f t="shared" si="5"/>
        <v>RUN-COMB_2022-07-19_RFR-082</v>
      </c>
      <c r="W1465" s="51"/>
      <c r="X1465" s="51"/>
      <c r="Y1465" s="147" t="str">
        <f t="shared" ref="Y1465:Z1465" si="2930">IF(_xlfn.ISFORMULA(S1465),IFERROR(0/0,""),TRUE)</f>
        <v/>
      </c>
      <c r="Z1465" s="147" t="str">
        <f t="shared" si="2930"/>
        <v/>
      </c>
    </row>
    <row r="1466">
      <c r="A1466" s="6" t="str">
        <f>IFERROR(__xludf.DUMMYFUNCTION("""COMPUTED_VALUE"""),"FM1196")</f>
        <v>FM1196</v>
      </c>
      <c r="B1466" s="206">
        <f>IFERROR(__xludf.DUMMYFUNCTION("""COMPUTED_VALUE"""),44761.0)</f>
        <v>44761</v>
      </c>
      <c r="C1466" s="207">
        <f>IFERROR(__xludf.DUMMYFUNCTION("""COMPUTED_VALUE"""),0.272037037037037)</f>
        <v>0.272037037</v>
      </c>
      <c r="D1466" s="50"/>
      <c r="E1466" s="58"/>
      <c r="F1466" s="58"/>
      <c r="G1466" s="58" t="str">
        <f>IFERROR(__xludf.DUMMYFUNCTION("""COMPUTED_VALUE"""),"Null")</f>
        <v>Null</v>
      </c>
      <c r="H1466" s="206" t="str">
        <f>IFERROR(__xludf.DUMMYFUNCTION("""COMPUTED_VALUE"""),"Negative")</f>
        <v>Negative</v>
      </c>
      <c r="I1466" s="207"/>
      <c r="J1466" s="50"/>
      <c r="K1466" s="50">
        <f>IFERROR(__xludf.DUMMYFUNCTION("""COMPUTED_VALUE"""),2.0)</f>
        <v>2</v>
      </c>
      <c r="L1466" s="6"/>
      <c r="M1466" s="55"/>
      <c r="N1466" s="55">
        <f>IFERROR(__xludf.DUMMYFUNCTION("""COMPUTED_VALUE"""),1.0)</f>
        <v>1</v>
      </c>
      <c r="O1466" s="55" t="str">
        <f t="shared" si="3"/>
        <v/>
      </c>
      <c r="P1466" s="209"/>
      <c r="Q1466" s="75" t="b">
        <f>VLOOKUP($B1466,'Run Reconcile'!B$2:P1679,15,FALSE)</f>
        <v>1</v>
      </c>
      <c r="R1466" s="211" t="str">
        <f t="array" ref="R1466">IF($Q1466, INDEX('Run Reconcile'!A$2:A1679,MATCH(B1466,'Run Reconcile'!B$2:B1679,0),1),IFERROR(0/0,""))</f>
        <v>RUN-COMB_2022-07-19_RFR-082</v>
      </c>
      <c r="S1466" s="165" t="str">
        <f t="shared" ref="S1466:T1466" si="2931">IF(COUNTIF(W$2:W1679, $A1466) &gt; 0,TRUE,IFERROR(0/0,""))</f>
        <v/>
      </c>
      <c r="T1466" s="165" t="str">
        <f t="shared" si="2931"/>
        <v/>
      </c>
      <c r="U1466" s="147" t="str">
        <f t="array" ref="U1466">IF(ISBLANK($R1466), IF($S1466,VLOOKUP($B1466+1,'RFR Data - preExcl'!$BF$2:$BG1679,2,FALSE),IF($T1466,INDEX('RFR Data - preExcl'!$BF$2:$BG1679,MATCH($B1466,'RFR Data - preExcl'!$BF$2:$BF1679,0)+1,2),VLOOKUP($B1466,'RFR Data - preExcl'!$BF$2:$BG1679,2,FALSE))),IFERROR(0/0,""))</f>
        <v/>
      </c>
      <c r="V1466" s="212" t="str">
        <f t="shared" si="5"/>
        <v>RUN-COMB_2022-07-19_RFR-082</v>
      </c>
      <c r="W1466" s="51"/>
      <c r="X1466" s="51"/>
      <c r="Y1466" s="147" t="str">
        <f t="shared" ref="Y1466:Z1466" si="2932">IF(_xlfn.ISFORMULA(S1466),IFERROR(0/0,""),TRUE)</f>
        <v/>
      </c>
      <c r="Z1466" s="147" t="str">
        <f t="shared" si="2932"/>
        <v/>
      </c>
    </row>
    <row r="1467">
      <c r="A1467" s="6" t="str">
        <f>IFERROR(__xludf.DUMMYFUNCTION("""COMPUTED_VALUE"""),"FM1787")</f>
        <v>FM1787</v>
      </c>
      <c r="B1467" s="206">
        <f>IFERROR(__xludf.DUMMYFUNCTION("""COMPUTED_VALUE"""),44761.0)</f>
        <v>44761</v>
      </c>
      <c r="C1467" s="207">
        <f>IFERROR(__xludf.DUMMYFUNCTION("""COMPUTED_VALUE"""),0.2724537037037037)</f>
        <v>0.2724537037</v>
      </c>
      <c r="D1467" s="50"/>
      <c r="E1467" s="58"/>
      <c r="F1467" s="58"/>
      <c r="G1467" s="58" t="str">
        <f>IFERROR(__xludf.DUMMYFUNCTION("""COMPUTED_VALUE"""),"Null")</f>
        <v>Null</v>
      </c>
      <c r="H1467" s="206" t="str">
        <f>IFERROR(__xludf.DUMMYFUNCTION("""COMPUTED_VALUE"""),"Negative")</f>
        <v>Negative</v>
      </c>
      <c r="I1467" s="207"/>
      <c r="J1467" s="50"/>
      <c r="K1467" s="50">
        <f>IFERROR(__xludf.DUMMYFUNCTION("""COMPUTED_VALUE"""),2.0)</f>
        <v>2</v>
      </c>
      <c r="L1467" s="6"/>
      <c r="M1467" s="55"/>
      <c r="N1467" s="55">
        <f>IFERROR(__xludf.DUMMYFUNCTION("""COMPUTED_VALUE"""),1.0)</f>
        <v>1</v>
      </c>
      <c r="O1467" s="55" t="str">
        <f t="shared" si="3"/>
        <v/>
      </c>
      <c r="P1467" s="209"/>
      <c r="Q1467" s="75" t="b">
        <f>VLOOKUP($B1467,'Run Reconcile'!B$2:P1679,15,FALSE)</f>
        <v>1</v>
      </c>
      <c r="R1467" s="211" t="str">
        <f t="array" ref="R1467">IF($Q1467, INDEX('Run Reconcile'!A$2:A1679,MATCH(B1467,'Run Reconcile'!B$2:B1679,0),1),IFERROR(0/0,""))</f>
        <v>RUN-COMB_2022-07-19_RFR-082</v>
      </c>
      <c r="S1467" s="165" t="str">
        <f t="shared" ref="S1467:T1467" si="2933">IF(COUNTIF(W$2:W1679, $A1467) &gt; 0,TRUE,IFERROR(0/0,""))</f>
        <v/>
      </c>
      <c r="T1467" s="165" t="str">
        <f t="shared" si="2933"/>
        <v/>
      </c>
      <c r="U1467" s="147" t="str">
        <f t="array" ref="U1467">IF(ISBLANK($R1467), IF($S1467,VLOOKUP($B1467+1,'RFR Data - preExcl'!$BF$2:$BG1679,2,FALSE),IF($T1467,INDEX('RFR Data - preExcl'!$BF$2:$BG1679,MATCH($B1467,'RFR Data - preExcl'!$BF$2:$BF1679,0)+1,2),VLOOKUP($B1467,'RFR Data - preExcl'!$BF$2:$BG1679,2,FALSE))),IFERROR(0/0,""))</f>
        <v/>
      </c>
      <c r="V1467" s="212" t="str">
        <f t="shared" si="5"/>
        <v>RUN-COMB_2022-07-19_RFR-082</v>
      </c>
      <c r="W1467" s="51"/>
      <c r="X1467" s="51"/>
      <c r="Y1467" s="147" t="str">
        <f t="shared" ref="Y1467:Z1467" si="2934">IF(_xlfn.ISFORMULA(S1467),IFERROR(0/0,""),TRUE)</f>
        <v/>
      </c>
      <c r="Z1467" s="147" t="str">
        <f t="shared" si="2934"/>
        <v/>
      </c>
    </row>
    <row r="1468">
      <c r="A1468" s="6" t="str">
        <f>IFERROR(__xludf.DUMMYFUNCTION("""COMPUTED_VALUE"""),"FM1183")</f>
        <v>FM1183</v>
      </c>
      <c r="B1468" s="206">
        <f>IFERROR(__xludf.DUMMYFUNCTION("""COMPUTED_VALUE"""),44761.0)</f>
        <v>44761</v>
      </c>
      <c r="C1468" s="207">
        <f>IFERROR(__xludf.DUMMYFUNCTION("""COMPUTED_VALUE"""),0.2727893518518518)</f>
        <v>0.2727893519</v>
      </c>
      <c r="D1468" s="50"/>
      <c r="E1468" s="58"/>
      <c r="F1468" s="58"/>
      <c r="G1468" s="58" t="str">
        <f>IFERROR(__xludf.DUMMYFUNCTION("""COMPUTED_VALUE"""),"Null")</f>
        <v>Null</v>
      </c>
      <c r="H1468" s="206" t="str">
        <f>IFERROR(__xludf.DUMMYFUNCTION("""COMPUTED_VALUE"""),"Negative")</f>
        <v>Negative</v>
      </c>
      <c r="I1468" s="207"/>
      <c r="J1468" s="50"/>
      <c r="K1468" s="50">
        <f>IFERROR(__xludf.DUMMYFUNCTION("""COMPUTED_VALUE"""),2.0)</f>
        <v>2</v>
      </c>
      <c r="L1468" s="6"/>
      <c r="M1468" s="55"/>
      <c r="N1468" s="55">
        <f>IFERROR(__xludf.DUMMYFUNCTION("""COMPUTED_VALUE"""),1.0)</f>
        <v>1</v>
      </c>
      <c r="O1468" s="55" t="str">
        <f t="shared" si="3"/>
        <v/>
      </c>
      <c r="P1468" s="209"/>
      <c r="Q1468" s="75" t="b">
        <f>VLOOKUP($B1468,'Run Reconcile'!B$2:P1679,15,FALSE)</f>
        <v>1</v>
      </c>
      <c r="R1468" s="211" t="str">
        <f t="array" ref="R1468">IF($Q1468, INDEX('Run Reconcile'!A$2:A1679,MATCH(B1468,'Run Reconcile'!B$2:B1679,0),1),IFERROR(0/0,""))</f>
        <v>RUN-COMB_2022-07-19_RFR-082</v>
      </c>
      <c r="S1468" s="165" t="str">
        <f t="shared" ref="S1468:T1468" si="2935">IF(COUNTIF(W$2:W1679, $A1468) &gt; 0,TRUE,IFERROR(0/0,""))</f>
        <v/>
      </c>
      <c r="T1468" s="165" t="str">
        <f t="shared" si="2935"/>
        <v/>
      </c>
      <c r="U1468" s="147" t="str">
        <f t="array" ref="U1468">IF(ISBLANK($R1468), IF($S1468,VLOOKUP($B1468+1,'RFR Data - preExcl'!$BF$2:$BG1679,2,FALSE),IF($T1468,INDEX('RFR Data - preExcl'!$BF$2:$BG1679,MATCH($B1468,'RFR Data - preExcl'!$BF$2:$BF1679,0)+1,2),VLOOKUP($B1468,'RFR Data - preExcl'!$BF$2:$BG1679,2,FALSE))),IFERROR(0/0,""))</f>
        <v/>
      </c>
      <c r="V1468" s="212" t="str">
        <f t="shared" si="5"/>
        <v>RUN-COMB_2022-07-19_RFR-082</v>
      </c>
      <c r="W1468" s="51"/>
      <c r="X1468" s="51"/>
      <c r="Y1468" s="147" t="str">
        <f t="shared" ref="Y1468:Z1468" si="2936">IF(_xlfn.ISFORMULA(S1468),IFERROR(0/0,""),TRUE)</f>
        <v/>
      </c>
      <c r="Z1468" s="147" t="str">
        <f t="shared" si="2936"/>
        <v/>
      </c>
    </row>
    <row r="1469">
      <c r="A1469" s="6" t="str">
        <f>IFERROR(__xludf.DUMMYFUNCTION("""COMPUTED_VALUE"""),"FM1182")</f>
        <v>FM1182</v>
      </c>
      <c r="B1469" s="206">
        <f>IFERROR(__xludf.DUMMYFUNCTION("""COMPUTED_VALUE"""),44761.0)</f>
        <v>44761</v>
      </c>
      <c r="C1469" s="207">
        <f>IFERROR(__xludf.DUMMYFUNCTION("""COMPUTED_VALUE"""),0.27399305555555553)</f>
        <v>0.2739930556</v>
      </c>
      <c r="D1469" s="50"/>
      <c r="E1469" s="58"/>
      <c r="F1469" s="58"/>
      <c r="G1469" s="58" t="str">
        <f>IFERROR(__xludf.DUMMYFUNCTION("""COMPUTED_VALUE"""),"Null")</f>
        <v>Null</v>
      </c>
      <c r="H1469" s="206" t="str">
        <f>IFERROR(__xludf.DUMMYFUNCTION("""COMPUTED_VALUE"""),"Negative")</f>
        <v>Negative</v>
      </c>
      <c r="I1469" s="207"/>
      <c r="J1469" s="50"/>
      <c r="K1469" s="50">
        <f>IFERROR(__xludf.DUMMYFUNCTION("""COMPUTED_VALUE"""),2.0)</f>
        <v>2</v>
      </c>
      <c r="L1469" s="6" t="str">
        <f>IFERROR(__xludf.DUMMYFUNCTION("""COMPUTED_VALUE"""),"Participant name was repeated in another tube")</f>
        <v>Participant name was repeated in another tube</v>
      </c>
      <c r="M1469" s="55"/>
      <c r="N1469" s="55">
        <f>IFERROR(__xludf.DUMMYFUNCTION("""COMPUTED_VALUE"""),1.0)</f>
        <v>1</v>
      </c>
      <c r="O1469" s="55" t="str">
        <f t="shared" si="3"/>
        <v/>
      </c>
      <c r="P1469" s="209"/>
      <c r="Q1469" s="75" t="b">
        <f>VLOOKUP($B1469,'Run Reconcile'!B$2:P1679,15,FALSE)</f>
        <v>1</v>
      </c>
      <c r="R1469" s="211" t="str">
        <f t="array" ref="R1469">IF($Q1469, INDEX('Run Reconcile'!A$2:A1679,MATCH(B1469,'Run Reconcile'!B$2:B1679,0),1),IFERROR(0/0,""))</f>
        <v>RUN-COMB_2022-07-19_RFR-082</v>
      </c>
      <c r="S1469" s="165" t="str">
        <f t="shared" ref="S1469:T1469" si="2937">IF(COUNTIF(W$2:W1679, $A1469) &gt; 0,TRUE,IFERROR(0/0,""))</f>
        <v/>
      </c>
      <c r="T1469" s="165" t="str">
        <f t="shared" si="2937"/>
        <v/>
      </c>
      <c r="U1469" s="147" t="str">
        <f t="array" ref="U1469">IF(ISBLANK($R1469), IF($S1469,VLOOKUP($B1469+1,'RFR Data - preExcl'!$BF$2:$BG1679,2,FALSE),IF($T1469,INDEX('RFR Data - preExcl'!$BF$2:$BG1679,MATCH($B1469,'RFR Data - preExcl'!$BF$2:$BF1679,0)+1,2),VLOOKUP($B1469,'RFR Data - preExcl'!$BF$2:$BG1679,2,FALSE))),IFERROR(0/0,""))</f>
        <v/>
      </c>
      <c r="V1469" s="212" t="str">
        <f t="shared" si="5"/>
        <v>RUN-COMB_2022-07-19_RFR-082</v>
      </c>
      <c r="W1469" s="51"/>
      <c r="X1469" s="51"/>
      <c r="Y1469" s="147" t="str">
        <f t="shared" ref="Y1469:Z1469" si="2938">IF(_xlfn.ISFORMULA(S1469),IFERROR(0/0,""),TRUE)</f>
        <v/>
      </c>
      <c r="Z1469" s="147" t="str">
        <f t="shared" si="2938"/>
        <v/>
      </c>
    </row>
    <row r="1470">
      <c r="A1470" s="6" t="str">
        <f>IFERROR(__xludf.DUMMYFUNCTION("""COMPUTED_VALUE"""),"FM1776")</f>
        <v>FM1776</v>
      </c>
      <c r="B1470" s="206">
        <f>IFERROR(__xludf.DUMMYFUNCTION("""COMPUTED_VALUE"""),44761.0)</f>
        <v>44761</v>
      </c>
      <c r="C1470" s="207">
        <f>IFERROR(__xludf.DUMMYFUNCTION("""COMPUTED_VALUE"""),0.27525462962962965)</f>
        <v>0.2752546296</v>
      </c>
      <c r="D1470" s="50"/>
      <c r="E1470" s="58"/>
      <c r="F1470" s="58"/>
      <c r="G1470" s="58" t="str">
        <f>IFERROR(__xludf.DUMMYFUNCTION("""COMPUTED_VALUE"""),"Null")</f>
        <v>Null</v>
      </c>
      <c r="H1470" s="206" t="str">
        <f>IFERROR(__xludf.DUMMYFUNCTION("""COMPUTED_VALUE"""),"Negative")</f>
        <v>Negative</v>
      </c>
      <c r="I1470" s="207"/>
      <c r="J1470" s="50"/>
      <c r="K1470" s="50">
        <f>IFERROR(__xludf.DUMMYFUNCTION("""COMPUTED_VALUE"""),2.0)</f>
        <v>2</v>
      </c>
      <c r="L1470" s="6"/>
      <c r="M1470" s="55"/>
      <c r="N1470" s="55">
        <f>IFERROR(__xludf.DUMMYFUNCTION("""COMPUTED_VALUE"""),1.0)</f>
        <v>1</v>
      </c>
      <c r="O1470" s="55" t="str">
        <f t="shared" si="3"/>
        <v/>
      </c>
      <c r="P1470" s="209"/>
      <c r="Q1470" s="75" t="b">
        <f>VLOOKUP($B1470,'Run Reconcile'!B$2:P1679,15,FALSE)</f>
        <v>1</v>
      </c>
      <c r="R1470" s="211" t="str">
        <f t="array" ref="R1470">IF($Q1470, INDEX('Run Reconcile'!A$2:A1679,MATCH(B1470,'Run Reconcile'!B$2:B1679,0),1),IFERROR(0/0,""))</f>
        <v>RUN-COMB_2022-07-19_RFR-082</v>
      </c>
      <c r="S1470" s="165" t="str">
        <f t="shared" ref="S1470:T1470" si="2939">IF(COUNTIF(W$2:W1679, $A1470) &gt; 0,TRUE,IFERROR(0/0,""))</f>
        <v/>
      </c>
      <c r="T1470" s="165" t="str">
        <f t="shared" si="2939"/>
        <v/>
      </c>
      <c r="U1470" s="147" t="str">
        <f t="array" ref="U1470">IF(ISBLANK($R1470), IF($S1470,VLOOKUP($B1470+1,'RFR Data - preExcl'!$BF$2:$BG1679,2,FALSE),IF($T1470,INDEX('RFR Data - preExcl'!$BF$2:$BG1679,MATCH($B1470,'RFR Data - preExcl'!$BF$2:$BF1679,0)+1,2),VLOOKUP($B1470,'RFR Data - preExcl'!$BF$2:$BG1679,2,FALSE))),IFERROR(0/0,""))</f>
        <v/>
      </c>
      <c r="V1470" s="212" t="str">
        <f t="shared" si="5"/>
        <v>RUN-COMB_2022-07-19_RFR-082</v>
      </c>
      <c r="W1470" s="51"/>
      <c r="X1470" s="51"/>
      <c r="Y1470" s="147" t="str">
        <f t="shared" ref="Y1470:Z1470" si="2940">IF(_xlfn.ISFORMULA(S1470),IFERROR(0/0,""),TRUE)</f>
        <v/>
      </c>
      <c r="Z1470" s="147" t="str">
        <f t="shared" si="2940"/>
        <v/>
      </c>
    </row>
    <row r="1471">
      <c r="A1471" s="6" t="str">
        <f>IFERROR(__xludf.DUMMYFUNCTION("""COMPUTED_VALUE"""),"FM1178")</f>
        <v>FM1178</v>
      </c>
      <c r="B1471" s="206">
        <f>IFERROR(__xludf.DUMMYFUNCTION("""COMPUTED_VALUE"""),44761.0)</f>
        <v>44761</v>
      </c>
      <c r="C1471" s="207">
        <f>IFERROR(__xludf.DUMMYFUNCTION("""COMPUTED_VALUE"""),0.2757060185185185)</f>
        <v>0.2757060185</v>
      </c>
      <c r="D1471" s="50"/>
      <c r="E1471" s="58"/>
      <c r="F1471" s="58"/>
      <c r="G1471" s="58" t="str">
        <f>IFERROR(__xludf.DUMMYFUNCTION("""COMPUTED_VALUE"""),"Null")</f>
        <v>Null</v>
      </c>
      <c r="H1471" s="206" t="str">
        <f>IFERROR(__xludf.DUMMYFUNCTION("""COMPUTED_VALUE"""),"Negative")</f>
        <v>Negative</v>
      </c>
      <c r="I1471" s="207"/>
      <c r="J1471" s="50"/>
      <c r="K1471" s="50">
        <f>IFERROR(__xludf.DUMMYFUNCTION("""COMPUTED_VALUE"""),2.0)</f>
        <v>2</v>
      </c>
      <c r="L1471" s="6"/>
      <c r="M1471" s="55"/>
      <c r="N1471" s="55">
        <f>IFERROR(__xludf.DUMMYFUNCTION("""COMPUTED_VALUE"""),1.0)</f>
        <v>1</v>
      </c>
      <c r="O1471" s="55" t="str">
        <f t="shared" si="3"/>
        <v/>
      </c>
      <c r="P1471" s="209"/>
      <c r="Q1471" s="75" t="b">
        <f>VLOOKUP($B1471,'Run Reconcile'!B$2:P1679,15,FALSE)</f>
        <v>1</v>
      </c>
      <c r="R1471" s="211" t="str">
        <f t="array" ref="R1471">IF($Q1471, INDEX('Run Reconcile'!A$2:A1679,MATCH(B1471,'Run Reconcile'!B$2:B1679,0),1),IFERROR(0/0,""))</f>
        <v>RUN-COMB_2022-07-19_RFR-082</v>
      </c>
      <c r="S1471" s="165" t="str">
        <f t="shared" ref="S1471:T1471" si="2941">IF(COUNTIF(W$2:W1679, $A1471) &gt; 0,TRUE,IFERROR(0/0,""))</f>
        <v/>
      </c>
      <c r="T1471" s="165" t="str">
        <f t="shared" si="2941"/>
        <v/>
      </c>
      <c r="U1471" s="147" t="str">
        <f t="array" ref="U1471">IF(ISBLANK($R1471), IF($S1471,VLOOKUP($B1471+1,'RFR Data - preExcl'!$BF$2:$BG1679,2,FALSE),IF($T1471,INDEX('RFR Data - preExcl'!$BF$2:$BG1679,MATCH($B1471,'RFR Data - preExcl'!$BF$2:$BF1679,0)+1,2),VLOOKUP($B1471,'RFR Data - preExcl'!$BF$2:$BG1679,2,FALSE))),IFERROR(0/0,""))</f>
        <v/>
      </c>
      <c r="V1471" s="212" t="str">
        <f t="shared" si="5"/>
        <v>RUN-COMB_2022-07-19_RFR-082</v>
      </c>
      <c r="W1471" s="51"/>
      <c r="X1471" s="51"/>
      <c r="Y1471" s="147" t="str">
        <f t="shared" ref="Y1471:Z1471" si="2942">IF(_xlfn.ISFORMULA(S1471),IFERROR(0/0,""),TRUE)</f>
        <v/>
      </c>
      <c r="Z1471" s="147" t="str">
        <f t="shared" si="2942"/>
        <v/>
      </c>
    </row>
    <row r="1472">
      <c r="A1472" s="6" t="str">
        <f>IFERROR(__xludf.DUMMYFUNCTION("""COMPUTED_VALUE"""),"FM1748")</f>
        <v>FM1748</v>
      </c>
      <c r="B1472" s="206">
        <f>IFERROR(__xludf.DUMMYFUNCTION("""COMPUTED_VALUE"""),44761.0)</f>
        <v>44761</v>
      </c>
      <c r="C1472" s="207">
        <f>IFERROR(__xludf.DUMMYFUNCTION("""COMPUTED_VALUE"""),0.2770949074074074)</f>
        <v>0.2770949074</v>
      </c>
      <c r="D1472" s="50"/>
      <c r="E1472" s="58"/>
      <c r="F1472" s="58"/>
      <c r="G1472" s="58" t="str">
        <f>IFERROR(__xludf.DUMMYFUNCTION("""COMPUTED_VALUE"""),"Null")</f>
        <v>Null</v>
      </c>
      <c r="H1472" s="206" t="str">
        <f>IFERROR(__xludf.DUMMYFUNCTION("""COMPUTED_VALUE"""),"Negative")</f>
        <v>Negative</v>
      </c>
      <c r="I1472" s="207"/>
      <c r="J1472" s="50"/>
      <c r="K1472" s="50">
        <f>IFERROR(__xludf.DUMMYFUNCTION("""COMPUTED_VALUE"""),2.0)</f>
        <v>2</v>
      </c>
      <c r="L1472" s="6"/>
      <c r="M1472" s="55"/>
      <c r="N1472" s="55">
        <f>IFERROR(__xludf.DUMMYFUNCTION("""COMPUTED_VALUE"""),1.0)</f>
        <v>1</v>
      </c>
      <c r="O1472" s="55" t="str">
        <f t="shared" si="3"/>
        <v/>
      </c>
      <c r="P1472" s="209"/>
      <c r="Q1472" s="75" t="b">
        <f>VLOOKUP($B1472,'Run Reconcile'!B$2:P1679,15,FALSE)</f>
        <v>1</v>
      </c>
      <c r="R1472" s="211" t="str">
        <f t="array" ref="R1472">IF($Q1472, INDEX('Run Reconcile'!A$2:A1679,MATCH(B1472,'Run Reconcile'!B$2:B1679,0),1),IFERROR(0/0,""))</f>
        <v>RUN-COMB_2022-07-19_RFR-082</v>
      </c>
      <c r="S1472" s="165" t="str">
        <f t="shared" ref="S1472:T1472" si="2943">IF(COUNTIF(W$2:W1679, $A1472) &gt; 0,TRUE,IFERROR(0/0,""))</f>
        <v/>
      </c>
      <c r="T1472" s="165" t="str">
        <f t="shared" si="2943"/>
        <v/>
      </c>
      <c r="U1472" s="147" t="str">
        <f t="array" ref="U1472">IF(ISBLANK($R1472), IF($S1472,VLOOKUP($B1472+1,'RFR Data - preExcl'!$BF$2:$BG1679,2,FALSE),IF($T1472,INDEX('RFR Data - preExcl'!$BF$2:$BG1679,MATCH($B1472,'RFR Data - preExcl'!$BF$2:$BF1679,0)+1,2),VLOOKUP($B1472,'RFR Data - preExcl'!$BF$2:$BG1679,2,FALSE))),IFERROR(0/0,""))</f>
        <v/>
      </c>
      <c r="V1472" s="212" t="str">
        <f t="shared" si="5"/>
        <v>RUN-COMB_2022-07-19_RFR-082</v>
      </c>
      <c r="W1472" s="51"/>
      <c r="X1472" s="51"/>
      <c r="Y1472" s="147" t="str">
        <f t="shared" ref="Y1472:Z1472" si="2944">IF(_xlfn.ISFORMULA(S1472),IFERROR(0/0,""),TRUE)</f>
        <v/>
      </c>
      <c r="Z1472" s="147" t="str">
        <f t="shared" si="2944"/>
        <v/>
      </c>
    </row>
    <row r="1473">
      <c r="A1473" s="6" t="str">
        <f>IFERROR(__xludf.DUMMYFUNCTION("""COMPUTED_VALUE"""),"FM1157")</f>
        <v>FM1157</v>
      </c>
      <c r="B1473" s="206">
        <f>IFERROR(__xludf.DUMMYFUNCTION("""COMPUTED_VALUE"""),44761.0)</f>
        <v>44761</v>
      </c>
      <c r="C1473" s="207">
        <f>IFERROR(__xludf.DUMMYFUNCTION("""COMPUTED_VALUE"""),0.2775578703703704)</f>
        <v>0.2775578704</v>
      </c>
      <c r="D1473" s="50"/>
      <c r="E1473" s="58"/>
      <c r="F1473" s="58"/>
      <c r="G1473" s="58" t="str">
        <f>IFERROR(__xludf.DUMMYFUNCTION("""COMPUTED_VALUE"""),"Null")</f>
        <v>Null</v>
      </c>
      <c r="H1473" s="206" t="str">
        <f>IFERROR(__xludf.DUMMYFUNCTION("""COMPUTED_VALUE"""),"Negative")</f>
        <v>Negative</v>
      </c>
      <c r="I1473" s="207"/>
      <c r="J1473" s="50"/>
      <c r="K1473" s="50">
        <f>IFERROR(__xludf.DUMMYFUNCTION("""COMPUTED_VALUE"""),2.0)</f>
        <v>2</v>
      </c>
      <c r="L1473" s="6"/>
      <c r="M1473" s="55"/>
      <c r="N1473" s="55">
        <f>IFERROR(__xludf.DUMMYFUNCTION("""COMPUTED_VALUE"""),1.0)</f>
        <v>1</v>
      </c>
      <c r="O1473" s="55" t="str">
        <f t="shared" si="3"/>
        <v/>
      </c>
      <c r="P1473" s="209"/>
      <c r="Q1473" s="75" t="b">
        <f>VLOOKUP($B1473,'Run Reconcile'!B$2:P1679,15,FALSE)</f>
        <v>1</v>
      </c>
      <c r="R1473" s="211" t="str">
        <f t="array" ref="R1473">IF($Q1473, INDEX('Run Reconcile'!A$2:A1679,MATCH(B1473,'Run Reconcile'!B$2:B1679,0),1),IFERROR(0/0,""))</f>
        <v>RUN-COMB_2022-07-19_RFR-082</v>
      </c>
      <c r="S1473" s="165" t="str">
        <f t="shared" ref="S1473:T1473" si="2945">IF(COUNTIF(W$2:W1679, $A1473) &gt; 0,TRUE,IFERROR(0/0,""))</f>
        <v/>
      </c>
      <c r="T1473" s="165" t="str">
        <f t="shared" si="2945"/>
        <v/>
      </c>
      <c r="U1473" s="147" t="str">
        <f t="array" ref="U1473">IF(ISBLANK($R1473), IF($S1473,VLOOKUP($B1473+1,'RFR Data - preExcl'!$BF$2:$BG1679,2,FALSE),IF($T1473,INDEX('RFR Data - preExcl'!$BF$2:$BG1679,MATCH($B1473,'RFR Data - preExcl'!$BF$2:$BF1679,0)+1,2),VLOOKUP($B1473,'RFR Data - preExcl'!$BF$2:$BG1679,2,FALSE))),IFERROR(0/0,""))</f>
        <v/>
      </c>
      <c r="V1473" s="212" t="str">
        <f t="shared" si="5"/>
        <v>RUN-COMB_2022-07-19_RFR-082</v>
      </c>
      <c r="W1473" s="51"/>
      <c r="X1473" s="51"/>
      <c r="Y1473" s="147" t="str">
        <f t="shared" ref="Y1473:Z1473" si="2946">IF(_xlfn.ISFORMULA(S1473),IFERROR(0/0,""),TRUE)</f>
        <v/>
      </c>
      <c r="Z1473" s="147" t="str">
        <f t="shared" si="2946"/>
        <v/>
      </c>
    </row>
    <row r="1474">
      <c r="A1474" s="6" t="str">
        <f>IFERROR(__xludf.DUMMYFUNCTION("""COMPUTED_VALUE"""),"FM1783")</f>
        <v>FM1783</v>
      </c>
      <c r="B1474" s="206">
        <f>IFERROR(__xludf.DUMMYFUNCTION("""COMPUTED_VALUE"""),44761.0)</f>
        <v>44761</v>
      </c>
      <c r="C1474" s="207">
        <f>IFERROR(__xludf.DUMMYFUNCTION("""COMPUTED_VALUE"""),0.27993055555555557)</f>
        <v>0.2799305556</v>
      </c>
      <c r="D1474" s="50"/>
      <c r="E1474" s="58"/>
      <c r="F1474" s="58"/>
      <c r="G1474" s="58" t="str">
        <f>IFERROR(__xludf.DUMMYFUNCTION("""COMPUTED_VALUE"""),"Null")</f>
        <v>Null</v>
      </c>
      <c r="H1474" s="206" t="str">
        <f>IFERROR(__xludf.DUMMYFUNCTION("""COMPUTED_VALUE"""),"Negative")</f>
        <v>Negative</v>
      </c>
      <c r="I1474" s="207"/>
      <c r="J1474" s="50"/>
      <c r="K1474" s="50">
        <f>IFERROR(__xludf.DUMMYFUNCTION("""COMPUTED_VALUE"""),2.0)</f>
        <v>2</v>
      </c>
      <c r="L1474" s="6"/>
      <c r="M1474" s="55"/>
      <c r="N1474" s="55">
        <f>IFERROR(__xludf.DUMMYFUNCTION("""COMPUTED_VALUE"""),1.0)</f>
        <v>1</v>
      </c>
      <c r="O1474" s="55" t="str">
        <f t="shared" si="3"/>
        <v/>
      </c>
      <c r="P1474" s="209"/>
      <c r="Q1474" s="75" t="b">
        <f>VLOOKUP($B1474,'Run Reconcile'!B$2:P1679,15,FALSE)</f>
        <v>1</v>
      </c>
      <c r="R1474" s="211" t="str">
        <f t="array" ref="R1474">IF($Q1474, INDEX('Run Reconcile'!A$2:A1679,MATCH(B1474,'Run Reconcile'!B$2:B1679,0),1),IFERROR(0/0,""))</f>
        <v>RUN-COMB_2022-07-19_RFR-082</v>
      </c>
      <c r="S1474" s="165" t="str">
        <f t="shared" ref="S1474:T1474" si="2947">IF(COUNTIF(W$2:W1679, $A1474) &gt; 0,TRUE,IFERROR(0/0,""))</f>
        <v/>
      </c>
      <c r="T1474" s="165" t="str">
        <f t="shared" si="2947"/>
        <v/>
      </c>
      <c r="U1474" s="147" t="str">
        <f t="array" ref="U1474">IF(ISBLANK($R1474), IF($S1474,VLOOKUP($B1474+1,'RFR Data - preExcl'!$BF$2:$BG1679,2,FALSE),IF($T1474,INDEX('RFR Data - preExcl'!$BF$2:$BG1679,MATCH($B1474,'RFR Data - preExcl'!$BF$2:$BF1679,0)+1,2),VLOOKUP($B1474,'RFR Data - preExcl'!$BF$2:$BG1679,2,FALSE))),IFERROR(0/0,""))</f>
        <v/>
      </c>
      <c r="V1474" s="212" t="str">
        <f t="shared" si="5"/>
        <v>RUN-COMB_2022-07-19_RFR-082</v>
      </c>
      <c r="W1474" s="51"/>
      <c r="X1474" s="51"/>
      <c r="Y1474" s="147" t="str">
        <f t="shared" ref="Y1474:Z1474" si="2948">IF(_xlfn.ISFORMULA(S1474),IFERROR(0/0,""),TRUE)</f>
        <v/>
      </c>
      <c r="Z1474" s="147" t="str">
        <f t="shared" si="2948"/>
        <v/>
      </c>
    </row>
    <row r="1475">
      <c r="A1475" s="6" t="str">
        <f>IFERROR(__xludf.DUMMYFUNCTION("""COMPUTED_VALUE"""),"FM1747")</f>
        <v>FM1747</v>
      </c>
      <c r="B1475" s="206">
        <f>IFERROR(__xludf.DUMMYFUNCTION("""COMPUTED_VALUE"""),44761.0)</f>
        <v>44761</v>
      </c>
      <c r="C1475" s="207">
        <f>IFERROR(__xludf.DUMMYFUNCTION("""COMPUTED_VALUE"""),0.28019675925925924)</f>
        <v>0.2801967593</v>
      </c>
      <c r="D1475" s="50"/>
      <c r="E1475" s="58"/>
      <c r="F1475" s="58"/>
      <c r="G1475" s="58" t="str">
        <f>IFERROR(__xludf.DUMMYFUNCTION("""COMPUTED_VALUE"""),"Null")</f>
        <v>Null</v>
      </c>
      <c r="H1475" s="206" t="str">
        <f>IFERROR(__xludf.DUMMYFUNCTION("""COMPUTED_VALUE"""),"Negative")</f>
        <v>Negative</v>
      </c>
      <c r="I1475" s="207"/>
      <c r="J1475" s="50"/>
      <c r="K1475" s="50">
        <f>IFERROR(__xludf.DUMMYFUNCTION("""COMPUTED_VALUE"""),2.0)</f>
        <v>2</v>
      </c>
      <c r="L1475" s="6"/>
      <c r="M1475" s="55"/>
      <c r="N1475" s="55">
        <f>IFERROR(__xludf.DUMMYFUNCTION("""COMPUTED_VALUE"""),1.0)</f>
        <v>1</v>
      </c>
      <c r="O1475" s="55" t="str">
        <f t="shared" si="3"/>
        <v/>
      </c>
      <c r="P1475" s="209"/>
      <c r="Q1475" s="75" t="b">
        <f>VLOOKUP($B1475,'Run Reconcile'!B$2:P1679,15,FALSE)</f>
        <v>1</v>
      </c>
      <c r="R1475" s="211" t="str">
        <f t="array" ref="R1475">IF($Q1475, INDEX('Run Reconcile'!A$2:A1679,MATCH(B1475,'Run Reconcile'!B$2:B1679,0),1),IFERROR(0/0,""))</f>
        <v>RUN-COMB_2022-07-19_RFR-082</v>
      </c>
      <c r="S1475" s="165" t="str">
        <f t="shared" ref="S1475:T1475" si="2949">IF(COUNTIF(W$2:W1679, $A1475) &gt; 0,TRUE,IFERROR(0/0,""))</f>
        <v/>
      </c>
      <c r="T1475" s="165" t="str">
        <f t="shared" si="2949"/>
        <v/>
      </c>
      <c r="U1475" s="147" t="str">
        <f t="array" ref="U1475">IF(ISBLANK($R1475), IF($S1475,VLOOKUP($B1475+1,'RFR Data - preExcl'!$BF$2:$BG1679,2,FALSE),IF($T1475,INDEX('RFR Data - preExcl'!$BF$2:$BG1679,MATCH($B1475,'RFR Data - preExcl'!$BF$2:$BF1679,0)+1,2),VLOOKUP($B1475,'RFR Data - preExcl'!$BF$2:$BG1679,2,FALSE))),IFERROR(0/0,""))</f>
        <v/>
      </c>
      <c r="V1475" s="212" t="str">
        <f t="shared" si="5"/>
        <v>RUN-COMB_2022-07-19_RFR-082</v>
      </c>
      <c r="W1475" s="51"/>
      <c r="X1475" s="51"/>
      <c r="Y1475" s="147" t="str">
        <f t="shared" ref="Y1475:Z1475" si="2950">IF(_xlfn.ISFORMULA(S1475),IFERROR(0/0,""),TRUE)</f>
        <v/>
      </c>
      <c r="Z1475" s="147" t="str">
        <f t="shared" si="2950"/>
        <v/>
      </c>
    </row>
    <row r="1476">
      <c r="A1476" s="6" t="str">
        <f>IFERROR(__xludf.DUMMYFUNCTION("""COMPUTED_VALUE"""),"FM1197")</f>
        <v>FM1197</v>
      </c>
      <c r="B1476" s="206">
        <f>IFERROR(__xludf.DUMMYFUNCTION("""COMPUTED_VALUE"""),44761.0)</f>
        <v>44761</v>
      </c>
      <c r="C1476" s="207">
        <f>IFERROR(__xludf.DUMMYFUNCTION("""COMPUTED_VALUE"""),0.28046296296296297)</f>
        <v>0.280462963</v>
      </c>
      <c r="D1476" s="50"/>
      <c r="E1476" s="58"/>
      <c r="F1476" s="58"/>
      <c r="G1476" s="58" t="str">
        <f>IFERROR(__xludf.DUMMYFUNCTION("""COMPUTED_VALUE"""),"Null")</f>
        <v>Null</v>
      </c>
      <c r="H1476" s="206" t="str">
        <f>IFERROR(__xludf.DUMMYFUNCTION("""COMPUTED_VALUE"""),"Negative")</f>
        <v>Negative</v>
      </c>
      <c r="I1476" s="207"/>
      <c r="J1476" s="50"/>
      <c r="K1476" s="50">
        <f>IFERROR(__xludf.DUMMYFUNCTION("""COMPUTED_VALUE"""),2.0)</f>
        <v>2</v>
      </c>
      <c r="L1476" s="6"/>
      <c r="M1476" s="55"/>
      <c r="N1476" s="55">
        <f>IFERROR(__xludf.DUMMYFUNCTION("""COMPUTED_VALUE"""),1.0)</f>
        <v>1</v>
      </c>
      <c r="O1476" s="55" t="str">
        <f t="shared" si="3"/>
        <v/>
      </c>
      <c r="P1476" s="209"/>
      <c r="Q1476" s="75" t="b">
        <f>VLOOKUP($B1476,'Run Reconcile'!B$2:P1679,15,FALSE)</f>
        <v>1</v>
      </c>
      <c r="R1476" s="211" t="str">
        <f t="array" ref="R1476">IF($Q1476, INDEX('Run Reconcile'!A$2:A1679,MATCH(B1476,'Run Reconcile'!B$2:B1679,0),1),IFERROR(0/0,""))</f>
        <v>RUN-COMB_2022-07-19_RFR-082</v>
      </c>
      <c r="S1476" s="165" t="str">
        <f t="shared" ref="S1476:T1476" si="2951">IF(COUNTIF(W$2:W1679, $A1476) &gt; 0,TRUE,IFERROR(0/0,""))</f>
        <v/>
      </c>
      <c r="T1476" s="165" t="str">
        <f t="shared" si="2951"/>
        <v/>
      </c>
      <c r="U1476" s="147" t="str">
        <f t="array" ref="U1476">IF(ISBLANK($R1476), IF($S1476,VLOOKUP($B1476+1,'RFR Data - preExcl'!$BF$2:$BG1679,2,FALSE),IF($T1476,INDEX('RFR Data - preExcl'!$BF$2:$BG1679,MATCH($B1476,'RFR Data - preExcl'!$BF$2:$BF1679,0)+1,2),VLOOKUP($B1476,'RFR Data - preExcl'!$BF$2:$BG1679,2,FALSE))),IFERROR(0/0,""))</f>
        <v/>
      </c>
      <c r="V1476" s="212" t="str">
        <f t="shared" si="5"/>
        <v>RUN-COMB_2022-07-19_RFR-082</v>
      </c>
      <c r="W1476" s="51"/>
      <c r="X1476" s="51"/>
      <c r="Y1476" s="147" t="str">
        <f t="shared" ref="Y1476:Z1476" si="2952">IF(_xlfn.ISFORMULA(S1476),IFERROR(0/0,""),TRUE)</f>
        <v/>
      </c>
      <c r="Z1476" s="147" t="str">
        <f t="shared" si="2952"/>
        <v/>
      </c>
    </row>
    <row r="1477">
      <c r="A1477" s="6" t="str">
        <f>IFERROR(__xludf.DUMMYFUNCTION("""COMPUTED_VALUE"""),"FM1187")</f>
        <v>FM1187</v>
      </c>
      <c r="B1477" s="206">
        <f>IFERROR(__xludf.DUMMYFUNCTION("""COMPUTED_VALUE"""),44761.0)</f>
        <v>44761</v>
      </c>
      <c r="C1477" s="207">
        <f>IFERROR(__xludf.DUMMYFUNCTION("""COMPUTED_VALUE"""),0.28075231481481483)</f>
        <v>0.2807523148</v>
      </c>
      <c r="D1477" s="50"/>
      <c r="E1477" s="58"/>
      <c r="F1477" s="58"/>
      <c r="G1477" s="58" t="str">
        <f>IFERROR(__xludf.DUMMYFUNCTION("""COMPUTED_VALUE"""),"Null")</f>
        <v>Null</v>
      </c>
      <c r="H1477" s="206" t="str">
        <f>IFERROR(__xludf.DUMMYFUNCTION("""COMPUTED_VALUE"""),"Negative")</f>
        <v>Negative</v>
      </c>
      <c r="I1477" s="207"/>
      <c r="J1477" s="50"/>
      <c r="K1477" s="50">
        <f>IFERROR(__xludf.DUMMYFUNCTION("""COMPUTED_VALUE"""),2.0)</f>
        <v>2</v>
      </c>
      <c r="L1477" s="6"/>
      <c r="M1477" s="55"/>
      <c r="N1477" s="55">
        <f>IFERROR(__xludf.DUMMYFUNCTION("""COMPUTED_VALUE"""),1.0)</f>
        <v>1</v>
      </c>
      <c r="O1477" s="55" t="str">
        <f t="shared" si="3"/>
        <v/>
      </c>
      <c r="P1477" s="209"/>
      <c r="Q1477" s="75" t="b">
        <f>VLOOKUP($B1477,'Run Reconcile'!B$2:P1679,15,FALSE)</f>
        <v>1</v>
      </c>
      <c r="R1477" s="211" t="str">
        <f t="array" ref="R1477">IF($Q1477, INDEX('Run Reconcile'!A$2:A1679,MATCH(B1477,'Run Reconcile'!B$2:B1679,0),1),IFERROR(0/0,""))</f>
        <v>RUN-COMB_2022-07-19_RFR-082</v>
      </c>
      <c r="S1477" s="165" t="str">
        <f t="shared" ref="S1477:T1477" si="2953">IF(COUNTIF(W$2:W1679, $A1477) &gt; 0,TRUE,IFERROR(0/0,""))</f>
        <v/>
      </c>
      <c r="T1477" s="165" t="str">
        <f t="shared" si="2953"/>
        <v/>
      </c>
      <c r="U1477" s="147" t="str">
        <f t="array" ref="U1477">IF(ISBLANK($R1477), IF($S1477,VLOOKUP($B1477+1,'RFR Data - preExcl'!$BF$2:$BG1679,2,FALSE),IF($T1477,INDEX('RFR Data - preExcl'!$BF$2:$BG1679,MATCH($B1477,'RFR Data - preExcl'!$BF$2:$BF1679,0)+1,2),VLOOKUP($B1477,'RFR Data - preExcl'!$BF$2:$BG1679,2,FALSE))),IFERROR(0/0,""))</f>
        <v/>
      </c>
      <c r="V1477" s="212" t="str">
        <f t="shared" si="5"/>
        <v>RUN-COMB_2022-07-19_RFR-082</v>
      </c>
      <c r="W1477" s="51"/>
      <c r="X1477" s="51"/>
      <c r="Y1477" s="147" t="str">
        <f t="shared" ref="Y1477:Z1477" si="2954">IF(_xlfn.ISFORMULA(S1477),IFERROR(0/0,""),TRUE)</f>
        <v/>
      </c>
      <c r="Z1477" s="147" t="str">
        <f t="shared" si="2954"/>
        <v/>
      </c>
    </row>
    <row r="1478">
      <c r="A1478" s="6" t="str">
        <f>IFERROR(__xludf.DUMMYFUNCTION("""COMPUTED_VALUE"""),"FM1147")</f>
        <v>FM1147</v>
      </c>
      <c r="B1478" s="206">
        <f>IFERROR(__xludf.DUMMYFUNCTION("""COMPUTED_VALUE"""),44761.0)</f>
        <v>44761</v>
      </c>
      <c r="C1478" s="207">
        <f>IFERROR(__xludf.DUMMYFUNCTION("""COMPUTED_VALUE"""),0.2810648148148148)</f>
        <v>0.2810648148</v>
      </c>
      <c r="D1478" s="50"/>
      <c r="E1478" s="58"/>
      <c r="F1478" s="58"/>
      <c r="G1478" s="58" t="str">
        <f>IFERROR(__xludf.DUMMYFUNCTION("""COMPUTED_VALUE"""),"Null")</f>
        <v>Null</v>
      </c>
      <c r="H1478" s="206" t="str">
        <f>IFERROR(__xludf.DUMMYFUNCTION("""COMPUTED_VALUE"""),"Negative")</f>
        <v>Negative</v>
      </c>
      <c r="I1478" s="207"/>
      <c r="J1478" s="50"/>
      <c r="K1478" s="50">
        <f>IFERROR(__xludf.DUMMYFUNCTION("""COMPUTED_VALUE"""),2.0)</f>
        <v>2</v>
      </c>
      <c r="L1478" s="6"/>
      <c r="M1478" s="55"/>
      <c r="N1478" s="55">
        <f>IFERROR(__xludf.DUMMYFUNCTION("""COMPUTED_VALUE"""),1.0)</f>
        <v>1</v>
      </c>
      <c r="O1478" s="55" t="str">
        <f t="shared" si="3"/>
        <v/>
      </c>
      <c r="P1478" s="209"/>
      <c r="Q1478" s="75" t="b">
        <f>VLOOKUP($B1478,'Run Reconcile'!B$2:P1679,15,FALSE)</f>
        <v>1</v>
      </c>
      <c r="R1478" s="211" t="str">
        <f t="array" ref="R1478">IF($Q1478, INDEX('Run Reconcile'!A$2:A1679,MATCH(B1478,'Run Reconcile'!B$2:B1679,0),1),IFERROR(0/0,""))</f>
        <v>RUN-COMB_2022-07-19_RFR-082</v>
      </c>
      <c r="S1478" s="165" t="str">
        <f t="shared" ref="S1478:T1478" si="2955">IF(COUNTIF(W$2:W1679, $A1478) &gt; 0,TRUE,IFERROR(0/0,""))</f>
        <v/>
      </c>
      <c r="T1478" s="165" t="str">
        <f t="shared" si="2955"/>
        <v/>
      </c>
      <c r="U1478" s="147" t="str">
        <f t="array" ref="U1478">IF(ISBLANK($R1478), IF($S1478,VLOOKUP($B1478+1,'RFR Data - preExcl'!$BF$2:$BG1679,2,FALSE),IF($T1478,INDEX('RFR Data - preExcl'!$BF$2:$BG1679,MATCH($B1478,'RFR Data - preExcl'!$BF$2:$BF1679,0)+1,2),VLOOKUP($B1478,'RFR Data - preExcl'!$BF$2:$BG1679,2,FALSE))),IFERROR(0/0,""))</f>
        <v/>
      </c>
      <c r="V1478" s="212" t="str">
        <f t="shared" si="5"/>
        <v>RUN-COMB_2022-07-19_RFR-082</v>
      </c>
      <c r="W1478" s="51"/>
      <c r="X1478" s="51"/>
      <c r="Y1478" s="147" t="str">
        <f t="shared" ref="Y1478:Z1478" si="2956">IF(_xlfn.ISFORMULA(S1478),IFERROR(0/0,""),TRUE)</f>
        <v/>
      </c>
      <c r="Z1478" s="147" t="str">
        <f t="shared" si="2956"/>
        <v/>
      </c>
    </row>
    <row r="1479">
      <c r="A1479" s="6" t="str">
        <f>IFERROR(__xludf.DUMMYFUNCTION("""COMPUTED_VALUE"""),"FM1164")</f>
        <v>FM1164</v>
      </c>
      <c r="B1479" s="206">
        <f>IFERROR(__xludf.DUMMYFUNCTION("""COMPUTED_VALUE"""),44761.0)</f>
        <v>44761</v>
      </c>
      <c r="C1479" s="207">
        <f>IFERROR(__xludf.DUMMYFUNCTION("""COMPUTED_VALUE"""),0.2813310185185185)</f>
        <v>0.2813310185</v>
      </c>
      <c r="D1479" s="50"/>
      <c r="E1479" s="58"/>
      <c r="F1479" s="58"/>
      <c r="G1479" s="58" t="str">
        <f>IFERROR(__xludf.DUMMYFUNCTION("""COMPUTED_VALUE"""),"Null")</f>
        <v>Null</v>
      </c>
      <c r="H1479" s="206" t="str">
        <f>IFERROR(__xludf.DUMMYFUNCTION("""COMPUTED_VALUE"""),"Negative")</f>
        <v>Negative</v>
      </c>
      <c r="I1479" s="207"/>
      <c r="J1479" s="50"/>
      <c r="K1479" s="50">
        <f>IFERROR(__xludf.DUMMYFUNCTION("""COMPUTED_VALUE"""),2.0)</f>
        <v>2</v>
      </c>
      <c r="L1479" s="6"/>
      <c r="M1479" s="55"/>
      <c r="N1479" s="55">
        <f>IFERROR(__xludf.DUMMYFUNCTION("""COMPUTED_VALUE"""),1.0)</f>
        <v>1</v>
      </c>
      <c r="O1479" s="55" t="str">
        <f t="shared" si="3"/>
        <v/>
      </c>
      <c r="P1479" s="209"/>
      <c r="Q1479" s="75" t="b">
        <f>VLOOKUP($B1479,'Run Reconcile'!B$2:P1679,15,FALSE)</f>
        <v>1</v>
      </c>
      <c r="R1479" s="211" t="str">
        <f t="array" ref="R1479">IF($Q1479, INDEX('Run Reconcile'!A$2:A1679,MATCH(B1479,'Run Reconcile'!B$2:B1679,0),1),IFERROR(0/0,""))</f>
        <v>RUN-COMB_2022-07-19_RFR-082</v>
      </c>
      <c r="S1479" s="165" t="str">
        <f t="shared" ref="S1479:T1479" si="2957">IF(COUNTIF(W$2:W1679, $A1479) &gt; 0,TRUE,IFERROR(0/0,""))</f>
        <v/>
      </c>
      <c r="T1479" s="165" t="str">
        <f t="shared" si="2957"/>
        <v/>
      </c>
      <c r="U1479" s="147" t="str">
        <f t="array" ref="U1479">IF(ISBLANK($R1479), IF($S1479,VLOOKUP($B1479+1,'RFR Data - preExcl'!$BF$2:$BG1679,2,FALSE),IF($T1479,INDEX('RFR Data - preExcl'!$BF$2:$BG1679,MATCH($B1479,'RFR Data - preExcl'!$BF$2:$BF1679,0)+1,2),VLOOKUP($B1479,'RFR Data - preExcl'!$BF$2:$BG1679,2,FALSE))),IFERROR(0/0,""))</f>
        <v/>
      </c>
      <c r="V1479" s="212" t="str">
        <f t="shared" si="5"/>
        <v>RUN-COMB_2022-07-19_RFR-082</v>
      </c>
      <c r="W1479" s="51"/>
      <c r="X1479" s="51"/>
      <c r="Y1479" s="147" t="str">
        <f t="shared" ref="Y1479:Z1479" si="2958">IF(_xlfn.ISFORMULA(S1479),IFERROR(0/0,""),TRUE)</f>
        <v/>
      </c>
      <c r="Z1479" s="147" t="str">
        <f t="shared" si="2958"/>
        <v/>
      </c>
    </row>
    <row r="1480">
      <c r="A1480" s="6" t="str">
        <f>IFERROR(__xludf.DUMMYFUNCTION("""COMPUTED_VALUE"""),"FM1195")</f>
        <v>FM1195</v>
      </c>
      <c r="B1480" s="206">
        <f>IFERROR(__xludf.DUMMYFUNCTION("""COMPUTED_VALUE"""),44761.0)</f>
        <v>44761</v>
      </c>
      <c r="C1480" s="207">
        <f>IFERROR(__xludf.DUMMYFUNCTION("""COMPUTED_VALUE"""),0.2816550925925926)</f>
        <v>0.2816550926</v>
      </c>
      <c r="D1480" s="50"/>
      <c r="E1480" s="58"/>
      <c r="F1480" s="58"/>
      <c r="G1480" s="58" t="str">
        <f>IFERROR(__xludf.DUMMYFUNCTION("""COMPUTED_VALUE"""),"Null")</f>
        <v>Null</v>
      </c>
      <c r="H1480" s="206" t="str">
        <f>IFERROR(__xludf.DUMMYFUNCTION("""COMPUTED_VALUE"""),"Negative")</f>
        <v>Negative</v>
      </c>
      <c r="I1480" s="207"/>
      <c r="J1480" s="50"/>
      <c r="K1480" s="50">
        <f>IFERROR(__xludf.DUMMYFUNCTION("""COMPUTED_VALUE"""),2.0)</f>
        <v>2</v>
      </c>
      <c r="L1480" s="6"/>
      <c r="M1480" s="55"/>
      <c r="N1480" s="55">
        <f>IFERROR(__xludf.DUMMYFUNCTION("""COMPUTED_VALUE"""),1.0)</f>
        <v>1</v>
      </c>
      <c r="O1480" s="55" t="str">
        <f t="shared" si="3"/>
        <v/>
      </c>
      <c r="P1480" s="209"/>
      <c r="Q1480" s="75" t="b">
        <f>VLOOKUP($B1480,'Run Reconcile'!B$2:P1679,15,FALSE)</f>
        <v>1</v>
      </c>
      <c r="R1480" s="211" t="str">
        <f t="array" ref="R1480">IF($Q1480, INDEX('Run Reconcile'!A$2:A1679,MATCH(B1480,'Run Reconcile'!B$2:B1679,0),1),IFERROR(0/0,""))</f>
        <v>RUN-COMB_2022-07-19_RFR-082</v>
      </c>
      <c r="S1480" s="165" t="str">
        <f t="shared" ref="S1480:T1480" si="2959">IF(COUNTIF(W$2:W1679, $A1480) &gt; 0,TRUE,IFERROR(0/0,""))</f>
        <v/>
      </c>
      <c r="T1480" s="165" t="str">
        <f t="shared" si="2959"/>
        <v/>
      </c>
      <c r="U1480" s="147" t="str">
        <f t="array" ref="U1480">IF(ISBLANK($R1480), IF($S1480,VLOOKUP($B1480+1,'RFR Data - preExcl'!$BF$2:$BG1679,2,FALSE),IF($T1480,INDEX('RFR Data - preExcl'!$BF$2:$BG1679,MATCH($B1480,'RFR Data - preExcl'!$BF$2:$BF1679,0)+1,2),VLOOKUP($B1480,'RFR Data - preExcl'!$BF$2:$BG1679,2,FALSE))),IFERROR(0/0,""))</f>
        <v/>
      </c>
      <c r="V1480" s="212" t="str">
        <f t="shared" si="5"/>
        <v>RUN-COMB_2022-07-19_RFR-082</v>
      </c>
      <c r="W1480" s="51"/>
      <c r="X1480" s="51"/>
      <c r="Y1480" s="147" t="str">
        <f t="shared" ref="Y1480:Z1480" si="2960">IF(_xlfn.ISFORMULA(S1480),IFERROR(0/0,""),TRUE)</f>
        <v/>
      </c>
      <c r="Z1480" s="147" t="str">
        <f t="shared" si="2960"/>
        <v/>
      </c>
    </row>
    <row r="1481">
      <c r="A1481" s="6" t="str">
        <f>IFERROR(__xludf.DUMMYFUNCTION("""COMPUTED_VALUE"""),"FM1764")</f>
        <v>FM1764</v>
      </c>
      <c r="B1481" s="206">
        <f>IFERROR(__xludf.DUMMYFUNCTION("""COMPUTED_VALUE"""),44761.0)</f>
        <v>44761</v>
      </c>
      <c r="C1481" s="207">
        <f>IFERROR(__xludf.DUMMYFUNCTION("""COMPUTED_VALUE"""),0.2820138888888889)</f>
        <v>0.2820138889</v>
      </c>
      <c r="D1481" s="50"/>
      <c r="E1481" s="58"/>
      <c r="F1481" s="58"/>
      <c r="G1481" s="58" t="str">
        <f>IFERROR(__xludf.DUMMYFUNCTION("""COMPUTED_VALUE"""),"Null")</f>
        <v>Null</v>
      </c>
      <c r="H1481" s="206" t="str">
        <f>IFERROR(__xludf.DUMMYFUNCTION("""COMPUTED_VALUE"""),"Negative")</f>
        <v>Negative</v>
      </c>
      <c r="I1481" s="207"/>
      <c r="J1481" s="50"/>
      <c r="K1481" s="50">
        <f>IFERROR(__xludf.DUMMYFUNCTION("""COMPUTED_VALUE"""),2.0)</f>
        <v>2</v>
      </c>
      <c r="L1481" s="6"/>
      <c r="M1481" s="55"/>
      <c r="N1481" s="55">
        <f>IFERROR(__xludf.DUMMYFUNCTION("""COMPUTED_VALUE"""),1.0)</f>
        <v>1</v>
      </c>
      <c r="O1481" s="55" t="str">
        <f t="shared" si="3"/>
        <v/>
      </c>
      <c r="P1481" s="209"/>
      <c r="Q1481" s="75" t="b">
        <f>VLOOKUP($B1481,'Run Reconcile'!B$2:P1679,15,FALSE)</f>
        <v>1</v>
      </c>
      <c r="R1481" s="211" t="str">
        <f t="array" ref="R1481">IF($Q1481, INDEX('Run Reconcile'!A$2:A1679,MATCH(B1481,'Run Reconcile'!B$2:B1679,0),1),IFERROR(0/0,""))</f>
        <v>RUN-COMB_2022-07-19_RFR-082</v>
      </c>
      <c r="S1481" s="165" t="str">
        <f t="shared" ref="S1481:T1481" si="2961">IF(COUNTIF(W$2:W1679, $A1481) &gt; 0,TRUE,IFERROR(0/0,""))</f>
        <v/>
      </c>
      <c r="T1481" s="165" t="str">
        <f t="shared" si="2961"/>
        <v/>
      </c>
      <c r="U1481" s="147" t="str">
        <f t="array" ref="U1481">IF(ISBLANK($R1481), IF($S1481,VLOOKUP($B1481+1,'RFR Data - preExcl'!$BF$2:$BG1679,2,FALSE),IF($T1481,INDEX('RFR Data - preExcl'!$BF$2:$BG1679,MATCH($B1481,'RFR Data - preExcl'!$BF$2:$BF1679,0)+1,2),VLOOKUP($B1481,'RFR Data - preExcl'!$BF$2:$BG1679,2,FALSE))),IFERROR(0/0,""))</f>
        <v/>
      </c>
      <c r="V1481" s="212" t="str">
        <f t="shared" si="5"/>
        <v>RUN-COMB_2022-07-19_RFR-082</v>
      </c>
      <c r="W1481" s="51"/>
      <c r="X1481" s="51"/>
      <c r="Y1481" s="147" t="str">
        <f t="shared" ref="Y1481:Z1481" si="2962">IF(_xlfn.ISFORMULA(S1481),IFERROR(0/0,""),TRUE)</f>
        <v/>
      </c>
      <c r="Z1481" s="147" t="str">
        <f t="shared" si="2962"/>
        <v/>
      </c>
    </row>
    <row r="1482">
      <c r="A1482" s="6" t="str">
        <f>IFERROR(__xludf.DUMMYFUNCTION("""COMPUTED_VALUE"""),"FM1791")</f>
        <v>FM1791</v>
      </c>
      <c r="B1482" s="206">
        <f>IFERROR(__xludf.DUMMYFUNCTION("""COMPUTED_VALUE"""),44761.0)</f>
        <v>44761</v>
      </c>
      <c r="C1482" s="207">
        <f>IFERROR(__xludf.DUMMYFUNCTION("""COMPUTED_VALUE"""),0.2823263888888889)</f>
        <v>0.2823263889</v>
      </c>
      <c r="D1482" s="50"/>
      <c r="E1482" s="58"/>
      <c r="F1482" s="58"/>
      <c r="G1482" s="58" t="str">
        <f>IFERROR(__xludf.DUMMYFUNCTION("""COMPUTED_VALUE"""),"Null")</f>
        <v>Null</v>
      </c>
      <c r="H1482" s="206" t="str">
        <f>IFERROR(__xludf.DUMMYFUNCTION("""COMPUTED_VALUE"""),"Negative")</f>
        <v>Negative</v>
      </c>
      <c r="I1482" s="207"/>
      <c r="J1482" s="50"/>
      <c r="K1482" s="50">
        <f>IFERROR(__xludf.DUMMYFUNCTION("""COMPUTED_VALUE"""),2.0)</f>
        <v>2</v>
      </c>
      <c r="L1482" s="6"/>
      <c r="M1482" s="55"/>
      <c r="N1482" s="55">
        <f>IFERROR(__xludf.DUMMYFUNCTION("""COMPUTED_VALUE"""),1.0)</f>
        <v>1</v>
      </c>
      <c r="O1482" s="55" t="str">
        <f t="shared" si="3"/>
        <v/>
      </c>
      <c r="P1482" s="209"/>
      <c r="Q1482" s="75" t="b">
        <f>VLOOKUP($B1482,'Run Reconcile'!B$2:P1679,15,FALSE)</f>
        <v>1</v>
      </c>
      <c r="R1482" s="211" t="str">
        <f t="array" ref="R1482">IF($Q1482, INDEX('Run Reconcile'!A$2:A1679,MATCH(B1482,'Run Reconcile'!B$2:B1679,0),1),IFERROR(0/0,""))</f>
        <v>RUN-COMB_2022-07-19_RFR-082</v>
      </c>
      <c r="S1482" s="165" t="str">
        <f t="shared" ref="S1482:T1482" si="2963">IF(COUNTIF(W$2:W1679, $A1482) &gt; 0,TRUE,IFERROR(0/0,""))</f>
        <v/>
      </c>
      <c r="T1482" s="165" t="str">
        <f t="shared" si="2963"/>
        <v/>
      </c>
      <c r="U1482" s="147" t="str">
        <f t="array" ref="U1482">IF(ISBLANK($R1482), IF($S1482,VLOOKUP($B1482+1,'RFR Data - preExcl'!$BF$2:$BG1679,2,FALSE),IF($T1482,INDEX('RFR Data - preExcl'!$BF$2:$BG1679,MATCH($B1482,'RFR Data - preExcl'!$BF$2:$BF1679,0)+1,2),VLOOKUP($B1482,'RFR Data - preExcl'!$BF$2:$BG1679,2,FALSE))),IFERROR(0/0,""))</f>
        <v/>
      </c>
      <c r="V1482" s="212" t="str">
        <f t="shared" si="5"/>
        <v>RUN-COMB_2022-07-19_RFR-082</v>
      </c>
      <c r="W1482" s="51"/>
      <c r="X1482" s="51"/>
      <c r="Y1482" s="147" t="str">
        <f t="shared" ref="Y1482:Z1482" si="2964">IF(_xlfn.ISFORMULA(S1482),IFERROR(0/0,""),TRUE)</f>
        <v/>
      </c>
      <c r="Z1482" s="147" t="str">
        <f t="shared" si="2964"/>
        <v/>
      </c>
    </row>
    <row r="1483">
      <c r="A1483" s="6" t="str">
        <f>IFERROR(__xludf.DUMMYFUNCTION("""COMPUTED_VALUE"""),"FM1151")</f>
        <v>FM1151</v>
      </c>
      <c r="B1483" s="206">
        <f>IFERROR(__xludf.DUMMYFUNCTION("""COMPUTED_VALUE"""),44761.0)</f>
        <v>44761</v>
      </c>
      <c r="C1483" s="207">
        <f>IFERROR(__xludf.DUMMYFUNCTION("""COMPUTED_VALUE"""),0.28269675925925924)</f>
        <v>0.2826967593</v>
      </c>
      <c r="D1483" s="50"/>
      <c r="E1483" s="58"/>
      <c r="F1483" s="58"/>
      <c r="G1483" s="58" t="str">
        <f>IFERROR(__xludf.DUMMYFUNCTION("""COMPUTED_VALUE"""),"Null")</f>
        <v>Null</v>
      </c>
      <c r="H1483" s="206" t="str">
        <f>IFERROR(__xludf.DUMMYFUNCTION("""COMPUTED_VALUE"""),"Negative")</f>
        <v>Negative</v>
      </c>
      <c r="I1483" s="207"/>
      <c r="J1483" s="50"/>
      <c r="K1483" s="50">
        <f>IFERROR(__xludf.DUMMYFUNCTION("""COMPUTED_VALUE"""),2.0)</f>
        <v>2</v>
      </c>
      <c r="L1483" s="6"/>
      <c r="M1483" s="55"/>
      <c r="N1483" s="55">
        <f>IFERROR(__xludf.DUMMYFUNCTION("""COMPUTED_VALUE"""),1.0)</f>
        <v>1</v>
      </c>
      <c r="O1483" s="55" t="str">
        <f t="shared" si="3"/>
        <v/>
      </c>
      <c r="P1483" s="209"/>
      <c r="Q1483" s="75" t="b">
        <f>VLOOKUP($B1483,'Run Reconcile'!B$2:P1679,15,FALSE)</f>
        <v>1</v>
      </c>
      <c r="R1483" s="211" t="str">
        <f t="array" ref="R1483">IF($Q1483, INDEX('Run Reconcile'!A$2:A1679,MATCH(B1483,'Run Reconcile'!B$2:B1679,0),1),IFERROR(0/0,""))</f>
        <v>RUN-COMB_2022-07-19_RFR-082</v>
      </c>
      <c r="S1483" s="165" t="str">
        <f t="shared" ref="S1483:T1483" si="2965">IF(COUNTIF(W$2:W1679, $A1483) &gt; 0,TRUE,IFERROR(0/0,""))</f>
        <v/>
      </c>
      <c r="T1483" s="165" t="str">
        <f t="shared" si="2965"/>
        <v/>
      </c>
      <c r="U1483" s="147" t="str">
        <f t="array" ref="U1483">IF(ISBLANK($R1483), IF($S1483,VLOOKUP($B1483+1,'RFR Data - preExcl'!$BF$2:$BG1679,2,FALSE),IF($T1483,INDEX('RFR Data - preExcl'!$BF$2:$BG1679,MATCH($B1483,'RFR Data - preExcl'!$BF$2:$BF1679,0)+1,2),VLOOKUP($B1483,'RFR Data - preExcl'!$BF$2:$BG1679,2,FALSE))),IFERROR(0/0,""))</f>
        <v/>
      </c>
      <c r="V1483" s="212" t="str">
        <f t="shared" si="5"/>
        <v>RUN-COMB_2022-07-19_RFR-082</v>
      </c>
      <c r="W1483" s="51"/>
      <c r="X1483" s="51"/>
      <c r="Y1483" s="147" t="str">
        <f t="shared" ref="Y1483:Z1483" si="2966">IF(_xlfn.ISFORMULA(S1483),IFERROR(0/0,""),TRUE)</f>
        <v/>
      </c>
      <c r="Z1483" s="147" t="str">
        <f t="shared" si="2966"/>
        <v/>
      </c>
    </row>
    <row r="1484">
      <c r="A1484" s="6" t="str">
        <f>IFERROR(__xludf.DUMMYFUNCTION("""COMPUTED_VALUE"""),"FM1788")</f>
        <v>FM1788</v>
      </c>
      <c r="B1484" s="206">
        <f>IFERROR(__xludf.DUMMYFUNCTION("""COMPUTED_VALUE"""),44761.0)</f>
        <v>44761</v>
      </c>
      <c r="C1484" s="207">
        <f>IFERROR(__xludf.DUMMYFUNCTION("""COMPUTED_VALUE"""),0.2830324074074074)</f>
        <v>0.2830324074</v>
      </c>
      <c r="D1484" s="50"/>
      <c r="E1484" s="58"/>
      <c r="F1484" s="58"/>
      <c r="G1484" s="58" t="str">
        <f>IFERROR(__xludf.DUMMYFUNCTION("""COMPUTED_VALUE"""),"Null")</f>
        <v>Null</v>
      </c>
      <c r="H1484" s="206" t="str">
        <f>IFERROR(__xludf.DUMMYFUNCTION("""COMPUTED_VALUE"""),"Negative")</f>
        <v>Negative</v>
      </c>
      <c r="I1484" s="207"/>
      <c r="J1484" s="50"/>
      <c r="K1484" s="50">
        <f>IFERROR(__xludf.DUMMYFUNCTION("""COMPUTED_VALUE"""),2.0)</f>
        <v>2</v>
      </c>
      <c r="L1484" s="6"/>
      <c r="M1484" s="55"/>
      <c r="N1484" s="55">
        <f>IFERROR(__xludf.DUMMYFUNCTION("""COMPUTED_VALUE"""),1.0)</f>
        <v>1</v>
      </c>
      <c r="O1484" s="55" t="str">
        <f t="shared" si="3"/>
        <v/>
      </c>
      <c r="P1484" s="209"/>
      <c r="Q1484" s="75" t="b">
        <f>VLOOKUP($B1484,'Run Reconcile'!B$2:P1679,15,FALSE)</f>
        <v>1</v>
      </c>
      <c r="R1484" s="211" t="str">
        <f t="array" ref="R1484">IF($Q1484, INDEX('Run Reconcile'!A$2:A1679,MATCH(B1484,'Run Reconcile'!B$2:B1679,0),1),IFERROR(0/0,""))</f>
        <v>RUN-COMB_2022-07-19_RFR-082</v>
      </c>
      <c r="S1484" s="165" t="str">
        <f t="shared" ref="S1484:T1484" si="2967">IF(COUNTIF(W$2:W1679, $A1484) &gt; 0,TRUE,IFERROR(0/0,""))</f>
        <v/>
      </c>
      <c r="T1484" s="165" t="str">
        <f t="shared" si="2967"/>
        <v/>
      </c>
      <c r="U1484" s="147" t="str">
        <f t="array" ref="U1484">IF(ISBLANK($R1484), IF($S1484,VLOOKUP($B1484+1,'RFR Data - preExcl'!$BF$2:$BG1679,2,FALSE),IF($T1484,INDEX('RFR Data - preExcl'!$BF$2:$BG1679,MATCH($B1484,'RFR Data - preExcl'!$BF$2:$BF1679,0)+1,2),VLOOKUP($B1484,'RFR Data - preExcl'!$BF$2:$BG1679,2,FALSE))),IFERROR(0/0,""))</f>
        <v/>
      </c>
      <c r="V1484" s="212" t="str">
        <f t="shared" si="5"/>
        <v>RUN-COMB_2022-07-19_RFR-082</v>
      </c>
      <c r="W1484" s="51"/>
      <c r="X1484" s="51"/>
      <c r="Y1484" s="147" t="str">
        <f t="shared" ref="Y1484:Z1484" si="2968">IF(_xlfn.ISFORMULA(S1484),IFERROR(0/0,""),TRUE)</f>
        <v/>
      </c>
      <c r="Z1484" s="147" t="str">
        <f t="shared" si="2968"/>
        <v/>
      </c>
    </row>
    <row r="1485">
      <c r="A1485" s="6" t="str">
        <f>IFERROR(__xludf.DUMMYFUNCTION("""COMPUTED_VALUE"""),"FM1159")</f>
        <v>FM1159</v>
      </c>
      <c r="B1485" s="206">
        <f>IFERROR(__xludf.DUMMYFUNCTION("""COMPUTED_VALUE"""),44761.0)</f>
        <v>44761</v>
      </c>
      <c r="C1485" s="207">
        <f>IFERROR(__xludf.DUMMYFUNCTION("""COMPUTED_VALUE"""),0.28332175925925923)</f>
        <v>0.2833217593</v>
      </c>
      <c r="D1485" s="50"/>
      <c r="E1485" s="58"/>
      <c r="F1485" s="58"/>
      <c r="G1485" s="58" t="str">
        <f>IFERROR(__xludf.DUMMYFUNCTION("""COMPUTED_VALUE"""),"Null")</f>
        <v>Null</v>
      </c>
      <c r="H1485" s="206" t="str">
        <f>IFERROR(__xludf.DUMMYFUNCTION("""COMPUTED_VALUE"""),"Negative")</f>
        <v>Negative</v>
      </c>
      <c r="I1485" s="207"/>
      <c r="J1485" s="50"/>
      <c r="K1485" s="50">
        <f>IFERROR(__xludf.DUMMYFUNCTION("""COMPUTED_VALUE"""),2.0)</f>
        <v>2</v>
      </c>
      <c r="L1485" s="6"/>
      <c r="M1485" s="55"/>
      <c r="N1485" s="55">
        <f>IFERROR(__xludf.DUMMYFUNCTION("""COMPUTED_VALUE"""),1.0)</f>
        <v>1</v>
      </c>
      <c r="O1485" s="55" t="str">
        <f t="shared" si="3"/>
        <v/>
      </c>
      <c r="P1485" s="209"/>
      <c r="Q1485" s="75" t="b">
        <f>VLOOKUP($B1485,'Run Reconcile'!B$2:P1679,15,FALSE)</f>
        <v>1</v>
      </c>
      <c r="R1485" s="211" t="str">
        <f t="array" ref="R1485">IF($Q1485, INDEX('Run Reconcile'!A$2:A1679,MATCH(B1485,'Run Reconcile'!B$2:B1679,0),1),IFERROR(0/0,""))</f>
        <v>RUN-COMB_2022-07-19_RFR-082</v>
      </c>
      <c r="S1485" s="165" t="str">
        <f t="shared" ref="S1485:T1485" si="2969">IF(COUNTIF(W$2:W1679, $A1485) &gt; 0,TRUE,IFERROR(0/0,""))</f>
        <v/>
      </c>
      <c r="T1485" s="165" t="str">
        <f t="shared" si="2969"/>
        <v/>
      </c>
      <c r="U1485" s="147" t="str">
        <f t="array" ref="U1485">IF(ISBLANK($R1485), IF($S1485,VLOOKUP($B1485+1,'RFR Data - preExcl'!$BF$2:$BG1679,2,FALSE),IF($T1485,INDEX('RFR Data - preExcl'!$BF$2:$BG1679,MATCH($B1485,'RFR Data - preExcl'!$BF$2:$BF1679,0)+1,2),VLOOKUP($B1485,'RFR Data - preExcl'!$BF$2:$BG1679,2,FALSE))),IFERROR(0/0,""))</f>
        <v/>
      </c>
      <c r="V1485" s="212" t="str">
        <f t="shared" si="5"/>
        <v>RUN-COMB_2022-07-19_RFR-082</v>
      </c>
      <c r="W1485" s="51"/>
      <c r="X1485" s="51"/>
      <c r="Y1485" s="147" t="str">
        <f t="shared" ref="Y1485:Z1485" si="2970">IF(_xlfn.ISFORMULA(S1485),IFERROR(0/0,""),TRUE)</f>
        <v/>
      </c>
      <c r="Z1485" s="147" t="str">
        <f t="shared" si="2970"/>
        <v/>
      </c>
    </row>
    <row r="1486">
      <c r="A1486" s="6" t="str">
        <f>IFERROR(__xludf.DUMMYFUNCTION("""COMPUTED_VALUE"""),"FM1194")</f>
        <v>FM1194</v>
      </c>
      <c r="B1486" s="206">
        <f>IFERROR(__xludf.DUMMYFUNCTION("""COMPUTED_VALUE"""),44761.0)</f>
        <v>44761</v>
      </c>
      <c r="C1486" s="207">
        <f>IFERROR(__xludf.DUMMYFUNCTION("""COMPUTED_VALUE"""),0.2836689814814815)</f>
        <v>0.2836689815</v>
      </c>
      <c r="D1486" s="50"/>
      <c r="E1486" s="58"/>
      <c r="F1486" s="58"/>
      <c r="G1486" s="58" t="str">
        <f>IFERROR(__xludf.DUMMYFUNCTION("""COMPUTED_VALUE"""),"Null")</f>
        <v>Null</v>
      </c>
      <c r="H1486" s="206" t="str">
        <f>IFERROR(__xludf.DUMMYFUNCTION("""COMPUTED_VALUE"""),"Negative")</f>
        <v>Negative</v>
      </c>
      <c r="I1486" s="207"/>
      <c r="J1486" s="50"/>
      <c r="K1486" s="50">
        <f>IFERROR(__xludf.DUMMYFUNCTION("""COMPUTED_VALUE"""),2.0)</f>
        <v>2</v>
      </c>
      <c r="L1486" s="6"/>
      <c r="M1486" s="55"/>
      <c r="N1486" s="55">
        <f>IFERROR(__xludf.DUMMYFUNCTION("""COMPUTED_VALUE"""),1.0)</f>
        <v>1</v>
      </c>
      <c r="O1486" s="55" t="str">
        <f t="shared" si="3"/>
        <v/>
      </c>
      <c r="P1486" s="209"/>
      <c r="Q1486" s="75" t="b">
        <f>VLOOKUP($B1486,'Run Reconcile'!B$2:P1679,15,FALSE)</f>
        <v>1</v>
      </c>
      <c r="R1486" s="211" t="str">
        <f t="array" ref="R1486">IF($Q1486, INDEX('Run Reconcile'!A$2:A1679,MATCH(B1486,'Run Reconcile'!B$2:B1679,0),1),IFERROR(0/0,""))</f>
        <v>RUN-COMB_2022-07-19_RFR-082</v>
      </c>
      <c r="S1486" s="165" t="str">
        <f t="shared" ref="S1486:T1486" si="2971">IF(COUNTIF(W$2:W1679, $A1486) &gt; 0,TRUE,IFERROR(0/0,""))</f>
        <v/>
      </c>
      <c r="T1486" s="165" t="str">
        <f t="shared" si="2971"/>
        <v/>
      </c>
      <c r="U1486" s="147" t="str">
        <f t="array" ref="U1486">IF(ISBLANK($R1486), IF($S1486,VLOOKUP($B1486+1,'RFR Data - preExcl'!$BF$2:$BG1679,2,FALSE),IF($T1486,INDEX('RFR Data - preExcl'!$BF$2:$BG1679,MATCH($B1486,'RFR Data - preExcl'!$BF$2:$BF1679,0)+1,2),VLOOKUP($B1486,'RFR Data - preExcl'!$BF$2:$BG1679,2,FALSE))),IFERROR(0/0,""))</f>
        <v/>
      </c>
      <c r="V1486" s="212" t="str">
        <f t="shared" si="5"/>
        <v>RUN-COMB_2022-07-19_RFR-082</v>
      </c>
      <c r="W1486" s="51"/>
      <c r="X1486" s="51"/>
      <c r="Y1486" s="147" t="str">
        <f t="shared" ref="Y1486:Z1486" si="2972">IF(_xlfn.ISFORMULA(S1486),IFERROR(0/0,""),TRUE)</f>
        <v/>
      </c>
      <c r="Z1486" s="147" t="str">
        <f t="shared" si="2972"/>
        <v/>
      </c>
    </row>
    <row r="1487">
      <c r="A1487" s="6" t="str">
        <f>IFERROR(__xludf.DUMMYFUNCTION("""COMPUTED_VALUE"""),"FM1188")</f>
        <v>FM1188</v>
      </c>
      <c r="B1487" s="206">
        <f>IFERROR(__xludf.DUMMYFUNCTION("""COMPUTED_VALUE"""),44761.0)</f>
        <v>44761</v>
      </c>
      <c r="C1487" s="207">
        <f>IFERROR(__xludf.DUMMYFUNCTION("""COMPUTED_VALUE"""),0.2841666666666667)</f>
        <v>0.2841666667</v>
      </c>
      <c r="D1487" s="50"/>
      <c r="E1487" s="58"/>
      <c r="F1487" s="58"/>
      <c r="G1487" s="58" t="str">
        <f>IFERROR(__xludf.DUMMYFUNCTION("""COMPUTED_VALUE"""),"Null")</f>
        <v>Null</v>
      </c>
      <c r="H1487" s="206" t="str">
        <f>IFERROR(__xludf.DUMMYFUNCTION("""COMPUTED_VALUE"""),"Negative")</f>
        <v>Negative</v>
      </c>
      <c r="I1487" s="207"/>
      <c r="J1487" s="50"/>
      <c r="K1487" s="50">
        <f>IFERROR(__xludf.DUMMYFUNCTION("""COMPUTED_VALUE"""),2.0)</f>
        <v>2</v>
      </c>
      <c r="L1487" s="6"/>
      <c r="M1487" s="55"/>
      <c r="N1487" s="55">
        <f>IFERROR(__xludf.DUMMYFUNCTION("""COMPUTED_VALUE"""),1.0)</f>
        <v>1</v>
      </c>
      <c r="O1487" s="55" t="str">
        <f t="shared" si="3"/>
        <v/>
      </c>
      <c r="P1487" s="209"/>
      <c r="Q1487" s="75" t="b">
        <f>VLOOKUP($B1487,'Run Reconcile'!B$2:P1679,15,FALSE)</f>
        <v>1</v>
      </c>
      <c r="R1487" s="211" t="str">
        <f t="array" ref="R1487">IF($Q1487, INDEX('Run Reconcile'!A$2:A1679,MATCH(B1487,'Run Reconcile'!B$2:B1679,0),1),IFERROR(0/0,""))</f>
        <v>RUN-COMB_2022-07-19_RFR-082</v>
      </c>
      <c r="S1487" s="165" t="str">
        <f t="shared" ref="S1487:T1487" si="2973">IF(COUNTIF(W$2:W1679, $A1487) &gt; 0,TRUE,IFERROR(0/0,""))</f>
        <v/>
      </c>
      <c r="T1487" s="165" t="str">
        <f t="shared" si="2973"/>
        <v/>
      </c>
      <c r="U1487" s="147" t="str">
        <f t="array" ref="U1487">IF(ISBLANK($R1487), IF($S1487,VLOOKUP($B1487+1,'RFR Data - preExcl'!$BF$2:$BG1679,2,FALSE),IF($T1487,INDEX('RFR Data - preExcl'!$BF$2:$BG1679,MATCH($B1487,'RFR Data - preExcl'!$BF$2:$BF1679,0)+1,2),VLOOKUP($B1487,'RFR Data - preExcl'!$BF$2:$BG1679,2,FALSE))),IFERROR(0/0,""))</f>
        <v/>
      </c>
      <c r="V1487" s="212" t="str">
        <f t="shared" si="5"/>
        <v>RUN-COMB_2022-07-19_RFR-082</v>
      </c>
      <c r="W1487" s="51"/>
      <c r="X1487" s="51"/>
      <c r="Y1487" s="147" t="str">
        <f t="shared" ref="Y1487:Z1487" si="2974">IF(_xlfn.ISFORMULA(S1487),IFERROR(0/0,""),TRUE)</f>
        <v/>
      </c>
      <c r="Z1487" s="147" t="str">
        <f t="shared" si="2974"/>
        <v/>
      </c>
    </row>
    <row r="1488">
      <c r="A1488" s="6" t="str">
        <f>IFERROR(__xludf.DUMMYFUNCTION("""COMPUTED_VALUE"""),"FM1176")</f>
        <v>FM1176</v>
      </c>
      <c r="B1488" s="206">
        <f>IFERROR(__xludf.DUMMYFUNCTION("""COMPUTED_VALUE"""),44761.0)</f>
        <v>44761</v>
      </c>
      <c r="C1488" s="207">
        <f>IFERROR(__xludf.DUMMYFUNCTION("""COMPUTED_VALUE"""),0.2859375)</f>
        <v>0.2859375</v>
      </c>
      <c r="D1488" s="50"/>
      <c r="E1488" s="58"/>
      <c r="F1488" s="58"/>
      <c r="G1488" s="58" t="str">
        <f>IFERROR(__xludf.DUMMYFUNCTION("""COMPUTED_VALUE"""),"Null")</f>
        <v>Null</v>
      </c>
      <c r="H1488" s="206" t="str">
        <f>IFERROR(__xludf.DUMMYFUNCTION("""COMPUTED_VALUE"""),"Negative")</f>
        <v>Negative</v>
      </c>
      <c r="I1488" s="207"/>
      <c r="J1488" s="50"/>
      <c r="K1488" s="50">
        <f>IFERROR(__xludf.DUMMYFUNCTION("""COMPUTED_VALUE"""),2.0)</f>
        <v>2</v>
      </c>
      <c r="L1488" s="6"/>
      <c r="M1488" s="55"/>
      <c r="N1488" s="55">
        <f>IFERROR(__xludf.DUMMYFUNCTION("""COMPUTED_VALUE"""),1.0)</f>
        <v>1</v>
      </c>
      <c r="O1488" s="55" t="str">
        <f t="shared" si="3"/>
        <v/>
      </c>
      <c r="P1488" s="209"/>
      <c r="Q1488" s="75" t="b">
        <f>VLOOKUP($B1488,'Run Reconcile'!B$2:P1679,15,FALSE)</f>
        <v>1</v>
      </c>
      <c r="R1488" s="211" t="str">
        <f t="array" ref="R1488">IF($Q1488, INDEX('Run Reconcile'!A$2:A1679,MATCH(B1488,'Run Reconcile'!B$2:B1679,0),1),IFERROR(0/0,""))</f>
        <v>RUN-COMB_2022-07-19_RFR-082</v>
      </c>
      <c r="S1488" s="165" t="str">
        <f t="shared" ref="S1488:T1488" si="2975">IF(COUNTIF(W$2:W1679, $A1488) &gt; 0,TRUE,IFERROR(0/0,""))</f>
        <v/>
      </c>
      <c r="T1488" s="165" t="str">
        <f t="shared" si="2975"/>
        <v/>
      </c>
      <c r="U1488" s="147" t="str">
        <f t="array" ref="U1488">IF(ISBLANK($R1488), IF($S1488,VLOOKUP($B1488+1,'RFR Data - preExcl'!$BF$2:$BG1679,2,FALSE),IF($T1488,INDEX('RFR Data - preExcl'!$BF$2:$BG1679,MATCH($B1488,'RFR Data - preExcl'!$BF$2:$BF1679,0)+1,2),VLOOKUP($B1488,'RFR Data - preExcl'!$BF$2:$BG1679,2,FALSE))),IFERROR(0/0,""))</f>
        <v/>
      </c>
      <c r="V1488" s="212" t="str">
        <f t="shared" si="5"/>
        <v>RUN-COMB_2022-07-19_RFR-082</v>
      </c>
      <c r="W1488" s="51"/>
      <c r="X1488" s="51"/>
      <c r="Y1488" s="147" t="str">
        <f t="shared" ref="Y1488:Z1488" si="2976">IF(_xlfn.ISFORMULA(S1488),IFERROR(0/0,""),TRUE)</f>
        <v/>
      </c>
      <c r="Z1488" s="147" t="str">
        <f t="shared" si="2976"/>
        <v/>
      </c>
    </row>
    <row r="1489">
      <c r="A1489" s="6" t="str">
        <f>IFERROR(__xludf.DUMMYFUNCTION("""COMPUTED_VALUE"""),"FM1754")</f>
        <v>FM1754</v>
      </c>
      <c r="B1489" s="206">
        <f>IFERROR(__xludf.DUMMYFUNCTION("""COMPUTED_VALUE"""),44761.0)</f>
        <v>44761</v>
      </c>
      <c r="C1489" s="207">
        <f>IFERROR(__xludf.DUMMYFUNCTION("""COMPUTED_VALUE"""),0.28961805555555553)</f>
        <v>0.2896180556</v>
      </c>
      <c r="D1489" s="50"/>
      <c r="E1489" s="58"/>
      <c r="F1489" s="58"/>
      <c r="G1489" s="58" t="str">
        <f>IFERROR(__xludf.DUMMYFUNCTION("""COMPUTED_VALUE"""),"Null")</f>
        <v>Null</v>
      </c>
      <c r="H1489" s="206" t="str">
        <f>IFERROR(__xludf.DUMMYFUNCTION("""COMPUTED_VALUE"""),"Negative")</f>
        <v>Negative</v>
      </c>
      <c r="I1489" s="207"/>
      <c r="J1489" s="50"/>
      <c r="K1489" s="50">
        <f>IFERROR(__xludf.DUMMYFUNCTION("""COMPUTED_VALUE"""),2.0)</f>
        <v>2</v>
      </c>
      <c r="L1489" s="6"/>
      <c r="M1489" s="55"/>
      <c r="N1489" s="55">
        <f>IFERROR(__xludf.DUMMYFUNCTION("""COMPUTED_VALUE"""),1.0)</f>
        <v>1</v>
      </c>
      <c r="O1489" s="55" t="str">
        <f t="shared" si="3"/>
        <v/>
      </c>
      <c r="P1489" s="209"/>
      <c r="Q1489" s="75" t="b">
        <f>VLOOKUP($B1489,'Run Reconcile'!B$2:P1679,15,FALSE)</f>
        <v>1</v>
      </c>
      <c r="R1489" s="211" t="str">
        <f t="array" ref="R1489">IF($Q1489, INDEX('Run Reconcile'!A$2:A1679,MATCH(B1489,'Run Reconcile'!B$2:B1679,0),1),IFERROR(0/0,""))</f>
        <v>RUN-COMB_2022-07-19_RFR-082</v>
      </c>
      <c r="S1489" s="165" t="str">
        <f t="shared" ref="S1489:T1489" si="2977">IF(COUNTIF(W$2:W1679, $A1489) &gt; 0,TRUE,IFERROR(0/0,""))</f>
        <v/>
      </c>
      <c r="T1489" s="165" t="str">
        <f t="shared" si="2977"/>
        <v/>
      </c>
      <c r="U1489" s="147" t="str">
        <f t="array" ref="U1489">IF(ISBLANK($R1489), IF($S1489,VLOOKUP($B1489+1,'RFR Data - preExcl'!$BF$2:$BG1679,2,FALSE),IF($T1489,INDEX('RFR Data - preExcl'!$BF$2:$BG1679,MATCH($B1489,'RFR Data - preExcl'!$BF$2:$BF1679,0)+1,2),VLOOKUP($B1489,'RFR Data - preExcl'!$BF$2:$BG1679,2,FALSE))),IFERROR(0/0,""))</f>
        <v/>
      </c>
      <c r="V1489" s="212" t="str">
        <f t="shared" si="5"/>
        <v>RUN-COMB_2022-07-19_RFR-082</v>
      </c>
      <c r="W1489" s="51"/>
      <c r="X1489" s="51"/>
      <c r="Y1489" s="147" t="str">
        <f t="shared" ref="Y1489:Z1489" si="2978">IF(_xlfn.ISFORMULA(S1489),IFERROR(0/0,""),TRUE)</f>
        <v/>
      </c>
      <c r="Z1489" s="147" t="str">
        <f t="shared" si="2978"/>
        <v/>
      </c>
    </row>
    <row r="1490">
      <c r="A1490" s="6" t="str">
        <f>IFERROR(__xludf.DUMMYFUNCTION("""COMPUTED_VALUE"""),"FM1199")</f>
        <v>FM1199</v>
      </c>
      <c r="B1490" s="206">
        <f>IFERROR(__xludf.DUMMYFUNCTION("""COMPUTED_VALUE"""),44761.0)</f>
        <v>44761</v>
      </c>
      <c r="C1490" s="207">
        <f>IFERROR(__xludf.DUMMYFUNCTION("""COMPUTED_VALUE"""),0.2900115740740741)</f>
        <v>0.2900115741</v>
      </c>
      <c r="D1490" s="50"/>
      <c r="E1490" s="58"/>
      <c r="F1490" s="58"/>
      <c r="G1490" s="58" t="str">
        <f>IFERROR(__xludf.DUMMYFUNCTION("""COMPUTED_VALUE"""),"Null")</f>
        <v>Null</v>
      </c>
      <c r="H1490" s="206" t="str">
        <f>IFERROR(__xludf.DUMMYFUNCTION("""COMPUTED_VALUE"""),"Negative")</f>
        <v>Negative</v>
      </c>
      <c r="I1490" s="207"/>
      <c r="J1490" s="50"/>
      <c r="K1490" s="50">
        <f>IFERROR(__xludf.DUMMYFUNCTION("""COMPUTED_VALUE"""),2.0)</f>
        <v>2</v>
      </c>
      <c r="L1490" s="6"/>
      <c r="M1490" s="55"/>
      <c r="N1490" s="55">
        <f>IFERROR(__xludf.DUMMYFUNCTION("""COMPUTED_VALUE"""),1.0)</f>
        <v>1</v>
      </c>
      <c r="O1490" s="55" t="str">
        <f t="shared" si="3"/>
        <v/>
      </c>
      <c r="P1490" s="209"/>
      <c r="Q1490" s="75" t="b">
        <f>VLOOKUP($B1490,'Run Reconcile'!B$2:P1679,15,FALSE)</f>
        <v>1</v>
      </c>
      <c r="R1490" s="211" t="str">
        <f t="array" ref="R1490">IF($Q1490, INDEX('Run Reconcile'!A$2:A1679,MATCH(B1490,'Run Reconcile'!B$2:B1679,0),1),IFERROR(0/0,""))</f>
        <v>RUN-COMB_2022-07-19_RFR-082</v>
      </c>
      <c r="S1490" s="165" t="str">
        <f t="shared" ref="S1490:T1490" si="2979">IF(COUNTIF(W$2:W1679, $A1490) &gt; 0,TRUE,IFERROR(0/0,""))</f>
        <v/>
      </c>
      <c r="T1490" s="165" t="str">
        <f t="shared" si="2979"/>
        <v/>
      </c>
      <c r="U1490" s="147" t="str">
        <f t="array" ref="U1490">IF(ISBLANK($R1490), IF($S1490,VLOOKUP($B1490+1,'RFR Data - preExcl'!$BF$2:$BG1679,2,FALSE),IF($T1490,INDEX('RFR Data - preExcl'!$BF$2:$BG1679,MATCH($B1490,'RFR Data - preExcl'!$BF$2:$BF1679,0)+1,2),VLOOKUP($B1490,'RFR Data - preExcl'!$BF$2:$BG1679,2,FALSE))),IFERROR(0/0,""))</f>
        <v/>
      </c>
      <c r="V1490" s="212" t="str">
        <f t="shared" si="5"/>
        <v>RUN-COMB_2022-07-19_RFR-082</v>
      </c>
      <c r="W1490" s="51"/>
      <c r="X1490" s="51"/>
      <c r="Y1490" s="147" t="str">
        <f t="shared" ref="Y1490:Z1490" si="2980">IF(_xlfn.ISFORMULA(S1490),IFERROR(0/0,""),TRUE)</f>
        <v/>
      </c>
      <c r="Z1490" s="147" t="str">
        <f t="shared" si="2980"/>
        <v/>
      </c>
    </row>
    <row r="1491">
      <c r="A1491" s="6" t="str">
        <f>IFERROR(__xludf.DUMMYFUNCTION("""COMPUTED_VALUE"""),"FM1185")</f>
        <v>FM1185</v>
      </c>
      <c r="B1491" s="206">
        <f>IFERROR(__xludf.DUMMYFUNCTION("""COMPUTED_VALUE"""),44761.0)</f>
        <v>44761</v>
      </c>
      <c r="C1491" s="207">
        <f>IFERROR(__xludf.DUMMYFUNCTION("""COMPUTED_VALUE"""),0.2903472222222222)</f>
        <v>0.2903472222</v>
      </c>
      <c r="D1491" s="50"/>
      <c r="E1491" s="58"/>
      <c r="F1491" s="58"/>
      <c r="G1491" s="58" t="str">
        <f>IFERROR(__xludf.DUMMYFUNCTION("""COMPUTED_VALUE"""),"Null")</f>
        <v>Null</v>
      </c>
      <c r="H1491" s="206" t="str">
        <f>IFERROR(__xludf.DUMMYFUNCTION("""COMPUTED_VALUE"""),"Negative")</f>
        <v>Negative</v>
      </c>
      <c r="I1491" s="207"/>
      <c r="J1491" s="50"/>
      <c r="K1491" s="50">
        <f>IFERROR(__xludf.DUMMYFUNCTION("""COMPUTED_VALUE"""),2.0)</f>
        <v>2</v>
      </c>
      <c r="L1491" s="6"/>
      <c r="M1491" s="55"/>
      <c r="N1491" s="55">
        <f>IFERROR(__xludf.DUMMYFUNCTION("""COMPUTED_VALUE"""),1.0)</f>
        <v>1</v>
      </c>
      <c r="O1491" s="55" t="str">
        <f t="shared" si="3"/>
        <v/>
      </c>
      <c r="P1491" s="209"/>
      <c r="Q1491" s="75" t="b">
        <f>VLOOKUP($B1491,'Run Reconcile'!B$2:P1679,15,FALSE)</f>
        <v>1</v>
      </c>
      <c r="R1491" s="211" t="str">
        <f t="array" ref="R1491">IF($Q1491, INDEX('Run Reconcile'!A$2:A1679,MATCH(B1491,'Run Reconcile'!B$2:B1679,0),1),IFERROR(0/0,""))</f>
        <v>RUN-COMB_2022-07-19_RFR-082</v>
      </c>
      <c r="S1491" s="165" t="str">
        <f t="shared" ref="S1491:T1491" si="2981">IF(COUNTIF(W$2:W1679, $A1491) &gt; 0,TRUE,IFERROR(0/0,""))</f>
        <v/>
      </c>
      <c r="T1491" s="165" t="str">
        <f t="shared" si="2981"/>
        <v/>
      </c>
      <c r="U1491" s="147" t="str">
        <f t="array" ref="U1491">IF(ISBLANK($R1491), IF($S1491,VLOOKUP($B1491+1,'RFR Data - preExcl'!$BF$2:$BG1679,2,FALSE),IF($T1491,INDEX('RFR Data - preExcl'!$BF$2:$BG1679,MATCH($B1491,'RFR Data - preExcl'!$BF$2:$BF1679,0)+1,2),VLOOKUP($B1491,'RFR Data - preExcl'!$BF$2:$BG1679,2,FALSE))),IFERROR(0/0,""))</f>
        <v/>
      </c>
      <c r="V1491" s="212" t="str">
        <f t="shared" si="5"/>
        <v>RUN-COMB_2022-07-19_RFR-082</v>
      </c>
      <c r="W1491" s="51"/>
      <c r="X1491" s="51"/>
      <c r="Y1491" s="147" t="str">
        <f t="shared" ref="Y1491:Z1491" si="2982">IF(_xlfn.ISFORMULA(S1491),IFERROR(0/0,""),TRUE)</f>
        <v/>
      </c>
      <c r="Z1491" s="147" t="str">
        <f t="shared" si="2982"/>
        <v/>
      </c>
    </row>
    <row r="1492">
      <c r="A1492" s="6" t="str">
        <f>IFERROR(__xludf.DUMMYFUNCTION("""COMPUTED_VALUE"""),"FM1155")</f>
        <v>FM1155</v>
      </c>
      <c r="B1492" s="206">
        <f>IFERROR(__xludf.DUMMYFUNCTION("""COMPUTED_VALUE"""),44761.0)</f>
        <v>44761</v>
      </c>
      <c r="C1492" s="207">
        <f>IFERROR(__xludf.DUMMYFUNCTION("""COMPUTED_VALUE"""),0.2906944444444444)</f>
        <v>0.2906944444</v>
      </c>
      <c r="D1492" s="50"/>
      <c r="E1492" s="58"/>
      <c r="F1492" s="58"/>
      <c r="G1492" s="58" t="str">
        <f>IFERROR(__xludf.DUMMYFUNCTION("""COMPUTED_VALUE"""),"Null")</f>
        <v>Null</v>
      </c>
      <c r="H1492" s="206" t="str">
        <f>IFERROR(__xludf.DUMMYFUNCTION("""COMPUTED_VALUE"""),"Negative")</f>
        <v>Negative</v>
      </c>
      <c r="I1492" s="207"/>
      <c r="J1492" s="50"/>
      <c r="K1492" s="50">
        <f>IFERROR(__xludf.DUMMYFUNCTION("""COMPUTED_VALUE"""),2.0)</f>
        <v>2</v>
      </c>
      <c r="L1492" s="6"/>
      <c r="M1492" s="55"/>
      <c r="N1492" s="55">
        <f>IFERROR(__xludf.DUMMYFUNCTION("""COMPUTED_VALUE"""),1.0)</f>
        <v>1</v>
      </c>
      <c r="O1492" s="55" t="str">
        <f t="shared" si="3"/>
        <v/>
      </c>
      <c r="P1492" s="209"/>
      <c r="Q1492" s="75" t="b">
        <f>VLOOKUP($B1492,'Run Reconcile'!B$2:P1679,15,FALSE)</f>
        <v>1</v>
      </c>
      <c r="R1492" s="211" t="str">
        <f t="array" ref="R1492">IF($Q1492, INDEX('Run Reconcile'!A$2:A1679,MATCH(B1492,'Run Reconcile'!B$2:B1679,0),1),IFERROR(0/0,""))</f>
        <v>RUN-COMB_2022-07-19_RFR-082</v>
      </c>
      <c r="S1492" s="165" t="str">
        <f t="shared" ref="S1492:T1492" si="2983">IF(COUNTIF(W$2:W1679, $A1492) &gt; 0,TRUE,IFERROR(0/0,""))</f>
        <v/>
      </c>
      <c r="T1492" s="165" t="str">
        <f t="shared" si="2983"/>
        <v/>
      </c>
      <c r="U1492" s="147" t="str">
        <f t="array" ref="U1492">IF(ISBLANK($R1492), IF($S1492,VLOOKUP($B1492+1,'RFR Data - preExcl'!$BF$2:$BG1679,2,FALSE),IF($T1492,INDEX('RFR Data - preExcl'!$BF$2:$BG1679,MATCH($B1492,'RFR Data - preExcl'!$BF$2:$BF1679,0)+1,2),VLOOKUP($B1492,'RFR Data - preExcl'!$BF$2:$BG1679,2,FALSE))),IFERROR(0/0,""))</f>
        <v/>
      </c>
      <c r="V1492" s="212" t="str">
        <f t="shared" si="5"/>
        <v>RUN-COMB_2022-07-19_RFR-082</v>
      </c>
      <c r="W1492" s="51"/>
      <c r="X1492" s="51"/>
      <c r="Y1492" s="147" t="str">
        <f t="shared" ref="Y1492:Z1492" si="2984">IF(_xlfn.ISFORMULA(S1492),IFERROR(0/0,""),TRUE)</f>
        <v/>
      </c>
      <c r="Z1492" s="147" t="str">
        <f t="shared" si="2984"/>
        <v/>
      </c>
    </row>
    <row r="1493">
      <c r="A1493" s="6" t="str">
        <f>IFERROR(__xludf.DUMMYFUNCTION("""COMPUTED_VALUE"""),"FM1198")</f>
        <v>FM1198</v>
      </c>
      <c r="B1493" s="206">
        <f>IFERROR(__xludf.DUMMYFUNCTION("""COMPUTED_VALUE"""),44761.0)</f>
        <v>44761</v>
      </c>
      <c r="C1493" s="207">
        <f>IFERROR(__xludf.DUMMYFUNCTION("""COMPUTED_VALUE"""),0.2910300925925926)</f>
        <v>0.2910300926</v>
      </c>
      <c r="D1493" s="50"/>
      <c r="E1493" s="58"/>
      <c r="F1493" s="58"/>
      <c r="G1493" s="58" t="str">
        <f>IFERROR(__xludf.DUMMYFUNCTION("""COMPUTED_VALUE"""),"Null")</f>
        <v>Null</v>
      </c>
      <c r="H1493" s="206" t="str">
        <f>IFERROR(__xludf.DUMMYFUNCTION("""COMPUTED_VALUE"""),"Positive")</f>
        <v>Positive</v>
      </c>
      <c r="I1493" s="207"/>
      <c r="J1493" s="50"/>
      <c r="K1493" s="50">
        <f>IFERROR(__xludf.DUMMYFUNCTION("""COMPUTED_VALUE"""),3.0)</f>
        <v>3</v>
      </c>
      <c r="L1493" s="6" t="str">
        <f>IFERROR(__xludf.DUMMYFUNCTION("""COMPUTED_VALUE"""),"Null changed to Positive")</f>
        <v>Null changed to Positive</v>
      </c>
      <c r="M1493" s="55"/>
      <c r="N1493" s="55">
        <f>IFERROR(__xludf.DUMMYFUNCTION("""COMPUTED_VALUE"""),1.0)</f>
        <v>1</v>
      </c>
      <c r="O1493" s="55" t="str">
        <f t="shared" si="3"/>
        <v/>
      </c>
      <c r="P1493" s="209"/>
      <c r="Q1493" s="75" t="b">
        <f>VLOOKUP($B1493,'Run Reconcile'!B$2:P1679,15,FALSE)</f>
        <v>1</v>
      </c>
      <c r="R1493" s="211" t="str">
        <f t="array" ref="R1493">IF($Q1493, INDEX('Run Reconcile'!A$2:A1679,MATCH(B1493,'Run Reconcile'!B$2:B1679,0),1),IFERROR(0/0,""))</f>
        <v>RUN-COMB_2022-07-19_RFR-082</v>
      </c>
      <c r="S1493" s="165" t="str">
        <f t="shared" ref="S1493:T1493" si="2985">IF(COUNTIF(W$2:W1679, $A1493) &gt; 0,TRUE,IFERROR(0/0,""))</f>
        <v/>
      </c>
      <c r="T1493" s="165" t="str">
        <f t="shared" si="2985"/>
        <v/>
      </c>
      <c r="U1493" s="147" t="str">
        <f t="array" ref="U1493">IF(ISBLANK($R1493), IF($S1493,VLOOKUP($B1493+1,'RFR Data - preExcl'!$BF$2:$BG1679,2,FALSE),IF($T1493,INDEX('RFR Data - preExcl'!$BF$2:$BG1679,MATCH($B1493,'RFR Data - preExcl'!$BF$2:$BF1679,0)+1,2),VLOOKUP($B1493,'RFR Data - preExcl'!$BF$2:$BG1679,2,FALSE))),IFERROR(0/0,""))</f>
        <v/>
      </c>
      <c r="V1493" s="212" t="str">
        <f t="shared" si="5"/>
        <v>RUN-COMB_2022-07-19_RFR-082</v>
      </c>
      <c r="W1493" s="51"/>
      <c r="X1493" s="51"/>
      <c r="Y1493" s="147" t="str">
        <f t="shared" ref="Y1493:Z1493" si="2986">IF(_xlfn.ISFORMULA(S1493),IFERROR(0/0,""),TRUE)</f>
        <v/>
      </c>
      <c r="Z1493" s="147" t="str">
        <f t="shared" si="2986"/>
        <v/>
      </c>
    </row>
    <row r="1494">
      <c r="A1494" s="6" t="str">
        <f>IFERROR(__xludf.DUMMYFUNCTION("""COMPUTED_VALUE"""),"FM1767")</f>
        <v>FM1767</v>
      </c>
      <c r="B1494" s="206">
        <f>IFERROR(__xludf.DUMMYFUNCTION("""COMPUTED_VALUE"""),44762.0)</f>
        <v>44762</v>
      </c>
      <c r="C1494" s="207">
        <f>IFERROR(__xludf.DUMMYFUNCTION("""COMPUTED_VALUE"""),0.3197800925925926)</f>
        <v>0.3197800926</v>
      </c>
      <c r="D1494" s="50"/>
      <c r="E1494" s="58"/>
      <c r="F1494" s="58"/>
      <c r="G1494" s="58" t="str">
        <f>IFERROR(__xludf.DUMMYFUNCTION("""COMPUTED_VALUE"""),"Null")</f>
        <v>Null</v>
      </c>
      <c r="H1494" s="206" t="str">
        <f>IFERROR(__xludf.DUMMYFUNCTION("""COMPUTED_VALUE"""),"Negative")</f>
        <v>Negative</v>
      </c>
      <c r="I1494" s="207"/>
      <c r="J1494" s="50"/>
      <c r="K1494" s="50">
        <f>IFERROR(__xludf.DUMMYFUNCTION("""COMPUTED_VALUE"""),2.0)</f>
        <v>2</v>
      </c>
      <c r="L1494" s="6"/>
      <c r="M1494" s="55"/>
      <c r="N1494" s="55">
        <f>IFERROR(__xludf.DUMMYFUNCTION("""COMPUTED_VALUE"""),1.0)</f>
        <v>1</v>
      </c>
      <c r="O1494" s="55" t="b">
        <f t="shared" si="3"/>
        <v>1</v>
      </c>
      <c r="P1494" s="209"/>
      <c r="Q1494" s="75" t="b">
        <f>VLOOKUP($B1494,'Run Reconcile'!B$2:P1679,15,FALSE)</f>
        <v>1</v>
      </c>
      <c r="R1494" s="211" t="str">
        <f t="array" ref="R1494">IF($Q1494, INDEX('Run Reconcile'!A$2:A1679,MATCH(B1494,'Run Reconcile'!B$2:B1679,0),1),IFERROR(0/0,""))</f>
        <v>RUN-COMB_2022-07-20_RFR-084</v>
      </c>
      <c r="S1494" s="165" t="str">
        <f t="shared" ref="S1494:T1494" si="2987">IF(COUNTIF(W$2:W1679, $A1494) &gt; 0,TRUE,IFERROR(0/0,""))</f>
        <v/>
      </c>
      <c r="T1494" s="165" t="str">
        <f t="shared" si="2987"/>
        <v/>
      </c>
      <c r="U1494" s="147" t="str">
        <f t="array" ref="U1494">IF(ISBLANK($R1494), IF($S1494,VLOOKUP($B1494+1,'RFR Data - preExcl'!$BF$2:$BG1679,2,FALSE),IF($T1494,INDEX('RFR Data - preExcl'!$BF$2:$BG1679,MATCH($B1494,'RFR Data - preExcl'!$BF$2:$BF1679,0)+1,2),VLOOKUP($B1494,'RFR Data - preExcl'!$BF$2:$BG1679,2,FALSE))),IFERROR(0/0,""))</f>
        <v/>
      </c>
      <c r="V1494" s="212" t="str">
        <f t="shared" si="5"/>
        <v>RUN-COMB_2022-07-20_RFR-084</v>
      </c>
      <c r="W1494" s="51"/>
      <c r="X1494" s="51"/>
      <c r="Y1494" s="147" t="str">
        <f t="shared" ref="Y1494:Z1494" si="2988">IF(_xlfn.ISFORMULA(S1494),IFERROR(0/0,""),TRUE)</f>
        <v/>
      </c>
      <c r="Z1494" s="147" t="str">
        <f t="shared" si="2988"/>
        <v/>
      </c>
    </row>
    <row r="1495">
      <c r="A1495" s="6" t="str">
        <f>IFERROR(__xludf.DUMMYFUNCTION("""COMPUTED_VALUE"""),"FM1179")</f>
        <v>FM1179</v>
      </c>
      <c r="B1495" s="206">
        <f>IFERROR(__xludf.DUMMYFUNCTION("""COMPUTED_VALUE"""),44762.0)</f>
        <v>44762</v>
      </c>
      <c r="C1495" s="207">
        <f>IFERROR(__xludf.DUMMYFUNCTION("""COMPUTED_VALUE"""),0.3201041666666667)</f>
        <v>0.3201041667</v>
      </c>
      <c r="D1495" s="50"/>
      <c r="E1495" s="58"/>
      <c r="F1495" s="58"/>
      <c r="G1495" s="58" t="str">
        <f>IFERROR(__xludf.DUMMYFUNCTION("""COMPUTED_VALUE"""),"Null")</f>
        <v>Null</v>
      </c>
      <c r="H1495" s="206" t="str">
        <f>IFERROR(__xludf.DUMMYFUNCTION("""COMPUTED_VALUE"""),"Negative")</f>
        <v>Negative</v>
      </c>
      <c r="I1495" s="207"/>
      <c r="J1495" s="50"/>
      <c r="K1495" s="50">
        <f>IFERROR(__xludf.DUMMYFUNCTION("""COMPUTED_VALUE"""),2.0)</f>
        <v>2</v>
      </c>
      <c r="L1495" s="6"/>
      <c r="M1495" s="55"/>
      <c r="N1495" s="55">
        <f>IFERROR(__xludf.DUMMYFUNCTION("""COMPUTED_VALUE"""),1.0)</f>
        <v>1</v>
      </c>
      <c r="O1495" s="55" t="str">
        <f t="shared" si="3"/>
        <v/>
      </c>
      <c r="P1495" s="209"/>
      <c r="Q1495" s="75" t="b">
        <f>VLOOKUP($B1495,'Run Reconcile'!B$2:P1679,15,FALSE)</f>
        <v>1</v>
      </c>
      <c r="R1495" s="211" t="str">
        <f t="array" ref="R1495">IF($Q1495, INDEX('Run Reconcile'!A$2:A1679,MATCH(B1495,'Run Reconcile'!B$2:B1679,0),1),IFERROR(0/0,""))</f>
        <v>RUN-COMB_2022-07-20_RFR-084</v>
      </c>
      <c r="S1495" s="165" t="str">
        <f t="shared" ref="S1495:T1495" si="2989">IF(COUNTIF(W$2:W1679, $A1495) &gt; 0,TRUE,IFERROR(0/0,""))</f>
        <v/>
      </c>
      <c r="T1495" s="165" t="str">
        <f t="shared" si="2989"/>
        <v/>
      </c>
      <c r="U1495" s="147" t="str">
        <f t="array" ref="U1495">IF(ISBLANK($R1495), IF($S1495,VLOOKUP($B1495+1,'RFR Data - preExcl'!$BF$2:$BG1679,2,FALSE),IF($T1495,INDEX('RFR Data - preExcl'!$BF$2:$BG1679,MATCH($B1495,'RFR Data - preExcl'!$BF$2:$BF1679,0)+1,2),VLOOKUP($B1495,'RFR Data - preExcl'!$BF$2:$BG1679,2,FALSE))),IFERROR(0/0,""))</f>
        <v/>
      </c>
      <c r="V1495" s="212" t="str">
        <f t="shared" si="5"/>
        <v>RUN-COMB_2022-07-20_RFR-084</v>
      </c>
      <c r="W1495" s="51"/>
      <c r="X1495" s="51"/>
      <c r="Y1495" s="147" t="str">
        <f t="shared" ref="Y1495:Z1495" si="2990">IF(_xlfn.ISFORMULA(S1495),IFERROR(0/0,""),TRUE)</f>
        <v/>
      </c>
      <c r="Z1495" s="147" t="str">
        <f t="shared" si="2990"/>
        <v/>
      </c>
    </row>
    <row r="1496">
      <c r="A1496" s="6" t="str">
        <f>IFERROR(__xludf.DUMMYFUNCTION("""COMPUTED_VALUE"""),"FM1751")</f>
        <v>FM1751</v>
      </c>
      <c r="B1496" s="206">
        <f>IFERROR(__xludf.DUMMYFUNCTION("""COMPUTED_VALUE"""),44762.0)</f>
        <v>44762</v>
      </c>
      <c r="C1496" s="207">
        <f>IFERROR(__xludf.DUMMYFUNCTION("""COMPUTED_VALUE"""),0.32038194444444446)</f>
        <v>0.3203819444</v>
      </c>
      <c r="D1496" s="50"/>
      <c r="E1496" s="58"/>
      <c r="F1496" s="58"/>
      <c r="G1496" s="58" t="str">
        <f>IFERROR(__xludf.DUMMYFUNCTION("""COMPUTED_VALUE"""),"Null")</f>
        <v>Null</v>
      </c>
      <c r="H1496" s="206" t="str">
        <f>IFERROR(__xludf.DUMMYFUNCTION("""COMPUTED_VALUE"""),"Negative")</f>
        <v>Negative</v>
      </c>
      <c r="I1496" s="207"/>
      <c r="J1496" s="50"/>
      <c r="K1496" s="50">
        <f>IFERROR(__xludf.DUMMYFUNCTION("""COMPUTED_VALUE"""),2.0)</f>
        <v>2</v>
      </c>
      <c r="L1496" s="6"/>
      <c r="M1496" s="55"/>
      <c r="N1496" s="55">
        <f>IFERROR(__xludf.DUMMYFUNCTION("""COMPUTED_VALUE"""),1.0)</f>
        <v>1</v>
      </c>
      <c r="O1496" s="55" t="str">
        <f t="shared" si="3"/>
        <v/>
      </c>
      <c r="P1496" s="209"/>
      <c r="Q1496" s="75" t="b">
        <f>VLOOKUP($B1496,'Run Reconcile'!B$2:P1679,15,FALSE)</f>
        <v>1</v>
      </c>
      <c r="R1496" s="211" t="str">
        <f t="array" ref="R1496">IF($Q1496, INDEX('Run Reconcile'!A$2:A1679,MATCH(B1496,'Run Reconcile'!B$2:B1679,0),1),IFERROR(0/0,""))</f>
        <v>RUN-COMB_2022-07-20_RFR-084</v>
      </c>
      <c r="S1496" s="165" t="str">
        <f t="shared" ref="S1496:T1496" si="2991">IF(COUNTIF(W$2:W1679, $A1496) &gt; 0,TRUE,IFERROR(0/0,""))</f>
        <v/>
      </c>
      <c r="T1496" s="165" t="str">
        <f t="shared" si="2991"/>
        <v/>
      </c>
      <c r="U1496" s="147" t="str">
        <f t="array" ref="U1496">IF(ISBLANK($R1496), IF($S1496,VLOOKUP($B1496+1,'RFR Data - preExcl'!$BF$2:$BG1679,2,FALSE),IF($T1496,INDEX('RFR Data - preExcl'!$BF$2:$BG1679,MATCH($B1496,'RFR Data - preExcl'!$BF$2:$BF1679,0)+1,2),VLOOKUP($B1496,'RFR Data - preExcl'!$BF$2:$BG1679,2,FALSE))),IFERROR(0/0,""))</f>
        <v/>
      </c>
      <c r="V1496" s="212" t="str">
        <f t="shared" si="5"/>
        <v>RUN-COMB_2022-07-20_RFR-084</v>
      </c>
      <c r="W1496" s="51"/>
      <c r="X1496" s="51"/>
      <c r="Y1496" s="147" t="str">
        <f t="shared" ref="Y1496:Z1496" si="2992">IF(_xlfn.ISFORMULA(S1496),IFERROR(0/0,""),TRUE)</f>
        <v/>
      </c>
      <c r="Z1496" s="147" t="str">
        <f t="shared" si="2992"/>
        <v/>
      </c>
    </row>
    <row r="1497">
      <c r="A1497" s="6" t="str">
        <f>IFERROR(__xludf.DUMMYFUNCTION("""COMPUTED_VALUE"""),"FM1156")</f>
        <v>FM1156</v>
      </c>
      <c r="B1497" s="206">
        <f>IFERROR(__xludf.DUMMYFUNCTION("""COMPUTED_VALUE"""),44762.0)</f>
        <v>44762</v>
      </c>
      <c r="C1497" s="207">
        <f>IFERROR(__xludf.DUMMYFUNCTION("""COMPUTED_VALUE"""),0.3206712962962963)</f>
        <v>0.3206712963</v>
      </c>
      <c r="D1497" s="50"/>
      <c r="E1497" s="58"/>
      <c r="F1497" s="58"/>
      <c r="G1497" s="58" t="str">
        <f>IFERROR(__xludf.DUMMYFUNCTION("""COMPUTED_VALUE"""),"Null")</f>
        <v>Null</v>
      </c>
      <c r="H1497" s="206" t="str">
        <f>IFERROR(__xludf.DUMMYFUNCTION("""COMPUTED_VALUE"""),"Negative")</f>
        <v>Negative</v>
      </c>
      <c r="I1497" s="207"/>
      <c r="J1497" s="50"/>
      <c r="K1497" s="50">
        <f>IFERROR(__xludf.DUMMYFUNCTION("""COMPUTED_VALUE"""),2.0)</f>
        <v>2</v>
      </c>
      <c r="L1497" s="6"/>
      <c r="M1497" s="55"/>
      <c r="N1497" s="55">
        <f>IFERROR(__xludf.DUMMYFUNCTION("""COMPUTED_VALUE"""),1.0)</f>
        <v>1</v>
      </c>
      <c r="O1497" s="55" t="str">
        <f t="shared" si="3"/>
        <v/>
      </c>
      <c r="P1497" s="209"/>
      <c r="Q1497" s="75" t="b">
        <f>VLOOKUP($B1497,'Run Reconcile'!B$2:P1679,15,FALSE)</f>
        <v>1</v>
      </c>
      <c r="R1497" s="211" t="str">
        <f t="array" ref="R1497">IF($Q1497, INDEX('Run Reconcile'!A$2:A1679,MATCH(B1497,'Run Reconcile'!B$2:B1679,0),1),IFERROR(0/0,""))</f>
        <v>RUN-COMB_2022-07-20_RFR-084</v>
      </c>
      <c r="S1497" s="165" t="str">
        <f t="shared" ref="S1497:T1497" si="2993">IF(COUNTIF(W$2:W1679, $A1497) &gt; 0,TRUE,IFERROR(0/0,""))</f>
        <v/>
      </c>
      <c r="T1497" s="165" t="str">
        <f t="shared" si="2993"/>
        <v/>
      </c>
      <c r="U1497" s="147" t="str">
        <f t="array" ref="U1497">IF(ISBLANK($R1497), IF($S1497,VLOOKUP($B1497+1,'RFR Data - preExcl'!$BF$2:$BG1679,2,FALSE),IF($T1497,INDEX('RFR Data - preExcl'!$BF$2:$BG1679,MATCH($B1497,'RFR Data - preExcl'!$BF$2:$BF1679,0)+1,2),VLOOKUP($B1497,'RFR Data - preExcl'!$BF$2:$BG1679,2,FALSE))),IFERROR(0/0,""))</f>
        <v/>
      </c>
      <c r="V1497" s="212" t="str">
        <f t="shared" si="5"/>
        <v>RUN-COMB_2022-07-20_RFR-084</v>
      </c>
      <c r="W1497" s="51"/>
      <c r="X1497" s="51"/>
      <c r="Y1497" s="147" t="str">
        <f t="shared" ref="Y1497:Z1497" si="2994">IF(_xlfn.ISFORMULA(S1497),IFERROR(0/0,""),TRUE)</f>
        <v/>
      </c>
      <c r="Z1497" s="147" t="str">
        <f t="shared" si="2994"/>
        <v/>
      </c>
    </row>
    <row r="1498">
      <c r="A1498" s="6" t="str">
        <f>IFERROR(__xludf.DUMMYFUNCTION("""COMPUTED_VALUE"""),"FM1150")</f>
        <v>FM1150</v>
      </c>
      <c r="B1498" s="206">
        <f>IFERROR(__xludf.DUMMYFUNCTION("""COMPUTED_VALUE"""),44762.0)</f>
        <v>44762</v>
      </c>
      <c r="C1498" s="207">
        <f>IFERROR(__xludf.DUMMYFUNCTION("""COMPUTED_VALUE"""),0.3209490740740741)</f>
        <v>0.3209490741</v>
      </c>
      <c r="D1498" s="50"/>
      <c r="E1498" s="58"/>
      <c r="F1498" s="58"/>
      <c r="G1498" s="58" t="str">
        <f>IFERROR(__xludf.DUMMYFUNCTION("""COMPUTED_VALUE"""),"Null")</f>
        <v>Null</v>
      </c>
      <c r="H1498" s="206" t="str">
        <f>IFERROR(__xludf.DUMMYFUNCTION("""COMPUTED_VALUE"""),"Negative")</f>
        <v>Negative</v>
      </c>
      <c r="I1498" s="207"/>
      <c r="J1498" s="50"/>
      <c r="K1498" s="50">
        <f>IFERROR(__xludf.DUMMYFUNCTION("""COMPUTED_VALUE"""),2.0)</f>
        <v>2</v>
      </c>
      <c r="L1498" s="6"/>
      <c r="M1498" s="55"/>
      <c r="N1498" s="55">
        <f>IFERROR(__xludf.DUMMYFUNCTION("""COMPUTED_VALUE"""),1.0)</f>
        <v>1</v>
      </c>
      <c r="O1498" s="55" t="str">
        <f t="shared" si="3"/>
        <v/>
      </c>
      <c r="P1498" s="209"/>
      <c r="Q1498" s="75" t="b">
        <f>VLOOKUP($B1498,'Run Reconcile'!B$2:P1679,15,FALSE)</f>
        <v>1</v>
      </c>
      <c r="R1498" s="211" t="str">
        <f t="array" ref="R1498">IF($Q1498, INDEX('Run Reconcile'!A$2:A1679,MATCH(B1498,'Run Reconcile'!B$2:B1679,0),1),IFERROR(0/0,""))</f>
        <v>RUN-COMB_2022-07-20_RFR-084</v>
      </c>
      <c r="S1498" s="165" t="str">
        <f t="shared" ref="S1498:T1498" si="2995">IF(COUNTIF(W$2:W1679, $A1498) &gt; 0,TRUE,IFERROR(0/0,""))</f>
        <v/>
      </c>
      <c r="T1498" s="165" t="str">
        <f t="shared" si="2995"/>
        <v/>
      </c>
      <c r="U1498" s="147" t="str">
        <f t="array" ref="U1498">IF(ISBLANK($R1498), IF($S1498,VLOOKUP($B1498+1,'RFR Data - preExcl'!$BF$2:$BG1679,2,FALSE),IF($T1498,INDEX('RFR Data - preExcl'!$BF$2:$BG1679,MATCH($B1498,'RFR Data - preExcl'!$BF$2:$BF1679,0)+1,2),VLOOKUP($B1498,'RFR Data - preExcl'!$BF$2:$BG1679,2,FALSE))),IFERROR(0/0,""))</f>
        <v/>
      </c>
      <c r="V1498" s="212" t="str">
        <f t="shared" si="5"/>
        <v>RUN-COMB_2022-07-20_RFR-084</v>
      </c>
      <c r="W1498" s="51"/>
      <c r="X1498" s="51"/>
      <c r="Y1498" s="147" t="str">
        <f t="shared" ref="Y1498:Z1498" si="2996">IF(_xlfn.ISFORMULA(S1498),IFERROR(0/0,""),TRUE)</f>
        <v/>
      </c>
      <c r="Z1498" s="147" t="str">
        <f t="shared" si="2996"/>
        <v/>
      </c>
    </row>
    <row r="1499">
      <c r="A1499" s="6" t="str">
        <f>IFERROR(__xludf.DUMMYFUNCTION("""COMPUTED_VALUE"""),"FM1191")</f>
        <v>FM1191</v>
      </c>
      <c r="B1499" s="206">
        <f>IFERROR(__xludf.DUMMYFUNCTION("""COMPUTED_VALUE"""),44762.0)</f>
        <v>44762</v>
      </c>
      <c r="C1499" s="207">
        <f>IFERROR(__xludf.DUMMYFUNCTION("""COMPUTED_VALUE"""),0.32131944444444444)</f>
        <v>0.3213194444</v>
      </c>
      <c r="D1499" s="50"/>
      <c r="E1499" s="58"/>
      <c r="F1499" s="58"/>
      <c r="G1499" s="58" t="str">
        <f>IFERROR(__xludf.DUMMYFUNCTION("""COMPUTED_VALUE"""),"Null")</f>
        <v>Null</v>
      </c>
      <c r="H1499" s="206" t="str">
        <f>IFERROR(__xludf.DUMMYFUNCTION("""COMPUTED_VALUE"""),"Negative")</f>
        <v>Negative</v>
      </c>
      <c r="I1499" s="207"/>
      <c r="J1499" s="50"/>
      <c r="K1499" s="50">
        <f>IFERROR(__xludf.DUMMYFUNCTION("""COMPUTED_VALUE"""),2.0)</f>
        <v>2</v>
      </c>
      <c r="L1499" s="6"/>
      <c r="M1499" s="55"/>
      <c r="N1499" s="55">
        <f>IFERROR(__xludf.DUMMYFUNCTION("""COMPUTED_VALUE"""),1.0)</f>
        <v>1</v>
      </c>
      <c r="O1499" s="55" t="str">
        <f t="shared" si="3"/>
        <v/>
      </c>
      <c r="P1499" s="209"/>
      <c r="Q1499" s="75" t="b">
        <f>VLOOKUP($B1499,'Run Reconcile'!B$2:P1679,15,FALSE)</f>
        <v>1</v>
      </c>
      <c r="R1499" s="211" t="str">
        <f t="array" ref="R1499">IF($Q1499, INDEX('Run Reconcile'!A$2:A1679,MATCH(B1499,'Run Reconcile'!B$2:B1679,0),1),IFERROR(0/0,""))</f>
        <v>RUN-COMB_2022-07-20_RFR-084</v>
      </c>
      <c r="S1499" s="165" t="str">
        <f t="shared" ref="S1499:T1499" si="2997">IF(COUNTIF(W$2:W1679, $A1499) &gt; 0,TRUE,IFERROR(0/0,""))</f>
        <v/>
      </c>
      <c r="T1499" s="165" t="str">
        <f t="shared" si="2997"/>
        <v/>
      </c>
      <c r="U1499" s="147" t="str">
        <f t="array" ref="U1499">IF(ISBLANK($R1499), IF($S1499,VLOOKUP($B1499+1,'RFR Data - preExcl'!$BF$2:$BG1679,2,FALSE),IF($T1499,INDEX('RFR Data - preExcl'!$BF$2:$BG1679,MATCH($B1499,'RFR Data - preExcl'!$BF$2:$BF1679,0)+1,2),VLOOKUP($B1499,'RFR Data - preExcl'!$BF$2:$BG1679,2,FALSE))),IFERROR(0/0,""))</f>
        <v/>
      </c>
      <c r="V1499" s="212" t="str">
        <f t="shared" si="5"/>
        <v>RUN-COMB_2022-07-20_RFR-084</v>
      </c>
      <c r="W1499" s="51"/>
      <c r="X1499" s="51"/>
      <c r="Y1499" s="147" t="str">
        <f t="shared" ref="Y1499:Z1499" si="2998">IF(_xlfn.ISFORMULA(S1499),IFERROR(0/0,""),TRUE)</f>
        <v/>
      </c>
      <c r="Z1499" s="147" t="str">
        <f t="shared" si="2998"/>
        <v/>
      </c>
    </row>
    <row r="1500">
      <c r="A1500" s="6" t="str">
        <f>IFERROR(__xludf.DUMMYFUNCTION("""COMPUTED_VALUE"""),"FM1772")</f>
        <v>FM1772</v>
      </c>
      <c r="B1500" s="206">
        <f>IFERROR(__xludf.DUMMYFUNCTION("""COMPUTED_VALUE"""),44762.0)</f>
        <v>44762</v>
      </c>
      <c r="C1500" s="207">
        <f>IFERROR(__xludf.DUMMYFUNCTION("""COMPUTED_VALUE"""),0.3215625)</f>
        <v>0.3215625</v>
      </c>
      <c r="D1500" s="50"/>
      <c r="E1500" s="58"/>
      <c r="F1500" s="58"/>
      <c r="G1500" s="58" t="str">
        <f>IFERROR(__xludf.DUMMYFUNCTION("""COMPUTED_VALUE"""),"Null")</f>
        <v>Null</v>
      </c>
      <c r="H1500" s="206" t="str">
        <f>IFERROR(__xludf.DUMMYFUNCTION("""COMPUTED_VALUE"""),"Negative")</f>
        <v>Negative</v>
      </c>
      <c r="I1500" s="207"/>
      <c r="J1500" s="50"/>
      <c r="K1500" s="50">
        <f>IFERROR(__xludf.DUMMYFUNCTION("""COMPUTED_VALUE"""),2.0)</f>
        <v>2</v>
      </c>
      <c r="L1500" s="6"/>
      <c r="M1500" s="55"/>
      <c r="N1500" s="55">
        <f>IFERROR(__xludf.DUMMYFUNCTION("""COMPUTED_VALUE"""),1.0)</f>
        <v>1</v>
      </c>
      <c r="O1500" s="55" t="str">
        <f t="shared" si="3"/>
        <v/>
      </c>
      <c r="P1500" s="209"/>
      <c r="Q1500" s="75" t="b">
        <f>VLOOKUP($B1500,'Run Reconcile'!B$2:P1679,15,FALSE)</f>
        <v>1</v>
      </c>
      <c r="R1500" s="211" t="str">
        <f t="array" ref="R1500">IF($Q1500, INDEX('Run Reconcile'!A$2:A1679,MATCH(B1500,'Run Reconcile'!B$2:B1679,0),1),IFERROR(0/0,""))</f>
        <v>RUN-COMB_2022-07-20_RFR-084</v>
      </c>
      <c r="S1500" s="165" t="str">
        <f t="shared" ref="S1500:T1500" si="2999">IF(COUNTIF(W$2:W1679, $A1500) &gt; 0,TRUE,IFERROR(0/0,""))</f>
        <v/>
      </c>
      <c r="T1500" s="165" t="str">
        <f t="shared" si="2999"/>
        <v/>
      </c>
      <c r="U1500" s="147" t="str">
        <f t="array" ref="U1500">IF(ISBLANK($R1500), IF($S1500,VLOOKUP($B1500+1,'RFR Data - preExcl'!$BF$2:$BG1679,2,FALSE),IF($T1500,INDEX('RFR Data - preExcl'!$BF$2:$BG1679,MATCH($B1500,'RFR Data - preExcl'!$BF$2:$BF1679,0)+1,2),VLOOKUP($B1500,'RFR Data - preExcl'!$BF$2:$BG1679,2,FALSE))),IFERROR(0/0,""))</f>
        <v/>
      </c>
      <c r="V1500" s="212" t="str">
        <f t="shared" si="5"/>
        <v>RUN-COMB_2022-07-20_RFR-084</v>
      </c>
      <c r="W1500" s="51"/>
      <c r="X1500" s="51"/>
      <c r="Y1500" s="147" t="str">
        <f t="shared" ref="Y1500:Z1500" si="3000">IF(_xlfn.ISFORMULA(S1500),IFERROR(0/0,""),TRUE)</f>
        <v/>
      </c>
      <c r="Z1500" s="147" t="str">
        <f t="shared" si="3000"/>
        <v/>
      </c>
    </row>
    <row r="1501">
      <c r="A1501" s="6" t="str">
        <f>IFERROR(__xludf.DUMMYFUNCTION("""COMPUTED_VALUE"""),"FM1173")</f>
        <v>FM1173</v>
      </c>
      <c r="B1501" s="206">
        <f>IFERROR(__xludf.DUMMYFUNCTION("""COMPUTED_VALUE"""),44762.0)</f>
        <v>44762</v>
      </c>
      <c r="C1501" s="207">
        <f>IFERROR(__xludf.DUMMYFUNCTION("""COMPUTED_VALUE"""),0.3219560185185185)</f>
        <v>0.3219560185</v>
      </c>
      <c r="D1501" s="50"/>
      <c r="E1501" s="58"/>
      <c r="F1501" s="58"/>
      <c r="G1501" s="58" t="str">
        <f>IFERROR(__xludf.DUMMYFUNCTION("""COMPUTED_VALUE"""),"Null")</f>
        <v>Null</v>
      </c>
      <c r="H1501" s="206" t="str">
        <f>IFERROR(__xludf.DUMMYFUNCTION("""COMPUTED_VALUE"""),"Negative")</f>
        <v>Negative</v>
      </c>
      <c r="I1501" s="207"/>
      <c r="J1501" s="50"/>
      <c r="K1501" s="50">
        <f>IFERROR(__xludf.DUMMYFUNCTION("""COMPUTED_VALUE"""),2.0)</f>
        <v>2</v>
      </c>
      <c r="L1501" s="6"/>
      <c r="M1501" s="55"/>
      <c r="N1501" s="55">
        <f>IFERROR(__xludf.DUMMYFUNCTION("""COMPUTED_VALUE"""),1.0)</f>
        <v>1</v>
      </c>
      <c r="O1501" s="55" t="str">
        <f t="shared" si="3"/>
        <v/>
      </c>
      <c r="P1501" s="209"/>
      <c r="Q1501" s="75" t="b">
        <f>VLOOKUP($B1501,'Run Reconcile'!B$2:P1679,15,FALSE)</f>
        <v>1</v>
      </c>
      <c r="R1501" s="211" t="str">
        <f t="array" ref="R1501">IF($Q1501, INDEX('Run Reconcile'!A$2:A1679,MATCH(B1501,'Run Reconcile'!B$2:B1679,0),1),IFERROR(0/0,""))</f>
        <v>RUN-COMB_2022-07-20_RFR-084</v>
      </c>
      <c r="S1501" s="165" t="str">
        <f t="shared" ref="S1501:T1501" si="3001">IF(COUNTIF(W$2:W1679, $A1501) &gt; 0,TRUE,IFERROR(0/0,""))</f>
        <v/>
      </c>
      <c r="T1501" s="165" t="str">
        <f t="shared" si="3001"/>
        <v/>
      </c>
      <c r="U1501" s="147" t="str">
        <f t="array" ref="U1501">IF(ISBLANK($R1501), IF($S1501,VLOOKUP($B1501+1,'RFR Data - preExcl'!$BF$2:$BG1679,2,FALSE),IF($T1501,INDEX('RFR Data - preExcl'!$BF$2:$BG1679,MATCH($B1501,'RFR Data - preExcl'!$BF$2:$BF1679,0)+1,2),VLOOKUP($B1501,'RFR Data - preExcl'!$BF$2:$BG1679,2,FALSE))),IFERROR(0/0,""))</f>
        <v/>
      </c>
      <c r="V1501" s="212" t="str">
        <f t="shared" si="5"/>
        <v>RUN-COMB_2022-07-20_RFR-084</v>
      </c>
      <c r="W1501" s="51"/>
      <c r="X1501" s="51"/>
      <c r="Y1501" s="147" t="str">
        <f t="shared" ref="Y1501:Z1501" si="3002">IF(_xlfn.ISFORMULA(S1501),IFERROR(0/0,""),TRUE)</f>
        <v/>
      </c>
      <c r="Z1501" s="147" t="str">
        <f t="shared" si="3002"/>
        <v/>
      </c>
    </row>
    <row r="1502">
      <c r="A1502" s="6" t="str">
        <f>IFERROR(__xludf.DUMMYFUNCTION("""COMPUTED_VALUE"""),"FM1171")</f>
        <v>FM1171</v>
      </c>
      <c r="B1502" s="206">
        <f>IFERROR(__xludf.DUMMYFUNCTION("""COMPUTED_VALUE"""),44762.0)</f>
        <v>44762</v>
      </c>
      <c r="C1502" s="207">
        <f>IFERROR(__xludf.DUMMYFUNCTION("""COMPUTED_VALUE"""),0.32238425925925923)</f>
        <v>0.3223842593</v>
      </c>
      <c r="D1502" s="50"/>
      <c r="E1502" s="58"/>
      <c r="F1502" s="58"/>
      <c r="G1502" s="58" t="str">
        <f>IFERROR(__xludf.DUMMYFUNCTION("""COMPUTED_VALUE"""),"Null")</f>
        <v>Null</v>
      </c>
      <c r="H1502" s="206" t="str">
        <f>IFERROR(__xludf.DUMMYFUNCTION("""COMPUTED_VALUE"""),"Negative")</f>
        <v>Negative</v>
      </c>
      <c r="I1502" s="207"/>
      <c r="J1502" s="50"/>
      <c r="K1502" s="50">
        <f>IFERROR(__xludf.DUMMYFUNCTION("""COMPUTED_VALUE"""),2.0)</f>
        <v>2</v>
      </c>
      <c r="L1502" s="6"/>
      <c r="M1502" s="55"/>
      <c r="N1502" s="55">
        <f>IFERROR(__xludf.DUMMYFUNCTION("""COMPUTED_VALUE"""),1.0)</f>
        <v>1</v>
      </c>
      <c r="O1502" s="55" t="str">
        <f t="shared" si="3"/>
        <v/>
      </c>
      <c r="P1502" s="209"/>
      <c r="Q1502" s="75" t="b">
        <f>VLOOKUP($B1502,'Run Reconcile'!B$2:P1679,15,FALSE)</f>
        <v>1</v>
      </c>
      <c r="R1502" s="211" t="str">
        <f t="array" ref="R1502">IF($Q1502, INDEX('Run Reconcile'!A$2:A1679,MATCH(B1502,'Run Reconcile'!B$2:B1679,0),1),IFERROR(0/0,""))</f>
        <v>RUN-COMB_2022-07-20_RFR-084</v>
      </c>
      <c r="S1502" s="165" t="str">
        <f t="shared" ref="S1502:T1502" si="3003">IF(COUNTIF(W$2:W1679, $A1502) &gt; 0,TRUE,IFERROR(0/0,""))</f>
        <v/>
      </c>
      <c r="T1502" s="165" t="str">
        <f t="shared" si="3003"/>
        <v/>
      </c>
      <c r="U1502" s="147" t="str">
        <f t="array" ref="U1502">IF(ISBLANK($R1502), IF($S1502,VLOOKUP($B1502+1,'RFR Data - preExcl'!$BF$2:$BG1679,2,FALSE),IF($T1502,INDEX('RFR Data - preExcl'!$BF$2:$BG1679,MATCH($B1502,'RFR Data - preExcl'!$BF$2:$BF1679,0)+1,2),VLOOKUP($B1502,'RFR Data - preExcl'!$BF$2:$BG1679,2,FALSE))),IFERROR(0/0,""))</f>
        <v/>
      </c>
      <c r="V1502" s="212" t="str">
        <f t="shared" si="5"/>
        <v>RUN-COMB_2022-07-20_RFR-084</v>
      </c>
      <c r="W1502" s="51"/>
      <c r="X1502" s="51"/>
      <c r="Y1502" s="147" t="str">
        <f t="shared" ref="Y1502:Z1502" si="3004">IF(_xlfn.ISFORMULA(S1502),IFERROR(0/0,""),TRUE)</f>
        <v/>
      </c>
      <c r="Z1502" s="147" t="str">
        <f t="shared" si="3004"/>
        <v/>
      </c>
    </row>
    <row r="1503">
      <c r="A1503" s="6" t="str">
        <f>IFERROR(__xludf.DUMMYFUNCTION("""COMPUTED_VALUE"""),"FM1743")</f>
        <v>FM1743</v>
      </c>
      <c r="B1503" s="206">
        <f>IFERROR(__xludf.DUMMYFUNCTION("""COMPUTED_VALUE"""),44762.0)</f>
        <v>44762</v>
      </c>
      <c r="C1503" s="207">
        <f>IFERROR(__xludf.DUMMYFUNCTION("""COMPUTED_VALUE"""),0.3231597222222222)</f>
        <v>0.3231597222</v>
      </c>
      <c r="D1503" s="50"/>
      <c r="E1503" s="58"/>
      <c r="F1503" s="58"/>
      <c r="G1503" s="58" t="str">
        <f>IFERROR(__xludf.DUMMYFUNCTION("""COMPUTED_VALUE"""),"Null")</f>
        <v>Null</v>
      </c>
      <c r="H1503" s="206" t="str">
        <f>IFERROR(__xludf.DUMMYFUNCTION("""COMPUTED_VALUE"""),"Negative")</f>
        <v>Negative</v>
      </c>
      <c r="I1503" s="207"/>
      <c r="J1503" s="50"/>
      <c r="K1503" s="50">
        <f>IFERROR(__xludf.DUMMYFUNCTION("""COMPUTED_VALUE"""),2.0)</f>
        <v>2</v>
      </c>
      <c r="L1503" s="6"/>
      <c r="M1503" s="55"/>
      <c r="N1503" s="55">
        <f>IFERROR(__xludf.DUMMYFUNCTION("""COMPUTED_VALUE"""),1.0)</f>
        <v>1</v>
      </c>
      <c r="O1503" s="55" t="str">
        <f t="shared" si="3"/>
        <v/>
      </c>
      <c r="P1503" s="209"/>
      <c r="Q1503" s="75" t="b">
        <f>VLOOKUP($B1503,'Run Reconcile'!B$2:P1679,15,FALSE)</f>
        <v>1</v>
      </c>
      <c r="R1503" s="211" t="str">
        <f t="array" ref="R1503">IF($Q1503, INDEX('Run Reconcile'!A$2:A1679,MATCH(B1503,'Run Reconcile'!B$2:B1679,0),1),IFERROR(0/0,""))</f>
        <v>RUN-COMB_2022-07-20_RFR-084</v>
      </c>
      <c r="S1503" s="165" t="str">
        <f t="shared" ref="S1503:T1503" si="3005">IF(COUNTIF(W$2:W1679, $A1503) &gt; 0,TRUE,IFERROR(0/0,""))</f>
        <v/>
      </c>
      <c r="T1503" s="165" t="str">
        <f t="shared" si="3005"/>
        <v/>
      </c>
      <c r="U1503" s="147" t="str">
        <f t="array" ref="U1503">IF(ISBLANK($R1503), IF($S1503,VLOOKUP($B1503+1,'RFR Data - preExcl'!$BF$2:$BG1679,2,FALSE),IF($T1503,INDEX('RFR Data - preExcl'!$BF$2:$BG1679,MATCH($B1503,'RFR Data - preExcl'!$BF$2:$BF1679,0)+1,2),VLOOKUP($B1503,'RFR Data - preExcl'!$BF$2:$BG1679,2,FALSE))),IFERROR(0/0,""))</f>
        <v/>
      </c>
      <c r="V1503" s="212" t="str">
        <f t="shared" si="5"/>
        <v>RUN-COMB_2022-07-20_RFR-084</v>
      </c>
      <c r="W1503" s="51"/>
      <c r="X1503" s="51"/>
      <c r="Y1503" s="147" t="str">
        <f t="shared" ref="Y1503:Z1503" si="3006">IF(_xlfn.ISFORMULA(S1503),IFERROR(0/0,""),TRUE)</f>
        <v/>
      </c>
      <c r="Z1503" s="147" t="str">
        <f t="shared" si="3006"/>
        <v/>
      </c>
    </row>
    <row r="1504">
      <c r="A1504" s="6" t="str">
        <f>IFERROR(__xludf.DUMMYFUNCTION("""COMPUTED_VALUE"""),"FM1750")</f>
        <v>FM1750</v>
      </c>
      <c r="B1504" s="206">
        <f>IFERROR(__xludf.DUMMYFUNCTION("""COMPUTED_VALUE"""),44762.0)</f>
        <v>44762</v>
      </c>
      <c r="C1504" s="207">
        <f>IFERROR(__xludf.DUMMYFUNCTION("""COMPUTED_VALUE"""),0.3234837962962963)</f>
        <v>0.3234837963</v>
      </c>
      <c r="D1504" s="50"/>
      <c r="E1504" s="58"/>
      <c r="F1504" s="58"/>
      <c r="G1504" s="58" t="str">
        <f>IFERROR(__xludf.DUMMYFUNCTION("""COMPUTED_VALUE"""),"Null")</f>
        <v>Null</v>
      </c>
      <c r="H1504" s="206" t="str">
        <f>IFERROR(__xludf.DUMMYFUNCTION("""COMPUTED_VALUE"""),"Negative")</f>
        <v>Negative</v>
      </c>
      <c r="I1504" s="207"/>
      <c r="J1504" s="50"/>
      <c r="K1504" s="50">
        <f>IFERROR(__xludf.DUMMYFUNCTION("""COMPUTED_VALUE"""),2.0)</f>
        <v>2</v>
      </c>
      <c r="L1504" s="6"/>
      <c r="M1504" s="55"/>
      <c r="N1504" s="55">
        <f>IFERROR(__xludf.DUMMYFUNCTION("""COMPUTED_VALUE"""),1.0)</f>
        <v>1</v>
      </c>
      <c r="O1504" s="55" t="str">
        <f t="shared" si="3"/>
        <v/>
      </c>
      <c r="P1504" s="209"/>
      <c r="Q1504" s="75" t="b">
        <f>VLOOKUP($B1504,'Run Reconcile'!B$2:P1679,15,FALSE)</f>
        <v>1</v>
      </c>
      <c r="R1504" s="211" t="str">
        <f t="array" ref="R1504">IF($Q1504, INDEX('Run Reconcile'!A$2:A1679,MATCH(B1504,'Run Reconcile'!B$2:B1679,0),1),IFERROR(0/0,""))</f>
        <v>RUN-COMB_2022-07-20_RFR-084</v>
      </c>
      <c r="S1504" s="165" t="str">
        <f t="shared" ref="S1504:T1504" si="3007">IF(COUNTIF(W$2:W1679, $A1504) &gt; 0,TRUE,IFERROR(0/0,""))</f>
        <v/>
      </c>
      <c r="T1504" s="165" t="str">
        <f t="shared" si="3007"/>
        <v/>
      </c>
      <c r="U1504" s="147" t="str">
        <f t="array" ref="U1504">IF(ISBLANK($R1504), IF($S1504,VLOOKUP($B1504+1,'RFR Data - preExcl'!$BF$2:$BG1679,2,FALSE),IF($T1504,INDEX('RFR Data - preExcl'!$BF$2:$BG1679,MATCH($B1504,'RFR Data - preExcl'!$BF$2:$BF1679,0)+1,2),VLOOKUP($B1504,'RFR Data - preExcl'!$BF$2:$BG1679,2,FALSE))),IFERROR(0/0,""))</f>
        <v/>
      </c>
      <c r="V1504" s="212" t="str">
        <f t="shared" si="5"/>
        <v>RUN-COMB_2022-07-20_RFR-084</v>
      </c>
      <c r="W1504" s="51"/>
      <c r="X1504" s="51"/>
      <c r="Y1504" s="147" t="str">
        <f t="shared" ref="Y1504:Z1504" si="3008">IF(_xlfn.ISFORMULA(S1504),IFERROR(0/0,""),TRUE)</f>
        <v/>
      </c>
      <c r="Z1504" s="147" t="str">
        <f t="shared" si="3008"/>
        <v/>
      </c>
    </row>
    <row r="1505">
      <c r="A1505" s="6" t="str">
        <f>IFERROR(__xludf.DUMMYFUNCTION("""COMPUTED_VALUE"""),"FM1154")</f>
        <v>FM1154</v>
      </c>
      <c r="B1505" s="206">
        <f>IFERROR(__xludf.DUMMYFUNCTION("""COMPUTED_VALUE"""),44762.0)</f>
        <v>44762</v>
      </c>
      <c r="C1505" s="207">
        <f>IFERROR(__xludf.DUMMYFUNCTION("""COMPUTED_VALUE"""),0.3237962962962963)</f>
        <v>0.3237962963</v>
      </c>
      <c r="D1505" s="50"/>
      <c r="E1505" s="58"/>
      <c r="F1505" s="58"/>
      <c r="G1505" s="58" t="str">
        <f>IFERROR(__xludf.DUMMYFUNCTION("""COMPUTED_VALUE"""),"Null")</f>
        <v>Null</v>
      </c>
      <c r="H1505" s="206" t="str">
        <f>IFERROR(__xludf.DUMMYFUNCTION("""COMPUTED_VALUE"""),"Negative")</f>
        <v>Negative</v>
      </c>
      <c r="I1505" s="207"/>
      <c r="J1505" s="50"/>
      <c r="K1505" s="50">
        <f>IFERROR(__xludf.DUMMYFUNCTION("""COMPUTED_VALUE"""),2.0)</f>
        <v>2</v>
      </c>
      <c r="L1505" s="6"/>
      <c r="M1505" s="55"/>
      <c r="N1505" s="55">
        <f>IFERROR(__xludf.DUMMYFUNCTION("""COMPUTED_VALUE"""),1.0)</f>
        <v>1</v>
      </c>
      <c r="O1505" s="55" t="str">
        <f t="shared" si="3"/>
        <v/>
      </c>
      <c r="P1505" s="209"/>
      <c r="Q1505" s="75" t="b">
        <f>VLOOKUP($B1505,'Run Reconcile'!B$2:P1679,15,FALSE)</f>
        <v>1</v>
      </c>
      <c r="R1505" s="211" t="str">
        <f t="array" ref="R1505">IF($Q1505, INDEX('Run Reconcile'!A$2:A1679,MATCH(B1505,'Run Reconcile'!B$2:B1679,0),1),IFERROR(0/0,""))</f>
        <v>RUN-COMB_2022-07-20_RFR-084</v>
      </c>
      <c r="S1505" s="165" t="str">
        <f t="shared" ref="S1505:T1505" si="3009">IF(COUNTIF(W$2:W1679, $A1505) &gt; 0,TRUE,IFERROR(0/0,""))</f>
        <v/>
      </c>
      <c r="T1505" s="165" t="str">
        <f t="shared" si="3009"/>
        <v/>
      </c>
      <c r="U1505" s="147" t="str">
        <f t="array" ref="U1505">IF(ISBLANK($R1505), IF($S1505,VLOOKUP($B1505+1,'RFR Data - preExcl'!$BF$2:$BG1679,2,FALSE),IF($T1505,INDEX('RFR Data - preExcl'!$BF$2:$BG1679,MATCH($B1505,'RFR Data - preExcl'!$BF$2:$BF1679,0)+1,2),VLOOKUP($B1505,'RFR Data - preExcl'!$BF$2:$BG1679,2,FALSE))),IFERROR(0/0,""))</f>
        <v/>
      </c>
      <c r="V1505" s="212" t="str">
        <f t="shared" si="5"/>
        <v>RUN-COMB_2022-07-20_RFR-084</v>
      </c>
      <c r="W1505" s="51"/>
      <c r="X1505" s="51"/>
      <c r="Y1505" s="147" t="str">
        <f t="shared" ref="Y1505:Z1505" si="3010">IF(_xlfn.ISFORMULA(S1505),IFERROR(0/0,""),TRUE)</f>
        <v/>
      </c>
      <c r="Z1505" s="147" t="str">
        <f t="shared" si="3010"/>
        <v/>
      </c>
    </row>
    <row r="1506">
      <c r="A1506" s="6" t="str">
        <f>IFERROR(__xludf.DUMMYFUNCTION("""COMPUTED_VALUE"""),"FM1143")</f>
        <v>FM1143</v>
      </c>
      <c r="B1506" s="206">
        <f>IFERROR(__xludf.DUMMYFUNCTION("""COMPUTED_VALUE"""),44762.0)</f>
        <v>44762</v>
      </c>
      <c r="C1506" s="207">
        <f>IFERROR(__xludf.DUMMYFUNCTION("""COMPUTED_VALUE"""),0.32407407407407407)</f>
        <v>0.3240740741</v>
      </c>
      <c r="D1506" s="50"/>
      <c r="E1506" s="58"/>
      <c r="F1506" s="58"/>
      <c r="G1506" s="58" t="str">
        <f>IFERROR(__xludf.DUMMYFUNCTION("""COMPUTED_VALUE"""),"Null")</f>
        <v>Null</v>
      </c>
      <c r="H1506" s="206" t="str">
        <f>IFERROR(__xludf.DUMMYFUNCTION("""COMPUTED_VALUE"""),"Negative")</f>
        <v>Negative</v>
      </c>
      <c r="I1506" s="207"/>
      <c r="J1506" s="50"/>
      <c r="K1506" s="50">
        <f>IFERROR(__xludf.DUMMYFUNCTION("""COMPUTED_VALUE"""),2.0)</f>
        <v>2</v>
      </c>
      <c r="L1506" s="6"/>
      <c r="M1506" s="55"/>
      <c r="N1506" s="55">
        <f>IFERROR(__xludf.DUMMYFUNCTION("""COMPUTED_VALUE"""),1.0)</f>
        <v>1</v>
      </c>
      <c r="O1506" s="55" t="str">
        <f t="shared" si="3"/>
        <v/>
      </c>
      <c r="P1506" s="209"/>
      <c r="Q1506" s="75" t="b">
        <f>VLOOKUP($B1506,'Run Reconcile'!B$2:P1679,15,FALSE)</f>
        <v>1</v>
      </c>
      <c r="R1506" s="211" t="str">
        <f t="array" ref="R1506">IF($Q1506, INDEX('Run Reconcile'!A$2:A1679,MATCH(B1506,'Run Reconcile'!B$2:B1679,0),1),IFERROR(0/0,""))</f>
        <v>RUN-COMB_2022-07-20_RFR-084</v>
      </c>
      <c r="S1506" s="165" t="str">
        <f t="shared" ref="S1506:T1506" si="3011">IF(COUNTIF(W$2:W1679, $A1506) &gt; 0,TRUE,IFERROR(0/0,""))</f>
        <v/>
      </c>
      <c r="T1506" s="165" t="str">
        <f t="shared" si="3011"/>
        <v/>
      </c>
      <c r="U1506" s="147" t="str">
        <f t="array" ref="U1506">IF(ISBLANK($R1506), IF($S1506,VLOOKUP($B1506+1,'RFR Data - preExcl'!$BF$2:$BG1679,2,FALSE),IF($T1506,INDEX('RFR Data - preExcl'!$BF$2:$BG1679,MATCH($B1506,'RFR Data - preExcl'!$BF$2:$BF1679,0)+1,2),VLOOKUP($B1506,'RFR Data - preExcl'!$BF$2:$BG1679,2,FALSE))),IFERROR(0/0,""))</f>
        <v/>
      </c>
      <c r="V1506" s="212" t="str">
        <f t="shared" si="5"/>
        <v>RUN-COMB_2022-07-20_RFR-084</v>
      </c>
      <c r="W1506" s="51"/>
      <c r="X1506" s="51"/>
      <c r="Y1506" s="147" t="str">
        <f t="shared" ref="Y1506:Z1506" si="3012">IF(_xlfn.ISFORMULA(S1506),IFERROR(0/0,""),TRUE)</f>
        <v/>
      </c>
      <c r="Z1506" s="147" t="str">
        <f t="shared" si="3012"/>
        <v/>
      </c>
    </row>
    <row r="1507">
      <c r="A1507" s="6" t="str">
        <f>IFERROR(__xludf.DUMMYFUNCTION("""COMPUTED_VALUE"""),"FM1792")</f>
        <v>FM1792</v>
      </c>
      <c r="B1507" s="206">
        <f>IFERROR(__xludf.DUMMYFUNCTION("""COMPUTED_VALUE"""),44762.0)</f>
        <v>44762</v>
      </c>
      <c r="C1507" s="207">
        <f>IFERROR(__xludf.DUMMYFUNCTION("""COMPUTED_VALUE"""),0.32438657407407406)</f>
        <v>0.3243865741</v>
      </c>
      <c r="D1507" s="50"/>
      <c r="E1507" s="58"/>
      <c r="F1507" s="58"/>
      <c r="G1507" s="58" t="str">
        <f>IFERROR(__xludf.DUMMYFUNCTION("""COMPUTED_VALUE"""),"Null")</f>
        <v>Null</v>
      </c>
      <c r="H1507" s="206" t="str">
        <f>IFERROR(__xludf.DUMMYFUNCTION("""COMPUTED_VALUE"""),"Negative")</f>
        <v>Negative</v>
      </c>
      <c r="I1507" s="207"/>
      <c r="J1507" s="50"/>
      <c r="K1507" s="50">
        <f>IFERROR(__xludf.DUMMYFUNCTION("""COMPUTED_VALUE"""),2.0)</f>
        <v>2</v>
      </c>
      <c r="L1507" s="6"/>
      <c r="M1507" s="55"/>
      <c r="N1507" s="55">
        <f>IFERROR(__xludf.DUMMYFUNCTION("""COMPUTED_VALUE"""),1.0)</f>
        <v>1</v>
      </c>
      <c r="O1507" s="55" t="str">
        <f t="shared" si="3"/>
        <v/>
      </c>
      <c r="P1507" s="209"/>
      <c r="Q1507" s="75" t="b">
        <f>VLOOKUP($B1507,'Run Reconcile'!B$2:P1679,15,FALSE)</f>
        <v>1</v>
      </c>
      <c r="R1507" s="211" t="str">
        <f t="array" ref="R1507">IF($Q1507, INDEX('Run Reconcile'!A$2:A1679,MATCH(B1507,'Run Reconcile'!B$2:B1679,0),1),IFERROR(0/0,""))</f>
        <v>RUN-COMB_2022-07-20_RFR-084</v>
      </c>
      <c r="S1507" s="165" t="str">
        <f t="shared" ref="S1507:T1507" si="3013">IF(COUNTIF(W$2:W1679, $A1507) &gt; 0,TRUE,IFERROR(0/0,""))</f>
        <v/>
      </c>
      <c r="T1507" s="165" t="str">
        <f t="shared" si="3013"/>
        <v/>
      </c>
      <c r="U1507" s="147" t="str">
        <f t="array" ref="U1507">IF(ISBLANK($R1507), IF($S1507,VLOOKUP($B1507+1,'RFR Data - preExcl'!$BF$2:$BG1679,2,FALSE),IF($T1507,INDEX('RFR Data - preExcl'!$BF$2:$BG1679,MATCH($B1507,'RFR Data - preExcl'!$BF$2:$BF1679,0)+1,2),VLOOKUP($B1507,'RFR Data - preExcl'!$BF$2:$BG1679,2,FALSE))),IFERROR(0/0,""))</f>
        <v/>
      </c>
      <c r="V1507" s="212" t="str">
        <f t="shared" si="5"/>
        <v>RUN-COMB_2022-07-20_RFR-084</v>
      </c>
      <c r="W1507" s="51"/>
      <c r="X1507" s="51"/>
      <c r="Y1507" s="147" t="str">
        <f t="shared" ref="Y1507:Z1507" si="3014">IF(_xlfn.ISFORMULA(S1507),IFERROR(0/0,""),TRUE)</f>
        <v/>
      </c>
      <c r="Z1507" s="147" t="str">
        <f t="shared" si="3014"/>
        <v/>
      </c>
    </row>
    <row r="1508">
      <c r="A1508" s="6" t="str">
        <f>IFERROR(__xludf.DUMMYFUNCTION("""COMPUTED_VALUE"""),"FM1190")</f>
        <v>FM1190</v>
      </c>
      <c r="B1508" s="206">
        <f>IFERROR(__xludf.DUMMYFUNCTION("""COMPUTED_VALUE"""),44762.0)</f>
        <v>44762</v>
      </c>
      <c r="C1508" s="207">
        <f>IFERROR(__xludf.DUMMYFUNCTION("""COMPUTED_VALUE"""),0.32480324074074074)</f>
        <v>0.3248032407</v>
      </c>
      <c r="D1508" s="50"/>
      <c r="E1508" s="58"/>
      <c r="F1508" s="58"/>
      <c r="G1508" s="58" t="str">
        <f>IFERROR(__xludf.DUMMYFUNCTION("""COMPUTED_VALUE"""),"Null")</f>
        <v>Null</v>
      </c>
      <c r="H1508" s="206" t="str">
        <f>IFERROR(__xludf.DUMMYFUNCTION("""COMPUTED_VALUE"""),"Negative")</f>
        <v>Negative</v>
      </c>
      <c r="I1508" s="207"/>
      <c r="J1508" s="50"/>
      <c r="K1508" s="50">
        <f>IFERROR(__xludf.DUMMYFUNCTION("""COMPUTED_VALUE"""),2.0)</f>
        <v>2</v>
      </c>
      <c r="L1508" s="6"/>
      <c r="M1508" s="55"/>
      <c r="N1508" s="55">
        <f>IFERROR(__xludf.DUMMYFUNCTION("""COMPUTED_VALUE"""),1.0)</f>
        <v>1</v>
      </c>
      <c r="O1508" s="55" t="str">
        <f t="shared" si="3"/>
        <v/>
      </c>
      <c r="P1508" s="209"/>
      <c r="Q1508" s="75" t="b">
        <f>VLOOKUP($B1508,'Run Reconcile'!B$2:P1679,15,FALSE)</f>
        <v>1</v>
      </c>
      <c r="R1508" s="211" t="str">
        <f t="array" ref="R1508">IF($Q1508, INDEX('Run Reconcile'!A$2:A1679,MATCH(B1508,'Run Reconcile'!B$2:B1679,0),1),IFERROR(0/0,""))</f>
        <v>RUN-COMB_2022-07-20_RFR-084</v>
      </c>
      <c r="S1508" s="165" t="str">
        <f t="shared" ref="S1508:T1508" si="3015">IF(COUNTIF(W$2:W1679, $A1508) &gt; 0,TRUE,IFERROR(0/0,""))</f>
        <v/>
      </c>
      <c r="T1508" s="165" t="str">
        <f t="shared" si="3015"/>
        <v/>
      </c>
      <c r="U1508" s="147" t="str">
        <f t="array" ref="U1508">IF(ISBLANK($R1508), IF($S1508,VLOOKUP($B1508+1,'RFR Data - preExcl'!$BF$2:$BG1679,2,FALSE),IF($T1508,INDEX('RFR Data - preExcl'!$BF$2:$BG1679,MATCH($B1508,'RFR Data - preExcl'!$BF$2:$BF1679,0)+1,2),VLOOKUP($B1508,'RFR Data - preExcl'!$BF$2:$BG1679,2,FALSE))),IFERROR(0/0,""))</f>
        <v/>
      </c>
      <c r="V1508" s="212" t="str">
        <f t="shared" si="5"/>
        <v>RUN-COMB_2022-07-20_RFR-084</v>
      </c>
      <c r="W1508" s="51"/>
      <c r="X1508" s="51"/>
      <c r="Y1508" s="147" t="str">
        <f t="shared" ref="Y1508:Z1508" si="3016">IF(_xlfn.ISFORMULA(S1508),IFERROR(0/0,""),TRUE)</f>
        <v/>
      </c>
      <c r="Z1508" s="147" t="str">
        <f t="shared" si="3016"/>
        <v/>
      </c>
    </row>
    <row r="1509">
      <c r="A1509" s="6" t="str">
        <f>IFERROR(__xludf.DUMMYFUNCTION("""COMPUTED_VALUE"""),"FM1170")</f>
        <v>FM1170</v>
      </c>
      <c r="B1509" s="206">
        <f>IFERROR(__xludf.DUMMYFUNCTION("""COMPUTED_VALUE"""),44762.0)</f>
        <v>44762</v>
      </c>
      <c r="C1509" s="207">
        <f>IFERROR(__xludf.DUMMYFUNCTION("""COMPUTED_VALUE"""),0.3251851851851852)</f>
        <v>0.3251851852</v>
      </c>
      <c r="D1509" s="50"/>
      <c r="E1509" s="58"/>
      <c r="F1509" s="58"/>
      <c r="G1509" s="58" t="str">
        <f>IFERROR(__xludf.DUMMYFUNCTION("""COMPUTED_VALUE"""),"Null")</f>
        <v>Null</v>
      </c>
      <c r="H1509" s="206" t="str">
        <f>IFERROR(__xludf.DUMMYFUNCTION("""COMPUTED_VALUE"""),"Negative")</f>
        <v>Negative</v>
      </c>
      <c r="I1509" s="207"/>
      <c r="J1509" s="50"/>
      <c r="K1509" s="50">
        <f>IFERROR(__xludf.DUMMYFUNCTION("""COMPUTED_VALUE"""),2.0)</f>
        <v>2</v>
      </c>
      <c r="L1509" s="6"/>
      <c r="M1509" s="55"/>
      <c r="N1509" s="55">
        <f>IFERROR(__xludf.DUMMYFUNCTION("""COMPUTED_VALUE"""),1.0)</f>
        <v>1</v>
      </c>
      <c r="O1509" s="55" t="str">
        <f t="shared" si="3"/>
        <v/>
      </c>
      <c r="P1509" s="209"/>
      <c r="Q1509" s="75" t="b">
        <f>VLOOKUP($B1509,'Run Reconcile'!B$2:P1679,15,FALSE)</f>
        <v>1</v>
      </c>
      <c r="R1509" s="211" t="str">
        <f t="array" ref="R1509">IF($Q1509, INDEX('Run Reconcile'!A$2:A1679,MATCH(B1509,'Run Reconcile'!B$2:B1679,0),1),IFERROR(0/0,""))</f>
        <v>RUN-COMB_2022-07-20_RFR-084</v>
      </c>
      <c r="S1509" s="165" t="str">
        <f t="shared" ref="S1509:T1509" si="3017">IF(COUNTIF(W$2:W1679, $A1509) &gt; 0,TRUE,IFERROR(0/0,""))</f>
        <v/>
      </c>
      <c r="T1509" s="165" t="str">
        <f t="shared" si="3017"/>
        <v/>
      </c>
      <c r="U1509" s="147" t="str">
        <f t="array" ref="U1509">IF(ISBLANK($R1509), IF($S1509,VLOOKUP($B1509+1,'RFR Data - preExcl'!$BF$2:$BG1679,2,FALSE),IF($T1509,INDEX('RFR Data - preExcl'!$BF$2:$BG1679,MATCH($B1509,'RFR Data - preExcl'!$BF$2:$BF1679,0)+1,2),VLOOKUP($B1509,'RFR Data - preExcl'!$BF$2:$BG1679,2,FALSE))),IFERROR(0/0,""))</f>
        <v/>
      </c>
      <c r="V1509" s="212" t="str">
        <f t="shared" si="5"/>
        <v>RUN-COMB_2022-07-20_RFR-084</v>
      </c>
      <c r="W1509" s="51"/>
      <c r="X1509" s="51"/>
      <c r="Y1509" s="147" t="str">
        <f t="shared" ref="Y1509:Z1509" si="3018">IF(_xlfn.ISFORMULA(S1509),IFERROR(0/0,""),TRUE)</f>
        <v/>
      </c>
      <c r="Z1509" s="147" t="str">
        <f t="shared" si="3018"/>
        <v/>
      </c>
    </row>
    <row r="1510">
      <c r="A1510" s="6" t="str">
        <f>IFERROR(__xludf.DUMMYFUNCTION("""COMPUTED_VALUE"""),"FM1168")</f>
        <v>FM1168</v>
      </c>
      <c r="B1510" s="206">
        <f>IFERROR(__xludf.DUMMYFUNCTION("""COMPUTED_VALUE"""),44762.0)</f>
        <v>44762</v>
      </c>
      <c r="C1510" s="207">
        <f>IFERROR(__xludf.DUMMYFUNCTION("""COMPUTED_VALUE"""),0.3254861111111111)</f>
        <v>0.3254861111</v>
      </c>
      <c r="D1510" s="50"/>
      <c r="E1510" s="58"/>
      <c r="F1510" s="58"/>
      <c r="G1510" s="58" t="str">
        <f>IFERROR(__xludf.DUMMYFUNCTION("""COMPUTED_VALUE"""),"Null")</f>
        <v>Null</v>
      </c>
      <c r="H1510" s="206" t="str">
        <f>IFERROR(__xludf.DUMMYFUNCTION("""COMPUTED_VALUE"""),"Negative")</f>
        <v>Negative</v>
      </c>
      <c r="I1510" s="207"/>
      <c r="J1510" s="50"/>
      <c r="K1510" s="50">
        <f>IFERROR(__xludf.DUMMYFUNCTION("""COMPUTED_VALUE"""),2.0)</f>
        <v>2</v>
      </c>
      <c r="L1510" s="6"/>
      <c r="M1510" s="55"/>
      <c r="N1510" s="55">
        <f>IFERROR(__xludf.DUMMYFUNCTION("""COMPUTED_VALUE"""),1.0)</f>
        <v>1</v>
      </c>
      <c r="O1510" s="55" t="str">
        <f t="shared" si="3"/>
        <v/>
      </c>
      <c r="P1510" s="209"/>
      <c r="Q1510" s="75" t="b">
        <f>VLOOKUP($B1510,'Run Reconcile'!B$2:P1679,15,FALSE)</f>
        <v>1</v>
      </c>
      <c r="R1510" s="211" t="str">
        <f t="array" ref="R1510">IF($Q1510, INDEX('Run Reconcile'!A$2:A1679,MATCH(B1510,'Run Reconcile'!B$2:B1679,0),1),IFERROR(0/0,""))</f>
        <v>RUN-COMB_2022-07-20_RFR-084</v>
      </c>
      <c r="S1510" s="165" t="str">
        <f t="shared" ref="S1510:T1510" si="3019">IF(COUNTIF(W$2:W1679, $A1510) &gt; 0,TRUE,IFERROR(0/0,""))</f>
        <v/>
      </c>
      <c r="T1510" s="165" t="str">
        <f t="shared" si="3019"/>
        <v/>
      </c>
      <c r="U1510" s="147" t="str">
        <f t="array" ref="U1510">IF(ISBLANK($R1510), IF($S1510,VLOOKUP($B1510+1,'RFR Data - preExcl'!$BF$2:$BG1679,2,FALSE),IF($T1510,INDEX('RFR Data - preExcl'!$BF$2:$BG1679,MATCH($B1510,'RFR Data - preExcl'!$BF$2:$BF1679,0)+1,2),VLOOKUP($B1510,'RFR Data - preExcl'!$BF$2:$BG1679,2,FALSE))),IFERROR(0/0,""))</f>
        <v/>
      </c>
      <c r="V1510" s="212" t="str">
        <f t="shared" si="5"/>
        <v>RUN-COMB_2022-07-20_RFR-084</v>
      </c>
      <c r="W1510" s="51"/>
      <c r="X1510" s="51"/>
      <c r="Y1510" s="147" t="str">
        <f t="shared" ref="Y1510:Z1510" si="3020">IF(_xlfn.ISFORMULA(S1510),IFERROR(0/0,""),TRUE)</f>
        <v/>
      </c>
      <c r="Z1510" s="147" t="str">
        <f t="shared" si="3020"/>
        <v/>
      </c>
    </row>
    <row r="1511">
      <c r="A1511" s="6" t="str">
        <f>IFERROR(__xludf.DUMMYFUNCTION("""COMPUTED_VALUE"""),"FM1160")</f>
        <v>FM1160</v>
      </c>
      <c r="B1511" s="206">
        <f>IFERROR(__xludf.DUMMYFUNCTION("""COMPUTED_VALUE"""),44762.0)</f>
        <v>44762</v>
      </c>
      <c r="C1511" s="207">
        <f>IFERROR(__xludf.DUMMYFUNCTION("""COMPUTED_VALUE"""),0.3258333333333333)</f>
        <v>0.3258333333</v>
      </c>
      <c r="D1511" s="50"/>
      <c r="E1511" s="58"/>
      <c r="F1511" s="58"/>
      <c r="G1511" s="58" t="str">
        <f>IFERROR(__xludf.DUMMYFUNCTION("""COMPUTED_VALUE"""),"Null")</f>
        <v>Null</v>
      </c>
      <c r="H1511" s="206" t="str">
        <f>IFERROR(__xludf.DUMMYFUNCTION("""COMPUTED_VALUE"""),"Negative")</f>
        <v>Negative</v>
      </c>
      <c r="I1511" s="207"/>
      <c r="J1511" s="50"/>
      <c r="K1511" s="50">
        <f>IFERROR(__xludf.DUMMYFUNCTION("""COMPUTED_VALUE"""),2.0)</f>
        <v>2</v>
      </c>
      <c r="L1511" s="6"/>
      <c r="M1511" s="55"/>
      <c r="N1511" s="55">
        <f>IFERROR(__xludf.DUMMYFUNCTION("""COMPUTED_VALUE"""),1.0)</f>
        <v>1</v>
      </c>
      <c r="O1511" s="55" t="str">
        <f t="shared" si="3"/>
        <v/>
      </c>
      <c r="P1511" s="209"/>
      <c r="Q1511" s="75" t="b">
        <f>VLOOKUP($B1511,'Run Reconcile'!B$2:P1679,15,FALSE)</f>
        <v>1</v>
      </c>
      <c r="R1511" s="211" t="str">
        <f t="array" ref="R1511">IF($Q1511, INDEX('Run Reconcile'!A$2:A1679,MATCH(B1511,'Run Reconcile'!B$2:B1679,0),1),IFERROR(0/0,""))</f>
        <v>RUN-COMB_2022-07-20_RFR-084</v>
      </c>
      <c r="S1511" s="165" t="str">
        <f t="shared" ref="S1511:T1511" si="3021">IF(COUNTIF(W$2:W1679, $A1511) &gt; 0,TRUE,IFERROR(0/0,""))</f>
        <v/>
      </c>
      <c r="T1511" s="165" t="str">
        <f t="shared" si="3021"/>
        <v/>
      </c>
      <c r="U1511" s="147" t="str">
        <f t="array" ref="U1511">IF(ISBLANK($R1511), IF($S1511,VLOOKUP($B1511+1,'RFR Data - preExcl'!$BF$2:$BG1679,2,FALSE),IF($T1511,INDEX('RFR Data - preExcl'!$BF$2:$BG1679,MATCH($B1511,'RFR Data - preExcl'!$BF$2:$BF1679,0)+1,2),VLOOKUP($B1511,'RFR Data - preExcl'!$BF$2:$BG1679,2,FALSE))),IFERROR(0/0,""))</f>
        <v/>
      </c>
      <c r="V1511" s="212" t="str">
        <f t="shared" si="5"/>
        <v>RUN-COMB_2022-07-20_RFR-084</v>
      </c>
      <c r="W1511" s="51"/>
      <c r="X1511" s="51"/>
      <c r="Y1511" s="147" t="str">
        <f t="shared" ref="Y1511:Z1511" si="3022">IF(_xlfn.ISFORMULA(S1511),IFERROR(0/0,""),TRUE)</f>
        <v/>
      </c>
      <c r="Z1511" s="147" t="str">
        <f t="shared" si="3022"/>
        <v/>
      </c>
    </row>
    <row r="1512">
      <c r="A1512" s="6" t="str">
        <f>IFERROR(__xludf.DUMMYFUNCTION("""COMPUTED_VALUE"""),"FM1161")</f>
        <v>FM1161</v>
      </c>
      <c r="B1512" s="206">
        <f>IFERROR(__xludf.DUMMYFUNCTION("""COMPUTED_VALUE"""),44762.0)</f>
        <v>44762</v>
      </c>
      <c r="C1512" s="207">
        <f>IFERROR(__xludf.DUMMYFUNCTION("""COMPUTED_VALUE"""),0.3261689814814815)</f>
        <v>0.3261689815</v>
      </c>
      <c r="D1512" s="50"/>
      <c r="E1512" s="58"/>
      <c r="F1512" s="58"/>
      <c r="G1512" s="58" t="str">
        <f>IFERROR(__xludf.DUMMYFUNCTION("""COMPUTED_VALUE"""),"Null")</f>
        <v>Null</v>
      </c>
      <c r="H1512" s="206" t="str">
        <f>IFERROR(__xludf.DUMMYFUNCTION("""COMPUTED_VALUE"""),"Negative")</f>
        <v>Negative</v>
      </c>
      <c r="I1512" s="207"/>
      <c r="J1512" s="50"/>
      <c r="K1512" s="50">
        <f>IFERROR(__xludf.DUMMYFUNCTION("""COMPUTED_VALUE"""),2.0)</f>
        <v>2</v>
      </c>
      <c r="L1512" s="6"/>
      <c r="M1512" s="55"/>
      <c r="N1512" s="55">
        <f>IFERROR(__xludf.DUMMYFUNCTION("""COMPUTED_VALUE"""),1.0)</f>
        <v>1</v>
      </c>
      <c r="O1512" s="55" t="str">
        <f t="shared" si="3"/>
        <v/>
      </c>
      <c r="P1512" s="209"/>
      <c r="Q1512" s="75" t="b">
        <f>VLOOKUP($B1512,'Run Reconcile'!B$2:P1679,15,FALSE)</f>
        <v>1</v>
      </c>
      <c r="R1512" s="211" t="str">
        <f t="array" ref="R1512">IF($Q1512, INDEX('Run Reconcile'!A$2:A1679,MATCH(B1512,'Run Reconcile'!B$2:B1679,0),1),IFERROR(0/0,""))</f>
        <v>RUN-COMB_2022-07-20_RFR-084</v>
      </c>
      <c r="S1512" s="165" t="str">
        <f t="shared" ref="S1512:T1512" si="3023">IF(COUNTIF(W$2:W1679, $A1512) &gt; 0,TRUE,IFERROR(0/0,""))</f>
        <v/>
      </c>
      <c r="T1512" s="165" t="str">
        <f t="shared" si="3023"/>
        <v/>
      </c>
      <c r="U1512" s="147" t="str">
        <f t="array" ref="U1512">IF(ISBLANK($R1512), IF($S1512,VLOOKUP($B1512+1,'RFR Data - preExcl'!$BF$2:$BG1679,2,FALSE),IF($T1512,INDEX('RFR Data - preExcl'!$BF$2:$BG1679,MATCH($B1512,'RFR Data - preExcl'!$BF$2:$BF1679,0)+1,2),VLOOKUP($B1512,'RFR Data - preExcl'!$BF$2:$BG1679,2,FALSE))),IFERROR(0/0,""))</f>
        <v/>
      </c>
      <c r="V1512" s="212" t="str">
        <f t="shared" si="5"/>
        <v>RUN-COMB_2022-07-20_RFR-084</v>
      </c>
      <c r="W1512" s="51"/>
      <c r="X1512" s="51"/>
      <c r="Y1512" s="147" t="str">
        <f t="shared" ref="Y1512:Z1512" si="3024">IF(_xlfn.ISFORMULA(S1512),IFERROR(0/0,""),TRUE)</f>
        <v/>
      </c>
      <c r="Z1512" s="147" t="str">
        <f t="shared" si="3024"/>
        <v/>
      </c>
    </row>
    <row r="1513">
      <c r="A1513" s="6" t="str">
        <f>IFERROR(__xludf.DUMMYFUNCTION("""COMPUTED_VALUE"""),"FM1174")</f>
        <v>FM1174</v>
      </c>
      <c r="B1513" s="206">
        <f>IFERROR(__xludf.DUMMYFUNCTION("""COMPUTED_VALUE"""),44762.0)</f>
        <v>44762</v>
      </c>
      <c r="C1513" s="207">
        <f>IFERROR(__xludf.DUMMYFUNCTION("""COMPUTED_VALUE"""),0.32644675925925926)</f>
        <v>0.3264467593</v>
      </c>
      <c r="D1513" s="50"/>
      <c r="E1513" s="58"/>
      <c r="F1513" s="58"/>
      <c r="G1513" s="58" t="str">
        <f>IFERROR(__xludf.DUMMYFUNCTION("""COMPUTED_VALUE"""),"Null")</f>
        <v>Null</v>
      </c>
      <c r="H1513" s="206" t="str">
        <f>IFERROR(__xludf.DUMMYFUNCTION("""COMPUTED_VALUE"""),"Negative")</f>
        <v>Negative</v>
      </c>
      <c r="I1513" s="207"/>
      <c r="J1513" s="50"/>
      <c r="K1513" s="50">
        <f>IFERROR(__xludf.DUMMYFUNCTION("""COMPUTED_VALUE"""),2.0)</f>
        <v>2</v>
      </c>
      <c r="L1513" s="6"/>
      <c r="M1513" s="55"/>
      <c r="N1513" s="55">
        <f>IFERROR(__xludf.DUMMYFUNCTION("""COMPUTED_VALUE"""),1.0)</f>
        <v>1</v>
      </c>
      <c r="O1513" s="55" t="str">
        <f t="shared" si="3"/>
        <v/>
      </c>
      <c r="P1513" s="209"/>
      <c r="Q1513" s="75" t="b">
        <f>VLOOKUP($B1513,'Run Reconcile'!B$2:P1679,15,FALSE)</f>
        <v>1</v>
      </c>
      <c r="R1513" s="211" t="str">
        <f t="array" ref="R1513">IF($Q1513, INDEX('Run Reconcile'!A$2:A1679,MATCH(B1513,'Run Reconcile'!B$2:B1679,0),1),IFERROR(0/0,""))</f>
        <v>RUN-COMB_2022-07-20_RFR-084</v>
      </c>
      <c r="S1513" s="165" t="str">
        <f t="shared" ref="S1513:T1513" si="3025">IF(COUNTIF(W$2:W1679, $A1513) &gt; 0,TRUE,IFERROR(0/0,""))</f>
        <v/>
      </c>
      <c r="T1513" s="165" t="str">
        <f t="shared" si="3025"/>
        <v/>
      </c>
      <c r="U1513" s="147" t="str">
        <f t="array" ref="U1513">IF(ISBLANK($R1513), IF($S1513,VLOOKUP($B1513+1,'RFR Data - preExcl'!$BF$2:$BG1679,2,FALSE),IF($T1513,INDEX('RFR Data - preExcl'!$BF$2:$BG1679,MATCH($B1513,'RFR Data - preExcl'!$BF$2:$BF1679,0)+1,2),VLOOKUP($B1513,'RFR Data - preExcl'!$BF$2:$BG1679,2,FALSE))),IFERROR(0/0,""))</f>
        <v/>
      </c>
      <c r="V1513" s="212" t="str">
        <f t="shared" si="5"/>
        <v>RUN-COMB_2022-07-20_RFR-084</v>
      </c>
      <c r="W1513" s="51"/>
      <c r="X1513" s="51"/>
      <c r="Y1513" s="147" t="str">
        <f t="shared" ref="Y1513:Z1513" si="3026">IF(_xlfn.ISFORMULA(S1513),IFERROR(0/0,""),TRUE)</f>
        <v/>
      </c>
      <c r="Z1513" s="147" t="str">
        <f t="shared" si="3026"/>
        <v/>
      </c>
    </row>
    <row r="1514">
      <c r="A1514" s="6" t="str">
        <f>IFERROR(__xludf.DUMMYFUNCTION("""COMPUTED_VALUE"""),"FM1752")</f>
        <v>FM1752</v>
      </c>
      <c r="B1514" s="206">
        <f>IFERROR(__xludf.DUMMYFUNCTION("""COMPUTED_VALUE"""),44762.0)</f>
        <v>44762</v>
      </c>
      <c r="C1514" s="207">
        <f>IFERROR(__xludf.DUMMYFUNCTION("""COMPUTED_VALUE"""),0.32675925925925925)</f>
        <v>0.3267592593</v>
      </c>
      <c r="D1514" s="50"/>
      <c r="E1514" s="58"/>
      <c r="F1514" s="58"/>
      <c r="G1514" s="58" t="str">
        <f>IFERROR(__xludf.DUMMYFUNCTION("""COMPUTED_VALUE"""),"Null")</f>
        <v>Null</v>
      </c>
      <c r="H1514" s="206" t="str">
        <f>IFERROR(__xludf.DUMMYFUNCTION("""COMPUTED_VALUE"""),"Negative")</f>
        <v>Negative</v>
      </c>
      <c r="I1514" s="207"/>
      <c r="J1514" s="50"/>
      <c r="K1514" s="50">
        <f>IFERROR(__xludf.DUMMYFUNCTION("""COMPUTED_VALUE"""),2.0)</f>
        <v>2</v>
      </c>
      <c r="L1514" s="6"/>
      <c r="M1514" s="55"/>
      <c r="N1514" s="55">
        <f>IFERROR(__xludf.DUMMYFUNCTION("""COMPUTED_VALUE"""),1.0)</f>
        <v>1</v>
      </c>
      <c r="O1514" s="55" t="str">
        <f t="shared" si="3"/>
        <v/>
      </c>
      <c r="P1514" s="209"/>
      <c r="Q1514" s="75" t="b">
        <f>VLOOKUP($B1514,'Run Reconcile'!B$2:P1679,15,FALSE)</f>
        <v>1</v>
      </c>
      <c r="R1514" s="211" t="str">
        <f t="array" ref="R1514">IF($Q1514, INDEX('Run Reconcile'!A$2:A1679,MATCH(B1514,'Run Reconcile'!B$2:B1679,0),1),IFERROR(0/0,""))</f>
        <v>RUN-COMB_2022-07-20_RFR-084</v>
      </c>
      <c r="S1514" s="165" t="str">
        <f t="shared" ref="S1514:T1514" si="3027">IF(COUNTIF(W$2:W1679, $A1514) &gt; 0,TRUE,IFERROR(0/0,""))</f>
        <v/>
      </c>
      <c r="T1514" s="165" t="str">
        <f t="shared" si="3027"/>
        <v/>
      </c>
      <c r="U1514" s="147" t="str">
        <f t="array" ref="U1514">IF(ISBLANK($R1514), IF($S1514,VLOOKUP($B1514+1,'RFR Data - preExcl'!$BF$2:$BG1679,2,FALSE),IF($T1514,INDEX('RFR Data - preExcl'!$BF$2:$BG1679,MATCH($B1514,'RFR Data - preExcl'!$BF$2:$BF1679,0)+1,2),VLOOKUP($B1514,'RFR Data - preExcl'!$BF$2:$BG1679,2,FALSE))),IFERROR(0/0,""))</f>
        <v/>
      </c>
      <c r="V1514" s="212" t="str">
        <f t="shared" si="5"/>
        <v>RUN-COMB_2022-07-20_RFR-084</v>
      </c>
      <c r="W1514" s="51"/>
      <c r="X1514" s="51"/>
      <c r="Y1514" s="147" t="str">
        <f t="shared" ref="Y1514:Z1514" si="3028">IF(_xlfn.ISFORMULA(S1514),IFERROR(0/0,""),TRUE)</f>
        <v/>
      </c>
      <c r="Z1514" s="147" t="str">
        <f t="shared" si="3028"/>
        <v/>
      </c>
    </row>
    <row r="1515">
      <c r="A1515" s="6" t="str">
        <f>IFERROR(__xludf.DUMMYFUNCTION("""COMPUTED_VALUE"""),"FM1165")</f>
        <v>FM1165</v>
      </c>
      <c r="B1515" s="206">
        <f>IFERROR(__xludf.DUMMYFUNCTION("""COMPUTED_VALUE"""),44762.0)</f>
        <v>44762</v>
      </c>
      <c r="C1515" s="207">
        <f>IFERROR(__xludf.DUMMYFUNCTION("""COMPUTED_VALUE"""),0.32710648148148147)</f>
        <v>0.3271064815</v>
      </c>
      <c r="D1515" s="50"/>
      <c r="E1515" s="58"/>
      <c r="F1515" s="58"/>
      <c r="G1515" s="58" t="str">
        <f>IFERROR(__xludf.DUMMYFUNCTION("""COMPUTED_VALUE"""),"Null")</f>
        <v>Null</v>
      </c>
      <c r="H1515" s="206" t="str">
        <f>IFERROR(__xludf.DUMMYFUNCTION("""COMPUTED_VALUE"""),"Negative")</f>
        <v>Negative</v>
      </c>
      <c r="I1515" s="207"/>
      <c r="J1515" s="50"/>
      <c r="K1515" s="50">
        <f>IFERROR(__xludf.DUMMYFUNCTION("""COMPUTED_VALUE"""),2.0)</f>
        <v>2</v>
      </c>
      <c r="L1515" s="6"/>
      <c r="M1515" s="55"/>
      <c r="N1515" s="55">
        <f>IFERROR(__xludf.DUMMYFUNCTION("""COMPUTED_VALUE"""),1.0)</f>
        <v>1</v>
      </c>
      <c r="O1515" s="55" t="str">
        <f t="shared" si="3"/>
        <v/>
      </c>
      <c r="P1515" s="209"/>
      <c r="Q1515" s="75" t="b">
        <f>VLOOKUP($B1515,'Run Reconcile'!B$2:P1679,15,FALSE)</f>
        <v>1</v>
      </c>
      <c r="R1515" s="211" t="str">
        <f t="array" ref="R1515">IF($Q1515, INDEX('Run Reconcile'!A$2:A1679,MATCH(B1515,'Run Reconcile'!B$2:B1679,0),1),IFERROR(0/0,""))</f>
        <v>RUN-COMB_2022-07-20_RFR-084</v>
      </c>
      <c r="S1515" s="165" t="str">
        <f t="shared" ref="S1515:T1515" si="3029">IF(COUNTIF(W$2:W1679, $A1515) &gt; 0,TRUE,IFERROR(0/0,""))</f>
        <v/>
      </c>
      <c r="T1515" s="165" t="str">
        <f t="shared" si="3029"/>
        <v/>
      </c>
      <c r="U1515" s="147" t="str">
        <f t="array" ref="U1515">IF(ISBLANK($R1515), IF($S1515,VLOOKUP($B1515+1,'RFR Data - preExcl'!$BF$2:$BG1679,2,FALSE),IF($T1515,INDEX('RFR Data - preExcl'!$BF$2:$BG1679,MATCH($B1515,'RFR Data - preExcl'!$BF$2:$BF1679,0)+1,2),VLOOKUP($B1515,'RFR Data - preExcl'!$BF$2:$BG1679,2,FALSE))),IFERROR(0/0,""))</f>
        <v/>
      </c>
      <c r="V1515" s="212" t="str">
        <f t="shared" si="5"/>
        <v>RUN-COMB_2022-07-20_RFR-084</v>
      </c>
      <c r="W1515" s="51"/>
      <c r="X1515" s="51"/>
      <c r="Y1515" s="147" t="str">
        <f t="shared" ref="Y1515:Z1515" si="3030">IF(_xlfn.ISFORMULA(S1515),IFERROR(0/0,""),TRUE)</f>
        <v/>
      </c>
      <c r="Z1515" s="147" t="str">
        <f t="shared" si="3030"/>
        <v/>
      </c>
    </row>
    <row r="1516">
      <c r="A1516" s="6" t="str">
        <f>IFERROR(__xludf.DUMMYFUNCTION("""COMPUTED_VALUE"""),"FM1775")</f>
        <v>FM1775</v>
      </c>
      <c r="B1516" s="206">
        <f>IFERROR(__xludf.DUMMYFUNCTION("""COMPUTED_VALUE"""),44762.0)</f>
        <v>44762</v>
      </c>
      <c r="C1516" s="207">
        <f>IFERROR(__xludf.DUMMYFUNCTION("""COMPUTED_VALUE"""),0.32743055555555556)</f>
        <v>0.3274305556</v>
      </c>
      <c r="D1516" s="50"/>
      <c r="E1516" s="58"/>
      <c r="F1516" s="58"/>
      <c r="G1516" s="58" t="str">
        <f>IFERROR(__xludf.DUMMYFUNCTION("""COMPUTED_VALUE"""),"Null")</f>
        <v>Null</v>
      </c>
      <c r="H1516" s="206" t="str">
        <f>IFERROR(__xludf.DUMMYFUNCTION("""COMPUTED_VALUE"""),"Negative")</f>
        <v>Negative</v>
      </c>
      <c r="I1516" s="207"/>
      <c r="J1516" s="50"/>
      <c r="K1516" s="50">
        <f>IFERROR(__xludf.DUMMYFUNCTION("""COMPUTED_VALUE"""),2.0)</f>
        <v>2</v>
      </c>
      <c r="L1516" s="6"/>
      <c r="M1516" s="55"/>
      <c r="N1516" s="55">
        <f>IFERROR(__xludf.DUMMYFUNCTION("""COMPUTED_VALUE"""),1.0)</f>
        <v>1</v>
      </c>
      <c r="O1516" s="55" t="str">
        <f t="shared" si="3"/>
        <v/>
      </c>
      <c r="P1516" s="209"/>
      <c r="Q1516" s="75" t="b">
        <f>VLOOKUP($B1516,'Run Reconcile'!B$2:P1679,15,FALSE)</f>
        <v>1</v>
      </c>
      <c r="R1516" s="211" t="str">
        <f t="array" ref="R1516">IF($Q1516, INDEX('Run Reconcile'!A$2:A1679,MATCH(B1516,'Run Reconcile'!B$2:B1679,0),1),IFERROR(0/0,""))</f>
        <v>RUN-COMB_2022-07-20_RFR-084</v>
      </c>
      <c r="S1516" s="165" t="str">
        <f t="shared" ref="S1516:T1516" si="3031">IF(COUNTIF(W$2:W1679, $A1516) &gt; 0,TRUE,IFERROR(0/0,""))</f>
        <v/>
      </c>
      <c r="T1516" s="165" t="str">
        <f t="shared" si="3031"/>
        <v/>
      </c>
      <c r="U1516" s="147" t="str">
        <f t="array" ref="U1516">IF(ISBLANK($R1516), IF($S1516,VLOOKUP($B1516+1,'RFR Data - preExcl'!$BF$2:$BG1679,2,FALSE),IF($T1516,INDEX('RFR Data - preExcl'!$BF$2:$BG1679,MATCH($B1516,'RFR Data - preExcl'!$BF$2:$BF1679,0)+1,2),VLOOKUP($B1516,'RFR Data - preExcl'!$BF$2:$BG1679,2,FALSE))),IFERROR(0/0,""))</f>
        <v/>
      </c>
      <c r="V1516" s="212" t="str">
        <f t="shared" si="5"/>
        <v>RUN-COMB_2022-07-20_RFR-084</v>
      </c>
      <c r="W1516" s="51"/>
      <c r="X1516" s="51"/>
      <c r="Y1516" s="147" t="str">
        <f t="shared" ref="Y1516:Z1516" si="3032">IF(_xlfn.ISFORMULA(S1516),IFERROR(0/0,""),TRUE)</f>
        <v/>
      </c>
      <c r="Z1516" s="147" t="str">
        <f t="shared" si="3032"/>
        <v/>
      </c>
    </row>
    <row r="1517">
      <c r="A1517" s="6" t="str">
        <f>IFERROR(__xludf.DUMMYFUNCTION("""COMPUTED_VALUE"""),"FM1800")</f>
        <v>FM1800</v>
      </c>
      <c r="B1517" s="206">
        <f>IFERROR(__xludf.DUMMYFUNCTION("""COMPUTED_VALUE"""),44762.0)</f>
        <v>44762</v>
      </c>
      <c r="C1517" s="207">
        <f>IFERROR(__xludf.DUMMYFUNCTION("""COMPUTED_VALUE"""),0.3278240740740741)</f>
        <v>0.3278240741</v>
      </c>
      <c r="D1517" s="50"/>
      <c r="E1517" s="58"/>
      <c r="F1517" s="58"/>
      <c r="G1517" s="58" t="str">
        <f>IFERROR(__xludf.DUMMYFUNCTION("""COMPUTED_VALUE"""),"Null")</f>
        <v>Null</v>
      </c>
      <c r="H1517" s="206" t="str">
        <f>IFERROR(__xludf.DUMMYFUNCTION("""COMPUTED_VALUE"""),"Negative")</f>
        <v>Negative</v>
      </c>
      <c r="I1517" s="207"/>
      <c r="J1517" s="50"/>
      <c r="K1517" s="50">
        <f>IFERROR(__xludf.DUMMYFUNCTION("""COMPUTED_VALUE"""),2.0)</f>
        <v>2</v>
      </c>
      <c r="L1517" s="6"/>
      <c r="M1517" s="55"/>
      <c r="N1517" s="55">
        <f>IFERROR(__xludf.DUMMYFUNCTION("""COMPUTED_VALUE"""),1.0)</f>
        <v>1</v>
      </c>
      <c r="O1517" s="55" t="str">
        <f t="shared" si="3"/>
        <v/>
      </c>
      <c r="P1517" s="209"/>
      <c r="Q1517" s="75" t="b">
        <f>VLOOKUP($B1517,'Run Reconcile'!B$2:P1679,15,FALSE)</f>
        <v>1</v>
      </c>
      <c r="R1517" s="211" t="str">
        <f t="array" ref="R1517">IF($Q1517, INDEX('Run Reconcile'!A$2:A1679,MATCH(B1517,'Run Reconcile'!B$2:B1679,0),1),IFERROR(0/0,""))</f>
        <v>RUN-COMB_2022-07-20_RFR-084</v>
      </c>
      <c r="S1517" s="165" t="str">
        <f t="shared" ref="S1517:T1517" si="3033">IF(COUNTIF(W$2:W1679, $A1517) &gt; 0,TRUE,IFERROR(0/0,""))</f>
        <v/>
      </c>
      <c r="T1517" s="165" t="str">
        <f t="shared" si="3033"/>
        <v/>
      </c>
      <c r="U1517" s="147" t="str">
        <f t="array" ref="U1517">IF(ISBLANK($R1517), IF($S1517,VLOOKUP($B1517+1,'RFR Data - preExcl'!$BF$2:$BG1679,2,FALSE),IF($T1517,INDEX('RFR Data - preExcl'!$BF$2:$BG1679,MATCH($B1517,'RFR Data - preExcl'!$BF$2:$BF1679,0)+1,2),VLOOKUP($B1517,'RFR Data - preExcl'!$BF$2:$BG1679,2,FALSE))),IFERROR(0/0,""))</f>
        <v/>
      </c>
      <c r="V1517" s="212" t="str">
        <f t="shared" si="5"/>
        <v>RUN-COMB_2022-07-20_RFR-084</v>
      </c>
      <c r="W1517" s="51"/>
      <c r="X1517" s="51"/>
      <c r="Y1517" s="147" t="str">
        <f t="shared" ref="Y1517:Z1517" si="3034">IF(_xlfn.ISFORMULA(S1517),IFERROR(0/0,""),TRUE)</f>
        <v/>
      </c>
      <c r="Z1517" s="147" t="str">
        <f t="shared" si="3034"/>
        <v/>
      </c>
    </row>
    <row r="1518">
      <c r="A1518" s="6" t="str">
        <f>IFERROR(__xludf.DUMMYFUNCTION("""COMPUTED_VALUE"""),"FM1148")</f>
        <v>FM1148</v>
      </c>
      <c r="B1518" s="206">
        <f>IFERROR(__xludf.DUMMYFUNCTION("""COMPUTED_VALUE"""),44762.0)</f>
        <v>44762</v>
      </c>
      <c r="C1518" s="207">
        <f>IFERROR(__xludf.DUMMYFUNCTION("""COMPUTED_VALUE"""),0.32814814814814813)</f>
        <v>0.3281481481</v>
      </c>
      <c r="D1518" s="50"/>
      <c r="E1518" s="58"/>
      <c r="F1518" s="58"/>
      <c r="G1518" s="58" t="str">
        <f>IFERROR(__xludf.DUMMYFUNCTION("""COMPUTED_VALUE"""),"Null")</f>
        <v>Null</v>
      </c>
      <c r="H1518" s="206" t="str">
        <f>IFERROR(__xludf.DUMMYFUNCTION("""COMPUTED_VALUE"""),"Negative")</f>
        <v>Negative</v>
      </c>
      <c r="I1518" s="207"/>
      <c r="J1518" s="50"/>
      <c r="K1518" s="50">
        <f>IFERROR(__xludf.DUMMYFUNCTION("""COMPUTED_VALUE"""),2.0)</f>
        <v>2</v>
      </c>
      <c r="L1518" s="6"/>
      <c r="M1518" s="55"/>
      <c r="N1518" s="55">
        <f>IFERROR(__xludf.DUMMYFUNCTION("""COMPUTED_VALUE"""),1.0)</f>
        <v>1</v>
      </c>
      <c r="O1518" s="55" t="str">
        <f t="shared" si="3"/>
        <v/>
      </c>
      <c r="P1518" s="209"/>
      <c r="Q1518" s="75" t="b">
        <f>VLOOKUP($B1518,'Run Reconcile'!B$2:P1679,15,FALSE)</f>
        <v>1</v>
      </c>
      <c r="R1518" s="211" t="str">
        <f t="array" ref="R1518">IF($Q1518, INDEX('Run Reconcile'!A$2:A1679,MATCH(B1518,'Run Reconcile'!B$2:B1679,0),1),IFERROR(0/0,""))</f>
        <v>RUN-COMB_2022-07-20_RFR-084</v>
      </c>
      <c r="S1518" s="165" t="str">
        <f t="shared" ref="S1518:T1518" si="3035">IF(COUNTIF(W$2:W1679, $A1518) &gt; 0,TRUE,IFERROR(0/0,""))</f>
        <v/>
      </c>
      <c r="T1518" s="165" t="str">
        <f t="shared" si="3035"/>
        <v/>
      </c>
      <c r="U1518" s="147" t="str">
        <f t="array" ref="U1518">IF(ISBLANK($R1518), IF($S1518,VLOOKUP($B1518+1,'RFR Data - preExcl'!$BF$2:$BG1679,2,FALSE),IF($T1518,INDEX('RFR Data - preExcl'!$BF$2:$BG1679,MATCH($B1518,'RFR Data - preExcl'!$BF$2:$BF1679,0)+1,2),VLOOKUP($B1518,'RFR Data - preExcl'!$BF$2:$BG1679,2,FALSE))),IFERROR(0/0,""))</f>
        <v/>
      </c>
      <c r="V1518" s="212" t="str">
        <f t="shared" si="5"/>
        <v>RUN-COMB_2022-07-20_RFR-084</v>
      </c>
      <c r="W1518" s="51"/>
      <c r="X1518" s="51"/>
      <c r="Y1518" s="147" t="str">
        <f t="shared" ref="Y1518:Z1518" si="3036">IF(_xlfn.ISFORMULA(S1518),IFERROR(0/0,""),TRUE)</f>
        <v/>
      </c>
      <c r="Z1518" s="147" t="str">
        <f t="shared" si="3036"/>
        <v/>
      </c>
    </row>
    <row r="1519">
      <c r="A1519" s="6" t="str">
        <f>IFERROR(__xludf.DUMMYFUNCTION("""COMPUTED_VALUE"""),"FM1771")</f>
        <v>FM1771</v>
      </c>
      <c r="B1519" s="206">
        <f>IFERROR(__xludf.DUMMYFUNCTION("""COMPUTED_VALUE"""),44762.0)</f>
        <v>44762</v>
      </c>
      <c r="C1519" s="207">
        <f>IFERROR(__xludf.DUMMYFUNCTION("""COMPUTED_VALUE"""),0.32849537037037035)</f>
        <v>0.3284953704</v>
      </c>
      <c r="D1519" s="50"/>
      <c r="E1519" s="58"/>
      <c r="F1519" s="58"/>
      <c r="G1519" s="58" t="str">
        <f>IFERROR(__xludf.DUMMYFUNCTION("""COMPUTED_VALUE"""),"Null")</f>
        <v>Null</v>
      </c>
      <c r="H1519" s="206" t="str">
        <f>IFERROR(__xludf.DUMMYFUNCTION("""COMPUTED_VALUE"""),"Negative")</f>
        <v>Negative</v>
      </c>
      <c r="I1519" s="207"/>
      <c r="J1519" s="50"/>
      <c r="K1519" s="50">
        <f>IFERROR(__xludf.DUMMYFUNCTION("""COMPUTED_VALUE"""),2.0)</f>
        <v>2</v>
      </c>
      <c r="L1519" s="6"/>
      <c r="M1519" s="55"/>
      <c r="N1519" s="55">
        <f>IFERROR(__xludf.DUMMYFUNCTION("""COMPUTED_VALUE"""),1.0)</f>
        <v>1</v>
      </c>
      <c r="O1519" s="55" t="str">
        <f t="shared" si="3"/>
        <v/>
      </c>
      <c r="P1519" s="209"/>
      <c r="Q1519" s="75" t="b">
        <f>VLOOKUP($B1519,'Run Reconcile'!B$2:P1679,15,FALSE)</f>
        <v>1</v>
      </c>
      <c r="R1519" s="211" t="str">
        <f t="array" ref="R1519">IF($Q1519, INDEX('Run Reconcile'!A$2:A1679,MATCH(B1519,'Run Reconcile'!B$2:B1679,0),1),IFERROR(0/0,""))</f>
        <v>RUN-COMB_2022-07-20_RFR-084</v>
      </c>
      <c r="S1519" s="165" t="str">
        <f t="shared" ref="S1519:T1519" si="3037">IF(COUNTIF(W$2:W1679, $A1519) &gt; 0,TRUE,IFERROR(0/0,""))</f>
        <v/>
      </c>
      <c r="T1519" s="165" t="str">
        <f t="shared" si="3037"/>
        <v/>
      </c>
      <c r="U1519" s="147" t="str">
        <f t="array" ref="U1519">IF(ISBLANK($R1519), IF($S1519,VLOOKUP($B1519+1,'RFR Data - preExcl'!$BF$2:$BG1679,2,FALSE),IF($T1519,INDEX('RFR Data - preExcl'!$BF$2:$BG1679,MATCH($B1519,'RFR Data - preExcl'!$BF$2:$BF1679,0)+1,2),VLOOKUP($B1519,'RFR Data - preExcl'!$BF$2:$BG1679,2,FALSE))),IFERROR(0/0,""))</f>
        <v/>
      </c>
      <c r="V1519" s="212" t="str">
        <f t="shared" si="5"/>
        <v>RUN-COMB_2022-07-20_RFR-084</v>
      </c>
      <c r="W1519" s="51"/>
      <c r="X1519" s="51"/>
      <c r="Y1519" s="147" t="str">
        <f t="shared" ref="Y1519:Z1519" si="3038">IF(_xlfn.ISFORMULA(S1519),IFERROR(0/0,""),TRUE)</f>
        <v/>
      </c>
      <c r="Z1519" s="147" t="str">
        <f t="shared" si="3038"/>
        <v/>
      </c>
    </row>
    <row r="1520">
      <c r="A1520" s="6" t="str">
        <f>IFERROR(__xludf.DUMMYFUNCTION("""COMPUTED_VALUE"""),"FM1175")</f>
        <v>FM1175</v>
      </c>
      <c r="B1520" s="206">
        <f>IFERROR(__xludf.DUMMYFUNCTION("""COMPUTED_VALUE"""),44762.0)</f>
        <v>44762</v>
      </c>
      <c r="C1520" s="207">
        <f>IFERROR(__xludf.DUMMYFUNCTION("""COMPUTED_VALUE"""),0.32883101851851854)</f>
        <v>0.3288310185</v>
      </c>
      <c r="D1520" s="50"/>
      <c r="E1520" s="58"/>
      <c r="F1520" s="58"/>
      <c r="G1520" s="58" t="str">
        <f>IFERROR(__xludf.DUMMYFUNCTION("""COMPUTED_VALUE"""),"Null")</f>
        <v>Null</v>
      </c>
      <c r="H1520" s="206" t="str">
        <f>IFERROR(__xludf.DUMMYFUNCTION("""COMPUTED_VALUE"""),"Negative")</f>
        <v>Negative</v>
      </c>
      <c r="I1520" s="207"/>
      <c r="J1520" s="50"/>
      <c r="K1520" s="50">
        <f>IFERROR(__xludf.DUMMYFUNCTION("""COMPUTED_VALUE"""),2.0)</f>
        <v>2</v>
      </c>
      <c r="L1520" s="6"/>
      <c r="M1520" s="55"/>
      <c r="N1520" s="55">
        <f>IFERROR(__xludf.DUMMYFUNCTION("""COMPUTED_VALUE"""),1.0)</f>
        <v>1</v>
      </c>
      <c r="O1520" s="55" t="str">
        <f t="shared" si="3"/>
        <v/>
      </c>
      <c r="P1520" s="209"/>
      <c r="Q1520" s="75" t="b">
        <f>VLOOKUP($B1520,'Run Reconcile'!B$2:P1679,15,FALSE)</f>
        <v>1</v>
      </c>
      <c r="R1520" s="211" t="str">
        <f t="array" ref="R1520">IF($Q1520, INDEX('Run Reconcile'!A$2:A1679,MATCH(B1520,'Run Reconcile'!B$2:B1679,0),1),IFERROR(0/0,""))</f>
        <v>RUN-COMB_2022-07-20_RFR-084</v>
      </c>
      <c r="S1520" s="165" t="str">
        <f t="shared" ref="S1520:T1520" si="3039">IF(COUNTIF(W$2:W1679, $A1520) &gt; 0,TRUE,IFERROR(0/0,""))</f>
        <v/>
      </c>
      <c r="T1520" s="165" t="str">
        <f t="shared" si="3039"/>
        <v/>
      </c>
      <c r="U1520" s="147" t="str">
        <f t="array" ref="U1520">IF(ISBLANK($R1520), IF($S1520,VLOOKUP($B1520+1,'RFR Data - preExcl'!$BF$2:$BG1679,2,FALSE),IF($T1520,INDEX('RFR Data - preExcl'!$BF$2:$BG1679,MATCH($B1520,'RFR Data - preExcl'!$BF$2:$BF1679,0)+1,2),VLOOKUP($B1520,'RFR Data - preExcl'!$BF$2:$BG1679,2,FALSE))),IFERROR(0/0,""))</f>
        <v/>
      </c>
      <c r="V1520" s="212" t="str">
        <f t="shared" si="5"/>
        <v>RUN-COMB_2022-07-20_RFR-084</v>
      </c>
      <c r="W1520" s="51"/>
      <c r="X1520" s="51"/>
      <c r="Y1520" s="147" t="str">
        <f t="shared" ref="Y1520:Z1520" si="3040">IF(_xlfn.ISFORMULA(S1520),IFERROR(0/0,""),TRUE)</f>
        <v/>
      </c>
      <c r="Z1520" s="147" t="str">
        <f t="shared" si="3040"/>
        <v/>
      </c>
    </row>
    <row r="1521">
      <c r="A1521" s="6" t="str">
        <f>IFERROR(__xludf.DUMMYFUNCTION("""COMPUTED_VALUE"""),"FM1076")</f>
        <v>FM1076</v>
      </c>
      <c r="B1521" s="206">
        <f>IFERROR(__xludf.DUMMYFUNCTION("""COMPUTED_VALUE"""),44764.0)</f>
        <v>44764</v>
      </c>
      <c r="C1521" s="207">
        <f>IFERROR(__xludf.DUMMYFUNCTION("""COMPUTED_VALUE"""),0.3677199074074074)</f>
        <v>0.3677199074</v>
      </c>
      <c r="D1521" s="50"/>
      <c r="E1521" s="58"/>
      <c r="F1521" s="58"/>
      <c r="G1521" s="58" t="str">
        <f>IFERROR(__xludf.DUMMYFUNCTION("""COMPUTED_VALUE"""),"Null")</f>
        <v>Null</v>
      </c>
      <c r="H1521" s="206" t="str">
        <f>IFERROR(__xludf.DUMMYFUNCTION("""COMPUTED_VALUE"""),"Negative")</f>
        <v>Negative</v>
      </c>
      <c r="I1521" s="207"/>
      <c r="J1521" s="50"/>
      <c r="K1521" s="50">
        <f>IFERROR(__xludf.DUMMYFUNCTION("""COMPUTED_VALUE"""),2.0)</f>
        <v>2</v>
      </c>
      <c r="L1521" s="6"/>
      <c r="M1521" s="55"/>
      <c r="N1521" s="55">
        <f>IFERROR(__xludf.DUMMYFUNCTION("""COMPUTED_VALUE"""),1.0)</f>
        <v>1</v>
      </c>
      <c r="O1521" s="55" t="b">
        <f t="shared" si="3"/>
        <v>1</v>
      </c>
      <c r="P1521" s="209"/>
      <c r="Q1521" s="75" t="b">
        <f>VLOOKUP($B1521,'Run Reconcile'!B$2:P1679,15,FALSE)</f>
        <v>1</v>
      </c>
      <c r="R1521" s="211" t="str">
        <f t="array" ref="R1521">IF($Q1521, INDEX('Run Reconcile'!A$2:A1679,MATCH(B1521,'Run Reconcile'!B$2:B1679,0),1),IFERROR(0/0,""))</f>
        <v>RUN-COMB_2022-07-22_RFR-085</v>
      </c>
      <c r="S1521" s="165" t="str">
        <f t="shared" ref="S1521:T1521" si="3041">IF(COUNTIF(W$2:W1679, $A1521) &gt; 0,TRUE,IFERROR(0/0,""))</f>
        <v/>
      </c>
      <c r="T1521" s="165" t="str">
        <f t="shared" si="3041"/>
        <v/>
      </c>
      <c r="U1521" s="147" t="str">
        <f t="array" ref="U1521">IF(ISBLANK($R1521), IF($S1521,VLOOKUP($B1521+1,'RFR Data - preExcl'!$BF$2:$BG1679,2,FALSE),IF($T1521,INDEX('RFR Data - preExcl'!$BF$2:$BG1679,MATCH($B1521,'RFR Data - preExcl'!$BF$2:$BF1679,0)+1,2),VLOOKUP($B1521,'RFR Data - preExcl'!$BF$2:$BG1679,2,FALSE))),IFERROR(0/0,""))</f>
        <v/>
      </c>
      <c r="V1521" s="212" t="str">
        <f t="shared" si="5"/>
        <v>RUN-COMB_2022-07-22_RFR-085</v>
      </c>
      <c r="W1521" s="51"/>
      <c r="X1521" s="51"/>
      <c r="Y1521" s="147" t="str">
        <f t="shared" ref="Y1521:Z1521" si="3042">IF(_xlfn.ISFORMULA(S1521),IFERROR(0/0,""),TRUE)</f>
        <v/>
      </c>
      <c r="Z1521" s="147" t="str">
        <f t="shared" si="3042"/>
        <v/>
      </c>
    </row>
    <row r="1522">
      <c r="A1522" s="6" t="str">
        <f>IFERROR(__xludf.DUMMYFUNCTION("""COMPUTED_VALUE"""),"FM1051")</f>
        <v>FM1051</v>
      </c>
      <c r="B1522" s="206">
        <f>IFERROR(__xludf.DUMMYFUNCTION("""COMPUTED_VALUE"""),44764.0)</f>
        <v>44764</v>
      </c>
      <c r="C1522" s="207">
        <f>IFERROR(__xludf.DUMMYFUNCTION("""COMPUTED_VALUE"""),0.36814814814814817)</f>
        <v>0.3681481481</v>
      </c>
      <c r="D1522" s="50"/>
      <c r="E1522" s="58"/>
      <c r="F1522" s="58"/>
      <c r="G1522" s="58" t="str">
        <f>IFERROR(__xludf.DUMMYFUNCTION("""COMPUTED_VALUE"""),"Null")</f>
        <v>Null</v>
      </c>
      <c r="H1522" s="206" t="str">
        <f>IFERROR(__xludf.DUMMYFUNCTION("""COMPUTED_VALUE"""),"Negative")</f>
        <v>Negative</v>
      </c>
      <c r="I1522" s="207"/>
      <c r="J1522" s="50"/>
      <c r="K1522" s="50">
        <f>IFERROR(__xludf.DUMMYFUNCTION("""COMPUTED_VALUE"""),2.0)</f>
        <v>2</v>
      </c>
      <c r="L1522" s="6"/>
      <c r="M1522" s="55"/>
      <c r="N1522" s="55">
        <f>IFERROR(__xludf.DUMMYFUNCTION("""COMPUTED_VALUE"""),1.0)</f>
        <v>1</v>
      </c>
      <c r="O1522" s="55" t="str">
        <f t="shared" si="3"/>
        <v/>
      </c>
      <c r="P1522" s="209"/>
      <c r="Q1522" s="75" t="b">
        <f>VLOOKUP($B1522,'Run Reconcile'!B$2:P1679,15,FALSE)</f>
        <v>1</v>
      </c>
      <c r="R1522" s="211" t="str">
        <f t="array" ref="R1522">IF($Q1522, INDEX('Run Reconcile'!A$2:A1679,MATCH(B1522,'Run Reconcile'!B$2:B1679,0),1),IFERROR(0/0,""))</f>
        <v>RUN-COMB_2022-07-22_RFR-085</v>
      </c>
      <c r="S1522" s="165" t="str">
        <f t="shared" ref="S1522:T1522" si="3043">IF(COUNTIF(W$2:W1679, $A1522) &gt; 0,TRUE,IFERROR(0/0,""))</f>
        <v/>
      </c>
      <c r="T1522" s="165" t="str">
        <f t="shared" si="3043"/>
        <v/>
      </c>
      <c r="U1522" s="147" t="str">
        <f t="array" ref="U1522">IF(ISBLANK($R1522), IF($S1522,VLOOKUP($B1522+1,'RFR Data - preExcl'!$BF$2:$BG1679,2,FALSE),IF($T1522,INDEX('RFR Data - preExcl'!$BF$2:$BG1679,MATCH($B1522,'RFR Data - preExcl'!$BF$2:$BF1679,0)+1,2),VLOOKUP($B1522,'RFR Data - preExcl'!$BF$2:$BG1679,2,FALSE))),IFERROR(0/0,""))</f>
        <v/>
      </c>
      <c r="V1522" s="212" t="str">
        <f t="shared" si="5"/>
        <v>RUN-COMB_2022-07-22_RFR-085</v>
      </c>
      <c r="W1522" s="51"/>
      <c r="X1522" s="51"/>
      <c r="Y1522" s="147" t="str">
        <f t="shared" ref="Y1522:Z1522" si="3044">IF(_xlfn.ISFORMULA(S1522),IFERROR(0/0,""),TRUE)</f>
        <v/>
      </c>
      <c r="Z1522" s="147" t="str">
        <f t="shared" si="3044"/>
        <v/>
      </c>
    </row>
    <row r="1523">
      <c r="A1523" s="6" t="str">
        <f>IFERROR(__xludf.DUMMYFUNCTION("""COMPUTED_VALUE"""),"FM1307")</f>
        <v>FM1307</v>
      </c>
      <c r="B1523" s="206">
        <f>IFERROR(__xludf.DUMMYFUNCTION("""COMPUTED_VALUE"""),44764.0)</f>
        <v>44764</v>
      </c>
      <c r="C1523" s="207">
        <f>IFERROR(__xludf.DUMMYFUNCTION("""COMPUTED_VALUE"""),0.3684953703703704)</f>
        <v>0.3684953704</v>
      </c>
      <c r="D1523" s="50"/>
      <c r="E1523" s="58"/>
      <c r="F1523" s="58"/>
      <c r="G1523" s="58" t="str">
        <f>IFERROR(__xludf.DUMMYFUNCTION("""COMPUTED_VALUE"""),"Null")</f>
        <v>Null</v>
      </c>
      <c r="H1523" s="206" t="str">
        <f>IFERROR(__xludf.DUMMYFUNCTION("""COMPUTED_VALUE"""),"Negative")</f>
        <v>Negative</v>
      </c>
      <c r="I1523" s="207"/>
      <c r="J1523" s="50"/>
      <c r="K1523" s="50">
        <f>IFERROR(__xludf.DUMMYFUNCTION("""COMPUTED_VALUE"""),2.0)</f>
        <v>2</v>
      </c>
      <c r="L1523" s="6"/>
      <c r="M1523" s="55"/>
      <c r="N1523" s="55">
        <f>IFERROR(__xludf.DUMMYFUNCTION("""COMPUTED_VALUE"""),1.0)</f>
        <v>1</v>
      </c>
      <c r="O1523" s="55" t="str">
        <f t="shared" si="3"/>
        <v/>
      </c>
      <c r="P1523" s="209"/>
      <c r="Q1523" s="75" t="b">
        <f>VLOOKUP($B1523,'Run Reconcile'!B$2:P1679,15,FALSE)</f>
        <v>1</v>
      </c>
      <c r="R1523" s="211" t="str">
        <f t="array" ref="R1523">IF($Q1523, INDEX('Run Reconcile'!A$2:A1679,MATCH(B1523,'Run Reconcile'!B$2:B1679,0),1),IFERROR(0/0,""))</f>
        <v>RUN-COMB_2022-07-22_RFR-085</v>
      </c>
      <c r="S1523" s="165" t="str">
        <f t="shared" ref="S1523:T1523" si="3045">IF(COUNTIF(W$2:W1679, $A1523) &gt; 0,TRUE,IFERROR(0/0,""))</f>
        <v/>
      </c>
      <c r="T1523" s="165" t="str">
        <f t="shared" si="3045"/>
        <v/>
      </c>
      <c r="U1523" s="147" t="str">
        <f t="array" ref="U1523">IF(ISBLANK($R1523), IF($S1523,VLOOKUP($B1523+1,'RFR Data - preExcl'!$BF$2:$BG1679,2,FALSE),IF($T1523,INDEX('RFR Data - preExcl'!$BF$2:$BG1679,MATCH($B1523,'RFR Data - preExcl'!$BF$2:$BF1679,0)+1,2),VLOOKUP($B1523,'RFR Data - preExcl'!$BF$2:$BG1679,2,FALSE))),IFERROR(0/0,""))</f>
        <v/>
      </c>
      <c r="V1523" s="212" t="str">
        <f t="shared" si="5"/>
        <v>RUN-COMB_2022-07-22_RFR-085</v>
      </c>
      <c r="W1523" s="51"/>
      <c r="X1523" s="51"/>
      <c r="Y1523" s="147" t="str">
        <f t="shared" ref="Y1523:Z1523" si="3046">IF(_xlfn.ISFORMULA(S1523),IFERROR(0/0,""),TRUE)</f>
        <v/>
      </c>
      <c r="Z1523" s="147" t="str">
        <f t="shared" si="3046"/>
        <v/>
      </c>
    </row>
    <row r="1524">
      <c r="A1524" s="6" t="str">
        <f>IFERROR(__xludf.DUMMYFUNCTION("""COMPUTED_VALUE"""),"FM1068")</f>
        <v>FM1068</v>
      </c>
      <c r="B1524" s="206">
        <f>IFERROR(__xludf.DUMMYFUNCTION("""COMPUTED_VALUE"""),44764.0)</f>
        <v>44764</v>
      </c>
      <c r="C1524" s="207">
        <f>IFERROR(__xludf.DUMMYFUNCTION("""COMPUTED_VALUE"""),0.3688310185185185)</f>
        <v>0.3688310185</v>
      </c>
      <c r="D1524" s="50"/>
      <c r="E1524" s="58"/>
      <c r="F1524" s="58"/>
      <c r="G1524" s="58" t="str">
        <f>IFERROR(__xludf.DUMMYFUNCTION("""COMPUTED_VALUE"""),"Null")</f>
        <v>Null</v>
      </c>
      <c r="H1524" s="206" t="str">
        <f>IFERROR(__xludf.DUMMYFUNCTION("""COMPUTED_VALUE"""),"Negative")</f>
        <v>Negative</v>
      </c>
      <c r="I1524" s="207"/>
      <c r="J1524" s="50"/>
      <c r="K1524" s="50">
        <f>IFERROR(__xludf.DUMMYFUNCTION("""COMPUTED_VALUE"""),2.0)</f>
        <v>2</v>
      </c>
      <c r="L1524" s="6"/>
      <c r="M1524" s="55"/>
      <c r="N1524" s="55">
        <f>IFERROR(__xludf.DUMMYFUNCTION("""COMPUTED_VALUE"""),1.0)</f>
        <v>1</v>
      </c>
      <c r="O1524" s="55" t="str">
        <f t="shared" si="3"/>
        <v/>
      </c>
      <c r="P1524" s="209"/>
      <c r="Q1524" s="75" t="b">
        <f>VLOOKUP($B1524,'Run Reconcile'!B$2:P1679,15,FALSE)</f>
        <v>1</v>
      </c>
      <c r="R1524" s="211" t="str">
        <f t="array" ref="R1524">IF($Q1524, INDEX('Run Reconcile'!A$2:A1679,MATCH(B1524,'Run Reconcile'!B$2:B1679,0),1),IFERROR(0/0,""))</f>
        <v>RUN-COMB_2022-07-22_RFR-085</v>
      </c>
      <c r="S1524" s="165" t="str">
        <f t="shared" ref="S1524:T1524" si="3047">IF(COUNTIF(W$2:W1679, $A1524) &gt; 0,TRUE,IFERROR(0/0,""))</f>
        <v/>
      </c>
      <c r="T1524" s="165" t="str">
        <f t="shared" si="3047"/>
        <v/>
      </c>
      <c r="U1524" s="147" t="str">
        <f t="array" ref="U1524">IF(ISBLANK($R1524), IF($S1524,VLOOKUP($B1524+1,'RFR Data - preExcl'!$BF$2:$BG1679,2,FALSE),IF($T1524,INDEX('RFR Data - preExcl'!$BF$2:$BG1679,MATCH($B1524,'RFR Data - preExcl'!$BF$2:$BF1679,0)+1,2),VLOOKUP($B1524,'RFR Data - preExcl'!$BF$2:$BG1679,2,FALSE))),IFERROR(0/0,""))</f>
        <v/>
      </c>
      <c r="V1524" s="212" t="str">
        <f t="shared" si="5"/>
        <v>RUN-COMB_2022-07-22_RFR-085</v>
      </c>
      <c r="W1524" s="51"/>
      <c r="X1524" s="51"/>
      <c r="Y1524" s="147" t="str">
        <f t="shared" ref="Y1524:Z1524" si="3048">IF(_xlfn.ISFORMULA(S1524),IFERROR(0/0,""),TRUE)</f>
        <v/>
      </c>
      <c r="Z1524" s="147" t="str">
        <f t="shared" si="3048"/>
        <v/>
      </c>
    </row>
    <row r="1525">
      <c r="A1525" s="6" t="str">
        <f>IFERROR(__xludf.DUMMYFUNCTION("""COMPUTED_VALUE"""),"FM1301")</f>
        <v>FM1301</v>
      </c>
      <c r="B1525" s="206">
        <f>IFERROR(__xludf.DUMMYFUNCTION("""COMPUTED_VALUE"""),44764.0)</f>
        <v>44764</v>
      </c>
      <c r="C1525" s="207">
        <f>IFERROR(__xludf.DUMMYFUNCTION("""COMPUTED_VALUE"""),0.36913194444444447)</f>
        <v>0.3691319444</v>
      </c>
      <c r="D1525" s="50"/>
      <c r="E1525" s="58"/>
      <c r="F1525" s="58"/>
      <c r="G1525" s="58" t="str">
        <f>IFERROR(__xludf.DUMMYFUNCTION("""COMPUTED_VALUE"""),"Null")</f>
        <v>Null</v>
      </c>
      <c r="H1525" s="206" t="str">
        <f>IFERROR(__xludf.DUMMYFUNCTION("""COMPUTED_VALUE"""),"Negative")</f>
        <v>Negative</v>
      </c>
      <c r="I1525" s="207"/>
      <c r="J1525" s="50"/>
      <c r="K1525" s="50">
        <f>IFERROR(__xludf.DUMMYFUNCTION("""COMPUTED_VALUE"""),2.0)</f>
        <v>2</v>
      </c>
      <c r="L1525" s="6"/>
      <c r="M1525" s="55"/>
      <c r="N1525" s="55">
        <f>IFERROR(__xludf.DUMMYFUNCTION("""COMPUTED_VALUE"""),1.0)</f>
        <v>1</v>
      </c>
      <c r="O1525" s="55" t="str">
        <f t="shared" si="3"/>
        <v/>
      </c>
      <c r="P1525" s="209"/>
      <c r="Q1525" s="75" t="b">
        <f>VLOOKUP($B1525,'Run Reconcile'!B$2:P1679,15,FALSE)</f>
        <v>1</v>
      </c>
      <c r="R1525" s="211" t="str">
        <f t="array" ref="R1525">IF($Q1525, INDEX('Run Reconcile'!A$2:A1679,MATCH(B1525,'Run Reconcile'!B$2:B1679,0),1),IFERROR(0/0,""))</f>
        <v>RUN-COMB_2022-07-22_RFR-085</v>
      </c>
      <c r="S1525" s="165" t="str">
        <f t="shared" ref="S1525:T1525" si="3049">IF(COUNTIF(W$2:W1679, $A1525) &gt; 0,TRUE,IFERROR(0/0,""))</f>
        <v/>
      </c>
      <c r="T1525" s="165" t="str">
        <f t="shared" si="3049"/>
        <v/>
      </c>
      <c r="U1525" s="147" t="str">
        <f t="array" ref="U1525">IF(ISBLANK($R1525), IF($S1525,VLOOKUP($B1525+1,'RFR Data - preExcl'!$BF$2:$BG1679,2,FALSE),IF($T1525,INDEX('RFR Data - preExcl'!$BF$2:$BG1679,MATCH($B1525,'RFR Data - preExcl'!$BF$2:$BF1679,0)+1,2),VLOOKUP($B1525,'RFR Data - preExcl'!$BF$2:$BG1679,2,FALSE))),IFERROR(0/0,""))</f>
        <v/>
      </c>
      <c r="V1525" s="212" t="str">
        <f t="shared" si="5"/>
        <v>RUN-COMB_2022-07-22_RFR-085</v>
      </c>
      <c r="W1525" s="51"/>
      <c r="X1525" s="51"/>
      <c r="Y1525" s="147" t="str">
        <f t="shared" ref="Y1525:Z1525" si="3050">IF(_xlfn.ISFORMULA(S1525),IFERROR(0/0,""),TRUE)</f>
        <v/>
      </c>
      <c r="Z1525" s="147" t="str">
        <f t="shared" si="3050"/>
        <v/>
      </c>
    </row>
    <row r="1526">
      <c r="A1526" s="6" t="str">
        <f>IFERROR(__xludf.DUMMYFUNCTION("""COMPUTED_VALUE"""),"FM1189")</f>
        <v>FM1189</v>
      </c>
      <c r="B1526" s="206">
        <f>IFERROR(__xludf.DUMMYFUNCTION("""COMPUTED_VALUE"""),44764.0)</f>
        <v>44764</v>
      </c>
      <c r="C1526" s="207">
        <f>IFERROR(__xludf.DUMMYFUNCTION("""COMPUTED_VALUE"""),0.3701157407407407)</f>
        <v>0.3701157407</v>
      </c>
      <c r="D1526" s="50"/>
      <c r="E1526" s="58"/>
      <c r="F1526" s="58"/>
      <c r="G1526" s="58" t="str">
        <f>IFERROR(__xludf.DUMMYFUNCTION("""COMPUTED_VALUE"""),"Null")</f>
        <v>Null</v>
      </c>
      <c r="H1526" s="206" t="str">
        <f>IFERROR(__xludf.DUMMYFUNCTION("""COMPUTED_VALUE"""),"Negative")</f>
        <v>Negative</v>
      </c>
      <c r="I1526" s="207"/>
      <c r="J1526" s="50"/>
      <c r="K1526" s="50">
        <f>IFERROR(__xludf.DUMMYFUNCTION("""COMPUTED_VALUE"""),2.0)</f>
        <v>2</v>
      </c>
      <c r="L1526" s="6"/>
      <c r="M1526" s="55"/>
      <c r="N1526" s="55">
        <f>IFERROR(__xludf.DUMMYFUNCTION("""COMPUTED_VALUE"""),1.0)</f>
        <v>1</v>
      </c>
      <c r="O1526" s="55" t="str">
        <f t="shared" si="3"/>
        <v/>
      </c>
      <c r="P1526" s="209"/>
      <c r="Q1526" s="75" t="b">
        <f>VLOOKUP($B1526,'Run Reconcile'!B$2:P1679,15,FALSE)</f>
        <v>1</v>
      </c>
      <c r="R1526" s="211" t="str">
        <f t="array" ref="R1526">IF($Q1526, INDEX('Run Reconcile'!A$2:A1679,MATCH(B1526,'Run Reconcile'!B$2:B1679,0),1),IFERROR(0/0,""))</f>
        <v>RUN-COMB_2022-07-22_RFR-085</v>
      </c>
      <c r="S1526" s="165" t="str">
        <f t="shared" ref="S1526:T1526" si="3051">IF(COUNTIF(W$2:W1679, $A1526) &gt; 0,TRUE,IFERROR(0/0,""))</f>
        <v/>
      </c>
      <c r="T1526" s="165" t="str">
        <f t="shared" si="3051"/>
        <v/>
      </c>
      <c r="U1526" s="147" t="str">
        <f t="array" ref="U1526">IF(ISBLANK($R1526), IF($S1526,VLOOKUP($B1526+1,'RFR Data - preExcl'!$BF$2:$BG1679,2,FALSE),IF($T1526,INDEX('RFR Data - preExcl'!$BF$2:$BG1679,MATCH($B1526,'RFR Data - preExcl'!$BF$2:$BF1679,0)+1,2),VLOOKUP($B1526,'RFR Data - preExcl'!$BF$2:$BG1679,2,FALSE))),IFERROR(0/0,""))</f>
        <v/>
      </c>
      <c r="V1526" s="212" t="str">
        <f t="shared" si="5"/>
        <v>RUN-COMB_2022-07-22_RFR-085</v>
      </c>
      <c r="W1526" s="51"/>
      <c r="X1526" s="51"/>
      <c r="Y1526" s="147" t="str">
        <f t="shared" ref="Y1526:Z1526" si="3052">IF(_xlfn.ISFORMULA(S1526),IFERROR(0/0,""),TRUE)</f>
        <v/>
      </c>
      <c r="Z1526" s="147" t="str">
        <f t="shared" si="3052"/>
        <v/>
      </c>
    </row>
    <row r="1527">
      <c r="A1527" s="6" t="str">
        <f>IFERROR(__xludf.DUMMYFUNCTION("""COMPUTED_VALUE"""),"FM1288")</f>
        <v>FM1288</v>
      </c>
      <c r="B1527" s="206">
        <f>IFERROR(__xludf.DUMMYFUNCTION("""COMPUTED_VALUE"""),44764.0)</f>
        <v>44764</v>
      </c>
      <c r="C1527" s="207">
        <f>IFERROR(__xludf.DUMMYFUNCTION("""COMPUTED_VALUE"""),0.37052083333333335)</f>
        <v>0.3705208333</v>
      </c>
      <c r="D1527" s="50"/>
      <c r="E1527" s="58"/>
      <c r="F1527" s="58"/>
      <c r="G1527" s="58" t="str">
        <f>IFERROR(__xludf.DUMMYFUNCTION("""COMPUTED_VALUE"""),"Null")</f>
        <v>Null</v>
      </c>
      <c r="H1527" s="206" t="str">
        <f>IFERROR(__xludf.DUMMYFUNCTION("""COMPUTED_VALUE"""),"Negative")</f>
        <v>Negative</v>
      </c>
      <c r="I1527" s="207"/>
      <c r="J1527" s="50"/>
      <c r="K1527" s="50">
        <f>IFERROR(__xludf.DUMMYFUNCTION("""COMPUTED_VALUE"""),2.0)</f>
        <v>2</v>
      </c>
      <c r="L1527" s="6"/>
      <c r="M1527" s="55"/>
      <c r="N1527" s="55">
        <f>IFERROR(__xludf.DUMMYFUNCTION("""COMPUTED_VALUE"""),1.0)</f>
        <v>1</v>
      </c>
      <c r="O1527" s="55" t="str">
        <f t="shared" si="3"/>
        <v/>
      </c>
      <c r="P1527" s="209"/>
      <c r="Q1527" s="75" t="b">
        <f>VLOOKUP($B1527,'Run Reconcile'!B$2:P1679,15,FALSE)</f>
        <v>1</v>
      </c>
      <c r="R1527" s="211" t="str">
        <f t="array" ref="R1527">IF($Q1527, INDEX('Run Reconcile'!A$2:A1679,MATCH(B1527,'Run Reconcile'!B$2:B1679,0),1),IFERROR(0/0,""))</f>
        <v>RUN-COMB_2022-07-22_RFR-085</v>
      </c>
      <c r="S1527" s="165" t="str">
        <f t="shared" ref="S1527:T1527" si="3053">IF(COUNTIF(W$2:W1679, $A1527) &gt; 0,TRUE,IFERROR(0/0,""))</f>
        <v/>
      </c>
      <c r="T1527" s="165" t="str">
        <f t="shared" si="3053"/>
        <v/>
      </c>
      <c r="U1527" s="147" t="str">
        <f t="array" ref="U1527">IF(ISBLANK($R1527), IF($S1527,VLOOKUP($B1527+1,'RFR Data - preExcl'!$BF$2:$BG1679,2,FALSE),IF($T1527,INDEX('RFR Data - preExcl'!$BF$2:$BG1679,MATCH($B1527,'RFR Data - preExcl'!$BF$2:$BF1679,0)+1,2),VLOOKUP($B1527,'RFR Data - preExcl'!$BF$2:$BG1679,2,FALSE))),IFERROR(0/0,""))</f>
        <v/>
      </c>
      <c r="V1527" s="212" t="str">
        <f t="shared" si="5"/>
        <v>RUN-COMB_2022-07-22_RFR-085</v>
      </c>
      <c r="W1527" s="51"/>
      <c r="X1527" s="51"/>
      <c r="Y1527" s="147" t="str">
        <f t="shared" ref="Y1527:Z1527" si="3054">IF(_xlfn.ISFORMULA(S1527),IFERROR(0/0,""),TRUE)</f>
        <v/>
      </c>
      <c r="Z1527" s="147" t="str">
        <f t="shared" si="3054"/>
        <v/>
      </c>
    </row>
    <row r="1528">
      <c r="A1528" s="6" t="str">
        <f>IFERROR(__xludf.DUMMYFUNCTION("""COMPUTED_VALUE"""),"FM1023")</f>
        <v>FM1023</v>
      </c>
      <c r="B1528" s="206">
        <f>IFERROR(__xludf.DUMMYFUNCTION("""COMPUTED_VALUE"""),44764.0)</f>
        <v>44764</v>
      </c>
      <c r="C1528" s="207">
        <f>IFERROR(__xludf.DUMMYFUNCTION("""COMPUTED_VALUE"""),0.3710300925925926)</f>
        <v>0.3710300926</v>
      </c>
      <c r="D1528" s="50"/>
      <c r="E1528" s="58"/>
      <c r="F1528" s="58"/>
      <c r="G1528" s="58" t="str">
        <f>IFERROR(__xludf.DUMMYFUNCTION("""COMPUTED_VALUE"""),"Null")</f>
        <v>Null</v>
      </c>
      <c r="H1528" s="206" t="str">
        <f>IFERROR(__xludf.DUMMYFUNCTION("""COMPUTED_VALUE"""),"Negative")</f>
        <v>Negative</v>
      </c>
      <c r="I1528" s="207"/>
      <c r="J1528" s="50"/>
      <c r="K1528" s="50">
        <f>IFERROR(__xludf.DUMMYFUNCTION("""COMPUTED_VALUE"""),2.0)</f>
        <v>2</v>
      </c>
      <c r="L1528" s="6"/>
      <c r="M1528" s="55"/>
      <c r="N1528" s="55">
        <f>IFERROR(__xludf.DUMMYFUNCTION("""COMPUTED_VALUE"""),1.0)</f>
        <v>1</v>
      </c>
      <c r="O1528" s="55" t="str">
        <f t="shared" si="3"/>
        <v/>
      </c>
      <c r="P1528" s="209"/>
      <c r="Q1528" s="75" t="b">
        <f>VLOOKUP($B1528,'Run Reconcile'!B$2:P1679,15,FALSE)</f>
        <v>1</v>
      </c>
      <c r="R1528" s="211" t="str">
        <f t="array" ref="R1528">IF($Q1528, INDEX('Run Reconcile'!A$2:A1679,MATCH(B1528,'Run Reconcile'!B$2:B1679,0),1),IFERROR(0/0,""))</f>
        <v>RUN-COMB_2022-07-22_RFR-085</v>
      </c>
      <c r="S1528" s="165" t="str">
        <f t="shared" ref="S1528:T1528" si="3055">IF(COUNTIF(W$2:W1679, $A1528) &gt; 0,TRUE,IFERROR(0/0,""))</f>
        <v/>
      </c>
      <c r="T1528" s="165" t="str">
        <f t="shared" si="3055"/>
        <v/>
      </c>
      <c r="U1528" s="147" t="str">
        <f t="array" ref="U1528">IF(ISBLANK($R1528), IF($S1528,VLOOKUP($B1528+1,'RFR Data - preExcl'!$BF$2:$BG1679,2,FALSE),IF($T1528,INDEX('RFR Data - preExcl'!$BF$2:$BG1679,MATCH($B1528,'RFR Data - preExcl'!$BF$2:$BF1679,0)+1,2),VLOOKUP($B1528,'RFR Data - preExcl'!$BF$2:$BG1679,2,FALSE))),IFERROR(0/0,""))</f>
        <v/>
      </c>
      <c r="V1528" s="212" t="str">
        <f t="shared" si="5"/>
        <v>RUN-COMB_2022-07-22_RFR-085</v>
      </c>
      <c r="W1528" s="51"/>
      <c r="X1528" s="51"/>
      <c r="Y1528" s="147" t="str">
        <f t="shared" ref="Y1528:Z1528" si="3056">IF(_xlfn.ISFORMULA(S1528),IFERROR(0/0,""),TRUE)</f>
        <v/>
      </c>
      <c r="Z1528" s="147" t="str">
        <f t="shared" si="3056"/>
        <v/>
      </c>
    </row>
    <row r="1529">
      <c r="A1529" s="6" t="str">
        <f>IFERROR(__xludf.DUMMYFUNCTION("""COMPUTED_VALUE"""),"FM1042")</f>
        <v>FM1042</v>
      </c>
      <c r="B1529" s="206">
        <f>IFERROR(__xludf.DUMMYFUNCTION("""COMPUTED_VALUE"""),44764.0)</f>
        <v>44764</v>
      </c>
      <c r="C1529" s="207">
        <f>IFERROR(__xludf.DUMMYFUNCTION("""COMPUTED_VALUE"""),0.37136574074074075)</f>
        <v>0.3713657407</v>
      </c>
      <c r="D1529" s="50"/>
      <c r="E1529" s="58"/>
      <c r="F1529" s="58"/>
      <c r="G1529" s="58" t="str">
        <f>IFERROR(__xludf.DUMMYFUNCTION("""COMPUTED_VALUE"""),"Null")</f>
        <v>Null</v>
      </c>
      <c r="H1529" s="206" t="str">
        <f>IFERROR(__xludf.DUMMYFUNCTION("""COMPUTED_VALUE"""),"Negative")</f>
        <v>Negative</v>
      </c>
      <c r="I1529" s="207"/>
      <c r="J1529" s="50"/>
      <c r="K1529" s="50">
        <f>IFERROR(__xludf.DUMMYFUNCTION("""COMPUTED_VALUE"""),2.0)</f>
        <v>2</v>
      </c>
      <c r="L1529" s="6"/>
      <c r="M1529" s="55"/>
      <c r="N1529" s="55">
        <f>IFERROR(__xludf.DUMMYFUNCTION("""COMPUTED_VALUE"""),1.0)</f>
        <v>1</v>
      </c>
      <c r="O1529" s="55" t="str">
        <f t="shared" si="3"/>
        <v/>
      </c>
      <c r="P1529" s="209"/>
      <c r="Q1529" s="75" t="b">
        <f>VLOOKUP($B1529,'Run Reconcile'!B$2:P1679,15,FALSE)</f>
        <v>1</v>
      </c>
      <c r="R1529" s="211" t="str">
        <f t="array" ref="R1529">IF($Q1529, INDEX('Run Reconcile'!A$2:A1679,MATCH(B1529,'Run Reconcile'!B$2:B1679,0),1),IFERROR(0/0,""))</f>
        <v>RUN-COMB_2022-07-22_RFR-085</v>
      </c>
      <c r="S1529" s="165" t="str">
        <f t="shared" ref="S1529:T1529" si="3057">IF(COUNTIF(W$2:W1679, $A1529) &gt; 0,TRUE,IFERROR(0/0,""))</f>
        <v/>
      </c>
      <c r="T1529" s="165" t="str">
        <f t="shared" si="3057"/>
        <v/>
      </c>
      <c r="U1529" s="147" t="str">
        <f t="array" ref="U1529">IF(ISBLANK($R1529), IF($S1529,VLOOKUP($B1529+1,'RFR Data - preExcl'!$BF$2:$BG1679,2,FALSE),IF($T1529,INDEX('RFR Data - preExcl'!$BF$2:$BG1679,MATCH($B1529,'RFR Data - preExcl'!$BF$2:$BF1679,0)+1,2),VLOOKUP($B1529,'RFR Data - preExcl'!$BF$2:$BG1679,2,FALSE))),IFERROR(0/0,""))</f>
        <v/>
      </c>
      <c r="V1529" s="212" t="str">
        <f t="shared" si="5"/>
        <v>RUN-COMB_2022-07-22_RFR-085</v>
      </c>
      <c r="W1529" s="51"/>
      <c r="X1529" s="51"/>
      <c r="Y1529" s="147" t="str">
        <f t="shared" ref="Y1529:Z1529" si="3058">IF(_xlfn.ISFORMULA(S1529),IFERROR(0/0,""),TRUE)</f>
        <v/>
      </c>
      <c r="Z1529" s="147" t="str">
        <f t="shared" si="3058"/>
        <v/>
      </c>
    </row>
    <row r="1530">
      <c r="A1530" s="6" t="str">
        <f>IFERROR(__xludf.DUMMYFUNCTION("""COMPUTED_VALUE"""),"FM1317")</f>
        <v>FM1317</v>
      </c>
      <c r="B1530" s="206">
        <f>IFERROR(__xludf.DUMMYFUNCTION("""COMPUTED_VALUE"""),44764.0)</f>
        <v>44764</v>
      </c>
      <c r="C1530" s="207">
        <f>IFERROR(__xludf.DUMMYFUNCTION("""COMPUTED_VALUE"""),0.3716550925925926)</f>
        <v>0.3716550926</v>
      </c>
      <c r="D1530" s="50"/>
      <c r="E1530" s="58"/>
      <c r="F1530" s="58"/>
      <c r="G1530" s="58" t="str">
        <f>IFERROR(__xludf.DUMMYFUNCTION("""COMPUTED_VALUE"""),"Null")</f>
        <v>Null</v>
      </c>
      <c r="H1530" s="206" t="str">
        <f>IFERROR(__xludf.DUMMYFUNCTION("""COMPUTED_VALUE"""),"Negative")</f>
        <v>Negative</v>
      </c>
      <c r="I1530" s="207"/>
      <c r="J1530" s="50"/>
      <c r="K1530" s="50">
        <f>IFERROR(__xludf.DUMMYFUNCTION("""COMPUTED_VALUE"""),2.0)</f>
        <v>2</v>
      </c>
      <c r="L1530" s="6"/>
      <c r="M1530" s="55"/>
      <c r="N1530" s="55">
        <f>IFERROR(__xludf.DUMMYFUNCTION("""COMPUTED_VALUE"""),1.0)</f>
        <v>1</v>
      </c>
      <c r="O1530" s="55" t="str">
        <f t="shared" si="3"/>
        <v/>
      </c>
      <c r="P1530" s="209"/>
      <c r="Q1530" s="75" t="b">
        <f>VLOOKUP($B1530,'Run Reconcile'!B$2:P1679,15,FALSE)</f>
        <v>1</v>
      </c>
      <c r="R1530" s="211" t="str">
        <f t="array" ref="R1530">IF($Q1530, INDEX('Run Reconcile'!A$2:A1679,MATCH(B1530,'Run Reconcile'!B$2:B1679,0),1),IFERROR(0/0,""))</f>
        <v>RUN-COMB_2022-07-22_RFR-085</v>
      </c>
      <c r="S1530" s="165" t="str">
        <f t="shared" ref="S1530:T1530" si="3059">IF(COUNTIF(W$2:W1679, $A1530) &gt; 0,TRUE,IFERROR(0/0,""))</f>
        <v/>
      </c>
      <c r="T1530" s="165" t="str">
        <f t="shared" si="3059"/>
        <v/>
      </c>
      <c r="U1530" s="147" t="str">
        <f t="array" ref="U1530">IF(ISBLANK($R1530), IF($S1530,VLOOKUP($B1530+1,'RFR Data - preExcl'!$BF$2:$BG1679,2,FALSE),IF($T1530,INDEX('RFR Data - preExcl'!$BF$2:$BG1679,MATCH($B1530,'RFR Data - preExcl'!$BF$2:$BF1679,0)+1,2),VLOOKUP($B1530,'RFR Data - preExcl'!$BF$2:$BG1679,2,FALSE))),IFERROR(0/0,""))</f>
        <v/>
      </c>
      <c r="V1530" s="212" t="str">
        <f t="shared" si="5"/>
        <v>RUN-COMB_2022-07-22_RFR-085</v>
      </c>
      <c r="W1530" s="51"/>
      <c r="X1530" s="51"/>
      <c r="Y1530" s="147" t="str">
        <f t="shared" ref="Y1530:Z1530" si="3060">IF(_xlfn.ISFORMULA(S1530),IFERROR(0/0,""),TRUE)</f>
        <v/>
      </c>
      <c r="Z1530" s="147" t="str">
        <f t="shared" si="3060"/>
        <v/>
      </c>
    </row>
    <row r="1531">
      <c r="A1531" s="6" t="str">
        <f>IFERROR(__xludf.DUMMYFUNCTION("""COMPUTED_VALUE"""),"FM1305")</f>
        <v>FM1305</v>
      </c>
      <c r="B1531" s="206">
        <f>IFERROR(__xludf.DUMMYFUNCTION("""COMPUTED_VALUE"""),44764.0)</f>
        <v>44764</v>
      </c>
      <c r="C1531" s="207">
        <f>IFERROR(__xludf.DUMMYFUNCTION("""COMPUTED_VALUE"""),0.37201388888888887)</f>
        <v>0.3720138889</v>
      </c>
      <c r="D1531" s="50"/>
      <c r="E1531" s="58"/>
      <c r="F1531" s="58"/>
      <c r="G1531" s="58" t="str">
        <f>IFERROR(__xludf.DUMMYFUNCTION("""COMPUTED_VALUE"""),"Null")</f>
        <v>Null</v>
      </c>
      <c r="H1531" s="206" t="str">
        <f>IFERROR(__xludf.DUMMYFUNCTION("""COMPUTED_VALUE"""),"Negative")</f>
        <v>Negative</v>
      </c>
      <c r="I1531" s="207"/>
      <c r="J1531" s="50"/>
      <c r="K1531" s="50">
        <f>IFERROR(__xludf.DUMMYFUNCTION("""COMPUTED_VALUE"""),2.0)</f>
        <v>2</v>
      </c>
      <c r="L1531" s="6"/>
      <c r="M1531" s="55"/>
      <c r="N1531" s="55">
        <f>IFERROR(__xludf.DUMMYFUNCTION("""COMPUTED_VALUE"""),1.0)</f>
        <v>1</v>
      </c>
      <c r="O1531" s="55" t="str">
        <f t="shared" si="3"/>
        <v/>
      </c>
      <c r="P1531" s="209"/>
      <c r="Q1531" s="75" t="b">
        <f>VLOOKUP($B1531,'Run Reconcile'!B$2:P1679,15,FALSE)</f>
        <v>1</v>
      </c>
      <c r="R1531" s="211" t="str">
        <f t="array" ref="R1531">IF($Q1531, INDEX('Run Reconcile'!A$2:A1679,MATCH(B1531,'Run Reconcile'!B$2:B1679,0),1),IFERROR(0/0,""))</f>
        <v>RUN-COMB_2022-07-22_RFR-085</v>
      </c>
      <c r="S1531" s="165" t="str">
        <f t="shared" ref="S1531:T1531" si="3061">IF(COUNTIF(W$2:W1679, $A1531) &gt; 0,TRUE,IFERROR(0/0,""))</f>
        <v/>
      </c>
      <c r="T1531" s="165" t="str">
        <f t="shared" si="3061"/>
        <v/>
      </c>
      <c r="U1531" s="147" t="str">
        <f t="array" ref="U1531">IF(ISBLANK($R1531), IF($S1531,VLOOKUP($B1531+1,'RFR Data - preExcl'!$BF$2:$BG1679,2,FALSE),IF($T1531,INDEX('RFR Data - preExcl'!$BF$2:$BG1679,MATCH($B1531,'RFR Data - preExcl'!$BF$2:$BF1679,0)+1,2),VLOOKUP($B1531,'RFR Data - preExcl'!$BF$2:$BG1679,2,FALSE))),IFERROR(0/0,""))</f>
        <v/>
      </c>
      <c r="V1531" s="212" t="str">
        <f t="shared" si="5"/>
        <v>RUN-COMB_2022-07-22_RFR-085</v>
      </c>
      <c r="W1531" s="51"/>
      <c r="X1531" s="51"/>
      <c r="Y1531" s="147" t="str">
        <f t="shared" ref="Y1531:Z1531" si="3062">IF(_xlfn.ISFORMULA(S1531),IFERROR(0/0,""),TRUE)</f>
        <v/>
      </c>
      <c r="Z1531" s="147" t="str">
        <f t="shared" si="3062"/>
        <v/>
      </c>
    </row>
    <row r="1532">
      <c r="A1532" s="6" t="str">
        <f>IFERROR(__xludf.DUMMYFUNCTION("""COMPUTED_VALUE"""),"FM1054")</f>
        <v>FM1054</v>
      </c>
      <c r="B1532" s="206">
        <f>IFERROR(__xludf.DUMMYFUNCTION("""COMPUTED_VALUE"""),44764.0)</f>
        <v>44764</v>
      </c>
      <c r="C1532" s="207">
        <f>IFERROR(__xludf.DUMMYFUNCTION("""COMPUTED_VALUE"""),0.3724189814814815)</f>
        <v>0.3724189815</v>
      </c>
      <c r="D1532" s="50"/>
      <c r="E1532" s="58"/>
      <c r="F1532" s="58"/>
      <c r="G1532" s="58" t="str">
        <f>IFERROR(__xludf.DUMMYFUNCTION("""COMPUTED_VALUE"""),"Null")</f>
        <v>Null</v>
      </c>
      <c r="H1532" s="206" t="str">
        <f>IFERROR(__xludf.DUMMYFUNCTION("""COMPUTED_VALUE"""),"Negative")</f>
        <v>Negative</v>
      </c>
      <c r="I1532" s="207"/>
      <c r="J1532" s="50"/>
      <c r="K1532" s="50">
        <f>IFERROR(__xludf.DUMMYFUNCTION("""COMPUTED_VALUE"""),2.0)</f>
        <v>2</v>
      </c>
      <c r="L1532" s="6"/>
      <c r="M1532" s="55"/>
      <c r="N1532" s="55">
        <f>IFERROR(__xludf.DUMMYFUNCTION("""COMPUTED_VALUE"""),1.0)</f>
        <v>1</v>
      </c>
      <c r="O1532" s="55" t="str">
        <f t="shared" si="3"/>
        <v/>
      </c>
      <c r="P1532" s="209"/>
      <c r="Q1532" s="75" t="b">
        <f>VLOOKUP($B1532,'Run Reconcile'!B$2:P1679,15,FALSE)</f>
        <v>1</v>
      </c>
      <c r="R1532" s="211" t="str">
        <f t="array" ref="R1532">IF($Q1532, INDEX('Run Reconcile'!A$2:A1679,MATCH(B1532,'Run Reconcile'!B$2:B1679,0),1),IFERROR(0/0,""))</f>
        <v>RUN-COMB_2022-07-22_RFR-085</v>
      </c>
      <c r="S1532" s="165" t="str">
        <f t="shared" ref="S1532:T1532" si="3063">IF(COUNTIF(W$2:W1679, $A1532) &gt; 0,TRUE,IFERROR(0/0,""))</f>
        <v/>
      </c>
      <c r="T1532" s="165" t="str">
        <f t="shared" si="3063"/>
        <v/>
      </c>
      <c r="U1532" s="147" t="str">
        <f t="array" ref="U1532">IF(ISBLANK($R1532), IF($S1532,VLOOKUP($B1532+1,'RFR Data - preExcl'!$BF$2:$BG1679,2,FALSE),IF($T1532,INDEX('RFR Data - preExcl'!$BF$2:$BG1679,MATCH($B1532,'RFR Data - preExcl'!$BF$2:$BF1679,0)+1,2),VLOOKUP($B1532,'RFR Data - preExcl'!$BF$2:$BG1679,2,FALSE))),IFERROR(0/0,""))</f>
        <v/>
      </c>
      <c r="V1532" s="212" t="str">
        <f t="shared" si="5"/>
        <v>RUN-COMB_2022-07-22_RFR-085</v>
      </c>
      <c r="W1532" s="51"/>
      <c r="X1532" s="51"/>
      <c r="Y1532" s="147" t="str">
        <f t="shared" ref="Y1532:Z1532" si="3064">IF(_xlfn.ISFORMULA(S1532),IFERROR(0/0,""),TRUE)</f>
        <v/>
      </c>
      <c r="Z1532" s="147" t="str">
        <f t="shared" si="3064"/>
        <v/>
      </c>
    </row>
    <row r="1533">
      <c r="A1533" s="6" t="str">
        <f>IFERROR(__xludf.DUMMYFUNCTION("""COMPUTED_VALUE"""),"FM1318")</f>
        <v>FM1318</v>
      </c>
      <c r="B1533" s="206">
        <f>IFERROR(__xludf.DUMMYFUNCTION("""COMPUTED_VALUE"""),44764.0)</f>
        <v>44764</v>
      </c>
      <c r="C1533" s="207">
        <f>IFERROR(__xludf.DUMMYFUNCTION("""COMPUTED_VALUE"""),0.3730324074074074)</f>
        <v>0.3730324074</v>
      </c>
      <c r="D1533" s="50"/>
      <c r="E1533" s="58"/>
      <c r="F1533" s="58"/>
      <c r="G1533" s="58" t="str">
        <f>IFERROR(__xludf.DUMMYFUNCTION("""COMPUTED_VALUE"""),"Null")</f>
        <v>Null</v>
      </c>
      <c r="H1533" s="206" t="str">
        <f>IFERROR(__xludf.DUMMYFUNCTION("""COMPUTED_VALUE"""),"Negative")</f>
        <v>Negative</v>
      </c>
      <c r="I1533" s="207"/>
      <c r="J1533" s="50"/>
      <c r="K1533" s="50">
        <f>IFERROR(__xludf.DUMMYFUNCTION("""COMPUTED_VALUE"""),2.0)</f>
        <v>2</v>
      </c>
      <c r="L1533" s="6"/>
      <c r="M1533" s="55"/>
      <c r="N1533" s="55">
        <f>IFERROR(__xludf.DUMMYFUNCTION("""COMPUTED_VALUE"""),1.0)</f>
        <v>1</v>
      </c>
      <c r="O1533" s="55" t="str">
        <f t="shared" si="3"/>
        <v/>
      </c>
      <c r="P1533" s="209"/>
      <c r="Q1533" s="75" t="b">
        <f>VLOOKUP($B1533,'Run Reconcile'!B$2:P1679,15,FALSE)</f>
        <v>1</v>
      </c>
      <c r="R1533" s="211" t="str">
        <f t="array" ref="R1533">IF($Q1533, INDEX('Run Reconcile'!A$2:A1679,MATCH(B1533,'Run Reconcile'!B$2:B1679,0),1),IFERROR(0/0,""))</f>
        <v>RUN-COMB_2022-07-22_RFR-085</v>
      </c>
      <c r="S1533" s="165" t="str">
        <f t="shared" ref="S1533:T1533" si="3065">IF(COUNTIF(W$2:W1679, $A1533) &gt; 0,TRUE,IFERROR(0/0,""))</f>
        <v/>
      </c>
      <c r="T1533" s="165" t="str">
        <f t="shared" si="3065"/>
        <v/>
      </c>
      <c r="U1533" s="147" t="str">
        <f t="array" ref="U1533">IF(ISBLANK($R1533), IF($S1533,VLOOKUP($B1533+1,'RFR Data - preExcl'!$BF$2:$BG1679,2,FALSE),IF($T1533,INDEX('RFR Data - preExcl'!$BF$2:$BG1679,MATCH($B1533,'RFR Data - preExcl'!$BF$2:$BF1679,0)+1,2),VLOOKUP($B1533,'RFR Data - preExcl'!$BF$2:$BG1679,2,FALSE))),IFERROR(0/0,""))</f>
        <v/>
      </c>
      <c r="V1533" s="212" t="str">
        <f t="shared" si="5"/>
        <v>RUN-COMB_2022-07-22_RFR-085</v>
      </c>
      <c r="W1533" s="51"/>
      <c r="X1533" s="51"/>
      <c r="Y1533" s="147" t="str">
        <f t="shared" ref="Y1533:Z1533" si="3066">IF(_xlfn.ISFORMULA(S1533),IFERROR(0/0,""),TRUE)</f>
        <v/>
      </c>
      <c r="Z1533" s="147" t="str">
        <f t="shared" si="3066"/>
        <v/>
      </c>
    </row>
    <row r="1534">
      <c r="A1534" s="6" t="str">
        <f>IFERROR(__xludf.DUMMYFUNCTION("""COMPUTED_VALUE"""),"FM1027")</f>
        <v>FM1027</v>
      </c>
      <c r="B1534" s="206">
        <f>IFERROR(__xludf.DUMMYFUNCTION("""COMPUTED_VALUE"""),44764.0)</f>
        <v>44764</v>
      </c>
      <c r="C1534" s="207">
        <f>IFERROR(__xludf.DUMMYFUNCTION("""COMPUTED_VALUE"""),0.37332175925925926)</f>
        <v>0.3733217593</v>
      </c>
      <c r="D1534" s="50"/>
      <c r="E1534" s="58"/>
      <c r="F1534" s="58"/>
      <c r="G1534" s="58" t="str">
        <f>IFERROR(__xludf.DUMMYFUNCTION("""COMPUTED_VALUE"""),"Null")</f>
        <v>Null</v>
      </c>
      <c r="H1534" s="206" t="str">
        <f>IFERROR(__xludf.DUMMYFUNCTION("""COMPUTED_VALUE"""),"Negative")</f>
        <v>Negative</v>
      </c>
      <c r="I1534" s="207"/>
      <c r="J1534" s="50"/>
      <c r="K1534" s="50">
        <f>IFERROR(__xludf.DUMMYFUNCTION("""COMPUTED_VALUE"""),2.0)</f>
        <v>2</v>
      </c>
      <c r="L1534" s="6"/>
      <c r="M1534" s="55"/>
      <c r="N1534" s="55">
        <f>IFERROR(__xludf.DUMMYFUNCTION("""COMPUTED_VALUE"""),1.0)</f>
        <v>1</v>
      </c>
      <c r="O1534" s="55" t="str">
        <f t="shared" si="3"/>
        <v/>
      </c>
      <c r="P1534" s="209"/>
      <c r="Q1534" s="75" t="b">
        <f>VLOOKUP($B1534,'Run Reconcile'!B$2:P1679,15,FALSE)</f>
        <v>1</v>
      </c>
      <c r="R1534" s="211" t="str">
        <f t="array" ref="R1534">IF($Q1534, INDEX('Run Reconcile'!A$2:A1679,MATCH(B1534,'Run Reconcile'!B$2:B1679,0),1),IFERROR(0/0,""))</f>
        <v>RUN-COMB_2022-07-22_RFR-085</v>
      </c>
      <c r="S1534" s="165" t="str">
        <f t="shared" ref="S1534:T1534" si="3067">IF(COUNTIF(W$2:W1679, $A1534) &gt; 0,TRUE,IFERROR(0/0,""))</f>
        <v/>
      </c>
      <c r="T1534" s="165" t="str">
        <f t="shared" si="3067"/>
        <v/>
      </c>
      <c r="U1534" s="147" t="str">
        <f t="array" ref="U1534">IF(ISBLANK($R1534), IF($S1534,VLOOKUP($B1534+1,'RFR Data - preExcl'!$BF$2:$BG1679,2,FALSE),IF($T1534,INDEX('RFR Data - preExcl'!$BF$2:$BG1679,MATCH($B1534,'RFR Data - preExcl'!$BF$2:$BF1679,0)+1,2),VLOOKUP($B1534,'RFR Data - preExcl'!$BF$2:$BG1679,2,FALSE))),IFERROR(0/0,""))</f>
        <v/>
      </c>
      <c r="V1534" s="212" t="str">
        <f t="shared" si="5"/>
        <v>RUN-COMB_2022-07-22_RFR-085</v>
      </c>
      <c r="W1534" s="51"/>
      <c r="X1534" s="51"/>
      <c r="Y1534" s="147" t="str">
        <f t="shared" ref="Y1534:Z1534" si="3068">IF(_xlfn.ISFORMULA(S1534),IFERROR(0/0,""),TRUE)</f>
        <v/>
      </c>
      <c r="Z1534" s="147" t="str">
        <f t="shared" si="3068"/>
        <v/>
      </c>
    </row>
    <row r="1535">
      <c r="A1535" s="6" t="str">
        <f>IFERROR(__xludf.DUMMYFUNCTION("""COMPUTED_VALUE"""),"FM1319")</f>
        <v>FM1319</v>
      </c>
      <c r="B1535" s="206">
        <f>IFERROR(__xludf.DUMMYFUNCTION("""COMPUTED_VALUE"""),44764.0)</f>
        <v>44764</v>
      </c>
      <c r="C1535" s="207">
        <f>IFERROR(__xludf.DUMMYFUNCTION("""COMPUTED_VALUE"""),0.3736574074074074)</f>
        <v>0.3736574074</v>
      </c>
      <c r="D1535" s="50"/>
      <c r="E1535" s="58"/>
      <c r="F1535" s="58"/>
      <c r="G1535" s="58" t="str">
        <f>IFERROR(__xludf.DUMMYFUNCTION("""COMPUTED_VALUE"""),"Null")</f>
        <v>Null</v>
      </c>
      <c r="H1535" s="206" t="str">
        <f>IFERROR(__xludf.DUMMYFUNCTION("""COMPUTED_VALUE"""),"Negative")</f>
        <v>Negative</v>
      </c>
      <c r="I1535" s="207"/>
      <c r="J1535" s="50"/>
      <c r="K1535" s="50">
        <f>IFERROR(__xludf.DUMMYFUNCTION("""COMPUTED_VALUE"""),2.0)</f>
        <v>2</v>
      </c>
      <c r="L1535" s="6"/>
      <c r="M1535" s="55"/>
      <c r="N1535" s="55">
        <f>IFERROR(__xludf.DUMMYFUNCTION("""COMPUTED_VALUE"""),1.0)</f>
        <v>1</v>
      </c>
      <c r="O1535" s="55" t="str">
        <f t="shared" si="3"/>
        <v/>
      </c>
      <c r="P1535" s="209"/>
      <c r="Q1535" s="75" t="b">
        <f>VLOOKUP($B1535,'Run Reconcile'!B$2:P1679,15,FALSE)</f>
        <v>1</v>
      </c>
      <c r="R1535" s="211" t="str">
        <f t="array" ref="R1535">IF($Q1535, INDEX('Run Reconcile'!A$2:A1679,MATCH(B1535,'Run Reconcile'!B$2:B1679,0),1),IFERROR(0/0,""))</f>
        <v>RUN-COMB_2022-07-22_RFR-085</v>
      </c>
      <c r="S1535" s="165" t="str">
        <f t="shared" ref="S1535:T1535" si="3069">IF(COUNTIF(W$2:W1679, $A1535) &gt; 0,TRUE,IFERROR(0/0,""))</f>
        <v/>
      </c>
      <c r="T1535" s="165" t="str">
        <f t="shared" si="3069"/>
        <v/>
      </c>
      <c r="U1535" s="147" t="str">
        <f t="array" ref="U1535">IF(ISBLANK($R1535), IF($S1535,VLOOKUP($B1535+1,'RFR Data - preExcl'!$BF$2:$BG1679,2,FALSE),IF($T1535,INDEX('RFR Data - preExcl'!$BF$2:$BG1679,MATCH($B1535,'RFR Data - preExcl'!$BF$2:$BF1679,0)+1,2),VLOOKUP($B1535,'RFR Data - preExcl'!$BF$2:$BG1679,2,FALSE))),IFERROR(0/0,""))</f>
        <v/>
      </c>
      <c r="V1535" s="212" t="str">
        <f t="shared" si="5"/>
        <v>RUN-COMB_2022-07-22_RFR-085</v>
      </c>
      <c r="W1535" s="51"/>
      <c r="X1535" s="51"/>
      <c r="Y1535" s="147" t="str">
        <f t="shared" ref="Y1535:Z1535" si="3070">IF(_xlfn.ISFORMULA(S1535),IFERROR(0/0,""),TRUE)</f>
        <v/>
      </c>
      <c r="Z1535" s="147" t="str">
        <f t="shared" si="3070"/>
        <v/>
      </c>
    </row>
    <row r="1536">
      <c r="A1536" s="6" t="str">
        <f>IFERROR(__xludf.DUMMYFUNCTION("""COMPUTED_VALUE"""),"FM1058")</f>
        <v>FM1058</v>
      </c>
      <c r="B1536" s="206">
        <f>IFERROR(__xludf.DUMMYFUNCTION("""COMPUTED_VALUE"""),44764.0)</f>
        <v>44764</v>
      </c>
      <c r="C1536" s="207">
        <f>IFERROR(__xludf.DUMMYFUNCTION("""COMPUTED_VALUE"""),0.3748148148148148)</f>
        <v>0.3748148148</v>
      </c>
      <c r="D1536" s="50"/>
      <c r="E1536" s="58"/>
      <c r="F1536" s="58"/>
      <c r="G1536" s="58" t="str">
        <f>IFERROR(__xludf.DUMMYFUNCTION("""COMPUTED_VALUE"""),"Null")</f>
        <v>Null</v>
      </c>
      <c r="H1536" s="206" t="str">
        <f>IFERROR(__xludf.DUMMYFUNCTION("""COMPUTED_VALUE"""),"Negative")</f>
        <v>Negative</v>
      </c>
      <c r="I1536" s="207"/>
      <c r="J1536" s="50"/>
      <c r="K1536" s="50">
        <f>IFERROR(__xludf.DUMMYFUNCTION("""COMPUTED_VALUE"""),2.0)</f>
        <v>2</v>
      </c>
      <c r="L1536" s="6"/>
      <c r="M1536" s="55"/>
      <c r="N1536" s="55">
        <f>IFERROR(__xludf.DUMMYFUNCTION("""COMPUTED_VALUE"""),1.0)</f>
        <v>1</v>
      </c>
      <c r="O1536" s="55" t="str">
        <f t="shared" si="3"/>
        <v/>
      </c>
      <c r="P1536" s="209"/>
      <c r="Q1536" s="75" t="b">
        <f>VLOOKUP($B1536,'Run Reconcile'!B$2:P1679,15,FALSE)</f>
        <v>1</v>
      </c>
      <c r="R1536" s="211" t="str">
        <f t="array" ref="R1536">IF($Q1536, INDEX('Run Reconcile'!A$2:A1679,MATCH(B1536,'Run Reconcile'!B$2:B1679,0),1),IFERROR(0/0,""))</f>
        <v>RUN-COMB_2022-07-22_RFR-085</v>
      </c>
      <c r="S1536" s="165" t="str">
        <f t="shared" ref="S1536:T1536" si="3071">IF(COUNTIF(W$2:W1679, $A1536) &gt; 0,TRUE,IFERROR(0/0,""))</f>
        <v/>
      </c>
      <c r="T1536" s="165" t="str">
        <f t="shared" si="3071"/>
        <v/>
      </c>
      <c r="U1536" s="147" t="str">
        <f t="array" ref="U1536">IF(ISBLANK($R1536), IF($S1536,VLOOKUP($B1536+1,'RFR Data - preExcl'!$BF$2:$BG1679,2,FALSE),IF($T1536,INDEX('RFR Data - preExcl'!$BF$2:$BG1679,MATCH($B1536,'RFR Data - preExcl'!$BF$2:$BF1679,0)+1,2),VLOOKUP($B1536,'RFR Data - preExcl'!$BF$2:$BG1679,2,FALSE))),IFERROR(0/0,""))</f>
        <v/>
      </c>
      <c r="V1536" s="212" t="str">
        <f t="shared" si="5"/>
        <v>RUN-COMB_2022-07-22_RFR-085</v>
      </c>
      <c r="W1536" s="51"/>
      <c r="X1536" s="51"/>
      <c r="Y1536" s="147" t="str">
        <f t="shared" ref="Y1536:Z1536" si="3072">IF(_xlfn.ISFORMULA(S1536),IFERROR(0/0,""),TRUE)</f>
        <v/>
      </c>
      <c r="Z1536" s="147" t="str">
        <f t="shared" si="3072"/>
        <v/>
      </c>
    </row>
    <row r="1537">
      <c r="A1537" s="6" t="str">
        <f>IFERROR(__xludf.DUMMYFUNCTION("""COMPUTED_VALUE"""),"FM1271")</f>
        <v>FM1271</v>
      </c>
      <c r="B1537" s="206">
        <f>IFERROR(__xludf.DUMMYFUNCTION("""COMPUTED_VALUE"""),44764.0)</f>
        <v>44764</v>
      </c>
      <c r="C1537" s="207">
        <f>IFERROR(__xludf.DUMMYFUNCTION("""COMPUTED_VALUE"""),0.3754282407407407)</f>
        <v>0.3754282407</v>
      </c>
      <c r="D1537" s="50"/>
      <c r="E1537" s="58"/>
      <c r="F1537" s="58"/>
      <c r="G1537" s="58" t="str">
        <f>IFERROR(__xludf.DUMMYFUNCTION("""COMPUTED_VALUE"""),"Null")</f>
        <v>Null</v>
      </c>
      <c r="H1537" s="206" t="str">
        <f>IFERROR(__xludf.DUMMYFUNCTION("""COMPUTED_VALUE"""),"Negative")</f>
        <v>Negative</v>
      </c>
      <c r="I1537" s="207"/>
      <c r="J1537" s="50"/>
      <c r="K1537" s="50">
        <f>IFERROR(__xludf.DUMMYFUNCTION("""COMPUTED_VALUE"""),2.0)</f>
        <v>2</v>
      </c>
      <c r="L1537" s="6"/>
      <c r="M1537" s="55"/>
      <c r="N1537" s="55">
        <f>IFERROR(__xludf.DUMMYFUNCTION("""COMPUTED_VALUE"""),1.0)</f>
        <v>1</v>
      </c>
      <c r="O1537" s="55" t="str">
        <f t="shared" si="3"/>
        <v/>
      </c>
      <c r="P1537" s="209"/>
      <c r="Q1537" s="75" t="b">
        <f>VLOOKUP($B1537,'Run Reconcile'!B$2:P1679,15,FALSE)</f>
        <v>1</v>
      </c>
      <c r="R1537" s="211" t="str">
        <f t="array" ref="R1537">IF($Q1537, INDEX('Run Reconcile'!A$2:A1679,MATCH(B1537,'Run Reconcile'!B$2:B1679,0),1),IFERROR(0/0,""))</f>
        <v>RUN-COMB_2022-07-22_RFR-085</v>
      </c>
      <c r="S1537" s="165" t="str">
        <f t="shared" ref="S1537:T1537" si="3073">IF(COUNTIF(W$2:W1679, $A1537) &gt; 0,TRUE,IFERROR(0/0,""))</f>
        <v/>
      </c>
      <c r="T1537" s="165" t="str">
        <f t="shared" si="3073"/>
        <v/>
      </c>
      <c r="U1537" s="147" t="str">
        <f t="array" ref="U1537">IF(ISBLANK($R1537), IF($S1537,VLOOKUP($B1537+1,'RFR Data - preExcl'!$BF$2:$BG1679,2,FALSE),IF($T1537,INDEX('RFR Data - preExcl'!$BF$2:$BG1679,MATCH($B1537,'RFR Data - preExcl'!$BF$2:$BF1679,0)+1,2),VLOOKUP($B1537,'RFR Data - preExcl'!$BF$2:$BG1679,2,FALSE))),IFERROR(0/0,""))</f>
        <v/>
      </c>
      <c r="V1537" s="212" t="str">
        <f t="shared" si="5"/>
        <v>RUN-COMB_2022-07-22_RFR-085</v>
      </c>
      <c r="W1537" s="51"/>
      <c r="X1537" s="51"/>
      <c r="Y1537" s="147" t="str">
        <f t="shared" ref="Y1537:Z1537" si="3074">IF(_xlfn.ISFORMULA(S1537),IFERROR(0/0,""),TRUE)</f>
        <v/>
      </c>
      <c r="Z1537" s="147" t="str">
        <f t="shared" si="3074"/>
        <v/>
      </c>
    </row>
    <row r="1538">
      <c r="A1538" s="6" t="str">
        <f>IFERROR(__xludf.DUMMYFUNCTION("""COMPUTED_VALUE"""),"FM1265")</f>
        <v>FM1265</v>
      </c>
      <c r="B1538" s="206">
        <f>IFERROR(__xludf.DUMMYFUNCTION("""COMPUTED_VALUE"""),44764.0)</f>
        <v>44764</v>
      </c>
      <c r="C1538" s="207">
        <f>IFERROR(__xludf.DUMMYFUNCTION("""COMPUTED_VALUE"""),0.37805555555555553)</f>
        <v>0.3780555556</v>
      </c>
      <c r="D1538" s="50"/>
      <c r="E1538" s="58"/>
      <c r="F1538" s="58"/>
      <c r="G1538" s="58" t="str">
        <f>IFERROR(__xludf.DUMMYFUNCTION("""COMPUTED_VALUE"""),"Null")</f>
        <v>Null</v>
      </c>
      <c r="H1538" s="206" t="str">
        <f>IFERROR(__xludf.DUMMYFUNCTION("""COMPUTED_VALUE"""),"Negative")</f>
        <v>Negative</v>
      </c>
      <c r="I1538" s="207"/>
      <c r="J1538" s="50"/>
      <c r="K1538" s="50">
        <f>IFERROR(__xludf.DUMMYFUNCTION("""COMPUTED_VALUE"""),2.0)</f>
        <v>2</v>
      </c>
      <c r="L1538" s="6"/>
      <c r="M1538" s="55"/>
      <c r="N1538" s="55">
        <f>IFERROR(__xludf.DUMMYFUNCTION("""COMPUTED_VALUE"""),1.0)</f>
        <v>1</v>
      </c>
      <c r="O1538" s="55" t="str">
        <f t="shared" si="3"/>
        <v/>
      </c>
      <c r="P1538" s="209"/>
      <c r="Q1538" s="75" t="b">
        <f>VLOOKUP($B1538,'Run Reconcile'!B$2:P1679,15,FALSE)</f>
        <v>1</v>
      </c>
      <c r="R1538" s="211" t="str">
        <f t="array" ref="R1538">IF($Q1538, INDEX('Run Reconcile'!A$2:A1679,MATCH(B1538,'Run Reconcile'!B$2:B1679,0),1),IFERROR(0/0,""))</f>
        <v>RUN-COMB_2022-07-22_RFR-085</v>
      </c>
      <c r="S1538" s="165" t="str">
        <f t="shared" ref="S1538:T1538" si="3075">IF(COUNTIF(W$2:W1679, $A1538) &gt; 0,TRUE,IFERROR(0/0,""))</f>
        <v/>
      </c>
      <c r="T1538" s="165" t="str">
        <f t="shared" si="3075"/>
        <v/>
      </c>
      <c r="U1538" s="147" t="str">
        <f t="array" ref="U1538">IF(ISBLANK($R1538), IF($S1538,VLOOKUP($B1538+1,'RFR Data - preExcl'!$BF$2:$BG1679,2,FALSE),IF($T1538,INDEX('RFR Data - preExcl'!$BF$2:$BG1679,MATCH($B1538,'RFR Data - preExcl'!$BF$2:$BF1679,0)+1,2),VLOOKUP($B1538,'RFR Data - preExcl'!$BF$2:$BG1679,2,FALSE))),IFERROR(0/0,""))</f>
        <v/>
      </c>
      <c r="V1538" s="212" t="str">
        <f t="shared" si="5"/>
        <v>RUN-COMB_2022-07-22_RFR-085</v>
      </c>
      <c r="W1538" s="51"/>
      <c r="X1538" s="51"/>
      <c r="Y1538" s="147" t="str">
        <f t="shared" ref="Y1538:Z1538" si="3076">IF(_xlfn.ISFORMULA(S1538),IFERROR(0/0,""),TRUE)</f>
        <v/>
      </c>
      <c r="Z1538" s="147" t="str">
        <f t="shared" si="3076"/>
        <v/>
      </c>
    </row>
    <row r="1539">
      <c r="A1539" s="6" t="str">
        <f>IFERROR(__xludf.DUMMYFUNCTION("""COMPUTED_VALUE"""),"FM1074")</f>
        <v>FM1074</v>
      </c>
      <c r="B1539" s="206">
        <f>IFERROR(__xludf.DUMMYFUNCTION("""COMPUTED_VALUE"""),44764.0)</f>
        <v>44764</v>
      </c>
      <c r="C1539" s="207">
        <f>IFERROR(__xludf.DUMMYFUNCTION("""COMPUTED_VALUE"""),0.37846064814814817)</f>
        <v>0.3784606481</v>
      </c>
      <c r="D1539" s="50"/>
      <c r="E1539" s="58"/>
      <c r="F1539" s="58"/>
      <c r="G1539" s="58" t="str">
        <f>IFERROR(__xludf.DUMMYFUNCTION("""COMPUTED_VALUE"""),"Null")</f>
        <v>Null</v>
      </c>
      <c r="H1539" s="206" t="str">
        <f>IFERROR(__xludf.DUMMYFUNCTION("""COMPUTED_VALUE"""),"Negative")</f>
        <v>Negative</v>
      </c>
      <c r="I1539" s="207"/>
      <c r="J1539" s="50"/>
      <c r="K1539" s="50">
        <f>IFERROR(__xludf.DUMMYFUNCTION("""COMPUTED_VALUE"""),2.0)</f>
        <v>2</v>
      </c>
      <c r="L1539" s="6"/>
      <c r="M1539" s="55"/>
      <c r="N1539" s="55">
        <f>IFERROR(__xludf.DUMMYFUNCTION("""COMPUTED_VALUE"""),1.0)</f>
        <v>1</v>
      </c>
      <c r="O1539" s="55" t="str">
        <f t="shared" si="3"/>
        <v/>
      </c>
      <c r="P1539" s="209"/>
      <c r="Q1539" s="75" t="b">
        <f>VLOOKUP($B1539,'Run Reconcile'!B$2:P1679,15,FALSE)</f>
        <v>1</v>
      </c>
      <c r="R1539" s="211" t="str">
        <f t="array" ref="R1539">IF($Q1539, INDEX('Run Reconcile'!A$2:A1679,MATCH(B1539,'Run Reconcile'!B$2:B1679,0),1),IFERROR(0/0,""))</f>
        <v>RUN-COMB_2022-07-22_RFR-085</v>
      </c>
      <c r="S1539" s="165" t="str">
        <f t="shared" ref="S1539:T1539" si="3077">IF(COUNTIF(W$2:W1679, $A1539) &gt; 0,TRUE,IFERROR(0/0,""))</f>
        <v/>
      </c>
      <c r="T1539" s="165" t="str">
        <f t="shared" si="3077"/>
        <v/>
      </c>
      <c r="U1539" s="147" t="str">
        <f t="array" ref="U1539">IF(ISBLANK($R1539), IF($S1539,VLOOKUP($B1539+1,'RFR Data - preExcl'!$BF$2:$BG1679,2,FALSE),IF($T1539,INDEX('RFR Data - preExcl'!$BF$2:$BG1679,MATCH($B1539,'RFR Data - preExcl'!$BF$2:$BF1679,0)+1,2),VLOOKUP($B1539,'RFR Data - preExcl'!$BF$2:$BG1679,2,FALSE))),IFERROR(0/0,""))</f>
        <v/>
      </c>
      <c r="V1539" s="212" t="str">
        <f t="shared" si="5"/>
        <v>RUN-COMB_2022-07-22_RFR-085</v>
      </c>
      <c r="W1539" s="51"/>
      <c r="X1539" s="51"/>
      <c r="Y1539" s="147" t="str">
        <f t="shared" ref="Y1539:Z1539" si="3078">IF(_xlfn.ISFORMULA(S1539),IFERROR(0/0,""),TRUE)</f>
        <v/>
      </c>
      <c r="Z1539" s="147" t="str">
        <f t="shared" si="3078"/>
        <v/>
      </c>
    </row>
    <row r="1540">
      <c r="A1540" s="6" t="str">
        <f>IFERROR(__xludf.DUMMYFUNCTION("""COMPUTED_VALUE"""),"FM1286")</f>
        <v>FM1286</v>
      </c>
      <c r="B1540" s="206">
        <f>IFERROR(__xludf.DUMMYFUNCTION("""COMPUTED_VALUE"""),44764.0)</f>
        <v>44764</v>
      </c>
      <c r="C1540" s="207">
        <f>IFERROR(__xludf.DUMMYFUNCTION("""COMPUTED_VALUE"""),0.3790046296296296)</f>
        <v>0.3790046296</v>
      </c>
      <c r="D1540" s="50"/>
      <c r="E1540" s="58"/>
      <c r="F1540" s="58"/>
      <c r="G1540" s="58" t="str">
        <f>IFERROR(__xludf.DUMMYFUNCTION("""COMPUTED_VALUE"""),"Null")</f>
        <v>Null</v>
      </c>
      <c r="H1540" s="206" t="str">
        <f>IFERROR(__xludf.DUMMYFUNCTION("""COMPUTED_VALUE"""),"Negative")</f>
        <v>Negative</v>
      </c>
      <c r="I1540" s="207"/>
      <c r="J1540" s="50"/>
      <c r="K1540" s="50">
        <f>IFERROR(__xludf.DUMMYFUNCTION("""COMPUTED_VALUE"""),2.0)</f>
        <v>2</v>
      </c>
      <c r="L1540" s="6"/>
      <c r="M1540" s="55"/>
      <c r="N1540" s="55">
        <f>IFERROR(__xludf.DUMMYFUNCTION("""COMPUTED_VALUE"""),1.0)</f>
        <v>1</v>
      </c>
      <c r="O1540" s="55" t="str">
        <f t="shared" si="3"/>
        <v/>
      </c>
      <c r="P1540" s="209"/>
      <c r="Q1540" s="75" t="b">
        <f>VLOOKUP($B1540,'Run Reconcile'!B$2:P1679,15,FALSE)</f>
        <v>1</v>
      </c>
      <c r="R1540" s="211" t="str">
        <f t="array" ref="R1540">IF($Q1540, INDEX('Run Reconcile'!A$2:A1679,MATCH(B1540,'Run Reconcile'!B$2:B1679,0),1),IFERROR(0/0,""))</f>
        <v>RUN-COMB_2022-07-22_RFR-085</v>
      </c>
      <c r="S1540" s="165" t="str">
        <f t="shared" ref="S1540:T1540" si="3079">IF(COUNTIF(W$2:W1679, $A1540) &gt; 0,TRUE,IFERROR(0/0,""))</f>
        <v/>
      </c>
      <c r="T1540" s="165" t="str">
        <f t="shared" si="3079"/>
        <v/>
      </c>
      <c r="U1540" s="147" t="str">
        <f t="array" ref="U1540">IF(ISBLANK($R1540), IF($S1540,VLOOKUP($B1540+1,'RFR Data - preExcl'!$BF$2:$BG1679,2,FALSE),IF($T1540,INDEX('RFR Data - preExcl'!$BF$2:$BG1679,MATCH($B1540,'RFR Data - preExcl'!$BF$2:$BF1679,0)+1,2),VLOOKUP($B1540,'RFR Data - preExcl'!$BF$2:$BG1679,2,FALSE))),IFERROR(0/0,""))</f>
        <v/>
      </c>
      <c r="V1540" s="212" t="str">
        <f t="shared" si="5"/>
        <v>RUN-COMB_2022-07-22_RFR-085</v>
      </c>
      <c r="W1540" s="51"/>
      <c r="X1540" s="51"/>
      <c r="Y1540" s="147" t="str">
        <f t="shared" ref="Y1540:Z1540" si="3080">IF(_xlfn.ISFORMULA(S1540),IFERROR(0/0,""),TRUE)</f>
        <v/>
      </c>
      <c r="Z1540" s="147" t="str">
        <f t="shared" si="3080"/>
        <v/>
      </c>
    </row>
    <row r="1541">
      <c r="A1541" s="6" t="str">
        <f>IFERROR(__xludf.DUMMYFUNCTION("""COMPUTED_VALUE"""),"FM1262")</f>
        <v>FM1262</v>
      </c>
      <c r="B1541" s="206">
        <f>IFERROR(__xludf.DUMMYFUNCTION("""COMPUTED_VALUE"""),44764.0)</f>
        <v>44764</v>
      </c>
      <c r="C1541" s="207">
        <f>IFERROR(__xludf.DUMMYFUNCTION("""COMPUTED_VALUE"""),0.37928240740740743)</f>
        <v>0.3792824074</v>
      </c>
      <c r="D1541" s="50"/>
      <c r="E1541" s="58"/>
      <c r="F1541" s="58"/>
      <c r="G1541" s="58" t="str">
        <f>IFERROR(__xludf.DUMMYFUNCTION("""COMPUTED_VALUE"""),"Null")</f>
        <v>Null</v>
      </c>
      <c r="H1541" s="206" t="str">
        <f>IFERROR(__xludf.DUMMYFUNCTION("""COMPUTED_VALUE"""),"Negative")</f>
        <v>Negative</v>
      </c>
      <c r="I1541" s="207"/>
      <c r="J1541" s="50"/>
      <c r="K1541" s="50">
        <f>IFERROR(__xludf.DUMMYFUNCTION("""COMPUTED_VALUE"""),2.0)</f>
        <v>2</v>
      </c>
      <c r="L1541" s="6"/>
      <c r="M1541" s="55"/>
      <c r="N1541" s="55">
        <f>IFERROR(__xludf.DUMMYFUNCTION("""COMPUTED_VALUE"""),1.0)</f>
        <v>1</v>
      </c>
      <c r="O1541" s="55" t="str">
        <f t="shared" si="3"/>
        <v/>
      </c>
      <c r="P1541" s="209"/>
      <c r="Q1541" s="75" t="b">
        <f>VLOOKUP($B1541,'Run Reconcile'!B$2:P1679,15,FALSE)</f>
        <v>1</v>
      </c>
      <c r="R1541" s="211" t="str">
        <f t="array" ref="R1541">IF($Q1541, INDEX('Run Reconcile'!A$2:A1679,MATCH(B1541,'Run Reconcile'!B$2:B1679,0),1),IFERROR(0/0,""))</f>
        <v>RUN-COMB_2022-07-22_RFR-085</v>
      </c>
      <c r="S1541" s="165" t="str">
        <f t="shared" ref="S1541:T1541" si="3081">IF(COUNTIF(W$2:W1679, $A1541) &gt; 0,TRUE,IFERROR(0/0,""))</f>
        <v/>
      </c>
      <c r="T1541" s="165" t="str">
        <f t="shared" si="3081"/>
        <v/>
      </c>
      <c r="U1541" s="147" t="str">
        <f t="array" ref="U1541">IF(ISBLANK($R1541), IF($S1541,VLOOKUP($B1541+1,'RFR Data - preExcl'!$BF$2:$BG1679,2,FALSE),IF($T1541,INDEX('RFR Data - preExcl'!$BF$2:$BG1679,MATCH($B1541,'RFR Data - preExcl'!$BF$2:$BF1679,0)+1,2),VLOOKUP($B1541,'RFR Data - preExcl'!$BF$2:$BG1679,2,FALSE))),IFERROR(0/0,""))</f>
        <v/>
      </c>
      <c r="V1541" s="212" t="str">
        <f t="shared" si="5"/>
        <v>RUN-COMB_2022-07-22_RFR-085</v>
      </c>
      <c r="W1541" s="51"/>
      <c r="X1541" s="51"/>
      <c r="Y1541" s="147" t="str">
        <f t="shared" ref="Y1541:Z1541" si="3082">IF(_xlfn.ISFORMULA(S1541),IFERROR(0/0,""),TRUE)</f>
        <v/>
      </c>
      <c r="Z1541" s="147" t="str">
        <f t="shared" si="3082"/>
        <v/>
      </c>
    </row>
    <row r="1542">
      <c r="A1542" s="6" t="str">
        <f>IFERROR(__xludf.DUMMYFUNCTION("""COMPUTED_VALUE"""),"FM1313")</f>
        <v>FM1313</v>
      </c>
      <c r="B1542" s="206">
        <f>IFERROR(__xludf.DUMMYFUNCTION("""COMPUTED_VALUE"""),44764.0)</f>
        <v>44764</v>
      </c>
      <c r="C1542" s="207">
        <f>IFERROR(__xludf.DUMMYFUNCTION("""COMPUTED_VALUE"""),0.3796412037037037)</f>
        <v>0.3796412037</v>
      </c>
      <c r="D1542" s="50"/>
      <c r="E1542" s="58"/>
      <c r="F1542" s="58"/>
      <c r="G1542" s="58" t="str">
        <f>IFERROR(__xludf.DUMMYFUNCTION("""COMPUTED_VALUE"""),"Null")</f>
        <v>Null</v>
      </c>
      <c r="H1542" s="206" t="str">
        <f>IFERROR(__xludf.DUMMYFUNCTION("""COMPUTED_VALUE"""),"Negative")</f>
        <v>Negative</v>
      </c>
      <c r="I1542" s="207"/>
      <c r="J1542" s="50"/>
      <c r="K1542" s="50">
        <f>IFERROR(__xludf.DUMMYFUNCTION("""COMPUTED_VALUE"""),2.0)</f>
        <v>2</v>
      </c>
      <c r="L1542" s="6"/>
      <c r="M1542" s="55"/>
      <c r="N1542" s="55">
        <f>IFERROR(__xludf.DUMMYFUNCTION("""COMPUTED_VALUE"""),1.0)</f>
        <v>1</v>
      </c>
      <c r="O1542" s="55" t="str">
        <f t="shared" si="3"/>
        <v/>
      </c>
      <c r="P1542" s="209"/>
      <c r="Q1542" s="75" t="b">
        <f>VLOOKUP($B1542,'Run Reconcile'!B$2:P1679,15,FALSE)</f>
        <v>1</v>
      </c>
      <c r="R1542" s="211" t="str">
        <f t="array" ref="R1542">IF($Q1542, INDEX('Run Reconcile'!A$2:A1679,MATCH(B1542,'Run Reconcile'!B$2:B1679,0),1),IFERROR(0/0,""))</f>
        <v>RUN-COMB_2022-07-22_RFR-085</v>
      </c>
      <c r="S1542" s="165" t="str">
        <f t="shared" ref="S1542:T1542" si="3083">IF(COUNTIF(W$2:W1679, $A1542) &gt; 0,TRUE,IFERROR(0/0,""))</f>
        <v/>
      </c>
      <c r="T1542" s="165" t="str">
        <f t="shared" si="3083"/>
        <v/>
      </c>
      <c r="U1542" s="147" t="str">
        <f t="array" ref="U1542">IF(ISBLANK($R1542), IF($S1542,VLOOKUP($B1542+1,'RFR Data - preExcl'!$BF$2:$BG1679,2,FALSE),IF($T1542,INDEX('RFR Data - preExcl'!$BF$2:$BG1679,MATCH($B1542,'RFR Data - preExcl'!$BF$2:$BF1679,0)+1,2),VLOOKUP($B1542,'RFR Data - preExcl'!$BF$2:$BG1679,2,FALSE))),IFERROR(0/0,""))</f>
        <v/>
      </c>
      <c r="V1542" s="212" t="str">
        <f t="shared" si="5"/>
        <v>RUN-COMB_2022-07-22_RFR-085</v>
      </c>
      <c r="W1542" s="51"/>
      <c r="X1542" s="51"/>
      <c r="Y1542" s="147" t="str">
        <f t="shared" ref="Y1542:Z1542" si="3084">IF(_xlfn.ISFORMULA(S1542),IFERROR(0/0,""),TRUE)</f>
        <v/>
      </c>
      <c r="Z1542" s="147" t="str">
        <f t="shared" si="3084"/>
        <v/>
      </c>
    </row>
    <row r="1543">
      <c r="A1543" s="6" t="str">
        <f>IFERROR(__xludf.DUMMYFUNCTION("""COMPUTED_VALUE"""),"FM1312")</f>
        <v>FM1312</v>
      </c>
      <c r="B1543" s="206">
        <f>IFERROR(__xludf.DUMMYFUNCTION("""COMPUTED_VALUE"""),44764.0)</f>
        <v>44764</v>
      </c>
      <c r="C1543" s="207">
        <f>IFERROR(__xludf.DUMMYFUNCTION("""COMPUTED_VALUE"""),0.3800810185185185)</f>
        <v>0.3800810185</v>
      </c>
      <c r="D1543" s="50"/>
      <c r="E1543" s="58"/>
      <c r="F1543" s="58"/>
      <c r="G1543" s="58" t="str">
        <f>IFERROR(__xludf.DUMMYFUNCTION("""COMPUTED_VALUE"""),"Null")</f>
        <v>Null</v>
      </c>
      <c r="H1543" s="206" t="str">
        <f>IFERROR(__xludf.DUMMYFUNCTION("""COMPUTED_VALUE"""),"Negative")</f>
        <v>Negative</v>
      </c>
      <c r="I1543" s="207"/>
      <c r="J1543" s="50"/>
      <c r="K1543" s="50">
        <f>IFERROR(__xludf.DUMMYFUNCTION("""COMPUTED_VALUE"""),2.0)</f>
        <v>2</v>
      </c>
      <c r="L1543" s="6"/>
      <c r="M1543" s="55"/>
      <c r="N1543" s="55">
        <f>IFERROR(__xludf.DUMMYFUNCTION("""COMPUTED_VALUE"""),1.0)</f>
        <v>1</v>
      </c>
      <c r="O1543" s="55" t="str">
        <f t="shared" si="3"/>
        <v/>
      </c>
      <c r="P1543" s="209"/>
      <c r="Q1543" s="75" t="b">
        <f>VLOOKUP($B1543,'Run Reconcile'!B$2:P1679,15,FALSE)</f>
        <v>1</v>
      </c>
      <c r="R1543" s="211" t="str">
        <f t="array" ref="R1543">IF($Q1543, INDEX('Run Reconcile'!A$2:A1679,MATCH(B1543,'Run Reconcile'!B$2:B1679,0),1),IFERROR(0/0,""))</f>
        <v>RUN-COMB_2022-07-22_RFR-085</v>
      </c>
      <c r="S1543" s="165" t="str">
        <f t="shared" ref="S1543:T1543" si="3085">IF(COUNTIF(W$2:W1679, $A1543) &gt; 0,TRUE,IFERROR(0/0,""))</f>
        <v/>
      </c>
      <c r="T1543" s="165" t="str">
        <f t="shared" si="3085"/>
        <v/>
      </c>
      <c r="U1543" s="147" t="str">
        <f t="array" ref="U1543">IF(ISBLANK($R1543), IF($S1543,VLOOKUP($B1543+1,'RFR Data - preExcl'!$BF$2:$BG1679,2,FALSE),IF($T1543,INDEX('RFR Data - preExcl'!$BF$2:$BG1679,MATCH($B1543,'RFR Data - preExcl'!$BF$2:$BF1679,0)+1,2),VLOOKUP($B1543,'RFR Data - preExcl'!$BF$2:$BG1679,2,FALSE))),IFERROR(0/0,""))</f>
        <v/>
      </c>
      <c r="V1543" s="212" t="str">
        <f t="shared" si="5"/>
        <v>RUN-COMB_2022-07-22_RFR-085</v>
      </c>
      <c r="W1543" s="51"/>
      <c r="X1543" s="51"/>
      <c r="Y1543" s="147" t="str">
        <f t="shared" ref="Y1543:Z1543" si="3086">IF(_xlfn.ISFORMULA(S1543),IFERROR(0/0,""),TRUE)</f>
        <v/>
      </c>
      <c r="Z1543" s="147" t="str">
        <f t="shared" si="3086"/>
        <v/>
      </c>
    </row>
    <row r="1544">
      <c r="A1544" s="6" t="str">
        <f>IFERROR(__xludf.DUMMYFUNCTION("""COMPUTED_VALUE"""),"FM1277")</f>
        <v>FM1277</v>
      </c>
      <c r="B1544" s="206">
        <f>IFERROR(__xludf.DUMMYFUNCTION("""COMPUTED_VALUE"""),44764.0)</f>
        <v>44764</v>
      </c>
      <c r="C1544" s="207">
        <f>IFERROR(__xludf.DUMMYFUNCTION("""COMPUTED_VALUE"""),0.3805208333333333)</f>
        <v>0.3805208333</v>
      </c>
      <c r="D1544" s="50"/>
      <c r="E1544" s="58"/>
      <c r="F1544" s="58"/>
      <c r="G1544" s="58" t="str">
        <f>IFERROR(__xludf.DUMMYFUNCTION("""COMPUTED_VALUE"""),"Null")</f>
        <v>Null</v>
      </c>
      <c r="H1544" s="206" t="str">
        <f>IFERROR(__xludf.DUMMYFUNCTION("""COMPUTED_VALUE"""),"Negative")</f>
        <v>Negative</v>
      </c>
      <c r="I1544" s="207"/>
      <c r="J1544" s="50"/>
      <c r="K1544" s="50">
        <f>IFERROR(__xludf.DUMMYFUNCTION("""COMPUTED_VALUE"""),2.0)</f>
        <v>2</v>
      </c>
      <c r="L1544" s="6"/>
      <c r="M1544" s="55"/>
      <c r="N1544" s="55">
        <f>IFERROR(__xludf.DUMMYFUNCTION("""COMPUTED_VALUE"""),1.0)</f>
        <v>1</v>
      </c>
      <c r="O1544" s="55" t="str">
        <f t="shared" si="3"/>
        <v/>
      </c>
      <c r="P1544" s="209"/>
      <c r="Q1544" s="75" t="b">
        <f>VLOOKUP($B1544,'Run Reconcile'!B$2:P1679,15,FALSE)</f>
        <v>1</v>
      </c>
      <c r="R1544" s="211" t="str">
        <f t="array" ref="R1544">IF($Q1544, INDEX('Run Reconcile'!A$2:A1679,MATCH(B1544,'Run Reconcile'!B$2:B1679,0),1),IFERROR(0/0,""))</f>
        <v>RUN-COMB_2022-07-22_RFR-085</v>
      </c>
      <c r="S1544" s="165" t="str">
        <f t="shared" ref="S1544:T1544" si="3087">IF(COUNTIF(W$2:W1679, $A1544) &gt; 0,TRUE,IFERROR(0/0,""))</f>
        <v/>
      </c>
      <c r="T1544" s="165" t="str">
        <f t="shared" si="3087"/>
        <v/>
      </c>
      <c r="U1544" s="147" t="str">
        <f t="array" ref="U1544">IF(ISBLANK($R1544), IF($S1544,VLOOKUP($B1544+1,'RFR Data - preExcl'!$BF$2:$BG1679,2,FALSE),IF($T1544,INDEX('RFR Data - preExcl'!$BF$2:$BG1679,MATCH($B1544,'RFR Data - preExcl'!$BF$2:$BF1679,0)+1,2),VLOOKUP($B1544,'RFR Data - preExcl'!$BF$2:$BG1679,2,FALSE))),IFERROR(0/0,""))</f>
        <v/>
      </c>
      <c r="V1544" s="212" t="str">
        <f t="shared" si="5"/>
        <v>RUN-COMB_2022-07-22_RFR-085</v>
      </c>
      <c r="W1544" s="51"/>
      <c r="X1544" s="51"/>
      <c r="Y1544" s="147" t="str">
        <f t="shared" ref="Y1544:Z1544" si="3088">IF(_xlfn.ISFORMULA(S1544),IFERROR(0/0,""),TRUE)</f>
        <v/>
      </c>
      <c r="Z1544" s="147" t="str">
        <f t="shared" si="3088"/>
        <v/>
      </c>
    </row>
    <row r="1545">
      <c r="A1545" s="6" t="str">
        <f>IFERROR(__xludf.DUMMYFUNCTION("""COMPUTED_VALUE"""),"FM1047")</f>
        <v>FM1047</v>
      </c>
      <c r="B1545" s="206">
        <f>IFERROR(__xludf.DUMMYFUNCTION("""COMPUTED_VALUE"""),44764.0)</f>
        <v>44764</v>
      </c>
      <c r="C1545" s="207">
        <f>IFERROR(__xludf.DUMMYFUNCTION("""COMPUTED_VALUE"""),0.3808912037037037)</f>
        <v>0.3808912037</v>
      </c>
      <c r="D1545" s="50"/>
      <c r="E1545" s="58"/>
      <c r="F1545" s="58"/>
      <c r="G1545" s="58" t="str">
        <f>IFERROR(__xludf.DUMMYFUNCTION("""COMPUTED_VALUE"""),"Null")</f>
        <v>Null</v>
      </c>
      <c r="H1545" s="206" t="str">
        <f>IFERROR(__xludf.DUMMYFUNCTION("""COMPUTED_VALUE"""),"Negative")</f>
        <v>Negative</v>
      </c>
      <c r="I1545" s="207"/>
      <c r="J1545" s="50"/>
      <c r="K1545" s="50">
        <f>IFERROR(__xludf.DUMMYFUNCTION("""COMPUTED_VALUE"""),2.0)</f>
        <v>2</v>
      </c>
      <c r="L1545" s="6"/>
      <c r="M1545" s="55"/>
      <c r="N1545" s="55">
        <f>IFERROR(__xludf.DUMMYFUNCTION("""COMPUTED_VALUE"""),1.0)</f>
        <v>1</v>
      </c>
      <c r="O1545" s="55" t="str">
        <f t="shared" si="3"/>
        <v/>
      </c>
      <c r="P1545" s="209"/>
      <c r="Q1545" s="75" t="b">
        <f>VLOOKUP($B1545,'Run Reconcile'!B$2:P1679,15,FALSE)</f>
        <v>1</v>
      </c>
      <c r="R1545" s="211" t="str">
        <f t="array" ref="R1545">IF($Q1545, INDEX('Run Reconcile'!A$2:A1679,MATCH(B1545,'Run Reconcile'!B$2:B1679,0),1),IFERROR(0/0,""))</f>
        <v>RUN-COMB_2022-07-22_RFR-085</v>
      </c>
      <c r="S1545" s="165" t="str">
        <f t="shared" ref="S1545:T1545" si="3089">IF(COUNTIF(W$2:W1679, $A1545) &gt; 0,TRUE,IFERROR(0/0,""))</f>
        <v/>
      </c>
      <c r="T1545" s="165" t="str">
        <f t="shared" si="3089"/>
        <v/>
      </c>
      <c r="U1545" s="147" t="str">
        <f t="array" ref="U1545">IF(ISBLANK($R1545), IF($S1545,VLOOKUP($B1545+1,'RFR Data - preExcl'!$BF$2:$BG1679,2,FALSE),IF($T1545,INDEX('RFR Data - preExcl'!$BF$2:$BG1679,MATCH($B1545,'RFR Data - preExcl'!$BF$2:$BF1679,0)+1,2),VLOOKUP($B1545,'RFR Data - preExcl'!$BF$2:$BG1679,2,FALSE))),IFERROR(0/0,""))</f>
        <v/>
      </c>
      <c r="V1545" s="212" t="str">
        <f t="shared" si="5"/>
        <v>RUN-COMB_2022-07-22_RFR-085</v>
      </c>
      <c r="W1545" s="51"/>
      <c r="X1545" s="51"/>
      <c r="Y1545" s="147" t="str">
        <f t="shared" ref="Y1545:Z1545" si="3090">IF(_xlfn.ISFORMULA(S1545),IFERROR(0/0,""),TRUE)</f>
        <v/>
      </c>
      <c r="Z1545" s="147" t="str">
        <f t="shared" si="3090"/>
        <v/>
      </c>
    </row>
    <row r="1546">
      <c r="A1546" s="6" t="str">
        <f>IFERROR(__xludf.DUMMYFUNCTION("""COMPUTED_VALUE"""),"FM1193")</f>
        <v>FM1193</v>
      </c>
      <c r="B1546" s="206">
        <f>IFERROR(__xludf.DUMMYFUNCTION("""COMPUTED_VALUE"""),44764.0)</f>
        <v>44764</v>
      </c>
      <c r="C1546" s="207">
        <f>IFERROR(__xludf.DUMMYFUNCTION("""COMPUTED_VALUE"""),0.38167824074074075)</f>
        <v>0.3816782407</v>
      </c>
      <c r="D1546" s="50"/>
      <c r="E1546" s="58"/>
      <c r="F1546" s="58"/>
      <c r="G1546" s="58" t="str">
        <f>IFERROR(__xludf.DUMMYFUNCTION("""COMPUTED_VALUE"""),"Null")</f>
        <v>Null</v>
      </c>
      <c r="H1546" s="206" t="str">
        <f>IFERROR(__xludf.DUMMYFUNCTION("""COMPUTED_VALUE"""),"Negative")</f>
        <v>Negative</v>
      </c>
      <c r="I1546" s="207"/>
      <c r="J1546" s="50"/>
      <c r="K1546" s="50">
        <f>IFERROR(__xludf.DUMMYFUNCTION("""COMPUTED_VALUE"""),2.0)</f>
        <v>2</v>
      </c>
      <c r="L1546" s="6"/>
      <c r="M1546" s="55"/>
      <c r="N1546" s="55">
        <f>IFERROR(__xludf.DUMMYFUNCTION("""COMPUTED_VALUE"""),1.0)</f>
        <v>1</v>
      </c>
      <c r="O1546" s="55" t="str">
        <f t="shared" si="3"/>
        <v/>
      </c>
      <c r="P1546" s="209"/>
      <c r="Q1546" s="75" t="b">
        <f>VLOOKUP($B1546,'Run Reconcile'!B$2:P1679,15,FALSE)</f>
        <v>1</v>
      </c>
      <c r="R1546" s="211" t="str">
        <f t="array" ref="R1546">IF($Q1546, INDEX('Run Reconcile'!A$2:A1679,MATCH(B1546,'Run Reconcile'!B$2:B1679,0),1),IFERROR(0/0,""))</f>
        <v>RUN-COMB_2022-07-22_RFR-085</v>
      </c>
      <c r="S1546" s="165" t="str">
        <f t="shared" ref="S1546:T1546" si="3091">IF(COUNTIF(W$2:W1679, $A1546) &gt; 0,TRUE,IFERROR(0/0,""))</f>
        <v/>
      </c>
      <c r="T1546" s="165" t="str">
        <f t="shared" si="3091"/>
        <v/>
      </c>
      <c r="U1546" s="147" t="str">
        <f t="array" ref="U1546">IF(ISBLANK($R1546), IF($S1546,VLOOKUP($B1546+1,'RFR Data - preExcl'!$BF$2:$BG1679,2,FALSE),IF($T1546,INDEX('RFR Data - preExcl'!$BF$2:$BG1679,MATCH($B1546,'RFR Data - preExcl'!$BF$2:$BF1679,0)+1,2),VLOOKUP($B1546,'RFR Data - preExcl'!$BF$2:$BG1679,2,FALSE))),IFERROR(0/0,""))</f>
        <v/>
      </c>
      <c r="V1546" s="212" t="str">
        <f t="shared" si="5"/>
        <v>RUN-COMB_2022-07-22_RFR-085</v>
      </c>
      <c r="W1546" s="51"/>
      <c r="X1546" s="51"/>
      <c r="Y1546" s="147" t="str">
        <f t="shared" ref="Y1546:Z1546" si="3092">IF(_xlfn.ISFORMULA(S1546),IFERROR(0/0,""),TRUE)</f>
        <v/>
      </c>
      <c r="Z1546" s="147" t="str">
        <f t="shared" si="3092"/>
        <v/>
      </c>
    </row>
    <row r="1547">
      <c r="A1547" s="6" t="str">
        <f>IFERROR(__xludf.DUMMYFUNCTION("""COMPUTED_VALUE"""),"FM1046")</f>
        <v>FM1046</v>
      </c>
      <c r="B1547" s="206">
        <f>IFERROR(__xludf.DUMMYFUNCTION("""COMPUTED_VALUE"""),44764.0)</f>
        <v>44764</v>
      </c>
      <c r="C1547" s="207">
        <f>IFERROR(__xludf.DUMMYFUNCTION("""COMPUTED_VALUE"""),0.3821527777777778)</f>
        <v>0.3821527778</v>
      </c>
      <c r="D1547" s="50"/>
      <c r="E1547" s="58"/>
      <c r="F1547" s="58"/>
      <c r="G1547" s="58" t="str">
        <f>IFERROR(__xludf.DUMMYFUNCTION("""COMPUTED_VALUE"""),"Null")</f>
        <v>Null</v>
      </c>
      <c r="H1547" s="206" t="str">
        <f>IFERROR(__xludf.DUMMYFUNCTION("""COMPUTED_VALUE"""),"Negative")</f>
        <v>Negative</v>
      </c>
      <c r="I1547" s="207"/>
      <c r="J1547" s="50"/>
      <c r="K1547" s="50">
        <f>IFERROR(__xludf.DUMMYFUNCTION("""COMPUTED_VALUE"""),2.0)</f>
        <v>2</v>
      </c>
      <c r="L1547" s="6"/>
      <c r="M1547" s="55"/>
      <c r="N1547" s="55">
        <f>IFERROR(__xludf.DUMMYFUNCTION("""COMPUTED_VALUE"""),1.0)</f>
        <v>1</v>
      </c>
      <c r="O1547" s="55" t="str">
        <f t="shared" si="3"/>
        <v/>
      </c>
      <c r="P1547" s="209"/>
      <c r="Q1547" s="75" t="b">
        <f>VLOOKUP($B1547,'Run Reconcile'!B$2:P1679,15,FALSE)</f>
        <v>1</v>
      </c>
      <c r="R1547" s="211" t="str">
        <f t="array" ref="R1547">IF($Q1547, INDEX('Run Reconcile'!A$2:A1679,MATCH(B1547,'Run Reconcile'!B$2:B1679,0),1),IFERROR(0/0,""))</f>
        <v>RUN-COMB_2022-07-22_RFR-085</v>
      </c>
      <c r="S1547" s="165" t="str">
        <f t="shared" ref="S1547:T1547" si="3093">IF(COUNTIF(W$2:W1679, $A1547) &gt; 0,TRUE,IFERROR(0/0,""))</f>
        <v/>
      </c>
      <c r="T1547" s="165" t="str">
        <f t="shared" si="3093"/>
        <v/>
      </c>
      <c r="U1547" s="147" t="str">
        <f t="array" ref="U1547">IF(ISBLANK($R1547), IF($S1547,VLOOKUP($B1547+1,'RFR Data - preExcl'!$BF$2:$BG1679,2,FALSE),IF($T1547,INDEX('RFR Data - preExcl'!$BF$2:$BG1679,MATCH($B1547,'RFR Data - preExcl'!$BF$2:$BF1679,0)+1,2),VLOOKUP($B1547,'RFR Data - preExcl'!$BF$2:$BG1679,2,FALSE))),IFERROR(0/0,""))</f>
        <v/>
      </c>
      <c r="V1547" s="212" t="str">
        <f t="shared" si="5"/>
        <v>RUN-COMB_2022-07-22_RFR-085</v>
      </c>
      <c r="W1547" s="51"/>
      <c r="X1547" s="51"/>
      <c r="Y1547" s="147" t="str">
        <f t="shared" ref="Y1547:Z1547" si="3094">IF(_xlfn.ISFORMULA(S1547),IFERROR(0/0,""),TRUE)</f>
        <v/>
      </c>
      <c r="Z1547" s="147" t="str">
        <f t="shared" si="3094"/>
        <v/>
      </c>
    </row>
    <row r="1548">
      <c r="A1548" s="6" t="str">
        <f>IFERROR(__xludf.DUMMYFUNCTION("""COMPUTED_VALUE"""),"FM1291")</f>
        <v>FM1291</v>
      </c>
      <c r="B1548" s="206">
        <f>IFERROR(__xludf.DUMMYFUNCTION("""COMPUTED_VALUE"""),44764.0)</f>
        <v>44764</v>
      </c>
      <c r="C1548" s="207">
        <f>IFERROR(__xludf.DUMMYFUNCTION("""COMPUTED_VALUE"""),0.3827777777777778)</f>
        <v>0.3827777778</v>
      </c>
      <c r="D1548" s="50"/>
      <c r="E1548" s="58"/>
      <c r="F1548" s="58"/>
      <c r="G1548" s="58" t="str">
        <f>IFERROR(__xludf.DUMMYFUNCTION("""COMPUTED_VALUE"""),"Null")</f>
        <v>Null</v>
      </c>
      <c r="H1548" s="206" t="str">
        <f>IFERROR(__xludf.DUMMYFUNCTION("""COMPUTED_VALUE"""),"Negative")</f>
        <v>Negative</v>
      </c>
      <c r="I1548" s="207"/>
      <c r="J1548" s="50"/>
      <c r="K1548" s="50">
        <f>IFERROR(__xludf.DUMMYFUNCTION("""COMPUTED_VALUE"""),2.0)</f>
        <v>2</v>
      </c>
      <c r="L1548" s="6"/>
      <c r="M1548" s="55"/>
      <c r="N1548" s="55">
        <f>IFERROR(__xludf.DUMMYFUNCTION("""COMPUTED_VALUE"""),1.0)</f>
        <v>1</v>
      </c>
      <c r="O1548" s="55" t="str">
        <f t="shared" si="3"/>
        <v/>
      </c>
      <c r="P1548" s="209"/>
      <c r="Q1548" s="75" t="b">
        <f>VLOOKUP($B1548,'Run Reconcile'!B$2:P1679,15,FALSE)</f>
        <v>1</v>
      </c>
      <c r="R1548" s="211" t="str">
        <f t="array" ref="R1548">IF($Q1548, INDEX('Run Reconcile'!A$2:A1679,MATCH(B1548,'Run Reconcile'!B$2:B1679,0),1),IFERROR(0/0,""))</f>
        <v>RUN-COMB_2022-07-22_RFR-085</v>
      </c>
      <c r="S1548" s="165" t="str">
        <f t="shared" ref="S1548:T1548" si="3095">IF(COUNTIF(W$2:W1679, $A1548) &gt; 0,TRUE,IFERROR(0/0,""))</f>
        <v/>
      </c>
      <c r="T1548" s="165" t="str">
        <f t="shared" si="3095"/>
        <v/>
      </c>
      <c r="U1548" s="147" t="str">
        <f t="array" ref="U1548">IF(ISBLANK($R1548), IF($S1548,VLOOKUP($B1548+1,'RFR Data - preExcl'!$BF$2:$BG1679,2,FALSE),IF($T1548,INDEX('RFR Data - preExcl'!$BF$2:$BG1679,MATCH($B1548,'RFR Data - preExcl'!$BF$2:$BF1679,0)+1,2),VLOOKUP($B1548,'RFR Data - preExcl'!$BF$2:$BG1679,2,FALSE))),IFERROR(0/0,""))</f>
        <v/>
      </c>
      <c r="V1548" s="212" t="str">
        <f t="shared" si="5"/>
        <v>RUN-COMB_2022-07-22_RFR-085</v>
      </c>
      <c r="W1548" s="51"/>
      <c r="X1548" s="51"/>
      <c r="Y1548" s="147" t="str">
        <f t="shared" ref="Y1548:Z1548" si="3096">IF(_xlfn.ISFORMULA(S1548),IFERROR(0/0,""),TRUE)</f>
        <v/>
      </c>
      <c r="Z1548" s="147" t="str">
        <f t="shared" si="3096"/>
        <v/>
      </c>
    </row>
    <row r="1549">
      <c r="A1549" s="6" t="str">
        <f>IFERROR(__xludf.DUMMYFUNCTION("""COMPUTED_VALUE"""),"FM1270")</f>
        <v>FM1270</v>
      </c>
      <c r="B1549" s="206">
        <f>IFERROR(__xludf.DUMMYFUNCTION("""COMPUTED_VALUE"""),44764.0)</f>
        <v>44764</v>
      </c>
      <c r="C1549" s="207">
        <f>IFERROR(__xludf.DUMMYFUNCTION("""COMPUTED_VALUE"""),0.3836574074074074)</f>
        <v>0.3836574074</v>
      </c>
      <c r="D1549" s="50"/>
      <c r="E1549" s="58"/>
      <c r="F1549" s="58"/>
      <c r="G1549" s="58" t="str">
        <f>IFERROR(__xludf.DUMMYFUNCTION("""COMPUTED_VALUE"""),"Null")</f>
        <v>Null</v>
      </c>
      <c r="H1549" s="206" t="str">
        <f>IFERROR(__xludf.DUMMYFUNCTION("""COMPUTED_VALUE"""),"Negative")</f>
        <v>Negative</v>
      </c>
      <c r="I1549" s="207"/>
      <c r="J1549" s="50"/>
      <c r="K1549" s="50">
        <f>IFERROR(__xludf.DUMMYFUNCTION("""COMPUTED_VALUE"""),2.0)</f>
        <v>2</v>
      </c>
      <c r="L1549" s="6"/>
      <c r="M1549" s="55"/>
      <c r="N1549" s="55">
        <f>IFERROR(__xludf.DUMMYFUNCTION("""COMPUTED_VALUE"""),1.0)</f>
        <v>1</v>
      </c>
      <c r="O1549" s="55" t="str">
        <f t="shared" si="3"/>
        <v/>
      </c>
      <c r="P1549" s="209"/>
      <c r="Q1549" s="75" t="b">
        <f>VLOOKUP($B1549,'Run Reconcile'!B$2:P1679,15,FALSE)</f>
        <v>1</v>
      </c>
      <c r="R1549" s="211" t="str">
        <f t="array" ref="R1549">IF($Q1549, INDEX('Run Reconcile'!A$2:A1679,MATCH(B1549,'Run Reconcile'!B$2:B1679,0),1),IFERROR(0/0,""))</f>
        <v>RUN-COMB_2022-07-22_RFR-085</v>
      </c>
      <c r="S1549" s="165" t="str">
        <f t="shared" ref="S1549:T1549" si="3097">IF(COUNTIF(W$2:W1679, $A1549) &gt; 0,TRUE,IFERROR(0/0,""))</f>
        <v/>
      </c>
      <c r="T1549" s="165" t="str">
        <f t="shared" si="3097"/>
        <v/>
      </c>
      <c r="U1549" s="147" t="str">
        <f t="array" ref="U1549">IF(ISBLANK($R1549), IF($S1549,VLOOKUP($B1549+1,'RFR Data - preExcl'!$BF$2:$BG1679,2,FALSE),IF($T1549,INDEX('RFR Data - preExcl'!$BF$2:$BG1679,MATCH($B1549,'RFR Data - preExcl'!$BF$2:$BF1679,0)+1,2),VLOOKUP($B1549,'RFR Data - preExcl'!$BF$2:$BG1679,2,FALSE))),IFERROR(0/0,""))</f>
        <v/>
      </c>
      <c r="V1549" s="212" t="str">
        <f t="shared" si="5"/>
        <v>RUN-COMB_2022-07-22_RFR-085</v>
      </c>
      <c r="W1549" s="51"/>
      <c r="X1549" s="51"/>
      <c r="Y1549" s="147" t="str">
        <f t="shared" ref="Y1549:Z1549" si="3098">IF(_xlfn.ISFORMULA(S1549),IFERROR(0/0,""),TRUE)</f>
        <v/>
      </c>
      <c r="Z1549" s="147" t="str">
        <f t="shared" si="3098"/>
        <v/>
      </c>
    </row>
    <row r="1550">
      <c r="A1550" s="6" t="str">
        <f>IFERROR(__xludf.DUMMYFUNCTION("""COMPUTED_VALUE"""),"FM1264")</f>
        <v>FM1264</v>
      </c>
      <c r="B1550" s="206">
        <f>IFERROR(__xludf.DUMMYFUNCTION("""COMPUTED_VALUE"""),44764.0)</f>
        <v>44764</v>
      </c>
      <c r="C1550" s="207">
        <f>IFERROR(__xludf.DUMMYFUNCTION("""COMPUTED_VALUE"""),0.386724537037037)</f>
        <v>0.386724537</v>
      </c>
      <c r="D1550" s="50"/>
      <c r="E1550" s="58"/>
      <c r="F1550" s="58"/>
      <c r="G1550" s="58" t="str">
        <f>IFERROR(__xludf.DUMMYFUNCTION("""COMPUTED_VALUE"""),"Null")</f>
        <v>Null</v>
      </c>
      <c r="H1550" s="206" t="str">
        <f>IFERROR(__xludf.DUMMYFUNCTION("""COMPUTED_VALUE"""),"Negative")</f>
        <v>Negative</v>
      </c>
      <c r="I1550" s="207"/>
      <c r="J1550" s="50"/>
      <c r="K1550" s="50">
        <f>IFERROR(__xludf.DUMMYFUNCTION("""COMPUTED_VALUE"""),2.0)</f>
        <v>2</v>
      </c>
      <c r="L1550" s="6"/>
      <c r="M1550" s="55"/>
      <c r="N1550" s="55">
        <f>IFERROR(__xludf.DUMMYFUNCTION("""COMPUTED_VALUE"""),1.0)</f>
        <v>1</v>
      </c>
      <c r="O1550" s="55" t="str">
        <f t="shared" si="3"/>
        <v/>
      </c>
      <c r="P1550" s="209"/>
      <c r="Q1550" s="75" t="b">
        <f>VLOOKUP($B1550,'Run Reconcile'!B$2:P1679,15,FALSE)</f>
        <v>1</v>
      </c>
      <c r="R1550" s="211" t="str">
        <f t="array" ref="R1550">IF($Q1550, INDEX('Run Reconcile'!A$2:A1679,MATCH(B1550,'Run Reconcile'!B$2:B1679,0),1),IFERROR(0/0,""))</f>
        <v>RUN-COMB_2022-07-22_RFR-085</v>
      </c>
      <c r="S1550" s="165" t="str">
        <f t="shared" ref="S1550:T1550" si="3099">IF(COUNTIF(W$2:W1679, $A1550) &gt; 0,TRUE,IFERROR(0/0,""))</f>
        <v/>
      </c>
      <c r="T1550" s="165" t="str">
        <f t="shared" si="3099"/>
        <v/>
      </c>
      <c r="U1550" s="147" t="str">
        <f t="array" ref="U1550">IF(ISBLANK($R1550), IF($S1550,VLOOKUP($B1550+1,'RFR Data - preExcl'!$BF$2:$BG1679,2,FALSE),IF($T1550,INDEX('RFR Data - preExcl'!$BF$2:$BG1679,MATCH($B1550,'RFR Data - preExcl'!$BF$2:$BF1679,0)+1,2),VLOOKUP($B1550,'RFR Data - preExcl'!$BF$2:$BG1679,2,FALSE))),IFERROR(0/0,""))</f>
        <v/>
      </c>
      <c r="V1550" s="212" t="str">
        <f t="shared" si="5"/>
        <v>RUN-COMB_2022-07-22_RFR-085</v>
      </c>
      <c r="W1550" s="51"/>
      <c r="X1550" s="51"/>
      <c r="Y1550" s="147" t="str">
        <f t="shared" ref="Y1550:Z1550" si="3100">IF(_xlfn.ISFORMULA(S1550),IFERROR(0/0,""),TRUE)</f>
        <v/>
      </c>
      <c r="Z1550" s="147" t="str">
        <f t="shared" si="3100"/>
        <v/>
      </c>
    </row>
    <row r="1551">
      <c r="A1551" s="6" t="str">
        <f>IFERROR(__xludf.DUMMYFUNCTION("""COMPUTED_VALUE"""),"FM1770")</f>
        <v>FM1770</v>
      </c>
      <c r="B1551" s="206">
        <f>IFERROR(__xludf.DUMMYFUNCTION("""COMPUTED_VALUE"""),44764.0)</f>
        <v>44764</v>
      </c>
      <c r="C1551" s="207">
        <f>IFERROR(__xludf.DUMMYFUNCTION("""COMPUTED_VALUE"""),0.3871875)</f>
        <v>0.3871875</v>
      </c>
      <c r="D1551" s="50"/>
      <c r="E1551" s="58"/>
      <c r="F1551" s="58"/>
      <c r="G1551" s="58" t="str">
        <f>IFERROR(__xludf.DUMMYFUNCTION("""COMPUTED_VALUE"""),"Null")</f>
        <v>Null</v>
      </c>
      <c r="H1551" s="206" t="str">
        <f>IFERROR(__xludf.DUMMYFUNCTION("""COMPUTED_VALUE"""),"Negative")</f>
        <v>Negative</v>
      </c>
      <c r="I1551" s="207"/>
      <c r="J1551" s="50"/>
      <c r="K1551" s="50">
        <f>IFERROR(__xludf.DUMMYFUNCTION("""COMPUTED_VALUE"""),2.0)</f>
        <v>2</v>
      </c>
      <c r="L1551" s="6"/>
      <c r="M1551" s="55"/>
      <c r="N1551" s="55">
        <f>IFERROR(__xludf.DUMMYFUNCTION("""COMPUTED_VALUE"""),1.0)</f>
        <v>1</v>
      </c>
      <c r="O1551" s="55" t="str">
        <f t="shared" si="3"/>
        <v/>
      </c>
      <c r="P1551" s="209"/>
      <c r="Q1551" s="75" t="b">
        <f>VLOOKUP($B1551,'Run Reconcile'!B$2:P1679,15,FALSE)</f>
        <v>1</v>
      </c>
      <c r="R1551" s="211" t="str">
        <f t="array" ref="R1551">IF($Q1551, INDEX('Run Reconcile'!A$2:A1679,MATCH(B1551,'Run Reconcile'!B$2:B1679,0),1),IFERROR(0/0,""))</f>
        <v>RUN-COMB_2022-07-22_RFR-085</v>
      </c>
      <c r="S1551" s="165" t="str">
        <f t="shared" ref="S1551:T1551" si="3101">IF(COUNTIF(W$2:W1679, $A1551) &gt; 0,TRUE,IFERROR(0/0,""))</f>
        <v/>
      </c>
      <c r="T1551" s="165" t="str">
        <f t="shared" si="3101"/>
        <v/>
      </c>
      <c r="U1551" s="147" t="str">
        <f t="array" ref="U1551">IF(ISBLANK($R1551), IF($S1551,VLOOKUP($B1551+1,'RFR Data - preExcl'!$BF$2:$BG1679,2,FALSE),IF($T1551,INDEX('RFR Data - preExcl'!$BF$2:$BG1679,MATCH($B1551,'RFR Data - preExcl'!$BF$2:$BF1679,0)+1,2),VLOOKUP($B1551,'RFR Data - preExcl'!$BF$2:$BG1679,2,FALSE))),IFERROR(0/0,""))</f>
        <v/>
      </c>
      <c r="V1551" s="212" t="str">
        <f t="shared" si="5"/>
        <v>RUN-COMB_2022-07-22_RFR-085</v>
      </c>
      <c r="W1551" s="51"/>
      <c r="X1551" s="51"/>
      <c r="Y1551" s="147" t="str">
        <f t="shared" ref="Y1551:Z1551" si="3102">IF(_xlfn.ISFORMULA(S1551),IFERROR(0/0,""),TRUE)</f>
        <v/>
      </c>
      <c r="Z1551" s="147" t="str">
        <f t="shared" si="3102"/>
        <v/>
      </c>
    </row>
    <row r="1552">
      <c r="A1552" s="6" t="str">
        <f>IFERROR(__xludf.DUMMYFUNCTION("""COMPUTED_VALUE"""),"FM1055")</f>
        <v>FM1055</v>
      </c>
      <c r="B1552" s="206">
        <f>IFERROR(__xludf.DUMMYFUNCTION("""COMPUTED_VALUE"""),44764.0)</f>
        <v>44764</v>
      </c>
      <c r="C1552" s="207">
        <f>IFERROR(__xludf.DUMMYFUNCTION("""COMPUTED_VALUE"""),0.38894675925925926)</f>
        <v>0.3889467593</v>
      </c>
      <c r="D1552" s="50"/>
      <c r="E1552" s="58"/>
      <c r="F1552" s="58"/>
      <c r="G1552" s="58" t="str">
        <f>IFERROR(__xludf.DUMMYFUNCTION("""COMPUTED_VALUE"""),"Null")</f>
        <v>Null</v>
      </c>
      <c r="H1552" s="206" t="str">
        <f>IFERROR(__xludf.DUMMYFUNCTION("""COMPUTED_VALUE"""),"Negative")</f>
        <v>Negative</v>
      </c>
      <c r="I1552" s="207"/>
      <c r="J1552" s="50"/>
      <c r="K1552" s="50">
        <f>IFERROR(__xludf.DUMMYFUNCTION("""COMPUTED_VALUE"""),2.0)</f>
        <v>2</v>
      </c>
      <c r="L1552" s="6"/>
      <c r="M1552" s="55"/>
      <c r="N1552" s="55">
        <f>IFERROR(__xludf.DUMMYFUNCTION("""COMPUTED_VALUE"""),1.0)</f>
        <v>1</v>
      </c>
      <c r="O1552" s="55" t="str">
        <f t="shared" si="3"/>
        <v/>
      </c>
      <c r="P1552" s="209"/>
      <c r="Q1552" s="75" t="b">
        <f>VLOOKUP($B1552,'Run Reconcile'!B$2:P1679,15,FALSE)</f>
        <v>1</v>
      </c>
      <c r="R1552" s="211" t="str">
        <f t="array" ref="R1552">IF($Q1552, INDEX('Run Reconcile'!A$2:A1679,MATCH(B1552,'Run Reconcile'!B$2:B1679,0),1),IFERROR(0/0,""))</f>
        <v>RUN-COMB_2022-07-22_RFR-085</v>
      </c>
      <c r="S1552" s="165" t="str">
        <f t="shared" ref="S1552:T1552" si="3103">IF(COUNTIF(W$2:W1679, $A1552) &gt; 0,TRUE,IFERROR(0/0,""))</f>
        <v/>
      </c>
      <c r="T1552" s="165" t="str">
        <f t="shared" si="3103"/>
        <v/>
      </c>
      <c r="U1552" s="147" t="str">
        <f t="array" ref="U1552">IF(ISBLANK($R1552), IF($S1552,VLOOKUP($B1552+1,'RFR Data - preExcl'!$BF$2:$BG1679,2,FALSE),IF($T1552,INDEX('RFR Data - preExcl'!$BF$2:$BG1679,MATCH($B1552,'RFR Data - preExcl'!$BF$2:$BF1679,0)+1,2),VLOOKUP($B1552,'RFR Data - preExcl'!$BF$2:$BG1679,2,FALSE))),IFERROR(0/0,""))</f>
        <v/>
      </c>
      <c r="V1552" s="212" t="str">
        <f t="shared" si="5"/>
        <v>RUN-COMB_2022-07-22_RFR-085</v>
      </c>
      <c r="W1552" s="51"/>
      <c r="X1552" s="51"/>
      <c r="Y1552" s="147" t="str">
        <f t="shared" ref="Y1552:Z1552" si="3104">IF(_xlfn.ISFORMULA(S1552),IFERROR(0/0,""),TRUE)</f>
        <v/>
      </c>
      <c r="Z1552" s="147" t="str">
        <f t="shared" si="3104"/>
        <v/>
      </c>
    </row>
    <row r="1553">
      <c r="A1553" s="6" t="str">
        <f>IFERROR(__xludf.DUMMYFUNCTION("""COMPUTED_VALUE"""),"FM1266")</f>
        <v>FM1266</v>
      </c>
      <c r="B1553" s="206">
        <f>IFERROR(__xludf.DUMMYFUNCTION("""COMPUTED_VALUE"""),44764.0)</f>
        <v>44764</v>
      </c>
      <c r="C1553" s="207">
        <f>IFERROR(__xludf.DUMMYFUNCTION("""COMPUTED_VALUE"""),0.38927083333333334)</f>
        <v>0.3892708333</v>
      </c>
      <c r="D1553" s="50"/>
      <c r="E1553" s="58"/>
      <c r="F1553" s="58"/>
      <c r="G1553" s="58" t="str">
        <f>IFERROR(__xludf.DUMMYFUNCTION("""COMPUTED_VALUE"""),"Null")</f>
        <v>Null</v>
      </c>
      <c r="H1553" s="206" t="str">
        <f>IFERROR(__xludf.DUMMYFUNCTION("""COMPUTED_VALUE"""),"Negative")</f>
        <v>Negative</v>
      </c>
      <c r="I1553" s="207"/>
      <c r="J1553" s="50"/>
      <c r="K1553" s="50">
        <f>IFERROR(__xludf.DUMMYFUNCTION("""COMPUTED_VALUE"""),2.0)</f>
        <v>2</v>
      </c>
      <c r="L1553" s="6"/>
      <c r="M1553" s="55"/>
      <c r="N1553" s="55">
        <f>IFERROR(__xludf.DUMMYFUNCTION("""COMPUTED_VALUE"""),1.0)</f>
        <v>1</v>
      </c>
      <c r="O1553" s="55" t="str">
        <f t="shared" si="3"/>
        <v/>
      </c>
      <c r="P1553" s="209"/>
      <c r="Q1553" s="75" t="b">
        <f>VLOOKUP($B1553,'Run Reconcile'!B$2:P1679,15,FALSE)</f>
        <v>1</v>
      </c>
      <c r="R1553" s="211" t="str">
        <f t="array" ref="R1553">IF($Q1553, INDEX('Run Reconcile'!A$2:A1679,MATCH(B1553,'Run Reconcile'!B$2:B1679,0),1),IFERROR(0/0,""))</f>
        <v>RUN-COMB_2022-07-22_RFR-085</v>
      </c>
      <c r="S1553" s="165" t="str">
        <f t="shared" ref="S1553:T1553" si="3105">IF(COUNTIF(W$2:W1679, $A1553) &gt; 0,TRUE,IFERROR(0/0,""))</f>
        <v/>
      </c>
      <c r="T1553" s="165" t="str">
        <f t="shared" si="3105"/>
        <v/>
      </c>
      <c r="U1553" s="147" t="str">
        <f t="array" ref="U1553">IF(ISBLANK($R1553), IF($S1553,VLOOKUP($B1553+1,'RFR Data - preExcl'!$BF$2:$BG1679,2,FALSE),IF($T1553,INDEX('RFR Data - preExcl'!$BF$2:$BG1679,MATCH($B1553,'RFR Data - preExcl'!$BF$2:$BF1679,0)+1,2),VLOOKUP($B1553,'RFR Data - preExcl'!$BF$2:$BG1679,2,FALSE))),IFERROR(0/0,""))</f>
        <v/>
      </c>
      <c r="V1553" s="212" t="str">
        <f t="shared" si="5"/>
        <v>RUN-COMB_2022-07-22_RFR-085</v>
      </c>
      <c r="W1553" s="51"/>
      <c r="X1553" s="51"/>
      <c r="Y1553" s="147" t="str">
        <f t="shared" ref="Y1553:Z1553" si="3106">IF(_xlfn.ISFORMULA(S1553),IFERROR(0/0,""),TRUE)</f>
        <v/>
      </c>
      <c r="Z1553" s="147" t="str">
        <f t="shared" si="3106"/>
        <v/>
      </c>
    </row>
    <row r="1554">
      <c r="A1554" s="6" t="str">
        <f>IFERROR(__xludf.DUMMYFUNCTION("""COMPUTED_VALUE"""),"FM1320")</f>
        <v>FM1320</v>
      </c>
      <c r="B1554" s="206">
        <f>IFERROR(__xludf.DUMMYFUNCTION("""COMPUTED_VALUE"""),44764.0)</f>
        <v>44764</v>
      </c>
      <c r="C1554" s="207">
        <f>IFERROR(__xludf.DUMMYFUNCTION("""COMPUTED_VALUE"""),0.38966435185185183)</f>
        <v>0.3896643519</v>
      </c>
      <c r="D1554" s="50"/>
      <c r="E1554" s="58"/>
      <c r="F1554" s="58"/>
      <c r="G1554" s="58" t="str">
        <f>IFERROR(__xludf.DUMMYFUNCTION("""COMPUTED_VALUE"""),"Null")</f>
        <v>Null</v>
      </c>
      <c r="H1554" s="206" t="str">
        <f>IFERROR(__xludf.DUMMYFUNCTION("""COMPUTED_VALUE"""),"Negative")</f>
        <v>Negative</v>
      </c>
      <c r="I1554" s="207"/>
      <c r="J1554" s="50"/>
      <c r="K1554" s="50">
        <f>IFERROR(__xludf.DUMMYFUNCTION("""COMPUTED_VALUE"""),2.0)</f>
        <v>2</v>
      </c>
      <c r="L1554" s="6"/>
      <c r="M1554" s="55"/>
      <c r="N1554" s="55">
        <f>IFERROR(__xludf.DUMMYFUNCTION("""COMPUTED_VALUE"""),1.0)</f>
        <v>1</v>
      </c>
      <c r="O1554" s="55" t="str">
        <f t="shared" si="3"/>
        <v/>
      </c>
      <c r="P1554" s="209"/>
      <c r="Q1554" s="75" t="b">
        <f>VLOOKUP($B1554,'Run Reconcile'!B$2:P1679,15,FALSE)</f>
        <v>1</v>
      </c>
      <c r="R1554" s="211" t="str">
        <f t="array" ref="R1554">IF($Q1554, INDEX('Run Reconcile'!A$2:A1679,MATCH(B1554,'Run Reconcile'!B$2:B1679,0),1),IFERROR(0/0,""))</f>
        <v>RUN-COMB_2022-07-22_RFR-085</v>
      </c>
      <c r="S1554" s="165" t="str">
        <f t="shared" ref="S1554:T1554" si="3107">IF(COUNTIF(W$2:W1679, $A1554) &gt; 0,TRUE,IFERROR(0/0,""))</f>
        <v/>
      </c>
      <c r="T1554" s="165" t="str">
        <f t="shared" si="3107"/>
        <v/>
      </c>
      <c r="U1554" s="147" t="str">
        <f t="array" ref="U1554">IF(ISBLANK($R1554), IF($S1554,VLOOKUP($B1554+1,'RFR Data - preExcl'!$BF$2:$BG1679,2,FALSE),IF($T1554,INDEX('RFR Data - preExcl'!$BF$2:$BG1679,MATCH($B1554,'RFR Data - preExcl'!$BF$2:$BF1679,0)+1,2),VLOOKUP($B1554,'RFR Data - preExcl'!$BF$2:$BG1679,2,FALSE))),IFERROR(0/0,""))</f>
        <v/>
      </c>
      <c r="V1554" s="212" t="str">
        <f t="shared" si="5"/>
        <v>RUN-COMB_2022-07-22_RFR-085</v>
      </c>
      <c r="W1554" s="51"/>
      <c r="X1554" s="51"/>
      <c r="Y1554" s="147" t="str">
        <f t="shared" ref="Y1554:Z1554" si="3108">IF(_xlfn.ISFORMULA(S1554),IFERROR(0/0,""),TRUE)</f>
        <v/>
      </c>
      <c r="Z1554" s="147" t="str">
        <f t="shared" si="3108"/>
        <v/>
      </c>
    </row>
    <row r="1555">
      <c r="A1555" s="6" t="str">
        <f>IFERROR(__xludf.DUMMYFUNCTION("""COMPUTED_VALUE"""),"FM1758")</f>
        <v>FM1758</v>
      </c>
      <c r="B1555" s="206">
        <f>IFERROR(__xludf.DUMMYFUNCTION("""COMPUTED_VALUE"""),44764.0)</f>
        <v>44764</v>
      </c>
      <c r="C1555" s="207">
        <f>IFERROR(__xludf.DUMMYFUNCTION("""COMPUTED_VALUE"""),0.3900810185185185)</f>
        <v>0.3900810185</v>
      </c>
      <c r="D1555" s="50"/>
      <c r="E1555" s="58"/>
      <c r="F1555" s="58"/>
      <c r="G1555" s="58" t="str">
        <f>IFERROR(__xludf.DUMMYFUNCTION("""COMPUTED_VALUE"""),"Null")</f>
        <v>Null</v>
      </c>
      <c r="H1555" s="206" t="str">
        <f>IFERROR(__xludf.DUMMYFUNCTION("""COMPUTED_VALUE"""),"Negative")</f>
        <v>Negative</v>
      </c>
      <c r="I1555" s="207"/>
      <c r="J1555" s="50"/>
      <c r="K1555" s="50">
        <f>IFERROR(__xludf.DUMMYFUNCTION("""COMPUTED_VALUE"""),2.0)</f>
        <v>2</v>
      </c>
      <c r="L1555" s="6"/>
      <c r="M1555" s="55"/>
      <c r="N1555" s="55">
        <f>IFERROR(__xludf.DUMMYFUNCTION("""COMPUTED_VALUE"""),1.0)</f>
        <v>1</v>
      </c>
      <c r="O1555" s="55" t="str">
        <f t="shared" si="3"/>
        <v/>
      </c>
      <c r="P1555" s="209"/>
      <c r="Q1555" s="75" t="b">
        <f>VLOOKUP($B1555,'Run Reconcile'!B$2:P1679,15,FALSE)</f>
        <v>1</v>
      </c>
      <c r="R1555" s="211" t="str">
        <f t="array" ref="R1555">IF($Q1555, INDEX('Run Reconcile'!A$2:A1679,MATCH(B1555,'Run Reconcile'!B$2:B1679,0),1),IFERROR(0/0,""))</f>
        <v>RUN-COMB_2022-07-22_RFR-085</v>
      </c>
      <c r="S1555" s="165" t="str">
        <f t="shared" ref="S1555:T1555" si="3109">IF(COUNTIF(W$2:W1679, $A1555) &gt; 0,TRUE,IFERROR(0/0,""))</f>
        <v/>
      </c>
      <c r="T1555" s="165" t="str">
        <f t="shared" si="3109"/>
        <v/>
      </c>
      <c r="U1555" s="147" t="str">
        <f t="array" ref="U1555">IF(ISBLANK($R1555), IF($S1555,VLOOKUP($B1555+1,'RFR Data - preExcl'!$BF$2:$BG1679,2,FALSE),IF($T1555,INDEX('RFR Data - preExcl'!$BF$2:$BG1679,MATCH($B1555,'RFR Data - preExcl'!$BF$2:$BF1679,0)+1,2),VLOOKUP($B1555,'RFR Data - preExcl'!$BF$2:$BG1679,2,FALSE))),IFERROR(0/0,""))</f>
        <v/>
      </c>
      <c r="V1555" s="212" t="str">
        <f t="shared" si="5"/>
        <v>RUN-COMB_2022-07-22_RFR-085</v>
      </c>
      <c r="W1555" s="51"/>
      <c r="X1555" s="51"/>
      <c r="Y1555" s="147" t="str">
        <f t="shared" ref="Y1555:Z1555" si="3110">IF(_xlfn.ISFORMULA(S1555),IFERROR(0/0,""),TRUE)</f>
        <v/>
      </c>
      <c r="Z1555" s="147" t="str">
        <f t="shared" si="3110"/>
        <v/>
      </c>
    </row>
    <row r="1556">
      <c r="A1556" s="6" t="str">
        <f>IFERROR(__xludf.DUMMYFUNCTION("""COMPUTED_VALUE"""),"FM1080")</f>
        <v>FM1080</v>
      </c>
      <c r="B1556" s="206">
        <f>IFERROR(__xludf.DUMMYFUNCTION("""COMPUTED_VALUE"""),44764.0)</f>
        <v>44764</v>
      </c>
      <c r="C1556" s="207">
        <f>IFERROR(__xludf.DUMMYFUNCTION("""COMPUTED_VALUE"""),0.39045138888888886)</f>
        <v>0.3904513889</v>
      </c>
      <c r="D1556" s="50"/>
      <c r="E1556" s="58"/>
      <c r="F1556" s="58"/>
      <c r="G1556" s="58" t="str">
        <f>IFERROR(__xludf.DUMMYFUNCTION("""COMPUTED_VALUE"""),"Null")</f>
        <v>Null</v>
      </c>
      <c r="H1556" s="206" t="str">
        <f>IFERROR(__xludf.DUMMYFUNCTION("""COMPUTED_VALUE"""),"Positive")</f>
        <v>Positive</v>
      </c>
      <c r="I1556" s="207"/>
      <c r="J1556" s="50"/>
      <c r="K1556" s="50">
        <f>IFERROR(__xludf.DUMMYFUNCTION("""COMPUTED_VALUE"""),3.0)</f>
        <v>3</v>
      </c>
      <c r="L1556" s="6" t="str">
        <f>IFERROR(__xludf.DUMMYFUNCTION("""COMPUTED_VALUE"""),"Null changed to Positive")</f>
        <v>Null changed to Positive</v>
      </c>
      <c r="M1556" s="55"/>
      <c r="N1556" s="55">
        <f>IFERROR(__xludf.DUMMYFUNCTION("""COMPUTED_VALUE"""),1.0)</f>
        <v>1</v>
      </c>
      <c r="O1556" s="55" t="str">
        <f t="shared" si="3"/>
        <v/>
      </c>
      <c r="P1556" s="209"/>
      <c r="Q1556" s="75" t="b">
        <f>VLOOKUP($B1556,'Run Reconcile'!B$2:P1679,15,FALSE)</f>
        <v>1</v>
      </c>
      <c r="R1556" s="211" t="str">
        <f t="array" ref="R1556">IF($Q1556, INDEX('Run Reconcile'!A$2:A1679,MATCH(B1556,'Run Reconcile'!B$2:B1679,0),1),IFERROR(0/0,""))</f>
        <v>RUN-COMB_2022-07-22_RFR-085</v>
      </c>
      <c r="S1556" s="165" t="str">
        <f t="shared" ref="S1556:T1556" si="3111">IF(COUNTIF(W$2:W1679, $A1556) &gt; 0,TRUE,IFERROR(0/0,""))</f>
        <v/>
      </c>
      <c r="T1556" s="165" t="str">
        <f t="shared" si="3111"/>
        <v/>
      </c>
      <c r="U1556" s="147" t="str">
        <f t="array" ref="U1556">IF(ISBLANK($R1556), IF($S1556,VLOOKUP($B1556+1,'RFR Data - preExcl'!$BF$2:$BG1679,2,FALSE),IF($T1556,INDEX('RFR Data - preExcl'!$BF$2:$BG1679,MATCH($B1556,'RFR Data - preExcl'!$BF$2:$BF1679,0)+1,2),VLOOKUP($B1556,'RFR Data - preExcl'!$BF$2:$BG1679,2,FALSE))),IFERROR(0/0,""))</f>
        <v/>
      </c>
      <c r="V1556" s="212" t="str">
        <f t="shared" si="5"/>
        <v>RUN-COMB_2022-07-22_RFR-085</v>
      </c>
      <c r="W1556" s="51"/>
      <c r="X1556" s="51"/>
      <c r="Y1556" s="147" t="str">
        <f t="shared" ref="Y1556:Z1556" si="3112">IF(_xlfn.ISFORMULA(S1556),IFERROR(0/0,""),TRUE)</f>
        <v/>
      </c>
      <c r="Z1556" s="147" t="str">
        <f t="shared" si="3112"/>
        <v/>
      </c>
    </row>
    <row r="1557">
      <c r="A1557" s="6" t="str">
        <f>IFERROR(__xludf.DUMMYFUNCTION("""COMPUTED_VALUE"""),"FM1303")</f>
        <v>FM1303</v>
      </c>
      <c r="B1557" s="206">
        <f>IFERROR(__xludf.DUMMYFUNCTION("""COMPUTED_VALUE"""),44764.0)</f>
        <v>44764</v>
      </c>
      <c r="C1557" s="207">
        <f>IFERROR(__xludf.DUMMYFUNCTION("""COMPUTED_VALUE"""),0.3907638888888889)</f>
        <v>0.3907638889</v>
      </c>
      <c r="D1557" s="50"/>
      <c r="E1557" s="58"/>
      <c r="F1557" s="58"/>
      <c r="G1557" s="58" t="str">
        <f>IFERROR(__xludf.DUMMYFUNCTION("""COMPUTED_VALUE"""),"Null")</f>
        <v>Null</v>
      </c>
      <c r="H1557" s="206" t="str">
        <f>IFERROR(__xludf.DUMMYFUNCTION("""COMPUTED_VALUE"""),"Positive")</f>
        <v>Positive</v>
      </c>
      <c r="I1557" s="207"/>
      <c r="J1557" s="50"/>
      <c r="K1557" s="50">
        <f>IFERROR(__xludf.DUMMYFUNCTION("""COMPUTED_VALUE"""),3.0)</f>
        <v>3</v>
      </c>
      <c r="L1557" s="6" t="str">
        <f>IFERROR(__xludf.DUMMYFUNCTION("""COMPUTED_VALUE"""),"Null changed to Positive")</f>
        <v>Null changed to Positive</v>
      </c>
      <c r="M1557" s="55"/>
      <c r="N1557" s="55">
        <f>IFERROR(__xludf.DUMMYFUNCTION("""COMPUTED_VALUE"""),1.0)</f>
        <v>1</v>
      </c>
      <c r="O1557" s="55" t="str">
        <f t="shared" si="3"/>
        <v/>
      </c>
      <c r="P1557" s="209"/>
      <c r="Q1557" s="75" t="b">
        <f>VLOOKUP($B1557,'Run Reconcile'!B$2:P1679,15,FALSE)</f>
        <v>1</v>
      </c>
      <c r="R1557" s="211" t="str">
        <f t="array" ref="R1557">IF($Q1557, INDEX('Run Reconcile'!A$2:A1679,MATCH(B1557,'Run Reconcile'!B$2:B1679,0),1),IFERROR(0/0,""))</f>
        <v>RUN-COMB_2022-07-22_RFR-085</v>
      </c>
      <c r="S1557" s="165" t="str">
        <f t="shared" ref="S1557:T1557" si="3113">IF(COUNTIF(W$2:W1679, $A1557) &gt; 0,TRUE,IFERROR(0/0,""))</f>
        <v/>
      </c>
      <c r="T1557" s="165" t="str">
        <f t="shared" si="3113"/>
        <v/>
      </c>
      <c r="U1557" s="147" t="str">
        <f t="array" ref="U1557">IF(ISBLANK($R1557), IF($S1557,VLOOKUP($B1557+1,'RFR Data - preExcl'!$BF$2:$BG1679,2,FALSE),IF($T1557,INDEX('RFR Data - preExcl'!$BF$2:$BG1679,MATCH($B1557,'RFR Data - preExcl'!$BF$2:$BF1679,0)+1,2),VLOOKUP($B1557,'RFR Data - preExcl'!$BF$2:$BG1679,2,FALSE))),IFERROR(0/0,""))</f>
        <v/>
      </c>
      <c r="V1557" s="212" t="str">
        <f t="shared" si="5"/>
        <v>RUN-COMB_2022-07-22_RFR-085</v>
      </c>
      <c r="W1557" s="51"/>
      <c r="X1557" s="51"/>
      <c r="Y1557" s="147" t="str">
        <f t="shared" ref="Y1557:Z1557" si="3114">IF(_xlfn.ISFORMULA(S1557),IFERROR(0/0,""),TRUE)</f>
        <v/>
      </c>
      <c r="Z1557" s="147" t="str">
        <f t="shared" si="3114"/>
        <v/>
      </c>
    </row>
    <row r="1558">
      <c r="A1558" s="6" t="str">
        <f>IFERROR(__xludf.DUMMYFUNCTION("""COMPUTED_VALUE"""),"FM1300")</f>
        <v>FM1300</v>
      </c>
      <c r="B1558" s="206">
        <f>IFERROR(__xludf.DUMMYFUNCTION("""COMPUTED_VALUE"""),44774.0)</f>
        <v>44774</v>
      </c>
      <c r="C1558" s="207">
        <f>IFERROR(__xludf.DUMMYFUNCTION("""COMPUTED_VALUE"""),0.7390509259259259)</f>
        <v>0.7390509259</v>
      </c>
      <c r="D1558" s="50"/>
      <c r="E1558" s="58"/>
      <c r="F1558" s="58"/>
      <c r="G1558" s="58" t="str">
        <f>IFERROR(__xludf.DUMMYFUNCTION("""COMPUTED_VALUE"""),"Null")</f>
        <v>Null</v>
      </c>
      <c r="H1558" s="206" t="str">
        <f>IFERROR(__xludf.DUMMYFUNCTION("""COMPUTED_VALUE"""),"Negative")</f>
        <v>Negative</v>
      </c>
      <c r="I1558" s="207"/>
      <c r="J1558" s="50"/>
      <c r="K1558" s="50">
        <f>IFERROR(__xludf.DUMMYFUNCTION("""COMPUTED_VALUE"""),2.0)</f>
        <v>2</v>
      </c>
      <c r="L1558" s="6"/>
      <c r="M1558" s="55"/>
      <c r="N1558" s="55">
        <f>IFERROR(__xludf.DUMMYFUNCTION("""COMPUTED_VALUE"""),1.0)</f>
        <v>1</v>
      </c>
      <c r="O1558" s="55" t="b">
        <f t="shared" si="3"/>
        <v>1</v>
      </c>
      <c r="P1558" s="209"/>
      <c r="Q1558" s="75" t="b">
        <f>VLOOKUP($B1558,'Run Reconcile'!B$2:P1679,15,FALSE)</f>
        <v>1</v>
      </c>
      <c r="R1558" s="211" t="str">
        <f t="array" ref="R1558">IF($Q1558, INDEX('Run Reconcile'!A$2:A1679,MATCH(B1558,'Run Reconcile'!B$2:B1679,0),1),IFERROR(0/0,""))</f>
        <v>RUN-COMB_2022-08-01_RFR-088</v>
      </c>
      <c r="S1558" s="165" t="str">
        <f t="shared" ref="S1558:T1558" si="3115">IF(COUNTIF(W$2:W1679, $A1558) &gt; 0,TRUE,IFERROR(0/0,""))</f>
        <v/>
      </c>
      <c r="T1558" s="165" t="str">
        <f t="shared" si="3115"/>
        <v/>
      </c>
      <c r="U1558" s="147" t="str">
        <f t="array" ref="U1558">IF(ISBLANK($R1558), IF($S1558,VLOOKUP($B1558+1,'RFR Data - preExcl'!$BF$2:$BG1679,2,FALSE),IF($T1558,INDEX('RFR Data - preExcl'!$BF$2:$BG1679,MATCH($B1558,'RFR Data - preExcl'!$BF$2:$BF1679,0)+1,2),VLOOKUP($B1558,'RFR Data - preExcl'!$BF$2:$BG1679,2,FALSE))),IFERROR(0/0,""))</f>
        <v/>
      </c>
      <c r="V1558" s="212" t="str">
        <f t="shared" si="5"/>
        <v>RUN-COMB_2022-08-01_RFR-088</v>
      </c>
      <c r="W1558" s="51"/>
      <c r="X1558" s="51"/>
      <c r="Y1558" s="147" t="str">
        <f t="shared" ref="Y1558:Z1558" si="3116">IF(_xlfn.ISFORMULA(S1558),IFERROR(0/0,""),TRUE)</f>
        <v/>
      </c>
      <c r="Z1558" s="147" t="str">
        <f t="shared" si="3116"/>
        <v/>
      </c>
    </row>
    <row r="1559">
      <c r="A1559" s="6" t="str">
        <f>IFERROR(__xludf.DUMMYFUNCTION("""COMPUTED_VALUE"""),"FM1278")</f>
        <v>FM1278</v>
      </c>
      <c r="B1559" s="206">
        <f>IFERROR(__xludf.DUMMYFUNCTION("""COMPUTED_VALUE"""),44774.0)</f>
        <v>44774</v>
      </c>
      <c r="C1559" s="207">
        <f>IFERROR(__xludf.DUMMYFUNCTION("""COMPUTED_VALUE"""),0.739386574074074)</f>
        <v>0.7393865741</v>
      </c>
      <c r="D1559" s="50"/>
      <c r="E1559" s="58"/>
      <c r="F1559" s="58"/>
      <c r="G1559" s="58" t="str">
        <f>IFERROR(__xludf.DUMMYFUNCTION("""COMPUTED_VALUE"""),"Null")</f>
        <v>Null</v>
      </c>
      <c r="H1559" s="206" t="str">
        <f>IFERROR(__xludf.DUMMYFUNCTION("""COMPUTED_VALUE"""),"Negative")</f>
        <v>Negative</v>
      </c>
      <c r="I1559" s="207"/>
      <c r="J1559" s="50"/>
      <c r="K1559" s="50">
        <f>IFERROR(__xludf.DUMMYFUNCTION("""COMPUTED_VALUE"""),2.0)</f>
        <v>2</v>
      </c>
      <c r="L1559" s="6"/>
      <c r="M1559" s="55"/>
      <c r="N1559" s="55">
        <f>IFERROR(__xludf.DUMMYFUNCTION("""COMPUTED_VALUE"""),1.0)</f>
        <v>1</v>
      </c>
      <c r="O1559" s="55" t="str">
        <f t="shared" si="3"/>
        <v/>
      </c>
      <c r="P1559" s="209"/>
      <c r="Q1559" s="75" t="b">
        <f>VLOOKUP($B1559,'Run Reconcile'!B$2:P1679,15,FALSE)</f>
        <v>1</v>
      </c>
      <c r="R1559" s="211" t="str">
        <f t="array" ref="R1559">IF($Q1559, INDEX('Run Reconcile'!A$2:A1679,MATCH(B1559,'Run Reconcile'!B$2:B1679,0),1),IFERROR(0/0,""))</f>
        <v>RUN-COMB_2022-08-01_RFR-088</v>
      </c>
      <c r="S1559" s="165" t="str">
        <f t="shared" ref="S1559:T1559" si="3117">IF(COUNTIF(W$2:W1679, $A1559) &gt; 0,TRUE,IFERROR(0/0,""))</f>
        <v/>
      </c>
      <c r="T1559" s="165" t="str">
        <f t="shared" si="3117"/>
        <v/>
      </c>
      <c r="U1559" s="147" t="str">
        <f t="array" ref="U1559">IF(ISBLANK($R1559), IF($S1559,VLOOKUP($B1559+1,'RFR Data - preExcl'!$BF$2:$BG1679,2,FALSE),IF($T1559,INDEX('RFR Data - preExcl'!$BF$2:$BG1679,MATCH($B1559,'RFR Data - preExcl'!$BF$2:$BF1679,0)+1,2),VLOOKUP($B1559,'RFR Data - preExcl'!$BF$2:$BG1679,2,FALSE))),IFERROR(0/0,""))</f>
        <v/>
      </c>
      <c r="V1559" s="212" t="str">
        <f t="shared" si="5"/>
        <v>RUN-COMB_2022-08-01_RFR-088</v>
      </c>
      <c r="W1559" s="51"/>
      <c r="X1559" s="51"/>
      <c r="Y1559" s="147" t="str">
        <f t="shared" ref="Y1559:Z1559" si="3118">IF(_xlfn.ISFORMULA(S1559),IFERROR(0/0,""),TRUE)</f>
        <v/>
      </c>
      <c r="Z1559" s="147" t="str">
        <f t="shared" si="3118"/>
        <v/>
      </c>
    </row>
    <row r="1560">
      <c r="A1560" s="6" t="str">
        <f>IFERROR(__xludf.DUMMYFUNCTION("""COMPUTED_VALUE"""),"FM1284")</f>
        <v>FM1284</v>
      </c>
      <c r="B1560" s="206">
        <f>IFERROR(__xludf.DUMMYFUNCTION("""COMPUTED_VALUE"""),44774.0)</f>
        <v>44774</v>
      </c>
      <c r="C1560" s="207">
        <f>IFERROR(__xludf.DUMMYFUNCTION("""COMPUTED_VALUE"""),0.7397222222222222)</f>
        <v>0.7397222222</v>
      </c>
      <c r="D1560" s="50"/>
      <c r="E1560" s="58"/>
      <c r="F1560" s="58"/>
      <c r="G1560" s="58" t="str">
        <f>IFERROR(__xludf.DUMMYFUNCTION("""COMPUTED_VALUE"""),"Null")</f>
        <v>Null</v>
      </c>
      <c r="H1560" s="206" t="str">
        <f>IFERROR(__xludf.DUMMYFUNCTION("""COMPUTED_VALUE"""),"Negative")</f>
        <v>Negative</v>
      </c>
      <c r="I1560" s="207"/>
      <c r="J1560" s="50"/>
      <c r="K1560" s="50">
        <f>IFERROR(__xludf.DUMMYFUNCTION("""COMPUTED_VALUE"""),2.0)</f>
        <v>2</v>
      </c>
      <c r="L1560" s="6"/>
      <c r="M1560" s="55"/>
      <c r="N1560" s="55">
        <f>IFERROR(__xludf.DUMMYFUNCTION("""COMPUTED_VALUE"""),1.0)</f>
        <v>1</v>
      </c>
      <c r="O1560" s="55" t="str">
        <f t="shared" si="3"/>
        <v/>
      </c>
      <c r="P1560" s="209"/>
      <c r="Q1560" s="75" t="b">
        <f>VLOOKUP($B1560,'Run Reconcile'!B$2:P1679,15,FALSE)</f>
        <v>1</v>
      </c>
      <c r="R1560" s="211" t="str">
        <f t="array" ref="R1560">IF($Q1560, INDEX('Run Reconcile'!A$2:A1679,MATCH(B1560,'Run Reconcile'!B$2:B1679,0),1),IFERROR(0/0,""))</f>
        <v>RUN-COMB_2022-08-01_RFR-088</v>
      </c>
      <c r="S1560" s="165" t="str">
        <f t="shared" ref="S1560:T1560" si="3119">IF(COUNTIF(W$2:W1679, $A1560) &gt; 0,TRUE,IFERROR(0/0,""))</f>
        <v/>
      </c>
      <c r="T1560" s="165" t="str">
        <f t="shared" si="3119"/>
        <v/>
      </c>
      <c r="U1560" s="147" t="str">
        <f t="array" ref="U1560">IF(ISBLANK($R1560), IF($S1560,VLOOKUP($B1560+1,'RFR Data - preExcl'!$BF$2:$BG1679,2,FALSE),IF($T1560,INDEX('RFR Data - preExcl'!$BF$2:$BG1679,MATCH($B1560,'RFR Data - preExcl'!$BF$2:$BF1679,0)+1,2),VLOOKUP($B1560,'RFR Data - preExcl'!$BF$2:$BG1679,2,FALSE))),IFERROR(0/0,""))</f>
        <v/>
      </c>
      <c r="V1560" s="212" t="str">
        <f t="shared" si="5"/>
        <v>RUN-COMB_2022-08-01_RFR-088</v>
      </c>
      <c r="W1560" s="51"/>
      <c r="X1560" s="51"/>
      <c r="Y1560" s="147" t="str">
        <f t="shared" ref="Y1560:Z1560" si="3120">IF(_xlfn.ISFORMULA(S1560),IFERROR(0/0,""),TRUE)</f>
        <v/>
      </c>
      <c r="Z1560" s="147" t="str">
        <f t="shared" si="3120"/>
        <v/>
      </c>
    </row>
    <row r="1561">
      <c r="A1561" s="6" t="str">
        <f>IFERROR(__xludf.DUMMYFUNCTION("""COMPUTED_VALUE"""),"FM1063")</f>
        <v>FM1063</v>
      </c>
      <c r="B1561" s="206">
        <f>IFERROR(__xludf.DUMMYFUNCTION("""COMPUTED_VALUE"""),44774.0)</f>
        <v>44774</v>
      </c>
      <c r="C1561" s="207">
        <f>IFERROR(__xludf.DUMMYFUNCTION("""COMPUTED_VALUE"""),0.7399768518518518)</f>
        <v>0.7399768519</v>
      </c>
      <c r="D1561" s="50"/>
      <c r="E1561" s="58"/>
      <c r="F1561" s="58"/>
      <c r="G1561" s="58" t="str">
        <f>IFERROR(__xludf.DUMMYFUNCTION("""COMPUTED_VALUE"""),"Null")</f>
        <v>Null</v>
      </c>
      <c r="H1561" s="206" t="str">
        <f>IFERROR(__xludf.DUMMYFUNCTION("""COMPUTED_VALUE"""),"Negative")</f>
        <v>Negative</v>
      </c>
      <c r="I1561" s="207"/>
      <c r="J1561" s="50"/>
      <c r="K1561" s="50">
        <f>IFERROR(__xludf.DUMMYFUNCTION("""COMPUTED_VALUE"""),2.0)</f>
        <v>2</v>
      </c>
      <c r="L1561" s="6"/>
      <c r="M1561" s="55"/>
      <c r="N1561" s="55">
        <f>IFERROR(__xludf.DUMMYFUNCTION("""COMPUTED_VALUE"""),1.0)</f>
        <v>1</v>
      </c>
      <c r="O1561" s="55" t="str">
        <f t="shared" si="3"/>
        <v/>
      </c>
      <c r="P1561" s="209"/>
      <c r="Q1561" s="75" t="b">
        <f>VLOOKUP($B1561,'Run Reconcile'!B$2:P1679,15,FALSE)</f>
        <v>1</v>
      </c>
      <c r="R1561" s="211" t="str">
        <f t="array" ref="R1561">IF($Q1561, INDEX('Run Reconcile'!A$2:A1679,MATCH(B1561,'Run Reconcile'!B$2:B1679,0),1),IFERROR(0/0,""))</f>
        <v>RUN-COMB_2022-08-01_RFR-088</v>
      </c>
      <c r="S1561" s="165" t="str">
        <f t="shared" ref="S1561:T1561" si="3121">IF(COUNTIF(W$2:W1679, $A1561) &gt; 0,TRUE,IFERROR(0/0,""))</f>
        <v/>
      </c>
      <c r="T1561" s="165" t="str">
        <f t="shared" si="3121"/>
        <v/>
      </c>
      <c r="U1561" s="147" t="str">
        <f t="array" ref="U1561">IF(ISBLANK($R1561), IF($S1561,VLOOKUP($B1561+1,'RFR Data - preExcl'!$BF$2:$BG1679,2,FALSE),IF($T1561,INDEX('RFR Data - preExcl'!$BF$2:$BG1679,MATCH($B1561,'RFR Data - preExcl'!$BF$2:$BF1679,0)+1,2),VLOOKUP($B1561,'RFR Data - preExcl'!$BF$2:$BG1679,2,FALSE))),IFERROR(0/0,""))</f>
        <v/>
      </c>
      <c r="V1561" s="212" t="str">
        <f t="shared" si="5"/>
        <v>RUN-COMB_2022-08-01_RFR-088</v>
      </c>
      <c r="W1561" s="51"/>
      <c r="X1561" s="51"/>
      <c r="Y1561" s="147" t="str">
        <f t="shared" ref="Y1561:Z1561" si="3122">IF(_xlfn.ISFORMULA(S1561),IFERROR(0/0,""),TRUE)</f>
        <v/>
      </c>
      <c r="Z1561" s="147" t="str">
        <f t="shared" si="3122"/>
        <v/>
      </c>
    </row>
    <row r="1562">
      <c r="A1562" s="6" t="str">
        <f>IFERROR(__xludf.DUMMYFUNCTION("""COMPUTED_VALUE"""),"FM1071")</f>
        <v>FM1071</v>
      </c>
      <c r="B1562" s="206">
        <f>IFERROR(__xludf.DUMMYFUNCTION("""COMPUTED_VALUE"""),44774.0)</f>
        <v>44774</v>
      </c>
      <c r="C1562" s="207">
        <f>IFERROR(__xludf.DUMMYFUNCTION("""COMPUTED_VALUE"""),0.7414930555555556)</f>
        <v>0.7414930556</v>
      </c>
      <c r="D1562" s="50"/>
      <c r="E1562" s="58"/>
      <c r="F1562" s="58"/>
      <c r="G1562" s="58" t="str">
        <f>IFERROR(__xludf.DUMMYFUNCTION("""COMPUTED_VALUE"""),"Null")</f>
        <v>Null</v>
      </c>
      <c r="H1562" s="206" t="str">
        <f>IFERROR(__xludf.DUMMYFUNCTION("""COMPUTED_VALUE"""),"Negative")</f>
        <v>Negative</v>
      </c>
      <c r="I1562" s="207"/>
      <c r="J1562" s="50"/>
      <c r="K1562" s="50">
        <f>IFERROR(__xludf.DUMMYFUNCTION("""COMPUTED_VALUE"""),2.0)</f>
        <v>2</v>
      </c>
      <c r="L1562" s="6"/>
      <c r="M1562" s="55"/>
      <c r="N1562" s="55">
        <f>IFERROR(__xludf.DUMMYFUNCTION("""COMPUTED_VALUE"""),1.0)</f>
        <v>1</v>
      </c>
      <c r="O1562" s="55" t="str">
        <f t="shared" si="3"/>
        <v/>
      </c>
      <c r="P1562" s="209"/>
      <c r="Q1562" s="75" t="b">
        <f>VLOOKUP($B1562,'Run Reconcile'!B$2:P1679,15,FALSE)</f>
        <v>1</v>
      </c>
      <c r="R1562" s="211" t="str">
        <f t="array" ref="R1562">IF($Q1562, INDEX('Run Reconcile'!A$2:A1679,MATCH(B1562,'Run Reconcile'!B$2:B1679,0),1),IFERROR(0/0,""))</f>
        <v>RUN-COMB_2022-08-01_RFR-088</v>
      </c>
      <c r="S1562" s="165" t="str">
        <f t="shared" ref="S1562:T1562" si="3123">IF(COUNTIF(W$2:W1679, $A1562) &gt; 0,TRUE,IFERROR(0/0,""))</f>
        <v/>
      </c>
      <c r="T1562" s="165" t="str">
        <f t="shared" si="3123"/>
        <v/>
      </c>
      <c r="U1562" s="147" t="str">
        <f t="array" ref="U1562">IF(ISBLANK($R1562), IF($S1562,VLOOKUP($B1562+1,'RFR Data - preExcl'!$BF$2:$BG1679,2,FALSE),IF($T1562,INDEX('RFR Data - preExcl'!$BF$2:$BG1679,MATCH($B1562,'RFR Data - preExcl'!$BF$2:$BF1679,0)+1,2),VLOOKUP($B1562,'RFR Data - preExcl'!$BF$2:$BG1679,2,FALSE))),IFERROR(0/0,""))</f>
        <v/>
      </c>
      <c r="V1562" s="212" t="str">
        <f t="shared" si="5"/>
        <v>RUN-COMB_2022-08-01_RFR-088</v>
      </c>
      <c r="W1562" s="51"/>
      <c r="X1562" s="51"/>
      <c r="Y1562" s="147" t="str">
        <f t="shared" ref="Y1562:Z1562" si="3124">IF(_xlfn.ISFORMULA(S1562),IFERROR(0/0,""),TRUE)</f>
        <v/>
      </c>
      <c r="Z1562" s="147" t="str">
        <f t="shared" si="3124"/>
        <v/>
      </c>
    </row>
    <row r="1563">
      <c r="A1563" s="6" t="str">
        <f>IFERROR(__xludf.DUMMYFUNCTION("""COMPUTED_VALUE"""),"FM1070")</f>
        <v>FM1070</v>
      </c>
      <c r="B1563" s="206">
        <f>IFERROR(__xludf.DUMMYFUNCTION("""COMPUTED_VALUE"""),44774.0)</f>
        <v>44774</v>
      </c>
      <c r="C1563" s="207">
        <f>IFERROR(__xludf.DUMMYFUNCTION("""COMPUTED_VALUE"""),0.7418287037037037)</f>
        <v>0.7418287037</v>
      </c>
      <c r="D1563" s="50"/>
      <c r="E1563" s="58"/>
      <c r="F1563" s="58"/>
      <c r="G1563" s="58" t="str">
        <f>IFERROR(__xludf.DUMMYFUNCTION("""COMPUTED_VALUE"""),"Null")</f>
        <v>Null</v>
      </c>
      <c r="H1563" s="206" t="str">
        <f>IFERROR(__xludf.DUMMYFUNCTION("""COMPUTED_VALUE"""),"Negative")</f>
        <v>Negative</v>
      </c>
      <c r="I1563" s="207"/>
      <c r="J1563" s="50"/>
      <c r="K1563" s="50">
        <f>IFERROR(__xludf.DUMMYFUNCTION("""COMPUTED_VALUE"""),2.0)</f>
        <v>2</v>
      </c>
      <c r="L1563" s="6"/>
      <c r="M1563" s="55"/>
      <c r="N1563" s="55">
        <f>IFERROR(__xludf.DUMMYFUNCTION("""COMPUTED_VALUE"""),1.0)</f>
        <v>1</v>
      </c>
      <c r="O1563" s="55" t="str">
        <f t="shared" si="3"/>
        <v/>
      </c>
      <c r="P1563" s="209"/>
      <c r="Q1563" s="75" t="b">
        <f>VLOOKUP($B1563,'Run Reconcile'!B$2:P1679,15,FALSE)</f>
        <v>1</v>
      </c>
      <c r="R1563" s="211" t="str">
        <f t="array" ref="R1563">IF($Q1563, INDEX('Run Reconcile'!A$2:A1679,MATCH(B1563,'Run Reconcile'!B$2:B1679,0),1),IFERROR(0/0,""))</f>
        <v>RUN-COMB_2022-08-01_RFR-088</v>
      </c>
      <c r="S1563" s="165" t="str">
        <f t="shared" ref="S1563:T1563" si="3125">IF(COUNTIF(W$2:W1679, $A1563) &gt; 0,TRUE,IFERROR(0/0,""))</f>
        <v/>
      </c>
      <c r="T1563" s="165" t="str">
        <f t="shared" si="3125"/>
        <v/>
      </c>
      <c r="U1563" s="147" t="str">
        <f t="array" ref="U1563">IF(ISBLANK($R1563), IF($S1563,VLOOKUP($B1563+1,'RFR Data - preExcl'!$BF$2:$BG1679,2,FALSE),IF($T1563,INDEX('RFR Data - preExcl'!$BF$2:$BG1679,MATCH($B1563,'RFR Data - preExcl'!$BF$2:$BF1679,0)+1,2),VLOOKUP($B1563,'RFR Data - preExcl'!$BF$2:$BG1679,2,FALSE))),IFERROR(0/0,""))</f>
        <v/>
      </c>
      <c r="V1563" s="212" t="str">
        <f t="shared" si="5"/>
        <v>RUN-COMB_2022-08-01_RFR-088</v>
      </c>
      <c r="W1563" s="51"/>
      <c r="X1563" s="51"/>
      <c r="Y1563" s="147" t="str">
        <f t="shared" ref="Y1563:Z1563" si="3126">IF(_xlfn.ISFORMULA(S1563),IFERROR(0/0,""),TRUE)</f>
        <v/>
      </c>
      <c r="Z1563" s="147" t="str">
        <f t="shared" si="3126"/>
        <v/>
      </c>
    </row>
    <row r="1564">
      <c r="A1564" s="6" t="str">
        <f>IFERROR(__xludf.DUMMYFUNCTION("""COMPUTED_VALUE"""),"FM1050")</f>
        <v>FM1050</v>
      </c>
      <c r="B1564" s="206">
        <f>IFERROR(__xludf.DUMMYFUNCTION("""COMPUTED_VALUE"""),44774.0)</f>
        <v>44774</v>
      </c>
      <c r="C1564" s="207">
        <f>IFERROR(__xludf.DUMMYFUNCTION("""COMPUTED_VALUE"""),0.7425694444444444)</f>
        <v>0.7425694444</v>
      </c>
      <c r="D1564" s="50"/>
      <c r="E1564" s="58"/>
      <c r="F1564" s="58"/>
      <c r="G1564" s="58" t="str">
        <f>IFERROR(__xludf.DUMMYFUNCTION("""COMPUTED_VALUE"""),"Null")</f>
        <v>Null</v>
      </c>
      <c r="H1564" s="206" t="str">
        <f>IFERROR(__xludf.DUMMYFUNCTION("""COMPUTED_VALUE"""),"Negative")</f>
        <v>Negative</v>
      </c>
      <c r="I1564" s="207"/>
      <c r="J1564" s="50"/>
      <c r="K1564" s="50">
        <f>IFERROR(__xludf.DUMMYFUNCTION("""COMPUTED_VALUE"""),2.0)</f>
        <v>2</v>
      </c>
      <c r="L1564" s="6"/>
      <c r="M1564" s="55"/>
      <c r="N1564" s="55">
        <f>IFERROR(__xludf.DUMMYFUNCTION("""COMPUTED_VALUE"""),1.0)</f>
        <v>1</v>
      </c>
      <c r="O1564" s="55" t="str">
        <f t="shared" si="3"/>
        <v/>
      </c>
      <c r="P1564" s="209"/>
      <c r="Q1564" s="75" t="b">
        <f>VLOOKUP($B1564,'Run Reconcile'!B$2:P1679,15,FALSE)</f>
        <v>1</v>
      </c>
      <c r="R1564" s="211" t="str">
        <f t="array" ref="R1564">IF($Q1564, INDEX('Run Reconcile'!A$2:A1679,MATCH(B1564,'Run Reconcile'!B$2:B1679,0),1),IFERROR(0/0,""))</f>
        <v>RUN-COMB_2022-08-01_RFR-088</v>
      </c>
      <c r="S1564" s="165" t="str">
        <f t="shared" ref="S1564:T1564" si="3127">IF(COUNTIF(W$2:W1679, $A1564) &gt; 0,TRUE,IFERROR(0/0,""))</f>
        <v/>
      </c>
      <c r="T1564" s="165" t="str">
        <f t="shared" si="3127"/>
        <v/>
      </c>
      <c r="U1564" s="147" t="str">
        <f t="array" ref="U1564">IF(ISBLANK($R1564), IF($S1564,VLOOKUP($B1564+1,'RFR Data - preExcl'!$BF$2:$BG1679,2,FALSE),IF($T1564,INDEX('RFR Data - preExcl'!$BF$2:$BG1679,MATCH($B1564,'RFR Data - preExcl'!$BF$2:$BF1679,0)+1,2),VLOOKUP($B1564,'RFR Data - preExcl'!$BF$2:$BG1679,2,FALSE))),IFERROR(0/0,""))</f>
        <v/>
      </c>
      <c r="V1564" s="212" t="str">
        <f t="shared" si="5"/>
        <v>RUN-COMB_2022-08-01_RFR-088</v>
      </c>
      <c r="W1564" s="51"/>
      <c r="X1564" s="51"/>
      <c r="Y1564" s="147" t="str">
        <f t="shared" ref="Y1564:Z1564" si="3128">IF(_xlfn.ISFORMULA(S1564),IFERROR(0/0,""),TRUE)</f>
        <v/>
      </c>
      <c r="Z1564" s="147" t="str">
        <f t="shared" si="3128"/>
        <v/>
      </c>
    </row>
    <row r="1565">
      <c r="A1565" s="6" t="str">
        <f>IFERROR(__xludf.DUMMYFUNCTION("""COMPUTED_VALUE"""),"FM1145")</f>
        <v>FM1145</v>
      </c>
      <c r="B1565" s="206">
        <f>IFERROR(__xludf.DUMMYFUNCTION("""COMPUTED_VALUE"""),44774.0)</f>
        <v>44774</v>
      </c>
      <c r="C1565" s="207">
        <f>IFERROR(__xludf.DUMMYFUNCTION("""COMPUTED_VALUE"""),0.7428819444444444)</f>
        <v>0.7428819444</v>
      </c>
      <c r="D1565" s="50"/>
      <c r="E1565" s="58"/>
      <c r="F1565" s="58"/>
      <c r="G1565" s="58" t="str">
        <f>IFERROR(__xludf.DUMMYFUNCTION("""COMPUTED_VALUE"""),"Null")</f>
        <v>Null</v>
      </c>
      <c r="H1565" s="206" t="str">
        <f>IFERROR(__xludf.DUMMYFUNCTION("""COMPUTED_VALUE"""),"Negative")</f>
        <v>Negative</v>
      </c>
      <c r="I1565" s="207"/>
      <c r="J1565" s="50"/>
      <c r="K1565" s="50">
        <f>IFERROR(__xludf.DUMMYFUNCTION("""COMPUTED_VALUE"""),2.0)</f>
        <v>2</v>
      </c>
      <c r="L1565" s="6"/>
      <c r="M1565" s="55"/>
      <c r="N1565" s="55">
        <f>IFERROR(__xludf.DUMMYFUNCTION("""COMPUTED_VALUE"""),1.0)</f>
        <v>1</v>
      </c>
      <c r="O1565" s="55" t="str">
        <f t="shared" si="3"/>
        <v/>
      </c>
      <c r="P1565" s="209"/>
      <c r="Q1565" s="75" t="b">
        <f>VLOOKUP($B1565,'Run Reconcile'!B$2:P1679,15,FALSE)</f>
        <v>1</v>
      </c>
      <c r="R1565" s="211" t="str">
        <f t="array" ref="R1565">IF($Q1565, INDEX('Run Reconcile'!A$2:A1679,MATCH(B1565,'Run Reconcile'!B$2:B1679,0),1),IFERROR(0/0,""))</f>
        <v>RUN-COMB_2022-08-01_RFR-088</v>
      </c>
      <c r="S1565" s="165" t="str">
        <f t="shared" ref="S1565:T1565" si="3129">IF(COUNTIF(W$2:W1679, $A1565) &gt; 0,TRUE,IFERROR(0/0,""))</f>
        <v/>
      </c>
      <c r="T1565" s="165" t="str">
        <f t="shared" si="3129"/>
        <v/>
      </c>
      <c r="U1565" s="147" t="str">
        <f t="array" ref="U1565">IF(ISBLANK($R1565), IF($S1565,VLOOKUP($B1565+1,'RFR Data - preExcl'!$BF$2:$BG1679,2,FALSE),IF($T1565,INDEX('RFR Data - preExcl'!$BF$2:$BG1679,MATCH($B1565,'RFR Data - preExcl'!$BF$2:$BF1679,0)+1,2),VLOOKUP($B1565,'RFR Data - preExcl'!$BF$2:$BG1679,2,FALSE))),IFERROR(0/0,""))</f>
        <v/>
      </c>
      <c r="V1565" s="212" t="str">
        <f t="shared" si="5"/>
        <v>RUN-COMB_2022-08-01_RFR-088</v>
      </c>
      <c r="W1565" s="51"/>
      <c r="X1565" s="51"/>
      <c r="Y1565" s="147" t="str">
        <f t="shared" ref="Y1565:Z1565" si="3130">IF(_xlfn.ISFORMULA(S1565),IFERROR(0/0,""),TRUE)</f>
        <v/>
      </c>
      <c r="Z1565" s="147" t="str">
        <f t="shared" si="3130"/>
        <v/>
      </c>
    </row>
    <row r="1566">
      <c r="A1566" s="6" t="str">
        <f>IFERROR(__xludf.DUMMYFUNCTION("""COMPUTED_VALUE"""),"FM1302")</f>
        <v>FM1302</v>
      </c>
      <c r="B1566" s="206">
        <f>IFERROR(__xludf.DUMMYFUNCTION("""COMPUTED_VALUE"""),44774.0)</f>
        <v>44774</v>
      </c>
      <c r="C1566" s="207">
        <f>IFERROR(__xludf.DUMMYFUNCTION("""COMPUTED_VALUE"""),0.7431365740740741)</f>
        <v>0.7431365741</v>
      </c>
      <c r="D1566" s="50"/>
      <c r="E1566" s="58"/>
      <c r="F1566" s="58"/>
      <c r="G1566" s="58" t="str">
        <f>IFERROR(__xludf.DUMMYFUNCTION("""COMPUTED_VALUE"""),"Null")</f>
        <v>Null</v>
      </c>
      <c r="H1566" s="206" t="str">
        <f>IFERROR(__xludf.DUMMYFUNCTION("""COMPUTED_VALUE"""),"Negative")</f>
        <v>Negative</v>
      </c>
      <c r="I1566" s="207"/>
      <c r="J1566" s="50"/>
      <c r="K1566" s="50">
        <f>IFERROR(__xludf.DUMMYFUNCTION("""COMPUTED_VALUE"""),2.0)</f>
        <v>2</v>
      </c>
      <c r="L1566" s="6"/>
      <c r="M1566" s="55"/>
      <c r="N1566" s="55">
        <f>IFERROR(__xludf.DUMMYFUNCTION("""COMPUTED_VALUE"""),1.0)</f>
        <v>1</v>
      </c>
      <c r="O1566" s="55" t="str">
        <f t="shared" si="3"/>
        <v/>
      </c>
      <c r="P1566" s="209"/>
      <c r="Q1566" s="75" t="b">
        <f>VLOOKUP($B1566,'Run Reconcile'!B$2:P1679,15,FALSE)</f>
        <v>1</v>
      </c>
      <c r="R1566" s="211" t="str">
        <f t="array" ref="R1566">IF($Q1566, INDEX('Run Reconcile'!A$2:A1679,MATCH(B1566,'Run Reconcile'!B$2:B1679,0),1),IFERROR(0/0,""))</f>
        <v>RUN-COMB_2022-08-01_RFR-088</v>
      </c>
      <c r="S1566" s="165" t="str">
        <f t="shared" ref="S1566:T1566" si="3131">IF(COUNTIF(W$2:W1679, $A1566) &gt; 0,TRUE,IFERROR(0/0,""))</f>
        <v/>
      </c>
      <c r="T1566" s="165" t="str">
        <f t="shared" si="3131"/>
        <v/>
      </c>
      <c r="U1566" s="147" t="str">
        <f t="array" ref="U1566">IF(ISBLANK($R1566), IF($S1566,VLOOKUP($B1566+1,'RFR Data - preExcl'!$BF$2:$BG1679,2,FALSE),IF($T1566,INDEX('RFR Data - preExcl'!$BF$2:$BG1679,MATCH($B1566,'RFR Data - preExcl'!$BF$2:$BF1679,0)+1,2),VLOOKUP($B1566,'RFR Data - preExcl'!$BF$2:$BG1679,2,FALSE))),IFERROR(0/0,""))</f>
        <v/>
      </c>
      <c r="V1566" s="212" t="str">
        <f t="shared" si="5"/>
        <v>RUN-COMB_2022-08-01_RFR-088</v>
      </c>
      <c r="W1566" s="51"/>
      <c r="X1566" s="51"/>
      <c r="Y1566" s="147" t="str">
        <f t="shared" ref="Y1566:Z1566" si="3132">IF(_xlfn.ISFORMULA(S1566),IFERROR(0/0,""),TRUE)</f>
        <v/>
      </c>
      <c r="Z1566" s="147" t="str">
        <f t="shared" si="3132"/>
        <v/>
      </c>
    </row>
    <row r="1567">
      <c r="A1567" s="6" t="str">
        <f>IFERROR(__xludf.DUMMYFUNCTION("""COMPUTED_VALUE"""),"FM1274")</f>
        <v>FM1274</v>
      </c>
      <c r="B1567" s="206">
        <f>IFERROR(__xludf.DUMMYFUNCTION("""COMPUTED_VALUE"""),44774.0)</f>
        <v>44774</v>
      </c>
      <c r="C1567" s="207">
        <f>IFERROR(__xludf.DUMMYFUNCTION("""COMPUTED_VALUE"""),0.7446064814814815)</f>
        <v>0.7446064815</v>
      </c>
      <c r="D1567" s="50"/>
      <c r="E1567" s="58"/>
      <c r="F1567" s="58"/>
      <c r="G1567" s="58" t="str">
        <f>IFERROR(__xludf.DUMMYFUNCTION("""COMPUTED_VALUE"""),"Null")</f>
        <v>Null</v>
      </c>
      <c r="H1567" s="206" t="str">
        <f>IFERROR(__xludf.DUMMYFUNCTION("""COMPUTED_VALUE"""),"Negative")</f>
        <v>Negative</v>
      </c>
      <c r="I1567" s="207"/>
      <c r="J1567" s="50"/>
      <c r="K1567" s="50">
        <f>IFERROR(__xludf.DUMMYFUNCTION("""COMPUTED_VALUE"""),2.0)</f>
        <v>2</v>
      </c>
      <c r="L1567" s="6"/>
      <c r="M1567" s="55"/>
      <c r="N1567" s="55">
        <f>IFERROR(__xludf.DUMMYFUNCTION("""COMPUTED_VALUE"""),1.0)</f>
        <v>1</v>
      </c>
      <c r="O1567" s="55" t="str">
        <f t="shared" si="3"/>
        <v/>
      </c>
      <c r="P1567" s="209"/>
      <c r="Q1567" s="75" t="b">
        <f>VLOOKUP($B1567,'Run Reconcile'!B$2:P1679,15,FALSE)</f>
        <v>1</v>
      </c>
      <c r="R1567" s="211" t="str">
        <f t="array" ref="R1567">IF($Q1567, INDEX('Run Reconcile'!A$2:A1679,MATCH(B1567,'Run Reconcile'!B$2:B1679,0),1),IFERROR(0/0,""))</f>
        <v>RUN-COMB_2022-08-01_RFR-088</v>
      </c>
      <c r="S1567" s="165" t="str">
        <f t="shared" ref="S1567:T1567" si="3133">IF(COUNTIF(W$2:W1679, $A1567) &gt; 0,TRUE,IFERROR(0/0,""))</f>
        <v/>
      </c>
      <c r="T1567" s="165" t="str">
        <f t="shared" si="3133"/>
        <v/>
      </c>
      <c r="U1567" s="147" t="str">
        <f t="array" ref="U1567">IF(ISBLANK($R1567), IF($S1567,VLOOKUP($B1567+1,'RFR Data - preExcl'!$BF$2:$BG1679,2,FALSE),IF($T1567,INDEX('RFR Data - preExcl'!$BF$2:$BG1679,MATCH($B1567,'RFR Data - preExcl'!$BF$2:$BF1679,0)+1,2),VLOOKUP($B1567,'RFR Data - preExcl'!$BF$2:$BG1679,2,FALSE))),IFERROR(0/0,""))</f>
        <v/>
      </c>
      <c r="V1567" s="212" t="str">
        <f t="shared" si="5"/>
        <v>RUN-COMB_2022-08-01_RFR-088</v>
      </c>
      <c r="W1567" s="51"/>
      <c r="X1567" s="51"/>
      <c r="Y1567" s="147" t="str">
        <f t="shared" ref="Y1567:Z1567" si="3134">IF(_xlfn.ISFORMULA(S1567),IFERROR(0/0,""),TRUE)</f>
        <v/>
      </c>
      <c r="Z1567" s="147" t="str">
        <f t="shared" si="3134"/>
        <v/>
      </c>
    </row>
    <row r="1568">
      <c r="A1568" s="6" t="str">
        <f>IFERROR(__xludf.DUMMYFUNCTION("""COMPUTED_VALUE"""),"FM1292")</f>
        <v>FM1292</v>
      </c>
      <c r="B1568" s="206">
        <f>IFERROR(__xludf.DUMMYFUNCTION("""COMPUTED_VALUE"""),44774.0)</f>
        <v>44774</v>
      </c>
      <c r="C1568" s="207">
        <f>IFERROR(__xludf.DUMMYFUNCTION("""COMPUTED_VALUE"""),0.7449652777777778)</f>
        <v>0.7449652778</v>
      </c>
      <c r="D1568" s="50"/>
      <c r="E1568" s="58"/>
      <c r="F1568" s="58"/>
      <c r="G1568" s="58" t="str">
        <f>IFERROR(__xludf.DUMMYFUNCTION("""COMPUTED_VALUE"""),"Null")</f>
        <v>Null</v>
      </c>
      <c r="H1568" s="206" t="str">
        <f>IFERROR(__xludf.DUMMYFUNCTION("""COMPUTED_VALUE"""),"Negative")</f>
        <v>Negative</v>
      </c>
      <c r="I1568" s="207"/>
      <c r="J1568" s="50"/>
      <c r="K1568" s="50">
        <f>IFERROR(__xludf.DUMMYFUNCTION("""COMPUTED_VALUE"""),2.0)</f>
        <v>2</v>
      </c>
      <c r="L1568" s="6"/>
      <c r="M1568" s="55"/>
      <c r="N1568" s="55">
        <f>IFERROR(__xludf.DUMMYFUNCTION("""COMPUTED_VALUE"""),1.0)</f>
        <v>1</v>
      </c>
      <c r="O1568" s="55" t="str">
        <f t="shared" si="3"/>
        <v/>
      </c>
      <c r="P1568" s="209"/>
      <c r="Q1568" s="75" t="b">
        <f>VLOOKUP($B1568,'Run Reconcile'!B$2:P1679,15,FALSE)</f>
        <v>1</v>
      </c>
      <c r="R1568" s="211" t="str">
        <f t="array" ref="R1568">IF($Q1568, INDEX('Run Reconcile'!A$2:A1679,MATCH(B1568,'Run Reconcile'!B$2:B1679,0),1),IFERROR(0/0,""))</f>
        <v>RUN-COMB_2022-08-01_RFR-088</v>
      </c>
      <c r="S1568" s="165" t="str">
        <f t="shared" ref="S1568:T1568" si="3135">IF(COUNTIF(W$2:W1679, $A1568) &gt; 0,TRUE,IFERROR(0/0,""))</f>
        <v/>
      </c>
      <c r="T1568" s="165" t="str">
        <f t="shared" si="3135"/>
        <v/>
      </c>
      <c r="U1568" s="147" t="str">
        <f t="array" ref="U1568">IF(ISBLANK($R1568), IF($S1568,VLOOKUP($B1568+1,'RFR Data - preExcl'!$BF$2:$BG1679,2,FALSE),IF($T1568,INDEX('RFR Data - preExcl'!$BF$2:$BG1679,MATCH($B1568,'RFR Data - preExcl'!$BF$2:$BF1679,0)+1,2),VLOOKUP($B1568,'RFR Data - preExcl'!$BF$2:$BG1679,2,FALSE))),IFERROR(0/0,""))</f>
        <v/>
      </c>
      <c r="V1568" s="212" t="str">
        <f t="shared" si="5"/>
        <v>RUN-COMB_2022-08-01_RFR-088</v>
      </c>
      <c r="W1568" s="51"/>
      <c r="X1568" s="51"/>
      <c r="Y1568" s="147" t="str">
        <f t="shared" ref="Y1568:Z1568" si="3136">IF(_xlfn.ISFORMULA(S1568),IFERROR(0/0,""),TRUE)</f>
        <v/>
      </c>
      <c r="Z1568" s="147" t="str">
        <f t="shared" si="3136"/>
        <v/>
      </c>
    </row>
    <row r="1569">
      <c r="A1569" s="6" t="str">
        <f>IFERROR(__xludf.DUMMYFUNCTION("""COMPUTED_VALUE"""),"FM1285")</f>
        <v>FM1285</v>
      </c>
      <c r="B1569" s="206">
        <f>IFERROR(__xludf.DUMMYFUNCTION("""COMPUTED_VALUE"""),44774.0)</f>
        <v>44774</v>
      </c>
      <c r="C1569" s="207">
        <f>IFERROR(__xludf.DUMMYFUNCTION("""COMPUTED_VALUE"""),0.7453240740740741)</f>
        <v>0.7453240741</v>
      </c>
      <c r="D1569" s="50"/>
      <c r="E1569" s="58"/>
      <c r="F1569" s="58"/>
      <c r="G1569" s="58" t="str">
        <f>IFERROR(__xludf.DUMMYFUNCTION("""COMPUTED_VALUE"""),"Null")</f>
        <v>Null</v>
      </c>
      <c r="H1569" s="206" t="str">
        <f>IFERROR(__xludf.DUMMYFUNCTION("""COMPUTED_VALUE"""),"Negative")</f>
        <v>Negative</v>
      </c>
      <c r="I1569" s="207"/>
      <c r="J1569" s="50"/>
      <c r="K1569" s="50">
        <f>IFERROR(__xludf.DUMMYFUNCTION("""COMPUTED_VALUE"""),2.0)</f>
        <v>2</v>
      </c>
      <c r="L1569" s="6"/>
      <c r="M1569" s="55"/>
      <c r="N1569" s="55">
        <f>IFERROR(__xludf.DUMMYFUNCTION("""COMPUTED_VALUE"""),1.0)</f>
        <v>1</v>
      </c>
      <c r="O1569" s="55" t="str">
        <f t="shared" si="3"/>
        <v/>
      </c>
      <c r="P1569" s="209"/>
      <c r="Q1569" s="75" t="b">
        <f>VLOOKUP($B1569,'Run Reconcile'!B$2:P1679,15,FALSE)</f>
        <v>1</v>
      </c>
      <c r="R1569" s="211" t="str">
        <f t="array" ref="R1569">IF($Q1569, INDEX('Run Reconcile'!A$2:A1679,MATCH(B1569,'Run Reconcile'!B$2:B1679,0),1),IFERROR(0/0,""))</f>
        <v>RUN-COMB_2022-08-01_RFR-088</v>
      </c>
      <c r="S1569" s="165" t="str">
        <f t="shared" ref="S1569:T1569" si="3137">IF(COUNTIF(W$2:W1679, $A1569) &gt; 0,TRUE,IFERROR(0/0,""))</f>
        <v/>
      </c>
      <c r="T1569" s="165" t="str">
        <f t="shared" si="3137"/>
        <v/>
      </c>
      <c r="U1569" s="147" t="str">
        <f t="array" ref="U1569">IF(ISBLANK($R1569), IF($S1569,VLOOKUP($B1569+1,'RFR Data - preExcl'!$BF$2:$BG1679,2,FALSE),IF($T1569,INDEX('RFR Data - preExcl'!$BF$2:$BG1679,MATCH($B1569,'RFR Data - preExcl'!$BF$2:$BF1679,0)+1,2),VLOOKUP($B1569,'RFR Data - preExcl'!$BF$2:$BG1679,2,FALSE))),IFERROR(0/0,""))</f>
        <v/>
      </c>
      <c r="V1569" s="212" t="str">
        <f t="shared" si="5"/>
        <v>RUN-COMB_2022-08-01_RFR-088</v>
      </c>
      <c r="W1569" s="51"/>
      <c r="X1569" s="51"/>
      <c r="Y1569" s="147" t="str">
        <f t="shared" ref="Y1569:Z1569" si="3138">IF(_xlfn.ISFORMULA(S1569),IFERROR(0/0,""),TRUE)</f>
        <v/>
      </c>
      <c r="Z1569" s="147" t="str">
        <f t="shared" si="3138"/>
        <v/>
      </c>
    </row>
    <row r="1570">
      <c r="A1570" s="6" t="str">
        <f>IFERROR(__xludf.DUMMYFUNCTION("""COMPUTED_VALUE"""),"FM1296")</f>
        <v>FM1296</v>
      </c>
      <c r="B1570" s="206">
        <f>IFERROR(__xludf.DUMMYFUNCTION("""COMPUTED_VALUE"""),44774.0)</f>
        <v>44774</v>
      </c>
      <c r="C1570" s="207">
        <f>IFERROR(__xludf.DUMMYFUNCTION("""COMPUTED_VALUE"""),0.7457291666666667)</f>
        <v>0.7457291667</v>
      </c>
      <c r="D1570" s="50"/>
      <c r="E1570" s="58"/>
      <c r="F1570" s="58"/>
      <c r="G1570" s="58" t="str">
        <f>IFERROR(__xludf.DUMMYFUNCTION("""COMPUTED_VALUE"""),"Null")</f>
        <v>Null</v>
      </c>
      <c r="H1570" s="206" t="str">
        <f>IFERROR(__xludf.DUMMYFUNCTION("""COMPUTED_VALUE"""),"Negative")</f>
        <v>Negative</v>
      </c>
      <c r="I1570" s="207"/>
      <c r="J1570" s="50"/>
      <c r="K1570" s="50">
        <f>IFERROR(__xludf.DUMMYFUNCTION("""COMPUTED_VALUE"""),2.0)</f>
        <v>2</v>
      </c>
      <c r="L1570" s="6"/>
      <c r="M1570" s="55"/>
      <c r="N1570" s="55">
        <f>IFERROR(__xludf.DUMMYFUNCTION("""COMPUTED_VALUE"""),1.0)</f>
        <v>1</v>
      </c>
      <c r="O1570" s="55" t="str">
        <f t="shared" si="3"/>
        <v/>
      </c>
      <c r="P1570" s="209"/>
      <c r="Q1570" s="75" t="b">
        <f>VLOOKUP($B1570,'Run Reconcile'!B$2:P1679,15,FALSE)</f>
        <v>1</v>
      </c>
      <c r="R1570" s="211" t="str">
        <f t="array" ref="R1570">IF($Q1570, INDEX('Run Reconcile'!A$2:A1679,MATCH(B1570,'Run Reconcile'!B$2:B1679,0),1),IFERROR(0/0,""))</f>
        <v>RUN-COMB_2022-08-01_RFR-088</v>
      </c>
      <c r="S1570" s="165" t="str">
        <f t="shared" ref="S1570:T1570" si="3139">IF(COUNTIF(W$2:W1679, $A1570) &gt; 0,TRUE,IFERROR(0/0,""))</f>
        <v/>
      </c>
      <c r="T1570" s="165" t="str">
        <f t="shared" si="3139"/>
        <v/>
      </c>
      <c r="U1570" s="147" t="str">
        <f t="array" ref="U1570">IF(ISBLANK($R1570), IF($S1570,VLOOKUP($B1570+1,'RFR Data - preExcl'!$BF$2:$BG1679,2,FALSE),IF($T1570,INDEX('RFR Data - preExcl'!$BF$2:$BG1679,MATCH($B1570,'RFR Data - preExcl'!$BF$2:$BF1679,0)+1,2),VLOOKUP($B1570,'RFR Data - preExcl'!$BF$2:$BG1679,2,FALSE))),IFERROR(0/0,""))</f>
        <v/>
      </c>
      <c r="V1570" s="212" t="str">
        <f t="shared" si="5"/>
        <v>RUN-COMB_2022-08-01_RFR-088</v>
      </c>
      <c r="W1570" s="51"/>
      <c r="X1570" s="51"/>
      <c r="Y1570" s="147" t="str">
        <f t="shared" ref="Y1570:Z1570" si="3140">IF(_xlfn.ISFORMULA(S1570),IFERROR(0/0,""),TRUE)</f>
        <v/>
      </c>
      <c r="Z1570" s="147" t="str">
        <f t="shared" si="3140"/>
        <v/>
      </c>
    </row>
    <row r="1571">
      <c r="A1571" s="6" t="str">
        <f>IFERROR(__xludf.DUMMYFUNCTION("""COMPUTED_VALUE"""),"FM1263")</f>
        <v>FM1263</v>
      </c>
      <c r="B1571" s="206">
        <f>IFERROR(__xludf.DUMMYFUNCTION("""COMPUTED_VALUE"""),44774.0)</f>
        <v>44774</v>
      </c>
      <c r="C1571" s="207">
        <f>IFERROR(__xludf.DUMMYFUNCTION("""COMPUTED_VALUE"""),0.7460185185185185)</f>
        <v>0.7460185185</v>
      </c>
      <c r="D1571" s="50"/>
      <c r="E1571" s="58"/>
      <c r="F1571" s="58"/>
      <c r="G1571" s="58" t="str">
        <f>IFERROR(__xludf.DUMMYFUNCTION("""COMPUTED_VALUE"""),"Null")</f>
        <v>Null</v>
      </c>
      <c r="H1571" s="206" t="str">
        <f>IFERROR(__xludf.DUMMYFUNCTION("""COMPUTED_VALUE"""),"Negative")</f>
        <v>Negative</v>
      </c>
      <c r="I1571" s="207"/>
      <c r="J1571" s="50"/>
      <c r="K1571" s="50">
        <f>IFERROR(__xludf.DUMMYFUNCTION("""COMPUTED_VALUE"""),2.0)</f>
        <v>2</v>
      </c>
      <c r="L1571" s="6"/>
      <c r="M1571" s="55"/>
      <c r="N1571" s="55">
        <f>IFERROR(__xludf.DUMMYFUNCTION("""COMPUTED_VALUE"""),1.0)</f>
        <v>1</v>
      </c>
      <c r="O1571" s="55" t="str">
        <f t="shared" si="3"/>
        <v/>
      </c>
      <c r="P1571" s="209"/>
      <c r="Q1571" s="75" t="b">
        <f>VLOOKUP($B1571,'Run Reconcile'!B$2:P1679,15,FALSE)</f>
        <v>1</v>
      </c>
      <c r="R1571" s="211" t="str">
        <f t="array" ref="R1571">IF($Q1571, INDEX('Run Reconcile'!A$2:A1679,MATCH(B1571,'Run Reconcile'!B$2:B1679,0),1),IFERROR(0/0,""))</f>
        <v>RUN-COMB_2022-08-01_RFR-088</v>
      </c>
      <c r="S1571" s="165" t="str">
        <f t="shared" ref="S1571:T1571" si="3141">IF(COUNTIF(W$2:W1679, $A1571) &gt; 0,TRUE,IFERROR(0/0,""))</f>
        <v/>
      </c>
      <c r="T1571" s="165" t="str">
        <f t="shared" si="3141"/>
        <v/>
      </c>
      <c r="U1571" s="147" t="str">
        <f t="array" ref="U1571">IF(ISBLANK($R1571), IF($S1571,VLOOKUP($B1571+1,'RFR Data - preExcl'!$BF$2:$BG1679,2,FALSE),IF($T1571,INDEX('RFR Data - preExcl'!$BF$2:$BG1679,MATCH($B1571,'RFR Data - preExcl'!$BF$2:$BF1679,0)+1,2),VLOOKUP($B1571,'RFR Data - preExcl'!$BF$2:$BG1679,2,FALSE))),IFERROR(0/0,""))</f>
        <v/>
      </c>
      <c r="V1571" s="212" t="str">
        <f t="shared" si="5"/>
        <v>RUN-COMB_2022-08-01_RFR-088</v>
      </c>
      <c r="W1571" s="51"/>
      <c r="X1571" s="51"/>
      <c r="Y1571" s="147" t="str">
        <f t="shared" ref="Y1571:Z1571" si="3142">IF(_xlfn.ISFORMULA(S1571),IFERROR(0/0,""),TRUE)</f>
        <v/>
      </c>
      <c r="Z1571" s="147" t="str">
        <f t="shared" si="3142"/>
        <v/>
      </c>
    </row>
    <row r="1572">
      <c r="A1572" s="6" t="str">
        <f>IFERROR(__xludf.DUMMYFUNCTION("""COMPUTED_VALUE"""),"FM1060")</f>
        <v>FM1060</v>
      </c>
      <c r="B1572" s="206">
        <f>IFERROR(__xludf.DUMMYFUNCTION("""COMPUTED_VALUE"""),44774.0)</f>
        <v>44774</v>
      </c>
      <c r="C1572" s="207">
        <f>IFERROR(__xludf.DUMMYFUNCTION("""COMPUTED_VALUE"""),0.7463888888888889)</f>
        <v>0.7463888889</v>
      </c>
      <c r="D1572" s="50"/>
      <c r="E1572" s="58"/>
      <c r="F1572" s="58"/>
      <c r="G1572" s="58" t="str">
        <f>IFERROR(__xludf.DUMMYFUNCTION("""COMPUTED_VALUE"""),"Null")</f>
        <v>Null</v>
      </c>
      <c r="H1572" s="206" t="str">
        <f>IFERROR(__xludf.DUMMYFUNCTION("""COMPUTED_VALUE"""),"Negative")</f>
        <v>Negative</v>
      </c>
      <c r="I1572" s="207"/>
      <c r="J1572" s="50"/>
      <c r="K1572" s="50">
        <f>IFERROR(__xludf.DUMMYFUNCTION("""COMPUTED_VALUE"""),2.0)</f>
        <v>2</v>
      </c>
      <c r="L1572" s="6"/>
      <c r="M1572" s="55"/>
      <c r="N1572" s="55">
        <f>IFERROR(__xludf.DUMMYFUNCTION("""COMPUTED_VALUE"""),1.0)</f>
        <v>1</v>
      </c>
      <c r="O1572" s="55" t="str">
        <f t="shared" si="3"/>
        <v/>
      </c>
      <c r="P1572" s="209"/>
      <c r="Q1572" s="75" t="b">
        <f>VLOOKUP($B1572,'Run Reconcile'!B$2:P1679,15,FALSE)</f>
        <v>1</v>
      </c>
      <c r="R1572" s="211" t="str">
        <f t="array" ref="R1572">IF($Q1572, INDEX('Run Reconcile'!A$2:A1679,MATCH(B1572,'Run Reconcile'!B$2:B1679,0),1),IFERROR(0/0,""))</f>
        <v>RUN-COMB_2022-08-01_RFR-088</v>
      </c>
      <c r="S1572" s="165" t="str">
        <f t="shared" ref="S1572:T1572" si="3143">IF(COUNTIF(W$2:W1679, $A1572) &gt; 0,TRUE,IFERROR(0/0,""))</f>
        <v/>
      </c>
      <c r="T1572" s="165" t="str">
        <f t="shared" si="3143"/>
        <v/>
      </c>
      <c r="U1572" s="147" t="str">
        <f t="array" ref="U1572">IF(ISBLANK($R1572), IF($S1572,VLOOKUP($B1572+1,'RFR Data - preExcl'!$BF$2:$BG1679,2,FALSE),IF($T1572,INDEX('RFR Data - preExcl'!$BF$2:$BG1679,MATCH($B1572,'RFR Data - preExcl'!$BF$2:$BF1679,0)+1,2),VLOOKUP($B1572,'RFR Data - preExcl'!$BF$2:$BG1679,2,FALSE))),IFERROR(0/0,""))</f>
        <v/>
      </c>
      <c r="V1572" s="212" t="str">
        <f t="shared" si="5"/>
        <v>RUN-COMB_2022-08-01_RFR-088</v>
      </c>
      <c r="W1572" s="51"/>
      <c r="X1572" s="51"/>
      <c r="Y1572" s="147" t="str">
        <f t="shared" ref="Y1572:Z1572" si="3144">IF(_xlfn.ISFORMULA(S1572),IFERROR(0/0,""),TRUE)</f>
        <v/>
      </c>
      <c r="Z1572" s="147" t="str">
        <f t="shared" si="3144"/>
        <v/>
      </c>
    </row>
    <row r="1573">
      <c r="A1573" s="6" t="str">
        <f>IFERROR(__xludf.DUMMYFUNCTION("""COMPUTED_VALUE"""),"FM1272")</f>
        <v>FM1272</v>
      </c>
      <c r="B1573" s="206">
        <f>IFERROR(__xludf.DUMMYFUNCTION("""COMPUTED_VALUE"""),44774.0)</f>
        <v>44774</v>
      </c>
      <c r="C1573" s="207">
        <f>IFERROR(__xludf.DUMMYFUNCTION("""COMPUTED_VALUE"""),0.7475578703703704)</f>
        <v>0.7475578704</v>
      </c>
      <c r="D1573" s="50"/>
      <c r="E1573" s="58"/>
      <c r="F1573" s="58"/>
      <c r="G1573" s="58" t="str">
        <f>IFERROR(__xludf.DUMMYFUNCTION("""COMPUTED_VALUE"""),"Null")</f>
        <v>Null</v>
      </c>
      <c r="H1573" s="206" t="str">
        <f>IFERROR(__xludf.DUMMYFUNCTION("""COMPUTED_VALUE"""),"Negative")</f>
        <v>Negative</v>
      </c>
      <c r="I1573" s="207"/>
      <c r="J1573" s="50"/>
      <c r="K1573" s="50">
        <f>IFERROR(__xludf.DUMMYFUNCTION("""COMPUTED_VALUE"""),2.0)</f>
        <v>2</v>
      </c>
      <c r="L1573" s="6"/>
      <c r="M1573" s="55"/>
      <c r="N1573" s="55">
        <f>IFERROR(__xludf.DUMMYFUNCTION("""COMPUTED_VALUE"""),1.0)</f>
        <v>1</v>
      </c>
      <c r="O1573" s="55" t="str">
        <f t="shared" si="3"/>
        <v/>
      </c>
      <c r="P1573" s="209"/>
      <c r="Q1573" s="75" t="b">
        <f>VLOOKUP($B1573,'Run Reconcile'!B$2:P1679,15,FALSE)</f>
        <v>1</v>
      </c>
      <c r="R1573" s="211" t="str">
        <f t="array" ref="R1573">IF($Q1573, INDEX('Run Reconcile'!A$2:A1679,MATCH(B1573,'Run Reconcile'!B$2:B1679,0),1),IFERROR(0/0,""))</f>
        <v>RUN-COMB_2022-08-01_RFR-088</v>
      </c>
      <c r="S1573" s="165" t="str">
        <f t="shared" ref="S1573:T1573" si="3145">IF(COUNTIF(W$2:W1679, $A1573) &gt; 0,TRUE,IFERROR(0/0,""))</f>
        <v/>
      </c>
      <c r="T1573" s="165" t="str">
        <f t="shared" si="3145"/>
        <v/>
      </c>
      <c r="U1573" s="147" t="str">
        <f t="array" ref="U1573">IF(ISBLANK($R1573), IF($S1573,VLOOKUP($B1573+1,'RFR Data - preExcl'!$BF$2:$BG1679,2,FALSE),IF($T1573,INDEX('RFR Data - preExcl'!$BF$2:$BG1679,MATCH($B1573,'RFR Data - preExcl'!$BF$2:$BF1679,0)+1,2),VLOOKUP($B1573,'RFR Data - preExcl'!$BF$2:$BG1679,2,FALSE))),IFERROR(0/0,""))</f>
        <v/>
      </c>
      <c r="V1573" s="212" t="str">
        <f t="shared" si="5"/>
        <v>RUN-COMB_2022-08-01_RFR-088</v>
      </c>
      <c r="W1573" s="51"/>
      <c r="X1573" s="51"/>
      <c r="Y1573" s="147" t="str">
        <f t="shared" ref="Y1573:Z1573" si="3146">IF(_xlfn.ISFORMULA(S1573),IFERROR(0/0,""),TRUE)</f>
        <v/>
      </c>
      <c r="Z1573" s="147" t="str">
        <f t="shared" si="3146"/>
        <v/>
      </c>
    </row>
    <row r="1574">
      <c r="A1574" s="6" t="str">
        <f>IFERROR(__xludf.DUMMYFUNCTION("""COMPUTED_VALUE"""),"FM1032")</f>
        <v>FM1032</v>
      </c>
      <c r="B1574" s="206">
        <f>IFERROR(__xludf.DUMMYFUNCTION("""COMPUTED_VALUE"""),44774.0)</f>
        <v>44774</v>
      </c>
      <c r="C1574" s="207">
        <f>IFERROR(__xludf.DUMMYFUNCTION("""COMPUTED_VALUE"""),0.7478703703703704)</f>
        <v>0.7478703704</v>
      </c>
      <c r="D1574" s="50"/>
      <c r="E1574" s="58"/>
      <c r="F1574" s="58"/>
      <c r="G1574" s="58" t="str">
        <f>IFERROR(__xludf.DUMMYFUNCTION("""COMPUTED_VALUE"""),"Null")</f>
        <v>Null</v>
      </c>
      <c r="H1574" s="206" t="str">
        <f>IFERROR(__xludf.DUMMYFUNCTION("""COMPUTED_VALUE"""),"Negative")</f>
        <v>Negative</v>
      </c>
      <c r="I1574" s="207"/>
      <c r="J1574" s="50"/>
      <c r="K1574" s="50">
        <f>IFERROR(__xludf.DUMMYFUNCTION("""COMPUTED_VALUE"""),2.0)</f>
        <v>2</v>
      </c>
      <c r="L1574" s="6"/>
      <c r="M1574" s="55"/>
      <c r="N1574" s="55">
        <f>IFERROR(__xludf.DUMMYFUNCTION("""COMPUTED_VALUE"""),1.0)</f>
        <v>1</v>
      </c>
      <c r="O1574" s="55" t="str">
        <f t="shared" si="3"/>
        <v/>
      </c>
      <c r="P1574" s="209"/>
      <c r="Q1574" s="75" t="b">
        <f>VLOOKUP($B1574,'Run Reconcile'!B$2:P1679,15,FALSE)</f>
        <v>1</v>
      </c>
      <c r="R1574" s="211" t="str">
        <f t="array" ref="R1574">IF($Q1574, INDEX('Run Reconcile'!A$2:A1679,MATCH(B1574,'Run Reconcile'!B$2:B1679,0),1),IFERROR(0/0,""))</f>
        <v>RUN-COMB_2022-08-01_RFR-088</v>
      </c>
      <c r="S1574" s="165" t="str">
        <f t="shared" ref="S1574:T1574" si="3147">IF(COUNTIF(W$2:W1679, $A1574) &gt; 0,TRUE,IFERROR(0/0,""))</f>
        <v/>
      </c>
      <c r="T1574" s="165" t="str">
        <f t="shared" si="3147"/>
        <v/>
      </c>
      <c r="U1574" s="147" t="str">
        <f t="array" ref="U1574">IF(ISBLANK($R1574), IF($S1574,VLOOKUP($B1574+1,'RFR Data - preExcl'!$BF$2:$BG1679,2,FALSE),IF($T1574,INDEX('RFR Data - preExcl'!$BF$2:$BG1679,MATCH($B1574,'RFR Data - preExcl'!$BF$2:$BF1679,0)+1,2),VLOOKUP($B1574,'RFR Data - preExcl'!$BF$2:$BG1679,2,FALSE))),IFERROR(0/0,""))</f>
        <v/>
      </c>
      <c r="V1574" s="212" t="str">
        <f t="shared" si="5"/>
        <v>RUN-COMB_2022-08-01_RFR-088</v>
      </c>
      <c r="W1574" s="51"/>
      <c r="X1574" s="51"/>
      <c r="Y1574" s="147" t="str">
        <f t="shared" ref="Y1574:Z1574" si="3148">IF(_xlfn.ISFORMULA(S1574),IFERROR(0/0,""),TRUE)</f>
        <v/>
      </c>
      <c r="Z1574" s="147" t="str">
        <f t="shared" si="3148"/>
        <v/>
      </c>
    </row>
    <row r="1575">
      <c r="A1575" s="6" t="str">
        <f>IFERROR(__xludf.DUMMYFUNCTION("""COMPUTED_VALUE"""),"FM1280")</f>
        <v>FM1280</v>
      </c>
      <c r="B1575" s="206">
        <f>IFERROR(__xludf.DUMMYFUNCTION("""COMPUTED_VALUE"""),44774.0)</f>
        <v>44774</v>
      </c>
      <c r="C1575" s="207">
        <f>IFERROR(__xludf.DUMMYFUNCTION("""COMPUTED_VALUE"""),0.7481712962962963)</f>
        <v>0.7481712963</v>
      </c>
      <c r="D1575" s="50"/>
      <c r="E1575" s="58"/>
      <c r="F1575" s="58"/>
      <c r="G1575" s="58" t="str">
        <f>IFERROR(__xludf.DUMMYFUNCTION("""COMPUTED_VALUE"""),"Null")</f>
        <v>Null</v>
      </c>
      <c r="H1575" s="206" t="str">
        <f>IFERROR(__xludf.DUMMYFUNCTION("""COMPUTED_VALUE"""),"Negative")</f>
        <v>Negative</v>
      </c>
      <c r="I1575" s="207"/>
      <c r="J1575" s="50"/>
      <c r="K1575" s="50">
        <f>IFERROR(__xludf.DUMMYFUNCTION("""COMPUTED_VALUE"""),2.0)</f>
        <v>2</v>
      </c>
      <c r="L1575" s="6"/>
      <c r="M1575" s="55"/>
      <c r="N1575" s="55">
        <f>IFERROR(__xludf.DUMMYFUNCTION("""COMPUTED_VALUE"""),1.0)</f>
        <v>1</v>
      </c>
      <c r="O1575" s="55" t="str">
        <f t="shared" si="3"/>
        <v/>
      </c>
      <c r="P1575" s="209"/>
      <c r="Q1575" s="75" t="b">
        <f>VLOOKUP($B1575,'Run Reconcile'!B$2:P1679,15,FALSE)</f>
        <v>1</v>
      </c>
      <c r="R1575" s="211" t="str">
        <f t="array" ref="R1575">IF($Q1575, INDEX('Run Reconcile'!A$2:A1679,MATCH(B1575,'Run Reconcile'!B$2:B1679,0),1),IFERROR(0/0,""))</f>
        <v>RUN-COMB_2022-08-01_RFR-088</v>
      </c>
      <c r="S1575" s="165" t="str">
        <f t="shared" ref="S1575:T1575" si="3149">IF(COUNTIF(W$2:W1679, $A1575) &gt; 0,TRUE,IFERROR(0/0,""))</f>
        <v/>
      </c>
      <c r="T1575" s="165" t="str">
        <f t="shared" si="3149"/>
        <v/>
      </c>
      <c r="U1575" s="147" t="str">
        <f t="array" ref="U1575">IF(ISBLANK($R1575), IF($S1575,VLOOKUP($B1575+1,'RFR Data - preExcl'!$BF$2:$BG1679,2,FALSE),IF($T1575,INDEX('RFR Data - preExcl'!$BF$2:$BG1679,MATCH($B1575,'RFR Data - preExcl'!$BF$2:$BF1679,0)+1,2),VLOOKUP($B1575,'RFR Data - preExcl'!$BF$2:$BG1679,2,FALSE))),IFERROR(0/0,""))</f>
        <v/>
      </c>
      <c r="V1575" s="212" t="str">
        <f t="shared" si="5"/>
        <v>RUN-COMB_2022-08-01_RFR-088</v>
      </c>
      <c r="W1575" s="51"/>
      <c r="X1575" s="51"/>
      <c r="Y1575" s="147" t="str">
        <f t="shared" ref="Y1575:Z1575" si="3150">IF(_xlfn.ISFORMULA(S1575),IFERROR(0/0,""),TRUE)</f>
        <v/>
      </c>
      <c r="Z1575" s="147" t="str">
        <f t="shared" si="3150"/>
        <v/>
      </c>
    </row>
    <row r="1576">
      <c r="A1576" s="6" t="str">
        <f>IFERROR(__xludf.DUMMYFUNCTION("""COMPUTED_VALUE"""),"FM1316")</f>
        <v>FM1316</v>
      </c>
      <c r="B1576" s="206">
        <f>IFERROR(__xludf.DUMMYFUNCTION("""COMPUTED_VALUE"""),44774.0)</f>
        <v>44774</v>
      </c>
      <c r="C1576" s="207">
        <f>IFERROR(__xludf.DUMMYFUNCTION("""COMPUTED_VALUE"""),0.7490046296296297)</f>
        <v>0.7490046296</v>
      </c>
      <c r="D1576" s="50"/>
      <c r="E1576" s="58"/>
      <c r="F1576" s="58"/>
      <c r="G1576" s="58" t="str">
        <f>IFERROR(__xludf.DUMMYFUNCTION("""COMPUTED_VALUE"""),"Null")</f>
        <v>Null</v>
      </c>
      <c r="H1576" s="206" t="str">
        <f>IFERROR(__xludf.DUMMYFUNCTION("""COMPUTED_VALUE"""),"Negative")</f>
        <v>Negative</v>
      </c>
      <c r="I1576" s="207"/>
      <c r="J1576" s="50"/>
      <c r="K1576" s="50">
        <f>IFERROR(__xludf.DUMMYFUNCTION("""COMPUTED_VALUE"""),2.0)</f>
        <v>2</v>
      </c>
      <c r="L1576" s="6"/>
      <c r="M1576" s="55"/>
      <c r="N1576" s="55">
        <f>IFERROR(__xludf.DUMMYFUNCTION("""COMPUTED_VALUE"""),1.0)</f>
        <v>1</v>
      </c>
      <c r="O1576" s="55" t="str">
        <f t="shared" si="3"/>
        <v/>
      </c>
      <c r="P1576" s="209"/>
      <c r="Q1576" s="75" t="b">
        <f>VLOOKUP($B1576,'Run Reconcile'!B$2:P1679,15,FALSE)</f>
        <v>1</v>
      </c>
      <c r="R1576" s="211" t="str">
        <f t="array" ref="R1576">IF($Q1576, INDEX('Run Reconcile'!A$2:A1679,MATCH(B1576,'Run Reconcile'!B$2:B1679,0),1),IFERROR(0/0,""))</f>
        <v>RUN-COMB_2022-08-01_RFR-088</v>
      </c>
      <c r="S1576" s="165" t="str">
        <f t="shared" ref="S1576:T1576" si="3151">IF(COUNTIF(W$2:W1679, $A1576) &gt; 0,TRUE,IFERROR(0/0,""))</f>
        <v/>
      </c>
      <c r="T1576" s="165" t="str">
        <f t="shared" si="3151"/>
        <v/>
      </c>
      <c r="U1576" s="147" t="str">
        <f t="array" ref="U1576">IF(ISBLANK($R1576), IF($S1576,VLOOKUP($B1576+1,'RFR Data - preExcl'!$BF$2:$BG1679,2,FALSE),IF($T1576,INDEX('RFR Data - preExcl'!$BF$2:$BG1679,MATCH($B1576,'RFR Data - preExcl'!$BF$2:$BF1679,0)+1,2),VLOOKUP($B1576,'RFR Data - preExcl'!$BF$2:$BG1679,2,FALSE))),IFERROR(0/0,""))</f>
        <v/>
      </c>
      <c r="V1576" s="212" t="str">
        <f t="shared" si="5"/>
        <v>RUN-COMB_2022-08-01_RFR-088</v>
      </c>
      <c r="W1576" s="51"/>
      <c r="X1576" s="51"/>
      <c r="Y1576" s="147" t="str">
        <f t="shared" ref="Y1576:Z1576" si="3152">IF(_xlfn.ISFORMULA(S1576),IFERROR(0/0,""),TRUE)</f>
        <v/>
      </c>
      <c r="Z1576" s="147" t="str">
        <f t="shared" si="3152"/>
        <v/>
      </c>
    </row>
    <row r="1577">
      <c r="A1577" s="6" t="str">
        <f>IFERROR(__xludf.DUMMYFUNCTION("""COMPUTED_VALUE"""),"FM1067")</f>
        <v>FM1067</v>
      </c>
      <c r="B1577" s="206">
        <f>IFERROR(__xludf.DUMMYFUNCTION("""COMPUTED_VALUE"""),44774.0)</f>
        <v>44774</v>
      </c>
      <c r="C1577" s="207">
        <f>IFERROR(__xludf.DUMMYFUNCTION("""COMPUTED_VALUE"""),0.7492939814814815)</f>
        <v>0.7492939815</v>
      </c>
      <c r="D1577" s="50"/>
      <c r="E1577" s="58"/>
      <c r="F1577" s="58"/>
      <c r="G1577" s="58" t="str">
        <f>IFERROR(__xludf.DUMMYFUNCTION("""COMPUTED_VALUE"""),"Null")</f>
        <v>Null</v>
      </c>
      <c r="H1577" s="206" t="str">
        <f>IFERROR(__xludf.DUMMYFUNCTION("""COMPUTED_VALUE"""),"Negative")</f>
        <v>Negative</v>
      </c>
      <c r="I1577" s="207"/>
      <c r="J1577" s="50"/>
      <c r="K1577" s="50">
        <f>IFERROR(__xludf.DUMMYFUNCTION("""COMPUTED_VALUE"""),2.0)</f>
        <v>2</v>
      </c>
      <c r="L1577" s="6"/>
      <c r="M1577" s="55"/>
      <c r="N1577" s="55">
        <f>IFERROR(__xludf.DUMMYFUNCTION("""COMPUTED_VALUE"""),1.0)</f>
        <v>1</v>
      </c>
      <c r="O1577" s="55" t="str">
        <f t="shared" si="3"/>
        <v/>
      </c>
      <c r="P1577" s="209"/>
      <c r="Q1577" s="75" t="b">
        <f>VLOOKUP($B1577,'Run Reconcile'!B$2:P1679,15,FALSE)</f>
        <v>1</v>
      </c>
      <c r="R1577" s="211" t="str">
        <f t="array" ref="R1577">IF($Q1577, INDEX('Run Reconcile'!A$2:A1679,MATCH(B1577,'Run Reconcile'!B$2:B1679,0),1),IFERROR(0/0,""))</f>
        <v>RUN-COMB_2022-08-01_RFR-088</v>
      </c>
      <c r="S1577" s="165" t="str">
        <f t="shared" ref="S1577:T1577" si="3153">IF(COUNTIF(W$2:W1679, $A1577) &gt; 0,TRUE,IFERROR(0/0,""))</f>
        <v/>
      </c>
      <c r="T1577" s="165" t="str">
        <f t="shared" si="3153"/>
        <v/>
      </c>
      <c r="U1577" s="147" t="str">
        <f t="array" ref="U1577">IF(ISBLANK($R1577), IF($S1577,VLOOKUP($B1577+1,'RFR Data - preExcl'!$BF$2:$BG1679,2,FALSE),IF($T1577,INDEX('RFR Data - preExcl'!$BF$2:$BG1679,MATCH($B1577,'RFR Data - preExcl'!$BF$2:$BF1679,0)+1,2),VLOOKUP($B1577,'RFR Data - preExcl'!$BF$2:$BG1679,2,FALSE))),IFERROR(0/0,""))</f>
        <v/>
      </c>
      <c r="V1577" s="212" t="str">
        <f t="shared" si="5"/>
        <v>RUN-COMB_2022-08-01_RFR-088</v>
      </c>
      <c r="W1577" s="51"/>
      <c r="X1577" s="51"/>
      <c r="Y1577" s="147" t="str">
        <f t="shared" ref="Y1577:Z1577" si="3154">IF(_xlfn.ISFORMULA(S1577),IFERROR(0/0,""),TRUE)</f>
        <v/>
      </c>
      <c r="Z1577" s="147" t="str">
        <f t="shared" si="3154"/>
        <v/>
      </c>
    </row>
    <row r="1578">
      <c r="A1578" s="6" t="str">
        <f>IFERROR(__xludf.DUMMYFUNCTION("""COMPUTED_VALUE"""),"FM1294")</f>
        <v>FM1294</v>
      </c>
      <c r="B1578" s="206">
        <f>IFERROR(__xludf.DUMMYFUNCTION("""COMPUTED_VALUE"""),44774.0)</f>
        <v>44774</v>
      </c>
      <c r="C1578" s="207">
        <f>IFERROR(__xludf.DUMMYFUNCTION("""COMPUTED_VALUE"""),0.7495833333333334)</f>
        <v>0.7495833333</v>
      </c>
      <c r="D1578" s="50"/>
      <c r="E1578" s="58"/>
      <c r="F1578" s="58"/>
      <c r="G1578" s="58" t="str">
        <f>IFERROR(__xludf.DUMMYFUNCTION("""COMPUTED_VALUE"""),"Null")</f>
        <v>Null</v>
      </c>
      <c r="H1578" s="206" t="str">
        <f>IFERROR(__xludf.DUMMYFUNCTION("""COMPUTED_VALUE"""),"Negative")</f>
        <v>Negative</v>
      </c>
      <c r="I1578" s="207"/>
      <c r="J1578" s="50"/>
      <c r="K1578" s="50">
        <f>IFERROR(__xludf.DUMMYFUNCTION("""COMPUTED_VALUE"""),2.0)</f>
        <v>2</v>
      </c>
      <c r="L1578" s="6"/>
      <c r="M1578" s="55"/>
      <c r="N1578" s="55">
        <f>IFERROR(__xludf.DUMMYFUNCTION("""COMPUTED_VALUE"""),1.0)</f>
        <v>1</v>
      </c>
      <c r="O1578" s="55" t="str">
        <f t="shared" si="3"/>
        <v/>
      </c>
      <c r="P1578" s="209"/>
      <c r="Q1578" s="75" t="b">
        <f>VLOOKUP($B1578,'Run Reconcile'!B$2:P1679,15,FALSE)</f>
        <v>1</v>
      </c>
      <c r="R1578" s="211" t="str">
        <f t="array" ref="R1578">IF($Q1578, INDEX('Run Reconcile'!A$2:A1679,MATCH(B1578,'Run Reconcile'!B$2:B1679,0),1),IFERROR(0/0,""))</f>
        <v>RUN-COMB_2022-08-01_RFR-088</v>
      </c>
      <c r="S1578" s="165" t="str">
        <f t="shared" ref="S1578:T1578" si="3155">IF(COUNTIF(W$2:W1679, $A1578) &gt; 0,TRUE,IFERROR(0/0,""))</f>
        <v/>
      </c>
      <c r="T1578" s="165" t="str">
        <f t="shared" si="3155"/>
        <v/>
      </c>
      <c r="U1578" s="147" t="str">
        <f t="array" ref="U1578">IF(ISBLANK($R1578), IF($S1578,VLOOKUP($B1578+1,'RFR Data - preExcl'!$BF$2:$BG1679,2,FALSE),IF($T1578,INDEX('RFR Data - preExcl'!$BF$2:$BG1679,MATCH($B1578,'RFR Data - preExcl'!$BF$2:$BF1679,0)+1,2),VLOOKUP($B1578,'RFR Data - preExcl'!$BF$2:$BG1679,2,FALSE))),IFERROR(0/0,""))</f>
        <v/>
      </c>
      <c r="V1578" s="212" t="str">
        <f t="shared" si="5"/>
        <v>RUN-COMB_2022-08-01_RFR-088</v>
      </c>
      <c r="W1578" s="51"/>
      <c r="X1578" s="51"/>
      <c r="Y1578" s="147" t="str">
        <f t="shared" ref="Y1578:Z1578" si="3156">IF(_xlfn.ISFORMULA(S1578),IFERROR(0/0,""),TRUE)</f>
        <v/>
      </c>
      <c r="Z1578" s="147" t="str">
        <f t="shared" si="3156"/>
        <v/>
      </c>
    </row>
    <row r="1579">
      <c r="A1579" s="6" t="str">
        <f>IFERROR(__xludf.DUMMYFUNCTION("""COMPUTED_VALUE"""),"FM1268")</f>
        <v>FM1268</v>
      </c>
      <c r="B1579" s="206">
        <f>IFERROR(__xludf.DUMMYFUNCTION("""COMPUTED_VALUE"""),44774.0)</f>
        <v>44774</v>
      </c>
      <c r="C1579" s="207">
        <f>IFERROR(__xludf.DUMMYFUNCTION("""COMPUTED_VALUE"""),0.7499421296296296)</f>
        <v>0.7499421296</v>
      </c>
      <c r="D1579" s="50"/>
      <c r="E1579" s="58"/>
      <c r="F1579" s="58"/>
      <c r="G1579" s="58" t="str">
        <f>IFERROR(__xludf.DUMMYFUNCTION("""COMPUTED_VALUE"""),"Null")</f>
        <v>Null</v>
      </c>
      <c r="H1579" s="206" t="str">
        <f>IFERROR(__xludf.DUMMYFUNCTION("""COMPUTED_VALUE"""),"Negative")</f>
        <v>Negative</v>
      </c>
      <c r="I1579" s="207"/>
      <c r="J1579" s="50"/>
      <c r="K1579" s="50">
        <f>IFERROR(__xludf.DUMMYFUNCTION("""COMPUTED_VALUE"""),2.0)</f>
        <v>2</v>
      </c>
      <c r="L1579" s="6"/>
      <c r="M1579" s="55"/>
      <c r="N1579" s="55">
        <f>IFERROR(__xludf.DUMMYFUNCTION("""COMPUTED_VALUE"""),1.0)</f>
        <v>1</v>
      </c>
      <c r="O1579" s="55" t="str">
        <f t="shared" si="3"/>
        <v/>
      </c>
      <c r="P1579" s="209"/>
      <c r="Q1579" s="75" t="b">
        <f>VLOOKUP($B1579,'Run Reconcile'!B$2:P1679,15,FALSE)</f>
        <v>1</v>
      </c>
      <c r="R1579" s="211" t="str">
        <f t="array" ref="R1579">IF($Q1579, INDEX('Run Reconcile'!A$2:A1679,MATCH(B1579,'Run Reconcile'!B$2:B1679,0),1),IFERROR(0/0,""))</f>
        <v>RUN-COMB_2022-08-01_RFR-088</v>
      </c>
      <c r="S1579" s="165" t="str">
        <f t="shared" ref="S1579:T1579" si="3157">IF(COUNTIF(W$2:W1679, $A1579) &gt; 0,TRUE,IFERROR(0/0,""))</f>
        <v/>
      </c>
      <c r="T1579" s="165" t="str">
        <f t="shared" si="3157"/>
        <v/>
      </c>
      <c r="U1579" s="147" t="str">
        <f t="array" ref="U1579">IF(ISBLANK($R1579), IF($S1579,VLOOKUP($B1579+1,'RFR Data - preExcl'!$BF$2:$BG1679,2,FALSE),IF($T1579,INDEX('RFR Data - preExcl'!$BF$2:$BG1679,MATCH($B1579,'RFR Data - preExcl'!$BF$2:$BF1679,0)+1,2),VLOOKUP($B1579,'RFR Data - preExcl'!$BF$2:$BG1679,2,FALSE))),IFERROR(0/0,""))</f>
        <v/>
      </c>
      <c r="V1579" s="212" t="str">
        <f t="shared" si="5"/>
        <v>RUN-COMB_2022-08-01_RFR-088</v>
      </c>
      <c r="W1579" s="51"/>
      <c r="X1579" s="51"/>
      <c r="Y1579" s="147" t="str">
        <f t="shared" ref="Y1579:Z1579" si="3158">IF(_xlfn.ISFORMULA(S1579),IFERROR(0/0,""),TRUE)</f>
        <v/>
      </c>
      <c r="Z1579" s="147" t="str">
        <f t="shared" si="3158"/>
        <v/>
      </c>
    </row>
    <row r="1580">
      <c r="A1580" s="6" t="str">
        <f>IFERROR(__xludf.DUMMYFUNCTION("""COMPUTED_VALUE"""),"FM1048")</f>
        <v>FM1048</v>
      </c>
      <c r="B1580" s="206">
        <f>IFERROR(__xludf.DUMMYFUNCTION("""COMPUTED_VALUE"""),44774.0)</f>
        <v>44774</v>
      </c>
      <c r="C1580" s="207">
        <f>IFERROR(__xludf.DUMMYFUNCTION("""COMPUTED_VALUE"""),0.7502546296296296)</f>
        <v>0.7502546296</v>
      </c>
      <c r="D1580" s="50"/>
      <c r="E1580" s="58"/>
      <c r="F1580" s="58"/>
      <c r="G1580" s="58" t="str">
        <f>IFERROR(__xludf.DUMMYFUNCTION("""COMPUTED_VALUE"""),"Null")</f>
        <v>Null</v>
      </c>
      <c r="H1580" s="206" t="str">
        <f>IFERROR(__xludf.DUMMYFUNCTION("""COMPUTED_VALUE"""),"Negative")</f>
        <v>Negative</v>
      </c>
      <c r="I1580" s="207"/>
      <c r="J1580" s="50"/>
      <c r="K1580" s="50">
        <f>IFERROR(__xludf.DUMMYFUNCTION("""COMPUTED_VALUE"""),2.0)</f>
        <v>2</v>
      </c>
      <c r="L1580" s="6"/>
      <c r="M1580" s="55"/>
      <c r="N1580" s="55">
        <f>IFERROR(__xludf.DUMMYFUNCTION("""COMPUTED_VALUE"""),1.0)</f>
        <v>1</v>
      </c>
      <c r="O1580" s="55" t="str">
        <f t="shared" si="3"/>
        <v/>
      </c>
      <c r="P1580" s="209"/>
      <c r="Q1580" s="75" t="b">
        <f>VLOOKUP($B1580,'Run Reconcile'!B$2:P1679,15,FALSE)</f>
        <v>1</v>
      </c>
      <c r="R1580" s="211" t="str">
        <f t="array" ref="R1580">IF($Q1580, INDEX('Run Reconcile'!A$2:A1679,MATCH(B1580,'Run Reconcile'!B$2:B1679,0),1),IFERROR(0/0,""))</f>
        <v>RUN-COMB_2022-08-01_RFR-088</v>
      </c>
      <c r="S1580" s="165" t="str">
        <f t="shared" ref="S1580:T1580" si="3159">IF(COUNTIF(W$2:W1679, $A1580) &gt; 0,TRUE,IFERROR(0/0,""))</f>
        <v/>
      </c>
      <c r="T1580" s="165" t="str">
        <f t="shared" si="3159"/>
        <v/>
      </c>
      <c r="U1580" s="147" t="str">
        <f t="array" ref="U1580">IF(ISBLANK($R1580), IF($S1580,VLOOKUP($B1580+1,'RFR Data - preExcl'!$BF$2:$BG1679,2,FALSE),IF($T1580,INDEX('RFR Data - preExcl'!$BF$2:$BG1679,MATCH($B1580,'RFR Data - preExcl'!$BF$2:$BF1679,0)+1,2),VLOOKUP($B1580,'RFR Data - preExcl'!$BF$2:$BG1679,2,FALSE))),IFERROR(0/0,""))</f>
        <v/>
      </c>
      <c r="V1580" s="212" t="str">
        <f t="shared" si="5"/>
        <v>RUN-COMB_2022-08-01_RFR-088</v>
      </c>
      <c r="W1580" s="51"/>
      <c r="X1580" s="51"/>
      <c r="Y1580" s="147" t="str">
        <f t="shared" ref="Y1580:Z1580" si="3160">IF(_xlfn.ISFORMULA(S1580),IFERROR(0/0,""),TRUE)</f>
        <v/>
      </c>
      <c r="Z1580" s="147" t="str">
        <f t="shared" si="3160"/>
        <v/>
      </c>
    </row>
    <row r="1581">
      <c r="A1581" s="6" t="str">
        <f>IFERROR(__xludf.DUMMYFUNCTION("""COMPUTED_VALUE"""),"FM1308")</f>
        <v>FM1308</v>
      </c>
      <c r="B1581" s="206">
        <f>IFERROR(__xludf.DUMMYFUNCTION("""COMPUTED_VALUE"""),44774.0)</f>
        <v>44774</v>
      </c>
      <c r="C1581" s="207">
        <f>IFERROR(__xludf.DUMMYFUNCTION("""COMPUTED_VALUE"""),0.7505787037037037)</f>
        <v>0.7505787037</v>
      </c>
      <c r="D1581" s="50"/>
      <c r="E1581" s="58"/>
      <c r="F1581" s="58"/>
      <c r="G1581" s="58" t="str">
        <f>IFERROR(__xludf.DUMMYFUNCTION("""COMPUTED_VALUE"""),"Null")</f>
        <v>Null</v>
      </c>
      <c r="H1581" s="206" t="str">
        <f>IFERROR(__xludf.DUMMYFUNCTION("""COMPUTED_VALUE"""),"Negative")</f>
        <v>Negative</v>
      </c>
      <c r="I1581" s="207"/>
      <c r="J1581" s="50"/>
      <c r="K1581" s="50">
        <f>IFERROR(__xludf.DUMMYFUNCTION("""COMPUTED_VALUE"""),2.0)</f>
        <v>2</v>
      </c>
      <c r="L1581" s="6"/>
      <c r="M1581" s="55"/>
      <c r="N1581" s="55">
        <f>IFERROR(__xludf.DUMMYFUNCTION("""COMPUTED_VALUE"""),1.0)</f>
        <v>1</v>
      </c>
      <c r="O1581" s="55" t="str">
        <f t="shared" si="3"/>
        <v/>
      </c>
      <c r="P1581" s="209"/>
      <c r="Q1581" s="75" t="b">
        <f>VLOOKUP($B1581,'Run Reconcile'!B$2:P1679,15,FALSE)</f>
        <v>1</v>
      </c>
      <c r="R1581" s="211" t="str">
        <f t="array" ref="R1581">IF($Q1581, INDEX('Run Reconcile'!A$2:A1679,MATCH(B1581,'Run Reconcile'!B$2:B1679,0),1),IFERROR(0/0,""))</f>
        <v>RUN-COMB_2022-08-01_RFR-088</v>
      </c>
      <c r="S1581" s="165" t="str">
        <f t="shared" ref="S1581:T1581" si="3161">IF(COUNTIF(W$2:W1679, $A1581) &gt; 0,TRUE,IFERROR(0/0,""))</f>
        <v/>
      </c>
      <c r="T1581" s="165" t="str">
        <f t="shared" si="3161"/>
        <v/>
      </c>
      <c r="U1581" s="147" t="str">
        <f t="array" ref="U1581">IF(ISBLANK($R1581), IF($S1581,VLOOKUP($B1581+1,'RFR Data - preExcl'!$BF$2:$BG1679,2,FALSE),IF($T1581,INDEX('RFR Data - preExcl'!$BF$2:$BG1679,MATCH($B1581,'RFR Data - preExcl'!$BF$2:$BF1679,0)+1,2),VLOOKUP($B1581,'RFR Data - preExcl'!$BF$2:$BG1679,2,FALSE))),IFERROR(0/0,""))</f>
        <v/>
      </c>
      <c r="V1581" s="212" t="str">
        <f t="shared" si="5"/>
        <v>RUN-COMB_2022-08-01_RFR-088</v>
      </c>
      <c r="W1581" s="51"/>
      <c r="X1581" s="51"/>
      <c r="Y1581" s="147" t="str">
        <f t="shared" ref="Y1581:Z1581" si="3162">IF(_xlfn.ISFORMULA(S1581),IFERROR(0/0,""),TRUE)</f>
        <v/>
      </c>
      <c r="Z1581" s="147" t="str">
        <f t="shared" si="3162"/>
        <v/>
      </c>
    </row>
    <row r="1582">
      <c r="A1582" s="6" t="str">
        <f>IFERROR(__xludf.DUMMYFUNCTION("""COMPUTED_VALUE"""),"FM1680")</f>
        <v>FM1680</v>
      </c>
      <c r="B1582" s="206">
        <f>IFERROR(__xludf.DUMMYFUNCTION("""COMPUTED_VALUE"""),44775.0)</f>
        <v>44775</v>
      </c>
      <c r="C1582" s="207">
        <f>IFERROR(__xludf.DUMMYFUNCTION("""COMPUTED_VALUE"""),0.31712962962962965)</f>
        <v>0.3171296296</v>
      </c>
      <c r="D1582" s="50"/>
      <c r="E1582" s="58"/>
      <c r="F1582" s="58"/>
      <c r="G1582" s="58" t="str">
        <f>IFERROR(__xludf.DUMMYFUNCTION("""COMPUTED_VALUE"""),"Null")</f>
        <v>Null</v>
      </c>
      <c r="H1582" s="206" t="str">
        <f>IFERROR(__xludf.DUMMYFUNCTION("""COMPUTED_VALUE"""),"Negative")</f>
        <v>Negative</v>
      </c>
      <c r="I1582" s="207"/>
      <c r="J1582" s="50"/>
      <c r="K1582" s="50">
        <f>IFERROR(__xludf.DUMMYFUNCTION("""COMPUTED_VALUE"""),2.0)</f>
        <v>2</v>
      </c>
      <c r="L1582" s="6"/>
      <c r="M1582" s="55"/>
      <c r="N1582" s="55">
        <f>IFERROR(__xludf.DUMMYFUNCTION("""COMPUTED_VALUE"""),1.0)</f>
        <v>1</v>
      </c>
      <c r="O1582" s="55" t="b">
        <f t="shared" si="3"/>
        <v>1</v>
      </c>
      <c r="P1582" s="209"/>
      <c r="Q1582" s="75" t="b">
        <f>VLOOKUP($B1582,'Run Reconcile'!B$2:P1679,15,FALSE)</f>
        <v>1</v>
      </c>
      <c r="R1582" s="211" t="str">
        <f t="array" ref="R1582">IF($Q1582, INDEX('Run Reconcile'!A$2:A1679,MATCH(B1582,'Run Reconcile'!B$2:B1679,0),1),IFERROR(0/0,""))</f>
        <v>RUN-COMB_2022-08-02_RFR-090</v>
      </c>
      <c r="S1582" s="165" t="str">
        <f t="shared" ref="S1582:T1582" si="3163">IF(COUNTIF(W$2:W1679, $A1582) &gt; 0,TRUE,IFERROR(0/0,""))</f>
        <v/>
      </c>
      <c r="T1582" s="165" t="str">
        <f t="shared" si="3163"/>
        <v/>
      </c>
      <c r="U1582" s="147" t="str">
        <f t="array" ref="U1582">IF(ISBLANK($R1582), IF($S1582,VLOOKUP($B1582+1,'RFR Data - preExcl'!$BF$2:$BG1679,2,FALSE),IF($T1582,INDEX('RFR Data - preExcl'!$BF$2:$BG1679,MATCH($B1582,'RFR Data - preExcl'!$BF$2:$BF1679,0)+1,2),VLOOKUP($B1582,'RFR Data - preExcl'!$BF$2:$BG1679,2,FALSE))),IFERROR(0/0,""))</f>
        <v/>
      </c>
      <c r="V1582" s="212" t="str">
        <f t="shared" si="5"/>
        <v>RUN-COMB_2022-08-02_RFR-090</v>
      </c>
      <c r="W1582" s="51"/>
      <c r="X1582" s="51"/>
      <c r="Y1582" s="147" t="str">
        <f t="shared" ref="Y1582:Z1582" si="3164">IF(_xlfn.ISFORMULA(S1582),IFERROR(0/0,""),TRUE)</f>
        <v/>
      </c>
      <c r="Z1582" s="147" t="str">
        <f t="shared" si="3164"/>
        <v/>
      </c>
    </row>
    <row r="1583">
      <c r="A1583" s="6" t="str">
        <f>IFERROR(__xludf.DUMMYFUNCTION("""COMPUTED_VALUE"""),"FM1024")</f>
        <v>FM1024</v>
      </c>
      <c r="B1583" s="206">
        <f>IFERROR(__xludf.DUMMYFUNCTION("""COMPUTED_VALUE"""),44775.0)</f>
        <v>44775</v>
      </c>
      <c r="C1583" s="207">
        <f>IFERROR(__xludf.DUMMYFUNCTION("""COMPUTED_VALUE"""),0.3173958333333333)</f>
        <v>0.3173958333</v>
      </c>
      <c r="D1583" s="50"/>
      <c r="E1583" s="58"/>
      <c r="F1583" s="58"/>
      <c r="G1583" s="58" t="str">
        <f>IFERROR(__xludf.DUMMYFUNCTION("""COMPUTED_VALUE"""),"Null")</f>
        <v>Null</v>
      </c>
      <c r="H1583" s="206" t="str">
        <f>IFERROR(__xludf.DUMMYFUNCTION("""COMPUTED_VALUE"""),"Negative")</f>
        <v>Negative</v>
      </c>
      <c r="I1583" s="207"/>
      <c r="J1583" s="50"/>
      <c r="K1583" s="50">
        <f>IFERROR(__xludf.DUMMYFUNCTION("""COMPUTED_VALUE"""),2.0)</f>
        <v>2</v>
      </c>
      <c r="L1583" s="6"/>
      <c r="M1583" s="55"/>
      <c r="N1583" s="55">
        <f>IFERROR(__xludf.DUMMYFUNCTION("""COMPUTED_VALUE"""),1.0)</f>
        <v>1</v>
      </c>
      <c r="O1583" s="55" t="str">
        <f t="shared" si="3"/>
        <v/>
      </c>
      <c r="P1583" s="209"/>
      <c r="Q1583" s="75" t="b">
        <f>VLOOKUP($B1583,'Run Reconcile'!B$2:P1679,15,FALSE)</f>
        <v>1</v>
      </c>
      <c r="R1583" s="211" t="str">
        <f t="array" ref="R1583">IF($Q1583, INDEX('Run Reconcile'!A$2:A1679,MATCH(B1583,'Run Reconcile'!B$2:B1679,0),1),IFERROR(0/0,""))</f>
        <v>RUN-COMB_2022-08-02_RFR-090</v>
      </c>
      <c r="S1583" s="165" t="str">
        <f t="shared" ref="S1583:T1583" si="3165">IF(COUNTIF(W$2:W1679, $A1583) &gt; 0,TRUE,IFERROR(0/0,""))</f>
        <v/>
      </c>
      <c r="T1583" s="165" t="str">
        <f t="shared" si="3165"/>
        <v/>
      </c>
      <c r="U1583" s="147" t="str">
        <f t="array" ref="U1583">IF(ISBLANK($R1583), IF($S1583,VLOOKUP($B1583+1,'RFR Data - preExcl'!$BF$2:$BG1679,2,FALSE),IF($T1583,INDEX('RFR Data - preExcl'!$BF$2:$BG1679,MATCH($B1583,'RFR Data - preExcl'!$BF$2:$BF1679,0)+1,2),VLOOKUP($B1583,'RFR Data - preExcl'!$BF$2:$BG1679,2,FALSE))),IFERROR(0/0,""))</f>
        <v/>
      </c>
      <c r="V1583" s="212" t="str">
        <f t="shared" si="5"/>
        <v>RUN-COMB_2022-08-02_RFR-090</v>
      </c>
      <c r="W1583" s="51"/>
      <c r="X1583" s="51"/>
      <c r="Y1583" s="147" t="str">
        <f t="shared" ref="Y1583:Z1583" si="3166">IF(_xlfn.ISFORMULA(S1583),IFERROR(0/0,""),TRUE)</f>
        <v/>
      </c>
      <c r="Z1583" s="147" t="str">
        <f t="shared" si="3166"/>
        <v/>
      </c>
    </row>
    <row r="1584">
      <c r="A1584" s="6" t="str">
        <f>IFERROR(__xludf.DUMMYFUNCTION("""COMPUTED_VALUE"""),"FM1631")</f>
        <v>FM1631</v>
      </c>
      <c r="B1584" s="206">
        <f>IFERROR(__xludf.DUMMYFUNCTION("""COMPUTED_VALUE"""),44775.0)</f>
        <v>44775</v>
      </c>
      <c r="C1584" s="207">
        <f>IFERROR(__xludf.DUMMYFUNCTION("""COMPUTED_VALUE"""),0.31774305555555554)</f>
        <v>0.3177430556</v>
      </c>
      <c r="D1584" s="50"/>
      <c r="E1584" s="58"/>
      <c r="F1584" s="58"/>
      <c r="G1584" s="58" t="str">
        <f>IFERROR(__xludf.DUMMYFUNCTION("""COMPUTED_VALUE"""),"Null")</f>
        <v>Null</v>
      </c>
      <c r="H1584" s="206" t="str">
        <f>IFERROR(__xludf.DUMMYFUNCTION("""COMPUTED_VALUE"""),"Negative")</f>
        <v>Negative</v>
      </c>
      <c r="I1584" s="207"/>
      <c r="J1584" s="50"/>
      <c r="K1584" s="50">
        <f>IFERROR(__xludf.DUMMYFUNCTION("""COMPUTED_VALUE"""),2.0)</f>
        <v>2</v>
      </c>
      <c r="L1584" s="6"/>
      <c r="M1584" s="55"/>
      <c r="N1584" s="55">
        <f>IFERROR(__xludf.DUMMYFUNCTION("""COMPUTED_VALUE"""),1.0)</f>
        <v>1</v>
      </c>
      <c r="O1584" s="55" t="str">
        <f t="shared" si="3"/>
        <v/>
      </c>
      <c r="P1584" s="209"/>
      <c r="Q1584" s="75" t="b">
        <f>VLOOKUP($B1584,'Run Reconcile'!B$2:P1679,15,FALSE)</f>
        <v>1</v>
      </c>
      <c r="R1584" s="211" t="str">
        <f t="array" ref="R1584">IF($Q1584, INDEX('Run Reconcile'!A$2:A1679,MATCH(B1584,'Run Reconcile'!B$2:B1679,0),1),IFERROR(0/0,""))</f>
        <v>RUN-COMB_2022-08-02_RFR-090</v>
      </c>
      <c r="S1584" s="165" t="str">
        <f t="shared" ref="S1584:T1584" si="3167">IF(COUNTIF(W$2:W1679, $A1584) &gt; 0,TRUE,IFERROR(0/0,""))</f>
        <v/>
      </c>
      <c r="T1584" s="165" t="str">
        <f t="shared" si="3167"/>
        <v/>
      </c>
      <c r="U1584" s="147" t="str">
        <f t="array" ref="U1584">IF(ISBLANK($R1584), IF($S1584,VLOOKUP($B1584+1,'RFR Data - preExcl'!$BF$2:$BG1679,2,FALSE),IF($T1584,INDEX('RFR Data - preExcl'!$BF$2:$BG1679,MATCH($B1584,'RFR Data - preExcl'!$BF$2:$BF1679,0)+1,2),VLOOKUP($B1584,'RFR Data - preExcl'!$BF$2:$BG1679,2,FALSE))),IFERROR(0/0,""))</f>
        <v/>
      </c>
      <c r="V1584" s="212" t="str">
        <f t="shared" si="5"/>
        <v>RUN-COMB_2022-08-02_RFR-090</v>
      </c>
      <c r="W1584" s="51"/>
      <c r="X1584" s="51"/>
      <c r="Y1584" s="147" t="str">
        <f t="shared" ref="Y1584:Z1584" si="3168">IF(_xlfn.ISFORMULA(S1584),IFERROR(0/0,""),TRUE)</f>
        <v/>
      </c>
      <c r="Z1584" s="147" t="str">
        <f t="shared" si="3168"/>
        <v/>
      </c>
    </row>
    <row r="1585">
      <c r="A1585" s="6" t="str">
        <f>IFERROR(__xludf.DUMMYFUNCTION("""COMPUTED_VALUE"""),"FM1298")</f>
        <v>FM1298</v>
      </c>
      <c r="B1585" s="206">
        <f>IFERROR(__xludf.DUMMYFUNCTION("""COMPUTED_VALUE"""),44775.0)</f>
        <v>44775</v>
      </c>
      <c r="C1585" s="207">
        <f>IFERROR(__xludf.DUMMYFUNCTION("""COMPUTED_VALUE"""),0.3180208333333333)</f>
        <v>0.3180208333</v>
      </c>
      <c r="D1585" s="50"/>
      <c r="E1585" s="58"/>
      <c r="F1585" s="58"/>
      <c r="G1585" s="58" t="str">
        <f>IFERROR(__xludf.DUMMYFUNCTION("""COMPUTED_VALUE"""),"Null")</f>
        <v>Null</v>
      </c>
      <c r="H1585" s="206" t="str">
        <f>IFERROR(__xludf.DUMMYFUNCTION("""COMPUTED_VALUE"""),"Negative")</f>
        <v>Negative</v>
      </c>
      <c r="I1585" s="207"/>
      <c r="J1585" s="50"/>
      <c r="K1585" s="50">
        <f>IFERROR(__xludf.DUMMYFUNCTION("""COMPUTED_VALUE"""),2.0)</f>
        <v>2</v>
      </c>
      <c r="L1585" s="6"/>
      <c r="M1585" s="55"/>
      <c r="N1585" s="55">
        <f>IFERROR(__xludf.DUMMYFUNCTION("""COMPUTED_VALUE"""),1.0)</f>
        <v>1</v>
      </c>
      <c r="O1585" s="55" t="str">
        <f t="shared" si="3"/>
        <v/>
      </c>
      <c r="P1585" s="209"/>
      <c r="Q1585" s="75" t="b">
        <f>VLOOKUP($B1585,'Run Reconcile'!B$2:P1679,15,FALSE)</f>
        <v>1</v>
      </c>
      <c r="R1585" s="211" t="str">
        <f t="array" ref="R1585">IF($Q1585, INDEX('Run Reconcile'!A$2:A1679,MATCH(B1585,'Run Reconcile'!B$2:B1679,0),1),IFERROR(0/0,""))</f>
        <v>RUN-COMB_2022-08-02_RFR-090</v>
      </c>
      <c r="S1585" s="165" t="str">
        <f t="shared" ref="S1585:T1585" si="3169">IF(COUNTIF(W$2:W1679, $A1585) &gt; 0,TRUE,IFERROR(0/0,""))</f>
        <v/>
      </c>
      <c r="T1585" s="165" t="str">
        <f t="shared" si="3169"/>
        <v/>
      </c>
      <c r="U1585" s="147" t="str">
        <f t="array" ref="U1585">IF(ISBLANK($R1585), IF($S1585,VLOOKUP($B1585+1,'RFR Data - preExcl'!$BF$2:$BG1679,2,FALSE),IF($T1585,INDEX('RFR Data - preExcl'!$BF$2:$BG1679,MATCH($B1585,'RFR Data - preExcl'!$BF$2:$BF1679,0)+1,2),VLOOKUP($B1585,'RFR Data - preExcl'!$BF$2:$BG1679,2,FALSE))),IFERROR(0/0,""))</f>
        <v/>
      </c>
      <c r="V1585" s="212" t="str">
        <f t="shared" si="5"/>
        <v>RUN-COMB_2022-08-02_RFR-090</v>
      </c>
      <c r="W1585" s="51"/>
      <c r="X1585" s="51"/>
      <c r="Y1585" s="147" t="str">
        <f t="shared" ref="Y1585:Z1585" si="3170">IF(_xlfn.ISFORMULA(S1585),IFERROR(0/0,""),TRUE)</f>
        <v/>
      </c>
      <c r="Z1585" s="147" t="str">
        <f t="shared" si="3170"/>
        <v/>
      </c>
    </row>
    <row r="1586">
      <c r="A1586" s="6" t="str">
        <f>IFERROR(__xludf.DUMMYFUNCTION("""COMPUTED_VALUE"""),"FM1281")</f>
        <v>FM1281</v>
      </c>
      <c r="B1586" s="206">
        <f>IFERROR(__xludf.DUMMYFUNCTION("""COMPUTED_VALUE"""),44775.0)</f>
        <v>44775</v>
      </c>
      <c r="C1586" s="207">
        <f>IFERROR(__xludf.DUMMYFUNCTION("""COMPUTED_VALUE"""),0.31840277777777776)</f>
        <v>0.3184027778</v>
      </c>
      <c r="D1586" s="50"/>
      <c r="E1586" s="58"/>
      <c r="F1586" s="58"/>
      <c r="G1586" s="58" t="str">
        <f>IFERROR(__xludf.DUMMYFUNCTION("""COMPUTED_VALUE"""),"Null")</f>
        <v>Null</v>
      </c>
      <c r="H1586" s="206" t="str">
        <f>IFERROR(__xludf.DUMMYFUNCTION("""COMPUTED_VALUE"""),"Negative")</f>
        <v>Negative</v>
      </c>
      <c r="I1586" s="207"/>
      <c r="J1586" s="50"/>
      <c r="K1586" s="50">
        <f>IFERROR(__xludf.DUMMYFUNCTION("""COMPUTED_VALUE"""),2.0)</f>
        <v>2</v>
      </c>
      <c r="L1586" s="6"/>
      <c r="M1586" s="55"/>
      <c r="N1586" s="55">
        <f>IFERROR(__xludf.DUMMYFUNCTION("""COMPUTED_VALUE"""),1.0)</f>
        <v>1</v>
      </c>
      <c r="O1586" s="55" t="str">
        <f t="shared" si="3"/>
        <v/>
      </c>
      <c r="P1586" s="209"/>
      <c r="Q1586" s="75" t="b">
        <f>VLOOKUP($B1586,'Run Reconcile'!B$2:P1679,15,FALSE)</f>
        <v>1</v>
      </c>
      <c r="R1586" s="211" t="str">
        <f t="array" ref="R1586">IF($Q1586, INDEX('Run Reconcile'!A$2:A1679,MATCH(B1586,'Run Reconcile'!B$2:B1679,0),1),IFERROR(0/0,""))</f>
        <v>RUN-COMB_2022-08-02_RFR-090</v>
      </c>
      <c r="S1586" s="165" t="str">
        <f t="shared" ref="S1586:T1586" si="3171">IF(COUNTIF(W$2:W1679, $A1586) &gt; 0,TRUE,IFERROR(0/0,""))</f>
        <v/>
      </c>
      <c r="T1586" s="165" t="str">
        <f t="shared" si="3171"/>
        <v/>
      </c>
      <c r="U1586" s="147" t="str">
        <f t="array" ref="U1586">IF(ISBLANK($R1586), IF($S1586,VLOOKUP($B1586+1,'RFR Data - preExcl'!$BF$2:$BG1679,2,FALSE),IF($T1586,INDEX('RFR Data - preExcl'!$BF$2:$BG1679,MATCH($B1586,'RFR Data - preExcl'!$BF$2:$BF1679,0)+1,2),VLOOKUP($B1586,'RFR Data - preExcl'!$BF$2:$BG1679,2,FALSE))),IFERROR(0/0,""))</f>
        <v/>
      </c>
      <c r="V1586" s="212" t="str">
        <f t="shared" si="5"/>
        <v>RUN-COMB_2022-08-02_RFR-090</v>
      </c>
      <c r="W1586" s="51"/>
      <c r="X1586" s="51"/>
      <c r="Y1586" s="147" t="str">
        <f t="shared" ref="Y1586:Z1586" si="3172">IF(_xlfn.ISFORMULA(S1586),IFERROR(0/0,""),TRUE)</f>
        <v/>
      </c>
      <c r="Z1586" s="147" t="str">
        <f t="shared" si="3172"/>
        <v/>
      </c>
    </row>
    <row r="1587">
      <c r="A1587" s="6" t="str">
        <f>IFERROR(__xludf.DUMMYFUNCTION("""COMPUTED_VALUE"""),"FM1872")</f>
        <v>FM1872</v>
      </c>
      <c r="B1587" s="206">
        <f>IFERROR(__xludf.DUMMYFUNCTION("""COMPUTED_VALUE"""),44775.0)</f>
        <v>44775</v>
      </c>
      <c r="C1587" s="207">
        <f>IFERROR(__xludf.DUMMYFUNCTION("""COMPUTED_VALUE"""),0.318912037037037)</f>
        <v>0.318912037</v>
      </c>
      <c r="D1587" s="50"/>
      <c r="E1587" s="58"/>
      <c r="F1587" s="58"/>
      <c r="G1587" s="58" t="str">
        <f>IFERROR(__xludf.DUMMYFUNCTION("""COMPUTED_VALUE"""),"Null")</f>
        <v>Null</v>
      </c>
      <c r="H1587" s="206" t="str">
        <f>IFERROR(__xludf.DUMMYFUNCTION("""COMPUTED_VALUE"""),"Negative")</f>
        <v>Negative</v>
      </c>
      <c r="I1587" s="207"/>
      <c r="J1587" s="50"/>
      <c r="K1587" s="50">
        <f>IFERROR(__xludf.DUMMYFUNCTION("""COMPUTED_VALUE"""),2.0)</f>
        <v>2</v>
      </c>
      <c r="L1587" s="6"/>
      <c r="M1587" s="55"/>
      <c r="N1587" s="55">
        <f>IFERROR(__xludf.DUMMYFUNCTION("""COMPUTED_VALUE"""),1.0)</f>
        <v>1</v>
      </c>
      <c r="O1587" s="55" t="str">
        <f t="shared" si="3"/>
        <v/>
      </c>
      <c r="P1587" s="209"/>
      <c r="Q1587" s="75" t="b">
        <f>VLOOKUP($B1587,'Run Reconcile'!B$2:P1679,15,FALSE)</f>
        <v>1</v>
      </c>
      <c r="R1587" s="211" t="str">
        <f t="array" ref="R1587">IF($Q1587, INDEX('Run Reconcile'!A$2:A1679,MATCH(B1587,'Run Reconcile'!B$2:B1679,0),1),IFERROR(0/0,""))</f>
        <v>RUN-COMB_2022-08-02_RFR-090</v>
      </c>
      <c r="S1587" s="165" t="str">
        <f t="shared" ref="S1587:T1587" si="3173">IF(COUNTIF(W$2:W1679, $A1587) &gt; 0,TRUE,IFERROR(0/0,""))</f>
        <v/>
      </c>
      <c r="T1587" s="165" t="str">
        <f t="shared" si="3173"/>
        <v/>
      </c>
      <c r="U1587" s="147" t="str">
        <f t="array" ref="U1587">IF(ISBLANK($R1587), IF($S1587,VLOOKUP($B1587+1,'RFR Data - preExcl'!$BF$2:$BG1679,2,FALSE),IF($T1587,INDEX('RFR Data - preExcl'!$BF$2:$BG1679,MATCH($B1587,'RFR Data - preExcl'!$BF$2:$BF1679,0)+1,2),VLOOKUP($B1587,'RFR Data - preExcl'!$BF$2:$BG1679,2,FALSE))),IFERROR(0/0,""))</f>
        <v/>
      </c>
      <c r="V1587" s="212" t="str">
        <f t="shared" si="5"/>
        <v>RUN-COMB_2022-08-02_RFR-090</v>
      </c>
      <c r="W1587" s="51"/>
      <c r="X1587" s="51"/>
      <c r="Y1587" s="147" t="str">
        <f t="shared" ref="Y1587:Z1587" si="3174">IF(_xlfn.ISFORMULA(S1587),IFERROR(0/0,""),TRUE)</f>
        <v/>
      </c>
      <c r="Z1587" s="147" t="str">
        <f t="shared" si="3174"/>
        <v/>
      </c>
    </row>
    <row r="1588">
      <c r="A1588" s="6" t="str">
        <f>IFERROR(__xludf.DUMMYFUNCTION("""COMPUTED_VALUE"""),"FM1863")</f>
        <v>FM1863</v>
      </c>
      <c r="B1588" s="206">
        <f>IFERROR(__xludf.DUMMYFUNCTION("""COMPUTED_VALUE"""),44775.0)</f>
        <v>44775</v>
      </c>
      <c r="C1588" s="207">
        <f>IFERROR(__xludf.DUMMYFUNCTION("""COMPUTED_VALUE"""),0.3192361111111111)</f>
        <v>0.3192361111</v>
      </c>
      <c r="D1588" s="50"/>
      <c r="E1588" s="58"/>
      <c r="F1588" s="58"/>
      <c r="G1588" s="58" t="str">
        <f>IFERROR(__xludf.DUMMYFUNCTION("""COMPUTED_VALUE"""),"Null")</f>
        <v>Null</v>
      </c>
      <c r="H1588" s="206" t="str">
        <f>IFERROR(__xludf.DUMMYFUNCTION("""COMPUTED_VALUE"""),"Negative")</f>
        <v>Negative</v>
      </c>
      <c r="I1588" s="207"/>
      <c r="J1588" s="50"/>
      <c r="K1588" s="50">
        <f>IFERROR(__xludf.DUMMYFUNCTION("""COMPUTED_VALUE"""),2.0)</f>
        <v>2</v>
      </c>
      <c r="L1588" s="6"/>
      <c r="M1588" s="55"/>
      <c r="N1588" s="55">
        <f>IFERROR(__xludf.DUMMYFUNCTION("""COMPUTED_VALUE"""),1.0)</f>
        <v>1</v>
      </c>
      <c r="O1588" s="55" t="str">
        <f t="shared" si="3"/>
        <v/>
      </c>
      <c r="P1588" s="209"/>
      <c r="Q1588" s="75" t="b">
        <f>VLOOKUP($B1588,'Run Reconcile'!B$2:P1679,15,FALSE)</f>
        <v>1</v>
      </c>
      <c r="R1588" s="211" t="str">
        <f t="array" ref="R1588">IF($Q1588, INDEX('Run Reconcile'!A$2:A1679,MATCH(B1588,'Run Reconcile'!B$2:B1679,0),1),IFERROR(0/0,""))</f>
        <v>RUN-COMB_2022-08-02_RFR-090</v>
      </c>
      <c r="S1588" s="165" t="str">
        <f t="shared" ref="S1588:T1588" si="3175">IF(COUNTIF(W$2:W1679, $A1588) &gt; 0,TRUE,IFERROR(0/0,""))</f>
        <v/>
      </c>
      <c r="T1588" s="165" t="str">
        <f t="shared" si="3175"/>
        <v/>
      </c>
      <c r="U1588" s="147" t="str">
        <f t="array" ref="U1588">IF(ISBLANK($R1588), IF($S1588,VLOOKUP($B1588+1,'RFR Data - preExcl'!$BF$2:$BG1679,2,FALSE),IF($T1588,INDEX('RFR Data - preExcl'!$BF$2:$BG1679,MATCH($B1588,'RFR Data - preExcl'!$BF$2:$BF1679,0)+1,2),VLOOKUP($B1588,'RFR Data - preExcl'!$BF$2:$BG1679,2,FALSE))),IFERROR(0/0,""))</f>
        <v/>
      </c>
      <c r="V1588" s="212" t="str">
        <f t="shared" si="5"/>
        <v>RUN-COMB_2022-08-02_RFR-090</v>
      </c>
      <c r="W1588" s="51"/>
      <c r="X1588" s="51"/>
      <c r="Y1588" s="147" t="str">
        <f t="shared" ref="Y1588:Z1588" si="3176">IF(_xlfn.ISFORMULA(S1588),IFERROR(0/0,""),TRUE)</f>
        <v/>
      </c>
      <c r="Z1588" s="147" t="str">
        <f t="shared" si="3176"/>
        <v/>
      </c>
    </row>
    <row r="1589">
      <c r="A1589" s="6" t="str">
        <f>IFERROR(__xludf.DUMMYFUNCTION("""COMPUTED_VALUE"""),"FM1651")</f>
        <v>FM1651</v>
      </c>
      <c r="B1589" s="206">
        <f>IFERROR(__xludf.DUMMYFUNCTION("""COMPUTED_VALUE"""),44775.0)</f>
        <v>44775</v>
      </c>
      <c r="C1589" s="207">
        <f>IFERROR(__xludf.DUMMYFUNCTION("""COMPUTED_VALUE"""),0.3195949074074074)</f>
        <v>0.3195949074</v>
      </c>
      <c r="D1589" s="50"/>
      <c r="E1589" s="58"/>
      <c r="F1589" s="58"/>
      <c r="G1589" s="58" t="str">
        <f>IFERROR(__xludf.DUMMYFUNCTION("""COMPUTED_VALUE"""),"Null")</f>
        <v>Null</v>
      </c>
      <c r="H1589" s="206" t="str">
        <f>IFERROR(__xludf.DUMMYFUNCTION("""COMPUTED_VALUE"""),"Negative")</f>
        <v>Negative</v>
      </c>
      <c r="I1589" s="207"/>
      <c r="J1589" s="50"/>
      <c r="K1589" s="50">
        <f>IFERROR(__xludf.DUMMYFUNCTION("""COMPUTED_VALUE"""),2.0)</f>
        <v>2</v>
      </c>
      <c r="L1589" s="6"/>
      <c r="M1589" s="55"/>
      <c r="N1589" s="55">
        <f>IFERROR(__xludf.DUMMYFUNCTION("""COMPUTED_VALUE"""),1.0)</f>
        <v>1</v>
      </c>
      <c r="O1589" s="55" t="str">
        <f t="shared" si="3"/>
        <v/>
      </c>
      <c r="P1589" s="209"/>
      <c r="Q1589" s="75" t="b">
        <f>VLOOKUP($B1589,'Run Reconcile'!B$2:P1679,15,FALSE)</f>
        <v>1</v>
      </c>
      <c r="R1589" s="211" t="str">
        <f t="array" ref="R1589">IF($Q1589, INDEX('Run Reconcile'!A$2:A1679,MATCH(B1589,'Run Reconcile'!B$2:B1679,0),1),IFERROR(0/0,""))</f>
        <v>RUN-COMB_2022-08-02_RFR-090</v>
      </c>
      <c r="S1589" s="165" t="str">
        <f t="shared" ref="S1589:T1589" si="3177">IF(COUNTIF(W$2:W1679, $A1589) &gt; 0,TRUE,IFERROR(0/0,""))</f>
        <v/>
      </c>
      <c r="T1589" s="165" t="str">
        <f t="shared" si="3177"/>
        <v/>
      </c>
      <c r="U1589" s="147" t="str">
        <f t="array" ref="U1589">IF(ISBLANK($R1589), IF($S1589,VLOOKUP($B1589+1,'RFR Data - preExcl'!$BF$2:$BG1679,2,FALSE),IF($T1589,INDEX('RFR Data - preExcl'!$BF$2:$BG1679,MATCH($B1589,'RFR Data - preExcl'!$BF$2:$BF1679,0)+1,2),VLOOKUP($B1589,'RFR Data - preExcl'!$BF$2:$BG1679,2,FALSE))),IFERROR(0/0,""))</f>
        <v/>
      </c>
      <c r="V1589" s="212" t="str">
        <f t="shared" si="5"/>
        <v>RUN-COMB_2022-08-02_RFR-090</v>
      </c>
      <c r="W1589" s="51"/>
      <c r="X1589" s="51"/>
      <c r="Y1589" s="147" t="str">
        <f t="shared" ref="Y1589:Z1589" si="3178">IF(_xlfn.ISFORMULA(S1589),IFERROR(0/0,""),TRUE)</f>
        <v/>
      </c>
      <c r="Z1589" s="147" t="str">
        <f t="shared" si="3178"/>
        <v/>
      </c>
    </row>
    <row r="1590">
      <c r="A1590" s="6" t="str">
        <f>IFERROR(__xludf.DUMMYFUNCTION("""COMPUTED_VALUE"""),"FM1276")</f>
        <v>FM1276</v>
      </c>
      <c r="B1590" s="206">
        <f>IFERROR(__xludf.DUMMYFUNCTION("""COMPUTED_VALUE"""),44775.0)</f>
        <v>44775</v>
      </c>
      <c r="C1590" s="207">
        <f>IFERROR(__xludf.DUMMYFUNCTION("""COMPUTED_VALUE"""),0.3198726851851852)</f>
        <v>0.3198726852</v>
      </c>
      <c r="D1590" s="50"/>
      <c r="E1590" s="58"/>
      <c r="F1590" s="58"/>
      <c r="G1590" s="58" t="str">
        <f>IFERROR(__xludf.DUMMYFUNCTION("""COMPUTED_VALUE"""),"Null")</f>
        <v>Null</v>
      </c>
      <c r="H1590" s="206" t="str">
        <f>IFERROR(__xludf.DUMMYFUNCTION("""COMPUTED_VALUE"""),"Negative")</f>
        <v>Negative</v>
      </c>
      <c r="I1590" s="207"/>
      <c r="J1590" s="50"/>
      <c r="K1590" s="50">
        <f>IFERROR(__xludf.DUMMYFUNCTION("""COMPUTED_VALUE"""),2.0)</f>
        <v>2</v>
      </c>
      <c r="L1590" s="6"/>
      <c r="M1590" s="55"/>
      <c r="N1590" s="55">
        <f>IFERROR(__xludf.DUMMYFUNCTION("""COMPUTED_VALUE"""),1.0)</f>
        <v>1</v>
      </c>
      <c r="O1590" s="55" t="str">
        <f t="shared" si="3"/>
        <v/>
      </c>
      <c r="P1590" s="209"/>
      <c r="Q1590" s="75" t="b">
        <f>VLOOKUP($B1590,'Run Reconcile'!B$2:P1679,15,FALSE)</f>
        <v>1</v>
      </c>
      <c r="R1590" s="211" t="str">
        <f t="array" ref="R1590">IF($Q1590, INDEX('Run Reconcile'!A$2:A1679,MATCH(B1590,'Run Reconcile'!B$2:B1679,0),1),IFERROR(0/0,""))</f>
        <v>RUN-COMB_2022-08-02_RFR-090</v>
      </c>
      <c r="S1590" s="165" t="str">
        <f t="shared" ref="S1590:T1590" si="3179">IF(COUNTIF(W$2:W1679, $A1590) &gt; 0,TRUE,IFERROR(0/0,""))</f>
        <v/>
      </c>
      <c r="T1590" s="165" t="str">
        <f t="shared" si="3179"/>
        <v/>
      </c>
      <c r="U1590" s="147" t="str">
        <f t="array" ref="U1590">IF(ISBLANK($R1590), IF($S1590,VLOOKUP($B1590+1,'RFR Data - preExcl'!$BF$2:$BG1679,2,FALSE),IF($T1590,INDEX('RFR Data - preExcl'!$BF$2:$BG1679,MATCH($B1590,'RFR Data - preExcl'!$BF$2:$BF1679,0)+1,2),VLOOKUP($B1590,'RFR Data - preExcl'!$BF$2:$BG1679,2,FALSE))),IFERROR(0/0,""))</f>
        <v/>
      </c>
      <c r="V1590" s="212" t="str">
        <f t="shared" si="5"/>
        <v>RUN-COMB_2022-08-02_RFR-090</v>
      </c>
      <c r="W1590" s="51"/>
      <c r="X1590" s="51"/>
      <c r="Y1590" s="147" t="str">
        <f t="shared" ref="Y1590:Z1590" si="3180">IF(_xlfn.ISFORMULA(S1590),IFERROR(0/0,""),TRUE)</f>
        <v/>
      </c>
      <c r="Z1590" s="147" t="str">
        <f t="shared" si="3180"/>
        <v/>
      </c>
    </row>
    <row r="1591">
      <c r="A1591" s="6" t="str">
        <f>IFERROR(__xludf.DUMMYFUNCTION("""COMPUTED_VALUE"""),"FM1078")</f>
        <v>FM1078</v>
      </c>
      <c r="B1591" s="206">
        <f>IFERROR(__xludf.DUMMYFUNCTION("""COMPUTED_VALUE"""),44775.0)</f>
        <v>44775</v>
      </c>
      <c r="C1591" s="207">
        <f>IFERROR(__xludf.DUMMYFUNCTION("""COMPUTED_VALUE"""),0.3202083333333333)</f>
        <v>0.3202083333</v>
      </c>
      <c r="D1591" s="50"/>
      <c r="E1591" s="58"/>
      <c r="F1591" s="58"/>
      <c r="G1591" s="58" t="str">
        <f>IFERROR(__xludf.DUMMYFUNCTION("""COMPUTED_VALUE"""),"Null")</f>
        <v>Null</v>
      </c>
      <c r="H1591" s="206" t="str">
        <f>IFERROR(__xludf.DUMMYFUNCTION("""COMPUTED_VALUE"""),"Negative")</f>
        <v>Negative</v>
      </c>
      <c r="I1591" s="207"/>
      <c r="J1591" s="50"/>
      <c r="K1591" s="50">
        <f>IFERROR(__xludf.DUMMYFUNCTION("""COMPUTED_VALUE"""),2.0)</f>
        <v>2</v>
      </c>
      <c r="L1591" s="6"/>
      <c r="M1591" s="55"/>
      <c r="N1591" s="55">
        <f>IFERROR(__xludf.DUMMYFUNCTION("""COMPUTED_VALUE"""),1.0)</f>
        <v>1</v>
      </c>
      <c r="O1591" s="55" t="str">
        <f t="shared" si="3"/>
        <v/>
      </c>
      <c r="P1591" s="209"/>
      <c r="Q1591" s="75" t="b">
        <f>VLOOKUP($B1591,'Run Reconcile'!B$2:P1679,15,FALSE)</f>
        <v>1</v>
      </c>
      <c r="R1591" s="211" t="str">
        <f t="array" ref="R1591">IF($Q1591, INDEX('Run Reconcile'!A$2:A1679,MATCH(B1591,'Run Reconcile'!B$2:B1679,0),1),IFERROR(0/0,""))</f>
        <v>RUN-COMB_2022-08-02_RFR-090</v>
      </c>
      <c r="S1591" s="165" t="str">
        <f t="shared" ref="S1591:T1591" si="3181">IF(COUNTIF(W$2:W1679, $A1591) &gt; 0,TRUE,IFERROR(0/0,""))</f>
        <v/>
      </c>
      <c r="T1591" s="165" t="str">
        <f t="shared" si="3181"/>
        <v/>
      </c>
      <c r="U1591" s="147" t="str">
        <f t="array" ref="U1591">IF(ISBLANK($R1591), IF($S1591,VLOOKUP($B1591+1,'RFR Data - preExcl'!$BF$2:$BG1679,2,FALSE),IF($T1591,INDEX('RFR Data - preExcl'!$BF$2:$BG1679,MATCH($B1591,'RFR Data - preExcl'!$BF$2:$BF1679,0)+1,2),VLOOKUP($B1591,'RFR Data - preExcl'!$BF$2:$BG1679,2,FALSE))),IFERROR(0/0,""))</f>
        <v/>
      </c>
      <c r="V1591" s="212" t="str">
        <f t="shared" si="5"/>
        <v>RUN-COMB_2022-08-02_RFR-090</v>
      </c>
      <c r="W1591" s="51"/>
      <c r="X1591" s="51"/>
      <c r="Y1591" s="147" t="str">
        <f t="shared" ref="Y1591:Z1591" si="3182">IF(_xlfn.ISFORMULA(S1591),IFERROR(0/0,""),TRUE)</f>
        <v/>
      </c>
      <c r="Z1591" s="147" t="str">
        <f t="shared" si="3182"/>
        <v/>
      </c>
    </row>
    <row r="1592">
      <c r="A1592" s="6" t="str">
        <f>IFERROR(__xludf.DUMMYFUNCTION("""COMPUTED_VALUE"""),"FM1066")</f>
        <v>FM1066</v>
      </c>
      <c r="B1592" s="206">
        <f>IFERROR(__xludf.DUMMYFUNCTION("""COMPUTED_VALUE"""),44775.0)</f>
        <v>44775</v>
      </c>
      <c r="C1592" s="207">
        <f>IFERROR(__xludf.DUMMYFUNCTION("""COMPUTED_VALUE"""),0.3205439814814815)</f>
        <v>0.3205439815</v>
      </c>
      <c r="D1592" s="50"/>
      <c r="E1592" s="58"/>
      <c r="F1592" s="58"/>
      <c r="G1592" s="58" t="str">
        <f>IFERROR(__xludf.DUMMYFUNCTION("""COMPUTED_VALUE"""),"Null")</f>
        <v>Null</v>
      </c>
      <c r="H1592" s="206" t="str">
        <f>IFERROR(__xludf.DUMMYFUNCTION("""COMPUTED_VALUE"""),"Negative")</f>
        <v>Negative</v>
      </c>
      <c r="I1592" s="207"/>
      <c r="J1592" s="50"/>
      <c r="K1592" s="50">
        <f>IFERROR(__xludf.DUMMYFUNCTION("""COMPUTED_VALUE"""),2.0)</f>
        <v>2</v>
      </c>
      <c r="L1592" s="6"/>
      <c r="M1592" s="55"/>
      <c r="N1592" s="55">
        <f>IFERROR(__xludf.DUMMYFUNCTION("""COMPUTED_VALUE"""),1.0)</f>
        <v>1</v>
      </c>
      <c r="O1592" s="55" t="str">
        <f t="shared" si="3"/>
        <v/>
      </c>
      <c r="P1592" s="209"/>
      <c r="Q1592" s="75" t="b">
        <f>VLOOKUP($B1592,'Run Reconcile'!B$2:P1679,15,FALSE)</f>
        <v>1</v>
      </c>
      <c r="R1592" s="211" t="str">
        <f t="array" ref="R1592">IF($Q1592, INDEX('Run Reconcile'!A$2:A1679,MATCH(B1592,'Run Reconcile'!B$2:B1679,0),1),IFERROR(0/0,""))</f>
        <v>RUN-COMB_2022-08-02_RFR-090</v>
      </c>
      <c r="S1592" s="165" t="str">
        <f t="shared" ref="S1592:T1592" si="3183">IF(COUNTIF(W$2:W1679, $A1592) &gt; 0,TRUE,IFERROR(0/0,""))</f>
        <v/>
      </c>
      <c r="T1592" s="165" t="str">
        <f t="shared" si="3183"/>
        <v/>
      </c>
      <c r="U1592" s="147" t="str">
        <f t="array" ref="U1592">IF(ISBLANK($R1592), IF($S1592,VLOOKUP($B1592+1,'RFR Data - preExcl'!$BF$2:$BG1679,2,FALSE),IF($T1592,INDEX('RFR Data - preExcl'!$BF$2:$BG1679,MATCH($B1592,'RFR Data - preExcl'!$BF$2:$BF1679,0)+1,2),VLOOKUP($B1592,'RFR Data - preExcl'!$BF$2:$BG1679,2,FALSE))),IFERROR(0/0,""))</f>
        <v/>
      </c>
      <c r="V1592" s="212" t="str">
        <f t="shared" si="5"/>
        <v>RUN-COMB_2022-08-02_RFR-090</v>
      </c>
      <c r="W1592" s="51"/>
      <c r="X1592" s="51"/>
      <c r="Y1592" s="147" t="str">
        <f t="shared" ref="Y1592:Z1592" si="3184">IF(_xlfn.ISFORMULA(S1592),IFERROR(0/0,""),TRUE)</f>
        <v/>
      </c>
      <c r="Z1592" s="147" t="str">
        <f t="shared" si="3184"/>
        <v/>
      </c>
    </row>
    <row r="1593">
      <c r="A1593" s="6" t="str">
        <f>IFERROR(__xludf.DUMMYFUNCTION("""COMPUTED_VALUE"""),"FM1910")</f>
        <v>FM1910</v>
      </c>
      <c r="B1593" s="206">
        <f>IFERROR(__xludf.DUMMYFUNCTION("""COMPUTED_VALUE"""),44775.0)</f>
        <v>44775</v>
      </c>
      <c r="C1593" s="207">
        <f>IFERROR(__xludf.DUMMYFUNCTION("""COMPUTED_VALUE"""),0.3208564814814815)</f>
        <v>0.3208564815</v>
      </c>
      <c r="D1593" s="50"/>
      <c r="E1593" s="58"/>
      <c r="F1593" s="58"/>
      <c r="G1593" s="58" t="str">
        <f>IFERROR(__xludf.DUMMYFUNCTION("""COMPUTED_VALUE"""),"Null")</f>
        <v>Null</v>
      </c>
      <c r="H1593" s="206" t="str">
        <f>IFERROR(__xludf.DUMMYFUNCTION("""COMPUTED_VALUE"""),"Negative")</f>
        <v>Negative</v>
      </c>
      <c r="I1593" s="207"/>
      <c r="J1593" s="50"/>
      <c r="K1593" s="50">
        <f>IFERROR(__xludf.DUMMYFUNCTION("""COMPUTED_VALUE"""),2.0)</f>
        <v>2</v>
      </c>
      <c r="L1593" s="6"/>
      <c r="M1593" s="55"/>
      <c r="N1593" s="55">
        <f>IFERROR(__xludf.DUMMYFUNCTION("""COMPUTED_VALUE"""),1.0)</f>
        <v>1</v>
      </c>
      <c r="O1593" s="55" t="str">
        <f t="shared" si="3"/>
        <v/>
      </c>
      <c r="P1593" s="209"/>
      <c r="Q1593" s="75" t="b">
        <f>VLOOKUP($B1593,'Run Reconcile'!B$2:P1679,15,FALSE)</f>
        <v>1</v>
      </c>
      <c r="R1593" s="211" t="str">
        <f t="array" ref="R1593">IF($Q1593, INDEX('Run Reconcile'!A$2:A1679,MATCH(B1593,'Run Reconcile'!B$2:B1679,0),1),IFERROR(0/0,""))</f>
        <v>RUN-COMB_2022-08-02_RFR-090</v>
      </c>
      <c r="S1593" s="165" t="str">
        <f t="shared" ref="S1593:T1593" si="3185">IF(COUNTIF(W$2:W1679, $A1593) &gt; 0,TRUE,IFERROR(0/0,""))</f>
        <v/>
      </c>
      <c r="T1593" s="165" t="str">
        <f t="shared" si="3185"/>
        <v/>
      </c>
      <c r="U1593" s="147" t="str">
        <f t="array" ref="U1593">IF(ISBLANK($R1593), IF($S1593,VLOOKUP($B1593+1,'RFR Data - preExcl'!$BF$2:$BG1679,2,FALSE),IF($T1593,INDEX('RFR Data - preExcl'!$BF$2:$BG1679,MATCH($B1593,'RFR Data - preExcl'!$BF$2:$BF1679,0)+1,2),VLOOKUP($B1593,'RFR Data - preExcl'!$BF$2:$BG1679,2,FALSE))),IFERROR(0/0,""))</f>
        <v/>
      </c>
      <c r="V1593" s="212" t="str">
        <f t="shared" si="5"/>
        <v>RUN-COMB_2022-08-02_RFR-090</v>
      </c>
      <c r="W1593" s="51"/>
      <c r="X1593" s="51"/>
      <c r="Y1593" s="147" t="str">
        <f t="shared" ref="Y1593:Z1593" si="3186">IF(_xlfn.ISFORMULA(S1593),IFERROR(0/0,""),TRUE)</f>
        <v/>
      </c>
      <c r="Z1593" s="147" t="str">
        <f t="shared" si="3186"/>
        <v/>
      </c>
    </row>
    <row r="1594">
      <c r="A1594" s="6" t="str">
        <f>IFERROR(__xludf.DUMMYFUNCTION("""COMPUTED_VALUE"""),"FM1675")</f>
        <v>FM1675</v>
      </c>
      <c r="B1594" s="206">
        <f>IFERROR(__xludf.DUMMYFUNCTION("""COMPUTED_VALUE"""),44775.0)</f>
        <v>44775</v>
      </c>
      <c r="C1594" s="207">
        <f>IFERROR(__xludf.DUMMYFUNCTION("""COMPUTED_VALUE"""),0.32125)</f>
        <v>0.32125</v>
      </c>
      <c r="D1594" s="50"/>
      <c r="E1594" s="58"/>
      <c r="F1594" s="58"/>
      <c r="G1594" s="58" t="str">
        <f>IFERROR(__xludf.DUMMYFUNCTION("""COMPUTED_VALUE"""),"Null")</f>
        <v>Null</v>
      </c>
      <c r="H1594" s="206" t="str">
        <f>IFERROR(__xludf.DUMMYFUNCTION("""COMPUTED_VALUE"""),"Negative")</f>
        <v>Negative</v>
      </c>
      <c r="I1594" s="207"/>
      <c r="J1594" s="50"/>
      <c r="K1594" s="50">
        <f>IFERROR(__xludf.DUMMYFUNCTION("""COMPUTED_VALUE"""),2.0)</f>
        <v>2</v>
      </c>
      <c r="L1594" s="6"/>
      <c r="M1594" s="55"/>
      <c r="N1594" s="55">
        <f>IFERROR(__xludf.DUMMYFUNCTION("""COMPUTED_VALUE"""),1.0)</f>
        <v>1</v>
      </c>
      <c r="O1594" s="55" t="str">
        <f t="shared" si="3"/>
        <v/>
      </c>
      <c r="P1594" s="209"/>
      <c r="Q1594" s="75" t="b">
        <f>VLOOKUP($B1594,'Run Reconcile'!B$2:P1679,15,FALSE)</f>
        <v>1</v>
      </c>
      <c r="R1594" s="211" t="str">
        <f t="array" ref="R1594">IF($Q1594, INDEX('Run Reconcile'!A$2:A1679,MATCH(B1594,'Run Reconcile'!B$2:B1679,0),1),IFERROR(0/0,""))</f>
        <v>RUN-COMB_2022-08-02_RFR-090</v>
      </c>
      <c r="S1594" s="165" t="str">
        <f t="shared" ref="S1594:T1594" si="3187">IF(COUNTIF(W$2:W1679, $A1594) &gt; 0,TRUE,IFERROR(0/0,""))</f>
        <v/>
      </c>
      <c r="T1594" s="165" t="str">
        <f t="shared" si="3187"/>
        <v/>
      </c>
      <c r="U1594" s="147" t="str">
        <f t="array" ref="U1594">IF(ISBLANK($R1594), IF($S1594,VLOOKUP($B1594+1,'RFR Data - preExcl'!$BF$2:$BG1679,2,FALSE),IF($T1594,INDEX('RFR Data - preExcl'!$BF$2:$BG1679,MATCH($B1594,'RFR Data - preExcl'!$BF$2:$BF1679,0)+1,2),VLOOKUP($B1594,'RFR Data - preExcl'!$BF$2:$BG1679,2,FALSE))),IFERROR(0/0,""))</f>
        <v/>
      </c>
      <c r="V1594" s="212" t="str">
        <f t="shared" si="5"/>
        <v>RUN-COMB_2022-08-02_RFR-090</v>
      </c>
      <c r="W1594" s="51"/>
      <c r="X1594" s="51"/>
      <c r="Y1594" s="147" t="str">
        <f t="shared" ref="Y1594:Z1594" si="3188">IF(_xlfn.ISFORMULA(S1594),IFERROR(0/0,""),TRUE)</f>
        <v/>
      </c>
      <c r="Z1594" s="147" t="str">
        <f t="shared" si="3188"/>
        <v/>
      </c>
    </row>
    <row r="1595">
      <c r="A1595" s="6" t="str">
        <f>IFERROR(__xludf.DUMMYFUNCTION("""COMPUTED_VALUE"""),"FM1283")</f>
        <v>FM1283</v>
      </c>
      <c r="B1595" s="206">
        <f>IFERROR(__xludf.DUMMYFUNCTION("""COMPUTED_VALUE"""),44775.0)</f>
        <v>44775</v>
      </c>
      <c r="C1595" s="207">
        <f>IFERROR(__xludf.DUMMYFUNCTION("""COMPUTED_VALUE"""),0.32158564814814816)</f>
        <v>0.3215856481</v>
      </c>
      <c r="D1595" s="50"/>
      <c r="E1595" s="58"/>
      <c r="F1595" s="58"/>
      <c r="G1595" s="58" t="str">
        <f>IFERROR(__xludf.DUMMYFUNCTION("""COMPUTED_VALUE"""),"Null")</f>
        <v>Null</v>
      </c>
      <c r="H1595" s="206" t="str">
        <f>IFERROR(__xludf.DUMMYFUNCTION("""COMPUTED_VALUE"""),"Negative")</f>
        <v>Negative</v>
      </c>
      <c r="I1595" s="207"/>
      <c r="J1595" s="50"/>
      <c r="K1595" s="50">
        <f>IFERROR(__xludf.DUMMYFUNCTION("""COMPUTED_VALUE"""),2.0)</f>
        <v>2</v>
      </c>
      <c r="L1595" s="6"/>
      <c r="M1595" s="55"/>
      <c r="N1595" s="55">
        <f>IFERROR(__xludf.DUMMYFUNCTION("""COMPUTED_VALUE"""),1.0)</f>
        <v>1</v>
      </c>
      <c r="O1595" s="55" t="str">
        <f t="shared" si="3"/>
        <v/>
      </c>
      <c r="P1595" s="209"/>
      <c r="Q1595" s="75" t="b">
        <f>VLOOKUP($B1595,'Run Reconcile'!B$2:P1679,15,FALSE)</f>
        <v>1</v>
      </c>
      <c r="R1595" s="211" t="str">
        <f t="array" ref="R1595">IF($Q1595, INDEX('Run Reconcile'!A$2:A1679,MATCH(B1595,'Run Reconcile'!B$2:B1679,0),1),IFERROR(0/0,""))</f>
        <v>RUN-COMB_2022-08-02_RFR-090</v>
      </c>
      <c r="S1595" s="165" t="str">
        <f t="shared" ref="S1595:T1595" si="3189">IF(COUNTIF(W$2:W1679, $A1595) &gt; 0,TRUE,IFERROR(0/0,""))</f>
        <v/>
      </c>
      <c r="T1595" s="165" t="str">
        <f t="shared" si="3189"/>
        <v/>
      </c>
      <c r="U1595" s="147" t="str">
        <f t="array" ref="U1595">IF(ISBLANK($R1595), IF($S1595,VLOOKUP($B1595+1,'RFR Data - preExcl'!$BF$2:$BG1679,2,FALSE),IF($T1595,INDEX('RFR Data - preExcl'!$BF$2:$BG1679,MATCH($B1595,'RFR Data - preExcl'!$BF$2:$BF1679,0)+1,2),VLOOKUP($B1595,'RFR Data - preExcl'!$BF$2:$BG1679,2,FALSE))),IFERROR(0/0,""))</f>
        <v/>
      </c>
      <c r="V1595" s="212" t="str">
        <f t="shared" si="5"/>
        <v>RUN-COMB_2022-08-02_RFR-090</v>
      </c>
      <c r="W1595" s="51"/>
      <c r="X1595" s="51"/>
      <c r="Y1595" s="147" t="str">
        <f t="shared" ref="Y1595:Z1595" si="3190">IF(_xlfn.ISFORMULA(S1595),IFERROR(0/0,""),TRUE)</f>
        <v/>
      </c>
      <c r="Z1595" s="147" t="str">
        <f t="shared" si="3190"/>
        <v/>
      </c>
    </row>
    <row r="1596">
      <c r="A1596" s="6" t="str">
        <f>IFERROR(__xludf.DUMMYFUNCTION("""COMPUTED_VALUE"""),"FM1624")</f>
        <v>FM1624</v>
      </c>
      <c r="B1596" s="206">
        <f>IFERROR(__xludf.DUMMYFUNCTION("""COMPUTED_VALUE"""),44775.0)</f>
        <v>44775</v>
      </c>
      <c r="C1596" s="207">
        <f>IFERROR(__xludf.DUMMYFUNCTION("""COMPUTED_VALUE"""),0.32188657407407406)</f>
        <v>0.3218865741</v>
      </c>
      <c r="D1596" s="50"/>
      <c r="E1596" s="58"/>
      <c r="F1596" s="58"/>
      <c r="G1596" s="58" t="str">
        <f>IFERROR(__xludf.DUMMYFUNCTION("""COMPUTED_VALUE"""),"Null")</f>
        <v>Null</v>
      </c>
      <c r="H1596" s="206" t="str">
        <f>IFERROR(__xludf.DUMMYFUNCTION("""COMPUTED_VALUE"""),"Negative")</f>
        <v>Negative</v>
      </c>
      <c r="I1596" s="207"/>
      <c r="J1596" s="50"/>
      <c r="K1596" s="50">
        <f>IFERROR(__xludf.DUMMYFUNCTION("""COMPUTED_VALUE"""),2.0)</f>
        <v>2</v>
      </c>
      <c r="L1596" s="6"/>
      <c r="M1596" s="55"/>
      <c r="N1596" s="55">
        <f>IFERROR(__xludf.DUMMYFUNCTION("""COMPUTED_VALUE"""),1.0)</f>
        <v>1</v>
      </c>
      <c r="O1596" s="55" t="str">
        <f t="shared" si="3"/>
        <v/>
      </c>
      <c r="P1596" s="209"/>
      <c r="Q1596" s="75" t="b">
        <f>VLOOKUP($B1596,'Run Reconcile'!B$2:P1679,15,FALSE)</f>
        <v>1</v>
      </c>
      <c r="R1596" s="211" t="str">
        <f t="array" ref="R1596">IF($Q1596, INDEX('Run Reconcile'!A$2:A1679,MATCH(B1596,'Run Reconcile'!B$2:B1679,0),1),IFERROR(0/0,""))</f>
        <v>RUN-COMB_2022-08-02_RFR-090</v>
      </c>
      <c r="S1596" s="165" t="str">
        <f t="shared" ref="S1596:T1596" si="3191">IF(COUNTIF(W$2:W1679, $A1596) &gt; 0,TRUE,IFERROR(0/0,""))</f>
        <v/>
      </c>
      <c r="T1596" s="165" t="str">
        <f t="shared" si="3191"/>
        <v/>
      </c>
      <c r="U1596" s="147" t="str">
        <f t="array" ref="U1596">IF(ISBLANK($R1596), IF($S1596,VLOOKUP($B1596+1,'RFR Data - preExcl'!$BF$2:$BG1679,2,FALSE),IF($T1596,INDEX('RFR Data - preExcl'!$BF$2:$BG1679,MATCH($B1596,'RFR Data - preExcl'!$BF$2:$BF1679,0)+1,2),VLOOKUP($B1596,'RFR Data - preExcl'!$BF$2:$BG1679,2,FALSE))),IFERROR(0/0,""))</f>
        <v/>
      </c>
      <c r="V1596" s="212" t="str">
        <f t="shared" si="5"/>
        <v>RUN-COMB_2022-08-02_RFR-090</v>
      </c>
      <c r="W1596" s="51"/>
      <c r="X1596" s="51"/>
      <c r="Y1596" s="147" t="str">
        <f t="shared" ref="Y1596:Z1596" si="3192">IF(_xlfn.ISFORMULA(S1596),IFERROR(0/0,""),TRUE)</f>
        <v/>
      </c>
      <c r="Z1596" s="147" t="str">
        <f t="shared" si="3192"/>
        <v/>
      </c>
    </row>
    <row r="1597">
      <c r="A1597" s="6" t="str">
        <f>IFERROR(__xludf.DUMMYFUNCTION("""COMPUTED_VALUE"""),"FM1282")</f>
        <v>FM1282</v>
      </c>
      <c r="B1597" s="206">
        <f>IFERROR(__xludf.DUMMYFUNCTION("""COMPUTED_VALUE"""),44775.0)</f>
        <v>44775</v>
      </c>
      <c r="C1597" s="207">
        <f>IFERROR(__xludf.DUMMYFUNCTION("""COMPUTED_VALUE"""),0.3221875)</f>
        <v>0.3221875</v>
      </c>
      <c r="D1597" s="50"/>
      <c r="E1597" s="58"/>
      <c r="F1597" s="58"/>
      <c r="G1597" s="58" t="str">
        <f>IFERROR(__xludf.DUMMYFUNCTION("""COMPUTED_VALUE"""),"Null")</f>
        <v>Null</v>
      </c>
      <c r="H1597" s="206" t="str">
        <f>IFERROR(__xludf.DUMMYFUNCTION("""COMPUTED_VALUE"""),"Negative")</f>
        <v>Negative</v>
      </c>
      <c r="I1597" s="207"/>
      <c r="J1597" s="50"/>
      <c r="K1597" s="50">
        <f>IFERROR(__xludf.DUMMYFUNCTION("""COMPUTED_VALUE"""),2.0)</f>
        <v>2</v>
      </c>
      <c r="L1597" s="6"/>
      <c r="M1597" s="55"/>
      <c r="N1597" s="55">
        <f>IFERROR(__xludf.DUMMYFUNCTION("""COMPUTED_VALUE"""),1.0)</f>
        <v>1</v>
      </c>
      <c r="O1597" s="55" t="str">
        <f t="shared" si="3"/>
        <v/>
      </c>
      <c r="P1597" s="209"/>
      <c r="Q1597" s="75" t="b">
        <f>VLOOKUP($B1597,'Run Reconcile'!B$2:P1679,15,FALSE)</f>
        <v>1</v>
      </c>
      <c r="R1597" s="211" t="str">
        <f t="array" ref="R1597">IF($Q1597, INDEX('Run Reconcile'!A$2:A1679,MATCH(B1597,'Run Reconcile'!B$2:B1679,0),1),IFERROR(0/0,""))</f>
        <v>RUN-COMB_2022-08-02_RFR-090</v>
      </c>
      <c r="S1597" s="165" t="str">
        <f t="shared" ref="S1597:T1597" si="3193">IF(COUNTIF(W$2:W1679, $A1597) &gt; 0,TRUE,IFERROR(0/0,""))</f>
        <v/>
      </c>
      <c r="T1597" s="165" t="str">
        <f t="shared" si="3193"/>
        <v/>
      </c>
      <c r="U1597" s="147" t="str">
        <f t="array" ref="U1597">IF(ISBLANK($R1597), IF($S1597,VLOOKUP($B1597+1,'RFR Data - preExcl'!$BF$2:$BG1679,2,FALSE),IF($T1597,INDEX('RFR Data - preExcl'!$BF$2:$BG1679,MATCH($B1597,'RFR Data - preExcl'!$BF$2:$BF1679,0)+1,2),VLOOKUP($B1597,'RFR Data - preExcl'!$BF$2:$BG1679,2,FALSE))),IFERROR(0/0,""))</f>
        <v/>
      </c>
      <c r="V1597" s="212" t="str">
        <f t="shared" si="5"/>
        <v>RUN-COMB_2022-08-02_RFR-090</v>
      </c>
      <c r="W1597" s="51"/>
      <c r="X1597" s="51"/>
      <c r="Y1597" s="147" t="str">
        <f t="shared" ref="Y1597:Z1597" si="3194">IF(_xlfn.ISFORMULA(S1597),IFERROR(0/0,""),TRUE)</f>
        <v/>
      </c>
      <c r="Z1597" s="147" t="str">
        <f t="shared" si="3194"/>
        <v/>
      </c>
    </row>
    <row r="1598">
      <c r="A1598" s="6" t="str">
        <f>IFERROR(__xludf.DUMMYFUNCTION("""COMPUTED_VALUE"""),"FM1269")</f>
        <v>FM1269</v>
      </c>
      <c r="B1598" s="206">
        <f>IFERROR(__xludf.DUMMYFUNCTION("""COMPUTED_VALUE"""),44775.0)</f>
        <v>44775</v>
      </c>
      <c r="C1598" s="207">
        <f>IFERROR(__xludf.DUMMYFUNCTION("""COMPUTED_VALUE"""),0.32251157407407405)</f>
        <v>0.3225115741</v>
      </c>
      <c r="D1598" s="50"/>
      <c r="E1598" s="58"/>
      <c r="F1598" s="58"/>
      <c r="G1598" s="58" t="str">
        <f>IFERROR(__xludf.DUMMYFUNCTION("""COMPUTED_VALUE"""),"Null")</f>
        <v>Null</v>
      </c>
      <c r="H1598" s="206" t="str">
        <f>IFERROR(__xludf.DUMMYFUNCTION("""COMPUTED_VALUE"""),"Negative")</f>
        <v>Negative</v>
      </c>
      <c r="I1598" s="207"/>
      <c r="J1598" s="50"/>
      <c r="K1598" s="50">
        <f>IFERROR(__xludf.DUMMYFUNCTION("""COMPUTED_VALUE"""),2.0)</f>
        <v>2</v>
      </c>
      <c r="L1598" s="6"/>
      <c r="M1598" s="55"/>
      <c r="N1598" s="55">
        <f>IFERROR(__xludf.DUMMYFUNCTION("""COMPUTED_VALUE"""),1.0)</f>
        <v>1</v>
      </c>
      <c r="O1598" s="55" t="str">
        <f t="shared" si="3"/>
        <v/>
      </c>
      <c r="P1598" s="209"/>
      <c r="Q1598" s="75" t="b">
        <f>VLOOKUP($B1598,'Run Reconcile'!B$2:P1679,15,FALSE)</f>
        <v>1</v>
      </c>
      <c r="R1598" s="211" t="str">
        <f t="array" ref="R1598">IF($Q1598, INDEX('Run Reconcile'!A$2:A1679,MATCH(B1598,'Run Reconcile'!B$2:B1679,0),1),IFERROR(0/0,""))</f>
        <v>RUN-COMB_2022-08-02_RFR-090</v>
      </c>
      <c r="S1598" s="165" t="str">
        <f t="shared" ref="S1598:T1598" si="3195">IF(COUNTIF(W$2:W1679, $A1598) &gt; 0,TRUE,IFERROR(0/0,""))</f>
        <v/>
      </c>
      <c r="T1598" s="165" t="str">
        <f t="shared" si="3195"/>
        <v/>
      </c>
      <c r="U1598" s="147" t="str">
        <f t="array" ref="U1598">IF(ISBLANK($R1598), IF($S1598,VLOOKUP($B1598+1,'RFR Data - preExcl'!$BF$2:$BG1679,2,FALSE),IF($T1598,INDEX('RFR Data - preExcl'!$BF$2:$BG1679,MATCH($B1598,'RFR Data - preExcl'!$BF$2:$BF1679,0)+1,2),VLOOKUP($B1598,'RFR Data - preExcl'!$BF$2:$BG1679,2,FALSE))),IFERROR(0/0,""))</f>
        <v/>
      </c>
      <c r="V1598" s="212" t="str">
        <f t="shared" si="5"/>
        <v>RUN-COMB_2022-08-02_RFR-090</v>
      </c>
      <c r="W1598" s="51"/>
      <c r="X1598" s="51"/>
      <c r="Y1598" s="147" t="str">
        <f t="shared" ref="Y1598:Z1598" si="3196">IF(_xlfn.ISFORMULA(S1598),IFERROR(0/0,""),TRUE)</f>
        <v/>
      </c>
      <c r="Z1598" s="147" t="str">
        <f t="shared" si="3196"/>
        <v/>
      </c>
    </row>
    <row r="1599">
      <c r="A1599" s="6" t="str">
        <f>IFERROR(__xludf.DUMMYFUNCTION("""COMPUTED_VALUE"""),"FM1664")</f>
        <v>FM1664</v>
      </c>
      <c r="B1599" s="206">
        <f>IFERROR(__xludf.DUMMYFUNCTION("""COMPUTED_VALUE"""),44776.0)</f>
        <v>44776</v>
      </c>
      <c r="C1599" s="207">
        <f>IFERROR(__xludf.DUMMYFUNCTION("""COMPUTED_VALUE"""),0.2911226851851852)</f>
        <v>0.2911226852</v>
      </c>
      <c r="D1599" s="50"/>
      <c r="E1599" s="58"/>
      <c r="F1599" s="58"/>
      <c r="G1599" s="58" t="str">
        <f>IFERROR(__xludf.DUMMYFUNCTION("""COMPUTED_VALUE"""),"Null")</f>
        <v>Null</v>
      </c>
      <c r="H1599" s="206" t="str">
        <f>IFERROR(__xludf.DUMMYFUNCTION("""COMPUTED_VALUE"""),"Negative")</f>
        <v>Negative</v>
      </c>
      <c r="I1599" s="207"/>
      <c r="J1599" s="50"/>
      <c r="K1599" s="50">
        <f>IFERROR(__xludf.DUMMYFUNCTION("""COMPUTED_VALUE"""),2.0)</f>
        <v>2</v>
      </c>
      <c r="L1599" s="6"/>
      <c r="M1599" s="55"/>
      <c r="N1599" s="55">
        <f>IFERROR(__xludf.DUMMYFUNCTION("""COMPUTED_VALUE"""),1.0)</f>
        <v>1</v>
      </c>
      <c r="O1599" s="55" t="b">
        <f t="shared" si="3"/>
        <v>1</v>
      </c>
      <c r="P1599" s="209"/>
      <c r="Q1599" s="75" t="b">
        <f>VLOOKUP($B1599,'Run Reconcile'!B$2:P1679,15,FALSE)</f>
        <v>1</v>
      </c>
      <c r="R1599" s="211" t="str">
        <f t="array" ref="R1599">IF($Q1599, INDEX('Run Reconcile'!A$2:A1679,MATCH(B1599,'Run Reconcile'!B$2:B1679,0),1),IFERROR(0/0,""))</f>
        <v>RUN-COMB_2022-08-03_APS-002</v>
      </c>
      <c r="S1599" s="165" t="str">
        <f t="shared" ref="S1599:T1599" si="3197">IF(COUNTIF(W$2:W1679, $A1599) &gt; 0,TRUE,IFERROR(0/0,""))</f>
        <v/>
      </c>
      <c r="T1599" s="165" t="str">
        <f t="shared" si="3197"/>
        <v/>
      </c>
      <c r="U1599" s="147" t="str">
        <f t="array" ref="U1599">IF(ISBLANK($R1599), IF($S1599,VLOOKUP($B1599+1,'RFR Data - preExcl'!$BF$2:$BG1679,2,FALSE),IF($T1599,INDEX('RFR Data - preExcl'!$BF$2:$BG1679,MATCH($B1599,'RFR Data - preExcl'!$BF$2:$BF1679,0)+1,2),VLOOKUP($B1599,'RFR Data - preExcl'!$BF$2:$BG1679,2,FALSE))),IFERROR(0/0,""))</f>
        <v/>
      </c>
      <c r="V1599" s="212" t="str">
        <f t="shared" si="5"/>
        <v>RUN-COMB_2022-08-03_APS-002</v>
      </c>
      <c r="W1599" s="51"/>
      <c r="X1599" s="51"/>
      <c r="Y1599" s="147" t="str">
        <f t="shared" ref="Y1599:Z1599" si="3198">IF(_xlfn.ISFORMULA(S1599),IFERROR(0/0,""),TRUE)</f>
        <v/>
      </c>
      <c r="Z1599" s="147" t="str">
        <f t="shared" si="3198"/>
        <v/>
      </c>
    </row>
    <row r="1600">
      <c r="A1600" s="6" t="str">
        <f>IFERROR(__xludf.DUMMYFUNCTION("""COMPUTED_VALUE"""),"FM1888")</f>
        <v>FM1888</v>
      </c>
      <c r="B1600" s="206">
        <f>IFERROR(__xludf.DUMMYFUNCTION("""COMPUTED_VALUE"""),44776.0)</f>
        <v>44776</v>
      </c>
      <c r="C1600" s="207">
        <f>IFERROR(__xludf.DUMMYFUNCTION("""COMPUTED_VALUE"""),0.2914351851851852)</f>
        <v>0.2914351852</v>
      </c>
      <c r="D1600" s="50"/>
      <c r="E1600" s="58"/>
      <c r="F1600" s="58"/>
      <c r="G1600" s="58" t="str">
        <f>IFERROR(__xludf.DUMMYFUNCTION("""COMPUTED_VALUE"""),"Null")</f>
        <v>Null</v>
      </c>
      <c r="H1600" s="206" t="str">
        <f>IFERROR(__xludf.DUMMYFUNCTION("""COMPUTED_VALUE"""),"Negative")</f>
        <v>Negative</v>
      </c>
      <c r="I1600" s="207"/>
      <c r="J1600" s="50"/>
      <c r="K1600" s="50">
        <f>IFERROR(__xludf.DUMMYFUNCTION("""COMPUTED_VALUE"""),2.0)</f>
        <v>2</v>
      </c>
      <c r="L1600" s="6"/>
      <c r="M1600" s="55"/>
      <c r="N1600" s="55">
        <f>IFERROR(__xludf.DUMMYFUNCTION("""COMPUTED_VALUE"""),1.0)</f>
        <v>1</v>
      </c>
      <c r="O1600" s="55" t="str">
        <f t="shared" si="3"/>
        <v/>
      </c>
      <c r="P1600" s="209"/>
      <c r="Q1600" s="75" t="b">
        <f>VLOOKUP($B1600,'Run Reconcile'!B$2:P1679,15,FALSE)</f>
        <v>1</v>
      </c>
      <c r="R1600" s="211" t="str">
        <f t="array" ref="R1600">IF($Q1600, INDEX('Run Reconcile'!A$2:A1679,MATCH(B1600,'Run Reconcile'!B$2:B1679,0),1),IFERROR(0/0,""))</f>
        <v>RUN-COMB_2022-08-03_APS-002</v>
      </c>
      <c r="S1600" s="165" t="str">
        <f t="shared" ref="S1600:T1600" si="3199">IF(COUNTIF(W$2:W1679, $A1600) &gt; 0,TRUE,IFERROR(0/0,""))</f>
        <v/>
      </c>
      <c r="T1600" s="165" t="str">
        <f t="shared" si="3199"/>
        <v/>
      </c>
      <c r="U1600" s="147" t="str">
        <f t="array" ref="U1600">IF(ISBLANK($R1600), IF($S1600,VLOOKUP($B1600+1,'RFR Data - preExcl'!$BF$2:$BG1679,2,FALSE),IF($T1600,INDEX('RFR Data - preExcl'!$BF$2:$BG1679,MATCH($B1600,'RFR Data - preExcl'!$BF$2:$BF1679,0)+1,2),VLOOKUP($B1600,'RFR Data - preExcl'!$BF$2:$BG1679,2,FALSE))),IFERROR(0/0,""))</f>
        <v/>
      </c>
      <c r="V1600" s="212" t="str">
        <f t="shared" si="5"/>
        <v>RUN-COMB_2022-08-03_APS-002</v>
      </c>
      <c r="W1600" s="51"/>
      <c r="X1600" s="51"/>
      <c r="Y1600" s="147" t="str">
        <f t="shared" ref="Y1600:Z1600" si="3200">IF(_xlfn.ISFORMULA(S1600),IFERROR(0/0,""),TRUE)</f>
        <v/>
      </c>
      <c r="Z1600" s="147" t="str">
        <f t="shared" si="3200"/>
        <v/>
      </c>
    </row>
    <row r="1601">
      <c r="A1601" s="6" t="str">
        <f>IFERROR(__xludf.DUMMYFUNCTION("""COMPUTED_VALUE"""),"FM1670")</f>
        <v>FM1670</v>
      </c>
      <c r="B1601" s="206">
        <f>IFERROR(__xludf.DUMMYFUNCTION("""COMPUTED_VALUE"""),44776.0)</f>
        <v>44776</v>
      </c>
      <c r="C1601" s="207">
        <f>IFERROR(__xludf.DUMMYFUNCTION("""COMPUTED_VALUE"""),0.2917013888888889)</f>
        <v>0.2917013889</v>
      </c>
      <c r="D1601" s="50"/>
      <c r="E1601" s="58"/>
      <c r="F1601" s="58"/>
      <c r="G1601" s="58" t="str">
        <f>IFERROR(__xludf.DUMMYFUNCTION("""COMPUTED_VALUE"""),"Null")</f>
        <v>Null</v>
      </c>
      <c r="H1601" s="206" t="str">
        <f>IFERROR(__xludf.DUMMYFUNCTION("""COMPUTED_VALUE"""),"Negative")</f>
        <v>Negative</v>
      </c>
      <c r="I1601" s="207"/>
      <c r="J1601" s="50"/>
      <c r="K1601" s="50">
        <f>IFERROR(__xludf.DUMMYFUNCTION("""COMPUTED_VALUE"""),2.0)</f>
        <v>2</v>
      </c>
      <c r="L1601" s="6"/>
      <c r="M1601" s="55"/>
      <c r="N1601" s="55">
        <f>IFERROR(__xludf.DUMMYFUNCTION("""COMPUTED_VALUE"""),1.0)</f>
        <v>1</v>
      </c>
      <c r="O1601" s="55" t="str">
        <f t="shared" si="3"/>
        <v/>
      </c>
      <c r="P1601" s="209"/>
      <c r="Q1601" s="75" t="b">
        <f>VLOOKUP($B1601,'Run Reconcile'!B$2:P1679,15,FALSE)</f>
        <v>1</v>
      </c>
      <c r="R1601" s="211" t="str">
        <f t="array" ref="R1601">IF($Q1601, INDEX('Run Reconcile'!A$2:A1679,MATCH(B1601,'Run Reconcile'!B$2:B1679,0),1),IFERROR(0/0,""))</f>
        <v>RUN-COMB_2022-08-03_APS-002</v>
      </c>
      <c r="S1601" s="165" t="str">
        <f t="shared" ref="S1601:T1601" si="3201">IF(COUNTIF(W$2:W1679, $A1601) &gt; 0,TRUE,IFERROR(0/0,""))</f>
        <v/>
      </c>
      <c r="T1601" s="165" t="str">
        <f t="shared" si="3201"/>
        <v/>
      </c>
      <c r="U1601" s="147" t="str">
        <f t="array" ref="U1601">IF(ISBLANK($R1601), IF($S1601,VLOOKUP($B1601+1,'RFR Data - preExcl'!$BF$2:$BG1679,2,FALSE),IF($T1601,INDEX('RFR Data - preExcl'!$BF$2:$BG1679,MATCH($B1601,'RFR Data - preExcl'!$BF$2:$BF1679,0)+1,2),VLOOKUP($B1601,'RFR Data - preExcl'!$BF$2:$BG1679,2,FALSE))),IFERROR(0/0,""))</f>
        <v/>
      </c>
      <c r="V1601" s="212" t="str">
        <f t="shared" si="5"/>
        <v>RUN-COMB_2022-08-03_APS-002</v>
      </c>
      <c r="W1601" s="51"/>
      <c r="X1601" s="51"/>
      <c r="Y1601" s="147" t="str">
        <f t="shared" ref="Y1601:Z1601" si="3202">IF(_xlfn.ISFORMULA(S1601),IFERROR(0/0,""),TRUE)</f>
        <v/>
      </c>
      <c r="Z1601" s="147" t="str">
        <f t="shared" si="3202"/>
        <v/>
      </c>
    </row>
    <row r="1602">
      <c r="A1602" s="6" t="str">
        <f>IFERROR(__xludf.DUMMYFUNCTION("""COMPUTED_VALUE"""),"FM1902")</f>
        <v>FM1902</v>
      </c>
      <c r="B1602" s="206">
        <f>IFERROR(__xludf.DUMMYFUNCTION("""COMPUTED_VALUE"""),44776.0)</f>
        <v>44776</v>
      </c>
      <c r="C1602" s="207">
        <f>IFERROR(__xludf.DUMMYFUNCTION("""COMPUTED_VALUE"""),0.2920023148148148)</f>
        <v>0.2920023148</v>
      </c>
      <c r="D1602" s="50"/>
      <c r="E1602" s="58"/>
      <c r="F1602" s="58"/>
      <c r="G1602" s="58" t="str">
        <f>IFERROR(__xludf.DUMMYFUNCTION("""COMPUTED_VALUE"""),"Null")</f>
        <v>Null</v>
      </c>
      <c r="H1602" s="206" t="str">
        <f>IFERROR(__xludf.DUMMYFUNCTION("""COMPUTED_VALUE"""),"Negative")</f>
        <v>Negative</v>
      </c>
      <c r="I1602" s="207"/>
      <c r="J1602" s="50"/>
      <c r="K1602" s="50">
        <f>IFERROR(__xludf.DUMMYFUNCTION("""COMPUTED_VALUE"""),2.0)</f>
        <v>2</v>
      </c>
      <c r="L1602" s="6"/>
      <c r="M1602" s="55"/>
      <c r="N1602" s="55">
        <f>IFERROR(__xludf.DUMMYFUNCTION("""COMPUTED_VALUE"""),1.0)</f>
        <v>1</v>
      </c>
      <c r="O1602" s="55" t="str">
        <f t="shared" si="3"/>
        <v/>
      </c>
      <c r="P1602" s="209"/>
      <c r="Q1602" s="75" t="b">
        <f>VLOOKUP($B1602,'Run Reconcile'!B$2:P1679,15,FALSE)</f>
        <v>1</v>
      </c>
      <c r="R1602" s="211" t="str">
        <f t="array" ref="R1602">IF($Q1602, INDEX('Run Reconcile'!A$2:A1679,MATCH(B1602,'Run Reconcile'!B$2:B1679,0),1),IFERROR(0/0,""))</f>
        <v>RUN-COMB_2022-08-03_APS-002</v>
      </c>
      <c r="S1602" s="165" t="str">
        <f t="shared" ref="S1602:T1602" si="3203">IF(COUNTIF(W$2:W1679, $A1602) &gt; 0,TRUE,IFERROR(0/0,""))</f>
        <v/>
      </c>
      <c r="T1602" s="165" t="str">
        <f t="shared" si="3203"/>
        <v/>
      </c>
      <c r="U1602" s="147" t="str">
        <f t="array" ref="U1602">IF(ISBLANK($R1602), IF($S1602,VLOOKUP($B1602+1,'RFR Data - preExcl'!$BF$2:$BG1679,2,FALSE),IF($T1602,INDEX('RFR Data - preExcl'!$BF$2:$BG1679,MATCH($B1602,'RFR Data - preExcl'!$BF$2:$BF1679,0)+1,2),VLOOKUP($B1602,'RFR Data - preExcl'!$BF$2:$BG1679,2,FALSE))),IFERROR(0/0,""))</f>
        <v/>
      </c>
      <c r="V1602" s="212" t="str">
        <f t="shared" si="5"/>
        <v>RUN-COMB_2022-08-03_APS-002</v>
      </c>
      <c r="W1602" s="51"/>
      <c r="X1602" s="51"/>
      <c r="Y1602" s="147" t="str">
        <f t="shared" ref="Y1602:Z1602" si="3204">IF(_xlfn.ISFORMULA(S1602),IFERROR(0/0,""),TRUE)</f>
        <v/>
      </c>
      <c r="Z1602" s="147" t="str">
        <f t="shared" si="3204"/>
        <v/>
      </c>
    </row>
    <row r="1603">
      <c r="A1603" s="6" t="str">
        <f>IFERROR(__xludf.DUMMYFUNCTION("""COMPUTED_VALUE"""),"FM1644")</f>
        <v>FM1644</v>
      </c>
      <c r="B1603" s="206">
        <f>IFERROR(__xludf.DUMMYFUNCTION("""COMPUTED_VALUE"""),44776.0)</f>
        <v>44776</v>
      </c>
      <c r="C1603" s="207">
        <f>IFERROR(__xludf.DUMMYFUNCTION("""COMPUTED_VALUE"""),0.29237268518518517)</f>
        <v>0.2923726852</v>
      </c>
      <c r="D1603" s="50"/>
      <c r="E1603" s="58"/>
      <c r="F1603" s="58"/>
      <c r="G1603" s="58" t="str">
        <f>IFERROR(__xludf.DUMMYFUNCTION("""COMPUTED_VALUE"""),"Null")</f>
        <v>Null</v>
      </c>
      <c r="H1603" s="206" t="str">
        <f>IFERROR(__xludf.DUMMYFUNCTION("""COMPUTED_VALUE"""),"Negative")</f>
        <v>Negative</v>
      </c>
      <c r="I1603" s="207"/>
      <c r="J1603" s="50"/>
      <c r="K1603" s="50">
        <f>IFERROR(__xludf.DUMMYFUNCTION("""COMPUTED_VALUE"""),2.0)</f>
        <v>2</v>
      </c>
      <c r="L1603" s="6"/>
      <c r="M1603" s="55"/>
      <c r="N1603" s="55">
        <f>IFERROR(__xludf.DUMMYFUNCTION("""COMPUTED_VALUE"""),1.0)</f>
        <v>1</v>
      </c>
      <c r="O1603" s="55" t="str">
        <f t="shared" si="3"/>
        <v/>
      </c>
      <c r="P1603" s="209"/>
      <c r="Q1603" s="75" t="b">
        <f>VLOOKUP($B1603,'Run Reconcile'!B$2:P1679,15,FALSE)</f>
        <v>1</v>
      </c>
      <c r="R1603" s="211" t="str">
        <f t="array" ref="R1603">IF($Q1603, INDEX('Run Reconcile'!A$2:A1679,MATCH(B1603,'Run Reconcile'!B$2:B1679,0),1),IFERROR(0/0,""))</f>
        <v>RUN-COMB_2022-08-03_APS-002</v>
      </c>
      <c r="S1603" s="165" t="str">
        <f t="shared" ref="S1603:T1603" si="3205">IF(COUNTIF(W$2:W1679, $A1603) &gt; 0,TRUE,IFERROR(0/0,""))</f>
        <v/>
      </c>
      <c r="T1603" s="165" t="str">
        <f t="shared" si="3205"/>
        <v/>
      </c>
      <c r="U1603" s="147" t="str">
        <f t="array" ref="U1603">IF(ISBLANK($R1603), IF($S1603,VLOOKUP($B1603+1,'RFR Data - preExcl'!$BF$2:$BG1679,2,FALSE),IF($T1603,INDEX('RFR Data - preExcl'!$BF$2:$BG1679,MATCH($B1603,'RFR Data - preExcl'!$BF$2:$BF1679,0)+1,2),VLOOKUP($B1603,'RFR Data - preExcl'!$BF$2:$BG1679,2,FALSE))),IFERROR(0/0,""))</f>
        <v/>
      </c>
      <c r="V1603" s="212" t="str">
        <f t="shared" si="5"/>
        <v>RUN-COMB_2022-08-03_APS-002</v>
      </c>
      <c r="W1603" s="51"/>
      <c r="X1603" s="51"/>
      <c r="Y1603" s="147" t="str">
        <f t="shared" ref="Y1603:Z1603" si="3206">IF(_xlfn.ISFORMULA(S1603),IFERROR(0/0,""),TRUE)</f>
        <v/>
      </c>
      <c r="Z1603" s="147" t="str">
        <f t="shared" si="3206"/>
        <v/>
      </c>
    </row>
    <row r="1604">
      <c r="A1604" s="6" t="str">
        <f>IFERROR(__xludf.DUMMYFUNCTION("""COMPUTED_VALUE"""),"FM1673")</f>
        <v>FM1673</v>
      </c>
      <c r="B1604" s="206">
        <f>IFERROR(__xludf.DUMMYFUNCTION("""COMPUTED_VALUE"""),44776.0)</f>
        <v>44776</v>
      </c>
      <c r="C1604" s="207">
        <f>IFERROR(__xludf.DUMMYFUNCTION("""COMPUTED_VALUE"""),0.292662037037037)</f>
        <v>0.292662037</v>
      </c>
      <c r="D1604" s="50"/>
      <c r="E1604" s="58"/>
      <c r="F1604" s="58"/>
      <c r="G1604" s="58" t="str">
        <f>IFERROR(__xludf.DUMMYFUNCTION("""COMPUTED_VALUE"""),"Null")</f>
        <v>Null</v>
      </c>
      <c r="H1604" s="206" t="str">
        <f>IFERROR(__xludf.DUMMYFUNCTION("""COMPUTED_VALUE"""),"Negative")</f>
        <v>Negative</v>
      </c>
      <c r="I1604" s="207"/>
      <c r="J1604" s="50"/>
      <c r="K1604" s="50">
        <f>IFERROR(__xludf.DUMMYFUNCTION("""COMPUTED_VALUE"""),2.0)</f>
        <v>2</v>
      </c>
      <c r="L1604" s="6"/>
      <c r="M1604" s="55"/>
      <c r="N1604" s="55">
        <f>IFERROR(__xludf.DUMMYFUNCTION("""COMPUTED_VALUE"""),1.0)</f>
        <v>1</v>
      </c>
      <c r="O1604" s="55" t="str">
        <f t="shared" si="3"/>
        <v/>
      </c>
      <c r="P1604" s="209"/>
      <c r="Q1604" s="75" t="b">
        <f>VLOOKUP($B1604,'Run Reconcile'!B$2:P1679,15,FALSE)</f>
        <v>1</v>
      </c>
      <c r="R1604" s="211" t="str">
        <f t="array" ref="R1604">IF($Q1604, INDEX('Run Reconcile'!A$2:A1679,MATCH(B1604,'Run Reconcile'!B$2:B1679,0),1),IFERROR(0/0,""))</f>
        <v>RUN-COMB_2022-08-03_APS-002</v>
      </c>
      <c r="S1604" s="165" t="str">
        <f t="shared" ref="S1604:T1604" si="3207">IF(COUNTIF(W$2:W1679, $A1604) &gt; 0,TRUE,IFERROR(0/0,""))</f>
        <v/>
      </c>
      <c r="T1604" s="165" t="str">
        <f t="shared" si="3207"/>
        <v/>
      </c>
      <c r="U1604" s="147" t="str">
        <f t="array" ref="U1604">IF(ISBLANK($R1604), IF($S1604,VLOOKUP($B1604+1,'RFR Data - preExcl'!$BF$2:$BG1679,2,FALSE),IF($T1604,INDEX('RFR Data - preExcl'!$BF$2:$BG1679,MATCH($B1604,'RFR Data - preExcl'!$BF$2:$BF1679,0)+1,2),VLOOKUP($B1604,'RFR Data - preExcl'!$BF$2:$BG1679,2,FALSE))),IFERROR(0/0,""))</f>
        <v/>
      </c>
      <c r="V1604" s="212" t="str">
        <f t="shared" si="5"/>
        <v>RUN-COMB_2022-08-03_APS-002</v>
      </c>
      <c r="W1604" s="51"/>
      <c r="X1604" s="51"/>
      <c r="Y1604" s="147" t="str">
        <f t="shared" ref="Y1604:Z1604" si="3208">IF(_xlfn.ISFORMULA(S1604),IFERROR(0/0,""),TRUE)</f>
        <v/>
      </c>
      <c r="Z1604" s="147" t="str">
        <f t="shared" si="3208"/>
        <v/>
      </c>
    </row>
    <row r="1605">
      <c r="A1605" s="6" t="str">
        <f>IFERROR(__xludf.DUMMYFUNCTION("""COMPUTED_VALUE"""),"FM1645")</f>
        <v>FM1645</v>
      </c>
      <c r="B1605" s="206">
        <f>IFERROR(__xludf.DUMMYFUNCTION("""COMPUTED_VALUE"""),44776.0)</f>
        <v>44776</v>
      </c>
      <c r="C1605" s="207">
        <f>IFERROR(__xludf.DUMMYFUNCTION("""COMPUTED_VALUE"""),0.292962962962963)</f>
        <v>0.292962963</v>
      </c>
      <c r="D1605" s="50"/>
      <c r="E1605" s="58"/>
      <c r="F1605" s="58"/>
      <c r="G1605" s="58" t="str">
        <f>IFERROR(__xludf.DUMMYFUNCTION("""COMPUTED_VALUE"""),"Null")</f>
        <v>Null</v>
      </c>
      <c r="H1605" s="206" t="str">
        <f>IFERROR(__xludf.DUMMYFUNCTION("""COMPUTED_VALUE"""),"Negative")</f>
        <v>Negative</v>
      </c>
      <c r="I1605" s="207"/>
      <c r="J1605" s="50"/>
      <c r="K1605" s="50">
        <f>IFERROR(__xludf.DUMMYFUNCTION("""COMPUTED_VALUE"""),2.0)</f>
        <v>2</v>
      </c>
      <c r="L1605" s="6"/>
      <c r="M1605" s="55"/>
      <c r="N1605" s="55">
        <f>IFERROR(__xludf.DUMMYFUNCTION("""COMPUTED_VALUE"""),1.0)</f>
        <v>1</v>
      </c>
      <c r="O1605" s="55" t="str">
        <f t="shared" si="3"/>
        <v/>
      </c>
      <c r="P1605" s="209"/>
      <c r="Q1605" s="75" t="b">
        <f>VLOOKUP($B1605,'Run Reconcile'!B$2:P1679,15,FALSE)</f>
        <v>1</v>
      </c>
      <c r="R1605" s="211" t="str">
        <f t="array" ref="R1605">IF($Q1605, INDEX('Run Reconcile'!A$2:A1679,MATCH(B1605,'Run Reconcile'!B$2:B1679,0),1),IFERROR(0/0,""))</f>
        <v>RUN-COMB_2022-08-03_APS-002</v>
      </c>
      <c r="S1605" s="165" t="str">
        <f t="shared" ref="S1605:T1605" si="3209">IF(COUNTIF(W$2:W1679, $A1605) &gt; 0,TRUE,IFERROR(0/0,""))</f>
        <v/>
      </c>
      <c r="T1605" s="165" t="str">
        <f t="shared" si="3209"/>
        <v/>
      </c>
      <c r="U1605" s="147" t="str">
        <f t="array" ref="U1605">IF(ISBLANK($R1605), IF($S1605,VLOOKUP($B1605+1,'RFR Data - preExcl'!$BF$2:$BG1679,2,FALSE),IF($T1605,INDEX('RFR Data - preExcl'!$BF$2:$BG1679,MATCH($B1605,'RFR Data - preExcl'!$BF$2:$BF1679,0)+1,2),VLOOKUP($B1605,'RFR Data - preExcl'!$BF$2:$BG1679,2,FALSE))),IFERROR(0/0,""))</f>
        <v/>
      </c>
      <c r="V1605" s="212" t="str">
        <f t="shared" si="5"/>
        <v>RUN-COMB_2022-08-03_APS-002</v>
      </c>
      <c r="W1605" s="51"/>
      <c r="X1605" s="51"/>
      <c r="Y1605" s="147" t="str">
        <f t="shared" ref="Y1605:Z1605" si="3210">IF(_xlfn.ISFORMULA(S1605),IFERROR(0/0,""),TRUE)</f>
        <v/>
      </c>
      <c r="Z1605" s="147" t="str">
        <f t="shared" si="3210"/>
        <v/>
      </c>
    </row>
    <row r="1606">
      <c r="A1606" s="6" t="str">
        <f>IFERROR(__xludf.DUMMYFUNCTION("""COMPUTED_VALUE"""),"FM1287")</f>
        <v>FM1287</v>
      </c>
      <c r="B1606" s="206">
        <f>IFERROR(__xludf.DUMMYFUNCTION("""COMPUTED_VALUE"""),44776.0)</f>
        <v>44776</v>
      </c>
      <c r="C1606" s="207">
        <f>IFERROR(__xludf.DUMMYFUNCTION("""COMPUTED_VALUE"""),0.29337962962962966)</f>
        <v>0.2933796296</v>
      </c>
      <c r="D1606" s="50"/>
      <c r="E1606" s="58"/>
      <c r="F1606" s="58"/>
      <c r="G1606" s="58" t="str">
        <f>IFERROR(__xludf.DUMMYFUNCTION("""COMPUTED_VALUE"""),"Null")</f>
        <v>Null</v>
      </c>
      <c r="H1606" s="206" t="str">
        <f>IFERROR(__xludf.DUMMYFUNCTION("""COMPUTED_VALUE"""),"Negative")</f>
        <v>Negative</v>
      </c>
      <c r="I1606" s="207"/>
      <c r="J1606" s="50"/>
      <c r="K1606" s="50">
        <f>IFERROR(__xludf.DUMMYFUNCTION("""COMPUTED_VALUE"""),2.0)</f>
        <v>2</v>
      </c>
      <c r="L1606" s="6"/>
      <c r="M1606" s="55"/>
      <c r="N1606" s="55">
        <f>IFERROR(__xludf.DUMMYFUNCTION("""COMPUTED_VALUE"""),1.0)</f>
        <v>1</v>
      </c>
      <c r="O1606" s="55" t="str">
        <f t="shared" si="3"/>
        <v/>
      </c>
      <c r="P1606" s="209"/>
      <c r="Q1606" s="75" t="b">
        <f>VLOOKUP($B1606,'Run Reconcile'!B$2:P1679,15,FALSE)</f>
        <v>1</v>
      </c>
      <c r="R1606" s="211" t="str">
        <f t="array" ref="R1606">IF($Q1606, INDEX('Run Reconcile'!A$2:A1679,MATCH(B1606,'Run Reconcile'!B$2:B1679,0),1),IFERROR(0/0,""))</f>
        <v>RUN-COMB_2022-08-03_APS-002</v>
      </c>
      <c r="S1606" s="165" t="str">
        <f t="shared" ref="S1606:T1606" si="3211">IF(COUNTIF(W$2:W1679, $A1606) &gt; 0,TRUE,IFERROR(0/0,""))</f>
        <v/>
      </c>
      <c r="T1606" s="165" t="str">
        <f t="shared" si="3211"/>
        <v/>
      </c>
      <c r="U1606" s="147" t="str">
        <f t="array" ref="U1606">IF(ISBLANK($R1606), IF($S1606,VLOOKUP($B1606+1,'RFR Data - preExcl'!$BF$2:$BG1679,2,FALSE),IF($T1606,INDEX('RFR Data - preExcl'!$BF$2:$BG1679,MATCH($B1606,'RFR Data - preExcl'!$BF$2:$BF1679,0)+1,2),VLOOKUP($B1606,'RFR Data - preExcl'!$BF$2:$BG1679,2,FALSE))),IFERROR(0/0,""))</f>
        <v/>
      </c>
      <c r="V1606" s="212" t="str">
        <f t="shared" si="5"/>
        <v>RUN-COMB_2022-08-03_APS-002</v>
      </c>
      <c r="W1606" s="51"/>
      <c r="X1606" s="51"/>
      <c r="Y1606" s="147" t="str">
        <f t="shared" ref="Y1606:Z1606" si="3212">IF(_xlfn.ISFORMULA(S1606),IFERROR(0/0,""),TRUE)</f>
        <v/>
      </c>
      <c r="Z1606" s="147" t="str">
        <f t="shared" si="3212"/>
        <v/>
      </c>
    </row>
    <row r="1607">
      <c r="A1607" s="6" t="str">
        <f>IFERROR(__xludf.DUMMYFUNCTION("""COMPUTED_VALUE"""),"FM1674")</f>
        <v>FM1674</v>
      </c>
      <c r="B1607" s="206">
        <f>IFERROR(__xludf.DUMMYFUNCTION("""COMPUTED_VALUE"""),44776.0)</f>
        <v>44776</v>
      </c>
      <c r="C1607" s="207">
        <f>IFERROR(__xludf.DUMMYFUNCTION("""COMPUTED_VALUE"""),0.29368055555555556)</f>
        <v>0.2936805556</v>
      </c>
      <c r="D1607" s="50"/>
      <c r="E1607" s="58"/>
      <c r="F1607" s="58"/>
      <c r="G1607" s="58" t="str">
        <f>IFERROR(__xludf.DUMMYFUNCTION("""COMPUTED_VALUE"""),"Null")</f>
        <v>Null</v>
      </c>
      <c r="H1607" s="206" t="str">
        <f>IFERROR(__xludf.DUMMYFUNCTION("""COMPUTED_VALUE"""),"Negative")</f>
        <v>Negative</v>
      </c>
      <c r="I1607" s="207"/>
      <c r="J1607" s="50"/>
      <c r="K1607" s="50">
        <f>IFERROR(__xludf.DUMMYFUNCTION("""COMPUTED_VALUE"""),2.0)</f>
        <v>2</v>
      </c>
      <c r="L1607" s="6"/>
      <c r="M1607" s="55"/>
      <c r="N1607" s="55">
        <f>IFERROR(__xludf.DUMMYFUNCTION("""COMPUTED_VALUE"""),1.0)</f>
        <v>1</v>
      </c>
      <c r="O1607" s="55" t="str">
        <f t="shared" si="3"/>
        <v/>
      </c>
      <c r="P1607" s="209"/>
      <c r="Q1607" s="75" t="b">
        <f>VLOOKUP($B1607,'Run Reconcile'!B$2:P1679,15,FALSE)</f>
        <v>1</v>
      </c>
      <c r="R1607" s="211" t="str">
        <f t="array" ref="R1607">IF($Q1607, INDEX('Run Reconcile'!A$2:A1679,MATCH(B1607,'Run Reconcile'!B$2:B1679,0),1),IFERROR(0/0,""))</f>
        <v>RUN-COMB_2022-08-03_APS-002</v>
      </c>
      <c r="S1607" s="165" t="str">
        <f t="shared" ref="S1607:T1607" si="3213">IF(COUNTIF(W$2:W1679, $A1607) &gt; 0,TRUE,IFERROR(0/0,""))</f>
        <v/>
      </c>
      <c r="T1607" s="165" t="str">
        <f t="shared" si="3213"/>
        <v/>
      </c>
      <c r="U1607" s="147" t="str">
        <f t="array" ref="U1607">IF(ISBLANK($R1607), IF($S1607,VLOOKUP($B1607+1,'RFR Data - preExcl'!$BF$2:$BG1679,2,FALSE),IF($T1607,INDEX('RFR Data - preExcl'!$BF$2:$BG1679,MATCH($B1607,'RFR Data - preExcl'!$BF$2:$BF1679,0)+1,2),VLOOKUP($B1607,'RFR Data - preExcl'!$BF$2:$BG1679,2,FALSE))),IFERROR(0/0,""))</f>
        <v/>
      </c>
      <c r="V1607" s="212" t="str">
        <f t="shared" si="5"/>
        <v>RUN-COMB_2022-08-03_APS-002</v>
      </c>
      <c r="W1607" s="51"/>
      <c r="X1607" s="51"/>
      <c r="Y1607" s="147" t="str">
        <f t="shared" ref="Y1607:Z1607" si="3214">IF(_xlfn.ISFORMULA(S1607),IFERROR(0/0,""),TRUE)</f>
        <v/>
      </c>
      <c r="Z1607" s="147" t="str">
        <f t="shared" si="3214"/>
        <v/>
      </c>
    </row>
    <row r="1608">
      <c r="A1608" s="6" t="str">
        <f>IFERROR(__xludf.DUMMYFUNCTION("""COMPUTED_VALUE"""),"FM1639")</f>
        <v>FM1639</v>
      </c>
      <c r="B1608" s="206">
        <f>IFERROR(__xludf.DUMMYFUNCTION("""COMPUTED_VALUE"""),44776.0)</f>
        <v>44776</v>
      </c>
      <c r="C1608" s="207">
        <f>IFERROR(__xludf.DUMMYFUNCTION("""COMPUTED_VALUE"""),0.2941435185185185)</f>
        <v>0.2941435185</v>
      </c>
      <c r="D1608" s="50"/>
      <c r="E1608" s="58"/>
      <c r="F1608" s="58"/>
      <c r="G1608" s="58" t="str">
        <f>IFERROR(__xludf.DUMMYFUNCTION("""COMPUTED_VALUE"""),"Null")</f>
        <v>Null</v>
      </c>
      <c r="H1608" s="206" t="str">
        <f>IFERROR(__xludf.DUMMYFUNCTION("""COMPUTED_VALUE"""),"Negative")</f>
        <v>Negative</v>
      </c>
      <c r="I1608" s="207"/>
      <c r="J1608" s="50"/>
      <c r="K1608" s="50">
        <f>IFERROR(__xludf.DUMMYFUNCTION("""COMPUTED_VALUE"""),2.0)</f>
        <v>2</v>
      </c>
      <c r="L1608" s="6"/>
      <c r="M1608" s="55"/>
      <c r="N1608" s="55">
        <f>IFERROR(__xludf.DUMMYFUNCTION("""COMPUTED_VALUE"""),1.0)</f>
        <v>1</v>
      </c>
      <c r="O1608" s="55" t="str">
        <f t="shared" si="3"/>
        <v/>
      </c>
      <c r="P1608" s="209"/>
      <c r="Q1608" s="75" t="b">
        <f>VLOOKUP($B1608,'Run Reconcile'!B$2:P1679,15,FALSE)</f>
        <v>1</v>
      </c>
      <c r="R1608" s="211" t="str">
        <f t="array" ref="R1608">IF($Q1608, INDEX('Run Reconcile'!A$2:A1679,MATCH(B1608,'Run Reconcile'!B$2:B1679,0),1),IFERROR(0/0,""))</f>
        <v>RUN-COMB_2022-08-03_APS-002</v>
      </c>
      <c r="S1608" s="165" t="str">
        <f t="shared" ref="S1608:T1608" si="3215">IF(COUNTIF(W$2:W1679, $A1608) &gt; 0,TRUE,IFERROR(0/0,""))</f>
        <v/>
      </c>
      <c r="T1608" s="165" t="str">
        <f t="shared" si="3215"/>
        <v/>
      </c>
      <c r="U1608" s="147" t="str">
        <f t="array" ref="U1608">IF(ISBLANK($R1608), IF($S1608,VLOOKUP($B1608+1,'RFR Data - preExcl'!$BF$2:$BG1679,2,FALSE),IF($T1608,INDEX('RFR Data - preExcl'!$BF$2:$BG1679,MATCH($B1608,'RFR Data - preExcl'!$BF$2:$BF1679,0)+1,2),VLOOKUP($B1608,'RFR Data - preExcl'!$BF$2:$BG1679,2,FALSE))),IFERROR(0/0,""))</f>
        <v/>
      </c>
      <c r="V1608" s="212" t="str">
        <f t="shared" si="5"/>
        <v>RUN-COMB_2022-08-03_APS-002</v>
      </c>
      <c r="W1608" s="51"/>
      <c r="X1608" s="51"/>
      <c r="Y1608" s="147" t="str">
        <f t="shared" ref="Y1608:Z1608" si="3216">IF(_xlfn.ISFORMULA(S1608),IFERROR(0/0,""),TRUE)</f>
        <v/>
      </c>
      <c r="Z1608" s="147" t="str">
        <f t="shared" si="3216"/>
        <v/>
      </c>
    </row>
    <row r="1609">
      <c r="A1609" s="6" t="str">
        <f>IFERROR(__xludf.DUMMYFUNCTION("""COMPUTED_VALUE"""),"FM1668")</f>
        <v>FM1668</v>
      </c>
      <c r="B1609" s="206">
        <f>IFERROR(__xludf.DUMMYFUNCTION("""COMPUTED_VALUE"""),44776.0)</f>
        <v>44776</v>
      </c>
      <c r="C1609" s="207">
        <f>IFERROR(__xludf.DUMMYFUNCTION("""COMPUTED_VALUE"""),0.29444444444444445)</f>
        <v>0.2944444444</v>
      </c>
      <c r="D1609" s="50"/>
      <c r="E1609" s="58"/>
      <c r="F1609" s="58"/>
      <c r="G1609" s="58" t="str">
        <f>IFERROR(__xludf.DUMMYFUNCTION("""COMPUTED_VALUE"""),"Null")</f>
        <v>Null</v>
      </c>
      <c r="H1609" s="206" t="str">
        <f>IFERROR(__xludf.DUMMYFUNCTION("""COMPUTED_VALUE"""),"Negative")</f>
        <v>Negative</v>
      </c>
      <c r="I1609" s="207"/>
      <c r="J1609" s="50"/>
      <c r="K1609" s="50">
        <f>IFERROR(__xludf.DUMMYFUNCTION("""COMPUTED_VALUE"""),2.0)</f>
        <v>2</v>
      </c>
      <c r="L1609" s="6"/>
      <c r="M1609" s="55"/>
      <c r="N1609" s="55">
        <f>IFERROR(__xludf.DUMMYFUNCTION("""COMPUTED_VALUE"""),1.0)</f>
        <v>1</v>
      </c>
      <c r="O1609" s="55" t="str">
        <f t="shared" si="3"/>
        <v/>
      </c>
      <c r="P1609" s="209"/>
      <c r="Q1609" s="75" t="b">
        <f>VLOOKUP($B1609,'Run Reconcile'!B$2:P1679,15,FALSE)</f>
        <v>1</v>
      </c>
      <c r="R1609" s="211" t="str">
        <f t="array" ref="R1609">IF($Q1609, INDEX('Run Reconcile'!A$2:A1679,MATCH(B1609,'Run Reconcile'!B$2:B1679,0),1),IFERROR(0/0,""))</f>
        <v>RUN-COMB_2022-08-03_APS-002</v>
      </c>
      <c r="S1609" s="165" t="str">
        <f t="shared" ref="S1609:T1609" si="3217">IF(COUNTIF(W$2:W1679, $A1609) &gt; 0,TRUE,IFERROR(0/0,""))</f>
        <v/>
      </c>
      <c r="T1609" s="165" t="str">
        <f t="shared" si="3217"/>
        <v/>
      </c>
      <c r="U1609" s="147" t="str">
        <f t="array" ref="U1609">IF(ISBLANK($R1609), IF($S1609,VLOOKUP($B1609+1,'RFR Data - preExcl'!$BF$2:$BG1679,2,FALSE),IF($T1609,INDEX('RFR Data - preExcl'!$BF$2:$BG1679,MATCH($B1609,'RFR Data - preExcl'!$BF$2:$BF1679,0)+1,2),VLOOKUP($B1609,'RFR Data - preExcl'!$BF$2:$BG1679,2,FALSE))),IFERROR(0/0,""))</f>
        <v/>
      </c>
      <c r="V1609" s="212" t="str">
        <f t="shared" si="5"/>
        <v>RUN-COMB_2022-08-03_APS-002</v>
      </c>
      <c r="W1609" s="51"/>
      <c r="X1609" s="51"/>
      <c r="Y1609" s="147" t="str">
        <f t="shared" ref="Y1609:Z1609" si="3218">IF(_xlfn.ISFORMULA(S1609),IFERROR(0/0,""),TRUE)</f>
        <v/>
      </c>
      <c r="Z1609" s="147" t="str">
        <f t="shared" si="3218"/>
        <v/>
      </c>
    </row>
    <row r="1610">
      <c r="A1610" s="6" t="str">
        <f>IFERROR(__xludf.DUMMYFUNCTION("""COMPUTED_VALUE"""),"FM1625")</f>
        <v>FM1625</v>
      </c>
      <c r="B1610" s="206">
        <f>IFERROR(__xludf.DUMMYFUNCTION("""COMPUTED_VALUE"""),44776.0)</f>
        <v>44776</v>
      </c>
      <c r="C1610" s="207">
        <f>IFERROR(__xludf.DUMMYFUNCTION("""COMPUTED_VALUE"""),0.29486111111111113)</f>
        <v>0.2948611111</v>
      </c>
      <c r="D1610" s="50"/>
      <c r="E1610" s="58"/>
      <c r="F1610" s="58"/>
      <c r="G1610" s="58" t="str">
        <f>IFERROR(__xludf.DUMMYFUNCTION("""COMPUTED_VALUE"""),"Null")</f>
        <v>Null</v>
      </c>
      <c r="H1610" s="206" t="str">
        <f>IFERROR(__xludf.DUMMYFUNCTION("""COMPUTED_VALUE"""),"Negative")</f>
        <v>Negative</v>
      </c>
      <c r="I1610" s="207"/>
      <c r="J1610" s="50"/>
      <c r="K1610" s="50">
        <f>IFERROR(__xludf.DUMMYFUNCTION("""COMPUTED_VALUE"""),2.0)</f>
        <v>2</v>
      </c>
      <c r="L1610" s="6"/>
      <c r="M1610" s="55"/>
      <c r="N1610" s="55">
        <f>IFERROR(__xludf.DUMMYFUNCTION("""COMPUTED_VALUE"""),1.0)</f>
        <v>1</v>
      </c>
      <c r="O1610" s="55" t="str">
        <f t="shared" si="3"/>
        <v/>
      </c>
      <c r="P1610" s="209"/>
      <c r="Q1610" s="75" t="b">
        <f>VLOOKUP($B1610,'Run Reconcile'!B$2:P1679,15,FALSE)</f>
        <v>1</v>
      </c>
      <c r="R1610" s="211" t="str">
        <f t="array" ref="R1610">IF($Q1610, INDEX('Run Reconcile'!A$2:A1679,MATCH(B1610,'Run Reconcile'!B$2:B1679,0),1),IFERROR(0/0,""))</f>
        <v>RUN-COMB_2022-08-03_APS-002</v>
      </c>
      <c r="S1610" s="165" t="str">
        <f t="shared" ref="S1610:T1610" si="3219">IF(COUNTIF(W$2:W1679, $A1610) &gt; 0,TRUE,IFERROR(0/0,""))</f>
        <v/>
      </c>
      <c r="T1610" s="165" t="str">
        <f t="shared" si="3219"/>
        <v/>
      </c>
      <c r="U1610" s="147" t="str">
        <f t="array" ref="U1610">IF(ISBLANK($R1610), IF($S1610,VLOOKUP($B1610+1,'RFR Data - preExcl'!$BF$2:$BG1679,2,FALSE),IF($T1610,INDEX('RFR Data - preExcl'!$BF$2:$BG1679,MATCH($B1610,'RFR Data - preExcl'!$BF$2:$BF1679,0)+1,2),VLOOKUP($B1610,'RFR Data - preExcl'!$BF$2:$BG1679,2,FALSE))),IFERROR(0/0,""))</f>
        <v/>
      </c>
      <c r="V1610" s="212" t="str">
        <f t="shared" si="5"/>
        <v>RUN-COMB_2022-08-03_APS-002</v>
      </c>
      <c r="W1610" s="51"/>
      <c r="X1610" s="51"/>
      <c r="Y1610" s="147" t="str">
        <f t="shared" ref="Y1610:Z1610" si="3220">IF(_xlfn.ISFORMULA(S1610),IFERROR(0/0,""),TRUE)</f>
        <v/>
      </c>
      <c r="Z1610" s="147" t="str">
        <f t="shared" si="3220"/>
        <v/>
      </c>
    </row>
    <row r="1611">
      <c r="A1611" s="6" t="str">
        <f>IFERROR(__xludf.DUMMYFUNCTION("""COMPUTED_VALUE"""),"FM1879")</f>
        <v>FM1879</v>
      </c>
      <c r="B1611" s="206">
        <f>IFERROR(__xludf.DUMMYFUNCTION("""COMPUTED_VALUE"""),44776.0)</f>
        <v>44776</v>
      </c>
      <c r="C1611" s="207">
        <f>IFERROR(__xludf.DUMMYFUNCTION("""COMPUTED_VALUE"""),0.29527777777777775)</f>
        <v>0.2952777778</v>
      </c>
      <c r="D1611" s="50"/>
      <c r="E1611" s="58"/>
      <c r="F1611" s="58"/>
      <c r="G1611" s="58" t="str">
        <f>IFERROR(__xludf.DUMMYFUNCTION("""COMPUTED_VALUE"""),"Null")</f>
        <v>Null</v>
      </c>
      <c r="H1611" s="206" t="str">
        <f>IFERROR(__xludf.DUMMYFUNCTION("""COMPUTED_VALUE"""),"Negative")</f>
        <v>Negative</v>
      </c>
      <c r="I1611" s="207"/>
      <c r="J1611" s="50"/>
      <c r="K1611" s="50">
        <f>IFERROR(__xludf.DUMMYFUNCTION("""COMPUTED_VALUE"""),2.0)</f>
        <v>2</v>
      </c>
      <c r="L1611" s="6"/>
      <c r="M1611" s="55"/>
      <c r="N1611" s="55">
        <f>IFERROR(__xludf.DUMMYFUNCTION("""COMPUTED_VALUE"""),1.0)</f>
        <v>1</v>
      </c>
      <c r="O1611" s="55" t="str">
        <f t="shared" si="3"/>
        <v/>
      </c>
      <c r="P1611" s="209"/>
      <c r="Q1611" s="75" t="b">
        <f>VLOOKUP($B1611,'Run Reconcile'!B$2:P1679,15,FALSE)</f>
        <v>1</v>
      </c>
      <c r="R1611" s="211" t="str">
        <f t="array" ref="R1611">IF($Q1611, INDEX('Run Reconcile'!A$2:A1679,MATCH(B1611,'Run Reconcile'!B$2:B1679,0),1),IFERROR(0/0,""))</f>
        <v>RUN-COMB_2022-08-03_APS-002</v>
      </c>
      <c r="S1611" s="165" t="str">
        <f t="shared" ref="S1611:T1611" si="3221">IF(COUNTIF(W$2:W1679, $A1611) &gt; 0,TRUE,IFERROR(0/0,""))</f>
        <v/>
      </c>
      <c r="T1611" s="165" t="str">
        <f t="shared" si="3221"/>
        <v/>
      </c>
      <c r="U1611" s="147" t="str">
        <f t="array" ref="U1611">IF(ISBLANK($R1611), IF($S1611,VLOOKUP($B1611+1,'RFR Data - preExcl'!$BF$2:$BG1679,2,FALSE),IF($T1611,INDEX('RFR Data - preExcl'!$BF$2:$BG1679,MATCH($B1611,'RFR Data - preExcl'!$BF$2:$BF1679,0)+1,2),VLOOKUP($B1611,'RFR Data - preExcl'!$BF$2:$BG1679,2,FALSE))),IFERROR(0/0,""))</f>
        <v/>
      </c>
      <c r="V1611" s="212" t="str">
        <f t="shared" si="5"/>
        <v>RUN-COMB_2022-08-03_APS-002</v>
      </c>
      <c r="W1611" s="51"/>
      <c r="X1611" s="51"/>
      <c r="Y1611" s="147" t="str">
        <f t="shared" ref="Y1611:Z1611" si="3222">IF(_xlfn.ISFORMULA(S1611),IFERROR(0/0,""),TRUE)</f>
        <v/>
      </c>
      <c r="Z1611" s="147" t="str">
        <f t="shared" si="3222"/>
        <v/>
      </c>
    </row>
    <row r="1612">
      <c r="A1612" s="6" t="str">
        <f>IFERROR(__xludf.DUMMYFUNCTION("""COMPUTED_VALUE"""),"FM3015")</f>
        <v>FM3015</v>
      </c>
      <c r="B1612" s="206">
        <f>IFERROR(__xludf.DUMMYFUNCTION("""COMPUTED_VALUE"""),44781.0)</f>
        <v>44781</v>
      </c>
      <c r="C1612" s="207">
        <f>IFERROR(__xludf.DUMMYFUNCTION("""COMPUTED_VALUE"""),0.7484953703703704)</f>
        <v>0.7484953704</v>
      </c>
      <c r="D1612" s="50"/>
      <c r="E1612" s="58"/>
      <c r="F1612" s="58"/>
      <c r="G1612" s="58" t="str">
        <f>IFERROR(__xludf.DUMMYFUNCTION("""COMPUTED_VALUE"""),"Null")</f>
        <v>Null</v>
      </c>
      <c r="H1612" s="206" t="str">
        <f>IFERROR(__xludf.DUMMYFUNCTION("""COMPUTED_VALUE"""),"Negative")</f>
        <v>Negative</v>
      </c>
      <c r="I1612" s="207"/>
      <c r="J1612" s="50"/>
      <c r="K1612" s="50">
        <f>IFERROR(__xludf.DUMMYFUNCTION("""COMPUTED_VALUE"""),2.0)</f>
        <v>2</v>
      </c>
      <c r="L1612" s="6"/>
      <c r="M1612" s="55"/>
      <c r="N1612" s="55">
        <f>IFERROR(__xludf.DUMMYFUNCTION("""COMPUTED_VALUE"""),1.0)</f>
        <v>1</v>
      </c>
      <c r="O1612" s="55" t="b">
        <f t="shared" si="3"/>
        <v>1</v>
      </c>
      <c r="P1612" s="209"/>
      <c r="Q1612" s="75" t="b">
        <f>VLOOKUP($B1612,'Run Reconcile'!B$2:P1679,15,FALSE)</f>
        <v>1</v>
      </c>
      <c r="R1612" s="211" t="str">
        <f t="array" ref="R1612">IF($Q1612, INDEX('Run Reconcile'!A$2:A1679,MATCH(B1612,'Run Reconcile'!B$2:B1679,0),1),IFERROR(0/0,""))</f>
        <v>RUN-COMB_2022-08-08_RFR-092</v>
      </c>
      <c r="S1612" s="165" t="str">
        <f t="shared" ref="S1612:T1612" si="3223">IF(COUNTIF(W$2:W1679, $A1612) &gt; 0,TRUE,IFERROR(0/0,""))</f>
        <v/>
      </c>
      <c r="T1612" s="165" t="str">
        <f t="shared" si="3223"/>
        <v/>
      </c>
      <c r="U1612" s="147" t="str">
        <f t="array" ref="U1612">IF(ISBLANK($R1612), IF($S1612,VLOOKUP($B1612+1,'RFR Data - preExcl'!$BF$2:$BG1679,2,FALSE),IF($T1612,INDEX('RFR Data - preExcl'!$BF$2:$BG1679,MATCH($B1612,'RFR Data - preExcl'!$BF$2:$BF1679,0)+1,2),VLOOKUP($B1612,'RFR Data - preExcl'!$BF$2:$BG1679,2,FALSE))),IFERROR(0/0,""))</f>
        <v/>
      </c>
      <c r="V1612" s="212" t="str">
        <f t="shared" si="5"/>
        <v>RUN-COMB_2022-08-08_RFR-092</v>
      </c>
      <c r="W1612" s="51"/>
      <c r="X1612" s="51"/>
      <c r="Y1612" s="147" t="str">
        <f t="shared" ref="Y1612:Z1612" si="3224">IF(_xlfn.ISFORMULA(S1612),IFERROR(0/0,""),TRUE)</f>
        <v/>
      </c>
      <c r="Z1612" s="147" t="str">
        <f t="shared" si="3224"/>
        <v/>
      </c>
    </row>
    <row r="1613">
      <c r="A1613" s="6" t="str">
        <f>IFERROR(__xludf.DUMMYFUNCTION("""COMPUTED_VALUE"""),"FM3027")</f>
        <v>FM3027</v>
      </c>
      <c r="B1613" s="206">
        <f>IFERROR(__xludf.DUMMYFUNCTION("""COMPUTED_VALUE"""),44781.0)</f>
        <v>44781</v>
      </c>
      <c r="C1613" s="207">
        <f>IFERROR(__xludf.DUMMYFUNCTION("""COMPUTED_VALUE"""),0.7488310185185185)</f>
        <v>0.7488310185</v>
      </c>
      <c r="D1613" s="50"/>
      <c r="E1613" s="58"/>
      <c r="F1613" s="58"/>
      <c r="G1613" s="58" t="str">
        <f>IFERROR(__xludf.DUMMYFUNCTION("""COMPUTED_VALUE"""),"Null")</f>
        <v>Null</v>
      </c>
      <c r="H1613" s="206" t="str">
        <f>IFERROR(__xludf.DUMMYFUNCTION("""COMPUTED_VALUE"""),"Negative")</f>
        <v>Negative</v>
      </c>
      <c r="I1613" s="207"/>
      <c r="J1613" s="50"/>
      <c r="K1613" s="50">
        <f>IFERROR(__xludf.DUMMYFUNCTION("""COMPUTED_VALUE"""),2.0)</f>
        <v>2</v>
      </c>
      <c r="L1613" s="6"/>
      <c r="M1613" s="55"/>
      <c r="N1613" s="55">
        <f>IFERROR(__xludf.DUMMYFUNCTION("""COMPUTED_VALUE"""),1.0)</f>
        <v>1</v>
      </c>
      <c r="O1613" s="55" t="str">
        <f t="shared" si="3"/>
        <v/>
      </c>
      <c r="P1613" s="209"/>
      <c r="Q1613" s="75" t="b">
        <f>VLOOKUP($B1613,'Run Reconcile'!B$2:P1679,15,FALSE)</f>
        <v>1</v>
      </c>
      <c r="R1613" s="211" t="str">
        <f t="array" ref="R1613">IF($Q1613, INDEX('Run Reconcile'!A$2:A1679,MATCH(B1613,'Run Reconcile'!B$2:B1679,0),1),IFERROR(0/0,""))</f>
        <v>RUN-COMB_2022-08-08_RFR-092</v>
      </c>
      <c r="S1613" s="165" t="str">
        <f t="shared" ref="S1613:T1613" si="3225">IF(COUNTIF(W$2:W1679, $A1613) &gt; 0,TRUE,IFERROR(0/0,""))</f>
        <v/>
      </c>
      <c r="T1613" s="165" t="str">
        <f t="shared" si="3225"/>
        <v/>
      </c>
      <c r="U1613" s="147" t="str">
        <f t="array" ref="U1613">IF(ISBLANK($R1613), IF($S1613,VLOOKUP($B1613+1,'RFR Data - preExcl'!$BF$2:$BG1679,2,FALSE),IF($T1613,INDEX('RFR Data - preExcl'!$BF$2:$BG1679,MATCH($B1613,'RFR Data - preExcl'!$BF$2:$BF1679,0)+1,2),VLOOKUP($B1613,'RFR Data - preExcl'!$BF$2:$BG1679,2,FALSE))),IFERROR(0/0,""))</f>
        <v/>
      </c>
      <c r="V1613" s="212" t="str">
        <f t="shared" si="5"/>
        <v>RUN-COMB_2022-08-08_RFR-092</v>
      </c>
      <c r="W1613" s="51"/>
      <c r="X1613" s="51"/>
      <c r="Y1613" s="147" t="str">
        <f t="shared" ref="Y1613:Z1613" si="3226">IF(_xlfn.ISFORMULA(S1613),IFERROR(0/0,""),TRUE)</f>
        <v/>
      </c>
      <c r="Z1613" s="147" t="str">
        <f t="shared" si="3226"/>
        <v/>
      </c>
    </row>
    <row r="1614">
      <c r="A1614" s="6" t="str">
        <f>IFERROR(__xludf.DUMMYFUNCTION("""COMPUTED_VALUE"""),"FM3065")</f>
        <v>FM3065</v>
      </c>
      <c r="B1614" s="206">
        <f>IFERROR(__xludf.DUMMYFUNCTION("""COMPUTED_VALUE"""),44781.0)</f>
        <v>44781</v>
      </c>
      <c r="C1614" s="207">
        <f>IFERROR(__xludf.DUMMYFUNCTION("""COMPUTED_VALUE"""),0.7491087962962963)</f>
        <v>0.7491087963</v>
      </c>
      <c r="D1614" s="50"/>
      <c r="E1614" s="58"/>
      <c r="F1614" s="58"/>
      <c r="G1614" s="58" t="str">
        <f>IFERROR(__xludf.DUMMYFUNCTION("""COMPUTED_VALUE"""),"Null")</f>
        <v>Null</v>
      </c>
      <c r="H1614" s="206" t="str">
        <f>IFERROR(__xludf.DUMMYFUNCTION("""COMPUTED_VALUE"""),"Negative")</f>
        <v>Negative</v>
      </c>
      <c r="I1614" s="207"/>
      <c r="J1614" s="50"/>
      <c r="K1614" s="50">
        <f>IFERROR(__xludf.DUMMYFUNCTION("""COMPUTED_VALUE"""),2.0)</f>
        <v>2</v>
      </c>
      <c r="L1614" s="6"/>
      <c r="M1614" s="55"/>
      <c r="N1614" s="55">
        <f>IFERROR(__xludf.DUMMYFUNCTION("""COMPUTED_VALUE"""),1.0)</f>
        <v>1</v>
      </c>
      <c r="O1614" s="55" t="str">
        <f t="shared" si="3"/>
        <v/>
      </c>
      <c r="P1614" s="209"/>
      <c r="Q1614" s="75" t="b">
        <f>VLOOKUP($B1614,'Run Reconcile'!B$2:P1679,15,FALSE)</f>
        <v>1</v>
      </c>
      <c r="R1614" s="211" t="str">
        <f t="array" ref="R1614">IF($Q1614, INDEX('Run Reconcile'!A$2:A1679,MATCH(B1614,'Run Reconcile'!B$2:B1679,0),1),IFERROR(0/0,""))</f>
        <v>RUN-COMB_2022-08-08_RFR-092</v>
      </c>
      <c r="S1614" s="165" t="str">
        <f t="shared" ref="S1614:T1614" si="3227">IF(COUNTIF(W$2:W1679, $A1614) &gt; 0,TRUE,IFERROR(0/0,""))</f>
        <v/>
      </c>
      <c r="T1614" s="165" t="str">
        <f t="shared" si="3227"/>
        <v/>
      </c>
      <c r="U1614" s="147" t="str">
        <f t="array" ref="U1614">IF(ISBLANK($R1614), IF($S1614,VLOOKUP($B1614+1,'RFR Data - preExcl'!$BF$2:$BG1679,2,FALSE),IF($T1614,INDEX('RFR Data - preExcl'!$BF$2:$BG1679,MATCH($B1614,'RFR Data - preExcl'!$BF$2:$BF1679,0)+1,2),VLOOKUP($B1614,'RFR Data - preExcl'!$BF$2:$BG1679,2,FALSE))),IFERROR(0/0,""))</f>
        <v/>
      </c>
      <c r="V1614" s="212" t="str">
        <f t="shared" si="5"/>
        <v>RUN-COMB_2022-08-08_RFR-092</v>
      </c>
      <c r="W1614" s="51"/>
      <c r="X1614" s="51"/>
      <c r="Y1614" s="147" t="str">
        <f t="shared" ref="Y1614:Z1614" si="3228">IF(_xlfn.ISFORMULA(S1614),IFERROR(0/0,""),TRUE)</f>
        <v/>
      </c>
      <c r="Z1614" s="147" t="str">
        <f t="shared" si="3228"/>
        <v/>
      </c>
    </row>
    <row r="1615">
      <c r="A1615" s="6" t="str">
        <f>IFERROR(__xludf.DUMMYFUNCTION("""COMPUTED_VALUE"""),"FM3042")</f>
        <v>FM3042</v>
      </c>
      <c r="B1615" s="206">
        <f>IFERROR(__xludf.DUMMYFUNCTION("""COMPUTED_VALUE"""),44781.0)</f>
        <v>44781</v>
      </c>
      <c r="C1615" s="207">
        <f>IFERROR(__xludf.DUMMYFUNCTION("""COMPUTED_VALUE"""),0.7494675925925925)</f>
        <v>0.7494675926</v>
      </c>
      <c r="D1615" s="50"/>
      <c r="E1615" s="58"/>
      <c r="F1615" s="58"/>
      <c r="G1615" s="58" t="str">
        <f>IFERROR(__xludf.DUMMYFUNCTION("""COMPUTED_VALUE"""),"Null")</f>
        <v>Null</v>
      </c>
      <c r="H1615" s="206" t="str">
        <f>IFERROR(__xludf.DUMMYFUNCTION("""COMPUTED_VALUE"""),"Negative")</f>
        <v>Negative</v>
      </c>
      <c r="I1615" s="207"/>
      <c r="J1615" s="50"/>
      <c r="K1615" s="50">
        <f>IFERROR(__xludf.DUMMYFUNCTION("""COMPUTED_VALUE"""),2.0)</f>
        <v>2</v>
      </c>
      <c r="L1615" s="6"/>
      <c r="M1615" s="55"/>
      <c r="N1615" s="55">
        <f>IFERROR(__xludf.DUMMYFUNCTION("""COMPUTED_VALUE"""),1.0)</f>
        <v>1</v>
      </c>
      <c r="O1615" s="55" t="str">
        <f t="shared" si="3"/>
        <v/>
      </c>
      <c r="P1615" s="209"/>
      <c r="Q1615" s="75" t="b">
        <f>VLOOKUP($B1615,'Run Reconcile'!B$2:P1679,15,FALSE)</f>
        <v>1</v>
      </c>
      <c r="R1615" s="211" t="str">
        <f t="array" ref="R1615">IF($Q1615, INDEX('Run Reconcile'!A$2:A1679,MATCH(B1615,'Run Reconcile'!B$2:B1679,0),1),IFERROR(0/0,""))</f>
        <v>RUN-COMB_2022-08-08_RFR-092</v>
      </c>
      <c r="S1615" s="165" t="str">
        <f t="shared" ref="S1615:T1615" si="3229">IF(COUNTIF(W$2:W1679, $A1615) &gt; 0,TRUE,IFERROR(0/0,""))</f>
        <v/>
      </c>
      <c r="T1615" s="165" t="str">
        <f t="shared" si="3229"/>
        <v/>
      </c>
      <c r="U1615" s="147" t="str">
        <f t="array" ref="U1615">IF(ISBLANK($R1615), IF($S1615,VLOOKUP($B1615+1,'RFR Data - preExcl'!$BF$2:$BG1679,2,FALSE),IF($T1615,INDEX('RFR Data - preExcl'!$BF$2:$BG1679,MATCH($B1615,'RFR Data - preExcl'!$BF$2:$BF1679,0)+1,2),VLOOKUP($B1615,'RFR Data - preExcl'!$BF$2:$BG1679,2,FALSE))),IFERROR(0/0,""))</f>
        <v/>
      </c>
      <c r="V1615" s="212" t="str">
        <f t="shared" si="5"/>
        <v>RUN-COMB_2022-08-08_RFR-092</v>
      </c>
      <c r="W1615" s="51"/>
      <c r="X1615" s="51"/>
      <c r="Y1615" s="147" t="str">
        <f t="shared" ref="Y1615:Z1615" si="3230">IF(_xlfn.ISFORMULA(S1615),IFERROR(0/0,""),TRUE)</f>
        <v/>
      </c>
      <c r="Z1615" s="147" t="str">
        <f t="shared" si="3230"/>
        <v/>
      </c>
    </row>
    <row r="1616">
      <c r="A1616" s="6" t="str">
        <f>IFERROR(__xludf.DUMMYFUNCTION("""COMPUTED_VALUE"""),"FM3077")</f>
        <v>FM3077</v>
      </c>
      <c r="B1616" s="206">
        <f>IFERROR(__xludf.DUMMYFUNCTION("""COMPUTED_VALUE"""),44781.0)</f>
        <v>44781</v>
      </c>
      <c r="C1616" s="207">
        <f>IFERROR(__xludf.DUMMYFUNCTION("""COMPUTED_VALUE"""),0.7497569444444444)</f>
        <v>0.7497569444</v>
      </c>
      <c r="D1616" s="50"/>
      <c r="E1616" s="58"/>
      <c r="F1616" s="58"/>
      <c r="G1616" s="58" t="str">
        <f>IFERROR(__xludf.DUMMYFUNCTION("""COMPUTED_VALUE"""),"Null")</f>
        <v>Null</v>
      </c>
      <c r="H1616" s="206" t="str">
        <f>IFERROR(__xludf.DUMMYFUNCTION("""COMPUTED_VALUE"""),"Negative")</f>
        <v>Negative</v>
      </c>
      <c r="I1616" s="207"/>
      <c r="J1616" s="50"/>
      <c r="K1616" s="50">
        <f>IFERROR(__xludf.DUMMYFUNCTION("""COMPUTED_VALUE"""),2.0)</f>
        <v>2</v>
      </c>
      <c r="L1616" s="6"/>
      <c r="M1616" s="55"/>
      <c r="N1616" s="55">
        <f>IFERROR(__xludf.DUMMYFUNCTION("""COMPUTED_VALUE"""),1.0)</f>
        <v>1</v>
      </c>
      <c r="O1616" s="55" t="str">
        <f t="shared" si="3"/>
        <v/>
      </c>
      <c r="P1616" s="209"/>
      <c r="Q1616" s="75" t="b">
        <f>VLOOKUP($B1616,'Run Reconcile'!B$2:P1679,15,FALSE)</f>
        <v>1</v>
      </c>
      <c r="R1616" s="211" t="str">
        <f t="array" ref="R1616">IF($Q1616, INDEX('Run Reconcile'!A$2:A1679,MATCH(B1616,'Run Reconcile'!B$2:B1679,0),1),IFERROR(0/0,""))</f>
        <v>RUN-COMB_2022-08-08_RFR-092</v>
      </c>
      <c r="S1616" s="165" t="str">
        <f t="shared" ref="S1616:T1616" si="3231">IF(COUNTIF(W$2:W1679, $A1616) &gt; 0,TRUE,IFERROR(0/0,""))</f>
        <v/>
      </c>
      <c r="T1616" s="165" t="str">
        <f t="shared" si="3231"/>
        <v/>
      </c>
      <c r="U1616" s="147" t="str">
        <f t="array" ref="U1616">IF(ISBLANK($R1616), IF($S1616,VLOOKUP($B1616+1,'RFR Data - preExcl'!$BF$2:$BG1679,2,FALSE),IF($T1616,INDEX('RFR Data - preExcl'!$BF$2:$BG1679,MATCH($B1616,'RFR Data - preExcl'!$BF$2:$BF1679,0)+1,2),VLOOKUP($B1616,'RFR Data - preExcl'!$BF$2:$BG1679,2,FALSE))),IFERROR(0/0,""))</f>
        <v/>
      </c>
      <c r="V1616" s="212" t="str">
        <f t="shared" si="5"/>
        <v>RUN-COMB_2022-08-08_RFR-092</v>
      </c>
      <c r="W1616" s="51"/>
      <c r="X1616" s="51"/>
      <c r="Y1616" s="147" t="str">
        <f t="shared" ref="Y1616:Z1616" si="3232">IF(_xlfn.ISFORMULA(S1616),IFERROR(0/0,""),TRUE)</f>
        <v/>
      </c>
      <c r="Z1616" s="147" t="str">
        <f t="shared" si="3232"/>
        <v/>
      </c>
    </row>
    <row r="1617">
      <c r="A1617" s="6" t="str">
        <f>IFERROR(__xludf.DUMMYFUNCTION("""COMPUTED_VALUE"""),"FM3089")</f>
        <v>FM3089</v>
      </c>
      <c r="B1617" s="206">
        <f>IFERROR(__xludf.DUMMYFUNCTION("""COMPUTED_VALUE"""),44781.0)</f>
        <v>44781</v>
      </c>
      <c r="C1617" s="207">
        <f>IFERROR(__xludf.DUMMYFUNCTION("""COMPUTED_VALUE"""),0.7501041666666667)</f>
        <v>0.7501041667</v>
      </c>
      <c r="D1617" s="50"/>
      <c r="E1617" s="58"/>
      <c r="F1617" s="58"/>
      <c r="G1617" s="58" t="str">
        <f>IFERROR(__xludf.DUMMYFUNCTION("""COMPUTED_VALUE"""),"Null")</f>
        <v>Null</v>
      </c>
      <c r="H1617" s="206" t="str">
        <f>IFERROR(__xludf.DUMMYFUNCTION("""COMPUTED_VALUE"""),"Negative")</f>
        <v>Negative</v>
      </c>
      <c r="I1617" s="207"/>
      <c r="J1617" s="50"/>
      <c r="K1617" s="50">
        <f>IFERROR(__xludf.DUMMYFUNCTION("""COMPUTED_VALUE"""),2.0)</f>
        <v>2</v>
      </c>
      <c r="L1617" s="6"/>
      <c r="M1617" s="55"/>
      <c r="N1617" s="55">
        <f>IFERROR(__xludf.DUMMYFUNCTION("""COMPUTED_VALUE"""),1.0)</f>
        <v>1</v>
      </c>
      <c r="O1617" s="55" t="str">
        <f t="shared" si="3"/>
        <v/>
      </c>
      <c r="P1617" s="209"/>
      <c r="Q1617" s="75" t="b">
        <f>VLOOKUP($B1617,'Run Reconcile'!B$2:P1679,15,FALSE)</f>
        <v>1</v>
      </c>
      <c r="R1617" s="211" t="str">
        <f t="array" ref="R1617">IF($Q1617, INDEX('Run Reconcile'!A$2:A1679,MATCH(B1617,'Run Reconcile'!B$2:B1679,0),1),IFERROR(0/0,""))</f>
        <v>RUN-COMB_2022-08-08_RFR-092</v>
      </c>
      <c r="S1617" s="165" t="str">
        <f t="shared" ref="S1617:T1617" si="3233">IF(COUNTIF(W$2:W1679, $A1617) &gt; 0,TRUE,IFERROR(0/0,""))</f>
        <v/>
      </c>
      <c r="T1617" s="165" t="str">
        <f t="shared" si="3233"/>
        <v/>
      </c>
      <c r="U1617" s="147" t="str">
        <f t="array" ref="U1617">IF(ISBLANK($R1617), IF($S1617,VLOOKUP($B1617+1,'RFR Data - preExcl'!$BF$2:$BG1679,2,FALSE),IF($T1617,INDEX('RFR Data - preExcl'!$BF$2:$BG1679,MATCH($B1617,'RFR Data - preExcl'!$BF$2:$BF1679,0)+1,2),VLOOKUP($B1617,'RFR Data - preExcl'!$BF$2:$BG1679,2,FALSE))),IFERROR(0/0,""))</f>
        <v/>
      </c>
      <c r="V1617" s="212" t="str">
        <f t="shared" si="5"/>
        <v>RUN-COMB_2022-08-08_RFR-092</v>
      </c>
      <c r="W1617" s="51"/>
      <c r="X1617" s="51"/>
      <c r="Y1617" s="147" t="str">
        <f t="shared" ref="Y1617:Z1617" si="3234">IF(_xlfn.ISFORMULA(S1617),IFERROR(0/0,""),TRUE)</f>
        <v/>
      </c>
      <c r="Z1617" s="147" t="str">
        <f t="shared" si="3234"/>
        <v/>
      </c>
    </row>
    <row r="1618">
      <c r="A1618" s="6" t="str">
        <f>IFERROR(__xludf.DUMMYFUNCTION("""COMPUTED_VALUE"""),"FM3006")</f>
        <v>FM3006</v>
      </c>
      <c r="B1618" s="206">
        <f>IFERROR(__xludf.DUMMYFUNCTION("""COMPUTED_VALUE"""),44781.0)</f>
        <v>44781</v>
      </c>
      <c r="C1618" s="207">
        <f>IFERROR(__xludf.DUMMYFUNCTION("""COMPUTED_VALUE"""),0.750462962962963)</f>
        <v>0.750462963</v>
      </c>
      <c r="D1618" s="50"/>
      <c r="E1618" s="58"/>
      <c r="F1618" s="58"/>
      <c r="G1618" s="58" t="str">
        <f>IFERROR(__xludf.DUMMYFUNCTION("""COMPUTED_VALUE"""),"Null")</f>
        <v>Null</v>
      </c>
      <c r="H1618" s="206" t="str">
        <f>IFERROR(__xludf.DUMMYFUNCTION("""COMPUTED_VALUE"""),"Negative")</f>
        <v>Negative</v>
      </c>
      <c r="I1618" s="207"/>
      <c r="J1618" s="50"/>
      <c r="K1618" s="50">
        <f>IFERROR(__xludf.DUMMYFUNCTION("""COMPUTED_VALUE"""),2.0)</f>
        <v>2</v>
      </c>
      <c r="L1618" s="6"/>
      <c r="M1618" s="55"/>
      <c r="N1618" s="55">
        <f>IFERROR(__xludf.DUMMYFUNCTION("""COMPUTED_VALUE"""),1.0)</f>
        <v>1</v>
      </c>
      <c r="O1618" s="55" t="str">
        <f t="shared" si="3"/>
        <v/>
      </c>
      <c r="P1618" s="209"/>
      <c r="Q1618" s="75" t="b">
        <f>VLOOKUP($B1618,'Run Reconcile'!B$2:P1679,15,FALSE)</f>
        <v>1</v>
      </c>
      <c r="R1618" s="211" t="str">
        <f t="array" ref="R1618">IF($Q1618, INDEX('Run Reconcile'!A$2:A1679,MATCH(B1618,'Run Reconcile'!B$2:B1679,0),1),IFERROR(0/0,""))</f>
        <v>RUN-COMB_2022-08-08_RFR-092</v>
      </c>
      <c r="S1618" s="165" t="str">
        <f t="shared" ref="S1618:T1618" si="3235">IF(COUNTIF(W$2:W1679, $A1618) &gt; 0,TRUE,IFERROR(0/0,""))</f>
        <v/>
      </c>
      <c r="T1618" s="165" t="str">
        <f t="shared" si="3235"/>
        <v/>
      </c>
      <c r="U1618" s="147" t="str">
        <f t="array" ref="U1618">IF(ISBLANK($R1618), IF($S1618,VLOOKUP($B1618+1,'RFR Data - preExcl'!$BF$2:$BG1679,2,FALSE),IF($T1618,INDEX('RFR Data - preExcl'!$BF$2:$BG1679,MATCH($B1618,'RFR Data - preExcl'!$BF$2:$BF1679,0)+1,2),VLOOKUP($B1618,'RFR Data - preExcl'!$BF$2:$BG1679,2,FALSE))),IFERROR(0/0,""))</f>
        <v/>
      </c>
      <c r="V1618" s="212" t="str">
        <f t="shared" si="5"/>
        <v>RUN-COMB_2022-08-08_RFR-092</v>
      </c>
      <c r="W1618" s="51"/>
      <c r="X1618" s="51"/>
      <c r="Y1618" s="147" t="str">
        <f t="shared" ref="Y1618:Z1618" si="3236">IF(_xlfn.ISFORMULA(S1618),IFERROR(0/0,""),TRUE)</f>
        <v/>
      </c>
      <c r="Z1618" s="147" t="str">
        <f t="shared" si="3236"/>
        <v/>
      </c>
    </row>
    <row r="1619">
      <c r="A1619" s="6" t="str">
        <f>IFERROR(__xludf.DUMMYFUNCTION("""COMPUTED_VALUE"""),"FM3053")</f>
        <v>FM3053</v>
      </c>
      <c r="B1619" s="206">
        <f>IFERROR(__xludf.DUMMYFUNCTION("""COMPUTED_VALUE"""),44781.0)</f>
        <v>44781</v>
      </c>
      <c r="C1619" s="207">
        <f>IFERROR(__xludf.DUMMYFUNCTION("""COMPUTED_VALUE"""),0.7507986111111111)</f>
        <v>0.7507986111</v>
      </c>
      <c r="D1619" s="50"/>
      <c r="E1619" s="58"/>
      <c r="F1619" s="58"/>
      <c r="G1619" s="58" t="str">
        <f>IFERROR(__xludf.DUMMYFUNCTION("""COMPUTED_VALUE"""),"Null")</f>
        <v>Null</v>
      </c>
      <c r="H1619" s="206" t="str">
        <f>IFERROR(__xludf.DUMMYFUNCTION("""COMPUTED_VALUE"""),"Negative")</f>
        <v>Negative</v>
      </c>
      <c r="I1619" s="207"/>
      <c r="J1619" s="50"/>
      <c r="K1619" s="50">
        <f>IFERROR(__xludf.DUMMYFUNCTION("""COMPUTED_VALUE"""),2.0)</f>
        <v>2</v>
      </c>
      <c r="L1619" s="6"/>
      <c r="M1619" s="55"/>
      <c r="N1619" s="55">
        <f>IFERROR(__xludf.DUMMYFUNCTION("""COMPUTED_VALUE"""),1.0)</f>
        <v>1</v>
      </c>
      <c r="O1619" s="55" t="str">
        <f t="shared" si="3"/>
        <v/>
      </c>
      <c r="P1619" s="209"/>
      <c r="Q1619" s="75" t="b">
        <f>VLOOKUP($B1619,'Run Reconcile'!B$2:P1679,15,FALSE)</f>
        <v>1</v>
      </c>
      <c r="R1619" s="211" t="str">
        <f t="array" ref="R1619">IF($Q1619, INDEX('Run Reconcile'!A$2:A1679,MATCH(B1619,'Run Reconcile'!B$2:B1679,0),1),IFERROR(0/0,""))</f>
        <v>RUN-COMB_2022-08-08_RFR-092</v>
      </c>
      <c r="S1619" s="165" t="str">
        <f t="shared" ref="S1619:T1619" si="3237">IF(COUNTIF(W$2:W1679, $A1619) &gt; 0,TRUE,IFERROR(0/0,""))</f>
        <v/>
      </c>
      <c r="T1619" s="165" t="str">
        <f t="shared" si="3237"/>
        <v/>
      </c>
      <c r="U1619" s="147" t="str">
        <f t="array" ref="U1619">IF(ISBLANK($R1619), IF($S1619,VLOOKUP($B1619+1,'RFR Data - preExcl'!$BF$2:$BG1679,2,FALSE),IF($T1619,INDEX('RFR Data - preExcl'!$BF$2:$BG1679,MATCH($B1619,'RFR Data - preExcl'!$BF$2:$BF1679,0)+1,2),VLOOKUP($B1619,'RFR Data - preExcl'!$BF$2:$BG1679,2,FALSE))),IFERROR(0/0,""))</f>
        <v/>
      </c>
      <c r="V1619" s="212" t="str">
        <f t="shared" si="5"/>
        <v>RUN-COMB_2022-08-08_RFR-092</v>
      </c>
      <c r="W1619" s="51"/>
      <c r="X1619" s="51"/>
      <c r="Y1619" s="147" t="str">
        <f t="shared" ref="Y1619:Z1619" si="3238">IF(_xlfn.ISFORMULA(S1619),IFERROR(0/0,""),TRUE)</f>
        <v/>
      </c>
      <c r="Z1619" s="147" t="str">
        <f t="shared" si="3238"/>
        <v/>
      </c>
    </row>
    <row r="1620">
      <c r="A1620" s="6" t="str">
        <f>IFERROR(__xludf.DUMMYFUNCTION("""COMPUTED_VALUE"""),"FM3005")</f>
        <v>FM3005</v>
      </c>
      <c r="B1620" s="206">
        <f>IFERROR(__xludf.DUMMYFUNCTION("""COMPUTED_VALUE"""),44781.0)</f>
        <v>44781</v>
      </c>
      <c r="C1620" s="207">
        <f>IFERROR(__xludf.DUMMYFUNCTION("""COMPUTED_VALUE"""),0.7527893518518518)</f>
        <v>0.7527893519</v>
      </c>
      <c r="D1620" s="50"/>
      <c r="E1620" s="58"/>
      <c r="F1620" s="58"/>
      <c r="G1620" s="58" t="str">
        <f>IFERROR(__xludf.DUMMYFUNCTION("""COMPUTED_VALUE"""),"Null")</f>
        <v>Null</v>
      </c>
      <c r="H1620" s="206" t="str">
        <f>IFERROR(__xludf.DUMMYFUNCTION("""COMPUTED_VALUE"""),"Negative")</f>
        <v>Negative</v>
      </c>
      <c r="I1620" s="207"/>
      <c r="J1620" s="50"/>
      <c r="K1620" s="50">
        <f>IFERROR(__xludf.DUMMYFUNCTION("""COMPUTED_VALUE"""),2.0)</f>
        <v>2</v>
      </c>
      <c r="L1620" s="6"/>
      <c r="M1620" s="55"/>
      <c r="N1620" s="55">
        <f>IFERROR(__xludf.DUMMYFUNCTION("""COMPUTED_VALUE"""),1.0)</f>
        <v>1</v>
      </c>
      <c r="O1620" s="55" t="str">
        <f t="shared" si="3"/>
        <v/>
      </c>
      <c r="P1620" s="209"/>
      <c r="Q1620" s="75" t="b">
        <f>VLOOKUP($B1620,'Run Reconcile'!B$2:P1679,15,FALSE)</f>
        <v>1</v>
      </c>
      <c r="R1620" s="211" t="str">
        <f t="array" ref="R1620">IF($Q1620, INDEX('Run Reconcile'!A$2:A1679,MATCH(B1620,'Run Reconcile'!B$2:B1679,0),1),IFERROR(0/0,""))</f>
        <v>RUN-COMB_2022-08-08_RFR-092</v>
      </c>
      <c r="S1620" s="165" t="str">
        <f t="shared" ref="S1620:T1620" si="3239">IF(COUNTIF(W$2:W1679, $A1620) &gt; 0,TRUE,IFERROR(0/0,""))</f>
        <v/>
      </c>
      <c r="T1620" s="165" t="str">
        <f t="shared" si="3239"/>
        <v/>
      </c>
      <c r="U1620" s="147" t="str">
        <f t="array" ref="U1620">IF(ISBLANK($R1620), IF($S1620,VLOOKUP($B1620+1,'RFR Data - preExcl'!$BF$2:$BG1679,2,FALSE),IF($T1620,INDEX('RFR Data - preExcl'!$BF$2:$BG1679,MATCH($B1620,'RFR Data - preExcl'!$BF$2:$BF1679,0)+1,2),VLOOKUP($B1620,'RFR Data - preExcl'!$BF$2:$BG1679,2,FALSE))),IFERROR(0/0,""))</f>
        <v/>
      </c>
      <c r="V1620" s="212" t="str">
        <f t="shared" si="5"/>
        <v>RUN-COMB_2022-08-08_RFR-092</v>
      </c>
      <c r="W1620" s="51"/>
      <c r="X1620" s="51"/>
      <c r="Y1620" s="147" t="str">
        <f t="shared" ref="Y1620:Z1620" si="3240">IF(_xlfn.ISFORMULA(S1620),IFERROR(0/0,""),TRUE)</f>
        <v/>
      </c>
      <c r="Z1620" s="147" t="str">
        <f t="shared" si="3240"/>
        <v/>
      </c>
    </row>
    <row r="1621">
      <c r="A1621" s="6" t="str">
        <f>IFERROR(__xludf.DUMMYFUNCTION("""COMPUTED_VALUE"""),"FM3026")</f>
        <v>FM3026</v>
      </c>
      <c r="B1621" s="206">
        <f>IFERROR(__xludf.DUMMYFUNCTION("""COMPUTED_VALUE"""),44781.0)</f>
        <v>44781</v>
      </c>
      <c r="C1621" s="207">
        <f>IFERROR(__xludf.DUMMYFUNCTION("""COMPUTED_VALUE"""),0.7531018518518519)</f>
        <v>0.7531018519</v>
      </c>
      <c r="D1621" s="50"/>
      <c r="E1621" s="58"/>
      <c r="F1621" s="58"/>
      <c r="G1621" s="58" t="str">
        <f>IFERROR(__xludf.DUMMYFUNCTION("""COMPUTED_VALUE"""),"Null")</f>
        <v>Null</v>
      </c>
      <c r="H1621" s="206" t="str">
        <f>IFERROR(__xludf.DUMMYFUNCTION("""COMPUTED_VALUE"""),"Negative")</f>
        <v>Negative</v>
      </c>
      <c r="I1621" s="207"/>
      <c r="J1621" s="50"/>
      <c r="K1621" s="50">
        <f>IFERROR(__xludf.DUMMYFUNCTION("""COMPUTED_VALUE"""),2.0)</f>
        <v>2</v>
      </c>
      <c r="L1621" s="6"/>
      <c r="M1621" s="55"/>
      <c r="N1621" s="55">
        <f>IFERROR(__xludf.DUMMYFUNCTION("""COMPUTED_VALUE"""),1.0)</f>
        <v>1</v>
      </c>
      <c r="O1621" s="55" t="str">
        <f t="shared" si="3"/>
        <v/>
      </c>
      <c r="P1621" s="209"/>
      <c r="Q1621" s="75" t="b">
        <f>VLOOKUP($B1621,'Run Reconcile'!B$2:P1679,15,FALSE)</f>
        <v>1</v>
      </c>
      <c r="R1621" s="211" t="str">
        <f t="array" ref="R1621">IF($Q1621, INDEX('Run Reconcile'!A$2:A1679,MATCH(B1621,'Run Reconcile'!B$2:B1679,0),1),IFERROR(0/0,""))</f>
        <v>RUN-COMB_2022-08-08_RFR-092</v>
      </c>
      <c r="S1621" s="165" t="str">
        <f t="shared" ref="S1621:T1621" si="3241">IF(COUNTIF(W$2:W1679, $A1621) &gt; 0,TRUE,IFERROR(0/0,""))</f>
        <v/>
      </c>
      <c r="T1621" s="165" t="str">
        <f t="shared" si="3241"/>
        <v/>
      </c>
      <c r="U1621" s="147" t="str">
        <f t="array" ref="U1621">IF(ISBLANK($R1621), IF($S1621,VLOOKUP($B1621+1,'RFR Data - preExcl'!$BF$2:$BG1679,2,FALSE),IF($T1621,INDEX('RFR Data - preExcl'!$BF$2:$BG1679,MATCH($B1621,'RFR Data - preExcl'!$BF$2:$BF1679,0)+1,2),VLOOKUP($B1621,'RFR Data - preExcl'!$BF$2:$BG1679,2,FALSE))),IFERROR(0/0,""))</f>
        <v/>
      </c>
      <c r="V1621" s="212" t="str">
        <f t="shared" si="5"/>
        <v>RUN-COMB_2022-08-08_RFR-092</v>
      </c>
      <c r="W1621" s="51"/>
      <c r="X1621" s="51"/>
      <c r="Y1621" s="147" t="str">
        <f t="shared" ref="Y1621:Z1621" si="3242">IF(_xlfn.ISFORMULA(S1621),IFERROR(0/0,""),TRUE)</f>
        <v/>
      </c>
      <c r="Z1621" s="147" t="str">
        <f t="shared" si="3242"/>
        <v/>
      </c>
    </row>
    <row r="1622">
      <c r="A1622" s="6" t="str">
        <f>IFERROR(__xludf.DUMMYFUNCTION("""COMPUTED_VALUE"""),"FM3007")</f>
        <v>FM3007</v>
      </c>
      <c r="B1622" s="206">
        <f>IFERROR(__xludf.DUMMYFUNCTION("""COMPUTED_VALUE"""),44781.0)</f>
        <v>44781</v>
      </c>
      <c r="C1622" s="207">
        <f>IFERROR(__xludf.DUMMYFUNCTION("""COMPUTED_VALUE"""),0.753449074074074)</f>
        <v>0.7534490741</v>
      </c>
      <c r="D1622" s="50"/>
      <c r="E1622" s="58"/>
      <c r="F1622" s="58"/>
      <c r="G1622" s="58" t="str">
        <f>IFERROR(__xludf.DUMMYFUNCTION("""COMPUTED_VALUE"""),"Null")</f>
        <v>Null</v>
      </c>
      <c r="H1622" s="206" t="str">
        <f>IFERROR(__xludf.DUMMYFUNCTION("""COMPUTED_VALUE"""),"Negative")</f>
        <v>Negative</v>
      </c>
      <c r="I1622" s="207"/>
      <c r="J1622" s="50"/>
      <c r="K1622" s="50">
        <f>IFERROR(__xludf.DUMMYFUNCTION("""COMPUTED_VALUE"""),2.0)</f>
        <v>2</v>
      </c>
      <c r="L1622" s="6"/>
      <c r="M1622" s="55"/>
      <c r="N1622" s="55">
        <f>IFERROR(__xludf.DUMMYFUNCTION("""COMPUTED_VALUE"""),1.0)</f>
        <v>1</v>
      </c>
      <c r="O1622" s="55" t="str">
        <f t="shared" si="3"/>
        <v/>
      </c>
      <c r="P1622" s="209"/>
      <c r="Q1622" s="75" t="b">
        <f>VLOOKUP($B1622,'Run Reconcile'!B$2:P1679,15,FALSE)</f>
        <v>1</v>
      </c>
      <c r="R1622" s="211" t="str">
        <f t="array" ref="R1622">IF($Q1622, INDEX('Run Reconcile'!A$2:A1679,MATCH(B1622,'Run Reconcile'!B$2:B1679,0),1),IFERROR(0/0,""))</f>
        <v>RUN-COMB_2022-08-08_RFR-092</v>
      </c>
      <c r="S1622" s="165" t="str">
        <f t="shared" ref="S1622:T1622" si="3243">IF(COUNTIF(W$2:W1679, $A1622) &gt; 0,TRUE,IFERROR(0/0,""))</f>
        <v/>
      </c>
      <c r="T1622" s="165" t="str">
        <f t="shared" si="3243"/>
        <v/>
      </c>
      <c r="U1622" s="147" t="str">
        <f t="array" ref="U1622">IF(ISBLANK($R1622), IF($S1622,VLOOKUP($B1622+1,'RFR Data - preExcl'!$BF$2:$BG1679,2,FALSE),IF($T1622,INDEX('RFR Data - preExcl'!$BF$2:$BG1679,MATCH($B1622,'RFR Data - preExcl'!$BF$2:$BF1679,0)+1,2),VLOOKUP($B1622,'RFR Data - preExcl'!$BF$2:$BG1679,2,FALSE))),IFERROR(0/0,""))</f>
        <v/>
      </c>
      <c r="V1622" s="212" t="str">
        <f t="shared" si="5"/>
        <v>RUN-COMB_2022-08-08_RFR-092</v>
      </c>
      <c r="W1622" s="51"/>
      <c r="X1622" s="51"/>
      <c r="Y1622" s="147" t="str">
        <f t="shared" ref="Y1622:Z1622" si="3244">IF(_xlfn.ISFORMULA(S1622),IFERROR(0/0,""),TRUE)</f>
        <v/>
      </c>
      <c r="Z1622" s="147" t="str">
        <f t="shared" si="3244"/>
        <v/>
      </c>
    </row>
    <row r="1623">
      <c r="A1623" s="6" t="str">
        <f>IFERROR(__xludf.DUMMYFUNCTION("""COMPUTED_VALUE"""),"FM3044")</f>
        <v>FM3044</v>
      </c>
      <c r="B1623" s="206">
        <f>IFERROR(__xludf.DUMMYFUNCTION("""COMPUTED_VALUE"""),44781.0)</f>
        <v>44781</v>
      </c>
      <c r="C1623" s="207">
        <f>IFERROR(__xludf.DUMMYFUNCTION("""COMPUTED_VALUE"""),0.7537615740740741)</f>
        <v>0.7537615741</v>
      </c>
      <c r="D1623" s="50"/>
      <c r="E1623" s="58"/>
      <c r="F1623" s="58"/>
      <c r="G1623" s="58" t="str">
        <f>IFERROR(__xludf.DUMMYFUNCTION("""COMPUTED_VALUE"""),"Null")</f>
        <v>Null</v>
      </c>
      <c r="H1623" s="206" t="str">
        <f>IFERROR(__xludf.DUMMYFUNCTION("""COMPUTED_VALUE"""),"Negative")</f>
        <v>Negative</v>
      </c>
      <c r="I1623" s="207"/>
      <c r="J1623" s="50"/>
      <c r="K1623" s="50">
        <f>IFERROR(__xludf.DUMMYFUNCTION("""COMPUTED_VALUE"""),2.0)</f>
        <v>2</v>
      </c>
      <c r="L1623" s="6"/>
      <c r="M1623" s="55"/>
      <c r="N1623" s="55">
        <f>IFERROR(__xludf.DUMMYFUNCTION("""COMPUTED_VALUE"""),1.0)</f>
        <v>1</v>
      </c>
      <c r="O1623" s="55" t="str">
        <f t="shared" si="3"/>
        <v/>
      </c>
      <c r="P1623" s="209"/>
      <c r="Q1623" s="75" t="b">
        <f>VLOOKUP($B1623,'Run Reconcile'!B$2:P1679,15,FALSE)</f>
        <v>1</v>
      </c>
      <c r="R1623" s="211" t="str">
        <f t="array" ref="R1623">IF($Q1623, INDEX('Run Reconcile'!A$2:A1679,MATCH(B1623,'Run Reconcile'!B$2:B1679,0),1),IFERROR(0/0,""))</f>
        <v>RUN-COMB_2022-08-08_RFR-092</v>
      </c>
      <c r="S1623" s="165" t="str">
        <f t="shared" ref="S1623:T1623" si="3245">IF(COUNTIF(W$2:W1679, $A1623) &gt; 0,TRUE,IFERROR(0/0,""))</f>
        <v/>
      </c>
      <c r="T1623" s="165" t="str">
        <f t="shared" si="3245"/>
        <v/>
      </c>
      <c r="U1623" s="147" t="str">
        <f t="array" ref="U1623">IF(ISBLANK($R1623), IF($S1623,VLOOKUP($B1623+1,'RFR Data - preExcl'!$BF$2:$BG1679,2,FALSE),IF($T1623,INDEX('RFR Data - preExcl'!$BF$2:$BG1679,MATCH($B1623,'RFR Data - preExcl'!$BF$2:$BF1679,0)+1,2),VLOOKUP($B1623,'RFR Data - preExcl'!$BF$2:$BG1679,2,FALSE))),IFERROR(0/0,""))</f>
        <v/>
      </c>
      <c r="V1623" s="212" t="str">
        <f t="shared" si="5"/>
        <v>RUN-COMB_2022-08-08_RFR-092</v>
      </c>
      <c r="W1623" s="51"/>
      <c r="X1623" s="51"/>
      <c r="Y1623" s="147" t="str">
        <f t="shared" ref="Y1623:Z1623" si="3246">IF(_xlfn.ISFORMULA(S1623),IFERROR(0/0,""),TRUE)</f>
        <v/>
      </c>
      <c r="Z1623" s="147" t="str">
        <f t="shared" si="3246"/>
        <v/>
      </c>
    </row>
    <row r="1624">
      <c r="A1624" s="6" t="str">
        <f>IFERROR(__xludf.DUMMYFUNCTION("""COMPUTED_VALUE"""),"FM3060")</f>
        <v>FM3060</v>
      </c>
      <c r="B1624" s="206">
        <f>IFERROR(__xludf.DUMMYFUNCTION("""COMPUTED_VALUE"""),44781.0)</f>
        <v>44781</v>
      </c>
      <c r="C1624" s="207">
        <f>IFERROR(__xludf.DUMMYFUNCTION("""COMPUTED_VALUE"""),0.7541087962962963)</f>
        <v>0.7541087963</v>
      </c>
      <c r="D1624" s="50"/>
      <c r="E1624" s="58"/>
      <c r="F1624" s="58"/>
      <c r="G1624" s="58" t="str">
        <f>IFERROR(__xludf.DUMMYFUNCTION("""COMPUTED_VALUE"""),"Null")</f>
        <v>Null</v>
      </c>
      <c r="H1624" s="206" t="str">
        <f>IFERROR(__xludf.DUMMYFUNCTION("""COMPUTED_VALUE"""),"Negative")</f>
        <v>Negative</v>
      </c>
      <c r="I1624" s="207"/>
      <c r="J1624" s="50"/>
      <c r="K1624" s="50">
        <f>IFERROR(__xludf.DUMMYFUNCTION("""COMPUTED_VALUE"""),2.0)</f>
        <v>2</v>
      </c>
      <c r="L1624" s="6"/>
      <c r="M1624" s="55"/>
      <c r="N1624" s="55">
        <f>IFERROR(__xludf.DUMMYFUNCTION("""COMPUTED_VALUE"""),1.0)</f>
        <v>1</v>
      </c>
      <c r="O1624" s="55" t="str">
        <f t="shared" si="3"/>
        <v/>
      </c>
      <c r="P1624" s="209"/>
      <c r="Q1624" s="75" t="b">
        <f>VLOOKUP($B1624,'Run Reconcile'!B$2:P1679,15,FALSE)</f>
        <v>1</v>
      </c>
      <c r="R1624" s="211" t="str">
        <f t="array" ref="R1624">IF($Q1624, INDEX('Run Reconcile'!A$2:A1679,MATCH(B1624,'Run Reconcile'!B$2:B1679,0),1),IFERROR(0/0,""))</f>
        <v>RUN-COMB_2022-08-08_RFR-092</v>
      </c>
      <c r="S1624" s="165" t="str">
        <f t="shared" ref="S1624:T1624" si="3247">IF(COUNTIF(W$2:W1679, $A1624) &gt; 0,TRUE,IFERROR(0/0,""))</f>
        <v/>
      </c>
      <c r="T1624" s="165" t="str">
        <f t="shared" si="3247"/>
        <v/>
      </c>
      <c r="U1624" s="147" t="str">
        <f t="array" ref="U1624">IF(ISBLANK($R1624), IF($S1624,VLOOKUP($B1624+1,'RFR Data - preExcl'!$BF$2:$BG1679,2,FALSE),IF($T1624,INDEX('RFR Data - preExcl'!$BF$2:$BG1679,MATCH($B1624,'RFR Data - preExcl'!$BF$2:$BF1679,0)+1,2),VLOOKUP($B1624,'RFR Data - preExcl'!$BF$2:$BG1679,2,FALSE))),IFERROR(0/0,""))</f>
        <v/>
      </c>
      <c r="V1624" s="212" t="str">
        <f t="shared" si="5"/>
        <v>RUN-COMB_2022-08-08_RFR-092</v>
      </c>
      <c r="W1624" s="51"/>
      <c r="X1624" s="51"/>
      <c r="Y1624" s="147" t="str">
        <f t="shared" ref="Y1624:Z1624" si="3248">IF(_xlfn.ISFORMULA(S1624),IFERROR(0/0,""),TRUE)</f>
        <v/>
      </c>
      <c r="Z1624" s="147" t="str">
        <f t="shared" si="3248"/>
        <v/>
      </c>
    </row>
    <row r="1625">
      <c r="A1625" s="6" t="str">
        <f>IFERROR(__xludf.DUMMYFUNCTION("""COMPUTED_VALUE"""),"FM3097")</f>
        <v>FM3097</v>
      </c>
      <c r="B1625" s="206">
        <f>IFERROR(__xludf.DUMMYFUNCTION("""COMPUTED_VALUE"""),44781.0)</f>
        <v>44781</v>
      </c>
      <c r="C1625" s="207">
        <f>IFERROR(__xludf.DUMMYFUNCTION("""COMPUTED_VALUE"""),0.7545601851851852)</f>
        <v>0.7545601852</v>
      </c>
      <c r="D1625" s="50"/>
      <c r="E1625" s="58"/>
      <c r="F1625" s="58"/>
      <c r="G1625" s="58" t="str">
        <f>IFERROR(__xludf.DUMMYFUNCTION("""COMPUTED_VALUE"""),"Null")</f>
        <v>Null</v>
      </c>
      <c r="H1625" s="206" t="str">
        <f>IFERROR(__xludf.DUMMYFUNCTION("""COMPUTED_VALUE"""),"Negative")</f>
        <v>Negative</v>
      </c>
      <c r="I1625" s="207"/>
      <c r="J1625" s="50"/>
      <c r="K1625" s="50">
        <f>IFERROR(__xludf.DUMMYFUNCTION("""COMPUTED_VALUE"""),2.0)</f>
        <v>2</v>
      </c>
      <c r="L1625" s="6"/>
      <c r="M1625" s="55"/>
      <c r="N1625" s="55">
        <f>IFERROR(__xludf.DUMMYFUNCTION("""COMPUTED_VALUE"""),1.0)</f>
        <v>1</v>
      </c>
      <c r="O1625" s="55" t="str">
        <f t="shared" si="3"/>
        <v/>
      </c>
      <c r="P1625" s="209"/>
      <c r="Q1625" s="75" t="b">
        <f>VLOOKUP($B1625,'Run Reconcile'!B$2:P1679,15,FALSE)</f>
        <v>1</v>
      </c>
      <c r="R1625" s="211" t="str">
        <f t="array" ref="R1625">IF($Q1625, INDEX('Run Reconcile'!A$2:A1679,MATCH(B1625,'Run Reconcile'!B$2:B1679,0),1),IFERROR(0/0,""))</f>
        <v>RUN-COMB_2022-08-08_RFR-092</v>
      </c>
      <c r="S1625" s="165" t="str">
        <f t="shared" ref="S1625:T1625" si="3249">IF(COUNTIF(W$2:W1679, $A1625) &gt; 0,TRUE,IFERROR(0/0,""))</f>
        <v/>
      </c>
      <c r="T1625" s="165" t="str">
        <f t="shared" si="3249"/>
        <v/>
      </c>
      <c r="U1625" s="147" t="str">
        <f t="array" ref="U1625">IF(ISBLANK($R1625), IF($S1625,VLOOKUP($B1625+1,'RFR Data - preExcl'!$BF$2:$BG1679,2,FALSE),IF($T1625,INDEX('RFR Data - preExcl'!$BF$2:$BG1679,MATCH($B1625,'RFR Data - preExcl'!$BF$2:$BF1679,0)+1,2),VLOOKUP($B1625,'RFR Data - preExcl'!$BF$2:$BG1679,2,FALSE))),IFERROR(0/0,""))</f>
        <v/>
      </c>
      <c r="V1625" s="212" t="str">
        <f t="shared" si="5"/>
        <v>RUN-COMB_2022-08-08_RFR-092</v>
      </c>
      <c r="W1625" s="51"/>
      <c r="X1625" s="51"/>
      <c r="Y1625" s="147" t="str">
        <f t="shared" ref="Y1625:Z1625" si="3250">IF(_xlfn.ISFORMULA(S1625),IFERROR(0/0,""),TRUE)</f>
        <v/>
      </c>
      <c r="Z1625" s="147" t="str">
        <f t="shared" si="3250"/>
        <v/>
      </c>
    </row>
    <row r="1626">
      <c r="A1626" s="6" t="str">
        <f>IFERROR(__xludf.DUMMYFUNCTION("""COMPUTED_VALUE"""),"FM3048")</f>
        <v>FM3048</v>
      </c>
      <c r="B1626" s="206">
        <f>IFERROR(__xludf.DUMMYFUNCTION("""COMPUTED_VALUE"""),44781.0)</f>
        <v>44781</v>
      </c>
      <c r="C1626" s="207">
        <f>IFERROR(__xludf.DUMMYFUNCTION("""COMPUTED_VALUE"""),0.7559490740740741)</f>
        <v>0.7559490741</v>
      </c>
      <c r="D1626" s="50"/>
      <c r="E1626" s="58"/>
      <c r="F1626" s="58"/>
      <c r="G1626" s="58" t="str">
        <f>IFERROR(__xludf.DUMMYFUNCTION("""COMPUTED_VALUE"""),"Null")</f>
        <v>Null</v>
      </c>
      <c r="H1626" s="206" t="str">
        <f>IFERROR(__xludf.DUMMYFUNCTION("""COMPUTED_VALUE"""),"Negative")</f>
        <v>Negative</v>
      </c>
      <c r="I1626" s="207"/>
      <c r="J1626" s="50"/>
      <c r="K1626" s="50">
        <f>IFERROR(__xludf.DUMMYFUNCTION("""COMPUTED_VALUE"""),2.0)</f>
        <v>2</v>
      </c>
      <c r="L1626" s="6"/>
      <c r="M1626" s="55"/>
      <c r="N1626" s="55">
        <f>IFERROR(__xludf.DUMMYFUNCTION("""COMPUTED_VALUE"""),1.0)</f>
        <v>1</v>
      </c>
      <c r="O1626" s="55" t="str">
        <f t="shared" si="3"/>
        <v/>
      </c>
      <c r="P1626" s="209"/>
      <c r="Q1626" s="75" t="b">
        <f>VLOOKUP($B1626,'Run Reconcile'!B$2:P1679,15,FALSE)</f>
        <v>1</v>
      </c>
      <c r="R1626" s="211" t="str">
        <f t="array" ref="R1626">IF($Q1626, INDEX('Run Reconcile'!A$2:A1679,MATCH(B1626,'Run Reconcile'!B$2:B1679,0),1),IFERROR(0/0,""))</f>
        <v>RUN-COMB_2022-08-08_RFR-092</v>
      </c>
      <c r="S1626" s="165" t="str">
        <f t="shared" ref="S1626:T1626" si="3251">IF(COUNTIF(W$2:W1679, $A1626) &gt; 0,TRUE,IFERROR(0/0,""))</f>
        <v/>
      </c>
      <c r="T1626" s="165" t="str">
        <f t="shared" si="3251"/>
        <v/>
      </c>
      <c r="U1626" s="147" t="str">
        <f t="array" ref="U1626">IF(ISBLANK($R1626), IF($S1626,VLOOKUP($B1626+1,'RFR Data - preExcl'!$BF$2:$BG1679,2,FALSE),IF($T1626,INDEX('RFR Data - preExcl'!$BF$2:$BG1679,MATCH($B1626,'RFR Data - preExcl'!$BF$2:$BF1679,0)+1,2),VLOOKUP($B1626,'RFR Data - preExcl'!$BF$2:$BG1679,2,FALSE))),IFERROR(0/0,""))</f>
        <v/>
      </c>
      <c r="V1626" s="212" t="str">
        <f t="shared" si="5"/>
        <v>RUN-COMB_2022-08-08_RFR-092</v>
      </c>
      <c r="W1626" s="51"/>
      <c r="X1626" s="51"/>
      <c r="Y1626" s="147" t="str">
        <f t="shared" ref="Y1626:Z1626" si="3252">IF(_xlfn.ISFORMULA(S1626),IFERROR(0/0,""),TRUE)</f>
        <v/>
      </c>
      <c r="Z1626" s="147" t="str">
        <f t="shared" si="3252"/>
        <v/>
      </c>
    </row>
    <row r="1627">
      <c r="A1627" s="6" t="str">
        <f>IFERROR(__xludf.DUMMYFUNCTION("""COMPUTED_VALUE"""),"FM3099")</f>
        <v>FM3099</v>
      </c>
      <c r="B1627" s="206">
        <f>IFERROR(__xludf.DUMMYFUNCTION("""COMPUTED_VALUE"""),44781.0)</f>
        <v>44781</v>
      </c>
      <c r="C1627" s="207">
        <f>IFERROR(__xludf.DUMMYFUNCTION("""COMPUTED_VALUE"""),0.75625)</f>
        <v>0.75625</v>
      </c>
      <c r="D1627" s="50"/>
      <c r="E1627" s="58"/>
      <c r="F1627" s="58"/>
      <c r="G1627" s="58" t="str">
        <f>IFERROR(__xludf.DUMMYFUNCTION("""COMPUTED_VALUE"""),"Null")</f>
        <v>Null</v>
      </c>
      <c r="H1627" s="206" t="str">
        <f>IFERROR(__xludf.DUMMYFUNCTION("""COMPUTED_VALUE"""),"Negative")</f>
        <v>Negative</v>
      </c>
      <c r="I1627" s="207"/>
      <c r="J1627" s="50"/>
      <c r="K1627" s="50">
        <f>IFERROR(__xludf.DUMMYFUNCTION("""COMPUTED_VALUE"""),2.0)</f>
        <v>2</v>
      </c>
      <c r="L1627" s="6"/>
      <c r="M1627" s="55"/>
      <c r="N1627" s="55">
        <f>IFERROR(__xludf.DUMMYFUNCTION("""COMPUTED_VALUE"""),1.0)</f>
        <v>1</v>
      </c>
      <c r="O1627" s="55" t="str">
        <f t="shared" si="3"/>
        <v/>
      </c>
      <c r="P1627" s="209"/>
      <c r="Q1627" s="75" t="b">
        <f>VLOOKUP($B1627,'Run Reconcile'!B$2:P1679,15,FALSE)</f>
        <v>1</v>
      </c>
      <c r="R1627" s="211" t="str">
        <f t="array" ref="R1627">IF($Q1627, INDEX('Run Reconcile'!A$2:A1679,MATCH(B1627,'Run Reconcile'!B$2:B1679,0),1),IFERROR(0/0,""))</f>
        <v>RUN-COMB_2022-08-08_RFR-092</v>
      </c>
      <c r="S1627" s="165" t="str">
        <f t="shared" ref="S1627:T1627" si="3253">IF(COUNTIF(W$2:W1679, $A1627) &gt; 0,TRUE,IFERROR(0/0,""))</f>
        <v/>
      </c>
      <c r="T1627" s="165" t="str">
        <f t="shared" si="3253"/>
        <v/>
      </c>
      <c r="U1627" s="147" t="str">
        <f t="array" ref="U1627">IF(ISBLANK($R1627), IF($S1627,VLOOKUP($B1627+1,'RFR Data - preExcl'!$BF$2:$BG1679,2,FALSE),IF($T1627,INDEX('RFR Data - preExcl'!$BF$2:$BG1679,MATCH($B1627,'RFR Data - preExcl'!$BF$2:$BF1679,0)+1,2),VLOOKUP($B1627,'RFR Data - preExcl'!$BF$2:$BG1679,2,FALSE))),IFERROR(0/0,""))</f>
        <v/>
      </c>
      <c r="V1627" s="212" t="str">
        <f t="shared" si="5"/>
        <v>RUN-COMB_2022-08-08_RFR-092</v>
      </c>
      <c r="W1627" s="51"/>
      <c r="X1627" s="51"/>
      <c r="Y1627" s="147" t="str">
        <f t="shared" ref="Y1627:Z1627" si="3254">IF(_xlfn.ISFORMULA(S1627),IFERROR(0/0,""),TRUE)</f>
        <v/>
      </c>
      <c r="Z1627" s="147" t="str">
        <f t="shared" si="3254"/>
        <v/>
      </c>
    </row>
    <row r="1628">
      <c r="A1628" s="6" t="str">
        <f>IFERROR(__xludf.DUMMYFUNCTION("""COMPUTED_VALUE"""),"FM3084")</f>
        <v>FM3084</v>
      </c>
      <c r="B1628" s="206">
        <f>IFERROR(__xludf.DUMMYFUNCTION("""COMPUTED_VALUE"""),44781.0)</f>
        <v>44781</v>
      </c>
      <c r="C1628" s="207">
        <f>IFERROR(__xludf.DUMMYFUNCTION("""COMPUTED_VALUE"""),0.7565046296296296)</f>
        <v>0.7565046296</v>
      </c>
      <c r="D1628" s="50"/>
      <c r="E1628" s="58"/>
      <c r="F1628" s="58"/>
      <c r="G1628" s="58" t="str">
        <f>IFERROR(__xludf.DUMMYFUNCTION("""COMPUTED_VALUE"""),"Null")</f>
        <v>Null</v>
      </c>
      <c r="H1628" s="206" t="str">
        <f>IFERROR(__xludf.DUMMYFUNCTION("""COMPUTED_VALUE"""),"Negative")</f>
        <v>Negative</v>
      </c>
      <c r="I1628" s="207"/>
      <c r="J1628" s="50"/>
      <c r="K1628" s="50">
        <f>IFERROR(__xludf.DUMMYFUNCTION("""COMPUTED_VALUE"""),2.0)</f>
        <v>2</v>
      </c>
      <c r="L1628" s="6"/>
      <c r="M1628" s="55"/>
      <c r="N1628" s="55">
        <f>IFERROR(__xludf.DUMMYFUNCTION("""COMPUTED_VALUE"""),1.0)</f>
        <v>1</v>
      </c>
      <c r="O1628" s="55" t="str">
        <f t="shared" si="3"/>
        <v/>
      </c>
      <c r="P1628" s="209"/>
      <c r="Q1628" s="75" t="b">
        <f>VLOOKUP($B1628,'Run Reconcile'!B$2:P1679,15,FALSE)</f>
        <v>1</v>
      </c>
      <c r="R1628" s="211" t="str">
        <f t="array" ref="R1628">IF($Q1628, INDEX('Run Reconcile'!A$2:A1679,MATCH(B1628,'Run Reconcile'!B$2:B1679,0),1),IFERROR(0/0,""))</f>
        <v>RUN-COMB_2022-08-08_RFR-092</v>
      </c>
      <c r="S1628" s="165" t="str">
        <f t="shared" ref="S1628:T1628" si="3255">IF(COUNTIF(W$2:W1679, $A1628) &gt; 0,TRUE,IFERROR(0/0,""))</f>
        <v/>
      </c>
      <c r="T1628" s="165" t="str">
        <f t="shared" si="3255"/>
        <v/>
      </c>
      <c r="U1628" s="147" t="str">
        <f t="array" ref="U1628">IF(ISBLANK($R1628), IF($S1628,VLOOKUP($B1628+1,'RFR Data - preExcl'!$BF$2:$BG1679,2,FALSE),IF($T1628,INDEX('RFR Data - preExcl'!$BF$2:$BG1679,MATCH($B1628,'RFR Data - preExcl'!$BF$2:$BF1679,0)+1,2),VLOOKUP($B1628,'RFR Data - preExcl'!$BF$2:$BG1679,2,FALSE))),IFERROR(0/0,""))</f>
        <v/>
      </c>
      <c r="V1628" s="212" t="str">
        <f t="shared" si="5"/>
        <v>RUN-COMB_2022-08-08_RFR-092</v>
      </c>
      <c r="W1628" s="51"/>
      <c r="X1628" s="51"/>
      <c r="Y1628" s="147" t="str">
        <f t="shared" ref="Y1628:Z1628" si="3256">IF(_xlfn.ISFORMULA(S1628),IFERROR(0/0,""),TRUE)</f>
        <v/>
      </c>
      <c r="Z1628" s="147" t="str">
        <f t="shared" si="3256"/>
        <v/>
      </c>
    </row>
    <row r="1629">
      <c r="A1629" s="6" t="str">
        <f>IFERROR(__xludf.DUMMYFUNCTION("""COMPUTED_VALUE"""),"FM3031")</f>
        <v>FM3031</v>
      </c>
      <c r="B1629" s="206">
        <f>IFERROR(__xludf.DUMMYFUNCTION("""COMPUTED_VALUE"""),44781.0)</f>
        <v>44781</v>
      </c>
      <c r="C1629" s="207">
        <f>IFERROR(__xludf.DUMMYFUNCTION("""COMPUTED_VALUE"""),0.756875)</f>
        <v>0.756875</v>
      </c>
      <c r="D1629" s="50"/>
      <c r="E1629" s="58"/>
      <c r="F1629" s="58"/>
      <c r="G1629" s="58" t="str">
        <f>IFERROR(__xludf.DUMMYFUNCTION("""COMPUTED_VALUE"""),"Null")</f>
        <v>Null</v>
      </c>
      <c r="H1629" s="206" t="str">
        <f>IFERROR(__xludf.DUMMYFUNCTION("""COMPUTED_VALUE"""),"Negative")</f>
        <v>Negative</v>
      </c>
      <c r="I1629" s="207"/>
      <c r="J1629" s="50"/>
      <c r="K1629" s="50">
        <f>IFERROR(__xludf.DUMMYFUNCTION("""COMPUTED_VALUE"""),2.0)</f>
        <v>2</v>
      </c>
      <c r="L1629" s="6"/>
      <c r="M1629" s="55"/>
      <c r="N1629" s="55">
        <f>IFERROR(__xludf.DUMMYFUNCTION("""COMPUTED_VALUE"""),1.0)</f>
        <v>1</v>
      </c>
      <c r="O1629" s="55" t="str">
        <f t="shared" si="3"/>
        <v/>
      </c>
      <c r="P1629" s="209"/>
      <c r="Q1629" s="75" t="b">
        <f>VLOOKUP($B1629,'Run Reconcile'!B$2:P1679,15,FALSE)</f>
        <v>1</v>
      </c>
      <c r="R1629" s="211" t="str">
        <f t="array" ref="R1629">IF($Q1629, INDEX('Run Reconcile'!A$2:A1679,MATCH(B1629,'Run Reconcile'!B$2:B1679,0),1),IFERROR(0/0,""))</f>
        <v>RUN-COMB_2022-08-08_RFR-092</v>
      </c>
      <c r="S1629" s="165" t="str">
        <f t="shared" ref="S1629:T1629" si="3257">IF(COUNTIF(W$2:W1679, $A1629) &gt; 0,TRUE,IFERROR(0/0,""))</f>
        <v/>
      </c>
      <c r="T1629" s="165" t="str">
        <f t="shared" si="3257"/>
        <v/>
      </c>
      <c r="U1629" s="147" t="str">
        <f t="array" ref="U1629">IF(ISBLANK($R1629), IF($S1629,VLOOKUP($B1629+1,'RFR Data - preExcl'!$BF$2:$BG1679,2,FALSE),IF($T1629,INDEX('RFR Data - preExcl'!$BF$2:$BG1679,MATCH($B1629,'RFR Data - preExcl'!$BF$2:$BF1679,0)+1,2),VLOOKUP($B1629,'RFR Data - preExcl'!$BF$2:$BG1679,2,FALSE))),IFERROR(0/0,""))</f>
        <v/>
      </c>
      <c r="V1629" s="212" t="str">
        <f t="shared" si="5"/>
        <v>RUN-COMB_2022-08-08_RFR-092</v>
      </c>
      <c r="W1629" s="51"/>
      <c r="X1629" s="51"/>
      <c r="Y1629" s="147" t="str">
        <f t="shared" ref="Y1629:Z1629" si="3258">IF(_xlfn.ISFORMULA(S1629),IFERROR(0/0,""),TRUE)</f>
        <v/>
      </c>
      <c r="Z1629" s="147" t="str">
        <f t="shared" si="3258"/>
        <v/>
      </c>
    </row>
    <row r="1630">
      <c r="A1630" s="6" t="str">
        <f>IFERROR(__xludf.DUMMYFUNCTION("""COMPUTED_VALUE"""),"FM3057")</f>
        <v>FM3057</v>
      </c>
      <c r="B1630" s="206">
        <f>IFERROR(__xludf.DUMMYFUNCTION("""COMPUTED_VALUE"""),44781.0)</f>
        <v>44781</v>
      </c>
      <c r="C1630" s="207">
        <f>IFERROR(__xludf.DUMMYFUNCTION("""COMPUTED_VALUE"""),0.7571875)</f>
        <v>0.7571875</v>
      </c>
      <c r="D1630" s="50"/>
      <c r="E1630" s="58"/>
      <c r="F1630" s="58"/>
      <c r="G1630" s="58" t="str">
        <f>IFERROR(__xludf.DUMMYFUNCTION("""COMPUTED_VALUE"""),"Null")</f>
        <v>Null</v>
      </c>
      <c r="H1630" s="206" t="str">
        <f>IFERROR(__xludf.DUMMYFUNCTION("""COMPUTED_VALUE"""),"Negative")</f>
        <v>Negative</v>
      </c>
      <c r="I1630" s="207"/>
      <c r="J1630" s="50"/>
      <c r="K1630" s="50">
        <f>IFERROR(__xludf.DUMMYFUNCTION("""COMPUTED_VALUE"""),2.0)</f>
        <v>2</v>
      </c>
      <c r="L1630" s="6"/>
      <c r="M1630" s="55"/>
      <c r="N1630" s="55">
        <f>IFERROR(__xludf.DUMMYFUNCTION("""COMPUTED_VALUE"""),1.0)</f>
        <v>1</v>
      </c>
      <c r="O1630" s="55" t="str">
        <f t="shared" si="3"/>
        <v/>
      </c>
      <c r="P1630" s="209"/>
      <c r="Q1630" s="75" t="b">
        <f>VLOOKUP($B1630,'Run Reconcile'!B$2:P1679,15,FALSE)</f>
        <v>1</v>
      </c>
      <c r="R1630" s="211" t="str">
        <f t="array" ref="R1630">IF($Q1630, INDEX('Run Reconcile'!A$2:A1679,MATCH(B1630,'Run Reconcile'!B$2:B1679,0),1),IFERROR(0/0,""))</f>
        <v>RUN-COMB_2022-08-08_RFR-092</v>
      </c>
      <c r="S1630" s="165" t="str">
        <f t="shared" ref="S1630:T1630" si="3259">IF(COUNTIF(W$2:W1679, $A1630) &gt; 0,TRUE,IFERROR(0/0,""))</f>
        <v/>
      </c>
      <c r="T1630" s="165" t="str">
        <f t="shared" si="3259"/>
        <v/>
      </c>
      <c r="U1630" s="147" t="str">
        <f t="array" ref="U1630">IF(ISBLANK($R1630), IF($S1630,VLOOKUP($B1630+1,'RFR Data - preExcl'!$BF$2:$BG1679,2,FALSE),IF($T1630,INDEX('RFR Data - preExcl'!$BF$2:$BG1679,MATCH($B1630,'RFR Data - preExcl'!$BF$2:$BF1679,0)+1,2),VLOOKUP($B1630,'RFR Data - preExcl'!$BF$2:$BG1679,2,FALSE))),IFERROR(0/0,""))</f>
        <v/>
      </c>
      <c r="V1630" s="212" t="str">
        <f t="shared" si="5"/>
        <v>RUN-COMB_2022-08-08_RFR-092</v>
      </c>
      <c r="W1630" s="51"/>
      <c r="X1630" s="51"/>
      <c r="Y1630" s="147" t="str">
        <f t="shared" ref="Y1630:Z1630" si="3260">IF(_xlfn.ISFORMULA(S1630),IFERROR(0/0,""),TRUE)</f>
        <v/>
      </c>
      <c r="Z1630" s="147" t="str">
        <f t="shared" si="3260"/>
        <v/>
      </c>
    </row>
    <row r="1631">
      <c r="A1631" s="6" t="str">
        <f>IFERROR(__xludf.DUMMYFUNCTION("""COMPUTED_VALUE"""),"FM3032")</f>
        <v>FM3032</v>
      </c>
      <c r="B1631" s="206">
        <f>IFERROR(__xludf.DUMMYFUNCTION("""COMPUTED_VALUE"""),44781.0)</f>
        <v>44781</v>
      </c>
      <c r="C1631" s="207">
        <f>IFERROR(__xludf.DUMMYFUNCTION("""COMPUTED_VALUE"""),0.7576041666666666)</f>
        <v>0.7576041667</v>
      </c>
      <c r="D1631" s="50"/>
      <c r="E1631" s="58"/>
      <c r="F1631" s="58"/>
      <c r="G1631" s="58" t="str">
        <f>IFERROR(__xludf.DUMMYFUNCTION("""COMPUTED_VALUE"""),"Null")</f>
        <v>Null</v>
      </c>
      <c r="H1631" s="206" t="str">
        <f>IFERROR(__xludf.DUMMYFUNCTION("""COMPUTED_VALUE"""),"Negative")</f>
        <v>Negative</v>
      </c>
      <c r="I1631" s="207"/>
      <c r="J1631" s="50"/>
      <c r="K1631" s="50">
        <f>IFERROR(__xludf.DUMMYFUNCTION("""COMPUTED_VALUE"""),2.0)</f>
        <v>2</v>
      </c>
      <c r="L1631" s="6"/>
      <c r="M1631" s="55"/>
      <c r="N1631" s="55">
        <f>IFERROR(__xludf.DUMMYFUNCTION("""COMPUTED_VALUE"""),1.0)</f>
        <v>1</v>
      </c>
      <c r="O1631" s="55" t="str">
        <f t="shared" si="3"/>
        <v/>
      </c>
      <c r="P1631" s="209"/>
      <c r="Q1631" s="75" t="b">
        <f>VLOOKUP($B1631,'Run Reconcile'!B$2:P1679,15,FALSE)</f>
        <v>1</v>
      </c>
      <c r="R1631" s="211" t="str">
        <f t="array" ref="R1631">IF($Q1631, INDEX('Run Reconcile'!A$2:A1679,MATCH(B1631,'Run Reconcile'!B$2:B1679,0),1),IFERROR(0/0,""))</f>
        <v>RUN-COMB_2022-08-08_RFR-092</v>
      </c>
      <c r="S1631" s="165" t="str">
        <f t="shared" ref="S1631:T1631" si="3261">IF(COUNTIF(W$2:W1679, $A1631) &gt; 0,TRUE,IFERROR(0/0,""))</f>
        <v/>
      </c>
      <c r="T1631" s="165" t="str">
        <f t="shared" si="3261"/>
        <v/>
      </c>
      <c r="U1631" s="147" t="str">
        <f t="array" ref="U1631">IF(ISBLANK($R1631), IF($S1631,VLOOKUP($B1631+1,'RFR Data - preExcl'!$BF$2:$BG1679,2,FALSE),IF($T1631,INDEX('RFR Data - preExcl'!$BF$2:$BG1679,MATCH($B1631,'RFR Data - preExcl'!$BF$2:$BF1679,0)+1,2),VLOOKUP($B1631,'RFR Data - preExcl'!$BF$2:$BG1679,2,FALSE))),IFERROR(0/0,""))</f>
        <v/>
      </c>
      <c r="V1631" s="212" t="str">
        <f t="shared" si="5"/>
        <v>RUN-COMB_2022-08-08_RFR-092</v>
      </c>
      <c r="W1631" s="51"/>
      <c r="X1631" s="51"/>
      <c r="Y1631" s="147" t="str">
        <f t="shared" ref="Y1631:Z1631" si="3262">IF(_xlfn.ISFORMULA(S1631),IFERROR(0/0,""),TRUE)</f>
        <v/>
      </c>
      <c r="Z1631" s="147" t="str">
        <f t="shared" si="3262"/>
        <v/>
      </c>
    </row>
    <row r="1632">
      <c r="A1632" s="6" t="str">
        <f>IFERROR(__xludf.DUMMYFUNCTION("""COMPUTED_VALUE"""),"FM3017")</f>
        <v>FM3017</v>
      </c>
      <c r="B1632" s="206">
        <f>IFERROR(__xludf.DUMMYFUNCTION("""COMPUTED_VALUE"""),44781.0)</f>
        <v>44781</v>
      </c>
      <c r="C1632" s="207">
        <f>IFERROR(__xludf.DUMMYFUNCTION("""COMPUTED_VALUE"""),0.7579976851851852)</f>
        <v>0.7579976852</v>
      </c>
      <c r="D1632" s="50"/>
      <c r="E1632" s="58"/>
      <c r="F1632" s="58"/>
      <c r="G1632" s="58" t="str">
        <f>IFERROR(__xludf.DUMMYFUNCTION("""COMPUTED_VALUE"""),"Null")</f>
        <v>Null</v>
      </c>
      <c r="H1632" s="206" t="str">
        <f>IFERROR(__xludf.DUMMYFUNCTION("""COMPUTED_VALUE"""),"Negative")</f>
        <v>Negative</v>
      </c>
      <c r="I1632" s="207"/>
      <c r="J1632" s="50"/>
      <c r="K1632" s="50">
        <f>IFERROR(__xludf.DUMMYFUNCTION("""COMPUTED_VALUE"""),2.0)</f>
        <v>2</v>
      </c>
      <c r="L1632" s="6"/>
      <c r="M1632" s="55"/>
      <c r="N1632" s="55">
        <f>IFERROR(__xludf.DUMMYFUNCTION("""COMPUTED_VALUE"""),1.0)</f>
        <v>1</v>
      </c>
      <c r="O1632" s="55" t="str">
        <f t="shared" si="3"/>
        <v/>
      </c>
      <c r="P1632" s="209"/>
      <c r="Q1632" s="75" t="b">
        <f>VLOOKUP($B1632,'Run Reconcile'!B$2:P1679,15,FALSE)</f>
        <v>1</v>
      </c>
      <c r="R1632" s="211" t="str">
        <f t="array" ref="R1632">IF($Q1632, INDEX('Run Reconcile'!A$2:A1679,MATCH(B1632,'Run Reconcile'!B$2:B1679,0),1),IFERROR(0/0,""))</f>
        <v>RUN-COMB_2022-08-08_RFR-092</v>
      </c>
      <c r="S1632" s="165" t="str">
        <f t="shared" ref="S1632:T1632" si="3263">IF(COUNTIF(W$2:W1679, $A1632) &gt; 0,TRUE,IFERROR(0/0,""))</f>
        <v/>
      </c>
      <c r="T1632" s="165" t="str">
        <f t="shared" si="3263"/>
        <v/>
      </c>
      <c r="U1632" s="147" t="str">
        <f t="array" ref="U1632">IF(ISBLANK($R1632), IF($S1632,VLOOKUP($B1632+1,'RFR Data - preExcl'!$BF$2:$BG1679,2,FALSE),IF($T1632,INDEX('RFR Data - preExcl'!$BF$2:$BG1679,MATCH($B1632,'RFR Data - preExcl'!$BF$2:$BF1679,0)+1,2),VLOOKUP($B1632,'RFR Data - preExcl'!$BF$2:$BG1679,2,FALSE))),IFERROR(0/0,""))</f>
        <v/>
      </c>
      <c r="V1632" s="212" t="str">
        <f t="shared" si="5"/>
        <v>RUN-COMB_2022-08-08_RFR-092</v>
      </c>
      <c r="W1632" s="51"/>
      <c r="X1632" s="51"/>
      <c r="Y1632" s="147" t="str">
        <f t="shared" ref="Y1632:Z1632" si="3264">IF(_xlfn.ISFORMULA(S1632),IFERROR(0/0,""),TRUE)</f>
        <v/>
      </c>
      <c r="Z1632" s="147" t="str">
        <f t="shared" si="3264"/>
        <v/>
      </c>
    </row>
    <row r="1633">
      <c r="A1633" s="6" t="str">
        <f>IFERROR(__xludf.DUMMYFUNCTION("""COMPUTED_VALUE"""),"FM3013")</f>
        <v>FM3013</v>
      </c>
      <c r="B1633" s="206">
        <f>IFERROR(__xludf.DUMMYFUNCTION("""COMPUTED_VALUE"""),44781.0)</f>
        <v>44781</v>
      </c>
      <c r="C1633" s="207">
        <f>IFERROR(__xludf.DUMMYFUNCTION("""COMPUTED_VALUE"""),0.7583217592592593)</f>
        <v>0.7583217593</v>
      </c>
      <c r="D1633" s="50"/>
      <c r="E1633" s="58"/>
      <c r="F1633" s="58"/>
      <c r="G1633" s="58" t="str">
        <f>IFERROR(__xludf.DUMMYFUNCTION("""COMPUTED_VALUE"""),"Null")</f>
        <v>Null</v>
      </c>
      <c r="H1633" s="206" t="str">
        <f>IFERROR(__xludf.DUMMYFUNCTION("""COMPUTED_VALUE"""),"Negative")</f>
        <v>Negative</v>
      </c>
      <c r="I1633" s="207"/>
      <c r="J1633" s="50"/>
      <c r="K1633" s="50">
        <f>IFERROR(__xludf.DUMMYFUNCTION("""COMPUTED_VALUE"""),2.0)</f>
        <v>2</v>
      </c>
      <c r="L1633" s="6"/>
      <c r="M1633" s="55"/>
      <c r="N1633" s="55">
        <f>IFERROR(__xludf.DUMMYFUNCTION("""COMPUTED_VALUE"""),1.0)</f>
        <v>1</v>
      </c>
      <c r="O1633" s="55" t="str">
        <f t="shared" si="3"/>
        <v/>
      </c>
      <c r="P1633" s="209"/>
      <c r="Q1633" s="75" t="b">
        <f>VLOOKUP($B1633,'Run Reconcile'!B$2:P1679,15,FALSE)</f>
        <v>1</v>
      </c>
      <c r="R1633" s="211" t="str">
        <f t="array" ref="R1633">IF($Q1633, INDEX('Run Reconcile'!A$2:A1679,MATCH(B1633,'Run Reconcile'!B$2:B1679,0),1),IFERROR(0/0,""))</f>
        <v>RUN-COMB_2022-08-08_RFR-092</v>
      </c>
      <c r="S1633" s="165" t="str">
        <f t="shared" ref="S1633:T1633" si="3265">IF(COUNTIF(W$2:W1679, $A1633) &gt; 0,TRUE,IFERROR(0/0,""))</f>
        <v/>
      </c>
      <c r="T1633" s="165" t="str">
        <f t="shared" si="3265"/>
        <v/>
      </c>
      <c r="U1633" s="147" t="str">
        <f t="array" ref="U1633">IF(ISBLANK($R1633), IF($S1633,VLOOKUP($B1633+1,'RFR Data - preExcl'!$BF$2:$BG1679,2,FALSE),IF($T1633,INDEX('RFR Data - preExcl'!$BF$2:$BG1679,MATCH($B1633,'RFR Data - preExcl'!$BF$2:$BF1679,0)+1,2),VLOOKUP($B1633,'RFR Data - preExcl'!$BF$2:$BG1679,2,FALSE))),IFERROR(0/0,""))</f>
        <v/>
      </c>
      <c r="V1633" s="212" t="str">
        <f t="shared" si="5"/>
        <v>RUN-COMB_2022-08-08_RFR-092</v>
      </c>
      <c r="W1633" s="51"/>
      <c r="X1633" s="51"/>
      <c r="Y1633" s="147" t="str">
        <f t="shared" ref="Y1633:Z1633" si="3266">IF(_xlfn.ISFORMULA(S1633),IFERROR(0/0,""),TRUE)</f>
        <v/>
      </c>
      <c r="Z1633" s="147" t="str">
        <f t="shared" si="3266"/>
        <v/>
      </c>
    </row>
    <row r="1634">
      <c r="A1634" s="6" t="str">
        <f>IFERROR(__xludf.DUMMYFUNCTION("""COMPUTED_VALUE"""),"FM3100")</f>
        <v>FM3100</v>
      </c>
      <c r="B1634" s="206">
        <f>IFERROR(__xludf.DUMMYFUNCTION("""COMPUTED_VALUE"""),44781.0)</f>
        <v>44781</v>
      </c>
      <c r="C1634" s="207">
        <f>IFERROR(__xludf.DUMMYFUNCTION("""COMPUTED_VALUE"""),0.7586342592592593)</f>
        <v>0.7586342593</v>
      </c>
      <c r="D1634" s="50"/>
      <c r="E1634" s="58"/>
      <c r="F1634" s="58"/>
      <c r="G1634" s="58" t="str">
        <f>IFERROR(__xludf.DUMMYFUNCTION("""COMPUTED_VALUE"""),"Null")</f>
        <v>Null</v>
      </c>
      <c r="H1634" s="206" t="str">
        <f>IFERROR(__xludf.DUMMYFUNCTION("""COMPUTED_VALUE"""),"Negative")</f>
        <v>Negative</v>
      </c>
      <c r="I1634" s="207"/>
      <c r="J1634" s="50"/>
      <c r="K1634" s="50">
        <f>IFERROR(__xludf.DUMMYFUNCTION("""COMPUTED_VALUE"""),2.0)</f>
        <v>2</v>
      </c>
      <c r="L1634" s="6"/>
      <c r="M1634" s="55"/>
      <c r="N1634" s="55">
        <f>IFERROR(__xludf.DUMMYFUNCTION("""COMPUTED_VALUE"""),1.0)</f>
        <v>1</v>
      </c>
      <c r="O1634" s="55" t="str">
        <f t="shared" si="3"/>
        <v/>
      </c>
      <c r="P1634" s="209"/>
      <c r="Q1634" s="75" t="b">
        <f>VLOOKUP($B1634,'Run Reconcile'!B$2:P1679,15,FALSE)</f>
        <v>1</v>
      </c>
      <c r="R1634" s="211" t="str">
        <f t="array" ref="R1634">IF($Q1634, INDEX('Run Reconcile'!A$2:A1679,MATCH(B1634,'Run Reconcile'!B$2:B1679,0),1),IFERROR(0/0,""))</f>
        <v>RUN-COMB_2022-08-08_RFR-092</v>
      </c>
      <c r="S1634" s="165" t="str">
        <f t="shared" ref="S1634:T1634" si="3267">IF(COUNTIF(W$2:W1679, $A1634) &gt; 0,TRUE,IFERROR(0/0,""))</f>
        <v/>
      </c>
      <c r="T1634" s="165" t="str">
        <f t="shared" si="3267"/>
        <v/>
      </c>
      <c r="U1634" s="147" t="str">
        <f t="array" ref="U1634">IF(ISBLANK($R1634), IF($S1634,VLOOKUP($B1634+1,'RFR Data - preExcl'!$BF$2:$BG1679,2,FALSE),IF($T1634,INDEX('RFR Data - preExcl'!$BF$2:$BG1679,MATCH($B1634,'RFR Data - preExcl'!$BF$2:$BF1679,0)+1,2),VLOOKUP($B1634,'RFR Data - preExcl'!$BF$2:$BG1679,2,FALSE))),IFERROR(0/0,""))</f>
        <v/>
      </c>
      <c r="V1634" s="212" t="str">
        <f t="shared" si="5"/>
        <v>RUN-COMB_2022-08-08_RFR-092</v>
      </c>
      <c r="W1634" s="51"/>
      <c r="X1634" s="51"/>
      <c r="Y1634" s="147" t="str">
        <f t="shared" ref="Y1634:Z1634" si="3268">IF(_xlfn.ISFORMULA(S1634),IFERROR(0/0,""),TRUE)</f>
        <v/>
      </c>
      <c r="Z1634" s="147" t="str">
        <f t="shared" si="3268"/>
        <v/>
      </c>
    </row>
    <row r="1635">
      <c r="A1635" s="6" t="str">
        <f>IFERROR(__xludf.DUMMYFUNCTION("""COMPUTED_VALUE"""),"FM3058")</f>
        <v>FM3058</v>
      </c>
      <c r="B1635" s="206">
        <f>IFERROR(__xludf.DUMMYFUNCTION("""COMPUTED_VALUE"""),44781.0)</f>
        <v>44781</v>
      </c>
      <c r="C1635" s="207">
        <f>IFERROR(__xludf.DUMMYFUNCTION("""COMPUTED_VALUE"""),0.7590046296296297)</f>
        <v>0.7590046296</v>
      </c>
      <c r="D1635" s="50"/>
      <c r="E1635" s="58"/>
      <c r="F1635" s="58"/>
      <c r="G1635" s="58" t="str">
        <f>IFERROR(__xludf.DUMMYFUNCTION("""COMPUTED_VALUE"""),"Null")</f>
        <v>Null</v>
      </c>
      <c r="H1635" s="206" t="str">
        <f>IFERROR(__xludf.DUMMYFUNCTION("""COMPUTED_VALUE"""),"Negative")</f>
        <v>Negative</v>
      </c>
      <c r="I1635" s="207"/>
      <c r="J1635" s="50"/>
      <c r="K1635" s="50">
        <f>IFERROR(__xludf.DUMMYFUNCTION("""COMPUTED_VALUE"""),2.0)</f>
        <v>2</v>
      </c>
      <c r="L1635" s="6"/>
      <c r="M1635" s="55"/>
      <c r="N1635" s="55">
        <f>IFERROR(__xludf.DUMMYFUNCTION("""COMPUTED_VALUE"""),1.0)</f>
        <v>1</v>
      </c>
      <c r="O1635" s="55" t="str">
        <f t="shared" si="3"/>
        <v/>
      </c>
      <c r="P1635" s="209"/>
      <c r="Q1635" s="75" t="b">
        <f>VLOOKUP($B1635,'Run Reconcile'!B$2:P1679,15,FALSE)</f>
        <v>1</v>
      </c>
      <c r="R1635" s="211" t="str">
        <f t="array" ref="R1635">IF($Q1635, INDEX('Run Reconcile'!A$2:A1679,MATCH(B1635,'Run Reconcile'!B$2:B1679,0),1),IFERROR(0/0,""))</f>
        <v>RUN-COMB_2022-08-08_RFR-092</v>
      </c>
      <c r="S1635" s="165" t="str">
        <f t="shared" ref="S1635:T1635" si="3269">IF(COUNTIF(W$2:W1679, $A1635) &gt; 0,TRUE,IFERROR(0/0,""))</f>
        <v/>
      </c>
      <c r="T1635" s="165" t="str">
        <f t="shared" si="3269"/>
        <v/>
      </c>
      <c r="U1635" s="147" t="str">
        <f t="array" ref="U1635">IF(ISBLANK($R1635), IF($S1635,VLOOKUP($B1635+1,'RFR Data - preExcl'!$BF$2:$BG1679,2,FALSE),IF($T1635,INDEX('RFR Data - preExcl'!$BF$2:$BG1679,MATCH($B1635,'RFR Data - preExcl'!$BF$2:$BF1679,0)+1,2),VLOOKUP($B1635,'RFR Data - preExcl'!$BF$2:$BG1679,2,FALSE))),IFERROR(0/0,""))</f>
        <v/>
      </c>
      <c r="V1635" s="212" t="str">
        <f t="shared" si="5"/>
        <v>RUN-COMB_2022-08-08_RFR-092</v>
      </c>
      <c r="W1635" s="51"/>
      <c r="X1635" s="51"/>
      <c r="Y1635" s="147" t="str">
        <f t="shared" ref="Y1635:Z1635" si="3270">IF(_xlfn.ISFORMULA(S1635),IFERROR(0/0,""),TRUE)</f>
        <v/>
      </c>
      <c r="Z1635" s="147" t="str">
        <f t="shared" si="3270"/>
        <v/>
      </c>
    </row>
    <row r="1636">
      <c r="A1636" s="6" t="str">
        <f>IFERROR(__xludf.DUMMYFUNCTION("""COMPUTED_VALUE"""),"FM3085")</f>
        <v>FM3085</v>
      </c>
      <c r="B1636" s="206">
        <f>IFERROR(__xludf.DUMMYFUNCTION("""COMPUTED_VALUE"""),44781.0)</f>
        <v>44781</v>
      </c>
      <c r="C1636" s="207">
        <f>IFERROR(__xludf.DUMMYFUNCTION("""COMPUTED_VALUE"""),0.7594097222222222)</f>
        <v>0.7594097222</v>
      </c>
      <c r="D1636" s="50"/>
      <c r="E1636" s="58"/>
      <c r="F1636" s="58"/>
      <c r="G1636" s="58" t="str">
        <f>IFERROR(__xludf.DUMMYFUNCTION("""COMPUTED_VALUE"""),"Null")</f>
        <v>Null</v>
      </c>
      <c r="H1636" s="206" t="str">
        <f>IFERROR(__xludf.DUMMYFUNCTION("""COMPUTED_VALUE"""),"Positive")</f>
        <v>Positive</v>
      </c>
      <c r="I1636" s="207"/>
      <c r="J1636" s="50"/>
      <c r="K1636" s="50">
        <f>IFERROR(__xludf.DUMMYFUNCTION("""COMPUTED_VALUE"""),3.0)</f>
        <v>3</v>
      </c>
      <c r="L1636" s="6" t="str">
        <f>IFERROR(__xludf.DUMMYFUNCTION("""COMPUTED_VALUE"""),"Null changed to Positive")</f>
        <v>Null changed to Positive</v>
      </c>
      <c r="M1636" s="55"/>
      <c r="N1636" s="55">
        <f>IFERROR(__xludf.DUMMYFUNCTION("""COMPUTED_VALUE"""),1.0)</f>
        <v>1</v>
      </c>
      <c r="O1636" s="55" t="str">
        <f t="shared" si="3"/>
        <v/>
      </c>
      <c r="P1636" s="209"/>
      <c r="Q1636" s="75" t="b">
        <f>VLOOKUP($B1636,'Run Reconcile'!B$2:P1679,15,FALSE)</f>
        <v>1</v>
      </c>
      <c r="R1636" s="211" t="str">
        <f t="array" ref="R1636">IF($Q1636, INDEX('Run Reconcile'!A$2:A1679,MATCH(B1636,'Run Reconcile'!B$2:B1679,0),1),IFERROR(0/0,""))</f>
        <v>RUN-COMB_2022-08-08_RFR-092</v>
      </c>
      <c r="S1636" s="165" t="str">
        <f t="shared" ref="S1636:T1636" si="3271">IF(COUNTIF(W$2:W1679, $A1636) &gt; 0,TRUE,IFERROR(0/0,""))</f>
        <v/>
      </c>
      <c r="T1636" s="165" t="str">
        <f t="shared" si="3271"/>
        <v/>
      </c>
      <c r="U1636" s="147" t="str">
        <f t="array" ref="U1636">IF(ISBLANK($R1636), IF($S1636,VLOOKUP($B1636+1,'RFR Data - preExcl'!$BF$2:$BG1679,2,FALSE),IF($T1636,INDEX('RFR Data - preExcl'!$BF$2:$BG1679,MATCH($B1636,'RFR Data - preExcl'!$BF$2:$BF1679,0)+1,2),VLOOKUP($B1636,'RFR Data - preExcl'!$BF$2:$BG1679,2,FALSE))),IFERROR(0/0,""))</f>
        <v/>
      </c>
      <c r="V1636" s="212" t="str">
        <f t="shared" si="5"/>
        <v>RUN-COMB_2022-08-08_RFR-092</v>
      </c>
      <c r="W1636" s="51"/>
      <c r="X1636" s="51"/>
      <c r="Y1636" s="147" t="str">
        <f t="shared" ref="Y1636:Z1636" si="3272">IF(_xlfn.ISFORMULA(S1636),IFERROR(0/0,""),TRUE)</f>
        <v/>
      </c>
      <c r="Z1636" s="147" t="str">
        <f t="shared" si="3272"/>
        <v/>
      </c>
    </row>
    <row r="1637">
      <c r="A1637" s="6" t="str">
        <f>IFERROR(__xludf.DUMMYFUNCTION("""COMPUTED_VALUE"""),"FM3061")</f>
        <v>FM3061</v>
      </c>
      <c r="B1637" s="206">
        <f>IFERROR(__xludf.DUMMYFUNCTION("""COMPUTED_VALUE"""),44781.0)</f>
        <v>44781</v>
      </c>
      <c r="C1637" s="207">
        <f>IFERROR(__xludf.DUMMYFUNCTION("""COMPUTED_VALUE"""),0.7597569444444444)</f>
        <v>0.7597569444</v>
      </c>
      <c r="D1637" s="50"/>
      <c r="E1637" s="58"/>
      <c r="F1637" s="58"/>
      <c r="G1637" s="58" t="str">
        <f>IFERROR(__xludf.DUMMYFUNCTION("""COMPUTED_VALUE"""),"Null")</f>
        <v>Null</v>
      </c>
      <c r="H1637" s="206" t="str">
        <f>IFERROR(__xludf.DUMMYFUNCTION("""COMPUTED_VALUE"""),"Negative")</f>
        <v>Negative</v>
      </c>
      <c r="I1637" s="207"/>
      <c r="J1637" s="50"/>
      <c r="K1637" s="50">
        <f>IFERROR(__xludf.DUMMYFUNCTION("""COMPUTED_VALUE"""),2.0)</f>
        <v>2</v>
      </c>
      <c r="L1637" s="6"/>
      <c r="M1637" s="55"/>
      <c r="N1637" s="55">
        <f>IFERROR(__xludf.DUMMYFUNCTION("""COMPUTED_VALUE"""),1.0)</f>
        <v>1</v>
      </c>
      <c r="O1637" s="55" t="str">
        <f t="shared" si="3"/>
        <v/>
      </c>
      <c r="P1637" s="209"/>
      <c r="Q1637" s="75" t="b">
        <f>VLOOKUP($B1637,'Run Reconcile'!B$2:P1679,15,FALSE)</f>
        <v>1</v>
      </c>
      <c r="R1637" s="211" t="str">
        <f t="array" ref="R1637">IF($Q1637, INDEX('Run Reconcile'!A$2:A1679,MATCH(B1637,'Run Reconcile'!B$2:B1679,0),1),IFERROR(0/0,""))</f>
        <v>RUN-COMB_2022-08-08_RFR-092</v>
      </c>
      <c r="S1637" s="165" t="str">
        <f t="shared" ref="S1637:T1637" si="3273">IF(COUNTIF(W$2:W1679, $A1637) &gt; 0,TRUE,IFERROR(0/0,""))</f>
        <v/>
      </c>
      <c r="T1637" s="165" t="str">
        <f t="shared" si="3273"/>
        <v/>
      </c>
      <c r="U1637" s="147" t="str">
        <f t="array" ref="U1637">IF(ISBLANK($R1637), IF($S1637,VLOOKUP($B1637+1,'RFR Data - preExcl'!$BF$2:$BG1679,2,FALSE),IF($T1637,INDEX('RFR Data - preExcl'!$BF$2:$BG1679,MATCH($B1637,'RFR Data - preExcl'!$BF$2:$BF1679,0)+1,2),VLOOKUP($B1637,'RFR Data - preExcl'!$BF$2:$BG1679,2,FALSE))),IFERROR(0/0,""))</f>
        <v/>
      </c>
      <c r="V1637" s="212" t="str">
        <f t="shared" si="5"/>
        <v>RUN-COMB_2022-08-08_RFR-092</v>
      </c>
      <c r="W1637" s="51"/>
      <c r="X1637" s="51"/>
      <c r="Y1637" s="147" t="str">
        <f t="shared" ref="Y1637:Z1637" si="3274">IF(_xlfn.ISFORMULA(S1637),IFERROR(0/0,""),TRUE)</f>
        <v/>
      </c>
      <c r="Z1637" s="147" t="str">
        <f t="shared" si="3274"/>
        <v/>
      </c>
    </row>
    <row r="1638">
      <c r="A1638" s="6" t="str">
        <f>IFERROR(__xludf.DUMMYFUNCTION("""COMPUTED_VALUE"""),"FM3041")</f>
        <v>FM3041</v>
      </c>
      <c r="B1638" s="206">
        <f>IFERROR(__xludf.DUMMYFUNCTION("""COMPUTED_VALUE"""),44782.0)</f>
        <v>44782</v>
      </c>
      <c r="C1638" s="207">
        <f>IFERROR(__xludf.DUMMYFUNCTION("""COMPUTED_VALUE"""),0.29832175925925924)</f>
        <v>0.2983217593</v>
      </c>
      <c r="D1638" s="50"/>
      <c r="E1638" s="58"/>
      <c r="F1638" s="58"/>
      <c r="G1638" s="58" t="str">
        <f>IFERROR(__xludf.DUMMYFUNCTION("""COMPUTED_VALUE"""),"Null")</f>
        <v>Null</v>
      </c>
      <c r="H1638" s="206" t="str">
        <f>IFERROR(__xludf.DUMMYFUNCTION("""COMPUTED_VALUE"""),"Negative")</f>
        <v>Negative</v>
      </c>
      <c r="I1638" s="207"/>
      <c r="J1638" s="50"/>
      <c r="K1638" s="50">
        <f>IFERROR(__xludf.DUMMYFUNCTION("""COMPUTED_VALUE"""),2.0)</f>
        <v>2</v>
      </c>
      <c r="L1638" s="6"/>
      <c r="M1638" s="55"/>
      <c r="N1638" s="55">
        <f>IFERROR(__xludf.DUMMYFUNCTION("""COMPUTED_VALUE"""),1.0)</f>
        <v>1</v>
      </c>
      <c r="O1638" s="55" t="b">
        <f t="shared" si="3"/>
        <v>1</v>
      </c>
      <c r="P1638" s="209"/>
      <c r="Q1638" s="75" t="b">
        <f>VLOOKUP($B1638,'Run Reconcile'!B$2:P1679,15,FALSE)</f>
        <v>1</v>
      </c>
      <c r="R1638" s="211" t="str">
        <f t="array" ref="R1638">IF($Q1638, INDEX('Run Reconcile'!A$2:A1679,MATCH(B1638,'Run Reconcile'!B$2:B1679,0),1),IFERROR(0/0,""))</f>
        <v>RUN-COMB_2022-08-09_RFR-094</v>
      </c>
      <c r="S1638" s="165" t="str">
        <f t="shared" ref="S1638:T1638" si="3275">IF(COUNTIF(W$2:W1679, $A1638) &gt; 0,TRUE,IFERROR(0/0,""))</f>
        <v/>
      </c>
      <c r="T1638" s="165" t="str">
        <f t="shared" si="3275"/>
        <v/>
      </c>
      <c r="U1638" s="147" t="str">
        <f t="array" ref="U1638">IF(ISBLANK($R1638), IF($S1638,VLOOKUP($B1638+1,'RFR Data - preExcl'!$BF$2:$BG1679,2,FALSE),IF($T1638,INDEX('RFR Data - preExcl'!$BF$2:$BG1679,MATCH($B1638,'RFR Data - preExcl'!$BF$2:$BF1679,0)+1,2),VLOOKUP($B1638,'RFR Data - preExcl'!$BF$2:$BG1679,2,FALSE))),IFERROR(0/0,""))</f>
        <v/>
      </c>
      <c r="V1638" s="212" t="str">
        <f t="shared" si="5"/>
        <v>RUN-COMB_2022-08-09_RFR-094</v>
      </c>
      <c r="W1638" s="51"/>
      <c r="X1638" s="51"/>
      <c r="Y1638" s="147" t="str">
        <f t="shared" ref="Y1638:Z1638" si="3276">IF(_xlfn.ISFORMULA(S1638),IFERROR(0/0,""),TRUE)</f>
        <v/>
      </c>
      <c r="Z1638" s="147" t="str">
        <f t="shared" si="3276"/>
        <v/>
      </c>
    </row>
    <row r="1639">
      <c r="A1639" s="6" t="str">
        <f>IFERROR(__xludf.DUMMYFUNCTION("""COMPUTED_VALUE"""),"FM3062")</f>
        <v>FM3062</v>
      </c>
      <c r="B1639" s="206">
        <f>IFERROR(__xludf.DUMMYFUNCTION("""COMPUTED_VALUE"""),44782.0)</f>
        <v>44782</v>
      </c>
      <c r="C1639" s="207">
        <f>IFERROR(__xludf.DUMMYFUNCTION("""COMPUTED_VALUE"""),0.29863425925925924)</f>
        <v>0.2986342593</v>
      </c>
      <c r="D1639" s="50"/>
      <c r="E1639" s="58"/>
      <c r="F1639" s="58"/>
      <c r="G1639" s="58" t="str">
        <f>IFERROR(__xludf.DUMMYFUNCTION("""COMPUTED_VALUE"""),"Null")</f>
        <v>Null</v>
      </c>
      <c r="H1639" s="206" t="str">
        <f>IFERROR(__xludf.DUMMYFUNCTION("""COMPUTED_VALUE"""),"Negative")</f>
        <v>Negative</v>
      </c>
      <c r="I1639" s="207"/>
      <c r="J1639" s="50"/>
      <c r="K1639" s="50">
        <f>IFERROR(__xludf.DUMMYFUNCTION("""COMPUTED_VALUE"""),2.0)</f>
        <v>2</v>
      </c>
      <c r="L1639" s="6"/>
      <c r="M1639" s="55"/>
      <c r="N1639" s="55">
        <f>IFERROR(__xludf.DUMMYFUNCTION("""COMPUTED_VALUE"""),1.0)</f>
        <v>1</v>
      </c>
      <c r="O1639" s="55" t="str">
        <f t="shared" si="3"/>
        <v/>
      </c>
      <c r="P1639" s="209"/>
      <c r="Q1639" s="75" t="b">
        <f>VLOOKUP($B1639,'Run Reconcile'!B$2:P1679,15,FALSE)</f>
        <v>1</v>
      </c>
      <c r="R1639" s="211" t="str">
        <f t="array" ref="R1639">IF($Q1639, INDEX('Run Reconcile'!A$2:A1679,MATCH(B1639,'Run Reconcile'!B$2:B1679,0),1),IFERROR(0/0,""))</f>
        <v>RUN-COMB_2022-08-09_RFR-094</v>
      </c>
      <c r="S1639" s="165" t="str">
        <f t="shared" ref="S1639:T1639" si="3277">IF(COUNTIF(W$2:W1679, $A1639) &gt; 0,TRUE,IFERROR(0/0,""))</f>
        <v/>
      </c>
      <c r="T1639" s="165" t="str">
        <f t="shared" si="3277"/>
        <v/>
      </c>
      <c r="U1639" s="147" t="str">
        <f t="array" ref="U1639">IF(ISBLANK($R1639), IF($S1639,VLOOKUP($B1639+1,'RFR Data - preExcl'!$BF$2:$BG1679,2,FALSE),IF($T1639,INDEX('RFR Data - preExcl'!$BF$2:$BG1679,MATCH($B1639,'RFR Data - preExcl'!$BF$2:$BF1679,0)+1,2),VLOOKUP($B1639,'RFR Data - preExcl'!$BF$2:$BG1679,2,FALSE))),IFERROR(0/0,""))</f>
        <v/>
      </c>
      <c r="V1639" s="212" t="str">
        <f t="shared" si="5"/>
        <v>RUN-COMB_2022-08-09_RFR-094</v>
      </c>
      <c r="W1639" s="51"/>
      <c r="X1639" s="51"/>
      <c r="Y1639" s="147" t="str">
        <f t="shared" ref="Y1639:Z1639" si="3278">IF(_xlfn.ISFORMULA(S1639),IFERROR(0/0,""),TRUE)</f>
        <v/>
      </c>
      <c r="Z1639" s="147" t="str">
        <f t="shared" si="3278"/>
        <v/>
      </c>
    </row>
    <row r="1640">
      <c r="A1640" s="6" t="str">
        <f>IFERROR(__xludf.DUMMYFUNCTION("""COMPUTED_VALUE"""),"FM3083")</f>
        <v>FM3083</v>
      </c>
      <c r="B1640" s="206">
        <f>IFERROR(__xludf.DUMMYFUNCTION("""COMPUTED_VALUE"""),44782.0)</f>
        <v>44782</v>
      </c>
      <c r="C1640" s="207">
        <f>IFERROR(__xludf.DUMMYFUNCTION("""COMPUTED_VALUE"""),0.29891203703703706)</f>
        <v>0.298912037</v>
      </c>
      <c r="D1640" s="50"/>
      <c r="E1640" s="58"/>
      <c r="F1640" s="58"/>
      <c r="G1640" s="58" t="str">
        <f>IFERROR(__xludf.DUMMYFUNCTION("""COMPUTED_VALUE"""),"Null")</f>
        <v>Null</v>
      </c>
      <c r="H1640" s="206" t="str">
        <f>IFERROR(__xludf.DUMMYFUNCTION("""COMPUTED_VALUE"""),"Negative")</f>
        <v>Negative</v>
      </c>
      <c r="I1640" s="207"/>
      <c r="J1640" s="50"/>
      <c r="K1640" s="50">
        <f>IFERROR(__xludf.DUMMYFUNCTION("""COMPUTED_VALUE"""),2.0)</f>
        <v>2</v>
      </c>
      <c r="L1640" s="6"/>
      <c r="M1640" s="55"/>
      <c r="N1640" s="55">
        <f>IFERROR(__xludf.DUMMYFUNCTION("""COMPUTED_VALUE"""),1.0)</f>
        <v>1</v>
      </c>
      <c r="O1640" s="55" t="str">
        <f t="shared" si="3"/>
        <v/>
      </c>
      <c r="P1640" s="209"/>
      <c r="Q1640" s="75" t="b">
        <f>VLOOKUP($B1640,'Run Reconcile'!B$2:P1679,15,FALSE)</f>
        <v>1</v>
      </c>
      <c r="R1640" s="211" t="str">
        <f t="array" ref="R1640">IF($Q1640, INDEX('Run Reconcile'!A$2:A1679,MATCH(B1640,'Run Reconcile'!B$2:B1679,0),1),IFERROR(0/0,""))</f>
        <v>RUN-COMB_2022-08-09_RFR-094</v>
      </c>
      <c r="S1640" s="165" t="str">
        <f t="shared" ref="S1640:T1640" si="3279">IF(COUNTIF(W$2:W1679, $A1640) &gt; 0,TRUE,IFERROR(0/0,""))</f>
        <v/>
      </c>
      <c r="T1640" s="165" t="str">
        <f t="shared" si="3279"/>
        <v/>
      </c>
      <c r="U1640" s="147" t="str">
        <f t="array" ref="U1640">IF(ISBLANK($R1640), IF($S1640,VLOOKUP($B1640+1,'RFR Data - preExcl'!$BF$2:$BG1679,2,FALSE),IF($T1640,INDEX('RFR Data - preExcl'!$BF$2:$BG1679,MATCH($B1640,'RFR Data - preExcl'!$BF$2:$BF1679,0)+1,2),VLOOKUP($B1640,'RFR Data - preExcl'!$BF$2:$BG1679,2,FALSE))),IFERROR(0/0,""))</f>
        <v/>
      </c>
      <c r="V1640" s="212" t="str">
        <f t="shared" si="5"/>
        <v>RUN-COMB_2022-08-09_RFR-094</v>
      </c>
      <c r="W1640" s="51"/>
      <c r="X1640" s="51"/>
      <c r="Y1640" s="147" t="str">
        <f t="shared" ref="Y1640:Z1640" si="3280">IF(_xlfn.ISFORMULA(S1640),IFERROR(0/0,""),TRUE)</f>
        <v/>
      </c>
      <c r="Z1640" s="147" t="str">
        <f t="shared" si="3280"/>
        <v/>
      </c>
    </row>
    <row r="1641">
      <c r="A1641" s="6" t="str">
        <f>IFERROR(__xludf.DUMMYFUNCTION("""COMPUTED_VALUE"""),"FM3050")</f>
        <v>FM3050</v>
      </c>
      <c r="B1641" s="206">
        <f>IFERROR(__xludf.DUMMYFUNCTION("""COMPUTED_VALUE"""),44782.0)</f>
        <v>44782</v>
      </c>
      <c r="C1641" s="207">
        <f>IFERROR(__xludf.DUMMYFUNCTION("""COMPUTED_VALUE"""),0.29922453703703705)</f>
        <v>0.299224537</v>
      </c>
      <c r="D1641" s="50"/>
      <c r="E1641" s="58"/>
      <c r="F1641" s="58"/>
      <c r="G1641" s="58" t="str">
        <f>IFERROR(__xludf.DUMMYFUNCTION("""COMPUTED_VALUE"""),"Null")</f>
        <v>Null</v>
      </c>
      <c r="H1641" s="206" t="str">
        <f>IFERROR(__xludf.DUMMYFUNCTION("""COMPUTED_VALUE"""),"Negative")</f>
        <v>Negative</v>
      </c>
      <c r="I1641" s="207"/>
      <c r="J1641" s="50"/>
      <c r="K1641" s="50">
        <f>IFERROR(__xludf.DUMMYFUNCTION("""COMPUTED_VALUE"""),2.0)</f>
        <v>2</v>
      </c>
      <c r="L1641" s="6"/>
      <c r="M1641" s="55"/>
      <c r="N1641" s="55">
        <f>IFERROR(__xludf.DUMMYFUNCTION("""COMPUTED_VALUE"""),1.0)</f>
        <v>1</v>
      </c>
      <c r="O1641" s="55" t="str">
        <f t="shared" si="3"/>
        <v/>
      </c>
      <c r="P1641" s="209"/>
      <c r="Q1641" s="75" t="b">
        <f>VLOOKUP($B1641,'Run Reconcile'!B$2:P1679,15,FALSE)</f>
        <v>1</v>
      </c>
      <c r="R1641" s="211" t="str">
        <f t="array" ref="R1641">IF($Q1641, INDEX('Run Reconcile'!A$2:A1679,MATCH(B1641,'Run Reconcile'!B$2:B1679,0),1),IFERROR(0/0,""))</f>
        <v>RUN-COMB_2022-08-09_RFR-094</v>
      </c>
      <c r="S1641" s="165" t="str">
        <f t="shared" ref="S1641:T1641" si="3281">IF(COUNTIF(W$2:W1679, $A1641) &gt; 0,TRUE,IFERROR(0/0,""))</f>
        <v/>
      </c>
      <c r="T1641" s="165" t="str">
        <f t="shared" si="3281"/>
        <v/>
      </c>
      <c r="U1641" s="147" t="str">
        <f t="array" ref="U1641">IF(ISBLANK($R1641), IF($S1641,VLOOKUP($B1641+1,'RFR Data - preExcl'!$BF$2:$BG1679,2,FALSE),IF($T1641,INDEX('RFR Data - preExcl'!$BF$2:$BG1679,MATCH($B1641,'RFR Data - preExcl'!$BF$2:$BF1679,0)+1,2),VLOOKUP($B1641,'RFR Data - preExcl'!$BF$2:$BG1679,2,FALSE))),IFERROR(0/0,""))</f>
        <v/>
      </c>
      <c r="V1641" s="212" t="str">
        <f t="shared" si="5"/>
        <v>RUN-COMB_2022-08-09_RFR-094</v>
      </c>
      <c r="W1641" s="51"/>
      <c r="X1641" s="51"/>
      <c r="Y1641" s="147" t="str">
        <f t="shared" ref="Y1641:Z1641" si="3282">IF(_xlfn.ISFORMULA(S1641),IFERROR(0/0,""),TRUE)</f>
        <v/>
      </c>
      <c r="Z1641" s="147" t="str">
        <f t="shared" si="3282"/>
        <v/>
      </c>
    </row>
    <row r="1642">
      <c r="A1642" s="6" t="str">
        <f>IFERROR(__xludf.DUMMYFUNCTION("""COMPUTED_VALUE"""),"FM3038")</f>
        <v>FM3038</v>
      </c>
      <c r="B1642" s="206">
        <f>IFERROR(__xludf.DUMMYFUNCTION("""COMPUTED_VALUE"""),44782.0)</f>
        <v>44782</v>
      </c>
      <c r="C1642" s="207">
        <f>IFERROR(__xludf.DUMMYFUNCTION("""COMPUTED_VALUE"""),0.2995023148148148)</f>
        <v>0.2995023148</v>
      </c>
      <c r="D1642" s="50"/>
      <c r="E1642" s="58"/>
      <c r="F1642" s="58"/>
      <c r="G1642" s="58" t="str">
        <f>IFERROR(__xludf.DUMMYFUNCTION("""COMPUTED_VALUE"""),"Null")</f>
        <v>Null</v>
      </c>
      <c r="H1642" s="206" t="str">
        <f>IFERROR(__xludf.DUMMYFUNCTION("""COMPUTED_VALUE"""),"Negative")</f>
        <v>Negative</v>
      </c>
      <c r="I1642" s="207"/>
      <c r="J1642" s="50"/>
      <c r="K1642" s="50">
        <f>IFERROR(__xludf.DUMMYFUNCTION("""COMPUTED_VALUE"""),2.0)</f>
        <v>2</v>
      </c>
      <c r="L1642" s="6"/>
      <c r="M1642" s="55"/>
      <c r="N1642" s="55">
        <f>IFERROR(__xludf.DUMMYFUNCTION("""COMPUTED_VALUE"""),1.0)</f>
        <v>1</v>
      </c>
      <c r="O1642" s="55" t="str">
        <f t="shared" si="3"/>
        <v/>
      </c>
      <c r="P1642" s="209"/>
      <c r="Q1642" s="75" t="b">
        <f>VLOOKUP($B1642,'Run Reconcile'!B$2:P1679,15,FALSE)</f>
        <v>1</v>
      </c>
      <c r="R1642" s="211" t="str">
        <f t="array" ref="R1642">IF($Q1642, INDEX('Run Reconcile'!A$2:A1679,MATCH(B1642,'Run Reconcile'!B$2:B1679,0),1),IFERROR(0/0,""))</f>
        <v>RUN-COMB_2022-08-09_RFR-094</v>
      </c>
      <c r="S1642" s="165" t="str">
        <f t="shared" ref="S1642:T1642" si="3283">IF(COUNTIF(W$2:W1679, $A1642) &gt; 0,TRUE,IFERROR(0/0,""))</f>
        <v/>
      </c>
      <c r="T1642" s="165" t="str">
        <f t="shared" si="3283"/>
        <v/>
      </c>
      <c r="U1642" s="147" t="str">
        <f t="array" ref="U1642">IF(ISBLANK($R1642), IF($S1642,VLOOKUP($B1642+1,'RFR Data - preExcl'!$BF$2:$BG1679,2,FALSE),IF($T1642,INDEX('RFR Data - preExcl'!$BF$2:$BG1679,MATCH($B1642,'RFR Data - preExcl'!$BF$2:$BF1679,0)+1,2),VLOOKUP($B1642,'RFR Data - preExcl'!$BF$2:$BG1679,2,FALSE))),IFERROR(0/0,""))</f>
        <v/>
      </c>
      <c r="V1642" s="212" t="str">
        <f t="shared" si="5"/>
        <v>RUN-COMB_2022-08-09_RFR-094</v>
      </c>
      <c r="W1642" s="51"/>
      <c r="X1642" s="51"/>
      <c r="Y1642" s="147" t="str">
        <f t="shared" ref="Y1642:Z1642" si="3284">IF(_xlfn.ISFORMULA(S1642),IFERROR(0/0,""),TRUE)</f>
        <v/>
      </c>
      <c r="Z1642" s="147" t="str">
        <f t="shared" si="3284"/>
        <v/>
      </c>
    </row>
    <row r="1643">
      <c r="A1643" s="6" t="str">
        <f>IFERROR(__xludf.DUMMYFUNCTION("""COMPUTED_VALUE"""),"FM3049")</f>
        <v>FM3049</v>
      </c>
      <c r="B1643" s="206">
        <f>IFERROR(__xludf.DUMMYFUNCTION("""COMPUTED_VALUE"""),44782.0)</f>
        <v>44782</v>
      </c>
      <c r="C1643" s="207">
        <f>IFERROR(__xludf.DUMMYFUNCTION("""COMPUTED_VALUE"""),0.29976851851851855)</f>
        <v>0.2997685185</v>
      </c>
      <c r="D1643" s="50"/>
      <c r="E1643" s="58"/>
      <c r="F1643" s="58"/>
      <c r="G1643" s="58" t="str">
        <f>IFERROR(__xludf.DUMMYFUNCTION("""COMPUTED_VALUE"""),"Null")</f>
        <v>Null</v>
      </c>
      <c r="H1643" s="206" t="str">
        <f>IFERROR(__xludf.DUMMYFUNCTION("""COMPUTED_VALUE"""),"Negative")</f>
        <v>Negative</v>
      </c>
      <c r="I1643" s="207"/>
      <c r="J1643" s="50"/>
      <c r="K1643" s="50">
        <f>IFERROR(__xludf.DUMMYFUNCTION("""COMPUTED_VALUE"""),2.0)</f>
        <v>2</v>
      </c>
      <c r="L1643" s="6"/>
      <c r="M1643" s="55"/>
      <c r="N1643" s="55">
        <f>IFERROR(__xludf.DUMMYFUNCTION("""COMPUTED_VALUE"""),1.0)</f>
        <v>1</v>
      </c>
      <c r="O1643" s="55" t="str">
        <f t="shared" si="3"/>
        <v/>
      </c>
      <c r="P1643" s="209"/>
      <c r="Q1643" s="75" t="b">
        <f>VLOOKUP($B1643,'Run Reconcile'!B$2:P1679,15,FALSE)</f>
        <v>1</v>
      </c>
      <c r="R1643" s="211" t="str">
        <f t="array" ref="R1643">IF($Q1643, INDEX('Run Reconcile'!A$2:A1679,MATCH(B1643,'Run Reconcile'!B$2:B1679,0),1),IFERROR(0/0,""))</f>
        <v>RUN-COMB_2022-08-09_RFR-094</v>
      </c>
      <c r="S1643" s="165" t="str">
        <f t="shared" ref="S1643:T1643" si="3285">IF(COUNTIF(W$2:W1679, $A1643) &gt; 0,TRUE,IFERROR(0/0,""))</f>
        <v/>
      </c>
      <c r="T1643" s="165" t="str">
        <f t="shared" si="3285"/>
        <v/>
      </c>
      <c r="U1643" s="147" t="str">
        <f t="array" ref="U1643">IF(ISBLANK($R1643), IF($S1643,VLOOKUP($B1643+1,'RFR Data - preExcl'!$BF$2:$BG1679,2,FALSE),IF($T1643,INDEX('RFR Data - preExcl'!$BF$2:$BG1679,MATCH($B1643,'RFR Data - preExcl'!$BF$2:$BF1679,0)+1,2),VLOOKUP($B1643,'RFR Data - preExcl'!$BF$2:$BG1679,2,FALSE))),IFERROR(0/0,""))</f>
        <v/>
      </c>
      <c r="V1643" s="212" t="str">
        <f t="shared" si="5"/>
        <v>RUN-COMB_2022-08-09_RFR-094</v>
      </c>
      <c r="W1643" s="51"/>
      <c r="X1643" s="51"/>
      <c r="Y1643" s="147" t="str">
        <f t="shared" ref="Y1643:Z1643" si="3286">IF(_xlfn.ISFORMULA(S1643),IFERROR(0/0,""),TRUE)</f>
        <v/>
      </c>
      <c r="Z1643" s="147" t="str">
        <f t="shared" si="3286"/>
        <v/>
      </c>
    </row>
    <row r="1644">
      <c r="A1644" s="6" t="str">
        <f>IFERROR(__xludf.DUMMYFUNCTION("""COMPUTED_VALUE"""),"FM3056")</f>
        <v>FM3056</v>
      </c>
      <c r="B1644" s="206">
        <f>IFERROR(__xludf.DUMMYFUNCTION("""COMPUTED_VALUE"""),44782.0)</f>
        <v>44782</v>
      </c>
      <c r="C1644" s="207">
        <f>IFERROR(__xludf.DUMMYFUNCTION("""COMPUTED_VALUE"""),0.30008101851851854)</f>
        <v>0.3000810185</v>
      </c>
      <c r="D1644" s="50"/>
      <c r="E1644" s="58"/>
      <c r="F1644" s="58"/>
      <c r="G1644" s="58" t="str">
        <f>IFERROR(__xludf.DUMMYFUNCTION("""COMPUTED_VALUE"""),"Null")</f>
        <v>Null</v>
      </c>
      <c r="H1644" s="206" t="str">
        <f>IFERROR(__xludf.DUMMYFUNCTION("""COMPUTED_VALUE"""),"Negative")</f>
        <v>Negative</v>
      </c>
      <c r="I1644" s="207"/>
      <c r="J1644" s="50"/>
      <c r="K1644" s="50">
        <f>IFERROR(__xludf.DUMMYFUNCTION("""COMPUTED_VALUE"""),2.0)</f>
        <v>2</v>
      </c>
      <c r="L1644" s="6"/>
      <c r="M1644" s="55"/>
      <c r="N1644" s="55">
        <f>IFERROR(__xludf.DUMMYFUNCTION("""COMPUTED_VALUE"""),1.0)</f>
        <v>1</v>
      </c>
      <c r="O1644" s="55" t="str">
        <f t="shared" si="3"/>
        <v/>
      </c>
      <c r="P1644" s="209"/>
      <c r="Q1644" s="75" t="b">
        <f>VLOOKUP($B1644,'Run Reconcile'!B$2:P1679,15,FALSE)</f>
        <v>1</v>
      </c>
      <c r="R1644" s="211" t="str">
        <f t="array" ref="R1644">IF($Q1644, INDEX('Run Reconcile'!A$2:A1679,MATCH(B1644,'Run Reconcile'!B$2:B1679,0),1),IFERROR(0/0,""))</f>
        <v>RUN-COMB_2022-08-09_RFR-094</v>
      </c>
      <c r="S1644" s="165" t="str">
        <f t="shared" ref="S1644:T1644" si="3287">IF(COUNTIF(W$2:W1679, $A1644) &gt; 0,TRUE,IFERROR(0/0,""))</f>
        <v/>
      </c>
      <c r="T1644" s="165" t="str">
        <f t="shared" si="3287"/>
        <v/>
      </c>
      <c r="U1644" s="147" t="str">
        <f t="array" ref="U1644">IF(ISBLANK($R1644), IF($S1644,VLOOKUP($B1644+1,'RFR Data - preExcl'!$BF$2:$BG1679,2,FALSE),IF($T1644,INDEX('RFR Data - preExcl'!$BF$2:$BG1679,MATCH($B1644,'RFR Data - preExcl'!$BF$2:$BF1679,0)+1,2),VLOOKUP($B1644,'RFR Data - preExcl'!$BF$2:$BG1679,2,FALSE))),IFERROR(0/0,""))</f>
        <v/>
      </c>
      <c r="V1644" s="212" t="str">
        <f t="shared" si="5"/>
        <v>RUN-COMB_2022-08-09_RFR-094</v>
      </c>
      <c r="W1644" s="51"/>
      <c r="X1644" s="51"/>
      <c r="Y1644" s="147" t="str">
        <f t="shared" ref="Y1644:Z1644" si="3288">IF(_xlfn.ISFORMULA(S1644),IFERROR(0/0,""),TRUE)</f>
        <v/>
      </c>
      <c r="Z1644" s="147" t="str">
        <f t="shared" si="3288"/>
        <v/>
      </c>
    </row>
    <row r="1645">
      <c r="A1645" s="6" t="str">
        <f>IFERROR(__xludf.DUMMYFUNCTION("""COMPUTED_VALUE"""),"FM3016")</f>
        <v>FM3016</v>
      </c>
      <c r="B1645" s="206">
        <f>IFERROR(__xludf.DUMMYFUNCTION("""COMPUTED_VALUE"""),44782.0)</f>
        <v>44782</v>
      </c>
      <c r="C1645" s="207">
        <f>IFERROR(__xludf.DUMMYFUNCTION("""COMPUTED_VALUE"""),0.3003472222222222)</f>
        <v>0.3003472222</v>
      </c>
      <c r="D1645" s="50"/>
      <c r="E1645" s="58"/>
      <c r="F1645" s="58"/>
      <c r="G1645" s="58" t="str">
        <f>IFERROR(__xludf.DUMMYFUNCTION("""COMPUTED_VALUE"""),"Null")</f>
        <v>Null</v>
      </c>
      <c r="H1645" s="206" t="str">
        <f>IFERROR(__xludf.DUMMYFUNCTION("""COMPUTED_VALUE"""),"Negative")</f>
        <v>Negative</v>
      </c>
      <c r="I1645" s="207"/>
      <c r="J1645" s="50"/>
      <c r="K1645" s="50">
        <f>IFERROR(__xludf.DUMMYFUNCTION("""COMPUTED_VALUE"""),2.0)</f>
        <v>2</v>
      </c>
      <c r="L1645" s="6"/>
      <c r="M1645" s="55"/>
      <c r="N1645" s="55">
        <f>IFERROR(__xludf.DUMMYFUNCTION("""COMPUTED_VALUE"""),1.0)</f>
        <v>1</v>
      </c>
      <c r="O1645" s="55" t="str">
        <f t="shared" si="3"/>
        <v/>
      </c>
      <c r="P1645" s="209"/>
      <c r="Q1645" s="75" t="b">
        <f>VLOOKUP($B1645,'Run Reconcile'!B$2:P1679,15,FALSE)</f>
        <v>1</v>
      </c>
      <c r="R1645" s="211" t="str">
        <f t="array" ref="R1645">IF($Q1645, INDEX('Run Reconcile'!A$2:A1679,MATCH(B1645,'Run Reconcile'!B$2:B1679,0),1),IFERROR(0/0,""))</f>
        <v>RUN-COMB_2022-08-09_RFR-094</v>
      </c>
      <c r="S1645" s="165" t="str">
        <f t="shared" ref="S1645:T1645" si="3289">IF(COUNTIF(W$2:W1679, $A1645) &gt; 0,TRUE,IFERROR(0/0,""))</f>
        <v/>
      </c>
      <c r="T1645" s="165" t="str">
        <f t="shared" si="3289"/>
        <v/>
      </c>
      <c r="U1645" s="147" t="str">
        <f t="array" ref="U1645">IF(ISBLANK($R1645), IF($S1645,VLOOKUP($B1645+1,'RFR Data - preExcl'!$BF$2:$BG1679,2,FALSE),IF($T1645,INDEX('RFR Data - preExcl'!$BF$2:$BG1679,MATCH($B1645,'RFR Data - preExcl'!$BF$2:$BF1679,0)+1,2),VLOOKUP($B1645,'RFR Data - preExcl'!$BF$2:$BG1679,2,FALSE))),IFERROR(0/0,""))</f>
        <v/>
      </c>
      <c r="V1645" s="212" t="str">
        <f t="shared" si="5"/>
        <v>RUN-COMB_2022-08-09_RFR-094</v>
      </c>
      <c r="W1645" s="51"/>
      <c r="X1645" s="51"/>
      <c r="Y1645" s="147" t="str">
        <f t="shared" ref="Y1645:Z1645" si="3290">IF(_xlfn.ISFORMULA(S1645),IFERROR(0/0,""),TRUE)</f>
        <v/>
      </c>
      <c r="Z1645" s="147" t="str">
        <f t="shared" si="3290"/>
        <v/>
      </c>
    </row>
    <row r="1646">
      <c r="A1646" s="6" t="str">
        <f>IFERROR(__xludf.DUMMYFUNCTION("""COMPUTED_VALUE"""),"FM3010")</f>
        <v>FM3010</v>
      </c>
      <c r="B1646" s="206">
        <f>IFERROR(__xludf.DUMMYFUNCTION("""COMPUTED_VALUE"""),44782.0)</f>
        <v>44782</v>
      </c>
      <c r="C1646" s="207">
        <f>IFERROR(__xludf.DUMMYFUNCTION("""COMPUTED_VALUE"""),0.30061342592592594)</f>
        <v>0.3006134259</v>
      </c>
      <c r="D1646" s="50"/>
      <c r="E1646" s="58"/>
      <c r="F1646" s="58"/>
      <c r="G1646" s="58" t="str">
        <f>IFERROR(__xludf.DUMMYFUNCTION("""COMPUTED_VALUE"""),"Null")</f>
        <v>Null</v>
      </c>
      <c r="H1646" s="206" t="str">
        <f>IFERROR(__xludf.DUMMYFUNCTION("""COMPUTED_VALUE"""),"Negative")</f>
        <v>Negative</v>
      </c>
      <c r="I1646" s="207"/>
      <c r="J1646" s="50"/>
      <c r="K1646" s="50">
        <f>IFERROR(__xludf.DUMMYFUNCTION("""COMPUTED_VALUE"""),2.0)</f>
        <v>2</v>
      </c>
      <c r="L1646" s="6"/>
      <c r="M1646" s="55"/>
      <c r="N1646" s="55">
        <f>IFERROR(__xludf.DUMMYFUNCTION("""COMPUTED_VALUE"""),1.0)</f>
        <v>1</v>
      </c>
      <c r="O1646" s="55" t="str">
        <f t="shared" si="3"/>
        <v/>
      </c>
      <c r="P1646" s="209"/>
      <c r="Q1646" s="75" t="b">
        <f>VLOOKUP($B1646,'Run Reconcile'!B$2:P1679,15,FALSE)</f>
        <v>1</v>
      </c>
      <c r="R1646" s="211" t="str">
        <f t="array" ref="R1646">IF($Q1646, INDEX('Run Reconcile'!A$2:A1679,MATCH(B1646,'Run Reconcile'!B$2:B1679,0),1),IFERROR(0/0,""))</f>
        <v>RUN-COMB_2022-08-09_RFR-094</v>
      </c>
      <c r="S1646" s="165" t="str">
        <f t="shared" ref="S1646:T1646" si="3291">IF(COUNTIF(W$2:W1679, $A1646) &gt; 0,TRUE,IFERROR(0/0,""))</f>
        <v/>
      </c>
      <c r="T1646" s="165" t="str">
        <f t="shared" si="3291"/>
        <v/>
      </c>
      <c r="U1646" s="147" t="str">
        <f t="array" ref="U1646">IF(ISBLANK($R1646), IF($S1646,VLOOKUP($B1646+1,'RFR Data - preExcl'!$BF$2:$BG1679,2,FALSE),IF($T1646,INDEX('RFR Data - preExcl'!$BF$2:$BG1679,MATCH($B1646,'RFR Data - preExcl'!$BF$2:$BF1679,0)+1,2),VLOOKUP($B1646,'RFR Data - preExcl'!$BF$2:$BG1679,2,FALSE))),IFERROR(0/0,""))</f>
        <v/>
      </c>
      <c r="V1646" s="212" t="str">
        <f t="shared" si="5"/>
        <v>RUN-COMB_2022-08-09_RFR-094</v>
      </c>
      <c r="W1646" s="51"/>
      <c r="X1646" s="51"/>
      <c r="Y1646" s="147" t="str">
        <f t="shared" ref="Y1646:Z1646" si="3292">IF(_xlfn.ISFORMULA(S1646),IFERROR(0/0,""),TRUE)</f>
        <v/>
      </c>
      <c r="Z1646" s="147" t="str">
        <f t="shared" si="3292"/>
        <v/>
      </c>
    </row>
    <row r="1647">
      <c r="A1647" s="6" t="str">
        <f>IFERROR(__xludf.DUMMYFUNCTION("""COMPUTED_VALUE"""),"FM3009")</f>
        <v>FM3009</v>
      </c>
      <c r="B1647" s="206">
        <f>IFERROR(__xludf.DUMMYFUNCTION("""COMPUTED_VALUE"""),44782.0)</f>
        <v>44782</v>
      </c>
      <c r="C1647" s="207">
        <f>IFERROR(__xludf.DUMMYFUNCTION("""COMPUTED_VALUE"""),0.30086805555555557)</f>
        <v>0.3008680556</v>
      </c>
      <c r="D1647" s="50"/>
      <c r="E1647" s="58"/>
      <c r="F1647" s="58"/>
      <c r="G1647" s="58" t="str">
        <f>IFERROR(__xludf.DUMMYFUNCTION("""COMPUTED_VALUE"""),"Null")</f>
        <v>Null</v>
      </c>
      <c r="H1647" s="206" t="str">
        <f>IFERROR(__xludf.DUMMYFUNCTION("""COMPUTED_VALUE"""),"Negative")</f>
        <v>Negative</v>
      </c>
      <c r="I1647" s="207"/>
      <c r="J1647" s="50"/>
      <c r="K1647" s="50">
        <f>IFERROR(__xludf.DUMMYFUNCTION("""COMPUTED_VALUE"""),2.0)</f>
        <v>2</v>
      </c>
      <c r="L1647" s="6"/>
      <c r="M1647" s="55"/>
      <c r="N1647" s="55">
        <f>IFERROR(__xludf.DUMMYFUNCTION("""COMPUTED_VALUE"""),1.0)</f>
        <v>1</v>
      </c>
      <c r="O1647" s="55" t="str">
        <f t="shared" si="3"/>
        <v/>
      </c>
      <c r="P1647" s="209"/>
      <c r="Q1647" s="75" t="b">
        <f>VLOOKUP($B1647,'Run Reconcile'!B$2:P1679,15,FALSE)</f>
        <v>1</v>
      </c>
      <c r="R1647" s="211" t="str">
        <f t="array" ref="R1647">IF($Q1647, INDEX('Run Reconcile'!A$2:A1679,MATCH(B1647,'Run Reconcile'!B$2:B1679,0),1),IFERROR(0/0,""))</f>
        <v>RUN-COMB_2022-08-09_RFR-094</v>
      </c>
      <c r="S1647" s="165" t="str">
        <f t="shared" ref="S1647:T1647" si="3293">IF(COUNTIF(W$2:W1679, $A1647) &gt; 0,TRUE,IFERROR(0/0,""))</f>
        <v/>
      </c>
      <c r="T1647" s="165" t="str">
        <f t="shared" si="3293"/>
        <v/>
      </c>
      <c r="U1647" s="147" t="str">
        <f t="array" ref="U1647">IF(ISBLANK($R1647), IF($S1647,VLOOKUP($B1647+1,'RFR Data - preExcl'!$BF$2:$BG1679,2,FALSE),IF($T1647,INDEX('RFR Data - preExcl'!$BF$2:$BG1679,MATCH($B1647,'RFR Data - preExcl'!$BF$2:$BF1679,0)+1,2),VLOOKUP($B1647,'RFR Data - preExcl'!$BF$2:$BG1679,2,FALSE))),IFERROR(0/0,""))</f>
        <v/>
      </c>
      <c r="V1647" s="212" t="str">
        <f t="shared" si="5"/>
        <v>RUN-COMB_2022-08-09_RFR-094</v>
      </c>
      <c r="W1647" s="51"/>
      <c r="X1647" s="51"/>
      <c r="Y1647" s="147" t="str">
        <f t="shared" ref="Y1647:Z1647" si="3294">IF(_xlfn.ISFORMULA(S1647),IFERROR(0/0,""),TRUE)</f>
        <v/>
      </c>
      <c r="Z1647" s="147" t="str">
        <f t="shared" si="3294"/>
        <v/>
      </c>
    </row>
    <row r="1648">
      <c r="A1648" s="6" t="str">
        <f>IFERROR(__xludf.DUMMYFUNCTION("""COMPUTED_VALUE"""),"FM3028")</f>
        <v>FM3028</v>
      </c>
      <c r="B1648" s="206">
        <f>IFERROR(__xludf.DUMMYFUNCTION("""COMPUTED_VALUE"""),44782.0)</f>
        <v>44782</v>
      </c>
      <c r="C1648" s="207">
        <f>IFERROR(__xludf.DUMMYFUNCTION("""COMPUTED_VALUE"""),0.3011226851851852)</f>
        <v>0.3011226852</v>
      </c>
      <c r="D1648" s="50"/>
      <c r="E1648" s="58"/>
      <c r="F1648" s="58"/>
      <c r="G1648" s="58" t="str">
        <f>IFERROR(__xludf.DUMMYFUNCTION("""COMPUTED_VALUE"""),"Null")</f>
        <v>Null</v>
      </c>
      <c r="H1648" s="206" t="str">
        <f>IFERROR(__xludf.DUMMYFUNCTION("""COMPUTED_VALUE"""),"Negative")</f>
        <v>Negative</v>
      </c>
      <c r="I1648" s="207"/>
      <c r="J1648" s="50"/>
      <c r="K1648" s="50">
        <f>IFERROR(__xludf.DUMMYFUNCTION("""COMPUTED_VALUE"""),2.0)</f>
        <v>2</v>
      </c>
      <c r="L1648" s="6"/>
      <c r="M1648" s="55"/>
      <c r="N1648" s="55">
        <f>IFERROR(__xludf.DUMMYFUNCTION("""COMPUTED_VALUE"""),1.0)</f>
        <v>1</v>
      </c>
      <c r="O1648" s="55" t="str">
        <f t="shared" si="3"/>
        <v/>
      </c>
      <c r="P1648" s="209"/>
      <c r="Q1648" s="75" t="b">
        <f>VLOOKUP($B1648,'Run Reconcile'!B$2:P1679,15,FALSE)</f>
        <v>1</v>
      </c>
      <c r="R1648" s="211" t="str">
        <f t="array" ref="R1648">IF($Q1648, INDEX('Run Reconcile'!A$2:A1679,MATCH(B1648,'Run Reconcile'!B$2:B1679,0),1),IFERROR(0/0,""))</f>
        <v>RUN-COMB_2022-08-09_RFR-094</v>
      </c>
      <c r="S1648" s="165" t="str">
        <f t="shared" ref="S1648:T1648" si="3295">IF(COUNTIF(W$2:W1679, $A1648) &gt; 0,TRUE,IFERROR(0/0,""))</f>
        <v/>
      </c>
      <c r="T1648" s="165" t="str">
        <f t="shared" si="3295"/>
        <v/>
      </c>
      <c r="U1648" s="147" t="str">
        <f t="array" ref="U1648">IF(ISBLANK($R1648), IF($S1648,VLOOKUP($B1648+1,'RFR Data - preExcl'!$BF$2:$BG1679,2,FALSE),IF($T1648,INDEX('RFR Data - preExcl'!$BF$2:$BG1679,MATCH($B1648,'RFR Data - preExcl'!$BF$2:$BF1679,0)+1,2),VLOOKUP($B1648,'RFR Data - preExcl'!$BF$2:$BG1679,2,FALSE))),IFERROR(0/0,""))</f>
        <v/>
      </c>
      <c r="V1648" s="212" t="str">
        <f t="shared" si="5"/>
        <v>RUN-COMB_2022-08-09_RFR-094</v>
      </c>
      <c r="W1648" s="51"/>
      <c r="X1648" s="51"/>
      <c r="Y1648" s="147" t="str">
        <f t="shared" ref="Y1648:Z1648" si="3296">IF(_xlfn.ISFORMULA(S1648),IFERROR(0/0,""),TRUE)</f>
        <v/>
      </c>
      <c r="Z1648" s="147" t="str">
        <f t="shared" si="3296"/>
        <v/>
      </c>
    </row>
    <row r="1649">
      <c r="A1649" s="6" t="str">
        <f>IFERROR(__xludf.DUMMYFUNCTION("""COMPUTED_VALUE"""),"FM3081")</f>
        <v>FM3081</v>
      </c>
      <c r="B1649" s="206">
        <f>IFERROR(__xludf.DUMMYFUNCTION("""COMPUTED_VALUE"""),44782.0)</f>
        <v>44782</v>
      </c>
      <c r="C1649" s="207">
        <f>IFERROR(__xludf.DUMMYFUNCTION("""COMPUTED_VALUE"""),0.3015277777777778)</f>
        <v>0.3015277778</v>
      </c>
      <c r="D1649" s="50"/>
      <c r="E1649" s="58"/>
      <c r="F1649" s="58"/>
      <c r="G1649" s="58" t="str">
        <f>IFERROR(__xludf.DUMMYFUNCTION("""COMPUTED_VALUE"""),"Null")</f>
        <v>Null</v>
      </c>
      <c r="H1649" s="206" t="str">
        <f>IFERROR(__xludf.DUMMYFUNCTION("""COMPUTED_VALUE"""),"Negative")</f>
        <v>Negative</v>
      </c>
      <c r="I1649" s="207"/>
      <c r="J1649" s="50"/>
      <c r="K1649" s="50">
        <f>IFERROR(__xludf.DUMMYFUNCTION("""COMPUTED_VALUE"""),2.0)</f>
        <v>2</v>
      </c>
      <c r="L1649" s="6"/>
      <c r="M1649" s="55"/>
      <c r="N1649" s="55">
        <f>IFERROR(__xludf.DUMMYFUNCTION("""COMPUTED_VALUE"""),1.0)</f>
        <v>1</v>
      </c>
      <c r="O1649" s="55" t="str">
        <f t="shared" si="3"/>
        <v/>
      </c>
      <c r="P1649" s="209"/>
      <c r="Q1649" s="75" t="b">
        <f>VLOOKUP($B1649,'Run Reconcile'!B$2:P1679,15,FALSE)</f>
        <v>1</v>
      </c>
      <c r="R1649" s="211" t="str">
        <f t="array" ref="R1649">IF($Q1649, INDEX('Run Reconcile'!A$2:A1679,MATCH(B1649,'Run Reconcile'!B$2:B1679,0),1),IFERROR(0/0,""))</f>
        <v>RUN-COMB_2022-08-09_RFR-094</v>
      </c>
      <c r="S1649" s="165" t="str">
        <f t="shared" ref="S1649:T1649" si="3297">IF(COUNTIF(W$2:W1679, $A1649) &gt; 0,TRUE,IFERROR(0/0,""))</f>
        <v/>
      </c>
      <c r="T1649" s="165" t="str">
        <f t="shared" si="3297"/>
        <v/>
      </c>
      <c r="U1649" s="147" t="str">
        <f t="array" ref="U1649">IF(ISBLANK($R1649), IF($S1649,VLOOKUP($B1649+1,'RFR Data - preExcl'!$BF$2:$BG1679,2,FALSE),IF($T1649,INDEX('RFR Data - preExcl'!$BF$2:$BG1679,MATCH($B1649,'RFR Data - preExcl'!$BF$2:$BF1679,0)+1,2),VLOOKUP($B1649,'RFR Data - preExcl'!$BF$2:$BG1679,2,FALSE))),IFERROR(0/0,""))</f>
        <v/>
      </c>
      <c r="V1649" s="212" t="str">
        <f t="shared" si="5"/>
        <v>RUN-COMB_2022-08-09_RFR-094</v>
      </c>
      <c r="W1649" s="51"/>
      <c r="X1649" s="51"/>
      <c r="Y1649" s="147" t="str">
        <f t="shared" ref="Y1649:Z1649" si="3298">IF(_xlfn.ISFORMULA(S1649),IFERROR(0/0,""),TRUE)</f>
        <v/>
      </c>
      <c r="Z1649" s="147" t="str">
        <f t="shared" si="3298"/>
        <v/>
      </c>
    </row>
    <row r="1650">
      <c r="A1650" s="6" t="str">
        <f>IFERROR(__xludf.DUMMYFUNCTION("""COMPUTED_VALUE"""),"FM3091")</f>
        <v>FM3091</v>
      </c>
      <c r="B1650" s="206">
        <f>IFERROR(__xludf.DUMMYFUNCTION("""COMPUTED_VALUE"""),44782.0)</f>
        <v>44782</v>
      </c>
      <c r="C1650" s="207">
        <f>IFERROR(__xludf.DUMMYFUNCTION("""COMPUTED_VALUE"""),0.30180555555555555)</f>
        <v>0.3018055556</v>
      </c>
      <c r="D1650" s="50"/>
      <c r="E1650" s="58"/>
      <c r="F1650" s="58"/>
      <c r="G1650" s="58" t="str">
        <f>IFERROR(__xludf.DUMMYFUNCTION("""COMPUTED_VALUE"""),"Null")</f>
        <v>Null</v>
      </c>
      <c r="H1650" s="206" t="str">
        <f>IFERROR(__xludf.DUMMYFUNCTION("""COMPUTED_VALUE"""),"Negative")</f>
        <v>Negative</v>
      </c>
      <c r="I1650" s="207"/>
      <c r="J1650" s="50"/>
      <c r="K1650" s="50">
        <f>IFERROR(__xludf.DUMMYFUNCTION("""COMPUTED_VALUE"""),2.0)</f>
        <v>2</v>
      </c>
      <c r="L1650" s="6"/>
      <c r="M1650" s="55"/>
      <c r="N1650" s="55">
        <f>IFERROR(__xludf.DUMMYFUNCTION("""COMPUTED_VALUE"""),1.0)</f>
        <v>1</v>
      </c>
      <c r="O1650" s="55" t="str">
        <f t="shared" si="3"/>
        <v/>
      </c>
      <c r="P1650" s="209"/>
      <c r="Q1650" s="75" t="b">
        <f>VLOOKUP($B1650,'Run Reconcile'!B$2:P1679,15,FALSE)</f>
        <v>1</v>
      </c>
      <c r="R1650" s="211" t="str">
        <f t="array" ref="R1650">IF($Q1650, INDEX('Run Reconcile'!A$2:A1679,MATCH(B1650,'Run Reconcile'!B$2:B1679,0),1),IFERROR(0/0,""))</f>
        <v>RUN-COMB_2022-08-09_RFR-094</v>
      </c>
      <c r="S1650" s="165" t="str">
        <f t="shared" ref="S1650:T1650" si="3299">IF(COUNTIF(W$2:W1679, $A1650) &gt; 0,TRUE,IFERROR(0/0,""))</f>
        <v/>
      </c>
      <c r="T1650" s="165" t="str">
        <f t="shared" si="3299"/>
        <v/>
      </c>
      <c r="U1650" s="147" t="str">
        <f t="array" ref="U1650">IF(ISBLANK($R1650), IF($S1650,VLOOKUP($B1650+1,'RFR Data - preExcl'!$BF$2:$BG1679,2,FALSE),IF($T1650,INDEX('RFR Data - preExcl'!$BF$2:$BG1679,MATCH($B1650,'RFR Data - preExcl'!$BF$2:$BF1679,0)+1,2),VLOOKUP($B1650,'RFR Data - preExcl'!$BF$2:$BG1679,2,FALSE))),IFERROR(0/0,""))</f>
        <v/>
      </c>
      <c r="V1650" s="212" t="str">
        <f t="shared" si="5"/>
        <v>RUN-COMB_2022-08-09_RFR-094</v>
      </c>
      <c r="W1650" s="51"/>
      <c r="X1650" s="51"/>
      <c r="Y1650" s="147" t="str">
        <f t="shared" ref="Y1650:Z1650" si="3300">IF(_xlfn.ISFORMULA(S1650),IFERROR(0/0,""),TRUE)</f>
        <v/>
      </c>
      <c r="Z1650" s="147" t="str">
        <f t="shared" si="3300"/>
        <v/>
      </c>
    </row>
    <row r="1651">
      <c r="A1651" s="6" t="str">
        <f>IFERROR(__xludf.DUMMYFUNCTION("""COMPUTED_VALUE"""),"FM3094")</f>
        <v>FM3094</v>
      </c>
      <c r="B1651" s="206">
        <f>IFERROR(__xludf.DUMMYFUNCTION("""COMPUTED_VALUE"""),44782.0)</f>
        <v>44782</v>
      </c>
      <c r="C1651" s="207">
        <f>IFERROR(__xludf.DUMMYFUNCTION("""COMPUTED_VALUE"""),0.30216435185185186)</f>
        <v>0.3021643519</v>
      </c>
      <c r="D1651" s="50"/>
      <c r="E1651" s="58"/>
      <c r="F1651" s="58"/>
      <c r="G1651" s="58" t="str">
        <f>IFERROR(__xludf.DUMMYFUNCTION("""COMPUTED_VALUE"""),"Null")</f>
        <v>Null</v>
      </c>
      <c r="H1651" s="206" t="str">
        <f>IFERROR(__xludf.DUMMYFUNCTION("""COMPUTED_VALUE"""),"Negative")</f>
        <v>Negative</v>
      </c>
      <c r="I1651" s="207"/>
      <c r="J1651" s="50"/>
      <c r="K1651" s="50">
        <f>IFERROR(__xludf.DUMMYFUNCTION("""COMPUTED_VALUE"""),2.0)</f>
        <v>2</v>
      </c>
      <c r="L1651" s="6"/>
      <c r="M1651" s="55"/>
      <c r="N1651" s="55">
        <f>IFERROR(__xludf.DUMMYFUNCTION("""COMPUTED_VALUE"""),1.0)</f>
        <v>1</v>
      </c>
      <c r="O1651" s="55" t="str">
        <f t="shared" si="3"/>
        <v/>
      </c>
      <c r="P1651" s="209"/>
      <c r="Q1651" s="75" t="b">
        <f>VLOOKUP($B1651,'Run Reconcile'!B$2:P1679,15,FALSE)</f>
        <v>1</v>
      </c>
      <c r="R1651" s="211" t="str">
        <f t="array" ref="R1651">IF($Q1651, INDEX('Run Reconcile'!A$2:A1679,MATCH(B1651,'Run Reconcile'!B$2:B1679,0),1),IFERROR(0/0,""))</f>
        <v>RUN-COMB_2022-08-09_RFR-094</v>
      </c>
      <c r="S1651" s="165" t="str">
        <f t="shared" ref="S1651:T1651" si="3301">IF(COUNTIF(W$2:W1679, $A1651) &gt; 0,TRUE,IFERROR(0/0,""))</f>
        <v/>
      </c>
      <c r="T1651" s="165" t="str">
        <f t="shared" si="3301"/>
        <v/>
      </c>
      <c r="U1651" s="147" t="str">
        <f t="array" ref="U1651">IF(ISBLANK($R1651), IF($S1651,VLOOKUP($B1651+1,'RFR Data - preExcl'!$BF$2:$BG1679,2,FALSE),IF($T1651,INDEX('RFR Data - preExcl'!$BF$2:$BG1679,MATCH($B1651,'RFR Data - preExcl'!$BF$2:$BF1679,0)+1,2),VLOOKUP($B1651,'RFR Data - preExcl'!$BF$2:$BG1679,2,FALSE))),IFERROR(0/0,""))</f>
        <v/>
      </c>
      <c r="V1651" s="212" t="str">
        <f t="shared" si="5"/>
        <v>RUN-COMB_2022-08-09_RFR-094</v>
      </c>
      <c r="W1651" s="51"/>
      <c r="X1651" s="51"/>
      <c r="Y1651" s="147" t="str">
        <f t="shared" ref="Y1651:Z1651" si="3302">IF(_xlfn.ISFORMULA(S1651),IFERROR(0/0,""),TRUE)</f>
        <v/>
      </c>
      <c r="Z1651" s="147" t="str">
        <f t="shared" si="3302"/>
        <v/>
      </c>
    </row>
    <row r="1652">
      <c r="A1652" s="6" t="str">
        <f>IFERROR(__xludf.DUMMYFUNCTION("""COMPUTED_VALUE"""),"FM3079")</f>
        <v>FM3079</v>
      </c>
      <c r="B1652" s="206">
        <f>IFERROR(__xludf.DUMMYFUNCTION("""COMPUTED_VALUE"""),44782.0)</f>
        <v>44782</v>
      </c>
      <c r="C1652" s="207">
        <f>IFERROR(__xludf.DUMMYFUNCTION("""COMPUTED_VALUE"""),0.3025231481481481)</f>
        <v>0.3025231481</v>
      </c>
      <c r="D1652" s="50"/>
      <c r="E1652" s="58"/>
      <c r="F1652" s="58"/>
      <c r="G1652" s="58" t="str">
        <f>IFERROR(__xludf.DUMMYFUNCTION("""COMPUTED_VALUE"""),"Null")</f>
        <v>Null</v>
      </c>
      <c r="H1652" s="206" t="str">
        <f>IFERROR(__xludf.DUMMYFUNCTION("""COMPUTED_VALUE"""),"Negative")</f>
        <v>Negative</v>
      </c>
      <c r="I1652" s="207"/>
      <c r="J1652" s="50"/>
      <c r="K1652" s="50">
        <f>IFERROR(__xludf.DUMMYFUNCTION("""COMPUTED_VALUE"""),2.0)</f>
        <v>2</v>
      </c>
      <c r="L1652" s="6"/>
      <c r="M1652" s="55"/>
      <c r="N1652" s="55">
        <f>IFERROR(__xludf.DUMMYFUNCTION("""COMPUTED_VALUE"""),1.0)</f>
        <v>1</v>
      </c>
      <c r="O1652" s="55" t="str">
        <f t="shared" si="3"/>
        <v/>
      </c>
      <c r="P1652" s="209"/>
      <c r="Q1652" s="75" t="b">
        <f>VLOOKUP($B1652,'Run Reconcile'!B$2:P1679,15,FALSE)</f>
        <v>1</v>
      </c>
      <c r="R1652" s="211" t="str">
        <f t="array" ref="R1652">IF($Q1652, INDEX('Run Reconcile'!A$2:A1679,MATCH(B1652,'Run Reconcile'!B$2:B1679,0),1),IFERROR(0/0,""))</f>
        <v>RUN-COMB_2022-08-09_RFR-094</v>
      </c>
      <c r="S1652" s="165" t="str">
        <f t="shared" ref="S1652:T1652" si="3303">IF(COUNTIF(W$2:W1679, $A1652) &gt; 0,TRUE,IFERROR(0/0,""))</f>
        <v/>
      </c>
      <c r="T1652" s="165" t="str">
        <f t="shared" si="3303"/>
        <v/>
      </c>
      <c r="U1652" s="147" t="str">
        <f t="array" ref="U1652">IF(ISBLANK($R1652), IF($S1652,VLOOKUP($B1652+1,'RFR Data - preExcl'!$BF$2:$BG1679,2,FALSE),IF($T1652,INDEX('RFR Data - preExcl'!$BF$2:$BG1679,MATCH($B1652,'RFR Data - preExcl'!$BF$2:$BF1679,0)+1,2),VLOOKUP($B1652,'RFR Data - preExcl'!$BF$2:$BG1679,2,FALSE))),IFERROR(0/0,""))</f>
        <v/>
      </c>
      <c r="V1652" s="212" t="str">
        <f t="shared" si="5"/>
        <v>RUN-COMB_2022-08-09_RFR-094</v>
      </c>
      <c r="W1652" s="51"/>
      <c r="X1652" s="51"/>
      <c r="Y1652" s="147" t="str">
        <f t="shared" ref="Y1652:Z1652" si="3304">IF(_xlfn.ISFORMULA(S1652),IFERROR(0/0,""),TRUE)</f>
        <v/>
      </c>
      <c r="Z1652" s="147" t="str">
        <f t="shared" si="3304"/>
        <v/>
      </c>
    </row>
    <row r="1653">
      <c r="A1653" s="6" t="str">
        <f>IFERROR(__xludf.DUMMYFUNCTION("""COMPUTED_VALUE"""),"FM3003")</f>
        <v>FM3003</v>
      </c>
      <c r="B1653" s="206">
        <f>IFERROR(__xludf.DUMMYFUNCTION("""COMPUTED_VALUE"""),44782.0)</f>
        <v>44782</v>
      </c>
      <c r="C1653" s="207">
        <f>IFERROR(__xludf.DUMMYFUNCTION("""COMPUTED_VALUE"""),0.30289351851851853)</f>
        <v>0.3028935185</v>
      </c>
      <c r="D1653" s="50"/>
      <c r="E1653" s="58"/>
      <c r="F1653" s="58"/>
      <c r="G1653" s="58" t="str">
        <f>IFERROR(__xludf.DUMMYFUNCTION("""COMPUTED_VALUE"""),"Null")</f>
        <v>Null</v>
      </c>
      <c r="H1653" s="206" t="str">
        <f>IFERROR(__xludf.DUMMYFUNCTION("""COMPUTED_VALUE"""),"Negative")</f>
        <v>Negative</v>
      </c>
      <c r="I1653" s="207"/>
      <c r="J1653" s="50"/>
      <c r="K1653" s="50">
        <f>IFERROR(__xludf.DUMMYFUNCTION("""COMPUTED_VALUE"""),2.0)</f>
        <v>2</v>
      </c>
      <c r="L1653" s="6"/>
      <c r="M1653" s="55"/>
      <c r="N1653" s="55">
        <f>IFERROR(__xludf.DUMMYFUNCTION("""COMPUTED_VALUE"""),1.0)</f>
        <v>1</v>
      </c>
      <c r="O1653" s="55" t="str">
        <f t="shared" si="3"/>
        <v/>
      </c>
      <c r="P1653" s="209"/>
      <c r="Q1653" s="75" t="b">
        <f>VLOOKUP($B1653,'Run Reconcile'!B$2:P1679,15,FALSE)</f>
        <v>1</v>
      </c>
      <c r="R1653" s="211" t="str">
        <f t="array" ref="R1653">IF($Q1653, INDEX('Run Reconcile'!A$2:A1679,MATCH(B1653,'Run Reconcile'!B$2:B1679,0),1),IFERROR(0/0,""))</f>
        <v>RUN-COMB_2022-08-09_RFR-094</v>
      </c>
      <c r="S1653" s="165" t="str">
        <f t="shared" ref="S1653:T1653" si="3305">IF(COUNTIF(W$2:W1679, $A1653) &gt; 0,TRUE,IFERROR(0/0,""))</f>
        <v/>
      </c>
      <c r="T1653" s="165" t="str">
        <f t="shared" si="3305"/>
        <v/>
      </c>
      <c r="U1653" s="147" t="str">
        <f t="array" ref="U1653">IF(ISBLANK($R1653), IF($S1653,VLOOKUP($B1653+1,'RFR Data - preExcl'!$BF$2:$BG1679,2,FALSE),IF($T1653,INDEX('RFR Data - preExcl'!$BF$2:$BG1679,MATCH($B1653,'RFR Data - preExcl'!$BF$2:$BF1679,0)+1,2),VLOOKUP($B1653,'RFR Data - preExcl'!$BF$2:$BG1679,2,FALSE))),IFERROR(0/0,""))</f>
        <v/>
      </c>
      <c r="V1653" s="212" t="str">
        <f t="shared" si="5"/>
        <v>RUN-COMB_2022-08-09_RFR-094</v>
      </c>
      <c r="W1653" s="51"/>
      <c r="X1653" s="51"/>
      <c r="Y1653" s="147" t="str">
        <f t="shared" ref="Y1653:Z1653" si="3306">IF(_xlfn.ISFORMULA(S1653),IFERROR(0/0,""),TRUE)</f>
        <v/>
      </c>
      <c r="Z1653" s="147" t="str">
        <f t="shared" si="3306"/>
        <v/>
      </c>
    </row>
    <row r="1654">
      <c r="A1654" s="6" t="str">
        <f>IFERROR(__xludf.DUMMYFUNCTION("""COMPUTED_VALUE"""),"FM3036")</f>
        <v>FM3036</v>
      </c>
      <c r="B1654" s="206">
        <f>IFERROR(__xludf.DUMMYFUNCTION("""COMPUTED_VALUE"""),44782.0)</f>
        <v>44782</v>
      </c>
      <c r="C1654" s="207">
        <f>IFERROR(__xludf.DUMMYFUNCTION("""COMPUTED_VALUE"""),0.30321759259259257)</f>
        <v>0.3032175926</v>
      </c>
      <c r="D1654" s="50"/>
      <c r="E1654" s="58"/>
      <c r="F1654" s="58"/>
      <c r="G1654" s="58" t="str">
        <f>IFERROR(__xludf.DUMMYFUNCTION("""COMPUTED_VALUE"""),"Null")</f>
        <v>Null</v>
      </c>
      <c r="H1654" s="206" t="str">
        <f>IFERROR(__xludf.DUMMYFUNCTION("""COMPUTED_VALUE"""),"Negative")</f>
        <v>Negative</v>
      </c>
      <c r="I1654" s="207"/>
      <c r="J1654" s="50"/>
      <c r="K1654" s="50">
        <f>IFERROR(__xludf.DUMMYFUNCTION("""COMPUTED_VALUE"""),2.0)</f>
        <v>2</v>
      </c>
      <c r="L1654" s="6"/>
      <c r="M1654" s="55"/>
      <c r="N1654" s="55">
        <f>IFERROR(__xludf.DUMMYFUNCTION("""COMPUTED_VALUE"""),1.0)</f>
        <v>1</v>
      </c>
      <c r="O1654" s="55" t="str">
        <f t="shared" si="3"/>
        <v/>
      </c>
      <c r="P1654" s="209"/>
      <c r="Q1654" s="75" t="b">
        <f>VLOOKUP($B1654,'Run Reconcile'!B$2:P1679,15,FALSE)</f>
        <v>1</v>
      </c>
      <c r="R1654" s="211" t="str">
        <f t="array" ref="R1654">IF($Q1654, INDEX('Run Reconcile'!A$2:A1679,MATCH(B1654,'Run Reconcile'!B$2:B1679,0),1),IFERROR(0/0,""))</f>
        <v>RUN-COMB_2022-08-09_RFR-094</v>
      </c>
      <c r="S1654" s="165" t="str">
        <f t="shared" ref="S1654:T1654" si="3307">IF(COUNTIF(W$2:W1679, $A1654) &gt; 0,TRUE,IFERROR(0/0,""))</f>
        <v/>
      </c>
      <c r="T1654" s="165" t="str">
        <f t="shared" si="3307"/>
        <v/>
      </c>
      <c r="U1654" s="147" t="str">
        <f t="array" ref="U1654">IF(ISBLANK($R1654), IF($S1654,VLOOKUP($B1654+1,'RFR Data - preExcl'!$BF$2:$BG1679,2,FALSE),IF($T1654,INDEX('RFR Data - preExcl'!$BF$2:$BG1679,MATCH($B1654,'RFR Data - preExcl'!$BF$2:$BF1679,0)+1,2),VLOOKUP($B1654,'RFR Data - preExcl'!$BF$2:$BG1679,2,FALSE))),IFERROR(0/0,""))</f>
        <v/>
      </c>
      <c r="V1654" s="212" t="str">
        <f t="shared" si="5"/>
        <v>RUN-COMB_2022-08-09_RFR-094</v>
      </c>
      <c r="W1654" s="51"/>
      <c r="X1654" s="51"/>
      <c r="Y1654" s="147" t="str">
        <f t="shared" ref="Y1654:Z1654" si="3308">IF(_xlfn.ISFORMULA(S1654),IFERROR(0/0,""),TRUE)</f>
        <v/>
      </c>
      <c r="Z1654" s="147" t="str">
        <f t="shared" si="3308"/>
        <v/>
      </c>
    </row>
    <row r="1655">
      <c r="A1655" s="6" t="str">
        <f>IFERROR(__xludf.DUMMYFUNCTION("""COMPUTED_VALUE"""),"FM3014")</f>
        <v>FM3014</v>
      </c>
      <c r="B1655" s="206">
        <f>IFERROR(__xludf.DUMMYFUNCTION("""COMPUTED_VALUE"""),44782.0)</f>
        <v>44782</v>
      </c>
      <c r="C1655" s="207">
        <f>IFERROR(__xludf.DUMMYFUNCTION("""COMPUTED_VALUE"""),0.3036111111111111)</f>
        <v>0.3036111111</v>
      </c>
      <c r="D1655" s="50"/>
      <c r="E1655" s="58"/>
      <c r="F1655" s="58"/>
      <c r="G1655" s="58" t="str">
        <f>IFERROR(__xludf.DUMMYFUNCTION("""COMPUTED_VALUE"""),"Null")</f>
        <v>Null</v>
      </c>
      <c r="H1655" s="206" t="str">
        <f>IFERROR(__xludf.DUMMYFUNCTION("""COMPUTED_VALUE"""),"Negative")</f>
        <v>Negative</v>
      </c>
      <c r="I1655" s="207"/>
      <c r="J1655" s="50"/>
      <c r="K1655" s="50">
        <f>IFERROR(__xludf.DUMMYFUNCTION("""COMPUTED_VALUE"""),2.0)</f>
        <v>2</v>
      </c>
      <c r="L1655" s="6"/>
      <c r="M1655" s="55"/>
      <c r="N1655" s="55">
        <f>IFERROR(__xludf.DUMMYFUNCTION("""COMPUTED_VALUE"""),1.0)</f>
        <v>1</v>
      </c>
      <c r="O1655" s="55" t="str">
        <f t="shared" si="3"/>
        <v/>
      </c>
      <c r="P1655" s="209"/>
      <c r="Q1655" s="75" t="b">
        <f>VLOOKUP($B1655,'Run Reconcile'!B$2:P1679,15,FALSE)</f>
        <v>1</v>
      </c>
      <c r="R1655" s="211" t="str">
        <f t="array" ref="R1655">IF($Q1655, INDEX('Run Reconcile'!A$2:A1679,MATCH(B1655,'Run Reconcile'!B$2:B1679,0),1),IFERROR(0/0,""))</f>
        <v>RUN-COMB_2022-08-09_RFR-094</v>
      </c>
      <c r="S1655" s="165" t="str">
        <f t="shared" ref="S1655:T1655" si="3309">IF(COUNTIF(W$2:W1679, $A1655) &gt; 0,TRUE,IFERROR(0/0,""))</f>
        <v/>
      </c>
      <c r="T1655" s="165" t="str">
        <f t="shared" si="3309"/>
        <v/>
      </c>
      <c r="U1655" s="147" t="str">
        <f t="array" ref="U1655">IF(ISBLANK($R1655), IF($S1655,VLOOKUP($B1655+1,'RFR Data - preExcl'!$BF$2:$BG1679,2,FALSE),IF($T1655,INDEX('RFR Data - preExcl'!$BF$2:$BG1679,MATCH($B1655,'RFR Data - preExcl'!$BF$2:$BF1679,0)+1,2),VLOOKUP($B1655,'RFR Data - preExcl'!$BF$2:$BG1679,2,FALSE))),IFERROR(0/0,""))</f>
        <v/>
      </c>
      <c r="V1655" s="212" t="str">
        <f t="shared" si="5"/>
        <v>RUN-COMB_2022-08-09_RFR-094</v>
      </c>
      <c r="W1655" s="51"/>
      <c r="X1655" s="51"/>
      <c r="Y1655" s="147" t="str">
        <f t="shared" ref="Y1655:Z1655" si="3310">IF(_xlfn.ISFORMULA(S1655),IFERROR(0/0,""),TRUE)</f>
        <v/>
      </c>
      <c r="Z1655" s="147" t="str">
        <f t="shared" si="3310"/>
        <v/>
      </c>
    </row>
    <row r="1656">
      <c r="A1656" s="6" t="str">
        <f>IFERROR(__xludf.DUMMYFUNCTION("""COMPUTED_VALUE"""),"FM3070")</f>
        <v>FM3070</v>
      </c>
      <c r="B1656" s="206">
        <f>IFERROR(__xludf.DUMMYFUNCTION("""COMPUTED_VALUE"""),44782.0)</f>
        <v>44782</v>
      </c>
      <c r="C1656" s="207">
        <f>IFERROR(__xludf.DUMMYFUNCTION("""COMPUTED_VALUE"""),0.30391203703703706)</f>
        <v>0.303912037</v>
      </c>
      <c r="D1656" s="50"/>
      <c r="E1656" s="58"/>
      <c r="F1656" s="58"/>
      <c r="G1656" s="58" t="str">
        <f>IFERROR(__xludf.DUMMYFUNCTION("""COMPUTED_VALUE"""),"Null")</f>
        <v>Null</v>
      </c>
      <c r="H1656" s="206" t="str">
        <f>IFERROR(__xludf.DUMMYFUNCTION("""COMPUTED_VALUE"""),"Negative")</f>
        <v>Negative</v>
      </c>
      <c r="I1656" s="207"/>
      <c r="J1656" s="50"/>
      <c r="K1656" s="50">
        <f>IFERROR(__xludf.DUMMYFUNCTION("""COMPUTED_VALUE"""),2.0)</f>
        <v>2</v>
      </c>
      <c r="L1656" s="6"/>
      <c r="M1656" s="55"/>
      <c r="N1656" s="55">
        <f>IFERROR(__xludf.DUMMYFUNCTION("""COMPUTED_VALUE"""),1.0)</f>
        <v>1</v>
      </c>
      <c r="O1656" s="55" t="str">
        <f t="shared" si="3"/>
        <v/>
      </c>
      <c r="P1656" s="209"/>
      <c r="Q1656" s="75" t="b">
        <f>VLOOKUP($B1656,'Run Reconcile'!B$2:P1679,15,FALSE)</f>
        <v>1</v>
      </c>
      <c r="R1656" s="211" t="str">
        <f t="array" ref="R1656">IF($Q1656, INDEX('Run Reconcile'!A$2:A1679,MATCH(B1656,'Run Reconcile'!B$2:B1679,0),1),IFERROR(0/0,""))</f>
        <v>RUN-COMB_2022-08-09_RFR-094</v>
      </c>
      <c r="S1656" s="165" t="str">
        <f t="shared" ref="S1656:T1656" si="3311">IF(COUNTIF(W$2:W1679, $A1656) &gt; 0,TRUE,IFERROR(0/0,""))</f>
        <v/>
      </c>
      <c r="T1656" s="165" t="str">
        <f t="shared" si="3311"/>
        <v/>
      </c>
      <c r="U1656" s="147" t="str">
        <f t="array" ref="U1656">IF(ISBLANK($R1656), IF($S1656,VLOOKUP($B1656+1,'RFR Data - preExcl'!$BF$2:$BG1679,2,FALSE),IF($T1656,INDEX('RFR Data - preExcl'!$BF$2:$BG1679,MATCH($B1656,'RFR Data - preExcl'!$BF$2:$BF1679,0)+1,2),VLOOKUP($B1656,'RFR Data - preExcl'!$BF$2:$BG1679,2,FALSE))),IFERROR(0/0,""))</f>
        <v/>
      </c>
      <c r="V1656" s="212" t="str">
        <f t="shared" si="5"/>
        <v>RUN-COMB_2022-08-09_RFR-094</v>
      </c>
      <c r="W1656" s="51"/>
      <c r="X1656" s="51"/>
      <c r="Y1656" s="147" t="str">
        <f t="shared" ref="Y1656:Z1656" si="3312">IF(_xlfn.ISFORMULA(S1656),IFERROR(0/0,""),TRUE)</f>
        <v/>
      </c>
      <c r="Z1656" s="147" t="str">
        <f t="shared" si="3312"/>
        <v/>
      </c>
    </row>
    <row r="1657">
      <c r="A1657" s="6" t="str">
        <f>IFERROR(__xludf.DUMMYFUNCTION("""COMPUTED_VALUE"""),"FM3019")</f>
        <v>FM3019</v>
      </c>
      <c r="B1657" s="206">
        <f>IFERROR(__xludf.DUMMYFUNCTION("""COMPUTED_VALUE"""),44782.0)</f>
        <v>44782</v>
      </c>
      <c r="C1657" s="207">
        <f>IFERROR(__xludf.DUMMYFUNCTION("""COMPUTED_VALUE"""),0.3042708333333333)</f>
        <v>0.3042708333</v>
      </c>
      <c r="D1657" s="50"/>
      <c r="E1657" s="58"/>
      <c r="F1657" s="58"/>
      <c r="G1657" s="58" t="str">
        <f>IFERROR(__xludf.DUMMYFUNCTION("""COMPUTED_VALUE"""),"Null")</f>
        <v>Null</v>
      </c>
      <c r="H1657" s="206" t="str">
        <f>IFERROR(__xludf.DUMMYFUNCTION("""COMPUTED_VALUE"""),"Negative")</f>
        <v>Negative</v>
      </c>
      <c r="I1657" s="207"/>
      <c r="J1657" s="50"/>
      <c r="K1657" s="50">
        <f>IFERROR(__xludf.DUMMYFUNCTION("""COMPUTED_VALUE"""),2.0)</f>
        <v>2</v>
      </c>
      <c r="L1657" s="6"/>
      <c r="M1657" s="55"/>
      <c r="N1657" s="55">
        <f>IFERROR(__xludf.DUMMYFUNCTION("""COMPUTED_VALUE"""),1.0)</f>
        <v>1</v>
      </c>
      <c r="O1657" s="55" t="str">
        <f t="shared" si="3"/>
        <v/>
      </c>
      <c r="P1657" s="209"/>
      <c r="Q1657" s="75" t="b">
        <f>VLOOKUP($B1657,'Run Reconcile'!B$2:P1679,15,FALSE)</f>
        <v>1</v>
      </c>
      <c r="R1657" s="211" t="str">
        <f t="array" ref="R1657">IF($Q1657, INDEX('Run Reconcile'!A$2:A1679,MATCH(B1657,'Run Reconcile'!B$2:B1679,0),1),IFERROR(0/0,""))</f>
        <v>RUN-COMB_2022-08-09_RFR-094</v>
      </c>
      <c r="S1657" s="165" t="str">
        <f t="shared" ref="S1657:T1657" si="3313">IF(COUNTIF(W$2:W1679, $A1657) &gt; 0,TRUE,IFERROR(0/0,""))</f>
        <v/>
      </c>
      <c r="T1657" s="165" t="str">
        <f t="shared" si="3313"/>
        <v/>
      </c>
      <c r="U1657" s="147" t="str">
        <f t="array" ref="U1657">IF(ISBLANK($R1657), IF($S1657,VLOOKUP($B1657+1,'RFR Data - preExcl'!$BF$2:$BG1679,2,FALSE),IF($T1657,INDEX('RFR Data - preExcl'!$BF$2:$BG1679,MATCH($B1657,'RFR Data - preExcl'!$BF$2:$BF1679,0)+1,2),VLOOKUP($B1657,'RFR Data - preExcl'!$BF$2:$BG1679,2,FALSE))),IFERROR(0/0,""))</f>
        <v/>
      </c>
      <c r="V1657" s="212" t="str">
        <f t="shared" si="5"/>
        <v>RUN-COMB_2022-08-09_RFR-094</v>
      </c>
      <c r="W1657" s="51"/>
      <c r="X1657" s="51"/>
      <c r="Y1657" s="147" t="str">
        <f t="shared" ref="Y1657:Z1657" si="3314">IF(_xlfn.ISFORMULA(S1657),IFERROR(0/0,""),TRUE)</f>
        <v/>
      </c>
      <c r="Z1657" s="147" t="str">
        <f t="shared" si="3314"/>
        <v/>
      </c>
    </row>
    <row r="1658">
      <c r="A1658" s="6" t="str">
        <f>IFERROR(__xludf.DUMMYFUNCTION("""COMPUTED_VALUE"""),"FM3093")</f>
        <v>FM3093</v>
      </c>
      <c r="B1658" s="206">
        <f>IFERROR(__xludf.DUMMYFUNCTION("""COMPUTED_VALUE"""),44783.0)</f>
        <v>44783</v>
      </c>
      <c r="C1658" s="207">
        <f>IFERROR(__xludf.DUMMYFUNCTION("""COMPUTED_VALUE"""),0.2650578703703704)</f>
        <v>0.2650578704</v>
      </c>
      <c r="D1658" s="50"/>
      <c r="E1658" s="58"/>
      <c r="F1658" s="58"/>
      <c r="G1658" s="58" t="str">
        <f>IFERROR(__xludf.DUMMYFUNCTION("""COMPUTED_VALUE"""),"Null")</f>
        <v>Null</v>
      </c>
      <c r="H1658" s="206" t="str">
        <f>IFERROR(__xludf.DUMMYFUNCTION("""COMPUTED_VALUE"""),"Negative")</f>
        <v>Negative</v>
      </c>
      <c r="I1658" s="207"/>
      <c r="J1658" s="50"/>
      <c r="K1658" s="50">
        <f>IFERROR(__xludf.DUMMYFUNCTION("""COMPUTED_VALUE"""),2.0)</f>
        <v>2</v>
      </c>
      <c r="L1658" s="6"/>
      <c r="M1658" s="55"/>
      <c r="N1658" s="55">
        <f>IFERROR(__xludf.DUMMYFUNCTION("""COMPUTED_VALUE"""),1.0)</f>
        <v>1</v>
      </c>
      <c r="O1658" s="55" t="b">
        <f t="shared" si="3"/>
        <v>1</v>
      </c>
      <c r="P1658" s="209"/>
      <c r="Q1658" s="75" t="b">
        <f>VLOOKUP($B1658,'Run Reconcile'!B$2:P1679,15,FALSE)</f>
        <v>1</v>
      </c>
      <c r="R1658" s="211" t="str">
        <f t="array" ref="R1658">IF($Q1658, INDEX('Run Reconcile'!A$2:A1679,MATCH(B1658,'Run Reconcile'!B$2:B1679,0),1),IFERROR(0/0,""))</f>
        <v>RUN-COMB_2022-08-10_APS-003</v>
      </c>
      <c r="S1658" s="165" t="str">
        <f t="shared" ref="S1658:T1658" si="3315">IF(COUNTIF(W$2:W1679, $A1658) &gt; 0,TRUE,IFERROR(0/0,""))</f>
        <v/>
      </c>
      <c r="T1658" s="165" t="str">
        <f t="shared" si="3315"/>
        <v/>
      </c>
      <c r="U1658" s="147" t="str">
        <f t="array" ref="U1658">IF(ISBLANK($R1658), IF($S1658,VLOOKUP($B1658+1,'RFR Data - preExcl'!$BF$2:$BG1679,2,FALSE),IF($T1658,INDEX('RFR Data - preExcl'!$BF$2:$BG1679,MATCH($B1658,'RFR Data - preExcl'!$BF$2:$BF1679,0)+1,2),VLOOKUP($B1658,'RFR Data - preExcl'!$BF$2:$BG1679,2,FALSE))),IFERROR(0/0,""))</f>
        <v/>
      </c>
      <c r="V1658" s="212" t="str">
        <f t="shared" si="5"/>
        <v>RUN-COMB_2022-08-10_APS-003</v>
      </c>
      <c r="W1658" s="51"/>
      <c r="X1658" s="51"/>
      <c r="Y1658" s="147" t="str">
        <f t="shared" ref="Y1658:Z1658" si="3316">IF(_xlfn.ISFORMULA(S1658),IFERROR(0/0,""),TRUE)</f>
        <v/>
      </c>
      <c r="Z1658" s="147" t="str">
        <f t="shared" si="3316"/>
        <v/>
      </c>
    </row>
    <row r="1659">
      <c r="A1659" s="6" t="str">
        <f>IFERROR(__xludf.DUMMYFUNCTION("""COMPUTED_VALUE"""),"FM3071")</f>
        <v>FM3071</v>
      </c>
      <c r="B1659" s="206">
        <f>IFERROR(__xludf.DUMMYFUNCTION("""COMPUTED_VALUE"""),44783.0)</f>
        <v>44783</v>
      </c>
      <c r="C1659" s="207">
        <f>IFERROR(__xludf.DUMMYFUNCTION("""COMPUTED_VALUE"""),0.26537037037037037)</f>
        <v>0.2653703704</v>
      </c>
      <c r="D1659" s="50"/>
      <c r="E1659" s="58"/>
      <c r="F1659" s="58"/>
      <c r="G1659" s="58" t="str">
        <f>IFERROR(__xludf.DUMMYFUNCTION("""COMPUTED_VALUE"""),"Null")</f>
        <v>Null</v>
      </c>
      <c r="H1659" s="206" t="str">
        <f>IFERROR(__xludf.DUMMYFUNCTION("""COMPUTED_VALUE"""),"Negative")</f>
        <v>Negative</v>
      </c>
      <c r="I1659" s="207"/>
      <c r="J1659" s="50"/>
      <c r="K1659" s="50">
        <f>IFERROR(__xludf.DUMMYFUNCTION("""COMPUTED_VALUE"""),2.0)</f>
        <v>2</v>
      </c>
      <c r="L1659" s="6"/>
      <c r="M1659" s="55"/>
      <c r="N1659" s="55">
        <f>IFERROR(__xludf.DUMMYFUNCTION("""COMPUTED_VALUE"""),1.0)</f>
        <v>1</v>
      </c>
      <c r="O1659" s="55" t="str">
        <f t="shared" si="3"/>
        <v/>
      </c>
      <c r="P1659" s="209"/>
      <c r="Q1659" s="75" t="b">
        <f>VLOOKUP($B1659,'Run Reconcile'!B$2:P1679,15,FALSE)</f>
        <v>1</v>
      </c>
      <c r="R1659" s="211" t="str">
        <f t="array" ref="R1659">IF($Q1659, INDEX('Run Reconcile'!A$2:A1679,MATCH(B1659,'Run Reconcile'!B$2:B1679,0),1),IFERROR(0/0,""))</f>
        <v>RUN-COMB_2022-08-10_APS-003</v>
      </c>
      <c r="S1659" s="165" t="str">
        <f t="shared" ref="S1659:T1659" si="3317">IF(COUNTIF(W$2:W1679, $A1659) &gt; 0,TRUE,IFERROR(0/0,""))</f>
        <v/>
      </c>
      <c r="T1659" s="165" t="str">
        <f t="shared" si="3317"/>
        <v/>
      </c>
      <c r="U1659" s="147" t="str">
        <f t="array" ref="U1659">IF(ISBLANK($R1659), IF($S1659,VLOOKUP($B1659+1,'RFR Data - preExcl'!$BF$2:$BG1679,2,FALSE),IF($T1659,INDEX('RFR Data - preExcl'!$BF$2:$BG1679,MATCH($B1659,'RFR Data - preExcl'!$BF$2:$BF1679,0)+1,2),VLOOKUP($B1659,'RFR Data - preExcl'!$BF$2:$BG1679,2,FALSE))),IFERROR(0/0,""))</f>
        <v/>
      </c>
      <c r="V1659" s="212" t="str">
        <f t="shared" si="5"/>
        <v>RUN-COMB_2022-08-10_APS-003</v>
      </c>
      <c r="W1659" s="51"/>
      <c r="X1659" s="51"/>
      <c r="Y1659" s="147" t="str">
        <f t="shared" ref="Y1659:Z1659" si="3318">IF(_xlfn.ISFORMULA(S1659),IFERROR(0/0,""),TRUE)</f>
        <v/>
      </c>
      <c r="Z1659" s="147" t="str">
        <f t="shared" si="3318"/>
        <v/>
      </c>
    </row>
    <row r="1660">
      <c r="A1660" s="6" t="str">
        <f>IFERROR(__xludf.DUMMYFUNCTION("""COMPUTED_VALUE"""),"FM3064")</f>
        <v>FM3064</v>
      </c>
      <c r="B1660" s="206">
        <f>IFERROR(__xludf.DUMMYFUNCTION("""COMPUTED_VALUE"""),44783.0)</f>
        <v>44783</v>
      </c>
      <c r="C1660" s="207">
        <f>IFERROR(__xludf.DUMMYFUNCTION("""COMPUTED_VALUE"""),0.26564814814814813)</f>
        <v>0.2656481481</v>
      </c>
      <c r="D1660" s="50"/>
      <c r="E1660" s="58"/>
      <c r="F1660" s="58"/>
      <c r="G1660" s="58" t="str">
        <f>IFERROR(__xludf.DUMMYFUNCTION("""COMPUTED_VALUE"""),"Null")</f>
        <v>Null</v>
      </c>
      <c r="H1660" s="206" t="str">
        <f>IFERROR(__xludf.DUMMYFUNCTION("""COMPUTED_VALUE"""),"Negative")</f>
        <v>Negative</v>
      </c>
      <c r="I1660" s="207"/>
      <c r="J1660" s="50"/>
      <c r="K1660" s="50">
        <f>IFERROR(__xludf.DUMMYFUNCTION("""COMPUTED_VALUE"""),2.0)</f>
        <v>2</v>
      </c>
      <c r="L1660" s="6"/>
      <c r="M1660" s="55"/>
      <c r="N1660" s="55">
        <f>IFERROR(__xludf.DUMMYFUNCTION("""COMPUTED_VALUE"""),1.0)</f>
        <v>1</v>
      </c>
      <c r="O1660" s="55" t="str">
        <f t="shared" si="3"/>
        <v/>
      </c>
      <c r="P1660" s="209"/>
      <c r="Q1660" s="75" t="b">
        <f>VLOOKUP($B1660,'Run Reconcile'!B$2:P1679,15,FALSE)</f>
        <v>1</v>
      </c>
      <c r="R1660" s="211" t="str">
        <f t="array" ref="R1660">IF($Q1660, INDEX('Run Reconcile'!A$2:A1679,MATCH(B1660,'Run Reconcile'!B$2:B1679,0),1),IFERROR(0/0,""))</f>
        <v>RUN-COMB_2022-08-10_APS-003</v>
      </c>
      <c r="S1660" s="165" t="str">
        <f t="shared" ref="S1660:T1660" si="3319">IF(COUNTIF(W$2:W1679, $A1660) &gt; 0,TRUE,IFERROR(0/0,""))</f>
        <v/>
      </c>
      <c r="T1660" s="165" t="str">
        <f t="shared" si="3319"/>
        <v/>
      </c>
      <c r="U1660" s="147" t="str">
        <f t="array" ref="U1660">IF(ISBLANK($R1660), IF($S1660,VLOOKUP($B1660+1,'RFR Data - preExcl'!$BF$2:$BG1679,2,FALSE),IF($T1660,INDEX('RFR Data - preExcl'!$BF$2:$BG1679,MATCH($B1660,'RFR Data - preExcl'!$BF$2:$BF1679,0)+1,2),VLOOKUP($B1660,'RFR Data - preExcl'!$BF$2:$BG1679,2,FALSE))),IFERROR(0/0,""))</f>
        <v/>
      </c>
      <c r="V1660" s="212" t="str">
        <f t="shared" si="5"/>
        <v>RUN-COMB_2022-08-10_APS-003</v>
      </c>
      <c r="W1660" s="51"/>
      <c r="X1660" s="51"/>
      <c r="Y1660" s="147" t="str">
        <f t="shared" ref="Y1660:Z1660" si="3320">IF(_xlfn.ISFORMULA(S1660),IFERROR(0/0,""),TRUE)</f>
        <v/>
      </c>
      <c r="Z1660" s="147" t="str">
        <f t="shared" si="3320"/>
        <v/>
      </c>
    </row>
    <row r="1661">
      <c r="A1661" s="6" t="str">
        <f>IFERROR(__xludf.DUMMYFUNCTION("""COMPUTED_VALUE"""),"FM3059")</f>
        <v>FM3059</v>
      </c>
      <c r="B1661" s="206">
        <f>IFERROR(__xludf.DUMMYFUNCTION("""COMPUTED_VALUE"""),44783.0)</f>
        <v>44783</v>
      </c>
      <c r="C1661" s="207">
        <f>IFERROR(__xludf.DUMMYFUNCTION("""COMPUTED_VALUE"""),0.26591435185185186)</f>
        <v>0.2659143519</v>
      </c>
      <c r="D1661" s="50"/>
      <c r="E1661" s="58"/>
      <c r="F1661" s="58"/>
      <c r="G1661" s="58" t="str">
        <f>IFERROR(__xludf.DUMMYFUNCTION("""COMPUTED_VALUE"""),"Null")</f>
        <v>Null</v>
      </c>
      <c r="H1661" s="206" t="str">
        <f>IFERROR(__xludf.DUMMYFUNCTION("""COMPUTED_VALUE"""),"Negative")</f>
        <v>Negative</v>
      </c>
      <c r="I1661" s="207"/>
      <c r="J1661" s="50"/>
      <c r="K1661" s="50">
        <f>IFERROR(__xludf.DUMMYFUNCTION("""COMPUTED_VALUE"""),2.0)</f>
        <v>2</v>
      </c>
      <c r="L1661" s="6"/>
      <c r="M1661" s="55"/>
      <c r="N1661" s="55">
        <f>IFERROR(__xludf.DUMMYFUNCTION("""COMPUTED_VALUE"""),1.0)</f>
        <v>1</v>
      </c>
      <c r="O1661" s="55" t="str">
        <f t="shared" si="3"/>
        <v/>
      </c>
      <c r="P1661" s="209"/>
      <c r="Q1661" s="75" t="b">
        <f>VLOOKUP($B1661,'Run Reconcile'!B$2:P1679,15,FALSE)</f>
        <v>1</v>
      </c>
      <c r="R1661" s="211" t="str">
        <f t="array" ref="R1661">IF($Q1661, INDEX('Run Reconcile'!A$2:A1679,MATCH(B1661,'Run Reconcile'!B$2:B1679,0),1),IFERROR(0/0,""))</f>
        <v>RUN-COMB_2022-08-10_APS-003</v>
      </c>
      <c r="S1661" s="165" t="str">
        <f t="shared" ref="S1661:T1661" si="3321">IF(COUNTIF(W$2:W1679, $A1661) &gt; 0,TRUE,IFERROR(0/0,""))</f>
        <v/>
      </c>
      <c r="T1661" s="165" t="str">
        <f t="shared" si="3321"/>
        <v/>
      </c>
      <c r="U1661" s="147" t="str">
        <f t="array" ref="U1661">IF(ISBLANK($R1661), IF($S1661,VLOOKUP($B1661+1,'RFR Data - preExcl'!$BF$2:$BG1679,2,FALSE),IF($T1661,INDEX('RFR Data - preExcl'!$BF$2:$BG1679,MATCH($B1661,'RFR Data - preExcl'!$BF$2:$BF1679,0)+1,2),VLOOKUP($B1661,'RFR Data - preExcl'!$BF$2:$BG1679,2,FALSE))),IFERROR(0/0,""))</f>
        <v/>
      </c>
      <c r="V1661" s="212" t="str">
        <f t="shared" si="5"/>
        <v>RUN-COMB_2022-08-10_APS-003</v>
      </c>
      <c r="W1661" s="51"/>
      <c r="X1661" s="51"/>
      <c r="Y1661" s="147" t="str">
        <f t="shared" ref="Y1661:Z1661" si="3322">IF(_xlfn.ISFORMULA(S1661),IFERROR(0/0,""),TRUE)</f>
        <v/>
      </c>
      <c r="Z1661" s="147" t="str">
        <f t="shared" si="3322"/>
        <v/>
      </c>
    </row>
    <row r="1662">
      <c r="A1662" s="6" t="str">
        <f>IFERROR(__xludf.DUMMYFUNCTION("""COMPUTED_VALUE"""),"FM3008")</f>
        <v>FM3008</v>
      </c>
      <c r="B1662" s="206">
        <f>IFERROR(__xludf.DUMMYFUNCTION("""COMPUTED_VALUE"""),44783.0)</f>
        <v>44783</v>
      </c>
      <c r="C1662" s="207">
        <f>IFERROR(__xludf.DUMMYFUNCTION("""COMPUTED_VALUE"""),0.2662962962962963)</f>
        <v>0.2662962963</v>
      </c>
      <c r="D1662" s="50"/>
      <c r="E1662" s="58"/>
      <c r="F1662" s="58"/>
      <c r="G1662" s="58" t="str">
        <f>IFERROR(__xludf.DUMMYFUNCTION("""COMPUTED_VALUE"""),"Null")</f>
        <v>Null</v>
      </c>
      <c r="H1662" s="206" t="str">
        <f>IFERROR(__xludf.DUMMYFUNCTION("""COMPUTED_VALUE"""),"Negative")</f>
        <v>Negative</v>
      </c>
      <c r="I1662" s="207"/>
      <c r="J1662" s="50"/>
      <c r="K1662" s="50">
        <f>IFERROR(__xludf.DUMMYFUNCTION("""COMPUTED_VALUE"""),2.0)</f>
        <v>2</v>
      </c>
      <c r="L1662" s="6"/>
      <c r="M1662" s="55"/>
      <c r="N1662" s="55">
        <f>IFERROR(__xludf.DUMMYFUNCTION("""COMPUTED_VALUE"""),1.0)</f>
        <v>1</v>
      </c>
      <c r="O1662" s="55" t="str">
        <f t="shared" si="3"/>
        <v/>
      </c>
      <c r="P1662" s="209"/>
      <c r="Q1662" s="75" t="b">
        <f>VLOOKUP($B1662,'Run Reconcile'!B$2:P1679,15,FALSE)</f>
        <v>1</v>
      </c>
      <c r="R1662" s="211" t="str">
        <f t="array" ref="R1662">IF($Q1662, INDEX('Run Reconcile'!A$2:A1679,MATCH(B1662,'Run Reconcile'!B$2:B1679,0),1),IFERROR(0/0,""))</f>
        <v>RUN-COMB_2022-08-10_APS-003</v>
      </c>
      <c r="S1662" s="165" t="str">
        <f t="shared" ref="S1662:T1662" si="3323">IF(COUNTIF(W$2:W1679, $A1662) &gt; 0,TRUE,IFERROR(0/0,""))</f>
        <v/>
      </c>
      <c r="T1662" s="165" t="str">
        <f t="shared" si="3323"/>
        <v/>
      </c>
      <c r="U1662" s="147" t="str">
        <f t="array" ref="U1662">IF(ISBLANK($R1662), IF($S1662,VLOOKUP($B1662+1,'RFR Data - preExcl'!$BF$2:$BG1679,2,FALSE),IF($T1662,INDEX('RFR Data - preExcl'!$BF$2:$BG1679,MATCH($B1662,'RFR Data - preExcl'!$BF$2:$BF1679,0)+1,2),VLOOKUP($B1662,'RFR Data - preExcl'!$BF$2:$BG1679,2,FALSE))),IFERROR(0/0,""))</f>
        <v/>
      </c>
      <c r="V1662" s="212" t="str">
        <f t="shared" si="5"/>
        <v>RUN-COMB_2022-08-10_APS-003</v>
      </c>
      <c r="W1662" s="51"/>
      <c r="X1662" s="51"/>
      <c r="Y1662" s="147" t="str">
        <f t="shared" ref="Y1662:Z1662" si="3324">IF(_xlfn.ISFORMULA(S1662),IFERROR(0/0,""),TRUE)</f>
        <v/>
      </c>
      <c r="Z1662" s="147" t="str">
        <f t="shared" si="3324"/>
        <v/>
      </c>
    </row>
    <row r="1663">
      <c r="A1663" s="6" t="str">
        <f>IFERROR(__xludf.DUMMYFUNCTION("""COMPUTED_VALUE"""),"FM3039")</f>
        <v>FM3039</v>
      </c>
      <c r="B1663" s="206">
        <f>IFERROR(__xludf.DUMMYFUNCTION("""COMPUTED_VALUE"""),44783.0)</f>
        <v>44783</v>
      </c>
      <c r="C1663" s="207">
        <f>IFERROR(__xludf.DUMMYFUNCTION("""COMPUTED_VALUE"""),0.26664351851851853)</f>
        <v>0.2666435185</v>
      </c>
      <c r="D1663" s="50"/>
      <c r="E1663" s="58"/>
      <c r="F1663" s="58"/>
      <c r="G1663" s="58" t="str">
        <f>IFERROR(__xludf.DUMMYFUNCTION("""COMPUTED_VALUE"""),"Null")</f>
        <v>Null</v>
      </c>
      <c r="H1663" s="206" t="str">
        <f>IFERROR(__xludf.DUMMYFUNCTION("""COMPUTED_VALUE"""),"Negative")</f>
        <v>Negative</v>
      </c>
      <c r="I1663" s="207"/>
      <c r="J1663" s="50"/>
      <c r="K1663" s="50">
        <f>IFERROR(__xludf.DUMMYFUNCTION("""COMPUTED_VALUE"""),2.0)</f>
        <v>2</v>
      </c>
      <c r="L1663" s="6"/>
      <c r="M1663" s="55"/>
      <c r="N1663" s="55">
        <f>IFERROR(__xludf.DUMMYFUNCTION("""COMPUTED_VALUE"""),1.0)</f>
        <v>1</v>
      </c>
      <c r="O1663" s="55" t="str">
        <f t="shared" si="3"/>
        <v/>
      </c>
      <c r="P1663" s="209"/>
      <c r="Q1663" s="75" t="b">
        <f>VLOOKUP($B1663,'Run Reconcile'!B$2:P1679,15,FALSE)</f>
        <v>1</v>
      </c>
      <c r="R1663" s="211" t="str">
        <f t="array" ref="R1663">IF($Q1663, INDEX('Run Reconcile'!A$2:A1679,MATCH(B1663,'Run Reconcile'!B$2:B1679,0),1),IFERROR(0/0,""))</f>
        <v>RUN-COMB_2022-08-10_APS-003</v>
      </c>
      <c r="S1663" s="165" t="str">
        <f t="shared" ref="S1663:T1663" si="3325">IF(COUNTIF(W$2:W1679, $A1663) &gt; 0,TRUE,IFERROR(0/0,""))</f>
        <v/>
      </c>
      <c r="T1663" s="165" t="str">
        <f t="shared" si="3325"/>
        <v/>
      </c>
      <c r="U1663" s="147" t="str">
        <f t="array" ref="U1663">IF(ISBLANK($R1663), IF($S1663,VLOOKUP($B1663+1,'RFR Data - preExcl'!$BF$2:$BG1679,2,FALSE),IF($T1663,INDEX('RFR Data - preExcl'!$BF$2:$BG1679,MATCH($B1663,'RFR Data - preExcl'!$BF$2:$BF1679,0)+1,2),VLOOKUP($B1663,'RFR Data - preExcl'!$BF$2:$BG1679,2,FALSE))),IFERROR(0/0,""))</f>
        <v/>
      </c>
      <c r="V1663" s="212" t="str">
        <f t="shared" si="5"/>
        <v>RUN-COMB_2022-08-10_APS-003</v>
      </c>
      <c r="W1663" s="51"/>
      <c r="X1663" s="51"/>
      <c r="Y1663" s="147" t="str">
        <f t="shared" ref="Y1663:Z1663" si="3326">IF(_xlfn.ISFORMULA(S1663),IFERROR(0/0,""),TRUE)</f>
        <v/>
      </c>
      <c r="Z1663" s="147" t="str">
        <f t="shared" si="3326"/>
        <v/>
      </c>
    </row>
    <row r="1664">
      <c r="A1664" s="6" t="str">
        <f>IFERROR(__xludf.DUMMYFUNCTION("""COMPUTED_VALUE"""),"FM3040")</f>
        <v>FM3040</v>
      </c>
      <c r="B1664" s="206">
        <f>IFERROR(__xludf.DUMMYFUNCTION("""COMPUTED_VALUE"""),44783.0)</f>
        <v>44783</v>
      </c>
      <c r="C1664" s="207">
        <f>IFERROR(__xludf.DUMMYFUNCTION("""COMPUTED_VALUE"""),0.2669097222222222)</f>
        <v>0.2669097222</v>
      </c>
      <c r="D1664" s="50"/>
      <c r="E1664" s="58"/>
      <c r="F1664" s="58"/>
      <c r="G1664" s="58" t="str">
        <f>IFERROR(__xludf.DUMMYFUNCTION("""COMPUTED_VALUE"""),"Null")</f>
        <v>Null</v>
      </c>
      <c r="H1664" s="206" t="str">
        <f>IFERROR(__xludf.DUMMYFUNCTION("""COMPUTED_VALUE"""),"Negative")</f>
        <v>Negative</v>
      </c>
      <c r="I1664" s="207"/>
      <c r="J1664" s="50"/>
      <c r="K1664" s="50">
        <f>IFERROR(__xludf.DUMMYFUNCTION("""COMPUTED_VALUE"""),2.0)</f>
        <v>2</v>
      </c>
      <c r="L1664" s="6"/>
      <c r="M1664" s="55"/>
      <c r="N1664" s="55">
        <f>IFERROR(__xludf.DUMMYFUNCTION("""COMPUTED_VALUE"""),1.0)</f>
        <v>1</v>
      </c>
      <c r="O1664" s="55" t="str">
        <f t="shared" si="3"/>
        <v/>
      </c>
      <c r="P1664" s="209"/>
      <c r="Q1664" s="75" t="b">
        <f>VLOOKUP($B1664,'Run Reconcile'!B$2:P1679,15,FALSE)</f>
        <v>1</v>
      </c>
      <c r="R1664" s="211" t="str">
        <f t="array" ref="R1664">IF($Q1664, INDEX('Run Reconcile'!A$2:A1679,MATCH(B1664,'Run Reconcile'!B$2:B1679,0),1),IFERROR(0/0,""))</f>
        <v>RUN-COMB_2022-08-10_APS-003</v>
      </c>
      <c r="S1664" s="165" t="str">
        <f t="shared" ref="S1664:T1664" si="3327">IF(COUNTIF(W$2:W1679, $A1664) &gt; 0,TRUE,IFERROR(0/0,""))</f>
        <v/>
      </c>
      <c r="T1664" s="165" t="str">
        <f t="shared" si="3327"/>
        <v/>
      </c>
      <c r="U1664" s="147" t="str">
        <f t="array" ref="U1664">IF(ISBLANK($R1664), IF($S1664,VLOOKUP($B1664+1,'RFR Data - preExcl'!$BF$2:$BG1679,2,FALSE),IF($T1664,INDEX('RFR Data - preExcl'!$BF$2:$BG1679,MATCH($B1664,'RFR Data - preExcl'!$BF$2:$BF1679,0)+1,2),VLOOKUP($B1664,'RFR Data - preExcl'!$BF$2:$BG1679,2,FALSE))),IFERROR(0/0,""))</f>
        <v/>
      </c>
      <c r="V1664" s="212" t="str">
        <f t="shared" si="5"/>
        <v>RUN-COMB_2022-08-10_APS-003</v>
      </c>
      <c r="W1664" s="51"/>
      <c r="X1664" s="51"/>
      <c r="Y1664" s="147" t="str">
        <f t="shared" ref="Y1664:Z1664" si="3328">IF(_xlfn.ISFORMULA(S1664),IFERROR(0/0,""),TRUE)</f>
        <v/>
      </c>
      <c r="Z1664" s="147" t="str">
        <f t="shared" si="3328"/>
        <v/>
      </c>
    </row>
    <row r="1665">
      <c r="A1665" s="6" t="str">
        <f>IFERROR(__xludf.DUMMYFUNCTION("""COMPUTED_VALUE"""),"FM3020")</f>
        <v>FM3020</v>
      </c>
      <c r="B1665" s="206">
        <f>IFERROR(__xludf.DUMMYFUNCTION("""COMPUTED_VALUE"""),44783.0)</f>
        <v>44783</v>
      </c>
      <c r="C1665" s="207">
        <f>IFERROR(__xludf.DUMMYFUNCTION("""COMPUTED_VALUE"""),0.26719907407407406)</f>
        <v>0.2671990741</v>
      </c>
      <c r="D1665" s="50"/>
      <c r="E1665" s="58"/>
      <c r="F1665" s="58"/>
      <c r="G1665" s="58" t="str">
        <f>IFERROR(__xludf.DUMMYFUNCTION("""COMPUTED_VALUE"""),"Null")</f>
        <v>Null</v>
      </c>
      <c r="H1665" s="206" t="str">
        <f>IFERROR(__xludf.DUMMYFUNCTION("""COMPUTED_VALUE"""),"Negative")</f>
        <v>Negative</v>
      </c>
      <c r="I1665" s="207"/>
      <c r="J1665" s="50"/>
      <c r="K1665" s="50">
        <f>IFERROR(__xludf.DUMMYFUNCTION("""COMPUTED_VALUE"""),2.0)</f>
        <v>2</v>
      </c>
      <c r="L1665" s="6"/>
      <c r="M1665" s="55"/>
      <c r="N1665" s="55">
        <f>IFERROR(__xludf.DUMMYFUNCTION("""COMPUTED_VALUE"""),1.0)</f>
        <v>1</v>
      </c>
      <c r="O1665" s="55" t="str">
        <f t="shared" si="3"/>
        <v/>
      </c>
      <c r="P1665" s="209"/>
      <c r="Q1665" s="75" t="b">
        <f>VLOOKUP($B1665,'Run Reconcile'!B$2:P1679,15,FALSE)</f>
        <v>1</v>
      </c>
      <c r="R1665" s="211" t="str">
        <f t="array" ref="R1665">IF($Q1665, INDEX('Run Reconcile'!A$2:A1679,MATCH(B1665,'Run Reconcile'!B$2:B1679,0),1),IFERROR(0/0,""))</f>
        <v>RUN-COMB_2022-08-10_APS-003</v>
      </c>
      <c r="S1665" s="165" t="str">
        <f t="shared" ref="S1665:T1665" si="3329">IF(COUNTIF(W$2:W1679, $A1665) &gt; 0,TRUE,IFERROR(0/0,""))</f>
        <v/>
      </c>
      <c r="T1665" s="165" t="str">
        <f t="shared" si="3329"/>
        <v/>
      </c>
      <c r="U1665" s="147" t="str">
        <f t="array" ref="U1665">IF(ISBLANK($R1665), IF($S1665,VLOOKUP($B1665+1,'RFR Data - preExcl'!$BF$2:$BG1679,2,FALSE),IF($T1665,INDEX('RFR Data - preExcl'!$BF$2:$BG1679,MATCH($B1665,'RFR Data - preExcl'!$BF$2:$BF1679,0)+1,2),VLOOKUP($B1665,'RFR Data - preExcl'!$BF$2:$BG1679,2,FALSE))),IFERROR(0/0,""))</f>
        <v/>
      </c>
      <c r="V1665" s="212" t="str">
        <f t="shared" si="5"/>
        <v>RUN-COMB_2022-08-10_APS-003</v>
      </c>
      <c r="W1665" s="51"/>
      <c r="X1665" s="51"/>
      <c r="Y1665" s="147" t="str">
        <f t="shared" ref="Y1665:Z1665" si="3330">IF(_xlfn.ISFORMULA(S1665),IFERROR(0/0,""),TRUE)</f>
        <v/>
      </c>
      <c r="Z1665" s="147" t="str">
        <f t="shared" si="3330"/>
        <v/>
      </c>
    </row>
    <row r="1666">
      <c r="A1666" s="6" t="str">
        <f>IFERROR(__xludf.DUMMYFUNCTION("""COMPUTED_VALUE"""),"FM3075")</f>
        <v>FM3075</v>
      </c>
      <c r="B1666" s="206">
        <f>IFERROR(__xludf.DUMMYFUNCTION("""COMPUTED_VALUE"""),44783.0)</f>
        <v>44783</v>
      </c>
      <c r="C1666" s="207">
        <f>IFERROR(__xludf.DUMMYFUNCTION("""COMPUTED_VALUE"""),0.26752314814814815)</f>
        <v>0.2675231481</v>
      </c>
      <c r="D1666" s="50"/>
      <c r="E1666" s="58"/>
      <c r="F1666" s="58"/>
      <c r="G1666" s="58" t="str">
        <f>IFERROR(__xludf.DUMMYFUNCTION("""COMPUTED_VALUE"""),"Null")</f>
        <v>Null</v>
      </c>
      <c r="H1666" s="206" t="str">
        <f>IFERROR(__xludf.DUMMYFUNCTION("""COMPUTED_VALUE"""),"Negative")</f>
        <v>Negative</v>
      </c>
      <c r="I1666" s="207"/>
      <c r="J1666" s="50"/>
      <c r="K1666" s="50">
        <f>IFERROR(__xludf.DUMMYFUNCTION("""COMPUTED_VALUE"""),2.0)</f>
        <v>2</v>
      </c>
      <c r="L1666" s="6"/>
      <c r="M1666" s="55"/>
      <c r="N1666" s="55">
        <f>IFERROR(__xludf.DUMMYFUNCTION("""COMPUTED_VALUE"""),1.0)</f>
        <v>1</v>
      </c>
      <c r="O1666" s="55" t="str">
        <f t="shared" si="3"/>
        <v/>
      </c>
      <c r="P1666" s="209"/>
      <c r="Q1666" s="75" t="b">
        <f>VLOOKUP($B1666,'Run Reconcile'!B$2:P1679,15,FALSE)</f>
        <v>1</v>
      </c>
      <c r="R1666" s="211" t="str">
        <f t="array" ref="R1666">IF($Q1666, INDEX('Run Reconcile'!A$2:A1679,MATCH(B1666,'Run Reconcile'!B$2:B1679,0),1),IFERROR(0/0,""))</f>
        <v>RUN-COMB_2022-08-10_APS-003</v>
      </c>
      <c r="S1666" s="165" t="str">
        <f t="shared" ref="S1666:T1666" si="3331">IF(COUNTIF(W$2:W1679, $A1666) &gt; 0,TRUE,IFERROR(0/0,""))</f>
        <v/>
      </c>
      <c r="T1666" s="165" t="str">
        <f t="shared" si="3331"/>
        <v/>
      </c>
      <c r="U1666" s="147" t="str">
        <f t="array" ref="U1666">IF(ISBLANK($R1666), IF($S1666,VLOOKUP($B1666+1,'RFR Data - preExcl'!$BF$2:$BG1679,2,FALSE),IF($T1666,INDEX('RFR Data - preExcl'!$BF$2:$BG1679,MATCH($B1666,'RFR Data - preExcl'!$BF$2:$BF1679,0)+1,2),VLOOKUP($B1666,'RFR Data - preExcl'!$BF$2:$BG1679,2,FALSE))),IFERROR(0/0,""))</f>
        <v/>
      </c>
      <c r="V1666" s="212" t="str">
        <f t="shared" si="5"/>
        <v>RUN-COMB_2022-08-10_APS-003</v>
      </c>
      <c r="W1666" s="51"/>
      <c r="X1666" s="51"/>
      <c r="Y1666" s="147" t="str">
        <f t="shared" ref="Y1666:Z1666" si="3332">IF(_xlfn.ISFORMULA(S1666),IFERROR(0/0,""),TRUE)</f>
        <v/>
      </c>
      <c r="Z1666" s="147" t="str">
        <f t="shared" si="3332"/>
        <v/>
      </c>
    </row>
    <row r="1667">
      <c r="A1667" s="6" t="str">
        <f>IFERROR(__xludf.DUMMYFUNCTION("""COMPUTED_VALUE"""),"FM3030")</f>
        <v>FM3030</v>
      </c>
      <c r="B1667" s="206">
        <f>IFERROR(__xludf.DUMMYFUNCTION("""COMPUTED_VALUE"""),44783.0)</f>
        <v>44783</v>
      </c>
      <c r="C1667" s="207">
        <f>IFERROR(__xludf.DUMMYFUNCTION("""COMPUTED_VALUE"""),0.2678587962962963)</f>
        <v>0.2678587963</v>
      </c>
      <c r="D1667" s="50"/>
      <c r="E1667" s="58"/>
      <c r="F1667" s="58"/>
      <c r="G1667" s="58" t="str">
        <f>IFERROR(__xludf.DUMMYFUNCTION("""COMPUTED_VALUE"""),"Null")</f>
        <v>Null</v>
      </c>
      <c r="H1667" s="206" t="str">
        <f>IFERROR(__xludf.DUMMYFUNCTION("""COMPUTED_VALUE"""),"Negative")</f>
        <v>Negative</v>
      </c>
      <c r="I1667" s="207"/>
      <c r="J1667" s="50"/>
      <c r="K1667" s="50">
        <f>IFERROR(__xludf.DUMMYFUNCTION("""COMPUTED_VALUE"""),2.0)</f>
        <v>2</v>
      </c>
      <c r="L1667" s="6"/>
      <c r="M1667" s="55"/>
      <c r="N1667" s="55">
        <f>IFERROR(__xludf.DUMMYFUNCTION("""COMPUTED_VALUE"""),1.0)</f>
        <v>1</v>
      </c>
      <c r="O1667" s="55" t="str">
        <f t="shared" si="3"/>
        <v/>
      </c>
      <c r="P1667" s="209"/>
      <c r="Q1667" s="75" t="b">
        <f>VLOOKUP($B1667,'Run Reconcile'!B$2:P1679,15,FALSE)</f>
        <v>1</v>
      </c>
      <c r="R1667" s="211" t="str">
        <f t="array" ref="R1667">IF($Q1667, INDEX('Run Reconcile'!A$2:A1679,MATCH(B1667,'Run Reconcile'!B$2:B1679,0),1),IFERROR(0/0,""))</f>
        <v>RUN-COMB_2022-08-10_APS-003</v>
      </c>
      <c r="S1667" s="165" t="str">
        <f t="shared" ref="S1667:T1667" si="3333">IF(COUNTIF(W$2:W1679, $A1667) &gt; 0,TRUE,IFERROR(0/0,""))</f>
        <v/>
      </c>
      <c r="T1667" s="165" t="str">
        <f t="shared" si="3333"/>
        <v/>
      </c>
      <c r="U1667" s="147" t="str">
        <f t="array" ref="U1667">IF(ISBLANK($R1667), IF($S1667,VLOOKUP($B1667+1,'RFR Data - preExcl'!$BF$2:$BG1679,2,FALSE),IF($T1667,INDEX('RFR Data - preExcl'!$BF$2:$BG1679,MATCH($B1667,'RFR Data - preExcl'!$BF$2:$BF1679,0)+1,2),VLOOKUP($B1667,'RFR Data - preExcl'!$BF$2:$BG1679,2,FALSE))),IFERROR(0/0,""))</f>
        <v/>
      </c>
      <c r="V1667" s="212" t="str">
        <f t="shared" si="5"/>
        <v>RUN-COMB_2022-08-10_APS-003</v>
      </c>
      <c r="W1667" s="51"/>
      <c r="X1667" s="51"/>
      <c r="Y1667" s="147" t="str">
        <f t="shared" ref="Y1667:Z1667" si="3334">IF(_xlfn.ISFORMULA(S1667),IFERROR(0/0,""),TRUE)</f>
        <v/>
      </c>
      <c r="Z1667" s="147" t="str">
        <f t="shared" si="3334"/>
        <v/>
      </c>
    </row>
    <row r="1668">
      <c r="A1668" s="6" t="str">
        <f>IFERROR(__xludf.DUMMYFUNCTION("""COMPUTED_VALUE"""),"FM3002")</f>
        <v>FM3002</v>
      </c>
      <c r="B1668" s="206">
        <f>IFERROR(__xludf.DUMMYFUNCTION("""COMPUTED_VALUE"""),44783.0)</f>
        <v>44783</v>
      </c>
      <c r="C1668" s="207">
        <f>IFERROR(__xludf.DUMMYFUNCTION("""COMPUTED_VALUE"""),0.2682175925925926)</f>
        <v>0.2682175926</v>
      </c>
      <c r="D1668" s="50"/>
      <c r="E1668" s="58"/>
      <c r="F1668" s="58"/>
      <c r="G1668" s="58" t="str">
        <f>IFERROR(__xludf.DUMMYFUNCTION("""COMPUTED_VALUE"""),"Null")</f>
        <v>Null</v>
      </c>
      <c r="H1668" s="206" t="str">
        <f>IFERROR(__xludf.DUMMYFUNCTION("""COMPUTED_VALUE"""),"Negative")</f>
        <v>Negative</v>
      </c>
      <c r="I1668" s="207"/>
      <c r="J1668" s="50"/>
      <c r="K1668" s="50">
        <f>IFERROR(__xludf.DUMMYFUNCTION("""COMPUTED_VALUE"""),2.0)</f>
        <v>2</v>
      </c>
      <c r="L1668" s="6"/>
      <c r="M1668" s="55"/>
      <c r="N1668" s="55">
        <f>IFERROR(__xludf.DUMMYFUNCTION("""COMPUTED_VALUE"""),1.0)</f>
        <v>1</v>
      </c>
      <c r="O1668" s="55" t="str">
        <f t="shared" si="3"/>
        <v/>
      </c>
      <c r="P1668" s="209"/>
      <c r="Q1668" s="75" t="b">
        <f>VLOOKUP($B1668,'Run Reconcile'!B$2:P1679,15,FALSE)</f>
        <v>1</v>
      </c>
      <c r="R1668" s="211" t="str">
        <f t="array" ref="R1668">IF($Q1668, INDEX('Run Reconcile'!A$2:A1679,MATCH(B1668,'Run Reconcile'!B$2:B1679,0),1),IFERROR(0/0,""))</f>
        <v>RUN-COMB_2022-08-10_APS-003</v>
      </c>
      <c r="S1668" s="165" t="str">
        <f t="shared" ref="S1668:T1668" si="3335">IF(COUNTIF(W$2:W1679, $A1668) &gt; 0,TRUE,IFERROR(0/0,""))</f>
        <v/>
      </c>
      <c r="T1668" s="165" t="str">
        <f t="shared" si="3335"/>
        <v/>
      </c>
      <c r="U1668" s="147" t="str">
        <f t="array" ref="U1668">IF(ISBLANK($R1668), IF($S1668,VLOOKUP($B1668+1,'RFR Data - preExcl'!$BF$2:$BG1679,2,FALSE),IF($T1668,INDEX('RFR Data - preExcl'!$BF$2:$BG1679,MATCH($B1668,'RFR Data - preExcl'!$BF$2:$BF1679,0)+1,2),VLOOKUP($B1668,'RFR Data - preExcl'!$BF$2:$BG1679,2,FALSE))),IFERROR(0/0,""))</f>
        <v/>
      </c>
      <c r="V1668" s="212" t="str">
        <f t="shared" si="5"/>
        <v>RUN-COMB_2022-08-10_APS-003</v>
      </c>
      <c r="W1668" s="51"/>
      <c r="X1668" s="51"/>
      <c r="Y1668" s="147" t="str">
        <f t="shared" ref="Y1668:Z1668" si="3336">IF(_xlfn.ISFORMULA(S1668),IFERROR(0/0,""),TRUE)</f>
        <v/>
      </c>
      <c r="Z1668" s="147" t="str">
        <f t="shared" si="3336"/>
        <v/>
      </c>
    </row>
    <row r="1669">
      <c r="A1669" s="6" t="str">
        <f>IFERROR(__xludf.DUMMYFUNCTION("""COMPUTED_VALUE"""),"FM3046")</f>
        <v>FM3046</v>
      </c>
      <c r="B1669" s="206">
        <f>IFERROR(__xludf.DUMMYFUNCTION("""COMPUTED_VALUE"""),44783.0)</f>
        <v>44783</v>
      </c>
      <c r="C1669" s="207">
        <f>IFERROR(__xludf.DUMMYFUNCTION("""COMPUTED_VALUE"""),0.26851851851851855)</f>
        <v>0.2685185185</v>
      </c>
      <c r="D1669" s="50"/>
      <c r="E1669" s="58"/>
      <c r="F1669" s="58"/>
      <c r="G1669" s="58" t="str">
        <f>IFERROR(__xludf.DUMMYFUNCTION("""COMPUTED_VALUE"""),"Null")</f>
        <v>Null</v>
      </c>
      <c r="H1669" s="206" t="str">
        <f>IFERROR(__xludf.DUMMYFUNCTION("""COMPUTED_VALUE"""),"Negative")</f>
        <v>Negative</v>
      </c>
      <c r="I1669" s="207"/>
      <c r="J1669" s="50"/>
      <c r="K1669" s="50">
        <f>IFERROR(__xludf.DUMMYFUNCTION("""COMPUTED_VALUE"""),2.0)</f>
        <v>2</v>
      </c>
      <c r="L1669" s="6"/>
      <c r="M1669" s="55"/>
      <c r="N1669" s="55">
        <f>IFERROR(__xludf.DUMMYFUNCTION("""COMPUTED_VALUE"""),1.0)</f>
        <v>1</v>
      </c>
      <c r="O1669" s="55" t="str">
        <f t="shared" si="3"/>
        <v/>
      </c>
      <c r="P1669" s="209"/>
      <c r="Q1669" s="75" t="b">
        <f>VLOOKUP($B1669,'Run Reconcile'!B$2:P1679,15,FALSE)</f>
        <v>1</v>
      </c>
      <c r="R1669" s="211" t="str">
        <f t="array" ref="R1669">IF($Q1669, INDEX('Run Reconcile'!A$2:A1679,MATCH(B1669,'Run Reconcile'!B$2:B1679,0),1),IFERROR(0/0,""))</f>
        <v>RUN-COMB_2022-08-10_APS-003</v>
      </c>
      <c r="S1669" s="165" t="str">
        <f t="shared" ref="S1669:T1669" si="3337">IF(COUNTIF(W$2:W1679, $A1669) &gt; 0,TRUE,IFERROR(0/0,""))</f>
        <v/>
      </c>
      <c r="T1669" s="165" t="str">
        <f t="shared" si="3337"/>
        <v/>
      </c>
      <c r="U1669" s="147" t="str">
        <f t="array" ref="U1669">IF(ISBLANK($R1669), IF($S1669,VLOOKUP($B1669+1,'RFR Data - preExcl'!$BF$2:$BG1679,2,FALSE),IF($T1669,INDEX('RFR Data - preExcl'!$BF$2:$BG1679,MATCH($B1669,'RFR Data - preExcl'!$BF$2:$BF1679,0)+1,2),VLOOKUP($B1669,'RFR Data - preExcl'!$BF$2:$BG1679,2,FALSE))),IFERROR(0/0,""))</f>
        <v/>
      </c>
      <c r="V1669" s="212" t="str">
        <f t="shared" si="5"/>
        <v>RUN-COMB_2022-08-10_APS-003</v>
      </c>
      <c r="W1669" s="51"/>
      <c r="X1669" s="51"/>
      <c r="Y1669" s="147" t="str">
        <f t="shared" ref="Y1669:Z1669" si="3338">IF(_xlfn.ISFORMULA(S1669),IFERROR(0/0,""),TRUE)</f>
        <v/>
      </c>
      <c r="Z1669" s="147" t="str">
        <f t="shared" si="3338"/>
        <v/>
      </c>
    </row>
    <row r="1670">
      <c r="A1670" s="6" t="str">
        <f>IFERROR(__xludf.DUMMYFUNCTION("""COMPUTED_VALUE"""),"FM3095")</f>
        <v>FM3095</v>
      </c>
      <c r="B1670" s="206">
        <f>IFERROR(__xludf.DUMMYFUNCTION("""COMPUTED_VALUE"""),44783.0)</f>
        <v>44783</v>
      </c>
      <c r="C1670" s="207">
        <f>IFERROR(__xludf.DUMMYFUNCTION("""COMPUTED_VALUE"""),0.2687962962962963)</f>
        <v>0.2687962963</v>
      </c>
      <c r="D1670" s="50"/>
      <c r="E1670" s="58"/>
      <c r="F1670" s="58"/>
      <c r="G1670" s="58" t="str">
        <f>IFERROR(__xludf.DUMMYFUNCTION("""COMPUTED_VALUE"""),"Null")</f>
        <v>Null</v>
      </c>
      <c r="H1670" s="206" t="str">
        <f>IFERROR(__xludf.DUMMYFUNCTION("""COMPUTED_VALUE"""),"Negative")</f>
        <v>Negative</v>
      </c>
      <c r="I1670" s="207"/>
      <c r="J1670" s="50"/>
      <c r="K1670" s="50">
        <f>IFERROR(__xludf.DUMMYFUNCTION("""COMPUTED_VALUE"""),2.0)</f>
        <v>2</v>
      </c>
      <c r="L1670" s="6"/>
      <c r="M1670" s="55"/>
      <c r="N1670" s="55">
        <f>IFERROR(__xludf.DUMMYFUNCTION("""COMPUTED_VALUE"""),1.0)</f>
        <v>1</v>
      </c>
      <c r="O1670" s="55" t="str">
        <f t="shared" si="3"/>
        <v/>
      </c>
      <c r="P1670" s="209"/>
      <c r="Q1670" s="75" t="b">
        <f>VLOOKUP($B1670,'Run Reconcile'!B$2:P1679,15,FALSE)</f>
        <v>1</v>
      </c>
      <c r="R1670" s="211" t="str">
        <f t="array" ref="R1670">IF($Q1670, INDEX('Run Reconcile'!A$2:A1679,MATCH(B1670,'Run Reconcile'!B$2:B1679,0),1),IFERROR(0/0,""))</f>
        <v>RUN-COMB_2022-08-10_APS-003</v>
      </c>
      <c r="S1670" s="165" t="str">
        <f t="shared" ref="S1670:T1670" si="3339">IF(COUNTIF(W$2:W1679, $A1670) &gt; 0,TRUE,IFERROR(0/0,""))</f>
        <v/>
      </c>
      <c r="T1670" s="165" t="str">
        <f t="shared" si="3339"/>
        <v/>
      </c>
      <c r="U1670" s="147" t="str">
        <f t="array" ref="U1670">IF(ISBLANK($R1670), IF($S1670,VLOOKUP($B1670+1,'RFR Data - preExcl'!$BF$2:$BG1679,2,FALSE),IF($T1670,INDEX('RFR Data - preExcl'!$BF$2:$BG1679,MATCH($B1670,'RFR Data - preExcl'!$BF$2:$BF1679,0)+1,2),VLOOKUP($B1670,'RFR Data - preExcl'!$BF$2:$BG1679,2,FALSE))),IFERROR(0/0,""))</f>
        <v/>
      </c>
      <c r="V1670" s="212" t="str">
        <f t="shared" si="5"/>
        <v>RUN-COMB_2022-08-10_APS-003</v>
      </c>
      <c r="W1670" s="51"/>
      <c r="X1670" s="51"/>
      <c r="Y1670" s="147" t="str">
        <f t="shared" ref="Y1670:Z1670" si="3340">IF(_xlfn.ISFORMULA(S1670),IFERROR(0/0,""),TRUE)</f>
        <v/>
      </c>
      <c r="Z1670" s="147" t="str">
        <f t="shared" si="3340"/>
        <v/>
      </c>
    </row>
    <row r="1671">
      <c r="A1671" s="6" t="str">
        <f>IFERROR(__xludf.DUMMYFUNCTION("""COMPUTED_VALUE"""),"FM3092")</f>
        <v>FM3092</v>
      </c>
      <c r="B1671" s="206">
        <f>IFERROR(__xludf.DUMMYFUNCTION("""COMPUTED_VALUE"""),44783.0)</f>
        <v>44783</v>
      </c>
      <c r="C1671" s="207">
        <f>IFERROR(__xludf.DUMMYFUNCTION("""COMPUTED_VALUE"""),0.2691087962962963)</f>
        <v>0.2691087963</v>
      </c>
      <c r="D1671" s="50"/>
      <c r="E1671" s="58"/>
      <c r="F1671" s="58"/>
      <c r="G1671" s="58" t="str">
        <f>IFERROR(__xludf.DUMMYFUNCTION("""COMPUTED_VALUE"""),"Null")</f>
        <v>Null</v>
      </c>
      <c r="H1671" s="206" t="str">
        <f>IFERROR(__xludf.DUMMYFUNCTION("""COMPUTED_VALUE"""),"Negative")</f>
        <v>Negative</v>
      </c>
      <c r="I1671" s="207"/>
      <c r="J1671" s="50"/>
      <c r="K1671" s="50">
        <f>IFERROR(__xludf.DUMMYFUNCTION("""COMPUTED_VALUE"""),2.0)</f>
        <v>2</v>
      </c>
      <c r="L1671" s="6"/>
      <c r="M1671" s="55"/>
      <c r="N1671" s="55">
        <f>IFERROR(__xludf.DUMMYFUNCTION("""COMPUTED_VALUE"""),1.0)</f>
        <v>1</v>
      </c>
      <c r="O1671" s="55" t="str">
        <f t="shared" si="3"/>
        <v/>
      </c>
      <c r="P1671" s="209"/>
      <c r="Q1671" s="75" t="b">
        <f>VLOOKUP($B1671,'Run Reconcile'!B$2:P1679,15,FALSE)</f>
        <v>1</v>
      </c>
      <c r="R1671" s="211" t="str">
        <f t="array" ref="R1671">IF($Q1671, INDEX('Run Reconcile'!A$2:A1679,MATCH(B1671,'Run Reconcile'!B$2:B1679,0),1),IFERROR(0/0,""))</f>
        <v>RUN-COMB_2022-08-10_APS-003</v>
      </c>
      <c r="S1671" s="165" t="str">
        <f t="shared" ref="S1671:T1671" si="3341">IF(COUNTIF(W$2:W1679, $A1671) &gt; 0,TRUE,IFERROR(0/0,""))</f>
        <v/>
      </c>
      <c r="T1671" s="165" t="str">
        <f t="shared" si="3341"/>
        <v/>
      </c>
      <c r="U1671" s="147" t="str">
        <f t="array" ref="U1671">IF(ISBLANK($R1671), IF($S1671,VLOOKUP($B1671+1,'RFR Data - preExcl'!$BF$2:$BG1679,2,FALSE),IF($T1671,INDEX('RFR Data - preExcl'!$BF$2:$BG1679,MATCH($B1671,'RFR Data - preExcl'!$BF$2:$BF1679,0)+1,2),VLOOKUP($B1671,'RFR Data - preExcl'!$BF$2:$BG1679,2,FALSE))),IFERROR(0/0,""))</f>
        <v/>
      </c>
      <c r="V1671" s="212" t="str">
        <f t="shared" si="5"/>
        <v>RUN-COMB_2022-08-10_APS-003</v>
      </c>
      <c r="W1671" s="51"/>
      <c r="X1671" s="51"/>
      <c r="Y1671" s="147" t="str">
        <f t="shared" ref="Y1671:Z1671" si="3342">IF(_xlfn.ISFORMULA(S1671),IFERROR(0/0,""),TRUE)</f>
        <v/>
      </c>
      <c r="Z1671" s="147" t="str">
        <f t="shared" si="3342"/>
        <v/>
      </c>
    </row>
    <row r="1672">
      <c r="A1672" s="6" t="str">
        <f>IFERROR(__xludf.DUMMYFUNCTION("""COMPUTED_VALUE"""),"FM3037")</f>
        <v>FM3037</v>
      </c>
      <c r="B1672" s="206">
        <f>IFERROR(__xludf.DUMMYFUNCTION("""COMPUTED_VALUE"""),44783.0)</f>
        <v>44783</v>
      </c>
      <c r="C1672" s="207">
        <f>IFERROR(__xludf.DUMMYFUNCTION("""COMPUTED_VALUE"""),0.2694097222222222)</f>
        <v>0.2694097222</v>
      </c>
      <c r="D1672" s="50"/>
      <c r="E1672" s="58"/>
      <c r="F1672" s="58"/>
      <c r="G1672" s="58" t="str">
        <f>IFERROR(__xludf.DUMMYFUNCTION("""COMPUTED_VALUE"""),"Null")</f>
        <v>Null</v>
      </c>
      <c r="H1672" s="206" t="str">
        <f>IFERROR(__xludf.DUMMYFUNCTION("""COMPUTED_VALUE"""),"Negative")</f>
        <v>Negative</v>
      </c>
      <c r="I1672" s="207"/>
      <c r="J1672" s="50"/>
      <c r="K1672" s="50">
        <f>IFERROR(__xludf.DUMMYFUNCTION("""COMPUTED_VALUE"""),2.0)</f>
        <v>2</v>
      </c>
      <c r="L1672" s="6"/>
      <c r="M1672" s="55"/>
      <c r="N1672" s="55">
        <f>IFERROR(__xludf.DUMMYFUNCTION("""COMPUTED_VALUE"""),1.0)</f>
        <v>1</v>
      </c>
      <c r="O1672" s="55" t="str">
        <f t="shared" si="3"/>
        <v/>
      </c>
      <c r="P1672" s="209"/>
      <c r="Q1672" s="75" t="b">
        <f>VLOOKUP($B1672,'Run Reconcile'!B$2:P1679,15,FALSE)</f>
        <v>1</v>
      </c>
      <c r="R1672" s="211" t="str">
        <f t="array" ref="R1672">IF($Q1672, INDEX('Run Reconcile'!A$2:A1679,MATCH(B1672,'Run Reconcile'!B$2:B1679,0),1),IFERROR(0/0,""))</f>
        <v>RUN-COMB_2022-08-10_APS-003</v>
      </c>
      <c r="S1672" s="165" t="str">
        <f t="shared" ref="S1672:T1672" si="3343">IF(COUNTIF(W$2:W1679, $A1672) &gt; 0,TRUE,IFERROR(0/0,""))</f>
        <v/>
      </c>
      <c r="T1672" s="165" t="str">
        <f t="shared" si="3343"/>
        <v/>
      </c>
      <c r="U1672" s="147" t="str">
        <f t="array" ref="U1672">IF(ISBLANK($R1672), IF($S1672,VLOOKUP($B1672+1,'RFR Data - preExcl'!$BF$2:$BG1679,2,FALSE),IF($T1672,INDEX('RFR Data - preExcl'!$BF$2:$BG1679,MATCH($B1672,'RFR Data - preExcl'!$BF$2:$BF1679,0)+1,2),VLOOKUP($B1672,'RFR Data - preExcl'!$BF$2:$BG1679,2,FALSE))),IFERROR(0/0,""))</f>
        <v/>
      </c>
      <c r="V1672" s="212" t="str">
        <f t="shared" si="5"/>
        <v>RUN-COMB_2022-08-10_APS-003</v>
      </c>
      <c r="W1672" s="51"/>
      <c r="X1672" s="51"/>
      <c r="Y1672" s="147" t="str">
        <f t="shared" ref="Y1672:Z1672" si="3344">IF(_xlfn.ISFORMULA(S1672),IFERROR(0/0,""),TRUE)</f>
        <v/>
      </c>
      <c r="Z1672" s="147" t="str">
        <f t="shared" si="3344"/>
        <v/>
      </c>
    </row>
    <row r="1673">
      <c r="A1673" s="6" t="str">
        <f>IFERROR(__xludf.DUMMYFUNCTION("""COMPUTED_VALUE"""),"FM3086")</f>
        <v>FM3086</v>
      </c>
      <c r="B1673" s="206">
        <f>IFERROR(__xludf.DUMMYFUNCTION("""COMPUTED_VALUE"""),44783.0)</f>
        <v>44783</v>
      </c>
      <c r="C1673" s="207">
        <f>IFERROR(__xludf.DUMMYFUNCTION("""COMPUTED_VALUE"""),0.2696875)</f>
        <v>0.2696875</v>
      </c>
      <c r="D1673" s="50"/>
      <c r="E1673" s="58"/>
      <c r="F1673" s="58"/>
      <c r="G1673" s="58" t="str">
        <f>IFERROR(__xludf.DUMMYFUNCTION("""COMPUTED_VALUE"""),"Null")</f>
        <v>Null</v>
      </c>
      <c r="H1673" s="206" t="str">
        <f>IFERROR(__xludf.DUMMYFUNCTION("""COMPUTED_VALUE"""),"Negative")</f>
        <v>Negative</v>
      </c>
      <c r="I1673" s="207"/>
      <c r="J1673" s="50"/>
      <c r="K1673" s="50">
        <f>IFERROR(__xludf.DUMMYFUNCTION("""COMPUTED_VALUE"""),2.0)</f>
        <v>2</v>
      </c>
      <c r="L1673" s="6"/>
      <c r="M1673" s="55"/>
      <c r="N1673" s="55">
        <f>IFERROR(__xludf.DUMMYFUNCTION("""COMPUTED_VALUE"""),1.0)</f>
        <v>1</v>
      </c>
      <c r="O1673" s="55" t="str">
        <f t="shared" si="3"/>
        <v/>
      </c>
      <c r="P1673" s="209"/>
      <c r="Q1673" s="75" t="b">
        <f>VLOOKUP($B1673,'Run Reconcile'!B$2:P1679,15,FALSE)</f>
        <v>1</v>
      </c>
      <c r="R1673" s="211" t="str">
        <f t="array" ref="R1673">IF($Q1673, INDEX('Run Reconcile'!A$2:A1679,MATCH(B1673,'Run Reconcile'!B$2:B1679,0),1),IFERROR(0/0,""))</f>
        <v>RUN-COMB_2022-08-10_APS-003</v>
      </c>
      <c r="S1673" s="165" t="str">
        <f t="shared" ref="S1673:T1673" si="3345">IF(COUNTIF(W$2:W1679, $A1673) &gt; 0,TRUE,IFERROR(0/0,""))</f>
        <v/>
      </c>
      <c r="T1673" s="165" t="str">
        <f t="shared" si="3345"/>
        <v/>
      </c>
      <c r="U1673" s="147" t="str">
        <f t="array" ref="U1673">IF(ISBLANK($R1673), IF($S1673,VLOOKUP($B1673+1,'RFR Data - preExcl'!$BF$2:$BG1679,2,FALSE),IF($T1673,INDEX('RFR Data - preExcl'!$BF$2:$BG1679,MATCH($B1673,'RFR Data - preExcl'!$BF$2:$BF1679,0)+1,2),VLOOKUP($B1673,'RFR Data - preExcl'!$BF$2:$BG1679,2,FALSE))),IFERROR(0/0,""))</f>
        <v/>
      </c>
      <c r="V1673" s="212" t="str">
        <f t="shared" si="5"/>
        <v>RUN-COMB_2022-08-10_APS-003</v>
      </c>
      <c r="W1673" s="51"/>
      <c r="X1673" s="51"/>
      <c r="Y1673" s="147" t="str">
        <f t="shared" ref="Y1673:Z1673" si="3346">IF(_xlfn.ISFORMULA(S1673),IFERROR(0/0,""),TRUE)</f>
        <v/>
      </c>
      <c r="Z1673" s="147" t="str">
        <f t="shared" si="3346"/>
        <v/>
      </c>
    </row>
    <row r="1674">
      <c r="A1674" s="6"/>
      <c r="B1674" s="213"/>
      <c r="C1674" s="213"/>
      <c r="D1674" s="50"/>
      <c r="E1674" s="58"/>
      <c r="F1674" s="58"/>
      <c r="G1674" s="58"/>
      <c r="H1674" s="206"/>
      <c r="I1674" s="207"/>
      <c r="J1674" s="50"/>
      <c r="K1674" s="50"/>
      <c r="L1674" s="6"/>
      <c r="M1674" s="55"/>
      <c r="N1674" s="55"/>
      <c r="O1674" s="55"/>
      <c r="P1674" s="209"/>
      <c r="Q1674" s="75"/>
      <c r="R1674" s="75"/>
      <c r="S1674" s="165" t="str">
        <f t="shared" ref="S1674:T1674" si="3347">IF(COUNTIF(W$2:W1679, $A1674) &gt; 0,TRUE,IFERROR(0/0,""))</f>
        <v/>
      </c>
      <c r="T1674" s="165" t="str">
        <f t="shared" si="3347"/>
        <v/>
      </c>
      <c r="U1674" s="147"/>
      <c r="V1674" s="214"/>
      <c r="W1674" s="51"/>
      <c r="X1674" s="51"/>
      <c r="Y1674" s="147"/>
      <c r="Z1674" s="147"/>
    </row>
    <row r="1675">
      <c r="A1675" s="6"/>
      <c r="B1675" s="213"/>
      <c r="C1675" s="213"/>
      <c r="D1675" s="50"/>
      <c r="E1675" s="58"/>
      <c r="F1675" s="58"/>
      <c r="G1675" s="58"/>
      <c r="H1675" s="206"/>
      <c r="I1675" s="207"/>
      <c r="J1675" s="50"/>
      <c r="K1675" s="50"/>
      <c r="L1675" s="6"/>
      <c r="M1675" s="55"/>
      <c r="N1675" s="55"/>
      <c r="O1675" s="55"/>
      <c r="P1675" s="209"/>
      <c r="Q1675" s="75"/>
      <c r="R1675" s="75"/>
      <c r="S1675" s="165" t="str">
        <f t="shared" ref="S1675:T1675" si="3348">IF(COUNTIF(W$2:W1679, $A1675) &gt; 0,TRUE,IFERROR(0/0,""))</f>
        <v/>
      </c>
      <c r="T1675" s="165" t="str">
        <f t="shared" si="3348"/>
        <v/>
      </c>
      <c r="U1675" s="147"/>
      <c r="V1675" s="214"/>
      <c r="W1675" s="51"/>
      <c r="X1675" s="51"/>
      <c r="Y1675" s="147"/>
      <c r="Z1675" s="147"/>
    </row>
    <row r="1676">
      <c r="A1676" s="6"/>
      <c r="B1676" s="213"/>
      <c r="C1676" s="213"/>
      <c r="D1676" s="50"/>
      <c r="E1676" s="58"/>
      <c r="F1676" s="58"/>
      <c r="G1676" s="58"/>
      <c r="H1676" s="206"/>
      <c r="I1676" s="207"/>
      <c r="J1676" s="50"/>
      <c r="K1676" s="50"/>
      <c r="L1676" s="6"/>
      <c r="M1676" s="55"/>
      <c r="N1676" s="55"/>
      <c r="O1676" s="55"/>
      <c r="P1676" s="209"/>
      <c r="Q1676" s="75"/>
      <c r="R1676" s="75"/>
      <c r="S1676" s="165" t="str">
        <f t="shared" ref="S1676:T1676" si="3349">IF(COUNTIF(W$2:W1679, $A1676) &gt; 0,TRUE,IFERROR(0/0,""))</f>
        <v/>
      </c>
      <c r="T1676" s="165" t="str">
        <f t="shared" si="3349"/>
        <v/>
      </c>
      <c r="U1676" s="147"/>
      <c r="V1676" s="214"/>
      <c r="W1676" s="51"/>
      <c r="X1676" s="51"/>
      <c r="Y1676" s="147"/>
      <c r="Z1676" s="147"/>
    </row>
    <row r="1677">
      <c r="A1677" s="6"/>
      <c r="B1677" s="213"/>
      <c r="C1677" s="213"/>
      <c r="D1677" s="50"/>
      <c r="E1677" s="58"/>
      <c r="F1677" s="58"/>
      <c r="G1677" s="58"/>
      <c r="H1677" s="206"/>
      <c r="I1677" s="207"/>
      <c r="J1677" s="50"/>
      <c r="K1677" s="50"/>
      <c r="L1677" s="6"/>
      <c r="M1677" s="55"/>
      <c r="N1677" s="55"/>
      <c r="O1677" s="55"/>
      <c r="P1677" s="209"/>
      <c r="Q1677" s="75"/>
      <c r="R1677" s="75"/>
      <c r="S1677" s="165" t="str">
        <f t="shared" ref="S1677:T1677" si="3350">IF(COUNTIF(W$2:W1679, $A1677) &gt; 0,TRUE,IFERROR(0/0,""))</f>
        <v/>
      </c>
      <c r="T1677" s="165" t="str">
        <f t="shared" si="3350"/>
        <v/>
      </c>
      <c r="U1677" s="147"/>
      <c r="V1677" s="214"/>
      <c r="W1677" s="51"/>
      <c r="X1677" s="51"/>
      <c r="Y1677" s="147"/>
      <c r="Z1677" s="147"/>
    </row>
    <row r="1678">
      <c r="A1678" s="6"/>
      <c r="B1678" s="213"/>
      <c r="C1678" s="213"/>
      <c r="D1678" s="50"/>
      <c r="E1678" s="58"/>
      <c r="F1678" s="58"/>
      <c r="G1678" s="58"/>
      <c r="H1678" s="206"/>
      <c r="I1678" s="207"/>
      <c r="J1678" s="50"/>
      <c r="K1678" s="50"/>
      <c r="L1678" s="6"/>
      <c r="M1678" s="55"/>
      <c r="N1678" s="55"/>
      <c r="O1678" s="55"/>
      <c r="P1678" s="209"/>
      <c r="Q1678" s="75"/>
      <c r="R1678" s="75"/>
      <c r="S1678" s="165" t="str">
        <f t="shared" ref="S1678:T1678" si="3351">IF(COUNTIF(W$2:W1679, $A1678) &gt; 0,TRUE,IFERROR(0/0,""))</f>
        <v/>
      </c>
      <c r="T1678" s="165" t="str">
        <f t="shared" si="3351"/>
        <v/>
      </c>
      <c r="U1678" s="147"/>
      <c r="V1678" s="214"/>
      <c r="W1678" s="51"/>
      <c r="X1678" s="51"/>
      <c r="Y1678" s="147"/>
      <c r="Z1678" s="147"/>
    </row>
    <row r="1679">
      <c r="A1679" s="6"/>
      <c r="B1679" s="213"/>
      <c r="C1679" s="213"/>
      <c r="D1679" s="50"/>
      <c r="E1679" s="58"/>
      <c r="F1679" s="58"/>
      <c r="G1679" s="58"/>
      <c r="H1679" s="206"/>
      <c r="I1679" s="207"/>
      <c r="J1679" s="50"/>
      <c r="K1679" s="50"/>
      <c r="L1679" s="6"/>
      <c r="M1679" s="55"/>
      <c r="N1679" s="55"/>
      <c r="O1679" s="55"/>
      <c r="P1679" s="209"/>
      <c r="Q1679" s="75"/>
      <c r="R1679" s="75"/>
      <c r="S1679" s="165" t="str">
        <f t="shared" ref="S1679:T1679" si="3352">IF(COUNTIF(W$2:W1679, $A1679) &gt; 0,TRUE,IFERROR(0/0,""))</f>
        <v/>
      </c>
      <c r="T1679" s="165" t="str">
        <f t="shared" si="3352"/>
        <v/>
      </c>
      <c r="U1679" s="147"/>
      <c r="V1679" s="214"/>
      <c r="W1679" s="51"/>
      <c r="X1679" s="51"/>
      <c r="Y1679" s="147"/>
      <c r="Z1679" s="147"/>
    </row>
  </sheetData>
  <conditionalFormatting sqref="A2:C1679 M2:O1679">
    <cfRule type="expression" dxfId="12" priority="1">
      <formula>$O2</formula>
    </cfRule>
  </conditionalFormatting>
  <conditionalFormatting sqref="T2:T1679">
    <cfRule type="expression" dxfId="3" priority="2">
      <formula>NOT(ISFORMULA(T2))</formula>
    </cfRule>
  </conditionalFormatting>
  <conditionalFormatting sqref="S2:S1679">
    <cfRule type="expression" dxfId="3" priority="3">
      <formula>NOT(ISFORMULA(S2))</formula>
    </cfRule>
  </conditionalFormatting>
  <conditionalFormatting sqref="Y1">
    <cfRule type="expression" dxfId="0" priority="4">
      <formula>Z1&gt;0</formula>
    </cfRule>
  </conditionalFormatting>
  <conditionalFormatting sqref="Y1">
    <cfRule type="expression" dxfId="13" priority="5">
      <formula>Z1=0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4.63"/>
    <col customWidth="1" min="3" max="3" width="10.13"/>
    <col customWidth="1" min="4" max="4" width="6.38"/>
    <col customWidth="1" min="5" max="5" width="6.63"/>
    <col customWidth="1" min="6" max="6" width="4.75"/>
    <col customWidth="1" min="7" max="7" width="6.25"/>
    <col customWidth="1" min="8" max="9" width="5.5"/>
    <col customWidth="1" min="10" max="10" width="13.0"/>
    <col customWidth="1" min="11" max="11" width="2.75"/>
    <col customWidth="1" min="12" max="12" width="12.38"/>
    <col customWidth="1" min="13" max="13" width="9.38"/>
    <col customWidth="1" min="14" max="14" width="6.88"/>
    <col customWidth="1" min="15" max="15" width="6.13"/>
    <col customWidth="1" min="16" max="16" width="5.5"/>
    <col customWidth="1" min="17" max="17" width="6.5"/>
    <col customWidth="1" min="18" max="18" width="5.63"/>
    <col customWidth="1" min="19" max="19" width="6.13"/>
    <col customWidth="1" min="20" max="20" width="8.63"/>
    <col customWidth="1" min="22" max="22" width="3.25"/>
    <col customWidth="1" min="24" max="24" width="11.5"/>
    <col customWidth="1" min="25" max="25" width="7.0"/>
    <col customWidth="1" min="26" max="26" width="6.0"/>
    <col customWidth="1" min="27" max="27" width="4.88"/>
    <col customWidth="1" min="28" max="28" width="6.63"/>
    <col customWidth="1" min="29" max="29" width="5.75"/>
  </cols>
  <sheetData>
    <row r="1">
      <c r="A1" s="215" t="s">
        <v>567</v>
      </c>
      <c r="B1" s="216" t="str">
        <f>IFERROR(__xludf.DUMMYFUNCTION("IMPORTRANGE($A$2,""APS Tubes by Date!$A1:$H"")"),"APS
COLLECT DATE")</f>
        <v>APS
COLLECT DATE</v>
      </c>
      <c r="C1" s="217" t="str">
        <f>IFERROR(__xludf.DUMMYFUNCTION("""COMPUTED_VALUE"""),"NUM TUBES 1672")</f>
        <v>NUM TUBES 1672</v>
      </c>
      <c r="D1" s="218" t="str">
        <f>IFERROR(__xludf.DUMMYFUNCTION("""COMPUTED_VALUE"""),"NEG 1655")</f>
        <v>NEG 1655</v>
      </c>
      <c r="E1" s="218" t="str">
        <f>IFERROR(__xludf.DUMMYFUNCTION("""COMPUTED_VALUE"""),"POS  14")</f>
        <v>POS  14</v>
      </c>
      <c r="F1" s="218" t="str">
        <f>IFERROR(__xludf.DUMMYFUNCTION("""COMPUTED_VALUE"""),"INC  3")</f>
        <v>INC  3</v>
      </c>
      <c r="G1" s="218" t="str">
        <f>IFERROR(__xludf.DUMMYFUNCTION("""COMPUTED_VALUE"""),"NULL  0")</f>
        <v>NULL  0</v>
      </c>
      <c r="H1" s="218" t="str">
        <f>IFERROR(__xludf.DUMMYFUNCTION("""COMPUTED_VALUE"""),"INVL  0")</f>
        <v>INVL  0</v>
      </c>
      <c r="I1" s="218" t="str">
        <f>IFERROR(__xludf.DUMMYFUNCTION("""COMPUTED_VALUE"""),"FAIL  0")</f>
        <v>FAIL  0</v>
      </c>
      <c r="J1" s="216" t="str">
        <f>IFERROR(__xludf.DUMMYFUNCTION("IMPORTRANGE($A$2,""APS Tubes by Date!$O1:$O"")"),"All Non-Null Tubes Resulted Same Day?")</f>
        <v>All Non-Null Tubes Resulted Same Day?</v>
      </c>
      <c r="K1" s="145"/>
      <c r="L1" s="219" t="str">
        <f>IFERROR(__xludf.DUMMYFUNCTION("IMPORTRANGE($A$2,""APS Tubes by Date!$T1:$AB"")"),"APS
RESULT DATE")</f>
        <v>APS
RESULT DATE</v>
      </c>
      <c r="M1" s="220" t="str">
        <f>IFERROR(__xludf.DUMMYFUNCTION("""COMPUTED_VALUE"""),"NUM TUBES 953")</f>
        <v>NUM TUBES 953</v>
      </c>
      <c r="N1" s="221" t="str">
        <f>IFERROR(__xludf.DUMMYFUNCTION("""COMPUTED_VALUE"""),"NEG 949")</f>
        <v>NEG 949</v>
      </c>
      <c r="O1" s="221" t="str">
        <f>IFERROR(__xludf.DUMMYFUNCTION("""COMPUTED_VALUE"""),"POS  4")</f>
        <v>POS  4</v>
      </c>
      <c r="P1" s="222" t="str">
        <f>IFERROR(__xludf.DUMMYFUNCTION("""COMPUTED_VALUE"""),"INC  0")</f>
        <v>INC  0</v>
      </c>
      <c r="Q1" s="222" t="str">
        <f>IFERROR(__xludf.DUMMYFUNCTION("""COMPUTED_VALUE"""),"NULL  0")</f>
        <v>NULL  0</v>
      </c>
      <c r="R1" s="222" t="str">
        <f>IFERROR(__xludf.DUMMYFUNCTION("""COMPUTED_VALUE"""),"INVL  0")</f>
        <v>INVL  0</v>
      </c>
      <c r="S1" s="222" t="str">
        <f>IFERROR(__xludf.DUMMYFUNCTION("""COMPUTED_VALUE"""),"FAIL  0")</f>
        <v>FAIL  0</v>
      </c>
      <c r="T1" s="222" t="str">
        <f>IFERROR(__xludf.DUMMYFUNCTION("""COMPUTED_VALUE"""),"SUM RESULTS")</f>
        <v>SUM RESULTS</v>
      </c>
      <c r="U1" s="223" t="s">
        <v>568</v>
      </c>
      <c r="V1" s="224"/>
      <c r="W1" s="129" t="str">
        <f t="shared" ref="W1:AC1" si="1">L1</f>
        <v>APS
RESULT DATE</v>
      </c>
      <c r="X1" s="225" t="str">
        <f t="shared" si="1"/>
        <v>NUM TUBES 953</v>
      </c>
      <c r="Y1" s="129" t="str">
        <f t="shared" si="1"/>
        <v>NEG 949</v>
      </c>
      <c r="Z1" s="129" t="str">
        <f t="shared" si="1"/>
        <v>POS  4</v>
      </c>
      <c r="AA1" s="129" t="str">
        <f t="shared" si="1"/>
        <v>INC  0</v>
      </c>
      <c r="AB1" s="129" t="str">
        <f t="shared" si="1"/>
        <v>NULL  0</v>
      </c>
      <c r="AC1" s="129" t="str">
        <f t="shared" si="1"/>
        <v>INVL  0</v>
      </c>
      <c r="AD1" s="51"/>
      <c r="AE1" s="226"/>
      <c r="AF1" s="129"/>
      <c r="AG1" s="129"/>
      <c r="AH1" s="51"/>
      <c r="AI1" s="226"/>
      <c r="AJ1" s="129"/>
      <c r="AK1" s="51"/>
    </row>
    <row r="2">
      <c r="A2" s="227" t="s">
        <v>569</v>
      </c>
      <c r="B2" s="198">
        <f>IFERROR(__xludf.DUMMYFUNCTION("""COMPUTED_VALUE"""),44640.0)</f>
        <v>44640</v>
      </c>
      <c r="C2" s="50">
        <f>IFERROR(__xludf.DUMMYFUNCTION("""COMPUTED_VALUE"""),18.0)</f>
        <v>18</v>
      </c>
      <c r="D2" s="50">
        <f>IFERROR(__xludf.DUMMYFUNCTION("""COMPUTED_VALUE"""),18.0)</f>
        <v>18</v>
      </c>
      <c r="E2" s="50">
        <f>IFERROR(__xludf.DUMMYFUNCTION("""COMPUTED_VALUE"""),0.0)</f>
        <v>0</v>
      </c>
      <c r="F2" s="50">
        <f>IFERROR(__xludf.DUMMYFUNCTION("""COMPUTED_VALUE"""),0.0)</f>
        <v>0</v>
      </c>
      <c r="G2" s="50">
        <f>IFERROR(__xludf.DUMMYFUNCTION("""COMPUTED_VALUE"""),0.0)</f>
        <v>0</v>
      </c>
      <c r="H2" s="50">
        <f>IFERROR(__xludf.DUMMYFUNCTION("""COMPUTED_VALUE"""),0.0)</f>
        <v>0</v>
      </c>
      <c r="I2" s="50">
        <f>IFERROR(__xludf.DUMMYFUNCTION("""COMPUTED_VALUE"""),0.0)</f>
        <v>0</v>
      </c>
      <c r="J2" s="50" t="b">
        <f>IFERROR(__xludf.DUMMYFUNCTION("""COMPUTED_VALUE"""),TRUE)</f>
        <v>1</v>
      </c>
      <c r="K2" s="79"/>
      <c r="L2" s="11">
        <f>IFERROR(__xludf.DUMMYFUNCTION("""COMPUTED_VALUE"""),44640.0)</f>
        <v>44640</v>
      </c>
      <c r="M2" s="50">
        <f>IFERROR(__xludf.DUMMYFUNCTION("""COMPUTED_VALUE"""),18.0)</f>
        <v>18</v>
      </c>
      <c r="N2" s="50">
        <f>IFERROR(__xludf.DUMMYFUNCTION("""COMPUTED_VALUE"""),18.0)</f>
        <v>18</v>
      </c>
      <c r="O2" s="50">
        <f>IFERROR(__xludf.DUMMYFUNCTION("""COMPUTED_VALUE"""),0.0)</f>
        <v>0</v>
      </c>
      <c r="P2" s="50">
        <f>IFERROR(__xludf.DUMMYFUNCTION("""COMPUTED_VALUE"""),0.0)</f>
        <v>0</v>
      </c>
      <c r="Q2" s="50">
        <f>IFERROR(__xludf.DUMMYFUNCTION("""COMPUTED_VALUE"""),0.0)</f>
        <v>0</v>
      </c>
      <c r="R2" s="50">
        <f>IFERROR(__xludf.DUMMYFUNCTION("""COMPUTED_VALUE"""),0.0)</f>
        <v>0</v>
      </c>
      <c r="S2" s="50">
        <f>IFERROR(__xludf.DUMMYFUNCTION("""COMPUTED_VALUE"""),0.0)</f>
        <v>0</v>
      </c>
      <c r="T2" s="50">
        <f>IFERROR(__xludf.DUMMYFUNCTION("""COMPUTED_VALUE"""),18.0)</f>
        <v>18</v>
      </c>
      <c r="U2" s="51"/>
      <c r="V2" s="224"/>
      <c r="W2" s="198">
        <f t="shared" ref="W2:AC2" si="2">L2</f>
        <v>44640</v>
      </c>
      <c r="X2" s="55">
        <f t="shared" si="2"/>
        <v>18</v>
      </c>
      <c r="Y2" s="55">
        <f t="shared" si="2"/>
        <v>18</v>
      </c>
      <c r="Z2" s="55">
        <f t="shared" si="2"/>
        <v>0</v>
      </c>
      <c r="AA2" s="55">
        <f t="shared" si="2"/>
        <v>0</v>
      </c>
      <c r="AB2" s="55">
        <f t="shared" si="2"/>
        <v>0</v>
      </c>
      <c r="AC2" s="55">
        <f t="shared" si="2"/>
        <v>0</v>
      </c>
    </row>
    <row r="3">
      <c r="B3" s="11">
        <f>IFERROR(__xludf.DUMMYFUNCTION("""COMPUTED_VALUE"""),44641.0)</f>
        <v>44641</v>
      </c>
      <c r="C3" s="50">
        <f>IFERROR(__xludf.DUMMYFUNCTION("""COMPUTED_VALUE"""),26.0)</f>
        <v>26</v>
      </c>
      <c r="D3" s="50">
        <f>IFERROR(__xludf.DUMMYFUNCTION("""COMPUTED_VALUE"""),25.0)</f>
        <v>25</v>
      </c>
      <c r="E3" s="50">
        <f>IFERROR(__xludf.DUMMYFUNCTION("""COMPUTED_VALUE"""),1.0)</f>
        <v>1</v>
      </c>
      <c r="F3" s="50">
        <f>IFERROR(__xludf.DUMMYFUNCTION("""COMPUTED_VALUE"""),0.0)</f>
        <v>0</v>
      </c>
      <c r="G3" s="50">
        <f>IFERROR(__xludf.DUMMYFUNCTION("""COMPUTED_VALUE"""),0.0)</f>
        <v>0</v>
      </c>
      <c r="H3" s="50">
        <f>IFERROR(__xludf.DUMMYFUNCTION("""COMPUTED_VALUE"""),0.0)</f>
        <v>0</v>
      </c>
      <c r="I3" s="50">
        <f>IFERROR(__xludf.DUMMYFUNCTION("""COMPUTED_VALUE"""),0.0)</f>
        <v>0</v>
      </c>
      <c r="J3" s="50" t="b">
        <f>IFERROR(__xludf.DUMMYFUNCTION("""COMPUTED_VALUE"""),TRUE)</f>
        <v>1</v>
      </c>
      <c r="K3" s="79"/>
      <c r="L3" s="11">
        <f>IFERROR(__xludf.DUMMYFUNCTION("""COMPUTED_VALUE"""),44641.0)</f>
        <v>44641</v>
      </c>
      <c r="M3" s="50">
        <f>IFERROR(__xludf.DUMMYFUNCTION("""COMPUTED_VALUE"""),17.0)</f>
        <v>17</v>
      </c>
      <c r="N3" s="50">
        <f>IFERROR(__xludf.DUMMYFUNCTION("""COMPUTED_VALUE"""),16.0)</f>
        <v>16</v>
      </c>
      <c r="O3" s="50">
        <f>IFERROR(__xludf.DUMMYFUNCTION("""COMPUTED_VALUE"""),1.0)</f>
        <v>1</v>
      </c>
      <c r="P3" s="50">
        <f>IFERROR(__xludf.DUMMYFUNCTION("""COMPUTED_VALUE"""),0.0)</f>
        <v>0</v>
      </c>
      <c r="Q3" s="50">
        <f>IFERROR(__xludf.DUMMYFUNCTION("""COMPUTED_VALUE"""),0.0)</f>
        <v>0</v>
      </c>
      <c r="R3" s="50">
        <f>IFERROR(__xludf.DUMMYFUNCTION("""COMPUTED_VALUE"""),0.0)</f>
        <v>0</v>
      </c>
      <c r="S3" s="50">
        <f>IFERROR(__xludf.DUMMYFUNCTION("""COMPUTED_VALUE"""),0.0)</f>
        <v>0</v>
      </c>
      <c r="T3" s="50">
        <f>IFERROR(__xludf.DUMMYFUNCTION("""COMPUTED_VALUE"""),17.0)</f>
        <v>17</v>
      </c>
      <c r="U3" s="51"/>
      <c r="V3" s="224"/>
      <c r="W3" s="198">
        <f t="shared" ref="W3:AC3" si="3">L3</f>
        <v>44641</v>
      </c>
      <c r="X3" s="55">
        <f t="shared" si="3"/>
        <v>17</v>
      </c>
      <c r="Y3" s="55">
        <f t="shared" si="3"/>
        <v>16</v>
      </c>
      <c r="Z3" s="55">
        <f t="shared" si="3"/>
        <v>1</v>
      </c>
      <c r="AA3" s="55">
        <f t="shared" si="3"/>
        <v>0</v>
      </c>
      <c r="AB3" s="55">
        <f t="shared" si="3"/>
        <v>0</v>
      </c>
      <c r="AC3" s="55">
        <f t="shared" si="3"/>
        <v>0</v>
      </c>
    </row>
    <row r="4">
      <c r="B4" s="11">
        <f>IFERROR(__xludf.DUMMYFUNCTION("""COMPUTED_VALUE"""),44642.0)</f>
        <v>44642</v>
      </c>
      <c r="C4" s="50">
        <f>IFERROR(__xludf.DUMMYFUNCTION("""COMPUTED_VALUE"""),18.0)</f>
        <v>18</v>
      </c>
      <c r="D4" s="50">
        <f>IFERROR(__xludf.DUMMYFUNCTION("""COMPUTED_VALUE"""),18.0)</f>
        <v>18</v>
      </c>
      <c r="E4" s="50">
        <f>IFERROR(__xludf.DUMMYFUNCTION("""COMPUTED_VALUE"""),0.0)</f>
        <v>0</v>
      </c>
      <c r="F4" s="50">
        <f>IFERROR(__xludf.DUMMYFUNCTION("""COMPUTED_VALUE"""),0.0)</f>
        <v>0</v>
      </c>
      <c r="G4" s="50">
        <f>IFERROR(__xludf.DUMMYFUNCTION("""COMPUTED_VALUE"""),0.0)</f>
        <v>0</v>
      </c>
      <c r="H4" s="50">
        <f>IFERROR(__xludf.DUMMYFUNCTION("""COMPUTED_VALUE"""),0.0)</f>
        <v>0</v>
      </c>
      <c r="I4" s="50">
        <f>IFERROR(__xludf.DUMMYFUNCTION("""COMPUTED_VALUE"""),0.0)</f>
        <v>0</v>
      </c>
      <c r="J4" s="50" t="b">
        <f>IFERROR(__xludf.DUMMYFUNCTION("""COMPUTED_VALUE"""),TRUE)</f>
        <v>1</v>
      </c>
      <c r="K4" s="79"/>
      <c r="L4" s="11">
        <f>IFERROR(__xludf.DUMMYFUNCTION("""COMPUTED_VALUE"""),44642.0)</f>
        <v>44642</v>
      </c>
      <c r="M4" s="50">
        <f>IFERROR(__xludf.DUMMYFUNCTION("""COMPUTED_VALUE"""),18.0)</f>
        <v>18</v>
      </c>
      <c r="N4" s="50">
        <f>IFERROR(__xludf.DUMMYFUNCTION("""COMPUTED_VALUE"""),18.0)</f>
        <v>18</v>
      </c>
      <c r="O4" s="50">
        <f>IFERROR(__xludf.DUMMYFUNCTION("""COMPUTED_VALUE"""),0.0)</f>
        <v>0</v>
      </c>
      <c r="P4" s="50">
        <f>IFERROR(__xludf.DUMMYFUNCTION("""COMPUTED_VALUE"""),0.0)</f>
        <v>0</v>
      </c>
      <c r="Q4" s="50">
        <f>IFERROR(__xludf.DUMMYFUNCTION("""COMPUTED_VALUE"""),0.0)</f>
        <v>0</v>
      </c>
      <c r="R4" s="50">
        <f>IFERROR(__xludf.DUMMYFUNCTION("""COMPUTED_VALUE"""),0.0)</f>
        <v>0</v>
      </c>
      <c r="S4" s="50">
        <f>IFERROR(__xludf.DUMMYFUNCTION("""COMPUTED_VALUE"""),0.0)</f>
        <v>0</v>
      </c>
      <c r="T4" s="50">
        <f>IFERROR(__xludf.DUMMYFUNCTION("""COMPUTED_VALUE"""),18.0)</f>
        <v>18</v>
      </c>
      <c r="U4" s="51"/>
      <c r="V4" s="224"/>
      <c r="W4" s="198">
        <f t="shared" ref="W4:AC4" si="4">L4</f>
        <v>44642</v>
      </c>
      <c r="X4" s="55">
        <f t="shared" si="4"/>
        <v>18</v>
      </c>
      <c r="Y4" s="55">
        <f t="shared" si="4"/>
        <v>18</v>
      </c>
      <c r="Z4" s="55">
        <f t="shared" si="4"/>
        <v>0</v>
      </c>
      <c r="AA4" s="55">
        <f t="shared" si="4"/>
        <v>0</v>
      </c>
      <c r="AB4" s="55">
        <f t="shared" si="4"/>
        <v>0</v>
      </c>
      <c r="AC4" s="55">
        <f t="shared" si="4"/>
        <v>0</v>
      </c>
    </row>
    <row r="5">
      <c r="B5" s="11">
        <f>IFERROR(__xludf.DUMMYFUNCTION("""COMPUTED_VALUE"""),44643.0)</f>
        <v>44643</v>
      </c>
      <c r="C5" s="50">
        <f>IFERROR(__xludf.DUMMYFUNCTION("""COMPUTED_VALUE"""),32.0)</f>
        <v>32</v>
      </c>
      <c r="D5" s="50">
        <f>IFERROR(__xludf.DUMMYFUNCTION("""COMPUTED_VALUE"""),32.0)</f>
        <v>32</v>
      </c>
      <c r="E5" s="50">
        <f>IFERROR(__xludf.DUMMYFUNCTION("""COMPUTED_VALUE"""),0.0)</f>
        <v>0</v>
      </c>
      <c r="F5" s="50">
        <f>IFERROR(__xludf.DUMMYFUNCTION("""COMPUTED_VALUE"""),0.0)</f>
        <v>0</v>
      </c>
      <c r="G5" s="50">
        <f>IFERROR(__xludf.DUMMYFUNCTION("""COMPUTED_VALUE"""),0.0)</f>
        <v>0</v>
      </c>
      <c r="H5" s="50">
        <f>IFERROR(__xludf.DUMMYFUNCTION("""COMPUTED_VALUE"""),0.0)</f>
        <v>0</v>
      </c>
      <c r="I5" s="50">
        <f>IFERROR(__xludf.DUMMYFUNCTION("""COMPUTED_VALUE"""),0.0)</f>
        <v>0</v>
      </c>
      <c r="J5" s="50" t="b">
        <f>IFERROR(__xludf.DUMMYFUNCTION("""COMPUTED_VALUE"""),TRUE)</f>
        <v>1</v>
      </c>
      <c r="K5" s="79"/>
      <c r="L5" s="11">
        <f>IFERROR(__xludf.DUMMYFUNCTION("""COMPUTED_VALUE"""),44643.0)</f>
        <v>44643</v>
      </c>
      <c r="M5" s="50">
        <f>IFERROR(__xludf.DUMMYFUNCTION("""COMPUTED_VALUE"""),31.0)</f>
        <v>31</v>
      </c>
      <c r="N5" s="50">
        <f>IFERROR(__xludf.DUMMYFUNCTION("""COMPUTED_VALUE"""),31.0)</f>
        <v>31</v>
      </c>
      <c r="O5" s="50">
        <f>IFERROR(__xludf.DUMMYFUNCTION("""COMPUTED_VALUE"""),0.0)</f>
        <v>0</v>
      </c>
      <c r="P5" s="50">
        <f>IFERROR(__xludf.DUMMYFUNCTION("""COMPUTED_VALUE"""),0.0)</f>
        <v>0</v>
      </c>
      <c r="Q5" s="50">
        <f>IFERROR(__xludf.DUMMYFUNCTION("""COMPUTED_VALUE"""),0.0)</f>
        <v>0</v>
      </c>
      <c r="R5" s="50">
        <f>IFERROR(__xludf.DUMMYFUNCTION("""COMPUTED_VALUE"""),0.0)</f>
        <v>0</v>
      </c>
      <c r="S5" s="50">
        <f>IFERROR(__xludf.DUMMYFUNCTION("""COMPUTED_VALUE"""),0.0)</f>
        <v>0</v>
      </c>
      <c r="T5" s="50">
        <f>IFERROR(__xludf.DUMMYFUNCTION("""COMPUTED_VALUE"""),31.0)</f>
        <v>31</v>
      </c>
      <c r="U5" s="51"/>
      <c r="V5" s="224"/>
      <c r="W5" s="198">
        <f t="shared" ref="W5:AC5" si="5">L5</f>
        <v>44643</v>
      </c>
      <c r="X5" s="55">
        <f t="shared" si="5"/>
        <v>31</v>
      </c>
      <c r="Y5" s="55">
        <f t="shared" si="5"/>
        <v>31</v>
      </c>
      <c r="Z5" s="55">
        <f t="shared" si="5"/>
        <v>0</v>
      </c>
      <c r="AA5" s="55">
        <f t="shared" si="5"/>
        <v>0</v>
      </c>
      <c r="AB5" s="55">
        <f t="shared" si="5"/>
        <v>0</v>
      </c>
      <c r="AC5" s="55">
        <f t="shared" si="5"/>
        <v>0</v>
      </c>
    </row>
    <row r="6">
      <c r="B6" s="11">
        <f>IFERROR(__xludf.DUMMYFUNCTION("""COMPUTED_VALUE"""),44644.0)</f>
        <v>44644</v>
      </c>
      <c r="C6" s="50">
        <f>IFERROR(__xludf.DUMMYFUNCTION("""COMPUTED_VALUE"""),23.0)</f>
        <v>23</v>
      </c>
      <c r="D6" s="50">
        <f>IFERROR(__xludf.DUMMYFUNCTION("""COMPUTED_VALUE"""),23.0)</f>
        <v>23</v>
      </c>
      <c r="E6" s="50">
        <f>IFERROR(__xludf.DUMMYFUNCTION("""COMPUTED_VALUE"""),0.0)</f>
        <v>0</v>
      </c>
      <c r="F6" s="50">
        <f>IFERROR(__xludf.DUMMYFUNCTION("""COMPUTED_VALUE"""),0.0)</f>
        <v>0</v>
      </c>
      <c r="G6" s="50">
        <f>IFERROR(__xludf.DUMMYFUNCTION("""COMPUTED_VALUE"""),0.0)</f>
        <v>0</v>
      </c>
      <c r="H6" s="50">
        <f>IFERROR(__xludf.DUMMYFUNCTION("""COMPUTED_VALUE"""),0.0)</f>
        <v>0</v>
      </c>
      <c r="I6" s="50">
        <f>IFERROR(__xludf.DUMMYFUNCTION("""COMPUTED_VALUE"""),0.0)</f>
        <v>0</v>
      </c>
      <c r="J6" s="50" t="b">
        <f>IFERROR(__xludf.DUMMYFUNCTION("""COMPUTED_VALUE"""),TRUE)</f>
        <v>1</v>
      </c>
      <c r="K6" s="79"/>
      <c r="L6" s="11">
        <f>IFERROR(__xludf.DUMMYFUNCTION("""COMPUTED_VALUE"""),44644.0)</f>
        <v>44644</v>
      </c>
      <c r="M6" s="50">
        <f>IFERROR(__xludf.DUMMYFUNCTION("""COMPUTED_VALUE"""),23.0)</f>
        <v>23</v>
      </c>
      <c r="N6" s="50">
        <f>IFERROR(__xludf.DUMMYFUNCTION("""COMPUTED_VALUE"""),23.0)</f>
        <v>23</v>
      </c>
      <c r="O6" s="50">
        <f>IFERROR(__xludf.DUMMYFUNCTION("""COMPUTED_VALUE"""),0.0)</f>
        <v>0</v>
      </c>
      <c r="P6" s="50">
        <f>IFERROR(__xludf.DUMMYFUNCTION("""COMPUTED_VALUE"""),0.0)</f>
        <v>0</v>
      </c>
      <c r="Q6" s="50">
        <f>IFERROR(__xludf.DUMMYFUNCTION("""COMPUTED_VALUE"""),0.0)</f>
        <v>0</v>
      </c>
      <c r="R6" s="50">
        <f>IFERROR(__xludf.DUMMYFUNCTION("""COMPUTED_VALUE"""),0.0)</f>
        <v>0</v>
      </c>
      <c r="S6" s="50">
        <f>IFERROR(__xludf.DUMMYFUNCTION("""COMPUTED_VALUE"""),0.0)</f>
        <v>0</v>
      </c>
      <c r="T6" s="50">
        <f>IFERROR(__xludf.DUMMYFUNCTION("""COMPUTED_VALUE"""),23.0)</f>
        <v>23</v>
      </c>
      <c r="U6" s="51"/>
      <c r="V6" s="224"/>
      <c r="W6" s="198">
        <f t="shared" ref="W6:AC6" si="6">L6</f>
        <v>44644</v>
      </c>
      <c r="X6" s="55">
        <f t="shared" si="6"/>
        <v>23</v>
      </c>
      <c r="Y6" s="55">
        <f t="shared" si="6"/>
        <v>23</v>
      </c>
      <c r="Z6" s="55">
        <f t="shared" si="6"/>
        <v>0</v>
      </c>
      <c r="AA6" s="55">
        <f t="shared" si="6"/>
        <v>0</v>
      </c>
      <c r="AB6" s="55">
        <f t="shared" si="6"/>
        <v>0</v>
      </c>
      <c r="AC6" s="55">
        <f t="shared" si="6"/>
        <v>0</v>
      </c>
    </row>
    <row r="7">
      <c r="B7" s="11">
        <f>IFERROR(__xludf.DUMMYFUNCTION("""COMPUTED_VALUE"""),44653.0)</f>
        <v>44653</v>
      </c>
      <c r="C7" s="50">
        <f>IFERROR(__xludf.DUMMYFUNCTION("""COMPUTED_VALUE"""),2.0)</f>
        <v>2</v>
      </c>
      <c r="D7" s="50">
        <f>IFERROR(__xludf.DUMMYFUNCTION("""COMPUTED_VALUE"""),2.0)</f>
        <v>2</v>
      </c>
      <c r="E7" s="50">
        <f>IFERROR(__xludf.DUMMYFUNCTION("""COMPUTED_VALUE"""),0.0)</f>
        <v>0</v>
      </c>
      <c r="F7" s="50">
        <f>IFERROR(__xludf.DUMMYFUNCTION("""COMPUTED_VALUE"""),0.0)</f>
        <v>0</v>
      </c>
      <c r="G7" s="50">
        <f>IFERROR(__xludf.DUMMYFUNCTION("""COMPUTED_VALUE"""),0.0)</f>
        <v>0</v>
      </c>
      <c r="H7" s="50">
        <f>IFERROR(__xludf.DUMMYFUNCTION("""COMPUTED_VALUE"""),0.0)</f>
        <v>0</v>
      </c>
      <c r="I7" s="50">
        <f>IFERROR(__xludf.DUMMYFUNCTION("""COMPUTED_VALUE"""),0.0)</f>
        <v>0</v>
      </c>
      <c r="J7" s="50" t="b">
        <f>IFERROR(__xludf.DUMMYFUNCTION("""COMPUTED_VALUE"""),TRUE)</f>
        <v>1</v>
      </c>
      <c r="K7" s="79"/>
      <c r="L7" s="11">
        <f>IFERROR(__xludf.DUMMYFUNCTION("""COMPUTED_VALUE"""),44653.0)</f>
        <v>44653</v>
      </c>
      <c r="M7" s="50">
        <f>IFERROR(__xludf.DUMMYFUNCTION("""COMPUTED_VALUE"""),2.0)</f>
        <v>2</v>
      </c>
      <c r="N7" s="50">
        <f>IFERROR(__xludf.DUMMYFUNCTION("""COMPUTED_VALUE"""),2.0)</f>
        <v>2</v>
      </c>
      <c r="O7" s="50">
        <f>IFERROR(__xludf.DUMMYFUNCTION("""COMPUTED_VALUE"""),0.0)</f>
        <v>0</v>
      </c>
      <c r="P7" s="50">
        <f>IFERROR(__xludf.DUMMYFUNCTION("""COMPUTED_VALUE"""),0.0)</f>
        <v>0</v>
      </c>
      <c r="Q7" s="50">
        <f>IFERROR(__xludf.DUMMYFUNCTION("""COMPUTED_VALUE"""),0.0)</f>
        <v>0</v>
      </c>
      <c r="R7" s="50">
        <f>IFERROR(__xludf.DUMMYFUNCTION("""COMPUTED_VALUE"""),0.0)</f>
        <v>0</v>
      </c>
      <c r="S7" s="50">
        <f>IFERROR(__xludf.DUMMYFUNCTION("""COMPUTED_VALUE"""),0.0)</f>
        <v>0</v>
      </c>
      <c r="T7" s="50">
        <f>IFERROR(__xludf.DUMMYFUNCTION("""COMPUTED_VALUE"""),2.0)</f>
        <v>2</v>
      </c>
      <c r="U7" s="51"/>
      <c r="V7" s="224"/>
      <c r="W7" s="198">
        <f t="shared" ref="W7:AC7" si="7">L7</f>
        <v>44653</v>
      </c>
      <c r="X7" s="55">
        <f t="shared" si="7"/>
        <v>2</v>
      </c>
      <c r="Y7" s="55">
        <f t="shared" si="7"/>
        <v>2</v>
      </c>
      <c r="Z7" s="55">
        <f t="shared" si="7"/>
        <v>0</v>
      </c>
      <c r="AA7" s="55">
        <f t="shared" si="7"/>
        <v>0</v>
      </c>
      <c r="AB7" s="55">
        <f t="shared" si="7"/>
        <v>0</v>
      </c>
      <c r="AC7" s="55">
        <f t="shared" si="7"/>
        <v>0</v>
      </c>
    </row>
    <row r="8">
      <c r="B8" s="11">
        <f>IFERROR(__xludf.DUMMYFUNCTION("""COMPUTED_VALUE"""),44655.0)</f>
        <v>44655</v>
      </c>
      <c r="C8" s="50">
        <f>IFERROR(__xludf.DUMMYFUNCTION("""COMPUTED_VALUE"""),24.0)</f>
        <v>24</v>
      </c>
      <c r="D8" s="50">
        <f>IFERROR(__xludf.DUMMYFUNCTION("""COMPUTED_VALUE"""),24.0)</f>
        <v>24</v>
      </c>
      <c r="E8" s="50">
        <f>IFERROR(__xludf.DUMMYFUNCTION("""COMPUTED_VALUE"""),0.0)</f>
        <v>0</v>
      </c>
      <c r="F8" s="50">
        <f>IFERROR(__xludf.DUMMYFUNCTION("""COMPUTED_VALUE"""),0.0)</f>
        <v>0</v>
      </c>
      <c r="G8" s="50">
        <f>IFERROR(__xludf.DUMMYFUNCTION("""COMPUTED_VALUE"""),0.0)</f>
        <v>0</v>
      </c>
      <c r="H8" s="50">
        <f>IFERROR(__xludf.DUMMYFUNCTION("""COMPUTED_VALUE"""),0.0)</f>
        <v>0</v>
      </c>
      <c r="I8" s="50">
        <f>IFERROR(__xludf.DUMMYFUNCTION("""COMPUTED_VALUE"""),0.0)</f>
        <v>0</v>
      </c>
      <c r="J8" s="50"/>
      <c r="K8" s="79"/>
      <c r="L8" s="11">
        <f>IFERROR(__xludf.DUMMYFUNCTION("""COMPUTED_VALUE"""),44656.0)</f>
        <v>44656</v>
      </c>
      <c r="M8" s="50">
        <f>IFERROR(__xludf.DUMMYFUNCTION("""COMPUTED_VALUE"""),43.0)</f>
        <v>43</v>
      </c>
      <c r="N8" s="50">
        <f>IFERROR(__xludf.DUMMYFUNCTION("""COMPUTED_VALUE"""),43.0)</f>
        <v>43</v>
      </c>
      <c r="O8" s="50">
        <f>IFERROR(__xludf.DUMMYFUNCTION("""COMPUTED_VALUE"""),0.0)</f>
        <v>0</v>
      </c>
      <c r="P8" s="50">
        <f>IFERROR(__xludf.DUMMYFUNCTION("""COMPUTED_VALUE"""),0.0)</f>
        <v>0</v>
      </c>
      <c r="Q8" s="50">
        <f>IFERROR(__xludf.DUMMYFUNCTION("""COMPUTED_VALUE"""),0.0)</f>
        <v>0</v>
      </c>
      <c r="R8" s="50">
        <f>IFERROR(__xludf.DUMMYFUNCTION("""COMPUTED_VALUE"""),0.0)</f>
        <v>0</v>
      </c>
      <c r="S8" s="50">
        <f>IFERROR(__xludf.DUMMYFUNCTION("""COMPUTED_VALUE"""),0.0)</f>
        <v>0</v>
      </c>
      <c r="T8" s="50">
        <f>IFERROR(__xludf.DUMMYFUNCTION("""COMPUTED_VALUE"""),43.0)</f>
        <v>43</v>
      </c>
      <c r="U8" s="51"/>
      <c r="V8" s="224"/>
      <c r="W8" s="198">
        <f t="shared" ref="W8:AC8" si="8">L8</f>
        <v>44656</v>
      </c>
      <c r="X8" s="55">
        <f t="shared" si="8"/>
        <v>43</v>
      </c>
      <c r="Y8" s="55">
        <f t="shared" si="8"/>
        <v>43</v>
      </c>
      <c r="Z8" s="55">
        <f t="shared" si="8"/>
        <v>0</v>
      </c>
      <c r="AA8" s="55">
        <f t="shared" si="8"/>
        <v>0</v>
      </c>
      <c r="AB8" s="55">
        <f t="shared" si="8"/>
        <v>0</v>
      </c>
      <c r="AC8" s="55">
        <f t="shared" si="8"/>
        <v>0</v>
      </c>
    </row>
    <row r="9">
      <c r="B9" s="11">
        <f>IFERROR(__xludf.DUMMYFUNCTION("""COMPUTED_VALUE"""),44656.0)</f>
        <v>44656</v>
      </c>
      <c r="C9" s="50">
        <f>IFERROR(__xludf.DUMMYFUNCTION("""COMPUTED_VALUE"""),20.0)</f>
        <v>20</v>
      </c>
      <c r="D9" s="50">
        <f>IFERROR(__xludf.DUMMYFUNCTION("""COMPUTED_VALUE"""),20.0)</f>
        <v>20</v>
      </c>
      <c r="E9" s="50">
        <f>IFERROR(__xludf.DUMMYFUNCTION("""COMPUTED_VALUE"""),0.0)</f>
        <v>0</v>
      </c>
      <c r="F9" s="50">
        <f>IFERROR(__xludf.DUMMYFUNCTION("""COMPUTED_VALUE"""),0.0)</f>
        <v>0</v>
      </c>
      <c r="G9" s="50">
        <f>IFERROR(__xludf.DUMMYFUNCTION("""COMPUTED_VALUE"""),0.0)</f>
        <v>0</v>
      </c>
      <c r="H9" s="50">
        <f>IFERROR(__xludf.DUMMYFUNCTION("""COMPUTED_VALUE"""),0.0)</f>
        <v>0</v>
      </c>
      <c r="I9" s="50">
        <f>IFERROR(__xludf.DUMMYFUNCTION("""COMPUTED_VALUE"""),0.0)</f>
        <v>0</v>
      </c>
      <c r="J9" s="50" t="b">
        <f>IFERROR(__xludf.DUMMYFUNCTION("""COMPUTED_VALUE"""),TRUE)</f>
        <v>1</v>
      </c>
      <c r="K9" s="79"/>
      <c r="L9" s="11">
        <f>IFERROR(__xludf.DUMMYFUNCTION("""COMPUTED_VALUE"""),44658.0)</f>
        <v>44658</v>
      </c>
      <c r="M9" s="50">
        <f>IFERROR(__xludf.DUMMYFUNCTION("""COMPUTED_VALUE"""),52.0)</f>
        <v>52</v>
      </c>
      <c r="N9" s="50">
        <f>IFERROR(__xludf.DUMMYFUNCTION("""COMPUTED_VALUE"""),52.0)</f>
        <v>52</v>
      </c>
      <c r="O9" s="50">
        <f>IFERROR(__xludf.DUMMYFUNCTION("""COMPUTED_VALUE"""),0.0)</f>
        <v>0</v>
      </c>
      <c r="P9" s="50">
        <f>IFERROR(__xludf.DUMMYFUNCTION("""COMPUTED_VALUE"""),0.0)</f>
        <v>0</v>
      </c>
      <c r="Q9" s="50">
        <f>IFERROR(__xludf.DUMMYFUNCTION("""COMPUTED_VALUE"""),0.0)</f>
        <v>0</v>
      </c>
      <c r="R9" s="50">
        <f>IFERROR(__xludf.DUMMYFUNCTION("""COMPUTED_VALUE"""),0.0)</f>
        <v>0</v>
      </c>
      <c r="S9" s="50">
        <f>IFERROR(__xludf.DUMMYFUNCTION("""COMPUTED_VALUE"""),0.0)</f>
        <v>0</v>
      </c>
      <c r="T9" s="50">
        <f>IFERROR(__xludf.DUMMYFUNCTION("""COMPUTED_VALUE"""),52.0)</f>
        <v>52</v>
      </c>
      <c r="U9" s="51"/>
      <c r="V9" s="224"/>
      <c r="W9" s="198">
        <f t="shared" ref="W9:AC9" si="9">L9</f>
        <v>44658</v>
      </c>
      <c r="X9" s="55">
        <f t="shared" si="9"/>
        <v>52</v>
      </c>
      <c r="Y9" s="55">
        <f t="shared" si="9"/>
        <v>52</v>
      </c>
      <c r="Z9" s="55">
        <f t="shared" si="9"/>
        <v>0</v>
      </c>
      <c r="AA9" s="55">
        <f t="shared" si="9"/>
        <v>0</v>
      </c>
      <c r="AB9" s="55">
        <f t="shared" si="9"/>
        <v>0</v>
      </c>
      <c r="AC9" s="55">
        <f t="shared" si="9"/>
        <v>0</v>
      </c>
    </row>
    <row r="10">
      <c r="B10" s="11">
        <f>IFERROR(__xludf.DUMMYFUNCTION("""COMPUTED_VALUE"""),44657.0)</f>
        <v>44657</v>
      </c>
      <c r="C10" s="50">
        <f>IFERROR(__xludf.DUMMYFUNCTION("""COMPUTED_VALUE"""),18.0)</f>
        <v>18</v>
      </c>
      <c r="D10" s="50">
        <f>IFERROR(__xludf.DUMMYFUNCTION("""COMPUTED_VALUE"""),18.0)</f>
        <v>18</v>
      </c>
      <c r="E10" s="50">
        <f>IFERROR(__xludf.DUMMYFUNCTION("""COMPUTED_VALUE"""),0.0)</f>
        <v>0</v>
      </c>
      <c r="F10" s="50">
        <f>IFERROR(__xludf.DUMMYFUNCTION("""COMPUTED_VALUE"""),0.0)</f>
        <v>0</v>
      </c>
      <c r="G10" s="50">
        <f>IFERROR(__xludf.DUMMYFUNCTION("""COMPUTED_VALUE"""),0.0)</f>
        <v>0</v>
      </c>
      <c r="H10" s="50">
        <f>IFERROR(__xludf.DUMMYFUNCTION("""COMPUTED_VALUE"""),0.0)</f>
        <v>0</v>
      </c>
      <c r="I10" s="50">
        <f>IFERROR(__xludf.DUMMYFUNCTION("""COMPUTED_VALUE"""),0.0)</f>
        <v>0</v>
      </c>
      <c r="J10" s="50"/>
      <c r="K10" s="79"/>
      <c r="L10" s="11">
        <f>IFERROR(__xludf.DUMMYFUNCTION("""COMPUTED_VALUE"""),44659.0)</f>
        <v>44659</v>
      </c>
      <c r="M10" s="50">
        <f>IFERROR(__xludf.DUMMYFUNCTION("""COMPUTED_VALUE"""),30.0)</f>
        <v>30</v>
      </c>
      <c r="N10" s="50">
        <f>IFERROR(__xludf.DUMMYFUNCTION("""COMPUTED_VALUE"""),30.0)</f>
        <v>30</v>
      </c>
      <c r="O10" s="50">
        <f>IFERROR(__xludf.DUMMYFUNCTION("""COMPUTED_VALUE"""),0.0)</f>
        <v>0</v>
      </c>
      <c r="P10" s="50">
        <f>IFERROR(__xludf.DUMMYFUNCTION("""COMPUTED_VALUE"""),0.0)</f>
        <v>0</v>
      </c>
      <c r="Q10" s="50">
        <f>IFERROR(__xludf.DUMMYFUNCTION("""COMPUTED_VALUE"""),0.0)</f>
        <v>0</v>
      </c>
      <c r="R10" s="50">
        <f>IFERROR(__xludf.DUMMYFUNCTION("""COMPUTED_VALUE"""),0.0)</f>
        <v>0</v>
      </c>
      <c r="S10" s="50">
        <f>IFERROR(__xludf.DUMMYFUNCTION("""COMPUTED_VALUE"""),0.0)</f>
        <v>0</v>
      </c>
      <c r="T10" s="50">
        <f>IFERROR(__xludf.DUMMYFUNCTION("""COMPUTED_VALUE"""),30.0)</f>
        <v>30</v>
      </c>
      <c r="U10" s="51"/>
      <c r="V10" s="224"/>
      <c r="W10" s="198">
        <f t="shared" ref="W10:AC10" si="10">L10</f>
        <v>44659</v>
      </c>
      <c r="X10" s="55">
        <f t="shared" si="10"/>
        <v>30</v>
      </c>
      <c r="Y10" s="55">
        <f t="shared" si="10"/>
        <v>30</v>
      </c>
      <c r="Z10" s="55">
        <f t="shared" si="10"/>
        <v>0</v>
      </c>
      <c r="AA10" s="55">
        <f t="shared" si="10"/>
        <v>0</v>
      </c>
      <c r="AB10" s="55">
        <f t="shared" si="10"/>
        <v>0</v>
      </c>
      <c r="AC10" s="55">
        <f t="shared" si="10"/>
        <v>0</v>
      </c>
    </row>
    <row r="11">
      <c r="B11" s="11">
        <f>IFERROR(__xludf.DUMMYFUNCTION("""COMPUTED_VALUE"""),44658.0)</f>
        <v>44658</v>
      </c>
      <c r="C11" s="50">
        <f>IFERROR(__xludf.DUMMYFUNCTION("""COMPUTED_VALUE"""),35.0)</f>
        <v>35</v>
      </c>
      <c r="D11" s="50">
        <f>IFERROR(__xludf.DUMMYFUNCTION("""COMPUTED_VALUE"""),35.0)</f>
        <v>35</v>
      </c>
      <c r="E11" s="50">
        <f>IFERROR(__xludf.DUMMYFUNCTION("""COMPUTED_VALUE"""),0.0)</f>
        <v>0</v>
      </c>
      <c r="F11" s="50">
        <f>IFERROR(__xludf.DUMMYFUNCTION("""COMPUTED_VALUE"""),0.0)</f>
        <v>0</v>
      </c>
      <c r="G11" s="50">
        <f>IFERROR(__xludf.DUMMYFUNCTION("""COMPUTED_VALUE"""),0.0)</f>
        <v>0</v>
      </c>
      <c r="H11" s="50">
        <f>IFERROR(__xludf.DUMMYFUNCTION("""COMPUTED_VALUE"""),0.0)</f>
        <v>0</v>
      </c>
      <c r="I11" s="50">
        <f>IFERROR(__xludf.DUMMYFUNCTION("""COMPUTED_VALUE"""),0.0)</f>
        <v>0</v>
      </c>
      <c r="J11" s="50" t="b">
        <f>IFERROR(__xludf.DUMMYFUNCTION("""COMPUTED_VALUE"""),TRUE)</f>
        <v>1</v>
      </c>
      <c r="K11" s="79"/>
      <c r="L11" s="11">
        <f>IFERROR(__xludf.DUMMYFUNCTION("""COMPUTED_VALUE"""),44662.0)</f>
        <v>44662</v>
      </c>
      <c r="M11" s="50">
        <f>IFERROR(__xludf.DUMMYFUNCTION("""COMPUTED_VALUE"""),24.0)</f>
        <v>24</v>
      </c>
      <c r="N11" s="50">
        <f>IFERROR(__xludf.DUMMYFUNCTION("""COMPUTED_VALUE"""),24.0)</f>
        <v>24</v>
      </c>
      <c r="O11" s="50">
        <f>IFERROR(__xludf.DUMMYFUNCTION("""COMPUTED_VALUE"""),0.0)</f>
        <v>0</v>
      </c>
      <c r="P11" s="50">
        <f>IFERROR(__xludf.DUMMYFUNCTION("""COMPUTED_VALUE"""),0.0)</f>
        <v>0</v>
      </c>
      <c r="Q11" s="50">
        <f>IFERROR(__xludf.DUMMYFUNCTION("""COMPUTED_VALUE"""),0.0)</f>
        <v>0</v>
      </c>
      <c r="R11" s="50">
        <f>IFERROR(__xludf.DUMMYFUNCTION("""COMPUTED_VALUE"""),0.0)</f>
        <v>0</v>
      </c>
      <c r="S11" s="50">
        <f>IFERROR(__xludf.DUMMYFUNCTION("""COMPUTED_VALUE"""),0.0)</f>
        <v>0</v>
      </c>
      <c r="T11" s="50">
        <f>IFERROR(__xludf.DUMMYFUNCTION("""COMPUTED_VALUE"""),24.0)</f>
        <v>24</v>
      </c>
      <c r="U11" s="51"/>
      <c r="V11" s="224"/>
      <c r="W11" s="198">
        <f t="shared" ref="W11:AC11" si="11">L11</f>
        <v>44662</v>
      </c>
      <c r="X11" s="55">
        <f t="shared" si="11"/>
        <v>24</v>
      </c>
      <c r="Y11" s="55">
        <f t="shared" si="11"/>
        <v>24</v>
      </c>
      <c r="Z11" s="55">
        <f t="shared" si="11"/>
        <v>0</v>
      </c>
      <c r="AA11" s="55">
        <f t="shared" si="11"/>
        <v>0</v>
      </c>
      <c r="AB11" s="55">
        <f t="shared" si="11"/>
        <v>0</v>
      </c>
      <c r="AC11" s="55">
        <f t="shared" si="11"/>
        <v>0</v>
      </c>
    </row>
    <row r="12">
      <c r="B12" s="11">
        <f>IFERROR(__xludf.DUMMYFUNCTION("""COMPUTED_VALUE"""),44659.0)</f>
        <v>44659</v>
      </c>
      <c r="C12" s="50">
        <f>IFERROR(__xludf.DUMMYFUNCTION("""COMPUTED_VALUE"""),30.0)</f>
        <v>30</v>
      </c>
      <c r="D12" s="50">
        <f>IFERROR(__xludf.DUMMYFUNCTION("""COMPUTED_VALUE"""),30.0)</f>
        <v>30</v>
      </c>
      <c r="E12" s="50">
        <f>IFERROR(__xludf.DUMMYFUNCTION("""COMPUTED_VALUE"""),0.0)</f>
        <v>0</v>
      </c>
      <c r="F12" s="50">
        <f>IFERROR(__xludf.DUMMYFUNCTION("""COMPUTED_VALUE"""),0.0)</f>
        <v>0</v>
      </c>
      <c r="G12" s="50">
        <f>IFERROR(__xludf.DUMMYFUNCTION("""COMPUTED_VALUE"""),0.0)</f>
        <v>0</v>
      </c>
      <c r="H12" s="50">
        <f>IFERROR(__xludf.DUMMYFUNCTION("""COMPUTED_VALUE"""),0.0)</f>
        <v>0</v>
      </c>
      <c r="I12" s="50">
        <f>IFERROR(__xludf.DUMMYFUNCTION("""COMPUTED_VALUE"""),0.0)</f>
        <v>0</v>
      </c>
      <c r="J12" s="50" t="b">
        <f>IFERROR(__xludf.DUMMYFUNCTION("""COMPUTED_VALUE"""),TRUE)</f>
        <v>1</v>
      </c>
      <c r="K12" s="79"/>
      <c r="L12" s="11">
        <f>IFERROR(__xludf.DUMMYFUNCTION("""COMPUTED_VALUE"""),44663.0)</f>
        <v>44663</v>
      </c>
      <c r="M12" s="50">
        <f>IFERROR(__xludf.DUMMYFUNCTION("""COMPUTED_VALUE"""),23.0)</f>
        <v>23</v>
      </c>
      <c r="N12" s="50">
        <f>IFERROR(__xludf.DUMMYFUNCTION("""COMPUTED_VALUE"""),23.0)</f>
        <v>23</v>
      </c>
      <c r="O12" s="50">
        <f>IFERROR(__xludf.DUMMYFUNCTION("""COMPUTED_VALUE"""),0.0)</f>
        <v>0</v>
      </c>
      <c r="P12" s="50">
        <f>IFERROR(__xludf.DUMMYFUNCTION("""COMPUTED_VALUE"""),0.0)</f>
        <v>0</v>
      </c>
      <c r="Q12" s="50">
        <f>IFERROR(__xludf.DUMMYFUNCTION("""COMPUTED_VALUE"""),0.0)</f>
        <v>0</v>
      </c>
      <c r="R12" s="50">
        <f>IFERROR(__xludf.DUMMYFUNCTION("""COMPUTED_VALUE"""),0.0)</f>
        <v>0</v>
      </c>
      <c r="S12" s="50">
        <f>IFERROR(__xludf.DUMMYFUNCTION("""COMPUTED_VALUE"""),0.0)</f>
        <v>0</v>
      </c>
      <c r="T12" s="50">
        <f>IFERROR(__xludf.DUMMYFUNCTION("""COMPUTED_VALUE"""),23.0)</f>
        <v>23</v>
      </c>
      <c r="U12" s="51"/>
      <c r="V12" s="224"/>
      <c r="W12" s="198">
        <f t="shared" ref="W12:AC12" si="12">L12</f>
        <v>44663</v>
      </c>
      <c r="X12" s="55">
        <f t="shared" si="12"/>
        <v>23</v>
      </c>
      <c r="Y12" s="55">
        <f t="shared" si="12"/>
        <v>23</v>
      </c>
      <c r="Z12" s="55">
        <f t="shared" si="12"/>
        <v>0</v>
      </c>
      <c r="AA12" s="55">
        <f t="shared" si="12"/>
        <v>0</v>
      </c>
      <c r="AB12" s="55">
        <f t="shared" si="12"/>
        <v>0</v>
      </c>
      <c r="AC12" s="55">
        <f t="shared" si="12"/>
        <v>0</v>
      </c>
    </row>
    <row r="13">
      <c r="B13" s="11">
        <f>IFERROR(__xludf.DUMMYFUNCTION("""COMPUTED_VALUE"""),44662.0)</f>
        <v>44662</v>
      </c>
      <c r="C13" s="50">
        <f>IFERROR(__xludf.DUMMYFUNCTION("""COMPUTED_VALUE"""),24.0)</f>
        <v>24</v>
      </c>
      <c r="D13" s="50">
        <f>IFERROR(__xludf.DUMMYFUNCTION("""COMPUTED_VALUE"""),24.0)</f>
        <v>24</v>
      </c>
      <c r="E13" s="50">
        <f>IFERROR(__xludf.DUMMYFUNCTION("""COMPUTED_VALUE"""),0.0)</f>
        <v>0</v>
      </c>
      <c r="F13" s="50">
        <f>IFERROR(__xludf.DUMMYFUNCTION("""COMPUTED_VALUE"""),0.0)</f>
        <v>0</v>
      </c>
      <c r="G13" s="50">
        <f>IFERROR(__xludf.DUMMYFUNCTION("""COMPUTED_VALUE"""),0.0)</f>
        <v>0</v>
      </c>
      <c r="H13" s="50">
        <f>IFERROR(__xludf.DUMMYFUNCTION("""COMPUTED_VALUE"""),0.0)</f>
        <v>0</v>
      </c>
      <c r="I13" s="50">
        <f>IFERROR(__xludf.DUMMYFUNCTION("""COMPUTED_VALUE"""),0.0)</f>
        <v>0</v>
      </c>
      <c r="J13" s="50" t="b">
        <f>IFERROR(__xludf.DUMMYFUNCTION("""COMPUTED_VALUE"""),TRUE)</f>
        <v>1</v>
      </c>
      <c r="K13" s="79"/>
      <c r="L13" s="11">
        <f>IFERROR(__xludf.DUMMYFUNCTION("""COMPUTED_VALUE"""),44665.0)</f>
        <v>44665</v>
      </c>
      <c r="M13" s="50">
        <f>IFERROR(__xludf.DUMMYFUNCTION("""COMPUTED_VALUE"""),50.0)</f>
        <v>50</v>
      </c>
      <c r="N13" s="50">
        <f>IFERROR(__xludf.DUMMYFUNCTION("""COMPUTED_VALUE"""),50.0)</f>
        <v>50</v>
      </c>
      <c r="O13" s="50">
        <f>IFERROR(__xludf.DUMMYFUNCTION("""COMPUTED_VALUE"""),0.0)</f>
        <v>0</v>
      </c>
      <c r="P13" s="50">
        <f>IFERROR(__xludf.DUMMYFUNCTION("""COMPUTED_VALUE"""),0.0)</f>
        <v>0</v>
      </c>
      <c r="Q13" s="50">
        <f>IFERROR(__xludf.DUMMYFUNCTION("""COMPUTED_VALUE"""),0.0)</f>
        <v>0</v>
      </c>
      <c r="R13" s="50">
        <f>IFERROR(__xludf.DUMMYFUNCTION("""COMPUTED_VALUE"""),0.0)</f>
        <v>0</v>
      </c>
      <c r="S13" s="50">
        <f>IFERROR(__xludf.DUMMYFUNCTION("""COMPUTED_VALUE"""),0.0)</f>
        <v>0</v>
      </c>
      <c r="T13" s="50">
        <f>IFERROR(__xludf.DUMMYFUNCTION("""COMPUTED_VALUE"""),50.0)</f>
        <v>50</v>
      </c>
      <c r="U13" s="51"/>
      <c r="V13" s="224"/>
      <c r="W13" s="198">
        <f t="shared" ref="W13:AC13" si="13">L13</f>
        <v>44665</v>
      </c>
      <c r="X13" s="55">
        <f t="shared" si="13"/>
        <v>50</v>
      </c>
      <c r="Y13" s="55">
        <f t="shared" si="13"/>
        <v>50</v>
      </c>
      <c r="Z13" s="55">
        <f t="shared" si="13"/>
        <v>0</v>
      </c>
      <c r="AA13" s="55">
        <f t="shared" si="13"/>
        <v>0</v>
      </c>
      <c r="AB13" s="55">
        <f t="shared" si="13"/>
        <v>0</v>
      </c>
      <c r="AC13" s="55">
        <f t="shared" si="13"/>
        <v>0</v>
      </c>
    </row>
    <row r="14">
      <c r="B14" s="11">
        <f>IFERROR(__xludf.DUMMYFUNCTION("""COMPUTED_VALUE"""),44663.0)</f>
        <v>44663</v>
      </c>
      <c r="C14" s="50">
        <f>IFERROR(__xludf.DUMMYFUNCTION("""COMPUTED_VALUE"""),23.0)</f>
        <v>23</v>
      </c>
      <c r="D14" s="50">
        <f>IFERROR(__xludf.DUMMYFUNCTION("""COMPUTED_VALUE"""),23.0)</f>
        <v>23</v>
      </c>
      <c r="E14" s="50">
        <f>IFERROR(__xludf.DUMMYFUNCTION("""COMPUTED_VALUE"""),0.0)</f>
        <v>0</v>
      </c>
      <c r="F14" s="50">
        <f>IFERROR(__xludf.DUMMYFUNCTION("""COMPUTED_VALUE"""),0.0)</f>
        <v>0</v>
      </c>
      <c r="G14" s="50">
        <f>IFERROR(__xludf.DUMMYFUNCTION("""COMPUTED_VALUE"""),0.0)</f>
        <v>0</v>
      </c>
      <c r="H14" s="50">
        <f>IFERROR(__xludf.DUMMYFUNCTION("""COMPUTED_VALUE"""),0.0)</f>
        <v>0</v>
      </c>
      <c r="I14" s="50">
        <f>IFERROR(__xludf.DUMMYFUNCTION("""COMPUTED_VALUE"""),0.0)</f>
        <v>0</v>
      </c>
      <c r="J14" s="50" t="b">
        <f>IFERROR(__xludf.DUMMYFUNCTION("""COMPUTED_VALUE"""),TRUE)</f>
        <v>1</v>
      </c>
      <c r="K14" s="79"/>
      <c r="L14" s="11">
        <f>IFERROR(__xludf.DUMMYFUNCTION("""COMPUTED_VALUE"""),44666.0)</f>
        <v>44666</v>
      </c>
      <c r="M14" s="50">
        <f>IFERROR(__xludf.DUMMYFUNCTION("""COMPUTED_VALUE"""),23.0)</f>
        <v>23</v>
      </c>
      <c r="N14" s="50">
        <f>IFERROR(__xludf.DUMMYFUNCTION("""COMPUTED_VALUE"""),23.0)</f>
        <v>23</v>
      </c>
      <c r="O14" s="50">
        <f>IFERROR(__xludf.DUMMYFUNCTION("""COMPUTED_VALUE"""),0.0)</f>
        <v>0</v>
      </c>
      <c r="P14" s="50">
        <f>IFERROR(__xludf.DUMMYFUNCTION("""COMPUTED_VALUE"""),0.0)</f>
        <v>0</v>
      </c>
      <c r="Q14" s="50">
        <f>IFERROR(__xludf.DUMMYFUNCTION("""COMPUTED_VALUE"""),0.0)</f>
        <v>0</v>
      </c>
      <c r="R14" s="50">
        <f>IFERROR(__xludf.DUMMYFUNCTION("""COMPUTED_VALUE"""),0.0)</f>
        <v>0</v>
      </c>
      <c r="S14" s="50">
        <f>IFERROR(__xludf.DUMMYFUNCTION("""COMPUTED_VALUE"""),0.0)</f>
        <v>0</v>
      </c>
      <c r="T14" s="50">
        <f>IFERROR(__xludf.DUMMYFUNCTION("""COMPUTED_VALUE"""),23.0)</f>
        <v>23</v>
      </c>
      <c r="U14" s="51"/>
      <c r="V14" s="224"/>
      <c r="W14" s="198">
        <f t="shared" ref="W14:AC14" si="14">L14</f>
        <v>44666</v>
      </c>
      <c r="X14" s="55">
        <f t="shared" si="14"/>
        <v>23</v>
      </c>
      <c r="Y14" s="55">
        <f t="shared" si="14"/>
        <v>23</v>
      </c>
      <c r="Z14" s="55">
        <f t="shared" si="14"/>
        <v>0</v>
      </c>
      <c r="AA14" s="55">
        <f t="shared" si="14"/>
        <v>0</v>
      </c>
      <c r="AB14" s="55">
        <f t="shared" si="14"/>
        <v>0</v>
      </c>
      <c r="AC14" s="55">
        <f t="shared" si="14"/>
        <v>0</v>
      </c>
    </row>
    <row r="15">
      <c r="B15" s="11">
        <f>IFERROR(__xludf.DUMMYFUNCTION("""COMPUTED_VALUE"""),44664.0)</f>
        <v>44664</v>
      </c>
      <c r="C15" s="50">
        <f>IFERROR(__xludf.DUMMYFUNCTION("""COMPUTED_VALUE"""),21.0)</f>
        <v>21</v>
      </c>
      <c r="D15" s="50">
        <f>IFERROR(__xludf.DUMMYFUNCTION("""COMPUTED_VALUE"""),21.0)</f>
        <v>21</v>
      </c>
      <c r="E15" s="50">
        <f>IFERROR(__xludf.DUMMYFUNCTION("""COMPUTED_VALUE"""),0.0)</f>
        <v>0</v>
      </c>
      <c r="F15" s="50">
        <f>IFERROR(__xludf.DUMMYFUNCTION("""COMPUTED_VALUE"""),0.0)</f>
        <v>0</v>
      </c>
      <c r="G15" s="50">
        <f>IFERROR(__xludf.DUMMYFUNCTION("""COMPUTED_VALUE"""),0.0)</f>
        <v>0</v>
      </c>
      <c r="H15" s="50">
        <f>IFERROR(__xludf.DUMMYFUNCTION("""COMPUTED_VALUE"""),0.0)</f>
        <v>0</v>
      </c>
      <c r="I15" s="50">
        <f>IFERROR(__xludf.DUMMYFUNCTION("""COMPUTED_VALUE"""),0.0)</f>
        <v>0</v>
      </c>
      <c r="J15" s="50"/>
      <c r="K15" s="79"/>
      <c r="L15" s="11">
        <f>IFERROR(__xludf.DUMMYFUNCTION("""COMPUTED_VALUE"""),44669.0)</f>
        <v>44669</v>
      </c>
      <c r="M15" s="50">
        <f>IFERROR(__xludf.DUMMYFUNCTION("""COMPUTED_VALUE"""),36.0)</f>
        <v>36</v>
      </c>
      <c r="N15" s="50">
        <f>IFERROR(__xludf.DUMMYFUNCTION("""COMPUTED_VALUE"""),36.0)</f>
        <v>36</v>
      </c>
      <c r="O15" s="50">
        <f>IFERROR(__xludf.DUMMYFUNCTION("""COMPUTED_VALUE"""),0.0)</f>
        <v>0</v>
      </c>
      <c r="P15" s="50">
        <f>IFERROR(__xludf.DUMMYFUNCTION("""COMPUTED_VALUE"""),0.0)</f>
        <v>0</v>
      </c>
      <c r="Q15" s="50">
        <f>IFERROR(__xludf.DUMMYFUNCTION("""COMPUTED_VALUE"""),0.0)</f>
        <v>0</v>
      </c>
      <c r="R15" s="50">
        <f>IFERROR(__xludf.DUMMYFUNCTION("""COMPUTED_VALUE"""),0.0)</f>
        <v>0</v>
      </c>
      <c r="S15" s="50">
        <f>IFERROR(__xludf.DUMMYFUNCTION("""COMPUTED_VALUE"""),0.0)</f>
        <v>0</v>
      </c>
      <c r="T15" s="50">
        <f>IFERROR(__xludf.DUMMYFUNCTION("""COMPUTED_VALUE"""),36.0)</f>
        <v>36</v>
      </c>
      <c r="U15" s="51"/>
      <c r="V15" s="224"/>
      <c r="W15" s="198">
        <f t="shared" ref="W15:AC15" si="15">L15</f>
        <v>44669</v>
      </c>
      <c r="X15" s="55">
        <f t="shared" si="15"/>
        <v>36</v>
      </c>
      <c r="Y15" s="55">
        <f t="shared" si="15"/>
        <v>36</v>
      </c>
      <c r="Z15" s="55">
        <f t="shared" si="15"/>
        <v>0</v>
      </c>
      <c r="AA15" s="55">
        <f t="shared" si="15"/>
        <v>0</v>
      </c>
      <c r="AB15" s="55">
        <f t="shared" si="15"/>
        <v>0</v>
      </c>
      <c r="AC15" s="55">
        <f t="shared" si="15"/>
        <v>0</v>
      </c>
    </row>
    <row r="16">
      <c r="B16" s="11">
        <f>IFERROR(__xludf.DUMMYFUNCTION("""COMPUTED_VALUE"""),44665.0)</f>
        <v>44665</v>
      </c>
      <c r="C16" s="50">
        <f>IFERROR(__xludf.DUMMYFUNCTION("""COMPUTED_VALUE"""),29.0)</f>
        <v>29</v>
      </c>
      <c r="D16" s="50">
        <f>IFERROR(__xludf.DUMMYFUNCTION("""COMPUTED_VALUE"""),29.0)</f>
        <v>29</v>
      </c>
      <c r="E16" s="50">
        <f>IFERROR(__xludf.DUMMYFUNCTION("""COMPUTED_VALUE"""),0.0)</f>
        <v>0</v>
      </c>
      <c r="F16" s="50">
        <f>IFERROR(__xludf.DUMMYFUNCTION("""COMPUTED_VALUE"""),0.0)</f>
        <v>0</v>
      </c>
      <c r="G16" s="50">
        <f>IFERROR(__xludf.DUMMYFUNCTION("""COMPUTED_VALUE"""),0.0)</f>
        <v>0</v>
      </c>
      <c r="H16" s="50">
        <f>IFERROR(__xludf.DUMMYFUNCTION("""COMPUTED_VALUE"""),0.0)</f>
        <v>0</v>
      </c>
      <c r="I16" s="50">
        <f>IFERROR(__xludf.DUMMYFUNCTION("""COMPUTED_VALUE"""),0.0)</f>
        <v>0</v>
      </c>
      <c r="J16" s="50" t="b">
        <f>IFERROR(__xludf.DUMMYFUNCTION("""COMPUTED_VALUE"""),TRUE)</f>
        <v>1</v>
      </c>
      <c r="K16" s="79"/>
      <c r="L16" s="11">
        <f>IFERROR(__xludf.DUMMYFUNCTION("""COMPUTED_VALUE"""),44670.0)</f>
        <v>44670</v>
      </c>
      <c r="M16" s="50">
        <f>IFERROR(__xludf.DUMMYFUNCTION("""COMPUTED_VALUE"""),18.0)</f>
        <v>18</v>
      </c>
      <c r="N16" s="50">
        <f>IFERROR(__xludf.DUMMYFUNCTION("""COMPUTED_VALUE"""),18.0)</f>
        <v>18</v>
      </c>
      <c r="O16" s="50">
        <f>IFERROR(__xludf.DUMMYFUNCTION("""COMPUTED_VALUE"""),0.0)</f>
        <v>0</v>
      </c>
      <c r="P16" s="50">
        <f>IFERROR(__xludf.DUMMYFUNCTION("""COMPUTED_VALUE"""),0.0)</f>
        <v>0</v>
      </c>
      <c r="Q16" s="50">
        <f>IFERROR(__xludf.DUMMYFUNCTION("""COMPUTED_VALUE"""),0.0)</f>
        <v>0</v>
      </c>
      <c r="R16" s="50">
        <f>IFERROR(__xludf.DUMMYFUNCTION("""COMPUTED_VALUE"""),0.0)</f>
        <v>0</v>
      </c>
      <c r="S16" s="50">
        <f>IFERROR(__xludf.DUMMYFUNCTION("""COMPUTED_VALUE"""),0.0)</f>
        <v>0</v>
      </c>
      <c r="T16" s="50">
        <f>IFERROR(__xludf.DUMMYFUNCTION("""COMPUTED_VALUE"""),18.0)</f>
        <v>18</v>
      </c>
      <c r="U16" s="51"/>
      <c r="V16" s="224"/>
      <c r="W16" s="198">
        <f t="shared" ref="W16:AC16" si="16">L16</f>
        <v>44670</v>
      </c>
      <c r="X16" s="55">
        <f t="shared" si="16"/>
        <v>18</v>
      </c>
      <c r="Y16" s="55">
        <f t="shared" si="16"/>
        <v>18</v>
      </c>
      <c r="Z16" s="55">
        <f t="shared" si="16"/>
        <v>0</v>
      </c>
      <c r="AA16" s="55">
        <f t="shared" si="16"/>
        <v>0</v>
      </c>
      <c r="AB16" s="55">
        <f t="shared" si="16"/>
        <v>0</v>
      </c>
      <c r="AC16" s="55">
        <f t="shared" si="16"/>
        <v>0</v>
      </c>
    </row>
    <row r="17">
      <c r="B17" s="11">
        <f>IFERROR(__xludf.DUMMYFUNCTION("""COMPUTED_VALUE"""),44666.0)</f>
        <v>44666</v>
      </c>
      <c r="C17" s="50">
        <f>IFERROR(__xludf.DUMMYFUNCTION("""COMPUTED_VALUE"""),23.0)</f>
        <v>23</v>
      </c>
      <c r="D17" s="50">
        <f>IFERROR(__xludf.DUMMYFUNCTION("""COMPUTED_VALUE"""),23.0)</f>
        <v>23</v>
      </c>
      <c r="E17" s="50">
        <f>IFERROR(__xludf.DUMMYFUNCTION("""COMPUTED_VALUE"""),0.0)</f>
        <v>0</v>
      </c>
      <c r="F17" s="50">
        <f>IFERROR(__xludf.DUMMYFUNCTION("""COMPUTED_VALUE"""),0.0)</f>
        <v>0</v>
      </c>
      <c r="G17" s="50">
        <f>IFERROR(__xludf.DUMMYFUNCTION("""COMPUTED_VALUE"""),0.0)</f>
        <v>0</v>
      </c>
      <c r="H17" s="50">
        <f>IFERROR(__xludf.DUMMYFUNCTION("""COMPUTED_VALUE"""),0.0)</f>
        <v>0</v>
      </c>
      <c r="I17" s="50">
        <f>IFERROR(__xludf.DUMMYFUNCTION("""COMPUTED_VALUE"""),0.0)</f>
        <v>0</v>
      </c>
      <c r="J17" s="50" t="b">
        <f>IFERROR(__xludf.DUMMYFUNCTION("""COMPUTED_VALUE"""),TRUE)</f>
        <v>1</v>
      </c>
      <c r="K17" s="79"/>
      <c r="L17" s="11">
        <f>IFERROR(__xludf.DUMMYFUNCTION("""COMPUTED_VALUE"""),44671.0)</f>
        <v>44671</v>
      </c>
      <c r="M17" s="50">
        <f>IFERROR(__xludf.DUMMYFUNCTION("""COMPUTED_VALUE"""),12.0)</f>
        <v>12</v>
      </c>
      <c r="N17" s="50">
        <f>IFERROR(__xludf.DUMMYFUNCTION("""COMPUTED_VALUE"""),12.0)</f>
        <v>12</v>
      </c>
      <c r="O17" s="50">
        <f>IFERROR(__xludf.DUMMYFUNCTION("""COMPUTED_VALUE"""),0.0)</f>
        <v>0</v>
      </c>
      <c r="P17" s="50">
        <f>IFERROR(__xludf.DUMMYFUNCTION("""COMPUTED_VALUE"""),0.0)</f>
        <v>0</v>
      </c>
      <c r="Q17" s="50">
        <f>IFERROR(__xludf.DUMMYFUNCTION("""COMPUTED_VALUE"""),0.0)</f>
        <v>0</v>
      </c>
      <c r="R17" s="50">
        <f>IFERROR(__xludf.DUMMYFUNCTION("""COMPUTED_VALUE"""),0.0)</f>
        <v>0</v>
      </c>
      <c r="S17" s="50">
        <f>IFERROR(__xludf.DUMMYFUNCTION("""COMPUTED_VALUE"""),0.0)</f>
        <v>0</v>
      </c>
      <c r="T17" s="50">
        <f>IFERROR(__xludf.DUMMYFUNCTION("""COMPUTED_VALUE"""),12.0)</f>
        <v>12</v>
      </c>
      <c r="U17" s="51"/>
      <c r="V17" s="224"/>
      <c r="W17" s="198">
        <f t="shared" ref="W17:AC17" si="17">L17</f>
        <v>44671</v>
      </c>
      <c r="X17" s="55">
        <f t="shared" si="17"/>
        <v>12</v>
      </c>
      <c r="Y17" s="55">
        <f t="shared" si="17"/>
        <v>12</v>
      </c>
      <c r="Z17" s="55">
        <f t="shared" si="17"/>
        <v>0</v>
      </c>
      <c r="AA17" s="55">
        <f t="shared" si="17"/>
        <v>0</v>
      </c>
      <c r="AB17" s="55">
        <f t="shared" si="17"/>
        <v>0</v>
      </c>
      <c r="AC17" s="55">
        <f t="shared" si="17"/>
        <v>0</v>
      </c>
    </row>
    <row r="18">
      <c r="B18" s="11">
        <f>IFERROR(__xludf.DUMMYFUNCTION("""COMPUTED_VALUE"""),44669.0)</f>
        <v>44669</v>
      </c>
      <c r="C18" s="50">
        <f>IFERROR(__xludf.DUMMYFUNCTION("""COMPUTED_VALUE"""),36.0)</f>
        <v>36</v>
      </c>
      <c r="D18" s="50">
        <f>IFERROR(__xludf.DUMMYFUNCTION("""COMPUTED_VALUE"""),36.0)</f>
        <v>36</v>
      </c>
      <c r="E18" s="50">
        <f>IFERROR(__xludf.DUMMYFUNCTION("""COMPUTED_VALUE"""),0.0)</f>
        <v>0</v>
      </c>
      <c r="F18" s="50">
        <f>IFERROR(__xludf.DUMMYFUNCTION("""COMPUTED_VALUE"""),0.0)</f>
        <v>0</v>
      </c>
      <c r="G18" s="50">
        <f>IFERROR(__xludf.DUMMYFUNCTION("""COMPUTED_VALUE"""),0.0)</f>
        <v>0</v>
      </c>
      <c r="H18" s="50">
        <f>IFERROR(__xludf.DUMMYFUNCTION("""COMPUTED_VALUE"""),0.0)</f>
        <v>0</v>
      </c>
      <c r="I18" s="50">
        <f>IFERROR(__xludf.DUMMYFUNCTION("""COMPUTED_VALUE"""),0.0)</f>
        <v>0</v>
      </c>
      <c r="J18" s="50" t="b">
        <f>IFERROR(__xludf.DUMMYFUNCTION("""COMPUTED_VALUE"""),TRUE)</f>
        <v>1</v>
      </c>
      <c r="K18" s="79"/>
      <c r="L18" s="11">
        <f>IFERROR(__xludf.DUMMYFUNCTION("""COMPUTED_VALUE"""),44672.0)</f>
        <v>44672</v>
      </c>
      <c r="M18" s="50">
        <f>IFERROR(__xludf.DUMMYFUNCTION("""COMPUTED_VALUE"""),40.0)</f>
        <v>40</v>
      </c>
      <c r="N18" s="50">
        <f>IFERROR(__xludf.DUMMYFUNCTION("""COMPUTED_VALUE"""),39.0)</f>
        <v>39</v>
      </c>
      <c r="O18" s="50">
        <f>IFERROR(__xludf.DUMMYFUNCTION("""COMPUTED_VALUE"""),1.0)</f>
        <v>1</v>
      </c>
      <c r="P18" s="50">
        <f>IFERROR(__xludf.DUMMYFUNCTION("""COMPUTED_VALUE"""),0.0)</f>
        <v>0</v>
      </c>
      <c r="Q18" s="50">
        <f>IFERROR(__xludf.DUMMYFUNCTION("""COMPUTED_VALUE"""),0.0)</f>
        <v>0</v>
      </c>
      <c r="R18" s="50">
        <f>IFERROR(__xludf.DUMMYFUNCTION("""COMPUTED_VALUE"""),0.0)</f>
        <v>0</v>
      </c>
      <c r="S18" s="50">
        <f>IFERROR(__xludf.DUMMYFUNCTION("""COMPUTED_VALUE"""),0.0)</f>
        <v>0</v>
      </c>
      <c r="T18" s="50">
        <f>IFERROR(__xludf.DUMMYFUNCTION("""COMPUTED_VALUE"""),40.0)</f>
        <v>40</v>
      </c>
      <c r="U18" s="51"/>
      <c r="V18" s="224"/>
      <c r="W18" s="198">
        <f t="shared" ref="W18:AC18" si="18">L18</f>
        <v>44672</v>
      </c>
      <c r="X18" s="55">
        <f t="shared" si="18"/>
        <v>40</v>
      </c>
      <c r="Y18" s="55">
        <f t="shared" si="18"/>
        <v>39</v>
      </c>
      <c r="Z18" s="55">
        <f t="shared" si="18"/>
        <v>1</v>
      </c>
      <c r="AA18" s="55">
        <f t="shared" si="18"/>
        <v>0</v>
      </c>
      <c r="AB18" s="55">
        <f t="shared" si="18"/>
        <v>0</v>
      </c>
      <c r="AC18" s="55">
        <f t="shared" si="18"/>
        <v>0</v>
      </c>
    </row>
    <row r="19">
      <c r="B19" s="11">
        <f>IFERROR(__xludf.DUMMYFUNCTION("""COMPUTED_VALUE"""),44670.0)</f>
        <v>44670</v>
      </c>
      <c r="C19" s="50">
        <f>IFERROR(__xludf.DUMMYFUNCTION("""COMPUTED_VALUE"""),18.0)</f>
        <v>18</v>
      </c>
      <c r="D19" s="50">
        <f>IFERROR(__xludf.DUMMYFUNCTION("""COMPUTED_VALUE"""),18.0)</f>
        <v>18</v>
      </c>
      <c r="E19" s="50">
        <f>IFERROR(__xludf.DUMMYFUNCTION("""COMPUTED_VALUE"""),0.0)</f>
        <v>0</v>
      </c>
      <c r="F19" s="50">
        <f>IFERROR(__xludf.DUMMYFUNCTION("""COMPUTED_VALUE"""),0.0)</f>
        <v>0</v>
      </c>
      <c r="G19" s="50">
        <f>IFERROR(__xludf.DUMMYFUNCTION("""COMPUTED_VALUE"""),0.0)</f>
        <v>0</v>
      </c>
      <c r="H19" s="50">
        <f>IFERROR(__xludf.DUMMYFUNCTION("""COMPUTED_VALUE"""),0.0)</f>
        <v>0</v>
      </c>
      <c r="I19" s="50">
        <f>IFERROR(__xludf.DUMMYFUNCTION("""COMPUTED_VALUE"""),0.0)</f>
        <v>0</v>
      </c>
      <c r="J19" s="50" t="b">
        <f>IFERROR(__xludf.DUMMYFUNCTION("""COMPUTED_VALUE"""),TRUE)</f>
        <v>1</v>
      </c>
      <c r="K19" s="79"/>
      <c r="L19" s="11">
        <f>IFERROR(__xludf.DUMMYFUNCTION("""COMPUTED_VALUE"""),44673.0)</f>
        <v>44673</v>
      </c>
      <c r="M19" s="50">
        <f>IFERROR(__xludf.DUMMYFUNCTION("""COMPUTED_VALUE"""),26.0)</f>
        <v>26</v>
      </c>
      <c r="N19" s="50">
        <f>IFERROR(__xludf.DUMMYFUNCTION("""COMPUTED_VALUE"""),26.0)</f>
        <v>26</v>
      </c>
      <c r="O19" s="50">
        <f>IFERROR(__xludf.DUMMYFUNCTION("""COMPUTED_VALUE"""),0.0)</f>
        <v>0</v>
      </c>
      <c r="P19" s="50">
        <f>IFERROR(__xludf.DUMMYFUNCTION("""COMPUTED_VALUE"""),0.0)</f>
        <v>0</v>
      </c>
      <c r="Q19" s="50">
        <f>IFERROR(__xludf.DUMMYFUNCTION("""COMPUTED_VALUE"""),0.0)</f>
        <v>0</v>
      </c>
      <c r="R19" s="50">
        <f>IFERROR(__xludf.DUMMYFUNCTION("""COMPUTED_VALUE"""),0.0)</f>
        <v>0</v>
      </c>
      <c r="S19" s="50">
        <f>IFERROR(__xludf.DUMMYFUNCTION("""COMPUTED_VALUE"""),0.0)</f>
        <v>0</v>
      </c>
      <c r="T19" s="50">
        <f>IFERROR(__xludf.DUMMYFUNCTION("""COMPUTED_VALUE"""),26.0)</f>
        <v>26</v>
      </c>
      <c r="U19" s="51"/>
      <c r="V19" s="224"/>
      <c r="W19" s="198">
        <f t="shared" ref="W19:AC19" si="19">L19</f>
        <v>44673</v>
      </c>
      <c r="X19" s="55">
        <f t="shared" si="19"/>
        <v>26</v>
      </c>
      <c r="Y19" s="55">
        <f t="shared" si="19"/>
        <v>26</v>
      </c>
      <c r="Z19" s="55">
        <f t="shared" si="19"/>
        <v>0</v>
      </c>
      <c r="AA19" s="55">
        <f t="shared" si="19"/>
        <v>0</v>
      </c>
      <c r="AB19" s="55">
        <f t="shared" si="19"/>
        <v>0</v>
      </c>
      <c r="AC19" s="55">
        <f t="shared" si="19"/>
        <v>0</v>
      </c>
    </row>
    <row r="20">
      <c r="B20" s="11">
        <f>IFERROR(__xludf.DUMMYFUNCTION("""COMPUTED_VALUE"""),44671.0)</f>
        <v>44671</v>
      </c>
      <c r="C20" s="50">
        <f>IFERROR(__xludf.DUMMYFUNCTION("""COMPUTED_VALUE"""),14.0)</f>
        <v>14</v>
      </c>
      <c r="D20" s="50">
        <f>IFERROR(__xludf.DUMMYFUNCTION("""COMPUTED_VALUE"""),14.0)</f>
        <v>14</v>
      </c>
      <c r="E20" s="50">
        <f>IFERROR(__xludf.DUMMYFUNCTION("""COMPUTED_VALUE"""),0.0)</f>
        <v>0</v>
      </c>
      <c r="F20" s="50">
        <f>IFERROR(__xludf.DUMMYFUNCTION("""COMPUTED_VALUE"""),0.0)</f>
        <v>0</v>
      </c>
      <c r="G20" s="50">
        <f>IFERROR(__xludf.DUMMYFUNCTION("""COMPUTED_VALUE"""),0.0)</f>
        <v>0</v>
      </c>
      <c r="H20" s="50">
        <f>IFERROR(__xludf.DUMMYFUNCTION("""COMPUTED_VALUE"""),0.0)</f>
        <v>0</v>
      </c>
      <c r="I20" s="50">
        <f>IFERROR(__xludf.DUMMYFUNCTION("""COMPUTED_VALUE"""),0.0)</f>
        <v>0</v>
      </c>
      <c r="J20" s="50" t="b">
        <f>IFERROR(__xludf.DUMMYFUNCTION("""COMPUTED_VALUE"""),TRUE)</f>
        <v>1</v>
      </c>
      <c r="K20" s="79"/>
      <c r="L20" s="11">
        <f>IFERROR(__xludf.DUMMYFUNCTION("""COMPUTED_VALUE"""),44676.0)</f>
        <v>44676</v>
      </c>
      <c r="M20" s="50">
        <f>IFERROR(__xludf.DUMMYFUNCTION("""COMPUTED_VALUE"""),26.0)</f>
        <v>26</v>
      </c>
      <c r="N20" s="50">
        <f>IFERROR(__xludf.DUMMYFUNCTION("""COMPUTED_VALUE"""),25.0)</f>
        <v>25</v>
      </c>
      <c r="O20" s="50">
        <f>IFERROR(__xludf.DUMMYFUNCTION("""COMPUTED_VALUE"""),1.0)</f>
        <v>1</v>
      </c>
      <c r="P20" s="50">
        <f>IFERROR(__xludf.DUMMYFUNCTION("""COMPUTED_VALUE"""),0.0)</f>
        <v>0</v>
      </c>
      <c r="Q20" s="50">
        <f>IFERROR(__xludf.DUMMYFUNCTION("""COMPUTED_VALUE"""),0.0)</f>
        <v>0</v>
      </c>
      <c r="R20" s="50">
        <f>IFERROR(__xludf.DUMMYFUNCTION("""COMPUTED_VALUE"""),0.0)</f>
        <v>0</v>
      </c>
      <c r="S20" s="50">
        <f>IFERROR(__xludf.DUMMYFUNCTION("""COMPUTED_VALUE"""),0.0)</f>
        <v>0</v>
      </c>
      <c r="T20" s="50">
        <f>IFERROR(__xludf.DUMMYFUNCTION("""COMPUTED_VALUE"""),26.0)</f>
        <v>26</v>
      </c>
      <c r="U20" s="51"/>
      <c r="V20" s="224"/>
      <c r="W20" s="198">
        <f t="shared" ref="W20:AC20" si="20">L20</f>
        <v>44676</v>
      </c>
      <c r="X20" s="55">
        <f t="shared" si="20"/>
        <v>26</v>
      </c>
      <c r="Y20" s="55">
        <f t="shared" si="20"/>
        <v>25</v>
      </c>
      <c r="Z20" s="55">
        <f t="shared" si="20"/>
        <v>1</v>
      </c>
      <c r="AA20" s="55">
        <f t="shared" si="20"/>
        <v>0</v>
      </c>
      <c r="AB20" s="55">
        <f t="shared" si="20"/>
        <v>0</v>
      </c>
      <c r="AC20" s="55">
        <f t="shared" si="20"/>
        <v>0</v>
      </c>
    </row>
    <row r="21">
      <c r="B21" s="11">
        <f>IFERROR(__xludf.DUMMYFUNCTION("""COMPUTED_VALUE"""),44672.0)</f>
        <v>44672</v>
      </c>
      <c r="C21" s="50">
        <f>IFERROR(__xludf.DUMMYFUNCTION("""COMPUTED_VALUE"""),40.0)</f>
        <v>40</v>
      </c>
      <c r="D21" s="50">
        <f>IFERROR(__xludf.DUMMYFUNCTION("""COMPUTED_VALUE"""),39.0)</f>
        <v>39</v>
      </c>
      <c r="E21" s="50">
        <f>IFERROR(__xludf.DUMMYFUNCTION("""COMPUTED_VALUE"""),1.0)</f>
        <v>1</v>
      </c>
      <c r="F21" s="50">
        <f>IFERROR(__xludf.DUMMYFUNCTION("""COMPUTED_VALUE"""),0.0)</f>
        <v>0</v>
      </c>
      <c r="G21" s="50">
        <f>IFERROR(__xludf.DUMMYFUNCTION("""COMPUTED_VALUE"""),0.0)</f>
        <v>0</v>
      </c>
      <c r="H21" s="50">
        <f>IFERROR(__xludf.DUMMYFUNCTION("""COMPUTED_VALUE"""),0.0)</f>
        <v>0</v>
      </c>
      <c r="I21" s="50">
        <f>IFERROR(__xludf.DUMMYFUNCTION("""COMPUTED_VALUE"""),0.0)</f>
        <v>0</v>
      </c>
      <c r="J21" s="50" t="b">
        <f>IFERROR(__xludf.DUMMYFUNCTION("""COMPUTED_VALUE"""),TRUE)</f>
        <v>1</v>
      </c>
      <c r="K21" s="79"/>
      <c r="L21" s="11">
        <f>IFERROR(__xludf.DUMMYFUNCTION("""COMPUTED_VALUE"""),44677.0)</f>
        <v>44677</v>
      </c>
      <c r="M21" s="50">
        <f>IFERROR(__xludf.DUMMYFUNCTION("""COMPUTED_VALUE"""),13.0)</f>
        <v>13</v>
      </c>
      <c r="N21" s="50">
        <f>IFERROR(__xludf.DUMMYFUNCTION("""COMPUTED_VALUE"""),13.0)</f>
        <v>13</v>
      </c>
      <c r="O21" s="50">
        <f>IFERROR(__xludf.DUMMYFUNCTION("""COMPUTED_VALUE"""),0.0)</f>
        <v>0</v>
      </c>
      <c r="P21" s="50">
        <f>IFERROR(__xludf.DUMMYFUNCTION("""COMPUTED_VALUE"""),0.0)</f>
        <v>0</v>
      </c>
      <c r="Q21" s="50">
        <f>IFERROR(__xludf.DUMMYFUNCTION("""COMPUTED_VALUE"""),0.0)</f>
        <v>0</v>
      </c>
      <c r="R21" s="50">
        <f>IFERROR(__xludf.DUMMYFUNCTION("""COMPUTED_VALUE"""),0.0)</f>
        <v>0</v>
      </c>
      <c r="S21" s="50">
        <f>IFERROR(__xludf.DUMMYFUNCTION("""COMPUTED_VALUE"""),0.0)</f>
        <v>0</v>
      </c>
      <c r="T21" s="50">
        <f>IFERROR(__xludf.DUMMYFUNCTION("""COMPUTED_VALUE"""),13.0)</f>
        <v>13</v>
      </c>
      <c r="U21" s="51"/>
      <c r="V21" s="224"/>
      <c r="W21" s="198">
        <f t="shared" ref="W21:AC21" si="21">L21</f>
        <v>44677</v>
      </c>
      <c r="X21" s="55">
        <f t="shared" si="21"/>
        <v>13</v>
      </c>
      <c r="Y21" s="55">
        <f t="shared" si="21"/>
        <v>13</v>
      </c>
      <c r="Z21" s="55">
        <f t="shared" si="21"/>
        <v>0</v>
      </c>
      <c r="AA21" s="55">
        <f t="shared" si="21"/>
        <v>0</v>
      </c>
      <c r="AB21" s="55">
        <f t="shared" si="21"/>
        <v>0</v>
      </c>
      <c r="AC21" s="55">
        <f t="shared" si="21"/>
        <v>0</v>
      </c>
    </row>
    <row r="22">
      <c r="B22" s="11">
        <f>IFERROR(__xludf.DUMMYFUNCTION("""COMPUTED_VALUE"""),44673.0)</f>
        <v>44673</v>
      </c>
      <c r="C22" s="50">
        <f>IFERROR(__xludf.DUMMYFUNCTION("""COMPUTED_VALUE"""),26.0)</f>
        <v>26</v>
      </c>
      <c r="D22" s="50">
        <f>IFERROR(__xludf.DUMMYFUNCTION("""COMPUTED_VALUE"""),26.0)</f>
        <v>26</v>
      </c>
      <c r="E22" s="50">
        <f>IFERROR(__xludf.DUMMYFUNCTION("""COMPUTED_VALUE"""),0.0)</f>
        <v>0</v>
      </c>
      <c r="F22" s="50">
        <f>IFERROR(__xludf.DUMMYFUNCTION("""COMPUTED_VALUE"""),0.0)</f>
        <v>0</v>
      </c>
      <c r="G22" s="50">
        <f>IFERROR(__xludf.DUMMYFUNCTION("""COMPUTED_VALUE"""),0.0)</f>
        <v>0</v>
      </c>
      <c r="H22" s="50">
        <f>IFERROR(__xludf.DUMMYFUNCTION("""COMPUTED_VALUE"""),0.0)</f>
        <v>0</v>
      </c>
      <c r="I22" s="50">
        <f>IFERROR(__xludf.DUMMYFUNCTION("""COMPUTED_VALUE"""),0.0)</f>
        <v>0</v>
      </c>
      <c r="J22" s="50" t="b">
        <f>IFERROR(__xludf.DUMMYFUNCTION("""COMPUTED_VALUE"""),TRUE)</f>
        <v>1</v>
      </c>
      <c r="K22" s="79"/>
      <c r="L22" s="11">
        <f>IFERROR(__xludf.DUMMYFUNCTION("""COMPUTED_VALUE"""),44678.0)</f>
        <v>44678</v>
      </c>
      <c r="M22" s="50">
        <f>IFERROR(__xludf.DUMMYFUNCTION("""COMPUTED_VALUE"""),15.0)</f>
        <v>15</v>
      </c>
      <c r="N22" s="50">
        <f>IFERROR(__xludf.DUMMYFUNCTION("""COMPUTED_VALUE"""),15.0)</f>
        <v>15</v>
      </c>
      <c r="O22" s="50">
        <f>IFERROR(__xludf.DUMMYFUNCTION("""COMPUTED_VALUE"""),0.0)</f>
        <v>0</v>
      </c>
      <c r="P22" s="50">
        <f>IFERROR(__xludf.DUMMYFUNCTION("""COMPUTED_VALUE"""),0.0)</f>
        <v>0</v>
      </c>
      <c r="Q22" s="50">
        <f>IFERROR(__xludf.DUMMYFUNCTION("""COMPUTED_VALUE"""),0.0)</f>
        <v>0</v>
      </c>
      <c r="R22" s="50">
        <f>IFERROR(__xludf.DUMMYFUNCTION("""COMPUTED_VALUE"""),0.0)</f>
        <v>0</v>
      </c>
      <c r="S22" s="50">
        <f>IFERROR(__xludf.DUMMYFUNCTION("""COMPUTED_VALUE"""),0.0)</f>
        <v>0</v>
      </c>
      <c r="T22" s="50">
        <f>IFERROR(__xludf.DUMMYFUNCTION("""COMPUTED_VALUE"""),15.0)</f>
        <v>15</v>
      </c>
      <c r="U22" s="51"/>
      <c r="V22" s="224"/>
      <c r="W22" s="198">
        <f t="shared" ref="W22:AC22" si="22">L22</f>
        <v>44678</v>
      </c>
      <c r="X22" s="55">
        <f t="shared" si="22"/>
        <v>15</v>
      </c>
      <c r="Y22" s="55">
        <f t="shared" si="22"/>
        <v>15</v>
      </c>
      <c r="Z22" s="55">
        <f t="shared" si="22"/>
        <v>0</v>
      </c>
      <c r="AA22" s="55">
        <f t="shared" si="22"/>
        <v>0</v>
      </c>
      <c r="AB22" s="55">
        <f t="shared" si="22"/>
        <v>0</v>
      </c>
      <c r="AC22" s="55">
        <f t="shared" si="22"/>
        <v>0</v>
      </c>
    </row>
    <row r="23">
      <c r="B23" s="11">
        <f>IFERROR(__xludf.DUMMYFUNCTION("""COMPUTED_VALUE"""),44676.0)</f>
        <v>44676</v>
      </c>
      <c r="C23" s="50">
        <f>IFERROR(__xludf.DUMMYFUNCTION("""COMPUTED_VALUE"""),26.0)</f>
        <v>26</v>
      </c>
      <c r="D23" s="50">
        <f>IFERROR(__xludf.DUMMYFUNCTION("""COMPUTED_VALUE"""),25.0)</f>
        <v>25</v>
      </c>
      <c r="E23" s="50">
        <f>IFERROR(__xludf.DUMMYFUNCTION("""COMPUTED_VALUE"""),1.0)</f>
        <v>1</v>
      </c>
      <c r="F23" s="50">
        <f>IFERROR(__xludf.DUMMYFUNCTION("""COMPUTED_VALUE"""),0.0)</f>
        <v>0</v>
      </c>
      <c r="G23" s="50">
        <f>IFERROR(__xludf.DUMMYFUNCTION("""COMPUTED_VALUE"""),0.0)</f>
        <v>0</v>
      </c>
      <c r="H23" s="50">
        <f>IFERROR(__xludf.DUMMYFUNCTION("""COMPUTED_VALUE"""),0.0)</f>
        <v>0</v>
      </c>
      <c r="I23" s="50">
        <f>IFERROR(__xludf.DUMMYFUNCTION("""COMPUTED_VALUE"""),0.0)</f>
        <v>0</v>
      </c>
      <c r="J23" s="50" t="b">
        <f>IFERROR(__xludf.DUMMYFUNCTION("""COMPUTED_VALUE"""),TRUE)</f>
        <v>1</v>
      </c>
      <c r="K23" s="79"/>
      <c r="L23" s="11">
        <f>IFERROR(__xludf.DUMMYFUNCTION("""COMPUTED_VALUE"""),44679.0)</f>
        <v>44679</v>
      </c>
      <c r="M23" s="50">
        <f>IFERROR(__xludf.DUMMYFUNCTION("""COMPUTED_VALUE"""),33.0)</f>
        <v>33</v>
      </c>
      <c r="N23" s="50">
        <f>IFERROR(__xludf.DUMMYFUNCTION("""COMPUTED_VALUE"""),33.0)</f>
        <v>33</v>
      </c>
      <c r="O23" s="50">
        <f>IFERROR(__xludf.DUMMYFUNCTION("""COMPUTED_VALUE"""),0.0)</f>
        <v>0</v>
      </c>
      <c r="P23" s="50">
        <f>IFERROR(__xludf.DUMMYFUNCTION("""COMPUTED_VALUE"""),0.0)</f>
        <v>0</v>
      </c>
      <c r="Q23" s="50">
        <f>IFERROR(__xludf.DUMMYFUNCTION("""COMPUTED_VALUE"""),0.0)</f>
        <v>0</v>
      </c>
      <c r="R23" s="50">
        <f>IFERROR(__xludf.DUMMYFUNCTION("""COMPUTED_VALUE"""),0.0)</f>
        <v>0</v>
      </c>
      <c r="S23" s="50">
        <f>IFERROR(__xludf.DUMMYFUNCTION("""COMPUTED_VALUE"""),0.0)</f>
        <v>0</v>
      </c>
      <c r="T23" s="50">
        <f>IFERROR(__xludf.DUMMYFUNCTION("""COMPUTED_VALUE"""),33.0)</f>
        <v>33</v>
      </c>
      <c r="U23" s="51"/>
      <c r="V23" s="224"/>
      <c r="W23" s="198">
        <f t="shared" ref="W23:AC23" si="23">L23</f>
        <v>44679</v>
      </c>
      <c r="X23" s="55">
        <f t="shared" si="23"/>
        <v>33</v>
      </c>
      <c r="Y23" s="55">
        <f t="shared" si="23"/>
        <v>33</v>
      </c>
      <c r="Z23" s="55">
        <f t="shared" si="23"/>
        <v>0</v>
      </c>
      <c r="AA23" s="55">
        <f t="shared" si="23"/>
        <v>0</v>
      </c>
      <c r="AB23" s="55">
        <f t="shared" si="23"/>
        <v>0</v>
      </c>
      <c r="AC23" s="55">
        <f t="shared" si="23"/>
        <v>0</v>
      </c>
    </row>
    <row r="24">
      <c r="B24" s="11">
        <f>IFERROR(__xludf.DUMMYFUNCTION("""COMPUTED_VALUE"""),44677.0)</f>
        <v>44677</v>
      </c>
      <c r="C24" s="50">
        <f>IFERROR(__xludf.DUMMYFUNCTION("""COMPUTED_VALUE"""),13.0)</f>
        <v>13</v>
      </c>
      <c r="D24" s="50">
        <f>IFERROR(__xludf.DUMMYFUNCTION("""COMPUTED_VALUE"""),13.0)</f>
        <v>13</v>
      </c>
      <c r="E24" s="50">
        <f>IFERROR(__xludf.DUMMYFUNCTION("""COMPUTED_VALUE"""),0.0)</f>
        <v>0</v>
      </c>
      <c r="F24" s="50">
        <f>IFERROR(__xludf.DUMMYFUNCTION("""COMPUTED_VALUE"""),0.0)</f>
        <v>0</v>
      </c>
      <c r="G24" s="50">
        <f>IFERROR(__xludf.DUMMYFUNCTION("""COMPUTED_VALUE"""),0.0)</f>
        <v>0</v>
      </c>
      <c r="H24" s="50">
        <f>IFERROR(__xludf.DUMMYFUNCTION("""COMPUTED_VALUE"""),0.0)</f>
        <v>0</v>
      </c>
      <c r="I24" s="50">
        <f>IFERROR(__xludf.DUMMYFUNCTION("""COMPUTED_VALUE"""),0.0)</f>
        <v>0</v>
      </c>
      <c r="J24" s="50" t="b">
        <f>IFERROR(__xludf.DUMMYFUNCTION("""COMPUTED_VALUE"""),TRUE)</f>
        <v>1</v>
      </c>
      <c r="K24" s="79"/>
      <c r="L24" s="11">
        <f>IFERROR(__xludf.DUMMYFUNCTION("""COMPUTED_VALUE"""),44680.0)</f>
        <v>44680</v>
      </c>
      <c r="M24" s="50">
        <f>IFERROR(__xludf.DUMMYFUNCTION("""COMPUTED_VALUE"""),21.0)</f>
        <v>21</v>
      </c>
      <c r="N24" s="50">
        <f>IFERROR(__xludf.DUMMYFUNCTION("""COMPUTED_VALUE"""),20.0)</f>
        <v>20</v>
      </c>
      <c r="O24" s="50">
        <f>IFERROR(__xludf.DUMMYFUNCTION("""COMPUTED_VALUE"""),1.0)</f>
        <v>1</v>
      </c>
      <c r="P24" s="50">
        <f>IFERROR(__xludf.DUMMYFUNCTION("""COMPUTED_VALUE"""),0.0)</f>
        <v>0</v>
      </c>
      <c r="Q24" s="50">
        <f>IFERROR(__xludf.DUMMYFUNCTION("""COMPUTED_VALUE"""),0.0)</f>
        <v>0</v>
      </c>
      <c r="R24" s="50">
        <f>IFERROR(__xludf.DUMMYFUNCTION("""COMPUTED_VALUE"""),0.0)</f>
        <v>0</v>
      </c>
      <c r="S24" s="50">
        <f>IFERROR(__xludf.DUMMYFUNCTION("""COMPUTED_VALUE"""),0.0)</f>
        <v>0</v>
      </c>
      <c r="T24" s="50">
        <f>IFERROR(__xludf.DUMMYFUNCTION("""COMPUTED_VALUE"""),21.0)</f>
        <v>21</v>
      </c>
      <c r="U24" s="51"/>
      <c r="V24" s="224"/>
      <c r="W24" s="198">
        <f t="shared" ref="W24:AC24" si="24">L24</f>
        <v>44680</v>
      </c>
      <c r="X24" s="55">
        <f t="shared" si="24"/>
        <v>21</v>
      </c>
      <c r="Y24" s="55">
        <f t="shared" si="24"/>
        <v>20</v>
      </c>
      <c r="Z24" s="55">
        <f t="shared" si="24"/>
        <v>1</v>
      </c>
      <c r="AA24" s="55">
        <f t="shared" si="24"/>
        <v>0</v>
      </c>
      <c r="AB24" s="55">
        <f t="shared" si="24"/>
        <v>0</v>
      </c>
      <c r="AC24" s="55">
        <f t="shared" si="24"/>
        <v>0</v>
      </c>
    </row>
    <row r="25">
      <c r="B25" s="11">
        <f>IFERROR(__xludf.DUMMYFUNCTION("""COMPUTED_VALUE"""),44678.0)</f>
        <v>44678</v>
      </c>
      <c r="C25" s="50">
        <f>IFERROR(__xludf.DUMMYFUNCTION("""COMPUTED_VALUE"""),15.0)</f>
        <v>15</v>
      </c>
      <c r="D25" s="50">
        <f>IFERROR(__xludf.DUMMYFUNCTION("""COMPUTED_VALUE"""),15.0)</f>
        <v>15</v>
      </c>
      <c r="E25" s="50">
        <f>IFERROR(__xludf.DUMMYFUNCTION("""COMPUTED_VALUE"""),0.0)</f>
        <v>0</v>
      </c>
      <c r="F25" s="50">
        <f>IFERROR(__xludf.DUMMYFUNCTION("""COMPUTED_VALUE"""),0.0)</f>
        <v>0</v>
      </c>
      <c r="G25" s="50">
        <f>IFERROR(__xludf.DUMMYFUNCTION("""COMPUTED_VALUE"""),0.0)</f>
        <v>0</v>
      </c>
      <c r="H25" s="50">
        <f>IFERROR(__xludf.DUMMYFUNCTION("""COMPUTED_VALUE"""),0.0)</f>
        <v>0</v>
      </c>
      <c r="I25" s="50">
        <f>IFERROR(__xludf.DUMMYFUNCTION("""COMPUTED_VALUE"""),0.0)</f>
        <v>0</v>
      </c>
      <c r="J25" s="50" t="b">
        <f>IFERROR(__xludf.DUMMYFUNCTION("""COMPUTED_VALUE"""),TRUE)</f>
        <v>1</v>
      </c>
      <c r="K25" s="79"/>
      <c r="L25" s="11">
        <f>IFERROR(__xludf.DUMMYFUNCTION("""COMPUTED_VALUE"""),44690.0)</f>
        <v>44690</v>
      </c>
      <c r="M25" s="50">
        <f>IFERROR(__xludf.DUMMYFUNCTION("""COMPUTED_VALUE"""),30.0)</f>
        <v>30</v>
      </c>
      <c r="N25" s="50">
        <f>IFERROR(__xludf.DUMMYFUNCTION("""COMPUTED_VALUE"""),30.0)</f>
        <v>30</v>
      </c>
      <c r="O25" s="50">
        <f>IFERROR(__xludf.DUMMYFUNCTION("""COMPUTED_VALUE"""),0.0)</f>
        <v>0</v>
      </c>
      <c r="P25" s="50">
        <f>IFERROR(__xludf.DUMMYFUNCTION("""COMPUTED_VALUE"""),0.0)</f>
        <v>0</v>
      </c>
      <c r="Q25" s="50">
        <f>IFERROR(__xludf.DUMMYFUNCTION("""COMPUTED_VALUE"""),0.0)</f>
        <v>0</v>
      </c>
      <c r="R25" s="50">
        <f>IFERROR(__xludf.DUMMYFUNCTION("""COMPUTED_VALUE"""),0.0)</f>
        <v>0</v>
      </c>
      <c r="S25" s="50">
        <f>IFERROR(__xludf.DUMMYFUNCTION("""COMPUTED_VALUE"""),0.0)</f>
        <v>0</v>
      </c>
      <c r="T25" s="50">
        <f>IFERROR(__xludf.DUMMYFUNCTION("""COMPUTED_VALUE"""),30.0)</f>
        <v>30</v>
      </c>
      <c r="U25" s="51"/>
      <c r="V25" s="224"/>
      <c r="W25" s="198">
        <f t="shared" ref="W25:AC25" si="25">L25</f>
        <v>44690</v>
      </c>
      <c r="X25" s="55">
        <f t="shared" si="25"/>
        <v>30</v>
      </c>
      <c r="Y25" s="55">
        <f t="shared" si="25"/>
        <v>30</v>
      </c>
      <c r="Z25" s="55">
        <f t="shared" si="25"/>
        <v>0</v>
      </c>
      <c r="AA25" s="55">
        <f t="shared" si="25"/>
        <v>0</v>
      </c>
      <c r="AB25" s="55">
        <f t="shared" si="25"/>
        <v>0</v>
      </c>
      <c r="AC25" s="55">
        <f t="shared" si="25"/>
        <v>0</v>
      </c>
    </row>
    <row r="26">
      <c r="B26" s="11">
        <f>IFERROR(__xludf.DUMMYFUNCTION("""COMPUTED_VALUE"""),44679.0)</f>
        <v>44679</v>
      </c>
      <c r="C26" s="50">
        <f>IFERROR(__xludf.DUMMYFUNCTION("""COMPUTED_VALUE"""),33.0)</f>
        <v>33</v>
      </c>
      <c r="D26" s="50">
        <f>IFERROR(__xludf.DUMMYFUNCTION("""COMPUTED_VALUE"""),33.0)</f>
        <v>33</v>
      </c>
      <c r="E26" s="50">
        <f>IFERROR(__xludf.DUMMYFUNCTION("""COMPUTED_VALUE"""),0.0)</f>
        <v>0</v>
      </c>
      <c r="F26" s="50">
        <f>IFERROR(__xludf.DUMMYFUNCTION("""COMPUTED_VALUE"""),0.0)</f>
        <v>0</v>
      </c>
      <c r="G26" s="50">
        <f>IFERROR(__xludf.DUMMYFUNCTION("""COMPUTED_VALUE"""),0.0)</f>
        <v>0</v>
      </c>
      <c r="H26" s="50">
        <f>IFERROR(__xludf.DUMMYFUNCTION("""COMPUTED_VALUE"""),0.0)</f>
        <v>0</v>
      </c>
      <c r="I26" s="50">
        <f>IFERROR(__xludf.DUMMYFUNCTION("""COMPUTED_VALUE"""),0.0)</f>
        <v>0</v>
      </c>
      <c r="J26" s="50" t="b">
        <f>IFERROR(__xludf.DUMMYFUNCTION("""COMPUTED_VALUE"""),TRUE)</f>
        <v>1</v>
      </c>
      <c r="K26" s="79"/>
      <c r="L26" s="11">
        <f>IFERROR(__xludf.DUMMYFUNCTION("""COMPUTED_VALUE"""),44691.0)</f>
        <v>44691</v>
      </c>
      <c r="M26" s="50">
        <f>IFERROR(__xludf.DUMMYFUNCTION("""COMPUTED_VALUE"""),14.0)</f>
        <v>14</v>
      </c>
      <c r="N26" s="50">
        <f>IFERROR(__xludf.DUMMYFUNCTION("""COMPUTED_VALUE"""),14.0)</f>
        <v>14</v>
      </c>
      <c r="O26" s="50">
        <f>IFERROR(__xludf.DUMMYFUNCTION("""COMPUTED_VALUE"""),0.0)</f>
        <v>0</v>
      </c>
      <c r="P26" s="50">
        <f>IFERROR(__xludf.DUMMYFUNCTION("""COMPUTED_VALUE"""),0.0)</f>
        <v>0</v>
      </c>
      <c r="Q26" s="50">
        <f>IFERROR(__xludf.DUMMYFUNCTION("""COMPUTED_VALUE"""),0.0)</f>
        <v>0</v>
      </c>
      <c r="R26" s="50">
        <f>IFERROR(__xludf.DUMMYFUNCTION("""COMPUTED_VALUE"""),0.0)</f>
        <v>0</v>
      </c>
      <c r="S26" s="50">
        <f>IFERROR(__xludf.DUMMYFUNCTION("""COMPUTED_VALUE"""),0.0)</f>
        <v>0</v>
      </c>
      <c r="T26" s="50">
        <f>IFERROR(__xludf.DUMMYFUNCTION("""COMPUTED_VALUE"""),14.0)</f>
        <v>14</v>
      </c>
      <c r="U26" s="51"/>
      <c r="V26" s="224"/>
      <c r="W26" s="198">
        <f t="shared" ref="W26:AC26" si="26">L26</f>
        <v>44691</v>
      </c>
      <c r="X26" s="55">
        <f t="shared" si="26"/>
        <v>14</v>
      </c>
      <c r="Y26" s="55">
        <f t="shared" si="26"/>
        <v>14</v>
      </c>
      <c r="Z26" s="55">
        <f t="shared" si="26"/>
        <v>0</v>
      </c>
      <c r="AA26" s="55">
        <f t="shared" si="26"/>
        <v>0</v>
      </c>
      <c r="AB26" s="55">
        <f t="shared" si="26"/>
        <v>0</v>
      </c>
      <c r="AC26" s="55">
        <f t="shared" si="26"/>
        <v>0</v>
      </c>
    </row>
    <row r="27">
      <c r="B27" s="11">
        <f>IFERROR(__xludf.DUMMYFUNCTION("""COMPUTED_VALUE"""),44680.0)</f>
        <v>44680</v>
      </c>
      <c r="C27" s="50">
        <f>IFERROR(__xludf.DUMMYFUNCTION("""COMPUTED_VALUE"""),21.0)</f>
        <v>21</v>
      </c>
      <c r="D27" s="50">
        <f>IFERROR(__xludf.DUMMYFUNCTION("""COMPUTED_VALUE"""),20.0)</f>
        <v>20</v>
      </c>
      <c r="E27" s="50">
        <f>IFERROR(__xludf.DUMMYFUNCTION("""COMPUTED_VALUE"""),1.0)</f>
        <v>1</v>
      </c>
      <c r="F27" s="50">
        <f>IFERROR(__xludf.DUMMYFUNCTION("""COMPUTED_VALUE"""),0.0)</f>
        <v>0</v>
      </c>
      <c r="G27" s="50">
        <f>IFERROR(__xludf.DUMMYFUNCTION("""COMPUTED_VALUE"""),0.0)</f>
        <v>0</v>
      </c>
      <c r="H27" s="50">
        <f>IFERROR(__xludf.DUMMYFUNCTION("""COMPUTED_VALUE"""),0.0)</f>
        <v>0</v>
      </c>
      <c r="I27" s="50">
        <f>IFERROR(__xludf.DUMMYFUNCTION("""COMPUTED_VALUE"""),0.0)</f>
        <v>0</v>
      </c>
      <c r="J27" s="50" t="b">
        <f>IFERROR(__xludf.DUMMYFUNCTION("""COMPUTED_VALUE"""),TRUE)</f>
        <v>1</v>
      </c>
      <c r="K27" s="79"/>
      <c r="L27" s="11">
        <f>IFERROR(__xludf.DUMMYFUNCTION("""COMPUTED_VALUE"""),44692.0)</f>
        <v>44692</v>
      </c>
      <c r="M27" s="50">
        <f>IFERROR(__xludf.DUMMYFUNCTION("""COMPUTED_VALUE"""),18.0)</f>
        <v>18</v>
      </c>
      <c r="N27" s="50">
        <f>IFERROR(__xludf.DUMMYFUNCTION("""COMPUTED_VALUE"""),18.0)</f>
        <v>18</v>
      </c>
      <c r="O27" s="50">
        <f>IFERROR(__xludf.DUMMYFUNCTION("""COMPUTED_VALUE"""),0.0)</f>
        <v>0</v>
      </c>
      <c r="P27" s="50">
        <f>IFERROR(__xludf.DUMMYFUNCTION("""COMPUTED_VALUE"""),0.0)</f>
        <v>0</v>
      </c>
      <c r="Q27" s="50">
        <f>IFERROR(__xludf.DUMMYFUNCTION("""COMPUTED_VALUE"""),0.0)</f>
        <v>0</v>
      </c>
      <c r="R27" s="50">
        <f>IFERROR(__xludf.DUMMYFUNCTION("""COMPUTED_VALUE"""),0.0)</f>
        <v>0</v>
      </c>
      <c r="S27" s="50">
        <f>IFERROR(__xludf.DUMMYFUNCTION("""COMPUTED_VALUE"""),0.0)</f>
        <v>0</v>
      </c>
      <c r="T27" s="50">
        <f>IFERROR(__xludf.DUMMYFUNCTION("""COMPUTED_VALUE"""),18.0)</f>
        <v>18</v>
      </c>
      <c r="U27" s="51"/>
      <c r="V27" s="224"/>
      <c r="W27" s="198">
        <f t="shared" ref="W27:AC27" si="27">L27</f>
        <v>44692</v>
      </c>
      <c r="X27" s="55">
        <f t="shared" si="27"/>
        <v>18</v>
      </c>
      <c r="Y27" s="55">
        <f t="shared" si="27"/>
        <v>18</v>
      </c>
      <c r="Z27" s="55">
        <f t="shared" si="27"/>
        <v>0</v>
      </c>
      <c r="AA27" s="55">
        <f t="shared" si="27"/>
        <v>0</v>
      </c>
      <c r="AB27" s="55">
        <f t="shared" si="27"/>
        <v>0</v>
      </c>
      <c r="AC27" s="55">
        <f t="shared" si="27"/>
        <v>0</v>
      </c>
    </row>
    <row r="28">
      <c r="B28" s="11">
        <f>IFERROR(__xludf.DUMMYFUNCTION("""COMPUTED_VALUE"""),44690.0)</f>
        <v>44690</v>
      </c>
      <c r="C28" s="50">
        <f>IFERROR(__xludf.DUMMYFUNCTION("""COMPUTED_VALUE"""),30.0)</f>
        <v>30</v>
      </c>
      <c r="D28" s="50">
        <f>IFERROR(__xludf.DUMMYFUNCTION("""COMPUTED_VALUE"""),30.0)</f>
        <v>30</v>
      </c>
      <c r="E28" s="50">
        <f>IFERROR(__xludf.DUMMYFUNCTION("""COMPUTED_VALUE"""),0.0)</f>
        <v>0</v>
      </c>
      <c r="F28" s="50">
        <f>IFERROR(__xludf.DUMMYFUNCTION("""COMPUTED_VALUE"""),0.0)</f>
        <v>0</v>
      </c>
      <c r="G28" s="50">
        <f>IFERROR(__xludf.DUMMYFUNCTION("""COMPUTED_VALUE"""),0.0)</f>
        <v>0</v>
      </c>
      <c r="H28" s="50">
        <f>IFERROR(__xludf.DUMMYFUNCTION("""COMPUTED_VALUE"""),0.0)</f>
        <v>0</v>
      </c>
      <c r="I28" s="50">
        <f>IFERROR(__xludf.DUMMYFUNCTION("""COMPUTED_VALUE"""),0.0)</f>
        <v>0</v>
      </c>
      <c r="J28" s="50" t="b">
        <f>IFERROR(__xludf.DUMMYFUNCTION("""COMPUTED_VALUE"""),TRUE)</f>
        <v>1</v>
      </c>
      <c r="K28" s="79"/>
      <c r="L28" s="11">
        <f>IFERROR(__xludf.DUMMYFUNCTION("""COMPUTED_VALUE"""),44693.0)</f>
        <v>44693</v>
      </c>
      <c r="M28" s="50">
        <f>IFERROR(__xludf.DUMMYFUNCTION("""COMPUTED_VALUE"""),33.0)</f>
        <v>33</v>
      </c>
      <c r="N28" s="50">
        <f>IFERROR(__xludf.DUMMYFUNCTION("""COMPUTED_VALUE"""),33.0)</f>
        <v>33</v>
      </c>
      <c r="O28" s="50">
        <f>IFERROR(__xludf.DUMMYFUNCTION("""COMPUTED_VALUE"""),0.0)</f>
        <v>0</v>
      </c>
      <c r="P28" s="50">
        <f>IFERROR(__xludf.DUMMYFUNCTION("""COMPUTED_VALUE"""),0.0)</f>
        <v>0</v>
      </c>
      <c r="Q28" s="50">
        <f>IFERROR(__xludf.DUMMYFUNCTION("""COMPUTED_VALUE"""),0.0)</f>
        <v>0</v>
      </c>
      <c r="R28" s="50">
        <f>IFERROR(__xludf.DUMMYFUNCTION("""COMPUTED_VALUE"""),0.0)</f>
        <v>0</v>
      </c>
      <c r="S28" s="50">
        <f>IFERROR(__xludf.DUMMYFUNCTION("""COMPUTED_VALUE"""),0.0)</f>
        <v>0</v>
      </c>
      <c r="T28" s="50">
        <f>IFERROR(__xludf.DUMMYFUNCTION("""COMPUTED_VALUE"""),33.0)</f>
        <v>33</v>
      </c>
      <c r="U28" s="51"/>
      <c r="V28" s="224"/>
      <c r="W28" s="198">
        <f t="shared" ref="W28:AC28" si="28">L28</f>
        <v>44693</v>
      </c>
      <c r="X28" s="55">
        <f t="shared" si="28"/>
        <v>33</v>
      </c>
      <c r="Y28" s="55">
        <f t="shared" si="28"/>
        <v>33</v>
      </c>
      <c r="Z28" s="55">
        <f t="shared" si="28"/>
        <v>0</v>
      </c>
      <c r="AA28" s="55">
        <f t="shared" si="28"/>
        <v>0</v>
      </c>
      <c r="AB28" s="55">
        <f t="shared" si="28"/>
        <v>0</v>
      </c>
      <c r="AC28" s="55">
        <f t="shared" si="28"/>
        <v>0</v>
      </c>
    </row>
    <row r="29">
      <c r="B29" s="11">
        <f>IFERROR(__xludf.DUMMYFUNCTION("""COMPUTED_VALUE"""),44691.0)</f>
        <v>44691</v>
      </c>
      <c r="C29" s="50">
        <f>IFERROR(__xludf.DUMMYFUNCTION("""COMPUTED_VALUE"""),14.0)</f>
        <v>14</v>
      </c>
      <c r="D29" s="50">
        <f>IFERROR(__xludf.DUMMYFUNCTION("""COMPUTED_VALUE"""),14.0)</f>
        <v>14</v>
      </c>
      <c r="E29" s="50">
        <f>IFERROR(__xludf.DUMMYFUNCTION("""COMPUTED_VALUE"""),0.0)</f>
        <v>0</v>
      </c>
      <c r="F29" s="50">
        <f>IFERROR(__xludf.DUMMYFUNCTION("""COMPUTED_VALUE"""),0.0)</f>
        <v>0</v>
      </c>
      <c r="G29" s="50">
        <f>IFERROR(__xludf.DUMMYFUNCTION("""COMPUTED_VALUE"""),0.0)</f>
        <v>0</v>
      </c>
      <c r="H29" s="50">
        <f>IFERROR(__xludf.DUMMYFUNCTION("""COMPUTED_VALUE"""),0.0)</f>
        <v>0</v>
      </c>
      <c r="I29" s="50">
        <f>IFERROR(__xludf.DUMMYFUNCTION("""COMPUTED_VALUE"""),0.0)</f>
        <v>0</v>
      </c>
      <c r="J29" s="50" t="b">
        <f>IFERROR(__xludf.DUMMYFUNCTION("""COMPUTED_VALUE"""),TRUE)</f>
        <v>1</v>
      </c>
      <c r="K29" s="79"/>
      <c r="L29" s="11">
        <f>IFERROR(__xludf.DUMMYFUNCTION("""COMPUTED_VALUE"""),44694.0)</f>
        <v>44694</v>
      </c>
      <c r="M29" s="50">
        <f>IFERROR(__xludf.DUMMYFUNCTION("""COMPUTED_VALUE"""),17.0)</f>
        <v>17</v>
      </c>
      <c r="N29" s="50">
        <f>IFERROR(__xludf.DUMMYFUNCTION("""COMPUTED_VALUE"""),17.0)</f>
        <v>17</v>
      </c>
      <c r="O29" s="50">
        <f>IFERROR(__xludf.DUMMYFUNCTION("""COMPUTED_VALUE"""),0.0)</f>
        <v>0</v>
      </c>
      <c r="P29" s="50">
        <f>IFERROR(__xludf.DUMMYFUNCTION("""COMPUTED_VALUE"""),0.0)</f>
        <v>0</v>
      </c>
      <c r="Q29" s="50">
        <f>IFERROR(__xludf.DUMMYFUNCTION("""COMPUTED_VALUE"""),0.0)</f>
        <v>0</v>
      </c>
      <c r="R29" s="50">
        <f>IFERROR(__xludf.DUMMYFUNCTION("""COMPUTED_VALUE"""),0.0)</f>
        <v>0</v>
      </c>
      <c r="S29" s="50">
        <f>IFERROR(__xludf.DUMMYFUNCTION("""COMPUTED_VALUE"""),0.0)</f>
        <v>0</v>
      </c>
      <c r="T29" s="50">
        <f>IFERROR(__xludf.DUMMYFUNCTION("""COMPUTED_VALUE"""),17.0)</f>
        <v>17</v>
      </c>
      <c r="U29" s="51"/>
      <c r="V29" s="224"/>
      <c r="W29" s="198">
        <f t="shared" ref="W29:AC29" si="29">L29</f>
        <v>44694</v>
      </c>
      <c r="X29" s="55">
        <f t="shared" si="29"/>
        <v>17</v>
      </c>
      <c r="Y29" s="55">
        <f t="shared" si="29"/>
        <v>17</v>
      </c>
      <c r="Z29" s="55">
        <f t="shared" si="29"/>
        <v>0</v>
      </c>
      <c r="AA29" s="55">
        <f t="shared" si="29"/>
        <v>0</v>
      </c>
      <c r="AB29" s="55">
        <f t="shared" si="29"/>
        <v>0</v>
      </c>
      <c r="AC29" s="55">
        <f t="shared" si="29"/>
        <v>0</v>
      </c>
    </row>
    <row r="30">
      <c r="B30" s="11">
        <f>IFERROR(__xludf.DUMMYFUNCTION("""COMPUTED_VALUE"""),44692.0)</f>
        <v>44692</v>
      </c>
      <c r="C30" s="50">
        <f>IFERROR(__xludf.DUMMYFUNCTION("""COMPUTED_VALUE"""),18.0)</f>
        <v>18</v>
      </c>
      <c r="D30" s="50">
        <f>IFERROR(__xludf.DUMMYFUNCTION("""COMPUTED_VALUE"""),18.0)</f>
        <v>18</v>
      </c>
      <c r="E30" s="50">
        <f>IFERROR(__xludf.DUMMYFUNCTION("""COMPUTED_VALUE"""),0.0)</f>
        <v>0</v>
      </c>
      <c r="F30" s="50">
        <f>IFERROR(__xludf.DUMMYFUNCTION("""COMPUTED_VALUE"""),0.0)</f>
        <v>0</v>
      </c>
      <c r="G30" s="50">
        <f>IFERROR(__xludf.DUMMYFUNCTION("""COMPUTED_VALUE"""),0.0)</f>
        <v>0</v>
      </c>
      <c r="H30" s="50">
        <f>IFERROR(__xludf.DUMMYFUNCTION("""COMPUTED_VALUE"""),0.0)</f>
        <v>0</v>
      </c>
      <c r="I30" s="50">
        <f>IFERROR(__xludf.DUMMYFUNCTION("""COMPUTED_VALUE"""),0.0)</f>
        <v>0</v>
      </c>
      <c r="J30" s="50" t="b">
        <f>IFERROR(__xludf.DUMMYFUNCTION("""COMPUTED_VALUE"""),TRUE)</f>
        <v>1</v>
      </c>
      <c r="K30" s="79"/>
      <c r="L30" s="11">
        <f>IFERROR(__xludf.DUMMYFUNCTION("""COMPUTED_VALUE"""),44697.0)</f>
        <v>44697</v>
      </c>
      <c r="M30" s="50">
        <f>IFERROR(__xludf.DUMMYFUNCTION("""COMPUTED_VALUE"""),26.0)</f>
        <v>26</v>
      </c>
      <c r="N30" s="50">
        <f>IFERROR(__xludf.DUMMYFUNCTION("""COMPUTED_VALUE"""),26.0)</f>
        <v>26</v>
      </c>
      <c r="O30" s="50">
        <f>IFERROR(__xludf.DUMMYFUNCTION("""COMPUTED_VALUE"""),0.0)</f>
        <v>0</v>
      </c>
      <c r="P30" s="50">
        <f>IFERROR(__xludf.DUMMYFUNCTION("""COMPUTED_VALUE"""),0.0)</f>
        <v>0</v>
      </c>
      <c r="Q30" s="50">
        <f>IFERROR(__xludf.DUMMYFUNCTION("""COMPUTED_VALUE"""),0.0)</f>
        <v>0</v>
      </c>
      <c r="R30" s="50">
        <f>IFERROR(__xludf.DUMMYFUNCTION("""COMPUTED_VALUE"""),0.0)</f>
        <v>0</v>
      </c>
      <c r="S30" s="50">
        <f>IFERROR(__xludf.DUMMYFUNCTION("""COMPUTED_VALUE"""),0.0)</f>
        <v>0</v>
      </c>
      <c r="T30" s="50">
        <f>IFERROR(__xludf.DUMMYFUNCTION("""COMPUTED_VALUE"""),26.0)</f>
        <v>26</v>
      </c>
      <c r="U30" s="51"/>
      <c r="V30" s="224"/>
      <c r="W30" s="198">
        <f t="shared" ref="W30:AC30" si="30">L30</f>
        <v>44697</v>
      </c>
      <c r="X30" s="55">
        <f t="shared" si="30"/>
        <v>26</v>
      </c>
      <c r="Y30" s="55">
        <f t="shared" si="30"/>
        <v>26</v>
      </c>
      <c r="Z30" s="55">
        <f t="shared" si="30"/>
        <v>0</v>
      </c>
      <c r="AA30" s="55">
        <f t="shared" si="30"/>
        <v>0</v>
      </c>
      <c r="AB30" s="55">
        <f t="shared" si="30"/>
        <v>0</v>
      </c>
      <c r="AC30" s="55">
        <f t="shared" si="30"/>
        <v>0</v>
      </c>
    </row>
    <row r="31">
      <c r="B31" s="11">
        <f>IFERROR(__xludf.DUMMYFUNCTION("""COMPUTED_VALUE"""),44693.0)</f>
        <v>44693</v>
      </c>
      <c r="C31" s="50">
        <f>IFERROR(__xludf.DUMMYFUNCTION("""COMPUTED_VALUE"""),33.0)</f>
        <v>33</v>
      </c>
      <c r="D31" s="50">
        <f>IFERROR(__xludf.DUMMYFUNCTION("""COMPUTED_VALUE"""),33.0)</f>
        <v>33</v>
      </c>
      <c r="E31" s="50">
        <f>IFERROR(__xludf.DUMMYFUNCTION("""COMPUTED_VALUE"""),0.0)</f>
        <v>0</v>
      </c>
      <c r="F31" s="50">
        <f>IFERROR(__xludf.DUMMYFUNCTION("""COMPUTED_VALUE"""),0.0)</f>
        <v>0</v>
      </c>
      <c r="G31" s="50">
        <f>IFERROR(__xludf.DUMMYFUNCTION("""COMPUTED_VALUE"""),0.0)</f>
        <v>0</v>
      </c>
      <c r="H31" s="50">
        <f>IFERROR(__xludf.DUMMYFUNCTION("""COMPUTED_VALUE"""),0.0)</f>
        <v>0</v>
      </c>
      <c r="I31" s="50">
        <f>IFERROR(__xludf.DUMMYFUNCTION("""COMPUTED_VALUE"""),0.0)</f>
        <v>0</v>
      </c>
      <c r="J31" s="50" t="b">
        <f>IFERROR(__xludf.DUMMYFUNCTION("""COMPUTED_VALUE"""),TRUE)</f>
        <v>1</v>
      </c>
      <c r="K31" s="79"/>
      <c r="L31" s="11">
        <f>IFERROR(__xludf.DUMMYFUNCTION("""COMPUTED_VALUE"""),44698.0)</f>
        <v>44698</v>
      </c>
      <c r="M31" s="50">
        <f>IFERROR(__xludf.DUMMYFUNCTION("""COMPUTED_VALUE"""),13.0)</f>
        <v>13</v>
      </c>
      <c r="N31" s="50">
        <f>IFERROR(__xludf.DUMMYFUNCTION("""COMPUTED_VALUE"""),13.0)</f>
        <v>13</v>
      </c>
      <c r="O31" s="50">
        <f>IFERROR(__xludf.DUMMYFUNCTION("""COMPUTED_VALUE"""),0.0)</f>
        <v>0</v>
      </c>
      <c r="P31" s="50">
        <f>IFERROR(__xludf.DUMMYFUNCTION("""COMPUTED_VALUE"""),0.0)</f>
        <v>0</v>
      </c>
      <c r="Q31" s="50">
        <f>IFERROR(__xludf.DUMMYFUNCTION("""COMPUTED_VALUE"""),0.0)</f>
        <v>0</v>
      </c>
      <c r="R31" s="50">
        <f>IFERROR(__xludf.DUMMYFUNCTION("""COMPUTED_VALUE"""),0.0)</f>
        <v>0</v>
      </c>
      <c r="S31" s="50">
        <f>IFERROR(__xludf.DUMMYFUNCTION("""COMPUTED_VALUE"""),0.0)</f>
        <v>0</v>
      </c>
      <c r="T31" s="50">
        <f>IFERROR(__xludf.DUMMYFUNCTION("""COMPUTED_VALUE"""),13.0)</f>
        <v>13</v>
      </c>
      <c r="U31" s="51"/>
      <c r="V31" s="224"/>
      <c r="W31" s="198">
        <f t="shared" ref="W31:AC31" si="31">L31</f>
        <v>44698</v>
      </c>
      <c r="X31" s="55">
        <f t="shared" si="31"/>
        <v>13</v>
      </c>
      <c r="Y31" s="55">
        <f t="shared" si="31"/>
        <v>13</v>
      </c>
      <c r="Z31" s="55">
        <f t="shared" si="31"/>
        <v>0</v>
      </c>
      <c r="AA31" s="55">
        <f t="shared" si="31"/>
        <v>0</v>
      </c>
      <c r="AB31" s="55">
        <f t="shared" si="31"/>
        <v>0</v>
      </c>
      <c r="AC31" s="55">
        <f t="shared" si="31"/>
        <v>0</v>
      </c>
    </row>
    <row r="32">
      <c r="B32" s="11">
        <f>IFERROR(__xludf.DUMMYFUNCTION("""COMPUTED_VALUE"""),44694.0)</f>
        <v>44694</v>
      </c>
      <c r="C32" s="50">
        <f>IFERROR(__xludf.DUMMYFUNCTION("""COMPUTED_VALUE"""),17.0)</f>
        <v>17</v>
      </c>
      <c r="D32" s="50">
        <f>IFERROR(__xludf.DUMMYFUNCTION("""COMPUTED_VALUE"""),17.0)</f>
        <v>17</v>
      </c>
      <c r="E32" s="50">
        <f>IFERROR(__xludf.DUMMYFUNCTION("""COMPUTED_VALUE"""),0.0)</f>
        <v>0</v>
      </c>
      <c r="F32" s="50">
        <f>IFERROR(__xludf.DUMMYFUNCTION("""COMPUTED_VALUE"""),0.0)</f>
        <v>0</v>
      </c>
      <c r="G32" s="50">
        <f>IFERROR(__xludf.DUMMYFUNCTION("""COMPUTED_VALUE"""),0.0)</f>
        <v>0</v>
      </c>
      <c r="H32" s="50">
        <f>IFERROR(__xludf.DUMMYFUNCTION("""COMPUTED_VALUE"""),0.0)</f>
        <v>0</v>
      </c>
      <c r="I32" s="50">
        <f>IFERROR(__xludf.DUMMYFUNCTION("""COMPUTED_VALUE"""),0.0)</f>
        <v>0</v>
      </c>
      <c r="J32" s="50" t="b">
        <f>IFERROR(__xludf.DUMMYFUNCTION("""COMPUTED_VALUE"""),TRUE)</f>
        <v>1</v>
      </c>
      <c r="K32" s="79"/>
      <c r="L32" s="11">
        <f>IFERROR(__xludf.DUMMYFUNCTION("""COMPUTED_VALUE"""),44699.0)</f>
        <v>44699</v>
      </c>
      <c r="M32" s="50">
        <f>IFERROR(__xludf.DUMMYFUNCTION("""COMPUTED_VALUE"""),10.0)</f>
        <v>10</v>
      </c>
      <c r="N32" s="50">
        <f>IFERROR(__xludf.DUMMYFUNCTION("""COMPUTED_VALUE"""),10.0)</f>
        <v>10</v>
      </c>
      <c r="O32" s="50">
        <f>IFERROR(__xludf.DUMMYFUNCTION("""COMPUTED_VALUE"""),0.0)</f>
        <v>0</v>
      </c>
      <c r="P32" s="50">
        <f>IFERROR(__xludf.DUMMYFUNCTION("""COMPUTED_VALUE"""),0.0)</f>
        <v>0</v>
      </c>
      <c r="Q32" s="50">
        <f>IFERROR(__xludf.DUMMYFUNCTION("""COMPUTED_VALUE"""),0.0)</f>
        <v>0</v>
      </c>
      <c r="R32" s="50">
        <f>IFERROR(__xludf.DUMMYFUNCTION("""COMPUTED_VALUE"""),0.0)</f>
        <v>0</v>
      </c>
      <c r="S32" s="50">
        <f>IFERROR(__xludf.DUMMYFUNCTION("""COMPUTED_VALUE"""),0.0)</f>
        <v>0</v>
      </c>
      <c r="T32" s="50">
        <f>IFERROR(__xludf.DUMMYFUNCTION("""COMPUTED_VALUE"""),10.0)</f>
        <v>10</v>
      </c>
      <c r="U32" s="51"/>
      <c r="V32" s="224"/>
      <c r="W32" s="198">
        <f t="shared" ref="W32:AC32" si="32">L32</f>
        <v>44699</v>
      </c>
      <c r="X32" s="55">
        <f t="shared" si="32"/>
        <v>10</v>
      </c>
      <c r="Y32" s="55">
        <f t="shared" si="32"/>
        <v>10</v>
      </c>
      <c r="Z32" s="55">
        <f t="shared" si="32"/>
        <v>0</v>
      </c>
      <c r="AA32" s="55">
        <f t="shared" si="32"/>
        <v>0</v>
      </c>
      <c r="AB32" s="55">
        <f t="shared" si="32"/>
        <v>0</v>
      </c>
      <c r="AC32" s="55">
        <f t="shared" si="32"/>
        <v>0</v>
      </c>
    </row>
    <row r="33">
      <c r="B33" s="11">
        <f>IFERROR(__xludf.DUMMYFUNCTION("""COMPUTED_VALUE"""),44697.0)</f>
        <v>44697</v>
      </c>
      <c r="C33" s="50">
        <f>IFERROR(__xludf.DUMMYFUNCTION("""COMPUTED_VALUE"""),26.0)</f>
        <v>26</v>
      </c>
      <c r="D33" s="50">
        <f>IFERROR(__xludf.DUMMYFUNCTION("""COMPUTED_VALUE"""),26.0)</f>
        <v>26</v>
      </c>
      <c r="E33" s="50">
        <f>IFERROR(__xludf.DUMMYFUNCTION("""COMPUTED_VALUE"""),0.0)</f>
        <v>0</v>
      </c>
      <c r="F33" s="50">
        <f>IFERROR(__xludf.DUMMYFUNCTION("""COMPUTED_VALUE"""),0.0)</f>
        <v>0</v>
      </c>
      <c r="G33" s="50">
        <f>IFERROR(__xludf.DUMMYFUNCTION("""COMPUTED_VALUE"""),0.0)</f>
        <v>0</v>
      </c>
      <c r="H33" s="50">
        <f>IFERROR(__xludf.DUMMYFUNCTION("""COMPUTED_VALUE"""),0.0)</f>
        <v>0</v>
      </c>
      <c r="I33" s="50">
        <f>IFERROR(__xludf.DUMMYFUNCTION("""COMPUTED_VALUE"""),0.0)</f>
        <v>0</v>
      </c>
      <c r="J33" s="50" t="b">
        <f>IFERROR(__xludf.DUMMYFUNCTION("""COMPUTED_VALUE"""),TRUE)</f>
        <v>1</v>
      </c>
      <c r="K33" s="79"/>
      <c r="L33" s="11">
        <f>IFERROR(__xludf.DUMMYFUNCTION("""COMPUTED_VALUE"""),44700.0)</f>
        <v>44700</v>
      </c>
      <c r="M33" s="50">
        <f>IFERROR(__xludf.DUMMYFUNCTION("""COMPUTED_VALUE"""),37.0)</f>
        <v>37</v>
      </c>
      <c r="N33" s="50">
        <f>IFERROR(__xludf.DUMMYFUNCTION("""COMPUTED_VALUE"""),37.0)</f>
        <v>37</v>
      </c>
      <c r="O33" s="50">
        <f>IFERROR(__xludf.DUMMYFUNCTION("""COMPUTED_VALUE"""),0.0)</f>
        <v>0</v>
      </c>
      <c r="P33" s="50">
        <f>IFERROR(__xludf.DUMMYFUNCTION("""COMPUTED_VALUE"""),0.0)</f>
        <v>0</v>
      </c>
      <c r="Q33" s="50">
        <f>IFERROR(__xludf.DUMMYFUNCTION("""COMPUTED_VALUE"""),0.0)</f>
        <v>0</v>
      </c>
      <c r="R33" s="50">
        <f>IFERROR(__xludf.DUMMYFUNCTION("""COMPUTED_VALUE"""),0.0)</f>
        <v>0</v>
      </c>
      <c r="S33" s="50">
        <f>IFERROR(__xludf.DUMMYFUNCTION("""COMPUTED_VALUE"""),0.0)</f>
        <v>0</v>
      </c>
      <c r="T33" s="50">
        <f>IFERROR(__xludf.DUMMYFUNCTION("""COMPUTED_VALUE"""),37.0)</f>
        <v>37</v>
      </c>
      <c r="U33" s="51"/>
      <c r="V33" s="224"/>
      <c r="W33" s="198">
        <f t="shared" ref="W33:AC33" si="33">L33</f>
        <v>44700</v>
      </c>
      <c r="X33" s="55">
        <f t="shared" si="33"/>
        <v>37</v>
      </c>
      <c r="Y33" s="55">
        <f t="shared" si="33"/>
        <v>37</v>
      </c>
      <c r="Z33" s="55">
        <f t="shared" si="33"/>
        <v>0</v>
      </c>
      <c r="AA33" s="55">
        <f t="shared" si="33"/>
        <v>0</v>
      </c>
      <c r="AB33" s="55">
        <f t="shared" si="33"/>
        <v>0</v>
      </c>
      <c r="AC33" s="55">
        <f t="shared" si="33"/>
        <v>0</v>
      </c>
    </row>
    <row r="34">
      <c r="B34" s="11">
        <f>IFERROR(__xludf.DUMMYFUNCTION("""COMPUTED_VALUE"""),44698.0)</f>
        <v>44698</v>
      </c>
      <c r="C34" s="50">
        <f>IFERROR(__xludf.DUMMYFUNCTION("""COMPUTED_VALUE"""),13.0)</f>
        <v>13</v>
      </c>
      <c r="D34" s="50">
        <f>IFERROR(__xludf.DUMMYFUNCTION("""COMPUTED_VALUE"""),13.0)</f>
        <v>13</v>
      </c>
      <c r="E34" s="50">
        <f>IFERROR(__xludf.DUMMYFUNCTION("""COMPUTED_VALUE"""),0.0)</f>
        <v>0</v>
      </c>
      <c r="F34" s="50">
        <f>IFERROR(__xludf.DUMMYFUNCTION("""COMPUTED_VALUE"""),0.0)</f>
        <v>0</v>
      </c>
      <c r="G34" s="50">
        <f>IFERROR(__xludf.DUMMYFUNCTION("""COMPUTED_VALUE"""),0.0)</f>
        <v>0</v>
      </c>
      <c r="H34" s="50">
        <f>IFERROR(__xludf.DUMMYFUNCTION("""COMPUTED_VALUE"""),0.0)</f>
        <v>0</v>
      </c>
      <c r="I34" s="50">
        <f>IFERROR(__xludf.DUMMYFUNCTION("""COMPUTED_VALUE"""),0.0)</f>
        <v>0</v>
      </c>
      <c r="J34" s="50" t="b">
        <f>IFERROR(__xludf.DUMMYFUNCTION("""COMPUTED_VALUE"""),TRUE)</f>
        <v>1</v>
      </c>
      <c r="K34" s="79"/>
      <c r="L34" s="11">
        <f>IFERROR(__xludf.DUMMYFUNCTION("""COMPUTED_VALUE"""),44701.0)</f>
        <v>44701</v>
      </c>
      <c r="M34" s="50">
        <f>IFERROR(__xludf.DUMMYFUNCTION("""COMPUTED_VALUE"""),13.0)</f>
        <v>13</v>
      </c>
      <c r="N34" s="50">
        <f>IFERROR(__xludf.DUMMYFUNCTION("""COMPUTED_VALUE"""),13.0)</f>
        <v>13</v>
      </c>
      <c r="O34" s="50">
        <f>IFERROR(__xludf.DUMMYFUNCTION("""COMPUTED_VALUE"""),0.0)</f>
        <v>0</v>
      </c>
      <c r="P34" s="50">
        <f>IFERROR(__xludf.DUMMYFUNCTION("""COMPUTED_VALUE"""),0.0)</f>
        <v>0</v>
      </c>
      <c r="Q34" s="50">
        <f>IFERROR(__xludf.DUMMYFUNCTION("""COMPUTED_VALUE"""),0.0)</f>
        <v>0</v>
      </c>
      <c r="R34" s="50">
        <f>IFERROR(__xludf.DUMMYFUNCTION("""COMPUTED_VALUE"""),0.0)</f>
        <v>0</v>
      </c>
      <c r="S34" s="50">
        <f>IFERROR(__xludf.DUMMYFUNCTION("""COMPUTED_VALUE"""),0.0)</f>
        <v>0</v>
      </c>
      <c r="T34" s="50">
        <f>IFERROR(__xludf.DUMMYFUNCTION("""COMPUTED_VALUE"""),13.0)</f>
        <v>13</v>
      </c>
      <c r="U34" s="51"/>
      <c r="V34" s="224"/>
      <c r="W34" s="198">
        <f t="shared" ref="W34:AC34" si="34">L34</f>
        <v>44701</v>
      </c>
      <c r="X34" s="55">
        <f t="shared" si="34"/>
        <v>13</v>
      </c>
      <c r="Y34" s="55">
        <f t="shared" si="34"/>
        <v>13</v>
      </c>
      <c r="Z34" s="55">
        <f t="shared" si="34"/>
        <v>0</v>
      </c>
      <c r="AA34" s="55">
        <f t="shared" si="34"/>
        <v>0</v>
      </c>
      <c r="AB34" s="55">
        <f t="shared" si="34"/>
        <v>0</v>
      </c>
      <c r="AC34" s="55">
        <f t="shared" si="34"/>
        <v>0</v>
      </c>
    </row>
    <row r="35">
      <c r="B35" s="11">
        <f>IFERROR(__xludf.DUMMYFUNCTION("""COMPUTED_VALUE"""),44699.0)</f>
        <v>44699</v>
      </c>
      <c r="C35" s="50">
        <f>IFERROR(__xludf.DUMMYFUNCTION("""COMPUTED_VALUE"""),10.0)</f>
        <v>10</v>
      </c>
      <c r="D35" s="50">
        <f>IFERROR(__xludf.DUMMYFUNCTION("""COMPUTED_VALUE"""),10.0)</f>
        <v>10</v>
      </c>
      <c r="E35" s="50">
        <f>IFERROR(__xludf.DUMMYFUNCTION("""COMPUTED_VALUE"""),0.0)</f>
        <v>0</v>
      </c>
      <c r="F35" s="50">
        <f>IFERROR(__xludf.DUMMYFUNCTION("""COMPUTED_VALUE"""),0.0)</f>
        <v>0</v>
      </c>
      <c r="G35" s="50">
        <f>IFERROR(__xludf.DUMMYFUNCTION("""COMPUTED_VALUE"""),0.0)</f>
        <v>0</v>
      </c>
      <c r="H35" s="50">
        <f>IFERROR(__xludf.DUMMYFUNCTION("""COMPUTED_VALUE"""),0.0)</f>
        <v>0</v>
      </c>
      <c r="I35" s="50">
        <f>IFERROR(__xludf.DUMMYFUNCTION("""COMPUTED_VALUE"""),0.0)</f>
        <v>0</v>
      </c>
      <c r="J35" s="50" t="b">
        <f>IFERROR(__xludf.DUMMYFUNCTION("""COMPUTED_VALUE"""),TRUE)</f>
        <v>1</v>
      </c>
      <c r="K35" s="79"/>
      <c r="L35" s="11">
        <f>IFERROR(__xludf.DUMMYFUNCTION("""COMPUTED_VALUE"""),44706.0)</f>
        <v>44706</v>
      </c>
      <c r="M35" s="50">
        <f>IFERROR(__xludf.DUMMYFUNCTION("""COMPUTED_VALUE"""),31.0)</f>
        <v>31</v>
      </c>
      <c r="N35" s="50">
        <f>IFERROR(__xludf.DUMMYFUNCTION("""COMPUTED_VALUE"""),31.0)</f>
        <v>31</v>
      </c>
      <c r="O35" s="50">
        <f>IFERROR(__xludf.DUMMYFUNCTION("""COMPUTED_VALUE"""),0.0)</f>
        <v>0</v>
      </c>
      <c r="P35" s="50">
        <f>IFERROR(__xludf.DUMMYFUNCTION("""COMPUTED_VALUE"""),0.0)</f>
        <v>0</v>
      </c>
      <c r="Q35" s="50">
        <f>IFERROR(__xludf.DUMMYFUNCTION("""COMPUTED_VALUE"""),0.0)</f>
        <v>0</v>
      </c>
      <c r="R35" s="50">
        <f>IFERROR(__xludf.DUMMYFUNCTION("""COMPUTED_VALUE"""),0.0)</f>
        <v>0</v>
      </c>
      <c r="S35" s="50">
        <f>IFERROR(__xludf.DUMMYFUNCTION("""COMPUTED_VALUE"""),0.0)</f>
        <v>0</v>
      </c>
      <c r="T35" s="50">
        <f>IFERROR(__xludf.DUMMYFUNCTION("""COMPUTED_VALUE"""),31.0)</f>
        <v>31</v>
      </c>
      <c r="U35" s="51"/>
      <c r="V35" s="224"/>
      <c r="W35" s="198">
        <f t="shared" ref="W35:AC35" si="35">L35</f>
        <v>44706</v>
      </c>
      <c r="X35" s="55">
        <f t="shared" si="35"/>
        <v>31</v>
      </c>
      <c r="Y35" s="55">
        <f t="shared" si="35"/>
        <v>31</v>
      </c>
      <c r="Z35" s="55">
        <f t="shared" si="35"/>
        <v>0</v>
      </c>
      <c r="AA35" s="55">
        <f t="shared" si="35"/>
        <v>0</v>
      </c>
      <c r="AB35" s="55">
        <f t="shared" si="35"/>
        <v>0</v>
      </c>
      <c r="AC35" s="55">
        <f t="shared" si="35"/>
        <v>0</v>
      </c>
    </row>
    <row r="36">
      <c r="B36" s="11">
        <f>IFERROR(__xludf.DUMMYFUNCTION("""COMPUTED_VALUE"""),44700.0)</f>
        <v>44700</v>
      </c>
      <c r="C36" s="50">
        <f>IFERROR(__xludf.DUMMYFUNCTION("""COMPUTED_VALUE"""),37.0)</f>
        <v>37</v>
      </c>
      <c r="D36" s="50">
        <f>IFERROR(__xludf.DUMMYFUNCTION("""COMPUTED_VALUE"""),37.0)</f>
        <v>37</v>
      </c>
      <c r="E36" s="50">
        <f>IFERROR(__xludf.DUMMYFUNCTION("""COMPUTED_VALUE"""),0.0)</f>
        <v>0</v>
      </c>
      <c r="F36" s="50">
        <f>IFERROR(__xludf.DUMMYFUNCTION("""COMPUTED_VALUE"""),0.0)</f>
        <v>0</v>
      </c>
      <c r="G36" s="50">
        <f>IFERROR(__xludf.DUMMYFUNCTION("""COMPUTED_VALUE"""),0.0)</f>
        <v>0</v>
      </c>
      <c r="H36" s="50">
        <f>IFERROR(__xludf.DUMMYFUNCTION("""COMPUTED_VALUE"""),0.0)</f>
        <v>0</v>
      </c>
      <c r="I36" s="50">
        <f>IFERROR(__xludf.DUMMYFUNCTION("""COMPUTED_VALUE"""),0.0)</f>
        <v>0</v>
      </c>
      <c r="J36" s="50" t="b">
        <f>IFERROR(__xludf.DUMMYFUNCTION("""COMPUTED_VALUE"""),TRUE)</f>
        <v>1</v>
      </c>
      <c r="K36" s="79"/>
      <c r="L36" s="11">
        <f>IFERROR(__xludf.DUMMYFUNCTION("""COMPUTED_VALUE"""),44708.0)</f>
        <v>44708</v>
      </c>
      <c r="M36" s="50">
        <f>IFERROR(__xludf.DUMMYFUNCTION("""COMPUTED_VALUE"""),19.0)</f>
        <v>19</v>
      </c>
      <c r="N36" s="50">
        <f>IFERROR(__xludf.DUMMYFUNCTION("""COMPUTED_VALUE"""),19.0)</f>
        <v>19</v>
      </c>
      <c r="O36" s="50">
        <f>IFERROR(__xludf.DUMMYFUNCTION("""COMPUTED_VALUE"""),0.0)</f>
        <v>0</v>
      </c>
      <c r="P36" s="50">
        <f>IFERROR(__xludf.DUMMYFUNCTION("""COMPUTED_VALUE"""),0.0)</f>
        <v>0</v>
      </c>
      <c r="Q36" s="50">
        <f>IFERROR(__xludf.DUMMYFUNCTION("""COMPUTED_VALUE"""),0.0)</f>
        <v>0</v>
      </c>
      <c r="R36" s="50">
        <f>IFERROR(__xludf.DUMMYFUNCTION("""COMPUTED_VALUE"""),0.0)</f>
        <v>0</v>
      </c>
      <c r="S36" s="50">
        <f>IFERROR(__xludf.DUMMYFUNCTION("""COMPUTED_VALUE"""),0.0)</f>
        <v>0</v>
      </c>
      <c r="T36" s="50">
        <f>IFERROR(__xludf.DUMMYFUNCTION("""COMPUTED_VALUE"""),19.0)</f>
        <v>19</v>
      </c>
      <c r="U36" s="51"/>
      <c r="V36" s="224"/>
      <c r="W36" s="198">
        <f t="shared" ref="W36:AC36" si="36">L36</f>
        <v>44708</v>
      </c>
      <c r="X36" s="55">
        <f t="shared" si="36"/>
        <v>19</v>
      </c>
      <c r="Y36" s="55">
        <f t="shared" si="36"/>
        <v>19</v>
      </c>
      <c r="Z36" s="55">
        <f t="shared" si="36"/>
        <v>0</v>
      </c>
      <c r="AA36" s="55">
        <f t="shared" si="36"/>
        <v>0</v>
      </c>
      <c r="AB36" s="55">
        <f t="shared" si="36"/>
        <v>0</v>
      </c>
      <c r="AC36" s="55">
        <f t="shared" si="36"/>
        <v>0</v>
      </c>
    </row>
    <row r="37">
      <c r="B37" s="11">
        <f>IFERROR(__xludf.DUMMYFUNCTION("""COMPUTED_VALUE"""),44701.0)</f>
        <v>44701</v>
      </c>
      <c r="C37" s="50">
        <f>IFERROR(__xludf.DUMMYFUNCTION("""COMPUTED_VALUE"""),13.0)</f>
        <v>13</v>
      </c>
      <c r="D37" s="50">
        <f>IFERROR(__xludf.DUMMYFUNCTION("""COMPUTED_VALUE"""),13.0)</f>
        <v>13</v>
      </c>
      <c r="E37" s="50">
        <f>IFERROR(__xludf.DUMMYFUNCTION("""COMPUTED_VALUE"""),0.0)</f>
        <v>0</v>
      </c>
      <c r="F37" s="50">
        <f>IFERROR(__xludf.DUMMYFUNCTION("""COMPUTED_VALUE"""),0.0)</f>
        <v>0</v>
      </c>
      <c r="G37" s="50">
        <f>IFERROR(__xludf.DUMMYFUNCTION("""COMPUTED_VALUE"""),0.0)</f>
        <v>0</v>
      </c>
      <c r="H37" s="50">
        <f>IFERROR(__xludf.DUMMYFUNCTION("""COMPUTED_VALUE"""),0.0)</f>
        <v>0</v>
      </c>
      <c r="I37" s="50">
        <f>IFERROR(__xludf.DUMMYFUNCTION("""COMPUTED_VALUE"""),0.0)</f>
        <v>0</v>
      </c>
      <c r="J37" s="50" t="b">
        <f>IFERROR(__xludf.DUMMYFUNCTION("""COMPUTED_VALUE"""),TRUE)</f>
        <v>1</v>
      </c>
      <c r="K37" s="79"/>
      <c r="L37" s="11">
        <f>IFERROR(__xludf.DUMMYFUNCTION("""COMPUTED_VALUE"""),44711.0)</f>
        <v>44711</v>
      </c>
      <c r="M37" s="50">
        <f>IFERROR(__xludf.DUMMYFUNCTION("""COMPUTED_VALUE"""),24.0)</f>
        <v>24</v>
      </c>
      <c r="N37" s="50">
        <f>IFERROR(__xludf.DUMMYFUNCTION("""COMPUTED_VALUE"""),24.0)</f>
        <v>24</v>
      </c>
      <c r="O37" s="50">
        <f>IFERROR(__xludf.DUMMYFUNCTION("""COMPUTED_VALUE"""),0.0)</f>
        <v>0</v>
      </c>
      <c r="P37" s="50">
        <f>IFERROR(__xludf.DUMMYFUNCTION("""COMPUTED_VALUE"""),0.0)</f>
        <v>0</v>
      </c>
      <c r="Q37" s="50">
        <f>IFERROR(__xludf.DUMMYFUNCTION("""COMPUTED_VALUE"""),0.0)</f>
        <v>0</v>
      </c>
      <c r="R37" s="50">
        <f>IFERROR(__xludf.DUMMYFUNCTION("""COMPUTED_VALUE"""),0.0)</f>
        <v>0</v>
      </c>
      <c r="S37" s="50">
        <f>IFERROR(__xludf.DUMMYFUNCTION("""COMPUTED_VALUE"""),0.0)</f>
        <v>0</v>
      </c>
      <c r="T37" s="50">
        <f>IFERROR(__xludf.DUMMYFUNCTION("""COMPUTED_VALUE"""),24.0)</f>
        <v>24</v>
      </c>
      <c r="U37" s="51"/>
      <c r="V37" s="224"/>
      <c r="W37" s="198">
        <f t="shared" ref="W37:AC37" si="37">L37</f>
        <v>44711</v>
      </c>
      <c r="X37" s="55">
        <f t="shared" si="37"/>
        <v>24</v>
      </c>
      <c r="Y37" s="55">
        <f t="shared" si="37"/>
        <v>24</v>
      </c>
      <c r="Z37" s="55">
        <f t="shared" si="37"/>
        <v>0</v>
      </c>
      <c r="AA37" s="55">
        <f t="shared" si="37"/>
        <v>0</v>
      </c>
      <c r="AB37" s="55">
        <f t="shared" si="37"/>
        <v>0</v>
      </c>
      <c r="AC37" s="55">
        <f t="shared" si="37"/>
        <v>0</v>
      </c>
    </row>
    <row r="38">
      <c r="B38" s="11">
        <f>IFERROR(__xludf.DUMMYFUNCTION("""COMPUTED_VALUE"""),44706.0)</f>
        <v>44706</v>
      </c>
      <c r="C38" s="50">
        <f>IFERROR(__xludf.DUMMYFUNCTION("""COMPUTED_VALUE"""),32.0)</f>
        <v>32</v>
      </c>
      <c r="D38" s="50">
        <f>IFERROR(__xludf.DUMMYFUNCTION("""COMPUTED_VALUE"""),32.0)</f>
        <v>32</v>
      </c>
      <c r="E38" s="50">
        <f>IFERROR(__xludf.DUMMYFUNCTION("""COMPUTED_VALUE"""),0.0)</f>
        <v>0</v>
      </c>
      <c r="F38" s="50">
        <f>IFERROR(__xludf.DUMMYFUNCTION("""COMPUTED_VALUE"""),0.0)</f>
        <v>0</v>
      </c>
      <c r="G38" s="50">
        <f>IFERROR(__xludf.DUMMYFUNCTION("""COMPUTED_VALUE"""),0.0)</f>
        <v>0</v>
      </c>
      <c r="H38" s="50">
        <f>IFERROR(__xludf.DUMMYFUNCTION("""COMPUTED_VALUE"""),0.0)</f>
        <v>0</v>
      </c>
      <c r="I38" s="50">
        <f>IFERROR(__xludf.DUMMYFUNCTION("""COMPUTED_VALUE"""),0.0)</f>
        <v>0</v>
      </c>
      <c r="J38" s="50" t="b">
        <f>IFERROR(__xludf.DUMMYFUNCTION("""COMPUTED_VALUE"""),TRUE)</f>
        <v>1</v>
      </c>
      <c r="K38" s="79"/>
      <c r="L38" s="11">
        <f>IFERROR(__xludf.DUMMYFUNCTION("""COMPUTED_VALUE"""),44712.0)</f>
        <v>44712</v>
      </c>
      <c r="M38" s="50">
        <f>IFERROR(__xludf.DUMMYFUNCTION("""COMPUTED_VALUE"""),19.0)</f>
        <v>19</v>
      </c>
      <c r="N38" s="50">
        <f>IFERROR(__xludf.DUMMYFUNCTION("""COMPUTED_VALUE"""),19.0)</f>
        <v>19</v>
      </c>
      <c r="O38" s="50">
        <f>IFERROR(__xludf.DUMMYFUNCTION("""COMPUTED_VALUE"""),0.0)</f>
        <v>0</v>
      </c>
      <c r="P38" s="50">
        <f>IFERROR(__xludf.DUMMYFUNCTION("""COMPUTED_VALUE"""),0.0)</f>
        <v>0</v>
      </c>
      <c r="Q38" s="50">
        <f>IFERROR(__xludf.DUMMYFUNCTION("""COMPUTED_VALUE"""),0.0)</f>
        <v>0</v>
      </c>
      <c r="R38" s="50">
        <f>IFERROR(__xludf.DUMMYFUNCTION("""COMPUTED_VALUE"""),0.0)</f>
        <v>0</v>
      </c>
      <c r="S38" s="50">
        <f>IFERROR(__xludf.DUMMYFUNCTION("""COMPUTED_VALUE"""),0.0)</f>
        <v>0</v>
      </c>
      <c r="T38" s="50">
        <f>IFERROR(__xludf.DUMMYFUNCTION("""COMPUTED_VALUE"""),19.0)</f>
        <v>19</v>
      </c>
      <c r="U38" s="51"/>
      <c r="V38" s="224"/>
      <c r="W38" s="198">
        <f t="shared" ref="W38:W133" si="39">L38</f>
        <v>44712</v>
      </c>
      <c r="X38" s="55">
        <f t="shared" ref="X38:AC38" si="38">M38+M42</f>
        <v>19</v>
      </c>
      <c r="Y38" s="55">
        <f t="shared" si="38"/>
        <v>19</v>
      </c>
      <c r="Z38" s="55">
        <f t="shared" si="38"/>
        <v>0</v>
      </c>
      <c r="AA38" s="55">
        <f t="shared" si="38"/>
        <v>0</v>
      </c>
      <c r="AB38" s="55">
        <f t="shared" si="38"/>
        <v>0</v>
      </c>
      <c r="AC38" s="55">
        <f t="shared" si="38"/>
        <v>0</v>
      </c>
    </row>
    <row r="39">
      <c r="B39" s="11">
        <f>IFERROR(__xludf.DUMMYFUNCTION("""COMPUTED_VALUE"""),44707.0)</f>
        <v>44707</v>
      </c>
      <c r="C39" s="50">
        <f>IFERROR(__xludf.DUMMYFUNCTION("""COMPUTED_VALUE"""),19.0)</f>
        <v>19</v>
      </c>
      <c r="D39" s="50">
        <f>IFERROR(__xludf.DUMMYFUNCTION("""COMPUTED_VALUE"""),19.0)</f>
        <v>19</v>
      </c>
      <c r="E39" s="50">
        <f>IFERROR(__xludf.DUMMYFUNCTION("""COMPUTED_VALUE"""),0.0)</f>
        <v>0</v>
      </c>
      <c r="F39" s="50">
        <f>IFERROR(__xludf.DUMMYFUNCTION("""COMPUTED_VALUE"""),0.0)</f>
        <v>0</v>
      </c>
      <c r="G39" s="50">
        <f>IFERROR(__xludf.DUMMYFUNCTION("""COMPUTED_VALUE"""),0.0)</f>
        <v>0</v>
      </c>
      <c r="H39" s="50">
        <f>IFERROR(__xludf.DUMMYFUNCTION("""COMPUTED_VALUE"""),0.0)</f>
        <v>0</v>
      </c>
      <c r="I39" s="50">
        <f>IFERROR(__xludf.DUMMYFUNCTION("""COMPUTED_VALUE"""),0.0)</f>
        <v>0</v>
      </c>
      <c r="J39" s="50" t="b">
        <f>IFERROR(__xludf.DUMMYFUNCTION("""COMPUTED_VALUE"""),TRUE)</f>
        <v>1</v>
      </c>
      <c r="K39" s="79"/>
      <c r="L39" s="11">
        <f>IFERROR(__xludf.DUMMYFUNCTION("""COMPUTED_VALUE"""),44713.0)</f>
        <v>44713</v>
      </c>
      <c r="M39" s="50">
        <f>IFERROR(__xludf.DUMMYFUNCTION("""COMPUTED_VALUE"""),16.0)</f>
        <v>16</v>
      </c>
      <c r="N39" s="50">
        <f>IFERROR(__xludf.DUMMYFUNCTION("""COMPUTED_VALUE"""),16.0)</f>
        <v>16</v>
      </c>
      <c r="O39" s="50">
        <f>IFERROR(__xludf.DUMMYFUNCTION("""COMPUTED_VALUE"""),0.0)</f>
        <v>0</v>
      </c>
      <c r="P39" s="50">
        <f>IFERROR(__xludf.DUMMYFUNCTION("""COMPUTED_VALUE"""),0.0)</f>
        <v>0</v>
      </c>
      <c r="Q39" s="50">
        <f>IFERROR(__xludf.DUMMYFUNCTION("""COMPUTED_VALUE"""),0.0)</f>
        <v>0</v>
      </c>
      <c r="R39" s="50">
        <f>IFERROR(__xludf.DUMMYFUNCTION("""COMPUTED_VALUE"""),0.0)</f>
        <v>0</v>
      </c>
      <c r="S39" s="50">
        <f>IFERROR(__xludf.DUMMYFUNCTION("""COMPUTED_VALUE"""),0.0)</f>
        <v>0</v>
      </c>
      <c r="T39" s="50">
        <f>IFERROR(__xludf.DUMMYFUNCTION("""COMPUTED_VALUE"""),16.0)</f>
        <v>16</v>
      </c>
      <c r="U39" s="51"/>
      <c r="V39" s="224"/>
      <c r="W39" s="198">
        <f t="shared" si="39"/>
        <v>44713</v>
      </c>
      <c r="X39" s="55">
        <f t="shared" ref="X39:AC39" si="40">M39</f>
        <v>16</v>
      </c>
      <c r="Y39" s="55">
        <f t="shared" si="40"/>
        <v>16</v>
      </c>
      <c r="Z39" s="55">
        <f t="shared" si="40"/>
        <v>0</v>
      </c>
      <c r="AA39" s="55">
        <f t="shared" si="40"/>
        <v>0</v>
      </c>
      <c r="AB39" s="55">
        <f t="shared" si="40"/>
        <v>0</v>
      </c>
      <c r="AC39" s="55">
        <f t="shared" si="40"/>
        <v>0</v>
      </c>
    </row>
    <row r="40">
      <c r="B40" s="11">
        <f>IFERROR(__xludf.DUMMYFUNCTION("""COMPUTED_VALUE"""),44708.0)</f>
        <v>44708</v>
      </c>
      <c r="C40" s="50">
        <f>IFERROR(__xludf.DUMMYFUNCTION("""COMPUTED_VALUE"""),19.0)</f>
        <v>19</v>
      </c>
      <c r="D40" s="50">
        <f>IFERROR(__xludf.DUMMYFUNCTION("""COMPUTED_VALUE"""),19.0)</f>
        <v>19</v>
      </c>
      <c r="E40" s="50">
        <f>IFERROR(__xludf.DUMMYFUNCTION("""COMPUTED_VALUE"""),0.0)</f>
        <v>0</v>
      </c>
      <c r="F40" s="50">
        <f>IFERROR(__xludf.DUMMYFUNCTION("""COMPUTED_VALUE"""),0.0)</f>
        <v>0</v>
      </c>
      <c r="G40" s="50">
        <f>IFERROR(__xludf.DUMMYFUNCTION("""COMPUTED_VALUE"""),0.0)</f>
        <v>0</v>
      </c>
      <c r="H40" s="50">
        <f>IFERROR(__xludf.DUMMYFUNCTION("""COMPUTED_VALUE"""),0.0)</f>
        <v>0</v>
      </c>
      <c r="I40" s="50">
        <f>IFERROR(__xludf.DUMMYFUNCTION("""COMPUTED_VALUE"""),0.0)</f>
        <v>0</v>
      </c>
      <c r="J40" s="50" t="b">
        <f>IFERROR(__xludf.DUMMYFUNCTION("""COMPUTED_VALUE"""),TRUE)</f>
        <v>1</v>
      </c>
      <c r="K40" s="79"/>
      <c r="L40" s="11">
        <f>IFERROR(__xludf.DUMMYFUNCTION("""COMPUTED_VALUE"""),44715.0)</f>
        <v>44715</v>
      </c>
      <c r="M40" s="50">
        <f>IFERROR(__xludf.DUMMYFUNCTION("""COMPUTED_VALUE"""),23.0)</f>
        <v>23</v>
      </c>
      <c r="N40" s="50">
        <f>IFERROR(__xludf.DUMMYFUNCTION("""COMPUTED_VALUE"""),23.0)</f>
        <v>23</v>
      </c>
      <c r="O40" s="50">
        <f>IFERROR(__xludf.DUMMYFUNCTION("""COMPUTED_VALUE"""),0.0)</f>
        <v>0</v>
      </c>
      <c r="P40" s="50">
        <f>IFERROR(__xludf.DUMMYFUNCTION("""COMPUTED_VALUE"""),0.0)</f>
        <v>0</v>
      </c>
      <c r="Q40" s="50">
        <f>IFERROR(__xludf.DUMMYFUNCTION("""COMPUTED_VALUE"""),0.0)</f>
        <v>0</v>
      </c>
      <c r="R40" s="50">
        <f>IFERROR(__xludf.DUMMYFUNCTION("""COMPUTED_VALUE"""),0.0)</f>
        <v>0</v>
      </c>
      <c r="S40" s="50">
        <f>IFERROR(__xludf.DUMMYFUNCTION("""COMPUTED_VALUE"""),0.0)</f>
        <v>0</v>
      </c>
      <c r="T40" s="50">
        <f>IFERROR(__xludf.DUMMYFUNCTION("""COMPUTED_VALUE"""),23.0)</f>
        <v>23</v>
      </c>
      <c r="U40" s="51"/>
      <c r="V40" s="224"/>
      <c r="W40" s="198">
        <f t="shared" si="39"/>
        <v>44715</v>
      </c>
      <c r="X40" s="55">
        <f t="shared" ref="X40:AC40" si="41">M40</f>
        <v>23</v>
      </c>
      <c r="Y40" s="55">
        <f t="shared" si="41"/>
        <v>23</v>
      </c>
      <c r="Z40" s="55">
        <f t="shared" si="41"/>
        <v>0</v>
      </c>
      <c r="AA40" s="55">
        <f t="shared" si="41"/>
        <v>0</v>
      </c>
      <c r="AB40" s="55">
        <f t="shared" si="41"/>
        <v>0</v>
      </c>
      <c r="AC40" s="55">
        <f t="shared" si="41"/>
        <v>0</v>
      </c>
    </row>
    <row r="41">
      <c r="B41" s="11">
        <f>IFERROR(__xludf.DUMMYFUNCTION("""COMPUTED_VALUE"""),44709.0)</f>
        <v>44709</v>
      </c>
      <c r="C41" s="50">
        <f>IFERROR(__xludf.DUMMYFUNCTION("""COMPUTED_VALUE"""),36.0)</f>
        <v>36</v>
      </c>
      <c r="D41" s="50">
        <f>IFERROR(__xludf.DUMMYFUNCTION("""COMPUTED_VALUE"""),36.0)</f>
        <v>36</v>
      </c>
      <c r="E41" s="50">
        <f>IFERROR(__xludf.DUMMYFUNCTION("""COMPUTED_VALUE"""),0.0)</f>
        <v>0</v>
      </c>
      <c r="F41" s="50">
        <f>IFERROR(__xludf.DUMMYFUNCTION("""COMPUTED_VALUE"""),0.0)</f>
        <v>0</v>
      </c>
      <c r="G41" s="50">
        <f>IFERROR(__xludf.DUMMYFUNCTION("""COMPUTED_VALUE"""),0.0)</f>
        <v>0</v>
      </c>
      <c r="H41" s="50">
        <f>IFERROR(__xludf.DUMMYFUNCTION("""COMPUTED_VALUE"""),0.0)</f>
        <v>0</v>
      </c>
      <c r="I41" s="50">
        <f>IFERROR(__xludf.DUMMYFUNCTION("""COMPUTED_VALUE"""),0.0)</f>
        <v>0</v>
      </c>
      <c r="J41" s="50" t="b">
        <f>IFERROR(__xludf.DUMMYFUNCTION("""COMPUTED_VALUE"""),TRUE)</f>
        <v>1</v>
      </c>
      <c r="K41" s="79"/>
      <c r="L41" s="11">
        <f>IFERROR(__xludf.DUMMYFUNCTION("""COMPUTED_VALUE"""),44719.0)</f>
        <v>44719</v>
      </c>
      <c r="M41" s="50">
        <f>IFERROR(__xludf.DUMMYFUNCTION("""COMPUTED_VALUE"""),16.0)</f>
        <v>16</v>
      </c>
      <c r="N41" s="50">
        <f>IFERROR(__xludf.DUMMYFUNCTION("""COMPUTED_VALUE"""),16.0)</f>
        <v>16</v>
      </c>
      <c r="O41" s="50">
        <f>IFERROR(__xludf.DUMMYFUNCTION("""COMPUTED_VALUE"""),0.0)</f>
        <v>0</v>
      </c>
      <c r="P41" s="50">
        <f>IFERROR(__xludf.DUMMYFUNCTION("""COMPUTED_VALUE"""),0.0)</f>
        <v>0</v>
      </c>
      <c r="Q41" s="50">
        <f>IFERROR(__xludf.DUMMYFUNCTION("""COMPUTED_VALUE"""),0.0)</f>
        <v>0</v>
      </c>
      <c r="R41" s="50">
        <f>IFERROR(__xludf.DUMMYFUNCTION("""COMPUTED_VALUE"""),0.0)</f>
        <v>0</v>
      </c>
      <c r="S41" s="50">
        <f>IFERROR(__xludf.DUMMYFUNCTION("""COMPUTED_VALUE"""),0.0)</f>
        <v>0</v>
      </c>
      <c r="T41" s="50">
        <f>IFERROR(__xludf.DUMMYFUNCTION("""COMPUTED_VALUE"""),16.0)</f>
        <v>16</v>
      </c>
      <c r="U41" s="51"/>
      <c r="V41" s="224"/>
      <c r="W41" s="198">
        <f t="shared" si="39"/>
        <v>44719</v>
      </c>
      <c r="X41" s="55">
        <f t="shared" ref="X41:AC41" si="42">M41</f>
        <v>16</v>
      </c>
      <c r="Y41" s="55">
        <f t="shared" si="42"/>
        <v>16</v>
      </c>
      <c r="Z41" s="55">
        <f t="shared" si="42"/>
        <v>0</v>
      </c>
      <c r="AA41" s="55">
        <f t="shared" si="42"/>
        <v>0</v>
      </c>
      <c r="AB41" s="55">
        <f t="shared" si="42"/>
        <v>0</v>
      </c>
      <c r="AC41" s="55">
        <f t="shared" si="42"/>
        <v>0</v>
      </c>
    </row>
    <row r="42">
      <c r="B42" s="11">
        <f>IFERROR(__xludf.DUMMYFUNCTION("""COMPUTED_VALUE"""),44710.0)</f>
        <v>44710</v>
      </c>
      <c r="C42" s="50">
        <f>IFERROR(__xludf.DUMMYFUNCTION("""COMPUTED_VALUE"""),22.0)</f>
        <v>22</v>
      </c>
      <c r="D42" s="50">
        <f>IFERROR(__xludf.DUMMYFUNCTION("""COMPUTED_VALUE"""),22.0)</f>
        <v>22</v>
      </c>
      <c r="E42" s="50">
        <f>IFERROR(__xludf.DUMMYFUNCTION("""COMPUTED_VALUE"""),0.0)</f>
        <v>0</v>
      </c>
      <c r="F42" s="50">
        <f>IFERROR(__xludf.DUMMYFUNCTION("""COMPUTED_VALUE"""),0.0)</f>
        <v>0</v>
      </c>
      <c r="G42" s="50">
        <f>IFERROR(__xludf.DUMMYFUNCTION("""COMPUTED_VALUE"""),0.0)</f>
        <v>0</v>
      </c>
      <c r="H42" s="50">
        <f>IFERROR(__xludf.DUMMYFUNCTION("""COMPUTED_VALUE"""),0.0)</f>
        <v>0</v>
      </c>
      <c r="I42" s="50">
        <f>IFERROR(__xludf.DUMMYFUNCTION("""COMPUTED_VALUE"""),0.0)</f>
        <v>0</v>
      </c>
      <c r="J42" s="50" t="b">
        <f>IFERROR(__xludf.DUMMYFUNCTION("""COMPUTED_VALUE"""),TRUE)</f>
        <v>1</v>
      </c>
      <c r="K42" s="79"/>
      <c r="L42" s="6"/>
      <c r="M42" s="50"/>
      <c r="N42" s="50"/>
      <c r="O42" s="50"/>
      <c r="P42" s="50"/>
      <c r="Q42" s="50"/>
      <c r="R42" s="50"/>
      <c r="S42" s="50"/>
      <c r="T42" s="50"/>
      <c r="U42" s="109"/>
      <c r="V42" s="224"/>
      <c r="W42" s="198" t="str">
        <f t="shared" si="39"/>
        <v/>
      </c>
      <c r="X42" s="55" t="str">
        <f t="shared" ref="X42:AC42" si="43">M42</f>
        <v/>
      </c>
      <c r="Y42" s="55" t="str">
        <f t="shared" si="43"/>
        <v/>
      </c>
      <c r="Z42" s="55" t="str">
        <f t="shared" si="43"/>
        <v/>
      </c>
      <c r="AA42" s="55" t="str">
        <f t="shared" si="43"/>
        <v/>
      </c>
      <c r="AB42" s="55" t="str">
        <f t="shared" si="43"/>
        <v/>
      </c>
      <c r="AC42" s="55" t="str">
        <f t="shared" si="43"/>
        <v/>
      </c>
    </row>
    <row r="43">
      <c r="B43" s="11">
        <f>IFERROR(__xludf.DUMMYFUNCTION("""COMPUTED_VALUE"""),44711.0)</f>
        <v>44711</v>
      </c>
      <c r="C43" s="50">
        <f>IFERROR(__xludf.DUMMYFUNCTION("""COMPUTED_VALUE"""),24.0)</f>
        <v>24</v>
      </c>
      <c r="D43" s="50">
        <f>IFERROR(__xludf.DUMMYFUNCTION("""COMPUTED_VALUE"""),24.0)</f>
        <v>24</v>
      </c>
      <c r="E43" s="50">
        <f>IFERROR(__xludf.DUMMYFUNCTION("""COMPUTED_VALUE"""),0.0)</f>
        <v>0</v>
      </c>
      <c r="F43" s="50">
        <f>IFERROR(__xludf.DUMMYFUNCTION("""COMPUTED_VALUE"""),0.0)</f>
        <v>0</v>
      </c>
      <c r="G43" s="50">
        <f>IFERROR(__xludf.DUMMYFUNCTION("""COMPUTED_VALUE"""),0.0)</f>
        <v>0</v>
      </c>
      <c r="H43" s="50">
        <f>IFERROR(__xludf.DUMMYFUNCTION("""COMPUTED_VALUE"""),0.0)</f>
        <v>0</v>
      </c>
      <c r="I43" s="50">
        <f>IFERROR(__xludf.DUMMYFUNCTION("""COMPUTED_VALUE"""),0.0)</f>
        <v>0</v>
      </c>
      <c r="J43" s="50" t="b">
        <f>IFERROR(__xludf.DUMMYFUNCTION("""COMPUTED_VALUE"""),TRUE)</f>
        <v>1</v>
      </c>
      <c r="K43" s="79"/>
      <c r="L43" s="6"/>
      <c r="M43" s="50"/>
      <c r="N43" s="50"/>
      <c r="O43" s="50"/>
      <c r="P43" s="50"/>
      <c r="Q43" s="50"/>
      <c r="R43" s="50"/>
      <c r="S43" s="50"/>
      <c r="T43" s="50"/>
      <c r="U43" s="109"/>
      <c r="V43" s="224"/>
      <c r="W43" s="198" t="str">
        <f t="shared" si="39"/>
        <v/>
      </c>
      <c r="X43" s="55" t="str">
        <f t="shared" ref="X43:AC43" si="44">M43</f>
        <v/>
      </c>
      <c r="Y43" s="55" t="str">
        <f t="shared" si="44"/>
        <v/>
      </c>
      <c r="Z43" s="55" t="str">
        <f t="shared" si="44"/>
        <v/>
      </c>
      <c r="AA43" s="55" t="str">
        <f t="shared" si="44"/>
        <v/>
      </c>
      <c r="AB43" s="55" t="str">
        <f t="shared" si="44"/>
        <v/>
      </c>
      <c r="AC43" s="55" t="str">
        <f t="shared" si="44"/>
        <v/>
      </c>
    </row>
    <row r="44">
      <c r="B44" s="11">
        <f>IFERROR(__xludf.DUMMYFUNCTION("""COMPUTED_VALUE"""),44712.0)</f>
        <v>44712</v>
      </c>
      <c r="C44" s="50">
        <f>IFERROR(__xludf.DUMMYFUNCTION("""COMPUTED_VALUE"""),20.0)</f>
        <v>20</v>
      </c>
      <c r="D44" s="50">
        <f>IFERROR(__xludf.DUMMYFUNCTION("""COMPUTED_VALUE"""),19.0)</f>
        <v>19</v>
      </c>
      <c r="E44" s="50">
        <f>IFERROR(__xludf.DUMMYFUNCTION("""COMPUTED_VALUE"""),1.0)</f>
        <v>1</v>
      </c>
      <c r="F44" s="50">
        <f>IFERROR(__xludf.DUMMYFUNCTION("""COMPUTED_VALUE"""),0.0)</f>
        <v>0</v>
      </c>
      <c r="G44" s="50">
        <f>IFERROR(__xludf.DUMMYFUNCTION("""COMPUTED_VALUE"""),0.0)</f>
        <v>0</v>
      </c>
      <c r="H44" s="50">
        <f>IFERROR(__xludf.DUMMYFUNCTION("""COMPUTED_VALUE"""),0.0)</f>
        <v>0</v>
      </c>
      <c r="I44" s="50">
        <f>IFERROR(__xludf.DUMMYFUNCTION("""COMPUTED_VALUE"""),0.0)</f>
        <v>0</v>
      </c>
      <c r="J44" s="50" t="b">
        <f>IFERROR(__xludf.DUMMYFUNCTION("""COMPUTED_VALUE"""),TRUE)</f>
        <v>1</v>
      </c>
      <c r="K44" s="79"/>
      <c r="L44" s="6"/>
      <c r="M44" s="50"/>
      <c r="N44" s="50"/>
      <c r="O44" s="50"/>
      <c r="P44" s="50"/>
      <c r="Q44" s="50"/>
      <c r="R44" s="50"/>
      <c r="S44" s="50"/>
      <c r="T44" s="50"/>
      <c r="U44" s="109"/>
      <c r="V44" s="224"/>
      <c r="W44" s="198" t="str">
        <f t="shared" si="39"/>
        <v/>
      </c>
      <c r="X44" s="55" t="str">
        <f t="shared" ref="X44:AC44" si="45">M44</f>
        <v/>
      </c>
      <c r="Y44" s="55" t="str">
        <f t="shared" si="45"/>
        <v/>
      </c>
      <c r="Z44" s="55" t="str">
        <f t="shared" si="45"/>
        <v/>
      </c>
      <c r="AA44" s="55" t="str">
        <f t="shared" si="45"/>
        <v/>
      </c>
      <c r="AB44" s="55" t="str">
        <f t="shared" si="45"/>
        <v/>
      </c>
      <c r="AC44" s="55" t="str">
        <f t="shared" si="45"/>
        <v/>
      </c>
    </row>
    <row r="45">
      <c r="B45" s="11">
        <f>IFERROR(__xludf.DUMMYFUNCTION("""COMPUTED_VALUE"""),44713.0)</f>
        <v>44713</v>
      </c>
      <c r="C45" s="50">
        <f>IFERROR(__xludf.DUMMYFUNCTION("""COMPUTED_VALUE"""),16.0)</f>
        <v>16</v>
      </c>
      <c r="D45" s="50">
        <f>IFERROR(__xludf.DUMMYFUNCTION("""COMPUTED_VALUE"""),16.0)</f>
        <v>16</v>
      </c>
      <c r="E45" s="50">
        <f>IFERROR(__xludf.DUMMYFUNCTION("""COMPUTED_VALUE"""),0.0)</f>
        <v>0</v>
      </c>
      <c r="F45" s="50">
        <f>IFERROR(__xludf.DUMMYFUNCTION("""COMPUTED_VALUE"""),0.0)</f>
        <v>0</v>
      </c>
      <c r="G45" s="50">
        <f>IFERROR(__xludf.DUMMYFUNCTION("""COMPUTED_VALUE"""),0.0)</f>
        <v>0</v>
      </c>
      <c r="H45" s="50">
        <f>IFERROR(__xludf.DUMMYFUNCTION("""COMPUTED_VALUE"""),0.0)</f>
        <v>0</v>
      </c>
      <c r="I45" s="50">
        <f>IFERROR(__xludf.DUMMYFUNCTION("""COMPUTED_VALUE"""),0.0)</f>
        <v>0</v>
      </c>
      <c r="J45" s="50" t="b">
        <f>IFERROR(__xludf.DUMMYFUNCTION("""COMPUTED_VALUE"""),TRUE)</f>
        <v>1</v>
      </c>
      <c r="K45" s="79"/>
      <c r="L45" s="6"/>
      <c r="M45" s="50"/>
      <c r="N45" s="50"/>
      <c r="O45" s="50"/>
      <c r="P45" s="50"/>
      <c r="Q45" s="50"/>
      <c r="R45" s="50"/>
      <c r="S45" s="50"/>
      <c r="T45" s="50"/>
      <c r="U45" s="109"/>
      <c r="V45" s="224"/>
      <c r="W45" s="198" t="str">
        <f t="shared" si="39"/>
        <v/>
      </c>
      <c r="X45" s="55" t="str">
        <f t="shared" ref="X45:AC45" si="46">M45</f>
        <v/>
      </c>
      <c r="Y45" s="55" t="str">
        <f t="shared" si="46"/>
        <v/>
      </c>
      <c r="Z45" s="55" t="str">
        <f t="shared" si="46"/>
        <v/>
      </c>
      <c r="AA45" s="55" t="str">
        <f t="shared" si="46"/>
        <v/>
      </c>
      <c r="AB45" s="55" t="str">
        <f t="shared" si="46"/>
        <v/>
      </c>
      <c r="AC45" s="55" t="str">
        <f t="shared" si="46"/>
        <v/>
      </c>
    </row>
    <row r="46">
      <c r="B46" s="11">
        <f>IFERROR(__xludf.DUMMYFUNCTION("""COMPUTED_VALUE"""),44714.0)</f>
        <v>44714</v>
      </c>
      <c r="C46" s="50">
        <f>IFERROR(__xludf.DUMMYFUNCTION("""COMPUTED_VALUE"""),31.0)</f>
        <v>31</v>
      </c>
      <c r="D46" s="50">
        <f>IFERROR(__xludf.DUMMYFUNCTION("""COMPUTED_VALUE"""),31.0)</f>
        <v>31</v>
      </c>
      <c r="E46" s="50">
        <f>IFERROR(__xludf.DUMMYFUNCTION("""COMPUTED_VALUE"""),0.0)</f>
        <v>0</v>
      </c>
      <c r="F46" s="50">
        <f>IFERROR(__xludf.DUMMYFUNCTION("""COMPUTED_VALUE"""),0.0)</f>
        <v>0</v>
      </c>
      <c r="G46" s="50">
        <f>IFERROR(__xludf.DUMMYFUNCTION("""COMPUTED_VALUE"""),0.0)</f>
        <v>0</v>
      </c>
      <c r="H46" s="50">
        <f>IFERROR(__xludf.DUMMYFUNCTION("""COMPUTED_VALUE"""),0.0)</f>
        <v>0</v>
      </c>
      <c r="I46" s="50">
        <f>IFERROR(__xludf.DUMMYFUNCTION("""COMPUTED_VALUE"""),0.0)</f>
        <v>0</v>
      </c>
      <c r="J46" s="50" t="b">
        <f>IFERROR(__xludf.DUMMYFUNCTION("""COMPUTED_VALUE"""),TRUE)</f>
        <v>1</v>
      </c>
      <c r="K46" s="79"/>
      <c r="L46" s="6"/>
      <c r="M46" s="50"/>
      <c r="N46" s="50"/>
      <c r="O46" s="50"/>
      <c r="P46" s="50"/>
      <c r="Q46" s="50"/>
      <c r="R46" s="50"/>
      <c r="S46" s="50"/>
      <c r="T46" s="50"/>
      <c r="U46" s="109"/>
      <c r="V46" s="224"/>
      <c r="W46" s="198" t="str">
        <f t="shared" si="39"/>
        <v/>
      </c>
      <c r="X46" s="55" t="str">
        <f t="shared" ref="X46:AC46" si="47">M46</f>
        <v/>
      </c>
      <c r="Y46" s="55" t="str">
        <f t="shared" si="47"/>
        <v/>
      </c>
      <c r="Z46" s="55" t="str">
        <f t="shared" si="47"/>
        <v/>
      </c>
      <c r="AA46" s="55" t="str">
        <f t="shared" si="47"/>
        <v/>
      </c>
      <c r="AB46" s="55" t="str">
        <f t="shared" si="47"/>
        <v/>
      </c>
      <c r="AC46" s="55" t="str">
        <f t="shared" si="47"/>
        <v/>
      </c>
    </row>
    <row r="47">
      <c r="B47" s="11">
        <f>IFERROR(__xludf.DUMMYFUNCTION("""COMPUTED_VALUE"""),44715.0)</f>
        <v>44715</v>
      </c>
      <c r="C47" s="50">
        <f>IFERROR(__xludf.DUMMYFUNCTION("""COMPUTED_VALUE"""),23.0)</f>
        <v>23</v>
      </c>
      <c r="D47" s="50">
        <f>IFERROR(__xludf.DUMMYFUNCTION("""COMPUTED_VALUE"""),23.0)</f>
        <v>23</v>
      </c>
      <c r="E47" s="50">
        <f>IFERROR(__xludf.DUMMYFUNCTION("""COMPUTED_VALUE"""),0.0)</f>
        <v>0</v>
      </c>
      <c r="F47" s="50">
        <f>IFERROR(__xludf.DUMMYFUNCTION("""COMPUTED_VALUE"""),0.0)</f>
        <v>0</v>
      </c>
      <c r="G47" s="50">
        <f>IFERROR(__xludf.DUMMYFUNCTION("""COMPUTED_VALUE"""),0.0)</f>
        <v>0</v>
      </c>
      <c r="H47" s="50">
        <f>IFERROR(__xludf.DUMMYFUNCTION("""COMPUTED_VALUE"""),0.0)</f>
        <v>0</v>
      </c>
      <c r="I47" s="50">
        <f>IFERROR(__xludf.DUMMYFUNCTION("""COMPUTED_VALUE"""),0.0)</f>
        <v>0</v>
      </c>
      <c r="J47" s="50" t="b">
        <f>IFERROR(__xludf.DUMMYFUNCTION("""COMPUTED_VALUE"""),TRUE)</f>
        <v>1</v>
      </c>
      <c r="K47" s="79"/>
      <c r="L47" s="6"/>
      <c r="M47" s="50"/>
      <c r="N47" s="50"/>
      <c r="O47" s="50"/>
      <c r="P47" s="50"/>
      <c r="Q47" s="50"/>
      <c r="R47" s="50"/>
      <c r="S47" s="50"/>
      <c r="T47" s="50"/>
      <c r="U47" s="109"/>
      <c r="V47" s="224"/>
      <c r="W47" s="198" t="str">
        <f t="shared" si="39"/>
        <v/>
      </c>
      <c r="X47" s="55" t="str">
        <f t="shared" ref="X47:AC47" si="48">M47</f>
        <v/>
      </c>
      <c r="Y47" s="55" t="str">
        <f t="shared" si="48"/>
        <v/>
      </c>
      <c r="Z47" s="55" t="str">
        <f t="shared" si="48"/>
        <v/>
      </c>
      <c r="AA47" s="55" t="str">
        <f t="shared" si="48"/>
        <v/>
      </c>
      <c r="AB47" s="55" t="str">
        <f t="shared" si="48"/>
        <v/>
      </c>
      <c r="AC47" s="55" t="str">
        <f t="shared" si="48"/>
        <v/>
      </c>
    </row>
    <row r="48">
      <c r="B48" s="11">
        <f>IFERROR(__xludf.DUMMYFUNCTION("""COMPUTED_VALUE"""),44718.0)</f>
        <v>44718</v>
      </c>
      <c r="C48" s="50">
        <f>IFERROR(__xludf.DUMMYFUNCTION("""COMPUTED_VALUE"""),2.0)</f>
        <v>2</v>
      </c>
      <c r="D48" s="50">
        <f>IFERROR(__xludf.DUMMYFUNCTION("""COMPUTED_VALUE"""),1.0)</f>
        <v>1</v>
      </c>
      <c r="E48" s="50">
        <f>IFERROR(__xludf.DUMMYFUNCTION("""COMPUTED_VALUE"""),1.0)</f>
        <v>1</v>
      </c>
      <c r="F48" s="50">
        <f>IFERROR(__xludf.DUMMYFUNCTION("""COMPUTED_VALUE"""),0.0)</f>
        <v>0</v>
      </c>
      <c r="G48" s="50">
        <f>IFERROR(__xludf.DUMMYFUNCTION("""COMPUTED_VALUE"""),0.0)</f>
        <v>0</v>
      </c>
      <c r="H48" s="50">
        <f>IFERROR(__xludf.DUMMYFUNCTION("""COMPUTED_VALUE"""),0.0)</f>
        <v>0</v>
      </c>
      <c r="I48" s="50">
        <f>IFERROR(__xludf.DUMMYFUNCTION("""COMPUTED_VALUE"""),0.0)</f>
        <v>0</v>
      </c>
      <c r="J48" s="50" t="b">
        <f>IFERROR(__xludf.DUMMYFUNCTION("""COMPUTED_VALUE"""),TRUE)</f>
        <v>1</v>
      </c>
      <c r="K48" s="79"/>
      <c r="L48" s="6"/>
      <c r="M48" s="50"/>
      <c r="N48" s="50"/>
      <c r="O48" s="50"/>
      <c r="P48" s="50"/>
      <c r="Q48" s="50"/>
      <c r="R48" s="50"/>
      <c r="S48" s="50"/>
      <c r="T48" s="50"/>
      <c r="U48" s="109"/>
      <c r="V48" s="224"/>
      <c r="W48" s="198" t="str">
        <f t="shared" si="39"/>
        <v/>
      </c>
      <c r="X48" s="55" t="str">
        <f t="shared" ref="X48:AC48" si="49">M48</f>
        <v/>
      </c>
      <c r="Y48" s="55" t="str">
        <f t="shared" si="49"/>
        <v/>
      </c>
      <c r="Z48" s="55" t="str">
        <f t="shared" si="49"/>
        <v/>
      </c>
      <c r="AA48" s="55" t="str">
        <f t="shared" si="49"/>
        <v/>
      </c>
      <c r="AB48" s="55" t="str">
        <f t="shared" si="49"/>
        <v/>
      </c>
      <c r="AC48" s="55" t="str">
        <f t="shared" si="49"/>
        <v/>
      </c>
    </row>
    <row r="49">
      <c r="B49" s="11">
        <f>IFERROR(__xludf.DUMMYFUNCTION("""COMPUTED_VALUE"""),44719.0)</f>
        <v>44719</v>
      </c>
      <c r="C49" s="50">
        <f>IFERROR(__xludf.DUMMYFUNCTION("""COMPUTED_VALUE"""),16.0)</f>
        <v>16</v>
      </c>
      <c r="D49" s="50">
        <f>IFERROR(__xludf.DUMMYFUNCTION("""COMPUTED_VALUE"""),16.0)</f>
        <v>16</v>
      </c>
      <c r="E49" s="50">
        <f>IFERROR(__xludf.DUMMYFUNCTION("""COMPUTED_VALUE"""),0.0)</f>
        <v>0</v>
      </c>
      <c r="F49" s="50">
        <f>IFERROR(__xludf.DUMMYFUNCTION("""COMPUTED_VALUE"""),0.0)</f>
        <v>0</v>
      </c>
      <c r="G49" s="50">
        <f>IFERROR(__xludf.DUMMYFUNCTION("""COMPUTED_VALUE"""),0.0)</f>
        <v>0</v>
      </c>
      <c r="H49" s="50">
        <f>IFERROR(__xludf.DUMMYFUNCTION("""COMPUTED_VALUE"""),0.0)</f>
        <v>0</v>
      </c>
      <c r="I49" s="50">
        <f>IFERROR(__xludf.DUMMYFUNCTION("""COMPUTED_VALUE"""),0.0)</f>
        <v>0</v>
      </c>
      <c r="J49" s="50" t="b">
        <f>IFERROR(__xludf.DUMMYFUNCTION("""COMPUTED_VALUE"""),TRUE)</f>
        <v>1</v>
      </c>
      <c r="K49" s="79"/>
      <c r="L49" s="6"/>
      <c r="M49" s="50"/>
      <c r="N49" s="50"/>
      <c r="O49" s="50"/>
      <c r="P49" s="50"/>
      <c r="Q49" s="50"/>
      <c r="R49" s="50"/>
      <c r="S49" s="50"/>
      <c r="T49" s="50"/>
      <c r="U49" s="109"/>
      <c r="V49" s="224"/>
      <c r="W49" s="198" t="str">
        <f t="shared" si="39"/>
        <v/>
      </c>
      <c r="X49" s="55" t="str">
        <f t="shared" ref="X49:AC49" si="50">M49</f>
        <v/>
      </c>
      <c r="Y49" s="55" t="str">
        <f t="shared" si="50"/>
        <v/>
      </c>
      <c r="Z49" s="55" t="str">
        <f t="shared" si="50"/>
        <v/>
      </c>
      <c r="AA49" s="55" t="str">
        <f t="shared" si="50"/>
        <v/>
      </c>
      <c r="AB49" s="55" t="str">
        <f t="shared" si="50"/>
        <v/>
      </c>
      <c r="AC49" s="55" t="str">
        <f t="shared" si="50"/>
        <v/>
      </c>
    </row>
    <row r="50">
      <c r="B50" s="11">
        <f>IFERROR(__xludf.DUMMYFUNCTION("""COMPUTED_VALUE"""),44720.0)</f>
        <v>44720</v>
      </c>
      <c r="C50" s="50">
        <f>IFERROR(__xludf.DUMMYFUNCTION("""COMPUTED_VALUE"""),17.0)</f>
        <v>17</v>
      </c>
      <c r="D50" s="50">
        <f>IFERROR(__xludf.DUMMYFUNCTION("""COMPUTED_VALUE"""),17.0)</f>
        <v>17</v>
      </c>
      <c r="E50" s="50">
        <f>IFERROR(__xludf.DUMMYFUNCTION("""COMPUTED_VALUE"""),0.0)</f>
        <v>0</v>
      </c>
      <c r="F50" s="50">
        <f>IFERROR(__xludf.DUMMYFUNCTION("""COMPUTED_VALUE"""),0.0)</f>
        <v>0</v>
      </c>
      <c r="G50" s="50">
        <f>IFERROR(__xludf.DUMMYFUNCTION("""COMPUTED_VALUE"""),0.0)</f>
        <v>0</v>
      </c>
      <c r="H50" s="50">
        <f>IFERROR(__xludf.DUMMYFUNCTION("""COMPUTED_VALUE"""),0.0)</f>
        <v>0</v>
      </c>
      <c r="I50" s="50">
        <f>IFERROR(__xludf.DUMMYFUNCTION("""COMPUTED_VALUE"""),0.0)</f>
        <v>0</v>
      </c>
      <c r="J50" s="50" t="b">
        <f>IFERROR(__xludf.DUMMYFUNCTION("""COMPUTED_VALUE"""),TRUE)</f>
        <v>1</v>
      </c>
      <c r="K50" s="79"/>
      <c r="L50" s="6"/>
      <c r="M50" s="50"/>
      <c r="N50" s="50"/>
      <c r="O50" s="50"/>
      <c r="P50" s="50"/>
      <c r="Q50" s="50"/>
      <c r="R50" s="50"/>
      <c r="S50" s="50"/>
      <c r="T50" s="50"/>
      <c r="U50" s="109"/>
      <c r="V50" s="224"/>
      <c r="W50" s="198" t="str">
        <f t="shared" si="39"/>
        <v/>
      </c>
      <c r="X50" s="55" t="str">
        <f t="shared" ref="X50:AC50" si="51">M50</f>
        <v/>
      </c>
      <c r="Y50" s="55" t="str">
        <f t="shared" si="51"/>
        <v/>
      </c>
      <c r="Z50" s="55" t="str">
        <f t="shared" si="51"/>
        <v/>
      </c>
      <c r="AA50" s="55" t="str">
        <f t="shared" si="51"/>
        <v/>
      </c>
      <c r="AB50" s="55" t="str">
        <f t="shared" si="51"/>
        <v/>
      </c>
      <c r="AC50" s="55" t="str">
        <f t="shared" si="51"/>
        <v/>
      </c>
    </row>
    <row r="51">
      <c r="B51" s="11">
        <f>IFERROR(__xludf.DUMMYFUNCTION("""COMPUTED_VALUE"""),44721.0)</f>
        <v>44721</v>
      </c>
      <c r="C51" s="50">
        <f>IFERROR(__xludf.DUMMYFUNCTION("""COMPUTED_VALUE"""),20.0)</f>
        <v>20</v>
      </c>
      <c r="D51" s="50">
        <f>IFERROR(__xludf.DUMMYFUNCTION("""COMPUTED_VALUE"""),20.0)</f>
        <v>20</v>
      </c>
      <c r="E51" s="50">
        <f>IFERROR(__xludf.DUMMYFUNCTION("""COMPUTED_VALUE"""),0.0)</f>
        <v>0</v>
      </c>
      <c r="F51" s="50">
        <f>IFERROR(__xludf.DUMMYFUNCTION("""COMPUTED_VALUE"""),0.0)</f>
        <v>0</v>
      </c>
      <c r="G51" s="50">
        <f>IFERROR(__xludf.DUMMYFUNCTION("""COMPUTED_VALUE"""),0.0)</f>
        <v>0</v>
      </c>
      <c r="H51" s="50">
        <f>IFERROR(__xludf.DUMMYFUNCTION("""COMPUTED_VALUE"""),0.0)</f>
        <v>0</v>
      </c>
      <c r="I51" s="50">
        <f>IFERROR(__xludf.DUMMYFUNCTION("""COMPUTED_VALUE"""),0.0)</f>
        <v>0</v>
      </c>
      <c r="J51" s="50" t="b">
        <f>IFERROR(__xludf.DUMMYFUNCTION("""COMPUTED_VALUE"""),TRUE)</f>
        <v>1</v>
      </c>
      <c r="K51" s="79"/>
      <c r="L51" s="6"/>
      <c r="M51" s="50"/>
      <c r="N51" s="50"/>
      <c r="O51" s="50"/>
      <c r="P51" s="50"/>
      <c r="Q51" s="50"/>
      <c r="R51" s="50"/>
      <c r="S51" s="50"/>
      <c r="T51" s="50"/>
      <c r="U51" s="109"/>
      <c r="V51" s="224"/>
      <c r="W51" s="198" t="str">
        <f t="shared" si="39"/>
        <v/>
      </c>
      <c r="X51" s="55" t="str">
        <f t="shared" ref="X51:AC51" si="52">M51</f>
        <v/>
      </c>
      <c r="Y51" s="55" t="str">
        <f t="shared" si="52"/>
        <v/>
      </c>
      <c r="Z51" s="55" t="str">
        <f t="shared" si="52"/>
        <v/>
      </c>
      <c r="AA51" s="55" t="str">
        <f t="shared" si="52"/>
        <v/>
      </c>
      <c r="AB51" s="55" t="str">
        <f t="shared" si="52"/>
        <v/>
      </c>
      <c r="AC51" s="55" t="str">
        <f t="shared" si="52"/>
        <v/>
      </c>
    </row>
    <row r="52">
      <c r="B52" s="11">
        <f>IFERROR(__xludf.DUMMYFUNCTION("""COMPUTED_VALUE"""),44739.0)</f>
        <v>44739</v>
      </c>
      <c r="C52" s="50">
        <f>IFERROR(__xludf.DUMMYFUNCTION("""COMPUTED_VALUE"""),24.0)</f>
        <v>24</v>
      </c>
      <c r="D52" s="50">
        <f>IFERROR(__xludf.DUMMYFUNCTION("""COMPUTED_VALUE"""),20.0)</f>
        <v>20</v>
      </c>
      <c r="E52" s="50">
        <f>IFERROR(__xludf.DUMMYFUNCTION("""COMPUTED_VALUE"""),3.0)</f>
        <v>3</v>
      </c>
      <c r="F52" s="50">
        <f>IFERROR(__xludf.DUMMYFUNCTION("""COMPUTED_VALUE"""),1.0)</f>
        <v>1</v>
      </c>
      <c r="G52" s="50">
        <f>IFERROR(__xludf.DUMMYFUNCTION("""COMPUTED_VALUE"""),0.0)</f>
        <v>0</v>
      </c>
      <c r="H52" s="50">
        <f>IFERROR(__xludf.DUMMYFUNCTION("""COMPUTED_VALUE"""),0.0)</f>
        <v>0</v>
      </c>
      <c r="I52" s="50">
        <f>IFERROR(__xludf.DUMMYFUNCTION("""COMPUTED_VALUE"""),0.0)</f>
        <v>0</v>
      </c>
      <c r="J52" s="50" t="b">
        <f>IFERROR(__xludf.DUMMYFUNCTION("""COMPUTED_VALUE"""),TRUE)</f>
        <v>1</v>
      </c>
      <c r="K52" s="79"/>
      <c r="L52" s="6"/>
      <c r="M52" s="50"/>
      <c r="N52" s="50"/>
      <c r="O52" s="50"/>
      <c r="P52" s="50"/>
      <c r="Q52" s="50"/>
      <c r="R52" s="50"/>
      <c r="S52" s="50"/>
      <c r="T52" s="50"/>
      <c r="U52" s="109"/>
      <c r="V52" s="224"/>
      <c r="W52" s="198" t="str">
        <f t="shared" si="39"/>
        <v/>
      </c>
      <c r="X52" s="55" t="str">
        <f t="shared" ref="X52:AC52" si="53">M52</f>
        <v/>
      </c>
      <c r="Y52" s="55" t="str">
        <f t="shared" si="53"/>
        <v/>
      </c>
      <c r="Z52" s="55" t="str">
        <f t="shared" si="53"/>
        <v/>
      </c>
      <c r="AA52" s="55" t="str">
        <f t="shared" si="53"/>
        <v/>
      </c>
      <c r="AB52" s="55" t="str">
        <f t="shared" si="53"/>
        <v/>
      </c>
      <c r="AC52" s="55" t="str">
        <f t="shared" si="53"/>
        <v/>
      </c>
    </row>
    <row r="53">
      <c r="B53" s="11">
        <f>IFERROR(__xludf.DUMMYFUNCTION("""COMPUTED_VALUE"""),44740.0)</f>
        <v>44740</v>
      </c>
      <c r="C53" s="50">
        <f>IFERROR(__xludf.DUMMYFUNCTION("""COMPUTED_VALUE"""),25.0)</f>
        <v>25</v>
      </c>
      <c r="D53" s="50">
        <f>IFERROR(__xludf.DUMMYFUNCTION("""COMPUTED_VALUE"""),24.0)</f>
        <v>24</v>
      </c>
      <c r="E53" s="50">
        <f>IFERROR(__xludf.DUMMYFUNCTION("""COMPUTED_VALUE"""),0.0)</f>
        <v>0</v>
      </c>
      <c r="F53" s="50">
        <f>IFERROR(__xludf.DUMMYFUNCTION("""COMPUTED_VALUE"""),1.0)</f>
        <v>1</v>
      </c>
      <c r="G53" s="50">
        <f>IFERROR(__xludf.DUMMYFUNCTION("""COMPUTED_VALUE"""),0.0)</f>
        <v>0</v>
      </c>
      <c r="H53" s="50">
        <f>IFERROR(__xludf.DUMMYFUNCTION("""COMPUTED_VALUE"""),0.0)</f>
        <v>0</v>
      </c>
      <c r="I53" s="50">
        <f>IFERROR(__xludf.DUMMYFUNCTION("""COMPUTED_VALUE"""),0.0)</f>
        <v>0</v>
      </c>
      <c r="J53" s="50" t="b">
        <f>IFERROR(__xludf.DUMMYFUNCTION("""COMPUTED_VALUE"""),TRUE)</f>
        <v>1</v>
      </c>
      <c r="K53" s="79"/>
      <c r="L53" s="6"/>
      <c r="M53" s="50"/>
      <c r="N53" s="50"/>
      <c r="O53" s="50"/>
      <c r="P53" s="50"/>
      <c r="Q53" s="50"/>
      <c r="R53" s="50"/>
      <c r="S53" s="50"/>
      <c r="T53" s="50"/>
      <c r="U53" s="109"/>
      <c r="V53" s="224"/>
      <c r="W53" s="198" t="str">
        <f t="shared" si="39"/>
        <v/>
      </c>
      <c r="X53" s="55" t="str">
        <f t="shared" ref="X53:AC53" si="54">M53</f>
        <v/>
      </c>
      <c r="Y53" s="55" t="str">
        <f t="shared" si="54"/>
        <v/>
      </c>
      <c r="Z53" s="55" t="str">
        <f t="shared" si="54"/>
        <v/>
      </c>
      <c r="AA53" s="55" t="str">
        <f t="shared" si="54"/>
        <v/>
      </c>
      <c r="AB53" s="55" t="str">
        <f t="shared" si="54"/>
        <v/>
      </c>
      <c r="AC53" s="55" t="str">
        <f t="shared" si="54"/>
        <v/>
      </c>
    </row>
    <row r="54">
      <c r="B54" s="11">
        <f>IFERROR(__xludf.DUMMYFUNCTION("""COMPUTED_VALUE"""),44741.0)</f>
        <v>44741</v>
      </c>
      <c r="C54" s="50">
        <f>IFERROR(__xludf.DUMMYFUNCTION("""COMPUTED_VALUE"""),17.0)</f>
        <v>17</v>
      </c>
      <c r="D54" s="50">
        <f>IFERROR(__xludf.DUMMYFUNCTION("""COMPUTED_VALUE"""),17.0)</f>
        <v>17</v>
      </c>
      <c r="E54" s="50">
        <f>IFERROR(__xludf.DUMMYFUNCTION("""COMPUTED_VALUE"""),0.0)</f>
        <v>0</v>
      </c>
      <c r="F54" s="50">
        <f>IFERROR(__xludf.DUMMYFUNCTION("""COMPUTED_VALUE"""),0.0)</f>
        <v>0</v>
      </c>
      <c r="G54" s="50">
        <f>IFERROR(__xludf.DUMMYFUNCTION("""COMPUTED_VALUE"""),0.0)</f>
        <v>0</v>
      </c>
      <c r="H54" s="50">
        <f>IFERROR(__xludf.DUMMYFUNCTION("""COMPUTED_VALUE"""),0.0)</f>
        <v>0</v>
      </c>
      <c r="I54" s="50">
        <f>IFERROR(__xludf.DUMMYFUNCTION("""COMPUTED_VALUE"""),0.0)</f>
        <v>0</v>
      </c>
      <c r="J54" s="50" t="b">
        <f>IFERROR(__xludf.DUMMYFUNCTION("""COMPUTED_VALUE"""),TRUE)</f>
        <v>1</v>
      </c>
      <c r="K54" s="79"/>
      <c r="L54" s="6"/>
      <c r="M54" s="50"/>
      <c r="N54" s="50"/>
      <c r="O54" s="50"/>
      <c r="P54" s="50"/>
      <c r="Q54" s="50"/>
      <c r="R54" s="50"/>
      <c r="S54" s="50"/>
      <c r="T54" s="50"/>
      <c r="U54" s="109"/>
      <c r="V54" s="224"/>
      <c r="W54" s="198" t="str">
        <f t="shared" si="39"/>
        <v/>
      </c>
      <c r="X54" s="55" t="str">
        <f t="shared" ref="X54:AC54" si="55">M54</f>
        <v/>
      </c>
      <c r="Y54" s="55" t="str">
        <f t="shared" si="55"/>
        <v/>
      </c>
      <c r="Z54" s="55" t="str">
        <f t="shared" si="55"/>
        <v/>
      </c>
      <c r="AA54" s="55" t="str">
        <f t="shared" si="55"/>
        <v/>
      </c>
      <c r="AB54" s="55" t="str">
        <f t="shared" si="55"/>
        <v/>
      </c>
      <c r="AC54" s="55" t="str">
        <f t="shared" si="55"/>
        <v/>
      </c>
    </row>
    <row r="55">
      <c r="B55" s="11">
        <f>IFERROR(__xludf.DUMMYFUNCTION("""COMPUTED_VALUE"""),44743.0)</f>
        <v>44743</v>
      </c>
      <c r="C55" s="50">
        <f>IFERROR(__xludf.DUMMYFUNCTION("""COMPUTED_VALUE"""),24.0)</f>
        <v>24</v>
      </c>
      <c r="D55" s="50">
        <f>IFERROR(__xludf.DUMMYFUNCTION("""COMPUTED_VALUE"""),23.0)</f>
        <v>23</v>
      </c>
      <c r="E55" s="50">
        <f>IFERROR(__xludf.DUMMYFUNCTION("""COMPUTED_VALUE"""),0.0)</f>
        <v>0</v>
      </c>
      <c r="F55" s="50">
        <f>IFERROR(__xludf.DUMMYFUNCTION("""COMPUTED_VALUE"""),1.0)</f>
        <v>1</v>
      </c>
      <c r="G55" s="50">
        <f>IFERROR(__xludf.DUMMYFUNCTION("""COMPUTED_VALUE"""),0.0)</f>
        <v>0</v>
      </c>
      <c r="H55" s="50">
        <f>IFERROR(__xludf.DUMMYFUNCTION("""COMPUTED_VALUE"""),0.0)</f>
        <v>0</v>
      </c>
      <c r="I55" s="50">
        <f>IFERROR(__xludf.DUMMYFUNCTION("""COMPUTED_VALUE"""),0.0)</f>
        <v>0</v>
      </c>
      <c r="J55" s="50" t="b">
        <f>IFERROR(__xludf.DUMMYFUNCTION("""COMPUTED_VALUE"""),TRUE)</f>
        <v>1</v>
      </c>
      <c r="K55" s="79"/>
      <c r="L55" s="6"/>
      <c r="M55" s="50"/>
      <c r="N55" s="50"/>
      <c r="O55" s="50"/>
      <c r="P55" s="50"/>
      <c r="Q55" s="50"/>
      <c r="R55" s="50"/>
      <c r="S55" s="50"/>
      <c r="T55" s="50"/>
      <c r="U55" s="109"/>
      <c r="V55" s="224"/>
      <c r="W55" s="198" t="str">
        <f t="shared" si="39"/>
        <v/>
      </c>
      <c r="X55" s="55" t="str">
        <f t="shared" ref="X55:AC55" si="56">M55</f>
        <v/>
      </c>
      <c r="Y55" s="55" t="str">
        <f t="shared" si="56"/>
        <v/>
      </c>
      <c r="Z55" s="55" t="str">
        <f t="shared" si="56"/>
        <v/>
      </c>
      <c r="AA55" s="55" t="str">
        <f t="shared" si="56"/>
        <v/>
      </c>
      <c r="AB55" s="55" t="str">
        <f t="shared" si="56"/>
        <v/>
      </c>
      <c r="AC55" s="55" t="str">
        <f t="shared" si="56"/>
        <v/>
      </c>
    </row>
    <row r="56">
      <c r="B56" s="11">
        <f>IFERROR(__xludf.DUMMYFUNCTION("""COMPUTED_VALUE"""),44746.0)</f>
        <v>44746</v>
      </c>
      <c r="C56" s="50">
        <f>IFERROR(__xludf.DUMMYFUNCTION("""COMPUTED_VALUE"""),36.0)</f>
        <v>36</v>
      </c>
      <c r="D56" s="50">
        <f>IFERROR(__xludf.DUMMYFUNCTION("""COMPUTED_VALUE"""),35.0)</f>
        <v>35</v>
      </c>
      <c r="E56" s="50">
        <f>IFERROR(__xludf.DUMMYFUNCTION("""COMPUTED_VALUE"""),1.0)</f>
        <v>1</v>
      </c>
      <c r="F56" s="50">
        <f>IFERROR(__xludf.DUMMYFUNCTION("""COMPUTED_VALUE"""),0.0)</f>
        <v>0</v>
      </c>
      <c r="G56" s="50">
        <f>IFERROR(__xludf.DUMMYFUNCTION("""COMPUTED_VALUE"""),0.0)</f>
        <v>0</v>
      </c>
      <c r="H56" s="50">
        <f>IFERROR(__xludf.DUMMYFUNCTION("""COMPUTED_VALUE"""),0.0)</f>
        <v>0</v>
      </c>
      <c r="I56" s="50">
        <f>IFERROR(__xludf.DUMMYFUNCTION("""COMPUTED_VALUE"""),0.0)</f>
        <v>0</v>
      </c>
      <c r="J56" s="50" t="b">
        <f>IFERROR(__xludf.DUMMYFUNCTION("""COMPUTED_VALUE"""),TRUE)</f>
        <v>1</v>
      </c>
      <c r="K56" s="79"/>
      <c r="L56" s="6"/>
      <c r="M56" s="50"/>
      <c r="N56" s="50"/>
      <c r="O56" s="50"/>
      <c r="P56" s="50"/>
      <c r="Q56" s="50"/>
      <c r="R56" s="50"/>
      <c r="S56" s="50"/>
      <c r="T56" s="50"/>
      <c r="U56" s="109"/>
      <c r="V56" s="224"/>
      <c r="W56" s="198" t="str">
        <f t="shared" si="39"/>
        <v/>
      </c>
      <c r="X56" s="55" t="str">
        <f t="shared" ref="X56:AC56" si="57">M56</f>
        <v/>
      </c>
      <c r="Y56" s="55" t="str">
        <f t="shared" si="57"/>
        <v/>
      </c>
      <c r="Z56" s="55" t="str">
        <f t="shared" si="57"/>
        <v/>
      </c>
      <c r="AA56" s="55" t="str">
        <f t="shared" si="57"/>
        <v/>
      </c>
      <c r="AB56" s="55" t="str">
        <f t="shared" si="57"/>
        <v/>
      </c>
      <c r="AC56" s="55" t="str">
        <f t="shared" si="57"/>
        <v/>
      </c>
    </row>
    <row r="57">
      <c r="B57" s="11">
        <f>IFERROR(__xludf.DUMMYFUNCTION("""COMPUTED_VALUE"""),44747.0)</f>
        <v>44747</v>
      </c>
      <c r="C57" s="50">
        <f>IFERROR(__xludf.DUMMYFUNCTION("""COMPUTED_VALUE"""),19.0)</f>
        <v>19</v>
      </c>
      <c r="D57" s="50">
        <f>IFERROR(__xludf.DUMMYFUNCTION("""COMPUTED_VALUE"""),19.0)</f>
        <v>19</v>
      </c>
      <c r="E57" s="50">
        <f>IFERROR(__xludf.DUMMYFUNCTION("""COMPUTED_VALUE"""),0.0)</f>
        <v>0</v>
      </c>
      <c r="F57" s="50">
        <f>IFERROR(__xludf.DUMMYFUNCTION("""COMPUTED_VALUE"""),0.0)</f>
        <v>0</v>
      </c>
      <c r="G57" s="50">
        <f>IFERROR(__xludf.DUMMYFUNCTION("""COMPUTED_VALUE"""),0.0)</f>
        <v>0</v>
      </c>
      <c r="H57" s="50">
        <f>IFERROR(__xludf.DUMMYFUNCTION("""COMPUTED_VALUE"""),0.0)</f>
        <v>0</v>
      </c>
      <c r="I57" s="50">
        <f>IFERROR(__xludf.DUMMYFUNCTION("""COMPUTED_VALUE"""),0.0)</f>
        <v>0</v>
      </c>
      <c r="J57" s="50" t="b">
        <f>IFERROR(__xludf.DUMMYFUNCTION("""COMPUTED_VALUE"""),TRUE)</f>
        <v>1</v>
      </c>
      <c r="K57" s="79"/>
      <c r="L57" s="6"/>
      <c r="M57" s="50"/>
      <c r="N57" s="50"/>
      <c r="O57" s="50"/>
      <c r="P57" s="50"/>
      <c r="Q57" s="50"/>
      <c r="R57" s="50"/>
      <c r="S57" s="50"/>
      <c r="T57" s="50"/>
      <c r="U57" s="109"/>
      <c r="V57" s="224"/>
      <c r="W57" s="198" t="str">
        <f t="shared" si="39"/>
        <v/>
      </c>
      <c r="X57" s="55" t="str">
        <f t="shared" ref="X57:AC57" si="58">M57</f>
        <v/>
      </c>
      <c r="Y57" s="55" t="str">
        <f t="shared" si="58"/>
        <v/>
      </c>
      <c r="Z57" s="55" t="str">
        <f t="shared" si="58"/>
        <v/>
      </c>
      <c r="AA57" s="55" t="str">
        <f t="shared" si="58"/>
        <v/>
      </c>
      <c r="AB57" s="55" t="str">
        <f t="shared" si="58"/>
        <v/>
      </c>
      <c r="AC57" s="55" t="str">
        <f t="shared" si="58"/>
        <v/>
      </c>
    </row>
    <row r="58">
      <c r="B58" s="11">
        <f>IFERROR(__xludf.DUMMYFUNCTION("""COMPUTED_VALUE"""),44748.0)</f>
        <v>44748</v>
      </c>
      <c r="C58" s="50">
        <f>IFERROR(__xludf.DUMMYFUNCTION("""COMPUTED_VALUE"""),17.0)</f>
        <v>17</v>
      </c>
      <c r="D58" s="50">
        <f>IFERROR(__xludf.DUMMYFUNCTION("""COMPUTED_VALUE"""),17.0)</f>
        <v>17</v>
      </c>
      <c r="E58" s="50">
        <f>IFERROR(__xludf.DUMMYFUNCTION("""COMPUTED_VALUE"""),0.0)</f>
        <v>0</v>
      </c>
      <c r="F58" s="50">
        <f>IFERROR(__xludf.DUMMYFUNCTION("""COMPUTED_VALUE"""),0.0)</f>
        <v>0</v>
      </c>
      <c r="G58" s="50">
        <f>IFERROR(__xludf.DUMMYFUNCTION("""COMPUTED_VALUE"""),0.0)</f>
        <v>0</v>
      </c>
      <c r="H58" s="50">
        <f>IFERROR(__xludf.DUMMYFUNCTION("""COMPUTED_VALUE"""),0.0)</f>
        <v>0</v>
      </c>
      <c r="I58" s="50">
        <f>IFERROR(__xludf.DUMMYFUNCTION("""COMPUTED_VALUE"""),0.0)</f>
        <v>0</v>
      </c>
      <c r="J58" s="50" t="b">
        <f>IFERROR(__xludf.DUMMYFUNCTION("""COMPUTED_VALUE"""),TRUE)</f>
        <v>1</v>
      </c>
      <c r="K58" s="79"/>
      <c r="L58" s="6"/>
      <c r="M58" s="50"/>
      <c r="N58" s="50"/>
      <c r="O58" s="50"/>
      <c r="P58" s="50"/>
      <c r="Q58" s="50"/>
      <c r="R58" s="50"/>
      <c r="S58" s="50"/>
      <c r="T58" s="50"/>
      <c r="U58" s="109"/>
      <c r="V58" s="224"/>
      <c r="W58" s="198" t="str">
        <f t="shared" si="39"/>
        <v/>
      </c>
      <c r="X58" s="55" t="str">
        <f t="shared" ref="X58:AC58" si="59">M58</f>
        <v/>
      </c>
      <c r="Y58" s="55" t="str">
        <f t="shared" si="59"/>
        <v/>
      </c>
      <c r="Z58" s="55" t="str">
        <f t="shared" si="59"/>
        <v/>
      </c>
      <c r="AA58" s="55" t="str">
        <f t="shared" si="59"/>
        <v/>
      </c>
      <c r="AB58" s="55" t="str">
        <f t="shared" si="59"/>
        <v/>
      </c>
      <c r="AC58" s="55" t="str">
        <f t="shared" si="59"/>
        <v/>
      </c>
    </row>
    <row r="59">
      <c r="B59" s="11">
        <f>IFERROR(__xludf.DUMMYFUNCTION("""COMPUTED_VALUE"""),44749.0)</f>
        <v>44749</v>
      </c>
      <c r="C59" s="50">
        <f>IFERROR(__xludf.DUMMYFUNCTION("""COMPUTED_VALUE"""),34.0)</f>
        <v>34</v>
      </c>
      <c r="D59" s="50">
        <f>IFERROR(__xludf.DUMMYFUNCTION("""COMPUTED_VALUE"""),34.0)</f>
        <v>34</v>
      </c>
      <c r="E59" s="50">
        <f>IFERROR(__xludf.DUMMYFUNCTION("""COMPUTED_VALUE"""),0.0)</f>
        <v>0</v>
      </c>
      <c r="F59" s="50">
        <f>IFERROR(__xludf.DUMMYFUNCTION("""COMPUTED_VALUE"""),0.0)</f>
        <v>0</v>
      </c>
      <c r="G59" s="50">
        <f>IFERROR(__xludf.DUMMYFUNCTION("""COMPUTED_VALUE"""),0.0)</f>
        <v>0</v>
      </c>
      <c r="H59" s="50">
        <f>IFERROR(__xludf.DUMMYFUNCTION("""COMPUTED_VALUE"""),0.0)</f>
        <v>0</v>
      </c>
      <c r="I59" s="50">
        <f>IFERROR(__xludf.DUMMYFUNCTION("""COMPUTED_VALUE"""),0.0)</f>
        <v>0</v>
      </c>
      <c r="J59" s="50" t="b">
        <f>IFERROR(__xludf.DUMMYFUNCTION("""COMPUTED_VALUE"""),TRUE)</f>
        <v>1</v>
      </c>
      <c r="K59" s="79"/>
      <c r="L59" s="6"/>
      <c r="M59" s="50"/>
      <c r="N59" s="50"/>
      <c r="O59" s="50"/>
      <c r="P59" s="50"/>
      <c r="Q59" s="50"/>
      <c r="R59" s="50"/>
      <c r="S59" s="50"/>
      <c r="T59" s="50"/>
      <c r="U59" s="109"/>
      <c r="V59" s="224"/>
      <c r="W59" s="198" t="str">
        <f t="shared" si="39"/>
        <v/>
      </c>
      <c r="X59" s="55" t="str">
        <f t="shared" ref="X59:AC59" si="60">M59</f>
        <v/>
      </c>
      <c r="Y59" s="55" t="str">
        <f t="shared" si="60"/>
        <v/>
      </c>
      <c r="Z59" s="55" t="str">
        <f t="shared" si="60"/>
        <v/>
      </c>
      <c r="AA59" s="55" t="str">
        <f t="shared" si="60"/>
        <v/>
      </c>
      <c r="AB59" s="55" t="str">
        <f t="shared" si="60"/>
        <v/>
      </c>
      <c r="AC59" s="55" t="str">
        <f t="shared" si="60"/>
        <v/>
      </c>
    </row>
    <row r="60">
      <c r="A60" s="228"/>
      <c r="B60" s="11">
        <f>IFERROR(__xludf.DUMMYFUNCTION("""COMPUTED_VALUE"""),44750.0)</f>
        <v>44750</v>
      </c>
      <c r="C60" s="50">
        <f>IFERROR(__xludf.DUMMYFUNCTION("""COMPUTED_VALUE"""),25.0)</f>
        <v>25</v>
      </c>
      <c r="D60" s="50">
        <f>IFERROR(__xludf.DUMMYFUNCTION("""COMPUTED_VALUE"""),25.0)</f>
        <v>25</v>
      </c>
      <c r="E60" s="50">
        <f>IFERROR(__xludf.DUMMYFUNCTION("""COMPUTED_VALUE"""),0.0)</f>
        <v>0</v>
      </c>
      <c r="F60" s="50">
        <f>IFERROR(__xludf.DUMMYFUNCTION("""COMPUTED_VALUE"""),0.0)</f>
        <v>0</v>
      </c>
      <c r="G60" s="50">
        <f>IFERROR(__xludf.DUMMYFUNCTION("""COMPUTED_VALUE"""),0.0)</f>
        <v>0</v>
      </c>
      <c r="H60" s="50">
        <f>IFERROR(__xludf.DUMMYFUNCTION("""COMPUTED_VALUE"""),0.0)</f>
        <v>0</v>
      </c>
      <c r="I60" s="50">
        <f>IFERROR(__xludf.DUMMYFUNCTION("""COMPUTED_VALUE"""),0.0)</f>
        <v>0</v>
      </c>
      <c r="J60" s="50" t="b">
        <f>IFERROR(__xludf.DUMMYFUNCTION("""COMPUTED_VALUE"""),TRUE)</f>
        <v>1</v>
      </c>
      <c r="K60" s="79"/>
      <c r="L60" s="6"/>
      <c r="M60" s="50"/>
      <c r="N60" s="50"/>
      <c r="O60" s="50"/>
      <c r="P60" s="50"/>
      <c r="Q60" s="50"/>
      <c r="R60" s="50"/>
      <c r="S60" s="50"/>
      <c r="T60" s="50"/>
      <c r="U60" s="109"/>
      <c r="V60" s="224"/>
      <c r="W60" s="198" t="str">
        <f t="shared" si="39"/>
        <v/>
      </c>
      <c r="X60" s="55" t="str">
        <f t="shared" ref="X60:AC60" si="61">M60</f>
        <v/>
      </c>
      <c r="Y60" s="55" t="str">
        <f t="shared" si="61"/>
        <v/>
      </c>
      <c r="Z60" s="55" t="str">
        <f t="shared" si="61"/>
        <v/>
      </c>
      <c r="AA60" s="55" t="str">
        <f t="shared" si="61"/>
        <v/>
      </c>
      <c r="AB60" s="55" t="str">
        <f t="shared" si="61"/>
        <v/>
      </c>
      <c r="AC60" s="55" t="str">
        <f t="shared" si="61"/>
        <v/>
      </c>
    </row>
    <row r="61">
      <c r="B61" s="11">
        <f>IFERROR(__xludf.DUMMYFUNCTION("""COMPUTED_VALUE"""),44753.0)</f>
        <v>44753</v>
      </c>
      <c r="C61" s="50">
        <f>IFERROR(__xludf.DUMMYFUNCTION("""COMPUTED_VALUE"""),27.0)</f>
        <v>27</v>
      </c>
      <c r="D61" s="50">
        <f>IFERROR(__xludf.DUMMYFUNCTION("""COMPUTED_VALUE"""),27.0)</f>
        <v>27</v>
      </c>
      <c r="E61" s="50">
        <f>IFERROR(__xludf.DUMMYFUNCTION("""COMPUTED_VALUE"""),0.0)</f>
        <v>0</v>
      </c>
      <c r="F61" s="50">
        <f>IFERROR(__xludf.DUMMYFUNCTION("""COMPUTED_VALUE"""),0.0)</f>
        <v>0</v>
      </c>
      <c r="G61" s="50">
        <f>IFERROR(__xludf.DUMMYFUNCTION("""COMPUTED_VALUE"""),0.0)</f>
        <v>0</v>
      </c>
      <c r="H61" s="50">
        <f>IFERROR(__xludf.DUMMYFUNCTION("""COMPUTED_VALUE"""),0.0)</f>
        <v>0</v>
      </c>
      <c r="I61" s="50">
        <f>IFERROR(__xludf.DUMMYFUNCTION("""COMPUTED_VALUE"""),0.0)</f>
        <v>0</v>
      </c>
      <c r="J61" s="50" t="b">
        <f>IFERROR(__xludf.DUMMYFUNCTION("""COMPUTED_VALUE"""),TRUE)</f>
        <v>1</v>
      </c>
      <c r="K61" s="79"/>
      <c r="L61" s="6"/>
      <c r="M61" s="50"/>
      <c r="N61" s="50"/>
      <c r="O61" s="50"/>
      <c r="P61" s="50"/>
      <c r="Q61" s="50"/>
      <c r="R61" s="50"/>
      <c r="S61" s="50"/>
      <c r="T61" s="50"/>
      <c r="U61" s="109"/>
      <c r="V61" s="224"/>
      <c r="W61" s="198" t="str">
        <f t="shared" si="39"/>
        <v/>
      </c>
      <c r="X61" s="55" t="str">
        <f t="shared" ref="X61:AC61" si="62">M61</f>
        <v/>
      </c>
      <c r="Y61" s="55" t="str">
        <f t="shared" si="62"/>
        <v/>
      </c>
      <c r="Z61" s="55" t="str">
        <f t="shared" si="62"/>
        <v/>
      </c>
      <c r="AA61" s="55" t="str">
        <f t="shared" si="62"/>
        <v/>
      </c>
      <c r="AB61" s="55" t="str">
        <f t="shared" si="62"/>
        <v/>
      </c>
      <c r="AC61" s="55" t="str">
        <f t="shared" si="62"/>
        <v/>
      </c>
    </row>
    <row r="62">
      <c r="B62" s="11">
        <f>IFERROR(__xludf.DUMMYFUNCTION("""COMPUTED_VALUE"""),44754.0)</f>
        <v>44754</v>
      </c>
      <c r="C62" s="50">
        <f>IFERROR(__xludf.DUMMYFUNCTION("""COMPUTED_VALUE"""),19.0)</f>
        <v>19</v>
      </c>
      <c r="D62" s="50">
        <f>IFERROR(__xludf.DUMMYFUNCTION("""COMPUTED_VALUE"""),19.0)</f>
        <v>19</v>
      </c>
      <c r="E62" s="50">
        <f>IFERROR(__xludf.DUMMYFUNCTION("""COMPUTED_VALUE"""),0.0)</f>
        <v>0</v>
      </c>
      <c r="F62" s="50">
        <f>IFERROR(__xludf.DUMMYFUNCTION("""COMPUTED_VALUE"""),0.0)</f>
        <v>0</v>
      </c>
      <c r="G62" s="50">
        <f>IFERROR(__xludf.DUMMYFUNCTION("""COMPUTED_VALUE"""),0.0)</f>
        <v>0</v>
      </c>
      <c r="H62" s="50">
        <f>IFERROR(__xludf.DUMMYFUNCTION("""COMPUTED_VALUE"""),0.0)</f>
        <v>0</v>
      </c>
      <c r="I62" s="50">
        <f>IFERROR(__xludf.DUMMYFUNCTION("""COMPUTED_VALUE"""),0.0)</f>
        <v>0</v>
      </c>
      <c r="J62" s="50" t="b">
        <f>IFERROR(__xludf.DUMMYFUNCTION("""COMPUTED_VALUE"""),TRUE)</f>
        <v>1</v>
      </c>
      <c r="K62" s="79"/>
      <c r="L62" s="6"/>
      <c r="M62" s="50"/>
      <c r="N62" s="50"/>
      <c r="O62" s="50"/>
      <c r="P62" s="50"/>
      <c r="Q62" s="50"/>
      <c r="R62" s="50"/>
      <c r="S62" s="50"/>
      <c r="T62" s="50"/>
      <c r="U62" s="109"/>
      <c r="V62" s="224"/>
      <c r="W62" s="198" t="str">
        <f t="shared" si="39"/>
        <v/>
      </c>
      <c r="X62" s="55" t="str">
        <f t="shared" ref="X62:AC62" si="63">M62</f>
        <v/>
      </c>
      <c r="Y62" s="55" t="str">
        <f t="shared" si="63"/>
        <v/>
      </c>
      <c r="Z62" s="55" t="str">
        <f t="shared" si="63"/>
        <v/>
      </c>
      <c r="AA62" s="55" t="str">
        <f t="shared" si="63"/>
        <v/>
      </c>
      <c r="AB62" s="55" t="str">
        <f t="shared" si="63"/>
        <v/>
      </c>
      <c r="AC62" s="55" t="str">
        <f t="shared" si="63"/>
        <v/>
      </c>
    </row>
    <row r="63">
      <c r="B63" s="11">
        <f>IFERROR(__xludf.DUMMYFUNCTION("""COMPUTED_VALUE"""),44755.0)</f>
        <v>44755</v>
      </c>
      <c r="C63" s="50">
        <f>IFERROR(__xludf.DUMMYFUNCTION("""COMPUTED_VALUE"""),17.0)</f>
        <v>17</v>
      </c>
      <c r="D63" s="50">
        <f>IFERROR(__xludf.DUMMYFUNCTION("""COMPUTED_VALUE"""),17.0)</f>
        <v>17</v>
      </c>
      <c r="E63" s="50">
        <f>IFERROR(__xludf.DUMMYFUNCTION("""COMPUTED_VALUE"""),0.0)</f>
        <v>0</v>
      </c>
      <c r="F63" s="50">
        <f>IFERROR(__xludf.DUMMYFUNCTION("""COMPUTED_VALUE"""),0.0)</f>
        <v>0</v>
      </c>
      <c r="G63" s="50">
        <f>IFERROR(__xludf.DUMMYFUNCTION("""COMPUTED_VALUE"""),0.0)</f>
        <v>0</v>
      </c>
      <c r="H63" s="50">
        <f>IFERROR(__xludf.DUMMYFUNCTION("""COMPUTED_VALUE"""),0.0)</f>
        <v>0</v>
      </c>
      <c r="I63" s="50">
        <f>IFERROR(__xludf.DUMMYFUNCTION("""COMPUTED_VALUE"""),0.0)</f>
        <v>0</v>
      </c>
      <c r="J63" s="50" t="b">
        <f>IFERROR(__xludf.DUMMYFUNCTION("""COMPUTED_VALUE"""),TRUE)</f>
        <v>1</v>
      </c>
      <c r="K63" s="79"/>
      <c r="L63" s="6"/>
      <c r="M63" s="50"/>
      <c r="N63" s="50"/>
      <c r="O63" s="50"/>
      <c r="P63" s="50"/>
      <c r="Q63" s="50"/>
      <c r="R63" s="50"/>
      <c r="S63" s="50"/>
      <c r="T63" s="50"/>
      <c r="U63" s="109"/>
      <c r="V63" s="224"/>
      <c r="W63" s="198" t="str">
        <f t="shared" si="39"/>
        <v/>
      </c>
      <c r="X63" s="55" t="str">
        <f t="shared" ref="X63:AC63" si="64">M63</f>
        <v/>
      </c>
      <c r="Y63" s="55" t="str">
        <f t="shared" si="64"/>
        <v/>
      </c>
      <c r="Z63" s="55" t="str">
        <f t="shared" si="64"/>
        <v/>
      </c>
      <c r="AA63" s="55" t="str">
        <f t="shared" si="64"/>
        <v/>
      </c>
      <c r="AB63" s="55" t="str">
        <f t="shared" si="64"/>
        <v/>
      </c>
      <c r="AC63" s="55" t="str">
        <f t="shared" si="64"/>
        <v/>
      </c>
    </row>
    <row r="64">
      <c r="B64" s="11">
        <f>IFERROR(__xludf.DUMMYFUNCTION("""COMPUTED_VALUE"""),44756.0)</f>
        <v>44756</v>
      </c>
      <c r="C64" s="50">
        <f>IFERROR(__xludf.DUMMYFUNCTION("""COMPUTED_VALUE"""),36.0)</f>
        <v>36</v>
      </c>
      <c r="D64" s="50">
        <f>IFERROR(__xludf.DUMMYFUNCTION("""COMPUTED_VALUE"""),36.0)</f>
        <v>36</v>
      </c>
      <c r="E64" s="50">
        <f>IFERROR(__xludf.DUMMYFUNCTION("""COMPUTED_VALUE"""),0.0)</f>
        <v>0</v>
      </c>
      <c r="F64" s="50">
        <f>IFERROR(__xludf.DUMMYFUNCTION("""COMPUTED_VALUE"""),0.0)</f>
        <v>0</v>
      </c>
      <c r="G64" s="50">
        <f>IFERROR(__xludf.DUMMYFUNCTION("""COMPUTED_VALUE"""),0.0)</f>
        <v>0</v>
      </c>
      <c r="H64" s="50">
        <f>IFERROR(__xludf.DUMMYFUNCTION("""COMPUTED_VALUE"""),0.0)</f>
        <v>0</v>
      </c>
      <c r="I64" s="50">
        <f>IFERROR(__xludf.DUMMYFUNCTION("""COMPUTED_VALUE"""),0.0)</f>
        <v>0</v>
      </c>
      <c r="J64" s="50" t="b">
        <f>IFERROR(__xludf.DUMMYFUNCTION("""COMPUTED_VALUE"""),TRUE)</f>
        <v>1</v>
      </c>
      <c r="K64" s="79"/>
      <c r="L64" s="6"/>
      <c r="M64" s="50"/>
      <c r="N64" s="50"/>
      <c r="O64" s="50"/>
      <c r="P64" s="50"/>
      <c r="Q64" s="50"/>
      <c r="R64" s="50"/>
      <c r="S64" s="50"/>
      <c r="T64" s="50"/>
      <c r="U64" s="109"/>
      <c r="V64" s="224"/>
      <c r="W64" s="198" t="str">
        <f t="shared" si="39"/>
        <v/>
      </c>
      <c r="X64" s="55" t="str">
        <f t="shared" ref="X64:AC64" si="65">M64</f>
        <v/>
      </c>
      <c r="Y64" s="55" t="str">
        <f t="shared" si="65"/>
        <v/>
      </c>
      <c r="Z64" s="55" t="str">
        <f t="shared" si="65"/>
        <v/>
      </c>
      <c r="AA64" s="55" t="str">
        <f t="shared" si="65"/>
        <v/>
      </c>
      <c r="AB64" s="55" t="str">
        <f t="shared" si="65"/>
        <v/>
      </c>
      <c r="AC64" s="55" t="str">
        <f t="shared" si="65"/>
        <v/>
      </c>
    </row>
    <row r="65">
      <c r="B65" s="11">
        <f>IFERROR(__xludf.DUMMYFUNCTION("""COMPUTED_VALUE"""),44757.0)</f>
        <v>44757</v>
      </c>
      <c r="C65" s="50">
        <f>IFERROR(__xludf.DUMMYFUNCTION("""COMPUTED_VALUE"""),23.0)</f>
        <v>23</v>
      </c>
      <c r="D65" s="50">
        <f>IFERROR(__xludf.DUMMYFUNCTION("""COMPUTED_VALUE"""),23.0)</f>
        <v>23</v>
      </c>
      <c r="E65" s="50">
        <f>IFERROR(__xludf.DUMMYFUNCTION("""COMPUTED_VALUE"""),0.0)</f>
        <v>0</v>
      </c>
      <c r="F65" s="50">
        <f>IFERROR(__xludf.DUMMYFUNCTION("""COMPUTED_VALUE"""),0.0)</f>
        <v>0</v>
      </c>
      <c r="G65" s="50">
        <f>IFERROR(__xludf.DUMMYFUNCTION("""COMPUTED_VALUE"""),0.0)</f>
        <v>0</v>
      </c>
      <c r="H65" s="50">
        <f>IFERROR(__xludf.DUMMYFUNCTION("""COMPUTED_VALUE"""),0.0)</f>
        <v>0</v>
      </c>
      <c r="I65" s="50">
        <f>IFERROR(__xludf.DUMMYFUNCTION("""COMPUTED_VALUE"""),0.0)</f>
        <v>0</v>
      </c>
      <c r="J65" s="50" t="b">
        <f>IFERROR(__xludf.DUMMYFUNCTION("""COMPUTED_VALUE"""),TRUE)</f>
        <v>1</v>
      </c>
      <c r="K65" s="79"/>
      <c r="L65" s="6"/>
      <c r="M65" s="50"/>
      <c r="N65" s="50"/>
      <c r="O65" s="50"/>
      <c r="P65" s="50"/>
      <c r="Q65" s="50"/>
      <c r="R65" s="50"/>
      <c r="S65" s="50"/>
      <c r="T65" s="50"/>
      <c r="U65" s="109"/>
      <c r="V65" s="224"/>
      <c r="W65" s="198" t="str">
        <f t="shared" si="39"/>
        <v/>
      </c>
      <c r="X65" s="55" t="str">
        <f t="shared" ref="X65:AC65" si="66">M65</f>
        <v/>
      </c>
      <c r="Y65" s="55" t="str">
        <f t="shared" si="66"/>
        <v/>
      </c>
      <c r="Z65" s="55" t="str">
        <f t="shared" si="66"/>
        <v/>
      </c>
      <c r="AA65" s="55" t="str">
        <f t="shared" si="66"/>
        <v/>
      </c>
      <c r="AB65" s="55" t="str">
        <f t="shared" si="66"/>
        <v/>
      </c>
      <c r="AC65" s="55" t="str">
        <f t="shared" si="66"/>
        <v/>
      </c>
    </row>
    <row r="66">
      <c r="B66" s="11">
        <f>IFERROR(__xludf.DUMMYFUNCTION("""COMPUTED_VALUE"""),44761.0)</f>
        <v>44761</v>
      </c>
      <c r="C66" s="50">
        <f>IFERROR(__xludf.DUMMYFUNCTION("""COMPUTED_VALUE"""),33.0)</f>
        <v>33</v>
      </c>
      <c r="D66" s="50">
        <f>IFERROR(__xludf.DUMMYFUNCTION("""COMPUTED_VALUE"""),32.0)</f>
        <v>32</v>
      </c>
      <c r="E66" s="50">
        <f>IFERROR(__xludf.DUMMYFUNCTION("""COMPUTED_VALUE"""),1.0)</f>
        <v>1</v>
      </c>
      <c r="F66" s="50">
        <f>IFERROR(__xludf.DUMMYFUNCTION("""COMPUTED_VALUE"""),0.0)</f>
        <v>0</v>
      </c>
      <c r="G66" s="50">
        <f>IFERROR(__xludf.DUMMYFUNCTION("""COMPUTED_VALUE"""),0.0)</f>
        <v>0</v>
      </c>
      <c r="H66" s="50">
        <f>IFERROR(__xludf.DUMMYFUNCTION("""COMPUTED_VALUE"""),0.0)</f>
        <v>0</v>
      </c>
      <c r="I66" s="50">
        <f>IFERROR(__xludf.DUMMYFUNCTION("""COMPUTED_VALUE"""),0.0)</f>
        <v>0</v>
      </c>
      <c r="J66" s="50" t="b">
        <f>IFERROR(__xludf.DUMMYFUNCTION("""COMPUTED_VALUE"""),TRUE)</f>
        <v>1</v>
      </c>
      <c r="K66" s="79"/>
      <c r="L66" s="6"/>
      <c r="M66" s="50"/>
      <c r="N66" s="50"/>
      <c r="O66" s="50"/>
      <c r="P66" s="50"/>
      <c r="Q66" s="50"/>
      <c r="R66" s="50"/>
      <c r="S66" s="50"/>
      <c r="T66" s="50"/>
      <c r="U66" s="109"/>
      <c r="V66" s="224"/>
      <c r="W66" s="198" t="str">
        <f t="shared" si="39"/>
        <v/>
      </c>
      <c r="X66" s="55" t="str">
        <f t="shared" ref="X66:AC66" si="67">M66</f>
        <v/>
      </c>
      <c r="Y66" s="55" t="str">
        <f t="shared" si="67"/>
        <v/>
      </c>
      <c r="Z66" s="55" t="str">
        <f t="shared" si="67"/>
        <v/>
      </c>
      <c r="AA66" s="55" t="str">
        <f t="shared" si="67"/>
        <v/>
      </c>
      <c r="AB66" s="55" t="str">
        <f t="shared" si="67"/>
        <v/>
      </c>
      <c r="AC66" s="55" t="str">
        <f t="shared" si="67"/>
        <v/>
      </c>
    </row>
    <row r="67">
      <c r="B67" s="11">
        <f>IFERROR(__xludf.DUMMYFUNCTION("""COMPUTED_VALUE"""),44762.0)</f>
        <v>44762</v>
      </c>
      <c r="C67" s="50">
        <f>IFERROR(__xludf.DUMMYFUNCTION("""COMPUTED_VALUE"""),27.0)</f>
        <v>27</v>
      </c>
      <c r="D67" s="50">
        <f>IFERROR(__xludf.DUMMYFUNCTION("""COMPUTED_VALUE"""),27.0)</f>
        <v>27</v>
      </c>
      <c r="E67" s="50">
        <f>IFERROR(__xludf.DUMMYFUNCTION("""COMPUTED_VALUE"""),0.0)</f>
        <v>0</v>
      </c>
      <c r="F67" s="50">
        <f>IFERROR(__xludf.DUMMYFUNCTION("""COMPUTED_VALUE"""),0.0)</f>
        <v>0</v>
      </c>
      <c r="G67" s="50">
        <f>IFERROR(__xludf.DUMMYFUNCTION("""COMPUTED_VALUE"""),0.0)</f>
        <v>0</v>
      </c>
      <c r="H67" s="50">
        <f>IFERROR(__xludf.DUMMYFUNCTION("""COMPUTED_VALUE"""),0.0)</f>
        <v>0</v>
      </c>
      <c r="I67" s="50">
        <f>IFERROR(__xludf.DUMMYFUNCTION("""COMPUTED_VALUE"""),0.0)</f>
        <v>0</v>
      </c>
      <c r="J67" s="50" t="b">
        <f>IFERROR(__xludf.DUMMYFUNCTION("""COMPUTED_VALUE"""),TRUE)</f>
        <v>1</v>
      </c>
      <c r="K67" s="79"/>
      <c r="L67" s="6"/>
      <c r="M67" s="50"/>
      <c r="N67" s="50"/>
      <c r="O67" s="50"/>
      <c r="P67" s="50"/>
      <c r="Q67" s="50"/>
      <c r="R67" s="50"/>
      <c r="S67" s="50"/>
      <c r="T67" s="50"/>
      <c r="U67" s="109"/>
      <c r="V67" s="224"/>
      <c r="W67" s="198" t="str">
        <f t="shared" si="39"/>
        <v/>
      </c>
      <c r="X67" s="55" t="str">
        <f t="shared" ref="X67:AC67" si="68">M67</f>
        <v/>
      </c>
      <c r="Y67" s="55" t="str">
        <f t="shared" si="68"/>
        <v/>
      </c>
      <c r="Z67" s="55" t="str">
        <f t="shared" si="68"/>
        <v/>
      </c>
      <c r="AA67" s="55" t="str">
        <f t="shared" si="68"/>
        <v/>
      </c>
      <c r="AB67" s="55" t="str">
        <f t="shared" si="68"/>
        <v/>
      </c>
      <c r="AC67" s="55" t="str">
        <f t="shared" si="68"/>
        <v/>
      </c>
    </row>
    <row r="68">
      <c r="B68" s="11">
        <f>IFERROR(__xludf.DUMMYFUNCTION("""COMPUTED_VALUE"""),44764.0)</f>
        <v>44764</v>
      </c>
      <c r="C68" s="50">
        <f>IFERROR(__xludf.DUMMYFUNCTION("""COMPUTED_VALUE"""),37.0)</f>
        <v>37</v>
      </c>
      <c r="D68" s="50">
        <f>IFERROR(__xludf.DUMMYFUNCTION("""COMPUTED_VALUE"""),35.0)</f>
        <v>35</v>
      </c>
      <c r="E68" s="50">
        <f>IFERROR(__xludf.DUMMYFUNCTION("""COMPUTED_VALUE"""),2.0)</f>
        <v>2</v>
      </c>
      <c r="F68" s="50">
        <f>IFERROR(__xludf.DUMMYFUNCTION("""COMPUTED_VALUE"""),0.0)</f>
        <v>0</v>
      </c>
      <c r="G68" s="50">
        <f>IFERROR(__xludf.DUMMYFUNCTION("""COMPUTED_VALUE"""),0.0)</f>
        <v>0</v>
      </c>
      <c r="H68" s="50">
        <f>IFERROR(__xludf.DUMMYFUNCTION("""COMPUTED_VALUE"""),0.0)</f>
        <v>0</v>
      </c>
      <c r="I68" s="50">
        <f>IFERROR(__xludf.DUMMYFUNCTION("""COMPUTED_VALUE"""),0.0)</f>
        <v>0</v>
      </c>
      <c r="J68" s="50" t="b">
        <f>IFERROR(__xludf.DUMMYFUNCTION("""COMPUTED_VALUE"""),TRUE)</f>
        <v>1</v>
      </c>
      <c r="K68" s="79"/>
      <c r="L68" s="6"/>
      <c r="M68" s="50"/>
      <c r="N68" s="50"/>
      <c r="O68" s="50"/>
      <c r="P68" s="50"/>
      <c r="Q68" s="50"/>
      <c r="R68" s="50"/>
      <c r="S68" s="50"/>
      <c r="T68" s="50"/>
      <c r="U68" s="109"/>
      <c r="V68" s="224"/>
      <c r="W68" s="198" t="str">
        <f t="shared" si="39"/>
        <v/>
      </c>
      <c r="X68" s="55" t="str">
        <f t="shared" ref="X68:AC68" si="69">M68</f>
        <v/>
      </c>
      <c r="Y68" s="55" t="str">
        <f t="shared" si="69"/>
        <v/>
      </c>
      <c r="Z68" s="55" t="str">
        <f t="shared" si="69"/>
        <v/>
      </c>
      <c r="AA68" s="55" t="str">
        <f t="shared" si="69"/>
        <v/>
      </c>
      <c r="AB68" s="55" t="str">
        <f t="shared" si="69"/>
        <v/>
      </c>
      <c r="AC68" s="55" t="str">
        <f t="shared" si="69"/>
        <v/>
      </c>
    </row>
    <row r="69">
      <c r="B69" s="11">
        <f>IFERROR(__xludf.DUMMYFUNCTION("""COMPUTED_VALUE"""),44774.0)</f>
        <v>44774</v>
      </c>
      <c r="C69" s="50">
        <f>IFERROR(__xludf.DUMMYFUNCTION("""COMPUTED_VALUE"""),24.0)</f>
        <v>24</v>
      </c>
      <c r="D69" s="50">
        <f>IFERROR(__xludf.DUMMYFUNCTION("""COMPUTED_VALUE"""),24.0)</f>
        <v>24</v>
      </c>
      <c r="E69" s="50">
        <f>IFERROR(__xludf.DUMMYFUNCTION("""COMPUTED_VALUE"""),0.0)</f>
        <v>0</v>
      </c>
      <c r="F69" s="50">
        <f>IFERROR(__xludf.DUMMYFUNCTION("""COMPUTED_VALUE"""),0.0)</f>
        <v>0</v>
      </c>
      <c r="G69" s="50">
        <f>IFERROR(__xludf.DUMMYFUNCTION("""COMPUTED_VALUE"""),0.0)</f>
        <v>0</v>
      </c>
      <c r="H69" s="50">
        <f>IFERROR(__xludf.DUMMYFUNCTION("""COMPUTED_VALUE"""),0.0)</f>
        <v>0</v>
      </c>
      <c r="I69" s="50">
        <f>IFERROR(__xludf.DUMMYFUNCTION("""COMPUTED_VALUE"""),0.0)</f>
        <v>0</v>
      </c>
      <c r="J69" s="50" t="b">
        <f>IFERROR(__xludf.DUMMYFUNCTION("""COMPUTED_VALUE"""),TRUE)</f>
        <v>1</v>
      </c>
      <c r="K69" s="79"/>
      <c r="L69" s="6"/>
      <c r="M69" s="50"/>
      <c r="N69" s="50"/>
      <c r="O69" s="50"/>
      <c r="P69" s="50"/>
      <c r="Q69" s="50"/>
      <c r="R69" s="50"/>
      <c r="S69" s="50"/>
      <c r="T69" s="50"/>
      <c r="U69" s="109"/>
      <c r="V69" s="224"/>
      <c r="W69" s="198" t="str">
        <f t="shared" si="39"/>
        <v/>
      </c>
      <c r="X69" s="55" t="str">
        <f t="shared" ref="X69:AC69" si="70">M69</f>
        <v/>
      </c>
      <c r="Y69" s="55" t="str">
        <f t="shared" si="70"/>
        <v/>
      </c>
      <c r="Z69" s="55" t="str">
        <f t="shared" si="70"/>
        <v/>
      </c>
      <c r="AA69" s="55" t="str">
        <f t="shared" si="70"/>
        <v/>
      </c>
      <c r="AB69" s="55" t="str">
        <f t="shared" si="70"/>
        <v/>
      </c>
      <c r="AC69" s="55" t="str">
        <f t="shared" si="70"/>
        <v/>
      </c>
    </row>
    <row r="70">
      <c r="B70" s="11">
        <f>IFERROR(__xludf.DUMMYFUNCTION("""COMPUTED_VALUE"""),44775.0)</f>
        <v>44775</v>
      </c>
      <c r="C70" s="50">
        <f>IFERROR(__xludf.DUMMYFUNCTION("""COMPUTED_VALUE"""),17.0)</f>
        <v>17</v>
      </c>
      <c r="D70" s="50">
        <f>IFERROR(__xludf.DUMMYFUNCTION("""COMPUTED_VALUE"""),17.0)</f>
        <v>17</v>
      </c>
      <c r="E70" s="50">
        <f>IFERROR(__xludf.DUMMYFUNCTION("""COMPUTED_VALUE"""),0.0)</f>
        <v>0</v>
      </c>
      <c r="F70" s="50">
        <f>IFERROR(__xludf.DUMMYFUNCTION("""COMPUTED_VALUE"""),0.0)</f>
        <v>0</v>
      </c>
      <c r="G70" s="50">
        <f>IFERROR(__xludf.DUMMYFUNCTION("""COMPUTED_VALUE"""),0.0)</f>
        <v>0</v>
      </c>
      <c r="H70" s="50">
        <f>IFERROR(__xludf.DUMMYFUNCTION("""COMPUTED_VALUE"""),0.0)</f>
        <v>0</v>
      </c>
      <c r="I70" s="50">
        <f>IFERROR(__xludf.DUMMYFUNCTION("""COMPUTED_VALUE"""),0.0)</f>
        <v>0</v>
      </c>
      <c r="J70" s="50" t="b">
        <f>IFERROR(__xludf.DUMMYFUNCTION("""COMPUTED_VALUE"""),TRUE)</f>
        <v>1</v>
      </c>
      <c r="K70" s="79"/>
      <c r="L70" s="6"/>
      <c r="M70" s="50"/>
      <c r="N70" s="50"/>
      <c r="O70" s="50"/>
      <c r="P70" s="50"/>
      <c r="Q70" s="50"/>
      <c r="R70" s="50"/>
      <c r="S70" s="50"/>
      <c r="T70" s="50"/>
      <c r="U70" s="109"/>
      <c r="V70" s="224"/>
      <c r="W70" s="198" t="str">
        <f t="shared" si="39"/>
        <v/>
      </c>
      <c r="X70" s="55" t="str">
        <f t="shared" ref="X70:AC70" si="71">M70</f>
        <v/>
      </c>
      <c r="Y70" s="55" t="str">
        <f t="shared" si="71"/>
        <v/>
      </c>
      <c r="Z70" s="55" t="str">
        <f t="shared" si="71"/>
        <v/>
      </c>
      <c r="AA70" s="55" t="str">
        <f t="shared" si="71"/>
        <v/>
      </c>
      <c r="AB70" s="55" t="str">
        <f t="shared" si="71"/>
        <v/>
      </c>
      <c r="AC70" s="55" t="str">
        <f t="shared" si="71"/>
        <v/>
      </c>
    </row>
    <row r="71">
      <c r="B71" s="11">
        <f>IFERROR(__xludf.DUMMYFUNCTION("""COMPUTED_VALUE"""),44776.0)</f>
        <v>44776</v>
      </c>
      <c r="C71" s="50">
        <f>IFERROR(__xludf.DUMMYFUNCTION("""COMPUTED_VALUE"""),13.0)</f>
        <v>13</v>
      </c>
      <c r="D71" s="50">
        <f>IFERROR(__xludf.DUMMYFUNCTION("""COMPUTED_VALUE"""),13.0)</f>
        <v>13</v>
      </c>
      <c r="E71" s="50">
        <f>IFERROR(__xludf.DUMMYFUNCTION("""COMPUTED_VALUE"""),0.0)</f>
        <v>0</v>
      </c>
      <c r="F71" s="50">
        <f>IFERROR(__xludf.DUMMYFUNCTION("""COMPUTED_VALUE"""),0.0)</f>
        <v>0</v>
      </c>
      <c r="G71" s="50">
        <f>IFERROR(__xludf.DUMMYFUNCTION("""COMPUTED_VALUE"""),0.0)</f>
        <v>0</v>
      </c>
      <c r="H71" s="50">
        <f>IFERROR(__xludf.DUMMYFUNCTION("""COMPUTED_VALUE"""),0.0)</f>
        <v>0</v>
      </c>
      <c r="I71" s="50">
        <f>IFERROR(__xludf.DUMMYFUNCTION("""COMPUTED_VALUE"""),0.0)</f>
        <v>0</v>
      </c>
      <c r="J71" s="50" t="b">
        <f>IFERROR(__xludf.DUMMYFUNCTION("""COMPUTED_VALUE"""),TRUE)</f>
        <v>1</v>
      </c>
      <c r="K71" s="79"/>
      <c r="L71" s="6"/>
      <c r="M71" s="50"/>
      <c r="N71" s="50"/>
      <c r="O71" s="50"/>
      <c r="P71" s="50"/>
      <c r="Q71" s="50"/>
      <c r="R71" s="50"/>
      <c r="S71" s="50"/>
      <c r="T71" s="50"/>
      <c r="U71" s="109"/>
      <c r="V71" s="224"/>
      <c r="W71" s="198" t="str">
        <f t="shared" si="39"/>
        <v/>
      </c>
      <c r="X71" s="55" t="str">
        <f t="shared" ref="X71:AC71" si="72">M71</f>
        <v/>
      </c>
      <c r="Y71" s="55" t="str">
        <f t="shared" si="72"/>
        <v/>
      </c>
      <c r="Z71" s="55" t="str">
        <f t="shared" si="72"/>
        <v/>
      </c>
      <c r="AA71" s="55" t="str">
        <f t="shared" si="72"/>
        <v/>
      </c>
      <c r="AB71" s="55" t="str">
        <f t="shared" si="72"/>
        <v/>
      </c>
      <c r="AC71" s="55" t="str">
        <f t="shared" si="72"/>
        <v/>
      </c>
    </row>
    <row r="72">
      <c r="B72" s="11">
        <f>IFERROR(__xludf.DUMMYFUNCTION("""COMPUTED_VALUE"""),44781.0)</f>
        <v>44781</v>
      </c>
      <c r="C72" s="50">
        <f>IFERROR(__xludf.DUMMYFUNCTION("""COMPUTED_VALUE"""),26.0)</f>
        <v>26</v>
      </c>
      <c r="D72" s="50">
        <f>IFERROR(__xludf.DUMMYFUNCTION("""COMPUTED_VALUE"""),25.0)</f>
        <v>25</v>
      </c>
      <c r="E72" s="50">
        <f>IFERROR(__xludf.DUMMYFUNCTION("""COMPUTED_VALUE"""),1.0)</f>
        <v>1</v>
      </c>
      <c r="F72" s="50">
        <f>IFERROR(__xludf.DUMMYFUNCTION("""COMPUTED_VALUE"""),0.0)</f>
        <v>0</v>
      </c>
      <c r="G72" s="50">
        <f>IFERROR(__xludf.DUMMYFUNCTION("""COMPUTED_VALUE"""),0.0)</f>
        <v>0</v>
      </c>
      <c r="H72" s="50">
        <f>IFERROR(__xludf.DUMMYFUNCTION("""COMPUTED_VALUE"""),0.0)</f>
        <v>0</v>
      </c>
      <c r="I72" s="50">
        <f>IFERROR(__xludf.DUMMYFUNCTION("""COMPUTED_VALUE"""),0.0)</f>
        <v>0</v>
      </c>
      <c r="J72" s="50" t="b">
        <f>IFERROR(__xludf.DUMMYFUNCTION("""COMPUTED_VALUE"""),TRUE)</f>
        <v>1</v>
      </c>
      <c r="K72" s="79"/>
      <c r="L72" s="6"/>
      <c r="M72" s="50"/>
      <c r="N72" s="50"/>
      <c r="O72" s="50"/>
      <c r="P72" s="50"/>
      <c r="Q72" s="50"/>
      <c r="R72" s="50"/>
      <c r="S72" s="50"/>
      <c r="T72" s="50"/>
      <c r="U72" s="109"/>
      <c r="V72" s="224"/>
      <c r="W72" s="198" t="str">
        <f t="shared" si="39"/>
        <v/>
      </c>
      <c r="X72" s="55" t="str">
        <f t="shared" ref="X72:AC72" si="73">M72</f>
        <v/>
      </c>
      <c r="Y72" s="55" t="str">
        <f t="shared" si="73"/>
        <v/>
      </c>
      <c r="Z72" s="55" t="str">
        <f t="shared" si="73"/>
        <v/>
      </c>
      <c r="AA72" s="55" t="str">
        <f t="shared" si="73"/>
        <v/>
      </c>
      <c r="AB72" s="55" t="str">
        <f t="shared" si="73"/>
        <v/>
      </c>
      <c r="AC72" s="55" t="str">
        <f t="shared" si="73"/>
        <v/>
      </c>
    </row>
    <row r="73">
      <c r="B73" s="11">
        <f>IFERROR(__xludf.DUMMYFUNCTION("""COMPUTED_VALUE"""),44782.0)</f>
        <v>44782</v>
      </c>
      <c r="C73" s="50">
        <f>IFERROR(__xludf.DUMMYFUNCTION("""COMPUTED_VALUE"""),20.0)</f>
        <v>20</v>
      </c>
      <c r="D73" s="50">
        <f>IFERROR(__xludf.DUMMYFUNCTION("""COMPUTED_VALUE"""),20.0)</f>
        <v>20</v>
      </c>
      <c r="E73" s="50">
        <f>IFERROR(__xludf.DUMMYFUNCTION("""COMPUTED_VALUE"""),0.0)</f>
        <v>0</v>
      </c>
      <c r="F73" s="50">
        <f>IFERROR(__xludf.DUMMYFUNCTION("""COMPUTED_VALUE"""),0.0)</f>
        <v>0</v>
      </c>
      <c r="G73" s="50">
        <f>IFERROR(__xludf.DUMMYFUNCTION("""COMPUTED_VALUE"""),0.0)</f>
        <v>0</v>
      </c>
      <c r="H73" s="50">
        <f>IFERROR(__xludf.DUMMYFUNCTION("""COMPUTED_VALUE"""),0.0)</f>
        <v>0</v>
      </c>
      <c r="I73" s="50">
        <f>IFERROR(__xludf.DUMMYFUNCTION("""COMPUTED_VALUE"""),0.0)</f>
        <v>0</v>
      </c>
      <c r="J73" s="50" t="b">
        <f>IFERROR(__xludf.DUMMYFUNCTION("""COMPUTED_VALUE"""),TRUE)</f>
        <v>1</v>
      </c>
      <c r="K73" s="79"/>
      <c r="L73" s="6"/>
      <c r="M73" s="50"/>
      <c r="N73" s="50"/>
      <c r="O73" s="50"/>
      <c r="P73" s="50"/>
      <c r="Q73" s="50"/>
      <c r="R73" s="50"/>
      <c r="S73" s="50"/>
      <c r="T73" s="50"/>
      <c r="U73" s="109"/>
      <c r="V73" s="224"/>
      <c r="W73" s="198" t="str">
        <f t="shared" si="39"/>
        <v/>
      </c>
      <c r="X73" s="55" t="str">
        <f t="shared" ref="X73:AC73" si="74">M73</f>
        <v/>
      </c>
      <c r="Y73" s="55" t="str">
        <f t="shared" si="74"/>
        <v/>
      </c>
      <c r="Z73" s="55" t="str">
        <f t="shared" si="74"/>
        <v/>
      </c>
      <c r="AA73" s="55" t="str">
        <f t="shared" si="74"/>
        <v/>
      </c>
      <c r="AB73" s="55" t="str">
        <f t="shared" si="74"/>
        <v/>
      </c>
      <c r="AC73" s="55" t="str">
        <f t="shared" si="74"/>
        <v/>
      </c>
    </row>
    <row r="74">
      <c r="B74" s="11">
        <f>IFERROR(__xludf.DUMMYFUNCTION("""COMPUTED_VALUE"""),44783.0)</f>
        <v>44783</v>
      </c>
      <c r="C74" s="50">
        <f>IFERROR(__xludf.DUMMYFUNCTION("""COMPUTED_VALUE"""),16.0)</f>
        <v>16</v>
      </c>
      <c r="D74" s="50">
        <f>IFERROR(__xludf.DUMMYFUNCTION("""COMPUTED_VALUE"""),16.0)</f>
        <v>16</v>
      </c>
      <c r="E74" s="50">
        <f>IFERROR(__xludf.DUMMYFUNCTION("""COMPUTED_VALUE"""),0.0)</f>
        <v>0</v>
      </c>
      <c r="F74" s="50">
        <f>IFERROR(__xludf.DUMMYFUNCTION("""COMPUTED_VALUE"""),0.0)</f>
        <v>0</v>
      </c>
      <c r="G74" s="50">
        <f>IFERROR(__xludf.DUMMYFUNCTION("""COMPUTED_VALUE"""),0.0)</f>
        <v>0</v>
      </c>
      <c r="H74" s="50">
        <f>IFERROR(__xludf.DUMMYFUNCTION("""COMPUTED_VALUE"""),0.0)</f>
        <v>0</v>
      </c>
      <c r="I74" s="50">
        <f>IFERROR(__xludf.DUMMYFUNCTION("""COMPUTED_VALUE"""),0.0)</f>
        <v>0</v>
      </c>
      <c r="J74" s="50" t="b">
        <f>IFERROR(__xludf.DUMMYFUNCTION("""COMPUTED_VALUE"""),TRUE)</f>
        <v>1</v>
      </c>
      <c r="K74" s="79"/>
      <c r="L74" s="6"/>
      <c r="M74" s="50"/>
      <c r="N74" s="50"/>
      <c r="O74" s="50"/>
      <c r="P74" s="50"/>
      <c r="Q74" s="50"/>
      <c r="R74" s="50"/>
      <c r="S74" s="50"/>
      <c r="T74" s="50"/>
      <c r="U74" s="109"/>
      <c r="V74" s="224"/>
      <c r="W74" s="198" t="str">
        <f t="shared" si="39"/>
        <v/>
      </c>
      <c r="X74" s="55" t="str">
        <f t="shared" ref="X74:AC74" si="75">M74</f>
        <v/>
      </c>
      <c r="Y74" s="55" t="str">
        <f t="shared" si="75"/>
        <v/>
      </c>
      <c r="Z74" s="55" t="str">
        <f t="shared" si="75"/>
        <v/>
      </c>
      <c r="AA74" s="55" t="str">
        <f t="shared" si="75"/>
        <v/>
      </c>
      <c r="AB74" s="55" t="str">
        <f t="shared" si="75"/>
        <v/>
      </c>
      <c r="AC74" s="55" t="str">
        <f t="shared" si="75"/>
        <v/>
      </c>
    </row>
    <row r="75">
      <c r="B75" s="6"/>
      <c r="C75" s="50"/>
      <c r="D75" s="50"/>
      <c r="E75" s="50"/>
      <c r="F75" s="50"/>
      <c r="G75" s="50"/>
      <c r="H75" s="50"/>
      <c r="I75" s="50"/>
      <c r="J75" s="50"/>
      <c r="K75" s="79"/>
      <c r="L75" s="6"/>
      <c r="M75" s="50"/>
      <c r="N75" s="50"/>
      <c r="O75" s="50"/>
      <c r="P75" s="50"/>
      <c r="Q75" s="50"/>
      <c r="R75" s="50"/>
      <c r="S75" s="50"/>
      <c r="T75" s="50"/>
      <c r="U75" s="109"/>
      <c r="V75" s="224"/>
      <c r="W75" s="198" t="str">
        <f t="shared" si="39"/>
        <v/>
      </c>
      <c r="X75" s="55" t="str">
        <f t="shared" ref="X75:AC75" si="76">M75</f>
        <v/>
      </c>
      <c r="Y75" s="55" t="str">
        <f t="shared" si="76"/>
        <v/>
      </c>
      <c r="Z75" s="55" t="str">
        <f t="shared" si="76"/>
        <v/>
      </c>
      <c r="AA75" s="55" t="str">
        <f t="shared" si="76"/>
        <v/>
      </c>
      <c r="AB75" s="55" t="str">
        <f t="shared" si="76"/>
        <v/>
      </c>
      <c r="AC75" s="55" t="str">
        <f t="shared" si="76"/>
        <v/>
      </c>
    </row>
    <row r="76">
      <c r="B76" s="6"/>
      <c r="C76" s="50"/>
      <c r="D76" s="50"/>
      <c r="E76" s="50"/>
      <c r="F76" s="50"/>
      <c r="G76" s="50"/>
      <c r="H76" s="50"/>
      <c r="I76" s="50"/>
      <c r="J76" s="50"/>
      <c r="K76" s="79"/>
      <c r="L76" s="6"/>
      <c r="M76" s="50"/>
      <c r="N76" s="50"/>
      <c r="O76" s="50"/>
      <c r="P76" s="50"/>
      <c r="Q76" s="50"/>
      <c r="R76" s="50"/>
      <c r="S76" s="50"/>
      <c r="T76" s="50"/>
      <c r="U76" s="109"/>
      <c r="V76" s="224"/>
      <c r="W76" s="198" t="str">
        <f t="shared" si="39"/>
        <v/>
      </c>
      <c r="X76" s="55" t="str">
        <f t="shared" ref="X76:AC76" si="77">M76</f>
        <v/>
      </c>
      <c r="Y76" s="55" t="str">
        <f t="shared" si="77"/>
        <v/>
      </c>
      <c r="Z76" s="55" t="str">
        <f t="shared" si="77"/>
        <v/>
      </c>
      <c r="AA76" s="55" t="str">
        <f t="shared" si="77"/>
        <v/>
      </c>
      <c r="AB76" s="55" t="str">
        <f t="shared" si="77"/>
        <v/>
      </c>
      <c r="AC76" s="55" t="str">
        <f t="shared" si="77"/>
        <v/>
      </c>
    </row>
    <row r="77">
      <c r="B77" s="6"/>
      <c r="C77" s="50"/>
      <c r="D77" s="50"/>
      <c r="E77" s="50"/>
      <c r="F77" s="50"/>
      <c r="G77" s="50"/>
      <c r="H77" s="50"/>
      <c r="I77" s="50"/>
      <c r="J77" s="50"/>
      <c r="K77" s="79"/>
      <c r="L77" s="6"/>
      <c r="M77" s="50"/>
      <c r="N77" s="50"/>
      <c r="O77" s="50"/>
      <c r="P77" s="50"/>
      <c r="Q77" s="50"/>
      <c r="R77" s="50"/>
      <c r="S77" s="50"/>
      <c r="T77" s="50"/>
      <c r="U77" s="109"/>
      <c r="V77" s="224"/>
      <c r="W77" s="198" t="str">
        <f t="shared" si="39"/>
        <v/>
      </c>
      <c r="X77" s="55" t="str">
        <f t="shared" ref="X77:AC77" si="78">M77</f>
        <v/>
      </c>
      <c r="Y77" s="55" t="str">
        <f t="shared" si="78"/>
        <v/>
      </c>
      <c r="Z77" s="55" t="str">
        <f t="shared" si="78"/>
        <v/>
      </c>
      <c r="AA77" s="55" t="str">
        <f t="shared" si="78"/>
        <v/>
      </c>
      <c r="AB77" s="55" t="str">
        <f t="shared" si="78"/>
        <v/>
      </c>
      <c r="AC77" s="55" t="str">
        <f t="shared" si="78"/>
        <v/>
      </c>
    </row>
    <row r="78">
      <c r="B78" s="6"/>
      <c r="C78" s="50"/>
      <c r="D78" s="50"/>
      <c r="E78" s="50"/>
      <c r="F78" s="50"/>
      <c r="G78" s="50"/>
      <c r="H78" s="50"/>
      <c r="I78" s="50"/>
      <c r="J78" s="50"/>
      <c r="K78" s="79"/>
      <c r="L78" s="6"/>
      <c r="M78" s="50"/>
      <c r="N78" s="50"/>
      <c r="O78" s="50"/>
      <c r="P78" s="50"/>
      <c r="Q78" s="50"/>
      <c r="R78" s="50"/>
      <c r="S78" s="50"/>
      <c r="T78" s="50"/>
      <c r="U78" s="109"/>
      <c r="V78" s="224"/>
      <c r="W78" s="198" t="str">
        <f t="shared" si="39"/>
        <v/>
      </c>
      <c r="X78" s="55" t="str">
        <f t="shared" ref="X78:AC78" si="79">M78</f>
        <v/>
      </c>
      <c r="Y78" s="55" t="str">
        <f t="shared" si="79"/>
        <v/>
      </c>
      <c r="Z78" s="55" t="str">
        <f t="shared" si="79"/>
        <v/>
      </c>
      <c r="AA78" s="55" t="str">
        <f t="shared" si="79"/>
        <v/>
      </c>
      <c r="AB78" s="55" t="str">
        <f t="shared" si="79"/>
        <v/>
      </c>
      <c r="AC78" s="55" t="str">
        <f t="shared" si="79"/>
        <v/>
      </c>
    </row>
    <row r="79">
      <c r="B79" s="6"/>
      <c r="C79" s="50"/>
      <c r="D79" s="50"/>
      <c r="E79" s="50"/>
      <c r="F79" s="50"/>
      <c r="G79" s="50"/>
      <c r="H79" s="50"/>
      <c r="I79" s="50"/>
      <c r="J79" s="50"/>
      <c r="K79" s="79"/>
      <c r="L79" s="6"/>
      <c r="M79" s="50"/>
      <c r="N79" s="50"/>
      <c r="O79" s="50"/>
      <c r="P79" s="50"/>
      <c r="Q79" s="50"/>
      <c r="R79" s="50"/>
      <c r="S79" s="50"/>
      <c r="T79" s="50"/>
      <c r="U79" s="109"/>
      <c r="V79" s="224"/>
      <c r="W79" s="198" t="str">
        <f t="shared" si="39"/>
        <v/>
      </c>
      <c r="X79" s="55" t="str">
        <f t="shared" ref="X79:AC79" si="80">M79</f>
        <v/>
      </c>
      <c r="Y79" s="55" t="str">
        <f t="shared" si="80"/>
        <v/>
      </c>
      <c r="Z79" s="55" t="str">
        <f t="shared" si="80"/>
        <v/>
      </c>
      <c r="AA79" s="55" t="str">
        <f t="shared" si="80"/>
        <v/>
      </c>
      <c r="AB79" s="55" t="str">
        <f t="shared" si="80"/>
        <v/>
      </c>
      <c r="AC79" s="55" t="str">
        <f t="shared" si="80"/>
        <v/>
      </c>
    </row>
    <row r="80">
      <c r="B80" s="6"/>
      <c r="C80" s="50"/>
      <c r="D80" s="50"/>
      <c r="E80" s="50"/>
      <c r="F80" s="50"/>
      <c r="G80" s="50"/>
      <c r="H80" s="50"/>
      <c r="I80" s="50"/>
      <c r="J80" s="50"/>
      <c r="K80" s="79"/>
      <c r="L80" s="6"/>
      <c r="M80" s="50"/>
      <c r="N80" s="50"/>
      <c r="O80" s="50"/>
      <c r="P80" s="50"/>
      <c r="Q80" s="50"/>
      <c r="R80" s="50"/>
      <c r="S80" s="50"/>
      <c r="T80" s="50"/>
      <c r="U80" s="109"/>
      <c r="V80" s="224"/>
      <c r="W80" s="198" t="str">
        <f t="shared" si="39"/>
        <v/>
      </c>
      <c r="X80" s="55" t="str">
        <f t="shared" ref="X80:AC80" si="81">M80</f>
        <v/>
      </c>
      <c r="Y80" s="55" t="str">
        <f t="shared" si="81"/>
        <v/>
      </c>
      <c r="Z80" s="55" t="str">
        <f t="shared" si="81"/>
        <v/>
      </c>
      <c r="AA80" s="55" t="str">
        <f t="shared" si="81"/>
        <v/>
      </c>
      <c r="AB80" s="55" t="str">
        <f t="shared" si="81"/>
        <v/>
      </c>
      <c r="AC80" s="55" t="str">
        <f t="shared" si="81"/>
        <v/>
      </c>
    </row>
    <row r="81">
      <c r="B81" s="6"/>
      <c r="C81" s="50"/>
      <c r="D81" s="50"/>
      <c r="E81" s="50"/>
      <c r="F81" s="50"/>
      <c r="G81" s="50"/>
      <c r="H81" s="50"/>
      <c r="I81" s="50"/>
      <c r="J81" s="50"/>
      <c r="K81" s="79"/>
      <c r="L81" s="6"/>
      <c r="M81" s="50"/>
      <c r="N81" s="50"/>
      <c r="O81" s="50"/>
      <c r="P81" s="50"/>
      <c r="Q81" s="50"/>
      <c r="R81" s="50"/>
      <c r="S81" s="50"/>
      <c r="T81" s="50"/>
      <c r="U81" s="109"/>
      <c r="V81" s="224"/>
      <c r="W81" s="198" t="str">
        <f t="shared" si="39"/>
        <v/>
      </c>
      <c r="X81" s="55" t="str">
        <f t="shared" ref="X81:AC81" si="82">M81</f>
        <v/>
      </c>
      <c r="Y81" s="55" t="str">
        <f t="shared" si="82"/>
        <v/>
      </c>
      <c r="Z81" s="55" t="str">
        <f t="shared" si="82"/>
        <v/>
      </c>
      <c r="AA81" s="55" t="str">
        <f t="shared" si="82"/>
        <v/>
      </c>
      <c r="AB81" s="55" t="str">
        <f t="shared" si="82"/>
        <v/>
      </c>
      <c r="AC81" s="55" t="str">
        <f t="shared" si="82"/>
        <v/>
      </c>
    </row>
    <row r="82">
      <c r="B82" s="6"/>
      <c r="C82" s="50"/>
      <c r="D82" s="50"/>
      <c r="E82" s="50"/>
      <c r="F82" s="50"/>
      <c r="G82" s="50"/>
      <c r="H82" s="50"/>
      <c r="I82" s="50"/>
      <c r="J82" s="50"/>
      <c r="K82" s="79"/>
      <c r="L82" s="6"/>
      <c r="M82" s="50"/>
      <c r="N82" s="50"/>
      <c r="O82" s="50"/>
      <c r="P82" s="50"/>
      <c r="Q82" s="50"/>
      <c r="R82" s="50"/>
      <c r="S82" s="50"/>
      <c r="T82" s="50"/>
      <c r="U82" s="109"/>
      <c r="V82" s="224"/>
      <c r="W82" s="198" t="str">
        <f t="shared" si="39"/>
        <v/>
      </c>
      <c r="X82" s="55" t="str">
        <f t="shared" ref="X82:AC82" si="83">M82</f>
        <v/>
      </c>
      <c r="Y82" s="55" t="str">
        <f t="shared" si="83"/>
        <v/>
      </c>
      <c r="Z82" s="55" t="str">
        <f t="shared" si="83"/>
        <v/>
      </c>
      <c r="AA82" s="55" t="str">
        <f t="shared" si="83"/>
        <v/>
      </c>
      <c r="AB82" s="55" t="str">
        <f t="shared" si="83"/>
        <v/>
      </c>
      <c r="AC82" s="55" t="str">
        <f t="shared" si="83"/>
        <v/>
      </c>
    </row>
    <row r="83">
      <c r="B83" s="6"/>
      <c r="C83" s="50"/>
      <c r="D83" s="50"/>
      <c r="E83" s="50"/>
      <c r="F83" s="50"/>
      <c r="G83" s="50"/>
      <c r="H83" s="50"/>
      <c r="I83" s="50"/>
      <c r="J83" s="50"/>
      <c r="K83" s="79"/>
      <c r="L83" s="6"/>
      <c r="M83" s="50"/>
      <c r="N83" s="50"/>
      <c r="O83" s="50"/>
      <c r="P83" s="50"/>
      <c r="Q83" s="50"/>
      <c r="R83" s="50"/>
      <c r="S83" s="50"/>
      <c r="T83" s="50"/>
      <c r="U83" s="109"/>
      <c r="V83" s="224"/>
      <c r="W83" s="198" t="str">
        <f t="shared" si="39"/>
        <v/>
      </c>
      <c r="X83" s="55" t="str">
        <f t="shared" ref="X83:AC83" si="84">M83</f>
        <v/>
      </c>
      <c r="Y83" s="55" t="str">
        <f t="shared" si="84"/>
        <v/>
      </c>
      <c r="Z83" s="55" t="str">
        <f t="shared" si="84"/>
        <v/>
      </c>
      <c r="AA83" s="55" t="str">
        <f t="shared" si="84"/>
        <v/>
      </c>
      <c r="AB83" s="55" t="str">
        <f t="shared" si="84"/>
        <v/>
      </c>
      <c r="AC83" s="55" t="str">
        <f t="shared" si="84"/>
        <v/>
      </c>
    </row>
    <row r="84">
      <c r="B84" s="6"/>
      <c r="C84" s="50"/>
      <c r="D84" s="50"/>
      <c r="E84" s="50"/>
      <c r="F84" s="50"/>
      <c r="G84" s="50"/>
      <c r="H84" s="50"/>
      <c r="I84" s="50"/>
      <c r="J84" s="50"/>
      <c r="K84" s="79"/>
      <c r="L84" s="6"/>
      <c r="M84" s="50"/>
      <c r="N84" s="50"/>
      <c r="O84" s="50"/>
      <c r="P84" s="50"/>
      <c r="Q84" s="50"/>
      <c r="R84" s="50"/>
      <c r="S84" s="50"/>
      <c r="T84" s="50"/>
      <c r="U84" s="109"/>
      <c r="V84" s="224"/>
      <c r="W84" s="198" t="str">
        <f t="shared" si="39"/>
        <v/>
      </c>
      <c r="X84" s="55" t="str">
        <f t="shared" ref="X84:AC84" si="85">M84</f>
        <v/>
      </c>
      <c r="Y84" s="55" t="str">
        <f t="shared" si="85"/>
        <v/>
      </c>
      <c r="Z84" s="55" t="str">
        <f t="shared" si="85"/>
        <v/>
      </c>
      <c r="AA84" s="55" t="str">
        <f t="shared" si="85"/>
        <v/>
      </c>
      <c r="AB84" s="55" t="str">
        <f t="shared" si="85"/>
        <v/>
      </c>
      <c r="AC84" s="55" t="str">
        <f t="shared" si="85"/>
        <v/>
      </c>
    </row>
    <row r="85">
      <c r="B85" s="6"/>
      <c r="C85" s="50"/>
      <c r="D85" s="50"/>
      <c r="E85" s="50"/>
      <c r="F85" s="50"/>
      <c r="G85" s="50"/>
      <c r="H85" s="50"/>
      <c r="I85" s="50"/>
      <c r="J85" s="50"/>
      <c r="K85" s="79"/>
      <c r="L85" s="6"/>
      <c r="M85" s="50"/>
      <c r="N85" s="50"/>
      <c r="O85" s="50"/>
      <c r="P85" s="50"/>
      <c r="Q85" s="50"/>
      <c r="R85" s="50"/>
      <c r="S85" s="50"/>
      <c r="T85" s="50"/>
      <c r="U85" s="109"/>
      <c r="V85" s="224"/>
      <c r="W85" s="198" t="str">
        <f t="shared" si="39"/>
        <v/>
      </c>
      <c r="X85" s="55" t="str">
        <f t="shared" ref="X85:AC85" si="86">M85</f>
        <v/>
      </c>
      <c r="Y85" s="55" t="str">
        <f t="shared" si="86"/>
        <v/>
      </c>
      <c r="Z85" s="55" t="str">
        <f t="shared" si="86"/>
        <v/>
      </c>
      <c r="AA85" s="55" t="str">
        <f t="shared" si="86"/>
        <v/>
      </c>
      <c r="AB85" s="55" t="str">
        <f t="shared" si="86"/>
        <v/>
      </c>
      <c r="AC85" s="55" t="str">
        <f t="shared" si="86"/>
        <v/>
      </c>
    </row>
    <row r="86">
      <c r="B86" s="6"/>
      <c r="C86" s="50"/>
      <c r="D86" s="50"/>
      <c r="E86" s="50"/>
      <c r="F86" s="50"/>
      <c r="G86" s="50"/>
      <c r="H86" s="50"/>
      <c r="I86" s="50"/>
      <c r="J86" s="50"/>
      <c r="K86" s="79"/>
      <c r="L86" s="6"/>
      <c r="M86" s="50"/>
      <c r="N86" s="50"/>
      <c r="O86" s="50"/>
      <c r="P86" s="50"/>
      <c r="Q86" s="50"/>
      <c r="R86" s="50"/>
      <c r="S86" s="50"/>
      <c r="T86" s="50"/>
      <c r="U86" s="109"/>
      <c r="V86" s="224"/>
      <c r="W86" s="198" t="str">
        <f t="shared" si="39"/>
        <v/>
      </c>
      <c r="X86" s="55" t="str">
        <f t="shared" ref="X86:AC86" si="87">M86</f>
        <v/>
      </c>
      <c r="Y86" s="55" t="str">
        <f t="shared" si="87"/>
        <v/>
      </c>
      <c r="Z86" s="55" t="str">
        <f t="shared" si="87"/>
        <v/>
      </c>
      <c r="AA86" s="55" t="str">
        <f t="shared" si="87"/>
        <v/>
      </c>
      <c r="AB86" s="55" t="str">
        <f t="shared" si="87"/>
        <v/>
      </c>
      <c r="AC86" s="55" t="str">
        <f t="shared" si="87"/>
        <v/>
      </c>
    </row>
    <row r="87">
      <c r="B87" s="6"/>
      <c r="C87" s="50"/>
      <c r="D87" s="50"/>
      <c r="E87" s="50"/>
      <c r="F87" s="50"/>
      <c r="G87" s="50"/>
      <c r="H87" s="50"/>
      <c r="I87" s="50"/>
      <c r="J87" s="50"/>
      <c r="K87" s="79"/>
      <c r="L87" s="6"/>
      <c r="M87" s="50"/>
      <c r="N87" s="50"/>
      <c r="O87" s="50"/>
      <c r="P87" s="50"/>
      <c r="Q87" s="50"/>
      <c r="R87" s="50"/>
      <c r="S87" s="50"/>
      <c r="T87" s="50"/>
      <c r="U87" s="109"/>
      <c r="V87" s="224"/>
      <c r="W87" s="198" t="str">
        <f t="shared" si="39"/>
        <v/>
      </c>
      <c r="X87" s="55" t="str">
        <f t="shared" ref="X87:AC87" si="88">M87</f>
        <v/>
      </c>
      <c r="Y87" s="55" t="str">
        <f t="shared" si="88"/>
        <v/>
      </c>
      <c r="Z87" s="55" t="str">
        <f t="shared" si="88"/>
        <v/>
      </c>
      <c r="AA87" s="55" t="str">
        <f t="shared" si="88"/>
        <v/>
      </c>
      <c r="AB87" s="55" t="str">
        <f t="shared" si="88"/>
        <v/>
      </c>
      <c r="AC87" s="55" t="str">
        <f t="shared" si="88"/>
        <v/>
      </c>
    </row>
    <row r="88">
      <c r="B88" s="6"/>
      <c r="C88" s="50"/>
      <c r="D88" s="50"/>
      <c r="E88" s="50"/>
      <c r="F88" s="50"/>
      <c r="G88" s="50"/>
      <c r="H88" s="50"/>
      <c r="I88" s="50"/>
      <c r="J88" s="50"/>
      <c r="K88" s="79"/>
      <c r="L88" s="6"/>
      <c r="M88" s="50"/>
      <c r="N88" s="50"/>
      <c r="O88" s="50"/>
      <c r="P88" s="50"/>
      <c r="Q88" s="50"/>
      <c r="R88" s="50"/>
      <c r="S88" s="50"/>
      <c r="T88" s="50"/>
      <c r="U88" s="109"/>
      <c r="V88" s="224"/>
      <c r="W88" s="198" t="str">
        <f t="shared" si="39"/>
        <v/>
      </c>
      <c r="X88" s="55" t="str">
        <f t="shared" ref="X88:AC88" si="89">M88</f>
        <v/>
      </c>
      <c r="Y88" s="55" t="str">
        <f t="shared" si="89"/>
        <v/>
      </c>
      <c r="Z88" s="55" t="str">
        <f t="shared" si="89"/>
        <v/>
      </c>
      <c r="AA88" s="55" t="str">
        <f t="shared" si="89"/>
        <v/>
      </c>
      <c r="AB88" s="55" t="str">
        <f t="shared" si="89"/>
        <v/>
      </c>
      <c r="AC88" s="55" t="str">
        <f t="shared" si="89"/>
        <v/>
      </c>
    </row>
    <row r="89">
      <c r="B89" s="6"/>
      <c r="C89" s="50"/>
      <c r="D89" s="50"/>
      <c r="E89" s="50"/>
      <c r="F89" s="50"/>
      <c r="G89" s="50"/>
      <c r="H89" s="50"/>
      <c r="I89" s="50"/>
      <c r="J89" s="50"/>
      <c r="K89" s="79"/>
      <c r="L89" s="6"/>
      <c r="M89" s="50"/>
      <c r="N89" s="50"/>
      <c r="O89" s="50"/>
      <c r="P89" s="50"/>
      <c r="Q89" s="50"/>
      <c r="R89" s="50"/>
      <c r="S89" s="50"/>
      <c r="T89" s="50"/>
      <c r="U89" s="109"/>
      <c r="V89" s="224"/>
      <c r="W89" s="198" t="str">
        <f t="shared" si="39"/>
        <v/>
      </c>
      <c r="X89" s="55" t="str">
        <f t="shared" ref="X89:AC89" si="90">M89</f>
        <v/>
      </c>
      <c r="Y89" s="55" t="str">
        <f t="shared" si="90"/>
        <v/>
      </c>
      <c r="Z89" s="55" t="str">
        <f t="shared" si="90"/>
        <v/>
      </c>
      <c r="AA89" s="55" t="str">
        <f t="shared" si="90"/>
        <v/>
      </c>
      <c r="AB89" s="55" t="str">
        <f t="shared" si="90"/>
        <v/>
      </c>
      <c r="AC89" s="55" t="str">
        <f t="shared" si="90"/>
        <v/>
      </c>
    </row>
    <row r="90">
      <c r="B90" s="6"/>
      <c r="C90" s="50"/>
      <c r="D90" s="50"/>
      <c r="E90" s="50"/>
      <c r="F90" s="50"/>
      <c r="G90" s="50"/>
      <c r="H90" s="50"/>
      <c r="I90" s="50"/>
      <c r="J90" s="50"/>
      <c r="K90" s="79"/>
      <c r="L90" s="6"/>
      <c r="M90" s="50"/>
      <c r="N90" s="50"/>
      <c r="O90" s="50"/>
      <c r="P90" s="50"/>
      <c r="Q90" s="50"/>
      <c r="R90" s="50"/>
      <c r="S90" s="50"/>
      <c r="T90" s="50"/>
      <c r="U90" s="109"/>
      <c r="V90" s="224"/>
      <c r="W90" s="198" t="str">
        <f t="shared" si="39"/>
        <v/>
      </c>
      <c r="X90" s="55" t="str">
        <f t="shared" ref="X90:AC90" si="91">M90</f>
        <v/>
      </c>
      <c r="Y90" s="55" t="str">
        <f t="shared" si="91"/>
        <v/>
      </c>
      <c r="Z90" s="55" t="str">
        <f t="shared" si="91"/>
        <v/>
      </c>
      <c r="AA90" s="55" t="str">
        <f t="shared" si="91"/>
        <v/>
      </c>
      <c r="AB90" s="55" t="str">
        <f t="shared" si="91"/>
        <v/>
      </c>
      <c r="AC90" s="55" t="str">
        <f t="shared" si="91"/>
        <v/>
      </c>
    </row>
    <row r="91">
      <c r="B91" s="6"/>
      <c r="C91" s="50"/>
      <c r="D91" s="50"/>
      <c r="E91" s="50"/>
      <c r="F91" s="50"/>
      <c r="G91" s="50"/>
      <c r="H91" s="50"/>
      <c r="I91" s="50"/>
      <c r="J91" s="50"/>
      <c r="K91" s="79"/>
      <c r="L91" s="6"/>
      <c r="M91" s="50"/>
      <c r="N91" s="50"/>
      <c r="O91" s="50"/>
      <c r="P91" s="50"/>
      <c r="Q91" s="50"/>
      <c r="R91" s="50"/>
      <c r="S91" s="50"/>
      <c r="T91" s="50"/>
      <c r="U91" s="109"/>
      <c r="V91" s="224"/>
      <c r="W91" s="198" t="str">
        <f t="shared" si="39"/>
        <v/>
      </c>
      <c r="X91" s="55" t="str">
        <f t="shared" ref="X91:AC91" si="92">M91</f>
        <v/>
      </c>
      <c r="Y91" s="55" t="str">
        <f t="shared" si="92"/>
        <v/>
      </c>
      <c r="Z91" s="55" t="str">
        <f t="shared" si="92"/>
        <v/>
      </c>
      <c r="AA91" s="55" t="str">
        <f t="shared" si="92"/>
        <v/>
      </c>
      <c r="AB91" s="55" t="str">
        <f t="shared" si="92"/>
        <v/>
      </c>
      <c r="AC91" s="55" t="str">
        <f t="shared" si="92"/>
        <v/>
      </c>
    </row>
    <row r="92">
      <c r="B92" s="6"/>
      <c r="C92" s="50"/>
      <c r="D92" s="50"/>
      <c r="E92" s="50"/>
      <c r="F92" s="50"/>
      <c r="G92" s="50"/>
      <c r="H92" s="50"/>
      <c r="I92" s="50"/>
      <c r="J92" s="50"/>
      <c r="K92" s="79"/>
      <c r="L92" s="6"/>
      <c r="M92" s="50"/>
      <c r="N92" s="50"/>
      <c r="O92" s="50"/>
      <c r="P92" s="50"/>
      <c r="Q92" s="50"/>
      <c r="R92" s="50"/>
      <c r="S92" s="50"/>
      <c r="T92" s="50"/>
      <c r="U92" s="109"/>
      <c r="V92" s="224"/>
      <c r="W92" s="198" t="str">
        <f t="shared" si="39"/>
        <v/>
      </c>
      <c r="X92" s="55" t="str">
        <f t="shared" ref="X92:AC92" si="93">M92</f>
        <v/>
      </c>
      <c r="Y92" s="55" t="str">
        <f t="shared" si="93"/>
        <v/>
      </c>
      <c r="Z92" s="55" t="str">
        <f t="shared" si="93"/>
        <v/>
      </c>
      <c r="AA92" s="55" t="str">
        <f t="shared" si="93"/>
        <v/>
      </c>
      <c r="AB92" s="55" t="str">
        <f t="shared" si="93"/>
        <v/>
      </c>
      <c r="AC92" s="55" t="str">
        <f t="shared" si="93"/>
        <v/>
      </c>
    </row>
    <row r="93">
      <c r="B93" s="6"/>
      <c r="C93" s="50"/>
      <c r="D93" s="50"/>
      <c r="E93" s="50"/>
      <c r="F93" s="50"/>
      <c r="G93" s="50"/>
      <c r="H93" s="50"/>
      <c r="I93" s="50"/>
      <c r="J93" s="50"/>
      <c r="K93" s="79"/>
      <c r="L93" s="6"/>
      <c r="M93" s="50"/>
      <c r="N93" s="50"/>
      <c r="O93" s="50"/>
      <c r="P93" s="50"/>
      <c r="Q93" s="50"/>
      <c r="R93" s="50"/>
      <c r="S93" s="50"/>
      <c r="T93" s="50"/>
      <c r="U93" s="109"/>
      <c r="V93" s="224"/>
      <c r="W93" s="198" t="str">
        <f t="shared" si="39"/>
        <v/>
      </c>
      <c r="X93" s="55" t="str">
        <f t="shared" ref="X93:AC93" si="94">M93</f>
        <v/>
      </c>
      <c r="Y93" s="55" t="str">
        <f t="shared" si="94"/>
        <v/>
      </c>
      <c r="Z93" s="55" t="str">
        <f t="shared" si="94"/>
        <v/>
      </c>
      <c r="AA93" s="55" t="str">
        <f t="shared" si="94"/>
        <v/>
      </c>
      <c r="AB93" s="55" t="str">
        <f t="shared" si="94"/>
        <v/>
      </c>
      <c r="AC93" s="55" t="str">
        <f t="shared" si="94"/>
        <v/>
      </c>
    </row>
    <row r="94">
      <c r="B94" s="6"/>
      <c r="C94" s="50"/>
      <c r="D94" s="50"/>
      <c r="E94" s="50"/>
      <c r="F94" s="50"/>
      <c r="G94" s="50"/>
      <c r="H94" s="50"/>
      <c r="I94" s="50"/>
      <c r="J94" s="50"/>
      <c r="K94" s="79"/>
      <c r="L94" s="6"/>
      <c r="M94" s="50"/>
      <c r="N94" s="50"/>
      <c r="O94" s="50"/>
      <c r="P94" s="50"/>
      <c r="Q94" s="50"/>
      <c r="R94" s="50"/>
      <c r="S94" s="50"/>
      <c r="T94" s="50"/>
      <c r="U94" s="109"/>
      <c r="V94" s="224"/>
      <c r="W94" s="198" t="str">
        <f t="shared" si="39"/>
        <v/>
      </c>
      <c r="X94" s="55" t="str">
        <f t="shared" ref="X94:AC94" si="95">M94</f>
        <v/>
      </c>
      <c r="Y94" s="55" t="str">
        <f t="shared" si="95"/>
        <v/>
      </c>
      <c r="Z94" s="55" t="str">
        <f t="shared" si="95"/>
        <v/>
      </c>
      <c r="AA94" s="55" t="str">
        <f t="shared" si="95"/>
        <v/>
      </c>
      <c r="AB94" s="55" t="str">
        <f t="shared" si="95"/>
        <v/>
      </c>
      <c r="AC94" s="55" t="str">
        <f t="shared" si="95"/>
        <v/>
      </c>
    </row>
    <row r="95">
      <c r="B95" s="6"/>
      <c r="C95" s="50"/>
      <c r="D95" s="50"/>
      <c r="E95" s="50"/>
      <c r="F95" s="50"/>
      <c r="G95" s="50"/>
      <c r="H95" s="50"/>
      <c r="I95" s="50"/>
      <c r="J95" s="50"/>
      <c r="K95" s="79"/>
      <c r="L95" s="6"/>
      <c r="M95" s="50"/>
      <c r="N95" s="50"/>
      <c r="O95" s="50"/>
      <c r="P95" s="50"/>
      <c r="Q95" s="50"/>
      <c r="R95" s="50"/>
      <c r="S95" s="50"/>
      <c r="T95" s="50"/>
      <c r="U95" s="109"/>
      <c r="V95" s="224"/>
      <c r="W95" s="198" t="str">
        <f t="shared" si="39"/>
        <v/>
      </c>
      <c r="X95" s="55" t="str">
        <f t="shared" ref="X95:AC95" si="96">M95</f>
        <v/>
      </c>
      <c r="Y95" s="55" t="str">
        <f t="shared" si="96"/>
        <v/>
      </c>
      <c r="Z95" s="55" t="str">
        <f t="shared" si="96"/>
        <v/>
      </c>
      <c r="AA95" s="55" t="str">
        <f t="shared" si="96"/>
        <v/>
      </c>
      <c r="AB95" s="55" t="str">
        <f t="shared" si="96"/>
        <v/>
      </c>
      <c r="AC95" s="55" t="str">
        <f t="shared" si="96"/>
        <v/>
      </c>
    </row>
    <row r="96">
      <c r="B96" s="6"/>
      <c r="C96" s="50"/>
      <c r="D96" s="50"/>
      <c r="E96" s="50"/>
      <c r="F96" s="50"/>
      <c r="G96" s="50"/>
      <c r="H96" s="50"/>
      <c r="I96" s="50"/>
      <c r="J96" s="50"/>
      <c r="K96" s="79"/>
      <c r="L96" s="6"/>
      <c r="M96" s="50"/>
      <c r="N96" s="50"/>
      <c r="O96" s="50"/>
      <c r="P96" s="50"/>
      <c r="Q96" s="50"/>
      <c r="R96" s="50"/>
      <c r="S96" s="50"/>
      <c r="T96" s="50"/>
      <c r="U96" s="109"/>
      <c r="V96" s="224"/>
      <c r="W96" s="198" t="str">
        <f t="shared" si="39"/>
        <v/>
      </c>
      <c r="X96" s="55" t="str">
        <f t="shared" ref="X96:AC96" si="97">M96</f>
        <v/>
      </c>
      <c r="Y96" s="55" t="str">
        <f t="shared" si="97"/>
        <v/>
      </c>
      <c r="Z96" s="55" t="str">
        <f t="shared" si="97"/>
        <v/>
      </c>
      <c r="AA96" s="55" t="str">
        <f t="shared" si="97"/>
        <v/>
      </c>
      <c r="AB96" s="55" t="str">
        <f t="shared" si="97"/>
        <v/>
      </c>
      <c r="AC96" s="55" t="str">
        <f t="shared" si="97"/>
        <v/>
      </c>
    </row>
    <row r="97">
      <c r="B97" s="6"/>
      <c r="C97" s="50"/>
      <c r="D97" s="50"/>
      <c r="E97" s="50"/>
      <c r="F97" s="50"/>
      <c r="G97" s="50"/>
      <c r="H97" s="50"/>
      <c r="I97" s="50"/>
      <c r="J97" s="50"/>
      <c r="K97" s="79"/>
      <c r="L97" s="6"/>
      <c r="M97" s="6"/>
      <c r="N97" s="6"/>
      <c r="O97" s="6"/>
      <c r="P97" s="6"/>
      <c r="Q97" s="6"/>
      <c r="R97" s="6"/>
      <c r="S97" s="6"/>
      <c r="T97" s="6"/>
      <c r="U97" s="109"/>
      <c r="V97" s="224"/>
      <c r="W97" s="198" t="str">
        <f t="shared" si="39"/>
        <v/>
      </c>
      <c r="X97" s="55" t="str">
        <f t="shared" ref="X97:AC97" si="98">M97</f>
        <v/>
      </c>
      <c r="Y97" s="55" t="str">
        <f t="shared" si="98"/>
        <v/>
      </c>
      <c r="Z97" s="55" t="str">
        <f t="shared" si="98"/>
        <v/>
      </c>
      <c r="AA97" s="55" t="str">
        <f t="shared" si="98"/>
        <v/>
      </c>
      <c r="AB97" s="55" t="str">
        <f t="shared" si="98"/>
        <v/>
      </c>
      <c r="AC97" s="55" t="str">
        <f t="shared" si="98"/>
        <v/>
      </c>
    </row>
    <row r="98">
      <c r="B98" s="6"/>
      <c r="C98" s="50"/>
      <c r="D98" s="50"/>
      <c r="E98" s="50"/>
      <c r="F98" s="50"/>
      <c r="G98" s="50"/>
      <c r="H98" s="50"/>
      <c r="I98" s="50"/>
      <c r="J98" s="50"/>
      <c r="K98" s="79"/>
      <c r="L98" s="6"/>
      <c r="M98" s="6"/>
      <c r="N98" s="6"/>
      <c r="O98" s="6"/>
      <c r="P98" s="6"/>
      <c r="Q98" s="6"/>
      <c r="R98" s="6"/>
      <c r="S98" s="6"/>
      <c r="T98" s="6"/>
      <c r="U98" s="109"/>
      <c r="V98" s="224"/>
      <c r="W98" s="198" t="str">
        <f t="shared" si="39"/>
        <v/>
      </c>
      <c r="X98" s="55" t="str">
        <f t="shared" ref="X98:AC98" si="99">M98</f>
        <v/>
      </c>
      <c r="Y98" s="55" t="str">
        <f t="shared" si="99"/>
        <v/>
      </c>
      <c r="Z98" s="55" t="str">
        <f t="shared" si="99"/>
        <v/>
      </c>
      <c r="AA98" s="55" t="str">
        <f t="shared" si="99"/>
        <v/>
      </c>
      <c r="AB98" s="55" t="str">
        <f t="shared" si="99"/>
        <v/>
      </c>
      <c r="AC98" s="55" t="str">
        <f t="shared" si="99"/>
        <v/>
      </c>
    </row>
    <row r="99">
      <c r="B99" s="6"/>
      <c r="C99" s="50"/>
      <c r="D99" s="50"/>
      <c r="E99" s="50"/>
      <c r="F99" s="50"/>
      <c r="G99" s="50"/>
      <c r="H99" s="50"/>
      <c r="I99" s="50"/>
      <c r="J99" s="50"/>
      <c r="K99" s="79"/>
      <c r="L99" s="6"/>
      <c r="M99" s="6"/>
      <c r="N99" s="6"/>
      <c r="O99" s="6"/>
      <c r="P99" s="6"/>
      <c r="Q99" s="6"/>
      <c r="R99" s="6"/>
      <c r="S99" s="6"/>
      <c r="T99" s="6"/>
      <c r="U99" s="109"/>
      <c r="V99" s="224"/>
      <c r="W99" s="198" t="str">
        <f t="shared" si="39"/>
        <v/>
      </c>
      <c r="X99" s="55" t="str">
        <f t="shared" ref="X99:AC99" si="100">M99</f>
        <v/>
      </c>
      <c r="Y99" s="55" t="str">
        <f t="shared" si="100"/>
        <v/>
      </c>
      <c r="Z99" s="55" t="str">
        <f t="shared" si="100"/>
        <v/>
      </c>
      <c r="AA99" s="55" t="str">
        <f t="shared" si="100"/>
        <v/>
      </c>
      <c r="AB99" s="55" t="str">
        <f t="shared" si="100"/>
        <v/>
      </c>
      <c r="AC99" s="55" t="str">
        <f t="shared" si="100"/>
        <v/>
      </c>
    </row>
    <row r="100">
      <c r="B100" s="6"/>
      <c r="C100" s="50"/>
      <c r="D100" s="50"/>
      <c r="E100" s="50"/>
      <c r="F100" s="50"/>
      <c r="G100" s="50"/>
      <c r="H100" s="50"/>
      <c r="I100" s="50"/>
      <c r="J100" s="50"/>
      <c r="K100" s="79"/>
      <c r="L100" s="6"/>
      <c r="M100" s="6"/>
      <c r="N100" s="6"/>
      <c r="O100" s="6"/>
      <c r="P100" s="6"/>
      <c r="Q100" s="6"/>
      <c r="R100" s="6"/>
      <c r="S100" s="6"/>
      <c r="T100" s="6"/>
      <c r="U100" s="109"/>
      <c r="V100" s="224"/>
      <c r="W100" s="198" t="str">
        <f t="shared" si="39"/>
        <v/>
      </c>
      <c r="X100" s="55" t="str">
        <f t="shared" ref="X100:AC100" si="101">M100</f>
        <v/>
      </c>
      <c r="Y100" s="55" t="str">
        <f t="shared" si="101"/>
        <v/>
      </c>
      <c r="Z100" s="55" t="str">
        <f t="shared" si="101"/>
        <v/>
      </c>
      <c r="AA100" s="55" t="str">
        <f t="shared" si="101"/>
        <v/>
      </c>
      <c r="AB100" s="55" t="str">
        <f t="shared" si="101"/>
        <v/>
      </c>
      <c r="AC100" s="55" t="str">
        <f t="shared" si="101"/>
        <v/>
      </c>
    </row>
    <row r="101">
      <c r="B101" s="6"/>
      <c r="C101" s="50"/>
      <c r="D101" s="50"/>
      <c r="E101" s="50"/>
      <c r="F101" s="50"/>
      <c r="G101" s="50"/>
      <c r="H101" s="50"/>
      <c r="I101" s="50"/>
      <c r="J101" s="50"/>
      <c r="K101" s="79"/>
      <c r="L101" s="6"/>
      <c r="M101" s="6"/>
      <c r="N101" s="6"/>
      <c r="O101" s="6"/>
      <c r="P101" s="6"/>
      <c r="Q101" s="6"/>
      <c r="R101" s="6"/>
      <c r="S101" s="6"/>
      <c r="T101" s="6"/>
      <c r="U101" s="109"/>
      <c r="V101" s="224"/>
      <c r="W101" s="198" t="str">
        <f t="shared" si="39"/>
        <v/>
      </c>
      <c r="X101" s="55" t="str">
        <f t="shared" ref="X101:AC101" si="102">M101</f>
        <v/>
      </c>
      <c r="Y101" s="55" t="str">
        <f t="shared" si="102"/>
        <v/>
      </c>
      <c r="Z101" s="55" t="str">
        <f t="shared" si="102"/>
        <v/>
      </c>
      <c r="AA101" s="55" t="str">
        <f t="shared" si="102"/>
        <v/>
      </c>
      <c r="AB101" s="55" t="str">
        <f t="shared" si="102"/>
        <v/>
      </c>
      <c r="AC101" s="55" t="str">
        <f t="shared" si="102"/>
        <v/>
      </c>
    </row>
    <row r="102">
      <c r="B102" s="6"/>
      <c r="C102" s="50"/>
      <c r="D102" s="50"/>
      <c r="E102" s="50"/>
      <c r="F102" s="50"/>
      <c r="G102" s="50"/>
      <c r="H102" s="50"/>
      <c r="I102" s="50"/>
      <c r="J102" s="50"/>
      <c r="K102" s="79"/>
      <c r="L102" s="6"/>
      <c r="M102" s="6"/>
      <c r="N102" s="6"/>
      <c r="O102" s="6"/>
      <c r="P102" s="6"/>
      <c r="Q102" s="6"/>
      <c r="R102" s="6"/>
      <c r="S102" s="6"/>
      <c r="T102" s="6"/>
      <c r="U102" s="109"/>
      <c r="V102" s="224"/>
      <c r="W102" s="198" t="str">
        <f t="shared" si="39"/>
        <v/>
      </c>
      <c r="X102" s="55" t="str">
        <f t="shared" ref="X102:AC102" si="103">M102</f>
        <v/>
      </c>
      <c r="Y102" s="55" t="str">
        <f t="shared" si="103"/>
        <v/>
      </c>
      <c r="Z102" s="55" t="str">
        <f t="shared" si="103"/>
        <v/>
      </c>
      <c r="AA102" s="55" t="str">
        <f t="shared" si="103"/>
        <v/>
      </c>
      <c r="AB102" s="55" t="str">
        <f t="shared" si="103"/>
        <v/>
      </c>
      <c r="AC102" s="55" t="str">
        <f t="shared" si="103"/>
        <v/>
      </c>
    </row>
    <row r="103">
      <c r="B103" s="6"/>
      <c r="C103" s="50"/>
      <c r="D103" s="50"/>
      <c r="E103" s="50"/>
      <c r="F103" s="50"/>
      <c r="G103" s="50"/>
      <c r="H103" s="50"/>
      <c r="I103" s="50"/>
      <c r="J103" s="50"/>
      <c r="K103" s="79"/>
      <c r="L103" s="6"/>
      <c r="M103" s="6"/>
      <c r="N103" s="6"/>
      <c r="O103" s="6"/>
      <c r="P103" s="6"/>
      <c r="Q103" s="6"/>
      <c r="R103" s="6"/>
      <c r="S103" s="6"/>
      <c r="T103" s="6"/>
      <c r="U103" s="109"/>
      <c r="V103" s="224"/>
      <c r="W103" s="198" t="str">
        <f t="shared" si="39"/>
        <v/>
      </c>
      <c r="X103" s="55" t="str">
        <f t="shared" ref="X103:AC103" si="104">M103</f>
        <v/>
      </c>
      <c r="Y103" s="55" t="str">
        <f t="shared" si="104"/>
        <v/>
      </c>
      <c r="Z103" s="55" t="str">
        <f t="shared" si="104"/>
        <v/>
      </c>
      <c r="AA103" s="55" t="str">
        <f t="shared" si="104"/>
        <v/>
      </c>
      <c r="AB103" s="55" t="str">
        <f t="shared" si="104"/>
        <v/>
      </c>
      <c r="AC103" s="55" t="str">
        <f t="shared" si="104"/>
        <v/>
      </c>
    </row>
    <row r="104">
      <c r="B104" s="6"/>
      <c r="C104" s="50"/>
      <c r="D104" s="50"/>
      <c r="E104" s="50"/>
      <c r="F104" s="50"/>
      <c r="G104" s="50"/>
      <c r="H104" s="50"/>
      <c r="I104" s="50"/>
      <c r="J104" s="50"/>
      <c r="K104" s="79"/>
      <c r="L104" s="6"/>
      <c r="M104" s="6"/>
      <c r="N104" s="6"/>
      <c r="O104" s="6"/>
      <c r="P104" s="6"/>
      <c r="Q104" s="6"/>
      <c r="R104" s="6"/>
      <c r="S104" s="6"/>
      <c r="T104" s="6"/>
      <c r="U104" s="109"/>
      <c r="V104" s="224"/>
      <c r="W104" s="198" t="str">
        <f t="shared" si="39"/>
        <v/>
      </c>
      <c r="X104" s="55" t="str">
        <f t="shared" ref="X104:AC104" si="105">M104</f>
        <v/>
      </c>
      <c r="Y104" s="55" t="str">
        <f t="shared" si="105"/>
        <v/>
      </c>
      <c r="Z104" s="55" t="str">
        <f t="shared" si="105"/>
        <v/>
      </c>
      <c r="AA104" s="55" t="str">
        <f t="shared" si="105"/>
        <v/>
      </c>
      <c r="AB104" s="55" t="str">
        <f t="shared" si="105"/>
        <v/>
      </c>
      <c r="AC104" s="55" t="str">
        <f t="shared" si="105"/>
        <v/>
      </c>
    </row>
    <row r="105">
      <c r="B105" s="6"/>
      <c r="C105" s="50"/>
      <c r="D105" s="50"/>
      <c r="E105" s="50"/>
      <c r="F105" s="50"/>
      <c r="G105" s="50"/>
      <c r="H105" s="50"/>
      <c r="I105" s="50"/>
      <c r="J105" s="50"/>
      <c r="K105" s="79"/>
      <c r="L105" s="6"/>
      <c r="M105" s="6"/>
      <c r="N105" s="6"/>
      <c r="O105" s="6"/>
      <c r="P105" s="6"/>
      <c r="Q105" s="6"/>
      <c r="R105" s="6"/>
      <c r="S105" s="6"/>
      <c r="T105" s="6"/>
      <c r="U105" s="109"/>
      <c r="V105" s="224"/>
      <c r="W105" s="198" t="str">
        <f t="shared" si="39"/>
        <v/>
      </c>
      <c r="X105" s="55" t="str">
        <f t="shared" ref="X105:AC105" si="106">M105</f>
        <v/>
      </c>
      <c r="Y105" s="55" t="str">
        <f t="shared" si="106"/>
        <v/>
      </c>
      <c r="Z105" s="55" t="str">
        <f t="shared" si="106"/>
        <v/>
      </c>
      <c r="AA105" s="55" t="str">
        <f t="shared" si="106"/>
        <v/>
      </c>
      <c r="AB105" s="55" t="str">
        <f t="shared" si="106"/>
        <v/>
      </c>
      <c r="AC105" s="55" t="str">
        <f t="shared" si="106"/>
        <v/>
      </c>
    </row>
    <row r="106">
      <c r="B106" s="6"/>
      <c r="C106" s="50"/>
      <c r="D106" s="50"/>
      <c r="E106" s="50"/>
      <c r="F106" s="50"/>
      <c r="G106" s="50"/>
      <c r="H106" s="50"/>
      <c r="I106" s="50"/>
      <c r="J106" s="50"/>
      <c r="K106" s="79"/>
      <c r="L106" s="6"/>
      <c r="M106" s="6"/>
      <c r="N106" s="6"/>
      <c r="O106" s="6"/>
      <c r="P106" s="6"/>
      <c r="Q106" s="6"/>
      <c r="R106" s="6"/>
      <c r="S106" s="6"/>
      <c r="T106" s="6"/>
      <c r="U106" s="109"/>
      <c r="V106" s="224"/>
      <c r="W106" s="198" t="str">
        <f t="shared" si="39"/>
        <v/>
      </c>
      <c r="X106" s="55" t="str">
        <f t="shared" ref="X106:AC106" si="107">M106</f>
        <v/>
      </c>
      <c r="Y106" s="55" t="str">
        <f t="shared" si="107"/>
        <v/>
      </c>
      <c r="Z106" s="55" t="str">
        <f t="shared" si="107"/>
        <v/>
      </c>
      <c r="AA106" s="55" t="str">
        <f t="shared" si="107"/>
        <v/>
      </c>
      <c r="AB106" s="55" t="str">
        <f t="shared" si="107"/>
        <v/>
      </c>
      <c r="AC106" s="55" t="str">
        <f t="shared" si="107"/>
        <v/>
      </c>
    </row>
    <row r="107">
      <c r="B107" s="6"/>
      <c r="C107" s="50"/>
      <c r="D107" s="50"/>
      <c r="E107" s="50"/>
      <c r="F107" s="50"/>
      <c r="G107" s="50"/>
      <c r="H107" s="50"/>
      <c r="I107" s="50"/>
      <c r="J107" s="50"/>
      <c r="K107" s="79"/>
      <c r="L107" s="6"/>
      <c r="M107" s="6"/>
      <c r="N107" s="6"/>
      <c r="O107" s="6"/>
      <c r="P107" s="6"/>
      <c r="Q107" s="6"/>
      <c r="R107" s="6"/>
      <c r="S107" s="6"/>
      <c r="T107" s="6"/>
      <c r="U107" s="109"/>
      <c r="V107" s="224"/>
      <c r="W107" s="198" t="str">
        <f t="shared" si="39"/>
        <v/>
      </c>
      <c r="X107" s="55" t="str">
        <f t="shared" ref="X107:AC107" si="108">M107</f>
        <v/>
      </c>
      <c r="Y107" s="55" t="str">
        <f t="shared" si="108"/>
        <v/>
      </c>
      <c r="Z107" s="55" t="str">
        <f t="shared" si="108"/>
        <v/>
      </c>
      <c r="AA107" s="55" t="str">
        <f t="shared" si="108"/>
        <v/>
      </c>
      <c r="AB107" s="55" t="str">
        <f t="shared" si="108"/>
        <v/>
      </c>
      <c r="AC107" s="55" t="str">
        <f t="shared" si="108"/>
        <v/>
      </c>
    </row>
    <row r="108">
      <c r="B108" s="6"/>
      <c r="C108" s="50"/>
      <c r="D108" s="50"/>
      <c r="E108" s="50"/>
      <c r="F108" s="50"/>
      <c r="G108" s="50"/>
      <c r="H108" s="50"/>
      <c r="I108" s="50"/>
      <c r="J108" s="50"/>
      <c r="K108" s="79"/>
      <c r="L108" s="6"/>
      <c r="M108" s="6"/>
      <c r="N108" s="6"/>
      <c r="O108" s="6"/>
      <c r="P108" s="6"/>
      <c r="Q108" s="6"/>
      <c r="R108" s="6"/>
      <c r="S108" s="6"/>
      <c r="T108" s="6"/>
      <c r="U108" s="109"/>
      <c r="V108" s="224"/>
      <c r="W108" s="198" t="str">
        <f t="shared" si="39"/>
        <v/>
      </c>
      <c r="X108" s="55" t="str">
        <f t="shared" ref="X108:AC108" si="109">M108</f>
        <v/>
      </c>
      <c r="Y108" s="55" t="str">
        <f t="shared" si="109"/>
        <v/>
      </c>
      <c r="Z108" s="55" t="str">
        <f t="shared" si="109"/>
        <v/>
      </c>
      <c r="AA108" s="55" t="str">
        <f t="shared" si="109"/>
        <v/>
      </c>
      <c r="AB108" s="55" t="str">
        <f t="shared" si="109"/>
        <v/>
      </c>
      <c r="AC108" s="55" t="str">
        <f t="shared" si="109"/>
        <v/>
      </c>
    </row>
    <row r="109">
      <c r="B109" s="6"/>
      <c r="C109" s="50"/>
      <c r="D109" s="50"/>
      <c r="E109" s="50"/>
      <c r="F109" s="50"/>
      <c r="G109" s="50"/>
      <c r="H109" s="50"/>
      <c r="I109" s="50"/>
      <c r="J109" s="50"/>
      <c r="K109" s="79"/>
      <c r="L109" s="6"/>
      <c r="M109" s="6"/>
      <c r="N109" s="6"/>
      <c r="O109" s="6"/>
      <c r="P109" s="6"/>
      <c r="Q109" s="6"/>
      <c r="R109" s="6"/>
      <c r="S109" s="6"/>
      <c r="T109" s="6"/>
      <c r="U109" s="109"/>
      <c r="V109" s="224"/>
      <c r="W109" s="198" t="str">
        <f t="shared" si="39"/>
        <v/>
      </c>
      <c r="X109" s="55" t="str">
        <f t="shared" ref="X109:AC109" si="110">M109</f>
        <v/>
      </c>
      <c r="Y109" s="55" t="str">
        <f t="shared" si="110"/>
        <v/>
      </c>
      <c r="Z109" s="55" t="str">
        <f t="shared" si="110"/>
        <v/>
      </c>
      <c r="AA109" s="55" t="str">
        <f t="shared" si="110"/>
        <v/>
      </c>
      <c r="AB109" s="55" t="str">
        <f t="shared" si="110"/>
        <v/>
      </c>
      <c r="AC109" s="55" t="str">
        <f t="shared" si="110"/>
        <v/>
      </c>
    </row>
    <row r="110">
      <c r="B110" s="6"/>
      <c r="C110" s="50"/>
      <c r="D110" s="50"/>
      <c r="E110" s="50"/>
      <c r="F110" s="50"/>
      <c r="G110" s="50"/>
      <c r="H110" s="50"/>
      <c r="I110" s="50"/>
      <c r="J110" s="50"/>
      <c r="K110" s="79"/>
      <c r="L110" s="6"/>
      <c r="M110" s="6"/>
      <c r="N110" s="6"/>
      <c r="O110" s="6"/>
      <c r="P110" s="6"/>
      <c r="Q110" s="6"/>
      <c r="R110" s="6"/>
      <c r="S110" s="6"/>
      <c r="T110" s="6"/>
      <c r="U110" s="109"/>
      <c r="V110" s="224"/>
      <c r="W110" s="198" t="str">
        <f t="shared" si="39"/>
        <v/>
      </c>
      <c r="X110" s="55" t="str">
        <f t="shared" ref="X110:AC110" si="111">M110</f>
        <v/>
      </c>
      <c r="Y110" s="55" t="str">
        <f t="shared" si="111"/>
        <v/>
      </c>
      <c r="Z110" s="55" t="str">
        <f t="shared" si="111"/>
        <v/>
      </c>
      <c r="AA110" s="55" t="str">
        <f t="shared" si="111"/>
        <v/>
      </c>
      <c r="AB110" s="55" t="str">
        <f t="shared" si="111"/>
        <v/>
      </c>
      <c r="AC110" s="55" t="str">
        <f t="shared" si="111"/>
        <v/>
      </c>
    </row>
    <row r="111">
      <c r="B111" s="6"/>
      <c r="C111" s="50"/>
      <c r="D111" s="50"/>
      <c r="E111" s="50"/>
      <c r="F111" s="50"/>
      <c r="G111" s="50"/>
      <c r="H111" s="50"/>
      <c r="I111" s="50"/>
      <c r="J111" s="50"/>
      <c r="K111" s="79"/>
      <c r="L111" s="6"/>
      <c r="M111" s="6"/>
      <c r="N111" s="6"/>
      <c r="O111" s="6"/>
      <c r="P111" s="6"/>
      <c r="Q111" s="6"/>
      <c r="R111" s="6"/>
      <c r="S111" s="6"/>
      <c r="T111" s="6"/>
      <c r="U111" s="109"/>
      <c r="V111" s="224"/>
      <c r="W111" s="198" t="str">
        <f t="shared" si="39"/>
        <v/>
      </c>
      <c r="X111" s="55" t="str">
        <f t="shared" ref="X111:AC111" si="112">M111</f>
        <v/>
      </c>
      <c r="Y111" s="55" t="str">
        <f t="shared" si="112"/>
        <v/>
      </c>
      <c r="Z111" s="55" t="str">
        <f t="shared" si="112"/>
        <v/>
      </c>
      <c r="AA111" s="55" t="str">
        <f t="shared" si="112"/>
        <v/>
      </c>
      <c r="AB111" s="55" t="str">
        <f t="shared" si="112"/>
        <v/>
      </c>
      <c r="AC111" s="55" t="str">
        <f t="shared" si="112"/>
        <v/>
      </c>
    </row>
    <row r="112">
      <c r="B112" s="6"/>
      <c r="C112" s="50"/>
      <c r="D112" s="50"/>
      <c r="E112" s="50"/>
      <c r="F112" s="50"/>
      <c r="G112" s="50"/>
      <c r="H112" s="50"/>
      <c r="I112" s="50"/>
      <c r="J112" s="50"/>
      <c r="K112" s="79"/>
      <c r="L112" s="6"/>
      <c r="M112" s="6"/>
      <c r="N112" s="6"/>
      <c r="O112" s="6"/>
      <c r="P112" s="6"/>
      <c r="Q112" s="6"/>
      <c r="R112" s="6"/>
      <c r="S112" s="6"/>
      <c r="T112" s="6"/>
      <c r="U112" s="109"/>
      <c r="V112" s="224"/>
      <c r="W112" s="198" t="str">
        <f t="shared" si="39"/>
        <v/>
      </c>
      <c r="X112" s="55" t="str">
        <f t="shared" ref="X112:AC112" si="113">M112</f>
        <v/>
      </c>
      <c r="Y112" s="55" t="str">
        <f t="shared" si="113"/>
        <v/>
      </c>
      <c r="Z112" s="55" t="str">
        <f t="shared" si="113"/>
        <v/>
      </c>
      <c r="AA112" s="55" t="str">
        <f t="shared" si="113"/>
        <v/>
      </c>
      <c r="AB112" s="55" t="str">
        <f t="shared" si="113"/>
        <v/>
      </c>
      <c r="AC112" s="55" t="str">
        <f t="shared" si="113"/>
        <v/>
      </c>
    </row>
    <row r="113">
      <c r="B113" s="6"/>
      <c r="C113" s="50"/>
      <c r="D113" s="50"/>
      <c r="E113" s="50"/>
      <c r="F113" s="50"/>
      <c r="G113" s="50"/>
      <c r="H113" s="50"/>
      <c r="I113" s="50"/>
      <c r="J113" s="50"/>
      <c r="K113" s="79"/>
      <c r="L113" s="6"/>
      <c r="M113" s="6"/>
      <c r="N113" s="6"/>
      <c r="O113" s="6"/>
      <c r="P113" s="6"/>
      <c r="Q113" s="6"/>
      <c r="R113" s="6"/>
      <c r="S113" s="6"/>
      <c r="T113" s="6"/>
      <c r="U113" s="109"/>
      <c r="V113" s="224"/>
      <c r="W113" s="198" t="str">
        <f t="shared" si="39"/>
        <v/>
      </c>
      <c r="X113" s="55" t="str">
        <f t="shared" ref="X113:AC113" si="114">M113</f>
        <v/>
      </c>
      <c r="Y113" s="55" t="str">
        <f t="shared" si="114"/>
        <v/>
      </c>
      <c r="Z113" s="55" t="str">
        <f t="shared" si="114"/>
        <v/>
      </c>
      <c r="AA113" s="55" t="str">
        <f t="shared" si="114"/>
        <v/>
      </c>
      <c r="AB113" s="55" t="str">
        <f t="shared" si="114"/>
        <v/>
      </c>
      <c r="AC113" s="55" t="str">
        <f t="shared" si="114"/>
        <v/>
      </c>
    </row>
    <row r="114">
      <c r="B114" s="6"/>
      <c r="C114" s="50"/>
      <c r="D114" s="50"/>
      <c r="E114" s="50"/>
      <c r="F114" s="50"/>
      <c r="G114" s="50"/>
      <c r="H114" s="50"/>
      <c r="I114" s="50"/>
      <c r="J114" s="50"/>
      <c r="K114" s="79"/>
      <c r="L114" s="6"/>
      <c r="M114" s="6"/>
      <c r="N114" s="6"/>
      <c r="O114" s="6"/>
      <c r="P114" s="6"/>
      <c r="Q114" s="6"/>
      <c r="R114" s="6"/>
      <c r="S114" s="6"/>
      <c r="T114" s="6"/>
      <c r="U114" s="109"/>
      <c r="V114" s="224"/>
      <c r="W114" s="198" t="str">
        <f t="shared" si="39"/>
        <v/>
      </c>
      <c r="X114" s="55" t="str">
        <f t="shared" ref="X114:AC114" si="115">M114</f>
        <v/>
      </c>
      <c r="Y114" s="55" t="str">
        <f t="shared" si="115"/>
        <v/>
      </c>
      <c r="Z114" s="55" t="str">
        <f t="shared" si="115"/>
        <v/>
      </c>
      <c r="AA114" s="55" t="str">
        <f t="shared" si="115"/>
        <v/>
      </c>
      <c r="AB114" s="55" t="str">
        <f t="shared" si="115"/>
        <v/>
      </c>
      <c r="AC114" s="55" t="str">
        <f t="shared" si="115"/>
        <v/>
      </c>
    </row>
    <row r="115">
      <c r="B115" s="6"/>
      <c r="C115" s="50"/>
      <c r="D115" s="50"/>
      <c r="E115" s="50"/>
      <c r="F115" s="50"/>
      <c r="G115" s="50"/>
      <c r="H115" s="50"/>
      <c r="I115" s="50"/>
      <c r="J115" s="50"/>
      <c r="K115" s="79"/>
      <c r="L115" s="6"/>
      <c r="M115" s="6"/>
      <c r="N115" s="6"/>
      <c r="O115" s="6"/>
      <c r="P115" s="6"/>
      <c r="Q115" s="6"/>
      <c r="R115" s="6"/>
      <c r="S115" s="6"/>
      <c r="T115" s="6"/>
      <c r="U115" s="109"/>
      <c r="V115" s="224"/>
      <c r="W115" s="198" t="str">
        <f t="shared" si="39"/>
        <v/>
      </c>
      <c r="X115" s="55" t="str">
        <f t="shared" ref="X115:AC115" si="116">M115</f>
        <v/>
      </c>
      <c r="Y115" s="55" t="str">
        <f t="shared" si="116"/>
        <v/>
      </c>
      <c r="Z115" s="55" t="str">
        <f t="shared" si="116"/>
        <v/>
      </c>
      <c r="AA115" s="55" t="str">
        <f t="shared" si="116"/>
        <v/>
      </c>
      <c r="AB115" s="55" t="str">
        <f t="shared" si="116"/>
        <v/>
      </c>
      <c r="AC115" s="55" t="str">
        <f t="shared" si="116"/>
        <v/>
      </c>
    </row>
    <row r="116">
      <c r="B116" s="6"/>
      <c r="C116" s="50"/>
      <c r="D116" s="50"/>
      <c r="E116" s="50"/>
      <c r="F116" s="50"/>
      <c r="G116" s="50"/>
      <c r="H116" s="50"/>
      <c r="I116" s="50"/>
      <c r="J116" s="50"/>
      <c r="K116" s="79"/>
      <c r="L116" s="6"/>
      <c r="M116" s="6"/>
      <c r="N116" s="6"/>
      <c r="O116" s="6"/>
      <c r="P116" s="6"/>
      <c r="Q116" s="6"/>
      <c r="R116" s="6"/>
      <c r="S116" s="6"/>
      <c r="T116" s="6"/>
      <c r="U116" s="109"/>
      <c r="V116" s="224"/>
      <c r="W116" s="198" t="str">
        <f t="shared" si="39"/>
        <v/>
      </c>
      <c r="X116" s="55" t="str">
        <f t="shared" ref="X116:AC116" si="117">M116</f>
        <v/>
      </c>
      <c r="Y116" s="55" t="str">
        <f t="shared" si="117"/>
        <v/>
      </c>
      <c r="Z116" s="55" t="str">
        <f t="shared" si="117"/>
        <v/>
      </c>
      <c r="AA116" s="55" t="str">
        <f t="shared" si="117"/>
        <v/>
      </c>
      <c r="AB116" s="55" t="str">
        <f t="shared" si="117"/>
        <v/>
      </c>
      <c r="AC116" s="55" t="str">
        <f t="shared" si="117"/>
        <v/>
      </c>
    </row>
    <row r="117">
      <c r="B117" s="6"/>
      <c r="C117" s="50"/>
      <c r="D117" s="50"/>
      <c r="E117" s="50"/>
      <c r="F117" s="50"/>
      <c r="G117" s="50"/>
      <c r="H117" s="50"/>
      <c r="I117" s="50"/>
      <c r="J117" s="50"/>
      <c r="K117" s="79"/>
      <c r="L117" s="6"/>
      <c r="M117" s="6"/>
      <c r="N117" s="6"/>
      <c r="O117" s="6"/>
      <c r="P117" s="6"/>
      <c r="Q117" s="6"/>
      <c r="R117" s="6"/>
      <c r="S117" s="6"/>
      <c r="T117" s="6"/>
      <c r="U117" s="109"/>
      <c r="V117" s="224"/>
      <c r="W117" s="198" t="str">
        <f t="shared" si="39"/>
        <v/>
      </c>
      <c r="X117" s="55" t="str">
        <f t="shared" ref="X117:AC117" si="118">M117</f>
        <v/>
      </c>
      <c r="Y117" s="55" t="str">
        <f t="shared" si="118"/>
        <v/>
      </c>
      <c r="Z117" s="55" t="str">
        <f t="shared" si="118"/>
        <v/>
      </c>
      <c r="AA117" s="55" t="str">
        <f t="shared" si="118"/>
        <v/>
      </c>
      <c r="AB117" s="55" t="str">
        <f t="shared" si="118"/>
        <v/>
      </c>
      <c r="AC117" s="55" t="str">
        <f t="shared" si="118"/>
        <v/>
      </c>
    </row>
    <row r="118">
      <c r="B118" s="6"/>
      <c r="C118" s="50"/>
      <c r="D118" s="50"/>
      <c r="E118" s="50"/>
      <c r="F118" s="50"/>
      <c r="G118" s="50"/>
      <c r="H118" s="50"/>
      <c r="I118" s="50"/>
      <c r="J118" s="50"/>
      <c r="K118" s="79"/>
      <c r="L118" s="6"/>
      <c r="M118" s="6"/>
      <c r="N118" s="6"/>
      <c r="O118" s="6"/>
      <c r="P118" s="6"/>
      <c r="Q118" s="6"/>
      <c r="R118" s="6"/>
      <c r="S118" s="6"/>
      <c r="T118" s="6"/>
      <c r="U118" s="109"/>
      <c r="V118" s="224"/>
      <c r="W118" s="198" t="str">
        <f t="shared" si="39"/>
        <v/>
      </c>
      <c r="X118" s="55" t="str">
        <f t="shared" ref="X118:AC118" si="119">M118</f>
        <v/>
      </c>
      <c r="Y118" s="55" t="str">
        <f t="shared" si="119"/>
        <v/>
      </c>
      <c r="Z118" s="55" t="str">
        <f t="shared" si="119"/>
        <v/>
      </c>
      <c r="AA118" s="55" t="str">
        <f t="shared" si="119"/>
        <v/>
      </c>
      <c r="AB118" s="55" t="str">
        <f t="shared" si="119"/>
        <v/>
      </c>
      <c r="AC118" s="55" t="str">
        <f t="shared" si="119"/>
        <v/>
      </c>
    </row>
    <row r="119">
      <c r="B119" s="6"/>
      <c r="C119" s="50"/>
      <c r="D119" s="50"/>
      <c r="E119" s="50"/>
      <c r="F119" s="50"/>
      <c r="G119" s="50"/>
      <c r="H119" s="50"/>
      <c r="I119" s="50"/>
      <c r="J119" s="50"/>
      <c r="K119" s="79"/>
      <c r="L119" s="6"/>
      <c r="M119" s="6"/>
      <c r="N119" s="6"/>
      <c r="O119" s="6"/>
      <c r="P119" s="6"/>
      <c r="Q119" s="6"/>
      <c r="R119" s="6"/>
      <c r="S119" s="6"/>
      <c r="T119" s="6"/>
      <c r="U119" s="109"/>
      <c r="V119" s="224"/>
      <c r="W119" s="198" t="str">
        <f t="shared" si="39"/>
        <v/>
      </c>
      <c r="X119" s="55" t="str">
        <f t="shared" ref="X119:AC119" si="120">M119</f>
        <v/>
      </c>
      <c r="Y119" s="55" t="str">
        <f t="shared" si="120"/>
        <v/>
      </c>
      <c r="Z119" s="55" t="str">
        <f t="shared" si="120"/>
        <v/>
      </c>
      <c r="AA119" s="55" t="str">
        <f t="shared" si="120"/>
        <v/>
      </c>
      <c r="AB119" s="55" t="str">
        <f t="shared" si="120"/>
        <v/>
      </c>
      <c r="AC119" s="55" t="str">
        <f t="shared" si="120"/>
        <v/>
      </c>
    </row>
    <row r="120">
      <c r="B120" s="6"/>
      <c r="C120" s="50"/>
      <c r="D120" s="50"/>
      <c r="E120" s="50"/>
      <c r="F120" s="50"/>
      <c r="G120" s="50"/>
      <c r="H120" s="50"/>
      <c r="I120" s="50"/>
      <c r="J120" s="50"/>
      <c r="K120" s="79"/>
      <c r="L120" s="6"/>
      <c r="M120" s="6"/>
      <c r="N120" s="6"/>
      <c r="O120" s="6"/>
      <c r="P120" s="6"/>
      <c r="Q120" s="6"/>
      <c r="R120" s="6"/>
      <c r="S120" s="6"/>
      <c r="T120" s="6"/>
      <c r="U120" s="109"/>
      <c r="V120" s="224"/>
      <c r="W120" s="198" t="str">
        <f t="shared" si="39"/>
        <v/>
      </c>
      <c r="X120" s="55" t="str">
        <f t="shared" ref="X120:AC120" si="121">M120</f>
        <v/>
      </c>
      <c r="Y120" s="55" t="str">
        <f t="shared" si="121"/>
        <v/>
      </c>
      <c r="Z120" s="55" t="str">
        <f t="shared" si="121"/>
        <v/>
      </c>
      <c r="AA120" s="55" t="str">
        <f t="shared" si="121"/>
        <v/>
      </c>
      <c r="AB120" s="55" t="str">
        <f t="shared" si="121"/>
        <v/>
      </c>
      <c r="AC120" s="55" t="str">
        <f t="shared" si="121"/>
        <v/>
      </c>
    </row>
    <row r="121">
      <c r="B121" s="6"/>
      <c r="C121" s="50"/>
      <c r="D121" s="50"/>
      <c r="E121" s="50"/>
      <c r="F121" s="50"/>
      <c r="G121" s="50"/>
      <c r="H121" s="50"/>
      <c r="I121" s="50"/>
      <c r="J121" s="50"/>
      <c r="K121" s="79"/>
      <c r="L121" s="6"/>
      <c r="M121" s="6"/>
      <c r="N121" s="6"/>
      <c r="O121" s="6"/>
      <c r="P121" s="6"/>
      <c r="Q121" s="6"/>
      <c r="R121" s="6"/>
      <c r="S121" s="6"/>
      <c r="T121" s="6"/>
      <c r="U121" s="109"/>
      <c r="V121" s="224"/>
      <c r="W121" s="198" t="str">
        <f t="shared" si="39"/>
        <v/>
      </c>
      <c r="X121" s="55" t="str">
        <f t="shared" ref="X121:AC121" si="122">M121</f>
        <v/>
      </c>
      <c r="Y121" s="55" t="str">
        <f t="shared" si="122"/>
        <v/>
      </c>
      <c r="Z121" s="55" t="str">
        <f t="shared" si="122"/>
        <v/>
      </c>
      <c r="AA121" s="55" t="str">
        <f t="shared" si="122"/>
        <v/>
      </c>
      <c r="AB121" s="55" t="str">
        <f t="shared" si="122"/>
        <v/>
      </c>
      <c r="AC121" s="55" t="str">
        <f t="shared" si="122"/>
        <v/>
      </c>
    </row>
    <row r="122">
      <c r="B122" s="6"/>
      <c r="C122" s="50"/>
      <c r="D122" s="50"/>
      <c r="E122" s="50"/>
      <c r="F122" s="50"/>
      <c r="G122" s="50"/>
      <c r="H122" s="50"/>
      <c r="I122" s="50"/>
      <c r="J122" s="50"/>
      <c r="K122" s="79"/>
      <c r="L122" s="6"/>
      <c r="M122" s="6"/>
      <c r="N122" s="6"/>
      <c r="O122" s="6"/>
      <c r="P122" s="6"/>
      <c r="Q122" s="6"/>
      <c r="R122" s="6"/>
      <c r="S122" s="6"/>
      <c r="T122" s="6"/>
      <c r="U122" s="109"/>
      <c r="V122" s="224"/>
      <c r="W122" s="198" t="str">
        <f t="shared" si="39"/>
        <v/>
      </c>
      <c r="X122" s="55" t="str">
        <f t="shared" ref="X122:AC122" si="123">M122</f>
        <v/>
      </c>
      <c r="Y122" s="55" t="str">
        <f t="shared" si="123"/>
        <v/>
      </c>
      <c r="Z122" s="55" t="str">
        <f t="shared" si="123"/>
        <v/>
      </c>
      <c r="AA122" s="55" t="str">
        <f t="shared" si="123"/>
        <v/>
      </c>
      <c r="AB122" s="55" t="str">
        <f t="shared" si="123"/>
        <v/>
      </c>
      <c r="AC122" s="55" t="str">
        <f t="shared" si="123"/>
        <v/>
      </c>
    </row>
    <row r="123">
      <c r="B123" s="6"/>
      <c r="C123" s="50"/>
      <c r="D123" s="50"/>
      <c r="E123" s="50"/>
      <c r="F123" s="50"/>
      <c r="G123" s="50"/>
      <c r="H123" s="50"/>
      <c r="I123" s="50"/>
      <c r="J123" s="50"/>
      <c r="K123" s="79"/>
      <c r="L123" s="6"/>
      <c r="M123" s="6"/>
      <c r="N123" s="6"/>
      <c r="O123" s="6"/>
      <c r="P123" s="6"/>
      <c r="Q123" s="6"/>
      <c r="R123" s="6"/>
      <c r="S123" s="6"/>
      <c r="T123" s="6"/>
      <c r="U123" s="109"/>
      <c r="V123" s="224"/>
      <c r="W123" s="198" t="str">
        <f t="shared" si="39"/>
        <v/>
      </c>
      <c r="X123" s="55" t="str">
        <f t="shared" ref="X123:AC123" si="124">M123</f>
        <v/>
      </c>
      <c r="Y123" s="55" t="str">
        <f t="shared" si="124"/>
        <v/>
      </c>
      <c r="Z123" s="55" t="str">
        <f t="shared" si="124"/>
        <v/>
      </c>
      <c r="AA123" s="55" t="str">
        <f t="shared" si="124"/>
        <v/>
      </c>
      <c r="AB123" s="55" t="str">
        <f t="shared" si="124"/>
        <v/>
      </c>
      <c r="AC123" s="55" t="str">
        <f t="shared" si="124"/>
        <v/>
      </c>
    </row>
    <row r="124">
      <c r="B124" s="6"/>
      <c r="C124" s="50"/>
      <c r="D124" s="50"/>
      <c r="E124" s="50"/>
      <c r="F124" s="50"/>
      <c r="G124" s="50"/>
      <c r="H124" s="50"/>
      <c r="I124" s="50"/>
      <c r="J124" s="50"/>
      <c r="K124" s="79"/>
      <c r="L124" s="6"/>
      <c r="M124" s="6"/>
      <c r="N124" s="6"/>
      <c r="O124" s="6"/>
      <c r="P124" s="6"/>
      <c r="Q124" s="6"/>
      <c r="R124" s="6"/>
      <c r="S124" s="6"/>
      <c r="T124" s="6"/>
      <c r="U124" s="109"/>
      <c r="V124" s="224"/>
      <c r="W124" s="198" t="str">
        <f t="shared" si="39"/>
        <v/>
      </c>
      <c r="X124" s="55" t="str">
        <f t="shared" ref="X124:AC124" si="125">M124</f>
        <v/>
      </c>
      <c r="Y124" s="55" t="str">
        <f t="shared" si="125"/>
        <v/>
      </c>
      <c r="Z124" s="55" t="str">
        <f t="shared" si="125"/>
        <v/>
      </c>
      <c r="AA124" s="55" t="str">
        <f t="shared" si="125"/>
        <v/>
      </c>
      <c r="AB124" s="55" t="str">
        <f t="shared" si="125"/>
        <v/>
      </c>
      <c r="AC124" s="55" t="str">
        <f t="shared" si="125"/>
        <v/>
      </c>
    </row>
    <row r="125">
      <c r="B125" s="6"/>
      <c r="C125" s="50"/>
      <c r="D125" s="50"/>
      <c r="E125" s="50"/>
      <c r="F125" s="50"/>
      <c r="G125" s="50"/>
      <c r="H125" s="50"/>
      <c r="I125" s="50"/>
      <c r="J125" s="50"/>
      <c r="K125" s="79"/>
      <c r="L125" s="6"/>
      <c r="M125" s="6"/>
      <c r="N125" s="6"/>
      <c r="O125" s="6"/>
      <c r="P125" s="6"/>
      <c r="Q125" s="6"/>
      <c r="R125" s="6"/>
      <c r="S125" s="6"/>
      <c r="T125" s="6"/>
      <c r="U125" s="109"/>
      <c r="V125" s="224"/>
      <c r="W125" s="198" t="str">
        <f t="shared" si="39"/>
        <v/>
      </c>
      <c r="X125" s="55" t="str">
        <f t="shared" ref="X125:AC125" si="126">M125</f>
        <v/>
      </c>
      <c r="Y125" s="55" t="str">
        <f t="shared" si="126"/>
        <v/>
      </c>
      <c r="Z125" s="55" t="str">
        <f t="shared" si="126"/>
        <v/>
      </c>
      <c r="AA125" s="55" t="str">
        <f t="shared" si="126"/>
        <v/>
      </c>
      <c r="AB125" s="55" t="str">
        <f t="shared" si="126"/>
        <v/>
      </c>
      <c r="AC125" s="55" t="str">
        <f t="shared" si="126"/>
        <v/>
      </c>
    </row>
    <row r="126">
      <c r="B126" s="6"/>
      <c r="C126" s="50"/>
      <c r="D126" s="50"/>
      <c r="E126" s="50"/>
      <c r="F126" s="50"/>
      <c r="G126" s="50"/>
      <c r="H126" s="50"/>
      <c r="I126" s="50"/>
      <c r="J126" s="50"/>
      <c r="K126" s="79"/>
      <c r="L126" s="6"/>
      <c r="M126" s="6"/>
      <c r="N126" s="6"/>
      <c r="O126" s="6"/>
      <c r="P126" s="6"/>
      <c r="Q126" s="6"/>
      <c r="R126" s="6"/>
      <c r="S126" s="6"/>
      <c r="T126" s="6"/>
      <c r="U126" s="109"/>
      <c r="V126" s="224"/>
      <c r="W126" s="198" t="str">
        <f t="shared" si="39"/>
        <v/>
      </c>
      <c r="X126" s="55" t="str">
        <f t="shared" ref="X126:AC126" si="127">M126</f>
        <v/>
      </c>
      <c r="Y126" s="55" t="str">
        <f t="shared" si="127"/>
        <v/>
      </c>
      <c r="Z126" s="55" t="str">
        <f t="shared" si="127"/>
        <v/>
      </c>
      <c r="AA126" s="55" t="str">
        <f t="shared" si="127"/>
        <v/>
      </c>
      <c r="AB126" s="55" t="str">
        <f t="shared" si="127"/>
        <v/>
      </c>
      <c r="AC126" s="55" t="str">
        <f t="shared" si="127"/>
        <v/>
      </c>
    </row>
    <row r="127">
      <c r="B127" s="6"/>
      <c r="C127" s="50"/>
      <c r="D127" s="50"/>
      <c r="E127" s="50"/>
      <c r="F127" s="50"/>
      <c r="G127" s="50"/>
      <c r="H127" s="50"/>
      <c r="I127" s="50"/>
      <c r="J127" s="50"/>
      <c r="K127" s="79"/>
      <c r="L127" s="6"/>
      <c r="M127" s="6"/>
      <c r="N127" s="6"/>
      <c r="O127" s="6"/>
      <c r="P127" s="6"/>
      <c r="Q127" s="6"/>
      <c r="R127" s="6"/>
      <c r="S127" s="6"/>
      <c r="T127" s="6"/>
      <c r="U127" s="109"/>
      <c r="V127" s="224"/>
      <c r="W127" s="198" t="str">
        <f t="shared" si="39"/>
        <v/>
      </c>
      <c r="X127" s="55" t="str">
        <f t="shared" ref="X127:AC127" si="128">M127</f>
        <v/>
      </c>
      <c r="Y127" s="55" t="str">
        <f t="shared" si="128"/>
        <v/>
      </c>
      <c r="Z127" s="55" t="str">
        <f t="shared" si="128"/>
        <v/>
      </c>
      <c r="AA127" s="55" t="str">
        <f t="shared" si="128"/>
        <v/>
      </c>
      <c r="AB127" s="55" t="str">
        <f t="shared" si="128"/>
        <v/>
      </c>
      <c r="AC127" s="55" t="str">
        <f t="shared" si="128"/>
        <v/>
      </c>
    </row>
    <row r="128">
      <c r="B128" s="6"/>
      <c r="C128" s="50"/>
      <c r="D128" s="50"/>
      <c r="E128" s="50"/>
      <c r="F128" s="50"/>
      <c r="G128" s="50"/>
      <c r="H128" s="50"/>
      <c r="I128" s="50"/>
      <c r="J128" s="50"/>
      <c r="K128" s="79"/>
      <c r="L128" s="6"/>
      <c r="M128" s="6"/>
      <c r="N128" s="6"/>
      <c r="O128" s="6"/>
      <c r="P128" s="6"/>
      <c r="Q128" s="6"/>
      <c r="R128" s="6"/>
      <c r="S128" s="6"/>
      <c r="T128" s="6"/>
      <c r="U128" s="109"/>
      <c r="V128" s="224"/>
      <c r="W128" s="198" t="str">
        <f t="shared" si="39"/>
        <v/>
      </c>
      <c r="X128" s="55" t="str">
        <f t="shared" ref="X128:AC128" si="129">M128</f>
        <v/>
      </c>
      <c r="Y128" s="55" t="str">
        <f t="shared" si="129"/>
        <v/>
      </c>
      <c r="Z128" s="55" t="str">
        <f t="shared" si="129"/>
        <v/>
      </c>
      <c r="AA128" s="55" t="str">
        <f t="shared" si="129"/>
        <v/>
      </c>
      <c r="AB128" s="55" t="str">
        <f t="shared" si="129"/>
        <v/>
      </c>
      <c r="AC128" s="55" t="str">
        <f t="shared" si="129"/>
        <v/>
      </c>
    </row>
    <row r="129">
      <c r="B129" s="6"/>
      <c r="C129" s="50"/>
      <c r="D129" s="50"/>
      <c r="E129" s="50"/>
      <c r="F129" s="50"/>
      <c r="G129" s="50"/>
      <c r="H129" s="50"/>
      <c r="I129" s="50"/>
      <c r="J129" s="50"/>
      <c r="K129" s="79"/>
      <c r="L129" s="6"/>
      <c r="M129" s="6"/>
      <c r="N129" s="6"/>
      <c r="O129" s="6"/>
      <c r="P129" s="6"/>
      <c r="Q129" s="6"/>
      <c r="R129" s="6"/>
      <c r="S129" s="6"/>
      <c r="T129" s="6"/>
      <c r="U129" s="109"/>
      <c r="V129" s="224"/>
      <c r="W129" s="198" t="str">
        <f t="shared" si="39"/>
        <v/>
      </c>
      <c r="X129" s="55" t="str">
        <f t="shared" ref="X129:AC129" si="130">M129</f>
        <v/>
      </c>
      <c r="Y129" s="55" t="str">
        <f t="shared" si="130"/>
        <v/>
      </c>
      <c r="Z129" s="55" t="str">
        <f t="shared" si="130"/>
        <v/>
      </c>
      <c r="AA129" s="55" t="str">
        <f t="shared" si="130"/>
        <v/>
      </c>
      <c r="AB129" s="55" t="str">
        <f t="shared" si="130"/>
        <v/>
      </c>
      <c r="AC129" s="55" t="str">
        <f t="shared" si="130"/>
        <v/>
      </c>
    </row>
    <row r="130">
      <c r="B130" s="6"/>
      <c r="C130" s="50"/>
      <c r="D130" s="50"/>
      <c r="E130" s="50"/>
      <c r="F130" s="50"/>
      <c r="G130" s="50"/>
      <c r="H130" s="50"/>
      <c r="I130" s="50"/>
      <c r="J130" s="50"/>
      <c r="K130" s="79"/>
      <c r="L130" s="6"/>
      <c r="M130" s="6"/>
      <c r="N130" s="6"/>
      <c r="O130" s="6"/>
      <c r="P130" s="6"/>
      <c r="Q130" s="6"/>
      <c r="R130" s="6"/>
      <c r="S130" s="6"/>
      <c r="T130" s="6"/>
      <c r="U130" s="109"/>
      <c r="V130" s="224"/>
      <c r="W130" s="198" t="str">
        <f t="shared" si="39"/>
        <v/>
      </c>
      <c r="X130" s="55" t="str">
        <f t="shared" ref="X130:AC130" si="131">M130</f>
        <v/>
      </c>
      <c r="Y130" s="55" t="str">
        <f t="shared" si="131"/>
        <v/>
      </c>
      <c r="Z130" s="55" t="str">
        <f t="shared" si="131"/>
        <v/>
      </c>
      <c r="AA130" s="55" t="str">
        <f t="shared" si="131"/>
        <v/>
      </c>
      <c r="AB130" s="55" t="str">
        <f t="shared" si="131"/>
        <v/>
      </c>
      <c r="AC130" s="55" t="str">
        <f t="shared" si="131"/>
        <v/>
      </c>
    </row>
    <row r="131">
      <c r="B131" s="6"/>
      <c r="C131" s="50"/>
      <c r="D131" s="50"/>
      <c r="E131" s="50"/>
      <c r="F131" s="50"/>
      <c r="G131" s="50"/>
      <c r="H131" s="50"/>
      <c r="I131" s="50"/>
      <c r="J131" s="50"/>
      <c r="K131" s="79"/>
      <c r="L131" s="6"/>
      <c r="M131" s="6"/>
      <c r="N131" s="6"/>
      <c r="O131" s="6"/>
      <c r="P131" s="6"/>
      <c r="Q131" s="6"/>
      <c r="R131" s="6"/>
      <c r="S131" s="6"/>
      <c r="T131" s="6"/>
      <c r="U131" s="109"/>
      <c r="V131" s="224"/>
      <c r="W131" s="198" t="str">
        <f t="shared" si="39"/>
        <v/>
      </c>
      <c r="X131" s="55" t="str">
        <f t="shared" ref="X131:AC131" si="132">M131</f>
        <v/>
      </c>
      <c r="Y131" s="55" t="str">
        <f t="shared" si="132"/>
        <v/>
      </c>
      <c r="Z131" s="55" t="str">
        <f t="shared" si="132"/>
        <v/>
      </c>
      <c r="AA131" s="55" t="str">
        <f t="shared" si="132"/>
        <v/>
      </c>
      <c r="AB131" s="55" t="str">
        <f t="shared" si="132"/>
        <v/>
      </c>
      <c r="AC131" s="55" t="str">
        <f t="shared" si="132"/>
        <v/>
      </c>
    </row>
    <row r="132">
      <c r="B132" s="6"/>
      <c r="C132" s="50"/>
      <c r="D132" s="50"/>
      <c r="E132" s="50"/>
      <c r="F132" s="50"/>
      <c r="G132" s="50"/>
      <c r="H132" s="50"/>
      <c r="I132" s="50"/>
      <c r="J132" s="50"/>
      <c r="K132" s="79"/>
      <c r="L132" s="6"/>
      <c r="M132" s="6"/>
      <c r="N132" s="6"/>
      <c r="O132" s="6"/>
      <c r="P132" s="6"/>
      <c r="Q132" s="6"/>
      <c r="R132" s="6"/>
      <c r="S132" s="6"/>
      <c r="T132" s="6"/>
      <c r="U132" s="109"/>
      <c r="V132" s="224"/>
      <c r="W132" s="198" t="str">
        <f t="shared" si="39"/>
        <v/>
      </c>
      <c r="X132" s="55" t="str">
        <f t="shared" ref="X132:AC132" si="133">M132</f>
        <v/>
      </c>
      <c r="Y132" s="55" t="str">
        <f t="shared" si="133"/>
        <v/>
      </c>
      <c r="Z132" s="55" t="str">
        <f t="shared" si="133"/>
        <v/>
      </c>
      <c r="AA132" s="55" t="str">
        <f t="shared" si="133"/>
        <v/>
      </c>
      <c r="AB132" s="55" t="str">
        <f t="shared" si="133"/>
        <v/>
      </c>
      <c r="AC132" s="55" t="str">
        <f t="shared" si="133"/>
        <v/>
      </c>
    </row>
    <row r="133">
      <c r="B133" s="6"/>
      <c r="C133" s="50"/>
      <c r="D133" s="50"/>
      <c r="E133" s="50"/>
      <c r="F133" s="50"/>
      <c r="G133" s="50"/>
      <c r="H133" s="50"/>
      <c r="I133" s="50"/>
      <c r="J133" s="50"/>
      <c r="K133" s="79"/>
      <c r="L133" s="6"/>
      <c r="M133" s="6"/>
      <c r="N133" s="6"/>
      <c r="O133" s="6"/>
      <c r="P133" s="6"/>
      <c r="Q133" s="6"/>
      <c r="R133" s="6"/>
      <c r="S133" s="6"/>
      <c r="T133" s="6"/>
      <c r="U133" s="109"/>
      <c r="V133" s="224"/>
      <c r="W133" s="198" t="str">
        <f t="shared" si="39"/>
        <v/>
      </c>
      <c r="X133" s="55" t="str">
        <f t="shared" ref="X133:AC133" si="134">M133</f>
        <v/>
      </c>
      <c r="Y133" s="55" t="str">
        <f t="shared" si="134"/>
        <v/>
      </c>
      <c r="Z133" s="55" t="str">
        <f t="shared" si="134"/>
        <v/>
      </c>
      <c r="AA133" s="55" t="str">
        <f t="shared" si="134"/>
        <v/>
      </c>
      <c r="AB133" s="55" t="str">
        <f t="shared" si="134"/>
        <v/>
      </c>
      <c r="AC133" s="55" t="str">
        <f t="shared" si="134"/>
        <v/>
      </c>
    </row>
    <row r="134">
      <c r="B134" s="6"/>
      <c r="C134" s="50"/>
      <c r="D134" s="50"/>
      <c r="E134" s="50"/>
      <c r="F134" s="50"/>
      <c r="G134" s="50"/>
      <c r="H134" s="50"/>
      <c r="I134" s="50"/>
      <c r="J134" s="50"/>
      <c r="K134" s="79"/>
      <c r="L134" s="6"/>
      <c r="M134" s="6"/>
      <c r="N134" s="6"/>
      <c r="O134" s="6"/>
      <c r="P134" s="6"/>
      <c r="Q134" s="6"/>
      <c r="R134" s="6"/>
      <c r="S134" s="6"/>
      <c r="T134" s="6"/>
      <c r="U134" s="51"/>
      <c r="V134" s="51"/>
      <c r="W134" s="51"/>
      <c r="X134" s="51"/>
      <c r="Y134" s="51"/>
      <c r="Z134" s="51"/>
      <c r="AA134" s="51"/>
      <c r="AB134" s="51"/>
      <c r="AC134" s="51"/>
    </row>
    <row r="135">
      <c r="B135" s="6"/>
      <c r="C135" s="50"/>
      <c r="D135" s="50"/>
      <c r="E135" s="50"/>
      <c r="F135" s="50"/>
      <c r="G135" s="50"/>
      <c r="H135" s="50"/>
      <c r="I135" s="50"/>
      <c r="J135" s="50"/>
      <c r="K135" s="79"/>
      <c r="L135" s="6"/>
      <c r="M135" s="6"/>
      <c r="N135" s="6"/>
      <c r="O135" s="6"/>
      <c r="P135" s="6"/>
      <c r="Q135" s="6"/>
      <c r="R135" s="6"/>
      <c r="S135" s="6"/>
      <c r="T135" s="6"/>
      <c r="U135" s="51"/>
      <c r="V135" s="51"/>
      <c r="W135" s="51"/>
      <c r="X135" s="51"/>
      <c r="Y135" s="51"/>
      <c r="Z135" s="51"/>
      <c r="AA135" s="51"/>
      <c r="AB135" s="51"/>
      <c r="AC135" s="51"/>
    </row>
    <row r="136">
      <c r="B136" s="6"/>
      <c r="C136" s="50"/>
      <c r="D136" s="50"/>
      <c r="E136" s="50"/>
      <c r="F136" s="50"/>
      <c r="G136" s="50"/>
      <c r="H136" s="50"/>
      <c r="I136" s="50"/>
      <c r="J136" s="50"/>
      <c r="K136" s="79"/>
      <c r="L136" s="6"/>
      <c r="M136" s="6"/>
      <c r="N136" s="6"/>
      <c r="O136" s="6"/>
      <c r="P136" s="6"/>
      <c r="Q136" s="6"/>
      <c r="R136" s="6"/>
      <c r="S136" s="6"/>
      <c r="T136" s="6"/>
      <c r="U136" s="51"/>
      <c r="V136" s="51"/>
      <c r="W136" s="51"/>
      <c r="X136" s="51"/>
      <c r="Y136" s="51"/>
      <c r="Z136" s="51"/>
      <c r="AA136" s="51"/>
      <c r="AB136" s="51"/>
      <c r="AC136" s="51"/>
    </row>
    <row r="137">
      <c r="B137" s="6"/>
      <c r="C137" s="50"/>
      <c r="D137" s="50"/>
      <c r="E137" s="50"/>
      <c r="F137" s="50"/>
      <c r="G137" s="50"/>
      <c r="H137" s="50"/>
      <c r="I137" s="50"/>
      <c r="J137" s="50"/>
      <c r="K137" s="79"/>
      <c r="L137" s="6"/>
      <c r="M137" s="6"/>
      <c r="N137" s="6"/>
      <c r="O137" s="6"/>
      <c r="P137" s="6"/>
      <c r="Q137" s="6"/>
      <c r="R137" s="6"/>
      <c r="S137" s="6"/>
      <c r="T137" s="6"/>
      <c r="U137" s="51"/>
      <c r="V137" s="51"/>
      <c r="W137" s="51"/>
      <c r="X137" s="51"/>
      <c r="Y137" s="51"/>
      <c r="Z137" s="51"/>
      <c r="AA137" s="51"/>
      <c r="AB137" s="51"/>
      <c r="AC137" s="51"/>
    </row>
    <row r="138">
      <c r="B138" s="6"/>
      <c r="C138" s="50"/>
      <c r="D138" s="50"/>
      <c r="E138" s="50"/>
      <c r="F138" s="50"/>
      <c r="G138" s="50"/>
      <c r="H138" s="50"/>
      <c r="I138" s="50"/>
      <c r="J138" s="50"/>
      <c r="K138" s="79"/>
      <c r="L138" s="6"/>
      <c r="M138" s="6"/>
      <c r="N138" s="6"/>
      <c r="O138" s="6"/>
      <c r="P138" s="6"/>
      <c r="Q138" s="6"/>
      <c r="R138" s="6"/>
      <c r="S138" s="6"/>
      <c r="T138" s="6"/>
      <c r="U138" s="51"/>
      <c r="V138" s="51"/>
      <c r="W138" s="51"/>
      <c r="X138" s="51"/>
      <c r="Y138" s="51"/>
      <c r="Z138" s="51"/>
      <c r="AA138" s="51"/>
      <c r="AB138" s="51"/>
      <c r="AC138" s="51"/>
    </row>
    <row r="139">
      <c r="B139" s="6"/>
      <c r="C139" s="50"/>
      <c r="D139" s="50"/>
      <c r="E139" s="50"/>
      <c r="F139" s="50"/>
      <c r="G139" s="50"/>
      <c r="H139" s="50"/>
      <c r="I139" s="50"/>
      <c r="J139" s="50"/>
      <c r="K139" s="79"/>
      <c r="L139" s="6"/>
      <c r="M139" s="6"/>
      <c r="N139" s="6"/>
      <c r="O139" s="6"/>
      <c r="P139" s="6"/>
      <c r="Q139" s="6"/>
      <c r="R139" s="6"/>
      <c r="S139" s="6"/>
      <c r="T139" s="6"/>
      <c r="U139" s="51"/>
      <c r="V139" s="51"/>
      <c r="W139" s="51"/>
      <c r="X139" s="51"/>
      <c r="Y139" s="51"/>
      <c r="Z139" s="51"/>
      <c r="AA139" s="51"/>
      <c r="AB139" s="51"/>
      <c r="AC139" s="51"/>
    </row>
    <row r="140">
      <c r="B140" s="6"/>
      <c r="C140" s="50"/>
      <c r="D140" s="50"/>
      <c r="E140" s="50"/>
      <c r="F140" s="50"/>
      <c r="G140" s="50"/>
      <c r="H140" s="50"/>
      <c r="I140" s="50"/>
      <c r="J140" s="50"/>
      <c r="K140" s="79"/>
      <c r="L140" s="6"/>
      <c r="M140" s="6"/>
      <c r="N140" s="6"/>
      <c r="O140" s="6"/>
      <c r="P140" s="6"/>
      <c r="Q140" s="6"/>
      <c r="R140" s="6"/>
      <c r="S140" s="6"/>
      <c r="T140" s="6"/>
      <c r="U140" s="51"/>
      <c r="V140" s="51"/>
      <c r="W140" s="51"/>
      <c r="X140" s="51"/>
      <c r="Y140" s="51"/>
      <c r="Z140" s="51"/>
      <c r="AA140" s="51"/>
      <c r="AB140" s="51"/>
      <c r="AC140" s="51"/>
    </row>
    <row r="141">
      <c r="B141" s="6"/>
      <c r="C141" s="50"/>
      <c r="D141" s="50"/>
      <c r="E141" s="50"/>
      <c r="F141" s="50"/>
      <c r="G141" s="50"/>
      <c r="H141" s="50"/>
      <c r="I141" s="50"/>
      <c r="J141" s="50"/>
      <c r="K141" s="79"/>
      <c r="L141" s="6"/>
      <c r="M141" s="6"/>
      <c r="N141" s="6"/>
      <c r="O141" s="6"/>
      <c r="P141" s="6"/>
      <c r="Q141" s="6"/>
      <c r="R141" s="6"/>
      <c r="S141" s="6"/>
      <c r="T141" s="6"/>
      <c r="U141" s="51"/>
      <c r="V141" s="51"/>
      <c r="W141" s="51"/>
      <c r="X141" s="51"/>
      <c r="Y141" s="51"/>
      <c r="Z141" s="51"/>
      <c r="AA141" s="51"/>
      <c r="AB141" s="51"/>
      <c r="AC141" s="51"/>
    </row>
    <row r="142">
      <c r="B142" s="6"/>
      <c r="C142" s="50"/>
      <c r="D142" s="50"/>
      <c r="E142" s="50"/>
      <c r="F142" s="50"/>
      <c r="G142" s="50"/>
      <c r="H142" s="50"/>
      <c r="I142" s="50"/>
      <c r="J142" s="50"/>
      <c r="K142" s="79"/>
      <c r="L142" s="6"/>
      <c r="M142" s="6"/>
      <c r="N142" s="6"/>
      <c r="O142" s="6"/>
      <c r="P142" s="6"/>
      <c r="Q142" s="6"/>
      <c r="R142" s="6"/>
      <c r="S142" s="6"/>
      <c r="T142" s="6"/>
      <c r="U142" s="51"/>
      <c r="V142" s="51"/>
      <c r="W142" s="51"/>
      <c r="X142" s="51"/>
      <c r="Y142" s="51"/>
      <c r="Z142" s="51"/>
      <c r="AA142" s="51"/>
      <c r="AB142" s="51"/>
      <c r="AC142" s="51"/>
    </row>
    <row r="143">
      <c r="B143" s="6"/>
      <c r="C143" s="50"/>
      <c r="D143" s="50"/>
      <c r="E143" s="50"/>
      <c r="F143" s="50"/>
      <c r="G143" s="50"/>
      <c r="H143" s="50"/>
      <c r="I143" s="50"/>
      <c r="J143" s="50"/>
      <c r="K143" s="79"/>
      <c r="L143" s="6"/>
      <c r="M143" s="6"/>
      <c r="N143" s="6"/>
      <c r="O143" s="6"/>
      <c r="P143" s="6"/>
      <c r="Q143" s="6"/>
      <c r="R143" s="6"/>
      <c r="S143" s="6"/>
      <c r="T143" s="6"/>
      <c r="U143" s="51"/>
      <c r="V143" s="51"/>
      <c r="W143" s="51"/>
      <c r="X143" s="51"/>
      <c r="Y143" s="51"/>
      <c r="Z143" s="51"/>
      <c r="AA143" s="51"/>
      <c r="AB143" s="51"/>
      <c r="AC143" s="51"/>
    </row>
    <row r="144">
      <c r="B144" s="6"/>
      <c r="C144" s="50"/>
      <c r="D144" s="50"/>
      <c r="E144" s="50"/>
      <c r="F144" s="50"/>
      <c r="G144" s="50"/>
      <c r="H144" s="50"/>
      <c r="I144" s="50"/>
      <c r="J144" s="50"/>
      <c r="K144" s="79"/>
      <c r="L144" s="6"/>
      <c r="M144" s="6"/>
      <c r="N144" s="6"/>
      <c r="O144" s="6"/>
      <c r="P144" s="6"/>
      <c r="Q144" s="6"/>
      <c r="R144" s="6"/>
      <c r="S144" s="6"/>
      <c r="T144" s="6"/>
      <c r="U144" s="51"/>
      <c r="V144" s="51"/>
      <c r="W144" s="51"/>
      <c r="X144" s="51"/>
      <c r="Y144" s="51"/>
      <c r="Z144" s="51"/>
      <c r="AA144" s="51"/>
      <c r="AB144" s="51"/>
      <c r="AC144" s="51"/>
    </row>
    <row r="145">
      <c r="B145" s="6"/>
      <c r="C145" s="50"/>
      <c r="D145" s="50"/>
      <c r="E145" s="50"/>
      <c r="F145" s="50"/>
      <c r="G145" s="50"/>
      <c r="H145" s="50"/>
      <c r="I145" s="50"/>
      <c r="J145" s="50"/>
      <c r="K145" s="79"/>
      <c r="L145" s="6"/>
      <c r="M145" s="6"/>
      <c r="N145" s="6"/>
      <c r="O145" s="6"/>
      <c r="P145" s="6"/>
      <c r="Q145" s="6"/>
      <c r="R145" s="6"/>
      <c r="S145" s="6"/>
      <c r="T145" s="6"/>
      <c r="U145" s="51"/>
      <c r="V145" s="51"/>
      <c r="W145" s="51"/>
      <c r="X145" s="51"/>
      <c r="Y145" s="51"/>
      <c r="Z145" s="51"/>
      <c r="AA145" s="51"/>
      <c r="AB145" s="51"/>
      <c r="AC145" s="51"/>
    </row>
    <row r="146">
      <c r="B146" s="6"/>
      <c r="C146" s="50"/>
      <c r="D146" s="50"/>
      <c r="E146" s="50"/>
      <c r="F146" s="50"/>
      <c r="G146" s="50"/>
      <c r="H146" s="50"/>
      <c r="I146" s="50"/>
      <c r="J146" s="50"/>
      <c r="K146" s="79"/>
      <c r="L146" s="6"/>
      <c r="M146" s="6"/>
      <c r="N146" s="6"/>
      <c r="O146" s="6"/>
      <c r="P146" s="6"/>
      <c r="Q146" s="6"/>
      <c r="R146" s="6"/>
      <c r="S146" s="6"/>
      <c r="T146" s="6"/>
      <c r="U146" s="51"/>
      <c r="V146" s="51"/>
      <c r="W146" s="51"/>
      <c r="X146" s="51"/>
      <c r="Y146" s="51"/>
      <c r="Z146" s="51"/>
      <c r="AA146" s="51"/>
      <c r="AB146" s="51"/>
      <c r="AC146" s="51"/>
    </row>
    <row r="147">
      <c r="B147" s="6"/>
      <c r="C147" s="50"/>
      <c r="D147" s="50"/>
      <c r="E147" s="50"/>
      <c r="F147" s="50"/>
      <c r="G147" s="50"/>
      <c r="H147" s="50"/>
      <c r="I147" s="50"/>
      <c r="J147" s="50"/>
      <c r="K147" s="79"/>
      <c r="L147" s="6"/>
      <c r="M147" s="6"/>
      <c r="N147" s="6"/>
      <c r="O147" s="6"/>
      <c r="P147" s="6"/>
      <c r="Q147" s="6"/>
      <c r="R147" s="6"/>
      <c r="S147" s="6"/>
      <c r="T147" s="6"/>
      <c r="U147" s="51"/>
      <c r="V147" s="51"/>
      <c r="W147" s="51"/>
      <c r="X147" s="51"/>
      <c r="Y147" s="51"/>
      <c r="Z147" s="51"/>
      <c r="AA147" s="51"/>
      <c r="AB147" s="51"/>
      <c r="AC147" s="51"/>
    </row>
    <row r="148">
      <c r="B148" s="6"/>
      <c r="C148" s="50"/>
      <c r="D148" s="50"/>
      <c r="E148" s="50"/>
      <c r="F148" s="50"/>
      <c r="G148" s="50"/>
      <c r="H148" s="50"/>
      <c r="I148" s="50"/>
      <c r="J148" s="50"/>
      <c r="K148" s="79"/>
      <c r="L148" s="6"/>
      <c r="M148" s="6"/>
      <c r="N148" s="6"/>
      <c r="O148" s="6"/>
      <c r="P148" s="6"/>
      <c r="Q148" s="6"/>
      <c r="R148" s="6"/>
      <c r="S148" s="6"/>
      <c r="T148" s="6"/>
      <c r="U148" s="51"/>
      <c r="V148" s="51"/>
      <c r="W148" s="51"/>
      <c r="X148" s="51"/>
      <c r="Y148" s="51"/>
      <c r="Z148" s="51"/>
      <c r="AA148" s="51"/>
      <c r="AB148" s="51"/>
      <c r="AC148" s="51"/>
    </row>
    <row r="149">
      <c r="B149" s="6"/>
      <c r="C149" s="50"/>
      <c r="D149" s="50"/>
      <c r="E149" s="50"/>
      <c r="F149" s="50"/>
      <c r="G149" s="50"/>
      <c r="H149" s="50"/>
      <c r="I149" s="50"/>
      <c r="J149" s="50"/>
      <c r="K149" s="79"/>
      <c r="L149" s="6"/>
      <c r="M149" s="6"/>
      <c r="N149" s="6"/>
      <c r="O149" s="6"/>
      <c r="P149" s="6"/>
      <c r="Q149" s="6"/>
      <c r="R149" s="6"/>
      <c r="S149" s="6"/>
      <c r="T149" s="6"/>
      <c r="U149" s="51"/>
      <c r="V149" s="51"/>
      <c r="W149" s="51"/>
      <c r="X149" s="51"/>
      <c r="Y149" s="51"/>
      <c r="Z149" s="51"/>
      <c r="AA149" s="51"/>
      <c r="AB149" s="51"/>
      <c r="AC149" s="51"/>
    </row>
    <row r="150">
      <c r="B150" s="6"/>
      <c r="C150" s="50"/>
      <c r="D150" s="50"/>
      <c r="E150" s="50"/>
      <c r="F150" s="50"/>
      <c r="G150" s="50"/>
      <c r="H150" s="50"/>
      <c r="I150" s="50"/>
      <c r="J150" s="50"/>
      <c r="K150" s="79"/>
      <c r="L150" s="6"/>
      <c r="M150" s="6"/>
      <c r="N150" s="6"/>
      <c r="O150" s="6"/>
      <c r="P150" s="6"/>
      <c r="Q150" s="6"/>
      <c r="R150" s="6"/>
      <c r="S150" s="6"/>
      <c r="T150" s="6"/>
      <c r="U150" s="51"/>
      <c r="V150" s="51"/>
      <c r="W150" s="51"/>
      <c r="X150" s="51"/>
      <c r="Y150" s="51"/>
      <c r="Z150" s="51"/>
      <c r="AA150" s="51"/>
      <c r="AB150" s="51"/>
      <c r="AC150" s="51"/>
    </row>
    <row r="151">
      <c r="B151" s="6"/>
      <c r="C151" s="50"/>
      <c r="D151" s="50"/>
      <c r="E151" s="50"/>
      <c r="F151" s="50"/>
      <c r="G151" s="50"/>
      <c r="H151" s="50"/>
      <c r="I151" s="50"/>
      <c r="J151" s="50"/>
      <c r="K151" s="79"/>
      <c r="L151" s="6"/>
      <c r="M151" s="6"/>
      <c r="N151" s="6"/>
      <c r="O151" s="6"/>
      <c r="P151" s="6"/>
      <c r="Q151" s="6"/>
      <c r="R151" s="6"/>
      <c r="S151" s="6"/>
      <c r="T151" s="6"/>
      <c r="U151" s="51"/>
      <c r="V151" s="51"/>
      <c r="W151" s="51"/>
      <c r="X151" s="51"/>
      <c r="Y151" s="51"/>
      <c r="Z151" s="51"/>
      <c r="AA151" s="51"/>
      <c r="AB151" s="51"/>
      <c r="AC151" s="51"/>
    </row>
    <row r="152">
      <c r="B152" s="6"/>
      <c r="C152" s="50"/>
      <c r="D152" s="50"/>
      <c r="E152" s="50"/>
      <c r="F152" s="50"/>
      <c r="G152" s="50"/>
      <c r="H152" s="50"/>
      <c r="I152" s="50"/>
      <c r="J152" s="50"/>
      <c r="K152" s="79"/>
      <c r="L152" s="6"/>
      <c r="M152" s="6"/>
      <c r="N152" s="6"/>
      <c r="O152" s="6"/>
      <c r="P152" s="6"/>
      <c r="Q152" s="6"/>
      <c r="R152" s="6"/>
      <c r="S152" s="6"/>
      <c r="T152" s="6"/>
      <c r="U152" s="51"/>
      <c r="V152" s="51"/>
      <c r="W152" s="51"/>
      <c r="X152" s="51"/>
      <c r="Y152" s="51"/>
      <c r="Z152" s="51"/>
      <c r="AA152" s="51"/>
      <c r="AB152" s="51"/>
      <c r="AC152" s="51"/>
    </row>
    <row r="153">
      <c r="B153" s="6"/>
      <c r="C153" s="50"/>
      <c r="D153" s="50"/>
      <c r="E153" s="50"/>
      <c r="F153" s="50"/>
      <c r="G153" s="50"/>
      <c r="H153" s="50"/>
      <c r="I153" s="50"/>
      <c r="J153" s="50"/>
      <c r="K153" s="79"/>
      <c r="L153" s="6"/>
      <c r="M153" s="6"/>
      <c r="N153" s="6"/>
      <c r="O153" s="6"/>
      <c r="P153" s="6"/>
      <c r="Q153" s="6"/>
      <c r="R153" s="6"/>
      <c r="S153" s="6"/>
      <c r="T153" s="6"/>
      <c r="U153" s="51"/>
      <c r="V153" s="51"/>
      <c r="W153" s="51"/>
      <c r="X153" s="51"/>
      <c r="Y153" s="51"/>
      <c r="Z153" s="51"/>
      <c r="AA153" s="51"/>
      <c r="AB153" s="51"/>
      <c r="AC153" s="51"/>
    </row>
    <row r="154">
      <c r="B154" s="6"/>
      <c r="C154" s="50"/>
      <c r="D154" s="50"/>
      <c r="E154" s="50"/>
      <c r="F154" s="50"/>
      <c r="G154" s="50"/>
      <c r="H154" s="50"/>
      <c r="I154" s="50"/>
      <c r="J154" s="50"/>
      <c r="K154" s="79"/>
      <c r="L154" s="6"/>
      <c r="M154" s="6"/>
      <c r="N154" s="6"/>
      <c r="O154" s="6"/>
      <c r="P154" s="6"/>
      <c r="Q154" s="6"/>
      <c r="R154" s="6"/>
      <c r="S154" s="6"/>
      <c r="T154" s="6"/>
      <c r="U154" s="51"/>
      <c r="V154" s="51"/>
      <c r="W154" s="51"/>
      <c r="X154" s="51"/>
      <c r="Y154" s="51"/>
      <c r="Z154" s="51"/>
      <c r="AA154" s="51"/>
      <c r="AB154" s="51"/>
      <c r="AC154" s="51"/>
    </row>
    <row r="155">
      <c r="B155" s="6"/>
      <c r="C155" s="50"/>
      <c r="D155" s="50"/>
      <c r="E155" s="50"/>
      <c r="F155" s="50"/>
      <c r="G155" s="50"/>
      <c r="H155" s="50"/>
      <c r="I155" s="50"/>
      <c r="J155" s="50"/>
      <c r="K155" s="79"/>
      <c r="L155" s="6"/>
      <c r="M155" s="6"/>
      <c r="N155" s="6"/>
      <c r="O155" s="6"/>
      <c r="P155" s="6"/>
      <c r="Q155" s="6"/>
      <c r="R155" s="6"/>
      <c r="S155" s="6"/>
      <c r="T155" s="6"/>
      <c r="U155" s="51"/>
      <c r="V155" s="51"/>
      <c r="W155" s="51"/>
      <c r="X155" s="51"/>
      <c r="Y155" s="51"/>
      <c r="Z155" s="51"/>
      <c r="AA155" s="51"/>
      <c r="AB155" s="51"/>
      <c r="AC155" s="51"/>
    </row>
    <row r="156">
      <c r="B156" s="6"/>
      <c r="C156" s="50"/>
      <c r="D156" s="50"/>
      <c r="E156" s="50"/>
      <c r="F156" s="50"/>
      <c r="G156" s="50"/>
      <c r="H156" s="50"/>
      <c r="I156" s="50"/>
      <c r="J156" s="50"/>
      <c r="K156" s="79"/>
      <c r="L156" s="6"/>
      <c r="M156" s="6"/>
      <c r="N156" s="6"/>
      <c r="O156" s="6"/>
      <c r="P156" s="6"/>
      <c r="Q156" s="6"/>
      <c r="R156" s="6"/>
      <c r="S156" s="6"/>
      <c r="T156" s="6"/>
      <c r="U156" s="51"/>
      <c r="V156" s="51"/>
      <c r="W156" s="51"/>
      <c r="X156" s="51"/>
      <c r="Y156" s="51"/>
      <c r="Z156" s="51"/>
      <c r="AA156" s="51"/>
      <c r="AB156" s="51"/>
      <c r="AC156" s="51"/>
    </row>
    <row r="157">
      <c r="B157" s="6"/>
      <c r="C157" s="50"/>
      <c r="D157" s="50"/>
      <c r="E157" s="50"/>
      <c r="F157" s="50"/>
      <c r="G157" s="50"/>
      <c r="H157" s="50"/>
      <c r="I157" s="50"/>
      <c r="J157" s="50"/>
      <c r="K157" s="79"/>
      <c r="L157" s="6"/>
      <c r="M157" s="6"/>
      <c r="N157" s="6"/>
      <c r="O157" s="6"/>
      <c r="P157" s="6"/>
      <c r="Q157" s="6"/>
      <c r="R157" s="6"/>
      <c r="S157" s="6"/>
      <c r="T157" s="6"/>
      <c r="U157" s="51"/>
      <c r="V157" s="51"/>
      <c r="W157" s="51"/>
      <c r="X157" s="51"/>
      <c r="Y157" s="51"/>
      <c r="Z157" s="51"/>
      <c r="AA157" s="51"/>
      <c r="AB157" s="51"/>
      <c r="AC157" s="51"/>
    </row>
    <row r="158">
      <c r="B158" s="6"/>
      <c r="C158" s="50"/>
      <c r="D158" s="50"/>
      <c r="E158" s="50"/>
      <c r="F158" s="50"/>
      <c r="G158" s="50"/>
      <c r="H158" s="50"/>
      <c r="I158" s="50"/>
      <c r="J158" s="50"/>
      <c r="K158" s="79"/>
      <c r="L158" s="6"/>
      <c r="M158" s="6"/>
      <c r="N158" s="6"/>
      <c r="O158" s="6"/>
      <c r="P158" s="6"/>
      <c r="Q158" s="6"/>
      <c r="R158" s="6"/>
      <c r="S158" s="6"/>
      <c r="T158" s="6"/>
      <c r="U158" s="51"/>
      <c r="V158" s="51"/>
      <c r="W158" s="51"/>
      <c r="X158" s="51"/>
      <c r="Y158" s="51"/>
      <c r="Z158" s="51"/>
      <c r="AA158" s="51"/>
      <c r="AB158" s="51"/>
      <c r="AC158" s="51"/>
    </row>
    <row r="159">
      <c r="B159" s="6"/>
      <c r="C159" s="50"/>
      <c r="D159" s="50"/>
      <c r="E159" s="50"/>
      <c r="F159" s="50"/>
      <c r="G159" s="50"/>
      <c r="H159" s="50"/>
      <c r="I159" s="50"/>
      <c r="J159" s="50"/>
      <c r="K159" s="79"/>
      <c r="L159" s="6"/>
      <c r="M159" s="6"/>
      <c r="N159" s="6"/>
      <c r="O159" s="6"/>
      <c r="P159" s="6"/>
      <c r="Q159" s="6"/>
      <c r="R159" s="6"/>
      <c r="S159" s="6"/>
      <c r="T159" s="6"/>
      <c r="U159" s="51"/>
      <c r="V159" s="51"/>
      <c r="W159" s="51"/>
      <c r="X159" s="51"/>
      <c r="Y159" s="51"/>
      <c r="Z159" s="51"/>
      <c r="AA159" s="51"/>
      <c r="AB159" s="51"/>
      <c r="AC159" s="51"/>
    </row>
    <row r="160">
      <c r="B160" s="6"/>
      <c r="C160" s="50"/>
      <c r="D160" s="50"/>
      <c r="E160" s="50"/>
      <c r="F160" s="50"/>
      <c r="G160" s="50"/>
      <c r="H160" s="50"/>
      <c r="I160" s="50"/>
      <c r="J160" s="50"/>
      <c r="K160" s="79"/>
      <c r="L160" s="6"/>
      <c r="M160" s="6"/>
      <c r="N160" s="6"/>
      <c r="O160" s="6"/>
      <c r="P160" s="6"/>
      <c r="Q160" s="6"/>
      <c r="R160" s="6"/>
      <c r="S160" s="6"/>
      <c r="T160" s="6"/>
      <c r="U160" s="51"/>
      <c r="V160" s="51"/>
      <c r="W160" s="51"/>
      <c r="X160" s="51"/>
      <c r="Y160" s="51"/>
      <c r="Z160" s="51"/>
      <c r="AA160" s="51"/>
      <c r="AB160" s="51"/>
      <c r="AC160" s="51"/>
    </row>
    <row r="161">
      <c r="B161" s="6"/>
      <c r="C161" s="50"/>
      <c r="D161" s="50"/>
      <c r="E161" s="50"/>
      <c r="F161" s="50"/>
      <c r="G161" s="50"/>
      <c r="H161" s="50"/>
      <c r="I161" s="50"/>
      <c r="J161" s="50"/>
      <c r="K161" s="79"/>
      <c r="L161" s="6"/>
      <c r="M161" s="6"/>
      <c r="N161" s="6"/>
      <c r="O161" s="6"/>
      <c r="P161" s="6"/>
      <c r="Q161" s="6"/>
      <c r="R161" s="6"/>
      <c r="S161" s="6"/>
      <c r="T161" s="6"/>
      <c r="U161" s="51"/>
      <c r="V161" s="51"/>
      <c r="W161" s="51"/>
      <c r="X161" s="51"/>
      <c r="Y161" s="51"/>
      <c r="Z161" s="51"/>
      <c r="AA161" s="51"/>
      <c r="AB161" s="51"/>
      <c r="AC161" s="51"/>
    </row>
    <row r="162">
      <c r="B162" s="6"/>
      <c r="C162" s="50"/>
      <c r="D162" s="50"/>
      <c r="E162" s="50"/>
      <c r="F162" s="50"/>
      <c r="G162" s="50"/>
      <c r="H162" s="50"/>
      <c r="I162" s="50"/>
      <c r="J162" s="50"/>
      <c r="K162" s="79"/>
      <c r="L162" s="6"/>
      <c r="M162" s="6"/>
      <c r="N162" s="6"/>
      <c r="O162" s="6"/>
      <c r="P162" s="6"/>
      <c r="Q162" s="6"/>
      <c r="R162" s="6"/>
      <c r="S162" s="6"/>
      <c r="T162" s="6"/>
      <c r="U162" s="51"/>
      <c r="V162" s="51"/>
      <c r="W162" s="51"/>
      <c r="X162" s="51"/>
      <c r="Y162" s="51"/>
      <c r="Z162" s="51"/>
      <c r="AA162" s="51"/>
      <c r="AB162" s="51"/>
      <c r="AC162" s="51"/>
    </row>
    <row r="163">
      <c r="B163" s="6"/>
      <c r="C163" s="50"/>
      <c r="D163" s="50"/>
      <c r="E163" s="50"/>
      <c r="F163" s="50"/>
      <c r="G163" s="50"/>
      <c r="H163" s="50"/>
      <c r="I163" s="50"/>
      <c r="J163" s="50"/>
      <c r="K163" s="79"/>
      <c r="L163" s="6"/>
      <c r="M163" s="6"/>
      <c r="N163" s="6"/>
      <c r="O163" s="6"/>
      <c r="P163" s="6"/>
      <c r="Q163" s="6"/>
      <c r="R163" s="6"/>
      <c r="S163" s="6"/>
      <c r="T163" s="6"/>
      <c r="U163" s="51"/>
      <c r="V163" s="51"/>
      <c r="W163" s="51"/>
      <c r="X163" s="51"/>
      <c r="Y163" s="51"/>
      <c r="Z163" s="51"/>
      <c r="AA163" s="51"/>
      <c r="AB163" s="51"/>
      <c r="AC163" s="51"/>
    </row>
    <row r="164">
      <c r="B164" s="6"/>
      <c r="C164" s="50"/>
      <c r="D164" s="50"/>
      <c r="E164" s="50"/>
      <c r="F164" s="50"/>
      <c r="G164" s="50"/>
      <c r="H164" s="50"/>
      <c r="I164" s="50"/>
      <c r="J164" s="50"/>
      <c r="K164" s="79"/>
      <c r="L164" s="6"/>
      <c r="M164" s="6"/>
      <c r="N164" s="6"/>
      <c r="O164" s="6"/>
      <c r="P164" s="6"/>
      <c r="Q164" s="6"/>
      <c r="R164" s="6"/>
      <c r="S164" s="6"/>
      <c r="T164" s="6"/>
      <c r="U164" s="51"/>
      <c r="V164" s="51"/>
      <c r="W164" s="51"/>
      <c r="X164" s="51"/>
      <c r="Y164" s="51"/>
      <c r="Z164" s="51"/>
      <c r="AA164" s="51"/>
      <c r="AB164" s="51"/>
      <c r="AC164" s="51"/>
    </row>
    <row r="165">
      <c r="B165" s="6"/>
      <c r="C165" s="50"/>
      <c r="D165" s="50"/>
      <c r="E165" s="50"/>
      <c r="F165" s="50"/>
      <c r="G165" s="50"/>
      <c r="H165" s="50"/>
      <c r="I165" s="50"/>
      <c r="J165" s="50"/>
      <c r="K165" s="79"/>
      <c r="L165" s="6"/>
      <c r="M165" s="6"/>
      <c r="N165" s="6"/>
      <c r="O165" s="6"/>
      <c r="P165" s="6"/>
      <c r="Q165" s="6"/>
      <c r="R165" s="6"/>
      <c r="S165" s="6"/>
      <c r="T165" s="6"/>
      <c r="U165" s="51"/>
      <c r="V165" s="51"/>
      <c r="W165" s="51"/>
      <c r="X165" s="51"/>
      <c r="Y165" s="51"/>
      <c r="Z165" s="51"/>
      <c r="AA165" s="51"/>
      <c r="AB165" s="51"/>
      <c r="AC165" s="51"/>
    </row>
    <row r="166">
      <c r="B166" s="6"/>
      <c r="C166" s="50"/>
      <c r="D166" s="50"/>
      <c r="E166" s="50"/>
      <c r="F166" s="50"/>
      <c r="G166" s="50"/>
      <c r="H166" s="50"/>
      <c r="I166" s="50"/>
      <c r="J166" s="50"/>
      <c r="K166" s="79"/>
      <c r="L166" s="6"/>
      <c r="M166" s="6"/>
      <c r="N166" s="6"/>
      <c r="O166" s="6"/>
      <c r="P166" s="6"/>
      <c r="Q166" s="6"/>
      <c r="R166" s="6"/>
      <c r="S166" s="6"/>
      <c r="T166" s="6"/>
      <c r="U166" s="51"/>
      <c r="V166" s="51"/>
      <c r="W166" s="51"/>
      <c r="X166" s="51"/>
      <c r="Y166" s="51"/>
      <c r="Z166" s="51"/>
      <c r="AA166" s="51"/>
      <c r="AB166" s="51"/>
      <c r="AC166" s="51"/>
    </row>
    <row r="167">
      <c r="B167" s="6"/>
      <c r="C167" s="50"/>
      <c r="D167" s="50"/>
      <c r="E167" s="50"/>
      <c r="F167" s="50"/>
      <c r="G167" s="50"/>
      <c r="H167" s="50"/>
      <c r="I167" s="50"/>
      <c r="J167" s="50"/>
      <c r="K167" s="79"/>
      <c r="L167" s="6"/>
      <c r="M167" s="6"/>
      <c r="N167" s="6"/>
      <c r="O167" s="6"/>
      <c r="P167" s="6"/>
      <c r="Q167" s="6"/>
      <c r="R167" s="6"/>
      <c r="S167" s="6"/>
      <c r="T167" s="6"/>
      <c r="U167" s="51"/>
      <c r="V167" s="51"/>
      <c r="W167" s="51"/>
      <c r="X167" s="51"/>
      <c r="Y167" s="51"/>
      <c r="Z167" s="51"/>
      <c r="AA167" s="51"/>
      <c r="AB167" s="51"/>
      <c r="AC167" s="51"/>
    </row>
    <row r="168">
      <c r="B168" s="6"/>
      <c r="C168" s="50"/>
      <c r="D168" s="50"/>
      <c r="E168" s="50"/>
      <c r="F168" s="50"/>
      <c r="G168" s="50"/>
      <c r="H168" s="50"/>
      <c r="I168" s="50"/>
      <c r="J168" s="50"/>
      <c r="K168" s="79"/>
      <c r="L168" s="6"/>
      <c r="M168" s="6"/>
      <c r="N168" s="6"/>
      <c r="O168" s="6"/>
      <c r="P168" s="6"/>
      <c r="Q168" s="6"/>
      <c r="R168" s="6"/>
      <c r="S168" s="6"/>
      <c r="T168" s="6"/>
      <c r="U168" s="51"/>
      <c r="V168" s="51"/>
      <c r="W168" s="51"/>
      <c r="X168" s="51"/>
      <c r="Y168" s="51"/>
      <c r="Z168" s="51"/>
      <c r="AA168" s="51"/>
      <c r="AB168" s="51"/>
      <c r="AC168" s="51"/>
    </row>
    <row r="169">
      <c r="B169" s="6"/>
      <c r="C169" s="50"/>
      <c r="D169" s="50"/>
      <c r="E169" s="50"/>
      <c r="F169" s="50"/>
      <c r="G169" s="50"/>
      <c r="H169" s="50"/>
      <c r="I169" s="50"/>
      <c r="J169" s="50"/>
      <c r="K169" s="79"/>
      <c r="L169" s="6"/>
      <c r="M169" s="6"/>
      <c r="N169" s="6"/>
      <c r="O169" s="6"/>
      <c r="P169" s="6"/>
      <c r="Q169" s="6"/>
      <c r="R169" s="6"/>
      <c r="S169" s="6"/>
      <c r="T169" s="6"/>
      <c r="U169" s="51"/>
      <c r="V169" s="51"/>
      <c r="W169" s="51"/>
      <c r="X169" s="51"/>
      <c r="Y169" s="51"/>
      <c r="Z169" s="51"/>
      <c r="AA169" s="51"/>
      <c r="AB169" s="51"/>
      <c r="AC169" s="51"/>
    </row>
    <row r="170">
      <c r="B170" s="6"/>
      <c r="C170" s="50"/>
      <c r="D170" s="50"/>
      <c r="E170" s="50"/>
      <c r="F170" s="50"/>
      <c r="G170" s="50"/>
      <c r="H170" s="50"/>
      <c r="I170" s="50"/>
      <c r="J170" s="50"/>
      <c r="K170" s="79"/>
      <c r="L170" s="6"/>
      <c r="M170" s="6"/>
      <c r="N170" s="6"/>
      <c r="O170" s="6"/>
      <c r="P170" s="6"/>
      <c r="Q170" s="6"/>
      <c r="R170" s="6"/>
      <c r="S170" s="6"/>
      <c r="T170" s="6"/>
      <c r="U170" s="51"/>
      <c r="V170" s="51"/>
      <c r="W170" s="51"/>
      <c r="X170" s="51"/>
      <c r="Y170" s="51"/>
      <c r="Z170" s="51"/>
      <c r="AA170" s="51"/>
      <c r="AB170" s="51"/>
      <c r="AC170" s="51"/>
    </row>
    <row r="171">
      <c r="B171" s="6"/>
      <c r="C171" s="50"/>
      <c r="D171" s="50"/>
      <c r="E171" s="50"/>
      <c r="F171" s="50"/>
      <c r="G171" s="50"/>
      <c r="H171" s="50"/>
      <c r="I171" s="50"/>
      <c r="J171" s="50"/>
      <c r="K171" s="79"/>
      <c r="L171" s="6"/>
      <c r="M171" s="6"/>
      <c r="N171" s="6"/>
      <c r="O171" s="6"/>
      <c r="P171" s="6"/>
      <c r="Q171" s="6"/>
      <c r="R171" s="6"/>
      <c r="S171" s="6"/>
      <c r="T171" s="6"/>
      <c r="U171" s="51"/>
      <c r="V171" s="51"/>
      <c r="W171" s="51"/>
      <c r="X171" s="51"/>
      <c r="Y171" s="51"/>
      <c r="Z171" s="51"/>
      <c r="AA171" s="51"/>
      <c r="AB171" s="51"/>
      <c r="AC171" s="51"/>
    </row>
    <row r="172">
      <c r="B172" s="6"/>
      <c r="C172" s="50"/>
      <c r="D172" s="50"/>
      <c r="E172" s="50"/>
      <c r="F172" s="50"/>
      <c r="G172" s="50"/>
      <c r="H172" s="50"/>
      <c r="I172" s="50"/>
      <c r="J172" s="50"/>
      <c r="K172" s="79"/>
      <c r="L172" s="6"/>
      <c r="M172" s="6"/>
      <c r="N172" s="6"/>
      <c r="O172" s="6"/>
      <c r="P172" s="6"/>
      <c r="Q172" s="6"/>
      <c r="R172" s="6"/>
      <c r="S172" s="6"/>
      <c r="T172" s="6"/>
      <c r="U172" s="51"/>
      <c r="V172" s="51"/>
      <c r="W172" s="51"/>
      <c r="X172" s="51"/>
      <c r="Y172" s="51"/>
      <c r="Z172" s="51"/>
      <c r="AA172" s="51"/>
      <c r="AB172" s="51"/>
      <c r="AC172" s="51"/>
    </row>
    <row r="173">
      <c r="B173" s="6"/>
      <c r="C173" s="50"/>
      <c r="D173" s="50"/>
      <c r="E173" s="50"/>
      <c r="F173" s="50"/>
      <c r="G173" s="50"/>
      <c r="H173" s="50"/>
      <c r="I173" s="50"/>
      <c r="J173" s="50"/>
      <c r="K173" s="79"/>
      <c r="L173" s="6"/>
      <c r="M173" s="6"/>
      <c r="N173" s="6"/>
      <c r="O173" s="6"/>
      <c r="P173" s="6"/>
      <c r="Q173" s="6"/>
      <c r="R173" s="6"/>
      <c r="S173" s="6"/>
      <c r="T173" s="6"/>
      <c r="U173" s="51"/>
      <c r="V173" s="51"/>
      <c r="W173" s="51"/>
      <c r="X173" s="51"/>
      <c r="Y173" s="51"/>
      <c r="Z173" s="51"/>
      <c r="AA173" s="51"/>
      <c r="AB173" s="51"/>
      <c r="AC173" s="51"/>
    </row>
    <row r="174">
      <c r="B174" s="6"/>
      <c r="C174" s="50"/>
      <c r="D174" s="50"/>
      <c r="E174" s="50"/>
      <c r="F174" s="50"/>
      <c r="G174" s="50"/>
      <c r="H174" s="50"/>
      <c r="I174" s="50"/>
      <c r="J174" s="50"/>
      <c r="K174" s="79"/>
      <c r="L174" s="6"/>
      <c r="M174" s="6"/>
      <c r="N174" s="6"/>
      <c r="O174" s="6"/>
      <c r="P174" s="6"/>
      <c r="Q174" s="6"/>
      <c r="R174" s="6"/>
      <c r="S174" s="6"/>
      <c r="T174" s="6"/>
      <c r="U174" s="51"/>
      <c r="V174" s="51"/>
      <c r="W174" s="51"/>
      <c r="X174" s="51"/>
      <c r="Y174" s="51"/>
      <c r="Z174" s="51"/>
      <c r="AA174" s="51"/>
      <c r="AB174" s="51"/>
      <c r="AC174" s="51"/>
    </row>
    <row r="175">
      <c r="B175" s="6"/>
      <c r="C175" s="50"/>
      <c r="D175" s="50"/>
      <c r="E175" s="50"/>
      <c r="F175" s="50"/>
      <c r="G175" s="50"/>
      <c r="H175" s="50"/>
      <c r="I175" s="50"/>
      <c r="J175" s="50"/>
      <c r="K175" s="79"/>
      <c r="L175" s="6"/>
      <c r="M175" s="6"/>
      <c r="N175" s="6"/>
      <c r="O175" s="6"/>
      <c r="P175" s="6"/>
      <c r="Q175" s="6"/>
      <c r="R175" s="6"/>
      <c r="S175" s="6"/>
      <c r="T175" s="6"/>
      <c r="U175" s="51"/>
      <c r="V175" s="51"/>
      <c r="W175" s="51"/>
      <c r="X175" s="51"/>
      <c r="Y175" s="51"/>
      <c r="Z175" s="51"/>
      <c r="AA175" s="51"/>
      <c r="AB175" s="51"/>
      <c r="AC175" s="51"/>
    </row>
    <row r="176">
      <c r="B176" s="6"/>
      <c r="C176" s="50"/>
      <c r="D176" s="50"/>
      <c r="E176" s="50"/>
      <c r="F176" s="50"/>
      <c r="G176" s="50"/>
      <c r="H176" s="50"/>
      <c r="I176" s="50"/>
      <c r="J176" s="50"/>
      <c r="K176" s="79"/>
      <c r="L176" s="6"/>
      <c r="M176" s="6"/>
      <c r="N176" s="6"/>
      <c r="O176" s="6"/>
      <c r="P176" s="6"/>
      <c r="Q176" s="6"/>
      <c r="R176" s="6"/>
      <c r="S176" s="6"/>
      <c r="T176" s="6"/>
      <c r="U176" s="51"/>
      <c r="V176" s="51"/>
      <c r="W176" s="51"/>
      <c r="X176" s="51"/>
      <c r="Y176" s="51"/>
      <c r="Z176" s="51"/>
      <c r="AA176" s="51"/>
      <c r="AB176" s="51"/>
      <c r="AC176" s="51"/>
    </row>
    <row r="177">
      <c r="B177" s="6"/>
      <c r="C177" s="50"/>
      <c r="D177" s="50"/>
      <c r="E177" s="50"/>
      <c r="F177" s="50"/>
      <c r="G177" s="50"/>
      <c r="H177" s="50"/>
      <c r="I177" s="50"/>
      <c r="J177" s="50"/>
      <c r="K177" s="79"/>
      <c r="L177" s="6"/>
      <c r="M177" s="6"/>
      <c r="N177" s="6"/>
      <c r="O177" s="6"/>
      <c r="P177" s="6"/>
      <c r="Q177" s="6"/>
      <c r="R177" s="6"/>
      <c r="S177" s="6"/>
      <c r="T177" s="6"/>
      <c r="U177" s="51"/>
      <c r="V177" s="51"/>
      <c r="W177" s="51"/>
      <c r="X177" s="51"/>
      <c r="Y177" s="51"/>
      <c r="Z177" s="51"/>
      <c r="AA177" s="51"/>
      <c r="AB177" s="51"/>
      <c r="AC177" s="51"/>
    </row>
    <row r="178">
      <c r="B178" s="6"/>
      <c r="C178" s="50"/>
      <c r="D178" s="50"/>
      <c r="E178" s="50"/>
      <c r="F178" s="50"/>
      <c r="G178" s="50"/>
      <c r="H178" s="50"/>
      <c r="I178" s="50"/>
      <c r="J178" s="50"/>
      <c r="K178" s="79"/>
      <c r="L178" s="6"/>
      <c r="M178" s="6"/>
      <c r="N178" s="6"/>
      <c r="O178" s="6"/>
      <c r="P178" s="6"/>
      <c r="Q178" s="6"/>
      <c r="R178" s="6"/>
      <c r="S178" s="6"/>
      <c r="T178" s="6"/>
      <c r="U178" s="51"/>
      <c r="V178" s="51"/>
      <c r="W178" s="51"/>
      <c r="X178" s="51"/>
      <c r="Y178" s="51"/>
      <c r="Z178" s="51"/>
      <c r="AA178" s="51"/>
      <c r="AB178" s="51"/>
      <c r="AC178" s="51"/>
    </row>
    <row r="179">
      <c r="B179" s="6"/>
      <c r="C179" s="50"/>
      <c r="D179" s="50"/>
      <c r="E179" s="50"/>
      <c r="F179" s="50"/>
      <c r="G179" s="50"/>
      <c r="H179" s="50"/>
      <c r="I179" s="50"/>
      <c r="J179" s="50"/>
      <c r="K179" s="79"/>
      <c r="L179" s="6"/>
      <c r="M179" s="6"/>
      <c r="N179" s="6"/>
      <c r="O179" s="6"/>
      <c r="P179" s="6"/>
      <c r="Q179" s="6"/>
      <c r="R179" s="6"/>
      <c r="S179" s="6"/>
      <c r="T179" s="6"/>
      <c r="U179" s="51"/>
      <c r="V179" s="51"/>
      <c r="W179" s="51"/>
      <c r="X179" s="51"/>
      <c r="Y179" s="51"/>
      <c r="Z179" s="51"/>
      <c r="AA179" s="51"/>
      <c r="AB179" s="51"/>
      <c r="AC179" s="51"/>
    </row>
    <row r="180">
      <c r="B180" s="6"/>
      <c r="C180" s="50"/>
      <c r="D180" s="50"/>
      <c r="E180" s="50"/>
      <c r="F180" s="50"/>
      <c r="G180" s="50"/>
      <c r="H180" s="50"/>
      <c r="I180" s="50"/>
      <c r="J180" s="50"/>
      <c r="K180" s="79"/>
      <c r="L180" s="6"/>
      <c r="M180" s="6"/>
      <c r="N180" s="6"/>
      <c r="O180" s="6"/>
      <c r="P180" s="6"/>
      <c r="Q180" s="6"/>
      <c r="R180" s="6"/>
      <c r="S180" s="6"/>
      <c r="T180" s="6"/>
      <c r="U180" s="51"/>
      <c r="V180" s="51"/>
      <c r="W180" s="51"/>
      <c r="X180" s="51"/>
      <c r="Y180" s="51"/>
      <c r="Z180" s="51"/>
      <c r="AA180" s="51"/>
      <c r="AB180" s="51"/>
      <c r="AC180" s="51"/>
    </row>
    <row r="181">
      <c r="B181" s="6"/>
      <c r="C181" s="50"/>
      <c r="D181" s="50"/>
      <c r="E181" s="50"/>
      <c r="F181" s="50"/>
      <c r="G181" s="50"/>
      <c r="H181" s="50"/>
      <c r="I181" s="50"/>
      <c r="J181" s="50"/>
      <c r="K181" s="79"/>
      <c r="L181" s="6"/>
      <c r="M181" s="6"/>
      <c r="N181" s="6"/>
      <c r="O181" s="6"/>
      <c r="P181" s="6"/>
      <c r="Q181" s="6"/>
      <c r="R181" s="6"/>
      <c r="S181" s="6"/>
      <c r="T181" s="6"/>
      <c r="U181" s="51"/>
      <c r="V181" s="51"/>
      <c r="W181" s="51"/>
      <c r="X181" s="51"/>
      <c r="Y181" s="51"/>
      <c r="Z181" s="51"/>
      <c r="AA181" s="51"/>
      <c r="AB181" s="51"/>
      <c r="AC181" s="51"/>
    </row>
    <row r="182">
      <c r="B182" s="6"/>
      <c r="C182" s="50"/>
      <c r="D182" s="50"/>
      <c r="E182" s="50"/>
      <c r="F182" s="50"/>
      <c r="G182" s="50"/>
      <c r="H182" s="50"/>
      <c r="I182" s="50"/>
      <c r="J182" s="50"/>
      <c r="K182" s="79"/>
      <c r="L182" s="6"/>
      <c r="M182" s="6"/>
      <c r="N182" s="6"/>
      <c r="O182" s="6"/>
      <c r="P182" s="6"/>
      <c r="Q182" s="6"/>
      <c r="R182" s="6"/>
      <c r="S182" s="6"/>
      <c r="T182" s="6"/>
      <c r="U182" s="51"/>
      <c r="V182" s="51"/>
      <c r="W182" s="51"/>
      <c r="X182" s="51"/>
      <c r="Y182" s="51"/>
      <c r="Z182" s="51"/>
      <c r="AA182" s="51"/>
      <c r="AB182" s="51"/>
      <c r="AC182" s="51"/>
    </row>
    <row r="183">
      <c r="B183" s="6"/>
      <c r="C183" s="50"/>
      <c r="D183" s="50"/>
      <c r="E183" s="50"/>
      <c r="F183" s="50"/>
      <c r="G183" s="50"/>
      <c r="H183" s="50"/>
      <c r="I183" s="50"/>
      <c r="J183" s="50"/>
      <c r="K183" s="79"/>
      <c r="L183" s="6"/>
      <c r="M183" s="6"/>
      <c r="N183" s="6"/>
      <c r="O183" s="6"/>
      <c r="P183" s="6"/>
      <c r="Q183" s="6"/>
      <c r="R183" s="6"/>
      <c r="S183" s="6"/>
      <c r="T183" s="6"/>
      <c r="U183" s="51"/>
      <c r="V183" s="51"/>
      <c r="W183" s="51"/>
      <c r="X183" s="51"/>
      <c r="Y183" s="51"/>
      <c r="Z183" s="51"/>
      <c r="AA183" s="51"/>
      <c r="AB183" s="51"/>
      <c r="AC183" s="51"/>
    </row>
    <row r="184">
      <c r="B184" s="6"/>
      <c r="C184" s="50"/>
      <c r="D184" s="50"/>
      <c r="E184" s="50"/>
      <c r="F184" s="50"/>
      <c r="G184" s="50"/>
      <c r="H184" s="50"/>
      <c r="I184" s="50"/>
      <c r="J184" s="50"/>
      <c r="K184" s="79"/>
      <c r="L184" s="6"/>
      <c r="M184" s="6"/>
      <c r="N184" s="6"/>
      <c r="O184" s="6"/>
      <c r="P184" s="6"/>
      <c r="Q184" s="6"/>
      <c r="R184" s="6"/>
      <c r="S184" s="6"/>
      <c r="T184" s="6"/>
      <c r="U184" s="51"/>
      <c r="V184" s="51"/>
      <c r="W184" s="51"/>
      <c r="X184" s="51"/>
      <c r="Y184" s="51"/>
      <c r="Z184" s="51"/>
      <c r="AA184" s="51"/>
      <c r="AB184" s="51"/>
      <c r="AC184" s="51"/>
    </row>
    <row r="185">
      <c r="B185" s="6"/>
      <c r="C185" s="50"/>
      <c r="D185" s="50"/>
      <c r="E185" s="50"/>
      <c r="F185" s="50"/>
      <c r="G185" s="50"/>
      <c r="H185" s="50"/>
      <c r="I185" s="50"/>
      <c r="J185" s="50"/>
      <c r="K185" s="79"/>
      <c r="L185" s="6"/>
      <c r="M185" s="6"/>
      <c r="N185" s="6"/>
      <c r="O185" s="6"/>
      <c r="P185" s="6"/>
      <c r="Q185" s="6"/>
      <c r="R185" s="6"/>
      <c r="S185" s="6"/>
      <c r="T185" s="6"/>
      <c r="U185" s="51"/>
      <c r="V185" s="51"/>
      <c r="W185" s="51"/>
      <c r="X185" s="51"/>
      <c r="Y185" s="51"/>
      <c r="Z185" s="51"/>
      <c r="AA185" s="51"/>
      <c r="AB185" s="51"/>
      <c r="AC185" s="51"/>
    </row>
    <row r="186">
      <c r="B186" s="6"/>
      <c r="C186" s="50"/>
      <c r="D186" s="50"/>
      <c r="E186" s="50"/>
      <c r="F186" s="50"/>
      <c r="G186" s="50"/>
      <c r="H186" s="50"/>
      <c r="I186" s="50"/>
      <c r="J186" s="50"/>
      <c r="K186" s="79"/>
      <c r="L186" s="6"/>
      <c r="M186" s="6"/>
      <c r="N186" s="6"/>
      <c r="O186" s="6"/>
      <c r="P186" s="6"/>
      <c r="Q186" s="6"/>
      <c r="R186" s="6"/>
      <c r="S186" s="6"/>
      <c r="T186" s="6"/>
      <c r="U186" s="51"/>
      <c r="V186" s="51"/>
      <c r="W186" s="51"/>
      <c r="X186" s="51"/>
      <c r="Y186" s="51"/>
      <c r="Z186" s="51"/>
      <c r="AA186" s="51"/>
      <c r="AB186" s="51"/>
      <c r="AC186" s="51"/>
    </row>
    <row r="187">
      <c r="B187" s="6"/>
      <c r="C187" s="50"/>
      <c r="D187" s="50"/>
      <c r="E187" s="50"/>
      <c r="F187" s="50"/>
      <c r="G187" s="50"/>
      <c r="H187" s="50"/>
      <c r="I187" s="50"/>
      <c r="J187" s="50"/>
      <c r="K187" s="79"/>
      <c r="L187" s="6"/>
      <c r="M187" s="6"/>
      <c r="N187" s="6"/>
      <c r="O187" s="6"/>
      <c r="P187" s="6"/>
      <c r="Q187" s="6"/>
      <c r="R187" s="6"/>
      <c r="S187" s="6"/>
      <c r="T187" s="6"/>
      <c r="U187" s="51"/>
      <c r="V187" s="51"/>
      <c r="W187" s="51"/>
      <c r="X187" s="51"/>
      <c r="Y187" s="51"/>
      <c r="Z187" s="51"/>
      <c r="AA187" s="51"/>
      <c r="AB187" s="51"/>
      <c r="AC187" s="51"/>
    </row>
    <row r="188">
      <c r="B188" s="6"/>
      <c r="C188" s="50"/>
      <c r="D188" s="50"/>
      <c r="E188" s="50"/>
      <c r="F188" s="50"/>
      <c r="G188" s="50"/>
      <c r="H188" s="50"/>
      <c r="I188" s="50"/>
      <c r="J188" s="50"/>
      <c r="K188" s="79"/>
      <c r="L188" s="6"/>
      <c r="M188" s="6"/>
      <c r="N188" s="6"/>
      <c r="O188" s="6"/>
      <c r="P188" s="6"/>
      <c r="Q188" s="6"/>
      <c r="R188" s="6"/>
      <c r="S188" s="6"/>
      <c r="T188" s="6"/>
      <c r="U188" s="51"/>
      <c r="V188" s="51"/>
      <c r="W188" s="51"/>
      <c r="X188" s="51"/>
      <c r="Y188" s="51"/>
      <c r="Z188" s="51"/>
      <c r="AA188" s="51"/>
      <c r="AB188" s="51"/>
      <c r="AC188" s="51"/>
    </row>
    <row r="189">
      <c r="B189" s="6"/>
      <c r="C189" s="50"/>
      <c r="D189" s="50"/>
      <c r="E189" s="50"/>
      <c r="F189" s="50"/>
      <c r="G189" s="50"/>
      <c r="H189" s="50"/>
      <c r="I189" s="50"/>
      <c r="J189" s="50"/>
      <c r="K189" s="79"/>
      <c r="L189" s="6"/>
      <c r="M189" s="6"/>
      <c r="N189" s="6"/>
      <c r="O189" s="6"/>
      <c r="P189" s="6"/>
      <c r="Q189" s="6"/>
      <c r="R189" s="6"/>
      <c r="S189" s="6"/>
      <c r="T189" s="6"/>
      <c r="U189" s="51"/>
      <c r="V189" s="51"/>
      <c r="W189" s="51"/>
      <c r="X189" s="51"/>
      <c r="Y189" s="51"/>
      <c r="Z189" s="51"/>
      <c r="AA189" s="51"/>
      <c r="AB189" s="51"/>
      <c r="AC189" s="51"/>
    </row>
    <row r="190">
      <c r="B190" s="6"/>
      <c r="C190" s="50"/>
      <c r="D190" s="50"/>
      <c r="E190" s="50"/>
      <c r="F190" s="50"/>
      <c r="G190" s="50"/>
      <c r="H190" s="50"/>
      <c r="I190" s="50"/>
      <c r="J190" s="50"/>
      <c r="K190" s="79"/>
      <c r="L190" s="6"/>
      <c r="M190" s="6"/>
      <c r="N190" s="6"/>
      <c r="O190" s="6"/>
      <c r="P190" s="6"/>
      <c r="Q190" s="6"/>
      <c r="R190" s="6"/>
      <c r="S190" s="6"/>
      <c r="T190" s="6"/>
      <c r="U190" s="51"/>
      <c r="V190" s="51"/>
      <c r="W190" s="51"/>
      <c r="X190" s="51"/>
      <c r="Y190" s="51"/>
      <c r="Z190" s="51"/>
      <c r="AA190" s="51"/>
      <c r="AB190" s="51"/>
      <c r="AC190" s="51"/>
    </row>
    <row r="191">
      <c r="B191" s="6"/>
      <c r="C191" s="50"/>
      <c r="D191" s="50"/>
      <c r="E191" s="50"/>
      <c r="F191" s="50"/>
      <c r="G191" s="50"/>
      <c r="H191" s="50"/>
      <c r="I191" s="50"/>
      <c r="J191" s="50"/>
      <c r="K191" s="79"/>
      <c r="L191" s="6"/>
      <c r="M191" s="6"/>
      <c r="N191" s="6"/>
      <c r="O191" s="6"/>
      <c r="P191" s="6"/>
      <c r="Q191" s="6"/>
      <c r="R191" s="6"/>
      <c r="S191" s="6"/>
      <c r="T191" s="6"/>
      <c r="U191" s="51"/>
      <c r="V191" s="51"/>
      <c r="W191" s="51"/>
      <c r="X191" s="51"/>
      <c r="Y191" s="51"/>
      <c r="Z191" s="51"/>
      <c r="AA191" s="51"/>
      <c r="AB191" s="51"/>
      <c r="AC191" s="51"/>
    </row>
    <row r="192">
      <c r="B192" s="6"/>
      <c r="C192" s="50"/>
      <c r="D192" s="50"/>
      <c r="E192" s="50"/>
      <c r="F192" s="50"/>
      <c r="G192" s="50"/>
      <c r="H192" s="50"/>
      <c r="I192" s="50"/>
      <c r="J192" s="50"/>
      <c r="K192" s="79"/>
      <c r="L192" s="6"/>
      <c r="M192" s="6"/>
      <c r="N192" s="6"/>
      <c r="O192" s="6"/>
      <c r="P192" s="6"/>
      <c r="Q192" s="6"/>
      <c r="R192" s="6"/>
      <c r="S192" s="6"/>
      <c r="T192" s="6"/>
      <c r="U192" s="51"/>
      <c r="V192" s="51"/>
      <c r="W192" s="51"/>
      <c r="X192" s="51"/>
      <c r="Y192" s="51"/>
      <c r="Z192" s="51"/>
      <c r="AA192" s="51"/>
      <c r="AB192" s="51"/>
      <c r="AC192" s="51"/>
    </row>
    <row r="193">
      <c r="B193" s="6"/>
      <c r="C193" s="50"/>
      <c r="D193" s="50"/>
      <c r="E193" s="50"/>
      <c r="F193" s="50"/>
      <c r="G193" s="50"/>
      <c r="H193" s="50"/>
      <c r="I193" s="50"/>
      <c r="J193" s="50"/>
      <c r="K193" s="79"/>
      <c r="L193" s="6"/>
      <c r="M193" s="6"/>
      <c r="N193" s="6"/>
      <c r="O193" s="6"/>
      <c r="P193" s="6"/>
      <c r="Q193" s="6"/>
      <c r="R193" s="6"/>
      <c r="S193" s="6"/>
      <c r="T193" s="6"/>
      <c r="U193" s="51"/>
      <c r="V193" s="51"/>
      <c r="W193" s="51"/>
      <c r="X193" s="51"/>
      <c r="Y193" s="51"/>
      <c r="Z193" s="51"/>
      <c r="AA193" s="51"/>
      <c r="AB193" s="51"/>
      <c r="AC193" s="51"/>
    </row>
    <row r="194">
      <c r="B194" s="6"/>
      <c r="C194" s="50"/>
      <c r="D194" s="50"/>
      <c r="E194" s="50"/>
      <c r="F194" s="50"/>
      <c r="G194" s="50"/>
      <c r="H194" s="50"/>
      <c r="I194" s="50"/>
      <c r="J194" s="50"/>
      <c r="K194" s="79"/>
      <c r="L194" s="6"/>
      <c r="M194" s="6"/>
      <c r="N194" s="6"/>
      <c r="O194" s="6"/>
      <c r="P194" s="6"/>
      <c r="Q194" s="6"/>
      <c r="R194" s="6"/>
      <c r="S194" s="6"/>
      <c r="T194" s="6"/>
      <c r="U194" s="51"/>
      <c r="V194" s="51"/>
      <c r="W194" s="51"/>
      <c r="X194" s="51"/>
      <c r="Y194" s="51"/>
      <c r="Z194" s="51"/>
      <c r="AA194" s="51"/>
      <c r="AB194" s="51"/>
      <c r="AC194" s="51"/>
    </row>
    <row r="195">
      <c r="B195" s="6"/>
      <c r="C195" s="50"/>
      <c r="D195" s="50"/>
      <c r="E195" s="50"/>
      <c r="F195" s="50"/>
      <c r="G195" s="50"/>
      <c r="H195" s="50"/>
      <c r="I195" s="50"/>
      <c r="J195" s="50"/>
      <c r="K195" s="79"/>
      <c r="L195" s="6"/>
      <c r="M195" s="6"/>
      <c r="N195" s="6"/>
      <c r="O195" s="6"/>
      <c r="P195" s="6"/>
      <c r="Q195" s="6"/>
      <c r="R195" s="6"/>
      <c r="S195" s="6"/>
      <c r="T195" s="6"/>
      <c r="U195" s="51"/>
      <c r="V195" s="51"/>
      <c r="W195" s="51"/>
      <c r="X195" s="51"/>
      <c r="Y195" s="51"/>
      <c r="Z195" s="51"/>
      <c r="AA195" s="51"/>
      <c r="AB195" s="51"/>
      <c r="AC195" s="51"/>
    </row>
    <row r="196">
      <c r="B196" s="6"/>
      <c r="C196" s="50"/>
      <c r="D196" s="50"/>
      <c r="E196" s="50"/>
      <c r="F196" s="50"/>
      <c r="G196" s="50"/>
      <c r="H196" s="50"/>
      <c r="I196" s="50"/>
      <c r="J196" s="50"/>
      <c r="K196" s="79"/>
      <c r="L196" s="6"/>
      <c r="M196" s="6"/>
      <c r="N196" s="6"/>
      <c r="O196" s="6"/>
      <c r="P196" s="6"/>
      <c r="Q196" s="6"/>
      <c r="R196" s="6"/>
      <c r="S196" s="6"/>
      <c r="T196" s="6"/>
      <c r="U196" s="51"/>
      <c r="V196" s="51"/>
      <c r="W196" s="51"/>
      <c r="X196" s="51"/>
      <c r="Y196" s="51"/>
      <c r="Z196" s="51"/>
      <c r="AA196" s="51"/>
      <c r="AB196" s="51"/>
      <c r="AC196" s="51"/>
    </row>
    <row r="197">
      <c r="B197" s="6"/>
      <c r="C197" s="50"/>
      <c r="D197" s="50"/>
      <c r="E197" s="50"/>
      <c r="F197" s="50"/>
      <c r="G197" s="50"/>
      <c r="H197" s="50"/>
      <c r="I197" s="50"/>
      <c r="J197" s="50"/>
      <c r="K197" s="79"/>
      <c r="L197" s="6"/>
      <c r="M197" s="6"/>
      <c r="N197" s="6"/>
      <c r="O197" s="6"/>
      <c r="P197" s="6"/>
      <c r="Q197" s="6"/>
      <c r="R197" s="6"/>
      <c r="S197" s="6"/>
      <c r="T197" s="6"/>
      <c r="U197" s="51"/>
      <c r="V197" s="51"/>
      <c r="W197" s="51"/>
      <c r="X197" s="51"/>
      <c r="Y197" s="51"/>
      <c r="Z197" s="51"/>
      <c r="AA197" s="51"/>
      <c r="AB197" s="51"/>
      <c r="AC197" s="51"/>
    </row>
    <row r="198">
      <c r="B198" s="6"/>
      <c r="C198" s="50"/>
      <c r="D198" s="50"/>
      <c r="E198" s="50"/>
      <c r="F198" s="50"/>
      <c r="G198" s="50"/>
      <c r="H198" s="50"/>
      <c r="I198" s="50"/>
      <c r="J198" s="50"/>
      <c r="K198" s="79"/>
      <c r="L198" s="6"/>
      <c r="M198" s="6"/>
      <c r="N198" s="6"/>
      <c r="O198" s="6"/>
      <c r="P198" s="6"/>
      <c r="Q198" s="6"/>
      <c r="R198" s="6"/>
      <c r="S198" s="6"/>
      <c r="T198" s="6"/>
      <c r="U198" s="51"/>
      <c r="V198" s="51"/>
      <c r="W198" s="51"/>
      <c r="X198" s="51"/>
      <c r="Y198" s="51"/>
      <c r="Z198" s="51"/>
      <c r="AA198" s="51"/>
      <c r="AB198" s="51"/>
      <c r="AC198" s="51"/>
    </row>
    <row r="199">
      <c r="B199" s="6"/>
      <c r="C199" s="50"/>
      <c r="D199" s="50"/>
      <c r="E199" s="50"/>
      <c r="F199" s="50"/>
      <c r="G199" s="50"/>
      <c r="H199" s="50"/>
      <c r="I199" s="50"/>
      <c r="J199" s="50"/>
      <c r="K199" s="79"/>
      <c r="L199" s="6"/>
      <c r="M199" s="6"/>
      <c r="N199" s="6"/>
      <c r="O199" s="6"/>
      <c r="P199" s="6"/>
      <c r="Q199" s="6"/>
      <c r="R199" s="6"/>
      <c r="S199" s="6"/>
      <c r="T199" s="6"/>
      <c r="U199" s="51"/>
      <c r="V199" s="51"/>
      <c r="W199" s="51"/>
      <c r="X199" s="51"/>
      <c r="Y199" s="51"/>
      <c r="Z199" s="51"/>
      <c r="AA199" s="51"/>
      <c r="AB199" s="51"/>
      <c r="AC199" s="51"/>
    </row>
    <row r="200">
      <c r="B200" s="6"/>
      <c r="C200" s="50"/>
      <c r="D200" s="50"/>
      <c r="E200" s="50"/>
      <c r="F200" s="50"/>
      <c r="G200" s="50"/>
      <c r="H200" s="50"/>
      <c r="I200" s="50"/>
      <c r="J200" s="50"/>
      <c r="K200" s="79"/>
      <c r="L200" s="6"/>
      <c r="M200" s="6"/>
      <c r="N200" s="6"/>
      <c r="O200" s="6"/>
      <c r="P200" s="6"/>
      <c r="Q200" s="6"/>
      <c r="R200" s="6"/>
      <c r="S200" s="6"/>
      <c r="T200" s="6"/>
      <c r="U200" s="51"/>
      <c r="V200" s="51"/>
      <c r="W200" s="51"/>
      <c r="X200" s="51"/>
      <c r="Y200" s="51"/>
      <c r="Z200" s="51"/>
      <c r="AA200" s="51"/>
      <c r="AB200" s="51"/>
      <c r="AC200" s="51"/>
    </row>
    <row r="201">
      <c r="B201" s="6"/>
      <c r="C201" s="50"/>
      <c r="D201" s="50"/>
      <c r="E201" s="50"/>
      <c r="F201" s="50"/>
      <c r="G201" s="50"/>
      <c r="H201" s="50"/>
      <c r="I201" s="50"/>
      <c r="J201" s="50"/>
      <c r="K201" s="79"/>
      <c r="L201" s="6"/>
      <c r="M201" s="6"/>
      <c r="N201" s="6"/>
      <c r="O201" s="6"/>
      <c r="P201" s="6"/>
      <c r="Q201" s="6"/>
      <c r="R201" s="6"/>
      <c r="S201" s="6"/>
      <c r="T201" s="6"/>
      <c r="U201" s="51"/>
      <c r="V201" s="51"/>
      <c r="W201" s="51"/>
      <c r="X201" s="51"/>
      <c r="Y201" s="51"/>
      <c r="Z201" s="51"/>
      <c r="AA201" s="51"/>
      <c r="AB201" s="51"/>
      <c r="AC201" s="51"/>
    </row>
    <row r="202">
      <c r="B202" s="6"/>
      <c r="C202" s="50"/>
      <c r="D202" s="50"/>
      <c r="E202" s="50"/>
      <c r="F202" s="50"/>
      <c r="G202" s="50"/>
      <c r="H202" s="50"/>
      <c r="I202" s="50"/>
      <c r="J202" s="50"/>
      <c r="K202" s="79"/>
      <c r="L202" s="6"/>
      <c r="M202" s="6"/>
      <c r="N202" s="6"/>
      <c r="O202" s="6"/>
      <c r="P202" s="6"/>
      <c r="Q202" s="6"/>
      <c r="R202" s="6"/>
      <c r="S202" s="6"/>
      <c r="T202" s="6"/>
      <c r="U202" s="51"/>
      <c r="V202" s="51"/>
      <c r="W202" s="51"/>
      <c r="X202" s="51"/>
      <c r="Y202" s="51"/>
      <c r="Z202" s="51"/>
      <c r="AA202" s="51"/>
      <c r="AB202" s="51"/>
      <c r="AC202" s="51"/>
    </row>
    <row r="203">
      <c r="B203" s="6"/>
      <c r="C203" s="50"/>
      <c r="D203" s="50"/>
      <c r="E203" s="50"/>
      <c r="F203" s="50"/>
      <c r="G203" s="50"/>
      <c r="H203" s="50"/>
      <c r="I203" s="50"/>
      <c r="J203" s="50"/>
      <c r="K203" s="79"/>
      <c r="L203" s="6"/>
      <c r="M203" s="6"/>
      <c r="N203" s="6"/>
      <c r="O203" s="6"/>
      <c r="P203" s="6"/>
      <c r="Q203" s="6"/>
      <c r="R203" s="6"/>
      <c r="S203" s="6"/>
      <c r="T203" s="6"/>
      <c r="U203" s="51"/>
      <c r="V203" s="51"/>
      <c r="W203" s="51"/>
      <c r="X203" s="51"/>
      <c r="Y203" s="51"/>
      <c r="Z203" s="51"/>
      <c r="AA203" s="51"/>
      <c r="AB203" s="51"/>
      <c r="AC203" s="51"/>
    </row>
    <row r="204">
      <c r="B204" s="6"/>
      <c r="C204" s="50"/>
      <c r="D204" s="50"/>
      <c r="E204" s="50"/>
      <c r="F204" s="50"/>
      <c r="G204" s="50"/>
      <c r="H204" s="50"/>
      <c r="I204" s="50"/>
      <c r="J204" s="50"/>
      <c r="K204" s="79"/>
      <c r="L204" s="6"/>
      <c r="M204" s="6"/>
      <c r="N204" s="6"/>
      <c r="O204" s="6"/>
      <c r="P204" s="6"/>
      <c r="Q204" s="6"/>
      <c r="R204" s="6"/>
      <c r="S204" s="6"/>
      <c r="T204" s="6"/>
      <c r="U204" s="51"/>
      <c r="V204" s="51"/>
      <c r="W204" s="51"/>
      <c r="X204" s="51"/>
      <c r="Y204" s="51"/>
      <c r="Z204" s="51"/>
      <c r="AA204" s="51"/>
      <c r="AB204" s="51"/>
      <c r="AC204" s="51"/>
    </row>
    <row r="205">
      <c r="B205" s="6"/>
      <c r="C205" s="50"/>
      <c r="D205" s="50"/>
      <c r="E205" s="50"/>
      <c r="F205" s="50"/>
      <c r="G205" s="50"/>
      <c r="H205" s="50"/>
      <c r="I205" s="50"/>
      <c r="J205" s="50"/>
      <c r="K205" s="79"/>
      <c r="L205" s="6"/>
      <c r="M205" s="6"/>
      <c r="N205" s="6"/>
      <c r="O205" s="6"/>
      <c r="P205" s="6"/>
      <c r="Q205" s="6"/>
      <c r="R205" s="6"/>
      <c r="S205" s="6"/>
      <c r="T205" s="6"/>
      <c r="U205" s="51"/>
      <c r="V205" s="51"/>
      <c r="W205" s="51"/>
      <c r="X205" s="51"/>
      <c r="Y205" s="51"/>
      <c r="Z205" s="51"/>
      <c r="AA205" s="51"/>
      <c r="AB205" s="51"/>
      <c r="AC205" s="51"/>
    </row>
    <row r="206">
      <c r="B206" s="6"/>
      <c r="C206" s="50"/>
      <c r="D206" s="50"/>
      <c r="E206" s="50"/>
      <c r="F206" s="50"/>
      <c r="G206" s="50"/>
      <c r="H206" s="50"/>
      <c r="I206" s="50"/>
      <c r="J206" s="50"/>
      <c r="K206" s="79"/>
      <c r="L206" s="6"/>
      <c r="M206" s="6"/>
      <c r="N206" s="6"/>
      <c r="O206" s="6"/>
      <c r="P206" s="6"/>
      <c r="Q206" s="6"/>
      <c r="R206" s="6"/>
      <c r="S206" s="6"/>
      <c r="T206" s="6"/>
      <c r="U206" s="51"/>
      <c r="V206" s="51"/>
      <c r="W206" s="51"/>
      <c r="X206" s="51"/>
      <c r="Y206" s="51"/>
      <c r="Z206" s="51"/>
      <c r="AA206" s="51"/>
      <c r="AB206" s="51"/>
      <c r="AC206" s="51"/>
    </row>
    <row r="207">
      <c r="B207" s="6"/>
      <c r="C207" s="50"/>
      <c r="D207" s="50"/>
      <c r="E207" s="50"/>
      <c r="F207" s="50"/>
      <c r="G207" s="50"/>
      <c r="H207" s="50"/>
      <c r="I207" s="50"/>
      <c r="J207" s="50"/>
      <c r="K207" s="79"/>
      <c r="L207" s="6"/>
      <c r="M207" s="6"/>
      <c r="N207" s="6"/>
      <c r="O207" s="6"/>
      <c r="P207" s="6"/>
      <c r="Q207" s="6"/>
      <c r="R207" s="6"/>
      <c r="S207" s="6"/>
      <c r="T207" s="6"/>
      <c r="U207" s="51"/>
      <c r="V207" s="51"/>
      <c r="W207" s="51"/>
      <c r="X207" s="51"/>
      <c r="Y207" s="51"/>
      <c r="Z207" s="51"/>
      <c r="AA207" s="51"/>
      <c r="AB207" s="51"/>
      <c r="AC207" s="51"/>
    </row>
    <row r="208">
      <c r="B208" s="6"/>
      <c r="C208" s="50"/>
      <c r="D208" s="50"/>
      <c r="E208" s="50"/>
      <c r="F208" s="50"/>
      <c r="G208" s="50"/>
      <c r="H208" s="50"/>
      <c r="I208" s="50"/>
      <c r="J208" s="50"/>
      <c r="K208" s="79"/>
      <c r="L208" s="6"/>
      <c r="M208" s="6"/>
      <c r="N208" s="6"/>
      <c r="O208" s="6"/>
      <c r="P208" s="6"/>
      <c r="Q208" s="6"/>
      <c r="R208" s="6"/>
      <c r="S208" s="6"/>
      <c r="T208" s="6"/>
      <c r="U208" s="51"/>
      <c r="V208" s="51"/>
      <c r="W208" s="51"/>
      <c r="X208" s="51"/>
      <c r="Y208" s="51"/>
      <c r="Z208" s="51"/>
      <c r="AA208" s="51"/>
      <c r="AB208" s="51"/>
      <c r="AC208" s="51"/>
    </row>
    <row r="209">
      <c r="B209" s="6"/>
      <c r="C209" s="50"/>
      <c r="D209" s="50"/>
      <c r="E209" s="50"/>
      <c r="F209" s="50"/>
      <c r="G209" s="50"/>
      <c r="H209" s="50"/>
      <c r="I209" s="50"/>
      <c r="J209" s="50"/>
      <c r="K209" s="79"/>
      <c r="L209" s="6"/>
      <c r="M209" s="6"/>
      <c r="N209" s="6"/>
      <c r="O209" s="6"/>
      <c r="P209" s="6"/>
      <c r="Q209" s="6"/>
      <c r="R209" s="6"/>
      <c r="S209" s="6"/>
      <c r="T209" s="6"/>
      <c r="U209" s="51"/>
      <c r="V209" s="51"/>
      <c r="W209" s="51"/>
      <c r="X209" s="51"/>
      <c r="Y209" s="51"/>
      <c r="Z209" s="51"/>
      <c r="AA209" s="51"/>
      <c r="AB209" s="51"/>
      <c r="AC209" s="51"/>
    </row>
    <row r="210">
      <c r="B210" s="6"/>
      <c r="C210" s="50"/>
      <c r="D210" s="50"/>
      <c r="E210" s="50"/>
      <c r="F210" s="50"/>
      <c r="G210" s="50"/>
      <c r="H210" s="50"/>
      <c r="I210" s="50"/>
      <c r="J210" s="50"/>
      <c r="K210" s="79"/>
      <c r="L210" s="6"/>
      <c r="M210" s="6"/>
      <c r="N210" s="6"/>
      <c r="O210" s="6"/>
      <c r="P210" s="6"/>
      <c r="Q210" s="6"/>
      <c r="R210" s="6"/>
      <c r="S210" s="6"/>
      <c r="T210" s="6"/>
      <c r="U210" s="51"/>
      <c r="V210" s="51"/>
      <c r="W210" s="51"/>
      <c r="X210" s="51"/>
      <c r="Y210" s="51"/>
      <c r="Z210" s="51"/>
      <c r="AA210" s="51"/>
      <c r="AB210" s="51"/>
      <c r="AC210" s="51"/>
    </row>
    <row r="211">
      <c r="B211" s="6"/>
      <c r="C211" s="50"/>
      <c r="D211" s="50"/>
      <c r="E211" s="50"/>
      <c r="F211" s="50"/>
      <c r="G211" s="50"/>
      <c r="H211" s="50"/>
      <c r="I211" s="50"/>
      <c r="J211" s="50"/>
      <c r="K211" s="79"/>
      <c r="L211" s="6"/>
      <c r="M211" s="6"/>
      <c r="N211" s="6"/>
      <c r="O211" s="6"/>
      <c r="P211" s="6"/>
      <c r="Q211" s="6"/>
      <c r="R211" s="6"/>
      <c r="S211" s="6"/>
      <c r="T211" s="6"/>
      <c r="U211" s="51"/>
      <c r="V211" s="51"/>
      <c r="W211" s="51"/>
      <c r="X211" s="51"/>
      <c r="Y211" s="51"/>
      <c r="Z211" s="51"/>
      <c r="AA211" s="51"/>
      <c r="AB211" s="51"/>
      <c r="AC211" s="51"/>
    </row>
    <row r="212">
      <c r="B212" s="6"/>
      <c r="C212" s="50"/>
      <c r="D212" s="50"/>
      <c r="E212" s="50"/>
      <c r="F212" s="50"/>
      <c r="G212" s="50"/>
      <c r="H212" s="50"/>
      <c r="I212" s="50"/>
      <c r="J212" s="50"/>
      <c r="K212" s="79"/>
      <c r="L212" s="6"/>
      <c r="M212" s="6"/>
      <c r="N212" s="6"/>
      <c r="O212" s="6"/>
      <c r="P212" s="6"/>
      <c r="Q212" s="6"/>
      <c r="R212" s="6"/>
      <c r="S212" s="6"/>
      <c r="T212" s="6"/>
      <c r="U212" s="51"/>
      <c r="V212" s="51"/>
      <c r="W212" s="51"/>
      <c r="X212" s="51"/>
      <c r="Y212" s="51"/>
      <c r="Z212" s="51"/>
      <c r="AA212" s="51"/>
      <c r="AB212" s="51"/>
      <c r="AC212" s="51"/>
    </row>
    <row r="213">
      <c r="B213" s="6"/>
      <c r="C213" s="50"/>
      <c r="D213" s="50"/>
      <c r="E213" s="50"/>
      <c r="F213" s="50"/>
      <c r="G213" s="50"/>
      <c r="H213" s="50"/>
      <c r="I213" s="50"/>
      <c r="J213" s="50"/>
      <c r="K213" s="79"/>
      <c r="L213" s="6"/>
      <c r="M213" s="6"/>
      <c r="N213" s="6"/>
      <c r="O213" s="6"/>
      <c r="P213" s="6"/>
      <c r="Q213" s="6"/>
      <c r="R213" s="6"/>
      <c r="S213" s="6"/>
      <c r="T213" s="6"/>
      <c r="U213" s="51"/>
      <c r="V213" s="51"/>
      <c r="W213" s="51"/>
      <c r="X213" s="51"/>
      <c r="Y213" s="51"/>
      <c r="Z213" s="51"/>
      <c r="AA213" s="51"/>
      <c r="AB213" s="51"/>
      <c r="AC213" s="51"/>
    </row>
    <row r="214">
      <c r="B214" s="6"/>
      <c r="C214" s="50"/>
      <c r="D214" s="50"/>
      <c r="E214" s="50"/>
      <c r="F214" s="50"/>
      <c r="G214" s="50"/>
      <c r="H214" s="50"/>
      <c r="I214" s="50"/>
      <c r="J214" s="50"/>
      <c r="K214" s="79"/>
      <c r="L214" s="6"/>
      <c r="M214" s="6"/>
      <c r="N214" s="6"/>
      <c r="O214" s="6"/>
      <c r="P214" s="6"/>
      <c r="Q214" s="6"/>
      <c r="R214" s="6"/>
      <c r="S214" s="6"/>
      <c r="T214" s="6"/>
      <c r="U214" s="51"/>
      <c r="V214" s="51"/>
      <c r="W214" s="51"/>
      <c r="X214" s="51"/>
      <c r="Y214" s="51"/>
      <c r="Z214" s="51"/>
      <c r="AA214" s="51"/>
      <c r="AB214" s="51"/>
      <c r="AC214" s="51"/>
    </row>
    <row r="215">
      <c r="B215" s="6"/>
      <c r="C215" s="50"/>
      <c r="D215" s="50"/>
      <c r="E215" s="50"/>
      <c r="F215" s="50"/>
      <c r="G215" s="50"/>
      <c r="H215" s="50"/>
      <c r="I215" s="50"/>
      <c r="J215" s="50"/>
      <c r="K215" s="79"/>
      <c r="L215" s="6"/>
      <c r="M215" s="6"/>
      <c r="N215" s="6"/>
      <c r="O215" s="6"/>
      <c r="P215" s="6"/>
      <c r="Q215" s="6"/>
      <c r="R215" s="6"/>
      <c r="S215" s="6"/>
      <c r="T215" s="6"/>
      <c r="U215" s="51"/>
      <c r="V215" s="51"/>
      <c r="W215" s="51"/>
      <c r="X215" s="51"/>
      <c r="Y215" s="51"/>
      <c r="Z215" s="51"/>
      <c r="AA215" s="51"/>
      <c r="AB215" s="51"/>
      <c r="AC215" s="51"/>
    </row>
    <row r="216">
      <c r="B216" s="6"/>
      <c r="C216" s="50"/>
      <c r="D216" s="50"/>
      <c r="E216" s="50"/>
      <c r="F216" s="50"/>
      <c r="G216" s="50"/>
      <c r="H216" s="50"/>
      <c r="I216" s="50"/>
      <c r="J216" s="50"/>
      <c r="K216" s="79"/>
      <c r="L216" s="6"/>
      <c r="M216" s="6"/>
      <c r="N216" s="6"/>
      <c r="O216" s="6"/>
      <c r="P216" s="6"/>
      <c r="Q216" s="6"/>
      <c r="R216" s="6"/>
      <c r="S216" s="6"/>
      <c r="T216" s="6"/>
      <c r="U216" s="51"/>
      <c r="V216" s="51"/>
      <c r="W216" s="51"/>
      <c r="X216" s="51"/>
      <c r="Y216" s="51"/>
      <c r="Z216" s="51"/>
      <c r="AA216" s="51"/>
      <c r="AB216" s="51"/>
      <c r="AC216" s="51"/>
    </row>
    <row r="217">
      <c r="B217" s="6"/>
      <c r="C217" s="50"/>
      <c r="D217" s="50"/>
      <c r="E217" s="50"/>
      <c r="F217" s="50"/>
      <c r="G217" s="50"/>
      <c r="H217" s="50"/>
      <c r="I217" s="50"/>
      <c r="J217" s="50"/>
      <c r="K217" s="79"/>
      <c r="L217" s="6"/>
      <c r="M217" s="6"/>
      <c r="N217" s="6"/>
      <c r="O217" s="6"/>
      <c r="P217" s="6"/>
      <c r="Q217" s="6"/>
      <c r="R217" s="6"/>
      <c r="S217" s="6"/>
      <c r="T217" s="6"/>
      <c r="U217" s="51"/>
      <c r="V217" s="51"/>
      <c r="W217" s="51"/>
      <c r="X217" s="51"/>
      <c r="Y217" s="51"/>
      <c r="Z217" s="51"/>
      <c r="AA217" s="51"/>
      <c r="AB217" s="51"/>
      <c r="AC217" s="51"/>
    </row>
    <row r="218">
      <c r="B218" s="6"/>
      <c r="C218" s="50"/>
      <c r="D218" s="50"/>
      <c r="E218" s="50"/>
      <c r="F218" s="50"/>
      <c r="G218" s="50"/>
      <c r="H218" s="50"/>
      <c r="I218" s="50"/>
      <c r="J218" s="50"/>
      <c r="K218" s="79"/>
      <c r="L218" s="6"/>
      <c r="M218" s="6"/>
      <c r="N218" s="6"/>
      <c r="O218" s="6"/>
      <c r="P218" s="6"/>
      <c r="Q218" s="6"/>
      <c r="R218" s="6"/>
      <c r="S218" s="6"/>
      <c r="T218" s="6"/>
      <c r="U218" s="51"/>
      <c r="V218" s="51"/>
      <c r="W218" s="51"/>
      <c r="X218" s="51"/>
      <c r="Y218" s="51"/>
      <c r="Z218" s="51"/>
      <c r="AA218" s="51"/>
      <c r="AB218" s="51"/>
      <c r="AC218" s="51"/>
    </row>
    <row r="219">
      <c r="B219" s="6"/>
      <c r="C219" s="50"/>
      <c r="D219" s="50"/>
      <c r="E219" s="50"/>
      <c r="F219" s="50"/>
      <c r="G219" s="50"/>
      <c r="H219" s="50"/>
      <c r="I219" s="50"/>
      <c r="J219" s="50"/>
      <c r="K219" s="79"/>
      <c r="L219" s="6"/>
      <c r="M219" s="6"/>
      <c r="N219" s="6"/>
      <c r="O219" s="6"/>
      <c r="P219" s="6"/>
      <c r="Q219" s="6"/>
      <c r="R219" s="6"/>
      <c r="S219" s="6"/>
      <c r="T219" s="6"/>
      <c r="U219" s="51"/>
      <c r="V219" s="51"/>
      <c r="W219" s="51"/>
      <c r="X219" s="51"/>
      <c r="Y219" s="51"/>
      <c r="Z219" s="51"/>
      <c r="AA219" s="51"/>
      <c r="AB219" s="51"/>
      <c r="AC219" s="51"/>
    </row>
    <row r="220">
      <c r="B220" s="6"/>
      <c r="C220" s="50"/>
      <c r="D220" s="50"/>
      <c r="E220" s="50"/>
      <c r="F220" s="50"/>
      <c r="G220" s="50"/>
      <c r="H220" s="50"/>
      <c r="I220" s="50"/>
      <c r="J220" s="50"/>
      <c r="K220" s="79"/>
      <c r="L220" s="6"/>
      <c r="M220" s="6"/>
      <c r="N220" s="6"/>
      <c r="O220" s="6"/>
      <c r="P220" s="6"/>
      <c r="Q220" s="6"/>
      <c r="R220" s="6"/>
      <c r="S220" s="6"/>
      <c r="T220" s="6"/>
      <c r="U220" s="51"/>
      <c r="V220" s="51"/>
      <c r="W220" s="51"/>
      <c r="X220" s="51"/>
      <c r="Y220" s="51"/>
      <c r="Z220" s="51"/>
      <c r="AA220" s="51"/>
      <c r="AB220" s="51"/>
      <c r="AC220" s="51"/>
    </row>
    <row r="221">
      <c r="B221" s="6"/>
      <c r="C221" s="50"/>
      <c r="D221" s="50"/>
      <c r="E221" s="50"/>
      <c r="F221" s="50"/>
      <c r="G221" s="50"/>
      <c r="H221" s="50"/>
      <c r="I221" s="50"/>
      <c r="J221" s="50"/>
      <c r="K221" s="79"/>
      <c r="L221" s="6"/>
      <c r="M221" s="6"/>
      <c r="N221" s="6"/>
      <c r="O221" s="6"/>
      <c r="P221" s="6"/>
      <c r="Q221" s="6"/>
      <c r="R221" s="6"/>
      <c r="S221" s="6"/>
      <c r="T221" s="6"/>
      <c r="U221" s="51"/>
      <c r="V221" s="51"/>
      <c r="W221" s="51"/>
      <c r="X221" s="51"/>
      <c r="Y221" s="51"/>
      <c r="Z221" s="51"/>
      <c r="AA221" s="51"/>
      <c r="AB221" s="51"/>
      <c r="AC221" s="51"/>
    </row>
    <row r="222">
      <c r="B222" s="6"/>
      <c r="C222" s="50"/>
      <c r="D222" s="50"/>
      <c r="E222" s="50"/>
      <c r="F222" s="50"/>
      <c r="G222" s="50"/>
      <c r="H222" s="50"/>
      <c r="I222" s="50"/>
      <c r="J222" s="50"/>
      <c r="K222" s="79"/>
      <c r="L222" s="6"/>
      <c r="M222" s="6"/>
      <c r="N222" s="6"/>
      <c r="O222" s="6"/>
      <c r="P222" s="6"/>
      <c r="Q222" s="6"/>
      <c r="R222" s="6"/>
      <c r="S222" s="6"/>
      <c r="T222" s="6"/>
      <c r="U222" s="51"/>
      <c r="V222" s="51"/>
      <c r="W222" s="51"/>
      <c r="X222" s="51"/>
      <c r="Y222" s="51"/>
      <c r="Z222" s="51"/>
      <c r="AA222" s="51"/>
      <c r="AB222" s="51"/>
      <c r="AC222" s="51"/>
    </row>
    <row r="223">
      <c r="B223" s="6"/>
      <c r="C223" s="50"/>
      <c r="D223" s="50"/>
      <c r="E223" s="50"/>
      <c r="F223" s="50"/>
      <c r="G223" s="50"/>
      <c r="H223" s="50"/>
      <c r="I223" s="50"/>
      <c r="J223" s="50"/>
      <c r="K223" s="79"/>
      <c r="L223" s="6"/>
      <c r="M223" s="6"/>
      <c r="N223" s="6"/>
      <c r="O223" s="6"/>
      <c r="P223" s="6"/>
      <c r="Q223" s="6"/>
      <c r="R223" s="6"/>
      <c r="S223" s="6"/>
      <c r="T223" s="6"/>
      <c r="U223" s="51"/>
      <c r="V223" s="51"/>
      <c r="W223" s="51"/>
      <c r="X223" s="51"/>
      <c r="Y223" s="51"/>
      <c r="Z223" s="51"/>
      <c r="AA223" s="51"/>
      <c r="AB223" s="51"/>
      <c r="AC223" s="51"/>
    </row>
    <row r="224">
      <c r="B224" s="6"/>
      <c r="C224" s="50"/>
      <c r="D224" s="50"/>
      <c r="E224" s="50"/>
      <c r="F224" s="50"/>
      <c r="G224" s="50"/>
      <c r="H224" s="50"/>
      <c r="I224" s="50"/>
      <c r="J224" s="50"/>
      <c r="K224" s="79"/>
      <c r="L224" s="6"/>
      <c r="M224" s="6"/>
      <c r="N224" s="6"/>
      <c r="O224" s="6"/>
      <c r="P224" s="6"/>
      <c r="Q224" s="6"/>
      <c r="R224" s="6"/>
      <c r="S224" s="6"/>
      <c r="T224" s="6"/>
      <c r="U224" s="51"/>
      <c r="V224" s="51"/>
      <c r="W224" s="51"/>
      <c r="X224" s="51"/>
      <c r="Y224" s="51"/>
      <c r="Z224" s="51"/>
      <c r="AA224" s="51"/>
      <c r="AB224" s="51"/>
      <c r="AC224" s="51"/>
    </row>
    <row r="225">
      <c r="B225" s="6"/>
      <c r="C225" s="50"/>
      <c r="D225" s="50"/>
      <c r="E225" s="50"/>
      <c r="F225" s="50"/>
      <c r="G225" s="50"/>
      <c r="H225" s="50"/>
      <c r="I225" s="50"/>
      <c r="J225" s="50"/>
      <c r="K225" s="79"/>
      <c r="L225" s="6"/>
      <c r="M225" s="6"/>
      <c r="N225" s="6"/>
      <c r="O225" s="6"/>
      <c r="P225" s="6"/>
      <c r="Q225" s="6"/>
      <c r="R225" s="6"/>
      <c r="S225" s="6"/>
      <c r="T225" s="6"/>
      <c r="U225" s="51"/>
      <c r="V225" s="51"/>
      <c r="W225" s="51"/>
      <c r="X225" s="51"/>
      <c r="Y225" s="51"/>
      <c r="Z225" s="51"/>
      <c r="AA225" s="51"/>
      <c r="AB225" s="51"/>
      <c r="AC225" s="51"/>
    </row>
    <row r="226">
      <c r="B226" s="6"/>
      <c r="C226" s="50"/>
      <c r="D226" s="50"/>
      <c r="E226" s="50"/>
      <c r="F226" s="50"/>
      <c r="G226" s="50"/>
      <c r="H226" s="50"/>
      <c r="I226" s="50"/>
      <c r="J226" s="50"/>
      <c r="K226" s="79"/>
      <c r="L226" s="6"/>
      <c r="M226" s="6"/>
      <c r="N226" s="6"/>
      <c r="O226" s="6"/>
      <c r="P226" s="6"/>
      <c r="Q226" s="6"/>
      <c r="R226" s="6"/>
      <c r="S226" s="6"/>
      <c r="T226" s="6"/>
      <c r="U226" s="51"/>
      <c r="V226" s="51"/>
      <c r="W226" s="51"/>
      <c r="X226" s="51"/>
      <c r="Y226" s="51"/>
      <c r="Z226" s="51"/>
      <c r="AA226" s="51"/>
      <c r="AB226" s="51"/>
      <c r="AC226" s="51"/>
    </row>
    <row r="227">
      <c r="B227" s="6"/>
      <c r="C227" s="50"/>
      <c r="D227" s="50"/>
      <c r="E227" s="50"/>
      <c r="F227" s="50"/>
      <c r="G227" s="50"/>
      <c r="H227" s="50"/>
      <c r="I227" s="50"/>
      <c r="J227" s="50"/>
      <c r="K227" s="79"/>
      <c r="L227" s="6"/>
      <c r="M227" s="6"/>
      <c r="N227" s="6"/>
      <c r="O227" s="6"/>
      <c r="P227" s="6"/>
      <c r="Q227" s="6"/>
      <c r="R227" s="6"/>
      <c r="S227" s="6"/>
      <c r="T227" s="6"/>
      <c r="U227" s="51"/>
      <c r="V227" s="51"/>
      <c r="W227" s="51"/>
      <c r="X227" s="51"/>
      <c r="Y227" s="51"/>
      <c r="Z227" s="51"/>
      <c r="AA227" s="51"/>
      <c r="AB227" s="51"/>
      <c r="AC227" s="51"/>
    </row>
    <row r="228">
      <c r="B228" s="6"/>
      <c r="C228" s="50"/>
      <c r="D228" s="50"/>
      <c r="E228" s="50"/>
      <c r="F228" s="50"/>
      <c r="G228" s="50"/>
      <c r="H228" s="50"/>
      <c r="I228" s="50"/>
      <c r="J228" s="50"/>
      <c r="K228" s="79"/>
      <c r="L228" s="6"/>
      <c r="M228" s="6"/>
      <c r="N228" s="6"/>
      <c r="O228" s="6"/>
      <c r="P228" s="6"/>
      <c r="Q228" s="6"/>
      <c r="R228" s="6"/>
      <c r="S228" s="6"/>
      <c r="T228" s="6"/>
      <c r="U228" s="51"/>
      <c r="V228" s="51"/>
      <c r="W228" s="51"/>
      <c r="X228" s="51"/>
      <c r="Y228" s="51"/>
      <c r="Z228" s="51"/>
      <c r="AA228" s="51"/>
      <c r="AB228" s="51"/>
      <c r="AC228" s="51"/>
    </row>
    <row r="229">
      <c r="B229" s="6"/>
      <c r="C229" s="50"/>
      <c r="D229" s="50"/>
      <c r="E229" s="50"/>
      <c r="F229" s="50"/>
      <c r="G229" s="50"/>
      <c r="H229" s="50"/>
      <c r="I229" s="50"/>
      <c r="J229" s="50"/>
      <c r="K229" s="79"/>
      <c r="L229" s="6"/>
      <c r="M229" s="6"/>
      <c r="N229" s="6"/>
      <c r="O229" s="6"/>
      <c r="P229" s="6"/>
      <c r="Q229" s="6"/>
      <c r="R229" s="6"/>
      <c r="S229" s="6"/>
      <c r="T229" s="6"/>
      <c r="U229" s="51"/>
      <c r="V229" s="51"/>
      <c r="W229" s="51"/>
      <c r="X229" s="51"/>
      <c r="Y229" s="51"/>
      <c r="Z229" s="51"/>
      <c r="AA229" s="51"/>
      <c r="AB229" s="51"/>
      <c r="AC229" s="51"/>
    </row>
    <row r="230">
      <c r="B230" s="6"/>
      <c r="C230" s="50"/>
      <c r="D230" s="50"/>
      <c r="E230" s="50"/>
      <c r="F230" s="50"/>
      <c r="G230" s="50"/>
      <c r="H230" s="50"/>
      <c r="I230" s="50"/>
      <c r="J230" s="50"/>
      <c r="K230" s="79"/>
      <c r="L230" s="6"/>
      <c r="M230" s="6"/>
      <c r="N230" s="6"/>
      <c r="O230" s="6"/>
      <c r="P230" s="6"/>
      <c r="Q230" s="6"/>
      <c r="R230" s="6"/>
      <c r="S230" s="6"/>
      <c r="T230" s="6"/>
      <c r="U230" s="51"/>
      <c r="V230" s="51"/>
      <c r="W230" s="51"/>
      <c r="X230" s="51"/>
      <c r="Y230" s="51"/>
      <c r="Z230" s="51"/>
      <c r="AA230" s="51"/>
      <c r="AB230" s="51"/>
      <c r="AC230" s="51"/>
    </row>
    <row r="231">
      <c r="B231" s="6"/>
      <c r="C231" s="50"/>
      <c r="D231" s="50"/>
      <c r="E231" s="50"/>
      <c r="F231" s="50"/>
      <c r="G231" s="50"/>
      <c r="H231" s="50"/>
      <c r="I231" s="50"/>
      <c r="J231" s="50"/>
      <c r="K231" s="79"/>
      <c r="L231" s="6"/>
      <c r="M231" s="6"/>
      <c r="N231" s="6"/>
      <c r="O231" s="6"/>
      <c r="P231" s="6"/>
      <c r="Q231" s="6"/>
      <c r="R231" s="6"/>
      <c r="S231" s="6"/>
      <c r="T231" s="6"/>
      <c r="U231" s="51"/>
      <c r="V231" s="51"/>
      <c r="W231" s="51"/>
      <c r="X231" s="51"/>
      <c r="Y231" s="51"/>
      <c r="Z231" s="51"/>
      <c r="AA231" s="51"/>
      <c r="AB231" s="51"/>
      <c r="AC231" s="51"/>
    </row>
    <row r="232">
      <c r="B232" s="6"/>
      <c r="C232" s="50"/>
      <c r="D232" s="50"/>
      <c r="E232" s="50"/>
      <c r="F232" s="50"/>
      <c r="G232" s="50"/>
      <c r="H232" s="50"/>
      <c r="I232" s="50"/>
      <c r="J232" s="50"/>
      <c r="K232" s="79"/>
      <c r="L232" s="6"/>
      <c r="M232" s="6"/>
      <c r="N232" s="6"/>
      <c r="O232" s="6"/>
      <c r="P232" s="6"/>
      <c r="Q232" s="6"/>
      <c r="R232" s="6"/>
      <c r="S232" s="6"/>
      <c r="T232" s="6"/>
      <c r="U232" s="51"/>
      <c r="V232" s="51"/>
      <c r="W232" s="51"/>
      <c r="X232" s="51"/>
      <c r="Y232" s="51"/>
      <c r="Z232" s="51"/>
      <c r="AA232" s="51"/>
      <c r="AB232" s="51"/>
      <c r="AC232" s="51"/>
    </row>
    <row r="233">
      <c r="B233" s="6"/>
      <c r="C233" s="50"/>
      <c r="D233" s="50"/>
      <c r="E233" s="50"/>
      <c r="F233" s="50"/>
      <c r="G233" s="50"/>
      <c r="H233" s="50"/>
      <c r="I233" s="50"/>
      <c r="J233" s="50"/>
      <c r="K233" s="79"/>
      <c r="L233" s="6"/>
      <c r="M233" s="6"/>
      <c r="N233" s="6"/>
      <c r="O233" s="6"/>
      <c r="P233" s="6"/>
      <c r="Q233" s="6"/>
      <c r="R233" s="6"/>
      <c r="S233" s="6"/>
      <c r="T233" s="6"/>
      <c r="U233" s="51"/>
      <c r="V233" s="51"/>
      <c r="W233" s="51"/>
      <c r="X233" s="51"/>
      <c r="Y233" s="51"/>
      <c r="Z233" s="51"/>
      <c r="AA233" s="51"/>
      <c r="AB233" s="51"/>
      <c r="AC233" s="51"/>
    </row>
    <row r="234">
      <c r="B234" s="6"/>
      <c r="C234" s="50"/>
      <c r="D234" s="50"/>
      <c r="E234" s="50"/>
      <c r="F234" s="50"/>
      <c r="G234" s="50"/>
      <c r="H234" s="50"/>
      <c r="I234" s="50"/>
      <c r="J234" s="50"/>
      <c r="K234" s="79"/>
      <c r="L234" s="6"/>
      <c r="M234" s="6"/>
      <c r="N234" s="6"/>
      <c r="O234" s="6"/>
      <c r="P234" s="6"/>
      <c r="Q234" s="6"/>
      <c r="R234" s="6"/>
      <c r="S234" s="6"/>
      <c r="T234" s="6"/>
      <c r="U234" s="51"/>
      <c r="V234" s="51"/>
      <c r="W234" s="51"/>
      <c r="X234" s="51"/>
      <c r="Y234" s="51"/>
      <c r="Z234" s="51"/>
      <c r="AA234" s="51"/>
      <c r="AB234" s="51"/>
      <c r="AC234" s="51"/>
    </row>
    <row r="235">
      <c r="B235" s="6"/>
      <c r="C235" s="50"/>
      <c r="D235" s="50"/>
      <c r="E235" s="50"/>
      <c r="F235" s="50"/>
      <c r="G235" s="50"/>
      <c r="H235" s="50"/>
      <c r="I235" s="50"/>
      <c r="J235" s="50"/>
      <c r="K235" s="79"/>
      <c r="L235" s="6"/>
      <c r="M235" s="6"/>
      <c r="N235" s="6"/>
      <c r="O235" s="6"/>
      <c r="P235" s="6"/>
      <c r="Q235" s="6"/>
      <c r="R235" s="6"/>
      <c r="S235" s="6"/>
      <c r="T235" s="6"/>
      <c r="U235" s="51"/>
      <c r="V235" s="51"/>
      <c r="W235" s="51"/>
      <c r="X235" s="51"/>
      <c r="Y235" s="51"/>
      <c r="Z235" s="51"/>
      <c r="AA235" s="51"/>
      <c r="AB235" s="51"/>
      <c r="AC235" s="51"/>
    </row>
    <row r="236">
      <c r="B236" s="6"/>
      <c r="C236" s="50"/>
      <c r="D236" s="50"/>
      <c r="E236" s="50"/>
      <c r="F236" s="50"/>
      <c r="G236" s="50"/>
      <c r="H236" s="50"/>
      <c r="I236" s="50"/>
      <c r="J236" s="50"/>
      <c r="K236" s="79"/>
      <c r="L236" s="6"/>
      <c r="M236" s="6"/>
      <c r="N236" s="6"/>
      <c r="O236" s="6"/>
      <c r="P236" s="6"/>
      <c r="Q236" s="6"/>
      <c r="R236" s="6"/>
      <c r="S236" s="6"/>
      <c r="T236" s="6"/>
      <c r="U236" s="51"/>
      <c r="V236" s="51"/>
      <c r="W236" s="51"/>
      <c r="X236" s="51"/>
      <c r="Y236" s="51"/>
      <c r="Z236" s="51"/>
      <c r="AA236" s="51"/>
      <c r="AB236" s="51"/>
      <c r="AC236" s="51"/>
    </row>
    <row r="237">
      <c r="B237" s="6"/>
      <c r="C237" s="50"/>
      <c r="D237" s="50"/>
      <c r="E237" s="50"/>
      <c r="F237" s="50"/>
      <c r="G237" s="50"/>
      <c r="H237" s="50"/>
      <c r="I237" s="50"/>
      <c r="J237" s="50"/>
      <c r="K237" s="79"/>
      <c r="L237" s="6"/>
      <c r="M237" s="6"/>
      <c r="N237" s="6"/>
      <c r="O237" s="6"/>
      <c r="P237" s="6"/>
      <c r="Q237" s="6"/>
      <c r="R237" s="6"/>
      <c r="S237" s="6"/>
      <c r="T237" s="6"/>
      <c r="U237" s="51"/>
      <c r="V237" s="51"/>
      <c r="W237" s="51"/>
      <c r="X237" s="51"/>
      <c r="Y237" s="51"/>
      <c r="Z237" s="51"/>
      <c r="AA237" s="51"/>
      <c r="AB237" s="51"/>
      <c r="AC237" s="51"/>
    </row>
    <row r="238">
      <c r="B238" s="6"/>
      <c r="C238" s="50"/>
      <c r="D238" s="50"/>
      <c r="E238" s="50"/>
      <c r="F238" s="50"/>
      <c r="G238" s="50"/>
      <c r="H238" s="50"/>
      <c r="I238" s="50"/>
      <c r="J238" s="50"/>
      <c r="K238" s="79"/>
      <c r="L238" s="6"/>
      <c r="M238" s="6"/>
      <c r="N238" s="6"/>
      <c r="O238" s="6"/>
      <c r="P238" s="6"/>
      <c r="Q238" s="6"/>
      <c r="R238" s="6"/>
      <c r="S238" s="6"/>
      <c r="T238" s="6"/>
      <c r="U238" s="51"/>
      <c r="V238" s="51"/>
      <c r="W238" s="51"/>
      <c r="X238" s="51"/>
      <c r="Y238" s="51"/>
      <c r="Z238" s="51"/>
      <c r="AA238" s="51"/>
      <c r="AB238" s="51"/>
      <c r="AC238" s="51"/>
    </row>
    <row r="239">
      <c r="B239" s="6"/>
      <c r="C239" s="50"/>
      <c r="D239" s="50"/>
      <c r="E239" s="50"/>
      <c r="F239" s="50"/>
      <c r="G239" s="50"/>
      <c r="H239" s="50"/>
      <c r="I239" s="50"/>
      <c r="J239" s="50"/>
      <c r="K239" s="79"/>
      <c r="L239" s="6"/>
      <c r="M239" s="6"/>
      <c r="N239" s="6"/>
      <c r="O239" s="6"/>
      <c r="P239" s="6"/>
      <c r="Q239" s="6"/>
      <c r="R239" s="6"/>
      <c r="S239" s="6"/>
      <c r="T239" s="6"/>
      <c r="U239" s="51"/>
      <c r="V239" s="51"/>
      <c r="W239" s="51"/>
      <c r="X239" s="51"/>
      <c r="Y239" s="51"/>
      <c r="Z239" s="51"/>
      <c r="AA239" s="51"/>
      <c r="AB239" s="51"/>
      <c r="AC239" s="51"/>
    </row>
    <row r="240">
      <c r="B240" s="6"/>
      <c r="C240" s="50"/>
      <c r="D240" s="50"/>
      <c r="E240" s="50"/>
      <c r="F240" s="50"/>
      <c r="G240" s="50"/>
      <c r="H240" s="50"/>
      <c r="I240" s="50"/>
      <c r="J240" s="50"/>
      <c r="K240" s="79"/>
      <c r="L240" s="6"/>
      <c r="M240" s="6"/>
      <c r="N240" s="6"/>
      <c r="O240" s="6"/>
      <c r="P240" s="6"/>
      <c r="Q240" s="6"/>
      <c r="R240" s="6"/>
      <c r="S240" s="6"/>
      <c r="T240" s="6"/>
      <c r="U240" s="51"/>
      <c r="V240" s="51"/>
      <c r="W240" s="51"/>
      <c r="X240" s="51"/>
      <c r="Y240" s="51"/>
      <c r="Z240" s="51"/>
      <c r="AA240" s="51"/>
      <c r="AB240" s="51"/>
      <c r="AC240" s="51"/>
    </row>
    <row r="241">
      <c r="B241" s="6"/>
      <c r="C241" s="50"/>
      <c r="D241" s="50"/>
      <c r="E241" s="50"/>
      <c r="F241" s="50"/>
      <c r="G241" s="50"/>
      <c r="H241" s="50"/>
      <c r="I241" s="50"/>
      <c r="J241" s="50"/>
      <c r="K241" s="79"/>
      <c r="L241" s="6"/>
      <c r="M241" s="6"/>
      <c r="N241" s="6"/>
      <c r="O241" s="6"/>
      <c r="P241" s="6"/>
      <c r="Q241" s="6"/>
      <c r="R241" s="6"/>
      <c r="S241" s="6"/>
      <c r="T241" s="6"/>
      <c r="U241" s="51"/>
      <c r="V241" s="51"/>
      <c r="W241" s="51"/>
      <c r="X241" s="51"/>
      <c r="Y241" s="51"/>
      <c r="Z241" s="51"/>
      <c r="AA241" s="51"/>
      <c r="AB241" s="51"/>
      <c r="AC241" s="51"/>
    </row>
    <row r="242">
      <c r="B242" s="6"/>
      <c r="C242" s="50"/>
      <c r="D242" s="50"/>
      <c r="E242" s="50"/>
      <c r="F242" s="50"/>
      <c r="G242" s="50"/>
      <c r="H242" s="50"/>
      <c r="I242" s="50"/>
      <c r="J242" s="50"/>
      <c r="K242" s="79"/>
      <c r="L242" s="6"/>
      <c r="M242" s="6"/>
      <c r="N242" s="6"/>
      <c r="O242" s="6"/>
      <c r="P242" s="6"/>
      <c r="Q242" s="6"/>
      <c r="R242" s="6"/>
      <c r="S242" s="6"/>
      <c r="T242" s="6"/>
      <c r="U242" s="51"/>
      <c r="V242" s="51"/>
      <c r="W242" s="51"/>
      <c r="X242" s="51"/>
      <c r="Y242" s="51"/>
      <c r="Z242" s="51"/>
      <c r="AA242" s="51"/>
      <c r="AB242" s="51"/>
      <c r="AC242" s="51"/>
    </row>
    <row r="243">
      <c r="B243" s="6"/>
      <c r="C243" s="50"/>
      <c r="D243" s="50"/>
      <c r="E243" s="50"/>
      <c r="F243" s="50"/>
      <c r="G243" s="50"/>
      <c r="H243" s="50"/>
      <c r="I243" s="50"/>
      <c r="J243" s="50"/>
      <c r="K243" s="79"/>
      <c r="L243" s="6"/>
      <c r="M243" s="6"/>
      <c r="N243" s="6"/>
      <c r="O243" s="6"/>
      <c r="P243" s="6"/>
      <c r="Q243" s="6"/>
      <c r="R243" s="6"/>
      <c r="S243" s="6"/>
      <c r="T243" s="6"/>
      <c r="U243" s="51"/>
      <c r="V243" s="51"/>
      <c r="W243" s="51"/>
      <c r="X243" s="51"/>
      <c r="Y243" s="51"/>
      <c r="Z243" s="51"/>
      <c r="AA243" s="51"/>
      <c r="AB243" s="51"/>
      <c r="AC243" s="51"/>
    </row>
    <row r="244">
      <c r="B244" s="6"/>
      <c r="C244" s="50"/>
      <c r="D244" s="50"/>
      <c r="E244" s="50"/>
      <c r="F244" s="50"/>
      <c r="G244" s="50"/>
      <c r="H244" s="50"/>
      <c r="I244" s="50"/>
      <c r="J244" s="50"/>
      <c r="K244" s="79"/>
      <c r="L244" s="6"/>
      <c r="M244" s="6"/>
      <c r="N244" s="6"/>
      <c r="O244" s="6"/>
      <c r="P244" s="6"/>
      <c r="Q244" s="6"/>
      <c r="R244" s="6"/>
      <c r="S244" s="6"/>
      <c r="T244" s="6"/>
      <c r="U244" s="51"/>
      <c r="V244" s="51"/>
      <c r="W244" s="51"/>
      <c r="X244" s="51"/>
      <c r="Y244" s="51"/>
      <c r="Z244" s="51"/>
      <c r="AA244" s="51"/>
      <c r="AB244" s="51"/>
      <c r="AC244" s="51"/>
    </row>
    <row r="245">
      <c r="B245" s="6"/>
      <c r="C245" s="50"/>
      <c r="D245" s="50"/>
      <c r="E245" s="50"/>
      <c r="F245" s="50"/>
      <c r="G245" s="50"/>
      <c r="H245" s="50"/>
      <c r="I245" s="50"/>
      <c r="J245" s="50"/>
      <c r="K245" s="79"/>
      <c r="L245" s="6"/>
      <c r="M245" s="6"/>
      <c r="N245" s="6"/>
      <c r="O245" s="6"/>
      <c r="P245" s="6"/>
      <c r="Q245" s="6"/>
      <c r="R245" s="6"/>
      <c r="S245" s="6"/>
      <c r="T245" s="6"/>
      <c r="U245" s="51"/>
      <c r="V245" s="51"/>
      <c r="W245" s="51"/>
      <c r="X245" s="51"/>
      <c r="Y245" s="51"/>
      <c r="Z245" s="51"/>
      <c r="AA245" s="51"/>
      <c r="AB245" s="51"/>
      <c r="AC245" s="51"/>
    </row>
    <row r="246">
      <c r="B246" s="6"/>
      <c r="C246" s="50"/>
      <c r="D246" s="50"/>
      <c r="E246" s="50"/>
      <c r="F246" s="50"/>
      <c r="G246" s="50"/>
      <c r="H246" s="50"/>
      <c r="I246" s="50"/>
      <c r="J246" s="50"/>
      <c r="K246" s="79"/>
      <c r="L246" s="6"/>
      <c r="M246" s="6"/>
      <c r="N246" s="6"/>
      <c r="O246" s="6"/>
      <c r="P246" s="6"/>
      <c r="Q246" s="6"/>
      <c r="R246" s="6"/>
      <c r="S246" s="6"/>
      <c r="T246" s="6"/>
      <c r="U246" s="51"/>
      <c r="V246" s="51"/>
      <c r="W246" s="51"/>
      <c r="X246" s="51"/>
      <c r="Y246" s="51"/>
      <c r="Z246" s="51"/>
      <c r="AA246" s="51"/>
      <c r="AB246" s="51"/>
      <c r="AC246" s="51"/>
    </row>
    <row r="247">
      <c r="B247" s="6"/>
      <c r="C247" s="50"/>
      <c r="D247" s="50"/>
      <c r="E247" s="50"/>
      <c r="F247" s="50"/>
      <c r="G247" s="50"/>
      <c r="H247" s="50"/>
      <c r="I247" s="50"/>
      <c r="J247" s="50"/>
      <c r="K247" s="79"/>
      <c r="L247" s="6"/>
      <c r="M247" s="6"/>
      <c r="N247" s="6"/>
      <c r="O247" s="6"/>
      <c r="P247" s="6"/>
      <c r="Q247" s="6"/>
      <c r="R247" s="6"/>
      <c r="S247" s="6"/>
      <c r="T247" s="6"/>
      <c r="U247" s="51"/>
      <c r="V247" s="51"/>
      <c r="W247" s="51"/>
      <c r="X247" s="51"/>
      <c r="Y247" s="51"/>
      <c r="Z247" s="51"/>
      <c r="AA247" s="51"/>
      <c r="AB247" s="51"/>
      <c r="AC247" s="51"/>
    </row>
    <row r="248">
      <c r="B248" s="6"/>
      <c r="C248" s="50"/>
      <c r="D248" s="50"/>
      <c r="E248" s="50"/>
      <c r="F248" s="50"/>
      <c r="G248" s="50"/>
      <c r="H248" s="50"/>
      <c r="I248" s="50"/>
      <c r="J248" s="50"/>
      <c r="K248" s="79"/>
      <c r="L248" s="6"/>
      <c r="M248" s="6"/>
      <c r="N248" s="6"/>
      <c r="O248" s="6"/>
      <c r="P248" s="6"/>
      <c r="Q248" s="6"/>
      <c r="R248" s="6"/>
      <c r="S248" s="6"/>
      <c r="T248" s="6"/>
      <c r="U248" s="51"/>
      <c r="V248" s="51"/>
      <c r="W248" s="51"/>
      <c r="X248" s="51"/>
      <c r="Y248" s="51"/>
      <c r="Z248" s="51"/>
      <c r="AA248" s="51"/>
      <c r="AB248" s="51"/>
      <c r="AC248" s="51"/>
    </row>
    <row r="249">
      <c r="B249" s="6"/>
      <c r="C249" s="50"/>
      <c r="D249" s="50"/>
      <c r="E249" s="50"/>
      <c r="F249" s="50"/>
      <c r="G249" s="50"/>
      <c r="H249" s="50"/>
      <c r="I249" s="50"/>
      <c r="J249" s="50"/>
      <c r="K249" s="79"/>
      <c r="L249" s="6"/>
      <c r="M249" s="6"/>
      <c r="N249" s="6"/>
      <c r="O249" s="6"/>
      <c r="P249" s="6"/>
      <c r="Q249" s="6"/>
      <c r="R249" s="6"/>
      <c r="S249" s="6"/>
      <c r="T249" s="6"/>
      <c r="U249" s="51"/>
      <c r="V249" s="51"/>
      <c r="W249" s="51"/>
      <c r="X249" s="51"/>
      <c r="Y249" s="51"/>
      <c r="Z249" s="51"/>
      <c r="AA249" s="51"/>
      <c r="AB249" s="51"/>
      <c r="AC249" s="51"/>
    </row>
    <row r="250">
      <c r="B250" s="6"/>
      <c r="C250" s="50"/>
      <c r="D250" s="50"/>
      <c r="E250" s="50"/>
      <c r="F250" s="50"/>
      <c r="G250" s="50"/>
      <c r="H250" s="50"/>
      <c r="I250" s="50"/>
      <c r="J250" s="50"/>
      <c r="K250" s="79"/>
      <c r="L250" s="6"/>
      <c r="M250" s="6"/>
      <c r="N250" s="6"/>
      <c r="O250" s="6"/>
      <c r="P250" s="6"/>
      <c r="Q250" s="6"/>
      <c r="R250" s="6"/>
      <c r="S250" s="6"/>
      <c r="T250" s="6"/>
      <c r="U250" s="51"/>
      <c r="V250" s="51"/>
      <c r="W250" s="51"/>
      <c r="X250" s="51"/>
      <c r="Y250" s="51"/>
      <c r="Z250" s="51"/>
      <c r="AA250" s="51"/>
      <c r="AB250" s="51"/>
      <c r="AC250" s="51"/>
    </row>
    <row r="251">
      <c r="B251" s="6"/>
      <c r="C251" s="50"/>
      <c r="D251" s="50"/>
      <c r="E251" s="50"/>
      <c r="F251" s="50"/>
      <c r="G251" s="50"/>
      <c r="H251" s="50"/>
      <c r="I251" s="50"/>
      <c r="J251" s="50"/>
      <c r="K251" s="79"/>
      <c r="L251" s="6"/>
      <c r="M251" s="6"/>
      <c r="N251" s="6"/>
      <c r="O251" s="6"/>
      <c r="P251" s="6"/>
      <c r="Q251" s="6"/>
      <c r="R251" s="6"/>
      <c r="S251" s="6"/>
      <c r="T251" s="6"/>
      <c r="U251" s="51"/>
      <c r="V251" s="51"/>
      <c r="W251" s="51"/>
      <c r="X251" s="51"/>
      <c r="Y251" s="51"/>
      <c r="Z251" s="51"/>
      <c r="AA251" s="51"/>
      <c r="AB251" s="51"/>
      <c r="AC251" s="51"/>
    </row>
    <row r="252">
      <c r="B252" s="6"/>
      <c r="C252" s="50"/>
      <c r="D252" s="50"/>
      <c r="E252" s="50"/>
      <c r="F252" s="50"/>
      <c r="G252" s="50"/>
      <c r="H252" s="50"/>
      <c r="I252" s="50"/>
      <c r="J252" s="50"/>
      <c r="K252" s="79"/>
      <c r="L252" s="6"/>
      <c r="M252" s="6"/>
      <c r="N252" s="6"/>
      <c r="O252" s="6"/>
      <c r="P252" s="6"/>
      <c r="Q252" s="6"/>
      <c r="R252" s="6"/>
      <c r="S252" s="6"/>
      <c r="T252" s="6"/>
      <c r="U252" s="51"/>
      <c r="V252" s="51"/>
      <c r="W252" s="51"/>
      <c r="X252" s="51"/>
      <c r="Y252" s="51"/>
      <c r="Z252" s="51"/>
      <c r="AA252" s="51"/>
      <c r="AB252" s="51"/>
      <c r="AC252" s="51"/>
    </row>
    <row r="253">
      <c r="B253" s="6"/>
      <c r="C253" s="50"/>
      <c r="D253" s="50"/>
      <c r="E253" s="50"/>
      <c r="F253" s="50"/>
      <c r="G253" s="50"/>
      <c r="H253" s="50"/>
      <c r="I253" s="50"/>
      <c r="J253" s="50"/>
      <c r="K253" s="79"/>
      <c r="L253" s="6"/>
      <c r="M253" s="6"/>
      <c r="N253" s="6"/>
      <c r="O253" s="6"/>
      <c r="P253" s="6"/>
      <c r="Q253" s="6"/>
      <c r="R253" s="6"/>
      <c r="S253" s="6"/>
      <c r="T253" s="6"/>
      <c r="U253" s="51"/>
      <c r="V253" s="51"/>
      <c r="W253" s="51"/>
      <c r="X253" s="51"/>
      <c r="Y253" s="51"/>
      <c r="Z253" s="51"/>
      <c r="AA253" s="51"/>
      <c r="AB253" s="51"/>
      <c r="AC253" s="51"/>
    </row>
    <row r="254">
      <c r="B254" s="6"/>
      <c r="C254" s="50"/>
      <c r="D254" s="50"/>
      <c r="E254" s="50"/>
      <c r="F254" s="50"/>
      <c r="G254" s="50"/>
      <c r="H254" s="50"/>
      <c r="I254" s="50"/>
      <c r="J254" s="50"/>
      <c r="K254" s="79"/>
      <c r="L254" s="6"/>
      <c r="M254" s="6"/>
      <c r="N254" s="6"/>
      <c r="O254" s="6"/>
      <c r="P254" s="6"/>
      <c r="Q254" s="6"/>
      <c r="R254" s="6"/>
      <c r="S254" s="6"/>
      <c r="T254" s="6"/>
      <c r="U254" s="51"/>
      <c r="V254" s="51"/>
      <c r="W254" s="51"/>
      <c r="X254" s="51"/>
      <c r="Y254" s="51"/>
      <c r="Z254" s="51"/>
      <c r="AA254" s="51"/>
      <c r="AB254" s="51"/>
      <c r="AC254" s="51"/>
    </row>
    <row r="255">
      <c r="B255" s="6"/>
      <c r="C255" s="50"/>
      <c r="D255" s="50"/>
      <c r="E255" s="50"/>
      <c r="F255" s="50"/>
      <c r="G255" s="50"/>
      <c r="H255" s="50"/>
      <c r="I255" s="50"/>
      <c r="J255" s="50"/>
      <c r="K255" s="79"/>
      <c r="L255" s="6"/>
      <c r="M255" s="6"/>
      <c r="N255" s="6"/>
      <c r="O255" s="6"/>
      <c r="P255" s="6"/>
      <c r="Q255" s="6"/>
      <c r="R255" s="6"/>
      <c r="S255" s="6"/>
      <c r="T255" s="6"/>
      <c r="U255" s="51"/>
      <c r="V255" s="51"/>
      <c r="W255" s="51"/>
      <c r="X255" s="51"/>
      <c r="Y255" s="51"/>
      <c r="Z255" s="51"/>
      <c r="AA255" s="51"/>
      <c r="AB255" s="51"/>
      <c r="AC255" s="51"/>
    </row>
    <row r="256">
      <c r="B256" s="6"/>
      <c r="C256" s="50"/>
      <c r="D256" s="50"/>
      <c r="E256" s="50"/>
      <c r="F256" s="50"/>
      <c r="G256" s="50"/>
      <c r="H256" s="50"/>
      <c r="I256" s="50"/>
      <c r="J256" s="50"/>
      <c r="K256" s="79"/>
      <c r="L256" s="6"/>
      <c r="M256" s="6"/>
      <c r="N256" s="6"/>
      <c r="O256" s="6"/>
      <c r="P256" s="6"/>
      <c r="Q256" s="6"/>
      <c r="R256" s="6"/>
      <c r="S256" s="6"/>
      <c r="T256" s="6"/>
      <c r="U256" s="51"/>
      <c r="V256" s="51"/>
      <c r="W256" s="51"/>
      <c r="X256" s="51"/>
      <c r="Y256" s="51"/>
      <c r="Z256" s="51"/>
      <c r="AA256" s="51"/>
      <c r="AB256" s="51"/>
      <c r="AC256" s="51"/>
    </row>
    <row r="257">
      <c r="B257" s="6"/>
      <c r="C257" s="50"/>
      <c r="D257" s="50"/>
      <c r="E257" s="50"/>
      <c r="F257" s="50"/>
      <c r="G257" s="50"/>
      <c r="H257" s="50"/>
      <c r="I257" s="50"/>
      <c r="J257" s="50"/>
      <c r="K257" s="79"/>
      <c r="L257" s="6"/>
      <c r="M257" s="6"/>
      <c r="N257" s="6"/>
      <c r="O257" s="6"/>
      <c r="P257" s="6"/>
      <c r="Q257" s="6"/>
      <c r="R257" s="6"/>
      <c r="S257" s="6"/>
      <c r="T257" s="6"/>
      <c r="U257" s="51"/>
      <c r="V257" s="51"/>
      <c r="W257" s="51"/>
      <c r="X257" s="51"/>
      <c r="Y257" s="51"/>
      <c r="Z257" s="51"/>
      <c r="AA257" s="51"/>
      <c r="AB257" s="51"/>
      <c r="AC257" s="51"/>
    </row>
    <row r="258">
      <c r="B258" s="6"/>
      <c r="C258" s="50"/>
      <c r="D258" s="50"/>
      <c r="E258" s="50"/>
      <c r="F258" s="50"/>
      <c r="G258" s="50"/>
      <c r="H258" s="50"/>
      <c r="I258" s="50"/>
      <c r="J258" s="50"/>
      <c r="K258" s="79"/>
      <c r="L258" s="6"/>
      <c r="M258" s="6"/>
      <c r="N258" s="6"/>
      <c r="O258" s="6"/>
      <c r="P258" s="6"/>
      <c r="Q258" s="6"/>
      <c r="R258" s="6"/>
      <c r="S258" s="6"/>
      <c r="T258" s="6"/>
      <c r="U258" s="51"/>
      <c r="V258" s="51"/>
      <c r="W258" s="51"/>
      <c r="X258" s="51"/>
      <c r="Y258" s="51"/>
      <c r="Z258" s="51"/>
      <c r="AA258" s="51"/>
      <c r="AB258" s="51"/>
      <c r="AC258" s="51"/>
    </row>
    <row r="259">
      <c r="B259" s="6"/>
      <c r="C259" s="50"/>
      <c r="D259" s="50"/>
      <c r="E259" s="50"/>
      <c r="F259" s="50"/>
      <c r="G259" s="50"/>
      <c r="H259" s="50"/>
      <c r="I259" s="50"/>
      <c r="J259" s="50"/>
      <c r="K259" s="79"/>
      <c r="L259" s="6"/>
      <c r="M259" s="6"/>
      <c r="N259" s="6"/>
      <c r="O259" s="6"/>
      <c r="P259" s="6"/>
      <c r="Q259" s="6"/>
      <c r="R259" s="6"/>
      <c r="S259" s="6"/>
      <c r="T259" s="6"/>
      <c r="U259" s="51"/>
      <c r="V259" s="51"/>
      <c r="W259" s="51"/>
      <c r="X259" s="51"/>
      <c r="Y259" s="51"/>
      <c r="Z259" s="51"/>
      <c r="AA259" s="51"/>
      <c r="AB259" s="51"/>
      <c r="AC259" s="51"/>
    </row>
    <row r="260">
      <c r="B260" s="6"/>
      <c r="C260" s="50"/>
      <c r="D260" s="50"/>
      <c r="E260" s="50"/>
      <c r="F260" s="50"/>
      <c r="G260" s="50"/>
      <c r="H260" s="50"/>
      <c r="I260" s="50"/>
      <c r="J260" s="50"/>
      <c r="K260" s="79"/>
      <c r="L260" s="6"/>
      <c r="M260" s="6"/>
      <c r="N260" s="6"/>
      <c r="O260" s="6"/>
      <c r="P260" s="6"/>
      <c r="Q260" s="6"/>
      <c r="R260" s="6"/>
      <c r="S260" s="6"/>
      <c r="T260" s="6"/>
      <c r="U260" s="51"/>
      <c r="V260" s="51"/>
      <c r="W260" s="51"/>
      <c r="X260" s="51"/>
      <c r="Y260" s="51"/>
      <c r="Z260" s="51"/>
      <c r="AA260" s="51"/>
      <c r="AB260" s="51"/>
      <c r="AC260" s="51"/>
    </row>
    <row r="261">
      <c r="B261" s="6"/>
      <c r="C261" s="50"/>
      <c r="D261" s="50"/>
      <c r="E261" s="50"/>
      <c r="F261" s="50"/>
      <c r="G261" s="50"/>
      <c r="H261" s="50"/>
      <c r="I261" s="50"/>
      <c r="J261" s="50"/>
      <c r="K261" s="79"/>
      <c r="L261" s="6"/>
      <c r="M261" s="6"/>
      <c r="N261" s="6"/>
      <c r="O261" s="6"/>
      <c r="P261" s="6"/>
      <c r="Q261" s="6"/>
      <c r="R261" s="6"/>
      <c r="S261" s="6"/>
      <c r="T261" s="6"/>
      <c r="U261" s="51"/>
      <c r="V261" s="51"/>
      <c r="W261" s="51"/>
      <c r="X261" s="51"/>
      <c r="Y261" s="51"/>
      <c r="Z261" s="51"/>
      <c r="AA261" s="51"/>
      <c r="AB261" s="51"/>
      <c r="AC261" s="51"/>
    </row>
    <row r="262">
      <c r="B262" s="6"/>
      <c r="C262" s="50"/>
      <c r="D262" s="50"/>
      <c r="E262" s="50"/>
      <c r="F262" s="50"/>
      <c r="G262" s="50"/>
      <c r="H262" s="50"/>
      <c r="I262" s="50"/>
      <c r="J262" s="50"/>
      <c r="K262" s="79"/>
      <c r="L262" s="6"/>
      <c r="M262" s="6"/>
      <c r="N262" s="6"/>
      <c r="O262" s="6"/>
      <c r="P262" s="6"/>
      <c r="Q262" s="6"/>
      <c r="R262" s="6"/>
      <c r="S262" s="6"/>
      <c r="T262" s="6"/>
      <c r="U262" s="51"/>
      <c r="V262" s="51"/>
      <c r="W262" s="51"/>
      <c r="X262" s="51"/>
      <c r="Y262" s="51"/>
      <c r="Z262" s="51"/>
      <c r="AA262" s="51"/>
      <c r="AB262" s="51"/>
      <c r="AC262" s="51"/>
    </row>
    <row r="263">
      <c r="B263" s="6"/>
      <c r="C263" s="50"/>
      <c r="D263" s="50"/>
      <c r="E263" s="50"/>
      <c r="F263" s="50"/>
      <c r="G263" s="50"/>
      <c r="H263" s="50"/>
      <c r="I263" s="50"/>
      <c r="J263" s="50"/>
      <c r="K263" s="79"/>
      <c r="L263" s="6"/>
      <c r="M263" s="6"/>
      <c r="N263" s="6"/>
      <c r="O263" s="6"/>
      <c r="P263" s="6"/>
      <c r="Q263" s="6"/>
      <c r="R263" s="6"/>
      <c r="S263" s="6"/>
      <c r="T263" s="6"/>
      <c r="U263" s="51"/>
      <c r="V263" s="51"/>
      <c r="W263" s="51"/>
      <c r="X263" s="51"/>
      <c r="Y263" s="51"/>
      <c r="Z263" s="51"/>
      <c r="AA263" s="51"/>
      <c r="AB263" s="51"/>
      <c r="AC263" s="51"/>
    </row>
    <row r="264">
      <c r="B264" s="6"/>
      <c r="C264" s="50"/>
      <c r="D264" s="50"/>
      <c r="E264" s="50"/>
      <c r="F264" s="50"/>
      <c r="G264" s="50"/>
      <c r="H264" s="50"/>
      <c r="I264" s="50"/>
      <c r="J264" s="50"/>
      <c r="K264" s="79"/>
      <c r="L264" s="6"/>
      <c r="M264" s="6"/>
      <c r="N264" s="6"/>
      <c r="O264" s="6"/>
      <c r="P264" s="6"/>
      <c r="Q264" s="6"/>
      <c r="R264" s="6"/>
      <c r="S264" s="6"/>
      <c r="T264" s="6"/>
      <c r="U264" s="51"/>
      <c r="V264" s="51"/>
      <c r="W264" s="51"/>
      <c r="X264" s="51"/>
      <c r="Y264" s="51"/>
      <c r="Z264" s="51"/>
      <c r="AA264" s="51"/>
      <c r="AB264" s="51"/>
      <c r="AC264" s="51"/>
    </row>
    <row r="265">
      <c r="B265" s="6"/>
      <c r="C265" s="50"/>
      <c r="D265" s="50"/>
      <c r="E265" s="50"/>
      <c r="F265" s="50"/>
      <c r="G265" s="50"/>
      <c r="H265" s="50"/>
      <c r="I265" s="50"/>
      <c r="J265" s="50"/>
      <c r="K265" s="79"/>
      <c r="L265" s="6"/>
      <c r="M265" s="6"/>
      <c r="N265" s="6"/>
      <c r="O265" s="6"/>
      <c r="P265" s="6"/>
      <c r="Q265" s="6"/>
      <c r="R265" s="6"/>
      <c r="S265" s="6"/>
      <c r="T265" s="6"/>
      <c r="U265" s="51"/>
      <c r="V265" s="51"/>
      <c r="W265" s="51"/>
      <c r="X265" s="51"/>
      <c r="Y265" s="51"/>
      <c r="Z265" s="51"/>
      <c r="AA265" s="51"/>
      <c r="AB265" s="51"/>
      <c r="AC265" s="51"/>
    </row>
    <row r="266">
      <c r="B266" s="6"/>
      <c r="C266" s="50"/>
      <c r="D266" s="50"/>
      <c r="E266" s="50"/>
      <c r="F266" s="50"/>
      <c r="G266" s="50"/>
      <c r="H266" s="50"/>
      <c r="I266" s="50"/>
      <c r="J266" s="50"/>
      <c r="K266" s="79"/>
      <c r="L266" s="6"/>
      <c r="M266" s="6"/>
      <c r="N266" s="6"/>
      <c r="O266" s="6"/>
      <c r="P266" s="6"/>
      <c r="Q266" s="6"/>
      <c r="R266" s="6"/>
      <c r="S266" s="6"/>
      <c r="T266" s="6"/>
      <c r="U266" s="51"/>
      <c r="V266" s="51"/>
      <c r="W266" s="51"/>
      <c r="X266" s="51"/>
      <c r="Y266" s="51"/>
      <c r="Z266" s="51"/>
      <c r="AA266" s="51"/>
      <c r="AB266" s="51"/>
      <c r="AC266" s="51"/>
    </row>
    <row r="267">
      <c r="B267" s="6"/>
      <c r="C267" s="50"/>
      <c r="D267" s="50"/>
      <c r="E267" s="50"/>
      <c r="F267" s="50"/>
      <c r="G267" s="50"/>
      <c r="H267" s="50"/>
      <c r="I267" s="50"/>
      <c r="J267" s="50"/>
      <c r="K267" s="79"/>
      <c r="L267" s="6"/>
      <c r="M267" s="6"/>
      <c r="N267" s="6"/>
      <c r="O267" s="6"/>
      <c r="P267" s="6"/>
      <c r="Q267" s="6"/>
      <c r="R267" s="6"/>
      <c r="S267" s="6"/>
      <c r="T267" s="6"/>
      <c r="U267" s="51"/>
      <c r="V267" s="51"/>
      <c r="W267" s="51"/>
      <c r="X267" s="51"/>
      <c r="Y267" s="51"/>
      <c r="Z267" s="51"/>
      <c r="AA267" s="51"/>
      <c r="AB267" s="51"/>
      <c r="AC267" s="51"/>
    </row>
    <row r="268">
      <c r="B268" s="6"/>
      <c r="C268" s="50"/>
      <c r="D268" s="50"/>
      <c r="E268" s="50"/>
      <c r="F268" s="50"/>
      <c r="G268" s="50"/>
      <c r="H268" s="50"/>
      <c r="I268" s="50"/>
      <c r="J268" s="50"/>
      <c r="K268" s="79"/>
      <c r="L268" s="6"/>
      <c r="M268" s="6"/>
      <c r="N268" s="6"/>
      <c r="O268" s="6"/>
      <c r="P268" s="6"/>
      <c r="Q268" s="6"/>
      <c r="R268" s="6"/>
      <c r="S268" s="6"/>
      <c r="T268" s="6"/>
      <c r="U268" s="51"/>
      <c r="V268" s="51"/>
      <c r="W268" s="51"/>
      <c r="X268" s="51"/>
      <c r="Y268" s="51"/>
      <c r="Z268" s="51"/>
      <c r="AA268" s="51"/>
      <c r="AB268" s="51"/>
      <c r="AC268" s="51"/>
    </row>
    <row r="269">
      <c r="B269" s="6"/>
      <c r="C269" s="50"/>
      <c r="D269" s="50"/>
      <c r="E269" s="50"/>
      <c r="F269" s="50"/>
      <c r="G269" s="50"/>
      <c r="H269" s="50"/>
      <c r="I269" s="50"/>
      <c r="J269" s="50"/>
      <c r="K269" s="79"/>
      <c r="L269" s="6"/>
      <c r="M269" s="6"/>
      <c r="N269" s="6"/>
      <c r="O269" s="6"/>
      <c r="P269" s="6"/>
      <c r="Q269" s="6"/>
      <c r="R269" s="6"/>
      <c r="S269" s="6"/>
      <c r="T269" s="6"/>
      <c r="U269" s="51"/>
      <c r="V269" s="51"/>
      <c r="W269" s="51"/>
      <c r="X269" s="51"/>
      <c r="Y269" s="51"/>
      <c r="Z269" s="51"/>
      <c r="AA269" s="51"/>
      <c r="AB269" s="51"/>
      <c r="AC269" s="51"/>
    </row>
    <row r="270">
      <c r="B270" s="6"/>
      <c r="C270" s="50"/>
      <c r="D270" s="50"/>
      <c r="E270" s="50"/>
      <c r="F270" s="50"/>
      <c r="G270" s="50"/>
      <c r="H270" s="50"/>
      <c r="I270" s="50"/>
      <c r="J270" s="50"/>
      <c r="K270" s="79"/>
      <c r="L270" s="6"/>
      <c r="M270" s="6"/>
      <c r="N270" s="6"/>
      <c r="O270" s="6"/>
      <c r="P270" s="6"/>
      <c r="Q270" s="6"/>
      <c r="R270" s="6"/>
      <c r="S270" s="6"/>
      <c r="T270" s="6"/>
      <c r="U270" s="51"/>
      <c r="V270" s="51"/>
      <c r="W270" s="51"/>
      <c r="X270" s="51"/>
      <c r="Y270" s="51"/>
      <c r="Z270" s="51"/>
      <c r="AA270" s="51"/>
      <c r="AB270" s="51"/>
      <c r="AC270" s="51"/>
    </row>
    <row r="271">
      <c r="B271" s="6"/>
      <c r="C271" s="50"/>
      <c r="D271" s="50"/>
      <c r="E271" s="50"/>
      <c r="F271" s="50"/>
      <c r="G271" s="50"/>
      <c r="H271" s="50"/>
      <c r="I271" s="50"/>
      <c r="J271" s="50"/>
      <c r="K271" s="79"/>
      <c r="L271" s="6"/>
      <c r="M271" s="6"/>
      <c r="N271" s="6"/>
      <c r="O271" s="6"/>
      <c r="P271" s="6"/>
      <c r="Q271" s="6"/>
      <c r="R271" s="6"/>
      <c r="S271" s="6"/>
      <c r="T271" s="6"/>
      <c r="U271" s="51"/>
      <c r="V271" s="51"/>
      <c r="W271" s="51"/>
      <c r="X271" s="51"/>
      <c r="Y271" s="51"/>
      <c r="Z271" s="51"/>
      <c r="AA271" s="51"/>
      <c r="AB271" s="51"/>
      <c r="AC271" s="51"/>
    </row>
    <row r="272">
      <c r="B272" s="6"/>
      <c r="C272" s="50"/>
      <c r="D272" s="50"/>
      <c r="E272" s="50"/>
      <c r="F272" s="50"/>
      <c r="G272" s="50"/>
      <c r="H272" s="50"/>
      <c r="I272" s="50"/>
      <c r="J272" s="50"/>
      <c r="K272" s="79"/>
      <c r="L272" s="6"/>
      <c r="M272" s="6"/>
      <c r="N272" s="6"/>
      <c r="O272" s="6"/>
      <c r="P272" s="6"/>
      <c r="Q272" s="6"/>
      <c r="R272" s="6"/>
      <c r="S272" s="6"/>
      <c r="T272" s="6"/>
      <c r="U272" s="51"/>
      <c r="V272" s="51"/>
      <c r="W272" s="51"/>
      <c r="X272" s="51"/>
      <c r="Y272" s="51"/>
      <c r="Z272" s="51"/>
      <c r="AA272" s="51"/>
      <c r="AB272" s="51"/>
      <c r="AC272" s="51"/>
    </row>
    <row r="273">
      <c r="B273" s="6"/>
      <c r="C273" s="50"/>
      <c r="D273" s="50"/>
      <c r="E273" s="50"/>
      <c r="F273" s="50"/>
      <c r="G273" s="50"/>
      <c r="H273" s="50"/>
      <c r="I273" s="50"/>
      <c r="J273" s="50"/>
      <c r="K273" s="79"/>
      <c r="L273" s="6"/>
      <c r="M273" s="6"/>
      <c r="N273" s="6"/>
      <c r="O273" s="6"/>
      <c r="P273" s="6"/>
      <c r="Q273" s="6"/>
      <c r="R273" s="6"/>
      <c r="S273" s="6"/>
      <c r="T273" s="6"/>
      <c r="U273" s="51"/>
      <c r="V273" s="51"/>
      <c r="W273" s="51"/>
      <c r="X273" s="51"/>
      <c r="Y273" s="51"/>
      <c r="Z273" s="51"/>
      <c r="AA273" s="51"/>
      <c r="AB273" s="51"/>
      <c r="AC273" s="51"/>
    </row>
    <row r="274">
      <c r="B274" s="6"/>
      <c r="C274" s="50"/>
      <c r="D274" s="50"/>
      <c r="E274" s="50"/>
      <c r="F274" s="50"/>
      <c r="G274" s="50"/>
      <c r="H274" s="50"/>
      <c r="I274" s="50"/>
      <c r="J274" s="50"/>
      <c r="K274" s="79"/>
      <c r="L274" s="6"/>
      <c r="M274" s="6"/>
      <c r="N274" s="6"/>
      <c r="O274" s="6"/>
      <c r="P274" s="6"/>
      <c r="Q274" s="6"/>
      <c r="R274" s="6"/>
      <c r="S274" s="6"/>
      <c r="T274" s="6"/>
      <c r="U274" s="51"/>
      <c r="V274" s="51"/>
      <c r="W274" s="51"/>
      <c r="X274" s="51"/>
      <c r="Y274" s="51"/>
      <c r="Z274" s="51"/>
      <c r="AA274" s="51"/>
      <c r="AB274" s="51"/>
      <c r="AC274" s="51"/>
    </row>
    <row r="275">
      <c r="B275" s="6"/>
      <c r="C275" s="50"/>
      <c r="D275" s="50"/>
      <c r="E275" s="50"/>
      <c r="F275" s="50"/>
      <c r="G275" s="50"/>
      <c r="H275" s="50"/>
      <c r="I275" s="50"/>
      <c r="J275" s="50"/>
      <c r="K275" s="79"/>
      <c r="L275" s="6"/>
      <c r="M275" s="6"/>
      <c r="N275" s="6"/>
      <c r="O275" s="6"/>
      <c r="P275" s="6"/>
      <c r="Q275" s="6"/>
      <c r="R275" s="6"/>
      <c r="S275" s="6"/>
      <c r="T275" s="6"/>
      <c r="U275" s="51"/>
      <c r="V275" s="51"/>
      <c r="W275" s="51"/>
      <c r="X275" s="51"/>
      <c r="Y275" s="51"/>
      <c r="Z275" s="51"/>
      <c r="AA275" s="51"/>
      <c r="AB275" s="51"/>
      <c r="AC275" s="51"/>
    </row>
    <row r="276">
      <c r="B276" s="6"/>
      <c r="C276" s="50"/>
      <c r="D276" s="50"/>
      <c r="E276" s="50"/>
      <c r="F276" s="50"/>
      <c r="G276" s="50"/>
      <c r="H276" s="50"/>
      <c r="I276" s="50"/>
      <c r="J276" s="50"/>
      <c r="K276" s="79"/>
      <c r="L276" s="6"/>
      <c r="M276" s="6"/>
      <c r="N276" s="6"/>
      <c r="O276" s="6"/>
      <c r="P276" s="6"/>
      <c r="Q276" s="6"/>
      <c r="R276" s="6"/>
      <c r="S276" s="6"/>
      <c r="T276" s="6"/>
      <c r="U276" s="51"/>
      <c r="V276" s="51"/>
      <c r="W276" s="51"/>
      <c r="X276" s="51"/>
      <c r="Y276" s="51"/>
      <c r="Z276" s="51"/>
      <c r="AA276" s="51"/>
      <c r="AB276" s="51"/>
      <c r="AC276" s="51"/>
    </row>
    <row r="277">
      <c r="B277" s="6"/>
      <c r="C277" s="50"/>
      <c r="D277" s="50"/>
      <c r="E277" s="50"/>
      <c r="F277" s="50"/>
      <c r="G277" s="50"/>
      <c r="H277" s="50"/>
      <c r="I277" s="50"/>
      <c r="J277" s="50"/>
      <c r="K277" s="79"/>
      <c r="L277" s="6"/>
      <c r="M277" s="6"/>
      <c r="N277" s="6"/>
      <c r="O277" s="6"/>
      <c r="P277" s="6"/>
      <c r="Q277" s="6"/>
      <c r="R277" s="6"/>
      <c r="S277" s="6"/>
      <c r="T277" s="6"/>
      <c r="U277" s="51"/>
      <c r="V277" s="51"/>
      <c r="W277" s="51"/>
      <c r="X277" s="51"/>
      <c r="Y277" s="51"/>
      <c r="Z277" s="51"/>
      <c r="AA277" s="51"/>
      <c r="AB277" s="51"/>
      <c r="AC277" s="51"/>
    </row>
    <row r="278">
      <c r="B278" s="6"/>
      <c r="C278" s="50"/>
      <c r="D278" s="50"/>
      <c r="E278" s="50"/>
      <c r="F278" s="50"/>
      <c r="G278" s="50"/>
      <c r="H278" s="50"/>
      <c r="I278" s="50"/>
      <c r="J278" s="50"/>
      <c r="K278" s="79"/>
      <c r="L278" s="6"/>
      <c r="M278" s="6"/>
      <c r="N278" s="6"/>
      <c r="O278" s="6"/>
      <c r="P278" s="6"/>
      <c r="Q278" s="6"/>
      <c r="R278" s="6"/>
      <c r="S278" s="6"/>
      <c r="T278" s="6"/>
      <c r="U278" s="51"/>
      <c r="V278" s="51"/>
      <c r="W278" s="51"/>
      <c r="X278" s="51"/>
      <c r="Y278" s="51"/>
      <c r="Z278" s="51"/>
      <c r="AA278" s="51"/>
      <c r="AB278" s="51"/>
      <c r="AC278" s="51"/>
    </row>
    <row r="279">
      <c r="B279" s="6"/>
      <c r="C279" s="50"/>
      <c r="D279" s="50"/>
      <c r="E279" s="50"/>
      <c r="F279" s="50"/>
      <c r="G279" s="50"/>
      <c r="H279" s="50"/>
      <c r="I279" s="50"/>
      <c r="J279" s="50"/>
      <c r="K279" s="79"/>
      <c r="L279" s="6"/>
      <c r="M279" s="6"/>
      <c r="N279" s="6"/>
      <c r="O279" s="6"/>
      <c r="P279" s="6"/>
      <c r="Q279" s="6"/>
      <c r="R279" s="6"/>
      <c r="S279" s="6"/>
      <c r="T279" s="6"/>
      <c r="U279" s="51"/>
      <c r="V279" s="51"/>
      <c r="W279" s="51"/>
      <c r="X279" s="51"/>
      <c r="Y279" s="51"/>
      <c r="Z279" s="51"/>
      <c r="AA279" s="51"/>
      <c r="AB279" s="51"/>
      <c r="AC279" s="51"/>
    </row>
    <row r="280">
      <c r="B280" s="6"/>
      <c r="C280" s="50"/>
      <c r="D280" s="50"/>
      <c r="E280" s="50"/>
      <c r="F280" s="50"/>
      <c r="G280" s="50"/>
      <c r="H280" s="50"/>
      <c r="I280" s="50"/>
      <c r="J280" s="50"/>
      <c r="K280" s="79"/>
      <c r="L280" s="6"/>
      <c r="M280" s="6"/>
      <c r="N280" s="6"/>
      <c r="O280" s="6"/>
      <c r="P280" s="6"/>
      <c r="Q280" s="6"/>
      <c r="R280" s="6"/>
      <c r="S280" s="6"/>
      <c r="T280" s="6"/>
      <c r="U280" s="51"/>
      <c r="V280" s="51"/>
      <c r="W280" s="51"/>
      <c r="X280" s="51"/>
      <c r="Y280" s="51"/>
      <c r="Z280" s="51"/>
      <c r="AA280" s="51"/>
      <c r="AB280" s="51"/>
      <c r="AC280" s="51"/>
    </row>
    <row r="281">
      <c r="B281" s="6"/>
      <c r="C281" s="50"/>
      <c r="D281" s="50"/>
      <c r="E281" s="50"/>
      <c r="F281" s="50"/>
      <c r="G281" s="50"/>
      <c r="H281" s="50"/>
      <c r="I281" s="50"/>
      <c r="J281" s="50"/>
      <c r="K281" s="79"/>
      <c r="L281" s="6"/>
      <c r="M281" s="6"/>
      <c r="N281" s="6"/>
      <c r="O281" s="6"/>
      <c r="P281" s="6"/>
      <c r="Q281" s="6"/>
      <c r="R281" s="6"/>
      <c r="S281" s="6"/>
      <c r="T281" s="6"/>
      <c r="U281" s="51"/>
      <c r="V281" s="51"/>
      <c r="W281" s="51"/>
      <c r="X281" s="51"/>
      <c r="Y281" s="51"/>
      <c r="Z281" s="51"/>
      <c r="AA281" s="51"/>
      <c r="AB281" s="51"/>
      <c r="AC281" s="51"/>
    </row>
    <row r="282">
      <c r="B282" s="6"/>
      <c r="C282" s="50"/>
      <c r="D282" s="50"/>
      <c r="E282" s="50"/>
      <c r="F282" s="50"/>
      <c r="G282" s="50"/>
      <c r="H282" s="50"/>
      <c r="I282" s="50"/>
      <c r="J282" s="50"/>
      <c r="K282" s="79"/>
      <c r="L282" s="6"/>
      <c r="M282" s="6"/>
      <c r="N282" s="6"/>
      <c r="O282" s="6"/>
      <c r="P282" s="6"/>
      <c r="Q282" s="6"/>
      <c r="R282" s="6"/>
      <c r="S282" s="6"/>
      <c r="T282" s="6"/>
      <c r="U282" s="51"/>
      <c r="V282" s="51"/>
      <c r="W282" s="51"/>
      <c r="X282" s="51"/>
      <c r="Y282" s="51"/>
      <c r="Z282" s="51"/>
      <c r="AA282" s="51"/>
      <c r="AB282" s="51"/>
      <c r="AC282" s="51"/>
    </row>
    <row r="283">
      <c r="B283" s="6"/>
      <c r="C283" s="50"/>
      <c r="D283" s="50"/>
      <c r="E283" s="50"/>
      <c r="F283" s="50"/>
      <c r="G283" s="50"/>
      <c r="H283" s="50"/>
      <c r="I283" s="50"/>
      <c r="J283" s="50"/>
      <c r="K283" s="79"/>
      <c r="L283" s="6"/>
      <c r="M283" s="6"/>
      <c r="N283" s="6"/>
      <c r="O283" s="6"/>
      <c r="P283" s="6"/>
      <c r="Q283" s="6"/>
      <c r="R283" s="6"/>
      <c r="S283" s="6"/>
      <c r="T283" s="6"/>
      <c r="U283" s="51"/>
      <c r="V283" s="51"/>
      <c r="W283" s="51"/>
      <c r="X283" s="51"/>
      <c r="Y283" s="51"/>
      <c r="Z283" s="51"/>
      <c r="AA283" s="51"/>
      <c r="AB283" s="51"/>
      <c r="AC283" s="51"/>
    </row>
    <row r="284">
      <c r="B284" s="6"/>
      <c r="C284" s="50"/>
      <c r="D284" s="50"/>
      <c r="E284" s="50"/>
      <c r="F284" s="50"/>
      <c r="G284" s="50"/>
      <c r="H284" s="50"/>
      <c r="I284" s="50"/>
      <c r="J284" s="50"/>
      <c r="K284" s="79"/>
      <c r="L284" s="6"/>
      <c r="M284" s="6"/>
      <c r="N284" s="6"/>
      <c r="O284" s="6"/>
      <c r="P284" s="6"/>
      <c r="Q284" s="6"/>
      <c r="R284" s="6"/>
      <c r="S284" s="6"/>
      <c r="T284" s="6"/>
      <c r="U284" s="51"/>
      <c r="V284" s="51"/>
      <c r="W284" s="51"/>
      <c r="X284" s="51"/>
      <c r="Y284" s="51"/>
      <c r="Z284" s="51"/>
      <c r="AA284" s="51"/>
      <c r="AB284" s="51"/>
      <c r="AC284" s="51"/>
    </row>
    <row r="285">
      <c r="B285" s="6"/>
      <c r="C285" s="50"/>
      <c r="D285" s="50"/>
      <c r="E285" s="50"/>
      <c r="F285" s="50"/>
      <c r="G285" s="50"/>
      <c r="H285" s="50"/>
      <c r="I285" s="50"/>
      <c r="J285" s="50"/>
      <c r="K285" s="79"/>
      <c r="L285" s="6"/>
      <c r="M285" s="6"/>
      <c r="N285" s="6"/>
      <c r="O285" s="6"/>
      <c r="P285" s="6"/>
      <c r="Q285" s="6"/>
      <c r="R285" s="6"/>
      <c r="S285" s="6"/>
      <c r="T285" s="6"/>
      <c r="U285" s="51"/>
      <c r="V285" s="51"/>
      <c r="W285" s="51"/>
      <c r="X285" s="51"/>
      <c r="Y285" s="51"/>
      <c r="Z285" s="51"/>
      <c r="AA285" s="51"/>
      <c r="AB285" s="51"/>
      <c r="AC285" s="51"/>
    </row>
    <row r="286">
      <c r="B286" s="6"/>
      <c r="C286" s="50"/>
      <c r="D286" s="50"/>
      <c r="E286" s="50"/>
      <c r="F286" s="50"/>
      <c r="G286" s="50"/>
      <c r="H286" s="50"/>
      <c r="I286" s="50"/>
      <c r="J286" s="50"/>
      <c r="K286" s="79"/>
      <c r="L286" s="6"/>
      <c r="M286" s="6"/>
      <c r="N286" s="6"/>
      <c r="O286" s="6"/>
      <c r="P286" s="6"/>
      <c r="Q286" s="6"/>
      <c r="R286" s="6"/>
      <c r="S286" s="6"/>
      <c r="T286" s="6"/>
      <c r="U286" s="51"/>
      <c r="V286" s="51"/>
      <c r="W286" s="51"/>
      <c r="X286" s="51"/>
      <c r="Y286" s="51"/>
      <c r="Z286" s="51"/>
      <c r="AA286" s="51"/>
      <c r="AB286" s="51"/>
      <c r="AC286" s="51"/>
    </row>
    <row r="287">
      <c r="B287" s="6"/>
      <c r="C287" s="50"/>
      <c r="D287" s="50"/>
      <c r="E287" s="50"/>
      <c r="F287" s="50"/>
      <c r="G287" s="50"/>
      <c r="H287" s="50"/>
      <c r="I287" s="50"/>
      <c r="J287" s="50"/>
      <c r="K287" s="79"/>
      <c r="L287" s="6"/>
      <c r="M287" s="6"/>
      <c r="N287" s="6"/>
      <c r="O287" s="6"/>
      <c r="P287" s="6"/>
      <c r="Q287" s="6"/>
      <c r="R287" s="6"/>
      <c r="S287" s="6"/>
      <c r="T287" s="6"/>
      <c r="U287" s="51"/>
      <c r="V287" s="51"/>
      <c r="W287" s="51"/>
      <c r="X287" s="51"/>
      <c r="Y287" s="51"/>
      <c r="Z287" s="51"/>
      <c r="AA287" s="51"/>
      <c r="AB287" s="51"/>
      <c r="AC287" s="51"/>
    </row>
    <row r="288">
      <c r="B288" s="6"/>
      <c r="C288" s="50"/>
      <c r="D288" s="50"/>
      <c r="E288" s="50"/>
      <c r="F288" s="50"/>
      <c r="G288" s="50"/>
      <c r="H288" s="50"/>
      <c r="I288" s="50"/>
      <c r="J288" s="50"/>
      <c r="K288" s="79"/>
      <c r="L288" s="6"/>
      <c r="M288" s="6"/>
      <c r="N288" s="6"/>
      <c r="O288" s="6"/>
      <c r="P288" s="6"/>
      <c r="Q288" s="6"/>
      <c r="R288" s="6"/>
      <c r="S288" s="6"/>
      <c r="T288" s="6"/>
      <c r="U288" s="51"/>
      <c r="V288" s="51"/>
      <c r="W288" s="51"/>
      <c r="X288" s="51"/>
      <c r="Y288" s="51"/>
      <c r="Z288" s="51"/>
      <c r="AA288" s="51"/>
      <c r="AB288" s="51"/>
      <c r="AC288" s="51"/>
    </row>
    <row r="289">
      <c r="B289" s="6"/>
      <c r="C289" s="50"/>
      <c r="D289" s="50"/>
      <c r="E289" s="50"/>
      <c r="F289" s="50"/>
      <c r="G289" s="50"/>
      <c r="H289" s="50"/>
      <c r="I289" s="50"/>
      <c r="J289" s="50"/>
      <c r="K289" s="79"/>
      <c r="L289" s="6"/>
      <c r="M289" s="6"/>
      <c r="N289" s="6"/>
      <c r="O289" s="6"/>
      <c r="P289" s="6"/>
      <c r="Q289" s="6"/>
      <c r="R289" s="6"/>
      <c r="S289" s="6"/>
      <c r="T289" s="6"/>
      <c r="U289" s="51"/>
      <c r="V289" s="51"/>
      <c r="W289" s="51"/>
      <c r="X289" s="51"/>
      <c r="Y289" s="51"/>
      <c r="Z289" s="51"/>
      <c r="AA289" s="51"/>
      <c r="AB289" s="51"/>
      <c r="AC289" s="51"/>
    </row>
    <row r="290">
      <c r="B290" s="6"/>
      <c r="C290" s="50"/>
      <c r="D290" s="50"/>
      <c r="E290" s="50"/>
      <c r="F290" s="50"/>
      <c r="G290" s="50"/>
      <c r="H290" s="50"/>
      <c r="I290" s="50"/>
      <c r="J290" s="50"/>
      <c r="K290" s="79"/>
      <c r="L290" s="6"/>
      <c r="M290" s="6"/>
      <c r="N290" s="6"/>
      <c r="O290" s="6"/>
      <c r="P290" s="6"/>
      <c r="Q290" s="6"/>
      <c r="R290" s="6"/>
      <c r="S290" s="6"/>
      <c r="T290" s="6"/>
      <c r="U290" s="51"/>
      <c r="V290" s="51"/>
      <c r="W290" s="51"/>
      <c r="X290" s="51"/>
      <c r="Y290" s="51"/>
      <c r="Z290" s="51"/>
      <c r="AA290" s="51"/>
      <c r="AB290" s="51"/>
      <c r="AC290" s="51"/>
    </row>
    <row r="291">
      <c r="B291" s="6"/>
      <c r="C291" s="50"/>
      <c r="D291" s="50"/>
      <c r="E291" s="50"/>
      <c r="F291" s="50"/>
      <c r="G291" s="50"/>
      <c r="H291" s="50"/>
      <c r="I291" s="50"/>
      <c r="J291" s="50"/>
      <c r="K291" s="79"/>
      <c r="L291" s="6"/>
      <c r="M291" s="6"/>
      <c r="N291" s="6"/>
      <c r="O291" s="6"/>
      <c r="P291" s="6"/>
      <c r="Q291" s="6"/>
      <c r="R291" s="6"/>
      <c r="S291" s="6"/>
      <c r="T291" s="6"/>
      <c r="U291" s="51"/>
      <c r="V291" s="51"/>
      <c r="W291" s="51"/>
      <c r="X291" s="51"/>
      <c r="Y291" s="51"/>
      <c r="Z291" s="51"/>
      <c r="AA291" s="51"/>
      <c r="AB291" s="51"/>
      <c r="AC291" s="51"/>
    </row>
    <row r="292">
      <c r="B292" s="6"/>
      <c r="C292" s="50"/>
      <c r="D292" s="50"/>
      <c r="E292" s="50"/>
      <c r="F292" s="50"/>
      <c r="G292" s="50"/>
      <c r="H292" s="50"/>
      <c r="I292" s="50"/>
      <c r="J292" s="50"/>
      <c r="K292" s="79"/>
      <c r="L292" s="6"/>
      <c r="M292" s="6"/>
      <c r="N292" s="6"/>
      <c r="O292" s="6"/>
      <c r="P292" s="6"/>
      <c r="Q292" s="6"/>
      <c r="R292" s="6"/>
      <c r="S292" s="6"/>
      <c r="T292" s="6"/>
      <c r="U292" s="51"/>
      <c r="V292" s="51"/>
      <c r="W292" s="51"/>
      <c r="X292" s="51"/>
      <c r="Y292" s="51"/>
      <c r="Z292" s="51"/>
      <c r="AA292" s="51"/>
      <c r="AB292" s="51"/>
      <c r="AC292" s="51"/>
    </row>
    <row r="293">
      <c r="B293" s="6"/>
      <c r="C293" s="50"/>
      <c r="D293" s="50"/>
      <c r="E293" s="50"/>
      <c r="F293" s="50"/>
      <c r="G293" s="50"/>
      <c r="H293" s="50"/>
      <c r="I293" s="50"/>
      <c r="J293" s="50"/>
      <c r="K293" s="79"/>
      <c r="L293" s="6"/>
      <c r="M293" s="6"/>
      <c r="N293" s="6"/>
      <c r="O293" s="6"/>
      <c r="P293" s="6"/>
      <c r="Q293" s="6"/>
      <c r="R293" s="6"/>
      <c r="S293" s="6"/>
      <c r="T293" s="6"/>
      <c r="U293" s="51"/>
      <c r="V293" s="51"/>
      <c r="W293" s="51"/>
      <c r="X293" s="51"/>
      <c r="Y293" s="51"/>
      <c r="Z293" s="51"/>
      <c r="AA293" s="51"/>
      <c r="AB293" s="51"/>
      <c r="AC293" s="51"/>
    </row>
    <row r="294">
      <c r="B294" s="6"/>
      <c r="C294" s="50"/>
      <c r="D294" s="50"/>
      <c r="E294" s="50"/>
      <c r="F294" s="50"/>
      <c r="G294" s="50"/>
      <c r="H294" s="50"/>
      <c r="I294" s="50"/>
      <c r="J294" s="50"/>
      <c r="K294" s="79"/>
      <c r="L294" s="6"/>
      <c r="M294" s="6"/>
      <c r="N294" s="6"/>
      <c r="O294" s="6"/>
      <c r="P294" s="6"/>
      <c r="Q294" s="6"/>
      <c r="R294" s="6"/>
      <c r="S294" s="6"/>
      <c r="T294" s="6"/>
      <c r="U294" s="51"/>
      <c r="V294" s="51"/>
      <c r="W294" s="51"/>
      <c r="X294" s="51"/>
      <c r="Y294" s="51"/>
      <c r="Z294" s="51"/>
      <c r="AA294" s="51"/>
      <c r="AB294" s="51"/>
      <c r="AC294" s="51"/>
    </row>
    <row r="295">
      <c r="B295" s="6"/>
      <c r="C295" s="50"/>
      <c r="D295" s="50"/>
      <c r="E295" s="50"/>
      <c r="F295" s="50"/>
      <c r="G295" s="50"/>
      <c r="H295" s="50"/>
      <c r="I295" s="50"/>
      <c r="J295" s="50"/>
      <c r="K295" s="79"/>
      <c r="L295" s="6"/>
      <c r="M295" s="6"/>
      <c r="N295" s="6"/>
      <c r="O295" s="6"/>
      <c r="P295" s="6"/>
      <c r="Q295" s="6"/>
      <c r="R295" s="6"/>
      <c r="S295" s="6"/>
      <c r="T295" s="6"/>
      <c r="U295" s="51"/>
      <c r="V295" s="51"/>
      <c r="W295" s="51"/>
      <c r="X295" s="51"/>
      <c r="Y295" s="51"/>
      <c r="Z295" s="51"/>
      <c r="AA295" s="51"/>
      <c r="AB295" s="51"/>
      <c r="AC295" s="51"/>
    </row>
    <row r="296">
      <c r="B296" s="6"/>
      <c r="C296" s="50"/>
      <c r="D296" s="50"/>
      <c r="E296" s="50"/>
      <c r="F296" s="50"/>
      <c r="G296" s="50"/>
      <c r="H296" s="50"/>
      <c r="I296" s="50"/>
      <c r="J296" s="50"/>
      <c r="K296" s="79"/>
      <c r="L296" s="6"/>
      <c r="M296" s="6"/>
      <c r="N296" s="6"/>
      <c r="O296" s="6"/>
      <c r="P296" s="6"/>
      <c r="Q296" s="6"/>
      <c r="R296" s="6"/>
      <c r="S296" s="6"/>
      <c r="T296" s="6"/>
      <c r="U296" s="51"/>
      <c r="V296" s="51"/>
      <c r="W296" s="51"/>
      <c r="X296" s="51"/>
      <c r="Y296" s="51"/>
      <c r="Z296" s="51"/>
      <c r="AA296" s="51"/>
      <c r="AB296" s="51"/>
      <c r="AC296" s="51"/>
    </row>
    <row r="297">
      <c r="B297" s="6"/>
      <c r="C297" s="50"/>
      <c r="D297" s="50"/>
      <c r="E297" s="50"/>
      <c r="F297" s="50"/>
      <c r="G297" s="50"/>
      <c r="H297" s="50"/>
      <c r="I297" s="50"/>
      <c r="J297" s="50"/>
      <c r="K297" s="79"/>
      <c r="L297" s="6"/>
      <c r="M297" s="6"/>
      <c r="N297" s="6"/>
      <c r="O297" s="6"/>
      <c r="P297" s="6"/>
      <c r="Q297" s="6"/>
      <c r="R297" s="6"/>
      <c r="S297" s="6"/>
      <c r="T297" s="6"/>
      <c r="U297" s="51"/>
      <c r="V297" s="51"/>
      <c r="W297" s="51"/>
      <c r="X297" s="51"/>
      <c r="Y297" s="51"/>
      <c r="Z297" s="51"/>
      <c r="AA297" s="51"/>
      <c r="AB297" s="51"/>
      <c r="AC297" s="51"/>
    </row>
    <row r="298">
      <c r="B298" s="6"/>
      <c r="C298" s="50"/>
      <c r="D298" s="50"/>
      <c r="E298" s="50"/>
      <c r="F298" s="50"/>
      <c r="G298" s="50"/>
      <c r="H298" s="50"/>
      <c r="I298" s="50"/>
      <c r="J298" s="50"/>
      <c r="K298" s="79"/>
      <c r="L298" s="6"/>
      <c r="M298" s="6"/>
      <c r="N298" s="6"/>
      <c r="O298" s="6"/>
      <c r="P298" s="6"/>
      <c r="Q298" s="6"/>
      <c r="R298" s="6"/>
      <c r="S298" s="6"/>
      <c r="T298" s="6"/>
      <c r="U298" s="51"/>
      <c r="V298" s="51"/>
      <c r="W298" s="51"/>
      <c r="X298" s="51"/>
      <c r="Y298" s="51"/>
      <c r="Z298" s="51"/>
      <c r="AA298" s="51"/>
      <c r="AB298" s="51"/>
      <c r="AC298" s="51"/>
    </row>
    <row r="299">
      <c r="B299" s="6"/>
      <c r="C299" s="50"/>
      <c r="D299" s="50"/>
      <c r="E299" s="50"/>
      <c r="F299" s="50"/>
      <c r="G299" s="50"/>
      <c r="H299" s="50"/>
      <c r="I299" s="50"/>
      <c r="J299" s="50"/>
      <c r="K299" s="79"/>
      <c r="L299" s="6"/>
      <c r="M299" s="6"/>
      <c r="N299" s="6"/>
      <c r="O299" s="6"/>
      <c r="P299" s="6"/>
      <c r="Q299" s="6"/>
      <c r="R299" s="6"/>
      <c r="S299" s="6"/>
      <c r="T299" s="6"/>
      <c r="U299" s="51"/>
      <c r="V299" s="51"/>
      <c r="W299" s="51"/>
      <c r="X299" s="51"/>
      <c r="Y299" s="51"/>
      <c r="Z299" s="51"/>
      <c r="AA299" s="51"/>
      <c r="AB299" s="51"/>
      <c r="AC299" s="51"/>
    </row>
    <row r="300">
      <c r="B300" s="6"/>
      <c r="C300" s="50"/>
      <c r="D300" s="50"/>
      <c r="E300" s="50"/>
      <c r="F300" s="50"/>
      <c r="G300" s="50"/>
      <c r="H300" s="50"/>
      <c r="I300" s="50"/>
      <c r="J300" s="50"/>
      <c r="K300" s="79"/>
      <c r="L300" s="6"/>
      <c r="M300" s="6"/>
      <c r="N300" s="6"/>
      <c r="O300" s="6"/>
      <c r="P300" s="6"/>
      <c r="Q300" s="6"/>
      <c r="R300" s="6"/>
      <c r="S300" s="6"/>
      <c r="T300" s="6"/>
      <c r="U300" s="51"/>
      <c r="V300" s="51"/>
      <c r="W300" s="51"/>
      <c r="X300" s="51"/>
      <c r="Y300" s="51"/>
      <c r="Z300" s="51"/>
      <c r="AA300" s="51"/>
      <c r="AB300" s="51"/>
      <c r="AC300" s="51"/>
    </row>
    <row r="301">
      <c r="B301" s="6"/>
      <c r="C301" s="50"/>
      <c r="D301" s="50"/>
      <c r="E301" s="50"/>
      <c r="F301" s="50"/>
      <c r="G301" s="50"/>
      <c r="H301" s="50"/>
      <c r="I301" s="50"/>
      <c r="J301" s="50"/>
      <c r="K301" s="79"/>
      <c r="L301" s="6"/>
      <c r="M301" s="6"/>
      <c r="N301" s="6"/>
      <c r="O301" s="6"/>
      <c r="P301" s="6"/>
      <c r="Q301" s="6"/>
      <c r="R301" s="6"/>
      <c r="S301" s="6"/>
      <c r="T301" s="6"/>
      <c r="U301" s="51"/>
      <c r="V301" s="51"/>
      <c r="W301" s="51"/>
      <c r="X301" s="51"/>
      <c r="Y301" s="51"/>
      <c r="Z301" s="51"/>
      <c r="AA301" s="51"/>
      <c r="AB301" s="51"/>
      <c r="AC301" s="51"/>
    </row>
    <row r="302">
      <c r="B302" s="6"/>
      <c r="C302" s="50"/>
      <c r="D302" s="50"/>
      <c r="E302" s="50"/>
      <c r="F302" s="50"/>
      <c r="G302" s="50"/>
      <c r="H302" s="50"/>
      <c r="I302" s="50"/>
      <c r="J302" s="50"/>
      <c r="K302" s="79"/>
      <c r="L302" s="6"/>
      <c r="M302" s="6"/>
      <c r="N302" s="6"/>
      <c r="O302" s="6"/>
      <c r="P302" s="6"/>
      <c r="Q302" s="6"/>
      <c r="R302" s="6"/>
      <c r="S302" s="6"/>
      <c r="T302" s="6"/>
      <c r="U302" s="51"/>
      <c r="V302" s="51"/>
      <c r="W302" s="51"/>
      <c r="X302" s="51"/>
      <c r="Y302" s="51"/>
      <c r="Z302" s="51"/>
      <c r="AA302" s="51"/>
      <c r="AB302" s="51"/>
      <c r="AC302" s="51"/>
    </row>
    <row r="303">
      <c r="B303" s="6"/>
      <c r="C303" s="50"/>
      <c r="D303" s="50"/>
      <c r="E303" s="50"/>
      <c r="F303" s="50"/>
      <c r="G303" s="50"/>
      <c r="H303" s="50"/>
      <c r="I303" s="50"/>
      <c r="J303" s="50"/>
      <c r="K303" s="79"/>
      <c r="L303" s="6"/>
      <c r="M303" s="6"/>
      <c r="N303" s="6"/>
      <c r="O303" s="6"/>
      <c r="P303" s="6"/>
      <c r="Q303" s="6"/>
      <c r="R303" s="6"/>
      <c r="S303" s="6"/>
      <c r="T303" s="6"/>
      <c r="U303" s="51"/>
      <c r="V303" s="51"/>
      <c r="W303" s="51"/>
      <c r="X303" s="51"/>
      <c r="Y303" s="51"/>
      <c r="Z303" s="51"/>
      <c r="AA303" s="51"/>
      <c r="AB303" s="51"/>
      <c r="AC303" s="51"/>
    </row>
    <row r="304">
      <c r="B304" s="6"/>
      <c r="C304" s="50"/>
      <c r="D304" s="50"/>
      <c r="E304" s="50"/>
      <c r="F304" s="50"/>
      <c r="G304" s="50"/>
      <c r="H304" s="50"/>
      <c r="I304" s="50"/>
      <c r="J304" s="50"/>
      <c r="K304" s="79"/>
      <c r="L304" s="6"/>
      <c r="M304" s="6"/>
      <c r="N304" s="6"/>
      <c r="O304" s="6"/>
      <c r="P304" s="6"/>
      <c r="Q304" s="6"/>
      <c r="R304" s="6"/>
      <c r="S304" s="6"/>
      <c r="T304" s="6"/>
      <c r="U304" s="51"/>
      <c r="V304" s="51"/>
      <c r="W304" s="51"/>
      <c r="X304" s="51"/>
      <c r="Y304" s="51"/>
      <c r="Z304" s="51"/>
      <c r="AA304" s="51"/>
      <c r="AB304" s="51"/>
      <c r="AC304" s="51"/>
    </row>
    <row r="305">
      <c r="B305" s="6"/>
      <c r="C305" s="50"/>
      <c r="D305" s="50"/>
      <c r="E305" s="50"/>
      <c r="F305" s="50"/>
      <c r="G305" s="50"/>
      <c r="H305" s="50"/>
      <c r="I305" s="50"/>
      <c r="J305" s="50"/>
      <c r="K305" s="79"/>
      <c r="L305" s="6"/>
      <c r="M305" s="6"/>
      <c r="N305" s="6"/>
      <c r="O305" s="6"/>
      <c r="P305" s="6"/>
      <c r="Q305" s="6"/>
      <c r="R305" s="6"/>
      <c r="S305" s="6"/>
      <c r="T305" s="6"/>
      <c r="U305" s="51"/>
      <c r="V305" s="51"/>
      <c r="W305" s="51"/>
      <c r="X305" s="51"/>
      <c r="Y305" s="51"/>
      <c r="Z305" s="51"/>
      <c r="AA305" s="51"/>
      <c r="AB305" s="51"/>
      <c r="AC305" s="51"/>
    </row>
    <row r="306">
      <c r="B306" s="6"/>
      <c r="C306" s="50"/>
      <c r="D306" s="50"/>
      <c r="E306" s="50"/>
      <c r="F306" s="50"/>
      <c r="G306" s="50"/>
      <c r="H306" s="50"/>
      <c r="I306" s="50"/>
      <c r="J306" s="50"/>
      <c r="K306" s="79"/>
      <c r="L306" s="6"/>
      <c r="M306" s="6"/>
      <c r="N306" s="6"/>
      <c r="O306" s="6"/>
      <c r="P306" s="6"/>
      <c r="Q306" s="6"/>
      <c r="R306" s="6"/>
      <c r="S306" s="6"/>
      <c r="T306" s="6"/>
      <c r="U306" s="51"/>
      <c r="V306" s="51"/>
      <c r="W306" s="51"/>
      <c r="X306" s="51"/>
      <c r="Y306" s="51"/>
      <c r="Z306" s="51"/>
      <c r="AA306" s="51"/>
      <c r="AB306" s="51"/>
      <c r="AC306" s="51"/>
    </row>
    <row r="307">
      <c r="B307" s="6"/>
      <c r="C307" s="50"/>
      <c r="D307" s="50"/>
      <c r="E307" s="50"/>
      <c r="F307" s="50"/>
      <c r="G307" s="50"/>
      <c r="H307" s="50"/>
      <c r="I307" s="50"/>
      <c r="J307" s="50"/>
      <c r="K307" s="79"/>
      <c r="L307" s="6"/>
      <c r="M307" s="6"/>
      <c r="N307" s="6"/>
      <c r="O307" s="6"/>
      <c r="P307" s="6"/>
      <c r="Q307" s="6"/>
      <c r="R307" s="6"/>
      <c r="S307" s="6"/>
      <c r="T307" s="6"/>
      <c r="U307" s="51"/>
      <c r="V307" s="51"/>
      <c r="W307" s="51"/>
      <c r="X307" s="51"/>
      <c r="Y307" s="51"/>
      <c r="Z307" s="51"/>
      <c r="AA307" s="51"/>
      <c r="AB307" s="51"/>
      <c r="AC307" s="51"/>
    </row>
    <row r="308">
      <c r="B308" s="6"/>
      <c r="C308" s="50"/>
      <c r="D308" s="50"/>
      <c r="E308" s="50"/>
      <c r="F308" s="50"/>
      <c r="G308" s="50"/>
      <c r="H308" s="50"/>
      <c r="I308" s="50"/>
      <c r="J308" s="50"/>
      <c r="K308" s="79"/>
      <c r="L308" s="6"/>
      <c r="M308" s="6"/>
      <c r="N308" s="6"/>
      <c r="O308" s="6"/>
      <c r="P308" s="6"/>
      <c r="Q308" s="6"/>
      <c r="R308" s="6"/>
      <c r="S308" s="6"/>
      <c r="T308" s="6"/>
      <c r="U308" s="51"/>
      <c r="V308" s="51"/>
      <c r="W308" s="51"/>
      <c r="X308" s="51"/>
      <c r="Y308" s="51"/>
      <c r="Z308" s="51"/>
      <c r="AA308" s="51"/>
      <c r="AB308" s="51"/>
      <c r="AC308" s="51"/>
    </row>
    <row r="309">
      <c r="B309" s="6"/>
      <c r="C309" s="50"/>
      <c r="D309" s="50"/>
      <c r="E309" s="50"/>
      <c r="F309" s="50"/>
      <c r="G309" s="50"/>
      <c r="H309" s="50"/>
      <c r="I309" s="50"/>
      <c r="J309" s="50"/>
      <c r="K309" s="79"/>
      <c r="L309" s="6"/>
      <c r="M309" s="6"/>
      <c r="N309" s="6"/>
      <c r="O309" s="6"/>
      <c r="P309" s="6"/>
      <c r="Q309" s="6"/>
      <c r="R309" s="6"/>
      <c r="S309" s="6"/>
      <c r="T309" s="6"/>
      <c r="U309" s="51"/>
      <c r="V309" s="51"/>
      <c r="W309" s="51"/>
      <c r="X309" s="51"/>
      <c r="Y309" s="51"/>
      <c r="Z309" s="51"/>
      <c r="AA309" s="51"/>
      <c r="AB309" s="51"/>
      <c r="AC309" s="51"/>
    </row>
    <row r="310">
      <c r="B310" s="6"/>
      <c r="C310" s="50"/>
      <c r="D310" s="50"/>
      <c r="E310" s="50"/>
      <c r="F310" s="50"/>
      <c r="G310" s="50"/>
      <c r="H310" s="50"/>
      <c r="I310" s="50"/>
      <c r="J310" s="50"/>
      <c r="K310" s="79"/>
      <c r="L310" s="6"/>
      <c r="M310" s="6"/>
      <c r="N310" s="6"/>
      <c r="O310" s="6"/>
      <c r="P310" s="6"/>
      <c r="Q310" s="6"/>
      <c r="R310" s="6"/>
      <c r="S310" s="6"/>
      <c r="T310" s="6"/>
      <c r="U310" s="51"/>
      <c r="V310" s="51"/>
      <c r="W310" s="51"/>
      <c r="X310" s="51"/>
      <c r="Y310" s="51"/>
      <c r="Z310" s="51"/>
      <c r="AA310" s="51"/>
      <c r="AB310" s="51"/>
      <c r="AC310" s="51"/>
    </row>
    <row r="311">
      <c r="B311" s="6"/>
      <c r="C311" s="50"/>
      <c r="D311" s="50"/>
      <c r="E311" s="50"/>
      <c r="F311" s="50"/>
      <c r="G311" s="50"/>
      <c r="H311" s="50"/>
      <c r="I311" s="50"/>
      <c r="J311" s="50"/>
      <c r="K311" s="79"/>
      <c r="L311" s="6"/>
      <c r="M311" s="6"/>
      <c r="N311" s="6"/>
      <c r="O311" s="6"/>
      <c r="P311" s="6"/>
      <c r="Q311" s="6"/>
      <c r="R311" s="6"/>
      <c r="S311" s="6"/>
      <c r="T311" s="6"/>
      <c r="U311" s="51"/>
      <c r="V311" s="51"/>
      <c r="W311" s="51"/>
      <c r="X311" s="51"/>
      <c r="Y311" s="51"/>
      <c r="Z311" s="51"/>
      <c r="AA311" s="51"/>
      <c r="AB311" s="51"/>
      <c r="AC311" s="51"/>
    </row>
    <row r="312">
      <c r="B312" s="6"/>
      <c r="C312" s="50"/>
      <c r="D312" s="50"/>
      <c r="E312" s="50"/>
      <c r="F312" s="50"/>
      <c r="G312" s="50"/>
      <c r="H312" s="50"/>
      <c r="I312" s="50"/>
      <c r="J312" s="50"/>
      <c r="K312" s="79"/>
      <c r="L312" s="6"/>
      <c r="M312" s="6"/>
      <c r="N312" s="6"/>
      <c r="O312" s="6"/>
      <c r="P312" s="6"/>
      <c r="Q312" s="6"/>
      <c r="R312" s="6"/>
      <c r="S312" s="6"/>
      <c r="T312" s="6"/>
      <c r="U312" s="51"/>
      <c r="V312" s="51"/>
      <c r="W312" s="51"/>
      <c r="X312" s="51"/>
      <c r="Y312" s="51"/>
      <c r="Z312" s="51"/>
      <c r="AA312" s="51"/>
      <c r="AB312" s="51"/>
      <c r="AC312" s="51"/>
    </row>
    <row r="313">
      <c r="B313" s="6"/>
      <c r="C313" s="50"/>
      <c r="D313" s="50"/>
      <c r="E313" s="50"/>
      <c r="F313" s="50"/>
      <c r="G313" s="50"/>
      <c r="H313" s="50"/>
      <c r="I313" s="50"/>
      <c r="J313" s="50"/>
      <c r="K313" s="79"/>
      <c r="L313" s="6"/>
      <c r="M313" s="6"/>
      <c r="N313" s="6"/>
      <c r="O313" s="6"/>
      <c r="P313" s="6"/>
      <c r="Q313" s="6"/>
      <c r="R313" s="6"/>
      <c r="S313" s="6"/>
      <c r="T313" s="6"/>
      <c r="U313" s="51"/>
      <c r="V313" s="51"/>
      <c r="W313" s="51"/>
      <c r="X313" s="51"/>
      <c r="Y313" s="51"/>
      <c r="Z313" s="51"/>
      <c r="AA313" s="51"/>
      <c r="AB313" s="51"/>
      <c r="AC313" s="51"/>
    </row>
    <row r="314">
      <c r="B314" s="6"/>
      <c r="C314" s="50"/>
      <c r="D314" s="50"/>
      <c r="E314" s="50"/>
      <c r="F314" s="50"/>
      <c r="G314" s="50"/>
      <c r="H314" s="50"/>
      <c r="I314" s="50"/>
      <c r="J314" s="50"/>
      <c r="K314" s="79"/>
      <c r="L314" s="6"/>
      <c r="M314" s="6"/>
      <c r="N314" s="6"/>
      <c r="O314" s="6"/>
      <c r="P314" s="6"/>
      <c r="Q314" s="6"/>
      <c r="R314" s="6"/>
      <c r="S314" s="6"/>
      <c r="T314" s="6"/>
      <c r="U314" s="51"/>
      <c r="V314" s="51"/>
      <c r="W314" s="51"/>
      <c r="X314" s="51"/>
      <c r="Y314" s="51"/>
      <c r="Z314" s="51"/>
      <c r="AA314" s="51"/>
      <c r="AB314" s="51"/>
      <c r="AC314" s="51"/>
    </row>
    <row r="315">
      <c r="B315" s="6"/>
      <c r="C315" s="50"/>
      <c r="D315" s="50"/>
      <c r="E315" s="50"/>
      <c r="F315" s="50"/>
      <c r="G315" s="50"/>
      <c r="H315" s="50"/>
      <c r="I315" s="50"/>
      <c r="J315" s="50"/>
      <c r="K315" s="79"/>
      <c r="L315" s="6"/>
      <c r="M315" s="6"/>
      <c r="N315" s="6"/>
      <c r="O315" s="6"/>
      <c r="P315" s="6"/>
      <c r="Q315" s="6"/>
      <c r="R315" s="6"/>
      <c r="S315" s="6"/>
      <c r="T315" s="6"/>
      <c r="U315" s="51"/>
      <c r="V315" s="51"/>
      <c r="W315" s="51"/>
      <c r="X315" s="51"/>
      <c r="Y315" s="51"/>
      <c r="Z315" s="51"/>
      <c r="AA315" s="51"/>
      <c r="AB315" s="51"/>
      <c r="AC315" s="51"/>
    </row>
    <row r="316">
      <c r="B316" s="6"/>
      <c r="C316" s="50"/>
      <c r="D316" s="50"/>
      <c r="E316" s="50"/>
      <c r="F316" s="50"/>
      <c r="G316" s="50"/>
      <c r="H316" s="50"/>
      <c r="I316" s="50"/>
      <c r="J316" s="50"/>
      <c r="K316" s="79"/>
      <c r="L316" s="6"/>
      <c r="M316" s="6"/>
      <c r="N316" s="6"/>
      <c r="O316" s="6"/>
      <c r="P316" s="6"/>
      <c r="Q316" s="6"/>
      <c r="R316" s="6"/>
      <c r="S316" s="6"/>
      <c r="T316" s="6"/>
      <c r="U316" s="51"/>
      <c r="V316" s="51"/>
      <c r="W316" s="51"/>
      <c r="X316" s="51"/>
      <c r="Y316" s="51"/>
      <c r="Z316" s="51"/>
      <c r="AA316" s="51"/>
      <c r="AB316" s="51"/>
      <c r="AC316" s="51"/>
    </row>
    <row r="317">
      <c r="B317" s="6"/>
      <c r="C317" s="50"/>
      <c r="D317" s="50"/>
      <c r="E317" s="50"/>
      <c r="F317" s="50"/>
      <c r="G317" s="50"/>
      <c r="H317" s="50"/>
      <c r="I317" s="50"/>
      <c r="J317" s="50"/>
      <c r="K317" s="79"/>
      <c r="L317" s="6"/>
      <c r="M317" s="6"/>
      <c r="N317" s="6"/>
      <c r="O317" s="6"/>
      <c r="P317" s="6"/>
      <c r="Q317" s="6"/>
      <c r="R317" s="6"/>
      <c r="S317" s="6"/>
      <c r="T317" s="6"/>
      <c r="U317" s="51"/>
      <c r="V317" s="51"/>
      <c r="W317" s="51"/>
      <c r="X317" s="51"/>
      <c r="Y317" s="51"/>
      <c r="Z317" s="51"/>
      <c r="AA317" s="51"/>
      <c r="AB317" s="51"/>
      <c r="AC317" s="51"/>
    </row>
    <row r="318">
      <c r="B318" s="6"/>
      <c r="C318" s="50"/>
      <c r="D318" s="50"/>
      <c r="E318" s="50"/>
      <c r="F318" s="50"/>
      <c r="G318" s="50"/>
      <c r="H318" s="50"/>
      <c r="I318" s="50"/>
      <c r="J318" s="50"/>
      <c r="K318" s="79"/>
      <c r="L318" s="6"/>
      <c r="M318" s="6"/>
      <c r="N318" s="6"/>
      <c r="O318" s="6"/>
      <c r="P318" s="6"/>
      <c r="Q318" s="6"/>
      <c r="R318" s="6"/>
      <c r="S318" s="6"/>
      <c r="T318" s="6"/>
      <c r="U318" s="51"/>
      <c r="V318" s="51"/>
      <c r="W318" s="51"/>
      <c r="X318" s="51"/>
      <c r="Y318" s="51"/>
      <c r="Z318" s="51"/>
      <c r="AA318" s="51"/>
      <c r="AB318" s="51"/>
      <c r="AC318" s="51"/>
    </row>
    <row r="319">
      <c r="B319" s="6"/>
      <c r="C319" s="50"/>
      <c r="D319" s="50"/>
      <c r="E319" s="50"/>
      <c r="F319" s="50"/>
      <c r="G319" s="50"/>
      <c r="H319" s="50"/>
      <c r="I319" s="50"/>
      <c r="J319" s="50"/>
      <c r="K319" s="79"/>
      <c r="L319" s="6"/>
      <c r="M319" s="6"/>
      <c r="N319" s="6"/>
      <c r="O319" s="6"/>
      <c r="P319" s="6"/>
      <c r="Q319" s="6"/>
      <c r="R319" s="6"/>
      <c r="S319" s="6"/>
      <c r="T319" s="6"/>
      <c r="U319" s="51"/>
      <c r="V319" s="51"/>
      <c r="W319" s="51"/>
      <c r="X319" s="51"/>
      <c r="Y319" s="51"/>
      <c r="Z319" s="51"/>
      <c r="AA319" s="51"/>
      <c r="AB319" s="51"/>
      <c r="AC319" s="51"/>
    </row>
    <row r="320">
      <c r="B320" s="6"/>
      <c r="C320" s="50"/>
      <c r="D320" s="50"/>
      <c r="E320" s="50"/>
      <c r="F320" s="50"/>
      <c r="G320" s="50"/>
      <c r="H320" s="50"/>
      <c r="I320" s="50"/>
      <c r="J320" s="50"/>
      <c r="K320" s="79"/>
      <c r="L320" s="6"/>
      <c r="M320" s="6"/>
      <c r="N320" s="6"/>
      <c r="O320" s="6"/>
      <c r="P320" s="6"/>
      <c r="Q320" s="6"/>
      <c r="R320" s="6"/>
      <c r="S320" s="6"/>
      <c r="T320" s="6"/>
      <c r="U320" s="51"/>
      <c r="V320" s="51"/>
      <c r="W320" s="51"/>
      <c r="X320" s="51"/>
      <c r="Y320" s="51"/>
      <c r="Z320" s="51"/>
      <c r="AA320" s="51"/>
      <c r="AB320" s="51"/>
      <c r="AC320" s="51"/>
    </row>
    <row r="321">
      <c r="B321" s="6"/>
      <c r="C321" s="50"/>
      <c r="D321" s="50"/>
      <c r="E321" s="50"/>
      <c r="F321" s="50"/>
      <c r="G321" s="50"/>
      <c r="H321" s="50"/>
      <c r="I321" s="50"/>
      <c r="J321" s="50"/>
      <c r="K321" s="79"/>
      <c r="L321" s="6"/>
      <c r="M321" s="6"/>
      <c r="N321" s="6"/>
      <c r="O321" s="6"/>
      <c r="P321" s="6"/>
      <c r="Q321" s="6"/>
      <c r="R321" s="6"/>
      <c r="S321" s="6"/>
      <c r="T321" s="6"/>
      <c r="U321" s="51"/>
      <c r="V321" s="51"/>
      <c r="W321" s="51"/>
      <c r="X321" s="51"/>
      <c r="Y321" s="51"/>
      <c r="Z321" s="51"/>
      <c r="AA321" s="51"/>
      <c r="AB321" s="51"/>
      <c r="AC321" s="51"/>
    </row>
    <row r="322">
      <c r="B322" s="6"/>
      <c r="C322" s="50"/>
      <c r="D322" s="50"/>
      <c r="E322" s="50"/>
      <c r="F322" s="50"/>
      <c r="G322" s="50"/>
      <c r="H322" s="50"/>
      <c r="I322" s="50"/>
      <c r="J322" s="50"/>
      <c r="K322" s="79"/>
      <c r="L322" s="6"/>
      <c r="M322" s="6"/>
      <c r="N322" s="6"/>
      <c r="O322" s="6"/>
      <c r="P322" s="6"/>
      <c r="Q322" s="6"/>
      <c r="R322" s="6"/>
      <c r="S322" s="6"/>
      <c r="T322" s="6"/>
      <c r="U322" s="51"/>
      <c r="V322" s="51"/>
      <c r="W322" s="51"/>
      <c r="X322" s="51"/>
      <c r="Y322" s="51"/>
      <c r="Z322" s="51"/>
      <c r="AA322" s="51"/>
      <c r="AB322" s="51"/>
      <c r="AC322" s="51"/>
    </row>
    <row r="323">
      <c r="B323" s="6"/>
      <c r="C323" s="50"/>
      <c r="D323" s="50"/>
      <c r="E323" s="50"/>
      <c r="F323" s="50"/>
      <c r="G323" s="50"/>
      <c r="H323" s="50"/>
      <c r="I323" s="50"/>
      <c r="J323" s="50"/>
      <c r="K323" s="79"/>
      <c r="L323" s="6"/>
      <c r="M323" s="6"/>
      <c r="N323" s="6"/>
      <c r="O323" s="6"/>
      <c r="P323" s="6"/>
      <c r="Q323" s="6"/>
      <c r="R323" s="6"/>
      <c r="S323" s="6"/>
      <c r="T323" s="6"/>
      <c r="U323" s="51"/>
      <c r="V323" s="51"/>
      <c r="W323" s="51"/>
      <c r="X323" s="51"/>
      <c r="Y323" s="51"/>
      <c r="Z323" s="51"/>
      <c r="AA323" s="51"/>
      <c r="AB323" s="51"/>
      <c r="AC323" s="51"/>
    </row>
    <row r="324">
      <c r="B324" s="6"/>
      <c r="C324" s="50"/>
      <c r="D324" s="50"/>
      <c r="E324" s="50"/>
      <c r="F324" s="50"/>
      <c r="G324" s="50"/>
      <c r="H324" s="50"/>
      <c r="I324" s="50"/>
      <c r="J324" s="50"/>
      <c r="K324" s="79"/>
      <c r="L324" s="6"/>
      <c r="M324" s="6"/>
      <c r="N324" s="6"/>
      <c r="O324" s="6"/>
      <c r="P324" s="6"/>
      <c r="Q324" s="6"/>
      <c r="R324" s="6"/>
      <c r="S324" s="6"/>
      <c r="T324" s="6"/>
      <c r="U324" s="51"/>
      <c r="V324" s="51"/>
      <c r="W324" s="51"/>
      <c r="X324" s="51"/>
      <c r="Y324" s="51"/>
      <c r="Z324" s="51"/>
      <c r="AA324" s="51"/>
      <c r="AB324" s="51"/>
      <c r="AC324" s="51"/>
    </row>
    <row r="325">
      <c r="B325" s="6"/>
      <c r="C325" s="50"/>
      <c r="D325" s="50"/>
      <c r="E325" s="50"/>
      <c r="F325" s="50"/>
      <c r="G325" s="50"/>
      <c r="H325" s="50"/>
      <c r="I325" s="50"/>
      <c r="J325" s="50"/>
      <c r="K325" s="79"/>
      <c r="L325" s="6"/>
      <c r="M325" s="6"/>
      <c r="N325" s="6"/>
      <c r="O325" s="6"/>
      <c r="P325" s="6"/>
      <c r="Q325" s="6"/>
      <c r="R325" s="6"/>
      <c r="S325" s="6"/>
      <c r="T325" s="6"/>
      <c r="U325" s="51"/>
      <c r="V325" s="51"/>
      <c r="W325" s="51"/>
      <c r="X325" s="51"/>
      <c r="Y325" s="51"/>
      <c r="Z325" s="51"/>
      <c r="AA325" s="51"/>
      <c r="AB325" s="51"/>
      <c r="AC325" s="51"/>
    </row>
    <row r="326">
      <c r="B326" s="6"/>
      <c r="C326" s="50"/>
      <c r="D326" s="50"/>
      <c r="E326" s="50"/>
      <c r="F326" s="50"/>
      <c r="G326" s="50"/>
      <c r="H326" s="50"/>
      <c r="I326" s="50"/>
      <c r="J326" s="50"/>
      <c r="K326" s="79"/>
      <c r="L326" s="6"/>
      <c r="M326" s="6"/>
      <c r="N326" s="6"/>
      <c r="O326" s="6"/>
      <c r="P326" s="6"/>
      <c r="Q326" s="6"/>
      <c r="R326" s="6"/>
      <c r="S326" s="6"/>
      <c r="T326" s="6"/>
      <c r="U326" s="51"/>
      <c r="V326" s="51"/>
      <c r="W326" s="51"/>
      <c r="X326" s="51"/>
      <c r="Y326" s="51"/>
      <c r="Z326" s="51"/>
      <c r="AA326" s="51"/>
      <c r="AB326" s="51"/>
      <c r="AC326" s="51"/>
    </row>
    <row r="327">
      <c r="B327" s="6"/>
      <c r="C327" s="50"/>
      <c r="D327" s="50"/>
      <c r="E327" s="50"/>
      <c r="F327" s="50"/>
      <c r="G327" s="50"/>
      <c r="H327" s="50"/>
      <c r="I327" s="50"/>
      <c r="J327" s="50"/>
      <c r="K327" s="79"/>
      <c r="L327" s="6"/>
      <c r="M327" s="6"/>
      <c r="N327" s="6"/>
      <c r="O327" s="6"/>
      <c r="P327" s="6"/>
      <c r="Q327" s="6"/>
      <c r="R327" s="6"/>
      <c r="S327" s="6"/>
      <c r="T327" s="6"/>
      <c r="U327" s="51"/>
      <c r="V327" s="51"/>
      <c r="W327" s="51"/>
      <c r="X327" s="51"/>
      <c r="Y327" s="51"/>
      <c r="Z327" s="51"/>
      <c r="AA327" s="51"/>
      <c r="AB327" s="51"/>
      <c r="AC327" s="51"/>
    </row>
    <row r="328">
      <c r="B328" s="6"/>
      <c r="C328" s="50"/>
      <c r="D328" s="50"/>
      <c r="E328" s="50"/>
      <c r="F328" s="50"/>
      <c r="G328" s="50"/>
      <c r="H328" s="50"/>
      <c r="I328" s="50"/>
      <c r="J328" s="50"/>
      <c r="K328" s="79"/>
      <c r="L328" s="6"/>
      <c r="M328" s="6"/>
      <c r="N328" s="6"/>
      <c r="O328" s="6"/>
      <c r="P328" s="6"/>
      <c r="Q328" s="6"/>
      <c r="R328" s="6"/>
      <c r="S328" s="6"/>
      <c r="T328" s="6"/>
      <c r="U328" s="51"/>
      <c r="V328" s="51"/>
      <c r="W328" s="51"/>
      <c r="X328" s="51"/>
      <c r="Y328" s="51"/>
      <c r="Z328" s="51"/>
      <c r="AA328" s="51"/>
      <c r="AB328" s="51"/>
      <c r="AC328" s="51"/>
    </row>
    <row r="329">
      <c r="B329" s="6"/>
      <c r="C329" s="50"/>
      <c r="D329" s="50"/>
      <c r="E329" s="50"/>
      <c r="F329" s="50"/>
      <c r="G329" s="50"/>
      <c r="H329" s="50"/>
      <c r="I329" s="50"/>
      <c r="J329" s="50"/>
      <c r="K329" s="79"/>
      <c r="L329" s="6"/>
      <c r="M329" s="6"/>
      <c r="N329" s="6"/>
      <c r="O329" s="6"/>
      <c r="P329" s="6"/>
      <c r="Q329" s="6"/>
      <c r="R329" s="6"/>
      <c r="S329" s="6"/>
      <c r="T329" s="6"/>
      <c r="U329" s="51"/>
      <c r="V329" s="51"/>
      <c r="W329" s="51"/>
      <c r="X329" s="51"/>
      <c r="Y329" s="51"/>
      <c r="Z329" s="51"/>
      <c r="AA329" s="51"/>
      <c r="AB329" s="51"/>
      <c r="AC329" s="51"/>
    </row>
    <row r="330">
      <c r="B330" s="6"/>
      <c r="C330" s="50"/>
      <c r="D330" s="50"/>
      <c r="E330" s="50"/>
      <c r="F330" s="50"/>
      <c r="G330" s="50"/>
      <c r="H330" s="50"/>
      <c r="I330" s="50"/>
      <c r="J330" s="50"/>
      <c r="K330" s="79"/>
      <c r="L330" s="6"/>
      <c r="M330" s="6"/>
      <c r="N330" s="6"/>
      <c r="O330" s="6"/>
      <c r="P330" s="6"/>
      <c r="Q330" s="6"/>
      <c r="R330" s="6"/>
      <c r="S330" s="6"/>
      <c r="T330" s="6"/>
      <c r="U330" s="51"/>
      <c r="V330" s="51"/>
      <c r="W330" s="51"/>
      <c r="X330" s="51"/>
      <c r="Y330" s="51"/>
      <c r="Z330" s="51"/>
      <c r="AA330" s="51"/>
      <c r="AB330" s="51"/>
      <c r="AC330" s="51"/>
    </row>
    <row r="331">
      <c r="B331" s="6"/>
      <c r="C331" s="50"/>
      <c r="D331" s="50"/>
      <c r="E331" s="50"/>
      <c r="F331" s="50"/>
      <c r="G331" s="50"/>
      <c r="H331" s="50"/>
      <c r="I331" s="50"/>
      <c r="J331" s="50"/>
      <c r="K331" s="79"/>
      <c r="L331" s="6"/>
      <c r="M331" s="6"/>
      <c r="N331" s="6"/>
      <c r="O331" s="6"/>
      <c r="P331" s="6"/>
      <c r="Q331" s="6"/>
      <c r="R331" s="6"/>
      <c r="S331" s="6"/>
      <c r="T331" s="6"/>
      <c r="U331" s="51"/>
      <c r="V331" s="51"/>
      <c r="W331" s="51"/>
      <c r="X331" s="51"/>
      <c r="Y331" s="51"/>
      <c r="Z331" s="51"/>
      <c r="AA331" s="51"/>
      <c r="AB331" s="51"/>
      <c r="AC331" s="51"/>
    </row>
    <row r="332">
      <c r="B332" s="6"/>
      <c r="C332" s="50"/>
      <c r="D332" s="50"/>
      <c r="E332" s="50"/>
      <c r="F332" s="50"/>
      <c r="G332" s="50"/>
      <c r="H332" s="50"/>
      <c r="I332" s="50"/>
      <c r="J332" s="50"/>
      <c r="K332" s="79"/>
      <c r="L332" s="6"/>
      <c r="M332" s="6"/>
      <c r="N332" s="6"/>
      <c r="O332" s="6"/>
      <c r="P332" s="6"/>
      <c r="Q332" s="6"/>
      <c r="R332" s="6"/>
      <c r="S332" s="6"/>
      <c r="T332" s="6"/>
      <c r="U332" s="51"/>
      <c r="V332" s="51"/>
      <c r="W332" s="51"/>
      <c r="X332" s="51"/>
      <c r="Y332" s="51"/>
      <c r="Z332" s="51"/>
      <c r="AA332" s="51"/>
      <c r="AB332" s="51"/>
      <c r="AC332" s="51"/>
    </row>
    <row r="333">
      <c r="B333" s="6"/>
      <c r="C333" s="50"/>
      <c r="D333" s="50"/>
      <c r="E333" s="50"/>
      <c r="F333" s="50"/>
      <c r="G333" s="50"/>
      <c r="H333" s="50"/>
      <c r="I333" s="50"/>
      <c r="J333" s="50"/>
      <c r="K333" s="79"/>
      <c r="L333" s="6"/>
      <c r="M333" s="6"/>
      <c r="N333" s="6"/>
      <c r="O333" s="6"/>
      <c r="P333" s="6"/>
      <c r="Q333" s="6"/>
      <c r="R333" s="6"/>
      <c r="S333" s="6"/>
      <c r="T333" s="6"/>
      <c r="U333" s="51"/>
      <c r="V333" s="51"/>
      <c r="W333" s="51"/>
      <c r="X333" s="51"/>
      <c r="Y333" s="51"/>
      <c r="Z333" s="51"/>
      <c r="AA333" s="51"/>
      <c r="AB333" s="51"/>
      <c r="AC333" s="51"/>
    </row>
    <row r="334">
      <c r="B334" s="6"/>
      <c r="C334" s="50"/>
      <c r="D334" s="50"/>
      <c r="E334" s="50"/>
      <c r="F334" s="50"/>
      <c r="G334" s="50"/>
      <c r="H334" s="50"/>
      <c r="I334" s="50"/>
      <c r="J334" s="50"/>
      <c r="K334" s="79"/>
      <c r="L334" s="6"/>
      <c r="M334" s="6"/>
      <c r="N334" s="6"/>
      <c r="O334" s="6"/>
      <c r="P334" s="6"/>
      <c r="Q334" s="6"/>
      <c r="R334" s="6"/>
      <c r="S334" s="6"/>
      <c r="T334" s="6"/>
      <c r="U334" s="51"/>
      <c r="V334" s="51"/>
      <c r="W334" s="51"/>
      <c r="X334" s="51"/>
      <c r="Y334" s="51"/>
      <c r="Z334" s="51"/>
      <c r="AA334" s="51"/>
      <c r="AB334" s="51"/>
      <c r="AC334" s="51"/>
    </row>
    <row r="335">
      <c r="B335" s="6"/>
      <c r="C335" s="50"/>
      <c r="D335" s="50"/>
      <c r="E335" s="50"/>
      <c r="F335" s="50"/>
      <c r="G335" s="50"/>
      <c r="H335" s="50"/>
      <c r="I335" s="50"/>
      <c r="J335" s="50"/>
      <c r="K335" s="79"/>
      <c r="L335" s="6"/>
      <c r="M335" s="6"/>
      <c r="N335" s="6"/>
      <c r="O335" s="6"/>
      <c r="P335" s="6"/>
      <c r="Q335" s="6"/>
      <c r="R335" s="6"/>
      <c r="S335" s="6"/>
      <c r="T335" s="6"/>
      <c r="U335" s="51"/>
      <c r="V335" s="51"/>
      <c r="W335" s="51"/>
      <c r="X335" s="51"/>
      <c r="Y335" s="51"/>
      <c r="Z335" s="51"/>
      <c r="AA335" s="51"/>
      <c r="AB335" s="51"/>
      <c r="AC335" s="51"/>
    </row>
    <row r="336">
      <c r="B336" s="6"/>
      <c r="C336" s="50"/>
      <c r="D336" s="50"/>
      <c r="E336" s="50"/>
      <c r="F336" s="50"/>
      <c r="G336" s="50"/>
      <c r="H336" s="50"/>
      <c r="I336" s="50"/>
      <c r="J336" s="50"/>
      <c r="K336" s="79"/>
      <c r="L336" s="6"/>
      <c r="M336" s="6"/>
      <c r="N336" s="6"/>
      <c r="O336" s="6"/>
      <c r="P336" s="6"/>
      <c r="Q336" s="6"/>
      <c r="R336" s="6"/>
      <c r="S336" s="6"/>
      <c r="T336" s="6"/>
      <c r="U336" s="51"/>
      <c r="V336" s="51"/>
      <c r="W336" s="51"/>
      <c r="X336" s="51"/>
      <c r="Y336" s="51"/>
      <c r="Z336" s="51"/>
      <c r="AA336" s="51"/>
      <c r="AB336" s="51"/>
      <c r="AC336" s="51"/>
    </row>
    <row r="337">
      <c r="B337" s="6"/>
      <c r="C337" s="50"/>
      <c r="D337" s="50"/>
      <c r="E337" s="50"/>
      <c r="F337" s="50"/>
      <c r="G337" s="50"/>
      <c r="H337" s="50"/>
      <c r="I337" s="50"/>
      <c r="J337" s="50"/>
      <c r="K337" s="79"/>
      <c r="L337" s="6"/>
      <c r="M337" s="6"/>
      <c r="N337" s="6"/>
      <c r="O337" s="6"/>
      <c r="P337" s="6"/>
      <c r="Q337" s="6"/>
      <c r="R337" s="6"/>
      <c r="S337" s="6"/>
      <c r="T337" s="6"/>
      <c r="U337" s="51"/>
      <c r="V337" s="51"/>
      <c r="W337" s="51"/>
      <c r="X337" s="51"/>
      <c r="Y337" s="51"/>
      <c r="Z337" s="51"/>
      <c r="AA337" s="51"/>
      <c r="AB337" s="51"/>
      <c r="AC337" s="51"/>
    </row>
    <row r="338">
      <c r="B338" s="6"/>
      <c r="C338" s="50"/>
      <c r="D338" s="50"/>
      <c r="E338" s="50"/>
      <c r="F338" s="50"/>
      <c r="G338" s="50"/>
      <c r="H338" s="50"/>
      <c r="I338" s="50"/>
      <c r="J338" s="50"/>
      <c r="K338" s="79"/>
      <c r="L338" s="6"/>
      <c r="M338" s="6"/>
      <c r="N338" s="6"/>
      <c r="O338" s="6"/>
      <c r="P338" s="6"/>
      <c r="Q338" s="6"/>
      <c r="R338" s="6"/>
      <c r="S338" s="6"/>
      <c r="T338" s="6"/>
      <c r="U338" s="51"/>
      <c r="V338" s="51"/>
      <c r="W338" s="51"/>
      <c r="X338" s="51"/>
      <c r="Y338" s="51"/>
      <c r="Z338" s="51"/>
      <c r="AA338" s="51"/>
      <c r="AB338" s="51"/>
      <c r="AC338" s="51"/>
    </row>
    <row r="339">
      <c r="B339" s="6"/>
      <c r="C339" s="50"/>
      <c r="D339" s="50"/>
      <c r="E339" s="50"/>
      <c r="F339" s="50"/>
      <c r="G339" s="50"/>
      <c r="H339" s="50"/>
      <c r="I339" s="50"/>
      <c r="J339" s="50"/>
      <c r="K339" s="79"/>
      <c r="L339" s="6"/>
      <c r="M339" s="6"/>
      <c r="N339" s="6"/>
      <c r="O339" s="6"/>
      <c r="P339" s="6"/>
      <c r="Q339" s="6"/>
      <c r="R339" s="6"/>
      <c r="S339" s="6"/>
      <c r="T339" s="6"/>
      <c r="U339" s="51"/>
      <c r="V339" s="51"/>
      <c r="W339" s="51"/>
      <c r="X339" s="51"/>
      <c r="Y339" s="51"/>
      <c r="Z339" s="51"/>
      <c r="AA339" s="51"/>
      <c r="AB339" s="51"/>
      <c r="AC339" s="51"/>
    </row>
    <row r="340">
      <c r="B340" s="6"/>
      <c r="C340" s="50"/>
      <c r="D340" s="50"/>
      <c r="E340" s="50"/>
      <c r="F340" s="50"/>
      <c r="G340" s="50"/>
      <c r="H340" s="50"/>
      <c r="I340" s="50"/>
      <c r="J340" s="50"/>
      <c r="K340" s="79"/>
      <c r="L340" s="6"/>
      <c r="M340" s="6"/>
      <c r="N340" s="6"/>
      <c r="O340" s="6"/>
      <c r="P340" s="6"/>
      <c r="Q340" s="6"/>
      <c r="R340" s="6"/>
      <c r="S340" s="6"/>
      <c r="T340" s="6"/>
      <c r="U340" s="51"/>
      <c r="V340" s="51"/>
      <c r="W340" s="51"/>
      <c r="X340" s="51"/>
      <c r="Y340" s="51"/>
      <c r="Z340" s="51"/>
      <c r="AA340" s="51"/>
      <c r="AB340" s="51"/>
      <c r="AC340" s="51"/>
    </row>
    <row r="341">
      <c r="B341" s="6"/>
      <c r="C341" s="50"/>
      <c r="D341" s="50"/>
      <c r="E341" s="50"/>
      <c r="F341" s="50"/>
      <c r="G341" s="50"/>
      <c r="H341" s="50"/>
      <c r="I341" s="50"/>
      <c r="J341" s="50"/>
      <c r="K341" s="79"/>
      <c r="L341" s="6"/>
      <c r="M341" s="6"/>
      <c r="N341" s="6"/>
      <c r="O341" s="6"/>
      <c r="P341" s="6"/>
      <c r="Q341" s="6"/>
      <c r="R341" s="6"/>
      <c r="S341" s="6"/>
      <c r="T341" s="6"/>
      <c r="U341" s="51"/>
      <c r="V341" s="51"/>
      <c r="W341" s="51"/>
      <c r="X341" s="51"/>
      <c r="Y341" s="51"/>
      <c r="Z341" s="51"/>
      <c r="AA341" s="51"/>
      <c r="AB341" s="51"/>
      <c r="AC341" s="51"/>
    </row>
    <row r="342">
      <c r="B342" s="6"/>
      <c r="C342" s="50"/>
      <c r="D342" s="50"/>
      <c r="E342" s="50"/>
      <c r="F342" s="50"/>
      <c r="G342" s="50"/>
      <c r="H342" s="50"/>
      <c r="I342" s="50"/>
      <c r="J342" s="50"/>
      <c r="K342" s="79"/>
      <c r="L342" s="6"/>
      <c r="M342" s="6"/>
      <c r="N342" s="6"/>
      <c r="O342" s="6"/>
      <c r="P342" s="6"/>
      <c r="Q342" s="6"/>
      <c r="R342" s="6"/>
      <c r="S342" s="6"/>
      <c r="T342" s="6"/>
      <c r="U342" s="51"/>
      <c r="V342" s="51"/>
      <c r="W342" s="51"/>
      <c r="X342" s="51"/>
      <c r="Y342" s="51"/>
      <c r="Z342" s="51"/>
      <c r="AA342" s="51"/>
      <c r="AB342" s="51"/>
      <c r="AC342" s="51"/>
    </row>
    <row r="343">
      <c r="B343" s="6"/>
      <c r="C343" s="50"/>
      <c r="D343" s="50"/>
      <c r="E343" s="50"/>
      <c r="F343" s="50"/>
      <c r="G343" s="50"/>
      <c r="H343" s="50"/>
      <c r="I343" s="50"/>
      <c r="J343" s="50"/>
      <c r="K343" s="79"/>
      <c r="L343" s="6"/>
      <c r="M343" s="6"/>
      <c r="N343" s="6"/>
      <c r="O343" s="6"/>
      <c r="P343" s="6"/>
      <c r="Q343" s="6"/>
      <c r="R343" s="6"/>
      <c r="S343" s="6"/>
      <c r="T343" s="6"/>
      <c r="U343" s="51"/>
      <c r="V343" s="51"/>
      <c r="W343" s="51"/>
      <c r="X343" s="51"/>
      <c r="Y343" s="51"/>
      <c r="Z343" s="51"/>
      <c r="AA343" s="51"/>
      <c r="AB343" s="51"/>
      <c r="AC343" s="51"/>
    </row>
    <row r="344">
      <c r="B344" s="6"/>
      <c r="C344" s="50"/>
      <c r="D344" s="50"/>
      <c r="E344" s="50"/>
      <c r="F344" s="50"/>
      <c r="G344" s="50"/>
      <c r="H344" s="50"/>
      <c r="I344" s="50"/>
      <c r="J344" s="50"/>
      <c r="K344" s="79"/>
      <c r="L344" s="6"/>
      <c r="M344" s="6"/>
      <c r="N344" s="6"/>
      <c r="O344" s="6"/>
      <c r="P344" s="6"/>
      <c r="Q344" s="6"/>
      <c r="R344" s="6"/>
      <c r="S344" s="6"/>
      <c r="T344" s="6"/>
      <c r="U344" s="51"/>
      <c r="V344" s="51"/>
      <c r="W344" s="51"/>
      <c r="X344" s="51"/>
      <c r="Y344" s="51"/>
      <c r="Z344" s="51"/>
      <c r="AA344" s="51"/>
      <c r="AB344" s="51"/>
      <c r="AC344" s="51"/>
    </row>
    <row r="345">
      <c r="B345" s="6"/>
      <c r="C345" s="50"/>
      <c r="D345" s="50"/>
      <c r="E345" s="50"/>
      <c r="F345" s="50"/>
      <c r="G345" s="50"/>
      <c r="H345" s="50"/>
      <c r="I345" s="50"/>
      <c r="J345" s="50"/>
      <c r="K345" s="79"/>
      <c r="L345" s="6"/>
      <c r="M345" s="6"/>
      <c r="N345" s="6"/>
      <c r="O345" s="6"/>
      <c r="P345" s="6"/>
      <c r="Q345" s="6"/>
      <c r="R345" s="6"/>
      <c r="S345" s="6"/>
      <c r="T345" s="6"/>
      <c r="U345" s="51"/>
      <c r="V345" s="51"/>
      <c r="W345" s="51"/>
      <c r="X345" s="51"/>
      <c r="Y345" s="51"/>
      <c r="Z345" s="51"/>
      <c r="AA345" s="51"/>
      <c r="AB345" s="51"/>
      <c r="AC345" s="51"/>
    </row>
    <row r="346">
      <c r="B346" s="6"/>
      <c r="C346" s="50"/>
      <c r="D346" s="50"/>
      <c r="E346" s="50"/>
      <c r="F346" s="50"/>
      <c r="G346" s="50"/>
      <c r="H346" s="50"/>
      <c r="I346" s="50"/>
      <c r="J346" s="50"/>
      <c r="K346" s="79"/>
      <c r="L346" s="6"/>
      <c r="M346" s="6"/>
      <c r="N346" s="6"/>
      <c r="O346" s="6"/>
      <c r="P346" s="6"/>
      <c r="Q346" s="6"/>
      <c r="R346" s="6"/>
      <c r="S346" s="6"/>
      <c r="T346" s="6"/>
      <c r="U346" s="51"/>
      <c r="V346" s="51"/>
      <c r="W346" s="51"/>
      <c r="X346" s="51"/>
      <c r="Y346" s="51"/>
      <c r="Z346" s="51"/>
      <c r="AA346" s="51"/>
      <c r="AB346" s="51"/>
      <c r="AC346" s="51"/>
    </row>
    <row r="347">
      <c r="B347" s="6"/>
      <c r="C347" s="50"/>
      <c r="D347" s="50"/>
      <c r="E347" s="50"/>
      <c r="F347" s="50"/>
      <c r="G347" s="50"/>
      <c r="H347" s="50"/>
      <c r="I347" s="50"/>
      <c r="J347" s="50"/>
      <c r="K347" s="79"/>
      <c r="L347" s="6"/>
      <c r="M347" s="6"/>
      <c r="N347" s="6"/>
      <c r="O347" s="6"/>
      <c r="P347" s="6"/>
      <c r="Q347" s="6"/>
      <c r="R347" s="6"/>
      <c r="S347" s="6"/>
      <c r="T347" s="6"/>
      <c r="U347" s="51"/>
      <c r="V347" s="51"/>
      <c r="W347" s="51"/>
      <c r="X347" s="51"/>
      <c r="Y347" s="51"/>
      <c r="Z347" s="51"/>
      <c r="AA347" s="51"/>
      <c r="AB347" s="51"/>
      <c r="AC347" s="51"/>
    </row>
    <row r="348">
      <c r="B348" s="6"/>
      <c r="C348" s="50"/>
      <c r="D348" s="50"/>
      <c r="E348" s="50"/>
      <c r="F348" s="50"/>
      <c r="G348" s="50"/>
      <c r="H348" s="50"/>
      <c r="I348" s="50"/>
      <c r="J348" s="50"/>
      <c r="K348" s="79"/>
      <c r="L348" s="6"/>
      <c r="M348" s="6"/>
      <c r="N348" s="6"/>
      <c r="O348" s="6"/>
      <c r="P348" s="6"/>
      <c r="Q348" s="6"/>
      <c r="R348" s="6"/>
      <c r="S348" s="6"/>
      <c r="T348" s="6"/>
      <c r="U348" s="51"/>
      <c r="V348" s="51"/>
      <c r="W348" s="51"/>
      <c r="X348" s="51"/>
      <c r="Y348" s="51"/>
      <c r="Z348" s="51"/>
      <c r="AA348" s="51"/>
      <c r="AB348" s="51"/>
      <c r="AC348" s="51"/>
    </row>
    <row r="349">
      <c r="B349" s="6"/>
      <c r="C349" s="50"/>
      <c r="D349" s="50"/>
      <c r="E349" s="50"/>
      <c r="F349" s="50"/>
      <c r="G349" s="50"/>
      <c r="H349" s="50"/>
      <c r="I349" s="50"/>
      <c r="J349" s="50"/>
      <c r="K349" s="79"/>
      <c r="L349" s="6"/>
      <c r="M349" s="6"/>
      <c r="N349" s="6"/>
      <c r="O349" s="6"/>
      <c r="P349" s="6"/>
      <c r="Q349" s="6"/>
      <c r="R349" s="6"/>
      <c r="S349" s="6"/>
      <c r="T349" s="6"/>
      <c r="U349" s="51"/>
      <c r="V349" s="51"/>
      <c r="W349" s="51"/>
      <c r="X349" s="51"/>
      <c r="Y349" s="51"/>
      <c r="Z349" s="51"/>
      <c r="AA349" s="51"/>
      <c r="AB349" s="51"/>
      <c r="AC349" s="51"/>
    </row>
    <row r="350">
      <c r="B350" s="6"/>
      <c r="C350" s="50"/>
      <c r="D350" s="50"/>
      <c r="E350" s="50"/>
      <c r="F350" s="50"/>
      <c r="G350" s="50"/>
      <c r="H350" s="50"/>
      <c r="I350" s="50"/>
      <c r="J350" s="50"/>
      <c r="K350" s="79"/>
      <c r="L350" s="6"/>
      <c r="M350" s="6"/>
      <c r="N350" s="6"/>
      <c r="O350" s="6"/>
      <c r="P350" s="6"/>
      <c r="Q350" s="6"/>
      <c r="R350" s="6"/>
      <c r="S350" s="6"/>
      <c r="T350" s="6"/>
      <c r="U350" s="51"/>
      <c r="V350" s="51"/>
      <c r="W350" s="51"/>
      <c r="X350" s="51"/>
      <c r="Y350" s="51"/>
      <c r="Z350" s="51"/>
      <c r="AA350" s="51"/>
      <c r="AB350" s="51"/>
      <c r="AC350" s="51"/>
    </row>
    <row r="351">
      <c r="B351" s="6"/>
      <c r="C351" s="50"/>
      <c r="D351" s="50"/>
      <c r="E351" s="50"/>
      <c r="F351" s="50"/>
      <c r="G351" s="50"/>
      <c r="H351" s="50"/>
      <c r="I351" s="50"/>
      <c r="J351" s="50"/>
      <c r="K351" s="79"/>
      <c r="L351" s="6"/>
      <c r="M351" s="6"/>
      <c r="N351" s="6"/>
      <c r="O351" s="6"/>
      <c r="P351" s="6"/>
      <c r="Q351" s="6"/>
      <c r="R351" s="6"/>
      <c r="S351" s="6"/>
      <c r="T351" s="6"/>
      <c r="U351" s="51"/>
      <c r="V351" s="51"/>
      <c r="W351" s="51"/>
      <c r="X351" s="51"/>
      <c r="Y351" s="51"/>
      <c r="Z351" s="51"/>
      <c r="AA351" s="51"/>
      <c r="AB351" s="51"/>
      <c r="AC351" s="51"/>
    </row>
    <row r="352">
      <c r="B352" s="6"/>
      <c r="C352" s="50"/>
      <c r="D352" s="50"/>
      <c r="E352" s="50"/>
      <c r="F352" s="50"/>
      <c r="G352" s="50"/>
      <c r="H352" s="50"/>
      <c r="I352" s="50"/>
      <c r="J352" s="50"/>
      <c r="K352" s="79"/>
      <c r="L352" s="6"/>
      <c r="M352" s="6"/>
      <c r="N352" s="6"/>
      <c r="O352" s="6"/>
      <c r="P352" s="6"/>
      <c r="Q352" s="6"/>
      <c r="R352" s="6"/>
      <c r="S352" s="6"/>
      <c r="T352" s="6"/>
      <c r="U352" s="51"/>
      <c r="V352" s="51"/>
      <c r="W352" s="51"/>
      <c r="X352" s="51"/>
      <c r="Y352" s="51"/>
      <c r="Z352" s="51"/>
      <c r="AA352" s="51"/>
      <c r="AB352" s="51"/>
      <c r="AC352" s="51"/>
    </row>
    <row r="353">
      <c r="B353" s="6"/>
      <c r="C353" s="50"/>
      <c r="D353" s="50"/>
      <c r="E353" s="50"/>
      <c r="F353" s="50"/>
      <c r="G353" s="50"/>
      <c r="H353" s="50"/>
      <c r="I353" s="50"/>
      <c r="J353" s="50"/>
      <c r="K353" s="79"/>
      <c r="L353" s="6"/>
      <c r="M353" s="6"/>
      <c r="N353" s="6"/>
      <c r="O353" s="6"/>
      <c r="P353" s="6"/>
      <c r="Q353" s="6"/>
      <c r="R353" s="6"/>
      <c r="S353" s="6"/>
      <c r="T353" s="6"/>
      <c r="U353" s="51"/>
      <c r="V353" s="51"/>
      <c r="W353" s="51"/>
      <c r="X353" s="51"/>
      <c r="Y353" s="51"/>
      <c r="Z353" s="51"/>
      <c r="AA353" s="51"/>
      <c r="AB353" s="51"/>
      <c r="AC353" s="51"/>
    </row>
    <row r="354">
      <c r="B354" s="6"/>
      <c r="C354" s="50"/>
      <c r="D354" s="50"/>
      <c r="E354" s="50"/>
      <c r="F354" s="50"/>
      <c r="G354" s="50"/>
      <c r="H354" s="50"/>
      <c r="I354" s="50"/>
      <c r="J354" s="50"/>
      <c r="K354" s="79"/>
      <c r="L354" s="6"/>
      <c r="M354" s="6"/>
      <c r="N354" s="6"/>
      <c r="O354" s="6"/>
      <c r="P354" s="6"/>
      <c r="Q354" s="6"/>
      <c r="R354" s="6"/>
      <c r="S354" s="6"/>
      <c r="T354" s="6"/>
      <c r="U354" s="51"/>
      <c r="V354" s="51"/>
      <c r="W354" s="51"/>
      <c r="X354" s="51"/>
      <c r="Y354" s="51"/>
      <c r="Z354" s="51"/>
      <c r="AA354" s="51"/>
      <c r="AB354" s="51"/>
      <c r="AC354" s="51"/>
    </row>
    <row r="355">
      <c r="B355" s="6"/>
      <c r="C355" s="50"/>
      <c r="D355" s="50"/>
      <c r="E355" s="50"/>
      <c r="F355" s="50"/>
      <c r="G355" s="50"/>
      <c r="H355" s="50"/>
      <c r="I355" s="50"/>
      <c r="J355" s="50"/>
      <c r="K355" s="79"/>
      <c r="L355" s="6"/>
      <c r="M355" s="6"/>
      <c r="N355" s="6"/>
      <c r="O355" s="6"/>
      <c r="P355" s="6"/>
      <c r="Q355" s="6"/>
      <c r="R355" s="6"/>
      <c r="S355" s="6"/>
      <c r="T355" s="6"/>
      <c r="U355" s="51"/>
      <c r="V355" s="51"/>
      <c r="W355" s="51"/>
      <c r="X355" s="51"/>
      <c r="Y355" s="51"/>
      <c r="Z355" s="51"/>
      <c r="AA355" s="51"/>
      <c r="AB355" s="51"/>
      <c r="AC355" s="51"/>
    </row>
    <row r="356">
      <c r="B356" s="6"/>
      <c r="C356" s="50"/>
      <c r="D356" s="50"/>
      <c r="E356" s="50"/>
      <c r="F356" s="50"/>
      <c r="G356" s="50"/>
      <c r="H356" s="50"/>
      <c r="I356" s="50"/>
      <c r="J356" s="50"/>
      <c r="K356" s="79"/>
      <c r="L356" s="6"/>
      <c r="M356" s="6"/>
      <c r="N356" s="6"/>
      <c r="O356" s="6"/>
      <c r="P356" s="6"/>
      <c r="Q356" s="6"/>
      <c r="R356" s="6"/>
      <c r="S356" s="6"/>
      <c r="T356" s="6"/>
      <c r="U356" s="51"/>
      <c r="V356" s="51"/>
      <c r="W356" s="51"/>
      <c r="X356" s="51"/>
      <c r="Y356" s="51"/>
      <c r="Z356" s="51"/>
      <c r="AA356" s="51"/>
      <c r="AB356" s="51"/>
      <c r="AC356" s="51"/>
    </row>
    <row r="357">
      <c r="B357" s="6"/>
      <c r="C357" s="50"/>
      <c r="D357" s="50"/>
      <c r="E357" s="50"/>
      <c r="F357" s="50"/>
      <c r="G357" s="50"/>
      <c r="H357" s="50"/>
      <c r="I357" s="50"/>
      <c r="J357" s="50"/>
      <c r="K357" s="79"/>
      <c r="L357" s="6"/>
      <c r="M357" s="6"/>
      <c r="N357" s="6"/>
      <c r="O357" s="6"/>
      <c r="P357" s="6"/>
      <c r="Q357" s="6"/>
      <c r="R357" s="6"/>
      <c r="S357" s="6"/>
      <c r="T357" s="6"/>
      <c r="U357" s="51"/>
      <c r="V357" s="51"/>
      <c r="W357" s="51"/>
      <c r="X357" s="51"/>
      <c r="Y357" s="51"/>
      <c r="Z357" s="51"/>
      <c r="AA357" s="51"/>
      <c r="AB357" s="51"/>
      <c r="AC357" s="51"/>
    </row>
    <row r="358">
      <c r="B358" s="6"/>
      <c r="C358" s="50"/>
      <c r="D358" s="50"/>
      <c r="E358" s="50"/>
      <c r="F358" s="50"/>
      <c r="G358" s="50"/>
      <c r="H358" s="50"/>
      <c r="I358" s="50"/>
      <c r="J358" s="50"/>
      <c r="K358" s="79"/>
      <c r="L358" s="6"/>
      <c r="M358" s="6"/>
      <c r="N358" s="6"/>
      <c r="O358" s="6"/>
      <c r="P358" s="6"/>
      <c r="Q358" s="6"/>
      <c r="R358" s="6"/>
      <c r="S358" s="6"/>
      <c r="T358" s="6"/>
      <c r="U358" s="51"/>
      <c r="V358" s="51"/>
      <c r="W358" s="51"/>
      <c r="X358" s="51"/>
      <c r="Y358" s="51"/>
      <c r="Z358" s="51"/>
      <c r="AA358" s="51"/>
      <c r="AB358" s="51"/>
      <c r="AC358" s="51"/>
    </row>
    <row r="359">
      <c r="B359" s="6"/>
      <c r="C359" s="50"/>
      <c r="D359" s="50"/>
      <c r="E359" s="50"/>
      <c r="F359" s="50"/>
      <c r="G359" s="50"/>
      <c r="H359" s="50"/>
      <c r="I359" s="50"/>
      <c r="J359" s="50"/>
      <c r="K359" s="79"/>
      <c r="L359" s="6"/>
      <c r="M359" s="6"/>
      <c r="N359" s="6"/>
      <c r="O359" s="6"/>
      <c r="P359" s="6"/>
      <c r="Q359" s="6"/>
      <c r="R359" s="6"/>
      <c r="S359" s="6"/>
      <c r="T359" s="6"/>
      <c r="U359" s="51"/>
      <c r="V359" s="51"/>
      <c r="W359" s="51"/>
      <c r="X359" s="51"/>
      <c r="Y359" s="51"/>
      <c r="Z359" s="51"/>
      <c r="AA359" s="51"/>
      <c r="AB359" s="51"/>
      <c r="AC359" s="51"/>
    </row>
    <row r="360">
      <c r="B360" s="6"/>
      <c r="C360" s="50"/>
      <c r="D360" s="50"/>
      <c r="E360" s="50"/>
      <c r="F360" s="50"/>
      <c r="G360" s="50"/>
      <c r="H360" s="50"/>
      <c r="I360" s="50"/>
      <c r="J360" s="50"/>
      <c r="K360" s="79"/>
      <c r="L360" s="6"/>
      <c r="M360" s="6"/>
      <c r="N360" s="6"/>
      <c r="O360" s="6"/>
      <c r="P360" s="6"/>
      <c r="Q360" s="6"/>
      <c r="R360" s="6"/>
      <c r="S360" s="6"/>
      <c r="T360" s="6"/>
      <c r="U360" s="51"/>
      <c r="V360" s="51"/>
      <c r="W360" s="51"/>
      <c r="X360" s="51"/>
      <c r="Y360" s="51"/>
      <c r="Z360" s="51"/>
      <c r="AA360" s="51"/>
      <c r="AB360" s="51"/>
      <c r="AC360" s="51"/>
    </row>
    <row r="361">
      <c r="B361" s="6"/>
      <c r="C361" s="50"/>
      <c r="D361" s="50"/>
      <c r="E361" s="50"/>
      <c r="F361" s="50"/>
      <c r="G361" s="50"/>
      <c r="H361" s="50"/>
      <c r="I361" s="50"/>
      <c r="J361" s="50"/>
      <c r="K361" s="79"/>
      <c r="L361" s="6"/>
      <c r="M361" s="6"/>
      <c r="N361" s="6"/>
      <c r="O361" s="6"/>
      <c r="P361" s="6"/>
      <c r="Q361" s="6"/>
      <c r="R361" s="6"/>
      <c r="S361" s="6"/>
      <c r="T361" s="6"/>
      <c r="U361" s="51"/>
      <c r="V361" s="51"/>
      <c r="W361" s="51"/>
      <c r="X361" s="51"/>
      <c r="Y361" s="51"/>
      <c r="Z361" s="51"/>
      <c r="AA361" s="51"/>
      <c r="AB361" s="51"/>
      <c r="AC361" s="51"/>
    </row>
    <row r="362">
      <c r="B362" s="6"/>
      <c r="C362" s="50"/>
      <c r="D362" s="50"/>
      <c r="E362" s="50"/>
      <c r="F362" s="50"/>
      <c r="G362" s="50"/>
      <c r="H362" s="50"/>
      <c r="I362" s="50"/>
      <c r="J362" s="50"/>
      <c r="K362" s="79"/>
      <c r="L362" s="6"/>
      <c r="M362" s="6"/>
      <c r="N362" s="6"/>
      <c r="O362" s="6"/>
      <c r="P362" s="6"/>
      <c r="Q362" s="6"/>
      <c r="R362" s="6"/>
      <c r="S362" s="6"/>
      <c r="T362" s="6"/>
      <c r="U362" s="51"/>
      <c r="V362" s="51"/>
      <c r="W362" s="51"/>
      <c r="X362" s="51"/>
      <c r="Y362" s="51"/>
      <c r="Z362" s="51"/>
      <c r="AA362" s="51"/>
      <c r="AB362" s="51"/>
      <c r="AC362" s="51"/>
    </row>
    <row r="363">
      <c r="B363" s="6"/>
      <c r="C363" s="50"/>
      <c r="D363" s="50"/>
      <c r="E363" s="50"/>
      <c r="F363" s="50"/>
      <c r="G363" s="50"/>
      <c r="H363" s="50"/>
      <c r="I363" s="50"/>
      <c r="J363" s="50"/>
      <c r="K363" s="79"/>
      <c r="L363" s="6"/>
      <c r="M363" s="6"/>
      <c r="N363" s="6"/>
      <c r="O363" s="6"/>
      <c r="P363" s="6"/>
      <c r="Q363" s="6"/>
      <c r="R363" s="6"/>
      <c r="S363" s="6"/>
      <c r="T363" s="6"/>
      <c r="U363" s="51"/>
      <c r="V363" s="51"/>
      <c r="W363" s="51"/>
      <c r="X363" s="51"/>
      <c r="Y363" s="51"/>
      <c r="Z363" s="51"/>
      <c r="AA363" s="51"/>
      <c r="AB363" s="51"/>
      <c r="AC363" s="51"/>
    </row>
    <row r="364">
      <c r="B364" s="6"/>
      <c r="C364" s="50"/>
      <c r="D364" s="50"/>
      <c r="E364" s="50"/>
      <c r="F364" s="50"/>
      <c r="G364" s="50"/>
      <c r="H364" s="50"/>
      <c r="I364" s="50"/>
      <c r="J364" s="50"/>
      <c r="K364" s="79"/>
      <c r="L364" s="6"/>
      <c r="M364" s="6"/>
      <c r="N364" s="6"/>
      <c r="O364" s="6"/>
      <c r="P364" s="6"/>
      <c r="Q364" s="6"/>
      <c r="R364" s="6"/>
      <c r="S364" s="6"/>
      <c r="T364" s="6"/>
      <c r="U364" s="51"/>
      <c r="V364" s="51"/>
      <c r="W364" s="51"/>
      <c r="X364" s="51"/>
      <c r="Y364" s="51"/>
      <c r="Z364" s="51"/>
      <c r="AA364" s="51"/>
      <c r="AB364" s="51"/>
      <c r="AC364" s="51"/>
    </row>
    <row r="365">
      <c r="B365" s="6"/>
      <c r="C365" s="50"/>
      <c r="D365" s="50"/>
      <c r="E365" s="50"/>
      <c r="F365" s="50"/>
      <c r="G365" s="50"/>
      <c r="H365" s="50"/>
      <c r="I365" s="50"/>
      <c r="J365" s="50"/>
      <c r="K365" s="79"/>
      <c r="L365" s="6"/>
      <c r="M365" s="6"/>
      <c r="N365" s="6"/>
      <c r="O365" s="6"/>
      <c r="P365" s="6"/>
      <c r="Q365" s="6"/>
      <c r="R365" s="6"/>
      <c r="S365" s="6"/>
      <c r="T365" s="6"/>
      <c r="U365" s="51"/>
      <c r="V365" s="51"/>
      <c r="W365" s="51"/>
      <c r="X365" s="51"/>
      <c r="Y365" s="51"/>
      <c r="Z365" s="51"/>
      <c r="AA365" s="51"/>
      <c r="AB365" s="51"/>
      <c r="AC365" s="51"/>
    </row>
    <row r="366">
      <c r="B366" s="6"/>
      <c r="C366" s="50"/>
      <c r="D366" s="50"/>
      <c r="E366" s="50"/>
      <c r="F366" s="50"/>
      <c r="G366" s="50"/>
      <c r="H366" s="50"/>
      <c r="I366" s="50"/>
      <c r="J366" s="50"/>
      <c r="K366" s="79"/>
      <c r="L366" s="6"/>
      <c r="M366" s="6"/>
      <c r="N366" s="6"/>
      <c r="O366" s="6"/>
      <c r="P366" s="6"/>
      <c r="Q366" s="6"/>
      <c r="R366" s="6"/>
      <c r="S366" s="6"/>
      <c r="T366" s="6"/>
      <c r="U366" s="51"/>
      <c r="V366" s="51"/>
      <c r="W366" s="51"/>
      <c r="X366" s="51"/>
      <c r="Y366" s="51"/>
      <c r="Z366" s="51"/>
      <c r="AA366" s="51"/>
      <c r="AB366" s="51"/>
      <c r="AC366" s="51"/>
    </row>
    <row r="367">
      <c r="B367" s="6"/>
      <c r="C367" s="50"/>
      <c r="D367" s="50"/>
      <c r="E367" s="50"/>
      <c r="F367" s="50"/>
      <c r="G367" s="50"/>
      <c r="H367" s="50"/>
      <c r="I367" s="50"/>
      <c r="J367" s="50"/>
      <c r="K367" s="79"/>
      <c r="L367" s="6"/>
      <c r="M367" s="6"/>
      <c r="N367" s="6"/>
      <c r="O367" s="6"/>
      <c r="P367" s="6"/>
      <c r="Q367" s="6"/>
      <c r="R367" s="6"/>
      <c r="S367" s="6"/>
      <c r="T367" s="6"/>
      <c r="U367" s="51"/>
      <c r="V367" s="51"/>
      <c r="W367" s="51"/>
      <c r="X367" s="51"/>
      <c r="Y367" s="51"/>
      <c r="Z367" s="51"/>
      <c r="AA367" s="51"/>
      <c r="AB367" s="51"/>
      <c r="AC367" s="51"/>
    </row>
    <row r="368">
      <c r="B368" s="6"/>
      <c r="C368" s="50"/>
      <c r="D368" s="50"/>
      <c r="E368" s="50"/>
      <c r="F368" s="50"/>
      <c r="G368" s="50"/>
      <c r="H368" s="50"/>
      <c r="I368" s="50"/>
      <c r="J368" s="50"/>
      <c r="K368" s="79"/>
      <c r="L368" s="6"/>
      <c r="M368" s="6"/>
      <c r="N368" s="6"/>
      <c r="O368" s="6"/>
      <c r="P368" s="6"/>
      <c r="Q368" s="6"/>
      <c r="R368" s="6"/>
      <c r="S368" s="6"/>
      <c r="T368" s="6"/>
      <c r="U368" s="51"/>
      <c r="V368" s="51"/>
      <c r="W368" s="51"/>
      <c r="X368" s="51"/>
      <c r="Y368" s="51"/>
      <c r="Z368" s="51"/>
      <c r="AA368" s="51"/>
      <c r="AB368" s="51"/>
      <c r="AC368" s="51"/>
    </row>
    <row r="369">
      <c r="B369" s="6"/>
      <c r="C369" s="50"/>
      <c r="D369" s="50"/>
      <c r="E369" s="50"/>
      <c r="F369" s="50"/>
      <c r="G369" s="50"/>
      <c r="H369" s="50"/>
      <c r="I369" s="50"/>
      <c r="J369" s="50"/>
      <c r="K369" s="79"/>
      <c r="L369" s="6"/>
      <c r="M369" s="6"/>
      <c r="N369" s="6"/>
      <c r="O369" s="6"/>
      <c r="P369" s="6"/>
      <c r="Q369" s="6"/>
      <c r="R369" s="6"/>
      <c r="S369" s="6"/>
      <c r="T369" s="6"/>
      <c r="U369" s="51"/>
      <c r="V369" s="51"/>
      <c r="W369" s="51"/>
      <c r="X369" s="51"/>
      <c r="Y369" s="51"/>
      <c r="Z369" s="51"/>
      <c r="AA369" s="51"/>
      <c r="AB369" s="51"/>
      <c r="AC369" s="51"/>
    </row>
    <row r="370">
      <c r="B370" s="6"/>
      <c r="C370" s="50"/>
      <c r="D370" s="50"/>
      <c r="E370" s="50"/>
      <c r="F370" s="50"/>
      <c r="G370" s="50"/>
      <c r="H370" s="50"/>
      <c r="I370" s="50"/>
      <c r="J370" s="50"/>
      <c r="K370" s="79"/>
      <c r="L370" s="6"/>
      <c r="M370" s="6"/>
      <c r="N370" s="6"/>
      <c r="O370" s="6"/>
      <c r="P370" s="6"/>
      <c r="Q370" s="6"/>
      <c r="R370" s="6"/>
      <c r="S370" s="6"/>
      <c r="T370" s="6"/>
      <c r="U370" s="51"/>
      <c r="V370" s="51"/>
      <c r="W370" s="51"/>
      <c r="X370" s="51"/>
      <c r="Y370" s="51"/>
      <c r="Z370" s="51"/>
      <c r="AA370" s="51"/>
      <c r="AB370" s="51"/>
      <c r="AC370" s="51"/>
    </row>
    <row r="371">
      <c r="B371" s="6"/>
      <c r="C371" s="50"/>
      <c r="D371" s="50"/>
      <c r="E371" s="50"/>
      <c r="F371" s="50"/>
      <c r="G371" s="50"/>
      <c r="H371" s="50"/>
      <c r="I371" s="50"/>
      <c r="J371" s="50"/>
      <c r="K371" s="79"/>
      <c r="L371" s="6"/>
      <c r="M371" s="6"/>
      <c r="N371" s="6"/>
      <c r="O371" s="6"/>
      <c r="P371" s="6"/>
      <c r="Q371" s="6"/>
      <c r="R371" s="6"/>
      <c r="S371" s="6"/>
      <c r="T371" s="6"/>
      <c r="U371" s="51"/>
      <c r="V371" s="51"/>
      <c r="W371" s="51"/>
      <c r="X371" s="51"/>
      <c r="Y371" s="51"/>
      <c r="Z371" s="51"/>
      <c r="AA371" s="51"/>
      <c r="AB371" s="51"/>
      <c r="AC371" s="51"/>
    </row>
    <row r="372">
      <c r="B372" s="6"/>
      <c r="C372" s="50"/>
      <c r="D372" s="50"/>
      <c r="E372" s="50"/>
      <c r="F372" s="50"/>
      <c r="G372" s="50"/>
      <c r="H372" s="50"/>
      <c r="I372" s="50"/>
      <c r="J372" s="50"/>
      <c r="K372" s="79"/>
      <c r="L372" s="6"/>
      <c r="M372" s="6"/>
      <c r="N372" s="6"/>
      <c r="O372" s="6"/>
      <c r="P372" s="6"/>
      <c r="Q372" s="6"/>
      <c r="R372" s="6"/>
      <c r="S372" s="6"/>
      <c r="T372" s="6"/>
      <c r="U372" s="51"/>
      <c r="V372" s="51"/>
      <c r="W372" s="51"/>
      <c r="X372" s="51"/>
      <c r="Y372" s="51"/>
      <c r="Z372" s="51"/>
      <c r="AA372" s="51"/>
      <c r="AB372" s="51"/>
      <c r="AC372" s="51"/>
    </row>
    <row r="373">
      <c r="B373" s="6"/>
      <c r="C373" s="50"/>
      <c r="D373" s="50"/>
      <c r="E373" s="50"/>
      <c r="F373" s="50"/>
      <c r="G373" s="50"/>
      <c r="H373" s="50"/>
      <c r="I373" s="50"/>
      <c r="J373" s="50"/>
      <c r="K373" s="79"/>
      <c r="L373" s="6"/>
      <c r="M373" s="6"/>
      <c r="N373" s="6"/>
      <c r="O373" s="6"/>
      <c r="P373" s="6"/>
      <c r="Q373" s="6"/>
      <c r="R373" s="6"/>
      <c r="S373" s="6"/>
      <c r="T373" s="6"/>
      <c r="U373" s="51"/>
      <c r="V373" s="51"/>
      <c r="W373" s="51"/>
      <c r="X373" s="51"/>
      <c r="Y373" s="51"/>
      <c r="Z373" s="51"/>
      <c r="AA373" s="51"/>
      <c r="AB373" s="51"/>
      <c r="AC373" s="51"/>
    </row>
    <row r="374">
      <c r="B374" s="6"/>
      <c r="C374" s="50"/>
      <c r="D374" s="50"/>
      <c r="E374" s="50"/>
      <c r="F374" s="50"/>
      <c r="G374" s="50"/>
      <c r="H374" s="50"/>
      <c r="I374" s="50"/>
      <c r="J374" s="50"/>
      <c r="K374" s="79"/>
      <c r="L374" s="6"/>
      <c r="M374" s="6"/>
      <c r="N374" s="6"/>
      <c r="O374" s="6"/>
      <c r="P374" s="6"/>
      <c r="Q374" s="6"/>
      <c r="R374" s="6"/>
      <c r="S374" s="6"/>
      <c r="T374" s="6"/>
      <c r="U374" s="51"/>
      <c r="V374" s="51"/>
      <c r="W374" s="51"/>
      <c r="X374" s="51"/>
      <c r="Y374" s="51"/>
      <c r="Z374" s="51"/>
      <c r="AA374" s="51"/>
      <c r="AB374" s="51"/>
      <c r="AC374" s="51"/>
    </row>
    <row r="375">
      <c r="B375" s="6"/>
      <c r="C375" s="50"/>
      <c r="D375" s="50"/>
      <c r="E375" s="50"/>
      <c r="F375" s="50"/>
      <c r="G375" s="50"/>
      <c r="H375" s="50"/>
      <c r="I375" s="50"/>
      <c r="J375" s="50"/>
      <c r="K375" s="79"/>
      <c r="L375" s="6"/>
      <c r="M375" s="6"/>
      <c r="N375" s="6"/>
      <c r="O375" s="6"/>
      <c r="P375" s="6"/>
      <c r="Q375" s="6"/>
      <c r="R375" s="6"/>
      <c r="S375" s="6"/>
      <c r="T375" s="6"/>
      <c r="U375" s="51"/>
      <c r="V375" s="51"/>
      <c r="W375" s="51"/>
      <c r="X375" s="51"/>
      <c r="Y375" s="51"/>
      <c r="Z375" s="51"/>
      <c r="AA375" s="51"/>
      <c r="AB375" s="51"/>
      <c r="AC375" s="51"/>
    </row>
    <row r="376">
      <c r="B376" s="6"/>
      <c r="C376" s="50"/>
      <c r="D376" s="50"/>
      <c r="E376" s="50"/>
      <c r="F376" s="50"/>
      <c r="G376" s="50"/>
      <c r="H376" s="50"/>
      <c r="I376" s="50"/>
      <c r="J376" s="50"/>
      <c r="K376" s="79"/>
      <c r="L376" s="6"/>
      <c r="M376" s="6"/>
      <c r="N376" s="6"/>
      <c r="O376" s="6"/>
      <c r="P376" s="6"/>
      <c r="Q376" s="6"/>
      <c r="R376" s="6"/>
      <c r="S376" s="6"/>
      <c r="T376" s="6"/>
      <c r="U376" s="51"/>
      <c r="V376" s="51"/>
      <c r="W376" s="51"/>
      <c r="X376" s="51"/>
      <c r="Y376" s="51"/>
      <c r="Z376" s="51"/>
      <c r="AA376" s="51"/>
      <c r="AB376" s="51"/>
      <c r="AC376" s="51"/>
    </row>
    <row r="377">
      <c r="B377" s="6"/>
      <c r="C377" s="50"/>
      <c r="D377" s="50"/>
      <c r="E377" s="50"/>
      <c r="F377" s="50"/>
      <c r="G377" s="50"/>
      <c r="H377" s="50"/>
      <c r="I377" s="50"/>
      <c r="J377" s="50"/>
      <c r="K377" s="79"/>
      <c r="L377" s="6"/>
      <c r="M377" s="6"/>
      <c r="N377" s="6"/>
      <c r="O377" s="6"/>
      <c r="P377" s="6"/>
      <c r="Q377" s="6"/>
      <c r="R377" s="6"/>
      <c r="S377" s="6"/>
      <c r="T377" s="6"/>
      <c r="U377" s="51"/>
      <c r="V377" s="51"/>
      <c r="W377" s="51"/>
      <c r="X377" s="51"/>
      <c r="Y377" s="51"/>
      <c r="Z377" s="51"/>
      <c r="AA377" s="51"/>
      <c r="AB377" s="51"/>
      <c r="AC377" s="51"/>
    </row>
    <row r="378">
      <c r="B378" s="6"/>
      <c r="C378" s="50"/>
      <c r="D378" s="50"/>
      <c r="E378" s="50"/>
      <c r="F378" s="50"/>
      <c r="G378" s="50"/>
      <c r="H378" s="50"/>
      <c r="I378" s="50"/>
      <c r="J378" s="50"/>
      <c r="K378" s="79"/>
      <c r="L378" s="6"/>
      <c r="M378" s="6"/>
      <c r="N378" s="6"/>
      <c r="O378" s="6"/>
      <c r="P378" s="6"/>
      <c r="Q378" s="6"/>
      <c r="R378" s="6"/>
      <c r="S378" s="6"/>
      <c r="T378" s="6"/>
      <c r="U378" s="51"/>
      <c r="V378" s="51"/>
      <c r="W378" s="51"/>
      <c r="X378" s="51"/>
      <c r="Y378" s="51"/>
      <c r="Z378" s="51"/>
      <c r="AA378" s="51"/>
      <c r="AB378" s="51"/>
      <c r="AC378" s="51"/>
    </row>
    <row r="379">
      <c r="B379" s="6"/>
      <c r="C379" s="50"/>
      <c r="D379" s="50"/>
      <c r="E379" s="50"/>
      <c r="F379" s="50"/>
      <c r="G379" s="50"/>
      <c r="H379" s="50"/>
      <c r="I379" s="50"/>
      <c r="J379" s="50"/>
      <c r="K379" s="79"/>
      <c r="L379" s="6"/>
      <c r="M379" s="6"/>
      <c r="N379" s="6"/>
      <c r="O379" s="6"/>
      <c r="P379" s="6"/>
      <c r="Q379" s="6"/>
      <c r="R379" s="6"/>
      <c r="S379" s="6"/>
      <c r="T379" s="6"/>
      <c r="U379" s="51"/>
      <c r="V379" s="51"/>
      <c r="W379" s="51"/>
      <c r="X379" s="51"/>
      <c r="Y379" s="51"/>
      <c r="Z379" s="51"/>
      <c r="AA379" s="51"/>
      <c r="AB379" s="51"/>
      <c r="AC379" s="51"/>
    </row>
    <row r="380">
      <c r="B380" s="6"/>
      <c r="C380" s="50"/>
      <c r="D380" s="50"/>
      <c r="E380" s="50"/>
      <c r="F380" s="50"/>
      <c r="G380" s="50"/>
      <c r="H380" s="50"/>
      <c r="I380" s="50"/>
      <c r="J380" s="50"/>
      <c r="K380" s="79"/>
      <c r="L380" s="6"/>
      <c r="M380" s="6"/>
      <c r="N380" s="6"/>
      <c r="O380" s="6"/>
      <c r="P380" s="6"/>
      <c r="Q380" s="6"/>
      <c r="R380" s="6"/>
      <c r="S380" s="6"/>
      <c r="T380" s="6"/>
      <c r="U380" s="51"/>
      <c r="V380" s="51"/>
      <c r="W380" s="51"/>
      <c r="X380" s="51"/>
      <c r="Y380" s="51"/>
      <c r="Z380" s="51"/>
      <c r="AA380" s="51"/>
      <c r="AB380" s="51"/>
      <c r="AC380" s="51"/>
    </row>
    <row r="381">
      <c r="B381" s="6"/>
      <c r="C381" s="50"/>
      <c r="D381" s="50"/>
      <c r="E381" s="50"/>
      <c r="F381" s="50"/>
      <c r="G381" s="50"/>
      <c r="H381" s="50"/>
      <c r="I381" s="50"/>
      <c r="J381" s="50"/>
      <c r="K381" s="79"/>
      <c r="L381" s="6"/>
      <c r="M381" s="6"/>
      <c r="N381" s="6"/>
      <c r="O381" s="6"/>
      <c r="P381" s="6"/>
      <c r="Q381" s="6"/>
      <c r="R381" s="6"/>
      <c r="S381" s="6"/>
      <c r="T381" s="6"/>
      <c r="U381" s="51"/>
      <c r="V381" s="51"/>
      <c r="W381" s="51"/>
      <c r="X381" s="51"/>
      <c r="Y381" s="51"/>
      <c r="Z381" s="51"/>
      <c r="AA381" s="51"/>
      <c r="AB381" s="51"/>
      <c r="AC381" s="51"/>
    </row>
    <row r="382">
      <c r="B382" s="6"/>
      <c r="C382" s="50"/>
      <c r="D382" s="50"/>
      <c r="E382" s="50"/>
      <c r="F382" s="50"/>
      <c r="G382" s="50"/>
      <c r="H382" s="50"/>
      <c r="I382" s="50"/>
      <c r="J382" s="50"/>
      <c r="K382" s="79"/>
      <c r="L382" s="6"/>
      <c r="M382" s="6"/>
      <c r="N382" s="6"/>
      <c r="O382" s="6"/>
      <c r="P382" s="6"/>
      <c r="Q382" s="6"/>
      <c r="R382" s="6"/>
      <c r="S382" s="6"/>
      <c r="T382" s="6"/>
      <c r="U382" s="51"/>
      <c r="V382" s="51"/>
      <c r="W382" s="51"/>
      <c r="X382" s="51"/>
      <c r="Y382" s="51"/>
      <c r="Z382" s="51"/>
      <c r="AA382" s="51"/>
      <c r="AB382" s="51"/>
      <c r="AC382" s="51"/>
    </row>
    <row r="383">
      <c r="B383" s="6"/>
      <c r="C383" s="50"/>
      <c r="D383" s="50"/>
      <c r="E383" s="50"/>
      <c r="F383" s="50"/>
      <c r="G383" s="50"/>
      <c r="H383" s="50"/>
      <c r="I383" s="50"/>
      <c r="J383" s="50"/>
      <c r="K383" s="79"/>
      <c r="L383" s="6"/>
      <c r="M383" s="6"/>
      <c r="N383" s="6"/>
      <c r="O383" s="6"/>
      <c r="P383" s="6"/>
      <c r="Q383" s="6"/>
      <c r="R383" s="6"/>
      <c r="S383" s="6"/>
      <c r="T383" s="6"/>
      <c r="U383" s="51"/>
      <c r="V383" s="51"/>
      <c r="W383" s="51"/>
      <c r="X383" s="51"/>
      <c r="Y383" s="51"/>
      <c r="Z383" s="51"/>
      <c r="AA383" s="51"/>
      <c r="AB383" s="51"/>
      <c r="AC383" s="51"/>
    </row>
    <row r="384">
      <c r="B384" s="6"/>
      <c r="C384" s="50"/>
      <c r="D384" s="50"/>
      <c r="E384" s="50"/>
      <c r="F384" s="50"/>
      <c r="G384" s="50"/>
      <c r="H384" s="50"/>
      <c r="I384" s="50"/>
      <c r="J384" s="50"/>
      <c r="K384" s="79"/>
      <c r="L384" s="6"/>
      <c r="M384" s="6"/>
      <c r="N384" s="6"/>
      <c r="O384" s="6"/>
      <c r="P384" s="6"/>
      <c r="Q384" s="6"/>
      <c r="R384" s="6"/>
      <c r="S384" s="6"/>
      <c r="T384" s="6"/>
      <c r="U384" s="51"/>
      <c r="V384" s="51"/>
      <c r="W384" s="51"/>
      <c r="X384" s="51"/>
      <c r="Y384" s="51"/>
      <c r="Z384" s="51"/>
      <c r="AA384" s="51"/>
      <c r="AB384" s="51"/>
      <c r="AC384" s="51"/>
    </row>
    <row r="385">
      <c r="B385" s="6"/>
      <c r="C385" s="50"/>
      <c r="D385" s="50"/>
      <c r="E385" s="50"/>
      <c r="F385" s="50"/>
      <c r="G385" s="50"/>
      <c r="H385" s="50"/>
      <c r="I385" s="50"/>
      <c r="J385" s="50"/>
      <c r="K385" s="79"/>
      <c r="L385" s="6"/>
      <c r="M385" s="6"/>
      <c r="N385" s="6"/>
      <c r="O385" s="6"/>
      <c r="P385" s="6"/>
      <c r="Q385" s="6"/>
      <c r="R385" s="6"/>
      <c r="S385" s="6"/>
      <c r="T385" s="6"/>
      <c r="U385" s="51"/>
      <c r="V385" s="51"/>
      <c r="W385" s="51"/>
      <c r="X385" s="51"/>
      <c r="Y385" s="51"/>
      <c r="Z385" s="51"/>
      <c r="AA385" s="51"/>
      <c r="AB385" s="51"/>
      <c r="AC385" s="51"/>
    </row>
    <row r="386">
      <c r="B386" s="6"/>
      <c r="C386" s="50"/>
      <c r="D386" s="50"/>
      <c r="E386" s="50"/>
      <c r="F386" s="50"/>
      <c r="G386" s="50"/>
      <c r="H386" s="50"/>
      <c r="I386" s="50"/>
      <c r="J386" s="50"/>
      <c r="K386" s="79"/>
      <c r="L386" s="6"/>
      <c r="M386" s="6"/>
      <c r="N386" s="6"/>
      <c r="O386" s="6"/>
      <c r="P386" s="6"/>
      <c r="Q386" s="6"/>
      <c r="R386" s="6"/>
      <c r="S386" s="6"/>
      <c r="T386" s="6"/>
      <c r="U386" s="51"/>
      <c r="V386" s="51"/>
      <c r="W386" s="51"/>
      <c r="X386" s="51"/>
      <c r="Y386" s="51"/>
      <c r="Z386" s="51"/>
      <c r="AA386" s="51"/>
      <c r="AB386" s="51"/>
      <c r="AC386" s="51"/>
    </row>
    <row r="387">
      <c r="B387" s="6"/>
      <c r="C387" s="50"/>
      <c r="D387" s="50"/>
      <c r="E387" s="50"/>
      <c r="F387" s="50"/>
      <c r="G387" s="50"/>
      <c r="H387" s="50"/>
      <c r="I387" s="50"/>
      <c r="J387" s="50"/>
      <c r="K387" s="79"/>
      <c r="L387" s="6"/>
      <c r="M387" s="6"/>
      <c r="N387" s="6"/>
      <c r="O387" s="6"/>
      <c r="P387" s="6"/>
      <c r="Q387" s="6"/>
      <c r="R387" s="6"/>
      <c r="S387" s="6"/>
      <c r="T387" s="6"/>
      <c r="U387" s="51"/>
      <c r="V387" s="51"/>
      <c r="W387" s="51"/>
      <c r="X387" s="51"/>
      <c r="Y387" s="51"/>
      <c r="Z387" s="51"/>
      <c r="AA387" s="51"/>
      <c r="AB387" s="51"/>
      <c r="AC387" s="51"/>
    </row>
    <row r="388">
      <c r="B388" s="6"/>
      <c r="C388" s="50"/>
      <c r="D388" s="50"/>
      <c r="E388" s="50"/>
      <c r="F388" s="50"/>
      <c r="G388" s="50"/>
      <c r="H388" s="50"/>
      <c r="I388" s="50"/>
      <c r="J388" s="50"/>
      <c r="K388" s="79"/>
      <c r="L388" s="6"/>
      <c r="M388" s="6"/>
      <c r="N388" s="6"/>
      <c r="O388" s="6"/>
      <c r="P388" s="6"/>
      <c r="Q388" s="6"/>
      <c r="R388" s="6"/>
      <c r="S388" s="6"/>
      <c r="T388" s="6"/>
      <c r="U388" s="51"/>
      <c r="V388" s="51"/>
      <c r="W388" s="51"/>
      <c r="X388" s="51"/>
      <c r="Y388" s="51"/>
      <c r="Z388" s="51"/>
      <c r="AA388" s="51"/>
      <c r="AB388" s="51"/>
      <c r="AC388" s="51"/>
    </row>
    <row r="389">
      <c r="B389" s="6"/>
      <c r="C389" s="50"/>
      <c r="D389" s="50"/>
      <c r="E389" s="50"/>
      <c r="F389" s="50"/>
      <c r="G389" s="50"/>
      <c r="H389" s="50"/>
      <c r="I389" s="50"/>
      <c r="J389" s="50"/>
      <c r="K389" s="79"/>
      <c r="L389" s="6"/>
      <c r="M389" s="6"/>
      <c r="N389" s="6"/>
      <c r="O389" s="6"/>
      <c r="P389" s="6"/>
      <c r="Q389" s="6"/>
      <c r="R389" s="6"/>
      <c r="S389" s="6"/>
      <c r="T389" s="6"/>
      <c r="U389" s="51"/>
      <c r="V389" s="51"/>
      <c r="W389" s="51"/>
      <c r="X389" s="51"/>
      <c r="Y389" s="51"/>
      <c r="Z389" s="51"/>
      <c r="AA389" s="51"/>
      <c r="AB389" s="51"/>
      <c r="AC389" s="51"/>
    </row>
    <row r="390">
      <c r="B390" s="6"/>
      <c r="C390" s="50"/>
      <c r="D390" s="50"/>
      <c r="E390" s="50"/>
      <c r="F390" s="50"/>
      <c r="G390" s="50"/>
      <c r="H390" s="50"/>
      <c r="I390" s="50"/>
      <c r="J390" s="50"/>
      <c r="K390" s="79"/>
      <c r="L390" s="6"/>
      <c r="M390" s="6"/>
      <c r="N390" s="6"/>
      <c r="O390" s="6"/>
      <c r="P390" s="6"/>
      <c r="Q390" s="6"/>
      <c r="R390" s="6"/>
      <c r="S390" s="6"/>
      <c r="T390" s="6"/>
      <c r="U390" s="51"/>
      <c r="V390" s="51"/>
      <c r="W390" s="51"/>
      <c r="X390" s="51"/>
      <c r="Y390" s="51"/>
      <c r="Z390" s="51"/>
      <c r="AA390" s="51"/>
      <c r="AB390" s="51"/>
      <c r="AC390" s="51"/>
    </row>
    <row r="391">
      <c r="B391" s="6"/>
      <c r="C391" s="50"/>
      <c r="D391" s="50"/>
      <c r="E391" s="50"/>
      <c r="F391" s="50"/>
      <c r="G391" s="50"/>
      <c r="H391" s="50"/>
      <c r="I391" s="50"/>
      <c r="J391" s="50"/>
      <c r="K391" s="79"/>
      <c r="L391" s="6"/>
      <c r="M391" s="6"/>
      <c r="N391" s="6"/>
      <c r="O391" s="6"/>
      <c r="P391" s="6"/>
      <c r="Q391" s="6"/>
      <c r="R391" s="6"/>
      <c r="S391" s="6"/>
      <c r="T391" s="6"/>
      <c r="U391" s="51"/>
      <c r="V391" s="51"/>
      <c r="W391" s="51"/>
      <c r="X391" s="51"/>
      <c r="Y391" s="51"/>
      <c r="Z391" s="51"/>
      <c r="AA391" s="51"/>
      <c r="AB391" s="51"/>
      <c r="AC391" s="51"/>
    </row>
    <row r="392">
      <c r="B392" s="6"/>
      <c r="C392" s="50"/>
      <c r="D392" s="50"/>
      <c r="E392" s="50"/>
      <c r="F392" s="50"/>
      <c r="G392" s="50"/>
      <c r="H392" s="50"/>
      <c r="I392" s="50"/>
      <c r="J392" s="50"/>
      <c r="K392" s="79"/>
      <c r="L392" s="6"/>
      <c r="M392" s="6"/>
      <c r="N392" s="6"/>
      <c r="O392" s="6"/>
      <c r="P392" s="6"/>
      <c r="Q392" s="6"/>
      <c r="R392" s="6"/>
      <c r="S392" s="6"/>
      <c r="T392" s="6"/>
      <c r="U392" s="51"/>
      <c r="V392" s="51"/>
      <c r="W392" s="51"/>
      <c r="X392" s="51"/>
      <c r="Y392" s="51"/>
      <c r="Z392" s="51"/>
      <c r="AA392" s="51"/>
      <c r="AB392" s="51"/>
      <c r="AC392" s="51"/>
    </row>
    <row r="393">
      <c r="B393" s="6"/>
      <c r="C393" s="50"/>
      <c r="D393" s="50"/>
      <c r="E393" s="50"/>
      <c r="F393" s="50"/>
      <c r="G393" s="50"/>
      <c r="H393" s="50"/>
      <c r="I393" s="50"/>
      <c r="J393" s="50"/>
      <c r="K393" s="79"/>
      <c r="L393" s="6"/>
      <c r="M393" s="6"/>
      <c r="N393" s="6"/>
      <c r="O393" s="6"/>
      <c r="P393" s="6"/>
      <c r="Q393" s="6"/>
      <c r="R393" s="6"/>
      <c r="S393" s="6"/>
      <c r="T393" s="6"/>
      <c r="U393" s="51"/>
      <c r="V393" s="51"/>
      <c r="W393" s="51"/>
      <c r="X393" s="51"/>
      <c r="Y393" s="51"/>
      <c r="Z393" s="51"/>
      <c r="AA393" s="51"/>
      <c r="AB393" s="51"/>
      <c r="AC393" s="51"/>
    </row>
    <row r="394">
      <c r="B394" s="6"/>
      <c r="C394" s="50"/>
      <c r="D394" s="50"/>
      <c r="E394" s="50"/>
      <c r="F394" s="50"/>
      <c r="G394" s="50"/>
      <c r="H394" s="50"/>
      <c r="I394" s="50"/>
      <c r="J394" s="50"/>
      <c r="K394" s="79"/>
      <c r="L394" s="6"/>
      <c r="M394" s="6"/>
      <c r="N394" s="6"/>
      <c r="O394" s="6"/>
      <c r="P394" s="6"/>
      <c r="Q394" s="6"/>
      <c r="R394" s="6"/>
      <c r="S394" s="6"/>
      <c r="T394" s="6"/>
      <c r="U394" s="51"/>
      <c r="V394" s="51"/>
      <c r="W394" s="51"/>
      <c r="X394" s="51"/>
      <c r="Y394" s="51"/>
      <c r="Z394" s="51"/>
      <c r="AA394" s="51"/>
      <c r="AB394" s="51"/>
      <c r="AC394" s="51"/>
    </row>
    <row r="395">
      <c r="B395" s="6"/>
      <c r="C395" s="50"/>
      <c r="D395" s="50"/>
      <c r="E395" s="50"/>
      <c r="F395" s="50"/>
      <c r="G395" s="50"/>
      <c r="H395" s="50"/>
      <c r="I395" s="50"/>
      <c r="J395" s="50"/>
      <c r="K395" s="79"/>
      <c r="L395" s="6"/>
      <c r="M395" s="6"/>
      <c r="N395" s="6"/>
      <c r="O395" s="6"/>
      <c r="P395" s="6"/>
      <c r="Q395" s="6"/>
      <c r="R395" s="6"/>
      <c r="S395" s="6"/>
      <c r="T395" s="6"/>
      <c r="U395" s="51"/>
      <c r="V395" s="51"/>
      <c r="W395" s="51"/>
      <c r="X395" s="51"/>
      <c r="Y395" s="51"/>
      <c r="Z395" s="51"/>
      <c r="AA395" s="51"/>
      <c r="AB395" s="51"/>
      <c r="AC395" s="51"/>
    </row>
    <row r="396">
      <c r="B396" s="6"/>
      <c r="C396" s="50"/>
      <c r="D396" s="50"/>
      <c r="E396" s="50"/>
      <c r="F396" s="50"/>
      <c r="G396" s="50"/>
      <c r="H396" s="50"/>
      <c r="I396" s="50"/>
      <c r="J396" s="50"/>
      <c r="K396" s="79"/>
      <c r="L396" s="6"/>
      <c r="M396" s="6"/>
      <c r="N396" s="6"/>
      <c r="O396" s="6"/>
      <c r="P396" s="6"/>
      <c r="Q396" s="6"/>
      <c r="R396" s="6"/>
      <c r="S396" s="6"/>
      <c r="T396" s="6"/>
      <c r="U396" s="51"/>
      <c r="V396" s="51"/>
      <c r="W396" s="51"/>
      <c r="X396" s="51"/>
      <c r="Y396" s="51"/>
      <c r="Z396" s="51"/>
      <c r="AA396" s="51"/>
      <c r="AB396" s="51"/>
      <c r="AC396" s="51"/>
    </row>
    <row r="397">
      <c r="B397" s="6"/>
      <c r="C397" s="50"/>
      <c r="D397" s="50"/>
      <c r="E397" s="50"/>
      <c r="F397" s="50"/>
      <c r="G397" s="50"/>
      <c r="H397" s="50"/>
      <c r="I397" s="50"/>
      <c r="J397" s="50"/>
      <c r="K397" s="79"/>
      <c r="L397" s="6"/>
      <c r="M397" s="6"/>
      <c r="N397" s="6"/>
      <c r="O397" s="6"/>
      <c r="P397" s="6"/>
      <c r="Q397" s="6"/>
      <c r="R397" s="6"/>
      <c r="S397" s="6"/>
      <c r="T397" s="6"/>
      <c r="U397" s="51"/>
      <c r="V397" s="51"/>
      <c r="W397" s="51"/>
      <c r="X397" s="51"/>
      <c r="Y397" s="51"/>
      <c r="Z397" s="51"/>
      <c r="AA397" s="51"/>
      <c r="AB397" s="51"/>
      <c r="AC397" s="51"/>
    </row>
    <row r="398">
      <c r="B398" s="6"/>
      <c r="C398" s="50"/>
      <c r="D398" s="50"/>
      <c r="E398" s="50"/>
      <c r="F398" s="50"/>
      <c r="G398" s="50"/>
      <c r="H398" s="50"/>
      <c r="I398" s="50"/>
      <c r="J398" s="50"/>
      <c r="K398" s="79"/>
      <c r="L398" s="6"/>
      <c r="M398" s="6"/>
      <c r="N398" s="6"/>
      <c r="O398" s="6"/>
      <c r="P398" s="6"/>
      <c r="Q398" s="6"/>
      <c r="R398" s="6"/>
      <c r="S398" s="6"/>
      <c r="T398" s="6"/>
      <c r="U398" s="51"/>
      <c r="V398" s="51"/>
      <c r="W398" s="51"/>
      <c r="X398" s="51"/>
      <c r="Y398" s="51"/>
      <c r="Z398" s="51"/>
      <c r="AA398" s="51"/>
      <c r="AB398" s="51"/>
      <c r="AC398" s="51"/>
    </row>
    <row r="399">
      <c r="B399" s="6"/>
      <c r="C399" s="50"/>
      <c r="D399" s="50"/>
      <c r="E399" s="50"/>
      <c r="F399" s="50"/>
      <c r="G399" s="50"/>
      <c r="H399" s="50"/>
      <c r="I399" s="50"/>
      <c r="J399" s="50"/>
      <c r="K399" s="79"/>
      <c r="L399" s="6"/>
      <c r="M399" s="6"/>
      <c r="N399" s="6"/>
      <c r="O399" s="6"/>
      <c r="P399" s="6"/>
      <c r="Q399" s="6"/>
      <c r="R399" s="6"/>
      <c r="S399" s="6"/>
      <c r="T399" s="6"/>
      <c r="U399" s="51"/>
      <c r="V399" s="51"/>
      <c r="W399" s="51"/>
      <c r="X399" s="51"/>
      <c r="Y399" s="51"/>
      <c r="Z399" s="51"/>
      <c r="AA399" s="51"/>
      <c r="AB399" s="51"/>
      <c r="AC399" s="51"/>
    </row>
    <row r="400">
      <c r="B400" s="6"/>
      <c r="C400" s="50"/>
      <c r="D400" s="50"/>
      <c r="E400" s="50"/>
      <c r="F400" s="50"/>
      <c r="G400" s="50"/>
      <c r="H400" s="50"/>
      <c r="I400" s="50"/>
      <c r="J400" s="50"/>
      <c r="K400" s="79"/>
      <c r="L400" s="6"/>
      <c r="M400" s="6"/>
      <c r="N400" s="6"/>
      <c r="O400" s="6"/>
      <c r="P400" s="6"/>
      <c r="Q400" s="6"/>
      <c r="R400" s="6"/>
      <c r="S400" s="6"/>
      <c r="T400" s="6"/>
      <c r="U400" s="51"/>
      <c r="V400" s="51"/>
      <c r="W400" s="51"/>
      <c r="X400" s="51"/>
      <c r="Y400" s="51"/>
      <c r="Z400" s="51"/>
      <c r="AA400" s="51"/>
      <c r="AB400" s="51"/>
      <c r="AC400" s="51"/>
    </row>
    <row r="401">
      <c r="B401" s="6"/>
      <c r="C401" s="50"/>
      <c r="D401" s="50"/>
      <c r="E401" s="50"/>
      <c r="F401" s="50"/>
      <c r="G401" s="50"/>
      <c r="H401" s="50"/>
      <c r="I401" s="50"/>
      <c r="J401" s="50"/>
      <c r="K401" s="79"/>
      <c r="L401" s="6"/>
      <c r="M401" s="6"/>
      <c r="N401" s="6"/>
      <c r="O401" s="6"/>
      <c r="P401" s="6"/>
      <c r="Q401" s="6"/>
      <c r="R401" s="6"/>
      <c r="S401" s="6"/>
      <c r="T401" s="6"/>
      <c r="U401" s="51"/>
      <c r="V401" s="51"/>
      <c r="W401" s="51"/>
      <c r="X401" s="51"/>
      <c r="Y401" s="51"/>
      <c r="Z401" s="51"/>
      <c r="AA401" s="51"/>
      <c r="AB401" s="51"/>
      <c r="AC401" s="51"/>
    </row>
    <row r="402">
      <c r="B402" s="6"/>
      <c r="C402" s="50"/>
      <c r="D402" s="50"/>
      <c r="E402" s="50"/>
      <c r="F402" s="50"/>
      <c r="G402" s="50"/>
      <c r="H402" s="50"/>
      <c r="I402" s="50"/>
      <c r="J402" s="50"/>
      <c r="K402" s="79"/>
      <c r="L402" s="6"/>
      <c r="M402" s="6"/>
      <c r="N402" s="6"/>
      <c r="O402" s="6"/>
      <c r="P402" s="6"/>
      <c r="Q402" s="6"/>
      <c r="R402" s="6"/>
      <c r="S402" s="6"/>
      <c r="T402" s="6"/>
      <c r="U402" s="51"/>
      <c r="V402" s="51"/>
      <c r="W402" s="51"/>
      <c r="X402" s="51"/>
      <c r="Y402" s="51"/>
      <c r="Z402" s="51"/>
      <c r="AA402" s="51"/>
      <c r="AB402" s="51"/>
      <c r="AC402" s="51"/>
    </row>
    <row r="403">
      <c r="B403" s="6"/>
      <c r="C403" s="50"/>
      <c r="D403" s="50"/>
      <c r="E403" s="50"/>
      <c r="F403" s="50"/>
      <c r="G403" s="50"/>
      <c r="H403" s="50"/>
      <c r="I403" s="50"/>
      <c r="J403" s="50"/>
      <c r="K403" s="79"/>
      <c r="L403" s="6"/>
      <c r="M403" s="6"/>
      <c r="N403" s="6"/>
      <c r="O403" s="6"/>
      <c r="P403" s="6"/>
      <c r="Q403" s="6"/>
      <c r="R403" s="6"/>
      <c r="S403" s="6"/>
      <c r="T403" s="6"/>
      <c r="U403" s="51"/>
      <c r="V403" s="51"/>
      <c r="W403" s="51"/>
      <c r="X403" s="51"/>
      <c r="Y403" s="51"/>
      <c r="Z403" s="51"/>
      <c r="AA403" s="51"/>
      <c r="AB403" s="51"/>
      <c r="AC403" s="51"/>
    </row>
    <row r="404">
      <c r="B404" s="6"/>
      <c r="C404" s="50"/>
      <c r="D404" s="50"/>
      <c r="E404" s="50"/>
      <c r="F404" s="50"/>
      <c r="G404" s="50"/>
      <c r="H404" s="50"/>
      <c r="I404" s="50"/>
      <c r="J404" s="50"/>
      <c r="K404" s="79"/>
      <c r="L404" s="6"/>
      <c r="M404" s="6"/>
      <c r="N404" s="6"/>
      <c r="O404" s="6"/>
      <c r="P404" s="6"/>
      <c r="Q404" s="6"/>
      <c r="R404" s="6"/>
      <c r="S404" s="6"/>
      <c r="T404" s="6"/>
      <c r="U404" s="51"/>
      <c r="V404" s="51"/>
      <c r="W404" s="51"/>
      <c r="X404" s="51"/>
      <c r="Y404" s="51"/>
      <c r="Z404" s="51"/>
      <c r="AA404" s="51"/>
      <c r="AB404" s="51"/>
      <c r="AC404" s="51"/>
    </row>
    <row r="405">
      <c r="B405" s="6"/>
      <c r="C405" s="50"/>
      <c r="D405" s="50"/>
      <c r="E405" s="50"/>
      <c r="F405" s="50"/>
      <c r="G405" s="50"/>
      <c r="H405" s="50"/>
      <c r="I405" s="50"/>
      <c r="J405" s="50"/>
      <c r="K405" s="79"/>
      <c r="L405" s="6"/>
      <c r="M405" s="6"/>
      <c r="N405" s="6"/>
      <c r="O405" s="6"/>
      <c r="P405" s="6"/>
      <c r="Q405" s="6"/>
      <c r="R405" s="6"/>
      <c r="S405" s="6"/>
      <c r="T405" s="6"/>
      <c r="U405" s="51"/>
      <c r="V405" s="51"/>
      <c r="W405" s="51"/>
      <c r="X405" s="51"/>
      <c r="Y405" s="51"/>
      <c r="Z405" s="51"/>
      <c r="AA405" s="51"/>
      <c r="AB405" s="51"/>
      <c r="AC405" s="51"/>
    </row>
    <row r="406">
      <c r="B406" s="6"/>
      <c r="C406" s="50"/>
      <c r="D406" s="50"/>
      <c r="E406" s="50"/>
      <c r="F406" s="50"/>
      <c r="G406" s="50"/>
      <c r="H406" s="50"/>
      <c r="I406" s="50"/>
      <c r="J406" s="50"/>
      <c r="K406" s="79"/>
      <c r="L406" s="6"/>
      <c r="M406" s="6"/>
      <c r="N406" s="6"/>
      <c r="O406" s="6"/>
      <c r="P406" s="6"/>
      <c r="Q406" s="6"/>
      <c r="R406" s="6"/>
      <c r="S406" s="6"/>
      <c r="T406" s="6"/>
      <c r="U406" s="51"/>
      <c r="V406" s="51"/>
      <c r="W406" s="51"/>
      <c r="X406" s="51"/>
      <c r="Y406" s="51"/>
      <c r="Z406" s="51"/>
      <c r="AA406" s="51"/>
      <c r="AB406" s="51"/>
      <c r="AC406" s="51"/>
    </row>
    <row r="407">
      <c r="B407" s="6"/>
      <c r="C407" s="50"/>
      <c r="D407" s="50"/>
      <c r="E407" s="50"/>
      <c r="F407" s="50"/>
      <c r="G407" s="50"/>
      <c r="H407" s="50"/>
      <c r="I407" s="50"/>
      <c r="J407" s="50"/>
      <c r="K407" s="79"/>
      <c r="L407" s="6"/>
      <c r="M407" s="6"/>
      <c r="N407" s="6"/>
      <c r="O407" s="6"/>
      <c r="P407" s="6"/>
      <c r="Q407" s="6"/>
      <c r="R407" s="6"/>
      <c r="S407" s="6"/>
      <c r="T407" s="6"/>
      <c r="U407" s="51"/>
      <c r="V407" s="51"/>
      <c r="W407" s="51"/>
      <c r="X407" s="51"/>
      <c r="Y407" s="51"/>
      <c r="Z407" s="51"/>
      <c r="AA407" s="51"/>
      <c r="AB407" s="51"/>
      <c r="AC407" s="51"/>
    </row>
    <row r="408">
      <c r="B408" s="6"/>
      <c r="C408" s="50"/>
      <c r="D408" s="50"/>
      <c r="E408" s="50"/>
      <c r="F408" s="50"/>
      <c r="G408" s="50"/>
      <c r="H408" s="50"/>
      <c r="I408" s="50"/>
      <c r="J408" s="50"/>
      <c r="K408" s="79"/>
      <c r="L408" s="6"/>
      <c r="M408" s="6"/>
      <c r="N408" s="6"/>
      <c r="O408" s="6"/>
      <c r="P408" s="6"/>
      <c r="Q408" s="6"/>
      <c r="R408" s="6"/>
      <c r="S408" s="6"/>
      <c r="T408" s="6"/>
      <c r="U408" s="51"/>
      <c r="V408" s="51"/>
      <c r="W408" s="51"/>
      <c r="X408" s="51"/>
      <c r="Y408" s="51"/>
      <c r="Z408" s="51"/>
      <c r="AA408" s="51"/>
      <c r="AB408" s="51"/>
      <c r="AC408" s="51"/>
    </row>
    <row r="409">
      <c r="B409" s="6"/>
      <c r="C409" s="50"/>
      <c r="D409" s="50"/>
      <c r="E409" s="50"/>
      <c r="F409" s="50"/>
      <c r="G409" s="50"/>
      <c r="H409" s="50"/>
      <c r="I409" s="50"/>
      <c r="J409" s="50"/>
      <c r="K409" s="79"/>
      <c r="L409" s="6"/>
      <c r="M409" s="6"/>
      <c r="N409" s="6"/>
      <c r="O409" s="6"/>
      <c r="P409" s="6"/>
      <c r="Q409" s="6"/>
      <c r="R409" s="6"/>
      <c r="S409" s="6"/>
      <c r="T409" s="6"/>
      <c r="U409" s="51"/>
      <c r="V409" s="51"/>
      <c r="W409" s="51"/>
      <c r="X409" s="51"/>
      <c r="Y409" s="51"/>
      <c r="Z409" s="51"/>
      <c r="AA409" s="51"/>
      <c r="AB409" s="51"/>
      <c r="AC409" s="51"/>
    </row>
    <row r="410">
      <c r="B410" s="6"/>
      <c r="C410" s="50"/>
      <c r="D410" s="50"/>
      <c r="E410" s="50"/>
      <c r="F410" s="50"/>
      <c r="G410" s="50"/>
      <c r="H410" s="50"/>
      <c r="I410" s="50"/>
      <c r="J410" s="50"/>
      <c r="K410" s="79"/>
      <c r="L410" s="6"/>
      <c r="M410" s="6"/>
      <c r="N410" s="6"/>
      <c r="O410" s="6"/>
      <c r="P410" s="6"/>
      <c r="Q410" s="6"/>
      <c r="R410" s="6"/>
      <c r="S410" s="6"/>
      <c r="T410" s="6"/>
      <c r="U410" s="51"/>
      <c r="V410" s="51"/>
      <c r="W410" s="51"/>
      <c r="X410" s="51"/>
      <c r="Y410" s="51"/>
      <c r="Z410" s="51"/>
      <c r="AA410" s="51"/>
      <c r="AB410" s="51"/>
      <c r="AC410" s="51"/>
    </row>
    <row r="411">
      <c r="B411" s="6"/>
      <c r="C411" s="50"/>
      <c r="D411" s="50"/>
      <c r="E411" s="50"/>
      <c r="F411" s="50"/>
      <c r="G411" s="50"/>
      <c r="H411" s="50"/>
      <c r="I411" s="50"/>
      <c r="J411" s="50"/>
      <c r="K411" s="79"/>
      <c r="L411" s="6"/>
      <c r="M411" s="6"/>
      <c r="N411" s="6"/>
      <c r="O411" s="6"/>
      <c r="P411" s="6"/>
      <c r="Q411" s="6"/>
      <c r="R411" s="6"/>
      <c r="S411" s="6"/>
      <c r="T411" s="6"/>
      <c r="U411" s="51"/>
      <c r="V411" s="51"/>
      <c r="W411" s="51"/>
      <c r="X411" s="51"/>
      <c r="Y411" s="51"/>
      <c r="Z411" s="51"/>
      <c r="AA411" s="51"/>
      <c r="AB411" s="51"/>
      <c r="AC411" s="51"/>
    </row>
    <row r="412">
      <c r="B412" s="6"/>
      <c r="C412" s="50"/>
      <c r="D412" s="50"/>
      <c r="E412" s="50"/>
      <c r="F412" s="50"/>
      <c r="G412" s="50"/>
      <c r="H412" s="50"/>
      <c r="I412" s="50"/>
      <c r="J412" s="50"/>
      <c r="K412" s="79"/>
      <c r="L412" s="6"/>
      <c r="M412" s="6"/>
      <c r="N412" s="6"/>
      <c r="O412" s="6"/>
      <c r="P412" s="6"/>
      <c r="Q412" s="6"/>
      <c r="R412" s="6"/>
      <c r="S412" s="6"/>
      <c r="T412" s="6"/>
      <c r="U412" s="51"/>
      <c r="V412" s="51"/>
      <c r="W412" s="51"/>
      <c r="X412" s="51"/>
      <c r="Y412" s="51"/>
      <c r="Z412" s="51"/>
      <c r="AA412" s="51"/>
      <c r="AB412" s="51"/>
      <c r="AC412" s="51"/>
    </row>
    <row r="413">
      <c r="B413" s="6"/>
      <c r="C413" s="50"/>
      <c r="D413" s="50"/>
      <c r="E413" s="50"/>
      <c r="F413" s="50"/>
      <c r="G413" s="50"/>
      <c r="H413" s="50"/>
      <c r="I413" s="50"/>
      <c r="J413" s="50"/>
      <c r="K413" s="79"/>
      <c r="L413" s="6"/>
      <c r="M413" s="6"/>
      <c r="N413" s="6"/>
      <c r="O413" s="6"/>
      <c r="P413" s="6"/>
      <c r="Q413" s="6"/>
      <c r="R413" s="6"/>
      <c r="S413" s="6"/>
      <c r="T413" s="6"/>
      <c r="U413" s="51"/>
      <c r="V413" s="51"/>
      <c r="W413" s="51"/>
      <c r="X413" s="51"/>
      <c r="Y413" s="51"/>
      <c r="Z413" s="51"/>
      <c r="AA413" s="51"/>
      <c r="AB413" s="51"/>
      <c r="AC413" s="51"/>
    </row>
    <row r="414">
      <c r="B414" s="6"/>
      <c r="C414" s="50"/>
      <c r="D414" s="50"/>
      <c r="E414" s="50"/>
      <c r="F414" s="50"/>
      <c r="G414" s="50"/>
      <c r="H414" s="50"/>
      <c r="I414" s="50"/>
      <c r="J414" s="50"/>
      <c r="K414" s="79"/>
      <c r="L414" s="6"/>
      <c r="M414" s="6"/>
      <c r="N414" s="6"/>
      <c r="O414" s="6"/>
      <c r="P414" s="6"/>
      <c r="Q414" s="6"/>
      <c r="R414" s="6"/>
      <c r="S414" s="6"/>
      <c r="T414" s="6"/>
      <c r="U414" s="51"/>
      <c r="V414" s="51"/>
      <c r="W414" s="51"/>
      <c r="X414" s="51"/>
      <c r="Y414" s="51"/>
      <c r="Z414" s="51"/>
      <c r="AA414" s="51"/>
      <c r="AB414" s="51"/>
      <c r="AC414" s="51"/>
    </row>
    <row r="415">
      <c r="B415" s="6"/>
      <c r="C415" s="50"/>
      <c r="D415" s="50"/>
      <c r="E415" s="50"/>
      <c r="F415" s="50"/>
      <c r="G415" s="50"/>
      <c r="H415" s="50"/>
      <c r="I415" s="50"/>
      <c r="J415" s="50"/>
      <c r="K415" s="79"/>
      <c r="L415" s="6"/>
      <c r="M415" s="6"/>
      <c r="N415" s="6"/>
      <c r="O415" s="6"/>
      <c r="P415" s="6"/>
      <c r="Q415" s="6"/>
      <c r="R415" s="6"/>
      <c r="S415" s="6"/>
      <c r="T415" s="6"/>
      <c r="U415" s="51"/>
      <c r="V415" s="51"/>
      <c r="W415" s="51"/>
      <c r="X415" s="51"/>
      <c r="Y415" s="51"/>
      <c r="Z415" s="51"/>
      <c r="AA415" s="51"/>
      <c r="AB415" s="51"/>
      <c r="AC415" s="51"/>
    </row>
    <row r="416">
      <c r="B416" s="6"/>
      <c r="C416" s="50"/>
      <c r="D416" s="50"/>
      <c r="E416" s="50"/>
      <c r="F416" s="50"/>
      <c r="G416" s="50"/>
      <c r="H416" s="50"/>
      <c r="I416" s="50"/>
      <c r="J416" s="50"/>
      <c r="K416" s="79"/>
      <c r="L416" s="6"/>
      <c r="M416" s="6"/>
      <c r="N416" s="6"/>
      <c r="O416" s="6"/>
      <c r="P416" s="6"/>
      <c r="Q416" s="6"/>
      <c r="R416" s="6"/>
      <c r="S416" s="6"/>
      <c r="T416" s="6"/>
      <c r="U416" s="51"/>
      <c r="V416" s="51"/>
      <c r="W416" s="51"/>
      <c r="X416" s="51"/>
      <c r="Y416" s="51"/>
      <c r="Z416" s="51"/>
      <c r="AA416" s="51"/>
      <c r="AB416" s="51"/>
      <c r="AC416" s="51"/>
    </row>
    <row r="417">
      <c r="B417" s="6"/>
      <c r="C417" s="50"/>
      <c r="D417" s="50"/>
      <c r="E417" s="50"/>
      <c r="F417" s="50"/>
      <c r="G417" s="50"/>
      <c r="H417" s="50"/>
      <c r="I417" s="50"/>
      <c r="J417" s="50"/>
      <c r="K417" s="79"/>
      <c r="L417" s="6"/>
      <c r="M417" s="6"/>
      <c r="N417" s="6"/>
      <c r="O417" s="6"/>
      <c r="P417" s="6"/>
      <c r="Q417" s="6"/>
      <c r="R417" s="6"/>
      <c r="S417" s="6"/>
      <c r="T417" s="6"/>
      <c r="U417" s="51"/>
      <c r="V417" s="51"/>
      <c r="W417" s="51"/>
      <c r="X417" s="51"/>
      <c r="Y417" s="51"/>
      <c r="Z417" s="51"/>
      <c r="AA417" s="51"/>
      <c r="AB417" s="51"/>
      <c r="AC417" s="51"/>
    </row>
    <row r="418">
      <c r="B418" s="6"/>
      <c r="C418" s="50"/>
      <c r="D418" s="50"/>
      <c r="E418" s="50"/>
      <c r="F418" s="50"/>
      <c r="G418" s="50"/>
      <c r="H418" s="50"/>
      <c r="I418" s="50"/>
      <c r="J418" s="50"/>
      <c r="K418" s="79"/>
      <c r="L418" s="6"/>
      <c r="M418" s="6"/>
      <c r="N418" s="6"/>
      <c r="O418" s="6"/>
      <c r="P418" s="6"/>
      <c r="Q418" s="6"/>
      <c r="R418" s="6"/>
      <c r="S418" s="6"/>
      <c r="T418" s="6"/>
      <c r="U418" s="51"/>
      <c r="V418" s="51"/>
      <c r="W418" s="51"/>
      <c r="X418" s="51"/>
      <c r="Y418" s="51"/>
      <c r="Z418" s="51"/>
      <c r="AA418" s="51"/>
      <c r="AB418" s="51"/>
      <c r="AC418" s="51"/>
    </row>
    <row r="419">
      <c r="B419" s="6"/>
      <c r="C419" s="50"/>
      <c r="D419" s="50"/>
      <c r="E419" s="50"/>
      <c r="F419" s="50"/>
      <c r="G419" s="50"/>
      <c r="H419" s="50"/>
      <c r="I419" s="50"/>
      <c r="J419" s="50"/>
      <c r="K419" s="79"/>
      <c r="L419" s="6"/>
      <c r="M419" s="6"/>
      <c r="N419" s="6"/>
      <c r="O419" s="6"/>
      <c r="P419" s="6"/>
      <c r="Q419" s="6"/>
      <c r="R419" s="6"/>
      <c r="S419" s="6"/>
      <c r="T419" s="6"/>
      <c r="U419" s="51"/>
      <c r="V419" s="51"/>
      <c r="W419" s="51"/>
      <c r="X419" s="51"/>
      <c r="Y419" s="51"/>
      <c r="Z419" s="51"/>
      <c r="AA419" s="51"/>
      <c r="AB419" s="51"/>
      <c r="AC419" s="51"/>
    </row>
    <row r="420">
      <c r="B420" s="6"/>
      <c r="C420" s="50"/>
      <c r="D420" s="50"/>
      <c r="E420" s="50"/>
      <c r="F420" s="50"/>
      <c r="G420" s="50"/>
      <c r="H420" s="50"/>
      <c r="I420" s="50"/>
      <c r="J420" s="50"/>
      <c r="K420" s="79"/>
      <c r="L420" s="6"/>
      <c r="M420" s="6"/>
      <c r="N420" s="6"/>
      <c r="O420" s="6"/>
      <c r="P420" s="6"/>
      <c r="Q420" s="6"/>
      <c r="R420" s="6"/>
      <c r="S420" s="6"/>
      <c r="T420" s="6"/>
      <c r="U420" s="51"/>
      <c r="V420" s="51"/>
      <c r="W420" s="51"/>
      <c r="X420" s="51"/>
      <c r="Y420" s="51"/>
      <c r="Z420" s="51"/>
      <c r="AA420" s="51"/>
      <c r="AB420" s="51"/>
      <c r="AC420" s="51"/>
    </row>
    <row r="421">
      <c r="B421" s="6"/>
      <c r="C421" s="50"/>
      <c r="D421" s="50"/>
      <c r="E421" s="50"/>
      <c r="F421" s="50"/>
      <c r="G421" s="50"/>
      <c r="H421" s="50"/>
      <c r="I421" s="50"/>
      <c r="J421" s="50"/>
      <c r="K421" s="79"/>
      <c r="L421" s="6"/>
      <c r="M421" s="6"/>
      <c r="N421" s="6"/>
      <c r="O421" s="6"/>
      <c r="P421" s="6"/>
      <c r="Q421" s="6"/>
      <c r="R421" s="6"/>
      <c r="S421" s="6"/>
      <c r="T421" s="6"/>
      <c r="U421" s="51"/>
      <c r="V421" s="51"/>
      <c r="W421" s="51"/>
      <c r="X421" s="51"/>
      <c r="Y421" s="51"/>
      <c r="Z421" s="51"/>
      <c r="AA421" s="51"/>
      <c r="AB421" s="51"/>
      <c r="AC421" s="51"/>
    </row>
    <row r="422">
      <c r="B422" s="6"/>
      <c r="C422" s="50"/>
      <c r="D422" s="50"/>
      <c r="E422" s="50"/>
      <c r="F422" s="50"/>
      <c r="G422" s="50"/>
      <c r="H422" s="50"/>
      <c r="I422" s="50"/>
      <c r="J422" s="50"/>
      <c r="K422" s="79"/>
      <c r="L422" s="6"/>
      <c r="M422" s="6"/>
      <c r="N422" s="6"/>
      <c r="O422" s="6"/>
      <c r="P422" s="6"/>
      <c r="Q422" s="6"/>
      <c r="R422" s="6"/>
      <c r="S422" s="6"/>
      <c r="T422" s="6"/>
      <c r="U422" s="51"/>
      <c r="V422" s="51"/>
      <c r="W422" s="51"/>
      <c r="X422" s="51"/>
      <c r="Y422" s="51"/>
      <c r="Z422" s="51"/>
      <c r="AA422" s="51"/>
      <c r="AB422" s="51"/>
      <c r="AC422" s="51"/>
    </row>
    <row r="423">
      <c r="B423" s="6"/>
      <c r="C423" s="50"/>
      <c r="D423" s="50"/>
      <c r="E423" s="50"/>
      <c r="F423" s="50"/>
      <c r="G423" s="50"/>
      <c r="H423" s="50"/>
      <c r="I423" s="50"/>
      <c r="J423" s="50"/>
      <c r="K423" s="79"/>
      <c r="L423" s="6"/>
      <c r="M423" s="6"/>
      <c r="N423" s="6"/>
      <c r="O423" s="6"/>
      <c r="P423" s="6"/>
      <c r="Q423" s="6"/>
      <c r="R423" s="6"/>
      <c r="S423" s="6"/>
      <c r="T423" s="6"/>
      <c r="U423" s="51"/>
      <c r="V423" s="51"/>
      <c r="W423" s="51"/>
      <c r="X423" s="51"/>
      <c r="Y423" s="51"/>
      <c r="Z423" s="51"/>
      <c r="AA423" s="51"/>
      <c r="AB423" s="51"/>
      <c r="AC423" s="51"/>
    </row>
    <row r="424">
      <c r="B424" s="6"/>
      <c r="C424" s="50"/>
      <c r="D424" s="50"/>
      <c r="E424" s="50"/>
      <c r="F424" s="50"/>
      <c r="G424" s="50"/>
      <c r="H424" s="50"/>
      <c r="I424" s="50"/>
      <c r="J424" s="50"/>
      <c r="K424" s="79"/>
      <c r="L424" s="6"/>
      <c r="M424" s="6"/>
      <c r="N424" s="6"/>
      <c r="O424" s="6"/>
      <c r="P424" s="6"/>
      <c r="Q424" s="6"/>
      <c r="R424" s="6"/>
      <c r="S424" s="6"/>
      <c r="T424" s="6"/>
      <c r="U424" s="51"/>
      <c r="V424" s="51"/>
      <c r="W424" s="51"/>
      <c r="X424" s="51"/>
      <c r="Y424" s="51"/>
      <c r="Z424" s="51"/>
      <c r="AA424" s="51"/>
      <c r="AB424" s="51"/>
      <c r="AC424" s="51"/>
    </row>
    <row r="425">
      <c r="B425" s="6"/>
      <c r="C425" s="50"/>
      <c r="D425" s="50"/>
      <c r="E425" s="50"/>
      <c r="F425" s="50"/>
      <c r="G425" s="50"/>
      <c r="H425" s="50"/>
      <c r="I425" s="50"/>
      <c r="J425" s="50"/>
      <c r="K425" s="79"/>
      <c r="L425" s="6"/>
      <c r="M425" s="6"/>
      <c r="N425" s="6"/>
      <c r="O425" s="6"/>
      <c r="P425" s="6"/>
      <c r="Q425" s="6"/>
      <c r="R425" s="6"/>
      <c r="S425" s="6"/>
      <c r="T425" s="6"/>
      <c r="U425" s="51"/>
      <c r="V425" s="51"/>
      <c r="W425" s="51"/>
      <c r="X425" s="51"/>
      <c r="Y425" s="51"/>
      <c r="Z425" s="51"/>
      <c r="AA425" s="51"/>
      <c r="AB425" s="51"/>
      <c r="AC425" s="51"/>
    </row>
    <row r="426">
      <c r="B426" s="6"/>
      <c r="C426" s="50"/>
      <c r="D426" s="50"/>
      <c r="E426" s="50"/>
      <c r="F426" s="50"/>
      <c r="G426" s="50"/>
      <c r="H426" s="50"/>
      <c r="I426" s="50"/>
      <c r="J426" s="50"/>
      <c r="K426" s="79"/>
      <c r="L426" s="6"/>
      <c r="M426" s="6"/>
      <c r="N426" s="6"/>
      <c r="O426" s="6"/>
      <c r="P426" s="6"/>
      <c r="Q426" s="6"/>
      <c r="R426" s="6"/>
      <c r="S426" s="6"/>
      <c r="T426" s="6"/>
      <c r="U426" s="51"/>
      <c r="V426" s="51"/>
      <c r="W426" s="51"/>
      <c r="X426" s="51"/>
      <c r="Y426" s="51"/>
      <c r="Z426" s="51"/>
      <c r="AA426" s="51"/>
      <c r="AB426" s="51"/>
      <c r="AC426" s="51"/>
    </row>
    <row r="427">
      <c r="B427" s="6"/>
      <c r="C427" s="50"/>
      <c r="D427" s="50"/>
      <c r="E427" s="50"/>
      <c r="F427" s="50"/>
      <c r="G427" s="50"/>
      <c r="H427" s="50"/>
      <c r="I427" s="50"/>
      <c r="J427" s="50"/>
      <c r="K427" s="79"/>
      <c r="L427" s="6"/>
      <c r="M427" s="6"/>
      <c r="N427" s="6"/>
      <c r="O427" s="6"/>
      <c r="P427" s="6"/>
      <c r="Q427" s="6"/>
      <c r="R427" s="6"/>
      <c r="S427" s="6"/>
      <c r="T427" s="6"/>
      <c r="U427" s="51"/>
      <c r="V427" s="51"/>
      <c r="W427" s="51"/>
      <c r="X427" s="51"/>
      <c r="Y427" s="51"/>
      <c r="Z427" s="51"/>
      <c r="AA427" s="51"/>
      <c r="AB427" s="51"/>
      <c r="AC427" s="51"/>
    </row>
    <row r="428">
      <c r="B428" s="6"/>
      <c r="C428" s="50"/>
      <c r="D428" s="50"/>
      <c r="E428" s="50"/>
      <c r="F428" s="50"/>
      <c r="G428" s="50"/>
      <c r="H428" s="50"/>
      <c r="I428" s="50"/>
      <c r="J428" s="50"/>
      <c r="K428" s="79"/>
      <c r="L428" s="6"/>
      <c r="M428" s="6"/>
      <c r="N428" s="6"/>
      <c r="O428" s="6"/>
      <c r="P428" s="6"/>
      <c r="Q428" s="6"/>
      <c r="R428" s="6"/>
      <c r="S428" s="6"/>
      <c r="T428" s="6"/>
      <c r="U428" s="51"/>
      <c r="V428" s="51"/>
      <c r="W428" s="51"/>
      <c r="X428" s="51"/>
      <c r="Y428" s="51"/>
      <c r="Z428" s="51"/>
      <c r="AA428" s="51"/>
      <c r="AB428" s="51"/>
      <c r="AC428" s="51"/>
    </row>
    <row r="429">
      <c r="B429" s="6"/>
      <c r="C429" s="50"/>
      <c r="D429" s="50"/>
      <c r="E429" s="50"/>
      <c r="F429" s="50"/>
      <c r="G429" s="50"/>
      <c r="H429" s="50"/>
      <c r="I429" s="50"/>
      <c r="J429" s="50"/>
      <c r="K429" s="79"/>
      <c r="L429" s="6"/>
      <c r="M429" s="6"/>
      <c r="N429" s="6"/>
      <c r="O429" s="6"/>
      <c r="P429" s="6"/>
      <c r="Q429" s="6"/>
      <c r="R429" s="6"/>
      <c r="S429" s="6"/>
      <c r="T429" s="6"/>
      <c r="U429" s="51"/>
      <c r="V429" s="51"/>
      <c r="W429" s="51"/>
      <c r="X429" s="51"/>
      <c r="Y429" s="51"/>
      <c r="Z429" s="51"/>
      <c r="AA429" s="51"/>
      <c r="AB429" s="51"/>
      <c r="AC429" s="51"/>
    </row>
    <row r="430">
      <c r="B430" s="6"/>
      <c r="C430" s="50"/>
      <c r="D430" s="50"/>
      <c r="E430" s="50"/>
      <c r="F430" s="50"/>
      <c r="G430" s="50"/>
      <c r="H430" s="50"/>
      <c r="I430" s="50"/>
      <c r="J430" s="50"/>
      <c r="K430" s="79"/>
      <c r="L430" s="6"/>
      <c r="M430" s="6"/>
      <c r="N430" s="6"/>
      <c r="O430" s="6"/>
      <c r="P430" s="6"/>
      <c r="Q430" s="6"/>
      <c r="R430" s="6"/>
      <c r="S430" s="6"/>
      <c r="T430" s="6"/>
      <c r="U430" s="51"/>
      <c r="V430" s="51"/>
      <c r="W430" s="51"/>
      <c r="X430" s="51"/>
      <c r="Y430" s="51"/>
      <c r="Z430" s="51"/>
      <c r="AA430" s="51"/>
      <c r="AB430" s="51"/>
      <c r="AC430" s="51"/>
    </row>
    <row r="431">
      <c r="B431" s="6"/>
      <c r="C431" s="50"/>
      <c r="D431" s="50"/>
      <c r="E431" s="50"/>
      <c r="F431" s="50"/>
      <c r="G431" s="50"/>
      <c r="H431" s="50"/>
      <c r="I431" s="50"/>
      <c r="J431" s="50"/>
      <c r="K431" s="79"/>
      <c r="L431" s="6"/>
      <c r="M431" s="6"/>
      <c r="N431" s="6"/>
      <c r="O431" s="6"/>
      <c r="P431" s="6"/>
      <c r="Q431" s="6"/>
      <c r="R431" s="6"/>
      <c r="S431" s="6"/>
      <c r="T431" s="6"/>
      <c r="U431" s="51"/>
      <c r="V431" s="51"/>
      <c r="W431" s="51"/>
      <c r="X431" s="51"/>
      <c r="Y431" s="51"/>
      <c r="Z431" s="51"/>
      <c r="AA431" s="51"/>
      <c r="AB431" s="51"/>
      <c r="AC431" s="51"/>
    </row>
    <row r="432">
      <c r="B432" s="6"/>
      <c r="C432" s="50"/>
      <c r="D432" s="50"/>
      <c r="E432" s="50"/>
      <c r="F432" s="50"/>
      <c r="G432" s="50"/>
      <c r="H432" s="50"/>
      <c r="I432" s="50"/>
      <c r="J432" s="50"/>
      <c r="K432" s="79"/>
      <c r="L432" s="6"/>
      <c r="M432" s="6"/>
      <c r="N432" s="6"/>
      <c r="O432" s="6"/>
      <c r="P432" s="6"/>
      <c r="Q432" s="6"/>
      <c r="R432" s="6"/>
      <c r="S432" s="6"/>
      <c r="T432" s="6"/>
      <c r="U432" s="51"/>
      <c r="V432" s="51"/>
      <c r="W432" s="51"/>
      <c r="X432" s="51"/>
      <c r="Y432" s="51"/>
      <c r="Z432" s="51"/>
      <c r="AA432" s="51"/>
      <c r="AB432" s="51"/>
      <c r="AC432" s="51"/>
    </row>
    <row r="433">
      <c r="B433" s="6"/>
      <c r="C433" s="50"/>
      <c r="D433" s="50"/>
      <c r="E433" s="50"/>
      <c r="F433" s="50"/>
      <c r="G433" s="50"/>
      <c r="H433" s="50"/>
      <c r="I433" s="50"/>
      <c r="J433" s="50"/>
      <c r="K433" s="79"/>
      <c r="L433" s="6"/>
      <c r="M433" s="6"/>
      <c r="N433" s="6"/>
      <c r="O433" s="6"/>
      <c r="P433" s="6"/>
      <c r="Q433" s="6"/>
      <c r="R433" s="6"/>
      <c r="S433" s="6"/>
      <c r="T433" s="6"/>
      <c r="U433" s="51"/>
      <c r="V433" s="51"/>
      <c r="W433" s="51"/>
      <c r="X433" s="51"/>
      <c r="Y433" s="51"/>
      <c r="Z433" s="51"/>
      <c r="AA433" s="51"/>
      <c r="AB433" s="51"/>
      <c r="AC433" s="51"/>
    </row>
    <row r="434">
      <c r="B434" s="6"/>
      <c r="C434" s="50"/>
      <c r="D434" s="50"/>
      <c r="E434" s="50"/>
      <c r="F434" s="50"/>
      <c r="G434" s="50"/>
      <c r="H434" s="50"/>
      <c r="I434" s="50"/>
      <c r="J434" s="50"/>
      <c r="K434" s="79"/>
      <c r="L434" s="6"/>
      <c r="M434" s="6"/>
      <c r="N434" s="6"/>
      <c r="O434" s="6"/>
      <c r="P434" s="6"/>
      <c r="Q434" s="6"/>
      <c r="R434" s="6"/>
      <c r="S434" s="6"/>
      <c r="T434" s="6"/>
      <c r="U434" s="51"/>
      <c r="V434" s="51"/>
      <c r="W434" s="51"/>
      <c r="X434" s="51"/>
      <c r="Y434" s="51"/>
      <c r="Z434" s="51"/>
      <c r="AA434" s="51"/>
      <c r="AB434" s="51"/>
      <c r="AC434" s="51"/>
    </row>
    <row r="435">
      <c r="B435" s="6"/>
      <c r="C435" s="50"/>
      <c r="D435" s="50"/>
      <c r="E435" s="50"/>
      <c r="F435" s="50"/>
      <c r="G435" s="50"/>
      <c r="H435" s="50"/>
      <c r="I435" s="50"/>
      <c r="J435" s="50"/>
      <c r="K435" s="79"/>
      <c r="L435" s="6"/>
      <c r="M435" s="6"/>
      <c r="N435" s="6"/>
      <c r="O435" s="6"/>
      <c r="P435" s="6"/>
      <c r="Q435" s="6"/>
      <c r="R435" s="6"/>
      <c r="S435" s="6"/>
      <c r="T435" s="6"/>
      <c r="U435" s="51"/>
      <c r="V435" s="51"/>
      <c r="W435" s="51"/>
      <c r="X435" s="51"/>
      <c r="Y435" s="51"/>
      <c r="Z435" s="51"/>
      <c r="AA435" s="51"/>
      <c r="AB435" s="51"/>
      <c r="AC435" s="51"/>
    </row>
    <row r="436">
      <c r="B436" s="6"/>
      <c r="C436" s="50"/>
      <c r="D436" s="50"/>
      <c r="E436" s="50"/>
      <c r="F436" s="50"/>
      <c r="G436" s="50"/>
      <c r="H436" s="50"/>
      <c r="I436" s="50"/>
      <c r="J436" s="50"/>
      <c r="K436" s="79"/>
      <c r="L436" s="6"/>
      <c r="M436" s="6"/>
      <c r="N436" s="6"/>
      <c r="O436" s="6"/>
      <c r="P436" s="6"/>
      <c r="Q436" s="6"/>
      <c r="R436" s="6"/>
      <c r="S436" s="6"/>
      <c r="T436" s="6"/>
      <c r="U436" s="51"/>
      <c r="V436" s="51"/>
      <c r="W436" s="51"/>
      <c r="X436" s="51"/>
      <c r="Y436" s="51"/>
      <c r="Z436" s="51"/>
      <c r="AA436" s="51"/>
      <c r="AB436" s="51"/>
      <c r="AC436" s="51"/>
    </row>
    <row r="437">
      <c r="B437" s="6"/>
      <c r="C437" s="50"/>
      <c r="D437" s="50"/>
      <c r="E437" s="50"/>
      <c r="F437" s="50"/>
      <c r="G437" s="50"/>
      <c r="H437" s="50"/>
      <c r="I437" s="50"/>
      <c r="J437" s="50"/>
      <c r="K437" s="79"/>
      <c r="L437" s="6"/>
      <c r="M437" s="6"/>
      <c r="N437" s="6"/>
      <c r="O437" s="6"/>
      <c r="P437" s="6"/>
      <c r="Q437" s="6"/>
      <c r="R437" s="6"/>
      <c r="S437" s="6"/>
      <c r="T437" s="6"/>
      <c r="U437" s="51"/>
      <c r="V437" s="51"/>
      <c r="W437" s="51"/>
      <c r="X437" s="51"/>
      <c r="Y437" s="51"/>
      <c r="Z437" s="51"/>
      <c r="AA437" s="51"/>
      <c r="AB437" s="51"/>
      <c r="AC437" s="51"/>
    </row>
    <row r="438">
      <c r="B438" s="6"/>
      <c r="C438" s="50"/>
      <c r="D438" s="50"/>
      <c r="E438" s="50"/>
      <c r="F438" s="50"/>
      <c r="G438" s="50"/>
      <c r="H438" s="50"/>
      <c r="I438" s="50"/>
      <c r="J438" s="50"/>
      <c r="K438" s="79"/>
      <c r="L438" s="6"/>
      <c r="M438" s="6"/>
      <c r="N438" s="6"/>
      <c r="O438" s="6"/>
      <c r="P438" s="6"/>
      <c r="Q438" s="6"/>
      <c r="R438" s="6"/>
      <c r="S438" s="6"/>
      <c r="T438" s="6"/>
      <c r="U438" s="51"/>
      <c r="V438" s="51"/>
      <c r="W438" s="51"/>
      <c r="X438" s="51"/>
      <c r="Y438" s="51"/>
      <c r="Z438" s="51"/>
      <c r="AA438" s="51"/>
      <c r="AB438" s="51"/>
      <c r="AC438" s="51"/>
    </row>
    <row r="439">
      <c r="B439" s="6"/>
      <c r="C439" s="50"/>
      <c r="D439" s="50"/>
      <c r="E439" s="50"/>
      <c r="F439" s="50"/>
      <c r="G439" s="50"/>
      <c r="H439" s="50"/>
      <c r="I439" s="50"/>
      <c r="J439" s="50"/>
      <c r="K439" s="79"/>
      <c r="L439" s="6"/>
      <c r="M439" s="6"/>
      <c r="N439" s="6"/>
      <c r="O439" s="6"/>
      <c r="P439" s="6"/>
      <c r="Q439" s="6"/>
      <c r="R439" s="6"/>
      <c r="S439" s="6"/>
      <c r="T439" s="6"/>
      <c r="U439" s="51"/>
      <c r="V439" s="51"/>
      <c r="W439" s="51"/>
      <c r="X439" s="51"/>
      <c r="Y439" s="51"/>
      <c r="Z439" s="51"/>
      <c r="AA439" s="51"/>
      <c r="AB439" s="51"/>
      <c r="AC439" s="51"/>
    </row>
    <row r="440">
      <c r="B440" s="6"/>
      <c r="C440" s="50"/>
      <c r="D440" s="50"/>
      <c r="E440" s="50"/>
      <c r="F440" s="50"/>
      <c r="G440" s="50"/>
      <c r="H440" s="50"/>
      <c r="I440" s="50"/>
      <c r="J440" s="50"/>
      <c r="K440" s="79"/>
      <c r="L440" s="6"/>
      <c r="M440" s="6"/>
      <c r="N440" s="6"/>
      <c r="O440" s="6"/>
      <c r="P440" s="6"/>
      <c r="Q440" s="6"/>
      <c r="R440" s="6"/>
      <c r="S440" s="6"/>
      <c r="T440" s="6"/>
      <c r="U440" s="51"/>
      <c r="V440" s="51"/>
      <c r="W440" s="51"/>
      <c r="X440" s="51"/>
      <c r="Y440" s="51"/>
      <c r="Z440" s="51"/>
      <c r="AA440" s="51"/>
      <c r="AB440" s="51"/>
      <c r="AC440" s="51"/>
    </row>
    <row r="441">
      <c r="B441" s="6"/>
      <c r="C441" s="50"/>
      <c r="D441" s="50"/>
      <c r="E441" s="50"/>
      <c r="F441" s="50"/>
      <c r="G441" s="50"/>
      <c r="H441" s="50"/>
      <c r="I441" s="50"/>
      <c r="J441" s="50"/>
      <c r="K441" s="79"/>
      <c r="L441" s="6"/>
      <c r="M441" s="6"/>
      <c r="N441" s="6"/>
      <c r="O441" s="6"/>
      <c r="P441" s="6"/>
      <c r="Q441" s="6"/>
      <c r="R441" s="6"/>
      <c r="S441" s="6"/>
      <c r="T441" s="6"/>
      <c r="U441" s="51"/>
      <c r="V441" s="51"/>
      <c r="W441" s="51"/>
      <c r="X441" s="51"/>
      <c r="Y441" s="51"/>
      <c r="Z441" s="51"/>
      <c r="AA441" s="51"/>
      <c r="AB441" s="51"/>
      <c r="AC441" s="51"/>
    </row>
    <row r="442">
      <c r="B442" s="6"/>
      <c r="C442" s="50"/>
      <c r="D442" s="50"/>
      <c r="E442" s="50"/>
      <c r="F442" s="50"/>
      <c r="G442" s="50"/>
      <c r="H442" s="50"/>
      <c r="I442" s="50"/>
      <c r="J442" s="50"/>
      <c r="K442" s="79"/>
      <c r="L442" s="6"/>
      <c r="M442" s="6"/>
      <c r="N442" s="6"/>
      <c r="O442" s="6"/>
      <c r="P442" s="6"/>
      <c r="Q442" s="6"/>
      <c r="R442" s="6"/>
      <c r="S442" s="6"/>
      <c r="T442" s="6"/>
      <c r="U442" s="51"/>
      <c r="V442" s="51"/>
      <c r="W442" s="51"/>
      <c r="X442" s="51"/>
      <c r="Y442" s="51"/>
      <c r="Z442" s="51"/>
      <c r="AA442" s="51"/>
      <c r="AB442" s="51"/>
      <c r="AC442" s="51"/>
    </row>
    <row r="443">
      <c r="B443" s="6"/>
      <c r="C443" s="50"/>
      <c r="D443" s="50"/>
      <c r="E443" s="50"/>
      <c r="F443" s="50"/>
      <c r="G443" s="50"/>
      <c r="H443" s="50"/>
      <c r="I443" s="50"/>
      <c r="J443" s="50"/>
      <c r="K443" s="79"/>
      <c r="L443" s="6"/>
      <c r="M443" s="6"/>
      <c r="N443" s="6"/>
      <c r="O443" s="6"/>
      <c r="P443" s="6"/>
      <c r="Q443" s="6"/>
      <c r="R443" s="6"/>
      <c r="S443" s="6"/>
      <c r="T443" s="6"/>
      <c r="U443" s="51"/>
      <c r="V443" s="51"/>
      <c r="W443" s="51"/>
      <c r="X443" s="51"/>
      <c r="Y443" s="51"/>
      <c r="Z443" s="51"/>
      <c r="AA443" s="51"/>
      <c r="AB443" s="51"/>
      <c r="AC443" s="51"/>
    </row>
    <row r="444">
      <c r="B444" s="6"/>
      <c r="C444" s="50"/>
      <c r="D444" s="50"/>
      <c r="E444" s="50"/>
      <c r="F444" s="50"/>
      <c r="G444" s="50"/>
      <c r="H444" s="50"/>
      <c r="I444" s="50"/>
      <c r="J444" s="50"/>
      <c r="K444" s="79"/>
      <c r="L444" s="6"/>
      <c r="M444" s="6"/>
      <c r="N444" s="6"/>
      <c r="O444" s="6"/>
      <c r="P444" s="6"/>
      <c r="Q444" s="6"/>
      <c r="R444" s="6"/>
      <c r="S444" s="6"/>
      <c r="T444" s="6"/>
      <c r="U444" s="51"/>
      <c r="V444" s="51"/>
      <c r="W444" s="51"/>
      <c r="X444" s="51"/>
      <c r="Y444" s="51"/>
      <c r="Z444" s="51"/>
      <c r="AA444" s="51"/>
      <c r="AB444" s="51"/>
      <c r="AC444" s="51"/>
    </row>
    <row r="445">
      <c r="B445" s="6"/>
      <c r="C445" s="50"/>
      <c r="D445" s="50"/>
      <c r="E445" s="50"/>
      <c r="F445" s="50"/>
      <c r="G445" s="50"/>
      <c r="H445" s="50"/>
      <c r="I445" s="50"/>
      <c r="J445" s="50"/>
      <c r="K445" s="79"/>
      <c r="L445" s="6"/>
      <c r="M445" s="6"/>
      <c r="N445" s="6"/>
      <c r="O445" s="6"/>
      <c r="P445" s="6"/>
      <c r="Q445" s="6"/>
      <c r="R445" s="6"/>
      <c r="S445" s="6"/>
      <c r="T445" s="6"/>
      <c r="U445" s="51"/>
      <c r="V445" s="51"/>
      <c r="W445" s="51"/>
      <c r="X445" s="51"/>
      <c r="Y445" s="51"/>
      <c r="Z445" s="51"/>
      <c r="AA445" s="51"/>
      <c r="AB445" s="51"/>
      <c r="AC445" s="51"/>
    </row>
    <row r="446">
      <c r="B446" s="6"/>
      <c r="C446" s="50"/>
      <c r="D446" s="50"/>
      <c r="E446" s="50"/>
      <c r="F446" s="50"/>
      <c r="G446" s="50"/>
      <c r="H446" s="50"/>
      <c r="I446" s="50"/>
      <c r="J446" s="50"/>
      <c r="K446" s="79"/>
      <c r="L446" s="6"/>
      <c r="M446" s="6"/>
      <c r="N446" s="6"/>
      <c r="O446" s="6"/>
      <c r="P446" s="6"/>
      <c r="Q446" s="6"/>
      <c r="R446" s="6"/>
      <c r="S446" s="6"/>
      <c r="T446" s="6"/>
      <c r="U446" s="51"/>
      <c r="V446" s="51"/>
      <c r="W446" s="51"/>
      <c r="X446" s="51"/>
      <c r="Y446" s="51"/>
      <c r="Z446" s="51"/>
      <c r="AA446" s="51"/>
      <c r="AB446" s="51"/>
      <c r="AC446" s="51"/>
    </row>
    <row r="447">
      <c r="B447" s="6"/>
      <c r="C447" s="50"/>
      <c r="D447" s="50"/>
      <c r="E447" s="50"/>
      <c r="F447" s="50"/>
      <c r="G447" s="50"/>
      <c r="H447" s="50"/>
      <c r="I447" s="50"/>
      <c r="J447" s="50"/>
      <c r="K447" s="79"/>
      <c r="L447" s="6"/>
      <c r="M447" s="6"/>
      <c r="N447" s="6"/>
      <c r="O447" s="6"/>
      <c r="P447" s="6"/>
      <c r="Q447" s="6"/>
      <c r="R447" s="6"/>
      <c r="S447" s="6"/>
      <c r="T447" s="6"/>
      <c r="U447" s="51"/>
      <c r="V447" s="51"/>
      <c r="W447" s="51"/>
      <c r="X447" s="51"/>
      <c r="Y447" s="51"/>
      <c r="Z447" s="51"/>
      <c r="AA447" s="51"/>
      <c r="AB447" s="51"/>
      <c r="AC447" s="51"/>
    </row>
    <row r="448">
      <c r="B448" s="6"/>
      <c r="C448" s="50"/>
      <c r="D448" s="50"/>
      <c r="E448" s="50"/>
      <c r="F448" s="50"/>
      <c r="G448" s="50"/>
      <c r="H448" s="50"/>
      <c r="I448" s="50"/>
      <c r="J448" s="50"/>
      <c r="K448" s="79"/>
      <c r="L448" s="6"/>
      <c r="M448" s="6"/>
      <c r="N448" s="6"/>
      <c r="O448" s="6"/>
      <c r="P448" s="6"/>
      <c r="Q448" s="6"/>
      <c r="R448" s="6"/>
      <c r="S448" s="6"/>
      <c r="T448" s="6"/>
      <c r="U448" s="51"/>
      <c r="V448" s="51"/>
      <c r="W448" s="51"/>
      <c r="X448" s="51"/>
      <c r="Y448" s="51"/>
      <c r="Z448" s="51"/>
      <c r="AA448" s="51"/>
      <c r="AB448" s="51"/>
      <c r="AC448" s="51"/>
    </row>
    <row r="449">
      <c r="B449" s="6"/>
      <c r="C449" s="50"/>
      <c r="D449" s="50"/>
      <c r="E449" s="50"/>
      <c r="F449" s="50"/>
      <c r="G449" s="50"/>
      <c r="H449" s="50"/>
      <c r="I449" s="50"/>
      <c r="J449" s="50"/>
      <c r="K449" s="79"/>
      <c r="L449" s="6"/>
      <c r="M449" s="6"/>
      <c r="N449" s="6"/>
      <c r="O449" s="6"/>
      <c r="P449" s="6"/>
      <c r="Q449" s="6"/>
      <c r="R449" s="6"/>
      <c r="S449" s="6"/>
      <c r="T449" s="6"/>
      <c r="U449" s="51"/>
      <c r="V449" s="51"/>
      <c r="W449" s="51"/>
      <c r="X449" s="51"/>
      <c r="Y449" s="51"/>
      <c r="Z449" s="51"/>
      <c r="AA449" s="51"/>
      <c r="AB449" s="51"/>
      <c r="AC449" s="51"/>
    </row>
    <row r="450">
      <c r="B450" s="6"/>
      <c r="C450" s="50"/>
      <c r="D450" s="50"/>
      <c r="E450" s="50"/>
      <c r="F450" s="50"/>
      <c r="G450" s="50"/>
      <c r="H450" s="50"/>
      <c r="I450" s="50"/>
      <c r="J450" s="50"/>
      <c r="K450" s="79"/>
      <c r="L450" s="6"/>
      <c r="M450" s="6"/>
      <c r="N450" s="6"/>
      <c r="O450" s="6"/>
      <c r="P450" s="6"/>
      <c r="Q450" s="6"/>
      <c r="R450" s="6"/>
      <c r="S450" s="6"/>
      <c r="T450" s="6"/>
      <c r="U450" s="51"/>
      <c r="V450" s="51"/>
      <c r="W450" s="51"/>
      <c r="X450" s="51"/>
      <c r="Y450" s="51"/>
      <c r="Z450" s="51"/>
      <c r="AA450" s="51"/>
      <c r="AB450" s="51"/>
      <c r="AC450" s="51"/>
    </row>
    <row r="451">
      <c r="B451" s="6"/>
      <c r="C451" s="50"/>
      <c r="D451" s="50"/>
      <c r="E451" s="50"/>
      <c r="F451" s="50"/>
      <c r="G451" s="50"/>
      <c r="H451" s="50"/>
      <c r="I451" s="50"/>
      <c r="J451" s="50"/>
      <c r="K451" s="79"/>
      <c r="L451" s="6"/>
      <c r="M451" s="6"/>
      <c r="N451" s="6"/>
      <c r="O451" s="6"/>
      <c r="P451" s="6"/>
      <c r="Q451" s="6"/>
      <c r="R451" s="6"/>
      <c r="S451" s="6"/>
      <c r="T451" s="6"/>
      <c r="U451" s="51"/>
      <c r="V451" s="51"/>
      <c r="W451" s="51"/>
      <c r="X451" s="51"/>
      <c r="Y451" s="51"/>
      <c r="Z451" s="51"/>
      <c r="AA451" s="51"/>
      <c r="AB451" s="51"/>
      <c r="AC451" s="51"/>
    </row>
    <row r="452">
      <c r="B452" s="6"/>
      <c r="C452" s="50"/>
      <c r="D452" s="50"/>
      <c r="E452" s="50"/>
      <c r="F452" s="50"/>
      <c r="G452" s="50"/>
      <c r="H452" s="50"/>
      <c r="I452" s="50"/>
      <c r="J452" s="50"/>
      <c r="K452" s="79"/>
      <c r="L452" s="6"/>
      <c r="M452" s="6"/>
      <c r="N452" s="6"/>
      <c r="O452" s="6"/>
      <c r="P452" s="6"/>
      <c r="Q452" s="6"/>
      <c r="R452" s="6"/>
      <c r="S452" s="6"/>
      <c r="T452" s="6"/>
      <c r="U452" s="51"/>
      <c r="V452" s="51"/>
      <c r="W452" s="51"/>
      <c r="X452" s="51"/>
      <c r="Y452" s="51"/>
      <c r="Z452" s="51"/>
      <c r="AA452" s="51"/>
      <c r="AB452" s="51"/>
      <c r="AC452" s="51"/>
    </row>
    <row r="453">
      <c r="B453" s="6"/>
      <c r="C453" s="50"/>
      <c r="D453" s="50"/>
      <c r="E453" s="50"/>
      <c r="F453" s="50"/>
      <c r="G453" s="50"/>
      <c r="H453" s="50"/>
      <c r="I453" s="50"/>
      <c r="J453" s="50"/>
      <c r="K453" s="79"/>
      <c r="L453" s="6"/>
      <c r="M453" s="6"/>
      <c r="N453" s="6"/>
      <c r="O453" s="6"/>
      <c r="P453" s="6"/>
      <c r="Q453" s="6"/>
      <c r="R453" s="6"/>
      <c r="S453" s="6"/>
      <c r="T453" s="6"/>
      <c r="U453" s="51"/>
      <c r="V453" s="51"/>
      <c r="W453" s="51"/>
      <c r="X453" s="51"/>
      <c r="Y453" s="51"/>
      <c r="Z453" s="51"/>
      <c r="AA453" s="51"/>
      <c r="AB453" s="51"/>
      <c r="AC453" s="51"/>
    </row>
    <row r="454">
      <c r="B454" s="6"/>
      <c r="C454" s="50"/>
      <c r="D454" s="50"/>
      <c r="E454" s="50"/>
      <c r="F454" s="50"/>
      <c r="G454" s="50"/>
      <c r="H454" s="50"/>
      <c r="I454" s="50"/>
      <c r="J454" s="50"/>
      <c r="K454" s="79"/>
      <c r="L454" s="6"/>
      <c r="M454" s="6"/>
      <c r="N454" s="6"/>
      <c r="O454" s="6"/>
      <c r="P454" s="6"/>
      <c r="Q454" s="6"/>
      <c r="R454" s="6"/>
      <c r="S454" s="6"/>
      <c r="T454" s="6"/>
      <c r="U454" s="51"/>
      <c r="V454" s="51"/>
      <c r="W454" s="51"/>
      <c r="X454" s="51"/>
      <c r="Y454" s="51"/>
      <c r="Z454" s="51"/>
      <c r="AA454" s="51"/>
      <c r="AB454" s="51"/>
      <c r="AC454" s="51"/>
    </row>
    <row r="455">
      <c r="B455" s="6"/>
      <c r="C455" s="50"/>
      <c r="D455" s="50"/>
      <c r="E455" s="50"/>
      <c r="F455" s="50"/>
      <c r="G455" s="50"/>
      <c r="H455" s="50"/>
      <c r="I455" s="50"/>
      <c r="J455" s="50"/>
      <c r="K455" s="79"/>
      <c r="L455" s="6"/>
      <c r="M455" s="6"/>
      <c r="N455" s="6"/>
      <c r="O455" s="6"/>
      <c r="P455" s="6"/>
      <c r="Q455" s="6"/>
      <c r="R455" s="6"/>
      <c r="S455" s="6"/>
      <c r="T455" s="6"/>
      <c r="U455" s="51"/>
      <c r="V455" s="51"/>
      <c r="W455" s="51"/>
      <c r="X455" s="51"/>
      <c r="Y455" s="51"/>
      <c r="Z455" s="51"/>
      <c r="AA455" s="51"/>
      <c r="AB455" s="51"/>
      <c r="AC455" s="51"/>
    </row>
    <row r="456">
      <c r="B456" s="6"/>
      <c r="C456" s="50"/>
      <c r="D456" s="50"/>
      <c r="E456" s="50"/>
      <c r="F456" s="50"/>
      <c r="G456" s="50"/>
      <c r="H456" s="50"/>
      <c r="I456" s="50"/>
      <c r="J456" s="50"/>
      <c r="K456" s="79"/>
      <c r="L456" s="6"/>
      <c r="M456" s="6"/>
      <c r="N456" s="6"/>
      <c r="O456" s="6"/>
      <c r="P456" s="6"/>
      <c r="Q456" s="6"/>
      <c r="R456" s="6"/>
      <c r="S456" s="6"/>
      <c r="T456" s="6"/>
      <c r="U456" s="51"/>
      <c r="V456" s="51"/>
      <c r="W456" s="51"/>
      <c r="X456" s="51"/>
      <c r="Y456" s="51"/>
      <c r="Z456" s="51"/>
      <c r="AA456" s="51"/>
      <c r="AB456" s="51"/>
      <c r="AC456" s="51"/>
    </row>
    <row r="457">
      <c r="B457" s="6"/>
      <c r="C457" s="50"/>
      <c r="D457" s="50"/>
      <c r="E457" s="50"/>
      <c r="F457" s="50"/>
      <c r="G457" s="50"/>
      <c r="H457" s="50"/>
      <c r="I457" s="50"/>
      <c r="J457" s="50"/>
      <c r="K457" s="79"/>
      <c r="L457" s="6"/>
      <c r="M457" s="6"/>
      <c r="N457" s="6"/>
      <c r="O457" s="6"/>
      <c r="P457" s="6"/>
      <c r="Q457" s="6"/>
      <c r="R457" s="6"/>
      <c r="S457" s="6"/>
      <c r="T457" s="6"/>
      <c r="U457" s="51"/>
      <c r="V457" s="51"/>
      <c r="W457" s="51"/>
      <c r="X457" s="51"/>
      <c r="Y457" s="51"/>
      <c r="Z457" s="51"/>
      <c r="AA457" s="51"/>
      <c r="AB457" s="51"/>
      <c r="AC457" s="51"/>
    </row>
    <row r="458">
      <c r="B458" s="6"/>
      <c r="C458" s="50"/>
      <c r="D458" s="50"/>
      <c r="E458" s="50"/>
      <c r="F458" s="50"/>
      <c r="G458" s="50"/>
      <c r="H458" s="50"/>
      <c r="I458" s="50"/>
      <c r="J458" s="50"/>
      <c r="K458" s="79"/>
      <c r="L458" s="6"/>
      <c r="M458" s="6"/>
      <c r="N458" s="6"/>
      <c r="O458" s="6"/>
      <c r="P458" s="6"/>
      <c r="Q458" s="6"/>
      <c r="R458" s="6"/>
      <c r="S458" s="6"/>
      <c r="T458" s="6"/>
      <c r="U458" s="51"/>
      <c r="V458" s="51"/>
      <c r="W458" s="51"/>
      <c r="X458" s="51"/>
      <c r="Y458" s="51"/>
      <c r="Z458" s="51"/>
      <c r="AA458" s="51"/>
      <c r="AB458" s="51"/>
      <c r="AC458" s="51"/>
    </row>
    <row r="459">
      <c r="B459" s="6"/>
      <c r="C459" s="50"/>
      <c r="D459" s="50"/>
      <c r="E459" s="50"/>
      <c r="F459" s="50"/>
      <c r="G459" s="50"/>
      <c r="H459" s="50"/>
      <c r="I459" s="50"/>
      <c r="J459" s="50"/>
      <c r="K459" s="79"/>
      <c r="L459" s="6"/>
      <c r="M459" s="6"/>
      <c r="N459" s="6"/>
      <c r="O459" s="6"/>
      <c r="P459" s="6"/>
      <c r="Q459" s="6"/>
      <c r="R459" s="6"/>
      <c r="S459" s="6"/>
      <c r="T459" s="6"/>
      <c r="U459" s="51"/>
      <c r="V459" s="51"/>
      <c r="W459" s="51"/>
      <c r="X459" s="51"/>
      <c r="Y459" s="51"/>
      <c r="Z459" s="51"/>
      <c r="AA459" s="51"/>
      <c r="AB459" s="51"/>
      <c r="AC459" s="51"/>
    </row>
    <row r="460">
      <c r="B460" s="6"/>
      <c r="C460" s="50"/>
      <c r="D460" s="50"/>
      <c r="E460" s="50"/>
      <c r="F460" s="50"/>
      <c r="G460" s="50"/>
      <c r="H460" s="50"/>
      <c r="I460" s="50"/>
      <c r="J460" s="50"/>
      <c r="K460" s="79"/>
      <c r="L460" s="6"/>
      <c r="M460" s="6"/>
      <c r="N460" s="6"/>
      <c r="O460" s="6"/>
      <c r="P460" s="6"/>
      <c r="Q460" s="6"/>
      <c r="R460" s="6"/>
      <c r="S460" s="6"/>
      <c r="T460" s="6"/>
      <c r="U460" s="51"/>
      <c r="V460" s="51"/>
      <c r="W460" s="51"/>
      <c r="X460" s="51"/>
      <c r="Y460" s="51"/>
      <c r="Z460" s="51"/>
      <c r="AA460" s="51"/>
      <c r="AB460" s="51"/>
      <c r="AC460" s="51"/>
    </row>
    <row r="461">
      <c r="B461" s="6"/>
      <c r="C461" s="50"/>
      <c r="D461" s="50"/>
      <c r="E461" s="50"/>
      <c r="F461" s="50"/>
      <c r="G461" s="50"/>
      <c r="H461" s="50"/>
      <c r="I461" s="50"/>
      <c r="J461" s="50"/>
      <c r="K461" s="79"/>
      <c r="L461" s="6"/>
      <c r="M461" s="6"/>
      <c r="N461" s="6"/>
      <c r="O461" s="6"/>
      <c r="P461" s="6"/>
      <c r="Q461" s="6"/>
      <c r="R461" s="6"/>
      <c r="S461" s="6"/>
      <c r="T461" s="6"/>
      <c r="U461" s="51"/>
      <c r="V461" s="51"/>
      <c r="W461" s="51"/>
      <c r="X461" s="51"/>
      <c r="Y461" s="51"/>
      <c r="Z461" s="51"/>
      <c r="AA461" s="51"/>
      <c r="AB461" s="51"/>
      <c r="AC461" s="51"/>
    </row>
    <row r="462">
      <c r="B462" s="6"/>
      <c r="C462" s="50"/>
      <c r="D462" s="50"/>
      <c r="E462" s="50"/>
      <c r="F462" s="50"/>
      <c r="G462" s="50"/>
      <c r="H462" s="50"/>
      <c r="I462" s="50"/>
      <c r="J462" s="50"/>
      <c r="K462" s="79"/>
      <c r="L462" s="6"/>
      <c r="M462" s="6"/>
      <c r="N462" s="6"/>
      <c r="O462" s="6"/>
      <c r="P462" s="6"/>
      <c r="Q462" s="6"/>
      <c r="R462" s="6"/>
      <c r="S462" s="6"/>
      <c r="T462" s="6"/>
      <c r="U462" s="51"/>
      <c r="V462" s="51"/>
      <c r="W462" s="51"/>
      <c r="X462" s="51"/>
      <c r="Y462" s="51"/>
      <c r="Z462" s="51"/>
      <c r="AA462" s="51"/>
      <c r="AB462" s="51"/>
      <c r="AC462" s="51"/>
    </row>
    <row r="463">
      <c r="B463" s="6"/>
      <c r="C463" s="50"/>
      <c r="D463" s="50"/>
      <c r="E463" s="50"/>
      <c r="F463" s="50"/>
      <c r="G463" s="50"/>
      <c r="H463" s="50"/>
      <c r="I463" s="50"/>
      <c r="J463" s="50"/>
      <c r="K463" s="79"/>
      <c r="L463" s="6"/>
      <c r="M463" s="6"/>
      <c r="N463" s="6"/>
      <c r="O463" s="6"/>
      <c r="P463" s="6"/>
      <c r="Q463" s="6"/>
      <c r="R463" s="6"/>
      <c r="S463" s="6"/>
      <c r="T463" s="6"/>
      <c r="U463" s="51"/>
      <c r="V463" s="51"/>
      <c r="W463" s="51"/>
      <c r="X463" s="51"/>
      <c r="Y463" s="51"/>
      <c r="Z463" s="51"/>
      <c r="AA463" s="51"/>
      <c r="AB463" s="51"/>
      <c r="AC463" s="51"/>
    </row>
    <row r="464">
      <c r="B464" s="6"/>
      <c r="C464" s="50"/>
      <c r="D464" s="50"/>
      <c r="E464" s="50"/>
      <c r="F464" s="50"/>
      <c r="G464" s="50"/>
      <c r="H464" s="50"/>
      <c r="I464" s="50"/>
      <c r="J464" s="50"/>
      <c r="K464" s="79"/>
      <c r="L464" s="6"/>
      <c r="M464" s="6"/>
      <c r="N464" s="6"/>
      <c r="O464" s="6"/>
      <c r="P464" s="6"/>
      <c r="Q464" s="6"/>
      <c r="R464" s="6"/>
      <c r="S464" s="6"/>
      <c r="T464" s="6"/>
      <c r="U464" s="51"/>
      <c r="V464" s="51"/>
      <c r="W464" s="51"/>
      <c r="X464" s="51"/>
      <c r="Y464" s="51"/>
      <c r="Z464" s="51"/>
      <c r="AA464" s="51"/>
      <c r="AB464" s="51"/>
      <c r="AC464" s="51"/>
    </row>
    <row r="465">
      <c r="B465" s="6"/>
      <c r="C465" s="50"/>
      <c r="D465" s="50"/>
      <c r="E465" s="50"/>
      <c r="F465" s="50"/>
      <c r="G465" s="50"/>
      <c r="H465" s="50"/>
      <c r="I465" s="50"/>
      <c r="J465" s="50"/>
      <c r="K465" s="79"/>
      <c r="L465" s="6"/>
      <c r="M465" s="6"/>
      <c r="N465" s="6"/>
      <c r="O465" s="6"/>
      <c r="P465" s="6"/>
      <c r="Q465" s="6"/>
      <c r="R465" s="6"/>
      <c r="S465" s="6"/>
      <c r="T465" s="6"/>
      <c r="U465" s="51"/>
      <c r="V465" s="51"/>
      <c r="W465" s="51"/>
      <c r="X465" s="51"/>
      <c r="Y465" s="51"/>
      <c r="Z465" s="51"/>
      <c r="AA465" s="51"/>
      <c r="AB465" s="51"/>
      <c r="AC465" s="51"/>
    </row>
    <row r="466">
      <c r="B466" s="6"/>
      <c r="C466" s="50"/>
      <c r="D466" s="50"/>
      <c r="E466" s="50"/>
      <c r="F466" s="50"/>
      <c r="G466" s="50"/>
      <c r="H466" s="50"/>
      <c r="I466" s="50"/>
      <c r="J466" s="50"/>
      <c r="K466" s="79"/>
      <c r="L466" s="6"/>
      <c r="M466" s="6"/>
      <c r="N466" s="6"/>
      <c r="O466" s="6"/>
      <c r="P466" s="6"/>
      <c r="Q466" s="6"/>
      <c r="R466" s="6"/>
      <c r="S466" s="6"/>
      <c r="T466" s="6"/>
      <c r="U466" s="51"/>
      <c r="V466" s="51"/>
      <c r="W466" s="51"/>
      <c r="X466" s="51"/>
      <c r="Y466" s="51"/>
      <c r="Z466" s="51"/>
      <c r="AA466" s="51"/>
      <c r="AB466" s="51"/>
      <c r="AC466" s="51"/>
    </row>
    <row r="467">
      <c r="B467" s="6"/>
      <c r="C467" s="50"/>
      <c r="D467" s="50"/>
      <c r="E467" s="50"/>
      <c r="F467" s="50"/>
      <c r="G467" s="50"/>
      <c r="H467" s="50"/>
      <c r="I467" s="50"/>
      <c r="J467" s="50"/>
      <c r="K467" s="79"/>
      <c r="L467" s="6"/>
      <c r="M467" s="6"/>
      <c r="N467" s="6"/>
      <c r="O467" s="6"/>
      <c r="P467" s="6"/>
      <c r="Q467" s="6"/>
      <c r="R467" s="6"/>
      <c r="S467" s="6"/>
      <c r="T467" s="6"/>
      <c r="U467" s="51"/>
      <c r="V467" s="51"/>
      <c r="W467" s="51"/>
      <c r="X467" s="51"/>
      <c r="Y467" s="51"/>
      <c r="Z467" s="51"/>
      <c r="AA467" s="51"/>
      <c r="AB467" s="51"/>
      <c r="AC467" s="51"/>
    </row>
    <row r="468">
      <c r="B468" s="6"/>
      <c r="C468" s="50"/>
      <c r="D468" s="50"/>
      <c r="E468" s="50"/>
      <c r="F468" s="50"/>
      <c r="G468" s="50"/>
      <c r="H468" s="50"/>
      <c r="I468" s="50"/>
      <c r="J468" s="50"/>
      <c r="K468" s="79"/>
      <c r="L468" s="6"/>
      <c r="M468" s="6"/>
      <c r="N468" s="6"/>
      <c r="O468" s="6"/>
      <c r="P468" s="6"/>
      <c r="Q468" s="6"/>
      <c r="R468" s="6"/>
      <c r="S468" s="6"/>
      <c r="T468" s="6"/>
      <c r="U468" s="51"/>
      <c r="V468" s="51"/>
      <c r="W468" s="51"/>
      <c r="X468" s="51"/>
      <c r="Y468" s="51"/>
      <c r="Z468" s="51"/>
      <c r="AA468" s="51"/>
      <c r="AB468" s="51"/>
      <c r="AC468" s="51"/>
    </row>
    <row r="469">
      <c r="B469" s="6"/>
      <c r="C469" s="50"/>
      <c r="D469" s="50"/>
      <c r="E469" s="50"/>
      <c r="F469" s="50"/>
      <c r="G469" s="50"/>
      <c r="H469" s="50"/>
      <c r="I469" s="50"/>
      <c r="J469" s="50"/>
      <c r="K469" s="79"/>
      <c r="L469" s="6"/>
      <c r="M469" s="6"/>
      <c r="N469" s="6"/>
      <c r="O469" s="6"/>
      <c r="P469" s="6"/>
      <c r="Q469" s="6"/>
      <c r="R469" s="6"/>
      <c r="S469" s="6"/>
      <c r="T469" s="6"/>
      <c r="U469" s="51"/>
      <c r="V469" s="51"/>
      <c r="W469" s="51"/>
      <c r="X469" s="51"/>
      <c r="Y469" s="51"/>
      <c r="Z469" s="51"/>
      <c r="AA469" s="51"/>
      <c r="AB469" s="51"/>
      <c r="AC469" s="51"/>
    </row>
    <row r="470">
      <c r="B470" s="6"/>
      <c r="C470" s="50"/>
      <c r="D470" s="50"/>
      <c r="E470" s="50"/>
      <c r="F470" s="50"/>
      <c r="G470" s="50"/>
      <c r="H470" s="50"/>
      <c r="I470" s="50"/>
      <c r="J470" s="50"/>
      <c r="K470" s="79"/>
      <c r="L470" s="6"/>
      <c r="M470" s="6"/>
      <c r="N470" s="6"/>
      <c r="O470" s="6"/>
      <c r="P470" s="6"/>
      <c r="Q470" s="6"/>
      <c r="R470" s="6"/>
      <c r="S470" s="6"/>
      <c r="T470" s="6"/>
      <c r="U470" s="51"/>
      <c r="V470" s="51"/>
      <c r="W470" s="51"/>
      <c r="X470" s="51"/>
      <c r="Y470" s="51"/>
      <c r="Z470" s="51"/>
      <c r="AA470" s="51"/>
      <c r="AB470" s="51"/>
      <c r="AC470" s="51"/>
    </row>
    <row r="471">
      <c r="B471" s="6"/>
      <c r="C471" s="50"/>
      <c r="D471" s="50"/>
      <c r="E471" s="50"/>
      <c r="F471" s="50"/>
      <c r="G471" s="50"/>
      <c r="H471" s="50"/>
      <c r="I471" s="50"/>
      <c r="J471" s="50"/>
      <c r="K471" s="79"/>
      <c r="L471" s="6"/>
      <c r="M471" s="6"/>
      <c r="N471" s="6"/>
      <c r="O471" s="6"/>
      <c r="P471" s="6"/>
      <c r="Q471" s="6"/>
      <c r="R471" s="6"/>
      <c r="S471" s="6"/>
      <c r="T471" s="6"/>
      <c r="U471" s="51"/>
      <c r="V471" s="51"/>
      <c r="W471" s="51"/>
      <c r="X471" s="51"/>
      <c r="Y471" s="51"/>
      <c r="Z471" s="51"/>
      <c r="AA471" s="51"/>
      <c r="AB471" s="51"/>
      <c r="AC471" s="51"/>
    </row>
    <row r="472">
      <c r="B472" s="6"/>
      <c r="C472" s="50"/>
      <c r="D472" s="50"/>
      <c r="E472" s="50"/>
      <c r="F472" s="50"/>
      <c r="G472" s="50"/>
      <c r="H472" s="50"/>
      <c r="I472" s="50"/>
      <c r="J472" s="50"/>
      <c r="K472" s="79"/>
      <c r="L472" s="6"/>
      <c r="M472" s="6"/>
      <c r="N472" s="6"/>
      <c r="O472" s="6"/>
      <c r="P472" s="6"/>
      <c r="Q472" s="6"/>
      <c r="R472" s="6"/>
      <c r="S472" s="6"/>
      <c r="T472" s="6"/>
      <c r="U472" s="51"/>
      <c r="V472" s="51"/>
      <c r="W472" s="51"/>
      <c r="X472" s="51"/>
      <c r="Y472" s="51"/>
      <c r="Z472" s="51"/>
      <c r="AA472" s="51"/>
      <c r="AB472" s="51"/>
      <c r="AC472" s="51"/>
    </row>
    <row r="473">
      <c r="B473" s="6"/>
      <c r="C473" s="50"/>
      <c r="D473" s="50"/>
      <c r="E473" s="50"/>
      <c r="F473" s="50"/>
      <c r="G473" s="50"/>
      <c r="H473" s="50"/>
      <c r="I473" s="50"/>
      <c r="J473" s="50"/>
      <c r="K473" s="79"/>
      <c r="L473" s="6"/>
      <c r="M473" s="6"/>
      <c r="N473" s="6"/>
      <c r="O473" s="6"/>
      <c r="P473" s="6"/>
      <c r="Q473" s="6"/>
      <c r="R473" s="6"/>
      <c r="S473" s="6"/>
      <c r="T473" s="6"/>
      <c r="U473" s="51"/>
      <c r="V473" s="51"/>
      <c r="W473" s="51"/>
      <c r="X473" s="51"/>
      <c r="Y473" s="51"/>
      <c r="Z473" s="51"/>
      <c r="AA473" s="51"/>
      <c r="AB473" s="51"/>
      <c r="AC473" s="51"/>
    </row>
    <row r="474">
      <c r="B474" s="6"/>
      <c r="C474" s="50"/>
      <c r="D474" s="50"/>
      <c r="E474" s="50"/>
      <c r="F474" s="50"/>
      <c r="G474" s="50"/>
      <c r="H474" s="50"/>
      <c r="I474" s="50"/>
      <c r="J474" s="50"/>
      <c r="K474" s="79"/>
      <c r="L474" s="6"/>
      <c r="M474" s="6"/>
      <c r="N474" s="6"/>
      <c r="O474" s="6"/>
      <c r="P474" s="6"/>
      <c r="Q474" s="6"/>
      <c r="R474" s="6"/>
      <c r="S474" s="6"/>
      <c r="T474" s="6"/>
      <c r="U474" s="51"/>
      <c r="V474" s="51"/>
      <c r="W474" s="51"/>
      <c r="X474" s="51"/>
      <c r="Y474" s="51"/>
      <c r="Z474" s="51"/>
      <c r="AA474" s="51"/>
      <c r="AB474" s="51"/>
      <c r="AC474" s="51"/>
    </row>
    <row r="475">
      <c r="B475" s="6"/>
      <c r="C475" s="50"/>
      <c r="D475" s="50"/>
      <c r="E475" s="50"/>
      <c r="F475" s="50"/>
      <c r="G475" s="50"/>
      <c r="H475" s="50"/>
      <c r="I475" s="50"/>
      <c r="J475" s="50"/>
      <c r="K475" s="79"/>
      <c r="L475" s="6"/>
      <c r="M475" s="6"/>
      <c r="N475" s="6"/>
      <c r="O475" s="6"/>
      <c r="P475" s="6"/>
      <c r="Q475" s="6"/>
      <c r="R475" s="6"/>
      <c r="S475" s="6"/>
      <c r="T475" s="6"/>
      <c r="U475" s="51"/>
      <c r="V475" s="51"/>
      <c r="W475" s="51"/>
      <c r="X475" s="51"/>
      <c r="Y475" s="51"/>
      <c r="Z475" s="51"/>
      <c r="AA475" s="51"/>
      <c r="AB475" s="51"/>
      <c r="AC475" s="51"/>
    </row>
    <row r="476">
      <c r="B476" s="6"/>
      <c r="C476" s="50"/>
      <c r="D476" s="50"/>
      <c r="E476" s="50"/>
      <c r="F476" s="50"/>
      <c r="G476" s="50"/>
      <c r="H476" s="50"/>
      <c r="I476" s="50"/>
      <c r="J476" s="50"/>
      <c r="K476" s="79"/>
      <c r="L476" s="6"/>
      <c r="M476" s="6"/>
      <c r="N476" s="6"/>
      <c r="O476" s="6"/>
      <c r="P476" s="6"/>
      <c r="Q476" s="6"/>
      <c r="R476" s="6"/>
      <c r="S476" s="6"/>
      <c r="T476" s="6"/>
      <c r="U476" s="51"/>
      <c r="V476" s="51"/>
      <c r="W476" s="51"/>
      <c r="X476" s="51"/>
      <c r="Y476" s="51"/>
      <c r="Z476" s="51"/>
      <c r="AA476" s="51"/>
      <c r="AB476" s="51"/>
      <c r="AC476" s="51"/>
    </row>
    <row r="477">
      <c r="B477" s="6"/>
      <c r="C477" s="50"/>
      <c r="D477" s="50"/>
      <c r="E477" s="50"/>
      <c r="F477" s="50"/>
      <c r="G477" s="50"/>
      <c r="H477" s="50"/>
      <c r="I477" s="50"/>
      <c r="J477" s="50"/>
      <c r="K477" s="79"/>
      <c r="L477" s="6"/>
      <c r="M477" s="6"/>
      <c r="N477" s="6"/>
      <c r="O477" s="6"/>
      <c r="P477" s="6"/>
      <c r="Q477" s="6"/>
      <c r="R477" s="6"/>
      <c r="S477" s="6"/>
      <c r="T477" s="6"/>
      <c r="U477" s="51"/>
      <c r="V477" s="51"/>
      <c r="W477" s="51"/>
      <c r="X477" s="51"/>
      <c r="Y477" s="51"/>
      <c r="Z477" s="51"/>
      <c r="AA477" s="51"/>
      <c r="AB477" s="51"/>
      <c r="AC477" s="51"/>
    </row>
    <row r="478">
      <c r="B478" s="6"/>
      <c r="C478" s="50"/>
      <c r="D478" s="50"/>
      <c r="E478" s="50"/>
      <c r="F478" s="50"/>
      <c r="G478" s="50"/>
      <c r="H478" s="50"/>
      <c r="I478" s="50"/>
      <c r="J478" s="50"/>
      <c r="K478" s="79"/>
      <c r="L478" s="6"/>
      <c r="M478" s="6"/>
      <c r="N478" s="6"/>
      <c r="O478" s="6"/>
      <c r="P478" s="6"/>
      <c r="Q478" s="6"/>
      <c r="R478" s="6"/>
      <c r="S478" s="6"/>
      <c r="T478" s="6"/>
      <c r="U478" s="51"/>
      <c r="V478" s="51"/>
      <c r="W478" s="51"/>
      <c r="X478" s="51"/>
      <c r="Y478" s="51"/>
      <c r="Z478" s="51"/>
      <c r="AA478" s="51"/>
      <c r="AB478" s="51"/>
      <c r="AC478" s="51"/>
    </row>
    <row r="479">
      <c r="B479" s="6"/>
      <c r="C479" s="50"/>
      <c r="D479" s="50"/>
      <c r="E479" s="50"/>
      <c r="F479" s="50"/>
      <c r="G479" s="50"/>
      <c r="H479" s="50"/>
      <c r="I479" s="50"/>
      <c r="J479" s="50"/>
      <c r="K479" s="79"/>
      <c r="L479" s="6"/>
      <c r="M479" s="6"/>
      <c r="N479" s="6"/>
      <c r="O479" s="6"/>
      <c r="P479" s="6"/>
      <c r="Q479" s="6"/>
      <c r="R479" s="6"/>
      <c r="S479" s="6"/>
      <c r="T479" s="6"/>
      <c r="U479" s="51"/>
      <c r="V479" s="51"/>
      <c r="W479" s="51"/>
      <c r="X479" s="51"/>
      <c r="Y479" s="51"/>
      <c r="Z479" s="51"/>
      <c r="AA479" s="51"/>
      <c r="AB479" s="51"/>
      <c r="AC479" s="51"/>
    </row>
    <row r="480">
      <c r="B480" s="6"/>
      <c r="C480" s="50"/>
      <c r="D480" s="50"/>
      <c r="E480" s="50"/>
      <c r="F480" s="50"/>
      <c r="G480" s="50"/>
      <c r="H480" s="50"/>
      <c r="I480" s="50"/>
      <c r="J480" s="50"/>
      <c r="K480" s="79"/>
      <c r="L480" s="6"/>
      <c r="M480" s="6"/>
      <c r="N480" s="6"/>
      <c r="O480" s="6"/>
      <c r="P480" s="6"/>
      <c r="Q480" s="6"/>
      <c r="R480" s="6"/>
      <c r="S480" s="6"/>
      <c r="T480" s="6"/>
      <c r="U480" s="51"/>
      <c r="V480" s="51"/>
      <c r="W480" s="51"/>
      <c r="X480" s="51"/>
      <c r="Y480" s="51"/>
      <c r="Z480" s="51"/>
      <c r="AA480" s="51"/>
      <c r="AB480" s="51"/>
      <c r="AC480" s="51"/>
    </row>
    <row r="481">
      <c r="B481" s="6"/>
      <c r="C481" s="50"/>
      <c r="D481" s="50"/>
      <c r="E481" s="50"/>
      <c r="F481" s="50"/>
      <c r="G481" s="50"/>
      <c r="H481" s="50"/>
      <c r="I481" s="50"/>
      <c r="J481" s="50"/>
      <c r="K481" s="79"/>
      <c r="L481" s="6"/>
      <c r="M481" s="6"/>
      <c r="N481" s="6"/>
      <c r="O481" s="6"/>
      <c r="P481" s="6"/>
      <c r="Q481" s="6"/>
      <c r="R481" s="6"/>
      <c r="S481" s="6"/>
      <c r="T481" s="6"/>
      <c r="U481" s="51"/>
      <c r="V481" s="51"/>
      <c r="W481" s="51"/>
      <c r="X481" s="51"/>
      <c r="Y481" s="51"/>
      <c r="Z481" s="51"/>
      <c r="AA481" s="51"/>
      <c r="AB481" s="51"/>
      <c r="AC481" s="51"/>
    </row>
    <row r="482">
      <c r="B482" s="6"/>
      <c r="C482" s="50"/>
      <c r="D482" s="50"/>
      <c r="E482" s="50"/>
      <c r="F482" s="50"/>
      <c r="G482" s="50"/>
      <c r="H482" s="50"/>
      <c r="I482" s="50"/>
      <c r="J482" s="50"/>
      <c r="K482" s="79"/>
      <c r="L482" s="6"/>
      <c r="M482" s="6"/>
      <c r="N482" s="6"/>
      <c r="O482" s="6"/>
      <c r="P482" s="6"/>
      <c r="Q482" s="6"/>
      <c r="R482" s="6"/>
      <c r="S482" s="6"/>
      <c r="T482" s="6"/>
      <c r="U482" s="51"/>
      <c r="V482" s="51"/>
      <c r="W482" s="51"/>
      <c r="X482" s="51"/>
      <c r="Y482" s="51"/>
      <c r="Z482" s="51"/>
      <c r="AA482" s="51"/>
      <c r="AB482" s="51"/>
      <c r="AC482" s="51"/>
    </row>
    <row r="483">
      <c r="B483" s="6"/>
      <c r="C483" s="50"/>
      <c r="D483" s="50"/>
      <c r="E483" s="50"/>
      <c r="F483" s="50"/>
      <c r="G483" s="50"/>
      <c r="H483" s="50"/>
      <c r="I483" s="50"/>
      <c r="J483" s="50"/>
      <c r="K483" s="79"/>
      <c r="L483" s="6"/>
      <c r="M483" s="6"/>
      <c r="N483" s="6"/>
      <c r="O483" s="6"/>
      <c r="P483" s="6"/>
      <c r="Q483" s="6"/>
      <c r="R483" s="6"/>
      <c r="S483" s="6"/>
      <c r="T483" s="6"/>
      <c r="U483" s="51"/>
      <c r="V483" s="51"/>
      <c r="W483" s="51"/>
      <c r="X483" s="51"/>
      <c r="Y483" s="51"/>
      <c r="Z483" s="51"/>
      <c r="AA483" s="51"/>
      <c r="AB483" s="51"/>
      <c r="AC483" s="51"/>
    </row>
    <row r="484">
      <c r="B484" s="6"/>
      <c r="C484" s="50"/>
      <c r="D484" s="50"/>
      <c r="E484" s="50"/>
      <c r="F484" s="50"/>
      <c r="G484" s="50"/>
      <c r="H484" s="50"/>
      <c r="I484" s="50"/>
      <c r="J484" s="50"/>
      <c r="K484" s="79"/>
      <c r="L484" s="6"/>
      <c r="M484" s="6"/>
      <c r="N484" s="6"/>
      <c r="O484" s="6"/>
      <c r="P484" s="6"/>
      <c r="Q484" s="6"/>
      <c r="R484" s="6"/>
      <c r="S484" s="6"/>
      <c r="T484" s="6"/>
      <c r="U484" s="51"/>
      <c r="V484" s="51"/>
      <c r="W484" s="51"/>
      <c r="X484" s="51"/>
      <c r="Y484" s="51"/>
      <c r="Z484" s="51"/>
      <c r="AA484" s="51"/>
      <c r="AB484" s="51"/>
      <c r="AC484" s="51"/>
    </row>
    <row r="485">
      <c r="B485" s="6"/>
      <c r="C485" s="50"/>
      <c r="D485" s="50"/>
      <c r="E485" s="50"/>
      <c r="F485" s="50"/>
      <c r="G485" s="50"/>
      <c r="H485" s="50"/>
      <c r="I485" s="50"/>
      <c r="J485" s="50"/>
      <c r="K485" s="79"/>
      <c r="L485" s="6"/>
      <c r="M485" s="6"/>
      <c r="N485" s="6"/>
      <c r="O485" s="6"/>
      <c r="P485" s="6"/>
      <c r="Q485" s="6"/>
      <c r="R485" s="6"/>
      <c r="S485" s="6"/>
      <c r="T485" s="6"/>
      <c r="U485" s="51"/>
      <c r="V485" s="51"/>
      <c r="W485" s="51"/>
      <c r="X485" s="51"/>
      <c r="Y485" s="51"/>
      <c r="Z485" s="51"/>
      <c r="AA485" s="51"/>
      <c r="AB485" s="51"/>
      <c r="AC485" s="51"/>
    </row>
    <row r="486">
      <c r="B486" s="6"/>
      <c r="C486" s="50"/>
      <c r="D486" s="50"/>
      <c r="E486" s="50"/>
      <c r="F486" s="50"/>
      <c r="G486" s="50"/>
      <c r="H486" s="50"/>
      <c r="I486" s="50"/>
      <c r="J486" s="50"/>
      <c r="K486" s="79"/>
      <c r="L486" s="6"/>
      <c r="M486" s="6"/>
      <c r="N486" s="6"/>
      <c r="O486" s="6"/>
      <c r="P486" s="6"/>
      <c r="Q486" s="6"/>
      <c r="R486" s="6"/>
      <c r="S486" s="6"/>
      <c r="T486" s="6"/>
      <c r="U486" s="51"/>
      <c r="V486" s="51"/>
      <c r="W486" s="51"/>
      <c r="X486" s="51"/>
      <c r="Y486" s="51"/>
      <c r="Z486" s="51"/>
      <c r="AA486" s="51"/>
      <c r="AB486" s="51"/>
      <c r="AC486" s="51"/>
    </row>
    <row r="487">
      <c r="B487" s="6"/>
      <c r="C487" s="50"/>
      <c r="D487" s="50"/>
      <c r="E487" s="50"/>
      <c r="F487" s="50"/>
      <c r="G487" s="50"/>
      <c r="H487" s="50"/>
      <c r="I487" s="50"/>
      <c r="J487" s="50"/>
      <c r="K487" s="79"/>
      <c r="L487" s="6"/>
      <c r="M487" s="6"/>
      <c r="N487" s="6"/>
      <c r="O487" s="6"/>
      <c r="P487" s="6"/>
      <c r="Q487" s="6"/>
      <c r="R487" s="6"/>
      <c r="S487" s="6"/>
      <c r="T487" s="6"/>
      <c r="U487" s="51"/>
      <c r="V487" s="51"/>
      <c r="W487" s="51"/>
      <c r="X487" s="51"/>
      <c r="Y487" s="51"/>
      <c r="Z487" s="51"/>
      <c r="AA487" s="51"/>
      <c r="AB487" s="51"/>
      <c r="AC487" s="51"/>
    </row>
    <row r="488">
      <c r="B488" s="6"/>
      <c r="C488" s="50"/>
      <c r="D488" s="50"/>
      <c r="E488" s="50"/>
      <c r="F488" s="50"/>
      <c r="G488" s="50"/>
      <c r="H488" s="50"/>
      <c r="I488" s="50"/>
      <c r="J488" s="50"/>
      <c r="K488" s="79"/>
      <c r="L488" s="6"/>
      <c r="M488" s="6"/>
      <c r="N488" s="6"/>
      <c r="O488" s="6"/>
      <c r="P488" s="6"/>
      <c r="Q488" s="6"/>
      <c r="R488" s="6"/>
      <c r="S488" s="6"/>
      <c r="T488" s="6"/>
      <c r="U488" s="51"/>
      <c r="V488" s="51"/>
      <c r="W488" s="51"/>
      <c r="X488" s="51"/>
      <c r="Y488" s="51"/>
      <c r="Z488" s="51"/>
      <c r="AA488" s="51"/>
      <c r="AB488" s="51"/>
      <c r="AC488" s="51"/>
    </row>
    <row r="489">
      <c r="B489" s="6"/>
      <c r="C489" s="50"/>
      <c r="D489" s="50"/>
      <c r="E489" s="50"/>
      <c r="F489" s="50"/>
      <c r="G489" s="50"/>
      <c r="H489" s="50"/>
      <c r="I489" s="50"/>
      <c r="J489" s="50"/>
      <c r="K489" s="79"/>
      <c r="L489" s="6"/>
      <c r="M489" s="6"/>
      <c r="N489" s="6"/>
      <c r="O489" s="6"/>
      <c r="P489" s="6"/>
      <c r="Q489" s="6"/>
      <c r="R489" s="6"/>
      <c r="S489" s="6"/>
      <c r="T489" s="6"/>
      <c r="U489" s="51"/>
      <c r="V489" s="51"/>
      <c r="W489" s="51"/>
      <c r="X489" s="51"/>
      <c r="Y489" s="51"/>
      <c r="Z489" s="51"/>
      <c r="AA489" s="51"/>
      <c r="AB489" s="51"/>
      <c r="AC489" s="51"/>
    </row>
    <row r="490">
      <c r="B490" s="6"/>
      <c r="C490" s="50"/>
      <c r="D490" s="50"/>
      <c r="E490" s="50"/>
      <c r="F490" s="50"/>
      <c r="G490" s="50"/>
      <c r="H490" s="50"/>
      <c r="I490" s="50"/>
      <c r="J490" s="50"/>
      <c r="K490" s="79"/>
      <c r="L490" s="6"/>
      <c r="M490" s="6"/>
      <c r="N490" s="6"/>
      <c r="O490" s="6"/>
      <c r="P490" s="6"/>
      <c r="Q490" s="6"/>
      <c r="R490" s="6"/>
      <c r="S490" s="6"/>
      <c r="T490" s="6"/>
      <c r="U490" s="51"/>
      <c r="V490" s="51"/>
      <c r="W490" s="51"/>
      <c r="X490" s="51"/>
      <c r="Y490" s="51"/>
      <c r="Z490" s="51"/>
      <c r="AA490" s="51"/>
      <c r="AB490" s="51"/>
      <c r="AC490" s="51"/>
    </row>
    <row r="491">
      <c r="B491" s="6"/>
      <c r="C491" s="50"/>
      <c r="D491" s="50"/>
      <c r="E491" s="50"/>
      <c r="F491" s="50"/>
      <c r="G491" s="50"/>
      <c r="H491" s="50"/>
      <c r="I491" s="50"/>
      <c r="J491" s="50"/>
      <c r="K491" s="79"/>
      <c r="L491" s="6"/>
      <c r="M491" s="6"/>
      <c r="N491" s="6"/>
      <c r="O491" s="6"/>
      <c r="P491" s="6"/>
      <c r="Q491" s="6"/>
      <c r="R491" s="6"/>
      <c r="S491" s="6"/>
      <c r="T491" s="6"/>
      <c r="U491" s="51"/>
      <c r="V491" s="51"/>
      <c r="W491" s="51"/>
      <c r="X491" s="51"/>
      <c r="Y491" s="51"/>
      <c r="Z491" s="51"/>
      <c r="AA491" s="51"/>
      <c r="AB491" s="51"/>
      <c r="AC491" s="51"/>
    </row>
    <row r="492">
      <c r="B492" s="6"/>
      <c r="C492" s="50"/>
      <c r="D492" s="50"/>
      <c r="E492" s="50"/>
      <c r="F492" s="50"/>
      <c r="G492" s="50"/>
      <c r="H492" s="50"/>
      <c r="I492" s="50"/>
      <c r="J492" s="50"/>
      <c r="K492" s="79"/>
      <c r="L492" s="6"/>
      <c r="M492" s="6"/>
      <c r="N492" s="6"/>
      <c r="O492" s="6"/>
      <c r="P492" s="6"/>
      <c r="Q492" s="6"/>
      <c r="R492" s="6"/>
      <c r="S492" s="6"/>
      <c r="T492" s="6"/>
      <c r="U492" s="51"/>
      <c r="V492" s="51"/>
      <c r="W492" s="51"/>
      <c r="X492" s="51"/>
      <c r="Y492" s="51"/>
      <c r="Z492" s="51"/>
      <c r="AA492" s="51"/>
      <c r="AB492" s="51"/>
      <c r="AC492" s="51"/>
    </row>
    <row r="493">
      <c r="B493" s="6"/>
      <c r="C493" s="50"/>
      <c r="D493" s="50"/>
      <c r="E493" s="50"/>
      <c r="F493" s="50"/>
      <c r="G493" s="50"/>
      <c r="H493" s="50"/>
      <c r="I493" s="50"/>
      <c r="J493" s="50"/>
      <c r="K493" s="79"/>
      <c r="L493" s="6"/>
      <c r="M493" s="6"/>
      <c r="N493" s="6"/>
      <c r="O493" s="6"/>
      <c r="P493" s="6"/>
      <c r="Q493" s="6"/>
      <c r="R493" s="6"/>
      <c r="S493" s="6"/>
      <c r="T493" s="6"/>
      <c r="U493" s="51"/>
      <c r="V493" s="51"/>
      <c r="W493" s="51"/>
      <c r="X493" s="51"/>
      <c r="Y493" s="51"/>
      <c r="Z493" s="51"/>
      <c r="AA493" s="51"/>
      <c r="AB493" s="51"/>
      <c r="AC493" s="51"/>
    </row>
    <row r="494">
      <c r="B494" s="6"/>
      <c r="C494" s="50"/>
      <c r="D494" s="50"/>
      <c r="E494" s="50"/>
      <c r="F494" s="50"/>
      <c r="G494" s="50"/>
      <c r="H494" s="50"/>
      <c r="I494" s="50"/>
      <c r="J494" s="50"/>
      <c r="K494" s="79"/>
      <c r="L494" s="6"/>
      <c r="M494" s="6"/>
      <c r="N494" s="6"/>
      <c r="O494" s="6"/>
      <c r="P494" s="6"/>
      <c r="Q494" s="6"/>
      <c r="R494" s="6"/>
      <c r="S494" s="6"/>
      <c r="T494" s="6"/>
      <c r="U494" s="51"/>
      <c r="V494" s="51"/>
      <c r="W494" s="51"/>
      <c r="X494" s="51"/>
      <c r="Y494" s="51"/>
      <c r="Z494" s="51"/>
      <c r="AA494" s="51"/>
      <c r="AB494" s="51"/>
      <c r="AC494" s="51"/>
    </row>
    <row r="495">
      <c r="B495" s="6"/>
      <c r="C495" s="50"/>
      <c r="D495" s="50"/>
      <c r="E495" s="50"/>
      <c r="F495" s="50"/>
      <c r="G495" s="50"/>
      <c r="H495" s="50"/>
      <c r="I495" s="50"/>
      <c r="J495" s="50"/>
      <c r="K495" s="79"/>
      <c r="L495" s="6"/>
      <c r="M495" s="6"/>
      <c r="N495" s="6"/>
      <c r="O495" s="6"/>
      <c r="P495" s="6"/>
      <c r="Q495" s="6"/>
      <c r="R495" s="6"/>
      <c r="S495" s="6"/>
      <c r="T495" s="6"/>
      <c r="U495" s="51"/>
      <c r="V495" s="51"/>
      <c r="W495" s="51"/>
      <c r="X495" s="51"/>
      <c r="Y495" s="51"/>
      <c r="Z495" s="51"/>
      <c r="AA495" s="51"/>
      <c r="AB495" s="51"/>
      <c r="AC495" s="51"/>
    </row>
    <row r="496">
      <c r="B496" s="6"/>
      <c r="C496" s="50"/>
      <c r="D496" s="50"/>
      <c r="E496" s="50"/>
      <c r="F496" s="50"/>
      <c r="G496" s="50"/>
      <c r="H496" s="50"/>
      <c r="I496" s="50"/>
      <c r="J496" s="50"/>
      <c r="K496" s="79"/>
      <c r="L496" s="6"/>
      <c r="M496" s="6"/>
      <c r="N496" s="6"/>
      <c r="O496" s="6"/>
      <c r="P496" s="6"/>
      <c r="Q496" s="6"/>
      <c r="R496" s="6"/>
      <c r="S496" s="6"/>
      <c r="T496" s="6"/>
      <c r="U496" s="51"/>
      <c r="V496" s="51"/>
      <c r="W496" s="51"/>
      <c r="X496" s="51"/>
      <c r="Y496" s="51"/>
      <c r="Z496" s="51"/>
      <c r="AA496" s="51"/>
      <c r="AB496" s="51"/>
      <c r="AC496" s="51"/>
    </row>
    <row r="497">
      <c r="B497" s="6"/>
      <c r="C497" s="50"/>
      <c r="D497" s="50"/>
      <c r="E497" s="50"/>
      <c r="F497" s="50"/>
      <c r="G497" s="50"/>
      <c r="H497" s="50"/>
      <c r="I497" s="50"/>
      <c r="J497" s="50"/>
      <c r="K497" s="79"/>
      <c r="L497" s="6"/>
      <c r="M497" s="6"/>
      <c r="N497" s="6"/>
      <c r="O497" s="6"/>
      <c r="P497" s="6"/>
      <c r="Q497" s="6"/>
      <c r="R497" s="6"/>
      <c r="S497" s="6"/>
      <c r="T497" s="6"/>
      <c r="U497" s="51"/>
      <c r="V497" s="51"/>
      <c r="W497" s="51"/>
      <c r="X497" s="51"/>
      <c r="Y497" s="51"/>
      <c r="Z497" s="51"/>
      <c r="AA497" s="51"/>
      <c r="AB497" s="51"/>
      <c r="AC497" s="51"/>
    </row>
    <row r="498">
      <c r="B498" s="6"/>
      <c r="C498" s="50"/>
      <c r="D498" s="50"/>
      <c r="E498" s="50"/>
      <c r="F498" s="50"/>
      <c r="G498" s="50"/>
      <c r="H498" s="50"/>
      <c r="I498" s="50"/>
      <c r="J498" s="50"/>
      <c r="K498" s="79"/>
      <c r="L498" s="6"/>
      <c r="M498" s="6"/>
      <c r="N498" s="6"/>
      <c r="O498" s="6"/>
      <c r="P498" s="6"/>
      <c r="Q498" s="6"/>
      <c r="R498" s="6"/>
      <c r="S498" s="6"/>
      <c r="T498" s="6"/>
      <c r="U498" s="51"/>
      <c r="V498" s="51"/>
      <c r="W498" s="51"/>
      <c r="X498" s="51"/>
      <c r="Y498" s="51"/>
      <c r="Z498" s="51"/>
      <c r="AA498" s="51"/>
      <c r="AB498" s="51"/>
      <c r="AC498" s="51"/>
    </row>
    <row r="499">
      <c r="B499" s="6"/>
      <c r="C499" s="50"/>
      <c r="D499" s="50"/>
      <c r="E499" s="50"/>
      <c r="F499" s="50"/>
      <c r="G499" s="50"/>
      <c r="H499" s="50"/>
      <c r="I499" s="50"/>
      <c r="J499" s="50"/>
      <c r="K499" s="79"/>
      <c r="L499" s="6"/>
      <c r="M499" s="6"/>
      <c r="N499" s="6"/>
      <c r="O499" s="6"/>
      <c r="P499" s="6"/>
      <c r="Q499" s="6"/>
      <c r="R499" s="6"/>
      <c r="S499" s="6"/>
      <c r="T499" s="6"/>
      <c r="U499" s="51"/>
      <c r="V499" s="51"/>
      <c r="W499" s="51"/>
      <c r="X499" s="51"/>
      <c r="Y499" s="51"/>
      <c r="Z499" s="51"/>
      <c r="AA499" s="51"/>
      <c r="AB499" s="51"/>
      <c r="AC499" s="51"/>
    </row>
    <row r="500">
      <c r="B500" s="6"/>
      <c r="C500" s="50"/>
      <c r="D500" s="50"/>
      <c r="E500" s="50"/>
      <c r="F500" s="50"/>
      <c r="G500" s="50"/>
      <c r="H500" s="50"/>
      <c r="I500" s="50"/>
      <c r="J500" s="50"/>
      <c r="K500" s="79"/>
      <c r="L500" s="6"/>
      <c r="M500" s="6"/>
      <c r="N500" s="6"/>
      <c r="O500" s="6"/>
      <c r="P500" s="6"/>
      <c r="Q500" s="6"/>
      <c r="R500" s="6"/>
      <c r="S500" s="6"/>
      <c r="T500" s="6"/>
      <c r="U500" s="51"/>
      <c r="V500" s="51"/>
      <c r="W500" s="51"/>
      <c r="X500" s="51"/>
      <c r="Y500" s="51"/>
      <c r="Z500" s="51"/>
      <c r="AA500" s="51"/>
      <c r="AB500" s="51"/>
      <c r="AC500" s="51"/>
    </row>
    <row r="501">
      <c r="B501" s="6"/>
      <c r="C501" s="50"/>
      <c r="D501" s="50"/>
      <c r="E501" s="50"/>
      <c r="F501" s="50"/>
      <c r="G501" s="50"/>
      <c r="H501" s="50"/>
      <c r="I501" s="50"/>
      <c r="J501" s="50"/>
      <c r="K501" s="79"/>
      <c r="L501" s="6"/>
      <c r="M501" s="6"/>
      <c r="N501" s="6"/>
      <c r="O501" s="6"/>
      <c r="P501" s="6"/>
      <c r="Q501" s="6"/>
      <c r="R501" s="6"/>
      <c r="S501" s="6"/>
      <c r="T501" s="6"/>
      <c r="U501" s="51"/>
      <c r="V501" s="51"/>
      <c r="W501" s="51"/>
      <c r="X501" s="51"/>
      <c r="Y501" s="51"/>
      <c r="Z501" s="51"/>
      <c r="AA501" s="51"/>
      <c r="AB501" s="51"/>
      <c r="AC501" s="51"/>
    </row>
    <row r="502">
      <c r="B502" s="6"/>
      <c r="C502" s="50"/>
      <c r="D502" s="50"/>
      <c r="E502" s="50"/>
      <c r="F502" s="50"/>
      <c r="G502" s="50"/>
      <c r="H502" s="50"/>
      <c r="I502" s="50"/>
      <c r="J502" s="50"/>
      <c r="K502" s="79"/>
      <c r="L502" s="6"/>
      <c r="M502" s="6"/>
      <c r="N502" s="6"/>
      <c r="O502" s="6"/>
      <c r="P502" s="6"/>
      <c r="Q502" s="6"/>
      <c r="R502" s="6"/>
      <c r="S502" s="6"/>
      <c r="T502" s="6"/>
      <c r="U502" s="51"/>
      <c r="V502" s="51"/>
      <c r="W502" s="51"/>
      <c r="X502" s="51"/>
      <c r="Y502" s="51"/>
      <c r="Z502" s="51"/>
      <c r="AA502" s="51"/>
      <c r="AB502" s="51"/>
      <c r="AC502" s="51"/>
    </row>
    <row r="503">
      <c r="B503" s="6"/>
      <c r="C503" s="50"/>
      <c r="D503" s="50"/>
      <c r="E503" s="50"/>
      <c r="F503" s="50"/>
      <c r="G503" s="50"/>
      <c r="H503" s="50"/>
      <c r="I503" s="50"/>
      <c r="J503" s="50"/>
      <c r="K503" s="79"/>
      <c r="L503" s="6"/>
      <c r="M503" s="6"/>
      <c r="N503" s="6"/>
      <c r="O503" s="6"/>
      <c r="P503" s="6"/>
      <c r="Q503" s="6"/>
      <c r="R503" s="6"/>
      <c r="S503" s="6"/>
      <c r="T503" s="6"/>
      <c r="U503" s="51"/>
      <c r="V503" s="51"/>
      <c r="W503" s="51"/>
      <c r="X503" s="51"/>
      <c r="Y503" s="51"/>
      <c r="Z503" s="51"/>
      <c r="AA503" s="51"/>
      <c r="AB503" s="51"/>
      <c r="AC503" s="51"/>
    </row>
    <row r="504">
      <c r="B504" s="6"/>
      <c r="C504" s="50"/>
      <c r="D504" s="50"/>
      <c r="E504" s="50"/>
      <c r="F504" s="50"/>
      <c r="G504" s="50"/>
      <c r="H504" s="50"/>
      <c r="I504" s="50"/>
      <c r="J504" s="50"/>
      <c r="K504" s="79"/>
      <c r="L504" s="6"/>
      <c r="M504" s="6"/>
      <c r="N504" s="6"/>
      <c r="O504" s="6"/>
      <c r="P504" s="6"/>
      <c r="Q504" s="6"/>
      <c r="R504" s="6"/>
      <c r="S504" s="6"/>
      <c r="T504" s="6"/>
      <c r="U504" s="51"/>
      <c r="V504" s="51"/>
      <c r="W504" s="51"/>
      <c r="X504" s="51"/>
      <c r="Y504" s="51"/>
      <c r="Z504" s="51"/>
      <c r="AA504" s="51"/>
      <c r="AB504" s="51"/>
      <c r="AC504" s="51"/>
    </row>
    <row r="505">
      <c r="B505" s="6"/>
      <c r="C505" s="50"/>
      <c r="D505" s="50"/>
      <c r="E505" s="50"/>
      <c r="F505" s="50"/>
      <c r="G505" s="50"/>
      <c r="H505" s="50"/>
      <c r="I505" s="50"/>
      <c r="J505" s="50"/>
      <c r="K505" s="79"/>
      <c r="L505" s="6"/>
      <c r="M505" s="6"/>
      <c r="N505" s="6"/>
      <c r="O505" s="6"/>
      <c r="P505" s="6"/>
      <c r="Q505" s="6"/>
      <c r="R505" s="6"/>
      <c r="S505" s="6"/>
      <c r="T505" s="6"/>
      <c r="U505" s="51"/>
      <c r="V505" s="51"/>
      <c r="W505" s="51"/>
      <c r="X505" s="51"/>
      <c r="Y505" s="51"/>
      <c r="Z505" s="51"/>
      <c r="AA505" s="51"/>
      <c r="AB505" s="51"/>
      <c r="AC505" s="51"/>
    </row>
    <row r="506">
      <c r="B506" s="6"/>
      <c r="C506" s="50"/>
      <c r="D506" s="50"/>
      <c r="E506" s="50"/>
      <c r="F506" s="50"/>
      <c r="G506" s="50"/>
      <c r="H506" s="50"/>
      <c r="I506" s="50"/>
      <c r="J506" s="50"/>
      <c r="K506" s="79"/>
      <c r="L506" s="6"/>
      <c r="M506" s="6"/>
      <c r="N506" s="6"/>
      <c r="O506" s="6"/>
      <c r="P506" s="6"/>
      <c r="Q506" s="6"/>
      <c r="R506" s="6"/>
      <c r="S506" s="6"/>
      <c r="T506" s="6"/>
      <c r="U506" s="51"/>
      <c r="V506" s="51"/>
      <c r="W506" s="51"/>
      <c r="X506" s="51"/>
      <c r="Y506" s="51"/>
      <c r="Z506" s="51"/>
      <c r="AA506" s="51"/>
      <c r="AB506" s="51"/>
      <c r="AC506" s="51"/>
    </row>
    <row r="507">
      <c r="B507" s="6"/>
      <c r="C507" s="50"/>
      <c r="D507" s="50"/>
      <c r="E507" s="50"/>
      <c r="F507" s="50"/>
      <c r="G507" s="50"/>
      <c r="H507" s="50"/>
      <c r="I507" s="50"/>
      <c r="J507" s="50"/>
      <c r="K507" s="79"/>
      <c r="L507" s="6"/>
      <c r="M507" s="6"/>
      <c r="N507" s="6"/>
      <c r="O507" s="6"/>
      <c r="P507" s="6"/>
      <c r="Q507" s="6"/>
      <c r="R507" s="6"/>
      <c r="S507" s="6"/>
      <c r="T507" s="6"/>
      <c r="U507" s="51"/>
      <c r="V507" s="51"/>
      <c r="W507" s="51"/>
      <c r="X507" s="51"/>
      <c r="Y507" s="51"/>
      <c r="Z507" s="51"/>
      <c r="AA507" s="51"/>
      <c r="AB507" s="51"/>
      <c r="AC507" s="51"/>
    </row>
    <row r="508">
      <c r="B508" s="6"/>
      <c r="C508" s="50"/>
      <c r="D508" s="50"/>
      <c r="E508" s="50"/>
      <c r="F508" s="50"/>
      <c r="G508" s="50"/>
      <c r="H508" s="50"/>
      <c r="I508" s="50"/>
      <c r="J508" s="50"/>
      <c r="K508" s="79"/>
      <c r="L508" s="6"/>
      <c r="M508" s="6"/>
      <c r="N508" s="6"/>
      <c r="O508" s="6"/>
      <c r="P508" s="6"/>
      <c r="Q508" s="6"/>
      <c r="R508" s="6"/>
      <c r="S508" s="6"/>
      <c r="T508" s="6"/>
      <c r="U508" s="51"/>
      <c r="V508" s="51"/>
      <c r="W508" s="51"/>
      <c r="X508" s="51"/>
      <c r="Y508" s="51"/>
      <c r="Z508" s="51"/>
      <c r="AA508" s="51"/>
      <c r="AB508" s="51"/>
      <c r="AC508" s="51"/>
    </row>
    <row r="509">
      <c r="B509" s="6"/>
      <c r="C509" s="50"/>
      <c r="D509" s="50"/>
      <c r="E509" s="50"/>
      <c r="F509" s="50"/>
      <c r="G509" s="50"/>
      <c r="H509" s="50"/>
      <c r="I509" s="50"/>
      <c r="J509" s="50"/>
      <c r="K509" s="79"/>
      <c r="L509" s="6"/>
      <c r="M509" s="6"/>
      <c r="N509" s="6"/>
      <c r="O509" s="6"/>
      <c r="P509" s="6"/>
      <c r="Q509" s="6"/>
      <c r="R509" s="6"/>
      <c r="S509" s="6"/>
      <c r="T509" s="6"/>
      <c r="U509" s="51"/>
      <c r="V509" s="51"/>
      <c r="W509" s="51"/>
      <c r="X509" s="51"/>
      <c r="Y509" s="51"/>
      <c r="Z509" s="51"/>
      <c r="AA509" s="51"/>
      <c r="AB509" s="51"/>
      <c r="AC509" s="51"/>
    </row>
    <row r="510">
      <c r="B510" s="6"/>
      <c r="C510" s="50"/>
      <c r="D510" s="50"/>
      <c r="E510" s="50"/>
      <c r="F510" s="50"/>
      <c r="G510" s="50"/>
      <c r="H510" s="50"/>
      <c r="I510" s="50"/>
      <c r="J510" s="50"/>
      <c r="K510" s="79"/>
      <c r="L510" s="6"/>
      <c r="M510" s="6"/>
      <c r="N510" s="6"/>
      <c r="O510" s="6"/>
      <c r="P510" s="6"/>
      <c r="Q510" s="6"/>
      <c r="R510" s="6"/>
      <c r="S510" s="6"/>
      <c r="T510" s="6"/>
      <c r="U510" s="51"/>
      <c r="V510" s="51"/>
      <c r="W510" s="51"/>
      <c r="X510" s="51"/>
      <c r="Y510" s="51"/>
      <c r="Z510" s="51"/>
      <c r="AA510" s="51"/>
      <c r="AB510" s="51"/>
      <c r="AC510" s="51"/>
    </row>
    <row r="511">
      <c r="B511" s="6"/>
      <c r="C511" s="50"/>
      <c r="D511" s="50"/>
      <c r="E511" s="50"/>
      <c r="F511" s="50"/>
      <c r="G511" s="50"/>
      <c r="H511" s="50"/>
      <c r="I511" s="50"/>
      <c r="J511" s="50"/>
      <c r="K511" s="79"/>
      <c r="L511" s="6"/>
      <c r="M511" s="6"/>
      <c r="N511" s="6"/>
      <c r="O511" s="6"/>
      <c r="P511" s="6"/>
      <c r="Q511" s="6"/>
      <c r="R511" s="6"/>
      <c r="S511" s="6"/>
      <c r="T511" s="6"/>
      <c r="U511" s="51"/>
      <c r="V511" s="51"/>
      <c r="W511" s="51"/>
      <c r="X511" s="51"/>
      <c r="Y511" s="51"/>
      <c r="Z511" s="51"/>
      <c r="AA511" s="51"/>
      <c r="AB511" s="51"/>
      <c r="AC511" s="51"/>
    </row>
    <row r="512">
      <c r="B512" s="6"/>
      <c r="C512" s="50"/>
      <c r="D512" s="50"/>
      <c r="E512" s="50"/>
      <c r="F512" s="50"/>
      <c r="G512" s="50"/>
      <c r="H512" s="50"/>
      <c r="I512" s="50"/>
      <c r="J512" s="50"/>
      <c r="K512" s="79"/>
      <c r="L512" s="6"/>
      <c r="M512" s="6"/>
      <c r="N512" s="6"/>
      <c r="O512" s="6"/>
      <c r="P512" s="6"/>
      <c r="Q512" s="6"/>
      <c r="R512" s="6"/>
      <c r="S512" s="6"/>
      <c r="T512" s="6"/>
      <c r="U512" s="51"/>
      <c r="V512" s="51"/>
      <c r="W512" s="51"/>
      <c r="X512" s="51"/>
      <c r="Y512" s="51"/>
      <c r="Z512" s="51"/>
      <c r="AA512" s="51"/>
      <c r="AB512" s="51"/>
      <c r="AC512" s="51"/>
    </row>
    <row r="513">
      <c r="B513" s="6"/>
      <c r="C513" s="50"/>
      <c r="D513" s="50"/>
      <c r="E513" s="50"/>
      <c r="F513" s="50"/>
      <c r="G513" s="50"/>
      <c r="H513" s="50"/>
      <c r="I513" s="50"/>
      <c r="J513" s="50"/>
      <c r="K513" s="79"/>
      <c r="L513" s="6"/>
      <c r="M513" s="6"/>
      <c r="N513" s="6"/>
      <c r="O513" s="6"/>
      <c r="P513" s="6"/>
      <c r="Q513" s="6"/>
      <c r="R513" s="6"/>
      <c r="S513" s="6"/>
      <c r="T513" s="6"/>
      <c r="U513" s="51"/>
      <c r="V513" s="51"/>
      <c r="W513" s="51"/>
      <c r="X513" s="51"/>
      <c r="Y513" s="51"/>
      <c r="Z513" s="51"/>
      <c r="AA513" s="51"/>
      <c r="AB513" s="51"/>
      <c r="AC513" s="51"/>
    </row>
    <row r="514">
      <c r="B514" s="6"/>
      <c r="C514" s="50"/>
      <c r="D514" s="50"/>
      <c r="E514" s="50"/>
      <c r="F514" s="50"/>
      <c r="G514" s="50"/>
      <c r="H514" s="50"/>
      <c r="I514" s="50"/>
      <c r="J514" s="50"/>
      <c r="K514" s="79"/>
      <c r="L514" s="6"/>
      <c r="M514" s="6"/>
      <c r="N514" s="6"/>
      <c r="O514" s="6"/>
      <c r="P514" s="6"/>
      <c r="Q514" s="6"/>
      <c r="R514" s="6"/>
      <c r="S514" s="6"/>
      <c r="T514" s="6"/>
      <c r="U514" s="51"/>
      <c r="V514" s="51"/>
      <c r="W514" s="51"/>
      <c r="X514" s="51"/>
      <c r="Y514" s="51"/>
      <c r="Z514" s="51"/>
      <c r="AA514" s="51"/>
      <c r="AB514" s="51"/>
      <c r="AC514" s="51"/>
    </row>
    <row r="515">
      <c r="B515" s="6"/>
      <c r="C515" s="50"/>
      <c r="D515" s="50"/>
      <c r="E515" s="50"/>
      <c r="F515" s="50"/>
      <c r="G515" s="50"/>
      <c r="H515" s="50"/>
      <c r="I515" s="50"/>
      <c r="J515" s="50"/>
      <c r="K515" s="79"/>
      <c r="L515" s="6"/>
      <c r="M515" s="6"/>
      <c r="N515" s="6"/>
      <c r="O515" s="6"/>
      <c r="P515" s="6"/>
      <c r="Q515" s="6"/>
      <c r="R515" s="6"/>
      <c r="S515" s="6"/>
      <c r="T515" s="6"/>
      <c r="U515" s="51"/>
      <c r="V515" s="51"/>
      <c r="W515" s="51"/>
      <c r="X515" s="51"/>
      <c r="Y515" s="51"/>
      <c r="Z515" s="51"/>
      <c r="AA515" s="51"/>
      <c r="AB515" s="51"/>
      <c r="AC515" s="51"/>
    </row>
    <row r="516">
      <c r="B516" s="6"/>
      <c r="C516" s="50"/>
      <c r="D516" s="50"/>
      <c r="E516" s="50"/>
      <c r="F516" s="50"/>
      <c r="G516" s="50"/>
      <c r="H516" s="50"/>
      <c r="I516" s="50"/>
      <c r="J516" s="50"/>
      <c r="K516" s="79"/>
      <c r="L516" s="6"/>
      <c r="M516" s="6"/>
      <c r="N516" s="6"/>
      <c r="O516" s="6"/>
      <c r="P516" s="6"/>
      <c r="Q516" s="6"/>
      <c r="R516" s="6"/>
      <c r="S516" s="6"/>
      <c r="T516" s="6"/>
      <c r="U516" s="51"/>
      <c r="V516" s="51"/>
      <c r="W516" s="51"/>
      <c r="X516" s="51"/>
      <c r="Y516" s="51"/>
      <c r="Z516" s="51"/>
      <c r="AA516" s="51"/>
      <c r="AB516" s="51"/>
      <c r="AC516" s="51"/>
    </row>
    <row r="517">
      <c r="B517" s="6"/>
      <c r="C517" s="50"/>
      <c r="D517" s="50"/>
      <c r="E517" s="50"/>
      <c r="F517" s="50"/>
      <c r="G517" s="50"/>
      <c r="H517" s="50"/>
      <c r="I517" s="50"/>
      <c r="J517" s="50"/>
      <c r="K517" s="79"/>
      <c r="L517" s="6"/>
      <c r="M517" s="6"/>
      <c r="N517" s="6"/>
      <c r="O517" s="6"/>
      <c r="P517" s="6"/>
      <c r="Q517" s="6"/>
      <c r="R517" s="6"/>
      <c r="S517" s="6"/>
      <c r="T517" s="6"/>
      <c r="U517" s="51"/>
      <c r="V517" s="51"/>
      <c r="W517" s="51"/>
      <c r="X517" s="51"/>
      <c r="Y517" s="51"/>
      <c r="Z517" s="51"/>
      <c r="AA517" s="51"/>
      <c r="AB517" s="51"/>
      <c r="AC517" s="51"/>
    </row>
    <row r="518">
      <c r="B518" s="6"/>
      <c r="C518" s="50"/>
      <c r="D518" s="50"/>
      <c r="E518" s="50"/>
      <c r="F518" s="50"/>
      <c r="G518" s="50"/>
      <c r="H518" s="50"/>
      <c r="I518" s="50"/>
      <c r="J518" s="50"/>
      <c r="K518" s="79"/>
      <c r="L518" s="6"/>
      <c r="M518" s="6"/>
      <c r="N518" s="6"/>
      <c r="O518" s="6"/>
      <c r="P518" s="6"/>
      <c r="Q518" s="6"/>
      <c r="R518" s="6"/>
      <c r="S518" s="6"/>
      <c r="T518" s="6"/>
      <c r="U518" s="51"/>
      <c r="V518" s="51"/>
      <c r="W518" s="51"/>
      <c r="X518" s="51"/>
      <c r="Y518" s="51"/>
      <c r="Z518" s="51"/>
      <c r="AA518" s="51"/>
      <c r="AB518" s="51"/>
      <c r="AC518" s="51"/>
    </row>
    <row r="519">
      <c r="B519" s="6"/>
      <c r="C519" s="50"/>
      <c r="D519" s="50"/>
      <c r="E519" s="50"/>
      <c r="F519" s="50"/>
      <c r="G519" s="50"/>
      <c r="H519" s="50"/>
      <c r="I519" s="50"/>
      <c r="J519" s="50"/>
      <c r="K519" s="79"/>
      <c r="L519" s="6"/>
      <c r="M519" s="6"/>
      <c r="N519" s="6"/>
      <c r="O519" s="6"/>
      <c r="P519" s="6"/>
      <c r="Q519" s="6"/>
      <c r="R519" s="6"/>
      <c r="S519" s="6"/>
      <c r="T519" s="6"/>
      <c r="U519" s="51"/>
      <c r="V519" s="51"/>
      <c r="W519" s="51"/>
      <c r="X519" s="51"/>
      <c r="Y519" s="51"/>
      <c r="Z519" s="51"/>
      <c r="AA519" s="51"/>
      <c r="AB519" s="51"/>
      <c r="AC519" s="51"/>
    </row>
    <row r="520">
      <c r="B520" s="6"/>
      <c r="C520" s="50"/>
      <c r="D520" s="50"/>
      <c r="E520" s="50"/>
      <c r="F520" s="50"/>
      <c r="G520" s="50"/>
      <c r="H520" s="50"/>
      <c r="I520" s="50"/>
      <c r="J520" s="50"/>
      <c r="K520" s="79"/>
      <c r="L520" s="6"/>
      <c r="M520" s="6"/>
      <c r="N520" s="6"/>
      <c r="O520" s="6"/>
      <c r="P520" s="6"/>
      <c r="Q520" s="6"/>
      <c r="R520" s="6"/>
      <c r="S520" s="6"/>
      <c r="T520" s="6"/>
      <c r="U520" s="51"/>
      <c r="V520" s="51"/>
      <c r="W520" s="51"/>
      <c r="X520" s="51"/>
      <c r="Y520" s="51"/>
      <c r="Z520" s="51"/>
      <c r="AA520" s="51"/>
      <c r="AB520" s="51"/>
      <c r="AC520" s="51"/>
    </row>
    <row r="521">
      <c r="B521" s="6"/>
      <c r="C521" s="50"/>
      <c r="D521" s="50"/>
      <c r="E521" s="50"/>
      <c r="F521" s="50"/>
      <c r="G521" s="50"/>
      <c r="H521" s="50"/>
      <c r="I521" s="50"/>
      <c r="J521" s="50"/>
      <c r="K521" s="79"/>
      <c r="L521" s="6"/>
      <c r="M521" s="6"/>
      <c r="N521" s="6"/>
      <c r="O521" s="6"/>
      <c r="P521" s="6"/>
      <c r="Q521" s="6"/>
      <c r="R521" s="6"/>
      <c r="S521" s="6"/>
      <c r="T521" s="6"/>
      <c r="U521" s="51"/>
      <c r="V521" s="51"/>
      <c r="W521" s="51"/>
      <c r="X521" s="51"/>
      <c r="Y521" s="51"/>
      <c r="Z521" s="51"/>
      <c r="AA521" s="51"/>
      <c r="AB521" s="51"/>
      <c r="AC521" s="51"/>
    </row>
    <row r="522">
      <c r="B522" s="6"/>
      <c r="C522" s="50"/>
      <c r="D522" s="50"/>
      <c r="E522" s="50"/>
      <c r="F522" s="50"/>
      <c r="G522" s="50"/>
      <c r="H522" s="50"/>
      <c r="I522" s="50"/>
      <c r="J522" s="50"/>
      <c r="K522" s="79"/>
      <c r="L522" s="6"/>
      <c r="M522" s="6"/>
      <c r="N522" s="6"/>
      <c r="O522" s="6"/>
      <c r="P522" s="6"/>
      <c r="Q522" s="6"/>
      <c r="R522" s="6"/>
      <c r="S522" s="6"/>
      <c r="T522" s="6"/>
      <c r="U522" s="51"/>
      <c r="V522" s="51"/>
      <c r="W522" s="51"/>
      <c r="X522" s="51"/>
      <c r="Y522" s="51"/>
      <c r="Z522" s="51"/>
      <c r="AA522" s="51"/>
      <c r="AB522" s="51"/>
      <c r="AC522" s="51"/>
    </row>
    <row r="523">
      <c r="B523" s="6"/>
      <c r="C523" s="50"/>
      <c r="D523" s="50"/>
      <c r="E523" s="50"/>
      <c r="F523" s="50"/>
      <c r="G523" s="50"/>
      <c r="H523" s="50"/>
      <c r="I523" s="50"/>
      <c r="J523" s="50"/>
      <c r="K523" s="79"/>
      <c r="L523" s="6"/>
      <c r="M523" s="6"/>
      <c r="N523" s="6"/>
      <c r="O523" s="6"/>
      <c r="P523" s="6"/>
      <c r="Q523" s="6"/>
      <c r="R523" s="6"/>
      <c r="S523" s="6"/>
      <c r="T523" s="6"/>
      <c r="U523" s="51"/>
      <c r="V523" s="51"/>
      <c r="W523" s="51"/>
      <c r="X523" s="51"/>
      <c r="Y523" s="51"/>
      <c r="Z523" s="51"/>
      <c r="AA523" s="51"/>
      <c r="AB523" s="51"/>
      <c r="AC523" s="51"/>
    </row>
    <row r="524">
      <c r="B524" s="6"/>
      <c r="C524" s="50"/>
      <c r="D524" s="50"/>
      <c r="E524" s="50"/>
      <c r="F524" s="50"/>
      <c r="G524" s="50"/>
      <c r="H524" s="50"/>
      <c r="I524" s="50"/>
      <c r="J524" s="50"/>
      <c r="K524" s="79"/>
      <c r="L524" s="6"/>
      <c r="M524" s="6"/>
      <c r="N524" s="6"/>
      <c r="O524" s="6"/>
      <c r="P524" s="6"/>
      <c r="Q524" s="6"/>
      <c r="R524" s="6"/>
      <c r="S524" s="6"/>
      <c r="T524" s="6"/>
      <c r="U524" s="51"/>
      <c r="V524" s="51"/>
      <c r="W524" s="51"/>
      <c r="X524" s="51"/>
      <c r="Y524" s="51"/>
      <c r="Z524" s="51"/>
      <c r="AA524" s="51"/>
      <c r="AB524" s="51"/>
      <c r="AC524" s="51"/>
    </row>
    <row r="525">
      <c r="B525" s="6"/>
      <c r="C525" s="50"/>
      <c r="D525" s="50"/>
      <c r="E525" s="50"/>
      <c r="F525" s="50"/>
      <c r="G525" s="50"/>
      <c r="H525" s="50"/>
      <c r="I525" s="50"/>
      <c r="J525" s="50"/>
      <c r="K525" s="79"/>
      <c r="L525" s="6"/>
      <c r="M525" s="6"/>
      <c r="N525" s="6"/>
      <c r="O525" s="6"/>
      <c r="P525" s="6"/>
      <c r="Q525" s="6"/>
      <c r="R525" s="6"/>
      <c r="S525" s="6"/>
      <c r="T525" s="6"/>
      <c r="U525" s="51"/>
      <c r="V525" s="51"/>
      <c r="W525" s="51"/>
      <c r="X525" s="51"/>
      <c r="Y525" s="51"/>
      <c r="Z525" s="51"/>
      <c r="AA525" s="51"/>
      <c r="AB525" s="51"/>
      <c r="AC525" s="51"/>
    </row>
    <row r="526">
      <c r="B526" s="6"/>
      <c r="C526" s="50"/>
      <c r="D526" s="50"/>
      <c r="E526" s="50"/>
      <c r="F526" s="50"/>
      <c r="G526" s="50"/>
      <c r="H526" s="50"/>
      <c r="I526" s="50"/>
      <c r="J526" s="50"/>
      <c r="K526" s="79"/>
      <c r="L526" s="6"/>
      <c r="M526" s="6"/>
      <c r="N526" s="6"/>
      <c r="O526" s="6"/>
      <c r="P526" s="6"/>
      <c r="Q526" s="6"/>
      <c r="R526" s="6"/>
      <c r="S526" s="6"/>
      <c r="T526" s="6"/>
      <c r="U526" s="51"/>
      <c r="V526" s="51"/>
      <c r="W526" s="51"/>
      <c r="X526" s="51"/>
      <c r="Y526" s="51"/>
      <c r="Z526" s="51"/>
      <c r="AA526" s="51"/>
      <c r="AB526" s="51"/>
      <c r="AC526" s="51"/>
    </row>
    <row r="527">
      <c r="B527" s="6"/>
      <c r="C527" s="50"/>
      <c r="D527" s="50"/>
      <c r="E527" s="50"/>
      <c r="F527" s="50"/>
      <c r="G527" s="50"/>
      <c r="H527" s="50"/>
      <c r="I527" s="50"/>
      <c r="J527" s="50"/>
      <c r="K527" s="79"/>
      <c r="L527" s="6"/>
      <c r="M527" s="6"/>
      <c r="N527" s="6"/>
      <c r="O527" s="6"/>
      <c r="P527" s="6"/>
      <c r="Q527" s="6"/>
      <c r="R527" s="6"/>
      <c r="S527" s="6"/>
      <c r="T527" s="6"/>
      <c r="U527" s="51"/>
      <c r="V527" s="51"/>
      <c r="W527" s="51"/>
      <c r="X527" s="51"/>
      <c r="Y527" s="51"/>
      <c r="Z527" s="51"/>
      <c r="AA527" s="51"/>
      <c r="AB527" s="51"/>
      <c r="AC527" s="51"/>
    </row>
    <row r="528">
      <c r="B528" s="6"/>
      <c r="C528" s="50"/>
      <c r="D528" s="50"/>
      <c r="E528" s="50"/>
      <c r="F528" s="50"/>
      <c r="G528" s="50"/>
      <c r="H528" s="50"/>
      <c r="I528" s="50"/>
      <c r="J528" s="50"/>
      <c r="K528" s="79"/>
      <c r="L528" s="6"/>
      <c r="M528" s="6"/>
      <c r="N528" s="6"/>
      <c r="O528" s="6"/>
      <c r="P528" s="6"/>
      <c r="Q528" s="6"/>
      <c r="R528" s="6"/>
      <c r="S528" s="6"/>
      <c r="T528" s="6"/>
      <c r="U528" s="51"/>
      <c r="V528" s="51"/>
      <c r="W528" s="51"/>
      <c r="X528" s="51"/>
      <c r="Y528" s="51"/>
      <c r="Z528" s="51"/>
      <c r="AA528" s="51"/>
      <c r="AB528" s="51"/>
      <c r="AC528" s="51"/>
    </row>
    <row r="529">
      <c r="B529" s="6"/>
      <c r="C529" s="50"/>
      <c r="D529" s="50"/>
      <c r="E529" s="50"/>
      <c r="F529" s="50"/>
      <c r="G529" s="50"/>
      <c r="H529" s="50"/>
      <c r="I529" s="50"/>
      <c r="J529" s="50"/>
      <c r="K529" s="79"/>
      <c r="L529" s="6"/>
      <c r="M529" s="6"/>
      <c r="N529" s="6"/>
      <c r="O529" s="6"/>
      <c r="P529" s="6"/>
      <c r="Q529" s="6"/>
      <c r="R529" s="6"/>
      <c r="S529" s="6"/>
      <c r="T529" s="6"/>
      <c r="U529" s="51"/>
      <c r="V529" s="51"/>
      <c r="W529" s="51"/>
      <c r="X529" s="51"/>
      <c r="Y529" s="51"/>
      <c r="Z529" s="51"/>
      <c r="AA529" s="51"/>
      <c r="AB529" s="51"/>
      <c r="AC529" s="51"/>
    </row>
    <row r="530">
      <c r="B530" s="6"/>
      <c r="C530" s="50"/>
      <c r="D530" s="50"/>
      <c r="E530" s="50"/>
      <c r="F530" s="50"/>
      <c r="G530" s="50"/>
      <c r="H530" s="50"/>
      <c r="I530" s="50"/>
      <c r="J530" s="50"/>
      <c r="K530" s="79"/>
      <c r="L530" s="6"/>
      <c r="M530" s="6"/>
      <c r="N530" s="6"/>
      <c r="O530" s="6"/>
      <c r="P530" s="6"/>
      <c r="Q530" s="6"/>
      <c r="R530" s="6"/>
      <c r="S530" s="6"/>
      <c r="T530" s="6"/>
      <c r="U530" s="51"/>
      <c r="V530" s="51"/>
      <c r="W530" s="51"/>
      <c r="X530" s="51"/>
      <c r="Y530" s="51"/>
      <c r="Z530" s="51"/>
      <c r="AA530" s="51"/>
      <c r="AB530" s="51"/>
      <c r="AC530" s="51"/>
    </row>
    <row r="531">
      <c r="B531" s="6"/>
      <c r="C531" s="50"/>
      <c r="D531" s="50"/>
      <c r="E531" s="50"/>
      <c r="F531" s="50"/>
      <c r="G531" s="50"/>
      <c r="H531" s="50"/>
      <c r="I531" s="50"/>
      <c r="J531" s="50"/>
      <c r="K531" s="79"/>
      <c r="L531" s="6"/>
      <c r="M531" s="6"/>
      <c r="N531" s="6"/>
      <c r="O531" s="6"/>
      <c r="P531" s="6"/>
      <c r="Q531" s="6"/>
      <c r="R531" s="6"/>
      <c r="S531" s="6"/>
      <c r="T531" s="6"/>
      <c r="U531" s="51"/>
      <c r="V531" s="51"/>
      <c r="W531" s="51"/>
      <c r="X531" s="51"/>
      <c r="Y531" s="51"/>
      <c r="Z531" s="51"/>
      <c r="AA531" s="51"/>
      <c r="AB531" s="51"/>
      <c r="AC531" s="51"/>
    </row>
    <row r="532">
      <c r="B532" s="6"/>
      <c r="C532" s="50"/>
      <c r="D532" s="50"/>
      <c r="E532" s="50"/>
      <c r="F532" s="50"/>
      <c r="G532" s="50"/>
      <c r="H532" s="50"/>
      <c r="I532" s="50"/>
      <c r="J532" s="50"/>
      <c r="K532" s="79"/>
      <c r="L532" s="6"/>
      <c r="M532" s="6"/>
      <c r="N532" s="6"/>
      <c r="O532" s="6"/>
      <c r="P532" s="6"/>
      <c r="Q532" s="6"/>
      <c r="R532" s="6"/>
      <c r="S532" s="6"/>
      <c r="T532" s="6"/>
      <c r="U532" s="51"/>
      <c r="V532" s="51"/>
      <c r="W532" s="51"/>
      <c r="X532" s="51"/>
      <c r="Y532" s="51"/>
      <c r="Z532" s="51"/>
      <c r="AA532" s="51"/>
      <c r="AB532" s="51"/>
      <c r="AC532" s="51"/>
    </row>
    <row r="533">
      <c r="B533" s="6"/>
      <c r="C533" s="50"/>
      <c r="D533" s="50"/>
      <c r="E533" s="50"/>
      <c r="F533" s="50"/>
      <c r="G533" s="50"/>
      <c r="H533" s="50"/>
      <c r="I533" s="50"/>
      <c r="J533" s="50"/>
      <c r="K533" s="79"/>
      <c r="L533" s="6"/>
      <c r="M533" s="6"/>
      <c r="N533" s="6"/>
      <c r="O533" s="6"/>
      <c r="P533" s="6"/>
      <c r="Q533" s="6"/>
      <c r="R533" s="6"/>
      <c r="S533" s="6"/>
      <c r="T533" s="6"/>
      <c r="U533" s="51"/>
      <c r="V533" s="51"/>
      <c r="W533" s="51"/>
      <c r="X533" s="51"/>
      <c r="Y533" s="51"/>
      <c r="Z533" s="51"/>
      <c r="AA533" s="51"/>
      <c r="AB533" s="51"/>
      <c r="AC533" s="51"/>
    </row>
    <row r="534">
      <c r="B534" s="6"/>
      <c r="C534" s="50"/>
      <c r="D534" s="50"/>
      <c r="E534" s="50"/>
      <c r="F534" s="50"/>
      <c r="G534" s="50"/>
      <c r="H534" s="50"/>
      <c r="I534" s="50"/>
      <c r="J534" s="50"/>
      <c r="K534" s="79"/>
      <c r="L534" s="6"/>
      <c r="M534" s="6"/>
      <c r="N534" s="6"/>
      <c r="O534" s="6"/>
      <c r="P534" s="6"/>
      <c r="Q534" s="6"/>
      <c r="R534" s="6"/>
      <c r="S534" s="6"/>
      <c r="T534" s="6"/>
      <c r="U534" s="51"/>
      <c r="V534" s="51"/>
      <c r="W534" s="51"/>
      <c r="X534" s="51"/>
      <c r="Y534" s="51"/>
      <c r="Z534" s="51"/>
      <c r="AA534" s="51"/>
      <c r="AB534" s="51"/>
      <c r="AC534" s="51"/>
    </row>
    <row r="535">
      <c r="B535" s="6"/>
      <c r="C535" s="50"/>
      <c r="D535" s="50"/>
      <c r="E535" s="50"/>
      <c r="F535" s="50"/>
      <c r="G535" s="50"/>
      <c r="H535" s="50"/>
      <c r="I535" s="50"/>
      <c r="J535" s="50"/>
      <c r="K535" s="79"/>
      <c r="L535" s="6"/>
      <c r="M535" s="6"/>
      <c r="N535" s="6"/>
      <c r="O535" s="6"/>
      <c r="P535" s="6"/>
      <c r="Q535" s="6"/>
      <c r="R535" s="6"/>
      <c r="S535" s="6"/>
      <c r="T535" s="6"/>
      <c r="U535" s="51"/>
      <c r="V535" s="51"/>
      <c r="W535" s="51"/>
      <c r="X535" s="51"/>
      <c r="Y535" s="51"/>
      <c r="Z535" s="51"/>
      <c r="AA535" s="51"/>
      <c r="AB535" s="51"/>
      <c r="AC535" s="51"/>
    </row>
    <row r="536">
      <c r="B536" s="6"/>
      <c r="C536" s="50"/>
      <c r="D536" s="50"/>
      <c r="E536" s="50"/>
      <c r="F536" s="50"/>
      <c r="G536" s="50"/>
      <c r="H536" s="50"/>
      <c r="I536" s="50"/>
      <c r="J536" s="50"/>
      <c r="K536" s="79"/>
      <c r="L536" s="6"/>
      <c r="M536" s="6"/>
      <c r="N536" s="6"/>
      <c r="O536" s="6"/>
      <c r="P536" s="6"/>
      <c r="Q536" s="6"/>
      <c r="R536" s="6"/>
      <c r="S536" s="6"/>
      <c r="T536" s="6"/>
      <c r="U536" s="51"/>
      <c r="V536" s="51"/>
      <c r="W536" s="51"/>
      <c r="X536" s="51"/>
      <c r="Y536" s="51"/>
      <c r="Z536" s="51"/>
      <c r="AA536" s="51"/>
      <c r="AB536" s="51"/>
      <c r="AC536" s="51"/>
    </row>
    <row r="537">
      <c r="B537" s="6"/>
      <c r="C537" s="50"/>
      <c r="D537" s="50"/>
      <c r="E537" s="50"/>
      <c r="F537" s="50"/>
      <c r="G537" s="50"/>
      <c r="H537" s="50"/>
      <c r="I537" s="50"/>
      <c r="J537" s="50"/>
      <c r="K537" s="79"/>
      <c r="L537" s="6"/>
      <c r="M537" s="6"/>
      <c r="N537" s="6"/>
      <c r="O537" s="6"/>
      <c r="P537" s="6"/>
      <c r="Q537" s="6"/>
      <c r="R537" s="6"/>
      <c r="S537" s="6"/>
      <c r="T537" s="6"/>
      <c r="U537" s="51"/>
      <c r="V537" s="51"/>
      <c r="W537" s="51"/>
      <c r="X537" s="51"/>
      <c r="Y537" s="51"/>
      <c r="Z537" s="51"/>
      <c r="AA537" s="51"/>
      <c r="AB537" s="51"/>
      <c r="AC537" s="51"/>
    </row>
    <row r="538">
      <c r="B538" s="6"/>
      <c r="C538" s="50"/>
      <c r="D538" s="50"/>
      <c r="E538" s="50"/>
      <c r="F538" s="50"/>
      <c r="G538" s="50"/>
      <c r="H538" s="50"/>
      <c r="I538" s="50"/>
      <c r="J538" s="50"/>
      <c r="K538" s="79"/>
      <c r="L538" s="6"/>
      <c r="M538" s="6"/>
      <c r="N538" s="6"/>
      <c r="O538" s="6"/>
      <c r="P538" s="6"/>
      <c r="Q538" s="6"/>
      <c r="R538" s="6"/>
      <c r="S538" s="6"/>
      <c r="T538" s="6"/>
      <c r="U538" s="51"/>
      <c r="V538" s="51"/>
      <c r="W538" s="51"/>
      <c r="X538" s="51"/>
      <c r="Y538" s="51"/>
      <c r="Z538" s="51"/>
      <c r="AA538" s="51"/>
      <c r="AB538" s="51"/>
      <c r="AC538" s="51"/>
    </row>
    <row r="539">
      <c r="B539" s="6"/>
      <c r="C539" s="50"/>
      <c r="D539" s="50"/>
      <c r="E539" s="50"/>
      <c r="F539" s="50"/>
      <c r="G539" s="50"/>
      <c r="H539" s="50"/>
      <c r="I539" s="50"/>
      <c r="J539" s="50"/>
      <c r="K539" s="79"/>
      <c r="L539" s="6"/>
      <c r="M539" s="6"/>
      <c r="N539" s="6"/>
      <c r="O539" s="6"/>
      <c r="P539" s="6"/>
      <c r="Q539" s="6"/>
      <c r="R539" s="6"/>
      <c r="S539" s="6"/>
      <c r="T539" s="6"/>
      <c r="U539" s="51"/>
      <c r="V539" s="51"/>
      <c r="W539" s="51"/>
      <c r="X539" s="51"/>
      <c r="Y539" s="51"/>
      <c r="Z539" s="51"/>
      <c r="AA539" s="51"/>
      <c r="AB539" s="51"/>
      <c r="AC539" s="51"/>
    </row>
    <row r="540">
      <c r="B540" s="6"/>
      <c r="C540" s="50"/>
      <c r="D540" s="50"/>
      <c r="E540" s="50"/>
      <c r="F540" s="50"/>
      <c r="G540" s="50"/>
      <c r="H540" s="50"/>
      <c r="I540" s="50"/>
      <c r="J540" s="50"/>
      <c r="K540" s="79"/>
      <c r="L540" s="6"/>
      <c r="M540" s="6"/>
      <c r="N540" s="6"/>
      <c r="O540" s="6"/>
      <c r="P540" s="6"/>
      <c r="Q540" s="6"/>
      <c r="R540" s="6"/>
      <c r="S540" s="6"/>
      <c r="T540" s="6"/>
      <c r="U540" s="51"/>
      <c r="V540" s="51"/>
      <c r="W540" s="51"/>
      <c r="X540" s="51"/>
      <c r="Y540" s="51"/>
      <c r="Z540" s="51"/>
      <c r="AA540" s="51"/>
      <c r="AB540" s="51"/>
      <c r="AC540" s="51"/>
    </row>
    <row r="541">
      <c r="B541" s="6"/>
      <c r="C541" s="50"/>
      <c r="D541" s="50"/>
      <c r="E541" s="50"/>
      <c r="F541" s="50"/>
      <c r="G541" s="50"/>
      <c r="H541" s="50"/>
      <c r="I541" s="50"/>
      <c r="J541" s="50"/>
      <c r="K541" s="79"/>
      <c r="L541" s="6"/>
      <c r="M541" s="6"/>
      <c r="N541" s="6"/>
      <c r="O541" s="6"/>
      <c r="P541" s="6"/>
      <c r="Q541" s="6"/>
      <c r="R541" s="6"/>
      <c r="S541" s="6"/>
      <c r="T541" s="6"/>
      <c r="U541" s="51"/>
      <c r="V541" s="51"/>
      <c r="W541" s="51"/>
      <c r="X541" s="51"/>
      <c r="Y541" s="51"/>
      <c r="Z541" s="51"/>
      <c r="AA541" s="51"/>
      <c r="AB541" s="51"/>
      <c r="AC541" s="51"/>
    </row>
    <row r="542">
      <c r="B542" s="6"/>
      <c r="C542" s="50"/>
      <c r="D542" s="50"/>
      <c r="E542" s="50"/>
      <c r="F542" s="50"/>
      <c r="G542" s="50"/>
      <c r="H542" s="50"/>
      <c r="I542" s="50"/>
      <c r="J542" s="50"/>
      <c r="K542" s="79"/>
      <c r="L542" s="6"/>
      <c r="M542" s="6"/>
      <c r="N542" s="6"/>
      <c r="O542" s="6"/>
      <c r="P542" s="6"/>
      <c r="Q542" s="6"/>
      <c r="R542" s="6"/>
      <c r="S542" s="6"/>
      <c r="T542" s="6"/>
      <c r="U542" s="51"/>
      <c r="V542" s="51"/>
      <c r="W542" s="51"/>
      <c r="X542" s="51"/>
      <c r="Y542" s="51"/>
      <c r="Z542" s="51"/>
      <c r="AA542" s="51"/>
      <c r="AB542" s="51"/>
      <c r="AC542" s="51"/>
    </row>
    <row r="543">
      <c r="B543" s="6"/>
      <c r="C543" s="50"/>
      <c r="D543" s="50"/>
      <c r="E543" s="50"/>
      <c r="F543" s="50"/>
      <c r="G543" s="50"/>
      <c r="H543" s="50"/>
      <c r="I543" s="50"/>
      <c r="J543" s="50"/>
      <c r="K543" s="79"/>
      <c r="L543" s="6"/>
      <c r="M543" s="6"/>
      <c r="N543" s="6"/>
      <c r="O543" s="6"/>
      <c r="P543" s="6"/>
      <c r="Q543" s="6"/>
      <c r="R543" s="6"/>
      <c r="S543" s="6"/>
      <c r="T543" s="6"/>
      <c r="U543" s="51"/>
      <c r="V543" s="51"/>
      <c r="W543" s="51"/>
      <c r="X543" s="51"/>
      <c r="Y543" s="51"/>
      <c r="Z543" s="51"/>
      <c r="AA543" s="51"/>
      <c r="AB543" s="51"/>
      <c r="AC543" s="51"/>
    </row>
    <row r="544">
      <c r="B544" s="6"/>
      <c r="C544" s="50"/>
      <c r="D544" s="50"/>
      <c r="E544" s="50"/>
      <c r="F544" s="50"/>
      <c r="G544" s="50"/>
      <c r="H544" s="50"/>
      <c r="I544" s="50"/>
      <c r="J544" s="50"/>
      <c r="K544" s="79"/>
      <c r="L544" s="6"/>
      <c r="M544" s="6"/>
      <c r="N544" s="6"/>
      <c r="O544" s="6"/>
      <c r="P544" s="6"/>
      <c r="Q544" s="6"/>
      <c r="R544" s="6"/>
      <c r="S544" s="6"/>
      <c r="T544" s="6"/>
      <c r="U544" s="51"/>
      <c r="V544" s="51"/>
      <c r="W544" s="51"/>
      <c r="X544" s="51"/>
      <c r="Y544" s="51"/>
      <c r="Z544" s="51"/>
      <c r="AA544" s="51"/>
      <c r="AB544" s="51"/>
      <c r="AC544" s="51"/>
    </row>
    <row r="545">
      <c r="B545" s="6"/>
      <c r="C545" s="50"/>
      <c r="D545" s="50"/>
      <c r="E545" s="50"/>
      <c r="F545" s="50"/>
      <c r="G545" s="50"/>
      <c r="H545" s="50"/>
      <c r="I545" s="50"/>
      <c r="J545" s="50"/>
      <c r="K545" s="79"/>
      <c r="L545" s="6"/>
      <c r="M545" s="6"/>
      <c r="N545" s="6"/>
      <c r="O545" s="6"/>
      <c r="P545" s="6"/>
      <c r="Q545" s="6"/>
      <c r="R545" s="6"/>
      <c r="S545" s="6"/>
      <c r="T545" s="6"/>
      <c r="U545" s="51"/>
      <c r="V545" s="51"/>
      <c r="W545" s="51"/>
      <c r="X545" s="51"/>
      <c r="Y545" s="51"/>
      <c r="Z545" s="51"/>
      <c r="AA545" s="51"/>
      <c r="AB545" s="51"/>
      <c r="AC545" s="51"/>
    </row>
    <row r="546">
      <c r="B546" s="6"/>
      <c r="C546" s="50"/>
      <c r="D546" s="50"/>
      <c r="E546" s="50"/>
      <c r="F546" s="50"/>
      <c r="G546" s="50"/>
      <c r="H546" s="50"/>
      <c r="I546" s="50"/>
      <c r="J546" s="50"/>
      <c r="K546" s="79"/>
      <c r="L546" s="6"/>
      <c r="M546" s="6"/>
      <c r="N546" s="6"/>
      <c r="O546" s="6"/>
      <c r="P546" s="6"/>
      <c r="Q546" s="6"/>
      <c r="R546" s="6"/>
      <c r="S546" s="6"/>
      <c r="T546" s="6"/>
      <c r="U546" s="51"/>
      <c r="V546" s="51"/>
      <c r="W546" s="51"/>
      <c r="X546" s="51"/>
      <c r="Y546" s="51"/>
      <c r="Z546" s="51"/>
      <c r="AA546" s="51"/>
      <c r="AB546" s="51"/>
      <c r="AC546" s="51"/>
    </row>
    <row r="547">
      <c r="B547" s="6"/>
      <c r="C547" s="50"/>
      <c r="D547" s="50"/>
      <c r="E547" s="50"/>
      <c r="F547" s="50"/>
      <c r="G547" s="50"/>
      <c r="H547" s="50"/>
      <c r="I547" s="50"/>
      <c r="J547" s="50"/>
      <c r="K547" s="79"/>
      <c r="L547" s="6"/>
      <c r="M547" s="6"/>
      <c r="N547" s="6"/>
      <c r="O547" s="6"/>
      <c r="P547" s="6"/>
      <c r="Q547" s="6"/>
      <c r="R547" s="6"/>
      <c r="S547" s="6"/>
      <c r="T547" s="6"/>
      <c r="U547" s="51"/>
      <c r="V547" s="51"/>
      <c r="W547" s="51"/>
      <c r="X547" s="51"/>
      <c r="Y547" s="51"/>
      <c r="Z547" s="51"/>
      <c r="AA547" s="51"/>
      <c r="AB547" s="51"/>
      <c r="AC547" s="51"/>
    </row>
    <row r="548">
      <c r="B548" s="6"/>
      <c r="C548" s="50"/>
      <c r="D548" s="50"/>
      <c r="E548" s="50"/>
      <c r="F548" s="50"/>
      <c r="G548" s="50"/>
      <c r="H548" s="50"/>
      <c r="I548" s="50"/>
      <c r="J548" s="50"/>
      <c r="K548" s="79"/>
      <c r="L548" s="6"/>
      <c r="M548" s="6"/>
      <c r="N548" s="6"/>
      <c r="O548" s="6"/>
      <c r="P548" s="6"/>
      <c r="Q548" s="6"/>
      <c r="R548" s="6"/>
      <c r="S548" s="6"/>
      <c r="T548" s="6"/>
      <c r="U548" s="51"/>
      <c r="V548" s="51"/>
      <c r="W548" s="51"/>
      <c r="X548" s="51"/>
      <c r="Y548" s="51"/>
      <c r="Z548" s="51"/>
      <c r="AA548" s="51"/>
      <c r="AB548" s="51"/>
      <c r="AC548" s="51"/>
    </row>
    <row r="549">
      <c r="B549" s="6"/>
      <c r="C549" s="50"/>
      <c r="D549" s="50"/>
      <c r="E549" s="50"/>
      <c r="F549" s="50"/>
      <c r="G549" s="50"/>
      <c r="H549" s="50"/>
      <c r="I549" s="50"/>
      <c r="J549" s="50"/>
      <c r="K549" s="79"/>
      <c r="L549" s="6"/>
      <c r="M549" s="6"/>
      <c r="N549" s="6"/>
      <c r="O549" s="6"/>
      <c r="P549" s="6"/>
      <c r="Q549" s="6"/>
      <c r="R549" s="6"/>
      <c r="S549" s="6"/>
      <c r="T549" s="6"/>
      <c r="U549" s="51"/>
      <c r="V549" s="51"/>
      <c r="W549" s="51"/>
      <c r="X549" s="51"/>
      <c r="Y549" s="51"/>
      <c r="Z549" s="51"/>
      <c r="AA549" s="51"/>
      <c r="AB549" s="51"/>
      <c r="AC549" s="51"/>
    </row>
    <row r="550">
      <c r="B550" s="6"/>
      <c r="C550" s="50"/>
      <c r="D550" s="50"/>
      <c r="E550" s="50"/>
      <c r="F550" s="50"/>
      <c r="G550" s="50"/>
      <c r="H550" s="50"/>
      <c r="I550" s="50"/>
      <c r="J550" s="50"/>
      <c r="K550" s="79"/>
      <c r="L550" s="6"/>
      <c r="M550" s="6"/>
      <c r="N550" s="6"/>
      <c r="O550" s="6"/>
      <c r="P550" s="6"/>
      <c r="Q550" s="6"/>
      <c r="R550" s="6"/>
      <c r="S550" s="6"/>
      <c r="T550" s="6"/>
      <c r="U550" s="51"/>
      <c r="V550" s="51"/>
      <c r="W550" s="51"/>
      <c r="X550" s="51"/>
      <c r="Y550" s="51"/>
      <c r="Z550" s="51"/>
      <c r="AA550" s="51"/>
      <c r="AB550" s="51"/>
      <c r="AC550" s="51"/>
    </row>
    <row r="551">
      <c r="B551" s="6"/>
      <c r="C551" s="50"/>
      <c r="D551" s="50"/>
      <c r="E551" s="50"/>
      <c r="F551" s="50"/>
      <c r="G551" s="50"/>
      <c r="H551" s="50"/>
      <c r="I551" s="50"/>
      <c r="J551" s="50"/>
      <c r="K551" s="79"/>
      <c r="L551" s="6"/>
      <c r="M551" s="6"/>
      <c r="N551" s="6"/>
      <c r="O551" s="6"/>
      <c r="P551" s="6"/>
      <c r="Q551" s="6"/>
      <c r="R551" s="6"/>
      <c r="S551" s="6"/>
      <c r="T551" s="6"/>
      <c r="U551" s="51"/>
      <c r="V551" s="51"/>
      <c r="W551" s="51"/>
      <c r="X551" s="51"/>
      <c r="Y551" s="51"/>
      <c r="Z551" s="51"/>
      <c r="AA551" s="51"/>
      <c r="AB551" s="51"/>
      <c r="AC551" s="51"/>
    </row>
    <row r="552">
      <c r="B552" s="6"/>
      <c r="C552" s="50"/>
      <c r="D552" s="50"/>
      <c r="E552" s="50"/>
      <c r="F552" s="50"/>
      <c r="G552" s="50"/>
      <c r="H552" s="50"/>
      <c r="I552" s="50"/>
      <c r="J552" s="50"/>
      <c r="K552" s="79"/>
      <c r="L552" s="6"/>
      <c r="M552" s="6"/>
      <c r="N552" s="6"/>
      <c r="O552" s="6"/>
      <c r="P552" s="6"/>
      <c r="Q552" s="6"/>
      <c r="R552" s="6"/>
      <c r="S552" s="6"/>
      <c r="T552" s="6"/>
      <c r="U552" s="51"/>
      <c r="V552" s="51"/>
      <c r="W552" s="51"/>
      <c r="X552" s="51"/>
      <c r="Y552" s="51"/>
      <c r="Z552" s="51"/>
      <c r="AA552" s="51"/>
      <c r="AB552" s="51"/>
      <c r="AC552" s="51"/>
    </row>
    <row r="553">
      <c r="B553" s="6"/>
      <c r="C553" s="50"/>
      <c r="D553" s="50"/>
      <c r="E553" s="50"/>
      <c r="F553" s="50"/>
      <c r="G553" s="50"/>
      <c r="H553" s="50"/>
      <c r="I553" s="50"/>
      <c r="J553" s="50"/>
      <c r="K553" s="79"/>
      <c r="L553" s="6"/>
      <c r="M553" s="6"/>
      <c r="N553" s="6"/>
      <c r="O553" s="6"/>
      <c r="P553" s="6"/>
      <c r="Q553" s="6"/>
      <c r="R553" s="6"/>
      <c r="S553" s="6"/>
      <c r="T553" s="6"/>
      <c r="U553" s="51"/>
      <c r="V553" s="51"/>
      <c r="W553" s="51"/>
      <c r="X553" s="51"/>
      <c r="Y553" s="51"/>
      <c r="Z553" s="51"/>
      <c r="AA553" s="51"/>
      <c r="AB553" s="51"/>
      <c r="AC553" s="51"/>
    </row>
    <row r="554">
      <c r="B554" s="6"/>
      <c r="C554" s="50"/>
      <c r="D554" s="50"/>
      <c r="E554" s="50"/>
      <c r="F554" s="50"/>
      <c r="G554" s="50"/>
      <c r="H554" s="50"/>
      <c r="I554" s="50"/>
      <c r="J554" s="50"/>
      <c r="K554" s="79"/>
      <c r="L554" s="6"/>
      <c r="M554" s="6"/>
      <c r="N554" s="6"/>
      <c r="O554" s="6"/>
      <c r="P554" s="6"/>
      <c r="Q554" s="6"/>
      <c r="R554" s="6"/>
      <c r="S554" s="6"/>
      <c r="T554" s="6"/>
      <c r="U554" s="51"/>
      <c r="V554" s="51"/>
      <c r="W554" s="51"/>
      <c r="X554" s="51"/>
      <c r="Y554" s="51"/>
      <c r="Z554" s="51"/>
      <c r="AA554" s="51"/>
      <c r="AB554" s="51"/>
      <c r="AC554" s="51"/>
    </row>
    <row r="555">
      <c r="B555" s="6"/>
      <c r="C555" s="50"/>
      <c r="D555" s="50"/>
      <c r="E555" s="50"/>
      <c r="F555" s="50"/>
      <c r="G555" s="50"/>
      <c r="H555" s="50"/>
      <c r="I555" s="50"/>
      <c r="J555" s="50"/>
      <c r="K555" s="79"/>
      <c r="L555" s="6"/>
      <c r="M555" s="6"/>
      <c r="N555" s="6"/>
      <c r="O555" s="6"/>
      <c r="P555" s="6"/>
      <c r="Q555" s="6"/>
      <c r="R555" s="6"/>
      <c r="S555" s="6"/>
      <c r="T555" s="6"/>
      <c r="U555" s="51"/>
      <c r="V555" s="51"/>
      <c r="W555" s="51"/>
      <c r="X555" s="51"/>
      <c r="Y555" s="51"/>
      <c r="Z555" s="51"/>
      <c r="AA555" s="51"/>
      <c r="AB555" s="51"/>
      <c r="AC555" s="51"/>
    </row>
    <row r="556">
      <c r="B556" s="6"/>
      <c r="C556" s="50"/>
      <c r="D556" s="50"/>
      <c r="E556" s="50"/>
      <c r="F556" s="50"/>
      <c r="G556" s="50"/>
      <c r="H556" s="50"/>
      <c r="I556" s="50"/>
      <c r="J556" s="50"/>
      <c r="K556" s="79"/>
      <c r="L556" s="6"/>
      <c r="M556" s="6"/>
      <c r="N556" s="6"/>
      <c r="O556" s="6"/>
      <c r="P556" s="6"/>
      <c r="Q556" s="6"/>
      <c r="R556" s="6"/>
      <c r="S556" s="6"/>
      <c r="T556" s="6"/>
      <c r="U556" s="51"/>
      <c r="V556" s="51"/>
      <c r="W556" s="51"/>
      <c r="X556" s="51"/>
      <c r="Y556" s="51"/>
      <c r="Z556" s="51"/>
      <c r="AA556" s="51"/>
      <c r="AB556" s="51"/>
      <c r="AC556" s="51"/>
    </row>
    <row r="557">
      <c r="B557" s="6"/>
      <c r="C557" s="50"/>
      <c r="D557" s="50"/>
      <c r="E557" s="50"/>
      <c r="F557" s="50"/>
      <c r="G557" s="50"/>
      <c r="H557" s="50"/>
      <c r="I557" s="50"/>
      <c r="J557" s="50"/>
      <c r="K557" s="79"/>
      <c r="L557" s="6"/>
      <c r="M557" s="6"/>
      <c r="N557" s="6"/>
      <c r="O557" s="6"/>
      <c r="P557" s="6"/>
      <c r="Q557" s="6"/>
      <c r="R557" s="6"/>
      <c r="S557" s="6"/>
      <c r="T557" s="6"/>
      <c r="U557" s="51"/>
      <c r="V557" s="51"/>
      <c r="W557" s="51"/>
      <c r="X557" s="51"/>
      <c r="Y557" s="51"/>
      <c r="Z557" s="51"/>
      <c r="AA557" s="51"/>
      <c r="AB557" s="51"/>
      <c r="AC557" s="51"/>
    </row>
    <row r="558">
      <c r="B558" s="6"/>
      <c r="C558" s="50"/>
      <c r="D558" s="50"/>
      <c r="E558" s="50"/>
      <c r="F558" s="50"/>
      <c r="G558" s="50"/>
      <c r="H558" s="50"/>
      <c r="I558" s="50"/>
      <c r="J558" s="50"/>
      <c r="K558" s="79"/>
      <c r="L558" s="6"/>
      <c r="M558" s="6"/>
      <c r="N558" s="6"/>
      <c r="O558" s="6"/>
      <c r="P558" s="6"/>
      <c r="Q558" s="6"/>
      <c r="R558" s="6"/>
      <c r="S558" s="6"/>
      <c r="T558" s="6"/>
      <c r="U558" s="51"/>
      <c r="V558" s="51"/>
      <c r="W558" s="51"/>
      <c r="X558" s="51"/>
      <c r="Y558" s="51"/>
      <c r="Z558" s="51"/>
      <c r="AA558" s="51"/>
      <c r="AB558" s="51"/>
      <c r="AC558" s="51"/>
    </row>
    <row r="559">
      <c r="B559" s="6"/>
      <c r="C559" s="50"/>
      <c r="D559" s="50"/>
      <c r="E559" s="50"/>
      <c r="F559" s="50"/>
      <c r="G559" s="50"/>
      <c r="H559" s="50"/>
      <c r="I559" s="50"/>
      <c r="J559" s="50"/>
      <c r="K559" s="79"/>
      <c r="L559" s="6"/>
      <c r="M559" s="6"/>
      <c r="N559" s="6"/>
      <c r="O559" s="6"/>
      <c r="P559" s="6"/>
      <c r="Q559" s="6"/>
      <c r="R559" s="6"/>
      <c r="S559" s="6"/>
      <c r="T559" s="6"/>
      <c r="U559" s="51"/>
      <c r="V559" s="51"/>
      <c r="W559" s="51"/>
      <c r="X559" s="51"/>
      <c r="Y559" s="51"/>
      <c r="Z559" s="51"/>
      <c r="AA559" s="51"/>
      <c r="AB559" s="51"/>
      <c r="AC559" s="51"/>
    </row>
    <row r="560">
      <c r="B560" s="6"/>
      <c r="C560" s="50"/>
      <c r="D560" s="50"/>
      <c r="E560" s="50"/>
      <c r="F560" s="50"/>
      <c r="G560" s="50"/>
      <c r="H560" s="50"/>
      <c r="I560" s="50"/>
      <c r="J560" s="50"/>
      <c r="K560" s="79"/>
      <c r="L560" s="6"/>
      <c r="M560" s="6"/>
      <c r="N560" s="6"/>
      <c r="O560" s="6"/>
      <c r="P560" s="6"/>
      <c r="Q560" s="6"/>
      <c r="R560" s="6"/>
      <c r="S560" s="6"/>
      <c r="T560" s="6"/>
      <c r="U560" s="51"/>
      <c r="V560" s="51"/>
      <c r="W560" s="51"/>
      <c r="X560" s="51"/>
      <c r="Y560" s="51"/>
      <c r="Z560" s="51"/>
      <c r="AA560" s="51"/>
      <c r="AB560" s="51"/>
      <c r="AC560" s="51"/>
    </row>
    <row r="561">
      <c r="B561" s="6"/>
      <c r="C561" s="50"/>
      <c r="D561" s="50"/>
      <c r="E561" s="50"/>
      <c r="F561" s="50"/>
      <c r="G561" s="50"/>
      <c r="H561" s="50"/>
      <c r="I561" s="50"/>
      <c r="J561" s="50"/>
      <c r="K561" s="79"/>
      <c r="L561" s="6"/>
      <c r="M561" s="6"/>
      <c r="N561" s="6"/>
      <c r="O561" s="6"/>
      <c r="P561" s="6"/>
      <c r="Q561" s="6"/>
      <c r="R561" s="6"/>
      <c r="S561" s="6"/>
      <c r="T561" s="6"/>
      <c r="U561" s="51"/>
      <c r="V561" s="51"/>
      <c r="W561" s="51"/>
      <c r="X561" s="51"/>
      <c r="Y561" s="51"/>
      <c r="Z561" s="51"/>
      <c r="AA561" s="51"/>
      <c r="AB561" s="51"/>
      <c r="AC561" s="51"/>
    </row>
    <row r="562">
      <c r="B562" s="6"/>
      <c r="C562" s="50"/>
      <c r="D562" s="50"/>
      <c r="E562" s="50"/>
      <c r="F562" s="50"/>
      <c r="G562" s="50"/>
      <c r="H562" s="50"/>
      <c r="I562" s="50"/>
      <c r="J562" s="50"/>
      <c r="K562" s="79"/>
      <c r="L562" s="6"/>
      <c r="M562" s="6"/>
      <c r="N562" s="6"/>
      <c r="O562" s="6"/>
      <c r="P562" s="6"/>
      <c r="Q562" s="6"/>
      <c r="R562" s="6"/>
      <c r="S562" s="6"/>
      <c r="T562" s="6"/>
      <c r="U562" s="51"/>
      <c r="V562" s="51"/>
      <c r="W562" s="51"/>
      <c r="X562" s="51"/>
      <c r="Y562" s="51"/>
      <c r="Z562" s="51"/>
      <c r="AA562" s="51"/>
      <c r="AB562" s="51"/>
      <c r="AC562" s="51"/>
    </row>
    <row r="563">
      <c r="B563" s="6"/>
      <c r="C563" s="50"/>
      <c r="D563" s="50"/>
      <c r="E563" s="50"/>
      <c r="F563" s="50"/>
      <c r="G563" s="50"/>
      <c r="H563" s="50"/>
      <c r="I563" s="50"/>
      <c r="J563" s="50"/>
      <c r="K563" s="79"/>
      <c r="L563" s="6"/>
      <c r="M563" s="6"/>
      <c r="N563" s="6"/>
      <c r="O563" s="6"/>
      <c r="P563" s="6"/>
      <c r="Q563" s="6"/>
      <c r="R563" s="6"/>
      <c r="S563" s="6"/>
      <c r="T563" s="6"/>
      <c r="U563" s="51"/>
      <c r="V563" s="51"/>
      <c r="W563" s="51"/>
      <c r="X563" s="51"/>
      <c r="Y563" s="51"/>
      <c r="Z563" s="51"/>
      <c r="AA563" s="51"/>
      <c r="AB563" s="51"/>
      <c r="AC563" s="51"/>
    </row>
    <row r="564">
      <c r="B564" s="6"/>
      <c r="C564" s="50"/>
      <c r="D564" s="50"/>
      <c r="E564" s="50"/>
      <c r="F564" s="50"/>
      <c r="G564" s="50"/>
      <c r="H564" s="50"/>
      <c r="I564" s="50"/>
      <c r="J564" s="50"/>
      <c r="K564" s="79"/>
      <c r="L564" s="6"/>
      <c r="M564" s="6"/>
      <c r="N564" s="6"/>
      <c r="O564" s="6"/>
      <c r="P564" s="6"/>
      <c r="Q564" s="6"/>
      <c r="R564" s="6"/>
      <c r="S564" s="6"/>
      <c r="T564" s="6"/>
      <c r="U564" s="51"/>
      <c r="V564" s="51"/>
      <c r="W564" s="51"/>
      <c r="X564" s="51"/>
      <c r="Y564" s="51"/>
      <c r="Z564" s="51"/>
      <c r="AA564" s="51"/>
      <c r="AB564" s="51"/>
      <c r="AC564" s="51"/>
    </row>
    <row r="565">
      <c r="B565" s="6"/>
      <c r="C565" s="50"/>
      <c r="D565" s="50"/>
      <c r="E565" s="50"/>
      <c r="F565" s="50"/>
      <c r="G565" s="50"/>
      <c r="H565" s="50"/>
      <c r="I565" s="50"/>
      <c r="J565" s="50"/>
      <c r="K565" s="79"/>
      <c r="L565" s="6"/>
      <c r="M565" s="6"/>
      <c r="N565" s="6"/>
      <c r="O565" s="6"/>
      <c r="P565" s="6"/>
      <c r="Q565" s="6"/>
      <c r="R565" s="6"/>
      <c r="S565" s="6"/>
      <c r="T565" s="6"/>
      <c r="U565" s="51"/>
      <c r="V565" s="51"/>
      <c r="W565" s="51"/>
      <c r="X565" s="51"/>
      <c r="Y565" s="51"/>
      <c r="Z565" s="51"/>
      <c r="AA565" s="51"/>
      <c r="AB565" s="51"/>
      <c r="AC565" s="51"/>
    </row>
    <row r="566">
      <c r="B566" s="6"/>
      <c r="C566" s="50"/>
      <c r="D566" s="50"/>
      <c r="E566" s="50"/>
      <c r="F566" s="50"/>
      <c r="G566" s="50"/>
      <c r="H566" s="50"/>
      <c r="I566" s="50"/>
      <c r="J566" s="50"/>
      <c r="K566" s="79"/>
      <c r="L566" s="6"/>
      <c r="M566" s="6"/>
      <c r="N566" s="6"/>
      <c r="O566" s="6"/>
      <c r="P566" s="6"/>
      <c r="Q566" s="6"/>
      <c r="R566" s="6"/>
      <c r="S566" s="6"/>
      <c r="T566" s="6"/>
      <c r="U566" s="51"/>
      <c r="V566" s="51"/>
      <c r="W566" s="51"/>
      <c r="X566" s="51"/>
      <c r="Y566" s="51"/>
      <c r="Z566" s="51"/>
      <c r="AA566" s="51"/>
      <c r="AB566" s="51"/>
      <c r="AC566" s="51"/>
    </row>
    <row r="567">
      <c r="B567" s="6"/>
      <c r="C567" s="50"/>
      <c r="D567" s="50"/>
      <c r="E567" s="50"/>
      <c r="F567" s="50"/>
      <c r="G567" s="50"/>
      <c r="H567" s="50"/>
      <c r="I567" s="50"/>
      <c r="J567" s="50"/>
      <c r="K567" s="79"/>
      <c r="L567" s="6"/>
      <c r="M567" s="6"/>
      <c r="N567" s="6"/>
      <c r="O567" s="6"/>
      <c r="P567" s="6"/>
      <c r="Q567" s="6"/>
      <c r="R567" s="6"/>
      <c r="S567" s="6"/>
      <c r="T567" s="6"/>
      <c r="U567" s="51"/>
      <c r="V567" s="51"/>
      <c r="W567" s="51"/>
      <c r="X567" s="51"/>
      <c r="Y567" s="51"/>
      <c r="Z567" s="51"/>
      <c r="AA567" s="51"/>
      <c r="AB567" s="51"/>
      <c r="AC567" s="51"/>
    </row>
    <row r="568">
      <c r="B568" s="6"/>
      <c r="C568" s="50"/>
      <c r="D568" s="50"/>
      <c r="E568" s="50"/>
      <c r="F568" s="50"/>
      <c r="G568" s="50"/>
      <c r="H568" s="50"/>
      <c r="I568" s="50"/>
      <c r="J568" s="50"/>
      <c r="K568" s="79"/>
      <c r="L568" s="6"/>
      <c r="M568" s="6"/>
      <c r="N568" s="6"/>
      <c r="O568" s="6"/>
      <c r="P568" s="6"/>
      <c r="Q568" s="6"/>
      <c r="R568" s="6"/>
      <c r="S568" s="6"/>
      <c r="T568" s="6"/>
      <c r="U568" s="51"/>
      <c r="V568" s="51"/>
      <c r="W568" s="51"/>
      <c r="X568" s="51"/>
      <c r="Y568" s="51"/>
      <c r="Z568" s="51"/>
      <c r="AA568" s="51"/>
      <c r="AB568" s="51"/>
      <c r="AC568" s="51"/>
    </row>
    <row r="569">
      <c r="B569" s="6"/>
      <c r="C569" s="50"/>
      <c r="D569" s="50"/>
      <c r="E569" s="50"/>
      <c r="F569" s="50"/>
      <c r="G569" s="50"/>
      <c r="H569" s="50"/>
      <c r="I569" s="50"/>
      <c r="J569" s="50"/>
      <c r="K569" s="79"/>
      <c r="L569" s="6"/>
      <c r="M569" s="6"/>
      <c r="N569" s="6"/>
      <c r="O569" s="6"/>
      <c r="P569" s="6"/>
      <c r="Q569" s="6"/>
      <c r="R569" s="6"/>
      <c r="S569" s="6"/>
      <c r="T569" s="6"/>
      <c r="U569" s="51"/>
      <c r="V569" s="51"/>
      <c r="W569" s="51"/>
      <c r="X569" s="51"/>
      <c r="Y569" s="51"/>
      <c r="Z569" s="51"/>
      <c r="AA569" s="51"/>
      <c r="AB569" s="51"/>
      <c r="AC569" s="51"/>
    </row>
    <row r="570">
      <c r="B570" s="6"/>
      <c r="C570" s="50"/>
      <c r="D570" s="50"/>
      <c r="E570" s="50"/>
      <c r="F570" s="50"/>
      <c r="G570" s="50"/>
      <c r="H570" s="50"/>
      <c r="I570" s="50"/>
      <c r="J570" s="50"/>
      <c r="K570" s="79"/>
      <c r="L570" s="6"/>
      <c r="M570" s="6"/>
      <c r="N570" s="6"/>
      <c r="O570" s="6"/>
      <c r="P570" s="6"/>
      <c r="Q570" s="6"/>
      <c r="R570" s="6"/>
      <c r="S570" s="6"/>
      <c r="T570" s="6"/>
      <c r="U570" s="51"/>
      <c r="V570" s="51"/>
      <c r="W570" s="51"/>
      <c r="X570" s="51"/>
      <c r="Y570" s="51"/>
      <c r="Z570" s="51"/>
      <c r="AA570" s="51"/>
      <c r="AB570" s="51"/>
      <c r="AC570" s="51"/>
    </row>
    <row r="571">
      <c r="B571" s="6"/>
      <c r="C571" s="50"/>
      <c r="D571" s="50"/>
      <c r="E571" s="50"/>
      <c r="F571" s="50"/>
      <c r="G571" s="50"/>
      <c r="H571" s="50"/>
      <c r="I571" s="50"/>
      <c r="J571" s="50"/>
      <c r="K571" s="79"/>
      <c r="L571" s="6"/>
      <c r="M571" s="6"/>
      <c r="N571" s="6"/>
      <c r="O571" s="6"/>
      <c r="P571" s="6"/>
      <c r="Q571" s="6"/>
      <c r="R571" s="6"/>
      <c r="S571" s="6"/>
      <c r="T571" s="6"/>
      <c r="U571" s="51"/>
      <c r="V571" s="51"/>
      <c r="W571" s="51"/>
      <c r="X571" s="51"/>
      <c r="Y571" s="51"/>
      <c r="Z571" s="51"/>
      <c r="AA571" s="51"/>
      <c r="AB571" s="51"/>
      <c r="AC571" s="51"/>
    </row>
    <row r="572">
      <c r="B572" s="6"/>
      <c r="C572" s="50"/>
      <c r="D572" s="50"/>
      <c r="E572" s="50"/>
      <c r="F572" s="50"/>
      <c r="G572" s="50"/>
      <c r="H572" s="50"/>
      <c r="I572" s="50"/>
      <c r="J572" s="50"/>
      <c r="K572" s="79"/>
      <c r="L572" s="6"/>
      <c r="M572" s="6"/>
      <c r="N572" s="6"/>
      <c r="O572" s="6"/>
      <c r="P572" s="6"/>
      <c r="Q572" s="6"/>
      <c r="R572" s="6"/>
      <c r="S572" s="6"/>
      <c r="T572" s="6"/>
      <c r="U572" s="51"/>
      <c r="V572" s="51"/>
      <c r="W572" s="51"/>
      <c r="X572" s="51"/>
      <c r="Y572" s="51"/>
      <c r="Z572" s="51"/>
      <c r="AA572" s="51"/>
      <c r="AB572" s="51"/>
      <c r="AC572" s="51"/>
    </row>
    <row r="573">
      <c r="B573" s="6"/>
      <c r="C573" s="50"/>
      <c r="D573" s="50"/>
      <c r="E573" s="50"/>
      <c r="F573" s="50"/>
      <c r="G573" s="50"/>
      <c r="H573" s="50"/>
      <c r="I573" s="50"/>
      <c r="J573" s="50"/>
      <c r="K573" s="79"/>
      <c r="L573" s="6"/>
      <c r="M573" s="6"/>
      <c r="N573" s="6"/>
      <c r="O573" s="6"/>
      <c r="P573" s="6"/>
      <c r="Q573" s="6"/>
      <c r="R573" s="6"/>
      <c r="S573" s="6"/>
      <c r="T573" s="6"/>
      <c r="U573" s="51"/>
      <c r="V573" s="51"/>
      <c r="W573" s="51"/>
      <c r="X573" s="51"/>
      <c r="Y573" s="51"/>
      <c r="Z573" s="51"/>
      <c r="AA573" s="51"/>
      <c r="AB573" s="51"/>
      <c r="AC573" s="51"/>
    </row>
    <row r="574">
      <c r="B574" s="6"/>
      <c r="C574" s="50"/>
      <c r="D574" s="50"/>
      <c r="E574" s="50"/>
      <c r="F574" s="50"/>
      <c r="G574" s="50"/>
      <c r="H574" s="50"/>
      <c r="I574" s="50"/>
      <c r="J574" s="50"/>
      <c r="K574" s="79"/>
      <c r="L574" s="6"/>
      <c r="M574" s="6"/>
      <c r="N574" s="6"/>
      <c r="O574" s="6"/>
      <c r="P574" s="6"/>
      <c r="Q574" s="6"/>
      <c r="R574" s="6"/>
      <c r="S574" s="6"/>
      <c r="T574" s="6"/>
      <c r="U574" s="51"/>
      <c r="V574" s="51"/>
      <c r="W574" s="51"/>
      <c r="X574" s="51"/>
      <c r="Y574" s="51"/>
      <c r="Z574" s="51"/>
      <c r="AA574" s="51"/>
      <c r="AB574" s="51"/>
      <c r="AC574" s="51"/>
    </row>
    <row r="575">
      <c r="B575" s="6"/>
      <c r="C575" s="50"/>
      <c r="D575" s="50"/>
      <c r="E575" s="50"/>
      <c r="F575" s="50"/>
      <c r="G575" s="50"/>
      <c r="H575" s="50"/>
      <c r="I575" s="50"/>
      <c r="J575" s="50"/>
      <c r="K575" s="79"/>
      <c r="L575" s="6"/>
      <c r="M575" s="6"/>
      <c r="N575" s="6"/>
      <c r="O575" s="6"/>
      <c r="P575" s="6"/>
      <c r="Q575" s="6"/>
      <c r="R575" s="6"/>
      <c r="S575" s="6"/>
      <c r="T575" s="6"/>
      <c r="U575" s="51"/>
      <c r="V575" s="51"/>
      <c r="W575" s="51"/>
      <c r="X575" s="51"/>
      <c r="Y575" s="51"/>
      <c r="Z575" s="51"/>
      <c r="AA575" s="51"/>
      <c r="AB575" s="51"/>
      <c r="AC575" s="51"/>
    </row>
    <row r="576">
      <c r="C576" s="50"/>
      <c r="D576" s="50"/>
      <c r="E576" s="50"/>
      <c r="F576" s="50"/>
      <c r="G576" s="50"/>
      <c r="H576" s="50"/>
      <c r="I576" s="50"/>
      <c r="J576" s="50"/>
      <c r="K576" s="79"/>
      <c r="U576" s="51"/>
      <c r="V576" s="51"/>
      <c r="W576" s="51"/>
      <c r="X576" s="51"/>
      <c r="Y576" s="51"/>
      <c r="Z576" s="51"/>
      <c r="AA576" s="51"/>
      <c r="AB576" s="51"/>
      <c r="AC576" s="51"/>
    </row>
    <row r="577">
      <c r="C577" s="50"/>
      <c r="D577" s="50"/>
      <c r="E577" s="50"/>
      <c r="F577" s="50"/>
      <c r="G577" s="50"/>
      <c r="H577" s="50"/>
      <c r="I577" s="50"/>
      <c r="J577" s="50"/>
      <c r="K577" s="79"/>
      <c r="U577" s="51"/>
      <c r="V577" s="51"/>
      <c r="W577" s="51"/>
      <c r="X577" s="51"/>
      <c r="Y577" s="51"/>
      <c r="Z577" s="51"/>
      <c r="AA577" s="51"/>
      <c r="AB577" s="51"/>
      <c r="AC577" s="51"/>
    </row>
    <row r="578">
      <c r="C578" s="50"/>
      <c r="D578" s="50"/>
      <c r="E578" s="50"/>
      <c r="F578" s="50"/>
      <c r="G578" s="50"/>
      <c r="H578" s="50"/>
      <c r="I578" s="50"/>
      <c r="J578" s="50"/>
      <c r="K578" s="79"/>
      <c r="U578" s="51"/>
      <c r="V578" s="51"/>
      <c r="W578" s="51"/>
      <c r="X578" s="51"/>
      <c r="Y578" s="51"/>
      <c r="Z578" s="51"/>
      <c r="AA578" s="51"/>
      <c r="AB578" s="51"/>
      <c r="AC578" s="51"/>
    </row>
    <row r="579">
      <c r="C579" s="50"/>
      <c r="D579" s="50"/>
      <c r="E579" s="50"/>
      <c r="F579" s="50"/>
      <c r="G579" s="50"/>
      <c r="H579" s="50"/>
      <c r="I579" s="50"/>
      <c r="J579" s="50"/>
      <c r="K579" s="79"/>
      <c r="U579" s="51"/>
      <c r="V579" s="51"/>
      <c r="W579" s="51"/>
      <c r="X579" s="51"/>
      <c r="Y579" s="51"/>
      <c r="Z579" s="51"/>
      <c r="AA579" s="51"/>
      <c r="AB579" s="51"/>
      <c r="AC579" s="51"/>
    </row>
    <row r="580">
      <c r="C580" s="50"/>
      <c r="D580" s="50"/>
      <c r="E580" s="50"/>
      <c r="F580" s="50"/>
      <c r="G580" s="50"/>
      <c r="H580" s="50"/>
      <c r="I580" s="50"/>
      <c r="J580" s="50"/>
      <c r="K580" s="79"/>
      <c r="U580" s="51"/>
      <c r="V580" s="51"/>
      <c r="W580" s="51"/>
      <c r="X580" s="51"/>
      <c r="Y580" s="51"/>
      <c r="Z580" s="51"/>
      <c r="AA580" s="51"/>
      <c r="AB580" s="51"/>
      <c r="AC580" s="51"/>
    </row>
    <row r="581">
      <c r="C581" s="50"/>
      <c r="D581" s="50"/>
      <c r="E581" s="50"/>
      <c r="F581" s="50"/>
      <c r="G581" s="50"/>
      <c r="H581" s="50"/>
      <c r="I581" s="50"/>
      <c r="J581" s="50"/>
      <c r="K581" s="79"/>
      <c r="U581" s="51"/>
      <c r="V581" s="51"/>
      <c r="W581" s="51"/>
      <c r="X581" s="51"/>
      <c r="Y581" s="51"/>
      <c r="Z581" s="51"/>
      <c r="AA581" s="51"/>
      <c r="AB581" s="51"/>
      <c r="AC581" s="51"/>
    </row>
    <row r="582">
      <c r="C582" s="50"/>
      <c r="D582" s="50"/>
      <c r="E582" s="50"/>
      <c r="F582" s="50"/>
      <c r="G582" s="50"/>
      <c r="H582" s="50"/>
      <c r="I582" s="50"/>
      <c r="J582" s="50"/>
      <c r="K582" s="79"/>
      <c r="U582" s="51"/>
      <c r="V582" s="51"/>
      <c r="W582" s="51"/>
      <c r="X582" s="51"/>
      <c r="Y582" s="51"/>
      <c r="Z582" s="51"/>
      <c r="AA582" s="51"/>
      <c r="AB582" s="51"/>
      <c r="AC582" s="51"/>
    </row>
    <row r="583">
      <c r="C583" s="50"/>
      <c r="D583" s="50"/>
      <c r="E583" s="50"/>
      <c r="F583" s="50"/>
      <c r="G583" s="50"/>
      <c r="H583" s="50"/>
      <c r="I583" s="50"/>
      <c r="J583" s="50"/>
      <c r="K583" s="79"/>
      <c r="U583" s="51"/>
      <c r="V583" s="51"/>
      <c r="W583" s="51"/>
      <c r="X583" s="51"/>
      <c r="Y583" s="51"/>
      <c r="Z583" s="51"/>
      <c r="AA583" s="51"/>
      <c r="AB583" s="51"/>
      <c r="AC583" s="51"/>
    </row>
    <row r="584">
      <c r="C584" s="50"/>
      <c r="D584" s="50"/>
      <c r="E584" s="50"/>
      <c r="F584" s="50"/>
      <c r="G584" s="50"/>
      <c r="H584" s="50"/>
      <c r="I584" s="50"/>
      <c r="J584" s="50"/>
      <c r="K584" s="79"/>
      <c r="U584" s="51"/>
      <c r="V584" s="51"/>
      <c r="W584" s="51"/>
      <c r="X584" s="51"/>
      <c r="Y584" s="51"/>
      <c r="Z584" s="51"/>
      <c r="AA584" s="51"/>
      <c r="AB584" s="51"/>
      <c r="AC584" s="51"/>
    </row>
    <row r="585">
      <c r="C585" s="50"/>
      <c r="D585" s="50"/>
      <c r="E585" s="50"/>
      <c r="F585" s="50"/>
      <c r="G585" s="50"/>
      <c r="H585" s="50"/>
      <c r="I585" s="50"/>
      <c r="J585" s="50"/>
      <c r="K585" s="79"/>
      <c r="U585" s="51"/>
      <c r="V585" s="51"/>
      <c r="W585" s="51"/>
      <c r="X585" s="51"/>
      <c r="Y585" s="51"/>
      <c r="Z585" s="51"/>
      <c r="AA585" s="51"/>
      <c r="AB585" s="51"/>
      <c r="AC585" s="51"/>
    </row>
    <row r="586">
      <c r="C586" s="50"/>
      <c r="D586" s="50"/>
      <c r="E586" s="50"/>
      <c r="F586" s="50"/>
      <c r="G586" s="50"/>
      <c r="H586" s="50"/>
      <c r="I586" s="50"/>
      <c r="J586" s="50"/>
      <c r="K586" s="79"/>
      <c r="U586" s="51"/>
      <c r="V586" s="51"/>
      <c r="W586" s="51"/>
      <c r="X586" s="51"/>
      <c r="Y586" s="51"/>
      <c r="Z586" s="51"/>
      <c r="AA586" s="51"/>
      <c r="AB586" s="51"/>
      <c r="AC586" s="51"/>
    </row>
    <row r="587">
      <c r="C587" s="50"/>
      <c r="D587" s="50"/>
      <c r="E587" s="50"/>
      <c r="F587" s="50"/>
      <c r="G587" s="50"/>
      <c r="H587" s="50"/>
      <c r="I587" s="50"/>
      <c r="J587" s="50"/>
      <c r="K587" s="79"/>
      <c r="U587" s="51"/>
      <c r="V587" s="51"/>
      <c r="W587" s="51"/>
      <c r="X587" s="51"/>
      <c r="Y587" s="51"/>
      <c r="Z587" s="51"/>
      <c r="AA587" s="51"/>
      <c r="AB587" s="51"/>
      <c r="AC587" s="51"/>
    </row>
    <row r="588">
      <c r="C588" s="50"/>
      <c r="D588" s="50"/>
      <c r="E588" s="50"/>
      <c r="F588" s="50"/>
      <c r="G588" s="50"/>
      <c r="H588" s="50"/>
      <c r="I588" s="50"/>
      <c r="J588" s="50"/>
      <c r="K588" s="79"/>
      <c r="U588" s="51"/>
      <c r="V588" s="51"/>
      <c r="W588" s="51"/>
      <c r="X588" s="51"/>
      <c r="Y588" s="51"/>
      <c r="Z588" s="51"/>
      <c r="AA588" s="51"/>
      <c r="AB588" s="51"/>
      <c r="AC588" s="51"/>
    </row>
    <row r="589">
      <c r="C589" s="50"/>
      <c r="D589" s="50"/>
      <c r="E589" s="50"/>
      <c r="F589" s="50"/>
      <c r="G589" s="50"/>
      <c r="H589" s="50"/>
      <c r="I589" s="50"/>
      <c r="J589" s="50"/>
      <c r="K589" s="79"/>
      <c r="U589" s="51"/>
      <c r="V589" s="51"/>
      <c r="W589" s="51"/>
      <c r="X589" s="51"/>
      <c r="Y589" s="51"/>
      <c r="Z589" s="51"/>
      <c r="AA589" s="51"/>
      <c r="AB589" s="51"/>
      <c r="AC589" s="51"/>
    </row>
    <row r="590">
      <c r="C590" s="50"/>
      <c r="D590" s="50"/>
      <c r="E590" s="50"/>
      <c r="F590" s="50"/>
      <c r="G590" s="50"/>
      <c r="H590" s="50"/>
      <c r="I590" s="50"/>
      <c r="J590" s="50"/>
      <c r="K590" s="79"/>
      <c r="U590" s="51"/>
      <c r="V590" s="51"/>
      <c r="W590" s="51"/>
      <c r="X590" s="51"/>
      <c r="Y590" s="51"/>
      <c r="Z590" s="51"/>
      <c r="AA590" s="51"/>
      <c r="AB590" s="51"/>
      <c r="AC590" s="51"/>
    </row>
    <row r="591">
      <c r="C591" s="50"/>
      <c r="D591" s="50"/>
      <c r="E591" s="50"/>
      <c r="F591" s="50"/>
      <c r="G591" s="50"/>
      <c r="H591" s="50"/>
      <c r="I591" s="50"/>
      <c r="J591" s="50"/>
      <c r="K591" s="79"/>
      <c r="U591" s="51"/>
      <c r="V591" s="51"/>
      <c r="W591" s="51"/>
      <c r="X591" s="51"/>
      <c r="Y591" s="51"/>
      <c r="Z591" s="51"/>
      <c r="AA591" s="51"/>
      <c r="AB591" s="51"/>
      <c r="AC591" s="51"/>
    </row>
    <row r="592">
      <c r="C592" s="50"/>
      <c r="D592" s="50"/>
      <c r="E592" s="50"/>
      <c r="F592" s="50"/>
      <c r="G592" s="50"/>
      <c r="H592" s="50"/>
      <c r="I592" s="50"/>
      <c r="J592" s="50"/>
      <c r="K592" s="79"/>
      <c r="U592" s="51"/>
      <c r="V592" s="51"/>
      <c r="W592" s="51"/>
      <c r="X592" s="51"/>
      <c r="Y592" s="51"/>
      <c r="Z592" s="51"/>
      <c r="AA592" s="51"/>
      <c r="AB592" s="51"/>
      <c r="AC592" s="51"/>
    </row>
    <row r="593">
      <c r="C593" s="50"/>
      <c r="D593" s="50"/>
      <c r="E593" s="50"/>
      <c r="F593" s="50"/>
      <c r="G593" s="50"/>
      <c r="H593" s="50"/>
      <c r="I593" s="50"/>
      <c r="J593" s="50"/>
      <c r="K593" s="79"/>
      <c r="U593" s="51"/>
      <c r="V593" s="51"/>
      <c r="W593" s="51"/>
      <c r="X593" s="51"/>
      <c r="Y593" s="51"/>
      <c r="Z593" s="51"/>
      <c r="AA593" s="51"/>
      <c r="AB593" s="51"/>
      <c r="AC593" s="51"/>
    </row>
    <row r="594">
      <c r="C594" s="50"/>
      <c r="D594" s="50"/>
      <c r="E594" s="50"/>
      <c r="F594" s="50"/>
      <c r="G594" s="50"/>
      <c r="H594" s="50"/>
      <c r="I594" s="50"/>
      <c r="J594" s="50"/>
      <c r="K594" s="79"/>
      <c r="U594" s="51"/>
      <c r="V594" s="51"/>
      <c r="W594" s="51"/>
      <c r="X594" s="51"/>
      <c r="Y594" s="51"/>
      <c r="Z594" s="51"/>
      <c r="AA594" s="51"/>
      <c r="AB594" s="51"/>
      <c r="AC594" s="51"/>
    </row>
    <row r="595">
      <c r="C595" s="50"/>
      <c r="D595" s="50"/>
      <c r="E595" s="50"/>
      <c r="F595" s="50"/>
      <c r="G595" s="50"/>
      <c r="H595" s="50"/>
      <c r="I595" s="50"/>
      <c r="J595" s="50"/>
      <c r="K595" s="79"/>
      <c r="U595" s="51"/>
      <c r="V595" s="51"/>
      <c r="W595" s="51"/>
      <c r="X595" s="51"/>
      <c r="Y595" s="51"/>
      <c r="Z595" s="51"/>
      <c r="AA595" s="51"/>
      <c r="AB595" s="51"/>
      <c r="AC595" s="51"/>
    </row>
    <row r="596">
      <c r="C596" s="50"/>
      <c r="D596" s="50"/>
      <c r="E596" s="50"/>
      <c r="F596" s="50"/>
      <c r="G596" s="50"/>
      <c r="H596" s="50"/>
      <c r="I596" s="50"/>
      <c r="J596" s="50"/>
      <c r="K596" s="79"/>
      <c r="U596" s="51"/>
      <c r="V596" s="51"/>
      <c r="W596" s="51"/>
      <c r="X596" s="51"/>
      <c r="Y596" s="51"/>
      <c r="Z596" s="51"/>
      <c r="AA596" s="51"/>
      <c r="AB596" s="51"/>
      <c r="AC596" s="51"/>
    </row>
    <row r="597">
      <c r="C597" s="50"/>
      <c r="D597" s="50"/>
      <c r="E597" s="50"/>
      <c r="F597" s="50"/>
      <c r="G597" s="50"/>
      <c r="H597" s="50"/>
      <c r="I597" s="50"/>
      <c r="J597" s="50"/>
      <c r="K597" s="79"/>
      <c r="U597" s="51"/>
      <c r="V597" s="51"/>
      <c r="W597" s="51"/>
      <c r="X597" s="51"/>
      <c r="Y597" s="51"/>
      <c r="Z597" s="51"/>
      <c r="AA597" s="51"/>
      <c r="AB597" s="51"/>
      <c r="AC597" s="51"/>
    </row>
    <row r="598">
      <c r="C598" s="50"/>
      <c r="D598" s="50"/>
      <c r="E598" s="50"/>
      <c r="F598" s="50"/>
      <c r="G598" s="50"/>
      <c r="H598" s="50"/>
      <c r="I598" s="50"/>
      <c r="J598" s="50"/>
      <c r="K598" s="79"/>
      <c r="U598" s="51"/>
      <c r="V598" s="51"/>
      <c r="W598" s="51"/>
      <c r="X598" s="51"/>
      <c r="Y598" s="51"/>
      <c r="Z598" s="51"/>
      <c r="AA598" s="51"/>
      <c r="AB598" s="51"/>
      <c r="AC598" s="51"/>
    </row>
    <row r="599">
      <c r="C599" s="50"/>
      <c r="D599" s="50"/>
      <c r="E599" s="50"/>
      <c r="F599" s="50"/>
      <c r="G599" s="50"/>
      <c r="H599" s="50"/>
      <c r="I599" s="50"/>
      <c r="J599" s="50"/>
      <c r="K599" s="79"/>
      <c r="U599" s="51"/>
      <c r="V599" s="51"/>
      <c r="W599" s="51"/>
      <c r="X599" s="51"/>
      <c r="Y599" s="51"/>
      <c r="Z599" s="51"/>
      <c r="AA599" s="51"/>
      <c r="AB599" s="51"/>
      <c r="AC599" s="51"/>
    </row>
    <row r="600">
      <c r="C600" s="50"/>
      <c r="D600" s="50"/>
      <c r="E600" s="50"/>
      <c r="F600" s="50"/>
      <c r="G600" s="50"/>
      <c r="H600" s="50"/>
      <c r="I600" s="50"/>
      <c r="J600" s="50"/>
      <c r="K600" s="79"/>
      <c r="U600" s="51"/>
      <c r="V600" s="51"/>
      <c r="W600" s="51"/>
      <c r="X600" s="51"/>
      <c r="Y600" s="51"/>
      <c r="Z600" s="51"/>
      <c r="AA600" s="51"/>
      <c r="AB600" s="51"/>
      <c r="AC600" s="51"/>
    </row>
    <row r="601">
      <c r="C601" s="50"/>
      <c r="D601" s="50"/>
      <c r="E601" s="50"/>
      <c r="F601" s="50"/>
      <c r="G601" s="50"/>
      <c r="H601" s="50"/>
      <c r="I601" s="50"/>
      <c r="J601" s="50"/>
      <c r="K601" s="79"/>
      <c r="U601" s="51"/>
      <c r="V601" s="51"/>
      <c r="W601" s="51"/>
      <c r="X601" s="51"/>
      <c r="Y601" s="51"/>
      <c r="Z601" s="51"/>
      <c r="AA601" s="51"/>
      <c r="AB601" s="51"/>
      <c r="AC601" s="51"/>
    </row>
    <row r="602">
      <c r="C602" s="50"/>
      <c r="D602" s="50"/>
      <c r="E602" s="50"/>
      <c r="F602" s="50"/>
      <c r="G602" s="50"/>
      <c r="H602" s="50"/>
      <c r="I602" s="50"/>
      <c r="J602" s="50"/>
      <c r="K602" s="79"/>
      <c r="U602" s="51"/>
      <c r="V602" s="51"/>
      <c r="W602" s="51"/>
      <c r="X602" s="51"/>
      <c r="Y602" s="51"/>
      <c r="Z602" s="51"/>
      <c r="AA602" s="51"/>
      <c r="AB602" s="51"/>
      <c r="AC602" s="51"/>
    </row>
    <row r="603">
      <c r="C603" s="50"/>
      <c r="D603" s="50"/>
      <c r="E603" s="50"/>
      <c r="F603" s="50"/>
      <c r="G603" s="50"/>
      <c r="H603" s="50"/>
      <c r="I603" s="50"/>
      <c r="J603" s="50"/>
      <c r="K603" s="79"/>
      <c r="U603" s="51"/>
      <c r="V603" s="51"/>
      <c r="W603" s="51"/>
      <c r="X603" s="51"/>
      <c r="Y603" s="51"/>
      <c r="Z603" s="51"/>
      <c r="AA603" s="51"/>
      <c r="AB603" s="51"/>
      <c r="AC603" s="51"/>
    </row>
    <row r="604">
      <c r="C604" s="50"/>
      <c r="D604" s="50"/>
      <c r="E604" s="50"/>
      <c r="F604" s="50"/>
      <c r="G604" s="50"/>
      <c r="H604" s="50"/>
      <c r="I604" s="50"/>
      <c r="J604" s="50"/>
      <c r="K604" s="79"/>
      <c r="U604" s="51"/>
      <c r="V604" s="51"/>
      <c r="W604" s="51"/>
      <c r="X604" s="51"/>
      <c r="Y604" s="51"/>
      <c r="Z604" s="51"/>
      <c r="AA604" s="51"/>
      <c r="AB604" s="51"/>
      <c r="AC604" s="51"/>
    </row>
    <row r="605">
      <c r="C605" s="50"/>
      <c r="D605" s="50"/>
      <c r="E605" s="50"/>
      <c r="F605" s="50"/>
      <c r="G605" s="50"/>
      <c r="H605" s="50"/>
      <c r="I605" s="50"/>
      <c r="J605" s="50"/>
      <c r="K605" s="79"/>
      <c r="U605" s="51"/>
      <c r="V605" s="51"/>
      <c r="W605" s="51"/>
      <c r="X605" s="51"/>
      <c r="Y605" s="51"/>
      <c r="Z605" s="51"/>
      <c r="AA605" s="51"/>
      <c r="AB605" s="51"/>
      <c r="AC605" s="51"/>
    </row>
    <row r="606">
      <c r="C606" s="50"/>
      <c r="D606" s="50"/>
      <c r="E606" s="50"/>
      <c r="F606" s="50"/>
      <c r="G606" s="50"/>
      <c r="H606" s="50"/>
      <c r="I606" s="50"/>
      <c r="J606" s="50"/>
      <c r="K606" s="79"/>
      <c r="U606" s="51"/>
      <c r="V606" s="51"/>
      <c r="W606" s="51"/>
      <c r="X606" s="51"/>
      <c r="Y606" s="51"/>
      <c r="Z606" s="51"/>
      <c r="AA606" s="51"/>
      <c r="AB606" s="51"/>
      <c r="AC606" s="51"/>
    </row>
    <row r="607">
      <c r="C607" s="50"/>
      <c r="D607" s="50"/>
      <c r="E607" s="50"/>
      <c r="F607" s="50"/>
      <c r="G607" s="50"/>
      <c r="H607" s="50"/>
      <c r="I607" s="50"/>
      <c r="J607" s="50"/>
      <c r="K607" s="79"/>
      <c r="U607" s="51"/>
      <c r="V607" s="51"/>
      <c r="W607" s="51"/>
      <c r="X607" s="51"/>
      <c r="Y607" s="51"/>
      <c r="Z607" s="51"/>
      <c r="AA607" s="51"/>
      <c r="AB607" s="51"/>
      <c r="AC607" s="51"/>
    </row>
    <row r="608">
      <c r="C608" s="50"/>
      <c r="D608" s="50"/>
      <c r="E608" s="50"/>
      <c r="F608" s="50"/>
      <c r="G608" s="50"/>
      <c r="H608" s="50"/>
      <c r="I608" s="50"/>
      <c r="J608" s="50"/>
      <c r="K608" s="79"/>
      <c r="U608" s="51"/>
      <c r="V608" s="51"/>
      <c r="W608" s="51"/>
      <c r="X608" s="51"/>
      <c r="Y608" s="51"/>
      <c r="Z608" s="51"/>
      <c r="AA608" s="51"/>
      <c r="AB608" s="51"/>
      <c r="AC608" s="51"/>
    </row>
    <row r="609">
      <c r="C609" s="50"/>
      <c r="D609" s="50"/>
      <c r="E609" s="50"/>
      <c r="F609" s="50"/>
      <c r="G609" s="50"/>
      <c r="H609" s="50"/>
      <c r="I609" s="50"/>
      <c r="J609" s="50"/>
      <c r="K609" s="79"/>
      <c r="U609" s="51"/>
      <c r="V609" s="51"/>
      <c r="W609" s="51"/>
      <c r="X609" s="51"/>
      <c r="Y609" s="51"/>
      <c r="Z609" s="51"/>
      <c r="AA609" s="51"/>
      <c r="AB609" s="51"/>
      <c r="AC609" s="51"/>
    </row>
    <row r="610">
      <c r="C610" s="50"/>
      <c r="D610" s="50"/>
      <c r="E610" s="50"/>
      <c r="F610" s="50"/>
      <c r="G610" s="50"/>
      <c r="H610" s="50"/>
      <c r="I610" s="50"/>
      <c r="J610" s="50"/>
      <c r="K610" s="79"/>
      <c r="U610" s="51"/>
      <c r="V610" s="51"/>
      <c r="W610" s="51"/>
      <c r="X610" s="51"/>
      <c r="Y610" s="51"/>
      <c r="Z610" s="51"/>
      <c r="AA610" s="51"/>
      <c r="AB610" s="51"/>
      <c r="AC610" s="51"/>
    </row>
    <row r="611">
      <c r="C611" s="50"/>
      <c r="D611" s="50"/>
      <c r="E611" s="50"/>
      <c r="F611" s="50"/>
      <c r="G611" s="50"/>
      <c r="H611" s="50"/>
      <c r="I611" s="50"/>
      <c r="J611" s="50"/>
      <c r="K611" s="79"/>
      <c r="U611" s="51"/>
      <c r="V611" s="51"/>
      <c r="W611" s="51"/>
      <c r="X611" s="51"/>
      <c r="Y611" s="51"/>
      <c r="Z611" s="51"/>
      <c r="AA611" s="51"/>
      <c r="AB611" s="51"/>
      <c r="AC611" s="51"/>
    </row>
    <row r="612">
      <c r="C612" s="50"/>
      <c r="D612" s="50"/>
      <c r="E612" s="50"/>
      <c r="F612" s="50"/>
      <c r="G612" s="50"/>
      <c r="H612" s="50"/>
      <c r="I612" s="50"/>
      <c r="J612" s="50"/>
      <c r="K612" s="79"/>
      <c r="U612" s="51"/>
      <c r="V612" s="51"/>
      <c r="W612" s="51"/>
      <c r="X612" s="51"/>
      <c r="Y612" s="51"/>
      <c r="Z612" s="51"/>
      <c r="AA612" s="51"/>
      <c r="AB612" s="51"/>
      <c r="AC612" s="51"/>
    </row>
    <row r="613">
      <c r="C613" s="50"/>
      <c r="D613" s="50"/>
      <c r="E613" s="50"/>
      <c r="F613" s="50"/>
      <c r="G613" s="50"/>
      <c r="H613" s="50"/>
      <c r="I613" s="50"/>
      <c r="J613" s="50"/>
      <c r="K613" s="79"/>
      <c r="U613" s="51"/>
      <c r="V613" s="51"/>
      <c r="W613" s="51"/>
      <c r="X613" s="51"/>
      <c r="Y613" s="51"/>
      <c r="Z613" s="51"/>
      <c r="AA613" s="51"/>
      <c r="AB613" s="51"/>
      <c r="AC613" s="51"/>
    </row>
    <row r="614">
      <c r="C614" s="50"/>
      <c r="D614" s="50"/>
      <c r="E614" s="50"/>
      <c r="F614" s="50"/>
      <c r="G614" s="50"/>
      <c r="H614" s="50"/>
      <c r="I614" s="50"/>
      <c r="J614" s="50"/>
      <c r="K614" s="79"/>
      <c r="U614" s="51"/>
      <c r="V614" s="51"/>
      <c r="W614" s="51"/>
      <c r="X614" s="51"/>
      <c r="Y614" s="51"/>
      <c r="Z614" s="51"/>
      <c r="AA614" s="51"/>
      <c r="AB614" s="51"/>
      <c r="AC614" s="51"/>
    </row>
    <row r="615">
      <c r="C615" s="50"/>
      <c r="D615" s="50"/>
      <c r="E615" s="50"/>
      <c r="F615" s="50"/>
      <c r="G615" s="50"/>
      <c r="H615" s="50"/>
      <c r="I615" s="50"/>
      <c r="J615" s="50"/>
      <c r="K615" s="79"/>
      <c r="U615" s="51"/>
      <c r="V615" s="51"/>
      <c r="W615" s="51"/>
      <c r="X615" s="51"/>
      <c r="Y615" s="51"/>
      <c r="Z615" s="51"/>
      <c r="AA615" s="51"/>
      <c r="AB615" s="51"/>
      <c r="AC615" s="51"/>
    </row>
    <row r="616">
      <c r="C616" s="50"/>
      <c r="D616" s="50"/>
      <c r="E616" s="50"/>
      <c r="F616" s="50"/>
      <c r="G616" s="50"/>
      <c r="H616" s="50"/>
      <c r="I616" s="50"/>
      <c r="J616" s="50"/>
      <c r="K616" s="79"/>
      <c r="U616" s="51"/>
      <c r="V616" s="51"/>
      <c r="W616" s="51"/>
      <c r="X616" s="51"/>
      <c r="Y616" s="51"/>
      <c r="Z616" s="51"/>
      <c r="AA616" s="51"/>
      <c r="AB616" s="51"/>
      <c r="AC616" s="51"/>
    </row>
    <row r="617">
      <c r="C617" s="50"/>
      <c r="D617" s="50"/>
      <c r="E617" s="50"/>
      <c r="F617" s="50"/>
      <c r="G617" s="50"/>
      <c r="H617" s="50"/>
      <c r="I617" s="50"/>
      <c r="J617" s="50"/>
      <c r="K617" s="79"/>
      <c r="U617" s="51"/>
      <c r="V617" s="51"/>
      <c r="W617" s="51"/>
      <c r="X617" s="51"/>
      <c r="Y617" s="51"/>
      <c r="Z617" s="51"/>
      <c r="AA617" s="51"/>
      <c r="AB617" s="51"/>
      <c r="AC617" s="51"/>
    </row>
    <row r="618">
      <c r="C618" s="50"/>
      <c r="D618" s="50"/>
      <c r="E618" s="50"/>
      <c r="F618" s="50"/>
      <c r="G618" s="50"/>
      <c r="H618" s="50"/>
      <c r="I618" s="50"/>
      <c r="J618" s="50"/>
      <c r="K618" s="79"/>
      <c r="U618" s="51"/>
      <c r="V618" s="51"/>
      <c r="W618" s="51"/>
      <c r="X618" s="51"/>
      <c r="Y618" s="51"/>
      <c r="Z618" s="51"/>
      <c r="AA618" s="51"/>
      <c r="AB618" s="51"/>
      <c r="AC618" s="51"/>
    </row>
    <row r="619">
      <c r="C619" s="50"/>
      <c r="D619" s="50"/>
      <c r="E619" s="50"/>
      <c r="F619" s="50"/>
      <c r="G619" s="50"/>
      <c r="H619" s="50"/>
      <c r="I619" s="50"/>
      <c r="J619" s="50"/>
      <c r="K619" s="79"/>
      <c r="U619" s="51"/>
      <c r="V619" s="51"/>
      <c r="W619" s="51"/>
      <c r="X619" s="51"/>
      <c r="Y619" s="51"/>
      <c r="Z619" s="51"/>
      <c r="AA619" s="51"/>
      <c r="AB619" s="51"/>
      <c r="AC619" s="51"/>
    </row>
    <row r="620">
      <c r="C620" s="50"/>
      <c r="D620" s="50"/>
      <c r="E620" s="50"/>
      <c r="F620" s="50"/>
      <c r="G620" s="50"/>
      <c r="H620" s="50"/>
      <c r="I620" s="50"/>
      <c r="J620" s="50"/>
      <c r="K620" s="79"/>
      <c r="U620" s="51"/>
      <c r="V620" s="51"/>
      <c r="W620" s="51"/>
      <c r="X620" s="51"/>
      <c r="Y620" s="51"/>
      <c r="Z620" s="51"/>
      <c r="AA620" s="51"/>
      <c r="AB620" s="51"/>
      <c r="AC620" s="51"/>
    </row>
    <row r="621">
      <c r="C621" s="50"/>
      <c r="D621" s="50"/>
      <c r="E621" s="50"/>
      <c r="F621" s="50"/>
      <c r="G621" s="50"/>
      <c r="H621" s="50"/>
      <c r="I621" s="50"/>
      <c r="J621" s="50"/>
      <c r="K621" s="79"/>
      <c r="U621" s="51"/>
      <c r="V621" s="51"/>
      <c r="W621" s="51"/>
      <c r="X621" s="51"/>
      <c r="Y621" s="51"/>
      <c r="Z621" s="51"/>
      <c r="AA621" s="51"/>
      <c r="AB621" s="51"/>
      <c r="AC621" s="51"/>
    </row>
    <row r="622">
      <c r="C622" s="50"/>
      <c r="D622" s="50"/>
      <c r="E622" s="50"/>
      <c r="F622" s="50"/>
      <c r="G622" s="50"/>
      <c r="H622" s="50"/>
      <c r="I622" s="50"/>
      <c r="J622" s="50"/>
      <c r="K622" s="79"/>
      <c r="U622" s="51"/>
      <c r="V622" s="51"/>
      <c r="W622" s="51"/>
      <c r="X622" s="51"/>
      <c r="Y622" s="51"/>
      <c r="Z622" s="51"/>
      <c r="AA622" s="51"/>
      <c r="AB622" s="51"/>
      <c r="AC622" s="51"/>
    </row>
    <row r="623">
      <c r="C623" s="50"/>
      <c r="D623" s="50"/>
      <c r="E623" s="50"/>
      <c r="F623" s="50"/>
      <c r="G623" s="50"/>
      <c r="H623" s="50"/>
      <c r="I623" s="50"/>
      <c r="J623" s="50"/>
      <c r="K623" s="79"/>
      <c r="U623" s="51"/>
      <c r="V623" s="51"/>
      <c r="W623" s="51"/>
      <c r="X623" s="51"/>
      <c r="Y623" s="51"/>
      <c r="Z623" s="51"/>
      <c r="AA623" s="51"/>
      <c r="AB623" s="51"/>
      <c r="AC623" s="51"/>
    </row>
    <row r="624">
      <c r="C624" s="50"/>
      <c r="D624" s="50"/>
      <c r="E624" s="50"/>
      <c r="F624" s="50"/>
      <c r="G624" s="50"/>
      <c r="H624" s="50"/>
      <c r="I624" s="50"/>
      <c r="J624" s="50"/>
      <c r="K624" s="79"/>
      <c r="U624" s="51"/>
      <c r="V624" s="51"/>
      <c r="W624" s="51"/>
      <c r="X624" s="51"/>
      <c r="Y624" s="51"/>
      <c r="Z624" s="51"/>
      <c r="AA624" s="51"/>
      <c r="AB624" s="51"/>
      <c r="AC624" s="51"/>
    </row>
    <row r="625">
      <c r="C625" s="50"/>
      <c r="D625" s="50"/>
      <c r="E625" s="50"/>
      <c r="F625" s="50"/>
      <c r="G625" s="50"/>
      <c r="H625" s="50"/>
      <c r="I625" s="50"/>
      <c r="J625" s="50"/>
      <c r="K625" s="79"/>
      <c r="U625" s="51"/>
      <c r="V625" s="51"/>
      <c r="W625" s="51"/>
      <c r="X625" s="51"/>
      <c r="Y625" s="51"/>
      <c r="Z625" s="51"/>
      <c r="AA625" s="51"/>
      <c r="AB625" s="51"/>
      <c r="AC625" s="51"/>
    </row>
    <row r="626">
      <c r="C626" s="50"/>
      <c r="D626" s="50"/>
      <c r="E626" s="50"/>
      <c r="F626" s="50"/>
      <c r="G626" s="50"/>
      <c r="H626" s="50"/>
      <c r="I626" s="50"/>
      <c r="J626" s="50"/>
      <c r="K626" s="79"/>
      <c r="U626" s="51"/>
      <c r="V626" s="51"/>
      <c r="W626" s="51"/>
      <c r="X626" s="51"/>
      <c r="Y626" s="51"/>
      <c r="Z626" s="51"/>
      <c r="AA626" s="51"/>
      <c r="AB626" s="51"/>
      <c r="AC626" s="51"/>
    </row>
    <row r="627">
      <c r="C627" s="50"/>
      <c r="D627" s="50"/>
      <c r="E627" s="50"/>
      <c r="F627" s="50"/>
      <c r="G627" s="50"/>
      <c r="H627" s="50"/>
      <c r="I627" s="50"/>
      <c r="J627" s="50"/>
      <c r="K627" s="79"/>
      <c r="U627" s="51"/>
      <c r="V627" s="51"/>
      <c r="W627" s="51"/>
      <c r="X627" s="51"/>
      <c r="Y627" s="51"/>
      <c r="Z627" s="51"/>
      <c r="AA627" s="51"/>
      <c r="AB627" s="51"/>
      <c r="AC627" s="51"/>
    </row>
    <row r="628">
      <c r="C628" s="50"/>
      <c r="D628" s="50"/>
      <c r="E628" s="50"/>
      <c r="F628" s="50"/>
      <c r="G628" s="50"/>
      <c r="H628" s="50"/>
      <c r="I628" s="50"/>
      <c r="J628" s="50"/>
      <c r="K628" s="79"/>
      <c r="U628" s="51"/>
      <c r="V628" s="51"/>
      <c r="W628" s="51"/>
      <c r="X628" s="51"/>
      <c r="Y628" s="51"/>
      <c r="Z628" s="51"/>
      <c r="AA628" s="51"/>
      <c r="AB628" s="51"/>
      <c r="AC628" s="51"/>
    </row>
    <row r="629">
      <c r="C629" s="50"/>
      <c r="D629" s="50"/>
      <c r="E629" s="50"/>
      <c r="F629" s="50"/>
      <c r="G629" s="50"/>
      <c r="H629" s="50"/>
      <c r="I629" s="50"/>
      <c r="J629" s="50"/>
      <c r="K629" s="79"/>
      <c r="U629" s="51"/>
      <c r="V629" s="51"/>
      <c r="W629" s="51"/>
      <c r="X629" s="51"/>
      <c r="Y629" s="51"/>
      <c r="Z629" s="51"/>
      <c r="AA629" s="51"/>
      <c r="AB629" s="51"/>
      <c r="AC629" s="51"/>
    </row>
    <row r="630">
      <c r="C630" s="50"/>
      <c r="D630" s="50"/>
      <c r="E630" s="50"/>
      <c r="F630" s="50"/>
      <c r="G630" s="50"/>
      <c r="H630" s="50"/>
      <c r="I630" s="50"/>
      <c r="J630" s="50"/>
      <c r="K630" s="79"/>
      <c r="U630" s="51"/>
      <c r="V630" s="51"/>
      <c r="W630" s="51"/>
      <c r="X630" s="51"/>
      <c r="Y630" s="51"/>
      <c r="Z630" s="51"/>
      <c r="AA630" s="51"/>
      <c r="AB630" s="51"/>
      <c r="AC630" s="51"/>
    </row>
    <row r="631">
      <c r="C631" s="50"/>
      <c r="D631" s="50"/>
      <c r="E631" s="50"/>
      <c r="F631" s="50"/>
      <c r="G631" s="50"/>
      <c r="H631" s="50"/>
      <c r="I631" s="50"/>
      <c r="J631" s="50"/>
      <c r="K631" s="79"/>
      <c r="U631" s="51"/>
      <c r="V631" s="51"/>
      <c r="W631" s="51"/>
      <c r="X631" s="51"/>
      <c r="Y631" s="51"/>
      <c r="Z631" s="51"/>
      <c r="AA631" s="51"/>
      <c r="AB631" s="51"/>
      <c r="AC631" s="51"/>
    </row>
    <row r="632">
      <c r="C632" s="50"/>
      <c r="D632" s="50"/>
      <c r="E632" s="50"/>
      <c r="F632" s="50"/>
      <c r="G632" s="50"/>
      <c r="H632" s="50"/>
      <c r="I632" s="50"/>
      <c r="J632" s="50"/>
      <c r="K632" s="79"/>
      <c r="U632" s="51"/>
      <c r="V632" s="51"/>
      <c r="W632" s="51"/>
      <c r="X632" s="51"/>
      <c r="Y632" s="51"/>
      <c r="Z632" s="51"/>
      <c r="AA632" s="51"/>
      <c r="AB632" s="51"/>
      <c r="AC632" s="51"/>
    </row>
    <row r="633">
      <c r="C633" s="50"/>
      <c r="D633" s="50"/>
      <c r="E633" s="50"/>
      <c r="F633" s="50"/>
      <c r="G633" s="50"/>
      <c r="H633" s="50"/>
      <c r="I633" s="50"/>
      <c r="J633" s="50"/>
      <c r="K633" s="79"/>
      <c r="U633" s="51"/>
      <c r="V633" s="51"/>
      <c r="W633" s="51"/>
      <c r="X633" s="51"/>
      <c r="Y633" s="51"/>
      <c r="Z633" s="51"/>
      <c r="AA633" s="51"/>
      <c r="AB633" s="51"/>
      <c r="AC633" s="51"/>
    </row>
    <row r="634">
      <c r="C634" s="50"/>
      <c r="D634" s="50"/>
      <c r="E634" s="50"/>
      <c r="F634" s="50"/>
      <c r="G634" s="50"/>
      <c r="H634" s="50"/>
      <c r="I634" s="50"/>
      <c r="J634" s="50"/>
      <c r="K634" s="79"/>
      <c r="U634" s="51"/>
      <c r="V634" s="51"/>
      <c r="W634" s="51"/>
      <c r="X634" s="51"/>
      <c r="Y634" s="51"/>
      <c r="Z634" s="51"/>
      <c r="AA634" s="51"/>
      <c r="AB634" s="51"/>
      <c r="AC634" s="51"/>
    </row>
    <row r="635">
      <c r="C635" s="50"/>
      <c r="D635" s="50"/>
      <c r="E635" s="50"/>
      <c r="F635" s="50"/>
      <c r="G635" s="50"/>
      <c r="H635" s="50"/>
      <c r="I635" s="50"/>
      <c r="J635" s="50"/>
      <c r="K635" s="79"/>
      <c r="U635" s="51"/>
      <c r="V635" s="51"/>
      <c r="W635" s="51"/>
      <c r="X635" s="51"/>
      <c r="Y635" s="51"/>
      <c r="Z635" s="51"/>
      <c r="AA635" s="51"/>
      <c r="AB635" s="51"/>
      <c r="AC635" s="51"/>
    </row>
    <row r="636">
      <c r="C636" s="50"/>
      <c r="D636" s="50"/>
      <c r="E636" s="50"/>
      <c r="F636" s="50"/>
      <c r="G636" s="50"/>
      <c r="H636" s="50"/>
      <c r="I636" s="50"/>
      <c r="J636" s="50"/>
      <c r="K636" s="79"/>
      <c r="U636" s="51"/>
      <c r="V636" s="51"/>
      <c r="W636" s="51"/>
      <c r="X636" s="51"/>
      <c r="Y636" s="51"/>
      <c r="Z636" s="51"/>
      <c r="AA636" s="51"/>
      <c r="AB636" s="51"/>
      <c r="AC636" s="51"/>
    </row>
    <row r="637">
      <c r="C637" s="50"/>
      <c r="D637" s="50"/>
      <c r="E637" s="50"/>
      <c r="F637" s="50"/>
      <c r="G637" s="50"/>
      <c r="H637" s="50"/>
      <c r="I637" s="50"/>
      <c r="J637" s="50"/>
      <c r="K637" s="79"/>
      <c r="U637" s="51"/>
      <c r="V637" s="51"/>
      <c r="W637" s="51"/>
      <c r="X637" s="51"/>
      <c r="Y637" s="51"/>
      <c r="Z637" s="51"/>
      <c r="AA637" s="51"/>
      <c r="AB637" s="51"/>
      <c r="AC637" s="51"/>
    </row>
    <row r="638">
      <c r="C638" s="50"/>
      <c r="D638" s="50"/>
      <c r="E638" s="50"/>
      <c r="F638" s="50"/>
      <c r="G638" s="50"/>
      <c r="H638" s="50"/>
      <c r="I638" s="50"/>
      <c r="J638" s="50"/>
      <c r="K638" s="79"/>
      <c r="U638" s="51"/>
      <c r="V638" s="51"/>
      <c r="W638" s="51"/>
      <c r="X638" s="51"/>
      <c r="Y638" s="51"/>
      <c r="Z638" s="51"/>
      <c r="AA638" s="51"/>
      <c r="AB638" s="51"/>
      <c r="AC638" s="51"/>
    </row>
    <row r="639">
      <c r="C639" s="50"/>
      <c r="D639" s="50"/>
      <c r="E639" s="50"/>
      <c r="F639" s="50"/>
      <c r="G639" s="50"/>
      <c r="H639" s="50"/>
      <c r="I639" s="50"/>
      <c r="J639" s="50"/>
      <c r="K639" s="79"/>
      <c r="U639" s="51"/>
      <c r="V639" s="51"/>
      <c r="W639" s="51"/>
      <c r="X639" s="51"/>
      <c r="Y639" s="51"/>
      <c r="Z639" s="51"/>
      <c r="AA639" s="51"/>
      <c r="AB639" s="51"/>
      <c r="AC639" s="51"/>
    </row>
    <row r="640">
      <c r="C640" s="50"/>
      <c r="D640" s="50"/>
      <c r="E640" s="50"/>
      <c r="F640" s="50"/>
      <c r="G640" s="50"/>
      <c r="H640" s="50"/>
      <c r="I640" s="50"/>
      <c r="J640" s="50"/>
      <c r="K640" s="79"/>
      <c r="U640" s="51"/>
      <c r="V640" s="51"/>
      <c r="W640" s="51"/>
      <c r="X640" s="51"/>
      <c r="Y640" s="51"/>
      <c r="Z640" s="51"/>
      <c r="AA640" s="51"/>
      <c r="AB640" s="51"/>
      <c r="AC640" s="51"/>
    </row>
    <row r="641">
      <c r="C641" s="50"/>
      <c r="D641" s="50"/>
      <c r="E641" s="50"/>
      <c r="F641" s="50"/>
      <c r="G641" s="50"/>
      <c r="H641" s="50"/>
      <c r="I641" s="50"/>
      <c r="J641" s="50"/>
      <c r="K641" s="79"/>
      <c r="U641" s="51"/>
      <c r="V641" s="51"/>
      <c r="W641" s="51"/>
      <c r="X641" s="51"/>
      <c r="Y641" s="51"/>
      <c r="Z641" s="51"/>
      <c r="AA641" s="51"/>
      <c r="AB641" s="51"/>
      <c r="AC641" s="51"/>
    </row>
    <row r="642">
      <c r="C642" s="50"/>
      <c r="D642" s="50"/>
      <c r="E642" s="50"/>
      <c r="F642" s="50"/>
      <c r="G642" s="50"/>
      <c r="H642" s="50"/>
      <c r="I642" s="50"/>
      <c r="J642" s="50"/>
      <c r="K642" s="79"/>
      <c r="U642" s="51"/>
      <c r="V642" s="51"/>
      <c r="W642" s="51"/>
      <c r="X642" s="51"/>
      <c r="Y642" s="51"/>
      <c r="Z642" s="51"/>
      <c r="AA642" s="51"/>
      <c r="AB642" s="51"/>
      <c r="AC642" s="51"/>
    </row>
    <row r="643">
      <c r="C643" s="50"/>
      <c r="D643" s="50"/>
      <c r="E643" s="50"/>
      <c r="F643" s="50"/>
      <c r="G643" s="50"/>
      <c r="H643" s="50"/>
      <c r="I643" s="50"/>
      <c r="J643" s="50"/>
      <c r="K643" s="79"/>
      <c r="U643" s="51"/>
      <c r="V643" s="51"/>
      <c r="W643" s="51"/>
      <c r="X643" s="51"/>
      <c r="Y643" s="51"/>
      <c r="Z643" s="51"/>
      <c r="AA643" s="51"/>
      <c r="AB643" s="51"/>
      <c r="AC643" s="51"/>
    </row>
    <row r="644">
      <c r="C644" s="50"/>
      <c r="D644" s="50"/>
      <c r="E644" s="50"/>
      <c r="F644" s="50"/>
      <c r="G644" s="50"/>
      <c r="H644" s="50"/>
      <c r="I644" s="50"/>
      <c r="J644" s="50"/>
      <c r="K644" s="79"/>
      <c r="U644" s="51"/>
      <c r="V644" s="51"/>
      <c r="W644" s="51"/>
      <c r="X644" s="51"/>
      <c r="Y644" s="51"/>
      <c r="Z644" s="51"/>
      <c r="AA644" s="51"/>
      <c r="AB644" s="51"/>
      <c r="AC644" s="51"/>
    </row>
    <row r="645">
      <c r="C645" s="50"/>
      <c r="D645" s="50"/>
      <c r="E645" s="50"/>
      <c r="F645" s="50"/>
      <c r="G645" s="50"/>
      <c r="H645" s="50"/>
      <c r="I645" s="50"/>
      <c r="J645" s="50"/>
      <c r="K645" s="79"/>
      <c r="U645" s="51"/>
      <c r="V645" s="51"/>
      <c r="W645" s="51"/>
      <c r="X645" s="51"/>
      <c r="Y645" s="51"/>
      <c r="Z645" s="51"/>
      <c r="AA645" s="51"/>
      <c r="AB645" s="51"/>
      <c r="AC645" s="51"/>
    </row>
    <row r="646">
      <c r="C646" s="50"/>
      <c r="D646" s="50"/>
      <c r="E646" s="50"/>
      <c r="F646" s="50"/>
      <c r="G646" s="50"/>
      <c r="H646" s="50"/>
      <c r="I646" s="50"/>
      <c r="J646" s="50"/>
      <c r="K646" s="79"/>
      <c r="U646" s="51"/>
      <c r="V646" s="51"/>
      <c r="W646" s="51"/>
      <c r="X646" s="51"/>
      <c r="Y646" s="51"/>
      <c r="Z646" s="51"/>
      <c r="AA646" s="51"/>
      <c r="AB646" s="51"/>
      <c r="AC646" s="51"/>
    </row>
    <row r="647">
      <c r="C647" s="50"/>
      <c r="D647" s="50"/>
      <c r="E647" s="50"/>
      <c r="F647" s="50"/>
      <c r="G647" s="50"/>
      <c r="H647" s="50"/>
      <c r="I647" s="50"/>
      <c r="J647" s="50"/>
      <c r="K647" s="79"/>
      <c r="U647" s="51"/>
      <c r="V647" s="51"/>
      <c r="W647" s="51"/>
      <c r="X647" s="51"/>
      <c r="Y647" s="51"/>
      <c r="Z647" s="51"/>
      <c r="AA647" s="51"/>
      <c r="AB647" s="51"/>
      <c r="AC647" s="51"/>
    </row>
    <row r="648">
      <c r="C648" s="50"/>
      <c r="D648" s="50"/>
      <c r="E648" s="50"/>
      <c r="F648" s="50"/>
      <c r="G648" s="50"/>
      <c r="H648" s="50"/>
      <c r="I648" s="50"/>
      <c r="J648" s="50"/>
      <c r="K648" s="79"/>
      <c r="U648" s="51"/>
      <c r="V648" s="51"/>
      <c r="W648" s="51"/>
      <c r="X648" s="51"/>
      <c r="Y648" s="51"/>
      <c r="Z648" s="51"/>
      <c r="AA648" s="51"/>
      <c r="AB648" s="51"/>
      <c r="AC648" s="51"/>
    </row>
    <row r="649">
      <c r="C649" s="50"/>
      <c r="D649" s="50"/>
      <c r="E649" s="50"/>
      <c r="F649" s="50"/>
      <c r="G649" s="50"/>
      <c r="H649" s="50"/>
      <c r="I649" s="50"/>
      <c r="J649" s="50"/>
      <c r="K649" s="79"/>
      <c r="U649" s="51"/>
      <c r="V649" s="51"/>
      <c r="W649" s="51"/>
      <c r="X649" s="51"/>
      <c r="Y649" s="51"/>
      <c r="Z649" s="51"/>
      <c r="AA649" s="51"/>
      <c r="AB649" s="51"/>
      <c r="AC649" s="51"/>
    </row>
    <row r="650">
      <c r="C650" s="50"/>
      <c r="D650" s="50"/>
      <c r="E650" s="50"/>
      <c r="F650" s="50"/>
      <c r="G650" s="50"/>
      <c r="H650" s="50"/>
      <c r="I650" s="50"/>
      <c r="J650" s="50"/>
      <c r="K650" s="79"/>
      <c r="U650" s="51"/>
      <c r="V650" s="51"/>
      <c r="W650" s="51"/>
      <c r="X650" s="51"/>
      <c r="Y650" s="51"/>
      <c r="Z650" s="51"/>
      <c r="AA650" s="51"/>
      <c r="AB650" s="51"/>
      <c r="AC650" s="51"/>
    </row>
    <row r="651">
      <c r="C651" s="50"/>
      <c r="D651" s="50"/>
      <c r="E651" s="50"/>
      <c r="F651" s="50"/>
      <c r="G651" s="50"/>
      <c r="H651" s="50"/>
      <c r="I651" s="50"/>
      <c r="J651" s="50"/>
      <c r="K651" s="79"/>
      <c r="U651" s="51"/>
      <c r="V651" s="51"/>
      <c r="W651" s="51"/>
      <c r="X651" s="51"/>
      <c r="Y651" s="51"/>
      <c r="Z651" s="51"/>
      <c r="AA651" s="51"/>
      <c r="AB651" s="51"/>
      <c r="AC651" s="51"/>
    </row>
    <row r="652">
      <c r="C652" s="50"/>
      <c r="D652" s="50"/>
      <c r="E652" s="50"/>
      <c r="F652" s="50"/>
      <c r="G652" s="50"/>
      <c r="H652" s="50"/>
      <c r="I652" s="50"/>
      <c r="J652" s="50"/>
      <c r="K652" s="79"/>
      <c r="U652" s="51"/>
      <c r="V652" s="51"/>
      <c r="W652" s="51"/>
      <c r="X652" s="51"/>
      <c r="Y652" s="51"/>
      <c r="Z652" s="51"/>
      <c r="AA652" s="51"/>
      <c r="AB652" s="51"/>
      <c r="AC652" s="51"/>
    </row>
    <row r="653">
      <c r="C653" s="50"/>
      <c r="D653" s="50"/>
      <c r="E653" s="50"/>
      <c r="F653" s="50"/>
      <c r="G653" s="50"/>
      <c r="H653" s="50"/>
      <c r="I653" s="50"/>
      <c r="J653" s="50"/>
      <c r="K653" s="79"/>
      <c r="U653" s="51"/>
      <c r="V653" s="51"/>
      <c r="W653" s="51"/>
      <c r="X653" s="51"/>
      <c r="Y653" s="51"/>
      <c r="Z653" s="51"/>
      <c r="AA653" s="51"/>
      <c r="AB653" s="51"/>
      <c r="AC653" s="51"/>
    </row>
    <row r="654">
      <c r="C654" s="50"/>
      <c r="D654" s="50"/>
      <c r="E654" s="50"/>
      <c r="F654" s="50"/>
      <c r="G654" s="50"/>
      <c r="H654" s="50"/>
      <c r="I654" s="50"/>
      <c r="J654" s="50"/>
      <c r="K654" s="79"/>
      <c r="U654" s="51"/>
      <c r="V654" s="51"/>
      <c r="W654" s="51"/>
      <c r="X654" s="51"/>
      <c r="Y654" s="51"/>
      <c r="Z654" s="51"/>
      <c r="AA654" s="51"/>
      <c r="AB654" s="51"/>
      <c r="AC654" s="51"/>
    </row>
    <row r="655">
      <c r="C655" s="50"/>
      <c r="D655" s="50"/>
      <c r="E655" s="50"/>
      <c r="F655" s="50"/>
      <c r="G655" s="50"/>
      <c r="H655" s="50"/>
      <c r="I655" s="50"/>
      <c r="J655" s="50"/>
      <c r="K655" s="79"/>
      <c r="U655" s="51"/>
      <c r="V655" s="51"/>
      <c r="W655" s="51"/>
      <c r="X655" s="51"/>
      <c r="Y655" s="51"/>
      <c r="Z655" s="51"/>
      <c r="AA655" s="51"/>
      <c r="AB655" s="51"/>
      <c r="AC655" s="51"/>
    </row>
    <row r="656">
      <c r="C656" s="50"/>
      <c r="D656" s="50"/>
      <c r="E656" s="50"/>
      <c r="F656" s="50"/>
      <c r="G656" s="50"/>
      <c r="H656" s="50"/>
      <c r="I656" s="50"/>
      <c r="J656" s="50"/>
      <c r="K656" s="79"/>
      <c r="U656" s="51"/>
      <c r="V656" s="51"/>
      <c r="W656" s="51"/>
      <c r="X656" s="51"/>
      <c r="Y656" s="51"/>
      <c r="Z656" s="51"/>
      <c r="AA656" s="51"/>
      <c r="AB656" s="51"/>
      <c r="AC656" s="51"/>
    </row>
    <row r="657">
      <c r="C657" s="50"/>
      <c r="D657" s="50"/>
      <c r="E657" s="50"/>
      <c r="F657" s="50"/>
      <c r="G657" s="50"/>
      <c r="H657" s="50"/>
      <c r="I657" s="50"/>
      <c r="J657" s="50"/>
      <c r="K657" s="79"/>
      <c r="U657" s="51"/>
      <c r="V657" s="51"/>
      <c r="W657" s="51"/>
      <c r="X657" s="51"/>
      <c r="Y657" s="51"/>
      <c r="Z657" s="51"/>
      <c r="AA657" s="51"/>
      <c r="AB657" s="51"/>
      <c r="AC657" s="51"/>
    </row>
    <row r="658">
      <c r="C658" s="50"/>
      <c r="D658" s="50"/>
      <c r="E658" s="50"/>
      <c r="F658" s="50"/>
      <c r="G658" s="50"/>
      <c r="H658" s="50"/>
      <c r="I658" s="50"/>
      <c r="J658" s="50"/>
      <c r="K658" s="79"/>
      <c r="U658" s="51"/>
      <c r="V658" s="51"/>
      <c r="W658" s="51"/>
      <c r="X658" s="51"/>
      <c r="Y658" s="51"/>
      <c r="Z658" s="51"/>
      <c r="AA658" s="51"/>
      <c r="AB658" s="51"/>
      <c r="AC658" s="51"/>
    </row>
    <row r="659">
      <c r="C659" s="50"/>
      <c r="D659" s="50"/>
      <c r="E659" s="50"/>
      <c r="F659" s="50"/>
      <c r="G659" s="50"/>
      <c r="H659" s="50"/>
      <c r="I659" s="50"/>
      <c r="J659" s="50"/>
      <c r="K659" s="79"/>
      <c r="U659" s="51"/>
      <c r="V659" s="51"/>
      <c r="W659" s="51"/>
      <c r="X659" s="51"/>
      <c r="Y659" s="51"/>
      <c r="Z659" s="51"/>
      <c r="AA659" s="51"/>
      <c r="AB659" s="51"/>
      <c r="AC659" s="51"/>
    </row>
    <row r="660">
      <c r="C660" s="50"/>
      <c r="D660" s="50"/>
      <c r="E660" s="50"/>
      <c r="F660" s="50"/>
      <c r="G660" s="50"/>
      <c r="H660" s="50"/>
      <c r="I660" s="50"/>
      <c r="J660" s="50"/>
      <c r="K660" s="79"/>
      <c r="U660" s="51"/>
      <c r="V660" s="51"/>
      <c r="W660" s="51"/>
      <c r="X660" s="51"/>
      <c r="Y660" s="51"/>
      <c r="Z660" s="51"/>
      <c r="AA660" s="51"/>
      <c r="AB660" s="51"/>
      <c r="AC660" s="51"/>
    </row>
    <row r="661">
      <c r="C661" s="50"/>
      <c r="D661" s="50"/>
      <c r="E661" s="50"/>
      <c r="F661" s="50"/>
      <c r="G661" s="50"/>
      <c r="H661" s="50"/>
      <c r="I661" s="50"/>
      <c r="J661" s="50"/>
      <c r="K661" s="79"/>
      <c r="U661" s="51"/>
      <c r="V661" s="51"/>
      <c r="W661" s="51"/>
      <c r="X661" s="51"/>
      <c r="Y661" s="51"/>
      <c r="Z661" s="51"/>
      <c r="AA661" s="51"/>
      <c r="AB661" s="51"/>
      <c r="AC661" s="51"/>
    </row>
    <row r="662">
      <c r="C662" s="50"/>
      <c r="D662" s="50"/>
      <c r="E662" s="50"/>
      <c r="F662" s="50"/>
      <c r="G662" s="50"/>
      <c r="H662" s="50"/>
      <c r="I662" s="50"/>
      <c r="J662" s="50"/>
      <c r="K662" s="79"/>
      <c r="U662" s="51"/>
      <c r="V662" s="51"/>
      <c r="W662" s="51"/>
      <c r="X662" s="51"/>
      <c r="Y662" s="51"/>
      <c r="Z662" s="51"/>
      <c r="AA662" s="51"/>
      <c r="AB662" s="51"/>
      <c r="AC662" s="51"/>
    </row>
    <row r="663">
      <c r="C663" s="50"/>
      <c r="D663" s="50"/>
      <c r="E663" s="50"/>
      <c r="F663" s="50"/>
      <c r="G663" s="50"/>
      <c r="H663" s="50"/>
      <c r="I663" s="50"/>
      <c r="J663" s="50"/>
      <c r="K663" s="79"/>
      <c r="U663" s="51"/>
      <c r="V663" s="51"/>
      <c r="W663" s="51"/>
      <c r="X663" s="51"/>
      <c r="Y663" s="51"/>
      <c r="Z663" s="51"/>
      <c r="AA663" s="51"/>
      <c r="AB663" s="51"/>
      <c r="AC663" s="51"/>
    </row>
    <row r="664">
      <c r="C664" s="50"/>
      <c r="D664" s="50"/>
      <c r="E664" s="50"/>
      <c r="F664" s="50"/>
      <c r="G664" s="50"/>
      <c r="H664" s="50"/>
      <c r="I664" s="50"/>
      <c r="J664" s="50"/>
      <c r="K664" s="79"/>
      <c r="U664" s="51"/>
      <c r="V664" s="51"/>
      <c r="W664" s="51"/>
      <c r="X664" s="51"/>
      <c r="Y664" s="51"/>
      <c r="Z664" s="51"/>
      <c r="AA664" s="51"/>
      <c r="AB664" s="51"/>
      <c r="AC664" s="51"/>
    </row>
    <row r="665">
      <c r="C665" s="50"/>
      <c r="D665" s="50"/>
      <c r="E665" s="50"/>
      <c r="F665" s="50"/>
      <c r="G665" s="50"/>
      <c r="H665" s="50"/>
      <c r="I665" s="50"/>
      <c r="J665" s="50"/>
      <c r="K665" s="79"/>
      <c r="U665" s="51"/>
      <c r="V665" s="51"/>
      <c r="W665" s="51"/>
      <c r="X665" s="51"/>
      <c r="Y665" s="51"/>
      <c r="Z665" s="51"/>
      <c r="AA665" s="51"/>
      <c r="AB665" s="51"/>
      <c r="AC665" s="51"/>
    </row>
    <row r="666">
      <c r="C666" s="50"/>
      <c r="D666" s="50"/>
      <c r="E666" s="50"/>
      <c r="F666" s="50"/>
      <c r="G666" s="50"/>
      <c r="H666" s="50"/>
      <c r="I666" s="50"/>
      <c r="J666" s="50"/>
      <c r="K666" s="79"/>
      <c r="U666" s="51"/>
      <c r="V666" s="51"/>
      <c r="W666" s="51"/>
      <c r="X666" s="51"/>
      <c r="Y666" s="51"/>
      <c r="Z666" s="51"/>
      <c r="AA666" s="51"/>
      <c r="AB666" s="51"/>
      <c r="AC666" s="51"/>
    </row>
    <row r="667">
      <c r="C667" s="50"/>
      <c r="D667" s="50"/>
      <c r="E667" s="50"/>
      <c r="F667" s="50"/>
      <c r="G667" s="50"/>
      <c r="H667" s="50"/>
      <c r="I667" s="50"/>
      <c r="J667" s="50"/>
      <c r="K667" s="79"/>
      <c r="U667" s="51"/>
      <c r="V667" s="51"/>
      <c r="W667" s="51"/>
      <c r="X667" s="51"/>
      <c r="Y667" s="51"/>
      <c r="Z667" s="51"/>
      <c r="AA667" s="51"/>
      <c r="AB667" s="51"/>
      <c r="AC667" s="51"/>
    </row>
    <row r="668">
      <c r="C668" s="50"/>
      <c r="D668" s="50"/>
      <c r="E668" s="50"/>
      <c r="F668" s="50"/>
      <c r="G668" s="50"/>
      <c r="H668" s="50"/>
      <c r="I668" s="50"/>
      <c r="J668" s="50"/>
      <c r="K668" s="79"/>
      <c r="U668" s="51"/>
      <c r="V668" s="51"/>
      <c r="W668" s="51"/>
      <c r="X668" s="51"/>
      <c r="Y668" s="51"/>
      <c r="Z668" s="51"/>
      <c r="AA668" s="51"/>
      <c r="AB668" s="51"/>
      <c r="AC668" s="51"/>
    </row>
    <row r="669">
      <c r="C669" s="50"/>
      <c r="D669" s="50"/>
      <c r="E669" s="50"/>
      <c r="F669" s="50"/>
      <c r="G669" s="50"/>
      <c r="H669" s="50"/>
      <c r="I669" s="50"/>
      <c r="J669" s="50"/>
      <c r="K669" s="79"/>
      <c r="U669" s="51"/>
      <c r="V669" s="51"/>
      <c r="W669" s="51"/>
      <c r="X669" s="51"/>
      <c r="Y669" s="51"/>
      <c r="Z669" s="51"/>
      <c r="AA669" s="51"/>
      <c r="AB669" s="51"/>
      <c r="AC669" s="51"/>
    </row>
    <row r="670">
      <c r="C670" s="50"/>
      <c r="D670" s="50"/>
      <c r="E670" s="50"/>
      <c r="F670" s="50"/>
      <c r="G670" s="50"/>
      <c r="H670" s="50"/>
      <c r="I670" s="50"/>
      <c r="J670" s="50"/>
      <c r="K670" s="79"/>
      <c r="U670" s="51"/>
      <c r="V670" s="51"/>
      <c r="W670" s="51"/>
      <c r="X670" s="51"/>
      <c r="Y670" s="51"/>
      <c r="Z670" s="51"/>
      <c r="AA670" s="51"/>
      <c r="AB670" s="51"/>
      <c r="AC670" s="51"/>
    </row>
    <row r="671">
      <c r="C671" s="50"/>
      <c r="D671" s="50"/>
      <c r="E671" s="50"/>
      <c r="F671" s="50"/>
      <c r="G671" s="50"/>
      <c r="H671" s="50"/>
      <c r="I671" s="50"/>
      <c r="J671" s="50"/>
      <c r="K671" s="79"/>
      <c r="U671" s="51"/>
      <c r="V671" s="51"/>
      <c r="W671" s="51"/>
      <c r="X671" s="51"/>
      <c r="Y671" s="51"/>
      <c r="Z671" s="51"/>
      <c r="AA671" s="51"/>
      <c r="AB671" s="51"/>
      <c r="AC671" s="51"/>
    </row>
    <row r="672">
      <c r="C672" s="50"/>
      <c r="D672" s="50"/>
      <c r="E672" s="50"/>
      <c r="F672" s="50"/>
      <c r="G672" s="50"/>
      <c r="H672" s="50"/>
      <c r="I672" s="50"/>
      <c r="J672" s="50"/>
      <c r="K672" s="79"/>
      <c r="U672" s="51"/>
      <c r="V672" s="51"/>
      <c r="W672" s="51"/>
      <c r="X672" s="51"/>
      <c r="Y672" s="51"/>
      <c r="Z672" s="51"/>
      <c r="AA672" s="51"/>
      <c r="AB672" s="51"/>
      <c r="AC672" s="51"/>
    </row>
    <row r="673">
      <c r="C673" s="50"/>
      <c r="D673" s="50"/>
      <c r="E673" s="50"/>
      <c r="F673" s="50"/>
      <c r="G673" s="50"/>
      <c r="H673" s="50"/>
      <c r="I673" s="50"/>
      <c r="J673" s="50"/>
      <c r="K673" s="79"/>
      <c r="U673" s="51"/>
      <c r="V673" s="51"/>
      <c r="W673" s="51"/>
      <c r="X673" s="51"/>
      <c r="Y673" s="51"/>
      <c r="Z673" s="51"/>
      <c r="AA673" s="51"/>
      <c r="AB673" s="51"/>
      <c r="AC673" s="51"/>
    </row>
    <row r="674">
      <c r="C674" s="50"/>
      <c r="D674" s="50"/>
      <c r="E674" s="50"/>
      <c r="F674" s="50"/>
      <c r="G674" s="50"/>
      <c r="H674" s="50"/>
      <c r="I674" s="50"/>
      <c r="J674" s="50"/>
      <c r="K674" s="79"/>
      <c r="U674" s="51"/>
      <c r="V674" s="51"/>
      <c r="W674" s="51"/>
      <c r="X674" s="51"/>
      <c r="Y674" s="51"/>
      <c r="Z674" s="51"/>
      <c r="AA674" s="51"/>
      <c r="AB674" s="51"/>
      <c r="AC674" s="51"/>
    </row>
    <row r="675">
      <c r="C675" s="50"/>
      <c r="D675" s="50"/>
      <c r="E675" s="50"/>
      <c r="F675" s="50"/>
      <c r="G675" s="50"/>
      <c r="H675" s="50"/>
      <c r="I675" s="50"/>
      <c r="J675" s="50"/>
      <c r="K675" s="79"/>
      <c r="U675" s="51"/>
      <c r="V675" s="51"/>
      <c r="W675" s="51"/>
      <c r="X675" s="51"/>
      <c r="Y675" s="51"/>
      <c r="Z675" s="51"/>
      <c r="AA675" s="51"/>
      <c r="AB675" s="51"/>
      <c r="AC675" s="51"/>
    </row>
    <row r="676">
      <c r="C676" s="50"/>
      <c r="D676" s="50"/>
      <c r="E676" s="50"/>
      <c r="F676" s="50"/>
      <c r="G676" s="50"/>
      <c r="H676" s="50"/>
      <c r="I676" s="50"/>
      <c r="J676" s="50"/>
      <c r="K676" s="79"/>
      <c r="U676" s="51"/>
      <c r="V676" s="51"/>
      <c r="W676" s="51"/>
      <c r="X676" s="51"/>
      <c r="Y676" s="51"/>
      <c r="Z676" s="51"/>
      <c r="AA676" s="51"/>
      <c r="AB676" s="51"/>
      <c r="AC676" s="51"/>
    </row>
    <row r="677">
      <c r="C677" s="50"/>
      <c r="D677" s="50"/>
      <c r="E677" s="50"/>
      <c r="F677" s="50"/>
      <c r="G677" s="50"/>
      <c r="H677" s="50"/>
      <c r="I677" s="50"/>
      <c r="J677" s="50"/>
      <c r="K677" s="79"/>
      <c r="U677" s="51"/>
      <c r="V677" s="51"/>
      <c r="W677" s="51"/>
      <c r="X677" s="51"/>
      <c r="Y677" s="51"/>
      <c r="Z677" s="51"/>
      <c r="AA677" s="51"/>
      <c r="AB677" s="51"/>
      <c r="AC677" s="51"/>
    </row>
    <row r="678">
      <c r="C678" s="50"/>
      <c r="D678" s="50"/>
      <c r="E678" s="50"/>
      <c r="F678" s="50"/>
      <c r="G678" s="50"/>
      <c r="H678" s="50"/>
      <c r="I678" s="50"/>
      <c r="J678" s="50"/>
      <c r="K678" s="79"/>
      <c r="U678" s="51"/>
      <c r="V678" s="51"/>
      <c r="W678" s="51"/>
      <c r="X678" s="51"/>
      <c r="Y678" s="51"/>
      <c r="Z678" s="51"/>
      <c r="AA678" s="51"/>
      <c r="AB678" s="51"/>
      <c r="AC678" s="51"/>
    </row>
    <row r="679">
      <c r="C679" s="50"/>
      <c r="D679" s="50"/>
      <c r="E679" s="50"/>
      <c r="F679" s="50"/>
      <c r="G679" s="50"/>
      <c r="H679" s="50"/>
      <c r="I679" s="50"/>
      <c r="J679" s="50"/>
      <c r="K679" s="79"/>
      <c r="U679" s="51"/>
      <c r="V679" s="51"/>
      <c r="W679" s="51"/>
      <c r="X679" s="51"/>
      <c r="Y679" s="51"/>
      <c r="Z679" s="51"/>
      <c r="AA679" s="51"/>
      <c r="AB679" s="51"/>
      <c r="AC679" s="51"/>
    </row>
    <row r="680">
      <c r="C680" s="50"/>
      <c r="D680" s="50"/>
      <c r="E680" s="50"/>
      <c r="F680" s="50"/>
      <c r="G680" s="50"/>
      <c r="H680" s="50"/>
      <c r="I680" s="50"/>
      <c r="J680" s="50"/>
      <c r="K680" s="79"/>
      <c r="U680" s="51"/>
      <c r="V680" s="51"/>
      <c r="W680" s="51"/>
      <c r="X680" s="51"/>
      <c r="Y680" s="51"/>
      <c r="Z680" s="51"/>
      <c r="AA680" s="51"/>
      <c r="AB680" s="51"/>
      <c r="AC680" s="51"/>
    </row>
    <row r="681">
      <c r="C681" s="50"/>
      <c r="D681" s="50"/>
      <c r="E681" s="50"/>
      <c r="F681" s="50"/>
      <c r="G681" s="50"/>
      <c r="H681" s="50"/>
      <c r="I681" s="50"/>
      <c r="J681" s="50"/>
      <c r="K681" s="79"/>
      <c r="U681" s="51"/>
      <c r="V681" s="51"/>
      <c r="W681" s="51"/>
      <c r="X681" s="51"/>
      <c r="Y681" s="51"/>
      <c r="Z681" s="51"/>
      <c r="AA681" s="51"/>
      <c r="AB681" s="51"/>
      <c r="AC681" s="51"/>
    </row>
    <row r="682">
      <c r="C682" s="50"/>
      <c r="D682" s="50"/>
      <c r="E682" s="50"/>
      <c r="F682" s="50"/>
      <c r="G682" s="50"/>
      <c r="H682" s="50"/>
      <c r="I682" s="50"/>
      <c r="J682" s="50"/>
      <c r="K682" s="79"/>
      <c r="U682" s="51"/>
      <c r="V682" s="51"/>
      <c r="W682" s="51"/>
      <c r="X682" s="51"/>
      <c r="Y682" s="51"/>
      <c r="Z682" s="51"/>
      <c r="AA682" s="51"/>
      <c r="AB682" s="51"/>
      <c r="AC682" s="51"/>
    </row>
    <row r="683">
      <c r="C683" s="50"/>
      <c r="D683" s="50"/>
      <c r="E683" s="50"/>
      <c r="F683" s="50"/>
      <c r="G683" s="50"/>
      <c r="H683" s="50"/>
      <c r="I683" s="50"/>
      <c r="J683" s="50"/>
      <c r="K683" s="79"/>
      <c r="U683" s="51"/>
      <c r="V683" s="51"/>
      <c r="W683" s="51"/>
      <c r="X683" s="51"/>
      <c r="Y683" s="51"/>
      <c r="Z683" s="51"/>
      <c r="AA683" s="51"/>
      <c r="AB683" s="51"/>
      <c r="AC683" s="51"/>
    </row>
    <row r="684">
      <c r="C684" s="50"/>
      <c r="D684" s="50"/>
      <c r="E684" s="50"/>
      <c r="F684" s="50"/>
      <c r="G684" s="50"/>
      <c r="H684" s="50"/>
      <c r="I684" s="50"/>
      <c r="J684" s="50"/>
      <c r="K684" s="79"/>
      <c r="U684" s="51"/>
      <c r="V684" s="51"/>
      <c r="W684" s="51"/>
      <c r="X684" s="51"/>
      <c r="Y684" s="51"/>
      <c r="Z684" s="51"/>
      <c r="AA684" s="51"/>
      <c r="AB684" s="51"/>
      <c r="AC684" s="51"/>
    </row>
    <row r="685">
      <c r="C685" s="50"/>
      <c r="D685" s="50"/>
      <c r="E685" s="50"/>
      <c r="F685" s="50"/>
      <c r="G685" s="50"/>
      <c r="H685" s="50"/>
      <c r="I685" s="50"/>
      <c r="J685" s="50"/>
      <c r="K685" s="79"/>
      <c r="U685" s="51"/>
      <c r="V685" s="51"/>
      <c r="W685" s="51"/>
      <c r="X685" s="51"/>
      <c r="Y685" s="51"/>
      <c r="Z685" s="51"/>
      <c r="AA685" s="51"/>
      <c r="AB685" s="51"/>
      <c r="AC685" s="51"/>
    </row>
    <row r="686">
      <c r="C686" s="50"/>
      <c r="D686" s="50"/>
      <c r="E686" s="50"/>
      <c r="F686" s="50"/>
      <c r="G686" s="50"/>
      <c r="H686" s="50"/>
      <c r="I686" s="50"/>
      <c r="J686" s="50"/>
      <c r="K686" s="79"/>
      <c r="U686" s="51"/>
      <c r="V686" s="51"/>
      <c r="W686" s="51"/>
      <c r="X686" s="51"/>
      <c r="Y686" s="51"/>
      <c r="Z686" s="51"/>
      <c r="AA686" s="51"/>
      <c r="AB686" s="51"/>
      <c r="AC686" s="51"/>
    </row>
    <row r="687">
      <c r="C687" s="50"/>
      <c r="D687" s="50"/>
      <c r="E687" s="50"/>
      <c r="F687" s="50"/>
      <c r="G687" s="50"/>
      <c r="H687" s="50"/>
      <c r="I687" s="50"/>
      <c r="J687" s="50"/>
      <c r="K687" s="79"/>
      <c r="U687" s="51"/>
      <c r="V687" s="51"/>
      <c r="W687" s="51"/>
      <c r="X687" s="51"/>
      <c r="Y687" s="51"/>
      <c r="Z687" s="51"/>
      <c r="AA687" s="51"/>
      <c r="AB687" s="51"/>
      <c r="AC687" s="51"/>
    </row>
    <row r="688">
      <c r="C688" s="50"/>
      <c r="D688" s="50"/>
      <c r="E688" s="50"/>
      <c r="F688" s="50"/>
      <c r="G688" s="50"/>
      <c r="H688" s="50"/>
      <c r="I688" s="50"/>
      <c r="J688" s="50"/>
      <c r="K688" s="79"/>
      <c r="U688" s="51"/>
      <c r="V688" s="51"/>
      <c r="W688" s="51"/>
      <c r="X688" s="51"/>
      <c r="Y688" s="51"/>
      <c r="Z688" s="51"/>
      <c r="AA688" s="51"/>
      <c r="AB688" s="51"/>
      <c r="AC688" s="51"/>
    </row>
    <row r="689">
      <c r="C689" s="50"/>
      <c r="D689" s="50"/>
      <c r="E689" s="50"/>
      <c r="F689" s="50"/>
      <c r="G689" s="50"/>
      <c r="H689" s="50"/>
      <c r="I689" s="50"/>
      <c r="J689" s="50"/>
      <c r="K689" s="79"/>
      <c r="U689" s="51"/>
      <c r="V689" s="51"/>
      <c r="W689" s="51"/>
      <c r="X689" s="51"/>
      <c r="Y689" s="51"/>
      <c r="Z689" s="51"/>
      <c r="AA689" s="51"/>
      <c r="AB689" s="51"/>
      <c r="AC689" s="51"/>
    </row>
    <row r="690">
      <c r="C690" s="50"/>
      <c r="D690" s="50"/>
      <c r="E690" s="50"/>
      <c r="F690" s="50"/>
      <c r="G690" s="50"/>
      <c r="H690" s="50"/>
      <c r="I690" s="50"/>
      <c r="J690" s="50"/>
      <c r="K690" s="79"/>
      <c r="U690" s="51"/>
      <c r="V690" s="51"/>
      <c r="W690" s="51"/>
      <c r="X690" s="51"/>
      <c r="Y690" s="51"/>
      <c r="Z690" s="51"/>
      <c r="AA690" s="51"/>
      <c r="AB690" s="51"/>
      <c r="AC690" s="51"/>
    </row>
    <row r="691">
      <c r="C691" s="50"/>
      <c r="D691" s="50"/>
      <c r="E691" s="50"/>
      <c r="F691" s="50"/>
      <c r="G691" s="50"/>
      <c r="H691" s="50"/>
      <c r="I691" s="50"/>
      <c r="J691" s="50"/>
      <c r="K691" s="79"/>
      <c r="U691" s="51"/>
      <c r="V691" s="51"/>
      <c r="W691" s="51"/>
      <c r="X691" s="51"/>
      <c r="Y691" s="51"/>
      <c r="Z691" s="51"/>
      <c r="AA691" s="51"/>
      <c r="AB691" s="51"/>
      <c r="AC691" s="51"/>
    </row>
    <row r="692">
      <c r="C692" s="50"/>
      <c r="D692" s="50"/>
      <c r="E692" s="50"/>
      <c r="F692" s="50"/>
      <c r="G692" s="50"/>
      <c r="H692" s="50"/>
      <c r="I692" s="50"/>
      <c r="J692" s="50"/>
      <c r="K692" s="79"/>
      <c r="U692" s="51"/>
      <c r="V692" s="51"/>
      <c r="W692" s="51"/>
      <c r="X692" s="51"/>
      <c r="Y692" s="51"/>
      <c r="Z692" s="51"/>
      <c r="AA692" s="51"/>
      <c r="AB692" s="51"/>
      <c r="AC692" s="51"/>
    </row>
    <row r="693">
      <c r="C693" s="50"/>
      <c r="D693" s="50"/>
      <c r="E693" s="50"/>
      <c r="F693" s="50"/>
      <c r="G693" s="50"/>
      <c r="H693" s="50"/>
      <c r="I693" s="50"/>
      <c r="J693" s="50"/>
      <c r="K693" s="79"/>
      <c r="U693" s="51"/>
      <c r="V693" s="51"/>
      <c r="W693" s="51"/>
      <c r="X693" s="51"/>
      <c r="Y693" s="51"/>
      <c r="Z693" s="51"/>
      <c r="AA693" s="51"/>
      <c r="AB693" s="51"/>
      <c r="AC693" s="51"/>
    </row>
    <row r="694">
      <c r="C694" s="50"/>
      <c r="D694" s="50"/>
      <c r="E694" s="50"/>
      <c r="F694" s="50"/>
      <c r="G694" s="50"/>
      <c r="H694" s="50"/>
      <c r="I694" s="50"/>
      <c r="J694" s="50"/>
      <c r="K694" s="79"/>
      <c r="U694" s="51"/>
      <c r="V694" s="51"/>
      <c r="W694" s="51"/>
      <c r="X694" s="51"/>
      <c r="Y694" s="51"/>
      <c r="Z694" s="51"/>
      <c r="AA694" s="51"/>
      <c r="AB694" s="51"/>
      <c r="AC694" s="51"/>
    </row>
    <row r="695">
      <c r="C695" s="50"/>
      <c r="D695" s="50"/>
      <c r="E695" s="50"/>
      <c r="F695" s="50"/>
      <c r="G695" s="50"/>
      <c r="H695" s="50"/>
      <c r="I695" s="50"/>
      <c r="J695" s="50"/>
      <c r="K695" s="79"/>
      <c r="U695" s="51"/>
      <c r="V695" s="51"/>
      <c r="W695" s="51"/>
      <c r="X695" s="51"/>
      <c r="Y695" s="51"/>
      <c r="Z695" s="51"/>
      <c r="AA695" s="51"/>
      <c r="AB695" s="51"/>
      <c r="AC695" s="51"/>
    </row>
    <row r="696">
      <c r="C696" s="50"/>
      <c r="D696" s="50"/>
      <c r="E696" s="50"/>
      <c r="F696" s="50"/>
      <c r="G696" s="50"/>
      <c r="H696" s="50"/>
      <c r="I696" s="50"/>
      <c r="J696" s="50"/>
      <c r="K696" s="79"/>
      <c r="U696" s="51"/>
      <c r="V696" s="51"/>
      <c r="W696" s="51"/>
      <c r="X696" s="51"/>
      <c r="Y696" s="51"/>
      <c r="Z696" s="51"/>
      <c r="AA696" s="51"/>
      <c r="AB696" s="51"/>
      <c r="AC696" s="51"/>
    </row>
    <row r="697">
      <c r="C697" s="50"/>
      <c r="D697" s="50"/>
      <c r="E697" s="50"/>
      <c r="F697" s="50"/>
      <c r="G697" s="50"/>
      <c r="H697" s="50"/>
      <c r="I697" s="50"/>
      <c r="J697" s="50"/>
      <c r="K697" s="79"/>
      <c r="U697" s="51"/>
      <c r="V697" s="51"/>
      <c r="W697" s="51"/>
      <c r="X697" s="51"/>
      <c r="Y697" s="51"/>
      <c r="Z697" s="51"/>
      <c r="AA697" s="51"/>
      <c r="AB697" s="51"/>
      <c r="AC697" s="51"/>
    </row>
    <row r="698">
      <c r="C698" s="50"/>
      <c r="D698" s="50"/>
      <c r="E698" s="50"/>
      <c r="F698" s="50"/>
      <c r="G698" s="50"/>
      <c r="H698" s="50"/>
      <c r="I698" s="50"/>
      <c r="J698" s="50"/>
      <c r="K698" s="79"/>
      <c r="U698" s="51"/>
      <c r="V698" s="51"/>
      <c r="W698" s="51"/>
      <c r="X698" s="51"/>
      <c r="Y698" s="51"/>
      <c r="Z698" s="51"/>
      <c r="AA698" s="51"/>
      <c r="AB698" s="51"/>
      <c r="AC698" s="51"/>
    </row>
    <row r="699">
      <c r="C699" s="50"/>
      <c r="D699" s="50"/>
      <c r="E699" s="50"/>
      <c r="F699" s="50"/>
      <c r="G699" s="50"/>
      <c r="H699" s="50"/>
      <c r="I699" s="50"/>
      <c r="J699" s="50"/>
      <c r="K699" s="79"/>
      <c r="U699" s="51"/>
      <c r="V699" s="51"/>
      <c r="W699" s="51"/>
      <c r="X699" s="51"/>
      <c r="Y699" s="51"/>
      <c r="Z699" s="51"/>
      <c r="AA699" s="51"/>
      <c r="AB699" s="51"/>
      <c r="AC699" s="51"/>
    </row>
    <row r="700">
      <c r="C700" s="50"/>
      <c r="D700" s="50"/>
      <c r="E700" s="50"/>
      <c r="F700" s="50"/>
      <c r="G700" s="50"/>
      <c r="H700" s="50"/>
      <c r="I700" s="50"/>
      <c r="J700" s="50"/>
      <c r="K700" s="79"/>
      <c r="U700" s="51"/>
      <c r="V700" s="51"/>
      <c r="W700" s="51"/>
      <c r="X700" s="51"/>
      <c r="Y700" s="51"/>
      <c r="Z700" s="51"/>
      <c r="AA700" s="51"/>
      <c r="AB700" s="51"/>
      <c r="AC700" s="51"/>
    </row>
    <row r="701">
      <c r="C701" s="50"/>
      <c r="D701" s="50"/>
      <c r="E701" s="50"/>
      <c r="F701" s="50"/>
      <c r="G701" s="50"/>
      <c r="H701" s="50"/>
      <c r="I701" s="50"/>
      <c r="J701" s="50"/>
      <c r="K701" s="79"/>
      <c r="U701" s="51"/>
      <c r="V701" s="51"/>
      <c r="W701" s="51"/>
      <c r="X701" s="51"/>
      <c r="Y701" s="51"/>
      <c r="Z701" s="51"/>
      <c r="AA701" s="51"/>
      <c r="AB701" s="51"/>
      <c r="AC701" s="51"/>
    </row>
    <row r="702">
      <c r="C702" s="50"/>
      <c r="D702" s="50"/>
      <c r="E702" s="50"/>
      <c r="F702" s="50"/>
      <c r="G702" s="50"/>
      <c r="H702" s="50"/>
      <c r="I702" s="50"/>
      <c r="J702" s="50"/>
      <c r="K702" s="79"/>
      <c r="U702" s="51"/>
      <c r="V702" s="51"/>
      <c r="W702" s="51"/>
      <c r="X702" s="51"/>
      <c r="Y702" s="51"/>
      <c r="Z702" s="51"/>
      <c r="AA702" s="51"/>
      <c r="AB702" s="51"/>
      <c r="AC702" s="51"/>
    </row>
    <row r="703">
      <c r="C703" s="50"/>
      <c r="D703" s="50"/>
      <c r="E703" s="50"/>
      <c r="F703" s="50"/>
      <c r="G703" s="50"/>
      <c r="H703" s="50"/>
      <c r="I703" s="50"/>
      <c r="J703" s="50"/>
      <c r="K703" s="79"/>
      <c r="U703" s="51"/>
      <c r="V703" s="51"/>
      <c r="W703" s="51"/>
      <c r="X703" s="51"/>
      <c r="Y703" s="51"/>
      <c r="Z703" s="51"/>
      <c r="AA703" s="51"/>
      <c r="AB703" s="51"/>
      <c r="AC703" s="51"/>
    </row>
    <row r="704">
      <c r="C704" s="50"/>
      <c r="D704" s="50"/>
      <c r="E704" s="50"/>
      <c r="F704" s="50"/>
      <c r="G704" s="50"/>
      <c r="H704" s="50"/>
      <c r="I704" s="50"/>
      <c r="J704" s="50"/>
      <c r="K704" s="79"/>
      <c r="U704" s="51"/>
      <c r="V704" s="51"/>
      <c r="W704" s="51"/>
      <c r="X704" s="51"/>
      <c r="Y704" s="51"/>
      <c r="Z704" s="51"/>
      <c r="AA704" s="51"/>
      <c r="AB704" s="51"/>
      <c r="AC704" s="51"/>
    </row>
    <row r="705">
      <c r="C705" s="50"/>
      <c r="D705" s="50"/>
      <c r="E705" s="50"/>
      <c r="F705" s="50"/>
      <c r="G705" s="50"/>
      <c r="H705" s="50"/>
      <c r="I705" s="50"/>
      <c r="J705" s="50"/>
      <c r="K705" s="79"/>
      <c r="U705" s="51"/>
      <c r="V705" s="51"/>
      <c r="W705" s="51"/>
      <c r="X705" s="51"/>
      <c r="Y705" s="51"/>
      <c r="Z705" s="51"/>
      <c r="AA705" s="51"/>
      <c r="AB705" s="51"/>
      <c r="AC705" s="51"/>
    </row>
    <row r="706">
      <c r="C706" s="50"/>
      <c r="D706" s="50"/>
      <c r="E706" s="50"/>
      <c r="F706" s="50"/>
      <c r="G706" s="50"/>
      <c r="H706" s="50"/>
      <c r="I706" s="50"/>
      <c r="J706" s="50"/>
      <c r="K706" s="79"/>
      <c r="U706" s="51"/>
      <c r="V706" s="51"/>
      <c r="W706" s="51"/>
      <c r="X706" s="51"/>
      <c r="Y706" s="51"/>
      <c r="Z706" s="51"/>
      <c r="AA706" s="51"/>
      <c r="AB706" s="51"/>
      <c r="AC706" s="51"/>
    </row>
    <row r="707">
      <c r="C707" s="50"/>
      <c r="D707" s="50"/>
      <c r="E707" s="50"/>
      <c r="F707" s="50"/>
      <c r="G707" s="50"/>
      <c r="H707" s="50"/>
      <c r="I707" s="50"/>
      <c r="J707" s="50"/>
      <c r="K707" s="79"/>
      <c r="U707" s="51"/>
      <c r="V707" s="51"/>
      <c r="W707" s="51"/>
      <c r="X707" s="51"/>
      <c r="Y707" s="51"/>
      <c r="Z707" s="51"/>
      <c r="AA707" s="51"/>
      <c r="AB707" s="51"/>
      <c r="AC707" s="51"/>
    </row>
    <row r="708">
      <c r="C708" s="50"/>
      <c r="D708" s="50"/>
      <c r="E708" s="50"/>
      <c r="F708" s="50"/>
      <c r="G708" s="50"/>
      <c r="H708" s="50"/>
      <c r="I708" s="50"/>
      <c r="J708" s="50"/>
      <c r="K708" s="79"/>
      <c r="U708" s="51"/>
      <c r="V708" s="51"/>
      <c r="W708" s="51"/>
      <c r="X708" s="51"/>
      <c r="Y708" s="51"/>
      <c r="Z708" s="51"/>
      <c r="AA708" s="51"/>
      <c r="AB708" s="51"/>
      <c r="AC708" s="51"/>
    </row>
    <row r="709">
      <c r="C709" s="50"/>
      <c r="D709" s="50"/>
      <c r="E709" s="50"/>
      <c r="F709" s="50"/>
      <c r="G709" s="50"/>
      <c r="H709" s="50"/>
      <c r="I709" s="50"/>
      <c r="J709" s="50"/>
      <c r="K709" s="79"/>
      <c r="U709" s="51"/>
      <c r="V709" s="51"/>
      <c r="W709" s="51"/>
      <c r="X709" s="51"/>
      <c r="Y709" s="51"/>
      <c r="Z709" s="51"/>
      <c r="AA709" s="51"/>
      <c r="AB709" s="51"/>
      <c r="AC709" s="51"/>
    </row>
    <row r="710">
      <c r="C710" s="50"/>
      <c r="D710" s="50"/>
      <c r="E710" s="50"/>
      <c r="F710" s="50"/>
      <c r="G710" s="50"/>
      <c r="H710" s="50"/>
      <c r="I710" s="50"/>
      <c r="J710" s="50"/>
      <c r="K710" s="79"/>
      <c r="U710" s="51"/>
      <c r="V710" s="51"/>
      <c r="W710" s="51"/>
      <c r="X710" s="51"/>
      <c r="Y710" s="51"/>
      <c r="Z710" s="51"/>
      <c r="AA710" s="51"/>
      <c r="AB710" s="51"/>
      <c r="AC710" s="51"/>
    </row>
    <row r="711">
      <c r="C711" s="50"/>
      <c r="D711" s="50"/>
      <c r="E711" s="50"/>
      <c r="F711" s="50"/>
      <c r="G711" s="50"/>
      <c r="H711" s="50"/>
      <c r="I711" s="50"/>
      <c r="J711" s="50"/>
      <c r="K711" s="79"/>
      <c r="U711" s="51"/>
      <c r="V711" s="51"/>
      <c r="W711" s="51"/>
      <c r="X711" s="51"/>
      <c r="Y711" s="51"/>
      <c r="Z711" s="51"/>
      <c r="AA711" s="51"/>
      <c r="AB711" s="51"/>
      <c r="AC711" s="51"/>
    </row>
    <row r="712">
      <c r="C712" s="50"/>
      <c r="D712" s="50"/>
      <c r="E712" s="50"/>
      <c r="F712" s="50"/>
      <c r="G712" s="50"/>
      <c r="H712" s="50"/>
      <c r="I712" s="50"/>
      <c r="J712" s="50"/>
      <c r="K712" s="79"/>
      <c r="U712" s="51"/>
      <c r="V712" s="51"/>
      <c r="W712" s="51"/>
      <c r="X712" s="51"/>
      <c r="Y712" s="51"/>
      <c r="Z712" s="51"/>
      <c r="AA712" s="51"/>
      <c r="AB712" s="51"/>
      <c r="AC712" s="51"/>
    </row>
    <row r="713">
      <c r="C713" s="50"/>
      <c r="D713" s="50"/>
      <c r="E713" s="50"/>
      <c r="F713" s="50"/>
      <c r="G713" s="50"/>
      <c r="H713" s="50"/>
      <c r="I713" s="50"/>
      <c r="J713" s="50"/>
      <c r="K713" s="79"/>
      <c r="U713" s="51"/>
      <c r="V713" s="51"/>
      <c r="W713" s="51"/>
      <c r="X713" s="51"/>
      <c r="Y713" s="51"/>
      <c r="Z713" s="51"/>
      <c r="AA713" s="51"/>
      <c r="AB713" s="51"/>
      <c r="AC713" s="51"/>
    </row>
    <row r="714">
      <c r="C714" s="50"/>
      <c r="D714" s="50"/>
      <c r="E714" s="50"/>
      <c r="F714" s="50"/>
      <c r="G714" s="50"/>
      <c r="H714" s="50"/>
      <c r="I714" s="50"/>
      <c r="J714" s="50"/>
      <c r="K714" s="79"/>
      <c r="U714" s="51"/>
      <c r="V714" s="51"/>
      <c r="W714" s="51"/>
      <c r="X714" s="51"/>
      <c r="Y714" s="51"/>
      <c r="Z714" s="51"/>
      <c r="AA714" s="51"/>
      <c r="AB714" s="51"/>
      <c r="AC714" s="51"/>
    </row>
    <row r="715">
      <c r="C715" s="50"/>
      <c r="D715" s="50"/>
      <c r="E715" s="50"/>
      <c r="F715" s="50"/>
      <c r="G715" s="50"/>
      <c r="H715" s="50"/>
      <c r="I715" s="50"/>
      <c r="J715" s="50"/>
      <c r="K715" s="79"/>
      <c r="U715" s="51"/>
      <c r="V715" s="51"/>
      <c r="W715" s="51"/>
      <c r="X715" s="51"/>
      <c r="Y715" s="51"/>
      <c r="Z715" s="51"/>
      <c r="AA715" s="51"/>
      <c r="AB715" s="51"/>
      <c r="AC715" s="51"/>
    </row>
    <row r="716">
      <c r="C716" s="50"/>
      <c r="D716" s="50"/>
      <c r="E716" s="50"/>
      <c r="F716" s="50"/>
      <c r="G716" s="50"/>
      <c r="H716" s="50"/>
      <c r="I716" s="50"/>
      <c r="J716" s="50"/>
      <c r="K716" s="79"/>
      <c r="U716" s="51"/>
      <c r="V716" s="51"/>
      <c r="W716" s="51"/>
      <c r="X716" s="51"/>
      <c r="Y716" s="51"/>
      <c r="Z716" s="51"/>
      <c r="AA716" s="51"/>
      <c r="AB716" s="51"/>
      <c r="AC716" s="51"/>
    </row>
    <row r="717">
      <c r="C717" s="50"/>
      <c r="D717" s="50"/>
      <c r="E717" s="50"/>
      <c r="F717" s="50"/>
      <c r="G717" s="50"/>
      <c r="H717" s="50"/>
      <c r="I717" s="50"/>
      <c r="J717" s="50"/>
      <c r="K717" s="79"/>
      <c r="U717" s="51"/>
      <c r="V717" s="51"/>
      <c r="W717" s="51"/>
      <c r="X717" s="51"/>
      <c r="Y717" s="51"/>
      <c r="Z717" s="51"/>
      <c r="AA717" s="51"/>
      <c r="AB717" s="51"/>
      <c r="AC717" s="51"/>
    </row>
    <row r="718">
      <c r="C718" s="50"/>
      <c r="D718" s="50"/>
      <c r="E718" s="50"/>
      <c r="F718" s="50"/>
      <c r="G718" s="50"/>
      <c r="H718" s="50"/>
      <c r="I718" s="50"/>
      <c r="J718" s="50"/>
      <c r="K718" s="79"/>
      <c r="U718" s="51"/>
      <c r="V718" s="51"/>
      <c r="W718" s="51"/>
      <c r="X718" s="51"/>
      <c r="Y718" s="51"/>
      <c r="Z718" s="51"/>
      <c r="AA718" s="51"/>
      <c r="AB718" s="51"/>
      <c r="AC718" s="51"/>
    </row>
    <row r="719">
      <c r="C719" s="50"/>
      <c r="D719" s="50"/>
      <c r="E719" s="50"/>
      <c r="F719" s="50"/>
      <c r="G719" s="50"/>
      <c r="H719" s="50"/>
      <c r="I719" s="50"/>
      <c r="J719" s="50"/>
      <c r="K719" s="79"/>
      <c r="U719" s="51"/>
      <c r="V719" s="51"/>
      <c r="W719" s="51"/>
      <c r="X719" s="51"/>
      <c r="Y719" s="51"/>
      <c r="Z719" s="51"/>
      <c r="AA719" s="51"/>
      <c r="AB719" s="51"/>
      <c r="AC719" s="51"/>
    </row>
    <row r="720">
      <c r="C720" s="50"/>
      <c r="D720" s="50"/>
      <c r="E720" s="50"/>
      <c r="F720" s="50"/>
      <c r="G720" s="50"/>
      <c r="H720" s="50"/>
      <c r="I720" s="50"/>
      <c r="J720" s="50"/>
      <c r="K720" s="79"/>
      <c r="U720" s="51"/>
      <c r="V720" s="51"/>
      <c r="W720" s="51"/>
      <c r="X720" s="51"/>
      <c r="Y720" s="51"/>
      <c r="Z720" s="51"/>
      <c r="AA720" s="51"/>
      <c r="AB720" s="51"/>
      <c r="AC720" s="51"/>
    </row>
    <row r="721">
      <c r="C721" s="50"/>
      <c r="D721" s="50"/>
      <c r="E721" s="50"/>
      <c r="F721" s="50"/>
      <c r="G721" s="50"/>
      <c r="H721" s="50"/>
      <c r="I721" s="50"/>
      <c r="J721" s="50"/>
      <c r="K721" s="79"/>
      <c r="U721" s="51"/>
      <c r="V721" s="51"/>
      <c r="W721" s="51"/>
      <c r="X721" s="51"/>
      <c r="Y721" s="51"/>
      <c r="Z721" s="51"/>
      <c r="AA721" s="51"/>
      <c r="AB721" s="51"/>
      <c r="AC721" s="51"/>
    </row>
    <row r="722">
      <c r="C722" s="50"/>
      <c r="D722" s="50"/>
      <c r="E722" s="50"/>
      <c r="F722" s="50"/>
      <c r="G722" s="50"/>
      <c r="H722" s="50"/>
      <c r="I722" s="50"/>
      <c r="J722" s="50"/>
      <c r="K722" s="79"/>
      <c r="U722" s="51"/>
      <c r="V722" s="51"/>
      <c r="W722" s="51"/>
      <c r="X722" s="51"/>
      <c r="Y722" s="51"/>
      <c r="Z722" s="51"/>
      <c r="AA722" s="51"/>
      <c r="AB722" s="51"/>
      <c r="AC722" s="51"/>
    </row>
    <row r="723">
      <c r="C723" s="50"/>
      <c r="D723" s="50"/>
      <c r="E723" s="50"/>
      <c r="F723" s="50"/>
      <c r="G723" s="50"/>
      <c r="H723" s="50"/>
      <c r="I723" s="50"/>
      <c r="J723" s="50"/>
      <c r="K723" s="79"/>
      <c r="U723" s="51"/>
      <c r="V723" s="51"/>
      <c r="W723" s="51"/>
      <c r="X723" s="51"/>
      <c r="Y723" s="51"/>
      <c r="Z723" s="51"/>
      <c r="AA723" s="51"/>
      <c r="AB723" s="51"/>
      <c r="AC723" s="51"/>
    </row>
    <row r="724">
      <c r="C724" s="50"/>
      <c r="D724" s="50"/>
      <c r="E724" s="50"/>
      <c r="F724" s="50"/>
      <c r="G724" s="50"/>
      <c r="H724" s="50"/>
      <c r="I724" s="50"/>
      <c r="J724" s="50"/>
      <c r="K724" s="79"/>
      <c r="U724" s="51"/>
      <c r="V724" s="51"/>
      <c r="W724" s="51"/>
      <c r="X724" s="51"/>
      <c r="Y724" s="51"/>
      <c r="Z724" s="51"/>
      <c r="AA724" s="51"/>
      <c r="AB724" s="51"/>
      <c r="AC724" s="51"/>
    </row>
    <row r="725">
      <c r="C725" s="50"/>
      <c r="D725" s="50"/>
      <c r="E725" s="50"/>
      <c r="F725" s="50"/>
      <c r="G725" s="50"/>
      <c r="H725" s="50"/>
      <c r="I725" s="50"/>
      <c r="J725" s="50"/>
      <c r="K725" s="79"/>
      <c r="U725" s="51"/>
      <c r="V725" s="51"/>
      <c r="W725" s="51"/>
      <c r="X725" s="51"/>
      <c r="Y725" s="51"/>
      <c r="Z725" s="51"/>
      <c r="AA725" s="51"/>
      <c r="AB725" s="51"/>
      <c r="AC725" s="51"/>
    </row>
    <row r="726">
      <c r="C726" s="50"/>
      <c r="D726" s="50"/>
      <c r="E726" s="50"/>
      <c r="F726" s="50"/>
      <c r="G726" s="50"/>
      <c r="H726" s="50"/>
      <c r="I726" s="50"/>
      <c r="J726" s="50"/>
      <c r="K726" s="79"/>
      <c r="U726" s="51"/>
      <c r="V726" s="51"/>
      <c r="W726" s="51"/>
      <c r="X726" s="51"/>
      <c r="Y726" s="51"/>
      <c r="Z726" s="51"/>
      <c r="AA726" s="51"/>
      <c r="AB726" s="51"/>
      <c r="AC726" s="51"/>
    </row>
    <row r="727">
      <c r="C727" s="50"/>
      <c r="D727" s="50"/>
      <c r="E727" s="50"/>
      <c r="F727" s="50"/>
      <c r="G727" s="50"/>
      <c r="H727" s="50"/>
      <c r="I727" s="50"/>
      <c r="J727" s="50"/>
      <c r="K727" s="79"/>
      <c r="U727" s="51"/>
      <c r="V727" s="51"/>
      <c r="W727" s="51"/>
      <c r="X727" s="51"/>
      <c r="Y727" s="51"/>
      <c r="Z727" s="51"/>
      <c r="AA727" s="51"/>
      <c r="AB727" s="51"/>
      <c r="AC727" s="51"/>
    </row>
    <row r="728">
      <c r="C728" s="50"/>
      <c r="D728" s="50"/>
      <c r="E728" s="50"/>
      <c r="F728" s="50"/>
      <c r="G728" s="50"/>
      <c r="H728" s="50"/>
      <c r="I728" s="50"/>
      <c r="J728" s="50"/>
      <c r="K728" s="79"/>
      <c r="U728" s="51"/>
      <c r="V728" s="51"/>
      <c r="W728" s="51"/>
      <c r="X728" s="51"/>
      <c r="Y728" s="51"/>
      <c r="Z728" s="51"/>
      <c r="AA728" s="51"/>
      <c r="AB728" s="51"/>
      <c r="AC728" s="51"/>
    </row>
    <row r="729">
      <c r="C729" s="50"/>
      <c r="D729" s="50"/>
      <c r="E729" s="50"/>
      <c r="F729" s="50"/>
      <c r="G729" s="50"/>
      <c r="H729" s="50"/>
      <c r="I729" s="50"/>
      <c r="J729" s="50"/>
      <c r="K729" s="79"/>
      <c r="U729" s="51"/>
      <c r="V729" s="51"/>
      <c r="W729" s="51"/>
      <c r="X729" s="51"/>
      <c r="Y729" s="51"/>
      <c r="Z729" s="51"/>
      <c r="AA729" s="51"/>
      <c r="AB729" s="51"/>
      <c r="AC729" s="51"/>
    </row>
    <row r="730">
      <c r="C730" s="50"/>
      <c r="D730" s="50"/>
      <c r="E730" s="50"/>
      <c r="F730" s="50"/>
      <c r="G730" s="50"/>
      <c r="H730" s="50"/>
      <c r="I730" s="50"/>
      <c r="J730" s="50"/>
      <c r="K730" s="79"/>
      <c r="U730" s="51"/>
      <c r="V730" s="51"/>
      <c r="W730" s="51"/>
      <c r="X730" s="51"/>
      <c r="Y730" s="51"/>
      <c r="Z730" s="51"/>
      <c r="AA730" s="51"/>
      <c r="AB730" s="51"/>
      <c r="AC730" s="51"/>
    </row>
    <row r="731">
      <c r="C731" s="50"/>
      <c r="D731" s="50"/>
      <c r="E731" s="50"/>
      <c r="F731" s="50"/>
      <c r="G731" s="50"/>
      <c r="H731" s="50"/>
      <c r="I731" s="50"/>
      <c r="J731" s="50"/>
      <c r="K731" s="79"/>
      <c r="U731" s="51"/>
      <c r="V731" s="51"/>
      <c r="W731" s="51"/>
      <c r="X731" s="51"/>
      <c r="Y731" s="51"/>
      <c r="Z731" s="51"/>
      <c r="AA731" s="51"/>
      <c r="AB731" s="51"/>
      <c r="AC731" s="51"/>
    </row>
    <row r="732">
      <c r="C732" s="50"/>
      <c r="D732" s="50"/>
      <c r="E732" s="50"/>
      <c r="F732" s="50"/>
      <c r="G732" s="50"/>
      <c r="H732" s="50"/>
      <c r="I732" s="50"/>
      <c r="J732" s="50"/>
      <c r="K732" s="79"/>
      <c r="U732" s="51"/>
      <c r="V732" s="51"/>
      <c r="W732" s="51"/>
      <c r="X732" s="51"/>
      <c r="Y732" s="51"/>
      <c r="Z732" s="51"/>
      <c r="AA732" s="51"/>
      <c r="AB732" s="51"/>
      <c r="AC732" s="51"/>
    </row>
    <row r="733">
      <c r="C733" s="50"/>
      <c r="D733" s="50"/>
      <c r="E733" s="50"/>
      <c r="F733" s="50"/>
      <c r="G733" s="50"/>
      <c r="H733" s="50"/>
      <c r="I733" s="50"/>
      <c r="J733" s="50"/>
      <c r="K733" s="79"/>
      <c r="U733" s="51"/>
      <c r="V733" s="51"/>
      <c r="W733" s="51"/>
      <c r="X733" s="51"/>
      <c r="Y733" s="51"/>
      <c r="Z733" s="51"/>
      <c r="AA733" s="51"/>
      <c r="AB733" s="51"/>
      <c r="AC733" s="51"/>
    </row>
    <row r="734">
      <c r="C734" s="50"/>
      <c r="D734" s="50"/>
      <c r="E734" s="50"/>
      <c r="F734" s="50"/>
      <c r="G734" s="50"/>
      <c r="H734" s="50"/>
      <c r="I734" s="50"/>
      <c r="J734" s="50"/>
      <c r="K734" s="79"/>
      <c r="U734" s="51"/>
      <c r="V734" s="51"/>
      <c r="W734" s="51"/>
      <c r="X734" s="51"/>
      <c r="Y734" s="51"/>
      <c r="Z734" s="51"/>
      <c r="AA734" s="51"/>
      <c r="AB734" s="51"/>
      <c r="AC734" s="51"/>
    </row>
    <row r="735">
      <c r="C735" s="50"/>
      <c r="D735" s="50"/>
      <c r="E735" s="50"/>
      <c r="F735" s="50"/>
      <c r="G735" s="50"/>
      <c r="H735" s="50"/>
      <c r="I735" s="50"/>
      <c r="J735" s="50"/>
      <c r="K735" s="79"/>
      <c r="U735" s="51"/>
      <c r="V735" s="51"/>
      <c r="W735" s="51"/>
      <c r="X735" s="51"/>
      <c r="Y735" s="51"/>
      <c r="Z735" s="51"/>
      <c r="AA735" s="51"/>
      <c r="AB735" s="51"/>
      <c r="AC735" s="51"/>
    </row>
    <row r="736">
      <c r="C736" s="50"/>
      <c r="D736" s="50"/>
      <c r="E736" s="50"/>
      <c r="F736" s="50"/>
      <c r="G736" s="50"/>
      <c r="H736" s="50"/>
      <c r="I736" s="50"/>
      <c r="J736" s="50"/>
      <c r="K736" s="79"/>
      <c r="U736" s="51"/>
      <c r="V736" s="51"/>
      <c r="W736" s="51"/>
      <c r="X736" s="51"/>
      <c r="Y736" s="51"/>
      <c r="Z736" s="51"/>
      <c r="AA736" s="51"/>
      <c r="AB736" s="51"/>
      <c r="AC736" s="51"/>
    </row>
    <row r="737">
      <c r="C737" s="50"/>
      <c r="D737" s="50"/>
      <c r="E737" s="50"/>
      <c r="F737" s="50"/>
      <c r="G737" s="50"/>
      <c r="H737" s="50"/>
      <c r="I737" s="50"/>
      <c r="J737" s="50"/>
      <c r="K737" s="79"/>
      <c r="U737" s="51"/>
      <c r="V737" s="51"/>
      <c r="W737" s="51"/>
      <c r="X737" s="51"/>
      <c r="Y737" s="51"/>
      <c r="Z737" s="51"/>
      <c r="AA737" s="51"/>
      <c r="AB737" s="51"/>
      <c r="AC737" s="51"/>
    </row>
    <row r="738">
      <c r="C738" s="50"/>
      <c r="D738" s="50"/>
      <c r="E738" s="50"/>
      <c r="F738" s="50"/>
      <c r="G738" s="50"/>
      <c r="H738" s="50"/>
      <c r="I738" s="50"/>
      <c r="J738" s="50"/>
      <c r="K738" s="79"/>
      <c r="U738" s="51"/>
      <c r="V738" s="51"/>
      <c r="W738" s="51"/>
      <c r="X738" s="51"/>
      <c r="Y738" s="51"/>
      <c r="Z738" s="51"/>
      <c r="AA738" s="51"/>
      <c r="AB738" s="51"/>
      <c r="AC738" s="51"/>
    </row>
    <row r="739">
      <c r="C739" s="50"/>
      <c r="D739" s="50"/>
      <c r="E739" s="50"/>
      <c r="F739" s="50"/>
      <c r="G739" s="50"/>
      <c r="H739" s="50"/>
      <c r="I739" s="50"/>
      <c r="J739" s="50"/>
      <c r="K739" s="79"/>
      <c r="U739" s="51"/>
      <c r="V739" s="51"/>
      <c r="W739" s="51"/>
      <c r="X739" s="51"/>
      <c r="Y739" s="51"/>
      <c r="Z739" s="51"/>
      <c r="AA739" s="51"/>
      <c r="AB739" s="51"/>
      <c r="AC739" s="51"/>
    </row>
    <row r="740">
      <c r="C740" s="50"/>
      <c r="D740" s="50"/>
      <c r="E740" s="50"/>
      <c r="F740" s="50"/>
      <c r="G740" s="50"/>
      <c r="H740" s="50"/>
      <c r="I740" s="50"/>
      <c r="J740" s="50"/>
      <c r="K740" s="79"/>
      <c r="U740" s="51"/>
      <c r="V740" s="51"/>
      <c r="W740" s="51"/>
      <c r="X740" s="51"/>
      <c r="Y740" s="51"/>
      <c r="Z740" s="51"/>
      <c r="AA740" s="51"/>
      <c r="AB740" s="51"/>
      <c r="AC740" s="51"/>
    </row>
    <row r="741">
      <c r="C741" s="50"/>
      <c r="D741" s="50"/>
      <c r="E741" s="50"/>
      <c r="F741" s="50"/>
      <c r="G741" s="50"/>
      <c r="H741" s="50"/>
      <c r="I741" s="50"/>
      <c r="J741" s="50"/>
      <c r="K741" s="79"/>
      <c r="U741" s="51"/>
      <c r="V741" s="51"/>
      <c r="W741" s="51"/>
      <c r="X741" s="51"/>
      <c r="Y741" s="51"/>
      <c r="Z741" s="51"/>
      <c r="AA741" s="51"/>
      <c r="AB741" s="51"/>
      <c r="AC741" s="51"/>
    </row>
    <row r="742">
      <c r="C742" s="50"/>
      <c r="D742" s="50"/>
      <c r="E742" s="50"/>
      <c r="F742" s="50"/>
      <c r="G742" s="50"/>
      <c r="H742" s="50"/>
      <c r="I742" s="50"/>
      <c r="J742" s="50"/>
      <c r="K742" s="79"/>
      <c r="U742" s="51"/>
      <c r="V742" s="51"/>
      <c r="W742" s="51"/>
      <c r="X742" s="51"/>
      <c r="Y742" s="51"/>
      <c r="Z742" s="51"/>
      <c r="AA742" s="51"/>
      <c r="AB742" s="51"/>
      <c r="AC742" s="51"/>
    </row>
    <row r="743">
      <c r="C743" s="50"/>
      <c r="D743" s="50"/>
      <c r="E743" s="50"/>
      <c r="F743" s="50"/>
      <c r="G743" s="50"/>
      <c r="H743" s="50"/>
      <c r="I743" s="50"/>
      <c r="J743" s="50"/>
      <c r="K743" s="79"/>
      <c r="U743" s="51"/>
      <c r="V743" s="51"/>
      <c r="W743" s="51"/>
      <c r="X743" s="51"/>
      <c r="Y743" s="51"/>
      <c r="Z743" s="51"/>
      <c r="AA743" s="51"/>
      <c r="AB743" s="51"/>
      <c r="AC743" s="51"/>
    </row>
    <row r="744">
      <c r="C744" s="50"/>
      <c r="D744" s="50"/>
      <c r="E744" s="50"/>
      <c r="F744" s="50"/>
      <c r="G744" s="50"/>
      <c r="H744" s="50"/>
      <c r="I744" s="50"/>
      <c r="J744" s="50"/>
      <c r="K744" s="79"/>
      <c r="U744" s="51"/>
      <c r="V744" s="51"/>
      <c r="W744" s="51"/>
      <c r="X744" s="51"/>
      <c r="Y744" s="51"/>
      <c r="Z744" s="51"/>
      <c r="AA744" s="51"/>
      <c r="AB744" s="51"/>
      <c r="AC744" s="51"/>
    </row>
    <row r="745">
      <c r="C745" s="50"/>
      <c r="D745" s="50"/>
      <c r="E745" s="50"/>
      <c r="F745" s="50"/>
      <c r="G745" s="50"/>
      <c r="H745" s="50"/>
      <c r="I745" s="50"/>
      <c r="J745" s="50"/>
      <c r="K745" s="79"/>
      <c r="U745" s="51"/>
      <c r="V745" s="51"/>
      <c r="W745" s="51"/>
      <c r="X745" s="51"/>
      <c r="Y745" s="51"/>
      <c r="Z745" s="51"/>
      <c r="AA745" s="51"/>
      <c r="AB745" s="51"/>
      <c r="AC745" s="51"/>
    </row>
    <row r="746">
      <c r="C746" s="50"/>
      <c r="D746" s="50"/>
      <c r="E746" s="50"/>
      <c r="F746" s="50"/>
      <c r="G746" s="50"/>
      <c r="H746" s="50"/>
      <c r="I746" s="50"/>
      <c r="J746" s="50"/>
      <c r="K746" s="79"/>
      <c r="U746" s="51"/>
      <c r="V746" s="51"/>
      <c r="W746" s="51"/>
      <c r="X746" s="51"/>
      <c r="Y746" s="51"/>
      <c r="Z746" s="51"/>
      <c r="AA746" s="51"/>
      <c r="AB746" s="51"/>
      <c r="AC746" s="51"/>
    </row>
    <row r="747">
      <c r="C747" s="50"/>
      <c r="D747" s="50"/>
      <c r="E747" s="50"/>
      <c r="F747" s="50"/>
      <c r="G747" s="50"/>
      <c r="H747" s="50"/>
      <c r="I747" s="50"/>
      <c r="J747" s="50"/>
      <c r="K747" s="79"/>
      <c r="U747" s="51"/>
      <c r="V747" s="51"/>
      <c r="W747" s="51"/>
      <c r="X747" s="51"/>
      <c r="Y747" s="51"/>
      <c r="Z747" s="51"/>
      <c r="AA747" s="51"/>
      <c r="AB747" s="51"/>
      <c r="AC747" s="51"/>
    </row>
    <row r="748">
      <c r="C748" s="50"/>
      <c r="D748" s="50"/>
      <c r="E748" s="50"/>
      <c r="F748" s="50"/>
      <c r="G748" s="50"/>
      <c r="H748" s="50"/>
      <c r="I748" s="50"/>
      <c r="J748" s="50"/>
      <c r="K748" s="79"/>
      <c r="U748" s="51"/>
      <c r="V748" s="51"/>
      <c r="W748" s="51"/>
      <c r="X748" s="51"/>
      <c r="Y748" s="51"/>
      <c r="Z748" s="51"/>
      <c r="AA748" s="51"/>
      <c r="AB748" s="51"/>
      <c r="AC748" s="51"/>
    </row>
    <row r="749">
      <c r="C749" s="50"/>
      <c r="D749" s="50"/>
      <c r="E749" s="50"/>
      <c r="F749" s="50"/>
      <c r="G749" s="50"/>
      <c r="H749" s="50"/>
      <c r="I749" s="50"/>
      <c r="J749" s="50"/>
      <c r="K749" s="79"/>
      <c r="U749" s="51"/>
      <c r="V749" s="51"/>
      <c r="W749" s="51"/>
      <c r="X749" s="51"/>
      <c r="Y749" s="51"/>
      <c r="Z749" s="51"/>
      <c r="AA749" s="51"/>
      <c r="AB749" s="51"/>
      <c r="AC749" s="51"/>
    </row>
    <row r="750">
      <c r="C750" s="50"/>
      <c r="D750" s="50"/>
      <c r="E750" s="50"/>
      <c r="F750" s="50"/>
      <c r="G750" s="50"/>
      <c r="H750" s="50"/>
      <c r="I750" s="50"/>
      <c r="J750" s="50"/>
      <c r="K750" s="79"/>
      <c r="U750" s="51"/>
      <c r="V750" s="51"/>
      <c r="W750" s="51"/>
      <c r="X750" s="51"/>
      <c r="Y750" s="51"/>
      <c r="Z750" s="51"/>
      <c r="AA750" s="51"/>
      <c r="AB750" s="51"/>
      <c r="AC750" s="51"/>
    </row>
    <row r="751">
      <c r="C751" s="50"/>
      <c r="D751" s="50"/>
      <c r="E751" s="50"/>
      <c r="F751" s="50"/>
      <c r="G751" s="50"/>
      <c r="H751" s="50"/>
      <c r="I751" s="50"/>
      <c r="J751" s="50"/>
      <c r="K751" s="79"/>
      <c r="U751" s="51"/>
      <c r="V751" s="51"/>
      <c r="W751" s="51"/>
      <c r="X751" s="51"/>
      <c r="Y751" s="51"/>
      <c r="Z751" s="51"/>
      <c r="AA751" s="51"/>
      <c r="AB751" s="51"/>
      <c r="AC751" s="51"/>
    </row>
    <row r="752">
      <c r="C752" s="50"/>
      <c r="D752" s="50"/>
      <c r="E752" s="50"/>
      <c r="F752" s="50"/>
      <c r="G752" s="50"/>
      <c r="H752" s="50"/>
      <c r="I752" s="50"/>
      <c r="J752" s="50"/>
      <c r="K752" s="79"/>
      <c r="U752" s="51"/>
      <c r="V752" s="51"/>
      <c r="W752" s="51"/>
      <c r="X752" s="51"/>
      <c r="Y752" s="51"/>
      <c r="Z752" s="51"/>
      <c r="AA752" s="51"/>
      <c r="AB752" s="51"/>
      <c r="AC752" s="51"/>
    </row>
    <row r="753">
      <c r="C753" s="50"/>
      <c r="D753" s="50"/>
      <c r="E753" s="50"/>
      <c r="F753" s="50"/>
      <c r="G753" s="50"/>
      <c r="H753" s="50"/>
      <c r="I753" s="50"/>
      <c r="J753" s="50"/>
      <c r="K753" s="79"/>
      <c r="U753" s="51"/>
      <c r="V753" s="51"/>
      <c r="W753" s="51"/>
      <c r="X753" s="51"/>
      <c r="Y753" s="51"/>
      <c r="Z753" s="51"/>
      <c r="AA753" s="51"/>
      <c r="AB753" s="51"/>
      <c r="AC753" s="51"/>
    </row>
    <row r="754">
      <c r="C754" s="50"/>
      <c r="D754" s="50"/>
      <c r="E754" s="50"/>
      <c r="F754" s="50"/>
      <c r="G754" s="50"/>
      <c r="H754" s="50"/>
      <c r="I754" s="50"/>
      <c r="J754" s="50"/>
      <c r="K754" s="79"/>
      <c r="U754" s="51"/>
      <c r="V754" s="51"/>
      <c r="W754" s="51"/>
      <c r="X754" s="51"/>
      <c r="Y754" s="51"/>
      <c r="Z754" s="51"/>
      <c r="AA754" s="51"/>
      <c r="AB754" s="51"/>
      <c r="AC754" s="51"/>
    </row>
    <row r="755">
      <c r="C755" s="50"/>
      <c r="D755" s="50"/>
      <c r="E755" s="50"/>
      <c r="F755" s="50"/>
      <c r="G755" s="50"/>
      <c r="H755" s="50"/>
      <c r="I755" s="50"/>
      <c r="J755" s="50"/>
      <c r="K755" s="79"/>
      <c r="U755" s="51"/>
      <c r="V755" s="51"/>
      <c r="W755" s="51"/>
      <c r="X755" s="51"/>
      <c r="Y755" s="51"/>
      <c r="Z755" s="51"/>
      <c r="AA755" s="51"/>
      <c r="AB755" s="51"/>
      <c r="AC755" s="51"/>
    </row>
    <row r="756">
      <c r="C756" s="50"/>
      <c r="D756" s="50"/>
      <c r="E756" s="50"/>
      <c r="F756" s="50"/>
      <c r="G756" s="50"/>
      <c r="H756" s="50"/>
      <c r="I756" s="50"/>
      <c r="J756" s="50"/>
      <c r="K756" s="79"/>
      <c r="U756" s="51"/>
      <c r="V756" s="51"/>
      <c r="W756" s="51"/>
      <c r="X756" s="51"/>
      <c r="Y756" s="51"/>
      <c r="Z756" s="51"/>
      <c r="AA756" s="51"/>
      <c r="AB756" s="51"/>
      <c r="AC756" s="51"/>
    </row>
    <row r="757">
      <c r="C757" s="50"/>
      <c r="D757" s="50"/>
      <c r="E757" s="50"/>
      <c r="F757" s="50"/>
      <c r="G757" s="50"/>
      <c r="H757" s="50"/>
      <c r="I757" s="50"/>
      <c r="J757" s="50"/>
      <c r="K757" s="79"/>
      <c r="U757" s="51"/>
      <c r="V757" s="51"/>
      <c r="W757" s="51"/>
      <c r="X757" s="51"/>
      <c r="Y757" s="51"/>
      <c r="Z757" s="51"/>
      <c r="AA757" s="51"/>
      <c r="AB757" s="51"/>
      <c r="AC757" s="51"/>
    </row>
    <row r="758">
      <c r="C758" s="50"/>
      <c r="D758" s="50"/>
      <c r="E758" s="50"/>
      <c r="F758" s="50"/>
      <c r="G758" s="50"/>
      <c r="H758" s="50"/>
      <c r="I758" s="50"/>
      <c r="J758" s="50"/>
      <c r="K758" s="79"/>
      <c r="U758" s="51"/>
      <c r="V758" s="51"/>
      <c r="W758" s="51"/>
      <c r="X758" s="51"/>
      <c r="Y758" s="51"/>
      <c r="Z758" s="51"/>
      <c r="AA758" s="51"/>
      <c r="AB758" s="51"/>
      <c r="AC758" s="51"/>
    </row>
    <row r="759">
      <c r="C759" s="50"/>
      <c r="D759" s="50"/>
      <c r="E759" s="50"/>
      <c r="F759" s="50"/>
      <c r="G759" s="50"/>
      <c r="H759" s="50"/>
      <c r="I759" s="50"/>
      <c r="J759" s="50"/>
      <c r="K759" s="79"/>
      <c r="U759" s="51"/>
      <c r="V759" s="51"/>
      <c r="W759" s="51"/>
      <c r="X759" s="51"/>
      <c r="Y759" s="51"/>
      <c r="Z759" s="51"/>
      <c r="AA759" s="51"/>
      <c r="AB759" s="51"/>
      <c r="AC759" s="51"/>
    </row>
    <row r="760">
      <c r="C760" s="50"/>
      <c r="D760" s="50"/>
      <c r="E760" s="50"/>
      <c r="F760" s="50"/>
      <c r="G760" s="50"/>
      <c r="H760" s="50"/>
      <c r="I760" s="50"/>
      <c r="J760" s="50"/>
      <c r="K760" s="79"/>
      <c r="U760" s="51"/>
      <c r="V760" s="51"/>
      <c r="W760" s="51"/>
      <c r="X760" s="51"/>
      <c r="Y760" s="51"/>
      <c r="Z760" s="51"/>
      <c r="AA760" s="51"/>
      <c r="AB760" s="51"/>
      <c r="AC760" s="51"/>
    </row>
    <row r="761">
      <c r="C761" s="50"/>
      <c r="D761" s="50"/>
      <c r="E761" s="50"/>
      <c r="F761" s="50"/>
      <c r="G761" s="50"/>
      <c r="H761" s="50"/>
      <c r="I761" s="50"/>
      <c r="J761" s="50"/>
      <c r="K761" s="79"/>
      <c r="U761" s="51"/>
      <c r="V761" s="51"/>
      <c r="W761" s="51"/>
      <c r="X761" s="51"/>
      <c r="Y761" s="51"/>
      <c r="Z761" s="51"/>
      <c r="AA761" s="51"/>
      <c r="AB761" s="51"/>
      <c r="AC761" s="51"/>
    </row>
    <row r="762">
      <c r="C762" s="50"/>
      <c r="D762" s="50"/>
      <c r="E762" s="50"/>
      <c r="F762" s="50"/>
      <c r="G762" s="50"/>
      <c r="H762" s="50"/>
      <c r="I762" s="50"/>
      <c r="J762" s="50"/>
      <c r="K762" s="79"/>
      <c r="U762" s="51"/>
      <c r="V762" s="51"/>
      <c r="W762" s="51"/>
      <c r="X762" s="51"/>
      <c r="Y762" s="51"/>
      <c r="Z762" s="51"/>
      <c r="AA762" s="51"/>
      <c r="AB762" s="51"/>
      <c r="AC762" s="51"/>
    </row>
    <row r="763">
      <c r="C763" s="50"/>
      <c r="D763" s="50"/>
      <c r="E763" s="50"/>
      <c r="F763" s="50"/>
      <c r="G763" s="50"/>
      <c r="H763" s="50"/>
      <c r="I763" s="50"/>
      <c r="J763" s="50"/>
      <c r="K763" s="79"/>
      <c r="U763" s="51"/>
      <c r="V763" s="51"/>
      <c r="W763" s="51"/>
      <c r="X763" s="51"/>
      <c r="Y763" s="51"/>
      <c r="Z763" s="51"/>
      <c r="AA763" s="51"/>
      <c r="AB763" s="51"/>
      <c r="AC763" s="51"/>
    </row>
    <row r="764">
      <c r="C764" s="50"/>
      <c r="D764" s="50"/>
      <c r="E764" s="50"/>
      <c r="F764" s="50"/>
      <c r="G764" s="50"/>
      <c r="H764" s="50"/>
      <c r="I764" s="50"/>
      <c r="J764" s="50"/>
      <c r="K764" s="79"/>
      <c r="U764" s="51"/>
      <c r="V764" s="51"/>
      <c r="W764" s="51"/>
      <c r="X764" s="51"/>
      <c r="Y764" s="51"/>
      <c r="Z764" s="51"/>
      <c r="AA764" s="51"/>
      <c r="AB764" s="51"/>
      <c r="AC764" s="51"/>
    </row>
    <row r="765">
      <c r="C765" s="50"/>
      <c r="D765" s="50"/>
      <c r="E765" s="50"/>
      <c r="F765" s="50"/>
      <c r="G765" s="50"/>
      <c r="H765" s="50"/>
      <c r="I765" s="50"/>
      <c r="J765" s="50"/>
      <c r="K765" s="79"/>
      <c r="U765" s="51"/>
      <c r="V765" s="51"/>
      <c r="W765" s="51"/>
      <c r="X765" s="51"/>
      <c r="Y765" s="51"/>
      <c r="Z765" s="51"/>
      <c r="AA765" s="51"/>
      <c r="AB765" s="51"/>
      <c r="AC765" s="51"/>
    </row>
    <row r="766">
      <c r="C766" s="50"/>
      <c r="D766" s="50"/>
      <c r="E766" s="50"/>
      <c r="F766" s="50"/>
      <c r="G766" s="50"/>
      <c r="H766" s="50"/>
      <c r="I766" s="50"/>
      <c r="J766" s="50"/>
      <c r="K766" s="79"/>
      <c r="U766" s="51"/>
      <c r="V766" s="51"/>
      <c r="W766" s="51"/>
      <c r="X766" s="51"/>
      <c r="Y766" s="51"/>
      <c r="Z766" s="51"/>
      <c r="AA766" s="51"/>
      <c r="AB766" s="51"/>
      <c r="AC766" s="51"/>
    </row>
    <row r="767">
      <c r="C767" s="50"/>
      <c r="D767" s="50"/>
      <c r="E767" s="50"/>
      <c r="F767" s="50"/>
      <c r="G767" s="50"/>
      <c r="H767" s="50"/>
      <c r="I767" s="50"/>
      <c r="J767" s="50"/>
      <c r="K767" s="79"/>
      <c r="U767" s="51"/>
      <c r="V767" s="51"/>
      <c r="W767" s="51"/>
      <c r="X767" s="51"/>
      <c r="Y767" s="51"/>
      <c r="Z767" s="51"/>
      <c r="AA767" s="51"/>
      <c r="AB767" s="51"/>
      <c r="AC767" s="51"/>
    </row>
    <row r="768">
      <c r="C768" s="50"/>
      <c r="D768" s="50"/>
      <c r="E768" s="50"/>
      <c r="F768" s="50"/>
      <c r="G768" s="50"/>
      <c r="H768" s="50"/>
      <c r="I768" s="50"/>
      <c r="J768" s="50"/>
      <c r="K768" s="79"/>
      <c r="U768" s="51"/>
      <c r="V768" s="51"/>
      <c r="W768" s="51"/>
      <c r="X768" s="51"/>
      <c r="Y768" s="51"/>
      <c r="Z768" s="51"/>
      <c r="AA768" s="51"/>
      <c r="AB768" s="51"/>
      <c r="AC768" s="51"/>
    </row>
    <row r="769">
      <c r="C769" s="50"/>
      <c r="D769" s="50"/>
      <c r="E769" s="50"/>
      <c r="F769" s="50"/>
      <c r="G769" s="50"/>
      <c r="H769" s="50"/>
      <c r="I769" s="50"/>
      <c r="J769" s="50"/>
      <c r="K769" s="79"/>
      <c r="U769" s="51"/>
      <c r="V769" s="51"/>
      <c r="W769" s="51"/>
      <c r="X769" s="51"/>
      <c r="Y769" s="51"/>
      <c r="Z769" s="51"/>
      <c r="AA769" s="51"/>
      <c r="AB769" s="51"/>
      <c r="AC769" s="51"/>
    </row>
    <row r="770">
      <c r="C770" s="50"/>
      <c r="D770" s="50"/>
      <c r="E770" s="50"/>
      <c r="F770" s="50"/>
      <c r="G770" s="50"/>
      <c r="H770" s="50"/>
      <c r="I770" s="50"/>
      <c r="J770" s="50"/>
      <c r="K770" s="79"/>
      <c r="U770" s="51"/>
      <c r="V770" s="51"/>
      <c r="W770" s="51"/>
      <c r="X770" s="51"/>
      <c r="Y770" s="51"/>
      <c r="Z770" s="51"/>
      <c r="AA770" s="51"/>
      <c r="AB770" s="51"/>
      <c r="AC770" s="51"/>
    </row>
    <row r="771">
      <c r="C771" s="50"/>
      <c r="D771" s="50"/>
      <c r="E771" s="50"/>
      <c r="F771" s="50"/>
      <c r="G771" s="50"/>
      <c r="H771" s="50"/>
      <c r="I771" s="50"/>
      <c r="J771" s="50"/>
      <c r="K771" s="79"/>
      <c r="U771" s="51"/>
      <c r="V771" s="51"/>
      <c r="W771" s="51"/>
      <c r="X771" s="51"/>
      <c r="Y771" s="51"/>
      <c r="Z771" s="51"/>
      <c r="AA771" s="51"/>
      <c r="AB771" s="51"/>
      <c r="AC771" s="51"/>
    </row>
    <row r="772">
      <c r="C772" s="50"/>
      <c r="D772" s="50"/>
      <c r="E772" s="50"/>
      <c r="F772" s="50"/>
      <c r="G772" s="50"/>
      <c r="H772" s="50"/>
      <c r="I772" s="50"/>
      <c r="J772" s="50"/>
      <c r="K772" s="79"/>
      <c r="U772" s="51"/>
      <c r="V772" s="51"/>
      <c r="W772" s="51"/>
      <c r="X772" s="51"/>
      <c r="Y772" s="51"/>
      <c r="Z772" s="51"/>
      <c r="AA772" s="51"/>
      <c r="AB772" s="51"/>
      <c r="AC772" s="51"/>
    </row>
    <row r="773">
      <c r="C773" s="50"/>
      <c r="D773" s="50"/>
      <c r="E773" s="50"/>
      <c r="F773" s="50"/>
      <c r="G773" s="50"/>
      <c r="H773" s="50"/>
      <c r="I773" s="50"/>
      <c r="J773" s="50"/>
      <c r="K773" s="79"/>
      <c r="U773" s="51"/>
      <c r="V773" s="51"/>
      <c r="W773" s="51"/>
      <c r="X773" s="51"/>
      <c r="Y773" s="51"/>
      <c r="Z773" s="51"/>
      <c r="AA773" s="51"/>
      <c r="AB773" s="51"/>
      <c r="AC773" s="51"/>
    </row>
    <row r="774">
      <c r="C774" s="50"/>
      <c r="D774" s="50"/>
      <c r="E774" s="50"/>
      <c r="F774" s="50"/>
      <c r="G774" s="50"/>
      <c r="H774" s="50"/>
      <c r="I774" s="50"/>
      <c r="J774" s="50"/>
      <c r="K774" s="79"/>
      <c r="U774" s="51"/>
      <c r="V774" s="51"/>
      <c r="W774" s="51"/>
      <c r="X774" s="51"/>
      <c r="Y774" s="51"/>
      <c r="Z774" s="51"/>
      <c r="AA774" s="51"/>
      <c r="AB774" s="51"/>
      <c r="AC774" s="51"/>
    </row>
    <row r="775">
      <c r="C775" s="50"/>
      <c r="D775" s="50"/>
      <c r="E775" s="50"/>
      <c r="F775" s="50"/>
      <c r="G775" s="50"/>
      <c r="H775" s="50"/>
      <c r="I775" s="50"/>
      <c r="J775" s="50"/>
      <c r="K775" s="79"/>
      <c r="U775" s="51"/>
      <c r="V775" s="51"/>
      <c r="W775" s="51"/>
      <c r="X775" s="51"/>
      <c r="Y775" s="51"/>
      <c r="Z775" s="51"/>
      <c r="AA775" s="51"/>
      <c r="AB775" s="51"/>
      <c r="AC775" s="51"/>
    </row>
    <row r="776">
      <c r="C776" s="50"/>
      <c r="D776" s="50"/>
      <c r="E776" s="50"/>
      <c r="F776" s="50"/>
      <c r="G776" s="50"/>
      <c r="H776" s="50"/>
      <c r="I776" s="50"/>
      <c r="J776" s="50"/>
      <c r="K776" s="79"/>
      <c r="U776" s="51"/>
      <c r="V776" s="51"/>
      <c r="W776" s="51"/>
      <c r="X776" s="51"/>
      <c r="Y776" s="51"/>
      <c r="Z776" s="51"/>
      <c r="AA776" s="51"/>
      <c r="AB776" s="51"/>
      <c r="AC776" s="51"/>
    </row>
    <row r="777">
      <c r="C777" s="50"/>
      <c r="D777" s="50"/>
      <c r="E777" s="50"/>
      <c r="F777" s="50"/>
      <c r="G777" s="50"/>
      <c r="H777" s="50"/>
      <c r="I777" s="50"/>
      <c r="J777" s="50"/>
      <c r="K777" s="79"/>
      <c r="U777" s="51"/>
      <c r="V777" s="51"/>
      <c r="W777" s="51"/>
      <c r="X777" s="51"/>
      <c r="Y777" s="51"/>
      <c r="Z777" s="51"/>
      <c r="AA777" s="51"/>
      <c r="AB777" s="51"/>
      <c r="AC777" s="51"/>
    </row>
    <row r="778">
      <c r="C778" s="50"/>
      <c r="D778" s="50"/>
      <c r="E778" s="50"/>
      <c r="F778" s="50"/>
      <c r="G778" s="50"/>
      <c r="H778" s="50"/>
      <c r="I778" s="50"/>
      <c r="J778" s="50"/>
      <c r="K778" s="79"/>
      <c r="U778" s="51"/>
      <c r="V778" s="51"/>
      <c r="W778" s="51"/>
      <c r="X778" s="51"/>
      <c r="Y778" s="51"/>
      <c r="Z778" s="51"/>
      <c r="AA778" s="51"/>
      <c r="AB778" s="51"/>
      <c r="AC778" s="51"/>
    </row>
    <row r="779">
      <c r="C779" s="50"/>
      <c r="D779" s="50"/>
      <c r="E779" s="50"/>
      <c r="F779" s="50"/>
      <c r="G779" s="50"/>
      <c r="H779" s="50"/>
      <c r="I779" s="50"/>
      <c r="J779" s="50"/>
      <c r="K779" s="79"/>
      <c r="U779" s="51"/>
      <c r="V779" s="51"/>
      <c r="W779" s="51"/>
      <c r="X779" s="51"/>
      <c r="Y779" s="51"/>
      <c r="Z779" s="51"/>
      <c r="AA779" s="51"/>
      <c r="AB779" s="51"/>
      <c r="AC779" s="51"/>
    </row>
    <row r="780">
      <c r="C780" s="50"/>
      <c r="D780" s="50"/>
      <c r="E780" s="50"/>
      <c r="F780" s="50"/>
      <c r="G780" s="50"/>
      <c r="H780" s="50"/>
      <c r="I780" s="50"/>
      <c r="J780" s="50"/>
      <c r="K780" s="79"/>
      <c r="U780" s="51"/>
      <c r="V780" s="51"/>
      <c r="W780" s="51"/>
      <c r="X780" s="51"/>
      <c r="Y780" s="51"/>
      <c r="Z780" s="51"/>
      <c r="AA780" s="51"/>
      <c r="AB780" s="51"/>
      <c r="AC780" s="51"/>
    </row>
    <row r="781">
      <c r="C781" s="50"/>
      <c r="D781" s="50"/>
      <c r="E781" s="50"/>
      <c r="F781" s="50"/>
      <c r="G781" s="50"/>
      <c r="H781" s="50"/>
      <c r="I781" s="50"/>
      <c r="J781" s="50"/>
      <c r="K781" s="79"/>
      <c r="U781" s="51"/>
      <c r="V781" s="51"/>
      <c r="W781" s="51"/>
      <c r="X781" s="51"/>
      <c r="Y781" s="51"/>
      <c r="Z781" s="51"/>
      <c r="AA781" s="51"/>
      <c r="AB781" s="51"/>
      <c r="AC781" s="51"/>
    </row>
    <row r="782">
      <c r="C782" s="50"/>
      <c r="D782" s="50"/>
      <c r="E782" s="50"/>
      <c r="F782" s="50"/>
      <c r="G782" s="50"/>
      <c r="H782" s="50"/>
      <c r="I782" s="50"/>
      <c r="J782" s="50"/>
      <c r="K782" s="79"/>
      <c r="U782" s="51"/>
      <c r="V782" s="51"/>
      <c r="W782" s="51"/>
      <c r="X782" s="51"/>
      <c r="Y782" s="51"/>
      <c r="Z782" s="51"/>
      <c r="AA782" s="51"/>
      <c r="AB782" s="51"/>
      <c r="AC782" s="51"/>
    </row>
    <row r="783">
      <c r="C783" s="50"/>
      <c r="D783" s="50"/>
      <c r="E783" s="50"/>
      <c r="F783" s="50"/>
      <c r="G783" s="50"/>
      <c r="H783" s="50"/>
      <c r="I783" s="50"/>
      <c r="J783" s="50"/>
      <c r="K783" s="79"/>
      <c r="U783" s="51"/>
      <c r="V783" s="51"/>
      <c r="W783" s="51"/>
      <c r="X783" s="51"/>
      <c r="Y783" s="51"/>
      <c r="Z783" s="51"/>
      <c r="AA783" s="51"/>
      <c r="AB783" s="51"/>
      <c r="AC783" s="51"/>
    </row>
    <row r="784">
      <c r="C784" s="50"/>
      <c r="D784" s="50"/>
      <c r="E784" s="50"/>
      <c r="F784" s="50"/>
      <c r="G784" s="50"/>
      <c r="H784" s="50"/>
      <c r="I784" s="50"/>
      <c r="J784" s="50"/>
      <c r="K784" s="79"/>
      <c r="U784" s="51"/>
      <c r="V784" s="51"/>
      <c r="W784" s="51"/>
      <c r="X784" s="51"/>
      <c r="Y784" s="51"/>
      <c r="Z784" s="51"/>
      <c r="AA784" s="51"/>
      <c r="AB784" s="51"/>
      <c r="AC784" s="51"/>
    </row>
    <row r="785">
      <c r="C785" s="50"/>
      <c r="D785" s="50"/>
      <c r="E785" s="50"/>
      <c r="F785" s="50"/>
      <c r="G785" s="50"/>
      <c r="H785" s="50"/>
      <c r="I785" s="50"/>
      <c r="J785" s="50"/>
      <c r="K785" s="79"/>
      <c r="U785" s="51"/>
      <c r="V785" s="51"/>
      <c r="W785" s="51"/>
      <c r="X785" s="51"/>
      <c r="Y785" s="51"/>
      <c r="Z785" s="51"/>
      <c r="AA785" s="51"/>
      <c r="AB785" s="51"/>
      <c r="AC785" s="51"/>
    </row>
    <row r="786">
      <c r="C786" s="50"/>
      <c r="D786" s="50"/>
      <c r="E786" s="50"/>
      <c r="F786" s="50"/>
      <c r="G786" s="50"/>
      <c r="H786" s="50"/>
      <c r="I786" s="50"/>
      <c r="J786" s="50"/>
      <c r="K786" s="79"/>
      <c r="U786" s="51"/>
      <c r="V786" s="51"/>
      <c r="W786" s="51"/>
      <c r="X786" s="51"/>
      <c r="Y786" s="51"/>
      <c r="Z786" s="51"/>
      <c r="AA786" s="51"/>
      <c r="AB786" s="51"/>
      <c r="AC786" s="51"/>
    </row>
    <row r="787">
      <c r="C787" s="50"/>
      <c r="D787" s="50"/>
      <c r="E787" s="50"/>
      <c r="F787" s="50"/>
      <c r="G787" s="50"/>
      <c r="H787" s="50"/>
      <c r="I787" s="50"/>
      <c r="J787" s="50"/>
      <c r="K787" s="79"/>
      <c r="U787" s="51"/>
      <c r="V787" s="51"/>
      <c r="W787" s="51"/>
      <c r="X787" s="51"/>
      <c r="Y787" s="51"/>
      <c r="Z787" s="51"/>
      <c r="AA787" s="51"/>
      <c r="AB787" s="51"/>
      <c r="AC787" s="51"/>
    </row>
    <row r="788">
      <c r="C788" s="50"/>
      <c r="D788" s="50"/>
      <c r="E788" s="50"/>
      <c r="F788" s="50"/>
      <c r="G788" s="50"/>
      <c r="H788" s="50"/>
      <c r="I788" s="50"/>
      <c r="J788" s="50"/>
      <c r="K788" s="79"/>
      <c r="U788" s="51"/>
      <c r="V788" s="51"/>
      <c r="W788" s="51"/>
      <c r="X788" s="51"/>
      <c r="Y788" s="51"/>
      <c r="Z788" s="51"/>
      <c r="AA788" s="51"/>
      <c r="AB788" s="51"/>
      <c r="AC788" s="51"/>
    </row>
    <row r="789">
      <c r="C789" s="50"/>
      <c r="D789" s="50"/>
      <c r="E789" s="50"/>
      <c r="F789" s="50"/>
      <c r="G789" s="50"/>
      <c r="H789" s="50"/>
      <c r="I789" s="50"/>
      <c r="J789" s="50"/>
      <c r="K789" s="79"/>
      <c r="U789" s="51"/>
      <c r="V789" s="51"/>
      <c r="W789" s="51"/>
      <c r="X789" s="51"/>
      <c r="Y789" s="51"/>
      <c r="Z789" s="51"/>
      <c r="AA789" s="51"/>
      <c r="AB789" s="51"/>
      <c r="AC789" s="51"/>
    </row>
    <row r="790">
      <c r="C790" s="50"/>
      <c r="D790" s="50"/>
      <c r="E790" s="50"/>
      <c r="F790" s="50"/>
      <c r="G790" s="50"/>
      <c r="H790" s="50"/>
      <c r="I790" s="50"/>
      <c r="J790" s="50"/>
      <c r="K790" s="79"/>
      <c r="U790" s="51"/>
      <c r="V790" s="51"/>
      <c r="W790" s="51"/>
      <c r="X790" s="51"/>
      <c r="Y790" s="51"/>
      <c r="Z790" s="51"/>
      <c r="AA790" s="51"/>
      <c r="AB790" s="51"/>
      <c r="AC790" s="51"/>
    </row>
    <row r="791">
      <c r="C791" s="50"/>
      <c r="D791" s="50"/>
      <c r="E791" s="50"/>
      <c r="F791" s="50"/>
      <c r="G791" s="50"/>
      <c r="H791" s="50"/>
      <c r="I791" s="50"/>
      <c r="J791" s="50"/>
      <c r="K791" s="79"/>
      <c r="U791" s="51"/>
      <c r="V791" s="51"/>
      <c r="W791" s="51"/>
      <c r="X791" s="51"/>
      <c r="Y791" s="51"/>
      <c r="Z791" s="51"/>
      <c r="AA791" s="51"/>
      <c r="AB791" s="51"/>
      <c r="AC791" s="51"/>
    </row>
    <row r="792">
      <c r="C792" s="50"/>
      <c r="D792" s="50"/>
      <c r="E792" s="50"/>
      <c r="F792" s="50"/>
      <c r="G792" s="50"/>
      <c r="H792" s="50"/>
      <c r="I792" s="50"/>
      <c r="J792" s="50"/>
      <c r="K792" s="79"/>
      <c r="U792" s="51"/>
      <c r="V792" s="51"/>
      <c r="W792" s="51"/>
      <c r="X792" s="51"/>
      <c r="Y792" s="51"/>
      <c r="Z792" s="51"/>
      <c r="AA792" s="51"/>
      <c r="AB792" s="51"/>
      <c r="AC792" s="51"/>
    </row>
    <row r="793">
      <c r="C793" s="50"/>
      <c r="D793" s="50"/>
      <c r="E793" s="50"/>
      <c r="F793" s="50"/>
      <c r="G793" s="50"/>
      <c r="H793" s="50"/>
      <c r="I793" s="50"/>
      <c r="J793" s="50"/>
      <c r="K793" s="79"/>
      <c r="U793" s="51"/>
      <c r="V793" s="51"/>
      <c r="W793" s="51"/>
      <c r="X793" s="51"/>
      <c r="Y793" s="51"/>
      <c r="Z793" s="51"/>
      <c r="AA793" s="51"/>
      <c r="AB793" s="51"/>
      <c r="AC793" s="51"/>
    </row>
    <row r="794">
      <c r="C794" s="50"/>
      <c r="D794" s="50"/>
      <c r="E794" s="50"/>
      <c r="F794" s="50"/>
      <c r="G794" s="50"/>
      <c r="H794" s="50"/>
      <c r="I794" s="50"/>
      <c r="J794" s="50"/>
      <c r="K794" s="79"/>
      <c r="U794" s="51"/>
      <c r="V794" s="51"/>
      <c r="W794" s="51"/>
      <c r="X794" s="51"/>
      <c r="Y794" s="51"/>
      <c r="Z794" s="51"/>
      <c r="AA794" s="51"/>
      <c r="AB794" s="51"/>
      <c r="AC794" s="51"/>
    </row>
    <row r="795">
      <c r="C795" s="50"/>
      <c r="D795" s="50"/>
      <c r="E795" s="50"/>
      <c r="F795" s="50"/>
      <c r="G795" s="50"/>
      <c r="H795" s="50"/>
      <c r="I795" s="50"/>
      <c r="J795" s="50"/>
      <c r="K795" s="79"/>
      <c r="U795" s="51"/>
      <c r="V795" s="51"/>
      <c r="W795" s="51"/>
      <c r="X795" s="51"/>
      <c r="Y795" s="51"/>
      <c r="Z795" s="51"/>
      <c r="AA795" s="51"/>
      <c r="AB795" s="51"/>
      <c r="AC795" s="51"/>
    </row>
    <row r="796">
      <c r="C796" s="50"/>
      <c r="D796" s="50"/>
      <c r="E796" s="50"/>
      <c r="F796" s="50"/>
      <c r="G796" s="50"/>
      <c r="H796" s="50"/>
      <c r="I796" s="50"/>
      <c r="J796" s="50"/>
      <c r="K796" s="79"/>
      <c r="U796" s="51"/>
      <c r="V796" s="51"/>
      <c r="W796" s="51"/>
      <c r="X796" s="51"/>
      <c r="Y796" s="51"/>
      <c r="Z796" s="51"/>
      <c r="AA796" s="51"/>
      <c r="AB796" s="51"/>
      <c r="AC796" s="51"/>
    </row>
    <row r="797">
      <c r="C797" s="50"/>
      <c r="D797" s="50"/>
      <c r="E797" s="50"/>
      <c r="F797" s="50"/>
      <c r="G797" s="50"/>
      <c r="H797" s="50"/>
      <c r="I797" s="50"/>
      <c r="J797" s="50"/>
      <c r="K797" s="79"/>
      <c r="U797" s="51"/>
      <c r="V797" s="51"/>
      <c r="W797" s="51"/>
      <c r="X797" s="51"/>
      <c r="Y797" s="51"/>
      <c r="Z797" s="51"/>
      <c r="AA797" s="51"/>
      <c r="AB797" s="51"/>
      <c r="AC797" s="51"/>
    </row>
    <row r="798">
      <c r="C798" s="50"/>
      <c r="D798" s="50"/>
      <c r="E798" s="50"/>
      <c r="F798" s="50"/>
      <c r="G798" s="50"/>
      <c r="H798" s="50"/>
      <c r="I798" s="50"/>
      <c r="J798" s="50"/>
      <c r="K798" s="79"/>
      <c r="U798" s="51"/>
      <c r="V798" s="51"/>
      <c r="W798" s="51"/>
      <c r="X798" s="51"/>
      <c r="Y798" s="51"/>
      <c r="Z798" s="51"/>
      <c r="AA798" s="51"/>
      <c r="AB798" s="51"/>
      <c r="AC798" s="51"/>
    </row>
    <row r="799">
      <c r="C799" s="50"/>
      <c r="D799" s="50"/>
      <c r="E799" s="50"/>
      <c r="F799" s="50"/>
      <c r="G799" s="50"/>
      <c r="H799" s="50"/>
      <c r="I799" s="50"/>
      <c r="J799" s="50"/>
      <c r="K799" s="79"/>
      <c r="U799" s="51"/>
      <c r="V799" s="51"/>
      <c r="W799" s="51"/>
      <c r="X799" s="51"/>
      <c r="Y799" s="51"/>
      <c r="Z799" s="51"/>
      <c r="AA799" s="51"/>
      <c r="AB799" s="51"/>
      <c r="AC799" s="51"/>
    </row>
    <row r="800">
      <c r="C800" s="50"/>
      <c r="D800" s="50"/>
      <c r="E800" s="50"/>
      <c r="F800" s="50"/>
      <c r="G800" s="50"/>
      <c r="H800" s="50"/>
      <c r="I800" s="50"/>
      <c r="J800" s="50"/>
      <c r="K800" s="79"/>
      <c r="U800" s="51"/>
      <c r="V800" s="51"/>
      <c r="W800" s="51"/>
      <c r="X800" s="51"/>
      <c r="Y800" s="51"/>
      <c r="Z800" s="51"/>
      <c r="AA800" s="51"/>
      <c r="AB800" s="51"/>
      <c r="AC800" s="51"/>
    </row>
    <row r="801">
      <c r="C801" s="50"/>
      <c r="D801" s="50"/>
      <c r="E801" s="50"/>
      <c r="F801" s="50"/>
      <c r="G801" s="50"/>
      <c r="H801" s="50"/>
      <c r="I801" s="50"/>
      <c r="J801" s="50"/>
      <c r="K801" s="79"/>
      <c r="U801" s="51"/>
      <c r="V801" s="51"/>
      <c r="W801" s="51"/>
      <c r="X801" s="51"/>
      <c r="Y801" s="51"/>
      <c r="Z801" s="51"/>
      <c r="AA801" s="51"/>
      <c r="AB801" s="51"/>
      <c r="AC801" s="51"/>
    </row>
    <row r="802">
      <c r="C802" s="50"/>
      <c r="D802" s="50"/>
      <c r="E802" s="50"/>
      <c r="F802" s="50"/>
      <c r="G802" s="50"/>
      <c r="H802" s="50"/>
      <c r="I802" s="50"/>
      <c r="J802" s="50"/>
      <c r="K802" s="79"/>
      <c r="U802" s="51"/>
      <c r="V802" s="51"/>
      <c r="W802" s="51"/>
      <c r="X802" s="51"/>
      <c r="Y802" s="51"/>
      <c r="Z802" s="51"/>
      <c r="AA802" s="51"/>
      <c r="AB802" s="51"/>
      <c r="AC802" s="51"/>
    </row>
    <row r="803">
      <c r="C803" s="50"/>
      <c r="D803" s="50"/>
      <c r="E803" s="50"/>
      <c r="F803" s="50"/>
      <c r="G803" s="50"/>
      <c r="H803" s="50"/>
      <c r="I803" s="50"/>
      <c r="J803" s="50"/>
      <c r="K803" s="79"/>
      <c r="U803" s="51"/>
      <c r="V803" s="51"/>
      <c r="W803" s="51"/>
      <c r="X803" s="51"/>
      <c r="Y803" s="51"/>
      <c r="Z803" s="51"/>
      <c r="AA803" s="51"/>
      <c r="AB803" s="51"/>
      <c r="AC803" s="51"/>
    </row>
    <row r="804">
      <c r="C804" s="50"/>
      <c r="D804" s="50"/>
      <c r="E804" s="50"/>
      <c r="F804" s="50"/>
      <c r="G804" s="50"/>
      <c r="H804" s="50"/>
      <c r="I804" s="50"/>
      <c r="J804" s="50"/>
      <c r="K804" s="79"/>
      <c r="U804" s="51"/>
      <c r="V804" s="51"/>
      <c r="W804" s="51"/>
      <c r="X804" s="51"/>
      <c r="Y804" s="51"/>
      <c r="Z804" s="51"/>
      <c r="AA804" s="51"/>
      <c r="AB804" s="51"/>
      <c r="AC804" s="51"/>
    </row>
    <row r="805">
      <c r="C805" s="50"/>
      <c r="D805" s="50"/>
      <c r="E805" s="50"/>
      <c r="F805" s="50"/>
      <c r="G805" s="50"/>
      <c r="H805" s="50"/>
      <c r="I805" s="50"/>
      <c r="J805" s="50"/>
      <c r="K805" s="79"/>
      <c r="U805" s="51"/>
      <c r="V805" s="51"/>
      <c r="W805" s="51"/>
      <c r="X805" s="51"/>
      <c r="Y805" s="51"/>
      <c r="Z805" s="51"/>
      <c r="AA805" s="51"/>
      <c r="AB805" s="51"/>
      <c r="AC805" s="51"/>
    </row>
    <row r="806">
      <c r="C806" s="50"/>
      <c r="D806" s="50"/>
      <c r="E806" s="50"/>
      <c r="F806" s="50"/>
      <c r="G806" s="50"/>
      <c r="H806" s="50"/>
      <c r="I806" s="50"/>
      <c r="J806" s="50"/>
      <c r="K806" s="79"/>
      <c r="U806" s="51"/>
      <c r="V806" s="51"/>
      <c r="W806" s="51"/>
      <c r="X806" s="51"/>
      <c r="Y806" s="51"/>
      <c r="Z806" s="51"/>
      <c r="AA806" s="51"/>
      <c r="AB806" s="51"/>
      <c r="AC806" s="51"/>
    </row>
    <row r="807">
      <c r="C807" s="50"/>
      <c r="D807" s="50"/>
      <c r="E807" s="50"/>
      <c r="F807" s="50"/>
      <c r="G807" s="50"/>
      <c r="H807" s="50"/>
      <c r="I807" s="50"/>
      <c r="J807" s="50"/>
      <c r="K807" s="79"/>
      <c r="U807" s="51"/>
      <c r="V807" s="51"/>
      <c r="W807" s="51"/>
      <c r="X807" s="51"/>
      <c r="Y807" s="51"/>
      <c r="Z807" s="51"/>
      <c r="AA807" s="51"/>
      <c r="AB807" s="51"/>
      <c r="AC807" s="51"/>
    </row>
    <row r="808">
      <c r="C808" s="50"/>
      <c r="D808" s="50"/>
      <c r="E808" s="50"/>
      <c r="F808" s="50"/>
      <c r="G808" s="50"/>
      <c r="H808" s="50"/>
      <c r="I808" s="50"/>
      <c r="J808" s="50"/>
      <c r="K808" s="79"/>
      <c r="U808" s="51"/>
      <c r="V808" s="51"/>
      <c r="W808" s="51"/>
      <c r="X808" s="51"/>
      <c r="Y808" s="51"/>
      <c r="Z808" s="51"/>
      <c r="AA808" s="51"/>
      <c r="AB808" s="51"/>
      <c r="AC808" s="51"/>
    </row>
    <row r="809">
      <c r="C809" s="50"/>
      <c r="D809" s="50"/>
      <c r="E809" s="50"/>
      <c r="F809" s="50"/>
      <c r="G809" s="50"/>
      <c r="H809" s="50"/>
      <c r="I809" s="50"/>
      <c r="J809" s="50"/>
      <c r="K809" s="79"/>
      <c r="U809" s="51"/>
      <c r="V809" s="51"/>
      <c r="W809" s="51"/>
      <c r="X809" s="51"/>
      <c r="Y809" s="51"/>
      <c r="Z809" s="51"/>
      <c r="AA809" s="51"/>
      <c r="AB809" s="51"/>
      <c r="AC809" s="51"/>
    </row>
    <row r="810">
      <c r="C810" s="50"/>
      <c r="D810" s="50"/>
      <c r="E810" s="50"/>
      <c r="F810" s="50"/>
      <c r="G810" s="50"/>
      <c r="H810" s="50"/>
      <c r="I810" s="50"/>
      <c r="J810" s="50"/>
      <c r="K810" s="79"/>
      <c r="U810" s="51"/>
      <c r="V810" s="51"/>
      <c r="W810" s="51"/>
      <c r="X810" s="51"/>
      <c r="Y810" s="51"/>
      <c r="Z810" s="51"/>
      <c r="AA810" s="51"/>
      <c r="AB810" s="51"/>
      <c r="AC810" s="51"/>
    </row>
    <row r="811">
      <c r="C811" s="50"/>
      <c r="D811" s="50"/>
      <c r="E811" s="50"/>
      <c r="F811" s="50"/>
      <c r="G811" s="50"/>
      <c r="H811" s="50"/>
      <c r="I811" s="50"/>
      <c r="J811" s="50"/>
      <c r="K811" s="79"/>
      <c r="U811" s="51"/>
      <c r="V811" s="51"/>
      <c r="W811" s="51"/>
      <c r="X811" s="51"/>
      <c r="Y811" s="51"/>
      <c r="Z811" s="51"/>
      <c r="AA811" s="51"/>
      <c r="AB811" s="51"/>
      <c r="AC811" s="51"/>
    </row>
    <row r="812">
      <c r="C812" s="50"/>
      <c r="D812" s="50"/>
      <c r="E812" s="50"/>
      <c r="F812" s="50"/>
      <c r="G812" s="50"/>
      <c r="H812" s="50"/>
      <c r="I812" s="50"/>
      <c r="J812" s="50"/>
      <c r="K812" s="79"/>
      <c r="U812" s="51"/>
      <c r="V812" s="51"/>
      <c r="W812" s="51"/>
      <c r="X812" s="51"/>
      <c r="Y812" s="51"/>
      <c r="Z812" s="51"/>
      <c r="AA812" s="51"/>
      <c r="AB812" s="51"/>
      <c r="AC812" s="51"/>
    </row>
    <row r="813">
      <c r="C813" s="50"/>
      <c r="D813" s="50"/>
      <c r="E813" s="50"/>
      <c r="F813" s="50"/>
      <c r="G813" s="50"/>
      <c r="H813" s="50"/>
      <c r="I813" s="50"/>
      <c r="J813" s="50"/>
      <c r="K813" s="79"/>
      <c r="U813" s="51"/>
      <c r="V813" s="51"/>
      <c r="W813" s="51"/>
      <c r="X813" s="51"/>
      <c r="Y813" s="51"/>
      <c r="Z813" s="51"/>
      <c r="AA813" s="51"/>
      <c r="AB813" s="51"/>
      <c r="AC813" s="51"/>
    </row>
    <row r="814">
      <c r="C814" s="50"/>
      <c r="D814" s="50"/>
      <c r="E814" s="50"/>
      <c r="F814" s="50"/>
      <c r="G814" s="50"/>
      <c r="H814" s="50"/>
      <c r="I814" s="50"/>
      <c r="J814" s="50"/>
      <c r="K814" s="79"/>
      <c r="U814" s="51"/>
      <c r="V814" s="51"/>
      <c r="W814" s="51"/>
      <c r="X814" s="51"/>
      <c r="Y814" s="51"/>
      <c r="Z814" s="51"/>
      <c r="AA814" s="51"/>
      <c r="AB814" s="51"/>
      <c r="AC814" s="51"/>
    </row>
    <row r="815">
      <c r="C815" s="50"/>
      <c r="D815" s="50"/>
      <c r="E815" s="50"/>
      <c r="F815" s="50"/>
      <c r="G815" s="50"/>
      <c r="H815" s="50"/>
      <c r="I815" s="50"/>
      <c r="J815" s="50"/>
      <c r="K815" s="79"/>
      <c r="U815" s="51"/>
      <c r="V815" s="51"/>
      <c r="W815" s="51"/>
      <c r="X815" s="51"/>
      <c r="Y815" s="51"/>
      <c r="Z815" s="51"/>
      <c r="AA815" s="51"/>
      <c r="AB815" s="51"/>
      <c r="AC815" s="51"/>
    </row>
    <row r="816">
      <c r="C816" s="50"/>
      <c r="D816" s="50"/>
      <c r="E816" s="50"/>
      <c r="F816" s="50"/>
      <c r="G816" s="50"/>
      <c r="H816" s="50"/>
      <c r="I816" s="50"/>
      <c r="J816" s="50"/>
      <c r="K816" s="79"/>
      <c r="U816" s="51"/>
      <c r="V816" s="51"/>
      <c r="W816" s="51"/>
      <c r="X816" s="51"/>
      <c r="Y816" s="51"/>
      <c r="Z816" s="51"/>
      <c r="AA816" s="51"/>
      <c r="AB816" s="51"/>
      <c r="AC816" s="51"/>
    </row>
    <row r="817">
      <c r="C817" s="50"/>
      <c r="D817" s="50"/>
      <c r="E817" s="50"/>
      <c r="F817" s="50"/>
      <c r="G817" s="50"/>
      <c r="H817" s="50"/>
      <c r="I817" s="50"/>
      <c r="J817" s="50"/>
      <c r="K817" s="79"/>
      <c r="U817" s="51"/>
      <c r="V817" s="51"/>
      <c r="W817" s="51"/>
      <c r="X817" s="51"/>
      <c r="Y817" s="51"/>
      <c r="Z817" s="51"/>
      <c r="AA817" s="51"/>
      <c r="AB817" s="51"/>
      <c r="AC817" s="51"/>
    </row>
    <row r="818">
      <c r="C818" s="50"/>
      <c r="D818" s="50"/>
      <c r="E818" s="50"/>
      <c r="F818" s="50"/>
      <c r="G818" s="50"/>
      <c r="H818" s="50"/>
      <c r="I818" s="50"/>
      <c r="J818" s="50"/>
      <c r="K818" s="79"/>
      <c r="U818" s="51"/>
      <c r="V818" s="51"/>
      <c r="W818" s="51"/>
      <c r="X818" s="51"/>
      <c r="Y818" s="51"/>
      <c r="Z818" s="51"/>
      <c r="AA818" s="51"/>
      <c r="AB818" s="51"/>
      <c r="AC818" s="51"/>
    </row>
    <row r="819">
      <c r="C819" s="50"/>
      <c r="D819" s="50"/>
      <c r="E819" s="50"/>
      <c r="F819" s="50"/>
      <c r="G819" s="50"/>
      <c r="H819" s="50"/>
      <c r="I819" s="50"/>
      <c r="J819" s="50"/>
      <c r="K819" s="79"/>
      <c r="U819" s="51"/>
      <c r="V819" s="51"/>
      <c r="W819" s="51"/>
      <c r="X819" s="51"/>
      <c r="Y819" s="51"/>
      <c r="Z819" s="51"/>
      <c r="AA819" s="51"/>
      <c r="AB819" s="51"/>
      <c r="AC819" s="51"/>
    </row>
    <row r="820">
      <c r="C820" s="50"/>
      <c r="D820" s="50"/>
      <c r="E820" s="50"/>
      <c r="F820" s="50"/>
      <c r="G820" s="50"/>
      <c r="H820" s="50"/>
      <c r="I820" s="50"/>
      <c r="J820" s="50"/>
      <c r="K820" s="79"/>
      <c r="U820" s="51"/>
      <c r="V820" s="51"/>
      <c r="W820" s="51"/>
      <c r="X820" s="51"/>
      <c r="Y820" s="51"/>
      <c r="Z820" s="51"/>
      <c r="AA820" s="51"/>
      <c r="AB820" s="51"/>
      <c r="AC820" s="51"/>
    </row>
    <row r="821">
      <c r="C821" s="50"/>
      <c r="D821" s="50"/>
      <c r="E821" s="50"/>
      <c r="F821" s="50"/>
      <c r="G821" s="50"/>
      <c r="H821" s="50"/>
      <c r="I821" s="50"/>
      <c r="J821" s="50"/>
      <c r="K821" s="79"/>
      <c r="U821" s="51"/>
      <c r="V821" s="51"/>
      <c r="W821" s="51"/>
      <c r="X821" s="51"/>
      <c r="Y821" s="51"/>
      <c r="Z821" s="51"/>
      <c r="AA821" s="51"/>
      <c r="AB821" s="51"/>
      <c r="AC821" s="51"/>
    </row>
    <row r="822">
      <c r="C822" s="50"/>
      <c r="D822" s="50"/>
      <c r="E822" s="50"/>
      <c r="F822" s="50"/>
      <c r="G822" s="50"/>
      <c r="H822" s="50"/>
      <c r="I822" s="50"/>
      <c r="J822" s="50"/>
      <c r="K822" s="79"/>
      <c r="U822" s="51"/>
      <c r="V822" s="51"/>
      <c r="W822" s="51"/>
      <c r="X822" s="51"/>
      <c r="Y822" s="51"/>
      <c r="Z822" s="51"/>
      <c r="AA822" s="51"/>
      <c r="AB822" s="51"/>
      <c r="AC822" s="51"/>
    </row>
    <row r="823">
      <c r="C823" s="50"/>
      <c r="D823" s="50"/>
      <c r="E823" s="50"/>
      <c r="F823" s="50"/>
      <c r="G823" s="50"/>
      <c r="H823" s="50"/>
      <c r="I823" s="50"/>
      <c r="J823" s="50"/>
      <c r="K823" s="79"/>
      <c r="U823" s="51"/>
      <c r="V823" s="51"/>
      <c r="W823" s="51"/>
      <c r="X823" s="51"/>
      <c r="Y823" s="51"/>
      <c r="Z823" s="51"/>
      <c r="AA823" s="51"/>
      <c r="AB823" s="51"/>
      <c r="AC823" s="51"/>
    </row>
    <row r="824">
      <c r="C824" s="50"/>
      <c r="D824" s="50"/>
      <c r="E824" s="50"/>
      <c r="F824" s="50"/>
      <c r="G824" s="50"/>
      <c r="H824" s="50"/>
      <c r="I824" s="50"/>
      <c r="J824" s="50"/>
      <c r="K824" s="79"/>
      <c r="U824" s="51"/>
      <c r="V824" s="51"/>
      <c r="W824" s="51"/>
      <c r="X824" s="51"/>
      <c r="Y824" s="51"/>
      <c r="Z824" s="51"/>
      <c r="AA824" s="51"/>
      <c r="AB824" s="51"/>
      <c r="AC824" s="51"/>
    </row>
    <row r="825">
      <c r="C825" s="50"/>
      <c r="D825" s="50"/>
      <c r="E825" s="50"/>
      <c r="F825" s="50"/>
      <c r="G825" s="50"/>
      <c r="H825" s="50"/>
      <c r="I825" s="50"/>
      <c r="J825" s="50"/>
      <c r="K825" s="79"/>
      <c r="U825" s="51"/>
      <c r="V825" s="51"/>
      <c r="W825" s="51"/>
      <c r="X825" s="51"/>
      <c r="Y825" s="51"/>
      <c r="Z825" s="51"/>
      <c r="AA825" s="51"/>
      <c r="AB825" s="51"/>
      <c r="AC825" s="51"/>
    </row>
    <row r="826">
      <c r="C826" s="50"/>
      <c r="D826" s="50"/>
      <c r="E826" s="50"/>
      <c r="F826" s="50"/>
      <c r="G826" s="50"/>
      <c r="H826" s="50"/>
      <c r="I826" s="50"/>
      <c r="J826" s="50"/>
      <c r="K826" s="79"/>
      <c r="U826" s="51"/>
      <c r="V826" s="51"/>
      <c r="W826" s="51"/>
      <c r="X826" s="51"/>
      <c r="Y826" s="51"/>
      <c r="Z826" s="51"/>
      <c r="AA826" s="51"/>
      <c r="AB826" s="51"/>
      <c r="AC826" s="51"/>
    </row>
    <row r="827">
      <c r="C827" s="50"/>
      <c r="D827" s="50"/>
      <c r="E827" s="50"/>
      <c r="F827" s="50"/>
      <c r="G827" s="50"/>
      <c r="H827" s="50"/>
      <c r="I827" s="50"/>
      <c r="J827" s="50"/>
      <c r="K827" s="79"/>
      <c r="U827" s="51"/>
      <c r="V827" s="51"/>
      <c r="W827" s="51"/>
      <c r="X827" s="51"/>
      <c r="Y827" s="51"/>
      <c r="Z827" s="51"/>
      <c r="AA827" s="51"/>
      <c r="AB827" s="51"/>
      <c r="AC827" s="51"/>
    </row>
    <row r="828">
      <c r="C828" s="50"/>
      <c r="D828" s="50"/>
      <c r="E828" s="50"/>
      <c r="F828" s="50"/>
      <c r="G828" s="50"/>
      <c r="H828" s="50"/>
      <c r="I828" s="50"/>
      <c r="J828" s="50"/>
      <c r="K828" s="79"/>
      <c r="U828" s="51"/>
      <c r="V828" s="51"/>
      <c r="W828" s="51"/>
      <c r="X828" s="51"/>
      <c r="Y828" s="51"/>
      <c r="Z828" s="51"/>
      <c r="AA828" s="51"/>
      <c r="AB828" s="51"/>
      <c r="AC828" s="51"/>
    </row>
    <row r="829">
      <c r="C829" s="50"/>
      <c r="D829" s="50"/>
      <c r="E829" s="50"/>
      <c r="F829" s="50"/>
      <c r="G829" s="50"/>
      <c r="H829" s="50"/>
      <c r="I829" s="50"/>
      <c r="J829" s="50"/>
      <c r="K829" s="79"/>
      <c r="U829" s="51"/>
      <c r="V829" s="51"/>
      <c r="W829" s="51"/>
      <c r="X829" s="51"/>
      <c r="Y829" s="51"/>
      <c r="Z829" s="51"/>
      <c r="AA829" s="51"/>
      <c r="AB829" s="51"/>
      <c r="AC829" s="51"/>
    </row>
    <row r="830">
      <c r="C830" s="50"/>
      <c r="D830" s="50"/>
      <c r="E830" s="50"/>
      <c r="F830" s="50"/>
      <c r="G830" s="50"/>
      <c r="H830" s="50"/>
      <c r="I830" s="50"/>
      <c r="J830" s="50"/>
      <c r="K830" s="79"/>
      <c r="U830" s="51"/>
      <c r="V830" s="51"/>
      <c r="W830" s="51"/>
      <c r="X830" s="51"/>
      <c r="Y830" s="51"/>
      <c r="Z830" s="51"/>
      <c r="AA830" s="51"/>
      <c r="AB830" s="51"/>
      <c r="AC830" s="51"/>
    </row>
    <row r="831">
      <c r="C831" s="50"/>
      <c r="D831" s="50"/>
      <c r="E831" s="50"/>
      <c r="F831" s="50"/>
      <c r="G831" s="50"/>
      <c r="H831" s="50"/>
      <c r="I831" s="50"/>
      <c r="J831" s="50"/>
      <c r="K831" s="79"/>
      <c r="U831" s="51"/>
      <c r="V831" s="51"/>
      <c r="W831" s="51"/>
      <c r="X831" s="51"/>
      <c r="Y831" s="51"/>
      <c r="Z831" s="51"/>
      <c r="AA831" s="51"/>
      <c r="AB831" s="51"/>
      <c r="AC831" s="51"/>
    </row>
    <row r="832">
      <c r="C832" s="50"/>
      <c r="D832" s="50"/>
      <c r="E832" s="50"/>
      <c r="F832" s="50"/>
      <c r="G832" s="50"/>
      <c r="H832" s="50"/>
      <c r="I832" s="50"/>
      <c r="J832" s="50"/>
      <c r="K832" s="79"/>
      <c r="U832" s="51"/>
      <c r="V832" s="51"/>
      <c r="W832" s="51"/>
      <c r="X832" s="51"/>
      <c r="Y832" s="51"/>
      <c r="Z832" s="51"/>
      <c r="AA832" s="51"/>
      <c r="AB832" s="51"/>
      <c r="AC832" s="51"/>
    </row>
    <row r="833">
      <c r="C833" s="50"/>
      <c r="D833" s="50"/>
      <c r="E833" s="50"/>
      <c r="F833" s="50"/>
      <c r="G833" s="50"/>
      <c r="H833" s="50"/>
      <c r="I833" s="50"/>
      <c r="J833" s="50"/>
      <c r="K833" s="79"/>
      <c r="U833" s="51"/>
      <c r="V833" s="51"/>
      <c r="W833" s="51"/>
      <c r="X833" s="51"/>
      <c r="Y833" s="51"/>
      <c r="Z833" s="51"/>
      <c r="AA833" s="51"/>
      <c r="AB833" s="51"/>
      <c r="AC833" s="51"/>
    </row>
    <row r="834">
      <c r="C834" s="50"/>
      <c r="D834" s="50"/>
      <c r="E834" s="50"/>
      <c r="F834" s="50"/>
      <c r="G834" s="50"/>
      <c r="H834" s="50"/>
      <c r="I834" s="50"/>
      <c r="J834" s="50"/>
      <c r="K834" s="79"/>
      <c r="U834" s="51"/>
      <c r="V834" s="51"/>
      <c r="W834" s="51"/>
      <c r="X834" s="51"/>
      <c r="Y834" s="51"/>
      <c r="Z834" s="51"/>
      <c r="AA834" s="51"/>
      <c r="AB834" s="51"/>
      <c r="AC834" s="51"/>
    </row>
    <row r="835">
      <c r="C835" s="50"/>
      <c r="D835" s="50"/>
      <c r="E835" s="50"/>
      <c r="F835" s="50"/>
      <c r="G835" s="50"/>
      <c r="H835" s="50"/>
      <c r="I835" s="50"/>
      <c r="J835" s="50"/>
      <c r="K835" s="79"/>
      <c r="U835" s="51"/>
      <c r="V835" s="51"/>
      <c r="W835" s="51"/>
      <c r="X835" s="51"/>
      <c r="Y835" s="51"/>
      <c r="Z835" s="51"/>
      <c r="AA835" s="51"/>
      <c r="AB835" s="51"/>
      <c r="AC835" s="51"/>
    </row>
    <row r="836">
      <c r="C836" s="50"/>
      <c r="D836" s="50"/>
      <c r="E836" s="50"/>
      <c r="F836" s="50"/>
      <c r="G836" s="50"/>
      <c r="H836" s="50"/>
      <c r="I836" s="50"/>
      <c r="J836" s="50"/>
      <c r="K836" s="79"/>
      <c r="U836" s="51"/>
      <c r="V836" s="51"/>
      <c r="W836" s="51"/>
      <c r="X836" s="51"/>
      <c r="Y836" s="51"/>
      <c r="Z836" s="51"/>
      <c r="AA836" s="51"/>
      <c r="AB836" s="51"/>
      <c r="AC836" s="51"/>
    </row>
    <row r="837">
      <c r="C837" s="50"/>
      <c r="D837" s="50"/>
      <c r="E837" s="50"/>
      <c r="F837" s="50"/>
      <c r="G837" s="50"/>
      <c r="H837" s="50"/>
      <c r="I837" s="50"/>
      <c r="J837" s="50"/>
      <c r="K837" s="79"/>
      <c r="U837" s="51"/>
      <c r="V837" s="51"/>
      <c r="W837" s="51"/>
      <c r="X837" s="51"/>
      <c r="Y837" s="51"/>
      <c r="Z837" s="51"/>
      <c r="AA837" s="51"/>
      <c r="AB837" s="51"/>
      <c r="AC837" s="51"/>
    </row>
    <row r="838">
      <c r="C838" s="50"/>
      <c r="D838" s="50"/>
      <c r="E838" s="50"/>
      <c r="F838" s="50"/>
      <c r="G838" s="50"/>
      <c r="H838" s="50"/>
      <c r="I838" s="50"/>
      <c r="J838" s="50"/>
      <c r="K838" s="79"/>
      <c r="U838" s="51"/>
      <c r="V838" s="51"/>
      <c r="W838" s="51"/>
      <c r="X838" s="51"/>
      <c r="Y838" s="51"/>
      <c r="Z838" s="51"/>
      <c r="AA838" s="51"/>
      <c r="AB838" s="51"/>
      <c r="AC838" s="51"/>
    </row>
    <row r="839">
      <c r="C839" s="50"/>
      <c r="D839" s="50"/>
      <c r="E839" s="50"/>
      <c r="F839" s="50"/>
      <c r="G839" s="50"/>
      <c r="H839" s="50"/>
      <c r="I839" s="50"/>
      <c r="J839" s="50"/>
      <c r="K839" s="79"/>
      <c r="U839" s="51"/>
      <c r="V839" s="51"/>
      <c r="W839" s="51"/>
      <c r="X839" s="51"/>
      <c r="Y839" s="51"/>
      <c r="Z839" s="51"/>
      <c r="AA839" s="51"/>
      <c r="AB839" s="51"/>
      <c r="AC839" s="51"/>
    </row>
    <row r="840">
      <c r="C840" s="50"/>
      <c r="D840" s="50"/>
      <c r="E840" s="50"/>
      <c r="F840" s="50"/>
      <c r="G840" s="50"/>
      <c r="H840" s="50"/>
      <c r="I840" s="50"/>
      <c r="J840" s="50"/>
      <c r="K840" s="79"/>
      <c r="U840" s="51"/>
      <c r="V840" s="51"/>
      <c r="W840" s="51"/>
      <c r="X840" s="51"/>
      <c r="Y840" s="51"/>
      <c r="Z840" s="51"/>
      <c r="AA840" s="51"/>
      <c r="AB840" s="51"/>
      <c r="AC840" s="51"/>
    </row>
    <row r="841">
      <c r="C841" s="50"/>
      <c r="D841" s="50"/>
      <c r="E841" s="50"/>
      <c r="F841" s="50"/>
      <c r="G841" s="50"/>
      <c r="H841" s="50"/>
      <c r="I841" s="50"/>
      <c r="J841" s="50"/>
      <c r="K841" s="79"/>
      <c r="U841" s="51"/>
      <c r="V841" s="51"/>
      <c r="W841" s="51"/>
      <c r="X841" s="51"/>
      <c r="Y841" s="51"/>
      <c r="Z841" s="51"/>
      <c r="AA841" s="51"/>
      <c r="AB841" s="51"/>
      <c r="AC841" s="51"/>
    </row>
    <row r="842">
      <c r="C842" s="50"/>
      <c r="D842" s="50"/>
      <c r="E842" s="50"/>
      <c r="F842" s="50"/>
      <c r="G842" s="50"/>
      <c r="H842" s="50"/>
      <c r="I842" s="50"/>
      <c r="J842" s="50"/>
      <c r="K842" s="79"/>
      <c r="U842" s="51"/>
      <c r="V842" s="51"/>
      <c r="W842" s="51"/>
      <c r="X842" s="51"/>
      <c r="Y842" s="51"/>
      <c r="Z842" s="51"/>
      <c r="AA842" s="51"/>
      <c r="AB842" s="51"/>
      <c r="AC842" s="51"/>
    </row>
    <row r="843">
      <c r="C843" s="50"/>
      <c r="D843" s="50"/>
      <c r="E843" s="50"/>
      <c r="F843" s="50"/>
      <c r="G843" s="50"/>
      <c r="H843" s="50"/>
      <c r="I843" s="50"/>
      <c r="J843" s="50"/>
      <c r="K843" s="79"/>
      <c r="U843" s="51"/>
      <c r="V843" s="51"/>
      <c r="W843" s="51"/>
      <c r="X843" s="51"/>
      <c r="Y843" s="51"/>
      <c r="Z843" s="51"/>
      <c r="AA843" s="51"/>
      <c r="AB843" s="51"/>
      <c r="AC843" s="51"/>
    </row>
    <row r="844">
      <c r="C844" s="50"/>
      <c r="D844" s="50"/>
      <c r="E844" s="50"/>
      <c r="F844" s="50"/>
      <c r="G844" s="50"/>
      <c r="H844" s="50"/>
      <c r="I844" s="50"/>
      <c r="J844" s="50"/>
      <c r="K844" s="79"/>
      <c r="U844" s="51"/>
      <c r="V844" s="51"/>
      <c r="W844" s="51"/>
      <c r="X844" s="51"/>
      <c r="Y844" s="51"/>
      <c r="Z844" s="51"/>
      <c r="AA844" s="51"/>
      <c r="AB844" s="51"/>
      <c r="AC844" s="51"/>
    </row>
    <row r="845">
      <c r="C845" s="50"/>
      <c r="D845" s="50"/>
      <c r="E845" s="50"/>
      <c r="F845" s="50"/>
      <c r="G845" s="50"/>
      <c r="H845" s="50"/>
      <c r="I845" s="50"/>
      <c r="J845" s="50"/>
      <c r="K845" s="79"/>
      <c r="U845" s="51"/>
      <c r="V845" s="51"/>
      <c r="W845" s="51"/>
      <c r="X845" s="51"/>
      <c r="Y845" s="51"/>
      <c r="Z845" s="51"/>
      <c r="AA845" s="51"/>
      <c r="AB845" s="51"/>
      <c r="AC845" s="51"/>
    </row>
    <row r="846">
      <c r="C846" s="50"/>
      <c r="D846" s="50"/>
      <c r="E846" s="50"/>
      <c r="F846" s="50"/>
      <c r="G846" s="50"/>
      <c r="H846" s="50"/>
      <c r="I846" s="50"/>
      <c r="J846" s="50"/>
      <c r="K846" s="79"/>
      <c r="U846" s="51"/>
      <c r="V846" s="51"/>
      <c r="W846" s="51"/>
      <c r="X846" s="51"/>
      <c r="Y846" s="51"/>
      <c r="Z846" s="51"/>
      <c r="AA846" s="51"/>
      <c r="AB846" s="51"/>
      <c r="AC846" s="51"/>
    </row>
    <row r="847">
      <c r="C847" s="50"/>
      <c r="D847" s="50"/>
      <c r="E847" s="50"/>
      <c r="F847" s="50"/>
      <c r="G847" s="50"/>
      <c r="H847" s="50"/>
      <c r="I847" s="50"/>
      <c r="J847" s="50"/>
      <c r="K847" s="79"/>
      <c r="U847" s="51"/>
      <c r="V847" s="51"/>
      <c r="W847" s="51"/>
      <c r="X847" s="51"/>
      <c r="Y847" s="51"/>
      <c r="Z847" s="51"/>
      <c r="AA847" s="51"/>
      <c r="AB847" s="51"/>
      <c r="AC847" s="51"/>
    </row>
    <row r="848">
      <c r="C848" s="50"/>
      <c r="D848" s="50"/>
      <c r="E848" s="50"/>
      <c r="F848" s="50"/>
      <c r="G848" s="50"/>
      <c r="H848" s="50"/>
      <c r="I848" s="50"/>
      <c r="J848" s="50"/>
      <c r="K848" s="79"/>
      <c r="U848" s="51"/>
      <c r="V848" s="51"/>
      <c r="W848" s="51"/>
      <c r="X848" s="51"/>
      <c r="Y848" s="51"/>
      <c r="Z848" s="51"/>
      <c r="AA848" s="51"/>
      <c r="AB848" s="51"/>
      <c r="AC848" s="51"/>
    </row>
    <row r="849">
      <c r="C849" s="50"/>
      <c r="D849" s="50"/>
      <c r="E849" s="50"/>
      <c r="F849" s="50"/>
      <c r="G849" s="50"/>
      <c r="H849" s="50"/>
      <c r="I849" s="50"/>
      <c r="J849" s="50"/>
      <c r="K849" s="79"/>
      <c r="U849" s="51"/>
      <c r="V849" s="51"/>
      <c r="W849" s="51"/>
      <c r="X849" s="51"/>
      <c r="Y849" s="51"/>
      <c r="Z849" s="51"/>
      <c r="AA849" s="51"/>
      <c r="AB849" s="51"/>
      <c r="AC849" s="51"/>
    </row>
    <row r="850">
      <c r="C850" s="50"/>
      <c r="D850" s="50"/>
      <c r="E850" s="50"/>
      <c r="F850" s="50"/>
      <c r="G850" s="50"/>
      <c r="H850" s="50"/>
      <c r="I850" s="50"/>
      <c r="J850" s="50"/>
      <c r="K850" s="79"/>
      <c r="U850" s="51"/>
      <c r="V850" s="51"/>
      <c r="W850" s="51"/>
      <c r="X850" s="51"/>
      <c r="Y850" s="51"/>
      <c r="Z850" s="51"/>
      <c r="AA850" s="51"/>
      <c r="AB850" s="51"/>
      <c r="AC850" s="51"/>
    </row>
    <row r="851">
      <c r="C851" s="50"/>
      <c r="D851" s="50"/>
      <c r="E851" s="50"/>
      <c r="F851" s="50"/>
      <c r="G851" s="50"/>
      <c r="H851" s="50"/>
      <c r="I851" s="50"/>
      <c r="J851" s="50"/>
      <c r="K851" s="79"/>
      <c r="U851" s="51"/>
      <c r="V851" s="51"/>
      <c r="W851" s="51"/>
      <c r="X851" s="51"/>
      <c r="Y851" s="51"/>
      <c r="Z851" s="51"/>
      <c r="AA851" s="51"/>
      <c r="AB851" s="51"/>
      <c r="AC851" s="51"/>
    </row>
    <row r="852">
      <c r="C852" s="50"/>
      <c r="D852" s="50"/>
      <c r="E852" s="50"/>
      <c r="F852" s="50"/>
      <c r="G852" s="50"/>
      <c r="H852" s="50"/>
      <c r="I852" s="50"/>
      <c r="J852" s="50"/>
      <c r="K852" s="79"/>
      <c r="U852" s="51"/>
      <c r="V852" s="51"/>
      <c r="W852" s="51"/>
      <c r="X852" s="51"/>
      <c r="Y852" s="51"/>
      <c r="Z852" s="51"/>
      <c r="AA852" s="51"/>
      <c r="AB852" s="51"/>
      <c r="AC852" s="51"/>
    </row>
    <row r="853">
      <c r="C853" s="50"/>
      <c r="D853" s="50"/>
      <c r="E853" s="50"/>
      <c r="F853" s="50"/>
      <c r="G853" s="50"/>
      <c r="H853" s="50"/>
      <c r="I853" s="50"/>
      <c r="J853" s="50"/>
      <c r="K853" s="79"/>
      <c r="U853" s="51"/>
      <c r="V853" s="51"/>
      <c r="W853" s="51"/>
      <c r="X853" s="51"/>
      <c r="Y853" s="51"/>
      <c r="Z853" s="51"/>
      <c r="AA853" s="51"/>
      <c r="AB853" s="51"/>
      <c r="AC853" s="51"/>
    </row>
    <row r="854">
      <c r="C854" s="50"/>
      <c r="D854" s="50"/>
      <c r="E854" s="50"/>
      <c r="F854" s="50"/>
      <c r="G854" s="50"/>
      <c r="H854" s="50"/>
      <c r="I854" s="50"/>
      <c r="J854" s="50"/>
      <c r="K854" s="79"/>
      <c r="U854" s="51"/>
      <c r="V854" s="51"/>
      <c r="W854" s="51"/>
      <c r="X854" s="51"/>
      <c r="Y854" s="51"/>
      <c r="Z854" s="51"/>
      <c r="AA854" s="51"/>
      <c r="AB854" s="51"/>
      <c r="AC854" s="51"/>
    </row>
    <row r="855">
      <c r="C855" s="50"/>
      <c r="D855" s="50"/>
      <c r="E855" s="50"/>
      <c r="F855" s="50"/>
      <c r="G855" s="50"/>
      <c r="H855" s="50"/>
      <c r="I855" s="50"/>
      <c r="J855" s="50"/>
      <c r="K855" s="79"/>
      <c r="U855" s="51"/>
      <c r="V855" s="51"/>
      <c r="W855" s="51"/>
      <c r="X855" s="51"/>
      <c r="Y855" s="51"/>
      <c r="Z855" s="51"/>
      <c r="AA855" s="51"/>
      <c r="AB855" s="51"/>
      <c r="AC855" s="51"/>
    </row>
    <row r="856">
      <c r="C856" s="50"/>
      <c r="D856" s="50"/>
      <c r="E856" s="50"/>
      <c r="F856" s="50"/>
      <c r="G856" s="50"/>
      <c r="H856" s="50"/>
      <c r="I856" s="50"/>
      <c r="J856" s="50"/>
      <c r="K856" s="79"/>
      <c r="U856" s="51"/>
      <c r="V856" s="51"/>
      <c r="W856" s="51"/>
      <c r="X856" s="51"/>
      <c r="Y856" s="51"/>
      <c r="Z856" s="51"/>
      <c r="AA856" s="51"/>
      <c r="AB856" s="51"/>
      <c r="AC856" s="51"/>
    </row>
    <row r="857">
      <c r="C857" s="50"/>
      <c r="D857" s="50"/>
      <c r="E857" s="50"/>
      <c r="F857" s="50"/>
      <c r="G857" s="50"/>
      <c r="H857" s="50"/>
      <c r="I857" s="50"/>
      <c r="J857" s="50"/>
      <c r="K857" s="79"/>
      <c r="U857" s="51"/>
      <c r="V857" s="51"/>
      <c r="W857" s="51"/>
      <c r="X857" s="51"/>
      <c r="Y857" s="51"/>
      <c r="Z857" s="51"/>
      <c r="AA857" s="51"/>
      <c r="AB857" s="51"/>
      <c r="AC857" s="51"/>
    </row>
    <row r="858">
      <c r="C858" s="50"/>
      <c r="D858" s="50"/>
      <c r="E858" s="50"/>
      <c r="F858" s="50"/>
      <c r="G858" s="50"/>
      <c r="H858" s="50"/>
      <c r="I858" s="50"/>
      <c r="J858" s="50"/>
      <c r="K858" s="79"/>
      <c r="U858" s="51"/>
      <c r="V858" s="51"/>
      <c r="W858" s="51"/>
      <c r="X858" s="51"/>
      <c r="Y858" s="51"/>
      <c r="Z858" s="51"/>
      <c r="AA858" s="51"/>
      <c r="AB858" s="51"/>
      <c r="AC858" s="51"/>
    </row>
    <row r="859">
      <c r="C859" s="50"/>
      <c r="D859" s="50"/>
      <c r="E859" s="50"/>
      <c r="F859" s="50"/>
      <c r="G859" s="50"/>
      <c r="H859" s="50"/>
      <c r="I859" s="50"/>
      <c r="J859" s="50"/>
      <c r="K859" s="79"/>
      <c r="U859" s="51"/>
      <c r="V859" s="51"/>
      <c r="W859" s="51"/>
      <c r="X859" s="51"/>
      <c r="Y859" s="51"/>
      <c r="Z859" s="51"/>
      <c r="AA859" s="51"/>
      <c r="AB859" s="51"/>
      <c r="AC859" s="51"/>
    </row>
    <row r="860">
      <c r="C860" s="50"/>
      <c r="D860" s="50"/>
      <c r="E860" s="50"/>
      <c r="F860" s="50"/>
      <c r="G860" s="50"/>
      <c r="H860" s="50"/>
      <c r="I860" s="50"/>
      <c r="J860" s="50"/>
      <c r="K860" s="79"/>
      <c r="U860" s="51"/>
      <c r="V860" s="51"/>
      <c r="W860" s="51"/>
      <c r="X860" s="51"/>
      <c r="Y860" s="51"/>
      <c r="Z860" s="51"/>
      <c r="AA860" s="51"/>
      <c r="AB860" s="51"/>
      <c r="AC860" s="51"/>
    </row>
    <row r="861">
      <c r="C861" s="50"/>
      <c r="D861" s="50"/>
      <c r="E861" s="50"/>
      <c r="F861" s="50"/>
      <c r="G861" s="50"/>
      <c r="H861" s="50"/>
      <c r="I861" s="50"/>
      <c r="J861" s="50"/>
      <c r="K861" s="79"/>
      <c r="U861" s="51"/>
      <c r="V861" s="51"/>
      <c r="W861" s="51"/>
      <c r="X861" s="51"/>
      <c r="Y861" s="51"/>
      <c r="Z861" s="51"/>
      <c r="AA861" s="51"/>
      <c r="AB861" s="51"/>
      <c r="AC861" s="51"/>
    </row>
    <row r="862">
      <c r="C862" s="50"/>
      <c r="D862" s="50"/>
      <c r="E862" s="50"/>
      <c r="F862" s="50"/>
      <c r="G862" s="50"/>
      <c r="H862" s="50"/>
      <c r="I862" s="50"/>
      <c r="J862" s="50"/>
      <c r="K862" s="79"/>
      <c r="U862" s="51"/>
      <c r="V862" s="51"/>
      <c r="W862" s="51"/>
      <c r="X862" s="51"/>
      <c r="Y862" s="51"/>
      <c r="Z862" s="51"/>
      <c r="AA862" s="51"/>
      <c r="AB862" s="51"/>
      <c r="AC862" s="51"/>
    </row>
    <row r="863">
      <c r="C863" s="50"/>
      <c r="D863" s="50"/>
      <c r="E863" s="50"/>
      <c r="F863" s="50"/>
      <c r="G863" s="50"/>
      <c r="H863" s="50"/>
      <c r="I863" s="50"/>
      <c r="J863" s="50"/>
      <c r="K863" s="79"/>
      <c r="U863" s="51"/>
      <c r="V863" s="51"/>
      <c r="W863" s="51"/>
      <c r="X863" s="51"/>
      <c r="Y863" s="51"/>
      <c r="Z863" s="51"/>
      <c r="AA863" s="51"/>
      <c r="AB863" s="51"/>
      <c r="AC863" s="51"/>
    </row>
    <row r="864">
      <c r="C864" s="50"/>
      <c r="D864" s="50"/>
      <c r="E864" s="50"/>
      <c r="F864" s="50"/>
      <c r="G864" s="50"/>
      <c r="H864" s="50"/>
      <c r="I864" s="50"/>
      <c r="J864" s="50"/>
      <c r="K864" s="79"/>
      <c r="U864" s="51"/>
      <c r="V864" s="51"/>
      <c r="W864" s="51"/>
      <c r="X864" s="51"/>
      <c r="Y864" s="51"/>
      <c r="Z864" s="51"/>
      <c r="AA864" s="51"/>
      <c r="AB864" s="51"/>
      <c r="AC864" s="51"/>
    </row>
    <row r="865">
      <c r="C865" s="50"/>
      <c r="D865" s="50"/>
      <c r="E865" s="50"/>
      <c r="F865" s="50"/>
      <c r="G865" s="50"/>
      <c r="H865" s="50"/>
      <c r="I865" s="50"/>
      <c r="J865" s="50"/>
      <c r="K865" s="79"/>
      <c r="U865" s="51"/>
      <c r="V865" s="51"/>
      <c r="W865" s="51"/>
      <c r="X865" s="51"/>
      <c r="Y865" s="51"/>
      <c r="Z865" s="51"/>
      <c r="AA865" s="51"/>
      <c r="AB865" s="51"/>
      <c r="AC865" s="51"/>
    </row>
    <row r="866">
      <c r="C866" s="50"/>
      <c r="D866" s="50"/>
      <c r="E866" s="50"/>
      <c r="F866" s="50"/>
      <c r="G866" s="50"/>
      <c r="H866" s="50"/>
      <c r="I866" s="50"/>
      <c r="J866" s="50"/>
      <c r="K866" s="79"/>
      <c r="U866" s="51"/>
      <c r="V866" s="51"/>
      <c r="W866" s="51"/>
      <c r="X866" s="51"/>
      <c r="Y866" s="51"/>
      <c r="Z866" s="51"/>
      <c r="AA866" s="51"/>
      <c r="AB866" s="51"/>
      <c r="AC866" s="51"/>
    </row>
    <row r="867">
      <c r="C867" s="50"/>
      <c r="D867" s="50"/>
      <c r="E867" s="50"/>
      <c r="F867" s="50"/>
      <c r="G867" s="50"/>
      <c r="H867" s="50"/>
      <c r="I867" s="50"/>
      <c r="J867" s="50"/>
      <c r="K867" s="79"/>
      <c r="U867" s="51"/>
      <c r="V867" s="51"/>
      <c r="W867" s="51"/>
      <c r="X867" s="51"/>
      <c r="Y867" s="51"/>
      <c r="Z867" s="51"/>
      <c r="AA867" s="51"/>
      <c r="AB867" s="51"/>
      <c r="AC867" s="51"/>
    </row>
    <row r="868">
      <c r="C868" s="50"/>
      <c r="D868" s="50"/>
      <c r="E868" s="50"/>
      <c r="F868" s="50"/>
      <c r="G868" s="50"/>
      <c r="H868" s="50"/>
      <c r="I868" s="50"/>
      <c r="J868" s="50"/>
      <c r="K868" s="79"/>
      <c r="U868" s="51"/>
      <c r="V868" s="51"/>
      <c r="W868" s="51"/>
      <c r="X868" s="51"/>
      <c r="Y868" s="51"/>
      <c r="Z868" s="51"/>
      <c r="AA868" s="51"/>
      <c r="AB868" s="51"/>
      <c r="AC868" s="51"/>
    </row>
    <row r="869">
      <c r="C869" s="50"/>
      <c r="D869" s="50"/>
      <c r="E869" s="50"/>
      <c r="F869" s="50"/>
      <c r="G869" s="50"/>
      <c r="H869" s="50"/>
      <c r="I869" s="50"/>
      <c r="J869" s="50"/>
      <c r="K869" s="79"/>
      <c r="U869" s="51"/>
      <c r="V869" s="51"/>
      <c r="W869" s="51"/>
      <c r="X869" s="51"/>
      <c r="Y869" s="51"/>
      <c r="Z869" s="51"/>
      <c r="AA869" s="51"/>
      <c r="AB869" s="51"/>
      <c r="AC869" s="51"/>
    </row>
    <row r="870">
      <c r="C870" s="50"/>
      <c r="D870" s="50"/>
      <c r="E870" s="50"/>
      <c r="F870" s="50"/>
      <c r="G870" s="50"/>
      <c r="H870" s="50"/>
      <c r="I870" s="50"/>
      <c r="J870" s="50"/>
      <c r="K870" s="79"/>
      <c r="U870" s="51"/>
      <c r="V870" s="51"/>
      <c r="W870" s="51"/>
      <c r="X870" s="51"/>
      <c r="Y870" s="51"/>
      <c r="Z870" s="51"/>
      <c r="AA870" s="51"/>
      <c r="AB870" s="51"/>
      <c r="AC870" s="51"/>
    </row>
    <row r="871">
      <c r="C871" s="50"/>
      <c r="D871" s="50"/>
      <c r="E871" s="50"/>
      <c r="F871" s="50"/>
      <c r="G871" s="50"/>
      <c r="H871" s="50"/>
      <c r="I871" s="50"/>
      <c r="J871" s="50"/>
      <c r="K871" s="79"/>
      <c r="U871" s="51"/>
      <c r="V871" s="51"/>
      <c r="W871" s="51"/>
      <c r="X871" s="51"/>
      <c r="Y871" s="51"/>
      <c r="Z871" s="51"/>
      <c r="AA871" s="51"/>
      <c r="AB871" s="51"/>
      <c r="AC871" s="51"/>
    </row>
    <row r="872">
      <c r="C872" s="50"/>
      <c r="D872" s="50"/>
      <c r="E872" s="50"/>
      <c r="F872" s="50"/>
      <c r="G872" s="50"/>
      <c r="H872" s="50"/>
      <c r="I872" s="50"/>
      <c r="J872" s="50"/>
      <c r="K872" s="79"/>
      <c r="U872" s="51"/>
      <c r="V872" s="51"/>
      <c r="W872" s="51"/>
      <c r="X872" s="51"/>
      <c r="Y872" s="51"/>
      <c r="Z872" s="51"/>
      <c r="AA872" s="51"/>
      <c r="AB872" s="51"/>
      <c r="AC872" s="51"/>
    </row>
    <row r="873">
      <c r="C873" s="50"/>
      <c r="D873" s="50"/>
      <c r="E873" s="50"/>
      <c r="F873" s="50"/>
      <c r="G873" s="50"/>
      <c r="H873" s="50"/>
      <c r="I873" s="50"/>
      <c r="J873" s="50"/>
      <c r="K873" s="79"/>
      <c r="U873" s="51"/>
      <c r="V873" s="51"/>
      <c r="W873" s="51"/>
      <c r="X873" s="51"/>
      <c r="Y873" s="51"/>
      <c r="Z873" s="51"/>
      <c r="AA873" s="51"/>
      <c r="AB873" s="51"/>
      <c r="AC873" s="51"/>
    </row>
    <row r="874">
      <c r="C874" s="50"/>
      <c r="D874" s="50"/>
      <c r="E874" s="50"/>
      <c r="F874" s="50"/>
      <c r="G874" s="50"/>
      <c r="H874" s="50"/>
      <c r="I874" s="50"/>
      <c r="J874" s="50"/>
      <c r="K874" s="79"/>
      <c r="U874" s="51"/>
      <c r="V874" s="51"/>
      <c r="W874" s="51"/>
      <c r="X874" s="51"/>
      <c r="Y874" s="51"/>
      <c r="Z874" s="51"/>
      <c r="AA874" s="51"/>
      <c r="AB874" s="51"/>
      <c r="AC874" s="51"/>
    </row>
    <row r="875">
      <c r="C875" s="50"/>
      <c r="D875" s="50"/>
      <c r="E875" s="50"/>
      <c r="F875" s="50"/>
      <c r="G875" s="50"/>
      <c r="H875" s="50"/>
      <c r="I875" s="50"/>
      <c r="J875" s="50"/>
      <c r="K875" s="79"/>
      <c r="U875" s="51"/>
      <c r="V875" s="51"/>
      <c r="W875" s="51"/>
      <c r="X875" s="51"/>
      <c r="Y875" s="51"/>
      <c r="Z875" s="51"/>
      <c r="AA875" s="51"/>
      <c r="AB875" s="51"/>
      <c r="AC875" s="51"/>
    </row>
    <row r="876">
      <c r="C876" s="50"/>
      <c r="D876" s="50"/>
      <c r="E876" s="50"/>
      <c r="F876" s="50"/>
      <c r="G876" s="50"/>
      <c r="H876" s="50"/>
      <c r="I876" s="50"/>
      <c r="J876" s="50"/>
      <c r="K876" s="79"/>
      <c r="U876" s="51"/>
      <c r="V876" s="51"/>
      <c r="W876" s="51"/>
      <c r="X876" s="51"/>
      <c r="Y876" s="51"/>
      <c r="Z876" s="51"/>
      <c r="AA876" s="51"/>
      <c r="AB876" s="51"/>
      <c r="AC876" s="51"/>
    </row>
    <row r="877">
      <c r="C877" s="50"/>
      <c r="D877" s="50"/>
      <c r="E877" s="50"/>
      <c r="F877" s="50"/>
      <c r="G877" s="50"/>
      <c r="H877" s="50"/>
      <c r="I877" s="50"/>
      <c r="J877" s="50"/>
      <c r="K877" s="79"/>
      <c r="U877" s="51"/>
      <c r="V877" s="51"/>
      <c r="W877" s="51"/>
      <c r="X877" s="51"/>
      <c r="Y877" s="51"/>
      <c r="Z877" s="51"/>
      <c r="AA877" s="51"/>
      <c r="AB877" s="51"/>
      <c r="AC877" s="51"/>
    </row>
    <row r="878">
      <c r="C878" s="50"/>
      <c r="D878" s="50"/>
      <c r="E878" s="50"/>
      <c r="F878" s="50"/>
      <c r="G878" s="50"/>
      <c r="H878" s="50"/>
      <c r="I878" s="50"/>
      <c r="J878" s="50"/>
      <c r="K878" s="79"/>
      <c r="U878" s="51"/>
      <c r="V878" s="51"/>
      <c r="W878" s="51"/>
      <c r="X878" s="51"/>
      <c r="Y878" s="51"/>
      <c r="Z878" s="51"/>
      <c r="AA878" s="51"/>
      <c r="AB878" s="51"/>
      <c r="AC878" s="51"/>
    </row>
    <row r="879">
      <c r="C879" s="50"/>
      <c r="D879" s="50"/>
      <c r="E879" s="50"/>
      <c r="F879" s="50"/>
      <c r="G879" s="50"/>
      <c r="H879" s="50"/>
      <c r="I879" s="50"/>
      <c r="J879" s="50"/>
      <c r="K879" s="79"/>
      <c r="U879" s="51"/>
      <c r="V879" s="51"/>
      <c r="W879" s="51"/>
      <c r="X879" s="51"/>
      <c r="Y879" s="51"/>
      <c r="Z879" s="51"/>
      <c r="AA879" s="51"/>
      <c r="AB879" s="51"/>
      <c r="AC879" s="51"/>
    </row>
    <row r="880">
      <c r="C880" s="50"/>
      <c r="D880" s="50"/>
      <c r="E880" s="50"/>
      <c r="F880" s="50"/>
      <c r="G880" s="50"/>
      <c r="H880" s="50"/>
      <c r="I880" s="50"/>
      <c r="J880" s="50"/>
      <c r="K880" s="79"/>
      <c r="U880" s="51"/>
      <c r="V880" s="51"/>
      <c r="W880" s="51"/>
      <c r="X880" s="51"/>
      <c r="Y880" s="51"/>
      <c r="Z880" s="51"/>
      <c r="AA880" s="51"/>
      <c r="AB880" s="51"/>
      <c r="AC880" s="51"/>
    </row>
    <row r="881">
      <c r="C881" s="50"/>
      <c r="D881" s="50"/>
      <c r="E881" s="50"/>
      <c r="F881" s="50"/>
      <c r="G881" s="50"/>
      <c r="H881" s="50"/>
      <c r="I881" s="50"/>
      <c r="J881" s="50"/>
      <c r="K881" s="79"/>
      <c r="U881" s="51"/>
      <c r="V881" s="51"/>
      <c r="W881" s="51"/>
      <c r="X881" s="51"/>
      <c r="Y881" s="51"/>
      <c r="Z881" s="51"/>
      <c r="AA881" s="51"/>
      <c r="AB881" s="51"/>
      <c r="AC881" s="51"/>
    </row>
    <row r="882">
      <c r="C882" s="50"/>
      <c r="D882" s="50"/>
      <c r="E882" s="50"/>
      <c r="F882" s="50"/>
      <c r="G882" s="50"/>
      <c r="H882" s="50"/>
      <c r="I882" s="50"/>
      <c r="J882" s="50"/>
      <c r="K882" s="79"/>
      <c r="U882" s="51"/>
      <c r="V882" s="51"/>
      <c r="W882" s="51"/>
      <c r="X882" s="51"/>
      <c r="Y882" s="51"/>
      <c r="Z882" s="51"/>
      <c r="AA882" s="51"/>
      <c r="AB882" s="51"/>
      <c r="AC882" s="51"/>
    </row>
    <row r="883">
      <c r="C883" s="50"/>
      <c r="D883" s="50"/>
      <c r="E883" s="50"/>
      <c r="F883" s="50"/>
      <c r="G883" s="50"/>
      <c r="H883" s="50"/>
      <c r="I883" s="50"/>
      <c r="J883" s="50"/>
      <c r="K883" s="79"/>
      <c r="U883" s="51"/>
      <c r="V883" s="51"/>
      <c r="W883" s="51"/>
      <c r="X883" s="51"/>
      <c r="Y883" s="51"/>
      <c r="Z883" s="51"/>
      <c r="AA883" s="51"/>
      <c r="AB883" s="51"/>
      <c r="AC883" s="51"/>
    </row>
    <row r="884">
      <c r="C884" s="50"/>
      <c r="D884" s="50"/>
      <c r="E884" s="50"/>
      <c r="F884" s="50"/>
      <c r="G884" s="50"/>
      <c r="H884" s="50"/>
      <c r="I884" s="50"/>
      <c r="J884" s="50"/>
      <c r="K884" s="79"/>
      <c r="U884" s="51"/>
      <c r="V884" s="51"/>
      <c r="W884" s="51"/>
      <c r="X884" s="51"/>
      <c r="Y884" s="51"/>
      <c r="Z884" s="51"/>
      <c r="AA884" s="51"/>
      <c r="AB884" s="51"/>
      <c r="AC884" s="51"/>
    </row>
    <row r="885">
      <c r="C885" s="50"/>
      <c r="D885" s="50"/>
      <c r="E885" s="50"/>
      <c r="F885" s="50"/>
      <c r="G885" s="50"/>
      <c r="H885" s="50"/>
      <c r="I885" s="50"/>
      <c r="J885" s="50"/>
      <c r="K885" s="79"/>
      <c r="U885" s="51"/>
      <c r="V885" s="51"/>
      <c r="W885" s="51"/>
      <c r="X885" s="51"/>
      <c r="Y885" s="51"/>
      <c r="Z885" s="51"/>
      <c r="AA885" s="51"/>
      <c r="AB885" s="51"/>
      <c r="AC885" s="51"/>
    </row>
    <row r="886">
      <c r="C886" s="50"/>
      <c r="D886" s="50"/>
      <c r="E886" s="50"/>
      <c r="F886" s="50"/>
      <c r="G886" s="50"/>
      <c r="H886" s="50"/>
      <c r="I886" s="50"/>
      <c r="J886" s="50"/>
      <c r="K886" s="79"/>
      <c r="U886" s="51"/>
      <c r="V886" s="51"/>
      <c r="W886" s="51"/>
      <c r="X886" s="51"/>
      <c r="Y886" s="51"/>
      <c r="Z886" s="51"/>
      <c r="AA886" s="51"/>
      <c r="AB886" s="51"/>
      <c r="AC886" s="51"/>
    </row>
    <row r="887">
      <c r="C887" s="50"/>
      <c r="D887" s="50"/>
      <c r="E887" s="50"/>
      <c r="F887" s="50"/>
      <c r="G887" s="50"/>
      <c r="H887" s="50"/>
      <c r="I887" s="50"/>
      <c r="J887" s="50"/>
      <c r="K887" s="79"/>
      <c r="U887" s="51"/>
      <c r="V887" s="51"/>
      <c r="W887" s="51"/>
      <c r="X887" s="51"/>
      <c r="Y887" s="51"/>
      <c r="Z887" s="51"/>
      <c r="AA887" s="51"/>
      <c r="AB887" s="51"/>
      <c r="AC887" s="51"/>
    </row>
    <row r="888">
      <c r="C888" s="50"/>
      <c r="D888" s="50"/>
      <c r="E888" s="50"/>
      <c r="F888" s="50"/>
      <c r="G888" s="50"/>
      <c r="H888" s="50"/>
      <c r="I888" s="50"/>
      <c r="J888" s="50"/>
      <c r="K888" s="79"/>
      <c r="U888" s="51"/>
      <c r="V888" s="51"/>
      <c r="W888" s="51"/>
      <c r="X888" s="51"/>
      <c r="Y888" s="51"/>
      <c r="Z888" s="51"/>
      <c r="AA888" s="51"/>
      <c r="AB888" s="51"/>
      <c r="AC888" s="51"/>
    </row>
    <row r="889">
      <c r="C889" s="50"/>
      <c r="D889" s="50"/>
      <c r="E889" s="50"/>
      <c r="F889" s="50"/>
      <c r="G889" s="50"/>
      <c r="H889" s="50"/>
      <c r="I889" s="50"/>
      <c r="J889" s="50"/>
      <c r="K889" s="79"/>
      <c r="U889" s="51"/>
      <c r="V889" s="51"/>
      <c r="W889" s="51"/>
      <c r="X889" s="51"/>
      <c r="Y889" s="51"/>
      <c r="Z889" s="51"/>
      <c r="AA889" s="51"/>
      <c r="AB889" s="51"/>
      <c r="AC889" s="51"/>
    </row>
    <row r="890">
      <c r="C890" s="50"/>
      <c r="D890" s="50"/>
      <c r="E890" s="50"/>
      <c r="F890" s="50"/>
      <c r="G890" s="50"/>
      <c r="H890" s="50"/>
      <c r="I890" s="50"/>
      <c r="J890" s="50"/>
      <c r="K890" s="79"/>
      <c r="U890" s="51"/>
      <c r="V890" s="51"/>
      <c r="W890" s="51"/>
      <c r="X890" s="51"/>
      <c r="Y890" s="51"/>
      <c r="Z890" s="51"/>
      <c r="AA890" s="51"/>
      <c r="AB890" s="51"/>
      <c r="AC890" s="51"/>
    </row>
    <row r="891">
      <c r="C891" s="50"/>
      <c r="D891" s="50"/>
      <c r="E891" s="50"/>
      <c r="F891" s="50"/>
      <c r="G891" s="50"/>
      <c r="H891" s="50"/>
      <c r="I891" s="50"/>
      <c r="J891" s="50"/>
      <c r="K891" s="79"/>
      <c r="U891" s="51"/>
      <c r="V891" s="51"/>
      <c r="W891" s="51"/>
      <c r="X891" s="51"/>
      <c r="Y891" s="51"/>
      <c r="Z891" s="51"/>
      <c r="AA891" s="51"/>
      <c r="AB891" s="51"/>
      <c r="AC891" s="51"/>
    </row>
    <row r="892">
      <c r="C892" s="50"/>
      <c r="D892" s="50"/>
      <c r="E892" s="50"/>
      <c r="F892" s="50"/>
      <c r="G892" s="50"/>
      <c r="H892" s="50"/>
      <c r="I892" s="50"/>
      <c r="J892" s="50"/>
      <c r="K892" s="79"/>
      <c r="U892" s="51"/>
      <c r="V892" s="51"/>
      <c r="W892" s="51"/>
      <c r="X892" s="51"/>
      <c r="Y892" s="51"/>
      <c r="Z892" s="51"/>
      <c r="AA892" s="51"/>
      <c r="AB892" s="51"/>
      <c r="AC892" s="51"/>
    </row>
    <row r="893">
      <c r="C893" s="50"/>
      <c r="D893" s="50"/>
      <c r="E893" s="50"/>
      <c r="F893" s="50"/>
      <c r="G893" s="50"/>
      <c r="H893" s="50"/>
      <c r="I893" s="50"/>
      <c r="J893" s="50"/>
      <c r="K893" s="79"/>
      <c r="U893" s="51"/>
      <c r="V893" s="51"/>
      <c r="W893" s="51"/>
      <c r="X893" s="51"/>
      <c r="Y893" s="51"/>
      <c r="Z893" s="51"/>
      <c r="AA893" s="51"/>
      <c r="AB893" s="51"/>
      <c r="AC893" s="51"/>
    </row>
    <row r="894">
      <c r="C894" s="50"/>
      <c r="D894" s="50"/>
      <c r="E894" s="50"/>
      <c r="F894" s="50"/>
      <c r="G894" s="50"/>
      <c r="H894" s="50"/>
      <c r="I894" s="50"/>
      <c r="J894" s="50"/>
      <c r="K894" s="79"/>
      <c r="U894" s="51"/>
      <c r="V894" s="51"/>
      <c r="W894" s="51"/>
      <c r="X894" s="51"/>
      <c r="Y894" s="51"/>
      <c r="Z894" s="51"/>
      <c r="AA894" s="51"/>
      <c r="AB894" s="51"/>
      <c r="AC894" s="51"/>
    </row>
    <row r="895">
      <c r="C895" s="50"/>
      <c r="D895" s="50"/>
      <c r="E895" s="50"/>
      <c r="F895" s="50"/>
      <c r="G895" s="50"/>
      <c r="H895" s="50"/>
      <c r="I895" s="50"/>
      <c r="J895" s="50"/>
      <c r="K895" s="79"/>
      <c r="U895" s="51"/>
      <c r="V895" s="51"/>
      <c r="W895" s="51"/>
      <c r="X895" s="51"/>
      <c r="Y895" s="51"/>
      <c r="Z895" s="51"/>
      <c r="AA895" s="51"/>
      <c r="AB895" s="51"/>
      <c r="AC895" s="51"/>
    </row>
    <row r="896">
      <c r="C896" s="50"/>
      <c r="D896" s="50"/>
      <c r="E896" s="50"/>
      <c r="F896" s="50"/>
      <c r="G896" s="50"/>
      <c r="H896" s="50"/>
      <c r="I896" s="50"/>
      <c r="J896" s="50"/>
      <c r="K896" s="79"/>
      <c r="U896" s="51"/>
      <c r="V896" s="51"/>
      <c r="W896" s="51"/>
      <c r="X896" s="51"/>
      <c r="Y896" s="51"/>
      <c r="Z896" s="51"/>
      <c r="AA896" s="51"/>
      <c r="AB896" s="51"/>
      <c r="AC896" s="51"/>
    </row>
    <row r="897">
      <c r="C897" s="50"/>
      <c r="D897" s="50"/>
      <c r="E897" s="50"/>
      <c r="F897" s="50"/>
      <c r="G897" s="50"/>
      <c r="H897" s="50"/>
      <c r="I897" s="50"/>
      <c r="J897" s="50"/>
      <c r="K897" s="79"/>
      <c r="U897" s="51"/>
      <c r="V897" s="51"/>
      <c r="W897" s="51"/>
      <c r="X897" s="51"/>
      <c r="Y897" s="51"/>
      <c r="Z897" s="51"/>
      <c r="AA897" s="51"/>
      <c r="AB897" s="51"/>
      <c r="AC897" s="51"/>
    </row>
    <row r="898">
      <c r="C898" s="50"/>
      <c r="D898" s="50"/>
      <c r="E898" s="50"/>
      <c r="F898" s="50"/>
      <c r="G898" s="50"/>
      <c r="H898" s="50"/>
      <c r="I898" s="50"/>
      <c r="J898" s="50"/>
      <c r="K898" s="79"/>
      <c r="U898" s="51"/>
      <c r="V898" s="51"/>
      <c r="W898" s="51"/>
      <c r="X898" s="51"/>
      <c r="Y898" s="51"/>
      <c r="Z898" s="51"/>
      <c r="AA898" s="51"/>
      <c r="AB898" s="51"/>
      <c r="AC898" s="51"/>
    </row>
    <row r="899">
      <c r="C899" s="50"/>
      <c r="D899" s="50"/>
      <c r="E899" s="50"/>
      <c r="F899" s="50"/>
      <c r="G899" s="50"/>
      <c r="H899" s="50"/>
      <c r="I899" s="50"/>
      <c r="J899" s="50"/>
      <c r="K899" s="79"/>
      <c r="U899" s="51"/>
      <c r="V899" s="51"/>
      <c r="W899" s="51"/>
      <c r="X899" s="51"/>
      <c r="Y899" s="51"/>
      <c r="Z899" s="51"/>
      <c r="AA899" s="51"/>
      <c r="AB899" s="51"/>
      <c r="AC899" s="51"/>
    </row>
    <row r="900">
      <c r="C900" s="50"/>
      <c r="D900" s="50"/>
      <c r="E900" s="50"/>
      <c r="F900" s="50"/>
      <c r="G900" s="50"/>
      <c r="H900" s="50"/>
      <c r="I900" s="50"/>
      <c r="J900" s="50"/>
      <c r="K900" s="79"/>
      <c r="U900" s="51"/>
      <c r="V900" s="51"/>
      <c r="W900" s="51"/>
      <c r="X900" s="51"/>
      <c r="Y900" s="51"/>
      <c r="Z900" s="51"/>
      <c r="AA900" s="51"/>
      <c r="AB900" s="51"/>
      <c r="AC900" s="51"/>
    </row>
    <row r="901">
      <c r="C901" s="50"/>
      <c r="D901" s="50"/>
      <c r="E901" s="50"/>
      <c r="F901" s="50"/>
      <c r="G901" s="50"/>
      <c r="H901" s="50"/>
      <c r="I901" s="50"/>
      <c r="J901" s="50"/>
      <c r="K901" s="79"/>
      <c r="U901" s="51"/>
      <c r="V901" s="51"/>
      <c r="W901" s="51"/>
      <c r="X901" s="51"/>
      <c r="Y901" s="51"/>
      <c r="Z901" s="51"/>
      <c r="AA901" s="51"/>
      <c r="AB901" s="51"/>
      <c r="AC901" s="51"/>
    </row>
    <row r="902">
      <c r="C902" s="50"/>
      <c r="D902" s="50"/>
      <c r="E902" s="50"/>
      <c r="F902" s="50"/>
      <c r="G902" s="50"/>
      <c r="H902" s="50"/>
      <c r="I902" s="50"/>
      <c r="J902" s="50"/>
      <c r="K902" s="79"/>
      <c r="U902" s="51"/>
      <c r="V902" s="51"/>
      <c r="W902" s="51"/>
      <c r="X902" s="51"/>
      <c r="Y902" s="51"/>
      <c r="Z902" s="51"/>
      <c r="AA902" s="51"/>
      <c r="AB902" s="51"/>
      <c r="AC902" s="51"/>
    </row>
    <row r="903">
      <c r="C903" s="50"/>
      <c r="D903" s="50"/>
      <c r="E903" s="50"/>
      <c r="F903" s="50"/>
      <c r="G903" s="50"/>
      <c r="H903" s="50"/>
      <c r="I903" s="50"/>
      <c r="J903" s="50"/>
      <c r="K903" s="79"/>
      <c r="U903" s="51"/>
      <c r="V903" s="51"/>
      <c r="W903" s="51"/>
      <c r="X903" s="51"/>
      <c r="Y903" s="51"/>
      <c r="Z903" s="51"/>
      <c r="AA903" s="51"/>
      <c r="AB903" s="51"/>
      <c r="AC903" s="51"/>
    </row>
    <row r="904">
      <c r="C904" s="50"/>
      <c r="D904" s="50"/>
      <c r="E904" s="50"/>
      <c r="F904" s="50"/>
      <c r="G904" s="50"/>
      <c r="H904" s="50"/>
      <c r="I904" s="50"/>
      <c r="J904" s="50"/>
      <c r="K904" s="79"/>
      <c r="U904" s="51"/>
      <c r="V904" s="51"/>
      <c r="W904" s="51"/>
      <c r="X904" s="51"/>
      <c r="Y904" s="51"/>
      <c r="Z904" s="51"/>
      <c r="AA904" s="51"/>
      <c r="AB904" s="51"/>
      <c r="AC904" s="51"/>
    </row>
    <row r="905">
      <c r="C905" s="50"/>
      <c r="D905" s="50"/>
      <c r="E905" s="50"/>
      <c r="F905" s="50"/>
      <c r="G905" s="50"/>
      <c r="H905" s="50"/>
      <c r="I905" s="50"/>
      <c r="J905" s="50"/>
      <c r="K905" s="79"/>
      <c r="U905" s="51"/>
      <c r="V905" s="51"/>
      <c r="W905" s="51"/>
      <c r="X905" s="51"/>
      <c r="Y905" s="51"/>
      <c r="Z905" s="51"/>
      <c r="AA905" s="51"/>
      <c r="AB905" s="51"/>
      <c r="AC905" s="51"/>
    </row>
    <row r="906">
      <c r="C906" s="50"/>
      <c r="D906" s="50"/>
      <c r="E906" s="50"/>
      <c r="F906" s="50"/>
      <c r="G906" s="50"/>
      <c r="H906" s="50"/>
      <c r="I906" s="50"/>
      <c r="J906" s="50"/>
      <c r="K906" s="79"/>
      <c r="U906" s="51"/>
      <c r="V906" s="51"/>
      <c r="W906" s="51"/>
      <c r="X906" s="51"/>
      <c r="Y906" s="51"/>
      <c r="Z906" s="51"/>
      <c r="AA906" s="51"/>
      <c r="AB906" s="51"/>
      <c r="AC906" s="51"/>
    </row>
    <row r="907">
      <c r="C907" s="50"/>
      <c r="D907" s="50"/>
      <c r="E907" s="50"/>
      <c r="F907" s="50"/>
      <c r="G907" s="50"/>
      <c r="H907" s="50"/>
      <c r="I907" s="50"/>
      <c r="J907" s="50"/>
      <c r="K907" s="79"/>
      <c r="U907" s="51"/>
      <c r="V907" s="51"/>
      <c r="W907" s="51"/>
      <c r="X907" s="51"/>
      <c r="Y907" s="51"/>
      <c r="Z907" s="51"/>
      <c r="AA907" s="51"/>
      <c r="AB907" s="51"/>
      <c r="AC907" s="51"/>
    </row>
    <row r="908">
      <c r="C908" s="50"/>
      <c r="D908" s="50"/>
      <c r="E908" s="50"/>
      <c r="F908" s="50"/>
      <c r="G908" s="50"/>
      <c r="H908" s="50"/>
      <c r="I908" s="50"/>
      <c r="J908" s="50"/>
      <c r="K908" s="79"/>
      <c r="U908" s="51"/>
      <c r="V908" s="51"/>
      <c r="W908" s="51"/>
      <c r="X908" s="51"/>
      <c r="Y908" s="51"/>
      <c r="Z908" s="51"/>
      <c r="AA908" s="51"/>
      <c r="AB908" s="51"/>
      <c r="AC908" s="51"/>
    </row>
    <row r="909">
      <c r="C909" s="50"/>
      <c r="D909" s="50"/>
      <c r="E909" s="50"/>
      <c r="F909" s="50"/>
      <c r="G909" s="50"/>
      <c r="H909" s="50"/>
      <c r="I909" s="50"/>
      <c r="J909" s="50"/>
      <c r="K909" s="79"/>
      <c r="U909" s="51"/>
      <c r="V909" s="51"/>
      <c r="W909" s="51"/>
      <c r="X909" s="51"/>
      <c r="Y909" s="51"/>
      <c r="Z909" s="51"/>
      <c r="AA909" s="51"/>
      <c r="AB909" s="51"/>
      <c r="AC909" s="51"/>
    </row>
    <row r="910">
      <c r="C910" s="50"/>
      <c r="D910" s="50"/>
      <c r="E910" s="50"/>
      <c r="F910" s="50"/>
      <c r="G910" s="50"/>
      <c r="H910" s="50"/>
      <c r="I910" s="50"/>
      <c r="J910" s="50"/>
      <c r="K910" s="79"/>
      <c r="U910" s="51"/>
      <c r="V910" s="51"/>
      <c r="W910" s="51"/>
      <c r="X910" s="51"/>
      <c r="Y910" s="51"/>
      <c r="Z910" s="51"/>
      <c r="AA910" s="51"/>
      <c r="AB910" s="51"/>
      <c r="AC910" s="51"/>
    </row>
    <row r="911">
      <c r="C911" s="50"/>
      <c r="D911" s="50"/>
      <c r="E911" s="50"/>
      <c r="F911" s="50"/>
      <c r="G911" s="50"/>
      <c r="H911" s="50"/>
      <c r="I911" s="50"/>
      <c r="J911" s="50"/>
      <c r="K911" s="79"/>
      <c r="U911" s="51"/>
      <c r="V911" s="51"/>
      <c r="W911" s="51"/>
      <c r="X911" s="51"/>
      <c r="Y911" s="51"/>
      <c r="Z911" s="51"/>
      <c r="AA911" s="51"/>
      <c r="AB911" s="51"/>
      <c r="AC911" s="51"/>
    </row>
    <row r="912">
      <c r="C912" s="50"/>
      <c r="D912" s="50"/>
      <c r="E912" s="50"/>
      <c r="F912" s="50"/>
      <c r="G912" s="50"/>
      <c r="H912" s="50"/>
      <c r="I912" s="50"/>
      <c r="J912" s="50"/>
      <c r="K912" s="79"/>
      <c r="U912" s="51"/>
      <c r="V912" s="51"/>
      <c r="W912" s="51"/>
      <c r="X912" s="51"/>
      <c r="Y912" s="51"/>
      <c r="Z912" s="51"/>
      <c r="AA912" s="51"/>
      <c r="AB912" s="51"/>
      <c r="AC912" s="51"/>
    </row>
    <row r="913">
      <c r="C913" s="50"/>
      <c r="D913" s="50"/>
      <c r="E913" s="50"/>
      <c r="F913" s="50"/>
      <c r="G913" s="50"/>
      <c r="H913" s="50"/>
      <c r="I913" s="50"/>
      <c r="J913" s="50"/>
      <c r="K913" s="79"/>
      <c r="U913" s="51"/>
      <c r="V913" s="51"/>
      <c r="W913" s="51"/>
      <c r="X913" s="51"/>
      <c r="Y913" s="51"/>
      <c r="Z913" s="51"/>
      <c r="AA913" s="51"/>
      <c r="AB913" s="51"/>
      <c r="AC913" s="51"/>
    </row>
    <row r="914">
      <c r="C914" s="50"/>
      <c r="D914" s="50"/>
      <c r="E914" s="50"/>
      <c r="F914" s="50"/>
      <c r="G914" s="50"/>
      <c r="H914" s="50"/>
      <c r="I914" s="50"/>
      <c r="J914" s="50"/>
      <c r="K914" s="79"/>
      <c r="U914" s="51"/>
      <c r="V914" s="51"/>
      <c r="W914" s="51"/>
      <c r="X914" s="51"/>
      <c r="Y914" s="51"/>
      <c r="Z914" s="51"/>
      <c r="AA914" s="51"/>
      <c r="AB914" s="51"/>
      <c r="AC914" s="51"/>
    </row>
    <row r="915">
      <c r="C915" s="50"/>
      <c r="D915" s="50"/>
      <c r="E915" s="50"/>
      <c r="F915" s="50"/>
      <c r="G915" s="50"/>
      <c r="H915" s="50"/>
      <c r="I915" s="50"/>
      <c r="J915" s="50"/>
      <c r="K915" s="79"/>
      <c r="U915" s="51"/>
      <c r="V915" s="51"/>
      <c r="W915" s="51"/>
      <c r="X915" s="51"/>
      <c r="Y915" s="51"/>
      <c r="Z915" s="51"/>
      <c r="AA915" s="51"/>
      <c r="AB915" s="51"/>
      <c r="AC915" s="51"/>
    </row>
    <row r="916">
      <c r="C916" s="50"/>
      <c r="D916" s="50"/>
      <c r="E916" s="50"/>
      <c r="F916" s="50"/>
      <c r="G916" s="50"/>
      <c r="H916" s="50"/>
      <c r="I916" s="50"/>
      <c r="J916" s="50"/>
      <c r="K916" s="79"/>
      <c r="U916" s="51"/>
      <c r="V916" s="51"/>
      <c r="W916" s="51"/>
      <c r="X916" s="51"/>
      <c r="Y916" s="51"/>
      <c r="Z916" s="51"/>
      <c r="AA916" s="51"/>
      <c r="AB916" s="51"/>
      <c r="AC916" s="51"/>
    </row>
    <row r="917">
      <c r="C917" s="50"/>
      <c r="D917" s="50"/>
      <c r="E917" s="50"/>
      <c r="F917" s="50"/>
      <c r="G917" s="50"/>
      <c r="H917" s="50"/>
      <c r="I917" s="50"/>
      <c r="J917" s="50"/>
      <c r="K917" s="79"/>
      <c r="U917" s="51"/>
      <c r="V917" s="51"/>
      <c r="W917" s="51"/>
      <c r="X917" s="51"/>
      <c r="Y917" s="51"/>
      <c r="Z917" s="51"/>
      <c r="AA917" s="51"/>
      <c r="AB917" s="51"/>
      <c r="AC917" s="51"/>
    </row>
    <row r="918">
      <c r="C918" s="50"/>
      <c r="D918" s="50"/>
      <c r="E918" s="50"/>
      <c r="F918" s="50"/>
      <c r="G918" s="50"/>
      <c r="H918" s="50"/>
      <c r="I918" s="50"/>
      <c r="J918" s="50"/>
      <c r="K918" s="79"/>
      <c r="U918" s="51"/>
      <c r="V918" s="51"/>
      <c r="W918" s="51"/>
      <c r="X918" s="51"/>
      <c r="Y918" s="51"/>
      <c r="Z918" s="51"/>
      <c r="AA918" s="51"/>
      <c r="AB918" s="51"/>
      <c r="AC918" s="51"/>
    </row>
    <row r="919">
      <c r="C919" s="50"/>
      <c r="D919" s="50"/>
      <c r="E919" s="50"/>
      <c r="F919" s="50"/>
      <c r="G919" s="50"/>
      <c r="H919" s="50"/>
      <c r="I919" s="50"/>
      <c r="J919" s="50"/>
      <c r="K919" s="79"/>
      <c r="U919" s="51"/>
      <c r="V919" s="51"/>
      <c r="W919" s="51"/>
      <c r="X919" s="51"/>
      <c r="Y919" s="51"/>
      <c r="Z919" s="51"/>
      <c r="AA919" s="51"/>
      <c r="AB919" s="51"/>
      <c r="AC919" s="51"/>
    </row>
    <row r="920">
      <c r="C920" s="50"/>
      <c r="D920" s="50"/>
      <c r="E920" s="50"/>
      <c r="F920" s="50"/>
      <c r="G920" s="50"/>
      <c r="H920" s="50"/>
      <c r="I920" s="50"/>
      <c r="J920" s="50"/>
      <c r="K920" s="79"/>
      <c r="U920" s="51"/>
      <c r="V920" s="51"/>
      <c r="W920" s="51"/>
      <c r="X920" s="51"/>
      <c r="Y920" s="51"/>
      <c r="Z920" s="51"/>
      <c r="AA920" s="51"/>
      <c r="AB920" s="51"/>
      <c r="AC920" s="51"/>
    </row>
    <row r="921">
      <c r="C921" s="50"/>
      <c r="D921" s="50"/>
      <c r="E921" s="50"/>
      <c r="F921" s="50"/>
      <c r="G921" s="50"/>
      <c r="H921" s="50"/>
      <c r="I921" s="50"/>
      <c r="J921" s="50"/>
      <c r="K921" s="79"/>
      <c r="U921" s="51"/>
      <c r="V921" s="51"/>
      <c r="W921" s="51"/>
      <c r="X921" s="51"/>
      <c r="Y921" s="51"/>
      <c r="Z921" s="51"/>
      <c r="AA921" s="51"/>
      <c r="AB921" s="51"/>
      <c r="AC921" s="51"/>
    </row>
    <row r="922">
      <c r="C922" s="50"/>
      <c r="D922" s="50"/>
      <c r="E922" s="50"/>
      <c r="F922" s="50"/>
      <c r="G922" s="50"/>
      <c r="H922" s="50"/>
      <c r="I922" s="50"/>
      <c r="J922" s="50"/>
      <c r="K922" s="79"/>
      <c r="U922" s="51"/>
      <c r="V922" s="51"/>
      <c r="W922" s="51"/>
      <c r="X922" s="51"/>
      <c r="Y922" s="51"/>
      <c r="Z922" s="51"/>
      <c r="AA922" s="51"/>
      <c r="AB922" s="51"/>
      <c r="AC922" s="51"/>
    </row>
    <row r="923">
      <c r="C923" s="50"/>
      <c r="D923" s="50"/>
      <c r="E923" s="50"/>
      <c r="F923" s="50"/>
      <c r="G923" s="50"/>
      <c r="H923" s="50"/>
      <c r="I923" s="50"/>
      <c r="J923" s="50"/>
      <c r="K923" s="79"/>
      <c r="U923" s="51"/>
      <c r="V923" s="51"/>
      <c r="W923" s="51"/>
      <c r="X923" s="51"/>
      <c r="Y923" s="51"/>
      <c r="Z923" s="51"/>
      <c r="AA923" s="51"/>
      <c r="AB923" s="51"/>
      <c r="AC923" s="51"/>
    </row>
    <row r="924">
      <c r="C924" s="50"/>
      <c r="D924" s="50"/>
      <c r="E924" s="50"/>
      <c r="F924" s="50"/>
      <c r="G924" s="50"/>
      <c r="H924" s="50"/>
      <c r="I924" s="50"/>
      <c r="J924" s="50"/>
      <c r="K924" s="79"/>
      <c r="U924" s="51"/>
      <c r="V924" s="51"/>
      <c r="W924" s="51"/>
      <c r="X924" s="51"/>
      <c r="Y924" s="51"/>
      <c r="Z924" s="51"/>
      <c r="AA924" s="51"/>
      <c r="AB924" s="51"/>
      <c r="AC924" s="51"/>
    </row>
    <row r="925">
      <c r="C925" s="50"/>
      <c r="D925" s="50"/>
      <c r="E925" s="50"/>
      <c r="F925" s="50"/>
      <c r="G925" s="50"/>
      <c r="H925" s="50"/>
      <c r="I925" s="50"/>
      <c r="J925" s="50"/>
      <c r="K925" s="79"/>
      <c r="U925" s="51"/>
      <c r="V925" s="51"/>
      <c r="W925" s="51"/>
      <c r="X925" s="51"/>
      <c r="Y925" s="51"/>
      <c r="Z925" s="51"/>
      <c r="AA925" s="51"/>
      <c r="AB925" s="51"/>
      <c r="AC925" s="51"/>
    </row>
    <row r="926">
      <c r="C926" s="50"/>
      <c r="D926" s="50"/>
      <c r="E926" s="50"/>
      <c r="F926" s="50"/>
      <c r="G926" s="50"/>
      <c r="H926" s="50"/>
      <c r="I926" s="50"/>
      <c r="J926" s="50"/>
      <c r="K926" s="79"/>
      <c r="U926" s="51"/>
      <c r="V926" s="51"/>
      <c r="W926" s="51"/>
      <c r="X926" s="51"/>
      <c r="Y926" s="51"/>
      <c r="Z926" s="51"/>
      <c r="AA926" s="51"/>
      <c r="AB926" s="51"/>
      <c r="AC926" s="51"/>
    </row>
    <row r="927">
      <c r="C927" s="50"/>
      <c r="D927" s="50"/>
      <c r="E927" s="50"/>
      <c r="F927" s="50"/>
      <c r="G927" s="50"/>
      <c r="H927" s="50"/>
      <c r="I927" s="50"/>
      <c r="J927" s="50"/>
      <c r="K927" s="79"/>
      <c r="U927" s="51"/>
      <c r="V927" s="51"/>
      <c r="W927" s="51"/>
      <c r="X927" s="51"/>
      <c r="Y927" s="51"/>
      <c r="Z927" s="51"/>
      <c r="AA927" s="51"/>
      <c r="AB927" s="51"/>
      <c r="AC927" s="51"/>
    </row>
    <row r="928">
      <c r="C928" s="50"/>
      <c r="D928" s="50"/>
      <c r="E928" s="50"/>
      <c r="F928" s="50"/>
      <c r="G928" s="50"/>
      <c r="H928" s="50"/>
      <c r="I928" s="50"/>
      <c r="J928" s="50"/>
      <c r="K928" s="79"/>
      <c r="U928" s="51"/>
      <c r="V928" s="51"/>
      <c r="W928" s="51"/>
      <c r="X928" s="51"/>
      <c r="Y928" s="51"/>
      <c r="Z928" s="51"/>
      <c r="AA928" s="51"/>
      <c r="AB928" s="51"/>
      <c r="AC928" s="51"/>
    </row>
    <row r="929">
      <c r="C929" s="50"/>
      <c r="D929" s="50"/>
      <c r="E929" s="50"/>
      <c r="F929" s="50"/>
      <c r="G929" s="50"/>
      <c r="H929" s="50"/>
      <c r="I929" s="50"/>
      <c r="J929" s="50"/>
      <c r="K929" s="79"/>
      <c r="U929" s="51"/>
      <c r="V929" s="51"/>
      <c r="W929" s="51"/>
      <c r="X929" s="51"/>
      <c r="Y929" s="51"/>
      <c r="Z929" s="51"/>
      <c r="AA929" s="51"/>
      <c r="AB929" s="51"/>
      <c r="AC929" s="51"/>
    </row>
    <row r="930">
      <c r="C930" s="50"/>
      <c r="D930" s="50"/>
      <c r="E930" s="50"/>
      <c r="F930" s="50"/>
      <c r="G930" s="50"/>
      <c r="H930" s="50"/>
      <c r="I930" s="50"/>
      <c r="J930" s="50"/>
      <c r="K930" s="79"/>
      <c r="U930" s="51"/>
      <c r="V930" s="51"/>
      <c r="W930" s="51"/>
      <c r="X930" s="51"/>
      <c r="Y930" s="51"/>
      <c r="Z930" s="51"/>
      <c r="AA930" s="51"/>
      <c r="AB930" s="51"/>
      <c r="AC930" s="51"/>
    </row>
    <row r="931">
      <c r="C931" s="50"/>
      <c r="D931" s="50"/>
      <c r="E931" s="50"/>
      <c r="F931" s="50"/>
      <c r="G931" s="50"/>
      <c r="H931" s="50"/>
      <c r="I931" s="50"/>
      <c r="J931" s="50"/>
      <c r="K931" s="79"/>
      <c r="U931" s="51"/>
      <c r="V931" s="51"/>
      <c r="W931" s="51"/>
      <c r="X931" s="51"/>
      <c r="Y931" s="51"/>
      <c r="Z931" s="51"/>
      <c r="AA931" s="51"/>
      <c r="AB931" s="51"/>
      <c r="AC931" s="51"/>
    </row>
    <row r="932">
      <c r="C932" s="50"/>
      <c r="D932" s="50"/>
      <c r="E932" s="50"/>
      <c r="F932" s="50"/>
      <c r="G932" s="50"/>
      <c r="H932" s="50"/>
      <c r="I932" s="50"/>
      <c r="J932" s="50"/>
      <c r="K932" s="79"/>
      <c r="U932" s="51"/>
      <c r="V932" s="51"/>
      <c r="W932" s="51"/>
      <c r="X932" s="51"/>
      <c r="Y932" s="51"/>
      <c r="Z932" s="51"/>
      <c r="AA932" s="51"/>
      <c r="AB932" s="51"/>
      <c r="AC932" s="51"/>
    </row>
    <row r="933">
      <c r="C933" s="50"/>
      <c r="D933" s="50"/>
      <c r="E933" s="50"/>
      <c r="F933" s="50"/>
      <c r="G933" s="50"/>
      <c r="H933" s="50"/>
      <c r="I933" s="50"/>
      <c r="J933" s="50"/>
      <c r="K933" s="79"/>
      <c r="U933" s="51"/>
      <c r="V933" s="51"/>
      <c r="W933" s="51"/>
      <c r="X933" s="51"/>
      <c r="Y933" s="51"/>
      <c r="Z933" s="51"/>
      <c r="AA933" s="51"/>
      <c r="AB933" s="51"/>
      <c r="AC933" s="51"/>
    </row>
    <row r="934">
      <c r="C934" s="50"/>
      <c r="D934" s="50"/>
      <c r="E934" s="50"/>
      <c r="F934" s="50"/>
      <c r="G934" s="50"/>
      <c r="H934" s="50"/>
      <c r="I934" s="50"/>
      <c r="J934" s="50"/>
      <c r="K934" s="79"/>
      <c r="U934" s="51"/>
      <c r="V934" s="51"/>
      <c r="W934" s="51"/>
      <c r="X934" s="51"/>
      <c r="Y934" s="51"/>
      <c r="Z934" s="51"/>
      <c r="AA934" s="51"/>
      <c r="AB934" s="51"/>
      <c r="AC934" s="51"/>
    </row>
    <row r="935">
      <c r="C935" s="50"/>
      <c r="D935" s="50"/>
      <c r="E935" s="50"/>
      <c r="F935" s="50"/>
      <c r="G935" s="50"/>
      <c r="H935" s="50"/>
      <c r="I935" s="50"/>
      <c r="J935" s="50"/>
      <c r="K935" s="79"/>
      <c r="U935" s="51"/>
      <c r="V935" s="51"/>
      <c r="W935" s="51"/>
      <c r="X935" s="51"/>
      <c r="Y935" s="51"/>
      <c r="Z935" s="51"/>
      <c r="AA935" s="51"/>
      <c r="AB935" s="51"/>
      <c r="AC935" s="51"/>
    </row>
    <row r="936">
      <c r="C936" s="50"/>
      <c r="D936" s="50"/>
      <c r="E936" s="50"/>
      <c r="F936" s="50"/>
      <c r="G936" s="50"/>
      <c r="H936" s="50"/>
      <c r="I936" s="50"/>
      <c r="J936" s="50"/>
      <c r="K936" s="79"/>
      <c r="U936" s="51"/>
      <c r="V936" s="51"/>
      <c r="W936" s="51"/>
      <c r="X936" s="51"/>
      <c r="Y936" s="51"/>
      <c r="Z936" s="51"/>
      <c r="AA936" s="51"/>
      <c r="AB936" s="51"/>
      <c r="AC936" s="51"/>
    </row>
    <row r="937">
      <c r="C937" s="50"/>
      <c r="D937" s="50"/>
      <c r="E937" s="50"/>
      <c r="F937" s="50"/>
      <c r="G937" s="50"/>
      <c r="H937" s="50"/>
      <c r="I937" s="50"/>
      <c r="J937" s="50"/>
      <c r="K937" s="79"/>
      <c r="U937" s="51"/>
      <c r="V937" s="51"/>
      <c r="W937" s="51"/>
      <c r="X937" s="51"/>
      <c r="Y937" s="51"/>
      <c r="Z937" s="51"/>
      <c r="AA937" s="51"/>
      <c r="AB937" s="51"/>
      <c r="AC937" s="51"/>
    </row>
    <row r="938">
      <c r="C938" s="50"/>
      <c r="D938" s="50"/>
      <c r="E938" s="50"/>
      <c r="F938" s="50"/>
      <c r="G938" s="50"/>
      <c r="H938" s="50"/>
      <c r="I938" s="50"/>
      <c r="J938" s="50"/>
      <c r="K938" s="79"/>
      <c r="U938" s="51"/>
      <c r="V938" s="51"/>
      <c r="W938" s="51"/>
      <c r="X938" s="51"/>
      <c r="Y938" s="51"/>
      <c r="Z938" s="51"/>
      <c r="AA938" s="51"/>
      <c r="AB938" s="51"/>
      <c r="AC938" s="51"/>
    </row>
    <row r="939">
      <c r="C939" s="50"/>
      <c r="D939" s="50"/>
      <c r="E939" s="50"/>
      <c r="F939" s="50"/>
      <c r="G939" s="50"/>
      <c r="H939" s="50"/>
      <c r="I939" s="50"/>
      <c r="J939" s="50"/>
      <c r="K939" s="79"/>
      <c r="U939" s="51"/>
      <c r="V939" s="51"/>
      <c r="W939" s="51"/>
      <c r="X939" s="51"/>
      <c r="Y939" s="51"/>
      <c r="Z939" s="51"/>
      <c r="AA939" s="51"/>
      <c r="AB939" s="51"/>
      <c r="AC939" s="51"/>
    </row>
    <row r="940">
      <c r="C940" s="50"/>
      <c r="D940" s="50"/>
      <c r="E940" s="50"/>
      <c r="F940" s="50"/>
      <c r="G940" s="50"/>
      <c r="H940" s="50"/>
      <c r="I940" s="50"/>
      <c r="J940" s="50"/>
      <c r="K940" s="79"/>
      <c r="U940" s="51"/>
      <c r="V940" s="51"/>
      <c r="W940" s="51"/>
      <c r="X940" s="51"/>
      <c r="Y940" s="51"/>
      <c r="Z940" s="51"/>
      <c r="AA940" s="51"/>
      <c r="AB940" s="51"/>
      <c r="AC940" s="51"/>
    </row>
    <row r="941">
      <c r="C941" s="50"/>
      <c r="D941" s="50"/>
      <c r="E941" s="50"/>
      <c r="F941" s="50"/>
      <c r="G941" s="50"/>
      <c r="H941" s="50"/>
      <c r="I941" s="50"/>
      <c r="J941" s="50"/>
      <c r="K941" s="79"/>
      <c r="U941" s="51"/>
      <c r="V941" s="51"/>
      <c r="W941" s="51"/>
      <c r="X941" s="51"/>
      <c r="Y941" s="51"/>
      <c r="Z941" s="51"/>
      <c r="AA941" s="51"/>
      <c r="AB941" s="51"/>
      <c r="AC941" s="51"/>
    </row>
    <row r="942">
      <c r="C942" s="50"/>
      <c r="D942" s="50"/>
      <c r="E942" s="50"/>
      <c r="F942" s="50"/>
      <c r="G942" s="50"/>
      <c r="H942" s="50"/>
      <c r="I942" s="50"/>
      <c r="J942" s="50"/>
      <c r="K942" s="79"/>
      <c r="U942" s="51"/>
      <c r="V942" s="51"/>
      <c r="W942" s="51"/>
      <c r="X942" s="51"/>
      <c r="Y942" s="51"/>
      <c r="Z942" s="51"/>
      <c r="AA942" s="51"/>
      <c r="AB942" s="51"/>
      <c r="AC942" s="51"/>
    </row>
    <row r="943">
      <c r="C943" s="50"/>
      <c r="D943" s="50"/>
      <c r="E943" s="50"/>
      <c r="F943" s="50"/>
      <c r="G943" s="50"/>
      <c r="H943" s="50"/>
      <c r="I943" s="50"/>
      <c r="J943" s="50"/>
      <c r="K943" s="79"/>
      <c r="U943" s="51"/>
      <c r="V943" s="51"/>
      <c r="W943" s="51"/>
      <c r="X943" s="51"/>
      <c r="Y943" s="51"/>
      <c r="Z943" s="51"/>
      <c r="AA943" s="51"/>
      <c r="AB943" s="51"/>
      <c r="AC943" s="51"/>
    </row>
    <row r="944">
      <c r="C944" s="50"/>
      <c r="D944" s="50"/>
      <c r="E944" s="50"/>
      <c r="F944" s="50"/>
      <c r="G944" s="50"/>
      <c r="H944" s="50"/>
      <c r="I944" s="50"/>
      <c r="J944" s="50"/>
      <c r="K944" s="79"/>
      <c r="U944" s="51"/>
      <c r="V944" s="51"/>
      <c r="W944" s="51"/>
      <c r="X944" s="51"/>
      <c r="Y944" s="51"/>
      <c r="Z944" s="51"/>
      <c r="AA944" s="51"/>
      <c r="AB944" s="51"/>
      <c r="AC944" s="51"/>
    </row>
    <row r="945">
      <c r="C945" s="50"/>
      <c r="D945" s="50"/>
      <c r="E945" s="50"/>
      <c r="F945" s="50"/>
      <c r="G945" s="50"/>
      <c r="H945" s="50"/>
      <c r="I945" s="50"/>
      <c r="J945" s="50"/>
      <c r="K945" s="79"/>
      <c r="U945" s="51"/>
      <c r="V945" s="51"/>
      <c r="W945" s="51"/>
      <c r="X945" s="51"/>
      <c r="Y945" s="51"/>
      <c r="Z945" s="51"/>
      <c r="AA945" s="51"/>
      <c r="AB945" s="51"/>
      <c r="AC945" s="51"/>
    </row>
    <row r="946">
      <c r="C946" s="50"/>
      <c r="D946" s="50"/>
      <c r="E946" s="50"/>
      <c r="F946" s="50"/>
      <c r="G946" s="50"/>
      <c r="H946" s="50"/>
      <c r="I946" s="50"/>
      <c r="J946" s="50"/>
      <c r="K946" s="79"/>
      <c r="U946" s="51"/>
      <c r="V946" s="51"/>
      <c r="W946" s="51"/>
      <c r="X946" s="51"/>
      <c r="Y946" s="51"/>
      <c r="Z946" s="51"/>
      <c r="AA946" s="51"/>
      <c r="AB946" s="51"/>
      <c r="AC946" s="51"/>
    </row>
    <row r="947">
      <c r="C947" s="50"/>
      <c r="D947" s="50"/>
      <c r="E947" s="50"/>
      <c r="F947" s="50"/>
      <c r="G947" s="50"/>
      <c r="H947" s="50"/>
      <c r="I947" s="50"/>
      <c r="J947" s="50"/>
      <c r="K947" s="79"/>
      <c r="U947" s="51"/>
      <c r="V947" s="51"/>
      <c r="W947" s="51"/>
      <c r="X947" s="51"/>
      <c r="Y947" s="51"/>
      <c r="Z947" s="51"/>
      <c r="AA947" s="51"/>
      <c r="AB947" s="51"/>
      <c r="AC947" s="51"/>
    </row>
    <row r="948">
      <c r="C948" s="50"/>
      <c r="D948" s="50"/>
      <c r="E948" s="50"/>
      <c r="F948" s="50"/>
      <c r="G948" s="50"/>
      <c r="H948" s="50"/>
      <c r="I948" s="50"/>
      <c r="J948" s="50"/>
      <c r="K948" s="79"/>
      <c r="U948" s="51"/>
      <c r="V948" s="51"/>
      <c r="W948" s="51"/>
      <c r="X948" s="51"/>
      <c r="Y948" s="51"/>
      <c r="Z948" s="51"/>
      <c r="AA948" s="51"/>
      <c r="AB948" s="51"/>
      <c r="AC948" s="51"/>
    </row>
    <row r="949">
      <c r="C949" s="50"/>
      <c r="D949" s="50"/>
      <c r="E949" s="50"/>
      <c r="F949" s="50"/>
      <c r="G949" s="50"/>
      <c r="H949" s="50"/>
      <c r="I949" s="50"/>
      <c r="J949" s="50"/>
      <c r="K949" s="79"/>
      <c r="U949" s="51"/>
      <c r="V949" s="51"/>
      <c r="W949" s="51"/>
      <c r="X949" s="51"/>
      <c r="Y949" s="51"/>
      <c r="Z949" s="51"/>
      <c r="AA949" s="51"/>
      <c r="AB949" s="51"/>
      <c r="AC949" s="51"/>
    </row>
    <row r="950">
      <c r="C950" s="50"/>
      <c r="D950" s="50"/>
      <c r="E950" s="50"/>
      <c r="F950" s="50"/>
      <c r="G950" s="50"/>
      <c r="H950" s="50"/>
      <c r="I950" s="50"/>
      <c r="J950" s="50"/>
      <c r="K950" s="79"/>
      <c r="U950" s="51"/>
      <c r="V950" s="51"/>
      <c r="W950" s="51"/>
      <c r="X950" s="51"/>
      <c r="Y950" s="51"/>
      <c r="Z950" s="51"/>
      <c r="AA950" s="51"/>
      <c r="AB950" s="51"/>
      <c r="AC950" s="51"/>
    </row>
    <row r="951">
      <c r="C951" s="50"/>
      <c r="D951" s="50"/>
      <c r="E951" s="50"/>
      <c r="F951" s="50"/>
      <c r="G951" s="50"/>
      <c r="H951" s="50"/>
      <c r="I951" s="50"/>
      <c r="J951" s="50"/>
      <c r="K951" s="79"/>
      <c r="U951" s="51"/>
      <c r="V951" s="51"/>
      <c r="W951" s="51"/>
      <c r="X951" s="51"/>
      <c r="Y951" s="51"/>
      <c r="Z951" s="51"/>
      <c r="AA951" s="51"/>
      <c r="AB951" s="51"/>
      <c r="AC951" s="51"/>
    </row>
    <row r="952">
      <c r="C952" s="50"/>
      <c r="D952" s="50"/>
      <c r="E952" s="50"/>
      <c r="F952" s="50"/>
      <c r="G952" s="50"/>
      <c r="H952" s="50"/>
      <c r="I952" s="50"/>
      <c r="J952" s="50"/>
      <c r="K952" s="79"/>
      <c r="U952" s="51"/>
      <c r="V952" s="51"/>
      <c r="W952" s="51"/>
      <c r="X952" s="51"/>
      <c r="Y952" s="51"/>
      <c r="Z952" s="51"/>
      <c r="AA952" s="51"/>
      <c r="AB952" s="51"/>
      <c r="AC952" s="51"/>
    </row>
    <row r="953">
      <c r="C953" s="50"/>
      <c r="D953" s="50"/>
      <c r="E953" s="50"/>
      <c r="F953" s="50"/>
      <c r="G953" s="50"/>
      <c r="H953" s="50"/>
      <c r="I953" s="50"/>
      <c r="J953" s="50"/>
      <c r="K953" s="79"/>
      <c r="U953" s="51"/>
      <c r="V953" s="51"/>
      <c r="W953" s="51"/>
      <c r="X953" s="51"/>
      <c r="Y953" s="51"/>
      <c r="Z953" s="51"/>
      <c r="AA953" s="51"/>
      <c r="AB953" s="51"/>
      <c r="AC953" s="51"/>
    </row>
    <row r="954">
      <c r="C954" s="50"/>
      <c r="D954" s="50"/>
      <c r="E954" s="50"/>
      <c r="F954" s="50"/>
      <c r="G954" s="50"/>
      <c r="H954" s="50"/>
      <c r="I954" s="50"/>
      <c r="J954" s="50"/>
      <c r="K954" s="79"/>
      <c r="U954" s="51"/>
      <c r="V954" s="51"/>
      <c r="W954" s="51"/>
      <c r="X954" s="51"/>
      <c r="Y954" s="51"/>
      <c r="Z954" s="51"/>
      <c r="AA954" s="51"/>
      <c r="AB954" s="51"/>
      <c r="AC954" s="51"/>
    </row>
    <row r="955">
      <c r="C955" s="50"/>
      <c r="D955" s="50"/>
      <c r="E955" s="50"/>
      <c r="F955" s="50"/>
      <c r="G955" s="50"/>
      <c r="H955" s="50"/>
      <c r="I955" s="50"/>
      <c r="J955" s="50"/>
      <c r="K955" s="79"/>
      <c r="U955" s="51"/>
      <c r="V955" s="51"/>
      <c r="W955" s="51"/>
      <c r="X955" s="51"/>
      <c r="Y955" s="51"/>
      <c r="Z955" s="51"/>
      <c r="AA955" s="51"/>
      <c r="AB955" s="51"/>
      <c r="AC955" s="51"/>
    </row>
    <row r="956">
      <c r="C956" s="50"/>
      <c r="D956" s="50"/>
      <c r="E956" s="50"/>
      <c r="F956" s="50"/>
      <c r="G956" s="50"/>
      <c r="H956" s="50"/>
      <c r="I956" s="50"/>
      <c r="J956" s="50"/>
      <c r="K956" s="79"/>
      <c r="U956" s="51"/>
      <c r="V956" s="51"/>
      <c r="W956" s="51"/>
      <c r="X956" s="51"/>
      <c r="Y956" s="51"/>
      <c r="Z956" s="51"/>
      <c r="AA956" s="51"/>
      <c r="AB956" s="51"/>
      <c r="AC956" s="51"/>
    </row>
    <row r="957">
      <c r="C957" s="50"/>
      <c r="D957" s="50"/>
      <c r="E957" s="50"/>
      <c r="F957" s="50"/>
      <c r="G957" s="50"/>
      <c r="H957" s="50"/>
      <c r="I957" s="50"/>
      <c r="J957" s="50"/>
      <c r="K957" s="79"/>
      <c r="U957" s="51"/>
      <c r="V957" s="51"/>
      <c r="W957" s="51"/>
      <c r="X957" s="51"/>
      <c r="Y957" s="51"/>
      <c r="Z957" s="51"/>
      <c r="AA957" s="51"/>
      <c r="AB957" s="51"/>
      <c r="AC957" s="51"/>
    </row>
    <row r="958">
      <c r="C958" s="50"/>
      <c r="D958" s="50"/>
      <c r="E958" s="50"/>
      <c r="F958" s="50"/>
      <c r="G958" s="50"/>
      <c r="H958" s="50"/>
      <c r="I958" s="50"/>
      <c r="J958" s="50"/>
      <c r="K958" s="79"/>
      <c r="U958" s="51"/>
      <c r="V958" s="51"/>
      <c r="W958" s="51"/>
      <c r="X958" s="51"/>
      <c r="Y958" s="51"/>
      <c r="Z958" s="51"/>
      <c r="AA958" s="51"/>
      <c r="AB958" s="51"/>
      <c r="AC958" s="51"/>
    </row>
    <row r="959">
      <c r="C959" s="50"/>
      <c r="D959" s="50"/>
      <c r="E959" s="50"/>
      <c r="F959" s="50"/>
      <c r="G959" s="50"/>
      <c r="H959" s="50"/>
      <c r="I959" s="50"/>
      <c r="J959" s="50"/>
      <c r="K959" s="79"/>
      <c r="U959" s="51"/>
      <c r="V959" s="51"/>
      <c r="W959" s="51"/>
      <c r="X959" s="51"/>
      <c r="Y959" s="51"/>
      <c r="Z959" s="51"/>
      <c r="AA959" s="51"/>
      <c r="AB959" s="51"/>
      <c r="AC959" s="51"/>
    </row>
    <row r="960">
      <c r="C960" s="50"/>
      <c r="D960" s="50"/>
      <c r="E960" s="50"/>
      <c r="F960" s="50"/>
      <c r="G960" s="50"/>
      <c r="H960" s="50"/>
      <c r="I960" s="50"/>
      <c r="J960" s="50"/>
      <c r="K960" s="79"/>
      <c r="U960" s="51"/>
      <c r="V960" s="51"/>
      <c r="W960" s="51"/>
      <c r="X960" s="51"/>
      <c r="Y960" s="51"/>
      <c r="Z960" s="51"/>
      <c r="AA960" s="51"/>
      <c r="AB960" s="51"/>
      <c r="AC960" s="51"/>
    </row>
    <row r="961">
      <c r="C961" s="50"/>
      <c r="D961" s="50"/>
      <c r="E961" s="50"/>
      <c r="F961" s="50"/>
      <c r="G961" s="50"/>
      <c r="H961" s="50"/>
      <c r="I961" s="50"/>
      <c r="J961" s="50"/>
      <c r="K961" s="79"/>
      <c r="U961" s="51"/>
      <c r="V961" s="51"/>
      <c r="W961" s="51"/>
      <c r="X961" s="51"/>
      <c r="Y961" s="51"/>
      <c r="Z961" s="51"/>
      <c r="AA961" s="51"/>
      <c r="AB961" s="51"/>
      <c r="AC961" s="51"/>
    </row>
    <row r="962">
      <c r="C962" s="50"/>
      <c r="D962" s="50"/>
      <c r="E962" s="50"/>
      <c r="F962" s="50"/>
      <c r="G962" s="50"/>
      <c r="H962" s="50"/>
      <c r="I962" s="50"/>
      <c r="J962" s="50"/>
      <c r="K962" s="79"/>
      <c r="U962" s="51"/>
      <c r="V962" s="51"/>
      <c r="W962" s="51"/>
      <c r="X962" s="51"/>
      <c r="Y962" s="51"/>
      <c r="Z962" s="51"/>
      <c r="AA962" s="51"/>
      <c r="AB962" s="51"/>
      <c r="AC962" s="51"/>
    </row>
    <row r="963">
      <c r="C963" s="50"/>
      <c r="D963" s="50"/>
      <c r="E963" s="50"/>
      <c r="F963" s="50"/>
      <c r="G963" s="50"/>
      <c r="H963" s="50"/>
      <c r="I963" s="50"/>
      <c r="J963" s="50"/>
      <c r="K963" s="79"/>
      <c r="U963" s="51"/>
      <c r="V963" s="51"/>
      <c r="W963" s="51"/>
      <c r="X963" s="51"/>
      <c r="Y963" s="51"/>
      <c r="Z963" s="51"/>
      <c r="AA963" s="51"/>
      <c r="AB963" s="51"/>
      <c r="AC963" s="51"/>
    </row>
    <row r="964">
      <c r="C964" s="50"/>
      <c r="D964" s="50"/>
      <c r="E964" s="50"/>
      <c r="F964" s="50"/>
      <c r="G964" s="50"/>
      <c r="H964" s="50"/>
      <c r="I964" s="50"/>
      <c r="J964" s="50"/>
      <c r="K964" s="79"/>
      <c r="U964" s="51"/>
      <c r="V964" s="51"/>
      <c r="W964" s="51"/>
      <c r="X964" s="51"/>
      <c r="Y964" s="51"/>
      <c r="Z964" s="51"/>
      <c r="AA964" s="51"/>
      <c r="AB964" s="51"/>
      <c r="AC964" s="51"/>
    </row>
    <row r="965">
      <c r="C965" s="50"/>
      <c r="D965" s="50"/>
      <c r="E965" s="50"/>
      <c r="F965" s="50"/>
      <c r="G965" s="50"/>
      <c r="H965" s="50"/>
      <c r="I965" s="50"/>
      <c r="J965" s="50"/>
      <c r="K965" s="79"/>
      <c r="U965" s="51"/>
      <c r="V965" s="51"/>
      <c r="W965" s="51"/>
      <c r="X965" s="51"/>
      <c r="Y965" s="51"/>
      <c r="Z965" s="51"/>
      <c r="AA965" s="51"/>
      <c r="AB965" s="51"/>
      <c r="AC965" s="51"/>
    </row>
    <row r="966">
      <c r="C966" s="50"/>
      <c r="D966" s="50"/>
      <c r="E966" s="50"/>
      <c r="F966" s="50"/>
      <c r="G966" s="50"/>
      <c r="H966" s="50"/>
      <c r="I966" s="50"/>
      <c r="J966" s="50"/>
      <c r="K966" s="79"/>
      <c r="U966" s="51"/>
      <c r="V966" s="51"/>
      <c r="W966" s="51"/>
      <c r="X966" s="51"/>
      <c r="Y966" s="51"/>
      <c r="Z966" s="51"/>
      <c r="AA966" s="51"/>
      <c r="AB966" s="51"/>
      <c r="AC966" s="51"/>
    </row>
    <row r="967">
      <c r="C967" s="50"/>
      <c r="D967" s="50"/>
      <c r="E967" s="50"/>
      <c r="F967" s="50"/>
      <c r="G967" s="50"/>
      <c r="H967" s="50"/>
      <c r="I967" s="50"/>
      <c r="J967" s="50"/>
      <c r="K967" s="79"/>
      <c r="U967" s="51"/>
      <c r="V967" s="51"/>
      <c r="W967" s="51"/>
      <c r="X967" s="51"/>
      <c r="Y967" s="51"/>
      <c r="Z967" s="51"/>
      <c r="AA967" s="51"/>
      <c r="AB967" s="51"/>
      <c r="AC967" s="51"/>
    </row>
    <row r="968">
      <c r="C968" s="50"/>
      <c r="D968" s="50"/>
      <c r="E968" s="50"/>
      <c r="F968" s="50"/>
      <c r="G968" s="50"/>
      <c r="H968" s="50"/>
      <c r="I968" s="50"/>
      <c r="J968" s="50"/>
      <c r="K968" s="79"/>
      <c r="U968" s="51"/>
      <c r="V968" s="51"/>
      <c r="W968" s="51"/>
      <c r="X968" s="51"/>
      <c r="Y968" s="51"/>
      <c r="Z968" s="51"/>
      <c r="AA968" s="51"/>
      <c r="AB968" s="51"/>
      <c r="AC968" s="51"/>
    </row>
    <row r="969">
      <c r="C969" s="50"/>
      <c r="D969" s="50"/>
      <c r="E969" s="50"/>
      <c r="F969" s="50"/>
      <c r="G969" s="50"/>
      <c r="H969" s="50"/>
      <c r="I969" s="50"/>
      <c r="J969" s="50"/>
      <c r="K969" s="79"/>
      <c r="U969" s="51"/>
      <c r="V969" s="51"/>
      <c r="W969" s="51"/>
      <c r="X969" s="51"/>
      <c r="Y969" s="51"/>
      <c r="Z969" s="51"/>
      <c r="AA969" s="51"/>
      <c r="AB969" s="51"/>
      <c r="AC969" s="51"/>
    </row>
    <row r="970">
      <c r="C970" s="50"/>
      <c r="D970" s="50"/>
      <c r="E970" s="50"/>
      <c r="F970" s="50"/>
      <c r="G970" s="50"/>
      <c r="H970" s="50"/>
      <c r="I970" s="50"/>
      <c r="J970" s="50"/>
      <c r="K970" s="79"/>
      <c r="U970" s="51"/>
      <c r="V970" s="51"/>
      <c r="W970" s="51"/>
      <c r="X970" s="51"/>
      <c r="Y970" s="51"/>
      <c r="Z970" s="51"/>
      <c r="AA970" s="51"/>
      <c r="AB970" s="51"/>
      <c r="AC970" s="51"/>
    </row>
    <row r="971">
      <c r="C971" s="50"/>
      <c r="D971" s="50"/>
      <c r="E971" s="50"/>
      <c r="F971" s="50"/>
      <c r="G971" s="50"/>
      <c r="H971" s="50"/>
      <c r="I971" s="50"/>
      <c r="J971" s="50"/>
      <c r="K971" s="79"/>
      <c r="U971" s="51"/>
      <c r="V971" s="51"/>
      <c r="W971" s="51"/>
      <c r="X971" s="51"/>
      <c r="Y971" s="51"/>
      <c r="Z971" s="51"/>
      <c r="AA971" s="51"/>
      <c r="AB971" s="51"/>
      <c r="AC971" s="51"/>
    </row>
    <row r="972">
      <c r="C972" s="50"/>
      <c r="D972" s="50"/>
      <c r="E972" s="50"/>
      <c r="F972" s="50"/>
      <c r="G972" s="50"/>
      <c r="H972" s="50"/>
      <c r="I972" s="50"/>
      <c r="J972" s="50"/>
      <c r="K972" s="79"/>
      <c r="U972" s="51"/>
      <c r="V972" s="51"/>
      <c r="W972" s="51"/>
      <c r="X972" s="51"/>
      <c r="Y972" s="51"/>
      <c r="Z972" s="51"/>
      <c r="AA972" s="51"/>
      <c r="AB972" s="51"/>
      <c r="AC972" s="51"/>
    </row>
    <row r="973">
      <c r="C973" s="50"/>
      <c r="D973" s="50"/>
      <c r="E973" s="50"/>
      <c r="F973" s="50"/>
      <c r="G973" s="50"/>
      <c r="H973" s="50"/>
      <c r="I973" s="50"/>
      <c r="J973" s="50"/>
      <c r="K973" s="79"/>
      <c r="U973" s="51"/>
      <c r="V973" s="51"/>
      <c r="W973" s="51"/>
      <c r="X973" s="51"/>
      <c r="Y973" s="51"/>
      <c r="Z973" s="51"/>
      <c r="AA973" s="51"/>
      <c r="AB973" s="51"/>
      <c r="AC973" s="51"/>
    </row>
    <row r="974">
      <c r="C974" s="50"/>
      <c r="D974" s="50"/>
      <c r="E974" s="50"/>
      <c r="F974" s="50"/>
      <c r="G974" s="50"/>
      <c r="H974" s="50"/>
      <c r="I974" s="50"/>
      <c r="J974" s="50"/>
      <c r="K974" s="79"/>
      <c r="U974" s="51"/>
      <c r="V974" s="51"/>
      <c r="W974" s="51"/>
      <c r="X974" s="51"/>
      <c r="Y974" s="51"/>
      <c r="Z974" s="51"/>
      <c r="AA974" s="51"/>
      <c r="AB974" s="51"/>
      <c r="AC974" s="51"/>
    </row>
    <row r="975">
      <c r="C975" s="50"/>
      <c r="D975" s="50"/>
      <c r="E975" s="50"/>
      <c r="F975" s="50"/>
      <c r="G975" s="50"/>
      <c r="H975" s="50"/>
      <c r="I975" s="50"/>
      <c r="J975" s="50"/>
      <c r="K975" s="79"/>
      <c r="U975" s="51"/>
      <c r="V975" s="51"/>
      <c r="W975" s="51"/>
      <c r="X975" s="51"/>
      <c r="Y975" s="51"/>
      <c r="Z975" s="51"/>
      <c r="AA975" s="51"/>
      <c r="AB975" s="51"/>
      <c r="AC975" s="51"/>
    </row>
    <row r="976">
      <c r="C976" s="50"/>
      <c r="D976" s="50"/>
      <c r="E976" s="50"/>
      <c r="F976" s="50"/>
      <c r="G976" s="50"/>
      <c r="H976" s="50"/>
      <c r="I976" s="50"/>
      <c r="J976" s="50"/>
      <c r="K976" s="79"/>
      <c r="U976" s="51"/>
      <c r="V976" s="51"/>
      <c r="W976" s="51"/>
      <c r="X976" s="51"/>
      <c r="Y976" s="51"/>
      <c r="Z976" s="51"/>
      <c r="AA976" s="51"/>
      <c r="AB976" s="51"/>
      <c r="AC976" s="51"/>
    </row>
    <row r="977">
      <c r="C977" s="50"/>
      <c r="D977" s="50"/>
      <c r="E977" s="50"/>
      <c r="F977" s="50"/>
      <c r="G977" s="50"/>
      <c r="H977" s="50"/>
      <c r="I977" s="50"/>
      <c r="J977" s="50"/>
      <c r="K977" s="79"/>
      <c r="U977" s="51"/>
      <c r="V977" s="51"/>
      <c r="W977" s="51"/>
      <c r="X977" s="51"/>
      <c r="Y977" s="51"/>
      <c r="Z977" s="51"/>
      <c r="AA977" s="51"/>
      <c r="AB977" s="51"/>
      <c r="AC977" s="51"/>
    </row>
    <row r="978">
      <c r="C978" s="50"/>
      <c r="D978" s="50"/>
      <c r="E978" s="50"/>
      <c r="F978" s="50"/>
      <c r="G978" s="50"/>
      <c r="H978" s="50"/>
      <c r="I978" s="50"/>
      <c r="J978" s="50"/>
      <c r="K978" s="79"/>
      <c r="U978" s="51"/>
      <c r="V978" s="51"/>
      <c r="W978" s="51"/>
      <c r="X978" s="51"/>
      <c r="Y978" s="51"/>
      <c r="Z978" s="51"/>
      <c r="AA978" s="51"/>
      <c r="AB978" s="51"/>
      <c r="AC978" s="51"/>
    </row>
    <row r="979">
      <c r="C979" s="50"/>
      <c r="D979" s="50"/>
      <c r="E979" s="50"/>
      <c r="F979" s="50"/>
      <c r="G979" s="50"/>
      <c r="H979" s="50"/>
      <c r="I979" s="50"/>
      <c r="J979" s="50"/>
      <c r="K979" s="79"/>
      <c r="U979" s="51"/>
      <c r="V979" s="51"/>
      <c r="W979" s="51"/>
      <c r="X979" s="51"/>
      <c r="Y979" s="51"/>
      <c r="Z979" s="51"/>
      <c r="AA979" s="51"/>
      <c r="AB979" s="51"/>
      <c r="AC979" s="51"/>
    </row>
    <row r="980">
      <c r="C980" s="50"/>
      <c r="D980" s="50"/>
      <c r="E980" s="50"/>
      <c r="F980" s="50"/>
      <c r="G980" s="50"/>
      <c r="H980" s="50"/>
      <c r="I980" s="50"/>
      <c r="J980" s="50"/>
      <c r="K980" s="79"/>
      <c r="U980" s="51"/>
      <c r="V980" s="51"/>
      <c r="W980" s="51"/>
      <c r="X980" s="51"/>
      <c r="Y980" s="51"/>
      <c r="Z980" s="51"/>
      <c r="AA980" s="51"/>
      <c r="AB980" s="51"/>
      <c r="AC980" s="51"/>
    </row>
    <row r="981">
      <c r="C981" s="50"/>
      <c r="D981" s="50"/>
      <c r="E981" s="50"/>
      <c r="F981" s="50"/>
      <c r="G981" s="50"/>
      <c r="H981" s="50"/>
      <c r="I981" s="50"/>
      <c r="J981" s="50"/>
      <c r="K981" s="79"/>
      <c r="U981" s="51"/>
      <c r="V981" s="51"/>
      <c r="W981" s="51"/>
      <c r="X981" s="51"/>
      <c r="Y981" s="51"/>
      <c r="Z981" s="51"/>
      <c r="AA981" s="51"/>
      <c r="AB981" s="51"/>
      <c r="AC981" s="51"/>
    </row>
    <row r="982">
      <c r="C982" s="50"/>
      <c r="D982" s="50"/>
      <c r="E982" s="50"/>
      <c r="F982" s="50"/>
      <c r="G982" s="50"/>
      <c r="H982" s="50"/>
      <c r="I982" s="50"/>
      <c r="J982" s="50"/>
      <c r="K982" s="79"/>
      <c r="U982" s="51"/>
      <c r="V982" s="51"/>
      <c r="W982" s="51"/>
      <c r="X982" s="51"/>
      <c r="Y982" s="51"/>
      <c r="Z982" s="51"/>
      <c r="AA982" s="51"/>
      <c r="AB982" s="51"/>
      <c r="AC982" s="51"/>
    </row>
    <row r="983">
      <c r="C983" s="50"/>
      <c r="D983" s="50"/>
      <c r="E983" s="50"/>
      <c r="F983" s="50"/>
      <c r="G983" s="50"/>
      <c r="H983" s="50"/>
      <c r="I983" s="50"/>
      <c r="J983" s="50"/>
      <c r="K983" s="79"/>
      <c r="U983" s="51"/>
      <c r="V983" s="51"/>
      <c r="W983" s="51"/>
      <c r="X983" s="51"/>
      <c r="Y983" s="51"/>
      <c r="Z983" s="51"/>
      <c r="AA983" s="51"/>
      <c r="AB983" s="51"/>
      <c r="AC983" s="51"/>
    </row>
    <row r="984">
      <c r="C984" s="50"/>
      <c r="D984" s="50"/>
      <c r="E984" s="50"/>
      <c r="F984" s="50"/>
      <c r="G984" s="50"/>
      <c r="H984" s="50"/>
      <c r="I984" s="50"/>
      <c r="J984" s="50"/>
      <c r="K984" s="79"/>
      <c r="U984" s="51"/>
      <c r="V984" s="51"/>
      <c r="W984" s="51"/>
      <c r="X984" s="51"/>
      <c r="Y984" s="51"/>
      <c r="Z984" s="51"/>
      <c r="AA984" s="51"/>
      <c r="AB984" s="51"/>
      <c r="AC984" s="51"/>
    </row>
    <row r="985">
      <c r="C985" s="50"/>
      <c r="D985" s="50"/>
      <c r="E985" s="50"/>
      <c r="F985" s="50"/>
      <c r="G985" s="50"/>
      <c r="H985" s="50"/>
      <c r="I985" s="50"/>
      <c r="J985" s="50"/>
      <c r="K985" s="79"/>
      <c r="U985" s="51"/>
      <c r="V985" s="51"/>
      <c r="W985" s="51"/>
      <c r="X985" s="51"/>
      <c r="Y985" s="51"/>
      <c r="Z985" s="51"/>
      <c r="AA985" s="51"/>
      <c r="AB985" s="51"/>
      <c r="AC985" s="51"/>
    </row>
    <row r="986">
      <c r="C986" s="50"/>
      <c r="D986" s="50"/>
      <c r="E986" s="50"/>
      <c r="F986" s="50"/>
      <c r="G986" s="50"/>
      <c r="H986" s="50"/>
      <c r="I986" s="50"/>
      <c r="J986" s="50"/>
      <c r="K986" s="79"/>
      <c r="U986" s="51"/>
      <c r="V986" s="51"/>
      <c r="W986" s="51"/>
      <c r="X986" s="51"/>
      <c r="Y986" s="51"/>
      <c r="Z986" s="51"/>
      <c r="AA986" s="51"/>
      <c r="AB986" s="51"/>
      <c r="AC986" s="51"/>
    </row>
    <row r="987">
      <c r="C987" s="50"/>
      <c r="D987" s="50"/>
      <c r="E987" s="50"/>
      <c r="F987" s="50"/>
      <c r="G987" s="50"/>
      <c r="H987" s="50"/>
      <c r="I987" s="50"/>
      <c r="J987" s="50"/>
      <c r="K987" s="79"/>
      <c r="U987" s="51"/>
      <c r="V987" s="51"/>
      <c r="W987" s="51"/>
      <c r="X987" s="51"/>
      <c r="Y987" s="51"/>
      <c r="Z987" s="51"/>
      <c r="AA987" s="51"/>
      <c r="AB987" s="51"/>
      <c r="AC987" s="51"/>
    </row>
    <row r="988">
      <c r="C988" s="50"/>
      <c r="D988" s="50"/>
      <c r="E988" s="50"/>
      <c r="F988" s="50"/>
      <c r="G988" s="50"/>
      <c r="H988" s="50"/>
      <c r="I988" s="50"/>
      <c r="J988" s="50"/>
      <c r="K988" s="79"/>
      <c r="U988" s="51"/>
      <c r="V988" s="51"/>
      <c r="W988" s="51"/>
      <c r="X988" s="51"/>
      <c r="Y988" s="51"/>
      <c r="Z988" s="51"/>
      <c r="AA988" s="51"/>
      <c r="AB988" s="51"/>
      <c r="AC988" s="51"/>
    </row>
    <row r="989">
      <c r="C989" s="50"/>
      <c r="D989" s="50"/>
      <c r="E989" s="50"/>
      <c r="F989" s="50"/>
      <c r="G989" s="50"/>
      <c r="H989" s="50"/>
      <c r="I989" s="50"/>
      <c r="J989" s="50"/>
      <c r="K989" s="79"/>
      <c r="U989" s="51"/>
      <c r="V989" s="51"/>
      <c r="W989" s="51"/>
      <c r="X989" s="51"/>
      <c r="Y989" s="51"/>
      <c r="Z989" s="51"/>
      <c r="AA989" s="51"/>
      <c r="AB989" s="51"/>
      <c r="AC989" s="51"/>
    </row>
    <row r="990">
      <c r="C990" s="50"/>
      <c r="D990" s="50"/>
      <c r="E990" s="50"/>
      <c r="F990" s="50"/>
      <c r="G990" s="50"/>
      <c r="H990" s="50"/>
      <c r="I990" s="50"/>
      <c r="J990" s="50"/>
      <c r="K990" s="79"/>
      <c r="U990" s="51"/>
      <c r="V990" s="51"/>
      <c r="W990" s="51"/>
      <c r="X990" s="51"/>
      <c r="Y990" s="51"/>
      <c r="Z990" s="51"/>
      <c r="AA990" s="51"/>
      <c r="AB990" s="51"/>
      <c r="AC990" s="51"/>
    </row>
    <row r="991">
      <c r="C991" s="50"/>
      <c r="D991" s="50"/>
      <c r="E991" s="50"/>
      <c r="F991" s="50"/>
      <c r="G991" s="50"/>
      <c r="H991" s="50"/>
      <c r="I991" s="50"/>
      <c r="J991" s="50"/>
      <c r="K991" s="79"/>
      <c r="U991" s="51"/>
      <c r="V991" s="51"/>
      <c r="W991" s="51"/>
      <c r="X991" s="51"/>
      <c r="Y991" s="51"/>
      <c r="Z991" s="51"/>
      <c r="AA991" s="51"/>
      <c r="AB991" s="51"/>
      <c r="AC991" s="51"/>
    </row>
    <row r="992">
      <c r="C992" s="50"/>
      <c r="D992" s="50"/>
      <c r="E992" s="50"/>
      <c r="F992" s="50"/>
      <c r="G992" s="50"/>
      <c r="H992" s="50"/>
      <c r="I992" s="50"/>
      <c r="J992" s="50"/>
      <c r="K992" s="79"/>
      <c r="U992" s="51"/>
      <c r="V992" s="51"/>
      <c r="W992" s="51"/>
      <c r="X992" s="51"/>
      <c r="Y992" s="51"/>
      <c r="Z992" s="51"/>
      <c r="AA992" s="51"/>
      <c r="AB992" s="51"/>
      <c r="AC992" s="51"/>
    </row>
    <row r="993">
      <c r="C993" s="50"/>
      <c r="D993" s="50"/>
      <c r="E993" s="50"/>
      <c r="F993" s="50"/>
      <c r="G993" s="50"/>
      <c r="H993" s="50"/>
      <c r="I993" s="50"/>
      <c r="J993" s="50"/>
      <c r="K993" s="79"/>
      <c r="U993" s="51"/>
      <c r="V993" s="51"/>
      <c r="W993" s="51"/>
      <c r="X993" s="51"/>
      <c r="Y993" s="51"/>
      <c r="Z993" s="51"/>
      <c r="AA993" s="51"/>
      <c r="AB993" s="51"/>
      <c r="AC993" s="51"/>
    </row>
    <row r="994">
      <c r="C994" s="50"/>
      <c r="D994" s="50"/>
      <c r="E994" s="50"/>
      <c r="F994" s="50"/>
      <c r="G994" s="50"/>
      <c r="H994" s="50"/>
      <c r="I994" s="50"/>
      <c r="J994" s="50"/>
      <c r="K994" s="79"/>
      <c r="U994" s="51"/>
      <c r="V994" s="51"/>
      <c r="W994" s="51"/>
      <c r="X994" s="51"/>
      <c r="Y994" s="51"/>
      <c r="Z994" s="51"/>
      <c r="AA994" s="51"/>
      <c r="AB994" s="51"/>
      <c r="AC994" s="51"/>
    </row>
    <row r="995">
      <c r="C995" s="50"/>
      <c r="D995" s="50"/>
      <c r="E995" s="50"/>
      <c r="F995" s="50"/>
      <c r="G995" s="50"/>
      <c r="H995" s="50"/>
      <c r="I995" s="50"/>
      <c r="J995" s="50"/>
      <c r="K995" s="79"/>
      <c r="U995" s="51"/>
      <c r="V995" s="51"/>
      <c r="W995" s="51"/>
      <c r="X995" s="51"/>
      <c r="Y995" s="51"/>
      <c r="Z995" s="51"/>
      <c r="AA995" s="51"/>
      <c r="AB995" s="51"/>
      <c r="AC995" s="51"/>
    </row>
    <row r="996">
      <c r="C996" s="50"/>
      <c r="D996" s="50"/>
      <c r="E996" s="50"/>
      <c r="F996" s="50"/>
      <c r="G996" s="50"/>
      <c r="H996" s="50"/>
      <c r="I996" s="50"/>
      <c r="J996" s="50"/>
      <c r="K996" s="79"/>
      <c r="U996" s="51"/>
      <c r="V996" s="51"/>
      <c r="W996" s="51"/>
      <c r="X996" s="51"/>
      <c r="Y996" s="51"/>
      <c r="Z996" s="51"/>
      <c r="AA996" s="51"/>
      <c r="AB996" s="51"/>
      <c r="AC996" s="51"/>
    </row>
    <row r="997">
      <c r="C997" s="50"/>
      <c r="D997" s="50"/>
      <c r="E997" s="50"/>
      <c r="F997" s="50"/>
      <c r="G997" s="50"/>
      <c r="H997" s="50"/>
      <c r="I997" s="50"/>
      <c r="J997" s="50"/>
      <c r="K997" s="79"/>
      <c r="U997" s="51"/>
      <c r="V997" s="51"/>
      <c r="W997" s="51"/>
      <c r="X997" s="51"/>
      <c r="Y997" s="51"/>
      <c r="Z997" s="51"/>
      <c r="AA997" s="51"/>
      <c r="AB997" s="51"/>
      <c r="AC997" s="51"/>
    </row>
    <row r="998">
      <c r="C998" s="50"/>
      <c r="D998" s="50"/>
      <c r="E998" s="50"/>
      <c r="F998" s="50"/>
      <c r="G998" s="50"/>
      <c r="H998" s="50"/>
      <c r="I998" s="50"/>
      <c r="J998" s="50"/>
      <c r="K998" s="79"/>
      <c r="U998" s="51"/>
      <c r="V998" s="51"/>
      <c r="W998" s="51"/>
      <c r="X998" s="51"/>
      <c r="Y998" s="51"/>
      <c r="Z998" s="51"/>
      <c r="AA998" s="51"/>
      <c r="AB998" s="51"/>
      <c r="AC998" s="51"/>
    </row>
  </sheetData>
  <conditionalFormatting sqref="I1:I998">
    <cfRule type="cellIs" dxfId="14" priority="1" operator="greaterThan">
      <formula>0</formula>
    </cfRule>
  </conditionalFormatting>
  <conditionalFormatting sqref="H1:H998">
    <cfRule type="cellIs" dxfId="15" priority="2" operator="greaterThan">
      <formula>0</formula>
    </cfRule>
  </conditionalFormatting>
  <conditionalFormatting sqref="G1:G998">
    <cfRule type="cellIs" dxfId="16" priority="3" operator="greaterThan">
      <formula>0</formula>
    </cfRule>
  </conditionalFormatting>
  <conditionalFormatting sqref="F1:F998">
    <cfRule type="cellIs" dxfId="7" priority="4" operator="greaterThan">
      <formula>0</formula>
    </cfRule>
  </conditionalFormatting>
  <conditionalFormatting sqref="E1:E998">
    <cfRule type="cellIs" dxfId="11" priority="5" operator="greaterThan">
      <formula>0</formula>
    </cfRule>
  </conditionalFormatting>
  <conditionalFormatting sqref="B2:C998 J2:J998">
    <cfRule type="expression" dxfId="17" priority="6">
      <formula>$J2</formula>
    </cfRule>
  </conditionalFormatting>
  <hyperlinks>
    <hyperlink r:id="rId2" ref="A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4" max="4" width="9.38"/>
    <col customWidth="1" min="9" max="9" width="9.75"/>
    <col customWidth="1" min="10" max="10" width="12.63"/>
    <col customWidth="1" min="13" max="13" width="14.88"/>
    <col customWidth="1" min="14" max="14" width="30.25"/>
    <col customWidth="1" min="16" max="16" width="13.63"/>
    <col customWidth="1" min="17" max="17" width="21.63"/>
  </cols>
  <sheetData>
    <row r="1">
      <c r="A1" s="62" t="s">
        <v>570</v>
      </c>
      <c r="B1" s="62" t="s">
        <v>109</v>
      </c>
      <c r="C1" s="15" t="str">
        <f>CONCATENATE("Final Num - APS Num Tubes ",SUM(C2:C348))</f>
        <v>Final Num - APS Num Tubes 309</v>
      </c>
      <c r="D1" s="14" t="s">
        <v>571</v>
      </c>
      <c r="E1" s="14" t="s">
        <v>572</v>
      </c>
      <c r="F1" s="14" t="s">
        <v>573</v>
      </c>
      <c r="G1" s="14" t="s">
        <v>574</v>
      </c>
      <c r="H1" s="14" t="s">
        <v>575</v>
      </c>
      <c r="I1" s="229" t="s">
        <v>576</v>
      </c>
      <c r="J1" s="229" t="s">
        <v>577</v>
      </c>
      <c r="K1" s="14" t="s">
        <v>578</v>
      </c>
      <c r="L1" s="69" t="s">
        <v>579</v>
      </c>
      <c r="M1" s="25" t="s">
        <v>580</v>
      </c>
      <c r="N1" s="25" t="s">
        <v>581</v>
      </c>
      <c r="O1" s="25" t="s">
        <v>9</v>
      </c>
      <c r="P1" s="230" t="s">
        <v>582</v>
      </c>
      <c r="Q1" s="69" t="s">
        <v>583</v>
      </c>
      <c r="T1" s="231">
        <f t="shared" ref="T1:U1" si="1">SUM(T2:T48)</f>
        <v>0</v>
      </c>
      <c r="U1" s="231">
        <f t="shared" si="1"/>
        <v>0</v>
      </c>
    </row>
    <row r="2">
      <c r="A2" s="51" t="s">
        <v>29</v>
      </c>
      <c r="B2" s="198">
        <v>44641.0</v>
      </c>
      <c r="C2" s="50">
        <v>1.0</v>
      </c>
      <c r="D2" s="55"/>
      <c r="E2" s="167">
        <f>IFERROR(VLOOKUP(A2,'Runs Compare'!$Y$2:AD348,5,FALSE),IFERROR(0/0,""))</f>
        <v>1</v>
      </c>
      <c r="F2" s="167">
        <f>IFERROR(VLOOKUP(A2,'Runs Compare'!$Y$2:AD348,6,FALSE),IFERROR(0/0,""))</f>
        <v>0</v>
      </c>
      <c r="G2" s="50">
        <f>IFERROR(VLOOKUP($A2,'Runs Compare'!$Y3:$AD348,5,FALSE),IFERROR(0/0,""))</f>
        <v>1</v>
      </c>
      <c r="H2" s="50">
        <f>IFERROR(VLOOKUP($A2,'Runs Compare'!$Y3:$AD348,6,FALSE),IFERROR(0/0,""))</f>
        <v>0</v>
      </c>
      <c r="I2" s="50">
        <f t="shared" ref="I2:J2" si="2">IF(ISBLANK(G2),E2,E2-G2)</f>
        <v>0</v>
      </c>
      <c r="J2" s="50">
        <f t="shared" si="2"/>
        <v>0</v>
      </c>
      <c r="K2" s="232" t="b">
        <f t="shared" ref="K2:K17" si="5">IF(ISBLANK(J2),FALSE, AND(I2=0,J2=0))</f>
        <v>1</v>
      </c>
      <c r="L2" s="232" t="str">
        <f>'Process Ref'!A1</f>
        <v>COMB</v>
      </c>
      <c r="M2" s="233" t="str">
        <f t="array" ref="M2:M310">"ARF"&amp;$L$2&amp;TEXT(SEQUENCE(SUM(C2:C348),1),"000") 
</f>
        <v>ARFCOMB001</v>
      </c>
      <c r="N2" s="233" t="str">
        <f t="array" ref="N2:N310">VLOOKUP(SEQUENCE(SUM($C2:$C348),1), {MMULT(N(ROW(A2:A348)&gt;TRANSPOSE(ROW(A2:A348))),N($C2:$C348))+1, A2:A348}, 2, TRUE)
</f>
        <v>RUN-COMB_2022-03-21_RFR-002</v>
      </c>
      <c r="O2" s="234">
        <f t="array" ref="O2:O310">VLOOKUP(SEQUENCE(SUM($C2:$C348),1), {MMULT(N(ROW(B2:B348)&gt;TRANSPOSE(ROW(B2:B348))),N($C2:$C348))+1, B2:B348}, 2, TRUE)
</f>
        <v>44641</v>
      </c>
      <c r="P2" s="235" t="str">
        <f t="shared" ref="P2:P70" si="6">IF(VLOOKUP(N2,$A$2:$K348,11,FALSE),"Negative",IFERROR(0/0,""))</f>
        <v>Negative</v>
      </c>
      <c r="R2" s="6">
        <v>1.0</v>
      </c>
      <c r="S2" s="6">
        <v>0.0</v>
      </c>
      <c r="T2" s="236">
        <f t="shared" ref="T2:U2" si="3">E2-R2</f>
        <v>0</v>
      </c>
      <c r="U2" s="236">
        <f t="shared" si="3"/>
        <v>0</v>
      </c>
    </row>
    <row r="3">
      <c r="A3" s="51" t="s">
        <v>34</v>
      </c>
      <c r="B3" s="198">
        <v>44655.0</v>
      </c>
      <c r="C3" s="50">
        <v>3.0</v>
      </c>
      <c r="D3" s="55"/>
      <c r="E3" s="167">
        <f>IFERROR(VLOOKUP(A3,'Runs Compare'!$Y$2:AD348,5,FALSE),IFERROR(0/0,""))</f>
        <v>0</v>
      </c>
      <c r="F3" s="167">
        <f>IFERROR(VLOOKUP(A3,'Runs Compare'!$Y$2:AD348,6,FALSE),IFERROR(0/0,""))</f>
        <v>0</v>
      </c>
      <c r="G3" s="50">
        <f>IFERROR(VLOOKUP($A3,'Runs Compare'!$Y4:$AD348,5,FALSE),IFERROR(0/0,""))</f>
        <v>0</v>
      </c>
      <c r="H3" s="50">
        <f>IFERROR(VLOOKUP($A3,'Runs Compare'!$Y4:$AD348,6,FALSE),IFERROR(0/0,""))</f>
        <v>0</v>
      </c>
      <c r="I3" s="50">
        <f t="shared" ref="I3:J3" si="4">IF(ISBLANK(G3),E3,E3-G3)</f>
        <v>0</v>
      </c>
      <c r="J3" s="50">
        <f t="shared" si="4"/>
        <v>0</v>
      </c>
      <c r="K3" s="232" t="b">
        <f t="shared" si="5"/>
        <v>1</v>
      </c>
      <c r="M3" s="233" t="s">
        <v>584</v>
      </c>
      <c r="N3" s="233" t="s">
        <v>34</v>
      </c>
      <c r="O3" s="234">
        <v>44655.0</v>
      </c>
      <c r="P3" s="235" t="str">
        <f t="shared" si="6"/>
        <v>Negative</v>
      </c>
      <c r="R3" s="6">
        <v>0.0</v>
      </c>
      <c r="S3" s="6">
        <v>0.0</v>
      </c>
      <c r="T3" s="236">
        <f t="shared" ref="T3:U3" si="7">E3-R3</f>
        <v>0</v>
      </c>
      <c r="U3" s="236">
        <f t="shared" si="7"/>
        <v>0</v>
      </c>
    </row>
    <row r="4">
      <c r="A4" s="51" t="s">
        <v>35</v>
      </c>
      <c r="B4" s="198">
        <v>44656.0</v>
      </c>
      <c r="C4" s="50">
        <v>4.0</v>
      </c>
      <c r="D4" s="55"/>
      <c r="E4" s="167">
        <f>IFERROR(VLOOKUP(A4,'Runs Compare'!$Y$2:AD348,5,FALSE),IFERROR(0/0,""))</f>
        <v>0</v>
      </c>
      <c r="F4" s="167">
        <f>IFERROR(VLOOKUP(A4,'Runs Compare'!$Y$2:AD348,6,FALSE),IFERROR(0/0,""))</f>
        <v>0</v>
      </c>
      <c r="G4" s="50">
        <f>IFERROR(VLOOKUP($A4,'Runs Compare'!$Y5:$AD348,5,FALSE),IFERROR(0/0,""))</f>
        <v>0</v>
      </c>
      <c r="H4" s="50">
        <f>IFERROR(VLOOKUP($A4,'Runs Compare'!$Y5:$AD348,6,FALSE),IFERROR(0/0,""))</f>
        <v>0</v>
      </c>
      <c r="I4" s="50">
        <f t="shared" ref="I4:J4" si="8">IF(ISBLANK(G4),E4,E4-G4)</f>
        <v>0</v>
      </c>
      <c r="J4" s="50">
        <f t="shared" si="8"/>
        <v>0</v>
      </c>
      <c r="K4" s="232" t="b">
        <f t="shared" si="5"/>
        <v>1</v>
      </c>
      <c r="M4" s="233" t="s">
        <v>585</v>
      </c>
      <c r="N4" s="233" t="s">
        <v>34</v>
      </c>
      <c r="O4" s="234">
        <v>44655.0</v>
      </c>
      <c r="P4" s="235" t="str">
        <f t="shared" si="6"/>
        <v>Negative</v>
      </c>
      <c r="R4" s="6">
        <v>0.0</v>
      </c>
      <c r="S4" s="6">
        <v>0.0</v>
      </c>
      <c r="T4" s="236">
        <f t="shared" ref="T4:U4" si="9">E4-R4</f>
        <v>0</v>
      </c>
      <c r="U4" s="236">
        <f t="shared" si="9"/>
        <v>0</v>
      </c>
    </row>
    <row r="5">
      <c r="A5" s="51" t="s">
        <v>36</v>
      </c>
      <c r="B5" s="198">
        <v>44657.0</v>
      </c>
      <c r="C5" s="50">
        <v>6.0</v>
      </c>
      <c r="D5" s="55"/>
      <c r="E5" s="167">
        <f>IFERROR(VLOOKUP(A5,'Runs Compare'!$Y$2:AD348,5,FALSE),IFERROR(0/0,""))</f>
        <v>0</v>
      </c>
      <c r="F5" s="167">
        <f>IFERROR(VLOOKUP(A5,'Runs Compare'!$Y$2:AD348,6,FALSE),IFERROR(0/0,""))</f>
        <v>0</v>
      </c>
      <c r="G5" s="50">
        <f>IFERROR(VLOOKUP($A5,'Runs Compare'!$Y6:$AD348,5,FALSE),IFERROR(0/0,""))</f>
        <v>0</v>
      </c>
      <c r="H5" s="50">
        <f>IFERROR(VLOOKUP($A5,'Runs Compare'!$Y6:$AD348,6,FALSE),IFERROR(0/0,""))</f>
        <v>0</v>
      </c>
      <c r="I5" s="50">
        <f t="shared" ref="I5:J5" si="10">IF(ISBLANK(G5),E5,E5-G5)</f>
        <v>0</v>
      </c>
      <c r="J5" s="50">
        <f t="shared" si="10"/>
        <v>0</v>
      </c>
      <c r="K5" s="232" t="b">
        <f t="shared" si="5"/>
        <v>1</v>
      </c>
      <c r="M5" s="233" t="s">
        <v>586</v>
      </c>
      <c r="N5" s="233" t="s">
        <v>34</v>
      </c>
      <c r="O5" s="234">
        <v>44655.0</v>
      </c>
      <c r="P5" s="235" t="str">
        <f t="shared" si="6"/>
        <v>Negative</v>
      </c>
      <c r="R5" s="6">
        <v>0.0</v>
      </c>
      <c r="S5" s="6">
        <v>0.0</v>
      </c>
      <c r="T5" s="236">
        <f t="shared" ref="T5:U5" si="11">E5-R5</f>
        <v>0</v>
      </c>
      <c r="U5" s="236">
        <f t="shared" si="11"/>
        <v>0</v>
      </c>
    </row>
    <row r="6">
      <c r="A6" s="51" t="s">
        <v>37</v>
      </c>
      <c r="B6" s="198">
        <v>44658.0</v>
      </c>
      <c r="C6" s="50">
        <v>2.0</v>
      </c>
      <c r="D6" s="55"/>
      <c r="E6" s="167">
        <f>IFERROR(VLOOKUP(A6,'Runs Compare'!$Y$2:AD348,5,FALSE),IFERROR(0/0,""))</f>
        <v>0</v>
      </c>
      <c r="F6" s="167">
        <f>IFERROR(VLOOKUP(A6,'Runs Compare'!$Y$2:AD348,6,FALSE),IFERROR(0/0,""))</f>
        <v>0</v>
      </c>
      <c r="G6" s="50">
        <f>IFERROR(VLOOKUP($A6,'Runs Compare'!$Y7:$AD348,5,FALSE),IFERROR(0/0,""))</f>
        <v>0</v>
      </c>
      <c r="H6" s="50">
        <f>IFERROR(VLOOKUP($A6,'Runs Compare'!$Y7:$AD348,6,FALSE),IFERROR(0/0,""))</f>
        <v>0</v>
      </c>
      <c r="I6" s="50">
        <f t="shared" ref="I6:J6" si="12">IF(ISBLANK(G6),E6,E6-G6)</f>
        <v>0</v>
      </c>
      <c r="J6" s="50">
        <f t="shared" si="12"/>
        <v>0</v>
      </c>
      <c r="K6" s="232" t="b">
        <f t="shared" si="5"/>
        <v>1</v>
      </c>
      <c r="M6" s="233" t="s">
        <v>587</v>
      </c>
      <c r="N6" s="233" t="s">
        <v>35</v>
      </c>
      <c r="O6" s="234">
        <v>44656.0</v>
      </c>
      <c r="P6" s="235" t="str">
        <f t="shared" si="6"/>
        <v>Negative</v>
      </c>
      <c r="R6" s="6">
        <v>0.0</v>
      </c>
      <c r="S6" s="6">
        <v>0.0</v>
      </c>
      <c r="T6" s="236">
        <f t="shared" ref="T6:U6" si="13">E6-R6</f>
        <v>0</v>
      </c>
      <c r="U6" s="236">
        <f t="shared" si="13"/>
        <v>0</v>
      </c>
    </row>
    <row r="7">
      <c r="A7" s="51" t="s">
        <v>68</v>
      </c>
      <c r="B7" s="198">
        <v>44709.0</v>
      </c>
      <c r="C7" s="50">
        <v>9.0</v>
      </c>
      <c r="D7" s="55"/>
      <c r="E7" s="167">
        <f>IFERROR(VLOOKUP(A7,'Runs Compare'!$Y$2:AD348,5,FALSE),IFERROR(0/0,""))</f>
        <v>0</v>
      </c>
      <c r="F7" s="167">
        <f>IFERROR(VLOOKUP(A7,'Runs Compare'!$Y$2:AD348,6,FALSE),IFERROR(0/0,""))</f>
        <v>0</v>
      </c>
      <c r="G7" s="50">
        <f>IFERROR(VLOOKUP($A7,'Runs Compare'!$Y8:$AD348,5,FALSE),IFERROR(0/0,""))</f>
        <v>0</v>
      </c>
      <c r="H7" s="50">
        <f>IFERROR(VLOOKUP($A7,'Runs Compare'!$Y8:$AD348,6,FALSE),IFERROR(0/0,""))</f>
        <v>0</v>
      </c>
      <c r="I7" s="50">
        <f t="shared" ref="I7:J7" si="14">IF(ISBLANK(G7),E7,E7-G7)</f>
        <v>0</v>
      </c>
      <c r="J7" s="50">
        <f t="shared" si="14"/>
        <v>0</v>
      </c>
      <c r="K7" s="232" t="b">
        <f t="shared" si="5"/>
        <v>1</v>
      </c>
      <c r="M7" s="233" t="s">
        <v>588</v>
      </c>
      <c r="N7" s="233" t="s">
        <v>35</v>
      </c>
      <c r="O7" s="234">
        <v>44656.0</v>
      </c>
      <c r="P7" s="235" t="str">
        <f t="shared" si="6"/>
        <v>Negative</v>
      </c>
      <c r="R7" s="6">
        <v>0.0</v>
      </c>
      <c r="S7" s="6">
        <v>0.0</v>
      </c>
      <c r="T7" s="236">
        <f t="shared" ref="T7:U7" si="15">E7-R7</f>
        <v>0</v>
      </c>
      <c r="U7" s="236">
        <f t="shared" si="15"/>
        <v>0</v>
      </c>
    </row>
    <row r="8">
      <c r="A8" s="51" t="s">
        <v>75</v>
      </c>
      <c r="B8" s="198">
        <v>44718.0</v>
      </c>
      <c r="C8" s="50">
        <v>28.0</v>
      </c>
      <c r="D8" s="55"/>
      <c r="E8" s="167">
        <f>IFERROR(VLOOKUP(A8,'Runs Compare'!$Y$2:AD348,5,FALSE),IFERROR(0/0,""))</f>
        <v>1</v>
      </c>
      <c r="F8" s="167">
        <f>IFERROR(VLOOKUP(A8,'Runs Compare'!$Y$2:AD348,6,FALSE),IFERROR(0/0,""))</f>
        <v>0</v>
      </c>
      <c r="G8" s="50">
        <f>IFERROR(VLOOKUP($A8,'Runs Compare'!$Y9:$AD348,5,FALSE),IFERROR(0/0,""))</f>
        <v>1</v>
      </c>
      <c r="H8" s="50">
        <f>IFERROR(VLOOKUP($A8,'Runs Compare'!$Y9:$AD348,6,FALSE),IFERROR(0/0,""))</f>
        <v>0</v>
      </c>
      <c r="I8" s="50">
        <f t="shared" ref="I8:J8" si="16">IF(ISBLANK(G8),E8,E8-G8)</f>
        <v>0</v>
      </c>
      <c r="J8" s="50">
        <f t="shared" si="16"/>
        <v>0</v>
      </c>
      <c r="K8" s="232" t="b">
        <f t="shared" si="5"/>
        <v>1</v>
      </c>
      <c r="M8" s="233" t="s">
        <v>589</v>
      </c>
      <c r="N8" s="233" t="s">
        <v>35</v>
      </c>
      <c r="O8" s="234">
        <v>44656.0</v>
      </c>
      <c r="P8" s="235" t="str">
        <f t="shared" si="6"/>
        <v>Negative</v>
      </c>
      <c r="R8" s="6">
        <v>1.0</v>
      </c>
      <c r="S8" s="6">
        <v>0.0</v>
      </c>
      <c r="T8" s="236">
        <f t="shared" ref="T8:U8" si="17">E8-R8</f>
        <v>0</v>
      </c>
      <c r="U8" s="236">
        <f t="shared" si="17"/>
        <v>0</v>
      </c>
    </row>
    <row r="9">
      <c r="A9" s="51" t="s">
        <v>78</v>
      </c>
      <c r="B9" s="198">
        <v>44721.0</v>
      </c>
      <c r="C9" s="50">
        <v>22.0</v>
      </c>
      <c r="D9" s="55"/>
      <c r="E9" s="167">
        <f>IFERROR(VLOOKUP(A9,'Runs Compare'!$Y$2:AD348,5,FALSE),IFERROR(0/0,""))</f>
        <v>2</v>
      </c>
      <c r="F9" s="167">
        <f>IFERROR(VLOOKUP(A9,'Runs Compare'!$Y$2:AD348,6,FALSE),IFERROR(0/0,""))</f>
        <v>0</v>
      </c>
      <c r="G9" s="50">
        <f>IFERROR(VLOOKUP($A9,'Runs Compare'!$Y10:$AD348,5,FALSE),IFERROR(0/0,""))</f>
        <v>2</v>
      </c>
      <c r="H9" s="50">
        <f>IFERROR(VLOOKUP($A9,'Runs Compare'!$Y10:$AD348,6,FALSE),IFERROR(0/0,""))</f>
        <v>0</v>
      </c>
      <c r="I9" s="237">
        <f t="shared" ref="I9:J9" si="18">IF(ISBLANK(G9),E9,E9-G9)</f>
        <v>0</v>
      </c>
      <c r="J9" s="237">
        <f t="shared" si="18"/>
        <v>0</v>
      </c>
      <c r="K9" s="238" t="b">
        <f t="shared" si="5"/>
        <v>1</v>
      </c>
      <c r="M9" s="233" t="s">
        <v>590</v>
      </c>
      <c r="N9" s="233" t="s">
        <v>35</v>
      </c>
      <c r="O9" s="234">
        <v>44656.0</v>
      </c>
      <c r="P9" s="235" t="str">
        <f t="shared" si="6"/>
        <v>Negative</v>
      </c>
      <c r="R9" s="6">
        <v>2.0</v>
      </c>
      <c r="S9" s="6">
        <v>0.0</v>
      </c>
      <c r="T9" s="236">
        <f t="shared" ref="T9:U9" si="19">E9-R9</f>
        <v>0</v>
      </c>
      <c r="U9" s="236">
        <f t="shared" si="19"/>
        <v>0</v>
      </c>
    </row>
    <row r="10">
      <c r="A10" s="239" t="s">
        <v>79</v>
      </c>
      <c r="B10" s="240">
        <v>44722.0</v>
      </c>
      <c r="C10" s="108">
        <v>25.0</v>
      </c>
      <c r="D10" s="97" t="b">
        <v>1</v>
      </c>
      <c r="E10" s="167" t="str">
        <f>IFERROR(VLOOKUP(A10,'Runs Compare'!$Y$2:AD348,5,FALSE),IFERROR(0/0,""))</f>
        <v/>
      </c>
      <c r="F10" s="167" t="str">
        <f>IFERROR(VLOOKUP(A10,'Runs Compare'!$Y$2:AD348,6,FALSE),IFERROR(0/0,""))</f>
        <v/>
      </c>
      <c r="G10" s="50" t="str">
        <f>IFERROR(VLOOKUP($A10,'Runs Compare'!$Y11:$AD348,5,FALSE),IFERROR(0/0,""))</f>
        <v/>
      </c>
      <c r="H10" s="50" t="str">
        <f>IFERROR(VLOOKUP($A10,'Runs Compare'!$Y11:$AD348,6,FALSE),IFERROR(0/0,""))</f>
        <v/>
      </c>
      <c r="I10" s="50" t="str">
        <f t="shared" ref="I10:J10" si="20">IF(ISBLANK(G10),E10,E10-G10)</f>
        <v/>
      </c>
      <c r="J10" s="50" t="str">
        <f t="shared" si="20"/>
        <v/>
      </c>
      <c r="K10" s="232" t="b">
        <f t="shared" si="5"/>
        <v>0</v>
      </c>
      <c r="M10" s="233" t="s">
        <v>591</v>
      </c>
      <c r="N10" s="233" t="s">
        <v>36</v>
      </c>
      <c r="O10" s="234">
        <v>44657.0</v>
      </c>
      <c r="P10" s="235" t="str">
        <f t="shared" si="6"/>
        <v>Negative</v>
      </c>
      <c r="T10" s="236">
        <f t="shared" ref="T10:U10" si="21">E10-R10</f>
        <v>0</v>
      </c>
      <c r="U10" s="236">
        <f t="shared" si="21"/>
        <v>0</v>
      </c>
    </row>
    <row r="11">
      <c r="A11" s="241" t="s">
        <v>84</v>
      </c>
      <c r="B11" s="242">
        <v>44742.0</v>
      </c>
      <c r="C11" s="95">
        <v>35.0</v>
      </c>
      <c r="D11" s="110" t="b">
        <v>1</v>
      </c>
      <c r="E11" s="167">
        <f>IFERROR(VLOOKUP(A11,'Runs Compare'!$Y$2:AD348,5,FALSE),IFERROR(0/0,""))</f>
        <v>1</v>
      </c>
      <c r="F11" s="167">
        <f>IFERROR(VLOOKUP(A11,'Runs Compare'!$Y$2:AD348,6,FALSE),IFERROR(0/0,""))</f>
        <v>0</v>
      </c>
      <c r="G11" s="50">
        <f>IFERROR(VLOOKUP($A11,'Runs Compare'!$Y12:$AD348,5,FALSE),IFERROR(0/0,""))</f>
        <v>1</v>
      </c>
      <c r="H11" s="50">
        <f>IFERROR(VLOOKUP($A11,'Runs Compare'!$Y12:$AD348,6,FALSE),IFERROR(0/0,""))</f>
        <v>0</v>
      </c>
      <c r="I11" s="237">
        <f t="shared" ref="I11:J11" si="22">IF(ISBLANK(G11),E11,E11-G11)</f>
        <v>0</v>
      </c>
      <c r="J11" s="237">
        <f t="shared" si="22"/>
        <v>0</v>
      </c>
      <c r="K11" s="238" t="b">
        <f t="shared" si="5"/>
        <v>1</v>
      </c>
      <c r="M11" s="233" t="s">
        <v>592</v>
      </c>
      <c r="N11" s="233" t="s">
        <v>36</v>
      </c>
      <c r="O11" s="234">
        <v>44657.0</v>
      </c>
      <c r="P11" s="235" t="str">
        <f t="shared" si="6"/>
        <v>Negative</v>
      </c>
      <c r="R11" s="6">
        <v>1.0</v>
      </c>
      <c r="S11" s="6">
        <v>0.0</v>
      </c>
      <c r="T11" s="236">
        <f t="shared" ref="T11:U11" si="23">E11-R11</f>
        <v>0</v>
      </c>
      <c r="U11" s="236">
        <f t="shared" si="23"/>
        <v>0</v>
      </c>
    </row>
    <row r="12">
      <c r="A12" s="51" t="s">
        <v>89</v>
      </c>
      <c r="B12" s="198">
        <v>44750.0</v>
      </c>
      <c r="C12" s="50">
        <v>1.0</v>
      </c>
      <c r="D12" s="55"/>
      <c r="E12" s="167">
        <f>IFERROR(VLOOKUP(A12,'Runs Compare'!$Y$2:AD348,5,FALSE),IFERROR(0/0,""))</f>
        <v>0</v>
      </c>
      <c r="F12" s="167">
        <f>IFERROR(VLOOKUP(A12,'Runs Compare'!$Y$2:AD348,6,FALSE),IFERROR(0/0,""))</f>
        <v>0</v>
      </c>
      <c r="G12" s="50">
        <f>IFERROR(VLOOKUP($A12,'Runs Compare'!$Y13:$AD348,5,FALSE),IFERROR(0/0,""))</f>
        <v>0</v>
      </c>
      <c r="H12" s="50">
        <f>IFERROR(VLOOKUP($A12,'Runs Compare'!$Y13:$AD348,6,FALSE),IFERROR(0/0,""))</f>
        <v>0</v>
      </c>
      <c r="I12" s="50">
        <f t="shared" ref="I12:J12" si="24">IF(ISBLANK(G12),E12,E12-G12)</f>
        <v>0</v>
      </c>
      <c r="J12" s="50">
        <f t="shared" si="24"/>
        <v>0</v>
      </c>
      <c r="K12" s="232" t="b">
        <f t="shared" si="5"/>
        <v>1</v>
      </c>
      <c r="M12" s="233" t="s">
        <v>593</v>
      </c>
      <c r="N12" s="233" t="s">
        <v>36</v>
      </c>
      <c r="O12" s="234">
        <v>44657.0</v>
      </c>
      <c r="P12" s="235" t="str">
        <f t="shared" si="6"/>
        <v>Negative</v>
      </c>
      <c r="R12" s="6">
        <v>0.0</v>
      </c>
      <c r="S12" s="6">
        <v>0.0</v>
      </c>
      <c r="T12" s="236">
        <f t="shared" ref="T12:U12" si="25">E12-R12</f>
        <v>0</v>
      </c>
      <c r="U12" s="236">
        <f t="shared" si="25"/>
        <v>0</v>
      </c>
    </row>
    <row r="13">
      <c r="A13" s="51" t="s">
        <v>94</v>
      </c>
      <c r="B13" s="198">
        <v>44757.0</v>
      </c>
      <c r="C13" s="50">
        <v>1.0</v>
      </c>
      <c r="D13" s="55"/>
      <c r="E13" s="167">
        <f>IFERROR(VLOOKUP(A13,'Runs Compare'!$Y$2:AD348,5,FALSE),IFERROR(0/0,""))</f>
        <v>0</v>
      </c>
      <c r="F13" s="167">
        <f>IFERROR(VLOOKUP(A13,'Runs Compare'!$Y$2:AD348,6,FALSE),IFERROR(0/0,""))</f>
        <v>0</v>
      </c>
      <c r="G13" s="50">
        <f>IFERROR(VLOOKUP($A13,'Runs Compare'!$Y14:$AD348,5,FALSE),IFERROR(0/0,""))</f>
        <v>0</v>
      </c>
      <c r="H13" s="50">
        <f>IFERROR(VLOOKUP($A13,'Runs Compare'!$Y14:$AD348,6,FALSE),IFERROR(0/0,""))</f>
        <v>0</v>
      </c>
      <c r="I13" s="50">
        <f t="shared" ref="I13:J13" si="26">IF(ISBLANK(G13),E13,E13-G13)</f>
        <v>0</v>
      </c>
      <c r="J13" s="50">
        <f t="shared" si="26"/>
        <v>0</v>
      </c>
      <c r="K13" s="232" t="b">
        <f t="shared" si="5"/>
        <v>1</v>
      </c>
      <c r="M13" s="233" t="s">
        <v>594</v>
      </c>
      <c r="N13" s="233" t="s">
        <v>36</v>
      </c>
      <c r="O13" s="234">
        <v>44657.0</v>
      </c>
      <c r="P13" s="235" t="str">
        <f t="shared" si="6"/>
        <v>Negative</v>
      </c>
      <c r="R13" s="6">
        <v>0.0</v>
      </c>
      <c r="S13" s="6">
        <v>0.0</v>
      </c>
      <c r="T13" s="236">
        <f t="shared" ref="T13:U13" si="27">E13-R13</f>
        <v>0</v>
      </c>
      <c r="U13" s="236">
        <f t="shared" si="27"/>
        <v>0</v>
      </c>
    </row>
    <row r="14">
      <c r="A14" s="241" t="s">
        <v>97</v>
      </c>
      <c r="B14" s="242">
        <v>44760.0</v>
      </c>
      <c r="C14" s="95">
        <v>46.0</v>
      </c>
      <c r="D14" s="110" t="b">
        <v>1</v>
      </c>
      <c r="E14" s="167">
        <f>IFERROR(VLOOKUP(A14,'Runs Compare'!$Y$2:AD348,5,FALSE),IFERROR(0/0,""))</f>
        <v>1</v>
      </c>
      <c r="F14" s="167">
        <f>IFERROR(VLOOKUP(A14,'Runs Compare'!$Y$2:AD348,6,FALSE),IFERROR(0/0,""))</f>
        <v>0</v>
      </c>
      <c r="G14" s="50">
        <f>IFERROR(VLOOKUP($A14,'Runs Compare'!$Y15:$AD348,5,FALSE),IFERROR(0/0,""))</f>
        <v>1</v>
      </c>
      <c r="H14" s="50">
        <f>IFERROR(VLOOKUP($A14,'Runs Compare'!$Y15:$AD348,6,FALSE),IFERROR(0/0,""))</f>
        <v>0</v>
      </c>
      <c r="I14" s="237">
        <f t="shared" ref="I14:J14" si="28">IF(ISBLANK(G14),E14,E14-G14)</f>
        <v>0</v>
      </c>
      <c r="J14" s="237">
        <f t="shared" si="28"/>
        <v>0</v>
      </c>
      <c r="K14" s="238" t="b">
        <f t="shared" si="5"/>
        <v>1</v>
      </c>
      <c r="M14" s="233" t="s">
        <v>595</v>
      </c>
      <c r="N14" s="233" t="s">
        <v>36</v>
      </c>
      <c r="O14" s="234">
        <v>44657.0</v>
      </c>
      <c r="P14" s="235" t="str">
        <f t="shared" si="6"/>
        <v>Negative</v>
      </c>
      <c r="R14" s="6">
        <v>1.0</v>
      </c>
      <c r="S14" s="6">
        <v>0.0</v>
      </c>
      <c r="T14" s="236">
        <f t="shared" ref="T14:U14" si="29">E14-R14</f>
        <v>0</v>
      </c>
      <c r="U14" s="236">
        <f t="shared" si="29"/>
        <v>0</v>
      </c>
    </row>
    <row r="15">
      <c r="A15" s="241" t="s">
        <v>101</v>
      </c>
      <c r="B15" s="242">
        <v>44763.0</v>
      </c>
      <c r="C15" s="95">
        <v>57.0</v>
      </c>
      <c r="D15" s="110" t="b">
        <v>1</v>
      </c>
      <c r="E15" s="167">
        <f>IFERROR(VLOOKUP(A15,'Runs Compare'!$Y$2:AD348,5,FALSE),IFERROR(0/0,""))</f>
        <v>0</v>
      </c>
      <c r="F15" s="167">
        <f>IFERROR(VLOOKUP(A15,'Runs Compare'!$Y$2:AD348,6,FALSE),IFERROR(0/0,""))</f>
        <v>0</v>
      </c>
      <c r="G15" s="50">
        <f>IFERROR(VLOOKUP($A15,'Runs Compare'!$Y16:$AD348,5,FALSE),IFERROR(0/0,""))</f>
        <v>0</v>
      </c>
      <c r="H15" s="50">
        <f>IFERROR(VLOOKUP($A15,'Runs Compare'!$Y16:$AD348,6,FALSE),IFERROR(0/0,""))</f>
        <v>0</v>
      </c>
      <c r="I15" s="50">
        <f t="shared" ref="I15:J15" si="30">IF(ISBLANK(G15),E15,E15-G15)</f>
        <v>0</v>
      </c>
      <c r="J15" s="50">
        <f t="shared" si="30"/>
        <v>0</v>
      </c>
      <c r="K15" s="232" t="b">
        <f t="shared" si="5"/>
        <v>1</v>
      </c>
      <c r="M15" s="233" t="s">
        <v>596</v>
      </c>
      <c r="N15" s="233" t="s">
        <v>36</v>
      </c>
      <c r="O15" s="234">
        <v>44657.0</v>
      </c>
      <c r="P15" s="235" t="str">
        <f t="shared" si="6"/>
        <v>Negative</v>
      </c>
      <c r="R15" s="6">
        <v>0.0</v>
      </c>
      <c r="S15" s="6">
        <v>0.0</v>
      </c>
      <c r="T15" s="236">
        <f t="shared" ref="T15:U15" si="31">E15-R15</f>
        <v>0</v>
      </c>
      <c r="U15" s="236">
        <f t="shared" si="31"/>
        <v>0</v>
      </c>
    </row>
    <row r="16">
      <c r="A16" s="241" t="s">
        <v>106</v>
      </c>
      <c r="B16" s="242">
        <v>44777.0</v>
      </c>
      <c r="C16" s="95">
        <v>32.0</v>
      </c>
      <c r="D16" s="110" t="b">
        <v>1</v>
      </c>
      <c r="E16" s="167">
        <f>IFERROR(VLOOKUP(A16,'Runs Compare'!$Y$2:AD348,5,FALSE),IFERROR(0/0,""))</f>
        <v>0</v>
      </c>
      <c r="F16" s="167">
        <f>IFERROR(VLOOKUP(A16,'Runs Compare'!$Y$2:AD348,6,FALSE),IFERROR(0/0,""))</f>
        <v>0</v>
      </c>
      <c r="G16" s="50">
        <f>IFERROR(VLOOKUP($A16,'Runs Compare'!$Y17:$AD348,5,FALSE),IFERROR(0/0,""))</f>
        <v>0</v>
      </c>
      <c r="H16" s="50">
        <f>IFERROR(VLOOKUP($A16,'Runs Compare'!$Y17:$AD348,6,FALSE),IFERROR(0/0,""))</f>
        <v>0</v>
      </c>
      <c r="I16" s="50">
        <f t="shared" ref="I16:J16" si="32">IF(ISBLANK(G16),E16,E16-G16)</f>
        <v>0</v>
      </c>
      <c r="J16" s="50">
        <f t="shared" si="32"/>
        <v>0</v>
      </c>
      <c r="K16" s="232" t="b">
        <f t="shared" si="5"/>
        <v>1</v>
      </c>
      <c r="M16" s="233" t="s">
        <v>597</v>
      </c>
      <c r="N16" s="233" t="s">
        <v>37</v>
      </c>
      <c r="O16" s="234">
        <v>44658.0</v>
      </c>
      <c r="P16" s="235" t="str">
        <f t="shared" si="6"/>
        <v>Negative</v>
      </c>
      <c r="R16" s="6">
        <v>0.0</v>
      </c>
      <c r="S16" s="6">
        <v>0.0</v>
      </c>
      <c r="T16" s="236">
        <f t="shared" ref="T16:U16" si="33">E16-R16</f>
        <v>0</v>
      </c>
      <c r="U16" s="236">
        <f t="shared" si="33"/>
        <v>0</v>
      </c>
    </row>
    <row r="17">
      <c r="A17" s="241" t="s">
        <v>107</v>
      </c>
      <c r="B17" s="242">
        <v>44788.0</v>
      </c>
      <c r="C17" s="95">
        <v>37.0</v>
      </c>
      <c r="D17" s="110" t="b">
        <v>1</v>
      </c>
      <c r="E17" s="167">
        <f>IFERROR(VLOOKUP(A17,'Runs Compare'!$Y$2:AD348,5,FALSE),IFERROR(0/0,""))</f>
        <v>0</v>
      </c>
      <c r="F17" s="167">
        <f>IFERROR(VLOOKUP(A17,'Runs Compare'!$Y$2:AD348,6,FALSE),IFERROR(0/0,""))</f>
        <v>0</v>
      </c>
      <c r="G17" s="50">
        <f>IFERROR(VLOOKUP($A17,'Runs Compare'!$Y18:$AD348,5,FALSE),IFERROR(0/0,""))</f>
        <v>0</v>
      </c>
      <c r="H17" s="50">
        <f>IFERROR(VLOOKUP($A17,'Runs Compare'!$Y18:$AD348,6,FALSE),IFERROR(0/0,""))</f>
        <v>0</v>
      </c>
      <c r="I17" s="50">
        <f t="shared" ref="I17:J17" si="34">IF(ISBLANK(G17),E17,E17-G17)</f>
        <v>0</v>
      </c>
      <c r="J17" s="50">
        <f t="shared" si="34"/>
        <v>0</v>
      </c>
      <c r="K17" s="232" t="b">
        <f t="shared" si="5"/>
        <v>1</v>
      </c>
      <c r="M17" s="233" t="s">
        <v>598</v>
      </c>
      <c r="N17" s="233" t="s">
        <v>37</v>
      </c>
      <c r="O17" s="234">
        <v>44658.0</v>
      </c>
      <c r="P17" s="235" t="str">
        <f t="shared" si="6"/>
        <v>Negative</v>
      </c>
      <c r="R17" s="6">
        <v>0.0</v>
      </c>
      <c r="S17" s="6">
        <v>0.0</v>
      </c>
      <c r="T17" s="236">
        <f t="shared" ref="T17:U17" si="35">E17-R17</f>
        <v>0</v>
      </c>
      <c r="U17" s="236">
        <f t="shared" si="35"/>
        <v>0</v>
      </c>
    </row>
    <row r="18">
      <c r="A18" s="51"/>
      <c r="B18" s="198"/>
      <c r="C18" s="50"/>
      <c r="M18" s="233" t="s">
        <v>599</v>
      </c>
      <c r="N18" s="233" t="s">
        <v>68</v>
      </c>
      <c r="O18" s="234">
        <v>44709.0</v>
      </c>
      <c r="P18" s="235" t="str">
        <f t="shared" si="6"/>
        <v>Negative</v>
      </c>
    </row>
    <row r="19">
      <c r="A19" s="51"/>
      <c r="B19" s="198"/>
      <c r="C19" s="50"/>
      <c r="M19" s="233" t="s">
        <v>600</v>
      </c>
      <c r="N19" s="233" t="s">
        <v>68</v>
      </c>
      <c r="O19" s="234">
        <v>44709.0</v>
      </c>
      <c r="P19" s="235" t="str">
        <f t="shared" si="6"/>
        <v>Negative</v>
      </c>
    </row>
    <row r="20">
      <c r="A20" s="51"/>
      <c r="B20" s="198"/>
      <c r="C20" s="50"/>
      <c r="M20" s="233" t="s">
        <v>601</v>
      </c>
      <c r="N20" s="233" t="s">
        <v>68</v>
      </c>
      <c r="O20" s="234">
        <v>44709.0</v>
      </c>
      <c r="P20" s="235" t="str">
        <f t="shared" si="6"/>
        <v>Negative</v>
      </c>
    </row>
    <row r="21">
      <c r="A21" s="51"/>
      <c r="B21" s="198"/>
      <c r="C21" s="50"/>
      <c r="M21" s="233" t="s">
        <v>602</v>
      </c>
      <c r="N21" s="233" t="s">
        <v>68</v>
      </c>
      <c r="O21" s="234">
        <v>44709.0</v>
      </c>
      <c r="P21" s="235" t="str">
        <f t="shared" si="6"/>
        <v>Negative</v>
      </c>
    </row>
    <row r="22">
      <c r="A22" s="51"/>
      <c r="B22" s="198"/>
      <c r="C22" s="50"/>
      <c r="M22" s="233" t="s">
        <v>603</v>
      </c>
      <c r="N22" s="233" t="s">
        <v>68</v>
      </c>
      <c r="O22" s="234">
        <v>44709.0</v>
      </c>
      <c r="P22" s="235" t="str">
        <f t="shared" si="6"/>
        <v>Negative</v>
      </c>
    </row>
    <row r="23">
      <c r="A23" s="51"/>
      <c r="B23" s="198"/>
      <c r="C23" s="50"/>
      <c r="M23" s="233" t="s">
        <v>604</v>
      </c>
      <c r="N23" s="233" t="s">
        <v>68</v>
      </c>
      <c r="O23" s="234">
        <v>44709.0</v>
      </c>
      <c r="P23" s="235" t="str">
        <f t="shared" si="6"/>
        <v>Negative</v>
      </c>
    </row>
    <row r="24">
      <c r="A24" s="51"/>
      <c r="B24" s="198"/>
      <c r="C24" s="50"/>
      <c r="M24" s="233" t="s">
        <v>605</v>
      </c>
      <c r="N24" s="233" t="s">
        <v>68</v>
      </c>
      <c r="O24" s="234">
        <v>44709.0</v>
      </c>
      <c r="P24" s="235" t="str">
        <f t="shared" si="6"/>
        <v>Negative</v>
      </c>
    </row>
    <row r="25">
      <c r="A25" s="51"/>
      <c r="B25" s="198"/>
      <c r="C25" s="50"/>
      <c r="M25" s="233" t="s">
        <v>606</v>
      </c>
      <c r="N25" s="233" t="s">
        <v>68</v>
      </c>
      <c r="O25" s="234">
        <v>44709.0</v>
      </c>
      <c r="P25" s="235" t="str">
        <f t="shared" si="6"/>
        <v>Negative</v>
      </c>
    </row>
    <row r="26">
      <c r="A26" s="51"/>
      <c r="B26" s="198"/>
      <c r="C26" s="50"/>
      <c r="M26" s="233" t="s">
        <v>607</v>
      </c>
      <c r="N26" s="233" t="s">
        <v>68</v>
      </c>
      <c r="O26" s="234">
        <v>44709.0</v>
      </c>
      <c r="P26" s="235" t="str">
        <f t="shared" si="6"/>
        <v>Negative</v>
      </c>
    </row>
    <row r="27">
      <c r="A27" s="51"/>
      <c r="B27" s="198"/>
      <c r="C27" s="50"/>
      <c r="M27" s="233" t="s">
        <v>608</v>
      </c>
      <c r="N27" s="233" t="s">
        <v>75</v>
      </c>
      <c r="O27" s="234">
        <v>44718.0</v>
      </c>
      <c r="P27" s="235" t="str">
        <f t="shared" si="6"/>
        <v>Negative</v>
      </c>
    </row>
    <row r="28">
      <c r="A28" s="51"/>
      <c r="B28" s="198"/>
      <c r="C28" s="50"/>
      <c r="M28" s="233" t="s">
        <v>609</v>
      </c>
      <c r="N28" s="233" t="s">
        <v>75</v>
      </c>
      <c r="O28" s="234">
        <v>44718.0</v>
      </c>
      <c r="P28" s="235" t="str">
        <f t="shared" si="6"/>
        <v>Negative</v>
      </c>
    </row>
    <row r="29">
      <c r="A29" s="51"/>
      <c r="B29" s="198"/>
      <c r="C29" s="50"/>
      <c r="M29" s="233" t="s">
        <v>610</v>
      </c>
      <c r="N29" s="233" t="s">
        <v>75</v>
      </c>
      <c r="O29" s="234">
        <v>44718.0</v>
      </c>
      <c r="P29" s="235" t="str">
        <f t="shared" si="6"/>
        <v>Negative</v>
      </c>
    </row>
    <row r="30">
      <c r="A30" s="51"/>
      <c r="B30" s="198"/>
      <c r="C30" s="50"/>
      <c r="M30" s="233" t="s">
        <v>611</v>
      </c>
      <c r="N30" s="233" t="s">
        <v>75</v>
      </c>
      <c r="O30" s="234">
        <v>44718.0</v>
      </c>
      <c r="P30" s="235" t="str">
        <f t="shared" si="6"/>
        <v>Negative</v>
      </c>
    </row>
    <row r="31">
      <c r="A31" s="51"/>
      <c r="B31" s="198"/>
      <c r="C31" s="50"/>
      <c r="M31" s="233" t="s">
        <v>612</v>
      </c>
      <c r="N31" s="233" t="s">
        <v>75</v>
      </c>
      <c r="O31" s="234">
        <v>44718.0</v>
      </c>
      <c r="P31" s="235" t="str">
        <f t="shared" si="6"/>
        <v>Negative</v>
      </c>
    </row>
    <row r="32">
      <c r="A32" s="51"/>
      <c r="B32" s="198"/>
      <c r="C32" s="50"/>
      <c r="M32" s="233" t="s">
        <v>613</v>
      </c>
      <c r="N32" s="233" t="s">
        <v>75</v>
      </c>
      <c r="O32" s="234">
        <v>44718.0</v>
      </c>
      <c r="P32" s="235" t="str">
        <f t="shared" si="6"/>
        <v>Negative</v>
      </c>
    </row>
    <row r="33">
      <c r="A33" s="51"/>
      <c r="B33" s="198"/>
      <c r="C33" s="50"/>
      <c r="M33" s="233" t="s">
        <v>614</v>
      </c>
      <c r="N33" s="233" t="s">
        <v>75</v>
      </c>
      <c r="O33" s="234">
        <v>44718.0</v>
      </c>
      <c r="P33" s="235" t="str">
        <f t="shared" si="6"/>
        <v>Negative</v>
      </c>
    </row>
    <row r="34">
      <c r="A34" s="51"/>
      <c r="B34" s="198"/>
      <c r="C34" s="50"/>
      <c r="M34" s="233" t="s">
        <v>615</v>
      </c>
      <c r="N34" s="233" t="s">
        <v>75</v>
      </c>
      <c r="O34" s="234">
        <v>44718.0</v>
      </c>
      <c r="P34" s="235" t="str">
        <f t="shared" si="6"/>
        <v>Negative</v>
      </c>
    </row>
    <row r="35">
      <c r="A35" s="51"/>
      <c r="B35" s="198"/>
      <c r="C35" s="50"/>
      <c r="M35" s="233" t="s">
        <v>616</v>
      </c>
      <c r="N35" s="233" t="s">
        <v>75</v>
      </c>
      <c r="O35" s="234">
        <v>44718.0</v>
      </c>
      <c r="P35" s="235" t="str">
        <f t="shared" si="6"/>
        <v>Negative</v>
      </c>
    </row>
    <row r="36">
      <c r="A36" s="51"/>
      <c r="B36" s="198"/>
      <c r="C36" s="50"/>
      <c r="M36" s="233" t="s">
        <v>617</v>
      </c>
      <c r="N36" s="233" t="s">
        <v>75</v>
      </c>
      <c r="O36" s="234">
        <v>44718.0</v>
      </c>
      <c r="P36" s="235" t="str">
        <f t="shared" si="6"/>
        <v>Negative</v>
      </c>
    </row>
    <row r="37">
      <c r="A37" s="51"/>
      <c r="B37" s="198"/>
      <c r="C37" s="50"/>
      <c r="M37" s="233" t="s">
        <v>618</v>
      </c>
      <c r="N37" s="233" t="s">
        <v>75</v>
      </c>
      <c r="O37" s="234">
        <v>44718.0</v>
      </c>
      <c r="P37" s="235" t="str">
        <f t="shared" si="6"/>
        <v>Negative</v>
      </c>
    </row>
    <row r="38">
      <c r="A38" s="51"/>
      <c r="B38" s="198"/>
      <c r="C38" s="50"/>
      <c r="M38" s="233" t="s">
        <v>619</v>
      </c>
      <c r="N38" s="233" t="s">
        <v>75</v>
      </c>
      <c r="O38" s="234">
        <v>44718.0</v>
      </c>
      <c r="P38" s="235" t="str">
        <f t="shared" si="6"/>
        <v>Negative</v>
      </c>
    </row>
    <row r="39">
      <c r="A39" s="51"/>
      <c r="B39" s="198"/>
      <c r="C39" s="50"/>
      <c r="M39" s="233" t="s">
        <v>620</v>
      </c>
      <c r="N39" s="233" t="s">
        <v>75</v>
      </c>
      <c r="O39" s="234">
        <v>44718.0</v>
      </c>
      <c r="P39" s="235" t="str">
        <f t="shared" si="6"/>
        <v>Negative</v>
      </c>
    </row>
    <row r="40">
      <c r="A40" s="51"/>
      <c r="B40" s="198"/>
      <c r="C40" s="50"/>
      <c r="M40" s="233" t="s">
        <v>621</v>
      </c>
      <c r="N40" s="233" t="s">
        <v>75</v>
      </c>
      <c r="O40" s="234">
        <v>44718.0</v>
      </c>
      <c r="P40" s="235" t="str">
        <f t="shared" si="6"/>
        <v>Negative</v>
      </c>
    </row>
    <row r="41">
      <c r="A41" s="51"/>
      <c r="B41" s="198"/>
      <c r="C41" s="50"/>
      <c r="M41" s="233" t="s">
        <v>622</v>
      </c>
      <c r="N41" s="233" t="s">
        <v>75</v>
      </c>
      <c r="O41" s="234">
        <v>44718.0</v>
      </c>
      <c r="P41" s="235" t="str">
        <f t="shared" si="6"/>
        <v>Negative</v>
      </c>
    </row>
    <row r="42">
      <c r="A42" s="51"/>
      <c r="B42" s="198"/>
      <c r="C42" s="50"/>
      <c r="M42" s="233" t="s">
        <v>623</v>
      </c>
      <c r="N42" s="233" t="s">
        <v>75</v>
      </c>
      <c r="O42" s="234">
        <v>44718.0</v>
      </c>
      <c r="P42" s="235" t="str">
        <f t="shared" si="6"/>
        <v>Negative</v>
      </c>
    </row>
    <row r="43">
      <c r="A43" s="51"/>
      <c r="B43" s="198"/>
      <c r="C43" s="50"/>
      <c r="M43" s="233" t="s">
        <v>624</v>
      </c>
      <c r="N43" s="233" t="s">
        <v>75</v>
      </c>
      <c r="O43" s="234">
        <v>44718.0</v>
      </c>
      <c r="P43" s="235" t="str">
        <f t="shared" si="6"/>
        <v>Negative</v>
      </c>
    </row>
    <row r="44">
      <c r="A44" s="51"/>
      <c r="B44" s="198"/>
      <c r="C44" s="50"/>
      <c r="M44" s="233" t="s">
        <v>625</v>
      </c>
      <c r="N44" s="233" t="s">
        <v>75</v>
      </c>
      <c r="O44" s="234">
        <v>44718.0</v>
      </c>
      <c r="P44" s="235" t="str">
        <f t="shared" si="6"/>
        <v>Negative</v>
      </c>
    </row>
    <row r="45">
      <c r="A45" s="51"/>
      <c r="B45" s="198"/>
      <c r="C45" s="50"/>
      <c r="M45" s="233" t="s">
        <v>626</v>
      </c>
      <c r="N45" s="233" t="s">
        <v>75</v>
      </c>
      <c r="O45" s="234">
        <v>44718.0</v>
      </c>
      <c r="P45" s="235" t="str">
        <f t="shared" si="6"/>
        <v>Negative</v>
      </c>
    </row>
    <row r="46">
      <c r="A46" s="51"/>
      <c r="B46" s="198"/>
      <c r="C46" s="50"/>
      <c r="M46" s="233" t="s">
        <v>627</v>
      </c>
      <c r="N46" s="233" t="s">
        <v>75</v>
      </c>
      <c r="O46" s="234">
        <v>44718.0</v>
      </c>
      <c r="P46" s="235" t="str">
        <f t="shared" si="6"/>
        <v>Negative</v>
      </c>
    </row>
    <row r="47">
      <c r="A47" s="51"/>
      <c r="B47" s="198"/>
      <c r="C47" s="50"/>
      <c r="M47" s="233" t="s">
        <v>628</v>
      </c>
      <c r="N47" s="233" t="s">
        <v>75</v>
      </c>
      <c r="O47" s="234">
        <v>44718.0</v>
      </c>
      <c r="P47" s="235" t="str">
        <f t="shared" si="6"/>
        <v>Negative</v>
      </c>
    </row>
    <row r="48">
      <c r="A48" s="51"/>
      <c r="B48" s="198"/>
      <c r="C48" s="50"/>
      <c r="M48" s="233" t="s">
        <v>629</v>
      </c>
      <c r="N48" s="233" t="s">
        <v>75</v>
      </c>
      <c r="O48" s="234">
        <v>44718.0</v>
      </c>
      <c r="P48" s="235" t="str">
        <f t="shared" si="6"/>
        <v>Negative</v>
      </c>
    </row>
    <row r="49">
      <c r="A49" s="51"/>
      <c r="B49" s="198"/>
      <c r="C49" s="50"/>
      <c r="M49" s="233" t="s">
        <v>630</v>
      </c>
      <c r="N49" s="233" t="s">
        <v>75</v>
      </c>
      <c r="O49" s="234">
        <v>44718.0</v>
      </c>
      <c r="P49" s="235" t="str">
        <f t="shared" si="6"/>
        <v>Negative</v>
      </c>
    </row>
    <row r="50">
      <c r="A50" s="51"/>
      <c r="B50" s="198"/>
      <c r="C50" s="50"/>
      <c r="M50" s="233" t="s">
        <v>631</v>
      </c>
      <c r="N50" s="233" t="s">
        <v>75</v>
      </c>
      <c r="O50" s="234">
        <v>44718.0</v>
      </c>
      <c r="P50" s="235" t="str">
        <f t="shared" si="6"/>
        <v>Negative</v>
      </c>
    </row>
    <row r="51">
      <c r="A51" s="51"/>
      <c r="B51" s="198"/>
      <c r="C51" s="50"/>
      <c r="M51" s="233" t="s">
        <v>632</v>
      </c>
      <c r="N51" s="233" t="s">
        <v>75</v>
      </c>
      <c r="O51" s="234">
        <v>44718.0</v>
      </c>
      <c r="P51" s="235" t="str">
        <f t="shared" si="6"/>
        <v>Negative</v>
      </c>
    </row>
    <row r="52">
      <c r="A52" s="51"/>
      <c r="B52" s="198"/>
      <c r="C52" s="50"/>
      <c r="M52" s="233" t="s">
        <v>633</v>
      </c>
      <c r="N52" s="233" t="s">
        <v>75</v>
      </c>
      <c r="O52" s="234">
        <v>44718.0</v>
      </c>
      <c r="P52" s="235" t="str">
        <f t="shared" si="6"/>
        <v>Negative</v>
      </c>
    </row>
    <row r="53">
      <c r="A53" s="51"/>
      <c r="B53" s="198"/>
      <c r="C53" s="50"/>
      <c r="M53" s="233" t="s">
        <v>634</v>
      </c>
      <c r="N53" s="233" t="s">
        <v>75</v>
      </c>
      <c r="O53" s="234">
        <v>44718.0</v>
      </c>
      <c r="P53" s="235" t="str">
        <f t="shared" si="6"/>
        <v>Negative</v>
      </c>
    </row>
    <row r="54">
      <c r="A54" s="51"/>
      <c r="B54" s="198"/>
      <c r="C54" s="50"/>
      <c r="M54" s="233" t="s">
        <v>635</v>
      </c>
      <c r="N54" s="233" t="s">
        <v>75</v>
      </c>
      <c r="O54" s="234">
        <v>44718.0</v>
      </c>
      <c r="P54" s="235" t="str">
        <f t="shared" si="6"/>
        <v>Negative</v>
      </c>
    </row>
    <row r="55">
      <c r="A55" s="51"/>
      <c r="B55" s="198"/>
      <c r="C55" s="50"/>
      <c r="M55" s="233" t="s">
        <v>636</v>
      </c>
      <c r="N55" s="233" t="s">
        <v>78</v>
      </c>
      <c r="O55" s="234">
        <v>44721.0</v>
      </c>
      <c r="P55" s="235" t="str">
        <f t="shared" si="6"/>
        <v>Negative</v>
      </c>
    </row>
    <row r="56">
      <c r="A56" s="51"/>
      <c r="B56" s="198"/>
      <c r="C56" s="50"/>
      <c r="M56" s="233" t="s">
        <v>637</v>
      </c>
      <c r="N56" s="233" t="s">
        <v>78</v>
      </c>
      <c r="O56" s="234">
        <v>44721.0</v>
      </c>
      <c r="P56" s="235" t="str">
        <f t="shared" si="6"/>
        <v>Negative</v>
      </c>
    </row>
    <row r="57">
      <c r="A57" s="51"/>
      <c r="B57" s="198"/>
      <c r="C57" s="50"/>
      <c r="M57" s="233" t="s">
        <v>638</v>
      </c>
      <c r="N57" s="233" t="s">
        <v>78</v>
      </c>
      <c r="O57" s="234">
        <v>44721.0</v>
      </c>
      <c r="P57" s="235" t="str">
        <f t="shared" si="6"/>
        <v>Negative</v>
      </c>
    </row>
    <row r="58">
      <c r="A58" s="51"/>
      <c r="B58" s="198"/>
      <c r="C58" s="50"/>
      <c r="M58" s="233" t="s">
        <v>639</v>
      </c>
      <c r="N58" s="233" t="s">
        <v>78</v>
      </c>
      <c r="O58" s="234">
        <v>44721.0</v>
      </c>
      <c r="P58" s="235" t="str">
        <f t="shared" si="6"/>
        <v>Negative</v>
      </c>
    </row>
    <row r="59">
      <c r="A59" s="51"/>
      <c r="B59" s="198"/>
      <c r="C59" s="50"/>
      <c r="M59" s="233" t="s">
        <v>640</v>
      </c>
      <c r="N59" s="233" t="s">
        <v>78</v>
      </c>
      <c r="O59" s="234">
        <v>44721.0</v>
      </c>
      <c r="P59" s="235" t="str">
        <f t="shared" si="6"/>
        <v>Negative</v>
      </c>
    </row>
    <row r="60">
      <c r="A60" s="51"/>
      <c r="B60" s="198"/>
      <c r="C60" s="50"/>
      <c r="M60" s="233" t="s">
        <v>641</v>
      </c>
      <c r="N60" s="233" t="s">
        <v>78</v>
      </c>
      <c r="O60" s="234">
        <v>44721.0</v>
      </c>
      <c r="P60" s="235" t="str">
        <f t="shared" si="6"/>
        <v>Negative</v>
      </c>
    </row>
    <row r="61">
      <c r="A61" s="51"/>
      <c r="B61" s="198"/>
      <c r="C61" s="50"/>
      <c r="M61" s="233" t="s">
        <v>642</v>
      </c>
      <c r="N61" s="233" t="s">
        <v>78</v>
      </c>
      <c r="O61" s="234">
        <v>44721.0</v>
      </c>
      <c r="P61" s="235" t="str">
        <f t="shared" si="6"/>
        <v>Negative</v>
      </c>
    </row>
    <row r="62">
      <c r="A62" s="51"/>
      <c r="B62" s="198"/>
      <c r="C62" s="50"/>
      <c r="M62" s="233" t="s">
        <v>643</v>
      </c>
      <c r="N62" s="233" t="s">
        <v>78</v>
      </c>
      <c r="O62" s="234">
        <v>44721.0</v>
      </c>
      <c r="P62" s="235" t="str">
        <f t="shared" si="6"/>
        <v>Negative</v>
      </c>
    </row>
    <row r="63">
      <c r="A63" s="51"/>
      <c r="B63" s="198"/>
      <c r="C63" s="50"/>
      <c r="M63" s="233" t="s">
        <v>644</v>
      </c>
      <c r="N63" s="233" t="s">
        <v>78</v>
      </c>
      <c r="O63" s="234">
        <v>44721.0</v>
      </c>
      <c r="P63" s="235" t="str">
        <f t="shared" si="6"/>
        <v>Negative</v>
      </c>
    </row>
    <row r="64">
      <c r="A64" s="51"/>
      <c r="B64" s="198"/>
      <c r="C64" s="50"/>
      <c r="M64" s="233" t="s">
        <v>645</v>
      </c>
      <c r="N64" s="233" t="s">
        <v>78</v>
      </c>
      <c r="O64" s="234">
        <v>44721.0</v>
      </c>
      <c r="P64" s="235" t="str">
        <f t="shared" si="6"/>
        <v>Negative</v>
      </c>
    </row>
    <row r="65">
      <c r="A65" s="51"/>
      <c r="B65" s="198"/>
      <c r="C65" s="50"/>
      <c r="M65" s="233" t="s">
        <v>646</v>
      </c>
      <c r="N65" s="233" t="s">
        <v>78</v>
      </c>
      <c r="O65" s="234">
        <v>44721.0</v>
      </c>
      <c r="P65" s="235" t="str">
        <f t="shared" si="6"/>
        <v>Negative</v>
      </c>
    </row>
    <row r="66">
      <c r="A66" s="51"/>
      <c r="B66" s="198"/>
      <c r="C66" s="50"/>
      <c r="M66" s="233" t="s">
        <v>647</v>
      </c>
      <c r="N66" s="233" t="s">
        <v>78</v>
      </c>
      <c r="O66" s="234">
        <v>44721.0</v>
      </c>
      <c r="P66" s="235" t="str">
        <f t="shared" si="6"/>
        <v>Negative</v>
      </c>
    </row>
    <row r="67">
      <c r="A67" s="51"/>
      <c r="B67" s="198"/>
      <c r="C67" s="50"/>
      <c r="M67" s="233" t="s">
        <v>648</v>
      </c>
      <c r="N67" s="233" t="s">
        <v>78</v>
      </c>
      <c r="O67" s="234">
        <v>44721.0</v>
      </c>
      <c r="P67" s="235" t="str">
        <f t="shared" si="6"/>
        <v>Negative</v>
      </c>
    </row>
    <row r="68">
      <c r="A68" s="51"/>
      <c r="B68" s="198"/>
      <c r="C68" s="50"/>
      <c r="M68" s="233" t="s">
        <v>649</v>
      </c>
      <c r="N68" s="233" t="s">
        <v>78</v>
      </c>
      <c r="O68" s="234">
        <v>44721.0</v>
      </c>
      <c r="P68" s="235" t="str">
        <f t="shared" si="6"/>
        <v>Negative</v>
      </c>
    </row>
    <row r="69">
      <c r="A69" s="51"/>
      <c r="B69" s="198"/>
      <c r="C69" s="50"/>
      <c r="M69" s="233" t="s">
        <v>650</v>
      </c>
      <c r="N69" s="233" t="s">
        <v>78</v>
      </c>
      <c r="O69" s="234">
        <v>44721.0</v>
      </c>
      <c r="P69" s="235" t="str">
        <f t="shared" si="6"/>
        <v>Negative</v>
      </c>
    </row>
    <row r="70">
      <c r="A70" s="51"/>
      <c r="B70" s="198"/>
      <c r="C70" s="50"/>
      <c r="M70" s="233" t="s">
        <v>651</v>
      </c>
      <c r="N70" s="233" t="s">
        <v>78</v>
      </c>
      <c r="O70" s="234">
        <v>44721.0</v>
      </c>
      <c r="P70" s="235" t="str">
        <f t="shared" si="6"/>
        <v>Negative</v>
      </c>
    </row>
    <row r="71">
      <c r="A71" s="51"/>
      <c r="B71" s="198"/>
      <c r="C71" s="50"/>
      <c r="M71" s="233" t="s">
        <v>652</v>
      </c>
      <c r="N71" s="233" t="s">
        <v>78</v>
      </c>
      <c r="O71" s="234">
        <v>44721.0</v>
      </c>
      <c r="P71" s="243" t="s">
        <v>12</v>
      </c>
      <c r="Q71" s="232" t="s">
        <v>653</v>
      </c>
    </row>
    <row r="72">
      <c r="A72" s="51"/>
      <c r="B72" s="198"/>
      <c r="C72" s="50"/>
      <c r="M72" s="233" t="s">
        <v>654</v>
      </c>
      <c r="N72" s="233" t="s">
        <v>78</v>
      </c>
      <c r="O72" s="234">
        <v>44721.0</v>
      </c>
      <c r="P72" s="243" t="s">
        <v>12</v>
      </c>
      <c r="Q72" s="232" t="s">
        <v>653</v>
      </c>
    </row>
    <row r="73">
      <c r="A73" s="51"/>
      <c r="B73" s="198"/>
      <c r="C73" s="50"/>
      <c r="M73" s="233" t="s">
        <v>655</v>
      </c>
      <c r="N73" s="233" t="s">
        <v>78</v>
      </c>
      <c r="O73" s="234">
        <v>44721.0</v>
      </c>
      <c r="P73" s="232" t="s">
        <v>11</v>
      </c>
    </row>
    <row r="74">
      <c r="A74" s="51"/>
      <c r="B74" s="198"/>
      <c r="C74" s="50"/>
      <c r="M74" s="233" t="s">
        <v>656</v>
      </c>
      <c r="N74" s="233" t="s">
        <v>78</v>
      </c>
      <c r="O74" s="234">
        <v>44721.0</v>
      </c>
      <c r="P74" s="232" t="s">
        <v>11</v>
      </c>
    </row>
    <row r="75">
      <c r="A75" s="51"/>
      <c r="B75" s="198"/>
      <c r="C75" s="50"/>
      <c r="M75" s="233" t="s">
        <v>657</v>
      </c>
      <c r="N75" s="233" t="s">
        <v>78</v>
      </c>
      <c r="O75" s="234">
        <v>44721.0</v>
      </c>
      <c r="P75" s="232" t="s">
        <v>11</v>
      </c>
    </row>
    <row r="76">
      <c r="A76" s="51"/>
      <c r="B76" s="198"/>
      <c r="C76" s="50"/>
      <c r="M76" s="233" t="s">
        <v>658</v>
      </c>
      <c r="N76" s="233" t="s">
        <v>78</v>
      </c>
      <c r="O76" s="234">
        <v>44721.0</v>
      </c>
      <c r="P76" s="232" t="s">
        <v>11</v>
      </c>
    </row>
    <row r="77">
      <c r="A77" s="51"/>
      <c r="B77" s="198"/>
      <c r="C77" s="50"/>
      <c r="M77" s="233" t="s">
        <v>659</v>
      </c>
      <c r="N77" s="233" t="s">
        <v>79</v>
      </c>
      <c r="O77" s="234">
        <v>44722.0</v>
      </c>
      <c r="P77" s="232" t="s">
        <v>11</v>
      </c>
    </row>
    <row r="78">
      <c r="A78" s="51"/>
      <c r="B78" s="198"/>
      <c r="C78" s="50"/>
      <c r="M78" s="233" t="s">
        <v>660</v>
      </c>
      <c r="N78" s="233" t="s">
        <v>79</v>
      </c>
      <c r="O78" s="234">
        <v>44722.0</v>
      </c>
      <c r="P78" s="232" t="s">
        <v>11</v>
      </c>
    </row>
    <row r="79">
      <c r="A79" s="51"/>
      <c r="B79" s="198"/>
      <c r="C79" s="50"/>
      <c r="M79" s="233" t="s">
        <v>661</v>
      </c>
      <c r="N79" s="233" t="s">
        <v>79</v>
      </c>
      <c r="O79" s="234">
        <v>44722.0</v>
      </c>
      <c r="P79" s="232" t="s">
        <v>11</v>
      </c>
    </row>
    <row r="80">
      <c r="A80" s="51"/>
      <c r="B80" s="198"/>
      <c r="C80" s="50"/>
      <c r="M80" s="233" t="s">
        <v>662</v>
      </c>
      <c r="N80" s="233" t="s">
        <v>79</v>
      </c>
      <c r="O80" s="234">
        <v>44722.0</v>
      </c>
      <c r="P80" s="232" t="s">
        <v>11</v>
      </c>
    </row>
    <row r="81">
      <c r="A81" s="51"/>
      <c r="B81" s="198"/>
      <c r="C81" s="50"/>
      <c r="M81" s="233" t="s">
        <v>663</v>
      </c>
      <c r="N81" s="233" t="s">
        <v>79</v>
      </c>
      <c r="O81" s="234">
        <v>44722.0</v>
      </c>
      <c r="P81" s="232" t="s">
        <v>11</v>
      </c>
    </row>
    <row r="82">
      <c r="A82" s="51"/>
      <c r="B82" s="198"/>
      <c r="C82" s="50"/>
      <c r="M82" s="233" t="s">
        <v>664</v>
      </c>
      <c r="N82" s="233" t="s">
        <v>79</v>
      </c>
      <c r="O82" s="234">
        <v>44722.0</v>
      </c>
      <c r="P82" s="232" t="s">
        <v>11</v>
      </c>
    </row>
    <row r="83">
      <c r="M83" s="233" t="s">
        <v>665</v>
      </c>
      <c r="N83" s="233" t="s">
        <v>79</v>
      </c>
      <c r="O83" s="234">
        <v>44722.0</v>
      </c>
      <c r="P83" s="232" t="s">
        <v>11</v>
      </c>
    </row>
    <row r="84">
      <c r="M84" s="233" t="s">
        <v>666</v>
      </c>
      <c r="N84" s="233" t="s">
        <v>79</v>
      </c>
      <c r="O84" s="234">
        <v>44722.0</v>
      </c>
      <c r="P84" s="232" t="s">
        <v>11</v>
      </c>
    </row>
    <row r="85">
      <c r="M85" s="233" t="s">
        <v>667</v>
      </c>
      <c r="N85" s="233" t="s">
        <v>79</v>
      </c>
      <c r="O85" s="234">
        <v>44722.0</v>
      </c>
      <c r="P85" s="232" t="s">
        <v>11</v>
      </c>
    </row>
    <row r="86">
      <c r="M86" s="233" t="s">
        <v>668</v>
      </c>
      <c r="N86" s="233" t="s">
        <v>79</v>
      </c>
      <c r="O86" s="234">
        <v>44722.0</v>
      </c>
      <c r="P86" s="232" t="s">
        <v>11</v>
      </c>
    </row>
    <row r="87">
      <c r="M87" s="233" t="s">
        <v>669</v>
      </c>
      <c r="N87" s="233" t="s">
        <v>79</v>
      </c>
      <c r="O87" s="234">
        <v>44722.0</v>
      </c>
      <c r="P87" s="232" t="s">
        <v>11</v>
      </c>
    </row>
    <row r="88">
      <c r="M88" s="233" t="s">
        <v>670</v>
      </c>
      <c r="N88" s="233" t="s">
        <v>79</v>
      </c>
      <c r="O88" s="234">
        <v>44722.0</v>
      </c>
      <c r="P88" s="232" t="s">
        <v>11</v>
      </c>
    </row>
    <row r="89">
      <c r="M89" s="233" t="s">
        <v>671</v>
      </c>
      <c r="N89" s="233" t="s">
        <v>79</v>
      </c>
      <c r="O89" s="234">
        <v>44722.0</v>
      </c>
      <c r="P89" s="232" t="s">
        <v>11</v>
      </c>
    </row>
    <row r="90">
      <c r="M90" s="233" t="s">
        <v>672</v>
      </c>
      <c r="N90" s="233" t="s">
        <v>79</v>
      </c>
      <c r="O90" s="234">
        <v>44722.0</v>
      </c>
      <c r="P90" s="232" t="s">
        <v>11</v>
      </c>
    </row>
    <row r="91">
      <c r="M91" s="233" t="s">
        <v>673</v>
      </c>
      <c r="N91" s="233" t="s">
        <v>79</v>
      </c>
      <c r="O91" s="234">
        <v>44722.0</v>
      </c>
      <c r="P91" s="232" t="s">
        <v>11</v>
      </c>
    </row>
    <row r="92">
      <c r="M92" s="233" t="s">
        <v>674</v>
      </c>
      <c r="N92" s="233" t="s">
        <v>79</v>
      </c>
      <c r="O92" s="234">
        <v>44722.0</v>
      </c>
      <c r="P92" s="232" t="s">
        <v>11</v>
      </c>
    </row>
    <row r="93">
      <c r="M93" s="233" t="s">
        <v>675</v>
      </c>
      <c r="N93" s="233" t="s">
        <v>79</v>
      </c>
      <c r="O93" s="234">
        <v>44722.0</v>
      </c>
      <c r="P93" s="232" t="s">
        <v>11</v>
      </c>
      <c r="Q93" s="232" t="s">
        <v>676</v>
      </c>
    </row>
    <row r="94">
      <c r="M94" s="233" t="s">
        <v>677</v>
      </c>
      <c r="N94" s="233" t="s">
        <v>79</v>
      </c>
      <c r="O94" s="234">
        <v>44722.0</v>
      </c>
      <c r="P94" s="232" t="s">
        <v>11</v>
      </c>
    </row>
    <row r="95">
      <c r="M95" s="233" t="s">
        <v>678</v>
      </c>
      <c r="N95" s="233" t="s">
        <v>79</v>
      </c>
      <c r="O95" s="234">
        <v>44722.0</v>
      </c>
      <c r="P95" s="232" t="s">
        <v>11</v>
      </c>
    </row>
    <row r="96">
      <c r="M96" s="233" t="s">
        <v>679</v>
      </c>
      <c r="N96" s="233" t="s">
        <v>79</v>
      </c>
      <c r="O96" s="234">
        <v>44722.0</v>
      </c>
      <c r="P96" s="232" t="s">
        <v>11</v>
      </c>
    </row>
    <row r="97">
      <c r="M97" s="233" t="s">
        <v>680</v>
      </c>
      <c r="N97" s="233" t="s">
        <v>79</v>
      </c>
      <c r="O97" s="234">
        <v>44722.0</v>
      </c>
      <c r="P97" s="232" t="s">
        <v>11</v>
      </c>
    </row>
    <row r="98">
      <c r="M98" s="233" t="s">
        <v>681</v>
      </c>
      <c r="N98" s="233" t="s">
        <v>79</v>
      </c>
      <c r="O98" s="234">
        <v>44722.0</v>
      </c>
      <c r="P98" s="232" t="s">
        <v>11</v>
      </c>
    </row>
    <row r="99">
      <c r="M99" s="233" t="s">
        <v>682</v>
      </c>
      <c r="N99" s="233" t="s">
        <v>79</v>
      </c>
      <c r="O99" s="234">
        <v>44722.0</v>
      </c>
      <c r="P99" s="232" t="s">
        <v>11</v>
      </c>
    </row>
    <row r="100">
      <c r="M100" s="233" t="s">
        <v>683</v>
      </c>
      <c r="N100" s="233" t="s">
        <v>79</v>
      </c>
      <c r="O100" s="234">
        <v>44722.0</v>
      </c>
      <c r="P100" s="232" t="s">
        <v>11</v>
      </c>
    </row>
    <row r="101">
      <c r="M101" s="233" t="s">
        <v>684</v>
      </c>
      <c r="N101" s="233" t="s">
        <v>79</v>
      </c>
      <c r="O101" s="234">
        <v>44722.0</v>
      </c>
      <c r="P101" s="232" t="s">
        <v>11</v>
      </c>
    </row>
    <row r="102">
      <c r="M102" s="233" t="s">
        <v>685</v>
      </c>
      <c r="N102" s="233" t="s">
        <v>84</v>
      </c>
      <c r="O102" s="234">
        <v>44742.0</v>
      </c>
      <c r="P102" s="232" t="s">
        <v>11</v>
      </c>
    </row>
    <row r="103">
      <c r="M103" s="233" t="s">
        <v>686</v>
      </c>
      <c r="N103" s="233" t="s">
        <v>84</v>
      </c>
      <c r="O103" s="234">
        <v>44742.0</v>
      </c>
      <c r="P103" s="232" t="s">
        <v>11</v>
      </c>
    </row>
    <row r="104">
      <c r="M104" s="233" t="s">
        <v>687</v>
      </c>
      <c r="N104" s="233" t="s">
        <v>84</v>
      </c>
      <c r="O104" s="234">
        <v>44742.0</v>
      </c>
      <c r="P104" s="232" t="s">
        <v>11</v>
      </c>
    </row>
    <row r="105">
      <c r="M105" s="233" t="s">
        <v>688</v>
      </c>
      <c r="N105" s="233" t="s">
        <v>84</v>
      </c>
      <c r="O105" s="234">
        <v>44742.0</v>
      </c>
      <c r="P105" s="232" t="s">
        <v>11</v>
      </c>
    </row>
    <row r="106">
      <c r="M106" s="233" t="s">
        <v>689</v>
      </c>
      <c r="N106" s="233" t="s">
        <v>84</v>
      </c>
      <c r="O106" s="234">
        <v>44742.0</v>
      </c>
      <c r="P106" s="232" t="s">
        <v>11</v>
      </c>
    </row>
    <row r="107">
      <c r="M107" s="233" t="s">
        <v>690</v>
      </c>
      <c r="N107" s="233" t="s">
        <v>84</v>
      </c>
      <c r="O107" s="234">
        <v>44742.0</v>
      </c>
      <c r="P107" s="232" t="s">
        <v>11</v>
      </c>
    </row>
    <row r="108">
      <c r="M108" s="233" t="s">
        <v>691</v>
      </c>
      <c r="N108" s="233" t="s">
        <v>84</v>
      </c>
      <c r="O108" s="234">
        <v>44742.0</v>
      </c>
      <c r="P108" s="232" t="s">
        <v>11</v>
      </c>
    </row>
    <row r="109">
      <c r="M109" s="233" t="s">
        <v>692</v>
      </c>
      <c r="N109" s="233" t="s">
        <v>84</v>
      </c>
      <c r="O109" s="234">
        <v>44742.0</v>
      </c>
      <c r="P109" s="232" t="s">
        <v>11</v>
      </c>
    </row>
    <row r="110">
      <c r="M110" s="233" t="s">
        <v>693</v>
      </c>
      <c r="N110" s="233" t="s">
        <v>84</v>
      </c>
      <c r="O110" s="234">
        <v>44742.0</v>
      </c>
      <c r="P110" s="232" t="s">
        <v>11</v>
      </c>
    </row>
    <row r="111">
      <c r="M111" s="233" t="s">
        <v>694</v>
      </c>
      <c r="N111" s="233" t="s">
        <v>84</v>
      </c>
      <c r="O111" s="234">
        <v>44742.0</v>
      </c>
      <c r="P111" s="232" t="s">
        <v>11</v>
      </c>
    </row>
    <row r="112">
      <c r="M112" s="233" t="s">
        <v>695</v>
      </c>
      <c r="N112" s="233" t="s">
        <v>84</v>
      </c>
      <c r="O112" s="234">
        <v>44742.0</v>
      </c>
      <c r="P112" s="232" t="s">
        <v>11</v>
      </c>
    </row>
    <row r="113">
      <c r="M113" s="233" t="s">
        <v>696</v>
      </c>
      <c r="N113" s="233" t="s">
        <v>84</v>
      </c>
      <c r="O113" s="234">
        <v>44742.0</v>
      </c>
      <c r="P113" s="232" t="s">
        <v>11</v>
      </c>
    </row>
    <row r="114">
      <c r="M114" s="233" t="s">
        <v>697</v>
      </c>
      <c r="N114" s="233" t="s">
        <v>84</v>
      </c>
      <c r="O114" s="234">
        <v>44742.0</v>
      </c>
      <c r="P114" s="232" t="s">
        <v>11</v>
      </c>
    </row>
    <row r="115">
      <c r="M115" s="233" t="s">
        <v>698</v>
      </c>
      <c r="N115" s="233" t="s">
        <v>84</v>
      </c>
      <c r="O115" s="234">
        <v>44742.0</v>
      </c>
      <c r="P115" s="232" t="s">
        <v>11</v>
      </c>
    </row>
    <row r="116">
      <c r="M116" s="233" t="s">
        <v>699</v>
      </c>
      <c r="N116" s="233" t="s">
        <v>84</v>
      </c>
      <c r="O116" s="234">
        <v>44742.0</v>
      </c>
      <c r="P116" s="232" t="s">
        <v>11</v>
      </c>
    </row>
    <row r="117">
      <c r="M117" s="233" t="s">
        <v>700</v>
      </c>
      <c r="N117" s="233" t="s">
        <v>84</v>
      </c>
      <c r="O117" s="234">
        <v>44742.0</v>
      </c>
      <c r="P117" s="232" t="s">
        <v>11</v>
      </c>
    </row>
    <row r="118">
      <c r="M118" s="233" t="s">
        <v>701</v>
      </c>
      <c r="N118" s="233" t="s">
        <v>84</v>
      </c>
      <c r="O118" s="234">
        <v>44742.0</v>
      </c>
      <c r="P118" s="243" t="s">
        <v>12</v>
      </c>
      <c r="Q118" s="243" t="s">
        <v>702</v>
      </c>
    </row>
    <row r="119">
      <c r="M119" s="233" t="s">
        <v>703</v>
      </c>
      <c r="N119" s="233" t="s">
        <v>84</v>
      </c>
      <c r="O119" s="234">
        <v>44742.0</v>
      </c>
      <c r="P119" s="232" t="s">
        <v>11</v>
      </c>
    </row>
    <row r="120">
      <c r="M120" s="233" t="s">
        <v>704</v>
      </c>
      <c r="N120" s="233" t="s">
        <v>84</v>
      </c>
      <c r="O120" s="234">
        <v>44742.0</v>
      </c>
      <c r="P120" s="232" t="s">
        <v>11</v>
      </c>
    </row>
    <row r="121">
      <c r="M121" s="233" t="s">
        <v>705</v>
      </c>
      <c r="N121" s="233" t="s">
        <v>84</v>
      </c>
      <c r="O121" s="234">
        <v>44742.0</v>
      </c>
      <c r="P121" s="232" t="s">
        <v>11</v>
      </c>
    </row>
    <row r="122">
      <c r="M122" s="233" t="s">
        <v>706</v>
      </c>
      <c r="N122" s="233" t="s">
        <v>84</v>
      </c>
      <c r="O122" s="234">
        <v>44742.0</v>
      </c>
      <c r="P122" s="232" t="s">
        <v>11</v>
      </c>
    </row>
    <row r="123">
      <c r="M123" s="233" t="s">
        <v>707</v>
      </c>
      <c r="N123" s="233" t="s">
        <v>84</v>
      </c>
      <c r="O123" s="234">
        <v>44742.0</v>
      </c>
      <c r="P123" s="232" t="s">
        <v>11</v>
      </c>
    </row>
    <row r="124">
      <c r="M124" s="233" t="s">
        <v>708</v>
      </c>
      <c r="N124" s="233" t="s">
        <v>84</v>
      </c>
      <c r="O124" s="234">
        <v>44742.0</v>
      </c>
      <c r="P124" s="232" t="s">
        <v>11</v>
      </c>
    </row>
    <row r="125">
      <c r="M125" s="233" t="s">
        <v>709</v>
      </c>
      <c r="N125" s="233" t="s">
        <v>84</v>
      </c>
      <c r="O125" s="234">
        <v>44742.0</v>
      </c>
      <c r="P125" s="232" t="s">
        <v>11</v>
      </c>
    </row>
    <row r="126">
      <c r="M126" s="233" t="s">
        <v>710</v>
      </c>
      <c r="N126" s="233" t="s">
        <v>84</v>
      </c>
      <c r="O126" s="234">
        <v>44742.0</v>
      </c>
      <c r="P126" s="232" t="s">
        <v>11</v>
      </c>
    </row>
    <row r="127">
      <c r="M127" s="233" t="s">
        <v>711</v>
      </c>
      <c r="N127" s="233" t="s">
        <v>84</v>
      </c>
      <c r="O127" s="234">
        <v>44742.0</v>
      </c>
      <c r="P127" s="232" t="s">
        <v>11</v>
      </c>
    </row>
    <row r="128">
      <c r="M128" s="233" t="s">
        <v>712</v>
      </c>
      <c r="N128" s="233" t="s">
        <v>84</v>
      </c>
      <c r="O128" s="234">
        <v>44742.0</v>
      </c>
      <c r="P128" s="232" t="s">
        <v>11</v>
      </c>
    </row>
    <row r="129">
      <c r="M129" s="233" t="s">
        <v>713</v>
      </c>
      <c r="N129" s="233" t="s">
        <v>84</v>
      </c>
      <c r="O129" s="234">
        <v>44742.0</v>
      </c>
      <c r="P129" s="232" t="s">
        <v>11</v>
      </c>
    </row>
    <row r="130">
      <c r="M130" s="233" t="s">
        <v>714</v>
      </c>
      <c r="N130" s="233" t="s">
        <v>84</v>
      </c>
      <c r="O130" s="234">
        <v>44742.0</v>
      </c>
      <c r="P130" s="232" t="s">
        <v>11</v>
      </c>
    </row>
    <row r="131">
      <c r="M131" s="233" t="s">
        <v>715</v>
      </c>
      <c r="N131" s="233" t="s">
        <v>84</v>
      </c>
      <c r="O131" s="234">
        <v>44742.0</v>
      </c>
      <c r="P131" s="232" t="s">
        <v>11</v>
      </c>
    </row>
    <row r="132">
      <c r="M132" s="233" t="s">
        <v>716</v>
      </c>
      <c r="N132" s="233" t="s">
        <v>84</v>
      </c>
      <c r="O132" s="234">
        <v>44742.0</v>
      </c>
      <c r="P132" s="232" t="s">
        <v>11</v>
      </c>
    </row>
    <row r="133">
      <c r="M133" s="233" t="s">
        <v>717</v>
      </c>
      <c r="N133" s="233" t="s">
        <v>84</v>
      </c>
      <c r="O133" s="234">
        <v>44742.0</v>
      </c>
      <c r="P133" s="232" t="s">
        <v>11</v>
      </c>
    </row>
    <row r="134">
      <c r="M134" s="233" t="s">
        <v>718</v>
      </c>
      <c r="N134" s="233" t="s">
        <v>84</v>
      </c>
      <c r="O134" s="234">
        <v>44742.0</v>
      </c>
      <c r="P134" s="232" t="s">
        <v>11</v>
      </c>
    </row>
    <row r="135">
      <c r="M135" s="233" t="s">
        <v>719</v>
      </c>
      <c r="N135" s="233" t="s">
        <v>84</v>
      </c>
      <c r="O135" s="234">
        <v>44742.0</v>
      </c>
      <c r="P135" s="232" t="s">
        <v>11</v>
      </c>
    </row>
    <row r="136">
      <c r="M136" s="233" t="s">
        <v>720</v>
      </c>
      <c r="N136" s="233" t="s">
        <v>84</v>
      </c>
      <c r="O136" s="234">
        <v>44742.0</v>
      </c>
      <c r="P136" s="232" t="s">
        <v>11</v>
      </c>
    </row>
    <row r="137">
      <c r="M137" s="233" t="s">
        <v>721</v>
      </c>
      <c r="N137" s="233" t="s">
        <v>89</v>
      </c>
      <c r="O137" s="234">
        <v>44750.0</v>
      </c>
      <c r="P137" s="232" t="s">
        <v>11</v>
      </c>
    </row>
    <row r="138">
      <c r="M138" s="233" t="s">
        <v>722</v>
      </c>
      <c r="N138" s="233" t="s">
        <v>94</v>
      </c>
      <c r="O138" s="234">
        <v>44757.0</v>
      </c>
      <c r="P138" s="232" t="s">
        <v>11</v>
      </c>
    </row>
    <row r="139">
      <c r="M139" s="233" t="s">
        <v>723</v>
      </c>
      <c r="N139" s="233" t="s">
        <v>97</v>
      </c>
      <c r="O139" s="234">
        <v>44760.0</v>
      </c>
      <c r="P139" s="232" t="s">
        <v>11</v>
      </c>
    </row>
    <row r="140">
      <c r="M140" s="233" t="s">
        <v>724</v>
      </c>
      <c r="N140" s="233" t="s">
        <v>97</v>
      </c>
      <c r="O140" s="234">
        <v>44760.0</v>
      </c>
      <c r="P140" s="232" t="s">
        <v>11</v>
      </c>
    </row>
    <row r="141">
      <c r="M141" s="233" t="s">
        <v>725</v>
      </c>
      <c r="N141" s="233" t="s">
        <v>97</v>
      </c>
      <c r="O141" s="234">
        <v>44760.0</v>
      </c>
      <c r="P141" s="232" t="s">
        <v>11</v>
      </c>
    </row>
    <row r="142">
      <c r="M142" s="233" t="s">
        <v>726</v>
      </c>
      <c r="N142" s="233" t="s">
        <v>97</v>
      </c>
      <c r="O142" s="234">
        <v>44760.0</v>
      </c>
      <c r="P142" s="232" t="s">
        <v>11</v>
      </c>
    </row>
    <row r="143">
      <c r="M143" s="233" t="s">
        <v>727</v>
      </c>
      <c r="N143" s="233" t="s">
        <v>97</v>
      </c>
      <c r="O143" s="234">
        <v>44760.0</v>
      </c>
      <c r="P143" s="232" t="s">
        <v>11</v>
      </c>
    </row>
    <row r="144">
      <c r="M144" s="233" t="s">
        <v>728</v>
      </c>
      <c r="N144" s="233" t="s">
        <v>97</v>
      </c>
      <c r="O144" s="234">
        <v>44760.0</v>
      </c>
      <c r="P144" s="232" t="s">
        <v>11</v>
      </c>
    </row>
    <row r="145">
      <c r="M145" s="233" t="s">
        <v>729</v>
      </c>
      <c r="N145" s="233" t="s">
        <v>97</v>
      </c>
      <c r="O145" s="234">
        <v>44760.0</v>
      </c>
      <c r="P145" s="232" t="s">
        <v>11</v>
      </c>
    </row>
    <row r="146">
      <c r="M146" s="233" t="s">
        <v>730</v>
      </c>
      <c r="N146" s="233" t="s">
        <v>97</v>
      </c>
      <c r="O146" s="234">
        <v>44760.0</v>
      </c>
      <c r="P146" s="232" t="s">
        <v>11</v>
      </c>
    </row>
    <row r="147">
      <c r="M147" s="233" t="s">
        <v>731</v>
      </c>
      <c r="N147" s="233" t="s">
        <v>97</v>
      </c>
      <c r="O147" s="234">
        <v>44760.0</v>
      </c>
      <c r="P147" s="232" t="s">
        <v>11</v>
      </c>
    </row>
    <row r="148">
      <c r="M148" s="233" t="s">
        <v>732</v>
      </c>
      <c r="N148" s="233" t="s">
        <v>97</v>
      </c>
      <c r="O148" s="234">
        <v>44760.0</v>
      </c>
      <c r="P148" s="232" t="s">
        <v>11</v>
      </c>
    </row>
    <row r="149">
      <c r="M149" s="233" t="s">
        <v>733</v>
      </c>
      <c r="N149" s="233" t="s">
        <v>97</v>
      </c>
      <c r="O149" s="234">
        <v>44760.0</v>
      </c>
      <c r="P149" s="232" t="s">
        <v>11</v>
      </c>
    </row>
    <row r="150">
      <c r="M150" s="233" t="s">
        <v>734</v>
      </c>
      <c r="N150" s="233" t="s">
        <v>97</v>
      </c>
      <c r="O150" s="234">
        <v>44760.0</v>
      </c>
      <c r="P150" s="232" t="s">
        <v>11</v>
      </c>
    </row>
    <row r="151">
      <c r="M151" s="233" t="s">
        <v>735</v>
      </c>
      <c r="N151" s="233" t="s">
        <v>97</v>
      </c>
      <c r="O151" s="234">
        <v>44760.0</v>
      </c>
      <c r="P151" s="232" t="s">
        <v>11</v>
      </c>
    </row>
    <row r="152">
      <c r="M152" s="233" t="s">
        <v>736</v>
      </c>
      <c r="N152" s="233" t="s">
        <v>97</v>
      </c>
      <c r="O152" s="234">
        <v>44760.0</v>
      </c>
      <c r="P152" s="232" t="s">
        <v>11</v>
      </c>
    </row>
    <row r="153">
      <c r="M153" s="233" t="s">
        <v>737</v>
      </c>
      <c r="N153" s="233" t="s">
        <v>97</v>
      </c>
      <c r="O153" s="234">
        <v>44760.0</v>
      </c>
      <c r="P153" s="235" t="str">
        <f t="shared" ref="P153:P154" si="36">IF(VLOOKUP(N153,$A$2:$K348,11,FALSE),"Negative",IFERROR(0/0,""))</f>
        <v>Negative</v>
      </c>
    </row>
    <row r="154">
      <c r="M154" s="233" t="s">
        <v>738</v>
      </c>
      <c r="N154" s="233" t="s">
        <v>97</v>
      </c>
      <c r="O154" s="234">
        <v>44760.0</v>
      </c>
      <c r="P154" s="235" t="str">
        <f t="shared" si="36"/>
        <v>Negative</v>
      </c>
    </row>
    <row r="155">
      <c r="M155" s="233" t="s">
        <v>739</v>
      </c>
      <c r="N155" s="233" t="s">
        <v>97</v>
      </c>
      <c r="O155" s="234">
        <v>44760.0</v>
      </c>
      <c r="P155" s="243" t="s">
        <v>12</v>
      </c>
      <c r="Q155" s="243" t="s">
        <v>702</v>
      </c>
    </row>
    <row r="156">
      <c r="M156" s="233" t="s">
        <v>740</v>
      </c>
      <c r="N156" s="233" t="s">
        <v>97</v>
      </c>
      <c r="O156" s="234">
        <v>44760.0</v>
      </c>
      <c r="P156" s="232" t="s">
        <v>11</v>
      </c>
    </row>
    <row r="157">
      <c r="M157" s="233" t="s">
        <v>741</v>
      </c>
      <c r="N157" s="233" t="s">
        <v>97</v>
      </c>
      <c r="O157" s="234">
        <v>44760.0</v>
      </c>
      <c r="P157" s="232" t="s">
        <v>11</v>
      </c>
    </row>
    <row r="158">
      <c r="M158" s="233" t="s">
        <v>742</v>
      </c>
      <c r="N158" s="233" t="s">
        <v>97</v>
      </c>
      <c r="O158" s="234">
        <v>44760.0</v>
      </c>
      <c r="P158" s="232" t="s">
        <v>11</v>
      </c>
    </row>
    <row r="159">
      <c r="M159" s="233" t="s">
        <v>743</v>
      </c>
      <c r="N159" s="233" t="s">
        <v>97</v>
      </c>
      <c r="O159" s="234">
        <v>44760.0</v>
      </c>
      <c r="P159" s="232" t="s">
        <v>11</v>
      </c>
    </row>
    <row r="160">
      <c r="M160" s="233" t="s">
        <v>744</v>
      </c>
      <c r="N160" s="233" t="s">
        <v>97</v>
      </c>
      <c r="O160" s="234">
        <v>44760.0</v>
      </c>
      <c r="P160" s="232" t="s">
        <v>11</v>
      </c>
    </row>
    <row r="161">
      <c r="M161" s="233" t="s">
        <v>745</v>
      </c>
      <c r="N161" s="233" t="s">
        <v>97</v>
      </c>
      <c r="O161" s="234">
        <v>44760.0</v>
      </c>
      <c r="P161" s="232" t="s">
        <v>11</v>
      </c>
    </row>
    <row r="162">
      <c r="M162" s="233" t="s">
        <v>746</v>
      </c>
      <c r="N162" s="233" t="s">
        <v>97</v>
      </c>
      <c r="O162" s="234">
        <v>44760.0</v>
      </c>
      <c r="P162" s="232" t="s">
        <v>11</v>
      </c>
    </row>
    <row r="163">
      <c r="M163" s="233" t="s">
        <v>747</v>
      </c>
      <c r="N163" s="233" t="s">
        <v>97</v>
      </c>
      <c r="O163" s="234">
        <v>44760.0</v>
      </c>
      <c r="P163" s="232" t="s">
        <v>11</v>
      </c>
    </row>
    <row r="164">
      <c r="M164" s="233" t="s">
        <v>748</v>
      </c>
      <c r="N164" s="233" t="s">
        <v>97</v>
      </c>
      <c r="O164" s="234">
        <v>44760.0</v>
      </c>
      <c r="P164" s="232" t="s">
        <v>11</v>
      </c>
    </row>
    <row r="165">
      <c r="M165" s="233" t="s">
        <v>749</v>
      </c>
      <c r="N165" s="233" t="s">
        <v>97</v>
      </c>
      <c r="O165" s="234">
        <v>44760.0</v>
      </c>
      <c r="P165" s="232" t="s">
        <v>11</v>
      </c>
    </row>
    <row r="166">
      <c r="M166" s="233" t="s">
        <v>750</v>
      </c>
      <c r="N166" s="233" t="s">
        <v>97</v>
      </c>
      <c r="O166" s="234">
        <v>44760.0</v>
      </c>
      <c r="P166" s="232" t="s">
        <v>11</v>
      </c>
    </row>
    <row r="167">
      <c r="M167" s="233" t="s">
        <v>751</v>
      </c>
      <c r="N167" s="233" t="s">
        <v>97</v>
      </c>
      <c r="O167" s="234">
        <v>44760.0</v>
      </c>
      <c r="P167" s="232" t="s">
        <v>11</v>
      </c>
    </row>
    <row r="168">
      <c r="M168" s="233" t="s">
        <v>752</v>
      </c>
      <c r="N168" s="233" t="s">
        <v>97</v>
      </c>
      <c r="O168" s="234">
        <v>44760.0</v>
      </c>
      <c r="P168" s="232" t="s">
        <v>11</v>
      </c>
    </row>
    <row r="169">
      <c r="M169" s="233" t="s">
        <v>753</v>
      </c>
      <c r="N169" s="233" t="s">
        <v>97</v>
      </c>
      <c r="O169" s="234">
        <v>44760.0</v>
      </c>
      <c r="P169" s="232" t="s">
        <v>11</v>
      </c>
    </row>
    <row r="170">
      <c r="M170" s="233" t="s">
        <v>754</v>
      </c>
      <c r="N170" s="233" t="s">
        <v>97</v>
      </c>
      <c r="O170" s="234">
        <v>44760.0</v>
      </c>
      <c r="P170" s="232" t="s">
        <v>11</v>
      </c>
    </row>
    <row r="171">
      <c r="M171" s="233" t="s">
        <v>755</v>
      </c>
      <c r="N171" s="233" t="s">
        <v>97</v>
      </c>
      <c r="O171" s="234">
        <v>44760.0</v>
      </c>
      <c r="P171" s="232" t="s">
        <v>11</v>
      </c>
    </row>
    <row r="172">
      <c r="M172" s="233" t="s">
        <v>756</v>
      </c>
      <c r="N172" s="233" t="s">
        <v>97</v>
      </c>
      <c r="O172" s="234">
        <v>44760.0</v>
      </c>
      <c r="P172" s="232" t="s">
        <v>11</v>
      </c>
    </row>
    <row r="173">
      <c r="M173" s="233" t="s">
        <v>757</v>
      </c>
      <c r="N173" s="233" t="s">
        <v>97</v>
      </c>
      <c r="O173" s="234">
        <v>44760.0</v>
      </c>
      <c r="P173" s="232" t="s">
        <v>11</v>
      </c>
    </row>
    <row r="174">
      <c r="M174" s="233" t="s">
        <v>758</v>
      </c>
      <c r="N174" s="233" t="s">
        <v>97</v>
      </c>
      <c r="O174" s="234">
        <v>44760.0</v>
      </c>
      <c r="P174" s="232" t="s">
        <v>11</v>
      </c>
    </row>
    <row r="175">
      <c r="M175" s="233" t="s">
        <v>759</v>
      </c>
      <c r="N175" s="233" t="s">
        <v>97</v>
      </c>
      <c r="O175" s="234">
        <v>44760.0</v>
      </c>
      <c r="P175" s="232" t="s">
        <v>11</v>
      </c>
    </row>
    <row r="176">
      <c r="M176" s="233" t="s">
        <v>760</v>
      </c>
      <c r="N176" s="233" t="s">
        <v>97</v>
      </c>
      <c r="O176" s="234">
        <v>44760.0</v>
      </c>
      <c r="P176" s="232" t="s">
        <v>11</v>
      </c>
    </row>
    <row r="177">
      <c r="M177" s="233" t="s">
        <v>761</v>
      </c>
      <c r="N177" s="233" t="s">
        <v>97</v>
      </c>
      <c r="O177" s="234">
        <v>44760.0</v>
      </c>
      <c r="P177" s="232" t="s">
        <v>11</v>
      </c>
    </row>
    <row r="178">
      <c r="M178" s="233" t="s">
        <v>762</v>
      </c>
      <c r="N178" s="233" t="s">
        <v>97</v>
      </c>
      <c r="O178" s="234">
        <v>44760.0</v>
      </c>
      <c r="P178" s="232" t="s">
        <v>11</v>
      </c>
    </row>
    <row r="179">
      <c r="M179" s="233" t="s">
        <v>763</v>
      </c>
      <c r="N179" s="233" t="s">
        <v>97</v>
      </c>
      <c r="O179" s="234">
        <v>44760.0</v>
      </c>
      <c r="P179" s="232" t="s">
        <v>11</v>
      </c>
    </row>
    <row r="180">
      <c r="M180" s="233" t="s">
        <v>764</v>
      </c>
      <c r="N180" s="233" t="s">
        <v>97</v>
      </c>
      <c r="O180" s="234">
        <v>44760.0</v>
      </c>
      <c r="P180" s="232" t="s">
        <v>11</v>
      </c>
    </row>
    <row r="181">
      <c r="M181" s="233" t="s">
        <v>765</v>
      </c>
      <c r="N181" s="233" t="s">
        <v>97</v>
      </c>
      <c r="O181" s="234">
        <v>44760.0</v>
      </c>
      <c r="P181" s="232" t="s">
        <v>11</v>
      </c>
    </row>
    <row r="182">
      <c r="M182" s="233" t="s">
        <v>766</v>
      </c>
      <c r="N182" s="233" t="s">
        <v>97</v>
      </c>
      <c r="O182" s="234">
        <v>44760.0</v>
      </c>
      <c r="P182" s="232" t="s">
        <v>11</v>
      </c>
    </row>
    <row r="183">
      <c r="M183" s="233" t="s">
        <v>767</v>
      </c>
      <c r="N183" s="233" t="s">
        <v>97</v>
      </c>
      <c r="O183" s="234">
        <v>44760.0</v>
      </c>
      <c r="P183" s="232" t="s">
        <v>11</v>
      </c>
    </row>
    <row r="184">
      <c r="M184" s="233" t="s">
        <v>768</v>
      </c>
      <c r="N184" s="233" t="s">
        <v>97</v>
      </c>
      <c r="O184" s="234">
        <v>44760.0</v>
      </c>
      <c r="P184" s="232" t="s">
        <v>11</v>
      </c>
    </row>
    <row r="185">
      <c r="M185" s="233" t="s">
        <v>769</v>
      </c>
      <c r="N185" s="233" t="s">
        <v>101</v>
      </c>
      <c r="O185" s="234">
        <v>44763.0</v>
      </c>
      <c r="P185" s="232" t="s">
        <v>11</v>
      </c>
    </row>
    <row r="186">
      <c r="M186" s="233" t="s">
        <v>770</v>
      </c>
      <c r="N186" s="233" t="s">
        <v>101</v>
      </c>
      <c r="O186" s="234">
        <v>44763.0</v>
      </c>
      <c r="P186" s="232" t="s">
        <v>11</v>
      </c>
    </row>
    <row r="187">
      <c r="M187" s="233" t="s">
        <v>771</v>
      </c>
      <c r="N187" s="233" t="s">
        <v>101</v>
      </c>
      <c r="O187" s="234">
        <v>44763.0</v>
      </c>
      <c r="P187" s="232" t="s">
        <v>11</v>
      </c>
    </row>
    <row r="188">
      <c r="M188" s="233" t="s">
        <v>772</v>
      </c>
      <c r="N188" s="233" t="s">
        <v>101</v>
      </c>
      <c r="O188" s="234">
        <v>44763.0</v>
      </c>
      <c r="P188" s="232" t="s">
        <v>11</v>
      </c>
    </row>
    <row r="189">
      <c r="M189" s="233" t="s">
        <v>773</v>
      </c>
      <c r="N189" s="233" t="s">
        <v>101</v>
      </c>
      <c r="O189" s="234">
        <v>44763.0</v>
      </c>
      <c r="P189" s="232" t="s">
        <v>11</v>
      </c>
    </row>
    <row r="190">
      <c r="M190" s="233" t="s">
        <v>774</v>
      </c>
      <c r="N190" s="233" t="s">
        <v>101</v>
      </c>
      <c r="O190" s="234">
        <v>44763.0</v>
      </c>
      <c r="P190" s="232" t="s">
        <v>11</v>
      </c>
    </row>
    <row r="191">
      <c r="M191" s="233" t="s">
        <v>775</v>
      </c>
      <c r="N191" s="233" t="s">
        <v>101</v>
      </c>
      <c r="O191" s="234">
        <v>44763.0</v>
      </c>
      <c r="P191" s="232" t="s">
        <v>11</v>
      </c>
    </row>
    <row r="192">
      <c r="M192" s="233" t="s">
        <v>776</v>
      </c>
      <c r="N192" s="233" t="s">
        <v>101</v>
      </c>
      <c r="O192" s="234">
        <v>44763.0</v>
      </c>
      <c r="P192" s="232" t="s">
        <v>11</v>
      </c>
    </row>
    <row r="193">
      <c r="M193" s="233" t="s">
        <v>777</v>
      </c>
      <c r="N193" s="233" t="s">
        <v>101</v>
      </c>
      <c r="O193" s="234">
        <v>44763.0</v>
      </c>
      <c r="P193" s="232" t="s">
        <v>11</v>
      </c>
    </row>
    <row r="194">
      <c r="M194" s="233" t="s">
        <v>778</v>
      </c>
      <c r="N194" s="233" t="s">
        <v>101</v>
      </c>
      <c r="O194" s="234">
        <v>44763.0</v>
      </c>
      <c r="P194" s="232" t="s">
        <v>11</v>
      </c>
    </row>
    <row r="195">
      <c r="M195" s="233" t="s">
        <v>779</v>
      </c>
      <c r="N195" s="233" t="s">
        <v>101</v>
      </c>
      <c r="O195" s="234">
        <v>44763.0</v>
      </c>
      <c r="P195" s="232" t="s">
        <v>11</v>
      </c>
    </row>
    <row r="196">
      <c r="M196" s="233" t="s">
        <v>780</v>
      </c>
      <c r="N196" s="233" t="s">
        <v>101</v>
      </c>
      <c r="O196" s="234">
        <v>44763.0</v>
      </c>
      <c r="P196" s="232" t="s">
        <v>11</v>
      </c>
    </row>
    <row r="197">
      <c r="M197" s="233" t="s">
        <v>781</v>
      </c>
      <c r="N197" s="233" t="s">
        <v>101</v>
      </c>
      <c r="O197" s="234">
        <v>44763.0</v>
      </c>
      <c r="P197" s="232" t="s">
        <v>11</v>
      </c>
    </row>
    <row r="198">
      <c r="M198" s="233" t="s">
        <v>782</v>
      </c>
      <c r="N198" s="233" t="s">
        <v>101</v>
      </c>
      <c r="O198" s="234">
        <v>44763.0</v>
      </c>
      <c r="P198" s="232" t="s">
        <v>11</v>
      </c>
    </row>
    <row r="199">
      <c r="M199" s="233" t="s">
        <v>783</v>
      </c>
      <c r="N199" s="233" t="s">
        <v>101</v>
      </c>
      <c r="O199" s="234">
        <v>44763.0</v>
      </c>
      <c r="P199" s="232" t="s">
        <v>11</v>
      </c>
    </row>
    <row r="200">
      <c r="M200" s="233" t="s">
        <v>784</v>
      </c>
      <c r="N200" s="233" t="s">
        <v>101</v>
      </c>
      <c r="O200" s="234">
        <v>44763.0</v>
      </c>
      <c r="P200" s="232" t="s">
        <v>11</v>
      </c>
    </row>
    <row r="201">
      <c r="M201" s="233" t="s">
        <v>785</v>
      </c>
      <c r="N201" s="233" t="s">
        <v>101</v>
      </c>
      <c r="O201" s="234">
        <v>44763.0</v>
      </c>
      <c r="P201" s="235" t="str">
        <f t="shared" ref="P201:P310" si="37">IF(VLOOKUP(N201,$A$2:$K348,11,FALSE),"Negative",IFERROR(0/0,""))</f>
        <v>Negative</v>
      </c>
    </row>
    <row r="202">
      <c r="M202" s="233" t="s">
        <v>786</v>
      </c>
      <c r="N202" s="233" t="s">
        <v>101</v>
      </c>
      <c r="O202" s="234">
        <v>44763.0</v>
      </c>
      <c r="P202" s="235" t="str">
        <f t="shared" si="37"/>
        <v>Negative</v>
      </c>
    </row>
    <row r="203">
      <c r="M203" s="233" t="s">
        <v>787</v>
      </c>
      <c r="N203" s="233" t="s">
        <v>101</v>
      </c>
      <c r="O203" s="234">
        <v>44763.0</v>
      </c>
      <c r="P203" s="235" t="str">
        <f t="shared" si="37"/>
        <v>Negative</v>
      </c>
    </row>
    <row r="204">
      <c r="M204" s="233" t="s">
        <v>788</v>
      </c>
      <c r="N204" s="233" t="s">
        <v>101</v>
      </c>
      <c r="O204" s="234">
        <v>44763.0</v>
      </c>
      <c r="P204" s="235" t="str">
        <f t="shared" si="37"/>
        <v>Negative</v>
      </c>
    </row>
    <row r="205">
      <c r="M205" s="233" t="s">
        <v>789</v>
      </c>
      <c r="N205" s="233" t="s">
        <v>101</v>
      </c>
      <c r="O205" s="234">
        <v>44763.0</v>
      </c>
      <c r="P205" s="235" t="str">
        <f t="shared" si="37"/>
        <v>Negative</v>
      </c>
    </row>
    <row r="206">
      <c r="M206" s="233" t="s">
        <v>790</v>
      </c>
      <c r="N206" s="233" t="s">
        <v>101</v>
      </c>
      <c r="O206" s="234">
        <v>44763.0</v>
      </c>
      <c r="P206" s="235" t="str">
        <f t="shared" si="37"/>
        <v>Negative</v>
      </c>
    </row>
    <row r="207">
      <c r="M207" s="233" t="s">
        <v>791</v>
      </c>
      <c r="N207" s="233" t="s">
        <v>101</v>
      </c>
      <c r="O207" s="234">
        <v>44763.0</v>
      </c>
      <c r="P207" s="235" t="str">
        <f t="shared" si="37"/>
        <v>Negative</v>
      </c>
    </row>
    <row r="208">
      <c r="M208" s="233" t="s">
        <v>792</v>
      </c>
      <c r="N208" s="233" t="s">
        <v>101</v>
      </c>
      <c r="O208" s="234">
        <v>44763.0</v>
      </c>
      <c r="P208" s="235" t="str">
        <f t="shared" si="37"/>
        <v>Negative</v>
      </c>
    </row>
    <row r="209">
      <c r="M209" s="233" t="s">
        <v>793</v>
      </c>
      <c r="N209" s="233" t="s">
        <v>101</v>
      </c>
      <c r="O209" s="234">
        <v>44763.0</v>
      </c>
      <c r="P209" s="235" t="str">
        <f t="shared" si="37"/>
        <v>Negative</v>
      </c>
    </row>
    <row r="210">
      <c r="M210" s="233" t="s">
        <v>794</v>
      </c>
      <c r="N210" s="233" t="s">
        <v>101</v>
      </c>
      <c r="O210" s="234">
        <v>44763.0</v>
      </c>
      <c r="P210" s="235" t="str">
        <f t="shared" si="37"/>
        <v>Negative</v>
      </c>
    </row>
    <row r="211">
      <c r="M211" s="233" t="s">
        <v>795</v>
      </c>
      <c r="N211" s="233" t="s">
        <v>101</v>
      </c>
      <c r="O211" s="234">
        <v>44763.0</v>
      </c>
      <c r="P211" s="235" t="str">
        <f t="shared" si="37"/>
        <v>Negative</v>
      </c>
    </row>
    <row r="212">
      <c r="M212" s="233" t="s">
        <v>796</v>
      </c>
      <c r="N212" s="233" t="s">
        <v>101</v>
      </c>
      <c r="O212" s="234">
        <v>44763.0</v>
      </c>
      <c r="P212" s="235" t="str">
        <f t="shared" si="37"/>
        <v>Negative</v>
      </c>
    </row>
    <row r="213">
      <c r="M213" s="233" t="s">
        <v>797</v>
      </c>
      <c r="N213" s="233" t="s">
        <v>101</v>
      </c>
      <c r="O213" s="234">
        <v>44763.0</v>
      </c>
      <c r="P213" s="235" t="str">
        <f t="shared" si="37"/>
        <v>Negative</v>
      </c>
    </row>
    <row r="214">
      <c r="M214" s="233" t="s">
        <v>798</v>
      </c>
      <c r="N214" s="233" t="s">
        <v>101</v>
      </c>
      <c r="O214" s="234">
        <v>44763.0</v>
      </c>
      <c r="P214" s="235" t="str">
        <f t="shared" si="37"/>
        <v>Negative</v>
      </c>
    </row>
    <row r="215">
      <c r="M215" s="233" t="s">
        <v>799</v>
      </c>
      <c r="N215" s="233" t="s">
        <v>101</v>
      </c>
      <c r="O215" s="234">
        <v>44763.0</v>
      </c>
      <c r="P215" s="235" t="str">
        <f t="shared" si="37"/>
        <v>Negative</v>
      </c>
    </row>
    <row r="216">
      <c r="M216" s="233" t="s">
        <v>800</v>
      </c>
      <c r="N216" s="233" t="s">
        <v>101</v>
      </c>
      <c r="O216" s="234">
        <v>44763.0</v>
      </c>
      <c r="P216" s="235" t="str">
        <f t="shared" si="37"/>
        <v>Negative</v>
      </c>
    </row>
    <row r="217">
      <c r="M217" s="233" t="s">
        <v>801</v>
      </c>
      <c r="N217" s="233" t="s">
        <v>101</v>
      </c>
      <c r="O217" s="234">
        <v>44763.0</v>
      </c>
      <c r="P217" s="235" t="str">
        <f t="shared" si="37"/>
        <v>Negative</v>
      </c>
    </row>
    <row r="218">
      <c r="M218" s="233" t="s">
        <v>802</v>
      </c>
      <c r="N218" s="233" t="s">
        <v>101</v>
      </c>
      <c r="O218" s="234">
        <v>44763.0</v>
      </c>
      <c r="P218" s="235" t="str">
        <f t="shared" si="37"/>
        <v>Negative</v>
      </c>
    </row>
    <row r="219">
      <c r="M219" s="233" t="s">
        <v>803</v>
      </c>
      <c r="N219" s="233" t="s">
        <v>101</v>
      </c>
      <c r="O219" s="234">
        <v>44763.0</v>
      </c>
      <c r="P219" s="235" t="str">
        <f t="shared" si="37"/>
        <v>Negative</v>
      </c>
    </row>
    <row r="220">
      <c r="M220" s="233" t="s">
        <v>804</v>
      </c>
      <c r="N220" s="233" t="s">
        <v>101</v>
      </c>
      <c r="O220" s="234">
        <v>44763.0</v>
      </c>
      <c r="P220" s="235" t="str">
        <f t="shared" si="37"/>
        <v>Negative</v>
      </c>
    </row>
    <row r="221">
      <c r="M221" s="233" t="s">
        <v>805</v>
      </c>
      <c r="N221" s="233" t="s">
        <v>101</v>
      </c>
      <c r="O221" s="234">
        <v>44763.0</v>
      </c>
      <c r="P221" s="235" t="str">
        <f t="shared" si="37"/>
        <v>Negative</v>
      </c>
    </row>
    <row r="222">
      <c r="M222" s="233" t="s">
        <v>806</v>
      </c>
      <c r="N222" s="233" t="s">
        <v>101</v>
      </c>
      <c r="O222" s="234">
        <v>44763.0</v>
      </c>
      <c r="P222" s="235" t="str">
        <f t="shared" si="37"/>
        <v>Negative</v>
      </c>
    </row>
    <row r="223">
      <c r="M223" s="233" t="s">
        <v>807</v>
      </c>
      <c r="N223" s="233" t="s">
        <v>101</v>
      </c>
      <c r="O223" s="234">
        <v>44763.0</v>
      </c>
      <c r="P223" s="235" t="str">
        <f t="shared" si="37"/>
        <v>Negative</v>
      </c>
    </row>
    <row r="224">
      <c r="M224" s="233" t="s">
        <v>808</v>
      </c>
      <c r="N224" s="233" t="s">
        <v>101</v>
      </c>
      <c r="O224" s="234">
        <v>44763.0</v>
      </c>
      <c r="P224" s="235" t="str">
        <f t="shared" si="37"/>
        <v>Negative</v>
      </c>
    </row>
    <row r="225">
      <c r="M225" s="233" t="s">
        <v>809</v>
      </c>
      <c r="N225" s="233" t="s">
        <v>101</v>
      </c>
      <c r="O225" s="234">
        <v>44763.0</v>
      </c>
      <c r="P225" s="235" t="str">
        <f t="shared" si="37"/>
        <v>Negative</v>
      </c>
    </row>
    <row r="226">
      <c r="M226" s="233" t="s">
        <v>810</v>
      </c>
      <c r="N226" s="233" t="s">
        <v>101</v>
      </c>
      <c r="O226" s="234">
        <v>44763.0</v>
      </c>
      <c r="P226" s="235" t="str">
        <f t="shared" si="37"/>
        <v>Negative</v>
      </c>
    </row>
    <row r="227">
      <c r="M227" s="233" t="s">
        <v>811</v>
      </c>
      <c r="N227" s="233" t="s">
        <v>101</v>
      </c>
      <c r="O227" s="234">
        <v>44763.0</v>
      </c>
      <c r="P227" s="235" t="str">
        <f t="shared" si="37"/>
        <v>Negative</v>
      </c>
    </row>
    <row r="228">
      <c r="M228" s="233" t="s">
        <v>812</v>
      </c>
      <c r="N228" s="233" t="s">
        <v>101</v>
      </c>
      <c r="O228" s="234">
        <v>44763.0</v>
      </c>
      <c r="P228" s="235" t="str">
        <f t="shared" si="37"/>
        <v>Negative</v>
      </c>
    </row>
    <row r="229">
      <c r="M229" s="233" t="s">
        <v>813</v>
      </c>
      <c r="N229" s="233" t="s">
        <v>101</v>
      </c>
      <c r="O229" s="234">
        <v>44763.0</v>
      </c>
      <c r="P229" s="235" t="str">
        <f t="shared" si="37"/>
        <v>Negative</v>
      </c>
    </row>
    <row r="230">
      <c r="M230" s="233" t="s">
        <v>814</v>
      </c>
      <c r="N230" s="233" t="s">
        <v>101</v>
      </c>
      <c r="O230" s="234">
        <v>44763.0</v>
      </c>
      <c r="P230" s="235" t="str">
        <f t="shared" si="37"/>
        <v>Negative</v>
      </c>
    </row>
    <row r="231">
      <c r="M231" s="233" t="s">
        <v>815</v>
      </c>
      <c r="N231" s="233" t="s">
        <v>101</v>
      </c>
      <c r="O231" s="234">
        <v>44763.0</v>
      </c>
      <c r="P231" s="235" t="str">
        <f t="shared" si="37"/>
        <v>Negative</v>
      </c>
    </row>
    <row r="232">
      <c r="M232" s="233" t="s">
        <v>816</v>
      </c>
      <c r="N232" s="233" t="s">
        <v>101</v>
      </c>
      <c r="O232" s="234">
        <v>44763.0</v>
      </c>
      <c r="P232" s="235" t="str">
        <f t="shared" si="37"/>
        <v>Negative</v>
      </c>
    </row>
    <row r="233">
      <c r="M233" s="233" t="s">
        <v>817</v>
      </c>
      <c r="N233" s="233" t="s">
        <v>101</v>
      </c>
      <c r="O233" s="234">
        <v>44763.0</v>
      </c>
      <c r="P233" s="235" t="str">
        <f t="shared" si="37"/>
        <v>Negative</v>
      </c>
    </row>
    <row r="234">
      <c r="M234" s="233" t="s">
        <v>818</v>
      </c>
      <c r="N234" s="233" t="s">
        <v>101</v>
      </c>
      <c r="O234" s="234">
        <v>44763.0</v>
      </c>
      <c r="P234" s="235" t="str">
        <f t="shared" si="37"/>
        <v>Negative</v>
      </c>
    </row>
    <row r="235">
      <c r="M235" s="233" t="s">
        <v>819</v>
      </c>
      <c r="N235" s="233" t="s">
        <v>101</v>
      </c>
      <c r="O235" s="234">
        <v>44763.0</v>
      </c>
      <c r="P235" s="235" t="str">
        <f t="shared" si="37"/>
        <v>Negative</v>
      </c>
    </row>
    <row r="236">
      <c r="M236" s="233" t="s">
        <v>820</v>
      </c>
      <c r="N236" s="233" t="s">
        <v>101</v>
      </c>
      <c r="O236" s="234">
        <v>44763.0</v>
      </c>
      <c r="P236" s="235" t="str">
        <f t="shared" si="37"/>
        <v>Negative</v>
      </c>
    </row>
    <row r="237">
      <c r="M237" s="233" t="s">
        <v>821</v>
      </c>
      <c r="N237" s="233" t="s">
        <v>101</v>
      </c>
      <c r="O237" s="234">
        <v>44763.0</v>
      </c>
      <c r="P237" s="235" t="str">
        <f t="shared" si="37"/>
        <v>Negative</v>
      </c>
    </row>
    <row r="238">
      <c r="M238" s="233" t="s">
        <v>822</v>
      </c>
      <c r="N238" s="233" t="s">
        <v>101</v>
      </c>
      <c r="O238" s="234">
        <v>44763.0</v>
      </c>
      <c r="P238" s="235" t="str">
        <f t="shared" si="37"/>
        <v>Negative</v>
      </c>
    </row>
    <row r="239">
      <c r="M239" s="233" t="s">
        <v>823</v>
      </c>
      <c r="N239" s="233" t="s">
        <v>101</v>
      </c>
      <c r="O239" s="234">
        <v>44763.0</v>
      </c>
      <c r="P239" s="235" t="str">
        <f t="shared" si="37"/>
        <v>Negative</v>
      </c>
    </row>
    <row r="240">
      <c r="M240" s="233" t="s">
        <v>824</v>
      </c>
      <c r="N240" s="233" t="s">
        <v>101</v>
      </c>
      <c r="O240" s="234">
        <v>44763.0</v>
      </c>
      <c r="P240" s="235" t="str">
        <f t="shared" si="37"/>
        <v>Negative</v>
      </c>
    </row>
    <row r="241">
      <c r="M241" s="233" t="s">
        <v>825</v>
      </c>
      <c r="N241" s="233" t="s">
        <v>101</v>
      </c>
      <c r="O241" s="234">
        <v>44763.0</v>
      </c>
      <c r="P241" s="235" t="str">
        <f t="shared" si="37"/>
        <v>Negative</v>
      </c>
    </row>
    <row r="242">
      <c r="M242" s="233" t="s">
        <v>826</v>
      </c>
      <c r="N242" s="233" t="s">
        <v>106</v>
      </c>
      <c r="O242" s="234">
        <v>44777.0</v>
      </c>
      <c r="P242" s="235" t="str">
        <f t="shared" si="37"/>
        <v>Negative</v>
      </c>
    </row>
    <row r="243">
      <c r="M243" s="233" t="s">
        <v>827</v>
      </c>
      <c r="N243" s="233" t="s">
        <v>106</v>
      </c>
      <c r="O243" s="234">
        <v>44777.0</v>
      </c>
      <c r="P243" s="235" t="str">
        <f t="shared" si="37"/>
        <v>Negative</v>
      </c>
    </row>
    <row r="244">
      <c r="M244" s="233" t="s">
        <v>828</v>
      </c>
      <c r="N244" s="233" t="s">
        <v>106</v>
      </c>
      <c r="O244" s="234">
        <v>44777.0</v>
      </c>
      <c r="P244" s="235" t="str">
        <f t="shared" si="37"/>
        <v>Negative</v>
      </c>
    </row>
    <row r="245">
      <c r="M245" s="233" t="s">
        <v>829</v>
      </c>
      <c r="N245" s="233" t="s">
        <v>106</v>
      </c>
      <c r="O245" s="234">
        <v>44777.0</v>
      </c>
      <c r="P245" s="235" t="str">
        <f t="shared" si="37"/>
        <v>Negative</v>
      </c>
    </row>
    <row r="246">
      <c r="M246" s="233" t="s">
        <v>830</v>
      </c>
      <c r="N246" s="233" t="s">
        <v>106</v>
      </c>
      <c r="O246" s="234">
        <v>44777.0</v>
      </c>
      <c r="P246" s="235" t="str">
        <f t="shared" si="37"/>
        <v>Negative</v>
      </c>
    </row>
    <row r="247">
      <c r="M247" s="233" t="s">
        <v>831</v>
      </c>
      <c r="N247" s="233" t="s">
        <v>106</v>
      </c>
      <c r="O247" s="234">
        <v>44777.0</v>
      </c>
      <c r="P247" s="235" t="str">
        <f t="shared" si="37"/>
        <v>Negative</v>
      </c>
    </row>
    <row r="248">
      <c r="M248" s="233" t="s">
        <v>832</v>
      </c>
      <c r="N248" s="233" t="s">
        <v>106</v>
      </c>
      <c r="O248" s="234">
        <v>44777.0</v>
      </c>
      <c r="P248" s="235" t="str">
        <f t="shared" si="37"/>
        <v>Negative</v>
      </c>
    </row>
    <row r="249">
      <c r="M249" s="233" t="s">
        <v>833</v>
      </c>
      <c r="N249" s="233" t="s">
        <v>106</v>
      </c>
      <c r="O249" s="234">
        <v>44777.0</v>
      </c>
      <c r="P249" s="235" t="str">
        <f t="shared" si="37"/>
        <v>Negative</v>
      </c>
    </row>
    <row r="250">
      <c r="M250" s="233" t="s">
        <v>834</v>
      </c>
      <c r="N250" s="233" t="s">
        <v>106</v>
      </c>
      <c r="O250" s="234">
        <v>44777.0</v>
      </c>
      <c r="P250" s="235" t="str">
        <f t="shared" si="37"/>
        <v>Negative</v>
      </c>
    </row>
    <row r="251">
      <c r="M251" s="233" t="s">
        <v>835</v>
      </c>
      <c r="N251" s="233" t="s">
        <v>106</v>
      </c>
      <c r="O251" s="234">
        <v>44777.0</v>
      </c>
      <c r="P251" s="235" t="str">
        <f t="shared" si="37"/>
        <v>Negative</v>
      </c>
    </row>
    <row r="252">
      <c r="M252" s="233" t="s">
        <v>836</v>
      </c>
      <c r="N252" s="233" t="s">
        <v>106</v>
      </c>
      <c r="O252" s="234">
        <v>44777.0</v>
      </c>
      <c r="P252" s="235" t="str">
        <f t="shared" si="37"/>
        <v>Negative</v>
      </c>
    </row>
    <row r="253">
      <c r="M253" s="233" t="s">
        <v>837</v>
      </c>
      <c r="N253" s="233" t="s">
        <v>106</v>
      </c>
      <c r="O253" s="234">
        <v>44777.0</v>
      </c>
      <c r="P253" s="235" t="str">
        <f t="shared" si="37"/>
        <v>Negative</v>
      </c>
    </row>
    <row r="254">
      <c r="M254" s="233" t="s">
        <v>838</v>
      </c>
      <c r="N254" s="233" t="s">
        <v>106</v>
      </c>
      <c r="O254" s="234">
        <v>44777.0</v>
      </c>
      <c r="P254" s="235" t="str">
        <f t="shared" si="37"/>
        <v>Negative</v>
      </c>
    </row>
    <row r="255">
      <c r="M255" s="233" t="s">
        <v>839</v>
      </c>
      <c r="N255" s="233" t="s">
        <v>106</v>
      </c>
      <c r="O255" s="234">
        <v>44777.0</v>
      </c>
      <c r="P255" s="235" t="str">
        <f t="shared" si="37"/>
        <v>Negative</v>
      </c>
    </row>
    <row r="256">
      <c r="M256" s="233" t="s">
        <v>840</v>
      </c>
      <c r="N256" s="233" t="s">
        <v>106</v>
      </c>
      <c r="O256" s="234">
        <v>44777.0</v>
      </c>
      <c r="P256" s="235" t="str">
        <f t="shared" si="37"/>
        <v>Negative</v>
      </c>
    </row>
    <row r="257">
      <c r="M257" s="233" t="s">
        <v>841</v>
      </c>
      <c r="N257" s="233" t="s">
        <v>106</v>
      </c>
      <c r="O257" s="234">
        <v>44777.0</v>
      </c>
      <c r="P257" s="235" t="str">
        <f t="shared" si="37"/>
        <v>Negative</v>
      </c>
    </row>
    <row r="258">
      <c r="M258" s="233" t="s">
        <v>842</v>
      </c>
      <c r="N258" s="233" t="s">
        <v>106</v>
      </c>
      <c r="O258" s="234">
        <v>44777.0</v>
      </c>
      <c r="P258" s="235" t="str">
        <f t="shared" si="37"/>
        <v>Negative</v>
      </c>
    </row>
    <row r="259">
      <c r="M259" s="233" t="s">
        <v>843</v>
      </c>
      <c r="N259" s="233" t="s">
        <v>106</v>
      </c>
      <c r="O259" s="234">
        <v>44777.0</v>
      </c>
      <c r="P259" s="235" t="str">
        <f t="shared" si="37"/>
        <v>Negative</v>
      </c>
    </row>
    <row r="260">
      <c r="M260" s="233" t="s">
        <v>844</v>
      </c>
      <c r="N260" s="233" t="s">
        <v>106</v>
      </c>
      <c r="O260" s="234">
        <v>44777.0</v>
      </c>
      <c r="P260" s="235" t="str">
        <f t="shared" si="37"/>
        <v>Negative</v>
      </c>
    </row>
    <row r="261">
      <c r="M261" s="233" t="s">
        <v>845</v>
      </c>
      <c r="N261" s="233" t="s">
        <v>106</v>
      </c>
      <c r="O261" s="234">
        <v>44777.0</v>
      </c>
      <c r="P261" s="235" t="str">
        <f t="shared" si="37"/>
        <v>Negative</v>
      </c>
    </row>
    <row r="262">
      <c r="M262" s="233" t="s">
        <v>846</v>
      </c>
      <c r="N262" s="233" t="s">
        <v>106</v>
      </c>
      <c r="O262" s="234">
        <v>44777.0</v>
      </c>
      <c r="P262" s="235" t="str">
        <f t="shared" si="37"/>
        <v>Negative</v>
      </c>
    </row>
    <row r="263">
      <c r="M263" s="233" t="s">
        <v>847</v>
      </c>
      <c r="N263" s="233" t="s">
        <v>106</v>
      </c>
      <c r="O263" s="234">
        <v>44777.0</v>
      </c>
      <c r="P263" s="235" t="str">
        <f t="shared" si="37"/>
        <v>Negative</v>
      </c>
    </row>
    <row r="264">
      <c r="M264" s="233" t="s">
        <v>848</v>
      </c>
      <c r="N264" s="233" t="s">
        <v>106</v>
      </c>
      <c r="O264" s="234">
        <v>44777.0</v>
      </c>
      <c r="P264" s="235" t="str">
        <f t="shared" si="37"/>
        <v>Negative</v>
      </c>
    </row>
    <row r="265">
      <c r="M265" s="233" t="s">
        <v>849</v>
      </c>
      <c r="N265" s="233" t="s">
        <v>106</v>
      </c>
      <c r="O265" s="234">
        <v>44777.0</v>
      </c>
      <c r="P265" s="235" t="str">
        <f t="shared" si="37"/>
        <v>Negative</v>
      </c>
    </row>
    <row r="266">
      <c r="M266" s="233" t="s">
        <v>850</v>
      </c>
      <c r="N266" s="233" t="s">
        <v>106</v>
      </c>
      <c r="O266" s="234">
        <v>44777.0</v>
      </c>
      <c r="P266" s="235" t="str">
        <f t="shared" si="37"/>
        <v>Negative</v>
      </c>
    </row>
    <row r="267">
      <c r="M267" s="233" t="s">
        <v>851</v>
      </c>
      <c r="N267" s="233" t="s">
        <v>106</v>
      </c>
      <c r="O267" s="234">
        <v>44777.0</v>
      </c>
      <c r="P267" s="235" t="str">
        <f t="shared" si="37"/>
        <v>Negative</v>
      </c>
    </row>
    <row r="268">
      <c r="M268" s="233" t="s">
        <v>852</v>
      </c>
      <c r="N268" s="233" t="s">
        <v>106</v>
      </c>
      <c r="O268" s="234">
        <v>44777.0</v>
      </c>
      <c r="P268" s="235" t="str">
        <f t="shared" si="37"/>
        <v>Negative</v>
      </c>
    </row>
    <row r="269">
      <c r="M269" s="233" t="s">
        <v>853</v>
      </c>
      <c r="N269" s="233" t="s">
        <v>106</v>
      </c>
      <c r="O269" s="234">
        <v>44777.0</v>
      </c>
      <c r="P269" s="235" t="str">
        <f t="shared" si="37"/>
        <v>Negative</v>
      </c>
    </row>
    <row r="270">
      <c r="M270" s="233" t="s">
        <v>854</v>
      </c>
      <c r="N270" s="233" t="s">
        <v>106</v>
      </c>
      <c r="O270" s="234">
        <v>44777.0</v>
      </c>
      <c r="P270" s="235" t="str">
        <f t="shared" si="37"/>
        <v>Negative</v>
      </c>
    </row>
    <row r="271">
      <c r="M271" s="233" t="s">
        <v>855</v>
      </c>
      <c r="N271" s="233" t="s">
        <v>106</v>
      </c>
      <c r="O271" s="234">
        <v>44777.0</v>
      </c>
      <c r="P271" s="235" t="str">
        <f t="shared" si="37"/>
        <v>Negative</v>
      </c>
    </row>
    <row r="272">
      <c r="M272" s="233" t="s">
        <v>856</v>
      </c>
      <c r="N272" s="233" t="s">
        <v>106</v>
      </c>
      <c r="O272" s="234">
        <v>44777.0</v>
      </c>
      <c r="P272" s="235" t="str">
        <f t="shared" si="37"/>
        <v>Negative</v>
      </c>
    </row>
    <row r="273">
      <c r="M273" s="233" t="s">
        <v>857</v>
      </c>
      <c r="N273" s="233" t="s">
        <v>106</v>
      </c>
      <c r="O273" s="234">
        <v>44777.0</v>
      </c>
      <c r="P273" s="235" t="str">
        <f t="shared" si="37"/>
        <v>Negative</v>
      </c>
    </row>
    <row r="274">
      <c r="M274" s="233" t="s">
        <v>858</v>
      </c>
      <c r="N274" s="233" t="s">
        <v>107</v>
      </c>
      <c r="O274" s="234">
        <v>44788.0</v>
      </c>
      <c r="P274" s="235" t="str">
        <f t="shared" si="37"/>
        <v>Negative</v>
      </c>
    </row>
    <row r="275">
      <c r="M275" s="233" t="s">
        <v>859</v>
      </c>
      <c r="N275" s="233" t="s">
        <v>107</v>
      </c>
      <c r="O275" s="234">
        <v>44788.0</v>
      </c>
      <c r="P275" s="235" t="str">
        <f t="shared" si="37"/>
        <v>Negative</v>
      </c>
    </row>
    <row r="276">
      <c r="M276" s="233" t="s">
        <v>860</v>
      </c>
      <c r="N276" s="233" t="s">
        <v>107</v>
      </c>
      <c r="O276" s="234">
        <v>44788.0</v>
      </c>
      <c r="P276" s="235" t="str">
        <f t="shared" si="37"/>
        <v>Negative</v>
      </c>
    </row>
    <row r="277">
      <c r="M277" s="233" t="s">
        <v>861</v>
      </c>
      <c r="N277" s="233" t="s">
        <v>107</v>
      </c>
      <c r="O277" s="234">
        <v>44788.0</v>
      </c>
      <c r="P277" s="235" t="str">
        <f t="shared" si="37"/>
        <v>Negative</v>
      </c>
    </row>
    <row r="278">
      <c r="M278" s="233" t="s">
        <v>862</v>
      </c>
      <c r="N278" s="233" t="s">
        <v>107</v>
      </c>
      <c r="O278" s="234">
        <v>44788.0</v>
      </c>
      <c r="P278" s="235" t="str">
        <f t="shared" si="37"/>
        <v>Negative</v>
      </c>
    </row>
    <row r="279">
      <c r="M279" s="233" t="s">
        <v>863</v>
      </c>
      <c r="N279" s="233" t="s">
        <v>107</v>
      </c>
      <c r="O279" s="234">
        <v>44788.0</v>
      </c>
      <c r="P279" s="235" t="str">
        <f t="shared" si="37"/>
        <v>Negative</v>
      </c>
    </row>
    <row r="280">
      <c r="M280" s="233" t="s">
        <v>864</v>
      </c>
      <c r="N280" s="233" t="s">
        <v>107</v>
      </c>
      <c r="O280" s="234">
        <v>44788.0</v>
      </c>
      <c r="P280" s="235" t="str">
        <f t="shared" si="37"/>
        <v>Negative</v>
      </c>
    </row>
    <row r="281">
      <c r="M281" s="233" t="s">
        <v>865</v>
      </c>
      <c r="N281" s="233" t="s">
        <v>107</v>
      </c>
      <c r="O281" s="234">
        <v>44788.0</v>
      </c>
      <c r="P281" s="235" t="str">
        <f t="shared" si="37"/>
        <v>Negative</v>
      </c>
    </row>
    <row r="282">
      <c r="M282" s="233" t="s">
        <v>866</v>
      </c>
      <c r="N282" s="233" t="s">
        <v>107</v>
      </c>
      <c r="O282" s="234">
        <v>44788.0</v>
      </c>
      <c r="P282" s="235" t="str">
        <f t="shared" si="37"/>
        <v>Negative</v>
      </c>
    </row>
    <row r="283">
      <c r="M283" s="233" t="s">
        <v>867</v>
      </c>
      <c r="N283" s="233" t="s">
        <v>107</v>
      </c>
      <c r="O283" s="234">
        <v>44788.0</v>
      </c>
      <c r="P283" s="235" t="str">
        <f t="shared" si="37"/>
        <v>Negative</v>
      </c>
    </row>
    <row r="284">
      <c r="M284" s="233" t="s">
        <v>868</v>
      </c>
      <c r="N284" s="233" t="s">
        <v>107</v>
      </c>
      <c r="O284" s="234">
        <v>44788.0</v>
      </c>
      <c r="P284" s="235" t="str">
        <f t="shared" si="37"/>
        <v>Negative</v>
      </c>
    </row>
    <row r="285">
      <c r="M285" s="233" t="s">
        <v>869</v>
      </c>
      <c r="N285" s="233" t="s">
        <v>107</v>
      </c>
      <c r="O285" s="234">
        <v>44788.0</v>
      </c>
      <c r="P285" s="235" t="str">
        <f t="shared" si="37"/>
        <v>Negative</v>
      </c>
    </row>
    <row r="286">
      <c r="M286" s="233" t="s">
        <v>870</v>
      </c>
      <c r="N286" s="233" t="s">
        <v>107</v>
      </c>
      <c r="O286" s="234">
        <v>44788.0</v>
      </c>
      <c r="P286" s="235" t="str">
        <f t="shared" si="37"/>
        <v>Negative</v>
      </c>
    </row>
    <row r="287">
      <c r="M287" s="233" t="s">
        <v>871</v>
      </c>
      <c r="N287" s="233" t="s">
        <v>107</v>
      </c>
      <c r="O287" s="234">
        <v>44788.0</v>
      </c>
      <c r="P287" s="235" t="str">
        <f t="shared" si="37"/>
        <v>Negative</v>
      </c>
    </row>
    <row r="288">
      <c r="M288" s="233" t="s">
        <v>872</v>
      </c>
      <c r="N288" s="233" t="s">
        <v>107</v>
      </c>
      <c r="O288" s="234">
        <v>44788.0</v>
      </c>
      <c r="P288" s="235" t="str">
        <f t="shared" si="37"/>
        <v>Negative</v>
      </c>
    </row>
    <row r="289">
      <c r="M289" s="233" t="s">
        <v>873</v>
      </c>
      <c r="N289" s="233" t="s">
        <v>107</v>
      </c>
      <c r="O289" s="234">
        <v>44788.0</v>
      </c>
      <c r="P289" s="235" t="str">
        <f t="shared" si="37"/>
        <v>Negative</v>
      </c>
    </row>
    <row r="290">
      <c r="M290" s="233" t="s">
        <v>874</v>
      </c>
      <c r="N290" s="233" t="s">
        <v>107</v>
      </c>
      <c r="O290" s="234">
        <v>44788.0</v>
      </c>
      <c r="P290" s="235" t="str">
        <f t="shared" si="37"/>
        <v>Negative</v>
      </c>
    </row>
    <row r="291">
      <c r="M291" s="233" t="s">
        <v>875</v>
      </c>
      <c r="N291" s="233" t="s">
        <v>107</v>
      </c>
      <c r="O291" s="234">
        <v>44788.0</v>
      </c>
      <c r="P291" s="235" t="str">
        <f t="shared" si="37"/>
        <v>Negative</v>
      </c>
    </row>
    <row r="292">
      <c r="M292" s="233" t="s">
        <v>876</v>
      </c>
      <c r="N292" s="233" t="s">
        <v>107</v>
      </c>
      <c r="O292" s="234">
        <v>44788.0</v>
      </c>
      <c r="P292" s="235" t="str">
        <f t="shared" si="37"/>
        <v>Negative</v>
      </c>
    </row>
    <row r="293">
      <c r="M293" s="233" t="s">
        <v>877</v>
      </c>
      <c r="N293" s="233" t="s">
        <v>107</v>
      </c>
      <c r="O293" s="234">
        <v>44788.0</v>
      </c>
      <c r="P293" s="235" t="str">
        <f t="shared" si="37"/>
        <v>Negative</v>
      </c>
    </row>
    <row r="294">
      <c r="M294" s="233" t="s">
        <v>878</v>
      </c>
      <c r="N294" s="233" t="s">
        <v>107</v>
      </c>
      <c r="O294" s="234">
        <v>44788.0</v>
      </c>
      <c r="P294" s="235" t="str">
        <f t="shared" si="37"/>
        <v>Negative</v>
      </c>
    </row>
    <row r="295">
      <c r="M295" s="233" t="s">
        <v>879</v>
      </c>
      <c r="N295" s="233" t="s">
        <v>107</v>
      </c>
      <c r="O295" s="234">
        <v>44788.0</v>
      </c>
      <c r="P295" s="235" t="str">
        <f t="shared" si="37"/>
        <v>Negative</v>
      </c>
    </row>
    <row r="296">
      <c r="M296" s="233" t="s">
        <v>880</v>
      </c>
      <c r="N296" s="233" t="s">
        <v>107</v>
      </c>
      <c r="O296" s="234">
        <v>44788.0</v>
      </c>
      <c r="P296" s="235" t="str">
        <f t="shared" si="37"/>
        <v>Negative</v>
      </c>
    </row>
    <row r="297">
      <c r="M297" s="233" t="s">
        <v>881</v>
      </c>
      <c r="N297" s="233" t="s">
        <v>107</v>
      </c>
      <c r="O297" s="234">
        <v>44788.0</v>
      </c>
      <c r="P297" s="235" t="str">
        <f t="shared" si="37"/>
        <v>Negative</v>
      </c>
    </row>
    <row r="298">
      <c r="M298" s="233" t="s">
        <v>882</v>
      </c>
      <c r="N298" s="233" t="s">
        <v>107</v>
      </c>
      <c r="O298" s="234">
        <v>44788.0</v>
      </c>
      <c r="P298" s="235" t="str">
        <f t="shared" si="37"/>
        <v>Negative</v>
      </c>
    </row>
    <row r="299">
      <c r="M299" s="233" t="s">
        <v>883</v>
      </c>
      <c r="N299" s="233" t="s">
        <v>107</v>
      </c>
      <c r="O299" s="234">
        <v>44788.0</v>
      </c>
      <c r="P299" s="235" t="str">
        <f t="shared" si="37"/>
        <v>Negative</v>
      </c>
    </row>
    <row r="300">
      <c r="M300" s="233" t="s">
        <v>884</v>
      </c>
      <c r="N300" s="233" t="s">
        <v>107</v>
      </c>
      <c r="O300" s="234">
        <v>44788.0</v>
      </c>
      <c r="P300" s="235" t="str">
        <f t="shared" si="37"/>
        <v>Negative</v>
      </c>
    </row>
    <row r="301">
      <c r="M301" s="233" t="s">
        <v>885</v>
      </c>
      <c r="N301" s="233" t="s">
        <v>107</v>
      </c>
      <c r="O301" s="234">
        <v>44788.0</v>
      </c>
      <c r="P301" s="235" t="str">
        <f t="shared" si="37"/>
        <v>Negative</v>
      </c>
    </row>
    <row r="302">
      <c r="M302" s="233" t="s">
        <v>886</v>
      </c>
      <c r="N302" s="233" t="s">
        <v>107</v>
      </c>
      <c r="O302" s="234">
        <v>44788.0</v>
      </c>
      <c r="P302" s="235" t="str">
        <f t="shared" si="37"/>
        <v>Negative</v>
      </c>
    </row>
    <row r="303">
      <c r="M303" s="233" t="s">
        <v>887</v>
      </c>
      <c r="N303" s="233" t="s">
        <v>107</v>
      </c>
      <c r="O303" s="234">
        <v>44788.0</v>
      </c>
      <c r="P303" s="235" t="str">
        <f t="shared" si="37"/>
        <v>Negative</v>
      </c>
    </row>
    <row r="304">
      <c r="M304" s="233" t="s">
        <v>888</v>
      </c>
      <c r="N304" s="233" t="s">
        <v>107</v>
      </c>
      <c r="O304" s="234">
        <v>44788.0</v>
      </c>
      <c r="P304" s="235" t="str">
        <f t="shared" si="37"/>
        <v>Negative</v>
      </c>
    </row>
    <row r="305">
      <c r="M305" s="233" t="s">
        <v>889</v>
      </c>
      <c r="N305" s="233" t="s">
        <v>107</v>
      </c>
      <c r="O305" s="234">
        <v>44788.0</v>
      </c>
      <c r="P305" s="235" t="str">
        <f t="shared" si="37"/>
        <v>Negative</v>
      </c>
    </row>
    <row r="306">
      <c r="M306" s="233" t="s">
        <v>890</v>
      </c>
      <c r="N306" s="233" t="s">
        <v>107</v>
      </c>
      <c r="O306" s="234">
        <v>44788.0</v>
      </c>
      <c r="P306" s="235" t="str">
        <f t="shared" si="37"/>
        <v>Negative</v>
      </c>
    </row>
    <row r="307">
      <c r="M307" s="233" t="s">
        <v>891</v>
      </c>
      <c r="N307" s="233" t="s">
        <v>107</v>
      </c>
      <c r="O307" s="234">
        <v>44788.0</v>
      </c>
      <c r="P307" s="235" t="str">
        <f t="shared" si="37"/>
        <v>Negative</v>
      </c>
    </row>
    <row r="308">
      <c r="M308" s="233" t="s">
        <v>892</v>
      </c>
      <c r="N308" s="233" t="s">
        <v>107</v>
      </c>
      <c r="O308" s="234">
        <v>44788.0</v>
      </c>
      <c r="P308" s="235" t="str">
        <f t="shared" si="37"/>
        <v>Negative</v>
      </c>
    </row>
    <row r="309">
      <c r="M309" s="233" t="s">
        <v>893</v>
      </c>
      <c r="N309" s="233" t="s">
        <v>107</v>
      </c>
      <c r="O309" s="234">
        <v>44788.0</v>
      </c>
      <c r="P309" s="235" t="str">
        <f t="shared" si="37"/>
        <v>Negative</v>
      </c>
    </row>
    <row r="310">
      <c r="M310" s="233" t="s">
        <v>894</v>
      </c>
      <c r="N310" s="233" t="s">
        <v>107</v>
      </c>
      <c r="O310" s="234">
        <v>44788.0</v>
      </c>
      <c r="P310" s="235" t="str">
        <f t="shared" si="37"/>
        <v>Negative</v>
      </c>
    </row>
    <row r="311">
      <c r="M311" s="233"/>
      <c r="N311" s="233"/>
      <c r="O311" s="234"/>
      <c r="P311" s="235"/>
    </row>
    <row r="312">
      <c r="M312" s="233"/>
      <c r="N312" s="233"/>
      <c r="O312" s="234"/>
      <c r="P312" s="235"/>
    </row>
    <row r="313">
      <c r="M313" s="233"/>
      <c r="N313" s="233"/>
      <c r="O313" s="234"/>
      <c r="P313" s="235"/>
    </row>
    <row r="314">
      <c r="M314" s="233"/>
      <c r="N314" s="233"/>
      <c r="O314" s="234"/>
      <c r="P314" s="235"/>
    </row>
    <row r="315">
      <c r="M315" s="233"/>
      <c r="N315" s="233"/>
      <c r="O315" s="234"/>
      <c r="P315" s="235"/>
    </row>
    <row r="316">
      <c r="M316" s="233"/>
      <c r="N316" s="233"/>
      <c r="O316" s="234"/>
      <c r="P316" s="235"/>
    </row>
    <row r="317">
      <c r="M317" s="233"/>
      <c r="N317" s="233"/>
      <c r="O317" s="234"/>
      <c r="P317" s="235"/>
    </row>
    <row r="318">
      <c r="M318" s="233"/>
      <c r="N318" s="233"/>
      <c r="O318" s="234"/>
      <c r="P318" s="235"/>
    </row>
    <row r="319">
      <c r="M319" s="233"/>
      <c r="N319" s="233"/>
      <c r="O319" s="234"/>
      <c r="P319" s="235"/>
    </row>
    <row r="320">
      <c r="M320" s="233"/>
      <c r="N320" s="233"/>
      <c r="O320" s="234"/>
      <c r="P320" s="235"/>
    </row>
    <row r="321">
      <c r="M321" s="233"/>
      <c r="N321" s="233"/>
      <c r="O321" s="234"/>
      <c r="P321" s="235"/>
    </row>
    <row r="322">
      <c r="M322" s="233"/>
      <c r="N322" s="233"/>
      <c r="O322" s="234"/>
      <c r="P322" s="235"/>
    </row>
    <row r="323">
      <c r="M323" s="233"/>
      <c r="N323" s="233"/>
      <c r="O323" s="234"/>
      <c r="P323" s="235"/>
    </row>
    <row r="324">
      <c r="M324" s="233"/>
      <c r="N324" s="233"/>
      <c r="O324" s="234"/>
      <c r="P324" s="235"/>
    </row>
    <row r="325">
      <c r="M325" s="233"/>
      <c r="N325" s="233"/>
      <c r="O325" s="234"/>
      <c r="P325" s="235"/>
    </row>
    <row r="326">
      <c r="M326" s="233"/>
      <c r="N326" s="233"/>
      <c r="O326" s="234"/>
      <c r="P326" s="235"/>
    </row>
    <row r="327">
      <c r="M327" s="233"/>
      <c r="N327" s="233"/>
      <c r="O327" s="233"/>
      <c r="P327" s="235"/>
    </row>
    <row r="328">
      <c r="M328" s="233"/>
      <c r="N328" s="233"/>
      <c r="O328" s="233"/>
      <c r="P328" s="235"/>
    </row>
    <row r="329">
      <c r="M329" s="233"/>
      <c r="N329" s="233"/>
      <c r="O329" s="233"/>
      <c r="P329" s="235"/>
    </row>
    <row r="330">
      <c r="M330" s="233"/>
      <c r="N330" s="233"/>
      <c r="O330" s="233"/>
      <c r="P330" s="235"/>
    </row>
    <row r="331">
      <c r="M331" s="233"/>
      <c r="N331" s="233"/>
      <c r="O331" s="233"/>
      <c r="P331" s="235"/>
    </row>
    <row r="332">
      <c r="M332" s="233"/>
      <c r="N332" s="233"/>
      <c r="O332" s="233"/>
      <c r="P332" s="235"/>
    </row>
    <row r="333">
      <c r="M333" s="233"/>
      <c r="N333" s="233"/>
      <c r="O333" s="233"/>
      <c r="P333" s="235"/>
    </row>
    <row r="334">
      <c r="M334" s="233"/>
      <c r="N334" s="233"/>
      <c r="O334" s="233"/>
      <c r="P334" s="235"/>
    </row>
    <row r="335">
      <c r="M335" s="233"/>
      <c r="N335" s="233"/>
      <c r="O335" s="233"/>
      <c r="P335" s="235"/>
    </row>
    <row r="336">
      <c r="M336" s="233"/>
      <c r="N336" s="233"/>
      <c r="O336" s="233"/>
      <c r="P336" s="235"/>
    </row>
    <row r="337">
      <c r="M337" s="233"/>
      <c r="N337" s="233"/>
      <c r="O337" s="233"/>
      <c r="P337" s="235"/>
    </row>
    <row r="338">
      <c r="M338" s="233"/>
      <c r="N338" s="233"/>
      <c r="O338" s="233"/>
      <c r="P338" s="235"/>
    </row>
    <row r="339">
      <c r="M339" s="233"/>
      <c r="N339" s="233"/>
      <c r="O339" s="233"/>
      <c r="P339" s="235"/>
    </row>
    <row r="340">
      <c r="M340" s="233"/>
      <c r="N340" s="233"/>
      <c r="O340" s="233"/>
      <c r="P340" s="235"/>
    </row>
    <row r="341">
      <c r="M341" s="233"/>
      <c r="N341" s="233"/>
      <c r="O341" s="233"/>
      <c r="P341" s="235"/>
    </row>
    <row r="342">
      <c r="M342" s="233"/>
      <c r="N342" s="233"/>
      <c r="O342" s="233"/>
      <c r="P342" s="235"/>
    </row>
    <row r="343">
      <c r="M343" s="233"/>
      <c r="N343" s="233"/>
      <c r="O343" s="233"/>
      <c r="P343" s="235"/>
    </row>
    <row r="344">
      <c r="M344" s="233"/>
      <c r="N344" s="233"/>
      <c r="O344" s="233"/>
      <c r="P344" s="235"/>
    </row>
    <row r="345">
      <c r="M345" s="233"/>
      <c r="N345" s="233"/>
      <c r="O345" s="233"/>
      <c r="P345" s="235"/>
    </row>
    <row r="346">
      <c r="M346" s="233"/>
      <c r="N346" s="233"/>
      <c r="O346" s="233"/>
      <c r="P346" s="235"/>
    </row>
    <row r="347">
      <c r="M347" s="233"/>
      <c r="N347" s="233"/>
      <c r="O347" s="233"/>
      <c r="P347" s="235"/>
    </row>
    <row r="348">
      <c r="M348" s="233"/>
      <c r="N348" s="233"/>
      <c r="O348" s="233"/>
      <c r="P348" s="23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32.0"/>
    <col customWidth="1" min="4" max="4" width="14.25"/>
    <col customWidth="1" min="6" max="6" width="18.5"/>
    <col customWidth="1" min="7" max="7" width="39.0"/>
    <col customWidth="1" min="8" max="8" width="6.0"/>
    <col customWidth="1" min="9" max="9" width="12.5"/>
    <col customWidth="1" min="10" max="10" width="13.0"/>
  </cols>
  <sheetData>
    <row r="1">
      <c r="A1" s="129" t="s">
        <v>895</v>
      </c>
      <c r="B1" s="36" t="s">
        <v>896</v>
      </c>
      <c r="C1" s="36" t="s">
        <v>897</v>
      </c>
      <c r="D1" s="129" t="s">
        <v>898</v>
      </c>
      <c r="E1" s="129" t="s">
        <v>899</v>
      </c>
      <c r="F1" s="129" t="s">
        <v>900</v>
      </c>
      <c r="G1" s="129" t="s">
        <v>901</v>
      </c>
      <c r="H1" s="244">
        <f>IFERROR(__xludf.DUMMYFUNCTION("IF(MAX(H2:H38)=COUNTUNIQUE(H2:H38),MAX(H2:H38)+1,""ERROR"")"),35.0)</f>
        <v>35</v>
      </c>
      <c r="I1" s="62" t="s">
        <v>902</v>
      </c>
      <c r="J1" s="4" t="s">
        <v>903</v>
      </c>
      <c r="K1" s="4" t="s">
        <v>904</v>
      </c>
      <c r="L1" s="245" t="s">
        <v>905</v>
      </c>
    </row>
    <row r="2">
      <c r="A2" s="246" t="str">
        <f t="shared" ref="A2:A8" si="1">CONCATENATE("TUNKCOMB",TEXT(H2,"000"))</f>
        <v>TUNKCOMB001</v>
      </c>
      <c r="B2" s="58" t="str">
        <f>VLOOKUP(A2,'ALL Tube Results'!A$2:B38,2,FALSE)</f>
        <v>#N/A</v>
      </c>
      <c r="C2" s="6" t="s">
        <v>906</v>
      </c>
      <c r="D2" s="247">
        <v>4.0</v>
      </c>
      <c r="E2" s="247">
        <v>7.0</v>
      </c>
      <c r="F2" s="247">
        <v>1.0</v>
      </c>
      <c r="G2" s="232" t="s">
        <v>907</v>
      </c>
      <c r="H2" s="248">
        <v>1.0</v>
      </c>
      <c r="I2" s="159">
        <f t="shared" ref="I2:I38" si="2">VALUE(MID(C2,8,3))</f>
        <v>1</v>
      </c>
      <c r="J2" s="147" t="str">
        <f t="shared" ref="J2:J38" si="3">IF(C2&lt;&gt;C1,C2,"")</f>
        <v>R_COMB-001</v>
      </c>
      <c r="K2" s="167">
        <f t="shared" ref="K2:K38" si="4">COUNTIF($C$2:$C38,$J2)</f>
        <v>1</v>
      </c>
    </row>
    <row r="3">
      <c r="A3" s="246" t="str">
        <f t="shared" si="1"/>
        <v>TUNKCOMB002</v>
      </c>
      <c r="B3" s="58" t="str">
        <f>VLOOKUP(A3,'ALL Tube Results'!A$2:B38,2,FALSE)</f>
        <v>#N/A</v>
      </c>
      <c r="C3" s="6" t="s">
        <v>908</v>
      </c>
      <c r="D3" s="247">
        <v>4.0</v>
      </c>
      <c r="E3" s="247">
        <v>2.0</v>
      </c>
      <c r="F3" s="247">
        <v>4.0</v>
      </c>
      <c r="H3" s="127">
        <v>2.0</v>
      </c>
      <c r="I3" s="159">
        <f t="shared" si="2"/>
        <v>2</v>
      </c>
      <c r="J3" s="147" t="str">
        <f t="shared" si="3"/>
        <v>R_COMB-002</v>
      </c>
      <c r="K3" s="167">
        <f t="shared" si="4"/>
        <v>2</v>
      </c>
    </row>
    <row r="4">
      <c r="A4" s="246" t="str">
        <f t="shared" si="1"/>
        <v>TUNKCOMB003</v>
      </c>
      <c r="B4" s="58" t="str">
        <f>VLOOKUP(A4,'ALL Tube Results'!A$2:B38,2,FALSE)</f>
        <v>#N/A</v>
      </c>
      <c r="C4" s="6" t="s">
        <v>908</v>
      </c>
      <c r="D4" s="247">
        <v>4.0</v>
      </c>
      <c r="E4" s="247">
        <v>2.0</v>
      </c>
      <c r="F4" s="247">
        <v>4.0</v>
      </c>
      <c r="H4" s="127">
        <v>3.0</v>
      </c>
      <c r="I4" s="159">
        <f t="shared" si="2"/>
        <v>2</v>
      </c>
      <c r="J4" s="147" t="str">
        <f t="shared" si="3"/>
        <v/>
      </c>
      <c r="K4" s="167">
        <f t="shared" si="4"/>
        <v>0</v>
      </c>
    </row>
    <row r="5">
      <c r="A5" s="246" t="str">
        <f t="shared" si="1"/>
        <v>TUNKCOMB004</v>
      </c>
      <c r="B5" s="58" t="str">
        <f>VLOOKUP(A5,'ALL Tube Results'!A$2:B38,2,FALSE)</f>
        <v>#N/A</v>
      </c>
      <c r="C5" s="6" t="s">
        <v>909</v>
      </c>
      <c r="D5" s="247">
        <v>4.0</v>
      </c>
      <c r="E5" s="247">
        <v>2.0</v>
      </c>
      <c r="F5" s="247">
        <v>4.0</v>
      </c>
      <c r="H5" s="127">
        <v>4.0</v>
      </c>
      <c r="I5" s="159">
        <f t="shared" si="2"/>
        <v>4</v>
      </c>
      <c r="J5" s="147" t="str">
        <f t="shared" si="3"/>
        <v>R_COMB-004</v>
      </c>
      <c r="K5" s="167">
        <f t="shared" si="4"/>
        <v>2</v>
      </c>
    </row>
    <row r="6">
      <c r="A6" s="246" t="str">
        <f t="shared" si="1"/>
        <v>TUNKCOMB005</v>
      </c>
      <c r="B6" s="58" t="str">
        <f>VLOOKUP(A6,'ALL Tube Results'!A$2:B38,2,FALSE)</f>
        <v>#N/A</v>
      </c>
      <c r="C6" s="6" t="s">
        <v>909</v>
      </c>
      <c r="D6" s="247">
        <v>4.0</v>
      </c>
      <c r="E6" s="247">
        <v>2.0</v>
      </c>
      <c r="F6" s="247">
        <v>4.0</v>
      </c>
      <c r="H6" s="127">
        <v>5.0</v>
      </c>
      <c r="I6" s="159">
        <f t="shared" si="2"/>
        <v>4</v>
      </c>
      <c r="J6" s="147" t="str">
        <f t="shared" si="3"/>
        <v/>
      </c>
      <c r="K6" s="167">
        <f t="shared" si="4"/>
        <v>0</v>
      </c>
    </row>
    <row r="7">
      <c r="A7" s="246" t="str">
        <f t="shared" si="1"/>
        <v>TUNKCOMB006</v>
      </c>
      <c r="B7" s="58" t="str">
        <f>VLOOKUP(A7,'ALL Tube Results'!A$2:B38,2,FALSE)</f>
        <v>#N/A</v>
      </c>
      <c r="C7" s="6" t="s">
        <v>910</v>
      </c>
      <c r="D7" s="247">
        <v>4.0</v>
      </c>
      <c r="E7" s="249">
        <v>5.2</v>
      </c>
      <c r="F7" s="247">
        <v>7.0</v>
      </c>
      <c r="G7" s="232" t="s">
        <v>911</v>
      </c>
      <c r="H7" s="127">
        <v>6.0</v>
      </c>
      <c r="I7" s="159">
        <f t="shared" si="2"/>
        <v>18</v>
      </c>
      <c r="J7" s="147" t="str">
        <f t="shared" si="3"/>
        <v>R_COMB-018</v>
      </c>
      <c r="K7" s="167">
        <f t="shared" si="4"/>
        <v>1</v>
      </c>
    </row>
    <row r="8">
      <c r="A8" s="246" t="str">
        <f t="shared" si="1"/>
        <v>TUNKCOMB007</v>
      </c>
      <c r="B8" s="58" t="str">
        <f>VLOOKUP(A8,'ALL Tube Results'!A$2:B38,2,FALSE)</f>
        <v>#N/A</v>
      </c>
      <c r="C8" s="6" t="s">
        <v>912</v>
      </c>
      <c r="D8" s="247">
        <v>4.0</v>
      </c>
      <c r="E8" s="247">
        <v>2.0</v>
      </c>
      <c r="F8" s="247">
        <v>4.0</v>
      </c>
      <c r="H8" s="127">
        <v>7.0</v>
      </c>
      <c r="I8" s="159">
        <f t="shared" si="2"/>
        <v>22</v>
      </c>
      <c r="J8" s="147" t="str">
        <f t="shared" si="3"/>
        <v>R_COMB-022</v>
      </c>
      <c r="K8" s="167">
        <f t="shared" si="4"/>
        <v>1</v>
      </c>
    </row>
    <row r="9">
      <c r="A9" s="232" t="s">
        <v>913</v>
      </c>
      <c r="B9" s="58" t="str">
        <f>VLOOKUP(A9,'ALL Tube Results'!A$2:B38,2,FALSE)</f>
        <v>RUN-COMB_2022-04-21_RFR-025</v>
      </c>
      <c r="C9" s="6" t="s">
        <v>914</v>
      </c>
      <c r="D9" s="247">
        <v>1.0</v>
      </c>
      <c r="E9" s="247">
        <v>7.1</v>
      </c>
      <c r="F9" s="247">
        <v>4.0</v>
      </c>
      <c r="H9" s="127"/>
      <c r="I9" s="159">
        <f t="shared" si="2"/>
        <v>25</v>
      </c>
      <c r="J9" s="147" t="str">
        <f t="shared" si="3"/>
        <v>R_COMB-025</v>
      </c>
      <c r="K9" s="167">
        <f t="shared" si="4"/>
        <v>2</v>
      </c>
    </row>
    <row r="10">
      <c r="A10" s="246" t="str">
        <f>CONCATENATE("TUNKCOMB",TEXT(H10,"000"))</f>
        <v>TUNKCOMB008</v>
      </c>
      <c r="B10" s="58" t="str">
        <f>VLOOKUP(A10,'ALL Tube Results'!A$2:B38,2,FALSE)</f>
        <v>#N/A</v>
      </c>
      <c r="C10" s="6" t="s">
        <v>914</v>
      </c>
      <c r="D10" s="247">
        <v>4.0</v>
      </c>
      <c r="E10" s="247">
        <v>5.0</v>
      </c>
      <c r="F10" s="247">
        <v>4.0</v>
      </c>
      <c r="H10" s="127">
        <v>8.0</v>
      </c>
      <c r="I10" s="159">
        <f t="shared" si="2"/>
        <v>25</v>
      </c>
      <c r="J10" s="147" t="str">
        <f t="shared" si="3"/>
        <v/>
      </c>
      <c r="K10" s="167">
        <f t="shared" si="4"/>
        <v>0</v>
      </c>
    </row>
    <row r="11">
      <c r="A11" s="232" t="s">
        <v>915</v>
      </c>
      <c r="B11" s="58" t="str">
        <f>VLOOKUP(A11,'ALL Tube Results'!A$2:B38,2,FALSE)</f>
        <v>RUN-COMB_2022-04-25_RFR-028</v>
      </c>
      <c r="C11" s="6" t="s">
        <v>916</v>
      </c>
      <c r="D11" s="247">
        <v>1.0</v>
      </c>
      <c r="E11" s="247">
        <v>7.1</v>
      </c>
      <c r="F11" s="247">
        <v>4.0</v>
      </c>
      <c r="H11" s="127"/>
      <c r="I11" s="159">
        <f t="shared" si="2"/>
        <v>28</v>
      </c>
      <c r="J11" s="147" t="str">
        <f t="shared" si="3"/>
        <v>R_COMB-028</v>
      </c>
      <c r="K11" s="167">
        <f t="shared" si="4"/>
        <v>2</v>
      </c>
    </row>
    <row r="12">
      <c r="A12" s="246" t="str">
        <f t="shared" ref="A12:A14" si="5">CONCATENATE("TUNKCOMB",TEXT(H12,"000"))</f>
        <v>TUNKCOMB009</v>
      </c>
      <c r="B12" s="58" t="str">
        <f>VLOOKUP(A12,'ALL Tube Results'!A$2:B38,2,FALSE)</f>
        <v>#N/A</v>
      </c>
      <c r="C12" s="6" t="s">
        <v>916</v>
      </c>
      <c r="D12" s="247">
        <v>4.0</v>
      </c>
      <c r="E12" s="247">
        <v>5.0</v>
      </c>
      <c r="F12" s="247">
        <v>4.0</v>
      </c>
      <c r="H12" s="127">
        <v>9.0</v>
      </c>
      <c r="I12" s="159">
        <f t="shared" si="2"/>
        <v>28</v>
      </c>
      <c r="J12" s="147" t="str">
        <f t="shared" si="3"/>
        <v/>
      </c>
      <c r="K12" s="167">
        <f t="shared" si="4"/>
        <v>0</v>
      </c>
    </row>
    <row r="13">
      <c r="A13" s="246" t="str">
        <f t="shared" si="5"/>
        <v>TUNKCOMB010</v>
      </c>
      <c r="B13" s="58" t="str">
        <f>VLOOKUP(A13,'ALL Tube Results'!A$2:B38,2,FALSE)</f>
        <v>#N/A</v>
      </c>
      <c r="C13" s="6" t="s">
        <v>917</v>
      </c>
      <c r="D13" s="247">
        <v>4.0</v>
      </c>
      <c r="E13" s="247">
        <v>1.1</v>
      </c>
      <c r="F13" s="247">
        <v>4.0</v>
      </c>
      <c r="G13" s="232"/>
      <c r="H13" s="127">
        <v>10.0</v>
      </c>
      <c r="I13" s="159">
        <f t="shared" si="2"/>
        <v>32</v>
      </c>
      <c r="J13" s="147" t="str">
        <f t="shared" si="3"/>
        <v>R_COMB-032</v>
      </c>
      <c r="K13" s="167">
        <f t="shared" si="4"/>
        <v>2</v>
      </c>
    </row>
    <row r="14">
      <c r="A14" s="246" t="str">
        <f t="shared" si="5"/>
        <v>TUNKCOMB011</v>
      </c>
      <c r="B14" s="58" t="str">
        <f>VLOOKUP(A14,'ALL Tube Results'!A$2:B38,2,FALSE)</f>
        <v>#N/A</v>
      </c>
      <c r="C14" s="6" t="s">
        <v>917</v>
      </c>
      <c r="D14" s="247">
        <v>4.0</v>
      </c>
      <c r="E14" s="247">
        <v>2.0</v>
      </c>
      <c r="F14" s="247">
        <v>4.0</v>
      </c>
      <c r="G14" s="232"/>
      <c r="H14" s="127">
        <v>11.0</v>
      </c>
      <c r="I14" s="159">
        <f t="shared" si="2"/>
        <v>32</v>
      </c>
      <c r="J14" s="147" t="str">
        <f t="shared" si="3"/>
        <v/>
      </c>
      <c r="K14" s="167">
        <f t="shared" si="4"/>
        <v>0</v>
      </c>
    </row>
    <row r="15">
      <c r="A15" s="232" t="s">
        <v>918</v>
      </c>
      <c r="B15" s="58" t="str">
        <f>VLOOKUP(A15,'ALL Tube Results'!A$2:B38,2,FALSE)</f>
        <v>RUN-COMB_2022-04-29_RFR-034</v>
      </c>
      <c r="C15" s="6" t="s">
        <v>919</v>
      </c>
      <c r="D15" s="247">
        <v>1.0</v>
      </c>
      <c r="E15" s="247">
        <v>7.0</v>
      </c>
      <c r="F15" s="247">
        <v>1.0</v>
      </c>
      <c r="G15" s="232"/>
      <c r="H15" s="127"/>
      <c r="I15" s="159">
        <f t="shared" si="2"/>
        <v>34</v>
      </c>
      <c r="J15" s="147" t="str">
        <f t="shared" si="3"/>
        <v>R_COMB-034</v>
      </c>
      <c r="K15" s="167">
        <f t="shared" si="4"/>
        <v>1</v>
      </c>
    </row>
    <row r="16">
      <c r="A16" s="246" t="str">
        <f t="shared" ref="A16:A38" si="6">CONCATENATE("TUNKCOMB",TEXT(H16,"000"))</f>
        <v>TUNKCOMB012</v>
      </c>
      <c r="B16" s="58" t="str">
        <f>VLOOKUP(A16,'ALL Tube Results'!A$2:B38,2,FALSE)</f>
        <v>#N/A</v>
      </c>
      <c r="C16" s="6" t="s">
        <v>920</v>
      </c>
      <c r="D16" s="247">
        <v>4.0</v>
      </c>
      <c r="E16" s="247">
        <v>1.1</v>
      </c>
      <c r="F16" s="247">
        <v>4.0</v>
      </c>
      <c r="G16" s="232"/>
      <c r="H16" s="127">
        <v>12.0</v>
      </c>
      <c r="I16" s="159">
        <f t="shared" si="2"/>
        <v>45</v>
      </c>
      <c r="J16" s="147" t="str">
        <f t="shared" si="3"/>
        <v>R_COMB-045</v>
      </c>
      <c r="K16" s="167">
        <f t="shared" si="4"/>
        <v>1</v>
      </c>
    </row>
    <row r="17">
      <c r="A17" s="246" t="str">
        <f t="shared" si="6"/>
        <v>TUNKCOMB013</v>
      </c>
      <c r="B17" s="58" t="str">
        <f>VLOOKUP(A17,'ALL Tube Results'!A$2:B38,2,FALSE)</f>
        <v>#N/A</v>
      </c>
      <c r="C17" s="6" t="s">
        <v>921</v>
      </c>
      <c r="D17" s="247">
        <v>4.0</v>
      </c>
      <c r="E17" s="247">
        <v>7.0</v>
      </c>
      <c r="F17" s="247">
        <v>1.0</v>
      </c>
      <c r="H17" s="127">
        <v>13.0</v>
      </c>
      <c r="I17" s="159">
        <f t="shared" si="2"/>
        <v>52</v>
      </c>
      <c r="J17" s="147" t="str">
        <f t="shared" si="3"/>
        <v>R_COMB-052</v>
      </c>
      <c r="K17" s="167">
        <f t="shared" si="4"/>
        <v>1</v>
      </c>
    </row>
    <row r="18">
      <c r="A18" s="246" t="str">
        <f t="shared" si="6"/>
        <v>TUNKCOMB014</v>
      </c>
      <c r="B18" s="58" t="str">
        <f>VLOOKUP(A18,'ALL Tube Results'!A$2:B38,2,FALSE)</f>
        <v>#N/A</v>
      </c>
      <c r="C18" s="6" t="s">
        <v>922</v>
      </c>
      <c r="D18" s="247">
        <v>4.0</v>
      </c>
      <c r="E18" s="247">
        <v>7.1</v>
      </c>
      <c r="F18" s="247">
        <v>4.0</v>
      </c>
      <c r="H18" s="127">
        <v>14.0</v>
      </c>
      <c r="I18" s="159">
        <f t="shared" si="2"/>
        <v>56</v>
      </c>
      <c r="J18" s="147" t="str">
        <f t="shared" si="3"/>
        <v>R_COMB-056</v>
      </c>
      <c r="K18" s="167">
        <f t="shared" si="4"/>
        <v>1</v>
      </c>
    </row>
    <row r="19">
      <c r="A19" s="246" t="str">
        <f t="shared" si="6"/>
        <v>TUNKCOMB015</v>
      </c>
      <c r="B19" s="58" t="str">
        <f>VLOOKUP(A19,'ALL Tube Results'!A$2:B38,2,FALSE)</f>
        <v>#N/A</v>
      </c>
      <c r="C19" s="6" t="s">
        <v>923</v>
      </c>
      <c r="D19" s="247">
        <v>4.0</v>
      </c>
      <c r="E19" s="247">
        <v>7.0</v>
      </c>
      <c r="F19" s="247">
        <v>1.0</v>
      </c>
      <c r="H19" s="127">
        <v>15.0</v>
      </c>
      <c r="I19" s="159">
        <f t="shared" si="2"/>
        <v>60</v>
      </c>
      <c r="J19" s="147" t="str">
        <f t="shared" si="3"/>
        <v>R_COMB-060</v>
      </c>
      <c r="K19" s="167">
        <f t="shared" si="4"/>
        <v>2</v>
      </c>
    </row>
    <row r="20">
      <c r="A20" s="246" t="str">
        <f t="shared" si="6"/>
        <v>TUNKCOMB016</v>
      </c>
      <c r="B20" s="58" t="str">
        <f>VLOOKUP(A20,'ALL Tube Results'!A$2:B38,2,FALSE)</f>
        <v>#N/A</v>
      </c>
      <c r="C20" s="6" t="s">
        <v>923</v>
      </c>
      <c r="D20" s="247">
        <v>4.0</v>
      </c>
      <c r="E20" s="247">
        <v>7.0</v>
      </c>
      <c r="F20" s="247">
        <v>1.0</v>
      </c>
      <c r="H20" s="127">
        <v>16.0</v>
      </c>
      <c r="I20" s="159">
        <f t="shared" si="2"/>
        <v>60</v>
      </c>
      <c r="J20" s="147" t="str">
        <f t="shared" si="3"/>
        <v/>
      </c>
      <c r="K20" s="167">
        <f t="shared" si="4"/>
        <v>0</v>
      </c>
    </row>
    <row r="21">
      <c r="A21" s="246" t="str">
        <f t="shared" si="6"/>
        <v>TUNKCOMB017</v>
      </c>
      <c r="B21" s="58" t="str">
        <f>VLOOKUP(A21,'ALL Tube Results'!A$2:B38,2,FALSE)</f>
        <v>#N/A</v>
      </c>
      <c r="C21" s="6" t="s">
        <v>924</v>
      </c>
      <c r="D21" s="247">
        <v>4.0</v>
      </c>
      <c r="E21" s="247">
        <v>7.1</v>
      </c>
      <c r="F21" s="247">
        <v>4.0</v>
      </c>
      <c r="H21" s="127">
        <v>17.0</v>
      </c>
      <c r="I21" s="159">
        <f t="shared" si="2"/>
        <v>61</v>
      </c>
      <c r="J21" s="147" t="str">
        <f t="shared" si="3"/>
        <v>R_COMB-061</v>
      </c>
      <c r="K21" s="167">
        <f t="shared" si="4"/>
        <v>5</v>
      </c>
    </row>
    <row r="22">
      <c r="A22" s="246" t="str">
        <f t="shared" si="6"/>
        <v>TUNKCOMB018</v>
      </c>
      <c r="B22" s="58" t="str">
        <f>VLOOKUP(A22,'ALL Tube Results'!A$2:B38,2,FALSE)</f>
        <v>#N/A</v>
      </c>
      <c r="C22" s="6" t="s">
        <v>924</v>
      </c>
      <c r="D22" s="247">
        <v>4.0</v>
      </c>
      <c r="E22" s="247">
        <v>7.1</v>
      </c>
      <c r="F22" s="247">
        <v>4.0</v>
      </c>
      <c r="H22" s="127">
        <v>18.0</v>
      </c>
      <c r="I22" s="159">
        <f t="shared" si="2"/>
        <v>61</v>
      </c>
      <c r="J22" s="147" t="str">
        <f t="shared" si="3"/>
        <v/>
      </c>
      <c r="K22" s="167">
        <f t="shared" si="4"/>
        <v>0</v>
      </c>
    </row>
    <row r="23">
      <c r="A23" s="246" t="str">
        <f t="shared" si="6"/>
        <v>TUNKCOMB019</v>
      </c>
      <c r="B23" s="58" t="str">
        <f>VLOOKUP(A23,'ALL Tube Results'!A$2:B38,2,FALSE)</f>
        <v>#N/A</v>
      </c>
      <c r="C23" s="6" t="s">
        <v>924</v>
      </c>
      <c r="D23" s="247">
        <v>4.0</v>
      </c>
      <c r="E23" s="247">
        <v>7.1</v>
      </c>
      <c r="F23" s="247">
        <v>4.0</v>
      </c>
      <c r="H23" s="127">
        <v>19.0</v>
      </c>
      <c r="I23" s="159">
        <f t="shared" si="2"/>
        <v>61</v>
      </c>
      <c r="J23" s="147" t="str">
        <f t="shared" si="3"/>
        <v/>
      </c>
      <c r="K23" s="167">
        <f t="shared" si="4"/>
        <v>0</v>
      </c>
    </row>
    <row r="24">
      <c r="A24" s="246" t="str">
        <f t="shared" si="6"/>
        <v>TUNKCOMB020</v>
      </c>
      <c r="B24" s="58" t="str">
        <f>VLOOKUP(A24,'ALL Tube Results'!A$2:B38,2,FALSE)</f>
        <v>#N/A</v>
      </c>
      <c r="C24" s="6" t="s">
        <v>924</v>
      </c>
      <c r="D24" s="247">
        <v>4.0</v>
      </c>
      <c r="E24" s="247">
        <v>6.2</v>
      </c>
      <c r="F24" s="247">
        <v>4.0</v>
      </c>
      <c r="H24" s="127">
        <v>20.0</v>
      </c>
      <c r="I24" s="159">
        <f t="shared" si="2"/>
        <v>61</v>
      </c>
      <c r="J24" s="147" t="str">
        <f t="shared" si="3"/>
        <v/>
      </c>
      <c r="K24" s="167">
        <f t="shared" si="4"/>
        <v>0</v>
      </c>
    </row>
    <row r="25">
      <c r="A25" s="246" t="str">
        <f t="shared" si="6"/>
        <v>TUNKCOMB021</v>
      </c>
      <c r="B25" s="58" t="str">
        <f>VLOOKUP(A25,'ALL Tube Results'!A$2:B38,2,FALSE)</f>
        <v>#N/A</v>
      </c>
      <c r="C25" s="6" t="s">
        <v>924</v>
      </c>
      <c r="D25" s="247">
        <v>4.0</v>
      </c>
      <c r="E25" s="247">
        <v>1.1</v>
      </c>
      <c r="F25" s="247">
        <v>4.0</v>
      </c>
      <c r="H25" s="127">
        <v>21.0</v>
      </c>
      <c r="I25" s="159">
        <f t="shared" si="2"/>
        <v>61</v>
      </c>
      <c r="J25" s="147" t="str">
        <f t="shared" si="3"/>
        <v/>
      </c>
      <c r="K25" s="167">
        <f t="shared" si="4"/>
        <v>0</v>
      </c>
    </row>
    <row r="26">
      <c r="A26" s="246" t="str">
        <f t="shared" si="6"/>
        <v>TUNKCOMB022</v>
      </c>
      <c r="B26" s="58" t="str">
        <f>VLOOKUP(A26,'ALL Tube Results'!A$2:B38,2,FALSE)</f>
        <v>#N/A</v>
      </c>
      <c r="C26" s="6" t="s">
        <v>925</v>
      </c>
      <c r="D26" s="247">
        <v>4.0</v>
      </c>
      <c r="E26" s="249">
        <v>6.2</v>
      </c>
      <c r="F26" s="247">
        <v>4.0</v>
      </c>
      <c r="H26" s="127">
        <v>22.0</v>
      </c>
      <c r="I26" s="159">
        <f t="shared" si="2"/>
        <v>63</v>
      </c>
      <c r="J26" s="147" t="str">
        <f t="shared" si="3"/>
        <v>R_COMB-063</v>
      </c>
      <c r="K26" s="167">
        <f t="shared" si="4"/>
        <v>1</v>
      </c>
    </row>
    <row r="27">
      <c r="A27" s="246" t="str">
        <f t="shared" si="6"/>
        <v>TUNKCOMB023</v>
      </c>
      <c r="B27" s="58" t="str">
        <f>VLOOKUP(A27,'ALL Tube Results'!A$2:B38,2,FALSE)</f>
        <v>#N/A</v>
      </c>
      <c r="C27" s="6" t="s">
        <v>926</v>
      </c>
      <c r="D27" s="247">
        <v>4.0</v>
      </c>
      <c r="E27" s="247">
        <v>7.1</v>
      </c>
      <c r="F27" s="247">
        <v>4.0</v>
      </c>
      <c r="H27" s="127">
        <v>23.0</v>
      </c>
      <c r="I27" s="159">
        <f t="shared" si="2"/>
        <v>66</v>
      </c>
      <c r="J27" s="147" t="str">
        <f t="shared" si="3"/>
        <v>R_COMB-066</v>
      </c>
      <c r="K27" s="167">
        <f t="shared" si="4"/>
        <v>1</v>
      </c>
    </row>
    <row r="28">
      <c r="A28" s="246" t="str">
        <f t="shared" si="6"/>
        <v>TUNKCOMB024</v>
      </c>
      <c r="B28" s="58" t="str">
        <f>VLOOKUP(A28,'ALL Tube Results'!A$2:B38,2,FALSE)</f>
        <v>#N/A</v>
      </c>
      <c r="C28" s="6" t="s">
        <v>927</v>
      </c>
      <c r="D28" s="247">
        <v>4.0</v>
      </c>
      <c r="E28" s="249">
        <v>6.2</v>
      </c>
      <c r="F28" s="247">
        <v>4.0</v>
      </c>
      <c r="H28" s="127">
        <v>24.0</v>
      </c>
      <c r="I28" s="159">
        <f t="shared" si="2"/>
        <v>68</v>
      </c>
      <c r="J28" s="147" t="str">
        <f t="shared" si="3"/>
        <v>R_COMB-068</v>
      </c>
      <c r="K28" s="167">
        <f t="shared" si="4"/>
        <v>1</v>
      </c>
    </row>
    <row r="29">
      <c r="A29" s="246" t="str">
        <f t="shared" si="6"/>
        <v>TUNKCOMB025</v>
      </c>
      <c r="B29" s="58" t="str">
        <f>VLOOKUP(A29,'ALL Tube Results'!A$2:B38,2,FALSE)</f>
        <v>#N/A</v>
      </c>
      <c r="C29" s="6" t="s">
        <v>928</v>
      </c>
      <c r="D29" s="247">
        <v>4.0</v>
      </c>
      <c r="E29" s="247">
        <v>7.0</v>
      </c>
      <c r="F29" s="247">
        <v>1.0</v>
      </c>
      <c r="H29" s="127">
        <v>25.0</v>
      </c>
      <c r="I29" s="159">
        <f t="shared" si="2"/>
        <v>70</v>
      </c>
      <c r="J29" s="147" t="str">
        <f t="shared" si="3"/>
        <v>R_COMB-070</v>
      </c>
      <c r="K29" s="167">
        <f t="shared" si="4"/>
        <v>1</v>
      </c>
    </row>
    <row r="30">
      <c r="A30" s="246" t="str">
        <f t="shared" si="6"/>
        <v>TUNKCOMB026</v>
      </c>
      <c r="B30" s="58" t="str">
        <f>VLOOKUP(A30,'ALL Tube Results'!A$2:B38,2,FALSE)</f>
        <v>#N/A</v>
      </c>
      <c r="C30" s="6" t="s">
        <v>929</v>
      </c>
      <c r="D30" s="247">
        <v>4.0</v>
      </c>
      <c r="E30" s="247">
        <v>2.0</v>
      </c>
      <c r="F30" s="247">
        <v>4.0</v>
      </c>
      <c r="H30" s="127">
        <v>26.0</v>
      </c>
      <c r="I30" s="159">
        <f t="shared" si="2"/>
        <v>72</v>
      </c>
      <c r="J30" s="147" t="str">
        <f t="shared" si="3"/>
        <v>R_COMB-072</v>
      </c>
      <c r="K30" s="167">
        <f t="shared" si="4"/>
        <v>1</v>
      </c>
    </row>
    <row r="31">
      <c r="A31" s="246" t="str">
        <f t="shared" si="6"/>
        <v>TUNKCOMB027</v>
      </c>
      <c r="B31" s="58" t="str">
        <f>VLOOKUP(A31,'ALL Tube Results'!A$2:B38,2,FALSE)</f>
        <v>#N/A</v>
      </c>
      <c r="C31" s="6" t="s">
        <v>930</v>
      </c>
      <c r="D31" s="247">
        <v>4.0</v>
      </c>
      <c r="E31" s="247">
        <v>5.0</v>
      </c>
      <c r="F31" s="247">
        <v>4.0</v>
      </c>
      <c r="H31" s="127">
        <v>27.0</v>
      </c>
      <c r="I31" s="159">
        <f t="shared" si="2"/>
        <v>80</v>
      </c>
      <c r="J31" s="147" t="str">
        <f t="shared" si="3"/>
        <v>R_COMB-080</v>
      </c>
      <c r="K31" s="167">
        <f t="shared" si="4"/>
        <v>2</v>
      </c>
    </row>
    <row r="32">
      <c r="A32" s="246" t="str">
        <f t="shared" si="6"/>
        <v>TUNKCOMB028</v>
      </c>
      <c r="B32" s="58" t="str">
        <f>VLOOKUP(A32,'ALL Tube Results'!A$2:B38,2,FALSE)</f>
        <v>#N/A</v>
      </c>
      <c r="C32" s="6" t="s">
        <v>930</v>
      </c>
      <c r="D32" s="247">
        <v>4.0</v>
      </c>
      <c r="E32" s="247">
        <v>4.0</v>
      </c>
      <c r="F32" s="247">
        <v>4.0</v>
      </c>
      <c r="H32" s="127">
        <v>28.0</v>
      </c>
      <c r="I32" s="159">
        <f t="shared" si="2"/>
        <v>80</v>
      </c>
      <c r="J32" s="147" t="str">
        <f t="shared" si="3"/>
        <v/>
      </c>
      <c r="K32" s="167">
        <f t="shared" si="4"/>
        <v>0</v>
      </c>
    </row>
    <row r="33">
      <c r="A33" s="246" t="str">
        <f t="shared" si="6"/>
        <v>TUNKCOMB029</v>
      </c>
      <c r="B33" s="58" t="str">
        <f>VLOOKUP(A33,'ALL Tube Results'!A$2:B38,2,FALSE)</f>
        <v>#N/A</v>
      </c>
      <c r="C33" s="6" t="s">
        <v>931</v>
      </c>
      <c r="D33" s="247">
        <v>4.0</v>
      </c>
      <c r="E33" s="247">
        <v>7.1</v>
      </c>
      <c r="F33" s="247">
        <v>4.0</v>
      </c>
      <c r="H33" s="127">
        <v>29.0</v>
      </c>
      <c r="I33" s="159">
        <f t="shared" si="2"/>
        <v>82</v>
      </c>
      <c r="J33" s="147" t="str">
        <f t="shared" si="3"/>
        <v>R_COMB-082</v>
      </c>
      <c r="K33" s="167">
        <f t="shared" si="4"/>
        <v>1</v>
      </c>
    </row>
    <row r="34">
      <c r="A34" s="246" t="str">
        <f t="shared" si="6"/>
        <v>TUNKCOMB030</v>
      </c>
      <c r="B34" s="58" t="str">
        <f>VLOOKUP(A34,'ALL Tube Results'!A$2:B38,2,FALSE)</f>
        <v>#N/A</v>
      </c>
      <c r="C34" s="6" t="s">
        <v>932</v>
      </c>
      <c r="D34" s="247">
        <v>4.0</v>
      </c>
      <c r="E34" s="247">
        <v>7.1</v>
      </c>
      <c r="F34" s="247">
        <v>4.0</v>
      </c>
      <c r="H34" s="127">
        <v>30.0</v>
      </c>
      <c r="I34" s="159">
        <f t="shared" si="2"/>
        <v>85</v>
      </c>
      <c r="J34" s="147" t="str">
        <f t="shared" si="3"/>
        <v>R_COMB-085</v>
      </c>
      <c r="K34" s="167">
        <f t="shared" si="4"/>
        <v>2</v>
      </c>
    </row>
    <row r="35">
      <c r="A35" s="246" t="str">
        <f t="shared" si="6"/>
        <v>TUNKCOMB031</v>
      </c>
      <c r="B35" s="58" t="str">
        <f>VLOOKUP(A35,'ALL Tube Results'!A$2:B38,2,FALSE)</f>
        <v>#N/A</v>
      </c>
      <c r="C35" s="6" t="s">
        <v>932</v>
      </c>
      <c r="D35" s="247">
        <v>4.0</v>
      </c>
      <c r="E35" s="247">
        <v>7.1</v>
      </c>
      <c r="F35" s="247">
        <v>4.0</v>
      </c>
      <c r="H35" s="127">
        <v>31.0</v>
      </c>
      <c r="I35" s="159">
        <f t="shared" si="2"/>
        <v>85</v>
      </c>
      <c r="J35" s="147" t="str">
        <f t="shared" si="3"/>
        <v/>
      </c>
      <c r="K35" s="167">
        <f t="shared" si="4"/>
        <v>0</v>
      </c>
    </row>
    <row r="36">
      <c r="A36" s="246" t="str">
        <f t="shared" si="6"/>
        <v>TUNKCOMB032</v>
      </c>
      <c r="B36" s="58" t="str">
        <f>VLOOKUP(A36,'ALL Tube Results'!A$2:B38,2,FALSE)</f>
        <v>#N/A</v>
      </c>
      <c r="C36" s="6" t="s">
        <v>933</v>
      </c>
      <c r="D36" s="247">
        <v>4.0</v>
      </c>
      <c r="E36" s="247">
        <v>2.0</v>
      </c>
      <c r="F36" s="247">
        <v>4.0</v>
      </c>
      <c r="H36" s="127">
        <v>32.0</v>
      </c>
      <c r="I36" s="159">
        <f t="shared" si="2"/>
        <v>88</v>
      </c>
      <c r="J36" s="147" t="str">
        <f t="shared" si="3"/>
        <v>R_COMB-088</v>
      </c>
      <c r="K36" s="167">
        <f t="shared" si="4"/>
        <v>1</v>
      </c>
    </row>
    <row r="37">
      <c r="A37" s="246" t="str">
        <f t="shared" si="6"/>
        <v>TUNKCOMB033</v>
      </c>
      <c r="B37" s="58" t="str">
        <f>VLOOKUP(A37,'ALL Tube Results'!A$2:B38,2,FALSE)</f>
        <v>#N/A</v>
      </c>
      <c r="C37" s="6" t="s">
        <v>934</v>
      </c>
      <c r="D37" s="247">
        <v>4.0</v>
      </c>
      <c r="E37" s="247">
        <v>7.1</v>
      </c>
      <c r="F37" s="247">
        <v>4.0</v>
      </c>
      <c r="H37" s="127">
        <v>33.0</v>
      </c>
      <c r="I37" s="159">
        <f t="shared" si="2"/>
        <v>92</v>
      </c>
      <c r="J37" s="147" t="str">
        <f t="shared" si="3"/>
        <v>R_COMB-092</v>
      </c>
      <c r="K37" s="167">
        <f t="shared" si="4"/>
        <v>2</v>
      </c>
    </row>
    <row r="38">
      <c r="A38" s="246" t="str">
        <f t="shared" si="6"/>
        <v>TUNKCOMB034</v>
      </c>
      <c r="B38" s="58" t="str">
        <f>VLOOKUP(A38,'ALL Tube Results'!A$2:B38,2,FALSE)</f>
        <v>#N/A</v>
      </c>
      <c r="C38" s="6" t="s">
        <v>934</v>
      </c>
      <c r="D38" s="247">
        <v>4.0</v>
      </c>
      <c r="E38" s="247">
        <v>2.0</v>
      </c>
      <c r="F38" s="247">
        <v>4.0</v>
      </c>
      <c r="H38" s="127">
        <v>34.0</v>
      </c>
      <c r="I38" s="159">
        <f t="shared" si="2"/>
        <v>92</v>
      </c>
      <c r="J38" s="147" t="str">
        <f t="shared" si="3"/>
        <v/>
      </c>
      <c r="K38" s="167">
        <f t="shared" si="4"/>
        <v>0</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4" max="4" width="45.75"/>
    <col customWidth="1" min="11" max="11" width="16.75"/>
    <col customWidth="1" min="12" max="12" width="34.5"/>
    <col customWidth="1" min="13" max="13" width="18.75"/>
    <col customWidth="1" min="15" max="15" width="18.63"/>
    <col customWidth="1" min="16" max="16" width="41.63"/>
    <col customWidth="1" min="18" max="18" width="16.63"/>
    <col customWidth="1" min="19" max="26" width="8.63"/>
  </cols>
  <sheetData>
    <row r="1">
      <c r="A1" s="102" t="s">
        <v>935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row>
    <row r="2">
      <c r="A2" s="149"/>
      <c r="B2" s="51"/>
      <c r="C2" s="51"/>
      <c r="D2" s="51"/>
      <c r="E2" s="51"/>
      <c r="F2" s="51"/>
      <c r="G2" s="51"/>
      <c r="H2" s="51"/>
      <c r="I2" s="51"/>
      <c r="J2" s="51"/>
      <c r="K2" s="51"/>
      <c r="L2" s="250"/>
      <c r="M2" s="250"/>
      <c r="N2" s="250"/>
      <c r="O2" s="51"/>
      <c r="P2" s="51"/>
      <c r="Q2" s="51"/>
      <c r="R2" s="51"/>
      <c r="S2" s="51"/>
      <c r="T2" s="51"/>
      <c r="U2" s="51"/>
      <c r="V2" s="51"/>
      <c r="W2" s="51"/>
      <c r="X2" s="51"/>
      <c r="Y2" s="51"/>
      <c r="Z2" s="51"/>
      <c r="AA2" s="51"/>
      <c r="AB2" s="51"/>
      <c r="AC2" s="51"/>
      <c r="AD2" s="51"/>
    </row>
    <row r="3">
      <c r="A3" s="51"/>
      <c r="B3" s="251" t="s">
        <v>936</v>
      </c>
      <c r="C3" s="252" t="s">
        <v>937</v>
      </c>
      <c r="D3" s="149"/>
      <c r="E3" s="149"/>
      <c r="F3" s="51"/>
      <c r="G3" s="51"/>
      <c r="H3" s="51"/>
      <c r="I3" s="51"/>
      <c r="J3" s="51"/>
      <c r="K3" s="253"/>
      <c r="L3" s="254" t="s">
        <v>938</v>
      </c>
      <c r="M3" s="255" t="s">
        <v>179</v>
      </c>
      <c r="N3" s="255" t="s">
        <v>939</v>
      </c>
      <c r="O3" s="51"/>
      <c r="P3" s="51"/>
      <c r="Q3" s="51"/>
      <c r="R3" s="256" t="s">
        <v>940</v>
      </c>
      <c r="S3" s="257" t="s">
        <v>203</v>
      </c>
      <c r="T3" s="257" t="s">
        <v>941</v>
      </c>
      <c r="U3" s="258" t="s">
        <v>942</v>
      </c>
      <c r="V3" s="259"/>
      <c r="W3" s="260"/>
      <c r="X3" s="258" t="s">
        <v>943</v>
      </c>
      <c r="Y3" s="259"/>
      <c r="Z3" s="260"/>
      <c r="AA3" s="51"/>
      <c r="AB3" s="51"/>
      <c r="AC3" s="51"/>
      <c r="AD3" s="51"/>
    </row>
    <row r="4">
      <c r="A4" s="51"/>
      <c r="B4" s="155" t="b">
        <v>0</v>
      </c>
      <c r="C4" s="261" t="s">
        <v>944</v>
      </c>
      <c r="D4" s="262"/>
      <c r="E4" s="262"/>
      <c r="F4" s="51"/>
      <c r="G4" s="51"/>
      <c r="H4" s="51"/>
      <c r="I4" s="51"/>
      <c r="J4" s="51"/>
      <c r="K4" s="253"/>
      <c r="L4" s="263" t="s">
        <v>203</v>
      </c>
      <c r="M4" s="264" t="s">
        <v>945</v>
      </c>
      <c r="N4" s="264" t="s">
        <v>946</v>
      </c>
      <c r="O4" s="51"/>
      <c r="P4" s="51"/>
      <c r="Q4" s="51"/>
      <c r="R4" s="265">
        <v>1.0</v>
      </c>
      <c r="S4" s="266" t="s">
        <v>947</v>
      </c>
      <c r="T4" s="266" t="s">
        <v>947</v>
      </c>
      <c r="U4" s="266" t="s">
        <v>948</v>
      </c>
      <c r="V4" s="266"/>
      <c r="W4" s="266"/>
      <c r="X4" s="267"/>
      <c r="Y4" s="267"/>
      <c r="Z4" s="267"/>
      <c r="AA4" s="268" t="s">
        <v>949</v>
      </c>
      <c r="AB4" s="268"/>
      <c r="AC4" s="268"/>
      <c r="AD4" s="268"/>
    </row>
    <row r="5">
      <c r="A5" s="149"/>
      <c r="B5" s="155" t="b">
        <v>0</v>
      </c>
      <c r="C5" s="269" t="s">
        <v>950</v>
      </c>
      <c r="D5" s="262"/>
      <c r="E5" s="262"/>
      <c r="F5" s="51"/>
      <c r="G5" s="51"/>
      <c r="H5" s="51"/>
      <c r="I5" s="51"/>
      <c r="J5" s="51"/>
      <c r="K5" s="253"/>
      <c r="L5" s="263" t="s">
        <v>216</v>
      </c>
      <c r="M5" s="264" t="s">
        <v>951</v>
      </c>
      <c r="N5" s="264" t="s">
        <v>952</v>
      </c>
      <c r="O5" s="149"/>
      <c r="P5" s="51"/>
      <c r="Q5" s="51"/>
      <c r="R5" s="270">
        <v>1.1</v>
      </c>
      <c r="S5" s="271" t="s">
        <v>947</v>
      </c>
      <c r="T5" s="271" t="s">
        <v>947</v>
      </c>
      <c r="U5" s="271" t="s">
        <v>947</v>
      </c>
      <c r="V5" s="271" t="s">
        <v>947</v>
      </c>
      <c r="W5" s="271" t="s">
        <v>947</v>
      </c>
      <c r="X5" s="267"/>
      <c r="Y5" s="267"/>
      <c r="Z5" s="267"/>
      <c r="AA5" s="261" t="s">
        <v>953</v>
      </c>
      <c r="AB5" s="268"/>
      <c r="AC5" s="268"/>
      <c r="AD5" s="268"/>
    </row>
    <row r="6">
      <c r="A6" s="149"/>
      <c r="B6" s="149"/>
      <c r="C6" s="262"/>
      <c r="D6" s="269" t="s">
        <v>954</v>
      </c>
      <c r="E6" s="262"/>
      <c r="F6" s="51"/>
      <c r="G6" s="51"/>
      <c r="H6" s="51"/>
      <c r="I6" s="51"/>
      <c r="J6" s="51"/>
      <c r="K6" s="253"/>
      <c r="L6" s="263"/>
      <c r="M6" s="264" t="s">
        <v>955</v>
      </c>
      <c r="N6" s="264" t="s">
        <v>956</v>
      </c>
      <c r="O6" s="149"/>
      <c r="P6" s="51"/>
      <c r="Q6" s="51"/>
      <c r="R6" s="265">
        <v>2.0</v>
      </c>
      <c r="S6" s="266" t="s">
        <v>17</v>
      </c>
      <c r="T6" s="266" t="s">
        <v>947</v>
      </c>
      <c r="U6" s="266" t="s">
        <v>947</v>
      </c>
      <c r="V6" s="266" t="s">
        <v>947</v>
      </c>
      <c r="W6" s="266" t="s">
        <v>947</v>
      </c>
      <c r="X6" s="267"/>
      <c r="Y6" s="267"/>
      <c r="Z6" s="267"/>
      <c r="AA6" s="268" t="s">
        <v>957</v>
      </c>
      <c r="AB6" s="272"/>
      <c r="AC6" s="272"/>
      <c r="AD6" s="272"/>
    </row>
    <row r="7">
      <c r="A7" s="149"/>
      <c r="B7" s="155" t="b">
        <v>0</v>
      </c>
      <c r="C7" s="261" t="s">
        <v>958</v>
      </c>
      <c r="D7" s="262"/>
      <c r="E7" s="262"/>
      <c r="F7" s="51"/>
      <c r="G7" s="51"/>
      <c r="H7" s="51"/>
      <c r="I7" s="51"/>
      <c r="J7" s="51"/>
      <c r="K7" s="253"/>
      <c r="L7" s="273"/>
      <c r="M7" s="274" t="s">
        <v>959</v>
      </c>
      <c r="N7" s="264" t="s">
        <v>960</v>
      </c>
      <c r="O7" s="149"/>
      <c r="P7" s="51"/>
      <c r="Q7" s="51"/>
      <c r="R7" s="265">
        <v>2.1</v>
      </c>
      <c r="S7" s="266" t="s">
        <v>17</v>
      </c>
      <c r="T7" s="266" t="s">
        <v>947</v>
      </c>
      <c r="U7" s="266" t="s">
        <v>17</v>
      </c>
      <c r="V7" s="266" t="s">
        <v>947</v>
      </c>
      <c r="W7" s="266" t="s">
        <v>947</v>
      </c>
      <c r="X7" s="267"/>
      <c r="Y7" s="267"/>
      <c r="Z7" s="267"/>
      <c r="AA7" s="272" t="s">
        <v>961</v>
      </c>
      <c r="AB7" s="268"/>
      <c r="AC7" s="268"/>
      <c r="AD7" s="268"/>
    </row>
    <row r="8">
      <c r="A8" s="149"/>
      <c r="B8" s="251"/>
      <c r="C8" s="262" t="s">
        <v>962</v>
      </c>
      <c r="D8" s="275" t="s">
        <v>935</v>
      </c>
      <c r="E8" s="262"/>
      <c r="F8" s="51"/>
      <c r="G8" s="51"/>
      <c r="H8" s="51"/>
      <c r="I8" s="51"/>
      <c r="J8" s="51"/>
      <c r="K8" s="253"/>
      <c r="L8" s="273"/>
      <c r="M8" s="274" t="s">
        <v>963</v>
      </c>
      <c r="N8" s="274"/>
      <c r="O8" s="149"/>
      <c r="P8" s="51"/>
      <c r="Q8" s="51"/>
      <c r="R8" s="265">
        <v>2.2</v>
      </c>
      <c r="S8" s="266" t="s">
        <v>17</v>
      </c>
      <c r="T8" s="266" t="s">
        <v>947</v>
      </c>
      <c r="U8" s="266" t="s">
        <v>964</v>
      </c>
      <c r="V8" s="266" t="s">
        <v>964</v>
      </c>
      <c r="W8" s="266" t="s">
        <v>964</v>
      </c>
      <c r="X8" s="276" t="s">
        <v>947</v>
      </c>
      <c r="Y8" s="276" t="s">
        <v>947</v>
      </c>
      <c r="Z8" s="276" t="s">
        <v>947</v>
      </c>
      <c r="AA8" s="268" t="s">
        <v>965</v>
      </c>
      <c r="AB8" s="272"/>
      <c r="AC8" s="272"/>
      <c r="AD8" s="272"/>
    </row>
    <row r="9">
      <c r="A9" s="149"/>
      <c r="B9" s="251"/>
      <c r="C9" s="262"/>
      <c r="D9" s="262"/>
      <c r="E9" s="262"/>
      <c r="F9" s="51"/>
      <c r="G9" s="51"/>
      <c r="H9" s="51"/>
      <c r="I9" s="51"/>
      <c r="J9" s="51"/>
      <c r="K9" s="253"/>
      <c r="L9" s="277"/>
      <c r="M9" s="278" t="s">
        <v>966</v>
      </c>
      <c r="N9" s="277"/>
      <c r="O9" s="149"/>
      <c r="P9" s="51"/>
      <c r="Q9" s="51"/>
      <c r="R9" s="270">
        <v>2.3</v>
      </c>
      <c r="S9" s="271" t="s">
        <v>967</v>
      </c>
      <c r="T9" s="271" t="s">
        <v>947</v>
      </c>
      <c r="U9" s="266" t="s">
        <v>948</v>
      </c>
      <c r="V9" s="266"/>
      <c r="W9" s="266"/>
      <c r="X9" s="276"/>
      <c r="Y9" s="276"/>
      <c r="Z9" s="276"/>
      <c r="AA9" s="272"/>
      <c r="AB9" s="272"/>
      <c r="AC9" s="272"/>
      <c r="AD9" s="272"/>
    </row>
    <row r="10">
      <c r="A10" s="149"/>
      <c r="B10" s="279" t="s">
        <v>968</v>
      </c>
      <c r="C10" s="262"/>
      <c r="D10" s="262"/>
      <c r="E10" s="262"/>
      <c r="F10" s="51"/>
      <c r="G10" s="51"/>
      <c r="H10" s="51"/>
      <c r="I10" s="51"/>
      <c r="J10" s="51"/>
      <c r="K10" s="51"/>
      <c r="L10" s="51"/>
      <c r="M10" s="102" t="s">
        <v>969</v>
      </c>
      <c r="N10" s="51"/>
      <c r="O10" s="149"/>
      <c r="P10" s="51"/>
      <c r="Q10" s="51"/>
      <c r="R10" s="270">
        <v>2.4</v>
      </c>
      <c r="S10" s="271" t="s">
        <v>17</v>
      </c>
      <c r="T10" s="271" t="s">
        <v>947</v>
      </c>
      <c r="U10" s="280" t="s">
        <v>970</v>
      </c>
      <c r="V10" s="266"/>
      <c r="W10" s="266"/>
      <c r="X10" s="276"/>
      <c r="Y10" s="276"/>
      <c r="Z10" s="276"/>
      <c r="AA10" s="272"/>
      <c r="AB10" s="268"/>
      <c r="AC10" s="268"/>
      <c r="AD10" s="268"/>
    </row>
    <row r="11">
      <c r="A11" s="149"/>
      <c r="B11" s="281" t="b">
        <v>0</v>
      </c>
      <c r="C11" s="269" t="s">
        <v>971</v>
      </c>
      <c r="D11" s="262"/>
      <c r="E11" s="262"/>
      <c r="F11" s="51"/>
      <c r="G11" s="51"/>
      <c r="H11" s="51"/>
      <c r="I11" s="51"/>
      <c r="J11" s="51"/>
      <c r="K11" s="51"/>
      <c r="L11" s="51"/>
      <c r="M11" s="51"/>
      <c r="N11" s="51"/>
      <c r="O11" s="149"/>
      <c r="P11" s="51"/>
      <c r="Q11" s="51"/>
      <c r="R11" s="265">
        <v>3.0</v>
      </c>
      <c r="S11" s="266" t="s">
        <v>17</v>
      </c>
      <c r="T11" s="266" t="s">
        <v>17</v>
      </c>
      <c r="U11" s="266" t="s">
        <v>948</v>
      </c>
      <c r="V11" s="266"/>
      <c r="W11" s="266"/>
      <c r="X11" s="276"/>
      <c r="Y11" s="276"/>
      <c r="Z11" s="276"/>
      <c r="AA11" s="272" t="s">
        <v>972</v>
      </c>
      <c r="AB11" s="268"/>
      <c r="AC11" s="268"/>
      <c r="AD11" s="272"/>
    </row>
    <row r="12">
      <c r="A12" s="149"/>
      <c r="B12" s="149"/>
      <c r="C12" s="272"/>
      <c r="D12" s="269" t="s">
        <v>973</v>
      </c>
      <c r="E12" s="262"/>
      <c r="F12" s="51"/>
      <c r="G12" s="51"/>
      <c r="H12" s="51"/>
      <c r="I12" s="51"/>
      <c r="J12" s="51"/>
      <c r="K12" s="282" t="s">
        <v>974</v>
      </c>
      <c r="L12" s="250"/>
      <c r="M12" s="51"/>
      <c r="N12" s="51"/>
      <c r="O12" s="283" t="s">
        <v>152</v>
      </c>
      <c r="P12" s="284"/>
      <c r="Q12" s="51"/>
      <c r="R12" s="265">
        <v>3.1</v>
      </c>
      <c r="S12" s="266" t="s">
        <v>17</v>
      </c>
      <c r="T12" s="266" t="s">
        <v>17</v>
      </c>
      <c r="U12" s="266" t="s">
        <v>975</v>
      </c>
      <c r="V12" s="266" t="s">
        <v>975</v>
      </c>
      <c r="W12" s="266" t="s">
        <v>975</v>
      </c>
      <c r="X12" s="276"/>
      <c r="Y12" s="276"/>
      <c r="Z12" s="276"/>
      <c r="AA12" s="268" t="s">
        <v>976</v>
      </c>
      <c r="AB12" s="272"/>
      <c r="AC12" s="272"/>
      <c r="AD12" s="268"/>
    </row>
    <row r="13">
      <c r="A13" s="149"/>
      <c r="B13" s="281" t="b">
        <v>0</v>
      </c>
      <c r="C13" s="261" t="s">
        <v>977</v>
      </c>
      <c r="D13" s="262"/>
      <c r="E13" s="262"/>
      <c r="F13" s="51"/>
      <c r="G13" s="51"/>
      <c r="H13" s="51"/>
      <c r="I13" s="51"/>
      <c r="J13" s="285" t="s">
        <v>978</v>
      </c>
      <c r="K13" s="286" t="s">
        <v>979</v>
      </c>
      <c r="L13" s="287" t="s">
        <v>980</v>
      </c>
      <c r="M13" s="51"/>
      <c r="N13" s="51"/>
      <c r="O13" s="288">
        <v>1.1</v>
      </c>
      <c r="P13" s="289" t="s">
        <v>981</v>
      </c>
      <c r="Q13" s="51"/>
      <c r="R13" s="265">
        <v>3.2</v>
      </c>
      <c r="S13" s="266" t="s">
        <v>17</v>
      </c>
      <c r="T13" s="266" t="s">
        <v>17</v>
      </c>
      <c r="U13" s="266" t="s">
        <v>964</v>
      </c>
      <c r="V13" s="266" t="s">
        <v>964</v>
      </c>
      <c r="W13" s="266" t="s">
        <v>964</v>
      </c>
      <c r="X13" s="276"/>
      <c r="Y13" s="276"/>
      <c r="Z13" s="276"/>
      <c r="AA13" s="272" t="s">
        <v>982</v>
      </c>
      <c r="AB13" s="268"/>
      <c r="AC13" s="268"/>
      <c r="AD13" s="272"/>
    </row>
    <row r="14">
      <c r="A14" s="149"/>
      <c r="B14" s="155" t="b">
        <v>0</v>
      </c>
      <c r="C14" s="269" t="s">
        <v>983</v>
      </c>
      <c r="D14" s="262"/>
      <c r="E14" s="262"/>
      <c r="F14" s="51"/>
      <c r="G14" s="51"/>
      <c r="H14" s="51"/>
      <c r="I14" s="51"/>
      <c r="J14" s="290">
        <v>0.0</v>
      </c>
      <c r="K14" s="285">
        <v>1.0</v>
      </c>
      <c r="L14" s="272" t="s">
        <v>984</v>
      </c>
      <c r="M14" s="291"/>
      <c r="N14" s="292"/>
      <c r="O14" s="288">
        <v>1.2</v>
      </c>
      <c r="P14" s="289" t="s">
        <v>985</v>
      </c>
      <c r="Q14" s="51"/>
      <c r="R14" s="265">
        <v>3.3</v>
      </c>
      <c r="S14" s="266" t="s">
        <v>17</v>
      </c>
      <c r="T14" s="266" t="s">
        <v>17</v>
      </c>
      <c r="U14" s="266" t="s">
        <v>964</v>
      </c>
      <c r="V14" s="266" t="s">
        <v>964</v>
      </c>
      <c r="W14" s="266" t="s">
        <v>964</v>
      </c>
      <c r="X14" s="276" t="s">
        <v>964</v>
      </c>
      <c r="Y14" s="276" t="s">
        <v>964</v>
      </c>
      <c r="Z14" s="276" t="s">
        <v>964</v>
      </c>
      <c r="AA14" s="268" t="s">
        <v>986</v>
      </c>
      <c r="AB14" s="272"/>
      <c r="AC14" s="272"/>
      <c r="AD14" s="268"/>
    </row>
    <row r="15">
      <c r="A15" s="149"/>
      <c r="B15" s="281" t="b">
        <v>0</v>
      </c>
      <c r="C15" s="269"/>
      <c r="D15" s="293" t="s">
        <v>987</v>
      </c>
      <c r="E15" s="262"/>
      <c r="F15" s="51"/>
      <c r="G15" s="51"/>
      <c r="H15" s="51"/>
      <c r="I15" s="51"/>
      <c r="J15" s="290">
        <v>0.1</v>
      </c>
      <c r="K15" s="285">
        <v>2.0</v>
      </c>
      <c r="L15" s="272" t="s">
        <v>988</v>
      </c>
      <c r="M15" s="291"/>
      <c r="N15" s="292"/>
      <c r="O15" s="288">
        <v>1.3</v>
      </c>
      <c r="P15" s="289" t="s">
        <v>989</v>
      </c>
      <c r="Q15" s="51"/>
      <c r="R15" s="265">
        <v>4.0</v>
      </c>
      <c r="S15" s="266" t="s">
        <v>17</v>
      </c>
      <c r="T15" s="266" t="s">
        <v>16</v>
      </c>
      <c r="U15" s="266" t="s">
        <v>964</v>
      </c>
      <c r="V15" s="266" t="s">
        <v>964</v>
      </c>
      <c r="W15" s="266" t="s">
        <v>964</v>
      </c>
      <c r="X15" s="276"/>
      <c r="Y15" s="276"/>
      <c r="Z15" s="276"/>
      <c r="AA15" s="272" t="s">
        <v>990</v>
      </c>
      <c r="AB15" s="268"/>
      <c r="AC15" s="268"/>
      <c r="AD15" s="272"/>
    </row>
    <row r="16">
      <c r="A16" s="149"/>
      <c r="B16" s="281" t="b">
        <v>0</v>
      </c>
      <c r="C16" s="269"/>
      <c r="D16" s="293" t="s">
        <v>991</v>
      </c>
      <c r="E16" s="262"/>
      <c r="F16" s="51"/>
      <c r="G16" s="51"/>
      <c r="H16" s="51"/>
      <c r="I16" s="51"/>
      <c r="J16" s="290">
        <v>0.2</v>
      </c>
      <c r="K16" s="285">
        <v>3.0</v>
      </c>
      <c r="L16" s="272" t="s">
        <v>992</v>
      </c>
      <c r="M16" s="291"/>
      <c r="N16" s="292"/>
      <c r="O16" s="288">
        <v>1.4</v>
      </c>
      <c r="P16" s="289" t="s">
        <v>993</v>
      </c>
      <c r="Q16" s="51"/>
      <c r="R16" s="265">
        <v>4.1</v>
      </c>
      <c r="S16" s="266" t="s">
        <v>17</v>
      </c>
      <c r="T16" s="266" t="s">
        <v>16</v>
      </c>
      <c r="U16" s="266" t="s">
        <v>964</v>
      </c>
      <c r="V16" s="266" t="s">
        <v>964</v>
      </c>
      <c r="W16" s="266" t="s">
        <v>964</v>
      </c>
      <c r="X16" s="276" t="s">
        <v>964</v>
      </c>
      <c r="Y16" s="276" t="s">
        <v>964</v>
      </c>
      <c r="Z16" s="276" t="s">
        <v>964</v>
      </c>
      <c r="AA16" s="268" t="s">
        <v>994</v>
      </c>
      <c r="AB16" s="272"/>
      <c r="AC16" s="272"/>
      <c r="AD16" s="272"/>
    </row>
    <row r="17">
      <c r="A17" s="149"/>
      <c r="B17" s="155" t="b">
        <v>0</v>
      </c>
      <c r="C17" s="269" t="s">
        <v>995</v>
      </c>
      <c r="D17" s="262"/>
      <c r="E17" s="262"/>
      <c r="F17" s="51"/>
      <c r="G17" s="51"/>
      <c r="H17" s="51"/>
      <c r="I17" s="51"/>
      <c r="J17" s="290">
        <v>0.3</v>
      </c>
      <c r="K17" s="285">
        <v>4.0</v>
      </c>
      <c r="L17" s="272" t="s">
        <v>996</v>
      </c>
      <c r="M17" s="291"/>
      <c r="N17" s="292"/>
      <c r="O17" s="288">
        <v>1.5</v>
      </c>
      <c r="P17" s="294" t="s">
        <v>997</v>
      </c>
      <c r="Q17" s="51"/>
      <c r="R17" s="265">
        <v>5.0</v>
      </c>
      <c r="S17" s="266" t="s">
        <v>16</v>
      </c>
      <c r="T17" s="266" t="s">
        <v>947</v>
      </c>
      <c r="U17" s="266" t="s">
        <v>947</v>
      </c>
      <c r="V17" s="266" t="s">
        <v>947</v>
      </c>
      <c r="W17" s="266" t="s">
        <v>947</v>
      </c>
      <c r="X17" s="276"/>
      <c r="Y17" s="276"/>
      <c r="Z17" s="276"/>
      <c r="AA17" s="272" t="s">
        <v>998</v>
      </c>
      <c r="AB17" s="272"/>
      <c r="AC17" s="272"/>
      <c r="AD17" s="268"/>
    </row>
    <row r="18">
      <c r="A18" s="149"/>
      <c r="B18" s="149"/>
      <c r="C18" s="262"/>
      <c r="D18" s="269" t="s">
        <v>999</v>
      </c>
      <c r="E18" s="262"/>
      <c r="F18" s="51"/>
      <c r="G18" s="51"/>
      <c r="H18" s="51"/>
      <c r="I18" s="51"/>
      <c r="J18" s="253"/>
      <c r="K18" s="285">
        <v>5.0</v>
      </c>
      <c r="L18" s="293" t="s">
        <v>1000</v>
      </c>
      <c r="M18" s="291"/>
      <c r="N18" s="292"/>
      <c r="O18" s="288">
        <v>1.6</v>
      </c>
      <c r="P18" s="289" t="s">
        <v>1001</v>
      </c>
      <c r="Q18" s="51"/>
      <c r="R18" s="265">
        <v>6.0</v>
      </c>
      <c r="S18" s="266" t="s">
        <v>16</v>
      </c>
      <c r="T18" s="266" t="s">
        <v>17</v>
      </c>
      <c r="U18" s="266" t="s">
        <v>964</v>
      </c>
      <c r="V18" s="266" t="s">
        <v>964</v>
      </c>
      <c r="W18" s="266" t="s">
        <v>964</v>
      </c>
      <c r="X18" s="276"/>
      <c r="Y18" s="276"/>
      <c r="Z18" s="276"/>
      <c r="AA18" s="272" t="s">
        <v>1002</v>
      </c>
      <c r="AB18" s="268"/>
      <c r="AC18" s="268"/>
      <c r="AD18" s="268"/>
    </row>
    <row r="19">
      <c r="A19" s="149"/>
      <c r="B19" s="155" t="b">
        <v>0</v>
      </c>
      <c r="C19" s="261" t="s">
        <v>1003</v>
      </c>
      <c r="D19" s="262"/>
      <c r="E19" s="262"/>
      <c r="F19" s="51"/>
      <c r="G19" s="51"/>
      <c r="H19" s="51"/>
      <c r="I19" s="51"/>
      <c r="J19" s="253"/>
      <c r="K19" s="285">
        <v>6.0</v>
      </c>
      <c r="L19" s="293" t="s">
        <v>1004</v>
      </c>
      <c r="M19" s="291"/>
      <c r="N19" s="292"/>
      <c r="O19" s="288">
        <v>1.7</v>
      </c>
      <c r="P19" s="289" t="s">
        <v>1005</v>
      </c>
      <c r="Q19" s="51"/>
      <c r="R19" s="265">
        <v>6.1</v>
      </c>
      <c r="S19" s="266" t="s">
        <v>16</v>
      </c>
      <c r="T19" s="266" t="s">
        <v>17</v>
      </c>
      <c r="U19" s="266" t="s">
        <v>964</v>
      </c>
      <c r="V19" s="266" t="s">
        <v>964</v>
      </c>
      <c r="W19" s="266" t="s">
        <v>964</v>
      </c>
      <c r="X19" s="276" t="s">
        <v>964</v>
      </c>
      <c r="Y19" s="276" t="s">
        <v>964</v>
      </c>
      <c r="Z19" s="276" t="s">
        <v>964</v>
      </c>
      <c r="AA19" s="268" t="s">
        <v>1006</v>
      </c>
      <c r="AB19" s="268"/>
      <c r="AC19" s="268"/>
      <c r="AD19" s="272"/>
    </row>
    <row r="20">
      <c r="A20" s="149"/>
      <c r="B20" s="155" t="b">
        <v>0</v>
      </c>
      <c r="C20" s="269" t="s">
        <v>1007</v>
      </c>
      <c r="D20" s="262"/>
      <c r="E20" s="262"/>
      <c r="F20" s="51"/>
      <c r="G20" s="51"/>
      <c r="H20" s="51"/>
      <c r="I20" s="51"/>
      <c r="J20" s="253"/>
      <c r="K20" s="285">
        <v>7.0</v>
      </c>
      <c r="L20" s="293" t="s">
        <v>1008</v>
      </c>
      <c r="M20" s="291"/>
      <c r="N20" s="292"/>
      <c r="O20" s="288">
        <v>1.8</v>
      </c>
      <c r="P20" s="294" t="s">
        <v>1009</v>
      </c>
      <c r="Q20" s="51"/>
      <c r="R20" s="265">
        <v>7.0</v>
      </c>
      <c r="S20" s="266" t="s">
        <v>16</v>
      </c>
      <c r="T20" s="266" t="s">
        <v>16</v>
      </c>
      <c r="U20" s="266" t="s">
        <v>948</v>
      </c>
      <c r="V20" s="266"/>
      <c r="W20" s="266"/>
      <c r="X20" s="267"/>
      <c r="Y20" s="267"/>
      <c r="Z20" s="267"/>
      <c r="AA20" s="268" t="s">
        <v>1010</v>
      </c>
      <c r="AB20" s="272"/>
      <c r="AC20" s="272"/>
      <c r="AD20" s="272"/>
    </row>
    <row r="21">
      <c r="A21" s="149"/>
      <c r="B21" s="149"/>
      <c r="C21" s="272"/>
      <c r="D21" s="269" t="s">
        <v>1011</v>
      </c>
      <c r="E21" s="262"/>
      <c r="F21" s="51"/>
      <c r="G21" s="51"/>
      <c r="H21" s="51"/>
      <c r="I21" s="51"/>
      <c r="J21" s="253"/>
      <c r="K21" s="285">
        <v>8.0</v>
      </c>
      <c r="L21" s="293" t="s">
        <v>1012</v>
      </c>
      <c r="M21" s="291"/>
      <c r="N21" s="154"/>
      <c r="O21" s="288">
        <v>1.9</v>
      </c>
      <c r="P21" s="294" t="s">
        <v>1013</v>
      </c>
      <c r="Q21" s="51"/>
      <c r="R21" s="265">
        <v>7.1</v>
      </c>
      <c r="S21" s="266" t="s">
        <v>16</v>
      </c>
      <c r="T21" s="266" t="s">
        <v>16</v>
      </c>
      <c r="U21" s="266" t="s">
        <v>16</v>
      </c>
      <c r="V21" s="266" t="s">
        <v>16</v>
      </c>
      <c r="W21" s="266" t="s">
        <v>16</v>
      </c>
      <c r="X21" s="267"/>
      <c r="Y21" s="267"/>
      <c r="Z21" s="267"/>
      <c r="AA21" s="272" t="s">
        <v>1014</v>
      </c>
      <c r="AB21" s="272"/>
      <c r="AC21" s="272"/>
      <c r="AD21" s="272"/>
    </row>
    <row r="22">
      <c r="A22" s="149"/>
      <c r="B22" s="149"/>
      <c r="C22" s="272"/>
      <c r="D22" s="269" t="s">
        <v>1015</v>
      </c>
      <c r="E22" s="262"/>
      <c r="F22" s="51"/>
      <c r="G22" s="51"/>
      <c r="H22" s="51"/>
      <c r="I22" s="51"/>
      <c r="J22" s="253"/>
      <c r="K22" s="285">
        <v>9.0</v>
      </c>
      <c r="L22" s="293" t="s">
        <v>1016</v>
      </c>
      <c r="M22" s="291"/>
      <c r="N22" s="292"/>
      <c r="O22" s="288" t="s">
        <v>1017</v>
      </c>
      <c r="P22" s="295" t="s">
        <v>1018</v>
      </c>
      <c r="Q22" s="51"/>
      <c r="R22" s="270">
        <v>7.15</v>
      </c>
      <c r="S22" s="271" t="s">
        <v>16</v>
      </c>
      <c r="T22" s="271" t="s">
        <v>16</v>
      </c>
      <c r="U22" s="280" t="s">
        <v>1019</v>
      </c>
      <c r="V22" s="266"/>
      <c r="W22" s="266"/>
      <c r="X22" s="267"/>
      <c r="Y22" s="267"/>
      <c r="Z22" s="267"/>
      <c r="AA22" s="272"/>
      <c r="AB22" s="272"/>
      <c r="AC22" s="272"/>
      <c r="AD22" s="272"/>
    </row>
    <row r="23">
      <c r="A23" s="149"/>
      <c r="B23" s="155" t="b">
        <v>0</v>
      </c>
      <c r="C23" s="269"/>
      <c r="D23" s="293" t="s">
        <v>1020</v>
      </c>
      <c r="E23" s="262"/>
      <c r="F23" s="51"/>
      <c r="G23" s="51"/>
      <c r="H23" s="51"/>
      <c r="I23" s="51"/>
      <c r="J23" s="253"/>
      <c r="K23" s="285"/>
      <c r="L23" s="293"/>
      <c r="M23" s="291"/>
      <c r="N23" s="292"/>
      <c r="O23" s="283" t="s">
        <v>153</v>
      </c>
      <c r="P23" s="284"/>
      <c r="Q23" s="51"/>
      <c r="R23" s="265">
        <v>7.2</v>
      </c>
      <c r="S23" s="266" t="s">
        <v>16</v>
      </c>
      <c r="T23" s="266" t="s">
        <v>16</v>
      </c>
      <c r="U23" s="266" t="s">
        <v>16</v>
      </c>
      <c r="V23" s="266" t="s">
        <v>16</v>
      </c>
      <c r="W23" s="266" t="s">
        <v>17</v>
      </c>
      <c r="X23" s="267"/>
      <c r="Y23" s="267"/>
      <c r="Z23" s="267"/>
      <c r="AA23" s="272" t="s">
        <v>1021</v>
      </c>
      <c r="AB23" s="272"/>
      <c r="AC23" s="272"/>
      <c r="AD23" s="272"/>
    </row>
    <row r="24">
      <c r="A24" s="149"/>
      <c r="B24" s="155" t="b">
        <v>0</v>
      </c>
      <c r="C24" s="269" t="s">
        <v>1022</v>
      </c>
      <c r="D24" s="262"/>
      <c r="E24" s="262"/>
      <c r="F24" s="51"/>
      <c r="G24" s="51"/>
      <c r="H24" s="51"/>
      <c r="I24" s="51"/>
      <c r="J24" s="253"/>
      <c r="K24" s="296"/>
      <c r="L24" s="272"/>
      <c r="M24" s="291"/>
      <c r="N24" s="292"/>
      <c r="O24" s="288">
        <v>2.1</v>
      </c>
      <c r="P24" s="289" t="s">
        <v>1023</v>
      </c>
      <c r="Q24" s="51"/>
      <c r="R24" s="265">
        <v>7.3</v>
      </c>
      <c r="S24" s="266" t="s">
        <v>16</v>
      </c>
      <c r="T24" s="266" t="s">
        <v>16</v>
      </c>
      <c r="U24" s="266" t="s">
        <v>16</v>
      </c>
      <c r="V24" s="266" t="s">
        <v>16</v>
      </c>
      <c r="W24" s="266" t="s">
        <v>947</v>
      </c>
      <c r="X24" s="267"/>
      <c r="Y24" s="267"/>
      <c r="Z24" s="267"/>
      <c r="AA24" s="272" t="s">
        <v>1024</v>
      </c>
      <c r="AB24" s="272"/>
      <c r="AC24" s="272"/>
      <c r="AD24" s="272"/>
    </row>
    <row r="25">
      <c r="A25" s="149"/>
      <c r="B25" s="155" t="b">
        <v>0</v>
      </c>
      <c r="C25" s="269" t="s">
        <v>1025</v>
      </c>
      <c r="D25" s="262"/>
      <c r="E25" s="262"/>
      <c r="F25" s="51"/>
      <c r="G25" s="51"/>
      <c r="H25" s="51"/>
      <c r="I25" s="51"/>
      <c r="J25" s="51"/>
      <c r="K25" s="297"/>
      <c r="L25" s="250"/>
      <c r="M25" s="291"/>
      <c r="N25" s="292"/>
      <c r="O25" s="288">
        <v>2.2</v>
      </c>
      <c r="P25" s="289" t="s">
        <v>1026</v>
      </c>
      <c r="Q25" s="51"/>
      <c r="R25" s="265">
        <v>7.4</v>
      </c>
      <c r="S25" s="266" t="s">
        <v>16</v>
      </c>
      <c r="T25" s="266" t="s">
        <v>16</v>
      </c>
      <c r="U25" s="266" t="s">
        <v>964</v>
      </c>
      <c r="V25" s="266" t="s">
        <v>964</v>
      </c>
      <c r="W25" s="266" t="s">
        <v>964</v>
      </c>
      <c r="X25" s="267"/>
      <c r="Y25" s="267"/>
      <c r="Z25" s="267"/>
      <c r="AA25" s="268" t="s">
        <v>1027</v>
      </c>
      <c r="AB25" s="272"/>
      <c r="AC25" s="272"/>
      <c r="AD25" s="272"/>
    </row>
    <row r="26">
      <c r="A26" s="149"/>
      <c r="B26" s="251"/>
      <c r="C26" s="251"/>
      <c r="D26" s="251"/>
      <c r="E26" s="251"/>
      <c r="F26" s="251"/>
      <c r="G26" s="251"/>
      <c r="H26" s="251"/>
      <c r="I26" s="51"/>
      <c r="J26" s="51"/>
      <c r="K26" s="298"/>
      <c r="L26" s="51"/>
      <c r="M26" s="51"/>
      <c r="N26" s="292"/>
      <c r="O26" s="288">
        <v>2.3</v>
      </c>
      <c r="P26" s="289" t="s">
        <v>1028</v>
      </c>
      <c r="Q26" s="51"/>
      <c r="R26" s="270">
        <v>7.5</v>
      </c>
      <c r="S26" s="271" t="s">
        <v>1029</v>
      </c>
      <c r="T26" s="271" t="s">
        <v>16</v>
      </c>
      <c r="U26" s="271" t="s">
        <v>948</v>
      </c>
      <c r="V26" s="266"/>
      <c r="W26" s="266"/>
      <c r="X26" s="267"/>
      <c r="Y26" s="267"/>
      <c r="Z26" s="267"/>
      <c r="AA26" s="272"/>
      <c r="AB26" s="272"/>
      <c r="AC26" s="272"/>
      <c r="AD26" s="272"/>
    </row>
    <row r="27">
      <c r="A27" s="149"/>
      <c r="B27" s="279" t="s">
        <v>1030</v>
      </c>
      <c r="C27" s="272"/>
      <c r="D27" s="262"/>
      <c r="E27" s="262"/>
      <c r="F27" s="51"/>
      <c r="G27" s="51"/>
      <c r="H27" s="51"/>
      <c r="I27" s="51"/>
      <c r="J27" s="51"/>
      <c r="K27" s="299"/>
      <c r="L27" s="250"/>
      <c r="M27" s="51"/>
      <c r="N27" s="292"/>
      <c r="O27" s="288">
        <v>2.4</v>
      </c>
      <c r="P27" s="289" t="s">
        <v>1031</v>
      </c>
      <c r="Q27" s="51"/>
      <c r="R27" s="232">
        <v>7.6</v>
      </c>
      <c r="S27" s="271" t="s">
        <v>16</v>
      </c>
      <c r="T27" s="271" t="s">
        <v>947</v>
      </c>
      <c r="U27" s="280" t="s">
        <v>970</v>
      </c>
      <c r="V27" s="266"/>
      <c r="W27" s="266"/>
      <c r="X27" s="267"/>
      <c r="Y27" s="267"/>
      <c r="Z27" s="267"/>
      <c r="AA27" s="272"/>
      <c r="AB27" s="272"/>
      <c r="AC27" s="272"/>
      <c r="AD27" s="268"/>
    </row>
    <row r="28">
      <c r="A28" s="149"/>
      <c r="B28" s="281" t="b">
        <v>0</v>
      </c>
      <c r="C28" s="269" t="s">
        <v>1032</v>
      </c>
      <c r="D28" s="262"/>
      <c r="E28" s="300"/>
      <c r="F28" s="51"/>
      <c r="G28" s="51"/>
      <c r="H28" s="51"/>
      <c r="I28" s="51"/>
      <c r="J28" s="51"/>
      <c r="K28" s="301" t="s">
        <v>1033</v>
      </c>
      <c r="L28" s="302" t="s">
        <v>1034</v>
      </c>
      <c r="M28" s="291"/>
      <c r="N28" s="292"/>
      <c r="O28" s="288">
        <v>2.5</v>
      </c>
      <c r="P28" s="289" t="s">
        <v>1035</v>
      </c>
      <c r="Q28" s="51"/>
      <c r="R28" s="265">
        <v>8.0</v>
      </c>
      <c r="S28" s="266" t="s">
        <v>1036</v>
      </c>
      <c r="T28" s="266"/>
      <c r="U28" s="266"/>
      <c r="V28" s="266"/>
      <c r="W28" s="266"/>
      <c r="X28" s="267"/>
      <c r="Y28" s="267"/>
      <c r="Z28" s="267"/>
      <c r="AA28" s="272"/>
      <c r="AB28" s="268"/>
      <c r="AC28" s="268"/>
      <c r="AD28" s="272"/>
    </row>
    <row r="29">
      <c r="A29" s="149"/>
      <c r="B29" s="281" t="b">
        <v>0</v>
      </c>
      <c r="C29" s="303" t="s">
        <v>1037</v>
      </c>
      <c r="D29" s="262"/>
      <c r="E29" s="262"/>
      <c r="F29" s="51"/>
      <c r="G29" s="51"/>
      <c r="H29" s="51"/>
      <c r="I29" s="51"/>
      <c r="J29" s="285"/>
      <c r="K29" s="304">
        <v>0.0</v>
      </c>
      <c r="L29" s="305" t="s">
        <v>1038</v>
      </c>
      <c r="M29" s="306"/>
      <c r="N29" s="292"/>
      <c r="O29" s="288">
        <v>2.6</v>
      </c>
      <c r="P29" s="289" t="s">
        <v>1039</v>
      </c>
      <c r="Q29" s="51"/>
      <c r="R29" s="265"/>
      <c r="S29" s="266"/>
      <c r="T29" s="266"/>
      <c r="U29" s="266"/>
      <c r="V29" s="266"/>
      <c r="W29" s="266"/>
      <c r="X29" s="267"/>
      <c r="Y29" s="267"/>
      <c r="Z29" s="267"/>
      <c r="AA29" s="268"/>
      <c r="AB29" s="272"/>
      <c r="AC29" s="272"/>
      <c r="AD29" s="272"/>
    </row>
    <row r="30" ht="16.5" customHeight="1">
      <c r="A30" s="149"/>
      <c r="B30" s="155" t="b">
        <v>0</v>
      </c>
      <c r="C30" s="261" t="s">
        <v>1040</v>
      </c>
      <c r="D30" s="262"/>
      <c r="E30" s="262"/>
      <c r="F30" s="51"/>
      <c r="G30" s="51"/>
      <c r="H30" s="51"/>
      <c r="I30" s="51"/>
      <c r="J30" s="102"/>
      <c r="K30" s="307">
        <v>1.0</v>
      </c>
      <c r="L30" s="308" t="s">
        <v>1041</v>
      </c>
      <c r="M30" s="306"/>
      <c r="N30" s="292"/>
      <c r="O30" s="288">
        <v>3.1</v>
      </c>
      <c r="P30" s="289" t="s">
        <v>1042</v>
      </c>
      <c r="Q30" s="51"/>
      <c r="R30" s="265"/>
      <c r="S30" s="266"/>
      <c r="T30" s="266"/>
      <c r="U30" s="266"/>
      <c r="V30" s="266"/>
      <c r="W30" s="266"/>
      <c r="X30" s="267"/>
      <c r="Y30" s="267"/>
      <c r="Z30" s="267"/>
      <c r="AA30" s="272"/>
      <c r="AB30" s="272"/>
      <c r="AC30" s="272"/>
      <c r="AD30" s="51"/>
    </row>
    <row r="31">
      <c r="A31" s="149"/>
      <c r="B31" s="155" t="b">
        <v>0</v>
      </c>
      <c r="C31" s="261" t="s">
        <v>1043</v>
      </c>
      <c r="D31" s="262"/>
      <c r="E31" s="262"/>
      <c r="F31" s="51"/>
      <c r="G31" s="51"/>
      <c r="H31" s="51"/>
      <c r="I31" s="51"/>
      <c r="J31" s="51"/>
      <c r="K31" s="309">
        <v>1.1</v>
      </c>
      <c r="L31" s="310" t="s">
        <v>1044</v>
      </c>
      <c r="M31" s="311"/>
      <c r="N31" s="292"/>
      <c r="O31" s="288">
        <v>4.1</v>
      </c>
      <c r="P31" s="289" t="s">
        <v>1045</v>
      </c>
      <c r="Q31" s="51"/>
      <c r="R31" s="265"/>
      <c r="S31" s="266"/>
      <c r="T31" s="266"/>
      <c r="U31" s="266"/>
      <c r="V31" s="266"/>
      <c r="W31" s="266"/>
      <c r="X31" s="267"/>
      <c r="Y31" s="267"/>
      <c r="Z31" s="267"/>
      <c r="AA31" s="272"/>
      <c r="AB31" s="51"/>
      <c r="AC31" s="51"/>
      <c r="AD31" s="51"/>
    </row>
    <row r="32" ht="29.25" customHeight="1">
      <c r="A32" s="149"/>
      <c r="B32" s="155" t="b">
        <v>0</v>
      </c>
      <c r="C32" s="269" t="s">
        <v>1046</v>
      </c>
      <c r="D32" s="262"/>
      <c r="E32" s="262"/>
      <c r="F32" s="51"/>
      <c r="G32" s="51"/>
      <c r="H32" s="51"/>
      <c r="I32" s="51"/>
      <c r="J32" s="51"/>
      <c r="K32" s="309">
        <v>1.2</v>
      </c>
      <c r="L32" s="310" t="s">
        <v>1047</v>
      </c>
      <c r="M32" s="311"/>
      <c r="N32" s="154"/>
      <c r="O32" s="312">
        <v>5.0</v>
      </c>
      <c r="P32" s="313" t="s">
        <v>1048</v>
      </c>
      <c r="Q32" s="51"/>
      <c r="R32" s="51"/>
      <c r="S32" s="51"/>
      <c r="T32" s="51"/>
      <c r="U32" s="51"/>
      <c r="V32" s="51"/>
      <c r="W32" s="51"/>
      <c r="X32" s="51"/>
      <c r="Y32" s="51"/>
      <c r="Z32" s="51"/>
      <c r="AA32" s="51"/>
      <c r="AB32" s="51"/>
      <c r="AC32" s="51"/>
      <c r="AD32" s="51"/>
    </row>
    <row r="33">
      <c r="A33" s="149"/>
      <c r="B33" s="149"/>
      <c r="C33" s="272"/>
      <c r="D33" s="262"/>
      <c r="E33" s="262"/>
      <c r="F33" s="51"/>
      <c r="G33" s="51"/>
      <c r="H33" s="51"/>
      <c r="I33" s="102">
        <v>2.0</v>
      </c>
      <c r="J33" s="51"/>
      <c r="K33" s="314">
        <v>1.3</v>
      </c>
      <c r="L33" s="315" t="s">
        <v>1049</v>
      </c>
      <c r="M33" s="311"/>
      <c r="N33" s="154"/>
      <c r="O33" s="288">
        <v>5.1</v>
      </c>
      <c r="P33" s="313" t="s">
        <v>1050</v>
      </c>
      <c r="Q33" s="51"/>
      <c r="R33" s="51"/>
      <c r="S33" s="51"/>
      <c r="T33" s="51"/>
      <c r="U33" s="51"/>
      <c r="V33" s="51"/>
      <c r="W33" s="51"/>
      <c r="X33" s="51"/>
      <c r="Y33" s="51"/>
      <c r="Z33" s="51"/>
      <c r="AA33" s="51"/>
      <c r="AB33" s="51"/>
      <c r="AC33" s="51"/>
      <c r="AD33" s="51"/>
    </row>
    <row r="34">
      <c r="A34" s="149"/>
      <c r="B34" s="316" t="s">
        <v>1051</v>
      </c>
      <c r="E34" s="262"/>
      <c r="F34" s="51"/>
      <c r="G34" s="51"/>
      <c r="H34" s="51"/>
      <c r="I34" s="51"/>
      <c r="J34" s="51"/>
      <c r="K34" s="317">
        <v>1.4</v>
      </c>
      <c r="L34" s="310" t="s">
        <v>1052</v>
      </c>
      <c r="M34" s="51"/>
      <c r="N34" s="154"/>
      <c r="O34" s="312">
        <v>6.0</v>
      </c>
      <c r="P34" s="313" t="s">
        <v>1053</v>
      </c>
      <c r="Q34" s="51"/>
      <c r="R34" s="51"/>
      <c r="S34" s="318" t="s">
        <v>1054</v>
      </c>
      <c r="T34" s="319"/>
      <c r="U34" s="320"/>
      <c r="V34" s="51"/>
      <c r="W34" s="51"/>
      <c r="X34" s="51"/>
      <c r="Y34" s="51"/>
      <c r="Z34" s="51"/>
      <c r="AA34" s="51"/>
      <c r="AB34" s="51"/>
      <c r="AC34" s="51"/>
      <c r="AD34" s="51"/>
    </row>
    <row r="35">
      <c r="A35" s="149"/>
      <c r="B35" s="155" t="b">
        <v>0</v>
      </c>
      <c r="C35" s="321" t="s">
        <v>1055</v>
      </c>
      <c r="E35" s="262"/>
      <c r="F35" s="51"/>
      <c r="G35" s="51"/>
      <c r="H35" s="51"/>
      <c r="I35" s="51"/>
      <c r="J35" s="51"/>
      <c r="K35" s="307">
        <v>2.0</v>
      </c>
      <c r="L35" s="310" t="s">
        <v>1056</v>
      </c>
      <c r="M35" s="51"/>
      <c r="N35" s="51"/>
      <c r="O35" s="322" t="s">
        <v>1057</v>
      </c>
      <c r="P35" s="320"/>
      <c r="Q35" s="51"/>
      <c r="R35" s="51"/>
      <c r="S35" s="323">
        <v>1.0</v>
      </c>
      <c r="T35" s="324" t="s">
        <v>1058</v>
      </c>
      <c r="U35" s="320"/>
      <c r="V35" s="51"/>
      <c r="W35" s="51"/>
      <c r="X35" s="51"/>
      <c r="Y35" s="51"/>
      <c r="Z35" s="51"/>
      <c r="AA35" s="51"/>
      <c r="AB35" s="51"/>
      <c r="AC35" s="51"/>
      <c r="AD35" s="51"/>
    </row>
    <row r="36">
      <c r="A36" s="149"/>
      <c r="B36" s="155" t="b">
        <v>0</v>
      </c>
      <c r="C36" s="232" t="s">
        <v>1059</v>
      </c>
      <c r="E36" s="262"/>
      <c r="F36" s="51"/>
      <c r="G36" s="51"/>
      <c r="H36" s="51"/>
      <c r="I36" s="51"/>
      <c r="J36" s="51"/>
      <c r="K36" s="307">
        <v>4.0</v>
      </c>
      <c r="L36" s="310" t="s">
        <v>1060</v>
      </c>
      <c r="M36" s="51"/>
      <c r="N36" s="51"/>
      <c r="O36" s="153"/>
      <c r="P36" s="154"/>
      <c r="Q36" s="51"/>
      <c r="R36" s="51"/>
      <c r="S36" s="325">
        <v>2.1</v>
      </c>
      <c r="T36" s="324" t="s">
        <v>1061</v>
      </c>
      <c r="U36" s="320"/>
      <c r="V36" s="51"/>
      <c r="W36" s="51"/>
      <c r="X36" s="51"/>
      <c r="Y36" s="51"/>
      <c r="Z36" s="51"/>
      <c r="AA36" s="51"/>
      <c r="AB36" s="51"/>
      <c r="AC36" s="51"/>
      <c r="AD36" s="51"/>
    </row>
    <row r="37">
      <c r="A37" s="51"/>
      <c r="B37" s="316"/>
      <c r="C37" s="272"/>
      <c r="D37" s="262"/>
      <c r="E37" s="262"/>
      <c r="F37" s="51"/>
      <c r="G37" s="51"/>
      <c r="H37" s="51"/>
      <c r="I37" s="51"/>
      <c r="J37" s="51"/>
      <c r="K37" s="307">
        <v>5.0</v>
      </c>
      <c r="L37" s="326" t="s">
        <v>1062</v>
      </c>
      <c r="M37" s="51"/>
      <c r="N37" s="51"/>
      <c r="O37" s="102"/>
      <c r="P37" s="102"/>
      <c r="Q37" s="51"/>
      <c r="R37" s="51"/>
      <c r="S37" s="327">
        <v>2.2</v>
      </c>
      <c r="T37" s="324" t="s">
        <v>1063</v>
      </c>
      <c r="U37" s="320"/>
      <c r="V37" s="51"/>
      <c r="W37" s="51"/>
      <c r="X37" s="51"/>
      <c r="Y37" s="51"/>
      <c r="Z37" s="51"/>
      <c r="AA37" s="51"/>
      <c r="AB37" s="51"/>
      <c r="AC37" s="51"/>
      <c r="AD37" s="51"/>
    </row>
    <row r="38">
      <c r="A38" s="51"/>
      <c r="B38" s="316" t="s">
        <v>1064</v>
      </c>
      <c r="C38" s="272"/>
      <c r="D38" s="262"/>
      <c r="E38" s="262"/>
      <c r="F38" s="51"/>
      <c r="G38" s="51"/>
      <c r="H38" s="51"/>
      <c r="I38" s="51"/>
      <c r="J38" s="51"/>
      <c r="K38" s="328" t="s">
        <v>1065</v>
      </c>
      <c r="L38" s="329"/>
      <c r="M38" s="51"/>
      <c r="N38" s="51"/>
      <c r="O38" s="102"/>
      <c r="P38" s="102"/>
      <c r="Q38" s="51"/>
      <c r="R38" s="51"/>
      <c r="S38" s="327">
        <v>2.3</v>
      </c>
      <c r="T38" s="324" t="s">
        <v>1066</v>
      </c>
      <c r="U38" s="320"/>
      <c r="V38" s="51"/>
      <c r="W38" s="51"/>
      <c r="X38" s="51"/>
      <c r="Y38" s="51"/>
      <c r="Z38" s="51"/>
      <c r="AA38" s="51"/>
      <c r="AB38" s="51"/>
      <c r="AC38" s="51"/>
      <c r="AD38" s="51"/>
    </row>
    <row r="39">
      <c r="A39" s="51"/>
      <c r="B39" s="155" t="b">
        <v>0</v>
      </c>
      <c r="C39" s="330" t="s">
        <v>1067</v>
      </c>
      <c r="J39" s="51"/>
      <c r="K39" s="51"/>
      <c r="L39" s="331" t="s">
        <v>1068</v>
      </c>
      <c r="M39" s="332"/>
      <c r="N39" s="51"/>
      <c r="O39" s="149"/>
      <c r="P39" s="51"/>
      <c r="Q39" s="51"/>
      <c r="R39" s="51"/>
      <c r="S39" s="333">
        <v>3.0</v>
      </c>
      <c r="T39" s="324" t="s">
        <v>1069</v>
      </c>
      <c r="U39" s="320"/>
      <c r="V39" s="51"/>
      <c r="W39" s="51"/>
      <c r="X39" s="51"/>
      <c r="Y39" s="51"/>
      <c r="Z39" s="51"/>
      <c r="AA39" s="51"/>
      <c r="AB39" s="51"/>
      <c r="AC39" s="51"/>
      <c r="AD39" s="51"/>
    </row>
    <row r="40">
      <c r="A40" s="51"/>
      <c r="J40" s="51"/>
      <c r="K40" s="334" t="s">
        <v>1070</v>
      </c>
      <c r="L40" s="335"/>
      <c r="M40" s="332"/>
      <c r="N40" s="51"/>
      <c r="O40" s="154"/>
      <c r="P40" s="51"/>
      <c r="Q40" s="51"/>
      <c r="R40" s="51"/>
      <c r="S40" s="327">
        <v>4.0</v>
      </c>
      <c r="T40" s="324" t="s">
        <v>1071</v>
      </c>
      <c r="U40" s="320"/>
      <c r="V40" s="51"/>
      <c r="W40" s="51"/>
      <c r="X40" s="51"/>
      <c r="Y40" s="51"/>
      <c r="Z40" s="51"/>
      <c r="AA40" s="51"/>
      <c r="AB40" s="51"/>
      <c r="AC40" s="51"/>
      <c r="AD40" s="51"/>
    </row>
    <row r="41">
      <c r="A41" s="51"/>
      <c r="B41" s="155" t="b">
        <v>0</v>
      </c>
      <c r="C41" s="269" t="s">
        <v>1072</v>
      </c>
      <c r="D41" s="262"/>
      <c r="E41" s="262"/>
      <c r="F41" s="51"/>
      <c r="G41" s="51"/>
      <c r="H41" s="51"/>
      <c r="I41" s="51"/>
      <c r="J41" s="51"/>
      <c r="K41" s="336" t="s">
        <v>1073</v>
      </c>
      <c r="L41" s="337"/>
      <c r="M41" s="332"/>
      <c r="N41" s="51"/>
      <c r="O41" s="338" t="s">
        <v>1074</v>
      </c>
      <c r="P41" s="339" t="s">
        <v>1075</v>
      </c>
      <c r="Q41" s="51"/>
      <c r="R41" s="51"/>
      <c r="S41" s="340"/>
      <c r="T41" s="272"/>
      <c r="U41" s="51"/>
      <c r="V41" s="51"/>
      <c r="W41" s="51"/>
      <c r="X41" s="51"/>
      <c r="Y41" s="51"/>
      <c r="Z41" s="51"/>
      <c r="AA41" s="51"/>
      <c r="AB41" s="51"/>
      <c r="AC41" s="51"/>
      <c r="AD41" s="51"/>
    </row>
    <row r="42">
      <c r="A42" s="51"/>
      <c r="B42" s="149"/>
      <c r="C42" s="262"/>
      <c r="D42" s="341" t="s">
        <v>1076</v>
      </c>
      <c r="E42" s="272"/>
      <c r="F42" s="51"/>
      <c r="G42" s="51"/>
      <c r="H42" s="51"/>
      <c r="I42" s="51"/>
      <c r="J42" s="51"/>
      <c r="K42" s="342">
        <v>0.0</v>
      </c>
      <c r="L42" s="343" t="s">
        <v>1077</v>
      </c>
      <c r="M42" s="51"/>
      <c r="N42" s="51"/>
      <c r="O42" s="344">
        <v>0.0</v>
      </c>
      <c r="P42" s="274" t="s">
        <v>1078</v>
      </c>
      <c r="Q42" s="51"/>
      <c r="R42" s="51"/>
      <c r="U42" s="51"/>
      <c r="V42" s="51"/>
      <c r="W42" s="51"/>
      <c r="X42" s="51"/>
      <c r="Y42" s="51"/>
      <c r="Z42" s="51"/>
      <c r="AA42" s="51"/>
      <c r="AB42" s="51"/>
      <c r="AC42" s="51"/>
      <c r="AD42" s="51"/>
    </row>
    <row r="43">
      <c r="A43" s="51"/>
      <c r="B43" s="155" t="b">
        <v>0</v>
      </c>
      <c r="C43" s="261" t="s">
        <v>1079</v>
      </c>
      <c r="D43" s="262"/>
      <c r="E43" s="272"/>
      <c r="F43" s="51"/>
      <c r="G43" s="51"/>
      <c r="H43" s="51"/>
      <c r="I43" s="51"/>
      <c r="J43" s="51"/>
      <c r="K43" s="345">
        <v>1.0</v>
      </c>
      <c r="L43" s="343" t="s">
        <v>1080</v>
      </c>
      <c r="M43" s="51"/>
      <c r="N43" s="51"/>
      <c r="O43" s="344">
        <v>1.0</v>
      </c>
      <c r="P43" s="346" t="s">
        <v>1081</v>
      </c>
      <c r="Q43" s="51"/>
      <c r="R43" s="51"/>
      <c r="S43" s="272"/>
      <c r="T43" s="272"/>
      <c r="U43" s="51"/>
      <c r="V43" s="51"/>
      <c r="W43" s="51"/>
      <c r="X43" s="51"/>
      <c r="Y43" s="51"/>
      <c r="Z43" s="51"/>
      <c r="AA43" s="51"/>
      <c r="AB43" s="51"/>
      <c r="AC43" s="51"/>
      <c r="AD43" s="51"/>
    </row>
    <row r="44">
      <c r="A44" s="51"/>
      <c r="B44" s="149"/>
      <c r="C44" s="272"/>
      <c r="D44" s="347" t="s">
        <v>1082</v>
      </c>
      <c r="E44" s="272"/>
      <c r="F44" s="51"/>
      <c r="G44" s="51"/>
      <c r="H44" s="51"/>
      <c r="I44" s="51"/>
      <c r="J44" s="51"/>
      <c r="K44" s="348">
        <v>1.1</v>
      </c>
      <c r="L44" s="349" t="s">
        <v>1083</v>
      </c>
      <c r="M44" s="51"/>
      <c r="N44" s="51"/>
      <c r="O44" s="350"/>
      <c r="P44" s="274"/>
      <c r="Q44" s="51"/>
      <c r="R44" s="51"/>
      <c r="U44" s="51"/>
      <c r="V44" s="51"/>
      <c r="W44" s="51"/>
      <c r="X44" s="51"/>
      <c r="Y44" s="51"/>
      <c r="Z44" s="51"/>
      <c r="AA44" s="51"/>
      <c r="AB44" s="51"/>
      <c r="AC44" s="51"/>
      <c r="AD44" s="51"/>
    </row>
    <row r="45">
      <c r="A45" s="51"/>
      <c r="B45" s="149"/>
      <c r="C45" s="272"/>
      <c r="D45" s="341" t="s">
        <v>1084</v>
      </c>
      <c r="E45" s="272"/>
      <c r="F45" s="51"/>
      <c r="G45" s="51"/>
      <c r="H45" s="51"/>
      <c r="I45" s="51"/>
      <c r="J45" s="51"/>
      <c r="K45" s="348">
        <v>1.2</v>
      </c>
      <c r="L45" s="351" t="s">
        <v>1085</v>
      </c>
      <c r="M45" s="51"/>
      <c r="N45" s="292"/>
      <c r="O45" s="350">
        <v>2.0</v>
      </c>
      <c r="P45" s="274" t="s">
        <v>1086</v>
      </c>
      <c r="Q45" s="51"/>
      <c r="R45" s="51"/>
      <c r="S45" s="51"/>
      <c r="T45" s="51"/>
      <c r="U45" s="51"/>
      <c r="V45" s="51"/>
      <c r="W45" s="51"/>
      <c r="X45" s="51"/>
      <c r="Y45" s="51"/>
      <c r="Z45" s="51"/>
      <c r="AA45" s="51"/>
      <c r="AB45" s="51"/>
      <c r="AC45" s="51"/>
      <c r="AD45" s="51"/>
    </row>
    <row r="46">
      <c r="A46" s="51"/>
      <c r="B46" s="149"/>
      <c r="C46" s="272"/>
      <c r="D46" s="341" t="s">
        <v>1087</v>
      </c>
      <c r="E46" s="272"/>
      <c r="F46" s="51"/>
      <c r="G46" s="51"/>
      <c r="H46" s="51"/>
      <c r="I46" s="51"/>
      <c r="J46" s="51"/>
      <c r="K46" s="345">
        <v>2.0</v>
      </c>
      <c r="L46" s="343" t="s">
        <v>1088</v>
      </c>
      <c r="M46" s="51"/>
      <c r="N46" s="292"/>
      <c r="O46" s="352">
        <v>3.0</v>
      </c>
      <c r="P46" s="353" t="s">
        <v>1089</v>
      </c>
      <c r="Q46" s="51"/>
      <c r="R46" s="51"/>
      <c r="S46" s="51"/>
      <c r="T46" s="51"/>
      <c r="U46" s="51"/>
      <c r="V46" s="51"/>
      <c r="W46" s="51"/>
      <c r="X46" s="51"/>
      <c r="Y46" s="51"/>
      <c r="Z46" s="51"/>
      <c r="AA46" s="51"/>
      <c r="AB46" s="51"/>
      <c r="AC46" s="51"/>
      <c r="AD46" s="51"/>
    </row>
    <row r="47" ht="17.25" customHeight="1">
      <c r="A47" s="51"/>
      <c r="B47" s="155" t="b">
        <v>0</v>
      </c>
      <c r="C47" s="269" t="s">
        <v>1090</v>
      </c>
      <c r="D47" s="272"/>
      <c r="E47" s="272"/>
      <c r="F47" s="51"/>
      <c r="G47" s="51"/>
      <c r="H47" s="51"/>
      <c r="I47" s="51"/>
      <c r="J47" s="51"/>
      <c r="K47" s="345">
        <v>3.0</v>
      </c>
      <c r="L47" s="354" t="s">
        <v>1091</v>
      </c>
      <c r="M47" s="51"/>
      <c r="N47" s="292"/>
      <c r="O47" s="51"/>
      <c r="P47" s="51"/>
      <c r="Q47" s="51"/>
      <c r="R47" s="51"/>
      <c r="S47" s="355"/>
      <c r="U47" s="51"/>
      <c r="V47" s="51"/>
      <c r="W47" s="51"/>
      <c r="X47" s="51"/>
      <c r="Y47" s="51"/>
      <c r="Z47" s="51"/>
      <c r="AA47" s="51"/>
      <c r="AB47" s="51"/>
      <c r="AC47" s="51"/>
      <c r="AD47" s="51"/>
    </row>
    <row r="48">
      <c r="A48" s="51"/>
      <c r="B48" s="51"/>
      <c r="C48" s="262"/>
      <c r="D48" s="269" t="s">
        <v>1092</v>
      </c>
      <c r="E48" s="272"/>
      <c r="F48" s="51"/>
      <c r="G48" s="51"/>
      <c r="H48" s="51"/>
      <c r="I48" s="51"/>
      <c r="J48" s="51"/>
      <c r="K48" s="345">
        <v>4.0</v>
      </c>
      <c r="L48" s="354" t="s">
        <v>1093</v>
      </c>
      <c r="M48" s="51"/>
      <c r="N48" s="292"/>
      <c r="O48" s="51"/>
      <c r="P48" s="51"/>
      <c r="Q48" s="51"/>
      <c r="R48" s="51"/>
      <c r="S48" s="356"/>
      <c r="T48" s="261"/>
      <c r="U48" s="51"/>
      <c r="V48" s="51"/>
      <c r="W48" s="51"/>
      <c r="X48" s="51"/>
      <c r="Y48" s="51"/>
      <c r="Z48" s="51"/>
      <c r="AA48" s="51"/>
      <c r="AB48" s="51"/>
      <c r="AC48" s="51"/>
      <c r="AD48" s="51"/>
    </row>
    <row r="49">
      <c r="A49" s="51"/>
      <c r="B49" s="155" t="b">
        <v>0</v>
      </c>
      <c r="C49" s="321" t="s">
        <v>1094</v>
      </c>
      <c r="D49" s="262"/>
      <c r="E49" s="272"/>
      <c r="F49" s="51"/>
      <c r="G49" s="51"/>
      <c r="H49" s="51"/>
      <c r="I49" s="51"/>
      <c r="J49" s="51"/>
      <c r="K49" s="357">
        <v>5.0</v>
      </c>
      <c r="L49" s="358" t="s">
        <v>1062</v>
      </c>
      <c r="M49" s="51"/>
      <c r="N49" s="292"/>
      <c r="O49" s="330" t="s">
        <v>1095</v>
      </c>
      <c r="Q49" s="51"/>
      <c r="R49" s="51"/>
      <c r="S49" s="356"/>
      <c r="T49" s="261"/>
      <c r="U49" s="51"/>
      <c r="V49" s="51"/>
      <c r="W49" s="51"/>
      <c r="X49" s="51"/>
      <c r="Y49" s="51"/>
      <c r="Z49" s="51"/>
      <c r="AA49" s="51"/>
      <c r="AB49" s="51"/>
      <c r="AC49" s="51"/>
      <c r="AD49" s="51"/>
    </row>
    <row r="50">
      <c r="A50" s="51"/>
      <c r="B50" s="279"/>
      <c r="C50" s="262"/>
      <c r="D50" s="272"/>
      <c r="E50" s="272"/>
      <c r="F50" s="51"/>
      <c r="G50" s="51"/>
      <c r="H50" s="51"/>
      <c r="I50" s="51"/>
      <c r="J50" s="51"/>
      <c r="K50" s="51"/>
      <c r="L50" s="51"/>
      <c r="M50" s="51"/>
      <c r="N50" s="292"/>
      <c r="O50" s="359"/>
      <c r="P50" s="261"/>
      <c r="Q50" s="51"/>
      <c r="R50" s="51"/>
      <c r="S50" s="356"/>
      <c r="T50" s="261"/>
      <c r="U50" s="51"/>
      <c r="V50" s="51"/>
      <c r="W50" s="51"/>
      <c r="X50" s="51"/>
      <c r="Y50" s="51"/>
      <c r="Z50" s="51"/>
      <c r="AA50" s="51"/>
      <c r="AB50" s="51"/>
      <c r="AC50" s="51"/>
      <c r="AD50" s="51"/>
    </row>
    <row r="51">
      <c r="A51" s="51"/>
      <c r="B51" s="279" t="s">
        <v>1096</v>
      </c>
      <c r="C51" s="262"/>
      <c r="D51" s="272"/>
      <c r="E51" s="272"/>
      <c r="F51" s="51"/>
      <c r="G51" s="51"/>
      <c r="H51" s="51"/>
      <c r="I51" s="51"/>
      <c r="J51" s="51"/>
      <c r="K51" s="51"/>
      <c r="L51" s="51"/>
      <c r="M51" s="51"/>
      <c r="N51" s="154"/>
      <c r="O51" s="360"/>
      <c r="P51" s="261"/>
      <c r="Q51" s="51"/>
      <c r="R51" s="51"/>
      <c r="S51" s="356"/>
      <c r="T51" s="261"/>
      <c r="U51" s="51"/>
      <c r="V51" s="51"/>
      <c r="W51" s="51"/>
      <c r="X51" s="51"/>
      <c r="Y51" s="51"/>
      <c r="Z51" s="51"/>
      <c r="AA51" s="51"/>
      <c r="AB51" s="51"/>
      <c r="AC51" s="51"/>
      <c r="AD51" s="51"/>
    </row>
    <row r="52" ht="16.5" customHeight="1">
      <c r="A52" s="51"/>
      <c r="B52" s="155" t="b">
        <v>0</v>
      </c>
      <c r="C52" s="269" t="s">
        <v>1097</v>
      </c>
      <c r="D52" s="149"/>
      <c r="E52" s="272"/>
      <c r="F52" s="51"/>
      <c r="G52" s="51"/>
      <c r="H52" s="51"/>
      <c r="I52" s="51"/>
      <c r="J52" s="51"/>
      <c r="K52" s="51"/>
      <c r="L52" s="51"/>
      <c r="M52" s="51"/>
      <c r="N52" s="292"/>
      <c r="O52" s="360"/>
      <c r="P52" s="272"/>
      <c r="Q52" s="51"/>
      <c r="R52" s="51"/>
      <c r="S52" s="356"/>
      <c r="T52" s="361"/>
      <c r="U52" s="51"/>
      <c r="V52" s="51"/>
      <c r="W52" s="51"/>
      <c r="X52" s="51"/>
      <c r="Y52" s="51"/>
      <c r="Z52" s="51"/>
      <c r="AA52" s="51"/>
      <c r="AB52" s="51"/>
      <c r="AC52" s="51"/>
      <c r="AD52" s="51"/>
    </row>
    <row r="53">
      <c r="A53" s="51"/>
      <c r="B53" s="155" t="b">
        <v>0</v>
      </c>
      <c r="C53" s="269" t="s">
        <v>1098</v>
      </c>
      <c r="D53" s="149"/>
      <c r="E53" s="272"/>
      <c r="F53" s="51"/>
      <c r="G53" s="51"/>
      <c r="H53" s="51"/>
      <c r="I53" s="51"/>
      <c r="J53" s="51"/>
      <c r="K53" s="51"/>
      <c r="L53" s="51"/>
      <c r="M53" s="51"/>
      <c r="N53" s="292"/>
      <c r="O53" s="360"/>
      <c r="P53" s="261"/>
      <c r="Q53" s="51"/>
      <c r="R53" s="51"/>
      <c r="S53" s="355"/>
      <c r="U53" s="51"/>
      <c r="V53" s="51"/>
      <c r="W53" s="51"/>
      <c r="X53" s="51"/>
      <c r="Y53" s="51"/>
      <c r="Z53" s="51"/>
      <c r="AA53" s="51"/>
      <c r="AB53" s="51"/>
      <c r="AC53" s="51"/>
      <c r="AD53" s="51"/>
    </row>
    <row r="54">
      <c r="A54" s="51"/>
      <c r="B54" s="155" t="b">
        <v>0</v>
      </c>
      <c r="C54" s="362" t="s">
        <v>1099</v>
      </c>
      <c r="D54" s="149"/>
      <c r="E54" s="272"/>
      <c r="F54" s="51"/>
      <c r="G54" s="51"/>
      <c r="H54" s="51"/>
      <c r="I54" s="51"/>
      <c r="J54" s="51"/>
      <c r="K54" s="51"/>
      <c r="L54" s="51"/>
      <c r="M54" s="51"/>
      <c r="N54" s="292"/>
      <c r="O54" s="363"/>
      <c r="P54" s="293"/>
      <c r="Q54" s="51"/>
      <c r="R54" s="51"/>
      <c r="S54" s="356"/>
      <c r="T54" s="261"/>
      <c r="U54" s="51"/>
      <c r="V54" s="51"/>
      <c r="W54" s="51"/>
      <c r="X54" s="51"/>
      <c r="Y54" s="51"/>
      <c r="Z54" s="51"/>
      <c r="AA54" s="51"/>
      <c r="AB54" s="51"/>
      <c r="AC54" s="51"/>
      <c r="AD54" s="51"/>
    </row>
    <row r="55">
      <c r="A55" s="51"/>
      <c r="B55" s="155" t="b">
        <v>0</v>
      </c>
      <c r="C55" s="269" t="s">
        <v>1100</v>
      </c>
      <c r="D55" s="149"/>
      <c r="E55" s="272"/>
      <c r="F55" s="51"/>
      <c r="G55" s="51"/>
      <c r="H55" s="51"/>
      <c r="I55" s="51"/>
      <c r="J55" s="51"/>
      <c r="K55" s="51"/>
      <c r="L55" s="51"/>
      <c r="M55" s="51"/>
      <c r="N55" s="292"/>
      <c r="O55" s="364"/>
      <c r="P55" s="293"/>
      <c r="Q55" s="51"/>
      <c r="R55" s="51"/>
      <c r="S55" s="356"/>
      <c r="T55" s="261"/>
      <c r="U55" s="51"/>
      <c r="V55" s="51"/>
      <c r="W55" s="51"/>
      <c r="X55" s="51"/>
      <c r="Y55" s="51"/>
      <c r="Z55" s="51"/>
      <c r="AA55" s="51"/>
      <c r="AB55" s="51"/>
      <c r="AC55" s="51"/>
      <c r="AD55" s="51"/>
    </row>
    <row r="56">
      <c r="A56" s="51"/>
      <c r="B56" s="155" t="b">
        <v>0</v>
      </c>
      <c r="C56" s="269" t="s">
        <v>1101</v>
      </c>
      <c r="D56" s="149"/>
      <c r="E56" s="272"/>
      <c r="F56" s="51"/>
      <c r="G56" s="51"/>
      <c r="H56" s="51"/>
      <c r="I56" s="51"/>
      <c r="J56" s="51"/>
      <c r="K56" s="51"/>
      <c r="L56" s="51"/>
      <c r="M56" s="51"/>
      <c r="N56" s="292"/>
      <c r="O56" s="364"/>
      <c r="P56" s="365"/>
      <c r="Q56" s="51"/>
      <c r="R56" s="51"/>
      <c r="S56" s="356"/>
      <c r="T56" s="261"/>
      <c r="U56" s="51"/>
      <c r="V56" s="51"/>
      <c r="W56" s="51"/>
      <c r="X56" s="51"/>
      <c r="Y56" s="51"/>
      <c r="Z56" s="51"/>
      <c r="AA56" s="51"/>
      <c r="AB56" s="51"/>
      <c r="AC56" s="51"/>
      <c r="AD56" s="51"/>
    </row>
    <row r="57">
      <c r="A57" s="51"/>
      <c r="B57" s="155" t="b">
        <v>0</v>
      </c>
      <c r="C57" s="269" t="s">
        <v>1102</v>
      </c>
      <c r="D57" s="149"/>
      <c r="E57" s="272"/>
      <c r="F57" s="51"/>
      <c r="G57" s="51"/>
      <c r="H57" s="51"/>
      <c r="I57" s="51"/>
      <c r="J57" s="51"/>
      <c r="K57" s="51"/>
      <c r="L57" s="51"/>
      <c r="M57" s="51"/>
      <c r="N57" s="292"/>
      <c r="O57" s="330"/>
      <c r="P57" s="272"/>
      <c r="Q57" s="51"/>
      <c r="R57" s="51"/>
      <c r="S57" s="356"/>
      <c r="T57" s="261"/>
      <c r="U57" s="51"/>
      <c r="V57" s="51"/>
      <c r="W57" s="51"/>
      <c r="X57" s="51"/>
      <c r="Y57" s="51"/>
      <c r="Z57" s="51"/>
      <c r="AA57" s="51"/>
      <c r="AB57" s="51"/>
      <c r="AC57" s="51"/>
      <c r="AD57" s="51"/>
    </row>
    <row r="58">
      <c r="A58" s="51"/>
      <c r="B58" s="51"/>
      <c r="C58" s="51"/>
      <c r="D58" s="149"/>
      <c r="E58" s="51"/>
      <c r="F58" s="51"/>
      <c r="G58" s="51"/>
      <c r="H58" s="51"/>
      <c r="I58" s="51"/>
      <c r="J58" s="51"/>
      <c r="K58" s="51"/>
      <c r="L58" s="51"/>
      <c r="M58" s="51"/>
      <c r="N58" s="292"/>
      <c r="O58" s="359"/>
      <c r="P58" s="272"/>
      <c r="Q58" s="51"/>
      <c r="R58" s="51"/>
      <c r="S58" s="356"/>
      <c r="T58" s="261"/>
      <c r="U58" s="51"/>
      <c r="V58" s="51"/>
      <c r="W58" s="51"/>
      <c r="X58" s="51"/>
      <c r="Y58" s="51"/>
      <c r="Z58" s="51"/>
      <c r="AA58" s="51"/>
      <c r="AB58" s="51"/>
      <c r="AC58" s="51"/>
      <c r="AD58" s="51"/>
    </row>
    <row r="59">
      <c r="A59" s="51"/>
      <c r="B59" s="366" t="s">
        <v>1103</v>
      </c>
      <c r="C59" s="51"/>
      <c r="D59" s="149"/>
      <c r="E59" s="51"/>
      <c r="F59" s="51"/>
      <c r="G59" s="51"/>
      <c r="H59" s="51"/>
      <c r="I59" s="51"/>
      <c r="J59" s="51"/>
      <c r="K59" s="51"/>
      <c r="L59" s="51"/>
      <c r="M59" s="51"/>
      <c r="N59" s="292"/>
      <c r="O59" s="360"/>
      <c r="P59" s="268"/>
      <c r="Q59" s="51"/>
      <c r="R59" s="51"/>
      <c r="S59" s="356"/>
      <c r="T59" s="261"/>
      <c r="U59" s="51"/>
      <c r="V59" s="51"/>
      <c r="W59" s="51"/>
      <c r="X59" s="51"/>
      <c r="Y59" s="51"/>
      <c r="Z59" s="51"/>
      <c r="AA59" s="51"/>
      <c r="AB59" s="51"/>
      <c r="AC59" s="51"/>
      <c r="AD59" s="51"/>
    </row>
    <row r="60">
      <c r="A60" s="51"/>
      <c r="B60" s="367" t="s">
        <v>1104</v>
      </c>
      <c r="C60" s="51"/>
      <c r="D60" s="149"/>
      <c r="E60" s="51"/>
      <c r="F60" s="51"/>
      <c r="G60" s="51"/>
      <c r="H60" s="51"/>
      <c r="I60" s="51"/>
      <c r="J60" s="51"/>
      <c r="K60" s="51"/>
      <c r="L60" s="51"/>
      <c r="M60" s="51"/>
      <c r="N60" s="292"/>
      <c r="O60" s="360"/>
      <c r="P60" s="268"/>
      <c r="Q60" s="51"/>
      <c r="R60" s="51"/>
      <c r="S60" s="356"/>
      <c r="T60" s="261"/>
      <c r="U60" s="51"/>
      <c r="V60" s="51"/>
      <c r="W60" s="51"/>
      <c r="X60" s="51"/>
      <c r="Y60" s="51"/>
      <c r="Z60" s="51"/>
      <c r="AA60" s="51"/>
      <c r="AB60" s="51"/>
      <c r="AC60" s="51"/>
      <c r="AD60" s="51"/>
    </row>
    <row r="61">
      <c r="A61" s="51"/>
      <c r="B61" s="6" t="b">
        <v>0</v>
      </c>
      <c r="C61" s="321" t="s">
        <v>1105</v>
      </c>
      <c r="D61" s="149"/>
      <c r="E61" s="51"/>
      <c r="F61" s="51"/>
      <c r="G61" s="51"/>
      <c r="H61" s="51"/>
      <c r="I61" s="51"/>
      <c r="J61" s="51"/>
      <c r="K61" s="51"/>
      <c r="L61" s="51"/>
      <c r="M61" s="51"/>
      <c r="N61" s="292"/>
      <c r="O61" s="360"/>
      <c r="P61" s="268"/>
      <c r="Q61" s="51"/>
      <c r="R61" s="51"/>
      <c r="S61" s="356"/>
      <c r="T61" s="261"/>
      <c r="U61" s="51"/>
      <c r="V61" s="51"/>
      <c r="W61" s="51"/>
      <c r="X61" s="51"/>
      <c r="Y61" s="51"/>
      <c r="Z61" s="51"/>
      <c r="AA61" s="51"/>
      <c r="AB61" s="51"/>
      <c r="AC61" s="51"/>
      <c r="AD61" s="51"/>
    </row>
    <row r="62">
      <c r="A62" s="51"/>
      <c r="B62" s="6" t="b">
        <v>0</v>
      </c>
      <c r="C62" s="321" t="s">
        <v>1106</v>
      </c>
      <c r="D62" s="51"/>
      <c r="E62" s="51"/>
      <c r="F62" s="51"/>
      <c r="G62" s="51"/>
      <c r="H62" s="51"/>
      <c r="I62" s="51"/>
      <c r="J62" s="51"/>
      <c r="K62" s="51"/>
      <c r="L62" s="51"/>
      <c r="M62" s="51"/>
      <c r="N62" s="154"/>
      <c r="O62" s="360"/>
      <c r="P62" s="268"/>
      <c r="Q62" s="51"/>
      <c r="R62" s="51"/>
      <c r="S62" s="368"/>
      <c r="T62" s="261"/>
      <c r="U62" s="51"/>
      <c r="V62" s="51"/>
      <c r="W62" s="51"/>
      <c r="X62" s="51"/>
      <c r="Y62" s="51"/>
      <c r="Z62" s="51"/>
      <c r="AA62" s="51"/>
      <c r="AB62" s="51"/>
      <c r="AC62" s="51"/>
      <c r="AD62" s="51"/>
    </row>
    <row r="63" ht="21.75" customHeight="1">
      <c r="A63" s="51"/>
      <c r="B63" s="6" t="b">
        <v>0</v>
      </c>
      <c r="C63" s="321" t="s">
        <v>1107</v>
      </c>
      <c r="D63" s="51"/>
      <c r="E63" s="51"/>
      <c r="F63" s="51"/>
      <c r="G63" s="51"/>
      <c r="H63" s="51"/>
      <c r="I63" s="51"/>
      <c r="J63" s="51"/>
      <c r="K63" s="51"/>
      <c r="L63" s="51"/>
      <c r="M63" s="51"/>
      <c r="N63" s="154"/>
      <c r="O63" s="360"/>
      <c r="P63" s="268"/>
      <c r="Q63" s="51"/>
      <c r="R63" s="51"/>
      <c r="S63" s="368"/>
      <c r="T63" s="261"/>
      <c r="U63" s="51"/>
      <c r="V63" s="51"/>
      <c r="W63" s="51"/>
      <c r="X63" s="51"/>
      <c r="Y63" s="51"/>
      <c r="Z63" s="51"/>
      <c r="AA63" s="51"/>
      <c r="AB63" s="51"/>
      <c r="AC63" s="51"/>
      <c r="AD63" s="51"/>
    </row>
    <row r="64" ht="23.25" customHeight="1">
      <c r="A64" s="51"/>
      <c r="B64" s="6" t="b">
        <v>0</v>
      </c>
      <c r="C64" s="321" t="s">
        <v>1108</v>
      </c>
      <c r="D64" s="51"/>
      <c r="E64" s="51"/>
      <c r="F64" s="51"/>
      <c r="G64" s="51"/>
      <c r="H64" s="51"/>
      <c r="I64" s="51"/>
      <c r="J64" s="51"/>
      <c r="K64" s="51"/>
      <c r="L64" s="51"/>
      <c r="M64" s="51"/>
      <c r="N64" s="51"/>
      <c r="O64" s="360"/>
      <c r="P64" s="268"/>
      <c r="Q64" s="51"/>
      <c r="R64" s="51"/>
      <c r="S64" s="355"/>
      <c r="U64" s="51"/>
      <c r="V64" s="51"/>
      <c r="W64" s="51"/>
      <c r="X64" s="51"/>
      <c r="Y64" s="51"/>
      <c r="Z64" s="51"/>
      <c r="AA64" s="51"/>
      <c r="AB64" s="51"/>
      <c r="AC64" s="51"/>
      <c r="AD64" s="51"/>
    </row>
    <row r="65">
      <c r="A65" s="51"/>
      <c r="B65" s="6" t="b">
        <v>0</v>
      </c>
      <c r="C65" s="321" t="s">
        <v>1109</v>
      </c>
      <c r="D65" s="51"/>
      <c r="E65" s="51"/>
      <c r="F65" s="51"/>
      <c r="G65" s="51"/>
      <c r="H65" s="51"/>
      <c r="I65" s="51"/>
      <c r="J65" s="51"/>
      <c r="K65" s="51"/>
      <c r="L65" s="51"/>
      <c r="M65" s="51"/>
      <c r="N65" s="51"/>
      <c r="O65" s="153"/>
      <c r="P65" s="154"/>
      <c r="Q65" s="51"/>
      <c r="R65" s="51"/>
      <c r="S65" s="51"/>
      <c r="T65" s="51"/>
      <c r="U65" s="51"/>
      <c r="V65" s="51"/>
      <c r="W65" s="51"/>
      <c r="X65" s="51"/>
      <c r="Y65" s="51"/>
      <c r="Z65" s="51"/>
      <c r="AA65" s="51"/>
      <c r="AB65" s="51"/>
      <c r="AC65" s="51"/>
      <c r="AD65" s="51"/>
    </row>
    <row r="66">
      <c r="A66" s="51"/>
      <c r="B66" s="369"/>
      <c r="C66" s="51"/>
      <c r="D66" s="149"/>
      <c r="E66" s="51"/>
      <c r="F66" s="51"/>
      <c r="G66" s="51"/>
      <c r="H66" s="51"/>
      <c r="I66" s="51"/>
      <c r="J66" s="51"/>
      <c r="K66" s="51"/>
      <c r="L66" s="51"/>
      <c r="M66" s="51"/>
      <c r="N66" s="51"/>
      <c r="O66" s="153"/>
      <c r="P66" s="154"/>
      <c r="Q66" s="51"/>
      <c r="R66" s="51"/>
      <c r="S66" s="51"/>
      <c r="T66" s="51"/>
      <c r="U66" s="51"/>
      <c r="V66" s="51"/>
      <c r="W66" s="51"/>
      <c r="X66" s="51"/>
      <c r="Y66" s="51"/>
      <c r="Z66" s="51"/>
      <c r="AA66" s="51"/>
      <c r="AB66" s="51"/>
      <c r="AC66" s="51"/>
      <c r="AD66" s="51"/>
    </row>
    <row r="67">
      <c r="A67" s="51"/>
      <c r="B67" s="367" t="s">
        <v>1110</v>
      </c>
      <c r="C67" s="51"/>
      <c r="D67" s="51"/>
      <c r="E67" s="51"/>
      <c r="F67" s="51"/>
      <c r="G67" s="51"/>
      <c r="H67" s="51"/>
      <c r="I67" s="51"/>
      <c r="J67" s="51"/>
      <c r="K67" s="51"/>
      <c r="L67" s="51"/>
      <c r="M67" s="51"/>
      <c r="N67" s="51"/>
      <c r="O67" s="102"/>
      <c r="Q67" s="51"/>
      <c r="R67" s="51"/>
      <c r="S67" s="51"/>
      <c r="T67" s="51"/>
      <c r="U67" s="51"/>
      <c r="V67" s="51"/>
      <c r="W67" s="51"/>
      <c r="X67" s="51"/>
      <c r="Y67" s="51"/>
      <c r="Z67" s="51"/>
      <c r="AA67" s="51"/>
      <c r="AB67" s="51"/>
      <c r="AC67" s="51"/>
      <c r="AD67" s="51"/>
    </row>
    <row r="68">
      <c r="A68" s="51"/>
      <c r="B68" s="6" t="b">
        <v>0</v>
      </c>
      <c r="C68" s="321" t="s">
        <v>1111</v>
      </c>
      <c r="D68" s="51"/>
      <c r="E68" s="51"/>
      <c r="F68" s="51"/>
      <c r="G68" s="51"/>
      <c r="H68" s="51"/>
      <c r="I68" s="51"/>
      <c r="J68" s="51"/>
      <c r="K68" s="51"/>
      <c r="L68" s="51"/>
      <c r="M68" s="51"/>
      <c r="N68" s="51"/>
      <c r="Q68" s="51"/>
      <c r="R68" s="51"/>
      <c r="S68" s="51"/>
      <c r="T68" s="51"/>
      <c r="U68" s="51"/>
      <c r="V68" s="51"/>
      <c r="W68" s="51"/>
      <c r="X68" s="51"/>
      <c r="Y68" s="51"/>
      <c r="Z68" s="51"/>
      <c r="AA68" s="51"/>
      <c r="AB68" s="51"/>
      <c r="AC68" s="51"/>
      <c r="AD68" s="51"/>
    </row>
    <row r="69">
      <c r="A69" s="51"/>
      <c r="B69" s="6" t="b">
        <v>0</v>
      </c>
      <c r="C69" s="321" t="s">
        <v>1112</v>
      </c>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row>
    <row r="70">
      <c r="A70" s="51"/>
      <c r="B70" s="6" t="b">
        <v>0</v>
      </c>
      <c r="C70" s="321" t="s">
        <v>1113</v>
      </c>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row>
    <row r="71">
      <c r="A71" s="51"/>
      <c r="B71" s="6" t="b">
        <v>0</v>
      </c>
      <c r="C71" s="321" t="s">
        <v>1114</v>
      </c>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row>
    <row r="72">
      <c r="A72" s="51"/>
      <c r="B72" s="6" t="b">
        <v>0</v>
      </c>
      <c r="C72" s="321" t="s">
        <v>1115</v>
      </c>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row>
    <row r="73">
      <c r="A73" s="51"/>
      <c r="B73" s="6" t="b">
        <v>0</v>
      </c>
      <c r="C73" s="321" t="s">
        <v>1116</v>
      </c>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row>
    <row r="74">
      <c r="A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row>
    <row r="75">
      <c r="A75" s="51"/>
      <c r="B75" s="149"/>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row>
    <row r="76">
      <c r="A76" s="51"/>
      <c r="B76" s="370" t="s">
        <v>1117</v>
      </c>
      <c r="C76" s="149"/>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row>
    <row r="77">
      <c r="A77" s="51"/>
      <c r="B77" s="102"/>
      <c r="C77" s="149"/>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row>
    <row r="78">
      <c r="A78" s="51"/>
      <c r="B78" s="102"/>
      <c r="C78" s="149"/>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row>
    <row r="79">
      <c r="A79" s="51"/>
      <c r="B79" s="102"/>
      <c r="C79" s="149"/>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row>
    <row r="80">
      <c r="A80" s="51"/>
      <c r="B80" s="102"/>
      <c r="C80" s="149"/>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row>
    <row r="81">
      <c r="A81" s="51"/>
      <c r="B81" s="102"/>
      <c r="C81" s="149"/>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row>
    <row r="82">
      <c r="A82" s="51"/>
      <c r="B82" s="102"/>
      <c r="C82" s="149"/>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row>
    <row r="83">
      <c r="A83" s="51"/>
      <c r="B83" s="102"/>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row>
    <row r="84">
      <c r="A84" s="51"/>
      <c r="B84" s="102"/>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row>
    <row r="85">
      <c r="A85" s="51"/>
      <c r="B85" s="102"/>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row>
    <row r="86">
      <c r="A86" s="51"/>
      <c r="B86" s="102"/>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row>
    <row r="87">
      <c r="A87" s="51"/>
      <c r="B87" s="102"/>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row>
    <row r="88">
      <c r="A88" s="51"/>
      <c r="B88" s="102"/>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row>
    <row r="89">
      <c r="A89" s="51"/>
      <c r="B89" s="102"/>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row>
    <row r="92">
      <c r="A92" s="51"/>
      <c r="B92" s="102"/>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row>
    <row r="94">
      <c r="A94" s="51"/>
      <c r="B94" s="102"/>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row>
    <row r="95">
      <c r="A95" s="51"/>
      <c r="B95" s="102"/>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row>
    <row r="96">
      <c r="A96" s="51"/>
      <c r="B96" s="102"/>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row>
    <row r="97">
      <c r="A97" s="51"/>
      <c r="B97" s="102"/>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row>
    <row r="98">
      <c r="A98" s="51"/>
      <c r="B98" s="102"/>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row>
    <row r="99">
      <c r="A99" s="51"/>
      <c r="B99" s="102"/>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row>
    <row r="100">
      <c r="A100" s="51"/>
      <c r="B100" s="102"/>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row>
    <row r="102">
      <c r="A102" s="51"/>
      <c r="B102" s="102"/>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row>
    <row r="103">
      <c r="A103" s="51"/>
      <c r="B103" s="102"/>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row>
    <row r="104">
      <c r="A104" s="51"/>
      <c r="B104" s="102"/>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row>
    <row r="105">
      <c r="A105" s="51"/>
      <c r="B105" s="102"/>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row>
    <row r="962">
      <c r="A962" s="51"/>
      <c r="B962" s="51"/>
      <c r="C962" s="51"/>
      <c r="D962" s="51"/>
      <c r="E962" s="51"/>
      <c r="F962" s="51"/>
      <c r="G962" s="51"/>
      <c r="H962" s="51"/>
      <c r="I962" s="51"/>
      <c r="J962" s="51"/>
      <c r="M962" s="51"/>
      <c r="N962" s="51"/>
      <c r="O962" s="51"/>
      <c r="P962" s="51"/>
      <c r="Q962" s="51"/>
      <c r="R962" s="51"/>
      <c r="S962" s="51"/>
      <c r="T962" s="51"/>
      <c r="U962" s="51"/>
      <c r="V962" s="51"/>
      <c r="W962" s="51"/>
      <c r="X962" s="51"/>
      <c r="Y962" s="51"/>
      <c r="Z962" s="51"/>
      <c r="AA962" s="51"/>
      <c r="AB962" s="51"/>
      <c r="AC962" s="51"/>
      <c r="AD962" s="51"/>
    </row>
    <row r="963">
      <c r="A963" s="51"/>
      <c r="B963" s="51"/>
      <c r="C963" s="51"/>
      <c r="D963" s="51"/>
      <c r="E963" s="51"/>
      <c r="F963" s="51"/>
      <c r="G963" s="51"/>
      <c r="H963" s="51"/>
      <c r="I963" s="51"/>
      <c r="J963" s="51"/>
      <c r="M963" s="51"/>
      <c r="N963" s="51"/>
      <c r="O963" s="51"/>
      <c r="P963" s="51"/>
      <c r="Q963" s="51"/>
      <c r="R963" s="51"/>
      <c r="S963" s="51"/>
      <c r="T963" s="51"/>
      <c r="U963" s="51"/>
      <c r="V963" s="51"/>
      <c r="W963" s="51"/>
      <c r="X963" s="51"/>
      <c r="Y963" s="51"/>
      <c r="Z963" s="51"/>
      <c r="AA963" s="51"/>
      <c r="AB963" s="51"/>
      <c r="AC963" s="51"/>
      <c r="AD963" s="51"/>
    </row>
    <row r="964">
      <c r="A964" s="51"/>
      <c r="B964" s="51"/>
      <c r="C964" s="51"/>
      <c r="D964" s="51"/>
      <c r="E964" s="51"/>
      <c r="F964" s="51"/>
      <c r="G964" s="51"/>
      <c r="H964" s="51"/>
      <c r="I964" s="51"/>
      <c r="J964" s="51"/>
      <c r="M964" s="51"/>
      <c r="N964" s="51"/>
      <c r="O964" s="51"/>
      <c r="P964" s="51"/>
      <c r="Q964" s="51"/>
      <c r="R964" s="51"/>
      <c r="S964" s="51"/>
      <c r="T964" s="51"/>
      <c r="U964" s="51"/>
      <c r="V964" s="51"/>
      <c r="W964" s="51"/>
      <c r="X964" s="51"/>
      <c r="Y964" s="51"/>
      <c r="Z964" s="51"/>
      <c r="AA964" s="51"/>
      <c r="AB964" s="51"/>
      <c r="AC964" s="51"/>
      <c r="AD964" s="51"/>
    </row>
    <row r="965">
      <c r="A965" s="51"/>
      <c r="B965" s="51"/>
      <c r="C965" s="51"/>
      <c r="D965" s="51"/>
      <c r="E965" s="51"/>
      <c r="F965" s="51"/>
      <c r="G965" s="51"/>
      <c r="H965" s="51"/>
      <c r="I965" s="51"/>
      <c r="J965" s="51"/>
      <c r="M965" s="51"/>
      <c r="N965" s="51"/>
      <c r="O965" s="51"/>
      <c r="P965" s="51"/>
      <c r="Q965" s="51"/>
      <c r="R965" s="51"/>
      <c r="S965" s="51"/>
      <c r="T965" s="51"/>
      <c r="U965" s="51"/>
      <c r="V965" s="51"/>
      <c r="W965" s="51"/>
      <c r="X965" s="51"/>
      <c r="Y965" s="51"/>
      <c r="Z965" s="51"/>
      <c r="AA965" s="51"/>
      <c r="AB965" s="51"/>
      <c r="AC965" s="51"/>
      <c r="AD965" s="51"/>
    </row>
    <row r="966">
      <c r="A966" s="51"/>
      <c r="B966" s="51"/>
      <c r="C966" s="51"/>
      <c r="D966" s="51"/>
      <c r="E966" s="51"/>
      <c r="F966" s="51"/>
      <c r="G966" s="51"/>
      <c r="H966" s="51"/>
      <c r="I966" s="51"/>
      <c r="J966" s="51"/>
      <c r="M966" s="51"/>
      <c r="N966" s="51"/>
      <c r="O966" s="51"/>
      <c r="P966" s="51"/>
      <c r="Q966" s="51"/>
      <c r="R966" s="51"/>
      <c r="S966" s="51"/>
      <c r="T966" s="51"/>
      <c r="U966" s="51"/>
      <c r="V966" s="51"/>
      <c r="W966" s="51"/>
      <c r="X966" s="51"/>
      <c r="Y966" s="51"/>
      <c r="Z966" s="51"/>
      <c r="AA966" s="51"/>
      <c r="AB966" s="51"/>
      <c r="AC966" s="51"/>
      <c r="AD966" s="51"/>
    </row>
    <row r="967">
      <c r="A967" s="51"/>
      <c r="B967" s="51"/>
      <c r="C967" s="51"/>
      <c r="D967" s="51"/>
      <c r="E967" s="51"/>
      <c r="F967" s="51"/>
      <c r="G967" s="51"/>
      <c r="H967" s="51"/>
      <c r="I967" s="51"/>
      <c r="J967" s="51"/>
      <c r="M967" s="51"/>
      <c r="N967" s="51"/>
      <c r="O967" s="51"/>
      <c r="P967" s="51"/>
      <c r="Q967" s="51"/>
      <c r="R967" s="51"/>
      <c r="S967" s="51"/>
      <c r="T967" s="51"/>
      <c r="U967" s="51"/>
      <c r="V967" s="51"/>
      <c r="W967" s="51"/>
      <c r="X967" s="51"/>
      <c r="Y967" s="51"/>
      <c r="Z967" s="51"/>
      <c r="AA967" s="51"/>
      <c r="AB967" s="51"/>
      <c r="AC967" s="51"/>
      <c r="AD967" s="51"/>
    </row>
    <row r="968">
      <c r="A968" s="51"/>
      <c r="B968" s="51"/>
      <c r="C968" s="51"/>
      <c r="D968" s="51"/>
      <c r="E968" s="51"/>
      <c r="F968" s="51"/>
      <c r="G968" s="51"/>
      <c r="H968" s="51"/>
      <c r="I968" s="51"/>
      <c r="J968" s="51"/>
      <c r="M968" s="51"/>
      <c r="N968" s="51"/>
      <c r="O968" s="51"/>
      <c r="P968" s="51"/>
      <c r="Q968" s="51"/>
      <c r="R968" s="51"/>
      <c r="S968" s="51"/>
      <c r="T968" s="51"/>
      <c r="U968" s="51"/>
      <c r="V968" s="51"/>
      <c r="W968" s="51"/>
      <c r="X968" s="51"/>
      <c r="Y968" s="51"/>
      <c r="Z968" s="51"/>
      <c r="AA968" s="51"/>
      <c r="AB968" s="51"/>
      <c r="AC968" s="51"/>
      <c r="AD968" s="51"/>
    </row>
    <row r="969">
      <c r="A969" s="51"/>
      <c r="B969" s="51"/>
      <c r="C969" s="51"/>
      <c r="D969" s="51"/>
      <c r="E969" s="51"/>
      <c r="F969" s="51"/>
      <c r="G969" s="51"/>
      <c r="H969" s="51"/>
      <c r="I969" s="51"/>
      <c r="J969" s="51"/>
      <c r="M969" s="51"/>
      <c r="N969" s="51"/>
      <c r="O969" s="51"/>
      <c r="P969" s="51"/>
      <c r="Q969" s="51"/>
      <c r="R969" s="51"/>
      <c r="S969" s="51"/>
      <c r="T969" s="51"/>
      <c r="U969" s="51"/>
      <c r="V969" s="51"/>
      <c r="W969" s="51"/>
      <c r="X969" s="51"/>
      <c r="Y969" s="51"/>
      <c r="Z969" s="51"/>
      <c r="AA969" s="51"/>
      <c r="AB969" s="51"/>
      <c r="AC969" s="51"/>
      <c r="AD969" s="51"/>
    </row>
    <row r="970">
      <c r="A970" s="51"/>
      <c r="I970" s="51"/>
      <c r="J970" s="51"/>
      <c r="M970" s="51"/>
      <c r="N970" s="51"/>
      <c r="O970" s="51"/>
      <c r="P970" s="51"/>
      <c r="Q970" s="51"/>
      <c r="R970" s="51"/>
      <c r="S970" s="51"/>
      <c r="T970" s="51"/>
      <c r="U970" s="51"/>
      <c r="V970" s="51"/>
      <c r="W970" s="51"/>
      <c r="X970" s="51"/>
      <c r="Y970" s="51"/>
      <c r="Z970" s="51"/>
      <c r="AA970" s="51"/>
      <c r="AB970" s="51"/>
      <c r="AC970" s="51"/>
      <c r="AD970" s="51"/>
    </row>
    <row r="971">
      <c r="A971" s="51"/>
      <c r="I971" s="51"/>
      <c r="J971" s="51"/>
      <c r="M971" s="51"/>
      <c r="N971" s="51"/>
      <c r="O971" s="51"/>
      <c r="P971" s="51"/>
      <c r="Q971" s="51"/>
      <c r="R971" s="51"/>
      <c r="S971" s="51"/>
      <c r="T971" s="51"/>
      <c r="U971" s="51"/>
      <c r="V971" s="51"/>
      <c r="W971" s="51"/>
      <c r="X971" s="51"/>
      <c r="Y971" s="51"/>
      <c r="Z971" s="51"/>
      <c r="AA971" s="51"/>
      <c r="AB971" s="51"/>
      <c r="AC971" s="51"/>
      <c r="AD971" s="51"/>
    </row>
    <row r="972">
      <c r="A972" s="51"/>
      <c r="I972" s="51"/>
      <c r="J972" s="51"/>
      <c r="M972" s="51"/>
      <c r="N972" s="51"/>
      <c r="O972" s="51"/>
      <c r="P972" s="51"/>
      <c r="Q972" s="51"/>
      <c r="R972" s="51"/>
      <c r="U972" s="51"/>
      <c r="V972" s="51"/>
      <c r="W972" s="51"/>
      <c r="X972" s="51"/>
      <c r="Y972" s="51"/>
      <c r="Z972" s="51"/>
      <c r="AA972" s="51"/>
      <c r="AB972" s="51"/>
      <c r="AC972" s="51"/>
      <c r="AD972" s="51"/>
    </row>
    <row r="973">
      <c r="A973" s="51"/>
      <c r="I973" s="51"/>
      <c r="J973" s="51"/>
      <c r="M973" s="51"/>
      <c r="N973" s="51"/>
      <c r="O973" s="51"/>
      <c r="P973" s="51"/>
      <c r="Q973" s="51"/>
      <c r="R973" s="51"/>
      <c r="U973" s="51"/>
      <c r="V973" s="51"/>
      <c r="W973" s="51"/>
      <c r="X973" s="51"/>
      <c r="Y973" s="51"/>
      <c r="Z973" s="51"/>
      <c r="AA973" s="51"/>
      <c r="AB973" s="51"/>
      <c r="AC973" s="51"/>
      <c r="AD973" s="51"/>
    </row>
    <row r="974">
      <c r="A974" s="51"/>
      <c r="I974" s="51"/>
      <c r="J974" s="51"/>
      <c r="M974" s="51"/>
      <c r="N974" s="51"/>
      <c r="O974" s="51"/>
      <c r="P974" s="51"/>
      <c r="Q974" s="51"/>
      <c r="R974" s="51"/>
      <c r="U974" s="51"/>
      <c r="V974" s="51"/>
      <c r="W974" s="51"/>
      <c r="X974" s="51"/>
      <c r="Y974" s="51"/>
      <c r="Z974" s="51"/>
      <c r="AA974" s="51"/>
      <c r="AB974" s="51"/>
      <c r="AC974" s="51"/>
      <c r="AD974" s="51"/>
    </row>
    <row r="975">
      <c r="A975" s="51"/>
      <c r="J975" s="51"/>
      <c r="M975" s="51"/>
      <c r="N975" s="51"/>
      <c r="O975" s="51"/>
      <c r="P975" s="51"/>
      <c r="Q975" s="51"/>
      <c r="R975" s="51"/>
      <c r="U975" s="51"/>
      <c r="V975" s="51"/>
      <c r="W975" s="51"/>
      <c r="X975" s="51"/>
      <c r="Y975" s="51"/>
      <c r="Z975" s="51"/>
      <c r="AA975" s="51"/>
      <c r="AB975" s="51"/>
      <c r="AC975" s="51"/>
      <c r="AD975" s="51"/>
    </row>
    <row r="976">
      <c r="A976" s="51"/>
      <c r="J976" s="51"/>
      <c r="M976" s="51"/>
      <c r="N976" s="51"/>
      <c r="O976" s="51"/>
      <c r="P976" s="51"/>
      <c r="Q976" s="51"/>
      <c r="R976" s="51"/>
      <c r="U976" s="51"/>
      <c r="V976" s="51"/>
      <c r="W976" s="51"/>
      <c r="X976" s="51"/>
      <c r="Y976" s="51"/>
      <c r="Z976" s="51"/>
      <c r="AA976" s="51"/>
      <c r="AB976" s="51"/>
      <c r="AC976" s="51"/>
      <c r="AD976" s="51"/>
    </row>
    <row r="977">
      <c r="A977" s="51"/>
      <c r="J977" s="51"/>
      <c r="M977" s="51"/>
      <c r="N977" s="51"/>
      <c r="O977" s="51"/>
      <c r="P977" s="51"/>
      <c r="Q977" s="51"/>
      <c r="R977" s="51"/>
      <c r="U977" s="51"/>
      <c r="V977" s="51"/>
      <c r="W977" s="51"/>
      <c r="X977" s="51"/>
      <c r="Y977" s="51"/>
      <c r="Z977" s="51"/>
      <c r="AA977" s="51"/>
      <c r="AB977" s="51"/>
      <c r="AC977" s="51"/>
      <c r="AD977" s="51"/>
    </row>
    <row r="978">
      <c r="A978" s="51"/>
      <c r="J978" s="51"/>
      <c r="M978" s="51"/>
      <c r="N978" s="51"/>
      <c r="O978" s="51"/>
      <c r="P978" s="51"/>
      <c r="Q978" s="51"/>
      <c r="R978" s="51"/>
      <c r="U978" s="51"/>
      <c r="V978" s="51"/>
      <c r="W978" s="51"/>
      <c r="X978" s="51"/>
      <c r="Y978" s="51"/>
      <c r="Z978" s="51"/>
      <c r="AA978" s="51"/>
      <c r="AB978" s="51"/>
      <c r="AC978" s="51"/>
      <c r="AD978" s="51"/>
    </row>
    <row r="979">
      <c r="A979" s="51"/>
      <c r="J979" s="51"/>
      <c r="M979" s="51"/>
      <c r="N979" s="51"/>
      <c r="O979" s="51"/>
      <c r="P979" s="51"/>
      <c r="Q979" s="51"/>
      <c r="R979" s="51"/>
      <c r="U979" s="51"/>
      <c r="V979" s="51"/>
      <c r="W979" s="51"/>
      <c r="X979" s="51"/>
      <c r="Y979" s="51"/>
      <c r="Z979" s="51"/>
      <c r="AA979" s="51"/>
      <c r="AB979" s="51"/>
      <c r="AC979" s="51"/>
      <c r="AD979" s="51"/>
    </row>
    <row r="980">
      <c r="A980" s="51"/>
      <c r="J980" s="51"/>
      <c r="M980" s="51"/>
      <c r="N980" s="51"/>
      <c r="O980" s="51"/>
      <c r="P980" s="51"/>
      <c r="Q980" s="51"/>
      <c r="R980" s="51"/>
      <c r="U980" s="51"/>
      <c r="V980" s="51"/>
      <c r="W980" s="51"/>
      <c r="X980" s="51"/>
      <c r="Y980" s="51"/>
      <c r="Z980" s="51"/>
      <c r="AA980" s="51"/>
      <c r="AB980" s="51"/>
      <c r="AC980" s="51"/>
      <c r="AD980" s="51"/>
    </row>
    <row r="981">
      <c r="A981" s="51"/>
      <c r="J981" s="51"/>
      <c r="M981" s="51"/>
      <c r="N981" s="51"/>
      <c r="O981" s="51"/>
      <c r="P981" s="51"/>
      <c r="Q981" s="51"/>
      <c r="R981" s="51"/>
      <c r="U981" s="51"/>
      <c r="V981" s="51"/>
      <c r="W981" s="51"/>
      <c r="X981" s="51"/>
      <c r="Y981" s="51"/>
      <c r="Z981" s="51"/>
      <c r="AA981" s="51"/>
      <c r="AB981" s="51"/>
      <c r="AC981" s="51"/>
      <c r="AD981" s="51"/>
    </row>
    <row r="982">
      <c r="A982" s="51"/>
      <c r="J982" s="51"/>
      <c r="M982" s="51"/>
      <c r="N982" s="51"/>
      <c r="O982" s="51"/>
      <c r="P982" s="51"/>
      <c r="Q982" s="51"/>
      <c r="R982" s="51"/>
      <c r="U982" s="51"/>
      <c r="V982" s="51"/>
      <c r="W982" s="51"/>
      <c r="X982" s="51"/>
      <c r="Y982" s="51"/>
      <c r="Z982" s="51"/>
      <c r="AA982" s="51"/>
      <c r="AB982" s="51"/>
      <c r="AC982" s="51"/>
      <c r="AD982" s="51"/>
    </row>
    <row r="983">
      <c r="M983" s="51"/>
      <c r="N983" s="51"/>
      <c r="O983" s="51"/>
      <c r="P983" s="51"/>
      <c r="Q983" s="51"/>
      <c r="R983" s="51"/>
      <c r="U983" s="51"/>
      <c r="V983" s="51"/>
      <c r="W983" s="51"/>
      <c r="X983" s="51"/>
      <c r="Y983" s="51"/>
      <c r="Z983" s="51"/>
      <c r="AA983" s="51"/>
      <c r="AB983" s="51"/>
      <c r="AC983" s="51"/>
      <c r="AD983" s="51"/>
    </row>
    <row r="984">
      <c r="M984" s="51"/>
      <c r="N984" s="51"/>
      <c r="O984" s="51"/>
      <c r="P984" s="51"/>
      <c r="Q984" s="51"/>
      <c r="R984" s="51"/>
      <c r="U984" s="51"/>
      <c r="V984" s="51"/>
      <c r="W984" s="51"/>
      <c r="X984" s="51"/>
      <c r="Y984" s="51"/>
      <c r="Z984" s="51"/>
      <c r="AA984" s="51"/>
      <c r="AB984" s="51"/>
      <c r="AC984" s="51"/>
      <c r="AD984" s="51"/>
    </row>
    <row r="985">
      <c r="M985" s="51"/>
      <c r="N985" s="51"/>
      <c r="O985" s="51"/>
      <c r="P985" s="51"/>
      <c r="Q985" s="51"/>
      <c r="R985" s="51"/>
      <c r="U985" s="51"/>
      <c r="V985" s="51"/>
      <c r="W985" s="51"/>
      <c r="X985" s="51"/>
      <c r="Y985" s="51"/>
      <c r="Z985" s="51"/>
      <c r="AA985" s="51"/>
      <c r="AB985" s="51"/>
      <c r="AC985" s="51"/>
      <c r="AD985" s="51"/>
    </row>
  </sheetData>
  <mergeCells count="19">
    <mergeCell ref="U3:W3"/>
    <mergeCell ref="X3:Z3"/>
    <mergeCell ref="O12:P12"/>
    <mergeCell ref="O23:P23"/>
    <mergeCell ref="S34:U34"/>
    <mergeCell ref="O35:P35"/>
    <mergeCell ref="T35:U35"/>
    <mergeCell ref="S47:T47"/>
    <mergeCell ref="O49:P49"/>
    <mergeCell ref="S53:T53"/>
    <mergeCell ref="S64:T64"/>
    <mergeCell ref="O67:P68"/>
    <mergeCell ref="T36:U36"/>
    <mergeCell ref="T37:U37"/>
    <mergeCell ref="T38:U38"/>
    <mergeCell ref="B39:B40"/>
    <mergeCell ref="C39:I40"/>
    <mergeCell ref="T39:U39"/>
    <mergeCell ref="T40:U40"/>
  </mergeCells>
  <drawing r:id="rId2"/>
  <legacyDrawing r:id="rId3"/>
</worksheet>
</file>