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al Tests by Person" sheetId="1" r:id="rId4"/>
    <sheet state="visible" name="Referral Test Data" sheetId="2" r:id="rId5"/>
    <sheet state="visible" name="ALL Pos and Incl IMPORT" sheetId="3" r:id="rId6"/>
    <sheet state="visible" name="Pos and Incl IMPORT" sheetId="4" r:id="rId7"/>
    <sheet state="visible" name="Referral Source Info PHI" sheetId="5" r:id="rId8"/>
    <sheet state="visible" name="Proces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absolute row number
</t>
      </text>
    </comment>
    <comment authorId="0" ref="M4">
      <text>
        <t xml:space="preserve">see comment - initial same day antigen test was negative but turned positive 3 days later</t>
      </text>
    </comment>
    <comment authorId="0" ref="T4">
      <text>
        <t xml:space="preserve">more than 3 referral results so used the last one  - see Eval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F_Prog4Chars_N (where N iterates)</t>
      </text>
    </comment>
    <comment authorId="0" ref="I1">
      <text>
        <t xml:space="preserve">=IF(EXACT(H2,"DELETED"),"DELETED", VLOOKUP(H2,IMPORTRANGE('Pos and Incl IMPORT'!$A$2,"Person!C$2:E"),3,FALSE))</t>
      </text>
    </comment>
    <comment authorId="0" ref="N1">
      <text>
        <t xml:space="preserve">Rapid Antigen
PCR
LAMP
Other (Specify in Notes)</t>
      </text>
    </comment>
    <comment authorId="0" ref="O1">
      <text>
        <t xml:space="preserve">Model/Brand of Rapid Antigen, PCR, other test used</t>
      </text>
    </comment>
    <comment authorId="0" ref="P1">
      <text>
        <t xml:space="preserve">Positive
Negative
Inconclusive
Other (Specify in Notes)</t>
      </text>
    </comment>
    <comment authorId="0" ref="R1">
      <text>
        <t xml:space="preserve">Is the person experiencing symptoms at the time of Referral Test collection?</t>
      </text>
    </comment>
    <comment authorId="0" ref="S1">
      <text>
        <t xml:space="preserve">Has the person received at least one dose of any Covid19 vaccine?  Use Notes to provide further detail.</t>
      </text>
    </comment>
    <comment authorId="0" ref="T1">
      <text>
        <t xml:space="preserve">Notes related to the Referral Test entry itself</t>
      </text>
    </comment>
    <comment authorId="0" ref="U1">
      <text>
        <t xml:space="preserve">Use Source Notes field to provide any additional information necessary to connect the Referral table entry to the data in the Processed Info or Source Data tabs (for traceability)</t>
      </text>
    </comment>
    <comment authorId="0" ref="V1">
      <text>
        <t xml:space="preserve">Initial FL Pos Tube ID for corresponding Case Cluster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</commentList>
</comments>
</file>

<file path=xl/sharedStrings.xml><?xml version="1.0" encoding="utf-8"?>
<sst xmlns="http://schemas.openxmlformats.org/spreadsheetml/2006/main" count="145" uniqueCount="106">
  <si>
    <t>PARTICIPANT FIRSTNAME</t>
  </si>
  <si>
    <t>PARTICIPANT LASTNAME</t>
  </si>
  <si>
    <t>PARTICIPANT FULLNAME</t>
  </si>
  <si>
    <t>PARTICIPANT ID</t>
  </si>
  <si>
    <t>Referral Match Row</t>
  </si>
  <si>
    <t>Num FloodLAMP Results Pos or Incl</t>
  </si>
  <si>
    <t>FloodLAMP Match Row</t>
  </si>
  <si>
    <t>FloodLAMP Tube ID</t>
  </si>
  <si>
    <t>FloodLAMP Test Result</t>
  </si>
  <si>
    <t>FloodLAMP Test Date</t>
  </si>
  <si>
    <t>1st Referral Test Date</t>
  </si>
  <si>
    <t>Antigen Neg with Other Positive</t>
  </si>
  <si>
    <t>Referral Overall Result</t>
  </si>
  <si>
    <t>1st Referral Test Type</t>
  </si>
  <si>
    <t>1st Referral Test Result</t>
  </si>
  <si>
    <t>2nd Referral Test Type</t>
  </si>
  <si>
    <t>2nd Referral Test Result</t>
  </si>
  <si>
    <t>3rd Referral Test Type</t>
  </si>
  <si>
    <t>3rd Referral Test Result</t>
  </si>
  <si>
    <t>Hardcoded Tube ID</t>
  </si>
  <si>
    <t>Same Tube ID</t>
  </si>
  <si>
    <t>Referral Eval</t>
  </si>
  <si>
    <t>AG173</t>
  </si>
  <si>
    <t>Only same day positive from pool but other people in pool became pos in next few days</t>
  </si>
  <si>
    <t>Not same day positive but other person in pool was - became referral test positive in following days (no indiv FL deconv)</t>
  </si>
  <si>
    <t>Positive</t>
  </si>
  <si>
    <t>Person in Referral Test Data Antigen Pos on 12-11 did FL test with Neg result on 12-6, 12-7, and 12-8 but they nested neg by Rapid PCR (Mesa) on 12-8, and Antigen Neg on 12-9 and 12-10 before becoming Antigen pos on 12-11</t>
  </si>
  <si>
    <t>MANUAL is used when the person's name appears more than once in the Positives and Inconclusives list</t>
  </si>
  <si>
    <t>Fill in the TubeID manually by matching the date and make cell white</t>
  </si>
  <si>
    <t>Change col I and J formula to use VLOOKUP</t>
  </si>
  <si>
    <t>MUST CLEAR EXTRA ROWS AT BOTTOM</t>
  </si>
  <si>
    <t>CASE CLUSTER ID</t>
  </si>
  <si>
    <t>Num Rows with Same Name in ALL Pos and Incl IMPORT?</t>
  </si>
  <si>
    <t>Num Rows with Same Name in APS Person?</t>
  </si>
  <si>
    <t>Num Rows with Same Name in Referall Tests?</t>
  </si>
  <si>
    <t>REFERRAL TEST ID</t>
  </si>
  <si>
    <t>REFERRAL TEST COLLECTION DATE</t>
  </si>
  <si>
    <t>REFERRAL TEST COLLECTION TIME</t>
  </si>
  <si>
    <t>REFERRAL TEST RESULT DATE</t>
  </si>
  <si>
    <t>REFERRAL TEST RESULT TIME</t>
  </si>
  <si>
    <t>REFERRAL TEST TYPE</t>
  </si>
  <si>
    <t>REFERRAL TEST MODEL</t>
  </si>
  <si>
    <t>REFERRAL TEST RESULT</t>
  </si>
  <si>
    <t>REFERRAL TEST CT (IF PCR)</t>
  </si>
  <si>
    <t>SYMPTOMS?</t>
  </si>
  <si>
    <t>VACCINATED?</t>
  </si>
  <si>
    <t>NOTES</t>
  </si>
  <si>
    <t>SOURCE NOTES</t>
  </si>
  <si>
    <t>INIT FL POS TUBE ID FROM CASE CLUSTER</t>
  </si>
  <si>
    <t>APPIVO COLLECTION DATE</t>
  </si>
  <si>
    <t>APPIVO COLLECTION TIME</t>
  </si>
  <si>
    <t>OTHER FL COLLECTION TIMESTAMP</t>
  </si>
  <si>
    <t>INIT POS</t>
  </si>
  <si>
    <t>INIT NEG</t>
  </si>
  <si>
    <t>INIT INC</t>
  </si>
  <si>
    <t>RERUN1 POS</t>
  </si>
  <si>
    <t>RERUN1 NEG</t>
  </si>
  <si>
    <t>RERUN1 INC</t>
  </si>
  <si>
    <t>RERUN2 POS</t>
  </si>
  <si>
    <t>RERUN2 NEG</t>
  </si>
  <si>
    <t>RERUN2 INC</t>
  </si>
  <si>
    <t>FL RESULT</t>
  </si>
  <si>
    <t>F_ABRM-001</t>
  </si>
  <si>
    <t>ABRM805764</t>
  </si>
  <si>
    <t>Rapid PCR</t>
  </si>
  <si>
    <t>Mesa BioTech Accula SARS-CoV-2 RT PCR Test</t>
  </si>
  <si>
    <t>Program Admin email, phone messages, and manuscript draft</t>
  </si>
  <si>
    <t>F_ABRM-002</t>
  </si>
  <si>
    <t>ABRM582390</t>
  </si>
  <si>
    <t>LAMP Device</t>
  </si>
  <si>
    <t>Lucira</t>
  </si>
  <si>
    <t>Negative</t>
  </si>
  <si>
    <t>F_ABRM-003</t>
  </si>
  <si>
    <t>F_ABRM-004</t>
  </si>
  <si>
    <t>ABRM771013</t>
  </si>
  <si>
    <t>F_ABRM-005</t>
  </si>
  <si>
    <t>Antigen</t>
  </si>
  <si>
    <t>F_ABRM-006</t>
  </si>
  <si>
    <t>F_ABRM-007</t>
  </si>
  <si>
    <t>Interesting last case - finally turned Antigen positive 3 days after FloodLAMP positive, with a same day rapid PCR (Mesa) false negative.</t>
  </si>
  <si>
    <t>Since the person developed symptoms the day after the FloodLAMP test, it's likely the FloodLAMP test was a true positive that detected the case when both rapid PCR and antigen failed.</t>
  </si>
  <si>
    <t>IMPORTS &gt;&gt;
URL link below</t>
  </si>
  <si>
    <t>Sample Person1 ID</t>
  </si>
  <si>
    <t>Sample Person2 ID</t>
  </si>
  <si>
    <t>Sample Person3 ID</t>
  </si>
  <si>
    <t>Sample Person4 ID</t>
  </si>
  <si>
    <t>Num Instances Name</t>
  </si>
  <si>
    <t>ABRM_RFR_deID_PUB</t>
  </si>
  <si>
    <t>ABRM_APS_deID_PUB</t>
  </si>
  <si>
    <t>Links</t>
  </si>
  <si>
    <t>gdoc in Abrome PHI:</t>
  </si>
  <si>
    <t>Copy of Case study: Abrome positive case detection v3 (for FloodlAMP review)</t>
  </si>
  <si>
    <t>See Notes in this tab in PHI version - copied into the gdoc: Positive Case Notes - from Referral Source Info PHI tab of RFR</t>
  </si>
  <si>
    <t>Step</t>
  </si>
  <si>
    <t>Gather primary information / sources in the deployment Raw data folder on the PHI drive</t>
  </si>
  <si>
    <t>Copy RTR Correction Template into deployment folder on PHI drive, name according to Prog4Chars_RTR_PHI_vN.N</t>
  </si>
  <si>
    <r>
      <rPr>
        <rFont val="Arial"/>
        <color theme="1"/>
        <sz val="11.0"/>
      </rPr>
      <t xml:space="preserve">Copy primary / source information into the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tabs and/or use these tabs to provide links to external source files, give these tabs short descriptive names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</si>
  <si>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to perform any process, resolution, and organization steps needed to prepare the data to be entered into the table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</si>
  <si>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 xml:space="preserve">Organize and label the data so that traceability between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and the </t>
    </r>
    <r>
      <rPr>
        <rFont val="Arial"/>
        <b/>
        <color theme="1"/>
        <sz val="11.0"/>
      </rPr>
      <t xml:space="preserve">Referral </t>
    </r>
    <r>
      <rPr>
        <rFont val="Arial"/>
        <color theme="1"/>
        <sz val="11.0"/>
      </rPr>
      <t xml:space="preserve">tab can be made clear (use Source Notes column on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to establish this connection where needed)</t>
    </r>
  </si>
  <si>
    <r>
      <rPr>
        <rFont val="Arial"/>
        <color theme="1"/>
        <sz val="11.0"/>
      </rPr>
      <t xml:space="preserve">List and describe the </t>
    </r>
    <r>
      <rPr>
        <rFont val="Arial"/>
        <b/>
        <color rgb="FF0000FF"/>
        <sz val="11.0"/>
      </rPr>
      <t>Process Substeps</t>
    </r>
    <r>
      <rPr>
        <rFont val="Arial"/>
        <color theme="1"/>
        <sz val="11.0"/>
      </rPr>
      <t xml:space="preserve"> used during this step below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</si>
  <si>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and/or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to fill out the columns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</si>
  <si>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>Fill out the</t>
    </r>
    <r>
      <rPr>
        <rFont val="Arial"/>
        <b/>
        <color theme="1"/>
        <sz val="11.0"/>
      </rPr>
      <t xml:space="preserve"> Person ID</t>
    </r>
    <r>
      <rPr>
        <rFont val="Arial"/>
        <color theme="1"/>
        <sz val="11.0"/>
      </rPr>
      <t xml:space="preserve"> column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using the </t>
    </r>
    <r>
      <rPr>
        <rFont val="Arial"/>
        <b/>
        <color theme="1"/>
        <sz val="11.0"/>
      </rPr>
      <t>DeID Key</t>
    </r>
    <r>
      <rPr>
        <rFont val="Arial"/>
        <color theme="1"/>
        <sz val="11.0"/>
      </rPr>
      <t xml:space="preserve"> in the APS file for this deployment</t>
    </r>
  </si>
  <si>
    <t>Copy the non-PHI column data into the columns on the CD RTR tab</t>
  </si>
  <si>
    <t>Move CD RTR to Main &gt; Data drive</t>
  </si>
  <si>
    <t>Process Substeps</t>
  </si>
  <si>
    <t>Referral table filled out directly from Source Data Notes (Hamilton/Bowers case tab) - no processing or organizational steps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</si>
</sst>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&quot;:&quot;mm&quot;:&quot;ss&quot; &quot;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u/>
      <color theme="1"/>
      <name val="Arial"/>
      <scheme val="minor"/>
    </font>
    <font>
      <b/>
      <color rgb="FF222222"/>
      <name val="Arial"/>
    </font>
    <font>
      <i/>
      <color theme="1"/>
      <name val="Arial"/>
      <scheme val="minor"/>
    </font>
    <font>
      <i/>
      <color theme="1"/>
      <name val="Arial"/>
    </font>
    <font>
      <i/>
      <color rgb="FF222222"/>
      <name val="Arial"/>
    </font>
    <font>
      <color rgb="FF000000"/>
      <name val="Arial"/>
    </font>
    <font>
      <color rgb="FF000000"/>
      <name val="Arial"/>
      <scheme val="minor"/>
    </font>
    <font>
      <color rgb="FF222222"/>
      <name val="Arial"/>
    </font>
    <font>
      <b/>
      <u/>
      <sz val="14.0"/>
      <color theme="1"/>
      <name val="Arial"/>
    </font>
    <font>
      <sz val="11.0"/>
      <color theme="1"/>
      <name val="Arial"/>
    </font>
    <font>
      <b/>
      <u/>
      <sz val="14.0"/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3" numFmtId="0" xfId="0" applyAlignment="1" applyFill="1" applyFont="1">
      <alignment vertical="bottom"/>
    </xf>
    <xf borderId="0" fillId="3" fontId="4" numFmtId="0" xfId="0" applyFill="1" applyFont="1"/>
    <xf borderId="0" fillId="3" fontId="4" numFmtId="164" xfId="0" applyFont="1" applyNumberFormat="1"/>
    <xf borderId="0" fillId="4" fontId="4" numFmtId="0" xfId="0" applyAlignment="1" applyFill="1" applyFont="1">
      <alignment horizontal="center"/>
    </xf>
    <xf borderId="0" fillId="4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2" fontId="4" numFmtId="164" xfId="0" applyFont="1" applyNumberFormat="1"/>
    <xf borderId="0" fillId="2" fontId="4" numFmtId="0" xfId="0" applyFont="1"/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5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4" numFmtId="0" xfId="0" applyFill="1" applyFont="1"/>
    <xf borderId="0" fillId="6" fontId="4" numFmtId="164" xfId="0" applyFont="1" applyNumberFormat="1"/>
    <xf borderId="0" fillId="2" fontId="4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/>
    </xf>
    <xf borderId="0" fillId="2" fontId="4" numFmtId="164" xfId="0" applyAlignment="1" applyFont="1" applyNumberFormat="1">
      <alignment horizontal="right"/>
    </xf>
    <xf borderId="0" fillId="7" fontId="4" numFmtId="0" xfId="0" applyFill="1" applyFont="1"/>
    <xf borderId="0" fillId="7" fontId="4" numFmtId="0" xfId="0" applyAlignment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8" fontId="1" numFmtId="0" xfId="0" applyAlignment="1" applyFill="1" applyFont="1">
      <alignment readingOrder="0" shrinkToFit="0" vertical="bottom" wrapText="1"/>
    </xf>
    <xf borderId="0" fillId="9" fontId="1" numFmtId="0" xfId="0" applyAlignment="1" applyFill="1" applyFont="1">
      <alignment shrinkToFit="0" vertical="bottom" wrapText="1"/>
    </xf>
    <xf borderId="0" fillId="10" fontId="1" numFmtId="0" xfId="0" applyAlignment="1" applyFill="1" applyFont="1">
      <alignment shrinkToFit="0" vertical="bottom" wrapText="1"/>
    </xf>
    <xf borderId="0" fillId="11" fontId="1" numFmtId="0" xfId="0" applyAlignment="1" applyFill="1" applyFont="1">
      <alignment readingOrder="0" shrinkToFit="0" vertical="bottom" wrapText="1"/>
    </xf>
    <xf borderId="0" fillId="8" fontId="1" numFmtId="0" xfId="0" applyAlignment="1" applyFont="1">
      <alignment shrinkToFit="0" vertical="bottom" wrapText="1"/>
    </xf>
    <xf borderId="0" fillId="12" fontId="1" numFmtId="0" xfId="0" applyAlignment="1" applyFill="1" applyFont="1">
      <alignment shrinkToFit="0" vertical="bottom" wrapText="1"/>
    </xf>
    <xf borderId="0" fillId="8" fontId="4" numFmtId="0" xfId="0" applyAlignment="1" applyFont="1">
      <alignment horizontal="center" readingOrder="0"/>
    </xf>
    <xf borderId="0" fillId="9" fontId="3" numFmtId="0" xfId="0" applyAlignment="1" applyFont="1">
      <alignment horizontal="center" vertical="bottom"/>
    </xf>
    <xf borderId="0" fillId="13" fontId="3" numFmtId="0" xfId="0" applyAlignment="1" applyFill="1" applyFont="1">
      <alignment horizontal="center" vertical="bottom"/>
    </xf>
    <xf borderId="0" fillId="2" fontId="4" numFmtId="0" xfId="0" applyAlignment="1" applyFont="1">
      <alignment horizontal="left"/>
    </xf>
    <xf borderId="0" fillId="2" fontId="3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11" fontId="4" numFmtId="0" xfId="0" applyAlignment="1" applyFont="1">
      <alignment readingOrder="0"/>
    </xf>
    <xf borderId="0" fillId="8" fontId="3" numFmtId="164" xfId="0" applyAlignment="1" applyFont="1" applyNumberFormat="1">
      <alignment horizontal="right" vertical="bottom"/>
    </xf>
    <xf borderId="0" fillId="8" fontId="3" numFmtId="165" xfId="0" applyAlignment="1" applyFont="1" applyNumberFormat="1">
      <alignment horizontal="right" vertical="bottom"/>
    </xf>
    <xf borderId="0" fillId="12" fontId="4" numFmtId="0" xfId="0" applyFont="1"/>
    <xf borderId="0" fillId="12" fontId="4" numFmtId="0" xfId="0" applyAlignment="1" applyFont="1">
      <alignment readingOrder="0"/>
    </xf>
    <xf borderId="0" fillId="8" fontId="4" numFmtId="0" xfId="0" applyFont="1"/>
    <xf borderId="0" fillId="1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6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3" fontId="3" numFmtId="0" xfId="0" applyAlignment="1" applyFont="1">
      <alignment vertical="bottom"/>
    </xf>
    <xf borderId="0" fillId="6" fontId="4" numFmtId="21" xfId="0" applyFont="1" applyNumberFormat="1"/>
    <xf borderId="0" fillId="3" fontId="2" numFmtId="0" xfId="0" applyAlignment="1" applyFont="1">
      <alignment shrinkToFit="0" wrapText="1"/>
    </xf>
    <xf borderId="0" fillId="6" fontId="2" numFmtId="0" xfId="0" applyAlignment="1" applyFont="1">
      <alignment horizontal="left" shrinkToFit="0" wrapText="1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 shrinkToFit="0" vertical="bottom" wrapText="0"/>
    </xf>
    <xf borderId="0" fillId="1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vertical="bottom"/>
    </xf>
    <xf borderId="0" fillId="1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1" numFmtId="0" xfId="0" applyFont="1"/>
    <xf borderId="0" fillId="1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zddUuVUJJRU2gSW45EBK2qlD8uYIW8B5jm-kziiklHU/edit?usp=sharing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40IAw1sI2nPQztTAXY9-XJxd4lPpOhpeXb-IXXnWUZk/edit?usp=sharin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88"/>
    <col customWidth="1" min="3" max="4" width="20.5"/>
    <col customWidth="1" min="5" max="5" width="9.38"/>
    <col customWidth="1" min="6" max="6" width="15.25"/>
    <col customWidth="1" min="7" max="7" width="16.88"/>
    <col customWidth="1" min="8" max="8" width="10.5"/>
    <col customWidth="1" min="9" max="10" width="13.88"/>
    <col customWidth="1" min="23" max="23" width="13.38"/>
    <col customWidth="1" min="24" max="24" width="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tr">
        <f>CONCATENATE(SUM(F2:F1000), " Num Sequential Referral Tests")</f>
        <v>7 Num Sequential Referral Tests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5" t="s">
        <v>20</v>
      </c>
      <c r="W1" s="1" t="str">
        <f>CONCATENATE(COUNTIF(W2:W1000,TRUE), " Included in APS Pos and Incl?")</f>
        <v>3 Included in APS Pos and Incl?</v>
      </c>
      <c r="X1" s="6">
        <f>COUNTIF(X2:X14,TRUE)</f>
        <v>0</v>
      </c>
      <c r="Y1" s="5" t="s">
        <v>21</v>
      </c>
    </row>
    <row r="2">
      <c r="A2" s="7" t="str">
        <f t="array" ref="A2">INDEX('Referral Test Data'!$F$1:$G1000,$E2,1)</f>
        <v/>
      </c>
      <c r="B2" s="7" t="str">
        <f t="array" ref="B2">INDEX('Referral Test Data'!$F$1:$G1000,$E2,2)</f>
        <v/>
      </c>
      <c r="C2" s="8" t="str">
        <f>IFERROR(__xludf.DUMMYFUNCTION("FILTER('Referral Test Data'!H2:H100, ('Referral Test Data'!H2:H100 &lt;&gt; 'Referral Test Data'!H1:H99))
"),"")</f>
        <v/>
      </c>
      <c r="D2" s="9" t="str">
        <f>IFERROR(__xludf.DUMMYFUNCTION("FILTER('Referral Test Data'!I2:I100, ('Referral Test Data'!I2:I100 &lt;&gt; 'Referral Test Data'!I1:I99))
"),"ABRM805764")</f>
        <v>ABRM805764</v>
      </c>
      <c r="E2" s="10">
        <f>MATCH(D2,'Referral Test Data'!I$1:I1000,0)</f>
        <v>2</v>
      </c>
      <c r="F2" s="11">
        <f>IF(ISBLANK(E3),COUNTA('Referral Test Data'!I$2:I1000)-SUM(F1:F$2),E3-E2)</f>
        <v>1</v>
      </c>
      <c r="G2" s="12">
        <f>IFERROR(VLOOKUP(D2,'ALL Pos and Incl IMPORT'!Q$2:U1000,5,FALSE),0)</f>
        <v>2</v>
      </c>
      <c r="H2" s="12" t="str">
        <f>IF(G2=1, 
 IFERROR(MATCH(D2, 'ALL Pos and Incl IMPORT'!Q$1:Q1000, 0), 
 IFERROR(MATCH(D2, 'ALL Pos and Incl IMPORT'!R$1:R1000, 0), 
 IFERROR(MATCH(D2, 'ALL Pos and Incl IMPORT'!S$1:S1000, 0), 
 IFERROR(MATCH(D2, 'ALL Pos and Incl IMPORT'!T$1:T1000, 0), 
  "error - 1 but not found"
 )))), 
 IF(G2&gt;=2,"MANUAL","not found")
)</f>
        <v>MANUAL</v>
      </c>
      <c r="I2" s="13" t="s">
        <v>22</v>
      </c>
      <c r="J2" s="14" t="str">
        <f t="array" ref="J2">IFERROR(INDEX('ALL Pos and Incl IMPORT'!$B$1:$U1000,$H2,6),VLOOKUP(I2,'ALL Pos and Incl IMPORT'!B$2:G1000,6,FALSE))</f>
        <v>Positive</v>
      </c>
      <c r="K2" s="15">
        <f t="array" ref="K2">IFERROR(INDEX('ALL Pos and Incl IMPORT'!$B$1:$U1000,$H2,6),VLOOKUP(I2,'ALL Pos and Incl IMPORT'!B$2:G1000,3,FALSE))</f>
        <v>44903</v>
      </c>
      <c r="L2" s="16">
        <f t="array" ref="L2">INDEX('Referral Test Data'!$H$1:$U1000,$E2,3)</f>
        <v>44903</v>
      </c>
      <c r="M2" s="17" t="b">
        <f t="shared" ref="M2:M3" si="1">IF(AND(EXACT(O2,"Antigen"),EXACT(P2,"Negative"),OR(EXACT(R2,"Positive"),EXACT(T2,"Positive"))),TRUE,FALSE)</f>
        <v>0</v>
      </c>
      <c r="N2" s="17" t="str">
        <f t="shared" ref="N2:N4" si="2">IF(AND(ISBLANK(T2),ISBLANK(R2)),P2,IF(ISBLANK(T2),R2,T2))</f>
        <v>Positive</v>
      </c>
      <c r="O2" s="18" t="str">
        <f t="array" ref="O2">INDEX('Referral Test Data'!$H$1:$U1000,$E2,7)</f>
        <v>Rapid PCR</v>
      </c>
      <c r="P2" s="18" t="str">
        <f t="array" ref="P2">INDEX('Referral Test Data'!$H$1:$U1000,$E2,9)</f>
        <v>Positive</v>
      </c>
      <c r="Q2" s="18" t="str">
        <f t="array" ref="Q2">IF(OR($E2+1&lt;$E3, AND(ISBLANK($E3), ($E2-1)&lt;COUNT('Referral Test Data'!$D$2:$D1000))), INDEX('Referral Test Data'!$H$1:$U1000,$E2+1,7), IFERROR(0/0,""))
</f>
        <v/>
      </c>
      <c r="R2" s="18" t="str">
        <f t="array" ref="R2">IF(OR($E2+1&lt;$E3, AND(ISBLANK($E3), ($E2-1)&lt;COUNT('Referral Test Data'!$D$2:$D1000))), INDEX('Referral Test Data'!$H$1:$U1000,$E2+1,9),IFERROR(0/0,""))</f>
        <v/>
      </c>
      <c r="S2" s="18" t="str">
        <f t="array" ref="S2">IF(OR($E2+2&lt;$E3, AND(ISBLANK($E3), ($E2-1)&lt;COUNT('Referral Test Data'!$D$2:$D1000))), INDEX('Referral Test Data'!$H$1:$U1000,$E2+2,7),IFERROR(0/0,""))</f>
        <v/>
      </c>
      <c r="T2" s="18" t="str">
        <f t="array" ref="T2">IF(OR($E2+2&lt;$E3, AND(ISBLANK($E3), ($E2-1)&lt;COUNT('Referral Test Data'!$D$2:$D1000))), INDEX('Referral Test Data'!$H$1:$U1000,$E2+2,9),IFERROR(0/0,""))</f>
        <v/>
      </c>
      <c r="U2" s="19" t="str">
        <f t="array" ref="U2">INDEX('Referral Test Data'!$H$1:$V1000,$E2,15)</f>
        <v>AG173</v>
      </c>
      <c r="V2" s="20" t="b">
        <f t="shared" ref="V2:V4" si="3">EXACT(U2,I2)</f>
        <v>1</v>
      </c>
      <c r="W2" s="21" t="b">
        <v>1</v>
      </c>
      <c r="Y2" s="22" t="s">
        <v>23</v>
      </c>
    </row>
    <row r="3">
      <c r="A3" s="7" t="str">
        <f t="array" ref="A3">INDEX('Referral Test Data'!$F$1:$G1000,$E3,1)</f>
        <v/>
      </c>
      <c r="B3" s="7" t="str">
        <f t="array" ref="B3">INDEX('Referral Test Data'!$F$1:$G1000,$E3,2)</f>
        <v/>
      </c>
      <c r="C3" s="23"/>
      <c r="D3" s="24" t="str">
        <f>IFERROR(__xludf.DUMMYFUNCTION("""COMPUTED_VALUE"""),"ABRM582390")</f>
        <v>ABRM582390</v>
      </c>
      <c r="E3" s="25">
        <f t="array" ref="E3">IFERROR(
  MATCH(D3, INDIRECT("'Referral Test Data'!I" &amp; E2 + 1 &amp; ":I"), 0) + E2, 
  MATCH(D3, 'Referral Test Data'!I3:I1000, 0)
)</f>
        <v>3</v>
      </c>
      <c r="F3" s="26">
        <f>IF(ISBLANK(E4),COUNTA('Referral Test Data'!I$2:I1000)-SUM(F2:F$2),E4-E3)</f>
        <v>2</v>
      </c>
      <c r="G3" s="12">
        <f>IFERROR(VLOOKUP(D3,'ALL Pos and Incl IMPORT'!Q$2:U1000,5,FALSE),0)</f>
        <v>2</v>
      </c>
      <c r="H3" s="12" t="str">
        <f>IF(G3=1, 
 IFERROR(MATCH(D3, 'ALL Pos and Incl IMPORT'!Q$1:Q1000, 0), 
 IFERROR(MATCH(D3, 'ALL Pos and Incl IMPORT'!R$1:R1000, 0), 
 IFERROR(MATCH(D3, 'ALL Pos and Incl IMPORT'!S$1:S1000, 0), 
 IFERROR(MATCH(D3, 'ALL Pos and Incl IMPORT'!T$1:T1000, 0), 
  "error - 1 but not found"
 )))), 
 IF(G3&gt;=2,"MANUAL","not found")
)</f>
        <v>MANUAL</v>
      </c>
      <c r="I3" s="13" t="s">
        <v>22</v>
      </c>
      <c r="J3" s="14" t="str">
        <f t="array" ref="J3">IFERROR(INDEX('ALL Pos and Incl IMPORT'!$B$1:$U1000,$H3,6),VLOOKUP(I3,'ALL Pos and Incl IMPORT'!B$2:G1000,6,FALSE))</f>
        <v>Positive</v>
      </c>
      <c r="K3" s="15">
        <f t="array" ref="K3">IFERROR(INDEX('ALL Pos and Incl IMPORT'!$B$1:$U1000,$H3,6),VLOOKUP(I3,'ALL Pos and Incl IMPORT'!B$2:G1000,3,FALSE))</f>
        <v>44903</v>
      </c>
      <c r="L3" s="16">
        <f t="array" ref="L3">INDEX('Referral Test Data'!$H$1:$U1000,$E3,3)</f>
        <v>44903</v>
      </c>
      <c r="M3" s="17" t="b">
        <f t="shared" si="1"/>
        <v>0</v>
      </c>
      <c r="N3" s="27" t="str">
        <f t="shared" si="2"/>
        <v>Positive</v>
      </c>
      <c r="O3" s="18" t="str">
        <f t="array" ref="O3">INDEX('Referral Test Data'!$H$1:$U1000,$E3,7)</f>
        <v>LAMP Device</v>
      </c>
      <c r="P3" s="18" t="str">
        <f t="array" ref="P3">INDEX('Referral Test Data'!$H$1:$U1000,$E3,9)</f>
        <v>Negative</v>
      </c>
      <c r="Q3" s="18" t="str">
        <f t="array" ref="Q3">IF(OR($E3+1&lt;$E4, AND(ISBLANK($E4), ($E3-1)&lt;COUNT('Referral Test Data'!$D$2:$D1000))), INDEX('Referral Test Data'!$H$1:$U1000,$E3+1,7), IFERROR(0/0,""))
</f>
        <v>LAMP Device</v>
      </c>
      <c r="R3" s="18" t="str">
        <f t="array" ref="R3">IF(OR($E3+1&lt;$E4, AND(ISBLANK($E4), ($E3-1)&lt;COUNT('Referral Test Data'!$D$2:$D1000))), INDEX('Referral Test Data'!$H$1:$U1000,$E3+1,9),IFERROR(0/0,""))</f>
        <v>Positive</v>
      </c>
      <c r="S3" s="18" t="str">
        <f t="array" ref="S3">IF(OR($E3+2&lt;$E4, AND(ISBLANK($E4), ($E3-1)&lt;COUNT('Referral Test Data'!$D$2:$D1000))), INDEX('Referral Test Data'!$H$1:$U1000,$E3+2,7),IFERROR(0/0,""))</f>
        <v/>
      </c>
      <c r="T3" s="18" t="str">
        <f t="array" ref="T3">IF(OR($E3+2&lt;$E4, AND(ISBLANK($E4), ($E3-1)&lt;COUNT('Referral Test Data'!$D$2:$D1000))), INDEX('Referral Test Data'!$H$1:$U1000,$E3+2,9),IFERROR(0/0,""))</f>
        <v/>
      </c>
      <c r="U3" s="19" t="str">
        <f t="array" ref="U3">INDEX('Referral Test Data'!$H$1:$V1000,$E3,15)</f>
        <v>AG173</v>
      </c>
      <c r="V3" s="20" t="b">
        <f t="shared" si="3"/>
        <v>1</v>
      </c>
      <c r="W3" s="21" t="b">
        <v>1</v>
      </c>
      <c r="Y3" s="22" t="s">
        <v>24</v>
      </c>
    </row>
    <row r="4">
      <c r="A4" s="7" t="str">
        <f t="array" ref="A4">INDEX('Referral Test Data'!$F$1:$G1000,$E4,1)</f>
        <v/>
      </c>
      <c r="B4" s="7" t="str">
        <f t="array" ref="B4">INDEX('Referral Test Data'!$F$1:$G1000,$E4,2)</f>
        <v/>
      </c>
      <c r="C4" s="23"/>
      <c r="D4" s="24" t="str">
        <f>IFERROR(__xludf.DUMMYFUNCTION("""COMPUTED_VALUE"""),"ABRM771013")</f>
        <v>ABRM771013</v>
      </c>
      <c r="E4" s="25">
        <f t="array" ref="E4">IFERROR(
  MATCH(D4, INDIRECT("'Referral Test Data'!I" &amp; E3 + 1 &amp; ":I"), 0) + E3, 
  MATCH(D4, 'Referral Test Data'!I4:I1000, 0)
)</f>
        <v>5</v>
      </c>
      <c r="F4" s="26">
        <f>IF(ISBLANK(E5),COUNTA('Referral Test Data'!I$2:I1000)-SUM(F$2:F3),E5-E4)</f>
        <v>4</v>
      </c>
      <c r="G4" s="12">
        <f>IFERROR(VLOOKUP(D4,'ALL Pos and Incl IMPORT'!Q$2:U1000,5,FALSE),0)</f>
        <v>0</v>
      </c>
      <c r="H4" s="25" t="str">
        <f>IF(G4=1, 
 IFERROR(MATCH(D4, 'ALL Pos and Incl IMPORT'!Q$1:Q1000, 0), 
 IFERROR(MATCH(D4, 'ALL Pos and Incl IMPORT'!R$1:R1000, 0), 
 IFERROR(MATCH(D4, 'ALL Pos and Incl IMPORT'!S$1:S1000, 0), 
 IFERROR(MATCH(D4, 'ALL Pos and Incl IMPORT'!T$1:T1000, 0), 
  "error - 1 but not found"
 )))), 
 IF(G4&gt;=2,"MANUAL","not found")
)</f>
        <v>not found</v>
      </c>
      <c r="I4" s="28" t="str">
        <f t="array" ref="I4">IFERROR(INDEX('ALL Pos and Incl IMPORT'!$B$1:$U1000,$H4,1),$H4)</f>
        <v>not found</v>
      </c>
      <c r="J4" s="28" t="str">
        <f t="array" ref="J4">IFERROR(INDEX('ALL Pos and Incl IMPORT'!$B$1:$U1000,$H4,6),$H4)</f>
        <v>not found</v>
      </c>
      <c r="K4" s="29" t="str">
        <f t="array" ref="K4">IFERROR(INDEX('ALL Pos and Incl IMPORT'!$B$1:$U1000,$H4,3),$H4)</f>
        <v>not found</v>
      </c>
      <c r="L4" s="16">
        <f t="array" ref="L4">INDEX('Referral Test Data'!$H$1:$U1000,$E4,3)</f>
        <v>44903</v>
      </c>
      <c r="M4" s="27" t="b">
        <v>1</v>
      </c>
      <c r="N4" s="27" t="str">
        <f t="shared" si="2"/>
        <v>Positive</v>
      </c>
      <c r="O4" s="18" t="str">
        <f t="array" ref="O4">INDEX('Referral Test Data'!$H$1:$U1000,$E4,7)</f>
        <v>Rapid PCR</v>
      </c>
      <c r="P4" s="18" t="str">
        <f t="array" ref="P4">INDEX('Referral Test Data'!$H$1:$U1000,$E4,9)</f>
        <v>Negative</v>
      </c>
      <c r="Q4" s="18" t="str">
        <f t="array" ref="Q4">IF(OR($E4+1&lt;$E5, AND(ISBLANK($E5), ($E4-1)&lt;COUNT('Referral Test Data'!$D$2:$D1000))), INDEX('Referral Test Data'!$H$1:$U1000,$E4+1,7), IFERROR(0/0,""))
</f>
        <v>Antigen</v>
      </c>
      <c r="R4" s="18" t="str">
        <f t="array" ref="R4">IF(OR($E4+1&lt;$E5, AND(ISBLANK($E5), ($E4-1)&lt;COUNT('Referral Test Data'!$D$2:$D1000))), INDEX('Referral Test Data'!$H$1:$U1000,$E4+1,9),IFERROR(0/0,""))</f>
        <v>Negative</v>
      </c>
      <c r="S4" s="30" t="str">
        <f t="array" ref="S4">IF(OR($E4+2&lt;$E5, AND(ISBLANK($E5), ($E4-1)&lt;COUNT('Referral Test Data'!$D$2:$D1000))), INDEX('Referral Test Data'!$H$1:$U1000,$E4+2,7),IFERROR(0/0,""))</f>
        <v>Antigen</v>
      </c>
      <c r="T4" s="31" t="s">
        <v>25</v>
      </c>
      <c r="U4" s="19" t="str">
        <f t="array" ref="U4">INDEX('Referral Test Data'!$H$1:$V1000,$E4,15)</f>
        <v>AG173</v>
      </c>
      <c r="V4" s="20" t="b">
        <f t="shared" si="3"/>
        <v>0</v>
      </c>
      <c r="W4" s="21" t="b">
        <v>1</v>
      </c>
      <c r="Y4" s="22" t="s">
        <v>26</v>
      </c>
    </row>
    <row r="5">
      <c r="D5" s="32"/>
      <c r="E5" s="12"/>
      <c r="F5" s="12"/>
      <c r="G5" s="12"/>
      <c r="H5" s="12"/>
      <c r="I5" s="13"/>
      <c r="J5" s="13"/>
      <c r="K5" s="33"/>
    </row>
    <row r="6">
      <c r="E6" s="12"/>
      <c r="F6" s="12"/>
      <c r="G6" s="12"/>
      <c r="H6" s="12"/>
      <c r="I6" s="13"/>
      <c r="J6" s="13"/>
      <c r="K6" s="33"/>
    </row>
    <row r="7">
      <c r="E7" s="12"/>
      <c r="F7" s="12"/>
      <c r="G7" s="12"/>
      <c r="H7" s="12"/>
      <c r="I7" s="13"/>
      <c r="J7" s="13"/>
      <c r="K7" s="33"/>
    </row>
    <row r="8">
      <c r="E8" s="12"/>
      <c r="F8" s="12"/>
      <c r="G8" s="12"/>
      <c r="H8" s="12"/>
      <c r="I8" s="13"/>
      <c r="J8" s="13"/>
      <c r="K8" s="33"/>
    </row>
    <row r="9">
      <c r="E9" s="12"/>
      <c r="F9" s="12"/>
      <c r="G9" s="12"/>
      <c r="H9" s="19" t="s">
        <v>27</v>
      </c>
      <c r="I9" s="19"/>
      <c r="J9" s="19"/>
      <c r="K9" s="34"/>
    </row>
    <row r="10">
      <c r="E10" s="12"/>
      <c r="F10" s="12"/>
      <c r="G10" s="12"/>
      <c r="H10" s="19" t="s">
        <v>28</v>
      </c>
      <c r="I10" s="19"/>
      <c r="J10" s="19"/>
      <c r="K10" s="34"/>
    </row>
    <row r="11">
      <c r="E11" s="12"/>
      <c r="F11" s="12"/>
      <c r="G11" s="12"/>
      <c r="H11" s="19" t="s">
        <v>29</v>
      </c>
      <c r="I11" s="19"/>
      <c r="J11" s="19"/>
      <c r="K11" s="34"/>
    </row>
    <row r="12">
      <c r="E12" s="12"/>
      <c r="F12" s="12"/>
      <c r="G12" s="12"/>
      <c r="H12" s="12"/>
      <c r="I12" s="13"/>
      <c r="J12" s="13"/>
      <c r="K12" s="33"/>
    </row>
    <row r="13">
      <c r="E13" s="12"/>
      <c r="F13" s="12"/>
      <c r="G13" s="12"/>
      <c r="H13" s="12"/>
      <c r="I13" s="13"/>
      <c r="J13" s="13"/>
      <c r="K13" s="33"/>
    </row>
    <row r="14">
      <c r="E14" s="12"/>
      <c r="F14" s="12"/>
      <c r="G14" s="12"/>
      <c r="H14" s="12"/>
      <c r="I14" s="13"/>
      <c r="J14" s="13"/>
      <c r="K14" s="33"/>
    </row>
    <row r="15">
      <c r="E15" s="12"/>
      <c r="F15" s="12"/>
      <c r="G15" s="12"/>
      <c r="H15" s="12"/>
      <c r="I15" s="13"/>
      <c r="J15" s="13"/>
      <c r="K15" s="33"/>
    </row>
    <row r="16">
      <c r="F16" s="12"/>
      <c r="G16" s="12"/>
    </row>
    <row r="17">
      <c r="G17" s="12"/>
    </row>
    <row r="21">
      <c r="C21" s="35" t="s">
        <v>30</v>
      </c>
      <c r="D21" s="35"/>
      <c r="J21" s="18" t="str">
        <f>IF(G2=1, IFERROR(VLOOKUP(C2, #REF!, 6, FALSE), IFERROR(VLOOKUP(C2, #REF!, 5, FALSE), IFERROR(VLOOKUP(C2, #REF!, 4, FALSE), IFERROR(VLOOKUP(C2, #REF!, 3, FALSE), "error - 1 but not found")))),"LOOKUP")</f>
        <v>LOOKUP</v>
      </c>
    </row>
  </sheetData>
  <conditionalFormatting sqref="G1:G1000">
    <cfRule type="cellIs" dxfId="0" priority="1" operator="greaterThanOrEqual">
      <formula>2</formula>
    </cfRule>
  </conditionalFormatting>
  <conditionalFormatting sqref="G1:G1000">
    <cfRule type="cellIs" dxfId="1" priority="2" operator="equal">
      <formula>0</formula>
    </cfRule>
  </conditionalFormatting>
  <conditionalFormatting sqref="M2:M1000">
    <cfRule type="cellIs" dxfId="2" priority="3" operator="equal">
      <formula>"TRUE"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3.88"/>
    <col customWidth="1" min="6" max="6" width="13.88"/>
    <col customWidth="1" min="8" max="8" width="13.88"/>
    <col customWidth="1" min="10" max="10" width="17.13"/>
    <col customWidth="1" min="11" max="11" width="16.88"/>
    <col customWidth="1" min="12" max="12" width="15.13"/>
    <col customWidth="1" min="13" max="13" width="16.13"/>
    <col customWidth="1" min="14" max="14" width="12.75"/>
    <col customWidth="1" min="17" max="17" width="15.25"/>
    <col customWidth="1" min="18" max="18" width="15.63"/>
    <col customWidth="1" min="22" max="22" width="15.38"/>
  </cols>
  <sheetData>
    <row r="1">
      <c r="A1" s="36" t="s">
        <v>31</v>
      </c>
      <c r="B1" s="37" t="s">
        <v>32</v>
      </c>
      <c r="C1" s="37" t="s">
        <v>33</v>
      </c>
      <c r="D1" s="37" t="s">
        <v>34</v>
      </c>
      <c r="E1" s="4" t="s">
        <v>35</v>
      </c>
      <c r="F1" s="1" t="s">
        <v>0</v>
      </c>
      <c r="G1" s="4" t="s">
        <v>1</v>
      </c>
      <c r="H1" s="2" t="s">
        <v>2</v>
      </c>
      <c r="I1" s="4" t="s">
        <v>3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38" t="s">
        <v>45</v>
      </c>
      <c r="T1" s="5" t="s">
        <v>46</v>
      </c>
      <c r="U1" s="4" t="s">
        <v>47</v>
      </c>
      <c r="V1" s="39" t="s">
        <v>48</v>
      </c>
      <c r="W1" s="40" t="s">
        <v>49</v>
      </c>
      <c r="X1" s="40" t="s">
        <v>50</v>
      </c>
      <c r="Y1" s="41" t="s">
        <v>51</v>
      </c>
      <c r="Z1" s="41" t="s">
        <v>52</v>
      </c>
      <c r="AA1" s="41" t="s">
        <v>53</v>
      </c>
      <c r="AB1" s="41" t="s">
        <v>54</v>
      </c>
      <c r="AC1" s="41" t="s">
        <v>55</v>
      </c>
      <c r="AD1" s="41" t="s">
        <v>56</v>
      </c>
      <c r="AE1" s="41" t="s">
        <v>57</v>
      </c>
      <c r="AF1" s="41" t="s">
        <v>58</v>
      </c>
      <c r="AG1" s="41" t="s">
        <v>59</v>
      </c>
      <c r="AH1" s="41" t="s">
        <v>60</v>
      </c>
      <c r="AI1" s="40" t="s">
        <v>61</v>
      </c>
    </row>
    <row r="2">
      <c r="A2" s="42"/>
      <c r="B2" s="43">
        <f>COUNTIF('ALL Pos and Incl IMPORT'!$Q$2:$T138, $G2) </f>
        <v>0</v>
      </c>
      <c r="C2" s="43">
        <f>IFERROR(__xludf.DUMMYFUNCTION("COUNTIF(IMPORTRANGE('ALL Pos and Incl IMPORT'!$A$3, ""Person!$C$2:$C""), G2)"),0.0)</f>
        <v>0</v>
      </c>
      <c r="D2" s="44">
        <f t="shared" ref="D2:D8" si="1">COUNTIF(H$2:H138, H2) </f>
        <v>0</v>
      </c>
      <c r="E2" s="22" t="s">
        <v>62</v>
      </c>
      <c r="H2" s="45"/>
      <c r="I2" s="46" t="s">
        <v>63</v>
      </c>
      <c r="J2" s="47">
        <v>44903.0</v>
      </c>
      <c r="K2" s="48">
        <v>0.5416666666666666</v>
      </c>
      <c r="L2" s="47">
        <v>44903.0</v>
      </c>
      <c r="M2" s="48">
        <v>0.625</v>
      </c>
      <c r="N2" s="22" t="s">
        <v>64</v>
      </c>
      <c r="O2" s="22" t="s">
        <v>65</v>
      </c>
      <c r="P2" s="22" t="s">
        <v>25</v>
      </c>
      <c r="R2" s="22" t="b">
        <v>0</v>
      </c>
      <c r="U2" s="22" t="s">
        <v>66</v>
      </c>
      <c r="V2" s="49" t="s">
        <v>22</v>
      </c>
      <c r="W2" s="50" t="str">
        <f t="shared" ref="W2:W8" si="2">IFERROR(VLOOKUP(V2,'Positives IMPORT'!E:T,2,FALSE),"No ID")</f>
        <v>No ID</v>
      </c>
      <c r="X2" s="51" t="str">
        <f t="shared" ref="X2:X8" si="3">IFERROR(VLOOKUP(V2,'Positives IMPORT'!E:T,3,FALSE),"No ID")</f>
        <v>No ID</v>
      </c>
      <c r="Y2" s="52"/>
      <c r="Z2" s="53">
        <v>1.0</v>
      </c>
      <c r="AA2" s="53">
        <v>0.0</v>
      </c>
      <c r="AB2" s="53">
        <v>0.0</v>
      </c>
      <c r="AC2" s="53">
        <v>2.0</v>
      </c>
      <c r="AD2" s="53">
        <v>1.0</v>
      </c>
      <c r="AE2" s="53">
        <v>0.0</v>
      </c>
      <c r="AF2" s="53">
        <v>0.0</v>
      </c>
      <c r="AG2" s="53">
        <v>0.0</v>
      </c>
      <c r="AH2" s="53">
        <v>0.0</v>
      </c>
      <c r="AI2" s="54" t="str">
        <f t="shared" ref="AI2:AI8" si="4">IFERROR(VLOOKUP(V2,'Positives IMPORT'!E:T,7,FALSE),"No ID")</f>
        <v>No ID</v>
      </c>
    </row>
    <row r="3">
      <c r="A3" s="42"/>
      <c r="B3" s="43">
        <f>COUNTIF('ALL Pos and Incl IMPORT'!$Q$2:$T138, $G3) </f>
        <v>0</v>
      </c>
      <c r="C3" s="43">
        <f>IFERROR(__xludf.DUMMYFUNCTION("COUNTIF(IMPORTRANGE('ALL Pos and Incl IMPORT'!$A$3, ""Person!$C$2:$C""), G3)"),0.0)</f>
        <v>0</v>
      </c>
      <c r="D3" s="44">
        <f t="shared" si="1"/>
        <v>0</v>
      </c>
      <c r="E3" s="22" t="s">
        <v>67</v>
      </c>
      <c r="F3" s="19"/>
      <c r="G3" s="19"/>
      <c r="H3" s="45"/>
      <c r="I3" s="46" t="s">
        <v>68</v>
      </c>
      <c r="J3" s="47">
        <v>44903.0</v>
      </c>
      <c r="K3" s="48">
        <v>0.5208333333333334</v>
      </c>
      <c r="L3" s="47">
        <v>44903.0</v>
      </c>
      <c r="M3" s="48">
        <v>0.5465277777777777</v>
      </c>
      <c r="N3" s="22" t="s">
        <v>69</v>
      </c>
      <c r="O3" s="22" t="s">
        <v>70</v>
      </c>
      <c r="P3" s="22" t="s">
        <v>71</v>
      </c>
      <c r="R3" s="22" t="b">
        <v>0</v>
      </c>
      <c r="U3" s="22" t="s">
        <v>66</v>
      </c>
      <c r="V3" s="49" t="s">
        <v>22</v>
      </c>
      <c r="W3" s="50" t="str">
        <f t="shared" si="2"/>
        <v>No ID</v>
      </c>
      <c r="X3" s="51" t="str">
        <f t="shared" si="3"/>
        <v>No ID</v>
      </c>
      <c r="Y3" s="52"/>
      <c r="Z3" s="53">
        <v>1.0</v>
      </c>
      <c r="AA3" s="53">
        <v>0.0</v>
      </c>
      <c r="AB3" s="53">
        <v>0.0</v>
      </c>
      <c r="AC3" s="53">
        <v>2.0</v>
      </c>
      <c r="AD3" s="53">
        <v>1.0</v>
      </c>
      <c r="AE3" s="53">
        <v>0.0</v>
      </c>
      <c r="AF3" s="53">
        <v>0.0</v>
      </c>
      <c r="AG3" s="53">
        <v>0.0</v>
      </c>
      <c r="AH3" s="53">
        <v>0.0</v>
      </c>
      <c r="AI3" s="54" t="str">
        <f t="shared" si="4"/>
        <v>No ID</v>
      </c>
    </row>
    <row r="4">
      <c r="A4" s="42"/>
      <c r="B4" s="43">
        <f>COUNTIF('ALL Pos and Incl IMPORT'!$Q$2:$T138, $G4) </f>
        <v>0</v>
      </c>
      <c r="C4" s="43">
        <f>IFERROR(__xludf.DUMMYFUNCTION("COUNTIF(IMPORTRANGE('ALL Pos and Incl IMPORT'!$A$3, ""Person!$C$2:$C""), G4)"),0.0)</f>
        <v>0</v>
      </c>
      <c r="D4" s="44">
        <f t="shared" si="1"/>
        <v>0</v>
      </c>
      <c r="E4" s="22" t="s">
        <v>72</v>
      </c>
      <c r="F4" s="19"/>
      <c r="G4" s="19"/>
      <c r="H4" s="45"/>
      <c r="I4" s="46" t="s">
        <v>68</v>
      </c>
      <c r="J4" s="47">
        <v>44905.0</v>
      </c>
      <c r="N4" s="22" t="s">
        <v>69</v>
      </c>
      <c r="O4" s="22" t="s">
        <v>70</v>
      </c>
      <c r="P4" s="22" t="s">
        <v>25</v>
      </c>
      <c r="R4" s="22" t="b">
        <v>1</v>
      </c>
      <c r="U4" s="22" t="s">
        <v>66</v>
      </c>
      <c r="V4" s="49" t="s">
        <v>22</v>
      </c>
      <c r="W4" s="50" t="str">
        <f t="shared" si="2"/>
        <v>No ID</v>
      </c>
      <c r="X4" s="51" t="str">
        <f t="shared" si="3"/>
        <v>No ID</v>
      </c>
      <c r="Y4" s="52"/>
      <c r="Z4" s="53">
        <v>1.0</v>
      </c>
      <c r="AA4" s="53">
        <v>0.0</v>
      </c>
      <c r="AB4" s="53">
        <v>0.0</v>
      </c>
      <c r="AC4" s="53">
        <v>2.0</v>
      </c>
      <c r="AD4" s="53">
        <v>1.0</v>
      </c>
      <c r="AE4" s="53">
        <v>0.0</v>
      </c>
      <c r="AF4" s="53">
        <v>0.0</v>
      </c>
      <c r="AG4" s="53">
        <v>0.0</v>
      </c>
      <c r="AH4" s="53">
        <v>0.0</v>
      </c>
      <c r="AI4" s="54" t="str">
        <f t="shared" si="4"/>
        <v>No ID</v>
      </c>
    </row>
    <row r="5">
      <c r="A5" s="42"/>
      <c r="B5" s="43">
        <f>COUNTIF('ALL Pos and Incl IMPORT'!$Q$2:$T138, $G5) </f>
        <v>0</v>
      </c>
      <c r="C5" s="43">
        <f>IFERROR(__xludf.DUMMYFUNCTION("COUNTIF(IMPORTRANGE('ALL Pos and Incl IMPORT'!$A$3, ""Person!$C$2:$C""), G5)"),0.0)</f>
        <v>0</v>
      </c>
      <c r="D5" s="44">
        <f t="shared" si="1"/>
        <v>0</v>
      </c>
      <c r="E5" s="22" t="s">
        <v>73</v>
      </c>
      <c r="H5" s="45"/>
      <c r="I5" s="46" t="s">
        <v>74</v>
      </c>
      <c r="J5" s="47">
        <v>44903.0</v>
      </c>
      <c r="K5" s="48">
        <v>0.5416666666666666</v>
      </c>
      <c r="L5" s="47">
        <v>44903.0</v>
      </c>
      <c r="M5" s="48">
        <v>0.625</v>
      </c>
      <c r="N5" s="22" t="s">
        <v>64</v>
      </c>
      <c r="O5" s="22" t="s">
        <v>65</v>
      </c>
      <c r="P5" s="22" t="s">
        <v>71</v>
      </c>
      <c r="R5" s="22" t="b">
        <v>0</v>
      </c>
      <c r="U5" s="22" t="s">
        <v>66</v>
      </c>
      <c r="V5" s="49" t="s">
        <v>22</v>
      </c>
      <c r="W5" s="50" t="str">
        <f t="shared" si="2"/>
        <v>No ID</v>
      </c>
      <c r="X5" s="51" t="str">
        <f t="shared" si="3"/>
        <v>No ID</v>
      </c>
      <c r="Y5" s="52"/>
      <c r="Z5" s="53">
        <v>1.0</v>
      </c>
      <c r="AA5" s="53">
        <v>0.0</v>
      </c>
      <c r="AB5" s="53">
        <v>0.0</v>
      </c>
      <c r="AC5" s="53">
        <v>2.0</v>
      </c>
      <c r="AD5" s="53">
        <v>1.0</v>
      </c>
      <c r="AE5" s="53">
        <v>0.0</v>
      </c>
      <c r="AF5" s="53">
        <v>0.0</v>
      </c>
      <c r="AG5" s="53">
        <v>0.0</v>
      </c>
      <c r="AH5" s="53">
        <v>0.0</v>
      </c>
      <c r="AI5" s="54" t="str">
        <f t="shared" si="4"/>
        <v>No ID</v>
      </c>
    </row>
    <row r="6">
      <c r="A6" s="42"/>
      <c r="B6" s="43">
        <f>COUNTIF('ALL Pos and Incl IMPORT'!$Q$2:$T138, $G6) </f>
        <v>0</v>
      </c>
      <c r="C6" s="43">
        <f>IFERROR(__xludf.DUMMYFUNCTION("COUNTIF(IMPORTRANGE('ALL Pos and Incl IMPORT'!$A$3, ""Person!$C$2:$C""), G6)"),0.0)</f>
        <v>0</v>
      </c>
      <c r="D6" s="44">
        <f t="shared" si="1"/>
        <v>0</v>
      </c>
      <c r="E6" s="22" t="s">
        <v>75</v>
      </c>
      <c r="H6" s="45"/>
      <c r="I6" s="46" t="s">
        <v>74</v>
      </c>
      <c r="J6" s="47">
        <v>44904.0</v>
      </c>
      <c r="N6" s="22" t="s">
        <v>76</v>
      </c>
      <c r="P6" s="22" t="s">
        <v>71</v>
      </c>
      <c r="R6" s="22" t="b">
        <v>1</v>
      </c>
      <c r="U6" s="22" t="s">
        <v>66</v>
      </c>
      <c r="V6" s="49" t="s">
        <v>22</v>
      </c>
      <c r="W6" s="50" t="str">
        <f t="shared" si="2"/>
        <v>No ID</v>
      </c>
      <c r="X6" s="51" t="str">
        <f t="shared" si="3"/>
        <v>No ID</v>
      </c>
      <c r="Y6" s="52"/>
      <c r="Z6" s="53">
        <v>1.0</v>
      </c>
      <c r="AA6" s="53">
        <v>0.0</v>
      </c>
      <c r="AB6" s="53">
        <v>0.0</v>
      </c>
      <c r="AC6" s="53">
        <v>2.0</v>
      </c>
      <c r="AD6" s="53">
        <v>1.0</v>
      </c>
      <c r="AE6" s="53">
        <v>0.0</v>
      </c>
      <c r="AF6" s="53">
        <v>0.0</v>
      </c>
      <c r="AG6" s="53">
        <v>0.0</v>
      </c>
      <c r="AH6" s="53">
        <v>0.0</v>
      </c>
      <c r="AI6" s="54" t="str">
        <f t="shared" si="4"/>
        <v>No ID</v>
      </c>
    </row>
    <row r="7">
      <c r="A7" s="42"/>
      <c r="B7" s="43">
        <f>COUNTIF('ALL Pos and Incl IMPORT'!$Q$2:$T138, $G7) </f>
        <v>0</v>
      </c>
      <c r="C7" s="43">
        <f>IFERROR(__xludf.DUMMYFUNCTION("COUNTIF(IMPORTRANGE('ALL Pos and Incl IMPORT'!$A$3, ""Person!$C$2:$C""), G7)"),0.0)</f>
        <v>0</v>
      </c>
      <c r="D7" s="44">
        <f t="shared" si="1"/>
        <v>0</v>
      </c>
      <c r="E7" s="22" t="s">
        <v>77</v>
      </c>
      <c r="H7" s="45"/>
      <c r="I7" s="46" t="s">
        <v>74</v>
      </c>
      <c r="J7" s="47">
        <v>44905.0</v>
      </c>
      <c r="N7" s="22" t="s">
        <v>76</v>
      </c>
      <c r="P7" s="22" t="s">
        <v>71</v>
      </c>
      <c r="R7" s="22" t="b">
        <v>1</v>
      </c>
      <c r="U7" s="22" t="s">
        <v>66</v>
      </c>
      <c r="V7" s="49" t="s">
        <v>22</v>
      </c>
      <c r="W7" s="50" t="str">
        <f t="shared" si="2"/>
        <v>No ID</v>
      </c>
      <c r="X7" s="51" t="str">
        <f t="shared" si="3"/>
        <v>No ID</v>
      </c>
      <c r="Y7" s="52"/>
      <c r="Z7" s="53">
        <v>1.0</v>
      </c>
      <c r="AA7" s="53">
        <v>0.0</v>
      </c>
      <c r="AB7" s="53">
        <v>0.0</v>
      </c>
      <c r="AC7" s="53">
        <v>2.0</v>
      </c>
      <c r="AD7" s="53">
        <v>1.0</v>
      </c>
      <c r="AE7" s="53">
        <v>0.0</v>
      </c>
      <c r="AF7" s="53">
        <v>0.0</v>
      </c>
      <c r="AG7" s="53">
        <v>0.0</v>
      </c>
      <c r="AH7" s="53">
        <v>0.0</v>
      </c>
      <c r="AI7" s="54" t="str">
        <f t="shared" si="4"/>
        <v>No ID</v>
      </c>
    </row>
    <row r="8">
      <c r="A8" s="42"/>
      <c r="B8" s="43">
        <f>COUNTIF('ALL Pos and Incl IMPORT'!$Q$2:$T138, $G8) </f>
        <v>0</v>
      </c>
      <c r="C8" s="43">
        <f>IFERROR(__xludf.DUMMYFUNCTION("COUNTIF(IMPORTRANGE('ALL Pos and Incl IMPORT'!$A$3, ""Person!$C$2:$C""), G8)"),0.0)</f>
        <v>0</v>
      </c>
      <c r="D8" s="44">
        <f t="shared" si="1"/>
        <v>0</v>
      </c>
      <c r="E8" s="22" t="s">
        <v>78</v>
      </c>
      <c r="H8" s="45"/>
      <c r="I8" s="46" t="s">
        <v>74</v>
      </c>
      <c r="J8" s="47">
        <v>44906.0</v>
      </c>
      <c r="N8" s="22" t="s">
        <v>76</v>
      </c>
      <c r="P8" s="22" t="s">
        <v>25</v>
      </c>
      <c r="U8" s="22" t="s">
        <v>66</v>
      </c>
      <c r="V8" s="49" t="s">
        <v>22</v>
      </c>
      <c r="W8" s="50" t="str">
        <f t="shared" si="2"/>
        <v>No ID</v>
      </c>
      <c r="X8" s="51" t="str">
        <f t="shared" si="3"/>
        <v>No ID</v>
      </c>
      <c r="Y8" s="52"/>
      <c r="Z8" s="53">
        <v>1.0</v>
      </c>
      <c r="AA8" s="53">
        <v>0.0</v>
      </c>
      <c r="AB8" s="53">
        <v>0.0</v>
      </c>
      <c r="AC8" s="53">
        <v>2.0</v>
      </c>
      <c r="AD8" s="53">
        <v>1.0</v>
      </c>
      <c r="AE8" s="53">
        <v>0.0</v>
      </c>
      <c r="AF8" s="53">
        <v>0.0</v>
      </c>
      <c r="AG8" s="53">
        <v>0.0</v>
      </c>
      <c r="AH8" s="53">
        <v>0.0</v>
      </c>
      <c r="AI8" s="54" t="str">
        <f t="shared" si="4"/>
        <v>No ID</v>
      </c>
    </row>
    <row r="9">
      <c r="A9" s="42"/>
      <c r="I9" s="47"/>
      <c r="J9" s="47"/>
      <c r="V9" s="49"/>
      <c r="W9" s="50"/>
      <c r="X9" s="51"/>
      <c r="Y9" s="52"/>
      <c r="Z9" s="53"/>
      <c r="AA9" s="53"/>
      <c r="AB9" s="53"/>
      <c r="AC9" s="53"/>
      <c r="AD9" s="53"/>
      <c r="AE9" s="53"/>
      <c r="AF9" s="53"/>
      <c r="AG9" s="53"/>
      <c r="AH9" s="53"/>
      <c r="AI9" s="54"/>
    </row>
    <row r="10">
      <c r="A10" s="42"/>
      <c r="I10" s="47"/>
      <c r="J10" s="47"/>
      <c r="N10" s="22" t="s">
        <v>79</v>
      </c>
      <c r="V10" s="49"/>
      <c r="W10" s="50"/>
      <c r="X10" s="51"/>
      <c r="Y10" s="52"/>
      <c r="Z10" s="53"/>
      <c r="AA10" s="53"/>
      <c r="AB10" s="53"/>
      <c r="AC10" s="53"/>
      <c r="AD10" s="53"/>
      <c r="AE10" s="53"/>
      <c r="AF10" s="53"/>
      <c r="AG10" s="53"/>
      <c r="AH10" s="53"/>
      <c r="AI10" s="54"/>
    </row>
    <row r="11">
      <c r="A11" s="42"/>
      <c r="I11" s="47"/>
      <c r="J11" s="47"/>
      <c r="N11" s="22" t="s">
        <v>80</v>
      </c>
      <c r="V11" s="49"/>
      <c r="W11" s="50"/>
      <c r="X11" s="51"/>
      <c r="Y11" s="52"/>
      <c r="Z11" s="53"/>
      <c r="AA11" s="53"/>
      <c r="AB11" s="53"/>
      <c r="AC11" s="53"/>
      <c r="AD11" s="53"/>
      <c r="AE11" s="53"/>
      <c r="AF11" s="53"/>
      <c r="AG11" s="53"/>
      <c r="AH11" s="53"/>
      <c r="AI11" s="54"/>
    </row>
    <row r="12">
      <c r="A12" s="42"/>
      <c r="I12" s="47"/>
      <c r="J12" s="47"/>
      <c r="V12" s="49"/>
      <c r="W12" s="50"/>
      <c r="X12" s="51"/>
      <c r="Y12" s="52"/>
      <c r="Z12" s="53"/>
      <c r="AA12" s="53"/>
      <c r="AB12" s="53"/>
      <c r="AC12" s="53"/>
      <c r="AD12" s="53"/>
      <c r="AE12" s="53"/>
      <c r="AF12" s="53"/>
      <c r="AG12" s="53"/>
      <c r="AH12" s="53"/>
      <c r="AI12" s="54"/>
    </row>
    <row r="13">
      <c r="A13" s="42"/>
      <c r="I13" s="47"/>
      <c r="J13" s="47"/>
      <c r="V13" s="49"/>
      <c r="W13" s="50"/>
      <c r="X13" s="51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>
      <c r="A14" s="42"/>
      <c r="I14" s="47"/>
      <c r="J14" s="47"/>
      <c r="V14" s="49"/>
      <c r="W14" s="50"/>
      <c r="X14" s="51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4"/>
    </row>
    <row r="15">
      <c r="A15" s="42"/>
      <c r="I15" s="47"/>
      <c r="J15" s="47"/>
      <c r="V15" s="49"/>
      <c r="W15" s="50"/>
      <c r="X15" s="51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>
      <c r="A16" s="42"/>
      <c r="I16" s="47"/>
      <c r="J16" s="47"/>
      <c r="V16" s="49"/>
      <c r="W16" s="50"/>
      <c r="X16" s="51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>
      <c r="A17" s="42"/>
      <c r="I17" s="47"/>
      <c r="J17" s="47"/>
      <c r="V17" s="49"/>
      <c r="W17" s="50"/>
      <c r="X17" s="51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>
      <c r="A18" s="42"/>
      <c r="I18" s="47"/>
      <c r="J18" s="47"/>
      <c r="V18" s="49"/>
      <c r="W18" s="50"/>
      <c r="X18" s="51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4"/>
    </row>
    <row r="19">
      <c r="A19" s="42"/>
      <c r="I19" s="47"/>
      <c r="J19" s="47"/>
      <c r="V19" s="49"/>
      <c r="W19" s="50"/>
      <c r="X19" s="51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>
      <c r="A20" s="42"/>
      <c r="I20" s="47"/>
      <c r="J20" s="47"/>
      <c r="V20" s="49"/>
      <c r="W20" s="50"/>
      <c r="X20" s="51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4"/>
    </row>
    <row r="21">
      <c r="A21" s="42"/>
      <c r="I21" s="47"/>
      <c r="J21" s="47"/>
      <c r="V21" s="49"/>
      <c r="W21" s="50"/>
      <c r="X21" s="51"/>
      <c r="Y21" s="52"/>
      <c r="Z21" s="53"/>
      <c r="AA21" s="53"/>
      <c r="AB21" s="53"/>
      <c r="AC21" s="53"/>
      <c r="AD21" s="53"/>
      <c r="AE21" s="53"/>
      <c r="AF21" s="53"/>
      <c r="AG21" s="53"/>
      <c r="AH21" s="53"/>
      <c r="AI21" s="54"/>
    </row>
    <row r="22">
      <c r="A22" s="42"/>
      <c r="I22" s="47"/>
      <c r="J22" s="47"/>
      <c r="V22" s="49"/>
      <c r="W22" s="50"/>
      <c r="X22" s="51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4"/>
    </row>
    <row r="23">
      <c r="A23" s="42"/>
      <c r="I23" s="47"/>
      <c r="J23" s="47"/>
      <c r="V23" s="49"/>
      <c r="W23" s="50"/>
      <c r="X23" s="51"/>
      <c r="Y23" s="52"/>
      <c r="Z23" s="53"/>
      <c r="AA23" s="53"/>
      <c r="AB23" s="53"/>
      <c r="AC23" s="53"/>
      <c r="AD23" s="53"/>
      <c r="AE23" s="53"/>
      <c r="AF23" s="53"/>
      <c r="AG23" s="53"/>
      <c r="AH23" s="53"/>
      <c r="AI23" s="54"/>
    </row>
    <row r="24">
      <c r="A24" s="42"/>
      <c r="I24" s="47"/>
      <c r="J24" s="47"/>
      <c r="V24" s="49"/>
      <c r="W24" s="50"/>
      <c r="X24" s="51"/>
      <c r="Y24" s="52"/>
      <c r="Z24" s="53"/>
      <c r="AA24" s="53"/>
      <c r="AB24" s="53"/>
      <c r="AC24" s="53"/>
      <c r="AD24" s="53"/>
      <c r="AE24" s="53"/>
      <c r="AF24" s="53"/>
      <c r="AG24" s="53"/>
      <c r="AH24" s="53"/>
      <c r="AI24" s="54"/>
    </row>
    <row r="25">
      <c r="A25" s="42"/>
      <c r="I25" s="47"/>
      <c r="J25" s="47"/>
      <c r="V25" s="49"/>
      <c r="W25" s="50"/>
      <c r="X25" s="51"/>
      <c r="Y25" s="52"/>
      <c r="Z25" s="53"/>
      <c r="AA25" s="53"/>
      <c r="AB25" s="53"/>
      <c r="AC25" s="53"/>
      <c r="AD25" s="53"/>
      <c r="AE25" s="53"/>
      <c r="AF25" s="53"/>
      <c r="AG25" s="53"/>
      <c r="AH25" s="53"/>
      <c r="AI25" s="54"/>
    </row>
    <row r="26">
      <c r="A26" s="42"/>
      <c r="I26" s="47"/>
      <c r="J26" s="47"/>
      <c r="V26" s="49"/>
      <c r="W26" s="50"/>
      <c r="X26" s="51"/>
      <c r="Y26" s="52"/>
      <c r="Z26" s="53"/>
      <c r="AA26" s="53"/>
      <c r="AB26" s="53"/>
      <c r="AC26" s="53"/>
      <c r="AD26" s="53"/>
      <c r="AE26" s="53"/>
      <c r="AF26" s="53"/>
      <c r="AG26" s="53"/>
      <c r="AH26" s="53"/>
      <c r="AI26" s="54"/>
    </row>
    <row r="27">
      <c r="A27" s="42"/>
      <c r="I27" s="47"/>
      <c r="J27" s="47"/>
      <c r="V27" s="49"/>
      <c r="W27" s="50"/>
      <c r="X27" s="51"/>
      <c r="Y27" s="52"/>
      <c r="Z27" s="53"/>
      <c r="AA27" s="53"/>
      <c r="AB27" s="53"/>
      <c r="AC27" s="53"/>
      <c r="AD27" s="53"/>
      <c r="AE27" s="53"/>
      <c r="AF27" s="53"/>
      <c r="AG27" s="53"/>
      <c r="AH27" s="53"/>
      <c r="AI27" s="54"/>
    </row>
    <row r="28">
      <c r="A28" s="42"/>
      <c r="I28" s="47"/>
      <c r="J28" s="47"/>
      <c r="V28" s="49"/>
      <c r="W28" s="50"/>
      <c r="X28" s="51"/>
      <c r="Y28" s="52"/>
      <c r="Z28" s="53"/>
      <c r="AA28" s="53"/>
      <c r="AB28" s="53"/>
      <c r="AC28" s="53"/>
      <c r="AD28" s="53"/>
      <c r="AE28" s="53"/>
      <c r="AF28" s="53"/>
      <c r="AG28" s="53"/>
      <c r="AH28" s="53"/>
      <c r="AI28" s="54"/>
    </row>
    <row r="29">
      <c r="A29" s="42"/>
      <c r="I29" s="47"/>
      <c r="J29" s="47"/>
      <c r="V29" s="49"/>
      <c r="W29" s="50"/>
      <c r="X29" s="51"/>
      <c r="Y29" s="52"/>
      <c r="Z29" s="53"/>
      <c r="AA29" s="53"/>
      <c r="AB29" s="53"/>
      <c r="AC29" s="53"/>
      <c r="AD29" s="53"/>
      <c r="AE29" s="53"/>
      <c r="AF29" s="53"/>
      <c r="AG29" s="53"/>
      <c r="AH29" s="53"/>
      <c r="AI29" s="54"/>
    </row>
    <row r="30">
      <c r="A30" s="42"/>
      <c r="I30" s="47"/>
      <c r="J30" s="47"/>
      <c r="V30" s="49"/>
      <c r="W30" s="50"/>
      <c r="X30" s="51"/>
      <c r="Y30" s="52"/>
      <c r="Z30" s="53"/>
      <c r="AA30" s="53"/>
      <c r="AB30" s="53"/>
      <c r="AC30" s="53"/>
      <c r="AD30" s="53"/>
      <c r="AE30" s="53"/>
      <c r="AF30" s="53"/>
      <c r="AG30" s="53"/>
      <c r="AH30" s="53"/>
      <c r="AI30" s="54"/>
    </row>
    <row r="31">
      <c r="A31" s="42"/>
      <c r="I31" s="47"/>
      <c r="J31" s="47"/>
      <c r="V31" s="49"/>
      <c r="W31" s="50"/>
      <c r="X31" s="51"/>
      <c r="Y31" s="52"/>
      <c r="Z31" s="53"/>
      <c r="AA31" s="53"/>
      <c r="AB31" s="53"/>
      <c r="AC31" s="53"/>
      <c r="AD31" s="53"/>
      <c r="AE31" s="53"/>
      <c r="AF31" s="53"/>
      <c r="AG31" s="53"/>
      <c r="AH31" s="53"/>
      <c r="AI31" s="54"/>
    </row>
    <row r="32">
      <c r="A32" s="42"/>
      <c r="I32" s="47"/>
      <c r="J32" s="47"/>
      <c r="V32" s="49"/>
      <c r="W32" s="50"/>
      <c r="X32" s="51"/>
      <c r="Y32" s="52"/>
      <c r="Z32" s="53"/>
      <c r="AA32" s="53"/>
      <c r="AB32" s="53"/>
      <c r="AC32" s="53"/>
      <c r="AD32" s="53"/>
      <c r="AE32" s="53"/>
      <c r="AF32" s="53"/>
      <c r="AG32" s="53"/>
      <c r="AH32" s="53"/>
      <c r="AI32" s="54"/>
    </row>
    <row r="33">
      <c r="A33" s="42"/>
      <c r="I33" s="47"/>
      <c r="J33" s="47"/>
      <c r="V33" s="49"/>
      <c r="W33" s="50"/>
      <c r="X33" s="51"/>
      <c r="Y33" s="52"/>
      <c r="Z33" s="53"/>
      <c r="AA33" s="53"/>
      <c r="AB33" s="53"/>
      <c r="AC33" s="53"/>
      <c r="AD33" s="53"/>
      <c r="AE33" s="53"/>
      <c r="AF33" s="53"/>
      <c r="AG33" s="53"/>
      <c r="AH33" s="53"/>
      <c r="AI33" s="54"/>
    </row>
    <row r="34">
      <c r="A34" s="42"/>
      <c r="I34" s="47"/>
      <c r="J34" s="47"/>
      <c r="V34" s="49"/>
      <c r="W34" s="50"/>
      <c r="X34" s="51"/>
      <c r="Y34" s="52"/>
      <c r="Z34" s="53"/>
      <c r="AA34" s="53"/>
      <c r="AB34" s="53"/>
      <c r="AC34" s="53"/>
      <c r="AD34" s="53"/>
      <c r="AE34" s="53"/>
      <c r="AF34" s="53"/>
      <c r="AG34" s="53"/>
      <c r="AH34" s="53"/>
      <c r="AI34" s="54"/>
    </row>
    <row r="35">
      <c r="A35" s="42"/>
      <c r="I35" s="47"/>
      <c r="J35" s="47"/>
      <c r="V35" s="49"/>
      <c r="W35" s="50"/>
      <c r="X35" s="51"/>
      <c r="Y35" s="52"/>
      <c r="Z35" s="53"/>
      <c r="AA35" s="53"/>
      <c r="AB35" s="53"/>
      <c r="AC35" s="53"/>
      <c r="AD35" s="53"/>
      <c r="AE35" s="53"/>
      <c r="AF35" s="53"/>
      <c r="AG35" s="53"/>
      <c r="AH35" s="53"/>
      <c r="AI35" s="54"/>
    </row>
    <row r="36">
      <c r="A36" s="42"/>
      <c r="I36" s="47"/>
      <c r="J36" s="47"/>
      <c r="V36" s="49"/>
      <c r="W36" s="50"/>
      <c r="X36" s="51"/>
      <c r="Y36" s="52"/>
      <c r="Z36" s="53"/>
      <c r="AA36" s="53"/>
      <c r="AB36" s="53"/>
      <c r="AC36" s="53"/>
      <c r="AD36" s="53"/>
      <c r="AE36" s="53"/>
      <c r="AF36" s="53"/>
      <c r="AG36" s="53"/>
      <c r="AH36" s="53"/>
      <c r="AI36" s="54"/>
    </row>
    <row r="37">
      <c r="A37" s="42"/>
      <c r="I37" s="47"/>
      <c r="J37" s="47"/>
      <c r="V37" s="49"/>
      <c r="W37" s="50"/>
      <c r="X37" s="51"/>
      <c r="Y37" s="52"/>
      <c r="Z37" s="53"/>
      <c r="AA37" s="53"/>
      <c r="AB37" s="53"/>
      <c r="AC37" s="53"/>
      <c r="AD37" s="53"/>
      <c r="AE37" s="53"/>
      <c r="AF37" s="53"/>
      <c r="AG37" s="53"/>
      <c r="AH37" s="53"/>
      <c r="AI37" s="54"/>
    </row>
    <row r="38">
      <c r="A38" s="42"/>
      <c r="I38" s="47"/>
      <c r="J38" s="47"/>
      <c r="V38" s="49"/>
      <c r="W38" s="50"/>
      <c r="X38" s="51"/>
      <c r="Y38" s="52"/>
      <c r="Z38" s="53"/>
      <c r="AA38" s="53"/>
      <c r="AB38" s="53"/>
      <c r="AC38" s="53"/>
      <c r="AD38" s="53"/>
      <c r="AE38" s="53"/>
      <c r="AF38" s="53"/>
      <c r="AG38" s="53"/>
      <c r="AH38" s="53"/>
      <c r="AI38" s="54"/>
    </row>
    <row r="39">
      <c r="A39" s="42"/>
      <c r="I39" s="47"/>
      <c r="J39" s="47"/>
      <c r="V39" s="49"/>
      <c r="W39" s="50"/>
      <c r="X39" s="51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4"/>
    </row>
    <row r="40">
      <c r="A40" s="42"/>
      <c r="I40" s="47"/>
      <c r="J40" s="47"/>
      <c r="V40" s="49"/>
      <c r="W40" s="50"/>
      <c r="X40" s="51"/>
      <c r="Y40" s="52"/>
      <c r="Z40" s="53"/>
      <c r="AA40" s="53"/>
      <c r="AB40" s="53"/>
      <c r="AC40" s="53"/>
      <c r="AD40" s="53"/>
      <c r="AE40" s="53"/>
      <c r="AF40" s="53"/>
      <c r="AG40" s="53"/>
      <c r="AH40" s="53"/>
      <c r="AI40" s="54"/>
    </row>
    <row r="41">
      <c r="A41" s="42"/>
      <c r="I41" s="47"/>
      <c r="J41" s="47"/>
      <c r="V41" s="49"/>
      <c r="W41" s="50"/>
      <c r="X41" s="51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4"/>
    </row>
    <row r="42">
      <c r="A42" s="42"/>
      <c r="I42" s="47"/>
      <c r="J42" s="47"/>
      <c r="V42" s="49"/>
      <c r="W42" s="50"/>
      <c r="X42" s="51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4"/>
    </row>
    <row r="43">
      <c r="A43" s="42"/>
      <c r="I43" s="47"/>
      <c r="J43" s="47"/>
      <c r="V43" s="49"/>
      <c r="W43" s="50"/>
      <c r="X43" s="51"/>
      <c r="Y43" s="52"/>
      <c r="Z43" s="53"/>
      <c r="AA43" s="53"/>
      <c r="AB43" s="53"/>
      <c r="AC43" s="53"/>
      <c r="AD43" s="53"/>
      <c r="AE43" s="53"/>
      <c r="AF43" s="53"/>
      <c r="AG43" s="53"/>
      <c r="AH43" s="53"/>
      <c r="AI43" s="54"/>
    </row>
    <row r="44">
      <c r="A44" s="42"/>
      <c r="I44" s="47"/>
      <c r="J44" s="47"/>
      <c r="V44" s="49"/>
      <c r="W44" s="50"/>
      <c r="X44" s="51"/>
      <c r="Y44" s="52"/>
      <c r="Z44" s="53"/>
      <c r="AA44" s="53"/>
      <c r="AB44" s="53"/>
      <c r="AC44" s="53"/>
      <c r="AD44" s="53"/>
      <c r="AE44" s="53"/>
      <c r="AF44" s="53"/>
      <c r="AG44" s="53"/>
      <c r="AH44" s="53"/>
      <c r="AI44" s="54"/>
    </row>
    <row r="45">
      <c r="A45" s="42"/>
      <c r="I45" s="47"/>
      <c r="J45" s="47"/>
      <c r="V45" s="49"/>
      <c r="W45" s="50"/>
      <c r="X45" s="51"/>
      <c r="Y45" s="52"/>
      <c r="Z45" s="53"/>
      <c r="AA45" s="53"/>
      <c r="AB45" s="53"/>
      <c r="AC45" s="53"/>
      <c r="AD45" s="53"/>
      <c r="AE45" s="53"/>
      <c r="AF45" s="53"/>
      <c r="AG45" s="53"/>
      <c r="AH45" s="53"/>
      <c r="AI45" s="54"/>
    </row>
    <row r="46">
      <c r="A46" s="42"/>
      <c r="I46" s="47"/>
      <c r="J46" s="47"/>
      <c r="V46" s="49"/>
      <c r="W46" s="50"/>
      <c r="X46" s="51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4"/>
    </row>
    <row r="47">
      <c r="A47" s="42"/>
      <c r="I47" s="47"/>
      <c r="J47" s="47"/>
      <c r="V47" s="49"/>
      <c r="W47" s="50"/>
      <c r="X47" s="51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4"/>
    </row>
    <row r="48">
      <c r="A48" s="42"/>
      <c r="I48" s="47"/>
      <c r="J48" s="47"/>
      <c r="V48" s="49"/>
      <c r="W48" s="50"/>
      <c r="X48" s="51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4"/>
    </row>
    <row r="49">
      <c r="A49" s="42"/>
      <c r="I49" s="47"/>
      <c r="J49" s="47"/>
      <c r="V49" s="49"/>
      <c r="W49" s="50"/>
      <c r="X49" s="51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4"/>
    </row>
    <row r="50">
      <c r="A50" s="42"/>
      <c r="I50" s="47"/>
      <c r="J50" s="47"/>
      <c r="V50" s="49"/>
      <c r="W50" s="50"/>
      <c r="X50" s="51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4"/>
    </row>
    <row r="51">
      <c r="A51" s="42"/>
      <c r="I51" s="47"/>
      <c r="J51" s="47"/>
      <c r="V51" s="49"/>
      <c r="W51" s="50"/>
      <c r="X51" s="51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4"/>
    </row>
    <row r="52">
      <c r="A52" s="42"/>
      <c r="I52" s="47"/>
      <c r="J52" s="47"/>
      <c r="V52" s="49"/>
      <c r="W52" s="50"/>
      <c r="X52" s="51"/>
      <c r="Y52" s="52"/>
      <c r="Z52" s="53"/>
      <c r="AA52" s="53"/>
      <c r="AB52" s="53"/>
      <c r="AC52" s="53"/>
      <c r="AD52" s="53"/>
      <c r="AE52" s="53"/>
      <c r="AF52" s="53"/>
      <c r="AG52" s="53"/>
      <c r="AH52" s="53"/>
      <c r="AI52" s="54"/>
    </row>
    <row r="53">
      <c r="A53" s="42"/>
      <c r="I53" s="47"/>
      <c r="J53" s="47"/>
      <c r="V53" s="49"/>
      <c r="W53" s="50"/>
      <c r="X53" s="51"/>
      <c r="Y53" s="52"/>
      <c r="Z53" s="53"/>
      <c r="AA53" s="53"/>
      <c r="AB53" s="53"/>
      <c r="AC53" s="53"/>
      <c r="AD53" s="53"/>
      <c r="AE53" s="53"/>
      <c r="AF53" s="53"/>
      <c r="AG53" s="53"/>
      <c r="AH53" s="53"/>
      <c r="AI53" s="54"/>
    </row>
    <row r="54">
      <c r="A54" s="42"/>
      <c r="I54" s="47"/>
      <c r="J54" s="47"/>
      <c r="V54" s="49"/>
      <c r="W54" s="50"/>
      <c r="X54" s="51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4"/>
    </row>
    <row r="55">
      <c r="A55" s="42"/>
      <c r="I55" s="47"/>
      <c r="J55" s="47"/>
      <c r="V55" s="49"/>
      <c r="W55" s="50"/>
      <c r="X55" s="51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4"/>
    </row>
    <row r="56">
      <c r="A56" s="42"/>
      <c r="I56" s="47"/>
      <c r="J56" s="47"/>
      <c r="V56" s="49"/>
      <c r="W56" s="50"/>
      <c r="X56" s="51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4"/>
    </row>
    <row r="57">
      <c r="A57" s="42"/>
      <c r="I57" s="47"/>
      <c r="J57" s="47"/>
      <c r="V57" s="49"/>
      <c r="W57" s="50"/>
      <c r="X57" s="51"/>
      <c r="Y57" s="52"/>
      <c r="Z57" s="53"/>
      <c r="AA57" s="53"/>
      <c r="AB57" s="53"/>
      <c r="AC57" s="53"/>
      <c r="AD57" s="53"/>
      <c r="AE57" s="53"/>
      <c r="AF57" s="53"/>
      <c r="AG57" s="53"/>
      <c r="AH57" s="53"/>
      <c r="AI57" s="54"/>
    </row>
    <row r="58">
      <c r="A58" s="42"/>
      <c r="I58" s="47"/>
      <c r="J58" s="47"/>
      <c r="V58" s="49"/>
      <c r="W58" s="50"/>
      <c r="X58" s="51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4"/>
    </row>
    <row r="59">
      <c r="A59" s="42"/>
      <c r="I59" s="47"/>
      <c r="J59" s="47"/>
      <c r="V59" s="49"/>
      <c r="W59" s="50"/>
      <c r="X59" s="51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4"/>
    </row>
    <row r="60">
      <c r="A60" s="42"/>
      <c r="I60" s="47"/>
      <c r="J60" s="47"/>
      <c r="V60" s="49"/>
      <c r="W60" s="50"/>
      <c r="X60" s="51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4"/>
    </row>
    <row r="61">
      <c r="A61" s="42"/>
      <c r="I61" s="47"/>
      <c r="J61" s="47"/>
      <c r="V61" s="49"/>
      <c r="W61" s="50"/>
      <c r="X61" s="51"/>
      <c r="Y61" s="52"/>
      <c r="Z61" s="53"/>
      <c r="AA61" s="53"/>
      <c r="AB61" s="53"/>
      <c r="AC61" s="53"/>
      <c r="AD61" s="53"/>
      <c r="AE61" s="53"/>
      <c r="AF61" s="53"/>
      <c r="AG61" s="53"/>
      <c r="AH61" s="53"/>
      <c r="AI61" s="54"/>
    </row>
    <row r="62">
      <c r="A62" s="42"/>
      <c r="I62" s="47"/>
      <c r="J62" s="47"/>
      <c r="V62" s="49"/>
      <c r="W62" s="50"/>
      <c r="X62" s="51"/>
      <c r="Y62" s="52"/>
      <c r="Z62" s="53"/>
      <c r="AA62" s="53"/>
      <c r="AB62" s="53"/>
      <c r="AC62" s="53"/>
      <c r="AD62" s="53"/>
      <c r="AE62" s="53"/>
      <c r="AF62" s="53"/>
      <c r="AG62" s="53"/>
      <c r="AH62" s="53"/>
      <c r="AI62" s="54"/>
    </row>
    <row r="63">
      <c r="A63" s="42"/>
      <c r="I63" s="47"/>
      <c r="J63" s="47"/>
      <c r="V63" s="49"/>
      <c r="W63" s="50"/>
      <c r="X63" s="51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4"/>
    </row>
    <row r="64">
      <c r="A64" s="42"/>
      <c r="I64" s="47"/>
      <c r="J64" s="47"/>
      <c r="V64" s="49"/>
      <c r="W64" s="50"/>
      <c r="X64" s="51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4"/>
    </row>
    <row r="65">
      <c r="A65" s="42"/>
      <c r="I65" s="47"/>
      <c r="J65" s="47"/>
      <c r="V65" s="49"/>
      <c r="W65" s="50"/>
      <c r="X65" s="51"/>
      <c r="Y65" s="52"/>
      <c r="Z65" s="53"/>
      <c r="AA65" s="53"/>
      <c r="AB65" s="53"/>
      <c r="AC65" s="53"/>
      <c r="AD65" s="53"/>
      <c r="AE65" s="53"/>
      <c r="AF65" s="53"/>
      <c r="AG65" s="53"/>
      <c r="AH65" s="53"/>
      <c r="AI65" s="54"/>
    </row>
    <row r="66">
      <c r="A66" s="42"/>
      <c r="I66" s="47"/>
      <c r="J66" s="47"/>
      <c r="V66" s="49"/>
      <c r="W66" s="50"/>
      <c r="X66" s="51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4"/>
    </row>
    <row r="67">
      <c r="A67" s="42"/>
      <c r="I67" s="47"/>
      <c r="J67" s="47"/>
      <c r="V67" s="49"/>
      <c r="W67" s="50"/>
      <c r="X67" s="51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4"/>
    </row>
    <row r="68">
      <c r="A68" s="42"/>
      <c r="I68" s="47"/>
      <c r="J68" s="47"/>
      <c r="V68" s="49"/>
      <c r="W68" s="50"/>
      <c r="X68" s="51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4"/>
    </row>
    <row r="69">
      <c r="A69" s="42"/>
      <c r="I69" s="47"/>
      <c r="J69" s="47"/>
      <c r="V69" s="49"/>
      <c r="W69" s="50"/>
      <c r="X69" s="51"/>
      <c r="Y69" s="52"/>
      <c r="Z69" s="53"/>
      <c r="AA69" s="53"/>
      <c r="AB69" s="53"/>
      <c r="AC69" s="53"/>
      <c r="AD69" s="53"/>
      <c r="AE69" s="53"/>
      <c r="AF69" s="53"/>
      <c r="AG69" s="53"/>
      <c r="AH69" s="53"/>
      <c r="AI69" s="54"/>
    </row>
    <row r="70">
      <c r="A70" s="42"/>
      <c r="I70" s="47"/>
      <c r="J70" s="47"/>
      <c r="V70" s="49"/>
      <c r="W70" s="50"/>
      <c r="X70" s="51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4"/>
    </row>
    <row r="71">
      <c r="A71" s="42"/>
      <c r="I71" s="47"/>
      <c r="J71" s="47"/>
      <c r="V71" s="49"/>
      <c r="W71" s="50"/>
      <c r="X71" s="51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4"/>
    </row>
    <row r="72">
      <c r="A72" s="42"/>
      <c r="I72" s="47"/>
      <c r="J72" s="47"/>
      <c r="V72" s="49"/>
      <c r="W72" s="50"/>
      <c r="X72" s="51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4"/>
    </row>
    <row r="73">
      <c r="A73" s="42"/>
      <c r="I73" s="47"/>
      <c r="J73" s="47"/>
      <c r="V73" s="49"/>
      <c r="W73" s="50"/>
      <c r="X73" s="51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4"/>
    </row>
    <row r="74">
      <c r="A74" s="42"/>
      <c r="I74" s="47"/>
      <c r="J74" s="47"/>
      <c r="V74" s="49"/>
      <c r="W74" s="50"/>
      <c r="X74" s="51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4"/>
    </row>
    <row r="75">
      <c r="A75" s="42"/>
      <c r="I75" s="47"/>
      <c r="J75" s="47"/>
      <c r="V75" s="49"/>
      <c r="W75" s="50"/>
      <c r="X75" s="51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4"/>
    </row>
    <row r="76">
      <c r="A76" s="42"/>
      <c r="I76" s="47"/>
      <c r="J76" s="47"/>
      <c r="V76" s="49"/>
      <c r="W76" s="50"/>
      <c r="X76" s="51"/>
      <c r="Y76" s="52"/>
      <c r="Z76" s="53"/>
      <c r="AA76" s="53"/>
      <c r="AB76" s="53"/>
      <c r="AC76" s="53"/>
      <c r="AD76" s="53"/>
      <c r="AE76" s="53"/>
      <c r="AF76" s="53"/>
      <c r="AG76" s="53"/>
      <c r="AH76" s="53"/>
      <c r="AI76" s="54"/>
    </row>
    <row r="77">
      <c r="A77" s="42"/>
      <c r="I77" s="47"/>
      <c r="J77" s="47"/>
      <c r="V77" s="49"/>
      <c r="W77" s="50"/>
      <c r="X77" s="51"/>
      <c r="Y77" s="52"/>
      <c r="Z77" s="53"/>
      <c r="AA77" s="53"/>
      <c r="AB77" s="53"/>
      <c r="AC77" s="53"/>
      <c r="AD77" s="53"/>
      <c r="AE77" s="53"/>
      <c r="AF77" s="53"/>
      <c r="AG77" s="53"/>
      <c r="AH77" s="53"/>
      <c r="AI77" s="54"/>
    </row>
    <row r="78">
      <c r="A78" s="42"/>
      <c r="I78" s="47"/>
      <c r="J78" s="47"/>
      <c r="V78" s="49"/>
      <c r="W78" s="50"/>
      <c r="X78" s="51"/>
      <c r="Y78" s="52"/>
      <c r="Z78" s="53"/>
      <c r="AA78" s="53"/>
      <c r="AB78" s="53"/>
      <c r="AC78" s="53"/>
      <c r="AD78" s="53"/>
      <c r="AE78" s="53"/>
      <c r="AF78" s="53"/>
      <c r="AG78" s="53"/>
      <c r="AH78" s="53"/>
      <c r="AI78" s="54"/>
    </row>
    <row r="79">
      <c r="A79" s="42"/>
      <c r="I79" s="47"/>
      <c r="J79" s="47"/>
      <c r="V79" s="49"/>
      <c r="W79" s="50"/>
      <c r="X79" s="51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4"/>
    </row>
    <row r="80">
      <c r="A80" s="42"/>
      <c r="I80" s="47"/>
      <c r="J80" s="47"/>
      <c r="V80" s="49"/>
      <c r="W80" s="50"/>
      <c r="X80" s="51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4"/>
    </row>
    <row r="81">
      <c r="A81" s="42"/>
      <c r="I81" s="47"/>
      <c r="J81" s="47"/>
      <c r="V81" s="49"/>
      <c r="W81" s="50"/>
      <c r="X81" s="51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4"/>
    </row>
    <row r="82">
      <c r="A82" s="42"/>
      <c r="I82" s="47"/>
      <c r="J82" s="47"/>
      <c r="V82" s="49"/>
      <c r="W82" s="50"/>
      <c r="X82" s="51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4"/>
    </row>
    <row r="83">
      <c r="A83" s="42"/>
      <c r="I83" s="47"/>
      <c r="J83" s="47"/>
      <c r="V83" s="49"/>
      <c r="W83" s="50"/>
      <c r="X83" s="51"/>
      <c r="Y83" s="52"/>
      <c r="Z83" s="53"/>
      <c r="AA83" s="53"/>
      <c r="AB83" s="53"/>
      <c r="AC83" s="53"/>
      <c r="AD83" s="53"/>
      <c r="AE83" s="53"/>
      <c r="AF83" s="53"/>
      <c r="AG83" s="53"/>
      <c r="AH83" s="53"/>
      <c r="AI83" s="54"/>
    </row>
    <row r="84">
      <c r="A84" s="42"/>
      <c r="I84" s="47"/>
      <c r="J84" s="47"/>
      <c r="V84" s="49"/>
      <c r="W84" s="50"/>
      <c r="X84" s="51"/>
      <c r="Y84" s="52"/>
      <c r="Z84" s="53"/>
      <c r="AA84" s="53"/>
      <c r="AB84" s="53"/>
      <c r="AC84" s="53"/>
      <c r="AD84" s="53"/>
      <c r="AE84" s="53"/>
      <c r="AF84" s="53"/>
      <c r="AG84" s="53"/>
      <c r="AH84" s="53"/>
      <c r="AI84" s="54"/>
    </row>
    <row r="85">
      <c r="A85" s="42"/>
      <c r="I85" s="47"/>
      <c r="J85" s="47"/>
      <c r="V85" s="49"/>
      <c r="W85" s="50"/>
      <c r="X85" s="51"/>
      <c r="Y85" s="52"/>
      <c r="Z85" s="53"/>
      <c r="AA85" s="53"/>
      <c r="AB85" s="53"/>
      <c r="AC85" s="53"/>
      <c r="AD85" s="53"/>
      <c r="AE85" s="53"/>
      <c r="AF85" s="53"/>
      <c r="AG85" s="53"/>
      <c r="AH85" s="53"/>
      <c r="AI85" s="54"/>
    </row>
    <row r="86">
      <c r="A86" s="42"/>
      <c r="I86" s="47"/>
      <c r="J86" s="47"/>
      <c r="V86" s="49"/>
      <c r="W86" s="50"/>
      <c r="X86" s="51"/>
      <c r="Y86" s="52"/>
      <c r="Z86" s="53"/>
      <c r="AA86" s="53"/>
      <c r="AB86" s="53"/>
      <c r="AC86" s="53"/>
      <c r="AD86" s="53"/>
      <c r="AE86" s="53"/>
      <c r="AF86" s="53"/>
      <c r="AG86" s="53"/>
      <c r="AH86" s="53"/>
      <c r="AI86" s="54"/>
    </row>
    <row r="87">
      <c r="A87" s="42"/>
      <c r="I87" s="47"/>
      <c r="J87" s="47"/>
      <c r="V87" s="49"/>
      <c r="W87" s="50"/>
      <c r="X87" s="51"/>
      <c r="Y87" s="52"/>
      <c r="Z87" s="53"/>
      <c r="AA87" s="53"/>
      <c r="AB87" s="53"/>
      <c r="AC87" s="53"/>
      <c r="AD87" s="53"/>
      <c r="AE87" s="53"/>
      <c r="AF87" s="53"/>
      <c r="AG87" s="53"/>
      <c r="AH87" s="53"/>
      <c r="AI87" s="54"/>
    </row>
    <row r="88">
      <c r="A88" s="42"/>
      <c r="I88" s="47"/>
      <c r="J88" s="47"/>
      <c r="V88" s="49"/>
      <c r="W88" s="50"/>
      <c r="X88" s="51"/>
      <c r="Y88" s="52"/>
      <c r="Z88" s="53"/>
      <c r="AA88" s="53"/>
      <c r="AB88" s="53"/>
      <c r="AC88" s="53"/>
      <c r="AD88" s="53"/>
      <c r="AE88" s="53"/>
      <c r="AF88" s="53"/>
      <c r="AG88" s="53"/>
      <c r="AH88" s="53"/>
      <c r="AI88" s="54"/>
    </row>
    <row r="89">
      <c r="A89" s="42"/>
      <c r="I89" s="47"/>
      <c r="J89" s="47"/>
      <c r="V89" s="49"/>
      <c r="W89" s="50"/>
      <c r="X89" s="51"/>
      <c r="Y89" s="52"/>
      <c r="Z89" s="53"/>
      <c r="AA89" s="53"/>
      <c r="AB89" s="53"/>
      <c r="AC89" s="53"/>
      <c r="AD89" s="53"/>
      <c r="AE89" s="53"/>
      <c r="AF89" s="53"/>
      <c r="AG89" s="53"/>
      <c r="AH89" s="53"/>
      <c r="AI89" s="54"/>
    </row>
    <row r="90">
      <c r="A90" s="42"/>
      <c r="I90" s="47"/>
      <c r="J90" s="47"/>
      <c r="V90" s="49"/>
      <c r="W90" s="50"/>
      <c r="X90" s="51"/>
      <c r="Y90" s="52"/>
      <c r="Z90" s="53"/>
      <c r="AA90" s="53"/>
      <c r="AB90" s="53"/>
      <c r="AC90" s="53"/>
      <c r="AD90" s="53"/>
      <c r="AE90" s="53"/>
      <c r="AF90" s="53"/>
      <c r="AG90" s="53"/>
      <c r="AH90" s="53"/>
      <c r="AI90" s="54"/>
    </row>
    <row r="91">
      <c r="A91" s="42"/>
      <c r="I91" s="47"/>
      <c r="J91" s="47"/>
      <c r="V91" s="49"/>
      <c r="W91" s="50"/>
      <c r="X91" s="51"/>
      <c r="Y91" s="52"/>
      <c r="Z91" s="53"/>
      <c r="AA91" s="53"/>
      <c r="AB91" s="53"/>
      <c r="AC91" s="53"/>
      <c r="AD91" s="53"/>
      <c r="AE91" s="53"/>
      <c r="AF91" s="53"/>
      <c r="AG91" s="53"/>
      <c r="AH91" s="53"/>
      <c r="AI91" s="54"/>
    </row>
    <row r="92">
      <c r="A92" s="42"/>
      <c r="I92" s="47"/>
      <c r="J92" s="47"/>
      <c r="V92" s="49"/>
      <c r="W92" s="50"/>
      <c r="X92" s="51"/>
      <c r="Y92" s="52"/>
      <c r="Z92" s="53"/>
      <c r="AA92" s="53"/>
      <c r="AB92" s="53"/>
      <c r="AC92" s="53"/>
      <c r="AD92" s="53"/>
      <c r="AE92" s="53"/>
      <c r="AF92" s="53"/>
      <c r="AG92" s="53"/>
      <c r="AH92" s="53"/>
      <c r="AI92" s="54"/>
    </row>
    <row r="93">
      <c r="A93" s="42"/>
      <c r="I93" s="47"/>
      <c r="J93" s="47"/>
      <c r="V93" s="49"/>
      <c r="W93" s="50"/>
      <c r="X93" s="51"/>
      <c r="Y93" s="52"/>
      <c r="Z93" s="53"/>
      <c r="AA93" s="53"/>
      <c r="AB93" s="53"/>
      <c r="AC93" s="53"/>
      <c r="AD93" s="53"/>
      <c r="AE93" s="53"/>
      <c r="AF93" s="53"/>
      <c r="AG93" s="53"/>
      <c r="AH93" s="53"/>
      <c r="AI93" s="54"/>
    </row>
    <row r="94">
      <c r="A94" s="42"/>
      <c r="I94" s="47"/>
      <c r="J94" s="47"/>
      <c r="V94" s="49"/>
      <c r="W94" s="50"/>
      <c r="X94" s="51"/>
      <c r="Y94" s="52"/>
      <c r="Z94" s="53"/>
      <c r="AA94" s="53"/>
      <c r="AB94" s="53"/>
      <c r="AC94" s="53"/>
      <c r="AD94" s="53"/>
      <c r="AE94" s="53"/>
      <c r="AF94" s="53"/>
      <c r="AG94" s="53"/>
      <c r="AH94" s="53"/>
      <c r="AI94" s="54"/>
    </row>
    <row r="95">
      <c r="A95" s="42"/>
      <c r="I95" s="47"/>
      <c r="J95" s="47"/>
      <c r="V95" s="49"/>
      <c r="W95" s="50"/>
      <c r="X95" s="51"/>
      <c r="Y95" s="52"/>
      <c r="Z95" s="53"/>
      <c r="AA95" s="53"/>
      <c r="AB95" s="53"/>
      <c r="AC95" s="53"/>
      <c r="AD95" s="53"/>
      <c r="AE95" s="53"/>
      <c r="AF95" s="53"/>
      <c r="AG95" s="53"/>
      <c r="AH95" s="53"/>
      <c r="AI95" s="54"/>
    </row>
    <row r="96">
      <c r="A96" s="42"/>
      <c r="I96" s="47"/>
      <c r="J96" s="47"/>
      <c r="V96" s="49"/>
      <c r="W96" s="50"/>
      <c r="X96" s="51"/>
      <c r="Y96" s="52"/>
      <c r="Z96" s="53"/>
      <c r="AA96" s="53"/>
      <c r="AB96" s="53"/>
      <c r="AC96" s="53"/>
      <c r="AD96" s="53"/>
      <c r="AE96" s="53"/>
      <c r="AF96" s="53"/>
      <c r="AG96" s="53"/>
      <c r="AH96" s="53"/>
      <c r="AI96" s="54"/>
    </row>
    <row r="97">
      <c r="A97" s="42"/>
      <c r="I97" s="47"/>
      <c r="J97" s="47"/>
      <c r="V97" s="49"/>
      <c r="W97" s="50"/>
      <c r="X97" s="51"/>
      <c r="Y97" s="52"/>
      <c r="Z97" s="53"/>
      <c r="AA97" s="53"/>
      <c r="AB97" s="53"/>
      <c r="AC97" s="53"/>
      <c r="AD97" s="53"/>
      <c r="AE97" s="53"/>
      <c r="AF97" s="53"/>
      <c r="AG97" s="53"/>
      <c r="AH97" s="53"/>
      <c r="AI97" s="54"/>
    </row>
    <row r="98">
      <c r="A98" s="42"/>
      <c r="I98" s="47"/>
      <c r="J98" s="47"/>
      <c r="V98" s="49"/>
      <c r="W98" s="50"/>
      <c r="X98" s="51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4"/>
    </row>
    <row r="99">
      <c r="A99" s="42"/>
      <c r="I99" s="47"/>
      <c r="J99" s="47"/>
      <c r="V99" s="49"/>
      <c r="W99" s="50"/>
      <c r="X99" s="51"/>
      <c r="Y99" s="52"/>
      <c r="Z99" s="53"/>
      <c r="AA99" s="53"/>
      <c r="AB99" s="53"/>
      <c r="AC99" s="53"/>
      <c r="AD99" s="53"/>
      <c r="AE99" s="53"/>
      <c r="AF99" s="53"/>
      <c r="AG99" s="53"/>
      <c r="AH99" s="53"/>
      <c r="AI99" s="54"/>
    </row>
    <row r="100">
      <c r="A100" s="42"/>
      <c r="I100" s="47"/>
      <c r="J100" s="47"/>
      <c r="V100" s="49"/>
      <c r="W100" s="50"/>
      <c r="X100" s="51"/>
      <c r="Y100" s="52"/>
      <c r="Z100" s="53"/>
      <c r="AA100" s="53"/>
      <c r="AB100" s="53"/>
      <c r="AC100" s="53"/>
      <c r="AD100" s="53"/>
      <c r="AE100" s="53"/>
      <c r="AF100" s="53"/>
      <c r="AG100" s="53"/>
      <c r="AH100" s="53"/>
      <c r="AI100" s="54"/>
    </row>
    <row r="101">
      <c r="A101" s="42"/>
      <c r="I101" s="47"/>
      <c r="J101" s="47"/>
      <c r="V101" s="49"/>
      <c r="W101" s="50"/>
      <c r="X101" s="51"/>
      <c r="Y101" s="52"/>
      <c r="Z101" s="53"/>
      <c r="AA101" s="53"/>
      <c r="AB101" s="53"/>
      <c r="AC101" s="53"/>
      <c r="AD101" s="53"/>
      <c r="AE101" s="53"/>
      <c r="AF101" s="53"/>
      <c r="AG101" s="53"/>
      <c r="AH101" s="53"/>
      <c r="AI101" s="54"/>
    </row>
    <row r="102">
      <c r="A102" s="42"/>
      <c r="I102" s="47"/>
      <c r="J102" s="47"/>
      <c r="V102" s="49"/>
      <c r="W102" s="50"/>
      <c r="X102" s="51"/>
      <c r="Y102" s="52"/>
      <c r="Z102" s="53"/>
      <c r="AA102" s="53"/>
      <c r="AB102" s="53"/>
      <c r="AC102" s="53"/>
      <c r="AD102" s="53"/>
      <c r="AE102" s="53"/>
      <c r="AF102" s="53"/>
      <c r="AG102" s="53"/>
      <c r="AH102" s="53"/>
      <c r="AI102" s="54"/>
    </row>
    <row r="103">
      <c r="A103" s="42"/>
      <c r="I103" s="47"/>
      <c r="J103" s="47"/>
      <c r="V103" s="49"/>
      <c r="W103" s="50"/>
      <c r="X103" s="51"/>
      <c r="Y103" s="52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</row>
    <row r="104">
      <c r="A104" s="42"/>
      <c r="I104" s="47"/>
      <c r="J104" s="47"/>
      <c r="V104" s="49"/>
      <c r="W104" s="50"/>
      <c r="X104" s="51"/>
      <c r="Y104" s="52"/>
      <c r="Z104" s="53"/>
      <c r="AA104" s="53"/>
      <c r="AB104" s="53"/>
      <c r="AC104" s="53"/>
      <c r="AD104" s="53"/>
      <c r="AE104" s="53"/>
      <c r="AF104" s="53"/>
      <c r="AG104" s="53"/>
      <c r="AH104" s="53"/>
      <c r="AI104" s="54"/>
    </row>
    <row r="105">
      <c r="A105" s="42"/>
      <c r="I105" s="47"/>
      <c r="J105" s="47"/>
      <c r="V105" s="49"/>
      <c r="W105" s="50"/>
      <c r="X105" s="51"/>
      <c r="Y105" s="52"/>
      <c r="Z105" s="53"/>
      <c r="AA105" s="53"/>
      <c r="AB105" s="53"/>
      <c r="AC105" s="53"/>
      <c r="AD105" s="53"/>
      <c r="AE105" s="53"/>
      <c r="AF105" s="53"/>
      <c r="AG105" s="53"/>
      <c r="AH105" s="53"/>
      <c r="AI105" s="54"/>
    </row>
    <row r="106">
      <c r="A106" s="42"/>
      <c r="I106" s="47"/>
      <c r="J106" s="47"/>
      <c r="V106" s="49"/>
      <c r="W106" s="50"/>
      <c r="X106" s="51"/>
      <c r="Y106" s="52"/>
      <c r="Z106" s="53"/>
      <c r="AA106" s="53"/>
      <c r="AB106" s="53"/>
      <c r="AC106" s="53"/>
      <c r="AD106" s="53"/>
      <c r="AE106" s="53"/>
      <c r="AF106" s="53"/>
      <c r="AG106" s="53"/>
      <c r="AH106" s="53"/>
      <c r="AI106" s="54"/>
    </row>
    <row r="107">
      <c r="A107" s="42"/>
      <c r="I107" s="47"/>
      <c r="J107" s="47"/>
      <c r="V107" s="49"/>
      <c r="W107" s="50"/>
      <c r="X107" s="51"/>
      <c r="Y107" s="52"/>
      <c r="Z107" s="53"/>
      <c r="AA107" s="53"/>
      <c r="AB107" s="53"/>
      <c r="AC107" s="53"/>
      <c r="AD107" s="53"/>
      <c r="AE107" s="53"/>
      <c r="AF107" s="53"/>
      <c r="AG107" s="53"/>
      <c r="AH107" s="53"/>
      <c r="AI107" s="54"/>
    </row>
    <row r="108">
      <c r="A108" s="42"/>
      <c r="I108" s="47"/>
      <c r="J108" s="47"/>
      <c r="V108" s="49"/>
      <c r="W108" s="50"/>
      <c r="X108" s="51"/>
      <c r="Y108" s="52"/>
      <c r="Z108" s="53"/>
      <c r="AA108" s="53"/>
      <c r="AB108" s="53"/>
      <c r="AC108" s="53"/>
      <c r="AD108" s="53"/>
      <c r="AE108" s="53"/>
      <c r="AF108" s="53"/>
      <c r="AG108" s="53"/>
      <c r="AH108" s="53"/>
      <c r="AI108" s="54"/>
    </row>
    <row r="109">
      <c r="A109" s="42"/>
      <c r="I109" s="47"/>
      <c r="J109" s="47"/>
      <c r="V109" s="49"/>
      <c r="W109" s="50"/>
      <c r="X109" s="51"/>
      <c r="Y109" s="52"/>
      <c r="Z109" s="53"/>
      <c r="AA109" s="53"/>
      <c r="AB109" s="53"/>
      <c r="AC109" s="53"/>
      <c r="AD109" s="53"/>
      <c r="AE109" s="53"/>
      <c r="AF109" s="53"/>
      <c r="AG109" s="53"/>
      <c r="AH109" s="53"/>
      <c r="AI109" s="54"/>
    </row>
    <row r="110">
      <c r="A110" s="42"/>
      <c r="I110" s="47"/>
      <c r="J110" s="47"/>
      <c r="V110" s="49"/>
      <c r="W110" s="50"/>
      <c r="X110" s="51"/>
      <c r="Y110" s="52"/>
      <c r="Z110" s="53"/>
      <c r="AA110" s="53"/>
      <c r="AB110" s="53"/>
      <c r="AC110" s="53"/>
      <c r="AD110" s="53"/>
      <c r="AE110" s="53"/>
      <c r="AF110" s="53"/>
      <c r="AG110" s="53"/>
      <c r="AH110" s="53"/>
      <c r="AI110" s="54"/>
    </row>
    <row r="111">
      <c r="A111" s="42"/>
      <c r="I111" s="47"/>
      <c r="J111" s="47"/>
      <c r="V111" s="49"/>
      <c r="W111" s="50"/>
      <c r="X111" s="51"/>
      <c r="Y111" s="52"/>
      <c r="Z111" s="53"/>
      <c r="AA111" s="53"/>
      <c r="AB111" s="53"/>
      <c r="AC111" s="53"/>
      <c r="AD111" s="53"/>
      <c r="AE111" s="53"/>
      <c r="AF111" s="53"/>
      <c r="AG111" s="53"/>
      <c r="AH111" s="53"/>
      <c r="AI111" s="54"/>
    </row>
    <row r="112">
      <c r="A112" s="42"/>
      <c r="I112" s="47"/>
      <c r="J112" s="47"/>
      <c r="V112" s="49"/>
      <c r="W112" s="50"/>
      <c r="X112" s="51"/>
      <c r="Y112" s="52"/>
      <c r="Z112" s="53"/>
      <c r="AA112" s="53"/>
      <c r="AB112" s="53"/>
      <c r="AC112" s="53"/>
      <c r="AD112" s="53"/>
      <c r="AE112" s="53"/>
      <c r="AF112" s="53"/>
      <c r="AG112" s="53"/>
      <c r="AH112" s="53"/>
      <c r="AI112" s="54"/>
    </row>
    <row r="113">
      <c r="A113" s="42"/>
      <c r="I113" s="47"/>
      <c r="J113" s="47"/>
      <c r="V113" s="49"/>
      <c r="W113" s="50"/>
      <c r="X113" s="51"/>
      <c r="Y113" s="52"/>
      <c r="Z113" s="53"/>
      <c r="AA113" s="53"/>
      <c r="AB113" s="53"/>
      <c r="AC113" s="53"/>
      <c r="AD113" s="53"/>
      <c r="AE113" s="53"/>
      <c r="AF113" s="53"/>
      <c r="AG113" s="53"/>
      <c r="AH113" s="53"/>
      <c r="AI113" s="54"/>
    </row>
    <row r="114">
      <c r="A114" s="42"/>
      <c r="I114" s="47"/>
      <c r="J114" s="47"/>
      <c r="V114" s="49"/>
      <c r="W114" s="50"/>
      <c r="X114" s="51"/>
      <c r="Y114" s="52"/>
      <c r="Z114" s="53"/>
      <c r="AA114" s="53"/>
      <c r="AB114" s="53"/>
      <c r="AC114" s="53"/>
      <c r="AD114" s="53"/>
      <c r="AE114" s="53"/>
      <c r="AF114" s="53"/>
      <c r="AG114" s="53"/>
      <c r="AH114" s="53"/>
      <c r="AI114" s="54"/>
    </row>
    <row r="115">
      <c r="A115" s="42"/>
      <c r="I115" s="47"/>
      <c r="J115" s="47"/>
      <c r="V115" s="49"/>
      <c r="W115" s="50"/>
      <c r="X115" s="51"/>
      <c r="Y115" s="52"/>
      <c r="Z115" s="53"/>
      <c r="AA115" s="53"/>
      <c r="AB115" s="53"/>
      <c r="AC115" s="53"/>
      <c r="AD115" s="53"/>
      <c r="AE115" s="53"/>
      <c r="AF115" s="53"/>
      <c r="AG115" s="53"/>
      <c r="AH115" s="53"/>
      <c r="AI115" s="54"/>
    </row>
    <row r="116">
      <c r="A116" s="42"/>
      <c r="I116" s="47"/>
      <c r="J116" s="47"/>
      <c r="V116" s="49"/>
      <c r="W116" s="50"/>
      <c r="X116" s="51"/>
      <c r="Y116" s="52"/>
      <c r="Z116" s="53"/>
      <c r="AA116" s="53"/>
      <c r="AB116" s="53"/>
      <c r="AC116" s="53"/>
      <c r="AD116" s="53"/>
      <c r="AE116" s="53"/>
      <c r="AF116" s="53"/>
      <c r="AG116" s="53"/>
      <c r="AH116" s="53"/>
      <c r="AI116" s="54"/>
    </row>
    <row r="117">
      <c r="A117" s="42"/>
      <c r="I117" s="47"/>
      <c r="J117" s="47"/>
      <c r="V117" s="49"/>
      <c r="W117" s="50"/>
      <c r="X117" s="51"/>
      <c r="Y117" s="52"/>
      <c r="Z117" s="53"/>
      <c r="AA117" s="53"/>
      <c r="AB117" s="53"/>
      <c r="AC117" s="53"/>
      <c r="AD117" s="53"/>
      <c r="AE117" s="53"/>
      <c r="AF117" s="53"/>
      <c r="AG117" s="53"/>
      <c r="AH117" s="53"/>
      <c r="AI117" s="54"/>
    </row>
    <row r="118">
      <c r="A118" s="42"/>
      <c r="I118" s="47"/>
      <c r="J118" s="47"/>
      <c r="V118" s="49"/>
      <c r="W118" s="50"/>
      <c r="X118" s="51"/>
      <c r="Y118" s="52"/>
      <c r="Z118" s="53"/>
      <c r="AA118" s="53"/>
      <c r="AB118" s="53"/>
      <c r="AC118" s="53"/>
      <c r="AD118" s="53"/>
      <c r="AE118" s="53"/>
      <c r="AF118" s="53"/>
      <c r="AG118" s="53"/>
      <c r="AH118" s="53"/>
      <c r="AI118" s="54"/>
    </row>
    <row r="119">
      <c r="A119" s="42"/>
      <c r="I119" s="47"/>
      <c r="J119" s="47"/>
      <c r="V119" s="49"/>
      <c r="W119" s="50"/>
      <c r="X119" s="51"/>
      <c r="Y119" s="52"/>
      <c r="Z119" s="53"/>
      <c r="AA119" s="53"/>
      <c r="AB119" s="53"/>
      <c r="AC119" s="53"/>
      <c r="AD119" s="53"/>
      <c r="AE119" s="53"/>
      <c r="AF119" s="53"/>
      <c r="AG119" s="53"/>
      <c r="AH119" s="53"/>
      <c r="AI119" s="54"/>
    </row>
    <row r="120">
      <c r="A120" s="42"/>
      <c r="I120" s="47"/>
      <c r="J120" s="47"/>
      <c r="V120" s="49"/>
      <c r="W120" s="50"/>
      <c r="X120" s="51"/>
      <c r="Y120" s="52"/>
      <c r="Z120" s="53"/>
      <c r="AA120" s="53"/>
      <c r="AB120" s="53"/>
      <c r="AC120" s="53"/>
      <c r="AD120" s="53"/>
      <c r="AE120" s="53"/>
      <c r="AF120" s="53"/>
      <c r="AG120" s="53"/>
      <c r="AH120" s="53"/>
      <c r="AI120" s="54"/>
    </row>
    <row r="121">
      <c r="A121" s="42"/>
      <c r="I121" s="47"/>
      <c r="J121" s="47"/>
      <c r="V121" s="49"/>
      <c r="W121" s="50"/>
      <c r="X121" s="51"/>
      <c r="Y121" s="52"/>
      <c r="Z121" s="53"/>
      <c r="AA121" s="53"/>
      <c r="AB121" s="53"/>
      <c r="AC121" s="53"/>
      <c r="AD121" s="53"/>
      <c r="AE121" s="53"/>
      <c r="AF121" s="53"/>
      <c r="AG121" s="53"/>
      <c r="AH121" s="53"/>
      <c r="AI121" s="54"/>
    </row>
    <row r="122">
      <c r="A122" s="42"/>
      <c r="I122" s="47"/>
      <c r="J122" s="47"/>
      <c r="V122" s="49"/>
      <c r="W122" s="50"/>
      <c r="X122" s="51"/>
      <c r="Y122" s="52"/>
      <c r="Z122" s="53"/>
      <c r="AA122" s="53"/>
      <c r="AB122" s="53"/>
      <c r="AC122" s="53"/>
      <c r="AD122" s="53"/>
      <c r="AE122" s="53"/>
      <c r="AF122" s="53"/>
      <c r="AG122" s="53"/>
      <c r="AH122" s="53"/>
      <c r="AI122" s="54"/>
    </row>
    <row r="123">
      <c r="A123" s="42"/>
      <c r="I123" s="47"/>
      <c r="J123" s="47"/>
      <c r="V123" s="49"/>
      <c r="W123" s="50"/>
      <c r="X123" s="51"/>
      <c r="Y123" s="52"/>
      <c r="Z123" s="53"/>
      <c r="AA123" s="53"/>
      <c r="AB123" s="53"/>
      <c r="AC123" s="53"/>
      <c r="AD123" s="53"/>
      <c r="AE123" s="53"/>
      <c r="AF123" s="53"/>
      <c r="AG123" s="53"/>
      <c r="AH123" s="53"/>
      <c r="AI123" s="54"/>
    </row>
    <row r="124">
      <c r="A124" s="42"/>
      <c r="I124" s="47"/>
      <c r="J124" s="47"/>
      <c r="V124" s="49"/>
      <c r="W124" s="50"/>
      <c r="X124" s="51"/>
      <c r="Y124" s="52"/>
      <c r="Z124" s="53"/>
      <c r="AA124" s="53"/>
      <c r="AB124" s="53"/>
      <c r="AC124" s="53"/>
      <c r="AD124" s="53"/>
      <c r="AE124" s="53"/>
      <c r="AF124" s="53"/>
      <c r="AG124" s="53"/>
      <c r="AH124" s="53"/>
      <c r="AI124" s="54"/>
    </row>
    <row r="125">
      <c r="A125" s="42"/>
      <c r="I125" s="47"/>
      <c r="J125" s="47"/>
      <c r="V125" s="49"/>
      <c r="W125" s="50"/>
      <c r="X125" s="51"/>
      <c r="Y125" s="52"/>
      <c r="Z125" s="53"/>
      <c r="AA125" s="53"/>
      <c r="AB125" s="53"/>
      <c r="AC125" s="53"/>
      <c r="AD125" s="53"/>
      <c r="AE125" s="53"/>
      <c r="AF125" s="53"/>
      <c r="AG125" s="53"/>
      <c r="AH125" s="53"/>
      <c r="AI125" s="54"/>
    </row>
    <row r="126">
      <c r="A126" s="42"/>
      <c r="I126" s="47"/>
      <c r="J126" s="47"/>
      <c r="V126" s="49"/>
      <c r="W126" s="50"/>
      <c r="X126" s="51"/>
      <c r="Y126" s="52"/>
      <c r="Z126" s="53"/>
      <c r="AA126" s="53"/>
      <c r="AB126" s="53"/>
      <c r="AC126" s="53"/>
      <c r="AD126" s="53"/>
      <c r="AE126" s="53"/>
      <c r="AF126" s="53"/>
      <c r="AG126" s="53"/>
      <c r="AH126" s="53"/>
      <c r="AI126" s="54"/>
    </row>
    <row r="127">
      <c r="A127" s="42"/>
      <c r="I127" s="47"/>
      <c r="J127" s="47"/>
      <c r="V127" s="49"/>
      <c r="W127" s="50"/>
      <c r="X127" s="51"/>
      <c r="Y127" s="52"/>
      <c r="Z127" s="53"/>
      <c r="AA127" s="53"/>
      <c r="AB127" s="53"/>
      <c r="AC127" s="53"/>
      <c r="AD127" s="53"/>
      <c r="AE127" s="53"/>
      <c r="AF127" s="53"/>
      <c r="AG127" s="53"/>
      <c r="AH127" s="53"/>
      <c r="AI127" s="54"/>
    </row>
    <row r="128">
      <c r="A128" s="42"/>
      <c r="I128" s="47"/>
      <c r="J128" s="47"/>
      <c r="V128" s="49"/>
      <c r="W128" s="50"/>
      <c r="X128" s="51"/>
      <c r="Y128" s="52"/>
      <c r="Z128" s="53"/>
      <c r="AA128" s="53"/>
      <c r="AB128" s="53"/>
      <c r="AC128" s="53"/>
      <c r="AD128" s="53"/>
      <c r="AE128" s="53"/>
      <c r="AF128" s="53"/>
      <c r="AG128" s="53"/>
      <c r="AH128" s="53"/>
      <c r="AI128" s="54"/>
    </row>
    <row r="129">
      <c r="A129" s="42"/>
      <c r="I129" s="47"/>
      <c r="J129" s="47"/>
      <c r="V129" s="49"/>
      <c r="W129" s="50"/>
      <c r="X129" s="51"/>
      <c r="Y129" s="52"/>
      <c r="Z129" s="53"/>
      <c r="AA129" s="53"/>
      <c r="AB129" s="53"/>
      <c r="AC129" s="53"/>
      <c r="AD129" s="53"/>
      <c r="AE129" s="53"/>
      <c r="AF129" s="53"/>
      <c r="AG129" s="53"/>
      <c r="AH129" s="53"/>
      <c r="AI129" s="54"/>
    </row>
    <row r="130">
      <c r="A130" s="42"/>
      <c r="I130" s="47"/>
      <c r="J130" s="47"/>
      <c r="V130" s="49"/>
      <c r="W130" s="50"/>
      <c r="X130" s="51"/>
      <c r="Y130" s="52"/>
      <c r="Z130" s="53"/>
      <c r="AA130" s="53"/>
      <c r="AB130" s="53"/>
      <c r="AC130" s="53"/>
      <c r="AD130" s="53"/>
      <c r="AE130" s="53"/>
      <c r="AF130" s="53"/>
      <c r="AG130" s="53"/>
      <c r="AH130" s="53"/>
      <c r="AI130" s="54"/>
    </row>
    <row r="131">
      <c r="A131" s="42"/>
      <c r="I131" s="47"/>
      <c r="J131" s="47"/>
      <c r="V131" s="49"/>
      <c r="W131" s="50"/>
      <c r="X131" s="51"/>
      <c r="Y131" s="52"/>
      <c r="Z131" s="53"/>
      <c r="AA131" s="53"/>
      <c r="AB131" s="53"/>
      <c r="AC131" s="53"/>
      <c r="AD131" s="53"/>
      <c r="AE131" s="53"/>
      <c r="AF131" s="53"/>
      <c r="AG131" s="53"/>
      <c r="AH131" s="53"/>
      <c r="AI131" s="54"/>
    </row>
    <row r="132">
      <c r="A132" s="42"/>
      <c r="I132" s="47"/>
      <c r="J132" s="47"/>
      <c r="V132" s="49"/>
      <c r="W132" s="50"/>
      <c r="X132" s="51"/>
      <c r="Y132" s="52"/>
      <c r="Z132" s="53"/>
      <c r="AA132" s="53"/>
      <c r="AB132" s="53"/>
      <c r="AC132" s="53"/>
      <c r="AD132" s="53"/>
      <c r="AE132" s="53"/>
      <c r="AF132" s="53"/>
      <c r="AG132" s="53"/>
      <c r="AH132" s="53"/>
      <c r="AI132" s="54"/>
    </row>
    <row r="133">
      <c r="A133" s="42"/>
      <c r="I133" s="47"/>
      <c r="J133" s="47"/>
      <c r="V133" s="49"/>
      <c r="W133" s="50"/>
      <c r="X133" s="51"/>
      <c r="Y133" s="52"/>
      <c r="Z133" s="53"/>
      <c r="AA133" s="53"/>
      <c r="AB133" s="53"/>
      <c r="AC133" s="53"/>
      <c r="AD133" s="53"/>
      <c r="AE133" s="53"/>
      <c r="AF133" s="53"/>
      <c r="AG133" s="53"/>
      <c r="AH133" s="53"/>
      <c r="AI133" s="54"/>
    </row>
    <row r="134">
      <c r="A134" s="42"/>
      <c r="I134" s="47"/>
      <c r="J134" s="47"/>
      <c r="V134" s="49"/>
      <c r="W134" s="50"/>
      <c r="X134" s="51"/>
      <c r="Y134" s="52"/>
      <c r="Z134" s="53"/>
      <c r="AA134" s="53"/>
      <c r="AB134" s="53"/>
      <c r="AC134" s="53"/>
      <c r="AD134" s="53"/>
      <c r="AE134" s="53"/>
      <c r="AF134" s="53"/>
      <c r="AG134" s="53"/>
      <c r="AH134" s="53"/>
      <c r="AI134" s="54"/>
    </row>
    <row r="135">
      <c r="A135" s="42"/>
      <c r="I135" s="47"/>
      <c r="J135" s="47"/>
      <c r="V135" s="49"/>
      <c r="W135" s="50"/>
      <c r="X135" s="51"/>
      <c r="Y135" s="52"/>
      <c r="Z135" s="53"/>
      <c r="AA135" s="53"/>
      <c r="AB135" s="53"/>
      <c r="AC135" s="53"/>
      <c r="AD135" s="53"/>
      <c r="AE135" s="53"/>
      <c r="AF135" s="53"/>
      <c r="AG135" s="53"/>
      <c r="AH135" s="53"/>
      <c r="AI135" s="54"/>
    </row>
    <row r="136">
      <c r="A136" s="42"/>
      <c r="I136" s="47"/>
      <c r="J136" s="47"/>
      <c r="V136" s="49"/>
      <c r="W136" s="50"/>
      <c r="X136" s="51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4"/>
    </row>
    <row r="137">
      <c r="A137" s="42"/>
      <c r="I137" s="47"/>
      <c r="J137" s="47"/>
      <c r="V137" s="49"/>
      <c r="W137" s="50"/>
      <c r="X137" s="51"/>
      <c r="Y137" s="52"/>
      <c r="Z137" s="53"/>
      <c r="AA137" s="53"/>
      <c r="AB137" s="53"/>
      <c r="AC137" s="53"/>
      <c r="AD137" s="53"/>
      <c r="AE137" s="53"/>
      <c r="AF137" s="53"/>
      <c r="AG137" s="53"/>
      <c r="AH137" s="53"/>
      <c r="AI137" s="54"/>
    </row>
    <row r="138">
      <c r="A138" s="42"/>
      <c r="I138" s="47"/>
      <c r="J138" s="47"/>
      <c r="V138" s="49"/>
      <c r="W138" s="50"/>
      <c r="X138" s="51"/>
      <c r="Y138" s="52"/>
      <c r="Z138" s="53"/>
      <c r="AA138" s="53"/>
      <c r="AB138" s="53"/>
      <c r="AC138" s="53"/>
      <c r="AD138" s="53"/>
      <c r="AE138" s="53"/>
      <c r="AF138" s="53"/>
      <c r="AG138" s="53"/>
      <c r="AH138" s="53"/>
      <c r="AI138" s="5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3.75"/>
    <col customWidth="1" min="3" max="3" width="29.38"/>
    <col customWidth="1" min="8" max="8" width="15.5"/>
    <col customWidth="1" min="11" max="11" width="11.0"/>
    <col customWidth="1" min="17" max="17" width="19.88"/>
    <col customWidth="1" min="18" max="18" width="20.13"/>
    <col customWidth="1" min="19" max="19" width="19.38"/>
    <col customWidth="1" min="20" max="20" width="20.13"/>
    <col customWidth="1" min="21" max="21" width="8.88"/>
  </cols>
  <sheetData>
    <row r="1">
      <c r="A1" s="55" t="s">
        <v>81</v>
      </c>
      <c r="B1" s="56" t="str">
        <f>IFERROR(__xludf.DUMMYFUNCTION("IMPORTRANGE(A2,""ALL Tube Results!A1:F1"")"),"TUBE ID")</f>
        <v>TUBE ID</v>
      </c>
      <c r="C1" s="57" t="str">
        <f>IFERROR(__xludf.DUMMYFUNCTION("""COMPUTED_VALUE"""),"FINAL
ASSIGNED RUN ID")</f>
        <v>FINAL
ASSIGNED RUN ID</v>
      </c>
      <c r="D1" s="57" t="str">
        <f>IFERROR(__xludf.DUMMYFUNCTION("""COMPUTED_VALUE"""),"RUN DATE")</f>
        <v>RUN DATE</v>
      </c>
      <c r="E1" s="57" t="str">
        <f>IFERROR(__xludf.DUMMYFUNCTION("""COMPUTED_VALUE"""),"COLLECTION DATE")</f>
        <v>COLLECTION DATE</v>
      </c>
      <c r="F1" s="57" t="str">
        <f>IFERROR(__xludf.DUMMYFUNCTION("""COMPUTED_VALUE"""),"COLLECTION TIME")</f>
        <v>COLLECTION TIME</v>
      </c>
      <c r="G1" s="57" t="str">
        <f>IFERROR(__xludf.DUMMYFUNCTION("""COMPUTED_VALUE"""),"FINAL RESULT")</f>
        <v>FINAL RESULT</v>
      </c>
      <c r="H1" s="58" t="str">
        <f>'Pos and Incl IMPORT'!E1</f>
        <v>SPONSOR PERSON ID</v>
      </c>
      <c r="I1" s="58" t="str">
        <f>'Pos and Incl IMPORT'!F1</f>
        <v>SPONSOR FIRSTNAME</v>
      </c>
      <c r="J1" s="58" t="str">
        <f>'Pos and Incl IMPORT'!G1</f>
        <v>SPONSOR LASTNAME</v>
      </c>
      <c r="K1" s="58" t="str">
        <f>'Pos and Incl IMPORT'!H1</f>
        <v>APP
RESULT</v>
      </c>
      <c r="L1" s="58" t="str">
        <f>'Pos and Incl IMPORT'!L1</f>
        <v>Result Correct Code</v>
      </c>
      <c r="M1" s="58" t="str">
        <f>'Pos and Incl IMPORT'!M1</f>
        <v>Correction Notes</v>
      </c>
      <c r="N1" s="58" t="str">
        <f>'Pos and Incl IMPORT'!N1</f>
        <v>NOTE</v>
      </c>
      <c r="O1" s="58" t="str">
        <f>'Pos and Incl IMPORT'!O1</f>
        <v>NUM SAMPLES (Pool Level)</v>
      </c>
      <c r="P1" s="58" t="str">
        <f>'Pos and Incl IMPORT'!P1</f>
        <v>Match Row in APS Data PHI - postDEL</v>
      </c>
      <c r="Q1" s="2" t="s">
        <v>82</v>
      </c>
      <c r="R1" s="2" t="s">
        <v>83</v>
      </c>
      <c r="S1" s="2" t="s">
        <v>84</v>
      </c>
      <c r="T1" s="2" t="s">
        <v>85</v>
      </c>
      <c r="U1" s="4" t="s">
        <v>86</v>
      </c>
      <c r="V1" s="4" t="s">
        <v>82</v>
      </c>
      <c r="W1" s="4" t="s">
        <v>83</v>
      </c>
      <c r="X1" s="4" t="s">
        <v>84</v>
      </c>
      <c r="Y1" s="4" t="s">
        <v>85</v>
      </c>
      <c r="Z1" s="59"/>
      <c r="AA1" s="59"/>
    </row>
    <row r="2">
      <c r="A2" s="60" t="s">
        <v>87</v>
      </c>
      <c r="B2" s="61" t="str">
        <f>IFERROR(__xludf.DUMMYFUNCTION("QUERY(IMPORTRANGE(A2,""ALL Tube Results!A2:F""), ""SELECT * WHERE Col6 = 'Positive' OR Col6 = 'Inconclusive'"", 0)
"),"AG173")</f>
        <v>AG173</v>
      </c>
      <c r="C2" s="23" t="str">
        <f>IFERROR(__xludf.DUMMYFUNCTION("""COMPUTED_VALUE"""),"RUN-ABRM_2022-12-08_RFR-101")</f>
        <v>RUN-ABRM_2022-12-08_RFR-101</v>
      </c>
      <c r="D2" s="24">
        <f>IFERROR(__xludf.DUMMYFUNCTION("""COMPUTED_VALUE"""),44903.0)</f>
        <v>44903</v>
      </c>
      <c r="E2" s="24">
        <f>IFERROR(__xludf.DUMMYFUNCTION("""COMPUTED_VALUE"""),44903.0)</f>
        <v>44903</v>
      </c>
      <c r="F2" s="62">
        <f>IFERROR(__xludf.DUMMYFUNCTION("""COMPUTED_VALUE"""),0.29630787036876427)</f>
        <v>0.2963078704</v>
      </c>
      <c r="G2" s="23" t="str">
        <f>IFERROR(__xludf.DUMMYFUNCTION("""COMPUTED_VALUE"""),"Positive")</f>
        <v>Positive</v>
      </c>
      <c r="H2" s="7" t="str">
        <f>IFERROR(VLOOKUP($B3,'Pos and Incl IMPORT'!$B$2:$X2686,4,FALSE),IFERROR(0/0,""))</f>
        <v>SpABRM655136</v>
      </c>
      <c r="I2" s="7"/>
      <c r="J2" s="7"/>
      <c r="K2" s="7"/>
      <c r="L2" s="7" t="str">
        <f>IFERROR(VLOOKUP($B2,'Pos and Incl IMPORT'!$B$2:$P2686,11,FALSE),IFERROR(0/0,""))</f>
        <v/>
      </c>
      <c r="M2" s="7" t="str">
        <f>IFERROR(VLOOKUP($B2,'Pos and Incl IMPORT'!$B$2:$P2686,12,FALSE),IFERROR(0/0,""))</f>
        <v/>
      </c>
      <c r="N2" s="7" t="str">
        <f>IFERROR(VLOOKUP($B2,'Pos and Incl IMPORT'!$B$2:$P2686,13,FALSE),IFERROR(0/0,""))</f>
        <v/>
      </c>
      <c r="O2" s="26">
        <f>IFERROR(VLOOKUP($B2,'Pos and Incl IMPORT'!$B$2:$P2686,14,FALSE),IFERROR(0/0,""))</f>
        <v>3</v>
      </c>
      <c r="P2" s="26">
        <f>IFERROR(VLOOKUP($B2,'Pos and Incl IMPORT'!$B$2:$P2686,15,FALSE),IFERROR(0/0,""))</f>
        <v>1393</v>
      </c>
      <c r="Q2" s="7" t="str">
        <f>IFERROR(VLOOKUP($B2,'Pos and Incl IMPORT'!$B$2:$S2686,16,FALSE),IFERROR(0/0,""))</f>
        <v>ABRM805764</v>
      </c>
      <c r="R2" s="7" t="str">
        <f>IFERROR(VLOOKUP($B2,'Pos and Incl IMPORT'!$B$2:$S2686,17,FALSE),IFERROR(0/0,""))</f>
        <v>ABRM771013</v>
      </c>
      <c r="S2" s="7" t="str">
        <f>IFERROR(VLOOKUP($B2,'Pos and Incl IMPORT'!$B$2:$S2686,18,FALSE),IFERROR(0/0,""))</f>
        <v>ABRM582390</v>
      </c>
      <c r="T2" s="7" t="str">
        <f>IFERROR(VLOOKUP($B2,'Pos and Incl IMPORT'!$B$2:$S2686,19,FALSE),IFERROR(0/0,""))</f>
        <v/>
      </c>
      <c r="U2" s="26">
        <f t="shared" ref="U2:U16" si="1">IF(ISBLANK(Q2),IFERROR(0/0,""),COUNTIF(Q$2:T2686,Q2))</f>
        <v>2</v>
      </c>
    </row>
    <row r="3">
      <c r="B3" s="23" t="str">
        <f>IFERROR(__xludf.DUMMYFUNCTION("""COMPUTED_VALUE"""),"AH112")</f>
        <v>AH112</v>
      </c>
      <c r="C3" s="23" t="str">
        <f>IFERROR(__xludf.DUMMYFUNCTION("""COMPUTED_VALUE"""),"RUN-ABRM_2022-12-20_RFR-112")</f>
        <v>RUN-ABRM_2022-12-20_RFR-112</v>
      </c>
      <c r="D3" s="24">
        <f>IFERROR(__xludf.DUMMYFUNCTION("""COMPUTED_VALUE"""),44915.0)</f>
        <v>44915</v>
      </c>
      <c r="E3" s="24">
        <f>IFERROR(__xludf.DUMMYFUNCTION("""COMPUTED_VALUE"""),44915.0)</f>
        <v>44915</v>
      </c>
      <c r="F3" s="62">
        <f>IFERROR(__xludf.DUMMYFUNCTION("""COMPUTED_VALUE"""),0.3224189814827696)</f>
        <v>0.3224189815</v>
      </c>
      <c r="G3" s="23" t="str">
        <f>IFERROR(__xludf.DUMMYFUNCTION("""COMPUTED_VALUE"""),"Positive")</f>
        <v>Positive</v>
      </c>
      <c r="H3" s="7" t="str">
        <f>IFERROR(VLOOKUP($B4,'Pos and Incl IMPORT'!$B$2:$X2686,4,FALSE),IFERROR(0/0,""))</f>
        <v>SpABRM655136</v>
      </c>
      <c r="I3" s="7"/>
      <c r="J3" s="7"/>
      <c r="K3" s="7"/>
      <c r="L3" s="7" t="str">
        <f>IFERROR(VLOOKUP($B3,'Pos and Incl IMPORT'!$B$2:$P2686,11,FALSE),IFERROR(0/0,""))</f>
        <v/>
      </c>
      <c r="M3" s="7" t="str">
        <f>IFERROR(VLOOKUP($B3,'Pos and Incl IMPORT'!$B$2:$P2686,12,FALSE),IFERROR(0/0,""))</f>
        <v/>
      </c>
      <c r="N3" s="7" t="str">
        <f>IFERROR(VLOOKUP($B3,'Pos and Incl IMPORT'!$B$2:$P2686,13,FALSE),IFERROR(0/0,""))</f>
        <v/>
      </c>
      <c r="O3" s="26">
        <f>IFERROR(VLOOKUP($B3,'Pos and Incl IMPORT'!$B$2:$P2686,14,FALSE),IFERROR(0/0,""))</f>
        <v>1</v>
      </c>
      <c r="P3" s="26">
        <f>IFERROR(VLOOKUP($B3,'Pos and Incl IMPORT'!$B$2:$P2686,15,FALSE),IFERROR(0/0,""))</f>
        <v>1465</v>
      </c>
      <c r="Q3" s="7" t="str">
        <f>IFERROR(VLOOKUP($B3,'Pos and Incl IMPORT'!$B$2:$S2686,16,FALSE),IFERROR(0/0,""))</f>
        <v>ABRM805764</v>
      </c>
      <c r="R3" s="7" t="str">
        <f>IFERROR(VLOOKUP($B3,'Pos and Incl IMPORT'!$B$2:$S2686,17,FALSE),IFERROR(0/0,""))</f>
        <v/>
      </c>
      <c r="S3" s="7" t="str">
        <f>IFERROR(VLOOKUP($B3,'Pos and Incl IMPORT'!$B$2:$S2686,18,FALSE),IFERROR(0/0,""))</f>
        <v/>
      </c>
      <c r="T3" s="7" t="str">
        <f>IFERROR(VLOOKUP($B3,'Pos and Incl IMPORT'!$B$2:$S2686,19,FALSE),IFERROR(0/0,""))</f>
        <v/>
      </c>
      <c r="U3" s="26">
        <f t="shared" si="1"/>
        <v>2</v>
      </c>
    </row>
    <row r="4">
      <c r="B4" s="23" t="str">
        <f>IFERROR(__xludf.DUMMYFUNCTION("""COMPUTED_VALUE"""),"AJ9480")</f>
        <v>AJ9480</v>
      </c>
      <c r="C4" s="23" t="str">
        <f>IFERROR(__xludf.DUMMYFUNCTION("""COMPUTED_VALUE"""),"RUN-ABRM_2022-12-20_RFR-112")</f>
        <v>RUN-ABRM_2022-12-20_RFR-112</v>
      </c>
      <c r="D4" s="24">
        <f>IFERROR(__xludf.DUMMYFUNCTION("""COMPUTED_VALUE"""),44915.0)</f>
        <v>44915</v>
      </c>
      <c r="E4" s="24">
        <f>IFERROR(__xludf.DUMMYFUNCTION("""COMPUTED_VALUE"""),44915.0)</f>
        <v>44915</v>
      </c>
      <c r="F4" s="62">
        <f>IFERROR(__xludf.DUMMYFUNCTION("""COMPUTED_VALUE"""),0.3227083333331393)</f>
        <v>0.3227083333</v>
      </c>
      <c r="G4" s="23" t="str">
        <f>IFERROR(__xludf.DUMMYFUNCTION("""COMPUTED_VALUE"""),"Positive")</f>
        <v>Positive</v>
      </c>
      <c r="H4" s="7" t="str">
        <f>IFERROR(VLOOKUP($B5,'Pos and Incl IMPORT'!$B$2:$X2686,4,FALSE),IFERROR(0/0,""))</f>
        <v>SpABRM297307</v>
      </c>
      <c r="I4" s="7"/>
      <c r="J4" s="7"/>
      <c r="K4" s="7"/>
      <c r="L4" s="7" t="str">
        <f>IFERROR(VLOOKUP($B4,'Pos and Incl IMPORT'!$B$2:$P2686,11,FALSE),IFERROR(0/0,""))</f>
        <v/>
      </c>
      <c r="M4" s="7" t="str">
        <f>IFERROR(VLOOKUP($B4,'Pos and Incl IMPORT'!$B$2:$P2686,12,FALSE),IFERROR(0/0,""))</f>
        <v/>
      </c>
      <c r="N4" s="7" t="str">
        <f>IFERROR(VLOOKUP($B4,'Pos and Incl IMPORT'!$B$2:$P2686,13,FALSE),IFERROR(0/0,""))</f>
        <v/>
      </c>
      <c r="O4" s="26">
        <f>IFERROR(VLOOKUP($B4,'Pos and Incl IMPORT'!$B$2:$P2686,14,FALSE),IFERROR(0/0,""))</f>
        <v>1</v>
      </c>
      <c r="P4" s="26">
        <f>IFERROR(VLOOKUP($B4,'Pos and Incl IMPORT'!$B$2:$P2686,15,FALSE),IFERROR(0/0,""))</f>
        <v>1466</v>
      </c>
      <c r="Q4" s="7" t="str">
        <f>IFERROR(VLOOKUP($B4,'Pos and Incl IMPORT'!$B$2:$S2686,16,FALSE),IFERROR(0/0,""))</f>
        <v>ABRM582390</v>
      </c>
      <c r="R4" s="7" t="str">
        <f>IFERROR(VLOOKUP($B4,'Pos and Incl IMPORT'!$B$2:$S2686,17,FALSE),IFERROR(0/0,""))</f>
        <v/>
      </c>
      <c r="S4" s="7" t="str">
        <f>IFERROR(VLOOKUP($B4,'Pos and Incl IMPORT'!$B$2:$S2686,18,FALSE),IFERROR(0/0,""))</f>
        <v/>
      </c>
      <c r="T4" s="7" t="str">
        <f>IFERROR(VLOOKUP($B4,'Pos and Incl IMPORT'!$B$2:$S2686,19,FALSE),IFERROR(0/0,""))</f>
        <v/>
      </c>
      <c r="U4" s="26">
        <f t="shared" si="1"/>
        <v>2</v>
      </c>
    </row>
    <row r="5">
      <c r="B5" s="23" t="str">
        <f>IFERROR(__xludf.DUMMYFUNCTION("""COMPUTED_VALUE"""),"AG1417")</f>
        <v>AG1417</v>
      </c>
      <c r="C5" s="23" t="str">
        <f>IFERROR(__xludf.DUMMYFUNCTION("""COMPUTED_VALUE"""),"RUN-ABRM_2023-01-12_RFR-129")</f>
        <v>RUN-ABRM_2023-01-12_RFR-129</v>
      </c>
      <c r="D5" s="24">
        <f>IFERROR(__xludf.DUMMYFUNCTION("""COMPUTED_VALUE"""),44938.0)</f>
        <v>44938</v>
      </c>
      <c r="E5" s="24">
        <f>IFERROR(__xludf.DUMMYFUNCTION("""COMPUTED_VALUE"""),44938.0)</f>
        <v>44938</v>
      </c>
      <c r="F5" s="62">
        <f>IFERROR(__xludf.DUMMYFUNCTION("""COMPUTED_VALUE"""),0.25288194444510737)</f>
        <v>0.2528819444</v>
      </c>
      <c r="G5" s="23" t="str">
        <f>IFERROR(__xludf.DUMMYFUNCTION("""COMPUTED_VALUE"""),"Inconclusive")</f>
        <v>Inconclusive</v>
      </c>
      <c r="H5" s="7" t="str">
        <f>IFERROR(VLOOKUP($B6,'Pos and Incl IMPORT'!$B$2:$X2686,4,FALSE),IFERROR(0/0,""))</f>
        <v>SpABRM814022</v>
      </c>
      <c r="I5" s="7"/>
      <c r="J5" s="7"/>
      <c r="K5" s="7"/>
      <c r="L5" s="7" t="str">
        <f>IFERROR(VLOOKUP($B5,'Pos and Incl IMPORT'!$B$2:$P2686,11,FALSE),IFERROR(0/0,""))</f>
        <v/>
      </c>
      <c r="M5" s="7" t="str">
        <f>IFERROR(VLOOKUP($B5,'Pos and Incl IMPORT'!$B$2:$P2686,12,FALSE),IFERROR(0/0,""))</f>
        <v/>
      </c>
      <c r="N5" s="7" t="str">
        <f>IFERROR(VLOOKUP($B5,'Pos and Incl IMPORT'!$B$2:$P2686,13,FALSE),IFERROR(0/0,""))</f>
        <v/>
      </c>
      <c r="O5" s="26">
        <f>IFERROR(VLOOKUP($B5,'Pos and Incl IMPORT'!$B$2:$P2686,14,FALSE),IFERROR(0/0,""))</f>
        <v>3</v>
      </c>
      <c r="P5" s="26">
        <f>IFERROR(VLOOKUP($B5,'Pos and Incl IMPORT'!$B$2:$P2686,15,FALSE),IFERROR(0/0,""))</f>
        <v>1637</v>
      </c>
      <c r="Q5" s="7" t="str">
        <f>IFERROR(VLOOKUP($B5,'Pos and Incl IMPORT'!$B$2:$S2686,16,FALSE),IFERROR(0/0,""))</f>
        <v>ABRM947679</v>
      </c>
      <c r="R5" s="7" t="str">
        <f>IFERROR(VLOOKUP($B5,'Pos and Incl IMPORT'!$B$2:$S2686,17,FALSE),IFERROR(0/0,""))</f>
        <v>ABRM303158</v>
      </c>
      <c r="S5" s="7" t="str">
        <f>IFERROR(VLOOKUP($B5,'Pos and Incl IMPORT'!$B$2:$S2686,18,FALSE),IFERROR(0/0,""))</f>
        <v>ABRM958852</v>
      </c>
      <c r="T5" s="7" t="str">
        <f>IFERROR(VLOOKUP($B5,'Pos and Incl IMPORT'!$B$2:$S2686,19,FALSE),IFERROR(0/0,""))</f>
        <v/>
      </c>
      <c r="U5" s="26">
        <f t="shared" si="1"/>
        <v>1</v>
      </c>
    </row>
    <row r="6">
      <c r="B6" s="23" t="str">
        <f>IFERROR(__xludf.DUMMYFUNCTION("""COMPUTED_VALUE"""),"AG1625")</f>
        <v>AG1625</v>
      </c>
      <c r="C6" s="23" t="str">
        <f>IFERROR(__xludf.DUMMYFUNCTION("""COMPUTED_VALUE"""),"RUN-ABRM_2023-01-13_RFR-131")</f>
        <v>RUN-ABRM_2023-01-13_RFR-131</v>
      </c>
      <c r="D6" s="24">
        <f>IFERROR(__xludf.DUMMYFUNCTION("""COMPUTED_VALUE"""),44939.0)</f>
        <v>44939</v>
      </c>
      <c r="E6" s="24">
        <f>IFERROR(__xludf.DUMMYFUNCTION("""COMPUTED_VALUE"""),44939.0)</f>
        <v>44939</v>
      </c>
      <c r="F6" s="62">
        <f>IFERROR(__xludf.DUMMYFUNCTION("""COMPUTED_VALUE"""),0.32319444444510737)</f>
        <v>0.3231944444</v>
      </c>
      <c r="G6" s="23" t="str">
        <f>IFERROR(__xludf.DUMMYFUNCTION("""COMPUTED_VALUE"""),"Inconclusive")</f>
        <v>Inconclusive</v>
      </c>
      <c r="H6" s="7" t="str">
        <f>IFERROR(VLOOKUP($B7,'Pos and Incl IMPORT'!$B$2:$X2686,4,FALSE),IFERROR(0/0,""))</f>
        <v>SpABRM655136</v>
      </c>
      <c r="I6" s="7"/>
      <c r="J6" s="7"/>
      <c r="K6" s="7"/>
      <c r="L6" s="7" t="str">
        <f>IFERROR(VLOOKUP($B6,'Pos and Incl IMPORT'!$B$2:$P2686,11,FALSE),IFERROR(0/0,""))</f>
        <v/>
      </c>
      <c r="M6" s="7" t="str">
        <f>IFERROR(VLOOKUP($B6,'Pos and Incl IMPORT'!$B$2:$P2686,12,FALSE),IFERROR(0/0,""))</f>
        <v/>
      </c>
      <c r="N6" s="7" t="str">
        <f>IFERROR(VLOOKUP($B6,'Pos and Incl IMPORT'!$B$2:$P2686,13,FALSE),IFERROR(0/0,""))</f>
        <v/>
      </c>
      <c r="O6" s="26">
        <f>IFERROR(VLOOKUP($B6,'Pos and Incl IMPORT'!$B$2:$P2686,14,FALSE),IFERROR(0/0,""))</f>
        <v>1</v>
      </c>
      <c r="P6" s="26">
        <f>IFERROR(VLOOKUP($B6,'Pos and Incl IMPORT'!$B$2:$P2686,15,FALSE),IFERROR(0/0,""))</f>
        <v>1655</v>
      </c>
      <c r="Q6" s="7" t="str">
        <f>IFERROR(VLOOKUP($B6,'Pos and Incl IMPORT'!$B$2:$S2686,16,FALSE),IFERROR(0/0,""))</f>
        <v>ABRM515295</v>
      </c>
      <c r="R6" s="7" t="str">
        <f>IFERROR(VLOOKUP($B6,'Pos and Incl IMPORT'!$B$2:$S2686,17,FALSE),IFERROR(0/0,""))</f>
        <v/>
      </c>
      <c r="S6" s="7" t="str">
        <f>IFERROR(VLOOKUP($B6,'Pos and Incl IMPORT'!$B$2:$S2686,18,FALSE),IFERROR(0/0,""))</f>
        <v/>
      </c>
      <c r="T6" s="7" t="str">
        <f>IFERROR(VLOOKUP($B6,'Pos and Incl IMPORT'!$B$2:$S2686,19,FALSE),IFERROR(0/0,""))</f>
        <v/>
      </c>
      <c r="U6" s="26">
        <f t="shared" si="1"/>
        <v>1</v>
      </c>
    </row>
    <row r="7">
      <c r="B7" s="23" t="str">
        <f>IFERROR(__xludf.DUMMYFUNCTION("""COMPUTED_VALUE"""),"AJ8942")</f>
        <v>AJ8942</v>
      </c>
      <c r="C7" s="23" t="str">
        <f>IFERROR(__xludf.DUMMYFUNCTION("""COMPUTED_VALUE"""),"RUN-ABRM_2023-01-20_RFR-139")</f>
        <v>RUN-ABRM_2023-01-20_RFR-139</v>
      </c>
      <c r="D7" s="24">
        <f>IFERROR(__xludf.DUMMYFUNCTION("""COMPUTED_VALUE"""),44946.0)</f>
        <v>44946</v>
      </c>
      <c r="E7" s="24">
        <f>IFERROR(__xludf.DUMMYFUNCTION("""COMPUTED_VALUE"""),44946.0)</f>
        <v>44946</v>
      </c>
      <c r="F7" s="62">
        <f>IFERROR(__xludf.DUMMYFUNCTION("""COMPUTED_VALUE"""),0.31164351851839456)</f>
        <v>0.3116435185</v>
      </c>
      <c r="G7" s="23" t="str">
        <f>IFERROR(__xludf.DUMMYFUNCTION("""COMPUTED_VALUE"""),"Inconclusive")</f>
        <v>Inconclusive</v>
      </c>
      <c r="H7" s="7" t="str">
        <f>IFERROR(VLOOKUP($B8,'Pos and Incl IMPORT'!$B$2:$X2686,4,FALSE),IFERROR(0/0,""))</f>
        <v>SpABRM297307</v>
      </c>
      <c r="I7" s="7"/>
      <c r="J7" s="7"/>
      <c r="K7" s="7"/>
      <c r="L7" s="7">
        <f>IFERROR(VLOOKUP($B7,'Pos and Incl IMPORT'!$B$2:$P2686,11,FALSE),IFERROR(0/0,""))</f>
        <v>4.1</v>
      </c>
      <c r="M7" s="7" t="str">
        <f>IFERROR(VLOOKUP($B7,'Pos and Incl IMPORT'!$B$2:$P2686,12,FALSE),IFERROR(0/0,""))</f>
        <v>RT Jan26 - photo and LUM show Incl call</v>
      </c>
      <c r="N7" s="7" t="str">
        <f>IFERROR(VLOOKUP($B7,'Pos and Incl IMPORT'!$B$2:$P2686,13,FALSE),IFERROR(0/0,""))</f>
        <v/>
      </c>
      <c r="O7" s="26">
        <f>IFERROR(VLOOKUP($B7,'Pos and Incl IMPORT'!$B$2:$P2686,14,FALSE),IFERROR(0/0,""))</f>
        <v>2</v>
      </c>
      <c r="P7" s="26">
        <f>IFERROR(VLOOKUP($B7,'Pos and Incl IMPORT'!$B$2:$P2686,15,FALSE),IFERROR(0/0,""))</f>
        <v>1743</v>
      </c>
      <c r="Q7" s="7" t="str">
        <f>IFERROR(VLOOKUP($B7,'Pos and Incl IMPORT'!$B$2:$S2686,16,FALSE),IFERROR(0/0,""))</f>
        <v>ABRM396076</v>
      </c>
      <c r="R7" s="7" t="str">
        <f>IFERROR(VLOOKUP($B7,'Pos and Incl IMPORT'!$B$2:$S2686,17,FALSE),IFERROR(0/0,""))</f>
        <v>ABRM492658</v>
      </c>
      <c r="S7" s="7" t="str">
        <f>IFERROR(VLOOKUP($B7,'Pos and Incl IMPORT'!$B$2:$S2686,18,FALSE),IFERROR(0/0,""))</f>
        <v/>
      </c>
      <c r="T7" s="7" t="str">
        <f>IFERROR(VLOOKUP($B7,'Pos and Incl IMPORT'!$B$2:$S2686,19,FALSE),IFERROR(0/0,""))</f>
        <v/>
      </c>
      <c r="U7" s="26">
        <f t="shared" si="1"/>
        <v>1</v>
      </c>
    </row>
    <row r="8">
      <c r="B8" s="23" t="str">
        <f>IFERROR(__xludf.DUMMYFUNCTION("""COMPUTED_VALUE"""),"AK9881")</f>
        <v>AK9881</v>
      </c>
      <c r="C8" s="23" t="str">
        <f>IFERROR(__xludf.DUMMYFUNCTION("""COMPUTED_VALUE"""),"RUN-ABRM_2023-03-30_RFR-197")</f>
        <v>RUN-ABRM_2023-03-30_RFR-197</v>
      </c>
      <c r="D8" s="24">
        <f>IFERROR(__xludf.DUMMYFUNCTION("""COMPUTED_VALUE"""),45015.0)</f>
        <v>45015</v>
      </c>
      <c r="E8" s="24">
        <f>IFERROR(__xludf.DUMMYFUNCTION("""COMPUTED_VALUE"""),45015.0)</f>
        <v>45015</v>
      </c>
      <c r="F8" s="62">
        <f>IFERROR(__xludf.DUMMYFUNCTION("""COMPUTED_VALUE"""),0.25310185185298906)</f>
        <v>0.2531018519</v>
      </c>
      <c r="G8" s="23" t="str">
        <f>IFERROR(__xludf.DUMMYFUNCTION("""COMPUTED_VALUE"""),"Positive")</f>
        <v>Positive</v>
      </c>
      <c r="H8" s="7" t="str">
        <f>IFERROR(VLOOKUP($B9,'Pos and Incl IMPORT'!$B$2:$X2686,4,FALSE),IFERROR(0/0,""))</f>
        <v>SpABRM128250</v>
      </c>
      <c r="I8" s="7"/>
      <c r="J8" s="7"/>
      <c r="K8" s="7"/>
      <c r="L8" s="7" t="str">
        <f>IFERROR(VLOOKUP($B8,'Pos and Incl IMPORT'!$B$2:$P2686,11,FALSE),IFERROR(0/0,""))</f>
        <v/>
      </c>
      <c r="M8" s="7" t="str">
        <f>IFERROR(VLOOKUP($B8,'Pos and Incl IMPORT'!$B$2:$P2686,12,FALSE),IFERROR(0/0,""))</f>
        <v/>
      </c>
      <c r="N8" s="7" t="str">
        <f>IFERROR(VLOOKUP($B8,'Pos and Incl IMPORT'!$B$2:$P2686,13,FALSE),IFERROR(0/0,""))</f>
        <v/>
      </c>
      <c r="O8" s="26">
        <f>IFERROR(VLOOKUP($B8,'Pos and Incl IMPORT'!$B$2:$P2686,14,FALSE),IFERROR(0/0,""))</f>
        <v>4</v>
      </c>
      <c r="P8" s="26">
        <f>IFERROR(VLOOKUP($B8,'Pos and Incl IMPORT'!$B$2:$P2686,15,FALSE),IFERROR(0/0,""))</f>
        <v>2419</v>
      </c>
      <c r="Q8" s="7" t="str">
        <f>IFERROR(VLOOKUP($B8,'Pos and Incl IMPORT'!$B$2:$S2686,16,FALSE),IFERROR(0/0,""))</f>
        <v>ABRM624478</v>
      </c>
      <c r="R8" s="7" t="str">
        <f>IFERROR(VLOOKUP($B8,'Pos and Incl IMPORT'!$B$2:$S2686,17,FALSE),IFERROR(0/0,""))</f>
        <v>ABRM739674</v>
      </c>
      <c r="S8" s="7" t="str">
        <f>IFERROR(VLOOKUP($B8,'Pos and Incl IMPORT'!$B$2:$S2686,18,FALSE),IFERROR(0/0,""))</f>
        <v>ABRM303158</v>
      </c>
      <c r="T8" s="7" t="str">
        <f>IFERROR(VLOOKUP($B8,'Pos and Incl IMPORT'!$B$2:$S2686,19,FALSE),IFERROR(0/0,""))</f>
        <v/>
      </c>
      <c r="U8" s="26">
        <f t="shared" si="1"/>
        <v>1</v>
      </c>
    </row>
    <row r="9">
      <c r="B9" s="23" t="str">
        <f>IFERROR(__xludf.DUMMYFUNCTION("""COMPUTED_VALUE"""),"AB9291")</f>
        <v>AB9291</v>
      </c>
      <c r="C9" s="23" t="str">
        <f>IFERROR(__xludf.DUMMYFUNCTION("""COMPUTED_VALUE"""),"RUN-ABRM_2023-05-23_RFR-231")</f>
        <v>RUN-ABRM_2023-05-23_RFR-231</v>
      </c>
      <c r="D9" s="24">
        <f>IFERROR(__xludf.DUMMYFUNCTION("""COMPUTED_VALUE"""),45069.0)</f>
        <v>45069</v>
      </c>
      <c r="E9" s="24">
        <f>IFERROR(__xludf.DUMMYFUNCTION("""COMPUTED_VALUE"""),45069.0)</f>
        <v>45069</v>
      </c>
      <c r="F9" s="62">
        <f>IFERROR(__xludf.DUMMYFUNCTION("""COMPUTED_VALUE"""),0.3019560185202863)</f>
        <v>0.3019560185</v>
      </c>
      <c r="G9" s="23" t="str">
        <f>IFERROR(__xludf.DUMMYFUNCTION("""COMPUTED_VALUE"""),"Positive")</f>
        <v>Positive</v>
      </c>
      <c r="H9" s="7" t="str">
        <f>IFERROR(VLOOKUP($B10,'Pos and Incl IMPORT'!$B$2:$X2686,4,FALSE),IFERROR(0/0,""))</f>
        <v>SpABRM655136</v>
      </c>
      <c r="I9" s="7"/>
      <c r="J9" s="7"/>
      <c r="K9" s="7"/>
      <c r="L9" s="7" t="str">
        <f>IFERROR(VLOOKUP($B9,'Pos and Incl IMPORT'!$B$2:$P2686,11,FALSE),IFERROR(0/0,""))</f>
        <v/>
      </c>
      <c r="M9" s="7" t="str">
        <f>IFERROR(VLOOKUP($B9,'Pos and Incl IMPORT'!$B$2:$P2686,12,FALSE),IFERROR(0/0,""))</f>
        <v/>
      </c>
      <c r="N9" s="7" t="str">
        <f>IFERROR(VLOOKUP($B9,'Pos and Incl IMPORT'!$B$2:$P2686,13,FALSE),IFERROR(0/0,""))</f>
        <v/>
      </c>
      <c r="O9" s="26">
        <f>IFERROR(VLOOKUP($B9,'Pos and Incl IMPORT'!$B$2:$P2686,14,FALSE),IFERROR(0/0,""))</f>
        <v>3</v>
      </c>
      <c r="P9" s="26">
        <f>IFERROR(VLOOKUP($B9,'Pos and Incl IMPORT'!$B$2:$P2686,15,FALSE),IFERROR(0/0,""))</f>
        <v>2880</v>
      </c>
      <c r="Q9" s="7" t="str">
        <f>IFERROR(VLOOKUP($B9,'Pos and Incl IMPORT'!$B$2:$S2686,16,FALSE),IFERROR(0/0,""))</f>
        <v>ABRM362882</v>
      </c>
      <c r="R9" s="7" t="str">
        <f>IFERROR(VLOOKUP($B9,'Pos and Incl IMPORT'!$B$2:$S2686,17,FALSE),IFERROR(0/0,""))</f>
        <v>ABRM165120</v>
      </c>
      <c r="S9" s="7" t="str">
        <f>IFERROR(VLOOKUP($B9,'Pos and Incl IMPORT'!$B$2:$S2686,18,FALSE),IFERROR(0/0,""))</f>
        <v>ABRM735457</v>
      </c>
      <c r="T9" s="7" t="str">
        <f>IFERROR(VLOOKUP($B9,'Pos and Incl IMPORT'!$B$2:$S2686,19,FALSE),IFERROR(0/0,""))</f>
        <v/>
      </c>
      <c r="U9" s="26">
        <f t="shared" si="1"/>
        <v>2</v>
      </c>
    </row>
    <row r="10">
      <c r="B10" s="23" t="str">
        <f>IFERROR(__xludf.DUMMYFUNCTION("""COMPUTED_VALUE"""),"AR1265")</f>
        <v>AR1265</v>
      </c>
      <c r="C10" s="23" t="str">
        <f>IFERROR(__xludf.DUMMYFUNCTION("""COMPUTED_VALUE"""),"RUN-ABRM_2023-05-23_RFR-231")</f>
        <v>RUN-ABRM_2023-05-23_RFR-231</v>
      </c>
      <c r="D10" s="24">
        <f>IFERROR(__xludf.DUMMYFUNCTION("""COMPUTED_VALUE"""),45069.0)</f>
        <v>45069</v>
      </c>
      <c r="E10" s="24">
        <f>IFERROR(__xludf.DUMMYFUNCTION("""COMPUTED_VALUE"""),45069.0)</f>
        <v>45069</v>
      </c>
      <c r="F10" s="62">
        <f>IFERROR(__xludf.DUMMYFUNCTION("""COMPUTED_VALUE"""),0.33762731481328956)</f>
        <v>0.3376273148</v>
      </c>
      <c r="G10" s="23" t="str">
        <f>IFERROR(__xludf.DUMMYFUNCTION("""COMPUTED_VALUE"""),"Positive")</f>
        <v>Positive</v>
      </c>
      <c r="H10" s="7" t="str">
        <f>IFERROR(VLOOKUP($B11,'Pos and Incl IMPORT'!$B$2:$X2686,4,FALSE),IFERROR(0/0,""))</f>
        <v>SpABRM655136</v>
      </c>
      <c r="I10" s="7"/>
      <c r="J10" s="7"/>
      <c r="K10" s="7"/>
      <c r="L10" s="7" t="str">
        <f>IFERROR(VLOOKUP($B10,'Pos and Incl IMPORT'!$B$2:$P2686,11,FALSE),IFERROR(0/0,""))</f>
        <v/>
      </c>
      <c r="M10" s="7" t="str">
        <f>IFERROR(VLOOKUP($B10,'Pos and Incl IMPORT'!$B$2:$P2686,12,FALSE),IFERROR(0/0,""))</f>
        <v/>
      </c>
      <c r="N10" s="7" t="str">
        <f>IFERROR(VLOOKUP($B10,'Pos and Incl IMPORT'!$B$2:$P2686,13,FALSE),IFERROR(0/0,""))</f>
        <v/>
      </c>
      <c r="O10" s="26">
        <f>IFERROR(VLOOKUP($B10,'Pos and Incl IMPORT'!$B$2:$P2686,14,FALSE),IFERROR(0/0,""))</f>
        <v>1</v>
      </c>
      <c r="P10" s="26">
        <f>IFERROR(VLOOKUP($B10,'Pos and Incl IMPORT'!$B$2:$P2686,15,FALSE),IFERROR(0/0,""))</f>
        <v>2887</v>
      </c>
      <c r="Q10" s="7" t="str">
        <f>IFERROR(VLOOKUP($B10,'Pos and Incl IMPORT'!$B$2:$S2686,16,FALSE),IFERROR(0/0,""))</f>
        <v>ABRM362882</v>
      </c>
      <c r="R10" s="7" t="str">
        <f>IFERROR(VLOOKUP($B10,'Pos and Incl IMPORT'!$B$2:$S2686,17,FALSE),IFERROR(0/0,""))</f>
        <v/>
      </c>
      <c r="S10" s="7" t="str">
        <f>IFERROR(VLOOKUP($B10,'Pos and Incl IMPORT'!$B$2:$S2686,18,FALSE),IFERROR(0/0,""))</f>
        <v/>
      </c>
      <c r="T10" s="7" t="str">
        <f>IFERROR(VLOOKUP($B10,'Pos and Incl IMPORT'!$B$2:$S2686,19,FALSE),IFERROR(0/0,""))</f>
        <v/>
      </c>
      <c r="U10" s="26">
        <f t="shared" si="1"/>
        <v>2</v>
      </c>
    </row>
    <row r="11">
      <c r="B11" s="23" t="str">
        <f>IFERROR(__xludf.DUMMYFUNCTION("""COMPUTED_VALUE"""),"AR15")</f>
        <v>AR15</v>
      </c>
      <c r="C11" s="23" t="str">
        <f>IFERROR(__xludf.DUMMYFUNCTION("""COMPUTED_VALUE"""),"RUN-ABRM_2023-05-23_RFR-231")</f>
        <v>RUN-ABRM_2023-05-23_RFR-231</v>
      </c>
      <c r="D11" s="24">
        <f>IFERROR(__xludf.DUMMYFUNCTION("""COMPUTED_VALUE"""),45069.0)</f>
        <v>45069</v>
      </c>
      <c r="E11" s="24">
        <f>IFERROR(__xludf.DUMMYFUNCTION("""COMPUTED_VALUE"""),45069.0)</f>
        <v>45069</v>
      </c>
      <c r="F11" s="62">
        <f>IFERROR(__xludf.DUMMYFUNCTION("""COMPUTED_VALUE"""),0.33835648148306063)</f>
        <v>0.3383564815</v>
      </c>
      <c r="G11" s="23" t="str">
        <f>IFERROR(__xludf.DUMMYFUNCTION("""COMPUTED_VALUE"""),"Positive")</f>
        <v>Positive</v>
      </c>
      <c r="H11" s="7" t="str">
        <f>IFERROR(VLOOKUP($B12,'Pos and Incl IMPORT'!$B$2:$X2686,4,FALSE),IFERROR(0/0,""))</f>
        <v>SpABRM655136</v>
      </c>
      <c r="I11" s="7"/>
      <c r="J11" s="7"/>
      <c r="K11" s="7"/>
      <c r="L11" s="7" t="str">
        <f>IFERROR(VLOOKUP($B11,'Pos and Incl IMPORT'!$B$2:$P2686,11,FALSE),IFERROR(0/0,""))</f>
        <v/>
      </c>
      <c r="M11" s="7" t="str">
        <f>IFERROR(VLOOKUP($B11,'Pos and Incl IMPORT'!$B$2:$P2686,12,FALSE),IFERROR(0/0,""))</f>
        <v/>
      </c>
      <c r="N11" s="7" t="str">
        <f>IFERROR(VLOOKUP($B11,'Pos and Incl IMPORT'!$B$2:$P2686,13,FALSE),IFERROR(0/0,""))</f>
        <v/>
      </c>
      <c r="O11" s="26">
        <f>IFERROR(VLOOKUP($B11,'Pos and Incl IMPORT'!$B$2:$P2686,14,FALSE),IFERROR(0/0,""))</f>
        <v>1</v>
      </c>
      <c r="P11" s="26">
        <f>IFERROR(VLOOKUP($B11,'Pos and Incl IMPORT'!$B$2:$P2686,15,FALSE),IFERROR(0/0,""))</f>
        <v>2888</v>
      </c>
      <c r="Q11" s="7" t="str">
        <f>IFERROR(VLOOKUP($B11,'Pos and Incl IMPORT'!$B$2:$S2686,16,FALSE),IFERROR(0/0,""))</f>
        <v>ABRM165120</v>
      </c>
      <c r="R11" s="7" t="str">
        <f>IFERROR(VLOOKUP($B11,'Pos and Incl IMPORT'!$B$2:$S2686,17,FALSE),IFERROR(0/0,""))</f>
        <v/>
      </c>
      <c r="S11" s="7" t="str">
        <f>IFERROR(VLOOKUP($B11,'Pos and Incl IMPORT'!$B$2:$S2686,18,FALSE),IFERROR(0/0,""))</f>
        <v/>
      </c>
      <c r="T11" s="7" t="str">
        <f>IFERROR(VLOOKUP($B11,'Pos and Incl IMPORT'!$B$2:$S2686,19,FALSE),IFERROR(0/0,""))</f>
        <v/>
      </c>
      <c r="U11" s="26">
        <f t="shared" si="1"/>
        <v>2</v>
      </c>
    </row>
    <row r="12">
      <c r="B12" s="23" t="str">
        <f>IFERROR(__xludf.DUMMYFUNCTION("""COMPUTED_VALUE"""),"AK9590")</f>
        <v>AK9590</v>
      </c>
      <c r="C12" s="23" t="str">
        <f>IFERROR(__xludf.DUMMYFUNCTION("""COMPUTED_VALUE"""),"RUN-ABRM_2023-05-23_RFR-231")</f>
        <v>RUN-ABRM_2023-05-23_RFR-231</v>
      </c>
      <c r="D12" s="24">
        <f>IFERROR(__xludf.DUMMYFUNCTION("""COMPUTED_VALUE"""),45069.0)</f>
        <v>45069</v>
      </c>
      <c r="E12" s="24">
        <f>IFERROR(__xludf.DUMMYFUNCTION("""COMPUTED_VALUE"""),45069.0)</f>
        <v>45069</v>
      </c>
      <c r="F12" s="62">
        <f>IFERROR(__xludf.DUMMYFUNCTION("""COMPUTED_VALUE"""),0.338761574075761)</f>
        <v>0.3387615741</v>
      </c>
      <c r="G12" s="23" t="str">
        <f>IFERROR(__xludf.DUMMYFUNCTION("""COMPUTED_VALUE"""),"Positive")</f>
        <v>Positive</v>
      </c>
      <c r="H12" s="7" t="str">
        <f>IFERROR(VLOOKUP($B13,'Pos and Incl IMPORT'!$B$2:$X2686,4,FALSE),IFERROR(0/0,""))</f>
        <v/>
      </c>
      <c r="I12" s="7"/>
      <c r="J12" s="7"/>
      <c r="K12" s="7"/>
      <c r="L12" s="7" t="str">
        <f>IFERROR(VLOOKUP($B12,'Pos and Incl IMPORT'!$B$2:$P2686,11,FALSE),IFERROR(0/0,""))</f>
        <v/>
      </c>
      <c r="M12" s="7" t="str">
        <f>IFERROR(VLOOKUP($B12,'Pos and Incl IMPORT'!$B$2:$P2686,12,FALSE),IFERROR(0/0,""))</f>
        <v/>
      </c>
      <c r="N12" s="7" t="str">
        <f>IFERROR(VLOOKUP($B12,'Pos and Incl IMPORT'!$B$2:$P2686,13,FALSE),IFERROR(0/0,""))</f>
        <v/>
      </c>
      <c r="O12" s="26">
        <f>IFERROR(VLOOKUP($B12,'Pos and Incl IMPORT'!$B$2:$P2686,14,FALSE),IFERROR(0/0,""))</f>
        <v>1</v>
      </c>
      <c r="P12" s="26">
        <f>IFERROR(VLOOKUP($B12,'Pos and Incl IMPORT'!$B$2:$P2686,15,FALSE),IFERROR(0/0,""))</f>
        <v>2889</v>
      </c>
      <c r="Q12" s="7" t="str">
        <f>IFERROR(VLOOKUP($B12,'Pos and Incl IMPORT'!$B$2:$S2686,16,FALSE),IFERROR(0/0,""))</f>
        <v>ABRM735457</v>
      </c>
      <c r="R12" s="7" t="str">
        <f>IFERROR(VLOOKUP($B12,'Pos and Incl IMPORT'!$B$2:$S2686,17,FALSE),IFERROR(0/0,""))</f>
        <v/>
      </c>
      <c r="S12" s="7" t="str">
        <f>IFERROR(VLOOKUP($B12,'Pos and Incl IMPORT'!$B$2:$S2686,18,FALSE),IFERROR(0/0,""))</f>
        <v/>
      </c>
      <c r="T12" s="7" t="str">
        <f>IFERROR(VLOOKUP($B12,'Pos and Incl IMPORT'!$B$2:$S2686,19,FALSE),IFERROR(0/0,""))</f>
        <v/>
      </c>
      <c r="U12" s="26">
        <f t="shared" si="1"/>
        <v>2</v>
      </c>
    </row>
    <row r="13">
      <c r="B13" s="23" t="str">
        <f>IFERROR(__xludf.DUMMYFUNCTION("""COMPUTED_VALUE"""),"ARFABRM013")</f>
        <v>ARFABRM013</v>
      </c>
      <c r="C13" s="23" t="str">
        <f>IFERROR(__xludf.DUMMYFUNCTION("""COMPUTED_VALUE"""),"RUN-ABRM_2023-05-19_RFR-227")</f>
        <v>RUN-ABRM_2023-05-19_RFR-227</v>
      </c>
      <c r="D13" s="24">
        <f>IFERROR(__xludf.DUMMYFUNCTION("""COMPUTED_VALUE"""),45065.0)</f>
        <v>45065</v>
      </c>
      <c r="E13" s="24"/>
      <c r="F13" s="62"/>
      <c r="G13" s="23" t="str">
        <f>IFERROR(__xludf.DUMMYFUNCTION("""COMPUTED_VALUE"""),"Positive")</f>
        <v>Positive</v>
      </c>
      <c r="H13" s="7" t="str">
        <f>IFERROR(VLOOKUP($B14,'Pos and Incl IMPORT'!$B$2:$X2686,4,FALSE),IFERROR(0/0,""))</f>
        <v/>
      </c>
      <c r="I13" s="7"/>
      <c r="J13" s="7"/>
      <c r="K13" s="7"/>
      <c r="L13" s="7" t="str">
        <f>IFERROR(VLOOKUP($B13,'Pos and Incl IMPORT'!$B$2:$P2686,11,FALSE),IFERROR(0/0,""))</f>
        <v/>
      </c>
      <c r="M13" s="7" t="str">
        <f>IFERROR(VLOOKUP($B13,'Pos and Incl IMPORT'!$B$2:$P2686,12,FALSE),IFERROR(0/0,""))</f>
        <v/>
      </c>
      <c r="N13" s="7" t="str">
        <f>IFERROR(VLOOKUP($B13,'Pos and Incl IMPORT'!$B$2:$P2686,13,FALSE),IFERROR(0/0,""))</f>
        <v/>
      </c>
      <c r="O13" s="26" t="str">
        <f>IFERROR(VLOOKUP($B13,'Pos and Incl IMPORT'!$B$2:$P2686,14,FALSE),IFERROR(0/0,""))</f>
        <v/>
      </c>
      <c r="P13" s="26" t="str">
        <f>IFERROR(VLOOKUP($B13,'Pos and Incl IMPORT'!$B$2:$P2686,15,FALSE),IFERROR(0/0,""))</f>
        <v/>
      </c>
      <c r="Q13" s="7" t="str">
        <f>IFERROR(VLOOKUP($B13,'Pos and Incl IMPORT'!$B$2:$S2686,16,FALSE),IFERROR(0/0,""))</f>
        <v/>
      </c>
      <c r="R13" s="7" t="str">
        <f>IFERROR(VLOOKUP($B13,'Pos and Incl IMPORT'!$B$2:$S2686,17,FALSE),IFERROR(0/0,""))</f>
        <v/>
      </c>
      <c r="S13" s="7" t="str">
        <f>IFERROR(VLOOKUP($B13,'Pos and Incl IMPORT'!$B$2:$S2686,18,FALSE),IFERROR(0/0,""))</f>
        <v/>
      </c>
      <c r="T13" s="7" t="str">
        <f>IFERROR(VLOOKUP($B13,'Pos and Incl IMPORT'!$B$2:$S2686,19,FALSE),IFERROR(0/0,""))</f>
        <v/>
      </c>
      <c r="U13" s="26" t="str">
        <f t="shared" si="1"/>
        <v/>
      </c>
    </row>
    <row r="14">
      <c r="H14" s="19" t="str">
        <f>IFERROR(VLOOKUP($B15,'Pos and Incl IMPORT'!$B$2:$X2686,4,FALSE),IFERROR(0/0,""))</f>
        <v/>
      </c>
      <c r="I14" s="19"/>
      <c r="J14" s="19"/>
      <c r="K14" s="19"/>
      <c r="L14" s="19" t="str">
        <f>IFERROR(VLOOKUP($B14,'Pos and Incl IMPORT'!$B$2:$P2686,11,FALSE),IFERROR(0/0,""))</f>
        <v/>
      </c>
      <c r="M14" s="19" t="str">
        <f>IFERROR(VLOOKUP($B14,'Pos and Incl IMPORT'!$B$2:$P2686,12,FALSE),IFERROR(0/0,""))</f>
        <v/>
      </c>
      <c r="N14" s="19" t="str">
        <f>IFERROR(VLOOKUP($B14,'Pos and Incl IMPORT'!$B$2:$P2686,13,FALSE),IFERROR(0/0,""))</f>
        <v/>
      </c>
      <c r="O14" s="20" t="str">
        <f>IFERROR(VLOOKUP($B14,'Pos and Incl IMPORT'!$B$2:$P2686,14,FALSE),IFERROR(0/0,""))</f>
        <v/>
      </c>
      <c r="P14" s="20" t="str">
        <f>IFERROR(VLOOKUP($B14,'Pos and Incl IMPORT'!$B$2:$P2686,15,FALSE),IFERROR(0/0,""))</f>
        <v/>
      </c>
      <c r="Q14" s="19" t="str">
        <f>IFERROR(VLOOKUP($B14,'Pos and Incl IMPORT'!$B$2:$S2686,16,FALSE),IFERROR(0/0,""))</f>
        <v/>
      </c>
      <c r="R14" s="19" t="str">
        <f>IFERROR(VLOOKUP($B14,'Pos and Incl IMPORT'!$B$2:$S2686,17,FALSE),IFERROR(0/0,""))</f>
        <v/>
      </c>
      <c r="S14" s="19" t="str">
        <f>IFERROR(VLOOKUP($B14,'Pos and Incl IMPORT'!$B$2:$S2686,18,FALSE),IFERROR(0/0,""))</f>
        <v/>
      </c>
      <c r="T14" s="19" t="str">
        <f>IFERROR(VLOOKUP($B14,'Pos and Incl IMPORT'!$B$2:$S2686,19,FALSE),IFERROR(0/0,""))</f>
        <v/>
      </c>
      <c r="U14" s="20" t="str">
        <f t="shared" si="1"/>
        <v/>
      </c>
    </row>
    <row r="15">
      <c r="H15" s="19" t="str">
        <f>IFERROR(VLOOKUP($B16,'Pos and Incl IMPORT'!$B$2:$X2686,4,FALSE),IFERROR(0/0,""))</f>
        <v/>
      </c>
      <c r="I15" s="19"/>
      <c r="J15" s="19"/>
      <c r="K15" s="19"/>
      <c r="L15" s="19" t="str">
        <f>IFERROR(VLOOKUP($B15,'Pos and Incl IMPORT'!$B$2:$P2686,11,FALSE),IFERROR(0/0,""))</f>
        <v/>
      </c>
      <c r="M15" s="19" t="str">
        <f>IFERROR(VLOOKUP($B15,'Pos and Incl IMPORT'!$B$2:$P2686,12,FALSE),IFERROR(0/0,""))</f>
        <v/>
      </c>
      <c r="N15" s="19" t="str">
        <f>IFERROR(VLOOKUP($B15,'Pos and Incl IMPORT'!$B$2:$P2686,13,FALSE),IFERROR(0/0,""))</f>
        <v/>
      </c>
      <c r="O15" s="20" t="str">
        <f>IFERROR(VLOOKUP($B15,'Pos and Incl IMPORT'!$B$2:$P2686,14,FALSE),IFERROR(0/0,""))</f>
        <v/>
      </c>
      <c r="P15" s="20" t="str">
        <f>IFERROR(VLOOKUP($B15,'Pos and Incl IMPORT'!$B$2:$P2686,15,FALSE),IFERROR(0/0,""))</f>
        <v/>
      </c>
      <c r="Q15" s="19" t="str">
        <f>IFERROR(VLOOKUP($B15,'Pos and Incl IMPORT'!$B$2:$S2686,16,FALSE),IFERROR(0/0,""))</f>
        <v/>
      </c>
      <c r="R15" s="19" t="str">
        <f>IFERROR(VLOOKUP($B15,'Pos and Incl IMPORT'!$B$2:$S2686,17,FALSE),IFERROR(0/0,""))</f>
        <v/>
      </c>
      <c r="S15" s="19" t="str">
        <f>IFERROR(VLOOKUP($B15,'Pos and Incl IMPORT'!$B$2:$S2686,18,FALSE),IFERROR(0/0,""))</f>
        <v/>
      </c>
      <c r="T15" s="19" t="str">
        <f>IFERROR(VLOOKUP($B15,'Pos and Incl IMPORT'!$B$2:$S2686,19,FALSE),IFERROR(0/0,""))</f>
        <v/>
      </c>
      <c r="U15" s="20" t="str">
        <f t="shared" si="1"/>
        <v/>
      </c>
    </row>
    <row r="16">
      <c r="H16" s="19" t="str">
        <f>IFERROR(VLOOKUP($B17,'Pos and Incl IMPORT'!$B$2:$X2686,4,FALSE),IFERROR(0/0,""))</f>
        <v/>
      </c>
      <c r="I16" s="19"/>
      <c r="J16" s="19"/>
      <c r="K16" s="19"/>
      <c r="L16" s="19" t="str">
        <f>IFERROR(VLOOKUP($B16,'Pos and Incl IMPORT'!$B$2:$P2686,11,FALSE),IFERROR(0/0,""))</f>
        <v/>
      </c>
      <c r="M16" s="19" t="str">
        <f>IFERROR(VLOOKUP($B16,'Pos and Incl IMPORT'!$B$2:$P2686,12,FALSE),IFERROR(0/0,""))</f>
        <v/>
      </c>
      <c r="N16" s="19" t="str">
        <f>IFERROR(VLOOKUP($B16,'Pos and Incl IMPORT'!$B$2:$P2686,13,FALSE),IFERROR(0/0,""))</f>
        <v/>
      </c>
      <c r="O16" s="20" t="str">
        <f>IFERROR(VLOOKUP($B16,'Pos and Incl IMPORT'!$B$2:$P2686,14,FALSE),IFERROR(0/0,""))</f>
        <v/>
      </c>
      <c r="P16" s="20" t="str">
        <f>IFERROR(VLOOKUP($B16,'Pos and Incl IMPORT'!$B$2:$P2686,15,FALSE),IFERROR(0/0,""))</f>
        <v/>
      </c>
      <c r="Q16" s="19" t="str">
        <f>IFERROR(VLOOKUP($B16,'Pos and Incl IMPORT'!$B$2:$S2686,16,FALSE),IFERROR(0/0,""))</f>
        <v/>
      </c>
      <c r="R16" s="19" t="str">
        <f>IFERROR(VLOOKUP($B16,'Pos and Incl IMPORT'!$B$2:$S2686,17,FALSE),IFERROR(0/0,""))</f>
        <v/>
      </c>
      <c r="S16" s="19" t="str">
        <f>IFERROR(VLOOKUP($B16,'Pos and Incl IMPORT'!$B$2:$S2686,18,FALSE),IFERROR(0/0,""))</f>
        <v/>
      </c>
      <c r="T16" s="19" t="str">
        <f>IFERROR(VLOOKUP($B16,'Pos and Incl IMPORT'!$B$2:$S2686,19,FALSE),IFERROR(0/0,""))</f>
        <v/>
      </c>
      <c r="U16" s="20" t="str">
        <f t="shared" si="1"/>
        <v/>
      </c>
    </row>
    <row r="17">
      <c r="K17" s="12"/>
      <c r="L17" s="12"/>
      <c r="M17" s="12"/>
      <c r="N17" s="12"/>
    </row>
    <row r="18">
      <c r="K18" s="12"/>
      <c r="L18" s="12"/>
      <c r="M18" s="12"/>
      <c r="N18" s="12"/>
    </row>
    <row r="19">
      <c r="K19" s="12"/>
      <c r="L19" s="12"/>
      <c r="M19" s="12"/>
      <c r="N19" s="12"/>
    </row>
  </sheetData>
  <hyperlinks>
    <hyperlink r:id="rId2" ref="A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5" max="5" width="16.25"/>
    <col customWidth="1" min="12" max="12" width="11.0"/>
    <col customWidth="1" min="20" max="20" width="22.63"/>
  </cols>
  <sheetData>
    <row r="1">
      <c r="A1" s="55" t="s">
        <v>81</v>
      </c>
      <c r="B1" s="63" t="str">
        <f>IFERROR(__xludf.DUMMYFUNCTION("IMPORTRANGE(A2,""Pos and Incl!A:Z"")"),"TUBE ID")</f>
        <v>TUBE ID</v>
      </c>
      <c r="C1" s="57" t="str">
        <f>IFERROR(__xludf.DUMMYFUNCTION("""COMPUTED_VALUE"""),"COLLECTION DATE")</f>
        <v>COLLECTION DATE</v>
      </c>
      <c r="D1" s="57" t="str">
        <f>IFERROR(__xludf.DUMMYFUNCTION("""COMPUTED_VALUE"""),"COLLECTION TIME")</f>
        <v>COLLECTION TIME</v>
      </c>
      <c r="E1" s="57" t="str">
        <f>IFERROR(__xludf.DUMMYFUNCTION("""COMPUTED_VALUE"""),"SPONSOR PERSON ID")</f>
        <v>SPONSOR PERSON ID</v>
      </c>
      <c r="F1" s="57" t="str">
        <f>IFERROR(__xludf.DUMMYFUNCTION("""COMPUTED_VALUE"""),"SPONSOR FIRSTNAME")</f>
        <v>SPONSOR FIRSTNAME</v>
      </c>
      <c r="G1" s="57" t="str">
        <f>IFERROR(__xludf.DUMMYFUNCTION("""COMPUTED_VALUE"""),"SPONSOR LASTNAME")</f>
        <v>SPONSOR LASTNAME</v>
      </c>
      <c r="H1" s="57" t="str">
        <f>IFERROR(__xludf.DUMMYFUNCTION("""COMPUTED_VALUE"""),"APP
RESULT")</f>
        <v>APP
RESULT</v>
      </c>
      <c r="I1" s="57" t="str">
        <f>IFERROR(__xludf.DUMMYFUNCTION("""COMPUTED_VALUE"""),"FINAL RESULT")</f>
        <v>FINAL RESULT</v>
      </c>
      <c r="J1" s="57" t="str">
        <f>IFERROR(__xludf.DUMMYFUNCTION("""COMPUTED_VALUE"""),"RESULT DATE")</f>
        <v>RESULT DATE</v>
      </c>
      <c r="K1" s="57" t="str">
        <f>IFERROR(__xludf.DUMMYFUNCTION("""COMPUTED_VALUE"""),"RESULT TIME")</f>
        <v>RESULT TIME</v>
      </c>
      <c r="L1" s="57" t="str">
        <f>IFERROR(__xludf.DUMMYFUNCTION("""COMPUTED_VALUE"""),"Result Correct Code")</f>
        <v>Result Correct Code</v>
      </c>
      <c r="M1" s="64" t="str">
        <f>IFERROR(__xludf.DUMMYFUNCTION("""COMPUTED_VALUE"""),"Correction Notes")</f>
        <v>Correction Notes</v>
      </c>
      <c r="N1" s="57" t="str">
        <f>IFERROR(__xludf.DUMMYFUNCTION("""COMPUTED_VALUE"""),"NOTE")</f>
        <v>NOTE</v>
      </c>
      <c r="O1" s="57" t="str">
        <f>IFERROR(__xludf.DUMMYFUNCTION("""COMPUTED_VALUE"""),"NUM SAMPLES (Pool Level)")</f>
        <v>NUM SAMPLES (Pool Level)</v>
      </c>
      <c r="P1" s="57" t="str">
        <f>IFERROR(__xludf.DUMMYFUNCTION("""COMPUTED_VALUE"""),"Match Row in APS Data PHI - postDEL")</f>
        <v>Match Row in APS Data PHI - postDEL</v>
      </c>
      <c r="Q1" s="57" t="str">
        <f>IFERROR(__xludf.DUMMYFUNCTION("""COMPUTED_VALUE"""),"Sample Person1")</f>
        <v>Sample Person1</v>
      </c>
      <c r="R1" s="57" t="str">
        <f>IFERROR(__xludf.DUMMYFUNCTION("""COMPUTED_VALUE"""),"Sample Person2")</f>
        <v>Sample Person2</v>
      </c>
      <c r="S1" s="57" t="str">
        <f>IFERROR(__xludf.DUMMYFUNCTION("""COMPUTED_VALUE"""),"Sample Person3")</f>
        <v>Sample Person3</v>
      </c>
      <c r="T1" s="57" t="str">
        <f>IFERROR(__xludf.DUMMYFUNCTION("""COMPUTED_VALUE"""),"Sample Person4")</f>
        <v>Sample Person4</v>
      </c>
      <c r="U1" s="57" t="str">
        <f>IFERROR(__xludf.DUMMYFUNCTION("""COMPUTED_VALUE"""),"Case Culster ID")</f>
        <v>Case Culster ID</v>
      </c>
      <c r="V1" s="57" t="str">
        <f>IFERROR(__xludf.DUMMYFUNCTION("""COMPUTED_VALUE"""),"Index Tube - First FL Pos/Incl of Case?")</f>
        <v>Index Tube - First FL Pos/Incl of Case?</v>
      </c>
      <c r="W1" s="57" t="str">
        <f>IFERROR(__xludf.DUMMYFUNCTION("""COMPUTED_VALUE"""),"Referral Test Result")</f>
        <v>Referral Test Result</v>
      </c>
      <c r="X1" s="57" t="str">
        <f>IFERROR(__xludf.DUMMYFUNCTION("""COMPUTED_VALUE"""),"Referral Notes")</f>
        <v>Referral Notes</v>
      </c>
      <c r="Y1" s="57" t="str">
        <f>IFERROR(__xludf.DUMMYFUNCTION("""COMPUTED_VALUE"""),"3 ACCOUNTED FOR IN RTR?")</f>
        <v>3 ACCOUNTED FOR IN RTR?</v>
      </c>
      <c r="Z1" s="59" t="str">
        <f>IFERROR(__xludf.DUMMYFUNCTION("""COMPUTED_VALUE"""),"Re-test?")</f>
        <v>Re-test?</v>
      </c>
      <c r="AA1" s="59" t="str">
        <f>IFERROR(__xludf.DUMMYFUNCTION("""COMPUTED_VALUE"""),"Pool Deconvolution Indiv Test?")</f>
        <v>Pool Deconvolution Indiv Test?</v>
      </c>
    </row>
    <row r="2">
      <c r="A2" s="60" t="s">
        <v>88</v>
      </c>
      <c r="B2" s="23" t="str">
        <f>IFERROR(__xludf.DUMMYFUNCTION("""COMPUTED_VALUE"""),"AG173")</f>
        <v>AG173</v>
      </c>
      <c r="C2" s="24">
        <f>IFERROR(__xludf.DUMMYFUNCTION("""COMPUTED_VALUE"""),44903.0)</f>
        <v>44903</v>
      </c>
      <c r="D2" s="62">
        <f>IFERROR(__xludf.DUMMYFUNCTION("""COMPUTED_VALUE"""),0.2963078703703704)</f>
        <v>0.2963078704</v>
      </c>
      <c r="E2" s="23" t="str">
        <f>IFERROR(__xludf.DUMMYFUNCTION("""COMPUTED_VALUE"""),"SpABRM367540")</f>
        <v>SpABRM367540</v>
      </c>
      <c r="F2" s="23"/>
      <c r="G2" s="23"/>
      <c r="H2" s="23" t="str">
        <f>IFERROR(__xludf.DUMMYFUNCTION("""COMPUTED_VALUE"""),"Positive")</f>
        <v>Positive</v>
      </c>
      <c r="I2" s="23" t="str">
        <f>IFERROR(__xludf.DUMMYFUNCTION("""COMPUTED_VALUE"""),"Positive")</f>
        <v>Positive</v>
      </c>
      <c r="J2" s="24">
        <f>IFERROR(__xludf.DUMMYFUNCTION("""COMPUTED_VALUE"""),44903.0)</f>
        <v>44903</v>
      </c>
      <c r="K2" s="62">
        <f>IFERROR(__xludf.DUMMYFUNCTION("""COMPUTED_VALUE"""),0.4659027777777778)</f>
        <v>0.4659027778</v>
      </c>
      <c r="L2" s="65"/>
      <c r="M2" s="66"/>
      <c r="N2" s="65"/>
      <c r="O2" s="65">
        <f>IFERROR(__xludf.DUMMYFUNCTION("""COMPUTED_VALUE"""),3.0)</f>
        <v>3</v>
      </c>
      <c r="P2" s="23">
        <f>IFERROR(__xludf.DUMMYFUNCTION("""COMPUTED_VALUE"""),1393.0)</f>
        <v>1393</v>
      </c>
      <c r="Q2" s="23" t="str">
        <f>IFERROR(__xludf.DUMMYFUNCTION("""COMPUTED_VALUE"""),"ABRM805764")</f>
        <v>ABRM805764</v>
      </c>
      <c r="R2" s="23" t="str">
        <f>IFERROR(__xludf.DUMMYFUNCTION("""COMPUTED_VALUE"""),"ABRM771013")</f>
        <v>ABRM771013</v>
      </c>
      <c r="S2" s="23" t="str">
        <f>IFERROR(__xludf.DUMMYFUNCTION("""COMPUTED_VALUE"""),"ABRM582390")</f>
        <v>ABRM582390</v>
      </c>
      <c r="T2" s="23"/>
      <c r="U2" s="23">
        <f>IFERROR(__xludf.DUMMYFUNCTION("""COMPUTED_VALUE"""),1.0)</f>
        <v>1</v>
      </c>
      <c r="V2" s="23" t="b">
        <f>IFERROR(__xludf.DUMMYFUNCTION("""COMPUTED_VALUE"""),TRUE)</f>
        <v>1</v>
      </c>
      <c r="W2" s="23" t="str">
        <f>IFERROR(__xludf.DUMMYFUNCTION("""COMPUTED_VALUE"""),"Positive")</f>
        <v>Positive</v>
      </c>
      <c r="X2" s="23"/>
      <c r="Y2" s="23" t="b">
        <f>IFERROR(__xludf.DUMMYFUNCTION("""COMPUTED_VALUE"""),TRUE)</f>
        <v>1</v>
      </c>
      <c r="Z2" s="18"/>
      <c r="AA2" s="18"/>
    </row>
    <row r="3">
      <c r="B3" s="23" t="str">
        <f>IFERROR(__xludf.DUMMYFUNCTION("""COMPUTED_VALUE"""),"AH112")</f>
        <v>AH112</v>
      </c>
      <c r="C3" s="24">
        <f>IFERROR(__xludf.DUMMYFUNCTION("""COMPUTED_VALUE"""),44915.0)</f>
        <v>44915</v>
      </c>
      <c r="D3" s="62">
        <f>IFERROR(__xludf.DUMMYFUNCTION("""COMPUTED_VALUE"""),0.32241898148148146)</f>
        <v>0.3224189815</v>
      </c>
      <c r="E3" s="23" t="str">
        <f>IFERROR(__xludf.DUMMYFUNCTION("""COMPUTED_VALUE"""),"SpABRM655136")</f>
        <v>SpABRM655136</v>
      </c>
      <c r="F3" s="23"/>
      <c r="G3" s="23"/>
      <c r="H3" s="23" t="str">
        <f>IFERROR(__xludf.DUMMYFUNCTION("""COMPUTED_VALUE"""),"Positive")</f>
        <v>Positive</v>
      </c>
      <c r="I3" s="23" t="str">
        <f>IFERROR(__xludf.DUMMYFUNCTION("""COMPUTED_VALUE"""),"Positive")</f>
        <v>Positive</v>
      </c>
      <c r="J3" s="24">
        <f>IFERROR(__xludf.DUMMYFUNCTION("""COMPUTED_VALUE"""),44915.0)</f>
        <v>44915</v>
      </c>
      <c r="K3" s="62">
        <f>IFERROR(__xludf.DUMMYFUNCTION("""COMPUTED_VALUE"""),0.42900462962962965)</f>
        <v>0.4290046296</v>
      </c>
      <c r="L3" s="65"/>
      <c r="M3" s="66"/>
      <c r="N3" s="65"/>
      <c r="O3" s="65">
        <f>IFERROR(__xludf.DUMMYFUNCTION("""COMPUTED_VALUE"""),1.0)</f>
        <v>1</v>
      </c>
      <c r="P3" s="23">
        <f>IFERROR(__xludf.DUMMYFUNCTION("""COMPUTED_VALUE"""),1465.0)</f>
        <v>1465</v>
      </c>
      <c r="Q3" s="23" t="str">
        <f>IFERROR(__xludf.DUMMYFUNCTION("""COMPUTED_VALUE"""),"ABRM805764")</f>
        <v>ABRM805764</v>
      </c>
      <c r="R3" s="23"/>
      <c r="S3" s="23"/>
      <c r="T3" s="23"/>
      <c r="U3" s="23">
        <f>IFERROR(__xludf.DUMMYFUNCTION("""COMPUTED_VALUE"""),1.0)</f>
        <v>1</v>
      </c>
      <c r="V3" s="23"/>
      <c r="W3" s="23" t="str">
        <f>IFERROR(__xludf.DUMMYFUNCTION("""COMPUTED_VALUE"""),"Positive")</f>
        <v>Positive</v>
      </c>
      <c r="X3" s="23"/>
      <c r="Y3" s="23" t="b">
        <f>IFERROR(__xludf.DUMMYFUNCTION("""COMPUTED_VALUE"""),TRUE)</f>
        <v>1</v>
      </c>
      <c r="Z3" s="18" t="b">
        <f>IFERROR(__xludf.DUMMYFUNCTION("""COMPUTED_VALUE"""),TRUE)</f>
        <v>1</v>
      </c>
      <c r="AA3" s="18"/>
    </row>
    <row r="4">
      <c r="B4" s="23" t="str">
        <f>IFERROR(__xludf.DUMMYFUNCTION("""COMPUTED_VALUE"""),"AJ9480")</f>
        <v>AJ9480</v>
      </c>
      <c r="C4" s="24">
        <f>IFERROR(__xludf.DUMMYFUNCTION("""COMPUTED_VALUE"""),44915.0)</f>
        <v>44915</v>
      </c>
      <c r="D4" s="62">
        <f>IFERROR(__xludf.DUMMYFUNCTION("""COMPUTED_VALUE"""),0.3227083333333333)</f>
        <v>0.3227083333</v>
      </c>
      <c r="E4" s="23" t="str">
        <f>IFERROR(__xludf.DUMMYFUNCTION("""COMPUTED_VALUE"""),"SpABRM655136")</f>
        <v>SpABRM655136</v>
      </c>
      <c r="F4" s="23"/>
      <c r="G4" s="23"/>
      <c r="H4" s="23" t="str">
        <f>IFERROR(__xludf.DUMMYFUNCTION("""COMPUTED_VALUE"""),"Positive")</f>
        <v>Positive</v>
      </c>
      <c r="I4" s="23" t="str">
        <f>IFERROR(__xludf.DUMMYFUNCTION("""COMPUTED_VALUE"""),"Positive")</f>
        <v>Positive</v>
      </c>
      <c r="J4" s="24">
        <f>IFERROR(__xludf.DUMMYFUNCTION("""COMPUTED_VALUE"""),44915.0)</f>
        <v>44915</v>
      </c>
      <c r="K4" s="62">
        <f>IFERROR(__xludf.DUMMYFUNCTION("""COMPUTED_VALUE"""),0.4290162037037037)</f>
        <v>0.4290162037</v>
      </c>
      <c r="L4" s="65"/>
      <c r="M4" s="66"/>
      <c r="N4" s="65"/>
      <c r="O4" s="65">
        <f>IFERROR(__xludf.DUMMYFUNCTION("""COMPUTED_VALUE"""),1.0)</f>
        <v>1</v>
      </c>
      <c r="P4" s="23">
        <f>IFERROR(__xludf.DUMMYFUNCTION("""COMPUTED_VALUE"""),1466.0)</f>
        <v>1466</v>
      </c>
      <c r="Q4" s="23" t="str">
        <f>IFERROR(__xludf.DUMMYFUNCTION("""COMPUTED_VALUE"""),"ABRM582390")</f>
        <v>ABRM582390</v>
      </c>
      <c r="R4" s="23"/>
      <c r="S4" s="23"/>
      <c r="T4" s="23"/>
      <c r="U4" s="23">
        <f>IFERROR(__xludf.DUMMYFUNCTION("""COMPUTED_VALUE"""),1.0)</f>
        <v>1</v>
      </c>
      <c r="V4" s="23"/>
      <c r="W4" s="23" t="str">
        <f>IFERROR(__xludf.DUMMYFUNCTION("""COMPUTED_VALUE"""),"Positive")</f>
        <v>Positive</v>
      </c>
      <c r="X4" s="23"/>
      <c r="Y4" s="23" t="b">
        <f>IFERROR(__xludf.DUMMYFUNCTION("""COMPUTED_VALUE"""),TRUE)</f>
        <v>1</v>
      </c>
      <c r="Z4" s="18" t="b">
        <f>IFERROR(__xludf.DUMMYFUNCTION("""COMPUTED_VALUE"""),TRUE)</f>
        <v>1</v>
      </c>
      <c r="AA4" s="18"/>
    </row>
    <row r="5">
      <c r="B5" s="23" t="str">
        <f>IFERROR(__xludf.DUMMYFUNCTION("""COMPUTED_VALUE"""),"AK9881")</f>
        <v>AK9881</v>
      </c>
      <c r="C5" s="24">
        <f>IFERROR(__xludf.DUMMYFUNCTION("""COMPUTED_VALUE"""),45015.0)</f>
        <v>45015</v>
      </c>
      <c r="D5" s="62">
        <f>IFERROR(__xludf.DUMMYFUNCTION("""COMPUTED_VALUE"""),0.25310185185185186)</f>
        <v>0.2531018519</v>
      </c>
      <c r="E5" s="23" t="str">
        <f>IFERROR(__xludf.DUMMYFUNCTION("""COMPUTED_VALUE"""),"SpABRM297307")</f>
        <v>SpABRM297307</v>
      </c>
      <c r="F5" s="23"/>
      <c r="G5" s="23"/>
      <c r="H5" s="23" t="str">
        <f>IFERROR(__xludf.DUMMYFUNCTION("""COMPUTED_VALUE"""),"Positive")</f>
        <v>Positive</v>
      </c>
      <c r="I5" s="23" t="str">
        <f>IFERROR(__xludf.DUMMYFUNCTION("""COMPUTED_VALUE"""),"Positive")</f>
        <v>Positive</v>
      </c>
      <c r="J5" s="24">
        <f>IFERROR(__xludf.DUMMYFUNCTION("""COMPUTED_VALUE"""),45015.0)</f>
        <v>45015</v>
      </c>
      <c r="K5" s="62">
        <f>IFERROR(__xludf.DUMMYFUNCTION("""COMPUTED_VALUE"""),0.4371412037037037)</f>
        <v>0.4371412037</v>
      </c>
      <c r="L5" s="65"/>
      <c r="M5" s="66"/>
      <c r="N5" s="65"/>
      <c r="O5" s="65">
        <f>IFERROR(__xludf.DUMMYFUNCTION("""COMPUTED_VALUE"""),4.0)</f>
        <v>4</v>
      </c>
      <c r="P5" s="23">
        <f>IFERROR(__xludf.DUMMYFUNCTION("""COMPUTED_VALUE"""),2419.0)</f>
        <v>2419</v>
      </c>
      <c r="Q5" s="23" t="str">
        <f>IFERROR(__xludf.DUMMYFUNCTION("""COMPUTED_VALUE"""),"ABRM624478")</f>
        <v>ABRM624478</v>
      </c>
      <c r="R5" s="23" t="str">
        <f>IFERROR(__xludf.DUMMYFUNCTION("""COMPUTED_VALUE"""),"ABRM739674")</f>
        <v>ABRM739674</v>
      </c>
      <c r="S5" s="23" t="str">
        <f>IFERROR(__xludf.DUMMYFUNCTION("""COMPUTED_VALUE"""),"ABRM303158")</f>
        <v>ABRM303158</v>
      </c>
      <c r="T5" s="23" t="str">
        <f>IFERROR(__xludf.DUMMYFUNCTION("""COMPUTED_VALUE"""),"ABRM958852")</f>
        <v>ABRM958852</v>
      </c>
      <c r="U5" s="23">
        <f>IFERROR(__xludf.DUMMYFUNCTION("""COMPUTED_VALUE"""),2.0)</f>
        <v>2</v>
      </c>
      <c r="V5" s="23"/>
      <c r="W5" s="23" t="str">
        <f>IFERROR(__xludf.DUMMYFUNCTION("""COMPUTED_VALUE"""),"NONE")</f>
        <v>NONE</v>
      </c>
      <c r="X5" s="23"/>
      <c r="Y5" s="23" t="b">
        <f>IFERROR(__xludf.DUMMYFUNCTION("""COMPUTED_VALUE"""),FALSE)</f>
        <v>0</v>
      </c>
      <c r="Z5" s="18"/>
      <c r="AA5" s="18"/>
    </row>
    <row r="6">
      <c r="B6" s="23" t="str">
        <f>IFERROR(__xludf.DUMMYFUNCTION("""COMPUTED_VALUE"""),"AB9291")</f>
        <v>AB9291</v>
      </c>
      <c r="C6" s="24">
        <f>IFERROR(__xludf.DUMMYFUNCTION("""COMPUTED_VALUE"""),45069.0)</f>
        <v>45069</v>
      </c>
      <c r="D6" s="62">
        <f>IFERROR(__xludf.DUMMYFUNCTION("""COMPUTED_VALUE"""),0.3019560185185185)</f>
        <v>0.3019560185</v>
      </c>
      <c r="E6" s="23" t="str">
        <f>IFERROR(__xludf.DUMMYFUNCTION("""COMPUTED_VALUE"""),"SpABRM128250")</f>
        <v>SpABRM128250</v>
      </c>
      <c r="F6" s="23"/>
      <c r="G6" s="23"/>
      <c r="H6" s="23" t="str">
        <f>IFERROR(__xludf.DUMMYFUNCTION("""COMPUTED_VALUE"""),"Positive")</f>
        <v>Positive</v>
      </c>
      <c r="I6" s="23" t="str">
        <f>IFERROR(__xludf.DUMMYFUNCTION("""COMPUTED_VALUE"""),"Positive")</f>
        <v>Positive</v>
      </c>
      <c r="J6" s="24">
        <f>IFERROR(__xludf.DUMMYFUNCTION("""COMPUTED_VALUE"""),45069.0)</f>
        <v>45069</v>
      </c>
      <c r="K6" s="62">
        <f>IFERROR(__xludf.DUMMYFUNCTION("""COMPUTED_VALUE"""),0.40076388888888886)</f>
        <v>0.4007638889</v>
      </c>
      <c r="L6" s="65"/>
      <c r="M6" s="66"/>
      <c r="N6" s="65"/>
      <c r="O6" s="65">
        <f>IFERROR(__xludf.DUMMYFUNCTION("""COMPUTED_VALUE"""),3.0)</f>
        <v>3</v>
      </c>
      <c r="P6" s="23">
        <f>IFERROR(__xludf.DUMMYFUNCTION("""COMPUTED_VALUE"""),2880.0)</f>
        <v>2880</v>
      </c>
      <c r="Q6" s="23" t="str">
        <f>IFERROR(__xludf.DUMMYFUNCTION("""COMPUTED_VALUE"""),"ABRM362882")</f>
        <v>ABRM362882</v>
      </c>
      <c r="R6" s="23" t="str">
        <f>IFERROR(__xludf.DUMMYFUNCTION("""COMPUTED_VALUE"""),"ABRM165120")</f>
        <v>ABRM165120</v>
      </c>
      <c r="S6" s="23" t="str">
        <f>IFERROR(__xludf.DUMMYFUNCTION("""COMPUTED_VALUE"""),"ABRM735457")</f>
        <v>ABRM735457</v>
      </c>
      <c r="T6" s="23"/>
      <c r="U6" s="23">
        <f>IFERROR(__xludf.DUMMYFUNCTION("""COMPUTED_VALUE"""),3.0)</f>
        <v>3</v>
      </c>
      <c r="V6" s="23"/>
      <c r="W6" s="23" t="str">
        <f>IFERROR(__xludf.DUMMYFUNCTION("""COMPUTED_VALUE"""),"NONE")</f>
        <v>NONE</v>
      </c>
      <c r="X6" s="23"/>
      <c r="Y6" s="23" t="b">
        <f>IFERROR(__xludf.DUMMYFUNCTION("""COMPUTED_VALUE"""),FALSE)</f>
        <v>0</v>
      </c>
      <c r="Z6" s="18"/>
      <c r="AA6" s="18"/>
    </row>
    <row r="7">
      <c r="B7" s="23" t="str">
        <f>IFERROR(__xludf.DUMMYFUNCTION("""COMPUTED_VALUE"""),"AR1265")</f>
        <v>AR1265</v>
      </c>
      <c r="C7" s="24">
        <f>IFERROR(__xludf.DUMMYFUNCTION("""COMPUTED_VALUE"""),45069.0)</f>
        <v>45069</v>
      </c>
      <c r="D7" s="62">
        <f>IFERROR(__xludf.DUMMYFUNCTION("""COMPUTED_VALUE"""),0.33762731481481484)</f>
        <v>0.3376273148</v>
      </c>
      <c r="E7" s="23" t="str">
        <f>IFERROR(__xludf.DUMMYFUNCTION("""COMPUTED_VALUE"""),"SpABRM655136")</f>
        <v>SpABRM655136</v>
      </c>
      <c r="F7" s="23"/>
      <c r="G7" s="23"/>
      <c r="H7" s="23" t="str">
        <f>IFERROR(__xludf.DUMMYFUNCTION("""COMPUTED_VALUE"""),"Positive")</f>
        <v>Positive</v>
      </c>
      <c r="I7" s="23" t="str">
        <f>IFERROR(__xludf.DUMMYFUNCTION("""COMPUTED_VALUE"""),"Positive")</f>
        <v>Positive</v>
      </c>
      <c r="J7" s="24">
        <f>IFERROR(__xludf.DUMMYFUNCTION("""COMPUTED_VALUE"""),45069.0)</f>
        <v>45069</v>
      </c>
      <c r="K7" s="62">
        <f>IFERROR(__xludf.DUMMYFUNCTION("""COMPUTED_VALUE"""),0.40074074074074073)</f>
        <v>0.4007407407</v>
      </c>
      <c r="L7" s="65"/>
      <c r="M7" s="66"/>
      <c r="N7" s="65"/>
      <c r="O7" s="65">
        <f>IFERROR(__xludf.DUMMYFUNCTION("""COMPUTED_VALUE"""),1.0)</f>
        <v>1</v>
      </c>
      <c r="P7" s="23">
        <f>IFERROR(__xludf.DUMMYFUNCTION("""COMPUTED_VALUE"""),2887.0)</f>
        <v>2887</v>
      </c>
      <c r="Q7" s="23" t="str">
        <f>IFERROR(__xludf.DUMMYFUNCTION("""COMPUTED_VALUE"""),"ABRM362882")</f>
        <v>ABRM362882</v>
      </c>
      <c r="R7" s="23"/>
      <c r="S7" s="23"/>
      <c r="T7" s="23"/>
      <c r="U7" s="23">
        <f>IFERROR(__xludf.DUMMYFUNCTION("""COMPUTED_VALUE"""),3.0)</f>
        <v>3</v>
      </c>
      <c r="V7" s="23"/>
      <c r="W7" s="23" t="str">
        <f>IFERROR(__xludf.DUMMYFUNCTION("""COMPUTED_VALUE"""),"NONE")</f>
        <v>NONE</v>
      </c>
      <c r="X7" s="23"/>
      <c r="Y7" s="23" t="b">
        <f>IFERROR(__xludf.DUMMYFUNCTION("""COMPUTED_VALUE"""),FALSE)</f>
        <v>0</v>
      </c>
      <c r="Z7" s="18"/>
      <c r="AA7" s="18" t="b">
        <f>IFERROR(__xludf.DUMMYFUNCTION("""COMPUTED_VALUE"""),TRUE)</f>
        <v>1</v>
      </c>
    </row>
    <row r="8">
      <c r="B8" s="23" t="str">
        <f>IFERROR(__xludf.DUMMYFUNCTION("""COMPUTED_VALUE"""),"AR15")</f>
        <v>AR15</v>
      </c>
      <c r="C8" s="24">
        <f>IFERROR(__xludf.DUMMYFUNCTION("""COMPUTED_VALUE"""),45069.0)</f>
        <v>45069</v>
      </c>
      <c r="D8" s="62">
        <f>IFERROR(__xludf.DUMMYFUNCTION("""COMPUTED_VALUE"""),0.3383564814814815)</f>
        <v>0.3383564815</v>
      </c>
      <c r="E8" s="23" t="str">
        <f>IFERROR(__xludf.DUMMYFUNCTION("""COMPUTED_VALUE"""),"SpABRM655136")</f>
        <v>SpABRM655136</v>
      </c>
      <c r="F8" s="23"/>
      <c r="G8" s="23"/>
      <c r="H8" s="23" t="str">
        <f>IFERROR(__xludf.DUMMYFUNCTION("""COMPUTED_VALUE"""),"Positive")</f>
        <v>Positive</v>
      </c>
      <c r="I8" s="23" t="str">
        <f>IFERROR(__xludf.DUMMYFUNCTION("""COMPUTED_VALUE"""),"Positive")</f>
        <v>Positive</v>
      </c>
      <c r="J8" s="24">
        <f>IFERROR(__xludf.DUMMYFUNCTION("""COMPUTED_VALUE"""),45069.0)</f>
        <v>45069</v>
      </c>
      <c r="K8" s="62">
        <f>IFERROR(__xludf.DUMMYFUNCTION("""COMPUTED_VALUE"""),0.4007291666666667)</f>
        <v>0.4007291667</v>
      </c>
      <c r="L8" s="65"/>
      <c r="M8" s="66"/>
      <c r="N8" s="65"/>
      <c r="O8" s="65">
        <f>IFERROR(__xludf.DUMMYFUNCTION("""COMPUTED_VALUE"""),1.0)</f>
        <v>1</v>
      </c>
      <c r="P8" s="23">
        <f>IFERROR(__xludf.DUMMYFUNCTION("""COMPUTED_VALUE"""),2888.0)</f>
        <v>2888</v>
      </c>
      <c r="Q8" s="23" t="str">
        <f>IFERROR(__xludf.DUMMYFUNCTION("""COMPUTED_VALUE"""),"ABRM165120")</f>
        <v>ABRM165120</v>
      </c>
      <c r="R8" s="23"/>
      <c r="S8" s="23"/>
      <c r="T8" s="23"/>
      <c r="U8" s="23">
        <f>IFERROR(__xludf.DUMMYFUNCTION("""COMPUTED_VALUE"""),3.0)</f>
        <v>3</v>
      </c>
      <c r="V8" s="23"/>
      <c r="W8" s="23" t="str">
        <f>IFERROR(__xludf.DUMMYFUNCTION("""COMPUTED_VALUE"""),"NONE")</f>
        <v>NONE</v>
      </c>
      <c r="X8" s="23"/>
      <c r="Y8" s="23" t="b">
        <f>IFERROR(__xludf.DUMMYFUNCTION("""COMPUTED_VALUE"""),FALSE)</f>
        <v>0</v>
      </c>
      <c r="Z8" s="18"/>
      <c r="AA8" s="18" t="b">
        <f>IFERROR(__xludf.DUMMYFUNCTION("""COMPUTED_VALUE"""),TRUE)</f>
        <v>1</v>
      </c>
    </row>
    <row r="9">
      <c r="B9" s="23" t="str">
        <f>IFERROR(__xludf.DUMMYFUNCTION("""COMPUTED_VALUE"""),"AK9590")</f>
        <v>AK9590</v>
      </c>
      <c r="C9" s="24">
        <f>IFERROR(__xludf.DUMMYFUNCTION("""COMPUTED_VALUE"""),45069.0)</f>
        <v>45069</v>
      </c>
      <c r="D9" s="62">
        <f>IFERROR(__xludf.DUMMYFUNCTION("""COMPUTED_VALUE"""),0.3387615740740741)</f>
        <v>0.3387615741</v>
      </c>
      <c r="E9" s="23" t="str">
        <f>IFERROR(__xludf.DUMMYFUNCTION("""COMPUTED_VALUE"""),"SpABRM655136")</f>
        <v>SpABRM655136</v>
      </c>
      <c r="F9" s="23"/>
      <c r="G9" s="23"/>
      <c r="H9" s="23" t="str">
        <f>IFERROR(__xludf.DUMMYFUNCTION("""COMPUTED_VALUE"""),"Positive")</f>
        <v>Positive</v>
      </c>
      <c r="I9" s="23" t="str">
        <f>IFERROR(__xludf.DUMMYFUNCTION("""COMPUTED_VALUE"""),"Positive")</f>
        <v>Positive</v>
      </c>
      <c r="J9" s="24">
        <f>IFERROR(__xludf.DUMMYFUNCTION("""COMPUTED_VALUE"""),45069.0)</f>
        <v>45069</v>
      </c>
      <c r="K9" s="62">
        <f>IFERROR(__xludf.DUMMYFUNCTION("""COMPUTED_VALUE"""),0.4007060185185185)</f>
        <v>0.4007060185</v>
      </c>
      <c r="L9" s="65"/>
      <c r="M9" s="66"/>
      <c r="N9" s="65"/>
      <c r="O9" s="65">
        <f>IFERROR(__xludf.DUMMYFUNCTION("""COMPUTED_VALUE"""),1.0)</f>
        <v>1</v>
      </c>
      <c r="P9" s="23">
        <f>IFERROR(__xludf.DUMMYFUNCTION("""COMPUTED_VALUE"""),2889.0)</f>
        <v>2889</v>
      </c>
      <c r="Q9" s="23" t="str">
        <f>IFERROR(__xludf.DUMMYFUNCTION("""COMPUTED_VALUE"""),"ABRM735457")</f>
        <v>ABRM735457</v>
      </c>
      <c r="R9" s="23"/>
      <c r="S9" s="23"/>
      <c r="T9" s="23"/>
      <c r="U9" s="23">
        <f>IFERROR(__xludf.DUMMYFUNCTION("""COMPUTED_VALUE"""),3.0)</f>
        <v>3</v>
      </c>
      <c r="V9" s="23"/>
      <c r="W9" s="23" t="str">
        <f>IFERROR(__xludf.DUMMYFUNCTION("""COMPUTED_VALUE"""),"NONE")</f>
        <v>NONE</v>
      </c>
      <c r="X9" s="23"/>
      <c r="Y9" s="23" t="b">
        <f>IFERROR(__xludf.DUMMYFUNCTION("""COMPUTED_VALUE"""),FALSE)</f>
        <v>0</v>
      </c>
      <c r="Z9" s="18"/>
      <c r="AA9" s="18" t="b">
        <f>IFERROR(__xludf.DUMMYFUNCTION("""COMPUTED_VALUE"""),TRUE)</f>
        <v>1</v>
      </c>
    </row>
    <row r="10">
      <c r="B10" s="23" t="str">
        <f>IFERROR(__xludf.DUMMYFUNCTION("""COMPUTED_VALUE"""),"AG1417")</f>
        <v>AG1417</v>
      </c>
      <c r="C10" s="24">
        <f>IFERROR(__xludf.DUMMYFUNCTION("""COMPUTED_VALUE"""),44938.0)</f>
        <v>44938</v>
      </c>
      <c r="D10" s="62">
        <f>IFERROR(__xludf.DUMMYFUNCTION("""COMPUTED_VALUE"""),0.25288194444444445)</f>
        <v>0.2528819444</v>
      </c>
      <c r="E10" s="23" t="str">
        <f>IFERROR(__xludf.DUMMYFUNCTION("""COMPUTED_VALUE"""),"SpABRM297307")</f>
        <v>SpABRM297307</v>
      </c>
      <c r="F10" s="23"/>
      <c r="G10" s="23"/>
      <c r="H10" s="23" t="str">
        <f>IFERROR(__xludf.DUMMYFUNCTION("""COMPUTED_VALUE"""),"Inconclusive")</f>
        <v>Inconclusive</v>
      </c>
      <c r="I10" s="23" t="str">
        <f>IFERROR(__xludf.DUMMYFUNCTION("""COMPUTED_VALUE"""),"Inconclusive")</f>
        <v>Inconclusive</v>
      </c>
      <c r="J10" s="24">
        <f>IFERROR(__xludf.DUMMYFUNCTION("""COMPUTED_VALUE"""),44938.0)</f>
        <v>44938</v>
      </c>
      <c r="K10" s="62">
        <f>IFERROR(__xludf.DUMMYFUNCTION("""COMPUTED_VALUE"""),0.5979282407407407)</f>
        <v>0.5979282407</v>
      </c>
      <c r="L10" s="65"/>
      <c r="M10" s="66"/>
      <c r="N10" s="65"/>
      <c r="O10" s="65">
        <f>IFERROR(__xludf.DUMMYFUNCTION("""COMPUTED_VALUE"""),3.0)</f>
        <v>3</v>
      </c>
      <c r="P10" s="23">
        <f>IFERROR(__xludf.DUMMYFUNCTION("""COMPUTED_VALUE"""),1637.0)</f>
        <v>1637</v>
      </c>
      <c r="Q10" s="23" t="str">
        <f>IFERROR(__xludf.DUMMYFUNCTION("""COMPUTED_VALUE"""),"ABRM947679")</f>
        <v>ABRM947679</v>
      </c>
      <c r="R10" s="23" t="str">
        <f>IFERROR(__xludf.DUMMYFUNCTION("""COMPUTED_VALUE"""),"ABRM303158")</f>
        <v>ABRM303158</v>
      </c>
      <c r="S10" s="23" t="str">
        <f>IFERROR(__xludf.DUMMYFUNCTION("""COMPUTED_VALUE"""),"ABRM958852")</f>
        <v>ABRM958852</v>
      </c>
      <c r="T10" s="23"/>
      <c r="U10" s="23">
        <f>IFERROR(__xludf.DUMMYFUNCTION("""COMPUTED_VALUE"""),4.0)</f>
        <v>4</v>
      </c>
      <c r="V10" s="23"/>
      <c r="W10" s="23" t="str">
        <f>IFERROR(__xludf.DUMMYFUNCTION("""COMPUTED_VALUE"""),"NONE")</f>
        <v>NONE</v>
      </c>
      <c r="X10" s="23"/>
      <c r="Y10" s="23" t="b">
        <f>IFERROR(__xludf.DUMMYFUNCTION("""COMPUTED_VALUE"""),FALSE)</f>
        <v>0</v>
      </c>
      <c r="Z10" s="18"/>
      <c r="AA10" s="18"/>
    </row>
    <row r="11">
      <c r="B11" s="23" t="str">
        <f>IFERROR(__xludf.DUMMYFUNCTION("""COMPUTED_VALUE"""),"AG1625")</f>
        <v>AG1625</v>
      </c>
      <c r="C11" s="24">
        <f>IFERROR(__xludf.DUMMYFUNCTION("""COMPUTED_VALUE"""),44939.0)</f>
        <v>44939</v>
      </c>
      <c r="D11" s="62">
        <f>IFERROR(__xludf.DUMMYFUNCTION("""COMPUTED_VALUE"""),0.32319444444444445)</f>
        <v>0.3231944444</v>
      </c>
      <c r="E11" s="23" t="str">
        <f>IFERROR(__xludf.DUMMYFUNCTION("""COMPUTED_VALUE"""),"SpABRM814022")</f>
        <v>SpABRM814022</v>
      </c>
      <c r="F11" s="23"/>
      <c r="G11" s="23"/>
      <c r="H11" s="23" t="str">
        <f>IFERROR(__xludf.DUMMYFUNCTION("""COMPUTED_VALUE"""),"Inconclusive")</f>
        <v>Inconclusive</v>
      </c>
      <c r="I11" s="23" t="str">
        <f>IFERROR(__xludf.DUMMYFUNCTION("""COMPUTED_VALUE"""),"Inconclusive")</f>
        <v>Inconclusive</v>
      </c>
      <c r="J11" s="24">
        <f>IFERROR(__xludf.DUMMYFUNCTION("""COMPUTED_VALUE"""),44939.0)</f>
        <v>44939</v>
      </c>
      <c r="K11" s="62">
        <f>IFERROR(__xludf.DUMMYFUNCTION("""COMPUTED_VALUE"""),0.5109722222222223)</f>
        <v>0.5109722222</v>
      </c>
      <c r="L11" s="65"/>
      <c r="M11" s="66"/>
      <c r="N11" s="65"/>
      <c r="O11" s="65">
        <f>IFERROR(__xludf.DUMMYFUNCTION("""COMPUTED_VALUE"""),1.0)</f>
        <v>1</v>
      </c>
      <c r="P11" s="23">
        <f>IFERROR(__xludf.DUMMYFUNCTION("""COMPUTED_VALUE"""),1655.0)</f>
        <v>1655</v>
      </c>
      <c r="Q11" s="23" t="str">
        <f>IFERROR(__xludf.DUMMYFUNCTION("""COMPUTED_VALUE"""),"ABRM515295")</f>
        <v>ABRM515295</v>
      </c>
      <c r="R11" s="23"/>
      <c r="S11" s="23"/>
      <c r="T11" s="23"/>
      <c r="U11" s="23">
        <f>IFERROR(__xludf.DUMMYFUNCTION("""COMPUTED_VALUE"""),5.0)</f>
        <v>5</v>
      </c>
      <c r="V11" s="23"/>
      <c r="W11" s="23" t="str">
        <f>IFERROR(__xludf.DUMMYFUNCTION("""COMPUTED_VALUE"""),"NONE")</f>
        <v>NONE</v>
      </c>
      <c r="X11" s="23"/>
      <c r="Y11" s="23" t="b">
        <f>IFERROR(__xludf.DUMMYFUNCTION("""COMPUTED_VALUE"""),FALSE)</f>
        <v>0</v>
      </c>
      <c r="Z11" s="18"/>
      <c r="AA11" s="18"/>
    </row>
    <row r="12">
      <c r="B12" s="23" t="str">
        <f>IFERROR(__xludf.DUMMYFUNCTION("""COMPUTED_VALUE"""),"AJ8942")</f>
        <v>AJ8942</v>
      </c>
      <c r="C12" s="24">
        <f>IFERROR(__xludf.DUMMYFUNCTION("""COMPUTED_VALUE"""),44946.0)</f>
        <v>44946</v>
      </c>
      <c r="D12" s="62">
        <f>IFERROR(__xludf.DUMMYFUNCTION("""COMPUTED_VALUE"""),0.3116435185185185)</f>
        <v>0.3116435185</v>
      </c>
      <c r="E12" s="23" t="str">
        <f>IFERROR(__xludf.DUMMYFUNCTION("""COMPUTED_VALUE"""),"SpABRM655136")</f>
        <v>SpABRM655136</v>
      </c>
      <c r="F12" s="23"/>
      <c r="G12" s="23"/>
      <c r="H12" s="23" t="str">
        <f>IFERROR(__xludf.DUMMYFUNCTION("""COMPUTED_VALUE"""),"Negative")</f>
        <v>Negative</v>
      </c>
      <c r="I12" s="23" t="str">
        <f>IFERROR(__xludf.DUMMYFUNCTION("""COMPUTED_VALUE"""),"Inconclusive")</f>
        <v>Inconclusive</v>
      </c>
      <c r="J12" s="24">
        <f>IFERROR(__xludf.DUMMYFUNCTION("""COMPUTED_VALUE"""),44946.0)</f>
        <v>44946</v>
      </c>
      <c r="K12" s="62">
        <f>IFERROR(__xludf.DUMMYFUNCTION("""COMPUTED_VALUE"""),0.4196064814814815)</f>
        <v>0.4196064815</v>
      </c>
      <c r="L12" s="65">
        <f>IFERROR(__xludf.DUMMYFUNCTION("""COMPUTED_VALUE"""),4.1)</f>
        <v>4.1</v>
      </c>
      <c r="M12" s="66" t="str">
        <f>IFERROR(__xludf.DUMMYFUNCTION("""COMPUTED_VALUE"""),"RT Jan26 - photo and LUM show Incl call")</f>
        <v>RT Jan26 - photo and LUM show Incl call</v>
      </c>
      <c r="N12" s="65"/>
      <c r="O12" s="65">
        <f>IFERROR(__xludf.DUMMYFUNCTION("""COMPUTED_VALUE"""),2.0)</f>
        <v>2</v>
      </c>
      <c r="P12" s="23">
        <f>IFERROR(__xludf.DUMMYFUNCTION("""COMPUTED_VALUE"""),1743.0)</f>
        <v>1743</v>
      </c>
      <c r="Q12" s="23" t="str">
        <f>IFERROR(__xludf.DUMMYFUNCTION("""COMPUTED_VALUE"""),"ABRM396076")</f>
        <v>ABRM396076</v>
      </c>
      <c r="R12" s="23" t="str">
        <f>IFERROR(__xludf.DUMMYFUNCTION("""COMPUTED_VALUE"""),"ABRM492658")</f>
        <v>ABRM492658</v>
      </c>
      <c r="S12" s="23"/>
      <c r="T12" s="23"/>
      <c r="U12" s="23">
        <f>IFERROR(__xludf.DUMMYFUNCTION("""COMPUTED_VALUE"""),6.0)</f>
        <v>6</v>
      </c>
      <c r="V12" s="23"/>
      <c r="W12" s="23" t="str">
        <f>IFERROR(__xludf.DUMMYFUNCTION("""COMPUTED_VALUE"""),"NONE")</f>
        <v>NONE</v>
      </c>
      <c r="X12" s="23"/>
      <c r="Y12" s="23" t="b">
        <f>IFERROR(__xludf.DUMMYFUNCTION("""COMPUTED_VALUE"""),FALSE)</f>
        <v>0</v>
      </c>
      <c r="Z12" s="18"/>
      <c r="AA12" s="18"/>
    </row>
    <row r="13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65"/>
      <c r="M13" s="66"/>
      <c r="N13" s="65"/>
      <c r="O13" s="65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8"/>
      <c r="AA13" s="18"/>
    </row>
    <row r="14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65"/>
      <c r="M14" s="66"/>
      <c r="N14" s="65"/>
      <c r="O14" s="65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8"/>
      <c r="AA14" s="18"/>
    </row>
    <row r="15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65"/>
      <c r="M15" s="66"/>
      <c r="N15" s="65"/>
      <c r="O15" s="65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8"/>
      <c r="AA15" s="18"/>
    </row>
    <row r="16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2"/>
      <c r="M16" s="67"/>
      <c r="N16" s="12"/>
      <c r="O16" s="12"/>
      <c r="P16" s="18"/>
      <c r="Q16" s="18">
        <f>IFERROR(__xludf.DUMMYFUNCTION("""COMPUTED_VALUE"""),5.0)</f>
        <v>5</v>
      </c>
      <c r="R16" s="18" t="str">
        <f>IFERROR(__xludf.DUMMYFUNCTION("""COMPUTED_VALUE"""),"Unique Names Above with Indiv Pos Tests")</f>
        <v>Unique Names Above with Indiv Pos Tests</v>
      </c>
      <c r="S16" s="18"/>
      <c r="T16" s="18"/>
      <c r="U16" s="18"/>
      <c r="V16" s="18"/>
      <c r="W16" s="18"/>
      <c r="X16" s="18"/>
      <c r="Y16" s="18"/>
      <c r="Z16" s="18"/>
      <c r="AA16" s="18"/>
    </row>
    <row r="17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2"/>
      <c r="M17" s="67"/>
      <c r="N17" s="12"/>
      <c r="O17" s="12"/>
      <c r="P17" s="18"/>
      <c r="Q17" s="18">
        <f>IFERROR(__xludf.DUMMYFUNCTION("""COMPUTED_VALUE"""),0.0)</f>
        <v>0</v>
      </c>
      <c r="R17" s="18" t="str">
        <f>IFERROR(__xludf.DUMMYFUNCTION("""COMPUTED_VALUE"""),"Add Confirmed Inconclusives")</f>
        <v>Add Confirmed Inconclusives</v>
      </c>
      <c r="S17" s="18"/>
      <c r="T17" s="18"/>
      <c r="U17" s="18"/>
      <c r="V17" s="18"/>
      <c r="W17" s="18"/>
      <c r="X17" s="18"/>
      <c r="Y17" s="18"/>
      <c r="Z17" s="18"/>
      <c r="AA17" s="18"/>
    </row>
    <row r="18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2"/>
      <c r="M18" s="67"/>
      <c r="N18" s="12"/>
      <c r="O18" s="12"/>
      <c r="P18" s="18"/>
      <c r="Q18" s="18">
        <f>IFERROR(__xludf.DUMMYFUNCTION("""COMPUTED_VALUE"""),0.0)</f>
        <v>0</v>
      </c>
      <c r="R18" s="18" t="str">
        <f>IFERROR(__xludf.DUMMYFUNCTION("""COMPUTED_VALUE"""),"Subtract False Positives")</f>
        <v>Subtract False Positives</v>
      </c>
      <c r="S18" s="18"/>
      <c r="T18" s="18"/>
      <c r="U18" s="18"/>
      <c r="V18" s="18"/>
      <c r="W18" s="18"/>
      <c r="X18" s="18"/>
      <c r="Y18" s="18"/>
      <c r="Z18" s="18"/>
      <c r="AA18" s="18"/>
    </row>
    <row r="19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2"/>
      <c r="M19" s="67"/>
      <c r="N19" s="12"/>
      <c r="O19" s="12"/>
      <c r="P19" s="18"/>
      <c r="Q19" s="18">
        <f>IFERROR(__xludf.DUMMYFUNCTION("""COMPUTED_VALUE"""),5.0)</f>
        <v>5</v>
      </c>
      <c r="R19" s="18" t="str">
        <f>IFERROR(__xludf.DUMMYFUNCTION("""COMPUTED_VALUE"""),"Unique Positives")</f>
        <v>Unique Positives</v>
      </c>
      <c r="S19" s="18"/>
      <c r="T19" s="18"/>
      <c r="U19" s="18"/>
      <c r="V19" s="18"/>
      <c r="W19" s="18"/>
      <c r="X19" s="18"/>
      <c r="Y19" s="18"/>
      <c r="Z19" s="18"/>
      <c r="AA19" s="18"/>
    </row>
    <row r="20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6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67"/>
      <c r="N21" s="18"/>
      <c r="O21" s="18"/>
      <c r="P21" s="18"/>
      <c r="Q21" s="18">
        <f>IFERROR(__xludf.DUMMYFUNCTION("""COMPUTED_VALUE"""),10.0)</f>
        <v>10</v>
      </c>
      <c r="R21" s="18" t="str">
        <f>IFERROR(__xludf.DUMMYFUNCTION("""COMPUTED_VALUE"""),"Unique Names Above including all in Pools")</f>
        <v>Unique Names Above including all in Pools</v>
      </c>
      <c r="S21" s="18"/>
      <c r="T21" s="18"/>
      <c r="U21" s="18"/>
      <c r="V21" s="18"/>
      <c r="W21" s="18"/>
      <c r="X21" s="18"/>
      <c r="Y21" s="18"/>
      <c r="Z21" s="18"/>
      <c r="AA21" s="18"/>
    </row>
    <row r="22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67"/>
      <c r="N22" s="18"/>
      <c r="O22" s="18"/>
      <c r="P22" s="18"/>
      <c r="Q22" s="18">
        <f>IFERROR(__xludf.DUMMYFUNCTION("""COMPUTED_VALUE"""),0.0)</f>
        <v>0</v>
      </c>
      <c r="R22" s="18" t="str">
        <f>IFERROR(__xludf.DUMMYFUNCTION("""COMPUTED_VALUE"""),"Add Confirmed Inconclusives")</f>
        <v>Add Confirmed Inconclusives</v>
      </c>
      <c r="S22" s="18"/>
      <c r="T22" s="18"/>
      <c r="U22" s="18"/>
      <c r="V22" s="18"/>
      <c r="W22" s="18"/>
      <c r="X22" s="18"/>
      <c r="Y22" s="18"/>
      <c r="Z22" s="18"/>
      <c r="AA22" s="18"/>
    </row>
    <row r="2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67"/>
      <c r="N23" s="18"/>
      <c r="O23" s="18"/>
      <c r="P23" s="18"/>
      <c r="Q23" s="18">
        <f>IFERROR(__xludf.DUMMYFUNCTION("""COMPUTED_VALUE"""),0.0)</f>
        <v>0</v>
      </c>
      <c r="R23" s="18" t="str">
        <f>IFERROR(__xludf.DUMMYFUNCTION("""COMPUTED_VALUE"""),"Subtract False Positives")</f>
        <v>Subtract False Positives</v>
      </c>
      <c r="S23" s="18"/>
      <c r="T23" s="18"/>
      <c r="U23" s="18"/>
      <c r="V23" s="18"/>
      <c r="W23" s="18"/>
      <c r="X23" s="18"/>
      <c r="Y23" s="18"/>
      <c r="Z23" s="18"/>
      <c r="AA23" s="18"/>
    </row>
    <row r="24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67"/>
      <c r="N24" s="18"/>
      <c r="O24" s="18"/>
      <c r="P24" s="18"/>
      <c r="Q24" s="18">
        <f>IFERROR(__xludf.DUMMYFUNCTION("""COMPUTED_VALUE"""),10.0)</f>
        <v>10</v>
      </c>
      <c r="R24" s="18" t="str">
        <f>IFERROR(__xludf.DUMMYFUNCTION("""COMPUTED_VALUE"""),"Unique Positives including all in Pools")</f>
        <v>Unique Positives including all in Pools</v>
      </c>
      <c r="S24" s="18"/>
      <c r="T24" s="18"/>
      <c r="U24" s="18"/>
      <c r="V24" s="18"/>
      <c r="W24" s="18"/>
      <c r="X24" s="18"/>
      <c r="Y24" s="18"/>
      <c r="Z24" s="18"/>
      <c r="AA24" s="18"/>
    </row>
    <row r="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6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6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6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6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6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6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6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6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6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6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6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6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6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6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6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6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6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6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6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6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6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6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6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6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6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6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6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6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6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6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6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6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6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6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6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6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6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6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6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6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6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6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6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6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6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6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6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6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6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6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6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6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6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6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6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6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6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6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6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6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6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6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6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6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6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6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6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6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6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6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6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6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6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6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6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6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6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6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6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6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6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6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6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6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6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6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6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6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6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6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6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6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6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6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6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6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6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6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6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6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6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6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6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6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6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6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6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6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6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6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6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6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6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6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6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6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6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6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6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6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6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6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6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6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6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6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6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6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6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6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6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6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6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6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6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6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6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6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6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6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6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6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6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6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6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6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6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6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6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6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6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6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6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6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6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6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6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6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6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6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6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6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6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6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6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6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6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6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6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6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6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6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6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6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6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6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hyperlinks>
    <hyperlink r:id="rId2" ref="A2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5.25"/>
    <col customWidth="1" min="12" max="12" width="32.63"/>
  </cols>
  <sheetData>
    <row r="1">
      <c r="A1" s="5" t="s">
        <v>89</v>
      </c>
    </row>
    <row r="2">
      <c r="A2" s="68" t="s">
        <v>90</v>
      </c>
      <c r="B2" s="68"/>
      <c r="C2" s="68" t="s">
        <v>91</v>
      </c>
      <c r="D2" s="68"/>
      <c r="E2" s="68"/>
      <c r="F2" s="68"/>
      <c r="G2" s="68"/>
      <c r="H2" s="68"/>
      <c r="I2" s="68"/>
    </row>
    <row r="3">
      <c r="A3" s="19"/>
    </row>
    <row r="5">
      <c r="A5" s="69"/>
    </row>
    <row r="6">
      <c r="A6" s="70"/>
      <c r="B6" s="71"/>
      <c r="C6" s="71"/>
    </row>
    <row r="7">
      <c r="A7" s="70" t="s">
        <v>92</v>
      </c>
      <c r="B7" s="71"/>
      <c r="C7" s="71"/>
    </row>
    <row r="8">
      <c r="A8" s="70"/>
      <c r="B8" s="71"/>
      <c r="C8" s="71"/>
    </row>
    <row r="9">
      <c r="A9" s="70"/>
      <c r="B9" s="71"/>
      <c r="C9" s="71"/>
    </row>
    <row r="10">
      <c r="A10" s="72"/>
      <c r="B10" s="72"/>
      <c r="C10" s="70"/>
      <c r="E10" s="19"/>
      <c r="F10" s="19"/>
    </row>
    <row r="11">
      <c r="A11" s="72"/>
      <c r="B11" s="72"/>
      <c r="C11" s="70"/>
    </row>
    <row r="12">
      <c r="A12" s="72"/>
      <c r="B12" s="72"/>
      <c r="C12" s="70"/>
    </row>
    <row r="13">
      <c r="A13" s="69"/>
    </row>
    <row r="14">
      <c r="A14" s="69"/>
    </row>
    <row r="15">
      <c r="A15" s="73"/>
    </row>
    <row r="16">
      <c r="A16" s="74"/>
      <c r="B16" s="75"/>
      <c r="C16" s="75"/>
      <c r="E16" s="75"/>
      <c r="F16" s="75"/>
      <c r="G16" s="75"/>
      <c r="H16" s="75"/>
      <c r="I16" s="75"/>
      <c r="J16" s="75"/>
    </row>
    <row r="17">
      <c r="A17" s="75"/>
      <c r="B17" s="74"/>
      <c r="C17" s="75"/>
      <c r="E17" s="75"/>
      <c r="F17" s="75"/>
      <c r="G17" s="75"/>
      <c r="H17" s="75"/>
      <c r="I17" s="75"/>
      <c r="J17" s="75"/>
    </row>
    <row r="18">
      <c r="A18" s="75"/>
      <c r="B18" s="74"/>
      <c r="C18" s="75"/>
      <c r="E18" s="75"/>
      <c r="F18" s="75"/>
      <c r="G18" s="75"/>
      <c r="H18" s="75"/>
      <c r="I18" s="75"/>
      <c r="J18" s="75"/>
    </row>
    <row r="19">
      <c r="A19" s="75"/>
      <c r="B19" s="74"/>
      <c r="C19" s="75"/>
      <c r="E19" s="75"/>
      <c r="F19" s="75"/>
      <c r="G19" s="75"/>
      <c r="H19" s="75"/>
      <c r="I19" s="75"/>
      <c r="J19" s="75"/>
    </row>
    <row r="20">
      <c r="A20" s="75"/>
      <c r="B20" s="75"/>
      <c r="C20" s="75"/>
      <c r="E20" s="75"/>
      <c r="F20" s="75"/>
      <c r="G20" s="75"/>
      <c r="H20" s="75"/>
      <c r="I20" s="75"/>
      <c r="J20" s="75"/>
    </row>
    <row r="21">
      <c r="A21" s="74"/>
      <c r="B21" s="75"/>
      <c r="C21" s="75"/>
      <c r="E21" s="75"/>
      <c r="F21" s="75"/>
      <c r="G21" s="75"/>
      <c r="H21" s="75"/>
      <c r="I21" s="75"/>
      <c r="J21" s="75"/>
    </row>
    <row r="22">
      <c r="A22" s="75"/>
      <c r="B22" s="74"/>
      <c r="C22" s="75"/>
      <c r="E22" s="75"/>
      <c r="F22" s="75"/>
      <c r="G22" s="75"/>
      <c r="H22" s="75"/>
      <c r="I22" s="75"/>
      <c r="J22" s="75"/>
    </row>
    <row r="23">
      <c r="A23" s="75"/>
      <c r="B23" s="74"/>
      <c r="C23" s="75"/>
      <c r="E23" s="75"/>
      <c r="F23" s="75"/>
      <c r="G23" s="75"/>
      <c r="H23" s="75"/>
      <c r="I23" s="75"/>
      <c r="J23" s="75"/>
    </row>
    <row r="24">
      <c r="A24" s="75"/>
      <c r="B24" s="76"/>
      <c r="C24" s="75"/>
      <c r="E24" s="75"/>
      <c r="F24" s="75"/>
      <c r="G24" s="75"/>
      <c r="H24" s="75"/>
      <c r="I24" s="75"/>
      <c r="J24" s="75"/>
    </row>
    <row r="25">
      <c r="A25" s="74"/>
      <c r="B25" s="75"/>
      <c r="C25" s="75"/>
      <c r="E25" s="75"/>
      <c r="F25" s="75"/>
      <c r="G25" s="75"/>
      <c r="H25" s="75"/>
      <c r="I25" s="75"/>
      <c r="J25" s="75"/>
    </row>
    <row r="26">
      <c r="A26" s="75"/>
      <c r="B26" s="74"/>
      <c r="C26" s="75"/>
      <c r="E26" s="75"/>
      <c r="F26" s="75"/>
      <c r="G26" s="75"/>
      <c r="H26" s="75"/>
      <c r="I26" s="75"/>
      <c r="J26" s="75"/>
    </row>
    <row r="27">
      <c r="A27" s="75"/>
      <c r="B27" s="74"/>
      <c r="C27" s="75"/>
      <c r="E27" s="75"/>
      <c r="F27" s="75"/>
      <c r="G27" s="75"/>
      <c r="H27" s="75"/>
      <c r="I27" s="75"/>
      <c r="J27" s="75"/>
    </row>
    <row r="28">
      <c r="A28" s="75"/>
      <c r="B28" s="76"/>
      <c r="C28" s="75"/>
      <c r="E28" s="75"/>
      <c r="F28" s="75"/>
      <c r="G28" s="75"/>
      <c r="H28" s="75"/>
      <c r="I28" s="75"/>
      <c r="J28" s="75"/>
    </row>
    <row r="29">
      <c r="A29" s="74"/>
      <c r="B29" s="75"/>
      <c r="C29" s="75"/>
      <c r="E29" s="75"/>
      <c r="F29" s="75"/>
      <c r="G29" s="75"/>
      <c r="H29" s="75"/>
      <c r="I29" s="75"/>
      <c r="J29" s="75"/>
    </row>
    <row r="30">
      <c r="A30" s="75"/>
      <c r="B30" s="74"/>
      <c r="C30" s="75"/>
      <c r="E30" s="75"/>
      <c r="F30" s="75"/>
      <c r="G30" s="75"/>
      <c r="H30" s="75"/>
      <c r="I30" s="75"/>
      <c r="J30" s="75"/>
    </row>
    <row r="32">
      <c r="A32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78" t="s">
        <v>93</v>
      </c>
      <c r="D1" s="19"/>
    </row>
    <row r="2">
      <c r="A2" s="19"/>
      <c r="B2" s="19"/>
      <c r="C2" s="19"/>
      <c r="D2" s="19"/>
    </row>
    <row r="3">
      <c r="A3" s="19"/>
      <c r="B3" s="79" t="b">
        <v>1</v>
      </c>
      <c r="C3" s="80" t="s">
        <v>94</v>
      </c>
      <c r="D3" s="19"/>
    </row>
    <row r="4">
      <c r="A4" s="19"/>
      <c r="B4" s="79" t="b">
        <v>1</v>
      </c>
      <c r="C4" s="80" t="s">
        <v>95</v>
      </c>
      <c r="D4" s="19"/>
    </row>
    <row r="5">
      <c r="A5" s="19"/>
      <c r="B5" s="79" t="b">
        <v>1</v>
      </c>
      <c r="C5" s="80" t="s">
        <v>96</v>
      </c>
      <c r="D5" s="19"/>
    </row>
    <row r="6">
      <c r="A6" s="19"/>
      <c r="B6" s="79" t="b">
        <v>1</v>
      </c>
      <c r="C6" s="80" t="s">
        <v>97</v>
      </c>
      <c r="D6" s="19"/>
    </row>
    <row r="7">
      <c r="A7" s="19"/>
      <c r="B7" s="79" t="b">
        <v>1</v>
      </c>
      <c r="C7" s="19"/>
      <c r="D7" s="80" t="s">
        <v>98</v>
      </c>
    </row>
    <row r="8">
      <c r="A8" s="19"/>
      <c r="B8" s="79" t="b">
        <v>1</v>
      </c>
      <c r="C8" s="19"/>
      <c r="D8" s="80" t="s">
        <v>99</v>
      </c>
    </row>
    <row r="9">
      <c r="A9" s="19"/>
      <c r="B9" s="79" t="b">
        <v>1</v>
      </c>
      <c r="C9" s="80" t="s">
        <v>100</v>
      </c>
      <c r="D9" s="19"/>
    </row>
    <row r="10">
      <c r="A10" s="19"/>
      <c r="B10" s="79" t="b">
        <v>1</v>
      </c>
      <c r="C10" s="80" t="s">
        <v>101</v>
      </c>
      <c r="D10" s="19"/>
    </row>
    <row r="11">
      <c r="A11" s="19"/>
      <c r="B11" s="79" t="b">
        <v>1</v>
      </c>
      <c r="C11" s="80" t="s">
        <v>102</v>
      </c>
      <c r="D11" s="19"/>
    </row>
    <row r="12">
      <c r="A12" s="19"/>
      <c r="B12" s="79" t="b">
        <v>1</v>
      </c>
      <c r="C12" s="80" t="s">
        <v>103</v>
      </c>
      <c r="D12" s="19"/>
    </row>
    <row r="13">
      <c r="A13" s="19"/>
      <c r="B13" s="19"/>
      <c r="C13" s="81"/>
      <c r="D13" s="19"/>
    </row>
    <row r="14">
      <c r="A14" s="19"/>
      <c r="B14" s="19"/>
      <c r="C14" s="81"/>
      <c r="D14" s="19"/>
    </row>
    <row r="15">
      <c r="A15" s="19"/>
      <c r="B15" s="19"/>
      <c r="C15" s="82" t="s">
        <v>104</v>
      </c>
      <c r="D15" s="19"/>
    </row>
    <row r="17">
      <c r="B17" s="79" t="b">
        <v>1</v>
      </c>
      <c r="C17" s="83" t="s">
        <v>105</v>
      </c>
    </row>
  </sheetData>
  <drawing r:id="rId1"/>
</worksheet>
</file>